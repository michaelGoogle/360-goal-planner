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riHeritage\GP\docs\"/>
    </mc:Choice>
  </mc:AlternateContent>
  <xr:revisionPtr revIDLastSave="0" documentId="13_ncr:1_{F44DD2FE-7A7E-48CB-9FAE-1A8074373D4F}" xr6:coauthVersionLast="47" xr6:coauthVersionMax="47" xr10:uidLastSave="{00000000-0000-0000-0000-000000000000}"/>
  <bookViews>
    <workbookView xWindow="-120" yWindow="-120" windowWidth="29040" windowHeight="17520" activeTab="2" xr2:uid="{00000000-000D-0000-FFFF-FFFF00000000}"/>
  </bookViews>
  <sheets>
    <sheet name="How to use" sheetId="1" r:id="rId1"/>
    <sheet name="Dashboard" sheetId="2" r:id="rId2"/>
    <sheet name="Tracker" sheetId="3" r:id="rId3"/>
    <sheet name="Screenshots" sheetId="4" r:id="rId4"/>
    <sheet name="Original emails" sheetId="5" r:id="rId5"/>
    <sheet name="Lists" sheetId="6" state="hidden" r:id="rId6"/>
  </sheets>
  <definedNames>
    <definedName name="_xlnm._FilterDatabase" localSheetId="2" hidden="1">Tracker!$A$3:$W$33</definedName>
    <definedName name="_xlnm.Print_Titles" localSheetId="0">'How to use'!$1:$3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2" l="1"/>
  <c r="C24" i="2"/>
  <c r="C23" i="2"/>
  <c r="I22" i="2"/>
  <c r="F22" i="2"/>
  <c r="C22" i="2"/>
  <c r="I21" i="2"/>
  <c r="F21" i="2"/>
  <c r="C21" i="2"/>
  <c r="I20" i="2"/>
  <c r="F20" i="2"/>
  <c r="C20" i="2"/>
  <c r="I19" i="2"/>
  <c r="F19" i="2"/>
  <c r="C19" i="2"/>
  <c r="F14" i="2"/>
  <c r="C14" i="2"/>
  <c r="F13" i="2"/>
  <c r="C13" i="2"/>
  <c r="F12" i="2"/>
  <c r="C12" i="2"/>
  <c r="I11" i="2"/>
  <c r="F11" i="2"/>
  <c r="C11" i="2"/>
  <c r="I10" i="2"/>
  <c r="F10" i="2"/>
  <c r="C10" i="2"/>
  <c r="H6" i="2"/>
  <c r="F6" i="2"/>
  <c r="D6" i="2"/>
  <c r="B6" i="2"/>
</calcChain>
</file>

<file path=xl/sharedStrings.xml><?xml version="1.0" encoding="utf-8"?>
<sst xmlns="http://schemas.openxmlformats.org/spreadsheetml/2006/main" count="836" uniqueCount="416">
  <si>
    <t>GP journey feedback — V0-02 (12 Sep 2026). 14 GP-now items are Done. Column W is what actually shipped. Decision/Status now match the 1:1 notes (Do later / Won't do / Needs more info).</t>
  </si>
  <si>
    <t>Working file: GP-journey-feedback-tracker V0-02.xlsx. V0-01 is the 1:1 snapshot. Filter Status = Done for the GP drop.</t>
  </si>
  <si>
    <t>ID</t>
  </si>
  <si>
    <t>Decision (1:1)</t>
  </si>
  <si>
    <t>Status</t>
  </si>
  <si>
    <t>Owner</t>
  </si>
  <si>
    <t>Severity (discussion only)</t>
  </si>
  <si>
    <t>Kind</t>
  </si>
  <si>
    <t>Category</t>
  </si>
  <si>
    <t>Journey step</t>
  </si>
  <si>
    <t>Screen / component</t>
  </si>
  <si>
    <t>Device</t>
  </si>
  <si>
    <t>Phase hint</t>
  </si>
  <si>
    <t>Requested change</t>
  </si>
  <si>
    <t>Original wording</t>
  </si>
  <si>
    <t>Context / notes</t>
  </si>
  <si>
    <t>Screenshot</t>
  </si>
  <si>
    <t>Screenshot file(s)</t>
  </si>
  <si>
    <t>Source</t>
  </si>
  <si>
    <t>Reviewer</t>
  </si>
  <si>
    <t>Email date</t>
  </si>
  <si>
    <t>Original #</t>
  </si>
  <si>
    <t>1:1 outcome / notes</t>
  </si>
  <si>
    <t>GP action</t>
  </si>
  <si>
    <t>Shipped as built (V0-02)</t>
  </si>
  <si>
    <t>FB-01</t>
  </si>
  <si>
    <t>Do now</t>
  </si>
  <si>
    <t>Done</t>
  </si>
  <si>
    <t>Michael</t>
  </si>
  <si>
    <t>High</t>
  </si>
  <si>
    <t>Change request</t>
  </si>
  <si>
    <t>UX / data model</t>
  </si>
  <si>
    <t>Your money</t>
  </si>
  <si>
    <t>Savings &amp; investments field</t>
  </si>
  <si>
    <t>Desktop</t>
  </si>
  <si>
    <t>Shipped 12 Sep 2026</t>
  </si>
  <si>
    <t>Split savings and investments (do not combine)</t>
  </si>
  <si>
    <t>The savings and investment grow at different rates so they shouldn’t be combined together.</t>
  </si>
  <si>
    <t>Screenshot shows a single 'Savings &amp; investments' line (S$80,000) with a 'YOU CHANGED THIS' chip.</t>
  </si>
  <si>
    <t>S01_savings_investment_combined.png</t>
  </si>
  <si>
    <t>Saksham Bhardwaj — D2C Feedback</t>
  </si>
  <si>
    <t>Saksham Bhardwaj</t>
  </si>
  <si>
    <t>2026-09-11</t>
  </si>
  <si>
    <t>1</t>
  </si>
  <si>
    <t>By definition we should segregate consistently cash (short-term liquidity), savings (mid-term, fixed deposits, endowments), and investments (long-term, over 5 years, mutual funds, ETFs). However, in SV we only have two categories: cash/savings and investments. I suggest we stick with this logic. In GP we will rename accordingly.</t>
  </si>
  <si>
    <t>Shipped: asset class "Cash &amp; Savings" plus tooltip; "Savings and Investments" renamed to "Investments". People Like You splits 15% Cash &amp; Savings / 85% Investments. Edits are independent.</t>
  </si>
  <si>
    <t>Shipped 12 Sep 2026. Cash &amp; Savings vs Investments (15/85 PLY). Cash &amp; Savings is ring-fenced from plan affordability (with FB-10).</t>
  </si>
  <si>
    <t>FB-02</t>
  </si>
  <si>
    <t>Medium</t>
  </si>
  <si>
    <t>UX / animation</t>
  </si>
  <si>
    <t>Global chrome</t>
  </si>
  <si>
    <t>Explain / Hear CTA buttons</t>
  </si>
  <si>
    <t>Stop CTA pulse animation after 3–5 seconds</t>
  </si>
  <si>
    <t>The animation on these buttons is very distracting. The animations should stop 3-5 seconds.</t>
  </si>
  <si>
    <t>Two examples: 'Explain these figures' and landing 'Hear what you get'.</t>
  </si>
  <si>
    <t>S02a_button_animation.png, S02b_button_animation.png</t>
  </si>
  <si>
    <t>2</t>
  </si>
  <si>
    <t>Accepted</t>
  </si>
  <si>
    <t>Shipped: explainer pulse runs about two iterations, then stops.</t>
  </si>
  <si>
    <t>Shipped 12 Sep 2026. .x-play pulse is finite (~2 loops), not infinite.</t>
  </si>
  <si>
    <t>FB-03</t>
  </si>
  <si>
    <t>UX / content</t>
  </si>
  <si>
    <t>Your score</t>
  </si>
  <si>
    <t>Goals &amp; needs shortfall list</t>
  </si>
  <si>
    <t>Too many goals recommended — overwhelming</t>
  </si>
  <si>
    <t>Too Many goals recommended - very overwhelming</t>
  </si>
  <si>
    <t>Screenshot lists 5 shortfalls at once (Retirement S$3.9m through Savings S$22k).</t>
  </si>
  <si>
    <t>S03_too_many_goals.png</t>
  </si>
  <si>
    <t>3</t>
  </si>
  <si>
    <t>Shipped as 4 goals/needs (revised from the 1:1 cap of 3): 2 wealth protection (by gap) + 2 wealth growth, with Retirement always included.</t>
  </si>
  <si>
    <t>Shipped 12 Sep 2026. Score chips: 2 protection + 2 growth; Retirement is mandatory on the growth pair.</t>
  </si>
  <si>
    <t>FB-04</t>
  </si>
  <si>
    <t>Do later</t>
  </si>
  <si>
    <t>Not started</t>
  </si>
  <si>
    <t>Luca &amp; Luis</t>
  </si>
  <si>
    <t>Gap vs live</t>
  </si>
  <si>
    <t>Integration</t>
  </si>
  <si>
    <t>About you</t>
  </si>
  <si>
    <t>Insurance policy upload / OCR</t>
  </si>
  <si>
    <t>Next week (Luca &amp; Luis)</t>
  </si>
  <si>
    <t>OCR / document parse is mock — needs to actually work</t>
  </si>
  <si>
    <t>The OCR API does work - mock currently</t>
  </si>
  <si>
    <t>Reading as: OCR should work; it is mock today. Dialog shows 'Simulated for this prototype' with truncated values (Life Protectio / Great Easterr).</t>
  </si>
  <si>
    <t>S04_ocr_api_mock.png</t>
  </si>
  <si>
    <t>4a</t>
  </si>
  <si>
    <t>Not in this GP drop. Luca &amp; Luis next week.</t>
  </si>
  <si>
    <t>Not shipped. Owner Luca &amp; Luis.</t>
  </si>
  <si>
    <t>FB-05</t>
  </si>
  <si>
    <t>UX / layout</t>
  </si>
  <si>
    <t>Header: Assumptions + Tool tips + 5-step stepper</t>
  </si>
  <si>
    <t>Assumptions / tooltips should not compete with the 5 steps</t>
  </si>
  <si>
    <t>The Assumption and tooltip should not take same space/ size as the 5 steps, which makes it difficult to interpret the 5 steps for new user</t>
  </si>
  <si>
    <t>Email numbered this as a second '4'. Header shows Assumptions + Tool tips toggle at same visual weight as Start → Your plan.</t>
  </si>
  <si>
    <t>S05_assumptions_tooltip_stepper.png</t>
  </si>
  <si>
    <t>4b</t>
  </si>
  <si>
    <t>Shipped: stepper on the left of the top bar; Assumptions and Tool tips on the right.</t>
  </si>
  <si>
    <t>Shipped 12 Sep 2026. Header: stepper left; Assumptions + Tool tips right.</t>
  </si>
  <si>
    <t>FB-06</t>
  </si>
  <si>
    <t>Dual explainer CTAs</t>
  </si>
  <si>
    <t>Overlapping / duplicate explainer buttons — rethink positioning</t>
  </si>
  <si>
    <t>Same button - need to think about positioning</t>
  </si>
  <si>
    <t>'Explain your HappiU score' and 'Explain your goals and needs' overlap.</t>
  </si>
  <si>
    <t>S06_duplicate_button_position.png</t>
  </si>
  <si>
    <t>5</t>
  </si>
  <si>
    <t>Shipped: "Explain your goals and needs" sits under the goals list. Follow-up: the financial-health-ratio chip is below that button, not beside it.</t>
  </si>
  <si>
    <t>Shipped 12 Sep 2026. Goals explainer under the chips. Ratio chip stacked below: "N financial health ratio(s) need(s) attention".</t>
  </si>
  <si>
    <t>FB-07</t>
  </si>
  <si>
    <t>Needs more info</t>
  </si>
  <si>
    <t>Unassigned</t>
  </si>
  <si>
    <t>Bug / investigation</t>
  </si>
  <si>
    <t>Voice</t>
  </si>
  <si>
    <t>Voice / system audio explainer</t>
  </si>
  <si>
    <t>Retry / latency</t>
  </si>
  <si>
    <t>System audio explainer does not play (reviewer laptop?)</t>
  </si>
  <si>
    <t>When I use system audio to understand explanation- it doesn’t work for me. Maybe it’s just my laptop</t>
  </si>
  <si>
    <t>No screenshot. Confirm whether this is device-specific or a product bug before treating as a change.</t>
  </si>
  <si>
    <t>(no screenshot in email)</t>
  </si>
  <si>
    <t>—</t>
  </si>
  <si>
    <t>6</t>
  </si>
  <si>
    <t>Please retry. Wait 5 seconds for latency.</t>
  </si>
  <si>
    <t>Please retry. Wait 5 seconds for latency. No GP code change in V0-02.</t>
  </si>
  <si>
    <t>Not shipped. 1:1: retry; likely latency, not a product bug.</t>
  </si>
  <si>
    <t>FB-08</t>
  </si>
  <si>
    <t>Low</t>
  </si>
  <si>
    <t>Your plan</t>
  </si>
  <si>
    <t>HappiU uplift / gauge card</t>
  </si>
  <si>
    <t>Alignment on HappiU uplift card</t>
  </si>
  <si>
    <t>Some alignment required</t>
  </si>
  <si>
    <t>Gauge (99) vs '+38 HappiU uplift' copy; needle at 100 while score is 99.</t>
  </si>
  <si>
    <t>S07_alignment.png</t>
  </si>
  <si>
    <t>7</t>
  </si>
  <si>
    <t>Shipped: title "Your new HappiU Score" over the gauge; large +N then "uplift" on the right, left-aligned.</t>
  </si>
  <si>
    <t>Shipped 12 Sep 2026. Report hero: Your new HappiU Score + large uplift.</t>
  </si>
  <si>
    <t>FB-09</t>
  </si>
  <si>
    <t>Blocker</t>
  </si>
  <si>
    <t>Bug</t>
  </si>
  <si>
    <t>Scenario Visualizer — Cash inflow &amp; outflow</t>
  </si>
  <si>
    <t>Investigate</t>
  </si>
  <si>
    <t>Scenario Visualizer Internal Server Error — SV testing blocked</t>
  </si>
  <si>
    <t>The scenario visualiser throwing an error so couldn’t proceed with SV Testing</t>
  </si>
  <si>
    <t>Chart body shows {"detail":"Internal Server Error"}. Covering note: 'Couldn’t test SV as I was getting internal server error.'</t>
  </si>
  <si>
    <t>S08_sv_error.png</t>
  </si>
  <si>
    <t>8</t>
  </si>
  <si>
    <t>Checking and testing.</t>
  </si>
  <si>
    <t>Not shipped. Still to check/test the SV Internal Server Error.</t>
  </si>
  <si>
    <t>Not shipped. Investigate SV 500.</t>
  </si>
  <si>
    <t>FB-10</t>
  </si>
  <si>
    <t>Feature</t>
  </si>
  <si>
    <t>Protection / investment plan detail modal</t>
  </si>
  <si>
    <t>Add affordability indicator for protection and investment plans</t>
  </si>
  <si>
    <t>I dont have a view whether I am able to afford these protection and investment plans. A indicator somewhere would help.</t>
  </si>
  <si>
    <t>Critical illness cover modal shows sum assured / premium sliders and funded status, but no affordability vs income/cashflow.</t>
  </si>
  <si>
    <t>S09_affordability_indicator.png</t>
  </si>
  <si>
    <t>9</t>
  </si>
  <si>
    <t>Shipped: plan modal warns if monthly budget or investments (not Cash &amp; Savings) are exceeded. Affordability does not spend the Cash &amp; Savings pot.</t>
  </si>
  <si>
    <t>Shipped 12 Sep 2026. Affordability vs investments only; Cash &amp; Savings ring-fenced.</t>
  </si>
  <si>
    <t>FB-11</t>
  </si>
  <si>
    <t>UX / report</t>
  </si>
  <si>
    <t>Report</t>
  </si>
  <si>
    <t>HTML report — goals and gaps</t>
  </si>
  <si>
    <t>Report: reduce scrolling; keep goals/gaps in a well-formatted table</t>
  </si>
  <si>
    <t>Report looks good but some lots of scrolling is required. Can keep the goals and gaps in a table format for simplicity but my need to format the table to look good.</t>
  </si>
  <si>
    <t>Positive: report looks good. Ask is compactness + table polish (screenshot already shows a table).</t>
  </si>
  <si>
    <t>S10_report_scrolling.png</t>
  </si>
  <si>
    <t>10</t>
  </si>
  <si>
    <t>Shipped: report sections are expandable/collapsible (&lt;details&gt;).</t>
  </si>
  <si>
    <t>Shipped 12 Sep 2026. Report &lt;details&gt; collapse. Pairs with FB-30 jump links.</t>
  </si>
  <si>
    <t>FB-12</t>
  </si>
  <si>
    <t>Report header Close / Share</t>
  </si>
  <si>
    <t>Move Close / Share report buttons to top right</t>
  </si>
  <si>
    <t>Can move these button to top right - which is more natural than top left</t>
  </si>
  <si>
    <t>Screenshot: Close + Share report clustered top-left.</t>
  </si>
  <si>
    <t>S11_buttons_top_left.png</t>
  </si>
  <si>
    <t>11</t>
  </si>
  <si>
    <t>Shipped: Share report then "X Close" on the far right. Follow-up: Close icon and label stay on one line.</t>
  </si>
  <si>
    <t>Shipped 12 Sep 2026. Share + Close far right. Close is nowrap (icon + Close on one line).</t>
  </si>
  <si>
    <t>FB-13</t>
  </si>
  <si>
    <t>Start</t>
  </si>
  <si>
    <t>Landing / audio explainer</t>
  </si>
  <si>
    <t>Both</t>
  </si>
  <si>
    <t>Highlight '3-minute planning' as a D2C wow factor</t>
  </si>
  <si>
    <t>3min planning is at end in page as well as audio explainer, for D2C customer it could be a wow factor so if it could be highlighted</t>
  </si>
  <si>
    <t>Positive context from same email: voice explainer, page-real-estate explainer, and video summary are 'superb'.</t>
  </si>
  <si>
    <t>GP notes (mobile) — Gp.msg</t>
  </si>
  <si>
    <t>Captured in Gp.msg (Michael Gerber mailbox)</t>
  </si>
  <si>
    <t>Shipped beside Start my plan, two lines, no blue pill: "Your plan in 3 min." / "No sign up. No mobile number."</t>
  </si>
  <si>
    <t>Shipped 12 Sep 2026. Intro tag next to Start; two lines; no blue pill.</t>
  </si>
  <si>
    <t>FB-14</t>
  </si>
  <si>
    <t>Speak-button transcript</t>
  </si>
  <si>
    <t>Mobile only</t>
  </si>
  <si>
    <t>Further testing</t>
  </si>
  <si>
    <t>Transcript repeats words (not as spoken) — mobile only</t>
  </si>
  <si>
    <t>The transcript shown on UI from the speak button has repeated words not as spoken - *only on mobile*</t>
  </si>
  <si>
    <t>Email preface: ignore phone-only items if we are not optimizing for phone now.</t>
  </si>
  <si>
    <t>Not shipped. Further testing required (mobile).</t>
  </si>
  <si>
    <t>Not shipped. Mobile-only; further testing.</t>
  </si>
  <si>
    <t>FB-15</t>
  </si>
  <si>
    <t>Voice-to-text intake</t>
  </si>
  <si>
    <t>Voice-to-text misses residency / dependents unless keywords are said</t>
  </si>
  <si>
    <t>observed *only on Mobile* -voice to text needs a bit of improvement as it picks some keyword I guess like citizen for residency, dependent are not picked till I say relationship</t>
  </si>
  <si>
    <t>Phone-only. Mapping seems keyword-triggered rather than natural speech.</t>
  </si>
  <si>
    <t>FB-16</t>
  </si>
  <si>
    <t>Enhancement</t>
  </si>
  <si>
    <t>Voice / feature</t>
  </si>
  <si>
    <t>Mira voice intake</t>
  </si>
  <si>
    <t>Two-way voice: Mira asks for missing details</t>
  </si>
  <si>
    <t>if we can two way the voice would become more interesting ( Mira asks for details - please share residency status)</t>
  </si>
  <si>
    <t>Enhancement, not a defect.</t>
  </si>
  <si>
    <t>4</t>
  </si>
  <si>
    <t>FB-17</t>
  </si>
  <si>
    <t>Voice intake → Next</t>
  </si>
  <si>
    <t>Cannot proceed after voice fill until classic data-entry is toggled</t>
  </si>
  <si>
    <t>Observed *only on phone* - even all details picked from voice - it didn't allow me to proceed to next steps(shows we fill once u pause) ( when triggered on and off classic data entry it picked)</t>
  </si>
  <si>
    <t>Phone-only blocker for a voice-first path. Workaround: toggle classic data entry.</t>
  </si>
  <si>
    <t>FB-18</t>
  </si>
  <si>
    <t>Won't do</t>
  </si>
  <si>
    <t>Bug / performance</t>
  </si>
  <si>
    <t>Voice explainer</t>
  </si>
  <si>
    <t>Lag on the voice explainer</t>
  </si>
  <si>
    <t>observed a bit of lag on the voice explainer</t>
  </si>
  <si>
    <t>No GP change. Lag is from current low-cost infra.</t>
  </si>
  <si>
    <t>Not shipped. 1:1: no action; infra lag.</t>
  </si>
  <si>
    <t>FB-19</t>
  </si>
  <si>
    <t>Add pause on voice explainer</t>
  </si>
  <si>
    <t>can add a pause button on voice explainer as people would.like to grasp what is getting told while explaining needs and goals</t>
  </si>
  <si>
    <t>Shipped: pause/resume on the explainer button. Browser TTS prefers a female voice (Microsoft Zira on this Windows machine).</t>
  </si>
  <si>
    <t>Shipped 12 Sep 2026. Pause/resume on NarrBtn. Female TTS preferred when available.</t>
  </si>
  <si>
    <t>FB-20</t>
  </si>
  <si>
    <t>Content / voice</t>
  </si>
  <si>
    <t>Goals / needs audio explainer</t>
  </si>
  <si>
    <t>TBD</t>
  </si>
  <si>
    <t>Start goal explainer with why people like you prioritise these needs</t>
  </si>
  <si>
    <t>I feel if we start audio goal explainer with why these needs not just people like u but why people like u prioritise these things - could be confidence building</t>
  </si>
  <si>
    <t>TBD. Not clear what is meant.</t>
  </si>
  <si>
    <t>None. 1:1: not clear what is meant.</t>
  </si>
  <si>
    <t>Not shipped. TBD — meaning unclear.</t>
  </si>
  <si>
    <t>FB-21</t>
  </si>
  <si>
    <t>UX / ranking</t>
  </si>
  <si>
    <t>Need listing / ranking</t>
  </si>
  <si>
    <t>Rank needs by relevance, not gap amount alone</t>
  </si>
  <si>
    <t>currently the need listing seems be on gap amount - the priority could be changed with relevance rather than amount alone - ex critical illness could eat current savings hence should be top priority</t>
  </si>
  <si>
    <t>Related to FB-03 (too many goals). Ranking vs quantity are separate 1:1 decisions.</t>
  </si>
  <si>
    <t>Not accepted. By reducing to a maximum of 3 needs/goals, further prioritisation is not needed.</t>
  </si>
  <si>
    <t>None. 1:1: not accepted; fewer goals (FB-03) replaces extra ranking.</t>
  </si>
  <si>
    <t>Not shipped. Won't do. Ranking left as-is; FB-03 cap (now 4) is the control.</t>
  </si>
  <si>
    <t>FB-22</t>
  </si>
  <si>
    <t>Content</t>
  </si>
  <si>
    <t>Financial ratios</t>
  </si>
  <si>
    <t>Explain how financial ratios are arrived at (or a separate explainer)</t>
  </si>
  <si>
    <t>should we add how we have arrived at the financial ratio? Or A seperate explainer for ratio?</t>
  </si>
  <si>
    <t>Shipped: (i) InfoTip on each ratio. Follow-up: summary chip "N financial health ratio(s) need(s) attention" (green if all 6 good, amber 1–3, red more than 3), placed under the goals explainer.</t>
  </si>
  <si>
    <t>Shipped 12 Sep 2026. Ratio (i) tips + colour-coded summary chip under Explain your goals and needs.</t>
  </si>
  <si>
    <t>FB-23</t>
  </si>
  <si>
    <t>UX</t>
  </si>
  <si>
    <t>Inline figure edit</t>
  </si>
  <si>
    <t>Save to persist edits; X / close = discard</t>
  </si>
  <si>
    <t>while editing any figure can we add a save button to Persist changes , cross can be taken as discard</t>
  </si>
  <si>
    <t>Not accepted. The idea is not to capture the details until you want to get the report. Then persistence will be given.</t>
  </si>
  <si>
    <t>None. 1:1: not accepted. Persist when the report is requested, not on every figure edit.</t>
  </si>
  <si>
    <t>Not shipped. Won't do.</t>
  </si>
  <si>
    <t>FB-24</t>
  </si>
  <si>
    <t>Bug / calc</t>
  </si>
  <si>
    <t>Insurance cover vs gap calculation</t>
  </si>
  <si>
    <t>Changing insurance cover amount is not reflected in the gap</t>
  </si>
  <si>
    <t>changing insurance cover amount is not getting accounted for gap amount calculation</t>
  </si>
  <si>
    <t>Looks like a calculation / mapping bug, not cosmetic.</t>
  </si>
  <si>
    <t>12</t>
  </si>
  <si>
    <t>Not shipped. Further testing required (cover vs gap).</t>
  </si>
  <si>
    <t>Not shipped. Investigate cover vs gap.</t>
  </si>
  <si>
    <t>FB-25</t>
  </si>
  <si>
    <t>Voice / UX</t>
  </si>
  <si>
    <t>Goals audio explainer</t>
  </si>
  <si>
    <t>Auto open / close / highlight the goal being discussed in audio</t>
  </si>
  <si>
    <t>while audio explains goals would becomes nicer if system auto opens/close or highligh the goal getting discussed</t>
  </si>
  <si>
    <t>13</t>
  </si>
  <si>
    <t>FB-26</t>
  </si>
  <si>
    <t>Scenario Visualizer page explainer tooltip</t>
  </si>
  <si>
    <t>Adjust Scenario Visualizer page-explainer tooltip (cosmetic)</t>
  </si>
  <si>
    <t>cosmetic - scenario visualizer page explainer(tooltip) need to be adjusted</t>
  </si>
  <si>
    <t>Blocked in practice until FB-09 (SV 500) is resolved; Saksham could not test SV.</t>
  </si>
  <si>
    <t>14</t>
  </si>
  <si>
    <t>Shipped: Scenario Visualizer page-explainer tooltip spacing; no longer jammed with "With this plan".</t>
  </si>
  <si>
    <t>Shipped 12 Sep 2026. SV title InfoTip spacing.</t>
  </si>
  <si>
    <t>FB-27</t>
  </si>
  <si>
    <t>Voice / SV</t>
  </si>
  <si>
    <t>SV graph + explainer</t>
  </si>
  <si>
    <t>Next phase</t>
  </si>
  <si>
    <t>Next phase: SV explainer auto-adjusts / highlights the graph</t>
  </si>
  <si>
    <t>not sure how complex this could be - in next phase if we make sv explainer with auto adjusting/highlighting the graph</t>
  </si>
  <si>
    <t>Reviewer already tagged this as next phase.</t>
  </si>
  <si>
    <t>15</t>
  </si>
  <si>
    <t>None. Tagged next phase; meaning still TBD.</t>
  </si>
  <si>
    <t>Not shipped. Next phase / TBD.</t>
  </si>
  <si>
    <t>FB-28</t>
  </si>
  <si>
    <t>Feature / video</t>
  </si>
  <si>
    <t>Video explainer</t>
  </si>
  <si>
    <t>Add a report section on the video explainer</t>
  </si>
  <si>
    <t>is it possible to add a report section on the video explainer will make the explainer out of world</t>
  </si>
  <si>
    <t>Positive: video summary called superb in the same email.</t>
  </si>
  <si>
    <t>16</t>
  </si>
  <si>
    <t>Not in this GP drop. Luca &amp; Luis next week (video chapter).</t>
  </si>
  <si>
    <t>FB-29</t>
  </si>
  <si>
    <t>Share button vs video</t>
  </si>
  <si>
    <t>Move Share button to just below the video</t>
  </si>
  <si>
    <t>share button can be moved just below video</t>
  </si>
  <si>
    <t>Related to FB-12 (Share currently top-left on report).</t>
  </si>
  <si>
    <t>17</t>
  </si>
  <si>
    <t>Not accepted. Moved in accordance with Saksham: the share button to the right side.</t>
  </si>
  <si>
    <t>None. 1:1: not accepted. Share stays on the right with Close (FB-12).</t>
  </si>
  <si>
    <t>Not shipped. Won't do. Share stays top-right with Close.</t>
  </si>
  <si>
    <t>FB-30</t>
  </si>
  <si>
    <t>HTML report</t>
  </si>
  <si>
    <t>Add a report header / jump links to sections</t>
  </si>
  <si>
    <t>since the report is in HTML - can we add a header to jump on relevant sections</t>
  </si>
  <si>
    <t>Pairs with FB-11 (too much scrolling).</t>
  </si>
  <si>
    <t>18</t>
  </si>
  <si>
    <t>Shipped: jump links in the HTML report header to the main sections.</t>
  </si>
  <si>
    <t>Shipped 12 Sep 2026. Report jump nav. Pairs with FB-11.</t>
  </si>
  <si>
    <t>GP journey feedback tracker — V0-02</t>
  </si>
  <si>
    <t>V0-02 (12 Sep 2026): 14 GP-now items are implemented (Status = Done, Owner = Michael). Column W on Tracker records what shipped, including follow-ups (4 goals, ratio chip copy/placement, Close on one line). Luca &amp; Luis items are Decision = Do later. Rejected items are Won't do.</t>
  </si>
  <si>
    <t>Purpose</t>
  </si>
  <si>
    <t>Use this file in the 1:1 to accept, defer, or drop each request, then track delivery.</t>
  </si>
  <si>
    <t>Do not treat Severity as a decision</t>
  </si>
  <si>
    <t>Severity is only a discussion aid from the email tone (Blocker / High / Medium / Low). You set Decision.</t>
  </si>
  <si>
    <t>Phone-only items</t>
  </si>
  <si>
    <t>Gp.msg says some observations were phone-only and can be ignored if mobile is out of scope. Those rows are tagged Device = Mobile only.</t>
  </si>
  <si>
    <t>Where to work</t>
  </si>
  <si>
    <t>Primary sheet: Tracker (filters on). Dashboard counts update from Decision and Status. Screenshots holds the full-size clippings.</t>
  </si>
  <si>
    <t>How to update</t>
  </si>
  <si>
    <t>On Tracker set Decision, then Status / Owner / 1:1 outcome. Do not change ID. Original wording stays verbatim.</t>
  </si>
  <si>
    <t>Images</t>
  </si>
  <si>
    <t>Saksham’s 12 screenshots are embedded on Tracker and Screenshots. Full-resolution PNGs also sit in GP/docs/feedback-screenshots/.</t>
  </si>
  <si>
    <t>Positive comments kept</t>
  </si>
  <si>
    <t>Saksham: report looks good. Gp.msg: overall flow interesting; voice explainer, page-real-estate explainer, and video summary are superb.</t>
  </si>
  <si>
    <t>Source emails</t>
  </si>
  <si>
    <t>Email file</t>
  </si>
  <si>
    <t>Subject</t>
  </si>
  <si>
    <t>From</t>
  </si>
  <si>
    <t>To / Cc</t>
  </si>
  <si>
    <t>Date</t>
  </si>
  <si>
    <t>Items in tracker</t>
  </si>
  <si>
    <t>C:\Users\micha\Downloads\D2C Feedback.msg</t>
  </si>
  <si>
    <t>D2C Feedback</t>
  </si>
  <si>
    <t>Saksham Bhardwaj &lt;saksham.bhardwaj@360f.com&gt;</t>
  </si>
  <si>
    <t>To: Michael Gerber; Cc: Misook Hong, Vamshi Prasad</t>
  </si>
  <si>
    <t>2026-09-11 15:31 +02:00</t>
  </si>
  <si>
    <t>FB-01 … FB-12 (12 items, 12 screenshots)</t>
  </si>
  <si>
    <t>C:\Users\micha\Downloads\Gp.msg</t>
  </si>
  <si>
    <t>Gp</t>
  </si>
  <si>
    <t>Michael Gerber &lt;michael.gerber@360f.com&gt; (sent to self)</t>
  </si>
  <si>
    <t>To: Michael Gerber</t>
  </si>
  <si>
    <t>2026-09-11 20:05 +02:00</t>
  </si>
  <si>
    <t>FB-13 … FB-30 (18 items, no screenshots)</t>
  </si>
  <si>
    <t>Suggested 1:1 order (not a decision)</t>
  </si>
  <si>
    <t>1. Blockers / bugs first: FB-09 SV 500, FB-24 cover vs gap, FB-17 voice cannot proceed (if mobile in scope), FB-04 OCR mock.</t>
  </si>
  <si>
    <t>2. Product shape: FB-01 split savings/investments, FB-03 too many goals, FB-21 rank by relevance, FB-10 affordability.</t>
  </si>
  <si>
    <t>3. Explainer UX: FB-02 animation, FB-06 overlapping CTAs, FB-05 stepper vs assumptions, FB-19 pause, FB-18 lag, FB-07 audio.</t>
  </si>
  <si>
    <t>4. Report / video: FB-11 table polish, FB-12 / FB-29 share placement, FB-30 jump links, FB-28 video report section.</t>
  </si>
  <si>
    <t>5. Explicit next-phase / mobile-skip candidates: FB-27 graph highlight; FB-14 / FB-15 / FB-17 if phone is out of scope.</t>
  </si>
  <si>
    <t>Status board — V0-02. Counts update from Tracker Decision / Status.</t>
  </si>
  <si>
    <t>14 Done = the GP-now drop. Open in Excel so formulas calculate. Filter Tracker Status = Done, or column W starting with Shipped.</t>
  </si>
  <si>
    <t>Total items</t>
  </si>
  <si>
    <t>Still pending 1:1</t>
  </si>
  <si>
    <t>Decided Do now</t>
  </si>
  <si>
    <t>By Decision</t>
  </si>
  <si>
    <t>By Status</t>
  </si>
  <si>
    <t>By source</t>
  </si>
  <si>
    <t>Decision</t>
  </si>
  <si>
    <t>Count</t>
  </si>
  <si>
    <t>Pending 1:1</t>
  </si>
  <si>
    <t>Saksham (desktop D2C)</t>
  </si>
  <si>
    <t>In progress</t>
  </si>
  <si>
    <t>GP notes / mobile email</t>
  </si>
  <si>
    <t>Blocked</t>
  </si>
  <si>
    <t>By journey step</t>
  </si>
  <si>
    <t>By severity (discussion aid)</t>
  </si>
  <si>
    <t>Flags</t>
  </si>
  <si>
    <t>Step</t>
  </si>
  <si>
    <t>Severity</t>
  </si>
  <si>
    <t>Flag</t>
  </si>
  <si>
    <t>Bugs</t>
  </si>
  <si>
    <t>Reviewer said next phase</t>
  </si>
  <si>
    <t>Has screenshot</t>
  </si>
  <si>
    <t>Screenshots from Saksham’s D2C Feedback email (12 images across 11 items)</t>
  </si>
  <si>
    <t>Gp.msg had no attachments. Full-resolution files: GP/docs/feedback-screenshots/</t>
  </si>
  <si>
    <t>ID / item</t>
  </si>
  <si>
    <t>Requested change + original wording</t>
  </si>
  <si>
    <t>FB-01
email #1
Your money</t>
  </si>
  <si>
    <t>Split savings and investments (do not combine)
Original: The savings and investment grow at different rates so they shouldn’t be combined together.
Screenshot shows a single 'Savings &amp; investments' line (S$80,000) with a 'YOU CHANGED THIS' chip.
File: S01_savings_investment_combined.png</t>
  </si>
  <si>
    <t>FB-02 (1/2)
email #2
Global chrome</t>
  </si>
  <si>
    <t>Stop CTA pulse animation after 3–5 seconds
Original: The animation on these buttons is very distracting. The animations should stop 3-5 seconds.
Two examples: 'Explain these figures' and landing 'Hear what you get'.
File: S02a_button_animation.png</t>
  </si>
  <si>
    <t>FB-02 (2/2)
email #2
Global chrome</t>
  </si>
  <si>
    <t>Stop CTA pulse animation after 3–5 seconds
Original: The animation on these buttons is very distracting. The animations should stop 3-5 seconds.
Two examples: 'Explain these figures' and landing 'Hear what you get'.
File: S02b_button_animation.png</t>
  </si>
  <si>
    <t>FB-03
email #3
Your score</t>
  </si>
  <si>
    <t>Too many goals recommended — overwhelming
Original: Too Many goals recommended - very overwhelming
Screenshot lists 5 shortfalls at once (Retirement S$3.9m through Savings S$22k).
File: S03_too_many_goals.png</t>
  </si>
  <si>
    <t>FB-04
email #4a
About you</t>
  </si>
  <si>
    <t>OCR / document parse is mock — needs to actually work
Original: The OCR API does work - mock currently
Reading as: OCR should work; it is mock today. Dialog shows 'Simulated for this prototype' with truncated values (Life Protectio / Great Easterr).
File: S04_ocr_api_mock.png</t>
  </si>
  <si>
    <t>FB-05
email #4b
Global chrome</t>
  </si>
  <si>
    <t>Assumptions / tooltips should not compete with the 5 steps
Original: The Assumption and tooltip should not take same space/ size as the 5 steps, which makes it difficult to interpret the 5 steps for new user
Email numbered this as a second '4'. Header shows Assumptions + Tool tips toggle at same visual weight as Start → Your plan.
File: S05_assumptions_tooltip_stepper.png</t>
  </si>
  <si>
    <t>FB-06
email #5
Your score</t>
  </si>
  <si>
    <t>Overlapping / duplicate explainer buttons — rethink positioning
Original: Same button - need to think about positioning
'Explain your HappiU score' and 'Explain your goals and needs' overlap.
File: S06_duplicate_button_position.png</t>
  </si>
  <si>
    <t>FB-08
email #7
Your plan</t>
  </si>
  <si>
    <t>Alignment on HappiU uplift card
Original: Some alignment required
Gauge (99) vs '+38 HappiU uplift' copy; needle at 100 while score is 99.
File: S07_alignment.png</t>
  </si>
  <si>
    <t>FB-09
email #8
Your plan</t>
  </si>
  <si>
    <t>Scenario Visualizer Internal Server Error — SV testing blocked
Original: The scenario visualiser throwing an error so couldn’t proceed with SV Testing
Chart body shows {"detail":"Internal Server Error"}. Covering note: 'Couldn’t test SV as I was getting internal server error.'
File: S08_sv_error.png</t>
  </si>
  <si>
    <t>FB-10
email #9
Your plan</t>
  </si>
  <si>
    <t>Add affordability indicator for protection and investment plans
Original: I dont have a view whether I am able to afford these protection and investment plans. A indicator somewhere would help.
Critical illness cover modal shows sum assured / premium sliders and funded status, but no affordability vs income/cashflow.
File: S09_affordability_indicator.png</t>
  </si>
  <si>
    <t>FB-11
email #10
Report</t>
  </si>
  <si>
    <t>Report: reduce scrolling; keep goals/gaps in a well-formatted table
Original: Report looks good but some lots of scrolling is required. Can keep the goals and gaps in a table format for simplicity but my need to format the table to look good.
Positive: report looks good. Ask is compactness + table polish (screenshot already shows a table).
File: S10_report_scrolling.png</t>
  </si>
  <si>
    <t>FB-12
email #11
Report</t>
  </si>
  <si>
    <t>Move Close / Share report buttons to top right
Original: Can move these button to top right - which is more natural than top left
Screenshot: Close + Share report clustered top-left.
File: S11_buttons_top_left.png</t>
  </si>
  <si>
    <t>Verbatim notes from the two emails (encoding cleaned)</t>
  </si>
  <si>
    <t>D2C Feedback — Saksham Bhardwaj</t>
  </si>
  <si>
    <t>Hi Michael,
I did some testing for D2C so sharing some feedback. Couldn’t test SV as I was getting internal server error.
1. The savings and investment grow at different rates so they shouldn’t be combined together.
2. The animation on these buttons is very distracting. The animations should stop 3-5 seconds.
3. Too Many goals recommended - very overwhelming
4a. The OCR API does work - mock currently
4b. The Assumption and tooltip should not take same space/ size as the 5 steps, which makes it difficult to interpret the 5 steps for new user
5. Same button - need to think about positioning
6. When I use system audio to understand explanation- it doesn’t work for me. Maybe it’s just my laptop
7. Some alignment required
8. The scenario visualiser throwing an error so couldn’t proceed with SV Testing
9. I dont have a view whether I am able to afford these protection and investment plans. A indicator somewhere would help.
10. Report looks good but some lots of scrolling is required. Can keep the goals and gaps in a table format for simplicity but my need to format the table to look good.
11. Can move these button to top right - which is more natural than top left</t>
  </si>
  <si>
    <t>Gp — captured 2026-09-11 20:05 (Michael Gerber mailbox)</t>
  </si>
  <si>
    <t>Overall flow is interesting specially the voice explainer, page real estate explainer and video summary is superb
Some quick suggestions , somewhere observed on phone inly so please ignore if we need not optimize for phone now
1) 3min planning is at end in page as well as audio explainer, for D2C customer it could be a wow factor so if it could be highlighted
2) The transcript shown on UI from the speak button has repeated words not as spoken - *only on mobile*
3) observed *only on Mobile* -voice to text needs a bit of improvement as it picks some keyword I guess like citizen for residency, dependent are not picked till I say relationship
4) if we can two way the voice would become more interesting ( Mira asks for details - please share residency status)
5) Observed *only on phone* - even all details picked from voice - it didn't allow me to proceed to next steps(shows we fill once u pause) ( when triggered on and off classic data entry it picked)
6) observed a bit of lag on the voice explainer
7) can add a pause button on voice explainer as people would.like to grasp what is getting told while explaining needs and goals
8) I feel if we start audio goal explainer with why these needs not just people like u but why people like u prioritise these things - could be confidence building
9) currently the need listing seems be on gap amount - the priority could be changed with relevance rather than amount alone - ex critical illness could eat current savings hence should be top priority
10) should we add how we have arrived at the financial ratio? Or A seperate explainer for ratio?
11) while editing any figure can we add a save button to Persist changes , cross can be taken as discard
12) changing insurance cover amount is not getting accounted for gap amount calculation
13) while audio explains goals would becomes nicer if system auto opens/close or highligh the goal getting discussed
14) cosmetic - scenario visualizer page explainer(tooltip) need to be adjusted
15) not sure how complex this could be - in next phase if we make sv explainer with auto adjusting/highlighting the graph
16) is it possible to add a report section on the video explainer will make the explainer out of world
17) share button can be moved just below video
18) since the report is in HTML - can we add a header to jump on relevant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</si>
</sst>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22"/>
      <color rgb="FF1B365D"/>
      <name val="Calibri"/>
    </font>
    <font>
      <i/>
      <sz val="12"/>
      <color rgb="FF6B7280"/>
      <name val="Calibri"/>
    </font>
    <font>
      <b/>
      <sz val="11"/>
      <color rgb="FF1B365D"/>
      <name val="Calibri"/>
    </font>
    <font>
      <sz val="11"/>
      <color rgb="FF1F2937"/>
      <name val="Calibri"/>
    </font>
    <font>
      <b/>
      <sz val="14"/>
      <color rgb="FF1B365D"/>
      <name val="Calibri"/>
    </font>
    <font>
      <b/>
      <sz val="10"/>
      <color rgb="FFFFFFFF"/>
      <name val="Calibri"/>
    </font>
    <font>
      <sz val="10"/>
      <name val="Calibri"/>
    </font>
    <font>
      <sz val="11"/>
      <name val="Calibri"/>
    </font>
    <font>
      <b/>
      <sz val="18"/>
      <color rgb="FF1B365D"/>
      <name val="Calibri"/>
    </font>
    <font>
      <i/>
      <sz val="11"/>
      <color rgb="FF6B7280"/>
      <name val="Calibri"/>
    </font>
    <font>
      <b/>
      <sz val="13"/>
      <color rgb="FF1B365D"/>
      <name val="Calibri"/>
    </font>
    <font>
      <b/>
      <sz val="13"/>
      <color rgb="FFFFFFFF"/>
      <name val="Calibri"/>
    </font>
    <font>
      <b/>
      <sz val="11"/>
      <color rgb="FFFFFFFF"/>
      <name val="Calibri"/>
    </font>
    <font>
      <b/>
      <sz val="12"/>
      <color rgb="FF1B365D"/>
      <name val="Calibri"/>
    </font>
    <font>
      <b/>
      <sz val="11"/>
      <color rgb="FF00B050"/>
      <name val="Calibri"/>
      <family val="2"/>
    </font>
    <font>
      <sz val="11"/>
      <color rgb="FF00B050"/>
      <name val="Calibri"/>
      <family val="2"/>
      <scheme val="minor"/>
    </font>
    <font>
      <b/>
      <sz val="11"/>
      <color rgb="FFFFFFFF"/>
      <name val="Calibri"/>
      <family val="2"/>
    </font>
    <font>
      <i/>
      <sz val="11"/>
      <color rgb="FF374151"/>
      <name val="Calibri"/>
      <family val="2"/>
    </font>
    <font>
      <sz val="11"/>
      <color rgb="FF00B050"/>
      <name val="Calibri"/>
      <family val="2"/>
    </font>
    <font>
      <i/>
      <sz val="11"/>
      <color rgb="FF00B050"/>
      <name val="Calibri"/>
      <family val="2"/>
    </font>
    <font>
      <b/>
      <sz val="11"/>
      <color rgb="FF1B365D"/>
      <name val="Calibri"/>
      <family val="2"/>
    </font>
    <font>
      <sz val="11"/>
      <color rgb="FF1F2937"/>
      <name val="Calibri"/>
      <family val="2"/>
    </font>
    <font>
      <b/>
      <sz val="11"/>
      <color rgb="FF111827"/>
      <name val="Calibri"/>
      <family val="2"/>
    </font>
    <font>
      <i/>
      <sz val="11"/>
      <color rgb="FF6B7280"/>
      <name val="Calibri"/>
      <family val="2"/>
    </font>
  </fonts>
  <fills count="7">
    <fill>
      <patternFill patternType="none"/>
    </fill>
    <fill>
      <patternFill patternType="gray125"/>
    </fill>
    <fill>
      <patternFill patternType="solid">
        <fgColor rgb="FFF4F7FB"/>
      </patternFill>
    </fill>
    <fill>
      <patternFill patternType="solid">
        <fgColor rgb="FF1B365D"/>
      </patternFill>
    </fill>
    <fill>
      <patternFill patternType="solid">
        <fgColor rgb="FF243F73"/>
      </patternFill>
    </fill>
    <fill>
      <patternFill patternType="solid">
        <fgColor rgb="FFFFFFFF"/>
      </patternFill>
    </fill>
    <fill>
      <patternFill patternType="solid">
        <fgColor rgb="FFFFF4CC"/>
      </patternFill>
    </fill>
  </fills>
  <borders count="4">
    <border>
      <left/>
      <right/>
      <top/>
      <bottom/>
      <diagonal/>
    </border>
    <border>
      <left style="thin">
        <color rgb="FFD0D7E2"/>
      </left>
      <right style="thin">
        <color rgb="FFD0D7E2"/>
      </right>
      <top style="thin">
        <color rgb="FFD0D7E2"/>
      </top>
      <bottom style="thin">
        <color rgb="FFD0D7E2"/>
      </bottom>
      <diagonal/>
    </border>
    <border>
      <left/>
      <right/>
      <top style="thin">
        <color rgb="FFD0D7E2"/>
      </top>
      <bottom style="thin">
        <color rgb="FFD0D7E2"/>
      </bottom>
      <diagonal/>
    </border>
    <border>
      <left/>
      <right style="thin">
        <color rgb="FFD0D7E2"/>
      </right>
      <top style="thin">
        <color rgb="FFD0D7E2"/>
      </top>
      <bottom style="thin">
        <color rgb="FFD0D7E2"/>
      </bottom>
      <diagonal/>
    </border>
  </borders>
  <cellStyleXfs count="1">
    <xf numFmtId="0" fontId="0" fillId="0" borderId="0"/>
  </cellStyleXfs>
  <cellXfs count="53">
    <xf numFmtId="0" fontId="0" fillId="0" borderId="0" xfId="0"/>
    <xf numFmtId="0" fontId="6" fillId="3" borderId="0" xfId="0" applyFont="1" applyFill="1" applyAlignment="1">
      <alignment horizontal="center" vertical="center" wrapText="1"/>
    </xf>
    <xf numFmtId="0" fontId="7" fillId="0" borderId="1" xfId="0" applyFont="1" applyBorder="1" applyAlignment="1">
      <alignment vertical="center" wrapText="1"/>
    </xf>
    <xf numFmtId="0" fontId="6" fillId="4" borderId="1" xfId="0" applyFont="1" applyFill="1" applyBorder="1" applyAlignment="1">
      <alignment horizontal="center"/>
    </xf>
    <xf numFmtId="0" fontId="8" fillId="2" borderId="1" xfId="0" applyFont="1" applyFill="1" applyBorder="1" applyAlignment="1">
      <alignment vertical="center"/>
    </xf>
    <xf numFmtId="0" fontId="3" fillId="2" borderId="1" xfId="0" applyFont="1" applyFill="1" applyBorder="1" applyAlignment="1">
      <alignment horizontal="center" vertical="center"/>
    </xf>
    <xf numFmtId="0" fontId="8" fillId="5" borderId="1" xfId="0" applyFont="1" applyFill="1" applyBorder="1" applyAlignment="1">
      <alignment vertical="center"/>
    </xf>
    <xf numFmtId="0" fontId="3" fillId="5" borderId="1" xfId="0" applyFont="1" applyFill="1" applyBorder="1" applyAlignment="1">
      <alignment horizontal="center" vertical="center"/>
    </xf>
    <xf numFmtId="0" fontId="13" fillId="3" borderId="1" xfId="0" applyFont="1" applyFill="1" applyBorder="1" applyAlignment="1">
      <alignment horizontal="center" vertical="center"/>
    </xf>
    <xf numFmtId="0" fontId="0" fillId="5" borderId="1" xfId="0" applyFill="1" applyBorder="1"/>
    <xf numFmtId="0" fontId="8" fillId="2" borderId="1" xfId="0" applyFont="1" applyFill="1" applyBorder="1" applyAlignment="1">
      <alignment vertical="center" wrapText="1"/>
    </xf>
    <xf numFmtId="0" fontId="0" fillId="0" borderId="0" xfId="0"/>
    <xf numFmtId="0" fontId="1" fillId="0" borderId="0" xfId="0" applyFont="1"/>
    <xf numFmtId="0" fontId="4" fillId="2" borderId="1" xfId="0" applyFont="1" applyFill="1" applyBorder="1" applyAlignment="1">
      <alignment vertical="center" wrapText="1"/>
    </xf>
    <xf numFmtId="0" fontId="0" fillId="0" borderId="2" xfId="0" applyBorder="1"/>
    <xf numFmtId="0" fontId="0" fillId="0" borderId="3" xfId="0" applyBorder="1"/>
    <xf numFmtId="0" fontId="3" fillId="2" borderId="1" xfId="0" applyFont="1" applyFill="1" applyBorder="1" applyAlignment="1">
      <alignment vertical="center" wrapText="1"/>
    </xf>
    <xf numFmtId="0" fontId="8" fillId="0" borderId="0" xfId="0" applyFont="1" applyAlignment="1">
      <alignment vertical="center" wrapText="1"/>
    </xf>
    <xf numFmtId="0" fontId="5" fillId="0" borderId="0" xfId="0" applyFont="1"/>
    <xf numFmtId="0" fontId="2" fillId="0" borderId="0" xfId="0" applyFont="1" applyAlignment="1">
      <alignment wrapText="1"/>
    </xf>
    <xf numFmtId="0" fontId="1" fillId="2" borderId="1" xfId="0" applyFont="1" applyFill="1" applyBorder="1" applyAlignment="1">
      <alignment horizontal="center" vertical="center"/>
    </xf>
    <xf numFmtId="0" fontId="6" fillId="3" borderId="0" xfId="0" applyFont="1" applyFill="1" applyAlignment="1">
      <alignment horizontal="center" vertical="center"/>
    </xf>
    <xf numFmtId="0" fontId="9" fillId="0" borderId="0" xfId="0" applyFont="1"/>
    <xf numFmtId="0" fontId="10" fillId="0" borderId="0" xfId="0" applyFont="1"/>
    <xf numFmtId="0" fontId="11" fillId="0" borderId="0" xfId="0" applyFont="1"/>
    <xf numFmtId="0" fontId="14" fillId="2" borderId="1" xfId="0" applyFont="1" applyFill="1" applyBorder="1" applyAlignment="1">
      <alignment horizontal="center" vertical="center" wrapText="1"/>
    </xf>
    <xf numFmtId="0" fontId="12" fillId="3" borderId="0" xfId="0" applyFont="1" applyFill="1"/>
    <xf numFmtId="0" fontId="8" fillId="0" borderId="1" xfId="0" applyFont="1" applyBorder="1" applyAlignment="1">
      <alignment vertical="top" wrapText="1"/>
    </xf>
    <xf numFmtId="0" fontId="15" fillId="2" borderId="1"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6" fillId="0" borderId="0" xfId="0" applyFont="1"/>
    <xf numFmtId="0" fontId="15"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17" fillId="3" borderId="0" xfId="0" applyFont="1" applyFill="1" applyAlignment="1">
      <alignment horizontal="left" vertical="center" wrapText="1"/>
    </xf>
    <xf numFmtId="0" fontId="0" fillId="0" borderId="0" xfId="0" applyFont="1"/>
    <xf numFmtId="0" fontId="18" fillId="6" borderId="0" xfId="0" applyFont="1" applyFill="1" applyAlignment="1">
      <alignment vertical="center" wrapText="1"/>
    </xf>
    <xf numFmtId="0" fontId="17" fillId="4"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19" fillId="5"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1" fillId="5"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5" borderId="1"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0" fontId="24" fillId="2" borderId="1" xfId="0" applyFont="1" applyFill="1" applyBorder="1" applyAlignment="1">
      <alignment horizontal="left" vertical="center" wrapText="1"/>
    </xf>
    <xf numFmtId="0" fontId="24" fillId="5" borderId="1" xfId="0" applyFont="1" applyFill="1" applyBorder="1" applyAlignment="1">
      <alignment horizontal="left" vertical="center" wrapText="1"/>
    </xf>
  </cellXfs>
  <cellStyles count="1">
    <cellStyle name="Normal" xfId="0" builtinId="0"/>
  </cellStyles>
  <dxfs count="12">
    <dxf>
      <fill>
        <patternFill patternType="solid">
          <fgColor rgb="FFFCEBDC"/>
        </patternFill>
      </fill>
    </dxf>
    <dxf>
      <fill>
        <patternFill patternType="solid">
          <fgColor rgb="FFFCEBDC"/>
        </patternFill>
      </fill>
    </dxf>
    <dxf>
      <fill>
        <patternFill patternType="solid">
          <fgColor rgb="FFFDE8E8"/>
        </patternFill>
      </fill>
    </dxf>
    <dxf>
      <fill>
        <patternFill patternType="solid">
          <fgColor rgb="FFE5E7EB"/>
        </patternFill>
      </fill>
    </dxf>
    <dxf>
      <fill>
        <patternFill patternType="solid">
          <fgColor rgb="FFFDE8E8"/>
        </patternFill>
      </fill>
    </dxf>
    <dxf>
      <fill>
        <patternFill patternType="solid">
          <fgColor rgb="FFE6F0FA"/>
        </patternFill>
      </fill>
    </dxf>
    <dxf>
      <fill>
        <patternFill patternType="solid">
          <fgColor rgb="FFE3F4E6"/>
        </patternFill>
      </fill>
    </dxf>
    <dxf>
      <fill>
        <patternFill patternType="solid">
          <fgColor rgb="FFFCEBDC"/>
        </patternFill>
      </fill>
    </dxf>
    <dxf>
      <fill>
        <patternFill patternType="solid">
          <fgColor rgb="FFE5E7EB"/>
        </patternFill>
      </fill>
    </dxf>
    <dxf>
      <fill>
        <patternFill patternType="solid">
          <fgColor rgb="FFE6F0FA"/>
        </patternFill>
      </fill>
    </dxf>
    <dxf>
      <fill>
        <patternFill patternType="solid">
          <fgColor rgb="FFE3F4E6"/>
        </patternFill>
      </fill>
    </dxf>
    <dxf>
      <fill>
        <patternFill patternType="solid">
          <fgColor rgb="FFFFF4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oneCellAnchor>
    <xdr:from>
      <xdr:col>14</xdr:col>
      <xdr:colOff>0</xdr:colOff>
      <xdr:row>3</xdr:row>
      <xdr:rowOff>0</xdr:rowOff>
    </xdr:from>
    <xdr:ext cx="5400675" cy="4286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14</xdr:col>
      <xdr:colOff>0</xdr:colOff>
      <xdr:row>4</xdr:row>
      <xdr:rowOff>0</xdr:rowOff>
    </xdr:from>
    <xdr:ext cx="2381250" cy="9048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14</xdr:col>
      <xdr:colOff>76200</xdr:colOff>
      <xdr:row>4</xdr:row>
      <xdr:rowOff>1000125</xdr:rowOff>
    </xdr:from>
    <xdr:ext cx="2381250" cy="790575"/>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14</xdr:col>
      <xdr:colOff>0</xdr:colOff>
      <xdr:row>5</xdr:row>
      <xdr:rowOff>0</xdr:rowOff>
    </xdr:from>
    <xdr:ext cx="3257550" cy="142875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14</xdr:col>
      <xdr:colOff>0</xdr:colOff>
      <xdr:row>17</xdr:row>
      <xdr:rowOff>0</xdr:rowOff>
    </xdr:from>
    <xdr:ext cx="923925" cy="14287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14</xdr:col>
      <xdr:colOff>0</xdr:colOff>
      <xdr:row>6</xdr:row>
      <xdr:rowOff>0</xdr:rowOff>
    </xdr:from>
    <xdr:ext cx="5400675" cy="50482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14</xdr:col>
      <xdr:colOff>0</xdr:colOff>
      <xdr:row>7</xdr:row>
      <xdr:rowOff>0</xdr:rowOff>
    </xdr:from>
    <xdr:ext cx="4000500" cy="66675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14</xdr:col>
      <xdr:colOff>0</xdr:colOff>
      <xdr:row>8</xdr:row>
      <xdr:rowOff>0</xdr:rowOff>
    </xdr:from>
    <xdr:ext cx="4000500" cy="129540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14</xdr:col>
      <xdr:colOff>0</xdr:colOff>
      <xdr:row>19</xdr:row>
      <xdr:rowOff>0</xdr:rowOff>
    </xdr:from>
    <xdr:ext cx="4000500" cy="1114425"/>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14</xdr:col>
      <xdr:colOff>0</xdr:colOff>
      <xdr:row>9</xdr:row>
      <xdr:rowOff>0</xdr:rowOff>
    </xdr:from>
    <xdr:ext cx="2667000" cy="142875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14</xdr:col>
      <xdr:colOff>0</xdr:colOff>
      <xdr:row>10</xdr:row>
      <xdr:rowOff>0</xdr:rowOff>
    </xdr:from>
    <xdr:ext cx="1790700" cy="142875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14</xdr:col>
      <xdr:colOff>0</xdr:colOff>
      <xdr:row>11</xdr:row>
      <xdr:rowOff>0</xdr:rowOff>
    </xdr:from>
    <xdr:ext cx="3076575" cy="142875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5</xdr:row>
      <xdr:rowOff>0</xdr:rowOff>
    </xdr:from>
    <xdr:ext cx="11353800" cy="9144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6</xdr:row>
      <xdr:rowOff>0</xdr:rowOff>
    </xdr:from>
    <xdr:ext cx="7143750" cy="272415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7</xdr:row>
      <xdr:rowOff>0</xdr:rowOff>
    </xdr:from>
    <xdr:ext cx="6934200" cy="23241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8</xdr:row>
      <xdr:rowOff>0</xdr:rowOff>
    </xdr:from>
    <xdr:ext cx="8572500" cy="3743325"/>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9</xdr:row>
      <xdr:rowOff>0</xdr:rowOff>
    </xdr:from>
    <xdr:ext cx="2476500" cy="38100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10</xdr:row>
      <xdr:rowOff>0</xdr:rowOff>
    </xdr:from>
    <xdr:ext cx="9601200" cy="9144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11</xdr:row>
      <xdr:rowOff>0</xdr:rowOff>
    </xdr:from>
    <xdr:ext cx="8572500" cy="143827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12</xdr:row>
      <xdr:rowOff>0</xdr:rowOff>
    </xdr:from>
    <xdr:ext cx="8562975" cy="2771775"/>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13</xdr:row>
      <xdr:rowOff>0</xdr:rowOff>
    </xdr:from>
    <xdr:ext cx="8572500" cy="2390775"/>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14</xdr:row>
      <xdr:rowOff>0</xdr:rowOff>
    </xdr:from>
    <xdr:ext cx="7115175" cy="381000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2</xdr:col>
      <xdr:colOff>0</xdr:colOff>
      <xdr:row>15</xdr:row>
      <xdr:rowOff>0</xdr:rowOff>
    </xdr:from>
    <xdr:ext cx="4791075" cy="38100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2</xdr:col>
      <xdr:colOff>0</xdr:colOff>
      <xdr:row>16</xdr:row>
      <xdr:rowOff>0</xdr:rowOff>
    </xdr:from>
    <xdr:ext cx="7029450" cy="3257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G23"/>
  <sheetViews>
    <sheetView showGridLines="0" zoomScale="110" workbookViewId="0">
      <pane xSplit="1" ySplit="4" topLeftCell="B21" activePane="bottomRight" state="frozen"/>
      <selection pane="topRight"/>
      <selection pane="bottomLeft"/>
      <selection pane="bottomRight"/>
    </sheetView>
  </sheetViews>
  <sheetFormatPr defaultRowHeight="15" x14ac:dyDescent="0.25"/>
  <cols>
    <col min="1" max="1" width="3" customWidth="1"/>
    <col min="2" max="2" width="32" customWidth="1"/>
    <col min="3" max="7" width="28" customWidth="1"/>
  </cols>
  <sheetData>
    <row r="2" spans="2:7" ht="27.95" customHeight="1" x14ac:dyDescent="0.45">
      <c r="B2" s="12" t="s">
        <v>318</v>
      </c>
      <c r="C2" s="11"/>
      <c r="D2" s="11"/>
      <c r="E2" s="11"/>
      <c r="F2" s="11"/>
      <c r="G2" s="11"/>
    </row>
    <row r="3" spans="2:7" ht="32.1" customHeight="1" x14ac:dyDescent="0.25">
      <c r="B3" s="19" t="s">
        <v>319</v>
      </c>
      <c r="C3" s="11"/>
      <c r="D3" s="11"/>
      <c r="E3" s="11"/>
      <c r="F3" s="11"/>
      <c r="G3" s="11"/>
    </row>
    <row r="5" spans="2:7" ht="42" customHeight="1" x14ac:dyDescent="0.25">
      <c r="B5" s="16" t="s">
        <v>320</v>
      </c>
      <c r="C5" s="15"/>
      <c r="D5" s="13" t="s">
        <v>321</v>
      </c>
      <c r="E5" s="14"/>
      <c r="F5" s="14"/>
      <c r="G5" s="15"/>
    </row>
    <row r="6" spans="2:7" ht="42" customHeight="1" x14ac:dyDescent="0.25">
      <c r="B6" s="16" t="s">
        <v>322</v>
      </c>
      <c r="C6" s="15"/>
      <c r="D6" s="13" t="s">
        <v>323</v>
      </c>
      <c r="E6" s="14"/>
      <c r="F6" s="14"/>
      <c r="G6" s="15"/>
    </row>
    <row r="7" spans="2:7" ht="42" customHeight="1" x14ac:dyDescent="0.25">
      <c r="B7" s="16" t="s">
        <v>324</v>
      </c>
      <c r="C7" s="15"/>
      <c r="D7" s="13" t="s">
        <v>325</v>
      </c>
      <c r="E7" s="14"/>
      <c r="F7" s="14"/>
      <c r="G7" s="15"/>
    </row>
    <row r="8" spans="2:7" ht="42" customHeight="1" x14ac:dyDescent="0.25">
      <c r="B8" s="16" t="s">
        <v>326</v>
      </c>
      <c r="C8" s="15"/>
      <c r="D8" s="13" t="s">
        <v>327</v>
      </c>
      <c r="E8" s="14"/>
      <c r="F8" s="14"/>
      <c r="G8" s="15"/>
    </row>
    <row r="9" spans="2:7" ht="42" customHeight="1" x14ac:dyDescent="0.25">
      <c r="B9" s="16" t="s">
        <v>328</v>
      </c>
      <c r="C9" s="15"/>
      <c r="D9" s="13" t="s">
        <v>329</v>
      </c>
      <c r="E9" s="14"/>
      <c r="F9" s="14"/>
      <c r="G9" s="15"/>
    </row>
    <row r="10" spans="2:7" ht="42" customHeight="1" x14ac:dyDescent="0.25">
      <c r="B10" s="16" t="s">
        <v>330</v>
      </c>
      <c r="C10" s="15"/>
      <c r="D10" s="13" t="s">
        <v>331</v>
      </c>
      <c r="E10" s="14"/>
      <c r="F10" s="14"/>
      <c r="G10" s="15"/>
    </row>
    <row r="11" spans="2:7" ht="42" customHeight="1" x14ac:dyDescent="0.25">
      <c r="B11" s="16" t="s">
        <v>332</v>
      </c>
      <c r="C11" s="15"/>
      <c r="D11" s="13" t="s">
        <v>333</v>
      </c>
      <c r="E11" s="14"/>
      <c r="F11" s="14"/>
      <c r="G11" s="15"/>
    </row>
    <row r="13" spans="2:7" ht="18.75" customHeight="1" x14ac:dyDescent="0.3">
      <c r="B13" s="18" t="s">
        <v>334</v>
      </c>
      <c r="C13" s="11"/>
      <c r="D13" s="11"/>
      <c r="E13" s="11"/>
      <c r="F13" s="11"/>
      <c r="G13" s="11"/>
    </row>
    <row r="14" spans="2:7" ht="21.95" customHeight="1" x14ac:dyDescent="0.25">
      <c r="B14" s="1" t="s">
        <v>335</v>
      </c>
      <c r="C14" s="1" t="s">
        <v>336</v>
      </c>
      <c r="D14" s="1" t="s">
        <v>337</v>
      </c>
      <c r="E14" s="1" t="s">
        <v>338</v>
      </c>
      <c r="F14" s="1" t="s">
        <v>339</v>
      </c>
      <c r="G14" s="1" t="s">
        <v>340</v>
      </c>
    </row>
    <row r="15" spans="2:7" ht="48" customHeight="1" x14ac:dyDescent="0.25">
      <c r="B15" s="2" t="s">
        <v>341</v>
      </c>
      <c r="C15" s="2" t="s">
        <v>342</v>
      </c>
      <c r="D15" s="2" t="s">
        <v>343</v>
      </c>
      <c r="E15" s="2" t="s">
        <v>344</v>
      </c>
      <c r="F15" s="2" t="s">
        <v>345</v>
      </c>
      <c r="G15" s="2" t="s">
        <v>346</v>
      </c>
    </row>
    <row r="16" spans="2:7" ht="48" customHeight="1" x14ac:dyDescent="0.25">
      <c r="B16" s="2" t="s">
        <v>347</v>
      </c>
      <c r="C16" s="2" t="s">
        <v>348</v>
      </c>
      <c r="D16" s="2" t="s">
        <v>349</v>
      </c>
      <c r="E16" s="2" t="s">
        <v>350</v>
      </c>
      <c r="F16" s="2" t="s">
        <v>351</v>
      </c>
      <c r="G16" s="2" t="s">
        <v>352</v>
      </c>
    </row>
    <row r="18" spans="2:7" ht="18.75" customHeight="1" x14ac:dyDescent="0.3">
      <c r="B18" s="18" t="s">
        <v>353</v>
      </c>
      <c r="C18" s="11"/>
      <c r="D18" s="11"/>
      <c r="E18" s="11"/>
      <c r="F18" s="11"/>
      <c r="G18" s="11"/>
    </row>
    <row r="19" spans="2:7" ht="27.95" customHeight="1" x14ac:dyDescent="0.25">
      <c r="B19" s="17" t="s">
        <v>354</v>
      </c>
      <c r="C19" s="11"/>
      <c r="D19" s="11"/>
      <c r="E19" s="11"/>
      <c r="F19" s="11"/>
      <c r="G19" s="11"/>
    </row>
    <row r="20" spans="2:7" ht="27.95" customHeight="1" x14ac:dyDescent="0.25">
      <c r="B20" s="17" t="s">
        <v>355</v>
      </c>
      <c r="C20" s="11"/>
      <c r="D20" s="11"/>
      <c r="E20" s="11"/>
      <c r="F20" s="11"/>
      <c r="G20" s="11"/>
    </row>
    <row r="21" spans="2:7" ht="27.95" customHeight="1" x14ac:dyDescent="0.25">
      <c r="B21" s="17" t="s">
        <v>356</v>
      </c>
      <c r="C21" s="11"/>
      <c r="D21" s="11"/>
      <c r="E21" s="11"/>
      <c r="F21" s="11"/>
      <c r="G21" s="11"/>
    </row>
    <row r="22" spans="2:7" ht="27.95" customHeight="1" x14ac:dyDescent="0.25">
      <c r="B22" s="17" t="s">
        <v>357</v>
      </c>
      <c r="C22" s="11"/>
      <c r="D22" s="11"/>
      <c r="E22" s="11"/>
      <c r="F22" s="11"/>
      <c r="G22" s="11"/>
    </row>
    <row r="23" spans="2:7" ht="27.95" customHeight="1" x14ac:dyDescent="0.25">
      <c r="B23" s="17" t="s">
        <v>358</v>
      </c>
      <c r="C23" s="11"/>
      <c r="D23" s="11"/>
      <c r="E23" s="11"/>
      <c r="F23" s="11"/>
      <c r="G23" s="11"/>
    </row>
  </sheetData>
  <mergeCells count="23">
    <mergeCell ref="B3:G3"/>
    <mergeCell ref="B6:C6"/>
    <mergeCell ref="B22:G22"/>
    <mergeCell ref="B5:C5"/>
    <mergeCell ref="D7:G7"/>
    <mergeCell ref="B18:G18"/>
    <mergeCell ref="B21:G21"/>
    <mergeCell ref="B2:G2"/>
    <mergeCell ref="D9:G9"/>
    <mergeCell ref="B7:C7"/>
    <mergeCell ref="D8:G8"/>
    <mergeCell ref="B23:G23"/>
    <mergeCell ref="B13:G13"/>
    <mergeCell ref="D5:G5"/>
    <mergeCell ref="B19:G19"/>
    <mergeCell ref="B11:C11"/>
    <mergeCell ref="D10:G10"/>
    <mergeCell ref="B8:C8"/>
    <mergeCell ref="B20:G20"/>
    <mergeCell ref="D6:G6"/>
    <mergeCell ref="B10:C10"/>
    <mergeCell ref="D11:G11"/>
    <mergeCell ref="B9:C9"/>
  </mergeCells>
  <pageMargins left="0.75" right="0.75" top="1" bottom="1" header="0.5" footer="0.5"/>
  <pageSetup orientation="landscape"/>
  <headerFooter>
    <oddHeader>&amp;LGP journey feedback — do not implement until 1:1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25"/>
  <sheetViews>
    <sheetView showGridLines="0" zoomScale="110" workbookViewId="0"/>
  </sheetViews>
  <sheetFormatPr defaultRowHeight="15" x14ac:dyDescent="0.25"/>
  <cols>
    <col min="1" max="1" width="3" customWidth="1"/>
    <col min="2" max="2" width="28" customWidth="1"/>
    <col min="3" max="4" width="16" customWidth="1"/>
    <col min="5" max="5" width="28" customWidth="1"/>
    <col min="6" max="7" width="16" customWidth="1"/>
    <col min="8" max="8" width="28" customWidth="1"/>
    <col min="9" max="9" width="16" customWidth="1"/>
  </cols>
  <sheetData>
    <row r="2" spans="2:9" ht="23.25" customHeight="1" x14ac:dyDescent="0.35">
      <c r="B2" s="22" t="s">
        <v>359</v>
      </c>
      <c r="C2" s="11"/>
      <c r="D2" s="11"/>
      <c r="E2" s="11"/>
      <c r="F2" s="11"/>
      <c r="G2" s="11"/>
      <c r="H2" s="11"/>
      <c r="I2" s="11"/>
    </row>
    <row r="3" spans="2:9" x14ac:dyDescent="0.25">
      <c r="B3" s="23" t="s">
        <v>360</v>
      </c>
      <c r="C3" s="11"/>
      <c r="D3" s="11"/>
      <c r="E3" s="11"/>
      <c r="F3" s="11"/>
      <c r="G3" s="11"/>
      <c r="H3" s="11"/>
      <c r="I3" s="11"/>
    </row>
    <row r="5" spans="2:9" ht="21.95" customHeight="1" x14ac:dyDescent="0.25">
      <c r="B5" s="21" t="s">
        <v>361</v>
      </c>
      <c r="C5" s="11"/>
      <c r="D5" s="21" t="s">
        <v>362</v>
      </c>
      <c r="E5" s="11"/>
      <c r="F5" s="21" t="s">
        <v>363</v>
      </c>
      <c r="G5" s="11"/>
      <c r="H5" s="21" t="s">
        <v>27</v>
      </c>
      <c r="I5" s="11"/>
    </row>
    <row r="6" spans="2:9" ht="39.950000000000003" customHeight="1" x14ac:dyDescent="0.25">
      <c r="B6" s="20">
        <f>COUNTA(Tracker!A4:A33)</f>
        <v>30</v>
      </c>
      <c r="C6" s="15"/>
      <c r="D6" s="20">
        <f>COUNTIF(Tracker!B4:B33,"Pending 1:1")</f>
        <v>0</v>
      </c>
      <c r="E6" s="15"/>
      <c r="F6" s="20">
        <f>COUNTIF(Tracker!B4:B33,"Do now")</f>
        <v>14</v>
      </c>
      <c r="G6" s="15"/>
      <c r="H6" s="20">
        <f>COUNTIF(Tracker!C4:C33,"Done")</f>
        <v>14</v>
      </c>
      <c r="I6" s="15"/>
    </row>
    <row r="8" spans="2:9" ht="17.25" customHeight="1" x14ac:dyDescent="0.3">
      <c r="B8" s="24" t="s">
        <v>364</v>
      </c>
      <c r="C8" s="11"/>
      <c r="E8" s="24" t="s">
        <v>365</v>
      </c>
      <c r="F8" s="11"/>
      <c r="H8" s="24" t="s">
        <v>366</v>
      </c>
      <c r="I8" s="11"/>
    </row>
    <row r="9" spans="2:9" x14ac:dyDescent="0.25">
      <c r="B9" s="3" t="s">
        <v>367</v>
      </c>
      <c r="C9" s="3" t="s">
        <v>368</v>
      </c>
      <c r="E9" s="3" t="s">
        <v>4</v>
      </c>
      <c r="F9" s="3" t="s">
        <v>368</v>
      </c>
      <c r="H9" s="3" t="s">
        <v>18</v>
      </c>
      <c r="I9" s="3" t="s">
        <v>368</v>
      </c>
    </row>
    <row r="10" spans="2:9" x14ac:dyDescent="0.25">
      <c r="B10" s="4" t="s">
        <v>369</v>
      </c>
      <c r="C10" s="5">
        <f>COUNTIF(Tracker!B4:B33,"Pending 1:1")</f>
        <v>0</v>
      </c>
      <c r="E10" s="4" t="s">
        <v>73</v>
      </c>
      <c r="F10" s="5">
        <f>COUNTIF(Tracker!C4:C33,"Not started")</f>
        <v>12</v>
      </c>
      <c r="H10" s="4" t="s">
        <v>370</v>
      </c>
      <c r="I10" s="5">
        <f>COUNTIF(Tracker!Q4:Q33,"Saksham*")</f>
        <v>12</v>
      </c>
    </row>
    <row r="11" spans="2:9" x14ac:dyDescent="0.25">
      <c r="B11" s="6" t="s">
        <v>26</v>
      </c>
      <c r="C11" s="7">
        <f>COUNTIF(Tracker!B4:B33,"Do now")</f>
        <v>14</v>
      </c>
      <c r="E11" s="6" t="s">
        <v>371</v>
      </c>
      <c r="F11" s="7">
        <f>COUNTIF(Tracker!C4:C33,"In progress")</f>
        <v>0</v>
      </c>
      <c r="H11" s="6" t="s">
        <v>372</v>
      </c>
      <c r="I11" s="7">
        <f>COUNTIF(Tracker!Q4:Q33,"GP notes*")</f>
        <v>18</v>
      </c>
    </row>
    <row r="12" spans="2:9" x14ac:dyDescent="0.25">
      <c r="B12" s="4" t="s">
        <v>72</v>
      </c>
      <c r="C12" s="5">
        <f>COUNTIF(Tracker!B4:B33,"Do later")</f>
        <v>5</v>
      </c>
      <c r="E12" s="4" t="s">
        <v>373</v>
      </c>
      <c r="F12" s="5">
        <f>COUNTIF(Tracker!C4:C33,"Blocked")</f>
        <v>0</v>
      </c>
    </row>
    <row r="13" spans="2:9" x14ac:dyDescent="0.25">
      <c r="B13" s="6" t="s">
        <v>215</v>
      </c>
      <c r="C13" s="7">
        <f>COUNTIF(Tracker!B4:B33,"Won't do")</f>
        <v>4</v>
      </c>
      <c r="E13" s="6" t="s">
        <v>27</v>
      </c>
      <c r="F13" s="7">
        <f>COUNTIF(Tracker!C4:C33,"Done")</f>
        <v>14</v>
      </c>
    </row>
    <row r="14" spans="2:9" x14ac:dyDescent="0.25">
      <c r="B14" s="4" t="s">
        <v>107</v>
      </c>
      <c r="C14" s="5">
        <f>COUNTIF(Tracker!B4:B33,"Needs more info")</f>
        <v>7</v>
      </c>
      <c r="E14" s="4" t="s">
        <v>215</v>
      </c>
      <c r="F14" s="5">
        <f>COUNTIF(Tracker!C4:C33,"Won't do")</f>
        <v>4</v>
      </c>
    </row>
    <row r="17" spans="2:9" ht="17.25" customHeight="1" x14ac:dyDescent="0.3">
      <c r="B17" s="24" t="s">
        <v>374</v>
      </c>
      <c r="C17" s="11"/>
      <c r="E17" s="24" t="s">
        <v>375</v>
      </c>
      <c r="F17" s="11"/>
      <c r="H17" s="24" t="s">
        <v>376</v>
      </c>
      <c r="I17" s="11"/>
    </row>
    <row r="18" spans="2:9" x14ac:dyDescent="0.25">
      <c r="B18" s="3" t="s">
        <v>377</v>
      </c>
      <c r="C18" s="3" t="s">
        <v>368</v>
      </c>
      <c r="E18" s="3" t="s">
        <v>378</v>
      </c>
      <c r="F18" s="3" t="s">
        <v>368</v>
      </c>
      <c r="H18" s="3" t="s">
        <v>379</v>
      </c>
      <c r="I18" s="3" t="s">
        <v>368</v>
      </c>
    </row>
    <row r="19" spans="2:9" x14ac:dyDescent="0.25">
      <c r="B19" s="4" t="s">
        <v>177</v>
      </c>
      <c r="C19" s="5">
        <f>COUNTIF(Tracker!H4:H33,"Start")</f>
        <v>1</v>
      </c>
      <c r="E19" s="4" t="s">
        <v>134</v>
      </c>
      <c r="F19" s="5">
        <f>COUNTIF(Tracker!E4:E33,"Blocker")</f>
        <v>1</v>
      </c>
      <c r="H19" s="4" t="s">
        <v>380</v>
      </c>
      <c r="I19" s="5">
        <f>COUNTIF(Tracker!F4:F33,"Bug*")</f>
        <v>6</v>
      </c>
    </row>
    <row r="20" spans="2:9" x14ac:dyDescent="0.25">
      <c r="B20" s="6" t="s">
        <v>77</v>
      </c>
      <c r="C20" s="7">
        <f>COUNTIF(Tracker!H4:H33,"About you")</f>
        <v>5</v>
      </c>
      <c r="E20" s="6" t="s">
        <v>29</v>
      </c>
      <c r="F20" s="7">
        <f>COUNTIF(Tracker!E4:E33,"High")</f>
        <v>7</v>
      </c>
      <c r="H20" s="6" t="s">
        <v>189</v>
      </c>
      <c r="I20" s="7">
        <f>COUNTIF(Tracker!J4:J33,"Mobile only")</f>
        <v>3</v>
      </c>
    </row>
    <row r="21" spans="2:9" x14ac:dyDescent="0.25">
      <c r="B21" s="4" t="s">
        <v>32</v>
      </c>
      <c r="C21" s="5">
        <f>COUNTIF(Tracker!H4:H33,"Your money")</f>
        <v>1</v>
      </c>
      <c r="E21" s="4" t="s">
        <v>48</v>
      </c>
      <c r="F21" s="5">
        <f>COUNTIF(Tracker!E4:E33,"Medium")</f>
        <v>15</v>
      </c>
      <c r="H21" s="4" t="s">
        <v>381</v>
      </c>
      <c r="I21" s="5">
        <f>COUNTIF(Tracker!K4:K33,"Next phase*")</f>
        <v>1</v>
      </c>
    </row>
    <row r="22" spans="2:9" x14ac:dyDescent="0.25">
      <c r="B22" s="6" t="s">
        <v>62</v>
      </c>
      <c r="C22" s="7">
        <f>COUNTIF(Tracker!H4:H33,"Your score")</f>
        <v>7</v>
      </c>
      <c r="E22" s="6" t="s">
        <v>123</v>
      </c>
      <c r="F22" s="7">
        <f>COUNTIF(Tracker!E4:E33,"Low")</f>
        <v>7</v>
      </c>
      <c r="H22" s="6" t="s">
        <v>382</v>
      </c>
      <c r="I22" s="7">
        <f>COUNTIF(Tracker!P4:P33,"&lt;&gt;—")</f>
        <v>11</v>
      </c>
    </row>
    <row r="23" spans="2:9" x14ac:dyDescent="0.25">
      <c r="B23" s="4" t="s">
        <v>124</v>
      </c>
      <c r="C23" s="5">
        <f>COUNTIF(Tracker!H4:H33,"Your plan")</f>
        <v>5</v>
      </c>
    </row>
    <row r="24" spans="2:9" x14ac:dyDescent="0.25">
      <c r="B24" s="6" t="s">
        <v>158</v>
      </c>
      <c r="C24" s="7">
        <f>COUNTIF(Tracker!H4:H33,"Report")</f>
        <v>5</v>
      </c>
    </row>
    <row r="25" spans="2:9" x14ac:dyDescent="0.25">
      <c r="B25" s="4" t="s">
        <v>50</v>
      </c>
      <c r="C25" s="5">
        <f>COUNTIF(Tracker!H4:H33,"Global chrome")</f>
        <v>6</v>
      </c>
    </row>
  </sheetData>
  <mergeCells count="16">
    <mergeCell ref="H8:I8"/>
    <mergeCell ref="E17:F17"/>
    <mergeCell ref="B8:C8"/>
    <mergeCell ref="E8:F8"/>
    <mergeCell ref="B17:C17"/>
    <mergeCell ref="H17:I17"/>
    <mergeCell ref="D6:E6"/>
    <mergeCell ref="B6:C6"/>
    <mergeCell ref="H6:I6"/>
    <mergeCell ref="B5:C5"/>
    <mergeCell ref="B2:I2"/>
    <mergeCell ref="F5:G5"/>
    <mergeCell ref="D5:E5"/>
    <mergeCell ref="B3:I3"/>
    <mergeCell ref="F6:G6"/>
    <mergeCell ref="H5:I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33"/>
  <sheetViews>
    <sheetView tabSelected="1" zoomScaleNormal="100" workbookViewId="0">
      <pane xSplit="2" ySplit="3" topLeftCell="C7" activePane="bottomRight" state="frozen"/>
      <selection pane="topRight"/>
      <selection pane="bottomLeft"/>
      <selection pane="bottomRight" activeCell="G9" sqref="G9"/>
    </sheetView>
  </sheetViews>
  <sheetFormatPr defaultRowHeight="15" x14ac:dyDescent="0.25"/>
  <cols>
    <col min="1" max="1" width="10" customWidth="1"/>
    <col min="2" max="2" width="18" customWidth="1"/>
    <col min="3" max="4" width="14" customWidth="1"/>
    <col min="5" max="6" width="16" customWidth="1"/>
    <col min="7" max="7" width="18" customWidth="1"/>
    <col min="8" max="8" width="14" customWidth="1"/>
    <col min="9" max="9" width="28" customWidth="1"/>
    <col min="10" max="10" width="13" customWidth="1"/>
    <col min="11" max="11" width="18" customWidth="1"/>
    <col min="12" max="12" width="42" customWidth="1"/>
    <col min="13" max="13" width="48" customWidth="1"/>
    <col min="14" max="14" width="40" customWidth="1"/>
    <col min="15" max="15" width="48" customWidth="1"/>
    <col min="16" max="16" width="36" customWidth="1"/>
    <col min="17" max="17" width="32" customWidth="1"/>
    <col min="18" max="18" width="28" customWidth="1"/>
    <col min="19" max="19" width="14" customWidth="1"/>
    <col min="20" max="20" width="12" customWidth="1"/>
    <col min="21" max="21" width="28" customWidth="1"/>
    <col min="22" max="22" width="42" customWidth="1"/>
    <col min="23" max="23" width="52" customWidth="1"/>
  </cols>
  <sheetData>
    <row r="1" spans="1:23" ht="27.95" customHeight="1" x14ac:dyDescent="0.25">
      <c r="A1" s="33" t="s">
        <v>0</v>
      </c>
      <c r="B1" s="34"/>
      <c r="C1" s="34"/>
      <c r="D1" s="34"/>
      <c r="E1" s="34"/>
      <c r="F1" s="34"/>
      <c r="G1" s="34"/>
      <c r="H1" s="34"/>
      <c r="I1" s="34"/>
      <c r="J1" s="34"/>
      <c r="K1" s="34"/>
      <c r="L1" s="34"/>
      <c r="M1" s="34"/>
      <c r="N1" s="34"/>
      <c r="O1" s="34"/>
      <c r="P1" s="34"/>
      <c r="Q1" s="34"/>
      <c r="R1" s="34"/>
      <c r="S1" s="34"/>
      <c r="T1" s="34"/>
      <c r="U1" s="34"/>
      <c r="V1" s="34"/>
      <c r="W1" s="34"/>
    </row>
    <row r="2" spans="1:23" ht="21.95" customHeight="1" x14ac:dyDescent="0.25">
      <c r="A2" s="35" t="s">
        <v>1</v>
      </c>
      <c r="B2" s="34"/>
      <c r="C2" s="34"/>
      <c r="D2" s="34"/>
      <c r="E2" s="34"/>
      <c r="F2" s="34"/>
      <c r="G2" s="34"/>
      <c r="H2" s="34"/>
      <c r="I2" s="34"/>
      <c r="J2" s="34"/>
      <c r="K2" s="34"/>
      <c r="L2" s="34"/>
      <c r="M2" s="34"/>
      <c r="N2" s="34"/>
      <c r="O2" s="34"/>
      <c r="P2" s="34"/>
      <c r="Q2" s="34"/>
      <c r="R2" s="34"/>
      <c r="S2" s="34"/>
      <c r="T2" s="34"/>
      <c r="U2" s="34"/>
      <c r="V2" s="34"/>
      <c r="W2" s="34"/>
    </row>
    <row r="3" spans="1:23" ht="36" customHeight="1" x14ac:dyDescent="0.25">
      <c r="A3" s="36" t="s">
        <v>2</v>
      </c>
      <c r="B3" s="36" t="s">
        <v>3</v>
      </c>
      <c r="C3" s="36" t="s">
        <v>4</v>
      </c>
      <c r="D3" s="36" t="s">
        <v>5</v>
      </c>
      <c r="E3" s="36" t="s">
        <v>6</v>
      </c>
      <c r="F3" s="36" t="s">
        <v>7</v>
      </c>
      <c r="G3" s="36" t="s">
        <v>8</v>
      </c>
      <c r="H3" s="36" t="s">
        <v>9</v>
      </c>
      <c r="I3" s="36" t="s">
        <v>10</v>
      </c>
      <c r="J3" s="36" t="s">
        <v>11</v>
      </c>
      <c r="K3" s="36" t="s">
        <v>12</v>
      </c>
      <c r="L3" s="36" t="s">
        <v>13</v>
      </c>
      <c r="M3" s="36" t="s">
        <v>14</v>
      </c>
      <c r="N3" s="36" t="s">
        <v>15</v>
      </c>
      <c r="O3" s="36" t="s">
        <v>16</v>
      </c>
      <c r="P3" s="36" t="s">
        <v>17</v>
      </c>
      <c r="Q3" s="36" t="s">
        <v>18</v>
      </c>
      <c r="R3" s="36" t="s">
        <v>19</v>
      </c>
      <c r="S3" s="36" t="s">
        <v>20</v>
      </c>
      <c r="T3" s="36" t="s">
        <v>21</v>
      </c>
      <c r="U3" s="36" t="s">
        <v>22</v>
      </c>
      <c r="V3" s="36" t="s">
        <v>23</v>
      </c>
      <c r="W3" s="36" t="s">
        <v>24</v>
      </c>
    </row>
    <row r="4" spans="1:23" s="30" customFormat="1" ht="87.95" customHeight="1" x14ac:dyDescent="0.25">
      <c r="A4" s="28" t="s">
        <v>25</v>
      </c>
      <c r="B4" s="37" t="s">
        <v>26</v>
      </c>
      <c r="C4" s="37" t="s">
        <v>27</v>
      </c>
      <c r="D4" s="37" t="s">
        <v>28</v>
      </c>
      <c r="E4" s="37" t="s">
        <v>29</v>
      </c>
      <c r="F4" s="37" t="s">
        <v>30</v>
      </c>
      <c r="G4" s="38" t="s">
        <v>31</v>
      </c>
      <c r="H4" s="37" t="s">
        <v>32</v>
      </c>
      <c r="I4" s="38" t="s">
        <v>33</v>
      </c>
      <c r="J4" s="37" t="s">
        <v>34</v>
      </c>
      <c r="K4" s="38" t="s">
        <v>35</v>
      </c>
      <c r="L4" s="29" t="s">
        <v>36</v>
      </c>
      <c r="M4" s="38" t="s">
        <v>37</v>
      </c>
      <c r="N4" s="38" t="s">
        <v>38</v>
      </c>
      <c r="O4" s="38"/>
      <c r="P4" s="38" t="s">
        <v>39</v>
      </c>
      <c r="Q4" s="38" t="s">
        <v>40</v>
      </c>
      <c r="R4" s="38" t="s">
        <v>41</v>
      </c>
      <c r="S4" s="37" t="s">
        <v>42</v>
      </c>
      <c r="T4" s="37" t="s">
        <v>43</v>
      </c>
      <c r="U4" s="38" t="s">
        <v>44</v>
      </c>
      <c r="V4" s="38" t="s">
        <v>45</v>
      </c>
      <c r="W4" s="38" t="s">
        <v>46</v>
      </c>
    </row>
    <row r="5" spans="1:23" s="30" customFormat="1" ht="151.35" customHeight="1" x14ac:dyDescent="0.25">
      <c r="A5" s="31" t="s">
        <v>47</v>
      </c>
      <c r="B5" s="39" t="s">
        <v>26</v>
      </c>
      <c r="C5" s="39" t="s">
        <v>27</v>
      </c>
      <c r="D5" s="39" t="s">
        <v>28</v>
      </c>
      <c r="E5" s="39" t="s">
        <v>48</v>
      </c>
      <c r="F5" s="39" t="s">
        <v>30</v>
      </c>
      <c r="G5" s="40" t="s">
        <v>49</v>
      </c>
      <c r="H5" s="39" t="s">
        <v>50</v>
      </c>
      <c r="I5" s="40" t="s">
        <v>51</v>
      </c>
      <c r="J5" s="39" t="s">
        <v>34</v>
      </c>
      <c r="K5" s="40" t="s">
        <v>35</v>
      </c>
      <c r="L5" s="32" t="s">
        <v>52</v>
      </c>
      <c r="M5" s="40" t="s">
        <v>53</v>
      </c>
      <c r="N5" s="40" t="s">
        <v>54</v>
      </c>
      <c r="O5" s="40"/>
      <c r="P5" s="40" t="s">
        <v>55</v>
      </c>
      <c r="Q5" s="40" t="s">
        <v>40</v>
      </c>
      <c r="R5" s="40" t="s">
        <v>41</v>
      </c>
      <c r="S5" s="39" t="s">
        <v>42</v>
      </c>
      <c r="T5" s="39" t="s">
        <v>56</v>
      </c>
      <c r="U5" s="40" t="s">
        <v>57</v>
      </c>
      <c r="V5" s="40" t="s">
        <v>58</v>
      </c>
      <c r="W5" s="40" t="s">
        <v>59</v>
      </c>
    </row>
    <row r="6" spans="1:23" s="30" customFormat="1" ht="123.2" customHeight="1" x14ac:dyDescent="0.25">
      <c r="A6" s="28" t="s">
        <v>60</v>
      </c>
      <c r="B6" s="37" t="s">
        <v>26</v>
      </c>
      <c r="C6" s="37" t="s">
        <v>27</v>
      </c>
      <c r="D6" s="37" t="s">
        <v>28</v>
      </c>
      <c r="E6" s="37" t="s">
        <v>29</v>
      </c>
      <c r="F6" s="37" t="s">
        <v>30</v>
      </c>
      <c r="G6" s="38" t="s">
        <v>61</v>
      </c>
      <c r="H6" s="37" t="s">
        <v>62</v>
      </c>
      <c r="I6" s="38" t="s">
        <v>63</v>
      </c>
      <c r="J6" s="37" t="s">
        <v>34</v>
      </c>
      <c r="K6" s="38" t="s">
        <v>35</v>
      </c>
      <c r="L6" s="29" t="s">
        <v>64</v>
      </c>
      <c r="M6" s="38" t="s">
        <v>65</v>
      </c>
      <c r="N6" s="38" t="s">
        <v>66</v>
      </c>
      <c r="O6" s="38"/>
      <c r="P6" s="38" t="s">
        <v>67</v>
      </c>
      <c r="Q6" s="38" t="s">
        <v>40</v>
      </c>
      <c r="R6" s="38" t="s">
        <v>41</v>
      </c>
      <c r="S6" s="37" t="s">
        <v>42</v>
      </c>
      <c r="T6" s="37" t="s">
        <v>68</v>
      </c>
      <c r="U6" s="38" t="s">
        <v>57</v>
      </c>
      <c r="V6" s="38" t="s">
        <v>69</v>
      </c>
      <c r="W6" s="38" t="s">
        <v>70</v>
      </c>
    </row>
    <row r="7" spans="1:23" s="30" customFormat="1" ht="123.2" customHeight="1" x14ac:dyDescent="0.25">
      <c r="A7" s="28" t="s">
        <v>87</v>
      </c>
      <c r="B7" s="37" t="s">
        <v>26</v>
      </c>
      <c r="C7" s="37" t="s">
        <v>27</v>
      </c>
      <c r="D7" s="37" t="s">
        <v>28</v>
      </c>
      <c r="E7" s="37" t="s">
        <v>48</v>
      </c>
      <c r="F7" s="37" t="s">
        <v>30</v>
      </c>
      <c r="G7" s="38" t="s">
        <v>88</v>
      </c>
      <c r="H7" s="37" t="s">
        <v>50</v>
      </c>
      <c r="I7" s="38" t="s">
        <v>89</v>
      </c>
      <c r="J7" s="37" t="s">
        <v>34</v>
      </c>
      <c r="K7" s="38" t="s">
        <v>35</v>
      </c>
      <c r="L7" s="29" t="s">
        <v>90</v>
      </c>
      <c r="M7" s="38" t="s">
        <v>91</v>
      </c>
      <c r="N7" s="38" t="s">
        <v>92</v>
      </c>
      <c r="O7" s="38"/>
      <c r="P7" s="38" t="s">
        <v>93</v>
      </c>
      <c r="Q7" s="38" t="s">
        <v>40</v>
      </c>
      <c r="R7" s="38" t="s">
        <v>41</v>
      </c>
      <c r="S7" s="37" t="s">
        <v>42</v>
      </c>
      <c r="T7" s="37" t="s">
        <v>94</v>
      </c>
      <c r="U7" s="38" t="s">
        <v>57</v>
      </c>
      <c r="V7" s="38" t="s">
        <v>95</v>
      </c>
      <c r="W7" s="38" t="s">
        <v>96</v>
      </c>
    </row>
    <row r="8" spans="1:23" s="30" customFormat="1" ht="87.95" customHeight="1" x14ac:dyDescent="0.25">
      <c r="A8" s="31" t="s">
        <v>97</v>
      </c>
      <c r="B8" s="39" t="s">
        <v>26</v>
      </c>
      <c r="C8" s="39" t="s">
        <v>27</v>
      </c>
      <c r="D8" s="39" t="s">
        <v>28</v>
      </c>
      <c r="E8" s="39" t="s">
        <v>48</v>
      </c>
      <c r="F8" s="39" t="s">
        <v>30</v>
      </c>
      <c r="G8" s="40" t="s">
        <v>88</v>
      </c>
      <c r="H8" s="39" t="s">
        <v>62</v>
      </c>
      <c r="I8" s="40" t="s">
        <v>98</v>
      </c>
      <c r="J8" s="39" t="s">
        <v>34</v>
      </c>
      <c r="K8" s="40" t="s">
        <v>35</v>
      </c>
      <c r="L8" s="32" t="s">
        <v>99</v>
      </c>
      <c r="M8" s="40" t="s">
        <v>100</v>
      </c>
      <c r="N8" s="40" t="s">
        <v>101</v>
      </c>
      <c r="O8" s="40"/>
      <c r="P8" s="40" t="s">
        <v>102</v>
      </c>
      <c r="Q8" s="40" t="s">
        <v>40</v>
      </c>
      <c r="R8" s="40" t="s">
        <v>41</v>
      </c>
      <c r="S8" s="39" t="s">
        <v>42</v>
      </c>
      <c r="T8" s="39" t="s">
        <v>103</v>
      </c>
      <c r="U8" s="40" t="s">
        <v>57</v>
      </c>
      <c r="V8" s="40" t="s">
        <v>104</v>
      </c>
      <c r="W8" s="40" t="s">
        <v>105</v>
      </c>
    </row>
    <row r="9" spans="1:23" s="30" customFormat="1" ht="87.95" customHeight="1" x14ac:dyDescent="0.25">
      <c r="A9" s="31" t="s">
        <v>122</v>
      </c>
      <c r="B9" s="39" t="s">
        <v>26</v>
      </c>
      <c r="C9" s="39" t="s">
        <v>27</v>
      </c>
      <c r="D9" s="39" t="s">
        <v>28</v>
      </c>
      <c r="E9" s="39" t="s">
        <v>123</v>
      </c>
      <c r="F9" s="39" t="s">
        <v>30</v>
      </c>
      <c r="G9" s="40" t="s">
        <v>88</v>
      </c>
      <c r="H9" s="39" t="s">
        <v>124</v>
      </c>
      <c r="I9" s="40" t="s">
        <v>125</v>
      </c>
      <c r="J9" s="39" t="s">
        <v>34</v>
      </c>
      <c r="K9" s="40" t="s">
        <v>35</v>
      </c>
      <c r="L9" s="32" t="s">
        <v>126</v>
      </c>
      <c r="M9" s="40" t="s">
        <v>127</v>
      </c>
      <c r="N9" s="40" t="s">
        <v>128</v>
      </c>
      <c r="O9" s="40"/>
      <c r="P9" s="40" t="s">
        <v>129</v>
      </c>
      <c r="Q9" s="40" t="s">
        <v>40</v>
      </c>
      <c r="R9" s="40" t="s">
        <v>41</v>
      </c>
      <c r="S9" s="39" t="s">
        <v>42</v>
      </c>
      <c r="T9" s="39" t="s">
        <v>130</v>
      </c>
      <c r="U9" s="40" t="s">
        <v>57</v>
      </c>
      <c r="V9" s="40" t="s">
        <v>131</v>
      </c>
      <c r="W9" s="40" t="s">
        <v>132</v>
      </c>
    </row>
    <row r="10" spans="1:23" s="30" customFormat="1" ht="72" customHeight="1" x14ac:dyDescent="0.25">
      <c r="A10" s="31" t="s">
        <v>146</v>
      </c>
      <c r="B10" s="39" t="s">
        <v>26</v>
      </c>
      <c r="C10" s="39" t="s">
        <v>27</v>
      </c>
      <c r="D10" s="39" t="s">
        <v>28</v>
      </c>
      <c r="E10" s="39" t="s">
        <v>29</v>
      </c>
      <c r="F10" s="39" t="s">
        <v>30</v>
      </c>
      <c r="G10" s="40" t="s">
        <v>147</v>
      </c>
      <c r="H10" s="39" t="s">
        <v>124</v>
      </c>
      <c r="I10" s="40" t="s">
        <v>148</v>
      </c>
      <c r="J10" s="39" t="s">
        <v>34</v>
      </c>
      <c r="K10" s="40" t="s">
        <v>35</v>
      </c>
      <c r="L10" s="32" t="s">
        <v>149</v>
      </c>
      <c r="M10" s="40" t="s">
        <v>150</v>
      </c>
      <c r="N10" s="40" t="s">
        <v>151</v>
      </c>
      <c r="O10" s="40"/>
      <c r="P10" s="40" t="s">
        <v>152</v>
      </c>
      <c r="Q10" s="40" t="s">
        <v>40</v>
      </c>
      <c r="R10" s="40" t="s">
        <v>41</v>
      </c>
      <c r="S10" s="39" t="s">
        <v>42</v>
      </c>
      <c r="T10" s="39" t="s">
        <v>153</v>
      </c>
      <c r="U10" s="40" t="s">
        <v>57</v>
      </c>
      <c r="V10" s="40" t="s">
        <v>154</v>
      </c>
      <c r="W10" s="40" t="s">
        <v>155</v>
      </c>
    </row>
    <row r="11" spans="1:23" s="30" customFormat="1" ht="112.35" customHeight="1" x14ac:dyDescent="0.25">
      <c r="A11" s="28" t="s">
        <v>156</v>
      </c>
      <c r="B11" s="37" t="s">
        <v>26</v>
      </c>
      <c r="C11" s="37" t="s">
        <v>27</v>
      </c>
      <c r="D11" s="37" t="s">
        <v>28</v>
      </c>
      <c r="E11" s="37" t="s">
        <v>48</v>
      </c>
      <c r="F11" s="37" t="s">
        <v>30</v>
      </c>
      <c r="G11" s="38" t="s">
        <v>157</v>
      </c>
      <c r="H11" s="37" t="s">
        <v>158</v>
      </c>
      <c r="I11" s="38" t="s">
        <v>159</v>
      </c>
      <c r="J11" s="37" t="s">
        <v>34</v>
      </c>
      <c r="K11" s="38" t="s">
        <v>35</v>
      </c>
      <c r="L11" s="29" t="s">
        <v>160</v>
      </c>
      <c r="M11" s="38" t="s">
        <v>161</v>
      </c>
      <c r="N11" s="38" t="s">
        <v>162</v>
      </c>
      <c r="O11" s="38"/>
      <c r="P11" s="38" t="s">
        <v>163</v>
      </c>
      <c r="Q11" s="38" t="s">
        <v>40</v>
      </c>
      <c r="R11" s="38" t="s">
        <v>41</v>
      </c>
      <c r="S11" s="37" t="s">
        <v>42</v>
      </c>
      <c r="T11" s="37" t="s">
        <v>164</v>
      </c>
      <c r="U11" s="38" t="s">
        <v>57</v>
      </c>
      <c r="V11" s="38" t="s">
        <v>165</v>
      </c>
      <c r="W11" s="38" t="s">
        <v>166</v>
      </c>
    </row>
    <row r="12" spans="1:23" s="30" customFormat="1" ht="97.5" customHeight="1" x14ac:dyDescent="0.25">
      <c r="A12" s="31" t="s">
        <v>167</v>
      </c>
      <c r="B12" s="39" t="s">
        <v>26</v>
      </c>
      <c r="C12" s="39" t="s">
        <v>27</v>
      </c>
      <c r="D12" s="39" t="s">
        <v>28</v>
      </c>
      <c r="E12" s="39" t="s">
        <v>123</v>
      </c>
      <c r="F12" s="39" t="s">
        <v>30</v>
      </c>
      <c r="G12" s="40" t="s">
        <v>88</v>
      </c>
      <c r="H12" s="39" t="s">
        <v>158</v>
      </c>
      <c r="I12" s="40" t="s">
        <v>168</v>
      </c>
      <c r="J12" s="39" t="s">
        <v>34</v>
      </c>
      <c r="K12" s="40" t="s">
        <v>35</v>
      </c>
      <c r="L12" s="32" t="s">
        <v>169</v>
      </c>
      <c r="M12" s="40" t="s">
        <v>170</v>
      </c>
      <c r="N12" s="40" t="s">
        <v>171</v>
      </c>
      <c r="O12" s="40"/>
      <c r="P12" s="40" t="s">
        <v>172</v>
      </c>
      <c r="Q12" s="40" t="s">
        <v>40</v>
      </c>
      <c r="R12" s="40" t="s">
        <v>41</v>
      </c>
      <c r="S12" s="39" t="s">
        <v>42</v>
      </c>
      <c r="T12" s="39" t="s">
        <v>173</v>
      </c>
      <c r="U12" s="40" t="s">
        <v>57</v>
      </c>
      <c r="V12" s="40" t="s">
        <v>174</v>
      </c>
      <c r="W12" s="40" t="s">
        <v>175</v>
      </c>
    </row>
    <row r="13" spans="1:23" s="30" customFormat="1" ht="123.2" customHeight="1" x14ac:dyDescent="0.25">
      <c r="A13" s="28" t="s">
        <v>176</v>
      </c>
      <c r="B13" s="37" t="s">
        <v>26</v>
      </c>
      <c r="C13" s="37" t="s">
        <v>27</v>
      </c>
      <c r="D13" s="37" t="s">
        <v>28</v>
      </c>
      <c r="E13" s="37" t="s">
        <v>48</v>
      </c>
      <c r="F13" s="37" t="s">
        <v>30</v>
      </c>
      <c r="G13" s="38" t="s">
        <v>61</v>
      </c>
      <c r="H13" s="37" t="s">
        <v>177</v>
      </c>
      <c r="I13" s="38" t="s">
        <v>178</v>
      </c>
      <c r="J13" s="37" t="s">
        <v>179</v>
      </c>
      <c r="K13" s="38" t="s">
        <v>35</v>
      </c>
      <c r="L13" s="29" t="s">
        <v>180</v>
      </c>
      <c r="M13" s="38" t="s">
        <v>181</v>
      </c>
      <c r="N13" s="38" t="s">
        <v>182</v>
      </c>
      <c r="O13" s="41" t="s">
        <v>116</v>
      </c>
      <c r="P13" s="38" t="s">
        <v>117</v>
      </c>
      <c r="Q13" s="38" t="s">
        <v>183</v>
      </c>
      <c r="R13" s="38" t="s">
        <v>184</v>
      </c>
      <c r="S13" s="37" t="s">
        <v>42</v>
      </c>
      <c r="T13" s="37" t="s">
        <v>43</v>
      </c>
      <c r="U13" s="38" t="s">
        <v>57</v>
      </c>
      <c r="V13" s="38" t="s">
        <v>185</v>
      </c>
      <c r="W13" s="38" t="s">
        <v>186</v>
      </c>
    </row>
    <row r="14" spans="1:23" s="30" customFormat="1" ht="123.2" customHeight="1" x14ac:dyDescent="0.25">
      <c r="A14" s="28" t="s">
        <v>222</v>
      </c>
      <c r="B14" s="37" t="s">
        <v>26</v>
      </c>
      <c r="C14" s="37" t="s">
        <v>27</v>
      </c>
      <c r="D14" s="37" t="s">
        <v>28</v>
      </c>
      <c r="E14" s="37" t="s">
        <v>48</v>
      </c>
      <c r="F14" s="37" t="s">
        <v>30</v>
      </c>
      <c r="G14" s="38" t="s">
        <v>110</v>
      </c>
      <c r="H14" s="37" t="s">
        <v>50</v>
      </c>
      <c r="I14" s="38" t="s">
        <v>217</v>
      </c>
      <c r="J14" s="37" t="s">
        <v>179</v>
      </c>
      <c r="K14" s="38" t="s">
        <v>35</v>
      </c>
      <c r="L14" s="29" t="s">
        <v>223</v>
      </c>
      <c r="M14" s="38" t="s">
        <v>224</v>
      </c>
      <c r="N14" s="38"/>
      <c r="O14" s="41" t="s">
        <v>116</v>
      </c>
      <c r="P14" s="38" t="s">
        <v>117</v>
      </c>
      <c r="Q14" s="38" t="s">
        <v>183</v>
      </c>
      <c r="R14" s="38" t="s">
        <v>184</v>
      </c>
      <c r="S14" s="37" t="s">
        <v>42</v>
      </c>
      <c r="T14" s="37" t="s">
        <v>130</v>
      </c>
      <c r="U14" s="40" t="s">
        <v>57</v>
      </c>
      <c r="V14" s="38" t="s">
        <v>225</v>
      </c>
      <c r="W14" s="38" t="s">
        <v>226</v>
      </c>
    </row>
    <row r="15" spans="1:23" s="30" customFormat="1" ht="123.2" customHeight="1" x14ac:dyDescent="0.25">
      <c r="A15" s="31" t="s">
        <v>245</v>
      </c>
      <c r="B15" s="39" t="s">
        <v>26</v>
      </c>
      <c r="C15" s="39" t="s">
        <v>27</v>
      </c>
      <c r="D15" s="39" t="s">
        <v>28</v>
      </c>
      <c r="E15" s="39" t="s">
        <v>123</v>
      </c>
      <c r="F15" s="39" t="s">
        <v>30</v>
      </c>
      <c r="G15" s="40" t="s">
        <v>246</v>
      </c>
      <c r="H15" s="39" t="s">
        <v>62</v>
      </c>
      <c r="I15" s="40" t="s">
        <v>247</v>
      </c>
      <c r="J15" s="39" t="s">
        <v>179</v>
      </c>
      <c r="K15" s="40" t="s">
        <v>35</v>
      </c>
      <c r="L15" s="32" t="s">
        <v>248</v>
      </c>
      <c r="M15" s="40" t="s">
        <v>249</v>
      </c>
      <c r="N15" s="40"/>
      <c r="O15" s="42" t="s">
        <v>116</v>
      </c>
      <c r="P15" s="40" t="s">
        <v>117</v>
      </c>
      <c r="Q15" s="40" t="s">
        <v>183</v>
      </c>
      <c r="R15" s="40" t="s">
        <v>184</v>
      </c>
      <c r="S15" s="39" t="s">
        <v>42</v>
      </c>
      <c r="T15" s="39" t="s">
        <v>164</v>
      </c>
      <c r="U15" s="40" t="s">
        <v>57</v>
      </c>
      <c r="V15" s="40" t="s">
        <v>250</v>
      </c>
      <c r="W15" s="40" t="s">
        <v>251</v>
      </c>
    </row>
    <row r="16" spans="1:23" s="30" customFormat="1" ht="72" customHeight="1" x14ac:dyDescent="0.25">
      <c r="A16" s="31" t="s">
        <v>275</v>
      </c>
      <c r="B16" s="39" t="s">
        <v>26</v>
      </c>
      <c r="C16" s="39" t="s">
        <v>27</v>
      </c>
      <c r="D16" s="39" t="s">
        <v>28</v>
      </c>
      <c r="E16" s="39" t="s">
        <v>123</v>
      </c>
      <c r="F16" s="39" t="s">
        <v>30</v>
      </c>
      <c r="G16" s="40" t="s">
        <v>88</v>
      </c>
      <c r="H16" s="39" t="s">
        <v>124</v>
      </c>
      <c r="I16" s="40" t="s">
        <v>276</v>
      </c>
      <c r="J16" s="39" t="s">
        <v>179</v>
      </c>
      <c r="K16" s="40" t="s">
        <v>35</v>
      </c>
      <c r="L16" s="32" t="s">
        <v>277</v>
      </c>
      <c r="M16" s="40" t="s">
        <v>278</v>
      </c>
      <c r="N16" s="40" t="s">
        <v>279</v>
      </c>
      <c r="O16" s="42" t="s">
        <v>116</v>
      </c>
      <c r="P16" s="40" t="s">
        <v>117</v>
      </c>
      <c r="Q16" s="40" t="s">
        <v>183</v>
      </c>
      <c r="R16" s="40" t="s">
        <v>184</v>
      </c>
      <c r="S16" s="39" t="s">
        <v>42</v>
      </c>
      <c r="T16" s="39" t="s">
        <v>280</v>
      </c>
      <c r="U16" s="40" t="s">
        <v>57</v>
      </c>
      <c r="V16" s="40" t="s">
        <v>281</v>
      </c>
      <c r="W16" s="40" t="s">
        <v>282</v>
      </c>
    </row>
    <row r="17" spans="1:23" s="30" customFormat="1" ht="72" customHeight="1" x14ac:dyDescent="0.25">
      <c r="A17" s="31" t="s">
        <v>310</v>
      </c>
      <c r="B17" s="39" t="s">
        <v>26</v>
      </c>
      <c r="C17" s="39" t="s">
        <v>27</v>
      </c>
      <c r="D17" s="39" t="s">
        <v>28</v>
      </c>
      <c r="E17" s="39" t="s">
        <v>48</v>
      </c>
      <c r="F17" s="39" t="s">
        <v>30</v>
      </c>
      <c r="G17" s="40" t="s">
        <v>157</v>
      </c>
      <c r="H17" s="39" t="s">
        <v>158</v>
      </c>
      <c r="I17" s="40" t="s">
        <v>311</v>
      </c>
      <c r="J17" s="39" t="s">
        <v>179</v>
      </c>
      <c r="K17" s="40" t="s">
        <v>35</v>
      </c>
      <c r="L17" s="32" t="s">
        <v>312</v>
      </c>
      <c r="M17" s="40" t="s">
        <v>313</v>
      </c>
      <c r="N17" s="40" t="s">
        <v>314</v>
      </c>
      <c r="O17" s="42" t="s">
        <v>116</v>
      </c>
      <c r="P17" s="40" t="s">
        <v>117</v>
      </c>
      <c r="Q17" s="40" t="s">
        <v>183</v>
      </c>
      <c r="R17" s="40" t="s">
        <v>184</v>
      </c>
      <c r="S17" s="39" t="s">
        <v>42</v>
      </c>
      <c r="T17" s="39" t="s">
        <v>315</v>
      </c>
      <c r="U17" s="40" t="s">
        <v>57</v>
      </c>
      <c r="V17" s="40" t="s">
        <v>316</v>
      </c>
      <c r="W17" s="40" t="s">
        <v>317</v>
      </c>
    </row>
    <row r="18" spans="1:23" ht="72" customHeight="1" x14ac:dyDescent="0.25">
      <c r="A18" s="43" t="s">
        <v>71</v>
      </c>
      <c r="B18" s="44" t="s">
        <v>72</v>
      </c>
      <c r="C18" s="44" t="s">
        <v>73</v>
      </c>
      <c r="D18" s="44" t="s">
        <v>74</v>
      </c>
      <c r="E18" s="44" t="s">
        <v>29</v>
      </c>
      <c r="F18" s="44" t="s">
        <v>75</v>
      </c>
      <c r="G18" s="45" t="s">
        <v>76</v>
      </c>
      <c r="H18" s="44" t="s">
        <v>77</v>
      </c>
      <c r="I18" s="45" t="s">
        <v>78</v>
      </c>
      <c r="J18" s="44" t="s">
        <v>34</v>
      </c>
      <c r="K18" s="45" t="s">
        <v>79</v>
      </c>
      <c r="L18" s="46" t="s">
        <v>80</v>
      </c>
      <c r="M18" s="45" t="s">
        <v>81</v>
      </c>
      <c r="N18" s="45" t="s">
        <v>82</v>
      </c>
      <c r="O18" s="45"/>
      <c r="P18" s="45" t="s">
        <v>83</v>
      </c>
      <c r="Q18" s="45" t="s">
        <v>40</v>
      </c>
      <c r="R18" s="45" t="s">
        <v>41</v>
      </c>
      <c r="S18" s="44" t="s">
        <v>42</v>
      </c>
      <c r="T18" s="44" t="s">
        <v>84</v>
      </c>
      <c r="U18" s="45" t="s">
        <v>57</v>
      </c>
      <c r="V18" s="45" t="s">
        <v>85</v>
      </c>
      <c r="W18" s="45" t="s">
        <v>86</v>
      </c>
    </row>
    <row r="19" spans="1:23" ht="72" customHeight="1" x14ac:dyDescent="0.25">
      <c r="A19" s="47" t="s">
        <v>106</v>
      </c>
      <c r="B19" s="48" t="s">
        <v>107</v>
      </c>
      <c r="C19" s="48" t="s">
        <v>73</v>
      </c>
      <c r="D19" s="48" t="s">
        <v>108</v>
      </c>
      <c r="E19" s="48" t="s">
        <v>48</v>
      </c>
      <c r="F19" s="48" t="s">
        <v>109</v>
      </c>
      <c r="G19" s="49" t="s">
        <v>110</v>
      </c>
      <c r="H19" s="48" t="s">
        <v>50</v>
      </c>
      <c r="I19" s="49" t="s">
        <v>111</v>
      </c>
      <c r="J19" s="48" t="s">
        <v>34</v>
      </c>
      <c r="K19" s="49" t="s">
        <v>112</v>
      </c>
      <c r="L19" s="50" t="s">
        <v>113</v>
      </c>
      <c r="M19" s="49" t="s">
        <v>114</v>
      </c>
      <c r="N19" s="49" t="s">
        <v>115</v>
      </c>
      <c r="O19" s="51" t="s">
        <v>116</v>
      </c>
      <c r="P19" s="49" t="s">
        <v>117</v>
      </c>
      <c r="Q19" s="49" t="s">
        <v>40</v>
      </c>
      <c r="R19" s="49" t="s">
        <v>41</v>
      </c>
      <c r="S19" s="48" t="s">
        <v>42</v>
      </c>
      <c r="T19" s="48" t="s">
        <v>118</v>
      </c>
      <c r="U19" s="49" t="s">
        <v>119</v>
      </c>
      <c r="V19" s="49" t="s">
        <v>120</v>
      </c>
      <c r="W19" s="49" t="s">
        <v>121</v>
      </c>
    </row>
    <row r="20" spans="1:23" ht="72" customHeight="1" x14ac:dyDescent="0.25">
      <c r="A20" s="47" t="s">
        <v>133</v>
      </c>
      <c r="B20" s="48" t="s">
        <v>107</v>
      </c>
      <c r="C20" s="48" t="s">
        <v>73</v>
      </c>
      <c r="D20" s="48" t="s">
        <v>108</v>
      </c>
      <c r="E20" s="48" t="s">
        <v>134</v>
      </c>
      <c r="F20" s="48" t="s">
        <v>135</v>
      </c>
      <c r="G20" s="49" t="s">
        <v>135</v>
      </c>
      <c r="H20" s="48" t="s">
        <v>124</v>
      </c>
      <c r="I20" s="49" t="s">
        <v>136</v>
      </c>
      <c r="J20" s="48" t="s">
        <v>34</v>
      </c>
      <c r="K20" s="49" t="s">
        <v>137</v>
      </c>
      <c r="L20" s="50" t="s">
        <v>138</v>
      </c>
      <c r="M20" s="49" t="s">
        <v>139</v>
      </c>
      <c r="N20" s="49" t="s">
        <v>140</v>
      </c>
      <c r="O20" s="49"/>
      <c r="P20" s="49" t="s">
        <v>141</v>
      </c>
      <c r="Q20" s="49" t="s">
        <v>40</v>
      </c>
      <c r="R20" s="49" t="s">
        <v>41</v>
      </c>
      <c r="S20" s="48" t="s">
        <v>42</v>
      </c>
      <c r="T20" s="48" t="s">
        <v>142</v>
      </c>
      <c r="U20" s="49" t="s">
        <v>143</v>
      </c>
      <c r="V20" s="49" t="s">
        <v>144</v>
      </c>
      <c r="W20" s="49" t="s">
        <v>145</v>
      </c>
    </row>
    <row r="21" spans="1:23" ht="72" customHeight="1" x14ac:dyDescent="0.25">
      <c r="A21" s="43" t="s">
        <v>187</v>
      </c>
      <c r="B21" s="44" t="s">
        <v>107</v>
      </c>
      <c r="C21" s="44" t="s">
        <v>73</v>
      </c>
      <c r="D21" s="44" t="s">
        <v>108</v>
      </c>
      <c r="E21" s="44" t="s">
        <v>48</v>
      </c>
      <c r="F21" s="44" t="s">
        <v>135</v>
      </c>
      <c r="G21" s="45" t="s">
        <v>110</v>
      </c>
      <c r="H21" s="44" t="s">
        <v>77</v>
      </c>
      <c r="I21" s="45" t="s">
        <v>188</v>
      </c>
      <c r="J21" s="44" t="s">
        <v>189</v>
      </c>
      <c r="K21" s="45" t="s">
        <v>190</v>
      </c>
      <c r="L21" s="46" t="s">
        <v>191</v>
      </c>
      <c r="M21" s="45" t="s">
        <v>192</v>
      </c>
      <c r="N21" s="45" t="s">
        <v>193</v>
      </c>
      <c r="O21" s="52" t="s">
        <v>116</v>
      </c>
      <c r="P21" s="45" t="s">
        <v>117</v>
      </c>
      <c r="Q21" s="45" t="s">
        <v>183</v>
      </c>
      <c r="R21" s="45" t="s">
        <v>184</v>
      </c>
      <c r="S21" s="44" t="s">
        <v>42</v>
      </c>
      <c r="T21" s="44" t="s">
        <v>56</v>
      </c>
      <c r="U21" s="45" t="s">
        <v>57</v>
      </c>
      <c r="V21" s="45" t="s">
        <v>194</v>
      </c>
      <c r="W21" s="45" t="s">
        <v>195</v>
      </c>
    </row>
    <row r="22" spans="1:23" ht="72" customHeight="1" x14ac:dyDescent="0.25">
      <c r="A22" s="47" t="s">
        <v>196</v>
      </c>
      <c r="B22" s="48" t="s">
        <v>107</v>
      </c>
      <c r="C22" s="48" t="s">
        <v>73</v>
      </c>
      <c r="D22" s="48" t="s">
        <v>108</v>
      </c>
      <c r="E22" s="48" t="s">
        <v>48</v>
      </c>
      <c r="F22" s="48" t="s">
        <v>30</v>
      </c>
      <c r="G22" s="49" t="s">
        <v>110</v>
      </c>
      <c r="H22" s="48" t="s">
        <v>77</v>
      </c>
      <c r="I22" s="49" t="s">
        <v>197</v>
      </c>
      <c r="J22" s="48" t="s">
        <v>189</v>
      </c>
      <c r="K22" s="49" t="s">
        <v>190</v>
      </c>
      <c r="L22" s="50" t="s">
        <v>198</v>
      </c>
      <c r="M22" s="49" t="s">
        <v>199</v>
      </c>
      <c r="N22" s="49" t="s">
        <v>200</v>
      </c>
      <c r="O22" s="51" t="s">
        <v>116</v>
      </c>
      <c r="P22" s="49" t="s">
        <v>117</v>
      </c>
      <c r="Q22" s="49" t="s">
        <v>183</v>
      </c>
      <c r="R22" s="49" t="s">
        <v>184</v>
      </c>
      <c r="S22" s="48" t="s">
        <v>42</v>
      </c>
      <c r="T22" s="48" t="s">
        <v>68</v>
      </c>
      <c r="U22" s="45" t="s">
        <v>57</v>
      </c>
      <c r="V22" s="45" t="s">
        <v>194</v>
      </c>
      <c r="W22" s="45" t="s">
        <v>195</v>
      </c>
    </row>
    <row r="23" spans="1:23" ht="72" customHeight="1" x14ac:dyDescent="0.25">
      <c r="A23" s="43" t="s">
        <v>201</v>
      </c>
      <c r="B23" s="44" t="s">
        <v>72</v>
      </c>
      <c r="C23" s="44" t="s">
        <v>73</v>
      </c>
      <c r="D23" s="44" t="s">
        <v>74</v>
      </c>
      <c r="E23" s="44" t="s">
        <v>123</v>
      </c>
      <c r="F23" s="44" t="s">
        <v>202</v>
      </c>
      <c r="G23" s="45" t="s">
        <v>203</v>
      </c>
      <c r="H23" s="44" t="s">
        <v>77</v>
      </c>
      <c r="I23" s="45" t="s">
        <v>204</v>
      </c>
      <c r="J23" s="44" t="s">
        <v>179</v>
      </c>
      <c r="K23" s="45" t="s">
        <v>79</v>
      </c>
      <c r="L23" s="46" t="s">
        <v>205</v>
      </c>
      <c r="M23" s="45" t="s">
        <v>206</v>
      </c>
      <c r="N23" s="45" t="s">
        <v>207</v>
      </c>
      <c r="O23" s="52" t="s">
        <v>116</v>
      </c>
      <c r="P23" s="45" t="s">
        <v>117</v>
      </c>
      <c r="Q23" s="45" t="s">
        <v>183</v>
      </c>
      <c r="R23" s="45" t="s">
        <v>184</v>
      </c>
      <c r="S23" s="44" t="s">
        <v>42</v>
      </c>
      <c r="T23" s="44" t="s">
        <v>208</v>
      </c>
      <c r="U23" s="45" t="s">
        <v>57</v>
      </c>
      <c r="V23" s="45" t="s">
        <v>85</v>
      </c>
      <c r="W23" s="45" t="s">
        <v>86</v>
      </c>
    </row>
    <row r="24" spans="1:23" ht="72" customHeight="1" x14ac:dyDescent="0.25">
      <c r="A24" s="47" t="s">
        <v>209</v>
      </c>
      <c r="B24" s="48" t="s">
        <v>107</v>
      </c>
      <c r="C24" s="48" t="s">
        <v>73</v>
      </c>
      <c r="D24" s="48" t="s">
        <v>108</v>
      </c>
      <c r="E24" s="48" t="s">
        <v>29</v>
      </c>
      <c r="F24" s="48" t="s">
        <v>135</v>
      </c>
      <c r="G24" s="49" t="s">
        <v>110</v>
      </c>
      <c r="H24" s="48" t="s">
        <v>77</v>
      </c>
      <c r="I24" s="49" t="s">
        <v>210</v>
      </c>
      <c r="J24" s="48" t="s">
        <v>189</v>
      </c>
      <c r="K24" s="49" t="s">
        <v>190</v>
      </c>
      <c r="L24" s="50" t="s">
        <v>211</v>
      </c>
      <c r="M24" s="49" t="s">
        <v>212</v>
      </c>
      <c r="N24" s="49" t="s">
        <v>213</v>
      </c>
      <c r="O24" s="51" t="s">
        <v>116</v>
      </c>
      <c r="P24" s="49" t="s">
        <v>117</v>
      </c>
      <c r="Q24" s="49" t="s">
        <v>183</v>
      </c>
      <c r="R24" s="49" t="s">
        <v>184</v>
      </c>
      <c r="S24" s="48" t="s">
        <v>42</v>
      </c>
      <c r="T24" s="48" t="s">
        <v>103</v>
      </c>
      <c r="U24" s="45" t="s">
        <v>57</v>
      </c>
      <c r="V24" s="45" t="s">
        <v>194</v>
      </c>
      <c r="W24" s="45" t="s">
        <v>195</v>
      </c>
    </row>
    <row r="25" spans="1:23" ht="72" customHeight="1" x14ac:dyDescent="0.25">
      <c r="A25" s="43" t="s">
        <v>227</v>
      </c>
      <c r="B25" s="44" t="s">
        <v>107</v>
      </c>
      <c r="C25" s="44" t="s">
        <v>73</v>
      </c>
      <c r="D25" s="44" t="s">
        <v>108</v>
      </c>
      <c r="E25" s="44" t="s">
        <v>48</v>
      </c>
      <c r="F25" s="44" t="s">
        <v>30</v>
      </c>
      <c r="G25" s="45" t="s">
        <v>228</v>
      </c>
      <c r="H25" s="44" t="s">
        <v>62</v>
      </c>
      <c r="I25" s="45" t="s">
        <v>229</v>
      </c>
      <c r="J25" s="44" t="s">
        <v>179</v>
      </c>
      <c r="K25" s="45" t="s">
        <v>230</v>
      </c>
      <c r="L25" s="46" t="s">
        <v>231</v>
      </c>
      <c r="M25" s="45" t="s">
        <v>232</v>
      </c>
      <c r="N25" s="45"/>
      <c r="O25" s="52" t="s">
        <v>116</v>
      </c>
      <c r="P25" s="45" t="s">
        <v>117</v>
      </c>
      <c r="Q25" s="45" t="s">
        <v>183</v>
      </c>
      <c r="R25" s="45" t="s">
        <v>184</v>
      </c>
      <c r="S25" s="44" t="s">
        <v>42</v>
      </c>
      <c r="T25" s="44" t="s">
        <v>142</v>
      </c>
      <c r="U25" s="45" t="s">
        <v>233</v>
      </c>
      <c r="V25" s="45" t="s">
        <v>234</v>
      </c>
      <c r="W25" s="45" t="s">
        <v>235</v>
      </c>
    </row>
    <row r="26" spans="1:23" ht="72" customHeight="1" x14ac:dyDescent="0.25">
      <c r="A26" s="43" t="s">
        <v>260</v>
      </c>
      <c r="B26" s="44" t="s">
        <v>107</v>
      </c>
      <c r="C26" s="44" t="s">
        <v>73</v>
      </c>
      <c r="D26" s="44" t="s">
        <v>108</v>
      </c>
      <c r="E26" s="44" t="s">
        <v>29</v>
      </c>
      <c r="F26" s="44" t="s">
        <v>135</v>
      </c>
      <c r="G26" s="45" t="s">
        <v>261</v>
      </c>
      <c r="H26" s="44" t="s">
        <v>62</v>
      </c>
      <c r="I26" s="45" t="s">
        <v>262</v>
      </c>
      <c r="J26" s="44" t="s">
        <v>179</v>
      </c>
      <c r="K26" s="45" t="s">
        <v>190</v>
      </c>
      <c r="L26" s="46" t="s">
        <v>263</v>
      </c>
      <c r="M26" s="45" t="s">
        <v>264</v>
      </c>
      <c r="N26" s="45" t="s">
        <v>265</v>
      </c>
      <c r="O26" s="52" t="s">
        <v>116</v>
      </c>
      <c r="P26" s="45" t="s">
        <v>117</v>
      </c>
      <c r="Q26" s="45" t="s">
        <v>183</v>
      </c>
      <c r="R26" s="45" t="s">
        <v>184</v>
      </c>
      <c r="S26" s="44" t="s">
        <v>42</v>
      </c>
      <c r="T26" s="44" t="s">
        <v>266</v>
      </c>
      <c r="U26" s="45" t="s">
        <v>57</v>
      </c>
      <c r="V26" s="45" t="s">
        <v>267</v>
      </c>
      <c r="W26" s="45" t="s">
        <v>268</v>
      </c>
    </row>
    <row r="27" spans="1:23" ht="72" customHeight="1" x14ac:dyDescent="0.25">
      <c r="A27" s="47" t="s">
        <v>269</v>
      </c>
      <c r="B27" s="48" t="s">
        <v>72</v>
      </c>
      <c r="C27" s="48" t="s">
        <v>73</v>
      </c>
      <c r="D27" s="48" t="s">
        <v>74</v>
      </c>
      <c r="E27" s="48" t="s">
        <v>48</v>
      </c>
      <c r="F27" s="48" t="s">
        <v>202</v>
      </c>
      <c r="G27" s="49" t="s">
        <v>270</v>
      </c>
      <c r="H27" s="48" t="s">
        <v>62</v>
      </c>
      <c r="I27" s="49" t="s">
        <v>271</v>
      </c>
      <c r="J27" s="48" t="s">
        <v>179</v>
      </c>
      <c r="K27" s="49" t="s">
        <v>79</v>
      </c>
      <c r="L27" s="50" t="s">
        <v>272</v>
      </c>
      <c r="M27" s="49" t="s">
        <v>273</v>
      </c>
      <c r="N27" s="49"/>
      <c r="O27" s="51" t="s">
        <v>116</v>
      </c>
      <c r="P27" s="49" t="s">
        <v>117</v>
      </c>
      <c r="Q27" s="49" t="s">
        <v>183</v>
      </c>
      <c r="R27" s="49" t="s">
        <v>184</v>
      </c>
      <c r="S27" s="48" t="s">
        <v>42</v>
      </c>
      <c r="T27" s="48" t="s">
        <v>274</v>
      </c>
      <c r="U27" s="49" t="s">
        <v>57</v>
      </c>
      <c r="V27" s="49" t="s">
        <v>85</v>
      </c>
      <c r="W27" s="49" t="s">
        <v>86</v>
      </c>
    </row>
    <row r="28" spans="1:23" ht="72" customHeight="1" x14ac:dyDescent="0.25">
      <c r="A28" s="47" t="s">
        <v>283</v>
      </c>
      <c r="B28" s="48" t="s">
        <v>72</v>
      </c>
      <c r="C28" s="48" t="s">
        <v>73</v>
      </c>
      <c r="D28" s="48" t="s">
        <v>108</v>
      </c>
      <c r="E28" s="48" t="s">
        <v>123</v>
      </c>
      <c r="F28" s="48" t="s">
        <v>202</v>
      </c>
      <c r="G28" s="49" t="s">
        <v>284</v>
      </c>
      <c r="H28" s="48" t="s">
        <v>124</v>
      </c>
      <c r="I28" s="49" t="s">
        <v>285</v>
      </c>
      <c r="J28" s="48" t="s">
        <v>179</v>
      </c>
      <c r="K28" s="49" t="s">
        <v>286</v>
      </c>
      <c r="L28" s="50" t="s">
        <v>287</v>
      </c>
      <c r="M28" s="49" t="s">
        <v>288</v>
      </c>
      <c r="N28" s="49" t="s">
        <v>289</v>
      </c>
      <c r="O28" s="51" t="s">
        <v>116</v>
      </c>
      <c r="P28" s="49" t="s">
        <v>117</v>
      </c>
      <c r="Q28" s="49" t="s">
        <v>183</v>
      </c>
      <c r="R28" s="49" t="s">
        <v>184</v>
      </c>
      <c r="S28" s="48" t="s">
        <v>42</v>
      </c>
      <c r="T28" s="48" t="s">
        <v>290</v>
      </c>
      <c r="U28" s="49" t="s">
        <v>233</v>
      </c>
      <c r="V28" s="49" t="s">
        <v>291</v>
      </c>
      <c r="W28" s="49" t="s">
        <v>292</v>
      </c>
    </row>
    <row r="29" spans="1:23" ht="72" customHeight="1" x14ac:dyDescent="0.25">
      <c r="A29" s="43" t="s">
        <v>293</v>
      </c>
      <c r="B29" s="44" t="s">
        <v>72</v>
      </c>
      <c r="C29" s="44" t="s">
        <v>73</v>
      </c>
      <c r="D29" s="44" t="s">
        <v>74</v>
      </c>
      <c r="E29" s="44" t="s">
        <v>48</v>
      </c>
      <c r="F29" s="44" t="s">
        <v>202</v>
      </c>
      <c r="G29" s="45" t="s">
        <v>294</v>
      </c>
      <c r="H29" s="44" t="s">
        <v>158</v>
      </c>
      <c r="I29" s="45" t="s">
        <v>295</v>
      </c>
      <c r="J29" s="44" t="s">
        <v>179</v>
      </c>
      <c r="K29" s="45" t="s">
        <v>79</v>
      </c>
      <c r="L29" s="46" t="s">
        <v>296</v>
      </c>
      <c r="M29" s="45" t="s">
        <v>297</v>
      </c>
      <c r="N29" s="45" t="s">
        <v>298</v>
      </c>
      <c r="O29" s="52" t="s">
        <v>116</v>
      </c>
      <c r="P29" s="45" t="s">
        <v>117</v>
      </c>
      <c r="Q29" s="45" t="s">
        <v>183</v>
      </c>
      <c r="R29" s="45" t="s">
        <v>184</v>
      </c>
      <c r="S29" s="44" t="s">
        <v>42</v>
      </c>
      <c r="T29" s="44" t="s">
        <v>299</v>
      </c>
      <c r="U29" s="45" t="s">
        <v>57</v>
      </c>
      <c r="V29" s="45" t="s">
        <v>300</v>
      </c>
      <c r="W29" s="45" t="s">
        <v>86</v>
      </c>
    </row>
    <row r="30" spans="1:23" ht="72" customHeight="1" x14ac:dyDescent="0.25">
      <c r="A30" s="43" t="s">
        <v>214</v>
      </c>
      <c r="B30" s="44" t="s">
        <v>215</v>
      </c>
      <c r="C30" s="44" t="s">
        <v>215</v>
      </c>
      <c r="D30" s="44" t="s">
        <v>108</v>
      </c>
      <c r="E30" s="44" t="s">
        <v>48</v>
      </c>
      <c r="F30" s="44" t="s">
        <v>216</v>
      </c>
      <c r="G30" s="45" t="s">
        <v>110</v>
      </c>
      <c r="H30" s="44" t="s">
        <v>50</v>
      </c>
      <c r="I30" s="45" t="s">
        <v>217</v>
      </c>
      <c r="J30" s="44" t="s">
        <v>179</v>
      </c>
      <c r="K30" s="45" t="s">
        <v>215</v>
      </c>
      <c r="L30" s="46" t="s">
        <v>218</v>
      </c>
      <c r="M30" s="45" t="s">
        <v>219</v>
      </c>
      <c r="N30" s="45"/>
      <c r="O30" s="52" t="s">
        <v>116</v>
      </c>
      <c r="P30" s="45" t="s">
        <v>117</v>
      </c>
      <c r="Q30" s="45" t="s">
        <v>183</v>
      </c>
      <c r="R30" s="45" t="s">
        <v>184</v>
      </c>
      <c r="S30" s="44" t="s">
        <v>42</v>
      </c>
      <c r="T30" s="44" t="s">
        <v>118</v>
      </c>
      <c r="U30" s="45" t="s">
        <v>57</v>
      </c>
      <c r="V30" s="45" t="s">
        <v>220</v>
      </c>
      <c r="W30" s="45" t="s">
        <v>221</v>
      </c>
    </row>
    <row r="31" spans="1:23" ht="72" customHeight="1" x14ac:dyDescent="0.25">
      <c r="A31" s="47" t="s">
        <v>236</v>
      </c>
      <c r="B31" s="48" t="s">
        <v>215</v>
      </c>
      <c r="C31" s="48" t="s">
        <v>215</v>
      </c>
      <c r="D31" s="48" t="s">
        <v>108</v>
      </c>
      <c r="E31" s="48" t="s">
        <v>29</v>
      </c>
      <c r="F31" s="48" t="s">
        <v>30</v>
      </c>
      <c r="G31" s="49" t="s">
        <v>237</v>
      </c>
      <c r="H31" s="48" t="s">
        <v>62</v>
      </c>
      <c r="I31" s="49" t="s">
        <v>238</v>
      </c>
      <c r="J31" s="48" t="s">
        <v>179</v>
      </c>
      <c r="K31" s="49" t="s">
        <v>215</v>
      </c>
      <c r="L31" s="50" t="s">
        <v>239</v>
      </c>
      <c r="M31" s="49" t="s">
        <v>240</v>
      </c>
      <c r="N31" s="49" t="s">
        <v>241</v>
      </c>
      <c r="O31" s="51" t="s">
        <v>116</v>
      </c>
      <c r="P31" s="49" t="s">
        <v>117</v>
      </c>
      <c r="Q31" s="49" t="s">
        <v>183</v>
      </c>
      <c r="R31" s="49" t="s">
        <v>184</v>
      </c>
      <c r="S31" s="48" t="s">
        <v>42</v>
      </c>
      <c r="T31" s="48" t="s">
        <v>153</v>
      </c>
      <c r="U31" s="49" t="s">
        <v>242</v>
      </c>
      <c r="V31" s="49" t="s">
        <v>243</v>
      </c>
      <c r="W31" s="49" t="s">
        <v>244</v>
      </c>
    </row>
    <row r="32" spans="1:23" ht="72" customHeight="1" x14ac:dyDescent="0.25">
      <c r="A32" s="47" t="s">
        <v>252</v>
      </c>
      <c r="B32" s="48" t="s">
        <v>215</v>
      </c>
      <c r="C32" s="48" t="s">
        <v>215</v>
      </c>
      <c r="D32" s="48" t="s">
        <v>108</v>
      </c>
      <c r="E32" s="48" t="s">
        <v>48</v>
      </c>
      <c r="F32" s="48" t="s">
        <v>30</v>
      </c>
      <c r="G32" s="49" t="s">
        <v>253</v>
      </c>
      <c r="H32" s="48" t="s">
        <v>50</v>
      </c>
      <c r="I32" s="49" t="s">
        <v>254</v>
      </c>
      <c r="J32" s="48" t="s">
        <v>179</v>
      </c>
      <c r="K32" s="49" t="s">
        <v>215</v>
      </c>
      <c r="L32" s="50" t="s">
        <v>255</v>
      </c>
      <c r="M32" s="49" t="s">
        <v>256</v>
      </c>
      <c r="N32" s="49"/>
      <c r="O32" s="51" t="s">
        <v>116</v>
      </c>
      <c r="P32" s="49" t="s">
        <v>117</v>
      </c>
      <c r="Q32" s="49" t="s">
        <v>183</v>
      </c>
      <c r="R32" s="49" t="s">
        <v>184</v>
      </c>
      <c r="S32" s="48" t="s">
        <v>42</v>
      </c>
      <c r="T32" s="48" t="s">
        <v>173</v>
      </c>
      <c r="U32" s="49" t="s">
        <v>257</v>
      </c>
      <c r="V32" s="49" t="s">
        <v>258</v>
      </c>
      <c r="W32" s="49" t="s">
        <v>259</v>
      </c>
    </row>
    <row r="33" spans="1:23" ht="72" customHeight="1" x14ac:dyDescent="0.25">
      <c r="A33" s="47" t="s">
        <v>301</v>
      </c>
      <c r="B33" s="48" t="s">
        <v>215</v>
      </c>
      <c r="C33" s="48" t="s">
        <v>215</v>
      </c>
      <c r="D33" s="48" t="s">
        <v>108</v>
      </c>
      <c r="E33" s="48" t="s">
        <v>123</v>
      </c>
      <c r="F33" s="48" t="s">
        <v>30</v>
      </c>
      <c r="G33" s="49" t="s">
        <v>88</v>
      </c>
      <c r="H33" s="48" t="s">
        <v>158</v>
      </c>
      <c r="I33" s="49" t="s">
        <v>302</v>
      </c>
      <c r="J33" s="48" t="s">
        <v>179</v>
      </c>
      <c r="K33" s="49" t="s">
        <v>215</v>
      </c>
      <c r="L33" s="50" t="s">
        <v>303</v>
      </c>
      <c r="M33" s="49" t="s">
        <v>304</v>
      </c>
      <c r="N33" s="49" t="s">
        <v>305</v>
      </c>
      <c r="O33" s="51" t="s">
        <v>116</v>
      </c>
      <c r="P33" s="49" t="s">
        <v>117</v>
      </c>
      <c r="Q33" s="49" t="s">
        <v>183</v>
      </c>
      <c r="R33" s="49" t="s">
        <v>184</v>
      </c>
      <c r="S33" s="48" t="s">
        <v>42</v>
      </c>
      <c r="T33" s="48" t="s">
        <v>306</v>
      </c>
      <c r="U33" s="49" t="s">
        <v>307</v>
      </c>
      <c r="V33" s="49" t="s">
        <v>308</v>
      </c>
      <c r="W33" s="49" t="s">
        <v>309</v>
      </c>
    </row>
  </sheetData>
  <autoFilter ref="A3:W33" xr:uid="{00000000-0009-0000-0000-000002000000}">
    <sortState xmlns:xlrd2="http://schemas.microsoft.com/office/spreadsheetml/2017/richdata2" ref="A4:W33">
      <sortCondition ref="C3:C33"/>
    </sortState>
  </autoFilter>
  <mergeCells count="2">
    <mergeCell ref="A2:W2"/>
    <mergeCell ref="A1:W1"/>
  </mergeCells>
  <conditionalFormatting sqref="B4:B33">
    <cfRule type="expression" dxfId="11" priority="1">
      <formula>$B4="Pending 1:1"</formula>
    </cfRule>
    <cfRule type="expression" dxfId="10" priority="2">
      <formula>$B4="Do now"</formula>
    </cfRule>
    <cfRule type="expression" dxfId="9" priority="3">
      <formula>$B4="Do later"</formula>
    </cfRule>
    <cfRule type="expression" dxfId="8" priority="4">
      <formula>$B4="Won't do"</formula>
    </cfRule>
    <cfRule type="expression" dxfId="7" priority="5">
      <formula>$B4="Needs more info"</formula>
    </cfRule>
  </conditionalFormatting>
  <conditionalFormatting sqref="C4:C33">
    <cfRule type="expression" dxfId="6" priority="6">
      <formula>$C4="Done"</formula>
    </cfRule>
    <cfRule type="expression" dxfId="5" priority="7">
      <formula>$C4="In progress"</formula>
    </cfRule>
    <cfRule type="expression" dxfId="4" priority="8">
      <formula>$C4="Blocked"</formula>
    </cfRule>
    <cfRule type="expression" dxfId="3" priority="9">
      <formula>$C4="Won't do"</formula>
    </cfRule>
  </conditionalFormatting>
  <conditionalFormatting sqref="E4:E33">
    <cfRule type="expression" dxfId="2" priority="10">
      <formula>$E4="Blocker"</formula>
    </cfRule>
    <cfRule type="expression" dxfId="1" priority="11">
      <formula>$E4="High"</formula>
    </cfRule>
  </conditionalFormatting>
  <conditionalFormatting sqref="J4:J33">
    <cfRule type="expression" dxfId="0" priority="12">
      <formula>$J4="Mobile only"</formula>
    </cfRule>
  </conditionalFormatting>
  <pageMargins left="0.75" right="0.75" top="1" bottom="1" header="0.5" footer="0.5"/>
  <pageSetup paperSize="8" fitToHeight="0" orientation="landscape"/>
  <headerFooter>
    <oddHeader>&amp;LGP journey feedback tracker&amp;RDecision pending 1:1 — do not implement yet</oddHeader>
    <oddFooter>&amp;L&amp;F&amp;RPage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7"/>
  <sheetViews>
    <sheetView showGridLines="0" zoomScale="90" workbookViewId="0">
      <pane xSplit="1" ySplit="5" topLeftCell="B7" activePane="bottomRight" state="frozen"/>
      <selection pane="topRight"/>
      <selection pane="bottomLeft"/>
      <selection pane="bottomRight"/>
    </sheetView>
  </sheetViews>
  <sheetFormatPr defaultRowHeight="15" x14ac:dyDescent="0.25"/>
  <cols>
    <col min="1" max="1" width="3" customWidth="1"/>
    <col min="2" max="2" width="18" customWidth="1"/>
    <col min="3" max="3" width="88" customWidth="1"/>
    <col min="4" max="4" width="48" customWidth="1"/>
  </cols>
  <sheetData>
    <row r="2" spans="2:4" ht="23.25" customHeight="1" x14ac:dyDescent="0.35">
      <c r="B2" s="22" t="s">
        <v>383</v>
      </c>
      <c r="C2" s="11"/>
      <c r="D2" s="11"/>
    </row>
    <row r="3" spans="2:4" x14ac:dyDescent="0.25">
      <c r="B3" s="23" t="s">
        <v>384</v>
      </c>
      <c r="C3" s="11"/>
      <c r="D3" s="11"/>
    </row>
    <row r="5" spans="2:4" x14ac:dyDescent="0.25">
      <c r="B5" s="8" t="s">
        <v>385</v>
      </c>
      <c r="C5" s="8" t="s">
        <v>16</v>
      </c>
      <c r="D5" s="8" t="s">
        <v>386</v>
      </c>
    </row>
    <row r="6" spans="2:4" ht="159.94999999999999" customHeight="1" x14ac:dyDescent="0.25">
      <c r="B6" s="25" t="s">
        <v>387</v>
      </c>
      <c r="C6" s="9"/>
      <c r="D6" s="10" t="s">
        <v>388</v>
      </c>
    </row>
    <row r="7" spans="2:4" ht="243" customHeight="1" x14ac:dyDescent="0.25">
      <c r="B7" s="25" t="s">
        <v>389</v>
      </c>
      <c r="C7" s="9"/>
      <c r="D7" s="10" t="s">
        <v>390</v>
      </c>
    </row>
    <row r="8" spans="2:4" ht="210.4" customHeight="1" x14ac:dyDescent="0.25">
      <c r="B8" s="25" t="s">
        <v>391</v>
      </c>
      <c r="C8" s="9"/>
      <c r="D8" s="10" t="s">
        <v>392</v>
      </c>
    </row>
    <row r="9" spans="2:4" ht="326.45" customHeight="1" x14ac:dyDescent="0.25">
      <c r="B9" s="25" t="s">
        <v>393</v>
      </c>
      <c r="C9" s="9"/>
      <c r="D9" s="10" t="s">
        <v>394</v>
      </c>
    </row>
    <row r="10" spans="2:4" ht="332.1" customHeight="1" x14ac:dyDescent="0.25">
      <c r="B10" s="25" t="s">
        <v>395</v>
      </c>
      <c r="C10" s="9"/>
      <c r="D10" s="10" t="s">
        <v>396</v>
      </c>
    </row>
    <row r="11" spans="2:4" ht="159.94999999999999" customHeight="1" x14ac:dyDescent="0.25">
      <c r="B11" s="25" t="s">
        <v>397</v>
      </c>
      <c r="C11" s="9"/>
      <c r="D11" s="10" t="s">
        <v>398</v>
      </c>
    </row>
    <row r="12" spans="2:4" ht="159.94999999999999" customHeight="1" x14ac:dyDescent="0.25">
      <c r="B12" s="25" t="s">
        <v>399</v>
      </c>
      <c r="C12" s="9"/>
      <c r="D12" s="10" t="s">
        <v>400</v>
      </c>
    </row>
    <row r="13" spans="2:4" ht="246.95" customHeight="1" x14ac:dyDescent="0.25">
      <c r="B13" s="25" t="s">
        <v>401</v>
      </c>
      <c r="C13" s="9"/>
      <c r="D13" s="10" t="s">
        <v>402</v>
      </c>
    </row>
    <row r="14" spans="2:4" ht="215.85" customHeight="1" x14ac:dyDescent="0.25">
      <c r="B14" s="25" t="s">
        <v>403</v>
      </c>
      <c r="C14" s="9"/>
      <c r="D14" s="10" t="s">
        <v>404</v>
      </c>
    </row>
    <row r="15" spans="2:4" ht="332.1" customHeight="1" x14ac:dyDescent="0.25">
      <c r="B15" s="25" t="s">
        <v>405</v>
      </c>
      <c r="C15" s="9"/>
      <c r="D15" s="10" t="s">
        <v>406</v>
      </c>
    </row>
    <row r="16" spans="2:4" ht="332.1" customHeight="1" x14ac:dyDescent="0.25">
      <c r="B16" s="25" t="s">
        <v>407</v>
      </c>
      <c r="C16" s="9"/>
      <c r="D16" s="10" t="s">
        <v>408</v>
      </c>
    </row>
    <row r="17" spans="2:4" ht="286.7" customHeight="1" x14ac:dyDescent="0.25">
      <c r="B17" s="25" t="s">
        <v>409</v>
      </c>
      <c r="C17" s="9"/>
      <c r="D17" s="10" t="s">
        <v>410</v>
      </c>
    </row>
  </sheetData>
  <mergeCells count="14">
    <mergeCell ref="B2:D2"/>
    <mergeCell ref="B8"/>
    <mergeCell ref="B3:D3"/>
    <mergeCell ref="B17"/>
    <mergeCell ref="B12"/>
    <mergeCell ref="B9"/>
    <mergeCell ref="B13"/>
    <mergeCell ref="B15"/>
    <mergeCell ref="B7"/>
    <mergeCell ref="B11"/>
    <mergeCell ref="B6"/>
    <mergeCell ref="B16"/>
    <mergeCell ref="B10"/>
    <mergeCell ref="B14"/>
  </mergeCells>
  <pageMargins left="0.75" right="0.75" top="1" bottom="1" header="0.5" footer="0.5"/>
  <pageSetup paperSize="8" orientation="landscape"/>
  <headerFooter>
    <oddHeader>&amp;LGP journey feedback — screenshots</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8"/>
  <sheetViews>
    <sheetView zoomScale="110" workbookViewId="0"/>
  </sheetViews>
  <sheetFormatPr defaultRowHeight="15" x14ac:dyDescent="0.25"/>
  <cols>
    <col min="1" max="1" width="3" customWidth="1"/>
    <col min="2" max="2" width="22" customWidth="1"/>
    <col min="3" max="3" width="110" customWidth="1"/>
  </cols>
  <sheetData>
    <row r="2" spans="2:3" ht="23.25" customHeight="1" x14ac:dyDescent="0.35">
      <c r="B2" s="22" t="s">
        <v>411</v>
      </c>
      <c r="C2" s="11"/>
    </row>
    <row r="4" spans="2:3" ht="21.95" customHeight="1" x14ac:dyDescent="0.3">
      <c r="B4" s="26" t="s">
        <v>412</v>
      </c>
      <c r="C4" s="11"/>
    </row>
    <row r="5" spans="2:3" ht="279.95" customHeight="1" x14ac:dyDescent="0.25">
      <c r="B5" s="27" t="s">
        <v>413</v>
      </c>
      <c r="C5" s="15"/>
    </row>
    <row r="7" spans="2:3" ht="21.95" customHeight="1" x14ac:dyDescent="0.3">
      <c r="B7" s="26" t="s">
        <v>414</v>
      </c>
      <c r="C7" s="11"/>
    </row>
    <row r="8" spans="2:3" ht="279.95" customHeight="1" x14ac:dyDescent="0.25">
      <c r="B8" s="27" t="s">
        <v>415</v>
      </c>
      <c r="C8" s="15"/>
    </row>
  </sheetData>
  <mergeCells count="5">
    <mergeCell ref="B2:C2"/>
    <mergeCell ref="B7:C7"/>
    <mergeCell ref="B5:C5"/>
    <mergeCell ref="B8:C8"/>
    <mergeCell ref="B4:C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defaultRowHeight="15" x14ac:dyDescent="0.25"/>
  <sheetData>
    <row r="1" spans="1:3" x14ac:dyDescent="0.25">
      <c r="A1" t="s">
        <v>369</v>
      </c>
      <c r="B1" t="s">
        <v>73</v>
      </c>
      <c r="C1" t="s">
        <v>28</v>
      </c>
    </row>
    <row r="2" spans="1:3" x14ac:dyDescent="0.25">
      <c r="A2" t="s">
        <v>26</v>
      </c>
      <c r="B2" t="s">
        <v>371</v>
      </c>
      <c r="C2" t="s">
        <v>108</v>
      </c>
    </row>
    <row r="3" spans="1:3" x14ac:dyDescent="0.25">
      <c r="A3" t="s">
        <v>72</v>
      </c>
      <c r="B3" t="s">
        <v>373</v>
      </c>
    </row>
    <row r="4" spans="1:3" x14ac:dyDescent="0.25">
      <c r="A4" t="s">
        <v>215</v>
      </c>
      <c r="B4" t="s">
        <v>27</v>
      </c>
    </row>
    <row r="5" spans="1:3" x14ac:dyDescent="0.25">
      <c r="A5" t="s">
        <v>107</v>
      </c>
      <c r="B5"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How to use</vt:lpstr>
      <vt:lpstr>Dashboard</vt:lpstr>
      <vt:lpstr>Tracker</vt:lpstr>
      <vt:lpstr>Screenshots</vt:lpstr>
      <vt:lpstr>Original emails</vt:lpstr>
      <vt:lpstr>Lists</vt:lpstr>
      <vt:lpstr>'How to use'!Print_Titles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Gerber</cp:lastModifiedBy>
  <dcterms:created xsi:type="dcterms:W3CDTF">2026-09-12T08:55:27Z</dcterms:created>
  <dcterms:modified xsi:type="dcterms:W3CDTF">2026-09-12T11:53:15Z</dcterms:modified>
</cp:coreProperties>
</file>