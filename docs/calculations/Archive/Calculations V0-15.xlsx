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riHeritage\GP\docs\calculations_clone\"/>
    </mc:Choice>
  </mc:AlternateContent>
  <xr:revisionPtr revIDLastSave="0" documentId="13_ncr:1_{E46D3363-6DEA-4BCB-96EA-F5061DA996A6}" xr6:coauthVersionLast="47" xr6:coauthVersionMax="47" xr10:uidLastSave="{00000000-0000-0000-0000-000000000000}"/>
  <bookViews>
    <workbookView xWindow="-120" yWindow="-120" windowWidth="29040" windowHeight="17520" tabRatio="783" firstSheet="5" activeTab="7" xr2:uid="{00000000-000D-0000-FFFF-FFFF00000000}"/>
  </bookViews>
  <sheets>
    <sheet name="Overview" sheetId="1" r:id="rId1"/>
    <sheet name="Selected persona" sheetId="2" r:id="rId2"/>
    <sheet name="Personas" sheetId="3" r:id="rId3"/>
    <sheet name="CPF" sheetId="4" r:id="rId4"/>
    <sheet name="People Like You" sheetId="5" r:id="rId5"/>
    <sheet name="Need Profiler" sheetId="6" r:id="rId6"/>
    <sheet name="Need Calculator" sheetId="7" r:id="rId7"/>
    <sheet name="Plan Calculator" sheetId="8" r:id="rId8"/>
    <sheet name="Budget Calculator" sheetId="9" r:id="rId9"/>
    <sheet name="Scenario Visualizer" sheetId="10" r:id="rId10"/>
    <sheet name="HappiU" sheetId="11" r:id="rId11"/>
    <sheet name="FX" sheetId="12" r:id="rId12"/>
    <sheet name="Validation" sheetId="13" r:id="rId13"/>
    <sheet name="Assumptions" sheetId="14" r:id="rId14"/>
    <sheet name="Discrepancies" sheetId="15" r:id="rId15"/>
    <sheet name="Change log" sheetId="16" r:id="rId16"/>
    <sheet name="Code check" sheetId="17" r:id="rId17"/>
  </sheets>
  <definedNames>
    <definedName name="_xlnm._FilterDatabase" localSheetId="13" hidden="1">Assumptions!$A$5:$B$10</definedName>
    <definedName name="_xlnm._FilterDatabase" localSheetId="16" hidden="1">'Code check'!$A$2:$R$52</definedName>
    <definedName name="_xlnm._FilterDatabase" localSheetId="2" hidden="1">Personas!$A$2:$AD$52</definedName>
    <definedName name="ageOfRetirement">Assumptions!$B$14</definedName>
    <definedName name="annualBudget">Assumptions!$B$71</definedName>
    <definedName name="assetReturn">Assumptions!$B$10</definedName>
    <definedName name="assetsSaveShare">Assumptions!$B$48</definedName>
    <definedName name="benefitRound">Assumptions!$B$74</definedName>
    <definedName name="CASH_SAVINGS_SHARE">Assumptions!$B$51</definedName>
    <definedName name="CI_COST">Assumptions!$B$35</definedName>
    <definedName name="CI_YEARS">Assumptions!$B$34</definedName>
    <definedName name="coverPremRoundStep">Assumptions!$B$67</definedName>
    <definedName name="coverSliderPremFloor">Assumptions!$B$68</definedName>
    <definedName name="CPF_employee">CPF!$B$26</definedName>
    <definedName name="CPF_income">CPF!$B$8</definedName>
    <definedName name="CPF_on">CPF!$B$22</definedName>
    <definedName name="CPF_rate">CPF!$B$25</definedName>
    <definedName name="CPF_takeHome">CPF!$B$27</definedName>
    <definedName name="CpfCountrySwitch">CPF!$I$6:$J$14</definedName>
    <definedName name="cpfRate_over70">CPF!$B$16</definedName>
    <definedName name="cpfRate_to55">CPF!$B$12</definedName>
    <definedName name="cpfRate_to60">CPF!$B$13</definedName>
    <definedName name="cpfRate_to65">CPF!$B$14</definedName>
    <definedName name="cpfRate_to70">CPF!$B$15</definedName>
    <definedName name="criMedicalPlaceholder">Assumptions!$B$77</definedName>
    <definedName name="currentYear">Assumptions!$B$16</definedName>
    <definedName name="EDU_TOTAL_COST">Assumptions!$B$39</definedName>
    <definedName name="eduYearsDefault">Assumptions!$B$40</definedName>
    <definedName name="endAge">Assumptions!$B$17</definedName>
    <definedName name="FREE_BUDGET_SHARE">Assumptions!$B$64</definedName>
    <definedName name="funeralLump">Assumptions!$B$76</definedName>
    <definedName name="FX_benefitRound">FX!$B$34</definedName>
    <definedName name="FX_cash">FX!$B$22</definedName>
    <definedName name="FX_coverPremStep">FX!$B$32</definedName>
    <definedName name="FX_expenseMonthly">FX!$B$21</definedName>
    <definedName name="FX_incomeMonthly">FX!$B$20</definedName>
    <definedName name="FX_investments">FX!$B$23</definedName>
    <definedName name="FX_liabilities">FX!$B$26</definedName>
    <definedName name="FX_lifeRound">FX!$B$33</definedName>
    <definedName name="FX_lifeSum">FX!$B$27</definedName>
    <definedName name="FX_lumpStep">FX!$B$30</definedName>
    <definedName name="FX_monthlyStep">FX!$B$31</definedName>
    <definedName name="FX_mortgage">FX!$B$25</definedName>
    <definedName name="FX_priceLevel">FX!$B$17</definedName>
    <definedName name="FX_property">FX!$B$24</definedName>
    <definedName name="FX_usdPerLocal">FX!$B$16</definedName>
    <definedName name="fxMode">Assumptions!$B$23</definedName>
    <definedName name="FxTable">FX!$I$6:$K$14</definedName>
    <definedName name="gfr">Assumptions!$B$73</definedName>
    <definedName name="HOSP_MONTHS">Assumptions!$B$38</definedName>
    <definedName name="HU_age">HappiU!$B$5</definedName>
    <definedName name="HU_alpha">HappiU!$B$49</definedName>
    <definedName name="HU_benefitRound">HappiU!$B$33</definedName>
    <definedName name="HU_beta">HappiU!$B$28</definedName>
    <definedName name="HU_calRet">HappiU!$B$34</definedName>
    <definedName name="HU_cash">HappiU!$B$10</definedName>
    <definedName name="HU_cash0">HappiU!$B$46</definedName>
    <definedName name="HU_ciDefaultYears">HappiU!$B$19</definedName>
    <definedName name="HU_ciMaxAge">HappiU!$B$24</definedName>
    <definedName name="HU_ciProp">HappiU!$B$45</definedName>
    <definedName name="HU_ciYears">HappiU!$B$44</definedName>
    <definedName name="HU_ciYearsGP">HappiU!$B$18</definedName>
    <definedName name="HU_col">HappiU!$B$40</definedName>
    <definedName name="HU_defaultLE">HappiU!$B$17</definedName>
    <definedName name="HU_depYears">HappiU!$B$25</definedName>
    <definedName name="HU_disCut">HappiU!$B$23</definedName>
    <definedName name="HU_dtr">HappiU!$B$39</definedName>
    <definedName name="HU_exp0">HappiU!$B$42</definedName>
    <definedName name="HU_expense">HappiU!$B$9</definedName>
    <definedName name="HU_gender">HappiU!$B$6</definedName>
    <definedName name="HU_inc0">HappiU!$B$41</definedName>
    <definedName name="HU_income">HappiU!$B$8</definedName>
    <definedName name="HU_inv">HappiU!$B$11</definedName>
    <definedName name="HU_le">HappiU!$B$37</definedName>
    <definedName name="HU_leS">HappiU!$B$13</definedName>
    <definedName name="HU_lifeSum">HappiU!$B$12</definedName>
    <definedName name="HU_medCost">HappiU!$B$20</definedName>
    <definedName name="HU_minMu">HappiU!$B$29</definedName>
    <definedName name="HU_mu">HappiU!$B$47</definedName>
    <definedName name="HU_nanEquity">HappiU!$B$48</definedName>
    <definedName name="HU_nCons">HappiU!$B$57</definedName>
    <definedName name="HU_nGoals">HappiU!$B$56</definedName>
    <definedName name="HU_postHappiU">HappiU!$B$62</definedName>
    <definedName name="HU_postRaw">HappiU!$B$60</definedName>
    <definedName name="HU_preHappiU">HappiU!$B$61</definedName>
    <definedName name="HU_preRaw">HappiU!$B$59</definedName>
    <definedName name="HU_ptdCost">HappiU!$B$21</definedName>
    <definedName name="HU_ptdCut">HappiU!$B$22</definedName>
    <definedName name="HU_q_adb">Assumptions!$F$111:$I$193</definedName>
    <definedName name="HU_q_dis">Assumptions!$R$111:$U$193</definedName>
    <definedName name="HU_q_hosp">Assumptions!$V$111:$Y$193</definedName>
    <definedName name="HU_q_morb">Assumptions!$J$111:$M$193</definedName>
    <definedName name="HU_q_mort">Assumptions!$B$111:$E$193</definedName>
    <definedName name="HU_q_ptd">Assumptions!$N$111:$Q$193</definedName>
    <definedName name="HU_ret">HappiU!$B$16</definedName>
    <definedName name="HU_retExp">HappiU!$B$43</definedName>
    <definedName name="HU_retLifestyle">HappiU!$B$31</definedName>
    <definedName name="HU_retShare">HappiU!$B$32</definedName>
    <definedName name="HU_riskProfile">HappiU!$B$30</definedName>
    <definedName name="HU_sig">HappiU!$B$58</definedName>
    <definedName name="HU_smoker">HappiU!$B$7</definedName>
    <definedName name="HU_ssC">Assumptions!$Z$111:$Z$193</definedName>
    <definedName name="HU_ssCap">Assumptions!$AA$111:$AA$193</definedName>
    <definedName name="HU_ssG">Assumptions!$AB$111:$AB$193</definedName>
    <definedName name="HU_T">HappiU!$B$38</definedName>
    <definedName name="HU_term">HappiU!$B$26</definedName>
    <definedName name="HU_wdIncome">HappiU!$B$52</definedName>
    <definedName name="HU_wdOn">HappiU!$B$50</definedName>
    <definedName name="HU_wdOut">HappiU!$B$53</definedName>
    <definedName name="HU_wdYear">HappiU!$B$51</definedName>
    <definedName name="HU_whl">HappiU!$B$27</definedName>
    <definedName name="HU_Y_Cw">HappiU!$AE$68:$AE$150</definedName>
    <definedName name="HU_Y_pos">HappiU!$X$68:$X$150</definedName>
    <definedName name="HU_Y_S">HappiU!$I$68:$I$150</definedName>
    <definedName name="HU_Y_sav">HappiU!$AB$68:$AB$150</definedName>
    <definedName name="HU_Y_spend">HappiU!$Y$68:$Y$150</definedName>
    <definedName name="HU_Y_W">HappiU!$AD$68:$AD$150</definedName>
    <definedName name="huNumSims">Assumptions!$B$75</definedName>
    <definedName name="IncomeBands">Assumptions!$E$6:$G$13</definedName>
    <definedName name="incomeGrowthRate">Assumptions!$B$8</definedName>
    <definedName name="inflationRate">Assumptions!$B$5</definedName>
    <definedName name="interestRate">Assumptions!$B$6</definedName>
    <definedName name="investmentReturn">Assumptions!$B$9</definedName>
    <definedName name="INVESTMENTS_SHARE">Assumptions!$B$52</definedName>
    <definedName name="liabilityRatio">Assumptions!$B$50</definedName>
    <definedName name="lifeExpectancyDefault">Assumptions!$B$15</definedName>
    <definedName name="lifePremiumRate">Assumptions!$B$59</definedName>
    <definedName name="lifeRoundUnit">Assumptions!$B$60</definedName>
    <definedName name="lifestyleFrugal">Assumptions!$B$28</definedName>
    <definedName name="lifestyleOnlyTheBest">Assumptions!$B$30</definedName>
    <definedName name="lifestyleStressFree">Assumptions!$B$29</definedName>
    <definedName name="lifeSupportMax">Assumptions!$B$32</definedName>
    <definedName name="lifeSupportMin">Assumptions!$B$31</definedName>
    <definedName name="lifeSupportPivotAge">Assumptions!$B$33</definedName>
    <definedName name="loanRate">Assumptions!$B$7</definedName>
    <definedName name="lumpRoundStep">Assumptions!$B$65</definedName>
    <definedName name="monthlyRoundStep">Assumptions!$B$66</definedName>
    <definedName name="NC_age">'Need Calculator'!$B$5</definedName>
    <definedName name="NC_amount_N_CRI">'Need Calculator'!$B$72</definedName>
    <definedName name="NC_amount_N_EDU">'Need Calculator'!$B$76</definedName>
    <definedName name="NC_amount_N_HOS">'Need Calculator'!$B$74</definedName>
    <definedName name="NC_amount_N_INC">'Need Calculator'!$B$71</definedName>
    <definedName name="NC_amount_N_PRP">'Need Calculator'!$B$78</definedName>
    <definedName name="NC_amount_N_RET">'Need Calculator'!$B$75</definedName>
    <definedName name="NC_amount_N_SAV">'Need Calculator'!$B$77</definedName>
    <definedName name="NC_amount_N_TPD">'Need Calculator'!$B$73</definedName>
    <definedName name="NC_amountUSD_N_CRI">'Need Calculator'!$H$72</definedName>
    <definedName name="NC_amountUSD_N_EDU">'Need Calculator'!$H$76</definedName>
    <definedName name="NC_amountUSD_N_HOS">'Need Calculator'!$H$74</definedName>
    <definedName name="NC_amountUSD_N_INC">'Need Calculator'!$H$71</definedName>
    <definedName name="NC_amountUSD_N_PRP">'Need Calculator'!$H$78</definedName>
    <definedName name="NC_amountUSD_N_RET">'Need Calculator'!$H$75</definedName>
    <definedName name="NC_amountUSD_N_SAV">'Need Calculator'!$H$77</definedName>
    <definedName name="NC_amountUSD_N_TPD">'Need Calculator'!$H$73</definedName>
    <definedName name="NC_eduYears">'Need Calculator'!$B$67</definedName>
    <definedName name="NC_gap_N_CRI">'Need Calculator'!$D$72</definedName>
    <definedName name="NC_gap_N_EDU">'Need Calculator'!$D$76</definedName>
    <definedName name="NC_gap_N_HOS">'Need Calculator'!$D$74</definedName>
    <definedName name="NC_gap_N_INC">'Need Calculator'!$D$71</definedName>
    <definedName name="NC_gap_N_PRP">'Need Calculator'!$D$78</definedName>
    <definedName name="NC_gap_N_RET">'Need Calculator'!$D$75</definedName>
    <definedName name="NC_gap_N_SAV">'Need Calculator'!$D$77</definedName>
    <definedName name="NC_gap_N_TPD">'Need Calculator'!$D$73</definedName>
    <definedName name="NC_gapUSD_N_CRI">'Need Calculator'!$J$72</definedName>
    <definedName name="NC_gapUSD_N_EDU">'Need Calculator'!$J$76</definedName>
    <definedName name="NC_gapUSD_N_HOS">'Need Calculator'!$J$74</definedName>
    <definedName name="NC_gapUSD_N_INC">'Need Calculator'!$J$71</definedName>
    <definedName name="NC_gapUSD_N_PRP">'Need Calculator'!$J$78</definedName>
    <definedName name="NC_gapUSD_N_RET">'Need Calculator'!$J$75</definedName>
    <definedName name="NC_gapUSD_N_SAV">'Need Calculator'!$J$77</definedName>
    <definedName name="NC_gapUSD_N_TPD">'Need Calculator'!$J$73</definedName>
    <definedName name="NC_have_N_CRI">'Need Calculator'!$C$72</definedName>
    <definedName name="NC_have_N_EDU">'Need Calculator'!$C$76</definedName>
    <definedName name="NC_have_N_HOS">'Need Calculator'!$C$74</definedName>
    <definedName name="NC_have_N_INC">'Need Calculator'!$C$71</definedName>
    <definedName name="NC_have_N_PRP">'Need Calculator'!$C$78</definedName>
    <definedName name="NC_have_N_RET">'Need Calculator'!$C$75</definedName>
    <definedName name="NC_have_N_SAV">'Need Calculator'!$C$77</definedName>
    <definedName name="NC_have_N_TPD">'Need Calculator'!$C$73</definedName>
    <definedName name="NC_on_N_CRI">'Need Calculator'!$F$72</definedName>
    <definedName name="NC_on_N_EDU">'Need Calculator'!$F$76</definedName>
    <definedName name="NC_on_N_HOS">'Need Calculator'!$F$74</definedName>
    <definedName name="NC_on_N_INC">'Need Calculator'!$F$71</definedName>
    <definedName name="NC_on_N_PRP">'Need Calculator'!$F$78</definedName>
    <definedName name="NC_on_N_RET">'Need Calculator'!$F$75</definedName>
    <definedName name="NC_on_N_SAV">'Need Calculator'!$F$77</definedName>
    <definedName name="NC_on_N_TPD">'Need Calculator'!$F$73</definedName>
    <definedName name="NC_yearsInRet">'Need Calculator'!$B$66</definedName>
    <definedName name="NC_yearsToRet">'Need Calculator'!$B$65</definedName>
    <definedName name="NP_grow2">'Need Profiler'!$B$92</definedName>
    <definedName name="NP_on_N_CRI">'Need Profiler'!$D$97</definedName>
    <definedName name="NP_on_N_EDU">'Need Profiler'!$D$101</definedName>
    <definedName name="NP_on_N_HOS">'Need Profiler'!$D$99</definedName>
    <definedName name="NP_on_N_INC">'Need Profiler'!$D$96</definedName>
    <definedName name="NP_on_N_PRP">'Need Profiler'!$D$103</definedName>
    <definedName name="NP_on_N_RET">'Need Profiler'!$D$100</definedName>
    <definedName name="NP_on_N_SAV">'Need Profiler'!$D$102</definedName>
    <definedName name="NP_on_N_TPD">'Need Profiler'!$D$98</definedName>
    <definedName name="NP_priority_N_CRI">'Need Profiler'!$E$97</definedName>
    <definedName name="NP_priority_N_EDU">'Need Profiler'!$E$101</definedName>
    <definedName name="NP_priority_N_HOS">'Need Profiler'!$E$99</definedName>
    <definedName name="NP_priority_N_INC">'Need Profiler'!$E$96</definedName>
    <definedName name="NP_priority_N_PRP">'Need Profiler'!$E$103</definedName>
    <definedName name="NP_priority_N_RET">'Need Profiler'!$E$100</definedName>
    <definedName name="NP_priority_N_SAV">'Need Profiler'!$E$102</definedName>
    <definedName name="NP_priority_N_TPD">'Need Profiler'!$E$98</definedName>
    <definedName name="NP_prot1">'Need Profiler'!$B$82</definedName>
    <definedName name="NP_prot2">'Need Profiler'!$B$87</definedName>
    <definedName name="OW_CEILING">CPF!$B$11</definedName>
    <definedName name="PersonaIDs">Personas!$A$3:$A$52</definedName>
    <definedName name="placeholderNeedBudget">Assumptions!$B$72</definedName>
    <definedName name="PLAN_included_N_CRI">'Plan Calculator'!$D$69</definedName>
    <definedName name="PLAN_included_N_EDU">'Plan Calculator'!$D$73</definedName>
    <definedName name="PLAN_included_N_HOS">'Plan Calculator'!$D$71</definedName>
    <definedName name="PLAN_included_N_INC">'Plan Calculator'!$D$68</definedName>
    <definedName name="PLAN_included_N_PRP">'Plan Calculator'!$D$75</definedName>
    <definedName name="PLAN_included_N_RET">'Plan Calculator'!$D$72</definedName>
    <definedName name="PLAN_included_N_SAV">'Plan Calculator'!$D$74</definedName>
    <definedName name="PLAN_included_N_TPD">'Plan Calculator'!$D$70</definedName>
    <definedName name="PLAN_investLump">'Plan Calculator'!$B$78</definedName>
    <definedName name="PLAN_investMth">'Plan Calculator'!$B$77</definedName>
    <definedName name="PLAN_lump_N_EDU">'Plan Calculator'!$B$58</definedName>
    <definedName name="PLAN_lump_N_PRP">'Plan Calculator'!$B$64</definedName>
    <definedName name="PLAN_lump_N_RET">'Plan Calculator'!$B$55</definedName>
    <definedName name="PLAN_lump_N_SAV">'Plan Calculator'!$B$61</definedName>
    <definedName name="PLAN_mth_N_EDU">'Plan Calculator'!$B$57</definedName>
    <definedName name="PLAN_mth_N_PRP">'Plan Calculator'!$B$63</definedName>
    <definedName name="PLAN_mth_N_RET">'Plan Calculator'!$B$54</definedName>
    <definedName name="PLAN_mth_N_SAV">'Plan Calculator'!$B$60</definedName>
    <definedName name="PLAN_nWealth">'Plan Calculator'!$B$42</definedName>
    <definedName name="PLAN_prem_N_CRI">'Plan Calculator'!$B$46</definedName>
    <definedName name="PLAN_prem_N_HOS">'Plan Calculator'!$B$50</definedName>
    <definedName name="PLAN_prem_N_INC">'Plan Calculator'!$B$44</definedName>
    <definedName name="PLAN_prem_N_TPD">'Plan Calculator'!$B$48</definedName>
    <definedName name="PLAN_protPremYr">'Plan Calculator'!$B$51</definedName>
    <definedName name="PLAN_sug_N_CRI">'Plan Calculator'!$B$69</definedName>
    <definedName name="PLAN_sug_N_EDU">'Plan Calculator'!$B$73</definedName>
    <definedName name="PLAN_sug_N_HOS">'Plan Calculator'!$B$71</definedName>
    <definedName name="PLAN_sug_N_INC">'Plan Calculator'!$B$68</definedName>
    <definedName name="PLAN_sug_N_PRP">'Plan Calculator'!$B$75</definedName>
    <definedName name="PLAN_sug_N_RET">'Plan Calculator'!$B$72</definedName>
    <definedName name="PLAN_sug_N_SAV">'Plan Calculator'!$B$74</definedName>
    <definedName name="PLAN_sug_N_TPD">'Plan Calculator'!$B$70</definedName>
    <definedName name="PLAN_sum_N_CRI">'Plan Calculator'!$B$45</definedName>
    <definedName name="PLAN_sum_N_HOS">'Plan Calculator'!$B$49</definedName>
    <definedName name="PLAN_sum_N_INC">'Plan Calculator'!$B$43</definedName>
    <definedName name="PLAN_sum_N_TPD">'Plan Calculator'!$B$47</definedName>
    <definedName name="PLAN_wealthShare">'Plan Calculator'!$B$52</definedName>
    <definedName name="PLU_age">'People Like You'!$B$5</definedName>
    <definedName name="PLU_cash">'People Like You'!$B$77</definedName>
    <definedName name="PLU_currency">'People Like You'!$B$85</definedName>
    <definedName name="PLU_dependents">'People Like You'!$B$10</definedName>
    <definedName name="PLU_expenseMonthly">'People Like You'!$B$74</definedName>
    <definedName name="PLU_incomeMonthly">'People Like You'!$B$73</definedName>
    <definedName name="PLU_investments">'People Like You'!$B$78</definedName>
    <definedName name="PLU_leUsed">'People Like You'!$B$60</definedName>
    <definedName name="PLU_liabilities">'People Like You'!$B$82</definedName>
    <definedName name="PLU_lifePrem">'People Like You'!$B$84</definedName>
    <definedName name="PLU_lifeSum">'People Like You'!$B$83</definedName>
    <definedName name="PLU_marital">'People Like You'!$B$61</definedName>
    <definedName name="PLU_mortgage">'People Like You'!$B$81</definedName>
    <definedName name="PLU_ownsProperty">'People Like You'!$B$16</definedName>
    <definedName name="PLU_property">'People Like You'!$B$80</definedName>
    <definedName name="PLU_surplus">'People Like You'!$B$48</definedName>
    <definedName name="PLU_takeHome">'People Like You'!$B$75</definedName>
    <definedName name="priceLevelOn">Assumptions!$B$24</definedName>
    <definedName name="ProfilerWeights">Assumptions!$B$90:$M$104</definedName>
    <definedName name="PROPERTY_LTV">Assumptions!$B$58</definedName>
    <definedName name="propertyHigh">Assumptions!$B$55</definedName>
    <definedName name="propertyIncomeHigh">Assumptions!$B$57</definedName>
    <definedName name="propertyIncomeLow">Assumptions!$B$56</definedName>
    <definedName name="propertyLow">Assumptions!$B$53</definedName>
    <definedName name="propertyMid">Assumptions!$B$54</definedName>
    <definedName name="protectionPremiumRate">Assumptions!$B$63</definedName>
    <definedName name="prpIncomeMultiple">Assumptions!$B$42</definedName>
    <definedName name="PW_1">Assumptions!$B$90:$M$90</definedName>
    <definedName name="PW_10">Assumptions!$B$99:$M$99</definedName>
    <definedName name="PW_11">Assumptions!$B$100:$M$100</definedName>
    <definedName name="PW_12">Assumptions!$B$101:$M$101</definedName>
    <definedName name="PW_13">Assumptions!$B$102:$M$102</definedName>
    <definedName name="PW_14">Assumptions!$B$103:$M$103</definedName>
    <definedName name="PW_15">Assumptions!$B$104:$M$104</definedName>
    <definedName name="PW_2">Assumptions!$B$91:$M$91</definedName>
    <definedName name="PW_3">Assumptions!$B$92:$M$92</definedName>
    <definedName name="PW_4">Assumptions!$B$93:$M$93</definedName>
    <definedName name="PW_5">Assumptions!$B$94:$M$94</definedName>
    <definedName name="PW_6">Assumptions!$B$95:$M$95</definedName>
    <definedName name="PW_7">Assumptions!$B$96:$M$96</definedName>
    <definedName name="PW_8">Assumptions!$B$97:$M$97</definedName>
    <definedName name="PW_9">Assumptions!$B$98:$M$98</definedName>
    <definedName name="realReturn">Assumptions!$B$11</definedName>
    <definedName name="savIncomeMultiple">Assumptions!$B$41</definedName>
    <definedName name="SelectedPersona">'Selected persona'!$B$2</definedName>
    <definedName name="spendShareBase">Assumptions!$B$45</definedName>
    <definedName name="spendShareCap">Assumptions!$B$47</definedName>
    <definedName name="spendSharePerDependant">Assumptions!$B$46</definedName>
    <definedName name="SV_age">'Scenario Visualizer'!$B$5</definedName>
    <definedName name="SV_asp">'Scenario Visualizer'!$B$90</definedName>
    <definedName name="SV_brs">'Scenario Visualizer'!$B$98</definedName>
    <definedName name="SV_brsGrowth">'Scenario Visualizer'!$B$29</definedName>
    <definedName name="SV_brsIdx">'Scenario Visualizer'!$B$97</definedName>
    <definedName name="SV_brsTbl">'Scenario Visualizer'!$I$17:$I$21</definedName>
    <definedName name="SV_cash">'Scenario Visualizer'!$B$10</definedName>
    <definedName name="SV_ccyF">'Scenario Visualizer'!$B$74</definedName>
    <definedName name="SV_ccyOn">'Scenario Visualizer'!$B$72</definedName>
    <definedName name="SV_ccyV">'Scenario Visualizer'!$B$59</definedName>
    <definedName name="SV_ccyY">'Scenario Visualizer'!$B$58</definedName>
    <definedName name="SV_ccyYr">'Scenario Visualizer'!$B$73</definedName>
    <definedName name="SV_contrib">'Scenario Visualizer'!$B$41</definedName>
    <definedName name="SV_cpfEmp">'Scenario Visualizer'!$K$6:$K$13</definedName>
    <definedName name="SV_cpfLower">'Scenario Visualizer'!$H$6:$H$13</definedName>
    <definedName name="SV_cpfMA">'Scenario Visualizer'!$N$6:$N$13</definedName>
    <definedName name="SV_cpfOA">'Scenario Visualizer'!$L$6:$L$13</definedName>
    <definedName name="SV_cpfOn">'Scenario Visualizer'!$B$89</definedName>
    <definedName name="SV_cpfSA">'Scenario Visualizer'!$M$6:$M$13</definedName>
    <definedName name="SV_cpfTot">'Scenario Visualizer'!$J$6:$J$13</definedName>
    <definedName name="SV_crashF">'Scenario Visualizer'!$B$71</definedName>
    <definedName name="SV_crashOn">'Scenario Visualizer'!$B$69</definedName>
    <definedName name="SV_crashV">'Scenario Visualizer'!$B$57</definedName>
    <definedName name="SV_crashY">'Scenario Visualizer'!$B$56</definedName>
    <definedName name="SV_crashYr">'Scenario Visualizer'!$B$70</definedName>
    <definedName name="SV_deferBonus">'Scenario Visualizer'!$B$30</definedName>
    <definedName name="SV_dtr">'Scenario Visualizer'!$B$35</definedName>
    <definedName name="SV_effNeg">'Scenario Visualizer'!$B$94</definedName>
    <definedName name="SV_effStop">'Scenario Visualizer'!$B$93</definedName>
    <definedName name="SV_exp0">'Scenario Visualizer'!$B$38</definedName>
    <definedName name="SV_expE">'Scenario Visualizer'!$B$83</definedName>
    <definedName name="SV_expense">'Scenario Visualizer'!$B$9</definedName>
    <definedName name="SV_expFrom">'Scenario Visualizer'!$B$66</definedName>
    <definedName name="SV_expImp">'Scenario Visualizer'!$B$86</definedName>
    <definedName name="SV_expOn">'Scenario Visualizer'!$B$81</definedName>
    <definedName name="SV_expS">'Scenario Visualizer'!$B$82</definedName>
    <definedName name="SV_expTo">'Scenario Visualizer'!$B$67</definedName>
    <definedName name="SV_expV">'Scenario Visualizer'!$B$68</definedName>
    <definedName name="SV_fxShare">'Scenario Visualizer'!$B$23</definedName>
    <definedName name="SV_goalLump">'Scenario Visualizer'!$B$50</definedName>
    <definedName name="SV_goalMth">'Scenario Visualizer'!$B$49</definedName>
    <definedName name="SV_goalPay">'Scenario Visualizer'!$B$51</definedName>
    <definedName name="SV_incE">'Scenario Visualizer'!$B$80</definedName>
    <definedName name="SV_incFrom">'Scenario Visualizer'!$B$63</definedName>
    <definedName name="SV_incImp">'Scenario Visualizer'!$B$85</definedName>
    <definedName name="SV_income">'Scenario Visualizer'!$B$7</definedName>
    <definedName name="SV_incOn">'Scenario Visualizer'!$B$78</definedName>
    <definedName name="SV_incS">'Scenario Visualizer'!$B$79</definedName>
    <definedName name="SV_incTo">'Scenario Visualizer'!$B$64</definedName>
    <definedName name="SV_incV">'Scenario Visualizer'!$B$65</definedName>
    <definedName name="SV_inflE">'Scenario Visualizer'!$B$77</definedName>
    <definedName name="SV_inflFrom">'Scenario Visualizer'!$B$60</definedName>
    <definedName name="SV_inflOn">'Scenario Visualizer'!$B$75</definedName>
    <definedName name="SV_inflRate">'Scenario Visualizer'!$B$84</definedName>
    <definedName name="SV_inflS">'Scenario Visualizer'!$B$76</definedName>
    <definedName name="SV_inflTo">'Scenario Visualizer'!$B$61</definedName>
    <definedName name="SV_inflV">'Scenario Visualizer'!$B$62</definedName>
    <definedName name="SV_inst">'Scenario Visualizer'!$B$40</definedName>
    <definedName name="SV_investments">'Scenario Visualizer'!$B$11</definedName>
    <definedName name="SV_L">'Scenario Visualizer'!$B$34</definedName>
    <definedName name="SV_L0">'Scenario Visualizer'!$B$103</definedName>
    <definedName name="SV_LE">'Scenario Visualizer'!$B$18</definedName>
    <definedName name="SV_lifeGrowth">'Scenario Visualizer'!$B$28</definedName>
    <definedName name="SV_lifePrem">'Scenario Visualizer'!$B$15</definedName>
    <definedName name="SV_lifePremYr">'Scenario Visualizer'!$B$42</definedName>
    <definedName name="SV_lifeSum">'Scenario Visualizer'!$B$14</definedName>
    <definedName name="SV_loanYears">'Scenario Visualizer'!$B$21</definedName>
    <definedName name="SV_maCap">'Scenario Visualizer'!$B$25</definedName>
    <definedName name="SV_mortgage">'Scenario Visualizer'!$B$13</definedName>
    <definedName name="SV_mortP">'Scenario Visualizer'!$B$39</definedName>
    <definedName name="SV_mult">'Scenario Visualizer'!$B$100</definedName>
    <definedName name="SV_n1">'Scenario Visualizer'!$B$105</definedName>
    <definedName name="SV_oaRate">'Scenario Visualizer'!$B$26</definedName>
    <definedName name="SV_owCap">'Scenario Visualizer'!$B$24</definedName>
    <definedName name="SV_pay">'Scenario Visualizer'!$B$102</definedName>
    <definedName name="SV_payTbl">'Scenario Visualizer'!$J$17:$L$21</definedName>
    <definedName name="SV_pIdx">'Scenario Visualizer'!$B$96</definedName>
    <definedName name="SV_property">'Scenario Visualizer'!$B$12</definedName>
    <definedName name="SV_propPremium">'Scenario Visualizer'!$B$22</definedName>
    <definedName name="SV_propRate">'Scenario Visualizer'!$B$43</definedName>
    <definedName name="SV_protPay">'Scenario Visualizer'!$B$53</definedName>
    <definedName name="SV_protPrem">'Scenario Visualizer'!$B$52</definedName>
    <definedName name="SV_R0">'Scenario Visualizer'!$B$104</definedName>
    <definedName name="SV_raS">'Scenario Visualizer'!$B$99</definedName>
    <definedName name="SV_residency">'Scenario Visualizer'!$B$6</definedName>
    <definedName name="SV_ret">'Scenario Visualizer'!$B$20</definedName>
    <definedName name="SV_retLump">'Scenario Visualizer'!$B$47</definedName>
    <definedName name="SV_retMth">'Scenario Visualizer'!$B$46</definedName>
    <definedName name="SV_retPay">'Scenario Visualizer'!$B$48</definedName>
    <definedName name="SV_sal0">'Scenario Visualizer'!$B$37</definedName>
    <definedName name="SV_salCut">'Scenario Visualizer'!$B$36</definedName>
    <definedName name="SV_saRate">'Scenario Visualizer'!$B$27</definedName>
    <definedName name="SV_savRate">'Scenario Visualizer'!$B$19</definedName>
    <definedName name="SV_seedLife">'Scenario Visualizer'!$B$106</definedName>
    <definedName name="SV_seedRA">'Scenario Visualizer'!$B$107</definedName>
    <definedName name="SV_sIdx">'Scenario Visualizer'!$B$95</definedName>
    <definedName name="SV_sp">'Scenario Visualizer'!$B$92</definedName>
    <definedName name="SV_spOutPost">'Scenario Visualizer'!$B$117</definedName>
    <definedName name="SV_spOutPre">'Scenario Visualizer'!$B$116</definedName>
    <definedName name="SV_stop">'Scenario Visualizer'!$B$91</definedName>
    <definedName name="SV_T">'Scenario Visualizer'!$B$33</definedName>
    <definedName name="SV_takeHome">'Scenario Visualizer'!$B$8</definedName>
    <definedName name="SV_wd">'Scenario Visualizer'!$B$101</definedName>
    <definedName name="SV_wdAmt">'Scenario Visualizer'!$B$45</definedName>
    <definedName name="SV_wdYear">'Scenario Visualizer'!$B$44</definedName>
    <definedName name="SV_wPost65">'Scenario Visualizer'!$B$112</definedName>
    <definedName name="SV_wPost85">'Scenario Visualizer'!$B$113</definedName>
    <definedName name="SV_wPostEnd">'Scenario Visualizer'!$B$115</definedName>
    <definedName name="SV_wPre65">'Scenario Visualizer'!$B$110</definedName>
    <definedName name="SV_wPre85">'Scenario Visualizer'!$B$111</definedName>
    <definedName name="SV_wPreEnd">'Scenario Visualizer'!$B$114</definedName>
    <definedName name="SV_Y_cash">'Scenario Visualizer'!$N$123:$N$205</definedName>
    <definedName name="SV_Y_cpf">'Scenario Visualizer'!$AC$123:$AC$205</definedName>
    <definedName name="SV_Y_home">'Scenario Visualizer'!$P$123:$P$205</definedName>
    <definedName name="SV_Y_insCf">'Scenario Visualizer'!$AO$123:$AO$205</definedName>
    <definedName name="SV_Y_inv">'Scenario Visualizer'!$O$123:$O$205</definedName>
    <definedName name="SV_Y_loan">'Scenario Visualizer'!$AE$123:$AE$205</definedName>
    <definedName name="SV_Y_pot">'Scenario Visualizer'!$AN$123:$AN$205</definedName>
    <definedName name="SV_Y_sal">'Scenario Visualizer'!$H$123:$H$205</definedName>
    <definedName name="SV_Y_savPost">'Scenario Visualizer'!$AP$123:$AP$205</definedName>
    <definedName name="SV_Y_savPre">'Scenario Visualizer'!$AF$123:$AF$205</definedName>
    <definedName name="SV_Y_spend">'Scenario Visualizer'!$I$123:$I$205</definedName>
    <definedName name="SV_Y_spPost">'Scenario Visualizer'!$AR$123:$AR$205</definedName>
    <definedName name="SV_Y_spPre">'Scenario Visualizer'!$AH$123:$AH$205</definedName>
    <definedName name="SV_Y_wPost">'Scenario Visualizer'!$AQ$123:$AQ$205</definedName>
    <definedName name="SV_Y_wPre">'Scenario Visualizer'!$AG$123:$AG$205</definedName>
    <definedName name="systemCurrency">Assumptions!$B$22</definedName>
    <definedName name="TPD_COST">Assumptions!$B$37</definedName>
    <definedName name="TPD_YEARS">Assumptions!$B$36</definedName>
    <definedName name="UsdRules">Validation!$A$6:$C$13</definedName>
    <definedName name="workStartAge">Assumptions!$B$49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1" i="7" l="1"/>
  <c r="D71" i="7"/>
  <c r="B81" i="6"/>
  <c r="B80" i="6"/>
  <c r="B79" i="6"/>
  <c r="B78" i="6"/>
  <c r="B32" i="6"/>
  <c r="B31" i="6"/>
  <c r="B30" i="6"/>
  <c r="B39" i="5"/>
  <c r="B11" i="14"/>
  <c r="E27" i="13"/>
  <c r="D27" i="13"/>
  <c r="E26" i="13"/>
  <c r="D26" i="13"/>
  <c r="E25" i="13"/>
  <c r="D25" i="13"/>
  <c r="E24" i="13"/>
  <c r="D24" i="13"/>
  <c r="E23" i="13"/>
  <c r="D23" i="13"/>
  <c r="E22" i="13"/>
  <c r="D22" i="13"/>
  <c r="E21" i="13"/>
  <c r="D21" i="13"/>
  <c r="E20" i="13"/>
  <c r="D20" i="13"/>
  <c r="B16" i="13"/>
  <c r="C16" i="13" s="1"/>
  <c r="B17" i="12"/>
  <c r="B29" i="7" s="1"/>
  <c r="B2" i="12"/>
  <c r="C2" i="12" s="1"/>
  <c r="R150" i="11"/>
  <c r="R149" i="11"/>
  <c r="R148" i="11"/>
  <c r="R14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O69" i="11"/>
  <c r="R68" i="11"/>
  <c r="B49" i="11"/>
  <c r="B31" i="11"/>
  <c r="B18" i="11"/>
  <c r="B16" i="11"/>
  <c r="J10" i="11"/>
  <c r="B2" i="11"/>
  <c r="L205" i="10"/>
  <c r="C205" i="10"/>
  <c r="C204" i="10"/>
  <c r="L203" i="10"/>
  <c r="C203" i="10"/>
  <c r="C202" i="10"/>
  <c r="C201" i="10"/>
  <c r="C200" i="10"/>
  <c r="M199" i="10"/>
  <c r="L199" i="10"/>
  <c r="C199" i="10"/>
  <c r="C198" i="10"/>
  <c r="M197" i="10"/>
  <c r="L197" i="10"/>
  <c r="C197" i="10"/>
  <c r="C196" i="10"/>
  <c r="C195" i="10"/>
  <c r="C194" i="10"/>
  <c r="M193" i="10"/>
  <c r="C193" i="10"/>
  <c r="C192" i="10"/>
  <c r="C191" i="10"/>
  <c r="C190" i="10"/>
  <c r="L189" i="10"/>
  <c r="C189" i="10"/>
  <c r="G188" i="10"/>
  <c r="C188" i="10"/>
  <c r="C187" i="10"/>
  <c r="M186" i="10"/>
  <c r="C186" i="10"/>
  <c r="C185" i="10"/>
  <c r="C184" i="10"/>
  <c r="L183" i="10"/>
  <c r="C183" i="10"/>
  <c r="M182" i="10"/>
  <c r="L182" i="10"/>
  <c r="G182" i="10"/>
  <c r="C182" i="10"/>
  <c r="C181" i="10"/>
  <c r="L180" i="10"/>
  <c r="G180" i="10"/>
  <c r="C180" i="10"/>
  <c r="M179" i="10"/>
  <c r="C179" i="10"/>
  <c r="C178" i="10"/>
  <c r="C177" i="10"/>
  <c r="C176" i="10"/>
  <c r="C175" i="10"/>
  <c r="L174" i="10"/>
  <c r="C174" i="10"/>
  <c r="L173" i="10"/>
  <c r="C173" i="10"/>
  <c r="L172" i="10"/>
  <c r="C172" i="10"/>
  <c r="C171" i="10"/>
  <c r="C170" i="10"/>
  <c r="L169" i="10"/>
  <c r="C169" i="10"/>
  <c r="L168" i="10"/>
  <c r="C168" i="10"/>
  <c r="C167" i="10"/>
  <c r="C166" i="10"/>
  <c r="M165" i="10"/>
  <c r="C165" i="10"/>
  <c r="M164" i="10"/>
  <c r="C164" i="10"/>
  <c r="C163" i="10"/>
  <c r="M162" i="10"/>
  <c r="L162" i="10"/>
  <c r="C162" i="10"/>
  <c r="L161" i="10"/>
  <c r="C161" i="10"/>
  <c r="C160" i="10"/>
  <c r="C159" i="10"/>
  <c r="L158" i="10"/>
  <c r="C158" i="10"/>
  <c r="C157" i="10"/>
  <c r="C156" i="10"/>
  <c r="C155" i="10"/>
  <c r="C154" i="10"/>
  <c r="M153" i="10"/>
  <c r="C153" i="10"/>
  <c r="L152" i="10"/>
  <c r="C152" i="10"/>
  <c r="L151" i="10"/>
  <c r="C151" i="10"/>
  <c r="C150" i="10"/>
  <c r="C149" i="10"/>
  <c r="C148" i="10"/>
  <c r="C147" i="10"/>
  <c r="M146" i="10"/>
  <c r="C146" i="10"/>
  <c r="C145" i="10"/>
  <c r="L144" i="10"/>
  <c r="C144" i="10"/>
  <c r="M143" i="10"/>
  <c r="C143" i="10"/>
  <c r="C142" i="10"/>
  <c r="C141" i="10"/>
  <c r="M140" i="10"/>
  <c r="L140" i="10"/>
  <c r="C140" i="10"/>
  <c r="M139" i="10"/>
  <c r="C139" i="10"/>
  <c r="C138" i="10"/>
  <c r="C137" i="10"/>
  <c r="L136" i="10"/>
  <c r="C136" i="10"/>
  <c r="L135" i="10"/>
  <c r="C135" i="10"/>
  <c r="C134" i="10"/>
  <c r="L133" i="10"/>
  <c r="C133" i="10"/>
  <c r="M132" i="10"/>
  <c r="C132" i="10"/>
  <c r="C131" i="10"/>
  <c r="M130" i="10"/>
  <c r="C130" i="10"/>
  <c r="M129" i="10"/>
  <c r="L129" i="10"/>
  <c r="C129" i="10"/>
  <c r="C128" i="10"/>
  <c r="M127" i="10"/>
  <c r="C127" i="10"/>
  <c r="M126" i="10"/>
  <c r="L126" i="10"/>
  <c r="C126" i="10"/>
  <c r="M125" i="10"/>
  <c r="L125" i="10"/>
  <c r="C125" i="10"/>
  <c r="M124" i="10"/>
  <c r="L124" i="10"/>
  <c r="F124" i="10"/>
  <c r="C124" i="10"/>
  <c r="C123" i="10"/>
  <c r="B86" i="10"/>
  <c r="B85" i="10"/>
  <c r="B84" i="10"/>
  <c r="B82" i="10"/>
  <c r="B83" i="10" s="1"/>
  <c r="B81" i="10"/>
  <c r="B80" i="10"/>
  <c r="G156" i="10" s="1"/>
  <c r="B79" i="10"/>
  <c r="B78" i="10"/>
  <c r="B76" i="10"/>
  <c r="B75" i="10"/>
  <c r="B74" i="10"/>
  <c r="B73" i="10"/>
  <c r="B72" i="10"/>
  <c r="M167" i="10" s="1"/>
  <c r="B71" i="10"/>
  <c r="B70" i="10"/>
  <c r="B69" i="10"/>
  <c r="L165" i="10" s="1"/>
  <c r="B44" i="10"/>
  <c r="B43" i="10"/>
  <c r="B20" i="10"/>
  <c r="B2" i="10"/>
  <c r="B5" i="10" s="1"/>
  <c r="B16" i="9"/>
  <c r="B2" i="9"/>
  <c r="C2" i="9" s="1"/>
  <c r="B31" i="8"/>
  <c r="B28" i="8"/>
  <c r="B27" i="8"/>
  <c r="B2" i="8"/>
  <c r="C2" i="8" s="1"/>
  <c r="F75" i="7"/>
  <c r="I74" i="7"/>
  <c r="I73" i="7"/>
  <c r="I72" i="7"/>
  <c r="B67" i="7"/>
  <c r="B61" i="7"/>
  <c r="B60" i="7"/>
  <c r="B59" i="7"/>
  <c r="B58" i="7"/>
  <c r="B57" i="7"/>
  <c r="B56" i="7"/>
  <c r="B55" i="7"/>
  <c r="B54" i="7"/>
  <c r="B53" i="7"/>
  <c r="B52" i="7"/>
  <c r="B51" i="7"/>
  <c r="B50" i="7"/>
  <c r="B49" i="7"/>
  <c r="B48" i="7"/>
  <c r="B42" i="7"/>
  <c r="B16" i="7"/>
  <c r="B15" i="7"/>
  <c r="B2" i="7"/>
  <c r="C2" i="7" s="1"/>
  <c r="D100" i="6"/>
  <c r="B2" i="6"/>
  <c r="B19" i="6" s="1"/>
  <c r="B48" i="6" s="1"/>
  <c r="B83" i="5"/>
  <c r="B36" i="5"/>
  <c r="B34" i="5"/>
  <c r="B33" i="5"/>
  <c r="B32" i="5"/>
  <c r="B31" i="5"/>
  <c r="B30" i="5"/>
  <c r="B29" i="5"/>
  <c r="B28" i="5"/>
  <c r="B27" i="5"/>
  <c r="B26" i="5"/>
  <c r="B25" i="5"/>
  <c r="B24" i="5"/>
  <c r="B23" i="5"/>
  <c r="B22" i="5"/>
  <c r="B21" i="5"/>
  <c r="B20" i="5"/>
  <c r="B2" i="5"/>
  <c r="B82" i="5" s="1"/>
  <c r="B2" i="4"/>
  <c r="B24" i="2"/>
  <c r="B23" i="2"/>
  <c r="B22" i="2"/>
  <c r="B21" i="2"/>
  <c r="B20" i="2"/>
  <c r="B19" i="2"/>
  <c r="B18" i="2"/>
  <c r="B16" i="2"/>
  <c r="B13" i="2"/>
  <c r="B12" i="2"/>
  <c r="B11" i="2"/>
  <c r="B10" i="2"/>
  <c r="B9" i="2"/>
  <c r="B8" i="2"/>
  <c r="B7" i="2"/>
  <c r="B6" i="2"/>
  <c r="B5" i="2"/>
  <c r="C2" i="2"/>
  <c r="B45" i="7" l="1"/>
  <c r="H76" i="7" s="1"/>
  <c r="B44" i="7"/>
  <c r="B15" i="6"/>
  <c r="B38" i="6" s="1"/>
  <c r="B16" i="6"/>
  <c r="B45" i="6" s="1"/>
  <c r="B17" i="6"/>
  <c r="B46" i="6" s="1"/>
  <c r="B14" i="5"/>
  <c r="B73" i="5" s="1"/>
  <c r="B18" i="6"/>
  <c r="B47" i="6" s="1"/>
  <c r="B16" i="5"/>
  <c r="B74" i="5"/>
  <c r="B77" i="5"/>
  <c r="B31" i="2" s="1"/>
  <c r="B5" i="7"/>
  <c r="B64" i="7" s="1"/>
  <c r="B78" i="5"/>
  <c r="B7" i="9" s="1"/>
  <c r="B80" i="5"/>
  <c r="B10" i="12" s="1"/>
  <c r="B205" i="10"/>
  <c r="Q204" i="10"/>
  <c r="B191" i="10"/>
  <c r="Q190" i="10"/>
  <c r="B177" i="10"/>
  <c r="Q176" i="10"/>
  <c r="B203" i="10"/>
  <c r="Q202" i="10"/>
  <c r="B189" i="10"/>
  <c r="Q188" i="10"/>
  <c r="B175" i="10"/>
  <c r="Q174" i="10"/>
  <c r="B202" i="10"/>
  <c r="Q199" i="10"/>
  <c r="B188" i="10"/>
  <c r="Q185" i="10"/>
  <c r="B174" i="10"/>
  <c r="Q171" i="10"/>
  <c r="B169" i="10"/>
  <c r="Q168" i="10"/>
  <c r="B155" i="10"/>
  <c r="Q154" i="10"/>
  <c r="B141" i="10"/>
  <c r="Q140" i="10"/>
  <c r="Q205" i="10"/>
  <c r="B194" i="10"/>
  <c r="Q191" i="10"/>
  <c r="B180" i="10"/>
  <c r="Q177" i="10"/>
  <c r="B167" i="10"/>
  <c r="Q166" i="10"/>
  <c r="B153" i="10"/>
  <c r="Q152" i="10"/>
  <c r="B139" i="10"/>
  <c r="Q138" i="10"/>
  <c r="Q172" i="10"/>
  <c r="B168" i="10"/>
  <c r="Q165" i="10"/>
  <c r="B154" i="10"/>
  <c r="Q151" i="10"/>
  <c r="B140" i="10"/>
  <c r="B130" i="10"/>
  <c r="Q129" i="10"/>
  <c r="Q186" i="10"/>
  <c r="B182" i="10"/>
  <c r="Q179" i="10"/>
  <c r="B178" i="10"/>
  <c r="B171" i="10"/>
  <c r="B160" i="10"/>
  <c r="Q157" i="10"/>
  <c r="B146" i="10"/>
  <c r="Q143" i="10"/>
  <c r="B128" i="10"/>
  <c r="Q127" i="10"/>
  <c r="B200" i="10"/>
  <c r="B199" i="10"/>
  <c r="B201" i="10"/>
  <c r="Q194" i="10"/>
  <c r="Q141" i="10"/>
  <c r="B138" i="10"/>
  <c r="B136" i="10"/>
  <c r="Q133" i="10"/>
  <c r="B204" i="10"/>
  <c r="Q200" i="10"/>
  <c r="Q196" i="10"/>
  <c r="Q155" i="10"/>
  <c r="Q148" i="10"/>
  <c r="B147" i="10"/>
  <c r="Q144" i="10"/>
  <c r="Q193" i="10"/>
  <c r="B179" i="10"/>
  <c r="Q175" i="10"/>
  <c r="B173" i="10"/>
  <c r="B164" i="10"/>
  <c r="B163" i="10"/>
  <c r="Q153" i="10"/>
  <c r="B196" i="10"/>
  <c r="Q182" i="10"/>
  <c r="B176" i="10"/>
  <c r="B165" i="10"/>
  <c r="B162" i="10"/>
  <c r="Q198" i="10"/>
  <c r="B166" i="10"/>
  <c r="Q158" i="10"/>
  <c r="Q195" i="10"/>
  <c r="B193" i="10"/>
  <c r="B187" i="10"/>
  <c r="B184" i="10"/>
  <c r="Q184" i="10"/>
  <c r="Q170" i="10"/>
  <c r="B190" i="10"/>
  <c r="B185" i="10"/>
  <c r="Q201" i="10"/>
  <c r="B198" i="10"/>
  <c r="Q187" i="10"/>
  <c r="Q180" i="10"/>
  <c r="B181" i="10"/>
  <c r="Q164" i="10"/>
  <c r="B158" i="10"/>
  <c r="B150" i="10"/>
  <c r="Q142" i="10"/>
  <c r="B129" i="10"/>
  <c r="B127" i="10"/>
  <c r="B192" i="10"/>
  <c r="B172" i="10"/>
  <c r="B156" i="10"/>
  <c r="Q149" i="10"/>
  <c r="Q146" i="10"/>
  <c r="Q139" i="10"/>
  <c r="B132" i="10"/>
  <c r="B131" i="10"/>
  <c r="B124" i="10"/>
  <c r="Q161" i="10"/>
  <c r="B134" i="10"/>
  <c r="Q126" i="10"/>
  <c r="Q167" i="10"/>
  <c r="B161" i="10"/>
  <c r="Q147" i="10"/>
  <c r="Q137" i="10"/>
  <c r="Q131" i="10"/>
  <c r="B91" i="10"/>
  <c r="Q145" i="10"/>
  <c r="B125" i="10"/>
  <c r="Q197" i="10"/>
  <c r="B195" i="10"/>
  <c r="Q178" i="10"/>
  <c r="B133" i="10"/>
  <c r="B157" i="10"/>
  <c r="B183" i="10"/>
  <c r="Q159" i="10"/>
  <c r="Q156" i="10"/>
  <c r="B148" i="10"/>
  <c r="Q128" i="10"/>
  <c r="Q124" i="10"/>
  <c r="Q162" i="10"/>
  <c r="Q135" i="10"/>
  <c r="B126" i="10"/>
  <c r="B33" i="10"/>
  <c r="B152" i="10"/>
  <c r="B170" i="10"/>
  <c r="B145" i="10"/>
  <c r="B144" i="10"/>
  <c r="B135" i="10"/>
  <c r="B197" i="10"/>
  <c r="Q192" i="10"/>
  <c r="B186" i="10"/>
  <c r="Q169" i="10"/>
  <c r="Q163" i="10"/>
  <c r="Q160" i="10"/>
  <c r="Q183" i="10"/>
  <c r="Q173" i="10"/>
  <c r="B159" i="10"/>
  <c r="B151" i="10"/>
  <c r="Q203" i="10"/>
  <c r="B142" i="10"/>
  <c r="B149" i="10"/>
  <c r="B137" i="10"/>
  <c r="B53" i="10"/>
  <c r="B123" i="10"/>
  <c r="Q181" i="10"/>
  <c r="B97" i="10"/>
  <c r="Q189" i="10"/>
  <c r="Q136" i="10"/>
  <c r="Q134" i="10"/>
  <c r="B143" i="10"/>
  <c r="Q132" i="10"/>
  <c r="Q130" i="10"/>
  <c r="Q125" i="10"/>
  <c r="Q150" i="10"/>
  <c r="B7" i="4"/>
  <c r="B5" i="4"/>
  <c r="B22" i="4" s="1"/>
  <c r="B22" i="13"/>
  <c r="G132" i="10"/>
  <c r="B24" i="13"/>
  <c r="B9" i="10"/>
  <c r="B38" i="10" s="1"/>
  <c r="G149" i="10"/>
  <c r="B27" i="13"/>
  <c r="B13" i="12"/>
  <c r="B12" i="11"/>
  <c r="L6" i="11" s="1"/>
  <c r="B36" i="2"/>
  <c r="B9" i="7"/>
  <c r="B84" i="5"/>
  <c r="B15" i="10" s="1"/>
  <c r="B10" i="6"/>
  <c r="B7" i="7"/>
  <c r="B7" i="11"/>
  <c r="B5" i="11"/>
  <c r="C2" i="11"/>
  <c r="B6" i="11"/>
  <c r="B7" i="12"/>
  <c r="C2" i="4"/>
  <c r="G128" i="10"/>
  <c r="G202" i="10"/>
  <c r="B6" i="4"/>
  <c r="B24" i="4" s="1"/>
  <c r="G135" i="10"/>
  <c r="B8" i="4"/>
  <c r="B26" i="13"/>
  <c r="B12" i="12"/>
  <c r="B35" i="2"/>
  <c r="G153" i="10"/>
  <c r="B14" i="10"/>
  <c r="P11" i="11"/>
  <c r="P12" i="11"/>
  <c r="B51" i="10"/>
  <c r="P13" i="11"/>
  <c r="B24" i="8"/>
  <c r="B9" i="5"/>
  <c r="B7" i="5"/>
  <c r="B69" i="5"/>
  <c r="B17" i="5"/>
  <c r="B60" i="5" s="1"/>
  <c r="B85" i="5"/>
  <c r="D16" i="13" s="1"/>
  <c r="B67" i="5"/>
  <c r="B15" i="5"/>
  <c r="B81" i="5"/>
  <c r="B70" i="5"/>
  <c r="B10" i="5"/>
  <c r="B46" i="5" s="1"/>
  <c r="B68" i="5"/>
  <c r="B8" i="5"/>
  <c r="B64" i="5"/>
  <c r="C2" i="5"/>
  <c r="B66" i="5"/>
  <c r="B6" i="5"/>
  <c r="B65" i="5"/>
  <c r="B5" i="5"/>
  <c r="B77" i="10"/>
  <c r="G142" i="10"/>
  <c r="B11" i="5"/>
  <c r="B12" i="6"/>
  <c r="G140" i="10"/>
  <c r="B6" i="12"/>
  <c r="B20" i="13"/>
  <c r="B8" i="11"/>
  <c r="B41" i="11" s="1"/>
  <c r="B6" i="7"/>
  <c r="B9" i="6"/>
  <c r="G145" i="10"/>
  <c r="G144" i="10"/>
  <c r="G143" i="10"/>
  <c r="G138" i="10"/>
  <c r="G124" i="10"/>
  <c r="G197" i="10"/>
  <c r="G194" i="10"/>
  <c r="G191" i="10"/>
  <c r="G174" i="10"/>
  <c r="G171" i="10"/>
  <c r="G190" i="10"/>
  <c r="G179" i="10"/>
  <c r="G176" i="10"/>
  <c r="G178" i="10"/>
  <c r="G168" i="10"/>
  <c r="G163" i="10"/>
  <c r="G136" i="10"/>
  <c r="G134" i="10"/>
  <c r="G203" i="10"/>
  <c r="G196" i="10"/>
  <c r="G187" i="10"/>
  <c r="G183" i="10"/>
  <c r="G159" i="10"/>
  <c r="G154" i="10"/>
  <c r="G205" i="10"/>
  <c r="G131" i="10"/>
  <c r="G189" i="10"/>
  <c r="G173" i="10"/>
  <c r="G126" i="10"/>
  <c r="G157" i="10"/>
  <c r="G133" i="10"/>
  <c r="G167" i="10"/>
  <c r="G160" i="10"/>
  <c r="G139" i="10"/>
  <c r="G204" i="10"/>
  <c r="G175" i="10"/>
  <c r="G130" i="10"/>
  <c r="G201" i="10"/>
  <c r="G127" i="10"/>
  <c r="G151" i="10"/>
  <c r="G158" i="10"/>
  <c r="G170" i="10"/>
  <c r="G193" i="10"/>
  <c r="B6" i="10"/>
  <c r="B89" i="10" s="1"/>
  <c r="C2" i="10"/>
  <c r="B48" i="10"/>
  <c r="B90" i="10"/>
  <c r="B92" i="10" s="1"/>
  <c r="L147" i="10"/>
  <c r="L149" i="10"/>
  <c r="L166" i="10"/>
  <c r="B6" i="6"/>
  <c r="B35" i="6" s="1"/>
  <c r="B20" i="6"/>
  <c r="C2" i="6"/>
  <c r="B5" i="6"/>
  <c r="B34" i="6" s="1"/>
  <c r="L195" i="10"/>
  <c r="L181" i="10"/>
  <c r="L193" i="10"/>
  <c r="L179" i="10"/>
  <c r="L204" i="10"/>
  <c r="L198" i="10"/>
  <c r="L190" i="10"/>
  <c r="L184" i="10"/>
  <c r="L176" i="10"/>
  <c r="L159" i="10"/>
  <c r="L145" i="10"/>
  <c r="L157" i="10"/>
  <c r="L143" i="10"/>
  <c r="L202" i="10"/>
  <c r="L170" i="10"/>
  <c r="L167" i="10"/>
  <c r="L164" i="10"/>
  <c r="L156" i="10"/>
  <c r="L153" i="10"/>
  <c r="L150" i="10"/>
  <c r="L142" i="10"/>
  <c r="L138" i="10"/>
  <c r="L134" i="10"/>
  <c r="L139" i="10"/>
  <c r="L132" i="10"/>
  <c r="L188" i="10"/>
  <c r="L194" i="10"/>
  <c r="L192" i="10"/>
  <c r="L171" i="10"/>
  <c r="L130" i="10"/>
  <c r="L127" i="10"/>
  <c r="L186" i="10"/>
  <c r="L191" i="10"/>
  <c r="L148" i="10"/>
  <c r="L146" i="10"/>
  <c r="L137" i="10"/>
  <c r="L200" i="10"/>
  <c r="L185" i="10"/>
  <c r="L178" i="10"/>
  <c r="L154" i="10"/>
  <c r="L201" i="10"/>
  <c r="L187" i="10"/>
  <c r="L177" i="10"/>
  <c r="L155" i="10"/>
  <c r="M137" i="10"/>
  <c r="M166" i="10"/>
  <c r="M177" i="10"/>
  <c r="L196" i="10"/>
  <c r="B7" i="6"/>
  <c r="B36" i="6" s="1"/>
  <c r="B35" i="10"/>
  <c r="B36" i="10" s="1"/>
  <c r="L131" i="10"/>
  <c r="B15" i="8"/>
  <c r="L128" i="10"/>
  <c r="B8" i="6"/>
  <c r="B37" i="6" s="1"/>
  <c r="M202" i="10"/>
  <c r="M200" i="10"/>
  <c r="M188" i="10"/>
  <c r="M185" i="10"/>
  <c r="M181" i="10"/>
  <c r="M168" i="10"/>
  <c r="M196" i="10"/>
  <c r="M183" i="10"/>
  <c r="M169" i="10"/>
  <c r="M161" i="10"/>
  <c r="M157" i="10"/>
  <c r="M148" i="10"/>
  <c r="M174" i="10"/>
  <c r="M171" i="10"/>
  <c r="M138" i="10"/>
  <c r="M134" i="10"/>
  <c r="L163" i="10"/>
  <c r="L175" i="10"/>
  <c r="M204" i="10"/>
  <c r="L141" i="10"/>
  <c r="M154" i="10"/>
  <c r="L160" i="10"/>
  <c r="G146" i="10"/>
  <c r="AE10" i="11"/>
  <c r="B43" i="7"/>
  <c r="M128" i="10"/>
  <c r="M150" i="10"/>
  <c r="M155" i="10"/>
  <c r="M175" i="10"/>
  <c r="M194" i="10"/>
  <c r="M180" i="10"/>
  <c r="M192" i="10"/>
  <c r="M178" i="10"/>
  <c r="M201" i="10"/>
  <c r="M187" i="10"/>
  <c r="M173" i="10"/>
  <c r="M158" i="10"/>
  <c r="M144" i="10"/>
  <c r="M170" i="10"/>
  <c r="M156" i="10"/>
  <c r="M142" i="10"/>
  <c r="M205" i="10"/>
  <c r="M195" i="10"/>
  <c r="M184" i="10"/>
  <c r="M133" i="10"/>
  <c r="M198" i="10"/>
  <c r="M176" i="10"/>
  <c r="M159" i="10"/>
  <c r="M145" i="10"/>
  <c r="M131" i="10"/>
  <c r="M203" i="10"/>
  <c r="M191" i="10"/>
  <c r="M190" i="10"/>
  <c r="M189" i="10"/>
  <c r="M160" i="10"/>
  <c r="M149" i="10"/>
  <c r="M135" i="10"/>
  <c r="M172" i="10"/>
  <c r="M163" i="10"/>
  <c r="M152" i="10"/>
  <c r="M141" i="10"/>
  <c r="M136" i="10"/>
  <c r="M147" i="10"/>
  <c r="M151" i="10"/>
  <c r="G129" i="10"/>
  <c r="G137" i="10"/>
  <c r="G200" i="10"/>
  <c r="G186" i="10"/>
  <c r="G172" i="10"/>
  <c r="G198" i="10"/>
  <c r="G184" i="10"/>
  <c r="G164" i="10"/>
  <c r="G150" i="10"/>
  <c r="G195" i="10"/>
  <c r="G181" i="10"/>
  <c r="G162" i="10"/>
  <c r="G148" i="10"/>
  <c r="G192" i="10"/>
  <c r="G185" i="10"/>
  <c r="G169" i="10"/>
  <c r="G166" i="10"/>
  <c r="G155" i="10"/>
  <c r="G152" i="10"/>
  <c r="G141" i="10"/>
  <c r="G125" i="10"/>
  <c r="G199" i="10"/>
  <c r="G177" i="10"/>
  <c r="G161" i="10"/>
  <c r="G147" i="10"/>
  <c r="G165" i="10"/>
  <c r="B32" i="2" l="1"/>
  <c r="B79" i="5"/>
  <c r="B10" i="7"/>
  <c r="B11" i="10"/>
  <c r="O123" i="10" s="1"/>
  <c r="B11" i="11"/>
  <c r="B6" i="9"/>
  <c r="B30" i="2"/>
  <c r="B9" i="12"/>
  <c r="B23" i="13"/>
  <c r="B6" i="8"/>
  <c r="B10" i="10"/>
  <c r="N123" i="10" s="1"/>
  <c r="N124" i="10" s="1"/>
  <c r="B7" i="10"/>
  <c r="B37" i="10" s="1"/>
  <c r="R180" i="10" s="1"/>
  <c r="B28" i="2"/>
  <c r="B42" i="10"/>
  <c r="B21" i="13"/>
  <c r="B10" i="11"/>
  <c r="B46" i="11" s="1"/>
  <c r="AB68" i="11" s="1"/>
  <c r="B9" i="11"/>
  <c r="B42" i="11" s="1"/>
  <c r="B8" i="12"/>
  <c r="B12" i="10"/>
  <c r="P123" i="10" s="1"/>
  <c r="B65" i="7"/>
  <c r="B40" i="11"/>
  <c r="B33" i="2"/>
  <c r="B11" i="6"/>
  <c r="E161" i="10"/>
  <c r="E182" i="10"/>
  <c r="E146" i="10"/>
  <c r="E165" i="10"/>
  <c r="E162" i="10"/>
  <c r="E151" i="10"/>
  <c r="E147" i="10"/>
  <c r="E179" i="10"/>
  <c r="E148" i="10"/>
  <c r="E153" i="10"/>
  <c r="E144" i="10"/>
  <c r="E134" i="10"/>
  <c r="E176" i="10"/>
  <c r="E135" i="10"/>
  <c r="E129" i="10"/>
  <c r="E158" i="10"/>
  <c r="E132" i="10"/>
  <c r="E199" i="10"/>
  <c r="E154" i="10"/>
  <c r="E185" i="10"/>
  <c r="E163" i="10"/>
  <c r="E160" i="10"/>
  <c r="E124" i="10"/>
  <c r="B105" i="10"/>
  <c r="E180" i="10"/>
  <c r="E150" i="10"/>
  <c r="B45" i="11"/>
  <c r="B43" i="11"/>
  <c r="E194" i="10"/>
  <c r="E164" i="10"/>
  <c r="B49" i="5"/>
  <c r="B61" i="5"/>
  <c r="E171" i="10"/>
  <c r="E140" i="10"/>
  <c r="E152" i="10"/>
  <c r="E196" i="10"/>
  <c r="E168" i="10"/>
  <c r="E197" i="10"/>
  <c r="E201" i="10"/>
  <c r="E133" i="10"/>
  <c r="E187" i="10"/>
  <c r="E155" i="10"/>
  <c r="E172" i="10"/>
  <c r="B27" i="2"/>
  <c r="B26" i="4"/>
  <c r="B44" i="5" s="1"/>
  <c r="B25" i="4"/>
  <c r="B43" i="5" s="1"/>
  <c r="B42" i="5"/>
  <c r="B23" i="4"/>
  <c r="E130" i="10"/>
  <c r="E192" i="10"/>
  <c r="E190" i="10"/>
  <c r="E169" i="10"/>
  <c r="E186" i="10"/>
  <c r="E138" i="10"/>
  <c r="E127" i="10"/>
  <c r="E143" i="10"/>
  <c r="E125" i="10"/>
  <c r="F125" i="10" s="1"/>
  <c r="B25" i="13"/>
  <c r="B11" i="12"/>
  <c r="B13" i="10"/>
  <c r="B8" i="7"/>
  <c r="B34" i="2"/>
  <c r="E177" i="10"/>
  <c r="E170" i="10"/>
  <c r="E189" i="10"/>
  <c r="B23" i="8"/>
  <c r="B47" i="11"/>
  <c r="E128" i="10"/>
  <c r="E139" i="10"/>
  <c r="B13" i="11"/>
  <c r="B37" i="11" s="1"/>
  <c r="B38" i="11" s="1"/>
  <c r="Q12" i="11" s="1"/>
  <c r="B66" i="7"/>
  <c r="B11" i="7"/>
  <c r="E159" i="10"/>
  <c r="E175" i="10"/>
  <c r="E141" i="10"/>
  <c r="E157" i="10"/>
  <c r="E193" i="10"/>
  <c r="E195" i="10"/>
  <c r="E181" i="10"/>
  <c r="E200" i="10"/>
  <c r="E137" i="10"/>
  <c r="E126" i="10"/>
  <c r="E198" i="10"/>
  <c r="E203" i="10"/>
  <c r="E174" i="10"/>
  <c r="E202" i="10"/>
  <c r="E149" i="10"/>
  <c r="E191" i="10"/>
  <c r="E188" i="10"/>
  <c r="E145" i="10"/>
  <c r="AR205" i="10"/>
  <c r="P205" i="10"/>
  <c r="AE204" i="10"/>
  <c r="AF203" i="10"/>
  <c r="R203" i="10"/>
  <c r="D203" i="10"/>
  <c r="AG202" i="10"/>
  <c r="S202" i="10"/>
  <c r="AI200" i="10"/>
  <c r="AO200" i="10" s="1"/>
  <c r="H199" i="10"/>
  <c r="AK198" i="10"/>
  <c r="J197" i="10"/>
  <c r="AM196" i="10"/>
  <c r="AO196" i="10" s="1"/>
  <c r="AE190" i="10"/>
  <c r="D189" i="10"/>
  <c r="AI186" i="10"/>
  <c r="H185" i="10"/>
  <c r="AK184" i="10"/>
  <c r="J183" i="10"/>
  <c r="AM182" i="10"/>
  <c r="AE176" i="10"/>
  <c r="R175" i="10"/>
  <c r="D175" i="10"/>
  <c r="AI172" i="10"/>
  <c r="H171" i="10"/>
  <c r="AP205" i="10"/>
  <c r="AB205" i="10"/>
  <c r="N205" i="10"/>
  <c r="AQ204" i="10"/>
  <c r="O204" i="10"/>
  <c r="AR203" i="10"/>
  <c r="P203" i="10"/>
  <c r="AE202" i="10"/>
  <c r="R201" i="10"/>
  <c r="D201" i="10"/>
  <c r="AI198" i="10"/>
  <c r="H197" i="10"/>
  <c r="AK196" i="10"/>
  <c r="J195" i="10"/>
  <c r="AM194" i="10"/>
  <c r="AE188" i="10"/>
  <c r="D187" i="10"/>
  <c r="AI184" i="10"/>
  <c r="H183" i="10"/>
  <c r="AK182" i="10"/>
  <c r="J181" i="10"/>
  <c r="AM180" i="10"/>
  <c r="AE174" i="10"/>
  <c r="R173" i="10"/>
  <c r="D173" i="10"/>
  <c r="AI170" i="10"/>
  <c r="AI205" i="10"/>
  <c r="S205" i="10"/>
  <c r="AB204" i="10"/>
  <c r="AN203" i="10"/>
  <c r="H203" i="10"/>
  <c r="AI202" i="10"/>
  <c r="R202" i="10"/>
  <c r="H200" i="10"/>
  <c r="AM197" i="10"/>
  <c r="D194" i="10"/>
  <c r="AE193" i="10"/>
  <c r="H192" i="10"/>
  <c r="AI191" i="10"/>
  <c r="H189" i="10"/>
  <c r="AI188" i="10"/>
  <c r="H186" i="10"/>
  <c r="AM183" i="10"/>
  <c r="D180" i="10"/>
  <c r="AE179" i="10"/>
  <c r="H178" i="10"/>
  <c r="AI177" i="10"/>
  <c r="H175" i="10"/>
  <c r="AI174" i="10"/>
  <c r="R174" i="10"/>
  <c r="H172" i="10"/>
  <c r="AE168" i="10"/>
  <c r="D167" i="10"/>
  <c r="H163" i="10"/>
  <c r="AK162" i="10"/>
  <c r="J161" i="10"/>
  <c r="AE154" i="10"/>
  <c r="D153" i="10"/>
  <c r="AK148" i="10"/>
  <c r="J147" i="10"/>
  <c r="AG205" i="10"/>
  <c r="AP204" i="10"/>
  <c r="J204" i="10"/>
  <c r="AL203" i="10"/>
  <c r="AF202" i="10"/>
  <c r="O202" i="10"/>
  <c r="D200" i="10"/>
  <c r="AE199" i="10"/>
  <c r="J198" i="10"/>
  <c r="AI197" i="10"/>
  <c r="R194" i="10"/>
  <c r="J190" i="10"/>
  <c r="D186" i="10"/>
  <c r="AE185" i="10"/>
  <c r="J184" i="10"/>
  <c r="AI183" i="10"/>
  <c r="J176" i="10"/>
  <c r="D172" i="10"/>
  <c r="AE171" i="10"/>
  <c r="AE166" i="10"/>
  <c r="D165" i="10"/>
  <c r="H161" i="10"/>
  <c r="AK160" i="10"/>
  <c r="J159" i="10"/>
  <c r="AE152" i="10"/>
  <c r="D151" i="10"/>
  <c r="H147" i="10"/>
  <c r="AK146" i="10"/>
  <c r="J145" i="10"/>
  <c r="D137" i="10"/>
  <c r="AH205" i="10"/>
  <c r="AM204" i="10"/>
  <c r="U204" i="10"/>
  <c r="AA203" i="10"/>
  <c r="I203" i="10"/>
  <c r="J199" i="10"/>
  <c r="R197" i="10"/>
  <c r="AE195" i="10"/>
  <c r="AI194" i="10"/>
  <c r="AO194" i="10" s="1"/>
  <c r="AM193" i="10"/>
  <c r="AE191" i="10"/>
  <c r="AK190" i="10"/>
  <c r="J188" i="10"/>
  <c r="AE184" i="10"/>
  <c r="D182" i="10"/>
  <c r="H181" i="10"/>
  <c r="AK179" i="10"/>
  <c r="D178" i="10"/>
  <c r="AI176" i="10"/>
  <c r="H174" i="10"/>
  <c r="AK172" i="10"/>
  <c r="D171" i="10"/>
  <c r="AM169" i="10"/>
  <c r="D160" i="10"/>
  <c r="AE159" i="10"/>
  <c r="H158" i="10"/>
  <c r="D146" i="10"/>
  <c r="AE145" i="10"/>
  <c r="J136" i="10"/>
  <c r="D128" i="10"/>
  <c r="H124" i="10"/>
  <c r="AE205" i="10"/>
  <c r="K205" i="10"/>
  <c r="AK204" i="10"/>
  <c r="S204" i="10"/>
  <c r="AQ203" i="10"/>
  <c r="AB202" i="10"/>
  <c r="J202" i="10"/>
  <c r="AE198" i="10"/>
  <c r="D196" i="10"/>
  <c r="H195" i="10"/>
  <c r="AK193" i="10"/>
  <c r="D192" i="10"/>
  <c r="AI190" i="10"/>
  <c r="AO190" i="10" s="1"/>
  <c r="H188" i="10"/>
  <c r="AK186" i="10"/>
  <c r="D185" i="10"/>
  <c r="H184" i="10"/>
  <c r="J180" i="10"/>
  <c r="AI179" i="10"/>
  <c r="AM178" i="10"/>
  <c r="AK175" i="10"/>
  <c r="J173" i="10"/>
  <c r="J170" i="10"/>
  <c r="AK169" i="10"/>
  <c r="J167" i="10"/>
  <c r="AK166" i="10"/>
  <c r="D166" i="10"/>
  <c r="AE165" i="10"/>
  <c r="J164" i="10"/>
  <c r="AK163" i="10"/>
  <c r="J156" i="10"/>
  <c r="AK155" i="10"/>
  <c r="J153" i="10"/>
  <c r="AK152" i="10"/>
  <c r="D152" i="10"/>
  <c r="AE151" i="10"/>
  <c r="J150" i="10"/>
  <c r="AK149" i="10"/>
  <c r="J142" i="10"/>
  <c r="AK141" i="10"/>
  <c r="J138" i="10"/>
  <c r="AK136" i="10"/>
  <c r="AK135" i="10"/>
  <c r="J134" i="10"/>
  <c r="AJ205" i="10"/>
  <c r="J205" i="10"/>
  <c r="AH204" i="10"/>
  <c r="K204" i="10"/>
  <c r="AI203" i="10"/>
  <c r="AJ202" i="10"/>
  <c r="K202" i="10"/>
  <c r="J201" i="10"/>
  <c r="AB203" i="10"/>
  <c r="D202" i="10"/>
  <c r="D205" i="10"/>
  <c r="D204" i="10"/>
  <c r="AR202" i="10"/>
  <c r="AM195" i="10"/>
  <c r="R195" i="10"/>
  <c r="AK191" i="10"/>
  <c r="AI189" i="10"/>
  <c r="AI187" i="10"/>
  <c r="J187" i="10"/>
  <c r="AE186" i="10"/>
  <c r="J185" i="10"/>
  <c r="AK170" i="10"/>
  <c r="R170" i="10"/>
  <c r="H168" i="10"/>
  <c r="AE160" i="10"/>
  <c r="H157" i="10"/>
  <c r="AE153" i="10"/>
  <c r="AE149" i="10"/>
  <c r="D147" i="10"/>
  <c r="J146" i="10"/>
  <c r="AK144" i="10"/>
  <c r="D140" i="10"/>
  <c r="J139" i="10"/>
  <c r="J137" i="10"/>
  <c r="J132" i="10"/>
  <c r="J126" i="10"/>
  <c r="AQ205" i="10"/>
  <c r="AR204" i="10"/>
  <c r="U203" i="10"/>
  <c r="AP202" i="10"/>
  <c r="AO199" i="10"/>
  <c r="R198" i="10"/>
  <c r="AO197" i="10"/>
  <c r="AK194" i="10"/>
  <c r="J193" i="10"/>
  <c r="J191" i="10"/>
  <c r="H187" i="10"/>
  <c r="AM177" i="10"/>
  <c r="AM176" i="10"/>
  <c r="AM175" i="10"/>
  <c r="AI171" i="10"/>
  <c r="AE167" i="10"/>
  <c r="H164" i="10"/>
  <c r="AE163" i="10"/>
  <c r="D161" i="10"/>
  <c r="J160" i="10"/>
  <c r="AK158" i="10"/>
  <c r="D154" i="10"/>
  <c r="D150" i="10"/>
  <c r="D143" i="10"/>
  <c r="J135" i="10"/>
  <c r="D134" i="10"/>
  <c r="B34" i="10"/>
  <c r="B96" i="10" s="1"/>
  <c r="T205" i="10"/>
  <c r="AG204" i="10"/>
  <c r="O203" i="10"/>
  <c r="J189" i="10"/>
  <c r="AK205" i="10"/>
  <c r="P204" i="10"/>
  <c r="AG203" i="10"/>
  <c r="AQ202" i="10"/>
  <c r="N202" i="10"/>
  <c r="D199" i="10"/>
  <c r="D193" i="10"/>
  <c r="AM191" i="10"/>
  <c r="AE187" i="10"/>
  <c r="D184" i="10"/>
  <c r="R182" i="10"/>
  <c r="AE180" i="10"/>
  <c r="H177" i="10"/>
  <c r="J174" i="10"/>
  <c r="AK171" i="10"/>
  <c r="J171" i="10"/>
  <c r="AK151" i="10"/>
  <c r="AK150" i="10"/>
  <c r="D141" i="10"/>
  <c r="N204" i="10"/>
  <c r="AE203" i="10"/>
  <c r="AO202" i="10"/>
  <c r="H194" i="10"/>
  <c r="D190" i="10"/>
  <c r="AM188" i="10"/>
  <c r="AM185" i="10"/>
  <c r="AI181" i="10"/>
  <c r="AK178" i="10"/>
  <c r="D169" i="10"/>
  <c r="AF205" i="10"/>
  <c r="AM200" i="10"/>
  <c r="H191" i="10"/>
  <c r="D168" i="10"/>
  <c r="AO204" i="10"/>
  <c r="AN202" i="10"/>
  <c r="I202" i="10"/>
  <c r="AK200" i="10"/>
  <c r="AE197" i="10"/>
  <c r="AE194" i="10"/>
  <c r="R192" i="10"/>
  <c r="AE177" i="10"/>
  <c r="D170" i="10"/>
  <c r="J149" i="10"/>
  <c r="AE148" i="10"/>
  <c r="J148" i="10"/>
  <c r="AE147" i="10"/>
  <c r="D144" i="10"/>
  <c r="D130" i="10"/>
  <c r="D124" i="10"/>
  <c r="AJ203" i="10"/>
  <c r="AK202" i="10"/>
  <c r="AM201" i="10"/>
  <c r="AK195" i="10"/>
  <c r="J194" i="10"/>
  <c r="R193" i="10"/>
  <c r="AK187" i="10"/>
  <c r="H182" i="10"/>
  <c r="AI180" i="10"/>
  <c r="J179" i="10"/>
  <c r="AK177" i="10"/>
  <c r="AM174" i="10"/>
  <c r="AM171" i="10"/>
  <c r="J162" i="10"/>
  <c r="O205" i="10"/>
  <c r="T204" i="10"/>
  <c r="T203" i="10"/>
  <c r="AE201" i="10"/>
  <c r="AE200" i="10"/>
  <c r="AM199" i="10"/>
  <c r="H193" i="10"/>
  <c r="R183" i="10"/>
  <c r="H173" i="10"/>
  <c r="AM170" i="10"/>
  <c r="AI167" i="10"/>
  <c r="H205" i="10"/>
  <c r="H204" i="10"/>
  <c r="N203" i="10"/>
  <c r="T202" i="10"/>
  <c r="AI199" i="10"/>
  <c r="AK189" i="10"/>
  <c r="AM184" i="10"/>
  <c r="AM181" i="10"/>
  <c r="D181" i="10"/>
  <c r="D179" i="10"/>
  <c r="J178" i="10"/>
  <c r="D176" i="10"/>
  <c r="J172" i="10"/>
  <c r="AO205" i="10"/>
  <c r="K203" i="10"/>
  <c r="H202" i="10"/>
  <c r="J196" i="10"/>
  <c r="R191" i="10"/>
  <c r="AE189" i="10"/>
  <c r="AI178" i="10"/>
  <c r="AE173" i="10"/>
  <c r="AM172" i="10"/>
  <c r="AE170" i="10"/>
  <c r="AI168" i="10"/>
  <c r="AK161" i="10"/>
  <c r="AE156" i="10"/>
  <c r="D156" i="10"/>
  <c r="J151" i="10"/>
  <c r="AE144" i="10"/>
  <c r="D132" i="10"/>
  <c r="D131" i="10"/>
  <c r="AM205" i="10"/>
  <c r="AL204" i="10"/>
  <c r="AP203" i="10"/>
  <c r="H201" i="10"/>
  <c r="R199" i="10"/>
  <c r="AK192" i="10"/>
  <c r="R190" i="10"/>
  <c r="AE181" i="10"/>
  <c r="AE172" i="10"/>
  <c r="AK157" i="10"/>
  <c r="J157" i="10"/>
  <c r="AK142" i="10"/>
  <c r="AK138" i="10"/>
  <c r="D135" i="10"/>
  <c r="R127" i="10"/>
  <c r="AK203" i="10"/>
  <c r="P202" i="10"/>
  <c r="D197" i="10"/>
  <c r="AE183" i="10"/>
  <c r="AK174" i="10"/>
  <c r="AI173" i="10"/>
  <c r="AK167" i="10"/>
  <c r="H162" i="10"/>
  <c r="AK159" i="10"/>
  <c r="AK156" i="10"/>
  <c r="D149" i="10"/>
  <c r="J140" i="10"/>
  <c r="H135" i="10"/>
  <c r="AL205" i="10"/>
  <c r="AM192" i="10"/>
  <c r="D183" i="10"/>
  <c r="AE178" i="10"/>
  <c r="AE155" i="10"/>
  <c r="D148" i="10"/>
  <c r="AK139" i="10"/>
  <c r="D136" i="10"/>
  <c r="AK134" i="10"/>
  <c r="J130" i="10"/>
  <c r="D129" i="10"/>
  <c r="AA205" i="10"/>
  <c r="R204" i="10"/>
  <c r="AM202" i="10"/>
  <c r="AM198" i="10"/>
  <c r="AO198" i="10" s="1"/>
  <c r="AI192" i="10"/>
  <c r="AO192" i="10" s="1"/>
  <c r="AM187" i="10"/>
  <c r="D174" i="10"/>
  <c r="AI169" i="10"/>
  <c r="J168" i="10"/>
  <c r="D164" i="10"/>
  <c r="H160" i="10"/>
  <c r="AE158" i="10"/>
  <c r="R149" i="10"/>
  <c r="AE146" i="10"/>
  <c r="J143" i="10"/>
  <c r="J127" i="10"/>
  <c r="D126" i="10"/>
  <c r="AN123" i="10"/>
  <c r="AI182" i="10"/>
  <c r="H176" i="10"/>
  <c r="AK145" i="10"/>
  <c r="J186" i="10"/>
  <c r="AK183" i="10"/>
  <c r="AK168" i="10"/>
  <c r="I204" i="10"/>
  <c r="AL202" i="10"/>
  <c r="R196" i="10"/>
  <c r="D195" i="10"/>
  <c r="H190" i="10"/>
  <c r="AK180" i="10"/>
  <c r="J175" i="10"/>
  <c r="J154" i="10"/>
  <c r="AK143" i="10"/>
  <c r="J141" i="10"/>
  <c r="D133" i="10"/>
  <c r="U205" i="10"/>
  <c r="AH202" i="10"/>
  <c r="AO193" i="10"/>
  <c r="AE192" i="10"/>
  <c r="AK188" i="10"/>
  <c r="AK181" i="10"/>
  <c r="AM168" i="10"/>
  <c r="H167" i="10"/>
  <c r="AK164" i="10"/>
  <c r="J163" i="10"/>
  <c r="AE161" i="10"/>
  <c r="D157" i="10"/>
  <c r="H154" i="10"/>
  <c r="P124" i="10"/>
  <c r="P125" i="10" s="1"/>
  <c r="P126" i="10" s="1"/>
  <c r="P127" i="10" s="1"/>
  <c r="P128" i="10" s="1"/>
  <c r="P129" i="10" s="1"/>
  <c r="P130" i="10" s="1"/>
  <c r="P131" i="10" s="1"/>
  <c r="P132" i="10" s="1"/>
  <c r="P133" i="10" s="1"/>
  <c r="P134" i="10" s="1"/>
  <c r="P135" i="10" s="1"/>
  <c r="P136" i="10" s="1"/>
  <c r="P137" i="10" s="1"/>
  <c r="P138" i="10" s="1"/>
  <c r="P139" i="10" s="1"/>
  <c r="P140" i="10" s="1"/>
  <c r="P141" i="10" s="1"/>
  <c r="P142" i="10" s="1"/>
  <c r="P143" i="10" s="1"/>
  <c r="P144" i="10" s="1"/>
  <c r="P145" i="10" s="1"/>
  <c r="P146" i="10" s="1"/>
  <c r="P147" i="10" s="1"/>
  <c r="P148" i="10" s="1"/>
  <c r="P149" i="10" s="1"/>
  <c r="P150" i="10" s="1"/>
  <c r="P151" i="10" s="1"/>
  <c r="P152" i="10" s="1"/>
  <c r="P153" i="10" s="1"/>
  <c r="P154" i="10" s="1"/>
  <c r="P155" i="10" s="1"/>
  <c r="P156" i="10" s="1"/>
  <c r="P157" i="10" s="1"/>
  <c r="P158" i="10" s="1"/>
  <c r="P159" i="10" s="1"/>
  <c r="P160" i="10" s="1"/>
  <c r="P161" i="10" s="1"/>
  <c r="P162" i="10" s="1"/>
  <c r="P163" i="10" s="1"/>
  <c r="P164" i="10" s="1"/>
  <c r="P165" i="10" s="1"/>
  <c r="P166" i="10" s="1"/>
  <c r="P167" i="10" s="1"/>
  <c r="P168" i="10" s="1"/>
  <c r="P169" i="10" s="1"/>
  <c r="P170" i="10" s="1"/>
  <c r="P171" i="10" s="1"/>
  <c r="P172" i="10" s="1"/>
  <c r="P173" i="10" s="1"/>
  <c r="P174" i="10" s="1"/>
  <c r="P175" i="10" s="1"/>
  <c r="P176" i="10" s="1"/>
  <c r="P177" i="10" s="1"/>
  <c r="P178" i="10" s="1"/>
  <c r="P179" i="10" s="1"/>
  <c r="P180" i="10" s="1"/>
  <c r="P181" i="10" s="1"/>
  <c r="P182" i="10" s="1"/>
  <c r="P183" i="10" s="1"/>
  <c r="P184" i="10" s="1"/>
  <c r="P185" i="10" s="1"/>
  <c r="P186" i="10" s="1"/>
  <c r="P187" i="10" s="1"/>
  <c r="P188" i="10" s="1"/>
  <c r="P189" i="10" s="1"/>
  <c r="P190" i="10" s="1"/>
  <c r="P191" i="10" s="1"/>
  <c r="P192" i="10" s="1"/>
  <c r="P193" i="10" s="1"/>
  <c r="P194" i="10" s="1"/>
  <c r="P195" i="10" s="1"/>
  <c r="P196" i="10" s="1"/>
  <c r="P197" i="10" s="1"/>
  <c r="P198" i="10" s="1"/>
  <c r="P199" i="10" s="1"/>
  <c r="P200" i="10" s="1"/>
  <c r="P201" i="10" s="1"/>
  <c r="R205" i="10"/>
  <c r="AA202" i="10"/>
  <c r="H196" i="10"/>
  <c r="AI193" i="10"/>
  <c r="AE169" i="10"/>
  <c r="AK154" i="10"/>
  <c r="AE150" i="10"/>
  <c r="D145" i="10"/>
  <c r="D139" i="10"/>
  <c r="AK137" i="10"/>
  <c r="J131" i="10"/>
  <c r="AO203" i="10"/>
  <c r="J177" i="10"/>
  <c r="AM173" i="10"/>
  <c r="J166" i="10"/>
  <c r="D163" i="10"/>
  <c r="H159" i="10"/>
  <c r="AE157" i="10"/>
  <c r="H156" i="10"/>
  <c r="AK147" i="10"/>
  <c r="AJ204" i="10"/>
  <c r="D158" i="10"/>
  <c r="AI204" i="10"/>
  <c r="H180" i="10"/>
  <c r="J182" i="10"/>
  <c r="J165" i="10"/>
  <c r="AK173" i="10"/>
  <c r="H155" i="10"/>
  <c r="AE143" i="10"/>
  <c r="AK201" i="10"/>
  <c r="D188" i="10"/>
  <c r="AE175" i="10"/>
  <c r="H165" i="10"/>
  <c r="AK153" i="10"/>
  <c r="D138" i="10"/>
  <c r="AM203" i="10"/>
  <c r="AI201" i="10"/>
  <c r="J192" i="10"/>
  <c r="AK185" i="10"/>
  <c r="AM179" i="10"/>
  <c r="D159" i="10"/>
  <c r="D155" i="10"/>
  <c r="D125" i="10"/>
  <c r="J124" i="10"/>
  <c r="AH203" i="10"/>
  <c r="AI196" i="10"/>
  <c r="AM189" i="10"/>
  <c r="AI185" i="10"/>
  <c r="D177" i="10"/>
  <c r="AM167" i="10"/>
  <c r="D162" i="10"/>
  <c r="R152" i="10"/>
  <c r="H179" i="10"/>
  <c r="H166" i="10"/>
  <c r="AE164" i="10"/>
  <c r="AN205" i="10"/>
  <c r="R200" i="10"/>
  <c r="H198" i="10"/>
  <c r="AI195" i="10"/>
  <c r="AO195" i="10" s="1"/>
  <c r="AK176" i="10"/>
  <c r="H169" i="10"/>
  <c r="R133" i="10"/>
  <c r="J203" i="10"/>
  <c r="D198" i="10"/>
  <c r="J144" i="10"/>
  <c r="AK165" i="10"/>
  <c r="J128" i="10"/>
  <c r="U202" i="10"/>
  <c r="J158" i="10"/>
  <c r="AK197" i="10"/>
  <c r="J133" i="10"/>
  <c r="AA204" i="10"/>
  <c r="AN201" i="10"/>
  <c r="S203" i="10"/>
  <c r="AE196" i="10"/>
  <c r="AO191" i="10"/>
  <c r="J169" i="10"/>
  <c r="J152" i="10"/>
  <c r="D142" i="10"/>
  <c r="AK140" i="10"/>
  <c r="R129" i="10"/>
  <c r="R164" i="10"/>
  <c r="R130" i="10"/>
  <c r="I205" i="10"/>
  <c r="D191" i="10"/>
  <c r="J200" i="10"/>
  <c r="AM186" i="10"/>
  <c r="AE182" i="10"/>
  <c r="AN204" i="10"/>
  <c r="AE162" i="10"/>
  <c r="R138" i="10"/>
  <c r="J129" i="10"/>
  <c r="AK199" i="10"/>
  <c r="AM190" i="10"/>
  <c r="H170" i="10"/>
  <c r="D127" i="10"/>
  <c r="D123" i="10"/>
  <c r="J155" i="10"/>
  <c r="AF204" i="10"/>
  <c r="AI175" i="10"/>
  <c r="J125" i="10"/>
  <c r="E173" i="10"/>
  <c r="B5" i="12"/>
  <c r="B16" i="12"/>
  <c r="B22" i="12" s="1"/>
  <c r="C22" i="13" s="1"/>
  <c r="E131" i="10"/>
  <c r="E184" i="10"/>
  <c r="E156" i="10"/>
  <c r="E178" i="10"/>
  <c r="E142" i="10"/>
  <c r="E204" i="10"/>
  <c r="E166" i="10"/>
  <c r="B98" i="10"/>
  <c r="E136" i="10"/>
  <c r="E167" i="10"/>
  <c r="E205" i="10"/>
  <c r="E183" i="10"/>
  <c r="B40" i="5"/>
  <c r="B41" i="5"/>
  <c r="B144" i="11"/>
  <c r="B139" i="11"/>
  <c r="B147" i="11"/>
  <c r="B135" i="11"/>
  <c r="B128" i="11"/>
  <c r="B130" i="11"/>
  <c r="B145" i="11"/>
  <c r="B132" i="11"/>
  <c r="B125" i="11"/>
  <c r="B120" i="11"/>
  <c r="B131" i="11"/>
  <c r="B150" i="11"/>
  <c r="B146" i="11"/>
  <c r="B136" i="11"/>
  <c r="B124" i="11"/>
  <c r="B138" i="11"/>
  <c r="B101" i="11"/>
  <c r="B94" i="11"/>
  <c r="B115" i="11"/>
  <c r="B103" i="11"/>
  <c r="B96" i="11"/>
  <c r="B114" i="11"/>
  <c r="B110" i="11"/>
  <c r="B117" i="11"/>
  <c r="B97" i="11"/>
  <c r="B126" i="11"/>
  <c r="B123" i="11"/>
  <c r="B148" i="11"/>
  <c r="B121" i="11"/>
  <c r="B119" i="11"/>
  <c r="B91" i="11"/>
  <c r="B143" i="11"/>
  <c r="B108" i="11"/>
  <c r="B137" i="11"/>
  <c r="B99" i="11"/>
  <c r="B109" i="11"/>
  <c r="B100" i="11"/>
  <c r="B134" i="11"/>
  <c r="B127" i="11"/>
  <c r="B112" i="11"/>
  <c r="B140" i="11"/>
  <c r="B107" i="11"/>
  <c r="B79" i="11"/>
  <c r="B141" i="11"/>
  <c r="B106" i="11"/>
  <c r="B70" i="11"/>
  <c r="B118" i="11"/>
  <c r="B73" i="11"/>
  <c r="B116" i="11"/>
  <c r="B102" i="11"/>
  <c r="B87" i="11"/>
  <c r="B84" i="11"/>
  <c r="B122" i="11"/>
  <c r="B95" i="11"/>
  <c r="B92" i="11"/>
  <c r="B85" i="11"/>
  <c r="B133" i="11"/>
  <c r="B142" i="11"/>
  <c r="B86" i="11"/>
  <c r="B88" i="11"/>
  <c r="B72" i="11"/>
  <c r="B80" i="11"/>
  <c r="B75" i="11"/>
  <c r="B105" i="11"/>
  <c r="B90" i="11"/>
  <c r="B81" i="11"/>
  <c r="B77" i="11"/>
  <c r="B74" i="11"/>
  <c r="B149" i="11"/>
  <c r="B83" i="11"/>
  <c r="B76" i="11"/>
  <c r="B78" i="11"/>
  <c r="P10" i="11"/>
  <c r="Q10" i="11" s="1"/>
  <c r="B111" i="11"/>
  <c r="B89" i="11"/>
  <c r="B39" i="11"/>
  <c r="B113" i="11"/>
  <c r="B82" i="11"/>
  <c r="B68" i="11"/>
  <c r="B129" i="11"/>
  <c r="B93" i="11"/>
  <c r="B71" i="11"/>
  <c r="B69" i="11"/>
  <c r="B104" i="11"/>
  <c r="B98" i="11"/>
  <c r="AO175" i="10" l="1"/>
  <c r="AO180" i="10"/>
  <c r="AO171" i="10"/>
  <c r="AO184" i="10"/>
  <c r="AO170" i="10"/>
  <c r="AO183" i="10"/>
  <c r="AO174" i="10"/>
  <c r="AO179" i="10"/>
  <c r="H128" i="10"/>
  <c r="R139" i="10"/>
  <c r="R125" i="10"/>
  <c r="H127" i="10"/>
  <c r="H152" i="10"/>
  <c r="R171" i="10"/>
  <c r="R131" i="10"/>
  <c r="R151" i="10"/>
  <c r="B24" i="12"/>
  <c r="C24" i="13" s="1"/>
  <c r="F24" i="13" s="1"/>
  <c r="H131" i="10"/>
  <c r="R134" i="10"/>
  <c r="H141" i="10"/>
  <c r="H137" i="10"/>
  <c r="R156" i="10"/>
  <c r="H133" i="10"/>
  <c r="R146" i="10"/>
  <c r="R128" i="10"/>
  <c r="R150" i="10"/>
  <c r="R141" i="10"/>
  <c r="H143" i="10"/>
  <c r="H130" i="10"/>
  <c r="R157" i="10"/>
  <c r="R135" i="10"/>
  <c r="R124" i="10"/>
  <c r="H149" i="10"/>
  <c r="AO177" i="10"/>
  <c r="H138" i="10"/>
  <c r="R143" i="10"/>
  <c r="H146" i="10"/>
  <c r="R147" i="10"/>
  <c r="H134" i="10"/>
  <c r="H126" i="10"/>
  <c r="AO187" i="10"/>
  <c r="R140" i="10"/>
  <c r="R144" i="10"/>
  <c r="H145" i="10"/>
  <c r="R186" i="10"/>
  <c r="R172" i="10"/>
  <c r="H132" i="10"/>
  <c r="H144" i="10"/>
  <c r="R153" i="10"/>
  <c r="AO186" i="10"/>
  <c r="B26" i="12"/>
  <c r="C26" i="13" s="1"/>
  <c r="H148" i="10"/>
  <c r="H150" i="10"/>
  <c r="H140" i="10"/>
  <c r="R145" i="10"/>
  <c r="R169" i="10"/>
  <c r="H151" i="10"/>
  <c r="AO181" i="10"/>
  <c r="R155" i="10"/>
  <c r="R165" i="10"/>
  <c r="R187" i="10"/>
  <c r="R189" i="10"/>
  <c r="R181" i="10"/>
  <c r="R142" i="10"/>
  <c r="AO182" i="10"/>
  <c r="R176" i="10"/>
  <c r="AO173" i="10"/>
  <c r="R163" i="10"/>
  <c r="R158" i="10"/>
  <c r="H139" i="10"/>
  <c r="R126" i="10"/>
  <c r="AO178" i="10"/>
  <c r="R154" i="10"/>
  <c r="R148" i="10"/>
  <c r="R179" i="10"/>
  <c r="R185" i="10"/>
  <c r="H129" i="10"/>
  <c r="H142" i="10"/>
  <c r="R177" i="10"/>
  <c r="H125" i="10"/>
  <c r="R159" i="10"/>
  <c r="R188" i="10"/>
  <c r="B27" i="4"/>
  <c r="B45" i="5" s="1"/>
  <c r="B75" i="5" s="1"/>
  <c r="R167" i="10"/>
  <c r="AO172" i="10"/>
  <c r="R137" i="10"/>
  <c r="R132" i="10"/>
  <c r="R184" i="10"/>
  <c r="R178" i="10"/>
  <c r="R166" i="10"/>
  <c r="H136" i="10"/>
  <c r="R160" i="10"/>
  <c r="R161" i="10"/>
  <c r="AO176" i="10"/>
  <c r="AO167" i="10"/>
  <c r="AO185" i="10"/>
  <c r="AO188" i="10"/>
  <c r="R162" i="10"/>
  <c r="H153" i="10"/>
  <c r="R136" i="10"/>
  <c r="R168" i="10"/>
  <c r="AO169" i="10"/>
  <c r="Z145" i="10"/>
  <c r="Z204" i="10"/>
  <c r="Z143" i="10"/>
  <c r="Z137" i="10"/>
  <c r="Z134" i="10"/>
  <c r="Z153" i="10"/>
  <c r="Z150" i="10"/>
  <c r="Z142" i="10"/>
  <c r="Z132" i="10"/>
  <c r="Z203" i="10"/>
  <c r="Z126" i="10"/>
  <c r="Z141" i="10"/>
  <c r="Z123" i="10"/>
  <c r="AD123" i="10" s="1"/>
  <c r="Z202" i="10"/>
  <c r="Z140" i="10"/>
  <c r="Z144" i="10"/>
  <c r="Z135" i="10"/>
  <c r="Z152" i="10"/>
  <c r="Z139" i="10"/>
  <c r="Z127" i="10"/>
  <c r="Z138" i="10"/>
  <c r="Z125" i="10"/>
  <c r="Z148" i="10"/>
  <c r="Z205" i="10"/>
  <c r="Z136" i="10"/>
  <c r="Z129" i="10"/>
  <c r="Z146" i="10"/>
  <c r="Z133" i="10"/>
  <c r="Z147" i="10"/>
  <c r="Z130" i="10"/>
  <c r="Z128" i="10"/>
  <c r="Z124" i="10"/>
  <c r="Z131" i="10"/>
  <c r="Z149" i="10"/>
  <c r="Z151" i="10"/>
  <c r="AO168" i="10"/>
  <c r="N125" i="10"/>
  <c r="AB150" i="11"/>
  <c r="F149" i="11"/>
  <c r="Y150" i="11"/>
  <c r="AE149" i="11"/>
  <c r="C149" i="11"/>
  <c r="I148" i="11"/>
  <c r="AC147" i="11"/>
  <c r="G146" i="11"/>
  <c r="AA145" i="11"/>
  <c r="S144" i="11"/>
  <c r="E144" i="11"/>
  <c r="Y143" i="11"/>
  <c r="AE142" i="11"/>
  <c r="C142" i="11"/>
  <c r="I141" i="11"/>
  <c r="AC140" i="11"/>
  <c r="G139" i="11"/>
  <c r="AA138" i="11"/>
  <c r="S137" i="11"/>
  <c r="E137" i="11"/>
  <c r="Y136" i="11"/>
  <c r="AE135" i="11"/>
  <c r="C135" i="11"/>
  <c r="I134" i="11"/>
  <c r="AC133" i="11"/>
  <c r="I150" i="11"/>
  <c r="AC149" i="11"/>
  <c r="AE148" i="11"/>
  <c r="AA147" i="11"/>
  <c r="AC146" i="11"/>
  <c r="AE145" i="11"/>
  <c r="S143" i="11"/>
  <c r="D143" i="11"/>
  <c r="F142" i="11"/>
  <c r="G141" i="11"/>
  <c r="X140" i="11"/>
  <c r="I140" i="11"/>
  <c r="AB138" i="11"/>
  <c r="AC137" i="11"/>
  <c r="C150" i="11"/>
  <c r="Y149" i="11"/>
  <c r="I149" i="11"/>
  <c r="E148" i="11"/>
  <c r="S147" i="11"/>
  <c r="D147" i="11"/>
  <c r="E146" i="11"/>
  <c r="G145" i="11"/>
  <c r="X144" i="11"/>
  <c r="I144" i="11"/>
  <c r="J143" i="11"/>
  <c r="AA142" i="11"/>
  <c r="AC141" i="11"/>
  <c r="AE140" i="11"/>
  <c r="S138" i="11"/>
  <c r="D138" i="11"/>
  <c r="F137" i="11"/>
  <c r="G136" i="11"/>
  <c r="X135" i="11"/>
  <c r="I135" i="11"/>
  <c r="AA133" i="11"/>
  <c r="C132" i="11"/>
  <c r="S150" i="11"/>
  <c r="G149" i="11"/>
  <c r="S148" i="11"/>
  <c r="C148" i="11"/>
  <c r="C146" i="11"/>
  <c r="E145" i="11"/>
  <c r="AA149" i="11"/>
  <c r="H149" i="11"/>
  <c r="AB148" i="11"/>
  <c r="G148" i="11"/>
  <c r="H147" i="11"/>
  <c r="AE146" i="11"/>
  <c r="J150" i="11"/>
  <c r="X149" i="11"/>
  <c r="D149" i="11"/>
  <c r="Y148" i="11"/>
  <c r="D148" i="11"/>
  <c r="X147" i="11"/>
  <c r="F147" i="11"/>
  <c r="AB146" i="11"/>
  <c r="D144" i="11"/>
  <c r="G150" i="11"/>
  <c r="C147" i="11"/>
  <c r="I146" i="11"/>
  <c r="AC150" i="11"/>
  <c r="D150" i="11"/>
  <c r="D146" i="11"/>
  <c r="AB145" i="11"/>
  <c r="I145" i="11"/>
  <c r="X143" i="11"/>
  <c r="G143" i="11"/>
  <c r="H141" i="11"/>
  <c r="AA139" i="11"/>
  <c r="I139" i="11"/>
  <c r="AA137" i="11"/>
  <c r="J137" i="11"/>
  <c r="E136" i="11"/>
  <c r="S135" i="11"/>
  <c r="AD133" i="11"/>
  <c r="D130" i="11"/>
  <c r="X150" i="11"/>
  <c r="S146" i="11"/>
  <c r="Y145" i="11"/>
  <c r="F145" i="11"/>
  <c r="AD144" i="11"/>
  <c r="E143" i="11"/>
  <c r="X141" i="11"/>
  <c r="E141" i="11"/>
  <c r="X139" i="11"/>
  <c r="F139" i="11"/>
  <c r="Y137" i="11"/>
  <c r="H137" i="11"/>
  <c r="S136" i="11"/>
  <c r="C136" i="11"/>
  <c r="AD134" i="11"/>
  <c r="J133" i="11"/>
  <c r="H129" i="11"/>
  <c r="AD149" i="11"/>
  <c r="AD148" i="11"/>
  <c r="J148" i="11"/>
  <c r="AD147" i="11"/>
  <c r="J147" i="11"/>
  <c r="AA144" i="11"/>
  <c r="J144" i="11"/>
  <c r="AB149" i="11"/>
  <c r="J149" i="11"/>
  <c r="AC148" i="11"/>
  <c r="H148" i="11"/>
  <c r="AB147" i="11"/>
  <c r="I147" i="11"/>
  <c r="S145" i="11"/>
  <c r="H144" i="11"/>
  <c r="I142" i="11"/>
  <c r="E150" i="11"/>
  <c r="H146" i="11"/>
  <c r="AD145" i="11"/>
  <c r="AE144" i="11"/>
  <c r="C144" i="11"/>
  <c r="G135" i="11"/>
  <c r="AE134" i="11"/>
  <c r="G132" i="11"/>
  <c r="Y129" i="11"/>
  <c r="G129" i="11"/>
  <c r="E128" i="11"/>
  <c r="AC126" i="11"/>
  <c r="G125" i="11"/>
  <c r="S123" i="11"/>
  <c r="E123" i="11"/>
  <c r="Y122" i="11"/>
  <c r="C121" i="11"/>
  <c r="AC119" i="11"/>
  <c r="G118" i="11"/>
  <c r="S116" i="11"/>
  <c r="E116" i="11"/>
  <c r="Y115" i="11"/>
  <c r="C114" i="11"/>
  <c r="AC112" i="11"/>
  <c r="G111" i="11"/>
  <c r="S109" i="11"/>
  <c r="E109" i="11"/>
  <c r="Y108" i="11"/>
  <c r="C107" i="11"/>
  <c r="AC105" i="11"/>
  <c r="G104" i="11"/>
  <c r="E149" i="11"/>
  <c r="AA148" i="11"/>
  <c r="AC142" i="11"/>
  <c r="G142" i="11"/>
  <c r="AB141" i="11"/>
  <c r="F141" i="11"/>
  <c r="AA140" i="11"/>
  <c r="H140" i="11"/>
  <c r="AD139" i="11"/>
  <c r="J139" i="11"/>
  <c r="AD138" i="11"/>
  <c r="J138" i="11"/>
  <c r="Y134" i="11"/>
  <c r="F134" i="11"/>
  <c r="AC131" i="11"/>
  <c r="G130" i="11"/>
  <c r="S129" i="11"/>
  <c r="C129" i="11"/>
  <c r="S127" i="11"/>
  <c r="E127" i="11"/>
  <c r="Y126" i="11"/>
  <c r="C125" i="11"/>
  <c r="AC123" i="11"/>
  <c r="G122" i="11"/>
  <c r="S120" i="11"/>
  <c r="E120" i="11"/>
  <c r="Y119" i="11"/>
  <c r="C118" i="11"/>
  <c r="AC116" i="11"/>
  <c r="G115" i="11"/>
  <c r="S113" i="11"/>
  <c r="E113" i="11"/>
  <c r="Y112" i="11"/>
  <c r="C111" i="11"/>
  <c r="AC109" i="11"/>
  <c r="G108" i="11"/>
  <c r="S106" i="11"/>
  <c r="E106" i="11"/>
  <c r="Y105" i="11"/>
  <c r="AD150" i="11"/>
  <c r="E147" i="11"/>
  <c r="AA146" i="11"/>
  <c r="AE143" i="11"/>
  <c r="I143" i="11"/>
  <c r="Y142" i="11"/>
  <c r="D142" i="11"/>
  <c r="Y141" i="11"/>
  <c r="C141" i="11"/>
  <c r="Y140" i="11"/>
  <c r="F140" i="11"/>
  <c r="AB139" i="11"/>
  <c r="E139" i="11"/>
  <c r="H138" i="11"/>
  <c r="AD137" i="11"/>
  <c r="I137" i="11"/>
  <c r="AE136" i="11"/>
  <c r="D134" i="11"/>
  <c r="AB133" i="11"/>
  <c r="H133" i="11"/>
  <c r="G147" i="11"/>
  <c r="X142" i="11"/>
  <c r="J141" i="11"/>
  <c r="S140" i="11"/>
  <c r="AC139" i="11"/>
  <c r="J136" i="11"/>
  <c r="Y135" i="11"/>
  <c r="D135" i="11"/>
  <c r="AE133" i="11"/>
  <c r="F133" i="11"/>
  <c r="D132" i="11"/>
  <c r="C131" i="11"/>
  <c r="F130" i="11"/>
  <c r="F126" i="11"/>
  <c r="S125" i="11"/>
  <c r="F121" i="11"/>
  <c r="D141" i="11"/>
  <c r="Y139" i="11"/>
  <c r="I136" i="11"/>
  <c r="Y133" i="11"/>
  <c r="E133" i="11"/>
  <c r="E130" i="11"/>
  <c r="AC129" i="11"/>
  <c r="Y127" i="11"/>
  <c r="H127" i="11"/>
  <c r="E126" i="11"/>
  <c r="H122" i="11"/>
  <c r="E121" i="11"/>
  <c r="AA150" i="11"/>
  <c r="S149" i="11"/>
  <c r="J145" i="11"/>
  <c r="AC144" i="11"/>
  <c r="S142" i="11"/>
  <c r="X138" i="11"/>
  <c r="AB137" i="11"/>
  <c r="AC136" i="11"/>
  <c r="H132" i="11"/>
  <c r="S131" i="11"/>
  <c r="F129" i="11"/>
  <c r="Y128" i="11"/>
  <c r="D128" i="11"/>
  <c r="F127" i="11"/>
  <c r="D124" i="11"/>
  <c r="H123" i="11"/>
  <c r="F120" i="11"/>
  <c r="D118" i="11"/>
  <c r="D145" i="11"/>
  <c r="Y144" i="11"/>
  <c r="S139" i="11"/>
  <c r="X137" i="11"/>
  <c r="AA136" i="11"/>
  <c r="H135" i="11"/>
  <c r="J134" i="11"/>
  <c r="S133" i="11"/>
  <c r="AC132" i="11"/>
  <c r="E132" i="11"/>
  <c r="D129" i="11"/>
  <c r="C127" i="11"/>
  <c r="F123" i="11"/>
  <c r="C120" i="11"/>
  <c r="G119" i="11"/>
  <c r="J146" i="11"/>
  <c r="H145" i="11"/>
  <c r="C143" i="11"/>
  <c r="AD142" i="11"/>
  <c r="H139" i="11"/>
  <c r="H126" i="11"/>
  <c r="F125" i="11"/>
  <c r="H120" i="11"/>
  <c r="C119" i="11"/>
  <c r="Y118" i="11"/>
  <c r="H118" i="11"/>
  <c r="D115" i="11"/>
  <c r="AC113" i="11"/>
  <c r="F111" i="11"/>
  <c r="S110" i="11"/>
  <c r="C110" i="11"/>
  <c r="AC108" i="11"/>
  <c r="Y107" i="11"/>
  <c r="F106" i="11"/>
  <c r="S105" i="11"/>
  <c r="C105" i="11"/>
  <c r="D103" i="11"/>
  <c r="H100" i="11"/>
  <c r="F98" i="11"/>
  <c r="D96" i="11"/>
  <c r="H93" i="11"/>
  <c r="F148" i="11"/>
  <c r="J140" i="11"/>
  <c r="C139" i="11"/>
  <c r="AC138" i="11"/>
  <c r="H134" i="11"/>
  <c r="I133" i="11"/>
  <c r="S128" i="11"/>
  <c r="D126" i="11"/>
  <c r="D125" i="11"/>
  <c r="S124" i="11"/>
  <c r="H121" i="11"/>
  <c r="D120" i="11"/>
  <c r="E118" i="11"/>
  <c r="H117" i="11"/>
  <c r="S115" i="11"/>
  <c r="G112" i="11"/>
  <c r="D111" i="11"/>
  <c r="G107" i="11"/>
  <c r="C106" i="11"/>
  <c r="AC104" i="11"/>
  <c r="H102" i="11"/>
  <c r="F100" i="11"/>
  <c r="D98" i="11"/>
  <c r="H95" i="11"/>
  <c r="F93" i="11"/>
  <c r="AC145" i="11"/>
  <c r="F143" i="11"/>
  <c r="AE138" i="11"/>
  <c r="AA135" i="11"/>
  <c r="C133" i="11"/>
  <c r="D127" i="11"/>
  <c r="E122" i="11"/>
  <c r="S121" i="11"/>
  <c r="G120" i="11"/>
  <c r="AC118" i="11"/>
  <c r="Y117" i="11"/>
  <c r="D117" i="11"/>
  <c r="Y113" i="11"/>
  <c r="F113" i="11"/>
  <c r="Y109" i="11"/>
  <c r="G109" i="11"/>
  <c r="G105" i="11"/>
  <c r="G103" i="11"/>
  <c r="S102" i="11"/>
  <c r="C102" i="11"/>
  <c r="AC100" i="11"/>
  <c r="Y99" i="11"/>
  <c r="H98" i="11"/>
  <c r="D97" i="11"/>
  <c r="Y93" i="11"/>
  <c r="E92" i="11"/>
  <c r="S91" i="11"/>
  <c r="E91" i="11"/>
  <c r="Y90" i="11"/>
  <c r="C89" i="11"/>
  <c r="AC87" i="11"/>
  <c r="G86" i="11"/>
  <c r="AD146" i="11"/>
  <c r="X145" i="11"/>
  <c r="AB144" i="11"/>
  <c r="D139" i="11"/>
  <c r="G137" i="11"/>
  <c r="AD136" i="11"/>
  <c r="G134" i="11"/>
  <c r="Y132" i="11"/>
  <c r="AC127" i="11"/>
  <c r="H124" i="11"/>
  <c r="AC122" i="11"/>
  <c r="C122" i="11"/>
  <c r="F118" i="11"/>
  <c r="S114" i="11"/>
  <c r="C113" i="11"/>
  <c r="H112" i="11"/>
  <c r="D109" i="11"/>
  <c r="H108" i="11"/>
  <c r="E105" i="11"/>
  <c r="E103" i="11"/>
  <c r="G99" i="11"/>
  <c r="E98" i="11"/>
  <c r="AC95" i="11"/>
  <c r="Y94" i="11"/>
  <c r="E93" i="11"/>
  <c r="S92" i="11"/>
  <c r="C92" i="11"/>
  <c r="C91" i="11"/>
  <c r="AC89" i="11"/>
  <c r="G88" i="11"/>
  <c r="S86" i="11"/>
  <c r="H136" i="11"/>
  <c r="AB135" i="11"/>
  <c r="C134" i="11"/>
  <c r="F132" i="11"/>
  <c r="F128" i="11"/>
  <c r="G124" i="11"/>
  <c r="H115" i="11"/>
  <c r="D114" i="11"/>
  <c r="E138" i="11"/>
  <c r="J135" i="11"/>
  <c r="AB134" i="11"/>
  <c r="H130" i="11"/>
  <c r="Y125" i="11"/>
  <c r="D121" i="11"/>
  <c r="H119" i="11"/>
  <c r="AC117" i="11"/>
  <c r="C117" i="11"/>
  <c r="E112" i="11"/>
  <c r="Y111" i="11"/>
  <c r="AC107" i="11"/>
  <c r="F107" i="11"/>
  <c r="Y146" i="11"/>
  <c r="G144" i="11"/>
  <c r="C138" i="11"/>
  <c r="AB136" i="11"/>
  <c r="F135" i="11"/>
  <c r="AA134" i="11"/>
  <c r="G133" i="11"/>
  <c r="H131" i="11"/>
  <c r="C130" i="11"/>
  <c r="F119" i="11"/>
  <c r="D112" i="11"/>
  <c r="E107" i="11"/>
  <c r="Y106" i="11"/>
  <c r="X146" i="11"/>
  <c r="C145" i="11"/>
  <c r="F144" i="11"/>
  <c r="AE139" i="11"/>
  <c r="E135" i="11"/>
  <c r="X134" i="11"/>
  <c r="D133" i="11"/>
  <c r="G131" i="11"/>
  <c r="S126" i="11"/>
  <c r="Y124" i="11"/>
  <c r="Y123" i="11"/>
  <c r="AC121" i="11"/>
  <c r="E119" i="11"/>
  <c r="H116" i="11"/>
  <c r="H113" i="11"/>
  <c r="C112" i="11"/>
  <c r="F108" i="11"/>
  <c r="D107" i="11"/>
  <c r="AE147" i="11"/>
  <c r="AD141" i="11"/>
  <c r="E140" i="11"/>
  <c r="C137" i="11"/>
  <c r="E131" i="11"/>
  <c r="AC130" i="11"/>
  <c r="Y121" i="11"/>
  <c r="AC120" i="11"/>
  <c r="F116" i="11"/>
  <c r="D113" i="11"/>
  <c r="D108" i="11"/>
  <c r="H104" i="11"/>
  <c r="AC103" i="11"/>
  <c r="D101" i="11"/>
  <c r="G100" i="11"/>
  <c r="F97" i="11"/>
  <c r="D94" i="11"/>
  <c r="F87" i="11"/>
  <c r="C86" i="11"/>
  <c r="AC84" i="11"/>
  <c r="G83" i="11"/>
  <c r="S81" i="11"/>
  <c r="E81" i="11"/>
  <c r="Y80" i="11"/>
  <c r="C79" i="11"/>
  <c r="AC77" i="11"/>
  <c r="G76" i="11"/>
  <c r="S74" i="11"/>
  <c r="E74" i="11"/>
  <c r="Y73" i="11"/>
  <c r="C72" i="11"/>
  <c r="AC70" i="11"/>
  <c r="AE150" i="11"/>
  <c r="F146" i="11"/>
  <c r="H142" i="11"/>
  <c r="C140" i="11"/>
  <c r="Y138" i="11"/>
  <c r="Y130" i="11"/>
  <c r="S122" i="11"/>
  <c r="C116" i="11"/>
  <c r="G114" i="11"/>
  <c r="S112" i="11"/>
  <c r="H109" i="11"/>
  <c r="E104" i="11"/>
  <c r="D100" i="11"/>
  <c r="C97" i="11"/>
  <c r="D93" i="11"/>
  <c r="F88" i="11"/>
  <c r="D87" i="11"/>
  <c r="G85" i="11"/>
  <c r="S83" i="11"/>
  <c r="E83" i="11"/>
  <c r="Y82" i="11"/>
  <c r="C81" i="11"/>
  <c r="AC79" i="11"/>
  <c r="G78" i="11"/>
  <c r="S76" i="11"/>
  <c r="E76" i="11"/>
  <c r="Y75" i="11"/>
  <c r="C74" i="11"/>
  <c r="AC72" i="11"/>
  <c r="G71" i="11"/>
  <c r="F150" i="11"/>
  <c r="S132" i="11"/>
  <c r="Y131" i="11"/>
  <c r="AC128" i="11"/>
  <c r="E125" i="11"/>
  <c r="E117" i="11"/>
  <c r="F109" i="11"/>
  <c r="C104" i="11"/>
  <c r="S103" i="11"/>
  <c r="E100" i="11"/>
  <c r="S98" i="11"/>
  <c r="G94" i="11"/>
  <c r="H143" i="11"/>
  <c r="I138" i="11"/>
  <c r="AC134" i="11"/>
  <c r="F124" i="11"/>
  <c r="D119" i="11"/>
  <c r="S118" i="11"/>
  <c r="AC115" i="11"/>
  <c r="H114" i="11"/>
  <c r="H110" i="11"/>
  <c r="AC101" i="11"/>
  <c r="H101" i="11"/>
  <c r="Y100" i="11"/>
  <c r="G95" i="11"/>
  <c r="E94" i="11"/>
  <c r="S93" i="11"/>
  <c r="G140" i="11"/>
  <c r="D122" i="11"/>
  <c r="AC114" i="11"/>
  <c r="AC111" i="11"/>
  <c r="H106" i="11"/>
  <c r="H105" i="11"/>
  <c r="H103" i="11"/>
  <c r="D102" i="11"/>
  <c r="E97" i="11"/>
  <c r="C96" i="11"/>
  <c r="AC92" i="11"/>
  <c r="G92" i="11"/>
  <c r="G91" i="11"/>
  <c r="AC90" i="11"/>
  <c r="S88" i="11"/>
  <c r="Y87" i="11"/>
  <c r="G87" i="11"/>
  <c r="AC86" i="11"/>
  <c r="Y85" i="11"/>
  <c r="Z85" i="11" s="1"/>
  <c r="H85" i="11"/>
  <c r="E84" i="11"/>
  <c r="G80" i="11"/>
  <c r="E79" i="11"/>
  <c r="G75" i="11"/>
  <c r="D74" i="11"/>
  <c r="AC69" i="11"/>
  <c r="C68" i="11"/>
  <c r="AD143" i="11"/>
  <c r="AE137" i="11"/>
  <c r="C126" i="11"/>
  <c r="AC124" i="11"/>
  <c r="E115" i="11"/>
  <c r="Y114" i="11"/>
  <c r="D106" i="11"/>
  <c r="D105" i="11"/>
  <c r="Y103" i="11"/>
  <c r="C103" i="11"/>
  <c r="F99" i="11"/>
  <c r="C98" i="11"/>
  <c r="Y92" i="11"/>
  <c r="D92" i="11"/>
  <c r="D91" i="11"/>
  <c r="G90" i="11"/>
  <c r="C87" i="11"/>
  <c r="E85" i="11"/>
  <c r="S84" i="11"/>
  <c r="C84" i="11"/>
  <c r="AC82" i="11"/>
  <c r="Y81" i="11"/>
  <c r="E80" i="11"/>
  <c r="S79" i="11"/>
  <c r="Y76" i="11"/>
  <c r="E75" i="11"/>
  <c r="Y71" i="11"/>
  <c r="H71" i="11"/>
  <c r="G70" i="11"/>
  <c r="AB142" i="11"/>
  <c r="D136" i="11"/>
  <c r="S134" i="11"/>
  <c r="C124" i="11"/>
  <c r="S119" i="11"/>
  <c r="AC110" i="11"/>
  <c r="D104" i="11"/>
  <c r="E102" i="11"/>
  <c r="F101" i="11"/>
  <c r="C100" i="11"/>
  <c r="D99" i="11"/>
  <c r="G98" i="11"/>
  <c r="H97" i="11"/>
  <c r="H96" i="11"/>
  <c r="G89" i="11"/>
  <c r="C88" i="11"/>
  <c r="S87" i="11"/>
  <c r="S85" i="11"/>
  <c r="Y84" i="11"/>
  <c r="G84" i="11"/>
  <c r="AC83" i="11"/>
  <c r="F80" i="11"/>
  <c r="C77" i="11"/>
  <c r="F76" i="11"/>
  <c r="D73" i="11"/>
  <c r="H72" i="11"/>
  <c r="H150" i="11"/>
  <c r="J142" i="11"/>
  <c r="D131" i="11"/>
  <c r="G126" i="11"/>
  <c r="Y110" i="11"/>
  <c r="C108" i="11"/>
  <c r="AC102" i="11"/>
  <c r="C101" i="11"/>
  <c r="F96" i="11"/>
  <c r="F95" i="11"/>
  <c r="H94" i="11"/>
  <c r="G93" i="11"/>
  <c r="H92" i="11"/>
  <c r="H90" i="11"/>
  <c r="Y89" i="11"/>
  <c r="E89" i="11"/>
  <c r="D84" i="11"/>
  <c r="C80" i="11"/>
  <c r="S77" i="11"/>
  <c r="C76" i="11"/>
  <c r="AC75" i="11"/>
  <c r="F72" i="11"/>
  <c r="F122" i="11"/>
  <c r="G117" i="11"/>
  <c r="F112" i="11"/>
  <c r="H111" i="11"/>
  <c r="Y101" i="11"/>
  <c r="H99" i="11"/>
  <c r="Y97" i="11"/>
  <c r="H89" i="11"/>
  <c r="Y79" i="11"/>
  <c r="D79" i="11"/>
  <c r="D137" i="11"/>
  <c r="X133" i="11"/>
  <c r="F117" i="11"/>
  <c r="E111" i="11"/>
  <c r="F105" i="11"/>
  <c r="E99" i="11"/>
  <c r="AC98" i="11"/>
  <c r="S97" i="11"/>
  <c r="E95" i="11"/>
  <c r="F89" i="11"/>
  <c r="AC85" i="11"/>
  <c r="F85" i="11"/>
  <c r="AD140" i="11"/>
  <c r="G127" i="11"/>
  <c r="G123" i="11"/>
  <c r="E110" i="11"/>
  <c r="AC106" i="11"/>
  <c r="G96" i="11"/>
  <c r="H91" i="11"/>
  <c r="F86" i="11"/>
  <c r="H82" i="11"/>
  <c r="G81" i="11"/>
  <c r="AB140" i="11"/>
  <c r="D123" i="11"/>
  <c r="D110" i="11"/>
  <c r="C109" i="11"/>
  <c r="E108" i="11"/>
  <c r="Y102" i="11"/>
  <c r="AC99" i="11"/>
  <c r="E96" i="11"/>
  <c r="F91" i="11"/>
  <c r="E86" i="11"/>
  <c r="G82" i="11"/>
  <c r="F81" i="11"/>
  <c r="Y147" i="11"/>
  <c r="E142" i="11"/>
  <c r="F131" i="11"/>
  <c r="H128" i="11"/>
  <c r="C123" i="11"/>
  <c r="AC91" i="11"/>
  <c r="H88" i="11"/>
  <c r="D86" i="11"/>
  <c r="F82" i="11"/>
  <c r="D81" i="11"/>
  <c r="S80" i="11"/>
  <c r="X136" i="11"/>
  <c r="G128" i="11"/>
  <c r="F104" i="11"/>
  <c r="AC96" i="11"/>
  <c r="Y95" i="11"/>
  <c r="S94" i="11"/>
  <c r="C93" i="11"/>
  <c r="E88" i="11"/>
  <c r="Y86" i="11"/>
  <c r="AC143" i="11"/>
  <c r="D140" i="11"/>
  <c r="G138" i="11"/>
  <c r="Y116" i="11"/>
  <c r="G101" i="11"/>
  <c r="S99" i="11"/>
  <c r="Y96" i="11"/>
  <c r="Y91" i="11"/>
  <c r="E90" i="11"/>
  <c r="S89" i="11"/>
  <c r="AC88" i="11"/>
  <c r="F83" i="11"/>
  <c r="C82" i="11"/>
  <c r="F78" i="11"/>
  <c r="D77" i="11"/>
  <c r="AC73" i="11"/>
  <c r="G73" i="11"/>
  <c r="S71" i="11"/>
  <c r="V71" i="11" s="1"/>
  <c r="E69" i="11"/>
  <c r="I69" i="11" s="1"/>
  <c r="J68" i="11" s="1"/>
  <c r="B50" i="11"/>
  <c r="AA143" i="11"/>
  <c r="AA141" i="11"/>
  <c r="E129" i="11"/>
  <c r="H125" i="11"/>
  <c r="S117" i="11"/>
  <c r="F115" i="11"/>
  <c r="F114" i="11"/>
  <c r="S111" i="11"/>
  <c r="F94" i="11"/>
  <c r="C90" i="11"/>
  <c r="Y88" i="11"/>
  <c r="Y83" i="11"/>
  <c r="C83" i="11"/>
  <c r="H79" i="11"/>
  <c r="D78" i="11"/>
  <c r="E73" i="11"/>
  <c r="T69" i="11"/>
  <c r="T70" i="11" s="1"/>
  <c r="T71" i="11" s="1"/>
  <c r="T72" i="11" s="1"/>
  <c r="T73" i="11" s="1"/>
  <c r="T74" i="11" s="1"/>
  <c r="T75" i="11" s="1"/>
  <c r="T76" i="11" s="1"/>
  <c r="T77" i="11" s="1"/>
  <c r="T78" i="11" s="1"/>
  <c r="T79" i="11" s="1"/>
  <c r="T80" i="11" s="1"/>
  <c r="T81" i="11" s="1"/>
  <c r="T82" i="11" s="1"/>
  <c r="T83" i="11" s="1"/>
  <c r="T84" i="11" s="1"/>
  <c r="T85" i="11" s="1"/>
  <c r="T86" i="11" s="1"/>
  <c r="T87" i="11" s="1"/>
  <c r="T88" i="11" s="1"/>
  <c r="T89" i="11" s="1"/>
  <c r="T90" i="11" s="1"/>
  <c r="T91" i="11" s="1"/>
  <c r="T92" i="11" s="1"/>
  <c r="T93" i="11" s="1"/>
  <c r="T94" i="11" s="1"/>
  <c r="T95" i="11" s="1"/>
  <c r="T96" i="11" s="1"/>
  <c r="T97" i="11" s="1"/>
  <c r="T98" i="11" s="1"/>
  <c r="T99" i="11" s="1"/>
  <c r="T100" i="11" s="1"/>
  <c r="T101" i="11" s="1"/>
  <c r="T102" i="11" s="1"/>
  <c r="T103" i="11" s="1"/>
  <c r="T104" i="11" s="1"/>
  <c r="T105" i="11" s="1"/>
  <c r="T106" i="11" s="1"/>
  <c r="T107" i="11" s="1"/>
  <c r="T108" i="11" s="1"/>
  <c r="T109" i="11" s="1"/>
  <c r="T110" i="11" s="1"/>
  <c r="T111" i="11" s="1"/>
  <c r="T112" i="11" s="1"/>
  <c r="T113" i="11" s="1"/>
  <c r="T114" i="11" s="1"/>
  <c r="T115" i="11" s="1"/>
  <c r="T116" i="11" s="1"/>
  <c r="T117" i="11" s="1"/>
  <c r="T118" i="11" s="1"/>
  <c r="T119" i="11" s="1"/>
  <c r="T120" i="11" s="1"/>
  <c r="T121" i="11" s="1"/>
  <c r="T122" i="11" s="1"/>
  <c r="T123" i="11" s="1"/>
  <c r="T124" i="11" s="1"/>
  <c r="T125" i="11" s="1"/>
  <c r="T126" i="11" s="1"/>
  <c r="T127" i="11" s="1"/>
  <c r="T128" i="11" s="1"/>
  <c r="T129" i="11" s="1"/>
  <c r="T130" i="11" s="1"/>
  <c r="T131" i="11" s="1"/>
  <c r="T132" i="11" s="1"/>
  <c r="T133" i="11" s="1"/>
  <c r="T134" i="11" s="1"/>
  <c r="T135" i="11" s="1"/>
  <c r="T136" i="11" s="1"/>
  <c r="T137" i="11" s="1"/>
  <c r="T138" i="11" s="1"/>
  <c r="T139" i="11" s="1"/>
  <c r="T140" i="11" s="1"/>
  <c r="T141" i="11" s="1"/>
  <c r="T142" i="11" s="1"/>
  <c r="T143" i="11" s="1"/>
  <c r="T144" i="11" s="1"/>
  <c r="T145" i="11" s="1"/>
  <c r="T146" i="11" s="1"/>
  <c r="T147" i="11" s="1"/>
  <c r="T148" i="11" s="1"/>
  <c r="T149" i="11" s="1"/>
  <c r="T150" i="11" s="1"/>
  <c r="C69" i="11"/>
  <c r="G68" i="11"/>
  <c r="AE141" i="11"/>
  <c r="Y120" i="11"/>
  <c r="S100" i="11"/>
  <c r="C99" i="11"/>
  <c r="D82" i="11"/>
  <c r="F79" i="11"/>
  <c r="H78" i="11"/>
  <c r="F70" i="11"/>
  <c r="D69" i="11"/>
  <c r="D68" i="11"/>
  <c r="D90" i="11"/>
  <c r="H81" i="11"/>
  <c r="Y78" i="11"/>
  <c r="E77" i="11"/>
  <c r="S75" i="11"/>
  <c r="F74" i="11"/>
  <c r="Y72" i="11"/>
  <c r="F71" i="11"/>
  <c r="E101" i="11"/>
  <c r="AC93" i="11"/>
  <c r="F92" i="11"/>
  <c r="D89" i="11"/>
  <c r="D88" i="11"/>
  <c r="H83" i="11"/>
  <c r="H76" i="11"/>
  <c r="E71" i="11"/>
  <c r="S70" i="11"/>
  <c r="V70" i="11" s="1"/>
  <c r="F136" i="11"/>
  <c r="S108" i="11"/>
  <c r="G102" i="11"/>
  <c r="E87" i="11"/>
  <c r="H86" i="11"/>
  <c r="S78" i="11"/>
  <c r="Y77" i="11"/>
  <c r="S72" i="11"/>
  <c r="AC71" i="11"/>
  <c r="C71" i="11"/>
  <c r="B51" i="11"/>
  <c r="AC135" i="11"/>
  <c r="G121" i="11"/>
  <c r="C115" i="11"/>
  <c r="S96" i="11"/>
  <c r="H87" i="11"/>
  <c r="Y74" i="11"/>
  <c r="G72" i="11"/>
  <c r="Y70" i="11"/>
  <c r="Y69" i="11"/>
  <c r="G116" i="11"/>
  <c r="G97" i="11"/>
  <c r="F77" i="11"/>
  <c r="H70" i="11"/>
  <c r="F138" i="11"/>
  <c r="D116" i="11"/>
  <c r="G106" i="11"/>
  <c r="F102" i="11"/>
  <c r="S95" i="11"/>
  <c r="V95" i="11" s="1"/>
  <c r="H74" i="11"/>
  <c r="X148" i="11"/>
  <c r="Y98" i="11"/>
  <c r="S90" i="11"/>
  <c r="H84" i="11"/>
  <c r="D83" i="11"/>
  <c r="G74" i="11"/>
  <c r="E70" i="11"/>
  <c r="H69" i="11"/>
  <c r="N69" i="11" s="1"/>
  <c r="F84" i="11"/>
  <c r="E82" i="11"/>
  <c r="H75" i="11"/>
  <c r="D70" i="11"/>
  <c r="G69" i="11"/>
  <c r="J132" i="11"/>
  <c r="S101" i="11"/>
  <c r="AC81" i="11"/>
  <c r="D80" i="11"/>
  <c r="D72" i="11"/>
  <c r="D71" i="11"/>
  <c r="G110" i="11"/>
  <c r="G79" i="11"/>
  <c r="C78" i="11"/>
  <c r="H77" i="11"/>
  <c r="AC74" i="11"/>
  <c r="AB143" i="11"/>
  <c r="F110" i="11"/>
  <c r="G77" i="11"/>
  <c r="D76" i="11"/>
  <c r="C85" i="11"/>
  <c r="D75" i="11"/>
  <c r="S73" i="11"/>
  <c r="C75" i="11"/>
  <c r="S141" i="11"/>
  <c r="S130" i="11"/>
  <c r="AC125" i="11"/>
  <c r="F69" i="11"/>
  <c r="P69" i="11" s="1"/>
  <c r="F68" i="11"/>
  <c r="AC97" i="11"/>
  <c r="D95" i="11"/>
  <c r="F90" i="11"/>
  <c r="E134" i="11"/>
  <c r="C95" i="11"/>
  <c r="AC78" i="11"/>
  <c r="H73" i="11"/>
  <c r="Y104" i="11"/>
  <c r="E72" i="11"/>
  <c r="H68" i="11"/>
  <c r="G113" i="11"/>
  <c r="E78" i="11"/>
  <c r="H80" i="11"/>
  <c r="S104" i="11"/>
  <c r="S82" i="11"/>
  <c r="C128" i="11"/>
  <c r="AC94" i="11"/>
  <c r="AD135" i="11"/>
  <c r="C94" i="11"/>
  <c r="AC68" i="11"/>
  <c r="AD68" i="11" s="1"/>
  <c r="S69" i="11"/>
  <c r="S107" i="11"/>
  <c r="D85" i="11"/>
  <c r="AC80" i="11"/>
  <c r="AC76" i="11"/>
  <c r="H107" i="11"/>
  <c r="E124" i="11"/>
  <c r="E68" i="11"/>
  <c r="C73" i="11"/>
  <c r="C70" i="11"/>
  <c r="F103" i="11"/>
  <c r="E114" i="11"/>
  <c r="F73" i="11"/>
  <c r="F75" i="11"/>
  <c r="B20" i="12"/>
  <c r="C20" i="13" s="1"/>
  <c r="F20" i="13" s="1"/>
  <c r="B25" i="12"/>
  <c r="C25" i="13" s="1"/>
  <c r="B95" i="10"/>
  <c r="B40" i="10"/>
  <c r="B39" i="10"/>
  <c r="AE123" i="10" s="1"/>
  <c r="AV149" i="11"/>
  <c r="AV144" i="11"/>
  <c r="AV146" i="11"/>
  <c r="AV148" i="11"/>
  <c r="AV147" i="11"/>
  <c r="AV143" i="11"/>
  <c r="AV134" i="11"/>
  <c r="AV150" i="11"/>
  <c r="AV141" i="11"/>
  <c r="AV140" i="11"/>
  <c r="AV142" i="11"/>
  <c r="AV139" i="11"/>
  <c r="AV133" i="11"/>
  <c r="AV135" i="11"/>
  <c r="AV129" i="11"/>
  <c r="AV124" i="11"/>
  <c r="AV119" i="11"/>
  <c r="AV137" i="11"/>
  <c r="AV123" i="11"/>
  <c r="AV122" i="11"/>
  <c r="AV136" i="11"/>
  <c r="AV128" i="11"/>
  <c r="AV104" i="11"/>
  <c r="AV98" i="11"/>
  <c r="AV91" i="11"/>
  <c r="AV100" i="11"/>
  <c r="AV93" i="11"/>
  <c r="AV117" i="11"/>
  <c r="AV125" i="11"/>
  <c r="AV96" i="11"/>
  <c r="AV132" i="11"/>
  <c r="AV115" i="11"/>
  <c r="AV131" i="11"/>
  <c r="AV127" i="11"/>
  <c r="AV126" i="11"/>
  <c r="AV112" i="11"/>
  <c r="AV107" i="11"/>
  <c r="AV90" i="11"/>
  <c r="AV113" i="11"/>
  <c r="AV103" i="11"/>
  <c r="AV92" i="11"/>
  <c r="AV114" i="11"/>
  <c r="AV108" i="11"/>
  <c r="AV86" i="11"/>
  <c r="AV83" i="11"/>
  <c r="AV109" i="11"/>
  <c r="AV72" i="11"/>
  <c r="AV69" i="11"/>
  <c r="AV71" i="11"/>
  <c r="AV106" i="11"/>
  <c r="AV84" i="11"/>
  <c r="AV79" i="11"/>
  <c r="AV87" i="11"/>
  <c r="AV116" i="11"/>
  <c r="AV110" i="11"/>
  <c r="AV97" i="11"/>
  <c r="AV101" i="11"/>
  <c r="AV89" i="11"/>
  <c r="AV81" i="11"/>
  <c r="AV118" i="11"/>
  <c r="AV130" i="11"/>
  <c r="AV102" i="11"/>
  <c r="AV77" i="11"/>
  <c r="AV68" i="11"/>
  <c r="AV73" i="11"/>
  <c r="AV105" i="11"/>
  <c r="AV76" i="11"/>
  <c r="AV94" i="11"/>
  <c r="AV121" i="11"/>
  <c r="AV95" i="11"/>
  <c r="AV78" i="11"/>
  <c r="AV74" i="11"/>
  <c r="AV82" i="11"/>
  <c r="AV75" i="11"/>
  <c r="AV88" i="11"/>
  <c r="AV80" i="11"/>
  <c r="AV120" i="11"/>
  <c r="AV138" i="11"/>
  <c r="AV145" i="11"/>
  <c r="AV85" i="11"/>
  <c r="AV70" i="11"/>
  <c r="B21" i="12"/>
  <c r="C21" i="13" s="1"/>
  <c r="F21" i="13" s="1"/>
  <c r="U146" i="11"/>
  <c r="U139" i="11"/>
  <c r="U142" i="11"/>
  <c r="U150" i="11"/>
  <c r="U148" i="11"/>
  <c r="U137" i="11"/>
  <c r="U149" i="11"/>
  <c r="U136" i="11"/>
  <c r="U145" i="11"/>
  <c r="U128" i="11"/>
  <c r="U125" i="11"/>
  <c r="U118" i="11"/>
  <c r="U104" i="11"/>
  <c r="U135" i="11"/>
  <c r="U122" i="11"/>
  <c r="U115" i="11"/>
  <c r="U108" i="11"/>
  <c r="U131" i="11"/>
  <c r="U126" i="11"/>
  <c r="U121" i="11"/>
  <c r="U143" i="11"/>
  <c r="U140" i="11"/>
  <c r="U133" i="11"/>
  <c r="U120" i="11"/>
  <c r="U130" i="11"/>
  <c r="U119" i="11"/>
  <c r="U114" i="11"/>
  <c r="U110" i="11"/>
  <c r="U106" i="11"/>
  <c r="U92" i="11"/>
  <c r="U86" i="11"/>
  <c r="U98" i="11"/>
  <c r="U88" i="11"/>
  <c r="U132" i="11"/>
  <c r="U129" i="11"/>
  <c r="U123" i="11"/>
  <c r="U112" i="11"/>
  <c r="U91" i="11"/>
  <c r="U83" i="11"/>
  <c r="U76" i="11"/>
  <c r="U141" i="11"/>
  <c r="U97" i="11"/>
  <c r="U85" i="11"/>
  <c r="U78" i="11"/>
  <c r="U71" i="11"/>
  <c r="U107" i="11"/>
  <c r="U105" i="11"/>
  <c r="U101" i="11"/>
  <c r="U84" i="11"/>
  <c r="U79" i="11"/>
  <c r="U74" i="11"/>
  <c r="U80" i="11"/>
  <c r="U75" i="11"/>
  <c r="U70" i="11"/>
  <c r="U116" i="11"/>
  <c r="U81" i="11"/>
  <c r="U77" i="11"/>
  <c r="U127" i="11"/>
  <c r="U109" i="11"/>
  <c r="U93" i="11"/>
  <c r="U90" i="11"/>
  <c r="U124" i="11"/>
  <c r="U87" i="11"/>
  <c r="U144" i="11"/>
  <c r="U138" i="11"/>
  <c r="U102" i="11"/>
  <c r="U94" i="11"/>
  <c r="U147" i="11"/>
  <c r="U113" i="11"/>
  <c r="U89" i="11"/>
  <c r="U95" i="11"/>
  <c r="U82" i="11"/>
  <c r="U72" i="11"/>
  <c r="U134" i="11"/>
  <c r="U103" i="11"/>
  <c r="U100" i="11"/>
  <c r="U96" i="11"/>
  <c r="U117" i="11"/>
  <c r="U69" i="11"/>
  <c r="U99" i="11"/>
  <c r="U73" i="11"/>
  <c r="B23" i="12"/>
  <c r="C23" i="13" s="1"/>
  <c r="F23" i="13" s="1"/>
  <c r="B27" i="12"/>
  <c r="C27" i="13" s="1"/>
  <c r="G27" i="13" s="1"/>
  <c r="Q11" i="11"/>
  <c r="F126" i="10"/>
  <c r="B48" i="11"/>
  <c r="F22" i="13"/>
  <c r="G26" i="13"/>
  <c r="B17" i="13"/>
  <c r="F26" i="13"/>
  <c r="B32" i="12"/>
  <c r="B30" i="8" s="1"/>
  <c r="B30" i="12"/>
  <c r="G22" i="13"/>
  <c r="B33" i="12"/>
  <c r="B35" i="5" s="1"/>
  <c r="B34" i="12"/>
  <c r="B33" i="11" s="1"/>
  <c r="B31" i="12"/>
  <c r="B29" i="8" s="1"/>
  <c r="B39" i="6"/>
  <c r="B41" i="6"/>
  <c r="B25" i="6"/>
  <c r="B33" i="6"/>
  <c r="B42" i="6" s="1"/>
  <c r="B28" i="7"/>
  <c r="B40" i="6"/>
  <c r="B54" i="5"/>
  <c r="B55" i="5" s="1"/>
  <c r="B56" i="5" s="1"/>
  <c r="Q13" i="11"/>
  <c r="B47" i="5"/>
  <c r="B48" i="5" s="1"/>
  <c r="B94" i="10"/>
  <c r="B93" i="10"/>
  <c r="G21" i="13" l="1"/>
  <c r="G20" i="13"/>
  <c r="G24" i="13"/>
  <c r="V104" i="11"/>
  <c r="F25" i="13"/>
  <c r="F27" i="13"/>
  <c r="B29" i="13" s="1"/>
  <c r="G23" i="13"/>
  <c r="G25" i="13"/>
  <c r="V107" i="11"/>
  <c r="Z69" i="11"/>
  <c r="I70" i="11"/>
  <c r="Z108" i="11"/>
  <c r="V103" i="11"/>
  <c r="Z130" i="11"/>
  <c r="Z94" i="11"/>
  <c r="Z126" i="11"/>
  <c r="B57" i="5"/>
  <c r="B58" i="5"/>
  <c r="B59" i="5" s="1"/>
  <c r="V130" i="11"/>
  <c r="Z77" i="11"/>
  <c r="V97" i="11"/>
  <c r="V85" i="11"/>
  <c r="Z114" i="11"/>
  <c r="Z138" i="11"/>
  <c r="Z124" i="11"/>
  <c r="Z99" i="11"/>
  <c r="Z117" i="11"/>
  <c r="Z107" i="11"/>
  <c r="V125" i="11"/>
  <c r="V140" i="11"/>
  <c r="Z105" i="11"/>
  <c r="V109" i="11"/>
  <c r="Z145" i="11"/>
  <c r="B19" i="9"/>
  <c r="B20" i="9" s="1"/>
  <c r="B8" i="10"/>
  <c r="B41" i="10" s="1"/>
  <c r="B29" i="2"/>
  <c r="B5" i="8"/>
  <c r="B5" i="9"/>
  <c r="B76" i="5"/>
  <c r="Z113" i="11"/>
  <c r="Z150" i="11"/>
  <c r="Z120" i="11"/>
  <c r="Z91" i="11"/>
  <c r="Z84" i="11"/>
  <c r="Z92" i="11"/>
  <c r="Z123" i="11"/>
  <c r="V131" i="11"/>
  <c r="Z104" i="11"/>
  <c r="V141" i="11"/>
  <c r="V96" i="11"/>
  <c r="Z96" i="11"/>
  <c r="V87" i="11"/>
  <c r="Z87" i="11"/>
  <c r="Z82" i="11"/>
  <c r="V128" i="11"/>
  <c r="V133" i="11"/>
  <c r="Z140" i="11"/>
  <c r="V127" i="11"/>
  <c r="V146" i="11"/>
  <c r="AD128" i="10"/>
  <c r="V132" i="11"/>
  <c r="Z111" i="11"/>
  <c r="Z83" i="11"/>
  <c r="V77" i="11"/>
  <c r="V93" i="11"/>
  <c r="V147" i="11"/>
  <c r="F127" i="10"/>
  <c r="B41" i="7"/>
  <c r="B36" i="7"/>
  <c r="B40" i="7"/>
  <c r="C72" i="7"/>
  <c r="B39" i="7"/>
  <c r="B33" i="7"/>
  <c r="I71" i="7" s="1"/>
  <c r="C71" i="7" s="1"/>
  <c r="B30" i="7"/>
  <c r="B38" i="7"/>
  <c r="I75" i="7" s="1"/>
  <c r="C75" i="7" s="1"/>
  <c r="B37" i="7"/>
  <c r="C74" i="7"/>
  <c r="B35" i="7"/>
  <c r="C73" i="7"/>
  <c r="B34" i="7"/>
  <c r="B76" i="7"/>
  <c r="B31" i="7"/>
  <c r="H75" i="7" s="1"/>
  <c r="B32" i="7"/>
  <c r="V117" i="11"/>
  <c r="V99" i="11"/>
  <c r="V94" i="11"/>
  <c r="V80" i="11"/>
  <c r="Z71" i="11"/>
  <c r="V88" i="11"/>
  <c r="V126" i="11"/>
  <c r="Z132" i="11"/>
  <c r="Z90" i="11"/>
  <c r="V115" i="11"/>
  <c r="V106" i="11"/>
  <c r="Z122" i="11"/>
  <c r="V138" i="11"/>
  <c r="Z149" i="11"/>
  <c r="V100" i="11"/>
  <c r="V118" i="11"/>
  <c r="Z106" i="11"/>
  <c r="Z81" i="11"/>
  <c r="V90" i="11"/>
  <c r="Z72" i="11"/>
  <c r="Z95" i="11"/>
  <c r="V84" i="11"/>
  <c r="V83" i="11"/>
  <c r="V112" i="11"/>
  <c r="V86" i="11"/>
  <c r="V114" i="11"/>
  <c r="V102" i="11"/>
  <c r="V110" i="11"/>
  <c r="Z127" i="11"/>
  <c r="Z141" i="11"/>
  <c r="V129" i="11"/>
  <c r="Z143" i="11"/>
  <c r="V119" i="11"/>
  <c r="Z100" i="11"/>
  <c r="Z80" i="11"/>
  <c r="V91" i="11"/>
  <c r="V142" i="11"/>
  <c r="Z119" i="11"/>
  <c r="V123" i="11"/>
  <c r="V136" i="11"/>
  <c r="Z148" i="11"/>
  <c r="V148" i="11"/>
  <c r="N126" i="10"/>
  <c r="AE124" i="10"/>
  <c r="AE125" i="10" s="1"/>
  <c r="AE126" i="10" s="1"/>
  <c r="AE127" i="10" s="1"/>
  <c r="AE128" i="10" s="1"/>
  <c r="AE129" i="10" s="1"/>
  <c r="AE130" i="10" s="1"/>
  <c r="AE131" i="10" s="1"/>
  <c r="AE132" i="10" s="1"/>
  <c r="AE133" i="10" s="1"/>
  <c r="AE134" i="10" s="1"/>
  <c r="AE135" i="10" s="1"/>
  <c r="AE136" i="10" s="1"/>
  <c r="AE137" i="10" s="1"/>
  <c r="AE138" i="10" s="1"/>
  <c r="AE139" i="10" s="1"/>
  <c r="AE140" i="10" s="1"/>
  <c r="AE141" i="10" s="1"/>
  <c r="AE142" i="10" s="1"/>
  <c r="Z98" i="11"/>
  <c r="Z88" i="11"/>
  <c r="U111" i="11"/>
  <c r="V111" i="11" s="1"/>
  <c r="V82" i="11"/>
  <c r="Z147" i="11"/>
  <c r="Z102" i="11"/>
  <c r="Z121" i="11"/>
  <c r="V121" i="11"/>
  <c r="Z142" i="11"/>
  <c r="V144" i="11"/>
  <c r="W198" i="10"/>
  <c r="X197" i="10"/>
  <c r="W184" i="10"/>
  <c r="X183" i="10"/>
  <c r="W196" i="10"/>
  <c r="X195" i="10"/>
  <c r="W182" i="10"/>
  <c r="X181" i="10"/>
  <c r="X203" i="10"/>
  <c r="X200" i="10"/>
  <c r="X192" i="10"/>
  <c r="X189" i="10"/>
  <c r="X186" i="10"/>
  <c r="X178" i="10"/>
  <c r="X175" i="10"/>
  <c r="X172" i="10"/>
  <c r="W195" i="10"/>
  <c r="W181" i="10"/>
  <c r="X145" i="10"/>
  <c r="W178" i="10"/>
  <c r="X171" i="10"/>
  <c r="W169" i="10"/>
  <c r="W141" i="10"/>
  <c r="Y203" i="10"/>
  <c r="W192" i="10"/>
  <c r="X185" i="10"/>
  <c r="X174" i="10"/>
  <c r="Y205" i="10"/>
  <c r="Y204" i="10"/>
  <c r="Y202" i="10"/>
  <c r="X199" i="10"/>
  <c r="X205" i="10"/>
  <c r="X204" i="10"/>
  <c r="X202" i="10"/>
  <c r="X201" i="10"/>
  <c r="W200" i="10"/>
  <c r="W199" i="10"/>
  <c r="X180" i="10"/>
  <c r="W179" i="10"/>
  <c r="Y123" i="10"/>
  <c r="X168" i="10"/>
  <c r="Y137" i="10"/>
  <c r="W123" i="10"/>
  <c r="X194" i="10"/>
  <c r="X191" i="10"/>
  <c r="W189" i="10"/>
  <c r="X179" i="10"/>
  <c r="W134" i="10"/>
  <c r="W186" i="10"/>
  <c r="W183" i="10"/>
  <c r="X176" i="10"/>
  <c r="X167" i="10"/>
  <c r="X193" i="10"/>
  <c r="W176" i="10"/>
  <c r="X173" i="10"/>
  <c r="X170" i="10"/>
  <c r="W168" i="10"/>
  <c r="W167" i="10"/>
  <c r="W205" i="10"/>
  <c r="W188" i="10"/>
  <c r="W187" i="10"/>
  <c r="W180" i="10"/>
  <c r="W172" i="10"/>
  <c r="X169" i="10"/>
  <c r="X190" i="10"/>
  <c r="W174" i="10"/>
  <c r="W171" i="10"/>
  <c r="X182" i="10"/>
  <c r="Y132" i="10"/>
  <c r="X184" i="10"/>
  <c r="W173" i="10"/>
  <c r="W131" i="10"/>
  <c r="W204" i="10"/>
  <c r="W201" i="10"/>
  <c r="X196" i="10"/>
  <c r="X177" i="10"/>
  <c r="W175" i="10"/>
  <c r="W191" i="10"/>
  <c r="W177" i="10"/>
  <c r="W170" i="10"/>
  <c r="Y148" i="10"/>
  <c r="W197" i="10"/>
  <c r="X187" i="10"/>
  <c r="W202" i="10"/>
  <c r="X188" i="10"/>
  <c r="W190" i="10"/>
  <c r="X156" i="10"/>
  <c r="W194" i="10"/>
  <c r="W203" i="10"/>
  <c r="W145" i="10"/>
  <c r="W193" i="10"/>
  <c r="X123" i="10"/>
  <c r="X198" i="10"/>
  <c r="W185" i="10"/>
  <c r="AA131" i="10"/>
  <c r="AB153" i="10"/>
  <c r="AA150" i="10"/>
  <c r="AA146" i="10"/>
  <c r="AB126" i="10"/>
  <c r="AA124" i="10"/>
  <c r="AA142" i="10"/>
  <c r="AB130" i="10"/>
  <c r="AA129" i="10"/>
  <c r="AA154" i="10"/>
  <c r="AB141" i="10"/>
  <c r="AA132" i="10"/>
  <c r="AA153" i="10"/>
  <c r="AB150" i="10"/>
  <c r="AA130" i="10"/>
  <c r="AA144" i="10"/>
  <c r="AA135" i="10"/>
  <c r="AB139" i="10"/>
  <c r="AB129" i="10"/>
  <c r="AA133" i="10"/>
  <c r="AB142" i="10"/>
  <c r="AB127" i="10"/>
  <c r="AB147" i="10"/>
  <c r="AA136" i="10"/>
  <c r="AB143" i="10"/>
  <c r="AB132" i="10"/>
  <c r="AA140" i="10"/>
  <c r="AA148" i="10"/>
  <c r="AB154" i="10"/>
  <c r="AB135" i="10"/>
  <c r="AA147" i="10"/>
  <c r="AB137" i="10"/>
  <c r="AA134" i="10"/>
  <c r="AB146" i="10"/>
  <c r="AB131" i="10"/>
  <c r="AA152" i="10"/>
  <c r="AA143" i="10"/>
  <c r="AA125" i="10"/>
  <c r="AB138" i="10"/>
  <c r="AA145" i="10"/>
  <c r="AB149" i="10"/>
  <c r="AA123" i="10"/>
  <c r="AA138" i="10"/>
  <c r="AA139" i="10"/>
  <c r="AB144" i="10"/>
  <c r="AB145" i="10"/>
  <c r="AB134" i="10"/>
  <c r="AB136" i="10"/>
  <c r="AB128" i="10"/>
  <c r="AA151" i="10"/>
  <c r="AA126" i="10"/>
  <c r="AB124" i="10"/>
  <c r="AB152" i="10"/>
  <c r="AA137" i="10"/>
  <c r="AA127" i="10"/>
  <c r="AA141" i="10"/>
  <c r="AB133" i="10"/>
  <c r="AA149" i="10"/>
  <c r="AB140" i="10"/>
  <c r="AA128" i="10"/>
  <c r="AB151" i="10"/>
  <c r="AB148" i="10"/>
  <c r="AB123" i="10"/>
  <c r="AB125" i="10"/>
  <c r="V75" i="11"/>
  <c r="Z97" i="11"/>
  <c r="Z103" i="11"/>
  <c r="Z75" i="11"/>
  <c r="V81" i="11"/>
  <c r="V139" i="11"/>
  <c r="V120" i="11"/>
  <c r="Z137" i="11"/>
  <c r="V150" i="11"/>
  <c r="Z89" i="11"/>
  <c r="Z76" i="11"/>
  <c r="Z93" i="11"/>
  <c r="Z144" i="11"/>
  <c r="V149" i="11"/>
  <c r="Z133" i="11"/>
  <c r="Z115" i="11"/>
  <c r="B62" i="6"/>
  <c r="B60" i="6"/>
  <c r="B61" i="6"/>
  <c r="B52" i="6"/>
  <c r="B59" i="6"/>
  <c r="B51" i="6"/>
  <c r="B58" i="6"/>
  <c r="B55" i="6"/>
  <c r="B57" i="6"/>
  <c r="B53" i="6"/>
  <c r="B56" i="6"/>
  <c r="B54" i="6"/>
  <c r="Z70" i="11"/>
  <c r="Z110" i="11"/>
  <c r="M69" i="11"/>
  <c r="AA69" i="11" s="1"/>
  <c r="K69" i="11"/>
  <c r="Z134" i="11"/>
  <c r="Z136" i="11"/>
  <c r="V101" i="11"/>
  <c r="Z116" i="11"/>
  <c r="N70" i="11"/>
  <c r="O70" i="11"/>
  <c r="V108" i="11"/>
  <c r="Z146" i="11"/>
  <c r="T124" i="10"/>
  <c r="T125" i="10" s="1"/>
  <c r="T126" i="10" s="1"/>
  <c r="T127" i="10" s="1"/>
  <c r="T128" i="10" s="1"/>
  <c r="T129" i="10" s="1"/>
  <c r="T130" i="10" s="1"/>
  <c r="T131" i="10" s="1"/>
  <c r="T132" i="10" s="1"/>
  <c r="T133" i="10" s="1"/>
  <c r="T134" i="10" s="1"/>
  <c r="T135" i="10" s="1"/>
  <c r="T136" i="10" s="1"/>
  <c r="T137" i="10" s="1"/>
  <c r="T138" i="10" s="1"/>
  <c r="T139" i="10" s="1"/>
  <c r="T140" i="10" s="1"/>
  <c r="T141" i="10" s="1"/>
  <c r="T142" i="10" s="1"/>
  <c r="T143" i="10" s="1"/>
  <c r="T144" i="10" s="1"/>
  <c r="T145" i="10" s="1"/>
  <c r="T146" i="10" s="1"/>
  <c r="T147" i="10" s="1"/>
  <c r="T148" i="10" s="1"/>
  <c r="T149" i="10" s="1"/>
  <c r="T150" i="10" s="1"/>
  <c r="T151" i="10" s="1"/>
  <c r="T152" i="10" s="1"/>
  <c r="T153" i="10" s="1"/>
  <c r="T154" i="10" s="1"/>
  <c r="T155" i="10" s="1"/>
  <c r="T156" i="10" s="1"/>
  <c r="T157" i="10" s="1"/>
  <c r="T158" i="10" s="1"/>
  <c r="T159" i="10" s="1"/>
  <c r="T160" i="10" s="1"/>
  <c r="T161" i="10" s="1"/>
  <c r="T162" i="10" s="1"/>
  <c r="T163" i="10" s="1"/>
  <c r="T164" i="10" s="1"/>
  <c r="T165" i="10" s="1"/>
  <c r="T166" i="10" s="1"/>
  <c r="T167" i="10" s="1"/>
  <c r="T168" i="10" s="1"/>
  <c r="T169" i="10" s="1"/>
  <c r="T170" i="10" s="1"/>
  <c r="T171" i="10" s="1"/>
  <c r="T172" i="10" s="1"/>
  <c r="T173" i="10" s="1"/>
  <c r="T174" i="10" s="1"/>
  <c r="T175" i="10" s="1"/>
  <c r="T176" i="10" s="1"/>
  <c r="T177" i="10" s="1"/>
  <c r="T178" i="10" s="1"/>
  <c r="T179" i="10" s="1"/>
  <c r="T180" i="10" s="1"/>
  <c r="T181" i="10" s="1"/>
  <c r="T182" i="10" s="1"/>
  <c r="T183" i="10" s="1"/>
  <c r="T184" i="10" s="1"/>
  <c r="T185" i="10" s="1"/>
  <c r="T186" i="10" s="1"/>
  <c r="T187" i="10" s="1"/>
  <c r="T188" i="10" s="1"/>
  <c r="T189" i="10" s="1"/>
  <c r="T190" i="10" s="1"/>
  <c r="T191" i="10" s="1"/>
  <c r="T192" i="10" s="1"/>
  <c r="T193" i="10" s="1"/>
  <c r="T194" i="10" s="1"/>
  <c r="T195" i="10" s="1"/>
  <c r="T196" i="10" s="1"/>
  <c r="T197" i="10" s="1"/>
  <c r="T198" i="10" s="1"/>
  <c r="T199" i="10" s="1"/>
  <c r="T200" i="10" s="1"/>
  <c r="T201" i="10" s="1"/>
  <c r="S124" i="10"/>
  <c r="S125" i="10" s="1"/>
  <c r="S126" i="10" s="1"/>
  <c r="S127" i="10" s="1"/>
  <c r="S128" i="10" s="1"/>
  <c r="S129" i="10" s="1"/>
  <c r="S130" i="10" s="1"/>
  <c r="S131" i="10" s="1"/>
  <c r="S132" i="10" s="1"/>
  <c r="S133" i="10" s="1"/>
  <c r="S134" i="10" s="1"/>
  <c r="S135" i="10" s="1"/>
  <c r="S136" i="10" s="1"/>
  <c r="S137" i="10" s="1"/>
  <c r="S138" i="10" s="1"/>
  <c r="S139" i="10" s="1"/>
  <c r="S140" i="10" s="1"/>
  <c r="S141" i="10" s="1"/>
  <c r="S142" i="10" s="1"/>
  <c r="S143" i="10" s="1"/>
  <c r="S144" i="10" s="1"/>
  <c r="S145" i="10" s="1"/>
  <c r="S146" i="10" s="1"/>
  <c r="S147" i="10" s="1"/>
  <c r="S148" i="10" s="1"/>
  <c r="S149" i="10" s="1"/>
  <c r="S150" i="10" s="1"/>
  <c r="S151" i="10" s="1"/>
  <c r="S152" i="10" s="1"/>
  <c r="S153" i="10" s="1"/>
  <c r="S154" i="10" s="1"/>
  <c r="S155" i="10" s="1"/>
  <c r="S156" i="10" s="1"/>
  <c r="S157" i="10" s="1"/>
  <c r="S158" i="10" s="1"/>
  <c r="S159" i="10" s="1"/>
  <c r="S160" i="10" s="1"/>
  <c r="S161" i="10" s="1"/>
  <c r="S162" i="10" s="1"/>
  <c r="S163" i="10" s="1"/>
  <c r="S164" i="10" s="1"/>
  <c r="S165" i="10" s="1"/>
  <c r="S166" i="10" s="1"/>
  <c r="S167" i="10" s="1"/>
  <c r="S168" i="10" s="1"/>
  <c r="S169" i="10" s="1"/>
  <c r="S170" i="10" s="1"/>
  <c r="S171" i="10" s="1"/>
  <c r="S172" i="10" s="1"/>
  <c r="S173" i="10" s="1"/>
  <c r="S174" i="10" s="1"/>
  <c r="S175" i="10" s="1"/>
  <c r="S176" i="10" s="1"/>
  <c r="S177" i="10" s="1"/>
  <c r="S178" i="10" s="1"/>
  <c r="S179" i="10" s="1"/>
  <c r="S180" i="10" s="1"/>
  <c r="S181" i="10" s="1"/>
  <c r="S182" i="10" s="1"/>
  <c r="S183" i="10" s="1"/>
  <c r="S184" i="10" s="1"/>
  <c r="S185" i="10" s="1"/>
  <c r="S186" i="10" s="1"/>
  <c r="S187" i="10" s="1"/>
  <c r="S188" i="10" s="1"/>
  <c r="S189" i="10" s="1"/>
  <c r="S190" i="10" s="1"/>
  <c r="S191" i="10" s="1"/>
  <c r="S192" i="10" s="1"/>
  <c r="S193" i="10" s="1"/>
  <c r="S194" i="10" s="1"/>
  <c r="S195" i="10" s="1"/>
  <c r="S196" i="10" s="1"/>
  <c r="S197" i="10" s="1"/>
  <c r="S198" i="10" s="1"/>
  <c r="S199" i="10" s="1"/>
  <c r="S200" i="10" s="1"/>
  <c r="S201" i="10" s="1"/>
  <c r="U124" i="10"/>
  <c r="U125" i="10" s="1"/>
  <c r="U126" i="10" s="1"/>
  <c r="U127" i="10" s="1"/>
  <c r="U128" i="10" s="1"/>
  <c r="U129" i="10" s="1"/>
  <c r="U130" i="10" s="1"/>
  <c r="U131" i="10" s="1"/>
  <c r="U132" i="10" s="1"/>
  <c r="U133" i="10" s="1"/>
  <c r="U134" i="10" s="1"/>
  <c r="U135" i="10" s="1"/>
  <c r="U136" i="10" s="1"/>
  <c r="U137" i="10" s="1"/>
  <c r="U138" i="10" s="1"/>
  <c r="U139" i="10" s="1"/>
  <c r="U140" i="10" s="1"/>
  <c r="U141" i="10" s="1"/>
  <c r="U142" i="10" s="1"/>
  <c r="U143" i="10" s="1"/>
  <c r="U144" i="10" s="1"/>
  <c r="U145" i="10" s="1"/>
  <c r="U146" i="10" s="1"/>
  <c r="U147" i="10" s="1"/>
  <c r="U148" i="10" s="1"/>
  <c r="U149" i="10" s="1"/>
  <c r="U150" i="10" s="1"/>
  <c r="U151" i="10" s="1"/>
  <c r="U152" i="10" s="1"/>
  <c r="U153" i="10" s="1"/>
  <c r="U154" i="10" s="1"/>
  <c r="U155" i="10" s="1"/>
  <c r="U156" i="10" s="1"/>
  <c r="U157" i="10" s="1"/>
  <c r="U158" i="10" s="1"/>
  <c r="U159" i="10" s="1"/>
  <c r="U160" i="10" s="1"/>
  <c r="U161" i="10" s="1"/>
  <c r="U162" i="10" s="1"/>
  <c r="U163" i="10" s="1"/>
  <c r="U164" i="10" s="1"/>
  <c r="U165" i="10" s="1"/>
  <c r="U166" i="10" s="1"/>
  <c r="U167" i="10" s="1"/>
  <c r="U168" i="10" s="1"/>
  <c r="U169" i="10" s="1"/>
  <c r="U170" i="10" s="1"/>
  <c r="U171" i="10" s="1"/>
  <c r="U172" i="10" s="1"/>
  <c r="U173" i="10" s="1"/>
  <c r="U174" i="10" s="1"/>
  <c r="U175" i="10" s="1"/>
  <c r="U176" i="10" s="1"/>
  <c r="U177" i="10" s="1"/>
  <c r="U178" i="10" s="1"/>
  <c r="U179" i="10" s="1"/>
  <c r="U180" i="10" s="1"/>
  <c r="U181" i="10" s="1"/>
  <c r="U182" i="10" s="1"/>
  <c r="U183" i="10" s="1"/>
  <c r="U184" i="10" s="1"/>
  <c r="U185" i="10" s="1"/>
  <c r="U186" i="10" s="1"/>
  <c r="U187" i="10" s="1"/>
  <c r="U188" i="10" s="1"/>
  <c r="U189" i="10" s="1"/>
  <c r="U190" i="10" s="1"/>
  <c r="U191" i="10" s="1"/>
  <c r="U192" i="10" s="1"/>
  <c r="U193" i="10" s="1"/>
  <c r="U194" i="10" s="1"/>
  <c r="U195" i="10" s="1"/>
  <c r="U196" i="10" s="1"/>
  <c r="U197" i="10" s="1"/>
  <c r="U198" i="10" s="1"/>
  <c r="U199" i="10" s="1"/>
  <c r="U200" i="10" s="1"/>
  <c r="U201" i="10" s="1"/>
  <c r="Y201" i="10" s="1"/>
  <c r="B50" i="5"/>
  <c r="P70" i="11"/>
  <c r="Z101" i="11"/>
  <c r="V98" i="11"/>
  <c r="Z73" i="11"/>
  <c r="Z109" i="11"/>
  <c r="Z139" i="11"/>
  <c r="Z112" i="11"/>
  <c r="V116" i="11"/>
  <c r="V69" i="11"/>
  <c r="V76" i="11"/>
  <c r="V180" i="10"/>
  <c r="V160" i="10"/>
  <c r="V127" i="10"/>
  <c r="AD127" i="10" s="1"/>
  <c r="V130" i="10"/>
  <c r="AD130" i="10" s="1"/>
  <c r="V198" i="10"/>
  <c r="V134" i="10"/>
  <c r="AD134" i="10" s="1"/>
  <c r="V201" i="10"/>
  <c r="V175" i="10"/>
  <c r="V196" i="10"/>
  <c r="V154" i="10"/>
  <c r="V139" i="10"/>
  <c r="AD139" i="10" s="1"/>
  <c r="V128" i="10"/>
  <c r="V142" i="10"/>
  <c r="AD142" i="10" s="1"/>
  <c r="V173" i="10"/>
  <c r="V137" i="10"/>
  <c r="AD137" i="10" s="1"/>
  <c r="V145" i="10"/>
  <c r="AD145" i="10" s="1"/>
  <c r="V183" i="10"/>
  <c r="V189" i="10"/>
  <c r="V136" i="10"/>
  <c r="AD136" i="10" s="1"/>
  <c r="V140" i="10"/>
  <c r="AD140" i="10" s="1"/>
  <c r="V161" i="10"/>
  <c r="V179" i="10"/>
  <c r="V165" i="10"/>
  <c r="V159" i="10"/>
  <c r="V191" i="10"/>
  <c r="V151" i="10"/>
  <c r="AD151" i="10" s="1"/>
  <c r="V131" i="10"/>
  <c r="AD131" i="10" s="1"/>
  <c r="V158" i="10"/>
  <c r="V203" i="10"/>
  <c r="AD203" i="10" s="1"/>
  <c r="V147" i="10"/>
  <c r="AD147" i="10" s="1"/>
  <c r="V143" i="10"/>
  <c r="AD143" i="10" s="1"/>
  <c r="V188" i="10"/>
  <c r="V150" i="10"/>
  <c r="V187" i="10"/>
  <c r="V168" i="10"/>
  <c r="V164" i="10"/>
  <c r="V205" i="10"/>
  <c r="AD205" i="10" s="1"/>
  <c r="V125" i="10"/>
  <c r="AD125" i="10" s="1"/>
  <c r="V156" i="10"/>
  <c r="V199" i="10"/>
  <c r="V172" i="10"/>
  <c r="V182" i="10"/>
  <c r="V177" i="10"/>
  <c r="V148" i="10"/>
  <c r="AD148" i="10" s="1"/>
  <c r="V195" i="10"/>
  <c r="V185" i="10"/>
  <c r="V163" i="10"/>
  <c r="V162" i="10"/>
  <c r="V204" i="10"/>
  <c r="AD204" i="10" s="1"/>
  <c r="V157" i="10"/>
  <c r="V200" i="10"/>
  <c r="V202" i="10"/>
  <c r="AD202" i="10" s="1"/>
  <c r="V126" i="10"/>
  <c r="AD126" i="10" s="1"/>
  <c r="V166" i="10"/>
  <c r="V170" i="10"/>
  <c r="V171" i="10"/>
  <c r="V149" i="10"/>
  <c r="AD149" i="10" s="1"/>
  <c r="V186" i="10"/>
  <c r="V178" i="10"/>
  <c r="V190" i="10"/>
  <c r="V129" i="10"/>
  <c r="AD129" i="10" s="1"/>
  <c r="V194" i="10"/>
  <c r="V176" i="10"/>
  <c r="V132" i="10"/>
  <c r="AD132" i="10" s="1"/>
  <c r="V181" i="10"/>
  <c r="V174" i="10"/>
  <c r="V124" i="10"/>
  <c r="AD124" i="10" s="1"/>
  <c r="V192" i="10"/>
  <c r="V169" i="10"/>
  <c r="V146" i="10"/>
  <c r="AD146" i="10" s="1"/>
  <c r="V152" i="10"/>
  <c r="AD152" i="10" s="1"/>
  <c r="V138" i="10"/>
  <c r="AD138" i="10" s="1"/>
  <c r="V141" i="10"/>
  <c r="AD141" i="10" s="1"/>
  <c r="V153" i="10"/>
  <c r="AD153" i="10" s="1"/>
  <c r="V133" i="10"/>
  <c r="AD133" i="10" s="1"/>
  <c r="V167" i="10"/>
  <c r="V135" i="10"/>
  <c r="AD135" i="10" s="1"/>
  <c r="V155" i="10"/>
  <c r="V144" i="10"/>
  <c r="AD144" i="10" s="1"/>
  <c r="V193" i="10"/>
  <c r="V197" i="10"/>
  <c r="V184" i="10"/>
  <c r="V73" i="11"/>
  <c r="Z74" i="11"/>
  <c r="V72" i="11"/>
  <c r="V134" i="11"/>
  <c r="V79" i="11"/>
  <c r="V122" i="11"/>
  <c r="Z125" i="11"/>
  <c r="V92" i="11"/>
  <c r="V124" i="11"/>
  <c r="Z118" i="11"/>
  <c r="Z128" i="11"/>
  <c r="V135" i="11"/>
  <c r="V137" i="11"/>
  <c r="AD150" i="10"/>
  <c r="V89" i="11"/>
  <c r="Z86" i="11"/>
  <c r="Z79" i="11"/>
  <c r="Z131" i="11"/>
  <c r="V74" i="11"/>
  <c r="V105" i="11"/>
  <c r="Z135" i="11"/>
  <c r="V113" i="11"/>
  <c r="Z129" i="11"/>
  <c r="V145" i="11"/>
  <c r="V143" i="11"/>
  <c r="Y135" i="10" l="1"/>
  <c r="Y128" i="10"/>
  <c r="AC202" i="10"/>
  <c r="W154" i="10"/>
  <c r="AC154" i="10" s="1"/>
  <c r="Y150" i="10"/>
  <c r="W140" i="10"/>
  <c r="Y159" i="10"/>
  <c r="Y145" i="10"/>
  <c r="AC145" i="10" s="1"/>
  <c r="H71" i="7"/>
  <c r="J71" i="7" s="1"/>
  <c r="X125" i="10"/>
  <c r="X153" i="10"/>
  <c r="X150" i="10"/>
  <c r="X134" i="10"/>
  <c r="I76" i="7"/>
  <c r="C76" i="7" s="1"/>
  <c r="D76" i="7" s="1"/>
  <c r="Y168" i="10"/>
  <c r="X154" i="10"/>
  <c r="I77" i="7"/>
  <c r="C77" i="7" s="1"/>
  <c r="Y157" i="10"/>
  <c r="Y195" i="10"/>
  <c r="X163" i="10"/>
  <c r="K137" i="10"/>
  <c r="K188" i="10"/>
  <c r="K142" i="10"/>
  <c r="K152" i="10"/>
  <c r="K196" i="10"/>
  <c r="K161" i="10"/>
  <c r="K199" i="10"/>
  <c r="K169" i="10"/>
  <c r="K184" i="10"/>
  <c r="O124" i="10"/>
  <c r="K124" i="10"/>
  <c r="K182" i="10"/>
  <c r="K146" i="10"/>
  <c r="K135" i="10"/>
  <c r="K186" i="10"/>
  <c r="K166" i="10"/>
  <c r="K177" i="10"/>
  <c r="K172" i="10"/>
  <c r="K162" i="10"/>
  <c r="K189" i="10"/>
  <c r="K164" i="10"/>
  <c r="K200" i="10"/>
  <c r="K143" i="10"/>
  <c r="K130" i="10"/>
  <c r="K126" i="10"/>
  <c r="K173" i="10"/>
  <c r="K191" i="10"/>
  <c r="K181" i="10"/>
  <c r="K176" i="10"/>
  <c r="K174" i="10"/>
  <c r="K187" i="10"/>
  <c r="K179" i="10"/>
  <c r="K167" i="10"/>
  <c r="K197" i="10"/>
  <c r="K194" i="10"/>
  <c r="K129" i="10"/>
  <c r="K132" i="10"/>
  <c r="K154" i="10"/>
  <c r="K163" i="10"/>
  <c r="K159" i="10"/>
  <c r="K144" i="10"/>
  <c r="K185" i="10"/>
  <c r="K131" i="10"/>
  <c r="K180" i="10"/>
  <c r="K201" i="10"/>
  <c r="K193" i="10"/>
  <c r="K147" i="10"/>
  <c r="K133" i="10"/>
  <c r="K153" i="10"/>
  <c r="K149" i="10"/>
  <c r="K192" i="10"/>
  <c r="K195" i="10"/>
  <c r="K139" i="10"/>
  <c r="K190" i="10"/>
  <c r="K128" i="10"/>
  <c r="K140" i="10"/>
  <c r="K158" i="10"/>
  <c r="K175" i="10"/>
  <c r="K168" i="10"/>
  <c r="K127" i="10"/>
  <c r="K134" i="10"/>
  <c r="K170" i="10"/>
  <c r="K156" i="10"/>
  <c r="K155" i="10"/>
  <c r="K165" i="10"/>
  <c r="K183" i="10"/>
  <c r="K171" i="10"/>
  <c r="K178" i="10"/>
  <c r="K136" i="10"/>
  <c r="K160" i="10"/>
  <c r="K141" i="10"/>
  <c r="K150" i="10"/>
  <c r="K151" i="10"/>
  <c r="K125" i="10"/>
  <c r="K138" i="10"/>
  <c r="K157" i="10"/>
  <c r="K198" i="10"/>
  <c r="K145" i="10"/>
  <c r="K148" i="10"/>
  <c r="B64" i="6"/>
  <c r="B63" i="6"/>
  <c r="Y164" i="10"/>
  <c r="X129" i="10"/>
  <c r="W132" i="10"/>
  <c r="Y125" i="10"/>
  <c r="X141" i="10"/>
  <c r="W164" i="10"/>
  <c r="X139" i="10"/>
  <c r="W125" i="10"/>
  <c r="AC125" i="10" s="1"/>
  <c r="Y177" i="10"/>
  <c r="W166" i="10"/>
  <c r="Y146" i="10"/>
  <c r="Y180" i="10"/>
  <c r="P71" i="11"/>
  <c r="Y152" i="10"/>
  <c r="W156" i="10"/>
  <c r="Y136" i="10"/>
  <c r="X140" i="10"/>
  <c r="W127" i="10"/>
  <c r="W142" i="10"/>
  <c r="Y173" i="10"/>
  <c r="Y140" i="10"/>
  <c r="AC123" i="10"/>
  <c r="Y129" i="10"/>
  <c r="Y181" i="10"/>
  <c r="X147" i="10"/>
  <c r="B75" i="7"/>
  <c r="J75" i="7"/>
  <c r="I78" i="7"/>
  <c r="C78" i="7" s="1"/>
  <c r="Y175" i="10"/>
  <c r="W148" i="10"/>
  <c r="K11" i="11"/>
  <c r="W163" i="10"/>
  <c r="W143" i="10"/>
  <c r="N71" i="11"/>
  <c r="O71" i="11"/>
  <c r="Y172" i="10"/>
  <c r="Y178" i="10"/>
  <c r="X142" i="10"/>
  <c r="AC204" i="10"/>
  <c r="X128" i="10"/>
  <c r="Y143" i="10"/>
  <c r="X165" i="10"/>
  <c r="Y142" i="10"/>
  <c r="X126" i="10"/>
  <c r="X143" i="10"/>
  <c r="W139" i="10"/>
  <c r="Y141" i="10"/>
  <c r="X148" i="10"/>
  <c r="Y187" i="10"/>
  <c r="W144" i="10"/>
  <c r="W130" i="10"/>
  <c r="Y130" i="10"/>
  <c r="X166" i="10"/>
  <c r="Y166" i="10"/>
  <c r="Y162" i="10"/>
  <c r="W129" i="10"/>
  <c r="W147" i="10"/>
  <c r="Y160" i="10"/>
  <c r="Y194" i="10"/>
  <c r="F128" i="10"/>
  <c r="Y174" i="10"/>
  <c r="X152" i="10"/>
  <c r="X151" i="10"/>
  <c r="X124" i="10"/>
  <c r="Y131" i="10"/>
  <c r="Y163" i="10"/>
  <c r="X132" i="10"/>
  <c r="W151" i="10"/>
  <c r="Y189" i="10"/>
  <c r="X161" i="10"/>
  <c r="N127" i="10"/>
  <c r="Y191" i="10"/>
  <c r="X164" i="10"/>
  <c r="Y200" i="10"/>
  <c r="W162" i="10"/>
  <c r="K70" i="11"/>
  <c r="L69" i="11"/>
  <c r="M70" i="11"/>
  <c r="AA70" i="11" s="1"/>
  <c r="Y149" i="10"/>
  <c r="W150" i="10"/>
  <c r="AC150" i="10" s="1"/>
  <c r="Y171" i="10"/>
  <c r="W138" i="10"/>
  <c r="W133" i="10"/>
  <c r="Y153" i="10"/>
  <c r="Y169" i="10"/>
  <c r="Y170" i="10"/>
  <c r="Y167" i="10"/>
  <c r="Y139" i="10"/>
  <c r="Y165" i="10"/>
  <c r="Y133" i="10"/>
  <c r="X136" i="10"/>
  <c r="Y144" i="10"/>
  <c r="Y182" i="10"/>
  <c r="AC141" i="10"/>
  <c r="X131" i="10"/>
  <c r="Y154" i="10"/>
  <c r="X155" i="10"/>
  <c r="W128" i="10"/>
  <c r="W153" i="10"/>
  <c r="Y185" i="10"/>
  <c r="AC205" i="10"/>
  <c r="X157" i="10"/>
  <c r="W135" i="10"/>
  <c r="AC135" i="10" s="1"/>
  <c r="X144" i="10"/>
  <c r="W146" i="10"/>
  <c r="AC146" i="10" s="1"/>
  <c r="Y197" i="10"/>
  <c r="Y176" i="10"/>
  <c r="B51" i="5"/>
  <c r="B53" i="5"/>
  <c r="B52" i="5"/>
  <c r="X135" i="10"/>
  <c r="Y127" i="10"/>
  <c r="W136" i="10"/>
  <c r="X149" i="10"/>
  <c r="Y156" i="10"/>
  <c r="Y199" i="10"/>
  <c r="W124" i="10"/>
  <c r="Y183" i="10"/>
  <c r="W161" i="10"/>
  <c r="X137" i="10"/>
  <c r="W149" i="10"/>
  <c r="Y158" i="10"/>
  <c r="Y196" i="10"/>
  <c r="H74" i="7"/>
  <c r="H77" i="7"/>
  <c r="H78" i="7"/>
  <c r="H73" i="7"/>
  <c r="H72" i="7"/>
  <c r="W137" i="10"/>
  <c r="Y134" i="10"/>
  <c r="AC134" i="10" s="1"/>
  <c r="Y192" i="10"/>
  <c r="X146" i="10"/>
  <c r="Y151" i="10"/>
  <c r="X160" i="10"/>
  <c r="Y126" i="10"/>
  <c r="Y190" i="10"/>
  <c r="Y193" i="10"/>
  <c r="Y186" i="10"/>
  <c r="W165" i="10"/>
  <c r="Y138" i="10"/>
  <c r="W152" i="10"/>
  <c r="X159" i="10"/>
  <c r="W126" i="10"/>
  <c r="W157" i="10"/>
  <c r="Y198" i="10"/>
  <c r="Y155" i="10"/>
  <c r="W159" i="10"/>
  <c r="X133" i="10"/>
  <c r="Y124" i="10"/>
  <c r="Y147" i="10"/>
  <c r="W155" i="10"/>
  <c r="W160" i="10"/>
  <c r="J69" i="11"/>
  <c r="I71" i="11"/>
  <c r="X127" i="10"/>
  <c r="AC203" i="10"/>
  <c r="W158" i="10"/>
  <c r="Y179" i="10"/>
  <c r="X138" i="10"/>
  <c r="X162" i="10"/>
  <c r="X130" i="10"/>
  <c r="Y188" i="10"/>
  <c r="Y184" i="10"/>
  <c r="Y161" i="10"/>
  <c r="X158" i="10"/>
  <c r="AC144" i="10" l="1"/>
  <c r="AC152" i="10"/>
  <c r="J76" i="7"/>
  <c r="AC136" i="10"/>
  <c r="AC139" i="10"/>
  <c r="AC128" i="10"/>
  <c r="AC127" i="10"/>
  <c r="AC140" i="10"/>
  <c r="AC132" i="10"/>
  <c r="AC131" i="10"/>
  <c r="B69" i="6"/>
  <c r="B88" i="6" s="1"/>
  <c r="AC137" i="10"/>
  <c r="J77" i="7"/>
  <c r="B77" i="7"/>
  <c r="N128" i="10"/>
  <c r="B66" i="6"/>
  <c r="B74" i="6"/>
  <c r="B73" i="6"/>
  <c r="AC126" i="10"/>
  <c r="B68" i="6"/>
  <c r="E100" i="6" s="1"/>
  <c r="O10" i="11" s="1"/>
  <c r="AD10" i="11" s="1"/>
  <c r="P72" i="11"/>
  <c r="F129" i="10"/>
  <c r="K6" i="11"/>
  <c r="T11" i="11"/>
  <c r="S11" i="11"/>
  <c r="AC138" i="10"/>
  <c r="B75" i="6"/>
  <c r="AC148" i="10"/>
  <c r="AC147" i="10"/>
  <c r="AC143" i="10"/>
  <c r="AC129" i="10"/>
  <c r="B76" i="6"/>
  <c r="K71" i="11"/>
  <c r="M71" i="11"/>
  <c r="AA71" i="11" s="1"/>
  <c r="L70" i="11"/>
  <c r="AC130" i="10"/>
  <c r="B65" i="6"/>
  <c r="J78" i="7"/>
  <c r="B78" i="7"/>
  <c r="B99" i="10"/>
  <c r="J74" i="7"/>
  <c r="B74" i="7"/>
  <c r="B71" i="6"/>
  <c r="AC151" i="10"/>
  <c r="AQ123" i="10"/>
  <c r="AG123" i="10"/>
  <c r="AH123" i="10"/>
  <c r="AR123" i="10"/>
  <c r="AC149" i="10"/>
  <c r="B70" i="6"/>
  <c r="B72" i="6"/>
  <c r="AC142" i="10"/>
  <c r="B56" i="8"/>
  <c r="B18" i="8"/>
  <c r="B67" i="6"/>
  <c r="D75" i="7"/>
  <c r="K10" i="11"/>
  <c r="J72" i="7"/>
  <c r="B72" i="7"/>
  <c r="AC153" i="10"/>
  <c r="AC133" i="10"/>
  <c r="O125" i="10"/>
  <c r="J70" i="11"/>
  <c r="I72" i="11"/>
  <c r="B73" i="7"/>
  <c r="J73" i="7"/>
  <c r="AC124" i="10"/>
  <c r="O72" i="11"/>
  <c r="N72" i="11"/>
  <c r="E101" i="6" l="1"/>
  <c r="O11" i="11" s="1"/>
  <c r="M72" i="11"/>
  <c r="AA72" i="11" s="1"/>
  <c r="K72" i="11"/>
  <c r="L71" i="11"/>
  <c r="B16" i="8"/>
  <c r="B53" i="8"/>
  <c r="B38" i="8"/>
  <c r="P73" i="11"/>
  <c r="K8" i="11"/>
  <c r="D73" i="7"/>
  <c r="B89" i="6"/>
  <c r="E102" i="6"/>
  <c r="O12" i="11" s="1"/>
  <c r="J71" i="11"/>
  <c r="I73" i="11"/>
  <c r="K9" i="11"/>
  <c r="D74" i="7"/>
  <c r="B90" i="6"/>
  <c r="E103" i="6"/>
  <c r="O13" i="11" s="1"/>
  <c r="K13" i="11"/>
  <c r="D78" i="7"/>
  <c r="E99" i="6"/>
  <c r="O9" i="11" s="1"/>
  <c r="U11" i="11"/>
  <c r="T6" i="11"/>
  <c r="O73" i="11"/>
  <c r="N73" i="11"/>
  <c r="K7" i="11"/>
  <c r="D72" i="7"/>
  <c r="F130" i="10"/>
  <c r="T10" i="11"/>
  <c r="D77" i="7"/>
  <c r="K12" i="11"/>
  <c r="E98" i="6"/>
  <c r="O8" i="11" s="1"/>
  <c r="B100" i="10"/>
  <c r="O126" i="10"/>
  <c r="E96" i="6"/>
  <c r="O6" i="11" s="1"/>
  <c r="E97" i="6"/>
  <c r="O7" i="11" s="1"/>
  <c r="B8" i="8"/>
  <c r="N129" i="10"/>
  <c r="B91" i="6" l="1"/>
  <c r="B92" i="6" s="1"/>
  <c r="B102" i="6" s="1"/>
  <c r="D102" i="6" s="1"/>
  <c r="F77" i="7" s="1"/>
  <c r="B40" i="8" s="1"/>
  <c r="B72" i="8"/>
  <c r="D72" i="8" s="1"/>
  <c r="T13" i="11"/>
  <c r="S13" i="11"/>
  <c r="B12" i="8"/>
  <c r="B62" i="8"/>
  <c r="B22" i="8"/>
  <c r="B103" i="6"/>
  <c r="D103" i="6" s="1"/>
  <c r="F78" i="7" s="1"/>
  <c r="B101" i="6"/>
  <c r="D101" i="6" s="1"/>
  <c r="F76" i="7" s="1"/>
  <c r="N74" i="11"/>
  <c r="O74" i="11"/>
  <c r="T9" i="11"/>
  <c r="S9" i="11"/>
  <c r="U9" i="11" s="1"/>
  <c r="B102" i="10"/>
  <c r="B101" i="10"/>
  <c r="J72" i="11"/>
  <c r="I74" i="11"/>
  <c r="T12" i="11"/>
  <c r="S12" i="11"/>
  <c r="S8" i="11"/>
  <c r="T8" i="11"/>
  <c r="B82" i="6"/>
  <c r="B59" i="8"/>
  <c r="B20" i="8"/>
  <c r="P74" i="11"/>
  <c r="F131" i="10"/>
  <c r="N130" i="10"/>
  <c r="B10" i="8"/>
  <c r="O127" i="10"/>
  <c r="T7" i="11"/>
  <c r="S7" i="11"/>
  <c r="B14" i="8"/>
  <c r="K73" i="11"/>
  <c r="M73" i="11"/>
  <c r="AA73" i="11" s="1"/>
  <c r="L72" i="11"/>
  <c r="Z157" i="10" l="1"/>
  <c r="AD157" i="10" s="1"/>
  <c r="Z155" i="10"/>
  <c r="AD155" i="10" s="1"/>
  <c r="Z158" i="10"/>
  <c r="AD158" i="10" s="1"/>
  <c r="Z156" i="10"/>
  <c r="AD156" i="10" s="1"/>
  <c r="Z161" i="10"/>
  <c r="AD161" i="10" s="1"/>
  <c r="Z163" i="10"/>
  <c r="AD163" i="10" s="1"/>
  <c r="Z160" i="10"/>
  <c r="AD160" i="10" s="1"/>
  <c r="Z159" i="10"/>
  <c r="AD159" i="10" s="1"/>
  <c r="Z165" i="10"/>
  <c r="AD165" i="10" s="1"/>
  <c r="Z154" i="10"/>
  <c r="AD154" i="10" s="1"/>
  <c r="Z164" i="10"/>
  <c r="AD164" i="10" s="1"/>
  <c r="Z162" i="10"/>
  <c r="AD162" i="10" s="1"/>
  <c r="U8" i="11"/>
  <c r="J11" i="11"/>
  <c r="B53" i="11"/>
  <c r="Z78" i="11" s="1"/>
  <c r="B17" i="8"/>
  <c r="B45" i="10"/>
  <c r="I131" i="10" s="1"/>
  <c r="B39" i="8"/>
  <c r="B84" i="6"/>
  <c r="B83" i="6"/>
  <c r="B85" i="6"/>
  <c r="B86" i="6"/>
  <c r="J13" i="11"/>
  <c r="B21" i="8"/>
  <c r="J12" i="11"/>
  <c r="B52" i="11"/>
  <c r="V78" i="11" s="1"/>
  <c r="B19" i="8"/>
  <c r="O128" i="10"/>
  <c r="N131" i="10"/>
  <c r="U12" i="11"/>
  <c r="B41" i="8"/>
  <c r="J73" i="11"/>
  <c r="I75" i="11"/>
  <c r="U7" i="11"/>
  <c r="B103" i="10"/>
  <c r="AB155" i="10" s="1"/>
  <c r="AB156" i="10" s="1"/>
  <c r="AB157" i="10" s="1"/>
  <c r="B104" i="10"/>
  <c r="AA155" i="10" s="1"/>
  <c r="Z191" i="10"/>
  <c r="AD191" i="10" s="1"/>
  <c r="Z171" i="10"/>
  <c r="AD171" i="10" s="1"/>
  <c r="Z196" i="10"/>
  <c r="AD196" i="10" s="1"/>
  <c r="Z169" i="10"/>
  <c r="AD169" i="10" s="1"/>
  <c r="Z195" i="10"/>
  <c r="AD195" i="10" s="1"/>
  <c r="Z192" i="10"/>
  <c r="AD192" i="10" s="1"/>
  <c r="Z201" i="10"/>
  <c r="AD201" i="10" s="1"/>
  <c r="Z181" i="10"/>
  <c r="AD181" i="10" s="1"/>
  <c r="Z185" i="10"/>
  <c r="AD185" i="10" s="1"/>
  <c r="Z200" i="10"/>
  <c r="AD200" i="10" s="1"/>
  <c r="Z187" i="10"/>
  <c r="AD187" i="10" s="1"/>
  <c r="Z180" i="10"/>
  <c r="AD180" i="10" s="1"/>
  <c r="Z193" i="10"/>
  <c r="AD193" i="10" s="1"/>
  <c r="Z174" i="10"/>
  <c r="AD174" i="10" s="1"/>
  <c r="Z179" i="10"/>
  <c r="AD179" i="10" s="1"/>
  <c r="Z168" i="10"/>
  <c r="AD168" i="10" s="1"/>
  <c r="Z177" i="10"/>
  <c r="AD177" i="10" s="1"/>
  <c r="Z175" i="10"/>
  <c r="AD175" i="10" s="1"/>
  <c r="Z194" i="10"/>
  <c r="AD194" i="10" s="1"/>
  <c r="Z186" i="10"/>
  <c r="AD186" i="10" s="1"/>
  <c r="Z199" i="10"/>
  <c r="AD199" i="10" s="1"/>
  <c r="Z183" i="10"/>
  <c r="AD183" i="10" s="1"/>
  <c r="Z178" i="10"/>
  <c r="AD178" i="10" s="1"/>
  <c r="Z188" i="10"/>
  <c r="AD188" i="10" s="1"/>
  <c r="Z182" i="10"/>
  <c r="AD182" i="10" s="1"/>
  <c r="Z189" i="10"/>
  <c r="AD189" i="10" s="1"/>
  <c r="Z176" i="10"/>
  <c r="AD176" i="10" s="1"/>
  <c r="Z198" i="10"/>
  <c r="AD198" i="10" s="1"/>
  <c r="Z170" i="10"/>
  <c r="AD170" i="10" s="1"/>
  <c r="Z197" i="10"/>
  <c r="AD197" i="10" s="1"/>
  <c r="Z166" i="10"/>
  <c r="AD166" i="10" s="1"/>
  <c r="Z190" i="10"/>
  <c r="AD190" i="10" s="1"/>
  <c r="Z167" i="10"/>
  <c r="AD167" i="10" s="1"/>
  <c r="Z173" i="10"/>
  <c r="AD173" i="10" s="1"/>
  <c r="Z172" i="10"/>
  <c r="AD172" i="10" s="1"/>
  <c r="Z184" i="10"/>
  <c r="AD184" i="10" s="1"/>
  <c r="U13" i="11"/>
  <c r="K74" i="11"/>
  <c r="M74" i="11"/>
  <c r="AA74" i="11" s="1"/>
  <c r="L73" i="11"/>
  <c r="F132" i="10"/>
  <c r="P75" i="11"/>
  <c r="M10" i="11"/>
  <c r="N10" i="11" s="1"/>
  <c r="B47" i="10"/>
  <c r="B74" i="8"/>
  <c r="D74" i="8" s="1"/>
  <c r="M12" i="11" s="1"/>
  <c r="N12" i="11" s="1"/>
  <c r="N75" i="11"/>
  <c r="O75" i="11"/>
  <c r="AA156" i="10" l="1"/>
  <c r="AC155" i="10"/>
  <c r="AB158" i="10"/>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B87" i="6"/>
  <c r="B98" i="6" s="1"/>
  <c r="D98" i="6" s="1"/>
  <c r="F73" i="7" s="1"/>
  <c r="B106" i="10"/>
  <c r="B75" i="8"/>
  <c r="D75" i="8" s="1"/>
  <c r="M13" i="11" s="1"/>
  <c r="N13" i="11" s="1"/>
  <c r="I126" i="10"/>
  <c r="I125" i="10"/>
  <c r="I124" i="10"/>
  <c r="I127" i="10"/>
  <c r="I128" i="10"/>
  <c r="I129" i="10"/>
  <c r="I130" i="10"/>
  <c r="N132" i="10"/>
  <c r="B107" i="10"/>
  <c r="AD12" i="11"/>
  <c r="BD132" i="11"/>
  <c r="BD92" i="11"/>
  <c r="BD124" i="11"/>
  <c r="BD96" i="11"/>
  <c r="BD83" i="11"/>
  <c r="BD141" i="11"/>
  <c r="BD149" i="11"/>
  <c r="BD84" i="11"/>
  <c r="BD79" i="11"/>
  <c r="BD128" i="11"/>
  <c r="BD137" i="11"/>
  <c r="BD123" i="11"/>
  <c r="BD113" i="11"/>
  <c r="BD146" i="11"/>
  <c r="BD71" i="11"/>
  <c r="BD115" i="11"/>
  <c r="BD93" i="11"/>
  <c r="BD69" i="11"/>
  <c r="BD135" i="11"/>
  <c r="BD108" i="11"/>
  <c r="BD70" i="11"/>
  <c r="BD75" i="11"/>
  <c r="BD147" i="11"/>
  <c r="BD107" i="11"/>
  <c r="BD74" i="11"/>
  <c r="BD117" i="11"/>
  <c r="BD112" i="11"/>
  <c r="BD125" i="11"/>
  <c r="BD134" i="11"/>
  <c r="BD81" i="11"/>
  <c r="BD127" i="11"/>
  <c r="BD100" i="11"/>
  <c r="BD119" i="11"/>
  <c r="BD144" i="11"/>
  <c r="BD101" i="11"/>
  <c r="BD109" i="11"/>
  <c r="BD111" i="11"/>
  <c r="BD106" i="11"/>
  <c r="BD87" i="11"/>
  <c r="BD104" i="11"/>
  <c r="BD90" i="11"/>
  <c r="BD110" i="11"/>
  <c r="BD148" i="11"/>
  <c r="BD94" i="11"/>
  <c r="BD105" i="11"/>
  <c r="BD73" i="11"/>
  <c r="BD88" i="11"/>
  <c r="BD138" i="11"/>
  <c r="BD131" i="11"/>
  <c r="BD116" i="11"/>
  <c r="BD85" i="11"/>
  <c r="BD140" i="11"/>
  <c r="BD121" i="11"/>
  <c r="BD99" i="11"/>
  <c r="BD130" i="11"/>
  <c r="BD129" i="11"/>
  <c r="BD102" i="11"/>
  <c r="BD77" i="11"/>
  <c r="BD68" i="11"/>
  <c r="BD80" i="11"/>
  <c r="BD120" i="11"/>
  <c r="BD142" i="11"/>
  <c r="BD122" i="11"/>
  <c r="BD76" i="11"/>
  <c r="BD133" i="11"/>
  <c r="BD114" i="11"/>
  <c r="BD98" i="11"/>
  <c r="BD139" i="11"/>
  <c r="BD91" i="11"/>
  <c r="BD72" i="11"/>
  <c r="BD126" i="11"/>
  <c r="BD150" i="11"/>
  <c r="BD145" i="11"/>
  <c r="BD103" i="11"/>
  <c r="BD95" i="11"/>
  <c r="BD97" i="11"/>
  <c r="BD89" i="11"/>
  <c r="BD136" i="11"/>
  <c r="BD86" i="11"/>
  <c r="BD143" i="11"/>
  <c r="BD82" i="11"/>
  <c r="BD118" i="11"/>
  <c r="AE11" i="11"/>
  <c r="AF11" i="11"/>
  <c r="AD11" i="11"/>
  <c r="AB11" i="11"/>
  <c r="AC11" i="11"/>
  <c r="AA11" i="11"/>
  <c r="AZ136" i="11"/>
  <c r="AZ120" i="11"/>
  <c r="AZ139" i="11"/>
  <c r="AZ115" i="11"/>
  <c r="AZ93" i="11"/>
  <c r="AZ124" i="11"/>
  <c r="AZ148" i="11"/>
  <c r="AZ133" i="11"/>
  <c r="AZ137" i="11"/>
  <c r="AZ103" i="11"/>
  <c r="AZ134" i="11"/>
  <c r="AZ81" i="11"/>
  <c r="AZ144" i="11"/>
  <c r="AZ128" i="11"/>
  <c r="AZ119" i="11"/>
  <c r="AZ92" i="11"/>
  <c r="AZ82" i="11"/>
  <c r="AZ88" i="11"/>
  <c r="AZ149" i="11"/>
  <c r="AZ138" i="11"/>
  <c r="AZ135" i="11"/>
  <c r="AZ99" i="11"/>
  <c r="AZ78" i="11"/>
  <c r="AZ107" i="11"/>
  <c r="AZ146" i="11"/>
  <c r="AZ121" i="11"/>
  <c r="AZ123" i="11"/>
  <c r="AZ112" i="11"/>
  <c r="AZ73" i="11"/>
  <c r="AZ127" i="11"/>
  <c r="AZ150" i="11"/>
  <c r="AZ118" i="11"/>
  <c r="AZ122" i="11"/>
  <c r="AZ89" i="11"/>
  <c r="AZ113" i="11"/>
  <c r="AZ91" i="11"/>
  <c r="AZ142" i="11"/>
  <c r="AZ141" i="11"/>
  <c r="AZ86" i="11"/>
  <c r="AZ71" i="11"/>
  <c r="AZ84" i="11"/>
  <c r="AZ83" i="11"/>
  <c r="AZ140" i="11"/>
  <c r="AZ130" i="11"/>
  <c r="AZ109" i="11"/>
  <c r="AZ74" i="11"/>
  <c r="AZ75" i="11"/>
  <c r="AZ108" i="11"/>
  <c r="AZ129" i="11"/>
  <c r="AZ126" i="11"/>
  <c r="AZ104" i="11"/>
  <c r="AZ70" i="11"/>
  <c r="AZ106" i="11"/>
  <c r="AZ111" i="11"/>
  <c r="AZ125" i="11"/>
  <c r="AZ147" i="11"/>
  <c r="AZ110" i="11"/>
  <c r="AZ98" i="11"/>
  <c r="AZ96" i="11"/>
  <c r="AZ94" i="11"/>
  <c r="AZ76" i="11"/>
  <c r="AZ143" i="11"/>
  <c r="AZ102" i="11"/>
  <c r="AZ87" i="11"/>
  <c r="AZ85" i="11"/>
  <c r="AZ72" i="11"/>
  <c r="AZ69" i="11"/>
  <c r="AZ131" i="11"/>
  <c r="AZ95" i="11"/>
  <c r="AZ114" i="11"/>
  <c r="AZ80" i="11"/>
  <c r="AZ79" i="11"/>
  <c r="AZ68" i="11"/>
  <c r="AZ132" i="11"/>
  <c r="AZ116" i="11"/>
  <c r="AZ100" i="11"/>
  <c r="AZ105" i="11"/>
  <c r="AZ90" i="11"/>
  <c r="AZ145" i="11"/>
  <c r="AZ97" i="11"/>
  <c r="AZ101" i="11"/>
  <c r="AZ117" i="11"/>
  <c r="AZ77" i="11"/>
  <c r="AD13" i="11"/>
  <c r="BH143" i="11"/>
  <c r="BH96" i="11"/>
  <c r="BH132" i="11"/>
  <c r="BH121" i="11"/>
  <c r="BH75" i="11"/>
  <c r="BH70" i="11"/>
  <c r="BH131" i="11"/>
  <c r="BH144" i="11"/>
  <c r="BH101" i="11"/>
  <c r="BH95" i="11"/>
  <c r="BH69" i="11"/>
  <c r="BH99" i="11"/>
  <c r="BH137" i="11"/>
  <c r="BH129" i="11"/>
  <c r="BH148" i="11"/>
  <c r="BH108" i="11"/>
  <c r="BH135" i="11"/>
  <c r="BH87" i="11"/>
  <c r="BH133" i="11"/>
  <c r="BH103" i="11"/>
  <c r="BH111" i="11"/>
  <c r="BH73" i="11"/>
  <c r="BH100" i="11"/>
  <c r="BH68" i="11"/>
  <c r="BH130" i="11"/>
  <c r="BH98" i="11"/>
  <c r="BH106" i="11"/>
  <c r="BH138" i="11"/>
  <c r="BH76" i="11"/>
  <c r="BH139" i="11"/>
  <c r="BH91" i="11"/>
  <c r="BH89" i="11"/>
  <c r="BH142" i="11"/>
  <c r="BH85" i="11"/>
  <c r="BH145" i="11"/>
  <c r="BH90" i="11"/>
  <c r="BH134" i="11"/>
  <c r="BH114" i="11"/>
  <c r="BH119" i="11"/>
  <c r="BH93" i="11"/>
  <c r="BH71" i="11"/>
  <c r="BH74" i="11"/>
  <c r="BH140" i="11"/>
  <c r="BH102" i="11"/>
  <c r="BH72" i="11"/>
  <c r="BH92" i="11"/>
  <c r="BH141" i="11"/>
  <c r="BH82" i="11"/>
  <c r="BH136" i="11"/>
  <c r="BH113" i="11"/>
  <c r="BH97" i="11"/>
  <c r="BH104" i="11"/>
  <c r="BH83" i="11"/>
  <c r="BH123" i="11"/>
  <c r="BH109" i="11"/>
  <c r="BH107" i="11"/>
  <c r="BH94" i="11"/>
  <c r="BH118" i="11"/>
  <c r="BH146" i="11"/>
  <c r="BH105" i="11"/>
  <c r="BH80" i="11"/>
  <c r="BH147" i="11"/>
  <c r="BH124" i="11"/>
  <c r="BH112" i="11"/>
  <c r="BH117" i="11"/>
  <c r="BH88" i="11"/>
  <c r="BH125" i="11"/>
  <c r="BH149" i="11"/>
  <c r="BH120" i="11"/>
  <c r="BH128" i="11"/>
  <c r="BH110" i="11"/>
  <c r="BH84" i="11"/>
  <c r="BH86" i="11"/>
  <c r="BH150" i="11"/>
  <c r="BH116" i="11"/>
  <c r="BH122" i="11"/>
  <c r="BH81" i="11"/>
  <c r="BH127" i="11"/>
  <c r="BH79" i="11"/>
  <c r="BH115" i="11"/>
  <c r="BH126" i="11"/>
  <c r="BH77" i="11"/>
  <c r="B96" i="6"/>
  <c r="D96" i="6" s="1"/>
  <c r="F71" i="7" s="1"/>
  <c r="P76" i="11"/>
  <c r="F133" i="10"/>
  <c r="I132" i="10"/>
  <c r="J74" i="11"/>
  <c r="I76" i="11"/>
  <c r="O129" i="10"/>
  <c r="N76" i="11"/>
  <c r="O76" i="11"/>
  <c r="M75" i="11"/>
  <c r="AA75" i="11" s="1"/>
  <c r="K75" i="11"/>
  <c r="L74" i="11"/>
  <c r="B73" i="8"/>
  <c r="D73" i="8" s="1"/>
  <c r="B57" i="8"/>
  <c r="B42" i="8"/>
  <c r="B97" i="6" l="1"/>
  <c r="D97" i="6" s="1"/>
  <c r="F72" i="7" s="1"/>
  <c r="B99" i="6"/>
  <c r="D99" i="6" s="1"/>
  <c r="F74" i="7" s="1"/>
  <c r="AA157" i="10"/>
  <c r="AC156" i="10"/>
  <c r="BI97" i="11"/>
  <c r="BK97" i="11"/>
  <c r="BJ97" i="11"/>
  <c r="BC147" i="11"/>
  <c r="BB147" i="11"/>
  <c r="BA147" i="11"/>
  <c r="BE119" i="11"/>
  <c r="BG119" i="11"/>
  <c r="BF119" i="11"/>
  <c r="BK124" i="11"/>
  <c r="BJ124" i="11"/>
  <c r="BI124" i="11"/>
  <c r="BI144" i="11"/>
  <c r="BK144" i="11"/>
  <c r="BJ144" i="11"/>
  <c r="BC125" i="11"/>
  <c r="BA125" i="11"/>
  <c r="BB125" i="11"/>
  <c r="BB144" i="11"/>
  <c r="BA144" i="11"/>
  <c r="BC144" i="11"/>
  <c r="BE80" i="11"/>
  <c r="BF80" i="11"/>
  <c r="BG80" i="11"/>
  <c r="BG100" i="11"/>
  <c r="BF100" i="11"/>
  <c r="BE100" i="11"/>
  <c r="BK111" i="11"/>
  <c r="BJ111" i="11"/>
  <c r="BI111" i="11"/>
  <c r="BC111" i="11"/>
  <c r="BA111" i="11"/>
  <c r="BB111" i="11"/>
  <c r="BG150" i="11"/>
  <c r="BF150" i="11"/>
  <c r="BE150" i="11"/>
  <c r="BK80" i="11"/>
  <c r="BI80" i="11"/>
  <c r="BJ80" i="11"/>
  <c r="BI70" i="11"/>
  <c r="BJ70" i="11"/>
  <c r="BK70" i="11"/>
  <c r="BC86" i="11"/>
  <c r="BB86" i="11"/>
  <c r="BA86" i="11"/>
  <c r="BE126" i="11"/>
  <c r="BG126" i="11"/>
  <c r="BF126" i="11"/>
  <c r="BG115" i="11"/>
  <c r="BE115" i="11"/>
  <c r="BF115" i="11"/>
  <c r="BI94" i="11"/>
  <c r="BJ94" i="11"/>
  <c r="BK94" i="11"/>
  <c r="BK108" i="11"/>
  <c r="BI108" i="11"/>
  <c r="BJ108" i="11"/>
  <c r="BA102" i="11"/>
  <c r="BB102" i="11"/>
  <c r="BC102" i="11"/>
  <c r="BG82" i="11"/>
  <c r="BF82" i="11"/>
  <c r="BE82" i="11"/>
  <c r="BJ107" i="11"/>
  <c r="BK107" i="11"/>
  <c r="BI107" i="11"/>
  <c r="BJ143" i="11"/>
  <c r="BI143" i="11"/>
  <c r="BK143" i="11"/>
  <c r="BA108" i="11"/>
  <c r="BC108" i="11"/>
  <c r="BB108" i="11"/>
  <c r="BC138" i="11"/>
  <c r="BA138" i="11"/>
  <c r="BB138" i="11"/>
  <c r="BF143" i="11"/>
  <c r="BG143" i="11"/>
  <c r="BE143" i="11"/>
  <c r="BG114" i="11"/>
  <c r="BE114" i="11"/>
  <c r="BF114" i="11"/>
  <c r="BE87" i="11"/>
  <c r="BG87" i="11"/>
  <c r="BF87" i="11"/>
  <c r="BG74" i="11"/>
  <c r="BE74" i="11"/>
  <c r="BF74" i="11"/>
  <c r="BG137" i="11"/>
  <c r="BE137" i="11"/>
  <c r="BF137" i="11"/>
  <c r="J6" i="11"/>
  <c r="B7" i="8"/>
  <c r="B34" i="8"/>
  <c r="BI120" i="11"/>
  <c r="BK120" i="11"/>
  <c r="BJ120" i="11"/>
  <c r="BI109" i="11"/>
  <c r="BK109" i="11"/>
  <c r="BJ109" i="11"/>
  <c r="BI74" i="11"/>
  <c r="BK74" i="11"/>
  <c r="BJ74" i="11"/>
  <c r="BK138" i="11"/>
  <c r="BJ138" i="11"/>
  <c r="BI138" i="11"/>
  <c r="BJ129" i="11"/>
  <c r="BK129" i="11"/>
  <c r="BI129" i="11"/>
  <c r="BB116" i="11"/>
  <c r="BA116" i="11"/>
  <c r="BC116" i="11"/>
  <c r="BC76" i="11"/>
  <c r="BB76" i="11"/>
  <c r="BA76" i="11"/>
  <c r="BC75" i="11"/>
  <c r="BA75" i="11"/>
  <c r="BB75" i="11"/>
  <c r="BA122" i="11"/>
  <c r="BC122" i="11"/>
  <c r="BB122" i="11"/>
  <c r="BC149" i="11"/>
  <c r="BB149" i="11"/>
  <c r="BA149" i="11"/>
  <c r="BC93" i="11"/>
  <c r="BA93" i="11"/>
  <c r="BB93" i="11"/>
  <c r="BG86" i="11"/>
  <c r="BE86" i="11"/>
  <c r="BF86" i="11"/>
  <c r="BE133" i="11"/>
  <c r="BF133" i="11"/>
  <c r="BG133" i="11"/>
  <c r="BE140" i="11"/>
  <c r="BG140" i="11"/>
  <c r="BF140" i="11"/>
  <c r="BG106" i="11"/>
  <c r="BE106" i="11"/>
  <c r="BF106" i="11"/>
  <c r="BG107" i="11"/>
  <c r="BF107" i="11"/>
  <c r="BE107" i="11"/>
  <c r="BF128" i="11"/>
  <c r="BG128" i="11"/>
  <c r="BE128" i="11"/>
  <c r="BK77" i="11"/>
  <c r="BI77" i="11"/>
  <c r="BJ77" i="11"/>
  <c r="BJ149" i="11"/>
  <c r="BK149" i="11"/>
  <c r="BI149" i="11"/>
  <c r="BI123" i="11"/>
  <c r="BJ123" i="11"/>
  <c r="BK123" i="11"/>
  <c r="BK71" i="11"/>
  <c r="BI71" i="11"/>
  <c r="BJ71" i="11"/>
  <c r="BI106" i="11"/>
  <c r="BK106" i="11"/>
  <c r="BJ106" i="11"/>
  <c r="BI137" i="11"/>
  <c r="BK137" i="11"/>
  <c r="BJ137" i="11"/>
  <c r="BB132" i="11"/>
  <c r="BA132" i="11"/>
  <c r="BC132" i="11"/>
  <c r="BC94" i="11"/>
  <c r="BB94" i="11"/>
  <c r="BA94" i="11"/>
  <c r="BA74" i="11"/>
  <c r="BC74" i="11"/>
  <c r="BB74" i="11"/>
  <c r="BB118" i="11"/>
  <c r="BA118" i="11"/>
  <c r="BC118" i="11"/>
  <c r="BC88" i="11"/>
  <c r="BA88" i="11"/>
  <c r="BB88" i="11"/>
  <c r="BA115" i="11"/>
  <c r="BC115" i="11"/>
  <c r="BB115" i="11"/>
  <c r="BG136" i="11"/>
  <c r="BF136" i="11"/>
  <c r="BE136" i="11"/>
  <c r="BG76" i="11"/>
  <c r="BE76" i="11"/>
  <c r="BF76" i="11"/>
  <c r="BE85" i="11"/>
  <c r="BG85" i="11"/>
  <c r="BF85" i="11"/>
  <c r="BG111" i="11"/>
  <c r="BF111" i="11"/>
  <c r="BE111" i="11"/>
  <c r="BE147" i="11"/>
  <c r="BF147" i="11"/>
  <c r="BG147" i="11"/>
  <c r="BG79" i="11"/>
  <c r="BE79" i="11"/>
  <c r="BF79" i="11"/>
  <c r="BK112" i="11"/>
  <c r="BJ112" i="11"/>
  <c r="BI112" i="11"/>
  <c r="BA83" i="11"/>
  <c r="BC83" i="11"/>
  <c r="BB83" i="11"/>
  <c r="BG103" i="11"/>
  <c r="BE103" i="11"/>
  <c r="BF103" i="11"/>
  <c r="BG135" i="11"/>
  <c r="BF135" i="11"/>
  <c r="BE135" i="11"/>
  <c r="BK122" i="11"/>
  <c r="BI122" i="11"/>
  <c r="BJ122" i="11"/>
  <c r="BJ131" i="11"/>
  <c r="BK131" i="11"/>
  <c r="BI131" i="11"/>
  <c r="BE105" i="11"/>
  <c r="BF105" i="11"/>
  <c r="BG105" i="11"/>
  <c r="BE93" i="11"/>
  <c r="BG93" i="11"/>
  <c r="BF93" i="11"/>
  <c r="BK85" i="11"/>
  <c r="BI85" i="11"/>
  <c r="BJ85" i="11"/>
  <c r="BC69" i="11"/>
  <c r="BB69" i="11"/>
  <c r="BA69" i="11"/>
  <c r="N133" i="10"/>
  <c r="BK110" i="11"/>
  <c r="BJ110" i="11"/>
  <c r="BI110" i="11"/>
  <c r="BK139" i="11"/>
  <c r="BJ139" i="11"/>
  <c r="BI139" i="11"/>
  <c r="BA105" i="11"/>
  <c r="BC105" i="11"/>
  <c r="BB105" i="11"/>
  <c r="BC113" i="11"/>
  <c r="BB113" i="11"/>
  <c r="BA113" i="11"/>
  <c r="BB135" i="11"/>
  <c r="BA135" i="11"/>
  <c r="BC135" i="11"/>
  <c r="BF98" i="11"/>
  <c r="BE98" i="11"/>
  <c r="BG98" i="11"/>
  <c r="BG104" i="11"/>
  <c r="BF104" i="11"/>
  <c r="BE104" i="11"/>
  <c r="BF117" i="11"/>
  <c r="BE117" i="11"/>
  <c r="BG117" i="11"/>
  <c r="BE123" i="11"/>
  <c r="BF123" i="11"/>
  <c r="BG123" i="11"/>
  <c r="BI128" i="11"/>
  <c r="BJ128" i="11"/>
  <c r="BK128" i="11"/>
  <c r="BI140" i="11"/>
  <c r="BK140" i="11"/>
  <c r="BJ140" i="11"/>
  <c r="BK148" i="11"/>
  <c r="BJ148" i="11"/>
  <c r="BI148" i="11"/>
  <c r="BA143" i="11"/>
  <c r="BC143" i="11"/>
  <c r="BB143" i="11"/>
  <c r="BB96" i="11"/>
  <c r="BC96" i="11"/>
  <c r="BA96" i="11"/>
  <c r="BK82" i="11"/>
  <c r="BI82" i="11"/>
  <c r="BJ82" i="11"/>
  <c r="BB101" i="11"/>
  <c r="BC101" i="11"/>
  <c r="BA101" i="11"/>
  <c r="BB146" i="11"/>
  <c r="BA146" i="11"/>
  <c r="BC146" i="11"/>
  <c r="BF94" i="11"/>
  <c r="BG94" i="11"/>
  <c r="BE94" i="11"/>
  <c r="BK102" i="11"/>
  <c r="BI102" i="11"/>
  <c r="BJ102" i="11"/>
  <c r="BJ96" i="11"/>
  <c r="BK96" i="11"/>
  <c r="BI96" i="11"/>
  <c r="BA129" i="11"/>
  <c r="BB129" i="11"/>
  <c r="BC129" i="11"/>
  <c r="BB148" i="11"/>
  <c r="BC148" i="11"/>
  <c r="BA148" i="11"/>
  <c r="BG99" i="11"/>
  <c r="BE99" i="11"/>
  <c r="BF99" i="11"/>
  <c r="P77" i="11"/>
  <c r="BK76" i="11"/>
  <c r="BI76" i="11"/>
  <c r="BJ76" i="11"/>
  <c r="BB100" i="11"/>
  <c r="BA100" i="11"/>
  <c r="BC100" i="11"/>
  <c r="BA89" i="11"/>
  <c r="BB89" i="11"/>
  <c r="BC89" i="11"/>
  <c r="BC124" i="11"/>
  <c r="BB124" i="11"/>
  <c r="BA124" i="11"/>
  <c r="BG121" i="11"/>
  <c r="BE121" i="11"/>
  <c r="BF121" i="11"/>
  <c r="O130" i="10"/>
  <c r="BK126" i="11"/>
  <c r="BJ126" i="11"/>
  <c r="BI126" i="11"/>
  <c r="BK125" i="11"/>
  <c r="BJ125" i="11"/>
  <c r="BI125" i="11"/>
  <c r="BK83" i="11"/>
  <c r="BI83" i="11"/>
  <c r="BJ83" i="11"/>
  <c r="BJ93" i="11"/>
  <c r="BK93" i="11"/>
  <c r="BI93" i="11"/>
  <c r="BJ98" i="11"/>
  <c r="BI98" i="11"/>
  <c r="BK98" i="11"/>
  <c r="BJ99" i="11"/>
  <c r="BK99" i="11"/>
  <c r="BI99" i="11"/>
  <c r="BC68" i="11"/>
  <c r="BA68" i="11"/>
  <c r="BB68" i="11"/>
  <c r="V11" i="11"/>
  <c r="BB109" i="11"/>
  <c r="BC109" i="11"/>
  <c r="BA109" i="11"/>
  <c r="BB150" i="11"/>
  <c r="BA150" i="11"/>
  <c r="BC150" i="11"/>
  <c r="BC82" i="11"/>
  <c r="BA82" i="11"/>
  <c r="BB82" i="11"/>
  <c r="BC139" i="11"/>
  <c r="BB139" i="11"/>
  <c r="BA139" i="11"/>
  <c r="BG89" i="11"/>
  <c r="BE89" i="11"/>
  <c r="BF89" i="11"/>
  <c r="BF122" i="11"/>
  <c r="BE122" i="11"/>
  <c r="BG122" i="11"/>
  <c r="BE116" i="11"/>
  <c r="BG116" i="11"/>
  <c r="BF116" i="11"/>
  <c r="BE109" i="11"/>
  <c r="BG109" i="11"/>
  <c r="BF109" i="11"/>
  <c r="BE75" i="11"/>
  <c r="BF75" i="11"/>
  <c r="BG75" i="11"/>
  <c r="BE84" i="11"/>
  <c r="BG84" i="11"/>
  <c r="BF84" i="11"/>
  <c r="AF124" i="10"/>
  <c r="J75" i="11"/>
  <c r="I77" i="11"/>
  <c r="BK115" i="11"/>
  <c r="BJ115" i="11"/>
  <c r="BI115" i="11"/>
  <c r="BK88" i="11"/>
  <c r="BJ88" i="11"/>
  <c r="BI88" i="11"/>
  <c r="BK119" i="11"/>
  <c r="BI119" i="11"/>
  <c r="BJ119" i="11"/>
  <c r="BJ130" i="11"/>
  <c r="BI130" i="11"/>
  <c r="BK130" i="11"/>
  <c r="BJ69" i="11"/>
  <c r="BI69" i="11"/>
  <c r="BK69" i="11"/>
  <c r="BA79" i="11"/>
  <c r="BB79" i="11"/>
  <c r="BC79" i="11"/>
  <c r="BC98" i="11"/>
  <c r="BA98" i="11"/>
  <c r="BB98" i="11"/>
  <c r="BC130" i="11"/>
  <c r="BA130" i="11"/>
  <c r="BB130" i="11"/>
  <c r="BB127" i="11"/>
  <c r="BA127" i="11"/>
  <c r="BC127" i="11"/>
  <c r="BB92" i="11"/>
  <c r="BA92" i="11"/>
  <c r="BC92" i="11"/>
  <c r="BB120" i="11"/>
  <c r="BC120" i="11"/>
  <c r="BA120" i="11"/>
  <c r="BG97" i="11"/>
  <c r="BE97" i="11"/>
  <c r="BF97" i="11"/>
  <c r="BF131" i="11"/>
  <c r="BE131" i="11"/>
  <c r="BG131" i="11"/>
  <c r="BF101" i="11"/>
  <c r="BE101" i="11"/>
  <c r="BG101" i="11"/>
  <c r="BE70" i="11"/>
  <c r="BF70" i="11"/>
  <c r="BG70" i="11"/>
  <c r="BG149" i="11"/>
  <c r="BE149" i="11"/>
  <c r="BF149" i="11"/>
  <c r="BJ134" i="11"/>
  <c r="BK134" i="11"/>
  <c r="BI134" i="11"/>
  <c r="BA112" i="11"/>
  <c r="BC112" i="11"/>
  <c r="BB112" i="11"/>
  <c r="BF83" i="11"/>
  <c r="BE83" i="11"/>
  <c r="BG83" i="11"/>
  <c r="B50" i="10"/>
  <c r="M11" i="11"/>
  <c r="N11" i="11" s="1"/>
  <c r="B78" i="8"/>
  <c r="BK73" i="11"/>
  <c r="BI73" i="11"/>
  <c r="BJ73" i="11"/>
  <c r="BF96" i="11"/>
  <c r="BE96" i="11"/>
  <c r="BG96" i="11"/>
  <c r="BI145" i="11"/>
  <c r="BK145" i="11"/>
  <c r="BJ145" i="11"/>
  <c r="BC121" i="11"/>
  <c r="BB121" i="11"/>
  <c r="BA121" i="11"/>
  <c r="BJ79" i="11"/>
  <c r="BI79" i="11"/>
  <c r="BK79" i="11"/>
  <c r="BK117" i="11"/>
  <c r="BI117" i="11"/>
  <c r="BJ117" i="11"/>
  <c r="BK104" i="11"/>
  <c r="BJ104" i="11"/>
  <c r="BI104" i="11"/>
  <c r="BJ114" i="11"/>
  <c r="BI114" i="11"/>
  <c r="BK114" i="11"/>
  <c r="BK68" i="11"/>
  <c r="BI68" i="11"/>
  <c r="BJ68" i="11"/>
  <c r="BK95" i="11"/>
  <c r="BI95" i="11"/>
  <c r="BJ95" i="11"/>
  <c r="BA80" i="11"/>
  <c r="BC80" i="11"/>
  <c r="BB80" i="11"/>
  <c r="BC110" i="11"/>
  <c r="BB110" i="11"/>
  <c r="BA110" i="11"/>
  <c r="BB140" i="11"/>
  <c r="BC140" i="11"/>
  <c r="BA140" i="11"/>
  <c r="BA73" i="11"/>
  <c r="BC73" i="11"/>
  <c r="BB73" i="11"/>
  <c r="BA119" i="11"/>
  <c r="BC119" i="11"/>
  <c r="BB119" i="11"/>
  <c r="BA136" i="11"/>
  <c r="BC136" i="11"/>
  <c r="BB136" i="11"/>
  <c r="BG95" i="11"/>
  <c r="BE95" i="11"/>
  <c r="BF95" i="11"/>
  <c r="BG142" i="11"/>
  <c r="BE142" i="11"/>
  <c r="BF142" i="11"/>
  <c r="BF138" i="11"/>
  <c r="BE138" i="11"/>
  <c r="BG138" i="11"/>
  <c r="BF144" i="11"/>
  <c r="BG144" i="11"/>
  <c r="BE144" i="11"/>
  <c r="BG108" i="11"/>
  <c r="BE108" i="11"/>
  <c r="BF108" i="11"/>
  <c r="BG141" i="11"/>
  <c r="BF141" i="11"/>
  <c r="BE141" i="11"/>
  <c r="BJ127" i="11"/>
  <c r="BI127" i="11"/>
  <c r="BK127" i="11"/>
  <c r="BK101" i="11"/>
  <c r="BJ101" i="11"/>
  <c r="BI101" i="11"/>
  <c r="BC114" i="11"/>
  <c r="BA114" i="11"/>
  <c r="BB114" i="11"/>
  <c r="BA128" i="11"/>
  <c r="BB128" i="11"/>
  <c r="BC128" i="11"/>
  <c r="BF120" i="11"/>
  <c r="BG120" i="11"/>
  <c r="BE120" i="11"/>
  <c r="BI81" i="11"/>
  <c r="BK81" i="11"/>
  <c r="BJ81" i="11"/>
  <c r="BJ90" i="11"/>
  <c r="BK90" i="11"/>
  <c r="BI90" i="11"/>
  <c r="BB95" i="11"/>
  <c r="BC95" i="11"/>
  <c r="BA95" i="11"/>
  <c r="BC123" i="11"/>
  <c r="BB123" i="11"/>
  <c r="BA123" i="11"/>
  <c r="BF73" i="11"/>
  <c r="BE73" i="11"/>
  <c r="BG73" i="11"/>
  <c r="F134" i="10"/>
  <c r="I133" i="10"/>
  <c r="BI136" i="11"/>
  <c r="BJ136" i="11"/>
  <c r="BK136" i="11"/>
  <c r="BC117" i="11"/>
  <c r="BB117" i="11"/>
  <c r="BA117" i="11"/>
  <c r="BC71" i="11"/>
  <c r="BB71" i="11"/>
  <c r="BA71" i="11"/>
  <c r="BC81" i="11"/>
  <c r="BB81" i="11"/>
  <c r="BA81" i="11"/>
  <c r="BG68" i="11"/>
  <c r="BF68" i="11"/>
  <c r="BE68" i="11"/>
  <c r="BF124" i="11"/>
  <c r="BG124" i="11"/>
  <c r="BE124" i="11"/>
  <c r="BI116" i="11"/>
  <c r="BK116" i="11"/>
  <c r="BJ116" i="11"/>
  <c r="BJ103" i="11"/>
  <c r="BK103" i="11"/>
  <c r="BI103" i="11"/>
  <c r="BC106" i="11"/>
  <c r="BA106" i="11"/>
  <c r="BB106" i="11"/>
  <c r="BA134" i="11"/>
  <c r="BC134" i="11"/>
  <c r="BB134" i="11"/>
  <c r="BE77" i="11"/>
  <c r="BG77" i="11"/>
  <c r="BF77" i="11"/>
  <c r="BG92" i="11"/>
  <c r="BE92" i="11"/>
  <c r="BF92" i="11"/>
  <c r="BJ150" i="11"/>
  <c r="BK150" i="11"/>
  <c r="BI150" i="11"/>
  <c r="BK105" i="11"/>
  <c r="BI105" i="11"/>
  <c r="BJ105" i="11"/>
  <c r="BI141" i="11"/>
  <c r="BK141" i="11"/>
  <c r="BJ141" i="11"/>
  <c r="BJ142" i="11"/>
  <c r="BK142" i="11"/>
  <c r="BI142" i="11"/>
  <c r="BJ133" i="11"/>
  <c r="BI133" i="11"/>
  <c r="BK133" i="11"/>
  <c r="BI75" i="11"/>
  <c r="BK75" i="11"/>
  <c r="BJ75" i="11"/>
  <c r="BB97" i="11"/>
  <c r="BA97" i="11"/>
  <c r="BC97" i="11"/>
  <c r="BC72" i="11"/>
  <c r="BB72" i="11"/>
  <c r="BA72" i="11"/>
  <c r="BC70" i="11"/>
  <c r="BA70" i="11"/>
  <c r="BB70" i="11"/>
  <c r="BA141" i="11"/>
  <c r="BB141" i="11"/>
  <c r="BC141" i="11"/>
  <c r="BC107" i="11"/>
  <c r="BA107" i="11"/>
  <c r="BB107" i="11"/>
  <c r="BC103" i="11"/>
  <c r="BA103" i="11"/>
  <c r="BB103" i="11"/>
  <c r="BG72" i="11"/>
  <c r="BE72" i="11"/>
  <c r="BF72" i="11"/>
  <c r="BF102" i="11"/>
  <c r="BG102" i="11"/>
  <c r="BE102" i="11"/>
  <c r="BG148" i="11"/>
  <c r="BE148" i="11"/>
  <c r="BF148" i="11"/>
  <c r="BF134" i="11"/>
  <c r="BE134" i="11"/>
  <c r="BG134" i="11"/>
  <c r="BG71" i="11"/>
  <c r="BE71" i="11"/>
  <c r="BF71" i="11"/>
  <c r="BG132" i="11"/>
  <c r="BF132" i="11"/>
  <c r="BE132" i="11"/>
  <c r="BK86" i="11"/>
  <c r="BI86" i="11"/>
  <c r="BJ86" i="11"/>
  <c r="BK146" i="11"/>
  <c r="BJ146" i="11"/>
  <c r="BI146" i="11"/>
  <c r="BK92" i="11"/>
  <c r="BI92" i="11"/>
  <c r="BJ92" i="11"/>
  <c r="BJ89" i="11"/>
  <c r="BI89" i="11"/>
  <c r="BK89" i="11"/>
  <c r="BK87" i="11"/>
  <c r="BI87" i="11"/>
  <c r="BJ87" i="11"/>
  <c r="BK121" i="11"/>
  <c r="BJ121" i="11"/>
  <c r="BI121" i="11"/>
  <c r="BC145" i="11"/>
  <c r="BB145" i="11"/>
  <c r="BA145" i="11"/>
  <c r="BC85" i="11"/>
  <c r="BB85" i="11"/>
  <c r="BA85" i="11"/>
  <c r="BB104" i="11"/>
  <c r="BC104" i="11"/>
  <c r="BA104" i="11"/>
  <c r="BA142" i="11"/>
  <c r="BC142" i="11"/>
  <c r="BB142" i="11"/>
  <c r="BC78" i="11"/>
  <c r="BA78" i="11"/>
  <c r="BB78" i="11"/>
  <c r="BA137" i="11"/>
  <c r="BC137" i="11"/>
  <c r="BB137" i="11"/>
  <c r="BG91" i="11"/>
  <c r="BF91" i="11"/>
  <c r="BE91" i="11"/>
  <c r="BE129" i="11"/>
  <c r="BG129" i="11"/>
  <c r="BF129" i="11"/>
  <c r="BG110" i="11"/>
  <c r="BE110" i="11"/>
  <c r="BF110" i="11"/>
  <c r="BG125" i="11"/>
  <c r="BE125" i="11"/>
  <c r="BF125" i="11"/>
  <c r="BG146" i="11"/>
  <c r="BE146" i="11"/>
  <c r="BF146" i="11"/>
  <c r="BJ100" i="11"/>
  <c r="BI100" i="11"/>
  <c r="BK100" i="11"/>
  <c r="BF88" i="11"/>
  <c r="BG88" i="11"/>
  <c r="BE88" i="11"/>
  <c r="BI113" i="11"/>
  <c r="BJ113" i="11"/>
  <c r="BK113" i="11"/>
  <c r="BC77" i="11"/>
  <c r="BB77" i="11"/>
  <c r="BA77" i="11"/>
  <c r="BC84" i="11"/>
  <c r="BA84" i="11"/>
  <c r="BB84" i="11"/>
  <c r="BE145" i="11"/>
  <c r="BG145" i="11"/>
  <c r="BF145" i="11"/>
  <c r="BE69" i="11"/>
  <c r="BF69" i="11"/>
  <c r="BG69" i="11"/>
  <c r="BI147" i="11"/>
  <c r="BK147" i="11"/>
  <c r="BJ147" i="11"/>
  <c r="BB131" i="11"/>
  <c r="BA131" i="11"/>
  <c r="BC131" i="11"/>
  <c r="BF127" i="11"/>
  <c r="BE127" i="11"/>
  <c r="BG127" i="11"/>
  <c r="K76" i="11"/>
  <c r="L75" i="11"/>
  <c r="M76" i="11"/>
  <c r="AA76" i="11" s="1"/>
  <c r="BG81" i="11"/>
  <c r="BE81" i="11"/>
  <c r="BF81" i="11"/>
  <c r="O77" i="11"/>
  <c r="N77" i="11"/>
  <c r="J8" i="11"/>
  <c r="B11" i="8"/>
  <c r="B36" i="8"/>
  <c r="BK84" i="11"/>
  <c r="BI84" i="11"/>
  <c r="BJ84" i="11"/>
  <c r="BK118" i="11"/>
  <c r="BI118" i="11"/>
  <c r="BJ118" i="11"/>
  <c r="BK72" i="11"/>
  <c r="BI72" i="11"/>
  <c r="BJ72" i="11"/>
  <c r="BJ91" i="11"/>
  <c r="BK91" i="11"/>
  <c r="BI91" i="11"/>
  <c r="BK135" i="11"/>
  <c r="BI135" i="11"/>
  <c r="BJ135" i="11"/>
  <c r="BK132" i="11"/>
  <c r="BI132" i="11"/>
  <c r="BJ132" i="11"/>
  <c r="BA90" i="11"/>
  <c r="BC90" i="11"/>
  <c r="BB90" i="11"/>
  <c r="BC87" i="11"/>
  <c r="BB87" i="11"/>
  <c r="BA87" i="11"/>
  <c r="BA126" i="11"/>
  <c r="BC126" i="11"/>
  <c r="BB126" i="11"/>
  <c r="BB91" i="11"/>
  <c r="BC91" i="11"/>
  <c r="BA91" i="11"/>
  <c r="BB99" i="11"/>
  <c r="BC99" i="11"/>
  <c r="BA99" i="11"/>
  <c r="BB133" i="11"/>
  <c r="BA133" i="11"/>
  <c r="BC133" i="11"/>
  <c r="BG118" i="11"/>
  <c r="BF118" i="11"/>
  <c r="BE118" i="11"/>
  <c r="BG139" i="11"/>
  <c r="BE139" i="11"/>
  <c r="BF139" i="11"/>
  <c r="BE130" i="11"/>
  <c r="BG130" i="11"/>
  <c r="BF130" i="11"/>
  <c r="BE90" i="11"/>
  <c r="BG90" i="11"/>
  <c r="BF90" i="11"/>
  <c r="BE112" i="11"/>
  <c r="BG112" i="11"/>
  <c r="BF112" i="11"/>
  <c r="BG113" i="11"/>
  <c r="BF113" i="11"/>
  <c r="BE113" i="11"/>
  <c r="X11" i="11" l="1"/>
  <c r="W11" i="11"/>
  <c r="Y11" i="11"/>
  <c r="Z11" i="11" s="1"/>
  <c r="J7" i="11"/>
  <c r="B44" i="11"/>
  <c r="B9" i="8"/>
  <c r="B35" i="8"/>
  <c r="AA158" i="10"/>
  <c r="AC157" i="10"/>
  <c r="B13" i="8"/>
  <c r="J9" i="11"/>
  <c r="AD9" i="11" s="1"/>
  <c r="B37" i="8"/>
  <c r="O78" i="11"/>
  <c r="N78" i="11"/>
  <c r="B47" i="8"/>
  <c r="B48" i="8" s="1"/>
  <c r="B70" i="8"/>
  <c r="D70" i="8" s="1"/>
  <c r="AF125" i="10"/>
  <c r="AH124" i="10"/>
  <c r="AG124" i="10"/>
  <c r="O131" i="10"/>
  <c r="AE6" i="11"/>
  <c r="AD6" i="11"/>
  <c r="M77" i="11"/>
  <c r="AA77" i="11" s="1"/>
  <c r="K77" i="11"/>
  <c r="L76" i="11"/>
  <c r="F135" i="10"/>
  <c r="I134" i="10"/>
  <c r="N134" i="10"/>
  <c r="AF8" i="11"/>
  <c r="AD8" i="11"/>
  <c r="AA8" i="11"/>
  <c r="AE8" i="11"/>
  <c r="AB8" i="11"/>
  <c r="AC8" i="11"/>
  <c r="B68" i="8"/>
  <c r="D68" i="8" s="1"/>
  <c r="B43" i="8"/>
  <c r="B44" i="8" s="1"/>
  <c r="B13" i="9"/>
  <c r="B26" i="9"/>
  <c r="B27" i="9" s="1"/>
  <c r="Q78" i="11"/>
  <c r="P78" i="11"/>
  <c r="J76" i="11"/>
  <c r="I78" i="11"/>
  <c r="B56" i="11" l="1"/>
  <c r="B58" i="11" s="1"/>
  <c r="B49" i="8"/>
  <c r="B50" i="8" s="1"/>
  <c r="B71" i="8"/>
  <c r="D71" i="8" s="1"/>
  <c r="AA159" i="10"/>
  <c r="AC158" i="10"/>
  <c r="B45" i="8"/>
  <c r="B46" i="8" s="1"/>
  <c r="B69" i="8"/>
  <c r="D69" i="8" s="1"/>
  <c r="Q76" i="11"/>
  <c r="W76" i="11" s="1"/>
  <c r="X76" i="11" s="1"/>
  <c r="AE76" i="11" s="1"/>
  <c r="Q77" i="11"/>
  <c r="Q69" i="11"/>
  <c r="W69" i="11" s="1"/>
  <c r="X69" i="11" s="1"/>
  <c r="Q70" i="11"/>
  <c r="W70" i="11" s="1"/>
  <c r="X70" i="11" s="1"/>
  <c r="AE70" i="11" s="1"/>
  <c r="Q71" i="11"/>
  <c r="W71" i="11" s="1"/>
  <c r="X71" i="11" s="1"/>
  <c r="AE71" i="11" s="1"/>
  <c r="Q72" i="11"/>
  <c r="W72" i="11" s="1"/>
  <c r="X72" i="11" s="1"/>
  <c r="AE72" i="11" s="1"/>
  <c r="Q73" i="11"/>
  <c r="W73" i="11" s="1"/>
  <c r="X73" i="11" s="1"/>
  <c r="AE73" i="11" s="1"/>
  <c r="Q74" i="11"/>
  <c r="W74" i="11" s="1"/>
  <c r="X74" i="11" s="1"/>
  <c r="AE74" i="11" s="1"/>
  <c r="Q75" i="11"/>
  <c r="W75" i="11" s="1"/>
  <c r="X75" i="11" s="1"/>
  <c r="AE75" i="11" s="1"/>
  <c r="AB7" i="11"/>
  <c r="AD7" i="11"/>
  <c r="AA7" i="11"/>
  <c r="AE7" i="11"/>
  <c r="AC7" i="11"/>
  <c r="AF7" i="11"/>
  <c r="B57" i="11"/>
  <c r="AE13" i="11" s="1"/>
  <c r="B60" i="8"/>
  <c r="M6" i="11"/>
  <c r="B8" i="9"/>
  <c r="F136" i="10"/>
  <c r="I135" i="10"/>
  <c r="M78" i="11"/>
  <c r="AA78" i="11" s="1"/>
  <c r="K78" i="11"/>
  <c r="L77" i="11"/>
  <c r="O132" i="10"/>
  <c r="AE12" i="11"/>
  <c r="O79" i="11"/>
  <c r="N79" i="11"/>
  <c r="J77" i="11"/>
  <c r="I79" i="11"/>
  <c r="AF126" i="10"/>
  <c r="AH125" i="10"/>
  <c r="AG125" i="10"/>
  <c r="Q79" i="11"/>
  <c r="P79" i="11"/>
  <c r="M8" i="11"/>
  <c r="B10" i="9"/>
  <c r="N135" i="10"/>
  <c r="B21" i="9" l="1"/>
  <c r="B22" i="9" s="1"/>
  <c r="B51" i="8"/>
  <c r="B52" i="8" s="1"/>
  <c r="B63" i="8" s="1"/>
  <c r="B49" i="10" s="1"/>
  <c r="W77" i="11"/>
  <c r="X77" i="11" s="1"/>
  <c r="AE77" i="11" s="1"/>
  <c r="AE9" i="11"/>
  <c r="AF9" i="11" s="1"/>
  <c r="AE69" i="11"/>
  <c r="AB69" i="11"/>
  <c r="AF13" i="11"/>
  <c r="M7" i="11"/>
  <c r="B9" i="9"/>
  <c r="AA160" i="10"/>
  <c r="AC159" i="10"/>
  <c r="M9" i="11"/>
  <c r="B11" i="9"/>
  <c r="B52" i="10"/>
  <c r="AM142" i="10" s="1"/>
  <c r="K79" i="11"/>
  <c r="L78" i="11"/>
  <c r="W78" i="11" s="1"/>
  <c r="X78" i="11" s="1"/>
  <c r="AE78" i="11" s="1"/>
  <c r="M79" i="11"/>
  <c r="AA79" i="11" s="1"/>
  <c r="N8" i="11"/>
  <c r="P8" i="11"/>
  <c r="Q8" i="11" s="1"/>
  <c r="P80" i="11"/>
  <c r="Q80" i="11"/>
  <c r="N80" i="11"/>
  <c r="O80" i="11"/>
  <c r="AF12" i="11"/>
  <c r="F137" i="10"/>
  <c r="I136" i="10"/>
  <c r="AM160" i="10"/>
  <c r="AM162" i="10"/>
  <c r="AM166" i="10"/>
  <c r="AM159" i="10"/>
  <c r="AM164" i="10"/>
  <c r="AM158" i="10"/>
  <c r="AM163" i="10"/>
  <c r="AM157" i="10"/>
  <c r="AM155" i="10"/>
  <c r="AM156" i="10"/>
  <c r="AM165" i="10"/>
  <c r="AM161" i="10"/>
  <c r="N136" i="10"/>
  <c r="AF127" i="10"/>
  <c r="AG126" i="10"/>
  <c r="AH126" i="10"/>
  <c r="N6" i="11"/>
  <c r="P6" i="11"/>
  <c r="Q6" i="11" s="1"/>
  <c r="J78" i="11"/>
  <c r="I80" i="11"/>
  <c r="O133" i="10"/>
  <c r="AM128" i="10" l="1"/>
  <c r="AM134" i="10"/>
  <c r="AM125" i="10"/>
  <c r="AM140" i="10"/>
  <c r="AM141" i="10"/>
  <c r="AM146" i="10"/>
  <c r="AM139" i="10"/>
  <c r="AM143" i="10"/>
  <c r="AM138" i="10"/>
  <c r="AK124" i="10"/>
  <c r="AL124" i="10" s="1"/>
  <c r="AK126" i="10"/>
  <c r="AK129" i="10"/>
  <c r="AK125" i="10"/>
  <c r="AK128" i="10"/>
  <c r="AK133" i="10"/>
  <c r="AK127" i="10"/>
  <c r="AK130" i="10"/>
  <c r="AK132" i="10"/>
  <c r="B54" i="8"/>
  <c r="AF10" i="11"/>
  <c r="AM144" i="10"/>
  <c r="AF6" i="11"/>
  <c r="AK131" i="10"/>
  <c r="AM130" i="10"/>
  <c r="AM127" i="10"/>
  <c r="AM148" i="10"/>
  <c r="P9" i="11"/>
  <c r="Q9" i="11" s="1"/>
  <c r="N9" i="11"/>
  <c r="AM153" i="10"/>
  <c r="AM152" i="10"/>
  <c r="AM135" i="10"/>
  <c r="AM129" i="10"/>
  <c r="AM154" i="10"/>
  <c r="AM126" i="10"/>
  <c r="AA161" i="10"/>
  <c r="AC160" i="10"/>
  <c r="AM131" i="10"/>
  <c r="AM133" i="10"/>
  <c r="N7" i="11"/>
  <c r="P7" i="11"/>
  <c r="Q7" i="11" s="1"/>
  <c r="BD78" i="11"/>
  <c r="BF78" i="11" s="1"/>
  <c r="X12" i="11" s="1"/>
  <c r="BH78" i="11"/>
  <c r="AM137" i="10"/>
  <c r="AM147" i="10"/>
  <c r="AM151" i="10"/>
  <c r="AM136" i="10"/>
  <c r="AB70" i="11"/>
  <c r="AD69" i="11"/>
  <c r="AM132" i="10"/>
  <c r="AM145" i="10"/>
  <c r="AM124" i="10"/>
  <c r="AM150" i="10"/>
  <c r="AM149" i="10"/>
  <c r="AN148" i="11"/>
  <c r="AN150" i="11"/>
  <c r="AN144" i="11"/>
  <c r="AN143" i="11"/>
  <c r="AN145" i="11"/>
  <c r="AN135" i="11"/>
  <c r="AN147" i="11"/>
  <c r="AN149" i="11"/>
  <c r="AN134" i="11"/>
  <c r="AN120" i="11"/>
  <c r="AN139" i="11"/>
  <c r="AN115" i="11"/>
  <c r="AN97" i="11"/>
  <c r="AN112" i="11"/>
  <c r="AN99" i="11"/>
  <c r="AN92" i="11"/>
  <c r="AN146" i="11"/>
  <c r="AN136" i="11"/>
  <c r="AN119" i="11"/>
  <c r="AN110" i="11"/>
  <c r="AN126" i="11"/>
  <c r="AN116" i="11"/>
  <c r="AN113" i="11"/>
  <c r="AN141" i="11"/>
  <c r="AN118" i="11"/>
  <c r="AN105" i="11"/>
  <c r="AN138" i="11"/>
  <c r="AN133" i="11"/>
  <c r="AN101" i="11"/>
  <c r="AN94" i="11"/>
  <c r="AN140" i="11"/>
  <c r="AN137" i="11"/>
  <c r="AN88" i="11"/>
  <c r="AN117" i="11"/>
  <c r="AN102" i="11"/>
  <c r="AN98" i="11"/>
  <c r="AN107" i="11"/>
  <c r="AN75" i="11"/>
  <c r="AN132" i="11"/>
  <c r="AN96" i="11"/>
  <c r="AN95" i="11"/>
  <c r="AN128" i="11"/>
  <c r="AN121" i="11"/>
  <c r="AN85" i="11"/>
  <c r="AN109" i="11"/>
  <c r="AN73" i="11"/>
  <c r="AN86" i="11"/>
  <c r="AN131" i="11"/>
  <c r="AN124" i="11"/>
  <c r="AN91" i="11"/>
  <c r="AN142" i="11"/>
  <c r="AN125" i="11"/>
  <c r="AN84" i="11"/>
  <c r="AN114" i="11"/>
  <c r="AN111" i="11"/>
  <c r="AN79" i="11"/>
  <c r="AN129" i="11"/>
  <c r="AN100" i="11"/>
  <c r="AN90" i="11"/>
  <c r="AN87" i="11"/>
  <c r="AN76" i="11"/>
  <c r="AN69" i="11"/>
  <c r="AN127" i="11"/>
  <c r="AN123" i="11"/>
  <c r="AN108" i="11"/>
  <c r="AN80" i="11"/>
  <c r="AN77" i="11"/>
  <c r="AN74" i="11"/>
  <c r="AN103" i="11"/>
  <c r="AN81" i="11"/>
  <c r="AN104" i="11"/>
  <c r="AN70" i="11"/>
  <c r="AN68" i="11"/>
  <c r="AN93" i="11"/>
  <c r="AN122" i="11"/>
  <c r="AN72" i="11"/>
  <c r="AN106" i="11"/>
  <c r="AN130" i="11"/>
  <c r="AN78" i="11"/>
  <c r="AN82" i="11"/>
  <c r="AN89" i="11"/>
  <c r="AN71" i="11"/>
  <c r="AN83" i="11"/>
  <c r="K80" i="11"/>
  <c r="L79" i="11"/>
  <c r="W79" i="11" s="1"/>
  <c r="X79" i="11" s="1"/>
  <c r="AE79" i="11" s="1"/>
  <c r="M80" i="11"/>
  <c r="AA80" i="11" s="1"/>
  <c r="AF147" i="11"/>
  <c r="AF149" i="11"/>
  <c r="AF144" i="11"/>
  <c r="AF139" i="11"/>
  <c r="AF150" i="11"/>
  <c r="AF145" i="11"/>
  <c r="AF134" i="11"/>
  <c r="AF130" i="11"/>
  <c r="AF142" i="11"/>
  <c r="AF146" i="11"/>
  <c r="AF148" i="11"/>
  <c r="AF137" i="11"/>
  <c r="AF133" i="11"/>
  <c r="AF124" i="11"/>
  <c r="AF119" i="11"/>
  <c r="AF141" i="11"/>
  <c r="AF136" i="11"/>
  <c r="AF132" i="11"/>
  <c r="AF122" i="11"/>
  <c r="AF135" i="11"/>
  <c r="AF125" i="11"/>
  <c r="AF138" i="11"/>
  <c r="AF126" i="11"/>
  <c r="AF109" i="11"/>
  <c r="AF104" i="11"/>
  <c r="AF103" i="11"/>
  <c r="AF96" i="11"/>
  <c r="AF143" i="11"/>
  <c r="AF127" i="11"/>
  <c r="AF98" i="11"/>
  <c r="AF111" i="11"/>
  <c r="AF91" i="11"/>
  <c r="AF140" i="11"/>
  <c r="AF129" i="11"/>
  <c r="AF121" i="11"/>
  <c r="AF113" i="11"/>
  <c r="AF120" i="11"/>
  <c r="AF108" i="11"/>
  <c r="AF114" i="11"/>
  <c r="AF99" i="11"/>
  <c r="AF92" i="11"/>
  <c r="AF90" i="11"/>
  <c r="AF118" i="11"/>
  <c r="AF105" i="11"/>
  <c r="AF102" i="11"/>
  <c r="AF86" i="11"/>
  <c r="AF115" i="11"/>
  <c r="AF95" i="11"/>
  <c r="AF71" i="11"/>
  <c r="AF69" i="11"/>
  <c r="AF128" i="11"/>
  <c r="AF106" i="11"/>
  <c r="AF100" i="11"/>
  <c r="AF78" i="11"/>
  <c r="AF74" i="11"/>
  <c r="AF123" i="11"/>
  <c r="AF81" i="11"/>
  <c r="AF82" i="11"/>
  <c r="AF88" i="11"/>
  <c r="AF112" i="11"/>
  <c r="AF117" i="11"/>
  <c r="AF110" i="11"/>
  <c r="AF93" i="11"/>
  <c r="AF79" i="11"/>
  <c r="AF107" i="11"/>
  <c r="AF101" i="11"/>
  <c r="AF89" i="11"/>
  <c r="AF87" i="11"/>
  <c r="AF77" i="11"/>
  <c r="AF116" i="11"/>
  <c r="AF76" i="11"/>
  <c r="AF73" i="11"/>
  <c r="AF70" i="11"/>
  <c r="AF85" i="11"/>
  <c r="AF131" i="11"/>
  <c r="AF83" i="11"/>
  <c r="AF97" i="11"/>
  <c r="AF72" i="11"/>
  <c r="AF84" i="11"/>
  <c r="AF80" i="11"/>
  <c r="AF94" i="11"/>
  <c r="AF68" i="11"/>
  <c r="AF75" i="11"/>
  <c r="O81" i="11"/>
  <c r="N81" i="11"/>
  <c r="I81" i="11"/>
  <c r="J79" i="11"/>
  <c r="AI155" i="10"/>
  <c r="AO155" i="10" s="1"/>
  <c r="AI162" i="10"/>
  <c r="AO162" i="10" s="1"/>
  <c r="AI161" i="10"/>
  <c r="AO161" i="10" s="1"/>
  <c r="AI164" i="10"/>
  <c r="AO164" i="10" s="1"/>
  <c r="AI165" i="10"/>
  <c r="AO165" i="10" s="1"/>
  <c r="AI163" i="10"/>
  <c r="AO163" i="10" s="1"/>
  <c r="AI160" i="10"/>
  <c r="AO160" i="10" s="1"/>
  <c r="AI158" i="10"/>
  <c r="AO158" i="10" s="1"/>
  <c r="AI157" i="10"/>
  <c r="AO157" i="10" s="1"/>
  <c r="AI166" i="10"/>
  <c r="AO166" i="10" s="1"/>
  <c r="AI159" i="10"/>
  <c r="AO159" i="10" s="1"/>
  <c r="AI156" i="10"/>
  <c r="AO156" i="10" s="1"/>
  <c r="AF128" i="10"/>
  <c r="AH127" i="10"/>
  <c r="AG127" i="10"/>
  <c r="Q81" i="11"/>
  <c r="P81" i="11"/>
  <c r="N137" i="10"/>
  <c r="F138" i="10"/>
  <c r="I137" i="10"/>
  <c r="O134" i="10"/>
  <c r="AL125" i="10" l="1"/>
  <c r="AL126" i="10" s="1"/>
  <c r="AL127" i="10" s="1"/>
  <c r="AL128" i="10" s="1"/>
  <c r="AL129" i="10" s="1"/>
  <c r="AL130" i="10" s="1"/>
  <c r="AL131" i="10" s="1"/>
  <c r="AL132" i="10" s="1"/>
  <c r="AL133" i="10" s="1"/>
  <c r="AL134" i="10" s="1"/>
  <c r="AL135" i="10" s="1"/>
  <c r="AL136" i="10" s="1"/>
  <c r="AL137" i="10" s="1"/>
  <c r="AL138" i="10" s="1"/>
  <c r="AL139" i="10" s="1"/>
  <c r="AL140" i="10" s="1"/>
  <c r="AL141" i="10" s="1"/>
  <c r="AL142" i="10" s="1"/>
  <c r="AL143" i="10" s="1"/>
  <c r="AL144" i="10" s="1"/>
  <c r="AL145" i="10" s="1"/>
  <c r="AL146" i="10" s="1"/>
  <c r="AL147" i="10" s="1"/>
  <c r="AL148" i="10" s="1"/>
  <c r="AL149" i="10" s="1"/>
  <c r="AL150" i="10" s="1"/>
  <c r="AL151" i="10" s="1"/>
  <c r="AL152" i="10" s="1"/>
  <c r="AL153" i="10" s="1"/>
  <c r="AL154" i="10" s="1"/>
  <c r="AL155" i="10" s="1"/>
  <c r="AL156" i="10" s="1"/>
  <c r="AL157" i="10" s="1"/>
  <c r="AL158" i="10" s="1"/>
  <c r="AL159" i="10" s="1"/>
  <c r="AL160" i="10" s="1"/>
  <c r="AL161" i="10" s="1"/>
  <c r="AL162" i="10" s="1"/>
  <c r="AL163" i="10" s="1"/>
  <c r="AL164" i="10" s="1"/>
  <c r="AL165" i="10" s="1"/>
  <c r="AL166" i="10" s="1"/>
  <c r="AL167" i="10" s="1"/>
  <c r="AL168" i="10" s="1"/>
  <c r="AL169" i="10" s="1"/>
  <c r="AL170" i="10" s="1"/>
  <c r="AL171" i="10" s="1"/>
  <c r="AL172" i="10" s="1"/>
  <c r="AL173" i="10" s="1"/>
  <c r="AL174" i="10" s="1"/>
  <c r="AL175" i="10" s="1"/>
  <c r="AL176" i="10" s="1"/>
  <c r="AL177" i="10" s="1"/>
  <c r="AL178" i="10" s="1"/>
  <c r="AL179" i="10" s="1"/>
  <c r="AL180" i="10" s="1"/>
  <c r="AL181" i="10" s="1"/>
  <c r="AL182" i="10" s="1"/>
  <c r="AL183" i="10" s="1"/>
  <c r="AL184" i="10" s="1"/>
  <c r="AL185" i="10" s="1"/>
  <c r="AL186" i="10" s="1"/>
  <c r="AL187" i="10" s="1"/>
  <c r="AL188" i="10" s="1"/>
  <c r="AL189" i="10" s="1"/>
  <c r="AL190" i="10" s="1"/>
  <c r="AL191" i="10" s="1"/>
  <c r="AL192" i="10" s="1"/>
  <c r="AL193" i="10" s="1"/>
  <c r="AL194" i="10" s="1"/>
  <c r="AL195" i="10" s="1"/>
  <c r="AL196" i="10" s="1"/>
  <c r="AL197" i="10" s="1"/>
  <c r="AL198" i="10" s="1"/>
  <c r="AL199" i="10" s="1"/>
  <c r="AL200" i="10" s="1"/>
  <c r="AL201" i="10" s="1"/>
  <c r="V12" i="11"/>
  <c r="BG78" i="11"/>
  <c r="Y12" i="11" s="1"/>
  <c r="BE78" i="11"/>
  <c r="B46" i="10"/>
  <c r="B77" i="8"/>
  <c r="AA162" i="10"/>
  <c r="AC161" i="10"/>
  <c r="S10" i="11"/>
  <c r="S6" i="11"/>
  <c r="U6" i="11" s="1"/>
  <c r="V6" i="11" s="1"/>
  <c r="AB71" i="11"/>
  <c r="AD70" i="11"/>
  <c r="Z12" i="11"/>
  <c r="W12" i="11"/>
  <c r="V13" i="11"/>
  <c r="BI78" i="11"/>
  <c r="BJ78" i="11"/>
  <c r="X13" i="11" s="1"/>
  <c r="BK78" i="11"/>
  <c r="W13" i="11"/>
  <c r="Y13" i="11"/>
  <c r="Z13" i="11" s="1"/>
  <c r="AJ138" i="11"/>
  <c r="AJ93" i="11"/>
  <c r="AJ120" i="11"/>
  <c r="AJ140" i="11"/>
  <c r="AJ92" i="11"/>
  <c r="AJ69" i="11"/>
  <c r="AJ124" i="11"/>
  <c r="AJ99" i="11"/>
  <c r="AJ90" i="11"/>
  <c r="AJ125" i="11"/>
  <c r="AJ81" i="11"/>
  <c r="AJ149" i="11"/>
  <c r="AJ106" i="11"/>
  <c r="AJ119" i="11"/>
  <c r="AJ117" i="11"/>
  <c r="AJ111" i="11"/>
  <c r="AJ94" i="11"/>
  <c r="AJ147" i="11"/>
  <c r="AJ102" i="11"/>
  <c r="AJ114" i="11"/>
  <c r="AJ131" i="11"/>
  <c r="AJ83" i="11"/>
  <c r="AJ77" i="11"/>
  <c r="AJ129" i="11"/>
  <c r="AJ95" i="11"/>
  <c r="AJ141" i="11"/>
  <c r="AJ123" i="11"/>
  <c r="AJ84" i="11"/>
  <c r="AJ82" i="11"/>
  <c r="AJ104" i="11"/>
  <c r="AJ80" i="11"/>
  <c r="AJ150" i="11"/>
  <c r="AJ97" i="11"/>
  <c r="AJ118" i="11"/>
  <c r="AJ78" i="11"/>
  <c r="AJ75" i="11"/>
  <c r="AJ71" i="11"/>
  <c r="AJ98" i="11"/>
  <c r="AJ70" i="11"/>
  <c r="AJ79" i="11"/>
  <c r="AJ86" i="11"/>
  <c r="AJ127" i="11"/>
  <c r="AJ115" i="11"/>
  <c r="AJ85" i="11"/>
  <c r="AJ110" i="11"/>
  <c r="AJ139" i="11"/>
  <c r="AJ144" i="11"/>
  <c r="AJ109" i="11"/>
  <c r="AJ88" i="11"/>
  <c r="AJ126" i="11"/>
  <c r="AJ73" i="11"/>
  <c r="AJ133" i="11"/>
  <c r="AJ143" i="11"/>
  <c r="AJ121" i="11"/>
  <c r="AJ145" i="11"/>
  <c r="AJ103" i="11"/>
  <c r="AJ105" i="11"/>
  <c r="AJ74" i="11"/>
  <c r="AJ101" i="11"/>
  <c r="AJ128" i="11"/>
  <c r="AJ148" i="11"/>
  <c r="AJ72" i="11"/>
  <c r="AJ135" i="11"/>
  <c r="AJ132" i="11"/>
  <c r="AJ134" i="11"/>
  <c r="AJ91" i="11"/>
  <c r="AJ87" i="11"/>
  <c r="AJ116" i="11"/>
  <c r="AJ130" i="11"/>
  <c r="AJ96" i="11"/>
  <c r="AJ107" i="11"/>
  <c r="AJ89" i="11"/>
  <c r="AJ142" i="11"/>
  <c r="AJ113" i="11"/>
  <c r="AJ146" i="11"/>
  <c r="AJ76" i="11"/>
  <c r="AJ137" i="11"/>
  <c r="AJ68" i="11"/>
  <c r="AJ122" i="11"/>
  <c r="AJ108" i="11"/>
  <c r="AJ136" i="11"/>
  <c r="AJ100" i="11"/>
  <c r="AJ112" i="11"/>
  <c r="AR147" i="11"/>
  <c r="AR130" i="11"/>
  <c r="AR117" i="11"/>
  <c r="AR72" i="11"/>
  <c r="AR80" i="11"/>
  <c r="AR70" i="11"/>
  <c r="AR87" i="11"/>
  <c r="AR133" i="11"/>
  <c r="AR144" i="11"/>
  <c r="AR104" i="11"/>
  <c r="AR146" i="11"/>
  <c r="AR118" i="11"/>
  <c r="AR129" i="11"/>
  <c r="AR92" i="11"/>
  <c r="AR97" i="11"/>
  <c r="AR71" i="11"/>
  <c r="AR137" i="11"/>
  <c r="AR123" i="11"/>
  <c r="AR122" i="11"/>
  <c r="AR91" i="11"/>
  <c r="AR108" i="11"/>
  <c r="AR76" i="11"/>
  <c r="AR149" i="11"/>
  <c r="AR131" i="11"/>
  <c r="AR111" i="11"/>
  <c r="AR77" i="11"/>
  <c r="AR81" i="11"/>
  <c r="AR140" i="11"/>
  <c r="AR106" i="11"/>
  <c r="AR124" i="11"/>
  <c r="AR82" i="11"/>
  <c r="AR132" i="11"/>
  <c r="AR127" i="11"/>
  <c r="AR95" i="11"/>
  <c r="AR84" i="11"/>
  <c r="AR90" i="11"/>
  <c r="AR93" i="11"/>
  <c r="AR148" i="11"/>
  <c r="AR75" i="11"/>
  <c r="AR79" i="11"/>
  <c r="AR126" i="11"/>
  <c r="AR103" i="11"/>
  <c r="AR69" i="11"/>
  <c r="AR150" i="11"/>
  <c r="AR96" i="11"/>
  <c r="AR136" i="11"/>
  <c r="AR83" i="11"/>
  <c r="AR141" i="11"/>
  <c r="AR116" i="11"/>
  <c r="AR138" i="11"/>
  <c r="AR112" i="11"/>
  <c r="AR68" i="11"/>
  <c r="AR107" i="11"/>
  <c r="AR139" i="11"/>
  <c r="AR73" i="11"/>
  <c r="AR128" i="11"/>
  <c r="AR125" i="11"/>
  <c r="AR145" i="11"/>
  <c r="AR101" i="11"/>
  <c r="AR115" i="11"/>
  <c r="AR88" i="11"/>
  <c r="AR143" i="11"/>
  <c r="AR86" i="11"/>
  <c r="AR94" i="11"/>
  <c r="AR99" i="11"/>
  <c r="AR102" i="11"/>
  <c r="AR121" i="11"/>
  <c r="AR100" i="11"/>
  <c r="AR105" i="11"/>
  <c r="AR85" i="11"/>
  <c r="AR89" i="11"/>
  <c r="AR142" i="11"/>
  <c r="AR119" i="11"/>
  <c r="AR135" i="11"/>
  <c r="AR98" i="11"/>
  <c r="AR134" i="11"/>
  <c r="AR120" i="11"/>
  <c r="AR74" i="11"/>
  <c r="AR114" i="11"/>
  <c r="AR113" i="11"/>
  <c r="AR78" i="11"/>
  <c r="AR110" i="11"/>
  <c r="AR109" i="11"/>
  <c r="AA12" i="11"/>
  <c r="AB12" i="11"/>
  <c r="AC12" i="11"/>
  <c r="AQ89" i="11"/>
  <c r="AP89" i="11"/>
  <c r="AO89" i="11"/>
  <c r="AQ84" i="11"/>
  <c r="AO84" i="11"/>
  <c r="AP84" i="11"/>
  <c r="AI93" i="11"/>
  <c r="AG125" i="11"/>
  <c r="AQ141" i="11"/>
  <c r="AO141" i="11"/>
  <c r="AP141" i="11"/>
  <c r="AQ78" i="11"/>
  <c r="AO78" i="11"/>
  <c r="AP78" i="11"/>
  <c r="AO107" i="11"/>
  <c r="AP107" i="11"/>
  <c r="AQ107" i="11"/>
  <c r="AQ113" i="11"/>
  <c r="AO113" i="11"/>
  <c r="AP113" i="11"/>
  <c r="AO134" i="11"/>
  <c r="AP134" i="11"/>
  <c r="AQ134" i="11"/>
  <c r="AO106" i="11"/>
  <c r="AP106" i="11"/>
  <c r="AQ106" i="11"/>
  <c r="AP127" i="11"/>
  <c r="AO127" i="11"/>
  <c r="AQ127" i="11"/>
  <c r="AO124" i="11"/>
  <c r="AP124" i="11"/>
  <c r="AQ124" i="11"/>
  <c r="AO102" i="11"/>
  <c r="AQ102" i="11"/>
  <c r="AP102" i="11"/>
  <c r="AQ126" i="11"/>
  <c r="AP126" i="11"/>
  <c r="AO126" i="11"/>
  <c r="AQ147" i="11"/>
  <c r="AO147" i="11"/>
  <c r="AP147" i="11"/>
  <c r="J80" i="11"/>
  <c r="I82" i="11"/>
  <c r="AQ72" i="11"/>
  <c r="AP72" i="11"/>
  <c r="AO72" i="11"/>
  <c r="AQ69" i="11"/>
  <c r="AO69" i="11"/>
  <c r="AP69" i="11"/>
  <c r="AQ131" i="11"/>
  <c r="AP131" i="11"/>
  <c r="AO131" i="11"/>
  <c r="AO117" i="11"/>
  <c r="AP117" i="11"/>
  <c r="AQ117" i="11"/>
  <c r="AO110" i="11"/>
  <c r="AQ110" i="11"/>
  <c r="AP110" i="11"/>
  <c r="AQ135" i="11"/>
  <c r="AO135" i="11"/>
  <c r="AP135" i="11"/>
  <c r="O82" i="11"/>
  <c r="N82" i="11"/>
  <c r="AP122" i="11"/>
  <c r="AO122" i="11"/>
  <c r="AQ122" i="11"/>
  <c r="AQ76" i="11"/>
  <c r="AO76" i="11"/>
  <c r="AP76" i="11"/>
  <c r="AQ86" i="11"/>
  <c r="AO86" i="11"/>
  <c r="AP86" i="11"/>
  <c r="AP88" i="11"/>
  <c r="AQ88" i="11"/>
  <c r="AO88" i="11"/>
  <c r="AQ119" i="11"/>
  <c r="AP119" i="11"/>
  <c r="AO119" i="11"/>
  <c r="AO145" i="11"/>
  <c r="AQ145" i="11"/>
  <c r="AP145" i="11"/>
  <c r="AQ77" i="11"/>
  <c r="AO77" i="11"/>
  <c r="AP77" i="11"/>
  <c r="AQ132" i="11"/>
  <c r="AO132" i="11"/>
  <c r="AP132" i="11"/>
  <c r="AO139" i="11"/>
  <c r="AP139" i="11"/>
  <c r="AQ139" i="11"/>
  <c r="AO82" i="11"/>
  <c r="AQ82" i="11"/>
  <c r="AP82" i="11"/>
  <c r="AO75" i="11"/>
  <c r="AP75" i="11"/>
  <c r="AQ75" i="11"/>
  <c r="AP120" i="11"/>
  <c r="AQ120" i="11"/>
  <c r="AO120" i="11"/>
  <c r="AP142" i="11"/>
  <c r="AQ142" i="11"/>
  <c r="AO142" i="11"/>
  <c r="F139" i="10"/>
  <c r="I138" i="10"/>
  <c r="N138" i="10"/>
  <c r="AO93" i="11"/>
  <c r="AQ93" i="11"/>
  <c r="AP93" i="11"/>
  <c r="AQ87" i="11"/>
  <c r="AO87" i="11"/>
  <c r="AP87" i="11"/>
  <c r="AP73" i="11"/>
  <c r="AO73" i="11"/>
  <c r="AQ73" i="11"/>
  <c r="AP137" i="11"/>
  <c r="AQ137" i="11"/>
  <c r="AO137" i="11"/>
  <c r="AO136" i="11"/>
  <c r="AQ136" i="11"/>
  <c r="AP136" i="11"/>
  <c r="AO143" i="11"/>
  <c r="AQ143" i="11"/>
  <c r="AP143" i="11"/>
  <c r="AQ68" i="11"/>
  <c r="AO68" i="11"/>
  <c r="AP68" i="11"/>
  <c r="V8" i="11"/>
  <c r="AP90" i="11"/>
  <c r="AO90" i="11"/>
  <c r="AQ90" i="11"/>
  <c r="AQ109" i="11"/>
  <c r="AO109" i="11"/>
  <c r="AP109" i="11"/>
  <c r="AQ140" i="11"/>
  <c r="AP140" i="11"/>
  <c r="AO140" i="11"/>
  <c r="AO146" i="11"/>
  <c r="AQ146" i="11"/>
  <c r="AP146" i="11"/>
  <c r="AQ144" i="11"/>
  <c r="AP144" i="11"/>
  <c r="AO144" i="11"/>
  <c r="AQ118" i="11"/>
  <c r="AO118" i="11"/>
  <c r="AP118" i="11"/>
  <c r="AQ125" i="11"/>
  <c r="AO125" i="11"/>
  <c r="AP125" i="11"/>
  <c r="Q82" i="11"/>
  <c r="P82" i="11"/>
  <c r="AQ70" i="11"/>
  <c r="AO70" i="11"/>
  <c r="AP70" i="11"/>
  <c r="AQ100" i="11"/>
  <c r="AP100" i="11"/>
  <c r="AO100" i="11"/>
  <c r="AO85" i="11"/>
  <c r="AQ85" i="11"/>
  <c r="AP85" i="11"/>
  <c r="AP94" i="11"/>
  <c r="AO94" i="11"/>
  <c r="AQ94" i="11"/>
  <c r="AP92" i="11"/>
  <c r="AQ92" i="11"/>
  <c r="AO92" i="11"/>
  <c r="AP150" i="11"/>
  <c r="AQ150" i="11"/>
  <c r="AO150" i="11"/>
  <c r="AQ148" i="11"/>
  <c r="AO148" i="11"/>
  <c r="AP148" i="11"/>
  <c r="AQ81" i="11"/>
  <c r="AO81" i="11"/>
  <c r="AP81" i="11"/>
  <c r="AQ79" i="11"/>
  <c r="AP79" i="11"/>
  <c r="AO79" i="11"/>
  <c r="AQ133" i="11"/>
  <c r="AP133" i="11"/>
  <c r="AO133" i="11"/>
  <c r="AQ112" i="11"/>
  <c r="AP112" i="11"/>
  <c r="AO112" i="11"/>
  <c r="AP83" i="11"/>
  <c r="AO83" i="11"/>
  <c r="AQ83" i="11"/>
  <c r="AO103" i="11"/>
  <c r="AP103" i="11"/>
  <c r="AQ103" i="11"/>
  <c r="AQ111" i="11"/>
  <c r="AO111" i="11"/>
  <c r="AP111" i="11"/>
  <c r="AP95" i="11"/>
  <c r="AO95" i="11"/>
  <c r="AQ95" i="11"/>
  <c r="AO138" i="11"/>
  <c r="AQ138" i="11"/>
  <c r="AP138" i="11"/>
  <c r="AQ97" i="11"/>
  <c r="AO97" i="11"/>
  <c r="AP97" i="11"/>
  <c r="AI103" i="11"/>
  <c r="AG137" i="11"/>
  <c r="K81" i="11"/>
  <c r="M81" i="11"/>
  <c r="AA81" i="11" s="1"/>
  <c r="L80" i="11"/>
  <c r="W80" i="11" s="1"/>
  <c r="X80" i="11" s="1"/>
  <c r="AE80" i="11" s="1"/>
  <c r="AO104" i="11"/>
  <c r="AP104" i="11"/>
  <c r="AQ104" i="11"/>
  <c r="AO129" i="11"/>
  <c r="AP129" i="11"/>
  <c r="AQ129" i="11"/>
  <c r="AO121" i="11"/>
  <c r="AP121" i="11"/>
  <c r="AQ121" i="11"/>
  <c r="AP101" i="11"/>
  <c r="AQ101" i="11"/>
  <c r="AO101" i="11"/>
  <c r="AP99" i="11"/>
  <c r="AQ99" i="11"/>
  <c r="AO99" i="11"/>
  <c r="AF129" i="10"/>
  <c r="AH128" i="10"/>
  <c r="AG128" i="10"/>
  <c r="AP128" i="11"/>
  <c r="AQ128" i="11"/>
  <c r="AO128" i="11"/>
  <c r="O135" i="10"/>
  <c r="AQ71" i="11"/>
  <c r="AO71" i="11"/>
  <c r="AP71" i="11"/>
  <c r="AQ74" i="11"/>
  <c r="AP74" i="11"/>
  <c r="AO74" i="11"/>
  <c r="AO114" i="11"/>
  <c r="AP114" i="11"/>
  <c r="AQ114" i="11"/>
  <c r="AP96" i="11"/>
  <c r="AO96" i="11"/>
  <c r="AQ96" i="11"/>
  <c r="AQ105" i="11"/>
  <c r="AP105" i="11"/>
  <c r="AO105" i="11"/>
  <c r="AQ115" i="11"/>
  <c r="AO115" i="11"/>
  <c r="AP115" i="11"/>
  <c r="AO80" i="11"/>
  <c r="AQ80" i="11"/>
  <c r="AP80" i="11"/>
  <c r="AQ108" i="11"/>
  <c r="AP108" i="11"/>
  <c r="AO108" i="11"/>
  <c r="AH117" i="11"/>
  <c r="AQ130" i="11"/>
  <c r="AP130" i="11"/>
  <c r="AO130" i="11"/>
  <c r="AQ123" i="11"/>
  <c r="AP123" i="11"/>
  <c r="AO123" i="11"/>
  <c r="AQ91" i="11"/>
  <c r="AO91" i="11"/>
  <c r="AP91" i="11"/>
  <c r="AP98" i="11"/>
  <c r="AQ98" i="11"/>
  <c r="AO98" i="11"/>
  <c r="AQ116" i="11"/>
  <c r="AP116" i="11"/>
  <c r="AO116" i="11"/>
  <c r="AQ149" i="11"/>
  <c r="AO149" i="11"/>
  <c r="AP149" i="11"/>
  <c r="AG99" i="11" l="1"/>
  <c r="AI144" i="11"/>
  <c r="AH111" i="11"/>
  <c r="AG114" i="11"/>
  <c r="AG89" i="11"/>
  <c r="AH121" i="11"/>
  <c r="AG102" i="11"/>
  <c r="AH147" i="11"/>
  <c r="AH97" i="11"/>
  <c r="AG115" i="11"/>
  <c r="AG80" i="11"/>
  <c r="AH104" i="11"/>
  <c r="AH115" i="11"/>
  <c r="AG126" i="11"/>
  <c r="AI80" i="11"/>
  <c r="AI145" i="11"/>
  <c r="AI148" i="11"/>
  <c r="AH114" i="11"/>
  <c r="AG87" i="11"/>
  <c r="AI114" i="11"/>
  <c r="AI68" i="11"/>
  <c r="AI69" i="11"/>
  <c r="AI115" i="11"/>
  <c r="AI126" i="11"/>
  <c r="AG129" i="11"/>
  <c r="AH126" i="11"/>
  <c r="AI149" i="11"/>
  <c r="AH129" i="11"/>
  <c r="AH120" i="11"/>
  <c r="AI133" i="11"/>
  <c r="AI150" i="11"/>
  <c r="AG106" i="11"/>
  <c r="AG139" i="11"/>
  <c r="AG122" i="11"/>
  <c r="AI83" i="11"/>
  <c r="AG128" i="11"/>
  <c r="AI101" i="11"/>
  <c r="AG96" i="11"/>
  <c r="AG132" i="11"/>
  <c r="AI129" i="11"/>
  <c r="AH128" i="11"/>
  <c r="AH83" i="11"/>
  <c r="AI128" i="11"/>
  <c r="AI96" i="11"/>
  <c r="AI140" i="11"/>
  <c r="AG101" i="11"/>
  <c r="AH96" i="11"/>
  <c r="AH116" i="11"/>
  <c r="AI132" i="11"/>
  <c r="AG103" i="11"/>
  <c r="AH80" i="11"/>
  <c r="AG104" i="11"/>
  <c r="AH136" i="11"/>
  <c r="AH125" i="11"/>
  <c r="AH94" i="11"/>
  <c r="AH91" i="11"/>
  <c r="AH86" i="11"/>
  <c r="AG131" i="11"/>
  <c r="AI84" i="11"/>
  <c r="AH100" i="11"/>
  <c r="AH124" i="11"/>
  <c r="AH119" i="11"/>
  <c r="AG95" i="11"/>
  <c r="AH141" i="11"/>
  <c r="AI88" i="11"/>
  <c r="AI91" i="11"/>
  <c r="AI131" i="11"/>
  <c r="AH90" i="11"/>
  <c r="AG119" i="11"/>
  <c r="AH105" i="11"/>
  <c r="AI70" i="11"/>
  <c r="AH146" i="11"/>
  <c r="AG90" i="11"/>
  <c r="AH127" i="11"/>
  <c r="AH82" i="11"/>
  <c r="AG70" i="11"/>
  <c r="AG146" i="11"/>
  <c r="AI90" i="11"/>
  <c r="AI127" i="11"/>
  <c r="AH70" i="11"/>
  <c r="AI86" i="11"/>
  <c r="AI135" i="11"/>
  <c r="AH130" i="11"/>
  <c r="AH92" i="11"/>
  <c r="AH88" i="11"/>
  <c r="AH137" i="11"/>
  <c r="AI146" i="11"/>
  <c r="AI123" i="11"/>
  <c r="AG118" i="11"/>
  <c r="AI85" i="11"/>
  <c r="AI110" i="11"/>
  <c r="AG113" i="11"/>
  <c r="AI117" i="11"/>
  <c r="AG107" i="11"/>
  <c r="AI100" i="11"/>
  <c r="AI147" i="11"/>
  <c r="AH149" i="11"/>
  <c r="AG91" i="11"/>
  <c r="AG145" i="11"/>
  <c r="AI142" i="11"/>
  <c r="AH148" i="11"/>
  <c r="AI137" i="11"/>
  <c r="AG108" i="11"/>
  <c r="AH134" i="11"/>
  <c r="AH123" i="11"/>
  <c r="AI81" i="11"/>
  <c r="AI79" i="11"/>
  <c r="B23" i="9"/>
  <c r="B12" i="9"/>
  <c r="B24" i="9"/>
  <c r="B25" i="9" s="1"/>
  <c r="AH106" i="11"/>
  <c r="AG123" i="11"/>
  <c r="AI141" i="10"/>
  <c r="AO141" i="10" s="1"/>
  <c r="AI152" i="10"/>
  <c r="AO152" i="10" s="1"/>
  <c r="AI131" i="10"/>
  <c r="AO131" i="10" s="1"/>
  <c r="AI125" i="10"/>
  <c r="AO125" i="10" s="1"/>
  <c r="AI136" i="10"/>
  <c r="AO136" i="10" s="1"/>
  <c r="AI129" i="10"/>
  <c r="AO129" i="10" s="1"/>
  <c r="AI139" i="10"/>
  <c r="AO139" i="10" s="1"/>
  <c r="AI126" i="10"/>
  <c r="AO126" i="10" s="1"/>
  <c r="AI137" i="10"/>
  <c r="AO137" i="10" s="1"/>
  <c r="AI144" i="10"/>
  <c r="AO144" i="10" s="1"/>
  <c r="AI142" i="10"/>
  <c r="AO142" i="10" s="1"/>
  <c r="AI143" i="10"/>
  <c r="AO143" i="10" s="1"/>
  <c r="AI132" i="10"/>
  <c r="AO132" i="10" s="1"/>
  <c r="AI124" i="10"/>
  <c r="AI130" i="10"/>
  <c r="AO130" i="10" s="1"/>
  <c r="AI128" i="10"/>
  <c r="AO128" i="10" s="1"/>
  <c r="AI146" i="10"/>
  <c r="AO146" i="10" s="1"/>
  <c r="AI140" i="10"/>
  <c r="AO140" i="10" s="1"/>
  <c r="AI148" i="10"/>
  <c r="AO148" i="10" s="1"/>
  <c r="AI138" i="10"/>
  <c r="AO138" i="10" s="1"/>
  <c r="AI151" i="10"/>
  <c r="AO151" i="10" s="1"/>
  <c r="AI154" i="10"/>
  <c r="AO154" i="10" s="1"/>
  <c r="AI145" i="10"/>
  <c r="AO145" i="10" s="1"/>
  <c r="AI149" i="10"/>
  <c r="AO149" i="10" s="1"/>
  <c r="AI135" i="10"/>
  <c r="AO135" i="10" s="1"/>
  <c r="AI127" i="10"/>
  <c r="AO127" i="10" s="1"/>
  <c r="AI147" i="10"/>
  <c r="AO147" i="10" s="1"/>
  <c r="AI153" i="10"/>
  <c r="AO153" i="10" s="1"/>
  <c r="AI133" i="10"/>
  <c r="AO133" i="10" s="1"/>
  <c r="AI134" i="10"/>
  <c r="AO134" i="10" s="1"/>
  <c r="AI150" i="10"/>
  <c r="AO150" i="10" s="1"/>
  <c r="AG116" i="11"/>
  <c r="AH81" i="11"/>
  <c r="AG98" i="11"/>
  <c r="AH144" i="11"/>
  <c r="AG112" i="11"/>
  <c r="AH131" i="11"/>
  <c r="AH107" i="11"/>
  <c r="AH89" i="11"/>
  <c r="AH103" i="11"/>
  <c r="AI109" i="11"/>
  <c r="AG94" i="11"/>
  <c r="AG92" i="11"/>
  <c r="AG81" i="11"/>
  <c r="AH98" i="11"/>
  <c r="AG144" i="11"/>
  <c r="AI112" i="11"/>
  <c r="AG135" i="11"/>
  <c r="AG150" i="11"/>
  <c r="AI107" i="11"/>
  <c r="AH99" i="11"/>
  <c r="AH108" i="11"/>
  <c r="AI94" i="11"/>
  <c r="AI92" i="11"/>
  <c r="AG105" i="11"/>
  <c r="AG136" i="11"/>
  <c r="AH110" i="11"/>
  <c r="AH122" i="11"/>
  <c r="AH84" i="11"/>
  <c r="AH87" i="11"/>
  <c r="AI108" i="11"/>
  <c r="AI124" i="11"/>
  <c r="AG138" i="11"/>
  <c r="AI105" i="11"/>
  <c r="AI136" i="11"/>
  <c r="AG110" i="11"/>
  <c r="AG130" i="11"/>
  <c r="AG140" i="11"/>
  <c r="AH145" i="11"/>
  <c r="AG142" i="11"/>
  <c r="AG68" i="11"/>
  <c r="AI106" i="11"/>
  <c r="AH143" i="11"/>
  <c r="AG147" i="11"/>
  <c r="AI121" i="11"/>
  <c r="AH69" i="11"/>
  <c r="AG82" i="11"/>
  <c r="AI111" i="11"/>
  <c r="AH132" i="11"/>
  <c r="AI113" i="11"/>
  <c r="AK102" i="11"/>
  <c r="AM102" i="11"/>
  <c r="AL102" i="11"/>
  <c r="AL128" i="11"/>
  <c r="AM128" i="11"/>
  <c r="AK128" i="11"/>
  <c r="AK94" i="11"/>
  <c r="AM94" i="11"/>
  <c r="AL94" i="11"/>
  <c r="AL74" i="11"/>
  <c r="AK74" i="11"/>
  <c r="AM74" i="11"/>
  <c r="AS142" i="11"/>
  <c r="AT142" i="11"/>
  <c r="AU142" i="11"/>
  <c r="AT145" i="11"/>
  <c r="AU145" i="11"/>
  <c r="AS145" i="11"/>
  <c r="AS150" i="11"/>
  <c r="AU150" i="11"/>
  <c r="AT150" i="11"/>
  <c r="AU124" i="11"/>
  <c r="AS124" i="11"/>
  <c r="AT124" i="11"/>
  <c r="AS71" i="11"/>
  <c r="AU71" i="11"/>
  <c r="AT71" i="11"/>
  <c r="AT130" i="11"/>
  <c r="AU130" i="11"/>
  <c r="AS130" i="11"/>
  <c r="AL107" i="11"/>
  <c r="AM107" i="11"/>
  <c r="AK107" i="11"/>
  <c r="AK105" i="11"/>
  <c r="AM105" i="11"/>
  <c r="AL105" i="11"/>
  <c r="AK115" i="11"/>
  <c r="AL115" i="11"/>
  <c r="AM115" i="11"/>
  <c r="AM82" i="11"/>
  <c r="AL82" i="11"/>
  <c r="AK82" i="11"/>
  <c r="AM117" i="11"/>
  <c r="AK117" i="11"/>
  <c r="AL117" i="11"/>
  <c r="AM138" i="11"/>
  <c r="AL138" i="11"/>
  <c r="AK138" i="11"/>
  <c r="AS89" i="11"/>
  <c r="AT89" i="11"/>
  <c r="AU89" i="11"/>
  <c r="AS125" i="11"/>
  <c r="AU125" i="11"/>
  <c r="AT125" i="11"/>
  <c r="AT69" i="11"/>
  <c r="AU69" i="11"/>
  <c r="AS69" i="11"/>
  <c r="AU106" i="11"/>
  <c r="AS106" i="11"/>
  <c r="AT106" i="11"/>
  <c r="AT97" i="11"/>
  <c r="AS97" i="11"/>
  <c r="AU97" i="11"/>
  <c r="AT147" i="11"/>
  <c r="AS147" i="11"/>
  <c r="AU147" i="11"/>
  <c r="AL96" i="11"/>
  <c r="AM96" i="11"/>
  <c r="AK96" i="11"/>
  <c r="AL103" i="11"/>
  <c r="AM103" i="11"/>
  <c r="AK103" i="11"/>
  <c r="AM127" i="11"/>
  <c r="AL127" i="11"/>
  <c r="AK127" i="11"/>
  <c r="AK84" i="11"/>
  <c r="AM84" i="11"/>
  <c r="AL84" i="11"/>
  <c r="AM119" i="11"/>
  <c r="AK119" i="11"/>
  <c r="AL119" i="11"/>
  <c r="AH150" i="11"/>
  <c r="AG117" i="11"/>
  <c r="AG83" i="11"/>
  <c r="AH142" i="11"/>
  <c r="AG84" i="11"/>
  <c r="AI89" i="11"/>
  <c r="AI99" i="11"/>
  <c r="AH101" i="11"/>
  <c r="W8" i="11"/>
  <c r="AI116" i="11"/>
  <c r="AI119" i="11"/>
  <c r="AG149" i="11"/>
  <c r="AI82" i="11"/>
  <c r="AG111" i="11"/>
  <c r="AG86" i="11"/>
  <c r="AI130" i="11"/>
  <c r="AT85" i="11"/>
  <c r="AS85" i="11"/>
  <c r="AU85" i="11"/>
  <c r="AS128" i="11"/>
  <c r="AU128" i="11"/>
  <c r="AT128" i="11"/>
  <c r="AT103" i="11"/>
  <c r="AU103" i="11"/>
  <c r="AS103" i="11"/>
  <c r="AS140" i="11"/>
  <c r="AU140" i="11"/>
  <c r="AT140" i="11"/>
  <c r="AU92" i="11"/>
  <c r="AT92" i="11"/>
  <c r="AS92" i="11"/>
  <c r="AM112" i="11"/>
  <c r="AL112" i="11"/>
  <c r="AK112" i="11"/>
  <c r="AL130" i="11"/>
  <c r="AK130" i="11"/>
  <c r="AM130" i="11"/>
  <c r="AK145" i="11"/>
  <c r="AL145" i="11"/>
  <c r="AM145" i="11"/>
  <c r="AK86" i="11"/>
  <c r="AM86" i="11"/>
  <c r="AL86" i="11"/>
  <c r="AK123" i="11"/>
  <c r="AL123" i="11"/>
  <c r="AM123" i="11"/>
  <c r="AK106" i="11"/>
  <c r="AM106" i="11"/>
  <c r="AL106" i="11"/>
  <c r="AS134" i="11"/>
  <c r="AU134" i="11"/>
  <c r="AT134" i="11"/>
  <c r="AK113" i="11"/>
  <c r="AL113" i="11"/>
  <c r="AM113" i="11"/>
  <c r="AL101" i="11"/>
  <c r="AM101" i="11"/>
  <c r="AK101" i="11"/>
  <c r="AL85" i="11"/>
  <c r="AK85" i="11"/>
  <c r="AM85" i="11"/>
  <c r="AM141" i="11"/>
  <c r="AK141" i="11"/>
  <c r="AL141" i="11"/>
  <c r="AT100" i="11"/>
  <c r="AU100" i="11"/>
  <c r="AS100" i="11"/>
  <c r="AS77" i="11"/>
  <c r="AU77" i="11"/>
  <c r="AT77" i="11"/>
  <c r="AS118" i="11"/>
  <c r="AU118" i="11"/>
  <c r="AT118" i="11"/>
  <c r="AM136" i="11"/>
  <c r="AK136" i="11"/>
  <c r="AL136" i="11"/>
  <c r="AL87" i="11"/>
  <c r="AM87" i="11"/>
  <c r="AK87" i="11"/>
  <c r="AK143" i="11"/>
  <c r="AL143" i="11"/>
  <c r="AM143" i="11"/>
  <c r="AK70" i="11"/>
  <c r="AL70" i="11"/>
  <c r="AM70" i="11"/>
  <c r="AG124" i="11"/>
  <c r="AG127" i="11"/>
  <c r="AG121" i="11"/>
  <c r="AI138" i="11"/>
  <c r="AI141" i="11"/>
  <c r="AH102" i="11"/>
  <c r="AH112" i="11"/>
  <c r="AI125" i="11"/>
  <c r="AH113" i="11"/>
  <c r="AU78" i="11"/>
  <c r="AT78" i="11"/>
  <c r="AS78" i="11"/>
  <c r="AS121" i="11"/>
  <c r="AT121" i="11"/>
  <c r="AU121" i="11"/>
  <c r="AS107" i="11"/>
  <c r="AT107" i="11"/>
  <c r="AU107" i="11"/>
  <c r="AS75" i="11"/>
  <c r="AT75" i="11"/>
  <c r="AU75" i="11"/>
  <c r="AT111" i="11"/>
  <c r="AS111" i="11"/>
  <c r="AU111" i="11"/>
  <c r="AU146" i="11"/>
  <c r="AT146" i="11"/>
  <c r="AS146" i="11"/>
  <c r="AM108" i="11"/>
  <c r="AK108" i="11"/>
  <c r="AL108" i="11"/>
  <c r="AL91" i="11"/>
  <c r="AM91" i="11"/>
  <c r="AK91" i="11"/>
  <c r="AM133" i="11"/>
  <c r="AK133" i="11"/>
  <c r="AL133" i="11"/>
  <c r="AK98" i="11"/>
  <c r="AM98" i="11"/>
  <c r="AL98" i="11"/>
  <c r="AM129" i="11"/>
  <c r="AL129" i="11"/>
  <c r="AK129" i="11"/>
  <c r="AM125" i="11"/>
  <c r="AL125" i="11"/>
  <c r="AK125" i="11"/>
  <c r="AD71" i="11"/>
  <c r="AI71" i="11" s="1"/>
  <c r="AB72" i="11"/>
  <c r="AU143" i="11"/>
  <c r="AS143" i="11"/>
  <c r="AT143" i="11"/>
  <c r="AS141" i="11"/>
  <c r="AU141" i="11"/>
  <c r="AT141" i="11"/>
  <c r="AU95" i="11"/>
  <c r="AS95" i="11"/>
  <c r="AT95" i="11"/>
  <c r="AU91" i="11"/>
  <c r="AT91" i="11"/>
  <c r="AS91" i="11"/>
  <c r="AM146" i="11"/>
  <c r="AK146" i="11"/>
  <c r="AL146" i="11"/>
  <c r="AK148" i="11"/>
  <c r="AL148" i="11"/>
  <c r="AM148" i="11"/>
  <c r="AL144" i="11"/>
  <c r="AM144" i="11"/>
  <c r="AK144" i="11"/>
  <c r="AT98" i="11"/>
  <c r="AU98" i="11"/>
  <c r="AS98" i="11"/>
  <c r="AU88" i="11"/>
  <c r="AS88" i="11"/>
  <c r="AT88" i="11"/>
  <c r="AS83" i="11"/>
  <c r="AU83" i="11"/>
  <c r="AT83" i="11"/>
  <c r="AU127" i="11"/>
  <c r="AS127" i="11"/>
  <c r="AT127" i="11"/>
  <c r="AT122" i="11"/>
  <c r="AU122" i="11"/>
  <c r="AS122" i="11"/>
  <c r="AK139" i="11"/>
  <c r="AL139" i="11"/>
  <c r="AM139" i="11"/>
  <c r="AK150" i="11"/>
  <c r="AL150" i="11"/>
  <c r="AM150" i="11"/>
  <c r="AL140" i="11"/>
  <c r="AM140" i="11"/>
  <c r="AK140" i="11"/>
  <c r="AT135" i="11"/>
  <c r="AS135" i="11"/>
  <c r="AU135" i="11"/>
  <c r="AT115" i="11"/>
  <c r="AS115" i="11"/>
  <c r="AU115" i="11"/>
  <c r="AT136" i="11"/>
  <c r="AU136" i="11"/>
  <c r="AS136" i="11"/>
  <c r="AU132" i="11"/>
  <c r="AT132" i="11"/>
  <c r="AS132" i="11"/>
  <c r="AU123" i="11"/>
  <c r="AS123" i="11"/>
  <c r="AT123" i="11"/>
  <c r="AS72" i="11"/>
  <c r="AU72" i="11"/>
  <c r="AT72" i="11"/>
  <c r="AK142" i="11"/>
  <c r="AL142" i="11"/>
  <c r="AM142" i="11"/>
  <c r="AT119" i="11"/>
  <c r="AS119" i="11"/>
  <c r="AU119" i="11"/>
  <c r="AU101" i="11"/>
  <c r="AT101" i="11"/>
  <c r="AS101" i="11"/>
  <c r="AT96" i="11"/>
  <c r="AS96" i="11"/>
  <c r="AU96" i="11"/>
  <c r="AU82" i="11"/>
  <c r="AS82" i="11"/>
  <c r="AT82" i="11"/>
  <c r="AU137" i="11"/>
  <c r="AS137" i="11"/>
  <c r="AT137" i="11"/>
  <c r="AU117" i="11"/>
  <c r="AT117" i="11"/>
  <c r="AS117" i="11"/>
  <c r="AL89" i="11"/>
  <c r="AM89" i="11"/>
  <c r="AK89" i="11"/>
  <c r="AU126" i="11"/>
  <c r="AS126" i="11"/>
  <c r="AT126" i="11"/>
  <c r="AL97" i="11"/>
  <c r="AK97" i="11"/>
  <c r="AM97" i="11"/>
  <c r="AM80" i="11"/>
  <c r="AL80" i="11"/>
  <c r="AK80" i="11"/>
  <c r="AL93" i="11"/>
  <c r="AM93" i="11"/>
  <c r="AK93" i="11"/>
  <c r="AU73" i="11"/>
  <c r="AT73" i="11"/>
  <c r="AS73" i="11"/>
  <c r="AU129" i="11"/>
  <c r="AT129" i="11"/>
  <c r="AS129" i="11"/>
  <c r="AM100" i="11"/>
  <c r="AL100" i="11"/>
  <c r="AK100" i="11"/>
  <c r="AM121" i="11"/>
  <c r="AL121" i="11"/>
  <c r="AK121" i="11"/>
  <c r="AM79" i="11"/>
  <c r="AL79" i="11"/>
  <c r="AK79" i="11"/>
  <c r="AU139" i="11"/>
  <c r="AS139" i="11"/>
  <c r="AT139" i="11"/>
  <c r="AM81" i="11"/>
  <c r="AK81" i="11"/>
  <c r="AL81" i="11"/>
  <c r="AT102" i="11"/>
  <c r="AS102" i="11"/>
  <c r="AU102" i="11"/>
  <c r="AU148" i="11"/>
  <c r="AS148" i="11"/>
  <c r="AT148" i="11"/>
  <c r="AS104" i="11"/>
  <c r="AT104" i="11"/>
  <c r="AU104" i="11"/>
  <c r="AM122" i="11"/>
  <c r="AL122" i="11"/>
  <c r="AK122" i="11"/>
  <c r="AM73" i="11"/>
  <c r="AK73" i="11"/>
  <c r="AL73" i="11"/>
  <c r="AK71" i="11"/>
  <c r="AL71" i="11"/>
  <c r="AM71" i="11"/>
  <c r="AK77" i="11"/>
  <c r="AL77" i="11"/>
  <c r="AM77" i="11"/>
  <c r="AM90" i="11"/>
  <c r="AK90" i="11"/>
  <c r="AL90" i="11"/>
  <c r="AI122" i="11"/>
  <c r="AI120" i="11"/>
  <c r="AI87" i="11"/>
  <c r="AH109" i="11"/>
  <c r="AI104" i="11"/>
  <c r="AG133" i="11"/>
  <c r="AG134" i="11"/>
  <c r="AG143" i="11"/>
  <c r="AH118" i="11"/>
  <c r="AI95" i="11"/>
  <c r="AI97" i="11"/>
  <c r="AH138" i="11"/>
  <c r="AG141" i="11"/>
  <c r="AI102" i="11"/>
  <c r="AH139" i="11"/>
  <c r="AH85" i="11"/>
  <c r="AG93" i="11"/>
  <c r="AG79" i="11"/>
  <c r="AS114" i="11"/>
  <c r="AU114" i="11"/>
  <c r="AT114" i="11"/>
  <c r="AT99" i="11"/>
  <c r="AS99" i="11"/>
  <c r="AU99" i="11"/>
  <c r="AS112" i="11"/>
  <c r="AU112" i="11"/>
  <c r="AT112" i="11"/>
  <c r="AT93" i="11"/>
  <c r="AU93" i="11"/>
  <c r="AS93" i="11"/>
  <c r="AT149" i="11"/>
  <c r="AU149" i="11"/>
  <c r="AS149" i="11"/>
  <c r="AU144" i="11"/>
  <c r="AT144" i="11"/>
  <c r="AS144" i="11"/>
  <c r="AM68" i="11"/>
  <c r="AL68" i="11"/>
  <c r="AK68" i="11"/>
  <c r="V7" i="11"/>
  <c r="AK132" i="11"/>
  <c r="AM132" i="11"/>
  <c r="AL132" i="11"/>
  <c r="AM126" i="11"/>
  <c r="AL126" i="11"/>
  <c r="AK126" i="11"/>
  <c r="AM75" i="11"/>
  <c r="AK75" i="11"/>
  <c r="AL75" i="11"/>
  <c r="AK83" i="11"/>
  <c r="AL83" i="11"/>
  <c r="AM83" i="11"/>
  <c r="AK99" i="11"/>
  <c r="AL99" i="11"/>
  <c r="AM99" i="11"/>
  <c r="AW144" i="11"/>
  <c r="AW110" i="11"/>
  <c r="AY116" i="11"/>
  <c r="AY126" i="11"/>
  <c r="AW90" i="11"/>
  <c r="AY134" i="11"/>
  <c r="AY76" i="11"/>
  <c r="AW97" i="11"/>
  <c r="AX148" i="11"/>
  <c r="AX143" i="11"/>
  <c r="AW77" i="11"/>
  <c r="AW70" i="11"/>
  <c r="AY85" i="11"/>
  <c r="AX140" i="11"/>
  <c r="AX141" i="11"/>
  <c r="AY121" i="11"/>
  <c r="AW124" i="11"/>
  <c r="AY150" i="11"/>
  <c r="AX129" i="11"/>
  <c r="AX92" i="11"/>
  <c r="AX126" i="11"/>
  <c r="AY98" i="11"/>
  <c r="AX104" i="11"/>
  <c r="AW98" i="11"/>
  <c r="AW69" i="11"/>
  <c r="AY135" i="11"/>
  <c r="AW143" i="11"/>
  <c r="AW119" i="11"/>
  <c r="AX91" i="11"/>
  <c r="AX133" i="11"/>
  <c r="AW79" i="11"/>
  <c r="AX127" i="11"/>
  <c r="AW112" i="11"/>
  <c r="AY94" i="11"/>
  <c r="AY125" i="11"/>
  <c r="AW68" i="11"/>
  <c r="AY92" i="11"/>
  <c r="AW87" i="11"/>
  <c r="AW150" i="11"/>
  <c r="AY102" i="11"/>
  <c r="AY110" i="11"/>
  <c r="AX116" i="11"/>
  <c r="AX98" i="11"/>
  <c r="AX87" i="11"/>
  <c r="AX77" i="11"/>
  <c r="AW139" i="11"/>
  <c r="AY132" i="11"/>
  <c r="AX93" i="11"/>
  <c r="AW132" i="11"/>
  <c r="AW96" i="11"/>
  <c r="AX112" i="11"/>
  <c r="AY136" i="11"/>
  <c r="AY113" i="11"/>
  <c r="AX131" i="11"/>
  <c r="AX106" i="11"/>
  <c r="AY133" i="11"/>
  <c r="AW121" i="11"/>
  <c r="AW126" i="11"/>
  <c r="AW84" i="11"/>
  <c r="AY90" i="11"/>
  <c r="AX88" i="11"/>
  <c r="AX105" i="11"/>
  <c r="AW80" i="11"/>
  <c r="AW72" i="11"/>
  <c r="AX142" i="11"/>
  <c r="AY122" i="11"/>
  <c r="AY81" i="11"/>
  <c r="AW113" i="11"/>
  <c r="AX136" i="11"/>
  <c r="AW94" i="11"/>
  <c r="AW116" i="11"/>
  <c r="AY87" i="11"/>
  <c r="AX84" i="11"/>
  <c r="AX107" i="11"/>
  <c r="AX137" i="11"/>
  <c r="AW138" i="11"/>
  <c r="AX97" i="11"/>
  <c r="AW134" i="11"/>
  <c r="AY93" i="11"/>
  <c r="AW114" i="11"/>
  <c r="AY127" i="11"/>
  <c r="AW100" i="11"/>
  <c r="AX83" i="11"/>
  <c r="AY74" i="11"/>
  <c r="AY112" i="11"/>
  <c r="AY91" i="11"/>
  <c r="AX103" i="11"/>
  <c r="U10" i="11"/>
  <c r="AX115" i="11"/>
  <c r="AW86" i="11"/>
  <c r="AY88" i="11"/>
  <c r="AY120" i="11"/>
  <c r="AW88" i="11"/>
  <c r="AY128" i="11"/>
  <c r="AX118" i="11"/>
  <c r="AX90" i="11"/>
  <c r="AY97" i="11"/>
  <c r="AY70" i="11"/>
  <c r="AY143" i="11"/>
  <c r="AY68" i="11"/>
  <c r="AX146" i="11"/>
  <c r="AY124" i="11"/>
  <c r="AW127" i="11"/>
  <c r="AW71" i="11"/>
  <c r="AY144" i="11"/>
  <c r="AY147" i="11"/>
  <c r="AX147" i="11"/>
  <c r="AY69" i="11"/>
  <c r="AY138" i="11"/>
  <c r="AW120" i="11"/>
  <c r="AW93" i="11"/>
  <c r="AY145" i="11"/>
  <c r="AX113" i="11"/>
  <c r="AW146" i="11"/>
  <c r="AX125" i="11"/>
  <c r="AW129" i="11"/>
  <c r="AX149" i="11"/>
  <c r="AW95" i="11"/>
  <c r="AW76" i="11"/>
  <c r="AY118" i="11"/>
  <c r="AX145" i="11"/>
  <c r="AY77" i="11"/>
  <c r="AY75" i="11"/>
  <c r="AW125" i="11"/>
  <c r="AY106" i="11"/>
  <c r="AX122" i="11"/>
  <c r="AY84" i="11"/>
  <c r="AY117" i="11"/>
  <c r="AY149" i="11"/>
  <c r="AX82" i="11"/>
  <c r="AW82" i="11"/>
  <c r="AY140" i="11"/>
  <c r="AY100" i="11"/>
  <c r="AX72" i="11"/>
  <c r="AY79" i="11"/>
  <c r="AY73" i="11"/>
  <c r="AW115" i="11"/>
  <c r="AY115" i="11"/>
  <c r="AW117" i="11"/>
  <c r="AY148" i="11"/>
  <c r="AX96" i="11"/>
  <c r="AY141" i="11"/>
  <c r="AW145" i="11"/>
  <c r="AX114" i="11"/>
  <c r="AX68" i="11"/>
  <c r="AX120" i="11"/>
  <c r="AX78" i="11"/>
  <c r="AX86" i="11"/>
  <c r="AY105" i="11"/>
  <c r="AX139" i="11"/>
  <c r="AX100" i="11"/>
  <c r="AY89" i="11"/>
  <c r="AX74" i="11"/>
  <c r="AY103" i="11"/>
  <c r="AX101" i="11"/>
  <c r="AW107" i="11"/>
  <c r="AX138" i="11"/>
  <c r="AW131" i="11"/>
  <c r="AY109" i="11"/>
  <c r="AX75" i="11"/>
  <c r="AX85" i="11"/>
  <c r="AY95" i="11"/>
  <c r="AX73" i="11"/>
  <c r="AY104" i="11"/>
  <c r="AW81" i="11"/>
  <c r="AX121" i="11"/>
  <c r="AX124" i="11"/>
  <c r="AY123" i="11"/>
  <c r="AW73" i="11"/>
  <c r="AW118" i="11"/>
  <c r="AX150" i="11"/>
  <c r="AX94" i="11"/>
  <c r="AW122" i="11"/>
  <c r="AX89" i="11"/>
  <c r="AX128" i="11"/>
  <c r="AY82" i="11"/>
  <c r="AX102" i="11"/>
  <c r="AW75" i="11"/>
  <c r="AW103" i="11"/>
  <c r="AY83" i="11"/>
  <c r="AW101" i="11"/>
  <c r="AX108" i="11"/>
  <c r="AW137" i="11"/>
  <c r="AW135" i="11"/>
  <c r="AY96" i="11"/>
  <c r="AW128" i="11"/>
  <c r="AX144" i="11"/>
  <c r="AY80" i="11"/>
  <c r="AY139" i="11"/>
  <c r="AY142" i="11"/>
  <c r="AY72" i="11"/>
  <c r="AY119" i="11"/>
  <c r="AY146" i="11"/>
  <c r="AW147" i="11"/>
  <c r="AW149" i="11"/>
  <c r="AW104" i="11"/>
  <c r="AW102" i="11"/>
  <c r="AY114" i="11"/>
  <c r="AY130" i="11"/>
  <c r="AW109" i="11"/>
  <c r="AY101" i="11"/>
  <c r="AX117" i="11"/>
  <c r="AW105" i="11"/>
  <c r="AY131" i="11"/>
  <c r="AW130" i="11"/>
  <c r="AX70" i="11"/>
  <c r="AY78" i="11"/>
  <c r="AX119" i="11"/>
  <c r="AW74" i="11"/>
  <c r="AW106" i="11"/>
  <c r="AX110" i="11"/>
  <c r="AW148" i="11"/>
  <c r="AX71" i="11"/>
  <c r="AW92" i="11"/>
  <c r="AX130" i="11"/>
  <c r="AW78" i="11"/>
  <c r="AY137" i="11"/>
  <c r="AX135" i="11"/>
  <c r="AW85" i="11"/>
  <c r="AW142" i="11"/>
  <c r="AX79" i="11"/>
  <c r="AX134" i="11"/>
  <c r="AW140" i="11"/>
  <c r="AY86" i="11"/>
  <c r="AW141" i="11"/>
  <c r="AW108" i="11"/>
  <c r="AY71" i="11"/>
  <c r="AW91" i="11"/>
  <c r="AX69" i="11"/>
  <c r="AX123" i="11"/>
  <c r="AW123" i="11"/>
  <c r="AX132" i="11"/>
  <c r="AW133" i="11"/>
  <c r="AW89" i="11"/>
  <c r="AW136" i="11"/>
  <c r="AX109" i="11"/>
  <c r="AX80" i="11"/>
  <c r="AX95" i="11"/>
  <c r="AX76" i="11"/>
  <c r="AY107" i="11"/>
  <c r="AY129" i="11"/>
  <c r="AX81" i="11"/>
  <c r="AW83" i="11"/>
  <c r="AY108" i="11"/>
  <c r="AK92" i="11"/>
  <c r="AM92" i="11"/>
  <c r="AL92" i="11"/>
  <c r="AU80" i="11"/>
  <c r="AS80" i="11"/>
  <c r="AT80" i="11"/>
  <c r="AM120" i="11"/>
  <c r="AK120" i="11"/>
  <c r="AL120" i="11"/>
  <c r="AK111" i="11"/>
  <c r="AM111" i="11"/>
  <c r="AL111" i="11"/>
  <c r="AC13" i="11"/>
  <c r="AB13" i="11"/>
  <c r="AA13" i="11"/>
  <c r="AT110" i="11"/>
  <c r="AU110" i="11"/>
  <c r="AS110" i="11"/>
  <c r="AS79" i="11"/>
  <c r="AU79" i="11"/>
  <c r="AT79" i="11"/>
  <c r="AL95" i="11"/>
  <c r="AK95" i="11"/>
  <c r="AM95" i="11"/>
  <c r="Y8" i="11"/>
  <c r="Z8" i="11" s="1"/>
  <c r="AU113" i="11"/>
  <c r="AS113" i="11"/>
  <c r="AT113" i="11"/>
  <c r="AT68" i="11"/>
  <c r="V9" i="11"/>
  <c r="AU68" i="11"/>
  <c r="AS68" i="11"/>
  <c r="AU131" i="11"/>
  <c r="AT131" i="11"/>
  <c r="AS131" i="11"/>
  <c r="AK134" i="11"/>
  <c r="AM134" i="11"/>
  <c r="AL134" i="11"/>
  <c r="AH140" i="11"/>
  <c r="AG120" i="11"/>
  <c r="AG148" i="11"/>
  <c r="AH68" i="11"/>
  <c r="AG109" i="11"/>
  <c r="AG100" i="11"/>
  <c r="AH133" i="11"/>
  <c r="AI134" i="11"/>
  <c r="AI143" i="11"/>
  <c r="AI118" i="11"/>
  <c r="AH95" i="11"/>
  <c r="AG97" i="11"/>
  <c r="AG69" i="11"/>
  <c r="AI98" i="11"/>
  <c r="X8" i="11"/>
  <c r="AG88" i="11"/>
  <c r="AI139" i="11"/>
  <c r="AG85" i="11"/>
  <c r="AH135" i="11"/>
  <c r="AH93" i="11"/>
  <c r="AH79" i="11"/>
  <c r="AU74" i="11"/>
  <c r="AS74" i="11"/>
  <c r="AT74" i="11"/>
  <c r="AS94" i="11"/>
  <c r="AT94" i="11"/>
  <c r="AU94" i="11"/>
  <c r="AU138" i="11"/>
  <c r="AS138" i="11"/>
  <c r="AT138" i="11"/>
  <c r="AU90" i="11"/>
  <c r="AT90" i="11"/>
  <c r="AS90" i="11"/>
  <c r="AU76" i="11"/>
  <c r="AS76" i="11"/>
  <c r="AT76" i="11"/>
  <c r="AT133" i="11"/>
  <c r="AS133" i="11"/>
  <c r="AU133" i="11"/>
  <c r="AK137" i="11"/>
  <c r="AL137" i="11"/>
  <c r="AM137" i="11"/>
  <c r="AM135" i="11"/>
  <c r="AK135" i="11"/>
  <c r="AL135" i="11"/>
  <c r="AM88" i="11"/>
  <c r="AK88" i="11"/>
  <c r="AL88" i="11"/>
  <c r="AM78" i="11"/>
  <c r="AK78" i="11"/>
  <c r="AL78" i="11"/>
  <c r="AK131" i="11"/>
  <c r="AL131" i="11"/>
  <c r="AM131" i="11"/>
  <c r="AK124" i="11"/>
  <c r="AM124" i="11"/>
  <c r="AL124" i="11"/>
  <c r="AS70" i="11"/>
  <c r="AU70" i="11"/>
  <c r="AT70" i="11"/>
  <c r="AL147" i="11"/>
  <c r="AK147" i="11"/>
  <c r="AM147" i="11"/>
  <c r="AK110" i="11"/>
  <c r="AM110" i="11"/>
  <c r="AL110" i="11"/>
  <c r="AK104" i="11"/>
  <c r="AM104" i="11"/>
  <c r="AL104" i="11"/>
  <c r="AU109" i="11"/>
  <c r="AS109" i="11"/>
  <c r="AT109" i="11"/>
  <c r="AU105" i="11"/>
  <c r="AS105" i="11"/>
  <c r="AT105" i="11"/>
  <c r="AU81" i="11"/>
  <c r="AS81" i="11"/>
  <c r="AT81" i="11"/>
  <c r="AL116" i="11"/>
  <c r="AM116" i="11"/>
  <c r="AK116" i="11"/>
  <c r="AK149" i="11"/>
  <c r="AM149" i="11"/>
  <c r="AL149" i="11"/>
  <c r="AS120" i="11"/>
  <c r="AT120" i="11"/>
  <c r="AU120" i="11"/>
  <c r="AS86" i="11"/>
  <c r="AU86" i="11"/>
  <c r="AT86" i="11"/>
  <c r="AT116" i="11"/>
  <c r="AU116" i="11"/>
  <c r="AS116" i="11"/>
  <c r="AS84" i="11"/>
  <c r="AU84" i="11"/>
  <c r="AT84" i="11"/>
  <c r="AT108" i="11"/>
  <c r="AS108" i="11"/>
  <c r="AU108" i="11"/>
  <c r="AU87" i="11"/>
  <c r="AS87" i="11"/>
  <c r="AT87" i="11"/>
  <c r="AK76" i="11"/>
  <c r="AM76" i="11"/>
  <c r="AL76" i="11"/>
  <c r="AM72" i="11"/>
  <c r="AK72" i="11"/>
  <c r="AL72" i="11"/>
  <c r="AK109" i="11"/>
  <c r="AM109" i="11"/>
  <c r="AL109" i="11"/>
  <c r="AK118" i="11"/>
  <c r="AM118" i="11"/>
  <c r="AL118" i="11"/>
  <c r="AK114" i="11"/>
  <c r="AM114" i="11"/>
  <c r="AL114" i="11"/>
  <c r="AK69" i="11"/>
  <c r="AM69" i="11"/>
  <c r="AL69" i="11"/>
  <c r="AA163" i="10"/>
  <c r="AC162" i="10"/>
  <c r="O136" i="10"/>
  <c r="AF130" i="10"/>
  <c r="AH129" i="10"/>
  <c r="AG129" i="10"/>
  <c r="Q83" i="11"/>
  <c r="P83" i="11"/>
  <c r="O83" i="11"/>
  <c r="N83" i="11"/>
  <c r="M82" i="11"/>
  <c r="AA82" i="11" s="1"/>
  <c r="K82" i="11"/>
  <c r="L81" i="11"/>
  <c r="W81" i="11" s="1"/>
  <c r="X81" i="11" s="1"/>
  <c r="AE81" i="11" s="1"/>
  <c r="N139" i="10"/>
  <c r="F140" i="10"/>
  <c r="I139" i="10"/>
  <c r="I83" i="11"/>
  <c r="J81" i="11"/>
  <c r="AO124" i="10" l="1"/>
  <c r="AP124" i="10" s="1"/>
  <c r="AP125" i="10" s="1"/>
  <c r="AP126" i="10" s="1"/>
  <c r="AJ124" i="10"/>
  <c r="AG71" i="11"/>
  <c r="AH71" i="11"/>
  <c r="X7" i="11"/>
  <c r="W9" i="11"/>
  <c r="AA164" i="10"/>
  <c r="AC163" i="10"/>
  <c r="W7" i="11"/>
  <c r="Y9" i="11"/>
  <c r="Z9" i="11" s="1"/>
  <c r="AD72" i="11"/>
  <c r="AB73" i="11"/>
  <c r="X9" i="11"/>
  <c r="Y7" i="11"/>
  <c r="Z7" i="11" s="1"/>
  <c r="AF131" i="10"/>
  <c r="AH130" i="10"/>
  <c r="AG130" i="10"/>
  <c r="J82" i="11"/>
  <c r="I84" i="11"/>
  <c r="O84" i="11"/>
  <c r="N84" i="11"/>
  <c r="O137" i="10"/>
  <c r="N140" i="10"/>
  <c r="Q84" i="11"/>
  <c r="P84" i="11"/>
  <c r="F141" i="10"/>
  <c r="I140" i="10"/>
  <c r="L82" i="11"/>
  <c r="W82" i="11" s="1"/>
  <c r="X82" i="11" s="1"/>
  <c r="AE82" i="11" s="1"/>
  <c r="K83" i="11"/>
  <c r="M83" i="11"/>
  <c r="AA83" i="11" s="1"/>
  <c r="AN124" i="10" l="1"/>
  <c r="AQ124" i="10" s="1"/>
  <c r="AJ125" i="10"/>
  <c r="AD73" i="11"/>
  <c r="AB74" i="11"/>
  <c r="AH72" i="11"/>
  <c r="AI72" i="11"/>
  <c r="AG72" i="11"/>
  <c r="AB9" i="11"/>
  <c r="AC9" i="11"/>
  <c r="AA9" i="11"/>
  <c r="AA165" i="10"/>
  <c r="AC164" i="10"/>
  <c r="AP127" i="10"/>
  <c r="F142" i="10"/>
  <c r="I141" i="10"/>
  <c r="I85" i="11"/>
  <c r="J83" i="11"/>
  <c r="M84" i="11"/>
  <c r="AA84" i="11" s="1"/>
  <c r="L83" i="11"/>
  <c r="W83" i="11" s="1"/>
  <c r="X83" i="11" s="1"/>
  <c r="AE83" i="11" s="1"/>
  <c r="K84" i="11"/>
  <c r="O85" i="11"/>
  <c r="N85" i="11"/>
  <c r="N141" i="10"/>
  <c r="AF132" i="10"/>
  <c r="AG131" i="10"/>
  <c r="AH131" i="10"/>
  <c r="Q85" i="11"/>
  <c r="P85" i="11"/>
  <c r="O138" i="10"/>
  <c r="AN125" i="10" l="1"/>
  <c r="AJ126" i="10"/>
  <c r="AR124" i="10"/>
  <c r="AA166" i="10"/>
  <c r="AC165" i="10"/>
  <c r="AB75" i="11"/>
  <c r="AD74" i="11"/>
  <c r="AI73" i="11"/>
  <c r="AG73" i="11"/>
  <c r="AH73" i="11"/>
  <c r="P86" i="11"/>
  <c r="Q86" i="11"/>
  <c r="J84" i="11"/>
  <c r="I86" i="11"/>
  <c r="N86" i="11"/>
  <c r="O86" i="11"/>
  <c r="AF133" i="10"/>
  <c r="AH132" i="10"/>
  <c r="AG132" i="10"/>
  <c r="M85" i="11"/>
  <c r="AA85" i="11" s="1"/>
  <c r="L84" i="11"/>
  <c r="W84" i="11" s="1"/>
  <c r="X84" i="11" s="1"/>
  <c r="AE84" i="11" s="1"/>
  <c r="K85" i="11"/>
  <c r="AP128" i="10"/>
  <c r="O139" i="10"/>
  <c r="F143" i="10"/>
  <c r="I142" i="10"/>
  <c r="N142" i="10"/>
  <c r="AN126" i="10" l="1"/>
  <c r="AJ127" i="10"/>
  <c r="AR125" i="10"/>
  <c r="AQ125" i="10"/>
  <c r="AG74" i="11"/>
  <c r="AI74" i="11"/>
  <c r="AH74" i="11"/>
  <c r="AB76" i="11"/>
  <c r="AD75" i="11"/>
  <c r="AC166" i="10"/>
  <c r="AA167" i="10"/>
  <c r="AF134" i="10"/>
  <c r="AG133" i="10"/>
  <c r="AH133" i="10"/>
  <c r="O87" i="11"/>
  <c r="N87" i="11"/>
  <c r="N143" i="10"/>
  <c r="I87" i="11"/>
  <c r="J85" i="11"/>
  <c r="AP129" i="10"/>
  <c r="Q87" i="11"/>
  <c r="P87" i="11"/>
  <c r="M86" i="11"/>
  <c r="AA86" i="11" s="1"/>
  <c r="K86" i="11"/>
  <c r="L85" i="11"/>
  <c r="W85" i="11" s="1"/>
  <c r="X85" i="11" s="1"/>
  <c r="AE85" i="11" s="1"/>
  <c r="F144" i="10"/>
  <c r="I143" i="10"/>
  <c r="O140" i="10"/>
  <c r="AN127" i="10" l="1"/>
  <c r="AJ128" i="10"/>
  <c r="AQ126" i="10"/>
  <c r="AR126" i="10"/>
  <c r="AA168" i="10"/>
  <c r="AC167" i="10"/>
  <c r="AI75" i="11"/>
  <c r="AG75" i="11"/>
  <c r="AH75" i="11"/>
  <c r="AB77" i="11"/>
  <c r="AD76" i="11"/>
  <c r="J86" i="11"/>
  <c r="I88" i="11"/>
  <c r="F145" i="10"/>
  <c r="I144" i="10"/>
  <c r="N144" i="10"/>
  <c r="M87" i="11"/>
  <c r="AA87" i="11" s="1"/>
  <c r="L86" i="11"/>
  <c r="W86" i="11" s="1"/>
  <c r="X86" i="11" s="1"/>
  <c r="AE86" i="11" s="1"/>
  <c r="K87" i="11"/>
  <c r="Q88" i="11"/>
  <c r="P88" i="11"/>
  <c r="O88" i="11"/>
  <c r="N88" i="11"/>
  <c r="AP130" i="10"/>
  <c r="AF135" i="10"/>
  <c r="AH134" i="10"/>
  <c r="AG134" i="10"/>
  <c r="O141" i="10"/>
  <c r="AJ129" i="10" l="1"/>
  <c r="AN128" i="10"/>
  <c r="AQ127" i="10"/>
  <c r="AR127" i="10"/>
  <c r="AG76" i="11"/>
  <c r="AI76" i="11"/>
  <c r="AH76" i="11"/>
  <c r="AB78" i="11"/>
  <c r="AD77" i="11"/>
  <c r="AC168" i="10"/>
  <c r="AA169" i="10"/>
  <c r="O142" i="10"/>
  <c r="F146" i="10"/>
  <c r="I145" i="10"/>
  <c r="AF136" i="10"/>
  <c r="AH135" i="10"/>
  <c r="AG135" i="10"/>
  <c r="AP131" i="10"/>
  <c r="O89" i="11"/>
  <c r="N89" i="11"/>
  <c r="N145" i="10"/>
  <c r="K88" i="11"/>
  <c r="M88" i="11"/>
  <c r="AA88" i="11" s="1"/>
  <c r="L87" i="11"/>
  <c r="W87" i="11" s="1"/>
  <c r="X87" i="11" s="1"/>
  <c r="AE87" i="11" s="1"/>
  <c r="J87" i="11"/>
  <c r="I89" i="11"/>
  <c r="Q89" i="11"/>
  <c r="P89" i="11"/>
  <c r="AR128" i="10" l="1"/>
  <c r="AQ128" i="10"/>
  <c r="AN129" i="10"/>
  <c r="AJ130" i="10"/>
  <c r="AC169" i="10"/>
  <c r="AA170" i="10"/>
  <c r="AI77" i="11"/>
  <c r="AH77" i="11"/>
  <c r="AG77" i="11"/>
  <c r="AB79" i="11"/>
  <c r="AD78" i="11"/>
  <c r="P90" i="11"/>
  <c r="Q90" i="11"/>
  <c r="F147" i="10"/>
  <c r="I146" i="10"/>
  <c r="AP132" i="10"/>
  <c r="M89" i="11"/>
  <c r="AA89" i="11" s="1"/>
  <c r="L88" i="11"/>
  <c r="W88" i="11" s="1"/>
  <c r="X88" i="11" s="1"/>
  <c r="AE88" i="11" s="1"/>
  <c r="K89" i="11"/>
  <c r="N146" i="10"/>
  <c r="N90" i="11"/>
  <c r="O90" i="11"/>
  <c r="I90" i="11"/>
  <c r="J88" i="11"/>
  <c r="O143" i="10"/>
  <c r="AF137" i="10"/>
  <c r="AG136" i="10"/>
  <c r="AH136" i="10"/>
  <c r="AJ131" i="10" l="1"/>
  <c r="AN130" i="10"/>
  <c r="AQ129" i="10"/>
  <c r="AR129" i="10"/>
  <c r="AG78" i="11"/>
  <c r="W6" i="11" s="1"/>
  <c r="AH78" i="11"/>
  <c r="X6" i="11" s="1"/>
  <c r="AI78" i="11"/>
  <c r="Y6" i="11" s="1"/>
  <c r="Z6" i="11" s="1"/>
  <c r="AB80" i="11"/>
  <c r="AD79" i="11"/>
  <c r="AC170" i="10"/>
  <c r="AA171" i="10"/>
  <c r="J89" i="11"/>
  <c r="I91" i="11"/>
  <c r="AP133" i="10"/>
  <c r="AF138" i="10"/>
  <c r="AG137" i="10"/>
  <c r="AH137" i="10"/>
  <c r="O91" i="11"/>
  <c r="N91" i="11"/>
  <c r="F148" i="10"/>
  <c r="I147" i="10"/>
  <c r="K90" i="11"/>
  <c r="L89" i="11"/>
  <c r="W89" i="11" s="1"/>
  <c r="X89" i="11" s="1"/>
  <c r="AE89" i="11" s="1"/>
  <c r="M90" i="11"/>
  <c r="AA90" i="11" s="1"/>
  <c r="Q91" i="11"/>
  <c r="P91" i="11"/>
  <c r="O144" i="10"/>
  <c r="N147" i="10"/>
  <c r="AQ130" i="10" l="1"/>
  <c r="AR130" i="10"/>
  <c r="AN131" i="10"/>
  <c r="AJ132" i="10"/>
  <c r="AA6" i="11"/>
  <c r="AB6" i="11"/>
  <c r="AC6" i="11"/>
  <c r="AC171" i="10"/>
  <c r="AA172" i="10"/>
  <c r="AD80" i="11"/>
  <c r="AB81" i="11"/>
  <c r="J90" i="11"/>
  <c r="I92" i="11"/>
  <c r="O145" i="10"/>
  <c r="M91" i="11"/>
  <c r="AA91" i="11" s="1"/>
  <c r="K91" i="11"/>
  <c r="L90" i="11"/>
  <c r="W90" i="11" s="1"/>
  <c r="X90" i="11" s="1"/>
  <c r="AE90" i="11" s="1"/>
  <c r="N148" i="10"/>
  <c r="AF139" i="10"/>
  <c r="AG138" i="10"/>
  <c r="AH138" i="10"/>
  <c r="F149" i="10"/>
  <c r="I148" i="10"/>
  <c r="AP134" i="10"/>
  <c r="Q92" i="11"/>
  <c r="P92" i="11"/>
  <c r="N92" i="11"/>
  <c r="O92" i="11"/>
  <c r="AN132" i="10" l="1"/>
  <c r="AJ133" i="10"/>
  <c r="AQ131" i="10"/>
  <c r="AR131" i="10"/>
  <c r="AD81" i="11"/>
  <c r="AB82" i="11"/>
  <c r="AA173" i="10"/>
  <c r="AC172" i="10"/>
  <c r="AF140" i="10"/>
  <c r="AH139" i="10"/>
  <c r="AG139" i="10"/>
  <c r="P93" i="11"/>
  <c r="Q93" i="11"/>
  <c r="M92" i="11"/>
  <c r="AA92" i="11" s="1"/>
  <c r="K92" i="11"/>
  <c r="L91" i="11"/>
  <c r="W91" i="11" s="1"/>
  <c r="X91" i="11" s="1"/>
  <c r="AE91" i="11" s="1"/>
  <c r="AP135" i="10"/>
  <c r="F150" i="10"/>
  <c r="I149" i="10"/>
  <c r="O146" i="10"/>
  <c r="N93" i="11"/>
  <c r="O93" i="11"/>
  <c r="I93" i="11"/>
  <c r="J91" i="11"/>
  <c r="N149" i="10"/>
  <c r="AJ134" i="10" l="1"/>
  <c r="AN133" i="10"/>
  <c r="AR132" i="10"/>
  <c r="AQ132" i="10"/>
  <c r="AA174" i="10"/>
  <c r="AC173" i="10"/>
  <c r="AD82" i="11"/>
  <c r="AB83" i="11"/>
  <c r="N94" i="11"/>
  <c r="O94" i="11"/>
  <c r="O147" i="10"/>
  <c r="P94" i="11"/>
  <c r="Q94" i="11"/>
  <c r="N150" i="10"/>
  <c r="F151" i="10"/>
  <c r="I150" i="10"/>
  <c r="AF141" i="10"/>
  <c r="AG140" i="10"/>
  <c r="AH140" i="10"/>
  <c r="I94" i="11"/>
  <c r="J92" i="11"/>
  <c r="AP136" i="10"/>
  <c r="L92" i="11"/>
  <c r="W92" i="11" s="1"/>
  <c r="X92" i="11" s="1"/>
  <c r="AE92" i="11" s="1"/>
  <c r="M93" i="11"/>
  <c r="AA93" i="11" s="1"/>
  <c r="K93" i="11"/>
  <c r="AJ135" i="10" l="1"/>
  <c r="AN134" i="10"/>
  <c r="AQ133" i="10"/>
  <c r="AR133" i="10"/>
  <c r="AB84" i="11"/>
  <c r="AD83" i="11"/>
  <c r="AA175" i="10"/>
  <c r="AC174" i="10"/>
  <c r="K94" i="11"/>
  <c r="M94" i="11"/>
  <c r="AA94" i="11" s="1"/>
  <c r="L93" i="11"/>
  <c r="W93" i="11" s="1"/>
  <c r="X93" i="11" s="1"/>
  <c r="AE93" i="11" s="1"/>
  <c r="AF142" i="10"/>
  <c r="AG141" i="10"/>
  <c r="AH141" i="10"/>
  <c r="O148" i="10"/>
  <c r="F152" i="10"/>
  <c r="I151" i="10"/>
  <c r="O95" i="11"/>
  <c r="N95" i="11"/>
  <c r="N151" i="10"/>
  <c r="I95" i="11"/>
  <c r="J93" i="11"/>
  <c r="AP137" i="10"/>
  <c r="P95" i="11"/>
  <c r="Q95" i="11"/>
  <c r="AQ134" i="10" l="1"/>
  <c r="AR134" i="10"/>
  <c r="AJ136" i="10"/>
  <c r="AN135" i="10"/>
  <c r="AD84" i="11"/>
  <c r="AB85" i="11"/>
  <c r="AC175" i="10"/>
  <c r="AA176" i="10"/>
  <c r="P96" i="11"/>
  <c r="Q96" i="11"/>
  <c r="AF143" i="10"/>
  <c r="AG142" i="10"/>
  <c r="AH142" i="10"/>
  <c r="O96" i="11"/>
  <c r="N96" i="11"/>
  <c r="F153" i="10"/>
  <c r="I152" i="10"/>
  <c r="N152" i="10"/>
  <c r="O149" i="10"/>
  <c r="AP138" i="10"/>
  <c r="M95" i="11"/>
  <c r="AA95" i="11" s="1"/>
  <c r="K95" i="11"/>
  <c r="L94" i="11"/>
  <c r="W94" i="11" s="1"/>
  <c r="X94" i="11" s="1"/>
  <c r="AE94" i="11" s="1"/>
  <c r="J94" i="11"/>
  <c r="I96" i="11"/>
  <c r="AQ135" i="10" l="1"/>
  <c r="AR135" i="10"/>
  <c r="AJ137" i="10"/>
  <c r="AN136" i="10"/>
  <c r="AA177" i="10"/>
  <c r="AC176" i="10"/>
  <c r="AB86" i="11"/>
  <c r="AD85" i="11"/>
  <c r="N97" i="11"/>
  <c r="O97" i="11"/>
  <c r="O150" i="10"/>
  <c r="I97" i="11"/>
  <c r="J95" i="11"/>
  <c r="AF144" i="10"/>
  <c r="AH143" i="10"/>
  <c r="AG143" i="10"/>
  <c r="P97" i="11"/>
  <c r="Q97" i="11"/>
  <c r="K96" i="11"/>
  <c r="L95" i="11"/>
  <c r="W95" i="11" s="1"/>
  <c r="X95" i="11" s="1"/>
  <c r="AE95" i="11" s="1"/>
  <c r="M96" i="11"/>
  <c r="AA96" i="11" s="1"/>
  <c r="F154" i="10"/>
  <c r="I153" i="10"/>
  <c r="N153" i="10"/>
  <c r="AP139" i="10"/>
  <c r="AJ138" i="10" l="1"/>
  <c r="AN137" i="10"/>
  <c r="AQ136" i="10"/>
  <c r="AR136" i="10"/>
  <c r="AB87" i="11"/>
  <c r="AD86" i="11"/>
  <c r="AA178" i="10"/>
  <c r="AC177" i="10"/>
  <c r="F155" i="10"/>
  <c r="I154" i="10"/>
  <c r="L96" i="11"/>
  <c r="W96" i="11" s="1"/>
  <c r="X96" i="11" s="1"/>
  <c r="AE96" i="11" s="1"/>
  <c r="M97" i="11"/>
  <c r="AA97" i="11" s="1"/>
  <c r="K97" i="11"/>
  <c r="O98" i="11"/>
  <c r="N98" i="11"/>
  <c r="AP140" i="10"/>
  <c r="N154" i="10"/>
  <c r="AF145" i="10"/>
  <c r="AG144" i="10"/>
  <c r="AH144" i="10"/>
  <c r="O151" i="10"/>
  <c r="Q98" i="11"/>
  <c r="P98" i="11"/>
  <c r="J96" i="11"/>
  <c r="I98" i="11"/>
  <c r="AR137" i="10" l="1"/>
  <c r="AQ137" i="10"/>
  <c r="AN138" i="10"/>
  <c r="AJ139" i="10"/>
  <c r="AC178" i="10"/>
  <c r="AA179" i="10"/>
  <c r="AB88" i="11"/>
  <c r="AD87" i="11"/>
  <c r="N99" i="11"/>
  <c r="O99" i="11"/>
  <c r="J97" i="11"/>
  <c r="I99" i="11"/>
  <c r="AF146" i="10"/>
  <c r="AH145" i="10"/>
  <c r="AG145" i="10"/>
  <c r="Q99" i="11"/>
  <c r="P99" i="11"/>
  <c r="N155" i="10"/>
  <c r="L97" i="11"/>
  <c r="W97" i="11" s="1"/>
  <c r="X97" i="11" s="1"/>
  <c r="AE97" i="11" s="1"/>
  <c r="M98" i="11"/>
  <c r="AA98" i="11" s="1"/>
  <c r="K98" i="11"/>
  <c r="F156" i="10"/>
  <c r="I155" i="10"/>
  <c r="AA190" i="10"/>
  <c r="O152" i="10"/>
  <c r="AP141" i="10"/>
  <c r="AN139" i="10" l="1"/>
  <c r="AJ140" i="10"/>
  <c r="AR138" i="10"/>
  <c r="AQ138" i="10"/>
  <c r="AD88" i="11"/>
  <c r="AB89" i="11"/>
  <c r="AC179" i="10"/>
  <c r="AA180" i="10"/>
  <c r="P100" i="11"/>
  <c r="Q100" i="11"/>
  <c r="F157" i="10"/>
  <c r="I156" i="10"/>
  <c r="M99" i="11"/>
  <c r="AA99" i="11" s="1"/>
  <c r="K99" i="11"/>
  <c r="L98" i="11"/>
  <c r="W98" i="11" s="1"/>
  <c r="X98" i="11" s="1"/>
  <c r="AE98" i="11" s="1"/>
  <c r="AP142" i="10"/>
  <c r="J98" i="11"/>
  <c r="I100" i="11"/>
  <c r="N100" i="11"/>
  <c r="O100" i="11"/>
  <c r="O153" i="10"/>
  <c r="AA191" i="10"/>
  <c r="AC190" i="10"/>
  <c r="N156" i="10"/>
  <c r="AF147" i="10"/>
  <c r="AG146" i="10"/>
  <c r="AH146" i="10"/>
  <c r="AJ141" i="10" l="1"/>
  <c r="AN140" i="10"/>
  <c r="AQ139" i="10"/>
  <c r="AR139" i="10"/>
  <c r="AB90" i="11"/>
  <c r="AD89" i="11"/>
  <c r="AA181" i="10"/>
  <c r="AC180" i="10"/>
  <c r="L99" i="11"/>
  <c r="W99" i="11" s="1"/>
  <c r="X99" i="11" s="1"/>
  <c r="AE99" i="11" s="1"/>
  <c r="M100" i="11"/>
  <c r="AA100" i="11" s="1"/>
  <c r="K100" i="11"/>
  <c r="O154" i="10"/>
  <c r="N101" i="11"/>
  <c r="O101" i="11"/>
  <c r="I101" i="11"/>
  <c r="J99" i="11"/>
  <c r="AV99" i="11" s="1"/>
  <c r="AP143" i="10"/>
  <c r="AF148" i="10"/>
  <c r="AH147" i="10"/>
  <c r="AG147" i="10"/>
  <c r="N157" i="10"/>
  <c r="F158" i="10"/>
  <c r="I157" i="10"/>
  <c r="P101" i="11"/>
  <c r="Q101" i="11"/>
  <c r="AA192" i="10"/>
  <c r="AC191" i="10"/>
  <c r="AJ142" i="10" l="1"/>
  <c r="AN141" i="10"/>
  <c r="AR140" i="10"/>
  <c r="AQ140" i="10"/>
  <c r="AA182" i="10"/>
  <c r="AC181" i="10"/>
  <c r="AB91" i="11"/>
  <c r="AD90" i="11"/>
  <c r="N102" i="11"/>
  <c r="O102" i="11"/>
  <c r="AF149" i="10"/>
  <c r="AG148" i="10"/>
  <c r="AH148" i="10"/>
  <c r="AP144" i="10"/>
  <c r="Q102" i="11"/>
  <c r="P102" i="11"/>
  <c r="J100" i="11"/>
  <c r="I102" i="11"/>
  <c r="F159" i="10"/>
  <c r="I158" i="10"/>
  <c r="N158" i="10"/>
  <c r="O155" i="10"/>
  <c r="M101" i="11"/>
  <c r="AA101" i="11" s="1"/>
  <c r="K101" i="11"/>
  <c r="L100" i="11"/>
  <c r="W100" i="11" s="1"/>
  <c r="X100" i="11" s="1"/>
  <c r="AE100" i="11" s="1"/>
  <c r="AA193" i="10"/>
  <c r="AC192" i="10"/>
  <c r="AQ141" i="10" l="1"/>
  <c r="AR141" i="10"/>
  <c r="AJ143" i="10"/>
  <c r="AN142" i="10"/>
  <c r="AB92" i="11"/>
  <c r="AD91" i="11"/>
  <c r="AA183" i="10"/>
  <c r="AC182" i="10"/>
  <c r="N159" i="10"/>
  <c r="AA194" i="10"/>
  <c r="AC193" i="10"/>
  <c r="I103" i="11"/>
  <c r="J101" i="11"/>
  <c r="O156" i="10"/>
  <c r="AF150" i="10"/>
  <c r="AH149" i="10"/>
  <c r="AG149" i="10"/>
  <c r="L101" i="11"/>
  <c r="W101" i="11" s="1"/>
  <c r="X101" i="11" s="1"/>
  <c r="AE101" i="11" s="1"/>
  <c r="M102" i="11"/>
  <c r="AA102" i="11" s="1"/>
  <c r="K102" i="11"/>
  <c r="F160" i="10"/>
  <c r="I159" i="10"/>
  <c r="O103" i="11"/>
  <c r="N103" i="11"/>
  <c r="P103" i="11"/>
  <c r="Q103" i="11"/>
  <c r="AP145" i="10"/>
  <c r="AR142" i="10" l="1"/>
  <c r="AQ142" i="10"/>
  <c r="AN143" i="10"/>
  <c r="AJ144" i="10"/>
  <c r="AC183" i="10"/>
  <c r="AA184" i="10"/>
  <c r="AB93" i="11"/>
  <c r="AD92" i="11"/>
  <c r="AP146" i="10"/>
  <c r="Q104" i="11"/>
  <c r="P104" i="11"/>
  <c r="O157" i="10"/>
  <c r="L102" i="11"/>
  <c r="W102" i="11" s="1"/>
  <c r="X102" i="11" s="1"/>
  <c r="AE102" i="11" s="1"/>
  <c r="M103" i="11"/>
  <c r="AA103" i="11" s="1"/>
  <c r="K103" i="11"/>
  <c r="AF151" i="10"/>
  <c r="AH150" i="10"/>
  <c r="AG150" i="10"/>
  <c r="O104" i="11"/>
  <c r="N104" i="11"/>
  <c r="N160" i="10"/>
  <c r="F161" i="10"/>
  <c r="I160" i="10"/>
  <c r="I104" i="11"/>
  <c r="J102" i="11"/>
  <c r="AA195" i="10"/>
  <c r="AC194" i="10"/>
  <c r="AN144" i="10" l="1"/>
  <c r="AJ145" i="10"/>
  <c r="AQ143" i="10"/>
  <c r="AR143" i="10"/>
  <c r="AA185" i="10"/>
  <c r="AC184" i="10"/>
  <c r="AD93" i="11"/>
  <c r="AB94" i="11"/>
  <c r="AA196" i="10"/>
  <c r="AC195" i="10"/>
  <c r="AP147" i="10"/>
  <c r="AF152" i="10"/>
  <c r="AH151" i="10"/>
  <c r="AG151" i="10"/>
  <c r="M104" i="11"/>
  <c r="AA104" i="11" s="1"/>
  <c r="K104" i="11"/>
  <c r="L103" i="11"/>
  <c r="W103" i="11" s="1"/>
  <c r="X103" i="11" s="1"/>
  <c r="AE103" i="11" s="1"/>
  <c r="N161" i="10"/>
  <c r="O105" i="11"/>
  <c r="N105" i="11"/>
  <c r="Q105" i="11"/>
  <c r="P105" i="11"/>
  <c r="I105" i="11"/>
  <c r="J103" i="11"/>
  <c r="F162" i="10"/>
  <c r="I161" i="10"/>
  <c r="O158" i="10"/>
  <c r="AJ146" i="10" l="1"/>
  <c r="AN145" i="10"/>
  <c r="AR144" i="10"/>
  <c r="AQ144" i="10"/>
  <c r="AB95" i="11"/>
  <c r="AD94" i="11"/>
  <c r="AA186" i="10"/>
  <c r="AC185" i="10"/>
  <c r="AP148" i="10"/>
  <c r="AA197" i="10"/>
  <c r="AC196" i="10"/>
  <c r="K105" i="11"/>
  <c r="M105" i="11"/>
  <c r="AA105" i="11" s="1"/>
  <c r="L104" i="11"/>
  <c r="W104" i="11" s="1"/>
  <c r="X104" i="11" s="1"/>
  <c r="AE104" i="11" s="1"/>
  <c r="I106" i="11"/>
  <c r="J104" i="11"/>
  <c r="Q106" i="11"/>
  <c r="P106" i="11"/>
  <c r="N106" i="11"/>
  <c r="O106" i="11"/>
  <c r="O159" i="10"/>
  <c r="N162" i="10"/>
  <c r="F163" i="10"/>
  <c r="I162" i="10"/>
  <c r="AF153" i="10"/>
  <c r="AG152" i="10"/>
  <c r="AH152" i="10"/>
  <c r="AQ145" i="10" l="1"/>
  <c r="AR145" i="10"/>
  <c r="AN146" i="10"/>
  <c r="AJ147" i="10"/>
  <c r="AA187" i="10"/>
  <c r="AC186" i="10"/>
  <c r="AD95" i="11"/>
  <c r="AB96" i="11"/>
  <c r="O160" i="10"/>
  <c r="AP149" i="10"/>
  <c r="N107" i="11"/>
  <c r="O107" i="11"/>
  <c r="Q107" i="11"/>
  <c r="P107" i="11"/>
  <c r="F164" i="10"/>
  <c r="I163" i="10"/>
  <c r="I107" i="11"/>
  <c r="J105" i="11"/>
  <c r="N163" i="10"/>
  <c r="M106" i="11"/>
  <c r="AA106" i="11" s="1"/>
  <c r="K106" i="11"/>
  <c r="L105" i="11"/>
  <c r="W105" i="11" s="1"/>
  <c r="X105" i="11" s="1"/>
  <c r="AE105" i="11" s="1"/>
  <c r="AA198" i="10"/>
  <c r="AC197" i="10"/>
  <c r="AF154" i="10"/>
  <c r="AH153" i="10"/>
  <c r="AG153" i="10"/>
  <c r="AN147" i="10" l="1"/>
  <c r="AJ148" i="10"/>
  <c r="AQ146" i="10"/>
  <c r="AR146" i="10"/>
  <c r="AB97" i="11"/>
  <c r="AD96" i="11"/>
  <c r="AA188" i="10"/>
  <c r="AC187" i="10"/>
  <c r="J106" i="11"/>
  <c r="I108" i="11"/>
  <c r="AF155" i="10"/>
  <c r="AG154" i="10"/>
  <c r="AH154" i="10"/>
  <c r="O161" i="10"/>
  <c r="N108" i="11"/>
  <c r="O108" i="11"/>
  <c r="N164" i="10"/>
  <c r="AP150" i="10"/>
  <c r="F165" i="10"/>
  <c r="I164" i="10"/>
  <c r="Q108" i="11"/>
  <c r="P108" i="11"/>
  <c r="AA199" i="10"/>
  <c r="AC198" i="10"/>
  <c r="M107" i="11"/>
  <c r="AA107" i="11" s="1"/>
  <c r="K107" i="11"/>
  <c r="L106" i="11"/>
  <c r="W106" i="11" s="1"/>
  <c r="X106" i="11" s="1"/>
  <c r="AE106" i="11" s="1"/>
  <c r="AN148" i="10" l="1"/>
  <c r="AJ149" i="10"/>
  <c r="AQ147" i="10"/>
  <c r="AR147" i="10"/>
  <c r="AA189" i="10"/>
  <c r="AC189" i="10" s="1"/>
  <c r="AC188" i="10"/>
  <c r="AD97" i="11"/>
  <c r="AB98" i="11"/>
  <c r="F166" i="10"/>
  <c r="I165" i="10"/>
  <c r="AP151" i="10"/>
  <c r="N165" i="10"/>
  <c r="K108" i="11"/>
  <c r="M108" i="11"/>
  <c r="AA108" i="11" s="1"/>
  <c r="L107" i="11"/>
  <c r="W107" i="11" s="1"/>
  <c r="X107" i="11" s="1"/>
  <c r="AE107" i="11" s="1"/>
  <c r="O109" i="11"/>
  <c r="N109" i="11"/>
  <c r="AF156" i="10"/>
  <c r="AG155" i="10"/>
  <c r="AH155" i="10"/>
  <c r="J107" i="11"/>
  <c r="I109" i="11"/>
  <c r="O162" i="10"/>
  <c r="AA200" i="10"/>
  <c r="AC199" i="10"/>
  <c r="P109" i="11"/>
  <c r="Q109" i="11"/>
  <c r="AJ150" i="10" l="1"/>
  <c r="AN149" i="10"/>
  <c r="AQ148" i="10"/>
  <c r="AR148" i="10"/>
  <c r="AB99" i="11"/>
  <c r="AD98" i="11"/>
  <c r="AF157" i="10"/>
  <c r="AG156" i="10"/>
  <c r="AH156" i="10"/>
  <c r="Q110" i="11"/>
  <c r="P110" i="11"/>
  <c r="O163" i="10"/>
  <c r="N166" i="10"/>
  <c r="N110" i="11"/>
  <c r="O110" i="11"/>
  <c r="J108" i="11"/>
  <c r="I110" i="11"/>
  <c r="AP152" i="10"/>
  <c r="AA201" i="10"/>
  <c r="AC201" i="10" s="1"/>
  <c r="AC200" i="10"/>
  <c r="F167" i="10"/>
  <c r="I166" i="10"/>
  <c r="M109" i="11"/>
  <c r="AA109" i="11" s="1"/>
  <c r="L108" i="11"/>
  <c r="W108" i="11" s="1"/>
  <c r="X108" i="11" s="1"/>
  <c r="AE108" i="11" s="1"/>
  <c r="K109" i="11"/>
  <c r="AR149" i="10" l="1"/>
  <c r="AQ149" i="10"/>
  <c r="AJ151" i="10"/>
  <c r="AN150" i="10"/>
  <c r="AB100" i="11"/>
  <c r="AD99" i="11"/>
  <c r="AP153" i="10"/>
  <c r="F168" i="10"/>
  <c r="I167" i="10"/>
  <c r="J109" i="11"/>
  <c r="I111" i="11"/>
  <c r="O164" i="10"/>
  <c r="Q111" i="11"/>
  <c r="P111" i="11"/>
  <c r="M110" i="11"/>
  <c r="AA110" i="11" s="1"/>
  <c r="L109" i="11"/>
  <c r="W109" i="11" s="1"/>
  <c r="X109" i="11" s="1"/>
  <c r="AE109" i="11" s="1"/>
  <c r="K110" i="11"/>
  <c r="O111" i="11"/>
  <c r="N111" i="11"/>
  <c r="N167" i="10"/>
  <c r="AF158" i="10"/>
  <c r="AH157" i="10"/>
  <c r="AG157" i="10"/>
  <c r="AQ150" i="10" l="1"/>
  <c r="AR150" i="10"/>
  <c r="AJ152" i="10"/>
  <c r="AN151" i="10"/>
  <c r="AD100" i="11"/>
  <c r="AB101" i="11"/>
  <c r="AW99" i="11"/>
  <c r="AY99" i="11"/>
  <c r="AX99" i="11"/>
  <c r="AP154" i="10"/>
  <c r="N168" i="10"/>
  <c r="O165" i="10"/>
  <c r="I112" i="11"/>
  <c r="J110" i="11"/>
  <c r="O112" i="11"/>
  <c r="N112" i="11"/>
  <c r="M111" i="11"/>
  <c r="AA111" i="11" s="1"/>
  <c r="L110" i="11"/>
  <c r="W110" i="11" s="1"/>
  <c r="X110" i="11" s="1"/>
  <c r="AE110" i="11" s="1"/>
  <c r="K111" i="11"/>
  <c r="F169" i="10"/>
  <c r="I168" i="10"/>
  <c r="AF159" i="10"/>
  <c r="AH158" i="10"/>
  <c r="AG158" i="10"/>
  <c r="P112" i="11"/>
  <c r="Q112" i="11"/>
  <c r="AQ151" i="10" l="1"/>
  <c r="AR151" i="10"/>
  <c r="AN152" i="10"/>
  <c r="AJ153" i="10"/>
  <c r="AB102" i="11"/>
  <c r="AD101" i="11"/>
  <c r="O113" i="11"/>
  <c r="N113" i="11"/>
  <c r="N169" i="10"/>
  <c r="AP155" i="10"/>
  <c r="O166" i="10"/>
  <c r="Q113" i="11"/>
  <c r="P113" i="11"/>
  <c r="I113" i="11"/>
  <c r="J111" i="11"/>
  <c r="AV111" i="11" s="1"/>
  <c r="AF160" i="10"/>
  <c r="AG159" i="10"/>
  <c r="AH159" i="10"/>
  <c r="F170" i="10"/>
  <c r="I169" i="10"/>
  <c r="K112" i="11"/>
  <c r="L111" i="11"/>
  <c r="W111" i="11" s="1"/>
  <c r="X111" i="11" s="1"/>
  <c r="AE111" i="11" s="1"/>
  <c r="M112" i="11"/>
  <c r="AA112" i="11" s="1"/>
  <c r="AJ154" i="10" l="1"/>
  <c r="AN153" i="10"/>
  <c r="AQ152" i="10"/>
  <c r="AR152" i="10"/>
  <c r="AD102" i="11"/>
  <c r="AB103" i="11"/>
  <c r="O167" i="10"/>
  <c r="F171" i="10"/>
  <c r="I170" i="10"/>
  <c r="AF161" i="10"/>
  <c r="AH160" i="10"/>
  <c r="AG160" i="10"/>
  <c r="M113" i="11"/>
  <c r="AA113" i="11" s="1"/>
  <c r="K113" i="11"/>
  <c r="L112" i="11"/>
  <c r="W112" i="11" s="1"/>
  <c r="X112" i="11" s="1"/>
  <c r="AE112" i="11" s="1"/>
  <c r="V10" i="11"/>
  <c r="AP156" i="10"/>
  <c r="J112" i="11"/>
  <c r="I114" i="11"/>
  <c r="N170" i="10"/>
  <c r="Q114" i="11"/>
  <c r="P114" i="11"/>
  <c r="N114" i="11"/>
  <c r="O114" i="11"/>
  <c r="AR153" i="10" l="1"/>
  <c r="AQ153" i="10"/>
  <c r="AJ155" i="10"/>
  <c r="AN154" i="10"/>
  <c r="AB104" i="11"/>
  <c r="AD103" i="11"/>
  <c r="O168" i="10"/>
  <c r="I115" i="11"/>
  <c r="J113" i="11"/>
  <c r="N171" i="10"/>
  <c r="M114" i="11"/>
  <c r="AA114" i="11" s="1"/>
  <c r="L113" i="11"/>
  <c r="W113" i="11" s="1"/>
  <c r="X113" i="11" s="1"/>
  <c r="AE113" i="11" s="1"/>
  <c r="K114" i="11"/>
  <c r="AF162" i="10"/>
  <c r="AH161" i="10"/>
  <c r="AG161" i="10"/>
  <c r="Q115" i="11"/>
  <c r="P115" i="11"/>
  <c r="F172" i="10"/>
  <c r="I171" i="10"/>
  <c r="O115" i="11"/>
  <c r="N115" i="11"/>
  <c r="AP157" i="10"/>
  <c r="AQ154" i="10" l="1"/>
  <c r="AR154" i="10"/>
  <c r="AJ156" i="10"/>
  <c r="AN155" i="10"/>
  <c r="AB105" i="11"/>
  <c r="AD104" i="11"/>
  <c r="O116" i="11"/>
  <c r="N116" i="11"/>
  <c r="N172" i="10"/>
  <c r="J114" i="11"/>
  <c r="I116" i="11"/>
  <c r="F173" i="10"/>
  <c r="I172" i="10"/>
  <c r="Q116" i="11"/>
  <c r="P116" i="11"/>
  <c r="AF163" i="10"/>
  <c r="AH162" i="10"/>
  <c r="AG162" i="10"/>
  <c r="K115" i="11"/>
  <c r="L114" i="11"/>
  <c r="W114" i="11" s="1"/>
  <c r="X114" i="11" s="1"/>
  <c r="AE114" i="11" s="1"/>
  <c r="M115" i="11"/>
  <c r="AA115" i="11" s="1"/>
  <c r="O169" i="10"/>
  <c r="AP158" i="10"/>
  <c r="AQ155" i="10" l="1"/>
  <c r="AR155" i="10"/>
  <c r="AN156" i="10"/>
  <c r="AJ157" i="10"/>
  <c r="AB106" i="11"/>
  <c r="AD105" i="11"/>
  <c r="J115" i="11"/>
  <c r="I117" i="11"/>
  <c r="AF164" i="10"/>
  <c r="AG163" i="10"/>
  <c r="AH163" i="10"/>
  <c r="AP159" i="10"/>
  <c r="F174" i="10"/>
  <c r="I173" i="10"/>
  <c r="O170" i="10"/>
  <c r="Q117" i="11"/>
  <c r="P117" i="11"/>
  <c r="M116" i="11"/>
  <c r="AA116" i="11" s="1"/>
  <c r="K116" i="11"/>
  <c r="L115" i="11"/>
  <c r="W115" i="11" s="1"/>
  <c r="X115" i="11" s="1"/>
  <c r="AE115" i="11" s="1"/>
  <c r="N173" i="10"/>
  <c r="O117" i="11"/>
  <c r="N117" i="11"/>
  <c r="AJ158" i="10" l="1"/>
  <c r="AN157" i="10"/>
  <c r="AR156" i="10"/>
  <c r="AQ156" i="10"/>
  <c r="AD106" i="11"/>
  <c r="AB107" i="11"/>
  <c r="O171" i="10"/>
  <c r="F175" i="10"/>
  <c r="I174" i="10"/>
  <c r="M117" i="11"/>
  <c r="AA117" i="11" s="1"/>
  <c r="K117" i="11"/>
  <c r="L116" i="11"/>
  <c r="W116" i="11" s="1"/>
  <c r="X116" i="11" s="1"/>
  <c r="AE116" i="11" s="1"/>
  <c r="AP160" i="10"/>
  <c r="N174" i="10"/>
  <c r="O118" i="11"/>
  <c r="N118" i="11"/>
  <c r="Q118" i="11"/>
  <c r="P118" i="11"/>
  <c r="AF165" i="10"/>
  <c r="AH164" i="10"/>
  <c r="AG164" i="10"/>
  <c r="I118" i="11"/>
  <c r="J116" i="11"/>
  <c r="AJ159" i="10" l="1"/>
  <c r="AN158" i="10"/>
  <c r="AR157" i="10"/>
  <c r="AQ157" i="10"/>
  <c r="AB108" i="11"/>
  <c r="AD107" i="11"/>
  <c r="AF166" i="10"/>
  <c r="AH165" i="10"/>
  <c r="AG165" i="10"/>
  <c r="AP161" i="10"/>
  <c r="P119" i="11"/>
  <c r="Q119" i="11"/>
  <c r="L117" i="11"/>
  <c r="W117" i="11" s="1"/>
  <c r="X117" i="11" s="1"/>
  <c r="AE117" i="11" s="1"/>
  <c r="M118" i="11"/>
  <c r="AA118" i="11" s="1"/>
  <c r="K118" i="11"/>
  <c r="F176" i="10"/>
  <c r="I175" i="10"/>
  <c r="N175" i="10"/>
  <c r="O119" i="11"/>
  <c r="N119" i="11"/>
  <c r="J117" i="11"/>
  <c r="I119" i="11"/>
  <c r="O172" i="10"/>
  <c r="AQ158" i="10" l="1"/>
  <c r="AR158" i="10"/>
  <c r="AN159" i="10"/>
  <c r="AJ160" i="10"/>
  <c r="AD108" i="11"/>
  <c r="AB109" i="11"/>
  <c r="J118" i="11"/>
  <c r="I120" i="11"/>
  <c r="O120" i="11"/>
  <c r="N120" i="11"/>
  <c r="O173" i="10"/>
  <c r="K119" i="11"/>
  <c r="L118" i="11"/>
  <c r="W118" i="11" s="1"/>
  <c r="X118" i="11" s="1"/>
  <c r="AE118" i="11" s="1"/>
  <c r="M119" i="11"/>
  <c r="AA119" i="11" s="1"/>
  <c r="Q120" i="11"/>
  <c r="P120" i="11"/>
  <c r="N176" i="10"/>
  <c r="AP162" i="10"/>
  <c r="F177" i="10"/>
  <c r="I176" i="10"/>
  <c r="AF167" i="10"/>
  <c r="AG166" i="10"/>
  <c r="B110" i="10" s="1"/>
  <c r="AH166" i="10"/>
  <c r="AJ161" i="10" l="1"/>
  <c r="AN160" i="10"/>
  <c r="AR159" i="10"/>
  <c r="AQ159" i="10"/>
  <c r="AD109" i="11"/>
  <c r="AB110" i="11"/>
  <c r="F178" i="10"/>
  <c r="I177" i="10"/>
  <c r="L119" i="11"/>
  <c r="W119" i="11" s="1"/>
  <c r="X119" i="11" s="1"/>
  <c r="AE119" i="11" s="1"/>
  <c r="K120" i="11"/>
  <c r="M120" i="11"/>
  <c r="AA120" i="11" s="1"/>
  <c r="AP163" i="10"/>
  <c r="N177" i="10"/>
  <c r="O174" i="10"/>
  <c r="O121" i="11"/>
  <c r="N121" i="11"/>
  <c r="AF168" i="10"/>
  <c r="AH167" i="10"/>
  <c r="AG167" i="10"/>
  <c r="J119" i="11"/>
  <c r="I121" i="11"/>
  <c r="Q121" i="11"/>
  <c r="P121" i="11"/>
  <c r="AQ160" i="10" l="1"/>
  <c r="AR160" i="10"/>
  <c r="AJ162" i="10"/>
  <c r="AN161" i="10"/>
  <c r="AD110" i="11"/>
  <c r="AB111" i="11"/>
  <c r="M121" i="11"/>
  <c r="AA121" i="11" s="1"/>
  <c r="L120" i="11"/>
  <c r="W120" i="11" s="1"/>
  <c r="X120" i="11" s="1"/>
  <c r="AE120" i="11" s="1"/>
  <c r="K121" i="11"/>
  <c r="AY111" i="11"/>
  <c r="Y10" i="11" s="1"/>
  <c r="Z10" i="11" s="1"/>
  <c r="AX111" i="11"/>
  <c r="X10" i="11" s="1"/>
  <c r="AW111" i="11"/>
  <c r="W10" i="11" s="1"/>
  <c r="AF169" i="10"/>
  <c r="AG168" i="10"/>
  <c r="AH168" i="10"/>
  <c r="N122" i="11"/>
  <c r="O122" i="11"/>
  <c r="AP164" i="10"/>
  <c r="O175" i="10"/>
  <c r="P122" i="11"/>
  <c r="Q122" i="11"/>
  <c r="N178" i="10"/>
  <c r="F179" i="10"/>
  <c r="I178" i="10"/>
  <c r="J120" i="11"/>
  <c r="I122" i="11"/>
  <c r="AJ163" i="10" l="1"/>
  <c r="AN162" i="10"/>
  <c r="AR161" i="10"/>
  <c r="AQ161" i="10"/>
  <c r="AD111" i="11"/>
  <c r="AB112" i="11"/>
  <c r="N179" i="10"/>
  <c r="P123" i="11"/>
  <c r="Q123" i="11"/>
  <c r="O123" i="11"/>
  <c r="N123" i="11"/>
  <c r="AF170" i="10"/>
  <c r="AH169" i="10"/>
  <c r="AG169" i="10"/>
  <c r="AC10" i="11"/>
  <c r="AB10" i="11"/>
  <c r="B60" i="11" s="1"/>
  <c r="B62" i="11" s="1"/>
  <c r="AA10" i="11"/>
  <c r="B59" i="11" s="1"/>
  <c r="B61" i="11" s="1"/>
  <c r="I123" i="11"/>
  <c r="J121" i="11"/>
  <c r="O176" i="10"/>
  <c r="F180" i="10"/>
  <c r="I179" i="10"/>
  <c r="K122" i="11"/>
  <c r="L121" i="11"/>
  <c r="W121" i="11" s="1"/>
  <c r="X121" i="11" s="1"/>
  <c r="AE121" i="11" s="1"/>
  <c r="M122" i="11"/>
  <c r="AA122" i="11" s="1"/>
  <c r="AP165" i="10"/>
  <c r="AQ162" i="10" l="1"/>
  <c r="AR162" i="10"/>
  <c r="AN163" i="10"/>
  <c r="AJ164" i="10"/>
  <c r="AB113" i="11"/>
  <c r="AD112" i="11"/>
  <c r="F181" i="10"/>
  <c r="I180" i="10"/>
  <c r="AF171" i="10"/>
  <c r="AH170" i="10"/>
  <c r="AG170" i="10"/>
  <c r="O124" i="11"/>
  <c r="N124" i="11"/>
  <c r="P124" i="11"/>
  <c r="Q124" i="11"/>
  <c r="O177" i="10"/>
  <c r="AP166" i="10"/>
  <c r="I124" i="11"/>
  <c r="J122" i="11"/>
  <c r="K123" i="11"/>
  <c r="L122" i="11"/>
  <c r="W122" i="11" s="1"/>
  <c r="X122" i="11" s="1"/>
  <c r="AE122" i="11" s="1"/>
  <c r="M123" i="11"/>
  <c r="AA123" i="11" s="1"/>
  <c r="N180" i="10"/>
  <c r="AN164" i="10" l="1"/>
  <c r="AJ165" i="10"/>
  <c r="AQ163" i="10"/>
  <c r="AR163" i="10"/>
  <c r="AB114" i="11"/>
  <c r="AD113" i="11"/>
  <c r="F182" i="10"/>
  <c r="I181" i="10"/>
  <c r="O178" i="10"/>
  <c r="M124" i="11"/>
  <c r="AA124" i="11" s="1"/>
  <c r="L123" i="11"/>
  <c r="W123" i="11" s="1"/>
  <c r="X123" i="11" s="1"/>
  <c r="AE123" i="11" s="1"/>
  <c r="K124" i="11"/>
  <c r="I125" i="11"/>
  <c r="J123" i="11"/>
  <c r="Q125" i="11"/>
  <c r="P125" i="11"/>
  <c r="N125" i="11"/>
  <c r="O125" i="11"/>
  <c r="AP167" i="10"/>
  <c r="AF172" i="10"/>
  <c r="AH171" i="10"/>
  <c r="AG171" i="10"/>
  <c r="N181" i="10"/>
  <c r="AR164" i="10" l="1"/>
  <c r="AQ164" i="10"/>
  <c r="AN165" i="10"/>
  <c r="AJ166" i="10"/>
  <c r="AD114" i="11"/>
  <c r="AB115" i="11"/>
  <c r="N182" i="10"/>
  <c r="O126" i="11"/>
  <c r="N126" i="11"/>
  <c r="AF173" i="10"/>
  <c r="AG172" i="10"/>
  <c r="AH172" i="10"/>
  <c r="Q126" i="11"/>
  <c r="P126" i="11"/>
  <c r="F183" i="10"/>
  <c r="I182" i="10"/>
  <c r="J124" i="11"/>
  <c r="I126" i="11"/>
  <c r="L124" i="11"/>
  <c r="W124" i="11" s="1"/>
  <c r="X124" i="11" s="1"/>
  <c r="AE124" i="11" s="1"/>
  <c r="M125" i="11"/>
  <c r="AA125" i="11" s="1"/>
  <c r="K125" i="11"/>
  <c r="AP168" i="10"/>
  <c r="O179" i="10"/>
  <c r="AQ165" i="10" l="1"/>
  <c r="AR165" i="10"/>
  <c r="AN166" i="10"/>
  <c r="AJ167" i="10"/>
  <c r="AB116" i="11"/>
  <c r="AD115" i="11"/>
  <c r="AF174" i="10"/>
  <c r="AH173" i="10"/>
  <c r="AG173" i="10"/>
  <c r="O180" i="10"/>
  <c r="F184" i="10"/>
  <c r="I183" i="10"/>
  <c r="AP169" i="10"/>
  <c r="N127" i="11"/>
  <c r="O127" i="11"/>
  <c r="K126" i="11"/>
  <c r="L125" i="11"/>
  <c r="W125" i="11" s="1"/>
  <c r="X125" i="11" s="1"/>
  <c r="AE125" i="11" s="1"/>
  <c r="M126" i="11"/>
  <c r="AA126" i="11" s="1"/>
  <c r="J125" i="11"/>
  <c r="I127" i="11"/>
  <c r="N183" i="10"/>
  <c r="Q127" i="11"/>
  <c r="P127" i="11"/>
  <c r="AJ168" i="10" l="1"/>
  <c r="AN167" i="10"/>
  <c r="AQ166" i="10"/>
  <c r="B112" i="10" s="1"/>
  <c r="AR166" i="10"/>
  <c r="AD116" i="11"/>
  <c r="AB117" i="11"/>
  <c r="N184" i="10"/>
  <c r="F185" i="10"/>
  <c r="I184" i="10"/>
  <c r="J126" i="11"/>
  <c r="I128" i="11"/>
  <c r="L126" i="11"/>
  <c r="W126" i="11" s="1"/>
  <c r="X126" i="11" s="1"/>
  <c r="AE126" i="11" s="1"/>
  <c r="K127" i="11"/>
  <c r="M127" i="11"/>
  <c r="AA127" i="11" s="1"/>
  <c r="O181" i="10"/>
  <c r="N128" i="11"/>
  <c r="O128" i="11"/>
  <c r="P128" i="11"/>
  <c r="Q128" i="11"/>
  <c r="AF175" i="10"/>
  <c r="AH174" i="10"/>
  <c r="AG174" i="10"/>
  <c r="AP170" i="10"/>
  <c r="AN168" i="10" l="1"/>
  <c r="AJ169" i="10"/>
  <c r="AQ167" i="10"/>
  <c r="AR167" i="10"/>
  <c r="AB118" i="11"/>
  <c r="AD117" i="11"/>
  <c r="N185" i="10"/>
  <c r="J127" i="11"/>
  <c r="I129" i="11"/>
  <c r="AP171" i="10"/>
  <c r="M128" i="11"/>
  <c r="AA128" i="11" s="1"/>
  <c r="L127" i="11"/>
  <c r="W127" i="11" s="1"/>
  <c r="X127" i="11" s="1"/>
  <c r="AE127" i="11" s="1"/>
  <c r="K128" i="11"/>
  <c r="AF176" i="10"/>
  <c r="AG175" i="10"/>
  <c r="AH175" i="10"/>
  <c r="O182" i="10"/>
  <c r="Q129" i="11"/>
  <c r="P129" i="11"/>
  <c r="F186" i="10"/>
  <c r="I185" i="10"/>
  <c r="N129" i="11"/>
  <c r="O129" i="11"/>
  <c r="AN169" i="10" l="1"/>
  <c r="AJ170" i="10"/>
  <c r="AQ168" i="10"/>
  <c r="AR168" i="10"/>
  <c r="AB119" i="11"/>
  <c r="AD118" i="11"/>
  <c r="K129" i="11"/>
  <c r="M129" i="11"/>
  <c r="AA129" i="11" s="1"/>
  <c r="L128" i="11"/>
  <c r="W128" i="11" s="1"/>
  <c r="X128" i="11" s="1"/>
  <c r="AE128" i="11" s="1"/>
  <c r="N186" i="10"/>
  <c r="AF177" i="10"/>
  <c r="AG176" i="10"/>
  <c r="AH176" i="10"/>
  <c r="P130" i="11"/>
  <c r="Q130" i="11"/>
  <c r="N130" i="11"/>
  <c r="O130" i="11"/>
  <c r="F187" i="10"/>
  <c r="I186" i="10"/>
  <c r="AP172" i="10"/>
  <c r="J128" i="11"/>
  <c r="I130" i="11"/>
  <c r="O183" i="10"/>
  <c r="AR169" i="10" l="1"/>
  <c r="AQ169" i="10"/>
  <c r="AJ171" i="10"/>
  <c r="AN170" i="10"/>
  <c r="AB120" i="11"/>
  <c r="AD119" i="11"/>
  <c r="O184" i="10"/>
  <c r="Q131" i="11"/>
  <c r="P131" i="11"/>
  <c r="I131" i="11"/>
  <c r="J129" i="11"/>
  <c r="AF178" i="10"/>
  <c r="AH177" i="10"/>
  <c r="AG177" i="10"/>
  <c r="N187" i="10"/>
  <c r="AP173" i="10"/>
  <c r="F188" i="10"/>
  <c r="I187" i="10"/>
  <c r="K130" i="11"/>
  <c r="L129" i="11"/>
  <c r="W129" i="11" s="1"/>
  <c r="X129" i="11" s="1"/>
  <c r="AE129" i="11" s="1"/>
  <c r="M130" i="11"/>
  <c r="AA130" i="11" s="1"/>
  <c r="O131" i="11"/>
  <c r="N131" i="11"/>
  <c r="AQ170" i="10" l="1"/>
  <c r="AR170" i="10"/>
  <c r="AJ172" i="10"/>
  <c r="AN171" i="10"/>
  <c r="AB121" i="11"/>
  <c r="AD120" i="11"/>
  <c r="AB123" i="11"/>
  <c r="M131" i="11"/>
  <c r="AA131" i="11" s="1"/>
  <c r="K131" i="11"/>
  <c r="L130" i="11"/>
  <c r="W130" i="11" s="1"/>
  <c r="X130" i="11" s="1"/>
  <c r="AE130" i="11" s="1"/>
  <c r="AF179" i="10"/>
  <c r="AG178" i="10"/>
  <c r="AH178" i="10"/>
  <c r="F189" i="10"/>
  <c r="I188" i="10"/>
  <c r="J130" i="11"/>
  <c r="I132" i="11"/>
  <c r="J131" i="11" s="1"/>
  <c r="AP174" i="10"/>
  <c r="Q132" i="11"/>
  <c r="P132" i="11"/>
  <c r="O132" i="11"/>
  <c r="N132" i="11"/>
  <c r="N188" i="10"/>
  <c r="O185" i="10"/>
  <c r="AQ171" i="10" l="1"/>
  <c r="AR171" i="10"/>
  <c r="AJ173" i="10"/>
  <c r="AN172" i="10"/>
  <c r="AB122" i="11"/>
  <c r="AD122" i="11" s="1"/>
  <c r="AD121" i="11"/>
  <c r="O186" i="10"/>
  <c r="AD123" i="11"/>
  <c r="AB124" i="11"/>
  <c r="N189" i="10"/>
  <c r="F190" i="10"/>
  <c r="I189" i="10"/>
  <c r="O133" i="11"/>
  <c r="N133" i="11"/>
  <c r="P133" i="11"/>
  <c r="Q133" i="11"/>
  <c r="AF180" i="10"/>
  <c r="AG179" i="10"/>
  <c r="AH179" i="10"/>
  <c r="M132" i="11"/>
  <c r="AA132" i="11" s="1"/>
  <c r="K132" i="11"/>
  <c r="L131" i="11"/>
  <c r="W131" i="11" s="1"/>
  <c r="X131" i="11" s="1"/>
  <c r="AE131" i="11" s="1"/>
  <c r="AP175" i="10"/>
  <c r="AR172" i="10" l="1"/>
  <c r="AQ172" i="10"/>
  <c r="AN173" i="10"/>
  <c r="AJ174" i="10"/>
  <c r="AP176" i="10"/>
  <c r="O187" i="10"/>
  <c r="M133" i="11"/>
  <c r="K133" i="11"/>
  <c r="L132" i="11"/>
  <c r="W132" i="11" s="1"/>
  <c r="X132" i="11" s="1"/>
  <c r="AE132" i="11" s="1"/>
  <c r="F191" i="10"/>
  <c r="I190" i="10"/>
  <c r="N190" i="10"/>
  <c r="AF181" i="10"/>
  <c r="AH180" i="10"/>
  <c r="AG180" i="10"/>
  <c r="AB125" i="11"/>
  <c r="AD124" i="11"/>
  <c r="P134" i="11"/>
  <c r="Q134" i="11"/>
  <c r="N134" i="11"/>
  <c r="O134" i="11"/>
  <c r="AQ173" i="10" l="1"/>
  <c r="AR173" i="10"/>
  <c r="AN174" i="10"/>
  <c r="AJ175" i="10"/>
  <c r="AP177" i="10"/>
  <c r="O135" i="11"/>
  <c r="N135" i="11"/>
  <c r="F192" i="10"/>
  <c r="I191" i="10"/>
  <c r="Q135" i="11"/>
  <c r="P135" i="11"/>
  <c r="K134" i="11"/>
  <c r="L133" i="11"/>
  <c r="W133" i="11" s="1"/>
  <c r="M134" i="11"/>
  <c r="AB126" i="11"/>
  <c r="AD125" i="11"/>
  <c r="AF182" i="10"/>
  <c r="AG181" i="10"/>
  <c r="AH181" i="10"/>
  <c r="N191" i="10"/>
  <c r="O188" i="10"/>
  <c r="AN175" i="10" l="1"/>
  <c r="AJ176" i="10"/>
  <c r="AR174" i="10"/>
  <c r="AQ174" i="10"/>
  <c r="AP178" i="10"/>
  <c r="AB127" i="11"/>
  <c r="AD126" i="11"/>
  <c r="L134" i="11"/>
  <c r="W134" i="11" s="1"/>
  <c r="K135" i="11"/>
  <c r="M135" i="11"/>
  <c r="O189" i="10"/>
  <c r="P136" i="11"/>
  <c r="Q136" i="11"/>
  <c r="F193" i="10"/>
  <c r="I192" i="10"/>
  <c r="N192" i="10"/>
  <c r="O136" i="11"/>
  <c r="N136" i="11"/>
  <c r="AF183" i="10"/>
  <c r="AG182" i="10"/>
  <c r="AH182" i="10"/>
  <c r="AJ177" i="10" l="1"/>
  <c r="AN176" i="10"/>
  <c r="AQ175" i="10"/>
  <c r="AR175" i="10"/>
  <c r="AP179" i="10"/>
  <c r="AF184" i="10"/>
  <c r="AH183" i="10"/>
  <c r="AG183" i="10"/>
  <c r="N137" i="11"/>
  <c r="O137" i="11"/>
  <c r="O190" i="10"/>
  <c r="N193" i="10"/>
  <c r="K136" i="11"/>
  <c r="M136" i="11"/>
  <c r="L135" i="11"/>
  <c r="W135" i="11" s="1"/>
  <c r="AB128" i="11"/>
  <c r="AD127" i="11"/>
  <c r="F194" i="10"/>
  <c r="I193" i="10"/>
  <c r="Q137" i="11"/>
  <c r="P137" i="11"/>
  <c r="AJ178" i="10" l="1"/>
  <c r="AN177" i="10"/>
  <c r="AQ176" i="10"/>
  <c r="AR176" i="10"/>
  <c r="AF185" i="10"/>
  <c r="AH184" i="10"/>
  <c r="AG184" i="10"/>
  <c r="F195" i="10"/>
  <c r="I194" i="10"/>
  <c r="O191" i="10"/>
  <c r="AB129" i="11"/>
  <c r="AD128" i="11"/>
  <c r="N138" i="11"/>
  <c r="O138" i="11"/>
  <c r="M137" i="11"/>
  <c r="K137" i="11"/>
  <c r="L136" i="11"/>
  <c r="W136" i="11" s="1"/>
  <c r="P138" i="11"/>
  <c r="Q138" i="11"/>
  <c r="N194" i="10"/>
  <c r="AP180" i="10"/>
  <c r="AQ177" i="10" l="1"/>
  <c r="AR177" i="10"/>
  <c r="AJ179" i="10"/>
  <c r="AN178" i="10"/>
  <c r="O139" i="11"/>
  <c r="N139" i="11"/>
  <c r="AF186" i="10"/>
  <c r="AG185" i="10"/>
  <c r="AH185" i="10"/>
  <c r="AB130" i="11"/>
  <c r="AD129" i="11"/>
  <c r="N195" i="10"/>
  <c r="Q139" i="11"/>
  <c r="P139" i="11"/>
  <c r="F196" i="10"/>
  <c r="I195" i="10"/>
  <c r="M138" i="11"/>
  <c r="L137" i="11"/>
  <c r="W137" i="11" s="1"/>
  <c r="K138" i="11"/>
  <c r="AP181" i="10"/>
  <c r="O192" i="10"/>
  <c r="AR178" i="10" l="1"/>
  <c r="AQ178" i="10"/>
  <c r="AJ180" i="10"/>
  <c r="AN179" i="10"/>
  <c r="P140" i="11"/>
  <c r="Q140" i="11"/>
  <c r="O193" i="10"/>
  <c r="N196" i="10"/>
  <c r="AP182" i="10"/>
  <c r="K139" i="11"/>
  <c r="L138" i="11"/>
  <c r="W138" i="11" s="1"/>
  <c r="M139" i="11"/>
  <c r="AB131" i="11"/>
  <c r="AD130" i="11"/>
  <c r="AF187" i="10"/>
  <c r="AG186" i="10"/>
  <c r="AH186" i="10"/>
  <c r="F197" i="10"/>
  <c r="I196" i="10"/>
  <c r="O140" i="11"/>
  <c r="N140" i="11"/>
  <c r="AJ181" i="10" l="1"/>
  <c r="AN180" i="10"/>
  <c r="AQ179" i="10"/>
  <c r="AR179" i="10"/>
  <c r="N141" i="11"/>
  <c r="O141" i="11"/>
  <c r="AP183" i="10"/>
  <c r="F198" i="10"/>
  <c r="I197" i="10"/>
  <c r="B111" i="10"/>
  <c r="B114" i="10"/>
  <c r="AF188" i="10"/>
  <c r="AH187" i="10"/>
  <c r="AG187" i="10"/>
  <c r="N197" i="10"/>
  <c r="AB132" i="11"/>
  <c r="AD132" i="11" s="1"/>
  <c r="AD131" i="11"/>
  <c r="P141" i="11"/>
  <c r="Q141" i="11"/>
  <c r="M140" i="11"/>
  <c r="K140" i="11"/>
  <c r="L139" i="11"/>
  <c r="W139" i="11" s="1"/>
  <c r="O194" i="10"/>
  <c r="AR180" i="10" l="1"/>
  <c r="AQ180" i="10"/>
  <c r="AJ182" i="10"/>
  <c r="AN181" i="10"/>
  <c r="N142" i="11"/>
  <c r="O142" i="11"/>
  <c r="O195" i="10"/>
  <c r="AF189" i="10"/>
  <c r="AH188" i="10"/>
  <c r="AG188" i="10"/>
  <c r="M141" i="11"/>
  <c r="L140" i="11"/>
  <c r="W140" i="11" s="1"/>
  <c r="K141" i="11"/>
  <c r="Q142" i="11"/>
  <c r="P142" i="11"/>
  <c r="F199" i="10"/>
  <c r="I198" i="10"/>
  <c r="AP184" i="10"/>
  <c r="N198" i="10"/>
  <c r="AJ183" i="10" l="1"/>
  <c r="AN182" i="10"/>
  <c r="AQ181" i="10"/>
  <c r="AR181" i="10"/>
  <c r="AF190" i="10"/>
  <c r="AG189" i="10"/>
  <c r="AH189" i="10"/>
  <c r="N199" i="10"/>
  <c r="AP185" i="10"/>
  <c r="F200" i="10"/>
  <c r="I199" i="10"/>
  <c r="Q143" i="11"/>
  <c r="P143" i="11"/>
  <c r="O196" i="10"/>
  <c r="M142" i="11"/>
  <c r="K142" i="11"/>
  <c r="L141" i="11"/>
  <c r="W141" i="11" s="1"/>
  <c r="O143" i="11"/>
  <c r="N143" i="11"/>
  <c r="AQ182" i="10" l="1"/>
  <c r="AR182" i="10"/>
  <c r="AJ184" i="10"/>
  <c r="AN183" i="10"/>
  <c r="AF191" i="10"/>
  <c r="AG190" i="10"/>
  <c r="AH190" i="10"/>
  <c r="O144" i="11"/>
  <c r="N144" i="11"/>
  <c r="F201" i="10"/>
  <c r="I200" i="10"/>
  <c r="K143" i="11"/>
  <c r="L142" i="11"/>
  <c r="W142" i="11" s="1"/>
  <c r="M143" i="11"/>
  <c r="AP186" i="10"/>
  <c r="N200" i="10"/>
  <c r="O197" i="10"/>
  <c r="Q144" i="11"/>
  <c r="P144" i="11"/>
  <c r="AQ183" i="10" l="1"/>
  <c r="AR183" i="10"/>
  <c r="AN184" i="10"/>
  <c r="AJ185" i="10"/>
  <c r="AF192" i="10"/>
  <c r="AG191" i="10"/>
  <c r="AH191" i="10"/>
  <c r="N201" i="10"/>
  <c r="P145" i="11"/>
  <c r="Q145" i="11"/>
  <c r="AP187" i="10"/>
  <c r="M144" i="11"/>
  <c r="K144" i="11"/>
  <c r="L143" i="11"/>
  <c r="W143" i="11" s="1"/>
  <c r="F202" i="10"/>
  <c r="F203" i="10" s="1"/>
  <c r="F204" i="10" s="1"/>
  <c r="F205" i="10" s="1"/>
  <c r="I201" i="10"/>
  <c r="O198" i="10"/>
  <c r="O145" i="11"/>
  <c r="N145" i="11"/>
  <c r="AJ186" i="10" l="1"/>
  <c r="AN185" i="10"/>
  <c r="AQ184" i="10"/>
  <c r="AR184" i="10"/>
  <c r="N146" i="11"/>
  <c r="O146" i="11"/>
  <c r="B115" i="10"/>
  <c r="B113" i="10"/>
  <c r="AP188" i="10"/>
  <c r="P146" i="11"/>
  <c r="Q146" i="11"/>
  <c r="O199" i="10"/>
  <c r="M145" i="11"/>
  <c r="L144" i="11"/>
  <c r="W144" i="11" s="1"/>
  <c r="K145" i="11"/>
  <c r="AF193" i="10"/>
  <c r="AG192" i="10"/>
  <c r="AH192" i="10"/>
  <c r="AJ187" i="10" l="1"/>
  <c r="AN186" i="10"/>
  <c r="AR185" i="10"/>
  <c r="AQ185" i="10"/>
  <c r="O147" i="11"/>
  <c r="N147" i="11"/>
  <c r="AF194" i="10"/>
  <c r="AH193" i="10"/>
  <c r="AG193" i="10"/>
  <c r="O200" i="10"/>
  <c r="Q147" i="11"/>
  <c r="P147" i="11"/>
  <c r="M146" i="11"/>
  <c r="K146" i="11"/>
  <c r="L145" i="11"/>
  <c r="W145" i="11" s="1"/>
  <c r="AQ186" i="10" l="1"/>
  <c r="AR186" i="10"/>
  <c r="AJ188" i="10"/>
  <c r="AN187" i="10"/>
  <c r="AN189" i="10"/>
  <c r="AJ190" i="10"/>
  <c r="O201" i="10"/>
  <c r="K147" i="11"/>
  <c r="M147" i="11"/>
  <c r="L146" i="11"/>
  <c r="W146" i="11" s="1"/>
  <c r="AF195" i="10"/>
  <c r="AH194" i="10"/>
  <c r="AG194" i="10"/>
  <c r="O148" i="11"/>
  <c r="N148" i="11"/>
  <c r="AP190" i="10"/>
  <c r="Q148" i="11"/>
  <c r="P148" i="11"/>
  <c r="AQ187" i="10" l="1"/>
  <c r="AR187" i="10"/>
  <c r="AJ189" i="10"/>
  <c r="AO189" i="10" s="1"/>
  <c r="AP189" i="10" s="1"/>
  <c r="AR189" i="10" s="1"/>
  <c r="AN188" i="10"/>
  <c r="AF196" i="10"/>
  <c r="AG195" i="10"/>
  <c r="AH195" i="10"/>
  <c r="L147" i="11"/>
  <c r="W147" i="11" s="1"/>
  <c r="M148" i="11"/>
  <c r="K148" i="11"/>
  <c r="Q149" i="11"/>
  <c r="P149" i="11"/>
  <c r="AP191" i="10"/>
  <c r="AR190" i="10"/>
  <c r="AQ190" i="10"/>
  <c r="N149" i="11"/>
  <c r="O149" i="11"/>
  <c r="AJ191" i="10"/>
  <c r="AN190" i="10"/>
  <c r="AQ188" i="10" l="1"/>
  <c r="AR188" i="10"/>
  <c r="AQ189" i="10"/>
  <c r="AP192" i="10"/>
  <c r="P150" i="11"/>
  <c r="Q150" i="11"/>
  <c r="AJ192" i="10"/>
  <c r="AN191" i="10"/>
  <c r="AQ191" i="10" s="1"/>
  <c r="L148" i="11"/>
  <c r="W148" i="11" s="1"/>
  <c r="K149" i="11"/>
  <c r="M149" i="11"/>
  <c r="N150" i="11"/>
  <c r="O150" i="11"/>
  <c r="AF197" i="10"/>
  <c r="AH196" i="10"/>
  <c r="AG196" i="10"/>
  <c r="AF198" i="10" l="1"/>
  <c r="AG197" i="10"/>
  <c r="AH197" i="10"/>
  <c r="K150" i="11"/>
  <c r="L150" i="11" s="1"/>
  <c r="W150" i="11" s="1"/>
  <c r="L149" i="11"/>
  <c r="W149" i="11" s="1"/>
  <c r="M150" i="11"/>
  <c r="AJ193" i="10"/>
  <c r="AN192" i="10"/>
  <c r="AR191" i="10"/>
  <c r="AP193" i="10"/>
  <c r="AQ192" i="10"/>
  <c r="AR192" i="10"/>
  <c r="AP194" i="10" l="1"/>
  <c r="AQ193" i="10"/>
  <c r="AJ194" i="10"/>
  <c r="AN193" i="10"/>
  <c r="AR193" i="10" s="1"/>
  <c r="AF199" i="10"/>
  <c r="AG198" i="10"/>
  <c r="AH198" i="10"/>
  <c r="AP195" i="10" l="1"/>
  <c r="AQ194" i="10"/>
  <c r="AF200" i="10"/>
  <c r="AH199" i="10"/>
  <c r="AG199" i="10"/>
  <c r="AN194" i="10"/>
  <c r="AR194" i="10" s="1"/>
  <c r="AJ195" i="10"/>
  <c r="AP196" i="10" l="1"/>
  <c r="AQ195" i="10"/>
  <c r="AN195" i="10"/>
  <c r="AR195" i="10" s="1"/>
  <c r="AJ196" i="10"/>
  <c r="AF201" i="10"/>
  <c r="AG200" i="10"/>
  <c r="AH200" i="10"/>
  <c r="AP197" i="10" l="1"/>
  <c r="AG201" i="10"/>
  <c r="AH201" i="10"/>
  <c r="B116" i="10" s="1"/>
  <c r="AJ197" i="10"/>
  <c r="AN196" i="10"/>
  <c r="AQ196" i="10" s="1"/>
  <c r="AP198" i="10" l="1"/>
  <c r="AQ197" i="10"/>
  <c r="AR196" i="10"/>
  <c r="AJ198" i="10"/>
  <c r="AN197" i="10"/>
  <c r="AR197" i="10" s="1"/>
  <c r="AP199" i="10" l="1"/>
  <c r="AN198" i="10"/>
  <c r="AQ198" i="10" s="1"/>
  <c r="AJ199" i="10"/>
  <c r="AJ200" i="10" l="1"/>
  <c r="AN199" i="10"/>
  <c r="AQ199" i="10" s="1"/>
  <c r="AR198" i="10"/>
  <c r="AP200" i="10"/>
  <c r="AJ201" i="10" l="1"/>
  <c r="AO201" i="10" s="1"/>
  <c r="AP201" i="10" s="1"/>
  <c r="AN200" i="10"/>
  <c r="AQ200" i="10" s="1"/>
  <c r="AR199" i="10"/>
  <c r="AR201" i="10" l="1"/>
  <c r="B117" i="10" s="1"/>
  <c r="AQ201" i="10"/>
  <c r="AR200" i="10"/>
</calcChain>
</file>

<file path=xl/sharedStrings.xml><?xml version="1.0" encoding="utf-8"?>
<sst xmlns="http://schemas.openxmlformats.org/spreadsheetml/2006/main" count="3170" uniqueCount="1633">
  <si>
    <t>FinPlan360 calculation components — live code, September 2026</t>
  </si>
  <si>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</si>
  <si>
    <t>Component</t>
  </si>
  <si>
    <t>Owner</t>
  </si>
  <si>
    <t>Reads</t>
  </si>
  <si>
    <t>Writes</t>
  </si>
  <si>
    <t>How it calculates (code)</t>
  </si>
  <si>
    <t>Code</t>
  </si>
  <si>
    <t>Tab</t>
  </si>
  <si>
    <t>HTTP / UI</t>
  </si>
  <si>
    <t>CPF</t>
  </si>
  <si>
    <t>GP pipeline (Singapore only)</t>
  </si>
  <si>
    <t>country, residency, age, incomeMonthly. Country switch on the CPF tab.</t>
  </si>
  <si>
    <t>employee CPF, take-home. 0 / income when CPF is off.</t>
  </si>
  <si>
    <t>On only when the country table (or orange override) is TRUE. Singapore Citizen/PR: employee CPF = floor(min(gross, OW_CEILING) × age-band rate). Foreigner → 0. Any other country → off, take-home = gross. src/cpf.py.</t>
  </si>
  <si>
    <t>src/cpf.py</t>
  </si>
  <si>
    <t>Inside POST /v1/predict (take-home)</t>
  </si>
  <si>
    <t>People Like You</t>
  </si>
  <si>
    <t>GP pipeline</t>
  </si>
  <si>
    <t>age / DOB, occupation, gender, dependents, residency. CPF box for take-home. Does not read Assumptions.</t>
  </si>
  <si>
    <t>incomeMonthly, expenseMonthly, cash, investments, property, mortgage, one Life Protection policy, lifeExpectancy, isSmoker.</t>
  </si>
  <si>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</si>
  <si>
    <t>src/pipeline/people_like_you.py, src/cpf.py, src/predict.py _apply_plu</t>
  </si>
  <si>
    <t>POST /v1/predict (first of three)</t>
  </si>
  <si>
    <t>Need Profiler</t>
  </si>
  <si>
    <t>Age, gender, dependents, occupation, smoker, income, expense, liquid assets, PLU liabilities, hospital/ward/lifestyle/sports, car/home/travel flags. Existing cover is hard-coded 0. No Assumptions. No LLM.</t>
  </si>
  <si>
    <t>needs[].enabled, needs[].priority, needs[].weightageScore. Four UNIFIED types on: two protection + two growth (retirement always one of the growth pair).</t>
  </si>
  <si>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</si>
  <si>
    <t>src/pipeline/need_profiler.py, src/pipeline/prompts/Need_profiler.json, src/app.py top_n=4</t>
  </si>
  <si>
    <t>POST /v1/predict</t>
  </si>
  <si>
    <t>Need Calculator</t>
  </si>
  <si>
    <t>Money attributes, enabled needs, goal-card sliders (lifestyle, retAge, targetYear, incomeReplaceMonthly, dependYears, bequest, monthlyContribution, tagged existing), Assumptions rates, Need parameters.</t>
  </si>
  <si>
    <t>For every UNIFIED type: needAmount, have, gap. Copies ageOfRetirement from the retirement row.</t>
  </si>
  <si>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</si>
  <si>
    <t>src/pipeline/need_calculator.py evaluate_session, src/pipeline/goal_math.py, src/hu_payload.py need_existing / apply_investment_pot</t>
  </si>
  <si>
    <t>POST /v1/predict and POST /v1/needs</t>
  </si>
  <si>
    <t>Goal cards</t>
  </si>
  <si>
    <t>GP UI</t>
  </si>
  <si>
    <t>Last calculator row (have, gap, stored sliders).</t>
  </si>
  <si>
    <t>Slider fields on the need; then POST /v1/needs (debounced). Does not recompute amounts in the browser.</t>
  </si>
  <si>
    <t>fillNeedEdit reads stored fields. patchNeedInputs writes lifestyle / retAge / targetYear / existing / … onto the session. Retirement stays on. The Score/Plan cap of four needs is UI-only (needEdit.capEnabledNeeds); this workbook lets you switch any need.</t>
  </si>
  <si>
    <t>frontend/src/lib/needEdit.ts</t>
  </si>
  <si>
    <t>Need Calculator (slider columns)</t>
  </si>
  <si>
    <t>Score and Plan screens</t>
  </si>
  <si>
    <t>Plan Calculator</t>
  </si>
  <si>
    <t>Enabled needs with gap &gt; 0, take-home surplus, Assumptions inflationRate / investmentReturn / ageOfRetirement.</t>
  </si>
  <si>
    <t>planSum + planPrem (protection), planMth + planLump (wealth), investMth / investLump totals, plansOff.</t>
  </si>
  <si>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</si>
  <si>
    <t>frontend/src/lib/planProducts.ts, frontend/src/lib/local.ts seedProducts</t>
  </si>
  <si>
    <t>Plan screen (not an HTTP engine)</t>
  </si>
  <si>
    <t>Budget Calculator</t>
  </si>
  <si>
    <t>take-home, expenseMonthly, investments, included planPrem / planMth / planLump. Not the economic rates.</t>
  </si>
  <si>
    <t>Nothing on the session. Plan-screen affordability only.</t>
  </si>
  <si>
    <t>available = max(0, takeHomeMonthly − expenseMonthly). free = round(available × 0.5). monthly = round(wealth contributions + protection premiums / 12). monthlyOver = monthly − free. lumpOver = wealth lumps − investments. Separate from the HappiU envelope (annualBudget 1500).</t>
  </si>
  <si>
    <t>planAfford in frontend/src/lib/planProducts.ts; availableBudget in types.ts</t>
  </si>
  <si>
    <t>Plan screen</t>
  </si>
  <si>
    <t>FX</t>
  </si>
  <si>
    <t>Workbook only (not an HTTP engine)</t>
  </si>
  <si>
    <t>Personas currency + effective session money fields from People Like You.</t>
  </si>
  <si>
    <t>USD per 1 local, and each money field in USD. Validation reads these; engines stay local.</t>
  </si>
  <si>
    <t>Lookup ISO code in the FX rate table (USD per 1 local unit). USD = local × rate. Example: 5,000 SGD × 0.74 = 3,700 USD; 5,000 VND × 0.000038 = 0.19 USD. Edit the rate table on this tab. People Like You still stores local currency.</t>
  </si>
  <si>
    <t>Workbook FX tab (no src module — validation helper)</t>
  </si>
  <si>
    <t>Not in the live pipeline</t>
  </si>
  <si>
    <t>HappiU</t>
  </si>
  <si>
    <t>HU, via GP</t>
  </si>
  <si>
    <t>Whole session. Assumptions rates, CPF (inside HU), riskProfile, plan fields when set. Need amounts already stored.</t>
  </si>
  <si>
    <t>preHappiU, postHappiU. GP does not run the Monte Carlo.</t>
  </si>
  <si>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</si>
  <si>
    <t>src/hu_payload.py → POST /v1/score → HU</t>
  </si>
  <si>
    <t>Assumptions (envelope only)</t>
  </si>
  <si>
    <t>POST /v1/score</t>
  </si>
  <si>
    <t>Scenario Visualizer</t>
  </si>
  <si>
    <t>SV, via GP</t>
  </si>
  <si>
    <t>Session after Plan, all six rates, ageOfRetirement, endAge, stress chips. CPF inside SV.</t>
  </si>
  <si>
    <t>Year-by-year wealth path. GP does not run the year step.</t>
  </si>
  <si>
    <t>preWealth = session without the plan; postWealth = plus included planMth / planLump / planSum / planPrem. svNumSims defaults to 20. Investment contribution = max(0, take-home − expenseMonthly) once a year. This workbook does not project the path.</t>
  </si>
  <si>
    <t>src/sv_payload.py → POST /v1/project → SV</t>
  </si>
  <si>
    <t>Assumptions (stress catalogue)</t>
  </si>
  <si>
    <t>POST /v1/project</t>
  </si>
  <si>
    <t>Journey order (one session, each step adds attributes)</t>
  </si>
  <si>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</si>
  <si>
    <t>UNIFIED types in code order: N_INC, N_CRI, N_TPD, N_HOS (protection) · N_RET, N_EDU, N_SAV, N_PRP (wealth). Goal-card sliders live on the Need Calculator tab. Discrepancies lists remaining multi-country / multi-currency work.</t>
  </si>
  <si>
    <t>Selected persona — pick one id here. Every calculation tab follows this cell.</t>
  </si>
  <si>
    <t>Selected persona</t>
  </si>
  <si>
    <t>P01</t>
  </si>
  <si>
    <t>This is the only picker. CPF, People Like You, Need Profiler, Need Calculator, Plan, Budget, FX, and Validation follow this cell.</t>
  </si>
  <si>
    <t>A · INPUT DATA</t>
  </si>
  <si>
    <t>Attribute</t>
  </si>
  <si>
    <t>Value</t>
  </si>
  <si>
    <t>Kind</t>
  </si>
  <si>
    <t>Source / formula</t>
  </si>
  <si>
    <t>B · LLM PREDICTED DATA</t>
  </si>
  <si>
    <t>A · ABOUT YOU  —  from the Personas row (edit there)</t>
  </si>
  <si>
    <t>C · DETERMINISTICALLY CALCULATED</t>
  </si>
  <si>
    <t>name</t>
  </si>
  <si>
    <t>A · input</t>
  </si>
  <si>
    <t>Personas B.</t>
  </si>
  <si>
    <t>D · ASSUMPTIONS / SHARED DATA</t>
  </si>
  <si>
    <t>age</t>
  </si>
  <si>
    <t>Personas C.</t>
  </si>
  <si>
    <t>E · USER / FRONTEND OVERRIDE</t>
  </si>
  <si>
    <t>gender</t>
  </si>
  <si>
    <t>Personas D.</t>
  </si>
  <si>
    <t>residency</t>
  </si>
  <si>
    <t>Personas E.</t>
  </si>
  <si>
    <t>country</t>
  </si>
  <si>
    <t>Personas F. CPF on/off uses this.</t>
  </si>
  <si>
    <t>occupation</t>
  </si>
  <si>
    <t>Personas G. Income clamp band.</t>
  </si>
  <si>
    <t>dependents</t>
  </si>
  <si>
    <t>Personas H.</t>
  </si>
  <si>
    <t>maritalStatus</t>
  </si>
  <si>
    <t>Personas I. Blank = infer on People Like You.</t>
  </si>
  <si>
    <t>what this row varies</t>
  </si>
  <si>
    <t>Personas AD. Why this persona exists.</t>
  </si>
  <si>
    <t>B · LLM PREDICTED  —  from the Personas row (edit there)</t>
  </si>
  <si>
    <t>incomeMonthly (LLM)</t>
  </si>
  <si>
    <t>B · LLM predicted</t>
  </si>
  <si>
    <t>Personas J. Before clamp and CPF.</t>
  </si>
  <si>
    <t>currency</t>
  </si>
  <si>
    <t>Personas K. FX looks this up.</t>
  </si>
  <si>
    <t>risk ability</t>
  </si>
  <si>
    <t>Personas L.</t>
  </si>
  <si>
    <t>price sensitivity</t>
  </si>
  <si>
    <t>Personas M.</t>
  </si>
  <si>
    <t>owns property</t>
  </si>
  <si>
    <t>Personas N.</t>
  </si>
  <si>
    <t>owns car</t>
  </si>
  <si>
    <t>Personas O.</t>
  </si>
  <si>
    <t>is smoker</t>
  </si>
  <si>
    <t>Personas U.</t>
  </si>
  <si>
    <t>life expectancy</t>
  </si>
  <si>
    <t>Personas V.</t>
  </si>
  <si>
    <t>retirement lifestyle</t>
  </si>
  <si>
    <t>Personas T.</t>
  </si>
  <si>
    <t>C · EFFECTIVE SESSION  —  after CPF, People Like You, and Money-page overrides</t>
  </si>
  <si>
    <t>CPF on</t>
  </si>
  <si>
    <t>C · calculated</t>
  </si>
  <si>
    <t>From the CPF tab.</t>
  </si>
  <si>
    <t>incomeMonthly</t>
  </si>
  <si>
    <t>Clamped LLM income.</t>
  </si>
  <si>
    <t>take-home</t>
  </si>
  <si>
    <t>Gross minus employee CPF when CPF is on.</t>
  </si>
  <si>
    <t>expenseMonthly</t>
  </si>
  <si>
    <t>Override if Personas W is set.</t>
  </si>
  <si>
    <t>cash</t>
  </si>
  <si>
    <t>Cash &amp; Savings.</t>
  </si>
  <si>
    <t>investments</t>
  </si>
  <si>
    <t>property</t>
  </si>
  <si>
    <t>0 if renter.</t>
  </si>
  <si>
    <t>mortgage</t>
  </si>
  <si>
    <t>PLU liabilities</t>
  </si>
  <si>
    <t>Not the mortgage.</t>
  </si>
  <si>
    <t>life sum assured</t>
  </si>
  <si>
    <t>A · INPUT DATA  —  About you (typed / session)</t>
  </si>
  <si>
    <t>B · LLM PREDICTED DATA  —  13 fields from people_like_you_all_fields.json</t>
  </si>
  <si>
    <t>E · USER / FRONTEND OVERRIDE  —  Money page (blank = keep People Like You calculated)</t>
  </si>
  <si>
    <t>notes</t>
  </si>
  <si>
    <t>id</t>
  </si>
  <si>
    <t>maritalStatus (blank = infer)</t>
  </si>
  <si>
    <t>income</t>
  </si>
  <si>
    <t>risk_ability</t>
  </si>
  <si>
    <t>price_sensitivity</t>
  </si>
  <si>
    <t>car</t>
  </si>
  <si>
    <t>ward_type</t>
  </si>
  <si>
    <t>hospitalization_type</t>
  </si>
  <si>
    <t>travelling</t>
  </si>
  <si>
    <t>sports</t>
  </si>
  <si>
    <t>retirement_lifestyle</t>
  </si>
  <si>
    <t>is_smoker</t>
  </si>
  <si>
    <t>life_expectancy</t>
  </si>
  <si>
    <t>cash (Cash &amp; Savings)</t>
  </si>
  <si>
    <t>property value</t>
  </si>
  <si>
    <t>mortgage (loans)</t>
  </si>
  <si>
    <t>What this row varies</t>
  </si>
  <si>
    <t>Aisha Rahman</t>
  </si>
  <si>
    <t>Female</t>
  </si>
  <si>
    <t>Citizen</t>
  </si>
  <si>
    <t>Singapore</t>
  </si>
  <si>
    <t>Nurse</t>
  </si>
  <si>
    <t>SGD</t>
  </si>
  <si>
    <t>conservative</t>
  </si>
  <si>
    <t>high</t>
  </si>
  <si>
    <t>Ward</t>
  </si>
  <si>
    <t>Public</t>
  </si>
  <si>
    <t>Yoga</t>
  </si>
  <si>
    <t>Basic</t>
  </si>
  <si>
    <t>Nurse; age 22; Citizen; 0 dep; rent; non-smoker</t>
  </si>
  <si>
    <t>P02</t>
  </si>
  <si>
    <t>Wei Ling Tan</t>
  </si>
  <si>
    <t>Male</t>
  </si>
  <si>
    <t>PR</t>
  </si>
  <si>
    <t>Teacher</t>
  </si>
  <si>
    <t>moderate</t>
  </si>
  <si>
    <t>medium</t>
  </si>
  <si>
    <t>Double</t>
  </si>
  <si>
    <t>Private</t>
  </si>
  <si>
    <t>Running</t>
  </si>
  <si>
    <t>Comfortable</t>
  </si>
  <si>
    <t>Teacher; age 27; PR; 0 dep; rent; non-smoker</t>
  </si>
  <si>
    <t>P03</t>
  </si>
  <si>
    <t>Daniel Koh</t>
  </si>
  <si>
    <t>Accountant</t>
  </si>
  <si>
    <t>Single</t>
  </si>
  <si>
    <t>Swimming</t>
  </si>
  <si>
    <t>Accountant; age 34; Citizen; 1 dep; home; non-smoker</t>
  </si>
  <si>
    <t>P04</t>
  </si>
  <si>
    <t>Priya Nair</t>
  </si>
  <si>
    <t>Marketing Manager</t>
  </si>
  <si>
    <t>I dont do sports</t>
  </si>
  <si>
    <t>frugal</t>
  </si>
  <si>
    <t>Marketing Manager; age 41; Citizen; 2 dep; home; smoker</t>
  </si>
  <si>
    <t>P05</t>
  </si>
  <si>
    <t>Marcus Lim</t>
  </si>
  <si>
    <t>Foreigner</t>
  </si>
  <si>
    <t>Software Engineer</t>
  </si>
  <si>
    <t>aggressive</t>
  </si>
  <si>
    <t>A</t>
  </si>
  <si>
    <t>Adventurous Sports</t>
  </si>
  <si>
    <t>only the best</t>
  </si>
  <si>
    <t>Software Engineer; age 47; Foreigner; 2 dep; home; non-smoker</t>
  </si>
  <si>
    <t>P06</t>
  </si>
  <si>
    <t>Hannah Wong</t>
  </si>
  <si>
    <t>Doctor</t>
  </si>
  <si>
    <t>B</t>
  </si>
  <si>
    <t>Life style activities</t>
  </si>
  <si>
    <t>stress-free</t>
  </si>
  <si>
    <t>Doctor; age 32; Citizen; 1 dep; home; non-smoker</t>
  </si>
  <si>
    <t>P07</t>
  </si>
  <si>
    <t>Julian Chee</t>
  </si>
  <si>
    <t>Investment Banker</t>
  </si>
  <si>
    <t>Walking</t>
  </si>
  <si>
    <t>Investment Banker; age 54; PR; 0 dep; home; non-smoker</t>
  </si>
  <si>
    <t>P08</t>
  </si>
  <si>
    <t>Mei Fen Ong</t>
  </si>
  <si>
    <t>CEO</t>
  </si>
  <si>
    <t>CEO; age 60; Citizen; 3 dep; home; smoker</t>
  </si>
  <si>
    <t>P09</t>
  </si>
  <si>
    <t>Hafiz Abdullah</t>
  </si>
  <si>
    <t>Baker</t>
  </si>
  <si>
    <t>HIIT</t>
  </si>
  <si>
    <t>Baker; age 25; Citizen; 0 dep; rent; non-smoker</t>
  </si>
  <si>
    <t>P10</t>
  </si>
  <si>
    <t>Siti Hassan</t>
  </si>
  <si>
    <t>Driver</t>
  </si>
  <si>
    <t>Football</t>
  </si>
  <si>
    <t>Luxurious</t>
  </si>
  <si>
    <t>Driver; age 37; Foreigner; 2 dep; rent; non-smoker</t>
  </si>
  <si>
    <t>P11</t>
  </si>
  <si>
    <t>Aisha Ng</t>
  </si>
  <si>
    <t>Pilates</t>
  </si>
  <si>
    <t>Nurse; age 51; Citizen; 1 dep; home; non-smoker</t>
  </si>
  <si>
    <t>P12</t>
  </si>
  <si>
    <t>Wei Ling Chua</t>
  </si>
  <si>
    <t>Teacher; age 66; Citizen; 0 dep; home; non-smoker</t>
  </si>
  <si>
    <t>P13</t>
  </si>
  <si>
    <t>Daniel Lee</t>
  </si>
  <si>
    <t>Accountant; age 30; PR; 1 dep; rent; smoker</t>
  </si>
  <si>
    <t>P14</t>
  </si>
  <si>
    <t>Priya Goh</t>
  </si>
  <si>
    <t>Golf</t>
  </si>
  <si>
    <t>Marketing Manager; age 44; Citizen; 4 dep; home; non-smoker</t>
  </si>
  <si>
    <t>P15</t>
  </si>
  <si>
    <t>Marcus Teo</t>
  </si>
  <si>
    <t>Software Engineer; age 57; Citizen; 2 dep; home; non-smoker</t>
  </si>
  <si>
    <t>P16</t>
  </si>
  <si>
    <t>Hannah Rahman</t>
  </si>
  <si>
    <t>Doctor; age 23; Citizen; 0 dep; rent; non-smoker</t>
  </si>
  <si>
    <t>P17</t>
  </si>
  <si>
    <t>Julian Tan</t>
  </si>
  <si>
    <t>Investment Banker; age 28; PR; 0 dep; rent; non-smoker</t>
  </si>
  <si>
    <t>P18</t>
  </si>
  <si>
    <t>Mei Fen Koh</t>
  </si>
  <si>
    <t>CEO; age 35; Citizen; 1 dep; home; non-smoker</t>
  </si>
  <si>
    <t>P19</t>
  </si>
  <si>
    <t>Hafiz Nair</t>
  </si>
  <si>
    <t>Baker; age 42; Citizen; 2 dep; home; smoker</t>
  </si>
  <si>
    <t>P20</t>
  </si>
  <si>
    <t>Siti Lim</t>
  </si>
  <si>
    <t>Driver; age 48; Foreigner; 2 dep; home; non-smoker</t>
  </si>
  <si>
    <t>P21</t>
  </si>
  <si>
    <t>Aisha Wong</t>
  </si>
  <si>
    <t>Nurse; age 33; Citizen; 1 dep; home; non-smoker</t>
  </si>
  <si>
    <t>P22</t>
  </si>
  <si>
    <t>Wei Ling Chee</t>
  </si>
  <si>
    <t>Teacher; age 55; PR; 0 dep; home; non-smoker</t>
  </si>
  <si>
    <t>P23</t>
  </si>
  <si>
    <t>Daniel Ong</t>
  </si>
  <si>
    <t>Accountant; age 61; Citizen; 3 dep; home; smoker</t>
  </si>
  <si>
    <t>P24</t>
  </si>
  <si>
    <t>Priya Abdullah</t>
  </si>
  <si>
    <t>Marketing Manager; age 26; Citizen; 0 dep; rent; non-smoker</t>
  </si>
  <si>
    <t>P25</t>
  </si>
  <si>
    <t>Marcus Hassan</t>
  </si>
  <si>
    <t>Software Engineer; age 38; Foreigner; 2 dep; rent; non-smoker</t>
  </si>
  <si>
    <t>P26</t>
  </si>
  <si>
    <t>Hannah Ng</t>
  </si>
  <si>
    <t>low</t>
  </si>
  <si>
    <t>Doctor; age 52; Citizen; 1 dep; home; non-smoker</t>
  </si>
  <si>
    <t>P27</t>
  </si>
  <si>
    <t>Julian Chua</t>
  </si>
  <si>
    <t>Investment Banker; age 67; Citizen; 0 dep; home; non-smoker</t>
  </si>
  <si>
    <t>P28</t>
  </si>
  <si>
    <t>Mei Fen Lee</t>
  </si>
  <si>
    <t>CEO; age 31; PR; 1 dep; rent; smoker</t>
  </si>
  <si>
    <t>P29</t>
  </si>
  <si>
    <t>Hafiz Goh</t>
  </si>
  <si>
    <t>Baker; age 45; Citizen; 4 dep; home; non-smoker</t>
  </si>
  <si>
    <t>P30</t>
  </si>
  <si>
    <t>Siti Teo</t>
  </si>
  <si>
    <t>Driver; age 58; Citizen; 2 dep; home; non-smoker</t>
  </si>
  <si>
    <t>P31</t>
  </si>
  <si>
    <t>Nurse; age 24; Citizen; 0 dep; rent; non-smoker</t>
  </si>
  <si>
    <t>P32</t>
  </si>
  <si>
    <t>Teacher; age 29; PR; 0 dep; rent; non-smoker</t>
  </si>
  <si>
    <t>P33</t>
  </si>
  <si>
    <t>Accountant; age 36; Citizen; 1 dep; home; non-smoker</t>
  </si>
  <si>
    <t>P34</t>
  </si>
  <si>
    <t>Marketing Manager; age 43; Citizen; 2 dep; home; smoker</t>
  </si>
  <si>
    <t>P35</t>
  </si>
  <si>
    <t>Software Engineer; age 49; Foreigner; 2 dep; home; non-smoker</t>
  </si>
  <si>
    <t>P36</t>
  </si>
  <si>
    <t>Doctor; age 34; Citizen; 1 dep; home; non-smoker</t>
  </si>
  <si>
    <t>P37</t>
  </si>
  <si>
    <t>Investment Banker; age 56; PR; 0 dep; home; non-smoker</t>
  </si>
  <si>
    <t>P38</t>
  </si>
  <si>
    <t>CEO; age 62; Citizen; 3 dep; home; smoker</t>
  </si>
  <si>
    <t>P39</t>
  </si>
  <si>
    <t>Baker; age 27; Citizen; 0 dep; rent; non-smoker</t>
  </si>
  <si>
    <t>P40</t>
  </si>
  <si>
    <t>Driver; age 39; Foreigner; 2 dep; rent; non-smoker</t>
  </si>
  <si>
    <t>P41</t>
  </si>
  <si>
    <t>Nurse; age 53; Citizen; 1 dep; home; non-smoker</t>
  </si>
  <si>
    <t>P42</t>
  </si>
  <si>
    <t>Teacher; age 68; Citizen; 0 dep; home; non-smoker</t>
  </si>
  <si>
    <t>P43</t>
  </si>
  <si>
    <t>Accountant; age 32; PR; 1 dep; rent; smoker</t>
  </si>
  <si>
    <t>P44</t>
  </si>
  <si>
    <t>Marketing Manager; age 46; Citizen; 4 dep; home; non-smoker</t>
  </si>
  <si>
    <t>P45</t>
  </si>
  <si>
    <t>Software Engineer; age 59; Citizen; 2 dep; home; non-smoker</t>
  </si>
  <si>
    <t>P46</t>
  </si>
  <si>
    <t>Doctor; age 22; Citizen; 0 dep; rent; non-smoker</t>
  </si>
  <si>
    <t>P47</t>
  </si>
  <si>
    <t>Investment Banker; age 27; PR; 0 dep; rent; non-smoker</t>
  </si>
  <si>
    <t>P48</t>
  </si>
  <si>
    <t>CEO; age 34; Citizen; 1 dep; home; non-smoker</t>
  </si>
  <si>
    <t>P49</t>
  </si>
  <si>
    <t>Baker; age 41; Citizen; 2 dep; home; smoker</t>
  </si>
  <si>
    <t>P50</t>
  </si>
  <si>
    <t>Driver; age 47; Foreigner; 2 dep; home; non-smoker</t>
  </si>
  <si>
    <t>CPF — social-security plug-in. In: gross, age, residency, country. Out: employee contribution, take-home. Runs in user currency.</t>
  </si>
  <si>
    <t>Follows the dropdown on the Selected persona tab.</t>
  </si>
  <si>
    <t>A · INPUT DATA  —  from the selected Personas row</t>
  </si>
  <si>
    <t>D · MODULE PER COUNTRY  —  TRUE = SG-CPF module; FALSE = default module (no contribution)</t>
  </si>
  <si>
    <t>Personas F. Looks up the country switch.</t>
  </si>
  <si>
    <t>CPF on?</t>
  </si>
  <si>
    <t>note</t>
  </si>
  <si>
    <t>Personas E. When CPF is on, Foreigner → rate 0.</t>
  </si>
  <si>
    <t>src/cpf.py applies. Citizen / PR contribute; Foreigner rate 0.</t>
  </si>
  <si>
    <t>Personas C. Age-band rate when CPF is on.</t>
  </si>
  <si>
    <t>Vietnam</t>
  </si>
  <si>
    <t>No CPF. Take-home = gross.</t>
  </si>
  <si>
    <t>Personas J (LLM or user overwrite).</t>
  </si>
  <si>
    <t>Malaysia</t>
  </si>
  <si>
    <t>Thailand</t>
  </si>
  <si>
    <t>D · ASSUMPTIONS  —  src/cpf.py (used only when CPF is on)</t>
  </si>
  <si>
    <t>Philippines</t>
  </si>
  <si>
    <t>OW_CEILING</t>
  </si>
  <si>
    <t>D · assumption / shared</t>
  </si>
  <si>
    <t>Ordinary-wage ceiling. Employee CPF is on min(gross, this).</t>
  </si>
  <si>
    <t>Australia</t>
  </si>
  <si>
    <t>cpfRate_to55</t>
  </si>
  <si>
    <t>Employee rate age ≤ 55.</t>
  </si>
  <si>
    <t>Germany</t>
  </si>
  <si>
    <t>cpfRate_to60</t>
  </si>
  <si>
    <t>Age 56–60.</t>
  </si>
  <si>
    <t>Hong Kong</t>
  </si>
  <si>
    <t>cpfRate_to65</t>
  </si>
  <si>
    <t>Age 61–65.</t>
  </si>
  <si>
    <t>United States</t>
  </si>
  <si>
    <t>cpfRate_to70</t>
  </si>
  <si>
    <t>Age 66–70.</t>
  </si>
  <si>
    <t>cpfRate_over70</t>
  </si>
  <si>
    <t>Age &gt; 70.</t>
  </si>
  <si>
    <t>E · OVERRIDE  —  blank = country switch. TRUE / FALSE forces CPF on or off</t>
  </si>
  <si>
    <t>CPF on? (override)</t>
  </si>
  <si>
    <t>E · user / frontend override</t>
  </si>
  <si>
    <t>TRUE / FALSE / blank. Blank uses the country table.</t>
  </si>
  <si>
    <t>C · DETERMINISTICALLY CALCULATED  —  src/cpf.py when on; identity when off</t>
  </si>
  <si>
    <t>CPF on (effective)</t>
  </si>
  <si>
    <t>Country table, unless the orange override is set.</t>
  </si>
  <si>
    <t>module used</t>
  </si>
  <si>
    <t>Plug-in interface. Other countries get their own module later; the rest of the model does not change.</t>
  </si>
  <si>
    <t>Singapore age-band rate</t>
  </si>
  <si>
    <t>employee_cpf_rate. Ignored when CPF is off.</t>
  </si>
  <si>
    <t>CPF rate used</t>
  </si>
  <si>
    <t>0 when CPF is off for this country.</t>
  </si>
  <si>
    <t>employee CPF</t>
  </si>
  <si>
    <t>floor(min(gross, ceiling) × rate). 0 if CPF off.</t>
  </si>
  <si>
    <t>Gross minus employee CPF. Equals income when CPF is off.</t>
  </si>
  <si>
    <t>People Like You — selected persona. Spend, assets, home, life cover. Take-home comes from the CPF tab.</t>
  </si>
  <si>
    <t>A · INPUT DATA  —  About you from the selected Personas row</t>
  </si>
  <si>
    <t>Personas C. Working years = age − 21.</t>
  </si>
  <si>
    <t>Personas D. Not used by this component.</t>
  </si>
  <si>
    <t>Personas E. Passed to the CPF tab (Foreigner → 0 when CPF is on).</t>
  </si>
  <si>
    <t>Personas F. CPF on/off is decided on the CPF tab.</t>
  </si>
  <si>
    <t>Personas G. Looks up income_anchors.json Singapore band.</t>
  </si>
  <si>
    <t>Personas H. Spend-share +5 pp each; 5× income life cover if &gt; 0.</t>
  </si>
  <si>
    <t>maritalStatus (typed)</t>
  </si>
  <si>
    <t>Personas I. Blank → infer below.</t>
  </si>
  <si>
    <t>B · LLM PREDICTED DATA  —  fields this component reads from Personas</t>
  </si>
  <si>
    <t>income (LLM gross monthly)</t>
  </si>
  <si>
    <t>Personas J. people_like_you_all_fields.json income.</t>
  </si>
  <si>
    <t>Personas K. SGD in this workbook.</t>
  </si>
  <si>
    <t>property (owns home)</t>
  </si>
  <si>
    <t>Personas N. seed_property_value if TRUE.</t>
  </si>
  <si>
    <t>life_expectancy (raw)</t>
  </si>
  <si>
    <t>Personas V. Capped at 99. Missing or ≤ 0 → 85.</t>
  </si>
  <si>
    <t>D · ASSUMPTIONS / SHARED DATA  —  named cells on Assumptions (CPF is on the CPF tab)</t>
  </si>
  <si>
    <t>spendShareBase</t>
  </si>
  <si>
    <t>67.5% of take-home.</t>
  </si>
  <si>
    <t>spendSharePerDependant</t>
  </si>
  <si>
    <t>+5 pp per dependant.</t>
  </si>
  <si>
    <t>spendShareCap</t>
  </si>
  <si>
    <t>90% cap.</t>
  </si>
  <si>
    <t>assetsSaveShare</t>
  </si>
  <si>
    <t>50% of annual surplus saved.</t>
  </si>
  <si>
    <t>workStartAge</t>
  </si>
  <si>
    <t>21. Working years = max(0, age − 21).</t>
  </si>
  <si>
    <t>CASH_SAVINGS_SHARE</t>
  </si>
  <si>
    <t>src/predict.py 15% cash.</t>
  </si>
  <si>
    <t>INVESTMENTS_SHARE</t>
  </si>
  <si>
    <t>src/predict.py 85%.</t>
  </si>
  <si>
    <t>liabilityRatio</t>
  </si>
  <si>
    <t>PLU liabilities = liquid assets × 0.7 (not the mortgage).</t>
  </si>
  <si>
    <t>propertyLow (USD)</t>
  </si>
  <si>
    <t>income &lt; propertyIncomeLow (USD).</t>
  </si>
  <si>
    <t>propertyMid (USD)</t>
  </si>
  <si>
    <t>income between the two USD bands.</t>
  </si>
  <si>
    <t>propertyHigh (USD)</t>
  </si>
  <si>
    <t>income &gt; propertyIncomeHigh (USD).</t>
  </si>
  <si>
    <t>propertyIncomeLow (USD)</t>
  </si>
  <si>
    <t>Monthly gross income in USD.</t>
  </si>
  <si>
    <t>propertyIncomeHigh (USD)</t>
  </si>
  <si>
    <t>PROPERTY_LTV</t>
  </si>
  <si>
    <t>Mortgage = round(property × 55%).</t>
  </si>
  <si>
    <t>lifePremiumRate</t>
  </si>
  <si>
    <t>0.31% of sum assured.</t>
  </si>
  <si>
    <t>life cover step (user currency)</t>
  </si>
  <si>
    <t>lifeRoundUnit (USD) as a nice step in user currency (FX tab).</t>
  </si>
  <si>
    <t>lifeExpectancyDefault</t>
  </si>
  <si>
    <t>Used when raw LE is missing or ≤ 0.</t>
  </si>
  <si>
    <t>C · DETERMINISTICALLY CALCULATED  —  _apply_plu. Take-home is read from the CPF tab.</t>
  </si>
  <si>
    <t>band min</t>
  </si>
  <si>
    <t>income_anchors.json Singapore min for occupation.</t>
  </si>
  <si>
    <t>band max</t>
  </si>
  <si>
    <t>income_anchors.json Singapore max.</t>
  </si>
  <si>
    <t>incomeMonthly (clamped)</t>
  </si>
  <si>
    <t>Clamp LLM income into the occupation band. 0 stays 0.</t>
  </si>
  <si>
    <t>CPF on (from CPF tab)</t>
  </si>
  <si>
    <t>Country switch or orange override on the CPF tab.</t>
  </si>
  <si>
    <t>CPF rate</t>
  </si>
  <si>
    <t>0 when CPF is off.</t>
  </si>
  <si>
    <t>spend share</t>
  </si>
  <si>
    <t>min(67.5% + 5pp × dependents, 90%).</t>
  </si>
  <si>
    <t>expenses_from_gross / spend of take-home.</t>
  </si>
  <si>
    <t>surplus / mo</t>
  </si>
  <si>
    <t>take-home − expense.</t>
  </si>
  <si>
    <t>working years</t>
  </si>
  <si>
    <t>max(0, age − 21).</t>
  </si>
  <si>
    <t>liquid assets</t>
  </si>
  <si>
    <t>surplus × 12 × 0.5 × working years.</t>
  </si>
  <si>
    <t>liquid × 0.7. Not the mortgage.</t>
  </si>
  <si>
    <t>cash (15%)</t>
  </si>
  <si>
    <t>CASH_SAVINGS_SHARE. Python round (half to even).</t>
  </si>
  <si>
    <t>investments (85%)</t>
  </si>
  <si>
    <t>INVESTMENTS_SHARE. Python round (half to even).</t>
  </si>
  <si>
    <t>income USD (home seed)</t>
  </si>
  <si>
    <t>System currency: user currency × USD per 1.</t>
  </si>
  <si>
    <t>property USD</t>
  </si>
  <si>
    <t>seed_property_value on USD bands.</t>
  </si>
  <si>
    <t>Back to user currency.</t>
  </si>
  <si>
    <t>round(property × 55%).</t>
  </si>
  <si>
    <t>_assumed_life_policy: max(mortgage rounded to the life cover step, 5 × annual income if dependents).</t>
  </si>
  <si>
    <t>life premium</t>
  </si>
  <si>
    <t>round(sum × 0.31%), half to even like Python (790.5 → 790).</t>
  </si>
  <si>
    <t>lifeExpectancy used</t>
  </si>
  <si>
    <t>min(raw, 99). Missing or ≤ 0 → 85.</t>
  </si>
  <si>
    <t>marital (inferred)</t>
  </si>
  <si>
    <t>Typed maritalStatus, else age &lt; 30 → single.</t>
  </si>
  <si>
    <t>E · USER / FRONTEND OVERRIDE  —  Personas W–AC (Money page). Blank keeps the green calculated value.</t>
  </si>
  <si>
    <t>override expenseMonthly</t>
  </si>
  <si>
    <t>Money page spend. Frontend MIN_EXPENSE_MONTHLY = 100 SGD.</t>
  </si>
  <si>
    <t>override cash</t>
  </si>
  <si>
    <t>Cash &amp; Savings. Provenance key cash / savings.</t>
  </si>
  <si>
    <t>override investments</t>
  </si>
  <si>
    <t>Investments.</t>
  </si>
  <si>
    <t>override property value</t>
  </si>
  <si>
    <t>Home value. Distinct from owns-home flag N.</t>
  </si>
  <si>
    <t>override mortgage</t>
  </si>
  <si>
    <t>Money page loans.</t>
  </si>
  <si>
    <t>override PLU liabilities</t>
  </si>
  <si>
    <t>Need Profiler TotalLiabilities. Not the mortgage.</t>
  </si>
  <si>
    <t>override life sum assured</t>
  </si>
  <si>
    <t>Existing Life Protection cover.</t>
  </si>
  <si>
    <t>C · EFFECTIVE SESSION  —  override if set, else calculated. Downstream and Validation read these.</t>
  </si>
  <si>
    <t>Personas J (LLM or user). The clamp row above is what /predict would force.</t>
  </si>
  <si>
    <t>From Personas J and CPF.</t>
  </si>
  <si>
    <t>cash + investments.</t>
  </si>
  <si>
    <t>Recomputed from effective sum.</t>
  </si>
  <si>
    <t>Personas K. FX converts with this ISO code.</t>
  </si>
  <si>
    <t>Need Profiler — selected persona. Weighted scores → two protection + two growth. Orange Enable? overrides.</t>
  </si>
  <si>
    <t>A · INPUT DATA  —  from selected Personas + People Like You results</t>
  </si>
  <si>
    <t>Personas C. Bucket &lt;21 / ≤30 / ≤40 / else.</t>
  </si>
  <si>
    <t>Personas D. male=3, female=2.</t>
  </si>
  <si>
    <t>Personas H. 0 / 1 / ≥2 → 0 / 2 / 4.</t>
  </si>
  <si>
    <t>Personas G. Self-employed tokens → 2, else 1.</t>
  </si>
  <si>
    <t>incomeMonthly (from PLU)</t>
  </si>
  <si>
    <t>People Like You calculated income, used as profiler Income.</t>
  </si>
  <si>
    <t>expenseMonthly (from PLU)</t>
  </si>
  <si>
    <t>People Like You calculated spend.</t>
  </si>
  <si>
    <t>liquid assets (from PLU)</t>
  </si>
  <si>
    <t>PLU liabilities (from PLU)</t>
  </si>
  <si>
    <t>B · LLM PREDICTED DATA  —  lifestyle flags this component reads</t>
  </si>
  <si>
    <t>Personas U. TRUE→3, else 1 (JSON has no Smoking options).</t>
  </si>
  <si>
    <t>Personas Q. private=4, public=2.</t>
  </si>
  <si>
    <t>Personas P. A=3, B=2. Single/Double/Ward score 0.</t>
  </si>
  <si>
    <t>Personas T. frugal / stress-free / only the best.</t>
  </si>
  <si>
    <t>Personas S. Adventurous / I dont do sports / Life style.</t>
  </si>
  <si>
    <t>Personas N. Swaps N_SAV ↔ N_PRP in the second growth slot.</t>
  </si>
  <si>
    <t>D · ASSUMPTIONS / SHARED DATA  —  used by this component</t>
  </si>
  <si>
    <t>Existing hospital cover</t>
  </si>
  <si>
    <t>build_profiler_profile hard-codes Existing*Coverage = False → option weight 1.</t>
  </si>
  <si>
    <t>Existing disability cover</t>
  </si>
  <si>
    <t>Same. Stored as 0 here; option weight of False is 1.</t>
  </si>
  <si>
    <t>USD per 1 local</t>
  </si>
  <si>
    <t>From the FX tab. Income / expense / assets / liabilities convert local × this rate.</t>
  </si>
  <si>
    <t>Selection rule</t>
  </si>
  <si>
    <t>2 prot + N_RET + 1 growth</t>
  </si>
  <si>
    <t>select_unified_top ignores top_n. If owns home, N_PRP replaces N_SAV.</t>
  </si>
  <si>
    <t>Profiler weight matrix</t>
  </si>
  <si>
    <t>Assumptions!B90:M104</t>
  </si>
  <si>
    <t>Need_profiler.json needs_factor_weights. SUMPRODUCT with option weights.</t>
  </si>
  <si>
    <t>C · DETERMINISTICALLY CALCULATED  —  local × FX → USD, then 15 option weights</t>
  </si>
  <si>
    <t>usd Income</t>
  </si>
  <si>
    <t>local income × FX. S$5,000 × 0.74 ≈ 3,700 USD → Income weight 2.</t>
  </si>
  <si>
    <t>usd Expense</t>
  </si>
  <si>
    <t>local expense × FX.</t>
  </si>
  <si>
    <t>usd Assets</t>
  </si>
  <si>
    <t>cash + investments × FX.</t>
  </si>
  <si>
    <t>usd Liab</t>
  </si>
  <si>
    <t>PLU liabilities × FX.</t>
  </si>
  <si>
    <t>ow Age</t>
  </si>
  <si>
    <t>_get_option_weight Date of Birth.</t>
  </si>
  <si>
    <t>ow Gender</t>
  </si>
  <si>
    <t>male=3, female=2.</t>
  </si>
  <si>
    <t>ow Deps</t>
  </si>
  <si>
    <t>0 / 1 / else.</t>
  </si>
  <si>
    <t>ow Occ</t>
  </si>
  <si>
    <t>Self-employed tokens.</t>
  </si>
  <si>
    <t>ow Smoke</t>
  </si>
  <si>
    <t>No Smoking options in JSON.</t>
  </si>
  <si>
    <t>ow Income</t>
  </si>
  <si>
    <t>Need_profiler.json Income lt bands (USD after FX).</t>
  </si>
  <si>
    <t>ow Expense</t>
  </si>
  <si>
    <t>Expense USD bands (~0.6× income).</t>
  </si>
  <si>
    <t>ow Assets</t>
  </si>
  <si>
    <t>Assets USD bands (stock).</t>
  </si>
  <si>
    <t>ow Liab</t>
  </si>
  <si>
    <t>Liabilities USD bands (stock).</t>
  </si>
  <si>
    <t>ow HospExist</t>
  </si>
  <si>
    <t>Existing hospital coverage always False → 1.</t>
  </si>
  <si>
    <t>ow DisExist</t>
  </si>
  <si>
    <t>Existing disability coverage always False → 1.</t>
  </si>
  <si>
    <t>ow HospType</t>
  </si>
  <si>
    <t>Hospital Type.</t>
  </si>
  <si>
    <t>ow Ward</t>
  </si>
  <si>
    <t>Ward Type.</t>
  </si>
  <si>
    <t>ow Lifestyle</t>
  </si>
  <si>
    <t>Basic/Comfortable/Luxurious score 0.</t>
  </si>
  <si>
    <t>ow Sports</t>
  </si>
  <si>
    <t>Free-text sports.</t>
  </si>
  <si>
    <t>C · RESULTS  —  raw Σ (factor × option), then min–max scale 0–10</t>
  </si>
  <si>
    <t>raw Life Protection</t>
  </si>
  <si>
    <t>Need_profiler.json column Life Protection.</t>
  </si>
  <si>
    <t>raw Critical Illness</t>
  </si>
  <si>
    <t>Need_profiler.json column Critical Illness.</t>
  </si>
  <si>
    <t>raw Disability</t>
  </si>
  <si>
    <t>Need_profiler.json column Disability.</t>
  </si>
  <si>
    <t>raw Retirement</t>
  </si>
  <si>
    <t>Need_profiler.json column Retirement.</t>
  </si>
  <si>
    <t>raw Education</t>
  </si>
  <si>
    <t>Need_profiler.json column Education.</t>
  </si>
  <si>
    <t>raw Hospitalization</t>
  </si>
  <si>
    <t>Need_profiler.json column Hospitalization.</t>
  </si>
  <si>
    <t>raw General Savings</t>
  </si>
  <si>
    <t>Need_profiler.json column General Savings.</t>
  </si>
  <si>
    <t>raw Farewell</t>
  </si>
  <si>
    <t>Need_profiler.json column Farewell.</t>
  </si>
  <si>
    <t>raw Personal Accident</t>
  </si>
  <si>
    <t>Need_profiler.json column Personal Accident.</t>
  </si>
  <si>
    <t>raw Car Protection</t>
  </si>
  <si>
    <t>Need_profiler.json column Car Protection.</t>
  </si>
  <si>
    <t>raw Home Protection</t>
  </si>
  <si>
    <t>Need_profiler.json column Home Protection.</t>
  </si>
  <si>
    <t>raw Travel Protection</t>
  </si>
  <si>
    <t>Need_profiler.json column Travel Protection.</t>
  </si>
  <si>
    <t>min raw</t>
  </si>
  <si>
    <t>scale_scores min.</t>
  </si>
  <si>
    <t>max raw</t>
  </si>
  <si>
    <t>If max=min, divisor is forced to 1 so every scaled value is 0.</t>
  </si>
  <si>
    <t>scaled Life Protection</t>
  </si>
  <si>
    <t>0–10, 1 decimal.</t>
  </si>
  <si>
    <t>scaled Critical Illness</t>
  </si>
  <si>
    <t>scaled Disability</t>
  </si>
  <si>
    <t>scaled Retirement</t>
  </si>
  <si>
    <t>scaled Education</t>
  </si>
  <si>
    <t>scaled Hospitalization</t>
  </si>
  <si>
    <t>scaled General Savings</t>
  </si>
  <si>
    <t>scaled Farewell</t>
  </si>
  <si>
    <t>scaled Personal Accident</t>
  </si>
  <si>
    <t>scaled Car Protection</t>
  </si>
  <si>
    <t>scaled Home Protection</t>
  </si>
  <si>
    <t>scaled Travel Protection</t>
  </si>
  <si>
    <t>tb N_INC</t>
  </si>
  <si>
    <t>Tie-break: Life Protection first in AI label order.</t>
  </si>
  <si>
    <t>tb N_CRI</t>
  </si>
  <si>
    <t>Critical Illness second.</t>
  </si>
  <si>
    <t>tb N_TPD</t>
  </si>
  <si>
    <t>Disability third.</t>
  </si>
  <si>
    <t>tb N_HOS</t>
  </si>
  <si>
    <t>Hospitalization last.</t>
  </si>
  <si>
    <t>prot1</t>
  </si>
  <si>
    <t>Highest protection score after the 0.00x order bonus.</t>
  </si>
  <si>
    <t>tb2 N_INC</t>
  </si>
  <si>
    <t>Winner of prot1 is excluded.</t>
  </si>
  <si>
    <t>tb2 N_CRI</t>
  </si>
  <si>
    <t>tb2 N_TPD</t>
  </si>
  <si>
    <t>tb2 N_HOS</t>
  </si>
  <si>
    <t>prot2</t>
  </si>
  <si>
    <t>Second protection.</t>
  </si>
  <si>
    <t>tb N_EDU</t>
  </si>
  <si>
    <t>Education first among remaining growth.</t>
  </si>
  <si>
    <t>tb N_SAV</t>
  </si>
  <si>
    <t>General Savings second.</t>
  </si>
  <si>
    <t>tb N_PRP</t>
  </si>
  <si>
    <t>Home Protection last.</t>
  </si>
  <si>
    <t>grow2 raw</t>
  </si>
  <si>
    <t>Before the home-ownership swap.</t>
  </si>
  <si>
    <t>grow2</t>
  </si>
  <si>
    <t>Second growth after forced N_RET. Home ownership swaps SAV/PRP.</t>
  </si>
  <si>
    <t>C · RESULTS  —  eight UNIFIED flags. Orange Enable? = TRUE / FALSE / blank</t>
  </si>
  <si>
    <t>type</t>
  </si>
  <si>
    <t>calc on</t>
  </si>
  <si>
    <t>Enable?</t>
  </si>
  <si>
    <t>on (effective)</t>
  </si>
  <si>
    <t>priority</t>
  </si>
  <si>
    <t>N_INC</t>
  </si>
  <si>
    <t>N_CRI</t>
  </si>
  <si>
    <t>N_TPD</t>
  </si>
  <si>
    <t>N_HOS</t>
  </si>
  <si>
    <t>N_RET</t>
  </si>
  <si>
    <t>TRUE</t>
  </si>
  <si>
    <t>N_EDU</t>
  </si>
  <si>
    <t>N_SAV</t>
  </si>
  <si>
    <t>N_PRP</t>
  </si>
  <si>
    <t>Need Calculator — selected persona. Runs in USD (S-block), results back in user currency. Orange cells are goal-card sliders (user currency).</t>
  </si>
  <si>
    <t>A · INPUT DATA  —  from Personas, People Like You, and Need Profiler</t>
  </si>
  <si>
    <t>Clamped gross monthly.</t>
  </si>
  <si>
    <t>Annual spend = this × 12.</t>
  </si>
  <si>
    <t>mortgage (from PLU)</t>
  </si>
  <si>
    <t>Added to N_INC amount.</t>
  </si>
  <si>
    <t>life sum (from PLU)</t>
  </si>
  <si>
    <t>N_INC have.</t>
  </si>
  <si>
    <t>investments (from PLU)</t>
  </si>
  <si>
    <t>Tagged wealth pot only. Cash is never allocated.</t>
  </si>
  <si>
    <t>lifeExpectancy used (from PLU)</t>
  </si>
  <si>
    <t>yearsInRet = max(0, LE − retAge).</t>
  </si>
  <si>
    <t>O · GOAL-CARD SLIDERS / OVERRIDES  —  orange. Blank years keep the age rule</t>
  </si>
  <si>
    <t>lifestyle (1/2/3)</t>
  </si>
  <si>
    <t>1=frugal, 2=stress-free, 3=only the best. Default 2.</t>
  </si>
  <si>
    <t>retAge</t>
  </si>
  <si>
    <t>Default from Assumptions (65).</t>
  </si>
  <si>
    <t>targetYear</t>
  </si>
  <si>
    <t>Education horizon year.</t>
  </si>
  <si>
    <t>bequest</t>
  </si>
  <si>
    <t>dependYears (blank = age rule)</t>
  </si>
  <si>
    <t>Blank or ≤0 → supportYears.</t>
  </si>
  <si>
    <t>incomeReplace (blank = income)</t>
  </si>
  <si>
    <t>Blank → incomeMonthly for CI / TPD.</t>
  </si>
  <si>
    <t>N_SAV stored</t>
  </si>
  <si>
    <t>If &gt; 0, this is N_SAV amount; else 1× annual income.</t>
  </si>
  <si>
    <t>N_PRP stored</t>
  </si>
  <si>
    <t>If &gt; 0, this is N_PRP amount; else 5× annual income.</t>
  </si>
  <si>
    <t>tag N_RET</t>
  </si>
  <si>
    <t>Investments tagged to retirement, then grown at realReturn.</t>
  </si>
  <si>
    <t>tag N_EDU</t>
  </si>
  <si>
    <t>apply_investment_pot walk order: RET, EDU, SAV, PRP.</t>
  </si>
  <si>
    <t>tag N_SAV</t>
  </si>
  <si>
    <t>Takes from remaining investments after RET and EDU.</t>
  </si>
  <si>
    <t>tag N_PRP</t>
  </si>
  <si>
    <t>Last in the walk.</t>
  </si>
  <si>
    <t>S · SYSTEM CURRENCY (USD)  —  user-currency inputs × USD per 1. The calculator below runs on these</t>
  </si>
  <si>
    <t>USD per 1 user-currency unit</t>
  </si>
  <si>
    <t>FX tab. #N/A if the currency is unknown.</t>
  </si>
  <si>
    <t>price level (option B)</t>
  </si>
  <si>
    <t>1 under option A. Scales the USD fixed amounts.</t>
  </si>
  <si>
    <t>incomeMonthly USD</t>
  </si>
  <si>
    <t>expenseMonthly USD</t>
  </si>
  <si>
    <t>mortgage USD</t>
  </si>
  <si>
    <t>life sum USD</t>
  </si>
  <si>
    <t>investments USD</t>
  </si>
  <si>
    <t>bequest USD</t>
  </si>
  <si>
    <t>N_SAV stored USD</t>
  </si>
  <si>
    <t>N_PRP stored USD</t>
  </si>
  <si>
    <t>tag N_RET USD</t>
  </si>
  <si>
    <t>tag N_EDU USD</t>
  </si>
  <si>
    <t>tag N_SAV USD</t>
  </si>
  <si>
    <t>tag N_PRP USD</t>
  </si>
  <si>
    <t>incomeReplace USD</t>
  </si>
  <si>
    <t>Blank → income.</t>
  </si>
  <si>
    <t>CI_COST USD (× price level)</t>
  </si>
  <si>
    <t>Fixed amount, USD.</t>
  </si>
  <si>
    <t>TPD_COST USD (× price level)</t>
  </si>
  <si>
    <t>EDU_TOTAL_COST USD (× price level)</t>
  </si>
  <si>
    <t>D · ASSUMPTIONS / SHARED DATA  —  rates and need parameters</t>
  </si>
  <si>
    <t>inflationRate</t>
  </si>
  <si>
    <t>Grows EDU cost. N_RET grows at realReturn, not inflation.</t>
  </si>
  <si>
    <t>investmentReturn</t>
  </si>
  <si>
    <t>Used to form realReturn.</t>
  </si>
  <si>
    <t>realReturn</t>
  </si>
  <si>
    <t>max(0, (1+i)/(1+π) − 1). Discount rate.</t>
  </si>
  <si>
    <t>lifestyleFrugal</t>
  </si>
  <si>
    <t>N_RET spend multiple when lifestyle=1.</t>
  </si>
  <si>
    <t>lifestyleStressFree</t>
  </si>
  <si>
    <t>Default lifestyle=2.</t>
  </si>
  <si>
    <t>lifestyleOnlyTheBest</t>
  </si>
  <si>
    <t>lifestyle=3.</t>
  </si>
  <si>
    <t>lifeSupportMin / Max / Pivot</t>
  </si>
  <si>
    <t>supportYears = min(max(10, 50 − age), 25).</t>
  </si>
  <si>
    <t>CI_YEARS / CI_COST</t>
  </si>
  <si>
    <t>3 years annuity-due + CI_COST (USD, S-block).</t>
  </si>
  <si>
    <t>TPD_YEARS / TPD_COST</t>
  </si>
  <si>
    <t>5 years annuity-due + TPD_COST (USD, S-block).</t>
  </si>
  <si>
    <t>HOSP_MONTHS</t>
  </si>
  <si>
    <t>N_HOS = income × 6.</t>
  </si>
  <si>
    <t>EDU_TOTAL_COST (USD)</t>
  </si>
  <si>
    <t>USD course cost, grown at inflation.</t>
  </si>
  <si>
    <t>savIncomeMultiple</t>
  </si>
  <si>
    <t>1 × annual income if stored is 0.</t>
  </si>
  <si>
    <t>prpIncomeMultiple</t>
  </si>
  <si>
    <t>5 × annual income if stored is 0.</t>
  </si>
  <si>
    <t>currentYear / ageOfRetirement</t>
  </si>
  <si>
    <t>2026 / 65 in this workbook.</t>
  </si>
  <si>
    <t>C · DETERMINISTICALLY CALCULATED  —  horizons</t>
  </si>
  <si>
    <t>supportYears</t>
  </si>
  <si>
    <t>life_support_years(age).</t>
  </si>
  <si>
    <t>yearsToRet</t>
  </si>
  <si>
    <t>years_to_retirement.</t>
  </si>
  <si>
    <t>yearsInRet</t>
  </si>
  <si>
    <t>years_in_retirement(retAge, session LE).</t>
  </si>
  <si>
    <t>eduYears</t>
  </si>
  <si>
    <t>max(0, targetYear − thisYear).</t>
  </si>
  <si>
    <t>C · RESULTS  —  amount / have / gap for every UNIFIED type (even when off)</t>
  </si>
  <si>
    <t>needAmount</t>
  </si>
  <si>
    <t>have</t>
  </si>
  <si>
    <t>gap</t>
  </si>
  <si>
    <t>needAmount USD</t>
  </si>
  <si>
    <t>have USD</t>
  </si>
  <si>
    <t>gap USD</t>
  </si>
  <si>
    <t>bequest + mortgage + PV of annual spend over dependYears.</t>
  </si>
  <si>
    <t>Annuity-due of replacement income for CI_YEARS + CI_COST.</t>
  </si>
  <si>
    <t>Annuity-due of replacement income for TPD_YEARS + TPD_COST.</t>
  </si>
  <si>
    <t>incomeMonthly × HOSP_MONTHS.</t>
  </si>
  <si>
    <t>annualSpend × (1+realReturn)^T × a(realReturn, yearsInRet).</t>
  </si>
  <si>
    <t>EDU_TOTAL_COST (USD) × (1+inflation)^eduYears.</t>
  </si>
  <si>
    <t>Stored or 1× annual income.</t>
  </si>
  <si>
    <t>Stored or 5× annual income.</t>
  </si>
  <si>
    <t>Plan Calculator — selected persona. seedProducts / planProducts.ts. Suggested = enabled AND gap &gt; 0.</t>
  </si>
  <si>
    <t>A · INPUT DATA  —  from People Like You and Need Calculator</t>
  </si>
  <si>
    <t>take-home (from PLU)</t>
  </si>
  <si>
    <t>Surplus uses take-home, not gross income.</t>
  </si>
  <si>
    <t>types.ts availableBudget.</t>
  </si>
  <si>
    <t>N_INC on (from Need Calculator)</t>
  </si>
  <si>
    <t>Effective enable after Need Calculator override.</t>
  </si>
  <si>
    <t>N_INC gap (from Need Calculator)</t>
  </si>
  <si>
    <t>remaining_gap.</t>
  </si>
  <si>
    <t>N_CRI on (from Need Calculator)</t>
  </si>
  <si>
    <t>N_CRI gap (from Need Calculator)</t>
  </si>
  <si>
    <t>N_TPD on (from Need Calculator)</t>
  </si>
  <si>
    <t>N_TPD gap (from Need Calculator)</t>
  </si>
  <si>
    <t>N_HOS on (from Need Calculator)</t>
  </si>
  <si>
    <t>N_HOS gap (from Need Calculator)</t>
  </si>
  <si>
    <t>N_RET on (from Need Calculator)</t>
  </si>
  <si>
    <t>N_RET gap (from Need Calculator)</t>
  </si>
  <si>
    <t>N_EDU on (from Need Calculator)</t>
  </si>
  <si>
    <t>N_EDU gap (from Need Calculator)</t>
  </si>
  <si>
    <t>N_SAV on (from Need Calculator)</t>
  </si>
  <si>
    <t>N_SAV gap (from Need Calculator)</t>
  </si>
  <si>
    <t>N_PRP on (from Need Calculator)</t>
  </si>
  <si>
    <t>N_PRP gap (from Need Calculator)</t>
  </si>
  <si>
    <t>yearsToRet (from Need Calculator)</t>
  </si>
  <si>
    <t>Retirement contribution horizon.</t>
  </si>
  <si>
    <t>eduYears (from Need Calculator)</t>
  </si>
  <si>
    <t>EDU / SAV / PRP contribution horizon.</t>
  </si>
  <si>
    <t>protectionPremiumRate</t>
  </si>
  <si>
    <t>Dummy 0.00078. Future: premium-quote calculator API.</t>
  </si>
  <si>
    <t>FREE_BUDGET_SHARE</t>
  </si>
  <si>
    <t>Half of leftover surplus split across wealth needs.</t>
  </si>
  <si>
    <t>monthly step (user currency)</t>
  </si>
  <si>
    <t>monthlyRoundStep (USD) as a nice step in user currency. SGD: 50.</t>
  </si>
  <si>
    <t>premium step (user currency)</t>
  </si>
  <si>
    <t>coverPremRoundStep (USD) as a nice step in user currency. SGD: 10.</t>
  </si>
  <si>
    <t>annualPmtToHitFv for the wealth cap.</t>
  </si>
  <si>
    <t>C · DETERMINISTICALLY CALCULATED  —  suggested flags and protection sizing</t>
  </si>
  <si>
    <t>sug N_INC</t>
  </si>
  <si>
    <t>enabled AND gap &gt; 0.</t>
  </si>
  <si>
    <t>sug N_CRI</t>
  </si>
  <si>
    <t>sug N_TPD</t>
  </si>
  <si>
    <t>sug N_HOS</t>
  </si>
  <si>
    <t>sug N_RET</t>
  </si>
  <si>
    <t>sug N_EDU</t>
  </si>
  <si>
    <t>sug N_SAV</t>
  </si>
  <si>
    <t>sug N_PRP</t>
  </si>
  <si>
    <t>n wealth suggested</t>
  </si>
  <si>
    <t>Count of suggested wealth needs.</t>
  </si>
  <si>
    <t>planSum N_INC</t>
  </si>
  <si>
    <t>Suggested protection sum = gap.</t>
  </si>
  <si>
    <t>planPrem N_INC</t>
  </si>
  <si>
    <t>coverPremiumFor(sum). Indicative, not half of slider max.</t>
  </si>
  <si>
    <t>planSum N_CRI</t>
  </si>
  <si>
    <t>planPrem N_CRI</t>
  </si>
  <si>
    <t>planSum N_TPD</t>
  </si>
  <si>
    <t>planPrem N_TPD</t>
  </si>
  <si>
    <t>planSum N_HOS</t>
  </si>
  <si>
    <t>planPrem N_HOS</t>
  </si>
  <si>
    <t>prot prem / yr</t>
  </si>
  <si>
    <t>Sum of suggested protection premiums (before Include?).</t>
  </si>
  <si>
    <t>default wealth mth share</t>
  </si>
  <si>
    <t>Leftover surplus × 50% / 12 / n wealth, rounded to the monthly step.</t>
  </si>
  <si>
    <t>cap mth N_RET</t>
  </si>
  <si>
    <t>annualPmtToHitFv / 12, rounded up to the monthly step.</t>
  </si>
  <si>
    <t>planMth N_RET</t>
  </si>
  <si>
    <t>min(default share, cap).</t>
  </si>
  <si>
    <t>planLump N_RET</t>
  </si>
  <si>
    <t>Default lump is 0.</t>
  </si>
  <si>
    <t>cap mth N_EDU</t>
  </si>
  <si>
    <t>planMth N_EDU</t>
  </si>
  <si>
    <t>planLump N_EDU</t>
  </si>
  <si>
    <t>cap mth N_SAV</t>
  </si>
  <si>
    <t>planMth N_SAV</t>
  </si>
  <si>
    <t>planLump N_SAV</t>
  </si>
  <si>
    <t>cap mth N_PRP</t>
  </si>
  <si>
    <t>planMth N_PRP</t>
  </si>
  <si>
    <t>planLump N_PRP</t>
  </si>
  <si>
    <t>C · RESULTS  —  Include? blank keeps the suggested product</t>
  </si>
  <si>
    <t>suggested</t>
  </si>
  <si>
    <t>Include?</t>
  </si>
  <si>
    <t>included</t>
  </si>
  <si>
    <t>investMth</t>
  </si>
  <si>
    <t>Sum of included wealth monthly contributions.</t>
  </si>
  <si>
    <t>investLump</t>
  </si>
  <si>
    <t>Sum of included wealth lumps (default 0).</t>
  </si>
  <si>
    <t>Budget Calculator — selected persona. planAfford. Surplus is take-home minus expense.</t>
  </si>
  <si>
    <t>A · INPUT DATA  —  from People Like You and Plan Calculator</t>
  </si>
  <si>
    <t>types.ts availableBudget uses take-home.</t>
  </si>
  <si>
    <t>Not gross income.</t>
  </si>
  <si>
    <t>Cap for lumps.</t>
  </si>
  <si>
    <t>included N_INC premium</t>
  </si>
  <si>
    <t>Only included protection.</t>
  </si>
  <si>
    <t>included N_CRI premium</t>
  </si>
  <si>
    <t>included N_TPD premium</t>
  </si>
  <si>
    <t>included N_HOS premium</t>
  </si>
  <si>
    <t>investMth (from Plan)</t>
  </si>
  <si>
    <t>Included wealth contributions.</t>
  </si>
  <si>
    <t>investLump (from Plan)</t>
  </si>
  <si>
    <t>Included wealth lumps.</t>
  </si>
  <si>
    <t>Half of monthly surplus is the free budget.</t>
  </si>
  <si>
    <t>C · DETERMINISTICALLY CALCULATED  —  planAfford</t>
  </si>
  <si>
    <t>available</t>
  </si>
  <si>
    <t>max(0, take-home − expense).</t>
  </si>
  <si>
    <t>free (50%)</t>
  </si>
  <si>
    <t>available × 50%, rounded.</t>
  </si>
  <si>
    <t>included prot prem / yr</t>
  </si>
  <si>
    <t>Sum of included protection premiums.</t>
  </si>
  <si>
    <t>premMth (display)</t>
  </si>
  <si>
    <t>Annual premiums / 12.</t>
  </si>
  <si>
    <t>contribMth</t>
  </si>
  <si>
    <t>Same as investMth.</t>
  </si>
  <si>
    <t>monthly</t>
  </si>
  <si>
    <t>contrib + prem/12.</t>
  </si>
  <si>
    <t>monthlyOver</t>
  </si>
  <si>
    <t>&gt; 0 means the plan exceeds the free budget.</t>
  </si>
  <si>
    <t>lumps</t>
  </si>
  <si>
    <t>Included lumps.</t>
  </si>
  <si>
    <t>lumpOver</t>
  </si>
  <si>
    <t>&gt; 0 means lumps exceed current investments.</t>
  </si>
  <si>
    <t>Scenario Visualizer — selected persona. One deterministic path of SV CashFlowGeneratorV2 on GP's payload.</t>
  </si>
  <si>
    <t>A · INPUT DATA  —  effective session (People Like You, Need Calculator, Plan Calculator)</t>
  </si>
  <si>
    <t>D · SV CPF TABLES  —  SocialSecurityR_SGP (by age at contribution)</t>
  </si>
  <si>
    <t>from age</t>
  </si>
  <si>
    <t>to age</t>
  </si>
  <si>
    <t>total rate</t>
  </si>
  <si>
    <t>employee rate</t>
  </si>
  <si>
    <t>OA share</t>
  </si>
  <si>
    <t>SA share</t>
  </si>
  <si>
    <t>MA share</t>
  </si>
  <si>
    <t>Personas E. sv_payload.py sends CPF region R_SGP unless Foreigner.</t>
  </si>
  <si>
    <t>Salary I_SAL = round(× 12).</t>
  </si>
  <si>
    <t>Investment contribution = take-home − spend.</t>
  </si>
  <si>
    <t>PERSONAL_EXPENSE = round(× 12).</t>
  </si>
  <si>
    <t>A_SAV, grows at interestRate.</t>
  </si>
  <si>
    <t>INVESTMENT_PORTFOLIO, grows at investmentReturn.</t>
  </si>
  <si>
    <t>RESIDENTIAL_PROPERTY (illiquid).</t>
  </si>
  <si>
    <t>Mortgage loan, 20-year annuity at loanRate.</t>
  </si>
  <si>
    <t>Existing life policy (only when &gt; 0).</t>
  </si>
  <si>
    <t>life premium / yr</t>
  </si>
  <si>
    <t>regularPremium of the existing policy.</t>
  </si>
  <si>
    <t>D · CPF LIFE  —  BRS and monthly payout by (55 − age)+ + year − 2023</t>
  </si>
  <si>
    <t>row</t>
  </si>
  <si>
    <t>BRS</t>
  </si>
  <si>
    <t>payout × 1</t>
  </si>
  <si>
    <t>payout × 2</t>
  </si>
  <si>
    <t>payout × 3</t>
  </si>
  <si>
    <t>D · ASSUMPTIONS  —  SV helium tenant conf.ini and SocialSecurityR_SGP</t>
  </si>
  <si>
    <t>lifeExpectancy (SV tenant)</t>
  </si>
  <si>
    <t>helium conf.ini. The path runs to age 100, not the session LE.</t>
  </si>
  <si>
    <t>savingsRate</t>
  </si>
  <si>
    <t>helium conf.ini. Savings account growth; also the premium load (× 1.01).</t>
  </si>
  <si>
    <t>ageOfRetirement</t>
  </si>
  <si>
    <t>Assumptions.</t>
  </si>
  <si>
    <t>loan / premium term (years)</t>
  </si>
  <si>
    <t>Mortgage remainingYears and existing policyTerm in sv_payload.py.</t>
  </si>
  <si>
    <t>property rate premium</t>
  </si>
  <si>
    <t>Property grows at max(0, assetReturn + 0.4%).</t>
  </si>
  <si>
    <t>currency shock share</t>
  </si>
  <si>
    <t>Liquid assets fall by 2/3 of the slider.</t>
  </si>
  <si>
    <t>CPF ordinary-wage cap / yr</t>
  </si>
  <si>
    <t>SocialSecurityR_SGP.</t>
  </si>
  <si>
    <t>CPF MA cap</t>
  </si>
  <si>
    <t>Medisave excess moves to RA at payout age; MA is capped from then.</t>
  </si>
  <si>
    <t>CPF OA rate</t>
  </si>
  <si>
    <t>CPF SA / MA rate</t>
  </si>
  <si>
    <t>CPF RA / LIFE growth factor</t>
  </si>
  <si>
    <t>RA and the CPF LIFE pot grow × 1.04 a year.</t>
  </si>
  <si>
    <t>BRS / payout growth</t>
  </si>
  <si>
    <t>Past the 2027 row, and per year of payout age past 55.</t>
  </si>
  <si>
    <t>payout bonus per deferral year</t>
  </si>
  <si>
    <t>× (1 + 7% × (payout age − 65)).</t>
  </si>
  <si>
    <t>C · DETERMINISTICALLY CALCULATED  —  sv_payload.py values as SV reads them</t>
  </si>
  <si>
    <t>years on the path (T)</t>
  </si>
  <si>
    <t>SV numYears = 100 − age.</t>
  </si>
  <si>
    <t>array length (T + 1)</t>
  </si>
  <si>
    <t>Asset / CPF columns run 0..T.</t>
  </si>
  <si>
    <t>years to retirement</t>
  </si>
  <si>
    <t>salary zero from index</t>
  </si>
  <si>
    <t>numpy arr[dtr−1:] = 0. When dtr = 0 only the last year is zeroed (SV keeps salary for retirees).</t>
  </si>
  <si>
    <t>salary / yr</t>
  </si>
  <si>
    <t>I_SAL absoluteValue. Python round (half to even).</t>
  </si>
  <si>
    <t>spend / yr</t>
  </si>
  <si>
    <t>PERSONAL_EXPENSE absoluteValue. Python round (half to even).</t>
  </si>
  <si>
    <t>mortgage principal</t>
  </si>
  <si>
    <t>int(mortgage).</t>
  </si>
  <si>
    <t>mortgage instalment / yr</t>
  </si>
  <si>
    <t>Level annual annuity that clears the loan in 20 years, interest included (goal_math.annual_loan_payment). rate 0 → mortgage / 20. Paid from spend for 20 years. Python round (half to even).</t>
  </si>
  <si>
    <t>investment contribution / yr</t>
  </si>
  <si>
    <t>sv_payload.py sends the MONTHLY surplus; SV adds it once a year. Python round (half to even).</t>
  </si>
  <si>
    <t>existing life premium / yr</t>
  </si>
  <si>
    <t>InsuranceBaseClass premium × (1 + savingsRate), first 20 years.</t>
  </si>
  <si>
    <t>property growth</t>
  </si>
  <si>
    <t>goal withdrawal year</t>
  </si>
  <si>
    <t>EDU / SAV / PRP fundsNeededYear − now (default 10).</t>
  </si>
  <si>
    <t>goal withdrawal amount</t>
  </si>
  <si>
    <t>capitalSumRequired of each enabled goal, not inflated. Leaves savings in that year.</t>
  </si>
  <si>
    <t>plan RET monthly</t>
  </si>
  <si>
    <t>plan_benefit_visualizer pot.</t>
  </si>
  <si>
    <t>plan RET lump</t>
  </si>
  <si>
    <t>plan RET pay years</t>
  </si>
  <si>
    <t>plan EDU + SAV + PRP monthly</t>
  </si>
  <si>
    <t>Same pay years and rate, so one pot column.</t>
  </si>
  <si>
    <t>plan EDU + SAV + PRP lump</t>
  </si>
  <si>
    <t>plan goal pay years</t>
  </si>
  <si>
    <t>plan protection premium / yr</t>
  </si>
  <si>
    <t>Premiums only: protection pots have no account value on SV's no-death path.</t>
  </si>
  <si>
    <t>plan protection pay years</t>
  </si>
  <si>
    <t>E · OVERRIDE  —  stress events (blank size = off). Slider years as on the SV screen</t>
  </si>
  <si>
    <t>market crash: year</t>
  </si>
  <si>
    <t>Slider year; SV applies it at year + 1.</t>
  </si>
  <si>
    <t>market crash: size</t>
  </si>
  <si>
    <t>e.g. 0.35. Every asset × (1 − size).</t>
  </si>
  <si>
    <t>currency shock: year</t>
  </si>
  <si>
    <t>currency shock: size</t>
  </si>
  <si>
    <t>Liquid assets × (1 − size × 2/3).</t>
  </si>
  <si>
    <t>inflation shock: from</t>
  </si>
  <si>
    <t>inflation shock: to</t>
  </si>
  <si>
    <t>inflation shock: extra</t>
  </si>
  <si>
    <t>Added to inflationRate for the window.</t>
  </si>
  <si>
    <t>income impact: from</t>
  </si>
  <si>
    <t>income impact: to</t>
  </si>
  <si>
    <t>income impact: size</t>
  </si>
  <si>
    <t>−0.2 = salary × 0.8 (also the CPF wage).</t>
  </si>
  <si>
    <t>expense impact: from</t>
  </si>
  <si>
    <t>expense impact: to</t>
  </si>
  <si>
    <t>expense impact: size</t>
  </si>
  <si>
    <t>Scales spend, instalment and goal withdrawals.</t>
  </si>
  <si>
    <t>crash on</t>
  </si>
  <si>
    <t>crash year (SV)</t>
  </si>
  <si>
    <t>crash factor</t>
  </si>
  <si>
    <t>currency on</t>
  </si>
  <si>
    <t>currency year (SV)</t>
  </si>
  <si>
    <t>currency factor</t>
  </si>
  <si>
    <t>inflation on</t>
  </si>
  <si>
    <t>inflation first year (SV)</t>
  </si>
  <si>
    <t>inflation last year (SV)</t>
  </si>
  <si>
    <t>income on</t>
  </si>
  <si>
    <t>income first year (SV)</t>
  </si>
  <si>
    <t>income last year (SV)</t>
  </si>
  <si>
    <t>expense on</t>
  </si>
  <si>
    <t>expense first year (SV)</t>
  </si>
  <si>
    <t>expense last year (SV)</t>
  </si>
  <si>
    <t>shock inflation rate</t>
  </si>
  <si>
    <t>income impact</t>
  </si>
  <si>
    <t>expense impact</t>
  </si>
  <si>
    <t>C · CPF AT PAYOUT AGE  —  numpy indexing as SV runs it (negative index counts from the end)</t>
  </si>
  <si>
    <t>sv_payload.py: region R_SGP unless Foreigner (not the CPF tab country switch).</t>
  </si>
  <si>
    <t>payout age</t>
  </si>
  <si>
    <t>ageStartPayout.</t>
  </si>
  <si>
    <t>contribution stop index</t>
  </si>
  <si>
    <t>Contributions zero from here.</t>
  </si>
  <si>
    <t>payout index</t>
  </si>
  <si>
    <t>Past age 66 the payout index is negative, so SV wraps RA into year 0 (Discrepancies).</t>
  </si>
  <si>
    <t>contributions zero from (effective)</t>
  </si>
  <si>
    <t>employee CPF zero from (effective)</t>
  </si>
  <si>
    <t>payout column (effective)</t>
  </si>
  <si>
    <t>column before payout (effective)</t>
  </si>
  <si>
    <t>BRS row</t>
  </si>
  <si>
    <t>BRS at payout age</t>
  </si>
  <si>
    <t>RA at payout (before CPF LIFE)</t>
  </si>
  <si>
    <t>OA + SA + MA above the cap, one column before payout.</t>
  </si>
  <si>
    <t>BRS multiple (max 3)</t>
  </si>
  <si>
    <t>CPF LIFE premium (withdrawn from RA)</t>
  </si>
  <si>
    <t>CPF LIFE monthly payout</t>
  </si>
  <si>
    <t>CPF LIFE pot at payout column</t>
  </si>
  <si>
    <t>RA at payout column</t>
  </si>
  <si>
    <t>wrap steps (payout index &lt; 0)</t>
  </si>
  <si>
    <t>SV's loop starts at a negative year.</t>
  </si>
  <si>
    <t>CPF LIFE carried into year 0 (wrap)</t>
  </si>
  <si>
    <t>RA carried into year 0 (wrap)</t>
  </si>
  <si>
    <t>C · RESULTS  —  wealth (pre = today, post = with the plan)</t>
  </si>
  <si>
    <t>pre wealth at age 65</t>
  </si>
  <si>
    <t>pre wealth at age 85</t>
  </si>
  <si>
    <t>post wealth at age 65</t>
  </si>
  <si>
    <t>post wealth at age 85</t>
  </si>
  <si>
    <t>pre wealth at endAge</t>
  </si>
  <si>
    <t>Assumptions endAge.</t>
  </si>
  <si>
    <t>post wealth at endAge</t>
  </si>
  <si>
    <t>pre: first age spendable wealth &lt; 0</t>
  </si>
  <si>
    <t>Expense-funding panel: shortfall starts here even if the chart line is above 0.</t>
  </si>
  <si>
    <t>post: first age spendable wealth &lt; 0</t>
  </si>
  <si>
    <t>year</t>
  </si>
  <si>
    <t>C · HUMAN CAPITAL  —  salary, spend, premiums (flows land in the year shown)</t>
  </si>
  <si>
    <t>C · ASSETS</t>
  </si>
  <si>
    <t>C · CPF  —  SocialSecurityR_SGP</t>
  </si>
  <si>
    <t>C · PRE (today)</t>
  </si>
  <si>
    <t>C · POST (with the plan)  —  plan_benefit_visualizer pots</t>
  </si>
  <si>
    <t>calendar</t>
  </si>
  <si>
    <t>on path</t>
  </si>
  <si>
    <t>inflation factor</t>
  </si>
  <si>
    <t>spend index</t>
  </si>
  <si>
    <t>income factor</t>
  </si>
  <si>
    <t>salary</t>
  </si>
  <si>
    <t>spend + instalment + goals</t>
  </si>
  <si>
    <t>existing life premium</t>
  </si>
  <si>
    <t>to investments</t>
  </si>
  <si>
    <t>crash</t>
  </si>
  <si>
    <t>home</t>
  </si>
  <si>
    <t>CPF band</t>
  </si>
  <si>
    <t>CPF wage</t>
  </si>
  <si>
    <t>OA (running)</t>
  </si>
  <si>
    <t>SA (running)</t>
  </si>
  <si>
    <t>MA (running)</t>
  </si>
  <si>
    <t>OA</t>
  </si>
  <si>
    <t>SA</t>
  </si>
  <si>
    <t>MA</t>
  </si>
  <si>
    <t>CPF LIFE payout</t>
  </si>
  <si>
    <t>RA</t>
  </si>
  <si>
    <t>CPF LIFE pot</t>
  </si>
  <si>
    <t>CPF total</t>
  </si>
  <si>
    <t>CPF cash flow</t>
  </si>
  <si>
    <t>mortgage balance (annuity → 0 at year 20)</t>
  </si>
  <si>
    <t>savings (pre)</t>
  </si>
  <si>
    <t>WEALTH pre</t>
  </si>
  <si>
    <t>SPENDABLE pre</t>
  </si>
  <si>
    <t>RET paid in</t>
  </si>
  <si>
    <t>RET pot</t>
  </si>
  <si>
    <t>goal pots paid in</t>
  </si>
  <si>
    <t>goal pots</t>
  </si>
  <si>
    <t>protection premium</t>
  </si>
  <si>
    <t>plan account value</t>
  </si>
  <si>
    <t>plan cash flow</t>
  </si>
  <si>
    <t>savings (post)</t>
  </si>
  <si>
    <t>WEALTH post</t>
  </si>
  <si>
    <t>SPENDABLE post</t>
  </si>
  <si>
    <t>HappiU — selected persona. Deterministic HU score: expected values weighted by survival, on HU's cashflow rules.</t>
  </si>
  <si>
    <t>A · INPUT DATA  —  effective session (what hu_payload.py sends)</t>
  </si>
  <si>
    <t>C · GOALS  —  enabled needs plus N_RET (GP always sends it)</t>
  </si>
  <si>
    <t>Personas C. HU needs 18–83.</t>
  </si>
  <si>
    <t>code</t>
  </si>
  <si>
    <t>in list</t>
  </si>
  <si>
    <t>need</t>
  </si>
  <si>
    <t>existing</t>
  </si>
  <si>
    <t>in plan</t>
  </si>
  <si>
    <t>benefit</t>
  </si>
  <si>
    <t>duration</t>
  </si>
  <si>
    <t>D</t>
  </si>
  <si>
    <t>path</t>
  </si>
  <si>
    <t>w0</t>
  </si>
  <si>
    <t>whl</t>
  </si>
  <si>
    <t>v(0)</t>
  </si>
  <si>
    <t>U base</t>
  </si>
  <si>
    <t>U pre</t>
  </si>
  <si>
    <t>U rec</t>
  </si>
  <si>
    <t>U full</t>
  </si>
  <si>
    <t>denominator</t>
  </si>
  <si>
    <t>pre</t>
  </si>
  <si>
    <t>post</t>
  </si>
  <si>
    <t>flag</t>
  </si>
  <si>
    <t>log priority</t>
  </si>
  <si>
    <t>calibration</t>
  </si>
  <si>
    <t>weight</t>
  </si>
  <si>
    <t>Personas D. Picks the q(age) column.</t>
  </si>
  <si>
    <t>W</t>
  </si>
  <si>
    <t>C</t>
  </si>
  <si>
    <t>N_HSP</t>
  </si>
  <si>
    <t>A_SAV. HU starts savings at 1 when cash is 0.</t>
  </si>
  <si>
    <t>A_INV. Deterministic growth e^(mu·t).</t>
  </si>
  <si>
    <t>N_INC existing cover.</t>
  </si>
  <si>
    <t>session life expectancy</t>
  </si>
  <si>
    <t>durationOfRetirement = LE − retirement age.</t>
  </si>
  <si>
    <t>D · ASSUMPTIONS  —  HU conf.json / config/default/conf.ini / hu_payload.py</t>
  </si>
  <si>
    <t>default life expectancy</t>
  </si>
  <si>
    <t>HU uses 83 when durationOfRetirement is 0.</t>
  </si>
  <si>
    <t>CI income years (N_CRI on)</t>
  </si>
  <si>
    <t>numYearsIncomeNeeded from GP.</t>
  </si>
  <si>
    <t>CI income years (N_CRI off)</t>
  </si>
  <si>
    <t>HU ciAssumptions default.</t>
  </si>
  <si>
    <t>CI medical cost</t>
  </si>
  <si>
    <t>HU ciAssumptions medicalCost, × inflation.</t>
  </si>
  <si>
    <t>PTD medical cost</t>
  </si>
  <si>
    <t>ProductPTD, × inflation, first PTD only.</t>
  </si>
  <si>
    <t>PTD income cut</t>
  </si>
  <si>
    <t>dismemberment income cut</t>
  </si>
  <si>
    <t>From the year after.</t>
  </si>
  <si>
    <t>cover age (off-plan CI / TPD / HSP)</t>
  </si>
  <si>
    <t>Off-plan protection runs to age 75.</t>
  </si>
  <si>
    <t>dependent years (N_INC)</t>
  </si>
  <si>
    <t>numYearDependents default.</t>
  </si>
  <si>
    <t>plan policy term</t>
  </si>
  <si>
    <t>segregatedBudget policyTerm in hu_payload.py.</t>
  </si>
  <si>
    <t>wealth high-loss factor</t>
  </si>
  <si>
    <t>conf.ini wealth_hight_loss_factor.</t>
  </si>
  <si>
    <t>beta</t>
  </si>
  <si>
    <t>conf.ini beta.</t>
  </si>
  <si>
    <t>minimum equity drift</t>
  </si>
  <si>
    <t>ProductEquity mu floor.</t>
  </si>
  <si>
    <t>riskProfile</t>
  </si>
  <si>
    <t>hu_payload.py default.</t>
  </si>
  <si>
    <t>retirement lifestyle rate</t>
  </si>
  <si>
    <t>N_RET lifestyle 2.</t>
  </si>
  <si>
    <t>retirement spend share</t>
  </si>
  <si>
    <t>expectedLivingExpenseInTheCountry = living × 0.75.</t>
  </si>
  <si>
    <t>benefit round (user currency)</t>
  </si>
  <si>
    <t>benefitRound (USD) as a nice step in user currency. SGD: 50,000.</t>
  </si>
  <si>
    <t>N_RET calibration</t>
  </si>
  <si>
    <t>N_INC 1, N_RET 2, consumption goals 1 / count.</t>
  </si>
  <si>
    <t>C · DETERMINISTICALLY CALCULATED  —  HU input mapping</t>
  </si>
  <si>
    <t>life expectancy (HU)</t>
  </si>
  <si>
    <t>durationOfRetirement + 65, or 83.</t>
  </si>
  <si>
    <t>q(age) column</t>
  </si>
  <si>
    <t>1 Male, 2 Male smoker, 3 Female, 4 Female smoker.</t>
  </si>
  <si>
    <t>income / yr (HU)</t>
  </si>
  <si>
    <t>HU adds 1 to the salary.</t>
  </si>
  <si>
    <t>retirement spend / yr</t>
  </si>
  <si>
    <t>Replaces spend after retirement.</t>
  </si>
  <si>
    <t>CI income years</t>
  </si>
  <si>
    <t>CI income share</t>
  </si>
  <si>
    <t>Share of income lost while ill.</t>
  </si>
  <si>
    <t>savings at t = 0</t>
  </si>
  <si>
    <t>equity drift</t>
  </si>
  <si>
    <t>HU errors (retiree with investments)</t>
  </si>
  <si>
    <t>Live HU returns NaN here; this tab still scores (Discrepancies).</t>
  </si>
  <si>
    <t>alpha</t>
  </si>
  <si>
    <t>Value-function curvature from riskProfile.</t>
  </si>
  <si>
    <t>goal withdrawals on the path</t>
  </si>
  <si>
    <t>fundsNeededYear − now.</t>
  </si>
  <si>
    <t>SAV + PRP booked as income</t>
  </si>
  <si>
    <t>HU adds the SAV / PRP amount as income in the target year and spends it again (net 0).</t>
  </si>
  <si>
    <t>EDU + SAV + PRP spent</t>
  </si>
  <si>
    <t>C · RESULTS  —  weights, sigmoid, HappiU (0–100)</t>
  </si>
  <si>
    <t>goals scored</t>
  </si>
  <si>
    <t>consumption goals</t>
  </si>
  <si>
    <t>Everything except N_INC / N_ADB / N_RET.</t>
  </si>
  <si>
    <t>sigmoid divisor</t>
  </si>
  <si>
    <t>Weighted sum ÷ (1 + e^(−number of goals)).</t>
  </si>
  <si>
    <t>pre (0–1)</t>
  </si>
  <si>
    <t>post (0–1)</t>
  </si>
  <si>
    <t>preHappiU</t>
  </si>
  <si>
    <t>Today's cover.</t>
  </si>
  <si>
    <t>postHappiU</t>
  </si>
  <si>
    <t>With the plan's benefits.</t>
  </si>
  <si>
    <t>D · q(age + year) from Assumptions</t>
  </si>
  <si>
    <t>C · PROBABILITIES</t>
  </si>
  <si>
    <t>C · EXPECTED CASH FLOWS AND PATHS (alive)</t>
  </si>
  <si>
    <t>C · N_INC  (W path)</t>
  </si>
  <si>
    <t>C · N_CRI  (consumption path)</t>
  </si>
  <si>
    <t>C · N_TPD  (consumption path)</t>
  </si>
  <si>
    <t>C · N_HOS  (consumption path)</t>
  </si>
  <si>
    <t>C · N_RET  (W path)</t>
  </si>
  <si>
    <t>C · N_EDU  (consumption path)</t>
  </si>
  <si>
    <t>C · N_SAV  (consumption path)</t>
  </si>
  <si>
    <t>C · N_PRP  (consumption path)</t>
  </si>
  <si>
    <t>q mortality</t>
  </si>
  <si>
    <t>q accidental death</t>
  </si>
  <si>
    <t>q critical illness</t>
  </si>
  <si>
    <t>q PTD</t>
  </si>
  <si>
    <t>q dismemberment</t>
  </si>
  <si>
    <t>alive</t>
  </si>
  <si>
    <t>score weight</t>
  </si>
  <si>
    <t>no PTD yet</t>
  </si>
  <si>
    <t>P(PTD so far)</t>
  </si>
  <si>
    <t>P(first PTD)</t>
  </si>
  <si>
    <t>no dismemberment</t>
  </si>
  <si>
    <t>P(dismembered before)</t>
  </si>
  <si>
    <t>no CI (running)</t>
  </si>
  <si>
    <t>P(CI in window)</t>
  </si>
  <si>
    <t>inflation index</t>
  </si>
  <si>
    <t>ss growth index</t>
  </si>
  <si>
    <t>social-security lump</t>
  </si>
  <si>
    <t>income + lump + SAV/PRP</t>
  </si>
  <si>
    <t>expected income cut</t>
  </si>
  <si>
    <t>income after cut</t>
  </si>
  <si>
    <t>spend</t>
  </si>
  <si>
    <t>spend + goals</t>
  </si>
  <si>
    <t>expected medical</t>
  </si>
  <si>
    <t>savings</t>
  </si>
  <si>
    <t>equity</t>
  </si>
  <si>
    <t>WEALTH</t>
  </si>
  <si>
    <t>CONSUMPTION WEALTH</t>
  </si>
  <si>
    <t>N_INC weight</t>
  </si>
  <si>
    <t>N_INC v pre</t>
  </si>
  <si>
    <t>N_INC v rec</t>
  </si>
  <si>
    <t>N_INC v full</t>
  </si>
  <si>
    <t>N_CRI weight</t>
  </si>
  <si>
    <t>N_CRI v pre</t>
  </si>
  <si>
    <t>N_CRI v rec</t>
  </si>
  <si>
    <t>N_CRI v full</t>
  </si>
  <si>
    <t>N_TPD weight</t>
  </si>
  <si>
    <t>N_TPD v pre</t>
  </si>
  <si>
    <t>N_TPD v rec</t>
  </si>
  <si>
    <t>N_TPD v full</t>
  </si>
  <si>
    <t>N_HOS weight</t>
  </si>
  <si>
    <t>N_HOS v pre</t>
  </si>
  <si>
    <t>N_HOS v rec</t>
  </si>
  <si>
    <t>N_HOS v full</t>
  </si>
  <si>
    <t>N_RET weight</t>
  </si>
  <si>
    <t>N_RET v pre</t>
  </si>
  <si>
    <t>N_RET v rec</t>
  </si>
  <si>
    <t>N_RET v full</t>
  </si>
  <si>
    <t>N_EDU weight</t>
  </si>
  <si>
    <t>N_EDU v pre</t>
  </si>
  <si>
    <t>N_EDU v rec</t>
  </si>
  <si>
    <t>N_EDU v full</t>
  </si>
  <si>
    <t>N_SAV weight</t>
  </si>
  <si>
    <t>N_SAV v pre</t>
  </si>
  <si>
    <t>N_SAV v rec</t>
  </si>
  <si>
    <t>N_SAV v full</t>
  </si>
  <si>
    <t>N_PRP weight</t>
  </si>
  <si>
    <t>N_PRP v pre</t>
  </si>
  <si>
    <t>N_PRP v rec</t>
  </si>
  <si>
    <t>N_PRP v full</t>
  </si>
  <si>
    <t>FX — selected persona. Convert local currency to USD. Validation reads these amounts.</t>
  </si>
  <si>
    <t>A · INPUT DATA  —  currency and effective session (local)</t>
  </si>
  <si>
    <t>D · RATE TABLE  —  USD per 1 user-currency unit. In the app: a live feed, locked on the session</t>
  </si>
  <si>
    <t>Personas K via People Like You. Lookup key for the rate table.</t>
  </si>
  <si>
    <t>USD per 1 unit</t>
  </si>
  <si>
    <t>incomeMonthly (local)</t>
  </si>
  <si>
    <t>Effective session.</t>
  </si>
  <si>
    <t>USD</t>
  </si>
  <si>
    <t>Identity. 5,000 USD = 5,000 USD.</t>
  </si>
  <si>
    <t>expenseMonthly (local)</t>
  </si>
  <si>
    <t>5,000 SGD × 0.74 = 3,700 USD.</t>
  </si>
  <si>
    <t>cash (local)</t>
  </si>
  <si>
    <t>VND</t>
  </si>
  <si>
    <t>5,000 VND × 0.000038 = 0.19 USD.</t>
  </si>
  <si>
    <t>investments (local)</t>
  </si>
  <si>
    <t>MYR</t>
  </si>
  <si>
    <t>property (local)</t>
  </si>
  <si>
    <t>THB</t>
  </si>
  <si>
    <t>mortgage (local)</t>
  </si>
  <si>
    <t>PHP</t>
  </si>
  <si>
    <t>PLU liabilities (local)</t>
  </si>
  <si>
    <t>AUD</t>
  </si>
  <si>
    <t>life sum assured (local)</t>
  </si>
  <si>
    <t>EUR</t>
  </si>
  <si>
    <t>HKD</t>
  </si>
  <si>
    <t>D · ASSUMPTIONS  —  rate from the table on the right</t>
  </si>
  <si>
    <t>#N/A if the currency is not in the table: every calculator then fails loudly (no SGD fallback).</t>
  </si>
  <si>
    <t>price level (effective)</t>
  </si>
  <si>
    <t>Option B only. 1 when priceLevelOn is FALSE (option A). Multiplies the USD fixed amounts.</t>
  </si>
  <si>
    <t>C · DETERMINISTICALLY CALCULATED  —  local × USD per 1</t>
  </si>
  <si>
    <t>5,000 SGD → 3,700. 5,000 VND → 0.19.</t>
  </si>
  <si>
    <t>cash USD</t>
  </si>
  <si>
    <t>PLU liabilities USD</t>
  </si>
  <si>
    <t>life sum assured USD</t>
  </si>
  <si>
    <t>C · ROUNDING STEPS IN USER CURRENCY  —  USD step ÷ rate, then the nearest 1 / 2 / 5 × 10^k</t>
  </si>
  <si>
    <t>lump step</t>
  </si>
  <si>
    <t>lumpRoundStep (USD) in user currency. SGD gives the V0-14 step.</t>
  </si>
  <si>
    <t>monthly step</t>
  </si>
  <si>
    <t>monthlyRoundStep (USD) in user currency. SGD gives the V0-14 step.</t>
  </si>
  <si>
    <t>premium step</t>
  </si>
  <si>
    <t>coverPremRoundStep (USD) in user currency. SGD gives the V0-14 step.</t>
  </si>
  <si>
    <t>life cover step</t>
  </si>
  <si>
    <t>lifeRoundUnit (USD) in user currency. SGD gives the V0-14 step.</t>
  </si>
  <si>
    <t>HappiU benefit step</t>
  </si>
  <si>
    <t>benefitRound (USD) in user currency. SGD gives the V0-14 step.</t>
  </si>
  <si>
    <t>Validation — USD-only min / max on the selected persona. Conversion lives on the FX tab. People Like You still stores local currency.</t>
  </si>
  <si>
    <t>Example: 5,000 SGD → FX 3,700 USD (pass). 5,000 VND → FX 0.19 USD (fail min income). Change Personas currency to VND and keep income 5,000 to see the fail. Yellow cells are editable.</t>
  </si>
  <si>
    <t>USD validation rules (edit these)</t>
  </si>
  <si>
    <t>field</t>
  </si>
  <si>
    <t>min USD</t>
  </si>
  <si>
    <t>max USD</t>
  </si>
  <si>
    <t>source / why</t>
  </si>
  <si>
    <t>fail if</t>
  </si>
  <si>
    <t>InsApi rejects below ~USD 1,000. Workbook floor 200 so a junior US wage still passes; 5,000 VND does not.</t>
  </si>
  <si>
    <t>USD &lt; min or &gt; max</t>
  </si>
  <si>
    <t>Frontend MIN_EXPENSE_MONTHLY = 100 SGD ≈ 74 USD. Floor 80 USD.</t>
  </si>
  <si>
    <t>Cash &amp; Savings stock, not a monthly flow.</t>
  </si>
  <si>
    <t>USD &lt; 0 or &gt; max</t>
  </si>
  <si>
    <t>Investment stock.</t>
  </si>
  <si>
    <t>Home value. 0 is valid (renter).</t>
  </si>
  <si>
    <t>Loans. Also fail if USD mortgage &gt; USD property when property &gt; 0.</t>
  </si>
  <si>
    <t>USD &lt; 0, &gt; max, or &gt; property</t>
  </si>
  <si>
    <t>Profiler TotalLiabilities (liquid × 0.7 unless overridden).</t>
  </si>
  <si>
    <t>Existing life cover. 0 is valid.</t>
  </si>
  <si>
    <t>Selected persona — pass / fail against USD rules</t>
  </si>
  <si>
    <t>Follows the Selected persona tab. Change the id there.</t>
  </si>
  <si>
    <t>Pointer to the FX tab. Edit rates there, not here.</t>
  </si>
  <si>
    <t>local (effective)</t>
  </si>
  <si>
    <t>USD (from FX)</t>
  </si>
  <si>
    <t>status</t>
  </si>
  <si>
    <t>detail</t>
  </si>
  <si>
    <t>Overall</t>
  </si>
  <si>
    <t>Assumptions and shared data — values the live code actually reads</t>
  </si>
  <si>
    <t>Yellow cells are editable. Every other tab reads these named cells. HappiU and Scenario Visualizer still run in HU / SV; this sheet only stores what GP sends them.</t>
  </si>
  <si>
    <t>Economic rates (src/session_rates.py DEFAULTS / ASSUME_DEFAULTS)</t>
  </si>
  <si>
    <t>Singapore occupation income bands (income_anchors.json)</t>
  </si>
  <si>
    <t>Open issues (multi-country / multi-currency) are listed on the Discrepancies tab. Cash/investments is 15%/85%. Need Profiler money is local × FX → USD.</t>
  </si>
  <si>
    <t>min</t>
  </si>
  <si>
    <t>max</t>
  </si>
  <si>
    <t>interestRate</t>
  </si>
  <si>
    <t>Teacher / educator</t>
  </si>
  <si>
    <t>loanRate</t>
  </si>
  <si>
    <t>Software engineer</t>
  </si>
  <si>
    <t>incomeGrowthRate</t>
  </si>
  <si>
    <t>Investment banker / finance director</t>
  </si>
  <si>
    <t>Marketing manager</t>
  </si>
  <si>
    <t>assetReturn</t>
  </si>
  <si>
    <t>Doctor / physician</t>
  </si>
  <si>
    <t>realReturn (derived)</t>
  </si>
  <si>
    <t>Need Calculator and Plan Calculator discount at this rate</t>
  </si>
  <si>
    <t>Life-cycle</t>
  </si>
  <si>
    <t>CEO / managing director of a typical firm</t>
  </si>
  <si>
    <t>currentYear</t>
  </si>
  <si>
    <t>endAge (chart horizon)</t>
  </si>
  <si>
    <t>CPF rates and formulas live on the CPF tab (country on / off)</t>
  </si>
  <si>
    <t>Stress events (frontend/src/lib/stressEvents.ts) — Scenario Visualizer only</t>
  </si>
  <si>
    <t>System currency (V0-15) — every calculator runs in USD; fixed amounts below are USD</t>
  </si>
  <si>
    <t>label</t>
  </si>
  <si>
    <t>default size</t>
  </si>
  <si>
    <t>default year</t>
  </si>
  <si>
    <t>what SV applies</t>
  </si>
  <si>
    <t>systemCurrency</t>
  </si>
  <si>
    <t>Market crash</t>
  </si>
  <si>
    <t>35%</t>
  </si>
  <si>
    <t>year 8</t>
  </si>
  <si>
    <t>Haircut on invested assets</t>
  </si>
  <si>
    <t>fxMode (A = market rate; B = market rate × price level)</t>
  </si>
  <si>
    <t>ccy</t>
  </si>
  <si>
    <t>Currency shock</t>
  </si>
  <si>
    <t>14%</t>
  </si>
  <si>
    <t>year 6</t>
  </si>
  <si>
    <t>Haircut on liquid assets at 2/3 of slider</t>
  </si>
  <si>
    <t>priceLevelOn (option B)</t>
  </si>
  <si>
    <t>infl</t>
  </si>
  <si>
    <t>Inflation shock</t>
  </si>
  <si>
    <t>+3 pp</t>
  </si>
  <si>
    <t>years 4–9</t>
  </si>
  <si>
    <t>Session inflationRate plus extra</t>
  </si>
  <si>
    <t>inc</t>
  </si>
  <si>
    <t>Impact on income</t>
  </si>
  <si>
    <t>−20%</t>
  </si>
  <si>
    <t>years 5–10</t>
  </si>
  <si>
    <t>Salary reduced for that span</t>
  </si>
  <si>
    <t>death</t>
  </si>
  <si>
    <t>Death</t>
  </si>
  <si>
    <t>S$20,000</t>
  </si>
  <si>
    <t>year 17</t>
  </si>
  <si>
    <t>One-time cost; salary → 0</t>
  </si>
  <si>
    <t>Need parameters (src/pipeline/goal_math.py) — money in USD</t>
  </si>
  <si>
    <t>ci</t>
  </si>
  <si>
    <t>Critical illness</t>
  </si>
  <si>
    <t>S$150,000</t>
  </si>
  <si>
    <t>year 12</t>
  </si>
  <si>
    <t>One-time medical cost</t>
  </si>
  <si>
    <t>tpd</t>
  </si>
  <si>
    <t>Total &amp; permanent disability</t>
  </si>
  <si>
    <t>S$200,000</t>
  </si>
  <si>
    <t>year 15</t>
  </si>
  <si>
    <t>pa</t>
  </si>
  <si>
    <t>Personal accident</t>
  </si>
  <si>
    <t>S$80,000</t>
  </si>
  <si>
    <t>year 10</t>
  </si>
  <si>
    <t>hosp</t>
  </si>
  <si>
    <t>Hospitalisation</t>
  </si>
  <si>
    <t>S$120,000</t>
  </si>
  <si>
    <t>year 9</t>
  </si>
  <si>
    <t>One-time hospital bill</t>
  </si>
  <si>
    <t>lifeSupportMin</t>
  </si>
  <si>
    <t>care</t>
  </si>
  <si>
    <t>Long-term care years</t>
  </si>
  <si>
    <t>S$90,000 / yr</t>
  </si>
  <si>
    <t>years 30–35</t>
  </si>
  <si>
    <t>Extra annual spend</t>
  </si>
  <si>
    <t>lifeSupportMax</t>
  </si>
  <si>
    <t>wed</t>
  </si>
  <si>
    <t>Wedding / marriage</t>
  </si>
  <si>
    <t>S$60,000</t>
  </si>
  <si>
    <t>year 5</t>
  </si>
  <si>
    <t>One-time cost</t>
  </si>
  <si>
    <t>lifeSupportPivotAge</t>
  </si>
  <si>
    <t>baby</t>
  </si>
  <si>
    <t>Newborn</t>
  </si>
  <si>
    <t>S$35,000</t>
  </si>
  <si>
    <t>year 3</t>
  </si>
  <si>
    <t>CI_YEARS</t>
  </si>
  <si>
    <t>exp</t>
  </si>
  <si>
    <t>Impact on expenses</t>
  </si>
  <si>
    <t>+15%</t>
  </si>
  <si>
    <t>years 6–12</t>
  </si>
  <si>
    <t>Living spend raised</t>
  </si>
  <si>
    <t>CI_COST (USD)</t>
  </si>
  <si>
    <t>TPD_YEARS</t>
  </si>
  <si>
    <t>TPD_COST (USD)</t>
  </si>
  <si>
    <t>eduYearsDefault</t>
  </si>
  <si>
    <t>Household seeding (src/predict.py spend / assets; CPF is on the CPF tab)</t>
  </si>
  <si>
    <t>liabilityRatio (PLU only; not the mortgage)</t>
  </si>
  <si>
    <t>propertyIncomeLow (USD / month)</t>
  </si>
  <si>
    <t>propertyIncomeHigh (USD / month)</t>
  </si>
  <si>
    <t>lifeRoundUnit (USD, before nice step)</t>
  </si>
  <si>
    <t>Plan and budget (frontend/src/lib/planProducts.ts)</t>
  </si>
  <si>
    <t>lumpRoundStep (USD, before nice step)</t>
  </si>
  <si>
    <t>monthlyRoundStep (USD, before nice step)</t>
  </si>
  <si>
    <t>coverPremRoundStep (USD, before nice step)</t>
  </si>
  <si>
    <t>coverSliderPremFloor (USD)</t>
  </si>
  <si>
    <t>HappiU budget envelope (src/hu_payload.py) — not Budget Calculator</t>
  </si>
  <si>
    <t>annualBudget (USD)</t>
  </si>
  <si>
    <t>placeholderNeedBudget (USD)</t>
  </si>
  <si>
    <t>gfr</t>
  </si>
  <si>
    <t>benefitRound (USD, before nice step)</t>
  </si>
  <si>
    <t>huNumSims</t>
  </si>
  <si>
    <t>funeralLump (USD)</t>
  </si>
  <si>
    <t>criMedicalPlaceholder (USD)</t>
  </si>
  <si>
    <t>Risk → investmentReturn seed (frontend/src/lib/riskCapacity.ts)</t>
  </si>
  <si>
    <t>suggestBand1</t>
  </si>
  <si>
    <t>suggestBand2</t>
  </si>
  <si>
    <t>suggestBand3</t>
  </si>
  <si>
    <t>suggestBand4</t>
  </si>
  <si>
    <t>suggestBand5</t>
  </si>
  <si>
    <t>defaultRiskTolerance</t>
  </si>
  <si>
    <t>Need Profiler factor weights (Need_profiler.json needs_factor_weights)</t>
  </si>
  <si>
    <t>factor \ need</t>
  </si>
  <si>
    <t>Life Protection</t>
  </si>
  <si>
    <t>Critical Illness</t>
  </si>
  <si>
    <t>Disability</t>
  </si>
  <si>
    <t>Retirement</t>
  </si>
  <si>
    <t>Education</t>
  </si>
  <si>
    <t>Hospitalization</t>
  </si>
  <si>
    <t>General Savings</t>
  </si>
  <si>
    <t>Farewell</t>
  </si>
  <si>
    <t>Personal Accident</t>
  </si>
  <si>
    <t>Car Protection</t>
  </si>
  <si>
    <t>Home Protection</t>
  </si>
  <si>
    <t>Travel Protection</t>
  </si>
  <si>
    <t>Date of Birth</t>
  </si>
  <si>
    <t>Gender</t>
  </si>
  <si>
    <t>Dependants</t>
  </si>
  <si>
    <t>Occupation</t>
  </si>
  <si>
    <t>Smoking</t>
  </si>
  <si>
    <t>Income</t>
  </si>
  <si>
    <t>Expense</t>
  </si>
  <si>
    <t>Assets</t>
  </si>
  <si>
    <t>Liabilities</t>
  </si>
  <si>
    <t>Hospital Type</t>
  </si>
  <si>
    <t>Ward Type</t>
  </si>
  <si>
    <t>Lifestyle</t>
  </si>
  <si>
    <t>Sports</t>
  </si>
  <si>
    <t>HappiU rate tables (HU/src/CashflowHandler/Tables/*.csv) — q at age, read at age + 1 + year. Columns per rate: Male, Male smoker, Female, Female smoker.</t>
  </si>
  <si>
    <t>mortality</t>
  </si>
  <si>
    <t>accidental death</t>
  </si>
  <si>
    <t>critical illness (morbidity)</t>
  </si>
  <si>
    <t>permanent total disability</t>
  </si>
  <si>
    <t>dismemberment</t>
  </si>
  <si>
    <t>hospitalisation (not on GP's path)</t>
  </si>
  <si>
    <t>social security (ss_contribution_cap / ss_growth_rate)</t>
  </si>
  <si>
    <t>MaleSmoker</t>
  </si>
  <si>
    <t>FemaleSmoker</t>
  </si>
  <si>
    <t>contribution</t>
  </si>
  <si>
    <t>cap</t>
  </si>
  <si>
    <t>growth</t>
  </si>
  <si>
    <t>Open issues — multi-currency and multi-country</t>
  </si>
  <si>
    <t>V0-15: USD is the system currency. Inputs convert from the user currency, every calculator and validation runs in USD, results convert back and round in the user currency. What remains is below.</t>
  </si>
  <si>
    <t>#</t>
  </si>
  <si>
    <t>Open issue</t>
  </si>
  <si>
    <t>Today</t>
  </si>
  <si>
    <t>Needed for multi-country</t>
  </si>
  <si>
    <t>Where</t>
  </si>
  <si>
    <t>1</t>
  </si>
  <si>
    <t>Fixed amounts in USD — code still SGD</t>
  </si>
  <si>
    <t>V0-15 Excel: every fixed amount is USD (CI/TPD/EDU, home seed, rounding steps, HappiU envelope) and the calculators run in USD. The code still holds SGD constants and computes in session currency.</t>
  </si>
  <si>
    <t>Excel: done (Singapore results unchanged). Code: goal_math.py CI_COST TPD_COST EDU_TOTAL_COST, predict.py seed_property_value, planProducts.ts steps, hu_payload.py still SGD.</t>
  </si>
  <si>
    <t>Port the USD pipeline to the code: convert in, calculate, convert back, round in user currency.</t>
  </si>
  <si>
    <t>src/pipeline/goal_math.py; src/predict.py; frontend/src/lib/planProducts.ts; src/hu_payload.py</t>
  </si>
  <si>
    <t>2</t>
  </si>
  <si>
    <t>Need Profiler FX is market FX, not PPP</t>
  </si>
  <si>
    <t>Income/expense/assets convert local × market USD-per-local, then USD bands. Cost of living is not adjusted.</t>
  </si>
  <si>
    <t>src/fx.py rates match the FX tab. Bands in Need_profiler.json (lt).</t>
  </si>
  <si>
    <t>Purchasing-power (PPP) rates if “middle class” should mean the same living standard across countries.</t>
  </si>
  <si>
    <t>src/fx.py; Need_profiler.json weight_options Income/Expense/Assets/Liabilities</t>
  </si>
  <si>
    <t>3</t>
  </si>
  <si>
    <t>Need Profiler × People Like You enums</t>
  </si>
  <si>
    <t>PLU lifestyle/ward/sports strings do not match profiler options, so those flags score 0 in every country.</t>
  </si>
  <si>
    <t>PLU: Basic|Comfortable|Luxurious, Single|Double|Ward. Profiler: frugal|stress-free|only the best, A|B.</t>
  </si>
  <si>
    <t>One vocabulary in both prompts (or an explicit map). Same issue in every market.</t>
  </si>
  <si>
    <t>people_like_you_all_fields.json; Need_profiler.json Lifestyle / Ward / Sports</t>
  </si>
  <si>
    <t>4</t>
  </si>
  <si>
    <t>Need Profiler existing cover / ownership</t>
  </si>
  <si>
    <t>Existing cover is hard-coded 0. Car/home/travel weights have no option labels. A scoring redesign may be required.</t>
  </si>
  <si>
    <t>build_profiler_profile Existing*Coverage = 0. Ownership stored, score unchanged.</t>
  </si>
  <si>
    <t>Wire policies into Existing*Coverage and add weight_options. Redesign if the factor model cannot take cover/ownership.</t>
  </si>
  <si>
    <t>src/pipeline/onboarding.py; need_profiler.py</t>
  </si>
  <si>
    <t>5</t>
  </si>
  <si>
    <t>Plan dummy premium</t>
  </si>
  <si>
    <t>Protection premium is a 0.00078 placeholder, not a quoted tariff, and is not country-specific.</t>
  </si>
  <si>
    <t>coverPremiumFor(sum) dummy. Labelled in Plan-calculator.md, planProducts.ts, this workbook.</t>
  </si>
  <si>
    <t>Premium-quote calculator API per market / product.</t>
  </si>
  <si>
    <t>frontend/src/lib/planProducts.ts coverPremiumFor</t>
  </si>
  <si>
    <t>6</t>
  </si>
  <si>
    <t>Social security is a Singapore plug-in only</t>
  </si>
  <si>
    <t>The CPF tab is the SG-CPF module. Every other country gets the default module (no contribution, take-home = gross).</t>
  </si>
  <si>
    <t>CPF tab: module per country. Scenario Visualizer and HappiU still run their own Singapore CPF engines.</t>
  </si>
  <si>
    <t>One plug-in interface (gross, age, residency, country → contribution, take-home) used by GP, HappiU and SV; add modules per market.</t>
  </si>
  <si>
    <t>src/cpf.py; SV SocialSecurityR_SGP; HU CPF</t>
  </si>
  <si>
    <t>7</t>
  </si>
  <si>
    <t>FX feed and session lock</t>
  </si>
  <si>
    <t>src/fx.py is a hard-coded table of 9 currencies and falls back to the SGD rate for an unknown currency. The rate is not locked on the session.</t>
  </si>
  <si>
    <t>Excel: unknown currency → #N/A everywhere (no fallback). Code: silent SGD fallback.</t>
  </si>
  <si>
    <t>Live FX feed; store the rate on the session when it starts; error on unknown currency.</t>
  </si>
  <si>
    <t>src/fx.py usd_per_local</t>
  </si>
  <si>
    <t>8</t>
  </si>
  <si>
    <t>HappiU and SV engine constants</t>
  </si>
  <si>
    <t>HU and SV hold their own money constants (HU CI medical 200,000 and PTD 444,000; SV stress-event sizes S$20k–150k; SV CPF tables).</t>
  </si>
  <si>
    <t>Workbook copies them unchanged on the HappiU and SV tabs (user currency = SGD for all personas).</t>
  </si>
  <si>
    <t>Move them to USD (or take them from GP's payload) so the engines follow the system currency too.</t>
  </si>
  <si>
    <t>HU ciAssumptions / ProductPTD; frontend/src/lib/stressEvents.ts; SV helium conf</t>
  </si>
  <si>
    <t>9</t>
  </si>
  <si>
    <t>Price level (option B) not switched on</t>
  </si>
  <si>
    <t>Option A converts USD fixed amounts at market rate, so they are too large in low-cost countries (e.g. CI treatment ≈ 11 years of a Vietnamese income).</t>
  </si>
  <si>
    <t>priceLevelOn = FALSE; FX tab price-level column is 1 for every currency.</t>
  </si>
  <si>
    <t>Load one price-level ratio per country from a public source (e.g. World Bank) and switch priceLevelOn on.</t>
  </si>
  <si>
    <t>Assumptions priceLevelOn; FX tab column K</t>
  </si>
  <si>
    <t>Change log — model changes by version (newest first)</t>
  </si>
  <si>
    <t>Workflow: change the Excel first, then the docs, then the code. The Status column says whether the code already follows. Same rows as CHANGELOG.md in this folder.</t>
  </si>
  <si>
    <t>Version</t>
  </si>
  <si>
    <t>Date</t>
  </si>
  <si>
    <t>Change</t>
  </si>
  <si>
    <t>Where in the workbook</t>
  </si>
  <si>
    <t>Code status</t>
  </si>
  <si>
    <t>V0-15</t>
  </si>
  <si>
    <t>2026-09-25</t>
  </si>
  <si>
    <t>All components</t>
  </si>
  <si>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</si>
  <si>
    <t>Assumptions rows 21–24 (systemCurrency, fxMode, priceLevelOn) and the USD rows.</t>
  </si>
  <si>
    <t>Not in code: goal_math.py, predict.py, planProducts.ts, hu_payload.py still SGD.</t>
  </si>
  <si>
    <t>Unknown currency → #N/A (no SGD fallback). Price-level column for option B (default 1, switch off). Rounding steps derived in user currency: USD step ÷ rate, then the nearest 1 / 2 / 5 × 10^k.</t>
  </si>
  <si>
    <t>FX tab: rate, price level, FX_lumpStep, FX_monthlyStep, FX_coverPremStep, FX_lifeRound, FX_benefitRound.</t>
  </si>
  <si>
    <t>Not in code: src/fx.py falls back to SGD; no session lock.</t>
  </si>
  <si>
    <t>Runs in USD: an S-block converts every money input (session and sliders) to USD; amount / have / gap are calculated in USD (columns H–J), then converted back and rounded to whole units in user currency (B–D).</t>
  </si>
  <si>
    <t>Need Calculator S-block and results H–J; names NC_amountUSD_*, NC_gapUSD_*.</t>
  </si>
  <si>
    <t>Not in code: evaluate_session computes in session currency with SGD lumps.</t>
  </si>
  <si>
    <t>Home seed in USD: income converted to USD, compared with USD bands, USD home value converted back. Life cover rounds to the life-cover step in user currency.</t>
  </si>
  <si>
    <t>People Like You: income USD, property USD, property, life sum assured.</t>
  </si>
  <si>
    <t>Not in code: seed_property_value and _assumed_life_policy use SGD.</t>
  </si>
  <si>
    <t>Plan / HappiU</t>
  </si>
  <si>
    <t>Plan contributions and premiums round to steps in user currency (SGD: 50 and 10). HappiU benefit rounding in user currency (SGD: 50,000). Budget Calculator is ratios only; unchanged.</t>
  </si>
  <si>
    <t>Plan Calculator D-block; HappiU HU_benefitRound.</t>
  </si>
  <si>
    <t>Not in code: planProducts.ts and hu_payload.py use SGD steps.</t>
  </si>
  <si>
    <t>CPF tab framed as a social-security plug-in: SG-CPF module or the default module (no contribution). Runs in user currency.</t>
  </si>
  <si>
    <t>CPF tab: module per country, module used.</t>
  </si>
  <si>
    <t>Code has only src/cpf.py; HappiU and SV run their own CPF.</t>
  </si>
  <si>
    <t>V0-14</t>
  </si>
  <si>
    <t>Mortgage instalment is a level 20-year annuity at loanRate (mortgage × r / (1 − (1 + r)^−20); rate 0 → mortgage / 20), replacing round(mortgage / 20). The balance now runs smoothly to 0 in year 20 (no step at the end of the term).</t>
  </si>
  <si>
    <t>SV tab: SV_inst, mortgage balance column. deterministic_engines.twin_sv / sv_loans.</t>
  </si>
  <si>
    <t>In code (goal_math.annual_loan_payment, sv_payload.py). Workbook catches up.</t>
  </si>
  <si>
    <t>New SPENDABLE pre / post columns for the expense-funding panel: cash + investments + savings (+ plan pots on post) − max(0, remaining mortgage − (home + CPF)). Not floored at 0. New results: first age spendable wealth &lt; 0 (pre / post).</t>
  </si>
  <si>
    <t>SV tab: spPre, spPost, SV_spOutPre, SV_spOutPost. twin_sv spendable. excel_check SV_COLS.</t>
  </si>
  <si>
    <t>SV engine (CashFlowGeneratorV2 spendableWealth). Earmarked goal pots funded from assets = 0 in the workbook: open question.</t>
  </si>
  <si>
    <t>Folder</t>
  </si>
  <si>
    <t>New tree docs/calculations_clone (first named calculations-V0-14) cloned from docs/calculations (V0-13). Older trees stay as snapshots.</t>
  </si>
  <si>
    <t>Whole folder.</t>
  </si>
  <si>
    <t>—</t>
  </si>
  <si>
    <t>Values computed by importing the GP modules at workbook build time. After Excel recalculates, pick that id on People Like You and compare the single-persona results. This sheet is a snapshot — it does not follow yellow-cell edits.</t>
  </si>
  <si>
    <t>life sum</t>
  </si>
  <si>
    <t>on N_INC</t>
  </si>
  <si>
    <t>on N_CRI</t>
  </si>
  <si>
    <t>on N_TPD</t>
  </si>
  <si>
    <t>on N_HOS</t>
  </si>
  <si>
    <t>on N_RET</t>
  </si>
  <si>
    <t>on N_EDU</t>
  </si>
  <si>
    <t>on N_SAV</t>
  </si>
  <si>
    <t>on N_PRP</t>
  </si>
  <si>
    <t>N_INC amount</t>
  </si>
  <si>
    <t>N_RET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</si>
</sst>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
    <numFmt numFmtId="167" formatCode="0.000000"/>
    <numFmt numFmtId="168" formatCode="0.0000"/>
    <numFmt numFmtId="169" formatCode="0.0"/>
    <numFmt numFmtId="170" formatCode="#,##0.##"/>
  </numFmts>
  <fonts count="6" x14ac:knownFonts="1">
    <font>
      <sz val="11"/>
      <color theme="1"/>
      <name val="Calibri"/>
      <family val="2"/>
      <scheme val="minor"/>
    </font>
    <font>
      <b/>
      <sz val="16"/>
      <color rgb="FF1B3A4B"/>
      <name val="Calibri"/>
    </font>
    <font>
      <i/>
      <sz val="9"/>
      <color rgb="FF5C6B73"/>
      <name val="Calibri"/>
    </font>
    <font>
      <b/>
      <sz val="11"/>
      <color rgb="FF1B3A4B"/>
      <name val="Calibri"/>
    </font>
    <font>
      <sz val="10"/>
      <color rgb="FF1A1A1A"/>
      <name val="Calibri"/>
    </font>
    <font>
      <b/>
      <sz val="10"/>
      <color rgb="FFFFFFFF"/>
      <name val="Calibri"/>
    </font>
  </fonts>
  <fills count="15">
    <fill>
      <patternFill patternType="none"/>
    </fill>
    <fill>
      <patternFill patternType="gray125"/>
    </fill>
    <fill>
      <patternFill patternType="solid">
        <fgColor rgb="FFF7F4EE"/>
      </patternFill>
    </fill>
    <fill>
      <patternFill patternType="solid">
        <fgColor rgb="FFE6E0D4"/>
      </patternFill>
    </fill>
    <fill>
      <patternFill patternType="solid">
        <fgColor rgb="FFFFF3BF"/>
      </patternFill>
    </fill>
    <fill>
      <patternFill patternType="solid">
        <fgColor rgb="FF1B3A4B"/>
      </patternFill>
    </fill>
    <fill>
      <patternFill patternType="solid">
        <fgColor rgb="FF6B3FA0"/>
      </patternFill>
    </fill>
    <fill>
      <patternFill patternType="solid">
        <fgColor rgb="FFEDE4F5"/>
      </patternFill>
    </fill>
    <fill>
      <patternFill patternType="solid">
        <fgColor rgb="FFB8860B"/>
      </patternFill>
    </fill>
    <fill>
      <patternFill patternType="solid">
        <fgColor rgb="FF1D4E89"/>
      </patternFill>
    </fill>
    <fill>
      <patternFill patternType="solid">
        <fgColor rgb="FFC45C26"/>
      </patternFill>
    </fill>
    <fill>
      <patternFill patternType="solid">
        <fgColor rgb="FF1F6F6A"/>
      </patternFill>
    </fill>
    <fill>
      <patternFill patternType="solid">
        <fgColor rgb="FFD7E6F5"/>
      </patternFill>
    </fill>
    <fill>
      <patternFill patternType="solid">
        <fgColor rgb="FFFFE0C2"/>
      </patternFill>
    </fill>
    <fill>
      <patternFill patternType="solid">
        <fgColor rgb="FFD3F0E2"/>
      </patternFill>
    </fill>
  </fills>
  <borders count="4">
    <border>
      <left/>
      <right/>
      <top/>
      <bottom/>
      <diagonal/>
    </border>
    <border>
      <left style="thin">
        <color rgb="FFD4CBB8"/>
      </left>
      <right style="thin">
        <color rgb="FFD4CBB8"/>
      </right>
      <top style="thin">
        <color rgb="FFD4CBB8"/>
      </top>
      <bottom style="thin">
        <color rgb="FFD4CBB8"/>
      </bottom>
      <diagonal/>
    </border>
    <border>
      <left/>
      <right/>
      <top style="thin">
        <color rgb="FFD4CBB8"/>
      </top>
      <bottom style="thin">
        <color rgb="FFD4CBB8"/>
      </bottom>
      <diagonal/>
    </border>
    <border>
      <left/>
      <right style="thin">
        <color rgb="FFD4CBB8"/>
      </right>
      <top style="thin">
        <color rgb="FFD4CBB8"/>
      </top>
      <bottom style="thin">
        <color rgb="FFD4CBB8"/>
      </bottom>
      <diagonal/>
    </border>
  </borders>
  <cellStyleXfs count="1">
    <xf numFmtId="0" fontId="0" fillId="0" borderId="0"/>
  </cellStyleXfs>
  <cellXfs count="87">
    <xf numFmtId="0" fontId="0" fillId="0" borderId="0" xfId="0"/>
    <xf numFmtId="0" fontId="2" fillId="2" borderId="0" xfId="0" applyFont="1" applyFill="1" applyAlignment="1">
      <alignment vertical="center" wrapText="1"/>
    </xf>
    <xf numFmtId="0" fontId="5" fillId="5" borderId="1" xfId="0" applyFont="1" applyFill="1" applyBorder="1" applyAlignment="1">
      <alignment horizontal="center" vertical="center" wrapText="1"/>
    </xf>
    <xf numFmtId="0" fontId="4" fillId="0" borderId="1" xfId="0" applyFont="1" applyBorder="1" applyAlignment="1">
      <alignment vertical="center" wrapText="1"/>
    </xf>
    <xf numFmtId="0" fontId="5"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5" fillId="9"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8" borderId="1" xfId="0" applyFont="1" applyFill="1" applyBorder="1" applyAlignment="1">
      <alignment vertical="center" wrapText="1"/>
    </xf>
    <xf numFmtId="0" fontId="2" fillId="2" borderId="1" xfId="0" applyFont="1" applyFill="1" applyBorder="1" applyAlignment="1">
      <alignment vertical="center" wrapText="1"/>
    </xf>
    <xf numFmtId="0" fontId="5" fillId="6"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9" borderId="1" xfId="0" applyFont="1" applyFill="1" applyBorder="1" applyAlignment="1">
      <alignment vertical="center" wrapText="1"/>
    </xf>
    <xf numFmtId="4" fontId="4" fillId="12"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1" fontId="4" fillId="12" borderId="1" xfId="0" applyNumberFormat="1" applyFont="1" applyFill="1" applyBorder="1" applyAlignment="1">
      <alignment horizontal="center" vertical="center" wrapText="1"/>
    </xf>
    <xf numFmtId="0" fontId="5" fillId="11" borderId="1" xfId="0" applyFont="1" applyFill="1" applyBorder="1" applyAlignment="1">
      <alignment vertical="center" wrapText="1"/>
    </xf>
    <xf numFmtId="0" fontId="4" fillId="14" borderId="1" xfId="0" applyFont="1" applyFill="1" applyBorder="1" applyAlignment="1">
      <alignment horizontal="center" vertical="center" wrapText="1"/>
    </xf>
    <xf numFmtId="4" fontId="4" fillId="14" borderId="1" xfId="0" applyNumberFormat="1" applyFont="1" applyFill="1" applyBorder="1" applyAlignment="1">
      <alignment horizontal="center" vertical="center" wrapText="1"/>
    </xf>
    <xf numFmtId="3" fontId="4" fillId="14" borderId="1" xfId="0" applyNumberFormat="1" applyFont="1" applyFill="1" applyBorder="1" applyAlignment="1">
      <alignment horizontal="center" vertical="center" wrapText="1"/>
    </xf>
    <xf numFmtId="3" fontId="4" fillId="12" borderId="1" xfId="0" applyNumberFormat="1" applyFont="1" applyFill="1" applyBorder="1" applyAlignment="1">
      <alignment horizontal="center" vertical="center" wrapText="1"/>
    </xf>
    <xf numFmtId="0" fontId="4" fillId="12" borderId="1" xfId="0" applyFont="1" applyFill="1" applyBorder="1" applyAlignment="1">
      <alignment vertical="center" wrapText="1"/>
    </xf>
    <xf numFmtId="4" fontId="4" fillId="13" borderId="1" xfId="0" applyNumberFormat="1" applyFont="1" applyFill="1" applyBorder="1" applyAlignment="1">
      <alignment horizontal="center" vertical="center" wrapText="1"/>
    </xf>
    <xf numFmtId="3" fontId="4" fillId="13"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7" borderId="1" xfId="0" applyFont="1" applyFill="1" applyBorder="1" applyAlignment="1">
      <alignment horizontal="center" vertical="center" wrapText="1"/>
    </xf>
    <xf numFmtId="4" fontId="4" fillId="4" borderId="1" xfId="0" applyNumberFormat="1" applyFont="1" applyFill="1" applyBorder="1" applyAlignment="1">
      <alignment horizontal="center" vertical="center" wrapText="1"/>
    </xf>
    <xf numFmtId="0" fontId="5" fillId="6" borderId="1" xfId="0" applyFont="1" applyFill="1" applyBorder="1" applyAlignment="1">
      <alignment vertical="center" wrapText="1"/>
    </xf>
    <xf numFmtId="3" fontId="4" fillId="7" borderId="1"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0" fontId="5" fillId="10" borderId="1" xfId="0" applyFont="1" applyFill="1" applyBorder="1" applyAlignment="1">
      <alignment vertical="center" wrapText="1"/>
    </xf>
    <xf numFmtId="0" fontId="4" fillId="13" borderId="1" xfId="0" applyFont="1" applyFill="1" applyBorder="1" applyAlignment="1">
      <alignment horizontal="center" vertical="center" wrapText="1"/>
    </xf>
    <xf numFmtId="164" fontId="4" fillId="14"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10" fontId="4" fillId="7" borderId="1" xfId="0" applyNumberFormat="1" applyFont="1" applyFill="1" applyBorder="1" applyAlignment="1">
      <alignment horizontal="center" vertical="center" wrapText="1"/>
    </xf>
    <xf numFmtId="1" fontId="4" fillId="14" borderId="1" xfId="0" applyNumberFormat="1"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167" fontId="4" fillId="7" borderId="1" xfId="0" applyNumberFormat="1" applyFont="1" applyFill="1" applyBorder="1" applyAlignment="1">
      <alignment horizontal="center" vertical="center" wrapText="1"/>
    </xf>
    <xf numFmtId="2" fontId="4" fillId="14" borderId="1" xfId="0" applyNumberFormat="1" applyFont="1" applyFill="1" applyBorder="1" applyAlignment="1">
      <alignment horizontal="center" vertical="center" wrapText="1"/>
    </xf>
    <xf numFmtId="169" fontId="4" fillId="14" borderId="1" xfId="0" applyNumberFormat="1" applyFont="1" applyFill="1" applyBorder="1" applyAlignment="1">
      <alignment horizontal="center" vertical="center" wrapText="1"/>
    </xf>
    <xf numFmtId="165" fontId="4" fillId="14"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2" fontId="4" fillId="7" borderId="1" xfId="0" applyNumberFormat="1" applyFont="1" applyFill="1" applyBorder="1" applyAlignment="1">
      <alignment horizontal="center" vertical="center" wrapText="1"/>
    </xf>
    <xf numFmtId="170" fontId="4" fillId="7" borderId="1" xfId="0" applyNumberFormat="1" applyFont="1" applyFill="1" applyBorder="1" applyAlignment="1">
      <alignment horizontal="center" vertical="center" wrapText="1"/>
    </xf>
    <xf numFmtId="168" fontId="4" fillId="7" borderId="1" xfId="0" applyNumberFormat="1" applyFont="1" applyFill="1" applyBorder="1" applyAlignment="1">
      <alignment horizontal="center" vertical="center" wrapText="1"/>
    </xf>
    <xf numFmtId="10" fontId="4" fillId="14" borderId="1" xfId="0" applyNumberFormat="1" applyFont="1" applyFill="1" applyBorder="1" applyAlignment="1">
      <alignment horizontal="center" vertical="center" wrapText="1"/>
    </xf>
    <xf numFmtId="9" fontId="4" fillId="13" borderId="1" xfId="0" applyNumberFormat="1" applyFont="1" applyFill="1" applyBorder="1" applyAlignment="1">
      <alignment horizontal="center" vertical="center" wrapText="1"/>
    </xf>
    <xf numFmtId="164" fontId="4" fillId="13" borderId="1" xfId="0" applyNumberFormat="1" applyFont="1" applyFill="1" applyBorder="1" applyAlignment="1">
      <alignment horizontal="center" vertical="center" wrapText="1"/>
    </xf>
    <xf numFmtId="168" fontId="4" fillId="14"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9" fontId="4" fillId="7" borderId="1" xfId="0" applyNumberFormat="1" applyFont="1" applyFill="1" applyBorder="1" applyAlignment="1">
      <alignment horizontal="center" vertical="center" wrapText="1"/>
    </xf>
    <xf numFmtId="167" fontId="4" fillId="14" borderId="1" xfId="0" applyNumberFormat="1" applyFont="1" applyFill="1" applyBorder="1" applyAlignment="1">
      <alignment horizontal="center" vertical="center" wrapText="1"/>
    </xf>
    <xf numFmtId="167" fontId="4" fillId="4" borderId="1" xfId="0" applyNumberFormat="1"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170" fontId="4" fillId="14" borderId="1" xfId="0" applyNumberFormat="1" applyFont="1" applyFill="1" applyBorder="1" applyAlignment="1">
      <alignment horizontal="center" vertical="center" wrapText="1"/>
    </xf>
    <xf numFmtId="0" fontId="4" fillId="14" borderId="1" xfId="0" applyFont="1" applyFill="1" applyBorder="1" applyAlignment="1">
      <alignment vertical="center" wrapText="1"/>
    </xf>
    <xf numFmtId="0" fontId="5" fillId="5" borderId="1" xfId="0" applyFont="1" applyFill="1" applyBorder="1" applyAlignment="1">
      <alignment vertical="center" wrapText="1"/>
    </xf>
    <xf numFmtId="164" fontId="4" fillId="4"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2" fillId="0" borderId="1" xfId="0" applyFont="1" applyBorder="1" applyAlignment="1">
      <alignment vertical="center" wrapText="1"/>
    </xf>
    <xf numFmtId="166" fontId="4" fillId="0" borderId="1" xfId="0" applyNumberFormat="1" applyFont="1" applyBorder="1" applyAlignment="1">
      <alignment horizontal="center" vertical="center" wrapText="1"/>
    </xf>
    <xf numFmtId="0" fontId="2" fillId="0" borderId="0" xfId="0" applyFont="1"/>
    <xf numFmtId="10" fontId="4" fillId="4" borderId="1" xfId="0" applyNumberFormat="1"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4" fillId="6" borderId="1" xfId="0" applyFont="1" applyFill="1" applyBorder="1" applyAlignment="1">
      <alignment vertical="center" wrapText="1"/>
    </xf>
    <xf numFmtId="0" fontId="4" fillId="0" borderId="1" xfId="0" applyFont="1" applyBorder="1" applyAlignment="1">
      <alignment horizontal="center" vertical="center" wrapText="1"/>
    </xf>
    <xf numFmtId="165" fontId="4" fillId="7" borderId="1" xfId="0" applyNumberFormat="1" applyFont="1" applyFill="1" applyBorder="1" applyAlignment="1">
      <alignment horizontal="center" vertical="center" wrapText="1"/>
    </xf>
    <xf numFmtId="0" fontId="0" fillId="0" borderId="0" xfId="0" applyAlignment="1">
      <alignment vertical="top" wrapText="1"/>
    </xf>
    <xf numFmtId="4" fontId="4" fillId="0" borderId="1" xfId="0" applyNumberFormat="1" applyFont="1" applyBorder="1" applyAlignment="1">
      <alignment horizontal="center" vertical="center" wrapText="1"/>
    </xf>
    <xf numFmtId="0" fontId="4" fillId="2" borderId="0" xfId="0" applyFont="1" applyFill="1" applyAlignment="1">
      <alignment vertical="center" wrapText="1"/>
    </xf>
    <xf numFmtId="0" fontId="0" fillId="0" borderId="0" xfId="0"/>
    <xf numFmtId="0" fontId="2" fillId="2" borderId="0" xfId="0" applyFont="1" applyFill="1" applyAlignment="1">
      <alignment vertical="center" wrapText="1"/>
    </xf>
    <xf numFmtId="0" fontId="3" fillId="3" borderId="0" xfId="0" applyFont="1" applyFill="1" applyAlignment="1">
      <alignment vertical="center" wrapText="1"/>
    </xf>
    <xf numFmtId="0" fontId="1" fillId="2" borderId="0" xfId="0" applyFont="1" applyFill="1" applyAlignment="1">
      <alignment vertical="center" wrapText="1"/>
    </xf>
    <xf numFmtId="0" fontId="2" fillId="0" borderId="0" xfId="0" applyFont="1" applyAlignment="1">
      <alignment vertical="center" wrapText="1"/>
    </xf>
    <xf numFmtId="0" fontId="5" fillId="8"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2" xfId="0" applyBorder="1"/>
    <xf numFmtId="0" fontId="0" fillId="0" borderId="3" xfId="0" applyBorder="1"/>
    <xf numFmtId="0" fontId="5" fillId="5" borderId="1" xfId="0" applyFont="1" applyFill="1" applyBorder="1" applyAlignment="1">
      <alignment horizontal="center" vertical="center" wrapText="1"/>
    </xf>
  </cellXfs>
  <cellStyles count="1">
    <cellStyle name="Normal" xfId="0" builtinId="0"/>
  </cellStyles>
  <dxfs count="10">
    <dxf>
      <fill>
        <patternFill patternType="solid">
          <fgColor rgb="FFD3F0E2"/>
        </patternFill>
      </fill>
    </dxf>
    <dxf>
      <fill>
        <patternFill patternType="solid">
          <fgColor rgb="FFF8D0D0"/>
        </patternFill>
      </fill>
    </dxf>
    <dxf>
      <fill>
        <patternFill patternType="solid">
          <fgColor rgb="FFD3F0E2"/>
        </patternFill>
      </fill>
    </dxf>
    <dxf>
      <fill>
        <patternFill patternType="solid">
          <fgColor rgb="FFF8D0D0"/>
        </patternFill>
      </fill>
    </dxf>
    <dxf>
      <fill>
        <patternFill patternType="solid">
          <fgColor rgb="FFE7E6E6"/>
        </patternFill>
      </fill>
    </dxf>
    <dxf>
      <fill>
        <patternFill patternType="solid">
          <fgColor rgb="FFE7E6E6"/>
        </patternFill>
      </fill>
    </dxf>
    <dxf>
      <fill>
        <patternFill patternType="solid">
          <fgColor rgb="FFD3F0E2"/>
        </patternFill>
      </fill>
    </dxf>
    <dxf>
      <fill>
        <patternFill patternType="solid">
          <fgColor rgb="FFF8D0D0"/>
        </patternFill>
      </fill>
    </dxf>
    <dxf>
      <fill>
        <patternFill patternType="solid">
          <fgColor rgb="FFD3F0E2"/>
        </patternFill>
      </fill>
    </dxf>
    <dxf>
      <fill>
        <patternFill patternType="solid">
          <fgColor rgb="FFF8D0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35A"/>
  </sheetPr>
  <dimension ref="A1:H17"/>
  <sheetViews>
    <sheetView workbookViewId="0">
      <pane ySplit="2" topLeftCell="A3" activePane="bottomLeft" state="frozen"/>
      <selection pane="bottomLeft" sqref="A1:H1"/>
    </sheetView>
  </sheetViews>
  <sheetFormatPr defaultRowHeight="15" x14ac:dyDescent="0.25"/>
  <cols>
    <col min="1" max="1" width="22" customWidth="1"/>
    <col min="2" max="2" width="14" customWidth="1"/>
    <col min="3" max="4" width="36" customWidth="1"/>
    <col min="5" max="5" width="62" customWidth="1"/>
    <col min="6" max="6" width="42" customWidth="1"/>
    <col min="7" max="7" width="28" customWidth="1"/>
    <col min="8" max="8" width="24" customWidth="1"/>
  </cols>
  <sheetData>
    <row r="1" spans="1:8" x14ac:dyDescent="0.25">
      <c r="A1" s="77" t="s">
        <v>0</v>
      </c>
      <c r="B1" s="74"/>
      <c r="C1" s="74"/>
      <c r="D1" s="74"/>
      <c r="E1" s="74"/>
      <c r="F1" s="74"/>
      <c r="G1" s="74"/>
      <c r="H1" s="74"/>
    </row>
    <row r="2" spans="1:8" ht="36" customHeight="1" x14ac:dyDescent="0.25">
      <c r="A2" s="75" t="s">
        <v>1</v>
      </c>
      <c r="B2" s="74"/>
      <c r="C2" s="74"/>
      <c r="D2" s="74"/>
      <c r="E2" s="74"/>
      <c r="F2" s="74"/>
      <c r="G2" s="74"/>
      <c r="H2" s="74"/>
    </row>
    <row r="3" spans="1:8" x14ac:dyDescent="0.25">
      <c r="A3" s="2" t="s">
        <v>2</v>
      </c>
      <c r="B3" s="2" t="s">
        <v>3</v>
      </c>
      <c r="C3" s="2" t="s">
        <v>4</v>
      </c>
      <c r="D3" s="2" t="s">
        <v>5</v>
      </c>
      <c r="E3" s="2" t="s">
        <v>6</v>
      </c>
      <c r="F3" s="2" t="s">
        <v>7</v>
      </c>
      <c r="G3" s="2" t="s">
        <v>8</v>
      </c>
      <c r="H3" s="2" t="s">
        <v>9</v>
      </c>
    </row>
    <row r="4" spans="1:8" ht="78" customHeight="1" x14ac:dyDescent="0.25">
      <c r="A4" s="3" t="s">
        <v>10</v>
      </c>
      <c r="B4" s="3" t="s">
        <v>11</v>
      </c>
      <c r="C4" s="3" t="s">
        <v>12</v>
      </c>
      <c r="D4" s="3" t="s">
        <v>13</v>
      </c>
      <c r="E4" s="3" t="s">
        <v>14</v>
      </c>
      <c r="F4" s="3" t="s">
        <v>15</v>
      </c>
      <c r="G4" s="3" t="s">
        <v>10</v>
      </c>
      <c r="H4" s="3" t="s">
        <v>16</v>
      </c>
    </row>
    <row r="5" spans="1:8" ht="78" customHeight="1" x14ac:dyDescent="0.25">
      <c r="A5" s="3" t="s">
        <v>17</v>
      </c>
      <c r="B5" s="3" t="s">
        <v>18</v>
      </c>
      <c r="C5" s="3" t="s">
        <v>19</v>
      </c>
      <c r="D5" s="3" t="s">
        <v>20</v>
      </c>
      <c r="E5" s="3" t="s">
        <v>21</v>
      </c>
      <c r="F5" s="3" t="s">
        <v>22</v>
      </c>
      <c r="G5" s="3" t="s">
        <v>17</v>
      </c>
      <c r="H5" s="3" t="s">
        <v>23</v>
      </c>
    </row>
    <row r="6" spans="1:8" ht="78" customHeight="1" x14ac:dyDescent="0.25">
      <c r="A6" s="3" t="s">
        <v>24</v>
      </c>
      <c r="B6" s="3" t="s">
        <v>18</v>
      </c>
      <c r="C6" s="3" t="s">
        <v>25</v>
      </c>
      <c r="D6" s="3" t="s">
        <v>26</v>
      </c>
      <c r="E6" s="3" t="s">
        <v>27</v>
      </c>
      <c r="F6" s="3" t="s">
        <v>28</v>
      </c>
      <c r="G6" s="3" t="s">
        <v>24</v>
      </c>
      <c r="H6" s="3" t="s">
        <v>29</v>
      </c>
    </row>
    <row r="7" spans="1:8" ht="78" customHeight="1" x14ac:dyDescent="0.25">
      <c r="A7" s="3" t="s">
        <v>30</v>
      </c>
      <c r="B7" s="3" t="s">
        <v>18</v>
      </c>
      <c r="C7" s="3" t="s">
        <v>31</v>
      </c>
      <c r="D7" s="3" t="s">
        <v>32</v>
      </c>
      <c r="E7" s="3" t="s">
        <v>33</v>
      </c>
      <c r="F7" s="3" t="s">
        <v>34</v>
      </c>
      <c r="G7" s="3" t="s">
        <v>30</v>
      </c>
      <c r="H7" s="3" t="s">
        <v>35</v>
      </c>
    </row>
    <row r="8" spans="1:8" ht="78" customHeight="1" x14ac:dyDescent="0.25">
      <c r="A8" s="3" t="s">
        <v>36</v>
      </c>
      <c r="B8" s="3" t="s">
        <v>37</v>
      </c>
      <c r="C8" s="3" t="s">
        <v>38</v>
      </c>
      <c r="D8" s="3" t="s">
        <v>39</v>
      </c>
      <c r="E8" s="3" t="s">
        <v>40</v>
      </c>
      <c r="F8" s="3" t="s">
        <v>41</v>
      </c>
      <c r="G8" s="3" t="s">
        <v>42</v>
      </c>
      <c r="H8" s="3" t="s">
        <v>43</v>
      </c>
    </row>
    <row r="9" spans="1:8" ht="78" customHeight="1" x14ac:dyDescent="0.25">
      <c r="A9" s="3" t="s">
        <v>44</v>
      </c>
      <c r="B9" s="3" t="s">
        <v>37</v>
      </c>
      <c r="C9" s="3" t="s">
        <v>45</v>
      </c>
      <c r="D9" s="3" t="s">
        <v>46</v>
      </c>
      <c r="E9" s="3" t="s">
        <v>47</v>
      </c>
      <c r="F9" s="3" t="s">
        <v>48</v>
      </c>
      <c r="G9" s="3" t="s">
        <v>44</v>
      </c>
      <c r="H9" s="3" t="s">
        <v>49</v>
      </c>
    </row>
    <row r="10" spans="1:8" ht="78" customHeight="1" x14ac:dyDescent="0.25">
      <c r="A10" s="3" t="s">
        <v>50</v>
      </c>
      <c r="B10" s="3" t="s">
        <v>37</v>
      </c>
      <c r="C10" s="3" t="s">
        <v>51</v>
      </c>
      <c r="D10" s="3" t="s">
        <v>52</v>
      </c>
      <c r="E10" s="3" t="s">
        <v>53</v>
      </c>
      <c r="F10" s="3" t="s">
        <v>54</v>
      </c>
      <c r="G10" s="3" t="s">
        <v>50</v>
      </c>
      <c r="H10" s="3" t="s">
        <v>55</v>
      </c>
    </row>
    <row r="11" spans="1:8" ht="78" customHeight="1" x14ac:dyDescent="0.25">
      <c r="A11" s="3" t="s">
        <v>56</v>
      </c>
      <c r="B11" s="3" t="s">
        <v>57</v>
      </c>
      <c r="C11" s="3" t="s">
        <v>58</v>
      </c>
      <c r="D11" s="3" t="s">
        <v>59</v>
      </c>
      <c r="E11" s="3" t="s">
        <v>60</v>
      </c>
      <c r="F11" s="3" t="s">
        <v>61</v>
      </c>
      <c r="G11" s="3" t="s">
        <v>56</v>
      </c>
      <c r="H11" s="3" t="s">
        <v>62</v>
      </c>
    </row>
    <row r="12" spans="1:8" ht="78" customHeight="1" x14ac:dyDescent="0.25">
      <c r="A12" s="3" t="s">
        <v>63</v>
      </c>
      <c r="B12" s="3" t="s">
        <v>64</v>
      </c>
      <c r="C12" s="3" t="s">
        <v>65</v>
      </c>
      <c r="D12" s="3" t="s">
        <v>66</v>
      </c>
      <c r="E12" s="3" t="s">
        <v>67</v>
      </c>
      <c r="F12" s="3" t="s">
        <v>68</v>
      </c>
      <c r="G12" s="3" t="s">
        <v>69</v>
      </c>
      <c r="H12" s="3" t="s">
        <v>70</v>
      </c>
    </row>
    <row r="13" spans="1:8" ht="78" customHeight="1" x14ac:dyDescent="0.25">
      <c r="A13" s="3" t="s">
        <v>71</v>
      </c>
      <c r="B13" s="3" t="s">
        <v>72</v>
      </c>
      <c r="C13" s="3" t="s">
        <v>73</v>
      </c>
      <c r="D13" s="3" t="s">
        <v>74</v>
      </c>
      <c r="E13" s="3" t="s">
        <v>75</v>
      </c>
      <c r="F13" s="3" t="s">
        <v>76</v>
      </c>
      <c r="G13" s="3" t="s">
        <v>77</v>
      </c>
      <c r="H13" s="3" t="s">
        <v>78</v>
      </c>
    </row>
    <row r="14" spans="1:8" x14ac:dyDescent="0.25">
      <c r="A14" s="76" t="s">
        <v>79</v>
      </c>
      <c r="B14" s="74"/>
      <c r="C14" s="74"/>
      <c r="D14" s="74"/>
      <c r="E14" s="74"/>
      <c r="F14" s="74"/>
      <c r="G14" s="74"/>
      <c r="H14" s="74"/>
    </row>
    <row r="15" spans="1:8" ht="36" customHeight="1" x14ac:dyDescent="0.25">
      <c r="A15" s="73" t="s">
        <v>80</v>
      </c>
      <c r="B15" s="74"/>
      <c r="C15" s="74"/>
      <c r="D15" s="74"/>
      <c r="E15" s="74"/>
      <c r="F15" s="74"/>
      <c r="G15" s="74"/>
      <c r="H15" s="74"/>
    </row>
    <row r="17" spans="1:8" x14ac:dyDescent="0.25">
      <c r="A17" s="78" t="s">
        <v>81</v>
      </c>
      <c r="B17" s="74"/>
      <c r="C17" s="74"/>
      <c r="D17" s="74"/>
      <c r="E17" s="74"/>
      <c r="F17" s="74"/>
      <c r="G17" s="74"/>
      <c r="H17" s="74"/>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35A"/>
  </sheetPr>
  <dimension ref="A1:F36"/>
  <sheetViews>
    <sheetView workbookViewId="0">
      <pane ySplit="3" topLeftCell="A4" activePane="bottomLeft" state="frozen"/>
      <selection pane="bottomLeft" activeCell="B27" sqref="B27:B36"/>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77" t="s">
        <v>82</v>
      </c>
      <c r="B1" s="74"/>
      <c r="C1" s="74"/>
      <c r="D1" s="74"/>
    </row>
    <row r="2" spans="1:6" ht="24" x14ac:dyDescent="0.25">
      <c r="A2" s="4" t="s">
        <v>83</v>
      </c>
      <c r="B2" s="5" t="s">
        <v>200</v>
      </c>
      <c r="C2" s="6" t="str">
        <f>IFERROR(INDEX(Personas!B$3:B$52,MATCH($B$2,Personas!$A$3:$A$52,0)),"")</f>
        <v>Daniel Koh</v>
      </c>
      <c r="D2" s="1" t="s">
        <v>85</v>
      </c>
      <c r="F2" s="4" t="s">
        <v>86</v>
      </c>
    </row>
    <row r="3" spans="1:6" x14ac:dyDescent="0.25">
      <c r="A3" s="2" t="s">
        <v>87</v>
      </c>
      <c r="B3" s="2" t="s">
        <v>88</v>
      </c>
      <c r="C3" s="2" t="s">
        <v>89</v>
      </c>
      <c r="D3" s="2" t="s">
        <v>90</v>
      </c>
      <c r="F3" s="7" t="s">
        <v>91</v>
      </c>
    </row>
    <row r="4" spans="1:6" x14ac:dyDescent="0.25">
      <c r="A4" s="79" t="s">
        <v>92</v>
      </c>
      <c r="B4" s="79"/>
      <c r="C4" s="79"/>
      <c r="D4" s="79"/>
      <c r="F4" s="8" t="s">
        <v>93</v>
      </c>
    </row>
    <row r="5" spans="1:6" x14ac:dyDescent="0.25">
      <c r="A5" s="9" t="s">
        <v>94</v>
      </c>
      <c r="B5" s="5" t="str">
        <f>IFERROR(INDEX(Personas!B$3:B$52,MATCH($B$2,Personas!$A$3:$A$52,0)),"")</f>
        <v>Daniel Koh</v>
      </c>
      <c r="C5" s="5" t="s">
        <v>95</v>
      </c>
      <c r="D5" s="10" t="s">
        <v>96</v>
      </c>
      <c r="F5" s="11" t="s">
        <v>97</v>
      </c>
    </row>
    <row r="6" spans="1:6" x14ac:dyDescent="0.25">
      <c r="A6" s="9" t="s">
        <v>98</v>
      </c>
      <c r="B6" s="12">
        <f>IFERROR(INDEX(Personas!C$3:C$52,MATCH($B$2,Personas!$A$3:$A$52,0)),"")</f>
        <v>34</v>
      </c>
      <c r="C6" s="5" t="s">
        <v>95</v>
      </c>
      <c r="D6" s="10" t="s">
        <v>99</v>
      </c>
      <c r="F6" s="13" t="s">
        <v>100</v>
      </c>
    </row>
    <row r="7" spans="1:6" x14ac:dyDescent="0.25">
      <c r="A7" s="9" t="s">
        <v>101</v>
      </c>
      <c r="B7" s="5" t="str">
        <f>IFERROR(INDEX(Personas!D$3:D$52,MATCH($B$2,Personas!$A$3:$A$52,0)),"")</f>
        <v>Female</v>
      </c>
      <c r="C7" s="5" t="s">
        <v>95</v>
      </c>
      <c r="D7" s="10" t="s">
        <v>102</v>
      </c>
    </row>
    <row r="8" spans="1:6" x14ac:dyDescent="0.25">
      <c r="A8" s="9" t="s">
        <v>103</v>
      </c>
      <c r="B8" s="5" t="str">
        <f>IFERROR(INDEX(Personas!E$3:E$52,MATCH($B$2,Personas!$A$3:$A$52,0)),"")</f>
        <v>Citizen</v>
      </c>
      <c r="C8" s="5" t="s">
        <v>95</v>
      </c>
      <c r="D8" s="10" t="s">
        <v>104</v>
      </c>
    </row>
    <row r="9" spans="1:6" x14ac:dyDescent="0.25">
      <c r="A9" s="9" t="s">
        <v>105</v>
      </c>
      <c r="B9" s="5" t="str">
        <f>IFERROR(INDEX(Personas!F$3:F$52,MATCH($B$2,Personas!$A$3:$A$52,0)),"")</f>
        <v>Singapore</v>
      </c>
      <c r="C9" s="5" t="s">
        <v>95</v>
      </c>
      <c r="D9" s="10" t="s">
        <v>106</v>
      </c>
    </row>
    <row r="10" spans="1:6" x14ac:dyDescent="0.25">
      <c r="A10" s="9" t="s">
        <v>107</v>
      </c>
      <c r="B10" s="5" t="str">
        <f>IFERROR(INDEX(Personas!G$3:G$52,MATCH($B$2,Personas!$A$3:$A$52,0)),"")</f>
        <v>Accountant</v>
      </c>
      <c r="C10" s="5" t="s">
        <v>95</v>
      </c>
      <c r="D10" s="10" t="s">
        <v>108</v>
      </c>
    </row>
    <row r="11" spans="1:6" x14ac:dyDescent="0.25">
      <c r="A11" s="9" t="s">
        <v>109</v>
      </c>
      <c r="B11" s="12">
        <f>IFERROR(INDEX(Personas!H$3:H$52,MATCH($B$2,Personas!$A$3:$A$52,0)),"")</f>
        <v>1</v>
      </c>
      <c r="C11" s="5" t="s">
        <v>95</v>
      </c>
      <c r="D11" s="10" t="s">
        <v>110</v>
      </c>
    </row>
    <row r="12" spans="1:6" x14ac:dyDescent="0.25">
      <c r="A12" s="9" t="s">
        <v>111</v>
      </c>
      <c r="B12" s="5">
        <f>IFERROR(INDEX(Personas!I$3:I$52,MATCH($B$2,Personas!$A$3:$A$52,0)),"")</f>
        <v>0</v>
      </c>
      <c r="C12" s="5" t="s">
        <v>95</v>
      </c>
      <c r="D12" s="10" t="s">
        <v>112</v>
      </c>
    </row>
    <row r="13" spans="1:6" x14ac:dyDescent="0.25">
      <c r="A13" s="9" t="s">
        <v>113</v>
      </c>
      <c r="B13" s="5" t="str">
        <f>IFERROR(INDEX(Personas!AD$3:AD$52,MATCH($B$2,Personas!$A$3:$A$52,0)),"")</f>
        <v>Accountant; age 34; Citizen; 1 dep; home; non-smoker</v>
      </c>
      <c r="C13" s="5" t="s">
        <v>95</v>
      </c>
      <c r="D13" s="10" t="s">
        <v>114</v>
      </c>
    </row>
    <row r="15" spans="1:6" x14ac:dyDescent="0.25">
      <c r="A15" s="81" t="s">
        <v>115</v>
      </c>
      <c r="B15" s="81"/>
      <c r="C15" s="81"/>
      <c r="D15" s="81"/>
    </row>
    <row r="16" spans="1:6" x14ac:dyDescent="0.25">
      <c r="A16" s="14" t="s">
        <v>116</v>
      </c>
      <c r="B16" s="15">
        <f>IFERROR(INDEX(Personas!J$3:J$52,MATCH($B$2,Personas!$A$3:$A$52,0)),"")</f>
        <v>7140</v>
      </c>
      <c r="C16" s="16" t="s">
        <v>117</v>
      </c>
      <c r="D16" s="10" t="s">
        <v>118</v>
      </c>
    </row>
    <row r="17" spans="1:4" x14ac:dyDescent="0.25">
      <c r="A17" s="14" t="s">
        <v>119</v>
      </c>
      <c r="B17" s="16" t="s">
        <v>1288</v>
      </c>
      <c r="C17" s="16" t="s">
        <v>117</v>
      </c>
      <c r="D17" s="10" t="s">
        <v>120</v>
      </c>
    </row>
    <row r="18" spans="1:4" x14ac:dyDescent="0.25">
      <c r="A18" s="14" t="s">
        <v>121</v>
      </c>
      <c r="B18" s="16" t="str">
        <f>IFERROR(INDEX(Personas!L$3:L$52,MATCH($B$2,Personas!$A$3:$A$52,0)),"")</f>
        <v>moderate</v>
      </c>
      <c r="C18" s="16" t="s">
        <v>117</v>
      </c>
      <c r="D18" s="10" t="s">
        <v>122</v>
      </c>
    </row>
    <row r="19" spans="1:4" x14ac:dyDescent="0.25">
      <c r="A19" s="14" t="s">
        <v>123</v>
      </c>
      <c r="B19" s="16" t="str">
        <f>IFERROR(INDEX(Personas!M$3:M$52,MATCH($B$2,Personas!$A$3:$A$52,0)),"")</f>
        <v>medium</v>
      </c>
      <c r="C19" s="16" t="s">
        <v>117</v>
      </c>
      <c r="D19" s="10" t="s">
        <v>124</v>
      </c>
    </row>
    <row r="20" spans="1:4" x14ac:dyDescent="0.25">
      <c r="A20" s="14" t="s">
        <v>125</v>
      </c>
      <c r="B20" s="16" t="b">
        <f>IFERROR(INDEX(Personas!N$3:N$52,MATCH($B$2,Personas!$A$3:$A$52,0)),"")</f>
        <v>1</v>
      </c>
      <c r="C20" s="16" t="s">
        <v>117</v>
      </c>
      <c r="D20" s="10" t="s">
        <v>126</v>
      </c>
    </row>
    <row r="21" spans="1:4" x14ac:dyDescent="0.25">
      <c r="A21" s="14" t="s">
        <v>127</v>
      </c>
      <c r="B21" s="16" t="b">
        <f>IFERROR(INDEX(Personas!O$3:O$52,MATCH($B$2,Personas!$A$3:$A$52,0)),"")</f>
        <v>1</v>
      </c>
      <c r="C21" s="16" t="s">
        <v>117</v>
      </c>
      <c r="D21" s="10" t="s">
        <v>128</v>
      </c>
    </row>
    <row r="22" spans="1:4" x14ac:dyDescent="0.25">
      <c r="A22" s="14" t="s">
        <v>129</v>
      </c>
      <c r="B22" s="16" t="b">
        <f>IFERROR(INDEX(Personas!U$3:U$52,MATCH($B$2,Personas!$A$3:$A$52,0)),"")</f>
        <v>0</v>
      </c>
      <c r="C22" s="16" t="s">
        <v>117</v>
      </c>
      <c r="D22" s="10" t="s">
        <v>130</v>
      </c>
    </row>
    <row r="23" spans="1:4" x14ac:dyDescent="0.25">
      <c r="A23" s="14" t="s">
        <v>131</v>
      </c>
      <c r="B23" s="17">
        <f>IFERROR(INDEX(Personas!V$3:V$52,MATCH($B$2,Personas!$A$3:$A$52,0)),"")</f>
        <v>88</v>
      </c>
      <c r="C23" s="16" t="s">
        <v>117</v>
      </c>
      <c r="D23" s="10" t="s">
        <v>132</v>
      </c>
    </row>
    <row r="24" spans="1:4" x14ac:dyDescent="0.25">
      <c r="A24" s="14" t="s">
        <v>133</v>
      </c>
      <c r="B24" s="16" t="str">
        <f>IFERROR(INDEX(Personas!T$3:T$52,MATCH($B$2,Personas!$A$3:$A$52,0)),"")</f>
        <v>Comfortable</v>
      </c>
      <c r="C24" s="16" t="s">
        <v>117</v>
      </c>
      <c r="D24" s="10" t="s">
        <v>134</v>
      </c>
    </row>
    <row r="26" spans="1:4" x14ac:dyDescent="0.25">
      <c r="A26" s="80" t="s">
        <v>135</v>
      </c>
      <c r="B26" s="80"/>
      <c r="C26" s="80"/>
      <c r="D26" s="80"/>
    </row>
    <row r="27" spans="1:4" x14ac:dyDescent="0.25">
      <c r="A27" s="18" t="s">
        <v>136</v>
      </c>
      <c r="B27" s="19" t="b">
        <f>CPF_on</f>
        <v>1</v>
      </c>
      <c r="C27" s="19" t="s">
        <v>137</v>
      </c>
      <c r="D27" s="10" t="s">
        <v>138</v>
      </c>
    </row>
    <row r="28" spans="1:4" x14ac:dyDescent="0.25">
      <c r="A28" s="18" t="s">
        <v>139</v>
      </c>
      <c r="B28" s="20">
        <f>PLU_incomeMonthly</f>
        <v>7140</v>
      </c>
      <c r="C28" s="19" t="s">
        <v>137</v>
      </c>
      <c r="D28" s="10" t="s">
        <v>140</v>
      </c>
    </row>
    <row r="29" spans="1:4" x14ac:dyDescent="0.25">
      <c r="A29" s="18" t="s">
        <v>141</v>
      </c>
      <c r="B29" s="20">
        <f>PLU_takeHome</f>
        <v>5712</v>
      </c>
      <c r="C29" s="19" t="s">
        <v>137</v>
      </c>
      <c r="D29" s="10" t="s">
        <v>142</v>
      </c>
    </row>
    <row r="30" spans="1:4" x14ac:dyDescent="0.25">
      <c r="A30" s="18" t="s">
        <v>143</v>
      </c>
      <c r="B30" s="20">
        <f>PLU_expenseMonthly</f>
        <v>4141.2</v>
      </c>
      <c r="C30" s="19" t="s">
        <v>137</v>
      </c>
      <c r="D30" s="10" t="s">
        <v>144</v>
      </c>
    </row>
    <row r="31" spans="1:4" x14ac:dyDescent="0.25">
      <c r="A31" s="18" t="s">
        <v>145</v>
      </c>
      <c r="B31" s="21">
        <f>PLU_cash</f>
        <v>18378</v>
      </c>
      <c r="C31" s="19" t="s">
        <v>137</v>
      </c>
      <c r="D31" s="10" t="s">
        <v>146</v>
      </c>
    </row>
    <row r="32" spans="1:4" x14ac:dyDescent="0.25">
      <c r="A32" s="18" t="s">
        <v>147</v>
      </c>
      <c r="B32" s="21">
        <f>PLU_investments</f>
        <v>104144</v>
      </c>
      <c r="C32" s="19" t="s">
        <v>137</v>
      </c>
      <c r="D32" s="10"/>
    </row>
    <row r="33" spans="1:4" x14ac:dyDescent="0.25">
      <c r="A33" s="18" t="s">
        <v>148</v>
      </c>
      <c r="B33" s="21">
        <f>PLU_property</f>
        <v>350000</v>
      </c>
      <c r="C33" s="19" t="s">
        <v>137</v>
      </c>
      <c r="D33" s="10" t="s">
        <v>149</v>
      </c>
    </row>
    <row r="34" spans="1:4" x14ac:dyDescent="0.25">
      <c r="A34" s="18" t="s">
        <v>150</v>
      </c>
      <c r="B34" s="21">
        <f>PLU_mortgage</f>
        <v>192500</v>
      </c>
      <c r="C34" s="19" t="s">
        <v>137</v>
      </c>
      <c r="D34" s="10"/>
    </row>
    <row r="35" spans="1:4" x14ac:dyDescent="0.25">
      <c r="A35" s="18" t="s">
        <v>151</v>
      </c>
      <c r="B35" s="20">
        <f>PLU_liabilities</f>
        <v>85765.680000000008</v>
      </c>
      <c r="C35" s="19" t="s">
        <v>137</v>
      </c>
      <c r="D35" s="10" t="s">
        <v>152</v>
      </c>
    </row>
    <row r="36" spans="1:4" x14ac:dyDescent="0.25">
      <c r="A36" s="18" t="s">
        <v>153</v>
      </c>
      <c r="B36" s="21">
        <f>PLU_lifeSum</f>
        <v>428400</v>
      </c>
      <c r="C36" s="19" t="s">
        <v>137</v>
      </c>
      <c r="D36" s="10"/>
    </row>
  </sheetData>
  <mergeCells count="4">
    <mergeCell ref="A1:D1"/>
    <mergeCell ref="A4:D4"/>
    <mergeCell ref="A26:D26"/>
    <mergeCell ref="A15:D15"/>
  </mergeCells>
  <dataValidations count="1">
    <dataValidation type="list" sqref="B2" xr:uid="{00000000-0002-0000-0100-000000000000}">
      <formula1>PersonaIDs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6914"/>
  </sheetPr>
  <dimension ref="A1:AF52"/>
  <sheetViews>
    <sheetView workbookViewId="0">
      <pane xSplit="2" ySplit="2" topLeftCell="C3" activePane="bottomRight" state="frozen"/>
      <selection pane="topRight"/>
      <selection pane="bottomLeft"/>
      <selection pane="bottomRight" activeCell="A14" sqref="A14"/>
    </sheetView>
  </sheetViews>
  <sheetFormatPr defaultRowHeight="15" x14ac:dyDescent="0.25"/>
  <cols>
    <col min="1" max="1" width="6" customWidth="1"/>
    <col min="2" max="2" width="18" customWidth="1"/>
    <col min="3" max="3" width="6" customWidth="1"/>
    <col min="4" max="4" width="10" customWidth="1"/>
    <col min="5" max="5" width="12" customWidth="1"/>
    <col min="6" max="6" width="14" customWidth="1"/>
    <col min="7" max="7" width="20" customWidth="1"/>
    <col min="8" max="8" width="12" customWidth="1"/>
    <col min="9" max="9" width="22" customWidth="1"/>
    <col min="10" max="10" width="12" customWidth="1"/>
    <col min="11" max="11" width="10" customWidth="1"/>
    <col min="12" max="12" width="14" customWidth="1"/>
    <col min="13" max="13" width="16" customWidth="1"/>
    <col min="14" max="14" width="10" customWidth="1"/>
    <col min="15" max="15" width="8" customWidth="1"/>
    <col min="16" max="16" width="12" customWidth="1"/>
    <col min="17" max="17" width="20" customWidth="1"/>
    <col min="18" max="18" width="12" customWidth="1"/>
    <col min="19" max="19" width="22" customWidth="1"/>
    <col min="20" max="20" width="20" customWidth="1"/>
    <col min="21" max="21" width="12" customWidth="1"/>
    <col min="22" max="22" width="14" customWidth="1"/>
    <col min="23" max="23" width="16" customWidth="1"/>
    <col min="24" max="24" width="20" customWidth="1"/>
    <col min="25" max="25" width="14" customWidth="1"/>
    <col min="26" max="29" width="16" customWidth="1"/>
    <col min="30" max="30" width="52" customWidth="1"/>
    <col min="32" max="32" width="42" customWidth="1"/>
  </cols>
  <sheetData>
    <row r="1" spans="1:32" ht="21.95" customHeight="1" x14ac:dyDescent="0.25">
      <c r="A1" s="79" t="s">
        <v>154</v>
      </c>
      <c r="B1" s="79"/>
      <c r="C1" s="79"/>
      <c r="D1" s="79"/>
      <c r="E1" s="79"/>
      <c r="F1" s="79"/>
      <c r="G1" s="79"/>
      <c r="H1" s="79"/>
      <c r="I1" s="79"/>
      <c r="J1" s="81" t="s">
        <v>155</v>
      </c>
      <c r="K1" s="81"/>
      <c r="L1" s="81"/>
      <c r="M1" s="81"/>
      <c r="N1" s="81"/>
      <c r="O1" s="81"/>
      <c r="P1" s="81"/>
      <c r="Q1" s="81"/>
      <c r="R1" s="81"/>
      <c r="S1" s="81"/>
      <c r="T1" s="81"/>
      <c r="U1" s="81"/>
      <c r="V1" s="81"/>
      <c r="W1" s="82" t="s">
        <v>156</v>
      </c>
      <c r="X1" s="82"/>
      <c r="Y1" s="82"/>
      <c r="Z1" s="82"/>
      <c r="AA1" s="82"/>
      <c r="AB1" s="82"/>
      <c r="AC1" s="82"/>
      <c r="AD1" s="2" t="s">
        <v>157</v>
      </c>
      <c r="AF1" s="4" t="s">
        <v>86</v>
      </c>
    </row>
    <row r="2" spans="1:32" ht="25.5" x14ac:dyDescent="0.25">
      <c r="A2" s="4" t="s">
        <v>158</v>
      </c>
      <c r="B2" s="4" t="s">
        <v>94</v>
      </c>
      <c r="C2" s="4" t="s">
        <v>98</v>
      </c>
      <c r="D2" s="4" t="s">
        <v>101</v>
      </c>
      <c r="E2" s="4" t="s">
        <v>103</v>
      </c>
      <c r="F2" s="4" t="s">
        <v>105</v>
      </c>
      <c r="G2" s="4" t="s">
        <v>107</v>
      </c>
      <c r="H2" s="4" t="s">
        <v>109</v>
      </c>
      <c r="I2" s="4" t="s">
        <v>159</v>
      </c>
      <c r="J2" s="7" t="s">
        <v>160</v>
      </c>
      <c r="K2" s="7" t="s">
        <v>119</v>
      </c>
      <c r="L2" s="7" t="s">
        <v>161</v>
      </c>
      <c r="M2" s="7" t="s">
        <v>162</v>
      </c>
      <c r="N2" s="7" t="s">
        <v>148</v>
      </c>
      <c r="O2" s="7" t="s">
        <v>163</v>
      </c>
      <c r="P2" s="7" t="s">
        <v>164</v>
      </c>
      <c r="Q2" s="7" t="s">
        <v>165</v>
      </c>
      <c r="R2" s="7" t="s">
        <v>166</v>
      </c>
      <c r="S2" s="7" t="s">
        <v>167</v>
      </c>
      <c r="T2" s="7" t="s">
        <v>168</v>
      </c>
      <c r="U2" s="7" t="s">
        <v>169</v>
      </c>
      <c r="V2" s="7" t="s">
        <v>170</v>
      </c>
      <c r="W2" s="13" t="s">
        <v>143</v>
      </c>
      <c r="X2" s="13" t="s">
        <v>171</v>
      </c>
      <c r="Y2" s="13" t="s">
        <v>147</v>
      </c>
      <c r="Z2" s="13" t="s">
        <v>172</v>
      </c>
      <c r="AA2" s="13" t="s">
        <v>173</v>
      </c>
      <c r="AB2" s="13" t="s">
        <v>151</v>
      </c>
      <c r="AC2" s="13" t="s">
        <v>153</v>
      </c>
      <c r="AD2" s="2" t="s">
        <v>174</v>
      </c>
      <c r="AF2" s="7" t="s">
        <v>91</v>
      </c>
    </row>
    <row r="3" spans="1:32" x14ac:dyDescent="0.25">
      <c r="A3" s="5" t="s">
        <v>84</v>
      </c>
      <c r="B3" s="6" t="s">
        <v>175</v>
      </c>
      <c r="C3" s="5">
        <v>22</v>
      </c>
      <c r="D3" s="5" t="s">
        <v>176</v>
      </c>
      <c r="E3" s="5" t="s">
        <v>177</v>
      </c>
      <c r="F3" s="5" t="s">
        <v>178</v>
      </c>
      <c r="G3" s="6" t="s">
        <v>179</v>
      </c>
      <c r="H3" s="5">
        <v>0</v>
      </c>
      <c r="I3" s="5"/>
      <c r="J3" s="22">
        <v>4200</v>
      </c>
      <c r="K3" s="16" t="s">
        <v>180</v>
      </c>
      <c r="L3" s="16" t="s">
        <v>181</v>
      </c>
      <c r="M3" s="16" t="s">
        <v>182</v>
      </c>
      <c r="N3" s="16" t="b">
        <v>0</v>
      </c>
      <c r="O3" s="16" t="b">
        <v>0</v>
      </c>
      <c r="P3" s="16" t="s">
        <v>183</v>
      </c>
      <c r="Q3" s="16" t="s">
        <v>184</v>
      </c>
      <c r="R3" s="16" t="b">
        <v>0</v>
      </c>
      <c r="S3" s="23" t="s">
        <v>185</v>
      </c>
      <c r="T3" s="16" t="s">
        <v>186</v>
      </c>
      <c r="U3" s="16" t="b">
        <v>0</v>
      </c>
      <c r="V3" s="16">
        <v>86</v>
      </c>
      <c r="W3" s="24">
        <v>2268</v>
      </c>
      <c r="X3" s="25">
        <v>983</v>
      </c>
      <c r="Y3" s="25">
        <v>5569</v>
      </c>
      <c r="Z3" s="25">
        <v>0</v>
      </c>
      <c r="AA3" s="25">
        <v>0</v>
      </c>
      <c r="AB3" s="25">
        <v>4586.3999999999996</v>
      </c>
      <c r="AC3" s="25">
        <v>0</v>
      </c>
      <c r="AD3" s="26" t="s">
        <v>187</v>
      </c>
      <c r="AF3" s="8" t="s">
        <v>93</v>
      </c>
    </row>
    <row r="4" spans="1:32" x14ac:dyDescent="0.25">
      <c r="A4" s="5" t="s">
        <v>188</v>
      </c>
      <c r="B4" s="6" t="s">
        <v>189</v>
      </c>
      <c r="C4" s="5">
        <v>27</v>
      </c>
      <c r="D4" s="5" t="s">
        <v>190</v>
      </c>
      <c r="E4" s="5" t="s">
        <v>191</v>
      </c>
      <c r="F4" s="5" t="s">
        <v>178</v>
      </c>
      <c r="G4" s="6" t="s">
        <v>192</v>
      </c>
      <c r="H4" s="5">
        <v>0</v>
      </c>
      <c r="I4" s="5"/>
      <c r="J4" s="22">
        <v>6020</v>
      </c>
      <c r="K4" s="16" t="s">
        <v>180</v>
      </c>
      <c r="L4" s="16" t="s">
        <v>193</v>
      </c>
      <c r="M4" s="16" t="s">
        <v>194</v>
      </c>
      <c r="N4" s="16" t="b">
        <v>0</v>
      </c>
      <c r="O4" s="16" t="b">
        <v>1</v>
      </c>
      <c r="P4" s="16" t="s">
        <v>195</v>
      </c>
      <c r="Q4" s="16" t="s">
        <v>196</v>
      </c>
      <c r="R4" s="16" t="b">
        <v>1</v>
      </c>
      <c r="S4" s="23" t="s">
        <v>197</v>
      </c>
      <c r="T4" s="16" t="s">
        <v>198</v>
      </c>
      <c r="U4" s="16" t="b">
        <v>0</v>
      </c>
      <c r="V4" s="16">
        <v>81</v>
      </c>
      <c r="W4" s="24">
        <v>3250.8</v>
      </c>
      <c r="X4" s="25">
        <v>8452</v>
      </c>
      <c r="Y4" s="25">
        <v>47895</v>
      </c>
      <c r="Z4" s="25">
        <v>0</v>
      </c>
      <c r="AA4" s="25">
        <v>0</v>
      </c>
      <c r="AB4" s="25">
        <v>39443.039999999994</v>
      </c>
      <c r="AC4" s="25">
        <v>0</v>
      </c>
      <c r="AD4" s="26" t="s">
        <v>199</v>
      </c>
      <c r="AF4" s="11" t="s">
        <v>97</v>
      </c>
    </row>
    <row r="5" spans="1:32" x14ac:dyDescent="0.25">
      <c r="A5" s="5" t="s">
        <v>200</v>
      </c>
      <c r="B5" s="6" t="s">
        <v>201</v>
      </c>
      <c r="C5" s="5">
        <v>34</v>
      </c>
      <c r="D5" s="5" t="s">
        <v>176</v>
      </c>
      <c r="E5" s="5" t="s">
        <v>177</v>
      </c>
      <c r="F5" s="5" t="s">
        <v>178</v>
      </c>
      <c r="G5" s="6" t="s">
        <v>202</v>
      </c>
      <c r="H5" s="5">
        <v>1</v>
      </c>
      <c r="I5" s="5"/>
      <c r="J5" s="22">
        <v>7140</v>
      </c>
      <c r="K5" s="16" t="s">
        <v>180</v>
      </c>
      <c r="L5" s="16" t="s">
        <v>193</v>
      </c>
      <c r="M5" s="16" t="s">
        <v>194</v>
      </c>
      <c r="N5" s="16" t="b">
        <v>1</v>
      </c>
      <c r="O5" s="16" t="b">
        <v>1</v>
      </c>
      <c r="P5" s="16" t="s">
        <v>203</v>
      </c>
      <c r="Q5" s="16" t="s">
        <v>196</v>
      </c>
      <c r="R5" s="16" t="b">
        <v>1</v>
      </c>
      <c r="S5" s="23" t="s">
        <v>204</v>
      </c>
      <c r="T5" s="16" t="s">
        <v>198</v>
      </c>
      <c r="U5" s="16" t="b">
        <v>0</v>
      </c>
      <c r="V5" s="16">
        <v>88</v>
      </c>
      <c r="W5" s="24">
        <v>4141.2</v>
      </c>
      <c r="X5" s="25">
        <v>18378</v>
      </c>
      <c r="Y5" s="25">
        <v>104144</v>
      </c>
      <c r="Z5" s="25">
        <v>350000</v>
      </c>
      <c r="AA5" s="25">
        <v>192500</v>
      </c>
      <c r="AB5" s="25">
        <v>85765.680000000008</v>
      </c>
      <c r="AC5" s="25">
        <v>428400</v>
      </c>
      <c r="AD5" s="26" t="s">
        <v>205</v>
      </c>
      <c r="AF5" s="13" t="s">
        <v>100</v>
      </c>
    </row>
    <row r="6" spans="1:32" x14ac:dyDescent="0.25">
      <c r="A6" s="5" t="s">
        <v>206</v>
      </c>
      <c r="B6" s="6" t="s">
        <v>207</v>
      </c>
      <c r="C6" s="5">
        <v>41</v>
      </c>
      <c r="D6" s="5" t="s">
        <v>190</v>
      </c>
      <c r="E6" s="5" t="s">
        <v>177</v>
      </c>
      <c r="F6" s="5" t="s">
        <v>178</v>
      </c>
      <c r="G6" s="6" t="s">
        <v>208</v>
      </c>
      <c r="H6" s="5">
        <v>2</v>
      </c>
      <c r="I6" s="5"/>
      <c r="J6" s="22">
        <v>4550</v>
      </c>
      <c r="K6" s="16" t="s">
        <v>180</v>
      </c>
      <c r="L6" s="16" t="s">
        <v>181</v>
      </c>
      <c r="M6" s="16" t="s">
        <v>182</v>
      </c>
      <c r="N6" s="16" t="b">
        <v>1</v>
      </c>
      <c r="O6" s="16" t="b">
        <v>1</v>
      </c>
      <c r="P6" s="16" t="s">
        <v>183</v>
      </c>
      <c r="Q6" s="16" t="s">
        <v>184</v>
      </c>
      <c r="R6" s="16" t="b">
        <v>0</v>
      </c>
      <c r="S6" s="23" t="s">
        <v>209</v>
      </c>
      <c r="T6" s="16" t="s">
        <v>210</v>
      </c>
      <c r="U6" s="16" t="b">
        <v>1</v>
      </c>
      <c r="V6" s="16">
        <v>78</v>
      </c>
      <c r="W6" s="24">
        <v>2821</v>
      </c>
      <c r="X6" s="25">
        <v>14742</v>
      </c>
      <c r="Y6" s="25">
        <v>83538</v>
      </c>
      <c r="Z6" s="25">
        <v>350000</v>
      </c>
      <c r="AA6" s="25">
        <v>192500</v>
      </c>
      <c r="AB6" s="25">
        <v>68796</v>
      </c>
      <c r="AC6" s="25">
        <v>273000</v>
      </c>
      <c r="AD6" s="26" t="s">
        <v>211</v>
      </c>
    </row>
    <row r="7" spans="1:32" x14ac:dyDescent="0.25">
      <c r="A7" s="5" t="s">
        <v>212</v>
      </c>
      <c r="B7" s="6" t="s">
        <v>213</v>
      </c>
      <c r="C7" s="5">
        <v>47</v>
      </c>
      <c r="D7" s="5" t="s">
        <v>176</v>
      </c>
      <c r="E7" s="5" t="s">
        <v>214</v>
      </c>
      <c r="F7" s="5" t="s">
        <v>178</v>
      </c>
      <c r="G7" s="6" t="s">
        <v>215</v>
      </c>
      <c r="H7" s="5">
        <v>2</v>
      </c>
      <c r="I7" s="5"/>
      <c r="J7" s="22">
        <v>5000</v>
      </c>
      <c r="K7" s="16" t="s">
        <v>180</v>
      </c>
      <c r="L7" s="16" t="s">
        <v>216</v>
      </c>
      <c r="M7" s="16" t="s">
        <v>182</v>
      </c>
      <c r="N7" s="16" t="b">
        <v>1</v>
      </c>
      <c r="O7" s="16" t="b">
        <v>0</v>
      </c>
      <c r="P7" s="16" t="s">
        <v>217</v>
      </c>
      <c r="Q7" s="16" t="s">
        <v>196</v>
      </c>
      <c r="R7" s="16" t="b">
        <v>1</v>
      </c>
      <c r="S7" s="23" t="s">
        <v>218</v>
      </c>
      <c r="T7" s="16" t="s">
        <v>219</v>
      </c>
      <c r="U7" s="16" t="b">
        <v>0</v>
      </c>
      <c r="V7" s="16">
        <v>90</v>
      </c>
      <c r="W7" s="24">
        <v>3875</v>
      </c>
      <c r="X7" s="25">
        <v>26325</v>
      </c>
      <c r="Y7" s="25">
        <v>149175</v>
      </c>
      <c r="Z7" s="25">
        <v>350000</v>
      </c>
      <c r="AA7" s="25">
        <v>192500</v>
      </c>
      <c r="AB7" s="25">
        <v>122850</v>
      </c>
      <c r="AC7" s="25">
        <v>300000</v>
      </c>
      <c r="AD7" s="26" t="s">
        <v>220</v>
      </c>
    </row>
    <row r="8" spans="1:32" x14ac:dyDescent="0.25">
      <c r="A8" s="5" t="s">
        <v>221</v>
      </c>
      <c r="B8" s="6" t="s">
        <v>222</v>
      </c>
      <c r="C8" s="5">
        <v>32</v>
      </c>
      <c r="D8" s="5" t="s">
        <v>190</v>
      </c>
      <c r="E8" s="5" t="s">
        <v>177</v>
      </c>
      <c r="F8" s="5" t="s">
        <v>178</v>
      </c>
      <c r="G8" s="6" t="s">
        <v>223</v>
      </c>
      <c r="H8" s="5">
        <v>1</v>
      </c>
      <c r="I8" s="5"/>
      <c r="J8" s="22">
        <v>13910</v>
      </c>
      <c r="K8" s="16" t="s">
        <v>180</v>
      </c>
      <c r="L8" s="16" t="s">
        <v>193</v>
      </c>
      <c r="M8" s="16" t="s">
        <v>194</v>
      </c>
      <c r="N8" s="16" t="b">
        <v>1</v>
      </c>
      <c r="O8" s="16" t="b">
        <v>1</v>
      </c>
      <c r="P8" s="16" t="s">
        <v>224</v>
      </c>
      <c r="Q8" s="16" t="s">
        <v>184</v>
      </c>
      <c r="R8" s="16" t="b">
        <v>1</v>
      </c>
      <c r="S8" s="23" t="s">
        <v>225</v>
      </c>
      <c r="T8" s="16" t="s">
        <v>226</v>
      </c>
      <c r="U8" s="16" t="b">
        <v>0</v>
      </c>
      <c r="V8" s="16">
        <v>83</v>
      </c>
      <c r="W8" s="24">
        <v>8924.75</v>
      </c>
      <c r="X8" s="25">
        <v>33514</v>
      </c>
      <c r="Y8" s="25">
        <v>189913</v>
      </c>
      <c r="Z8" s="25">
        <v>650000</v>
      </c>
      <c r="AA8" s="25">
        <v>357500</v>
      </c>
      <c r="AB8" s="25">
        <v>156398.54999999999</v>
      </c>
      <c r="AC8" s="25">
        <v>834600</v>
      </c>
      <c r="AD8" s="26" t="s">
        <v>227</v>
      </c>
    </row>
    <row r="9" spans="1:32" x14ac:dyDescent="0.25">
      <c r="A9" s="5" t="s">
        <v>228</v>
      </c>
      <c r="B9" s="6" t="s">
        <v>229</v>
      </c>
      <c r="C9" s="5">
        <v>54</v>
      </c>
      <c r="D9" s="5" t="s">
        <v>176</v>
      </c>
      <c r="E9" s="5" t="s">
        <v>191</v>
      </c>
      <c r="F9" s="5" t="s">
        <v>178</v>
      </c>
      <c r="G9" s="6" t="s">
        <v>230</v>
      </c>
      <c r="H9" s="5">
        <v>0</v>
      </c>
      <c r="I9" s="5"/>
      <c r="J9" s="22">
        <v>5525</v>
      </c>
      <c r="K9" s="16" t="s">
        <v>180</v>
      </c>
      <c r="L9" s="16" t="s">
        <v>181</v>
      </c>
      <c r="M9" s="16" t="s">
        <v>182</v>
      </c>
      <c r="N9" s="16" t="b">
        <v>1</v>
      </c>
      <c r="O9" s="16" t="b">
        <v>1</v>
      </c>
      <c r="P9" s="16" t="s">
        <v>203</v>
      </c>
      <c r="Q9" s="16" t="s">
        <v>196</v>
      </c>
      <c r="R9" s="16" t="b">
        <v>0</v>
      </c>
      <c r="S9" s="23" t="s">
        <v>231</v>
      </c>
      <c r="T9" s="16" t="s">
        <v>186</v>
      </c>
      <c r="U9" s="16" t="b">
        <v>0</v>
      </c>
      <c r="V9" s="16">
        <v>89</v>
      </c>
      <c r="W9" s="24">
        <v>2983.5</v>
      </c>
      <c r="X9" s="25">
        <v>42664</v>
      </c>
      <c r="Y9" s="25">
        <v>241763</v>
      </c>
      <c r="Z9" s="25">
        <v>350000</v>
      </c>
      <c r="AA9" s="25">
        <v>192500</v>
      </c>
      <c r="AB9" s="25">
        <v>199098.9</v>
      </c>
      <c r="AC9" s="25">
        <v>200000</v>
      </c>
      <c r="AD9" s="26" t="s">
        <v>232</v>
      </c>
    </row>
    <row r="10" spans="1:32" x14ac:dyDescent="0.25">
      <c r="A10" s="5" t="s">
        <v>233</v>
      </c>
      <c r="B10" s="6" t="s">
        <v>234</v>
      </c>
      <c r="C10" s="5">
        <v>60</v>
      </c>
      <c r="D10" s="5" t="s">
        <v>190</v>
      </c>
      <c r="E10" s="5" t="s">
        <v>177</v>
      </c>
      <c r="F10" s="5" t="s">
        <v>178</v>
      </c>
      <c r="G10" s="6" t="s">
        <v>235</v>
      </c>
      <c r="H10" s="5">
        <v>3</v>
      </c>
      <c r="I10" s="5"/>
      <c r="J10" s="22">
        <v>5975</v>
      </c>
      <c r="K10" s="16" t="s">
        <v>180</v>
      </c>
      <c r="L10" s="16" t="s">
        <v>181</v>
      </c>
      <c r="M10" s="16" t="s">
        <v>182</v>
      </c>
      <c r="N10" s="16" t="b">
        <v>1</v>
      </c>
      <c r="O10" s="16" t="b">
        <v>1</v>
      </c>
      <c r="P10" s="16" t="s">
        <v>183</v>
      </c>
      <c r="Q10" s="16" t="s">
        <v>184</v>
      </c>
      <c r="R10" s="16" t="b">
        <v>0</v>
      </c>
      <c r="S10" s="23" t="s">
        <v>209</v>
      </c>
      <c r="T10" s="16" t="s">
        <v>210</v>
      </c>
      <c r="U10" s="16" t="b">
        <v>1</v>
      </c>
      <c r="V10" s="16">
        <v>76</v>
      </c>
      <c r="W10" s="24">
        <v>4042.5</v>
      </c>
      <c r="X10" s="25">
        <v>30098</v>
      </c>
      <c r="Y10" s="25">
        <v>170557</v>
      </c>
      <c r="Z10" s="25">
        <v>350000</v>
      </c>
      <c r="AA10" s="25">
        <v>192500</v>
      </c>
      <c r="AB10" s="25">
        <v>140458.5</v>
      </c>
      <c r="AC10" s="25">
        <v>358500</v>
      </c>
      <c r="AD10" s="26" t="s">
        <v>236</v>
      </c>
    </row>
    <row r="11" spans="1:32" x14ac:dyDescent="0.25">
      <c r="A11" s="5" t="s">
        <v>237</v>
      </c>
      <c r="B11" s="6" t="s">
        <v>238</v>
      </c>
      <c r="C11" s="5">
        <v>25</v>
      </c>
      <c r="D11" s="5" t="s">
        <v>176</v>
      </c>
      <c r="E11" s="5" t="s">
        <v>177</v>
      </c>
      <c r="F11" s="5" t="s">
        <v>178</v>
      </c>
      <c r="G11" s="6" t="s">
        <v>239</v>
      </c>
      <c r="H11" s="5">
        <v>0</v>
      </c>
      <c r="I11" s="5"/>
      <c r="J11" s="22">
        <v>3350</v>
      </c>
      <c r="K11" s="16" t="s">
        <v>180</v>
      </c>
      <c r="L11" s="16" t="s">
        <v>193</v>
      </c>
      <c r="M11" s="16" t="s">
        <v>182</v>
      </c>
      <c r="N11" s="16" t="b">
        <v>0</v>
      </c>
      <c r="O11" s="16" t="b">
        <v>0</v>
      </c>
      <c r="P11" s="16" t="s">
        <v>183</v>
      </c>
      <c r="Q11" s="16" t="s">
        <v>184</v>
      </c>
      <c r="R11" s="16" t="b">
        <v>1</v>
      </c>
      <c r="S11" s="23" t="s">
        <v>240</v>
      </c>
      <c r="T11" s="16" t="s">
        <v>198</v>
      </c>
      <c r="U11" s="16" t="b">
        <v>0</v>
      </c>
      <c r="V11" s="16">
        <v>87</v>
      </c>
      <c r="W11" s="24">
        <v>1809</v>
      </c>
      <c r="X11" s="25">
        <v>3136</v>
      </c>
      <c r="Y11" s="25">
        <v>17768</v>
      </c>
      <c r="Z11" s="25">
        <v>0</v>
      </c>
      <c r="AA11" s="25">
        <v>0</v>
      </c>
      <c r="AB11" s="25">
        <v>14632.8</v>
      </c>
      <c r="AC11" s="25">
        <v>0</v>
      </c>
      <c r="AD11" s="26" t="s">
        <v>241</v>
      </c>
    </row>
    <row r="12" spans="1:32" x14ac:dyDescent="0.25">
      <c r="A12" s="5" t="s">
        <v>242</v>
      </c>
      <c r="B12" s="6" t="s">
        <v>243</v>
      </c>
      <c r="C12" s="5">
        <v>37</v>
      </c>
      <c r="D12" s="5" t="s">
        <v>190</v>
      </c>
      <c r="E12" s="5" t="s">
        <v>214</v>
      </c>
      <c r="F12" s="5" t="s">
        <v>178</v>
      </c>
      <c r="G12" s="6" t="s">
        <v>244</v>
      </c>
      <c r="H12" s="5">
        <v>2</v>
      </c>
      <c r="I12" s="5"/>
      <c r="J12" s="22">
        <v>4250</v>
      </c>
      <c r="K12" s="16" t="s">
        <v>180</v>
      </c>
      <c r="L12" s="16" t="s">
        <v>216</v>
      </c>
      <c r="M12" s="16" t="s">
        <v>182</v>
      </c>
      <c r="N12" s="16" t="b">
        <v>0</v>
      </c>
      <c r="O12" s="16" t="b">
        <v>1</v>
      </c>
      <c r="P12" s="16" t="s">
        <v>195</v>
      </c>
      <c r="Q12" s="16" t="s">
        <v>196</v>
      </c>
      <c r="R12" s="16" t="b">
        <v>1</v>
      </c>
      <c r="S12" s="23" t="s">
        <v>245</v>
      </c>
      <c r="T12" s="16" t="s">
        <v>246</v>
      </c>
      <c r="U12" s="16" t="b">
        <v>0</v>
      </c>
      <c r="V12" s="16">
        <v>80</v>
      </c>
      <c r="W12" s="24">
        <v>3293.75</v>
      </c>
      <c r="X12" s="25">
        <v>13770</v>
      </c>
      <c r="Y12" s="25">
        <v>78030</v>
      </c>
      <c r="Z12" s="25">
        <v>0</v>
      </c>
      <c r="AA12" s="25">
        <v>0</v>
      </c>
      <c r="AB12" s="25">
        <v>64259.999999999993</v>
      </c>
      <c r="AC12" s="25">
        <v>255000</v>
      </c>
      <c r="AD12" s="26" t="s">
        <v>247</v>
      </c>
    </row>
    <row r="13" spans="1:32" x14ac:dyDescent="0.25">
      <c r="A13" s="5" t="s">
        <v>248</v>
      </c>
      <c r="B13" s="6" t="s">
        <v>249</v>
      </c>
      <c r="C13" s="5">
        <v>51</v>
      </c>
      <c r="D13" s="5" t="s">
        <v>176</v>
      </c>
      <c r="E13" s="5" t="s">
        <v>177</v>
      </c>
      <c r="F13" s="5" t="s">
        <v>178</v>
      </c>
      <c r="G13" s="6" t="s">
        <v>179</v>
      </c>
      <c r="H13" s="5">
        <v>1</v>
      </c>
      <c r="I13" s="5"/>
      <c r="J13" s="22">
        <v>7140</v>
      </c>
      <c r="K13" s="16" t="s">
        <v>180</v>
      </c>
      <c r="L13" s="16" t="s">
        <v>193</v>
      </c>
      <c r="M13" s="16" t="s">
        <v>194</v>
      </c>
      <c r="N13" s="16" t="b">
        <v>1</v>
      </c>
      <c r="O13" s="16" t="b">
        <v>1</v>
      </c>
      <c r="P13" s="16" t="s">
        <v>217</v>
      </c>
      <c r="Q13" s="16" t="s">
        <v>196</v>
      </c>
      <c r="R13" s="16" t="b">
        <v>1</v>
      </c>
      <c r="S13" s="23" t="s">
        <v>250</v>
      </c>
      <c r="T13" s="16" t="s">
        <v>219</v>
      </c>
      <c r="U13" s="16" t="b">
        <v>0</v>
      </c>
      <c r="V13" s="16">
        <v>91</v>
      </c>
      <c r="W13" s="24">
        <v>4141.2</v>
      </c>
      <c r="X13" s="25">
        <v>42412</v>
      </c>
      <c r="Y13" s="25">
        <v>240332</v>
      </c>
      <c r="Z13" s="25">
        <v>350000</v>
      </c>
      <c r="AA13" s="25">
        <v>192500</v>
      </c>
      <c r="AB13" s="25">
        <v>197920.8</v>
      </c>
      <c r="AC13" s="25">
        <v>428400</v>
      </c>
      <c r="AD13" s="26" t="s">
        <v>251</v>
      </c>
    </row>
    <row r="14" spans="1:32" x14ac:dyDescent="0.25">
      <c r="A14" s="5" t="s">
        <v>252</v>
      </c>
      <c r="B14" s="6" t="s">
        <v>253</v>
      </c>
      <c r="C14" s="5">
        <v>66</v>
      </c>
      <c r="D14" s="5" t="s">
        <v>190</v>
      </c>
      <c r="E14" s="5" t="s">
        <v>177</v>
      </c>
      <c r="F14" s="5" t="s">
        <v>178</v>
      </c>
      <c r="G14" s="6" t="s">
        <v>192</v>
      </c>
      <c r="H14" s="5">
        <v>0</v>
      </c>
      <c r="I14" s="5"/>
      <c r="J14" s="22">
        <v>9800</v>
      </c>
      <c r="K14" s="16" t="s">
        <v>180</v>
      </c>
      <c r="L14" s="16" t="s">
        <v>181</v>
      </c>
      <c r="M14" s="16" t="s">
        <v>194</v>
      </c>
      <c r="N14" s="16" t="b">
        <v>1</v>
      </c>
      <c r="O14" s="16" t="b">
        <v>0</v>
      </c>
      <c r="P14" s="16" t="s">
        <v>183</v>
      </c>
      <c r="Q14" s="16" t="s">
        <v>184</v>
      </c>
      <c r="R14" s="16" t="b">
        <v>0</v>
      </c>
      <c r="S14" s="23" t="s">
        <v>209</v>
      </c>
      <c r="T14" s="16" t="s">
        <v>186</v>
      </c>
      <c r="U14" s="16" t="b">
        <v>0</v>
      </c>
      <c r="V14" s="16">
        <v>85</v>
      </c>
      <c r="W14" s="24">
        <v>6210</v>
      </c>
      <c r="X14" s="25">
        <v>121095</v>
      </c>
      <c r="Y14" s="25">
        <v>686205</v>
      </c>
      <c r="Z14" s="25">
        <v>350000</v>
      </c>
      <c r="AA14" s="25">
        <v>192500</v>
      </c>
      <c r="AB14" s="25">
        <v>565110</v>
      </c>
      <c r="AC14" s="25">
        <v>200000</v>
      </c>
      <c r="AD14" s="26" t="s">
        <v>254</v>
      </c>
    </row>
    <row r="15" spans="1:32" x14ac:dyDescent="0.25">
      <c r="A15" s="5" t="s">
        <v>255</v>
      </c>
      <c r="B15" s="6" t="s">
        <v>256</v>
      </c>
      <c r="C15" s="5">
        <v>30</v>
      </c>
      <c r="D15" s="5" t="s">
        <v>176</v>
      </c>
      <c r="E15" s="5" t="s">
        <v>191</v>
      </c>
      <c r="F15" s="5" t="s">
        <v>178</v>
      </c>
      <c r="G15" s="6" t="s">
        <v>202</v>
      </c>
      <c r="H15" s="5">
        <v>1</v>
      </c>
      <c r="I15" s="5"/>
      <c r="J15" s="22">
        <v>6580</v>
      </c>
      <c r="K15" s="16" t="s">
        <v>180</v>
      </c>
      <c r="L15" s="16" t="s">
        <v>193</v>
      </c>
      <c r="M15" s="16" t="s">
        <v>194</v>
      </c>
      <c r="N15" s="16" t="b">
        <v>0</v>
      </c>
      <c r="O15" s="16" t="b">
        <v>1</v>
      </c>
      <c r="P15" s="16" t="s">
        <v>195</v>
      </c>
      <c r="Q15" s="16" t="s">
        <v>184</v>
      </c>
      <c r="R15" s="16" t="b">
        <v>0</v>
      </c>
      <c r="S15" s="23" t="s">
        <v>197</v>
      </c>
      <c r="T15" s="16" t="s">
        <v>198</v>
      </c>
      <c r="U15" s="16" t="b">
        <v>1</v>
      </c>
      <c r="V15" s="16">
        <v>79</v>
      </c>
      <c r="W15" s="24">
        <v>3816.4</v>
      </c>
      <c r="X15" s="25">
        <v>11726</v>
      </c>
      <c r="Y15" s="25">
        <v>66445</v>
      </c>
      <c r="Z15" s="25">
        <v>0</v>
      </c>
      <c r="AA15" s="25">
        <v>0</v>
      </c>
      <c r="AB15" s="25">
        <v>54719.279999999992</v>
      </c>
      <c r="AC15" s="25">
        <v>394800</v>
      </c>
      <c r="AD15" s="26" t="s">
        <v>257</v>
      </c>
    </row>
    <row r="16" spans="1:32" x14ac:dyDescent="0.25">
      <c r="A16" s="5" t="s">
        <v>258</v>
      </c>
      <c r="B16" s="6" t="s">
        <v>259</v>
      </c>
      <c r="C16" s="5">
        <v>44</v>
      </c>
      <c r="D16" s="5" t="s">
        <v>190</v>
      </c>
      <c r="E16" s="5" t="s">
        <v>177</v>
      </c>
      <c r="F16" s="5" t="s">
        <v>178</v>
      </c>
      <c r="G16" s="6" t="s">
        <v>208</v>
      </c>
      <c r="H16" s="5">
        <v>4</v>
      </c>
      <c r="I16" s="5"/>
      <c r="J16" s="22">
        <v>4775</v>
      </c>
      <c r="K16" s="16" t="s">
        <v>180</v>
      </c>
      <c r="L16" s="16" t="s">
        <v>216</v>
      </c>
      <c r="M16" s="16" t="s">
        <v>182</v>
      </c>
      <c r="N16" s="16" t="b">
        <v>1</v>
      </c>
      <c r="O16" s="16" t="b">
        <v>1</v>
      </c>
      <c r="P16" s="16" t="s">
        <v>203</v>
      </c>
      <c r="Q16" s="16" t="s">
        <v>196</v>
      </c>
      <c r="R16" s="16" t="b">
        <v>1</v>
      </c>
      <c r="S16" s="23" t="s">
        <v>260</v>
      </c>
      <c r="T16" s="16" t="s">
        <v>246</v>
      </c>
      <c r="U16" s="16" t="b">
        <v>0</v>
      </c>
      <c r="V16" s="16">
        <v>84</v>
      </c>
      <c r="W16" s="24">
        <v>3342.5</v>
      </c>
      <c r="X16" s="25">
        <v>9884</v>
      </c>
      <c r="Y16" s="25">
        <v>56011</v>
      </c>
      <c r="Z16" s="25">
        <v>350000</v>
      </c>
      <c r="AA16" s="25">
        <v>192500</v>
      </c>
      <c r="AB16" s="25">
        <v>46126.5</v>
      </c>
      <c r="AC16" s="25">
        <v>286500</v>
      </c>
      <c r="AD16" s="26" t="s">
        <v>261</v>
      </c>
    </row>
    <row r="17" spans="1:30" x14ac:dyDescent="0.25">
      <c r="A17" s="5" t="s">
        <v>262</v>
      </c>
      <c r="B17" s="6" t="s">
        <v>263</v>
      </c>
      <c r="C17" s="5">
        <v>57</v>
      </c>
      <c r="D17" s="5" t="s">
        <v>176</v>
      </c>
      <c r="E17" s="5" t="s">
        <v>177</v>
      </c>
      <c r="F17" s="5" t="s">
        <v>178</v>
      </c>
      <c r="G17" s="6" t="s">
        <v>215</v>
      </c>
      <c r="H17" s="5">
        <v>2</v>
      </c>
      <c r="I17" s="5"/>
      <c r="J17" s="22">
        <v>5750</v>
      </c>
      <c r="K17" s="16" t="s">
        <v>180</v>
      </c>
      <c r="L17" s="16" t="s">
        <v>181</v>
      </c>
      <c r="M17" s="16" t="s">
        <v>182</v>
      </c>
      <c r="N17" s="16" t="b">
        <v>1</v>
      </c>
      <c r="O17" s="16" t="b">
        <v>1</v>
      </c>
      <c r="P17" s="16" t="s">
        <v>224</v>
      </c>
      <c r="Q17" s="16" t="s">
        <v>196</v>
      </c>
      <c r="R17" s="16" t="b">
        <v>0</v>
      </c>
      <c r="S17" s="23" t="s">
        <v>225</v>
      </c>
      <c r="T17" s="16" t="s">
        <v>226</v>
      </c>
      <c r="U17" s="16" t="b">
        <v>0</v>
      </c>
      <c r="V17" s="16">
        <v>92</v>
      </c>
      <c r="W17" s="24">
        <v>3654.12</v>
      </c>
      <c r="X17" s="25">
        <v>34373</v>
      </c>
      <c r="Y17" s="25">
        <v>194778</v>
      </c>
      <c r="Z17" s="25">
        <v>350000</v>
      </c>
      <c r="AA17" s="25">
        <v>192500</v>
      </c>
      <c r="AB17" s="25">
        <v>160405.05600000001</v>
      </c>
      <c r="AC17" s="25">
        <v>345000</v>
      </c>
      <c r="AD17" s="26" t="s">
        <v>264</v>
      </c>
    </row>
    <row r="18" spans="1:30" x14ac:dyDescent="0.25">
      <c r="A18" s="5" t="s">
        <v>265</v>
      </c>
      <c r="B18" s="6" t="s">
        <v>266</v>
      </c>
      <c r="C18" s="5">
        <v>23</v>
      </c>
      <c r="D18" s="5" t="s">
        <v>176</v>
      </c>
      <c r="E18" s="5" t="s">
        <v>177</v>
      </c>
      <c r="F18" s="5" t="s">
        <v>178</v>
      </c>
      <c r="G18" s="6" t="s">
        <v>223</v>
      </c>
      <c r="H18" s="5">
        <v>0</v>
      </c>
      <c r="I18" s="5"/>
      <c r="J18" s="22">
        <v>10400</v>
      </c>
      <c r="K18" s="16" t="s">
        <v>180</v>
      </c>
      <c r="L18" s="16" t="s">
        <v>181</v>
      </c>
      <c r="M18" s="16" t="s">
        <v>194</v>
      </c>
      <c r="N18" s="16" t="b">
        <v>0</v>
      </c>
      <c r="O18" s="16" t="b">
        <v>0</v>
      </c>
      <c r="P18" s="16" t="s">
        <v>183</v>
      </c>
      <c r="Q18" s="16" t="s">
        <v>184</v>
      </c>
      <c r="R18" s="16" t="b">
        <v>0</v>
      </c>
      <c r="S18" s="23" t="s">
        <v>185</v>
      </c>
      <c r="T18" s="16" t="s">
        <v>186</v>
      </c>
      <c r="U18" s="16" t="b">
        <v>0</v>
      </c>
      <c r="V18" s="16">
        <v>86</v>
      </c>
      <c r="W18" s="24">
        <v>5940</v>
      </c>
      <c r="X18" s="25">
        <v>5148</v>
      </c>
      <c r="Y18" s="25">
        <v>29172</v>
      </c>
      <c r="Z18" s="25">
        <v>0</v>
      </c>
      <c r="AA18" s="25">
        <v>0</v>
      </c>
      <c r="AB18" s="25">
        <v>24024</v>
      </c>
      <c r="AC18" s="25">
        <v>0</v>
      </c>
      <c r="AD18" s="26" t="s">
        <v>267</v>
      </c>
    </row>
    <row r="19" spans="1:30" x14ac:dyDescent="0.25">
      <c r="A19" s="5" t="s">
        <v>268</v>
      </c>
      <c r="B19" s="6" t="s">
        <v>269</v>
      </c>
      <c r="C19" s="5">
        <v>28</v>
      </c>
      <c r="D19" s="5" t="s">
        <v>190</v>
      </c>
      <c r="E19" s="5" t="s">
        <v>191</v>
      </c>
      <c r="F19" s="5" t="s">
        <v>178</v>
      </c>
      <c r="G19" s="6" t="s">
        <v>230</v>
      </c>
      <c r="H19" s="5">
        <v>0</v>
      </c>
      <c r="I19" s="5"/>
      <c r="J19" s="22">
        <v>3575</v>
      </c>
      <c r="K19" s="16" t="s">
        <v>180</v>
      </c>
      <c r="L19" s="16" t="s">
        <v>193</v>
      </c>
      <c r="M19" s="16" t="s">
        <v>182</v>
      </c>
      <c r="N19" s="16" t="b">
        <v>0</v>
      </c>
      <c r="O19" s="16" t="b">
        <v>1</v>
      </c>
      <c r="P19" s="16" t="s">
        <v>195</v>
      </c>
      <c r="Q19" s="16" t="s">
        <v>196</v>
      </c>
      <c r="R19" s="16" t="b">
        <v>1</v>
      </c>
      <c r="S19" s="23" t="s">
        <v>197</v>
      </c>
      <c r="T19" s="16" t="s">
        <v>198</v>
      </c>
      <c r="U19" s="16" t="b">
        <v>0</v>
      </c>
      <c r="V19" s="16">
        <v>81</v>
      </c>
      <c r="W19" s="24">
        <v>1930.5</v>
      </c>
      <c r="X19" s="25">
        <v>5856</v>
      </c>
      <c r="Y19" s="25">
        <v>33183</v>
      </c>
      <c r="Z19" s="25">
        <v>0</v>
      </c>
      <c r="AA19" s="25">
        <v>0</v>
      </c>
      <c r="AB19" s="25">
        <v>27327.3</v>
      </c>
      <c r="AC19" s="25">
        <v>0</v>
      </c>
      <c r="AD19" s="26" t="s">
        <v>270</v>
      </c>
    </row>
    <row r="20" spans="1:30" x14ac:dyDescent="0.25">
      <c r="A20" s="5" t="s">
        <v>271</v>
      </c>
      <c r="B20" s="6" t="s">
        <v>272</v>
      </c>
      <c r="C20" s="5">
        <v>35</v>
      </c>
      <c r="D20" s="5" t="s">
        <v>176</v>
      </c>
      <c r="E20" s="5" t="s">
        <v>177</v>
      </c>
      <c r="F20" s="5" t="s">
        <v>178</v>
      </c>
      <c r="G20" s="6" t="s">
        <v>235</v>
      </c>
      <c r="H20" s="5">
        <v>1</v>
      </c>
      <c r="I20" s="5"/>
      <c r="J20" s="22">
        <v>4100</v>
      </c>
      <c r="K20" s="16" t="s">
        <v>180</v>
      </c>
      <c r="L20" s="16" t="s">
        <v>193</v>
      </c>
      <c r="M20" s="16" t="s">
        <v>182</v>
      </c>
      <c r="N20" s="16" t="b">
        <v>1</v>
      </c>
      <c r="O20" s="16" t="b">
        <v>1</v>
      </c>
      <c r="P20" s="16" t="s">
        <v>203</v>
      </c>
      <c r="Q20" s="16" t="s">
        <v>196</v>
      </c>
      <c r="R20" s="16" t="b">
        <v>1</v>
      </c>
      <c r="S20" s="23" t="s">
        <v>204</v>
      </c>
      <c r="T20" s="16" t="s">
        <v>198</v>
      </c>
      <c r="U20" s="16" t="b">
        <v>0</v>
      </c>
      <c r="V20" s="16">
        <v>88</v>
      </c>
      <c r="W20" s="24">
        <v>2378</v>
      </c>
      <c r="X20" s="25">
        <v>11365</v>
      </c>
      <c r="Y20" s="25">
        <v>64403</v>
      </c>
      <c r="Z20" s="25">
        <v>350000</v>
      </c>
      <c r="AA20" s="25">
        <v>192500</v>
      </c>
      <c r="AB20" s="25">
        <v>53037.599999999999</v>
      </c>
      <c r="AC20" s="25">
        <v>246000</v>
      </c>
      <c r="AD20" s="26" t="s">
        <v>273</v>
      </c>
    </row>
    <row r="21" spans="1:30" x14ac:dyDescent="0.25">
      <c r="A21" s="5" t="s">
        <v>274</v>
      </c>
      <c r="B21" s="6" t="s">
        <v>275</v>
      </c>
      <c r="C21" s="5">
        <v>42</v>
      </c>
      <c r="D21" s="5" t="s">
        <v>190</v>
      </c>
      <c r="E21" s="5" t="s">
        <v>177</v>
      </c>
      <c r="F21" s="5" t="s">
        <v>178</v>
      </c>
      <c r="G21" s="6" t="s">
        <v>239</v>
      </c>
      <c r="H21" s="5">
        <v>2</v>
      </c>
      <c r="I21" s="5"/>
      <c r="J21" s="22">
        <v>4625</v>
      </c>
      <c r="K21" s="16" t="s">
        <v>180</v>
      </c>
      <c r="L21" s="16" t="s">
        <v>181</v>
      </c>
      <c r="M21" s="16" t="s">
        <v>182</v>
      </c>
      <c r="N21" s="16" t="b">
        <v>1</v>
      </c>
      <c r="O21" s="16" t="b">
        <v>1</v>
      </c>
      <c r="P21" s="16" t="s">
        <v>183</v>
      </c>
      <c r="Q21" s="16" t="s">
        <v>184</v>
      </c>
      <c r="R21" s="16" t="b">
        <v>0</v>
      </c>
      <c r="S21" s="23" t="s">
        <v>209</v>
      </c>
      <c r="T21" s="16" t="s">
        <v>210</v>
      </c>
      <c r="U21" s="16" t="b">
        <v>1</v>
      </c>
      <c r="V21" s="16">
        <v>78</v>
      </c>
      <c r="W21" s="24">
        <v>2867.5</v>
      </c>
      <c r="X21" s="25">
        <v>15734</v>
      </c>
      <c r="Y21" s="25">
        <v>89161</v>
      </c>
      <c r="Z21" s="25">
        <v>350000</v>
      </c>
      <c r="AA21" s="25">
        <v>192500</v>
      </c>
      <c r="AB21" s="25">
        <v>73426.5</v>
      </c>
      <c r="AC21" s="25">
        <v>277500</v>
      </c>
      <c r="AD21" s="26" t="s">
        <v>276</v>
      </c>
    </row>
    <row r="22" spans="1:30" x14ac:dyDescent="0.25">
      <c r="A22" s="5" t="s">
        <v>277</v>
      </c>
      <c r="B22" s="6" t="s">
        <v>278</v>
      </c>
      <c r="C22" s="5">
        <v>48</v>
      </c>
      <c r="D22" s="5" t="s">
        <v>176</v>
      </c>
      <c r="E22" s="5" t="s">
        <v>214</v>
      </c>
      <c r="F22" s="5" t="s">
        <v>178</v>
      </c>
      <c r="G22" s="6" t="s">
        <v>244</v>
      </c>
      <c r="H22" s="5">
        <v>2</v>
      </c>
      <c r="I22" s="5"/>
      <c r="J22" s="22">
        <v>5075</v>
      </c>
      <c r="K22" s="16" t="s">
        <v>180</v>
      </c>
      <c r="L22" s="16" t="s">
        <v>216</v>
      </c>
      <c r="M22" s="16" t="s">
        <v>182</v>
      </c>
      <c r="N22" s="16" t="b">
        <v>1</v>
      </c>
      <c r="O22" s="16" t="b">
        <v>0</v>
      </c>
      <c r="P22" s="16" t="s">
        <v>217</v>
      </c>
      <c r="Q22" s="16" t="s">
        <v>196</v>
      </c>
      <c r="R22" s="16" t="b">
        <v>1</v>
      </c>
      <c r="S22" s="23" t="s">
        <v>218</v>
      </c>
      <c r="T22" s="16" t="s">
        <v>219</v>
      </c>
      <c r="U22" s="16" t="b">
        <v>0</v>
      </c>
      <c r="V22" s="16">
        <v>90</v>
      </c>
      <c r="W22" s="24">
        <v>3933.12</v>
      </c>
      <c r="X22" s="25">
        <v>27748</v>
      </c>
      <c r="Y22" s="25">
        <v>157237</v>
      </c>
      <c r="Z22" s="25">
        <v>350000</v>
      </c>
      <c r="AA22" s="25">
        <v>192500</v>
      </c>
      <c r="AB22" s="25">
        <v>129489.192</v>
      </c>
      <c r="AC22" s="25">
        <v>304500</v>
      </c>
      <c r="AD22" s="26" t="s">
        <v>279</v>
      </c>
    </row>
    <row r="23" spans="1:30" x14ac:dyDescent="0.25">
      <c r="A23" s="5" t="s">
        <v>280</v>
      </c>
      <c r="B23" s="6" t="s">
        <v>281</v>
      </c>
      <c r="C23" s="5">
        <v>33</v>
      </c>
      <c r="D23" s="5" t="s">
        <v>190</v>
      </c>
      <c r="E23" s="5" t="s">
        <v>177</v>
      </c>
      <c r="F23" s="5" t="s">
        <v>178</v>
      </c>
      <c r="G23" s="6" t="s">
        <v>179</v>
      </c>
      <c r="H23" s="5">
        <v>1</v>
      </c>
      <c r="I23" s="5"/>
      <c r="J23" s="22">
        <v>5250</v>
      </c>
      <c r="K23" s="16" t="s">
        <v>180</v>
      </c>
      <c r="L23" s="16" t="s">
        <v>193</v>
      </c>
      <c r="M23" s="16" t="s">
        <v>182</v>
      </c>
      <c r="N23" s="16" t="b">
        <v>1</v>
      </c>
      <c r="O23" s="16" t="b">
        <v>1</v>
      </c>
      <c r="P23" s="16" t="s">
        <v>224</v>
      </c>
      <c r="Q23" s="16" t="s">
        <v>184</v>
      </c>
      <c r="R23" s="16" t="b">
        <v>1</v>
      </c>
      <c r="S23" s="23" t="s">
        <v>225</v>
      </c>
      <c r="T23" s="16" t="s">
        <v>226</v>
      </c>
      <c r="U23" s="16" t="b">
        <v>0</v>
      </c>
      <c r="V23" s="16">
        <v>83</v>
      </c>
      <c r="W23" s="24">
        <v>3045</v>
      </c>
      <c r="X23" s="25">
        <v>12474</v>
      </c>
      <c r="Y23" s="25">
        <v>70686</v>
      </c>
      <c r="Z23" s="25">
        <v>350000</v>
      </c>
      <c r="AA23" s="25">
        <v>192500</v>
      </c>
      <c r="AB23" s="25">
        <v>58211.999999999993</v>
      </c>
      <c r="AC23" s="25">
        <v>315000</v>
      </c>
      <c r="AD23" s="26" t="s">
        <v>282</v>
      </c>
    </row>
    <row r="24" spans="1:30" x14ac:dyDescent="0.25">
      <c r="A24" s="5" t="s">
        <v>283</v>
      </c>
      <c r="B24" s="6" t="s">
        <v>284</v>
      </c>
      <c r="C24" s="5">
        <v>55</v>
      </c>
      <c r="D24" s="5" t="s">
        <v>176</v>
      </c>
      <c r="E24" s="5" t="s">
        <v>191</v>
      </c>
      <c r="F24" s="5" t="s">
        <v>178</v>
      </c>
      <c r="G24" s="6" t="s">
        <v>192</v>
      </c>
      <c r="H24" s="5">
        <v>0</v>
      </c>
      <c r="I24" s="5"/>
      <c r="J24" s="22">
        <v>8960</v>
      </c>
      <c r="K24" s="16" t="s">
        <v>180</v>
      </c>
      <c r="L24" s="16" t="s">
        <v>181</v>
      </c>
      <c r="M24" s="16" t="s">
        <v>194</v>
      </c>
      <c r="N24" s="16" t="b">
        <v>1</v>
      </c>
      <c r="O24" s="16" t="b">
        <v>1</v>
      </c>
      <c r="P24" s="16" t="s">
        <v>203</v>
      </c>
      <c r="Q24" s="16" t="s">
        <v>196</v>
      </c>
      <c r="R24" s="16" t="b">
        <v>0</v>
      </c>
      <c r="S24" s="23" t="s">
        <v>231</v>
      </c>
      <c r="T24" s="16" t="s">
        <v>186</v>
      </c>
      <c r="U24" s="16" t="b">
        <v>0</v>
      </c>
      <c r="V24" s="16">
        <v>89</v>
      </c>
      <c r="W24" s="24">
        <v>4968</v>
      </c>
      <c r="X24" s="25">
        <v>73195</v>
      </c>
      <c r="Y24" s="25">
        <v>414773</v>
      </c>
      <c r="Z24" s="25">
        <v>350000</v>
      </c>
      <c r="AA24" s="25">
        <v>192500</v>
      </c>
      <c r="AB24" s="25">
        <v>341577.6</v>
      </c>
      <c r="AC24" s="25">
        <v>200000</v>
      </c>
      <c r="AD24" s="26" t="s">
        <v>285</v>
      </c>
    </row>
    <row r="25" spans="1:30" x14ac:dyDescent="0.25">
      <c r="A25" s="5" t="s">
        <v>286</v>
      </c>
      <c r="B25" s="6" t="s">
        <v>287</v>
      </c>
      <c r="C25" s="5">
        <v>61</v>
      </c>
      <c r="D25" s="5" t="s">
        <v>190</v>
      </c>
      <c r="E25" s="5" t="s">
        <v>177</v>
      </c>
      <c r="F25" s="5" t="s">
        <v>178</v>
      </c>
      <c r="G25" s="6" t="s">
        <v>202</v>
      </c>
      <c r="H25" s="5">
        <v>3</v>
      </c>
      <c r="I25" s="5"/>
      <c r="J25" s="22">
        <v>10920</v>
      </c>
      <c r="K25" s="16" t="s">
        <v>180</v>
      </c>
      <c r="L25" s="16" t="s">
        <v>181</v>
      </c>
      <c r="M25" s="16" t="s">
        <v>194</v>
      </c>
      <c r="N25" s="16" t="b">
        <v>1</v>
      </c>
      <c r="O25" s="16" t="b">
        <v>1</v>
      </c>
      <c r="P25" s="16" t="s">
        <v>183</v>
      </c>
      <c r="Q25" s="16" t="s">
        <v>184</v>
      </c>
      <c r="R25" s="16" t="b">
        <v>0</v>
      </c>
      <c r="S25" s="23" t="s">
        <v>209</v>
      </c>
      <c r="T25" s="16" t="s">
        <v>210</v>
      </c>
      <c r="U25" s="16" t="b">
        <v>1</v>
      </c>
      <c r="V25" s="16">
        <v>76</v>
      </c>
      <c r="W25" s="24">
        <v>8184</v>
      </c>
      <c r="X25" s="25">
        <v>62496</v>
      </c>
      <c r="Y25" s="25">
        <v>354144</v>
      </c>
      <c r="Z25" s="25">
        <v>650000</v>
      </c>
      <c r="AA25" s="25">
        <v>357500</v>
      </c>
      <c r="AB25" s="25">
        <v>291648</v>
      </c>
      <c r="AC25" s="25">
        <v>655200</v>
      </c>
      <c r="AD25" s="26" t="s">
        <v>288</v>
      </c>
    </row>
    <row r="26" spans="1:30" x14ac:dyDescent="0.25">
      <c r="A26" s="5" t="s">
        <v>289</v>
      </c>
      <c r="B26" s="6" t="s">
        <v>290</v>
      </c>
      <c r="C26" s="5">
        <v>26</v>
      </c>
      <c r="D26" s="5" t="s">
        <v>176</v>
      </c>
      <c r="E26" s="5" t="s">
        <v>177</v>
      </c>
      <c r="F26" s="5" t="s">
        <v>178</v>
      </c>
      <c r="G26" s="6" t="s">
        <v>208</v>
      </c>
      <c r="H26" s="5">
        <v>0</v>
      </c>
      <c r="I26" s="5"/>
      <c r="J26" s="22">
        <v>3425</v>
      </c>
      <c r="K26" s="16" t="s">
        <v>180</v>
      </c>
      <c r="L26" s="16" t="s">
        <v>193</v>
      </c>
      <c r="M26" s="16" t="s">
        <v>182</v>
      </c>
      <c r="N26" s="16" t="b">
        <v>0</v>
      </c>
      <c r="O26" s="16" t="b">
        <v>0</v>
      </c>
      <c r="P26" s="16" t="s">
        <v>183</v>
      </c>
      <c r="Q26" s="16" t="s">
        <v>184</v>
      </c>
      <c r="R26" s="16" t="b">
        <v>1</v>
      </c>
      <c r="S26" s="23" t="s">
        <v>240</v>
      </c>
      <c r="T26" s="16" t="s">
        <v>198</v>
      </c>
      <c r="U26" s="16" t="b">
        <v>0</v>
      </c>
      <c r="V26" s="16">
        <v>87</v>
      </c>
      <c r="W26" s="24">
        <v>1849.5</v>
      </c>
      <c r="X26" s="25">
        <v>4007</v>
      </c>
      <c r="Y26" s="25">
        <v>22708</v>
      </c>
      <c r="Z26" s="25">
        <v>0</v>
      </c>
      <c r="AA26" s="25">
        <v>0</v>
      </c>
      <c r="AB26" s="25">
        <v>18700.5</v>
      </c>
      <c r="AC26" s="25">
        <v>0</v>
      </c>
      <c r="AD26" s="26" t="s">
        <v>291</v>
      </c>
    </row>
    <row r="27" spans="1:30" x14ac:dyDescent="0.25">
      <c r="A27" s="5" t="s">
        <v>292</v>
      </c>
      <c r="B27" s="6" t="s">
        <v>293</v>
      </c>
      <c r="C27" s="5">
        <v>38</v>
      </c>
      <c r="D27" s="5" t="s">
        <v>190</v>
      </c>
      <c r="E27" s="5" t="s">
        <v>214</v>
      </c>
      <c r="F27" s="5" t="s">
        <v>178</v>
      </c>
      <c r="G27" s="6" t="s">
        <v>215</v>
      </c>
      <c r="H27" s="5">
        <v>2</v>
      </c>
      <c r="I27" s="5"/>
      <c r="J27" s="22">
        <v>4325</v>
      </c>
      <c r="K27" s="16" t="s">
        <v>180</v>
      </c>
      <c r="L27" s="16" t="s">
        <v>216</v>
      </c>
      <c r="M27" s="16" t="s">
        <v>182</v>
      </c>
      <c r="N27" s="16" t="b">
        <v>0</v>
      </c>
      <c r="O27" s="16" t="b">
        <v>1</v>
      </c>
      <c r="P27" s="16" t="s">
        <v>195</v>
      </c>
      <c r="Q27" s="16" t="s">
        <v>196</v>
      </c>
      <c r="R27" s="16" t="b">
        <v>1</v>
      </c>
      <c r="S27" s="23" t="s">
        <v>245</v>
      </c>
      <c r="T27" s="16" t="s">
        <v>246</v>
      </c>
      <c r="U27" s="16" t="b">
        <v>0</v>
      </c>
      <c r="V27" s="16">
        <v>80</v>
      </c>
      <c r="W27" s="24">
        <v>3351.88</v>
      </c>
      <c r="X27" s="25">
        <v>14889</v>
      </c>
      <c r="Y27" s="25">
        <v>84370</v>
      </c>
      <c r="Z27" s="25">
        <v>0</v>
      </c>
      <c r="AA27" s="25">
        <v>0</v>
      </c>
      <c r="AB27" s="25">
        <v>69480.767999999982</v>
      </c>
      <c r="AC27" s="25">
        <v>259500</v>
      </c>
      <c r="AD27" s="26" t="s">
        <v>294</v>
      </c>
    </row>
    <row r="28" spans="1:30" x14ac:dyDescent="0.25">
      <c r="A28" s="5" t="s">
        <v>295</v>
      </c>
      <c r="B28" s="6" t="s">
        <v>296</v>
      </c>
      <c r="C28" s="5">
        <v>52</v>
      </c>
      <c r="D28" s="5" t="s">
        <v>176</v>
      </c>
      <c r="E28" s="5" t="s">
        <v>177</v>
      </c>
      <c r="F28" s="5" t="s">
        <v>178</v>
      </c>
      <c r="G28" s="6" t="s">
        <v>223</v>
      </c>
      <c r="H28" s="5">
        <v>1</v>
      </c>
      <c r="I28" s="5"/>
      <c r="J28" s="22">
        <v>21710</v>
      </c>
      <c r="K28" s="16" t="s">
        <v>180</v>
      </c>
      <c r="L28" s="16" t="s">
        <v>193</v>
      </c>
      <c r="M28" s="16" t="s">
        <v>297</v>
      </c>
      <c r="N28" s="16" t="b">
        <v>1</v>
      </c>
      <c r="O28" s="16" t="b">
        <v>1</v>
      </c>
      <c r="P28" s="16" t="s">
        <v>217</v>
      </c>
      <c r="Q28" s="16" t="s">
        <v>196</v>
      </c>
      <c r="R28" s="16" t="b">
        <v>1</v>
      </c>
      <c r="S28" s="23" t="s">
        <v>250</v>
      </c>
      <c r="T28" s="16" t="s">
        <v>219</v>
      </c>
      <c r="U28" s="16" t="b">
        <v>0</v>
      </c>
      <c r="V28" s="16">
        <v>91</v>
      </c>
      <c r="W28" s="24">
        <v>14579.75</v>
      </c>
      <c r="X28" s="25">
        <v>154294</v>
      </c>
      <c r="Y28" s="25">
        <v>874333</v>
      </c>
      <c r="Z28" s="25">
        <v>850000</v>
      </c>
      <c r="AA28" s="25">
        <v>467500</v>
      </c>
      <c r="AB28" s="25">
        <v>720038.54999999993</v>
      </c>
      <c r="AC28" s="25">
        <v>1302600</v>
      </c>
      <c r="AD28" s="26" t="s">
        <v>298</v>
      </c>
    </row>
    <row r="29" spans="1:30" x14ac:dyDescent="0.25">
      <c r="A29" s="5" t="s">
        <v>299</v>
      </c>
      <c r="B29" s="6" t="s">
        <v>300</v>
      </c>
      <c r="C29" s="5">
        <v>67</v>
      </c>
      <c r="D29" s="5" t="s">
        <v>190</v>
      </c>
      <c r="E29" s="5" t="s">
        <v>177</v>
      </c>
      <c r="F29" s="5" t="s">
        <v>178</v>
      </c>
      <c r="G29" s="6" t="s">
        <v>230</v>
      </c>
      <c r="H29" s="5">
        <v>0</v>
      </c>
      <c r="I29" s="5"/>
      <c r="J29" s="22">
        <v>6200</v>
      </c>
      <c r="K29" s="16" t="s">
        <v>180</v>
      </c>
      <c r="L29" s="16" t="s">
        <v>181</v>
      </c>
      <c r="M29" s="16" t="s">
        <v>194</v>
      </c>
      <c r="N29" s="16" t="b">
        <v>1</v>
      </c>
      <c r="O29" s="16" t="b">
        <v>0</v>
      </c>
      <c r="P29" s="16" t="s">
        <v>183</v>
      </c>
      <c r="Q29" s="16" t="s">
        <v>184</v>
      </c>
      <c r="R29" s="16" t="b">
        <v>0</v>
      </c>
      <c r="S29" s="23" t="s">
        <v>209</v>
      </c>
      <c r="T29" s="16" t="s">
        <v>186</v>
      </c>
      <c r="U29" s="16" t="b">
        <v>0</v>
      </c>
      <c r="V29" s="16">
        <v>85</v>
      </c>
      <c r="W29" s="24">
        <v>3871.13</v>
      </c>
      <c r="X29" s="25">
        <v>77164</v>
      </c>
      <c r="Y29" s="25">
        <v>437264</v>
      </c>
      <c r="Z29" s="25">
        <v>350000</v>
      </c>
      <c r="AA29" s="25">
        <v>192500</v>
      </c>
      <c r="AB29" s="25">
        <v>360099.68400000001</v>
      </c>
      <c r="AC29" s="25">
        <v>200000</v>
      </c>
      <c r="AD29" s="26" t="s">
        <v>301</v>
      </c>
    </row>
    <row r="30" spans="1:30" x14ac:dyDescent="0.25">
      <c r="A30" s="5" t="s">
        <v>302</v>
      </c>
      <c r="B30" s="6" t="s">
        <v>303</v>
      </c>
      <c r="C30" s="5">
        <v>31</v>
      </c>
      <c r="D30" s="5" t="s">
        <v>176</v>
      </c>
      <c r="E30" s="5" t="s">
        <v>191</v>
      </c>
      <c r="F30" s="5" t="s">
        <v>178</v>
      </c>
      <c r="G30" s="6" t="s">
        <v>235</v>
      </c>
      <c r="H30" s="5">
        <v>1</v>
      </c>
      <c r="I30" s="5"/>
      <c r="J30" s="22">
        <v>3800</v>
      </c>
      <c r="K30" s="16" t="s">
        <v>180</v>
      </c>
      <c r="L30" s="16" t="s">
        <v>193</v>
      </c>
      <c r="M30" s="16" t="s">
        <v>182</v>
      </c>
      <c r="N30" s="16" t="b">
        <v>0</v>
      </c>
      <c r="O30" s="16" t="b">
        <v>1</v>
      </c>
      <c r="P30" s="16" t="s">
        <v>195</v>
      </c>
      <c r="Q30" s="16" t="s">
        <v>184</v>
      </c>
      <c r="R30" s="16" t="b">
        <v>0</v>
      </c>
      <c r="S30" s="23" t="s">
        <v>197</v>
      </c>
      <c r="T30" s="16" t="s">
        <v>198</v>
      </c>
      <c r="U30" s="16" t="b">
        <v>1</v>
      </c>
      <c r="V30" s="16">
        <v>79</v>
      </c>
      <c r="W30" s="24">
        <v>2204</v>
      </c>
      <c r="X30" s="25">
        <v>7524</v>
      </c>
      <c r="Y30" s="25">
        <v>42636</v>
      </c>
      <c r="Z30" s="25">
        <v>0</v>
      </c>
      <c r="AA30" s="25">
        <v>0</v>
      </c>
      <c r="AB30" s="25">
        <v>35112</v>
      </c>
      <c r="AC30" s="25">
        <v>228000</v>
      </c>
      <c r="AD30" s="26" t="s">
        <v>304</v>
      </c>
    </row>
    <row r="31" spans="1:30" x14ac:dyDescent="0.25">
      <c r="A31" s="5" t="s">
        <v>305</v>
      </c>
      <c r="B31" s="6" t="s">
        <v>306</v>
      </c>
      <c r="C31" s="5">
        <v>45</v>
      </c>
      <c r="D31" s="5" t="s">
        <v>190</v>
      </c>
      <c r="E31" s="5" t="s">
        <v>177</v>
      </c>
      <c r="F31" s="5" t="s">
        <v>178</v>
      </c>
      <c r="G31" s="6" t="s">
        <v>239</v>
      </c>
      <c r="H31" s="5">
        <v>4</v>
      </c>
      <c r="I31" s="5"/>
      <c r="J31" s="22">
        <v>4850</v>
      </c>
      <c r="K31" s="16" t="s">
        <v>180</v>
      </c>
      <c r="L31" s="16" t="s">
        <v>216</v>
      </c>
      <c r="M31" s="16" t="s">
        <v>182</v>
      </c>
      <c r="N31" s="16" t="b">
        <v>1</v>
      </c>
      <c r="O31" s="16" t="b">
        <v>1</v>
      </c>
      <c r="P31" s="16" t="s">
        <v>203</v>
      </c>
      <c r="Q31" s="16" t="s">
        <v>196</v>
      </c>
      <c r="R31" s="16" t="b">
        <v>1</v>
      </c>
      <c r="S31" s="23" t="s">
        <v>260</v>
      </c>
      <c r="T31" s="16" t="s">
        <v>246</v>
      </c>
      <c r="U31" s="16" t="b">
        <v>0</v>
      </c>
      <c r="V31" s="16">
        <v>84</v>
      </c>
      <c r="W31" s="24">
        <v>3395</v>
      </c>
      <c r="X31" s="25">
        <v>10476</v>
      </c>
      <c r="Y31" s="25">
        <v>59364</v>
      </c>
      <c r="Z31" s="25">
        <v>350000</v>
      </c>
      <c r="AA31" s="25">
        <v>192500</v>
      </c>
      <c r="AB31" s="25">
        <v>48888</v>
      </c>
      <c r="AC31" s="25">
        <v>291000</v>
      </c>
      <c r="AD31" s="26" t="s">
        <v>307</v>
      </c>
    </row>
    <row r="32" spans="1:30" x14ac:dyDescent="0.25">
      <c r="A32" s="5" t="s">
        <v>308</v>
      </c>
      <c r="B32" s="6" t="s">
        <v>309</v>
      </c>
      <c r="C32" s="5">
        <v>58</v>
      </c>
      <c r="D32" s="5" t="s">
        <v>176</v>
      </c>
      <c r="E32" s="5" t="s">
        <v>177</v>
      </c>
      <c r="F32" s="5" t="s">
        <v>178</v>
      </c>
      <c r="G32" s="6" t="s">
        <v>244</v>
      </c>
      <c r="H32" s="5">
        <v>2</v>
      </c>
      <c r="I32" s="5"/>
      <c r="J32" s="22">
        <v>5825</v>
      </c>
      <c r="K32" s="16" t="s">
        <v>180</v>
      </c>
      <c r="L32" s="16" t="s">
        <v>181</v>
      </c>
      <c r="M32" s="16" t="s">
        <v>182</v>
      </c>
      <c r="N32" s="16" t="b">
        <v>1</v>
      </c>
      <c r="O32" s="16" t="b">
        <v>1</v>
      </c>
      <c r="P32" s="16" t="s">
        <v>224</v>
      </c>
      <c r="Q32" s="16" t="s">
        <v>196</v>
      </c>
      <c r="R32" s="16" t="b">
        <v>0</v>
      </c>
      <c r="S32" s="23" t="s">
        <v>225</v>
      </c>
      <c r="T32" s="16" t="s">
        <v>226</v>
      </c>
      <c r="U32" s="16" t="b">
        <v>0</v>
      </c>
      <c r="V32" s="16">
        <v>92</v>
      </c>
      <c r="W32" s="24">
        <v>3702.18</v>
      </c>
      <c r="X32" s="25">
        <v>35792</v>
      </c>
      <c r="Y32" s="25">
        <v>202819</v>
      </c>
      <c r="Z32" s="25">
        <v>350000</v>
      </c>
      <c r="AA32" s="25">
        <v>192500</v>
      </c>
      <c r="AB32" s="25">
        <v>167027.02799999999</v>
      </c>
      <c r="AC32" s="25">
        <v>349500</v>
      </c>
      <c r="AD32" s="26" t="s">
        <v>310</v>
      </c>
    </row>
    <row r="33" spans="1:30" x14ac:dyDescent="0.25">
      <c r="A33" s="5" t="s">
        <v>311</v>
      </c>
      <c r="B33" s="6" t="s">
        <v>175</v>
      </c>
      <c r="C33" s="5">
        <v>24</v>
      </c>
      <c r="D33" s="5" t="s">
        <v>176</v>
      </c>
      <c r="E33" s="5" t="s">
        <v>177</v>
      </c>
      <c r="F33" s="5" t="s">
        <v>178</v>
      </c>
      <c r="G33" s="6" t="s">
        <v>179</v>
      </c>
      <c r="H33" s="5">
        <v>0</v>
      </c>
      <c r="I33" s="5"/>
      <c r="J33" s="22">
        <v>4305</v>
      </c>
      <c r="K33" s="16" t="s">
        <v>180</v>
      </c>
      <c r="L33" s="16" t="s">
        <v>181</v>
      </c>
      <c r="M33" s="16" t="s">
        <v>182</v>
      </c>
      <c r="N33" s="16" t="b">
        <v>0</v>
      </c>
      <c r="O33" s="16" t="b">
        <v>0</v>
      </c>
      <c r="P33" s="16" t="s">
        <v>183</v>
      </c>
      <c r="Q33" s="16" t="s">
        <v>184</v>
      </c>
      <c r="R33" s="16" t="b">
        <v>0</v>
      </c>
      <c r="S33" s="23" t="s">
        <v>185</v>
      </c>
      <c r="T33" s="16" t="s">
        <v>186</v>
      </c>
      <c r="U33" s="16" t="b">
        <v>0</v>
      </c>
      <c r="V33" s="16">
        <v>86</v>
      </c>
      <c r="W33" s="24">
        <v>2324.6999999999998</v>
      </c>
      <c r="X33" s="25">
        <v>3022</v>
      </c>
      <c r="Y33" s="25">
        <v>17125</v>
      </c>
      <c r="Z33" s="25">
        <v>0</v>
      </c>
      <c r="AA33" s="25">
        <v>0</v>
      </c>
      <c r="AB33" s="25">
        <v>14103.18</v>
      </c>
      <c r="AC33" s="25">
        <v>0</v>
      </c>
      <c r="AD33" s="26" t="s">
        <v>312</v>
      </c>
    </row>
    <row r="34" spans="1:30" x14ac:dyDescent="0.25">
      <c r="A34" s="5" t="s">
        <v>313</v>
      </c>
      <c r="B34" s="6" t="s">
        <v>189</v>
      </c>
      <c r="C34" s="5">
        <v>29</v>
      </c>
      <c r="D34" s="5" t="s">
        <v>190</v>
      </c>
      <c r="E34" s="5" t="s">
        <v>191</v>
      </c>
      <c r="F34" s="5" t="s">
        <v>178</v>
      </c>
      <c r="G34" s="6" t="s">
        <v>192</v>
      </c>
      <c r="H34" s="5">
        <v>0</v>
      </c>
      <c r="I34" s="5"/>
      <c r="J34" s="22">
        <v>6230</v>
      </c>
      <c r="K34" s="16" t="s">
        <v>180</v>
      </c>
      <c r="L34" s="16" t="s">
        <v>193</v>
      </c>
      <c r="M34" s="16" t="s">
        <v>194</v>
      </c>
      <c r="N34" s="16" t="b">
        <v>0</v>
      </c>
      <c r="O34" s="16" t="b">
        <v>1</v>
      </c>
      <c r="P34" s="16" t="s">
        <v>195</v>
      </c>
      <c r="Q34" s="16" t="s">
        <v>196</v>
      </c>
      <c r="R34" s="16" t="b">
        <v>1</v>
      </c>
      <c r="S34" s="23" t="s">
        <v>197</v>
      </c>
      <c r="T34" s="16" t="s">
        <v>198</v>
      </c>
      <c r="U34" s="16" t="b">
        <v>0</v>
      </c>
      <c r="V34" s="16">
        <v>81</v>
      </c>
      <c r="W34" s="24">
        <v>3364.2</v>
      </c>
      <c r="X34" s="25">
        <v>11663</v>
      </c>
      <c r="Y34" s="25">
        <v>66088</v>
      </c>
      <c r="Z34" s="25">
        <v>0</v>
      </c>
      <c r="AA34" s="25">
        <v>0</v>
      </c>
      <c r="AB34" s="25">
        <v>54425.280000000013</v>
      </c>
      <c r="AC34" s="25">
        <v>0</v>
      </c>
      <c r="AD34" s="26" t="s">
        <v>314</v>
      </c>
    </row>
    <row r="35" spans="1:30" x14ac:dyDescent="0.25">
      <c r="A35" s="5" t="s">
        <v>315</v>
      </c>
      <c r="B35" s="6" t="s">
        <v>201</v>
      </c>
      <c r="C35" s="5">
        <v>36</v>
      </c>
      <c r="D35" s="5" t="s">
        <v>176</v>
      </c>
      <c r="E35" s="5" t="s">
        <v>177</v>
      </c>
      <c r="F35" s="5" t="s">
        <v>178</v>
      </c>
      <c r="G35" s="6" t="s">
        <v>202</v>
      </c>
      <c r="H35" s="5">
        <v>1</v>
      </c>
      <c r="I35" s="5"/>
      <c r="J35" s="22">
        <v>7420</v>
      </c>
      <c r="K35" s="16" t="s">
        <v>180</v>
      </c>
      <c r="L35" s="16" t="s">
        <v>193</v>
      </c>
      <c r="M35" s="16" t="s">
        <v>194</v>
      </c>
      <c r="N35" s="16" t="b">
        <v>1</v>
      </c>
      <c r="O35" s="16" t="b">
        <v>1</v>
      </c>
      <c r="P35" s="16" t="s">
        <v>203</v>
      </c>
      <c r="Q35" s="16" t="s">
        <v>196</v>
      </c>
      <c r="R35" s="16" t="b">
        <v>1</v>
      </c>
      <c r="S35" s="23" t="s">
        <v>204</v>
      </c>
      <c r="T35" s="16" t="s">
        <v>198</v>
      </c>
      <c r="U35" s="16" t="b">
        <v>0</v>
      </c>
      <c r="V35" s="16">
        <v>88</v>
      </c>
      <c r="W35" s="24">
        <v>4303.6000000000004</v>
      </c>
      <c r="X35" s="25">
        <v>22037</v>
      </c>
      <c r="Y35" s="25">
        <v>124879</v>
      </c>
      <c r="Z35" s="25">
        <v>350000</v>
      </c>
      <c r="AA35" s="25">
        <v>192500</v>
      </c>
      <c r="AB35" s="25">
        <v>102841.2</v>
      </c>
      <c r="AC35" s="25">
        <v>445200</v>
      </c>
      <c r="AD35" s="26" t="s">
        <v>316</v>
      </c>
    </row>
    <row r="36" spans="1:30" x14ac:dyDescent="0.25">
      <c r="A36" s="5" t="s">
        <v>317</v>
      </c>
      <c r="B36" s="6" t="s">
        <v>207</v>
      </c>
      <c r="C36" s="5">
        <v>43</v>
      </c>
      <c r="D36" s="5" t="s">
        <v>190</v>
      </c>
      <c r="E36" s="5" t="s">
        <v>177</v>
      </c>
      <c r="F36" s="5" t="s">
        <v>178</v>
      </c>
      <c r="G36" s="6" t="s">
        <v>208</v>
      </c>
      <c r="H36" s="5">
        <v>2</v>
      </c>
      <c r="I36" s="5"/>
      <c r="J36" s="22">
        <v>4700</v>
      </c>
      <c r="K36" s="16" t="s">
        <v>180</v>
      </c>
      <c r="L36" s="16" t="s">
        <v>181</v>
      </c>
      <c r="M36" s="16" t="s">
        <v>182</v>
      </c>
      <c r="N36" s="16" t="b">
        <v>1</v>
      </c>
      <c r="O36" s="16" t="b">
        <v>1</v>
      </c>
      <c r="P36" s="16" t="s">
        <v>183</v>
      </c>
      <c r="Q36" s="16" t="s">
        <v>184</v>
      </c>
      <c r="R36" s="16" t="b">
        <v>0</v>
      </c>
      <c r="S36" s="23" t="s">
        <v>209</v>
      </c>
      <c r="T36" s="16" t="s">
        <v>210</v>
      </c>
      <c r="U36" s="16" t="b">
        <v>1</v>
      </c>
      <c r="V36" s="16">
        <v>78</v>
      </c>
      <c r="W36" s="24">
        <v>2914</v>
      </c>
      <c r="X36" s="25">
        <v>16751</v>
      </c>
      <c r="Y36" s="25">
        <v>94921</v>
      </c>
      <c r="Z36" s="25">
        <v>350000</v>
      </c>
      <c r="AA36" s="25">
        <v>192500</v>
      </c>
      <c r="AB36" s="25">
        <v>78170.399999999994</v>
      </c>
      <c r="AC36" s="25">
        <v>282000</v>
      </c>
      <c r="AD36" s="26" t="s">
        <v>318</v>
      </c>
    </row>
    <row r="37" spans="1:30" x14ac:dyDescent="0.25">
      <c r="A37" s="5" t="s">
        <v>319</v>
      </c>
      <c r="B37" s="6" t="s">
        <v>213</v>
      </c>
      <c r="C37" s="5">
        <v>49</v>
      </c>
      <c r="D37" s="5" t="s">
        <v>176</v>
      </c>
      <c r="E37" s="5" t="s">
        <v>214</v>
      </c>
      <c r="F37" s="5" t="s">
        <v>178</v>
      </c>
      <c r="G37" s="6" t="s">
        <v>215</v>
      </c>
      <c r="H37" s="5">
        <v>2</v>
      </c>
      <c r="I37" s="5"/>
      <c r="J37" s="22">
        <v>5150</v>
      </c>
      <c r="K37" s="16" t="s">
        <v>180</v>
      </c>
      <c r="L37" s="16" t="s">
        <v>216</v>
      </c>
      <c r="M37" s="16" t="s">
        <v>182</v>
      </c>
      <c r="N37" s="16" t="b">
        <v>1</v>
      </c>
      <c r="O37" s="16" t="b">
        <v>0</v>
      </c>
      <c r="P37" s="16" t="s">
        <v>217</v>
      </c>
      <c r="Q37" s="16" t="s">
        <v>196</v>
      </c>
      <c r="R37" s="16" t="b">
        <v>1</v>
      </c>
      <c r="S37" s="23" t="s">
        <v>218</v>
      </c>
      <c r="T37" s="16" t="s">
        <v>219</v>
      </c>
      <c r="U37" s="16" t="b">
        <v>0</v>
      </c>
      <c r="V37" s="16">
        <v>90</v>
      </c>
      <c r="W37" s="24">
        <v>3991.25</v>
      </c>
      <c r="X37" s="25">
        <v>29200</v>
      </c>
      <c r="Y37" s="25">
        <v>165470</v>
      </c>
      <c r="Z37" s="25">
        <v>350000</v>
      </c>
      <c r="AA37" s="25">
        <v>192500</v>
      </c>
      <c r="AB37" s="25">
        <v>136269</v>
      </c>
      <c r="AC37" s="25">
        <v>309000</v>
      </c>
      <c r="AD37" s="26" t="s">
        <v>320</v>
      </c>
    </row>
    <row r="38" spans="1:30" x14ac:dyDescent="0.25">
      <c r="A38" s="5" t="s">
        <v>321</v>
      </c>
      <c r="B38" s="6" t="s">
        <v>222</v>
      </c>
      <c r="C38" s="5">
        <v>34</v>
      </c>
      <c r="D38" s="5" t="s">
        <v>190</v>
      </c>
      <c r="E38" s="5" t="s">
        <v>177</v>
      </c>
      <c r="F38" s="5" t="s">
        <v>178</v>
      </c>
      <c r="G38" s="6" t="s">
        <v>223</v>
      </c>
      <c r="H38" s="5">
        <v>1</v>
      </c>
      <c r="I38" s="5"/>
      <c r="J38" s="22">
        <v>14690</v>
      </c>
      <c r="K38" s="16" t="s">
        <v>180</v>
      </c>
      <c r="L38" s="16" t="s">
        <v>193</v>
      </c>
      <c r="M38" s="16" t="s">
        <v>194</v>
      </c>
      <c r="N38" s="16" t="b">
        <v>1</v>
      </c>
      <c r="O38" s="16" t="b">
        <v>1</v>
      </c>
      <c r="P38" s="16" t="s">
        <v>224</v>
      </c>
      <c r="Q38" s="16" t="s">
        <v>184</v>
      </c>
      <c r="R38" s="16" t="b">
        <v>1</v>
      </c>
      <c r="S38" s="23" t="s">
        <v>225</v>
      </c>
      <c r="T38" s="16" t="s">
        <v>226</v>
      </c>
      <c r="U38" s="16" t="b">
        <v>0</v>
      </c>
      <c r="V38" s="16">
        <v>83</v>
      </c>
      <c r="W38" s="24">
        <v>9490.25</v>
      </c>
      <c r="X38" s="25">
        <v>42117</v>
      </c>
      <c r="Y38" s="25">
        <v>238663</v>
      </c>
      <c r="Z38" s="25">
        <v>650000</v>
      </c>
      <c r="AA38" s="25">
        <v>357500</v>
      </c>
      <c r="AB38" s="25">
        <v>196546.35</v>
      </c>
      <c r="AC38" s="25">
        <v>881400</v>
      </c>
      <c r="AD38" s="26" t="s">
        <v>322</v>
      </c>
    </row>
    <row r="39" spans="1:30" x14ac:dyDescent="0.25">
      <c r="A39" s="5" t="s">
        <v>323</v>
      </c>
      <c r="B39" s="6" t="s">
        <v>229</v>
      </c>
      <c r="C39" s="5">
        <v>56</v>
      </c>
      <c r="D39" s="5" t="s">
        <v>176</v>
      </c>
      <c r="E39" s="5" t="s">
        <v>191</v>
      </c>
      <c r="F39" s="5" t="s">
        <v>178</v>
      </c>
      <c r="G39" s="6" t="s">
        <v>230</v>
      </c>
      <c r="H39" s="5">
        <v>0</v>
      </c>
      <c r="I39" s="5"/>
      <c r="J39" s="22">
        <v>5675</v>
      </c>
      <c r="K39" s="16" t="s">
        <v>180</v>
      </c>
      <c r="L39" s="16" t="s">
        <v>181</v>
      </c>
      <c r="M39" s="16" t="s">
        <v>182</v>
      </c>
      <c r="N39" s="16" t="b">
        <v>1</v>
      </c>
      <c r="O39" s="16" t="b">
        <v>1</v>
      </c>
      <c r="P39" s="16" t="s">
        <v>203</v>
      </c>
      <c r="Q39" s="16" t="s">
        <v>196</v>
      </c>
      <c r="R39" s="16" t="b">
        <v>0</v>
      </c>
      <c r="S39" s="23" t="s">
        <v>231</v>
      </c>
      <c r="T39" s="16" t="s">
        <v>186</v>
      </c>
      <c r="U39" s="16" t="b">
        <v>0</v>
      </c>
      <c r="V39" s="16">
        <v>89</v>
      </c>
      <c r="W39" s="24">
        <v>3141.45</v>
      </c>
      <c r="X39" s="25">
        <v>47645</v>
      </c>
      <c r="Y39" s="25">
        <v>269990</v>
      </c>
      <c r="Z39" s="25">
        <v>350000</v>
      </c>
      <c r="AA39" s="25">
        <v>192500</v>
      </c>
      <c r="AB39" s="25">
        <v>222344.85</v>
      </c>
      <c r="AC39" s="25">
        <v>200000</v>
      </c>
      <c r="AD39" s="26" t="s">
        <v>324</v>
      </c>
    </row>
    <row r="40" spans="1:30" x14ac:dyDescent="0.25">
      <c r="A40" s="5" t="s">
        <v>325</v>
      </c>
      <c r="B40" s="6" t="s">
        <v>234</v>
      </c>
      <c r="C40" s="5">
        <v>62</v>
      </c>
      <c r="D40" s="5" t="s">
        <v>190</v>
      </c>
      <c r="E40" s="5" t="s">
        <v>177</v>
      </c>
      <c r="F40" s="5" t="s">
        <v>178</v>
      </c>
      <c r="G40" s="6" t="s">
        <v>235</v>
      </c>
      <c r="H40" s="5">
        <v>3</v>
      </c>
      <c r="I40" s="5"/>
      <c r="J40" s="22">
        <v>6125</v>
      </c>
      <c r="K40" s="16" t="s">
        <v>180</v>
      </c>
      <c r="L40" s="16" t="s">
        <v>181</v>
      </c>
      <c r="M40" s="16" t="s">
        <v>194</v>
      </c>
      <c r="N40" s="16" t="b">
        <v>1</v>
      </c>
      <c r="O40" s="16" t="b">
        <v>1</v>
      </c>
      <c r="P40" s="16" t="s">
        <v>183</v>
      </c>
      <c r="Q40" s="16" t="s">
        <v>184</v>
      </c>
      <c r="R40" s="16" t="b">
        <v>0</v>
      </c>
      <c r="S40" s="23" t="s">
        <v>209</v>
      </c>
      <c r="T40" s="16" t="s">
        <v>210</v>
      </c>
      <c r="U40" s="16" t="b">
        <v>1</v>
      </c>
      <c r="V40" s="16">
        <v>76</v>
      </c>
      <c r="W40" s="24">
        <v>4422</v>
      </c>
      <c r="X40" s="25">
        <v>34612</v>
      </c>
      <c r="Y40" s="25">
        <v>196136</v>
      </c>
      <c r="Z40" s="25">
        <v>350000</v>
      </c>
      <c r="AA40" s="25">
        <v>192500</v>
      </c>
      <c r="AB40" s="25">
        <v>161523.6</v>
      </c>
      <c r="AC40" s="25">
        <v>367500</v>
      </c>
      <c r="AD40" s="26" t="s">
        <v>326</v>
      </c>
    </row>
    <row r="41" spans="1:30" x14ac:dyDescent="0.25">
      <c r="A41" s="5" t="s">
        <v>327</v>
      </c>
      <c r="B41" s="6" t="s">
        <v>238</v>
      </c>
      <c r="C41" s="5">
        <v>27</v>
      </c>
      <c r="D41" s="5" t="s">
        <v>176</v>
      </c>
      <c r="E41" s="5" t="s">
        <v>177</v>
      </c>
      <c r="F41" s="5" t="s">
        <v>178</v>
      </c>
      <c r="G41" s="6" t="s">
        <v>239</v>
      </c>
      <c r="H41" s="5">
        <v>0</v>
      </c>
      <c r="I41" s="5"/>
      <c r="J41" s="22">
        <v>3500</v>
      </c>
      <c r="K41" s="16" t="s">
        <v>180</v>
      </c>
      <c r="L41" s="16" t="s">
        <v>193</v>
      </c>
      <c r="M41" s="16" t="s">
        <v>182</v>
      </c>
      <c r="N41" s="16" t="b">
        <v>0</v>
      </c>
      <c r="O41" s="16" t="b">
        <v>0</v>
      </c>
      <c r="P41" s="16" t="s">
        <v>183</v>
      </c>
      <c r="Q41" s="16" t="s">
        <v>184</v>
      </c>
      <c r="R41" s="16" t="b">
        <v>1</v>
      </c>
      <c r="S41" s="23" t="s">
        <v>240</v>
      </c>
      <c r="T41" s="16" t="s">
        <v>198</v>
      </c>
      <c r="U41" s="16" t="b">
        <v>0</v>
      </c>
      <c r="V41" s="16">
        <v>87</v>
      </c>
      <c r="W41" s="24">
        <v>1890</v>
      </c>
      <c r="X41" s="25">
        <v>4914</v>
      </c>
      <c r="Y41" s="25">
        <v>27846</v>
      </c>
      <c r="Z41" s="25">
        <v>0</v>
      </c>
      <c r="AA41" s="25">
        <v>0</v>
      </c>
      <c r="AB41" s="25">
        <v>22932</v>
      </c>
      <c r="AC41" s="25">
        <v>0</v>
      </c>
      <c r="AD41" s="26" t="s">
        <v>328</v>
      </c>
    </row>
    <row r="42" spans="1:30" x14ac:dyDescent="0.25">
      <c r="A42" s="5" t="s">
        <v>329</v>
      </c>
      <c r="B42" s="6" t="s">
        <v>243</v>
      </c>
      <c r="C42" s="5">
        <v>39</v>
      </c>
      <c r="D42" s="5" t="s">
        <v>190</v>
      </c>
      <c r="E42" s="5" t="s">
        <v>214</v>
      </c>
      <c r="F42" s="5" t="s">
        <v>178</v>
      </c>
      <c r="G42" s="6" t="s">
        <v>244</v>
      </c>
      <c r="H42" s="5">
        <v>2</v>
      </c>
      <c r="I42" s="5"/>
      <c r="J42" s="22">
        <v>4400</v>
      </c>
      <c r="K42" s="16" t="s">
        <v>180</v>
      </c>
      <c r="L42" s="16" t="s">
        <v>216</v>
      </c>
      <c r="M42" s="16" t="s">
        <v>182</v>
      </c>
      <c r="N42" s="16" t="b">
        <v>0</v>
      </c>
      <c r="O42" s="16" t="b">
        <v>1</v>
      </c>
      <c r="P42" s="16" t="s">
        <v>195</v>
      </c>
      <c r="Q42" s="16" t="s">
        <v>196</v>
      </c>
      <c r="R42" s="16" t="b">
        <v>1</v>
      </c>
      <c r="S42" s="23" t="s">
        <v>245</v>
      </c>
      <c r="T42" s="16" t="s">
        <v>246</v>
      </c>
      <c r="U42" s="16" t="b">
        <v>0</v>
      </c>
      <c r="V42" s="16">
        <v>80</v>
      </c>
      <c r="W42" s="24">
        <v>3410</v>
      </c>
      <c r="X42" s="25">
        <v>16038</v>
      </c>
      <c r="Y42" s="25">
        <v>90882</v>
      </c>
      <c r="Z42" s="25">
        <v>0</v>
      </c>
      <c r="AA42" s="25">
        <v>0</v>
      </c>
      <c r="AB42" s="25">
        <v>74844</v>
      </c>
      <c r="AC42" s="25">
        <v>264000</v>
      </c>
      <c r="AD42" s="26" t="s">
        <v>330</v>
      </c>
    </row>
    <row r="43" spans="1:30" x14ac:dyDescent="0.25">
      <c r="A43" s="5" t="s">
        <v>331</v>
      </c>
      <c r="B43" s="6" t="s">
        <v>249</v>
      </c>
      <c r="C43" s="5">
        <v>53</v>
      </c>
      <c r="D43" s="5" t="s">
        <v>176</v>
      </c>
      <c r="E43" s="5" t="s">
        <v>177</v>
      </c>
      <c r="F43" s="5" t="s">
        <v>178</v>
      </c>
      <c r="G43" s="6" t="s">
        <v>179</v>
      </c>
      <c r="H43" s="5">
        <v>1</v>
      </c>
      <c r="I43" s="5"/>
      <c r="J43" s="22">
        <v>7350</v>
      </c>
      <c r="K43" s="16" t="s">
        <v>180</v>
      </c>
      <c r="L43" s="16" t="s">
        <v>193</v>
      </c>
      <c r="M43" s="16" t="s">
        <v>194</v>
      </c>
      <c r="N43" s="16" t="b">
        <v>1</v>
      </c>
      <c r="O43" s="16" t="b">
        <v>1</v>
      </c>
      <c r="P43" s="16" t="s">
        <v>217</v>
      </c>
      <c r="Q43" s="16" t="s">
        <v>196</v>
      </c>
      <c r="R43" s="16" t="b">
        <v>1</v>
      </c>
      <c r="S43" s="23" t="s">
        <v>250</v>
      </c>
      <c r="T43" s="16" t="s">
        <v>219</v>
      </c>
      <c r="U43" s="16" t="b">
        <v>0</v>
      </c>
      <c r="V43" s="16">
        <v>91</v>
      </c>
      <c r="W43" s="24">
        <v>4263</v>
      </c>
      <c r="X43" s="25">
        <v>46570</v>
      </c>
      <c r="Y43" s="25">
        <v>263894</v>
      </c>
      <c r="Z43" s="25">
        <v>350000</v>
      </c>
      <c r="AA43" s="25">
        <v>192500</v>
      </c>
      <c r="AB43" s="25">
        <v>217324.79999999999</v>
      </c>
      <c r="AC43" s="25">
        <v>441000</v>
      </c>
      <c r="AD43" s="26" t="s">
        <v>332</v>
      </c>
    </row>
    <row r="44" spans="1:30" x14ac:dyDescent="0.25">
      <c r="A44" s="5" t="s">
        <v>333</v>
      </c>
      <c r="B44" s="6" t="s">
        <v>253</v>
      </c>
      <c r="C44" s="5">
        <v>68</v>
      </c>
      <c r="D44" s="5" t="s">
        <v>190</v>
      </c>
      <c r="E44" s="5" t="s">
        <v>177</v>
      </c>
      <c r="F44" s="5" t="s">
        <v>178</v>
      </c>
      <c r="G44" s="6" t="s">
        <v>192</v>
      </c>
      <c r="H44" s="5">
        <v>0</v>
      </c>
      <c r="I44" s="5"/>
      <c r="J44" s="22">
        <v>9800</v>
      </c>
      <c r="K44" s="16" t="s">
        <v>180</v>
      </c>
      <c r="L44" s="16" t="s">
        <v>181</v>
      </c>
      <c r="M44" s="16" t="s">
        <v>194</v>
      </c>
      <c r="N44" s="16" t="b">
        <v>1</v>
      </c>
      <c r="O44" s="16" t="b">
        <v>0</v>
      </c>
      <c r="P44" s="16" t="s">
        <v>183</v>
      </c>
      <c r="Q44" s="16" t="s">
        <v>184</v>
      </c>
      <c r="R44" s="16" t="b">
        <v>0</v>
      </c>
      <c r="S44" s="23" t="s">
        <v>209</v>
      </c>
      <c r="T44" s="16" t="s">
        <v>186</v>
      </c>
      <c r="U44" s="16" t="b">
        <v>0</v>
      </c>
      <c r="V44" s="16">
        <v>85</v>
      </c>
      <c r="W44" s="24">
        <v>6210</v>
      </c>
      <c r="X44" s="25">
        <v>126477</v>
      </c>
      <c r="Y44" s="25">
        <v>716703</v>
      </c>
      <c r="Z44" s="25">
        <v>350000</v>
      </c>
      <c r="AA44" s="25">
        <v>192500</v>
      </c>
      <c r="AB44" s="25">
        <v>590226</v>
      </c>
      <c r="AC44" s="25">
        <v>200000</v>
      </c>
      <c r="AD44" s="26" t="s">
        <v>334</v>
      </c>
    </row>
    <row r="45" spans="1:30" x14ac:dyDescent="0.25">
      <c r="A45" s="5" t="s">
        <v>335</v>
      </c>
      <c r="B45" s="6" t="s">
        <v>256</v>
      </c>
      <c r="C45" s="5">
        <v>32</v>
      </c>
      <c r="D45" s="5" t="s">
        <v>176</v>
      </c>
      <c r="E45" s="5" t="s">
        <v>191</v>
      </c>
      <c r="F45" s="5" t="s">
        <v>178</v>
      </c>
      <c r="G45" s="6" t="s">
        <v>202</v>
      </c>
      <c r="H45" s="5">
        <v>1</v>
      </c>
      <c r="I45" s="5"/>
      <c r="J45" s="22">
        <v>6860</v>
      </c>
      <c r="K45" s="16" t="s">
        <v>180</v>
      </c>
      <c r="L45" s="16" t="s">
        <v>193</v>
      </c>
      <c r="M45" s="16" t="s">
        <v>194</v>
      </c>
      <c r="N45" s="16" t="b">
        <v>0</v>
      </c>
      <c r="O45" s="16" t="b">
        <v>1</v>
      </c>
      <c r="P45" s="16" t="s">
        <v>195</v>
      </c>
      <c r="Q45" s="16" t="s">
        <v>184</v>
      </c>
      <c r="R45" s="16" t="b">
        <v>0</v>
      </c>
      <c r="S45" s="23" t="s">
        <v>197</v>
      </c>
      <c r="T45" s="16" t="s">
        <v>198</v>
      </c>
      <c r="U45" s="16" t="b">
        <v>1</v>
      </c>
      <c r="V45" s="16">
        <v>79</v>
      </c>
      <c r="W45" s="24">
        <v>3978.8</v>
      </c>
      <c r="X45" s="25">
        <v>14941</v>
      </c>
      <c r="Y45" s="25">
        <v>84666</v>
      </c>
      <c r="Z45" s="25">
        <v>0</v>
      </c>
      <c r="AA45" s="25">
        <v>0</v>
      </c>
      <c r="AB45" s="25">
        <v>69725.039999999979</v>
      </c>
      <c r="AC45" s="25">
        <v>411600</v>
      </c>
      <c r="AD45" s="26" t="s">
        <v>336</v>
      </c>
    </row>
    <row r="46" spans="1:30" x14ac:dyDescent="0.25">
      <c r="A46" s="5" t="s">
        <v>337</v>
      </c>
      <c r="B46" s="6" t="s">
        <v>259</v>
      </c>
      <c r="C46" s="5">
        <v>46</v>
      </c>
      <c r="D46" s="5" t="s">
        <v>190</v>
      </c>
      <c r="E46" s="5" t="s">
        <v>177</v>
      </c>
      <c r="F46" s="5" t="s">
        <v>178</v>
      </c>
      <c r="G46" s="6" t="s">
        <v>208</v>
      </c>
      <c r="H46" s="5">
        <v>4</v>
      </c>
      <c r="I46" s="5"/>
      <c r="J46" s="22">
        <v>4925</v>
      </c>
      <c r="K46" s="16" t="s">
        <v>180</v>
      </c>
      <c r="L46" s="16" t="s">
        <v>216</v>
      </c>
      <c r="M46" s="16" t="s">
        <v>182</v>
      </c>
      <c r="N46" s="16" t="b">
        <v>1</v>
      </c>
      <c r="O46" s="16" t="b">
        <v>1</v>
      </c>
      <c r="P46" s="16" t="s">
        <v>203</v>
      </c>
      <c r="Q46" s="16" t="s">
        <v>196</v>
      </c>
      <c r="R46" s="16" t="b">
        <v>1</v>
      </c>
      <c r="S46" s="23" t="s">
        <v>260</v>
      </c>
      <c r="T46" s="16" t="s">
        <v>246</v>
      </c>
      <c r="U46" s="16" t="b">
        <v>0</v>
      </c>
      <c r="V46" s="16">
        <v>84</v>
      </c>
      <c r="W46" s="24">
        <v>3447.5</v>
      </c>
      <c r="X46" s="25">
        <v>11081</v>
      </c>
      <c r="Y46" s="25">
        <v>62794</v>
      </c>
      <c r="Z46" s="25">
        <v>350000</v>
      </c>
      <c r="AA46" s="25">
        <v>192500</v>
      </c>
      <c r="AB46" s="25">
        <v>51712.5</v>
      </c>
      <c r="AC46" s="25">
        <v>295500</v>
      </c>
      <c r="AD46" s="26" t="s">
        <v>338</v>
      </c>
    </row>
    <row r="47" spans="1:30" x14ac:dyDescent="0.25">
      <c r="A47" s="5" t="s">
        <v>339</v>
      </c>
      <c r="B47" s="6" t="s">
        <v>263</v>
      </c>
      <c r="C47" s="5">
        <v>59</v>
      </c>
      <c r="D47" s="5" t="s">
        <v>176</v>
      </c>
      <c r="E47" s="5" t="s">
        <v>177</v>
      </c>
      <c r="F47" s="5" t="s">
        <v>178</v>
      </c>
      <c r="G47" s="6" t="s">
        <v>215</v>
      </c>
      <c r="H47" s="5">
        <v>2</v>
      </c>
      <c r="I47" s="5"/>
      <c r="J47" s="22">
        <v>5900</v>
      </c>
      <c r="K47" s="16" t="s">
        <v>180</v>
      </c>
      <c r="L47" s="16" t="s">
        <v>181</v>
      </c>
      <c r="M47" s="16" t="s">
        <v>182</v>
      </c>
      <c r="N47" s="16" t="b">
        <v>1</v>
      </c>
      <c r="O47" s="16" t="b">
        <v>1</v>
      </c>
      <c r="P47" s="16" t="s">
        <v>224</v>
      </c>
      <c r="Q47" s="16" t="s">
        <v>196</v>
      </c>
      <c r="R47" s="16" t="b">
        <v>0</v>
      </c>
      <c r="S47" s="23" t="s">
        <v>225</v>
      </c>
      <c r="T47" s="16" t="s">
        <v>226</v>
      </c>
      <c r="U47" s="16" t="b">
        <v>0</v>
      </c>
      <c r="V47" s="16">
        <v>92</v>
      </c>
      <c r="W47" s="24">
        <v>3749.45</v>
      </c>
      <c r="X47" s="25">
        <v>37228</v>
      </c>
      <c r="Y47" s="25">
        <v>210961</v>
      </c>
      <c r="Z47" s="25">
        <v>350000</v>
      </c>
      <c r="AA47" s="25">
        <v>192500</v>
      </c>
      <c r="AB47" s="25">
        <v>173732.58</v>
      </c>
      <c r="AC47" s="25">
        <v>354000</v>
      </c>
      <c r="AD47" s="26" t="s">
        <v>340</v>
      </c>
    </row>
    <row r="48" spans="1:30" x14ac:dyDescent="0.25">
      <c r="A48" s="5" t="s">
        <v>341</v>
      </c>
      <c r="B48" s="6" t="s">
        <v>266</v>
      </c>
      <c r="C48" s="5">
        <v>22</v>
      </c>
      <c r="D48" s="5" t="s">
        <v>176</v>
      </c>
      <c r="E48" s="5" t="s">
        <v>177</v>
      </c>
      <c r="F48" s="5" t="s">
        <v>178</v>
      </c>
      <c r="G48" s="6" t="s">
        <v>223</v>
      </c>
      <c r="H48" s="5">
        <v>0</v>
      </c>
      <c r="I48" s="5"/>
      <c r="J48" s="22">
        <v>10400</v>
      </c>
      <c r="K48" s="16" t="s">
        <v>180</v>
      </c>
      <c r="L48" s="16" t="s">
        <v>181</v>
      </c>
      <c r="M48" s="16" t="s">
        <v>194</v>
      </c>
      <c r="N48" s="16" t="b">
        <v>0</v>
      </c>
      <c r="O48" s="16" t="b">
        <v>0</v>
      </c>
      <c r="P48" s="16" t="s">
        <v>183</v>
      </c>
      <c r="Q48" s="16" t="s">
        <v>184</v>
      </c>
      <c r="R48" s="16" t="b">
        <v>0</v>
      </c>
      <c r="S48" s="23" t="s">
        <v>185</v>
      </c>
      <c r="T48" s="16" t="s">
        <v>186</v>
      </c>
      <c r="U48" s="16" t="b">
        <v>0</v>
      </c>
      <c r="V48" s="16">
        <v>86</v>
      </c>
      <c r="W48" s="24">
        <v>5940</v>
      </c>
      <c r="X48" s="25">
        <v>2574</v>
      </c>
      <c r="Y48" s="25">
        <v>14586</v>
      </c>
      <c r="Z48" s="25">
        <v>0</v>
      </c>
      <c r="AA48" s="25">
        <v>0</v>
      </c>
      <c r="AB48" s="25">
        <v>12012</v>
      </c>
      <c r="AC48" s="25">
        <v>0</v>
      </c>
      <c r="AD48" s="26" t="s">
        <v>342</v>
      </c>
    </row>
    <row r="49" spans="1:30" x14ac:dyDescent="0.25">
      <c r="A49" s="5" t="s">
        <v>343</v>
      </c>
      <c r="B49" s="6" t="s">
        <v>269</v>
      </c>
      <c r="C49" s="5">
        <v>27</v>
      </c>
      <c r="D49" s="5" t="s">
        <v>190</v>
      </c>
      <c r="E49" s="5" t="s">
        <v>191</v>
      </c>
      <c r="F49" s="5" t="s">
        <v>178</v>
      </c>
      <c r="G49" s="6" t="s">
        <v>230</v>
      </c>
      <c r="H49" s="5">
        <v>0</v>
      </c>
      <c r="I49" s="5"/>
      <c r="J49" s="22">
        <v>3500</v>
      </c>
      <c r="K49" s="16" t="s">
        <v>180</v>
      </c>
      <c r="L49" s="16" t="s">
        <v>193</v>
      </c>
      <c r="M49" s="16" t="s">
        <v>182</v>
      </c>
      <c r="N49" s="16" t="b">
        <v>0</v>
      </c>
      <c r="O49" s="16" t="b">
        <v>1</v>
      </c>
      <c r="P49" s="16" t="s">
        <v>195</v>
      </c>
      <c r="Q49" s="16" t="s">
        <v>196</v>
      </c>
      <c r="R49" s="16" t="b">
        <v>1</v>
      </c>
      <c r="S49" s="23" t="s">
        <v>197</v>
      </c>
      <c r="T49" s="16" t="s">
        <v>198</v>
      </c>
      <c r="U49" s="16" t="b">
        <v>0</v>
      </c>
      <c r="V49" s="16">
        <v>81</v>
      </c>
      <c r="W49" s="24">
        <v>1890</v>
      </c>
      <c r="X49" s="25">
        <v>4914</v>
      </c>
      <c r="Y49" s="25">
        <v>27846</v>
      </c>
      <c r="Z49" s="25">
        <v>0</v>
      </c>
      <c r="AA49" s="25">
        <v>0</v>
      </c>
      <c r="AB49" s="25">
        <v>22932</v>
      </c>
      <c r="AC49" s="25">
        <v>0</v>
      </c>
      <c r="AD49" s="26" t="s">
        <v>344</v>
      </c>
    </row>
    <row r="50" spans="1:30" x14ac:dyDescent="0.25">
      <c r="A50" s="5" t="s">
        <v>345</v>
      </c>
      <c r="B50" s="6" t="s">
        <v>272</v>
      </c>
      <c r="C50" s="5">
        <v>34</v>
      </c>
      <c r="D50" s="5" t="s">
        <v>176</v>
      </c>
      <c r="E50" s="5" t="s">
        <v>177</v>
      </c>
      <c r="F50" s="5" t="s">
        <v>178</v>
      </c>
      <c r="G50" s="6" t="s">
        <v>235</v>
      </c>
      <c r="H50" s="5">
        <v>1</v>
      </c>
      <c r="I50" s="5"/>
      <c r="J50" s="22">
        <v>4025</v>
      </c>
      <c r="K50" s="16" t="s">
        <v>180</v>
      </c>
      <c r="L50" s="16" t="s">
        <v>193</v>
      </c>
      <c r="M50" s="16" t="s">
        <v>182</v>
      </c>
      <c r="N50" s="16" t="b">
        <v>1</v>
      </c>
      <c r="O50" s="16" t="b">
        <v>1</v>
      </c>
      <c r="P50" s="16" t="s">
        <v>203</v>
      </c>
      <c r="Q50" s="16" t="s">
        <v>196</v>
      </c>
      <c r="R50" s="16" t="b">
        <v>1</v>
      </c>
      <c r="S50" s="23" t="s">
        <v>204</v>
      </c>
      <c r="T50" s="16" t="s">
        <v>198</v>
      </c>
      <c r="U50" s="16" t="b">
        <v>0</v>
      </c>
      <c r="V50" s="16">
        <v>88</v>
      </c>
      <c r="W50" s="24">
        <v>2334.5</v>
      </c>
      <c r="X50" s="25">
        <v>10360</v>
      </c>
      <c r="Y50" s="25">
        <v>58709</v>
      </c>
      <c r="Z50" s="25">
        <v>350000</v>
      </c>
      <c r="AA50" s="25">
        <v>192500</v>
      </c>
      <c r="AB50" s="25">
        <v>48348.3</v>
      </c>
      <c r="AC50" s="25">
        <v>241500</v>
      </c>
      <c r="AD50" s="26" t="s">
        <v>346</v>
      </c>
    </row>
    <row r="51" spans="1:30" x14ac:dyDescent="0.25">
      <c r="A51" s="5" t="s">
        <v>347</v>
      </c>
      <c r="B51" s="6" t="s">
        <v>275</v>
      </c>
      <c r="C51" s="5">
        <v>41</v>
      </c>
      <c r="D51" s="5" t="s">
        <v>190</v>
      </c>
      <c r="E51" s="5" t="s">
        <v>177</v>
      </c>
      <c r="F51" s="5" t="s">
        <v>178</v>
      </c>
      <c r="G51" s="6" t="s">
        <v>239</v>
      </c>
      <c r="H51" s="5">
        <v>2</v>
      </c>
      <c r="I51" s="5"/>
      <c r="J51" s="22">
        <v>4550</v>
      </c>
      <c r="K51" s="16" t="s">
        <v>180</v>
      </c>
      <c r="L51" s="16" t="s">
        <v>181</v>
      </c>
      <c r="M51" s="16" t="s">
        <v>182</v>
      </c>
      <c r="N51" s="16" t="b">
        <v>1</v>
      </c>
      <c r="O51" s="16" t="b">
        <v>1</v>
      </c>
      <c r="P51" s="16" t="s">
        <v>183</v>
      </c>
      <c r="Q51" s="16" t="s">
        <v>184</v>
      </c>
      <c r="R51" s="16" t="b">
        <v>0</v>
      </c>
      <c r="S51" s="23" t="s">
        <v>209</v>
      </c>
      <c r="T51" s="16" t="s">
        <v>210</v>
      </c>
      <c r="U51" s="16" t="b">
        <v>1</v>
      </c>
      <c r="V51" s="16">
        <v>78</v>
      </c>
      <c r="W51" s="24">
        <v>2821</v>
      </c>
      <c r="X51" s="25">
        <v>14742</v>
      </c>
      <c r="Y51" s="25">
        <v>83538</v>
      </c>
      <c r="Z51" s="25">
        <v>350000</v>
      </c>
      <c r="AA51" s="25">
        <v>192500</v>
      </c>
      <c r="AB51" s="25">
        <v>68796</v>
      </c>
      <c r="AC51" s="25">
        <v>273000</v>
      </c>
      <c r="AD51" s="26" t="s">
        <v>348</v>
      </c>
    </row>
    <row r="52" spans="1:30" x14ac:dyDescent="0.25">
      <c r="A52" s="5" t="s">
        <v>349</v>
      </c>
      <c r="B52" s="6" t="s">
        <v>278</v>
      </c>
      <c r="C52" s="5">
        <v>47</v>
      </c>
      <c r="D52" s="5" t="s">
        <v>176</v>
      </c>
      <c r="E52" s="5" t="s">
        <v>214</v>
      </c>
      <c r="F52" s="5" t="s">
        <v>178</v>
      </c>
      <c r="G52" s="6" t="s">
        <v>244</v>
      </c>
      <c r="H52" s="5">
        <v>2</v>
      </c>
      <c r="I52" s="5"/>
      <c r="J52" s="22">
        <v>5000</v>
      </c>
      <c r="K52" s="16" t="s">
        <v>180</v>
      </c>
      <c r="L52" s="16" t="s">
        <v>216</v>
      </c>
      <c r="M52" s="16" t="s">
        <v>182</v>
      </c>
      <c r="N52" s="16" t="b">
        <v>1</v>
      </c>
      <c r="O52" s="16" t="b">
        <v>0</v>
      </c>
      <c r="P52" s="16" t="s">
        <v>217</v>
      </c>
      <c r="Q52" s="16" t="s">
        <v>196</v>
      </c>
      <c r="R52" s="16" t="b">
        <v>1</v>
      </c>
      <c r="S52" s="23" t="s">
        <v>218</v>
      </c>
      <c r="T52" s="16" t="s">
        <v>219</v>
      </c>
      <c r="U52" s="16" t="b">
        <v>0</v>
      </c>
      <c r="V52" s="16">
        <v>90</v>
      </c>
      <c r="W52" s="24">
        <v>3875</v>
      </c>
      <c r="X52" s="25">
        <v>26325</v>
      </c>
      <c r="Y52" s="25">
        <v>149175</v>
      </c>
      <c r="Z52" s="25">
        <v>350000</v>
      </c>
      <c r="AA52" s="25">
        <v>192500</v>
      </c>
      <c r="AB52" s="25">
        <v>122850</v>
      </c>
      <c r="AC52" s="25">
        <v>300000</v>
      </c>
      <c r="AD52" s="26" t="s">
        <v>350</v>
      </c>
    </row>
  </sheetData>
  <autoFilter ref="A2:AD52" xr:uid="{00000000-0009-0000-0000-000002000000}"/>
  <mergeCells count="3">
    <mergeCell ref="A1:I1"/>
    <mergeCell ref="J1:V1"/>
    <mergeCell ref="W1:AC1"/>
  </mergeCells>
  <dataValidations count="10">
    <dataValidation type="list" sqref="N3:O52 R3:R52 U3:U52" xr:uid="{00000000-0002-0000-0200-000000000000}">
      <formula1>"TRUE,FALSE"</formula1>
    </dataValidation>
    <dataValidation type="list" sqref="E3:E52" xr:uid="{00000000-0002-0000-0200-000001000000}">
      <formula1>"Citizen,PR,Foreigner"</formula1>
    </dataValidation>
    <dataValidation type="list" sqref="D3:D52" xr:uid="{00000000-0002-0000-0200-000002000000}">
      <formula1>"Female,Male"</formula1>
    </dataValidation>
    <dataValidation type="list" sqref="F3:F52" xr:uid="{00000000-0002-0000-0200-000003000000}">
      <formula1>"Singapore,Vietnam,Malaysia,Thailand,Philippines,Australia,Germany,Hong Kong,United States"</formula1>
    </dataValidation>
    <dataValidation type="list" sqref="K3:K52" xr:uid="{00000000-0002-0000-0200-000004000000}">
      <formula1>"SGD,VND,MYR,THB,PHP,AUD,EUR,HKD,USD"</formula1>
    </dataValidation>
    <dataValidation type="list" sqref="L3:L52" xr:uid="{00000000-0002-0000-0200-000005000000}">
      <formula1>"conservative,moderate,aggressive"</formula1>
    </dataValidation>
    <dataValidation type="list" sqref="M3:M52" xr:uid="{00000000-0002-0000-0200-000006000000}">
      <formula1>"low,medium,high"</formula1>
    </dataValidation>
    <dataValidation type="list" allowBlank="1" sqref="P3:P52" xr:uid="{00000000-0002-0000-0200-000007000000}">
      <formula1>"Single,Double,Ward,A,B"</formula1>
    </dataValidation>
    <dataValidation type="list" sqref="Q3:Q52" xr:uid="{00000000-0002-0000-0200-000008000000}">
      <formula1>"Public,Private"</formula1>
    </dataValidation>
    <dataValidation type="list" allowBlank="1" sqref="T3:T52" xr:uid="{00000000-0002-0000-0200-000009000000}">
      <formula1>"Basic,Comfortable,Luxurious,frugal,stress-free,only the best"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5C26"/>
  </sheetPr>
  <dimension ref="A1:K27"/>
  <sheetViews>
    <sheetView workbookViewId="0">
      <pane ySplit="3" topLeftCell="A4" activePane="bottomLeft" state="frozen"/>
      <selection pane="bottomLeft"/>
    </sheetView>
  </sheetViews>
  <sheetFormatPr defaultRowHeight="15" x14ac:dyDescent="0.25"/>
  <cols>
    <col min="1" max="1" width="36" customWidth="1"/>
    <col min="2" max="2" width="22" customWidth="1"/>
    <col min="3" max="3" width="34" customWidth="1"/>
    <col min="4" max="4" width="78" customWidth="1"/>
    <col min="6" max="6" width="42" customWidth="1"/>
    <col min="9" max="9" width="16" customWidth="1"/>
    <col min="10" max="10" width="12" customWidth="1"/>
    <col min="11" max="11" width="56" customWidth="1"/>
  </cols>
  <sheetData>
    <row r="1" spans="1:11" ht="27.95" customHeight="1" x14ac:dyDescent="0.25">
      <c r="A1" s="77" t="s">
        <v>351</v>
      </c>
      <c r="B1" s="74"/>
      <c r="C1" s="74"/>
      <c r="D1" s="74"/>
    </row>
    <row r="2" spans="1:11" x14ac:dyDescent="0.25">
      <c r="A2" s="4" t="s">
        <v>83</v>
      </c>
      <c r="B2" s="5" t="str">
        <f>SelectedPersona</f>
        <v>P03</v>
      </c>
      <c r="C2" s="6" t="str">
        <f>IFERROR(INDEX(Personas!B$3:B$52,MATCH($B$2,Personas!$A$3:$A$52,0)),"")</f>
        <v>Daniel Koh</v>
      </c>
      <c r="D2" s="1" t="s">
        <v>352</v>
      </c>
      <c r="F2" s="4" t="s">
        <v>86</v>
      </c>
    </row>
    <row r="3" spans="1:11" x14ac:dyDescent="0.25">
      <c r="A3" s="2" t="s">
        <v>87</v>
      </c>
      <c r="B3" s="2" t="s">
        <v>88</v>
      </c>
      <c r="C3" s="2" t="s">
        <v>89</v>
      </c>
      <c r="D3" s="2" t="s">
        <v>90</v>
      </c>
      <c r="F3" s="7" t="s">
        <v>91</v>
      </c>
    </row>
    <row r="4" spans="1:11" x14ac:dyDescent="0.25">
      <c r="A4" s="79" t="s">
        <v>353</v>
      </c>
      <c r="B4" s="79"/>
      <c r="C4" s="79"/>
      <c r="D4" s="79"/>
      <c r="F4" s="8" t="s">
        <v>93</v>
      </c>
      <c r="I4" s="83" t="s">
        <v>354</v>
      </c>
      <c r="J4" s="84"/>
      <c r="K4" s="85"/>
    </row>
    <row r="5" spans="1:11" x14ac:dyDescent="0.25">
      <c r="A5" s="9" t="s">
        <v>105</v>
      </c>
      <c r="B5" s="5" t="str">
        <f>IFERROR(INDEX(Personas!F$3:F$52,MATCH($B$2,Personas!$A$3:$A$52,0)),"")</f>
        <v>Singapore</v>
      </c>
      <c r="C5" s="5" t="s">
        <v>95</v>
      </c>
      <c r="D5" s="10" t="s">
        <v>355</v>
      </c>
      <c r="F5" s="11" t="s">
        <v>97</v>
      </c>
      <c r="I5" s="2" t="s">
        <v>105</v>
      </c>
      <c r="J5" s="2" t="s">
        <v>356</v>
      </c>
      <c r="K5" s="2" t="s">
        <v>357</v>
      </c>
    </row>
    <row r="6" spans="1:11" x14ac:dyDescent="0.25">
      <c r="A6" s="9" t="s">
        <v>103</v>
      </c>
      <c r="B6" s="5" t="str">
        <f>IFERROR(INDEX(Personas!E$3:E$52,MATCH($B$2,Personas!$A$3:$A$52,0)),"")</f>
        <v>Citizen</v>
      </c>
      <c r="C6" s="5" t="s">
        <v>95</v>
      </c>
      <c r="D6" s="10" t="s">
        <v>358</v>
      </c>
      <c r="F6" s="13" t="s">
        <v>100</v>
      </c>
      <c r="I6" s="27" t="s">
        <v>178</v>
      </c>
      <c r="J6" s="5" t="b">
        <v>1</v>
      </c>
      <c r="K6" s="10" t="s">
        <v>359</v>
      </c>
    </row>
    <row r="7" spans="1:11" x14ac:dyDescent="0.25">
      <c r="A7" s="9" t="s">
        <v>98</v>
      </c>
      <c r="B7" s="12">
        <f>IFERROR(INDEX(Personas!C$3:C$52,MATCH($B$2,Personas!$A$3:$A$52,0)),"")</f>
        <v>34</v>
      </c>
      <c r="C7" s="5" t="s">
        <v>95</v>
      </c>
      <c r="D7" s="10" t="s">
        <v>360</v>
      </c>
      <c r="I7" s="27" t="s">
        <v>361</v>
      </c>
      <c r="J7" s="5" t="b">
        <v>0</v>
      </c>
      <c r="K7" s="10" t="s">
        <v>362</v>
      </c>
    </row>
    <row r="8" spans="1:11" x14ac:dyDescent="0.25">
      <c r="A8" s="9" t="s">
        <v>139</v>
      </c>
      <c r="B8" s="28">
        <f>IFERROR(INDEX(Personas!J$3:J$52,MATCH($B$2,Personas!$A$3:$A$52,0)),"")</f>
        <v>7140</v>
      </c>
      <c r="C8" s="5" t="s">
        <v>95</v>
      </c>
      <c r="D8" s="10" t="s">
        <v>363</v>
      </c>
      <c r="I8" s="27" t="s">
        <v>364</v>
      </c>
      <c r="J8" s="5" t="b">
        <v>0</v>
      </c>
      <c r="K8" s="10" t="s">
        <v>362</v>
      </c>
    </row>
    <row r="9" spans="1:11" x14ac:dyDescent="0.25">
      <c r="I9" s="27" t="s">
        <v>365</v>
      </c>
      <c r="J9" s="5" t="b">
        <v>0</v>
      </c>
      <c r="K9" s="10" t="s">
        <v>362</v>
      </c>
    </row>
    <row r="10" spans="1:11" x14ac:dyDescent="0.25">
      <c r="A10" s="83" t="s">
        <v>366</v>
      </c>
      <c r="B10" s="83"/>
      <c r="C10" s="83"/>
      <c r="D10" s="83"/>
      <c r="I10" s="27" t="s">
        <v>367</v>
      </c>
      <c r="J10" s="5" t="b">
        <v>0</v>
      </c>
      <c r="K10" s="10" t="s">
        <v>362</v>
      </c>
    </row>
    <row r="11" spans="1:11" x14ac:dyDescent="0.25">
      <c r="A11" s="29" t="s">
        <v>368</v>
      </c>
      <c r="B11" s="30">
        <v>8000</v>
      </c>
      <c r="C11" s="27" t="s">
        <v>369</v>
      </c>
      <c r="D11" s="10" t="s">
        <v>370</v>
      </c>
      <c r="I11" s="27" t="s">
        <v>371</v>
      </c>
      <c r="J11" s="5" t="b">
        <v>0</v>
      </c>
      <c r="K11" s="10" t="s">
        <v>362</v>
      </c>
    </row>
    <row r="12" spans="1:11" x14ac:dyDescent="0.25">
      <c r="A12" s="29" t="s">
        <v>372</v>
      </c>
      <c r="B12" s="31">
        <v>0.2</v>
      </c>
      <c r="C12" s="27" t="s">
        <v>369</v>
      </c>
      <c r="D12" s="10" t="s">
        <v>373</v>
      </c>
      <c r="I12" s="27" t="s">
        <v>374</v>
      </c>
      <c r="J12" s="5" t="b">
        <v>0</v>
      </c>
      <c r="K12" s="10" t="s">
        <v>362</v>
      </c>
    </row>
    <row r="13" spans="1:11" x14ac:dyDescent="0.25">
      <c r="A13" s="29" t="s">
        <v>375</v>
      </c>
      <c r="B13" s="31">
        <v>0.18</v>
      </c>
      <c r="C13" s="27" t="s">
        <v>369</v>
      </c>
      <c r="D13" s="10" t="s">
        <v>376</v>
      </c>
      <c r="I13" s="27" t="s">
        <v>377</v>
      </c>
      <c r="J13" s="5" t="b">
        <v>0</v>
      </c>
      <c r="K13" s="10" t="s">
        <v>362</v>
      </c>
    </row>
    <row r="14" spans="1:11" x14ac:dyDescent="0.25">
      <c r="A14" s="29" t="s">
        <v>378</v>
      </c>
      <c r="B14" s="31">
        <v>0.125</v>
      </c>
      <c r="C14" s="27" t="s">
        <v>369</v>
      </c>
      <c r="D14" s="10" t="s">
        <v>379</v>
      </c>
      <c r="I14" s="27" t="s">
        <v>380</v>
      </c>
      <c r="J14" s="5" t="b">
        <v>0</v>
      </c>
      <c r="K14" s="10" t="s">
        <v>362</v>
      </c>
    </row>
    <row r="15" spans="1:11" x14ac:dyDescent="0.25">
      <c r="A15" s="29" t="s">
        <v>381</v>
      </c>
      <c r="B15" s="31">
        <v>7.4999999999999997E-2</v>
      </c>
      <c r="C15" s="27" t="s">
        <v>369</v>
      </c>
      <c r="D15" s="10" t="s">
        <v>382</v>
      </c>
    </row>
    <row r="16" spans="1:11" x14ac:dyDescent="0.25">
      <c r="A16" s="29" t="s">
        <v>383</v>
      </c>
      <c r="B16" s="31">
        <v>0.05</v>
      </c>
      <c r="C16" s="27" t="s">
        <v>369</v>
      </c>
      <c r="D16" s="10" t="s">
        <v>384</v>
      </c>
    </row>
    <row r="18" spans="1:4" x14ac:dyDescent="0.25">
      <c r="A18" s="82" t="s">
        <v>385</v>
      </c>
      <c r="B18" s="82"/>
      <c r="C18" s="82"/>
      <c r="D18" s="82"/>
    </row>
    <row r="19" spans="1:4" x14ac:dyDescent="0.25">
      <c r="A19" s="32" t="s">
        <v>386</v>
      </c>
      <c r="B19" s="33"/>
      <c r="C19" s="33" t="s">
        <v>387</v>
      </c>
      <c r="D19" s="10" t="s">
        <v>388</v>
      </c>
    </row>
    <row r="21" spans="1:4" x14ac:dyDescent="0.25">
      <c r="A21" s="80" t="s">
        <v>389</v>
      </c>
      <c r="B21" s="80"/>
      <c r="C21" s="80"/>
      <c r="D21" s="80"/>
    </row>
    <row r="22" spans="1:4" x14ac:dyDescent="0.25">
      <c r="A22" s="18" t="s">
        <v>390</v>
      </c>
      <c r="B22" s="19" t="b">
        <f>IF(B19="",IFERROR(VLOOKUP(B5,CpfCountrySwitch,2,FALSE),FALSE),B19)</f>
        <v>1</v>
      </c>
      <c r="C22" s="19" t="s">
        <v>137</v>
      </c>
      <c r="D22" s="10" t="s">
        <v>391</v>
      </c>
    </row>
    <row r="23" spans="1:4" x14ac:dyDescent="0.25">
      <c r="A23" s="18" t="s">
        <v>392</v>
      </c>
      <c r="B23" s="19" t="str">
        <f>IF(B22=TRUE,"SG-CPF (src/cpf.py)","default: no contribution, take-home = gross")</f>
        <v>SG-CPF (src/cpf.py)</v>
      </c>
      <c r="C23" s="19" t="s">
        <v>137</v>
      </c>
      <c r="D23" s="10" t="s">
        <v>393</v>
      </c>
    </row>
    <row r="24" spans="1:4" x14ac:dyDescent="0.25">
      <c r="A24" s="18" t="s">
        <v>394</v>
      </c>
      <c r="B24" s="34">
        <f>IF(LOWER(B6)="foreigner",0,IF(B7&lt;=55,cpfRate_to55,IF(B7&lt;=60,cpfRate_to60,IF(B7&lt;=65,cpfRate_to65,IF(B7&lt;=70,cpfRate_to70,cpfRate_over70)))))</f>
        <v>0.2</v>
      </c>
      <c r="C24" s="19" t="s">
        <v>137</v>
      </c>
      <c r="D24" s="10" t="s">
        <v>395</v>
      </c>
    </row>
    <row r="25" spans="1:4" x14ac:dyDescent="0.25">
      <c r="A25" s="18" t="s">
        <v>396</v>
      </c>
      <c r="B25" s="34">
        <f>IF(B22=TRUE,B24,0)</f>
        <v>0.2</v>
      </c>
      <c r="C25" s="19" t="s">
        <v>137</v>
      </c>
      <c r="D25" s="10" t="s">
        <v>397</v>
      </c>
    </row>
    <row r="26" spans="1:4" x14ac:dyDescent="0.25">
      <c r="A26" s="18" t="s">
        <v>398</v>
      </c>
      <c r="B26" s="21">
        <f>IF(OR(B22&lt;&gt;TRUE,B8&lt;=0,B25&lt;=0),0,FLOOR(MIN(B8,OW_CEILING)*B25,1))</f>
        <v>1428</v>
      </c>
      <c r="C26" s="19" t="s">
        <v>137</v>
      </c>
      <c r="D26" s="10" t="s">
        <v>399</v>
      </c>
    </row>
    <row r="27" spans="1:4" x14ac:dyDescent="0.25">
      <c r="A27" s="18" t="s">
        <v>141</v>
      </c>
      <c r="B27" s="20">
        <f>IF(B8&lt;=0,0,ROUND(MAX(0,B8-B26),2))</f>
        <v>5712</v>
      </c>
      <c r="C27" s="19" t="s">
        <v>137</v>
      </c>
      <c r="D27" s="10" t="s">
        <v>400</v>
      </c>
    </row>
  </sheetData>
  <mergeCells count="6">
    <mergeCell ref="A1:D1"/>
    <mergeCell ref="A18:D18"/>
    <mergeCell ref="A4:D4"/>
    <mergeCell ref="A21:D21"/>
    <mergeCell ref="I4:K4"/>
    <mergeCell ref="A10:D10"/>
  </mergeCells>
  <dataValidations count="2">
    <dataValidation type="list" sqref="J6:J14" xr:uid="{00000000-0002-0000-0300-000000000000}">
      <formula1>"TRUE,FALSE"</formula1>
    </dataValidation>
    <dataValidation type="list" allowBlank="1" sqref="B19" xr:uid="{00000000-0002-0000-0300-000001000000}">
      <formula1>"TRUE,FALSE,"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4F"/>
  </sheetPr>
  <dimension ref="A1:F85"/>
  <sheetViews>
    <sheetView workbookViewId="0">
      <pane ySplit="3" topLeftCell="A4" activePane="bottomLeft" state="frozen"/>
      <selection pane="bottomLeft" activeCell="B40" sqref="B40"/>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77" t="s">
        <v>401</v>
      </c>
      <c r="B1" s="74"/>
      <c r="C1" s="74"/>
      <c r="D1" s="74"/>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79" t="s">
        <v>402</v>
      </c>
      <c r="B4" s="79"/>
      <c r="C4" s="79"/>
      <c r="D4" s="79"/>
      <c r="F4" s="8" t="s">
        <v>93</v>
      </c>
    </row>
    <row r="5" spans="1:6" x14ac:dyDescent="0.25">
      <c r="A5" s="9" t="s">
        <v>98</v>
      </c>
      <c r="B5" s="12">
        <f>IFERROR(INDEX(Personas!C$3:C$52,MATCH($B$2,Personas!$A$3:$A$52,0)),"")</f>
        <v>34</v>
      </c>
      <c r="C5" s="5" t="s">
        <v>95</v>
      </c>
      <c r="D5" s="10" t="s">
        <v>403</v>
      </c>
      <c r="F5" s="11" t="s">
        <v>97</v>
      </c>
    </row>
    <row r="6" spans="1:6" x14ac:dyDescent="0.25">
      <c r="A6" s="9" t="s">
        <v>101</v>
      </c>
      <c r="B6" s="5" t="str">
        <f>IFERROR(INDEX(Personas!D$3:D$52,MATCH($B$2,Personas!$A$3:$A$52,0)),"")</f>
        <v>Female</v>
      </c>
      <c r="C6" s="5" t="s">
        <v>95</v>
      </c>
      <c r="D6" s="10" t="s">
        <v>404</v>
      </c>
      <c r="F6" s="13" t="s">
        <v>100</v>
      </c>
    </row>
    <row r="7" spans="1:6" x14ac:dyDescent="0.25">
      <c r="A7" s="9" t="s">
        <v>103</v>
      </c>
      <c r="B7" s="5" t="str">
        <f>IFERROR(INDEX(Personas!E$3:E$52,MATCH($B$2,Personas!$A$3:$A$52,0)),"")</f>
        <v>Citizen</v>
      </c>
      <c r="C7" s="5" t="s">
        <v>95</v>
      </c>
      <c r="D7" s="10" t="s">
        <v>405</v>
      </c>
    </row>
    <row r="8" spans="1:6" x14ac:dyDescent="0.25">
      <c r="A8" s="9" t="s">
        <v>105</v>
      </c>
      <c r="B8" s="5" t="str">
        <f>IFERROR(INDEX(Personas!F$3:F$52,MATCH($B$2,Personas!$A$3:$A$52,0)),"")</f>
        <v>Singapore</v>
      </c>
      <c r="C8" s="5" t="s">
        <v>95</v>
      </c>
      <c r="D8" s="10" t="s">
        <v>406</v>
      </c>
    </row>
    <row r="9" spans="1:6" x14ac:dyDescent="0.25">
      <c r="A9" s="9" t="s">
        <v>107</v>
      </c>
      <c r="B9" s="5" t="str">
        <f>IFERROR(INDEX(Personas!G$3:G$52,MATCH($B$2,Personas!$A$3:$A$52,0)),"")</f>
        <v>Accountant</v>
      </c>
      <c r="C9" s="5" t="s">
        <v>95</v>
      </c>
      <c r="D9" s="10" t="s">
        <v>407</v>
      </c>
    </row>
    <row r="10" spans="1:6" x14ac:dyDescent="0.25">
      <c r="A10" s="9" t="s">
        <v>109</v>
      </c>
      <c r="B10" s="12">
        <f>IFERROR(INDEX(Personas!H$3:H$52,MATCH($B$2,Personas!$A$3:$A$52,0)),"")</f>
        <v>1</v>
      </c>
      <c r="C10" s="5" t="s">
        <v>95</v>
      </c>
      <c r="D10" s="10" t="s">
        <v>408</v>
      </c>
    </row>
    <row r="11" spans="1:6" x14ac:dyDescent="0.25">
      <c r="A11" s="9" t="s">
        <v>409</v>
      </c>
      <c r="B11" s="5">
        <f>IFERROR(INDEX(Personas!I$3:I$52,MATCH($B$2,Personas!$A$3:$A$52,0)),"")</f>
        <v>0</v>
      </c>
      <c r="C11" s="5" t="s">
        <v>95</v>
      </c>
      <c r="D11" s="10" t="s">
        <v>410</v>
      </c>
    </row>
    <row r="13" spans="1:6" x14ac:dyDescent="0.25">
      <c r="A13" s="81" t="s">
        <v>411</v>
      </c>
      <c r="B13" s="81"/>
      <c r="C13" s="81"/>
      <c r="D13" s="81"/>
    </row>
    <row r="14" spans="1:6" x14ac:dyDescent="0.25">
      <c r="A14" s="14" t="s">
        <v>412</v>
      </c>
      <c r="B14" s="22">
        <f>IFERROR(INDEX(Personas!J$3:J$52,MATCH($B$2,Personas!$A$3:$A$52,0)),"")</f>
        <v>7140</v>
      </c>
      <c r="C14" s="16" t="s">
        <v>117</v>
      </c>
      <c r="D14" s="10" t="s">
        <v>413</v>
      </c>
    </row>
    <row r="15" spans="1:6" x14ac:dyDescent="0.25">
      <c r="A15" s="14" t="s">
        <v>119</v>
      </c>
      <c r="B15" s="16" t="str">
        <f>IFERROR(INDEX(Personas!K$3:K$52,MATCH($B$2,Personas!$A$3:$A$52,0)),"")</f>
        <v>SGD</v>
      </c>
      <c r="C15" s="16" t="s">
        <v>117</v>
      </c>
      <c r="D15" s="10" t="s">
        <v>414</v>
      </c>
    </row>
    <row r="16" spans="1:6" x14ac:dyDescent="0.25">
      <c r="A16" s="14" t="s">
        <v>415</v>
      </c>
      <c r="B16" s="16" t="b">
        <f>IFERROR(INDEX(Personas!N$3:N$52,MATCH($B$2,Personas!$A$3:$A$52,0)),"")</f>
        <v>1</v>
      </c>
      <c r="C16" s="16" t="s">
        <v>117</v>
      </c>
      <c r="D16" s="10" t="s">
        <v>416</v>
      </c>
    </row>
    <row r="17" spans="1:4" x14ac:dyDescent="0.25">
      <c r="A17" s="14" t="s">
        <v>417</v>
      </c>
      <c r="B17" s="17">
        <f>IFERROR(INDEX(Personas!V$3:V$52,MATCH($B$2,Personas!$A$3:$A$52,0)),"")</f>
        <v>88</v>
      </c>
      <c r="C17" s="16" t="s">
        <v>117</v>
      </c>
      <c r="D17" s="10" t="s">
        <v>418</v>
      </c>
    </row>
    <row r="19" spans="1:4" x14ac:dyDescent="0.25">
      <c r="A19" s="83" t="s">
        <v>419</v>
      </c>
      <c r="B19" s="83"/>
      <c r="C19" s="83"/>
      <c r="D19" s="83"/>
    </row>
    <row r="20" spans="1:4" x14ac:dyDescent="0.25">
      <c r="A20" s="29" t="s">
        <v>420</v>
      </c>
      <c r="B20" s="31">
        <f>spendShareBase</f>
        <v>0.67500000000000004</v>
      </c>
      <c r="C20" s="27" t="s">
        <v>369</v>
      </c>
      <c r="D20" s="10" t="s">
        <v>421</v>
      </c>
    </row>
    <row r="21" spans="1:4" x14ac:dyDescent="0.25">
      <c r="A21" s="29" t="s">
        <v>422</v>
      </c>
      <c r="B21" s="31">
        <f>spendSharePerDependant</f>
        <v>0.05</v>
      </c>
      <c r="C21" s="27" t="s">
        <v>369</v>
      </c>
      <c r="D21" s="10" t="s">
        <v>423</v>
      </c>
    </row>
    <row r="22" spans="1:4" x14ac:dyDescent="0.25">
      <c r="A22" s="29" t="s">
        <v>424</v>
      </c>
      <c r="B22" s="31">
        <f>spendShareCap</f>
        <v>0.9</v>
      </c>
      <c r="C22" s="27" t="s">
        <v>369</v>
      </c>
      <c r="D22" s="10" t="s">
        <v>425</v>
      </c>
    </row>
    <row r="23" spans="1:4" x14ac:dyDescent="0.25">
      <c r="A23" s="29" t="s">
        <v>426</v>
      </c>
      <c r="B23" s="31">
        <f>assetsSaveShare</f>
        <v>0.5</v>
      </c>
      <c r="C23" s="27" t="s">
        <v>369</v>
      </c>
      <c r="D23" s="10" t="s">
        <v>427</v>
      </c>
    </row>
    <row r="24" spans="1:4" x14ac:dyDescent="0.25">
      <c r="A24" s="29" t="s">
        <v>428</v>
      </c>
      <c r="B24" s="35">
        <f>workStartAge</f>
        <v>21</v>
      </c>
      <c r="C24" s="27" t="s">
        <v>369</v>
      </c>
      <c r="D24" s="10" t="s">
        <v>429</v>
      </c>
    </row>
    <row r="25" spans="1:4" x14ac:dyDescent="0.25">
      <c r="A25" s="29" t="s">
        <v>430</v>
      </c>
      <c r="B25" s="31">
        <f>CASH_SAVINGS_SHARE</f>
        <v>0.15</v>
      </c>
      <c r="C25" s="27" t="s">
        <v>369</v>
      </c>
      <c r="D25" s="10" t="s">
        <v>431</v>
      </c>
    </row>
    <row r="26" spans="1:4" x14ac:dyDescent="0.25">
      <c r="A26" s="29" t="s">
        <v>432</v>
      </c>
      <c r="B26" s="31">
        <f>INVESTMENTS_SHARE</f>
        <v>0.85</v>
      </c>
      <c r="C26" s="27" t="s">
        <v>369</v>
      </c>
      <c r="D26" s="10" t="s">
        <v>433</v>
      </c>
    </row>
    <row r="27" spans="1:4" x14ac:dyDescent="0.25">
      <c r="A27" s="29" t="s">
        <v>434</v>
      </c>
      <c r="B27" s="31">
        <f>liabilityRatio</f>
        <v>0.7</v>
      </c>
      <c r="C27" s="27" t="s">
        <v>369</v>
      </c>
      <c r="D27" s="10" t="s">
        <v>435</v>
      </c>
    </row>
    <row r="28" spans="1:4" x14ac:dyDescent="0.25">
      <c r="A28" s="29" t="s">
        <v>436</v>
      </c>
      <c r="B28" s="30">
        <f>propertyLow</f>
        <v>259000</v>
      </c>
      <c r="C28" s="27" t="s">
        <v>369</v>
      </c>
      <c r="D28" s="10" t="s">
        <v>437</v>
      </c>
    </row>
    <row r="29" spans="1:4" x14ac:dyDescent="0.25">
      <c r="A29" s="29" t="s">
        <v>438</v>
      </c>
      <c r="B29" s="30">
        <f>propertyMid</f>
        <v>481000</v>
      </c>
      <c r="C29" s="27" t="s">
        <v>369</v>
      </c>
      <c r="D29" s="10" t="s">
        <v>439</v>
      </c>
    </row>
    <row r="30" spans="1:4" x14ac:dyDescent="0.25">
      <c r="A30" s="29" t="s">
        <v>440</v>
      </c>
      <c r="B30" s="30">
        <f>propertyHigh</f>
        <v>629000</v>
      </c>
      <c r="C30" s="27" t="s">
        <v>369</v>
      </c>
      <c r="D30" s="10" t="s">
        <v>441</v>
      </c>
    </row>
    <row r="31" spans="1:4" x14ac:dyDescent="0.25">
      <c r="A31" s="29" t="s">
        <v>442</v>
      </c>
      <c r="B31" s="30">
        <f>propertyIncomeLow</f>
        <v>7400</v>
      </c>
      <c r="C31" s="27" t="s">
        <v>369</v>
      </c>
      <c r="D31" s="10" t="s">
        <v>443</v>
      </c>
    </row>
    <row r="32" spans="1:4" x14ac:dyDescent="0.25">
      <c r="A32" s="29" t="s">
        <v>444</v>
      </c>
      <c r="B32" s="30">
        <f>propertyIncomeHigh</f>
        <v>14800</v>
      </c>
      <c r="C32" s="27" t="s">
        <v>369</v>
      </c>
      <c r="D32" s="10" t="s">
        <v>443</v>
      </c>
    </row>
    <row r="33" spans="1:4" x14ac:dyDescent="0.25">
      <c r="A33" s="29" t="s">
        <v>445</v>
      </c>
      <c r="B33" s="31">
        <f>PROPERTY_LTV</f>
        <v>0.55000000000000004</v>
      </c>
      <c r="C33" s="27" t="s">
        <v>369</v>
      </c>
      <c r="D33" s="10" t="s">
        <v>446</v>
      </c>
    </row>
    <row r="34" spans="1:4" x14ac:dyDescent="0.25">
      <c r="A34" s="29" t="s">
        <v>447</v>
      </c>
      <c r="B34" s="36">
        <f>lifePremiumRate</f>
        <v>3.0999999999999999E-3</v>
      </c>
      <c r="C34" s="27" t="s">
        <v>369</v>
      </c>
      <c r="D34" s="10" t="s">
        <v>448</v>
      </c>
    </row>
    <row r="35" spans="1:4" x14ac:dyDescent="0.25">
      <c r="A35" s="29" t="s">
        <v>449</v>
      </c>
      <c r="B35" s="30">
        <f>FX_lifeRound</f>
        <v>100000</v>
      </c>
      <c r="C35" s="27" t="s">
        <v>369</v>
      </c>
      <c r="D35" s="10" t="s">
        <v>450</v>
      </c>
    </row>
    <row r="36" spans="1:4" x14ac:dyDescent="0.25">
      <c r="A36" s="29" t="s">
        <v>451</v>
      </c>
      <c r="B36" s="35">
        <f>lifeExpectancyDefault</f>
        <v>85</v>
      </c>
      <c r="C36" s="27" t="s">
        <v>369</v>
      </c>
      <c r="D36" s="10" t="s">
        <v>452</v>
      </c>
    </row>
    <row r="38" spans="1:4" x14ac:dyDescent="0.25">
      <c r="A38" s="80" t="s">
        <v>453</v>
      </c>
      <c r="B38" s="80"/>
      <c r="C38" s="80"/>
      <c r="D38" s="80"/>
    </row>
    <row r="39" spans="1:4" x14ac:dyDescent="0.25">
      <c r="A39" s="18" t="s">
        <v>454</v>
      </c>
      <c r="B39" s="21">
        <f>IFERROR(INDEX(Assumptions!$F$6:$F$13,MATCH(B9,Assumptions!$E$6:$E$13,0)),"")</f>
        <v>5600</v>
      </c>
      <c r="C39" s="19" t="s">
        <v>137</v>
      </c>
      <c r="D39" s="10" t="s">
        <v>455</v>
      </c>
    </row>
    <row r="40" spans="1:4" x14ac:dyDescent="0.25">
      <c r="A40" s="18" t="s">
        <v>456</v>
      </c>
      <c r="B40" s="21">
        <f>IFERROR(INDEX(Assumptions!$G$6:$G$13,MATCH(B9,Assumptions!$E$6:$E$13,0)),"")</f>
        <v>11200</v>
      </c>
      <c r="C40" s="19" t="s">
        <v>137</v>
      </c>
      <c r="D40" s="10" t="s">
        <v>457</v>
      </c>
    </row>
    <row r="41" spans="1:4" x14ac:dyDescent="0.25">
      <c r="A41" s="18" t="s">
        <v>458</v>
      </c>
      <c r="B41" s="20">
        <f>IF(OR(B39="",B14=0),B14,MIN(MAX(B14,B39),B40))</f>
        <v>7140</v>
      </c>
      <c r="C41" s="19" t="s">
        <v>137</v>
      </c>
      <c r="D41" s="10" t="s">
        <v>459</v>
      </c>
    </row>
    <row r="42" spans="1:4" x14ac:dyDescent="0.25">
      <c r="A42" s="9" t="s">
        <v>460</v>
      </c>
      <c r="B42" s="5" t="b">
        <f>CPF_on</f>
        <v>1</v>
      </c>
      <c r="C42" s="5" t="s">
        <v>95</v>
      </c>
      <c r="D42" s="10" t="s">
        <v>461</v>
      </c>
    </row>
    <row r="43" spans="1:4" x14ac:dyDescent="0.25">
      <c r="A43" s="18" t="s">
        <v>462</v>
      </c>
      <c r="B43" s="34">
        <f>CPF_rate</f>
        <v>0.2</v>
      </c>
      <c r="C43" s="19" t="s">
        <v>137</v>
      </c>
      <c r="D43" s="10" t="s">
        <v>397</v>
      </c>
    </row>
    <row r="44" spans="1:4" x14ac:dyDescent="0.25">
      <c r="A44" s="18" t="s">
        <v>398</v>
      </c>
      <c r="B44" s="21">
        <f>CPF_employee</f>
        <v>1428</v>
      </c>
      <c r="C44" s="19" t="s">
        <v>137</v>
      </c>
      <c r="D44" s="10" t="s">
        <v>463</v>
      </c>
    </row>
    <row r="45" spans="1:4" x14ac:dyDescent="0.25">
      <c r="A45" s="18" t="s">
        <v>141</v>
      </c>
      <c r="B45" s="20">
        <f>CPF_takeHome</f>
        <v>5712</v>
      </c>
      <c r="C45" s="19" t="s">
        <v>137</v>
      </c>
      <c r="D45" s="10" t="s">
        <v>400</v>
      </c>
    </row>
    <row r="46" spans="1:4" x14ac:dyDescent="0.25">
      <c r="A46" s="18" t="s">
        <v>464</v>
      </c>
      <c r="B46" s="34">
        <f>MIN(spendShareBase+spendSharePerDependant*MAX(0,B10),spendShareCap)</f>
        <v>0.72500000000000009</v>
      </c>
      <c r="C46" s="19" t="s">
        <v>137</v>
      </c>
      <c r="D46" s="10" t="s">
        <v>465</v>
      </c>
    </row>
    <row r="47" spans="1:4" x14ac:dyDescent="0.25">
      <c r="A47" s="18" t="s">
        <v>143</v>
      </c>
      <c r="B47" s="20">
        <f>IF(B45&lt;=0,0,ROUND(B45*B46,2))</f>
        <v>4141.2</v>
      </c>
      <c r="C47" s="19" t="s">
        <v>137</v>
      </c>
      <c r="D47" s="10" t="s">
        <v>466</v>
      </c>
    </row>
    <row r="48" spans="1:4" x14ac:dyDescent="0.25">
      <c r="A48" s="18" t="s">
        <v>467</v>
      </c>
      <c r="B48" s="20">
        <f>B45-B47</f>
        <v>1570.8000000000002</v>
      </c>
      <c r="C48" s="19" t="s">
        <v>137</v>
      </c>
      <c r="D48" s="10" t="s">
        <v>468</v>
      </c>
    </row>
    <row r="49" spans="1:4" x14ac:dyDescent="0.25">
      <c r="A49" s="18" t="s">
        <v>469</v>
      </c>
      <c r="B49" s="37">
        <f>MAX(0,B5-workStartAge)</f>
        <v>13</v>
      </c>
      <c r="C49" s="19" t="s">
        <v>137</v>
      </c>
      <c r="D49" s="10" t="s">
        <v>470</v>
      </c>
    </row>
    <row r="50" spans="1:4" x14ac:dyDescent="0.25">
      <c r="A50" s="18" t="s">
        <v>471</v>
      </c>
      <c r="B50" s="20">
        <f>IF(AND(B14&gt;0,B47&gt;0,B5&gt;workStartAge),MAX(0,B48*12*assetsSaveShare*B49),0)</f>
        <v>122522.40000000001</v>
      </c>
      <c r="C50" s="19" t="s">
        <v>137</v>
      </c>
      <c r="D50" s="10" t="s">
        <v>472</v>
      </c>
    </row>
    <row r="51" spans="1:4" x14ac:dyDescent="0.25">
      <c r="A51" s="18" t="s">
        <v>151</v>
      </c>
      <c r="B51" s="20">
        <f>B50*liabilityRatio</f>
        <v>85765.680000000008</v>
      </c>
      <c r="C51" s="19" t="s">
        <v>137</v>
      </c>
      <c r="D51" s="10" t="s">
        <v>473</v>
      </c>
    </row>
    <row r="52" spans="1:4" x14ac:dyDescent="0.25">
      <c r="A52" s="18" t="s">
        <v>474</v>
      </c>
      <c r="B52" s="21">
        <f>IF(MOD(B50*CASH_SAVINGS_SHARE,1)=0.5,2*ROUND((B50*CASH_SAVINGS_SHARE)/2,0),ROUND(B50*CASH_SAVINGS_SHARE,0))</f>
        <v>18378</v>
      </c>
      <c r="C52" s="19" t="s">
        <v>137</v>
      </c>
      <c r="D52" s="10" t="s">
        <v>475</v>
      </c>
    </row>
    <row r="53" spans="1:4" x14ac:dyDescent="0.25">
      <c r="A53" s="18" t="s">
        <v>476</v>
      </c>
      <c r="B53" s="21">
        <f>IF(MOD(B50*INVESTMENTS_SHARE,1)=0.5,2*ROUND((B50*INVESTMENTS_SHARE)/2,0),ROUND(B50*INVESTMENTS_SHARE,0))</f>
        <v>104144</v>
      </c>
      <c r="C53" s="19" t="s">
        <v>137</v>
      </c>
      <c r="D53" s="10" t="s">
        <v>477</v>
      </c>
    </row>
    <row r="54" spans="1:4" x14ac:dyDescent="0.25">
      <c r="A54" s="18" t="s">
        <v>478</v>
      </c>
      <c r="B54" s="20">
        <f>B14*FX_usdPerLocal</f>
        <v>5283.6</v>
      </c>
      <c r="C54" s="19" t="s">
        <v>137</v>
      </c>
      <c r="D54" s="10" t="s">
        <v>479</v>
      </c>
    </row>
    <row r="55" spans="1:4" x14ac:dyDescent="0.25">
      <c r="A55" s="18" t="s">
        <v>480</v>
      </c>
      <c r="B55" s="20">
        <f>IF(B16=FALSE,0,IF(B54&lt;propertyIncomeLow*FX_priceLevel,propertyLow,IF(B54&lt;=propertyIncomeHigh*FX_priceLevel,propertyMid,propertyHigh))*FX_priceLevel)</f>
        <v>259000</v>
      </c>
      <c r="C55" s="19" t="s">
        <v>137</v>
      </c>
      <c r="D55" s="10" t="s">
        <v>481</v>
      </c>
    </row>
    <row r="56" spans="1:4" x14ac:dyDescent="0.25">
      <c r="A56" s="18" t="s">
        <v>148</v>
      </c>
      <c r="B56" s="21">
        <f>ROUND(B55/FX_usdPerLocal,0)</f>
        <v>350000</v>
      </c>
      <c r="C56" s="19" t="s">
        <v>137</v>
      </c>
      <c r="D56" s="10" t="s">
        <v>482</v>
      </c>
    </row>
    <row r="57" spans="1:4" x14ac:dyDescent="0.25">
      <c r="A57" s="18" t="s">
        <v>150</v>
      </c>
      <c r="B57" s="21">
        <f>IF(B56=0,0,IF(MOD(B56*PROPERTY_LTV,1)=0.5,2*ROUND((B56*PROPERTY_LTV)/2,0),ROUND(B56*PROPERTY_LTV,0)))</f>
        <v>192500</v>
      </c>
      <c r="C57" s="19" t="s">
        <v>137</v>
      </c>
      <c r="D57" s="10" t="s">
        <v>483</v>
      </c>
    </row>
    <row r="58" spans="1:4" x14ac:dyDescent="0.25">
      <c r="A58" s="18" t="s">
        <v>153</v>
      </c>
      <c r="B58" s="21">
        <f>MAX(IF(B56&gt;0,INT((B57+FX_lifeRound/2)/FX_lifeRound)*FX_lifeRound,0),IF(B10&gt;0,IF(MOD(B14*12*5,1)=0.5,2*ROUND((B14*12*5)/2,0),ROUND(B14*12*5,0)),0))</f>
        <v>428400</v>
      </c>
      <c r="C58" s="19" t="s">
        <v>137</v>
      </c>
      <c r="D58" s="10" t="s">
        <v>484</v>
      </c>
    </row>
    <row r="59" spans="1:4" x14ac:dyDescent="0.25">
      <c r="A59" s="18" t="s">
        <v>485</v>
      </c>
      <c r="B59" s="21">
        <f>IF(B58&lt;=0,0,IF(MOD(B58*lifePremiumRate,1)=0.5,2*ROUND((B58*lifePremiumRate)/2,0),ROUND(B58*lifePremiumRate,0)))</f>
        <v>1328</v>
      </c>
      <c r="C59" s="19" t="s">
        <v>137</v>
      </c>
      <c r="D59" s="10" t="s">
        <v>486</v>
      </c>
    </row>
    <row r="60" spans="1:4" x14ac:dyDescent="0.25">
      <c r="A60" s="18" t="s">
        <v>487</v>
      </c>
      <c r="B60" s="37">
        <f>MIN(99,IF(B17&gt;0,B17,lifeExpectancyDefault))</f>
        <v>88</v>
      </c>
      <c r="C60" s="19" t="s">
        <v>137</v>
      </c>
      <c r="D60" s="10" t="s">
        <v>488</v>
      </c>
    </row>
    <row r="61" spans="1:4" x14ac:dyDescent="0.25">
      <c r="A61" s="18" t="s">
        <v>489</v>
      </c>
      <c r="B61" s="19" t="str">
        <f>IF(IFERROR(INDEX(Personas!I$3:I$52,MATCH($B$2,Personas!$A$3:$A$52,0)),"")&lt;&gt;"",LOWER(IFERROR(INDEX(Personas!I$3:I$52,MATCH($B$2,Personas!$A$3:$A$52,0)),"")),IF(B5&lt;30,"single","married"))</f>
        <v>married</v>
      </c>
      <c r="C61" s="19" t="s">
        <v>137</v>
      </c>
      <c r="D61" s="10" t="s">
        <v>490</v>
      </c>
    </row>
    <row r="63" spans="1:4" x14ac:dyDescent="0.25">
      <c r="A63" s="82" t="s">
        <v>491</v>
      </c>
      <c r="B63" s="82"/>
      <c r="C63" s="82"/>
      <c r="D63" s="82"/>
    </row>
    <row r="64" spans="1:4" x14ac:dyDescent="0.25">
      <c r="A64" s="32" t="s">
        <v>492</v>
      </c>
      <c r="B64" s="24">
        <f>IFERROR(INDEX(Personas!W$3:W$52,MATCH($B$2,Personas!$A$3:$A$52,0)),"")</f>
        <v>4141.2</v>
      </c>
      <c r="C64" s="33" t="s">
        <v>387</v>
      </c>
      <c r="D64" s="10" t="s">
        <v>493</v>
      </c>
    </row>
    <row r="65" spans="1:4" x14ac:dyDescent="0.25">
      <c r="A65" s="32" t="s">
        <v>494</v>
      </c>
      <c r="B65" s="25">
        <f>IFERROR(INDEX(Personas!X$3:X$52,MATCH($B$2,Personas!$A$3:$A$52,0)),"")</f>
        <v>18378</v>
      </c>
      <c r="C65" s="33" t="s">
        <v>387</v>
      </c>
      <c r="D65" s="10" t="s">
        <v>495</v>
      </c>
    </row>
    <row r="66" spans="1:4" x14ac:dyDescent="0.25">
      <c r="A66" s="32" t="s">
        <v>496</v>
      </c>
      <c r="B66" s="25">
        <f>IFERROR(INDEX(Personas!Y$3:Y$52,MATCH($B$2,Personas!$A$3:$A$52,0)),"")</f>
        <v>104144</v>
      </c>
      <c r="C66" s="33" t="s">
        <v>387</v>
      </c>
      <c r="D66" s="10" t="s">
        <v>497</v>
      </c>
    </row>
    <row r="67" spans="1:4" x14ac:dyDescent="0.25">
      <c r="A67" s="32" t="s">
        <v>498</v>
      </c>
      <c r="B67" s="25">
        <f>IFERROR(INDEX(Personas!Z$3:Z$52,MATCH($B$2,Personas!$A$3:$A$52,0)),"")</f>
        <v>350000</v>
      </c>
      <c r="C67" s="33" t="s">
        <v>387</v>
      </c>
      <c r="D67" s="10" t="s">
        <v>499</v>
      </c>
    </row>
    <row r="68" spans="1:4" x14ac:dyDescent="0.25">
      <c r="A68" s="32" t="s">
        <v>500</v>
      </c>
      <c r="B68" s="25">
        <f>IFERROR(INDEX(Personas!AA$3:AA$52,MATCH($B$2,Personas!$A$3:$A$52,0)),"")</f>
        <v>192500</v>
      </c>
      <c r="C68" s="33" t="s">
        <v>387</v>
      </c>
      <c r="D68" s="10" t="s">
        <v>501</v>
      </c>
    </row>
    <row r="69" spans="1:4" x14ac:dyDescent="0.25">
      <c r="A69" s="32" t="s">
        <v>502</v>
      </c>
      <c r="B69" s="24">
        <f>IFERROR(INDEX(Personas!AB$3:AB$52,MATCH($B$2,Personas!$A$3:$A$52,0)),"")</f>
        <v>85765.680000000008</v>
      </c>
      <c r="C69" s="33" t="s">
        <v>387</v>
      </c>
      <c r="D69" s="10" t="s">
        <v>503</v>
      </c>
    </row>
    <row r="70" spans="1:4" x14ac:dyDescent="0.25">
      <c r="A70" s="32" t="s">
        <v>504</v>
      </c>
      <c r="B70" s="25">
        <f>IFERROR(INDEX(Personas!AC$3:AC$52,MATCH($B$2,Personas!$A$3:$A$52,0)),"")</f>
        <v>428400</v>
      </c>
      <c r="C70" s="33" t="s">
        <v>387</v>
      </c>
      <c r="D70" s="10" t="s">
        <v>505</v>
      </c>
    </row>
    <row r="72" spans="1:4" x14ac:dyDescent="0.25">
      <c r="A72" s="80" t="s">
        <v>506</v>
      </c>
      <c r="B72" s="80"/>
      <c r="C72" s="80"/>
      <c r="D72" s="80"/>
    </row>
    <row r="73" spans="1:4" x14ac:dyDescent="0.25">
      <c r="A73" s="18" t="s">
        <v>139</v>
      </c>
      <c r="B73" s="20">
        <f>B14</f>
        <v>7140</v>
      </c>
      <c r="C73" s="19" t="s">
        <v>137</v>
      </c>
      <c r="D73" s="10" t="s">
        <v>507</v>
      </c>
    </row>
    <row r="74" spans="1:4" x14ac:dyDescent="0.25">
      <c r="A74" s="18" t="s">
        <v>143</v>
      </c>
      <c r="B74" s="20">
        <f>IF(IFERROR(INDEX(Personas!W$3:W$52,MATCH($B$2,Personas!$A$3:$A$52,0)),"")="",B47,IFERROR(INDEX(Personas!W$3:W$52,MATCH($B$2,Personas!$A$3:$A$52,0)),""))</f>
        <v>4141.2</v>
      </c>
      <c r="C74" s="19" t="s">
        <v>137</v>
      </c>
      <c r="D74" s="10"/>
    </row>
    <row r="75" spans="1:4" x14ac:dyDescent="0.25">
      <c r="A75" s="18" t="s">
        <v>141</v>
      </c>
      <c r="B75" s="20">
        <f>B45</f>
        <v>5712</v>
      </c>
      <c r="C75" s="19" t="s">
        <v>137</v>
      </c>
      <c r="D75" s="10" t="s">
        <v>508</v>
      </c>
    </row>
    <row r="76" spans="1:4" x14ac:dyDescent="0.25">
      <c r="A76" s="18" t="s">
        <v>467</v>
      </c>
      <c r="B76" s="20">
        <f>B75-B74</f>
        <v>1570.8000000000002</v>
      </c>
      <c r="C76" s="19" t="s">
        <v>137</v>
      </c>
      <c r="D76" s="10"/>
    </row>
    <row r="77" spans="1:4" x14ac:dyDescent="0.25">
      <c r="A77" s="18" t="s">
        <v>145</v>
      </c>
      <c r="B77" s="21">
        <f>IF(IFERROR(INDEX(Personas!X$3:X$52,MATCH($B$2,Personas!$A$3:$A$52,0)),"")="",B52,IFERROR(INDEX(Personas!X$3:X$52,MATCH($B$2,Personas!$A$3:$A$52,0)),""))</f>
        <v>18378</v>
      </c>
      <c r="C77" s="19" t="s">
        <v>137</v>
      </c>
      <c r="D77" s="10"/>
    </row>
    <row r="78" spans="1:4" x14ac:dyDescent="0.25">
      <c r="A78" s="18" t="s">
        <v>147</v>
      </c>
      <c r="B78" s="21">
        <f>IF(IFERROR(INDEX(Personas!Y$3:Y$52,MATCH($B$2,Personas!$A$3:$A$52,0)),"")="",B53,IFERROR(INDEX(Personas!Y$3:Y$52,MATCH($B$2,Personas!$A$3:$A$52,0)),""))</f>
        <v>104144</v>
      </c>
      <c r="C78" s="19" t="s">
        <v>137</v>
      </c>
      <c r="D78" s="10"/>
    </row>
    <row r="79" spans="1:4" x14ac:dyDescent="0.25">
      <c r="A79" s="18" t="s">
        <v>471</v>
      </c>
      <c r="B79" s="21">
        <f>B77+B78</f>
        <v>122522</v>
      </c>
      <c r="C79" s="19" t="s">
        <v>137</v>
      </c>
      <c r="D79" s="10" t="s">
        <v>509</v>
      </c>
    </row>
    <row r="80" spans="1:4" x14ac:dyDescent="0.25">
      <c r="A80" s="18" t="s">
        <v>148</v>
      </c>
      <c r="B80" s="21">
        <f>IF(IFERROR(INDEX(Personas!Z$3:Z$52,MATCH($B$2,Personas!$A$3:$A$52,0)),"")="",B56,IFERROR(INDEX(Personas!Z$3:Z$52,MATCH($B$2,Personas!$A$3:$A$52,0)),""))</f>
        <v>350000</v>
      </c>
      <c r="C80" s="19" t="s">
        <v>137</v>
      </c>
      <c r="D80" s="10"/>
    </row>
    <row r="81" spans="1:4" x14ac:dyDescent="0.25">
      <c r="A81" s="18" t="s">
        <v>150</v>
      </c>
      <c r="B81" s="21">
        <f>IF(IFERROR(INDEX(Personas!AA$3:AA$52,MATCH($B$2,Personas!$A$3:$A$52,0)),"")="",B57,IFERROR(INDEX(Personas!AA$3:AA$52,MATCH($B$2,Personas!$A$3:$A$52,0)),""))</f>
        <v>192500</v>
      </c>
      <c r="C81" s="19" t="s">
        <v>137</v>
      </c>
      <c r="D81" s="10"/>
    </row>
    <row r="82" spans="1:4" x14ac:dyDescent="0.25">
      <c r="A82" s="18" t="s">
        <v>151</v>
      </c>
      <c r="B82" s="20">
        <f>IF(IFERROR(INDEX(Personas!AB$3:AB$52,MATCH($B$2,Personas!$A$3:$A$52,0)),"")="",B51,IFERROR(INDEX(Personas!AB$3:AB$52,MATCH($B$2,Personas!$A$3:$A$52,0)),""))</f>
        <v>85765.680000000008</v>
      </c>
      <c r="C82" s="19" t="s">
        <v>137</v>
      </c>
      <c r="D82" s="10"/>
    </row>
    <row r="83" spans="1:4" x14ac:dyDescent="0.25">
      <c r="A83" s="18" t="s">
        <v>153</v>
      </c>
      <c r="B83" s="21">
        <f>IF(IFERROR(INDEX(Personas!AC$3:AC$52,MATCH($B$2,Personas!$A$3:$A$52,0)),"")="",B58,IFERROR(INDEX(Personas!AC$3:AC$52,MATCH($B$2,Personas!$A$3:$A$52,0)),""))</f>
        <v>428400</v>
      </c>
      <c r="C83" s="19" t="s">
        <v>137</v>
      </c>
      <c r="D83" s="10"/>
    </row>
    <row r="84" spans="1:4" x14ac:dyDescent="0.25">
      <c r="A84" s="18" t="s">
        <v>485</v>
      </c>
      <c r="B84" s="21">
        <f>IF(B83&lt;=0,0,IF(MOD(B83*lifePremiumRate,1)=0.5,2*ROUND((B83*lifePremiumRate)/2,0),ROUND(B83*lifePremiumRate,0)))</f>
        <v>1328</v>
      </c>
      <c r="C84" s="19" t="s">
        <v>137</v>
      </c>
      <c r="D84" s="10" t="s">
        <v>510</v>
      </c>
    </row>
    <row r="85" spans="1:4" x14ac:dyDescent="0.25">
      <c r="A85" s="14" t="s">
        <v>119</v>
      </c>
      <c r="B85" s="16" t="str">
        <f>IFERROR(INDEX(Personas!K$3:K$52,MATCH($B$2,Personas!$A$3:$A$52,0)),"")</f>
        <v>SGD</v>
      </c>
      <c r="C85" s="16" t="s">
        <v>117</v>
      </c>
      <c r="D85" s="10" t="s">
        <v>511</v>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B3FA0"/>
  </sheetPr>
  <dimension ref="A1:F103"/>
  <sheetViews>
    <sheetView workbookViewId="0">
      <pane ySplit="3" topLeftCell="A73" activePane="bottomLeft" state="frozen"/>
      <selection pane="bottomLeft" activeCell="B96" sqref="B96"/>
    </sheetView>
  </sheetViews>
  <sheetFormatPr defaultRowHeight="15" x14ac:dyDescent="0.25"/>
  <cols>
    <col min="1" max="1" width="36" customWidth="1"/>
    <col min="2" max="2" width="22" customWidth="1"/>
    <col min="3" max="3" width="34" customWidth="1"/>
    <col min="4" max="4" width="78" customWidth="1"/>
    <col min="5" max="5" width="12" customWidth="1"/>
    <col min="6" max="6" width="42" customWidth="1"/>
  </cols>
  <sheetData>
    <row r="1" spans="1:6" ht="27.95" customHeight="1" x14ac:dyDescent="0.25">
      <c r="A1" s="77" t="s">
        <v>512</v>
      </c>
      <c r="B1" s="74"/>
      <c r="C1" s="74"/>
      <c r="D1" s="74"/>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79" t="s">
        <v>513</v>
      </c>
      <c r="B4" s="79"/>
      <c r="C4" s="79"/>
      <c r="D4" s="79"/>
      <c r="F4" s="8" t="s">
        <v>93</v>
      </c>
    </row>
    <row r="5" spans="1:6" x14ac:dyDescent="0.25">
      <c r="A5" s="9" t="s">
        <v>98</v>
      </c>
      <c r="B5" s="12">
        <f>IFERROR(INDEX(Personas!C$3:C$52,MATCH($B$2,Personas!$A$3:$A$52,0)),"")</f>
        <v>34</v>
      </c>
      <c r="C5" s="5" t="s">
        <v>95</v>
      </c>
      <c r="D5" s="10" t="s">
        <v>514</v>
      </c>
      <c r="F5" s="11" t="s">
        <v>97</v>
      </c>
    </row>
    <row r="6" spans="1:6" x14ac:dyDescent="0.25">
      <c r="A6" s="9" t="s">
        <v>101</v>
      </c>
      <c r="B6" s="5" t="str">
        <f>IFERROR(INDEX(Personas!D$3:D$52,MATCH($B$2,Personas!$A$3:$A$52,0)),"")</f>
        <v>Female</v>
      </c>
      <c r="C6" s="5" t="s">
        <v>95</v>
      </c>
      <c r="D6" s="10" t="s">
        <v>515</v>
      </c>
      <c r="F6" s="13" t="s">
        <v>100</v>
      </c>
    </row>
    <row r="7" spans="1:6" x14ac:dyDescent="0.25">
      <c r="A7" s="9" t="s">
        <v>109</v>
      </c>
      <c r="B7" s="12">
        <f>IFERROR(INDEX(Personas!H$3:H$52,MATCH($B$2,Personas!$A$3:$A$52,0)),"")</f>
        <v>1</v>
      </c>
      <c r="C7" s="5" t="s">
        <v>95</v>
      </c>
      <c r="D7" s="10" t="s">
        <v>516</v>
      </c>
    </row>
    <row r="8" spans="1:6" x14ac:dyDescent="0.25">
      <c r="A8" s="9" t="s">
        <v>107</v>
      </c>
      <c r="B8" s="5" t="str">
        <f>IFERROR(INDEX(Personas!G$3:G$52,MATCH($B$2,Personas!$A$3:$A$52,0)),"")</f>
        <v>Accountant</v>
      </c>
      <c r="C8" s="5" t="s">
        <v>95</v>
      </c>
      <c r="D8" s="10" t="s">
        <v>517</v>
      </c>
    </row>
    <row r="9" spans="1:6" x14ac:dyDescent="0.25">
      <c r="A9" s="9" t="s">
        <v>518</v>
      </c>
      <c r="B9" s="28">
        <f>PLU_incomeMonthly</f>
        <v>7140</v>
      </c>
      <c r="C9" s="5" t="s">
        <v>95</v>
      </c>
      <c r="D9" s="10" t="s">
        <v>519</v>
      </c>
    </row>
    <row r="10" spans="1:6" x14ac:dyDescent="0.25">
      <c r="A10" s="9" t="s">
        <v>520</v>
      </c>
      <c r="B10" s="28">
        <f>PLU_expenseMonthly</f>
        <v>4141.2</v>
      </c>
      <c r="C10" s="5" t="s">
        <v>95</v>
      </c>
      <c r="D10" s="10" t="s">
        <v>521</v>
      </c>
    </row>
    <row r="11" spans="1:6" x14ac:dyDescent="0.25">
      <c r="A11" s="9" t="s">
        <v>522</v>
      </c>
      <c r="B11" s="38">
        <f>PLU_cash+PLU_investments</f>
        <v>122522</v>
      </c>
      <c r="C11" s="5" t="s">
        <v>95</v>
      </c>
      <c r="D11" s="10" t="s">
        <v>509</v>
      </c>
    </row>
    <row r="12" spans="1:6" x14ac:dyDescent="0.25">
      <c r="A12" s="9" t="s">
        <v>523</v>
      </c>
      <c r="B12" s="28">
        <f>PLU_liabilities</f>
        <v>85765.680000000008</v>
      </c>
      <c r="C12" s="5" t="s">
        <v>95</v>
      </c>
      <c r="D12" s="10" t="s">
        <v>152</v>
      </c>
    </row>
    <row r="14" spans="1:6" x14ac:dyDescent="0.25">
      <c r="A14" s="81" t="s">
        <v>524</v>
      </c>
      <c r="B14" s="81"/>
      <c r="C14" s="81"/>
      <c r="D14" s="81"/>
    </row>
    <row r="15" spans="1:6" x14ac:dyDescent="0.25">
      <c r="A15" s="14" t="s">
        <v>169</v>
      </c>
      <c r="B15" s="16" t="b">
        <f>IFERROR(INDEX(Personas!U$3:U$52,MATCH($B$2,Personas!$A$3:$A$52,0)),"")</f>
        <v>0</v>
      </c>
      <c r="C15" s="16" t="s">
        <v>117</v>
      </c>
      <c r="D15" s="10" t="s">
        <v>525</v>
      </c>
    </row>
    <row r="16" spans="1:6" x14ac:dyDescent="0.25">
      <c r="A16" s="14" t="s">
        <v>165</v>
      </c>
      <c r="B16" s="16" t="str">
        <f>IFERROR(INDEX(Personas!Q$3:Q$52,MATCH($B$2,Personas!$A$3:$A$52,0)),"")</f>
        <v>Private</v>
      </c>
      <c r="C16" s="16" t="s">
        <v>117</v>
      </c>
      <c r="D16" s="10" t="s">
        <v>526</v>
      </c>
    </row>
    <row r="17" spans="1:4" x14ac:dyDescent="0.25">
      <c r="A17" s="14" t="s">
        <v>164</v>
      </c>
      <c r="B17" s="16" t="str">
        <f>IFERROR(INDEX(Personas!P$3:P$52,MATCH($B$2,Personas!$A$3:$A$52,0)),"")</f>
        <v>Single</v>
      </c>
      <c r="C17" s="16" t="s">
        <v>117</v>
      </c>
      <c r="D17" s="10" t="s">
        <v>527</v>
      </c>
    </row>
    <row r="18" spans="1:4" x14ac:dyDescent="0.25">
      <c r="A18" s="14" t="s">
        <v>168</v>
      </c>
      <c r="B18" s="16" t="str">
        <f>IFERROR(INDEX(Personas!T$3:T$52,MATCH($B$2,Personas!$A$3:$A$52,0)),"")</f>
        <v>Comfortable</v>
      </c>
      <c r="C18" s="16" t="s">
        <v>117</v>
      </c>
      <c r="D18" s="10" t="s">
        <v>528</v>
      </c>
    </row>
    <row r="19" spans="1:4" x14ac:dyDescent="0.25">
      <c r="A19" s="14" t="s">
        <v>167</v>
      </c>
      <c r="B19" s="16" t="str">
        <f>IFERROR(INDEX(Personas!S$3:S$52,MATCH($B$2,Personas!$A$3:$A$52,0)),"")</f>
        <v>Swimming</v>
      </c>
      <c r="C19" s="16" t="s">
        <v>117</v>
      </c>
      <c r="D19" s="10" t="s">
        <v>529</v>
      </c>
    </row>
    <row r="20" spans="1:4" x14ac:dyDescent="0.25">
      <c r="A20" s="14" t="s">
        <v>415</v>
      </c>
      <c r="B20" s="16" t="b">
        <f>IFERROR(INDEX(Personas!N$3:N$52,MATCH($B$2,Personas!$A$3:$A$52,0)),"")</f>
        <v>1</v>
      </c>
      <c r="C20" s="16" t="s">
        <v>117</v>
      </c>
      <c r="D20" s="10" t="s">
        <v>530</v>
      </c>
    </row>
    <row r="22" spans="1:4" x14ac:dyDescent="0.25">
      <c r="A22" s="83" t="s">
        <v>531</v>
      </c>
      <c r="B22" s="83"/>
      <c r="C22" s="83"/>
      <c r="D22" s="83"/>
    </row>
    <row r="23" spans="1:4" x14ac:dyDescent="0.25">
      <c r="A23" s="29" t="s">
        <v>532</v>
      </c>
      <c r="B23" s="27">
        <v>0</v>
      </c>
      <c r="C23" s="27" t="s">
        <v>369</v>
      </c>
      <c r="D23" s="10" t="s">
        <v>533</v>
      </c>
    </row>
    <row r="24" spans="1:4" x14ac:dyDescent="0.25">
      <c r="A24" s="29" t="s">
        <v>534</v>
      </c>
      <c r="B24" s="27">
        <v>0</v>
      </c>
      <c r="C24" s="27" t="s">
        <v>369</v>
      </c>
      <c r="D24" s="10" t="s">
        <v>535</v>
      </c>
    </row>
    <row r="25" spans="1:4" x14ac:dyDescent="0.25">
      <c r="A25" s="29" t="s">
        <v>536</v>
      </c>
      <c r="B25" s="39">
        <f>FX_usdPerLocal</f>
        <v>0.74</v>
      </c>
      <c r="C25" s="27" t="s">
        <v>369</v>
      </c>
      <c r="D25" s="10" t="s">
        <v>537</v>
      </c>
    </row>
    <row r="26" spans="1:4" x14ac:dyDescent="0.25">
      <c r="A26" s="29" t="s">
        <v>538</v>
      </c>
      <c r="B26" s="27" t="s">
        <v>539</v>
      </c>
      <c r="C26" s="27" t="s">
        <v>369</v>
      </c>
      <c r="D26" s="10" t="s">
        <v>540</v>
      </c>
    </row>
    <row r="27" spans="1:4" x14ac:dyDescent="0.25">
      <c r="A27" s="29" t="s">
        <v>541</v>
      </c>
      <c r="B27" s="27" t="s">
        <v>542</v>
      </c>
      <c r="C27" s="27" t="s">
        <v>369</v>
      </c>
      <c r="D27" s="10" t="s">
        <v>543</v>
      </c>
    </row>
    <row r="29" spans="1:4" x14ac:dyDescent="0.25">
      <c r="A29" s="80" t="s">
        <v>544</v>
      </c>
      <c r="B29" s="80"/>
      <c r="C29" s="80"/>
      <c r="D29" s="80"/>
    </row>
    <row r="30" spans="1:4" x14ac:dyDescent="0.25">
      <c r="A30" s="18" t="s">
        <v>545</v>
      </c>
      <c r="B30" s="40">
        <f>IF(FX_usdPerLocal="","",PLU_incomeMonthly*FX_usdPerLocal)</f>
        <v>5283.6</v>
      </c>
      <c r="C30" s="19" t="s">
        <v>137</v>
      </c>
      <c r="D30" s="10" t="s">
        <v>546</v>
      </c>
    </row>
    <row r="31" spans="1:4" x14ac:dyDescent="0.25">
      <c r="A31" s="18" t="s">
        <v>547</v>
      </c>
      <c r="B31" s="40">
        <f>IF(FX_usdPerLocal="","",PLU_expenseMonthly*FX_usdPerLocal)</f>
        <v>3064.4879999999998</v>
      </c>
      <c r="C31" s="19" t="s">
        <v>137</v>
      </c>
      <c r="D31" s="10" t="s">
        <v>548</v>
      </c>
    </row>
    <row r="32" spans="1:4" x14ac:dyDescent="0.25">
      <c r="A32" s="18" t="s">
        <v>549</v>
      </c>
      <c r="B32" s="40">
        <f>IF(FX_usdPerLocal="","",(PLU_cash+PLU_investments)*FX_usdPerLocal)</f>
        <v>90666.28</v>
      </c>
      <c r="C32" s="19" t="s">
        <v>137</v>
      </c>
      <c r="D32" s="10" t="s">
        <v>550</v>
      </c>
    </row>
    <row r="33" spans="1:4" x14ac:dyDescent="0.25">
      <c r="A33" s="18" t="s">
        <v>551</v>
      </c>
      <c r="B33" s="40">
        <f>IF(FX_usdPerLocal="","",PLU_liabilities*FX_usdPerLocal)</f>
        <v>63466.603200000005</v>
      </c>
      <c r="C33" s="19" t="s">
        <v>137</v>
      </c>
      <c r="D33" s="10" t="s">
        <v>552</v>
      </c>
    </row>
    <row r="34" spans="1:4" x14ac:dyDescent="0.25">
      <c r="A34" s="18" t="s">
        <v>553</v>
      </c>
      <c r="B34" s="37">
        <f>IF(B5&lt;21,1,IF(B5&lt;=30,2,IF(B5&lt;=40,3,4)))</f>
        <v>3</v>
      </c>
      <c r="C34" s="19" t="s">
        <v>137</v>
      </c>
      <c r="D34" s="10" t="s">
        <v>554</v>
      </c>
    </row>
    <row r="35" spans="1:4" x14ac:dyDescent="0.25">
      <c r="A35" s="18" t="s">
        <v>555</v>
      </c>
      <c r="B35" s="37">
        <f>IF(LOWER(B6)="male",3,IF(LOWER(B6)="female",2,0))</f>
        <v>2</v>
      </c>
      <c r="C35" s="19" t="s">
        <v>137</v>
      </c>
      <c r="D35" s="10" t="s">
        <v>556</v>
      </c>
    </row>
    <row r="36" spans="1:4" x14ac:dyDescent="0.25">
      <c r="A36" s="18" t="s">
        <v>557</v>
      </c>
      <c r="B36" s="37">
        <f>IF(B7=0,0,IF(B7=1,2,4))</f>
        <v>2</v>
      </c>
      <c r="C36" s="19" t="s">
        <v>137</v>
      </c>
      <c r="D36" s="10" t="s">
        <v>558</v>
      </c>
    </row>
    <row r="37" spans="1:4" x14ac:dyDescent="0.25">
      <c r="A37" s="18" t="s">
        <v>559</v>
      </c>
      <c r="B37" s="37">
        <f>IF(OR(ISNUMBER(SEARCH("self",B8)),ISNUMBER(SEARCH("entrepreneur",B8)),ISNUMBER(SEARCH("own business",B8)),ISNUMBER(SEARCH("freelance",B8))),2,1)</f>
        <v>1</v>
      </c>
      <c r="C37" s="19" t="s">
        <v>137</v>
      </c>
      <c r="D37" s="10" t="s">
        <v>560</v>
      </c>
    </row>
    <row r="38" spans="1:4" x14ac:dyDescent="0.25">
      <c r="A38" s="18" t="s">
        <v>561</v>
      </c>
      <c r="B38" s="37">
        <f>IF(B15=TRUE,3,1)</f>
        <v>1</v>
      </c>
      <c r="C38" s="19" t="s">
        <v>137</v>
      </c>
      <c r="D38" s="10" t="s">
        <v>562</v>
      </c>
    </row>
    <row r="39" spans="1:4" x14ac:dyDescent="0.25">
      <c r="A39" s="18" t="s">
        <v>563</v>
      </c>
      <c r="B39" s="37">
        <f>IF(B30&lt;1000,4,IF(B30&lt;2500,3,IF(B30&lt;5000,2,IF(B30&lt;10000,1,0))))</f>
        <v>1</v>
      </c>
      <c r="C39" s="19" t="s">
        <v>137</v>
      </c>
      <c r="D39" s="10" t="s">
        <v>564</v>
      </c>
    </row>
    <row r="40" spans="1:4" x14ac:dyDescent="0.25">
      <c r="A40" s="18" t="s">
        <v>565</v>
      </c>
      <c r="B40" s="37">
        <f>IF(B31&lt;600,4,IF(B31&lt;1500,3,IF(B31&lt;3000,2,IF(B31&lt;6000,1,0))))</f>
        <v>1</v>
      </c>
      <c r="C40" s="19" t="s">
        <v>137</v>
      </c>
      <c r="D40" s="10" t="s">
        <v>566</v>
      </c>
    </row>
    <row r="41" spans="1:4" x14ac:dyDescent="0.25">
      <c r="A41" s="18" t="s">
        <v>567</v>
      </c>
      <c r="B41" s="37">
        <f>IF(B32&lt;10000,4,IF(B32&lt;50000,3,IF(B32&lt;150000,2,IF(B32&lt;500000,1,0))))</f>
        <v>2</v>
      </c>
      <c r="C41" s="19" t="s">
        <v>137</v>
      </c>
      <c r="D41" s="10" t="s">
        <v>568</v>
      </c>
    </row>
    <row r="42" spans="1:4" x14ac:dyDescent="0.25">
      <c r="A42" s="18" t="s">
        <v>569</v>
      </c>
      <c r="B42" s="37">
        <f>IF(B33&lt;5000,4,IF(B33&lt;25000,3,IF(B33&lt;100000,2,IF(B33&lt;250000,1,0))))</f>
        <v>2</v>
      </c>
      <c r="C42" s="19" t="s">
        <v>137</v>
      </c>
      <c r="D42" s="10" t="s">
        <v>570</v>
      </c>
    </row>
    <row r="43" spans="1:4" x14ac:dyDescent="0.25">
      <c r="A43" s="18" t="s">
        <v>571</v>
      </c>
      <c r="B43" s="37">
        <v>1</v>
      </c>
      <c r="C43" s="19" t="s">
        <v>137</v>
      </c>
      <c r="D43" s="10" t="s">
        <v>572</v>
      </c>
    </row>
    <row r="44" spans="1:4" x14ac:dyDescent="0.25">
      <c r="A44" s="18" t="s">
        <v>573</v>
      </c>
      <c r="B44" s="37">
        <v>1</v>
      </c>
      <c r="C44" s="19" t="s">
        <v>137</v>
      </c>
      <c r="D44" s="10" t="s">
        <v>574</v>
      </c>
    </row>
    <row r="45" spans="1:4" x14ac:dyDescent="0.25">
      <c r="A45" s="18" t="s">
        <v>575</v>
      </c>
      <c r="B45" s="37">
        <f>IF(LOWER(B16)="private",4,IF(LOWER(B16)="public",2,0))</f>
        <v>4</v>
      </c>
      <c r="C45" s="19" t="s">
        <v>137</v>
      </c>
      <c r="D45" s="10" t="s">
        <v>576</v>
      </c>
    </row>
    <row r="46" spans="1:4" x14ac:dyDescent="0.25">
      <c r="A46" s="18" t="s">
        <v>577</v>
      </c>
      <c r="B46" s="37">
        <f>IF(UPPER(B17)="A",3,IF(UPPER(B17)="B",2,0))</f>
        <v>0</v>
      </c>
      <c r="C46" s="19" t="s">
        <v>137</v>
      </c>
      <c r="D46" s="10" t="s">
        <v>578</v>
      </c>
    </row>
    <row r="47" spans="1:4" x14ac:dyDescent="0.25">
      <c r="A47" s="18" t="s">
        <v>579</v>
      </c>
      <c r="B47" s="37">
        <f>IF(LOWER(B18)="frugal",1,IF(OR(LOWER(B18)="stress-free",LOWER(B18)="stress free"),2,IF(LOWER(B18)="only the best",4,0)))</f>
        <v>0</v>
      </c>
      <c r="C47" s="19" t="s">
        <v>137</v>
      </c>
      <c r="D47" s="10" t="s">
        <v>580</v>
      </c>
    </row>
    <row r="48" spans="1:4" x14ac:dyDescent="0.25">
      <c r="A48" s="18" t="s">
        <v>581</v>
      </c>
      <c r="B48" s="37">
        <f>IF(ISNUMBER(SEARCH("adventurous",B19)),4,IF(ISNUMBER(SEARCH("dont do sports",B19)),0,IF(ISNUMBER(SEARCH("life style",B19)),1,0)))</f>
        <v>0</v>
      </c>
      <c r="C48" s="19" t="s">
        <v>137</v>
      </c>
      <c r="D48" s="10" t="s">
        <v>582</v>
      </c>
    </row>
    <row r="50" spans="1:4" x14ac:dyDescent="0.25">
      <c r="A50" s="80" t="s">
        <v>583</v>
      </c>
      <c r="B50" s="80"/>
      <c r="C50" s="80"/>
      <c r="D50" s="80"/>
    </row>
    <row r="51" spans="1:4" x14ac:dyDescent="0.25">
      <c r="A51" s="18" t="s">
        <v>584</v>
      </c>
      <c r="B51" s="40">
        <f>ROUND(SUMPRODUCT($B$34:$B$48,Assumptions!B$90:B$104),2)</f>
        <v>49</v>
      </c>
      <c r="C51" s="19" t="s">
        <v>137</v>
      </c>
      <c r="D51" s="10" t="s">
        <v>585</v>
      </c>
    </row>
    <row r="52" spans="1:4" x14ac:dyDescent="0.25">
      <c r="A52" s="18" t="s">
        <v>586</v>
      </c>
      <c r="B52" s="40">
        <f>ROUND(SUMPRODUCT($B$34:$B$48,Assumptions!C$90:C$104),2)</f>
        <v>32</v>
      </c>
      <c r="C52" s="19" t="s">
        <v>137</v>
      </c>
      <c r="D52" s="10" t="s">
        <v>587</v>
      </c>
    </row>
    <row r="53" spans="1:4" x14ac:dyDescent="0.25">
      <c r="A53" s="18" t="s">
        <v>588</v>
      </c>
      <c r="B53" s="40">
        <f>ROUND(SUMPRODUCT($B$34:$B$48,Assumptions!D$90:D$104),2)</f>
        <v>26</v>
      </c>
      <c r="C53" s="19" t="s">
        <v>137</v>
      </c>
      <c r="D53" s="10" t="s">
        <v>589</v>
      </c>
    </row>
    <row r="54" spans="1:4" x14ac:dyDescent="0.25">
      <c r="A54" s="18" t="s">
        <v>590</v>
      </c>
      <c r="B54" s="40">
        <f>ROUND(SUMPRODUCT($B$34:$B$48,Assumptions!E$90:E$104),2)</f>
        <v>24</v>
      </c>
      <c r="C54" s="19" t="s">
        <v>137</v>
      </c>
      <c r="D54" s="10" t="s">
        <v>591</v>
      </c>
    </row>
    <row r="55" spans="1:4" x14ac:dyDescent="0.25">
      <c r="A55" s="18" t="s">
        <v>592</v>
      </c>
      <c r="B55" s="40">
        <f>ROUND(SUMPRODUCT($B$34:$B$48,Assumptions!F$90:F$104),2)</f>
        <v>0</v>
      </c>
      <c r="C55" s="19" t="s">
        <v>137</v>
      </c>
      <c r="D55" s="10" t="s">
        <v>593</v>
      </c>
    </row>
    <row r="56" spans="1:4" x14ac:dyDescent="0.25">
      <c r="A56" s="18" t="s">
        <v>594</v>
      </c>
      <c r="B56" s="40">
        <f>ROUND(SUMPRODUCT($B$34:$B$48,Assumptions!G$90:G$104),2)</f>
        <v>40</v>
      </c>
      <c r="C56" s="19" t="s">
        <v>137</v>
      </c>
      <c r="D56" s="10" t="s">
        <v>595</v>
      </c>
    </row>
    <row r="57" spans="1:4" x14ac:dyDescent="0.25">
      <c r="A57" s="18" t="s">
        <v>596</v>
      </c>
      <c r="B57" s="40">
        <f>ROUND(SUMPRODUCT($B$34:$B$48,Assumptions!H$90:H$104),2)</f>
        <v>31</v>
      </c>
      <c r="C57" s="19" t="s">
        <v>137</v>
      </c>
      <c r="D57" s="10" t="s">
        <v>597</v>
      </c>
    </row>
    <row r="58" spans="1:4" x14ac:dyDescent="0.25">
      <c r="A58" s="18" t="s">
        <v>598</v>
      </c>
      <c r="B58" s="40">
        <f>ROUND(SUMPRODUCT($B$34:$B$48,Assumptions!I$90:I$104),2)</f>
        <v>25</v>
      </c>
      <c r="C58" s="19" t="s">
        <v>137</v>
      </c>
      <c r="D58" s="10" t="s">
        <v>599</v>
      </c>
    </row>
    <row r="59" spans="1:4" x14ac:dyDescent="0.25">
      <c r="A59" s="18" t="s">
        <v>600</v>
      </c>
      <c r="B59" s="40">
        <f>ROUND(SUMPRODUCT($B$34:$B$48,Assumptions!J$90:J$104),2)</f>
        <v>0</v>
      </c>
      <c r="C59" s="19" t="s">
        <v>137</v>
      </c>
      <c r="D59" s="10" t="s">
        <v>601</v>
      </c>
    </row>
    <row r="60" spans="1:4" x14ac:dyDescent="0.25">
      <c r="A60" s="18" t="s">
        <v>602</v>
      </c>
      <c r="B60" s="40">
        <f>ROUND(SUMPRODUCT($B$34:$B$48,Assumptions!K$90:K$104),2)</f>
        <v>32</v>
      </c>
      <c r="C60" s="19" t="s">
        <v>137</v>
      </c>
      <c r="D60" s="10" t="s">
        <v>603</v>
      </c>
    </row>
    <row r="61" spans="1:4" x14ac:dyDescent="0.25">
      <c r="A61" s="18" t="s">
        <v>604</v>
      </c>
      <c r="B61" s="40">
        <f>ROUND(SUMPRODUCT($B$34:$B$48,Assumptions!L$90:L$104),2)</f>
        <v>26</v>
      </c>
      <c r="C61" s="19" t="s">
        <v>137</v>
      </c>
      <c r="D61" s="10" t="s">
        <v>605</v>
      </c>
    </row>
    <row r="62" spans="1:4" x14ac:dyDescent="0.25">
      <c r="A62" s="18" t="s">
        <v>606</v>
      </c>
      <c r="B62" s="40">
        <f>ROUND(SUMPRODUCT($B$34:$B$48,Assumptions!M$90:M$104),2)</f>
        <v>27</v>
      </c>
      <c r="C62" s="19" t="s">
        <v>137</v>
      </c>
      <c r="D62" s="10" t="s">
        <v>607</v>
      </c>
    </row>
    <row r="63" spans="1:4" x14ac:dyDescent="0.25">
      <c r="A63" s="18" t="s">
        <v>608</v>
      </c>
      <c r="B63" s="40">
        <f>MIN(B51:B62)</f>
        <v>0</v>
      </c>
      <c r="C63" s="19" t="s">
        <v>137</v>
      </c>
      <c r="D63" s="10" t="s">
        <v>609</v>
      </c>
    </row>
    <row r="64" spans="1:4" x14ac:dyDescent="0.25">
      <c r="A64" s="18" t="s">
        <v>610</v>
      </c>
      <c r="B64" s="40">
        <f>MAX(B51:B62)</f>
        <v>49</v>
      </c>
      <c r="C64" s="19" t="s">
        <v>137</v>
      </c>
      <c r="D64" s="10" t="s">
        <v>611</v>
      </c>
    </row>
    <row r="65" spans="1:4" x14ac:dyDescent="0.25">
      <c r="A65" s="18" t="s">
        <v>612</v>
      </c>
      <c r="B65" s="41">
        <f>ROUND(((B51-B63)/IF(B64&gt;B63,B64-B63,1))*10,1)</f>
        <v>10</v>
      </c>
      <c r="C65" s="19" t="s">
        <v>137</v>
      </c>
      <c r="D65" s="10" t="s">
        <v>613</v>
      </c>
    </row>
    <row r="66" spans="1:4" x14ac:dyDescent="0.25">
      <c r="A66" s="18" t="s">
        <v>614</v>
      </c>
      <c r="B66" s="41">
        <f>ROUND(((B52-B63)/IF(B64&gt;B63,B64-B63,1))*10,1)</f>
        <v>6.5</v>
      </c>
      <c r="C66" s="19" t="s">
        <v>137</v>
      </c>
      <c r="D66" s="10" t="s">
        <v>613</v>
      </c>
    </row>
    <row r="67" spans="1:4" x14ac:dyDescent="0.25">
      <c r="A67" s="18" t="s">
        <v>615</v>
      </c>
      <c r="B67" s="41">
        <f>ROUND(((B53-B63)/IF(B64&gt;B63,B64-B63,1))*10,1)</f>
        <v>5.3</v>
      </c>
      <c r="C67" s="19" t="s">
        <v>137</v>
      </c>
      <c r="D67" s="10" t="s">
        <v>613</v>
      </c>
    </row>
    <row r="68" spans="1:4" x14ac:dyDescent="0.25">
      <c r="A68" s="18" t="s">
        <v>616</v>
      </c>
      <c r="B68" s="41">
        <f>ROUND(((B54-B63)/IF(B64&gt;B63,B64-B63,1))*10,1)</f>
        <v>4.9000000000000004</v>
      </c>
      <c r="C68" s="19" t="s">
        <v>137</v>
      </c>
      <c r="D68" s="10" t="s">
        <v>613</v>
      </c>
    </row>
    <row r="69" spans="1:4" x14ac:dyDescent="0.25">
      <c r="A69" s="18" t="s">
        <v>617</v>
      </c>
      <c r="B69" s="41">
        <f>ROUND(((B55-B63)/IF(B64&gt;B63,B64-B63,1))*10,1)</f>
        <v>0</v>
      </c>
      <c r="C69" s="19" t="s">
        <v>137</v>
      </c>
      <c r="D69" s="10" t="s">
        <v>613</v>
      </c>
    </row>
    <row r="70" spans="1:4" x14ac:dyDescent="0.25">
      <c r="A70" s="18" t="s">
        <v>618</v>
      </c>
      <c r="B70" s="41">
        <f>ROUND(((B56-B63)/IF(B64&gt;B63,B64-B63,1))*10,1)</f>
        <v>8.1999999999999993</v>
      </c>
      <c r="C70" s="19" t="s">
        <v>137</v>
      </c>
      <c r="D70" s="10" t="s">
        <v>613</v>
      </c>
    </row>
    <row r="71" spans="1:4" x14ac:dyDescent="0.25">
      <c r="A71" s="18" t="s">
        <v>619</v>
      </c>
      <c r="B71" s="41">
        <f>ROUND(((B57-B63)/IF(B64&gt;B63,B64-B63,1))*10,1)</f>
        <v>6.3</v>
      </c>
      <c r="C71" s="19" t="s">
        <v>137</v>
      </c>
      <c r="D71" s="10" t="s">
        <v>613</v>
      </c>
    </row>
    <row r="72" spans="1:4" x14ac:dyDescent="0.25">
      <c r="A72" s="18" t="s">
        <v>620</v>
      </c>
      <c r="B72" s="41">
        <f>ROUND(((B58-B63)/IF(B64&gt;B63,B64-B63,1))*10,1)</f>
        <v>5.0999999999999996</v>
      </c>
      <c r="C72" s="19" t="s">
        <v>137</v>
      </c>
      <c r="D72" s="10" t="s">
        <v>613</v>
      </c>
    </row>
    <row r="73" spans="1:4" x14ac:dyDescent="0.25">
      <c r="A73" s="18" t="s">
        <v>621</v>
      </c>
      <c r="B73" s="41">
        <f>ROUND(((B59-B63)/IF(B64&gt;B63,B64-B63,1))*10,1)</f>
        <v>0</v>
      </c>
      <c r="C73" s="19" t="s">
        <v>137</v>
      </c>
      <c r="D73" s="10" t="s">
        <v>613</v>
      </c>
    </row>
    <row r="74" spans="1:4" x14ac:dyDescent="0.25">
      <c r="A74" s="18" t="s">
        <v>622</v>
      </c>
      <c r="B74" s="41">
        <f>ROUND(((B60-B63)/IF(B64&gt;B63,B64-B63,1))*10,1)</f>
        <v>6.5</v>
      </c>
      <c r="C74" s="19" t="s">
        <v>137</v>
      </c>
      <c r="D74" s="10" t="s">
        <v>613</v>
      </c>
    </row>
    <row r="75" spans="1:4" x14ac:dyDescent="0.25">
      <c r="A75" s="18" t="s">
        <v>623</v>
      </c>
      <c r="B75" s="41">
        <f>ROUND(((B61-B63)/IF(B64&gt;B63,B64-B63,1))*10,1)</f>
        <v>5.3</v>
      </c>
      <c r="C75" s="19" t="s">
        <v>137</v>
      </c>
      <c r="D75" s="10" t="s">
        <v>613</v>
      </c>
    </row>
    <row r="76" spans="1:4" x14ac:dyDescent="0.25">
      <c r="A76" s="18" t="s">
        <v>624</v>
      </c>
      <c r="B76" s="41">
        <f>ROUND(((B62-B63)/IF(B64&gt;B63,B64-B63,1))*10,1)</f>
        <v>5.5</v>
      </c>
      <c r="C76" s="19" t="s">
        <v>137</v>
      </c>
      <c r="D76" s="10" t="s">
        <v>613</v>
      </c>
    </row>
    <row r="78" spans="1:4" x14ac:dyDescent="0.25">
      <c r="A78" s="18" t="s">
        <v>625</v>
      </c>
      <c r="B78" s="42">
        <f>B65+0.004</f>
        <v>10.004</v>
      </c>
      <c r="C78" s="19" t="s">
        <v>137</v>
      </c>
      <c r="D78" s="10" t="s">
        <v>626</v>
      </c>
    </row>
    <row r="79" spans="1:4" x14ac:dyDescent="0.25">
      <c r="A79" s="18" t="s">
        <v>627</v>
      </c>
      <c r="B79" s="42">
        <f>B66+0.003</f>
        <v>6.5030000000000001</v>
      </c>
      <c r="C79" s="19" t="s">
        <v>137</v>
      </c>
      <c r="D79" s="10" t="s">
        <v>628</v>
      </c>
    </row>
    <row r="80" spans="1:4" x14ac:dyDescent="0.25">
      <c r="A80" s="18" t="s">
        <v>629</v>
      </c>
      <c r="B80" s="42">
        <f>B67+0.002</f>
        <v>5.3019999999999996</v>
      </c>
      <c r="C80" s="19" t="s">
        <v>137</v>
      </c>
      <c r="D80" s="10" t="s">
        <v>630</v>
      </c>
    </row>
    <row r="81" spans="1:5" x14ac:dyDescent="0.25">
      <c r="A81" s="18" t="s">
        <v>631</v>
      </c>
      <c r="B81" s="42">
        <f>B70+0.001</f>
        <v>8.2009999999999987</v>
      </c>
      <c r="C81" s="19" t="s">
        <v>137</v>
      </c>
      <c r="D81" s="10" t="s">
        <v>632</v>
      </c>
    </row>
    <row r="82" spans="1:5" x14ac:dyDescent="0.25">
      <c r="A82" s="18" t="s">
        <v>633</v>
      </c>
      <c r="B82" s="19" t="str">
        <f>IF(B78=MAX(B78,B79,B80,B81),"N_INC",IF(B79=MAX(B78,B79,B80,B81),"N_CRI",IF(B80=MAX(B78,B79,B80,B81),"N_TPD","N_HOS")))</f>
        <v>N_INC</v>
      </c>
      <c r="C82" s="19" t="s">
        <v>137</v>
      </c>
      <c r="D82" s="10" t="s">
        <v>634</v>
      </c>
    </row>
    <row r="83" spans="1:5" x14ac:dyDescent="0.25">
      <c r="A83" s="18" t="s">
        <v>635</v>
      </c>
      <c r="B83" s="42">
        <f>IF(B82="N_INC",-1,B65+0.004)</f>
        <v>-1</v>
      </c>
      <c r="C83" s="19" t="s">
        <v>137</v>
      </c>
      <c r="D83" s="10" t="s">
        <v>636</v>
      </c>
    </row>
    <row r="84" spans="1:5" x14ac:dyDescent="0.25">
      <c r="A84" s="18" t="s">
        <v>637</v>
      </c>
      <c r="B84" s="42">
        <f>IF(B82="N_CRI",-1,B66+0.003)</f>
        <v>6.5030000000000001</v>
      </c>
      <c r="C84" s="19" t="s">
        <v>137</v>
      </c>
      <c r="D84" s="10"/>
    </row>
    <row r="85" spans="1:5" x14ac:dyDescent="0.25">
      <c r="A85" s="18" t="s">
        <v>638</v>
      </c>
      <c r="B85" s="42">
        <f>IF(B82="N_TPD",-1,B67+0.002)</f>
        <v>5.3019999999999996</v>
      </c>
      <c r="C85" s="19" t="s">
        <v>137</v>
      </c>
      <c r="D85" s="10"/>
    </row>
    <row r="86" spans="1:5" x14ac:dyDescent="0.25">
      <c r="A86" s="18" t="s">
        <v>639</v>
      </c>
      <c r="B86" s="42">
        <f>IF(B82="N_HOS",-1,B70+0.001)</f>
        <v>8.2009999999999987</v>
      </c>
      <c r="C86" s="19" t="s">
        <v>137</v>
      </c>
      <c r="D86" s="10"/>
    </row>
    <row r="87" spans="1:5" x14ac:dyDescent="0.25">
      <c r="A87" s="18" t="s">
        <v>640</v>
      </c>
      <c r="B87" s="19" t="str">
        <f>IF(B83=MAX(B83,B84,B85,B86),"N_INC",IF(B84=MAX(B83,B84,B85,B86),"N_CRI",IF(B85=MAX(B83,B84,B85,B86),"N_TPD","N_HOS")))</f>
        <v>N_HOS</v>
      </c>
      <c r="C87" s="19" t="s">
        <v>137</v>
      </c>
      <c r="D87" s="10" t="s">
        <v>641</v>
      </c>
    </row>
    <row r="88" spans="1:5" x14ac:dyDescent="0.25">
      <c r="A88" s="18" t="s">
        <v>642</v>
      </c>
      <c r="B88" s="42">
        <f>B69+0.003</f>
        <v>3.0000000000000001E-3</v>
      </c>
      <c r="C88" s="19" t="s">
        <v>137</v>
      </c>
      <c r="D88" s="10" t="s">
        <v>643</v>
      </c>
    </row>
    <row r="89" spans="1:5" x14ac:dyDescent="0.25">
      <c r="A89" s="18" t="s">
        <v>644</v>
      </c>
      <c r="B89" s="42">
        <f>B71+0.002</f>
        <v>6.3019999999999996</v>
      </c>
      <c r="C89" s="19" t="s">
        <v>137</v>
      </c>
      <c r="D89" s="10" t="s">
        <v>645</v>
      </c>
    </row>
    <row r="90" spans="1:5" x14ac:dyDescent="0.25">
      <c r="A90" s="18" t="s">
        <v>646</v>
      </c>
      <c r="B90" s="42">
        <f>B75+0.001</f>
        <v>5.3010000000000002</v>
      </c>
      <c r="C90" s="19" t="s">
        <v>137</v>
      </c>
      <c r="D90" s="10" t="s">
        <v>647</v>
      </c>
    </row>
    <row r="91" spans="1:5" x14ac:dyDescent="0.25">
      <c r="A91" s="18" t="s">
        <v>648</v>
      </c>
      <c r="B91" s="19" t="str">
        <f>IF(B88=MAX(B88,B89,B90),"N_EDU",IF(B89=MAX(B88,B89,B90),"N_SAV","N_PRP"))</f>
        <v>N_SAV</v>
      </c>
      <c r="C91" s="19" t="s">
        <v>137</v>
      </c>
      <c r="D91" s="10" t="s">
        <v>649</v>
      </c>
    </row>
    <row r="92" spans="1:5" x14ac:dyDescent="0.25">
      <c r="A92" s="18" t="s">
        <v>650</v>
      </c>
      <c r="B92" s="19" t="str">
        <f>IF(AND(B20=TRUE,B91="N_SAV"),"N_PRP",IF(AND(B20=FALSE,B91="N_PRP"),"N_SAV",B91))</f>
        <v>N_PRP</v>
      </c>
      <c r="C92" s="19" t="s">
        <v>137</v>
      </c>
      <c r="D92" s="10" t="s">
        <v>651</v>
      </c>
    </row>
    <row r="94" spans="1:5" x14ac:dyDescent="0.25">
      <c r="A94" s="80" t="s">
        <v>652</v>
      </c>
      <c r="B94" s="80"/>
      <c r="C94" s="80"/>
      <c r="D94" s="80"/>
    </row>
    <row r="95" spans="1:5" x14ac:dyDescent="0.25">
      <c r="A95" s="2" t="s">
        <v>653</v>
      </c>
      <c r="B95" s="8" t="s">
        <v>654</v>
      </c>
      <c r="C95" s="13" t="s">
        <v>655</v>
      </c>
      <c r="D95" s="8" t="s">
        <v>656</v>
      </c>
      <c r="E95" s="8" t="s">
        <v>657</v>
      </c>
    </row>
    <row r="96" spans="1:5" x14ac:dyDescent="0.25">
      <c r="A96" s="8" t="s">
        <v>658</v>
      </c>
      <c r="B96" s="19" t="b">
        <f>OR($B$82="N_INC",$B$87="N_INC")</f>
        <v>1</v>
      </c>
      <c r="C96" s="33"/>
      <c r="D96" s="19" t="b">
        <f t="shared" ref="D96:D103" si="0">IF(C96="",B96,C96)</f>
        <v>1</v>
      </c>
      <c r="E96" s="19">
        <f>IF(B65&gt;7,5,3)</f>
        <v>5</v>
      </c>
    </row>
    <row r="97" spans="1:5" x14ac:dyDescent="0.25">
      <c r="A97" s="8" t="s">
        <v>659</v>
      </c>
      <c r="B97" s="19" t="b">
        <f>OR($B$82="N_CRI",$B$87="N_CRI")</f>
        <v>0</v>
      </c>
      <c r="C97" s="33"/>
      <c r="D97" s="19" t="b">
        <f t="shared" si="0"/>
        <v>0</v>
      </c>
      <c r="E97" s="19">
        <f>IF(B66&gt;7,5,3)</f>
        <v>3</v>
      </c>
    </row>
    <row r="98" spans="1:5" x14ac:dyDescent="0.25">
      <c r="A98" s="8" t="s">
        <v>660</v>
      </c>
      <c r="B98" s="19" t="b">
        <f>OR($B$82="N_TPD",$B$87="N_TPD")</f>
        <v>0</v>
      </c>
      <c r="C98" s="33"/>
      <c r="D98" s="19" t="b">
        <f t="shared" si="0"/>
        <v>0</v>
      </c>
      <c r="E98" s="19">
        <f>IF(B67&gt;7,5,3)</f>
        <v>3</v>
      </c>
    </row>
    <row r="99" spans="1:5" x14ac:dyDescent="0.25">
      <c r="A99" s="8" t="s">
        <v>661</v>
      </c>
      <c r="B99" s="19" t="b">
        <f>OR($B$82="N_HOS",$B$87="N_HOS")</f>
        <v>1</v>
      </c>
      <c r="C99" s="33"/>
      <c r="D99" s="19" t="b">
        <f t="shared" si="0"/>
        <v>1</v>
      </c>
      <c r="E99" s="19">
        <f>IF(B70&gt;7,5,3)</f>
        <v>5</v>
      </c>
    </row>
    <row r="100" spans="1:5" x14ac:dyDescent="0.25">
      <c r="A100" s="8" t="s">
        <v>662</v>
      </c>
      <c r="B100" s="19" t="s">
        <v>663</v>
      </c>
      <c r="C100" s="33"/>
      <c r="D100" s="19" t="str">
        <f t="shared" si="0"/>
        <v>TRUE</v>
      </c>
      <c r="E100" s="19">
        <f>IF(B68&gt;7,5,3)</f>
        <v>3</v>
      </c>
    </row>
    <row r="101" spans="1:5" x14ac:dyDescent="0.25">
      <c r="A101" s="8" t="s">
        <v>664</v>
      </c>
      <c r="B101" s="19" t="b">
        <f>$B$92="N_EDU"</f>
        <v>0</v>
      </c>
      <c r="C101" s="33"/>
      <c r="D101" s="19" t="b">
        <f t="shared" si="0"/>
        <v>0</v>
      </c>
      <c r="E101" s="19">
        <f>IF(B69&gt;7,5,3)</f>
        <v>3</v>
      </c>
    </row>
    <row r="102" spans="1:5" x14ac:dyDescent="0.25">
      <c r="A102" s="8" t="s">
        <v>665</v>
      </c>
      <c r="B102" s="19" t="b">
        <f>$B$92="N_SAV"</f>
        <v>0</v>
      </c>
      <c r="C102" s="33"/>
      <c r="D102" s="19" t="b">
        <f t="shared" si="0"/>
        <v>0</v>
      </c>
      <c r="E102" s="19">
        <f>IF(B71&gt;7,5,3)</f>
        <v>3</v>
      </c>
    </row>
    <row r="103" spans="1:5" x14ac:dyDescent="0.25">
      <c r="A103" s="8" t="s">
        <v>666</v>
      </c>
      <c r="B103" s="19" t="b">
        <f>$B$92="N_PRP"</f>
        <v>1</v>
      </c>
      <c r="C103" s="33"/>
      <c r="D103" s="19" t="b">
        <f t="shared" si="0"/>
        <v>1</v>
      </c>
      <c r="E103" s="19">
        <f>IF(B75&gt;7,5,3)</f>
        <v>3</v>
      </c>
    </row>
  </sheetData>
  <mergeCells count="7">
    <mergeCell ref="A1:D1"/>
    <mergeCell ref="A94:D94"/>
    <mergeCell ref="A22:D22"/>
    <mergeCell ref="A50:D50"/>
    <mergeCell ref="A4:D4"/>
    <mergeCell ref="A29:D29"/>
    <mergeCell ref="A14:D14"/>
  </mergeCells>
  <dataValidations count="1">
    <dataValidation type="list" allowBlank="1" sqref="C96:C103" xr:uid="{00000000-0002-0000-0500-000000000000}">
      <formula1>"TRUE,FALSE,"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5C26"/>
  </sheetPr>
  <dimension ref="A1:J78"/>
  <sheetViews>
    <sheetView topLeftCell="C1" workbookViewId="0">
      <pane ySplit="3" topLeftCell="A44" activePane="bottomLeft" state="frozen"/>
      <selection pane="bottomLeft" activeCell="I71" sqref="I71"/>
    </sheetView>
  </sheetViews>
  <sheetFormatPr defaultRowHeight="15" x14ac:dyDescent="0.25"/>
  <cols>
    <col min="1" max="1" width="36" customWidth="1"/>
    <col min="2" max="2" width="22" customWidth="1"/>
    <col min="3" max="3" width="34" customWidth="1"/>
    <col min="4" max="4" width="78" customWidth="1"/>
    <col min="5" max="5" width="12" customWidth="1"/>
    <col min="6" max="6" width="16" customWidth="1"/>
    <col min="7" max="7" width="56" customWidth="1"/>
    <col min="8" max="10" width="16" customWidth="1"/>
  </cols>
  <sheetData>
    <row r="1" spans="1:6" ht="27.95" customHeight="1" x14ac:dyDescent="0.25">
      <c r="A1" s="77" t="s">
        <v>667</v>
      </c>
      <c r="B1" s="74"/>
      <c r="C1" s="74"/>
      <c r="D1" s="74"/>
    </row>
    <row r="2" spans="1:6" x14ac:dyDescent="0.25">
      <c r="A2" s="4" t="s">
        <v>83</v>
      </c>
      <c r="B2" s="5" t="str">
        <f>SelectedPersona</f>
        <v>P03</v>
      </c>
      <c r="C2" s="6" t="str">
        <f>IFERROR(INDEX(Personas!B$3:B$52,MATCH($B$2,Personas!$A$3:$A$52,0)),"")</f>
        <v>Daniel Koh</v>
      </c>
      <c r="D2" s="1" t="s">
        <v>352</v>
      </c>
      <c r="F2" s="4" t="s">
        <v>86</v>
      </c>
    </row>
    <row r="3" spans="1:6" ht="25.5" x14ac:dyDescent="0.25">
      <c r="A3" s="2" t="s">
        <v>87</v>
      </c>
      <c r="B3" s="2" t="s">
        <v>88</v>
      </c>
      <c r="C3" s="2" t="s">
        <v>89</v>
      </c>
      <c r="D3" s="2" t="s">
        <v>90</v>
      </c>
      <c r="F3" s="7" t="s">
        <v>91</v>
      </c>
    </row>
    <row r="4" spans="1:6" ht="38.25" x14ac:dyDescent="0.25">
      <c r="A4" s="79" t="s">
        <v>668</v>
      </c>
      <c r="B4" s="79"/>
      <c r="C4" s="79"/>
      <c r="D4" s="79"/>
      <c r="F4" s="8" t="s">
        <v>93</v>
      </c>
    </row>
    <row r="5" spans="1:6" ht="25.5" x14ac:dyDescent="0.25">
      <c r="A5" s="9" t="s">
        <v>98</v>
      </c>
      <c r="B5" s="12">
        <f>IFERROR(INDEX(Personas!C$3:C$52,MATCH($B$2,Personas!$A$3:$A$52,0)),"")</f>
        <v>34</v>
      </c>
      <c r="C5" s="5" t="s">
        <v>95</v>
      </c>
      <c r="D5" s="10" t="s">
        <v>99</v>
      </c>
      <c r="F5" s="11" t="s">
        <v>97</v>
      </c>
    </row>
    <row r="6" spans="1:6" ht="38.25" x14ac:dyDescent="0.25">
      <c r="A6" s="9" t="s">
        <v>518</v>
      </c>
      <c r="B6" s="28">
        <f>PLU_incomeMonthly</f>
        <v>7140</v>
      </c>
      <c r="C6" s="5" t="s">
        <v>95</v>
      </c>
      <c r="D6" s="10" t="s">
        <v>669</v>
      </c>
      <c r="F6" s="13" t="s">
        <v>100</v>
      </c>
    </row>
    <row r="7" spans="1:6" x14ac:dyDescent="0.25">
      <c r="A7" s="9" t="s">
        <v>520</v>
      </c>
      <c r="B7" s="28">
        <f>PLU_expenseMonthly</f>
        <v>4141.2</v>
      </c>
      <c r="C7" s="5" t="s">
        <v>95</v>
      </c>
      <c r="D7" s="10" t="s">
        <v>670</v>
      </c>
    </row>
    <row r="8" spans="1:6" x14ac:dyDescent="0.25">
      <c r="A8" s="9" t="s">
        <v>671</v>
      </c>
      <c r="B8" s="38">
        <f>PLU_mortgage</f>
        <v>192500</v>
      </c>
      <c r="C8" s="5" t="s">
        <v>95</v>
      </c>
      <c r="D8" s="10" t="s">
        <v>672</v>
      </c>
    </row>
    <row r="9" spans="1:6" x14ac:dyDescent="0.25">
      <c r="A9" s="9" t="s">
        <v>673</v>
      </c>
      <c r="B9" s="38">
        <f>PLU_lifeSum</f>
        <v>428400</v>
      </c>
      <c r="C9" s="5" t="s">
        <v>95</v>
      </c>
      <c r="D9" s="10" t="s">
        <v>674</v>
      </c>
    </row>
    <row r="10" spans="1:6" x14ac:dyDescent="0.25">
      <c r="A10" s="9" t="s">
        <v>675</v>
      </c>
      <c r="B10" s="38">
        <f>PLU_investments</f>
        <v>104144</v>
      </c>
      <c r="C10" s="5" t="s">
        <v>95</v>
      </c>
      <c r="D10" s="10" t="s">
        <v>676</v>
      </c>
    </row>
    <row r="11" spans="1:6" x14ac:dyDescent="0.25">
      <c r="A11" s="9" t="s">
        <v>677</v>
      </c>
      <c r="B11" s="12">
        <f>PLU_leUsed</f>
        <v>88</v>
      </c>
      <c r="C11" s="5" t="s">
        <v>95</v>
      </c>
      <c r="D11" s="10" t="s">
        <v>678</v>
      </c>
    </row>
    <row r="13" spans="1:6" x14ac:dyDescent="0.25">
      <c r="A13" s="82" t="s">
        <v>679</v>
      </c>
      <c r="B13" s="82"/>
      <c r="C13" s="82"/>
      <c r="D13" s="82"/>
    </row>
    <row r="14" spans="1:6" x14ac:dyDescent="0.25">
      <c r="A14" s="32" t="s">
        <v>680</v>
      </c>
      <c r="B14" s="43">
        <v>2</v>
      </c>
      <c r="C14" s="33" t="s">
        <v>387</v>
      </c>
      <c r="D14" s="10" t="s">
        <v>681</v>
      </c>
    </row>
    <row r="15" spans="1:6" x14ac:dyDescent="0.25">
      <c r="A15" s="32" t="s">
        <v>682</v>
      </c>
      <c r="B15" s="43">
        <f>ageOfRetirement</f>
        <v>65</v>
      </c>
      <c r="C15" s="33" t="s">
        <v>387</v>
      </c>
      <c r="D15" s="10" t="s">
        <v>683</v>
      </c>
    </row>
    <row r="16" spans="1:6" x14ac:dyDescent="0.25">
      <c r="A16" s="32" t="s">
        <v>684</v>
      </c>
      <c r="B16" s="43">
        <f>currentYear+eduYearsDefault</f>
        <v>2036</v>
      </c>
      <c r="C16" s="33" t="s">
        <v>387</v>
      </c>
      <c r="D16" s="10" t="s">
        <v>685</v>
      </c>
    </row>
    <row r="17" spans="1:4" x14ac:dyDescent="0.25">
      <c r="A17" s="32" t="s">
        <v>686</v>
      </c>
      <c r="B17" s="25">
        <v>0</v>
      </c>
      <c r="C17" s="33" t="s">
        <v>387</v>
      </c>
      <c r="D17" s="10" t="s">
        <v>672</v>
      </c>
    </row>
    <row r="18" spans="1:4" x14ac:dyDescent="0.25">
      <c r="A18" s="32" t="s">
        <v>687</v>
      </c>
      <c r="B18" s="33"/>
      <c r="C18" s="33" t="s">
        <v>387</v>
      </c>
      <c r="D18" s="10" t="s">
        <v>688</v>
      </c>
    </row>
    <row r="19" spans="1:4" x14ac:dyDescent="0.25">
      <c r="A19" s="32" t="s">
        <v>689</v>
      </c>
      <c r="B19" s="25"/>
      <c r="C19" s="33" t="s">
        <v>387</v>
      </c>
      <c r="D19" s="10" t="s">
        <v>690</v>
      </c>
    </row>
    <row r="20" spans="1:4" x14ac:dyDescent="0.25">
      <c r="A20" s="32" t="s">
        <v>691</v>
      </c>
      <c r="B20" s="25">
        <v>0</v>
      </c>
      <c r="C20" s="33" t="s">
        <v>387</v>
      </c>
      <c r="D20" s="10" t="s">
        <v>692</v>
      </c>
    </row>
    <row r="21" spans="1:4" x14ac:dyDescent="0.25">
      <c r="A21" s="32" t="s">
        <v>693</v>
      </c>
      <c r="B21" s="25">
        <v>0</v>
      </c>
      <c r="C21" s="33" t="s">
        <v>387</v>
      </c>
      <c r="D21" s="10" t="s">
        <v>694</v>
      </c>
    </row>
    <row r="22" spans="1:4" x14ac:dyDescent="0.25">
      <c r="A22" s="32" t="s">
        <v>695</v>
      </c>
      <c r="B22" s="25">
        <v>0</v>
      </c>
      <c r="C22" s="33" t="s">
        <v>387</v>
      </c>
      <c r="D22" s="10" t="s">
        <v>696</v>
      </c>
    </row>
    <row r="23" spans="1:4" x14ac:dyDescent="0.25">
      <c r="A23" s="32" t="s">
        <v>697</v>
      </c>
      <c r="B23" s="25">
        <v>0</v>
      </c>
      <c r="C23" s="33" t="s">
        <v>387</v>
      </c>
      <c r="D23" s="10" t="s">
        <v>698</v>
      </c>
    </row>
    <row r="24" spans="1:4" x14ac:dyDescent="0.25">
      <c r="A24" s="32" t="s">
        <v>699</v>
      </c>
      <c r="B24" s="25">
        <v>0</v>
      </c>
      <c r="C24" s="33" t="s">
        <v>387</v>
      </c>
      <c r="D24" s="10" t="s">
        <v>700</v>
      </c>
    </row>
    <row r="25" spans="1:4" x14ac:dyDescent="0.25">
      <c r="A25" s="32" t="s">
        <v>701</v>
      </c>
      <c r="B25" s="25">
        <v>0</v>
      </c>
      <c r="C25" s="33" t="s">
        <v>387</v>
      </c>
      <c r="D25" s="10" t="s">
        <v>702</v>
      </c>
    </row>
    <row r="27" spans="1:4" x14ac:dyDescent="0.25">
      <c r="A27" s="81" t="s">
        <v>703</v>
      </c>
      <c r="B27" s="81"/>
      <c r="C27" s="81"/>
      <c r="D27" s="81"/>
    </row>
    <row r="28" spans="1:4" x14ac:dyDescent="0.25">
      <c r="A28" s="29" t="s">
        <v>704</v>
      </c>
      <c r="B28" s="39">
        <f>FX_usdPerLocal</f>
        <v>0.74</v>
      </c>
      <c r="C28" s="27" t="s">
        <v>369</v>
      </c>
      <c r="D28" s="10" t="s">
        <v>705</v>
      </c>
    </row>
    <row r="29" spans="1:4" x14ac:dyDescent="0.25">
      <c r="A29" s="29" t="s">
        <v>706</v>
      </c>
      <c r="B29" s="44">
        <f>FX_priceLevel</f>
        <v>1</v>
      </c>
      <c r="C29" s="27" t="s">
        <v>369</v>
      </c>
      <c r="D29" s="10" t="s">
        <v>707</v>
      </c>
    </row>
    <row r="30" spans="1:4" x14ac:dyDescent="0.25">
      <c r="A30" s="18" t="s">
        <v>708</v>
      </c>
      <c r="B30" s="20">
        <f>PLU_incomeMonthly*B28</f>
        <v>5283.6</v>
      </c>
      <c r="C30" s="19" t="s">
        <v>137</v>
      </c>
      <c r="D30" s="10"/>
    </row>
    <row r="31" spans="1:4" x14ac:dyDescent="0.25">
      <c r="A31" s="18" t="s">
        <v>709</v>
      </c>
      <c r="B31" s="20">
        <f>PLU_expenseMonthly*B28</f>
        <v>3064.4879999999998</v>
      </c>
      <c r="C31" s="19" t="s">
        <v>137</v>
      </c>
      <c r="D31" s="10"/>
    </row>
    <row r="32" spans="1:4" x14ac:dyDescent="0.25">
      <c r="A32" s="18" t="s">
        <v>710</v>
      </c>
      <c r="B32" s="20">
        <f>PLU_mortgage*B28</f>
        <v>142450</v>
      </c>
      <c r="C32" s="19" t="s">
        <v>137</v>
      </c>
      <c r="D32" s="10"/>
    </row>
    <row r="33" spans="1:4" x14ac:dyDescent="0.25">
      <c r="A33" s="18" t="s">
        <v>711</v>
      </c>
      <c r="B33" s="20">
        <f>PLU_lifeSum*B28</f>
        <v>317016</v>
      </c>
      <c r="C33" s="19" t="s">
        <v>137</v>
      </c>
      <c r="D33" s="10"/>
    </row>
    <row r="34" spans="1:4" x14ac:dyDescent="0.25">
      <c r="A34" s="18" t="s">
        <v>712</v>
      </c>
      <c r="B34" s="20">
        <f>PLU_investments*B28</f>
        <v>77066.559999999998</v>
      </c>
      <c r="C34" s="19" t="s">
        <v>137</v>
      </c>
      <c r="D34" s="10"/>
    </row>
    <row r="35" spans="1:4" x14ac:dyDescent="0.25">
      <c r="A35" s="18" t="s">
        <v>713</v>
      </c>
      <c r="B35" s="20">
        <f>B17*B28</f>
        <v>0</v>
      </c>
      <c r="C35" s="19" t="s">
        <v>137</v>
      </c>
      <c r="D35" s="10"/>
    </row>
    <row r="36" spans="1:4" x14ac:dyDescent="0.25">
      <c r="A36" s="18" t="s">
        <v>714</v>
      </c>
      <c r="B36" s="20">
        <f>B20*B28</f>
        <v>0</v>
      </c>
      <c r="C36" s="19" t="s">
        <v>137</v>
      </c>
      <c r="D36" s="10"/>
    </row>
    <row r="37" spans="1:4" x14ac:dyDescent="0.25">
      <c r="A37" s="18" t="s">
        <v>715</v>
      </c>
      <c r="B37" s="20">
        <f>B21*B28</f>
        <v>0</v>
      </c>
      <c r="C37" s="19" t="s">
        <v>137</v>
      </c>
      <c r="D37" s="10"/>
    </row>
    <row r="38" spans="1:4" x14ac:dyDescent="0.25">
      <c r="A38" s="18" t="s">
        <v>716</v>
      </c>
      <c r="B38" s="20">
        <f>B22*B28</f>
        <v>0</v>
      </c>
      <c r="C38" s="19" t="s">
        <v>137</v>
      </c>
      <c r="D38" s="10"/>
    </row>
    <row r="39" spans="1:4" x14ac:dyDescent="0.25">
      <c r="A39" s="18" t="s">
        <v>717</v>
      </c>
      <c r="B39" s="20">
        <f>B23*B28</f>
        <v>0</v>
      </c>
      <c r="C39" s="19" t="s">
        <v>137</v>
      </c>
      <c r="D39" s="10"/>
    </row>
    <row r="40" spans="1:4" x14ac:dyDescent="0.25">
      <c r="A40" s="18" t="s">
        <v>718</v>
      </c>
      <c r="B40" s="20">
        <f>B24*B28</f>
        <v>0</v>
      </c>
      <c r="C40" s="19" t="s">
        <v>137</v>
      </c>
      <c r="D40" s="10"/>
    </row>
    <row r="41" spans="1:4" x14ac:dyDescent="0.25">
      <c r="A41" s="18" t="s">
        <v>719</v>
      </c>
      <c r="B41" s="20">
        <f>B25*B28</f>
        <v>0</v>
      </c>
      <c r="C41" s="19" t="s">
        <v>137</v>
      </c>
      <c r="D41" s="10"/>
    </row>
    <row r="42" spans="1:4" x14ac:dyDescent="0.25">
      <c r="A42" s="18" t="s">
        <v>720</v>
      </c>
      <c r="B42" s="20" t="str">
        <f>IF(B19="","",B19*B28)</f>
        <v/>
      </c>
      <c r="C42" s="19" t="s">
        <v>137</v>
      </c>
      <c r="D42" s="10" t="s">
        <v>721</v>
      </c>
    </row>
    <row r="43" spans="1:4" x14ac:dyDescent="0.25">
      <c r="A43" s="18" t="s">
        <v>722</v>
      </c>
      <c r="B43" s="21">
        <f>CI_COST*B29</f>
        <v>148000</v>
      </c>
      <c r="C43" s="19" t="s">
        <v>137</v>
      </c>
      <c r="D43" s="10" t="s">
        <v>723</v>
      </c>
    </row>
    <row r="44" spans="1:4" x14ac:dyDescent="0.25">
      <c r="A44" s="18" t="s">
        <v>724</v>
      </c>
      <c r="B44" s="21">
        <f>TPD_COST*B29</f>
        <v>148000</v>
      </c>
      <c r="C44" s="19" t="s">
        <v>137</v>
      </c>
      <c r="D44" s="10" t="s">
        <v>723</v>
      </c>
    </row>
    <row r="45" spans="1:4" x14ac:dyDescent="0.25">
      <c r="A45" s="18" t="s">
        <v>725</v>
      </c>
      <c r="B45" s="21">
        <f>EDU_TOTAL_COST*B29</f>
        <v>55500</v>
      </c>
      <c r="C45" s="19" t="s">
        <v>137</v>
      </c>
      <c r="D45" s="10" t="s">
        <v>723</v>
      </c>
    </row>
    <row r="47" spans="1:4" x14ac:dyDescent="0.25">
      <c r="A47" s="83" t="s">
        <v>726</v>
      </c>
      <c r="B47" s="83"/>
      <c r="C47" s="83"/>
      <c r="D47" s="83"/>
    </row>
    <row r="48" spans="1:4" x14ac:dyDescent="0.25">
      <c r="A48" s="29" t="s">
        <v>727</v>
      </c>
      <c r="B48" s="36">
        <f>inflationRate</f>
        <v>2.3E-2</v>
      </c>
      <c r="C48" s="27" t="s">
        <v>369</v>
      </c>
      <c r="D48" s="10" t="s">
        <v>728</v>
      </c>
    </row>
    <row r="49" spans="1:4" x14ac:dyDescent="0.25">
      <c r="A49" s="29" t="s">
        <v>729</v>
      </c>
      <c r="B49" s="36">
        <f>investmentReturn</f>
        <v>4.2000000000000003E-2</v>
      </c>
      <c r="C49" s="27" t="s">
        <v>369</v>
      </c>
      <c r="D49" s="10" t="s">
        <v>730</v>
      </c>
    </row>
    <row r="50" spans="1:4" x14ac:dyDescent="0.25">
      <c r="A50" s="29" t="s">
        <v>731</v>
      </c>
      <c r="B50" s="36">
        <f>realReturn</f>
        <v>1.8572825024438133E-2</v>
      </c>
      <c r="C50" s="27" t="s">
        <v>369</v>
      </c>
      <c r="D50" s="10" t="s">
        <v>732</v>
      </c>
    </row>
    <row r="51" spans="1:4" x14ac:dyDescent="0.25">
      <c r="A51" s="29" t="s">
        <v>733</v>
      </c>
      <c r="B51" s="31">
        <f>lifestyleFrugal</f>
        <v>0.75</v>
      </c>
      <c r="C51" s="27" t="s">
        <v>369</v>
      </c>
      <c r="D51" s="10" t="s">
        <v>734</v>
      </c>
    </row>
    <row r="52" spans="1:4" x14ac:dyDescent="0.25">
      <c r="A52" s="29" t="s">
        <v>735</v>
      </c>
      <c r="B52" s="31">
        <f>lifestyleStressFree</f>
        <v>1</v>
      </c>
      <c r="C52" s="27" t="s">
        <v>369</v>
      </c>
      <c r="D52" s="10" t="s">
        <v>736</v>
      </c>
    </row>
    <row r="53" spans="1:4" x14ac:dyDescent="0.25">
      <c r="A53" s="29" t="s">
        <v>737</v>
      </c>
      <c r="B53" s="31">
        <f>lifestyleOnlyTheBest</f>
        <v>1.25</v>
      </c>
      <c r="C53" s="27" t="s">
        <v>369</v>
      </c>
      <c r="D53" s="10" t="s">
        <v>738</v>
      </c>
    </row>
    <row r="54" spans="1:4" x14ac:dyDescent="0.25">
      <c r="A54" s="29" t="s">
        <v>739</v>
      </c>
      <c r="B54" s="35">
        <f>lifeSupportMin</f>
        <v>10</v>
      </c>
      <c r="C54" s="27" t="s">
        <v>369</v>
      </c>
      <c r="D54" s="10" t="s">
        <v>740</v>
      </c>
    </row>
    <row r="55" spans="1:4" x14ac:dyDescent="0.25">
      <c r="A55" s="29" t="s">
        <v>741</v>
      </c>
      <c r="B55" s="35">
        <f>CI_YEARS</f>
        <v>3</v>
      </c>
      <c r="C55" s="27" t="s">
        <v>369</v>
      </c>
      <c r="D55" s="10" t="s">
        <v>742</v>
      </c>
    </row>
    <row r="56" spans="1:4" x14ac:dyDescent="0.25">
      <c r="A56" s="29" t="s">
        <v>743</v>
      </c>
      <c r="B56" s="35">
        <f>TPD_YEARS</f>
        <v>5</v>
      </c>
      <c r="C56" s="27" t="s">
        <v>369</v>
      </c>
      <c r="D56" s="10" t="s">
        <v>744</v>
      </c>
    </row>
    <row r="57" spans="1:4" x14ac:dyDescent="0.25">
      <c r="A57" s="29" t="s">
        <v>745</v>
      </c>
      <c r="B57" s="35">
        <f>HOSP_MONTHS</f>
        <v>6</v>
      </c>
      <c r="C57" s="27" t="s">
        <v>369</v>
      </c>
      <c r="D57" s="10" t="s">
        <v>746</v>
      </c>
    </row>
    <row r="58" spans="1:4" x14ac:dyDescent="0.25">
      <c r="A58" s="29" t="s">
        <v>747</v>
      </c>
      <c r="B58" s="30">
        <f>EDU_TOTAL_COST</f>
        <v>55500</v>
      </c>
      <c r="C58" s="27" t="s">
        <v>369</v>
      </c>
      <c r="D58" s="10" t="s">
        <v>748</v>
      </c>
    </row>
    <row r="59" spans="1:4" x14ac:dyDescent="0.25">
      <c r="A59" s="29" t="s">
        <v>749</v>
      </c>
      <c r="B59" s="35">
        <f>savIncomeMultiple</f>
        <v>1</v>
      </c>
      <c r="C59" s="27" t="s">
        <v>369</v>
      </c>
      <c r="D59" s="10" t="s">
        <v>750</v>
      </c>
    </row>
    <row r="60" spans="1:4" x14ac:dyDescent="0.25">
      <c r="A60" s="29" t="s">
        <v>751</v>
      </c>
      <c r="B60" s="35">
        <f>prpIncomeMultiple</f>
        <v>5</v>
      </c>
      <c r="C60" s="27" t="s">
        <v>369</v>
      </c>
      <c r="D60" s="10" t="s">
        <v>752</v>
      </c>
    </row>
    <row r="61" spans="1:4" x14ac:dyDescent="0.25">
      <c r="A61" s="29" t="s">
        <v>753</v>
      </c>
      <c r="B61" s="35">
        <f>currentYear</f>
        <v>2026</v>
      </c>
      <c r="C61" s="27" t="s">
        <v>369</v>
      </c>
      <c r="D61" s="10" t="s">
        <v>754</v>
      </c>
    </row>
    <row r="63" spans="1:4" x14ac:dyDescent="0.25">
      <c r="A63" s="80" t="s">
        <v>755</v>
      </c>
      <c r="B63" s="80"/>
      <c r="C63" s="80"/>
      <c r="D63" s="80"/>
    </row>
    <row r="64" spans="1:4" x14ac:dyDescent="0.25">
      <c r="A64" s="18" t="s">
        <v>756</v>
      </c>
      <c r="B64" s="37">
        <f>MIN(MAX(lifeSupportMin,lifeSupportPivotAge-B5),lifeSupportMax)</f>
        <v>16</v>
      </c>
      <c r="C64" s="19" t="s">
        <v>137</v>
      </c>
      <c r="D64" s="10" t="s">
        <v>757</v>
      </c>
    </row>
    <row r="65" spans="1:10" x14ac:dyDescent="0.25">
      <c r="A65" s="18" t="s">
        <v>758</v>
      </c>
      <c r="B65" s="37">
        <f>MAX(0,B15-B5)</f>
        <v>31</v>
      </c>
      <c r="C65" s="19" t="s">
        <v>137</v>
      </c>
      <c r="D65" s="10" t="s">
        <v>759</v>
      </c>
    </row>
    <row r="66" spans="1:10" x14ac:dyDescent="0.25">
      <c r="A66" s="18" t="s">
        <v>760</v>
      </c>
      <c r="B66" s="37">
        <f>MAX(0,PLU_leUsed-B15)</f>
        <v>23</v>
      </c>
      <c r="C66" s="19" t="s">
        <v>137</v>
      </c>
      <c r="D66" s="10" t="s">
        <v>761</v>
      </c>
    </row>
    <row r="67" spans="1:10" x14ac:dyDescent="0.25">
      <c r="A67" s="18" t="s">
        <v>762</v>
      </c>
      <c r="B67" s="37">
        <f>MAX(0,B16-currentYear)</f>
        <v>10</v>
      </c>
      <c r="C67" s="19" t="s">
        <v>137</v>
      </c>
      <c r="D67" s="10" t="s">
        <v>763</v>
      </c>
    </row>
    <row r="69" spans="1:10" x14ac:dyDescent="0.25">
      <c r="A69" s="80" t="s">
        <v>764</v>
      </c>
      <c r="B69" s="80"/>
      <c r="C69" s="80"/>
      <c r="D69" s="80"/>
    </row>
    <row r="70" spans="1:10" x14ac:dyDescent="0.25">
      <c r="A70" s="2" t="s">
        <v>653</v>
      </c>
      <c r="B70" s="8" t="s">
        <v>765</v>
      </c>
      <c r="C70" s="8" t="s">
        <v>766</v>
      </c>
      <c r="D70" s="8" t="s">
        <v>767</v>
      </c>
      <c r="E70" s="13" t="s">
        <v>655</v>
      </c>
      <c r="F70" s="8" t="s">
        <v>656</v>
      </c>
      <c r="H70" s="7" t="s">
        <v>768</v>
      </c>
      <c r="I70" s="7" t="s">
        <v>769</v>
      </c>
      <c r="J70" s="7" t="s">
        <v>770</v>
      </c>
    </row>
    <row r="71" spans="1:10" x14ac:dyDescent="0.25">
      <c r="A71" s="8" t="s">
        <v>658</v>
      </c>
      <c r="B71" s="21">
        <f>ROUND(H71/$B$28,0)</f>
        <v>874927</v>
      </c>
      <c r="C71" s="21">
        <f t="shared" ref="B71:C78" si="0">ROUND(I71/$B$28,0)</f>
        <v>428400</v>
      </c>
      <c r="D71" s="21">
        <f>MAX(0,B71-C71)</f>
        <v>446527</v>
      </c>
      <c r="E71" s="33"/>
      <c r="F71" s="19" t="b">
        <f>IF(E71="",NP_on_N_INC,E71)</f>
        <v>1</v>
      </c>
      <c r="G71" s="10" t="s">
        <v>771</v>
      </c>
      <c r="H71" s="15">
        <f>MAX(0,B35+B32+IF(OR((IF(OR(B18="",B18&lt;=0),B64,B18))&lt;=0,(B31*12)&lt;=0),0,IF(ABS(realReturn)&lt;0.000000000001,(B31*12)*(IF(OR(B18="",B18&lt;=0),B64,B18)),(B31*12)*(1-(1+realReturn)^(-(IF(OR(B18="",B18&lt;=0),B64,B18))))/(realReturn))))</f>
        <v>647446.02376203937</v>
      </c>
      <c r="I71" s="15">
        <f>B33</f>
        <v>317016</v>
      </c>
      <c r="J71" s="15">
        <f t="shared" ref="J71:J78" si="1">MAX(0,H71-I71)</f>
        <v>330430.02376203937</v>
      </c>
    </row>
    <row r="72" spans="1:10" x14ac:dyDescent="0.25">
      <c r="A72" s="8" t="s">
        <v>659</v>
      </c>
      <c r="B72" s="21">
        <f t="shared" si="0"/>
        <v>452382</v>
      </c>
      <c r="C72" s="21">
        <f t="shared" si="0"/>
        <v>0</v>
      </c>
      <c r="D72" s="21">
        <f t="shared" ref="D71:D78" si="2">MAX(0,B72-C72)</f>
        <v>452382</v>
      </c>
      <c r="E72" s="33"/>
      <c r="F72" s="19" t="b">
        <f>IF(E72="",NP_on_N_CRI,E72)</f>
        <v>0</v>
      </c>
      <c r="G72" s="10" t="s">
        <v>772</v>
      </c>
      <c r="H72" s="15">
        <f>MAX(0,IF(OR((CI_YEARS)&lt;=0,((IF(B42="",B30,B42))*12)&lt;=0),0,IF(ABS(realReturn)&lt;0.000000000001,((IF(B42="",B30,B42))*12)*(CI_YEARS),((IF(B42="",B30,B42))*12)*(1-(1/((1+realReturn)))^(CI_YEARS))/(1-(1/((1+realReturn))))))+B43)</f>
        <v>334762.36735496833</v>
      </c>
      <c r="I72" s="15">
        <f>0</f>
        <v>0</v>
      </c>
      <c r="J72" s="15">
        <f t="shared" si="1"/>
        <v>334762.36735496833</v>
      </c>
    </row>
    <row r="73" spans="1:10" x14ac:dyDescent="0.25">
      <c r="A73" s="8" t="s">
        <v>660</v>
      </c>
      <c r="B73" s="21">
        <f t="shared" si="0"/>
        <v>613059</v>
      </c>
      <c r="C73" s="21">
        <f t="shared" si="0"/>
        <v>0</v>
      </c>
      <c r="D73" s="21">
        <f t="shared" si="2"/>
        <v>613059</v>
      </c>
      <c r="E73" s="33"/>
      <c r="F73" s="19" t="b">
        <f>IF(E73="",NP_on_N_TPD,E73)</f>
        <v>0</v>
      </c>
      <c r="G73" s="10" t="s">
        <v>773</v>
      </c>
      <c r="H73" s="15">
        <f>MAX(0,IF(OR((TPD_YEARS)&lt;=0,((IF(B42="",B30,B42))*12)&lt;=0),0,IF(ABS(realReturn)&lt;0.000000000001,((IF(B42="",B30,B42))*12)*(TPD_YEARS),((IF(B42="",B30,B42))*12)*(1-(1/((1+realReturn)))^(TPD_YEARS))/(1-(1/((1+realReturn))))))+B44)</f>
        <v>453663.84691482451</v>
      </c>
      <c r="I73" s="15">
        <f>0</f>
        <v>0</v>
      </c>
      <c r="J73" s="15">
        <f t="shared" si="1"/>
        <v>453663.84691482451</v>
      </c>
    </row>
    <row r="74" spans="1:10" x14ac:dyDescent="0.25">
      <c r="A74" s="8" t="s">
        <v>661</v>
      </c>
      <c r="B74" s="21">
        <f t="shared" si="0"/>
        <v>42840</v>
      </c>
      <c r="C74" s="21">
        <f t="shared" si="0"/>
        <v>0</v>
      </c>
      <c r="D74" s="21">
        <f t="shared" si="2"/>
        <v>42840</v>
      </c>
      <c r="E74" s="33"/>
      <c r="F74" s="19" t="b">
        <f>IF(E74="",NP_on_N_HOS,E74)</f>
        <v>1</v>
      </c>
      <c r="G74" s="10" t="s">
        <v>774</v>
      </c>
      <c r="H74" s="15">
        <f>MAX(0,B30*HOSP_MONTHS)</f>
        <v>31701.600000000002</v>
      </c>
      <c r="I74" s="15">
        <f>0</f>
        <v>0</v>
      </c>
      <c r="J74" s="15">
        <f t="shared" si="1"/>
        <v>31701.600000000002</v>
      </c>
    </row>
    <row r="75" spans="1:10" x14ac:dyDescent="0.25">
      <c r="A75" s="8" t="s">
        <v>662</v>
      </c>
      <c r="B75" s="21">
        <f t="shared" si="0"/>
        <v>1633487</v>
      </c>
      <c r="C75" s="21">
        <f t="shared" si="0"/>
        <v>0</v>
      </c>
      <c r="D75" s="21">
        <f t="shared" si="2"/>
        <v>1633487</v>
      </c>
      <c r="E75" s="33"/>
      <c r="F75" s="19" t="str">
        <f>IF(E75="",NP_on_N_RET,E75)</f>
        <v>TRUE</v>
      </c>
      <c r="G75" s="10" t="s">
        <v>775</v>
      </c>
      <c r="H75" s="15">
        <f>MAX(0,IF(OR((B66)&lt;=0,(IF((B65)&lt;=0,MAX(0,B31*12*(IF(B14=1,lifestyleFrugal,IF(B14=3,lifestyleOnlyTheBest,lifestyleStressFree)))),(B31*12*(IF(B14=1,lifestyleFrugal,IF(B14=3,lifestyleOnlyTheBest,lifestyleStressFree))))*(1+realReturn)^(B65)))&lt;=0),0,IF(ABS(realReturn)&lt;0.000000000001,(IF((B65)&lt;=0,MAX(0,B31*12*(IF(B14=1,lifestyleFrugal,IF(B14=3,lifestyleOnlyTheBest,lifestyleStressFree)))),(B31*12*(IF(B14=1,lifestyleFrugal,IF(B14=3,lifestyleOnlyTheBest,lifestyleStressFree))))*(1+realReturn)^(B65)))*(B66),(IF((B65)&lt;=0,MAX(0,B31*12*(IF(B14=1,lifestyleFrugal,IF(B14=3,lifestyleOnlyTheBest,lifestyleStressFree)))),(B31*12*(IF(B14=1,lifestyleFrugal,IF(B14=3,lifestyleOnlyTheBest,lifestyleStressFree))))*(1+realReturn)^(B65)))*(1-(1+realReturn)^(-(B66)))/(realReturn))))</f>
        <v>1208780.4546720714</v>
      </c>
      <c r="I75" s="15">
        <f>IF((B65)&lt;=0,MAX(0,MIN(MAX(0,B38),MAX(0,B34))),(MIN(MAX(0,B38),MAX(0,B34)))*(1+realReturn)^(B65))</f>
        <v>0</v>
      </c>
      <c r="J75" s="15">
        <f t="shared" si="1"/>
        <v>1208780.4546720714</v>
      </c>
    </row>
    <row r="76" spans="1:10" x14ac:dyDescent="0.25">
      <c r="A76" s="8" t="s">
        <v>664</v>
      </c>
      <c r="B76" s="21">
        <f t="shared" si="0"/>
        <v>94149</v>
      </c>
      <c r="C76" s="21">
        <f t="shared" si="0"/>
        <v>0</v>
      </c>
      <c r="D76" s="21">
        <f t="shared" si="2"/>
        <v>94149</v>
      </c>
      <c r="E76" s="33"/>
      <c r="F76" s="19" t="b">
        <f>IF(E76="",NP_on_N_EDU,E76)</f>
        <v>0</v>
      </c>
      <c r="G76" s="10" t="s">
        <v>776</v>
      </c>
      <c r="H76" s="15">
        <f>MAX(0,B45*(1+inflationRate)^B67)</f>
        <v>69670.563033779137</v>
      </c>
      <c r="I76" s="15">
        <f>IF((B67)&lt;=0,MAX(0,MIN(MAX(0,B39),MAX(0,B34-MIN(MAX(0,B38),MAX(0,B34))))),(MIN(MAX(0,B39),MAX(0,B34-MIN(MAX(0,B38),MAX(0,B34)))))*(1+realReturn)^(B67))</f>
        <v>0</v>
      </c>
      <c r="J76" s="15">
        <f t="shared" si="1"/>
        <v>69670.563033779137</v>
      </c>
    </row>
    <row r="77" spans="1:10" x14ac:dyDescent="0.25">
      <c r="A77" s="8" t="s">
        <v>665</v>
      </c>
      <c r="B77" s="21">
        <f t="shared" si="0"/>
        <v>85680</v>
      </c>
      <c r="C77" s="21">
        <f t="shared" si="0"/>
        <v>0</v>
      </c>
      <c r="D77" s="21">
        <f t="shared" si="2"/>
        <v>85680</v>
      </c>
      <c r="E77" s="33"/>
      <c r="F77" s="19" t="b">
        <f>IF(E77="",NP_on_N_SAV,E77)</f>
        <v>0</v>
      </c>
      <c r="G77" s="10" t="s">
        <v>777</v>
      </c>
      <c r="H77" s="15">
        <f>IF(B20&gt;0,B36,B30*12*savIncomeMultiple)</f>
        <v>63403.200000000004</v>
      </c>
      <c r="I77" s="15">
        <f>IF((B67)&lt;=0,MAX(0,MIN(MAX(0,B40),MAX(0,MAX(0,B34-MIN(MAX(0,B38),MAX(0,B34)))-MIN(MAX(0,B39),MAX(0,B34-MIN(MAX(0,B38),MAX(0,B34))))))),(MIN(MAX(0,B40),MAX(0,MAX(0,B34-MIN(MAX(0,B38),MAX(0,B34)))-MIN(MAX(0,B39),MAX(0,B34-MIN(MAX(0,B38),MAX(0,B34)))))))*(1+realReturn)^(B67))</f>
        <v>0</v>
      </c>
      <c r="J77" s="15">
        <f t="shared" si="1"/>
        <v>63403.200000000004</v>
      </c>
    </row>
    <row r="78" spans="1:10" x14ac:dyDescent="0.25">
      <c r="A78" s="8" t="s">
        <v>666</v>
      </c>
      <c r="B78" s="21">
        <f t="shared" si="0"/>
        <v>428400</v>
      </c>
      <c r="C78" s="21">
        <f t="shared" si="0"/>
        <v>0</v>
      </c>
      <c r="D78" s="21">
        <f t="shared" si="2"/>
        <v>428400</v>
      </c>
      <c r="E78" s="33"/>
      <c r="F78" s="19" t="b">
        <f>IF(E78="",NP_on_N_PRP,E78)</f>
        <v>1</v>
      </c>
      <c r="G78" s="10" t="s">
        <v>778</v>
      </c>
      <c r="H78" s="15">
        <f>IF(B21&gt;0,B37,B30*12*prpIncomeMultiple)</f>
        <v>317016</v>
      </c>
      <c r="I78" s="15">
        <f>IF((B67)&lt;=0,MAX(0,MIN(MAX(0,B41),MAX(0,MAX(0,MAX(0,B34-MIN(MAX(0,B38),MAX(0,B34)))-MIN(MAX(0,B39),MAX(0,B34-MIN(MAX(0,B38),MAX(0,B34)))))-MIN(MAX(0,B40),MAX(0,MAX(0,B34-MIN(MAX(0,B38),MAX(0,B34)))-MIN(MAX(0,B39),MAX(0,B34-MIN(MAX(0,B38),MAX(0,B34))))))))),(MIN(MAX(0,B41),MAX(0,MAX(0,MAX(0,B34-MIN(MAX(0,B38),MAX(0,B34)))-MIN(MAX(0,B39),MAX(0,B34-MIN(MAX(0,B38),MAX(0,B34)))))-MIN(MAX(0,B40),MAX(0,MAX(0,B34-MIN(MAX(0,B38),MAX(0,B34)))-MIN(MAX(0,B39),MAX(0,B34-MIN(MAX(0,B38),MAX(0,B34)))))))))*(1+realReturn)^(B67))</f>
        <v>0</v>
      </c>
      <c r="J78" s="15">
        <f t="shared" si="1"/>
        <v>317016</v>
      </c>
    </row>
  </sheetData>
  <mergeCells count="7">
    <mergeCell ref="A1:D1"/>
    <mergeCell ref="A27:D27"/>
    <mergeCell ref="A69:D69"/>
    <mergeCell ref="A4:D4"/>
    <mergeCell ref="A63:D63"/>
    <mergeCell ref="A47:D47"/>
    <mergeCell ref="A13:D13"/>
  </mergeCells>
  <dataValidations count="1">
    <dataValidation type="list" allowBlank="1" sqref="E71:E78" xr:uid="{00000000-0002-0000-0600-000000000000}">
      <formula1>"TRUE,FALSE,"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D4E89"/>
  </sheetPr>
  <dimension ref="A1:F78"/>
  <sheetViews>
    <sheetView tabSelected="1"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77" t="s">
        <v>779</v>
      </c>
      <c r="B1" s="74"/>
      <c r="C1" s="74"/>
      <c r="D1" s="74"/>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79" t="s">
        <v>780</v>
      </c>
      <c r="B4" s="79"/>
      <c r="C4" s="79"/>
      <c r="D4" s="79"/>
      <c r="F4" s="8" t="s">
        <v>93</v>
      </c>
    </row>
    <row r="5" spans="1:6" x14ac:dyDescent="0.25">
      <c r="A5" s="9" t="s">
        <v>781</v>
      </c>
      <c r="B5" s="28">
        <f>PLU_takeHome</f>
        <v>5712</v>
      </c>
      <c r="C5" s="5" t="s">
        <v>95</v>
      </c>
      <c r="D5" s="10" t="s">
        <v>782</v>
      </c>
      <c r="F5" s="11" t="s">
        <v>97</v>
      </c>
    </row>
    <row r="6" spans="1:6" x14ac:dyDescent="0.25">
      <c r="A6" s="9" t="s">
        <v>520</v>
      </c>
      <c r="B6" s="28">
        <f>PLU_expenseMonthly</f>
        <v>4141.2</v>
      </c>
      <c r="C6" s="5" t="s">
        <v>95</v>
      </c>
      <c r="D6" s="10" t="s">
        <v>783</v>
      </c>
      <c r="F6" s="13" t="s">
        <v>100</v>
      </c>
    </row>
    <row r="7" spans="1:6" x14ac:dyDescent="0.25">
      <c r="A7" s="9" t="s">
        <v>784</v>
      </c>
      <c r="B7" s="5" t="b">
        <f>NC_on_N_INC</f>
        <v>1</v>
      </c>
      <c r="C7" s="5" t="s">
        <v>95</v>
      </c>
      <c r="D7" s="10" t="s">
        <v>785</v>
      </c>
    </row>
    <row r="8" spans="1:6" x14ac:dyDescent="0.25">
      <c r="A8" s="9" t="s">
        <v>786</v>
      </c>
      <c r="B8" s="38">
        <f>NC_gap_N_INC</f>
        <v>446527</v>
      </c>
      <c r="C8" s="5" t="s">
        <v>95</v>
      </c>
      <c r="D8" s="10" t="s">
        <v>787</v>
      </c>
    </row>
    <row r="9" spans="1:6" x14ac:dyDescent="0.25">
      <c r="A9" s="9" t="s">
        <v>788</v>
      </c>
      <c r="B9" s="5" t="b">
        <f>NC_on_N_CRI</f>
        <v>0</v>
      </c>
      <c r="C9" s="5" t="s">
        <v>95</v>
      </c>
      <c r="D9" s="10" t="s">
        <v>785</v>
      </c>
    </row>
    <row r="10" spans="1:6" x14ac:dyDescent="0.25">
      <c r="A10" s="9" t="s">
        <v>789</v>
      </c>
      <c r="B10" s="38">
        <f>NC_gap_N_CRI</f>
        <v>452382</v>
      </c>
      <c r="C10" s="5" t="s">
        <v>95</v>
      </c>
      <c r="D10" s="10" t="s">
        <v>787</v>
      </c>
    </row>
    <row r="11" spans="1:6" x14ac:dyDescent="0.25">
      <c r="A11" s="9" t="s">
        <v>790</v>
      </c>
      <c r="B11" s="5" t="b">
        <f>NC_on_N_TPD</f>
        <v>0</v>
      </c>
      <c r="C11" s="5" t="s">
        <v>95</v>
      </c>
      <c r="D11" s="10" t="s">
        <v>785</v>
      </c>
    </row>
    <row r="12" spans="1:6" x14ac:dyDescent="0.25">
      <c r="A12" s="9" t="s">
        <v>791</v>
      </c>
      <c r="B12" s="38">
        <f>NC_gap_N_TPD</f>
        <v>613059</v>
      </c>
      <c r="C12" s="5" t="s">
        <v>95</v>
      </c>
      <c r="D12" s="10" t="s">
        <v>787</v>
      </c>
    </row>
    <row r="13" spans="1:6" x14ac:dyDescent="0.25">
      <c r="A13" s="9" t="s">
        <v>792</v>
      </c>
      <c r="B13" s="5" t="b">
        <f>NC_on_N_HOS</f>
        <v>1</v>
      </c>
      <c r="C13" s="5" t="s">
        <v>95</v>
      </c>
      <c r="D13" s="10" t="s">
        <v>785</v>
      </c>
    </row>
    <row r="14" spans="1:6" x14ac:dyDescent="0.25">
      <c r="A14" s="9" t="s">
        <v>793</v>
      </c>
      <c r="B14" s="38">
        <f>NC_gap_N_HOS</f>
        <v>42840</v>
      </c>
      <c r="C14" s="5" t="s">
        <v>95</v>
      </c>
      <c r="D14" s="10" t="s">
        <v>787</v>
      </c>
    </row>
    <row r="15" spans="1:6" x14ac:dyDescent="0.25">
      <c r="A15" s="9" t="s">
        <v>794</v>
      </c>
      <c r="B15" s="5" t="str">
        <f>NC_on_N_RET</f>
        <v>TRUE</v>
      </c>
      <c r="C15" s="5" t="s">
        <v>95</v>
      </c>
      <c r="D15" s="10" t="s">
        <v>785</v>
      </c>
    </row>
    <row r="16" spans="1:6" x14ac:dyDescent="0.25">
      <c r="A16" s="9" t="s">
        <v>795</v>
      </c>
      <c r="B16" s="38">
        <f>NC_gap_N_RET</f>
        <v>1633487</v>
      </c>
      <c r="C16" s="5" t="s">
        <v>95</v>
      </c>
      <c r="D16" s="10" t="s">
        <v>787</v>
      </c>
    </row>
    <row r="17" spans="1:4" x14ac:dyDescent="0.25">
      <c r="A17" s="9" t="s">
        <v>796</v>
      </c>
      <c r="B17" s="5" t="b">
        <f>NC_on_N_EDU</f>
        <v>0</v>
      </c>
      <c r="C17" s="5" t="s">
        <v>95</v>
      </c>
      <c r="D17" s="10" t="s">
        <v>785</v>
      </c>
    </row>
    <row r="18" spans="1:4" x14ac:dyDescent="0.25">
      <c r="A18" s="9" t="s">
        <v>797</v>
      </c>
      <c r="B18" s="38">
        <f>NC_gap_N_EDU</f>
        <v>94149</v>
      </c>
      <c r="C18" s="5" t="s">
        <v>95</v>
      </c>
      <c r="D18" s="10" t="s">
        <v>787</v>
      </c>
    </row>
    <row r="19" spans="1:4" x14ac:dyDescent="0.25">
      <c r="A19" s="9" t="s">
        <v>798</v>
      </c>
      <c r="B19" s="5" t="b">
        <f>NC_on_N_SAV</f>
        <v>0</v>
      </c>
      <c r="C19" s="5" t="s">
        <v>95</v>
      </c>
      <c r="D19" s="10" t="s">
        <v>785</v>
      </c>
    </row>
    <row r="20" spans="1:4" x14ac:dyDescent="0.25">
      <c r="A20" s="9" t="s">
        <v>799</v>
      </c>
      <c r="B20" s="38">
        <f>NC_gap_N_SAV</f>
        <v>85680</v>
      </c>
      <c r="C20" s="5" t="s">
        <v>95</v>
      </c>
      <c r="D20" s="10" t="s">
        <v>787</v>
      </c>
    </row>
    <row r="21" spans="1:4" x14ac:dyDescent="0.25">
      <c r="A21" s="9" t="s">
        <v>800</v>
      </c>
      <c r="B21" s="5" t="b">
        <f>NC_on_N_PRP</f>
        <v>1</v>
      </c>
      <c r="C21" s="5" t="s">
        <v>95</v>
      </c>
      <c r="D21" s="10" t="s">
        <v>785</v>
      </c>
    </row>
    <row r="22" spans="1:4" x14ac:dyDescent="0.25">
      <c r="A22" s="9" t="s">
        <v>801</v>
      </c>
      <c r="B22" s="38">
        <f>NC_gap_N_PRP</f>
        <v>428400</v>
      </c>
      <c r="C22" s="5" t="s">
        <v>95</v>
      </c>
      <c r="D22" s="10" t="s">
        <v>787</v>
      </c>
    </row>
    <row r="23" spans="1:4" x14ac:dyDescent="0.25">
      <c r="A23" s="9" t="s">
        <v>802</v>
      </c>
      <c r="B23" s="12">
        <f>NC_yearsToRet</f>
        <v>31</v>
      </c>
      <c r="C23" s="5" t="s">
        <v>95</v>
      </c>
      <c r="D23" s="10" t="s">
        <v>803</v>
      </c>
    </row>
    <row r="24" spans="1:4" x14ac:dyDescent="0.25">
      <c r="A24" s="9" t="s">
        <v>804</v>
      </c>
      <c r="B24" s="12">
        <f>NC_eduYears</f>
        <v>10</v>
      </c>
      <c r="C24" s="5" t="s">
        <v>95</v>
      </c>
      <c r="D24" s="10" t="s">
        <v>805</v>
      </c>
    </row>
    <row r="26" spans="1:4" x14ac:dyDescent="0.25">
      <c r="A26" s="83" t="s">
        <v>97</v>
      </c>
      <c r="B26" s="83"/>
      <c r="C26" s="83"/>
      <c r="D26" s="83"/>
    </row>
    <row r="27" spans="1:4" x14ac:dyDescent="0.25">
      <c r="A27" s="29" t="s">
        <v>806</v>
      </c>
      <c r="B27" s="36">
        <f>protectionPremiumRate</f>
        <v>7.7999999999999999E-4</v>
      </c>
      <c r="C27" s="27" t="s">
        <v>369</v>
      </c>
      <c r="D27" s="10" t="s">
        <v>807</v>
      </c>
    </row>
    <row r="28" spans="1:4" x14ac:dyDescent="0.25">
      <c r="A28" s="29" t="s">
        <v>808</v>
      </c>
      <c r="B28" s="31">
        <f>FREE_BUDGET_SHARE</f>
        <v>0.5</v>
      </c>
      <c r="C28" s="27" t="s">
        <v>369</v>
      </c>
      <c r="D28" s="10" t="s">
        <v>809</v>
      </c>
    </row>
    <row r="29" spans="1:4" x14ac:dyDescent="0.25">
      <c r="A29" s="29" t="s">
        <v>810</v>
      </c>
      <c r="B29" s="45">
        <f>FX_monthlyStep</f>
        <v>50</v>
      </c>
      <c r="C29" s="27" t="s">
        <v>369</v>
      </c>
      <c r="D29" s="10" t="s">
        <v>811</v>
      </c>
    </row>
    <row r="30" spans="1:4" x14ac:dyDescent="0.25">
      <c r="A30" s="29" t="s">
        <v>812</v>
      </c>
      <c r="B30" s="45">
        <f>FX_coverPremStep</f>
        <v>10</v>
      </c>
      <c r="C30" s="27" t="s">
        <v>369</v>
      </c>
      <c r="D30" s="10" t="s">
        <v>813</v>
      </c>
    </row>
    <row r="31" spans="1:4" x14ac:dyDescent="0.25">
      <c r="A31" s="29" t="s">
        <v>731</v>
      </c>
      <c r="B31" s="36">
        <f>realReturn</f>
        <v>1.8572825024438133E-2</v>
      </c>
      <c r="C31" s="27" t="s">
        <v>369</v>
      </c>
      <c r="D31" s="10" t="s">
        <v>814</v>
      </c>
    </row>
    <row r="33" spans="1:4" x14ac:dyDescent="0.25">
      <c r="A33" s="80" t="s">
        <v>815</v>
      </c>
      <c r="B33" s="80"/>
      <c r="C33" s="80"/>
      <c r="D33" s="80"/>
    </row>
    <row r="34" spans="1:4" x14ac:dyDescent="0.25">
      <c r="A34" s="18" t="s">
        <v>816</v>
      </c>
      <c r="B34" s="19" t="b">
        <f>AND(NC_on_N_INC,NC_gap_N_INC&gt;0)</f>
        <v>1</v>
      </c>
      <c r="C34" s="19" t="s">
        <v>137</v>
      </c>
      <c r="D34" s="10" t="s">
        <v>817</v>
      </c>
    </row>
    <row r="35" spans="1:4" x14ac:dyDescent="0.25">
      <c r="A35" s="18" t="s">
        <v>818</v>
      </c>
      <c r="B35" s="19" t="b">
        <f>AND(NC_on_N_CRI,NC_gap_N_CRI&gt;0)</f>
        <v>0</v>
      </c>
      <c r="C35" s="19" t="s">
        <v>137</v>
      </c>
      <c r="D35" s="10" t="s">
        <v>817</v>
      </c>
    </row>
    <row r="36" spans="1:4" x14ac:dyDescent="0.25">
      <c r="A36" s="18" t="s">
        <v>819</v>
      </c>
      <c r="B36" s="19" t="b">
        <f>AND(NC_on_N_TPD,NC_gap_N_TPD&gt;0)</f>
        <v>0</v>
      </c>
      <c r="C36" s="19" t="s">
        <v>137</v>
      </c>
      <c r="D36" s="10" t="s">
        <v>817</v>
      </c>
    </row>
    <row r="37" spans="1:4" x14ac:dyDescent="0.25">
      <c r="A37" s="18" t="s">
        <v>820</v>
      </c>
      <c r="B37" s="19" t="b">
        <f>AND(NC_on_N_HOS,NC_gap_N_HOS&gt;0)</f>
        <v>1</v>
      </c>
      <c r="C37" s="19" t="s">
        <v>137</v>
      </c>
      <c r="D37" s="10" t="s">
        <v>817</v>
      </c>
    </row>
    <row r="38" spans="1:4" x14ac:dyDescent="0.25">
      <c r="A38" s="18" t="s">
        <v>821</v>
      </c>
      <c r="B38" s="19" t="b">
        <f>AND(NC_on_N_RET,NC_gap_N_RET&gt;0)</f>
        <v>1</v>
      </c>
      <c r="C38" s="19" t="s">
        <v>137</v>
      </c>
      <c r="D38" s="10" t="s">
        <v>817</v>
      </c>
    </row>
    <row r="39" spans="1:4" x14ac:dyDescent="0.25">
      <c r="A39" s="18" t="s">
        <v>822</v>
      </c>
      <c r="B39" s="19" t="b">
        <f>AND(NC_on_N_EDU,NC_gap_N_EDU&gt;0)</f>
        <v>0</v>
      </c>
      <c r="C39" s="19" t="s">
        <v>137</v>
      </c>
      <c r="D39" s="10" t="s">
        <v>817</v>
      </c>
    </row>
    <row r="40" spans="1:4" x14ac:dyDescent="0.25">
      <c r="A40" s="18" t="s">
        <v>823</v>
      </c>
      <c r="B40" s="19" t="b">
        <f>AND(NC_on_N_SAV,NC_gap_N_SAV&gt;0)</f>
        <v>0</v>
      </c>
      <c r="C40" s="19" t="s">
        <v>137</v>
      </c>
      <c r="D40" s="10" t="s">
        <v>817</v>
      </c>
    </row>
    <row r="41" spans="1:4" x14ac:dyDescent="0.25">
      <c r="A41" s="18" t="s">
        <v>824</v>
      </c>
      <c r="B41" s="19" t="b">
        <f>AND(NC_on_N_PRP,NC_gap_N_PRP&gt;0)</f>
        <v>1</v>
      </c>
      <c r="C41" s="19" t="s">
        <v>137</v>
      </c>
      <c r="D41" s="10" t="s">
        <v>817</v>
      </c>
    </row>
    <row r="42" spans="1:4" x14ac:dyDescent="0.25">
      <c r="A42" s="18" t="s">
        <v>825</v>
      </c>
      <c r="B42" s="37">
        <f>(B38*1)+(B39*1)+(B40*1)+(B41*1)</f>
        <v>2</v>
      </c>
      <c r="C42" s="19" t="s">
        <v>137</v>
      </c>
      <c r="D42" s="10" t="s">
        <v>826</v>
      </c>
    </row>
    <row r="43" spans="1:4" x14ac:dyDescent="0.25">
      <c r="A43" s="18" t="s">
        <v>827</v>
      </c>
      <c r="B43" s="21">
        <f>IF(B34,MAX(0,ROUND(NC_gap_N_INC,0)),0)</f>
        <v>446527</v>
      </c>
      <c r="C43" s="19" t="s">
        <v>137</v>
      </c>
      <c r="D43" s="10" t="s">
        <v>828</v>
      </c>
    </row>
    <row r="44" spans="1:4" x14ac:dyDescent="0.25">
      <c r="A44" s="18" t="s">
        <v>829</v>
      </c>
      <c r="B44" s="21">
        <f>IF(B43&lt;=0,0,MAX(0,ROUND((B43*protectionPremiumRate)/FX_coverPremStep,0)*FX_coverPremStep))</f>
        <v>350</v>
      </c>
      <c r="C44" s="19" t="s">
        <v>137</v>
      </c>
      <c r="D44" s="10" t="s">
        <v>830</v>
      </c>
    </row>
    <row r="45" spans="1:4" x14ac:dyDescent="0.25">
      <c r="A45" s="18" t="s">
        <v>831</v>
      </c>
      <c r="B45" s="21">
        <f>IF(B35,MAX(0,ROUND(NC_gap_N_CRI,0)),0)</f>
        <v>0</v>
      </c>
      <c r="C45" s="19" t="s">
        <v>137</v>
      </c>
      <c r="D45" s="10" t="s">
        <v>828</v>
      </c>
    </row>
    <row r="46" spans="1:4" x14ac:dyDescent="0.25">
      <c r="A46" s="18" t="s">
        <v>832</v>
      </c>
      <c r="B46" s="21">
        <f>IF(B45&lt;=0,0,MAX(0,ROUND((B45*protectionPremiumRate)/FX_coverPremStep,0)*FX_coverPremStep))</f>
        <v>0</v>
      </c>
      <c r="C46" s="19" t="s">
        <v>137</v>
      </c>
      <c r="D46" s="10" t="s">
        <v>830</v>
      </c>
    </row>
    <row r="47" spans="1:4" x14ac:dyDescent="0.25">
      <c r="A47" s="18" t="s">
        <v>833</v>
      </c>
      <c r="B47" s="21">
        <f>IF(B36,MAX(0,ROUND(NC_gap_N_TPD,0)),0)</f>
        <v>0</v>
      </c>
      <c r="C47" s="19" t="s">
        <v>137</v>
      </c>
      <c r="D47" s="10" t="s">
        <v>828</v>
      </c>
    </row>
    <row r="48" spans="1:4" x14ac:dyDescent="0.25">
      <c r="A48" s="18" t="s">
        <v>834</v>
      </c>
      <c r="B48" s="21">
        <f>IF(B47&lt;=0,0,MAX(0,ROUND((B47*protectionPremiumRate)/FX_coverPremStep,0)*FX_coverPremStep))</f>
        <v>0</v>
      </c>
      <c r="C48" s="19" t="s">
        <v>137</v>
      </c>
      <c r="D48" s="10" t="s">
        <v>830</v>
      </c>
    </row>
    <row r="49" spans="1:4" x14ac:dyDescent="0.25">
      <c r="A49" s="18" t="s">
        <v>835</v>
      </c>
      <c r="B49" s="21">
        <f>IF(B37,MAX(0,ROUND(NC_gap_N_HOS,0)),0)</f>
        <v>42840</v>
      </c>
      <c r="C49" s="19" t="s">
        <v>137</v>
      </c>
      <c r="D49" s="10" t="s">
        <v>828</v>
      </c>
    </row>
    <row r="50" spans="1:4" x14ac:dyDescent="0.25">
      <c r="A50" s="18" t="s">
        <v>836</v>
      </c>
      <c r="B50" s="21">
        <f>IF(B49&lt;=0,0,MAX(0,ROUND((B49*protectionPremiumRate)/FX_coverPremStep,0)*FX_coverPremStep))</f>
        <v>30</v>
      </c>
      <c r="C50" s="19" t="s">
        <v>137</v>
      </c>
      <c r="D50" s="10" t="s">
        <v>830</v>
      </c>
    </row>
    <row r="51" spans="1:4" x14ac:dyDescent="0.25">
      <c r="A51" s="18" t="s">
        <v>837</v>
      </c>
      <c r="B51" s="21">
        <f>B44+B46+B48+B50</f>
        <v>380</v>
      </c>
      <c r="C51" s="19" t="s">
        <v>137</v>
      </c>
      <c r="D51" s="10" t="s">
        <v>838</v>
      </c>
    </row>
    <row r="52" spans="1:4" x14ac:dyDescent="0.25">
      <c r="A52" s="18" t="s">
        <v>839</v>
      </c>
      <c r="B52" s="21">
        <f>IF(B42=0,0,MAX(0,ROUND((MAX(0,(PLU_takeHome-PLU_expenseMonthly)*12-B51)*FREE_BUDGET_SHARE)/12/B42/FX_monthlyStep,0)*FX_monthlyStep))</f>
        <v>400</v>
      </c>
      <c r="C52" s="19" t="s">
        <v>137</v>
      </c>
      <c r="D52" s="10" t="s">
        <v>840</v>
      </c>
    </row>
    <row r="53" spans="1:4" x14ac:dyDescent="0.25">
      <c r="A53" s="18" t="s">
        <v>841</v>
      </c>
      <c r="B53" s="21">
        <f>IF((IF(OR((NC_gap_N_RET)&lt;=0,(NC_yearsToRet)&lt;=0),0,IF(ABS(realReturn)&lt;0.000000000001,(NC_gap_N_RET)/(NC_yearsToRet),(NC_gap_N_RET)*realReturn/((1+realReturn)^(NC_yearsToRet)-1))))&lt;=0,0,ROUNDUP((IF(OR((NC_gap_N_RET)&lt;=0,(NC_yearsToRet)&lt;=0),0,IF(ABS(realReturn)&lt;0.000000000001,(NC_gap_N_RET)/(NC_yearsToRet),(NC_gap_N_RET)*realReturn/((1+realReturn)^(NC_yearsToRet)-1))))/12/FX_monthlyStep,0)*FX_monthlyStep)</f>
        <v>3300</v>
      </c>
      <c r="C53" s="19" t="s">
        <v>137</v>
      </c>
      <c r="D53" s="10" t="s">
        <v>842</v>
      </c>
    </row>
    <row r="54" spans="1:4" x14ac:dyDescent="0.25">
      <c r="A54" s="18" t="s">
        <v>843</v>
      </c>
      <c r="B54" s="21">
        <f>IF(B38,MIN(B52,B53),0)</f>
        <v>400</v>
      </c>
      <c r="C54" s="19" t="s">
        <v>137</v>
      </c>
      <c r="D54" s="10" t="s">
        <v>844</v>
      </c>
    </row>
    <row r="55" spans="1:4" x14ac:dyDescent="0.25">
      <c r="A55" s="18" t="s">
        <v>845</v>
      </c>
      <c r="B55" s="21">
        <v>0</v>
      </c>
      <c r="C55" s="19" t="s">
        <v>137</v>
      </c>
      <c r="D55" s="10" t="s">
        <v>846</v>
      </c>
    </row>
    <row r="56" spans="1:4" x14ac:dyDescent="0.25">
      <c r="A56" s="18" t="s">
        <v>847</v>
      </c>
      <c r="B56" s="21">
        <f>IF((IF(OR((NC_gap_N_EDU)&lt;=0,(NC_eduYears)&lt;=0),0,IF(ABS(realReturn)&lt;0.000000000001,(NC_gap_N_EDU)/(NC_eduYears),(NC_gap_N_EDU)*realReturn/((1+realReturn)^(NC_eduYears)-1))))&lt;=0,0,ROUNDUP((IF(OR((NC_gap_N_EDU)&lt;=0,(NC_eduYears)&lt;=0),0,IF(ABS(realReturn)&lt;0.000000000001,(NC_gap_N_EDU)/(NC_eduYears),(NC_gap_N_EDU)*realReturn/((1+realReturn)^(NC_eduYears)-1))))/12/FX_monthlyStep,0)*FX_monthlyStep)</f>
        <v>750</v>
      </c>
      <c r="C56" s="19" t="s">
        <v>137</v>
      </c>
      <c r="D56" s="10" t="s">
        <v>842</v>
      </c>
    </row>
    <row r="57" spans="1:4" x14ac:dyDescent="0.25">
      <c r="A57" s="18" t="s">
        <v>848</v>
      </c>
      <c r="B57" s="21">
        <f>IF(B39,MIN(B52,B56),0)</f>
        <v>0</v>
      </c>
      <c r="C57" s="19" t="s">
        <v>137</v>
      </c>
      <c r="D57" s="10" t="s">
        <v>844</v>
      </c>
    </row>
    <row r="58" spans="1:4" x14ac:dyDescent="0.25">
      <c r="A58" s="18" t="s">
        <v>849</v>
      </c>
      <c r="B58" s="21">
        <v>0</v>
      </c>
      <c r="C58" s="19" t="s">
        <v>137</v>
      </c>
      <c r="D58" s="10" t="s">
        <v>846</v>
      </c>
    </row>
    <row r="59" spans="1:4" x14ac:dyDescent="0.25">
      <c r="A59" s="18" t="s">
        <v>850</v>
      </c>
      <c r="B59" s="21">
        <f>IF((IF(OR((NC_gap_N_SAV)&lt;=0,(NC_eduYears)&lt;=0),0,IF(ABS(realReturn)&lt;0.000000000001,(NC_gap_N_SAV)/(NC_eduYears),(NC_gap_N_SAV)*realReturn/((1+realReturn)^(NC_eduYears)-1))))&lt;=0,0,ROUNDUP((IF(OR((NC_gap_N_SAV)&lt;=0,(NC_eduYears)&lt;=0),0,IF(ABS(realReturn)&lt;0.000000000001,(NC_gap_N_SAV)/(NC_eduYears),(NC_gap_N_SAV)*realReturn/((1+realReturn)^(NC_eduYears)-1))))/12/FX_monthlyStep,0)*FX_monthlyStep)</f>
        <v>700</v>
      </c>
      <c r="C59" s="19" t="s">
        <v>137</v>
      </c>
      <c r="D59" s="10" t="s">
        <v>842</v>
      </c>
    </row>
    <row r="60" spans="1:4" x14ac:dyDescent="0.25">
      <c r="A60" s="18" t="s">
        <v>851</v>
      </c>
      <c r="B60" s="21">
        <f>IF(B40,MIN(B52,B59),0)</f>
        <v>0</v>
      </c>
      <c r="C60" s="19" t="s">
        <v>137</v>
      </c>
      <c r="D60" s="10" t="s">
        <v>844</v>
      </c>
    </row>
    <row r="61" spans="1:4" x14ac:dyDescent="0.25">
      <c r="A61" s="18" t="s">
        <v>852</v>
      </c>
      <c r="B61" s="21">
        <v>0</v>
      </c>
      <c r="C61" s="19" t="s">
        <v>137</v>
      </c>
      <c r="D61" s="10" t="s">
        <v>846</v>
      </c>
    </row>
    <row r="62" spans="1:4" x14ac:dyDescent="0.25">
      <c r="A62" s="18" t="s">
        <v>853</v>
      </c>
      <c r="B62" s="21">
        <f>IF((IF(OR((NC_gap_N_PRP)&lt;=0,(NC_eduYears)&lt;=0),0,IF(ABS(realReturn)&lt;0.000000000001,(NC_gap_N_PRP)/(NC_eduYears),(NC_gap_N_PRP)*realReturn/((1+realReturn)^(NC_eduYears)-1))))&lt;=0,0,ROUNDUP((IF(OR((NC_gap_N_PRP)&lt;=0,(NC_eduYears)&lt;=0),0,IF(ABS(realReturn)&lt;0.000000000001,(NC_gap_N_PRP)/(NC_eduYears),(NC_gap_N_PRP)*realReturn/((1+realReturn)^(NC_eduYears)-1))))/12/FX_monthlyStep,0)*FX_monthlyStep)</f>
        <v>3300</v>
      </c>
      <c r="C62" s="19" t="s">
        <v>137</v>
      </c>
      <c r="D62" s="10" t="s">
        <v>842</v>
      </c>
    </row>
    <row r="63" spans="1:4" x14ac:dyDescent="0.25">
      <c r="A63" s="18" t="s">
        <v>854</v>
      </c>
      <c r="B63" s="21">
        <f>IF(B41,MIN(B52,B62),0)</f>
        <v>400</v>
      </c>
      <c r="C63" s="19" t="s">
        <v>137</v>
      </c>
      <c r="D63" s="10" t="s">
        <v>844</v>
      </c>
    </row>
    <row r="64" spans="1:4" x14ac:dyDescent="0.25">
      <c r="A64" s="18" t="s">
        <v>855</v>
      </c>
      <c r="B64" s="21">
        <v>0</v>
      </c>
      <c r="C64" s="19" t="s">
        <v>137</v>
      </c>
      <c r="D64" s="10" t="s">
        <v>846</v>
      </c>
    </row>
    <row r="66" spans="1:4" x14ac:dyDescent="0.25">
      <c r="A66" s="80" t="s">
        <v>856</v>
      </c>
      <c r="B66" s="80"/>
      <c r="C66" s="80"/>
      <c r="D66" s="80"/>
    </row>
    <row r="67" spans="1:4" x14ac:dyDescent="0.25">
      <c r="A67" s="2" t="s">
        <v>653</v>
      </c>
      <c r="B67" s="8" t="s">
        <v>857</v>
      </c>
      <c r="C67" s="13" t="s">
        <v>858</v>
      </c>
      <c r="D67" s="8" t="s">
        <v>859</v>
      </c>
    </row>
    <row r="68" spans="1:4" x14ac:dyDescent="0.25">
      <c r="A68" s="8" t="s">
        <v>658</v>
      </c>
      <c r="B68" s="19" t="b">
        <f t="shared" ref="B68:B75" si="0">B34</f>
        <v>1</v>
      </c>
      <c r="C68" s="33"/>
      <c r="D68" s="19" t="b">
        <f t="shared" ref="D68:D75" si="1">AND(B68,IF(C68="",TRUE,C68))</f>
        <v>1</v>
      </c>
    </row>
    <row r="69" spans="1:4" x14ac:dyDescent="0.25">
      <c r="A69" s="8" t="s">
        <v>659</v>
      </c>
      <c r="B69" s="19" t="b">
        <f t="shared" si="0"/>
        <v>0</v>
      </c>
      <c r="C69" s="33"/>
      <c r="D69" s="19" t="b">
        <f t="shared" si="1"/>
        <v>0</v>
      </c>
    </row>
    <row r="70" spans="1:4" x14ac:dyDescent="0.25">
      <c r="A70" s="8" t="s">
        <v>660</v>
      </c>
      <c r="B70" s="19" t="b">
        <f t="shared" si="0"/>
        <v>0</v>
      </c>
      <c r="C70" s="33"/>
      <c r="D70" s="19" t="b">
        <f t="shared" si="1"/>
        <v>0</v>
      </c>
    </row>
    <row r="71" spans="1:4" x14ac:dyDescent="0.25">
      <c r="A71" s="8" t="s">
        <v>661</v>
      </c>
      <c r="B71" s="19" t="b">
        <f t="shared" si="0"/>
        <v>1</v>
      </c>
      <c r="C71" s="33"/>
      <c r="D71" s="19" t="b">
        <f t="shared" si="1"/>
        <v>1</v>
      </c>
    </row>
    <row r="72" spans="1:4" x14ac:dyDescent="0.25">
      <c r="A72" s="8" t="s">
        <v>662</v>
      </c>
      <c r="B72" s="19" t="b">
        <f t="shared" si="0"/>
        <v>1</v>
      </c>
      <c r="C72" s="33"/>
      <c r="D72" s="19" t="b">
        <f t="shared" si="1"/>
        <v>1</v>
      </c>
    </row>
    <row r="73" spans="1:4" x14ac:dyDescent="0.25">
      <c r="A73" s="8" t="s">
        <v>664</v>
      </c>
      <c r="B73" s="19" t="b">
        <f t="shared" si="0"/>
        <v>0</v>
      </c>
      <c r="C73" s="33"/>
      <c r="D73" s="19" t="b">
        <f t="shared" si="1"/>
        <v>0</v>
      </c>
    </row>
    <row r="74" spans="1:4" x14ac:dyDescent="0.25">
      <c r="A74" s="8" t="s">
        <v>665</v>
      </c>
      <c r="B74" s="19" t="b">
        <f t="shared" si="0"/>
        <v>0</v>
      </c>
      <c r="C74" s="33"/>
      <c r="D74" s="19" t="b">
        <f t="shared" si="1"/>
        <v>0</v>
      </c>
    </row>
    <row r="75" spans="1:4" x14ac:dyDescent="0.25">
      <c r="A75" s="8" t="s">
        <v>666</v>
      </c>
      <c r="B75" s="19" t="b">
        <f t="shared" si="0"/>
        <v>1</v>
      </c>
      <c r="C75" s="33"/>
      <c r="D75" s="19" t="b">
        <f t="shared" si="1"/>
        <v>1</v>
      </c>
    </row>
    <row r="77" spans="1:4" x14ac:dyDescent="0.25">
      <c r="A77" s="18" t="s">
        <v>860</v>
      </c>
      <c r="B77" s="21">
        <f>(D72*B54)+(D73*B57)+(D74*B60)+(D75*B63)</f>
        <v>800</v>
      </c>
      <c r="C77" s="19" t="s">
        <v>137</v>
      </c>
      <c r="D77" s="10" t="s">
        <v>861</v>
      </c>
    </row>
    <row r="78" spans="1:4" x14ac:dyDescent="0.25">
      <c r="A78" s="18" t="s">
        <v>862</v>
      </c>
      <c r="B78" s="21">
        <f>(D72*B55)+(D73*B58)+(D74*B61)+(D75*B64)</f>
        <v>0</v>
      </c>
      <c r="C78" s="19" t="s">
        <v>137</v>
      </c>
      <c r="D78" s="10" t="s">
        <v>863</v>
      </c>
    </row>
  </sheetData>
  <mergeCells count="5">
    <mergeCell ref="A1:D1"/>
    <mergeCell ref="A4:D4"/>
    <mergeCell ref="A26:D26"/>
    <mergeCell ref="A33:D33"/>
    <mergeCell ref="A66:D66"/>
  </mergeCells>
  <dataValidations count="1">
    <dataValidation type="list" allowBlank="1" sqref="C68:C75" xr:uid="{00000000-0002-0000-0700-000000000000}">
      <formula1>"TRUE,FALSE,"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A1C1C"/>
  </sheetPr>
  <dimension ref="A1:F27"/>
  <sheetViews>
    <sheetView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77" t="s">
        <v>864</v>
      </c>
      <c r="B1" s="74"/>
      <c r="C1" s="74"/>
      <c r="D1" s="74"/>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79" t="s">
        <v>865</v>
      </c>
      <c r="B4" s="79"/>
      <c r="C4" s="79"/>
      <c r="D4" s="79"/>
      <c r="F4" s="8" t="s">
        <v>93</v>
      </c>
    </row>
    <row r="5" spans="1:6" x14ac:dyDescent="0.25">
      <c r="A5" s="9" t="s">
        <v>781</v>
      </c>
      <c r="B5" s="28">
        <f>PLU_takeHome</f>
        <v>5712</v>
      </c>
      <c r="C5" s="5" t="s">
        <v>95</v>
      </c>
      <c r="D5" s="10" t="s">
        <v>866</v>
      </c>
      <c r="F5" s="11" t="s">
        <v>97</v>
      </c>
    </row>
    <row r="6" spans="1:6" x14ac:dyDescent="0.25">
      <c r="A6" s="9" t="s">
        <v>520</v>
      </c>
      <c r="B6" s="28">
        <f>PLU_expenseMonthly</f>
        <v>4141.2</v>
      </c>
      <c r="C6" s="5" t="s">
        <v>95</v>
      </c>
      <c r="D6" s="10" t="s">
        <v>867</v>
      </c>
      <c r="F6" s="13" t="s">
        <v>100</v>
      </c>
    </row>
    <row r="7" spans="1:6" x14ac:dyDescent="0.25">
      <c r="A7" s="9" t="s">
        <v>675</v>
      </c>
      <c r="B7" s="38">
        <f>PLU_investments</f>
        <v>104144</v>
      </c>
      <c r="C7" s="5" t="s">
        <v>95</v>
      </c>
      <c r="D7" s="10" t="s">
        <v>868</v>
      </c>
    </row>
    <row r="8" spans="1:6" x14ac:dyDescent="0.25">
      <c r="A8" s="9" t="s">
        <v>869</v>
      </c>
      <c r="B8" s="38">
        <f>IF(PLAN_included_N_INC,PLAN_prem_N_INC,0)</f>
        <v>350</v>
      </c>
      <c r="C8" s="5" t="s">
        <v>95</v>
      </c>
      <c r="D8" s="10" t="s">
        <v>870</v>
      </c>
    </row>
    <row r="9" spans="1:6" x14ac:dyDescent="0.25">
      <c r="A9" s="9" t="s">
        <v>871</v>
      </c>
      <c r="B9" s="38">
        <f>IF(PLAN_included_N_CRI,PLAN_prem_N_CRI,0)</f>
        <v>0</v>
      </c>
      <c r="C9" s="5" t="s">
        <v>95</v>
      </c>
      <c r="D9" s="10"/>
    </row>
    <row r="10" spans="1:6" x14ac:dyDescent="0.25">
      <c r="A10" s="9" t="s">
        <v>872</v>
      </c>
      <c r="B10" s="38">
        <f>IF(PLAN_included_N_TPD,PLAN_prem_N_TPD,0)</f>
        <v>0</v>
      </c>
      <c r="C10" s="5" t="s">
        <v>95</v>
      </c>
      <c r="D10" s="10"/>
    </row>
    <row r="11" spans="1:6" x14ac:dyDescent="0.25">
      <c r="A11" s="9" t="s">
        <v>873</v>
      </c>
      <c r="B11" s="38">
        <f>IF(PLAN_included_N_HOS,PLAN_prem_N_HOS,0)</f>
        <v>30</v>
      </c>
      <c r="C11" s="5" t="s">
        <v>95</v>
      </c>
      <c r="D11" s="10"/>
    </row>
    <row r="12" spans="1:6" x14ac:dyDescent="0.25">
      <c r="A12" s="9" t="s">
        <v>874</v>
      </c>
      <c r="B12" s="38">
        <f>PLAN_investMth</f>
        <v>800</v>
      </c>
      <c r="C12" s="5" t="s">
        <v>95</v>
      </c>
      <c r="D12" s="10" t="s">
        <v>875</v>
      </c>
    </row>
    <row r="13" spans="1:6" x14ac:dyDescent="0.25">
      <c r="A13" s="9" t="s">
        <v>876</v>
      </c>
      <c r="B13" s="38">
        <f>PLAN_investLump</f>
        <v>0</v>
      </c>
      <c r="C13" s="5" t="s">
        <v>95</v>
      </c>
      <c r="D13" s="10" t="s">
        <v>877</v>
      </c>
    </row>
    <row r="15" spans="1:6" x14ac:dyDescent="0.25">
      <c r="A15" s="83" t="s">
        <v>97</v>
      </c>
      <c r="B15" s="83"/>
      <c r="C15" s="83"/>
      <c r="D15" s="83"/>
    </row>
    <row r="16" spans="1:6" x14ac:dyDescent="0.25">
      <c r="A16" s="29" t="s">
        <v>808</v>
      </c>
      <c r="B16" s="31">
        <f>FREE_BUDGET_SHARE</f>
        <v>0.5</v>
      </c>
      <c r="C16" s="27" t="s">
        <v>369</v>
      </c>
      <c r="D16" s="10" t="s">
        <v>878</v>
      </c>
    </row>
    <row r="18" spans="1:4" x14ac:dyDescent="0.25">
      <c r="A18" s="80" t="s">
        <v>879</v>
      </c>
      <c r="B18" s="80"/>
      <c r="C18" s="80"/>
      <c r="D18" s="80"/>
    </row>
    <row r="19" spans="1:4" x14ac:dyDescent="0.25">
      <c r="A19" s="18" t="s">
        <v>880</v>
      </c>
      <c r="B19" s="20">
        <f>MAX(0,PLU_takeHome-PLU_expenseMonthly)</f>
        <v>1570.8000000000002</v>
      </c>
      <c r="C19" s="19" t="s">
        <v>137</v>
      </c>
      <c r="D19" s="10" t="s">
        <v>881</v>
      </c>
    </row>
    <row r="20" spans="1:4" x14ac:dyDescent="0.25">
      <c r="A20" s="18" t="s">
        <v>882</v>
      </c>
      <c r="B20" s="21">
        <f>ROUND(B19*FREE_BUDGET_SHARE,0)</f>
        <v>785</v>
      </c>
      <c r="C20" s="19" t="s">
        <v>137</v>
      </c>
      <c r="D20" s="10" t="s">
        <v>883</v>
      </c>
    </row>
    <row r="21" spans="1:4" x14ac:dyDescent="0.25">
      <c r="A21" s="18" t="s">
        <v>884</v>
      </c>
      <c r="B21" s="21">
        <f>IF(PLAN_included_N_INC,PLAN_prem_N_INC,0)+IF(PLAN_included_N_CRI,PLAN_prem_N_CRI,0)+IF(PLAN_included_N_TPD,PLAN_prem_N_TPD,0)+IF(PLAN_included_N_HOS,PLAN_prem_N_HOS,0)</f>
        <v>380</v>
      </c>
      <c r="C21" s="19" t="s">
        <v>137</v>
      </c>
      <c r="D21" s="10" t="s">
        <v>885</v>
      </c>
    </row>
    <row r="22" spans="1:4" x14ac:dyDescent="0.25">
      <c r="A22" s="18" t="s">
        <v>886</v>
      </c>
      <c r="B22" s="21">
        <f>ROUND(B21/12,0)</f>
        <v>32</v>
      </c>
      <c r="C22" s="19" t="s">
        <v>137</v>
      </c>
      <c r="D22" s="10" t="s">
        <v>887</v>
      </c>
    </row>
    <row r="23" spans="1:4" x14ac:dyDescent="0.25">
      <c r="A23" s="18" t="s">
        <v>888</v>
      </c>
      <c r="B23" s="21">
        <f>PLAN_investMth</f>
        <v>800</v>
      </c>
      <c r="C23" s="19" t="s">
        <v>137</v>
      </c>
      <c r="D23" s="10" t="s">
        <v>889</v>
      </c>
    </row>
    <row r="24" spans="1:4" x14ac:dyDescent="0.25">
      <c r="A24" s="18" t="s">
        <v>890</v>
      </c>
      <c r="B24" s="21">
        <f>ROUND(PLAN_investMth+B21/12,0)</f>
        <v>832</v>
      </c>
      <c r="C24" s="19" t="s">
        <v>137</v>
      </c>
      <c r="D24" s="10" t="s">
        <v>891</v>
      </c>
    </row>
    <row r="25" spans="1:4" x14ac:dyDescent="0.25">
      <c r="A25" s="18" t="s">
        <v>892</v>
      </c>
      <c r="B25" s="21">
        <f>B24-B20</f>
        <v>47</v>
      </c>
      <c r="C25" s="19" t="s">
        <v>137</v>
      </c>
      <c r="D25" s="10" t="s">
        <v>893</v>
      </c>
    </row>
    <row r="26" spans="1:4" x14ac:dyDescent="0.25">
      <c r="A26" s="18" t="s">
        <v>894</v>
      </c>
      <c r="B26" s="21">
        <f>PLAN_investLump</f>
        <v>0</v>
      </c>
      <c r="C26" s="19" t="s">
        <v>137</v>
      </c>
      <c r="D26" s="10" t="s">
        <v>895</v>
      </c>
    </row>
    <row r="27" spans="1:4" x14ac:dyDescent="0.25">
      <c r="A27" s="18" t="s">
        <v>896</v>
      </c>
      <c r="B27" s="21">
        <f>B26-PLU_investments</f>
        <v>-104144</v>
      </c>
      <c r="C27" s="19" t="s">
        <v>137</v>
      </c>
      <c r="D27" s="10" t="s">
        <v>897</v>
      </c>
    </row>
  </sheetData>
  <mergeCells count="4">
    <mergeCell ref="A1:D1"/>
    <mergeCell ref="A4:D4"/>
    <mergeCell ref="A18:D18"/>
    <mergeCell ref="A15:D15"/>
  </mergeCells>
  <conditionalFormatting sqref="B25">
    <cfRule type="expression" dxfId="9" priority="1">
      <formula>B25&gt;0</formula>
    </cfRule>
    <cfRule type="expression" dxfId="8" priority="2">
      <formula>B25&lt;=0</formula>
    </cfRule>
  </conditionalFormatting>
  <conditionalFormatting sqref="B27">
    <cfRule type="expression" dxfId="7" priority="3">
      <formula>B27&gt;0</formula>
    </cfRule>
    <cfRule type="expression" dxfId="6" priority="4">
      <formula>B27&lt;=0</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5597"/>
  </sheetPr>
  <dimension ref="A1:AR205"/>
  <sheetViews>
    <sheetView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5" max="5" width="14" customWidth="1"/>
    <col min="6" max="6" width="42" customWidth="1"/>
    <col min="7" max="7" width="14" customWidth="1"/>
    <col min="8" max="9" width="12" customWidth="1"/>
    <col min="10" max="44" width="14" customWidth="1"/>
  </cols>
  <sheetData>
    <row r="1" spans="1:14" ht="27.95" customHeight="1" x14ac:dyDescent="0.25">
      <c r="A1" s="77" t="s">
        <v>898</v>
      </c>
      <c r="B1" s="74"/>
      <c r="C1" s="74"/>
      <c r="D1" s="74"/>
    </row>
    <row r="2" spans="1:14" x14ac:dyDescent="0.25">
      <c r="A2" s="4" t="s">
        <v>83</v>
      </c>
      <c r="B2" s="5" t="str">
        <f>SelectedPersona</f>
        <v>P03</v>
      </c>
      <c r="C2" s="6" t="str">
        <f>IFERROR(INDEX(Personas!B$3:B$52,MATCH($B$2,Personas!$A$3:$A$52,0)),"")</f>
        <v>Daniel Koh</v>
      </c>
      <c r="D2" s="1" t="s">
        <v>352</v>
      </c>
      <c r="F2" s="4" t="s">
        <v>86</v>
      </c>
    </row>
    <row r="3" spans="1:14" x14ac:dyDescent="0.25">
      <c r="A3" s="2" t="s">
        <v>87</v>
      </c>
      <c r="B3" s="2" t="s">
        <v>88</v>
      </c>
      <c r="C3" s="2" t="s">
        <v>89</v>
      </c>
      <c r="D3" s="2" t="s">
        <v>90</v>
      </c>
      <c r="F3" s="7" t="s">
        <v>91</v>
      </c>
    </row>
    <row r="4" spans="1:14" x14ac:dyDescent="0.25">
      <c r="A4" s="79" t="s">
        <v>899</v>
      </c>
      <c r="B4" s="79"/>
      <c r="C4" s="79"/>
      <c r="D4" s="79"/>
      <c r="F4" s="8" t="s">
        <v>93</v>
      </c>
      <c r="H4" s="83" t="s">
        <v>900</v>
      </c>
      <c r="I4" s="84"/>
      <c r="J4" s="84"/>
      <c r="K4" s="84"/>
      <c r="L4" s="84"/>
      <c r="M4" s="84"/>
      <c r="N4" s="85"/>
    </row>
    <row r="5" spans="1:14" x14ac:dyDescent="0.25">
      <c r="A5" s="9" t="s">
        <v>98</v>
      </c>
      <c r="B5" s="12">
        <f>IFERROR(INDEX(Personas!C$3:C$52,MATCH($B$2,Personas!$A$3:$A$52,0)),"")</f>
        <v>34</v>
      </c>
      <c r="C5" s="5" t="s">
        <v>95</v>
      </c>
      <c r="D5" s="10" t="s">
        <v>99</v>
      </c>
      <c r="F5" s="11" t="s">
        <v>97</v>
      </c>
      <c r="H5" s="2" t="s">
        <v>901</v>
      </c>
      <c r="I5" s="2" t="s">
        <v>902</v>
      </c>
      <c r="J5" s="2" t="s">
        <v>903</v>
      </c>
      <c r="K5" s="2" t="s">
        <v>904</v>
      </c>
      <c r="L5" s="2" t="s">
        <v>905</v>
      </c>
      <c r="M5" s="2" t="s">
        <v>906</v>
      </c>
      <c r="N5" s="2" t="s">
        <v>907</v>
      </c>
    </row>
    <row r="6" spans="1:14" x14ac:dyDescent="0.25">
      <c r="A6" s="9" t="s">
        <v>103</v>
      </c>
      <c r="B6" s="5" t="str">
        <f>IFERROR(INDEX(Personas!E$3:E$52,MATCH($B$2,Personas!$A$3:$A$52,0)),"")</f>
        <v>Citizen</v>
      </c>
      <c r="C6" s="5" t="s">
        <v>95</v>
      </c>
      <c r="D6" s="10" t="s">
        <v>908</v>
      </c>
      <c r="F6" s="13" t="s">
        <v>100</v>
      </c>
      <c r="H6" s="35">
        <v>0</v>
      </c>
      <c r="I6" s="35">
        <v>35</v>
      </c>
      <c r="J6" s="36">
        <v>0.37</v>
      </c>
      <c r="K6" s="36">
        <v>0.2</v>
      </c>
      <c r="L6" s="36">
        <v>0.62170000000000003</v>
      </c>
      <c r="M6" s="36">
        <v>0.16209999999999999</v>
      </c>
      <c r="N6" s="36">
        <v>0.2162</v>
      </c>
    </row>
    <row r="7" spans="1:14" x14ac:dyDescent="0.25">
      <c r="A7" s="9" t="s">
        <v>139</v>
      </c>
      <c r="B7" s="28">
        <f>PLU_incomeMonthly</f>
        <v>7140</v>
      </c>
      <c r="C7" s="5" t="s">
        <v>95</v>
      </c>
      <c r="D7" s="10" t="s">
        <v>909</v>
      </c>
      <c r="H7" s="35">
        <v>36</v>
      </c>
      <c r="I7" s="35">
        <v>45</v>
      </c>
      <c r="J7" s="36">
        <v>0.37</v>
      </c>
      <c r="K7" s="36">
        <v>0.2</v>
      </c>
      <c r="L7" s="36">
        <v>0.56769999999999998</v>
      </c>
      <c r="M7" s="36">
        <v>0.18909999999999999</v>
      </c>
      <c r="N7" s="36">
        <v>0.2432</v>
      </c>
    </row>
    <row r="8" spans="1:14" x14ac:dyDescent="0.25">
      <c r="A8" s="9" t="s">
        <v>141</v>
      </c>
      <c r="B8" s="28">
        <f>PLU_takeHome</f>
        <v>5712</v>
      </c>
      <c r="C8" s="5" t="s">
        <v>95</v>
      </c>
      <c r="D8" s="10" t="s">
        <v>910</v>
      </c>
      <c r="H8" s="35">
        <v>46</v>
      </c>
      <c r="I8" s="35">
        <v>50</v>
      </c>
      <c r="J8" s="36">
        <v>0.37</v>
      </c>
      <c r="K8" s="36">
        <v>0.2</v>
      </c>
      <c r="L8" s="36">
        <v>0.51359999999999995</v>
      </c>
      <c r="M8" s="36">
        <v>0.2162</v>
      </c>
      <c r="N8" s="36">
        <v>0.2702</v>
      </c>
    </row>
    <row r="9" spans="1:14" x14ac:dyDescent="0.25">
      <c r="A9" s="9" t="s">
        <v>143</v>
      </c>
      <c r="B9" s="28">
        <f>PLU_expenseMonthly</f>
        <v>4141.2</v>
      </c>
      <c r="C9" s="5" t="s">
        <v>95</v>
      </c>
      <c r="D9" s="10" t="s">
        <v>911</v>
      </c>
      <c r="H9" s="35">
        <v>51</v>
      </c>
      <c r="I9" s="35">
        <v>55</v>
      </c>
      <c r="J9" s="36">
        <v>0.37</v>
      </c>
      <c r="K9" s="36">
        <v>0.2</v>
      </c>
      <c r="L9" s="36">
        <v>0.40550000000000003</v>
      </c>
      <c r="M9" s="36">
        <v>0.31080000000000002</v>
      </c>
      <c r="N9" s="36">
        <v>0.28370000000000001</v>
      </c>
    </row>
    <row r="10" spans="1:14" x14ac:dyDescent="0.25">
      <c r="A10" s="9" t="s">
        <v>145</v>
      </c>
      <c r="B10" s="38">
        <f>PLU_cash</f>
        <v>18378</v>
      </c>
      <c r="C10" s="5" t="s">
        <v>95</v>
      </c>
      <c r="D10" s="10" t="s">
        <v>912</v>
      </c>
      <c r="H10" s="35">
        <v>56</v>
      </c>
      <c r="I10" s="35">
        <v>60</v>
      </c>
      <c r="J10" s="36">
        <v>0.32500000000000001</v>
      </c>
      <c r="K10" s="36">
        <v>0.17</v>
      </c>
      <c r="L10" s="36">
        <v>0.40689999999999998</v>
      </c>
      <c r="M10" s="36">
        <v>0.23719999999999999</v>
      </c>
      <c r="N10" s="36">
        <v>0.35589999999999999</v>
      </c>
    </row>
    <row r="11" spans="1:14" x14ac:dyDescent="0.25">
      <c r="A11" s="9" t="s">
        <v>147</v>
      </c>
      <c r="B11" s="38">
        <f>PLU_investments</f>
        <v>104144</v>
      </c>
      <c r="C11" s="5" t="s">
        <v>95</v>
      </c>
      <c r="D11" s="10" t="s">
        <v>913</v>
      </c>
      <c r="H11" s="35">
        <v>61</v>
      </c>
      <c r="I11" s="35">
        <v>65</v>
      </c>
      <c r="J11" s="36">
        <v>0.23499999999999999</v>
      </c>
      <c r="K11" s="36">
        <v>0.115</v>
      </c>
      <c r="L11" s="36">
        <v>0.1709</v>
      </c>
      <c r="M11" s="36">
        <v>0.317</v>
      </c>
      <c r="N11" s="36">
        <v>0.5121</v>
      </c>
    </row>
    <row r="12" spans="1:14" x14ac:dyDescent="0.25">
      <c r="A12" s="9" t="s">
        <v>148</v>
      </c>
      <c r="B12" s="38">
        <f>PLU_property</f>
        <v>350000</v>
      </c>
      <c r="C12" s="5" t="s">
        <v>95</v>
      </c>
      <c r="D12" s="10" t="s">
        <v>914</v>
      </c>
      <c r="H12" s="35">
        <v>66</v>
      </c>
      <c r="I12" s="35">
        <v>70</v>
      </c>
      <c r="J12" s="36">
        <v>0.16500000000000001</v>
      </c>
      <c r="K12" s="36">
        <v>7.4999999999999997E-2</v>
      </c>
      <c r="L12" s="36">
        <v>6.4600000000000005E-2</v>
      </c>
      <c r="M12" s="36">
        <v>0.25800000000000001</v>
      </c>
      <c r="N12" s="36">
        <v>0.6774</v>
      </c>
    </row>
    <row r="13" spans="1:14" x14ac:dyDescent="0.25">
      <c r="A13" s="9" t="s">
        <v>150</v>
      </c>
      <c r="B13" s="38">
        <f>PLU_mortgage</f>
        <v>192500</v>
      </c>
      <c r="C13" s="5" t="s">
        <v>95</v>
      </c>
      <c r="D13" s="10" t="s">
        <v>915</v>
      </c>
      <c r="H13" s="35">
        <v>71</v>
      </c>
      <c r="I13" s="35">
        <v>999</v>
      </c>
      <c r="J13" s="36">
        <v>0.125</v>
      </c>
      <c r="K13" s="36">
        <v>0.05</v>
      </c>
      <c r="L13" s="36">
        <v>0.08</v>
      </c>
      <c r="M13" s="36">
        <v>0.08</v>
      </c>
      <c r="N13" s="36">
        <v>0.84</v>
      </c>
    </row>
    <row r="14" spans="1:14" x14ac:dyDescent="0.25">
      <c r="A14" s="9" t="s">
        <v>153</v>
      </c>
      <c r="B14" s="38">
        <f>PLU_lifeSum</f>
        <v>428400</v>
      </c>
      <c r="C14" s="5" t="s">
        <v>95</v>
      </c>
      <c r="D14" s="10" t="s">
        <v>916</v>
      </c>
    </row>
    <row r="15" spans="1:14" x14ac:dyDescent="0.25">
      <c r="A15" s="9" t="s">
        <v>917</v>
      </c>
      <c r="B15" s="38">
        <f>PLU_lifePrem</f>
        <v>1328</v>
      </c>
      <c r="C15" s="5" t="s">
        <v>95</v>
      </c>
      <c r="D15" s="10" t="s">
        <v>918</v>
      </c>
      <c r="H15" s="83" t="s">
        <v>919</v>
      </c>
      <c r="I15" s="84"/>
      <c r="J15" s="84"/>
      <c r="K15" s="84"/>
      <c r="L15" s="85"/>
    </row>
    <row r="16" spans="1:14" x14ac:dyDescent="0.25">
      <c r="H16" s="2" t="s">
        <v>920</v>
      </c>
      <c r="I16" s="2" t="s">
        <v>921</v>
      </c>
      <c r="J16" s="2" t="s">
        <v>922</v>
      </c>
      <c r="K16" s="2" t="s">
        <v>923</v>
      </c>
      <c r="L16" s="2" t="s">
        <v>924</v>
      </c>
    </row>
    <row r="17" spans="1:12" x14ac:dyDescent="0.25">
      <c r="A17" s="83" t="s">
        <v>925</v>
      </c>
      <c r="B17" s="83"/>
      <c r="C17" s="83"/>
      <c r="D17" s="83"/>
      <c r="H17" s="30">
        <v>0</v>
      </c>
      <c r="I17" s="30">
        <v>99400</v>
      </c>
      <c r="J17" s="30">
        <v>870</v>
      </c>
      <c r="K17" s="30">
        <v>1620</v>
      </c>
      <c r="L17" s="30">
        <v>2370</v>
      </c>
    </row>
    <row r="18" spans="1:12" x14ac:dyDescent="0.25">
      <c r="A18" s="29" t="s">
        <v>926</v>
      </c>
      <c r="B18" s="35">
        <v>100</v>
      </c>
      <c r="C18" s="27" t="s">
        <v>369</v>
      </c>
      <c r="D18" s="10" t="s">
        <v>927</v>
      </c>
      <c r="H18" s="30">
        <v>1</v>
      </c>
      <c r="I18" s="30">
        <v>102900</v>
      </c>
      <c r="J18" s="30">
        <v>900</v>
      </c>
      <c r="K18" s="30">
        <v>1640</v>
      </c>
      <c r="L18" s="30">
        <v>2350</v>
      </c>
    </row>
    <row r="19" spans="1:12" x14ac:dyDescent="0.25">
      <c r="A19" s="29" t="s">
        <v>928</v>
      </c>
      <c r="B19" s="36">
        <v>0.01</v>
      </c>
      <c r="C19" s="27" t="s">
        <v>369</v>
      </c>
      <c r="D19" s="10" t="s">
        <v>929</v>
      </c>
      <c r="H19" s="30">
        <v>2</v>
      </c>
      <c r="I19" s="30">
        <v>106500</v>
      </c>
      <c r="J19" s="30">
        <v>930</v>
      </c>
      <c r="K19" s="30">
        <v>1730</v>
      </c>
      <c r="L19" s="30">
        <v>2530</v>
      </c>
    </row>
    <row r="20" spans="1:12" x14ac:dyDescent="0.25">
      <c r="A20" s="29" t="s">
        <v>930</v>
      </c>
      <c r="B20" s="35">
        <f>ageOfRetirement</f>
        <v>65</v>
      </c>
      <c r="C20" s="27" t="s">
        <v>369</v>
      </c>
      <c r="D20" s="10" t="s">
        <v>931</v>
      </c>
      <c r="H20" s="30">
        <v>3</v>
      </c>
      <c r="I20" s="30">
        <v>110200</v>
      </c>
      <c r="J20" s="30">
        <v>950</v>
      </c>
      <c r="K20" s="30">
        <v>1780</v>
      </c>
      <c r="L20" s="30">
        <v>2610</v>
      </c>
    </row>
    <row r="21" spans="1:12" x14ac:dyDescent="0.25">
      <c r="A21" s="29" t="s">
        <v>932</v>
      </c>
      <c r="B21" s="35">
        <v>20</v>
      </c>
      <c r="C21" s="27" t="s">
        <v>369</v>
      </c>
      <c r="D21" s="10" t="s">
        <v>933</v>
      </c>
      <c r="H21" s="30">
        <v>4</v>
      </c>
      <c r="I21" s="30">
        <v>114100</v>
      </c>
      <c r="J21" s="30">
        <v>980</v>
      </c>
      <c r="K21" s="30">
        <v>1840</v>
      </c>
      <c r="L21" s="30">
        <v>2690</v>
      </c>
    </row>
    <row r="22" spans="1:12" x14ac:dyDescent="0.25">
      <c r="A22" s="29" t="s">
        <v>934</v>
      </c>
      <c r="B22" s="36">
        <v>4.0000000000000001E-3</v>
      </c>
      <c r="C22" s="27" t="s">
        <v>369</v>
      </c>
      <c r="D22" s="10" t="s">
        <v>935</v>
      </c>
    </row>
    <row r="23" spans="1:12" x14ac:dyDescent="0.25">
      <c r="A23" s="29" t="s">
        <v>936</v>
      </c>
      <c r="B23" s="46">
        <v>0.66666666666666663</v>
      </c>
      <c r="C23" s="27" t="s">
        <v>369</v>
      </c>
      <c r="D23" s="10" t="s">
        <v>937</v>
      </c>
    </row>
    <row r="24" spans="1:12" x14ac:dyDescent="0.25">
      <c r="A24" s="29" t="s">
        <v>938</v>
      </c>
      <c r="B24" s="30">
        <v>96000</v>
      </c>
      <c r="C24" s="27" t="s">
        <v>369</v>
      </c>
      <c r="D24" s="10" t="s">
        <v>939</v>
      </c>
    </row>
    <row r="25" spans="1:12" x14ac:dyDescent="0.25">
      <c r="A25" s="29" t="s">
        <v>940</v>
      </c>
      <c r="B25" s="30">
        <v>63000</v>
      </c>
      <c r="C25" s="27" t="s">
        <v>369</v>
      </c>
      <c r="D25" s="10" t="s">
        <v>941</v>
      </c>
    </row>
    <row r="26" spans="1:12" x14ac:dyDescent="0.25">
      <c r="A26" s="29" t="s">
        <v>942</v>
      </c>
      <c r="B26" s="31">
        <v>2.5000000000000001E-2</v>
      </c>
      <c r="C26" s="27" t="s">
        <v>369</v>
      </c>
      <c r="D26" s="10"/>
    </row>
    <row r="27" spans="1:12" x14ac:dyDescent="0.25">
      <c r="A27" s="29" t="s">
        <v>943</v>
      </c>
      <c r="B27" s="31">
        <v>0.04</v>
      </c>
      <c r="C27" s="27" t="s">
        <v>369</v>
      </c>
      <c r="D27" s="10"/>
    </row>
    <row r="28" spans="1:12" x14ac:dyDescent="0.25">
      <c r="A28" s="29" t="s">
        <v>944</v>
      </c>
      <c r="B28" s="44">
        <v>1.04</v>
      </c>
      <c r="C28" s="27" t="s">
        <v>369</v>
      </c>
      <c r="D28" s="10" t="s">
        <v>945</v>
      </c>
    </row>
    <row r="29" spans="1:12" x14ac:dyDescent="0.25">
      <c r="A29" s="29" t="s">
        <v>946</v>
      </c>
      <c r="B29" s="31">
        <v>0.03</v>
      </c>
      <c r="C29" s="27" t="s">
        <v>369</v>
      </c>
      <c r="D29" s="10" t="s">
        <v>947</v>
      </c>
    </row>
    <row r="30" spans="1:12" x14ac:dyDescent="0.25">
      <c r="A30" s="29" t="s">
        <v>948</v>
      </c>
      <c r="B30" s="31">
        <v>7.0000000000000007E-2</v>
      </c>
      <c r="C30" s="27" t="s">
        <v>369</v>
      </c>
      <c r="D30" s="10" t="s">
        <v>949</v>
      </c>
    </row>
    <row r="32" spans="1:12" x14ac:dyDescent="0.25">
      <c r="A32" s="80" t="s">
        <v>950</v>
      </c>
      <c r="B32" s="80"/>
      <c r="C32" s="80"/>
      <c r="D32" s="80"/>
    </row>
    <row r="33" spans="1:4" x14ac:dyDescent="0.25">
      <c r="A33" s="18" t="s">
        <v>951</v>
      </c>
      <c r="B33" s="37">
        <f>MAX(SV_LE-SV_age,0)</f>
        <v>66</v>
      </c>
      <c r="C33" s="19" t="s">
        <v>137</v>
      </c>
      <c r="D33" s="10" t="s">
        <v>952</v>
      </c>
    </row>
    <row r="34" spans="1:4" x14ac:dyDescent="0.25">
      <c r="A34" s="18" t="s">
        <v>953</v>
      </c>
      <c r="B34" s="37">
        <f>SV_T+1</f>
        <v>67</v>
      </c>
      <c r="C34" s="19" t="s">
        <v>137</v>
      </c>
      <c r="D34" s="10" t="s">
        <v>954</v>
      </c>
    </row>
    <row r="35" spans="1:4" x14ac:dyDescent="0.25">
      <c r="A35" s="18" t="s">
        <v>955</v>
      </c>
      <c r="B35" s="37">
        <f>MAX(SV_ret-SV_age,0)</f>
        <v>31</v>
      </c>
      <c r="C35" s="19" t="s">
        <v>137</v>
      </c>
      <c r="D35" s="10"/>
    </row>
    <row r="36" spans="1:4" x14ac:dyDescent="0.25">
      <c r="A36" s="18" t="s">
        <v>956</v>
      </c>
      <c r="B36" s="37">
        <f>IF(SV_dtr&gt;=1,SV_dtr-1,SV_T-1)</f>
        <v>30</v>
      </c>
      <c r="C36" s="19" t="s">
        <v>137</v>
      </c>
      <c r="D36" s="10" t="s">
        <v>957</v>
      </c>
    </row>
    <row r="37" spans="1:4" x14ac:dyDescent="0.25">
      <c r="A37" s="18" t="s">
        <v>958</v>
      </c>
      <c r="B37" s="21">
        <f>IF(MOD(SV_income*12,1)=0.5,2*ROUND((SV_income*12)/2,0),ROUND(SV_income*12,0))</f>
        <v>85680</v>
      </c>
      <c r="C37" s="19" t="s">
        <v>137</v>
      </c>
      <c r="D37" s="10" t="s">
        <v>959</v>
      </c>
    </row>
    <row r="38" spans="1:4" x14ac:dyDescent="0.25">
      <c r="A38" s="18" t="s">
        <v>960</v>
      </c>
      <c r="B38" s="21">
        <f>IF(MOD(SV_expense*12,1)=0.5,2*ROUND((SV_expense*12)/2,0),ROUND(SV_expense*12,0))</f>
        <v>49694</v>
      </c>
      <c r="C38" s="19" t="s">
        <v>137</v>
      </c>
      <c r="D38" s="10" t="s">
        <v>961</v>
      </c>
    </row>
    <row r="39" spans="1:4" x14ac:dyDescent="0.25">
      <c r="A39" s="18" t="s">
        <v>962</v>
      </c>
      <c r="B39" s="21">
        <f>INT(SV_mortgage)</f>
        <v>192500</v>
      </c>
      <c r="C39" s="19" t="s">
        <v>137</v>
      </c>
      <c r="D39" s="10" t="s">
        <v>963</v>
      </c>
    </row>
    <row r="40" spans="1:4" ht="24" x14ac:dyDescent="0.25">
      <c r="A40" s="18" t="s">
        <v>964</v>
      </c>
      <c r="B40" s="21">
        <f>IF(SV_mortgage&gt;0,IF(MOD(IF(loanRate=0,SV_mortgage/SV_loanYears,SV_mortgage*loanRate/(1-(1+loanRate)^(-SV_loanYears))),1)=0.5,2*ROUND((IF(loanRate=0,SV_mortgage/SV_loanYears,SV_mortgage*loanRate/(1-(1+loanRate)^(-SV_loanYears))))/2,0),ROUND(IF(loanRate=0,SV_mortgage/SV_loanYears,SV_mortgage*loanRate/(1-(1+loanRate)^(-SV_loanYears))),0)),0)</f>
        <v>13545</v>
      </c>
      <c r="C40" s="19" t="s">
        <v>137</v>
      </c>
      <c r="D40" s="10" t="s">
        <v>965</v>
      </c>
    </row>
    <row r="41" spans="1:4" x14ac:dyDescent="0.25">
      <c r="A41" s="18" t="s">
        <v>966</v>
      </c>
      <c r="B41" s="21">
        <f>IF(MOD(MAX(0,SV_takeHome-SV_expense),1)=0.5,2*ROUND((MAX(0,SV_takeHome-SV_expense))/2,0),ROUND(MAX(0,SV_takeHome-SV_expense),0))</f>
        <v>1571</v>
      </c>
      <c r="C41" s="19" t="s">
        <v>137</v>
      </c>
      <c r="D41" s="10" t="s">
        <v>967</v>
      </c>
    </row>
    <row r="42" spans="1:4" x14ac:dyDescent="0.25">
      <c r="A42" s="18" t="s">
        <v>968</v>
      </c>
      <c r="B42" s="20">
        <f>IF(SV_lifeSum&gt;0,SV_lifePrem,0)*(1+SV_savRate)</f>
        <v>1341.28</v>
      </c>
      <c r="C42" s="19" t="s">
        <v>137</v>
      </c>
      <c r="D42" s="10" t="s">
        <v>969</v>
      </c>
    </row>
    <row r="43" spans="1:4" x14ac:dyDescent="0.25">
      <c r="A43" s="18" t="s">
        <v>970</v>
      </c>
      <c r="B43" s="47">
        <f>MAX(0,assetReturn+SV_propPremium)</f>
        <v>3.4000000000000002E-2</v>
      </c>
      <c r="C43" s="19" t="s">
        <v>137</v>
      </c>
      <c r="D43" s="10"/>
    </row>
    <row r="44" spans="1:4" x14ac:dyDescent="0.25">
      <c r="A44" s="18" t="s">
        <v>971</v>
      </c>
      <c r="B44" s="37">
        <f>IF(NC_eduYears&gt;=1,NC_eduYears,SV_T)</f>
        <v>10</v>
      </c>
      <c r="C44" s="19" t="s">
        <v>137</v>
      </c>
      <c r="D44" s="10" t="s">
        <v>972</v>
      </c>
    </row>
    <row r="45" spans="1:4" x14ac:dyDescent="0.25">
      <c r="A45" s="18" t="s">
        <v>973</v>
      </c>
      <c r="B45" s="21">
        <f>IF(NC_eduYears&lt;=SV_T,NC_on_N_EDU*NC_amount_N_EDU+NC_on_N_SAV*NC_amount_N_SAV+NC_on_N_PRP*NC_amount_N_PRP,0)</f>
        <v>428400</v>
      </c>
      <c r="C45" s="19" t="s">
        <v>137</v>
      </c>
      <c r="D45" s="10" t="s">
        <v>974</v>
      </c>
    </row>
    <row r="46" spans="1:4" x14ac:dyDescent="0.25">
      <c r="A46" s="18" t="s">
        <v>975</v>
      </c>
      <c r="B46" s="21">
        <f>IF(PLAN_included_N_RET,PLAN_mth_N_RET,0)</f>
        <v>400</v>
      </c>
      <c r="C46" s="19" t="s">
        <v>137</v>
      </c>
      <c r="D46" s="10" t="s">
        <v>976</v>
      </c>
    </row>
    <row r="47" spans="1:4" x14ac:dyDescent="0.25">
      <c r="A47" s="18" t="s">
        <v>977</v>
      </c>
      <c r="B47" s="21">
        <f>IF(PLAN_included_N_RET,PLAN_lump_N_RET,0)</f>
        <v>0</v>
      </c>
      <c r="C47" s="19" t="s">
        <v>137</v>
      </c>
      <c r="D47" s="10"/>
    </row>
    <row r="48" spans="1:4" x14ac:dyDescent="0.25">
      <c r="A48" s="18" t="s">
        <v>978</v>
      </c>
      <c r="B48" s="37">
        <f>MAX(1,SV_ret-SV_age)</f>
        <v>31</v>
      </c>
      <c r="C48" s="19" t="s">
        <v>137</v>
      </c>
      <c r="D48" s="10"/>
    </row>
    <row r="49" spans="1:4" x14ac:dyDescent="0.25">
      <c r="A49" s="18" t="s">
        <v>979</v>
      </c>
      <c r="B49" s="21">
        <f>IF(PLAN_included_N_EDU,PLAN_mth_N_EDU,0)+IF(PLAN_included_N_SAV,PLAN_mth_N_SAV,0)+IF(PLAN_included_N_PRP,PLAN_mth_N_PRP,0)</f>
        <v>400</v>
      </c>
      <c r="C49" s="19" t="s">
        <v>137</v>
      </c>
      <c r="D49" s="10" t="s">
        <v>980</v>
      </c>
    </row>
    <row r="50" spans="1:4" x14ac:dyDescent="0.25">
      <c r="A50" s="18" t="s">
        <v>981</v>
      </c>
      <c r="B50" s="21">
        <f>IF(PLAN_included_N_EDU,PLAN_lump_N_EDU,0)+IF(PLAN_included_N_SAV,PLAN_lump_N_SAV,0)+IF(PLAN_included_N_PRP,PLAN_lump_N_PRP,0)</f>
        <v>0</v>
      </c>
      <c r="C50" s="19" t="s">
        <v>137</v>
      </c>
      <c r="D50" s="10"/>
    </row>
    <row r="51" spans="1:4" x14ac:dyDescent="0.25">
      <c r="A51" s="18" t="s">
        <v>982</v>
      </c>
      <c r="B51" s="37">
        <f>MAX(1,NC_eduYears)</f>
        <v>10</v>
      </c>
      <c r="C51" s="19" t="s">
        <v>137</v>
      </c>
      <c r="D51" s="10"/>
    </row>
    <row r="52" spans="1:4" x14ac:dyDescent="0.25">
      <c r="A52" s="18" t="s">
        <v>983</v>
      </c>
      <c r="B52" s="21">
        <f>IF(PLAN_included_N_INC,PLAN_prem_N_INC,0)+IF(PLAN_included_N_CRI,PLAN_prem_N_CRI,0)+IF(PLAN_included_N_TPD,PLAN_prem_N_TPD,0)+IF(PLAN_included_N_HOS,PLAN_prem_N_HOS,0)</f>
        <v>380</v>
      </c>
      <c r="C52" s="19" t="s">
        <v>137</v>
      </c>
      <c r="D52" s="10" t="s">
        <v>984</v>
      </c>
    </row>
    <row r="53" spans="1:4" x14ac:dyDescent="0.25">
      <c r="A53" s="18" t="s">
        <v>985</v>
      </c>
      <c r="B53" s="37">
        <f>MAX(1,SV_ret-SV_age)</f>
        <v>31</v>
      </c>
      <c r="C53" s="19" t="s">
        <v>137</v>
      </c>
      <c r="D53" s="10"/>
    </row>
    <row r="55" spans="1:4" x14ac:dyDescent="0.25">
      <c r="A55" s="82" t="s">
        <v>986</v>
      </c>
      <c r="B55" s="82"/>
      <c r="C55" s="82"/>
      <c r="D55" s="82"/>
    </row>
    <row r="56" spans="1:4" x14ac:dyDescent="0.25">
      <c r="A56" s="32" t="s">
        <v>987</v>
      </c>
      <c r="B56" s="43"/>
      <c r="C56" s="33" t="s">
        <v>387</v>
      </c>
      <c r="D56" s="10" t="s">
        <v>988</v>
      </c>
    </row>
    <row r="57" spans="1:4" x14ac:dyDescent="0.25">
      <c r="A57" s="32" t="s">
        <v>989</v>
      </c>
      <c r="B57" s="48"/>
      <c r="C57" s="33" t="s">
        <v>387</v>
      </c>
      <c r="D57" s="10" t="s">
        <v>990</v>
      </c>
    </row>
    <row r="58" spans="1:4" x14ac:dyDescent="0.25">
      <c r="A58" s="32" t="s">
        <v>991</v>
      </c>
      <c r="B58" s="43"/>
      <c r="C58" s="33" t="s">
        <v>387</v>
      </c>
      <c r="D58" s="10"/>
    </row>
    <row r="59" spans="1:4" x14ac:dyDescent="0.25">
      <c r="A59" s="32" t="s">
        <v>992</v>
      </c>
      <c r="B59" s="48"/>
      <c r="C59" s="33" t="s">
        <v>387</v>
      </c>
      <c r="D59" s="10" t="s">
        <v>993</v>
      </c>
    </row>
    <row r="60" spans="1:4" x14ac:dyDescent="0.25">
      <c r="A60" s="32" t="s">
        <v>994</v>
      </c>
      <c r="B60" s="43"/>
      <c r="C60" s="33" t="s">
        <v>387</v>
      </c>
      <c r="D60" s="10"/>
    </row>
    <row r="61" spans="1:4" x14ac:dyDescent="0.25">
      <c r="A61" s="32" t="s">
        <v>995</v>
      </c>
      <c r="B61" s="43"/>
      <c r="C61" s="33" t="s">
        <v>387</v>
      </c>
      <c r="D61" s="10"/>
    </row>
    <row r="62" spans="1:4" x14ac:dyDescent="0.25">
      <c r="A62" s="32" t="s">
        <v>996</v>
      </c>
      <c r="B62" s="49"/>
      <c r="C62" s="33" t="s">
        <v>387</v>
      </c>
      <c r="D62" s="10" t="s">
        <v>997</v>
      </c>
    </row>
    <row r="63" spans="1:4" x14ac:dyDescent="0.25">
      <c r="A63" s="32" t="s">
        <v>998</v>
      </c>
      <c r="B63" s="43"/>
      <c r="C63" s="33" t="s">
        <v>387</v>
      </c>
      <c r="D63" s="10"/>
    </row>
    <row r="64" spans="1:4" x14ac:dyDescent="0.25">
      <c r="A64" s="32" t="s">
        <v>999</v>
      </c>
      <c r="B64" s="43"/>
      <c r="C64" s="33" t="s">
        <v>387</v>
      </c>
      <c r="D64" s="10"/>
    </row>
    <row r="65" spans="1:4" x14ac:dyDescent="0.25">
      <c r="A65" s="32" t="s">
        <v>1000</v>
      </c>
      <c r="B65" s="48"/>
      <c r="C65" s="33" t="s">
        <v>387</v>
      </c>
      <c r="D65" s="10" t="s">
        <v>1001</v>
      </c>
    </row>
    <row r="66" spans="1:4" x14ac:dyDescent="0.25">
      <c r="A66" s="32" t="s">
        <v>1002</v>
      </c>
      <c r="B66" s="43"/>
      <c r="C66" s="33" t="s">
        <v>387</v>
      </c>
      <c r="D66" s="10"/>
    </row>
    <row r="67" spans="1:4" x14ac:dyDescent="0.25">
      <c r="A67" s="32" t="s">
        <v>1003</v>
      </c>
      <c r="B67" s="43"/>
      <c r="C67" s="33" t="s">
        <v>387</v>
      </c>
      <c r="D67" s="10"/>
    </row>
    <row r="68" spans="1:4" x14ac:dyDescent="0.25">
      <c r="A68" s="32" t="s">
        <v>1004</v>
      </c>
      <c r="B68" s="48"/>
      <c r="C68" s="33" t="s">
        <v>387</v>
      </c>
      <c r="D68" s="10" t="s">
        <v>1005</v>
      </c>
    </row>
    <row r="69" spans="1:4" x14ac:dyDescent="0.25">
      <c r="A69" s="18" t="s">
        <v>1006</v>
      </c>
      <c r="B69" s="19" t="b">
        <f>SV_crashV&lt;&gt;""</f>
        <v>0</v>
      </c>
      <c r="C69" s="19" t="s">
        <v>137</v>
      </c>
      <c r="D69" s="10"/>
    </row>
    <row r="70" spans="1:4" x14ac:dyDescent="0.25">
      <c r="A70" s="18" t="s">
        <v>1007</v>
      </c>
      <c r="B70" s="37">
        <f>MAX(1,N(SV_crashY)+1)</f>
        <v>1</v>
      </c>
      <c r="C70" s="19" t="s">
        <v>137</v>
      </c>
      <c r="D70" s="10"/>
    </row>
    <row r="71" spans="1:4" x14ac:dyDescent="0.25">
      <c r="A71" s="18" t="s">
        <v>1008</v>
      </c>
      <c r="B71" s="50">
        <f>1-ABS(N(SV_crashV))</f>
        <v>1</v>
      </c>
      <c r="C71" s="19" t="s">
        <v>137</v>
      </c>
      <c r="D71" s="10"/>
    </row>
    <row r="72" spans="1:4" x14ac:dyDescent="0.25">
      <c r="A72" s="18" t="s">
        <v>1009</v>
      </c>
      <c r="B72" s="19" t="b">
        <f>SV_ccyV&lt;&gt;""</f>
        <v>0</v>
      </c>
      <c r="C72" s="19" t="s">
        <v>137</v>
      </c>
      <c r="D72" s="10"/>
    </row>
    <row r="73" spans="1:4" x14ac:dyDescent="0.25">
      <c r="A73" s="18" t="s">
        <v>1010</v>
      </c>
      <c r="B73" s="37">
        <f>MAX(1,N(SV_ccyY)+1)</f>
        <v>1</v>
      </c>
      <c r="C73" s="19" t="s">
        <v>137</v>
      </c>
      <c r="D73" s="10"/>
    </row>
    <row r="74" spans="1:4" x14ac:dyDescent="0.25">
      <c r="A74" s="18" t="s">
        <v>1011</v>
      </c>
      <c r="B74" s="50">
        <f>1-ABS(N(SV_ccyV))*SV_fxShare</f>
        <v>1</v>
      </c>
      <c r="C74" s="19" t="s">
        <v>137</v>
      </c>
      <c r="D74" s="10"/>
    </row>
    <row r="75" spans="1:4" x14ac:dyDescent="0.25">
      <c r="A75" s="18" t="s">
        <v>1012</v>
      </c>
      <c r="B75" s="19" t="b">
        <f>SV_inflV&lt;&gt;""</f>
        <v>0</v>
      </c>
      <c r="C75" s="19" t="s">
        <v>137</v>
      </c>
      <c r="D75" s="10"/>
    </row>
    <row r="76" spans="1:4" x14ac:dyDescent="0.25">
      <c r="A76" s="18" t="s">
        <v>1013</v>
      </c>
      <c r="B76" s="37">
        <f>MAX(1,N(SV_inflFrom)+1)</f>
        <v>1</v>
      </c>
      <c r="C76" s="19" t="s">
        <v>137</v>
      </c>
      <c r="D76" s="10"/>
    </row>
    <row r="77" spans="1:4" x14ac:dyDescent="0.25">
      <c r="A77" s="18" t="s">
        <v>1014</v>
      </c>
      <c r="B77" s="37">
        <f>MAX(SV_inflS,N(SV_inflTo)+1)</f>
        <v>1</v>
      </c>
      <c r="C77" s="19" t="s">
        <v>137</v>
      </c>
      <c r="D77" s="10"/>
    </row>
    <row r="78" spans="1:4" x14ac:dyDescent="0.25">
      <c r="A78" s="18" t="s">
        <v>1015</v>
      </c>
      <c r="B78" s="19" t="b">
        <f>SV_incV&lt;&gt;""</f>
        <v>0</v>
      </c>
      <c r="C78" s="19" t="s">
        <v>137</v>
      </c>
      <c r="D78" s="10"/>
    </row>
    <row r="79" spans="1:4" x14ac:dyDescent="0.25">
      <c r="A79" s="18" t="s">
        <v>1016</v>
      </c>
      <c r="B79" s="37">
        <f>MAX(1,N(SV_incFrom)+1)</f>
        <v>1</v>
      </c>
      <c r="C79" s="19" t="s">
        <v>137</v>
      </c>
      <c r="D79" s="10"/>
    </row>
    <row r="80" spans="1:4" x14ac:dyDescent="0.25">
      <c r="A80" s="18" t="s">
        <v>1017</v>
      </c>
      <c r="B80" s="37">
        <f>MAX(SV_incS,N(SV_incTo)+1)</f>
        <v>1</v>
      </c>
      <c r="C80" s="19" t="s">
        <v>137</v>
      </c>
      <c r="D80" s="10"/>
    </row>
    <row r="81" spans="1:4" x14ac:dyDescent="0.25">
      <c r="A81" s="18" t="s">
        <v>1018</v>
      </c>
      <c r="B81" s="19" t="b">
        <f>SV_expV&lt;&gt;""</f>
        <v>0</v>
      </c>
      <c r="C81" s="19" t="s">
        <v>137</v>
      </c>
      <c r="D81" s="10"/>
    </row>
    <row r="82" spans="1:4" x14ac:dyDescent="0.25">
      <c r="A82" s="18" t="s">
        <v>1019</v>
      </c>
      <c r="B82" s="37">
        <f>MAX(1,N(SV_expFrom)+1)</f>
        <v>1</v>
      </c>
      <c r="C82" s="19" t="s">
        <v>137</v>
      </c>
      <c r="D82" s="10"/>
    </row>
    <row r="83" spans="1:4" x14ac:dyDescent="0.25">
      <c r="A83" s="18" t="s">
        <v>1020</v>
      </c>
      <c r="B83" s="37">
        <f>MAX(SV_expS,N(SV_expTo)+1)</f>
        <v>1</v>
      </c>
      <c r="C83" s="19" t="s">
        <v>137</v>
      </c>
      <c r="D83" s="10"/>
    </row>
    <row r="84" spans="1:4" x14ac:dyDescent="0.25">
      <c r="A84" s="18" t="s">
        <v>1021</v>
      </c>
      <c r="B84" s="47">
        <f>inflationRate+ABS(N(SV_inflV))</f>
        <v>2.3E-2</v>
      </c>
      <c r="C84" s="19" t="s">
        <v>137</v>
      </c>
      <c r="D84" s="10"/>
    </row>
    <row r="85" spans="1:4" x14ac:dyDescent="0.25">
      <c r="A85" s="18" t="s">
        <v>1022</v>
      </c>
      <c r="B85" s="34">
        <f>IF(N(SV_incV)&lt;=0,N(SV_incV),-ABS(N(SV_incV)))</f>
        <v>0</v>
      </c>
      <c r="C85" s="19" t="s">
        <v>137</v>
      </c>
      <c r="D85" s="10"/>
    </row>
    <row r="86" spans="1:4" x14ac:dyDescent="0.25">
      <c r="A86" s="18" t="s">
        <v>1023</v>
      </c>
      <c r="B86" s="34">
        <f>ABS(N(SV_expV))</f>
        <v>0</v>
      </c>
      <c r="C86" s="19" t="s">
        <v>137</v>
      </c>
      <c r="D86" s="10"/>
    </row>
    <row r="88" spans="1:4" x14ac:dyDescent="0.25">
      <c r="A88" s="80" t="s">
        <v>1024</v>
      </c>
      <c r="B88" s="80"/>
      <c r="C88" s="80"/>
      <c r="D88" s="80"/>
    </row>
    <row r="89" spans="1:4" x14ac:dyDescent="0.25">
      <c r="A89" s="18" t="s">
        <v>136</v>
      </c>
      <c r="B89" s="19" t="b">
        <f>SV_residency&lt;&gt;"Foreigner"</f>
        <v>1</v>
      </c>
      <c r="C89" s="19" t="s">
        <v>137</v>
      </c>
      <c r="D89" s="10" t="s">
        <v>1025</v>
      </c>
    </row>
    <row r="90" spans="1:4" x14ac:dyDescent="0.25">
      <c r="A90" s="18" t="s">
        <v>1026</v>
      </c>
      <c r="B90" s="37">
        <f>MAX(65,SV_ret)</f>
        <v>65</v>
      </c>
      <c r="C90" s="19" t="s">
        <v>137</v>
      </c>
      <c r="D90" s="10" t="s">
        <v>1027</v>
      </c>
    </row>
    <row r="91" spans="1:4" x14ac:dyDescent="0.25">
      <c r="A91" s="18" t="s">
        <v>1028</v>
      </c>
      <c r="B91" s="37">
        <f>MIN(70,SV_ret)-SV_age+1</f>
        <v>32</v>
      </c>
      <c r="C91" s="19" t="s">
        <v>137</v>
      </c>
      <c r="D91" s="10" t="s">
        <v>1029</v>
      </c>
    </row>
    <row r="92" spans="1:4" x14ac:dyDescent="0.25">
      <c r="A92" s="18" t="s">
        <v>1030</v>
      </c>
      <c r="B92" s="37">
        <f>SV_asp-SV_age+1</f>
        <v>32</v>
      </c>
      <c r="C92" s="19" t="s">
        <v>137</v>
      </c>
      <c r="D92" s="10" t="s">
        <v>1031</v>
      </c>
    </row>
    <row r="93" spans="1:4" x14ac:dyDescent="0.25">
      <c r="A93" s="18" t="s">
        <v>1032</v>
      </c>
      <c r="B93" s="37">
        <f>IF(SV_stop&gt;=0,MIN(SV_stop,SV_L),MAX(0,SV_L+(SV_stop)))</f>
        <v>32</v>
      </c>
      <c r="C93" s="19" t="s">
        <v>137</v>
      </c>
      <c r="D93" s="10"/>
    </row>
    <row r="94" spans="1:4" x14ac:dyDescent="0.25">
      <c r="A94" s="18" t="s">
        <v>1033</v>
      </c>
      <c r="B94" s="37">
        <f>IF(SV_stop-1&gt;=0,MIN(SV_stop-1,SV_L),MAX(0,SV_L+(SV_stop-1)))</f>
        <v>31</v>
      </c>
      <c r="C94" s="19" t="s">
        <v>137</v>
      </c>
      <c r="D94" s="10"/>
    </row>
    <row r="95" spans="1:4" x14ac:dyDescent="0.25">
      <c r="A95" s="18" t="s">
        <v>1034</v>
      </c>
      <c r="B95" s="37">
        <f>IF(SV_sp&gt;=0,MIN(SV_sp,SV_L),MAX(0,SV_L+(SV_sp)))</f>
        <v>32</v>
      </c>
      <c r="C95" s="19" t="s">
        <v>137</v>
      </c>
      <c r="D95" s="10"/>
    </row>
    <row r="96" spans="1:4" x14ac:dyDescent="0.25">
      <c r="A96" s="18" t="s">
        <v>1035</v>
      </c>
      <c r="B96" s="37">
        <f>IF(SV_sp-1&gt;=0,MIN(SV_sp-1,SV_L),MAX(0,SV_L+(SV_sp-1)))</f>
        <v>31</v>
      </c>
      <c r="C96" s="19" t="s">
        <v>137</v>
      </c>
      <c r="D96" s="10"/>
    </row>
    <row r="97" spans="1:4" x14ac:dyDescent="0.25">
      <c r="A97" s="18" t="s">
        <v>1036</v>
      </c>
      <c r="B97" s="37">
        <f>MAX(55-SV_age,0)+currentYear-2023</f>
        <v>24</v>
      </c>
      <c r="C97" s="19" t="s">
        <v>137</v>
      </c>
      <c r="D97" s="10"/>
    </row>
    <row r="98" spans="1:4" x14ac:dyDescent="0.25">
      <c r="A98" s="18" t="s">
        <v>1037</v>
      </c>
      <c r="B98" s="21">
        <f>IF(SV_brsIdx&lt;5,INDEX(SV_brsTbl,SV_brsIdx+1),INDEX(SV_brsTbl,5)*(1+SV_brsGrowth)^(SV_brsIdx-4))*(1+SV_brsGrowth)^(SV_asp-55)</f>
        <v>276950.64796274016</v>
      </c>
      <c r="C98" s="19" t="s">
        <v>137</v>
      </c>
      <c r="D98" s="10"/>
    </row>
    <row r="99" spans="1:4" x14ac:dyDescent="0.25">
      <c r="A99" s="18" t="s">
        <v>1038</v>
      </c>
      <c r="B99" s="21">
        <f>INDEX($W$123:$W$205,SV_pIdx+1)+INDEX($X$123:$X$205,SV_pIdx+1)+MAX(INDEX($U$123:$U$205,SV_pIdx+1)-SV_maCap,0)</f>
        <v>1680234.6837391849</v>
      </c>
      <c r="C99" s="19" t="s">
        <v>137</v>
      </c>
      <c r="D99" s="10" t="s">
        <v>1039</v>
      </c>
    </row>
    <row r="100" spans="1:4" x14ac:dyDescent="0.25">
      <c r="A100" s="18" t="s">
        <v>1040</v>
      </c>
      <c r="B100" s="37">
        <f>IF(SV_brs&gt;0,MIN(3,INT(SV_raS/SV_brs)),0)</f>
        <v>3</v>
      </c>
      <c r="C100" s="19" t="s">
        <v>137</v>
      </c>
      <c r="D100" s="10"/>
    </row>
    <row r="101" spans="1:4" x14ac:dyDescent="0.25">
      <c r="A101" s="18" t="s">
        <v>1041</v>
      </c>
      <c r="B101" s="21">
        <f>IF(SV_mult&lt;=0,0,SV_brs*SV_mult)</f>
        <v>830851.94388822047</v>
      </c>
      <c r="C101" s="19" t="s">
        <v>137</v>
      </c>
      <c r="D101" s="10"/>
    </row>
    <row r="102" spans="1:4" x14ac:dyDescent="0.25">
      <c r="A102" s="18" t="s">
        <v>1042</v>
      </c>
      <c r="B102" s="20">
        <f>IF(SV_mult&lt;=0,0,IF(SV_brsIdx&lt;5,INDEX(SV_payTbl,SV_brsIdx+1,SV_mult),INDEX(SV_payTbl,5,SV_mult)*(1+SV_brsGrowth)^(SV_brsIdx-4))*(1+SV_deferBonus*(SV_asp-65)))</f>
        <v>4858.4392212607218</v>
      </c>
      <c r="C102" s="19" t="s">
        <v>137</v>
      </c>
      <c r="D102" s="10"/>
    </row>
    <row r="103" spans="1:4" x14ac:dyDescent="0.25">
      <c r="A103" s="18" t="s">
        <v>1043</v>
      </c>
      <c r="B103" s="21">
        <f>SV_lifeGrowth*(SV_wd-12*SV_pay)</f>
        <v>803452.70016241551</v>
      </c>
      <c r="C103" s="19" t="s">
        <v>137</v>
      </c>
      <c r="D103" s="10"/>
    </row>
    <row r="104" spans="1:4" x14ac:dyDescent="0.25">
      <c r="A104" s="18" t="s">
        <v>1044</v>
      </c>
      <c r="B104" s="21">
        <f>SV_lifeGrowth*(SV_raS-SV_wd)</f>
        <v>883358.04944500304</v>
      </c>
      <c r="C104" s="19" t="s">
        <v>137</v>
      </c>
      <c r="D104" s="10"/>
    </row>
    <row r="105" spans="1:4" x14ac:dyDescent="0.25">
      <c r="A105" s="18" t="s">
        <v>1045</v>
      </c>
      <c r="B105" s="37">
        <f>MAX(0,-SV_sp-1)</f>
        <v>0</v>
      </c>
      <c r="C105" s="19" t="s">
        <v>137</v>
      </c>
      <c r="D105" s="10" t="s">
        <v>1046</v>
      </c>
    </row>
    <row r="106" spans="1:4" x14ac:dyDescent="0.25">
      <c r="A106" s="18" t="s">
        <v>1047</v>
      </c>
      <c r="B106" s="21">
        <f>SV_L0*SV_lifeGrowth^SV_n1-12*SV_pay*SV_lifeGrowth*(SV_lifeGrowth^SV_n1-1)/(SV_lifeGrowth-1)</f>
        <v>803452.70016241551</v>
      </c>
      <c r="C106" s="19" t="s">
        <v>137</v>
      </c>
      <c r="D106" s="10"/>
    </row>
    <row r="107" spans="1:4" x14ac:dyDescent="0.25">
      <c r="A107" s="18" t="s">
        <v>1048</v>
      </c>
      <c r="B107" s="21">
        <f>SV_R0*SV_lifeGrowth^SV_n1</f>
        <v>883358.04944500304</v>
      </c>
      <c r="C107" s="19" t="s">
        <v>137</v>
      </c>
      <c r="D107" s="10"/>
    </row>
    <row r="109" spans="1:4" x14ac:dyDescent="0.25">
      <c r="A109" s="80" t="s">
        <v>1049</v>
      </c>
      <c r="B109" s="80"/>
      <c r="C109" s="80"/>
      <c r="D109" s="80"/>
    </row>
    <row r="110" spans="1:4" x14ac:dyDescent="0.25">
      <c r="A110" s="18" t="s">
        <v>1050</v>
      </c>
      <c r="B110" s="21">
        <f>IF(AND(65-SV_age&gt;=0,65-SV_age&lt;=SV_T),INDEX($AG$123:$AG$205,65-SV_age+1),"")</f>
        <v>3707222.0877471622</v>
      </c>
      <c r="C110" s="19" t="s">
        <v>137</v>
      </c>
      <c r="D110" s="10"/>
    </row>
    <row r="111" spans="1:4" x14ac:dyDescent="0.25">
      <c r="A111" s="18" t="s">
        <v>1051</v>
      </c>
      <c r="B111" s="21">
        <f>IF(AND(85-SV_age&gt;=0,85-SV_age&lt;=SV_T),INDEX($AG$123:$AG$205,85-SV_age+1),"")</f>
        <v>4106555.3837965727</v>
      </c>
      <c r="C111" s="19" t="s">
        <v>137</v>
      </c>
      <c r="D111" s="10"/>
    </row>
    <row r="112" spans="1:4" x14ac:dyDescent="0.25">
      <c r="A112" s="18" t="s">
        <v>1052</v>
      </c>
      <c r="B112" s="21">
        <f>IF(AND(65-SV_age&gt;=0,65-SV_age&lt;=SV_T),INDEX($AQ$123:$AQ$205,65-SV_age+1),"")</f>
        <v>3909224.2094366737</v>
      </c>
      <c r="C112" s="19" t="s">
        <v>137</v>
      </c>
      <c r="D112" s="10"/>
    </row>
    <row r="113" spans="1:44" x14ac:dyDescent="0.25">
      <c r="A113" s="18" t="s">
        <v>1053</v>
      </c>
      <c r="B113" s="21">
        <f>IF(AND(85-SV_age&gt;=0,85-SV_age&lt;=SV_T),INDEX($AQ$123:$AQ$205,85-SV_age+1),"")</f>
        <v>4829699.2687509917</v>
      </c>
      <c r="C113" s="19" t="s">
        <v>137</v>
      </c>
      <c r="D113" s="10"/>
    </row>
    <row r="114" spans="1:44" x14ac:dyDescent="0.25">
      <c r="A114" s="18" t="s">
        <v>1054</v>
      </c>
      <c r="B114" s="21">
        <f>IF(endAge-SV_age&lt;=SV_T,INDEX($AG$123:$AG$205,MAX(0,endAge-SV_age)+1),"")</f>
        <v>4106555.3837965727</v>
      </c>
      <c r="C114" s="19" t="s">
        <v>137</v>
      </c>
      <c r="D114" s="10" t="s">
        <v>1055</v>
      </c>
    </row>
    <row r="115" spans="1:44" x14ac:dyDescent="0.25">
      <c r="A115" s="18" t="s">
        <v>1056</v>
      </c>
      <c r="B115" s="21">
        <f>IF(endAge-SV_age&lt;=SV_T,INDEX($AQ$123:$AQ$205,MAX(0,endAge-SV_age)+1),"")</f>
        <v>4829699.2687509917</v>
      </c>
      <c r="C115" s="19" t="s">
        <v>137</v>
      </c>
      <c r="D115" s="10"/>
    </row>
    <row r="116" spans="1:44" x14ac:dyDescent="0.25">
      <c r="A116" s="18" t="s">
        <v>1057</v>
      </c>
      <c r="B116" s="37">
        <f>IFERROR(SV_age+MATCH(1,INDEX(--($AH$123:$AH$205&lt;0),0),0)-1,"never")</f>
        <v>44</v>
      </c>
      <c r="C116" s="19" t="s">
        <v>137</v>
      </c>
      <c r="D116" s="10" t="s">
        <v>1058</v>
      </c>
    </row>
    <row r="117" spans="1:44" x14ac:dyDescent="0.25">
      <c r="A117" s="18" t="s">
        <v>1059</v>
      </c>
      <c r="B117" s="37">
        <f>IFERROR(SV_age+MATCH(1,INDEX(--($AR$123:$AR$205&lt;0),0),0)-1,"never")</f>
        <v>44</v>
      </c>
      <c r="C117" s="19" t="s">
        <v>137</v>
      </c>
      <c r="D117" s="10" t="s">
        <v>1058</v>
      </c>
    </row>
    <row r="121" spans="1:44" x14ac:dyDescent="0.25">
      <c r="A121" s="86" t="s">
        <v>1060</v>
      </c>
      <c r="B121" s="86"/>
      <c r="C121" s="86"/>
      <c r="D121" s="86"/>
      <c r="E121" s="80" t="s">
        <v>1061</v>
      </c>
      <c r="F121" s="80"/>
      <c r="G121" s="80"/>
      <c r="H121" s="80"/>
      <c r="I121" s="80"/>
      <c r="J121" s="80"/>
      <c r="K121" s="80"/>
      <c r="L121" s="80" t="s">
        <v>1062</v>
      </c>
      <c r="M121" s="80"/>
      <c r="N121" s="80"/>
      <c r="O121" s="80"/>
      <c r="P121" s="80"/>
      <c r="Q121" s="80" t="s">
        <v>1063</v>
      </c>
      <c r="R121" s="80"/>
      <c r="S121" s="80"/>
      <c r="T121" s="80"/>
      <c r="U121" s="80"/>
      <c r="V121" s="80"/>
      <c r="W121" s="80"/>
      <c r="X121" s="80"/>
      <c r="Y121" s="80"/>
      <c r="Z121" s="80"/>
      <c r="AA121" s="80"/>
      <c r="AB121" s="80"/>
      <c r="AC121" s="80"/>
      <c r="AD121" s="80"/>
      <c r="AE121" s="80" t="s">
        <v>1064</v>
      </c>
      <c r="AF121" s="80"/>
      <c r="AG121" s="80"/>
      <c r="AH121" s="80"/>
      <c r="AI121" s="80" t="s">
        <v>1065</v>
      </c>
      <c r="AJ121" s="80"/>
      <c r="AK121" s="80"/>
      <c r="AL121" s="80"/>
      <c r="AM121" s="80"/>
      <c r="AN121" s="80"/>
      <c r="AO121" s="80"/>
      <c r="AP121" s="80"/>
      <c r="AQ121" s="80"/>
      <c r="AR121" s="80"/>
    </row>
    <row r="122" spans="1:44" ht="38.25" x14ac:dyDescent="0.25">
      <c r="A122" s="2" t="s">
        <v>1060</v>
      </c>
      <c r="B122" s="2" t="s">
        <v>98</v>
      </c>
      <c r="C122" s="2" t="s">
        <v>1066</v>
      </c>
      <c r="D122" s="2" t="s">
        <v>1067</v>
      </c>
      <c r="E122" s="2" t="s">
        <v>1068</v>
      </c>
      <c r="F122" s="2" t="s">
        <v>1069</v>
      </c>
      <c r="G122" s="2" t="s">
        <v>1070</v>
      </c>
      <c r="H122" s="2" t="s">
        <v>1071</v>
      </c>
      <c r="I122" s="2" t="s">
        <v>1072</v>
      </c>
      <c r="J122" s="2" t="s">
        <v>1073</v>
      </c>
      <c r="K122" s="2" t="s">
        <v>1074</v>
      </c>
      <c r="L122" s="2" t="s">
        <v>1075</v>
      </c>
      <c r="M122" s="2" t="s">
        <v>119</v>
      </c>
      <c r="N122" s="2" t="s">
        <v>145</v>
      </c>
      <c r="O122" s="2" t="s">
        <v>147</v>
      </c>
      <c r="P122" s="2" t="s">
        <v>1076</v>
      </c>
      <c r="Q122" s="2" t="s">
        <v>1077</v>
      </c>
      <c r="R122" s="2" t="s">
        <v>1078</v>
      </c>
      <c r="S122" s="2" t="s">
        <v>1079</v>
      </c>
      <c r="T122" s="2" t="s">
        <v>1080</v>
      </c>
      <c r="U122" s="2" t="s">
        <v>1081</v>
      </c>
      <c r="V122" s="2" t="s">
        <v>398</v>
      </c>
      <c r="W122" s="2" t="s">
        <v>1082</v>
      </c>
      <c r="X122" s="2" t="s">
        <v>1083</v>
      </c>
      <c r="Y122" s="2" t="s">
        <v>1084</v>
      </c>
      <c r="Z122" s="2" t="s">
        <v>1085</v>
      </c>
      <c r="AA122" s="2" t="s">
        <v>1086</v>
      </c>
      <c r="AB122" s="2" t="s">
        <v>1087</v>
      </c>
      <c r="AC122" s="2" t="s">
        <v>1088</v>
      </c>
      <c r="AD122" s="2" t="s">
        <v>1089</v>
      </c>
      <c r="AE122" s="2" t="s">
        <v>1090</v>
      </c>
      <c r="AF122" s="2" t="s">
        <v>1091</v>
      </c>
      <c r="AG122" s="2" t="s">
        <v>1092</v>
      </c>
      <c r="AH122" s="2" t="s">
        <v>1093</v>
      </c>
      <c r="AI122" s="2" t="s">
        <v>1094</v>
      </c>
      <c r="AJ122" s="2" t="s">
        <v>1095</v>
      </c>
      <c r="AK122" s="2" t="s">
        <v>1096</v>
      </c>
      <c r="AL122" s="2" t="s">
        <v>1097</v>
      </c>
      <c r="AM122" s="2" t="s">
        <v>1098</v>
      </c>
      <c r="AN122" s="2" t="s">
        <v>1099</v>
      </c>
      <c r="AO122" s="2" t="s">
        <v>1100</v>
      </c>
      <c r="AP122" s="2" t="s">
        <v>1101</v>
      </c>
      <c r="AQ122" s="2" t="s">
        <v>1102</v>
      </c>
      <c r="AR122" s="2" t="s">
        <v>1103</v>
      </c>
    </row>
    <row r="123" spans="1:44" x14ac:dyDescent="0.25">
      <c r="A123" s="51">
        <v>0</v>
      </c>
      <c r="B123" s="51">
        <f t="shared" ref="B123:B154" si="0">SV_age+A123</f>
        <v>34</v>
      </c>
      <c r="C123" s="51">
        <f t="shared" ref="C123:C154" si="1">currentYear+A123</f>
        <v>2026</v>
      </c>
      <c r="D123" s="52" t="b">
        <f t="shared" ref="D123:D154" si="2">A123&lt;=SV_T</f>
        <v>1</v>
      </c>
      <c r="E123" s="50">
        <v>1</v>
      </c>
      <c r="F123" s="50">
        <v>1</v>
      </c>
      <c r="G123" s="50">
        <v>1</v>
      </c>
      <c r="H123" s="21">
        <v>0</v>
      </c>
      <c r="I123" s="21">
        <v>0</v>
      </c>
      <c r="J123" s="21">
        <v>0</v>
      </c>
      <c r="K123" s="21">
        <v>0</v>
      </c>
      <c r="L123" s="50">
        <v>1</v>
      </c>
      <c r="M123" s="50">
        <v>1</v>
      </c>
      <c r="N123" s="21">
        <f>IF(MOD(SV_cash,1)=0.5,2*ROUND((SV_cash)/2,0),ROUND(SV_cash,0))</f>
        <v>18378</v>
      </c>
      <c r="O123" s="21">
        <f>IF(MOD(SV_investments,1)=0.5,2*ROUND((SV_investments)/2,0),ROUND(SV_investments,0))</f>
        <v>104144</v>
      </c>
      <c r="P123" s="21">
        <f>IF(MOD(SV_property,1)=0.5,2*ROUND((SV_property)/2,0),ROUND(SV_property,0))</f>
        <v>350000</v>
      </c>
      <c r="Q123" s="37"/>
      <c r="R123" s="21">
        <v>0</v>
      </c>
      <c r="S123" s="21">
        <v>0</v>
      </c>
      <c r="T123" s="21">
        <v>0</v>
      </c>
      <c r="U123" s="21">
        <v>0</v>
      </c>
      <c r="V123" s="21">
        <v>0</v>
      </c>
      <c r="W123" s="21">
        <f t="shared" ref="W123:W154" si="3">IF(A123&gt;=SV_sIdx,0,S123)</f>
        <v>0</v>
      </c>
      <c r="X123" s="21">
        <f t="shared" ref="X123:X154" si="4">IF(A123&gt;=SV_sIdx,0,T123)</f>
        <v>0</v>
      </c>
      <c r="Y123" s="21">
        <f t="shared" ref="Y123:Y154" si="5">IF(A123&gt;=SV_sIdx,MIN(U123,SV_maCap),U123)</f>
        <v>0</v>
      </c>
      <c r="Z123" s="21">
        <f t="shared" ref="Z123:Z154" si="6">IF(AND(SV_cpfOn,A123&gt;=SV_pIdx,A123&lt;=SV_T),12*SV_pay,0)</f>
        <v>0</v>
      </c>
      <c r="AA123" s="21">
        <f>IF(SV_sp&gt;=0,IF(SV_sIdx=0,SV_R0,0),SV_lifeGrowth*SV_seedRA)</f>
        <v>0</v>
      </c>
      <c r="AB123" s="21">
        <f>IF(A123&gt;SV_T,0,IF(AND(SV_sp&gt;=0,A123&lt;SV_sIdx),0,IF(AND(SV_sp&gt;=0,A123=SV_sIdx),SV_L0,SV_lifeGrowth*(SV_seedLife-Z123))))</f>
        <v>0</v>
      </c>
      <c r="AC123" s="21">
        <f t="shared" ref="AC123:AC154" si="7">W123+X123+AA123+Y123+IF(AA123&lt;0,0,AB123)</f>
        <v>0</v>
      </c>
      <c r="AD123" s="21">
        <f t="shared" ref="AD123:AD154" si="8">Z123+V123</f>
        <v>0</v>
      </c>
      <c r="AE123" s="21">
        <f>IF(SV_mortP&gt;0,SV_mortP,0)</f>
        <v>192500</v>
      </c>
      <c r="AF123" s="21">
        <v>0</v>
      </c>
      <c r="AG123" s="21">
        <f t="shared" ref="AG123:AG154" si="9">IF(A123&gt;SV_T,0,MAX(0,N123+O123+P123+AC123+AF123-AE123))</f>
        <v>280022</v>
      </c>
      <c r="AH123" s="21">
        <f t="shared" ref="AH123:AH154" si="10">IF(A123&gt;SV_T,0,N123+O123+AF123-MAX(0,AE123-(P123+AC123)))</f>
        <v>122522</v>
      </c>
      <c r="AI123" s="21">
        <v>0</v>
      </c>
      <c r="AJ123" s="21">
        <v>0</v>
      </c>
      <c r="AK123" s="21">
        <v>0</v>
      </c>
      <c r="AL123" s="21">
        <v>0</v>
      </c>
      <c r="AM123" s="21">
        <v>0</v>
      </c>
      <c r="AN123" s="21">
        <f t="shared" ref="AN123:AN154" si="11">IF(OR(A123=0,A123&gt;=SV_T),0,ROUND(MAX(0,AJ123),2)+ROUND(MAX(0,AL123),2))</f>
        <v>0</v>
      </c>
      <c r="AO123" s="21">
        <v>0</v>
      </c>
      <c r="AP123" s="21">
        <v>0</v>
      </c>
      <c r="AQ123" s="21">
        <f t="shared" ref="AQ123:AQ154" si="12">IF(A123&gt;SV_T,0,MAX(0,N123+O123+P123+AC123+AP123+AN123-AE123))</f>
        <v>280022</v>
      </c>
      <c r="AR123" s="21">
        <f t="shared" ref="AR123:AR154" si="13">IF(A123&gt;SV_T,0,N123+O123+AP123+AN123-MAX(0,AE123-(P123+AC123)))</f>
        <v>122522</v>
      </c>
    </row>
    <row r="124" spans="1:44" x14ac:dyDescent="0.25">
      <c r="A124" s="51">
        <v>1</v>
      </c>
      <c r="B124" s="51">
        <f t="shared" si="0"/>
        <v>35</v>
      </c>
      <c r="C124" s="51">
        <f t="shared" si="1"/>
        <v>2027</v>
      </c>
      <c r="D124" s="52" t="b">
        <f t="shared" si="2"/>
        <v>1</v>
      </c>
      <c r="E124" s="50">
        <f t="shared" ref="E124:E155" si="14">IF(AND(SV_inflOn,A124&gt;=SV_inflS,A124&lt;=SV_inflE),1+SV_inflRate,1+inflationRate)</f>
        <v>1.0229999999999999</v>
      </c>
      <c r="F124" s="50">
        <f t="shared" ref="F124:F155" si="15">IF(A124&lt;=1,1,F123*E124)</f>
        <v>1</v>
      </c>
      <c r="G124" s="50">
        <f t="shared" ref="G124:G155" si="16">IF(AND(SV_incOn,A124&gt;=SV_incS,A124&lt;=SV_incE),1+SV_incImp,1)</f>
        <v>1</v>
      </c>
      <c r="H124" s="21">
        <f t="shared" ref="H124:H155" si="17">IF(OR(OR(A124&lt;1,A124&gt;SV_T),A124-1&gt;=SV_salCut),0,SV_sal0*(1+incomeGrowthRate)^(A124-1)*G124)</f>
        <v>85680</v>
      </c>
      <c r="I124" s="21">
        <f t="shared" ref="I124:I155" si="18">IF(OR(A124&lt;1,A124&gt;SV_T),0,(-SV_exp0*F124-IF(A124&lt;=SV_loanYears,SV_inst,0)-IF(AND(SV_wdAmt&gt;0,A124=SV_wdYear),SV_wdAmt,0))*IF(AND(SV_expOn,A124&gt;=SV_expS,A124&lt;=SV_expE),1+SV_expImp,1))</f>
        <v>-63239</v>
      </c>
      <c r="J124" s="21">
        <f t="shared" ref="J124:J155" si="19">IF(OR(OR(A124&lt;1,A124&gt;SV_T),A124&gt;SV_loanYears),0,-SV_lifePremYr)</f>
        <v>-1341.28</v>
      </c>
      <c r="K124" s="21">
        <f t="shared" ref="K124:K155" si="20">IF(OR(A124&lt;1,A124&gt;SV_T),0,-SV_contrib)</f>
        <v>-1571</v>
      </c>
      <c r="L124" s="50">
        <f t="shared" ref="L124:L155" si="21">IF(AND(SV_crashOn,A124=SV_crashYr),SV_crashF,1)</f>
        <v>1</v>
      </c>
      <c r="M124" s="50">
        <f t="shared" ref="M124:M155" si="22">IF(AND(SV_ccyOn,A124=SV_ccyYr),SV_ccyF,1)</f>
        <v>1</v>
      </c>
      <c r="N124" s="21">
        <f t="shared" ref="N124:N155" si="23">IF(A124&gt;SV_T,0,N123*(1+interestRate)*L124*M124)</f>
        <v>18598.536</v>
      </c>
      <c r="O124" s="21">
        <f t="shared" ref="O124:O155" si="24">IF(A124&gt;SV_T,0,(O123+SV_contrib)*(1+investmentReturn)*L124*M124)</f>
        <v>110155.03</v>
      </c>
      <c r="P124" s="21">
        <f t="shared" ref="P124:P155" si="25">IF(A124&gt;SV_T,0,P123*(1+SV_propRate)*L124)</f>
        <v>361900</v>
      </c>
      <c r="Q124" s="37">
        <f t="shared" ref="Q124:Q155" si="26">MATCH(SV_age+A124-1,SV_cpfLower,1)</f>
        <v>1</v>
      </c>
      <c r="R124" s="21">
        <f t="shared" ref="R124:R155" si="27">IF(OR(OR(A124&lt;1,A124&gt;SV_T),NOT(SV_cpfOn)),0,MIN(SV_sal0*(1+incomeGrowthRate)^(A124-1)*G124,SV_owCap))</f>
        <v>85680</v>
      </c>
      <c r="S124" s="21">
        <f t="shared" ref="S124:S155" si="28">IF(A124&gt;SV_T,0,S123*(1+SV_oaRate)+IF(A124&gt;=SV_effStop,0,INDEX(SV_cpfOA,Q124)*INDEX(SV_cpfTot,Q124)*R124))</f>
        <v>19708.884720000002</v>
      </c>
      <c r="T124" s="21">
        <f t="shared" ref="T124:T155" si="29">IF(A124&gt;SV_T,0,T123*(1+SV_saRate)+IF(A124&gt;=SV_effStop,0,INDEX(SV_cpfSA,Q124)*INDEX(SV_cpfTot,Q124)*R124))</f>
        <v>5138.8293599999997</v>
      </c>
      <c r="U124" s="21">
        <f t="shared" ref="U124:U155" si="30">IF(A124&gt;SV_T,0,U123*(1+SV_saRate)+IF(A124&gt;=SV_effStop,0,INDEX(SV_cpfMA,Q124)*INDEX(SV_cpfTot,Q124)*R124))</f>
        <v>6853.8859199999997</v>
      </c>
      <c r="V124" s="21">
        <f t="shared" ref="V124:V155" si="31">IF(OR(OR(A124&lt;1,A124&gt;SV_T),A124&gt;=SV_effNeg),0,-(INDEX(SV_cpfOA,Q124)+INDEX(SV_cpfSA,Q124)+INDEX(SV_cpfMA,Q124))*INDEX(SV_cpfEmp,Q124)*R124)</f>
        <v>-17136</v>
      </c>
      <c r="W124" s="21">
        <f t="shared" si="3"/>
        <v>19708.884720000002</v>
      </c>
      <c r="X124" s="21">
        <f t="shared" si="4"/>
        <v>5138.8293599999997</v>
      </c>
      <c r="Y124" s="21">
        <f t="shared" si="5"/>
        <v>6853.8859199999997</v>
      </c>
      <c r="Z124" s="21">
        <f t="shared" si="6"/>
        <v>0</v>
      </c>
      <c r="AA124" s="21">
        <f t="shared" ref="AA124:AA155" si="32">IF(A124&gt;SV_T,0,IF(SV_sp&gt;=0,IF(A124&lt;SV_sIdx,0,IF(A124=SV_sIdx,SV_R0,SV_lifeGrowth*AA123)),SV_lifeGrowth*AA123))</f>
        <v>0</v>
      </c>
      <c r="AB124" s="21">
        <f t="shared" ref="AB124:AB155" si="33">IF(A124&gt;SV_T,0,IF(AND(SV_sp&gt;=0,A124&lt;SV_sIdx),0,IF(AND(SV_sp&gt;=0,A124=SV_sIdx),SV_L0,SV_lifeGrowth*(AB123-Z124))))</f>
        <v>0</v>
      </c>
      <c r="AC124" s="21">
        <f t="shared" si="7"/>
        <v>31701.600000000002</v>
      </c>
      <c r="AD124" s="21">
        <f t="shared" si="8"/>
        <v>-17136</v>
      </c>
      <c r="AE124" s="21">
        <f t="shared" ref="AE124:AE155" si="34">IF(OR(A124&gt;SV_T,A124&gt;=SV_loanYears),0,MAX(0,AE123*(1+loanRate)-SV_inst))</f>
        <v>185692.49999999997</v>
      </c>
      <c r="AF124" s="21">
        <f t="shared" ref="AF124:AF155" si="35">IF(A124&gt;SV_T,0,AF123*(1+SV_savRate)+H124+I124+J124+K124+AD124)</f>
        <v>2392.7200000000012</v>
      </c>
      <c r="AG124" s="21">
        <f t="shared" si="9"/>
        <v>339055.38599999994</v>
      </c>
      <c r="AH124" s="21">
        <f t="shared" si="10"/>
        <v>131146.28599999999</v>
      </c>
      <c r="AI124" s="21">
        <f t="shared" ref="AI124:AI155" si="36">IF(OR(OR(A124&lt;1,A124&gt;SV_T),A124-1&gt;=SV_retPay),0,SV_retMth*12+IF(A124=1,SV_retLump,0))</f>
        <v>4800</v>
      </c>
      <c r="AJ124" s="21">
        <f t="shared" ref="AJ124:AJ155" si="37">IF(A124&gt;SV_T,0,(AJ123+AI124)*(1+investmentReturn))</f>
        <v>5001.6000000000004</v>
      </c>
      <c r="AK124" s="21">
        <f t="shared" ref="AK124:AK155" si="38">IF(OR(OR(A124&lt;1,A124&gt;SV_T),A124-1&gt;=SV_goalPay),0,SV_goalMth*12+IF(A124=1,SV_goalLump,0))</f>
        <v>4800</v>
      </c>
      <c r="AL124" s="21">
        <f t="shared" ref="AL124:AL155" si="39">IF(A124&gt;SV_T,0,(AL123+AK124)*(1+investmentReturn))</f>
        <v>5001.6000000000004</v>
      </c>
      <c r="AM124" s="21">
        <f t="shared" ref="AM124:AM155" si="40">IF(OR(OR(A124&lt;1,A124&gt;SV_T),A124-1&gt;=SV_protPay),0,SV_protPrem)</f>
        <v>380</v>
      </c>
      <c r="AN124" s="21">
        <f t="shared" si="11"/>
        <v>10003.200000000001</v>
      </c>
      <c r="AO124" s="21">
        <f t="shared" ref="AO124:AO155" si="41">IF(OR(A124&lt;1,A124&gt;SV_T),0,-(AI124+AK124+AM124)+IF(A124=SV_T,ROUND(MAX(0,AJ124),2)+ROUND(MAX(0,AL124),2),0))</f>
        <v>-9980</v>
      </c>
      <c r="AP124" s="21">
        <f t="shared" ref="AP124:AP155" si="42">IF(A124&gt;SV_T,0,AP123*(1+SV_savRate)+H124+I124+J124+K124+AD124+AO124)</f>
        <v>-7587.2799999999988</v>
      </c>
      <c r="AQ124" s="21">
        <f t="shared" si="12"/>
        <v>339078.58599999989</v>
      </c>
      <c r="AR124" s="21">
        <f t="shared" si="13"/>
        <v>131169.486</v>
      </c>
    </row>
    <row r="125" spans="1:44" x14ac:dyDescent="0.25">
      <c r="A125" s="51">
        <v>2</v>
      </c>
      <c r="B125" s="51">
        <f t="shared" si="0"/>
        <v>36</v>
      </c>
      <c r="C125" s="51">
        <f t="shared" si="1"/>
        <v>2028</v>
      </c>
      <c r="D125" s="52" t="b">
        <f t="shared" si="2"/>
        <v>1</v>
      </c>
      <c r="E125" s="50">
        <f t="shared" si="14"/>
        <v>1.0229999999999999</v>
      </c>
      <c r="F125" s="50">
        <f t="shared" si="15"/>
        <v>1.0229999999999999</v>
      </c>
      <c r="G125" s="50">
        <f t="shared" si="16"/>
        <v>1</v>
      </c>
      <c r="H125" s="21">
        <f t="shared" si="17"/>
        <v>88079.040000000008</v>
      </c>
      <c r="I125" s="21">
        <f t="shared" si="18"/>
        <v>-64381.961999999992</v>
      </c>
      <c r="J125" s="21">
        <f t="shared" si="19"/>
        <v>-1341.28</v>
      </c>
      <c r="K125" s="21">
        <f t="shared" si="20"/>
        <v>-1571</v>
      </c>
      <c r="L125" s="50">
        <f t="shared" si="21"/>
        <v>1</v>
      </c>
      <c r="M125" s="50">
        <f t="shared" si="22"/>
        <v>1</v>
      </c>
      <c r="N125" s="21">
        <f t="shared" si="23"/>
        <v>18821.718432000001</v>
      </c>
      <c r="O125" s="21">
        <f t="shared" si="24"/>
        <v>116418.52326</v>
      </c>
      <c r="P125" s="21">
        <f t="shared" si="25"/>
        <v>374204.60000000003</v>
      </c>
      <c r="Q125" s="37">
        <f t="shared" si="26"/>
        <v>1</v>
      </c>
      <c r="R125" s="21">
        <f t="shared" si="27"/>
        <v>88079.040000000008</v>
      </c>
      <c r="S125" s="21">
        <f t="shared" si="28"/>
        <v>40462.340330160005</v>
      </c>
      <c r="T125" s="21">
        <f t="shared" si="29"/>
        <v>10627.09911648</v>
      </c>
      <c r="U125" s="21">
        <f t="shared" si="30"/>
        <v>14173.836082559999</v>
      </c>
      <c r="V125" s="21">
        <f t="shared" si="31"/>
        <v>-17615.808000000001</v>
      </c>
      <c r="W125" s="21">
        <f t="shared" si="3"/>
        <v>40462.340330160005</v>
      </c>
      <c r="X125" s="21">
        <f t="shared" si="4"/>
        <v>10627.09911648</v>
      </c>
      <c r="Y125" s="21">
        <f t="shared" si="5"/>
        <v>14173.836082559999</v>
      </c>
      <c r="Z125" s="21">
        <f t="shared" si="6"/>
        <v>0</v>
      </c>
      <c r="AA125" s="21">
        <f t="shared" si="32"/>
        <v>0</v>
      </c>
      <c r="AB125" s="21">
        <f t="shared" si="33"/>
        <v>0</v>
      </c>
      <c r="AC125" s="21">
        <f t="shared" si="7"/>
        <v>65263.275529200007</v>
      </c>
      <c r="AD125" s="21">
        <f t="shared" si="8"/>
        <v>-17615.808000000001</v>
      </c>
      <c r="AE125" s="21">
        <f t="shared" si="34"/>
        <v>178646.73749999996</v>
      </c>
      <c r="AF125" s="21">
        <f t="shared" si="35"/>
        <v>5585.6372000000229</v>
      </c>
      <c r="AG125" s="21">
        <f t="shared" si="9"/>
        <v>401647.01692120009</v>
      </c>
      <c r="AH125" s="21">
        <f t="shared" si="10"/>
        <v>140825.87889200004</v>
      </c>
      <c r="AI125" s="21">
        <f t="shared" si="36"/>
        <v>4800</v>
      </c>
      <c r="AJ125" s="21">
        <f t="shared" si="37"/>
        <v>10213.2672</v>
      </c>
      <c r="AK125" s="21">
        <f t="shared" si="38"/>
        <v>4800</v>
      </c>
      <c r="AL125" s="21">
        <f t="shared" si="39"/>
        <v>10213.2672</v>
      </c>
      <c r="AM125" s="21">
        <f t="shared" si="40"/>
        <v>380</v>
      </c>
      <c r="AN125" s="21">
        <f t="shared" si="11"/>
        <v>20426.54</v>
      </c>
      <c r="AO125" s="21">
        <f t="shared" si="41"/>
        <v>-9980</v>
      </c>
      <c r="AP125" s="21">
        <f t="shared" si="42"/>
        <v>-14474.162799999982</v>
      </c>
      <c r="AQ125" s="21">
        <f t="shared" si="12"/>
        <v>402013.7569212002</v>
      </c>
      <c r="AR125" s="21">
        <f t="shared" si="13"/>
        <v>141192.61889200003</v>
      </c>
    </row>
    <row r="126" spans="1:44" x14ac:dyDescent="0.25">
      <c r="A126" s="51">
        <v>3</v>
      </c>
      <c r="B126" s="51">
        <f t="shared" si="0"/>
        <v>37</v>
      </c>
      <c r="C126" s="51">
        <f t="shared" si="1"/>
        <v>2029</v>
      </c>
      <c r="D126" s="52" t="b">
        <f t="shared" si="2"/>
        <v>1</v>
      </c>
      <c r="E126" s="50">
        <f t="shared" si="14"/>
        <v>1.0229999999999999</v>
      </c>
      <c r="F126" s="50">
        <f t="shared" si="15"/>
        <v>1.0465289999999998</v>
      </c>
      <c r="G126" s="50">
        <f t="shared" si="16"/>
        <v>1</v>
      </c>
      <c r="H126" s="21">
        <f t="shared" si="17"/>
        <v>90545.253119999994</v>
      </c>
      <c r="I126" s="21">
        <f t="shared" si="18"/>
        <v>-65551.212125999999</v>
      </c>
      <c r="J126" s="21">
        <f t="shared" si="19"/>
        <v>-1341.28</v>
      </c>
      <c r="K126" s="21">
        <f t="shared" si="20"/>
        <v>-1571</v>
      </c>
      <c r="L126" s="50">
        <f t="shared" si="21"/>
        <v>1</v>
      </c>
      <c r="M126" s="50">
        <f t="shared" si="22"/>
        <v>1</v>
      </c>
      <c r="N126" s="21">
        <f t="shared" si="23"/>
        <v>19047.579053184003</v>
      </c>
      <c r="O126" s="21">
        <f t="shared" si="24"/>
        <v>122945.08323692001</v>
      </c>
      <c r="P126" s="21">
        <f t="shared" si="25"/>
        <v>386927.55640000006</v>
      </c>
      <c r="Q126" s="37">
        <f t="shared" si="26"/>
        <v>2</v>
      </c>
      <c r="R126" s="21">
        <f t="shared" si="27"/>
        <v>90545.253119999994</v>
      </c>
      <c r="S126" s="21">
        <f t="shared" si="28"/>
        <v>60492.838711016884</v>
      </c>
      <c r="T126" s="21">
        <f t="shared" si="29"/>
        <v>17387.36280618624</v>
      </c>
      <c r="U126" s="21">
        <f t="shared" si="30"/>
        <v>22888.413582612477</v>
      </c>
      <c r="V126" s="21">
        <f t="shared" si="31"/>
        <v>-18109.050623999996</v>
      </c>
      <c r="W126" s="21">
        <f t="shared" si="3"/>
        <v>60492.838711016884</v>
      </c>
      <c r="X126" s="21">
        <f t="shared" si="4"/>
        <v>17387.36280618624</v>
      </c>
      <c r="Y126" s="21">
        <f t="shared" si="5"/>
        <v>22888.413582612477</v>
      </c>
      <c r="Z126" s="21">
        <f t="shared" si="6"/>
        <v>0</v>
      </c>
      <c r="AA126" s="21">
        <f t="shared" si="32"/>
        <v>0</v>
      </c>
      <c r="AB126" s="21">
        <f t="shared" si="33"/>
        <v>0</v>
      </c>
      <c r="AC126" s="21">
        <f t="shared" si="7"/>
        <v>100768.61509981559</v>
      </c>
      <c r="AD126" s="21">
        <f t="shared" si="8"/>
        <v>-18109.050623999996</v>
      </c>
      <c r="AE126" s="21">
        <f t="shared" si="34"/>
        <v>171354.37331249996</v>
      </c>
      <c r="AF126" s="21">
        <f t="shared" si="35"/>
        <v>9614.2039420000219</v>
      </c>
      <c r="AG126" s="21">
        <f t="shared" si="9"/>
        <v>467948.66441941983</v>
      </c>
      <c r="AH126" s="21">
        <f t="shared" si="10"/>
        <v>151606.86623210405</v>
      </c>
      <c r="AI126" s="21">
        <f t="shared" si="36"/>
        <v>4800</v>
      </c>
      <c r="AJ126" s="21">
        <f t="shared" si="37"/>
        <v>15643.824422400001</v>
      </c>
      <c r="AK126" s="21">
        <f t="shared" si="38"/>
        <v>4800</v>
      </c>
      <c r="AL126" s="21">
        <f t="shared" si="39"/>
        <v>15643.824422400001</v>
      </c>
      <c r="AM126" s="21">
        <f t="shared" si="40"/>
        <v>380</v>
      </c>
      <c r="AN126" s="21">
        <f t="shared" si="11"/>
        <v>31287.64</v>
      </c>
      <c r="AO126" s="21">
        <f t="shared" si="41"/>
        <v>-9980</v>
      </c>
      <c r="AP126" s="21">
        <f t="shared" si="42"/>
        <v>-20626.194057999979</v>
      </c>
      <c r="AQ126" s="21">
        <f t="shared" si="12"/>
        <v>468995.9064194198</v>
      </c>
      <c r="AR126" s="21">
        <f t="shared" si="13"/>
        <v>152654.10823210404</v>
      </c>
    </row>
    <row r="127" spans="1:44" x14ac:dyDescent="0.25">
      <c r="A127" s="51">
        <v>4</v>
      </c>
      <c r="B127" s="51">
        <f t="shared" si="0"/>
        <v>38</v>
      </c>
      <c r="C127" s="51">
        <f t="shared" si="1"/>
        <v>2030</v>
      </c>
      <c r="D127" s="52" t="b">
        <f t="shared" si="2"/>
        <v>1</v>
      </c>
      <c r="E127" s="50">
        <f t="shared" si="14"/>
        <v>1.0229999999999999</v>
      </c>
      <c r="F127" s="50">
        <f t="shared" si="15"/>
        <v>1.0705991669999997</v>
      </c>
      <c r="G127" s="50">
        <f t="shared" si="16"/>
        <v>1</v>
      </c>
      <c r="H127" s="21">
        <f t="shared" si="17"/>
        <v>93080.520207359994</v>
      </c>
      <c r="I127" s="21">
        <f t="shared" si="18"/>
        <v>-66747.355004897981</v>
      </c>
      <c r="J127" s="21">
        <f t="shared" si="19"/>
        <v>-1341.28</v>
      </c>
      <c r="K127" s="21">
        <f t="shared" si="20"/>
        <v>-1571</v>
      </c>
      <c r="L127" s="50">
        <f t="shared" si="21"/>
        <v>1</v>
      </c>
      <c r="M127" s="50">
        <f t="shared" si="22"/>
        <v>1</v>
      </c>
      <c r="N127" s="21">
        <f t="shared" si="23"/>
        <v>19276.15000182221</v>
      </c>
      <c r="O127" s="21">
        <f t="shared" si="24"/>
        <v>129745.75873287066</v>
      </c>
      <c r="P127" s="21">
        <f t="shared" si="25"/>
        <v>400083.09331760008</v>
      </c>
      <c r="Q127" s="37">
        <f t="shared" si="26"/>
        <v>2</v>
      </c>
      <c r="R127" s="21">
        <f t="shared" si="27"/>
        <v>93080.520207359994</v>
      </c>
      <c r="S127" s="21">
        <f t="shared" si="28"/>
        <v>81556.629867828058</v>
      </c>
      <c r="T127" s="21">
        <f t="shared" si="29"/>
        <v>24595.422075782044</v>
      </c>
      <c r="U127" s="21">
        <f t="shared" si="30"/>
        <v>32179.707656256058</v>
      </c>
      <c r="V127" s="21">
        <f t="shared" si="31"/>
        <v>-18616.104041471997</v>
      </c>
      <c r="W127" s="21">
        <f t="shared" si="3"/>
        <v>81556.629867828058</v>
      </c>
      <c r="X127" s="21">
        <f t="shared" si="4"/>
        <v>24595.422075782044</v>
      </c>
      <c r="Y127" s="21">
        <f t="shared" si="5"/>
        <v>32179.707656256058</v>
      </c>
      <c r="Z127" s="21">
        <f t="shared" si="6"/>
        <v>0</v>
      </c>
      <c r="AA127" s="21">
        <f t="shared" si="32"/>
        <v>0</v>
      </c>
      <c r="AB127" s="21">
        <f t="shared" si="33"/>
        <v>0</v>
      </c>
      <c r="AC127" s="21">
        <f t="shared" si="7"/>
        <v>138331.75959986617</v>
      </c>
      <c r="AD127" s="21">
        <f t="shared" si="8"/>
        <v>-18616.104041471997</v>
      </c>
      <c r="AE127" s="21">
        <f t="shared" si="34"/>
        <v>163806.77637843744</v>
      </c>
      <c r="AF127" s="21">
        <f t="shared" si="35"/>
        <v>14515.127142410034</v>
      </c>
      <c r="AG127" s="21">
        <f t="shared" si="9"/>
        <v>538145.11241613165</v>
      </c>
      <c r="AH127" s="21">
        <f t="shared" si="10"/>
        <v>163537.0358771029</v>
      </c>
      <c r="AI127" s="21">
        <f t="shared" si="36"/>
        <v>4800</v>
      </c>
      <c r="AJ127" s="21">
        <f t="shared" si="37"/>
        <v>21302.465048140803</v>
      </c>
      <c r="AK127" s="21">
        <f t="shared" si="38"/>
        <v>4800</v>
      </c>
      <c r="AL127" s="21">
        <f t="shared" si="39"/>
        <v>21302.465048140803</v>
      </c>
      <c r="AM127" s="21">
        <f t="shared" si="40"/>
        <v>380</v>
      </c>
      <c r="AN127" s="21">
        <f t="shared" si="11"/>
        <v>42604.94</v>
      </c>
      <c r="AO127" s="21">
        <f t="shared" si="41"/>
        <v>-9980</v>
      </c>
      <c r="AP127" s="21">
        <f t="shared" si="42"/>
        <v>-26007.67483758997</v>
      </c>
      <c r="AQ127" s="21">
        <f t="shared" si="12"/>
        <v>540227.25043613161</v>
      </c>
      <c r="AR127" s="21">
        <f t="shared" si="13"/>
        <v>165619.17389710291</v>
      </c>
    </row>
    <row r="128" spans="1:44" x14ac:dyDescent="0.25">
      <c r="A128" s="51">
        <v>5</v>
      </c>
      <c r="B128" s="51">
        <f t="shared" si="0"/>
        <v>39</v>
      </c>
      <c r="C128" s="51">
        <f t="shared" si="1"/>
        <v>2031</v>
      </c>
      <c r="D128" s="52" t="b">
        <f t="shared" si="2"/>
        <v>1</v>
      </c>
      <c r="E128" s="50">
        <f t="shared" si="14"/>
        <v>1.0229999999999999</v>
      </c>
      <c r="F128" s="50">
        <f t="shared" si="15"/>
        <v>1.0952229478409996</v>
      </c>
      <c r="G128" s="50">
        <f t="shared" si="16"/>
        <v>1</v>
      </c>
      <c r="H128" s="21">
        <f t="shared" si="17"/>
        <v>95686.774773166078</v>
      </c>
      <c r="I128" s="21">
        <f t="shared" si="18"/>
        <v>-67971.009170010628</v>
      </c>
      <c r="J128" s="21">
        <f t="shared" si="19"/>
        <v>-1341.28</v>
      </c>
      <c r="K128" s="21">
        <f t="shared" si="20"/>
        <v>-1571</v>
      </c>
      <c r="L128" s="50">
        <f t="shared" si="21"/>
        <v>1</v>
      </c>
      <c r="M128" s="50">
        <f t="shared" si="22"/>
        <v>1</v>
      </c>
      <c r="N128" s="21">
        <f t="shared" si="23"/>
        <v>19507.463801844078</v>
      </c>
      <c r="O128" s="21">
        <f t="shared" si="24"/>
        <v>136832.06259965122</v>
      </c>
      <c r="P128" s="21">
        <f t="shared" si="25"/>
        <v>413685.9184903985</v>
      </c>
      <c r="Q128" s="37">
        <f t="shared" si="26"/>
        <v>2</v>
      </c>
      <c r="R128" s="21">
        <f t="shared" si="27"/>
        <v>95686.774773166078</v>
      </c>
      <c r="S128" s="21">
        <f t="shared" si="28"/>
        <v>103694.45696885252</v>
      </c>
      <c r="T128" s="21">
        <f t="shared" si="29"/>
        <v>32274.155529367439</v>
      </c>
      <c r="U128" s="21">
        <f t="shared" si="30"/>
        <v>42077.17470369488</v>
      </c>
      <c r="V128" s="21">
        <f t="shared" si="31"/>
        <v>-19137.354954633214</v>
      </c>
      <c r="W128" s="21">
        <f t="shared" si="3"/>
        <v>103694.45696885252</v>
      </c>
      <c r="X128" s="21">
        <f t="shared" si="4"/>
        <v>32274.155529367439</v>
      </c>
      <c r="Y128" s="21">
        <f t="shared" si="5"/>
        <v>42077.17470369488</v>
      </c>
      <c r="Z128" s="21">
        <f t="shared" si="6"/>
        <v>0</v>
      </c>
      <c r="AA128" s="21">
        <f t="shared" si="32"/>
        <v>0</v>
      </c>
      <c r="AB128" s="21">
        <f t="shared" si="33"/>
        <v>0</v>
      </c>
      <c r="AC128" s="21">
        <f t="shared" si="7"/>
        <v>178045.78720191485</v>
      </c>
      <c r="AD128" s="21">
        <f t="shared" si="8"/>
        <v>-19137.354954633214</v>
      </c>
      <c r="AE128" s="21">
        <f t="shared" si="34"/>
        <v>155995.01355168273</v>
      </c>
      <c r="AF128" s="21">
        <f t="shared" si="35"/>
        <v>20326.409062356375</v>
      </c>
      <c r="AG128" s="21">
        <f t="shared" si="9"/>
        <v>612402.62760448223</v>
      </c>
      <c r="AH128" s="21">
        <f t="shared" si="10"/>
        <v>176665.93546385167</v>
      </c>
      <c r="AI128" s="21">
        <f t="shared" si="36"/>
        <v>4800</v>
      </c>
      <c r="AJ128" s="21">
        <f t="shared" si="37"/>
        <v>27198.768580162716</v>
      </c>
      <c r="AK128" s="21">
        <f t="shared" si="38"/>
        <v>4800</v>
      </c>
      <c r="AL128" s="21">
        <f t="shared" si="39"/>
        <v>27198.768580162716</v>
      </c>
      <c r="AM128" s="21">
        <f t="shared" si="40"/>
        <v>380</v>
      </c>
      <c r="AN128" s="21">
        <f t="shared" si="11"/>
        <v>54397.54</v>
      </c>
      <c r="AO128" s="21">
        <f t="shared" si="41"/>
        <v>-9980</v>
      </c>
      <c r="AP128" s="21">
        <f t="shared" si="42"/>
        <v>-30581.620937443637</v>
      </c>
      <c r="AQ128" s="21">
        <f t="shared" si="12"/>
        <v>615892.13760468224</v>
      </c>
      <c r="AR128" s="21">
        <f t="shared" si="13"/>
        <v>180155.44546405168</v>
      </c>
    </row>
    <row r="129" spans="1:44" x14ac:dyDescent="0.25">
      <c r="A129" s="51">
        <v>6</v>
      </c>
      <c r="B129" s="51">
        <f t="shared" si="0"/>
        <v>40</v>
      </c>
      <c r="C129" s="51">
        <f t="shared" si="1"/>
        <v>2032</v>
      </c>
      <c r="D129" s="52" t="b">
        <f t="shared" si="2"/>
        <v>1</v>
      </c>
      <c r="E129" s="50">
        <f t="shared" si="14"/>
        <v>1.0229999999999999</v>
      </c>
      <c r="F129" s="50">
        <f t="shared" si="15"/>
        <v>1.1204130756413424</v>
      </c>
      <c r="G129" s="50">
        <f t="shared" si="16"/>
        <v>1</v>
      </c>
      <c r="H129" s="21">
        <f t="shared" si="17"/>
        <v>98366.004466814731</v>
      </c>
      <c r="I129" s="21">
        <f t="shared" si="18"/>
        <v>-69222.807380920873</v>
      </c>
      <c r="J129" s="21">
        <f t="shared" si="19"/>
        <v>-1341.28</v>
      </c>
      <c r="K129" s="21">
        <f t="shared" si="20"/>
        <v>-1571</v>
      </c>
      <c r="L129" s="50">
        <f t="shared" si="21"/>
        <v>1</v>
      </c>
      <c r="M129" s="50">
        <f t="shared" si="22"/>
        <v>1</v>
      </c>
      <c r="N129" s="21">
        <f t="shared" si="23"/>
        <v>19741.553367466207</v>
      </c>
      <c r="O129" s="21">
        <f t="shared" si="24"/>
        <v>144215.99122883659</v>
      </c>
      <c r="P129" s="21">
        <f t="shared" si="25"/>
        <v>427751.23971907207</v>
      </c>
      <c r="Q129" s="37">
        <f t="shared" si="26"/>
        <v>2</v>
      </c>
      <c r="R129" s="21">
        <f t="shared" si="27"/>
        <v>96000</v>
      </c>
      <c r="S129" s="21">
        <f t="shared" si="28"/>
        <v>126451.52239307383</v>
      </c>
      <c r="T129" s="21">
        <f t="shared" si="29"/>
        <v>40281.953750542139</v>
      </c>
      <c r="U129" s="21">
        <f t="shared" si="30"/>
        <v>52398.725691842679</v>
      </c>
      <c r="V129" s="21">
        <f t="shared" si="31"/>
        <v>-19200</v>
      </c>
      <c r="W129" s="21">
        <f t="shared" si="3"/>
        <v>126451.52239307383</v>
      </c>
      <c r="X129" s="21">
        <f t="shared" si="4"/>
        <v>40281.953750542139</v>
      </c>
      <c r="Y129" s="21">
        <f t="shared" si="5"/>
        <v>52398.725691842679</v>
      </c>
      <c r="Z129" s="21">
        <f t="shared" si="6"/>
        <v>0</v>
      </c>
      <c r="AA129" s="21">
        <f t="shared" si="32"/>
        <v>0</v>
      </c>
      <c r="AB129" s="21">
        <f t="shared" si="33"/>
        <v>0</v>
      </c>
      <c r="AC129" s="21">
        <f t="shared" si="7"/>
        <v>219132.20183545863</v>
      </c>
      <c r="AD129" s="21">
        <f t="shared" si="8"/>
        <v>-19200</v>
      </c>
      <c r="AE129" s="21">
        <f t="shared" si="34"/>
        <v>147909.83902599162</v>
      </c>
      <c r="AF129" s="21">
        <f t="shared" si="35"/>
        <v>27560.590238873803</v>
      </c>
      <c r="AG129" s="21">
        <f t="shared" si="9"/>
        <v>690491.73736371577</v>
      </c>
      <c r="AH129" s="21">
        <f t="shared" si="10"/>
        <v>191518.13483517658</v>
      </c>
      <c r="AI129" s="21">
        <f t="shared" si="36"/>
        <v>4800</v>
      </c>
      <c r="AJ129" s="21">
        <f t="shared" si="37"/>
        <v>33342.716860529552</v>
      </c>
      <c r="AK129" s="21">
        <f t="shared" si="38"/>
        <v>4800</v>
      </c>
      <c r="AL129" s="21">
        <f t="shared" si="39"/>
        <v>33342.716860529552</v>
      </c>
      <c r="AM129" s="21">
        <f t="shared" si="40"/>
        <v>380</v>
      </c>
      <c r="AN129" s="21">
        <f t="shared" si="11"/>
        <v>66685.440000000002</v>
      </c>
      <c r="AO129" s="21">
        <f t="shared" si="41"/>
        <v>-9980</v>
      </c>
      <c r="AP129" s="21">
        <f t="shared" si="42"/>
        <v>-33836.520060924217</v>
      </c>
      <c r="AQ129" s="21">
        <f t="shared" si="12"/>
        <v>695780.06706391776</v>
      </c>
      <c r="AR129" s="21">
        <f t="shared" si="13"/>
        <v>196806.46453537856</v>
      </c>
    </row>
    <row r="130" spans="1:44" x14ac:dyDescent="0.25">
      <c r="A130" s="51">
        <v>7</v>
      </c>
      <c r="B130" s="51">
        <f t="shared" si="0"/>
        <v>41</v>
      </c>
      <c r="C130" s="51">
        <f t="shared" si="1"/>
        <v>2033</v>
      </c>
      <c r="D130" s="52" t="b">
        <f t="shared" si="2"/>
        <v>1</v>
      </c>
      <c r="E130" s="50">
        <f t="shared" si="14"/>
        <v>1.0229999999999999</v>
      </c>
      <c r="F130" s="50">
        <f t="shared" si="15"/>
        <v>1.1461825763810931</v>
      </c>
      <c r="G130" s="50">
        <f t="shared" si="16"/>
        <v>1</v>
      </c>
      <c r="H130" s="21">
        <f t="shared" si="17"/>
        <v>101120.25259188554</v>
      </c>
      <c r="I130" s="21">
        <f t="shared" si="18"/>
        <v>-70503.396950682043</v>
      </c>
      <c r="J130" s="21">
        <f t="shared" si="19"/>
        <v>-1341.28</v>
      </c>
      <c r="K130" s="21">
        <f t="shared" si="20"/>
        <v>-1571</v>
      </c>
      <c r="L130" s="50">
        <f t="shared" si="21"/>
        <v>1</v>
      </c>
      <c r="M130" s="50">
        <f t="shared" si="22"/>
        <v>1</v>
      </c>
      <c r="N130" s="21">
        <f t="shared" si="23"/>
        <v>19978.452007875803</v>
      </c>
      <c r="O130" s="21">
        <f t="shared" si="24"/>
        <v>151910.04486044773</v>
      </c>
      <c r="P130" s="21">
        <f t="shared" si="25"/>
        <v>442294.78186952055</v>
      </c>
      <c r="Q130" s="37">
        <f t="shared" si="26"/>
        <v>2</v>
      </c>
      <c r="R130" s="21">
        <f t="shared" si="27"/>
        <v>96000</v>
      </c>
      <c r="S130" s="21">
        <f t="shared" si="28"/>
        <v>149777.51445290068</v>
      </c>
      <c r="T130" s="21">
        <f t="shared" si="29"/>
        <v>48610.06390056383</v>
      </c>
      <c r="U130" s="21">
        <f t="shared" si="30"/>
        <v>63133.138719516392</v>
      </c>
      <c r="V130" s="21">
        <f t="shared" si="31"/>
        <v>-19200</v>
      </c>
      <c r="W130" s="21">
        <f t="shared" si="3"/>
        <v>149777.51445290068</v>
      </c>
      <c r="X130" s="21">
        <f t="shared" si="4"/>
        <v>48610.06390056383</v>
      </c>
      <c r="Y130" s="21">
        <f t="shared" si="5"/>
        <v>63133.138719516392</v>
      </c>
      <c r="Z130" s="21">
        <f t="shared" si="6"/>
        <v>0</v>
      </c>
      <c r="AA130" s="21">
        <f t="shared" si="32"/>
        <v>0</v>
      </c>
      <c r="AB130" s="21">
        <f t="shared" si="33"/>
        <v>0</v>
      </c>
      <c r="AC130" s="21">
        <f t="shared" si="7"/>
        <v>261520.71707298091</v>
      </c>
      <c r="AD130" s="21">
        <f t="shared" si="8"/>
        <v>-19200</v>
      </c>
      <c r="AE130" s="21">
        <f t="shared" si="34"/>
        <v>139541.68339190132</v>
      </c>
      <c r="AF130" s="21">
        <f t="shared" si="35"/>
        <v>36340.771782466036</v>
      </c>
      <c r="AG130" s="21">
        <f t="shared" si="9"/>
        <v>772503.08420138981</v>
      </c>
      <c r="AH130" s="21">
        <f t="shared" si="10"/>
        <v>208229.26865078957</v>
      </c>
      <c r="AI130" s="21">
        <f t="shared" si="36"/>
        <v>4800</v>
      </c>
      <c r="AJ130" s="21">
        <f t="shared" si="37"/>
        <v>39744.710968671796</v>
      </c>
      <c r="AK130" s="21">
        <f t="shared" si="38"/>
        <v>4800</v>
      </c>
      <c r="AL130" s="21">
        <f t="shared" si="39"/>
        <v>39744.710968671796</v>
      </c>
      <c r="AM130" s="21">
        <f t="shared" si="40"/>
        <v>380</v>
      </c>
      <c r="AN130" s="21">
        <f t="shared" si="11"/>
        <v>79489.42</v>
      </c>
      <c r="AO130" s="21">
        <f t="shared" si="41"/>
        <v>-9980</v>
      </c>
      <c r="AP130" s="21">
        <f t="shared" si="42"/>
        <v>-35650.309620329965</v>
      </c>
      <c r="AQ130" s="21">
        <f t="shared" si="12"/>
        <v>780001.42279859376</v>
      </c>
      <c r="AR130" s="21">
        <f t="shared" si="13"/>
        <v>215727.60724799358</v>
      </c>
    </row>
    <row r="131" spans="1:44" x14ac:dyDescent="0.25">
      <c r="A131" s="51">
        <v>8</v>
      </c>
      <c r="B131" s="51">
        <f t="shared" si="0"/>
        <v>42</v>
      </c>
      <c r="C131" s="51">
        <f t="shared" si="1"/>
        <v>2034</v>
      </c>
      <c r="D131" s="52" t="b">
        <f t="shared" si="2"/>
        <v>1</v>
      </c>
      <c r="E131" s="50">
        <f t="shared" si="14"/>
        <v>1.0229999999999999</v>
      </c>
      <c r="F131" s="50">
        <f t="shared" si="15"/>
        <v>1.1725447756378582</v>
      </c>
      <c r="G131" s="50">
        <f t="shared" si="16"/>
        <v>1</v>
      </c>
      <c r="H131" s="21">
        <f t="shared" si="17"/>
        <v>103951.61966445834</v>
      </c>
      <c r="I131" s="21">
        <f t="shared" si="18"/>
        <v>-71813.440080547734</v>
      </c>
      <c r="J131" s="21">
        <f t="shared" si="19"/>
        <v>-1341.28</v>
      </c>
      <c r="K131" s="21">
        <f t="shared" si="20"/>
        <v>-1571</v>
      </c>
      <c r="L131" s="50">
        <f t="shared" si="21"/>
        <v>1</v>
      </c>
      <c r="M131" s="50">
        <f t="shared" si="22"/>
        <v>1</v>
      </c>
      <c r="N131" s="21">
        <f t="shared" si="23"/>
        <v>20218.193431970314</v>
      </c>
      <c r="O131" s="21">
        <f t="shared" si="24"/>
        <v>159927.24874458654</v>
      </c>
      <c r="P131" s="21">
        <f t="shared" si="25"/>
        <v>457332.80445308425</v>
      </c>
      <c r="Q131" s="37">
        <f t="shared" si="26"/>
        <v>2</v>
      </c>
      <c r="R131" s="21">
        <f t="shared" si="27"/>
        <v>96000</v>
      </c>
      <c r="S131" s="21">
        <f t="shared" si="28"/>
        <v>173686.65631422319</v>
      </c>
      <c r="T131" s="21">
        <f t="shared" si="29"/>
        <v>57271.298456586388</v>
      </c>
      <c r="U131" s="21">
        <f t="shared" si="30"/>
        <v>74296.928268297052</v>
      </c>
      <c r="V131" s="21">
        <f t="shared" si="31"/>
        <v>-19200</v>
      </c>
      <c r="W131" s="21">
        <f t="shared" si="3"/>
        <v>173686.65631422319</v>
      </c>
      <c r="X131" s="21">
        <f t="shared" si="4"/>
        <v>57271.298456586388</v>
      </c>
      <c r="Y131" s="21">
        <f t="shared" si="5"/>
        <v>74296.928268297052</v>
      </c>
      <c r="Z131" s="21">
        <f t="shared" si="6"/>
        <v>0</v>
      </c>
      <c r="AA131" s="21">
        <f t="shared" si="32"/>
        <v>0</v>
      </c>
      <c r="AB131" s="21">
        <f t="shared" si="33"/>
        <v>0</v>
      </c>
      <c r="AC131" s="21">
        <f t="shared" si="7"/>
        <v>305254.88303910661</v>
      </c>
      <c r="AD131" s="21">
        <f t="shared" si="8"/>
        <v>-19200</v>
      </c>
      <c r="AE131" s="21">
        <f t="shared" si="34"/>
        <v>130880.64231061784</v>
      </c>
      <c r="AF131" s="21">
        <f t="shared" si="35"/>
        <v>46730.079084201308</v>
      </c>
      <c r="AG131" s="21">
        <f t="shared" si="9"/>
        <v>858582.56644233118</v>
      </c>
      <c r="AH131" s="21">
        <f t="shared" si="10"/>
        <v>226875.52126075816</v>
      </c>
      <c r="AI131" s="21">
        <f t="shared" si="36"/>
        <v>4800</v>
      </c>
      <c r="AJ131" s="21">
        <f t="shared" si="37"/>
        <v>46415.588829356013</v>
      </c>
      <c r="AK131" s="21">
        <f t="shared" si="38"/>
        <v>4800</v>
      </c>
      <c r="AL131" s="21">
        <f t="shared" si="39"/>
        <v>46415.588829356013</v>
      </c>
      <c r="AM131" s="21">
        <f t="shared" si="40"/>
        <v>380</v>
      </c>
      <c r="AN131" s="21">
        <f t="shared" si="11"/>
        <v>92831.18</v>
      </c>
      <c r="AO131" s="21">
        <f t="shared" si="41"/>
        <v>-9980</v>
      </c>
      <c r="AP131" s="21">
        <f t="shared" si="42"/>
        <v>-35960.913132622663</v>
      </c>
      <c r="AQ131" s="21">
        <f t="shared" si="12"/>
        <v>868722.75422550726</v>
      </c>
      <c r="AR131" s="21">
        <f t="shared" si="13"/>
        <v>237015.70904393418</v>
      </c>
    </row>
    <row r="132" spans="1:44" x14ac:dyDescent="0.25">
      <c r="A132" s="51">
        <v>9</v>
      </c>
      <c r="B132" s="51">
        <f t="shared" si="0"/>
        <v>43</v>
      </c>
      <c r="C132" s="51">
        <f t="shared" si="1"/>
        <v>2035</v>
      </c>
      <c r="D132" s="52" t="b">
        <f t="shared" si="2"/>
        <v>1</v>
      </c>
      <c r="E132" s="50">
        <f t="shared" si="14"/>
        <v>1.0229999999999999</v>
      </c>
      <c r="F132" s="50">
        <f t="shared" si="15"/>
        <v>1.1995133054775289</v>
      </c>
      <c r="G132" s="50">
        <f t="shared" si="16"/>
        <v>1</v>
      </c>
      <c r="H132" s="21">
        <f t="shared" si="17"/>
        <v>106862.26501506317</v>
      </c>
      <c r="I132" s="21">
        <f t="shared" si="18"/>
        <v>-73153.61420240032</v>
      </c>
      <c r="J132" s="21">
        <f t="shared" si="19"/>
        <v>-1341.28</v>
      </c>
      <c r="K132" s="21">
        <f t="shared" si="20"/>
        <v>-1571</v>
      </c>
      <c r="L132" s="50">
        <f t="shared" si="21"/>
        <v>1</v>
      </c>
      <c r="M132" s="50">
        <f t="shared" si="22"/>
        <v>1</v>
      </c>
      <c r="N132" s="21">
        <f t="shared" si="23"/>
        <v>20460.811753153957</v>
      </c>
      <c r="O132" s="21">
        <f t="shared" si="24"/>
        <v>168281.17519185919</v>
      </c>
      <c r="P132" s="21">
        <f t="shared" si="25"/>
        <v>472882.11980448914</v>
      </c>
      <c r="Q132" s="37">
        <f t="shared" si="26"/>
        <v>2</v>
      </c>
      <c r="R132" s="21">
        <f t="shared" si="27"/>
        <v>96000</v>
      </c>
      <c r="S132" s="21">
        <f t="shared" si="28"/>
        <v>198193.52672207876</v>
      </c>
      <c r="T132" s="21">
        <f t="shared" si="29"/>
        <v>66278.982394849838</v>
      </c>
      <c r="U132" s="21">
        <f t="shared" si="30"/>
        <v>85907.269399028941</v>
      </c>
      <c r="V132" s="21">
        <f t="shared" si="31"/>
        <v>-19200</v>
      </c>
      <c r="W132" s="21">
        <f t="shared" si="3"/>
        <v>198193.52672207876</v>
      </c>
      <c r="X132" s="21">
        <f t="shared" si="4"/>
        <v>66278.982394849838</v>
      </c>
      <c r="Y132" s="21">
        <f t="shared" si="5"/>
        <v>85907.269399028941</v>
      </c>
      <c r="Z132" s="21">
        <f t="shared" si="6"/>
        <v>0</v>
      </c>
      <c r="AA132" s="21">
        <f t="shared" si="32"/>
        <v>0</v>
      </c>
      <c r="AB132" s="21">
        <f t="shared" si="33"/>
        <v>0</v>
      </c>
      <c r="AC132" s="21">
        <f t="shared" si="7"/>
        <v>350379.77851595753</v>
      </c>
      <c r="AD132" s="21">
        <f t="shared" si="8"/>
        <v>-19200</v>
      </c>
      <c r="AE132" s="21">
        <f t="shared" si="34"/>
        <v>121916.46479148944</v>
      </c>
      <c r="AF132" s="21">
        <f t="shared" si="35"/>
        <v>58793.750687706168</v>
      </c>
      <c r="AG132" s="21">
        <f t="shared" si="9"/>
        <v>948881.17116167664</v>
      </c>
      <c r="AH132" s="21">
        <f t="shared" si="10"/>
        <v>247535.73763271931</v>
      </c>
      <c r="AI132" s="21">
        <f t="shared" si="36"/>
        <v>4800</v>
      </c>
      <c r="AJ132" s="21">
        <f t="shared" si="37"/>
        <v>53366.643560188968</v>
      </c>
      <c r="AK132" s="21">
        <f t="shared" si="38"/>
        <v>4800</v>
      </c>
      <c r="AL132" s="21">
        <f t="shared" si="39"/>
        <v>53366.643560188968</v>
      </c>
      <c r="AM132" s="21">
        <f t="shared" si="40"/>
        <v>380</v>
      </c>
      <c r="AN132" s="21">
        <f t="shared" si="11"/>
        <v>106733.28</v>
      </c>
      <c r="AO132" s="21">
        <f t="shared" si="41"/>
        <v>-9980</v>
      </c>
      <c r="AP132" s="21">
        <f t="shared" si="42"/>
        <v>-34704.151451286045</v>
      </c>
      <c r="AQ132" s="21">
        <f t="shared" si="12"/>
        <v>962116.54902268422</v>
      </c>
      <c r="AR132" s="21">
        <f t="shared" si="13"/>
        <v>260771.11549372709</v>
      </c>
    </row>
    <row r="133" spans="1:44" x14ac:dyDescent="0.25">
      <c r="A133" s="51">
        <v>10</v>
      </c>
      <c r="B133" s="51">
        <f t="shared" si="0"/>
        <v>44</v>
      </c>
      <c r="C133" s="51">
        <f t="shared" si="1"/>
        <v>2036</v>
      </c>
      <c r="D133" s="52" t="b">
        <f t="shared" si="2"/>
        <v>1</v>
      </c>
      <c r="E133" s="50">
        <f t="shared" si="14"/>
        <v>1.0229999999999999</v>
      </c>
      <c r="F133" s="50">
        <f t="shared" si="15"/>
        <v>1.2271021115035119</v>
      </c>
      <c r="G133" s="50">
        <f t="shared" si="16"/>
        <v>1</v>
      </c>
      <c r="H133" s="21">
        <f t="shared" si="17"/>
        <v>109854.40843548495</v>
      </c>
      <c r="I133" s="21">
        <f t="shared" si="18"/>
        <v>-502924.61232905556</v>
      </c>
      <c r="J133" s="21">
        <f t="shared" si="19"/>
        <v>-1341.28</v>
      </c>
      <c r="K133" s="21">
        <f t="shared" si="20"/>
        <v>-1571</v>
      </c>
      <c r="L133" s="50">
        <f t="shared" si="21"/>
        <v>1</v>
      </c>
      <c r="M133" s="50">
        <f t="shared" si="22"/>
        <v>1</v>
      </c>
      <c r="N133" s="21">
        <f t="shared" si="23"/>
        <v>20706.341494191805</v>
      </c>
      <c r="O133" s="21">
        <f t="shared" si="24"/>
        <v>176985.96654991727</v>
      </c>
      <c r="P133" s="21">
        <f t="shared" si="25"/>
        <v>488960.11187784176</v>
      </c>
      <c r="Q133" s="37">
        <f t="shared" si="26"/>
        <v>2</v>
      </c>
      <c r="R133" s="21">
        <f t="shared" si="27"/>
        <v>96000</v>
      </c>
      <c r="S133" s="21">
        <f t="shared" si="28"/>
        <v>223313.0688901307</v>
      </c>
      <c r="T133" s="21">
        <f t="shared" si="29"/>
        <v>75646.973690643834</v>
      </c>
      <c r="U133" s="21">
        <f t="shared" si="30"/>
        <v>97982.024174990103</v>
      </c>
      <c r="V133" s="21">
        <f t="shared" si="31"/>
        <v>-19200</v>
      </c>
      <c r="W133" s="21">
        <f t="shared" si="3"/>
        <v>223313.0688901307</v>
      </c>
      <c r="X133" s="21">
        <f t="shared" si="4"/>
        <v>75646.973690643834</v>
      </c>
      <c r="Y133" s="21">
        <f t="shared" si="5"/>
        <v>97982.024174990103</v>
      </c>
      <c r="Z133" s="21">
        <f t="shared" si="6"/>
        <v>0</v>
      </c>
      <c r="AA133" s="21">
        <f t="shared" si="32"/>
        <v>0</v>
      </c>
      <c r="AB133" s="21">
        <f t="shared" si="33"/>
        <v>0</v>
      </c>
      <c r="AC133" s="21">
        <f t="shared" si="7"/>
        <v>396942.06675576465</v>
      </c>
      <c r="AD133" s="21">
        <f t="shared" si="8"/>
        <v>-19200</v>
      </c>
      <c r="AE133" s="21">
        <f t="shared" si="34"/>
        <v>112638.54105919157</v>
      </c>
      <c r="AF133" s="21">
        <f t="shared" si="35"/>
        <v>-355800.79569898744</v>
      </c>
      <c r="AG133" s="21">
        <f t="shared" si="9"/>
        <v>615155.14991953655</v>
      </c>
      <c r="AH133" s="21">
        <f t="shared" si="10"/>
        <v>-158108.48765487835</v>
      </c>
      <c r="AI133" s="21">
        <f t="shared" si="36"/>
        <v>4800</v>
      </c>
      <c r="AJ133" s="21">
        <f t="shared" si="37"/>
        <v>60609.64258971691</v>
      </c>
      <c r="AK133" s="21">
        <f t="shared" si="38"/>
        <v>4800</v>
      </c>
      <c r="AL133" s="21">
        <f t="shared" si="39"/>
        <v>60609.64258971691</v>
      </c>
      <c r="AM133" s="21">
        <f t="shared" si="40"/>
        <v>380</v>
      </c>
      <c r="AN133" s="21">
        <f t="shared" si="11"/>
        <v>121219.28</v>
      </c>
      <c r="AO133" s="21">
        <f t="shared" si="41"/>
        <v>-9980</v>
      </c>
      <c r="AP133" s="21">
        <f t="shared" si="42"/>
        <v>-460213.6768593695</v>
      </c>
      <c r="AQ133" s="21">
        <f t="shared" si="12"/>
        <v>631961.54875915451</v>
      </c>
      <c r="AR133" s="21">
        <f t="shared" si="13"/>
        <v>-141302.08881526042</v>
      </c>
    </row>
    <row r="134" spans="1:44" x14ac:dyDescent="0.25">
      <c r="A134" s="51">
        <v>11</v>
      </c>
      <c r="B134" s="51">
        <f t="shared" si="0"/>
        <v>45</v>
      </c>
      <c r="C134" s="51">
        <f t="shared" si="1"/>
        <v>2037</v>
      </c>
      <c r="D134" s="52" t="b">
        <f t="shared" si="2"/>
        <v>1</v>
      </c>
      <c r="E134" s="50">
        <f t="shared" si="14"/>
        <v>1.0229999999999999</v>
      </c>
      <c r="F134" s="50">
        <f t="shared" si="15"/>
        <v>1.2553254600680925</v>
      </c>
      <c r="G134" s="50">
        <f t="shared" si="16"/>
        <v>1</v>
      </c>
      <c r="H134" s="21">
        <f t="shared" si="17"/>
        <v>112930.33187167851</v>
      </c>
      <c r="I134" s="21">
        <f t="shared" si="18"/>
        <v>-75927.143412623787</v>
      </c>
      <c r="J134" s="21">
        <f t="shared" si="19"/>
        <v>-1341.28</v>
      </c>
      <c r="K134" s="21">
        <f t="shared" si="20"/>
        <v>-1571</v>
      </c>
      <c r="L134" s="50">
        <f t="shared" si="21"/>
        <v>1</v>
      </c>
      <c r="M134" s="50">
        <f t="shared" si="22"/>
        <v>1</v>
      </c>
      <c r="N134" s="21">
        <f t="shared" si="23"/>
        <v>20954.817592122108</v>
      </c>
      <c r="O134" s="21">
        <f t="shared" si="24"/>
        <v>186056.35914501379</v>
      </c>
      <c r="P134" s="21">
        <f t="shared" si="25"/>
        <v>505584.75568168837</v>
      </c>
      <c r="Q134" s="37">
        <f t="shared" si="26"/>
        <v>2</v>
      </c>
      <c r="R134" s="21">
        <f t="shared" si="27"/>
        <v>96000</v>
      </c>
      <c r="S134" s="21">
        <f t="shared" si="28"/>
        <v>249060.59961238396</v>
      </c>
      <c r="T134" s="21">
        <f t="shared" si="29"/>
        <v>85389.68463826958</v>
      </c>
      <c r="U134" s="21">
        <f t="shared" si="30"/>
        <v>110539.7691419897</v>
      </c>
      <c r="V134" s="21">
        <f t="shared" si="31"/>
        <v>-19200</v>
      </c>
      <c r="W134" s="21">
        <f t="shared" si="3"/>
        <v>249060.59961238396</v>
      </c>
      <c r="X134" s="21">
        <f t="shared" si="4"/>
        <v>85389.68463826958</v>
      </c>
      <c r="Y134" s="21">
        <f t="shared" si="5"/>
        <v>110539.7691419897</v>
      </c>
      <c r="Z134" s="21">
        <f t="shared" si="6"/>
        <v>0</v>
      </c>
      <c r="AA134" s="21">
        <f t="shared" si="32"/>
        <v>0</v>
      </c>
      <c r="AB134" s="21">
        <f t="shared" si="33"/>
        <v>0</v>
      </c>
      <c r="AC134" s="21">
        <f t="shared" si="7"/>
        <v>444990.05339264323</v>
      </c>
      <c r="AD134" s="21">
        <f t="shared" si="8"/>
        <v>-19200</v>
      </c>
      <c r="AE134" s="21">
        <f t="shared" si="34"/>
        <v>103035.88999626327</v>
      </c>
      <c r="AF134" s="21">
        <f t="shared" si="35"/>
        <v>-344467.89519692259</v>
      </c>
      <c r="AG134" s="21">
        <f t="shared" si="9"/>
        <v>710082.20061828161</v>
      </c>
      <c r="AH134" s="21">
        <f t="shared" si="10"/>
        <v>-137456.7184597867</v>
      </c>
      <c r="AI134" s="21">
        <f t="shared" si="36"/>
        <v>4800</v>
      </c>
      <c r="AJ134" s="21">
        <f t="shared" si="37"/>
        <v>68156.847578485016</v>
      </c>
      <c r="AK134" s="21">
        <f t="shared" si="38"/>
        <v>0</v>
      </c>
      <c r="AL134" s="21">
        <f t="shared" si="39"/>
        <v>63155.247578485025</v>
      </c>
      <c r="AM134" s="21">
        <f t="shared" si="40"/>
        <v>380</v>
      </c>
      <c r="AN134" s="21">
        <f t="shared" si="11"/>
        <v>131312.1</v>
      </c>
      <c r="AO134" s="21">
        <f t="shared" si="41"/>
        <v>-5180</v>
      </c>
      <c r="AP134" s="21">
        <f t="shared" si="42"/>
        <v>-455104.90516890847</v>
      </c>
      <c r="AQ134" s="21">
        <f t="shared" si="12"/>
        <v>730757.29064629576</v>
      </c>
      <c r="AR134" s="21">
        <f t="shared" si="13"/>
        <v>-116781.62843177258</v>
      </c>
    </row>
    <row r="135" spans="1:44" x14ac:dyDescent="0.25">
      <c r="A135" s="51">
        <v>12</v>
      </c>
      <c r="B135" s="51">
        <f t="shared" si="0"/>
        <v>46</v>
      </c>
      <c r="C135" s="51">
        <f t="shared" si="1"/>
        <v>2038</v>
      </c>
      <c r="D135" s="52" t="b">
        <f t="shared" si="2"/>
        <v>1</v>
      </c>
      <c r="E135" s="50">
        <f t="shared" si="14"/>
        <v>1.0229999999999999</v>
      </c>
      <c r="F135" s="50">
        <f t="shared" si="15"/>
        <v>1.2841979456496586</v>
      </c>
      <c r="G135" s="50">
        <f t="shared" si="16"/>
        <v>1</v>
      </c>
      <c r="H135" s="21">
        <f t="shared" si="17"/>
        <v>116092.38116408551</v>
      </c>
      <c r="I135" s="21">
        <f t="shared" si="18"/>
        <v>-77361.932711114132</v>
      </c>
      <c r="J135" s="21">
        <f t="shared" si="19"/>
        <v>-1341.28</v>
      </c>
      <c r="K135" s="21">
        <f t="shared" si="20"/>
        <v>-1571</v>
      </c>
      <c r="L135" s="50">
        <f t="shared" si="21"/>
        <v>1</v>
      </c>
      <c r="M135" s="50">
        <f t="shared" si="22"/>
        <v>1</v>
      </c>
      <c r="N135" s="21">
        <f t="shared" si="23"/>
        <v>21206.275403227573</v>
      </c>
      <c r="O135" s="21">
        <f t="shared" si="24"/>
        <v>195507.70822910438</v>
      </c>
      <c r="P135" s="21">
        <f t="shared" si="25"/>
        <v>522774.63737486582</v>
      </c>
      <c r="Q135" s="37">
        <f t="shared" si="26"/>
        <v>2</v>
      </c>
      <c r="R135" s="21">
        <f t="shared" si="27"/>
        <v>96000</v>
      </c>
      <c r="S135" s="21">
        <f t="shared" si="28"/>
        <v>275451.8186026935</v>
      </c>
      <c r="T135" s="21">
        <f t="shared" si="29"/>
        <v>95522.104023800362</v>
      </c>
      <c r="U135" s="21">
        <f t="shared" si="30"/>
        <v>123599.82390766928</v>
      </c>
      <c r="V135" s="21">
        <f t="shared" si="31"/>
        <v>-19200</v>
      </c>
      <c r="W135" s="21">
        <f t="shared" si="3"/>
        <v>275451.8186026935</v>
      </c>
      <c r="X135" s="21">
        <f t="shared" si="4"/>
        <v>95522.104023800362</v>
      </c>
      <c r="Y135" s="21">
        <f t="shared" si="5"/>
        <v>123599.82390766928</v>
      </c>
      <c r="Z135" s="21">
        <f t="shared" si="6"/>
        <v>0</v>
      </c>
      <c r="AA135" s="21">
        <f t="shared" si="32"/>
        <v>0</v>
      </c>
      <c r="AB135" s="21">
        <f t="shared" si="33"/>
        <v>0</v>
      </c>
      <c r="AC135" s="21">
        <f t="shared" si="7"/>
        <v>494573.74653416313</v>
      </c>
      <c r="AD135" s="21">
        <f t="shared" si="8"/>
        <v>-19200</v>
      </c>
      <c r="AE135" s="21">
        <f t="shared" si="34"/>
        <v>93097.14614613248</v>
      </c>
      <c r="AF135" s="21">
        <f t="shared" si="35"/>
        <v>-331294.40569592046</v>
      </c>
      <c r="AG135" s="21">
        <f t="shared" si="9"/>
        <v>809670.81569930795</v>
      </c>
      <c r="AH135" s="21">
        <f t="shared" si="10"/>
        <v>-114580.42206358851</v>
      </c>
      <c r="AI135" s="21">
        <f t="shared" si="36"/>
        <v>4800</v>
      </c>
      <c r="AJ135" s="21">
        <f t="shared" si="37"/>
        <v>76021.035176781385</v>
      </c>
      <c r="AK135" s="21">
        <f t="shared" si="38"/>
        <v>0</v>
      </c>
      <c r="AL135" s="21">
        <f t="shared" si="39"/>
        <v>65807.767976781397</v>
      </c>
      <c r="AM135" s="21">
        <f t="shared" si="40"/>
        <v>380</v>
      </c>
      <c r="AN135" s="21">
        <f t="shared" si="11"/>
        <v>141828.81</v>
      </c>
      <c r="AO135" s="21">
        <f t="shared" si="41"/>
        <v>-5180</v>
      </c>
      <c r="AP135" s="21">
        <f t="shared" si="42"/>
        <v>-448217.78576762619</v>
      </c>
      <c r="AQ135" s="21">
        <f t="shared" si="12"/>
        <v>834576.24562760221</v>
      </c>
      <c r="AR135" s="21">
        <f t="shared" si="13"/>
        <v>-89674.992135294247</v>
      </c>
    </row>
    <row r="136" spans="1:44" x14ac:dyDescent="0.25">
      <c r="A136" s="51">
        <v>13</v>
      </c>
      <c r="B136" s="51">
        <f t="shared" si="0"/>
        <v>47</v>
      </c>
      <c r="C136" s="51">
        <f t="shared" si="1"/>
        <v>2039</v>
      </c>
      <c r="D136" s="52" t="b">
        <f t="shared" si="2"/>
        <v>1</v>
      </c>
      <c r="E136" s="50">
        <f t="shared" si="14"/>
        <v>1.0229999999999999</v>
      </c>
      <c r="F136" s="50">
        <f t="shared" si="15"/>
        <v>1.3137344983996007</v>
      </c>
      <c r="G136" s="50">
        <f t="shared" si="16"/>
        <v>1</v>
      </c>
      <c r="H136" s="21">
        <f t="shared" si="17"/>
        <v>119342.96783667992</v>
      </c>
      <c r="I136" s="21">
        <f t="shared" si="18"/>
        <v>-78829.722163469763</v>
      </c>
      <c r="J136" s="21">
        <f t="shared" si="19"/>
        <v>-1341.28</v>
      </c>
      <c r="K136" s="21">
        <f t="shared" si="20"/>
        <v>-1571</v>
      </c>
      <c r="L136" s="50">
        <f t="shared" si="21"/>
        <v>1</v>
      </c>
      <c r="M136" s="50">
        <f t="shared" si="22"/>
        <v>1</v>
      </c>
      <c r="N136" s="21">
        <f t="shared" si="23"/>
        <v>21460.750708066305</v>
      </c>
      <c r="O136" s="21">
        <f t="shared" si="24"/>
        <v>205356.01397472678</v>
      </c>
      <c r="P136" s="21">
        <f t="shared" si="25"/>
        <v>540548.97504561127</v>
      </c>
      <c r="Q136" s="37">
        <f t="shared" si="26"/>
        <v>3</v>
      </c>
      <c r="R136" s="21">
        <f t="shared" si="27"/>
        <v>96000</v>
      </c>
      <c r="S136" s="21">
        <f t="shared" si="28"/>
        <v>300581.18606776081</v>
      </c>
      <c r="T136" s="21">
        <f t="shared" si="29"/>
        <v>107022.41218475238</v>
      </c>
      <c r="U136" s="21">
        <f t="shared" si="30"/>
        <v>138141.32086397606</v>
      </c>
      <c r="V136" s="21">
        <f t="shared" si="31"/>
        <v>-19200</v>
      </c>
      <c r="W136" s="21">
        <f t="shared" si="3"/>
        <v>300581.18606776081</v>
      </c>
      <c r="X136" s="21">
        <f t="shared" si="4"/>
        <v>107022.41218475238</v>
      </c>
      <c r="Y136" s="21">
        <f t="shared" si="5"/>
        <v>138141.32086397606</v>
      </c>
      <c r="Z136" s="21">
        <f t="shared" si="6"/>
        <v>0</v>
      </c>
      <c r="AA136" s="21">
        <f t="shared" si="32"/>
        <v>0</v>
      </c>
      <c r="AB136" s="21">
        <f t="shared" si="33"/>
        <v>0</v>
      </c>
      <c r="AC136" s="21">
        <f t="shared" si="7"/>
        <v>545744.91911648924</v>
      </c>
      <c r="AD136" s="21">
        <f t="shared" si="8"/>
        <v>-19200</v>
      </c>
      <c r="AE136" s="21">
        <f t="shared" si="34"/>
        <v>82810.546261247102</v>
      </c>
      <c r="AF136" s="21">
        <f t="shared" si="35"/>
        <v>-316206.38407966949</v>
      </c>
      <c r="AG136" s="21">
        <f t="shared" si="9"/>
        <v>914093.72850397695</v>
      </c>
      <c r="AH136" s="21">
        <f t="shared" si="10"/>
        <v>-89389.619396876398</v>
      </c>
      <c r="AI136" s="21">
        <f t="shared" si="36"/>
        <v>4800</v>
      </c>
      <c r="AJ136" s="21">
        <f t="shared" si="37"/>
        <v>84215.5186542062</v>
      </c>
      <c r="AK136" s="21">
        <f t="shared" si="38"/>
        <v>0</v>
      </c>
      <c r="AL136" s="21">
        <f t="shared" si="39"/>
        <v>68571.694231806221</v>
      </c>
      <c r="AM136" s="21">
        <f t="shared" si="40"/>
        <v>380</v>
      </c>
      <c r="AN136" s="21">
        <f t="shared" si="11"/>
        <v>152787.21000000002</v>
      </c>
      <c r="AO136" s="21">
        <f t="shared" si="41"/>
        <v>-5180</v>
      </c>
      <c r="AP136" s="21">
        <f t="shared" si="42"/>
        <v>-439478.99795209232</v>
      </c>
      <c r="AQ136" s="21">
        <f t="shared" si="12"/>
        <v>943608.32463155419</v>
      </c>
      <c r="AR136" s="21">
        <f t="shared" si="13"/>
        <v>-59875.023269299214</v>
      </c>
    </row>
    <row r="137" spans="1:44" x14ac:dyDescent="0.25">
      <c r="A137" s="51">
        <v>14</v>
      </c>
      <c r="B137" s="51">
        <f t="shared" si="0"/>
        <v>48</v>
      </c>
      <c r="C137" s="51">
        <f t="shared" si="1"/>
        <v>2040</v>
      </c>
      <c r="D137" s="52" t="b">
        <f t="shared" si="2"/>
        <v>1</v>
      </c>
      <c r="E137" s="50">
        <f t="shared" si="14"/>
        <v>1.0229999999999999</v>
      </c>
      <c r="F137" s="50">
        <f t="shared" si="15"/>
        <v>1.3439503918627913</v>
      </c>
      <c r="G137" s="50">
        <f t="shared" si="16"/>
        <v>1</v>
      </c>
      <c r="H137" s="21">
        <f t="shared" si="17"/>
        <v>122684.57093610696</v>
      </c>
      <c r="I137" s="21">
        <f t="shared" si="18"/>
        <v>-80331.270773229553</v>
      </c>
      <c r="J137" s="21">
        <f t="shared" si="19"/>
        <v>-1341.28</v>
      </c>
      <c r="K137" s="21">
        <f t="shared" si="20"/>
        <v>-1571</v>
      </c>
      <c r="L137" s="50">
        <f t="shared" si="21"/>
        <v>1</v>
      </c>
      <c r="M137" s="50">
        <f t="shared" si="22"/>
        <v>1</v>
      </c>
      <c r="N137" s="21">
        <f t="shared" si="23"/>
        <v>21718.279716563102</v>
      </c>
      <c r="O137" s="21">
        <f t="shared" si="24"/>
        <v>215617.94856166531</v>
      </c>
      <c r="P137" s="21">
        <f t="shared" si="25"/>
        <v>558927.64019716205</v>
      </c>
      <c r="Q137" s="37">
        <f t="shared" si="26"/>
        <v>3</v>
      </c>
      <c r="R137" s="21">
        <f t="shared" si="27"/>
        <v>96000</v>
      </c>
      <c r="S137" s="21">
        <f t="shared" si="28"/>
        <v>326338.78771945479</v>
      </c>
      <c r="T137" s="21">
        <f t="shared" si="29"/>
        <v>118982.73267214248</v>
      </c>
      <c r="U137" s="21">
        <f t="shared" si="30"/>
        <v>153264.47769853508</v>
      </c>
      <c r="V137" s="21">
        <f t="shared" si="31"/>
        <v>-19200</v>
      </c>
      <c r="W137" s="21">
        <f t="shared" si="3"/>
        <v>326338.78771945479</v>
      </c>
      <c r="X137" s="21">
        <f t="shared" si="4"/>
        <v>118982.73267214248</v>
      </c>
      <c r="Y137" s="21">
        <f t="shared" si="5"/>
        <v>153264.47769853508</v>
      </c>
      <c r="Z137" s="21">
        <f t="shared" si="6"/>
        <v>0</v>
      </c>
      <c r="AA137" s="21">
        <f t="shared" si="32"/>
        <v>0</v>
      </c>
      <c r="AB137" s="21">
        <f t="shared" si="33"/>
        <v>0</v>
      </c>
      <c r="AC137" s="21">
        <f t="shared" si="7"/>
        <v>598585.99809013237</v>
      </c>
      <c r="AD137" s="21">
        <f t="shared" si="8"/>
        <v>-19200</v>
      </c>
      <c r="AE137" s="21">
        <f t="shared" si="34"/>
        <v>72163.915380390739</v>
      </c>
      <c r="AF137" s="21">
        <f t="shared" si="35"/>
        <v>-299127.4277575888</v>
      </c>
      <c r="AG137" s="21">
        <f t="shared" si="9"/>
        <v>1023558.5234275433</v>
      </c>
      <c r="AH137" s="21">
        <f t="shared" si="10"/>
        <v>-61791.199479360395</v>
      </c>
      <c r="AI137" s="21">
        <f t="shared" si="36"/>
        <v>4800</v>
      </c>
      <c r="AJ137" s="21">
        <f t="shared" si="37"/>
        <v>92754.170437682871</v>
      </c>
      <c r="AK137" s="21">
        <f t="shared" si="38"/>
        <v>0</v>
      </c>
      <c r="AL137" s="21">
        <f t="shared" si="39"/>
        <v>71451.705389542083</v>
      </c>
      <c r="AM137" s="21">
        <f t="shared" si="40"/>
        <v>380</v>
      </c>
      <c r="AN137" s="21">
        <f t="shared" si="11"/>
        <v>164205.88</v>
      </c>
      <c r="AO137" s="21">
        <f t="shared" si="41"/>
        <v>-5180</v>
      </c>
      <c r="AP137" s="21">
        <f t="shared" si="42"/>
        <v>-428812.76776873588</v>
      </c>
      <c r="AQ137" s="21">
        <f t="shared" si="12"/>
        <v>1058079.063416396</v>
      </c>
      <c r="AR137" s="21">
        <f t="shared" si="13"/>
        <v>-27270.659490507474</v>
      </c>
    </row>
    <row r="138" spans="1:44" x14ac:dyDescent="0.25">
      <c r="A138" s="51">
        <v>15</v>
      </c>
      <c r="B138" s="51">
        <f t="shared" si="0"/>
        <v>49</v>
      </c>
      <c r="C138" s="51">
        <f t="shared" si="1"/>
        <v>2041</v>
      </c>
      <c r="D138" s="52" t="b">
        <f t="shared" si="2"/>
        <v>1</v>
      </c>
      <c r="E138" s="50">
        <f t="shared" si="14"/>
        <v>1.0229999999999999</v>
      </c>
      <c r="F138" s="50">
        <f t="shared" si="15"/>
        <v>1.3748612508756355</v>
      </c>
      <c r="G138" s="50">
        <f t="shared" si="16"/>
        <v>1</v>
      </c>
      <c r="H138" s="21">
        <f t="shared" si="17"/>
        <v>126119.73892231793</v>
      </c>
      <c r="I138" s="21">
        <f t="shared" si="18"/>
        <v>-81867.355001013828</v>
      </c>
      <c r="J138" s="21">
        <f t="shared" si="19"/>
        <v>-1341.28</v>
      </c>
      <c r="K138" s="21">
        <f t="shared" si="20"/>
        <v>-1571</v>
      </c>
      <c r="L138" s="50">
        <f t="shared" si="21"/>
        <v>1</v>
      </c>
      <c r="M138" s="50">
        <f t="shared" si="22"/>
        <v>1</v>
      </c>
      <c r="N138" s="21">
        <f t="shared" si="23"/>
        <v>21978.899073161858</v>
      </c>
      <c r="O138" s="21">
        <f t="shared" si="24"/>
        <v>226310.88440125526</v>
      </c>
      <c r="P138" s="21">
        <f t="shared" si="25"/>
        <v>577931.17996386555</v>
      </c>
      <c r="Q138" s="37">
        <f t="shared" si="26"/>
        <v>3</v>
      </c>
      <c r="R138" s="21">
        <f t="shared" si="27"/>
        <v>96000</v>
      </c>
      <c r="S138" s="21">
        <f t="shared" si="28"/>
        <v>352740.32941244112</v>
      </c>
      <c r="T138" s="21">
        <f t="shared" si="29"/>
        <v>131421.46597902817</v>
      </c>
      <c r="U138" s="21">
        <f t="shared" si="30"/>
        <v>168992.56080647648</v>
      </c>
      <c r="V138" s="21">
        <f t="shared" si="31"/>
        <v>-19200</v>
      </c>
      <c r="W138" s="21">
        <f t="shared" si="3"/>
        <v>352740.32941244112</v>
      </c>
      <c r="X138" s="21">
        <f t="shared" si="4"/>
        <v>131421.46597902817</v>
      </c>
      <c r="Y138" s="21">
        <f t="shared" si="5"/>
        <v>168992.56080647648</v>
      </c>
      <c r="Z138" s="21">
        <f t="shared" si="6"/>
        <v>0</v>
      </c>
      <c r="AA138" s="21">
        <f t="shared" si="32"/>
        <v>0</v>
      </c>
      <c r="AB138" s="21">
        <f t="shared" si="33"/>
        <v>0</v>
      </c>
      <c r="AC138" s="21">
        <f t="shared" si="7"/>
        <v>653154.35619794577</v>
      </c>
      <c r="AD138" s="21">
        <f t="shared" si="8"/>
        <v>-19200</v>
      </c>
      <c r="AE138" s="21">
        <f t="shared" si="34"/>
        <v>61144.652418704412</v>
      </c>
      <c r="AF138" s="21">
        <f t="shared" si="35"/>
        <v>-279978.59811386059</v>
      </c>
      <c r="AG138" s="21">
        <f t="shared" si="9"/>
        <v>1138252.0691036636</v>
      </c>
      <c r="AH138" s="21">
        <f t="shared" si="10"/>
        <v>-31688.814639443473</v>
      </c>
      <c r="AI138" s="21">
        <f t="shared" si="36"/>
        <v>4800</v>
      </c>
      <c r="AJ138" s="21">
        <f t="shared" si="37"/>
        <v>101651.44559606556</v>
      </c>
      <c r="AK138" s="21">
        <f t="shared" si="38"/>
        <v>0</v>
      </c>
      <c r="AL138" s="21">
        <f t="shared" si="39"/>
        <v>74452.677015902853</v>
      </c>
      <c r="AM138" s="21">
        <f t="shared" si="40"/>
        <v>380</v>
      </c>
      <c r="AN138" s="21">
        <f t="shared" si="11"/>
        <v>176104.13</v>
      </c>
      <c r="AO138" s="21">
        <f t="shared" si="41"/>
        <v>-5180</v>
      </c>
      <c r="AP138" s="21">
        <f t="shared" si="42"/>
        <v>-416140.79152511922</v>
      </c>
      <c r="AQ138" s="21">
        <f t="shared" si="12"/>
        <v>1178194.0056924049</v>
      </c>
      <c r="AR138" s="21">
        <f t="shared" si="13"/>
        <v>8253.1219492978998</v>
      </c>
    </row>
    <row r="139" spans="1:44" x14ac:dyDescent="0.25">
      <c r="A139" s="51">
        <v>16</v>
      </c>
      <c r="B139" s="51">
        <f t="shared" si="0"/>
        <v>50</v>
      </c>
      <c r="C139" s="51">
        <f t="shared" si="1"/>
        <v>2042</v>
      </c>
      <c r="D139" s="52" t="b">
        <f t="shared" si="2"/>
        <v>1</v>
      </c>
      <c r="E139" s="50">
        <f t="shared" si="14"/>
        <v>1.0229999999999999</v>
      </c>
      <c r="F139" s="50">
        <f t="shared" si="15"/>
        <v>1.4064830596457749</v>
      </c>
      <c r="G139" s="50">
        <f t="shared" si="16"/>
        <v>1</v>
      </c>
      <c r="H139" s="21">
        <f t="shared" si="17"/>
        <v>129651.09161214285</v>
      </c>
      <c r="I139" s="21">
        <f t="shared" si="18"/>
        <v>-83438.769166037135</v>
      </c>
      <c r="J139" s="21">
        <f t="shared" si="19"/>
        <v>-1341.28</v>
      </c>
      <c r="K139" s="21">
        <f t="shared" si="20"/>
        <v>-1571</v>
      </c>
      <c r="L139" s="50">
        <f t="shared" si="21"/>
        <v>1</v>
      </c>
      <c r="M139" s="50">
        <f t="shared" si="22"/>
        <v>1</v>
      </c>
      <c r="N139" s="21">
        <f t="shared" si="23"/>
        <v>22242.645862039801</v>
      </c>
      <c r="O139" s="21">
        <f t="shared" si="24"/>
        <v>237452.92354610798</v>
      </c>
      <c r="P139" s="21">
        <f t="shared" si="25"/>
        <v>597580.84008263703</v>
      </c>
      <c r="Q139" s="37">
        <f t="shared" si="26"/>
        <v>3</v>
      </c>
      <c r="R139" s="21">
        <f t="shared" si="27"/>
        <v>96000</v>
      </c>
      <c r="S139" s="21">
        <f t="shared" si="28"/>
        <v>379801.90964775212</v>
      </c>
      <c r="T139" s="21">
        <f t="shared" si="29"/>
        <v>144357.7486181893</v>
      </c>
      <c r="U139" s="21">
        <f t="shared" si="30"/>
        <v>185349.76723873554</v>
      </c>
      <c r="V139" s="21">
        <f t="shared" si="31"/>
        <v>-19200</v>
      </c>
      <c r="W139" s="21">
        <f t="shared" si="3"/>
        <v>379801.90964775212</v>
      </c>
      <c r="X139" s="21">
        <f t="shared" si="4"/>
        <v>144357.7486181893</v>
      </c>
      <c r="Y139" s="21">
        <f t="shared" si="5"/>
        <v>185349.76723873554</v>
      </c>
      <c r="Z139" s="21">
        <f t="shared" si="6"/>
        <v>0</v>
      </c>
      <c r="AA139" s="21">
        <f t="shared" si="32"/>
        <v>0</v>
      </c>
      <c r="AB139" s="21">
        <f t="shared" si="33"/>
        <v>0</v>
      </c>
      <c r="AC139" s="21">
        <f t="shared" si="7"/>
        <v>709509.425504677</v>
      </c>
      <c r="AD139" s="21">
        <f t="shared" si="8"/>
        <v>-19200</v>
      </c>
      <c r="AE139" s="21">
        <f t="shared" si="34"/>
        <v>49739.715253359063</v>
      </c>
      <c r="AF139" s="21">
        <f t="shared" si="35"/>
        <v>-258678.34164889346</v>
      </c>
      <c r="AG139" s="21">
        <f t="shared" si="9"/>
        <v>1258367.7780932093</v>
      </c>
      <c r="AH139" s="21">
        <f t="shared" si="10"/>
        <v>1017.2277592543105</v>
      </c>
      <c r="AI139" s="21">
        <f t="shared" si="36"/>
        <v>4800</v>
      </c>
      <c r="AJ139" s="21">
        <f t="shared" si="37"/>
        <v>110922.40631110032</v>
      </c>
      <c r="AK139" s="21">
        <f t="shared" si="38"/>
        <v>0</v>
      </c>
      <c r="AL139" s="21">
        <f t="shared" si="39"/>
        <v>77579.689450570775</v>
      </c>
      <c r="AM139" s="21">
        <f t="shared" si="40"/>
        <v>380</v>
      </c>
      <c r="AN139" s="21">
        <f t="shared" si="11"/>
        <v>188502.1</v>
      </c>
      <c r="AO139" s="21">
        <f t="shared" si="41"/>
        <v>-5180</v>
      </c>
      <c r="AP139" s="21">
        <f t="shared" si="42"/>
        <v>-401382.15699426475</v>
      </c>
      <c r="AQ139" s="21">
        <f t="shared" si="12"/>
        <v>1304166.062747838</v>
      </c>
      <c r="AR139" s="21">
        <f t="shared" si="13"/>
        <v>46815.512413883029</v>
      </c>
    </row>
    <row r="140" spans="1:44" x14ac:dyDescent="0.25">
      <c r="A140" s="51">
        <v>17</v>
      </c>
      <c r="B140" s="51">
        <f t="shared" si="0"/>
        <v>51</v>
      </c>
      <c r="C140" s="51">
        <f t="shared" si="1"/>
        <v>2043</v>
      </c>
      <c r="D140" s="52" t="b">
        <f t="shared" si="2"/>
        <v>1</v>
      </c>
      <c r="E140" s="50">
        <f t="shared" si="14"/>
        <v>1.0229999999999999</v>
      </c>
      <c r="F140" s="50">
        <f t="shared" si="15"/>
        <v>1.4388321700176276</v>
      </c>
      <c r="G140" s="50">
        <f t="shared" si="16"/>
        <v>1</v>
      </c>
      <c r="H140" s="21">
        <f t="shared" si="17"/>
        <v>133281.32217728285</v>
      </c>
      <c r="I140" s="21">
        <f t="shared" si="18"/>
        <v>-85046.325856855983</v>
      </c>
      <c r="J140" s="21">
        <f t="shared" si="19"/>
        <v>-1341.28</v>
      </c>
      <c r="K140" s="21">
        <f t="shared" si="20"/>
        <v>-1571</v>
      </c>
      <c r="L140" s="50">
        <f t="shared" si="21"/>
        <v>1</v>
      </c>
      <c r="M140" s="50">
        <f t="shared" si="22"/>
        <v>1</v>
      </c>
      <c r="N140" s="21">
        <f t="shared" si="23"/>
        <v>22509.55761238428</v>
      </c>
      <c r="O140" s="21">
        <f t="shared" si="24"/>
        <v>249062.92833504453</v>
      </c>
      <c r="P140" s="21">
        <f t="shared" si="25"/>
        <v>617898.5886454467</v>
      </c>
      <c r="Q140" s="37">
        <f t="shared" si="26"/>
        <v>3</v>
      </c>
      <c r="R140" s="21">
        <f t="shared" si="27"/>
        <v>96000</v>
      </c>
      <c r="S140" s="21">
        <f t="shared" si="28"/>
        <v>407540.0293889459</v>
      </c>
      <c r="T140" s="21">
        <f t="shared" si="29"/>
        <v>157811.48256291688</v>
      </c>
      <c r="U140" s="21">
        <f t="shared" si="30"/>
        <v>202361.26192828495</v>
      </c>
      <c r="V140" s="21">
        <f t="shared" si="31"/>
        <v>-19200</v>
      </c>
      <c r="W140" s="21">
        <f t="shared" si="3"/>
        <v>407540.0293889459</v>
      </c>
      <c r="X140" s="21">
        <f t="shared" si="4"/>
        <v>157811.48256291688</v>
      </c>
      <c r="Y140" s="21">
        <f t="shared" si="5"/>
        <v>202361.26192828495</v>
      </c>
      <c r="Z140" s="21">
        <f t="shared" si="6"/>
        <v>0</v>
      </c>
      <c r="AA140" s="21">
        <f t="shared" si="32"/>
        <v>0</v>
      </c>
      <c r="AB140" s="21">
        <f t="shared" si="33"/>
        <v>0</v>
      </c>
      <c r="AC140" s="21">
        <f t="shared" si="7"/>
        <v>767712.77388014784</v>
      </c>
      <c r="AD140" s="21">
        <f t="shared" si="8"/>
        <v>-19200</v>
      </c>
      <c r="AE140" s="21">
        <f t="shared" si="34"/>
        <v>37935.60528722663</v>
      </c>
      <c r="AF140" s="21">
        <f t="shared" si="35"/>
        <v>-235142.40874495552</v>
      </c>
      <c r="AG140" s="21">
        <f t="shared" si="9"/>
        <v>1384105.8344408413</v>
      </c>
      <c r="AH140" s="21">
        <f t="shared" si="10"/>
        <v>36430.077202473272</v>
      </c>
      <c r="AI140" s="21">
        <f t="shared" si="36"/>
        <v>4800</v>
      </c>
      <c r="AJ140" s="21">
        <f t="shared" si="37"/>
        <v>120582.74737616653</v>
      </c>
      <c r="AK140" s="21">
        <f t="shared" si="38"/>
        <v>0</v>
      </c>
      <c r="AL140" s="21">
        <f t="shared" si="39"/>
        <v>80838.036407494757</v>
      </c>
      <c r="AM140" s="21">
        <f t="shared" si="40"/>
        <v>380</v>
      </c>
      <c r="AN140" s="21">
        <f t="shared" si="11"/>
        <v>201420.78999999998</v>
      </c>
      <c r="AO140" s="21">
        <f t="shared" si="41"/>
        <v>-5180</v>
      </c>
      <c r="AP140" s="21">
        <f t="shared" si="42"/>
        <v>-384453.26224378054</v>
      </c>
      <c r="AQ140" s="21">
        <f t="shared" si="12"/>
        <v>1436215.7709420163</v>
      </c>
      <c r="AR140" s="21">
        <f t="shared" si="13"/>
        <v>88540.013703648234</v>
      </c>
    </row>
    <row r="141" spans="1:44" x14ac:dyDescent="0.25">
      <c r="A141" s="51">
        <v>18</v>
      </c>
      <c r="B141" s="51">
        <f t="shared" si="0"/>
        <v>52</v>
      </c>
      <c r="C141" s="51">
        <f t="shared" si="1"/>
        <v>2044</v>
      </c>
      <c r="D141" s="52" t="b">
        <f t="shared" si="2"/>
        <v>1</v>
      </c>
      <c r="E141" s="50">
        <f t="shared" si="14"/>
        <v>1.0229999999999999</v>
      </c>
      <c r="F141" s="50">
        <f t="shared" si="15"/>
        <v>1.4719253099280329</v>
      </c>
      <c r="G141" s="50">
        <f t="shared" si="16"/>
        <v>1</v>
      </c>
      <c r="H141" s="21">
        <f t="shared" si="17"/>
        <v>137013.19919824676</v>
      </c>
      <c r="I141" s="21">
        <f t="shared" si="18"/>
        <v>-86690.856351563663</v>
      </c>
      <c r="J141" s="21">
        <f t="shared" si="19"/>
        <v>-1341.28</v>
      </c>
      <c r="K141" s="21">
        <f t="shared" si="20"/>
        <v>-1571</v>
      </c>
      <c r="L141" s="50">
        <f t="shared" si="21"/>
        <v>1</v>
      </c>
      <c r="M141" s="50">
        <f t="shared" si="22"/>
        <v>1</v>
      </c>
      <c r="N141" s="21">
        <f t="shared" si="23"/>
        <v>22779.672303732892</v>
      </c>
      <c r="O141" s="21">
        <f t="shared" si="24"/>
        <v>261160.5533251164</v>
      </c>
      <c r="P141" s="21">
        <f t="shared" si="25"/>
        <v>638907.14065939188</v>
      </c>
      <c r="Q141" s="37">
        <f t="shared" si="26"/>
        <v>4</v>
      </c>
      <c r="R141" s="21">
        <f t="shared" si="27"/>
        <v>96000</v>
      </c>
      <c r="S141" s="21">
        <f t="shared" si="28"/>
        <v>432131.89012366952</v>
      </c>
      <c r="T141" s="21">
        <f t="shared" si="29"/>
        <v>175163.55786543357</v>
      </c>
      <c r="U141" s="21">
        <f t="shared" si="30"/>
        <v>220532.73640541636</v>
      </c>
      <c r="V141" s="21">
        <f t="shared" si="31"/>
        <v>-19200</v>
      </c>
      <c r="W141" s="21">
        <f t="shared" si="3"/>
        <v>432131.89012366952</v>
      </c>
      <c r="X141" s="21">
        <f t="shared" si="4"/>
        <v>175163.55786543357</v>
      </c>
      <c r="Y141" s="21">
        <f t="shared" si="5"/>
        <v>220532.73640541636</v>
      </c>
      <c r="Z141" s="21">
        <f t="shared" si="6"/>
        <v>0</v>
      </c>
      <c r="AA141" s="21">
        <f t="shared" si="32"/>
        <v>0</v>
      </c>
      <c r="AB141" s="21">
        <f t="shared" si="33"/>
        <v>0</v>
      </c>
      <c r="AC141" s="21">
        <f t="shared" si="7"/>
        <v>827828.18439451954</v>
      </c>
      <c r="AD141" s="21">
        <f t="shared" si="8"/>
        <v>-19200</v>
      </c>
      <c r="AE141" s="21">
        <f t="shared" si="34"/>
        <v>25718.351472279559</v>
      </c>
      <c r="AF141" s="21">
        <f t="shared" si="35"/>
        <v>-209283.769985722</v>
      </c>
      <c r="AG141" s="21">
        <f t="shared" si="9"/>
        <v>1515673.4292247593</v>
      </c>
      <c r="AH141" s="21">
        <f t="shared" si="10"/>
        <v>74656.455643127294</v>
      </c>
      <c r="AI141" s="21">
        <f t="shared" si="36"/>
        <v>4800</v>
      </c>
      <c r="AJ141" s="21">
        <f t="shared" si="37"/>
        <v>130648.82276596552</v>
      </c>
      <c r="AK141" s="21">
        <f t="shared" si="38"/>
        <v>0</v>
      </c>
      <c r="AL141" s="21">
        <f t="shared" si="39"/>
        <v>84233.23393660954</v>
      </c>
      <c r="AM141" s="21">
        <f t="shared" si="40"/>
        <v>380</v>
      </c>
      <c r="AN141" s="21">
        <f t="shared" si="11"/>
        <v>214882.05</v>
      </c>
      <c r="AO141" s="21">
        <f t="shared" si="41"/>
        <v>-5180</v>
      </c>
      <c r="AP141" s="21">
        <f t="shared" si="42"/>
        <v>-365267.73201953527</v>
      </c>
      <c r="AQ141" s="21">
        <f t="shared" si="12"/>
        <v>1574571.517190946</v>
      </c>
      <c r="AR141" s="21">
        <f t="shared" si="13"/>
        <v>133554.54360931402</v>
      </c>
    </row>
    <row r="142" spans="1:44" x14ac:dyDescent="0.25">
      <c r="A142" s="51">
        <v>19</v>
      </c>
      <c r="B142" s="51">
        <f t="shared" si="0"/>
        <v>53</v>
      </c>
      <c r="C142" s="51">
        <f t="shared" si="1"/>
        <v>2045</v>
      </c>
      <c r="D142" s="52" t="b">
        <f t="shared" si="2"/>
        <v>1</v>
      </c>
      <c r="E142" s="50">
        <f t="shared" si="14"/>
        <v>1.0229999999999999</v>
      </c>
      <c r="F142" s="50">
        <f t="shared" si="15"/>
        <v>1.5057795920563775</v>
      </c>
      <c r="G142" s="50">
        <f t="shared" si="16"/>
        <v>1</v>
      </c>
      <c r="H142" s="21">
        <f t="shared" si="17"/>
        <v>140849.56877579767</v>
      </c>
      <c r="I142" s="21">
        <f t="shared" si="18"/>
        <v>-88373.211047649616</v>
      </c>
      <c r="J142" s="21">
        <f t="shared" si="19"/>
        <v>-1341.28</v>
      </c>
      <c r="K142" s="21">
        <f t="shared" si="20"/>
        <v>-1571</v>
      </c>
      <c r="L142" s="50">
        <f t="shared" si="21"/>
        <v>1</v>
      </c>
      <c r="M142" s="50">
        <f t="shared" si="22"/>
        <v>1</v>
      </c>
      <c r="N142" s="21">
        <f t="shared" si="23"/>
        <v>23053.028371377688</v>
      </c>
      <c r="O142" s="21">
        <f t="shared" si="24"/>
        <v>273766.27856477129</v>
      </c>
      <c r="P142" s="21">
        <f t="shared" si="25"/>
        <v>660629.98344181117</v>
      </c>
      <c r="Q142" s="37">
        <f t="shared" si="26"/>
        <v>4</v>
      </c>
      <c r="R142" s="21">
        <f t="shared" si="27"/>
        <v>96000</v>
      </c>
      <c r="S142" s="21">
        <f t="shared" si="28"/>
        <v>457338.54737676121</v>
      </c>
      <c r="T142" s="21">
        <f t="shared" si="29"/>
        <v>193209.71618005092</v>
      </c>
      <c r="U142" s="21">
        <f t="shared" si="30"/>
        <v>239431.06986163303</v>
      </c>
      <c r="V142" s="21">
        <f t="shared" si="31"/>
        <v>-19200</v>
      </c>
      <c r="W142" s="21">
        <f t="shared" si="3"/>
        <v>457338.54737676121</v>
      </c>
      <c r="X142" s="21">
        <f t="shared" si="4"/>
        <v>193209.71618005092</v>
      </c>
      <c r="Y142" s="21">
        <f t="shared" si="5"/>
        <v>239431.06986163303</v>
      </c>
      <c r="Z142" s="21">
        <f t="shared" si="6"/>
        <v>0</v>
      </c>
      <c r="AA142" s="21">
        <f t="shared" si="32"/>
        <v>0</v>
      </c>
      <c r="AB142" s="21">
        <f t="shared" si="33"/>
        <v>0</v>
      </c>
      <c r="AC142" s="21">
        <f t="shared" si="7"/>
        <v>889979.3334184452</v>
      </c>
      <c r="AD142" s="21">
        <f t="shared" si="8"/>
        <v>-19200</v>
      </c>
      <c r="AE142" s="21">
        <f t="shared" si="34"/>
        <v>13073.493773809343</v>
      </c>
      <c r="AF142" s="21">
        <f t="shared" si="35"/>
        <v>-181012.52995743116</v>
      </c>
      <c r="AG142" s="21">
        <f t="shared" si="9"/>
        <v>1653342.6000651647</v>
      </c>
      <c r="AH142" s="21">
        <f t="shared" si="10"/>
        <v>115806.7769787178</v>
      </c>
      <c r="AI142" s="21">
        <f t="shared" si="36"/>
        <v>4800</v>
      </c>
      <c r="AJ142" s="21">
        <f t="shared" si="37"/>
        <v>141137.67332213611</v>
      </c>
      <c r="AK142" s="21">
        <f t="shared" si="38"/>
        <v>0</v>
      </c>
      <c r="AL142" s="21">
        <f t="shared" si="39"/>
        <v>87771.029761947138</v>
      </c>
      <c r="AM142" s="21">
        <f t="shared" si="40"/>
        <v>380</v>
      </c>
      <c r="AN142" s="21">
        <f t="shared" si="11"/>
        <v>228908.7</v>
      </c>
      <c r="AO142" s="21">
        <f t="shared" si="41"/>
        <v>-5180</v>
      </c>
      <c r="AP142" s="21">
        <f t="shared" si="42"/>
        <v>-343736.3316115826</v>
      </c>
      <c r="AQ142" s="21">
        <f t="shared" si="12"/>
        <v>1719527.4984110133</v>
      </c>
      <c r="AR142" s="21">
        <f t="shared" si="13"/>
        <v>181991.67532456637</v>
      </c>
    </row>
    <row r="143" spans="1:44" x14ac:dyDescent="0.25">
      <c r="A143" s="51">
        <v>20</v>
      </c>
      <c r="B143" s="51">
        <f t="shared" si="0"/>
        <v>54</v>
      </c>
      <c r="C143" s="51">
        <f t="shared" si="1"/>
        <v>2046</v>
      </c>
      <c r="D143" s="52" t="b">
        <f t="shared" si="2"/>
        <v>1</v>
      </c>
      <c r="E143" s="50">
        <f t="shared" si="14"/>
        <v>1.0229999999999999</v>
      </c>
      <c r="F143" s="50">
        <f t="shared" si="15"/>
        <v>1.540412522673674</v>
      </c>
      <c r="G143" s="50">
        <f t="shared" si="16"/>
        <v>1</v>
      </c>
      <c r="H143" s="21">
        <f t="shared" si="17"/>
        <v>144793.35670152001</v>
      </c>
      <c r="I143" s="21">
        <f t="shared" si="18"/>
        <v>-90094.25990174555</v>
      </c>
      <c r="J143" s="21">
        <f t="shared" si="19"/>
        <v>-1341.28</v>
      </c>
      <c r="K143" s="21">
        <f t="shared" si="20"/>
        <v>-1571</v>
      </c>
      <c r="L143" s="50">
        <f t="shared" si="21"/>
        <v>1</v>
      </c>
      <c r="M143" s="50">
        <f t="shared" si="22"/>
        <v>1</v>
      </c>
      <c r="N143" s="21">
        <f t="shared" si="23"/>
        <v>23329.664711834219</v>
      </c>
      <c r="O143" s="21">
        <f t="shared" si="24"/>
        <v>286901.44426449167</v>
      </c>
      <c r="P143" s="21">
        <f t="shared" si="25"/>
        <v>683091.40287883277</v>
      </c>
      <c r="Q143" s="37">
        <f t="shared" si="26"/>
        <v>4</v>
      </c>
      <c r="R143" s="21">
        <f t="shared" si="27"/>
        <v>96000</v>
      </c>
      <c r="S143" s="21">
        <f t="shared" si="28"/>
        <v>483175.37106118019</v>
      </c>
      <c r="T143" s="21">
        <f t="shared" si="29"/>
        <v>211977.72082725298</v>
      </c>
      <c r="U143" s="21">
        <f t="shared" si="30"/>
        <v>259085.33665609837</v>
      </c>
      <c r="V143" s="21">
        <f t="shared" si="31"/>
        <v>-19200</v>
      </c>
      <c r="W143" s="21">
        <f t="shared" si="3"/>
        <v>483175.37106118019</v>
      </c>
      <c r="X143" s="21">
        <f t="shared" si="4"/>
        <v>211977.72082725298</v>
      </c>
      <c r="Y143" s="21">
        <f t="shared" si="5"/>
        <v>259085.33665609837</v>
      </c>
      <c r="Z143" s="21">
        <f t="shared" si="6"/>
        <v>0</v>
      </c>
      <c r="AA143" s="21">
        <f t="shared" si="32"/>
        <v>0</v>
      </c>
      <c r="AB143" s="21">
        <f t="shared" si="33"/>
        <v>0</v>
      </c>
      <c r="AC143" s="21">
        <f t="shared" si="7"/>
        <v>954238.42854453158</v>
      </c>
      <c r="AD143" s="21">
        <f t="shared" si="8"/>
        <v>-19200</v>
      </c>
      <c r="AE143" s="21">
        <f t="shared" si="34"/>
        <v>0</v>
      </c>
      <c r="AF143" s="21">
        <f t="shared" si="35"/>
        <v>-150235.838457231</v>
      </c>
      <c r="AG143" s="21">
        <f t="shared" si="9"/>
        <v>1797325.1019424594</v>
      </c>
      <c r="AH143" s="21">
        <f t="shared" si="10"/>
        <v>159995.27051909489</v>
      </c>
      <c r="AI143" s="21">
        <f t="shared" si="36"/>
        <v>4800</v>
      </c>
      <c r="AJ143" s="21">
        <f t="shared" si="37"/>
        <v>152067.05560166584</v>
      </c>
      <c r="AK143" s="21">
        <f t="shared" si="38"/>
        <v>0</v>
      </c>
      <c r="AL143" s="21">
        <f t="shared" si="39"/>
        <v>91457.413011948927</v>
      </c>
      <c r="AM143" s="21">
        <f t="shared" si="40"/>
        <v>380</v>
      </c>
      <c r="AN143" s="21">
        <f t="shared" si="11"/>
        <v>243524.47</v>
      </c>
      <c r="AO143" s="21">
        <f t="shared" si="41"/>
        <v>-5180</v>
      </c>
      <c r="AP143" s="21">
        <f t="shared" si="42"/>
        <v>-319766.87812792399</v>
      </c>
      <c r="AQ143" s="21">
        <f t="shared" si="12"/>
        <v>1871318.5322717663</v>
      </c>
      <c r="AR143" s="21">
        <f t="shared" si="13"/>
        <v>233988.7008484019</v>
      </c>
    </row>
    <row r="144" spans="1:44" x14ac:dyDescent="0.25">
      <c r="A144" s="51">
        <v>21</v>
      </c>
      <c r="B144" s="51">
        <f t="shared" si="0"/>
        <v>55</v>
      </c>
      <c r="C144" s="51">
        <f t="shared" si="1"/>
        <v>2047</v>
      </c>
      <c r="D144" s="52" t="b">
        <f t="shared" si="2"/>
        <v>1</v>
      </c>
      <c r="E144" s="50">
        <f t="shared" si="14"/>
        <v>1.0229999999999999</v>
      </c>
      <c r="F144" s="50">
        <f t="shared" si="15"/>
        <v>1.5758420106951683</v>
      </c>
      <c r="G144" s="50">
        <f t="shared" si="16"/>
        <v>1</v>
      </c>
      <c r="H144" s="21">
        <f t="shared" si="17"/>
        <v>148847.57068916256</v>
      </c>
      <c r="I144" s="21">
        <f t="shared" si="18"/>
        <v>-78309.892879485691</v>
      </c>
      <c r="J144" s="21">
        <f t="shared" si="19"/>
        <v>0</v>
      </c>
      <c r="K144" s="21">
        <f t="shared" si="20"/>
        <v>-1571</v>
      </c>
      <c r="L144" s="50">
        <f t="shared" si="21"/>
        <v>1</v>
      </c>
      <c r="M144" s="50">
        <f t="shared" si="22"/>
        <v>1</v>
      </c>
      <c r="N144" s="21">
        <f t="shared" si="23"/>
        <v>23609.620688376232</v>
      </c>
      <c r="O144" s="21">
        <f t="shared" si="24"/>
        <v>300588.28692360036</v>
      </c>
      <c r="P144" s="21">
        <f t="shared" si="25"/>
        <v>706316.51057671313</v>
      </c>
      <c r="Q144" s="37">
        <f t="shared" si="26"/>
        <v>4</v>
      </c>
      <c r="R144" s="21">
        <f t="shared" si="27"/>
        <v>96000</v>
      </c>
      <c r="S144" s="21">
        <f t="shared" si="28"/>
        <v>509658.11533770966</v>
      </c>
      <c r="T144" s="21">
        <f t="shared" si="29"/>
        <v>231496.44566034313</v>
      </c>
      <c r="U144" s="21">
        <f t="shared" si="30"/>
        <v>279525.77412234229</v>
      </c>
      <c r="V144" s="21">
        <f t="shared" si="31"/>
        <v>-19200</v>
      </c>
      <c r="W144" s="21">
        <f t="shared" si="3"/>
        <v>509658.11533770966</v>
      </c>
      <c r="X144" s="21">
        <f t="shared" si="4"/>
        <v>231496.44566034313</v>
      </c>
      <c r="Y144" s="21">
        <f t="shared" si="5"/>
        <v>279525.77412234229</v>
      </c>
      <c r="Z144" s="21">
        <f t="shared" si="6"/>
        <v>0</v>
      </c>
      <c r="AA144" s="21">
        <f t="shared" si="32"/>
        <v>0</v>
      </c>
      <c r="AB144" s="21">
        <f t="shared" si="33"/>
        <v>0</v>
      </c>
      <c r="AC144" s="21">
        <f t="shared" si="7"/>
        <v>1020680.3351203951</v>
      </c>
      <c r="AD144" s="21">
        <f t="shared" si="8"/>
        <v>-19200</v>
      </c>
      <c r="AE144" s="21">
        <f t="shared" si="34"/>
        <v>0</v>
      </c>
      <c r="AF144" s="21">
        <f t="shared" si="35"/>
        <v>-101971.51903212645</v>
      </c>
      <c r="AG144" s="21">
        <f t="shared" si="9"/>
        <v>1949223.2342769583</v>
      </c>
      <c r="AH144" s="21">
        <f t="shared" si="10"/>
        <v>222226.38857985014</v>
      </c>
      <c r="AI144" s="21">
        <f t="shared" si="36"/>
        <v>4800</v>
      </c>
      <c r="AJ144" s="21">
        <f t="shared" si="37"/>
        <v>163455.47193693582</v>
      </c>
      <c r="AK144" s="21">
        <f t="shared" si="38"/>
        <v>0</v>
      </c>
      <c r="AL144" s="21">
        <f t="shared" si="39"/>
        <v>95298.62435845079</v>
      </c>
      <c r="AM144" s="21">
        <f t="shared" si="40"/>
        <v>380</v>
      </c>
      <c r="AN144" s="21">
        <f t="shared" si="11"/>
        <v>258754.09</v>
      </c>
      <c r="AO144" s="21">
        <f t="shared" si="41"/>
        <v>-5180</v>
      </c>
      <c r="AP144" s="21">
        <f t="shared" si="42"/>
        <v>-278377.86909952638</v>
      </c>
      <c r="AQ144" s="21">
        <f t="shared" si="12"/>
        <v>2031570.9742095585</v>
      </c>
      <c r="AR144" s="21">
        <f t="shared" si="13"/>
        <v>304574.12851245026</v>
      </c>
    </row>
    <row r="145" spans="1:44" x14ac:dyDescent="0.25">
      <c r="A145" s="51">
        <v>22</v>
      </c>
      <c r="B145" s="51">
        <f t="shared" si="0"/>
        <v>56</v>
      </c>
      <c r="C145" s="51">
        <f t="shared" si="1"/>
        <v>2048</v>
      </c>
      <c r="D145" s="52" t="b">
        <f t="shared" si="2"/>
        <v>1</v>
      </c>
      <c r="E145" s="50">
        <f t="shared" si="14"/>
        <v>1.0229999999999999</v>
      </c>
      <c r="F145" s="50">
        <f t="shared" si="15"/>
        <v>1.6120863769411571</v>
      </c>
      <c r="G145" s="50">
        <f t="shared" si="16"/>
        <v>1</v>
      </c>
      <c r="H145" s="21">
        <f t="shared" si="17"/>
        <v>153015.3026684591</v>
      </c>
      <c r="I145" s="21">
        <f t="shared" si="18"/>
        <v>-80111.020415713865</v>
      </c>
      <c r="J145" s="21">
        <f t="shared" si="19"/>
        <v>0</v>
      </c>
      <c r="K145" s="21">
        <f t="shared" si="20"/>
        <v>-1571</v>
      </c>
      <c r="L145" s="50">
        <f t="shared" si="21"/>
        <v>1</v>
      </c>
      <c r="M145" s="50">
        <f t="shared" si="22"/>
        <v>1</v>
      </c>
      <c r="N145" s="21">
        <f t="shared" si="23"/>
        <v>23892.936136636745</v>
      </c>
      <c r="O145" s="21">
        <f t="shared" si="24"/>
        <v>314849.97697439161</v>
      </c>
      <c r="P145" s="21">
        <f t="shared" si="25"/>
        <v>730331.2719363214</v>
      </c>
      <c r="Q145" s="37">
        <f t="shared" si="26"/>
        <v>4</v>
      </c>
      <c r="R145" s="21">
        <f t="shared" si="27"/>
        <v>96000</v>
      </c>
      <c r="S145" s="21">
        <f t="shared" si="28"/>
        <v>536802.9282211524</v>
      </c>
      <c r="T145" s="21">
        <f t="shared" si="29"/>
        <v>251795.91948675687</v>
      </c>
      <c r="U145" s="21">
        <f t="shared" si="30"/>
        <v>300783.82908723596</v>
      </c>
      <c r="V145" s="21">
        <f t="shared" si="31"/>
        <v>-19200</v>
      </c>
      <c r="W145" s="21">
        <f t="shared" si="3"/>
        <v>536802.9282211524</v>
      </c>
      <c r="X145" s="21">
        <f t="shared" si="4"/>
        <v>251795.91948675687</v>
      </c>
      <c r="Y145" s="21">
        <f t="shared" si="5"/>
        <v>300783.82908723596</v>
      </c>
      <c r="Z145" s="21">
        <f t="shared" si="6"/>
        <v>0</v>
      </c>
      <c r="AA145" s="21">
        <f t="shared" si="32"/>
        <v>0</v>
      </c>
      <c r="AB145" s="21">
        <f t="shared" si="33"/>
        <v>0</v>
      </c>
      <c r="AC145" s="21">
        <f t="shared" si="7"/>
        <v>1089382.6767951453</v>
      </c>
      <c r="AD145" s="21">
        <f t="shared" si="8"/>
        <v>-19200</v>
      </c>
      <c r="AE145" s="21">
        <f t="shared" si="34"/>
        <v>0</v>
      </c>
      <c r="AF145" s="21">
        <f t="shared" si="35"/>
        <v>-50857.951969702481</v>
      </c>
      <c r="AG145" s="21">
        <f t="shared" si="9"/>
        <v>2107598.9098727931</v>
      </c>
      <c r="AH145" s="21">
        <f t="shared" si="10"/>
        <v>287884.96114132588</v>
      </c>
      <c r="AI145" s="21">
        <f t="shared" si="36"/>
        <v>4800</v>
      </c>
      <c r="AJ145" s="21">
        <f t="shared" si="37"/>
        <v>175322.20175828712</v>
      </c>
      <c r="AK145" s="21">
        <f t="shared" si="38"/>
        <v>0</v>
      </c>
      <c r="AL145" s="21">
        <f t="shared" si="39"/>
        <v>99301.16658150572</v>
      </c>
      <c r="AM145" s="21">
        <f t="shared" si="40"/>
        <v>380</v>
      </c>
      <c r="AN145" s="21">
        <f t="shared" si="11"/>
        <v>274623.37</v>
      </c>
      <c r="AO145" s="21">
        <f t="shared" si="41"/>
        <v>-5180</v>
      </c>
      <c r="AP145" s="21">
        <f t="shared" si="42"/>
        <v>-234208.36553777638</v>
      </c>
      <c r="AQ145" s="21">
        <f t="shared" si="12"/>
        <v>2198871.8663047189</v>
      </c>
      <c r="AR145" s="21">
        <f t="shared" si="13"/>
        <v>379157.91757325199</v>
      </c>
    </row>
    <row r="146" spans="1:44" x14ac:dyDescent="0.25">
      <c r="A146" s="51">
        <v>23</v>
      </c>
      <c r="B146" s="51">
        <f t="shared" si="0"/>
        <v>57</v>
      </c>
      <c r="C146" s="51">
        <f t="shared" si="1"/>
        <v>2049</v>
      </c>
      <c r="D146" s="52" t="b">
        <f t="shared" si="2"/>
        <v>1</v>
      </c>
      <c r="E146" s="50">
        <f t="shared" si="14"/>
        <v>1.0229999999999999</v>
      </c>
      <c r="F146" s="50">
        <f t="shared" si="15"/>
        <v>1.6491643636108035</v>
      </c>
      <c r="G146" s="50">
        <f t="shared" si="16"/>
        <v>1</v>
      </c>
      <c r="H146" s="21">
        <f t="shared" si="17"/>
        <v>157299.73114317597</v>
      </c>
      <c r="I146" s="21">
        <f t="shared" si="18"/>
        <v>-81953.573885275269</v>
      </c>
      <c r="J146" s="21">
        <f t="shared" si="19"/>
        <v>0</v>
      </c>
      <c r="K146" s="21">
        <f t="shared" si="20"/>
        <v>-1571</v>
      </c>
      <c r="L146" s="50">
        <f t="shared" si="21"/>
        <v>1</v>
      </c>
      <c r="M146" s="50">
        <f t="shared" si="22"/>
        <v>1</v>
      </c>
      <c r="N146" s="21">
        <f t="shared" si="23"/>
        <v>24179.651370276388</v>
      </c>
      <c r="O146" s="21">
        <f t="shared" si="24"/>
        <v>329710.65800731606</v>
      </c>
      <c r="P146" s="21">
        <f t="shared" si="25"/>
        <v>755162.53518215637</v>
      </c>
      <c r="Q146" s="37">
        <f t="shared" si="26"/>
        <v>5</v>
      </c>
      <c r="R146" s="21">
        <f t="shared" si="27"/>
        <v>96000</v>
      </c>
      <c r="S146" s="21">
        <f t="shared" si="28"/>
        <v>562918.28142668121</v>
      </c>
      <c r="T146" s="21">
        <f t="shared" si="29"/>
        <v>269268.39626622718</v>
      </c>
      <c r="U146" s="21">
        <f t="shared" si="30"/>
        <v>323919.26225072541</v>
      </c>
      <c r="V146" s="21">
        <f t="shared" si="31"/>
        <v>-16320.000000000002</v>
      </c>
      <c r="W146" s="21">
        <f t="shared" si="3"/>
        <v>562918.28142668121</v>
      </c>
      <c r="X146" s="21">
        <f t="shared" si="4"/>
        <v>269268.39626622718</v>
      </c>
      <c r="Y146" s="21">
        <f t="shared" si="5"/>
        <v>323919.26225072541</v>
      </c>
      <c r="Z146" s="21">
        <f t="shared" si="6"/>
        <v>0</v>
      </c>
      <c r="AA146" s="21">
        <f t="shared" si="32"/>
        <v>0</v>
      </c>
      <c r="AB146" s="21">
        <f t="shared" si="33"/>
        <v>0</v>
      </c>
      <c r="AC146" s="21">
        <f t="shared" si="7"/>
        <v>1156105.9399436337</v>
      </c>
      <c r="AD146" s="21">
        <f t="shared" si="8"/>
        <v>-16320.000000000002</v>
      </c>
      <c r="AE146" s="21">
        <f t="shared" si="34"/>
        <v>0</v>
      </c>
      <c r="AF146" s="21">
        <f t="shared" si="35"/>
        <v>6088.6257685011933</v>
      </c>
      <c r="AG146" s="21">
        <f t="shared" si="9"/>
        <v>2271247.4102718839</v>
      </c>
      <c r="AH146" s="21">
        <f t="shared" si="10"/>
        <v>359978.93514609366</v>
      </c>
      <c r="AI146" s="21">
        <f t="shared" si="36"/>
        <v>4800</v>
      </c>
      <c r="AJ146" s="21">
        <f t="shared" si="37"/>
        <v>187687.33423213518</v>
      </c>
      <c r="AK146" s="21">
        <f t="shared" si="38"/>
        <v>0</v>
      </c>
      <c r="AL146" s="21">
        <f t="shared" si="39"/>
        <v>103471.81557792897</v>
      </c>
      <c r="AM146" s="21">
        <f t="shared" si="40"/>
        <v>380</v>
      </c>
      <c r="AN146" s="21">
        <f t="shared" si="11"/>
        <v>291159.15000000002</v>
      </c>
      <c r="AO146" s="21">
        <f t="shared" si="41"/>
        <v>-5180</v>
      </c>
      <c r="AP146" s="21">
        <f t="shared" si="42"/>
        <v>-184275.29193525342</v>
      </c>
      <c r="AQ146" s="21">
        <f t="shared" si="12"/>
        <v>2372042.6425681291</v>
      </c>
      <c r="AR146" s="21">
        <f t="shared" si="13"/>
        <v>460774.16744233907</v>
      </c>
    </row>
    <row r="147" spans="1:44" x14ac:dyDescent="0.25">
      <c r="A147" s="51">
        <v>24</v>
      </c>
      <c r="B147" s="51">
        <f t="shared" si="0"/>
        <v>58</v>
      </c>
      <c r="C147" s="51">
        <f t="shared" si="1"/>
        <v>2050</v>
      </c>
      <c r="D147" s="52" t="b">
        <f t="shared" si="2"/>
        <v>1</v>
      </c>
      <c r="E147" s="50">
        <f t="shared" si="14"/>
        <v>1.0229999999999999</v>
      </c>
      <c r="F147" s="50">
        <f t="shared" si="15"/>
        <v>1.687095143973852</v>
      </c>
      <c r="G147" s="50">
        <f t="shared" si="16"/>
        <v>1</v>
      </c>
      <c r="H147" s="21">
        <f t="shared" si="17"/>
        <v>161704.12361518492</v>
      </c>
      <c r="I147" s="21">
        <f t="shared" si="18"/>
        <v>-83838.506084636596</v>
      </c>
      <c r="J147" s="21">
        <f t="shared" si="19"/>
        <v>0</v>
      </c>
      <c r="K147" s="21">
        <f t="shared" si="20"/>
        <v>-1571</v>
      </c>
      <c r="L147" s="50">
        <f t="shared" si="21"/>
        <v>1</v>
      </c>
      <c r="M147" s="50">
        <f t="shared" si="22"/>
        <v>1</v>
      </c>
      <c r="N147" s="21">
        <f t="shared" si="23"/>
        <v>24469.807186719703</v>
      </c>
      <c r="O147" s="21">
        <f t="shared" si="24"/>
        <v>345195.48764362332</v>
      </c>
      <c r="P147" s="21">
        <f t="shared" si="25"/>
        <v>780838.06137834967</v>
      </c>
      <c r="Q147" s="37">
        <f t="shared" si="26"/>
        <v>5</v>
      </c>
      <c r="R147" s="21">
        <f t="shared" si="27"/>
        <v>96000</v>
      </c>
      <c r="S147" s="21">
        <f t="shared" si="28"/>
        <v>589686.51846234826</v>
      </c>
      <c r="T147" s="21">
        <f t="shared" si="29"/>
        <v>287439.77211687627</v>
      </c>
      <c r="U147" s="21">
        <f t="shared" si="30"/>
        <v>347980.11274075444</v>
      </c>
      <c r="V147" s="21">
        <f t="shared" si="31"/>
        <v>-16320.000000000002</v>
      </c>
      <c r="W147" s="21">
        <f t="shared" si="3"/>
        <v>589686.51846234826</v>
      </c>
      <c r="X147" s="21">
        <f t="shared" si="4"/>
        <v>287439.77211687627</v>
      </c>
      <c r="Y147" s="21">
        <f t="shared" si="5"/>
        <v>347980.11274075444</v>
      </c>
      <c r="Z147" s="21">
        <f t="shared" si="6"/>
        <v>0</v>
      </c>
      <c r="AA147" s="21">
        <f t="shared" si="32"/>
        <v>0</v>
      </c>
      <c r="AB147" s="21">
        <f t="shared" si="33"/>
        <v>0</v>
      </c>
      <c r="AC147" s="21">
        <f t="shared" si="7"/>
        <v>1225106.4033199789</v>
      </c>
      <c r="AD147" s="21">
        <f t="shared" si="8"/>
        <v>-16320.000000000002</v>
      </c>
      <c r="AE147" s="21">
        <f t="shared" si="34"/>
        <v>0</v>
      </c>
      <c r="AF147" s="21">
        <f t="shared" si="35"/>
        <v>66124.129556734537</v>
      </c>
      <c r="AG147" s="21">
        <f t="shared" si="9"/>
        <v>2441733.889085406</v>
      </c>
      <c r="AH147" s="21">
        <f t="shared" si="10"/>
        <v>435789.42438707757</v>
      </c>
      <c r="AI147" s="21">
        <f t="shared" si="36"/>
        <v>4800</v>
      </c>
      <c r="AJ147" s="21">
        <f t="shared" si="37"/>
        <v>200571.80226988488</v>
      </c>
      <c r="AK147" s="21">
        <f t="shared" si="38"/>
        <v>0</v>
      </c>
      <c r="AL147" s="21">
        <f t="shared" si="39"/>
        <v>107817.63183220198</v>
      </c>
      <c r="AM147" s="21">
        <f t="shared" si="40"/>
        <v>380</v>
      </c>
      <c r="AN147" s="21">
        <f t="shared" si="11"/>
        <v>308389.43</v>
      </c>
      <c r="AO147" s="21">
        <f t="shared" si="41"/>
        <v>-5180</v>
      </c>
      <c r="AP147" s="21">
        <f t="shared" si="42"/>
        <v>-131323.42732405761</v>
      </c>
      <c r="AQ147" s="21">
        <f t="shared" si="12"/>
        <v>2552675.762204614</v>
      </c>
      <c r="AR147" s="21">
        <f t="shared" si="13"/>
        <v>546731.29750628537</v>
      </c>
    </row>
    <row r="148" spans="1:44" x14ac:dyDescent="0.25">
      <c r="A148" s="51">
        <v>25</v>
      </c>
      <c r="B148" s="51">
        <f t="shared" si="0"/>
        <v>59</v>
      </c>
      <c r="C148" s="51">
        <f t="shared" si="1"/>
        <v>2051</v>
      </c>
      <c r="D148" s="52" t="b">
        <f t="shared" si="2"/>
        <v>1</v>
      </c>
      <c r="E148" s="50">
        <f t="shared" si="14"/>
        <v>1.0229999999999999</v>
      </c>
      <c r="F148" s="50">
        <f t="shared" si="15"/>
        <v>1.7258983322852504</v>
      </c>
      <c r="G148" s="50">
        <f t="shared" si="16"/>
        <v>1</v>
      </c>
      <c r="H148" s="21">
        <f t="shared" si="17"/>
        <v>166231.83907641008</v>
      </c>
      <c r="I148" s="21">
        <f t="shared" si="18"/>
        <v>-85766.791724583236</v>
      </c>
      <c r="J148" s="21">
        <f t="shared" si="19"/>
        <v>0</v>
      </c>
      <c r="K148" s="21">
        <f t="shared" si="20"/>
        <v>-1571</v>
      </c>
      <c r="L148" s="50">
        <f t="shared" si="21"/>
        <v>1</v>
      </c>
      <c r="M148" s="50">
        <f t="shared" si="22"/>
        <v>1</v>
      </c>
      <c r="N148" s="21">
        <f t="shared" si="23"/>
        <v>24763.444872960339</v>
      </c>
      <c r="O148" s="21">
        <f t="shared" si="24"/>
        <v>361330.68012465548</v>
      </c>
      <c r="P148" s="21">
        <f t="shared" si="25"/>
        <v>807386.55546521361</v>
      </c>
      <c r="Q148" s="37">
        <f t="shared" si="26"/>
        <v>5</v>
      </c>
      <c r="R148" s="21">
        <f t="shared" si="27"/>
        <v>96000</v>
      </c>
      <c r="S148" s="21">
        <f t="shared" si="28"/>
        <v>617123.96142390696</v>
      </c>
      <c r="T148" s="21">
        <f t="shared" si="29"/>
        <v>306338.00300155132</v>
      </c>
      <c r="U148" s="21">
        <f t="shared" si="30"/>
        <v>373003.39725038467</v>
      </c>
      <c r="V148" s="21">
        <f t="shared" si="31"/>
        <v>-16320.000000000002</v>
      </c>
      <c r="W148" s="21">
        <f t="shared" si="3"/>
        <v>617123.96142390696</v>
      </c>
      <c r="X148" s="21">
        <f t="shared" si="4"/>
        <v>306338.00300155132</v>
      </c>
      <c r="Y148" s="21">
        <f t="shared" si="5"/>
        <v>373003.39725038467</v>
      </c>
      <c r="Z148" s="21">
        <f t="shared" si="6"/>
        <v>0</v>
      </c>
      <c r="AA148" s="21">
        <f t="shared" si="32"/>
        <v>0</v>
      </c>
      <c r="AB148" s="21">
        <f t="shared" si="33"/>
        <v>0</v>
      </c>
      <c r="AC148" s="21">
        <f t="shared" si="7"/>
        <v>1296465.3616758431</v>
      </c>
      <c r="AD148" s="21">
        <f t="shared" si="8"/>
        <v>-16320.000000000002</v>
      </c>
      <c r="AE148" s="21">
        <f t="shared" si="34"/>
        <v>0</v>
      </c>
      <c r="AF148" s="21">
        <f t="shared" si="35"/>
        <v>129359.41820412874</v>
      </c>
      <c r="AG148" s="21">
        <f t="shared" si="9"/>
        <v>2619305.4603428012</v>
      </c>
      <c r="AH148" s="21">
        <f t="shared" si="10"/>
        <v>515453.54320174456</v>
      </c>
      <c r="AI148" s="21">
        <f t="shared" si="36"/>
        <v>4800</v>
      </c>
      <c r="AJ148" s="21">
        <f t="shared" si="37"/>
        <v>213997.41796522005</v>
      </c>
      <c r="AK148" s="21">
        <f t="shared" si="38"/>
        <v>0</v>
      </c>
      <c r="AL148" s="21">
        <f t="shared" si="39"/>
        <v>112345.97236915446</v>
      </c>
      <c r="AM148" s="21">
        <f t="shared" si="40"/>
        <v>380</v>
      </c>
      <c r="AN148" s="21">
        <f t="shared" si="11"/>
        <v>326343.39</v>
      </c>
      <c r="AO148" s="21">
        <f t="shared" si="41"/>
        <v>-5180</v>
      </c>
      <c r="AP148" s="21">
        <f t="shared" si="42"/>
        <v>-75242.614245471355</v>
      </c>
      <c r="AQ148" s="21">
        <f t="shared" si="12"/>
        <v>2741046.817893201</v>
      </c>
      <c r="AR148" s="21">
        <f t="shared" si="13"/>
        <v>637194.9007521444</v>
      </c>
    </row>
    <row r="149" spans="1:44" x14ac:dyDescent="0.25">
      <c r="A149" s="51">
        <v>26</v>
      </c>
      <c r="B149" s="51">
        <f t="shared" si="0"/>
        <v>60</v>
      </c>
      <c r="C149" s="51">
        <f t="shared" si="1"/>
        <v>2052</v>
      </c>
      <c r="D149" s="52" t="b">
        <f t="shared" si="2"/>
        <v>1</v>
      </c>
      <c r="E149" s="50">
        <f t="shared" si="14"/>
        <v>1.0229999999999999</v>
      </c>
      <c r="F149" s="50">
        <f t="shared" si="15"/>
        <v>1.7655939939278109</v>
      </c>
      <c r="G149" s="50">
        <f t="shared" si="16"/>
        <v>1</v>
      </c>
      <c r="H149" s="21">
        <f t="shared" si="17"/>
        <v>170886.33057054956</v>
      </c>
      <c r="I149" s="21">
        <f t="shared" si="18"/>
        <v>-87739.427934248641</v>
      </c>
      <c r="J149" s="21">
        <f t="shared" si="19"/>
        <v>0</v>
      </c>
      <c r="K149" s="21">
        <f t="shared" si="20"/>
        <v>-1571</v>
      </c>
      <c r="L149" s="50">
        <f t="shared" si="21"/>
        <v>1</v>
      </c>
      <c r="M149" s="50">
        <f t="shared" si="22"/>
        <v>1</v>
      </c>
      <c r="N149" s="21">
        <f t="shared" si="23"/>
        <v>25060.606211435865</v>
      </c>
      <c r="O149" s="21">
        <f t="shared" si="24"/>
        <v>378143.55068989104</v>
      </c>
      <c r="P149" s="21">
        <f t="shared" si="25"/>
        <v>834837.69835103094</v>
      </c>
      <c r="Q149" s="37">
        <f t="shared" si="26"/>
        <v>5</v>
      </c>
      <c r="R149" s="21">
        <f t="shared" si="27"/>
        <v>96000</v>
      </c>
      <c r="S149" s="21">
        <f t="shared" si="28"/>
        <v>645247.34045950463</v>
      </c>
      <c r="T149" s="21">
        <f t="shared" si="29"/>
        <v>325992.16312161338</v>
      </c>
      <c r="U149" s="21">
        <f t="shared" si="30"/>
        <v>399027.61314040009</v>
      </c>
      <c r="V149" s="21">
        <f t="shared" si="31"/>
        <v>-16320.000000000002</v>
      </c>
      <c r="W149" s="21">
        <f t="shared" si="3"/>
        <v>645247.34045950463</v>
      </c>
      <c r="X149" s="21">
        <f t="shared" si="4"/>
        <v>325992.16312161338</v>
      </c>
      <c r="Y149" s="21">
        <f t="shared" si="5"/>
        <v>399027.61314040009</v>
      </c>
      <c r="Z149" s="21">
        <f t="shared" si="6"/>
        <v>0</v>
      </c>
      <c r="AA149" s="21">
        <f t="shared" si="32"/>
        <v>0</v>
      </c>
      <c r="AB149" s="21">
        <f t="shared" si="33"/>
        <v>0</v>
      </c>
      <c r="AC149" s="21">
        <f t="shared" si="7"/>
        <v>1370267.1167215181</v>
      </c>
      <c r="AD149" s="21">
        <f t="shared" si="8"/>
        <v>-16320.000000000002</v>
      </c>
      <c r="AE149" s="21">
        <f t="shared" si="34"/>
        <v>0</v>
      </c>
      <c r="AF149" s="21">
        <f t="shared" si="35"/>
        <v>195908.91502247093</v>
      </c>
      <c r="AG149" s="21">
        <f t="shared" si="9"/>
        <v>2804217.886996347</v>
      </c>
      <c r="AH149" s="21">
        <f t="shared" si="10"/>
        <v>599113.07192379783</v>
      </c>
      <c r="AI149" s="21">
        <f t="shared" si="36"/>
        <v>4800</v>
      </c>
      <c r="AJ149" s="21">
        <f t="shared" si="37"/>
        <v>227986.9095197593</v>
      </c>
      <c r="AK149" s="21">
        <f t="shared" si="38"/>
        <v>0</v>
      </c>
      <c r="AL149" s="21">
        <f t="shared" si="39"/>
        <v>117064.50320865895</v>
      </c>
      <c r="AM149" s="21">
        <f t="shared" si="40"/>
        <v>380</v>
      </c>
      <c r="AN149" s="21">
        <f t="shared" si="11"/>
        <v>345051.41000000003</v>
      </c>
      <c r="AO149" s="21">
        <f t="shared" si="41"/>
        <v>-5180</v>
      </c>
      <c r="AP149" s="21">
        <f t="shared" si="42"/>
        <v>-15919.137751625154</v>
      </c>
      <c r="AQ149" s="21">
        <f t="shared" si="12"/>
        <v>2937441.2442222508</v>
      </c>
      <c r="AR149" s="21">
        <f t="shared" si="13"/>
        <v>732336.42914970173</v>
      </c>
    </row>
    <row r="150" spans="1:44" x14ac:dyDescent="0.25">
      <c r="A150" s="51">
        <v>27</v>
      </c>
      <c r="B150" s="51">
        <f t="shared" si="0"/>
        <v>61</v>
      </c>
      <c r="C150" s="51">
        <f t="shared" si="1"/>
        <v>2053</v>
      </c>
      <c r="D150" s="52" t="b">
        <f t="shared" si="2"/>
        <v>1</v>
      </c>
      <c r="E150" s="50">
        <f t="shared" si="14"/>
        <v>1.0229999999999999</v>
      </c>
      <c r="F150" s="50">
        <f t="shared" si="15"/>
        <v>1.8062026557881503</v>
      </c>
      <c r="G150" s="50">
        <f t="shared" si="16"/>
        <v>1</v>
      </c>
      <c r="H150" s="21">
        <f t="shared" si="17"/>
        <v>175671.14782652495</v>
      </c>
      <c r="I150" s="21">
        <f t="shared" si="18"/>
        <v>-89757.434776736336</v>
      </c>
      <c r="J150" s="21">
        <f t="shared" si="19"/>
        <v>0</v>
      </c>
      <c r="K150" s="21">
        <f t="shared" si="20"/>
        <v>-1571</v>
      </c>
      <c r="L150" s="50">
        <f t="shared" si="21"/>
        <v>1</v>
      </c>
      <c r="M150" s="50">
        <f t="shared" si="22"/>
        <v>1</v>
      </c>
      <c r="N150" s="21">
        <f t="shared" si="23"/>
        <v>25361.333485973097</v>
      </c>
      <c r="O150" s="21">
        <f t="shared" si="24"/>
        <v>395662.56181886647</v>
      </c>
      <c r="P150" s="21">
        <f t="shared" si="25"/>
        <v>863222.18009496597</v>
      </c>
      <c r="Q150" s="37">
        <f t="shared" si="26"/>
        <v>5</v>
      </c>
      <c r="R150" s="21">
        <f t="shared" si="27"/>
        <v>96000</v>
      </c>
      <c r="S150" s="21">
        <f t="shared" si="28"/>
        <v>674073.80397099222</v>
      </c>
      <c r="T150" s="21">
        <f t="shared" si="29"/>
        <v>346432.48964647792</v>
      </c>
      <c r="U150" s="21">
        <f t="shared" si="30"/>
        <v>426092.79766601615</v>
      </c>
      <c r="V150" s="21">
        <f t="shared" si="31"/>
        <v>-16320.000000000002</v>
      </c>
      <c r="W150" s="21">
        <f t="shared" si="3"/>
        <v>674073.80397099222</v>
      </c>
      <c r="X150" s="21">
        <f t="shared" si="4"/>
        <v>346432.48964647792</v>
      </c>
      <c r="Y150" s="21">
        <f t="shared" si="5"/>
        <v>426092.79766601615</v>
      </c>
      <c r="Z150" s="21">
        <f t="shared" si="6"/>
        <v>0</v>
      </c>
      <c r="AA150" s="21">
        <f t="shared" si="32"/>
        <v>0</v>
      </c>
      <c r="AB150" s="21">
        <f t="shared" si="33"/>
        <v>0</v>
      </c>
      <c r="AC150" s="21">
        <f t="shared" si="7"/>
        <v>1446599.0912834862</v>
      </c>
      <c r="AD150" s="21">
        <f t="shared" si="8"/>
        <v>-16320.000000000002</v>
      </c>
      <c r="AE150" s="21">
        <f t="shared" si="34"/>
        <v>0</v>
      </c>
      <c r="AF150" s="21">
        <f t="shared" si="35"/>
        <v>265890.71722248429</v>
      </c>
      <c r="AG150" s="21">
        <f t="shared" si="9"/>
        <v>2996735.8839057763</v>
      </c>
      <c r="AH150" s="21">
        <f t="shared" si="10"/>
        <v>686914.61252732389</v>
      </c>
      <c r="AI150" s="21">
        <f t="shared" si="36"/>
        <v>4800</v>
      </c>
      <c r="AJ150" s="21">
        <f t="shared" si="37"/>
        <v>242563.95971958918</v>
      </c>
      <c r="AK150" s="21">
        <f t="shared" si="38"/>
        <v>0</v>
      </c>
      <c r="AL150" s="21">
        <f t="shared" si="39"/>
        <v>121981.21234342262</v>
      </c>
      <c r="AM150" s="21">
        <f t="shared" si="40"/>
        <v>380</v>
      </c>
      <c r="AN150" s="21">
        <f t="shared" si="11"/>
        <v>364545.17</v>
      </c>
      <c r="AO150" s="21">
        <f t="shared" si="41"/>
        <v>-5180</v>
      </c>
      <c r="AP150" s="21">
        <f t="shared" si="42"/>
        <v>46764.383920647204</v>
      </c>
      <c r="AQ150" s="21">
        <f t="shared" si="12"/>
        <v>3142154.7206039391</v>
      </c>
      <c r="AR150" s="21">
        <f t="shared" si="13"/>
        <v>832333.44922548672</v>
      </c>
    </row>
    <row r="151" spans="1:44" x14ac:dyDescent="0.25">
      <c r="A151" s="51">
        <v>28</v>
      </c>
      <c r="B151" s="51">
        <f t="shared" si="0"/>
        <v>62</v>
      </c>
      <c r="C151" s="51">
        <f t="shared" si="1"/>
        <v>2054</v>
      </c>
      <c r="D151" s="52" t="b">
        <f t="shared" si="2"/>
        <v>1</v>
      </c>
      <c r="E151" s="50">
        <f t="shared" si="14"/>
        <v>1.0229999999999999</v>
      </c>
      <c r="F151" s="50">
        <f t="shared" si="15"/>
        <v>1.8477453168712776</v>
      </c>
      <c r="G151" s="50">
        <f t="shared" si="16"/>
        <v>1</v>
      </c>
      <c r="H151" s="21">
        <f t="shared" si="17"/>
        <v>180589.93996566764</v>
      </c>
      <c r="I151" s="21">
        <f t="shared" si="18"/>
        <v>-91821.855776601267</v>
      </c>
      <c r="J151" s="21">
        <f t="shared" si="19"/>
        <v>0</v>
      </c>
      <c r="K151" s="21">
        <f t="shared" si="20"/>
        <v>-1571</v>
      </c>
      <c r="L151" s="50">
        <f t="shared" si="21"/>
        <v>1</v>
      </c>
      <c r="M151" s="50">
        <f t="shared" si="22"/>
        <v>1</v>
      </c>
      <c r="N151" s="21">
        <f t="shared" si="23"/>
        <v>25665.669487804775</v>
      </c>
      <c r="O151" s="21">
        <f t="shared" si="24"/>
        <v>413917.37141525885</v>
      </c>
      <c r="P151" s="21">
        <f t="shared" si="25"/>
        <v>892571.73421819485</v>
      </c>
      <c r="Q151" s="37">
        <f t="shared" si="26"/>
        <v>6</v>
      </c>
      <c r="R151" s="21">
        <f t="shared" si="27"/>
        <v>96000</v>
      </c>
      <c r="S151" s="21">
        <f t="shared" si="28"/>
        <v>694781.15307026694</v>
      </c>
      <c r="T151" s="21">
        <f t="shared" si="29"/>
        <v>367441.30923233705</v>
      </c>
      <c r="U151" s="21">
        <f t="shared" si="30"/>
        <v>454689.48557265685</v>
      </c>
      <c r="V151" s="21">
        <f t="shared" si="31"/>
        <v>-11040</v>
      </c>
      <c r="W151" s="21">
        <f t="shared" si="3"/>
        <v>694781.15307026694</v>
      </c>
      <c r="X151" s="21">
        <f t="shared" si="4"/>
        <v>367441.30923233705</v>
      </c>
      <c r="Y151" s="21">
        <f t="shared" si="5"/>
        <v>454689.48557265685</v>
      </c>
      <c r="Z151" s="21">
        <f t="shared" si="6"/>
        <v>0</v>
      </c>
      <c r="AA151" s="21">
        <f t="shared" si="32"/>
        <v>0</v>
      </c>
      <c r="AB151" s="21">
        <f t="shared" si="33"/>
        <v>0</v>
      </c>
      <c r="AC151" s="21">
        <f t="shared" si="7"/>
        <v>1516911.9478752608</v>
      </c>
      <c r="AD151" s="21">
        <f t="shared" si="8"/>
        <v>-11040</v>
      </c>
      <c r="AE151" s="21">
        <f t="shared" si="34"/>
        <v>0</v>
      </c>
      <c r="AF151" s="21">
        <f t="shared" si="35"/>
        <v>344706.70858377556</v>
      </c>
      <c r="AG151" s="21">
        <f t="shared" si="9"/>
        <v>3193773.4315802949</v>
      </c>
      <c r="AH151" s="21">
        <f t="shared" si="10"/>
        <v>784289.74948683917</v>
      </c>
      <c r="AI151" s="21">
        <f t="shared" si="36"/>
        <v>4800</v>
      </c>
      <c r="AJ151" s="21">
        <f t="shared" si="37"/>
        <v>257753.24602781193</v>
      </c>
      <c r="AK151" s="21">
        <f t="shared" si="38"/>
        <v>0</v>
      </c>
      <c r="AL151" s="21">
        <f t="shared" si="39"/>
        <v>127104.42326184637</v>
      </c>
      <c r="AM151" s="21">
        <f t="shared" si="40"/>
        <v>380</v>
      </c>
      <c r="AN151" s="21">
        <f t="shared" si="11"/>
        <v>384857.67</v>
      </c>
      <c r="AO151" s="21">
        <f t="shared" si="41"/>
        <v>-5180</v>
      </c>
      <c r="AP151" s="21">
        <f t="shared" si="42"/>
        <v>118209.11194892004</v>
      </c>
      <c r="AQ151" s="21">
        <f t="shared" si="12"/>
        <v>3352133.5049454393</v>
      </c>
      <c r="AR151" s="21">
        <f t="shared" si="13"/>
        <v>942649.8228519836</v>
      </c>
    </row>
    <row r="152" spans="1:44" x14ac:dyDescent="0.25">
      <c r="A152" s="51">
        <v>29</v>
      </c>
      <c r="B152" s="51">
        <f t="shared" si="0"/>
        <v>63</v>
      </c>
      <c r="C152" s="51">
        <f t="shared" si="1"/>
        <v>2055</v>
      </c>
      <c r="D152" s="52" t="b">
        <f t="shared" si="2"/>
        <v>1</v>
      </c>
      <c r="E152" s="50">
        <f t="shared" si="14"/>
        <v>1.0229999999999999</v>
      </c>
      <c r="F152" s="50">
        <f t="shared" si="15"/>
        <v>1.8902434591593169</v>
      </c>
      <c r="G152" s="50">
        <f t="shared" si="16"/>
        <v>1</v>
      </c>
      <c r="H152" s="21">
        <f t="shared" si="17"/>
        <v>185646.45828470637</v>
      </c>
      <c r="I152" s="21">
        <f t="shared" si="18"/>
        <v>-93933.75845946309</v>
      </c>
      <c r="J152" s="21">
        <f t="shared" si="19"/>
        <v>0</v>
      </c>
      <c r="K152" s="21">
        <f t="shared" si="20"/>
        <v>-1571</v>
      </c>
      <c r="L152" s="50">
        <f t="shared" si="21"/>
        <v>1</v>
      </c>
      <c r="M152" s="50">
        <f t="shared" si="22"/>
        <v>1</v>
      </c>
      <c r="N152" s="21">
        <f t="shared" si="23"/>
        <v>25973.657521658432</v>
      </c>
      <c r="O152" s="21">
        <f t="shared" si="24"/>
        <v>432938.88301469974</v>
      </c>
      <c r="P152" s="21">
        <f t="shared" si="25"/>
        <v>922919.17318161344</v>
      </c>
      <c r="Q152" s="37">
        <f t="shared" si="26"/>
        <v>6</v>
      </c>
      <c r="R152" s="21">
        <f t="shared" si="27"/>
        <v>96000</v>
      </c>
      <c r="S152" s="21">
        <f t="shared" si="28"/>
        <v>716006.18589702353</v>
      </c>
      <c r="T152" s="21">
        <f t="shared" si="29"/>
        <v>389290.48160163057</v>
      </c>
      <c r="U152" s="21">
        <f t="shared" si="30"/>
        <v>484430.04099556315</v>
      </c>
      <c r="V152" s="21">
        <f t="shared" si="31"/>
        <v>-11040</v>
      </c>
      <c r="W152" s="21">
        <f t="shared" si="3"/>
        <v>716006.18589702353</v>
      </c>
      <c r="X152" s="21">
        <f t="shared" si="4"/>
        <v>389290.48160163057</v>
      </c>
      <c r="Y152" s="21">
        <f t="shared" si="5"/>
        <v>484430.04099556315</v>
      </c>
      <c r="Z152" s="21">
        <f t="shared" si="6"/>
        <v>0</v>
      </c>
      <c r="AA152" s="21">
        <f t="shared" si="32"/>
        <v>0</v>
      </c>
      <c r="AB152" s="21">
        <f t="shared" si="33"/>
        <v>0</v>
      </c>
      <c r="AC152" s="21">
        <f t="shared" si="7"/>
        <v>1589726.7084942174</v>
      </c>
      <c r="AD152" s="21">
        <f t="shared" si="8"/>
        <v>-11040</v>
      </c>
      <c r="AE152" s="21">
        <f t="shared" si="34"/>
        <v>0</v>
      </c>
      <c r="AF152" s="21">
        <f t="shared" si="35"/>
        <v>427255.47549485666</v>
      </c>
      <c r="AG152" s="21">
        <f t="shared" si="9"/>
        <v>3398813.8977070455</v>
      </c>
      <c r="AH152" s="21">
        <f t="shared" si="10"/>
        <v>886168.01603121473</v>
      </c>
      <c r="AI152" s="21">
        <f t="shared" si="36"/>
        <v>4800</v>
      </c>
      <c r="AJ152" s="21">
        <f t="shared" si="37"/>
        <v>273580.48236098001</v>
      </c>
      <c r="AK152" s="21">
        <f t="shared" si="38"/>
        <v>0</v>
      </c>
      <c r="AL152" s="21">
        <f t="shared" si="39"/>
        <v>132442.80903884393</v>
      </c>
      <c r="AM152" s="21">
        <f t="shared" si="40"/>
        <v>380</v>
      </c>
      <c r="AN152" s="21">
        <f t="shared" si="11"/>
        <v>406023.29</v>
      </c>
      <c r="AO152" s="21">
        <f t="shared" si="41"/>
        <v>-5180</v>
      </c>
      <c r="AP152" s="21">
        <f t="shared" si="42"/>
        <v>193312.9028936525</v>
      </c>
      <c r="AQ152" s="21">
        <f t="shared" si="12"/>
        <v>3570894.6151058418</v>
      </c>
      <c r="AR152" s="21">
        <f t="shared" si="13"/>
        <v>1058248.7334300107</v>
      </c>
    </row>
    <row r="153" spans="1:44" x14ac:dyDescent="0.25">
      <c r="A153" s="51">
        <v>30</v>
      </c>
      <c r="B153" s="51">
        <f t="shared" si="0"/>
        <v>64</v>
      </c>
      <c r="C153" s="51">
        <f t="shared" si="1"/>
        <v>2056</v>
      </c>
      <c r="D153" s="52" t="b">
        <f t="shared" si="2"/>
        <v>1</v>
      </c>
      <c r="E153" s="50">
        <f t="shared" si="14"/>
        <v>1.0229999999999999</v>
      </c>
      <c r="F153" s="50">
        <f t="shared" si="15"/>
        <v>1.9337190587199811</v>
      </c>
      <c r="G153" s="50">
        <f t="shared" si="16"/>
        <v>1</v>
      </c>
      <c r="H153" s="21">
        <f t="shared" si="17"/>
        <v>190844.55911667814</v>
      </c>
      <c r="I153" s="21">
        <f t="shared" si="18"/>
        <v>-96094.234904030745</v>
      </c>
      <c r="J153" s="21">
        <f t="shared" si="19"/>
        <v>0</v>
      </c>
      <c r="K153" s="21">
        <f t="shared" si="20"/>
        <v>-1571</v>
      </c>
      <c r="L153" s="50">
        <f t="shared" si="21"/>
        <v>1</v>
      </c>
      <c r="M153" s="50">
        <f t="shared" si="22"/>
        <v>1</v>
      </c>
      <c r="N153" s="21">
        <f t="shared" si="23"/>
        <v>26285.341411918333</v>
      </c>
      <c r="O153" s="21">
        <f t="shared" si="24"/>
        <v>452759.29810131714</v>
      </c>
      <c r="P153" s="21">
        <f t="shared" si="25"/>
        <v>954298.42506978835</v>
      </c>
      <c r="Q153" s="37">
        <f t="shared" si="26"/>
        <v>6</v>
      </c>
      <c r="R153" s="21">
        <f t="shared" si="27"/>
        <v>96000</v>
      </c>
      <c r="S153" s="21">
        <f t="shared" si="28"/>
        <v>737761.84454444901</v>
      </c>
      <c r="T153" s="21">
        <f t="shared" si="29"/>
        <v>412013.62086569582</v>
      </c>
      <c r="U153" s="21">
        <f t="shared" si="30"/>
        <v>515360.21863538574</v>
      </c>
      <c r="V153" s="21">
        <f t="shared" si="31"/>
        <v>-11040</v>
      </c>
      <c r="W153" s="21">
        <f t="shared" si="3"/>
        <v>737761.84454444901</v>
      </c>
      <c r="X153" s="21">
        <f t="shared" si="4"/>
        <v>412013.62086569582</v>
      </c>
      <c r="Y153" s="21">
        <f t="shared" si="5"/>
        <v>515360.21863538574</v>
      </c>
      <c r="Z153" s="21">
        <f t="shared" si="6"/>
        <v>0</v>
      </c>
      <c r="AA153" s="21">
        <f t="shared" si="32"/>
        <v>0</v>
      </c>
      <c r="AB153" s="21">
        <f t="shared" si="33"/>
        <v>0</v>
      </c>
      <c r="AC153" s="21">
        <f t="shared" si="7"/>
        <v>1665135.6840455304</v>
      </c>
      <c r="AD153" s="21">
        <f t="shared" si="8"/>
        <v>-11040</v>
      </c>
      <c r="AE153" s="21">
        <f t="shared" si="34"/>
        <v>0</v>
      </c>
      <c r="AF153" s="21">
        <f t="shared" si="35"/>
        <v>513667.3544624527</v>
      </c>
      <c r="AG153" s="21">
        <f t="shared" si="9"/>
        <v>3612146.1030910066</v>
      </c>
      <c r="AH153" s="21">
        <f t="shared" si="10"/>
        <v>992711.99397568824</v>
      </c>
      <c r="AI153" s="21">
        <f t="shared" si="36"/>
        <v>4800</v>
      </c>
      <c r="AJ153" s="21">
        <f t="shared" si="37"/>
        <v>290072.46262014116</v>
      </c>
      <c r="AK153" s="21">
        <f t="shared" si="38"/>
        <v>0</v>
      </c>
      <c r="AL153" s="21">
        <f t="shared" si="39"/>
        <v>138005.40701847538</v>
      </c>
      <c r="AM153" s="21">
        <f t="shared" si="40"/>
        <v>380</v>
      </c>
      <c r="AN153" s="21">
        <f t="shared" si="11"/>
        <v>428077.87</v>
      </c>
      <c r="AO153" s="21">
        <f t="shared" si="41"/>
        <v>-5180</v>
      </c>
      <c r="AP153" s="21">
        <f t="shared" si="42"/>
        <v>272205.35613523639</v>
      </c>
      <c r="AQ153" s="21">
        <f t="shared" si="12"/>
        <v>3798761.9747637906</v>
      </c>
      <c r="AR153" s="21">
        <f t="shared" si="13"/>
        <v>1179327.8656484718</v>
      </c>
    </row>
    <row r="154" spans="1:44" x14ac:dyDescent="0.25">
      <c r="A154" s="51">
        <v>31</v>
      </c>
      <c r="B154" s="51">
        <f t="shared" si="0"/>
        <v>65</v>
      </c>
      <c r="C154" s="51">
        <f t="shared" si="1"/>
        <v>2057</v>
      </c>
      <c r="D154" s="52" t="b">
        <f t="shared" si="2"/>
        <v>1</v>
      </c>
      <c r="E154" s="50">
        <f t="shared" si="14"/>
        <v>1.0229999999999999</v>
      </c>
      <c r="F154" s="50">
        <f t="shared" si="15"/>
        <v>1.9781945970705404</v>
      </c>
      <c r="G154" s="50">
        <f t="shared" si="16"/>
        <v>1</v>
      </c>
      <c r="H154" s="21">
        <f t="shared" si="17"/>
        <v>0</v>
      </c>
      <c r="I154" s="21">
        <f t="shared" si="18"/>
        <v>-98304.402306823438</v>
      </c>
      <c r="J154" s="21">
        <f t="shared" si="19"/>
        <v>0</v>
      </c>
      <c r="K154" s="21">
        <f t="shared" si="20"/>
        <v>-1571</v>
      </c>
      <c r="L154" s="50">
        <f t="shared" si="21"/>
        <v>1</v>
      </c>
      <c r="M154" s="50">
        <f t="shared" si="22"/>
        <v>1</v>
      </c>
      <c r="N154" s="21">
        <f t="shared" si="23"/>
        <v>26600.765508861354</v>
      </c>
      <c r="O154" s="21">
        <f t="shared" si="24"/>
        <v>473412.17062157247</v>
      </c>
      <c r="P154" s="21">
        <f t="shared" si="25"/>
        <v>986744.57152216113</v>
      </c>
      <c r="Q154" s="37">
        <f t="shared" si="26"/>
        <v>6</v>
      </c>
      <c r="R154" s="21">
        <f t="shared" si="27"/>
        <v>96000</v>
      </c>
      <c r="S154" s="21">
        <f t="shared" si="28"/>
        <v>760061.39465806016</v>
      </c>
      <c r="T154" s="21">
        <f t="shared" si="29"/>
        <v>435645.68570032367</v>
      </c>
      <c r="U154" s="21">
        <f t="shared" si="30"/>
        <v>547527.60338080116</v>
      </c>
      <c r="V154" s="21">
        <f t="shared" si="31"/>
        <v>0</v>
      </c>
      <c r="W154" s="21">
        <f t="shared" si="3"/>
        <v>760061.39465806016</v>
      </c>
      <c r="X154" s="21">
        <f t="shared" si="4"/>
        <v>435645.68570032367</v>
      </c>
      <c r="Y154" s="21">
        <f t="shared" si="5"/>
        <v>547527.60338080116</v>
      </c>
      <c r="Z154" s="21">
        <f t="shared" si="6"/>
        <v>58301.270655128661</v>
      </c>
      <c r="AA154" s="21">
        <f t="shared" si="32"/>
        <v>0</v>
      </c>
      <c r="AB154" s="21">
        <f t="shared" si="33"/>
        <v>0</v>
      </c>
      <c r="AC154" s="21">
        <f t="shared" si="7"/>
        <v>1743234.6837391849</v>
      </c>
      <c r="AD154" s="21">
        <f t="shared" si="8"/>
        <v>58301.270655128661</v>
      </c>
      <c r="AE154" s="21">
        <f t="shared" si="34"/>
        <v>0</v>
      </c>
      <c r="AF154" s="21">
        <f t="shared" si="35"/>
        <v>477229.8963553824</v>
      </c>
      <c r="AG154" s="21">
        <f t="shared" si="9"/>
        <v>3707222.0877471622</v>
      </c>
      <c r="AH154" s="21">
        <f t="shared" si="10"/>
        <v>977242.83248581621</v>
      </c>
      <c r="AI154" s="21">
        <f t="shared" si="36"/>
        <v>4800</v>
      </c>
      <c r="AJ154" s="21">
        <f t="shared" si="37"/>
        <v>307257.10605018708</v>
      </c>
      <c r="AK154" s="21">
        <f t="shared" si="38"/>
        <v>0</v>
      </c>
      <c r="AL154" s="21">
        <f t="shared" si="39"/>
        <v>143801.63411325135</v>
      </c>
      <c r="AM154" s="21">
        <f t="shared" si="40"/>
        <v>380</v>
      </c>
      <c r="AN154" s="21">
        <f t="shared" si="11"/>
        <v>451058.74</v>
      </c>
      <c r="AO154" s="21">
        <f t="shared" si="41"/>
        <v>-5180</v>
      </c>
      <c r="AP154" s="21">
        <f t="shared" si="42"/>
        <v>228173.27804489399</v>
      </c>
      <c r="AQ154" s="21">
        <f t="shared" si="12"/>
        <v>3909224.2094366737</v>
      </c>
      <c r="AR154" s="21">
        <f t="shared" si="13"/>
        <v>1179244.9541753279</v>
      </c>
    </row>
    <row r="155" spans="1:44" x14ac:dyDescent="0.25">
      <c r="A155" s="51">
        <v>32</v>
      </c>
      <c r="B155" s="51">
        <f t="shared" ref="B155:B186" si="43">SV_age+A155</f>
        <v>66</v>
      </c>
      <c r="C155" s="51">
        <f t="shared" ref="C155:C186" si="44">currentYear+A155</f>
        <v>2058</v>
      </c>
      <c r="D155" s="52" t="b">
        <f t="shared" ref="D155:D186" si="45">A155&lt;=SV_T</f>
        <v>1</v>
      </c>
      <c r="E155" s="50">
        <f t="shared" si="14"/>
        <v>1.0229999999999999</v>
      </c>
      <c r="F155" s="50">
        <f t="shared" si="15"/>
        <v>2.0236930728031628</v>
      </c>
      <c r="G155" s="50">
        <f t="shared" si="16"/>
        <v>1</v>
      </c>
      <c r="H155" s="21">
        <f t="shared" si="17"/>
        <v>0</v>
      </c>
      <c r="I155" s="21">
        <f t="shared" si="18"/>
        <v>-100565.40355988037</v>
      </c>
      <c r="J155" s="21">
        <f t="shared" si="19"/>
        <v>0</v>
      </c>
      <c r="K155" s="21">
        <f t="shared" si="20"/>
        <v>-1571</v>
      </c>
      <c r="L155" s="50">
        <f t="shared" si="21"/>
        <v>1</v>
      </c>
      <c r="M155" s="50">
        <f t="shared" si="22"/>
        <v>1</v>
      </c>
      <c r="N155" s="21">
        <f t="shared" si="23"/>
        <v>26919.974694967692</v>
      </c>
      <c r="O155" s="21">
        <f t="shared" si="24"/>
        <v>494932.46378767851</v>
      </c>
      <c r="P155" s="21">
        <f t="shared" si="25"/>
        <v>1020293.8869539147</v>
      </c>
      <c r="Q155" s="37">
        <f t="shared" si="26"/>
        <v>6</v>
      </c>
      <c r="R155" s="21">
        <f t="shared" si="27"/>
        <v>96000</v>
      </c>
      <c r="S155" s="21">
        <f t="shared" si="28"/>
        <v>779062.92952451156</v>
      </c>
      <c r="T155" s="21">
        <f t="shared" si="29"/>
        <v>453071.51312833664</v>
      </c>
      <c r="U155" s="21">
        <f t="shared" si="30"/>
        <v>569428.7075160332</v>
      </c>
      <c r="V155" s="21">
        <f t="shared" si="31"/>
        <v>0</v>
      </c>
      <c r="W155" s="21">
        <f t="shared" ref="W155:W186" si="46">IF(A155&gt;=SV_sIdx,0,S155)</f>
        <v>0</v>
      </c>
      <c r="X155" s="21">
        <f t="shared" ref="X155:X186" si="47">IF(A155&gt;=SV_sIdx,0,T155)</f>
        <v>0</v>
      </c>
      <c r="Y155" s="21">
        <f t="shared" ref="Y155:Y186" si="48">IF(A155&gt;=SV_sIdx,MIN(U155,SV_maCap),U155)</f>
        <v>63000</v>
      </c>
      <c r="Z155" s="21">
        <f t="shared" ref="Z155:Z186" si="49">IF(AND(SV_cpfOn,A155&gt;=SV_pIdx,A155&lt;=SV_T),12*SV_pay,0)</f>
        <v>58301.270655128661</v>
      </c>
      <c r="AA155" s="21">
        <f t="shared" si="32"/>
        <v>883358.04944500304</v>
      </c>
      <c r="AB155" s="21">
        <f t="shared" si="33"/>
        <v>803452.70016241551</v>
      </c>
      <c r="AC155" s="21">
        <f t="shared" ref="AC155:AC186" si="50">W155+X155+AA155+Y155+IF(AA155&lt;0,0,AB155)</f>
        <v>1749810.7496074187</v>
      </c>
      <c r="AD155" s="21">
        <f t="shared" ref="AD155:AD186" si="51">Z155+V155</f>
        <v>58301.270655128661</v>
      </c>
      <c r="AE155" s="21">
        <f t="shared" si="34"/>
        <v>0</v>
      </c>
      <c r="AF155" s="21">
        <f t="shared" si="35"/>
        <v>438167.0624141845</v>
      </c>
      <c r="AG155" s="21">
        <f t="shared" ref="AG155:AG186" si="52">IF(A155&gt;SV_T,0,MAX(0,N155+O155+P155+AC155+AF155-AE155))</f>
        <v>3730124.1374581642</v>
      </c>
      <c r="AH155" s="21">
        <f t="shared" ref="AH155:AH186" si="53">IF(A155&gt;SV_T,0,N155+O155+AF155-MAX(0,AE155-(P155+AC155)))</f>
        <v>960019.50089683069</v>
      </c>
      <c r="AI155" s="21">
        <f t="shared" si="36"/>
        <v>0</v>
      </c>
      <c r="AJ155" s="21">
        <f t="shared" si="37"/>
        <v>320161.90450429497</v>
      </c>
      <c r="AK155" s="21">
        <f t="shared" si="38"/>
        <v>0</v>
      </c>
      <c r="AL155" s="21">
        <f t="shared" si="39"/>
        <v>149841.30274600792</v>
      </c>
      <c r="AM155" s="21">
        <f t="shared" si="40"/>
        <v>0</v>
      </c>
      <c r="AN155" s="21">
        <f t="shared" ref="AN155:AN186" si="54">IF(OR(A155=0,A155&gt;=SV_T),0,ROUND(MAX(0,AJ155),2)+ROUND(MAX(0,AL155),2))</f>
        <v>470003.20000000001</v>
      </c>
      <c r="AO155" s="21">
        <f t="shared" si="41"/>
        <v>0</v>
      </c>
      <c r="AP155" s="21">
        <f t="shared" si="42"/>
        <v>186619.87792059121</v>
      </c>
      <c r="AQ155" s="21">
        <f t="shared" ref="AQ155:AQ186" si="55">IF(A155&gt;SV_T,0,MAX(0,N155+O155+P155+AC155+AP155+AN155-AE155))</f>
        <v>3948580.152964571</v>
      </c>
      <c r="AR155" s="21">
        <f t="shared" ref="AR155:AR186" si="56">IF(A155&gt;SV_T,0,N155+O155+AP155+AN155-MAX(0,AE155-(P155+AC155)))</f>
        <v>1178475.5164032374</v>
      </c>
    </row>
    <row r="156" spans="1:44" x14ac:dyDescent="0.25">
      <c r="A156" s="51">
        <v>33</v>
      </c>
      <c r="B156" s="51">
        <f t="shared" si="43"/>
        <v>67</v>
      </c>
      <c r="C156" s="51">
        <f t="shared" si="44"/>
        <v>2059</v>
      </c>
      <c r="D156" s="52" t="b">
        <f t="shared" si="45"/>
        <v>1</v>
      </c>
      <c r="E156" s="50">
        <f t="shared" ref="E156:E187" si="57">IF(AND(SV_inflOn,A156&gt;=SV_inflS,A156&lt;=SV_inflE),1+SV_inflRate,1+inflationRate)</f>
        <v>1.0229999999999999</v>
      </c>
      <c r="F156" s="50">
        <f t="shared" ref="F156:F187" si="58">IF(A156&lt;=1,1,F155*E156)</f>
        <v>2.0702380134776353</v>
      </c>
      <c r="G156" s="50">
        <f t="shared" ref="G156:G187" si="59">IF(AND(SV_incOn,A156&gt;=SV_incS,A156&lt;=SV_incE),1+SV_incImp,1)</f>
        <v>1</v>
      </c>
      <c r="H156" s="21">
        <f t="shared" ref="H156:H187" si="60">IF(OR(OR(A156&lt;1,A156&gt;SV_T),A156-1&gt;=SV_salCut),0,SV_sal0*(1+incomeGrowthRate)^(A156-1)*G156)</f>
        <v>0</v>
      </c>
      <c r="I156" s="21">
        <f t="shared" ref="I156:I187" si="61">IF(OR(A156&lt;1,A156&gt;SV_T),0,(-SV_exp0*F156-IF(A156&lt;=SV_loanYears,SV_inst,0)-IF(AND(SV_wdAmt&gt;0,A156=SV_wdYear),SV_wdAmt,0))*IF(AND(SV_expOn,A156&gt;=SV_expS,A156&lt;=SV_expE),1+SV_expImp,1))</f>
        <v>-102878.40784175761</v>
      </c>
      <c r="J156" s="21">
        <f t="shared" ref="J156:J187" si="62">IF(OR(OR(A156&lt;1,A156&gt;SV_T),A156&gt;SV_loanYears),0,-SV_lifePremYr)</f>
        <v>0</v>
      </c>
      <c r="K156" s="21">
        <f t="shared" ref="K156:K187" si="63">IF(OR(A156&lt;1,A156&gt;SV_T),0,-SV_contrib)</f>
        <v>-1571</v>
      </c>
      <c r="L156" s="50">
        <f t="shared" ref="L156:L187" si="64">IF(AND(SV_crashOn,A156=SV_crashYr),SV_crashF,1)</f>
        <v>1</v>
      </c>
      <c r="M156" s="50">
        <f t="shared" ref="M156:M187" si="65">IF(AND(SV_ccyOn,A156=SV_ccyYr),SV_ccyF,1)</f>
        <v>1</v>
      </c>
      <c r="N156" s="21">
        <f t="shared" ref="N156:N187" si="66">IF(A156&gt;SV_T,0,N155*(1+interestRate)*L156*M156)</f>
        <v>27243.014391307304</v>
      </c>
      <c r="O156" s="21">
        <f t="shared" ref="O156:O187" si="67">IF(A156&gt;SV_T,0,(O155+SV_contrib)*(1+investmentReturn)*L156*M156)</f>
        <v>517356.60926676105</v>
      </c>
      <c r="P156" s="21">
        <f t="shared" ref="P156:P187" si="68">IF(A156&gt;SV_T,0,P155*(1+SV_propRate)*L156)</f>
        <v>1054983.8791103477</v>
      </c>
      <c r="Q156" s="37">
        <f t="shared" ref="Q156:Q187" si="69">MATCH(SV_age+A156-1,SV_cpfLower,1)</f>
        <v>7</v>
      </c>
      <c r="R156" s="21">
        <f t="shared" ref="R156:R187" si="70">IF(OR(OR(A156&lt;1,A156&gt;SV_T),NOT(SV_cpfOn)),0,MIN(SV_sal0*(1+incomeGrowthRate)^(A156-1)*G156,SV_owCap))</f>
        <v>96000</v>
      </c>
      <c r="S156" s="21">
        <f t="shared" ref="S156:S187" si="71">IF(A156&gt;SV_T,0,S155*(1+SV_oaRate)+IF(A156&gt;=SV_effStop,0,INDEX(SV_cpfOA,Q156)*INDEX(SV_cpfTot,Q156)*R156))</f>
        <v>798539.5027626243</v>
      </c>
      <c r="T156" s="21">
        <f t="shared" ref="T156:T187" si="72">IF(A156&gt;SV_T,0,T155*(1+SV_saRate)+IF(A156&gt;=SV_effStop,0,INDEX(SV_cpfSA,Q156)*INDEX(SV_cpfTot,Q156)*R156))</f>
        <v>471194.37365347013</v>
      </c>
      <c r="U156" s="21">
        <f t="shared" ref="U156:U187" si="73">IF(A156&gt;SV_T,0,U155*(1+SV_saRate)+IF(A156&gt;=SV_effStop,0,INDEX(SV_cpfMA,Q156)*INDEX(SV_cpfTot,Q156)*R156))</f>
        <v>592205.85581667454</v>
      </c>
      <c r="V156" s="21">
        <f t="shared" ref="V156:V187" si="74">IF(OR(OR(A156&lt;1,A156&gt;SV_T),A156&gt;=SV_effNeg),0,-(INDEX(SV_cpfOA,Q156)+INDEX(SV_cpfSA,Q156)+INDEX(SV_cpfMA,Q156))*INDEX(SV_cpfEmp,Q156)*R156)</f>
        <v>0</v>
      </c>
      <c r="W156" s="21">
        <f t="shared" si="46"/>
        <v>0</v>
      </c>
      <c r="X156" s="21">
        <f t="shared" si="47"/>
        <v>0</v>
      </c>
      <c r="Y156" s="21">
        <f t="shared" si="48"/>
        <v>63000</v>
      </c>
      <c r="Z156" s="21">
        <f t="shared" si="49"/>
        <v>58301.270655128661</v>
      </c>
      <c r="AA156" s="21">
        <f t="shared" ref="AA156:AA187" si="75">IF(A156&gt;SV_T,0,IF(SV_sp&gt;=0,IF(A156&lt;SV_sIdx,0,IF(A156=SV_sIdx,SV_R0,SV_lifeGrowth*AA155)),SV_lifeGrowth*AA155))</f>
        <v>918692.37142280315</v>
      </c>
      <c r="AB156" s="21">
        <f t="shared" ref="AB156:AB187" si="76">IF(A156&gt;SV_T,0,IF(AND(SV_sp&gt;=0,A156&lt;SV_sIdx),0,IF(AND(SV_sp&gt;=0,A156=SV_sIdx),SV_L0,SV_lifeGrowth*(AB155-Z156))))</f>
        <v>774957.48668757838</v>
      </c>
      <c r="AC156" s="21">
        <f t="shared" si="50"/>
        <v>1756649.8581103815</v>
      </c>
      <c r="AD156" s="21">
        <f t="shared" si="51"/>
        <v>58301.270655128661</v>
      </c>
      <c r="AE156" s="21">
        <f t="shared" ref="AE156:AE187" si="77">IF(OR(A156&gt;SV_T,A156&gt;=SV_loanYears),0,MAX(0,AE155*(1+loanRate)-SV_inst))</f>
        <v>0</v>
      </c>
      <c r="AF156" s="21">
        <f t="shared" ref="AF156:AF187" si="78">IF(A156&gt;SV_T,0,AF155*(1+SV_savRate)+H156+I156+J156+K156+AD156)</f>
        <v>396400.59585169738</v>
      </c>
      <c r="AG156" s="21">
        <f t="shared" si="52"/>
        <v>3752633.9567304947</v>
      </c>
      <c r="AH156" s="21">
        <f t="shared" si="53"/>
        <v>941000.21950976574</v>
      </c>
      <c r="AI156" s="21">
        <f t="shared" ref="AI156:AI187" si="79">IF(OR(OR(A156&lt;1,A156&gt;SV_T),A156-1&gt;=SV_retPay),0,SV_retMth*12+IF(A156=1,SV_retLump,0))</f>
        <v>0</v>
      </c>
      <c r="AJ156" s="21">
        <f t="shared" ref="AJ156:AJ187" si="80">IF(A156&gt;SV_T,0,(AJ155+AI156)*(1+investmentReturn))</f>
        <v>333608.70449347538</v>
      </c>
      <c r="AK156" s="21">
        <f t="shared" ref="AK156:AK187" si="81">IF(OR(OR(A156&lt;1,A156&gt;SV_T),A156-1&gt;=SV_goalPay),0,SV_goalMth*12+IF(A156=1,SV_goalLump,0))</f>
        <v>0</v>
      </c>
      <c r="AL156" s="21">
        <f t="shared" ref="AL156:AL187" si="82">IF(A156&gt;SV_T,0,(AL155+AK156)*(1+investmentReturn))</f>
        <v>156134.63746134026</v>
      </c>
      <c r="AM156" s="21">
        <f t="shared" ref="AM156:AM187" si="83">IF(OR(OR(A156&lt;1,A156&gt;SV_T),A156-1&gt;=SV_protPay),0,SV_protPrem)</f>
        <v>0</v>
      </c>
      <c r="AN156" s="21">
        <f t="shared" si="54"/>
        <v>489743.34</v>
      </c>
      <c r="AO156" s="21">
        <f t="shared" ref="AO156:AO187" si="84">IF(OR(A156&lt;1,A156&gt;SV_T),0,-(AI156+AK156+AM156)+IF(A156=SV_T,ROUND(MAX(0,AJ156),2)+ROUND(MAX(0,AL156),2),0))</f>
        <v>0</v>
      </c>
      <c r="AP156" s="21">
        <f t="shared" ref="AP156:AP187" si="85">IF(A156&gt;SV_T,0,AP155*(1+SV_savRate)+H156+I156+J156+K156+AD156+AO156)</f>
        <v>142337.93951316818</v>
      </c>
      <c r="AQ156" s="21">
        <f t="shared" si="55"/>
        <v>3988314.6403919654</v>
      </c>
      <c r="AR156" s="21">
        <f t="shared" si="56"/>
        <v>1176680.9031712366</v>
      </c>
    </row>
    <row r="157" spans="1:44" x14ac:dyDescent="0.25">
      <c r="A157" s="51">
        <v>34</v>
      </c>
      <c r="B157" s="51">
        <f t="shared" si="43"/>
        <v>68</v>
      </c>
      <c r="C157" s="51">
        <f t="shared" si="44"/>
        <v>2060</v>
      </c>
      <c r="D157" s="52" t="b">
        <f t="shared" si="45"/>
        <v>1</v>
      </c>
      <c r="E157" s="50">
        <f t="shared" si="57"/>
        <v>1.0229999999999999</v>
      </c>
      <c r="F157" s="50">
        <f t="shared" si="58"/>
        <v>2.1178534877876207</v>
      </c>
      <c r="G157" s="50">
        <f t="shared" si="59"/>
        <v>1</v>
      </c>
      <c r="H157" s="21">
        <f t="shared" si="60"/>
        <v>0</v>
      </c>
      <c r="I157" s="21">
        <f t="shared" si="61"/>
        <v>-105244.61122211802</v>
      </c>
      <c r="J157" s="21">
        <f t="shared" si="62"/>
        <v>0</v>
      </c>
      <c r="K157" s="21">
        <f t="shared" si="63"/>
        <v>-1571</v>
      </c>
      <c r="L157" s="50">
        <f t="shared" si="64"/>
        <v>1</v>
      </c>
      <c r="M157" s="50">
        <f t="shared" si="65"/>
        <v>1</v>
      </c>
      <c r="N157" s="21">
        <f t="shared" si="66"/>
        <v>27569.930564002992</v>
      </c>
      <c r="O157" s="21">
        <f t="shared" si="67"/>
        <v>540722.56885596504</v>
      </c>
      <c r="P157" s="21">
        <f t="shared" si="68"/>
        <v>1090853.3310000997</v>
      </c>
      <c r="Q157" s="37">
        <f t="shared" si="69"/>
        <v>7</v>
      </c>
      <c r="R157" s="21">
        <f t="shared" si="70"/>
        <v>96000</v>
      </c>
      <c r="S157" s="21">
        <f t="shared" si="71"/>
        <v>818502.99033168983</v>
      </c>
      <c r="T157" s="21">
        <f t="shared" si="72"/>
        <v>490042.14859960898</v>
      </c>
      <c r="U157" s="21">
        <f t="shared" si="73"/>
        <v>615894.09004934155</v>
      </c>
      <c r="V157" s="21">
        <f t="shared" si="74"/>
        <v>0</v>
      </c>
      <c r="W157" s="21">
        <f t="shared" si="46"/>
        <v>0</v>
      </c>
      <c r="X157" s="21">
        <f t="shared" si="47"/>
        <v>0</v>
      </c>
      <c r="Y157" s="21">
        <f t="shared" si="48"/>
        <v>63000</v>
      </c>
      <c r="Z157" s="21">
        <f t="shared" si="49"/>
        <v>58301.270655128661</v>
      </c>
      <c r="AA157" s="21">
        <f t="shared" si="75"/>
        <v>955440.06627971528</v>
      </c>
      <c r="AB157" s="21">
        <f t="shared" si="76"/>
        <v>745322.46467374777</v>
      </c>
      <c r="AC157" s="21">
        <f t="shared" si="50"/>
        <v>1763762.5309534632</v>
      </c>
      <c r="AD157" s="21">
        <f t="shared" si="51"/>
        <v>58301.270655128661</v>
      </c>
      <c r="AE157" s="21">
        <f t="shared" si="77"/>
        <v>0</v>
      </c>
      <c r="AF157" s="21">
        <f t="shared" si="78"/>
        <v>351850.26124322496</v>
      </c>
      <c r="AG157" s="21">
        <f t="shared" si="52"/>
        <v>3774758.6226167558</v>
      </c>
      <c r="AH157" s="21">
        <f t="shared" si="53"/>
        <v>920142.76066319295</v>
      </c>
      <c r="AI157" s="21">
        <f t="shared" si="79"/>
        <v>0</v>
      </c>
      <c r="AJ157" s="21">
        <f t="shared" si="80"/>
        <v>347620.27008220134</v>
      </c>
      <c r="AK157" s="21">
        <f t="shared" si="81"/>
        <v>0</v>
      </c>
      <c r="AL157" s="21">
        <f t="shared" si="82"/>
        <v>162692.29223471656</v>
      </c>
      <c r="AM157" s="21">
        <f t="shared" si="83"/>
        <v>0</v>
      </c>
      <c r="AN157" s="21">
        <f t="shared" si="54"/>
        <v>510312.56000000006</v>
      </c>
      <c r="AO157" s="21">
        <f t="shared" si="84"/>
        <v>0</v>
      </c>
      <c r="AP157" s="21">
        <f t="shared" si="85"/>
        <v>95246.978341310518</v>
      </c>
      <c r="AQ157" s="21">
        <f t="shared" si="55"/>
        <v>4028467.899714841</v>
      </c>
      <c r="AR157" s="21">
        <f t="shared" si="56"/>
        <v>1173852.0377612785</v>
      </c>
    </row>
    <row r="158" spans="1:44" x14ac:dyDescent="0.25">
      <c r="A158" s="51">
        <v>35</v>
      </c>
      <c r="B158" s="51">
        <f t="shared" si="43"/>
        <v>69</v>
      </c>
      <c r="C158" s="51">
        <f t="shared" si="44"/>
        <v>2061</v>
      </c>
      <c r="D158" s="52" t="b">
        <f t="shared" si="45"/>
        <v>1</v>
      </c>
      <c r="E158" s="50">
        <f t="shared" si="57"/>
        <v>1.0229999999999999</v>
      </c>
      <c r="F158" s="50">
        <f t="shared" si="58"/>
        <v>2.1665641180067357</v>
      </c>
      <c r="G158" s="50">
        <f t="shared" si="59"/>
        <v>1</v>
      </c>
      <c r="H158" s="21">
        <f t="shared" si="60"/>
        <v>0</v>
      </c>
      <c r="I158" s="21">
        <f t="shared" si="61"/>
        <v>-107665.23728022672</v>
      </c>
      <c r="J158" s="21">
        <f t="shared" si="62"/>
        <v>0</v>
      </c>
      <c r="K158" s="21">
        <f t="shared" si="63"/>
        <v>-1571</v>
      </c>
      <c r="L158" s="50">
        <f t="shared" si="64"/>
        <v>1</v>
      </c>
      <c r="M158" s="50">
        <f t="shared" si="65"/>
        <v>1</v>
      </c>
      <c r="N158" s="21">
        <f t="shared" si="66"/>
        <v>27900.76973077103</v>
      </c>
      <c r="O158" s="21">
        <f t="shared" si="67"/>
        <v>565069.89874791563</v>
      </c>
      <c r="P158" s="21">
        <f t="shared" si="68"/>
        <v>1127942.344254103</v>
      </c>
      <c r="Q158" s="37">
        <f t="shared" si="69"/>
        <v>7</v>
      </c>
      <c r="R158" s="21">
        <f t="shared" si="70"/>
        <v>96000</v>
      </c>
      <c r="S158" s="21">
        <f t="shared" si="71"/>
        <v>838965.565089982</v>
      </c>
      <c r="T158" s="21">
        <f t="shared" si="72"/>
        <v>509643.83454359334</v>
      </c>
      <c r="U158" s="21">
        <f t="shared" si="73"/>
        <v>640529.85365131521</v>
      </c>
      <c r="V158" s="21">
        <f t="shared" si="74"/>
        <v>0</v>
      </c>
      <c r="W158" s="21">
        <f t="shared" si="46"/>
        <v>0</v>
      </c>
      <c r="X158" s="21">
        <f t="shared" si="47"/>
        <v>0</v>
      </c>
      <c r="Y158" s="21">
        <f t="shared" si="48"/>
        <v>63000</v>
      </c>
      <c r="Z158" s="21">
        <f t="shared" si="49"/>
        <v>58301.270655128661</v>
      </c>
      <c r="AA158" s="21">
        <f t="shared" si="75"/>
        <v>993657.66893090389</v>
      </c>
      <c r="AB158" s="21">
        <f t="shared" si="76"/>
        <v>714502.04177936388</v>
      </c>
      <c r="AC158" s="21">
        <f t="shared" si="50"/>
        <v>1771159.710710268</v>
      </c>
      <c r="AD158" s="21">
        <f t="shared" si="51"/>
        <v>58301.270655128661</v>
      </c>
      <c r="AE158" s="21">
        <f t="shared" si="77"/>
        <v>0</v>
      </c>
      <c r="AF158" s="21">
        <f t="shared" si="78"/>
        <v>304433.79723055911</v>
      </c>
      <c r="AG158" s="21">
        <f t="shared" si="52"/>
        <v>3796506.5206736168</v>
      </c>
      <c r="AH158" s="21">
        <f t="shared" si="53"/>
        <v>897404.46570924576</v>
      </c>
      <c r="AI158" s="21">
        <f t="shared" si="79"/>
        <v>0</v>
      </c>
      <c r="AJ158" s="21">
        <f t="shared" si="80"/>
        <v>362220.32142565382</v>
      </c>
      <c r="AK158" s="21">
        <f t="shared" si="81"/>
        <v>0</v>
      </c>
      <c r="AL158" s="21">
        <f t="shared" si="82"/>
        <v>169525.36850857467</v>
      </c>
      <c r="AM158" s="21">
        <f t="shared" si="83"/>
        <v>0</v>
      </c>
      <c r="AN158" s="21">
        <f t="shared" si="54"/>
        <v>531745.68999999994</v>
      </c>
      <c r="AO158" s="21">
        <f t="shared" si="84"/>
        <v>0</v>
      </c>
      <c r="AP158" s="21">
        <f t="shared" si="85"/>
        <v>45264.481499625566</v>
      </c>
      <c r="AQ158" s="21">
        <f t="shared" si="55"/>
        <v>4069082.8949426832</v>
      </c>
      <c r="AR158" s="21">
        <f t="shared" si="56"/>
        <v>1169980.8399783121</v>
      </c>
    </row>
    <row r="159" spans="1:44" x14ac:dyDescent="0.25">
      <c r="A159" s="51">
        <v>36</v>
      </c>
      <c r="B159" s="51">
        <f t="shared" si="43"/>
        <v>70</v>
      </c>
      <c r="C159" s="51">
        <f t="shared" si="44"/>
        <v>2062</v>
      </c>
      <c r="D159" s="52" t="b">
        <f t="shared" si="45"/>
        <v>1</v>
      </c>
      <c r="E159" s="50">
        <f t="shared" si="57"/>
        <v>1.0229999999999999</v>
      </c>
      <c r="F159" s="50">
        <f t="shared" si="58"/>
        <v>2.2163950927208904</v>
      </c>
      <c r="G159" s="50">
        <f t="shared" si="59"/>
        <v>1</v>
      </c>
      <c r="H159" s="21">
        <f t="shared" si="60"/>
        <v>0</v>
      </c>
      <c r="I159" s="21">
        <f t="shared" si="61"/>
        <v>-110141.53773767193</v>
      </c>
      <c r="J159" s="21">
        <f t="shared" si="62"/>
        <v>0</v>
      </c>
      <c r="K159" s="21">
        <f t="shared" si="63"/>
        <v>-1571</v>
      </c>
      <c r="L159" s="50">
        <f t="shared" si="64"/>
        <v>1</v>
      </c>
      <c r="M159" s="50">
        <f t="shared" si="65"/>
        <v>1</v>
      </c>
      <c r="N159" s="21">
        <f t="shared" si="66"/>
        <v>28235.578967540281</v>
      </c>
      <c r="O159" s="21">
        <f t="shared" si="67"/>
        <v>590439.81649532809</v>
      </c>
      <c r="P159" s="21">
        <f t="shared" si="68"/>
        <v>1166292.3839587425</v>
      </c>
      <c r="Q159" s="37">
        <f t="shared" si="69"/>
        <v>7</v>
      </c>
      <c r="R159" s="21">
        <f t="shared" si="70"/>
        <v>96000</v>
      </c>
      <c r="S159" s="21">
        <f t="shared" si="71"/>
        <v>859939.70421723148</v>
      </c>
      <c r="T159" s="21">
        <f t="shared" si="72"/>
        <v>530029.58792533714</v>
      </c>
      <c r="U159" s="21">
        <f t="shared" si="73"/>
        <v>666151.04779736779</v>
      </c>
      <c r="V159" s="21">
        <f t="shared" si="74"/>
        <v>0</v>
      </c>
      <c r="W159" s="21">
        <f t="shared" si="46"/>
        <v>0</v>
      </c>
      <c r="X159" s="21">
        <f t="shared" si="47"/>
        <v>0</v>
      </c>
      <c r="Y159" s="21">
        <f t="shared" si="48"/>
        <v>63000</v>
      </c>
      <c r="Z159" s="21">
        <f t="shared" si="49"/>
        <v>58301.270655128661</v>
      </c>
      <c r="AA159" s="21">
        <f t="shared" si="75"/>
        <v>1033403.9756881401</v>
      </c>
      <c r="AB159" s="21">
        <f t="shared" si="76"/>
        <v>682448.80196920468</v>
      </c>
      <c r="AC159" s="21">
        <f t="shared" si="50"/>
        <v>1778852.7776573449</v>
      </c>
      <c r="AD159" s="21">
        <f t="shared" si="51"/>
        <v>58301.270655128661</v>
      </c>
      <c r="AE159" s="21">
        <f t="shared" si="77"/>
        <v>0</v>
      </c>
      <c r="AF159" s="21">
        <f t="shared" si="78"/>
        <v>254066.86812032145</v>
      </c>
      <c r="AG159" s="21">
        <f t="shared" si="52"/>
        <v>3817887.4251992772</v>
      </c>
      <c r="AH159" s="21">
        <f t="shared" si="53"/>
        <v>872742.26358318981</v>
      </c>
      <c r="AI159" s="21">
        <f t="shared" si="79"/>
        <v>0</v>
      </c>
      <c r="AJ159" s="21">
        <f t="shared" si="80"/>
        <v>377433.57492553128</v>
      </c>
      <c r="AK159" s="21">
        <f t="shared" si="81"/>
        <v>0</v>
      </c>
      <c r="AL159" s="21">
        <f t="shared" si="82"/>
        <v>176645.43398593483</v>
      </c>
      <c r="AM159" s="21">
        <f t="shared" si="83"/>
        <v>0</v>
      </c>
      <c r="AN159" s="21">
        <f t="shared" si="54"/>
        <v>554079</v>
      </c>
      <c r="AO159" s="21">
        <f t="shared" si="84"/>
        <v>0</v>
      </c>
      <c r="AP159" s="21">
        <f t="shared" si="85"/>
        <v>-7694.140767921439</v>
      </c>
      <c r="AQ159" s="21">
        <f t="shared" si="55"/>
        <v>4110205.4163110345</v>
      </c>
      <c r="AR159" s="21">
        <f t="shared" si="56"/>
        <v>1165060.254694947</v>
      </c>
    </row>
    <row r="160" spans="1:44" x14ac:dyDescent="0.25">
      <c r="A160" s="51">
        <v>37</v>
      </c>
      <c r="B160" s="51">
        <f t="shared" si="43"/>
        <v>71</v>
      </c>
      <c r="C160" s="51">
        <f t="shared" si="44"/>
        <v>2063</v>
      </c>
      <c r="D160" s="52" t="b">
        <f t="shared" si="45"/>
        <v>1</v>
      </c>
      <c r="E160" s="50">
        <f t="shared" si="57"/>
        <v>1.0229999999999999</v>
      </c>
      <c r="F160" s="50">
        <f t="shared" si="58"/>
        <v>2.2673721798534707</v>
      </c>
      <c r="G160" s="50">
        <f t="shared" si="59"/>
        <v>1</v>
      </c>
      <c r="H160" s="21">
        <f t="shared" si="60"/>
        <v>0</v>
      </c>
      <c r="I160" s="21">
        <f t="shared" si="61"/>
        <v>-112674.79310563837</v>
      </c>
      <c r="J160" s="21">
        <f t="shared" si="62"/>
        <v>0</v>
      </c>
      <c r="K160" s="21">
        <f t="shared" si="63"/>
        <v>-1571</v>
      </c>
      <c r="L160" s="50">
        <f t="shared" si="64"/>
        <v>1</v>
      </c>
      <c r="M160" s="50">
        <f t="shared" si="65"/>
        <v>1</v>
      </c>
      <c r="N160" s="21">
        <f t="shared" si="66"/>
        <v>28574.405915150764</v>
      </c>
      <c r="O160" s="21">
        <f t="shared" si="67"/>
        <v>616875.27078813186</v>
      </c>
      <c r="P160" s="21">
        <f t="shared" si="68"/>
        <v>1205946.3250133398</v>
      </c>
      <c r="Q160" s="37">
        <f t="shared" si="69"/>
        <v>7</v>
      </c>
      <c r="R160" s="21">
        <f t="shared" si="70"/>
        <v>96000</v>
      </c>
      <c r="S160" s="21">
        <f t="shared" si="71"/>
        <v>881438.19682266214</v>
      </c>
      <c r="T160" s="21">
        <f t="shared" si="72"/>
        <v>551230.7714423507</v>
      </c>
      <c r="U160" s="21">
        <f t="shared" si="73"/>
        <v>692797.08970926248</v>
      </c>
      <c r="V160" s="21">
        <f t="shared" si="74"/>
        <v>0</v>
      </c>
      <c r="W160" s="21">
        <f t="shared" si="46"/>
        <v>0</v>
      </c>
      <c r="X160" s="21">
        <f t="shared" si="47"/>
        <v>0</v>
      </c>
      <c r="Y160" s="21">
        <f t="shared" si="48"/>
        <v>63000</v>
      </c>
      <c r="Z160" s="21">
        <f t="shared" si="49"/>
        <v>58301.270655128661</v>
      </c>
      <c r="AA160" s="21">
        <f t="shared" si="75"/>
        <v>1074740.1347156658</v>
      </c>
      <c r="AB160" s="21">
        <f t="shared" si="76"/>
        <v>649113.43256663915</v>
      </c>
      <c r="AC160" s="21">
        <f t="shared" si="50"/>
        <v>1786853.5672823051</v>
      </c>
      <c r="AD160" s="21">
        <f t="shared" si="51"/>
        <v>58301.270655128661</v>
      </c>
      <c r="AE160" s="21">
        <f t="shared" si="77"/>
        <v>0</v>
      </c>
      <c r="AF160" s="21">
        <f t="shared" si="78"/>
        <v>200663.01435101495</v>
      </c>
      <c r="AG160" s="21">
        <f t="shared" si="52"/>
        <v>3838912.5833499422</v>
      </c>
      <c r="AH160" s="21">
        <f t="shared" si="53"/>
        <v>846112.69105429761</v>
      </c>
      <c r="AI160" s="21">
        <f t="shared" si="79"/>
        <v>0</v>
      </c>
      <c r="AJ160" s="21">
        <f t="shared" si="80"/>
        <v>393285.78507240361</v>
      </c>
      <c r="AK160" s="21">
        <f t="shared" si="81"/>
        <v>0</v>
      </c>
      <c r="AL160" s="21">
        <f t="shared" si="82"/>
        <v>184064.5422133441</v>
      </c>
      <c r="AM160" s="21">
        <f t="shared" si="83"/>
        <v>0</v>
      </c>
      <c r="AN160" s="21">
        <f t="shared" si="54"/>
        <v>577350.32999999996</v>
      </c>
      <c r="AO160" s="21">
        <f t="shared" si="84"/>
        <v>0</v>
      </c>
      <c r="AP160" s="21">
        <f t="shared" si="85"/>
        <v>-63715.604626110355</v>
      </c>
      <c r="AQ160" s="21">
        <f t="shared" si="55"/>
        <v>4151884.294372817</v>
      </c>
      <c r="AR160" s="21">
        <f t="shared" si="56"/>
        <v>1159084.4020771722</v>
      </c>
    </row>
    <row r="161" spans="1:44" x14ac:dyDescent="0.25">
      <c r="A161" s="51">
        <v>38</v>
      </c>
      <c r="B161" s="51">
        <f t="shared" si="43"/>
        <v>72</v>
      </c>
      <c r="C161" s="51">
        <f t="shared" si="44"/>
        <v>2064</v>
      </c>
      <c r="D161" s="52" t="b">
        <f t="shared" si="45"/>
        <v>1</v>
      </c>
      <c r="E161" s="50">
        <f t="shared" si="57"/>
        <v>1.0229999999999999</v>
      </c>
      <c r="F161" s="50">
        <f t="shared" si="58"/>
        <v>2.3195217399901003</v>
      </c>
      <c r="G161" s="50">
        <f t="shared" si="59"/>
        <v>1</v>
      </c>
      <c r="H161" s="21">
        <f t="shared" si="60"/>
        <v>0</v>
      </c>
      <c r="I161" s="21">
        <f t="shared" si="61"/>
        <v>-115266.31334706805</v>
      </c>
      <c r="J161" s="21">
        <f t="shared" si="62"/>
        <v>0</v>
      </c>
      <c r="K161" s="21">
        <f t="shared" si="63"/>
        <v>-1571</v>
      </c>
      <c r="L161" s="50">
        <f t="shared" si="64"/>
        <v>1</v>
      </c>
      <c r="M161" s="50">
        <f t="shared" si="65"/>
        <v>1</v>
      </c>
      <c r="N161" s="21">
        <f t="shared" si="66"/>
        <v>28917.298786132575</v>
      </c>
      <c r="O161" s="21">
        <f t="shared" si="67"/>
        <v>644421.01416123344</v>
      </c>
      <c r="P161" s="21">
        <f t="shared" si="68"/>
        <v>1246948.5000637933</v>
      </c>
      <c r="Q161" s="37">
        <f t="shared" si="69"/>
        <v>8</v>
      </c>
      <c r="R161" s="21">
        <f t="shared" si="70"/>
        <v>96000</v>
      </c>
      <c r="S161" s="21">
        <f t="shared" si="71"/>
        <v>903474.15174322866</v>
      </c>
      <c r="T161" s="21">
        <f t="shared" si="72"/>
        <v>573280.00230004475</v>
      </c>
      <c r="U161" s="21">
        <f t="shared" si="73"/>
        <v>720508.973297633</v>
      </c>
      <c r="V161" s="21">
        <f t="shared" si="74"/>
        <v>0</v>
      </c>
      <c r="W161" s="21">
        <f t="shared" si="46"/>
        <v>0</v>
      </c>
      <c r="X161" s="21">
        <f t="shared" si="47"/>
        <v>0</v>
      </c>
      <c r="Y161" s="21">
        <f t="shared" si="48"/>
        <v>63000</v>
      </c>
      <c r="Z161" s="21">
        <f t="shared" si="49"/>
        <v>58301.270655128661</v>
      </c>
      <c r="AA161" s="21">
        <f t="shared" si="75"/>
        <v>1117729.7401042925</v>
      </c>
      <c r="AB161" s="21">
        <f t="shared" si="76"/>
        <v>614444.64838797098</v>
      </c>
      <c r="AC161" s="21">
        <f t="shared" si="50"/>
        <v>1795174.3884922634</v>
      </c>
      <c r="AD161" s="21">
        <f t="shared" si="51"/>
        <v>58301.270655128661</v>
      </c>
      <c r="AE161" s="21">
        <f t="shared" si="77"/>
        <v>0</v>
      </c>
      <c r="AF161" s="21">
        <f t="shared" si="78"/>
        <v>144133.6018025857</v>
      </c>
      <c r="AG161" s="21">
        <f t="shared" si="52"/>
        <v>3859594.8033060082</v>
      </c>
      <c r="AH161" s="21">
        <f t="shared" si="53"/>
        <v>817471.9147499518</v>
      </c>
      <c r="AI161" s="21">
        <f t="shared" si="79"/>
        <v>0</v>
      </c>
      <c r="AJ161" s="21">
        <f t="shared" si="80"/>
        <v>409803.78804544458</v>
      </c>
      <c r="AK161" s="21">
        <f t="shared" si="81"/>
        <v>0</v>
      </c>
      <c r="AL161" s="21">
        <f t="shared" si="82"/>
        <v>191795.25298630455</v>
      </c>
      <c r="AM161" s="21">
        <f t="shared" si="83"/>
        <v>0</v>
      </c>
      <c r="AN161" s="21">
        <f t="shared" si="54"/>
        <v>601599.04</v>
      </c>
      <c r="AO161" s="21">
        <f t="shared" si="84"/>
        <v>0</v>
      </c>
      <c r="AP161" s="21">
        <f t="shared" si="85"/>
        <v>-122888.80336431085</v>
      </c>
      <c r="AQ161" s="21">
        <f t="shared" si="55"/>
        <v>4194171.4381391117</v>
      </c>
      <c r="AR161" s="21">
        <f t="shared" si="56"/>
        <v>1152048.5495830551</v>
      </c>
    </row>
    <row r="162" spans="1:44" x14ac:dyDescent="0.25">
      <c r="A162" s="51">
        <v>39</v>
      </c>
      <c r="B162" s="51">
        <f t="shared" si="43"/>
        <v>73</v>
      </c>
      <c r="C162" s="51">
        <f t="shared" si="44"/>
        <v>2065</v>
      </c>
      <c r="D162" s="52" t="b">
        <f t="shared" si="45"/>
        <v>1</v>
      </c>
      <c r="E162" s="50">
        <f t="shared" si="57"/>
        <v>1.0229999999999999</v>
      </c>
      <c r="F162" s="50">
        <f t="shared" si="58"/>
        <v>2.3728707400098723</v>
      </c>
      <c r="G162" s="50">
        <f t="shared" si="59"/>
        <v>1</v>
      </c>
      <c r="H162" s="21">
        <f t="shared" si="60"/>
        <v>0</v>
      </c>
      <c r="I162" s="21">
        <f t="shared" si="61"/>
        <v>-117917.43855405059</v>
      </c>
      <c r="J162" s="21">
        <f t="shared" si="62"/>
        <v>0</v>
      </c>
      <c r="K162" s="21">
        <f t="shared" si="63"/>
        <v>-1571</v>
      </c>
      <c r="L162" s="50">
        <f t="shared" si="64"/>
        <v>1</v>
      </c>
      <c r="M162" s="50">
        <f t="shared" si="65"/>
        <v>1</v>
      </c>
      <c r="N162" s="21">
        <f t="shared" si="66"/>
        <v>29264.306371566166</v>
      </c>
      <c r="O162" s="21">
        <f t="shared" si="67"/>
        <v>673123.67875600525</v>
      </c>
      <c r="P162" s="21">
        <f t="shared" si="68"/>
        <v>1289344.7490659624</v>
      </c>
      <c r="Q162" s="37">
        <f t="shared" si="69"/>
        <v>8</v>
      </c>
      <c r="R162" s="21">
        <f t="shared" si="70"/>
        <v>96000</v>
      </c>
      <c r="S162" s="21">
        <f t="shared" si="71"/>
        <v>926061.00553680933</v>
      </c>
      <c r="T162" s="21">
        <f t="shared" si="72"/>
        <v>596211.20239204657</v>
      </c>
      <c r="U162" s="21">
        <f t="shared" si="73"/>
        <v>749329.33222953836</v>
      </c>
      <c r="V162" s="21">
        <f t="shared" si="74"/>
        <v>0</v>
      </c>
      <c r="W162" s="21">
        <f t="shared" si="46"/>
        <v>0</v>
      </c>
      <c r="X162" s="21">
        <f t="shared" si="47"/>
        <v>0</v>
      </c>
      <c r="Y162" s="21">
        <f t="shared" si="48"/>
        <v>63000</v>
      </c>
      <c r="Z162" s="21">
        <f t="shared" si="49"/>
        <v>58301.270655128661</v>
      </c>
      <c r="AA162" s="21">
        <f t="shared" si="75"/>
        <v>1162438.9297084643</v>
      </c>
      <c r="AB162" s="21">
        <f t="shared" si="76"/>
        <v>578389.11284215609</v>
      </c>
      <c r="AC162" s="21">
        <f t="shared" si="50"/>
        <v>1803828.0425506204</v>
      </c>
      <c r="AD162" s="21">
        <f t="shared" si="51"/>
        <v>58301.270655128661</v>
      </c>
      <c r="AE162" s="21">
        <f t="shared" si="77"/>
        <v>0</v>
      </c>
      <c r="AF162" s="21">
        <f t="shared" si="78"/>
        <v>84387.769921689614</v>
      </c>
      <c r="AG162" s="21">
        <f t="shared" si="52"/>
        <v>3879948.546665844</v>
      </c>
      <c r="AH162" s="21">
        <f t="shared" si="53"/>
        <v>786775.75504926103</v>
      </c>
      <c r="AI162" s="21">
        <f t="shared" si="79"/>
        <v>0</v>
      </c>
      <c r="AJ162" s="21">
        <f t="shared" si="80"/>
        <v>427015.54714335327</v>
      </c>
      <c r="AK162" s="21">
        <f t="shared" si="81"/>
        <v>0</v>
      </c>
      <c r="AL162" s="21">
        <f t="shared" si="82"/>
        <v>199850.65361172936</v>
      </c>
      <c r="AM162" s="21">
        <f t="shared" si="83"/>
        <v>0</v>
      </c>
      <c r="AN162" s="21">
        <f t="shared" si="54"/>
        <v>626866.19999999995</v>
      </c>
      <c r="AO162" s="21">
        <f t="shared" si="84"/>
        <v>0</v>
      </c>
      <c r="AP162" s="21">
        <f t="shared" si="85"/>
        <v>-185304.85929687586</v>
      </c>
      <c r="AQ162" s="21">
        <f t="shared" si="55"/>
        <v>4237122.1174472785</v>
      </c>
      <c r="AR162" s="21">
        <f t="shared" si="56"/>
        <v>1143949.3258306955</v>
      </c>
    </row>
    <row r="163" spans="1:44" x14ac:dyDescent="0.25">
      <c r="A163" s="51">
        <v>40</v>
      </c>
      <c r="B163" s="51">
        <f t="shared" si="43"/>
        <v>74</v>
      </c>
      <c r="C163" s="51">
        <f t="shared" si="44"/>
        <v>2066</v>
      </c>
      <c r="D163" s="52" t="b">
        <f t="shared" si="45"/>
        <v>1</v>
      </c>
      <c r="E163" s="50">
        <f t="shared" si="57"/>
        <v>1.0229999999999999</v>
      </c>
      <c r="F163" s="50">
        <f t="shared" si="58"/>
        <v>2.4274467670300992</v>
      </c>
      <c r="G163" s="50">
        <f t="shared" si="59"/>
        <v>1</v>
      </c>
      <c r="H163" s="21">
        <f t="shared" si="60"/>
        <v>0</v>
      </c>
      <c r="I163" s="21">
        <f t="shared" si="61"/>
        <v>-120629.53964079375</v>
      </c>
      <c r="J163" s="21">
        <f t="shared" si="62"/>
        <v>0</v>
      </c>
      <c r="K163" s="21">
        <f t="shared" si="63"/>
        <v>-1571</v>
      </c>
      <c r="L163" s="50">
        <f t="shared" si="64"/>
        <v>1</v>
      </c>
      <c r="M163" s="50">
        <f t="shared" si="65"/>
        <v>1</v>
      </c>
      <c r="N163" s="21">
        <f t="shared" si="66"/>
        <v>29615.478048024961</v>
      </c>
      <c r="O163" s="21">
        <f t="shared" si="67"/>
        <v>703031.85526375752</v>
      </c>
      <c r="P163" s="21">
        <f t="shared" si="68"/>
        <v>1333182.4705342052</v>
      </c>
      <c r="Q163" s="37">
        <f t="shared" si="69"/>
        <v>8</v>
      </c>
      <c r="R163" s="21">
        <f t="shared" si="70"/>
        <v>96000</v>
      </c>
      <c r="S163" s="21">
        <f t="shared" si="71"/>
        <v>949212.5306752295</v>
      </c>
      <c r="T163" s="21">
        <f t="shared" si="72"/>
        <v>620059.65048772842</v>
      </c>
      <c r="U163" s="21">
        <f t="shared" si="73"/>
        <v>779302.5055187199</v>
      </c>
      <c r="V163" s="21">
        <f t="shared" si="74"/>
        <v>0</v>
      </c>
      <c r="W163" s="21">
        <f t="shared" si="46"/>
        <v>0</v>
      </c>
      <c r="X163" s="21">
        <f t="shared" si="47"/>
        <v>0</v>
      </c>
      <c r="Y163" s="21">
        <f t="shared" si="48"/>
        <v>63000</v>
      </c>
      <c r="Z163" s="21">
        <f t="shared" si="49"/>
        <v>58301.270655128661</v>
      </c>
      <c r="AA163" s="21">
        <f t="shared" si="75"/>
        <v>1208936.4868968029</v>
      </c>
      <c r="AB163" s="21">
        <f t="shared" si="76"/>
        <v>540891.35587450862</v>
      </c>
      <c r="AC163" s="21">
        <f t="shared" si="50"/>
        <v>1812827.8427713115</v>
      </c>
      <c r="AD163" s="21">
        <f t="shared" si="51"/>
        <v>58301.270655128661</v>
      </c>
      <c r="AE163" s="21">
        <f t="shared" si="77"/>
        <v>0</v>
      </c>
      <c r="AF163" s="21">
        <f t="shared" si="78"/>
        <v>21332.378635241424</v>
      </c>
      <c r="AG163" s="21">
        <f t="shared" si="52"/>
        <v>3899990.0252525406</v>
      </c>
      <c r="AH163" s="21">
        <f t="shared" si="53"/>
        <v>753979.71194702387</v>
      </c>
      <c r="AI163" s="21">
        <f t="shared" si="79"/>
        <v>0</v>
      </c>
      <c r="AJ163" s="21">
        <f t="shared" si="80"/>
        <v>444950.20012337412</v>
      </c>
      <c r="AK163" s="21">
        <f t="shared" si="81"/>
        <v>0</v>
      </c>
      <c r="AL163" s="21">
        <f t="shared" si="82"/>
        <v>208244.38106342198</v>
      </c>
      <c r="AM163" s="21">
        <f t="shared" si="83"/>
        <v>0</v>
      </c>
      <c r="AN163" s="21">
        <f t="shared" si="54"/>
        <v>653194.58000000007</v>
      </c>
      <c r="AO163" s="21">
        <f t="shared" si="84"/>
        <v>0</v>
      </c>
      <c r="AP163" s="21">
        <f t="shared" si="85"/>
        <v>-251057.1768755097</v>
      </c>
      <c r="AQ163" s="21">
        <f t="shared" si="55"/>
        <v>4280795.0497417897</v>
      </c>
      <c r="AR163" s="21">
        <f t="shared" si="56"/>
        <v>1134784.736436273</v>
      </c>
    </row>
    <row r="164" spans="1:44" x14ac:dyDescent="0.25">
      <c r="A164" s="51">
        <v>41</v>
      </c>
      <c r="B164" s="51">
        <f t="shared" si="43"/>
        <v>75</v>
      </c>
      <c r="C164" s="51">
        <f t="shared" si="44"/>
        <v>2067</v>
      </c>
      <c r="D164" s="52" t="b">
        <f t="shared" si="45"/>
        <v>1</v>
      </c>
      <c r="E164" s="50">
        <f t="shared" si="57"/>
        <v>1.0229999999999999</v>
      </c>
      <c r="F164" s="50">
        <f t="shared" si="58"/>
        <v>2.4832780426717913</v>
      </c>
      <c r="G164" s="50">
        <f t="shared" si="59"/>
        <v>1</v>
      </c>
      <c r="H164" s="21">
        <f t="shared" si="60"/>
        <v>0</v>
      </c>
      <c r="I164" s="21">
        <f t="shared" si="61"/>
        <v>-123404.01905253199</v>
      </c>
      <c r="J164" s="21">
        <f t="shared" si="62"/>
        <v>0</v>
      </c>
      <c r="K164" s="21">
        <f t="shared" si="63"/>
        <v>-1571</v>
      </c>
      <c r="L164" s="50">
        <f t="shared" si="64"/>
        <v>1</v>
      </c>
      <c r="M164" s="50">
        <f t="shared" si="65"/>
        <v>1</v>
      </c>
      <c r="N164" s="21">
        <f t="shared" si="66"/>
        <v>29970.863784601261</v>
      </c>
      <c r="O164" s="21">
        <f t="shared" si="67"/>
        <v>734196.17518483533</v>
      </c>
      <c r="P164" s="21">
        <f t="shared" si="68"/>
        <v>1378510.6745323683</v>
      </c>
      <c r="Q164" s="37">
        <f t="shared" si="69"/>
        <v>8</v>
      </c>
      <c r="R164" s="21">
        <f t="shared" si="70"/>
        <v>96000</v>
      </c>
      <c r="S164" s="21">
        <f t="shared" si="71"/>
        <v>972942.84394211019</v>
      </c>
      <c r="T164" s="21">
        <f t="shared" si="72"/>
        <v>644862.03650723759</v>
      </c>
      <c r="U164" s="21">
        <f t="shared" si="73"/>
        <v>810474.60573946871</v>
      </c>
      <c r="V164" s="21">
        <f t="shared" si="74"/>
        <v>0</v>
      </c>
      <c r="W164" s="21">
        <f t="shared" si="46"/>
        <v>0</v>
      </c>
      <c r="X164" s="21">
        <f t="shared" si="47"/>
        <v>0</v>
      </c>
      <c r="Y164" s="21">
        <f t="shared" si="48"/>
        <v>63000</v>
      </c>
      <c r="Z164" s="21">
        <f t="shared" si="49"/>
        <v>58301.270655128661</v>
      </c>
      <c r="AA164" s="21">
        <f t="shared" si="75"/>
        <v>1257293.946372675</v>
      </c>
      <c r="AB164" s="21">
        <f t="shared" si="76"/>
        <v>501893.68862815521</v>
      </c>
      <c r="AC164" s="21">
        <f t="shared" si="50"/>
        <v>1822187.6350008303</v>
      </c>
      <c r="AD164" s="21">
        <f t="shared" si="51"/>
        <v>58301.270655128661</v>
      </c>
      <c r="AE164" s="21">
        <f t="shared" si="77"/>
        <v>0</v>
      </c>
      <c r="AF164" s="21">
        <f t="shared" si="78"/>
        <v>-45128.045975809488</v>
      </c>
      <c r="AG164" s="21">
        <f t="shared" si="52"/>
        <v>3919737.3025268256</v>
      </c>
      <c r="AH164" s="21">
        <f t="shared" si="53"/>
        <v>719038.99299362709</v>
      </c>
      <c r="AI164" s="21">
        <f t="shared" si="79"/>
        <v>0</v>
      </c>
      <c r="AJ164" s="21">
        <f t="shared" si="80"/>
        <v>463638.10852855584</v>
      </c>
      <c r="AK164" s="21">
        <f t="shared" si="81"/>
        <v>0</v>
      </c>
      <c r="AL164" s="21">
        <f t="shared" si="82"/>
        <v>216990.64506808572</v>
      </c>
      <c r="AM164" s="21">
        <f t="shared" si="83"/>
        <v>0</v>
      </c>
      <c r="AN164" s="21">
        <f t="shared" si="54"/>
        <v>680628.76</v>
      </c>
      <c r="AO164" s="21">
        <f t="shared" si="84"/>
        <v>0</v>
      </c>
      <c r="AP164" s="21">
        <f t="shared" si="85"/>
        <v>-320241.49704166816</v>
      </c>
      <c r="AQ164" s="21">
        <f t="shared" si="55"/>
        <v>4325252.611460967</v>
      </c>
      <c r="AR164" s="21">
        <f t="shared" si="56"/>
        <v>1124554.3019277684</v>
      </c>
    </row>
    <row r="165" spans="1:44" x14ac:dyDescent="0.25">
      <c r="A165" s="51">
        <v>42</v>
      </c>
      <c r="B165" s="51">
        <f t="shared" si="43"/>
        <v>76</v>
      </c>
      <c r="C165" s="51">
        <f t="shared" si="44"/>
        <v>2068</v>
      </c>
      <c r="D165" s="52" t="b">
        <f t="shared" si="45"/>
        <v>1</v>
      </c>
      <c r="E165" s="50">
        <f t="shared" si="57"/>
        <v>1.0229999999999999</v>
      </c>
      <c r="F165" s="50">
        <f t="shared" si="58"/>
        <v>2.5403934376532424</v>
      </c>
      <c r="G165" s="50">
        <f t="shared" si="59"/>
        <v>1</v>
      </c>
      <c r="H165" s="21">
        <f t="shared" si="60"/>
        <v>0</v>
      </c>
      <c r="I165" s="21">
        <f t="shared" si="61"/>
        <v>-126242.31149074023</v>
      </c>
      <c r="J165" s="21">
        <f t="shared" si="62"/>
        <v>0</v>
      </c>
      <c r="K165" s="21">
        <f t="shared" si="63"/>
        <v>-1571</v>
      </c>
      <c r="L165" s="50">
        <f t="shared" si="64"/>
        <v>1</v>
      </c>
      <c r="M165" s="50">
        <f t="shared" si="65"/>
        <v>1</v>
      </c>
      <c r="N165" s="21">
        <f t="shared" si="66"/>
        <v>30330.514150016475</v>
      </c>
      <c r="O165" s="21">
        <f t="shared" si="67"/>
        <v>766669.39654259849</v>
      </c>
      <c r="P165" s="21">
        <f t="shared" si="68"/>
        <v>1425380.037466469</v>
      </c>
      <c r="Q165" s="37">
        <f t="shared" si="69"/>
        <v>8</v>
      </c>
      <c r="R165" s="21">
        <f t="shared" si="70"/>
        <v>96000</v>
      </c>
      <c r="S165" s="21">
        <f t="shared" si="71"/>
        <v>997266.41504066286</v>
      </c>
      <c r="T165" s="21">
        <f t="shared" si="72"/>
        <v>670656.51796752715</v>
      </c>
      <c r="U165" s="21">
        <f t="shared" si="73"/>
        <v>842893.58996904746</v>
      </c>
      <c r="V165" s="21">
        <f t="shared" si="74"/>
        <v>0</v>
      </c>
      <c r="W165" s="21">
        <f t="shared" si="46"/>
        <v>0</v>
      </c>
      <c r="X165" s="21">
        <f t="shared" si="47"/>
        <v>0</v>
      </c>
      <c r="Y165" s="21">
        <f t="shared" si="48"/>
        <v>63000</v>
      </c>
      <c r="Z165" s="21">
        <f t="shared" si="49"/>
        <v>58301.270655128661</v>
      </c>
      <c r="AA165" s="21">
        <f t="shared" si="75"/>
        <v>1307585.7042275821</v>
      </c>
      <c r="AB165" s="21">
        <f t="shared" si="76"/>
        <v>461336.11469194765</v>
      </c>
      <c r="AC165" s="21">
        <f t="shared" si="50"/>
        <v>1831921.8189195297</v>
      </c>
      <c r="AD165" s="21">
        <f t="shared" si="51"/>
        <v>58301.270655128661</v>
      </c>
      <c r="AE165" s="21">
        <f t="shared" si="77"/>
        <v>0</v>
      </c>
      <c r="AF165" s="21">
        <f t="shared" si="78"/>
        <v>-115091.36727117916</v>
      </c>
      <c r="AG165" s="21">
        <f t="shared" si="52"/>
        <v>3939210.3998074341</v>
      </c>
      <c r="AH165" s="21">
        <f t="shared" si="53"/>
        <v>681908.54342143587</v>
      </c>
      <c r="AI165" s="21">
        <f t="shared" si="79"/>
        <v>0</v>
      </c>
      <c r="AJ165" s="21">
        <f t="shared" si="80"/>
        <v>483110.90908675519</v>
      </c>
      <c r="AK165" s="21">
        <f t="shared" si="81"/>
        <v>0</v>
      </c>
      <c r="AL165" s="21">
        <f t="shared" si="82"/>
        <v>226104.25216094533</v>
      </c>
      <c r="AM165" s="21">
        <f t="shared" si="83"/>
        <v>0</v>
      </c>
      <c r="AN165" s="21">
        <f t="shared" si="54"/>
        <v>709215.15999999992</v>
      </c>
      <c r="AO165" s="21">
        <f t="shared" si="84"/>
        <v>0</v>
      </c>
      <c r="AP165" s="21">
        <f t="shared" si="85"/>
        <v>-392955.95284769643</v>
      </c>
      <c r="AQ165" s="21">
        <f t="shared" si="55"/>
        <v>4370560.9742309172</v>
      </c>
      <c r="AR165" s="21">
        <f t="shared" si="56"/>
        <v>1113259.1178449185</v>
      </c>
    </row>
    <row r="166" spans="1:44" x14ac:dyDescent="0.25">
      <c r="A166" s="51">
        <v>43</v>
      </c>
      <c r="B166" s="51">
        <f t="shared" si="43"/>
        <v>77</v>
      </c>
      <c r="C166" s="51">
        <f t="shared" si="44"/>
        <v>2069</v>
      </c>
      <c r="D166" s="52" t="b">
        <f t="shared" si="45"/>
        <v>1</v>
      </c>
      <c r="E166" s="50">
        <f t="shared" si="57"/>
        <v>1.0229999999999999</v>
      </c>
      <c r="F166" s="50">
        <f t="shared" si="58"/>
        <v>2.5988224867192669</v>
      </c>
      <c r="G166" s="50">
        <f t="shared" si="59"/>
        <v>1</v>
      </c>
      <c r="H166" s="21">
        <f t="shared" si="60"/>
        <v>0</v>
      </c>
      <c r="I166" s="21">
        <f t="shared" si="61"/>
        <v>-129145.88465502724</v>
      </c>
      <c r="J166" s="21">
        <f t="shared" si="62"/>
        <v>0</v>
      </c>
      <c r="K166" s="21">
        <f t="shared" si="63"/>
        <v>-1571</v>
      </c>
      <c r="L166" s="50">
        <f t="shared" si="64"/>
        <v>1</v>
      </c>
      <c r="M166" s="50">
        <f t="shared" si="65"/>
        <v>1</v>
      </c>
      <c r="N166" s="21">
        <f t="shared" si="66"/>
        <v>30694.480319816674</v>
      </c>
      <c r="O166" s="21">
        <f t="shared" si="67"/>
        <v>800506.49319738767</v>
      </c>
      <c r="P166" s="21">
        <f t="shared" si="68"/>
        <v>1473842.9587403289</v>
      </c>
      <c r="Q166" s="37">
        <f t="shared" si="69"/>
        <v>8</v>
      </c>
      <c r="R166" s="21">
        <f t="shared" si="70"/>
        <v>96000</v>
      </c>
      <c r="S166" s="21">
        <f t="shared" si="71"/>
        <v>1022198.0754166794</v>
      </c>
      <c r="T166" s="21">
        <f t="shared" si="72"/>
        <v>697482.77868622821</v>
      </c>
      <c r="U166" s="21">
        <f t="shared" si="73"/>
        <v>876609.33356780943</v>
      </c>
      <c r="V166" s="21">
        <f t="shared" si="74"/>
        <v>0</v>
      </c>
      <c r="W166" s="21">
        <f t="shared" si="46"/>
        <v>0</v>
      </c>
      <c r="X166" s="21">
        <f t="shared" si="47"/>
        <v>0</v>
      </c>
      <c r="Y166" s="21">
        <f t="shared" si="48"/>
        <v>63000</v>
      </c>
      <c r="Z166" s="21">
        <f t="shared" si="49"/>
        <v>58301.270655128661</v>
      </c>
      <c r="AA166" s="21">
        <f t="shared" si="75"/>
        <v>1359889.1323966854</v>
      </c>
      <c r="AB166" s="21">
        <f t="shared" si="76"/>
        <v>419156.23779829178</v>
      </c>
      <c r="AC166" s="21">
        <f t="shared" si="50"/>
        <v>1842045.3701949771</v>
      </c>
      <c r="AD166" s="21">
        <f t="shared" si="51"/>
        <v>58301.270655128661</v>
      </c>
      <c r="AE166" s="21">
        <f t="shared" si="77"/>
        <v>0</v>
      </c>
      <c r="AF166" s="21">
        <f t="shared" si="78"/>
        <v>-188657.89494378952</v>
      </c>
      <c r="AG166" s="21">
        <f t="shared" si="52"/>
        <v>3958431.4075087206</v>
      </c>
      <c r="AH166" s="21">
        <f t="shared" si="53"/>
        <v>642543.07857341482</v>
      </c>
      <c r="AI166" s="21">
        <f t="shared" si="79"/>
        <v>0</v>
      </c>
      <c r="AJ166" s="21">
        <f t="shared" si="80"/>
        <v>503401.56726839894</v>
      </c>
      <c r="AK166" s="21">
        <f t="shared" si="81"/>
        <v>0</v>
      </c>
      <c r="AL166" s="21">
        <f t="shared" si="82"/>
        <v>235600.63075170503</v>
      </c>
      <c r="AM166" s="21">
        <f t="shared" si="83"/>
        <v>0</v>
      </c>
      <c r="AN166" s="21">
        <f t="shared" si="54"/>
        <v>739002.2</v>
      </c>
      <c r="AO166" s="21">
        <f t="shared" si="84"/>
        <v>0</v>
      </c>
      <c r="AP166" s="21">
        <f t="shared" si="85"/>
        <v>-469301.12637607194</v>
      </c>
      <c r="AQ166" s="21">
        <f t="shared" si="55"/>
        <v>4416790.3760764385</v>
      </c>
      <c r="AR166" s="21">
        <f t="shared" si="56"/>
        <v>1100902.0471411324</v>
      </c>
    </row>
    <row r="167" spans="1:44" x14ac:dyDescent="0.25">
      <c r="A167" s="51">
        <v>44</v>
      </c>
      <c r="B167" s="51">
        <f t="shared" si="43"/>
        <v>78</v>
      </c>
      <c r="C167" s="51">
        <f t="shared" si="44"/>
        <v>2070</v>
      </c>
      <c r="D167" s="52" t="b">
        <f t="shared" si="45"/>
        <v>1</v>
      </c>
      <c r="E167" s="50">
        <f t="shared" si="57"/>
        <v>1.0229999999999999</v>
      </c>
      <c r="F167" s="50">
        <f t="shared" si="58"/>
        <v>2.6585954039138096</v>
      </c>
      <c r="G167" s="50">
        <f t="shared" si="59"/>
        <v>1</v>
      </c>
      <c r="H167" s="21">
        <f t="shared" si="60"/>
        <v>0</v>
      </c>
      <c r="I167" s="21">
        <f t="shared" si="61"/>
        <v>-132116.24000209285</v>
      </c>
      <c r="J167" s="21">
        <f t="shared" si="62"/>
        <v>0</v>
      </c>
      <c r="K167" s="21">
        <f t="shared" si="63"/>
        <v>-1571</v>
      </c>
      <c r="L167" s="50">
        <f t="shared" si="64"/>
        <v>1</v>
      </c>
      <c r="M167" s="50">
        <f t="shared" si="65"/>
        <v>1</v>
      </c>
      <c r="N167" s="21">
        <f t="shared" si="66"/>
        <v>31062.814083654474</v>
      </c>
      <c r="O167" s="21">
        <f t="shared" si="67"/>
        <v>835764.74791167793</v>
      </c>
      <c r="P167" s="21">
        <f t="shared" si="68"/>
        <v>1523953.6193375001</v>
      </c>
      <c r="Q167" s="37">
        <f t="shared" si="69"/>
        <v>8</v>
      </c>
      <c r="R167" s="21">
        <f t="shared" si="70"/>
        <v>96000</v>
      </c>
      <c r="S167" s="21">
        <f t="shared" si="71"/>
        <v>1047753.0273020962</v>
      </c>
      <c r="T167" s="21">
        <f t="shared" si="72"/>
        <v>725382.0898336774</v>
      </c>
      <c r="U167" s="21">
        <f t="shared" si="73"/>
        <v>911673.70691052184</v>
      </c>
      <c r="V167" s="21">
        <f t="shared" si="74"/>
        <v>0</v>
      </c>
      <c r="W167" s="21">
        <f t="shared" si="46"/>
        <v>0</v>
      </c>
      <c r="X167" s="21">
        <f t="shared" si="47"/>
        <v>0</v>
      </c>
      <c r="Y167" s="21">
        <f t="shared" si="48"/>
        <v>63000</v>
      </c>
      <c r="Z167" s="21">
        <f t="shared" si="49"/>
        <v>58301.270655128661</v>
      </c>
      <c r="AA167" s="21">
        <f t="shared" si="75"/>
        <v>1414284.6976925528</v>
      </c>
      <c r="AB167" s="21">
        <f t="shared" si="76"/>
        <v>375289.1658288897</v>
      </c>
      <c r="AC167" s="21">
        <f t="shared" si="50"/>
        <v>1852573.8635214425</v>
      </c>
      <c r="AD167" s="21">
        <f t="shared" si="51"/>
        <v>58301.270655128661</v>
      </c>
      <c r="AE167" s="21">
        <f t="shared" si="77"/>
        <v>0</v>
      </c>
      <c r="AF167" s="21">
        <f t="shared" si="78"/>
        <v>-265930.44324019161</v>
      </c>
      <c r="AG167" s="21">
        <f t="shared" si="52"/>
        <v>3977424.6016140832</v>
      </c>
      <c r="AH167" s="21">
        <f t="shared" si="53"/>
        <v>600897.11875514081</v>
      </c>
      <c r="AI167" s="21">
        <f t="shared" si="79"/>
        <v>0</v>
      </c>
      <c r="AJ167" s="21">
        <f t="shared" si="80"/>
        <v>524544.43309367169</v>
      </c>
      <c r="AK167" s="21">
        <f t="shared" si="81"/>
        <v>0</v>
      </c>
      <c r="AL167" s="21">
        <f t="shared" si="82"/>
        <v>245495.85724327664</v>
      </c>
      <c r="AM167" s="21">
        <f t="shared" si="83"/>
        <v>0</v>
      </c>
      <c r="AN167" s="21">
        <f t="shared" si="54"/>
        <v>770040.29</v>
      </c>
      <c r="AO167" s="21">
        <f t="shared" si="84"/>
        <v>0</v>
      </c>
      <c r="AP167" s="21">
        <f t="shared" si="85"/>
        <v>-549380.10698679695</v>
      </c>
      <c r="AQ167" s="21">
        <f t="shared" si="55"/>
        <v>4464015.2278674785</v>
      </c>
      <c r="AR167" s="21">
        <f t="shared" si="56"/>
        <v>1087487.7450085355</v>
      </c>
    </row>
    <row r="168" spans="1:44" x14ac:dyDescent="0.25">
      <c r="A168" s="51">
        <v>45</v>
      </c>
      <c r="B168" s="51">
        <f t="shared" si="43"/>
        <v>79</v>
      </c>
      <c r="C168" s="51">
        <f t="shared" si="44"/>
        <v>2071</v>
      </c>
      <c r="D168" s="52" t="b">
        <f t="shared" si="45"/>
        <v>1</v>
      </c>
      <c r="E168" s="50">
        <f t="shared" si="57"/>
        <v>1.0229999999999999</v>
      </c>
      <c r="F168" s="50">
        <f t="shared" si="58"/>
        <v>2.7197430982038271</v>
      </c>
      <c r="G168" s="50">
        <f t="shared" si="59"/>
        <v>1</v>
      </c>
      <c r="H168" s="21">
        <f t="shared" si="60"/>
        <v>0</v>
      </c>
      <c r="I168" s="21">
        <f t="shared" si="61"/>
        <v>-135154.913522141</v>
      </c>
      <c r="J168" s="21">
        <f t="shared" si="62"/>
        <v>0</v>
      </c>
      <c r="K168" s="21">
        <f t="shared" si="63"/>
        <v>-1571</v>
      </c>
      <c r="L168" s="50">
        <f t="shared" si="64"/>
        <v>1</v>
      </c>
      <c r="M168" s="50">
        <f t="shared" si="65"/>
        <v>1</v>
      </c>
      <c r="N168" s="21">
        <f t="shared" si="66"/>
        <v>31435.567852658329</v>
      </c>
      <c r="O168" s="21">
        <f t="shared" si="67"/>
        <v>872503.8493239684</v>
      </c>
      <c r="P168" s="21">
        <f t="shared" si="68"/>
        <v>1575768.0423949752</v>
      </c>
      <c r="Q168" s="37">
        <f t="shared" si="69"/>
        <v>8</v>
      </c>
      <c r="R168" s="21">
        <f t="shared" si="70"/>
        <v>96000</v>
      </c>
      <c r="S168" s="21">
        <f t="shared" si="71"/>
        <v>1073946.8529846487</v>
      </c>
      <c r="T168" s="21">
        <f t="shared" si="72"/>
        <v>754397.37342702458</v>
      </c>
      <c r="U168" s="21">
        <f t="shared" si="73"/>
        <v>948140.65518694278</v>
      </c>
      <c r="V168" s="21">
        <f t="shared" si="74"/>
        <v>0</v>
      </c>
      <c r="W168" s="21">
        <f t="shared" si="46"/>
        <v>0</v>
      </c>
      <c r="X168" s="21">
        <f t="shared" si="47"/>
        <v>0</v>
      </c>
      <c r="Y168" s="21">
        <f t="shared" si="48"/>
        <v>63000</v>
      </c>
      <c r="Z168" s="21">
        <f t="shared" si="49"/>
        <v>58301.270655128661</v>
      </c>
      <c r="AA168" s="21">
        <f t="shared" si="75"/>
        <v>1470856.0856002551</v>
      </c>
      <c r="AB168" s="21">
        <f t="shared" si="76"/>
        <v>329667.41098071152</v>
      </c>
      <c r="AC168" s="21">
        <f t="shared" si="50"/>
        <v>1863523.4965809665</v>
      </c>
      <c r="AD168" s="21">
        <f t="shared" si="51"/>
        <v>58301.270655128661</v>
      </c>
      <c r="AE168" s="21">
        <f t="shared" si="77"/>
        <v>0</v>
      </c>
      <c r="AF168" s="21">
        <f t="shared" si="78"/>
        <v>-347014.39053960587</v>
      </c>
      <c r="AG168" s="21">
        <f t="shared" si="52"/>
        <v>3996216.5656129625</v>
      </c>
      <c r="AH168" s="21">
        <f t="shared" si="53"/>
        <v>556925.02663702087</v>
      </c>
      <c r="AI168" s="21">
        <f t="shared" si="79"/>
        <v>0</v>
      </c>
      <c r="AJ168" s="21">
        <f t="shared" si="80"/>
        <v>546575.29928360588</v>
      </c>
      <c r="AK168" s="21">
        <f t="shared" si="81"/>
        <v>0</v>
      </c>
      <c r="AL168" s="21">
        <f t="shared" si="82"/>
        <v>255806.68324749428</v>
      </c>
      <c r="AM168" s="21">
        <f t="shared" si="83"/>
        <v>0</v>
      </c>
      <c r="AN168" s="21">
        <f t="shared" si="54"/>
        <v>802381.98</v>
      </c>
      <c r="AO168" s="21">
        <f t="shared" si="84"/>
        <v>0</v>
      </c>
      <c r="AP168" s="21">
        <f t="shared" si="85"/>
        <v>-633298.55092367739</v>
      </c>
      <c r="AQ168" s="21">
        <f t="shared" si="55"/>
        <v>4512314.3852288909</v>
      </c>
      <c r="AR168" s="21">
        <f t="shared" si="56"/>
        <v>1073022.8462529494</v>
      </c>
    </row>
    <row r="169" spans="1:44" x14ac:dyDescent="0.25">
      <c r="A169" s="51">
        <v>46</v>
      </c>
      <c r="B169" s="51">
        <f t="shared" si="43"/>
        <v>80</v>
      </c>
      <c r="C169" s="51">
        <f t="shared" si="44"/>
        <v>2072</v>
      </c>
      <c r="D169" s="52" t="b">
        <f t="shared" si="45"/>
        <v>1</v>
      </c>
      <c r="E169" s="50">
        <f t="shared" si="57"/>
        <v>1.0229999999999999</v>
      </c>
      <c r="F169" s="50">
        <f t="shared" si="58"/>
        <v>2.7822971894625148</v>
      </c>
      <c r="G169" s="50">
        <f t="shared" si="59"/>
        <v>1</v>
      </c>
      <c r="H169" s="21">
        <f t="shared" si="60"/>
        <v>0</v>
      </c>
      <c r="I169" s="21">
        <f t="shared" si="61"/>
        <v>-138263.47653315021</v>
      </c>
      <c r="J169" s="21">
        <f t="shared" si="62"/>
        <v>0</v>
      </c>
      <c r="K169" s="21">
        <f t="shared" si="63"/>
        <v>-1571</v>
      </c>
      <c r="L169" s="50">
        <f t="shared" si="64"/>
        <v>1</v>
      </c>
      <c r="M169" s="50">
        <f t="shared" si="65"/>
        <v>1</v>
      </c>
      <c r="N169" s="21">
        <f t="shared" si="66"/>
        <v>31812.79466689023</v>
      </c>
      <c r="O169" s="21">
        <f t="shared" si="67"/>
        <v>910785.99299557507</v>
      </c>
      <c r="P169" s="21">
        <f t="shared" si="68"/>
        <v>1629344.1558364043</v>
      </c>
      <c r="Q169" s="37">
        <f t="shared" si="69"/>
        <v>8</v>
      </c>
      <c r="R169" s="21">
        <f t="shared" si="70"/>
        <v>96000</v>
      </c>
      <c r="S169" s="21">
        <f t="shared" si="71"/>
        <v>1100795.5243092647</v>
      </c>
      <c r="T169" s="21">
        <f t="shared" si="72"/>
        <v>784573.26836410561</v>
      </c>
      <c r="U169" s="21">
        <f t="shared" si="73"/>
        <v>986066.28139442054</v>
      </c>
      <c r="V169" s="21">
        <f t="shared" si="74"/>
        <v>0</v>
      </c>
      <c r="W169" s="21">
        <f t="shared" si="46"/>
        <v>0</v>
      </c>
      <c r="X169" s="21">
        <f t="shared" si="47"/>
        <v>0</v>
      </c>
      <c r="Y169" s="21">
        <f t="shared" si="48"/>
        <v>63000</v>
      </c>
      <c r="Z169" s="21">
        <f t="shared" si="49"/>
        <v>58301.270655128661</v>
      </c>
      <c r="AA169" s="21">
        <f t="shared" si="75"/>
        <v>1529690.3290242653</v>
      </c>
      <c r="AB169" s="21">
        <f t="shared" si="76"/>
        <v>282220.78593860619</v>
      </c>
      <c r="AC169" s="21">
        <f t="shared" si="50"/>
        <v>1874911.1149628714</v>
      </c>
      <c r="AD169" s="21">
        <f t="shared" si="51"/>
        <v>58301.270655128661</v>
      </c>
      <c r="AE169" s="21">
        <f t="shared" si="77"/>
        <v>0</v>
      </c>
      <c r="AF169" s="21">
        <f t="shared" si="78"/>
        <v>-432017.74032302352</v>
      </c>
      <c r="AG169" s="21">
        <f t="shared" si="52"/>
        <v>4014836.3181387172</v>
      </c>
      <c r="AH169" s="21">
        <f t="shared" si="53"/>
        <v>510581.04733944184</v>
      </c>
      <c r="AI169" s="21">
        <f t="shared" si="79"/>
        <v>0</v>
      </c>
      <c r="AJ169" s="21">
        <f t="shared" si="80"/>
        <v>569531.46185351734</v>
      </c>
      <c r="AK169" s="21">
        <f t="shared" si="81"/>
        <v>0</v>
      </c>
      <c r="AL169" s="21">
        <f t="shared" si="82"/>
        <v>266550.56394388905</v>
      </c>
      <c r="AM169" s="21">
        <f t="shared" si="83"/>
        <v>0</v>
      </c>
      <c r="AN169" s="21">
        <f t="shared" si="54"/>
        <v>836082.02</v>
      </c>
      <c r="AO169" s="21">
        <f t="shared" si="84"/>
        <v>0</v>
      </c>
      <c r="AP169" s="21">
        <f t="shared" si="85"/>
        <v>-721164.74231093575</v>
      </c>
      <c r="AQ169" s="21">
        <f t="shared" si="55"/>
        <v>4561771.3361508045</v>
      </c>
      <c r="AR169" s="21">
        <f t="shared" si="56"/>
        <v>1057516.0653515295</v>
      </c>
    </row>
    <row r="170" spans="1:44" x14ac:dyDescent="0.25">
      <c r="A170" s="51">
        <v>47</v>
      </c>
      <c r="B170" s="51">
        <f t="shared" si="43"/>
        <v>81</v>
      </c>
      <c r="C170" s="51">
        <f t="shared" si="44"/>
        <v>2073</v>
      </c>
      <c r="D170" s="52" t="b">
        <f t="shared" si="45"/>
        <v>1</v>
      </c>
      <c r="E170" s="50">
        <f t="shared" si="57"/>
        <v>1.0229999999999999</v>
      </c>
      <c r="F170" s="50">
        <f t="shared" si="58"/>
        <v>2.8462900248201524</v>
      </c>
      <c r="G170" s="50">
        <f t="shared" si="59"/>
        <v>1</v>
      </c>
      <c r="H170" s="21">
        <f t="shared" si="60"/>
        <v>0</v>
      </c>
      <c r="I170" s="21">
        <f t="shared" si="61"/>
        <v>-141443.53649341266</v>
      </c>
      <c r="J170" s="21">
        <f t="shared" si="62"/>
        <v>0</v>
      </c>
      <c r="K170" s="21">
        <f t="shared" si="63"/>
        <v>-1571</v>
      </c>
      <c r="L170" s="50">
        <f t="shared" si="64"/>
        <v>1</v>
      </c>
      <c r="M170" s="50">
        <f t="shared" si="65"/>
        <v>1</v>
      </c>
      <c r="N170" s="21">
        <f t="shared" si="66"/>
        <v>32194.548202892911</v>
      </c>
      <c r="O170" s="21">
        <f t="shared" si="67"/>
        <v>950675.98670138931</v>
      </c>
      <c r="P170" s="21">
        <f t="shared" si="68"/>
        <v>1684741.8571348421</v>
      </c>
      <c r="Q170" s="37">
        <f t="shared" si="69"/>
        <v>8</v>
      </c>
      <c r="R170" s="21">
        <f t="shared" si="70"/>
        <v>96000</v>
      </c>
      <c r="S170" s="21">
        <f t="shared" si="71"/>
        <v>1128315.4124169962</v>
      </c>
      <c r="T170" s="21">
        <f t="shared" si="72"/>
        <v>815956.19909866981</v>
      </c>
      <c r="U170" s="21">
        <f t="shared" si="73"/>
        <v>1025508.9326501974</v>
      </c>
      <c r="V170" s="21">
        <f t="shared" si="74"/>
        <v>0</v>
      </c>
      <c r="W170" s="21">
        <f t="shared" si="46"/>
        <v>0</v>
      </c>
      <c r="X170" s="21">
        <f t="shared" si="47"/>
        <v>0</v>
      </c>
      <c r="Y170" s="21">
        <f t="shared" si="48"/>
        <v>63000</v>
      </c>
      <c r="Z170" s="21">
        <f t="shared" si="49"/>
        <v>58301.270655128661</v>
      </c>
      <c r="AA170" s="21">
        <f t="shared" si="75"/>
        <v>1590877.9421852359</v>
      </c>
      <c r="AB170" s="21">
        <f t="shared" si="76"/>
        <v>232876.29589481663</v>
      </c>
      <c r="AC170" s="21">
        <f t="shared" si="50"/>
        <v>1886754.2380800527</v>
      </c>
      <c r="AD170" s="21">
        <f t="shared" si="51"/>
        <v>58301.270655128661</v>
      </c>
      <c r="AE170" s="21">
        <f t="shared" si="77"/>
        <v>0</v>
      </c>
      <c r="AF170" s="21">
        <f t="shared" si="78"/>
        <v>-521051.18356453779</v>
      </c>
      <c r="AG170" s="21">
        <f t="shared" si="52"/>
        <v>4033315.4465546389</v>
      </c>
      <c r="AH170" s="21">
        <f t="shared" si="53"/>
        <v>461819.3513397444</v>
      </c>
      <c r="AI170" s="21">
        <f t="shared" si="79"/>
        <v>0</v>
      </c>
      <c r="AJ170" s="21">
        <f t="shared" si="80"/>
        <v>593451.78325136506</v>
      </c>
      <c r="AK170" s="21">
        <f t="shared" si="81"/>
        <v>0</v>
      </c>
      <c r="AL170" s="21">
        <f t="shared" si="82"/>
        <v>277745.68762953242</v>
      </c>
      <c r="AM170" s="21">
        <f t="shared" si="83"/>
        <v>0</v>
      </c>
      <c r="AN170" s="21">
        <f t="shared" si="54"/>
        <v>871197.47</v>
      </c>
      <c r="AO170" s="21">
        <f t="shared" si="84"/>
        <v>0</v>
      </c>
      <c r="AP170" s="21">
        <f t="shared" si="85"/>
        <v>-813089.65557232918</v>
      </c>
      <c r="AQ170" s="21">
        <f t="shared" si="55"/>
        <v>4612474.4445468476</v>
      </c>
      <c r="AR170" s="21">
        <f t="shared" si="56"/>
        <v>1040978.349331953</v>
      </c>
    </row>
    <row r="171" spans="1:44" x14ac:dyDescent="0.25">
      <c r="A171" s="51">
        <v>48</v>
      </c>
      <c r="B171" s="51">
        <f t="shared" si="43"/>
        <v>82</v>
      </c>
      <c r="C171" s="51">
        <f t="shared" si="44"/>
        <v>2074</v>
      </c>
      <c r="D171" s="52" t="b">
        <f t="shared" si="45"/>
        <v>1</v>
      </c>
      <c r="E171" s="50">
        <f t="shared" si="57"/>
        <v>1.0229999999999999</v>
      </c>
      <c r="F171" s="50">
        <f t="shared" si="58"/>
        <v>2.9117546953910156</v>
      </c>
      <c r="G171" s="50">
        <f t="shared" si="59"/>
        <v>1</v>
      </c>
      <c r="H171" s="21">
        <f t="shared" si="60"/>
        <v>0</v>
      </c>
      <c r="I171" s="21">
        <f t="shared" si="61"/>
        <v>-144696.73783276114</v>
      </c>
      <c r="J171" s="21">
        <f t="shared" si="62"/>
        <v>0</v>
      </c>
      <c r="K171" s="21">
        <f t="shared" si="63"/>
        <v>-1571</v>
      </c>
      <c r="L171" s="50">
        <f t="shared" si="64"/>
        <v>1</v>
      </c>
      <c r="M171" s="50">
        <f t="shared" si="65"/>
        <v>1</v>
      </c>
      <c r="N171" s="21">
        <f t="shared" si="66"/>
        <v>32580.882781327626</v>
      </c>
      <c r="O171" s="21">
        <f t="shared" si="67"/>
        <v>992241.36014284764</v>
      </c>
      <c r="P171" s="21">
        <f t="shared" si="68"/>
        <v>1742023.0802774269</v>
      </c>
      <c r="Q171" s="37">
        <f t="shared" si="69"/>
        <v>8</v>
      </c>
      <c r="R171" s="21">
        <f t="shared" si="70"/>
        <v>96000</v>
      </c>
      <c r="S171" s="21">
        <f t="shared" si="71"/>
        <v>1156523.2977274209</v>
      </c>
      <c r="T171" s="21">
        <f t="shared" si="72"/>
        <v>848594.44706261659</v>
      </c>
      <c r="U171" s="21">
        <f t="shared" si="73"/>
        <v>1066529.2899562053</v>
      </c>
      <c r="V171" s="21">
        <f t="shared" si="74"/>
        <v>0</v>
      </c>
      <c r="W171" s="21">
        <f t="shared" si="46"/>
        <v>0</v>
      </c>
      <c r="X171" s="21">
        <f t="shared" si="47"/>
        <v>0</v>
      </c>
      <c r="Y171" s="21">
        <f t="shared" si="48"/>
        <v>63000</v>
      </c>
      <c r="Z171" s="21">
        <f t="shared" si="49"/>
        <v>58301.270655128661</v>
      </c>
      <c r="AA171" s="21">
        <f t="shared" si="75"/>
        <v>1654513.0598726454</v>
      </c>
      <c r="AB171" s="21">
        <f t="shared" si="76"/>
        <v>181558.02624927548</v>
      </c>
      <c r="AC171" s="21">
        <f t="shared" si="50"/>
        <v>1899071.086121921</v>
      </c>
      <c r="AD171" s="21">
        <f t="shared" si="51"/>
        <v>58301.270655128661</v>
      </c>
      <c r="AE171" s="21">
        <f t="shared" si="77"/>
        <v>0</v>
      </c>
      <c r="AF171" s="21">
        <f t="shared" si="78"/>
        <v>-614228.1625778157</v>
      </c>
      <c r="AG171" s="21">
        <f t="shared" si="52"/>
        <v>4051688.246745707</v>
      </c>
      <c r="AH171" s="21">
        <f t="shared" si="53"/>
        <v>410594.08034635952</v>
      </c>
      <c r="AI171" s="21">
        <f t="shared" si="79"/>
        <v>0</v>
      </c>
      <c r="AJ171" s="21">
        <f t="shared" si="80"/>
        <v>618376.75814792246</v>
      </c>
      <c r="AK171" s="21">
        <f t="shared" si="81"/>
        <v>0</v>
      </c>
      <c r="AL171" s="21">
        <f t="shared" si="82"/>
        <v>289411.00650997279</v>
      </c>
      <c r="AM171" s="21">
        <f t="shared" si="83"/>
        <v>0</v>
      </c>
      <c r="AN171" s="21">
        <f t="shared" si="54"/>
        <v>907787.77</v>
      </c>
      <c r="AO171" s="21">
        <f t="shared" si="84"/>
        <v>0</v>
      </c>
      <c r="AP171" s="21">
        <f t="shared" si="85"/>
        <v>-909187.01930568495</v>
      </c>
      <c r="AQ171" s="21">
        <f t="shared" si="55"/>
        <v>4664517.1600178378</v>
      </c>
      <c r="AR171" s="21">
        <f t="shared" si="56"/>
        <v>1023422.9936184903</v>
      </c>
    </row>
    <row r="172" spans="1:44" x14ac:dyDescent="0.25">
      <c r="A172" s="51">
        <v>49</v>
      </c>
      <c r="B172" s="51">
        <f t="shared" si="43"/>
        <v>83</v>
      </c>
      <c r="C172" s="51">
        <f t="shared" si="44"/>
        <v>2075</v>
      </c>
      <c r="D172" s="52" t="b">
        <f t="shared" si="45"/>
        <v>1</v>
      </c>
      <c r="E172" s="50">
        <f t="shared" si="57"/>
        <v>1.0229999999999999</v>
      </c>
      <c r="F172" s="50">
        <f t="shared" si="58"/>
        <v>2.9787250533850087</v>
      </c>
      <c r="G172" s="50">
        <f t="shared" si="59"/>
        <v>1</v>
      </c>
      <c r="H172" s="21">
        <f t="shared" si="60"/>
        <v>0</v>
      </c>
      <c r="I172" s="21">
        <f t="shared" si="61"/>
        <v>-148024.76280291463</v>
      </c>
      <c r="J172" s="21">
        <f t="shared" si="62"/>
        <v>0</v>
      </c>
      <c r="K172" s="21">
        <f t="shared" si="63"/>
        <v>-1571</v>
      </c>
      <c r="L172" s="50">
        <f t="shared" si="64"/>
        <v>1</v>
      </c>
      <c r="M172" s="50">
        <f t="shared" si="65"/>
        <v>1</v>
      </c>
      <c r="N172" s="21">
        <f t="shared" si="66"/>
        <v>32971.853374703554</v>
      </c>
      <c r="O172" s="21">
        <f t="shared" si="67"/>
        <v>1035552.4792688473</v>
      </c>
      <c r="P172" s="21">
        <f t="shared" si="68"/>
        <v>1801251.8650068594</v>
      </c>
      <c r="Q172" s="37">
        <f t="shared" si="69"/>
        <v>8</v>
      </c>
      <c r="R172" s="21">
        <f t="shared" si="70"/>
        <v>96000</v>
      </c>
      <c r="S172" s="21">
        <f t="shared" si="71"/>
        <v>1185436.3801706063</v>
      </c>
      <c r="T172" s="21">
        <f t="shared" si="72"/>
        <v>882538.22494512133</v>
      </c>
      <c r="U172" s="21">
        <f t="shared" si="73"/>
        <v>1109190.4615544535</v>
      </c>
      <c r="V172" s="21">
        <f t="shared" si="74"/>
        <v>0</v>
      </c>
      <c r="W172" s="21">
        <f t="shared" si="46"/>
        <v>0</v>
      </c>
      <c r="X172" s="21">
        <f t="shared" si="47"/>
        <v>0</v>
      </c>
      <c r="Y172" s="21">
        <f t="shared" si="48"/>
        <v>63000</v>
      </c>
      <c r="Z172" s="21">
        <f t="shared" si="49"/>
        <v>58301.270655128661</v>
      </c>
      <c r="AA172" s="21">
        <f t="shared" si="75"/>
        <v>1720693.5822675512</v>
      </c>
      <c r="AB172" s="21">
        <f t="shared" si="76"/>
        <v>128187.0258179127</v>
      </c>
      <c r="AC172" s="21">
        <f t="shared" si="50"/>
        <v>1911880.608085464</v>
      </c>
      <c r="AD172" s="21">
        <f t="shared" si="51"/>
        <v>58301.270655128661</v>
      </c>
      <c r="AE172" s="21">
        <f t="shared" si="77"/>
        <v>0</v>
      </c>
      <c r="AF172" s="21">
        <f t="shared" si="78"/>
        <v>-711664.93635137985</v>
      </c>
      <c r="AG172" s="21">
        <f t="shared" si="52"/>
        <v>4069991.8693844941</v>
      </c>
      <c r="AH172" s="21">
        <f t="shared" si="53"/>
        <v>356859.39629217098</v>
      </c>
      <c r="AI172" s="21">
        <f t="shared" si="79"/>
        <v>0</v>
      </c>
      <c r="AJ172" s="21">
        <f t="shared" si="80"/>
        <v>644348.58199013525</v>
      </c>
      <c r="AK172" s="21">
        <f t="shared" si="81"/>
        <v>0</v>
      </c>
      <c r="AL172" s="21">
        <f t="shared" si="82"/>
        <v>301566.26878339169</v>
      </c>
      <c r="AM172" s="21">
        <f t="shared" si="83"/>
        <v>0</v>
      </c>
      <c r="AN172" s="21">
        <f t="shared" si="54"/>
        <v>945914.85</v>
      </c>
      <c r="AO172" s="21">
        <f t="shared" si="84"/>
        <v>0</v>
      </c>
      <c r="AP172" s="21">
        <f t="shared" si="85"/>
        <v>-1009573.3816465279</v>
      </c>
      <c r="AQ172" s="21">
        <f t="shared" si="55"/>
        <v>4717998.2740893457</v>
      </c>
      <c r="AR172" s="21">
        <f t="shared" si="56"/>
        <v>1004865.8009970229</v>
      </c>
    </row>
    <row r="173" spans="1:44" x14ac:dyDescent="0.25">
      <c r="A173" s="51">
        <v>50</v>
      </c>
      <c r="B173" s="51">
        <f t="shared" si="43"/>
        <v>84</v>
      </c>
      <c r="C173" s="51">
        <f t="shared" si="44"/>
        <v>2076</v>
      </c>
      <c r="D173" s="52" t="b">
        <f t="shared" si="45"/>
        <v>1</v>
      </c>
      <c r="E173" s="50">
        <f t="shared" si="57"/>
        <v>1.0229999999999999</v>
      </c>
      <c r="F173" s="50">
        <f t="shared" si="58"/>
        <v>3.0472357296128636</v>
      </c>
      <c r="G173" s="50">
        <f t="shared" si="59"/>
        <v>1</v>
      </c>
      <c r="H173" s="21">
        <f t="shared" si="60"/>
        <v>0</v>
      </c>
      <c r="I173" s="21">
        <f t="shared" si="61"/>
        <v>-151429.33234738166</v>
      </c>
      <c r="J173" s="21">
        <f t="shared" si="62"/>
        <v>0</v>
      </c>
      <c r="K173" s="21">
        <f t="shared" si="63"/>
        <v>-1571</v>
      </c>
      <c r="L173" s="50">
        <f t="shared" si="64"/>
        <v>1</v>
      </c>
      <c r="M173" s="50">
        <f t="shared" si="65"/>
        <v>1</v>
      </c>
      <c r="N173" s="21">
        <f t="shared" si="66"/>
        <v>33367.515615199998</v>
      </c>
      <c r="O173" s="21">
        <f t="shared" si="67"/>
        <v>1080682.6653981388</v>
      </c>
      <c r="P173" s="21">
        <f t="shared" si="68"/>
        <v>1862494.4284170927</v>
      </c>
      <c r="Q173" s="37">
        <f t="shared" si="69"/>
        <v>8</v>
      </c>
      <c r="R173" s="21">
        <f t="shared" si="70"/>
        <v>96000</v>
      </c>
      <c r="S173" s="21">
        <f t="shared" si="71"/>
        <v>1215072.2896748714</v>
      </c>
      <c r="T173" s="21">
        <f t="shared" si="72"/>
        <v>917839.75394292618</v>
      </c>
      <c r="U173" s="21">
        <f t="shared" si="73"/>
        <v>1153558.0800166316</v>
      </c>
      <c r="V173" s="21">
        <f t="shared" si="74"/>
        <v>0</v>
      </c>
      <c r="W173" s="21">
        <f t="shared" si="46"/>
        <v>0</v>
      </c>
      <c r="X173" s="21">
        <f t="shared" si="47"/>
        <v>0</v>
      </c>
      <c r="Y173" s="21">
        <f t="shared" si="48"/>
        <v>63000</v>
      </c>
      <c r="Z173" s="21">
        <f t="shared" si="49"/>
        <v>58301.270655128661</v>
      </c>
      <c r="AA173" s="21">
        <f t="shared" si="75"/>
        <v>1789521.3255582533</v>
      </c>
      <c r="AB173" s="21">
        <f t="shared" si="76"/>
        <v>72681.185369295403</v>
      </c>
      <c r="AC173" s="21">
        <f t="shared" si="50"/>
        <v>1925202.5109275486</v>
      </c>
      <c r="AD173" s="21">
        <f t="shared" si="51"/>
        <v>58301.270655128661</v>
      </c>
      <c r="AE173" s="21">
        <f t="shared" si="77"/>
        <v>0</v>
      </c>
      <c r="AF173" s="21">
        <f t="shared" si="78"/>
        <v>-813480.64740714664</v>
      </c>
      <c r="AG173" s="21">
        <f t="shared" si="52"/>
        <v>4088266.4729508334</v>
      </c>
      <c r="AH173" s="21">
        <f t="shared" si="53"/>
        <v>300569.5336061921</v>
      </c>
      <c r="AI173" s="21">
        <f t="shared" si="79"/>
        <v>0</v>
      </c>
      <c r="AJ173" s="21">
        <f t="shared" si="80"/>
        <v>671411.22243372095</v>
      </c>
      <c r="AK173" s="21">
        <f t="shared" si="81"/>
        <v>0</v>
      </c>
      <c r="AL173" s="21">
        <f t="shared" si="82"/>
        <v>314232.05207229417</v>
      </c>
      <c r="AM173" s="21">
        <f t="shared" si="83"/>
        <v>0</v>
      </c>
      <c r="AN173" s="21">
        <f t="shared" si="54"/>
        <v>985643.27</v>
      </c>
      <c r="AO173" s="21">
        <f t="shared" si="84"/>
        <v>0</v>
      </c>
      <c r="AP173" s="21">
        <f t="shared" si="85"/>
        <v>-1114368.1771552463</v>
      </c>
      <c r="AQ173" s="21">
        <f t="shared" si="55"/>
        <v>4773022.2132027335</v>
      </c>
      <c r="AR173" s="21">
        <f t="shared" si="56"/>
        <v>985325.27385809249</v>
      </c>
    </row>
    <row r="174" spans="1:44" x14ac:dyDescent="0.25">
      <c r="A174" s="51">
        <v>51</v>
      </c>
      <c r="B174" s="51">
        <f t="shared" si="43"/>
        <v>85</v>
      </c>
      <c r="C174" s="51">
        <f t="shared" si="44"/>
        <v>2077</v>
      </c>
      <c r="D174" s="52" t="b">
        <f t="shared" si="45"/>
        <v>1</v>
      </c>
      <c r="E174" s="50">
        <f t="shared" si="57"/>
        <v>1.0229999999999999</v>
      </c>
      <c r="F174" s="50">
        <f t="shared" si="58"/>
        <v>3.1173221513939593</v>
      </c>
      <c r="G174" s="50">
        <f t="shared" si="59"/>
        <v>1</v>
      </c>
      <c r="H174" s="21">
        <f t="shared" si="60"/>
        <v>0</v>
      </c>
      <c r="I174" s="21">
        <f t="shared" si="61"/>
        <v>-154912.20699137141</v>
      </c>
      <c r="J174" s="21">
        <f t="shared" si="62"/>
        <v>0</v>
      </c>
      <c r="K174" s="21">
        <f t="shared" si="63"/>
        <v>-1571</v>
      </c>
      <c r="L174" s="50">
        <f t="shared" si="64"/>
        <v>1</v>
      </c>
      <c r="M174" s="50">
        <f t="shared" si="65"/>
        <v>1</v>
      </c>
      <c r="N174" s="21">
        <f t="shared" si="66"/>
        <v>33767.925802582402</v>
      </c>
      <c r="O174" s="21">
        <f t="shared" si="67"/>
        <v>1127708.3193448607</v>
      </c>
      <c r="P174" s="21">
        <f t="shared" si="68"/>
        <v>1925819.238983274</v>
      </c>
      <c r="Q174" s="37">
        <f t="shared" si="69"/>
        <v>8</v>
      </c>
      <c r="R174" s="21">
        <f t="shared" si="70"/>
        <v>96000</v>
      </c>
      <c r="S174" s="21">
        <f t="shared" si="71"/>
        <v>1245449.0969167431</v>
      </c>
      <c r="T174" s="21">
        <f t="shared" si="72"/>
        <v>954553.3441006433</v>
      </c>
      <c r="U174" s="21">
        <f t="shared" si="73"/>
        <v>1199700.403217297</v>
      </c>
      <c r="V174" s="21">
        <f t="shared" si="74"/>
        <v>0</v>
      </c>
      <c r="W174" s="21">
        <f t="shared" si="46"/>
        <v>0</v>
      </c>
      <c r="X174" s="21">
        <f t="shared" si="47"/>
        <v>0</v>
      </c>
      <c r="Y174" s="21">
        <f t="shared" si="48"/>
        <v>63000</v>
      </c>
      <c r="Z174" s="21">
        <f t="shared" si="49"/>
        <v>58301.270655128661</v>
      </c>
      <c r="AA174" s="21">
        <f t="shared" si="75"/>
        <v>1861102.1785805835</v>
      </c>
      <c r="AB174" s="21">
        <f t="shared" si="76"/>
        <v>14955.111302733412</v>
      </c>
      <c r="AC174" s="21">
        <f t="shared" si="50"/>
        <v>1939057.289883317</v>
      </c>
      <c r="AD174" s="21">
        <f t="shared" si="51"/>
        <v>58301.270655128661</v>
      </c>
      <c r="AE174" s="21">
        <f t="shared" si="77"/>
        <v>0</v>
      </c>
      <c r="AF174" s="21">
        <f t="shared" si="78"/>
        <v>-919797.39021746092</v>
      </c>
      <c r="AG174" s="21">
        <f t="shared" si="52"/>
        <v>4106555.3837965727</v>
      </c>
      <c r="AH174" s="21">
        <f t="shared" si="53"/>
        <v>241678.85492998222</v>
      </c>
      <c r="AI174" s="21">
        <f t="shared" si="79"/>
        <v>0</v>
      </c>
      <c r="AJ174" s="21">
        <f t="shared" si="80"/>
        <v>699610.49377593724</v>
      </c>
      <c r="AK174" s="21">
        <f t="shared" si="81"/>
        <v>0</v>
      </c>
      <c r="AL174" s="21">
        <f t="shared" si="82"/>
        <v>327429.79825933056</v>
      </c>
      <c r="AM174" s="21">
        <f t="shared" si="83"/>
        <v>0</v>
      </c>
      <c r="AN174" s="21">
        <f t="shared" si="54"/>
        <v>1027040.29</v>
      </c>
      <c r="AO174" s="21">
        <f t="shared" si="84"/>
        <v>0</v>
      </c>
      <c r="AP174" s="21">
        <f t="shared" si="85"/>
        <v>-1223693.7952630415</v>
      </c>
      <c r="AQ174" s="21">
        <f t="shared" si="55"/>
        <v>4829699.2687509917</v>
      </c>
      <c r="AR174" s="21">
        <f t="shared" si="56"/>
        <v>964822.73988440167</v>
      </c>
    </row>
    <row r="175" spans="1:44" x14ac:dyDescent="0.25">
      <c r="A175" s="51">
        <v>52</v>
      </c>
      <c r="B175" s="51">
        <f t="shared" si="43"/>
        <v>86</v>
      </c>
      <c r="C175" s="51">
        <f t="shared" si="44"/>
        <v>2078</v>
      </c>
      <c r="D175" s="52" t="b">
        <f t="shared" si="45"/>
        <v>1</v>
      </c>
      <c r="E175" s="50">
        <f t="shared" si="57"/>
        <v>1.0229999999999999</v>
      </c>
      <c r="F175" s="50">
        <f t="shared" si="58"/>
        <v>3.18902056087602</v>
      </c>
      <c r="G175" s="50">
        <f t="shared" si="59"/>
        <v>1</v>
      </c>
      <c r="H175" s="21">
        <f t="shared" si="60"/>
        <v>0</v>
      </c>
      <c r="I175" s="21">
        <f t="shared" si="61"/>
        <v>-158475.18775217293</v>
      </c>
      <c r="J175" s="21">
        <f t="shared" si="62"/>
        <v>0</v>
      </c>
      <c r="K175" s="21">
        <f t="shared" si="63"/>
        <v>-1571</v>
      </c>
      <c r="L175" s="50">
        <f t="shared" si="64"/>
        <v>1</v>
      </c>
      <c r="M175" s="50">
        <f t="shared" si="65"/>
        <v>1</v>
      </c>
      <c r="N175" s="21">
        <f t="shared" si="66"/>
        <v>34173.140912213392</v>
      </c>
      <c r="O175" s="21">
        <f t="shared" si="67"/>
        <v>1176709.0507573448</v>
      </c>
      <c r="P175" s="21">
        <f t="shared" si="68"/>
        <v>1991297.0931087052</v>
      </c>
      <c r="Q175" s="37">
        <f t="shared" si="69"/>
        <v>8</v>
      </c>
      <c r="R175" s="21">
        <f t="shared" si="70"/>
        <v>96000</v>
      </c>
      <c r="S175" s="21">
        <f t="shared" si="71"/>
        <v>1276585.3243396615</v>
      </c>
      <c r="T175" s="21">
        <f t="shared" si="72"/>
        <v>992735.47786466905</v>
      </c>
      <c r="U175" s="21">
        <f t="shared" si="73"/>
        <v>1247688.4193459889</v>
      </c>
      <c r="V175" s="21">
        <f t="shared" si="74"/>
        <v>0</v>
      </c>
      <c r="W175" s="21">
        <f t="shared" si="46"/>
        <v>0</v>
      </c>
      <c r="X175" s="21">
        <f t="shared" si="47"/>
        <v>0</v>
      </c>
      <c r="Y175" s="21">
        <f t="shared" si="48"/>
        <v>63000</v>
      </c>
      <c r="Z175" s="21">
        <f t="shared" si="49"/>
        <v>58301.270655128661</v>
      </c>
      <c r="AA175" s="21">
        <f t="shared" si="75"/>
        <v>1935546.265723807</v>
      </c>
      <c r="AB175" s="21">
        <f t="shared" si="76"/>
        <v>-45080.005726491057</v>
      </c>
      <c r="AC175" s="21">
        <f t="shared" si="50"/>
        <v>1953466.2599973159</v>
      </c>
      <c r="AD175" s="21">
        <f t="shared" si="51"/>
        <v>58301.270655128661</v>
      </c>
      <c r="AE175" s="21">
        <f t="shared" si="77"/>
        <v>0</v>
      </c>
      <c r="AF175" s="21">
        <f t="shared" si="78"/>
        <v>-1030740.2812166798</v>
      </c>
      <c r="AG175" s="21">
        <f t="shared" si="52"/>
        <v>4124905.2635588991</v>
      </c>
      <c r="AH175" s="21">
        <f t="shared" si="53"/>
        <v>180141.91045287834</v>
      </c>
      <c r="AI175" s="21">
        <f t="shared" si="79"/>
        <v>0</v>
      </c>
      <c r="AJ175" s="21">
        <f t="shared" si="80"/>
        <v>728994.13451452658</v>
      </c>
      <c r="AK175" s="21">
        <f t="shared" si="81"/>
        <v>0</v>
      </c>
      <c r="AL175" s="21">
        <f t="shared" si="82"/>
        <v>341181.84978622245</v>
      </c>
      <c r="AM175" s="21">
        <f t="shared" si="83"/>
        <v>0</v>
      </c>
      <c r="AN175" s="21">
        <f t="shared" si="54"/>
        <v>1070175.98</v>
      </c>
      <c r="AO175" s="21">
        <f t="shared" si="84"/>
        <v>0</v>
      </c>
      <c r="AP175" s="21">
        <f t="shared" si="85"/>
        <v>-1337675.6503127161</v>
      </c>
      <c r="AQ175" s="21">
        <f t="shared" si="55"/>
        <v>4888145.8744628634</v>
      </c>
      <c r="AR175" s="21">
        <f t="shared" si="56"/>
        <v>943382.52135684201</v>
      </c>
    </row>
    <row r="176" spans="1:44" x14ac:dyDescent="0.25">
      <c r="A176" s="51">
        <v>53</v>
      </c>
      <c r="B176" s="51">
        <f t="shared" si="43"/>
        <v>87</v>
      </c>
      <c r="C176" s="51">
        <f t="shared" si="44"/>
        <v>2079</v>
      </c>
      <c r="D176" s="52" t="b">
        <f t="shared" si="45"/>
        <v>1</v>
      </c>
      <c r="E176" s="50">
        <f t="shared" si="57"/>
        <v>1.0229999999999999</v>
      </c>
      <c r="F176" s="50">
        <f t="shared" si="58"/>
        <v>3.262368033776168</v>
      </c>
      <c r="G176" s="50">
        <f t="shared" si="59"/>
        <v>1</v>
      </c>
      <c r="H176" s="21">
        <f t="shared" si="60"/>
        <v>0</v>
      </c>
      <c r="I176" s="21">
        <f t="shared" si="61"/>
        <v>-162120.11707047289</v>
      </c>
      <c r="J176" s="21">
        <f t="shared" si="62"/>
        <v>0</v>
      </c>
      <c r="K176" s="21">
        <f t="shared" si="63"/>
        <v>-1571</v>
      </c>
      <c r="L176" s="50">
        <f t="shared" si="64"/>
        <v>1</v>
      </c>
      <c r="M176" s="50">
        <f t="shared" si="65"/>
        <v>1</v>
      </c>
      <c r="N176" s="21">
        <f t="shared" si="66"/>
        <v>34583.218603159956</v>
      </c>
      <c r="O176" s="21">
        <f t="shared" si="67"/>
        <v>1227767.8128891534</v>
      </c>
      <c r="P176" s="21">
        <f t="shared" si="68"/>
        <v>2059001.1942744013</v>
      </c>
      <c r="Q176" s="37">
        <f t="shared" si="69"/>
        <v>8</v>
      </c>
      <c r="R176" s="21">
        <f t="shared" si="70"/>
        <v>96000</v>
      </c>
      <c r="S176" s="21">
        <f t="shared" si="71"/>
        <v>1308499.9574481528</v>
      </c>
      <c r="T176" s="21">
        <f t="shared" si="72"/>
        <v>1032444.8969792558</v>
      </c>
      <c r="U176" s="21">
        <f t="shared" si="73"/>
        <v>1297595.9561198284</v>
      </c>
      <c r="V176" s="21">
        <f t="shared" si="74"/>
        <v>0</v>
      </c>
      <c r="W176" s="21">
        <f t="shared" si="46"/>
        <v>0</v>
      </c>
      <c r="X176" s="21">
        <f t="shared" si="47"/>
        <v>0</v>
      </c>
      <c r="Y176" s="21">
        <f t="shared" si="48"/>
        <v>63000</v>
      </c>
      <c r="Z176" s="21">
        <f t="shared" si="49"/>
        <v>58301.270655128661</v>
      </c>
      <c r="AA176" s="21">
        <f t="shared" si="75"/>
        <v>2012968.1163527593</v>
      </c>
      <c r="AB176" s="21">
        <f t="shared" si="76"/>
        <v>-107516.5274368845</v>
      </c>
      <c r="AC176" s="21">
        <f t="shared" si="50"/>
        <v>1968451.5889158747</v>
      </c>
      <c r="AD176" s="21">
        <f t="shared" si="51"/>
        <v>58301.270655128661</v>
      </c>
      <c r="AE176" s="21">
        <f t="shared" si="77"/>
        <v>0</v>
      </c>
      <c r="AF176" s="21">
        <f t="shared" si="78"/>
        <v>-1146437.5304441908</v>
      </c>
      <c r="AG176" s="21">
        <f t="shared" si="52"/>
        <v>4143366.284238399</v>
      </c>
      <c r="AH176" s="21">
        <f t="shared" si="53"/>
        <v>115913.50104812253</v>
      </c>
      <c r="AI176" s="21">
        <f t="shared" si="79"/>
        <v>0</v>
      </c>
      <c r="AJ176" s="21">
        <f t="shared" si="80"/>
        <v>759611.88816413668</v>
      </c>
      <c r="AK176" s="21">
        <f t="shared" si="81"/>
        <v>0</v>
      </c>
      <c r="AL176" s="21">
        <f t="shared" si="82"/>
        <v>355511.48747724382</v>
      </c>
      <c r="AM176" s="21">
        <f t="shared" si="83"/>
        <v>0</v>
      </c>
      <c r="AN176" s="21">
        <f t="shared" si="54"/>
        <v>1115123.3799999999</v>
      </c>
      <c r="AO176" s="21">
        <f t="shared" si="84"/>
        <v>0</v>
      </c>
      <c r="AP176" s="21">
        <f t="shared" si="85"/>
        <v>-1456442.2532311876</v>
      </c>
      <c r="AQ176" s="21">
        <f t="shared" si="55"/>
        <v>4948484.9414514024</v>
      </c>
      <c r="AR176" s="21">
        <f t="shared" si="56"/>
        <v>921032.15826112567</v>
      </c>
    </row>
    <row r="177" spans="1:44" x14ac:dyDescent="0.25">
      <c r="A177" s="51">
        <v>54</v>
      </c>
      <c r="B177" s="51">
        <f t="shared" si="43"/>
        <v>88</v>
      </c>
      <c r="C177" s="51">
        <f t="shared" si="44"/>
        <v>2080</v>
      </c>
      <c r="D177" s="52" t="b">
        <f t="shared" si="45"/>
        <v>1</v>
      </c>
      <c r="E177" s="50">
        <f t="shared" si="57"/>
        <v>1.0229999999999999</v>
      </c>
      <c r="F177" s="50">
        <f t="shared" si="58"/>
        <v>3.3374024985530197</v>
      </c>
      <c r="G177" s="50">
        <f t="shared" si="59"/>
        <v>1</v>
      </c>
      <c r="H177" s="21">
        <f t="shared" si="60"/>
        <v>0</v>
      </c>
      <c r="I177" s="21">
        <f t="shared" si="61"/>
        <v>-165848.87976309378</v>
      </c>
      <c r="J177" s="21">
        <f t="shared" si="62"/>
        <v>0</v>
      </c>
      <c r="K177" s="21">
        <f t="shared" si="63"/>
        <v>-1571</v>
      </c>
      <c r="L177" s="50">
        <f t="shared" si="64"/>
        <v>1</v>
      </c>
      <c r="M177" s="50">
        <f t="shared" si="65"/>
        <v>1</v>
      </c>
      <c r="N177" s="21">
        <f t="shared" si="66"/>
        <v>34998.217226397879</v>
      </c>
      <c r="O177" s="21">
        <f t="shared" si="67"/>
        <v>1280971.0430304979</v>
      </c>
      <c r="P177" s="21">
        <f t="shared" si="68"/>
        <v>2129007.2348797312</v>
      </c>
      <c r="Q177" s="37">
        <f t="shared" si="69"/>
        <v>8</v>
      </c>
      <c r="R177" s="21">
        <f t="shared" si="70"/>
        <v>96000</v>
      </c>
      <c r="S177" s="21">
        <f t="shared" si="71"/>
        <v>1341212.4563843566</v>
      </c>
      <c r="T177" s="21">
        <f t="shared" si="72"/>
        <v>1073742.6928584261</v>
      </c>
      <c r="U177" s="21">
        <f t="shared" si="73"/>
        <v>1349499.7943646216</v>
      </c>
      <c r="V177" s="21">
        <f t="shared" si="74"/>
        <v>0</v>
      </c>
      <c r="W177" s="21">
        <f t="shared" si="46"/>
        <v>0</v>
      </c>
      <c r="X177" s="21">
        <f t="shared" si="47"/>
        <v>0</v>
      </c>
      <c r="Y177" s="21">
        <f t="shared" si="48"/>
        <v>63000</v>
      </c>
      <c r="Z177" s="21">
        <f t="shared" si="49"/>
        <v>58301.270655128661</v>
      </c>
      <c r="AA177" s="21">
        <f t="shared" si="75"/>
        <v>2093486.8410068697</v>
      </c>
      <c r="AB177" s="21">
        <f t="shared" si="76"/>
        <v>-172450.5100156937</v>
      </c>
      <c r="AC177" s="21">
        <f t="shared" si="50"/>
        <v>1984036.3309911757</v>
      </c>
      <c r="AD177" s="21">
        <f t="shared" si="51"/>
        <v>58301.270655128661</v>
      </c>
      <c r="AE177" s="21">
        <f t="shared" si="77"/>
        <v>0</v>
      </c>
      <c r="AF177" s="21">
        <f t="shared" si="78"/>
        <v>-1267020.5148565979</v>
      </c>
      <c r="AG177" s="21">
        <f t="shared" si="52"/>
        <v>4161992.3112712051</v>
      </c>
      <c r="AH177" s="21">
        <f t="shared" si="53"/>
        <v>48948.745400297921</v>
      </c>
      <c r="AI177" s="21">
        <f t="shared" si="79"/>
        <v>0</v>
      </c>
      <c r="AJ177" s="21">
        <f t="shared" si="80"/>
        <v>791515.58746703039</v>
      </c>
      <c r="AK177" s="21">
        <f t="shared" si="81"/>
        <v>0</v>
      </c>
      <c r="AL177" s="21">
        <f t="shared" si="82"/>
        <v>370442.96995128808</v>
      </c>
      <c r="AM177" s="21">
        <f t="shared" si="83"/>
        <v>0</v>
      </c>
      <c r="AN177" s="21">
        <f t="shared" si="54"/>
        <v>1161958.56</v>
      </c>
      <c r="AO177" s="21">
        <f t="shared" si="84"/>
        <v>0</v>
      </c>
      <c r="AP177" s="21">
        <f t="shared" si="85"/>
        <v>-1580125.2848714646</v>
      </c>
      <c r="AQ177" s="21">
        <f t="shared" si="55"/>
        <v>5010846.1012563389</v>
      </c>
      <c r="AR177" s="21">
        <f t="shared" si="56"/>
        <v>897802.53538543126</v>
      </c>
    </row>
    <row r="178" spans="1:44" x14ac:dyDescent="0.25">
      <c r="A178" s="51">
        <v>55</v>
      </c>
      <c r="B178" s="51">
        <f t="shared" si="43"/>
        <v>89</v>
      </c>
      <c r="C178" s="51">
        <f t="shared" si="44"/>
        <v>2081</v>
      </c>
      <c r="D178" s="52" t="b">
        <f t="shared" si="45"/>
        <v>1</v>
      </c>
      <c r="E178" s="50">
        <f t="shared" si="57"/>
        <v>1.0229999999999999</v>
      </c>
      <c r="F178" s="50">
        <f t="shared" si="58"/>
        <v>3.414162756019739</v>
      </c>
      <c r="G178" s="50">
        <f t="shared" si="59"/>
        <v>1</v>
      </c>
      <c r="H178" s="21">
        <f t="shared" si="60"/>
        <v>0</v>
      </c>
      <c r="I178" s="21">
        <f t="shared" si="61"/>
        <v>-169663.4039976449</v>
      </c>
      <c r="J178" s="21">
        <f t="shared" si="62"/>
        <v>0</v>
      </c>
      <c r="K178" s="21">
        <f t="shared" si="63"/>
        <v>-1571</v>
      </c>
      <c r="L178" s="50">
        <f t="shared" si="64"/>
        <v>1</v>
      </c>
      <c r="M178" s="50">
        <f t="shared" si="65"/>
        <v>1</v>
      </c>
      <c r="N178" s="21">
        <f t="shared" si="66"/>
        <v>35418.195833114652</v>
      </c>
      <c r="O178" s="21">
        <f t="shared" si="67"/>
        <v>1336408.8088377789</v>
      </c>
      <c r="P178" s="21">
        <f t="shared" si="68"/>
        <v>2201393.480865642</v>
      </c>
      <c r="Q178" s="37">
        <f t="shared" si="69"/>
        <v>8</v>
      </c>
      <c r="R178" s="21">
        <f t="shared" si="70"/>
        <v>96000</v>
      </c>
      <c r="S178" s="21">
        <f t="shared" si="71"/>
        <v>1374742.7677939653</v>
      </c>
      <c r="T178" s="21">
        <f t="shared" si="72"/>
        <v>1116692.4005727633</v>
      </c>
      <c r="U178" s="21">
        <f t="shared" si="73"/>
        <v>1403479.7861392065</v>
      </c>
      <c r="V178" s="21">
        <f t="shared" si="74"/>
        <v>0</v>
      </c>
      <c r="W178" s="21">
        <f t="shared" si="46"/>
        <v>0</v>
      </c>
      <c r="X178" s="21">
        <f t="shared" si="47"/>
        <v>0</v>
      </c>
      <c r="Y178" s="21">
        <f t="shared" si="48"/>
        <v>63000</v>
      </c>
      <c r="Z178" s="21">
        <f t="shared" si="49"/>
        <v>58301.270655128661</v>
      </c>
      <c r="AA178" s="21">
        <f t="shared" si="75"/>
        <v>2177226.3146471446</v>
      </c>
      <c r="AB178" s="21">
        <f t="shared" si="76"/>
        <v>-239981.85189765526</v>
      </c>
      <c r="AC178" s="21">
        <f t="shared" si="50"/>
        <v>2000244.4627494894</v>
      </c>
      <c r="AD178" s="21">
        <f t="shared" si="51"/>
        <v>58301.270655128661</v>
      </c>
      <c r="AE178" s="21">
        <f t="shared" si="77"/>
        <v>0</v>
      </c>
      <c r="AF178" s="21">
        <f t="shared" si="78"/>
        <v>-1392623.8533476801</v>
      </c>
      <c r="AG178" s="21">
        <f t="shared" si="52"/>
        <v>4180841.0949383448</v>
      </c>
      <c r="AH178" s="21">
        <f t="shared" si="53"/>
        <v>-20796.848676786525</v>
      </c>
      <c r="AI178" s="21">
        <f t="shared" si="79"/>
        <v>0</v>
      </c>
      <c r="AJ178" s="21">
        <f t="shared" si="80"/>
        <v>824759.24214064574</v>
      </c>
      <c r="AK178" s="21">
        <f t="shared" si="81"/>
        <v>0</v>
      </c>
      <c r="AL178" s="21">
        <f t="shared" si="82"/>
        <v>386001.57468924217</v>
      </c>
      <c r="AM178" s="21">
        <f t="shared" si="83"/>
        <v>0</v>
      </c>
      <c r="AN178" s="21">
        <f t="shared" si="54"/>
        <v>1210760.81</v>
      </c>
      <c r="AO178" s="21">
        <f t="shared" si="84"/>
        <v>0</v>
      </c>
      <c r="AP178" s="21">
        <f t="shared" si="85"/>
        <v>-1708859.6710626953</v>
      </c>
      <c r="AQ178" s="21">
        <f t="shared" si="55"/>
        <v>5075366.0872233296</v>
      </c>
      <c r="AR178" s="21">
        <f t="shared" si="56"/>
        <v>873728.14360819827</v>
      </c>
    </row>
    <row r="179" spans="1:44" x14ac:dyDescent="0.25">
      <c r="A179" s="51">
        <v>56</v>
      </c>
      <c r="B179" s="51">
        <f t="shared" si="43"/>
        <v>90</v>
      </c>
      <c r="C179" s="51">
        <f t="shared" si="44"/>
        <v>2082</v>
      </c>
      <c r="D179" s="52" t="b">
        <f t="shared" si="45"/>
        <v>1</v>
      </c>
      <c r="E179" s="50">
        <f t="shared" si="57"/>
        <v>1.0229999999999999</v>
      </c>
      <c r="F179" s="50">
        <f t="shared" si="58"/>
        <v>3.4926884994081928</v>
      </c>
      <c r="G179" s="50">
        <f t="shared" si="59"/>
        <v>1</v>
      </c>
      <c r="H179" s="21">
        <f t="shared" si="60"/>
        <v>0</v>
      </c>
      <c r="I179" s="21">
        <f t="shared" si="61"/>
        <v>-173565.66228959072</v>
      </c>
      <c r="J179" s="21">
        <f t="shared" si="62"/>
        <v>0</v>
      </c>
      <c r="K179" s="21">
        <f t="shared" si="63"/>
        <v>-1571</v>
      </c>
      <c r="L179" s="50">
        <f t="shared" si="64"/>
        <v>1</v>
      </c>
      <c r="M179" s="50">
        <f t="shared" si="65"/>
        <v>1</v>
      </c>
      <c r="N179" s="21">
        <f t="shared" si="66"/>
        <v>35843.214183112032</v>
      </c>
      <c r="O179" s="21">
        <f t="shared" si="67"/>
        <v>1394174.9608089656</v>
      </c>
      <c r="P179" s="21">
        <f t="shared" si="68"/>
        <v>2276240.8592150738</v>
      </c>
      <c r="Q179" s="37">
        <f t="shared" si="69"/>
        <v>8</v>
      </c>
      <c r="R179" s="21">
        <f t="shared" si="70"/>
        <v>96000</v>
      </c>
      <c r="S179" s="21">
        <f t="shared" si="71"/>
        <v>1409111.3369888144</v>
      </c>
      <c r="T179" s="21">
        <f t="shared" si="72"/>
        <v>1161360.0965956738</v>
      </c>
      <c r="U179" s="21">
        <f t="shared" si="73"/>
        <v>1459618.9775847748</v>
      </c>
      <c r="V179" s="21">
        <f t="shared" si="74"/>
        <v>0</v>
      </c>
      <c r="W179" s="21">
        <f t="shared" si="46"/>
        <v>0</v>
      </c>
      <c r="X179" s="21">
        <f t="shared" si="47"/>
        <v>0</v>
      </c>
      <c r="Y179" s="21">
        <f t="shared" si="48"/>
        <v>63000</v>
      </c>
      <c r="Z179" s="21">
        <f t="shared" si="49"/>
        <v>58301.270655128661</v>
      </c>
      <c r="AA179" s="21">
        <f t="shared" si="75"/>
        <v>2264315.3672330305</v>
      </c>
      <c r="AB179" s="21">
        <f t="shared" si="76"/>
        <v>-310214.4474548953</v>
      </c>
      <c r="AC179" s="21">
        <f t="shared" si="50"/>
        <v>2017100.9197781351</v>
      </c>
      <c r="AD179" s="21">
        <f t="shared" si="51"/>
        <v>58301.270655128661</v>
      </c>
      <c r="AE179" s="21">
        <f t="shared" si="77"/>
        <v>0</v>
      </c>
      <c r="AF179" s="21">
        <f t="shared" si="78"/>
        <v>-1523385.4835156191</v>
      </c>
      <c r="AG179" s="21">
        <f t="shared" si="52"/>
        <v>4199974.4704696676</v>
      </c>
      <c r="AH179" s="21">
        <f t="shared" si="53"/>
        <v>-93367.308523541316</v>
      </c>
      <c r="AI179" s="21">
        <f t="shared" si="79"/>
        <v>0</v>
      </c>
      <c r="AJ179" s="21">
        <f t="shared" si="80"/>
        <v>859399.13031055289</v>
      </c>
      <c r="AK179" s="21">
        <f t="shared" si="81"/>
        <v>0</v>
      </c>
      <c r="AL179" s="21">
        <f t="shared" si="82"/>
        <v>402213.64082619036</v>
      </c>
      <c r="AM179" s="21">
        <f t="shared" si="83"/>
        <v>0</v>
      </c>
      <c r="AN179" s="21">
        <f t="shared" si="54"/>
        <v>1261612.77</v>
      </c>
      <c r="AO179" s="21">
        <f t="shared" si="84"/>
        <v>0</v>
      </c>
      <c r="AP179" s="21">
        <f t="shared" si="85"/>
        <v>-1842783.6594077845</v>
      </c>
      <c r="AQ179" s="21">
        <f t="shared" si="55"/>
        <v>5142189.0645775031</v>
      </c>
      <c r="AR179" s="21">
        <f t="shared" si="56"/>
        <v>848847.28558429331</v>
      </c>
    </row>
    <row r="180" spans="1:44" x14ac:dyDescent="0.25">
      <c r="A180" s="51">
        <v>57</v>
      </c>
      <c r="B180" s="51">
        <f t="shared" si="43"/>
        <v>91</v>
      </c>
      <c r="C180" s="51">
        <f t="shared" si="44"/>
        <v>2083</v>
      </c>
      <c r="D180" s="52" t="b">
        <f t="shared" si="45"/>
        <v>1</v>
      </c>
      <c r="E180" s="50">
        <f t="shared" si="57"/>
        <v>1.0229999999999999</v>
      </c>
      <c r="F180" s="50">
        <f t="shared" si="58"/>
        <v>3.573020334894581</v>
      </c>
      <c r="G180" s="50">
        <f t="shared" si="59"/>
        <v>1</v>
      </c>
      <c r="H180" s="21">
        <f t="shared" si="60"/>
        <v>0</v>
      </c>
      <c r="I180" s="21">
        <f t="shared" si="61"/>
        <v>-177557.67252225132</v>
      </c>
      <c r="J180" s="21">
        <f t="shared" si="62"/>
        <v>0</v>
      </c>
      <c r="K180" s="21">
        <f t="shared" si="63"/>
        <v>-1571</v>
      </c>
      <c r="L180" s="50">
        <f t="shared" si="64"/>
        <v>1</v>
      </c>
      <c r="M180" s="50">
        <f t="shared" si="65"/>
        <v>1</v>
      </c>
      <c r="N180" s="21">
        <f t="shared" si="66"/>
        <v>36273.332753309376</v>
      </c>
      <c r="O180" s="21">
        <f t="shared" si="67"/>
        <v>1454367.2911629423</v>
      </c>
      <c r="P180" s="21">
        <f t="shared" si="68"/>
        <v>2353633.0484283864</v>
      </c>
      <c r="Q180" s="37">
        <f t="shared" si="69"/>
        <v>8</v>
      </c>
      <c r="R180" s="21">
        <f t="shared" si="70"/>
        <v>96000</v>
      </c>
      <c r="S180" s="21">
        <f t="shared" si="71"/>
        <v>1444339.1204135346</v>
      </c>
      <c r="T180" s="21">
        <f t="shared" si="72"/>
        <v>1207814.5004595008</v>
      </c>
      <c r="U180" s="21">
        <f t="shared" si="73"/>
        <v>1518003.7366881659</v>
      </c>
      <c r="V180" s="21">
        <f t="shared" si="74"/>
        <v>0</v>
      </c>
      <c r="W180" s="21">
        <f t="shared" si="46"/>
        <v>0</v>
      </c>
      <c r="X180" s="21">
        <f t="shared" si="47"/>
        <v>0</v>
      </c>
      <c r="Y180" s="21">
        <f t="shared" si="48"/>
        <v>63000</v>
      </c>
      <c r="Z180" s="21">
        <f t="shared" si="49"/>
        <v>58301.270655128661</v>
      </c>
      <c r="AA180" s="21">
        <f t="shared" si="75"/>
        <v>2354887.9819223518</v>
      </c>
      <c r="AB180" s="21">
        <f t="shared" si="76"/>
        <v>-383256.34683442488</v>
      </c>
      <c r="AC180" s="21">
        <f t="shared" si="50"/>
        <v>2034631.6350879269</v>
      </c>
      <c r="AD180" s="21">
        <f t="shared" si="51"/>
        <v>58301.270655128661</v>
      </c>
      <c r="AE180" s="21">
        <f t="shared" si="77"/>
        <v>0</v>
      </c>
      <c r="AF180" s="21">
        <f t="shared" si="78"/>
        <v>-1659446.7402178978</v>
      </c>
      <c r="AG180" s="21">
        <f t="shared" si="52"/>
        <v>4219458.5672146669</v>
      </c>
      <c r="AH180" s="21">
        <f t="shared" si="53"/>
        <v>-168806.11630164622</v>
      </c>
      <c r="AI180" s="21">
        <f t="shared" si="79"/>
        <v>0</v>
      </c>
      <c r="AJ180" s="21">
        <f t="shared" si="80"/>
        <v>895493.89378359611</v>
      </c>
      <c r="AK180" s="21">
        <f t="shared" si="81"/>
        <v>0</v>
      </c>
      <c r="AL180" s="21">
        <f t="shared" si="82"/>
        <v>419106.61374089035</v>
      </c>
      <c r="AM180" s="21">
        <f t="shared" si="83"/>
        <v>0</v>
      </c>
      <c r="AN180" s="21">
        <f t="shared" si="54"/>
        <v>1314600.5</v>
      </c>
      <c r="AO180" s="21">
        <f t="shared" si="84"/>
        <v>0</v>
      </c>
      <c r="AP180" s="21">
        <f t="shared" si="85"/>
        <v>-1982038.8978689848</v>
      </c>
      <c r="AQ180" s="21">
        <f t="shared" si="55"/>
        <v>5211466.9095635805</v>
      </c>
      <c r="AR180" s="21">
        <f t="shared" si="56"/>
        <v>823202.22604726674</v>
      </c>
    </row>
    <row r="181" spans="1:44" x14ac:dyDescent="0.25">
      <c r="A181" s="51">
        <v>58</v>
      </c>
      <c r="B181" s="51">
        <f t="shared" si="43"/>
        <v>92</v>
      </c>
      <c r="C181" s="51">
        <f t="shared" si="44"/>
        <v>2084</v>
      </c>
      <c r="D181" s="52" t="b">
        <f t="shared" si="45"/>
        <v>1</v>
      </c>
      <c r="E181" s="50">
        <f t="shared" si="57"/>
        <v>1.0229999999999999</v>
      </c>
      <c r="F181" s="50">
        <f t="shared" si="58"/>
        <v>3.6551998025971559</v>
      </c>
      <c r="G181" s="50">
        <f t="shared" si="59"/>
        <v>1</v>
      </c>
      <c r="H181" s="21">
        <f t="shared" si="60"/>
        <v>0</v>
      </c>
      <c r="I181" s="21">
        <f t="shared" si="61"/>
        <v>-181641.49899026306</v>
      </c>
      <c r="J181" s="21">
        <f t="shared" si="62"/>
        <v>0</v>
      </c>
      <c r="K181" s="21">
        <f t="shared" si="63"/>
        <v>-1571</v>
      </c>
      <c r="L181" s="50">
        <f t="shared" si="64"/>
        <v>1</v>
      </c>
      <c r="M181" s="50">
        <f t="shared" si="65"/>
        <v>1</v>
      </c>
      <c r="N181" s="21">
        <f t="shared" si="66"/>
        <v>36708.612746349092</v>
      </c>
      <c r="O181" s="21">
        <f t="shared" si="67"/>
        <v>1517087.699391786</v>
      </c>
      <c r="P181" s="21">
        <f t="shared" si="68"/>
        <v>2433656.5720749516</v>
      </c>
      <c r="Q181" s="37">
        <f t="shared" si="69"/>
        <v>8</v>
      </c>
      <c r="R181" s="21">
        <f t="shared" si="70"/>
        <v>96000</v>
      </c>
      <c r="S181" s="21">
        <f t="shared" si="71"/>
        <v>1480447.5984238728</v>
      </c>
      <c r="T181" s="21">
        <f t="shared" si="72"/>
        <v>1256127.080477881</v>
      </c>
      <c r="U181" s="21">
        <f t="shared" si="73"/>
        <v>1578723.8861556926</v>
      </c>
      <c r="V181" s="21">
        <f t="shared" si="74"/>
        <v>0</v>
      </c>
      <c r="W181" s="21">
        <f t="shared" si="46"/>
        <v>0</v>
      </c>
      <c r="X181" s="21">
        <f t="shared" si="47"/>
        <v>0</v>
      </c>
      <c r="Y181" s="21">
        <f t="shared" si="48"/>
        <v>63000</v>
      </c>
      <c r="Z181" s="21">
        <f t="shared" si="49"/>
        <v>58301.270655128661</v>
      </c>
      <c r="AA181" s="21">
        <f t="shared" si="75"/>
        <v>2449083.5011992459</v>
      </c>
      <c r="AB181" s="21">
        <f t="shared" si="76"/>
        <v>-459219.92218913569</v>
      </c>
      <c r="AC181" s="21">
        <f t="shared" si="50"/>
        <v>2052863.5790101103</v>
      </c>
      <c r="AD181" s="21">
        <f t="shared" si="51"/>
        <v>58301.270655128661</v>
      </c>
      <c r="AE181" s="21">
        <f t="shared" si="77"/>
        <v>0</v>
      </c>
      <c r="AF181" s="21">
        <f t="shared" si="78"/>
        <v>-1800952.4359552113</v>
      </c>
      <c r="AG181" s="21">
        <f t="shared" si="52"/>
        <v>4239364.027267985</v>
      </c>
      <c r="AH181" s="21">
        <f t="shared" si="53"/>
        <v>-247156.12381707621</v>
      </c>
      <c r="AI181" s="21">
        <f t="shared" si="79"/>
        <v>0</v>
      </c>
      <c r="AJ181" s="21">
        <f t="shared" si="80"/>
        <v>933104.63732250722</v>
      </c>
      <c r="AK181" s="21">
        <f t="shared" si="81"/>
        <v>0</v>
      </c>
      <c r="AL181" s="21">
        <f t="shared" si="82"/>
        <v>436709.09151800774</v>
      </c>
      <c r="AM181" s="21">
        <f t="shared" si="83"/>
        <v>0</v>
      </c>
      <c r="AN181" s="21">
        <f t="shared" si="54"/>
        <v>1369813.73</v>
      </c>
      <c r="AO181" s="21">
        <f t="shared" si="84"/>
        <v>0</v>
      </c>
      <c r="AP181" s="21">
        <f t="shared" si="85"/>
        <v>-2126770.515182809</v>
      </c>
      <c r="AQ181" s="21">
        <f t="shared" si="55"/>
        <v>5283359.6780403871</v>
      </c>
      <c r="AR181" s="21">
        <f t="shared" si="56"/>
        <v>796839.52695532609</v>
      </c>
    </row>
    <row r="182" spans="1:44" x14ac:dyDescent="0.25">
      <c r="A182" s="51">
        <v>59</v>
      </c>
      <c r="B182" s="51">
        <f t="shared" si="43"/>
        <v>93</v>
      </c>
      <c r="C182" s="51">
        <f t="shared" si="44"/>
        <v>2085</v>
      </c>
      <c r="D182" s="52" t="b">
        <f t="shared" si="45"/>
        <v>1</v>
      </c>
      <c r="E182" s="50">
        <f t="shared" si="57"/>
        <v>1.0229999999999999</v>
      </c>
      <c r="F182" s="50">
        <f t="shared" si="58"/>
        <v>3.7392693980568903</v>
      </c>
      <c r="G182" s="50">
        <f t="shared" si="59"/>
        <v>1</v>
      </c>
      <c r="H182" s="21">
        <f t="shared" si="60"/>
        <v>0</v>
      </c>
      <c r="I182" s="21">
        <f t="shared" si="61"/>
        <v>-185819.25346703912</v>
      </c>
      <c r="J182" s="21">
        <f t="shared" si="62"/>
        <v>0</v>
      </c>
      <c r="K182" s="21">
        <f t="shared" si="63"/>
        <v>-1571</v>
      </c>
      <c r="L182" s="50">
        <f t="shared" si="64"/>
        <v>1</v>
      </c>
      <c r="M182" s="50">
        <f t="shared" si="65"/>
        <v>1</v>
      </c>
      <c r="N182" s="21">
        <f t="shared" si="66"/>
        <v>37149.116099305284</v>
      </c>
      <c r="O182" s="21">
        <f t="shared" si="67"/>
        <v>1582442.3647662411</v>
      </c>
      <c r="P182" s="21">
        <f t="shared" si="68"/>
        <v>2516400.8955255002</v>
      </c>
      <c r="Q182" s="37">
        <f t="shared" si="69"/>
        <v>8</v>
      </c>
      <c r="R182" s="21">
        <f t="shared" si="70"/>
        <v>96000</v>
      </c>
      <c r="S182" s="21">
        <f t="shared" si="71"/>
        <v>1517458.7883844695</v>
      </c>
      <c r="T182" s="21">
        <f t="shared" si="72"/>
        <v>1306372.1636969964</v>
      </c>
      <c r="U182" s="21">
        <f t="shared" si="73"/>
        <v>1641872.8416019203</v>
      </c>
      <c r="V182" s="21">
        <f t="shared" si="74"/>
        <v>0</v>
      </c>
      <c r="W182" s="21">
        <f t="shared" si="46"/>
        <v>0</v>
      </c>
      <c r="X182" s="21">
        <f t="shared" si="47"/>
        <v>0</v>
      </c>
      <c r="Y182" s="21">
        <f t="shared" si="48"/>
        <v>63000</v>
      </c>
      <c r="Z182" s="21">
        <f t="shared" si="49"/>
        <v>58301.270655128661</v>
      </c>
      <c r="AA182" s="21">
        <f t="shared" si="75"/>
        <v>2547046.8412472159</v>
      </c>
      <c r="AB182" s="21">
        <f t="shared" si="76"/>
        <v>-538222.0405580349</v>
      </c>
      <c r="AC182" s="21">
        <f t="shared" si="50"/>
        <v>2071824.8006891808</v>
      </c>
      <c r="AD182" s="21">
        <f t="shared" si="51"/>
        <v>58301.270655128661</v>
      </c>
      <c r="AE182" s="21">
        <f t="shared" si="77"/>
        <v>0</v>
      </c>
      <c r="AF182" s="21">
        <f t="shared" si="78"/>
        <v>-1948050.943126674</v>
      </c>
      <c r="AG182" s="21">
        <f t="shared" si="52"/>
        <v>4259766.2339535533</v>
      </c>
      <c r="AH182" s="21">
        <f t="shared" si="53"/>
        <v>-328459.46226112777</v>
      </c>
      <c r="AI182" s="21">
        <f t="shared" si="79"/>
        <v>0</v>
      </c>
      <c r="AJ182" s="21">
        <f t="shared" si="80"/>
        <v>972295.0320900525</v>
      </c>
      <c r="AK182" s="21">
        <f t="shared" si="81"/>
        <v>0</v>
      </c>
      <c r="AL182" s="21">
        <f t="shared" si="82"/>
        <v>455050.87336176407</v>
      </c>
      <c r="AM182" s="21">
        <f t="shared" si="83"/>
        <v>0</v>
      </c>
      <c r="AN182" s="21">
        <f t="shared" si="54"/>
        <v>1427345.9</v>
      </c>
      <c r="AO182" s="21">
        <f t="shared" si="84"/>
        <v>0</v>
      </c>
      <c r="AP182" s="21">
        <f t="shared" si="85"/>
        <v>-2277127.2031465475</v>
      </c>
      <c r="AQ182" s="21">
        <f t="shared" si="55"/>
        <v>5358035.8739336794</v>
      </c>
      <c r="AR182" s="21">
        <f t="shared" si="56"/>
        <v>769810.17771899863</v>
      </c>
    </row>
    <row r="183" spans="1:44" x14ac:dyDescent="0.25">
      <c r="A183" s="51">
        <v>60</v>
      </c>
      <c r="B183" s="51">
        <f t="shared" si="43"/>
        <v>94</v>
      </c>
      <c r="C183" s="51">
        <f t="shared" si="44"/>
        <v>2086</v>
      </c>
      <c r="D183" s="52" t="b">
        <f t="shared" si="45"/>
        <v>1</v>
      </c>
      <c r="E183" s="50">
        <f t="shared" si="57"/>
        <v>1.0229999999999999</v>
      </c>
      <c r="F183" s="50">
        <f t="shared" si="58"/>
        <v>3.8252725942121986</v>
      </c>
      <c r="G183" s="50">
        <f t="shared" si="59"/>
        <v>1</v>
      </c>
      <c r="H183" s="21">
        <f t="shared" si="60"/>
        <v>0</v>
      </c>
      <c r="I183" s="21">
        <f t="shared" si="61"/>
        <v>-190093.096296781</v>
      </c>
      <c r="J183" s="21">
        <f t="shared" si="62"/>
        <v>0</v>
      </c>
      <c r="K183" s="21">
        <f t="shared" si="63"/>
        <v>-1571</v>
      </c>
      <c r="L183" s="50">
        <f t="shared" si="64"/>
        <v>1</v>
      </c>
      <c r="M183" s="50">
        <f t="shared" si="65"/>
        <v>1</v>
      </c>
      <c r="N183" s="21">
        <f t="shared" si="66"/>
        <v>37594.905492496946</v>
      </c>
      <c r="O183" s="21">
        <f t="shared" si="67"/>
        <v>1650541.9260864232</v>
      </c>
      <c r="P183" s="21">
        <f t="shared" si="68"/>
        <v>2601958.525973367</v>
      </c>
      <c r="Q183" s="37">
        <f t="shared" si="69"/>
        <v>8</v>
      </c>
      <c r="R183" s="21">
        <f t="shared" si="70"/>
        <v>96000</v>
      </c>
      <c r="S183" s="21">
        <f t="shared" si="71"/>
        <v>1555395.258094081</v>
      </c>
      <c r="T183" s="21">
        <f t="shared" si="72"/>
        <v>1358627.0502448764</v>
      </c>
      <c r="U183" s="21">
        <f t="shared" si="73"/>
        <v>1707547.7552659973</v>
      </c>
      <c r="V183" s="21">
        <f t="shared" si="74"/>
        <v>0</v>
      </c>
      <c r="W183" s="21">
        <f t="shared" si="46"/>
        <v>0</v>
      </c>
      <c r="X183" s="21">
        <f t="shared" si="47"/>
        <v>0</v>
      </c>
      <c r="Y183" s="21">
        <f t="shared" si="48"/>
        <v>63000</v>
      </c>
      <c r="Z183" s="21">
        <f t="shared" si="49"/>
        <v>58301.270655128661</v>
      </c>
      <c r="AA183" s="21">
        <f t="shared" si="75"/>
        <v>2648928.7148971045</v>
      </c>
      <c r="AB183" s="21">
        <f t="shared" si="76"/>
        <v>-620384.24366169015</v>
      </c>
      <c r="AC183" s="21">
        <f t="shared" si="50"/>
        <v>2091544.4712354145</v>
      </c>
      <c r="AD183" s="21">
        <f t="shared" si="51"/>
        <v>58301.270655128661</v>
      </c>
      <c r="AE183" s="21">
        <f t="shared" si="77"/>
        <v>0</v>
      </c>
      <c r="AF183" s="21">
        <f t="shared" si="78"/>
        <v>-2100894.2781995931</v>
      </c>
      <c r="AG183" s="21">
        <f t="shared" si="52"/>
        <v>4280745.5505881086</v>
      </c>
      <c r="AH183" s="21">
        <f t="shared" si="53"/>
        <v>-412757.44662067294</v>
      </c>
      <c r="AI183" s="21">
        <f t="shared" si="79"/>
        <v>0</v>
      </c>
      <c r="AJ183" s="21">
        <f t="shared" si="80"/>
        <v>1013131.4234378347</v>
      </c>
      <c r="AK183" s="21">
        <f t="shared" si="81"/>
        <v>0</v>
      </c>
      <c r="AL183" s="21">
        <f t="shared" si="82"/>
        <v>474163.01004295819</v>
      </c>
      <c r="AM183" s="21">
        <f t="shared" si="83"/>
        <v>0</v>
      </c>
      <c r="AN183" s="21">
        <f t="shared" si="54"/>
        <v>1487294.4300000002</v>
      </c>
      <c r="AO183" s="21">
        <f t="shared" si="84"/>
        <v>0</v>
      </c>
      <c r="AP183" s="21">
        <f t="shared" si="85"/>
        <v>-2433261.3008196657</v>
      </c>
      <c r="AQ183" s="21">
        <f t="shared" si="55"/>
        <v>5435672.9579680357</v>
      </c>
      <c r="AR183" s="21">
        <f t="shared" si="56"/>
        <v>742169.96075925464</v>
      </c>
    </row>
    <row r="184" spans="1:44" x14ac:dyDescent="0.25">
      <c r="A184" s="51">
        <v>61</v>
      </c>
      <c r="B184" s="51">
        <f t="shared" si="43"/>
        <v>95</v>
      </c>
      <c r="C184" s="51">
        <f t="shared" si="44"/>
        <v>2087</v>
      </c>
      <c r="D184" s="52" t="b">
        <f t="shared" si="45"/>
        <v>1</v>
      </c>
      <c r="E184" s="50">
        <f t="shared" si="57"/>
        <v>1.0229999999999999</v>
      </c>
      <c r="F184" s="50">
        <f t="shared" si="58"/>
        <v>3.9132538638790786</v>
      </c>
      <c r="G184" s="50">
        <f t="shared" si="59"/>
        <v>1</v>
      </c>
      <c r="H184" s="21">
        <f t="shared" si="60"/>
        <v>0</v>
      </c>
      <c r="I184" s="21">
        <f t="shared" si="61"/>
        <v>-194465.23751160695</v>
      </c>
      <c r="J184" s="21">
        <f t="shared" si="62"/>
        <v>0</v>
      </c>
      <c r="K184" s="21">
        <f t="shared" si="63"/>
        <v>-1571</v>
      </c>
      <c r="L184" s="50">
        <f t="shared" si="64"/>
        <v>1</v>
      </c>
      <c r="M184" s="50">
        <f t="shared" si="65"/>
        <v>1</v>
      </c>
      <c r="N184" s="21">
        <f t="shared" si="66"/>
        <v>38046.044358406907</v>
      </c>
      <c r="O184" s="21">
        <f t="shared" si="67"/>
        <v>1721501.6689820529</v>
      </c>
      <c r="P184" s="21">
        <f t="shared" si="68"/>
        <v>2690425.1158564617</v>
      </c>
      <c r="Q184" s="37">
        <f t="shared" si="69"/>
        <v>8</v>
      </c>
      <c r="R184" s="21">
        <f t="shared" si="70"/>
        <v>96000</v>
      </c>
      <c r="S184" s="21">
        <f t="shared" si="71"/>
        <v>1594280.1395464328</v>
      </c>
      <c r="T184" s="21">
        <f t="shared" si="72"/>
        <v>1412972.1322546715</v>
      </c>
      <c r="U184" s="21">
        <f t="shared" si="73"/>
        <v>1775849.6654766372</v>
      </c>
      <c r="V184" s="21">
        <f t="shared" si="74"/>
        <v>0</v>
      </c>
      <c r="W184" s="21">
        <f t="shared" si="46"/>
        <v>0</v>
      </c>
      <c r="X184" s="21">
        <f t="shared" si="47"/>
        <v>0</v>
      </c>
      <c r="Y184" s="21">
        <f t="shared" si="48"/>
        <v>63000</v>
      </c>
      <c r="Z184" s="21">
        <f t="shared" si="49"/>
        <v>58301.270655128661</v>
      </c>
      <c r="AA184" s="21">
        <f t="shared" si="75"/>
        <v>2754885.863492989</v>
      </c>
      <c r="AB184" s="21">
        <f t="shared" si="76"/>
        <v>-705832.93488949153</v>
      </c>
      <c r="AC184" s="21">
        <f t="shared" si="50"/>
        <v>2112052.9286034973</v>
      </c>
      <c r="AD184" s="21">
        <f t="shared" si="51"/>
        <v>58301.270655128661</v>
      </c>
      <c r="AE184" s="21">
        <f t="shared" si="77"/>
        <v>0</v>
      </c>
      <c r="AF184" s="21">
        <f t="shared" si="78"/>
        <v>-2259638.1878380673</v>
      </c>
      <c r="AG184" s="21">
        <f t="shared" si="52"/>
        <v>4302387.5699623516</v>
      </c>
      <c r="AH184" s="21">
        <f t="shared" si="53"/>
        <v>-500090.47449760744</v>
      </c>
      <c r="AI184" s="21">
        <f t="shared" si="79"/>
        <v>0</v>
      </c>
      <c r="AJ184" s="21">
        <f t="shared" si="80"/>
        <v>1055682.9432222238</v>
      </c>
      <c r="AK184" s="21">
        <f t="shared" si="81"/>
        <v>0</v>
      </c>
      <c r="AL184" s="21">
        <f t="shared" si="82"/>
        <v>494077.85646476247</v>
      </c>
      <c r="AM184" s="21">
        <f t="shared" si="83"/>
        <v>0</v>
      </c>
      <c r="AN184" s="21">
        <f t="shared" si="54"/>
        <v>1549760.7999999998</v>
      </c>
      <c r="AO184" s="21">
        <f t="shared" si="84"/>
        <v>0</v>
      </c>
      <c r="AP184" s="21">
        <f t="shared" si="85"/>
        <v>-2595328.8806843404</v>
      </c>
      <c r="AQ184" s="21">
        <f t="shared" si="55"/>
        <v>5516457.6771160783</v>
      </c>
      <c r="AR184" s="21">
        <f t="shared" si="56"/>
        <v>713979.6326561193</v>
      </c>
    </row>
    <row r="185" spans="1:44" x14ac:dyDescent="0.25">
      <c r="A185" s="51">
        <v>62</v>
      </c>
      <c r="B185" s="51">
        <f t="shared" si="43"/>
        <v>96</v>
      </c>
      <c r="C185" s="51">
        <f t="shared" si="44"/>
        <v>2088</v>
      </c>
      <c r="D185" s="52" t="b">
        <f t="shared" si="45"/>
        <v>1</v>
      </c>
      <c r="E185" s="50">
        <f t="shared" si="57"/>
        <v>1.0229999999999999</v>
      </c>
      <c r="F185" s="50">
        <f t="shared" si="58"/>
        <v>4.0032587027482966</v>
      </c>
      <c r="G185" s="50">
        <f t="shared" si="59"/>
        <v>1</v>
      </c>
      <c r="H185" s="21">
        <f t="shared" si="60"/>
        <v>0</v>
      </c>
      <c r="I185" s="21">
        <f t="shared" si="61"/>
        <v>-198937.93797437387</v>
      </c>
      <c r="J185" s="21">
        <f t="shared" si="62"/>
        <v>0</v>
      </c>
      <c r="K185" s="21">
        <f t="shared" si="63"/>
        <v>-1571</v>
      </c>
      <c r="L185" s="50">
        <f t="shared" si="64"/>
        <v>1</v>
      </c>
      <c r="M185" s="50">
        <f t="shared" si="65"/>
        <v>1</v>
      </c>
      <c r="N185" s="21">
        <f t="shared" si="66"/>
        <v>38502.596890707791</v>
      </c>
      <c r="O185" s="21">
        <f t="shared" si="67"/>
        <v>1795441.7210792992</v>
      </c>
      <c r="P185" s="21">
        <f t="shared" si="68"/>
        <v>2781899.5697955815</v>
      </c>
      <c r="Q185" s="37">
        <f t="shared" si="69"/>
        <v>8</v>
      </c>
      <c r="R185" s="21">
        <f t="shared" si="70"/>
        <v>96000</v>
      </c>
      <c r="S185" s="21">
        <f t="shared" si="71"/>
        <v>1634137.1430350936</v>
      </c>
      <c r="T185" s="21">
        <f t="shared" si="72"/>
        <v>1469491.0175448584</v>
      </c>
      <c r="U185" s="21">
        <f t="shared" si="73"/>
        <v>1846883.6520957027</v>
      </c>
      <c r="V185" s="21">
        <f t="shared" si="74"/>
        <v>0</v>
      </c>
      <c r="W185" s="21">
        <f t="shared" si="46"/>
        <v>0</v>
      </c>
      <c r="X185" s="21">
        <f t="shared" si="47"/>
        <v>0</v>
      </c>
      <c r="Y185" s="21">
        <f t="shared" si="48"/>
        <v>63000</v>
      </c>
      <c r="Z185" s="21">
        <f t="shared" si="49"/>
        <v>58301.270655128661</v>
      </c>
      <c r="AA185" s="21">
        <f t="shared" si="75"/>
        <v>2865081.2980327085</v>
      </c>
      <c r="AB185" s="21">
        <f t="shared" si="76"/>
        <v>-794699.573766405</v>
      </c>
      <c r="AC185" s="21">
        <f t="shared" si="50"/>
        <v>2133381.7242663037</v>
      </c>
      <c r="AD185" s="21">
        <f t="shared" si="51"/>
        <v>58301.270655128661</v>
      </c>
      <c r="AE185" s="21">
        <f t="shared" si="77"/>
        <v>0</v>
      </c>
      <c r="AF185" s="21">
        <f t="shared" si="78"/>
        <v>-2424442.2370356931</v>
      </c>
      <c r="AG185" s="21">
        <f t="shared" si="52"/>
        <v>4324783.3749961983</v>
      </c>
      <c r="AH185" s="21">
        <f t="shared" si="53"/>
        <v>-590497.91906568618</v>
      </c>
      <c r="AI185" s="21">
        <f t="shared" si="79"/>
        <v>0</v>
      </c>
      <c r="AJ185" s="21">
        <f t="shared" si="80"/>
        <v>1100021.6268375572</v>
      </c>
      <c r="AK185" s="21">
        <f t="shared" si="81"/>
        <v>0</v>
      </c>
      <c r="AL185" s="21">
        <f t="shared" si="82"/>
        <v>514829.12643628253</v>
      </c>
      <c r="AM185" s="21">
        <f t="shared" si="83"/>
        <v>0</v>
      </c>
      <c r="AN185" s="21">
        <f t="shared" si="54"/>
        <v>1614850.7599999998</v>
      </c>
      <c r="AO185" s="21">
        <f t="shared" si="84"/>
        <v>0</v>
      </c>
      <c r="AP185" s="21">
        <f t="shared" si="85"/>
        <v>-2763489.8368104291</v>
      </c>
      <c r="AQ185" s="21">
        <f t="shared" si="55"/>
        <v>5600586.5352214631</v>
      </c>
      <c r="AR185" s="21">
        <f t="shared" si="56"/>
        <v>685305.24115957762</v>
      </c>
    </row>
    <row r="186" spans="1:44" x14ac:dyDescent="0.25">
      <c r="A186" s="51">
        <v>63</v>
      </c>
      <c r="B186" s="51">
        <f t="shared" si="43"/>
        <v>97</v>
      </c>
      <c r="C186" s="51">
        <f t="shared" si="44"/>
        <v>2089</v>
      </c>
      <c r="D186" s="52" t="b">
        <f t="shared" si="45"/>
        <v>1</v>
      </c>
      <c r="E186" s="50">
        <f t="shared" si="57"/>
        <v>1.0229999999999999</v>
      </c>
      <c r="F186" s="50">
        <f t="shared" si="58"/>
        <v>4.0953336529115072</v>
      </c>
      <c r="G186" s="50">
        <f t="shared" si="59"/>
        <v>1</v>
      </c>
      <c r="H186" s="21">
        <f t="shared" si="60"/>
        <v>0</v>
      </c>
      <c r="I186" s="21">
        <f t="shared" si="61"/>
        <v>-203513.51054778445</v>
      </c>
      <c r="J186" s="21">
        <f t="shared" si="62"/>
        <v>0</v>
      </c>
      <c r="K186" s="21">
        <f t="shared" si="63"/>
        <v>-1571</v>
      </c>
      <c r="L186" s="50">
        <f t="shared" si="64"/>
        <v>1</v>
      </c>
      <c r="M186" s="50">
        <f t="shared" si="65"/>
        <v>1</v>
      </c>
      <c r="N186" s="21">
        <f t="shared" si="66"/>
        <v>38964.628053396285</v>
      </c>
      <c r="O186" s="21">
        <f t="shared" si="67"/>
        <v>1872487.2553646299</v>
      </c>
      <c r="P186" s="21">
        <f t="shared" si="68"/>
        <v>2876484.1551686316</v>
      </c>
      <c r="Q186" s="37">
        <f t="shared" si="69"/>
        <v>8</v>
      </c>
      <c r="R186" s="21">
        <f t="shared" si="70"/>
        <v>96000</v>
      </c>
      <c r="S186" s="21">
        <f t="shared" si="71"/>
        <v>1674990.5716109707</v>
      </c>
      <c r="T186" s="21">
        <f t="shared" si="72"/>
        <v>1528270.6582466527</v>
      </c>
      <c r="U186" s="21">
        <f t="shared" si="73"/>
        <v>1920758.998179531</v>
      </c>
      <c r="V186" s="21">
        <f t="shared" si="74"/>
        <v>0</v>
      </c>
      <c r="W186" s="21">
        <f t="shared" si="46"/>
        <v>0</v>
      </c>
      <c r="X186" s="21">
        <f t="shared" si="47"/>
        <v>0</v>
      </c>
      <c r="Y186" s="21">
        <f t="shared" si="48"/>
        <v>63000</v>
      </c>
      <c r="Z186" s="21">
        <f t="shared" si="49"/>
        <v>58301.270655128661</v>
      </c>
      <c r="AA186" s="21">
        <f t="shared" si="75"/>
        <v>2979684.5499540167</v>
      </c>
      <c r="AB186" s="21">
        <f t="shared" si="76"/>
        <v>-887120.87819839502</v>
      </c>
      <c r="AC186" s="21">
        <f t="shared" si="50"/>
        <v>2155563.6717556217</v>
      </c>
      <c r="AD186" s="21">
        <f t="shared" si="51"/>
        <v>58301.270655128661</v>
      </c>
      <c r="AE186" s="21">
        <f t="shared" si="77"/>
        <v>0</v>
      </c>
      <c r="AF186" s="21">
        <f t="shared" si="78"/>
        <v>-2595469.8992987061</v>
      </c>
      <c r="AG186" s="21">
        <f t="shared" si="52"/>
        <v>4348029.8110435726</v>
      </c>
      <c r="AH186" s="21">
        <f t="shared" si="53"/>
        <v>-684018.01588067994</v>
      </c>
      <c r="AI186" s="21">
        <f t="shared" si="79"/>
        <v>0</v>
      </c>
      <c r="AJ186" s="21">
        <f t="shared" si="80"/>
        <v>1146222.5351647346</v>
      </c>
      <c r="AK186" s="21">
        <f t="shared" si="81"/>
        <v>0</v>
      </c>
      <c r="AL186" s="21">
        <f t="shared" si="82"/>
        <v>536451.94974660641</v>
      </c>
      <c r="AM186" s="21">
        <f t="shared" si="83"/>
        <v>0</v>
      </c>
      <c r="AN186" s="21">
        <f t="shared" si="54"/>
        <v>1682674.49</v>
      </c>
      <c r="AO186" s="21">
        <f t="shared" si="84"/>
        <v>0</v>
      </c>
      <c r="AP186" s="21">
        <f t="shared" si="85"/>
        <v>-2937907.9750711895</v>
      </c>
      <c r="AQ186" s="21">
        <f t="shared" si="55"/>
        <v>5688266.225271089</v>
      </c>
      <c r="AR186" s="21">
        <f t="shared" si="56"/>
        <v>656218.39834683668</v>
      </c>
    </row>
    <row r="187" spans="1:44" x14ac:dyDescent="0.25">
      <c r="A187" s="51">
        <v>64</v>
      </c>
      <c r="B187" s="51">
        <f t="shared" ref="B187:B218" si="86">SV_age+A187</f>
        <v>98</v>
      </c>
      <c r="C187" s="51">
        <f t="shared" ref="C187:C205" si="87">currentYear+A187</f>
        <v>2090</v>
      </c>
      <c r="D187" s="52" t="b">
        <f t="shared" ref="D187:D205" si="88">A187&lt;=SV_T</f>
        <v>1</v>
      </c>
      <c r="E187" s="50">
        <f t="shared" si="57"/>
        <v>1.0229999999999999</v>
      </c>
      <c r="F187" s="50">
        <f t="shared" si="58"/>
        <v>4.1895263269284717</v>
      </c>
      <c r="G187" s="50">
        <f t="shared" si="59"/>
        <v>1</v>
      </c>
      <c r="H187" s="21">
        <f t="shared" si="60"/>
        <v>0</v>
      </c>
      <c r="I187" s="21">
        <f t="shared" si="61"/>
        <v>-208194.32129038346</v>
      </c>
      <c r="J187" s="21">
        <f t="shared" si="62"/>
        <v>0</v>
      </c>
      <c r="K187" s="21">
        <f t="shared" si="63"/>
        <v>-1571</v>
      </c>
      <c r="L187" s="50">
        <f t="shared" si="64"/>
        <v>1</v>
      </c>
      <c r="M187" s="50">
        <f t="shared" si="65"/>
        <v>1</v>
      </c>
      <c r="N187" s="21">
        <f t="shared" si="66"/>
        <v>39432.203590037039</v>
      </c>
      <c r="O187" s="21">
        <f t="shared" si="67"/>
        <v>1952768.7020899444</v>
      </c>
      <c r="P187" s="21">
        <f t="shared" si="68"/>
        <v>2974284.6164443651</v>
      </c>
      <c r="Q187" s="37">
        <f t="shared" si="69"/>
        <v>8</v>
      </c>
      <c r="R187" s="21">
        <f t="shared" si="70"/>
        <v>96000</v>
      </c>
      <c r="S187" s="21">
        <f t="shared" si="71"/>
        <v>1716865.3359012448</v>
      </c>
      <c r="T187" s="21">
        <f t="shared" si="72"/>
        <v>1589401.4845765189</v>
      </c>
      <c r="U187" s="21">
        <f t="shared" si="73"/>
        <v>1997589.3581067123</v>
      </c>
      <c r="V187" s="21">
        <f t="shared" si="74"/>
        <v>0</v>
      </c>
      <c r="W187" s="21">
        <f t="shared" ref="W187:W205" si="89">IF(A187&gt;=SV_sIdx,0,S187)</f>
        <v>0</v>
      </c>
      <c r="X187" s="21">
        <f t="shared" ref="X187:X205" si="90">IF(A187&gt;=SV_sIdx,0,T187)</f>
        <v>0</v>
      </c>
      <c r="Y187" s="21">
        <f t="shared" ref="Y187:Y205" si="91">IF(A187&gt;=SV_sIdx,MIN(U187,SV_maCap),U187)</f>
        <v>63000</v>
      </c>
      <c r="Z187" s="21">
        <f t="shared" ref="Z187:Z205" si="92">IF(AND(SV_cpfOn,A187&gt;=SV_pIdx,A187&lt;=SV_T),12*SV_pay,0)</f>
        <v>58301.270655128661</v>
      </c>
      <c r="AA187" s="21">
        <f t="shared" si="75"/>
        <v>3098871.9319521775</v>
      </c>
      <c r="AB187" s="21">
        <f t="shared" si="76"/>
        <v>-983239.03480766469</v>
      </c>
      <c r="AC187" s="21">
        <f t="shared" ref="AC187:AC218" si="93">W187+X187+AA187+Y187+IF(AA187&lt;0,0,AB187)</f>
        <v>2178632.8971445127</v>
      </c>
      <c r="AD187" s="21">
        <f t="shared" ref="AD187:AD205" si="94">Z187+V187</f>
        <v>58301.270655128661</v>
      </c>
      <c r="AE187" s="21">
        <f t="shared" si="77"/>
        <v>0</v>
      </c>
      <c r="AF187" s="21">
        <f t="shared" si="78"/>
        <v>-2772888.6489269482</v>
      </c>
      <c r="AG187" s="21">
        <f t="shared" ref="AG187:AG218" si="95">IF(A187&gt;SV_T,0,MAX(0,N187+O187+P187+AC187+AF187-AE187))</f>
        <v>4372229.7703419114</v>
      </c>
      <c r="AH187" s="21">
        <f t="shared" ref="AH187:AH205" si="96">IF(A187&gt;SV_T,0,N187+O187+AF187-MAX(0,AE187-(P187+AC187)))</f>
        <v>-780687.74324696674</v>
      </c>
      <c r="AI187" s="21">
        <f t="shared" si="79"/>
        <v>0</v>
      </c>
      <c r="AJ187" s="21">
        <f t="shared" si="80"/>
        <v>1194363.8816416534</v>
      </c>
      <c r="AK187" s="21">
        <f t="shared" si="81"/>
        <v>0</v>
      </c>
      <c r="AL187" s="21">
        <f t="shared" si="82"/>
        <v>558982.93163596385</v>
      </c>
      <c r="AM187" s="21">
        <f t="shared" si="83"/>
        <v>0</v>
      </c>
      <c r="AN187" s="21">
        <f t="shared" ref="AN187:AN205" si="97">IF(OR(A187=0,A187&gt;=SV_T),0,ROUND(MAX(0,AJ187),2)+ROUND(MAX(0,AL187),2))</f>
        <v>1753346.81</v>
      </c>
      <c r="AO187" s="21">
        <f t="shared" si="84"/>
        <v>0</v>
      </c>
      <c r="AP187" s="21">
        <f t="shared" si="85"/>
        <v>-3118751.1054571564</v>
      </c>
      <c r="AQ187" s="21">
        <f t="shared" ref="AQ187:AQ218" si="98">IF(A187&gt;SV_T,0,MAX(0,N187+O187+P187+AC187+AP187+AN187-AE187))</f>
        <v>5779714.1238117032</v>
      </c>
      <c r="AR187" s="21">
        <f t="shared" ref="AR187:AR205" si="99">IF(A187&gt;SV_T,0,N187+O187+AP187+AN187-MAX(0,AE187-(P187+AC187)))</f>
        <v>626796.61022282508</v>
      </c>
    </row>
    <row r="188" spans="1:44" x14ac:dyDescent="0.25">
      <c r="A188" s="51">
        <v>65</v>
      </c>
      <c r="B188" s="51">
        <f t="shared" si="86"/>
        <v>99</v>
      </c>
      <c r="C188" s="51">
        <f t="shared" si="87"/>
        <v>2091</v>
      </c>
      <c r="D188" s="52" t="b">
        <f t="shared" si="88"/>
        <v>1</v>
      </c>
      <c r="E188" s="50">
        <f t="shared" ref="E188:E205" si="100">IF(AND(SV_inflOn,A188&gt;=SV_inflS,A188&lt;=SV_inflE),1+SV_inflRate,1+inflationRate)</f>
        <v>1.0229999999999999</v>
      </c>
      <c r="F188" s="50">
        <f t="shared" ref="F188:F219" si="101">IF(A188&lt;=1,1,F187*E188)</f>
        <v>4.2858854324478264</v>
      </c>
      <c r="G188" s="50">
        <f t="shared" ref="G188:G205" si="102">IF(AND(SV_incOn,A188&gt;=SV_incS,A188&lt;=SV_incE),1+SV_incImp,1)</f>
        <v>1</v>
      </c>
      <c r="H188" s="21">
        <f t="shared" ref="H188:H219" si="103">IF(OR(OR(A188&lt;1,A188&gt;SV_T),A188-1&gt;=SV_salCut),0,SV_sal0*(1+incomeGrowthRate)^(A188-1)*G188)</f>
        <v>0</v>
      </c>
      <c r="I188" s="21">
        <f t="shared" ref="I188:I205" si="104">IF(OR(A188&lt;1,A188&gt;SV_T),0,(-SV_exp0*F188-IF(A188&lt;=SV_loanYears,SV_inst,0)-IF(AND(SV_wdAmt&gt;0,A188=SV_wdYear),SV_wdAmt,0))*IF(AND(SV_expOn,A188&gt;=SV_expS,A188&lt;=SV_expE),1+SV_expImp,1))</f>
        <v>-212982.79068006229</v>
      </c>
      <c r="J188" s="21">
        <f t="shared" ref="J188:J205" si="105">IF(OR(OR(A188&lt;1,A188&gt;SV_T),A188&gt;SV_loanYears),0,-SV_lifePremYr)</f>
        <v>0</v>
      </c>
      <c r="K188" s="21">
        <f t="shared" ref="K188:K205" si="106">IF(OR(A188&lt;1,A188&gt;SV_T),0,-SV_contrib)</f>
        <v>-1571</v>
      </c>
      <c r="L188" s="50">
        <f t="shared" ref="L188:L205" si="107">IF(AND(SV_crashOn,A188=SV_crashYr),SV_crashF,1)</f>
        <v>1</v>
      </c>
      <c r="M188" s="50">
        <f t="shared" ref="M188:M205" si="108">IF(AND(SV_ccyOn,A188=SV_ccyYr),SV_ccyF,1)</f>
        <v>1</v>
      </c>
      <c r="N188" s="21">
        <f t="shared" ref="N188:N219" si="109">IF(A188&gt;SV_T,0,N187*(1+interestRate)*L188*M188)</f>
        <v>39905.390033117481</v>
      </c>
      <c r="O188" s="21">
        <f t="shared" ref="O188:O205" si="110">IF(A188&gt;SV_T,0,(O187+SV_contrib)*(1+investmentReturn)*L188*M188)</f>
        <v>2036421.969577722</v>
      </c>
      <c r="P188" s="21">
        <f t="shared" ref="P188:P205" si="111">IF(A188&gt;SV_T,0,P187*(1+SV_propRate)*L188)</f>
        <v>3075410.2934034737</v>
      </c>
      <c r="Q188" s="37">
        <f t="shared" ref="Q188:Q205" si="112">MATCH(SV_age+A188-1,SV_cpfLower,1)</f>
        <v>8</v>
      </c>
      <c r="R188" s="21">
        <f t="shared" ref="R188:R205" si="113">IF(OR(OR(A188&lt;1,A188&gt;SV_T),NOT(SV_cpfOn)),0,MIN(SV_sal0*(1+incomeGrowthRate)^(A188-1)*G188,SV_owCap))</f>
        <v>96000</v>
      </c>
      <c r="S188" s="21">
        <f t="shared" ref="S188:S219" si="114">IF(A188&gt;SV_T,0,S187*(1+SV_oaRate)+IF(A188&gt;=SV_effStop,0,INDEX(SV_cpfOA,Q188)*INDEX(SV_cpfTot,Q188)*R188))</f>
        <v>1759786.9692987758</v>
      </c>
      <c r="T188" s="21">
        <f t="shared" ref="T188:T205" si="115">IF(A188&gt;SV_T,0,T187*(1+SV_saRate)+IF(A188&gt;=SV_effStop,0,INDEX(SV_cpfSA,Q188)*INDEX(SV_cpfTot,Q188)*R188))</f>
        <v>1652977.5439595797</v>
      </c>
      <c r="U188" s="21">
        <f t="shared" ref="U188:U205" si="116">IF(A188&gt;SV_T,0,U187*(1+SV_saRate)+IF(A188&gt;=SV_effStop,0,INDEX(SV_cpfMA,Q188)*INDEX(SV_cpfTot,Q188)*R188))</f>
        <v>2077492.932430981</v>
      </c>
      <c r="V188" s="21">
        <f t="shared" ref="V188:V205" si="117">IF(OR(OR(A188&lt;1,A188&gt;SV_T),A188&gt;=SV_effNeg),0,-(INDEX(SV_cpfOA,Q188)+INDEX(SV_cpfSA,Q188)+INDEX(SV_cpfMA,Q188))*INDEX(SV_cpfEmp,Q188)*R188)</f>
        <v>0</v>
      </c>
      <c r="W188" s="21">
        <f t="shared" si="89"/>
        <v>0</v>
      </c>
      <c r="X188" s="21">
        <f t="shared" si="90"/>
        <v>0</v>
      </c>
      <c r="Y188" s="21">
        <f t="shared" si="91"/>
        <v>63000</v>
      </c>
      <c r="Z188" s="21">
        <f t="shared" si="92"/>
        <v>58301.270655128661</v>
      </c>
      <c r="AA188" s="21">
        <f t="shared" ref="AA188:AA205" si="118">IF(A188&gt;SV_T,0,IF(SV_sp&gt;=0,IF(A188&lt;SV_sIdx,0,IF(A188=SV_sIdx,SV_R0,SV_lifeGrowth*AA187)),SV_lifeGrowth*AA187))</f>
        <v>3222826.8092302647</v>
      </c>
      <c r="AB188" s="21">
        <f t="shared" ref="AB188:AB205" si="119">IF(A188&gt;SV_T,0,IF(AND(SV_sp&gt;=0,A188&lt;SV_sIdx),0,IF(AND(SV_sp&gt;=0,A188=SV_sIdx),SV_L0,SV_lifeGrowth*(AB187-Z188))))</f>
        <v>-1083201.9176813052</v>
      </c>
      <c r="AC188" s="21">
        <f t="shared" si="93"/>
        <v>2202624.8915489595</v>
      </c>
      <c r="AD188" s="21">
        <f t="shared" si="94"/>
        <v>58301.270655128661</v>
      </c>
      <c r="AE188" s="21">
        <f t="shared" ref="AE188:AE205" si="120">IF(OR(A188&gt;SV_T,A188&gt;=SV_loanYears),0,MAX(0,AE187*(1+loanRate)-SV_inst))</f>
        <v>0</v>
      </c>
      <c r="AF188" s="21">
        <f t="shared" ref="AF188:AF205" si="121">IF(A188&gt;SV_T,0,AF187*(1+SV_savRate)+H188+I188+J188+K188+AD188)</f>
        <v>-2956870.0554411514</v>
      </c>
      <c r="AG188" s="21">
        <f t="shared" si="95"/>
        <v>4397492.4891221216</v>
      </c>
      <c r="AH188" s="21">
        <f t="shared" si="96"/>
        <v>-880542.69583031186</v>
      </c>
      <c r="AI188" s="21">
        <f t="shared" ref="AI188:AI205" si="122">IF(OR(OR(A188&lt;1,A188&gt;SV_T),A188-1&gt;=SV_retPay),0,SV_retMth*12+IF(A188=1,SV_retLump,0))</f>
        <v>0</v>
      </c>
      <c r="AJ188" s="21">
        <f t="shared" ref="AJ188:AJ219" si="123">IF(A188&gt;SV_T,0,(AJ187+AI188)*(1+investmentReturn))</f>
        <v>1244527.1646706029</v>
      </c>
      <c r="AK188" s="21">
        <f t="shared" ref="AK188:AK205" si="124">IF(OR(OR(A188&lt;1,A188&gt;SV_T),A188-1&gt;=SV_goalPay),0,SV_goalMth*12+IF(A188=1,SV_goalLump,0))</f>
        <v>0</v>
      </c>
      <c r="AL188" s="21">
        <f t="shared" ref="AL188:AL219" si="125">IF(A188&gt;SV_T,0,(AL187+AK188)*(1+investmentReturn))</f>
        <v>582460.21476467431</v>
      </c>
      <c r="AM188" s="21">
        <f t="shared" ref="AM188:AM205" si="126">IF(OR(OR(A188&lt;1,A188&gt;SV_T),A188-1&gt;=SV_protPay),0,SV_protPrem)</f>
        <v>0</v>
      </c>
      <c r="AN188" s="21">
        <f t="shared" si="97"/>
        <v>1826987.3699999999</v>
      </c>
      <c r="AO188" s="21">
        <f t="shared" ref="AO188:AO205" si="127">IF(OR(A188&lt;1,A188&gt;SV_T),0,-(AI188+AK188+AM188)+IF(A188=SV_T,ROUND(MAX(0,AJ188),2)+ROUND(MAX(0,AL188),2),0))</f>
        <v>0</v>
      </c>
      <c r="AP188" s="21">
        <f t="shared" ref="AP188:AP219" si="128">IF(A188&gt;SV_T,0,AP187*(1+SV_savRate)+H188+I188+J188+K188+AD188+AO188)</f>
        <v>-3306191.136536662</v>
      </c>
      <c r="AQ188" s="21">
        <f t="shared" si="98"/>
        <v>5875158.7780266106</v>
      </c>
      <c r="AR188" s="21">
        <f t="shared" si="99"/>
        <v>597123.59307417739</v>
      </c>
    </row>
    <row r="189" spans="1:44" x14ac:dyDescent="0.25">
      <c r="A189" s="51">
        <v>66</v>
      </c>
      <c r="B189" s="51">
        <f t="shared" si="86"/>
        <v>100</v>
      </c>
      <c r="C189" s="51">
        <f t="shared" si="87"/>
        <v>2092</v>
      </c>
      <c r="D189" s="52" t="b">
        <f t="shared" si="88"/>
        <v>1</v>
      </c>
      <c r="E189" s="50">
        <f t="shared" si="100"/>
        <v>1.0229999999999999</v>
      </c>
      <c r="F189" s="50">
        <f t="shared" si="101"/>
        <v>4.3844607973941256</v>
      </c>
      <c r="G189" s="50">
        <f t="shared" si="102"/>
        <v>1</v>
      </c>
      <c r="H189" s="21">
        <f t="shared" si="103"/>
        <v>0</v>
      </c>
      <c r="I189" s="21">
        <f t="shared" si="104"/>
        <v>-217881.39486570368</v>
      </c>
      <c r="J189" s="21">
        <f t="shared" si="105"/>
        <v>0</v>
      </c>
      <c r="K189" s="21">
        <f t="shared" si="106"/>
        <v>-1571</v>
      </c>
      <c r="L189" s="50">
        <f t="shared" si="107"/>
        <v>1</v>
      </c>
      <c r="M189" s="50">
        <f t="shared" si="108"/>
        <v>1</v>
      </c>
      <c r="N189" s="21">
        <f t="shared" si="109"/>
        <v>40384.254713514893</v>
      </c>
      <c r="O189" s="21">
        <f t="shared" si="110"/>
        <v>2123588.6742999866</v>
      </c>
      <c r="P189" s="21">
        <f t="shared" si="111"/>
        <v>3179974.243379192</v>
      </c>
      <c r="Q189" s="37">
        <f t="shared" si="112"/>
        <v>8</v>
      </c>
      <c r="R189" s="21">
        <f t="shared" si="113"/>
        <v>96000</v>
      </c>
      <c r="S189" s="21">
        <f t="shared" si="114"/>
        <v>1803781.6435312449</v>
      </c>
      <c r="T189" s="21">
        <f t="shared" si="115"/>
        <v>1719096.6457179629</v>
      </c>
      <c r="U189" s="21">
        <f t="shared" si="116"/>
        <v>2160592.6497282204</v>
      </c>
      <c r="V189" s="21">
        <f t="shared" si="117"/>
        <v>0</v>
      </c>
      <c r="W189" s="21">
        <f t="shared" si="89"/>
        <v>0</v>
      </c>
      <c r="X189" s="21">
        <f t="shared" si="90"/>
        <v>0</v>
      </c>
      <c r="Y189" s="21">
        <f t="shared" si="91"/>
        <v>63000</v>
      </c>
      <c r="Z189" s="21">
        <f t="shared" si="92"/>
        <v>58301.270655128661</v>
      </c>
      <c r="AA189" s="21">
        <f t="shared" si="118"/>
        <v>3351739.8815994756</v>
      </c>
      <c r="AB189" s="21">
        <f t="shared" si="119"/>
        <v>-1187163.3158698913</v>
      </c>
      <c r="AC189" s="21">
        <f t="shared" si="93"/>
        <v>2227576.5657295845</v>
      </c>
      <c r="AD189" s="21">
        <f t="shared" si="94"/>
        <v>58301.270655128661</v>
      </c>
      <c r="AE189" s="21">
        <f t="shared" si="120"/>
        <v>0</v>
      </c>
      <c r="AF189" s="21">
        <f t="shared" si="121"/>
        <v>-3147589.8802061379</v>
      </c>
      <c r="AG189" s="21">
        <f t="shared" si="95"/>
        <v>4423933.85791614</v>
      </c>
      <c r="AH189" s="21">
        <f t="shared" si="96"/>
        <v>-983616.95119263651</v>
      </c>
      <c r="AI189" s="21">
        <f t="shared" si="122"/>
        <v>0</v>
      </c>
      <c r="AJ189" s="21">
        <f t="shared" si="123"/>
        <v>1296797.3055867683</v>
      </c>
      <c r="AK189" s="21">
        <f t="shared" si="124"/>
        <v>0</v>
      </c>
      <c r="AL189" s="21">
        <f t="shared" si="125"/>
        <v>606923.54378479067</v>
      </c>
      <c r="AM189" s="21">
        <f t="shared" si="126"/>
        <v>0</v>
      </c>
      <c r="AN189" s="21">
        <f t="shared" si="97"/>
        <v>0</v>
      </c>
      <c r="AO189" s="21">
        <f t="shared" si="127"/>
        <v>1903720.85</v>
      </c>
      <c r="AP189" s="21">
        <f t="shared" si="128"/>
        <v>-1596683.3221126036</v>
      </c>
      <c r="AQ189" s="21">
        <f t="shared" si="98"/>
        <v>5974840.4160096738</v>
      </c>
      <c r="AR189" s="21">
        <f t="shared" si="99"/>
        <v>567289.60690089781</v>
      </c>
    </row>
    <row r="190" spans="1:44" x14ac:dyDescent="0.25">
      <c r="A190" s="51">
        <v>67</v>
      </c>
      <c r="B190" s="51">
        <f t="shared" si="86"/>
        <v>101</v>
      </c>
      <c r="C190" s="51">
        <f t="shared" si="87"/>
        <v>2093</v>
      </c>
      <c r="D190" s="52" t="b">
        <f t="shared" si="88"/>
        <v>0</v>
      </c>
      <c r="E190" s="50">
        <f t="shared" si="100"/>
        <v>1.0229999999999999</v>
      </c>
      <c r="F190" s="50">
        <f t="shared" si="101"/>
        <v>4.4853033957341903</v>
      </c>
      <c r="G190" s="50">
        <f t="shared" si="102"/>
        <v>1</v>
      </c>
      <c r="H190" s="21">
        <f t="shared" si="103"/>
        <v>0</v>
      </c>
      <c r="I190" s="21">
        <f t="shared" si="104"/>
        <v>0</v>
      </c>
      <c r="J190" s="21">
        <f t="shared" si="105"/>
        <v>0</v>
      </c>
      <c r="K190" s="21">
        <f t="shared" si="106"/>
        <v>0</v>
      </c>
      <c r="L190" s="50">
        <f t="shared" si="107"/>
        <v>1</v>
      </c>
      <c r="M190" s="50">
        <f t="shared" si="108"/>
        <v>1</v>
      </c>
      <c r="N190" s="21">
        <f t="shared" si="109"/>
        <v>0</v>
      </c>
      <c r="O190" s="21">
        <f t="shared" si="110"/>
        <v>0</v>
      </c>
      <c r="P190" s="21">
        <f t="shared" si="111"/>
        <v>0</v>
      </c>
      <c r="Q190" s="37">
        <f t="shared" si="112"/>
        <v>8</v>
      </c>
      <c r="R190" s="21">
        <f t="shared" si="113"/>
        <v>0</v>
      </c>
      <c r="S190" s="21">
        <f t="shared" si="114"/>
        <v>0</v>
      </c>
      <c r="T190" s="21">
        <f t="shared" si="115"/>
        <v>0</v>
      </c>
      <c r="U190" s="21">
        <f t="shared" si="116"/>
        <v>0</v>
      </c>
      <c r="V190" s="21">
        <f t="shared" si="117"/>
        <v>0</v>
      </c>
      <c r="W190" s="21">
        <f t="shared" si="89"/>
        <v>0</v>
      </c>
      <c r="X190" s="21">
        <f t="shared" si="90"/>
        <v>0</v>
      </c>
      <c r="Y190" s="21">
        <f t="shared" si="91"/>
        <v>0</v>
      </c>
      <c r="Z190" s="21">
        <f t="shared" si="92"/>
        <v>0</v>
      </c>
      <c r="AA190" s="21">
        <f t="shared" si="118"/>
        <v>0</v>
      </c>
      <c r="AB190" s="21">
        <f t="shared" si="119"/>
        <v>0</v>
      </c>
      <c r="AC190" s="21">
        <f t="shared" si="93"/>
        <v>0</v>
      </c>
      <c r="AD190" s="21">
        <f t="shared" si="94"/>
        <v>0</v>
      </c>
      <c r="AE190" s="21">
        <f t="shared" si="120"/>
        <v>0</v>
      </c>
      <c r="AF190" s="21">
        <f t="shared" si="121"/>
        <v>0</v>
      </c>
      <c r="AG190" s="21">
        <f t="shared" si="95"/>
        <v>0</v>
      </c>
      <c r="AH190" s="21">
        <f t="shared" si="96"/>
        <v>0</v>
      </c>
      <c r="AI190" s="21">
        <f t="shared" si="122"/>
        <v>0</v>
      </c>
      <c r="AJ190" s="21">
        <f t="shared" si="123"/>
        <v>0</v>
      </c>
      <c r="AK190" s="21">
        <f t="shared" si="124"/>
        <v>0</v>
      </c>
      <c r="AL190" s="21">
        <f t="shared" si="125"/>
        <v>0</v>
      </c>
      <c r="AM190" s="21">
        <f t="shared" si="126"/>
        <v>0</v>
      </c>
      <c r="AN190" s="21">
        <f t="shared" si="97"/>
        <v>0</v>
      </c>
      <c r="AO190" s="21">
        <f t="shared" si="127"/>
        <v>0</v>
      </c>
      <c r="AP190" s="21">
        <f t="shared" si="128"/>
        <v>0</v>
      </c>
      <c r="AQ190" s="21">
        <f t="shared" si="98"/>
        <v>0</v>
      </c>
      <c r="AR190" s="21">
        <f t="shared" si="99"/>
        <v>0</v>
      </c>
    </row>
    <row r="191" spans="1:44" x14ac:dyDescent="0.25">
      <c r="A191" s="51">
        <v>68</v>
      </c>
      <c r="B191" s="51">
        <f t="shared" si="86"/>
        <v>102</v>
      </c>
      <c r="C191" s="51">
        <f t="shared" si="87"/>
        <v>2094</v>
      </c>
      <c r="D191" s="52" t="b">
        <f t="shared" si="88"/>
        <v>0</v>
      </c>
      <c r="E191" s="50">
        <f t="shared" si="100"/>
        <v>1.0229999999999999</v>
      </c>
      <c r="F191" s="50">
        <f t="shared" si="101"/>
        <v>4.5884653738360761</v>
      </c>
      <c r="G191" s="50">
        <f t="shared" si="102"/>
        <v>1</v>
      </c>
      <c r="H191" s="21">
        <f t="shared" si="103"/>
        <v>0</v>
      </c>
      <c r="I191" s="21">
        <f t="shared" si="104"/>
        <v>0</v>
      </c>
      <c r="J191" s="21">
        <f t="shared" si="105"/>
        <v>0</v>
      </c>
      <c r="K191" s="21">
        <f t="shared" si="106"/>
        <v>0</v>
      </c>
      <c r="L191" s="50">
        <f t="shared" si="107"/>
        <v>1</v>
      </c>
      <c r="M191" s="50">
        <f t="shared" si="108"/>
        <v>1</v>
      </c>
      <c r="N191" s="21">
        <f t="shared" si="109"/>
        <v>0</v>
      </c>
      <c r="O191" s="21">
        <f t="shared" si="110"/>
        <v>0</v>
      </c>
      <c r="P191" s="21">
        <f t="shared" si="111"/>
        <v>0</v>
      </c>
      <c r="Q191" s="37">
        <f t="shared" si="112"/>
        <v>8</v>
      </c>
      <c r="R191" s="21">
        <f t="shared" si="113"/>
        <v>0</v>
      </c>
      <c r="S191" s="21">
        <f t="shared" si="114"/>
        <v>0</v>
      </c>
      <c r="T191" s="21">
        <f t="shared" si="115"/>
        <v>0</v>
      </c>
      <c r="U191" s="21">
        <f t="shared" si="116"/>
        <v>0</v>
      </c>
      <c r="V191" s="21">
        <f t="shared" si="117"/>
        <v>0</v>
      </c>
      <c r="W191" s="21">
        <f t="shared" si="89"/>
        <v>0</v>
      </c>
      <c r="X191" s="21">
        <f t="shared" si="90"/>
        <v>0</v>
      </c>
      <c r="Y191" s="21">
        <f t="shared" si="91"/>
        <v>0</v>
      </c>
      <c r="Z191" s="21">
        <f t="shared" si="92"/>
        <v>0</v>
      </c>
      <c r="AA191" s="21">
        <f t="shared" si="118"/>
        <v>0</v>
      </c>
      <c r="AB191" s="21">
        <f t="shared" si="119"/>
        <v>0</v>
      </c>
      <c r="AC191" s="21">
        <f t="shared" si="93"/>
        <v>0</v>
      </c>
      <c r="AD191" s="21">
        <f t="shared" si="94"/>
        <v>0</v>
      </c>
      <c r="AE191" s="21">
        <f t="shared" si="120"/>
        <v>0</v>
      </c>
      <c r="AF191" s="21">
        <f t="shared" si="121"/>
        <v>0</v>
      </c>
      <c r="AG191" s="21">
        <f t="shared" si="95"/>
        <v>0</v>
      </c>
      <c r="AH191" s="21">
        <f t="shared" si="96"/>
        <v>0</v>
      </c>
      <c r="AI191" s="21">
        <f t="shared" si="122"/>
        <v>0</v>
      </c>
      <c r="AJ191" s="21">
        <f t="shared" si="123"/>
        <v>0</v>
      </c>
      <c r="AK191" s="21">
        <f t="shared" si="124"/>
        <v>0</v>
      </c>
      <c r="AL191" s="21">
        <f t="shared" si="125"/>
        <v>0</v>
      </c>
      <c r="AM191" s="21">
        <f t="shared" si="126"/>
        <v>0</v>
      </c>
      <c r="AN191" s="21">
        <f t="shared" si="97"/>
        <v>0</v>
      </c>
      <c r="AO191" s="21">
        <f t="shared" si="127"/>
        <v>0</v>
      </c>
      <c r="AP191" s="21">
        <f t="shared" si="128"/>
        <v>0</v>
      </c>
      <c r="AQ191" s="21">
        <f t="shared" si="98"/>
        <v>0</v>
      </c>
      <c r="AR191" s="21">
        <f t="shared" si="99"/>
        <v>0</v>
      </c>
    </row>
    <row r="192" spans="1:44" x14ac:dyDescent="0.25">
      <c r="A192" s="51">
        <v>69</v>
      </c>
      <c r="B192" s="51">
        <f t="shared" si="86"/>
        <v>103</v>
      </c>
      <c r="C192" s="51">
        <f t="shared" si="87"/>
        <v>2095</v>
      </c>
      <c r="D192" s="52" t="b">
        <f t="shared" si="88"/>
        <v>0</v>
      </c>
      <c r="E192" s="50">
        <f t="shared" si="100"/>
        <v>1.0229999999999999</v>
      </c>
      <c r="F192" s="50">
        <f t="shared" si="101"/>
        <v>4.6940000774343051</v>
      </c>
      <c r="G192" s="50">
        <f t="shared" si="102"/>
        <v>1</v>
      </c>
      <c r="H192" s="21">
        <f t="shared" si="103"/>
        <v>0</v>
      </c>
      <c r="I192" s="21">
        <f t="shared" si="104"/>
        <v>0</v>
      </c>
      <c r="J192" s="21">
        <f t="shared" si="105"/>
        <v>0</v>
      </c>
      <c r="K192" s="21">
        <f t="shared" si="106"/>
        <v>0</v>
      </c>
      <c r="L192" s="50">
        <f t="shared" si="107"/>
        <v>1</v>
      </c>
      <c r="M192" s="50">
        <f t="shared" si="108"/>
        <v>1</v>
      </c>
      <c r="N192" s="21">
        <f t="shared" si="109"/>
        <v>0</v>
      </c>
      <c r="O192" s="21">
        <f t="shared" si="110"/>
        <v>0</v>
      </c>
      <c r="P192" s="21">
        <f t="shared" si="111"/>
        <v>0</v>
      </c>
      <c r="Q192" s="37">
        <f t="shared" si="112"/>
        <v>8</v>
      </c>
      <c r="R192" s="21">
        <f t="shared" si="113"/>
        <v>0</v>
      </c>
      <c r="S192" s="21">
        <f t="shared" si="114"/>
        <v>0</v>
      </c>
      <c r="T192" s="21">
        <f t="shared" si="115"/>
        <v>0</v>
      </c>
      <c r="U192" s="21">
        <f t="shared" si="116"/>
        <v>0</v>
      </c>
      <c r="V192" s="21">
        <f t="shared" si="117"/>
        <v>0</v>
      </c>
      <c r="W192" s="21">
        <f t="shared" si="89"/>
        <v>0</v>
      </c>
      <c r="X192" s="21">
        <f t="shared" si="90"/>
        <v>0</v>
      </c>
      <c r="Y192" s="21">
        <f t="shared" si="91"/>
        <v>0</v>
      </c>
      <c r="Z192" s="21">
        <f t="shared" si="92"/>
        <v>0</v>
      </c>
      <c r="AA192" s="21">
        <f t="shared" si="118"/>
        <v>0</v>
      </c>
      <c r="AB192" s="21">
        <f t="shared" si="119"/>
        <v>0</v>
      </c>
      <c r="AC192" s="21">
        <f t="shared" si="93"/>
        <v>0</v>
      </c>
      <c r="AD192" s="21">
        <f t="shared" si="94"/>
        <v>0</v>
      </c>
      <c r="AE192" s="21">
        <f t="shared" si="120"/>
        <v>0</v>
      </c>
      <c r="AF192" s="21">
        <f t="shared" si="121"/>
        <v>0</v>
      </c>
      <c r="AG192" s="21">
        <f t="shared" si="95"/>
        <v>0</v>
      </c>
      <c r="AH192" s="21">
        <f t="shared" si="96"/>
        <v>0</v>
      </c>
      <c r="AI192" s="21">
        <f t="shared" si="122"/>
        <v>0</v>
      </c>
      <c r="AJ192" s="21">
        <f t="shared" si="123"/>
        <v>0</v>
      </c>
      <c r="AK192" s="21">
        <f t="shared" si="124"/>
        <v>0</v>
      </c>
      <c r="AL192" s="21">
        <f t="shared" si="125"/>
        <v>0</v>
      </c>
      <c r="AM192" s="21">
        <f t="shared" si="126"/>
        <v>0</v>
      </c>
      <c r="AN192" s="21">
        <f t="shared" si="97"/>
        <v>0</v>
      </c>
      <c r="AO192" s="21">
        <f t="shared" si="127"/>
        <v>0</v>
      </c>
      <c r="AP192" s="21">
        <f t="shared" si="128"/>
        <v>0</v>
      </c>
      <c r="AQ192" s="21">
        <f t="shared" si="98"/>
        <v>0</v>
      </c>
      <c r="AR192" s="21">
        <f t="shared" si="99"/>
        <v>0</v>
      </c>
    </row>
    <row r="193" spans="1:44" x14ac:dyDescent="0.25">
      <c r="A193" s="51">
        <v>70</v>
      </c>
      <c r="B193" s="51">
        <f t="shared" si="86"/>
        <v>104</v>
      </c>
      <c r="C193" s="51">
        <f t="shared" si="87"/>
        <v>2096</v>
      </c>
      <c r="D193" s="52" t="b">
        <f t="shared" si="88"/>
        <v>0</v>
      </c>
      <c r="E193" s="50">
        <f t="shared" si="100"/>
        <v>1.0229999999999999</v>
      </c>
      <c r="F193" s="50">
        <f t="shared" si="101"/>
        <v>4.8019620792152935</v>
      </c>
      <c r="G193" s="50">
        <f t="shared" si="102"/>
        <v>1</v>
      </c>
      <c r="H193" s="21">
        <f t="shared" si="103"/>
        <v>0</v>
      </c>
      <c r="I193" s="21">
        <f t="shared" si="104"/>
        <v>0</v>
      </c>
      <c r="J193" s="21">
        <f t="shared" si="105"/>
        <v>0</v>
      </c>
      <c r="K193" s="21">
        <f t="shared" si="106"/>
        <v>0</v>
      </c>
      <c r="L193" s="50">
        <f t="shared" si="107"/>
        <v>1</v>
      </c>
      <c r="M193" s="50">
        <f t="shared" si="108"/>
        <v>1</v>
      </c>
      <c r="N193" s="21">
        <f t="shared" si="109"/>
        <v>0</v>
      </c>
      <c r="O193" s="21">
        <f t="shared" si="110"/>
        <v>0</v>
      </c>
      <c r="P193" s="21">
        <f t="shared" si="111"/>
        <v>0</v>
      </c>
      <c r="Q193" s="37">
        <f t="shared" si="112"/>
        <v>8</v>
      </c>
      <c r="R193" s="21">
        <f t="shared" si="113"/>
        <v>0</v>
      </c>
      <c r="S193" s="21">
        <f t="shared" si="114"/>
        <v>0</v>
      </c>
      <c r="T193" s="21">
        <f t="shared" si="115"/>
        <v>0</v>
      </c>
      <c r="U193" s="21">
        <f t="shared" si="116"/>
        <v>0</v>
      </c>
      <c r="V193" s="21">
        <f t="shared" si="117"/>
        <v>0</v>
      </c>
      <c r="W193" s="21">
        <f t="shared" si="89"/>
        <v>0</v>
      </c>
      <c r="X193" s="21">
        <f t="shared" si="90"/>
        <v>0</v>
      </c>
      <c r="Y193" s="21">
        <f t="shared" si="91"/>
        <v>0</v>
      </c>
      <c r="Z193" s="21">
        <f t="shared" si="92"/>
        <v>0</v>
      </c>
      <c r="AA193" s="21">
        <f t="shared" si="118"/>
        <v>0</v>
      </c>
      <c r="AB193" s="21">
        <f t="shared" si="119"/>
        <v>0</v>
      </c>
      <c r="AC193" s="21">
        <f t="shared" si="93"/>
        <v>0</v>
      </c>
      <c r="AD193" s="21">
        <f t="shared" si="94"/>
        <v>0</v>
      </c>
      <c r="AE193" s="21">
        <f t="shared" si="120"/>
        <v>0</v>
      </c>
      <c r="AF193" s="21">
        <f t="shared" si="121"/>
        <v>0</v>
      </c>
      <c r="AG193" s="21">
        <f t="shared" si="95"/>
        <v>0</v>
      </c>
      <c r="AH193" s="21">
        <f t="shared" si="96"/>
        <v>0</v>
      </c>
      <c r="AI193" s="21">
        <f t="shared" si="122"/>
        <v>0</v>
      </c>
      <c r="AJ193" s="21">
        <f t="shared" si="123"/>
        <v>0</v>
      </c>
      <c r="AK193" s="21">
        <f t="shared" si="124"/>
        <v>0</v>
      </c>
      <c r="AL193" s="21">
        <f t="shared" si="125"/>
        <v>0</v>
      </c>
      <c r="AM193" s="21">
        <f t="shared" si="126"/>
        <v>0</v>
      </c>
      <c r="AN193" s="21">
        <f t="shared" si="97"/>
        <v>0</v>
      </c>
      <c r="AO193" s="21">
        <f t="shared" si="127"/>
        <v>0</v>
      </c>
      <c r="AP193" s="21">
        <f t="shared" si="128"/>
        <v>0</v>
      </c>
      <c r="AQ193" s="21">
        <f t="shared" si="98"/>
        <v>0</v>
      </c>
      <c r="AR193" s="21">
        <f t="shared" si="99"/>
        <v>0</v>
      </c>
    </row>
    <row r="194" spans="1:44" x14ac:dyDescent="0.25">
      <c r="A194" s="51">
        <v>71</v>
      </c>
      <c r="B194" s="51">
        <f t="shared" si="86"/>
        <v>105</v>
      </c>
      <c r="C194" s="51">
        <f t="shared" si="87"/>
        <v>2097</v>
      </c>
      <c r="D194" s="52" t="b">
        <f t="shared" si="88"/>
        <v>0</v>
      </c>
      <c r="E194" s="50">
        <f t="shared" si="100"/>
        <v>1.0229999999999999</v>
      </c>
      <c r="F194" s="50">
        <f t="shared" si="101"/>
        <v>4.9124072070372451</v>
      </c>
      <c r="G194" s="50">
        <f t="shared" si="102"/>
        <v>1</v>
      </c>
      <c r="H194" s="21">
        <f t="shared" si="103"/>
        <v>0</v>
      </c>
      <c r="I194" s="21">
        <f t="shared" si="104"/>
        <v>0</v>
      </c>
      <c r="J194" s="21">
        <f t="shared" si="105"/>
        <v>0</v>
      </c>
      <c r="K194" s="21">
        <f t="shared" si="106"/>
        <v>0</v>
      </c>
      <c r="L194" s="50">
        <f t="shared" si="107"/>
        <v>1</v>
      </c>
      <c r="M194" s="50">
        <f t="shared" si="108"/>
        <v>1</v>
      </c>
      <c r="N194" s="21">
        <f t="shared" si="109"/>
        <v>0</v>
      </c>
      <c r="O194" s="21">
        <f t="shared" si="110"/>
        <v>0</v>
      </c>
      <c r="P194" s="21">
        <f t="shared" si="111"/>
        <v>0</v>
      </c>
      <c r="Q194" s="37">
        <f t="shared" si="112"/>
        <v>8</v>
      </c>
      <c r="R194" s="21">
        <f t="shared" si="113"/>
        <v>0</v>
      </c>
      <c r="S194" s="21">
        <f t="shared" si="114"/>
        <v>0</v>
      </c>
      <c r="T194" s="21">
        <f t="shared" si="115"/>
        <v>0</v>
      </c>
      <c r="U194" s="21">
        <f t="shared" si="116"/>
        <v>0</v>
      </c>
      <c r="V194" s="21">
        <f t="shared" si="117"/>
        <v>0</v>
      </c>
      <c r="W194" s="21">
        <f t="shared" si="89"/>
        <v>0</v>
      </c>
      <c r="X194" s="21">
        <f t="shared" si="90"/>
        <v>0</v>
      </c>
      <c r="Y194" s="21">
        <f t="shared" si="91"/>
        <v>0</v>
      </c>
      <c r="Z194" s="21">
        <f t="shared" si="92"/>
        <v>0</v>
      </c>
      <c r="AA194" s="21">
        <f t="shared" si="118"/>
        <v>0</v>
      </c>
      <c r="AB194" s="21">
        <f t="shared" si="119"/>
        <v>0</v>
      </c>
      <c r="AC194" s="21">
        <f t="shared" si="93"/>
        <v>0</v>
      </c>
      <c r="AD194" s="21">
        <f t="shared" si="94"/>
        <v>0</v>
      </c>
      <c r="AE194" s="21">
        <f t="shared" si="120"/>
        <v>0</v>
      </c>
      <c r="AF194" s="21">
        <f t="shared" si="121"/>
        <v>0</v>
      </c>
      <c r="AG194" s="21">
        <f t="shared" si="95"/>
        <v>0</v>
      </c>
      <c r="AH194" s="21">
        <f t="shared" si="96"/>
        <v>0</v>
      </c>
      <c r="AI194" s="21">
        <f t="shared" si="122"/>
        <v>0</v>
      </c>
      <c r="AJ194" s="21">
        <f t="shared" si="123"/>
        <v>0</v>
      </c>
      <c r="AK194" s="21">
        <f t="shared" si="124"/>
        <v>0</v>
      </c>
      <c r="AL194" s="21">
        <f t="shared" si="125"/>
        <v>0</v>
      </c>
      <c r="AM194" s="21">
        <f t="shared" si="126"/>
        <v>0</v>
      </c>
      <c r="AN194" s="21">
        <f t="shared" si="97"/>
        <v>0</v>
      </c>
      <c r="AO194" s="21">
        <f t="shared" si="127"/>
        <v>0</v>
      </c>
      <c r="AP194" s="21">
        <f t="shared" si="128"/>
        <v>0</v>
      </c>
      <c r="AQ194" s="21">
        <f t="shared" si="98"/>
        <v>0</v>
      </c>
      <c r="AR194" s="21">
        <f t="shared" si="99"/>
        <v>0</v>
      </c>
    </row>
    <row r="195" spans="1:44" x14ac:dyDescent="0.25">
      <c r="A195" s="51">
        <v>72</v>
      </c>
      <c r="B195" s="51">
        <f t="shared" si="86"/>
        <v>106</v>
      </c>
      <c r="C195" s="51">
        <f t="shared" si="87"/>
        <v>2098</v>
      </c>
      <c r="D195" s="52" t="b">
        <f t="shared" si="88"/>
        <v>0</v>
      </c>
      <c r="E195" s="50">
        <f t="shared" si="100"/>
        <v>1.0229999999999999</v>
      </c>
      <c r="F195" s="50">
        <f t="shared" si="101"/>
        <v>5.0253925727991016</v>
      </c>
      <c r="G195" s="50">
        <f t="shared" si="102"/>
        <v>1</v>
      </c>
      <c r="H195" s="21">
        <f t="shared" si="103"/>
        <v>0</v>
      </c>
      <c r="I195" s="21">
        <f t="shared" si="104"/>
        <v>0</v>
      </c>
      <c r="J195" s="21">
        <f t="shared" si="105"/>
        <v>0</v>
      </c>
      <c r="K195" s="21">
        <f t="shared" si="106"/>
        <v>0</v>
      </c>
      <c r="L195" s="50">
        <f t="shared" si="107"/>
        <v>1</v>
      </c>
      <c r="M195" s="50">
        <f t="shared" si="108"/>
        <v>1</v>
      </c>
      <c r="N195" s="21">
        <f t="shared" si="109"/>
        <v>0</v>
      </c>
      <c r="O195" s="21">
        <f t="shared" si="110"/>
        <v>0</v>
      </c>
      <c r="P195" s="21">
        <f t="shared" si="111"/>
        <v>0</v>
      </c>
      <c r="Q195" s="37">
        <f t="shared" si="112"/>
        <v>8</v>
      </c>
      <c r="R195" s="21">
        <f t="shared" si="113"/>
        <v>0</v>
      </c>
      <c r="S195" s="21">
        <f t="shared" si="114"/>
        <v>0</v>
      </c>
      <c r="T195" s="21">
        <f t="shared" si="115"/>
        <v>0</v>
      </c>
      <c r="U195" s="21">
        <f t="shared" si="116"/>
        <v>0</v>
      </c>
      <c r="V195" s="21">
        <f t="shared" si="117"/>
        <v>0</v>
      </c>
      <c r="W195" s="21">
        <f t="shared" si="89"/>
        <v>0</v>
      </c>
      <c r="X195" s="21">
        <f t="shared" si="90"/>
        <v>0</v>
      </c>
      <c r="Y195" s="21">
        <f t="shared" si="91"/>
        <v>0</v>
      </c>
      <c r="Z195" s="21">
        <f t="shared" si="92"/>
        <v>0</v>
      </c>
      <c r="AA195" s="21">
        <f t="shared" si="118"/>
        <v>0</v>
      </c>
      <c r="AB195" s="21">
        <f t="shared" si="119"/>
        <v>0</v>
      </c>
      <c r="AC195" s="21">
        <f t="shared" si="93"/>
        <v>0</v>
      </c>
      <c r="AD195" s="21">
        <f t="shared" si="94"/>
        <v>0</v>
      </c>
      <c r="AE195" s="21">
        <f t="shared" si="120"/>
        <v>0</v>
      </c>
      <c r="AF195" s="21">
        <f t="shared" si="121"/>
        <v>0</v>
      </c>
      <c r="AG195" s="21">
        <f t="shared" si="95"/>
        <v>0</v>
      </c>
      <c r="AH195" s="21">
        <f t="shared" si="96"/>
        <v>0</v>
      </c>
      <c r="AI195" s="21">
        <f t="shared" si="122"/>
        <v>0</v>
      </c>
      <c r="AJ195" s="21">
        <f t="shared" si="123"/>
        <v>0</v>
      </c>
      <c r="AK195" s="21">
        <f t="shared" si="124"/>
        <v>0</v>
      </c>
      <c r="AL195" s="21">
        <f t="shared" si="125"/>
        <v>0</v>
      </c>
      <c r="AM195" s="21">
        <f t="shared" si="126"/>
        <v>0</v>
      </c>
      <c r="AN195" s="21">
        <f t="shared" si="97"/>
        <v>0</v>
      </c>
      <c r="AO195" s="21">
        <f t="shared" si="127"/>
        <v>0</v>
      </c>
      <c r="AP195" s="21">
        <f t="shared" si="128"/>
        <v>0</v>
      </c>
      <c r="AQ195" s="21">
        <f t="shared" si="98"/>
        <v>0</v>
      </c>
      <c r="AR195" s="21">
        <f t="shared" si="99"/>
        <v>0</v>
      </c>
    </row>
    <row r="196" spans="1:44" x14ac:dyDescent="0.25">
      <c r="A196" s="51">
        <v>73</v>
      </c>
      <c r="B196" s="51">
        <f t="shared" si="86"/>
        <v>107</v>
      </c>
      <c r="C196" s="51">
        <f t="shared" si="87"/>
        <v>2099</v>
      </c>
      <c r="D196" s="52" t="b">
        <f t="shared" si="88"/>
        <v>0</v>
      </c>
      <c r="E196" s="50">
        <f t="shared" si="100"/>
        <v>1.0229999999999999</v>
      </c>
      <c r="F196" s="50">
        <f t="shared" si="101"/>
        <v>5.1409766019734802</v>
      </c>
      <c r="G196" s="50">
        <f t="shared" si="102"/>
        <v>1</v>
      </c>
      <c r="H196" s="21">
        <f t="shared" si="103"/>
        <v>0</v>
      </c>
      <c r="I196" s="21">
        <f t="shared" si="104"/>
        <v>0</v>
      </c>
      <c r="J196" s="21">
        <f t="shared" si="105"/>
        <v>0</v>
      </c>
      <c r="K196" s="21">
        <f t="shared" si="106"/>
        <v>0</v>
      </c>
      <c r="L196" s="50">
        <f t="shared" si="107"/>
        <v>1</v>
      </c>
      <c r="M196" s="50">
        <f t="shared" si="108"/>
        <v>1</v>
      </c>
      <c r="N196" s="21">
        <f t="shared" si="109"/>
        <v>0</v>
      </c>
      <c r="O196" s="21">
        <f t="shared" si="110"/>
        <v>0</v>
      </c>
      <c r="P196" s="21">
        <f t="shared" si="111"/>
        <v>0</v>
      </c>
      <c r="Q196" s="37">
        <f t="shared" si="112"/>
        <v>8</v>
      </c>
      <c r="R196" s="21">
        <f t="shared" si="113"/>
        <v>0</v>
      </c>
      <c r="S196" s="21">
        <f t="shared" si="114"/>
        <v>0</v>
      </c>
      <c r="T196" s="21">
        <f t="shared" si="115"/>
        <v>0</v>
      </c>
      <c r="U196" s="21">
        <f t="shared" si="116"/>
        <v>0</v>
      </c>
      <c r="V196" s="21">
        <f t="shared" si="117"/>
        <v>0</v>
      </c>
      <c r="W196" s="21">
        <f t="shared" si="89"/>
        <v>0</v>
      </c>
      <c r="X196" s="21">
        <f t="shared" si="90"/>
        <v>0</v>
      </c>
      <c r="Y196" s="21">
        <f t="shared" si="91"/>
        <v>0</v>
      </c>
      <c r="Z196" s="21">
        <f t="shared" si="92"/>
        <v>0</v>
      </c>
      <c r="AA196" s="21">
        <f t="shared" si="118"/>
        <v>0</v>
      </c>
      <c r="AB196" s="21">
        <f t="shared" si="119"/>
        <v>0</v>
      </c>
      <c r="AC196" s="21">
        <f t="shared" si="93"/>
        <v>0</v>
      </c>
      <c r="AD196" s="21">
        <f t="shared" si="94"/>
        <v>0</v>
      </c>
      <c r="AE196" s="21">
        <f t="shared" si="120"/>
        <v>0</v>
      </c>
      <c r="AF196" s="21">
        <f t="shared" si="121"/>
        <v>0</v>
      </c>
      <c r="AG196" s="21">
        <f t="shared" si="95"/>
        <v>0</v>
      </c>
      <c r="AH196" s="21">
        <f t="shared" si="96"/>
        <v>0</v>
      </c>
      <c r="AI196" s="21">
        <f t="shared" si="122"/>
        <v>0</v>
      </c>
      <c r="AJ196" s="21">
        <f t="shared" si="123"/>
        <v>0</v>
      </c>
      <c r="AK196" s="21">
        <f t="shared" si="124"/>
        <v>0</v>
      </c>
      <c r="AL196" s="21">
        <f t="shared" si="125"/>
        <v>0</v>
      </c>
      <c r="AM196" s="21">
        <f t="shared" si="126"/>
        <v>0</v>
      </c>
      <c r="AN196" s="21">
        <f t="shared" si="97"/>
        <v>0</v>
      </c>
      <c r="AO196" s="21">
        <f t="shared" si="127"/>
        <v>0</v>
      </c>
      <c r="AP196" s="21">
        <f t="shared" si="128"/>
        <v>0</v>
      </c>
      <c r="AQ196" s="21">
        <f t="shared" si="98"/>
        <v>0</v>
      </c>
      <c r="AR196" s="21">
        <f t="shared" si="99"/>
        <v>0</v>
      </c>
    </row>
    <row r="197" spans="1:44" x14ac:dyDescent="0.25">
      <c r="A197" s="51">
        <v>74</v>
      </c>
      <c r="B197" s="51">
        <f t="shared" si="86"/>
        <v>108</v>
      </c>
      <c r="C197" s="51">
        <f t="shared" si="87"/>
        <v>2100</v>
      </c>
      <c r="D197" s="52" t="b">
        <f t="shared" si="88"/>
        <v>0</v>
      </c>
      <c r="E197" s="50">
        <f t="shared" si="100"/>
        <v>1.0229999999999999</v>
      </c>
      <c r="F197" s="50">
        <f t="shared" si="101"/>
        <v>5.2592190638188701</v>
      </c>
      <c r="G197" s="50">
        <f t="shared" si="102"/>
        <v>1</v>
      </c>
      <c r="H197" s="21">
        <f t="shared" si="103"/>
        <v>0</v>
      </c>
      <c r="I197" s="21">
        <f t="shared" si="104"/>
        <v>0</v>
      </c>
      <c r="J197" s="21">
        <f t="shared" si="105"/>
        <v>0</v>
      </c>
      <c r="K197" s="21">
        <f t="shared" si="106"/>
        <v>0</v>
      </c>
      <c r="L197" s="50">
        <f t="shared" si="107"/>
        <v>1</v>
      </c>
      <c r="M197" s="50">
        <f t="shared" si="108"/>
        <v>1</v>
      </c>
      <c r="N197" s="21">
        <f t="shared" si="109"/>
        <v>0</v>
      </c>
      <c r="O197" s="21">
        <f t="shared" si="110"/>
        <v>0</v>
      </c>
      <c r="P197" s="21">
        <f t="shared" si="111"/>
        <v>0</v>
      </c>
      <c r="Q197" s="37">
        <f t="shared" si="112"/>
        <v>8</v>
      </c>
      <c r="R197" s="21">
        <f t="shared" si="113"/>
        <v>0</v>
      </c>
      <c r="S197" s="21">
        <f t="shared" si="114"/>
        <v>0</v>
      </c>
      <c r="T197" s="21">
        <f t="shared" si="115"/>
        <v>0</v>
      </c>
      <c r="U197" s="21">
        <f t="shared" si="116"/>
        <v>0</v>
      </c>
      <c r="V197" s="21">
        <f t="shared" si="117"/>
        <v>0</v>
      </c>
      <c r="W197" s="21">
        <f t="shared" si="89"/>
        <v>0</v>
      </c>
      <c r="X197" s="21">
        <f t="shared" si="90"/>
        <v>0</v>
      </c>
      <c r="Y197" s="21">
        <f t="shared" si="91"/>
        <v>0</v>
      </c>
      <c r="Z197" s="21">
        <f t="shared" si="92"/>
        <v>0</v>
      </c>
      <c r="AA197" s="21">
        <f t="shared" si="118"/>
        <v>0</v>
      </c>
      <c r="AB197" s="21">
        <f t="shared" si="119"/>
        <v>0</v>
      </c>
      <c r="AC197" s="21">
        <f t="shared" si="93"/>
        <v>0</v>
      </c>
      <c r="AD197" s="21">
        <f t="shared" si="94"/>
        <v>0</v>
      </c>
      <c r="AE197" s="21">
        <f t="shared" si="120"/>
        <v>0</v>
      </c>
      <c r="AF197" s="21">
        <f t="shared" si="121"/>
        <v>0</v>
      </c>
      <c r="AG197" s="21">
        <f t="shared" si="95"/>
        <v>0</v>
      </c>
      <c r="AH197" s="21">
        <f t="shared" si="96"/>
        <v>0</v>
      </c>
      <c r="AI197" s="21">
        <f t="shared" si="122"/>
        <v>0</v>
      </c>
      <c r="AJ197" s="21">
        <f t="shared" si="123"/>
        <v>0</v>
      </c>
      <c r="AK197" s="21">
        <f t="shared" si="124"/>
        <v>0</v>
      </c>
      <c r="AL197" s="21">
        <f t="shared" si="125"/>
        <v>0</v>
      </c>
      <c r="AM197" s="21">
        <f t="shared" si="126"/>
        <v>0</v>
      </c>
      <c r="AN197" s="21">
        <f t="shared" si="97"/>
        <v>0</v>
      </c>
      <c r="AO197" s="21">
        <f t="shared" si="127"/>
        <v>0</v>
      </c>
      <c r="AP197" s="21">
        <f t="shared" si="128"/>
        <v>0</v>
      </c>
      <c r="AQ197" s="21">
        <f t="shared" si="98"/>
        <v>0</v>
      </c>
      <c r="AR197" s="21">
        <f t="shared" si="99"/>
        <v>0</v>
      </c>
    </row>
    <row r="198" spans="1:44" x14ac:dyDescent="0.25">
      <c r="A198" s="51">
        <v>75</v>
      </c>
      <c r="B198" s="51">
        <f t="shared" si="86"/>
        <v>109</v>
      </c>
      <c r="C198" s="51">
        <f t="shared" si="87"/>
        <v>2101</v>
      </c>
      <c r="D198" s="52" t="b">
        <f t="shared" si="88"/>
        <v>0</v>
      </c>
      <c r="E198" s="50">
        <f t="shared" si="100"/>
        <v>1.0229999999999999</v>
      </c>
      <c r="F198" s="50">
        <f t="shared" si="101"/>
        <v>5.3801811022867039</v>
      </c>
      <c r="G198" s="50">
        <f t="shared" si="102"/>
        <v>1</v>
      </c>
      <c r="H198" s="21">
        <f t="shared" si="103"/>
        <v>0</v>
      </c>
      <c r="I198" s="21">
        <f t="shared" si="104"/>
        <v>0</v>
      </c>
      <c r="J198" s="21">
        <f t="shared" si="105"/>
        <v>0</v>
      </c>
      <c r="K198" s="21">
        <f t="shared" si="106"/>
        <v>0</v>
      </c>
      <c r="L198" s="50">
        <f t="shared" si="107"/>
        <v>1</v>
      </c>
      <c r="M198" s="50">
        <f t="shared" si="108"/>
        <v>1</v>
      </c>
      <c r="N198" s="21">
        <f t="shared" si="109"/>
        <v>0</v>
      </c>
      <c r="O198" s="21">
        <f t="shared" si="110"/>
        <v>0</v>
      </c>
      <c r="P198" s="21">
        <f t="shared" si="111"/>
        <v>0</v>
      </c>
      <c r="Q198" s="37">
        <f t="shared" si="112"/>
        <v>8</v>
      </c>
      <c r="R198" s="21">
        <f t="shared" si="113"/>
        <v>0</v>
      </c>
      <c r="S198" s="21">
        <f t="shared" si="114"/>
        <v>0</v>
      </c>
      <c r="T198" s="21">
        <f t="shared" si="115"/>
        <v>0</v>
      </c>
      <c r="U198" s="21">
        <f t="shared" si="116"/>
        <v>0</v>
      </c>
      <c r="V198" s="21">
        <f t="shared" si="117"/>
        <v>0</v>
      </c>
      <c r="W198" s="21">
        <f t="shared" si="89"/>
        <v>0</v>
      </c>
      <c r="X198" s="21">
        <f t="shared" si="90"/>
        <v>0</v>
      </c>
      <c r="Y198" s="21">
        <f t="shared" si="91"/>
        <v>0</v>
      </c>
      <c r="Z198" s="21">
        <f t="shared" si="92"/>
        <v>0</v>
      </c>
      <c r="AA198" s="21">
        <f t="shared" si="118"/>
        <v>0</v>
      </c>
      <c r="AB198" s="21">
        <f t="shared" si="119"/>
        <v>0</v>
      </c>
      <c r="AC198" s="21">
        <f t="shared" si="93"/>
        <v>0</v>
      </c>
      <c r="AD198" s="21">
        <f t="shared" si="94"/>
        <v>0</v>
      </c>
      <c r="AE198" s="21">
        <f t="shared" si="120"/>
        <v>0</v>
      </c>
      <c r="AF198" s="21">
        <f t="shared" si="121"/>
        <v>0</v>
      </c>
      <c r="AG198" s="21">
        <f t="shared" si="95"/>
        <v>0</v>
      </c>
      <c r="AH198" s="21">
        <f t="shared" si="96"/>
        <v>0</v>
      </c>
      <c r="AI198" s="21">
        <f t="shared" si="122"/>
        <v>0</v>
      </c>
      <c r="AJ198" s="21">
        <f t="shared" si="123"/>
        <v>0</v>
      </c>
      <c r="AK198" s="21">
        <f t="shared" si="124"/>
        <v>0</v>
      </c>
      <c r="AL198" s="21">
        <f t="shared" si="125"/>
        <v>0</v>
      </c>
      <c r="AM198" s="21">
        <f t="shared" si="126"/>
        <v>0</v>
      </c>
      <c r="AN198" s="21">
        <f t="shared" si="97"/>
        <v>0</v>
      </c>
      <c r="AO198" s="21">
        <f t="shared" si="127"/>
        <v>0</v>
      </c>
      <c r="AP198" s="21">
        <f t="shared" si="128"/>
        <v>0</v>
      </c>
      <c r="AQ198" s="21">
        <f t="shared" si="98"/>
        <v>0</v>
      </c>
      <c r="AR198" s="21">
        <f t="shared" si="99"/>
        <v>0</v>
      </c>
    </row>
    <row r="199" spans="1:44" x14ac:dyDescent="0.25">
      <c r="A199" s="51">
        <v>76</v>
      </c>
      <c r="B199" s="51">
        <f t="shared" si="86"/>
        <v>110</v>
      </c>
      <c r="C199" s="51">
        <f t="shared" si="87"/>
        <v>2102</v>
      </c>
      <c r="D199" s="52" t="b">
        <f t="shared" si="88"/>
        <v>0</v>
      </c>
      <c r="E199" s="50">
        <f t="shared" si="100"/>
        <v>1.0229999999999999</v>
      </c>
      <c r="F199" s="50">
        <f t="shared" si="101"/>
        <v>5.503925267639298</v>
      </c>
      <c r="G199" s="50">
        <f t="shared" si="102"/>
        <v>1</v>
      </c>
      <c r="H199" s="21">
        <f t="shared" si="103"/>
        <v>0</v>
      </c>
      <c r="I199" s="21">
        <f t="shared" si="104"/>
        <v>0</v>
      </c>
      <c r="J199" s="21">
        <f t="shared" si="105"/>
        <v>0</v>
      </c>
      <c r="K199" s="21">
        <f t="shared" si="106"/>
        <v>0</v>
      </c>
      <c r="L199" s="50">
        <f t="shared" si="107"/>
        <v>1</v>
      </c>
      <c r="M199" s="50">
        <f t="shared" si="108"/>
        <v>1</v>
      </c>
      <c r="N199" s="21">
        <f t="shared" si="109"/>
        <v>0</v>
      </c>
      <c r="O199" s="21">
        <f t="shared" si="110"/>
        <v>0</v>
      </c>
      <c r="P199" s="21">
        <f t="shared" si="111"/>
        <v>0</v>
      </c>
      <c r="Q199" s="37">
        <f t="shared" si="112"/>
        <v>8</v>
      </c>
      <c r="R199" s="21">
        <f t="shared" si="113"/>
        <v>0</v>
      </c>
      <c r="S199" s="21">
        <f t="shared" si="114"/>
        <v>0</v>
      </c>
      <c r="T199" s="21">
        <f t="shared" si="115"/>
        <v>0</v>
      </c>
      <c r="U199" s="21">
        <f t="shared" si="116"/>
        <v>0</v>
      </c>
      <c r="V199" s="21">
        <f t="shared" si="117"/>
        <v>0</v>
      </c>
      <c r="W199" s="21">
        <f t="shared" si="89"/>
        <v>0</v>
      </c>
      <c r="X199" s="21">
        <f t="shared" si="90"/>
        <v>0</v>
      </c>
      <c r="Y199" s="21">
        <f t="shared" si="91"/>
        <v>0</v>
      </c>
      <c r="Z199" s="21">
        <f t="shared" si="92"/>
        <v>0</v>
      </c>
      <c r="AA199" s="21">
        <f t="shared" si="118"/>
        <v>0</v>
      </c>
      <c r="AB199" s="21">
        <f t="shared" si="119"/>
        <v>0</v>
      </c>
      <c r="AC199" s="21">
        <f t="shared" si="93"/>
        <v>0</v>
      </c>
      <c r="AD199" s="21">
        <f t="shared" si="94"/>
        <v>0</v>
      </c>
      <c r="AE199" s="21">
        <f t="shared" si="120"/>
        <v>0</v>
      </c>
      <c r="AF199" s="21">
        <f t="shared" si="121"/>
        <v>0</v>
      </c>
      <c r="AG199" s="21">
        <f t="shared" si="95"/>
        <v>0</v>
      </c>
      <c r="AH199" s="21">
        <f t="shared" si="96"/>
        <v>0</v>
      </c>
      <c r="AI199" s="21">
        <f t="shared" si="122"/>
        <v>0</v>
      </c>
      <c r="AJ199" s="21">
        <f t="shared" si="123"/>
        <v>0</v>
      </c>
      <c r="AK199" s="21">
        <f t="shared" si="124"/>
        <v>0</v>
      </c>
      <c r="AL199" s="21">
        <f t="shared" si="125"/>
        <v>0</v>
      </c>
      <c r="AM199" s="21">
        <f t="shared" si="126"/>
        <v>0</v>
      </c>
      <c r="AN199" s="21">
        <f t="shared" si="97"/>
        <v>0</v>
      </c>
      <c r="AO199" s="21">
        <f t="shared" si="127"/>
        <v>0</v>
      </c>
      <c r="AP199" s="21">
        <f t="shared" si="128"/>
        <v>0</v>
      </c>
      <c r="AQ199" s="21">
        <f t="shared" si="98"/>
        <v>0</v>
      </c>
      <c r="AR199" s="21">
        <f t="shared" si="99"/>
        <v>0</v>
      </c>
    </row>
    <row r="200" spans="1:44" x14ac:dyDescent="0.25">
      <c r="A200" s="51">
        <v>77</v>
      </c>
      <c r="B200" s="51">
        <f t="shared" si="86"/>
        <v>111</v>
      </c>
      <c r="C200" s="51">
        <f t="shared" si="87"/>
        <v>2103</v>
      </c>
      <c r="D200" s="52" t="b">
        <f t="shared" si="88"/>
        <v>0</v>
      </c>
      <c r="E200" s="50">
        <f t="shared" si="100"/>
        <v>1.0229999999999999</v>
      </c>
      <c r="F200" s="50">
        <f t="shared" si="101"/>
        <v>5.6305155487950014</v>
      </c>
      <c r="G200" s="50">
        <f t="shared" si="102"/>
        <v>1</v>
      </c>
      <c r="H200" s="21">
        <f t="shared" si="103"/>
        <v>0</v>
      </c>
      <c r="I200" s="21">
        <f t="shared" si="104"/>
        <v>0</v>
      </c>
      <c r="J200" s="21">
        <f t="shared" si="105"/>
        <v>0</v>
      </c>
      <c r="K200" s="21">
        <f t="shared" si="106"/>
        <v>0</v>
      </c>
      <c r="L200" s="50">
        <f t="shared" si="107"/>
        <v>1</v>
      </c>
      <c r="M200" s="50">
        <f t="shared" si="108"/>
        <v>1</v>
      </c>
      <c r="N200" s="21">
        <f t="shared" si="109"/>
        <v>0</v>
      </c>
      <c r="O200" s="21">
        <f t="shared" si="110"/>
        <v>0</v>
      </c>
      <c r="P200" s="21">
        <f t="shared" si="111"/>
        <v>0</v>
      </c>
      <c r="Q200" s="37">
        <f t="shared" si="112"/>
        <v>8</v>
      </c>
      <c r="R200" s="21">
        <f t="shared" si="113"/>
        <v>0</v>
      </c>
      <c r="S200" s="21">
        <f t="shared" si="114"/>
        <v>0</v>
      </c>
      <c r="T200" s="21">
        <f t="shared" si="115"/>
        <v>0</v>
      </c>
      <c r="U200" s="21">
        <f t="shared" si="116"/>
        <v>0</v>
      </c>
      <c r="V200" s="21">
        <f t="shared" si="117"/>
        <v>0</v>
      </c>
      <c r="W200" s="21">
        <f t="shared" si="89"/>
        <v>0</v>
      </c>
      <c r="X200" s="21">
        <f t="shared" si="90"/>
        <v>0</v>
      </c>
      <c r="Y200" s="21">
        <f t="shared" si="91"/>
        <v>0</v>
      </c>
      <c r="Z200" s="21">
        <f t="shared" si="92"/>
        <v>0</v>
      </c>
      <c r="AA200" s="21">
        <f t="shared" si="118"/>
        <v>0</v>
      </c>
      <c r="AB200" s="21">
        <f t="shared" si="119"/>
        <v>0</v>
      </c>
      <c r="AC200" s="21">
        <f t="shared" si="93"/>
        <v>0</v>
      </c>
      <c r="AD200" s="21">
        <f t="shared" si="94"/>
        <v>0</v>
      </c>
      <c r="AE200" s="21">
        <f t="shared" si="120"/>
        <v>0</v>
      </c>
      <c r="AF200" s="21">
        <f t="shared" si="121"/>
        <v>0</v>
      </c>
      <c r="AG200" s="21">
        <f t="shared" si="95"/>
        <v>0</v>
      </c>
      <c r="AH200" s="21">
        <f t="shared" si="96"/>
        <v>0</v>
      </c>
      <c r="AI200" s="21">
        <f t="shared" si="122"/>
        <v>0</v>
      </c>
      <c r="AJ200" s="21">
        <f t="shared" si="123"/>
        <v>0</v>
      </c>
      <c r="AK200" s="21">
        <f t="shared" si="124"/>
        <v>0</v>
      </c>
      <c r="AL200" s="21">
        <f t="shared" si="125"/>
        <v>0</v>
      </c>
      <c r="AM200" s="21">
        <f t="shared" si="126"/>
        <v>0</v>
      </c>
      <c r="AN200" s="21">
        <f t="shared" si="97"/>
        <v>0</v>
      </c>
      <c r="AO200" s="21">
        <f t="shared" si="127"/>
        <v>0</v>
      </c>
      <c r="AP200" s="21">
        <f t="shared" si="128"/>
        <v>0</v>
      </c>
      <c r="AQ200" s="21">
        <f t="shared" si="98"/>
        <v>0</v>
      </c>
      <c r="AR200" s="21">
        <f t="shared" si="99"/>
        <v>0</v>
      </c>
    </row>
    <row r="201" spans="1:44" x14ac:dyDescent="0.25">
      <c r="A201" s="51">
        <v>78</v>
      </c>
      <c r="B201" s="51">
        <f t="shared" si="86"/>
        <v>112</v>
      </c>
      <c r="C201" s="51">
        <f t="shared" si="87"/>
        <v>2104</v>
      </c>
      <c r="D201" s="52" t="b">
        <f t="shared" si="88"/>
        <v>0</v>
      </c>
      <c r="E201" s="50">
        <f t="shared" si="100"/>
        <v>1.0229999999999999</v>
      </c>
      <c r="F201" s="50">
        <f t="shared" si="101"/>
        <v>5.760017406417286</v>
      </c>
      <c r="G201" s="50">
        <f t="shared" si="102"/>
        <v>1</v>
      </c>
      <c r="H201" s="21">
        <f t="shared" si="103"/>
        <v>0</v>
      </c>
      <c r="I201" s="21">
        <f t="shared" si="104"/>
        <v>0</v>
      </c>
      <c r="J201" s="21">
        <f t="shared" si="105"/>
        <v>0</v>
      </c>
      <c r="K201" s="21">
        <f t="shared" si="106"/>
        <v>0</v>
      </c>
      <c r="L201" s="50">
        <f t="shared" si="107"/>
        <v>1</v>
      </c>
      <c r="M201" s="50">
        <f t="shared" si="108"/>
        <v>1</v>
      </c>
      <c r="N201" s="21">
        <f t="shared" si="109"/>
        <v>0</v>
      </c>
      <c r="O201" s="21">
        <f t="shared" si="110"/>
        <v>0</v>
      </c>
      <c r="P201" s="21">
        <f t="shared" si="111"/>
        <v>0</v>
      </c>
      <c r="Q201" s="37">
        <f t="shared" si="112"/>
        <v>8</v>
      </c>
      <c r="R201" s="21">
        <f t="shared" si="113"/>
        <v>0</v>
      </c>
      <c r="S201" s="21">
        <f t="shared" si="114"/>
        <v>0</v>
      </c>
      <c r="T201" s="21">
        <f t="shared" si="115"/>
        <v>0</v>
      </c>
      <c r="U201" s="21">
        <f t="shared" si="116"/>
        <v>0</v>
      </c>
      <c r="V201" s="21">
        <f t="shared" si="117"/>
        <v>0</v>
      </c>
      <c r="W201" s="21">
        <f t="shared" si="89"/>
        <v>0</v>
      </c>
      <c r="X201" s="21">
        <f t="shared" si="90"/>
        <v>0</v>
      </c>
      <c r="Y201" s="21">
        <f t="shared" si="91"/>
        <v>0</v>
      </c>
      <c r="Z201" s="21">
        <f t="shared" si="92"/>
        <v>0</v>
      </c>
      <c r="AA201" s="21">
        <f t="shared" si="118"/>
        <v>0</v>
      </c>
      <c r="AB201" s="21">
        <f t="shared" si="119"/>
        <v>0</v>
      </c>
      <c r="AC201" s="21">
        <f t="shared" si="93"/>
        <v>0</v>
      </c>
      <c r="AD201" s="21">
        <f t="shared" si="94"/>
        <v>0</v>
      </c>
      <c r="AE201" s="21">
        <f t="shared" si="120"/>
        <v>0</v>
      </c>
      <c r="AF201" s="21">
        <f t="shared" si="121"/>
        <v>0</v>
      </c>
      <c r="AG201" s="21">
        <f t="shared" si="95"/>
        <v>0</v>
      </c>
      <c r="AH201" s="21">
        <f t="shared" si="96"/>
        <v>0</v>
      </c>
      <c r="AI201" s="21">
        <f t="shared" si="122"/>
        <v>0</v>
      </c>
      <c r="AJ201" s="21">
        <f t="shared" si="123"/>
        <v>0</v>
      </c>
      <c r="AK201" s="21">
        <f t="shared" si="124"/>
        <v>0</v>
      </c>
      <c r="AL201" s="21">
        <f t="shared" si="125"/>
        <v>0</v>
      </c>
      <c r="AM201" s="21">
        <f t="shared" si="126"/>
        <v>0</v>
      </c>
      <c r="AN201" s="21">
        <f t="shared" si="97"/>
        <v>0</v>
      </c>
      <c r="AO201" s="21">
        <f t="shared" si="127"/>
        <v>0</v>
      </c>
      <c r="AP201" s="21">
        <f t="shared" si="128"/>
        <v>0</v>
      </c>
      <c r="AQ201" s="21">
        <f t="shared" si="98"/>
        <v>0</v>
      </c>
      <c r="AR201" s="21">
        <f t="shared" si="99"/>
        <v>0</v>
      </c>
    </row>
    <row r="202" spans="1:44" x14ac:dyDescent="0.25">
      <c r="A202" s="51">
        <v>79</v>
      </c>
      <c r="B202" s="51">
        <f t="shared" si="86"/>
        <v>113</v>
      </c>
      <c r="C202" s="51">
        <f t="shared" si="87"/>
        <v>2105</v>
      </c>
      <c r="D202" s="52" t="b">
        <f t="shared" si="88"/>
        <v>0</v>
      </c>
      <c r="E202" s="50">
        <f t="shared" si="100"/>
        <v>1.0229999999999999</v>
      </c>
      <c r="F202" s="50">
        <f t="shared" si="101"/>
        <v>5.892497806764883</v>
      </c>
      <c r="G202" s="50">
        <f t="shared" si="102"/>
        <v>1</v>
      </c>
      <c r="H202" s="21">
        <f t="shared" si="103"/>
        <v>0</v>
      </c>
      <c r="I202" s="21">
        <f t="shared" si="104"/>
        <v>0</v>
      </c>
      <c r="J202" s="21">
        <f t="shared" si="105"/>
        <v>0</v>
      </c>
      <c r="K202" s="21">
        <f t="shared" si="106"/>
        <v>0</v>
      </c>
      <c r="L202" s="50">
        <f t="shared" si="107"/>
        <v>1</v>
      </c>
      <c r="M202" s="50">
        <f t="shared" si="108"/>
        <v>1</v>
      </c>
      <c r="N202" s="21">
        <f t="shared" si="109"/>
        <v>0</v>
      </c>
      <c r="O202" s="21">
        <f t="shared" si="110"/>
        <v>0</v>
      </c>
      <c r="P202" s="21">
        <f t="shared" si="111"/>
        <v>0</v>
      </c>
      <c r="Q202" s="37">
        <f t="shared" si="112"/>
        <v>8</v>
      </c>
      <c r="R202" s="21">
        <f t="shared" si="113"/>
        <v>0</v>
      </c>
      <c r="S202" s="21">
        <f t="shared" si="114"/>
        <v>0</v>
      </c>
      <c r="T202" s="21">
        <f t="shared" si="115"/>
        <v>0</v>
      </c>
      <c r="U202" s="21">
        <f t="shared" si="116"/>
        <v>0</v>
      </c>
      <c r="V202" s="21">
        <f t="shared" si="117"/>
        <v>0</v>
      </c>
      <c r="W202" s="21">
        <f t="shared" si="89"/>
        <v>0</v>
      </c>
      <c r="X202" s="21">
        <f t="shared" si="90"/>
        <v>0</v>
      </c>
      <c r="Y202" s="21">
        <f t="shared" si="91"/>
        <v>0</v>
      </c>
      <c r="Z202" s="21">
        <f t="shared" si="92"/>
        <v>0</v>
      </c>
      <c r="AA202" s="21">
        <f t="shared" si="118"/>
        <v>0</v>
      </c>
      <c r="AB202" s="21">
        <f t="shared" si="119"/>
        <v>0</v>
      </c>
      <c r="AC202" s="21">
        <f t="shared" si="93"/>
        <v>0</v>
      </c>
      <c r="AD202" s="21">
        <f t="shared" si="94"/>
        <v>0</v>
      </c>
      <c r="AE202" s="21">
        <f t="shared" si="120"/>
        <v>0</v>
      </c>
      <c r="AF202" s="21">
        <f t="shared" si="121"/>
        <v>0</v>
      </c>
      <c r="AG202" s="21">
        <f t="shared" si="95"/>
        <v>0</v>
      </c>
      <c r="AH202" s="21">
        <f t="shared" si="96"/>
        <v>0</v>
      </c>
      <c r="AI202" s="21">
        <f t="shared" si="122"/>
        <v>0</v>
      </c>
      <c r="AJ202" s="21">
        <f t="shared" si="123"/>
        <v>0</v>
      </c>
      <c r="AK202" s="21">
        <f t="shared" si="124"/>
        <v>0</v>
      </c>
      <c r="AL202" s="21">
        <f t="shared" si="125"/>
        <v>0</v>
      </c>
      <c r="AM202" s="21">
        <f t="shared" si="126"/>
        <v>0</v>
      </c>
      <c r="AN202" s="21">
        <f t="shared" si="97"/>
        <v>0</v>
      </c>
      <c r="AO202" s="21">
        <f t="shared" si="127"/>
        <v>0</v>
      </c>
      <c r="AP202" s="21">
        <f t="shared" si="128"/>
        <v>0</v>
      </c>
      <c r="AQ202" s="21">
        <f t="shared" si="98"/>
        <v>0</v>
      </c>
      <c r="AR202" s="21">
        <f t="shared" si="99"/>
        <v>0</v>
      </c>
    </row>
    <row r="203" spans="1:44" x14ac:dyDescent="0.25">
      <c r="A203" s="51">
        <v>80</v>
      </c>
      <c r="B203" s="51">
        <f t="shared" si="86"/>
        <v>114</v>
      </c>
      <c r="C203" s="51">
        <f t="shared" si="87"/>
        <v>2106</v>
      </c>
      <c r="D203" s="52" t="b">
        <f t="shared" si="88"/>
        <v>0</v>
      </c>
      <c r="E203" s="50">
        <f t="shared" si="100"/>
        <v>1.0229999999999999</v>
      </c>
      <c r="F203" s="50">
        <f t="shared" si="101"/>
        <v>6.0280252563204746</v>
      </c>
      <c r="G203" s="50">
        <f t="shared" si="102"/>
        <v>1</v>
      </c>
      <c r="H203" s="21">
        <f t="shared" si="103"/>
        <v>0</v>
      </c>
      <c r="I203" s="21">
        <f t="shared" si="104"/>
        <v>0</v>
      </c>
      <c r="J203" s="21">
        <f t="shared" si="105"/>
        <v>0</v>
      </c>
      <c r="K203" s="21">
        <f t="shared" si="106"/>
        <v>0</v>
      </c>
      <c r="L203" s="50">
        <f t="shared" si="107"/>
        <v>1</v>
      </c>
      <c r="M203" s="50">
        <f t="shared" si="108"/>
        <v>1</v>
      </c>
      <c r="N203" s="21">
        <f t="shared" si="109"/>
        <v>0</v>
      </c>
      <c r="O203" s="21">
        <f t="shared" si="110"/>
        <v>0</v>
      </c>
      <c r="P203" s="21">
        <f t="shared" si="111"/>
        <v>0</v>
      </c>
      <c r="Q203" s="37">
        <f t="shared" si="112"/>
        <v>8</v>
      </c>
      <c r="R203" s="21">
        <f t="shared" si="113"/>
        <v>0</v>
      </c>
      <c r="S203" s="21">
        <f t="shared" si="114"/>
        <v>0</v>
      </c>
      <c r="T203" s="21">
        <f t="shared" si="115"/>
        <v>0</v>
      </c>
      <c r="U203" s="21">
        <f t="shared" si="116"/>
        <v>0</v>
      </c>
      <c r="V203" s="21">
        <f t="shared" si="117"/>
        <v>0</v>
      </c>
      <c r="W203" s="21">
        <f t="shared" si="89"/>
        <v>0</v>
      </c>
      <c r="X203" s="21">
        <f t="shared" si="90"/>
        <v>0</v>
      </c>
      <c r="Y203" s="21">
        <f t="shared" si="91"/>
        <v>0</v>
      </c>
      <c r="Z203" s="21">
        <f t="shared" si="92"/>
        <v>0</v>
      </c>
      <c r="AA203" s="21">
        <f t="shared" si="118"/>
        <v>0</v>
      </c>
      <c r="AB203" s="21">
        <f t="shared" si="119"/>
        <v>0</v>
      </c>
      <c r="AC203" s="21">
        <f t="shared" si="93"/>
        <v>0</v>
      </c>
      <c r="AD203" s="21">
        <f t="shared" si="94"/>
        <v>0</v>
      </c>
      <c r="AE203" s="21">
        <f t="shared" si="120"/>
        <v>0</v>
      </c>
      <c r="AF203" s="21">
        <f t="shared" si="121"/>
        <v>0</v>
      </c>
      <c r="AG203" s="21">
        <f t="shared" si="95"/>
        <v>0</v>
      </c>
      <c r="AH203" s="21">
        <f t="shared" si="96"/>
        <v>0</v>
      </c>
      <c r="AI203" s="21">
        <f t="shared" si="122"/>
        <v>0</v>
      </c>
      <c r="AJ203" s="21">
        <f t="shared" si="123"/>
        <v>0</v>
      </c>
      <c r="AK203" s="21">
        <f t="shared" si="124"/>
        <v>0</v>
      </c>
      <c r="AL203" s="21">
        <f t="shared" si="125"/>
        <v>0</v>
      </c>
      <c r="AM203" s="21">
        <f t="shared" si="126"/>
        <v>0</v>
      </c>
      <c r="AN203" s="21">
        <f t="shared" si="97"/>
        <v>0</v>
      </c>
      <c r="AO203" s="21">
        <f t="shared" si="127"/>
        <v>0</v>
      </c>
      <c r="AP203" s="21">
        <f t="shared" si="128"/>
        <v>0</v>
      </c>
      <c r="AQ203" s="21">
        <f t="shared" si="98"/>
        <v>0</v>
      </c>
      <c r="AR203" s="21">
        <f t="shared" si="99"/>
        <v>0</v>
      </c>
    </row>
    <row r="204" spans="1:44" x14ac:dyDescent="0.25">
      <c r="A204" s="51">
        <v>81</v>
      </c>
      <c r="B204" s="51">
        <f t="shared" si="86"/>
        <v>115</v>
      </c>
      <c r="C204" s="51">
        <f t="shared" si="87"/>
        <v>2107</v>
      </c>
      <c r="D204" s="52" t="b">
        <f t="shared" si="88"/>
        <v>0</v>
      </c>
      <c r="E204" s="50">
        <f t="shared" si="100"/>
        <v>1.0229999999999999</v>
      </c>
      <c r="F204" s="50">
        <f t="shared" si="101"/>
        <v>6.1666698372158448</v>
      </c>
      <c r="G204" s="50">
        <f t="shared" si="102"/>
        <v>1</v>
      </c>
      <c r="H204" s="21">
        <f t="shared" si="103"/>
        <v>0</v>
      </c>
      <c r="I204" s="21">
        <f t="shared" si="104"/>
        <v>0</v>
      </c>
      <c r="J204" s="21">
        <f t="shared" si="105"/>
        <v>0</v>
      </c>
      <c r="K204" s="21">
        <f t="shared" si="106"/>
        <v>0</v>
      </c>
      <c r="L204" s="50">
        <f t="shared" si="107"/>
        <v>1</v>
      </c>
      <c r="M204" s="50">
        <f t="shared" si="108"/>
        <v>1</v>
      </c>
      <c r="N204" s="21">
        <f t="shared" si="109"/>
        <v>0</v>
      </c>
      <c r="O204" s="21">
        <f t="shared" si="110"/>
        <v>0</v>
      </c>
      <c r="P204" s="21">
        <f t="shared" si="111"/>
        <v>0</v>
      </c>
      <c r="Q204" s="37">
        <f t="shared" si="112"/>
        <v>8</v>
      </c>
      <c r="R204" s="21">
        <f t="shared" si="113"/>
        <v>0</v>
      </c>
      <c r="S204" s="21">
        <f t="shared" si="114"/>
        <v>0</v>
      </c>
      <c r="T204" s="21">
        <f t="shared" si="115"/>
        <v>0</v>
      </c>
      <c r="U204" s="21">
        <f t="shared" si="116"/>
        <v>0</v>
      </c>
      <c r="V204" s="21">
        <f t="shared" si="117"/>
        <v>0</v>
      </c>
      <c r="W204" s="21">
        <f t="shared" si="89"/>
        <v>0</v>
      </c>
      <c r="X204" s="21">
        <f t="shared" si="90"/>
        <v>0</v>
      </c>
      <c r="Y204" s="21">
        <f t="shared" si="91"/>
        <v>0</v>
      </c>
      <c r="Z204" s="21">
        <f t="shared" si="92"/>
        <v>0</v>
      </c>
      <c r="AA204" s="21">
        <f t="shared" si="118"/>
        <v>0</v>
      </c>
      <c r="AB204" s="21">
        <f t="shared" si="119"/>
        <v>0</v>
      </c>
      <c r="AC204" s="21">
        <f t="shared" si="93"/>
        <v>0</v>
      </c>
      <c r="AD204" s="21">
        <f t="shared" si="94"/>
        <v>0</v>
      </c>
      <c r="AE204" s="21">
        <f t="shared" si="120"/>
        <v>0</v>
      </c>
      <c r="AF204" s="21">
        <f t="shared" si="121"/>
        <v>0</v>
      </c>
      <c r="AG204" s="21">
        <f t="shared" si="95"/>
        <v>0</v>
      </c>
      <c r="AH204" s="21">
        <f t="shared" si="96"/>
        <v>0</v>
      </c>
      <c r="AI204" s="21">
        <f t="shared" si="122"/>
        <v>0</v>
      </c>
      <c r="AJ204" s="21">
        <f t="shared" si="123"/>
        <v>0</v>
      </c>
      <c r="AK204" s="21">
        <f t="shared" si="124"/>
        <v>0</v>
      </c>
      <c r="AL204" s="21">
        <f t="shared" si="125"/>
        <v>0</v>
      </c>
      <c r="AM204" s="21">
        <f t="shared" si="126"/>
        <v>0</v>
      </c>
      <c r="AN204" s="21">
        <f t="shared" si="97"/>
        <v>0</v>
      </c>
      <c r="AO204" s="21">
        <f t="shared" si="127"/>
        <v>0</v>
      </c>
      <c r="AP204" s="21">
        <f t="shared" si="128"/>
        <v>0</v>
      </c>
      <c r="AQ204" s="21">
        <f t="shared" si="98"/>
        <v>0</v>
      </c>
      <c r="AR204" s="21">
        <f t="shared" si="99"/>
        <v>0</v>
      </c>
    </row>
    <row r="205" spans="1:44" x14ac:dyDescent="0.25">
      <c r="A205" s="51">
        <v>82</v>
      </c>
      <c r="B205" s="51">
        <f t="shared" si="86"/>
        <v>116</v>
      </c>
      <c r="C205" s="51">
        <f t="shared" si="87"/>
        <v>2108</v>
      </c>
      <c r="D205" s="52" t="b">
        <f t="shared" si="88"/>
        <v>0</v>
      </c>
      <c r="E205" s="50">
        <f t="shared" si="100"/>
        <v>1.0229999999999999</v>
      </c>
      <c r="F205" s="50">
        <f t="shared" si="101"/>
        <v>6.3085032434718089</v>
      </c>
      <c r="G205" s="50">
        <f t="shared" si="102"/>
        <v>1</v>
      </c>
      <c r="H205" s="21">
        <f t="shared" si="103"/>
        <v>0</v>
      </c>
      <c r="I205" s="21">
        <f t="shared" si="104"/>
        <v>0</v>
      </c>
      <c r="J205" s="21">
        <f t="shared" si="105"/>
        <v>0</v>
      </c>
      <c r="K205" s="21">
        <f t="shared" si="106"/>
        <v>0</v>
      </c>
      <c r="L205" s="50">
        <f t="shared" si="107"/>
        <v>1</v>
      </c>
      <c r="M205" s="50">
        <f t="shared" si="108"/>
        <v>1</v>
      </c>
      <c r="N205" s="21">
        <f t="shared" si="109"/>
        <v>0</v>
      </c>
      <c r="O205" s="21">
        <f t="shared" si="110"/>
        <v>0</v>
      </c>
      <c r="P205" s="21">
        <f t="shared" si="111"/>
        <v>0</v>
      </c>
      <c r="Q205" s="37">
        <f t="shared" si="112"/>
        <v>8</v>
      </c>
      <c r="R205" s="21">
        <f t="shared" si="113"/>
        <v>0</v>
      </c>
      <c r="S205" s="21">
        <f t="shared" si="114"/>
        <v>0</v>
      </c>
      <c r="T205" s="21">
        <f t="shared" si="115"/>
        <v>0</v>
      </c>
      <c r="U205" s="21">
        <f t="shared" si="116"/>
        <v>0</v>
      </c>
      <c r="V205" s="21">
        <f t="shared" si="117"/>
        <v>0</v>
      </c>
      <c r="W205" s="21">
        <f t="shared" si="89"/>
        <v>0</v>
      </c>
      <c r="X205" s="21">
        <f t="shared" si="90"/>
        <v>0</v>
      </c>
      <c r="Y205" s="21">
        <f t="shared" si="91"/>
        <v>0</v>
      </c>
      <c r="Z205" s="21">
        <f t="shared" si="92"/>
        <v>0</v>
      </c>
      <c r="AA205" s="21">
        <f t="shared" si="118"/>
        <v>0</v>
      </c>
      <c r="AB205" s="21">
        <f t="shared" si="119"/>
        <v>0</v>
      </c>
      <c r="AC205" s="21">
        <f t="shared" si="93"/>
        <v>0</v>
      </c>
      <c r="AD205" s="21">
        <f t="shared" si="94"/>
        <v>0</v>
      </c>
      <c r="AE205" s="21">
        <f t="shared" si="120"/>
        <v>0</v>
      </c>
      <c r="AF205" s="21">
        <f t="shared" si="121"/>
        <v>0</v>
      </c>
      <c r="AG205" s="21">
        <f t="shared" si="95"/>
        <v>0</v>
      </c>
      <c r="AH205" s="21">
        <f t="shared" si="96"/>
        <v>0</v>
      </c>
      <c r="AI205" s="21">
        <f t="shared" si="122"/>
        <v>0</v>
      </c>
      <c r="AJ205" s="21">
        <f t="shared" si="123"/>
        <v>0</v>
      </c>
      <c r="AK205" s="21">
        <f t="shared" si="124"/>
        <v>0</v>
      </c>
      <c r="AL205" s="21">
        <f t="shared" si="125"/>
        <v>0</v>
      </c>
      <c r="AM205" s="21">
        <f t="shared" si="126"/>
        <v>0</v>
      </c>
      <c r="AN205" s="21">
        <f t="shared" si="97"/>
        <v>0</v>
      </c>
      <c r="AO205" s="21">
        <f t="shared" si="127"/>
        <v>0</v>
      </c>
      <c r="AP205" s="21">
        <f t="shared" si="128"/>
        <v>0</v>
      </c>
      <c r="AQ205" s="21">
        <f t="shared" si="98"/>
        <v>0</v>
      </c>
      <c r="AR205" s="21">
        <f t="shared" si="99"/>
        <v>0</v>
      </c>
    </row>
  </sheetData>
  <mergeCells count="15">
    <mergeCell ref="A1:D1"/>
    <mergeCell ref="A17:D17"/>
    <mergeCell ref="H4:N4"/>
    <mergeCell ref="AI121:AR121"/>
    <mergeCell ref="Q121:AD121"/>
    <mergeCell ref="A88:D88"/>
    <mergeCell ref="A4:D4"/>
    <mergeCell ref="H15:L15"/>
    <mergeCell ref="L121:P121"/>
    <mergeCell ref="A55:D55"/>
    <mergeCell ref="A109:D109"/>
    <mergeCell ref="E121:K121"/>
    <mergeCell ref="AE121:AH121"/>
    <mergeCell ref="A121:D121"/>
    <mergeCell ref="A32:D32"/>
  </mergeCells>
  <conditionalFormatting sqref="A123:AR205">
    <cfRule type="expression" dxfId="5" priority="1">
      <formula>OR($D123=FALSE,$B123&gt;endAge)</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A3E9D"/>
  </sheetPr>
  <dimension ref="A1:BK150"/>
  <sheetViews>
    <sheetView workbookViewId="0">
      <pane ySplit="3" topLeftCell="A4" activePane="bottomLeft" state="frozen"/>
      <selection pane="bottomLeft" activeCell="A26" sqref="A26"/>
    </sheetView>
  </sheetViews>
  <sheetFormatPr defaultRowHeight="15" x14ac:dyDescent="0.25"/>
  <cols>
    <col min="1" max="1" width="36" customWidth="1"/>
    <col min="2" max="2" width="22" customWidth="1"/>
    <col min="3" max="3" width="34" customWidth="1"/>
    <col min="4" max="4" width="78" customWidth="1"/>
    <col min="5" max="5" width="13" customWidth="1"/>
    <col min="6" max="6" width="42" customWidth="1"/>
    <col min="7" max="63" width="13" customWidth="1"/>
  </cols>
  <sheetData>
    <row r="1" spans="1:32" ht="27.95" customHeight="1" x14ac:dyDescent="0.25">
      <c r="A1" s="77" t="s">
        <v>1104</v>
      </c>
      <c r="B1" s="74"/>
      <c r="C1" s="74"/>
      <c r="D1" s="74"/>
    </row>
    <row r="2" spans="1:32" x14ac:dyDescent="0.25">
      <c r="A2" s="4" t="s">
        <v>83</v>
      </c>
      <c r="B2" s="5" t="str">
        <f>SelectedPersona</f>
        <v>P03</v>
      </c>
      <c r="C2" s="6" t="str">
        <f>IFERROR(INDEX(Personas!B$3:B$52,MATCH($B$2,Personas!$A$3:$A$52,0)),"")</f>
        <v>Daniel Koh</v>
      </c>
      <c r="D2" s="1" t="s">
        <v>352</v>
      </c>
      <c r="F2" s="4" t="s">
        <v>86</v>
      </c>
    </row>
    <row r="3" spans="1:32" x14ac:dyDescent="0.25">
      <c r="A3" s="2" t="s">
        <v>87</v>
      </c>
      <c r="B3" s="2" t="s">
        <v>88</v>
      </c>
      <c r="C3" s="2" t="s">
        <v>89</v>
      </c>
      <c r="D3" s="2" t="s">
        <v>90</v>
      </c>
      <c r="F3" s="7" t="s">
        <v>91</v>
      </c>
    </row>
    <row r="4" spans="1:32" x14ac:dyDescent="0.25">
      <c r="A4" s="79" t="s">
        <v>1105</v>
      </c>
      <c r="B4" s="79"/>
      <c r="C4" s="79"/>
      <c r="D4" s="79"/>
      <c r="F4" s="8" t="s">
        <v>93</v>
      </c>
      <c r="H4" s="80" t="s">
        <v>1106</v>
      </c>
      <c r="I4" s="84"/>
      <c r="J4" s="84"/>
      <c r="K4" s="84"/>
      <c r="L4" s="84"/>
      <c r="M4" s="84"/>
      <c r="N4" s="84"/>
      <c r="O4" s="84"/>
      <c r="P4" s="84"/>
      <c r="Q4" s="84"/>
      <c r="R4" s="84"/>
      <c r="S4" s="84"/>
      <c r="T4" s="84"/>
      <c r="U4" s="84"/>
      <c r="V4" s="84"/>
      <c r="W4" s="84"/>
      <c r="X4" s="84"/>
      <c r="Y4" s="84"/>
      <c r="Z4" s="84"/>
      <c r="AA4" s="84"/>
      <c r="AB4" s="84"/>
      <c r="AC4" s="84"/>
      <c r="AD4" s="84"/>
      <c r="AE4" s="84"/>
      <c r="AF4" s="85"/>
    </row>
    <row r="5" spans="1:32" x14ac:dyDescent="0.25">
      <c r="A5" s="9" t="s">
        <v>98</v>
      </c>
      <c r="B5" s="12">
        <f>IFERROR(INDEX(Personas!C$3:C$52,MATCH($B$2,Personas!$A$3:$A$52,0)),"")</f>
        <v>34</v>
      </c>
      <c r="C5" s="5" t="s">
        <v>95</v>
      </c>
      <c r="D5" s="10" t="s">
        <v>1107</v>
      </c>
      <c r="F5" s="11" t="s">
        <v>97</v>
      </c>
      <c r="H5" s="2" t="s">
        <v>653</v>
      </c>
      <c r="I5" s="2" t="s">
        <v>1108</v>
      </c>
      <c r="J5" s="2" t="s">
        <v>1109</v>
      </c>
      <c r="K5" s="2" t="s">
        <v>1110</v>
      </c>
      <c r="L5" s="2" t="s">
        <v>1111</v>
      </c>
      <c r="M5" s="2" t="s">
        <v>1112</v>
      </c>
      <c r="N5" s="2" t="s">
        <v>1113</v>
      </c>
      <c r="O5" s="2" t="s">
        <v>657</v>
      </c>
      <c r="P5" s="2" t="s">
        <v>1114</v>
      </c>
      <c r="Q5" s="2" t="s">
        <v>1115</v>
      </c>
      <c r="R5" s="2" t="s">
        <v>1116</v>
      </c>
      <c r="S5" s="2" t="s">
        <v>1117</v>
      </c>
      <c r="T5" s="2" t="s">
        <v>1118</v>
      </c>
      <c r="U5" s="2" t="s">
        <v>1119</v>
      </c>
      <c r="V5" s="2" t="s">
        <v>1120</v>
      </c>
      <c r="W5" s="2" t="s">
        <v>1121</v>
      </c>
      <c r="X5" s="2" t="s">
        <v>1122</v>
      </c>
      <c r="Y5" s="2" t="s">
        <v>1123</v>
      </c>
      <c r="Z5" s="2" t="s">
        <v>1124</v>
      </c>
      <c r="AA5" s="2" t="s">
        <v>1125</v>
      </c>
      <c r="AB5" s="2" t="s">
        <v>1126</v>
      </c>
      <c r="AC5" s="2" t="s">
        <v>1127</v>
      </c>
      <c r="AD5" s="2" t="s">
        <v>1128</v>
      </c>
      <c r="AE5" s="2" t="s">
        <v>1129</v>
      </c>
      <c r="AF5" s="2" t="s">
        <v>1130</v>
      </c>
    </row>
    <row r="6" spans="1:32" x14ac:dyDescent="0.25">
      <c r="A6" s="9" t="s">
        <v>101</v>
      </c>
      <c r="B6" s="5" t="str">
        <f>IFERROR(INDEX(Personas!D$3:D$52,MATCH($B$2,Personas!$A$3:$A$52,0)),"")</f>
        <v>Female</v>
      </c>
      <c r="C6" s="5" t="s">
        <v>95</v>
      </c>
      <c r="D6" s="10" t="s">
        <v>1131</v>
      </c>
      <c r="F6" s="13" t="s">
        <v>100</v>
      </c>
      <c r="H6" s="2" t="s">
        <v>658</v>
      </c>
      <c r="I6" s="19" t="s">
        <v>658</v>
      </c>
      <c r="J6" s="19" t="b">
        <f>NC_on_N_INC</f>
        <v>1</v>
      </c>
      <c r="K6" s="21">
        <f>NC_amount_N_INC</f>
        <v>874927</v>
      </c>
      <c r="L6" s="21">
        <f>HU_lifeSum</f>
        <v>428400</v>
      </c>
      <c r="M6" s="19" t="b">
        <f>NOT(AND(PLAN_sug_N_INC,NOT(PLAN_included_N_INC)))</f>
        <v>1</v>
      </c>
      <c r="N6" s="21">
        <f>IF(NOT($M$6),0,IF(PLAN_sug_N_INC,MAX(0,PLAN_sum_N_INC),MAX(0,ROUND($K$6/HU_benefitRound,0)*HU_benefitRound)))</f>
        <v>446527</v>
      </c>
      <c r="O6" s="37">
        <f>NP_priority_N_INC</f>
        <v>5</v>
      </c>
      <c r="P6" s="37">
        <f>IF($M$6,MIN(HU_term,HU_depYears),HU_depYears)+1</f>
        <v>11</v>
      </c>
      <c r="Q6" s="37">
        <f>MIN($P$6,HU_T)</f>
        <v>11</v>
      </c>
      <c r="R6" s="19" t="s">
        <v>1132</v>
      </c>
      <c r="S6" s="21">
        <f>INDEX($AD$68:$AD$150,IF(HU_T&gt;=1,2,1))+$K$6</f>
        <v>1039130.8534293654</v>
      </c>
      <c r="T6" s="21">
        <f>HU_whl*$K$6</f>
        <v>218731.75</v>
      </c>
      <c r="U6" s="21">
        <f>IF($S$6=0,0,IF(0&gt;$S$6/HU_alpha+$K$6,0.5*$S$6/HU_alpha,IF(0&gt;=$K$6,(0-$K$6)-0.5*HU_alpha/$S$6*(0-$K$6)^2,IF(0&gt;=$T$6,HU_beta*(0-$K$6),HU_beta*($T$6-$K$6)))))</f>
        <v>-656195.25</v>
      </c>
      <c r="V6" s="21">
        <f>$U$6*SUM($AF$68:$AF$150)</f>
        <v>-6546925.6154174265</v>
      </c>
      <c r="W6" s="21">
        <f>SUMPRODUCT($AF$68:$AF$150,$AG$68:$AG$150)</f>
        <v>-685922.40551819582</v>
      </c>
      <c r="X6" s="21">
        <f>SUMPRODUCT($AF$68:$AF$150,$AH$68:$AH$150)</f>
        <v>1892558.7981904012</v>
      </c>
      <c r="Y6" s="21">
        <f>SUMPRODUCT($AF$68:$AF$150,$AI$68:$AI$150)</f>
        <v>1892558.7981904012</v>
      </c>
      <c r="Z6" s="21">
        <f>$Y$6-$V$6</f>
        <v>8439484.4136078283</v>
      </c>
      <c r="AA6" s="50">
        <f>IF(NOT($J$6),"",IF($S$6=0,1,IF($Z$6=0,1,IF(AND($Z$6=$W$6-$V$6,$W$6&gt;0),1,MAX(0,MIN(1,($W$6-$V$6)/$Z$6))))))</f>
        <v>0.69447408427568713</v>
      </c>
      <c r="AB6" s="50">
        <f>IF(NOT($J$6),"",IF($S$6=0,1,IF($Z$6=0,1,IF(AND($Z$6=$X$6-$V$6,$X$6&gt;0),1,MAX(0,MIN(1,($X$6-$V$6)/$Z$6))))))</f>
        <v>1</v>
      </c>
      <c r="AC6" s="19" t="str">
        <f>IF(NOT($J$6),"",IF($S$6=0,"w0 = 0 (HU raises an error)",IF($Z$6=0,"denominator 0","")))</f>
        <v/>
      </c>
      <c r="AD6" s="50">
        <f>IF($J$6,MAX(LN($O$6+1),LN(1+1)),0)</f>
        <v>1.791759469228055</v>
      </c>
      <c r="AE6" s="50">
        <f>IF($J$6,1,0)</f>
        <v>1</v>
      </c>
      <c r="AF6" s="50">
        <f>IF($J$6,$AD$6*$AE$6/SUMPRODUCT($AD$6:$AD$13,$AE$6:$AE$13),0)</f>
        <v>0.29118320241749474</v>
      </c>
    </row>
    <row r="7" spans="1:32" x14ac:dyDescent="0.25">
      <c r="A7" s="9" t="s">
        <v>129</v>
      </c>
      <c r="B7" s="5" t="b">
        <f>IFERROR(INDEX(Personas!U$3:U$52,MATCH($B$2,Personas!$A$3:$A$52,0)),"")</f>
        <v>0</v>
      </c>
      <c r="C7" s="5" t="s">
        <v>95</v>
      </c>
      <c r="D7" s="10" t="s">
        <v>130</v>
      </c>
      <c r="H7" s="2" t="s">
        <v>659</v>
      </c>
      <c r="I7" s="19" t="s">
        <v>659</v>
      </c>
      <c r="J7" s="19" t="b">
        <f>NC_on_N_CRI</f>
        <v>0</v>
      </c>
      <c r="K7" s="21">
        <f>NC_amount_N_CRI</f>
        <v>452382</v>
      </c>
      <c r="L7" s="21">
        <v>0</v>
      </c>
      <c r="M7" s="19" t="b">
        <f>NOT(AND(PLAN_sug_N_CRI,NOT(PLAN_included_N_CRI)))</f>
        <v>1</v>
      </c>
      <c r="N7" s="21">
        <f>IF(NOT($M$7),0,IF(PLAN_sug_N_CRI,MAX(0,PLAN_sum_N_CRI),MAX(0,ROUND($K$7/HU_benefitRound,0)*HU_benefitRound)))</f>
        <v>450000</v>
      </c>
      <c r="O7" s="37">
        <f>NP_priority_N_CRI</f>
        <v>3</v>
      </c>
      <c r="P7" s="37">
        <f>IF($M$7,HU_term,HU_ciMaxAge-HU_age)+1</f>
        <v>11</v>
      </c>
      <c r="Q7" s="37">
        <f>MIN($P$7,HU_T)</f>
        <v>11</v>
      </c>
      <c r="R7" s="19" t="s">
        <v>1133</v>
      </c>
      <c r="S7" s="21">
        <f>$K$7</f>
        <v>452382</v>
      </c>
      <c r="T7" s="21">
        <f>HU_whl*$K$7</f>
        <v>113095.5</v>
      </c>
      <c r="U7" s="21">
        <f>IF($S$7=0,0,IF(0&gt;$S$7/HU_alpha+$K$7,0.5*$S$7/HU_alpha,IF(0&gt;=$K$7,(0-$K$7)-0.5*HU_alpha/$S$7*(0-$K$7)^2,IF(0&gt;=$T$7,HU_beta*(0-$K$7),HU_beta*($T$7-$K$7)))))</f>
        <v>-339286.5</v>
      </c>
      <c r="V7" s="21">
        <f>$U$7*SUM($AJ$68:$AJ$150)</f>
        <v>0</v>
      </c>
      <c r="W7" s="21">
        <f>SUMPRODUCT($AJ$68:$AJ$150,$AK$68:$AK$150)</f>
        <v>0</v>
      </c>
      <c r="X7" s="21">
        <f>SUMPRODUCT($AJ$68:$AJ$150,$AL$68:$AL$150)</f>
        <v>0</v>
      </c>
      <c r="Y7" s="21">
        <f>SUMPRODUCT($AJ$68:$AJ$150,$AM$68:$AM$150)</f>
        <v>0</v>
      </c>
      <c r="Z7" s="21">
        <f>$Y$7-$V$7</f>
        <v>0</v>
      </c>
      <c r="AA7" s="50" t="str">
        <f>IF(NOT($J$7),"",IF($S$7=0,1,IF($Z$7=0,1,IF(AND($Z$7=$W$7-$V$7,$W$7&gt;0),1,MAX(0,MIN(1,($W$7-$V$7)/$Z$7))))))</f>
        <v/>
      </c>
      <c r="AB7" s="50" t="str">
        <f>IF(NOT($J$7),"",IF($S$7=0,1,IF($Z$7=0,1,IF(AND($Z$7=$X$7-$V$7,$X$7&gt;0),1,MAX(0,MIN(1,($X$7-$V$7)/$Z$7))))))</f>
        <v/>
      </c>
      <c r="AC7" s="19" t="str">
        <f>IF(NOT($J$7),"",IF($S$7=0,"w0 = 0 (HU raises an error)",IF($Z$7=0,"denominator 0","")))</f>
        <v/>
      </c>
      <c r="AD7" s="50">
        <f>IF($J$7,MAX(LN($O$7+1),LN(1+1)),0)</f>
        <v>0</v>
      </c>
      <c r="AE7" s="50">
        <f>IF($J$7,1/HU_nCons,0)</f>
        <v>0</v>
      </c>
      <c r="AF7" s="50">
        <f>IF($J$7,$AD$7*$AE$7/SUMPRODUCT($AD$6:$AD$13,$AE$6:$AE$13),0)</f>
        <v>0</v>
      </c>
    </row>
    <row r="8" spans="1:32" x14ac:dyDescent="0.25">
      <c r="A8" s="9" t="s">
        <v>139</v>
      </c>
      <c r="B8" s="28">
        <f>PLU_incomeMonthly</f>
        <v>7140</v>
      </c>
      <c r="C8" s="5" t="s">
        <v>95</v>
      </c>
      <c r="D8" s="10"/>
      <c r="H8" s="2" t="s">
        <v>660</v>
      </c>
      <c r="I8" s="19" t="s">
        <v>660</v>
      </c>
      <c r="J8" s="19" t="b">
        <f>NC_on_N_TPD</f>
        <v>0</v>
      </c>
      <c r="K8" s="21">
        <f>NC_amount_N_TPD</f>
        <v>613059</v>
      </c>
      <c r="L8" s="21">
        <v>0</v>
      </c>
      <c r="M8" s="19" t="b">
        <f>NOT(AND(PLAN_sug_N_TPD,NOT(PLAN_included_N_TPD)))</f>
        <v>1</v>
      </c>
      <c r="N8" s="21">
        <f>IF(NOT($M$8),0,IF(PLAN_sug_N_TPD,MAX(0,PLAN_sum_N_TPD),MAX(0,ROUND($K$8/HU_benefitRound,0)*HU_benefitRound)))</f>
        <v>600000</v>
      </c>
      <c r="O8" s="37">
        <f>NP_priority_N_TPD</f>
        <v>3</v>
      </c>
      <c r="P8" s="37">
        <f>IF($M$8,HU_term,HU_ciMaxAge-HU_age)+1</f>
        <v>11</v>
      </c>
      <c r="Q8" s="37">
        <f>MIN($P$8,HU_T)</f>
        <v>11</v>
      </c>
      <c r="R8" s="19" t="s">
        <v>1133</v>
      </c>
      <c r="S8" s="21">
        <f>$K$8</f>
        <v>613059</v>
      </c>
      <c r="T8" s="21">
        <f>HU_whl*$K$8</f>
        <v>153264.75</v>
      </c>
      <c r="U8" s="21">
        <f>IF($S$8=0,0,IF(0&gt;$S$8/HU_alpha+$K$8,0.5*$S$8/HU_alpha,IF(0&gt;=$K$8,(0-$K$8)-0.5*HU_alpha/$S$8*(0-$K$8)^2,IF(0&gt;=$T$8,HU_beta*(0-$K$8),HU_beta*($T$8-$K$8)))))</f>
        <v>-459794.25</v>
      </c>
      <c r="V8" s="21">
        <f>$U$8*SUM($AN$68:$AN$150)</f>
        <v>0</v>
      </c>
      <c r="W8" s="21">
        <f>SUMPRODUCT($AN$68:$AN$150,$AO$68:$AO$150)</f>
        <v>0</v>
      </c>
      <c r="X8" s="21">
        <f>SUMPRODUCT($AN$68:$AN$150,$AP$68:$AP$150)</f>
        <v>0</v>
      </c>
      <c r="Y8" s="21">
        <f>SUMPRODUCT($AN$68:$AN$150,$AQ$68:$AQ$150)</f>
        <v>0</v>
      </c>
      <c r="Z8" s="21">
        <f>$Y$8-$V$8</f>
        <v>0</v>
      </c>
      <c r="AA8" s="50" t="str">
        <f>IF(NOT($J$8),"",IF($S$8=0,1,IF($Z$8=0,1,IF(AND($Z$8=$W$8-$V$8,$W$8&gt;0),1,MAX(0,MIN(1,($W$8-$V$8)/$Z$8))))))</f>
        <v/>
      </c>
      <c r="AB8" s="50" t="str">
        <f>IF(NOT($J$8),"",IF($S$8=0,1,IF($Z$8=0,1,IF(AND($Z$8=$X$8-$V$8,$X$8&gt;0),1,MAX(0,MIN(1,($X$8-$V$8)/$Z$8))))))</f>
        <v/>
      </c>
      <c r="AC8" s="19" t="str">
        <f>IF(NOT($J$8),"",IF($S$8=0,"w0 = 0 (HU raises an error)",IF($Z$8=0,"denominator 0","")))</f>
        <v/>
      </c>
      <c r="AD8" s="50">
        <f>IF($J$8,MAX(LN($O$8+1),LN(0+1)),0)</f>
        <v>0</v>
      </c>
      <c r="AE8" s="50">
        <f>IF($J$8,1/HU_nCons,0)</f>
        <v>0</v>
      </c>
      <c r="AF8" s="50">
        <f>IF($J$8,$AD$8*$AE$8/SUMPRODUCT($AD$6:$AD$13,$AE$6:$AE$13),0)</f>
        <v>0</v>
      </c>
    </row>
    <row r="9" spans="1:32" x14ac:dyDescent="0.25">
      <c r="A9" s="9" t="s">
        <v>143</v>
      </c>
      <c r="B9" s="28">
        <f>PLU_expenseMonthly</f>
        <v>4141.2</v>
      </c>
      <c r="C9" s="5" t="s">
        <v>95</v>
      </c>
      <c r="D9" s="10"/>
      <c r="H9" s="2" t="s">
        <v>661</v>
      </c>
      <c r="I9" s="19" t="s">
        <v>1134</v>
      </c>
      <c r="J9" s="19" t="b">
        <f>NC_on_N_HOS</f>
        <v>1</v>
      </c>
      <c r="K9" s="21">
        <f>NC_amount_N_HOS</f>
        <v>42840</v>
      </c>
      <c r="L9" s="21">
        <v>0</v>
      </c>
      <c r="M9" s="19" t="b">
        <f>NOT(AND(PLAN_sug_N_HOS,NOT(PLAN_included_N_HOS)))</f>
        <v>1</v>
      </c>
      <c r="N9" s="21">
        <f>IF(NOT($M$9),0,IF(PLAN_sug_N_HOS,MAX(0,PLAN_sum_N_HOS),MAX(0,ROUND($K$9/HU_benefitRound,0)*HU_benefitRound)))</f>
        <v>42840</v>
      </c>
      <c r="O9" s="37">
        <f>NP_priority_N_HOS</f>
        <v>5</v>
      </c>
      <c r="P9" s="37">
        <f>IF($M$9,HU_term,HU_ciMaxAge-HU_age)+1</f>
        <v>11</v>
      </c>
      <c r="Q9" s="37">
        <f>MIN($P$9,HU_T)</f>
        <v>11</v>
      </c>
      <c r="R9" s="19" t="s">
        <v>1133</v>
      </c>
      <c r="S9" s="21">
        <f>$K$9</f>
        <v>42840</v>
      </c>
      <c r="T9" s="21">
        <f>HU_whl*$K$9</f>
        <v>10710</v>
      </c>
      <c r="U9" s="21">
        <f>IF($S$9=0,0,IF(0&gt;$S$9/HU_alpha+$K$9,0.5*$S$9/HU_alpha,IF(0&gt;=$K$9,(0-$K$9)-0.5*HU_alpha/$S$9*(0-$K$9)^2,IF(0&gt;=$T$9,HU_beta*(0-$K$9),HU_beta*($T$9-$K$9)))))</f>
        <v>-32130</v>
      </c>
      <c r="V9" s="21">
        <f>$U$9*SUM($AR$68:$AR$150)</f>
        <v>-320564.22234595864</v>
      </c>
      <c r="W9" s="21">
        <f>SUMPRODUCT($AR$68:$AR$150,$AS$68:$AS$150)</f>
        <v>4264.0250516197048</v>
      </c>
      <c r="X9" s="21">
        <f>SUMPRODUCT($AR$68:$AR$150,$AT$68:$AT$150)</f>
        <v>85483.792625588976</v>
      </c>
      <c r="Y9" s="21">
        <f>SUMPRODUCT($AR$68:$AR$150,$AU$68:$AU$150)</f>
        <v>85483.792625588976</v>
      </c>
      <c r="Z9" s="21">
        <f>$Y$9-$V$9</f>
        <v>406048.01497154764</v>
      </c>
      <c r="AA9" s="50">
        <f>IF(NOT($J$9),"",IF($S$9=0,1,IF($Z$9=0,1,IF(AND($Z$9=$W$9-$V$9,$W$9&gt;0),1,MAX(0,MIN(1,($W$9-$V$9)/$Z$9))))))</f>
        <v>0.7999749670499916</v>
      </c>
      <c r="AB9" s="50">
        <f>IF(NOT($J$9),"",IF($S$9=0,1,IF($Z$9=0,1,IF(AND($Z$9=$X$9-$V$9,$X$9&gt;0),1,MAX(0,MIN(1,($X$9-$V$9)/$Z$9))))))</f>
        <v>1</v>
      </c>
      <c r="AC9" s="19" t="str">
        <f>IF(NOT($J$9),"",IF($S$9=0,"w0 = 0 (HU raises an error)",IF($Z$9=0,"denominator 0","")))</f>
        <v/>
      </c>
      <c r="AD9" s="50">
        <f>IF($J$9,MAX(LN($O$9+1),LN(0+1)),0)</f>
        <v>1.791759469228055</v>
      </c>
      <c r="AE9" s="50">
        <f>IF($J$9,1/HU_nCons,0)</f>
        <v>0.5</v>
      </c>
      <c r="AF9" s="50">
        <f>IF($J$9,$AD$9*$AE$9/SUMPRODUCT($AD$6:$AD$13,$AE$6:$AE$13),0)</f>
        <v>0.14559160120874737</v>
      </c>
    </row>
    <row r="10" spans="1:32" x14ac:dyDescent="0.25">
      <c r="A10" s="9" t="s">
        <v>145</v>
      </c>
      <c r="B10" s="38">
        <f>PLU_cash</f>
        <v>18378</v>
      </c>
      <c r="C10" s="5" t="s">
        <v>95</v>
      </c>
      <c r="D10" s="10" t="s">
        <v>1135</v>
      </c>
      <c r="H10" s="2" t="s">
        <v>662</v>
      </c>
      <c r="I10" s="19" t="s">
        <v>662</v>
      </c>
      <c r="J10" s="19" t="b">
        <f>TRUE</f>
        <v>1</v>
      </c>
      <c r="K10" s="21">
        <f>IF(NC_on_N_RET,NC_amount_N_RET,HU_expense*12*MAX(0,HU_leS-HU_ret))</f>
        <v>1633487</v>
      </c>
      <c r="L10" s="21">
        <v>0</v>
      </c>
      <c r="M10" s="19" t="b">
        <f>NOT(AND(PLAN_sug_N_RET,NOT(PLAN_included_N_RET)))</f>
        <v>1</v>
      </c>
      <c r="N10" s="21">
        <f>IF(NOT($M$10),0,MAX(0,ROUND($K$10/HU_benefitRound,0)*HU_benefitRound))</f>
        <v>1650000</v>
      </c>
      <c r="O10" s="37">
        <f>IF(NC_on_N_RET,NP_priority_N_RET,5)</f>
        <v>3</v>
      </c>
      <c r="P10" s="37">
        <f>MAX(0,HU_ret-HU_age)</f>
        <v>31</v>
      </c>
      <c r="Q10" s="37">
        <f>MIN($P$10,HU_T)</f>
        <v>31</v>
      </c>
      <c r="R10" s="19" t="s">
        <v>1132</v>
      </c>
      <c r="S10" s="21">
        <f>INDEX($AD$68:$AD$150,IF(HU_T&gt;=1,2,1))+$K$10</f>
        <v>1797690.8534293654</v>
      </c>
      <c r="T10" s="21">
        <f>HU_whl*$K$10</f>
        <v>408371.75</v>
      </c>
      <c r="U10" s="21">
        <f>IF($S$10=0,0,IF(0&gt;$S$10/HU_alpha+$K$10,0.5*$S$10/HU_alpha,IF(0&gt;=$K$10,(0-$K$10)-0.5*HU_alpha/$S$10*(0-$K$10)^2,IF(0&gt;=$T$10,HU_beta*(0-$K$10),HU_beta*($T$10-$K$10)))))</f>
        <v>-1225115.25</v>
      </c>
      <c r="V10" s="21">
        <f>$U$10*SUM($AV$68:$AV$150)</f>
        <v>-1183611.1464458646</v>
      </c>
      <c r="W10" s="21">
        <f>SUMPRODUCT($AV$68:$AV$150,$AW$68:$AW$150)</f>
        <v>347357.83951473562</v>
      </c>
      <c r="X10" s="21">
        <f>SUMPRODUCT($AV$68:$AV$150,$AX$68:$AX$150)</f>
        <v>347357.83951473562</v>
      </c>
      <c r="Y10" s="21">
        <f>SUMPRODUCT($AV$68:$AV$150,$AY$68:$AY$150)</f>
        <v>347357.83951473562</v>
      </c>
      <c r="Z10" s="21">
        <f>$Y$10-$V$10</f>
        <v>1530968.9859606002</v>
      </c>
      <c r="AA10" s="50">
        <f>IF(NOT($J$10),"",IF($S$10=0,1,IF($Z$10=0,1,IF(AND($Z$10=$W$10-$V$10,$W$10&gt;0),1,MAX(0,MIN(1,($W$10-$V$10)/$Z$10))))))</f>
        <v>1</v>
      </c>
      <c r="AB10" s="50">
        <f>IF(NOT($J$10),"",IF($S$10=0,1,IF($Z$10=0,1,IF(AND($Z$10=$X$10-$V$10,$X$10&gt;0),1,MAX(0,MIN(1,($X$10-$V$10)/$Z$10))))))</f>
        <v>1</v>
      </c>
      <c r="AC10" s="19" t="str">
        <f>IF(NOT($J$10),"",IF($S$10=0,"w0 = 0 (HU raises an error)",IF($Z$10=0,"denominator 0","")))</f>
        <v/>
      </c>
      <c r="AD10" s="50">
        <f>IF($J$10,MAX(LN($O$10+1),LN(1+1)),0)</f>
        <v>1.3862943611198906</v>
      </c>
      <c r="AE10" s="50">
        <f>IF($J$10,HU_calRet,0)</f>
        <v>2</v>
      </c>
      <c r="AF10" s="50">
        <f>IF($J$10,$AD$10*$AE$10/SUMPRODUCT($AD$6:$AD$13,$AE$6:$AE$13),0)</f>
        <v>0.45058015709900634</v>
      </c>
    </row>
    <row r="11" spans="1:32" x14ac:dyDescent="0.25">
      <c r="A11" s="9" t="s">
        <v>147</v>
      </c>
      <c r="B11" s="38">
        <f>PLU_investments</f>
        <v>104144</v>
      </c>
      <c r="C11" s="5" t="s">
        <v>95</v>
      </c>
      <c r="D11" s="10" t="s">
        <v>1136</v>
      </c>
      <c r="H11" s="2" t="s">
        <v>664</v>
      </c>
      <c r="I11" s="19" t="s">
        <v>664</v>
      </c>
      <c r="J11" s="19" t="b">
        <f>NC_on_N_EDU</f>
        <v>0</v>
      </c>
      <c r="K11" s="21">
        <f>NC_amount_N_EDU</f>
        <v>94149</v>
      </c>
      <c r="L11" s="21">
        <v>0</v>
      </c>
      <c r="M11" s="19" t="b">
        <f>NOT(AND(PLAN_sug_N_EDU,NOT(PLAN_included_N_EDU)))</f>
        <v>1</v>
      </c>
      <c r="N11" s="21">
        <f>IF(NOT($M$11),0,MAX(0,ROUND($K$11/HU_benefitRound,0)*HU_benefitRound))</f>
        <v>100000</v>
      </c>
      <c r="O11" s="37">
        <f>NP_priority_N_EDU</f>
        <v>3</v>
      </c>
      <c r="P11" s="37">
        <f>MAX(0,NC_eduYears)</f>
        <v>10</v>
      </c>
      <c r="Q11" s="37">
        <f>MIN($P$11,HU_T)</f>
        <v>10</v>
      </c>
      <c r="R11" s="19" t="s">
        <v>1133</v>
      </c>
      <c r="S11" s="21">
        <f>$K$11</f>
        <v>94149</v>
      </c>
      <c r="T11" s="21">
        <f>HU_whl*$K$11</f>
        <v>23537.25</v>
      </c>
      <c r="U11" s="21">
        <f>IF($S$11=0,0,IF(0&gt;$S$11/HU_alpha+$K$11,0.5*$S$11/HU_alpha,IF(0&gt;=$K$11,(0-$K$11)-0.5*HU_alpha/$S$11*(0-$K$11)^2,IF(0&gt;=$T$11,HU_beta*(0-$K$11),HU_beta*($T$11-$K$11)))))</f>
        <v>-70611.75</v>
      </c>
      <c r="V11" s="21">
        <f>$U$11*SUM($AZ$68:$AZ$150)</f>
        <v>0</v>
      </c>
      <c r="W11" s="21">
        <f>SUMPRODUCT($AZ$68:$AZ$150,$BA$68:$BA$150)</f>
        <v>0</v>
      </c>
      <c r="X11" s="21">
        <f>SUMPRODUCT($AZ$68:$AZ$150,$BB$68:$BB$150)</f>
        <v>0</v>
      </c>
      <c r="Y11" s="21">
        <f>SUMPRODUCT($AZ$68:$AZ$150,$BC$68:$BC$150)</f>
        <v>0</v>
      </c>
      <c r="Z11" s="21">
        <f>$Y$11-$V$11</f>
        <v>0</v>
      </c>
      <c r="AA11" s="50" t="str">
        <f>IF(NOT($J$11),"",IF($S$11=0,1,IF($Z$11=0,1,IF(AND($Z$11=$W$11-$V$11,$W$11&gt;0),1,MAX(0,MIN(1,($W$11-$V$11)/$Z$11))))))</f>
        <v/>
      </c>
      <c r="AB11" s="50" t="str">
        <f>IF(NOT($J$11),"",IF($S$11=0,1,IF($Z$11=0,1,IF(AND($Z$11=$X$11-$V$11,$X$11&gt;0),1,MAX(0,MIN(1,($X$11-$V$11)/$Z$11))))))</f>
        <v/>
      </c>
      <c r="AC11" s="19" t="str">
        <f>IF(NOT($J$11),"",IF($S$11=0,"w0 = 0 (HU raises an error)",IF($Z$11=0,"denominator 0","")))</f>
        <v/>
      </c>
      <c r="AD11" s="50">
        <f>IF($J$11,MAX(LN($O$11+1),LN(0+1)),0)</f>
        <v>0</v>
      </c>
      <c r="AE11" s="50">
        <f>IF($J$11,1/HU_nCons,0)</f>
        <v>0</v>
      </c>
      <c r="AF11" s="50">
        <f>IF($J$11,$AD$11*$AE$11/SUMPRODUCT($AD$6:$AD$13,$AE$6:$AE$13),0)</f>
        <v>0</v>
      </c>
    </row>
    <row r="12" spans="1:32" x14ac:dyDescent="0.25">
      <c r="A12" s="9" t="s">
        <v>153</v>
      </c>
      <c r="B12" s="38">
        <f>PLU_lifeSum</f>
        <v>428400</v>
      </c>
      <c r="C12" s="5" t="s">
        <v>95</v>
      </c>
      <c r="D12" s="10" t="s">
        <v>1137</v>
      </c>
      <c r="H12" s="2" t="s">
        <v>665</v>
      </c>
      <c r="I12" s="19" t="s">
        <v>665</v>
      </c>
      <c r="J12" s="19" t="b">
        <f>NC_on_N_SAV</f>
        <v>0</v>
      </c>
      <c r="K12" s="21">
        <f>NC_amount_N_SAV</f>
        <v>85680</v>
      </c>
      <c r="L12" s="21">
        <v>0</v>
      </c>
      <c r="M12" s="19" t="b">
        <f>NOT(AND(PLAN_sug_N_SAV,NOT(PLAN_included_N_SAV)))</f>
        <v>1</v>
      </c>
      <c r="N12" s="21">
        <f>IF(NOT($M$12),0,MAX(0,ROUND($K$12/HU_benefitRound,0)*HU_benefitRound))</f>
        <v>100000</v>
      </c>
      <c r="O12" s="37">
        <f>NP_priority_N_SAV</f>
        <v>3</v>
      </c>
      <c r="P12" s="37">
        <f>MAX(0,NC_eduYears)</f>
        <v>10</v>
      </c>
      <c r="Q12" s="37">
        <f>MIN($P$12,HU_T)</f>
        <v>10</v>
      </c>
      <c r="R12" s="19" t="s">
        <v>1133</v>
      </c>
      <c r="S12" s="21">
        <f>$K$12</f>
        <v>85680</v>
      </c>
      <c r="T12" s="21">
        <f>HU_whl*$K$12</f>
        <v>21420</v>
      </c>
      <c r="U12" s="21">
        <f>IF($S$12=0,0,IF(0&gt;$S$12/HU_alpha+$K$12,0.5*$S$12/HU_alpha,IF(0&gt;=$K$12,(0-$K$12)-0.5*HU_alpha/$S$12*(0-$K$12)^2,IF(0&gt;=$T$12,HU_beta*(0-$K$12),HU_beta*($T$12-$K$12)))))</f>
        <v>-64260</v>
      </c>
      <c r="V12" s="21">
        <f>$U$12*SUM($BD$68:$BD$150)</f>
        <v>0</v>
      </c>
      <c r="W12" s="21">
        <f>SUMPRODUCT($BD$68:$BD$150,$BE$68:$BE$150)</f>
        <v>0</v>
      </c>
      <c r="X12" s="21">
        <f>SUMPRODUCT($BD$68:$BD$150,$BF$68:$BF$150)</f>
        <v>0</v>
      </c>
      <c r="Y12" s="21">
        <f>SUMPRODUCT($BD$68:$BD$150,$BG$68:$BG$150)</f>
        <v>0</v>
      </c>
      <c r="Z12" s="21">
        <f>$Y$12-$V$12</f>
        <v>0</v>
      </c>
      <c r="AA12" s="50" t="str">
        <f>IF(NOT($J$12),"",IF($S$12=0,1,IF($Z$12=0,1,IF(AND($Z$12=$W$12-$V$12,$W$12&gt;0),1,MAX(0,MIN(1,($W$12-$V$12)/$Z$12))))))</f>
        <v/>
      </c>
      <c r="AB12" s="50" t="str">
        <f>IF(NOT($J$12),"",IF($S$12=0,1,IF($Z$12=0,1,IF(AND($Z$12=$X$12-$V$12,$X$12&gt;0),1,MAX(0,MIN(1,($X$12-$V$12)/$Z$12))))))</f>
        <v/>
      </c>
      <c r="AC12" s="19" t="str">
        <f>IF(NOT($J$12),"",IF($S$12=0,"w0 = 0 (HU raises an error)",IF($Z$12=0,"denominator 0","")))</f>
        <v/>
      </c>
      <c r="AD12" s="50">
        <f>IF($J$12,MAX(LN($O$12+1),LN(0+1)),0)</f>
        <v>0</v>
      </c>
      <c r="AE12" s="50">
        <f>IF($J$12,1/HU_nCons,0)</f>
        <v>0</v>
      </c>
      <c r="AF12" s="50">
        <f>IF($J$12,$AD$12*$AE$12/SUMPRODUCT($AD$6:$AD$13,$AE$6:$AE$13),0)</f>
        <v>0</v>
      </c>
    </row>
    <row r="13" spans="1:32" x14ac:dyDescent="0.25">
      <c r="A13" s="9" t="s">
        <v>1138</v>
      </c>
      <c r="B13" s="12">
        <f>MIN(PLU_leUsed,99)</f>
        <v>88</v>
      </c>
      <c r="C13" s="5" t="s">
        <v>95</v>
      </c>
      <c r="D13" s="10" t="s">
        <v>1139</v>
      </c>
      <c r="H13" s="2" t="s">
        <v>666</v>
      </c>
      <c r="I13" s="19" t="s">
        <v>666</v>
      </c>
      <c r="J13" s="19" t="b">
        <f>NC_on_N_PRP</f>
        <v>1</v>
      </c>
      <c r="K13" s="21">
        <f>NC_amount_N_PRP</f>
        <v>428400</v>
      </c>
      <c r="L13" s="21">
        <v>0</v>
      </c>
      <c r="M13" s="19" t="b">
        <f>NOT(AND(PLAN_sug_N_PRP,NOT(PLAN_included_N_PRP)))</f>
        <v>1</v>
      </c>
      <c r="N13" s="21">
        <f>IF(NOT($M$13),0,MAX(0,ROUND($K$13/HU_benefitRound,0)*HU_benefitRound))</f>
        <v>450000</v>
      </c>
      <c r="O13" s="37">
        <f>NP_priority_N_PRP</f>
        <v>3</v>
      </c>
      <c r="P13" s="37">
        <f>MAX(0,NC_eduYears)</f>
        <v>10</v>
      </c>
      <c r="Q13" s="37">
        <f>MIN($P$13,HU_T)</f>
        <v>10</v>
      </c>
      <c r="R13" s="19" t="s">
        <v>1133</v>
      </c>
      <c r="S13" s="21">
        <f>$K$13</f>
        <v>428400</v>
      </c>
      <c r="T13" s="21">
        <f>HU_whl*$K$13</f>
        <v>107100</v>
      </c>
      <c r="U13" s="21">
        <f>IF($S$13=0,0,IF(0&gt;$S$13/HU_alpha+$K$13,0.5*$S$13/HU_alpha,IF(0&gt;=$K$13,(0-$K$13)-0.5*HU_alpha/$S$13*(0-$K$13)^2,IF(0&gt;=$T$13,HU_beta*(0-$K$13),HU_beta*($T$13-$K$13)))))</f>
        <v>-321300</v>
      </c>
      <c r="V13" s="21">
        <f>$U$13*SUM($BH$68:$BH$150)</f>
        <v>-319955.40991996386</v>
      </c>
      <c r="W13" s="21">
        <f>SUMPRODUCT($BH$68:$BH$150,$BI$68:$BI$150)</f>
        <v>40460.387003924094</v>
      </c>
      <c r="X13" s="21">
        <f>SUMPRODUCT($BH$68:$BH$150,$BJ$68:$BJ$150)</f>
        <v>85321.442645323696</v>
      </c>
      <c r="Y13" s="21">
        <f>SUMPRODUCT($BH$68:$BH$150,$BK$68:$BK$150)</f>
        <v>85321.442645323696</v>
      </c>
      <c r="Z13" s="21">
        <f>$Y$13-$V$13</f>
        <v>405276.85256528755</v>
      </c>
      <c r="AA13" s="50">
        <f>IF(NOT($J$13),"",IF($S$13=0,1,IF($Z$13=0,1,IF(AND($Z$13=$W$13-$V$13,$W$13&gt;0),1,MAX(0,MIN(1,($W$13-$V$13)/$Z$13))))))</f>
        <v>0.88930762919855444</v>
      </c>
      <c r="AB13" s="50">
        <f>IF(NOT($J$13),"",IF($S$13=0,1,IF($Z$13=0,1,IF(AND($Z$13=$X$13-$V$13,$X$13&gt;0),1,MAX(0,MIN(1,($X$13-$V$13)/$Z$13))))))</f>
        <v>1</v>
      </c>
      <c r="AC13" s="19" t="str">
        <f>IF(NOT($J$13),"",IF($S$13=0,"w0 = 0 (HU raises an error)",IF($Z$13=0,"denominator 0","")))</f>
        <v/>
      </c>
      <c r="AD13" s="50">
        <f>IF($J$13,MAX(LN($O$13+1),LN(0+1)),0)</f>
        <v>1.3862943611198906</v>
      </c>
      <c r="AE13" s="50">
        <f>IF($J$13,1/HU_nCons,0)</f>
        <v>0.5</v>
      </c>
      <c r="AF13" s="50">
        <f>IF($J$13,$AD$13*$AE$13/SUMPRODUCT($AD$6:$AD$13,$AE$6:$AE$13),0)</f>
        <v>0.11264503927475158</v>
      </c>
    </row>
    <row r="15" spans="1:32" x14ac:dyDescent="0.25">
      <c r="A15" s="83" t="s">
        <v>1140</v>
      </c>
      <c r="B15" s="83"/>
      <c r="C15" s="83"/>
      <c r="D15" s="83"/>
    </row>
    <row r="16" spans="1:32" x14ac:dyDescent="0.25">
      <c r="A16" s="29" t="s">
        <v>930</v>
      </c>
      <c r="B16" s="35">
        <f>ageOfRetirement</f>
        <v>65</v>
      </c>
      <c r="C16" s="27" t="s">
        <v>369</v>
      </c>
      <c r="D16" s="10"/>
    </row>
    <row r="17" spans="1:4" x14ac:dyDescent="0.25">
      <c r="A17" s="29" t="s">
        <v>1141</v>
      </c>
      <c r="B17" s="35">
        <v>83</v>
      </c>
      <c r="C17" s="27" t="s">
        <v>369</v>
      </c>
      <c r="D17" s="10" t="s">
        <v>1142</v>
      </c>
    </row>
    <row r="18" spans="1:4" x14ac:dyDescent="0.25">
      <c r="A18" s="29" t="s">
        <v>1143</v>
      </c>
      <c r="B18" s="35">
        <f>CI_YEARS</f>
        <v>3</v>
      </c>
      <c r="C18" s="27" t="s">
        <v>369</v>
      </c>
      <c r="D18" s="10" t="s">
        <v>1144</v>
      </c>
    </row>
    <row r="19" spans="1:4" x14ac:dyDescent="0.25">
      <c r="A19" s="29" t="s">
        <v>1145</v>
      </c>
      <c r="B19" s="35">
        <v>5</v>
      </c>
      <c r="C19" s="27" t="s">
        <v>369</v>
      </c>
      <c r="D19" s="10" t="s">
        <v>1146</v>
      </c>
    </row>
    <row r="20" spans="1:4" x14ac:dyDescent="0.25">
      <c r="A20" s="29" t="s">
        <v>1147</v>
      </c>
      <c r="B20" s="30">
        <v>200000</v>
      </c>
      <c r="C20" s="27" t="s">
        <v>369</v>
      </c>
      <c r="D20" s="10" t="s">
        <v>1148</v>
      </c>
    </row>
    <row r="21" spans="1:4" x14ac:dyDescent="0.25">
      <c r="A21" s="29" t="s">
        <v>1149</v>
      </c>
      <c r="B21" s="30">
        <v>444000</v>
      </c>
      <c r="C21" s="27" t="s">
        <v>369</v>
      </c>
      <c r="D21" s="10" t="s">
        <v>1150</v>
      </c>
    </row>
    <row r="22" spans="1:4" x14ac:dyDescent="0.25">
      <c r="A22" s="29" t="s">
        <v>1151</v>
      </c>
      <c r="B22" s="53">
        <v>0.5</v>
      </c>
      <c r="C22" s="27" t="s">
        <v>369</v>
      </c>
      <c r="D22" s="10"/>
    </row>
    <row r="23" spans="1:4" x14ac:dyDescent="0.25">
      <c r="A23" s="29" t="s">
        <v>1152</v>
      </c>
      <c r="B23" s="53">
        <v>1</v>
      </c>
      <c r="C23" s="27" t="s">
        <v>369</v>
      </c>
      <c r="D23" s="10" t="s">
        <v>1153</v>
      </c>
    </row>
    <row r="24" spans="1:4" x14ac:dyDescent="0.25">
      <c r="A24" s="29" t="s">
        <v>1154</v>
      </c>
      <c r="B24" s="35">
        <v>75</v>
      </c>
      <c r="C24" s="27" t="s">
        <v>369</v>
      </c>
      <c r="D24" s="10" t="s">
        <v>1155</v>
      </c>
    </row>
    <row r="25" spans="1:4" x14ac:dyDescent="0.25">
      <c r="A25" s="29" t="s">
        <v>1156</v>
      </c>
      <c r="B25" s="35">
        <v>10</v>
      </c>
      <c r="C25" s="27" t="s">
        <v>369</v>
      </c>
      <c r="D25" s="10" t="s">
        <v>1157</v>
      </c>
    </row>
    <row r="26" spans="1:4" x14ac:dyDescent="0.25">
      <c r="A26" s="29" t="s">
        <v>1158</v>
      </c>
      <c r="B26" s="35">
        <v>10</v>
      </c>
      <c r="C26" s="27" t="s">
        <v>369</v>
      </c>
      <c r="D26" s="10" t="s">
        <v>1159</v>
      </c>
    </row>
    <row r="27" spans="1:4" x14ac:dyDescent="0.25">
      <c r="A27" s="29" t="s">
        <v>1160</v>
      </c>
      <c r="B27" s="44">
        <v>0.25</v>
      </c>
      <c r="C27" s="27" t="s">
        <v>369</v>
      </c>
      <c r="D27" s="10" t="s">
        <v>1161</v>
      </c>
    </row>
    <row r="28" spans="1:4" x14ac:dyDescent="0.25">
      <c r="A28" s="29" t="s">
        <v>1162</v>
      </c>
      <c r="B28" s="44">
        <v>1</v>
      </c>
      <c r="C28" s="27" t="s">
        <v>369</v>
      </c>
      <c r="D28" s="10" t="s">
        <v>1163</v>
      </c>
    </row>
    <row r="29" spans="1:4" x14ac:dyDescent="0.25">
      <c r="A29" s="29" t="s">
        <v>1164</v>
      </c>
      <c r="B29" s="36">
        <v>0.01</v>
      </c>
      <c r="C29" s="27" t="s">
        <v>369</v>
      </c>
      <c r="D29" s="10" t="s">
        <v>1165</v>
      </c>
    </row>
    <row r="30" spans="1:4" x14ac:dyDescent="0.25">
      <c r="A30" s="29" t="s">
        <v>1166</v>
      </c>
      <c r="B30" s="35">
        <v>4</v>
      </c>
      <c r="C30" s="27" t="s">
        <v>369</v>
      </c>
      <c r="D30" s="10" t="s">
        <v>1167</v>
      </c>
    </row>
    <row r="31" spans="1:4" x14ac:dyDescent="0.25">
      <c r="A31" s="29" t="s">
        <v>1168</v>
      </c>
      <c r="B31" s="44">
        <f>lifestyleStressFree</f>
        <v>1</v>
      </c>
      <c r="C31" s="27" t="s">
        <v>369</v>
      </c>
      <c r="D31" s="10" t="s">
        <v>1169</v>
      </c>
    </row>
    <row r="32" spans="1:4" x14ac:dyDescent="0.25">
      <c r="A32" s="29" t="s">
        <v>1170</v>
      </c>
      <c r="B32" s="44">
        <v>0.75</v>
      </c>
      <c r="C32" s="27" t="s">
        <v>369</v>
      </c>
      <c r="D32" s="10" t="s">
        <v>1171</v>
      </c>
    </row>
    <row r="33" spans="1:4" x14ac:dyDescent="0.25">
      <c r="A33" s="29" t="s">
        <v>1172</v>
      </c>
      <c r="B33" s="30">
        <f>FX_benefitRound</f>
        <v>50000</v>
      </c>
      <c r="C33" s="27" t="s">
        <v>369</v>
      </c>
      <c r="D33" s="10" t="s">
        <v>1173</v>
      </c>
    </row>
    <row r="34" spans="1:4" x14ac:dyDescent="0.25">
      <c r="A34" s="29" t="s">
        <v>1174</v>
      </c>
      <c r="B34" s="35">
        <v>2</v>
      </c>
      <c r="C34" s="27" t="s">
        <v>369</v>
      </c>
      <c r="D34" s="10" t="s">
        <v>1175</v>
      </c>
    </row>
    <row r="36" spans="1:4" x14ac:dyDescent="0.25">
      <c r="A36" s="80" t="s">
        <v>1176</v>
      </c>
      <c r="B36" s="80"/>
      <c r="C36" s="80"/>
      <c r="D36" s="80"/>
    </row>
    <row r="37" spans="1:4" x14ac:dyDescent="0.25">
      <c r="A37" s="18" t="s">
        <v>1177</v>
      </c>
      <c r="B37" s="37">
        <f>IF(HU_leS&gt;HU_ret,HU_leS,HU_defaultLE)</f>
        <v>88</v>
      </c>
      <c r="C37" s="19" t="s">
        <v>137</v>
      </c>
      <c r="D37" s="10" t="s">
        <v>1178</v>
      </c>
    </row>
    <row r="38" spans="1:4" x14ac:dyDescent="0.25">
      <c r="A38" s="18" t="s">
        <v>951</v>
      </c>
      <c r="B38" s="37">
        <f>MAX(HU_le-HU_age,0)</f>
        <v>54</v>
      </c>
      <c r="C38" s="19" t="s">
        <v>137</v>
      </c>
      <c r="D38" s="10"/>
    </row>
    <row r="39" spans="1:4" x14ac:dyDescent="0.25">
      <c r="A39" s="18" t="s">
        <v>955</v>
      </c>
      <c r="B39" s="37">
        <f>MAX(HU_ret-HU_age,0)</f>
        <v>31</v>
      </c>
      <c r="C39" s="19" t="s">
        <v>137</v>
      </c>
      <c r="D39" s="10"/>
    </row>
    <row r="40" spans="1:4" x14ac:dyDescent="0.25">
      <c r="A40" s="18" t="s">
        <v>1179</v>
      </c>
      <c r="B40" s="37">
        <f>IF(HU_gender="Male",1,3)+IF(HU_smoker=TRUE,1,0)</f>
        <v>3</v>
      </c>
      <c r="C40" s="19" t="s">
        <v>137</v>
      </c>
      <c r="D40" s="10" t="s">
        <v>1180</v>
      </c>
    </row>
    <row r="41" spans="1:4" x14ac:dyDescent="0.25">
      <c r="A41" s="18" t="s">
        <v>1181</v>
      </c>
      <c r="B41" s="21">
        <f>1+HU_income*12</f>
        <v>85681</v>
      </c>
      <c r="C41" s="19" t="s">
        <v>137</v>
      </c>
      <c r="D41" s="10" t="s">
        <v>1182</v>
      </c>
    </row>
    <row r="42" spans="1:4" x14ac:dyDescent="0.25">
      <c r="A42" s="18" t="s">
        <v>960</v>
      </c>
      <c r="B42" s="21">
        <f>HU_expense*12</f>
        <v>49694.399999999994</v>
      </c>
      <c r="C42" s="19" t="s">
        <v>137</v>
      </c>
      <c r="D42" s="10"/>
    </row>
    <row r="43" spans="1:4" x14ac:dyDescent="0.25">
      <c r="A43" s="18" t="s">
        <v>1183</v>
      </c>
      <c r="B43" s="21">
        <f>HU_exp0*HU_retLifestyle*HU_retShare</f>
        <v>37270.799999999996</v>
      </c>
      <c r="C43" s="19" t="s">
        <v>137</v>
      </c>
      <c r="D43" s="10" t="s">
        <v>1184</v>
      </c>
    </row>
    <row r="44" spans="1:4" x14ac:dyDescent="0.25">
      <c r="A44" s="18" t="s">
        <v>1185</v>
      </c>
      <c r="B44" s="37">
        <f>IF(NC_on_N_CRI,HU_ciYearsGP,HU_ciDefaultYears)</f>
        <v>5</v>
      </c>
      <c r="C44" s="19" t="s">
        <v>137</v>
      </c>
      <c r="D44" s="10"/>
    </row>
    <row r="45" spans="1:4" x14ac:dyDescent="0.25">
      <c r="A45" s="18" t="s">
        <v>1186</v>
      </c>
      <c r="B45" s="50">
        <f>MAX(0,MIN(1,HU_exp0/HU_inc0))</f>
        <v>0.57999323070459019</v>
      </c>
      <c r="C45" s="19" t="s">
        <v>137</v>
      </c>
      <c r="D45" s="10" t="s">
        <v>1187</v>
      </c>
    </row>
    <row r="46" spans="1:4" x14ac:dyDescent="0.25">
      <c r="A46" s="18" t="s">
        <v>1188</v>
      </c>
      <c r="B46" s="21">
        <f>IF(N(HU_cash)=0,1,HU_cash)</f>
        <v>18378</v>
      </c>
      <c r="C46" s="19" t="s">
        <v>137</v>
      </c>
      <c r="D46" s="10"/>
    </row>
    <row r="47" spans="1:4" x14ac:dyDescent="0.25">
      <c r="A47" s="18" t="s">
        <v>1189</v>
      </c>
      <c r="B47" s="47">
        <f>IF(HU_inv&gt;0,MAX(HU_minMu,investmentReturn),0)</f>
        <v>4.2000000000000003E-2</v>
      </c>
      <c r="C47" s="19" t="s">
        <v>137</v>
      </c>
      <c r="D47" s="10"/>
    </row>
    <row r="48" spans="1:4" x14ac:dyDescent="0.25">
      <c r="A48" s="18" t="s">
        <v>1190</v>
      </c>
      <c r="B48" s="19" t="b">
        <f>AND(HU_inv&gt;0,HU_dtr=0)</f>
        <v>0</v>
      </c>
      <c r="C48" s="19" t="s">
        <v>137</v>
      </c>
      <c r="D48" s="10" t="s">
        <v>1191</v>
      </c>
    </row>
    <row r="49" spans="1:4" x14ac:dyDescent="0.25">
      <c r="A49" s="18" t="s">
        <v>1192</v>
      </c>
      <c r="B49" s="40">
        <f>1+(HU_riskProfile-1)*0.5</f>
        <v>2.5</v>
      </c>
      <c r="C49" s="19" t="s">
        <v>137</v>
      </c>
      <c r="D49" s="10" t="s">
        <v>1193</v>
      </c>
    </row>
    <row r="50" spans="1:4" x14ac:dyDescent="0.25">
      <c r="A50" s="18" t="s">
        <v>1194</v>
      </c>
      <c r="B50" s="19" t="b">
        <f>AND(HU_T&gt;0,NC_eduYears&lt;=HU_T)</f>
        <v>1</v>
      </c>
      <c r="C50" s="19" t="s">
        <v>137</v>
      </c>
      <c r="D50" s="10"/>
    </row>
    <row r="51" spans="1:4" x14ac:dyDescent="0.25">
      <c r="A51" s="18" t="s">
        <v>971</v>
      </c>
      <c r="B51" s="37">
        <f>IF(HU_T&gt;0,MOD(NC_eduYears-1,HU_T)+1,0)</f>
        <v>10</v>
      </c>
      <c r="C51" s="19" t="s">
        <v>137</v>
      </c>
      <c r="D51" s="10" t="s">
        <v>1195</v>
      </c>
    </row>
    <row r="52" spans="1:4" x14ac:dyDescent="0.25">
      <c r="A52" s="18" t="s">
        <v>1196</v>
      </c>
      <c r="B52" s="21">
        <f>NC_on_N_SAV*NC_amount_N_SAV+NC_on_N_PRP*NC_amount_N_PRP</f>
        <v>428400</v>
      </c>
      <c r="C52" s="19" t="s">
        <v>137</v>
      </c>
      <c r="D52" s="10" t="s">
        <v>1197</v>
      </c>
    </row>
    <row r="53" spans="1:4" x14ac:dyDescent="0.25">
      <c r="A53" s="18" t="s">
        <v>1198</v>
      </c>
      <c r="B53" s="21">
        <f>NC_on_N_EDU*NC_amount_N_EDU+NC_on_N_SAV*NC_amount_N_SAV+NC_on_N_PRP*NC_amount_N_PRP</f>
        <v>428400</v>
      </c>
      <c r="C53" s="19" t="s">
        <v>137</v>
      </c>
      <c r="D53" s="10"/>
    </row>
    <row r="55" spans="1:4" x14ac:dyDescent="0.25">
      <c r="A55" s="80" t="s">
        <v>1199</v>
      </c>
      <c r="B55" s="80"/>
      <c r="C55" s="80"/>
      <c r="D55" s="80"/>
    </row>
    <row r="56" spans="1:4" x14ac:dyDescent="0.25">
      <c r="A56" s="18" t="s">
        <v>1200</v>
      </c>
      <c r="B56" s="37">
        <f>COUNTIF($J$6:$J$13,TRUE)</f>
        <v>4</v>
      </c>
      <c r="C56" s="19" t="s">
        <v>137</v>
      </c>
      <c r="D56" s="10"/>
    </row>
    <row r="57" spans="1:4" x14ac:dyDescent="0.25">
      <c r="A57" s="18" t="s">
        <v>1201</v>
      </c>
      <c r="B57" s="37">
        <f>COUNTIFS($J$6:$J$13,TRUE,$R$6:$R$13,"C")</f>
        <v>2</v>
      </c>
      <c r="C57" s="19" t="s">
        <v>137</v>
      </c>
      <c r="D57" s="10" t="s">
        <v>1202</v>
      </c>
    </row>
    <row r="58" spans="1:4" x14ac:dyDescent="0.25">
      <c r="A58" s="18" t="s">
        <v>1203</v>
      </c>
      <c r="B58" s="50">
        <f>1+EXP(-HU_nGoals)</f>
        <v>1.0183156388887342</v>
      </c>
      <c r="C58" s="19" t="s">
        <v>137</v>
      </c>
      <c r="D58" s="10" t="s">
        <v>1204</v>
      </c>
    </row>
    <row r="59" spans="1:4" x14ac:dyDescent="0.25">
      <c r="A59" s="18" t="s">
        <v>1205</v>
      </c>
      <c r="B59" s="50">
        <f>SUMPRODUCT($AA$6:$AA$13,$AF$6:$AF$13)/HU_sig</f>
        <v>0.8538070524982756</v>
      </c>
      <c r="C59" s="19" t="s">
        <v>137</v>
      </c>
      <c r="D59" s="10"/>
    </row>
    <row r="60" spans="1:4" x14ac:dyDescent="0.25">
      <c r="A60" s="18" t="s">
        <v>1206</v>
      </c>
      <c r="B60" s="50">
        <f>SUMPRODUCT($AB$6:$AB$13,$AF$6:$AF$13)/HU_sig</f>
        <v>0.98201379003790845</v>
      </c>
      <c r="C60" s="19" t="s">
        <v>137</v>
      </c>
      <c r="D60" s="10"/>
    </row>
    <row r="61" spans="1:4" x14ac:dyDescent="0.25">
      <c r="A61" s="18" t="s">
        <v>1207</v>
      </c>
      <c r="B61" s="37">
        <f>ROUND(HU_preRaw*100,0)</f>
        <v>85</v>
      </c>
      <c r="C61" s="19" t="s">
        <v>137</v>
      </c>
      <c r="D61" s="10" t="s">
        <v>1208</v>
      </c>
    </row>
    <row r="62" spans="1:4" x14ac:dyDescent="0.25">
      <c r="A62" s="18" t="s">
        <v>1209</v>
      </c>
      <c r="B62" s="37">
        <f>ROUND(HU_postRaw*100,0)</f>
        <v>98</v>
      </c>
      <c r="C62" s="19" t="s">
        <v>137</v>
      </c>
      <c r="D62" s="10" t="s">
        <v>1210</v>
      </c>
    </row>
    <row r="66" spans="1:63" x14ac:dyDescent="0.25">
      <c r="A66" s="86" t="s">
        <v>1060</v>
      </c>
      <c r="B66" s="86"/>
      <c r="C66" s="86"/>
      <c r="D66" s="83" t="s">
        <v>1211</v>
      </c>
      <c r="E66" s="83"/>
      <c r="F66" s="83"/>
      <c r="G66" s="83"/>
      <c r="H66" s="83"/>
      <c r="I66" s="80" t="s">
        <v>1212</v>
      </c>
      <c r="J66" s="80"/>
      <c r="K66" s="80"/>
      <c r="L66" s="80"/>
      <c r="M66" s="80"/>
      <c r="N66" s="80"/>
      <c r="O66" s="80"/>
      <c r="P66" s="80"/>
      <c r="Q66" s="80"/>
      <c r="R66" s="80" t="s">
        <v>1213</v>
      </c>
      <c r="S66" s="80"/>
      <c r="T66" s="80"/>
      <c r="U66" s="80"/>
      <c r="V66" s="80"/>
      <c r="W66" s="80"/>
      <c r="X66" s="80"/>
      <c r="Y66" s="80"/>
      <c r="Z66" s="80"/>
      <c r="AA66" s="80"/>
      <c r="AB66" s="80"/>
      <c r="AC66" s="80"/>
      <c r="AD66" s="80"/>
      <c r="AE66" s="80"/>
      <c r="AF66" s="80" t="s">
        <v>1214</v>
      </c>
      <c r="AG66" s="80"/>
      <c r="AH66" s="80"/>
      <c r="AI66" s="80"/>
      <c r="AJ66" s="80" t="s">
        <v>1215</v>
      </c>
      <c r="AK66" s="80"/>
      <c r="AL66" s="80"/>
      <c r="AM66" s="80"/>
      <c r="AN66" s="80" t="s">
        <v>1216</v>
      </c>
      <c r="AO66" s="80"/>
      <c r="AP66" s="80"/>
      <c r="AQ66" s="80"/>
      <c r="AR66" s="80" t="s">
        <v>1217</v>
      </c>
      <c r="AS66" s="80"/>
      <c r="AT66" s="80"/>
      <c r="AU66" s="80"/>
      <c r="AV66" s="80" t="s">
        <v>1218</v>
      </c>
      <c r="AW66" s="80"/>
      <c r="AX66" s="80"/>
      <c r="AY66" s="80"/>
      <c r="AZ66" s="80" t="s">
        <v>1219</v>
      </c>
      <c r="BA66" s="80"/>
      <c r="BB66" s="80"/>
      <c r="BC66" s="80"/>
      <c r="BD66" s="80" t="s">
        <v>1220</v>
      </c>
      <c r="BE66" s="80"/>
      <c r="BF66" s="80"/>
      <c r="BG66" s="80"/>
      <c r="BH66" s="80" t="s">
        <v>1221</v>
      </c>
      <c r="BI66" s="80"/>
      <c r="BJ66" s="80"/>
      <c r="BK66" s="80"/>
    </row>
    <row r="67" spans="1:63" ht="38.25" x14ac:dyDescent="0.25">
      <c r="A67" s="2" t="s">
        <v>1060</v>
      </c>
      <c r="B67" s="2" t="s">
        <v>98</v>
      </c>
      <c r="C67" s="2" t="s">
        <v>1067</v>
      </c>
      <c r="D67" s="2" t="s">
        <v>1222</v>
      </c>
      <c r="E67" s="2" t="s">
        <v>1223</v>
      </c>
      <c r="F67" s="2" t="s">
        <v>1224</v>
      </c>
      <c r="G67" s="2" t="s">
        <v>1225</v>
      </c>
      <c r="H67" s="2" t="s">
        <v>1226</v>
      </c>
      <c r="I67" s="2" t="s">
        <v>1227</v>
      </c>
      <c r="J67" s="2" t="s">
        <v>1228</v>
      </c>
      <c r="K67" s="2" t="s">
        <v>1229</v>
      </c>
      <c r="L67" s="2" t="s">
        <v>1230</v>
      </c>
      <c r="M67" s="2" t="s">
        <v>1231</v>
      </c>
      <c r="N67" s="2" t="s">
        <v>1232</v>
      </c>
      <c r="O67" s="2" t="s">
        <v>1233</v>
      </c>
      <c r="P67" s="2" t="s">
        <v>1234</v>
      </c>
      <c r="Q67" s="2" t="s">
        <v>1235</v>
      </c>
      <c r="R67" s="2" t="s">
        <v>1236</v>
      </c>
      <c r="S67" s="2" t="s">
        <v>1071</v>
      </c>
      <c r="T67" s="2" t="s">
        <v>1237</v>
      </c>
      <c r="U67" s="2" t="s">
        <v>1238</v>
      </c>
      <c r="V67" s="2" t="s">
        <v>1239</v>
      </c>
      <c r="W67" s="2" t="s">
        <v>1240</v>
      </c>
      <c r="X67" s="2" t="s">
        <v>1241</v>
      </c>
      <c r="Y67" s="2" t="s">
        <v>1242</v>
      </c>
      <c r="Z67" s="2" t="s">
        <v>1243</v>
      </c>
      <c r="AA67" s="2" t="s">
        <v>1244</v>
      </c>
      <c r="AB67" s="2" t="s">
        <v>1245</v>
      </c>
      <c r="AC67" s="2" t="s">
        <v>1246</v>
      </c>
      <c r="AD67" s="2" t="s">
        <v>1247</v>
      </c>
      <c r="AE67" s="2" t="s">
        <v>1248</v>
      </c>
      <c r="AF67" s="2" t="s">
        <v>1249</v>
      </c>
      <c r="AG67" s="2" t="s">
        <v>1250</v>
      </c>
      <c r="AH67" s="2" t="s">
        <v>1251</v>
      </c>
      <c r="AI67" s="2" t="s">
        <v>1252</v>
      </c>
      <c r="AJ67" s="2" t="s">
        <v>1253</v>
      </c>
      <c r="AK67" s="2" t="s">
        <v>1254</v>
      </c>
      <c r="AL67" s="2" t="s">
        <v>1255</v>
      </c>
      <c r="AM67" s="2" t="s">
        <v>1256</v>
      </c>
      <c r="AN67" s="2" t="s">
        <v>1257</v>
      </c>
      <c r="AO67" s="2" t="s">
        <v>1258</v>
      </c>
      <c r="AP67" s="2" t="s">
        <v>1259</v>
      </c>
      <c r="AQ67" s="2" t="s">
        <v>1260</v>
      </c>
      <c r="AR67" s="2" t="s">
        <v>1261</v>
      </c>
      <c r="AS67" s="2" t="s">
        <v>1262</v>
      </c>
      <c r="AT67" s="2" t="s">
        <v>1263</v>
      </c>
      <c r="AU67" s="2" t="s">
        <v>1264</v>
      </c>
      <c r="AV67" s="2" t="s">
        <v>1265</v>
      </c>
      <c r="AW67" s="2" t="s">
        <v>1266</v>
      </c>
      <c r="AX67" s="2" t="s">
        <v>1267</v>
      </c>
      <c r="AY67" s="2" t="s">
        <v>1268</v>
      </c>
      <c r="AZ67" s="2" t="s">
        <v>1269</v>
      </c>
      <c r="BA67" s="2" t="s">
        <v>1270</v>
      </c>
      <c r="BB67" s="2" t="s">
        <v>1271</v>
      </c>
      <c r="BC67" s="2" t="s">
        <v>1272</v>
      </c>
      <c r="BD67" s="2" t="s">
        <v>1273</v>
      </c>
      <c r="BE67" s="2" t="s">
        <v>1274</v>
      </c>
      <c r="BF67" s="2" t="s">
        <v>1275</v>
      </c>
      <c r="BG67" s="2" t="s">
        <v>1276</v>
      </c>
      <c r="BH67" s="2" t="s">
        <v>1277</v>
      </c>
      <c r="BI67" s="2" t="s">
        <v>1278</v>
      </c>
      <c r="BJ67" s="2" t="s">
        <v>1279</v>
      </c>
      <c r="BK67" s="2" t="s">
        <v>1280</v>
      </c>
    </row>
    <row r="68" spans="1:63" x14ac:dyDescent="0.25">
      <c r="A68" s="51">
        <v>0</v>
      </c>
      <c r="B68" s="51">
        <f t="shared" ref="B68:B99" si="0">HU_age+A68</f>
        <v>34</v>
      </c>
      <c r="C68" s="52" t="b">
        <f t="shared" ref="C68:C99" si="1">A68&lt;=HU_T</f>
        <v>1</v>
      </c>
      <c r="D68" s="54">
        <f t="shared" ref="D68:D99" si="2">IF(OR(A68&lt;1,A68&gt;HU_T),0,INDEX(HU_q_mort,HU_age+A68-17,HU_col))</f>
        <v>0</v>
      </c>
      <c r="E68" s="54">
        <f t="shared" ref="E68:E99" si="3">IF(OR(A68&lt;1,A68&gt;HU_T),0,INDEX(HU_q_adb,HU_age+A68-17,HU_col))</f>
        <v>0</v>
      </c>
      <c r="F68" s="54">
        <f t="shared" ref="F68:F99" si="4">IF(OR(A68&lt;1,A68&gt;HU_T),0,INDEX(HU_q_morb,HU_age+A68-17,HU_col))</f>
        <v>0</v>
      </c>
      <c r="G68" s="54">
        <f t="shared" ref="G68:G99" si="5">IF(OR(A68&lt;1,A68&gt;HU_T),0,INDEX(HU_q_ptd,HU_age+A68-17,HU_col))</f>
        <v>0</v>
      </c>
      <c r="H68" s="54">
        <f t="shared" ref="H68:H99" si="6">IF(OR(A68&lt;1,A68&gt;HU_T),0,INDEX(HU_q_dis,HU_age+A68-17,HU_col))</f>
        <v>0</v>
      </c>
      <c r="I68" s="54">
        <v>1</v>
      </c>
      <c r="J68" s="54">
        <f t="shared" ref="J68:J99" si="7">IF(A68&gt;=HU_T,0,N(I69))</f>
        <v>0.99969232340899994</v>
      </c>
      <c r="K68" s="54">
        <v>1</v>
      </c>
      <c r="L68" s="54">
        <v>0</v>
      </c>
      <c r="M68" s="54">
        <v>0</v>
      </c>
      <c r="N68" s="54">
        <v>1</v>
      </c>
      <c r="O68" s="54">
        <v>0</v>
      </c>
      <c r="P68" s="54">
        <v>1</v>
      </c>
      <c r="Q68" s="54">
        <v>0</v>
      </c>
      <c r="R68" s="50">
        <f t="shared" ref="R68:R99" si="8">(1+inflationRate)^A68</f>
        <v>1</v>
      </c>
      <c r="S68" s="21">
        <v>0</v>
      </c>
      <c r="T68" s="50">
        <v>1</v>
      </c>
      <c r="U68" s="21">
        <v>0</v>
      </c>
      <c r="V68" s="21">
        <v>0</v>
      </c>
      <c r="W68" s="50">
        <v>0</v>
      </c>
      <c r="X68" s="21">
        <v>0</v>
      </c>
      <c r="Y68" s="21">
        <v>0</v>
      </c>
      <c r="Z68" s="21">
        <v>0</v>
      </c>
      <c r="AA68" s="21">
        <v>0</v>
      </c>
      <c r="AB68" s="21">
        <f>HU_cash0</f>
        <v>18378</v>
      </c>
      <c r="AC68" s="21">
        <f t="shared" ref="AC68:AC99" si="9">IF(A68&gt;HU_T,0,HU_inv*EXP(HU_mu*A68))</f>
        <v>104144</v>
      </c>
      <c r="AD68" s="21">
        <f t="shared" ref="AD68:AD99" si="10">IF(A68&gt;HU_T,0,MAX(0,AC68+AB68))</f>
        <v>122522</v>
      </c>
      <c r="AE68" s="21">
        <v>0</v>
      </c>
      <c r="AF68" s="54">
        <f t="shared" ref="AF68:AF99" si="11">IF(AND($J$6,A68&gt;=1,A68&lt;=$Q$6-1),J68,0)</f>
        <v>0</v>
      </c>
      <c r="AG68" s="21">
        <f t="shared" ref="AG68:AG99" si="12">IF(OR(AF68=0,$S$6=0),0,IF((AD68+$L$6)&gt;$S$6/HU_alpha+$K$6,0.5*$S$6/HU_alpha,IF((AD68+$L$6)&gt;=$K$6,((AD68+$L$6)-$K$6)-0.5*HU_alpha/$S$6*((AD68+$L$6)-$K$6)^2,IF((AD68+$L$6)&gt;=$T$6,HU_beta*((AD68+$L$6)-$K$6),HU_beta*($T$6-$K$6)))))</f>
        <v>0</v>
      </c>
      <c r="AH68" s="21">
        <f t="shared" ref="AH68:AH99" si="13">IF(OR(AF68=0,$S$6=0),0,IF((AD68+$L$6+$N$6)&gt;$S$6/HU_alpha+$K$6,0.5*$S$6/HU_alpha,IF((AD68+$L$6+$N$6)&gt;=$K$6,((AD68+$L$6+$N$6)-$K$6)-0.5*HU_alpha/$S$6*((AD68+$L$6+$N$6)-$K$6)^2,IF((AD68+$L$6+$N$6)&gt;=$T$6,HU_beta*((AD68+$L$6+$N$6)-$K$6),HU_beta*($T$6-$K$6)))))</f>
        <v>0</v>
      </c>
      <c r="AI68" s="21">
        <f t="shared" ref="AI68:AI99" si="14">IF(OR(AF68=0,$S$6=0),0,IF((AD68+$K$6)&gt;$S$6/HU_alpha+$K$6,0.5*$S$6/HU_alpha,IF((AD68+$K$6)&gt;=$K$6,((AD68+$K$6)-$K$6)-0.5*HU_alpha/$S$6*((AD68+$K$6)-$K$6)^2,IF((AD68+$K$6)&gt;=$T$6,HU_beta*((AD68+$K$6)-$K$6),HU_beta*($T$6-$K$6)))))</f>
        <v>0</v>
      </c>
      <c r="AJ68" s="54">
        <f t="shared" ref="AJ68:AJ99" si="15">IF(AND($J$7,A68&gt;=1,A68&lt;=$Q$7-1),J68,0)</f>
        <v>0</v>
      </c>
      <c r="AK68" s="21">
        <f t="shared" ref="AK68:AK99" si="16">IF(OR(AJ68=0,$S$7=0),0,IF((AE68+$L$7)&gt;$S$7/HU_alpha+$K$7,0.5*$S$7/HU_alpha,IF((AE68+$L$7)&gt;=$K$7,((AE68+$L$7)-$K$7)-0.5*HU_alpha/$S$7*((AE68+$L$7)-$K$7)^2,IF((AE68+$L$7)&gt;=$T$7,HU_beta*((AE68+$L$7)-$K$7),HU_beta*($T$7-$K$7)))))</f>
        <v>0</v>
      </c>
      <c r="AL68" s="21">
        <f t="shared" ref="AL68:AL99" si="17">IF(OR(AJ68=0,$S$7=0),0,IF((AE68+$L$7+$N$7)&gt;$S$7/HU_alpha+$K$7,0.5*$S$7/HU_alpha,IF((AE68+$L$7+$N$7)&gt;=$K$7,((AE68+$L$7+$N$7)-$K$7)-0.5*HU_alpha/$S$7*((AE68+$L$7+$N$7)-$K$7)^2,IF((AE68+$L$7+$N$7)&gt;=$T$7,HU_beta*((AE68+$L$7+$N$7)-$K$7),HU_beta*($T$7-$K$7)))))</f>
        <v>0</v>
      </c>
      <c r="AM68" s="21">
        <f t="shared" ref="AM68:AM99" si="18">IF(OR(AJ68=0,$S$7=0),0,IF((AE68+$K$7)&gt;$S$7/HU_alpha+$K$7,0.5*$S$7/HU_alpha,IF((AE68+$K$7)&gt;=$K$7,((AE68+$K$7)-$K$7)-0.5*HU_alpha/$S$7*((AE68+$K$7)-$K$7)^2,IF((AE68+$K$7)&gt;=$T$7,HU_beta*((AE68+$K$7)-$K$7),HU_beta*($T$7-$K$7)))))</f>
        <v>0</v>
      </c>
      <c r="AN68" s="54">
        <f t="shared" ref="AN68:AN99" si="19">IF(AND($J$8,A68&gt;=1,A68&lt;=$Q$8-1),J68,0)</f>
        <v>0</v>
      </c>
      <c r="AO68" s="21">
        <f t="shared" ref="AO68:AO99" si="20">IF(OR(AN68=0,$S$8=0),0,IF((AE68+$L$8)&gt;$S$8/HU_alpha+$K$8,0.5*$S$8/HU_alpha,IF((AE68+$L$8)&gt;=$K$8,((AE68+$L$8)-$K$8)-0.5*HU_alpha/$S$8*((AE68+$L$8)-$K$8)^2,IF((AE68+$L$8)&gt;=$T$8,HU_beta*((AE68+$L$8)-$K$8),HU_beta*($T$8-$K$8)))))</f>
        <v>0</v>
      </c>
      <c r="AP68" s="21">
        <f t="shared" ref="AP68:AP99" si="21">IF(OR(AN68=0,$S$8=0),0,IF((AE68+$L$8+$N$8)&gt;$S$8/HU_alpha+$K$8,0.5*$S$8/HU_alpha,IF((AE68+$L$8+$N$8)&gt;=$K$8,((AE68+$L$8+$N$8)-$K$8)-0.5*HU_alpha/$S$8*((AE68+$L$8+$N$8)-$K$8)^2,IF((AE68+$L$8+$N$8)&gt;=$T$8,HU_beta*((AE68+$L$8+$N$8)-$K$8),HU_beta*($T$8-$K$8)))))</f>
        <v>0</v>
      </c>
      <c r="AQ68" s="21">
        <f t="shared" ref="AQ68:AQ99" si="22">IF(OR(AN68=0,$S$8=0),0,IF((AE68+$K$8)&gt;$S$8/HU_alpha+$K$8,0.5*$S$8/HU_alpha,IF((AE68+$K$8)&gt;=$K$8,((AE68+$K$8)-$K$8)-0.5*HU_alpha/$S$8*((AE68+$K$8)-$K$8)^2,IF((AE68+$K$8)&gt;=$T$8,HU_beta*((AE68+$K$8)-$K$8),HU_beta*($T$8-$K$8)))))</f>
        <v>0</v>
      </c>
      <c r="AR68" s="54">
        <f t="shared" ref="AR68:AR99" si="23">IF(AND($J$9,A68&gt;=1,A68&lt;=$Q$9-1),J68,0)</f>
        <v>0</v>
      </c>
      <c r="AS68" s="21">
        <f t="shared" ref="AS68:AS99" si="24">IF(OR(AR68=0,$S$9=0),0,IF((AE68+$L$9)&gt;$S$9/HU_alpha+$K$9,0.5*$S$9/HU_alpha,IF((AE68+$L$9)&gt;=$K$9,((AE68+$L$9)-$K$9)-0.5*HU_alpha/$S$9*((AE68+$L$9)-$K$9)^2,IF((AE68+$L$9)&gt;=$T$9,HU_beta*((AE68+$L$9)-$K$9),HU_beta*($T$9-$K$9)))))</f>
        <v>0</v>
      </c>
      <c r="AT68" s="21">
        <f t="shared" ref="AT68:AT99" si="25">IF(OR(AR68=0,$S$9=0),0,IF((AE68+$L$9+$N$9)&gt;$S$9/HU_alpha+$K$9,0.5*$S$9/HU_alpha,IF((AE68+$L$9+$N$9)&gt;=$K$9,((AE68+$L$9+$N$9)-$K$9)-0.5*HU_alpha/$S$9*((AE68+$L$9+$N$9)-$K$9)^2,IF((AE68+$L$9+$N$9)&gt;=$T$9,HU_beta*((AE68+$L$9+$N$9)-$K$9),HU_beta*($T$9-$K$9)))))</f>
        <v>0</v>
      </c>
      <c r="AU68" s="21">
        <f t="shared" ref="AU68:AU99" si="26">IF(OR(AR68=0,$S$9=0),0,IF((AE68+$K$9)&gt;$S$9/HU_alpha+$K$9,0.5*$S$9/HU_alpha,IF((AE68+$K$9)&gt;=$K$9,((AE68+$K$9)-$K$9)-0.5*HU_alpha/$S$9*((AE68+$K$9)-$K$9)^2,IF((AE68+$K$9)&gt;=$T$9,HU_beta*((AE68+$K$9)-$K$9),HU_beta*($T$9-$K$9)))))</f>
        <v>0</v>
      </c>
      <c r="AV68" s="54">
        <f t="shared" ref="AV68:AV99" si="27">IF(AND($J$10,A68=$Q$10),J68,0)</f>
        <v>0</v>
      </c>
      <c r="AW68" s="21">
        <f t="shared" ref="AW68:AW99" si="28">IF(OR(AV68=0,$S$10=0),0,IF((AD68+$L$10)&gt;$S$10/HU_alpha+$K$10,0.5*$S$10/HU_alpha,IF((AD68+$L$10)&gt;=$K$10,((AD68+$L$10)-$K$10)-0.5*HU_alpha/$S$10*((AD68+$L$10)-$K$10)^2,IF((AD68+$L$10)&gt;=$T$10,HU_beta*((AD68+$L$10)-$K$10),HU_beta*($T$10-$K$10)))))</f>
        <v>0</v>
      </c>
      <c r="AX68" s="21">
        <f t="shared" ref="AX68:AX99" si="29">IF(OR(AV68=0,$S$10=0),0,IF((AD68+$L$10+$N$10)&gt;$S$10/HU_alpha+$K$10,0.5*$S$10/HU_alpha,IF((AD68+$L$10+$N$10)&gt;=$K$10,((AD68+$L$10+$N$10)-$K$10)-0.5*HU_alpha/$S$10*((AD68+$L$10+$N$10)-$K$10)^2,IF((AD68+$L$10+$N$10)&gt;=$T$10,HU_beta*((AD68+$L$10+$N$10)-$K$10),HU_beta*($T$10-$K$10)))))</f>
        <v>0</v>
      </c>
      <c r="AY68" s="21">
        <f t="shared" ref="AY68:AY99" si="30">IF(OR(AV68=0,$S$10=0),0,IF((AD68+$K$10)&gt;$S$10/HU_alpha+$K$10,0.5*$S$10/HU_alpha,IF((AD68+$K$10)&gt;=$K$10,((AD68+$K$10)-$K$10)-0.5*HU_alpha/$S$10*((AD68+$K$10)-$K$10)^2,IF((AD68+$K$10)&gt;=$T$10,HU_beta*((AD68+$K$10)-$K$10),HU_beta*($T$10-$K$10)))))</f>
        <v>0</v>
      </c>
      <c r="AZ68" s="54">
        <f t="shared" ref="AZ68:AZ99" si="31">IF(AND($J$11,A68=$Q$11),J68,0)</f>
        <v>0</v>
      </c>
      <c r="BA68" s="21">
        <f t="shared" ref="BA68:BA99" si="32">IF(OR(AZ68=0,$S$11=0),0,IF((AE68+$L$11)&gt;$S$11/HU_alpha+$K$11,0.5*$S$11/HU_alpha,IF((AE68+$L$11)&gt;=$K$11,((AE68+$L$11)-$K$11)-0.5*HU_alpha/$S$11*((AE68+$L$11)-$K$11)^2,IF((AE68+$L$11)&gt;=$T$11,HU_beta*((AE68+$L$11)-$K$11),HU_beta*($T$11-$K$11)))))</f>
        <v>0</v>
      </c>
      <c r="BB68" s="21">
        <f t="shared" ref="BB68:BB99" si="33">IF(OR(AZ68=0,$S$11=0),0,IF((AE68+$L$11+$N$11)&gt;$S$11/HU_alpha+$K$11,0.5*$S$11/HU_alpha,IF((AE68+$L$11+$N$11)&gt;=$K$11,((AE68+$L$11+$N$11)-$K$11)-0.5*HU_alpha/$S$11*((AE68+$L$11+$N$11)-$K$11)^2,IF((AE68+$L$11+$N$11)&gt;=$T$11,HU_beta*((AE68+$L$11+$N$11)-$K$11),HU_beta*($T$11-$K$11)))))</f>
        <v>0</v>
      </c>
      <c r="BC68" s="21">
        <f t="shared" ref="BC68:BC99" si="34">IF(OR(AZ68=0,$S$11=0),0,IF((AE68+$K$11)&gt;$S$11/HU_alpha+$K$11,0.5*$S$11/HU_alpha,IF((AE68+$K$11)&gt;=$K$11,((AE68+$K$11)-$K$11)-0.5*HU_alpha/$S$11*((AE68+$K$11)-$K$11)^2,IF((AE68+$K$11)&gt;=$T$11,HU_beta*((AE68+$K$11)-$K$11),HU_beta*($T$11-$K$11)))))</f>
        <v>0</v>
      </c>
      <c r="BD68" s="54">
        <f t="shared" ref="BD68:BD99" si="35">IF(AND($J$12,A68=$Q$12),J68,0)</f>
        <v>0</v>
      </c>
      <c r="BE68" s="21">
        <f t="shared" ref="BE68:BE99" si="36">IF(OR(BD68=0,$S$12=0),0,IF((AE68+$L$12)&gt;$S$12/HU_alpha+$K$12,0.5*$S$12/HU_alpha,IF((AE68+$L$12)&gt;=$K$12,((AE68+$L$12)-$K$12)-0.5*HU_alpha/$S$12*((AE68+$L$12)-$K$12)^2,IF((AE68+$L$12)&gt;=$T$12,HU_beta*((AE68+$L$12)-$K$12),HU_beta*($T$12-$K$12)))))</f>
        <v>0</v>
      </c>
      <c r="BF68" s="21">
        <f t="shared" ref="BF68:BF99" si="37">IF(OR(BD68=0,$S$12=0),0,IF((AE68+$L$12+$N$12)&gt;$S$12/HU_alpha+$K$12,0.5*$S$12/HU_alpha,IF((AE68+$L$12+$N$12)&gt;=$K$12,((AE68+$L$12+$N$12)-$K$12)-0.5*HU_alpha/$S$12*((AE68+$L$12+$N$12)-$K$12)^2,IF((AE68+$L$12+$N$12)&gt;=$T$12,HU_beta*((AE68+$L$12+$N$12)-$K$12),HU_beta*($T$12-$K$12)))))</f>
        <v>0</v>
      </c>
      <c r="BG68" s="21">
        <f t="shared" ref="BG68:BG99" si="38">IF(OR(BD68=0,$S$12=0),0,IF((AE68+$K$12)&gt;$S$12/HU_alpha+$K$12,0.5*$S$12/HU_alpha,IF((AE68+$K$12)&gt;=$K$12,((AE68+$K$12)-$K$12)-0.5*HU_alpha/$S$12*((AE68+$K$12)-$K$12)^2,IF((AE68+$K$12)&gt;=$T$12,HU_beta*((AE68+$K$12)-$K$12),HU_beta*($T$12-$K$12)))))</f>
        <v>0</v>
      </c>
      <c r="BH68" s="54">
        <f t="shared" ref="BH68:BH99" si="39">IF(AND($J$13,A68=$Q$13),J68,0)</f>
        <v>0</v>
      </c>
      <c r="BI68" s="21">
        <f t="shared" ref="BI68:BI99" si="40">IF(OR(BH68=0,$S$13=0),0,IF((AE68+$L$13)&gt;$S$13/HU_alpha+$K$13,0.5*$S$13/HU_alpha,IF((AE68+$L$13)&gt;=$K$13,((AE68+$L$13)-$K$13)-0.5*HU_alpha/$S$13*((AE68+$L$13)-$K$13)^2,IF((AE68+$L$13)&gt;=$T$13,HU_beta*((AE68+$L$13)-$K$13),HU_beta*($T$13-$K$13)))))</f>
        <v>0</v>
      </c>
      <c r="BJ68" s="21">
        <f t="shared" ref="BJ68:BJ99" si="41">IF(OR(BH68=0,$S$13=0),0,IF((AE68+$L$13+$N$13)&gt;$S$13/HU_alpha+$K$13,0.5*$S$13/HU_alpha,IF((AE68+$L$13+$N$13)&gt;=$K$13,((AE68+$L$13+$N$13)-$K$13)-0.5*HU_alpha/$S$13*((AE68+$L$13+$N$13)-$K$13)^2,IF((AE68+$L$13+$N$13)&gt;=$T$13,HU_beta*((AE68+$L$13+$N$13)-$K$13),HU_beta*($T$13-$K$13)))))</f>
        <v>0</v>
      </c>
      <c r="BK68" s="21">
        <f t="shared" ref="BK68:BK99" si="42">IF(OR(BH68=0,$S$13=0),0,IF((AE68+$K$13)&gt;$S$13/HU_alpha+$K$13,0.5*$S$13/HU_alpha,IF((AE68+$K$13)&gt;=$K$13,((AE68+$K$13)-$K$13)-0.5*HU_alpha/$S$13*((AE68+$K$13)-$K$13)^2,IF((AE68+$K$13)&gt;=$T$13,HU_beta*((AE68+$K$13)-$K$13),HU_beta*($T$13-$K$13)))))</f>
        <v>0</v>
      </c>
    </row>
    <row r="69" spans="1:63" x14ac:dyDescent="0.25">
      <c r="A69" s="51">
        <v>1</v>
      </c>
      <c r="B69" s="51">
        <f t="shared" si="0"/>
        <v>35</v>
      </c>
      <c r="C69" s="52" t="b">
        <f t="shared" si="1"/>
        <v>1</v>
      </c>
      <c r="D69" s="54">
        <f t="shared" si="2"/>
        <v>1.3770000000000001E-4</v>
      </c>
      <c r="E69" s="54">
        <f t="shared" si="3"/>
        <v>1.7000000000000001E-4</v>
      </c>
      <c r="F69" s="54">
        <f t="shared" si="4"/>
        <v>6.5242299999999996E-4</v>
      </c>
      <c r="G69" s="54">
        <f t="shared" si="5"/>
        <v>2.31E-4</v>
      </c>
      <c r="H69" s="54">
        <f t="shared" si="6"/>
        <v>2.1000000000000001E-4</v>
      </c>
      <c r="I69" s="54">
        <f t="shared" ref="I69:I100" si="43">IF(A69&gt;HU_T,0,I68*(1-D69)*(1-E69))</f>
        <v>0.99969232340899994</v>
      </c>
      <c r="J69" s="54">
        <f t="shared" si="7"/>
        <v>0.99937424649793949</v>
      </c>
      <c r="K69" s="54">
        <f t="shared" ref="K69:K100" si="44">K68*(1-G69)</f>
        <v>0.99976900000000002</v>
      </c>
      <c r="L69" s="54">
        <f t="shared" ref="L69:L100" si="45">1-K69</f>
        <v>2.3099999999998122E-4</v>
      </c>
      <c r="M69" s="54">
        <f t="shared" ref="M69:M100" si="46">K68*G69</f>
        <v>2.31E-4</v>
      </c>
      <c r="N69" s="54">
        <f t="shared" ref="N69:N100" si="47">N68*(1-H69)</f>
        <v>0.99978999999999996</v>
      </c>
      <c r="O69" s="54">
        <f t="shared" ref="O69:O100" si="48">1-N68</f>
        <v>0</v>
      </c>
      <c r="P69" s="54">
        <f t="shared" ref="P69:P100" si="49">P68*(1-F69)</f>
        <v>0.99934757699999999</v>
      </c>
      <c r="Q69" s="54">
        <f t="shared" ref="Q69:Q100" si="50">1-P68/INDEX($P$68:$P$150,MAX(1,A69-HU_ciYears))</f>
        <v>0</v>
      </c>
      <c r="R69" s="50">
        <f t="shared" si="8"/>
        <v>1.0229999999999999</v>
      </c>
      <c r="S69" s="21">
        <f t="shared" ref="S69:S100" si="51">IF(OR(OR(A69&lt;1,A69&gt;HU_T),A69-1&gt;=HU_dtr),0,HU_inc0*(1+incomeGrowthRate)^A69)</f>
        <v>88080.067999999999</v>
      </c>
      <c r="T69" s="50">
        <f t="shared" ref="T69:T100" si="52">IF(A69&gt;HU_T,T68,T68*(1+INDEX(HU_ssG,HU_age+A69-17)))</f>
        <v>1.0306999999999999</v>
      </c>
      <c r="U69" s="21">
        <f t="shared" ref="U69:U100" si="53">IF(AND(HU_dtr&gt;=1,A69=HU_dtr,A69&lt;=HU_T),MIN(S69*INDEX(HU_ssC,HU_age+A69-17)/(1-INDEX(HU_ssC,HU_age+A69-17)),INDEX(HU_ssCap,HU_age+A69-17))*T69,0)</f>
        <v>0</v>
      </c>
      <c r="V69" s="21">
        <f t="shared" ref="V69:V100" si="54">S69+U69+IF(AND(HU_wdOn,A69=HU_wdYear),HU_wdIncome,0)</f>
        <v>88080.067999999999</v>
      </c>
      <c r="W69" s="50">
        <f t="shared" ref="W69:W100" si="55">HU_ciProp*Q69+HU_ptdCut*L69+HU_disCut*O69</f>
        <v>1.1549999999999061E-4</v>
      </c>
      <c r="X69" s="21">
        <f t="shared" ref="X69:X100" si="56">IF(OR(A69&lt;1,A69&gt;HU_T),0,V69*(1-W69))</f>
        <v>88069.894752146007</v>
      </c>
      <c r="Y69" s="21">
        <f t="shared" ref="Y69:Y100" si="57">IF(OR(A69&lt;1,A69&gt;HU_T),0,IF(AND(HU_retExp&gt;0,A69-1&gt;=HU_dtr),HU_retExp,HU_exp0)*R69)</f>
        <v>50837.371199999987</v>
      </c>
      <c r="Z69" s="21">
        <f t="shared" ref="Z69:Z100" si="58">-Y69-IF(AND(HU_wdOn,A69=HU_wdYear),HU_wdOut,0)</f>
        <v>-50837.371199999987</v>
      </c>
      <c r="AA69" s="21">
        <f t="shared" ref="AA69:AA100" si="59">IF(OR(A69&lt;1,A69&gt;HU_T),0,-HU_medCost*R69*F69-HU_ptdCost*R69*M69)</f>
        <v>-238.40871779999995</v>
      </c>
      <c r="AB69" s="21">
        <f t="shared" ref="AB69:AB100" si="60">IF(A69&gt;HU_T,0,AB68*(1+interestRate)+X69+Z69+AA69)</f>
        <v>55592.650834346015</v>
      </c>
      <c r="AC69" s="21">
        <f t="shared" si="9"/>
        <v>108611.20259501948</v>
      </c>
      <c r="AD69" s="21">
        <f t="shared" si="10"/>
        <v>164203.8534293655</v>
      </c>
      <c r="AE69" s="21">
        <f t="shared" ref="AE69:AE100" si="61">IF(A69&gt;HU_T,0,MAX(0,X69-Y69))</f>
        <v>37232.52355214602</v>
      </c>
      <c r="AF69" s="54">
        <f t="shared" si="11"/>
        <v>0.99937424649793949</v>
      </c>
      <c r="AG69" s="21">
        <f t="shared" si="12"/>
        <v>-282323.14657063456</v>
      </c>
      <c r="AH69" s="21">
        <f t="shared" si="13"/>
        <v>131769.40906647689</v>
      </c>
      <c r="AI69" s="21">
        <f t="shared" si="14"/>
        <v>131769.40906647689</v>
      </c>
      <c r="AJ69" s="54">
        <f t="shared" si="15"/>
        <v>0</v>
      </c>
      <c r="AK69" s="21">
        <f t="shared" si="16"/>
        <v>0</v>
      </c>
      <c r="AL69" s="21">
        <f t="shared" si="17"/>
        <v>0</v>
      </c>
      <c r="AM69" s="21">
        <f t="shared" si="18"/>
        <v>0</v>
      </c>
      <c r="AN69" s="54">
        <f t="shared" si="19"/>
        <v>0</v>
      </c>
      <c r="AO69" s="21">
        <f t="shared" si="20"/>
        <v>0</v>
      </c>
      <c r="AP69" s="21">
        <f t="shared" si="21"/>
        <v>0</v>
      </c>
      <c r="AQ69" s="21">
        <f t="shared" si="22"/>
        <v>0</v>
      </c>
      <c r="AR69" s="54">
        <f t="shared" si="23"/>
        <v>0.99937424649793949</v>
      </c>
      <c r="AS69" s="21">
        <f t="shared" si="24"/>
        <v>-5607.4764478539801</v>
      </c>
      <c r="AT69" s="21">
        <f t="shared" si="25"/>
        <v>8568</v>
      </c>
      <c r="AU69" s="21">
        <f t="shared" si="26"/>
        <v>8568</v>
      </c>
      <c r="AV69" s="54">
        <f t="shared" si="27"/>
        <v>0</v>
      </c>
      <c r="AW69" s="21">
        <f t="shared" si="28"/>
        <v>0</v>
      </c>
      <c r="AX69" s="21">
        <f t="shared" si="29"/>
        <v>0</v>
      </c>
      <c r="AY69" s="21">
        <f t="shared" si="30"/>
        <v>0</v>
      </c>
      <c r="AZ69" s="54">
        <f t="shared" si="31"/>
        <v>0</v>
      </c>
      <c r="BA69" s="21">
        <f t="shared" si="32"/>
        <v>0</v>
      </c>
      <c r="BB69" s="21">
        <f t="shared" si="33"/>
        <v>0</v>
      </c>
      <c r="BC69" s="21">
        <f t="shared" si="34"/>
        <v>0</v>
      </c>
      <c r="BD69" s="54">
        <f t="shared" si="35"/>
        <v>0</v>
      </c>
      <c r="BE69" s="21">
        <f t="shared" si="36"/>
        <v>0</v>
      </c>
      <c r="BF69" s="21">
        <f t="shared" si="37"/>
        <v>0</v>
      </c>
      <c r="BG69" s="21">
        <f t="shared" si="38"/>
        <v>0</v>
      </c>
      <c r="BH69" s="54">
        <f t="shared" si="39"/>
        <v>0</v>
      </c>
      <c r="BI69" s="21">
        <f t="shared" si="40"/>
        <v>0</v>
      </c>
      <c r="BJ69" s="21">
        <f t="shared" si="41"/>
        <v>0</v>
      </c>
      <c r="BK69" s="21">
        <f t="shared" si="42"/>
        <v>0</v>
      </c>
    </row>
    <row r="70" spans="1:63" x14ac:dyDescent="0.25">
      <c r="A70" s="51">
        <v>2</v>
      </c>
      <c r="B70" s="51">
        <f t="shared" si="0"/>
        <v>36</v>
      </c>
      <c r="C70" s="52" t="b">
        <f t="shared" si="1"/>
        <v>1</v>
      </c>
      <c r="D70" s="54">
        <f t="shared" si="2"/>
        <v>1.482E-4</v>
      </c>
      <c r="E70" s="54">
        <f t="shared" si="3"/>
        <v>1.7000000000000001E-4</v>
      </c>
      <c r="F70" s="54">
        <f t="shared" si="4"/>
        <v>7.0199399999999995E-4</v>
      </c>
      <c r="G70" s="54">
        <f t="shared" si="5"/>
        <v>2.31E-4</v>
      </c>
      <c r="H70" s="54">
        <f t="shared" si="6"/>
        <v>2.1000000000000001E-4</v>
      </c>
      <c r="I70" s="54">
        <f t="shared" si="43"/>
        <v>0.99937424649793949</v>
      </c>
      <c r="J70" s="54">
        <f t="shared" si="7"/>
        <v>0.99904487986131585</v>
      </c>
      <c r="K70" s="54">
        <f t="shared" si="44"/>
        <v>0.99953805336099999</v>
      </c>
      <c r="L70" s="54">
        <f t="shared" si="45"/>
        <v>4.6194663900001043E-4</v>
      </c>
      <c r="M70" s="54">
        <f t="shared" si="46"/>
        <v>2.3094663900000002E-4</v>
      </c>
      <c r="N70" s="54">
        <f t="shared" si="47"/>
        <v>0.9995800440999999</v>
      </c>
      <c r="O70" s="54">
        <f t="shared" si="48"/>
        <v>2.1000000000004349E-4</v>
      </c>
      <c r="P70" s="54">
        <f t="shared" si="49"/>
        <v>0.99864604099703136</v>
      </c>
      <c r="Q70" s="54">
        <f t="shared" si="50"/>
        <v>6.5242300000001308E-4</v>
      </c>
      <c r="R70" s="50">
        <f t="shared" si="8"/>
        <v>1.0465289999999998</v>
      </c>
      <c r="S70" s="21">
        <f t="shared" si="51"/>
        <v>90546.309903999994</v>
      </c>
      <c r="T70" s="50">
        <f t="shared" si="52"/>
        <v>1.0631670500000001</v>
      </c>
      <c r="U70" s="21">
        <f t="shared" si="53"/>
        <v>0</v>
      </c>
      <c r="V70" s="21">
        <f t="shared" si="54"/>
        <v>90546.309903999994</v>
      </c>
      <c r="W70" s="50">
        <f t="shared" si="55"/>
        <v>8.193742430560372E-4</v>
      </c>
      <c r="X70" s="21">
        <f t="shared" si="56"/>
        <v>90472.118589860896</v>
      </c>
      <c r="Y70" s="21">
        <f t="shared" si="57"/>
        <v>52006.630737599982</v>
      </c>
      <c r="Z70" s="21">
        <f t="shared" si="58"/>
        <v>-52006.630737599982</v>
      </c>
      <c r="AA70" s="21">
        <f t="shared" si="59"/>
        <v>-254.24282145891772</v>
      </c>
      <c r="AB70" s="21">
        <f t="shared" si="60"/>
        <v>94471.007675160174</v>
      </c>
      <c r="AC70" s="21">
        <f t="shared" si="9"/>
        <v>113270.02351682639</v>
      </c>
      <c r="AD70" s="21">
        <f t="shared" si="10"/>
        <v>207741.03119198658</v>
      </c>
      <c r="AE70" s="21">
        <f t="shared" si="61"/>
        <v>38465.487852260914</v>
      </c>
      <c r="AF70" s="54">
        <f t="shared" si="11"/>
        <v>0.99904487986131585</v>
      </c>
      <c r="AG70" s="21">
        <f t="shared" si="12"/>
        <v>-238785.96880801348</v>
      </c>
      <c r="AH70" s="21">
        <f t="shared" si="13"/>
        <v>155827.04954775434</v>
      </c>
      <c r="AI70" s="21">
        <f t="shared" si="14"/>
        <v>155827.04954775434</v>
      </c>
      <c r="AJ70" s="54">
        <f t="shared" si="15"/>
        <v>0</v>
      </c>
      <c r="AK70" s="21">
        <f t="shared" si="16"/>
        <v>0</v>
      </c>
      <c r="AL70" s="21">
        <f t="shared" si="17"/>
        <v>0</v>
      </c>
      <c r="AM70" s="21">
        <f t="shared" si="18"/>
        <v>0</v>
      </c>
      <c r="AN70" s="54">
        <f t="shared" si="19"/>
        <v>0</v>
      </c>
      <c r="AO70" s="21">
        <f t="shared" si="20"/>
        <v>0</v>
      </c>
      <c r="AP70" s="21">
        <f t="shared" si="21"/>
        <v>0</v>
      </c>
      <c r="AQ70" s="21">
        <f t="shared" si="22"/>
        <v>0</v>
      </c>
      <c r="AR70" s="54">
        <f t="shared" si="23"/>
        <v>0.99904487986131585</v>
      </c>
      <c r="AS70" s="21">
        <f t="shared" si="24"/>
        <v>-4374.5121477390858</v>
      </c>
      <c r="AT70" s="21">
        <f t="shared" si="25"/>
        <v>8568</v>
      </c>
      <c r="AU70" s="21">
        <f t="shared" si="26"/>
        <v>8568</v>
      </c>
      <c r="AV70" s="54">
        <f t="shared" si="27"/>
        <v>0</v>
      </c>
      <c r="AW70" s="21">
        <f t="shared" si="28"/>
        <v>0</v>
      </c>
      <c r="AX70" s="21">
        <f t="shared" si="29"/>
        <v>0</v>
      </c>
      <c r="AY70" s="21">
        <f t="shared" si="30"/>
        <v>0</v>
      </c>
      <c r="AZ70" s="54">
        <f t="shared" si="31"/>
        <v>0</v>
      </c>
      <c r="BA70" s="21">
        <f t="shared" si="32"/>
        <v>0</v>
      </c>
      <c r="BB70" s="21">
        <f t="shared" si="33"/>
        <v>0</v>
      </c>
      <c r="BC70" s="21">
        <f t="shared" si="34"/>
        <v>0</v>
      </c>
      <c r="BD70" s="54">
        <f t="shared" si="35"/>
        <v>0</v>
      </c>
      <c r="BE70" s="21">
        <f t="shared" si="36"/>
        <v>0</v>
      </c>
      <c r="BF70" s="21">
        <f t="shared" si="37"/>
        <v>0</v>
      </c>
      <c r="BG70" s="21">
        <f t="shared" si="38"/>
        <v>0</v>
      </c>
      <c r="BH70" s="54">
        <f t="shared" si="39"/>
        <v>0</v>
      </c>
      <c r="BI70" s="21">
        <f t="shared" si="40"/>
        <v>0</v>
      </c>
      <c r="BJ70" s="21">
        <f t="shared" si="41"/>
        <v>0</v>
      </c>
      <c r="BK70" s="21">
        <f t="shared" si="42"/>
        <v>0</v>
      </c>
    </row>
    <row r="71" spans="1:63" x14ac:dyDescent="0.25">
      <c r="A71" s="51">
        <v>3</v>
      </c>
      <c r="B71" s="51">
        <f t="shared" si="0"/>
        <v>37</v>
      </c>
      <c r="C71" s="52" t="b">
        <f t="shared" si="1"/>
        <v>1</v>
      </c>
      <c r="D71" s="54">
        <f t="shared" si="2"/>
        <v>1.596E-4</v>
      </c>
      <c r="E71" s="54">
        <f t="shared" si="3"/>
        <v>1.7000000000000001E-4</v>
      </c>
      <c r="F71" s="54">
        <f t="shared" si="4"/>
        <v>7.5636200000000001E-4</v>
      </c>
      <c r="G71" s="54">
        <f t="shared" si="5"/>
        <v>2.31E-4</v>
      </c>
      <c r="H71" s="54">
        <f t="shared" si="6"/>
        <v>2.1000000000000001E-4</v>
      </c>
      <c r="I71" s="54">
        <f t="shared" si="43"/>
        <v>0.99904487986131585</v>
      </c>
      <c r="J71" s="54">
        <f t="shared" si="7"/>
        <v>0.9987024366244418</v>
      </c>
      <c r="K71" s="54">
        <f t="shared" si="44"/>
        <v>0.99930716007067366</v>
      </c>
      <c r="L71" s="54">
        <f t="shared" si="45"/>
        <v>6.9283992932633875E-4</v>
      </c>
      <c r="M71" s="54">
        <f t="shared" si="46"/>
        <v>2.3089329032639099E-4</v>
      </c>
      <c r="N71" s="54">
        <f t="shared" si="47"/>
        <v>0.9993701322907389</v>
      </c>
      <c r="O71" s="54">
        <f t="shared" si="48"/>
        <v>4.1995590000010186E-4</v>
      </c>
      <c r="P71" s="54">
        <f t="shared" si="49"/>
        <v>0.9978907030801708</v>
      </c>
      <c r="Q71" s="54">
        <f t="shared" si="50"/>
        <v>1.353959002968641E-3</v>
      </c>
      <c r="R71" s="50">
        <f t="shared" si="8"/>
        <v>1.0705991669999997</v>
      </c>
      <c r="S71" s="21">
        <f t="shared" si="51"/>
        <v>93081.606581311993</v>
      </c>
      <c r="T71" s="50">
        <f t="shared" si="52"/>
        <v>1.0966568120750002</v>
      </c>
      <c r="U71" s="21">
        <f t="shared" si="53"/>
        <v>0</v>
      </c>
      <c r="V71" s="21">
        <f t="shared" si="54"/>
        <v>93081.606581311993</v>
      </c>
      <c r="W71" s="50">
        <f t="shared" si="55"/>
        <v>1.551662921036619E-3</v>
      </c>
      <c r="X71" s="21">
        <f t="shared" si="56"/>
        <v>92937.17530374926</v>
      </c>
      <c r="Y71" s="21">
        <f t="shared" si="57"/>
        <v>53202.78324456478</v>
      </c>
      <c r="Z71" s="21">
        <f t="shared" si="58"/>
        <v>-53202.78324456478</v>
      </c>
      <c r="AA71" s="21">
        <f t="shared" si="59"/>
        <v>-271.70631437455029</v>
      </c>
      <c r="AB71" s="21">
        <f t="shared" si="60"/>
        <v>135067.34551207203</v>
      </c>
      <c r="AC71" s="21">
        <f t="shared" si="9"/>
        <v>118128.68213366736</v>
      </c>
      <c r="AD71" s="21">
        <f t="shared" si="10"/>
        <v>253196.02764573938</v>
      </c>
      <c r="AE71" s="21">
        <f t="shared" si="61"/>
        <v>39734.39205918448</v>
      </c>
      <c r="AF71" s="54">
        <f t="shared" si="11"/>
        <v>0.9987024366244418</v>
      </c>
      <c r="AG71" s="21">
        <f t="shared" si="12"/>
        <v>-193330.97235426062</v>
      </c>
      <c r="AH71" s="21">
        <f t="shared" si="13"/>
        <v>176078.41993058674</v>
      </c>
      <c r="AI71" s="21">
        <f t="shared" si="14"/>
        <v>176078.41993058674</v>
      </c>
      <c r="AJ71" s="54">
        <f t="shared" si="15"/>
        <v>0</v>
      </c>
      <c r="AK71" s="21">
        <f t="shared" si="16"/>
        <v>0</v>
      </c>
      <c r="AL71" s="21">
        <f t="shared" si="17"/>
        <v>0</v>
      </c>
      <c r="AM71" s="21">
        <f t="shared" si="18"/>
        <v>0</v>
      </c>
      <c r="AN71" s="54">
        <f t="shared" si="19"/>
        <v>0</v>
      </c>
      <c r="AO71" s="21">
        <f t="shared" si="20"/>
        <v>0</v>
      </c>
      <c r="AP71" s="21">
        <f t="shared" si="21"/>
        <v>0</v>
      </c>
      <c r="AQ71" s="21">
        <f t="shared" si="22"/>
        <v>0</v>
      </c>
      <c r="AR71" s="54">
        <f t="shared" si="23"/>
        <v>0.9987024366244418</v>
      </c>
      <c r="AS71" s="21">
        <f t="shared" si="24"/>
        <v>-3105.6079408155201</v>
      </c>
      <c r="AT71" s="21">
        <f t="shared" si="25"/>
        <v>8568</v>
      </c>
      <c r="AU71" s="21">
        <f t="shared" si="26"/>
        <v>8568</v>
      </c>
      <c r="AV71" s="54">
        <f t="shared" si="27"/>
        <v>0</v>
      </c>
      <c r="AW71" s="21">
        <f t="shared" si="28"/>
        <v>0</v>
      </c>
      <c r="AX71" s="21">
        <f t="shared" si="29"/>
        <v>0</v>
      </c>
      <c r="AY71" s="21">
        <f t="shared" si="30"/>
        <v>0</v>
      </c>
      <c r="AZ71" s="54">
        <f t="shared" si="31"/>
        <v>0</v>
      </c>
      <c r="BA71" s="21">
        <f t="shared" si="32"/>
        <v>0</v>
      </c>
      <c r="BB71" s="21">
        <f t="shared" si="33"/>
        <v>0</v>
      </c>
      <c r="BC71" s="21">
        <f t="shared" si="34"/>
        <v>0</v>
      </c>
      <c r="BD71" s="54">
        <f t="shared" si="35"/>
        <v>0</v>
      </c>
      <c r="BE71" s="21">
        <f t="shared" si="36"/>
        <v>0</v>
      </c>
      <c r="BF71" s="21">
        <f t="shared" si="37"/>
        <v>0</v>
      </c>
      <c r="BG71" s="21">
        <f t="shared" si="38"/>
        <v>0</v>
      </c>
      <c r="BH71" s="54">
        <f t="shared" si="39"/>
        <v>0</v>
      </c>
      <c r="BI71" s="21">
        <f t="shared" si="40"/>
        <v>0</v>
      </c>
      <c r="BJ71" s="21">
        <f t="shared" si="41"/>
        <v>0</v>
      </c>
      <c r="BK71" s="21">
        <f t="shared" si="42"/>
        <v>0</v>
      </c>
    </row>
    <row r="72" spans="1:63" x14ac:dyDescent="0.25">
      <c r="A72" s="51">
        <v>4</v>
      </c>
      <c r="B72" s="51">
        <f t="shared" si="0"/>
        <v>38</v>
      </c>
      <c r="C72" s="52" t="b">
        <f t="shared" si="1"/>
        <v>1</v>
      </c>
      <c r="D72" s="54">
        <f t="shared" si="2"/>
        <v>1.728E-4</v>
      </c>
      <c r="E72" s="54">
        <f t="shared" si="3"/>
        <v>1.7000000000000001E-4</v>
      </c>
      <c r="F72" s="54">
        <f t="shared" si="4"/>
        <v>8.1872599999999998E-4</v>
      </c>
      <c r="G72" s="54">
        <f t="shared" si="5"/>
        <v>2.31E-4</v>
      </c>
      <c r="H72" s="54">
        <f t="shared" si="6"/>
        <v>2.1000000000000001E-4</v>
      </c>
      <c r="I72" s="54">
        <f t="shared" si="43"/>
        <v>0.9987024366244418</v>
      </c>
      <c r="J72" s="54">
        <f t="shared" si="7"/>
        <v>0.99834523263045727</v>
      </c>
      <c r="K72" s="54">
        <f t="shared" si="44"/>
        <v>0.99907632011669734</v>
      </c>
      <c r="L72" s="54">
        <f t="shared" si="45"/>
        <v>9.2367988330266382E-4</v>
      </c>
      <c r="M72" s="54">
        <f t="shared" si="46"/>
        <v>2.3083995397632563E-4</v>
      </c>
      <c r="N72" s="54">
        <f t="shared" si="47"/>
        <v>0.99916026456295781</v>
      </c>
      <c r="O72" s="54">
        <f t="shared" si="48"/>
        <v>6.2986770926110047E-4</v>
      </c>
      <c r="P72" s="54">
        <f t="shared" si="49"/>
        <v>0.99707370401640083</v>
      </c>
      <c r="Q72" s="54">
        <f t="shared" si="50"/>
        <v>2.1092969198291955E-3</v>
      </c>
      <c r="R72" s="50">
        <f t="shared" si="8"/>
        <v>1.0952229478409996</v>
      </c>
      <c r="S72" s="21">
        <f t="shared" si="51"/>
        <v>95687.891565588739</v>
      </c>
      <c r="T72" s="50">
        <f t="shared" si="52"/>
        <v>1.1312015016553627</v>
      </c>
      <c r="U72" s="21">
        <f t="shared" si="53"/>
        <v>0</v>
      </c>
      <c r="V72" s="21">
        <f t="shared" si="54"/>
        <v>95687.891565588739</v>
      </c>
      <c r="W72" s="50">
        <f t="shared" si="55"/>
        <v>2.3150855859594083E-3</v>
      </c>
      <c r="X72" s="21">
        <f t="shared" si="56"/>
        <v>95466.365907074403</v>
      </c>
      <c r="Y72" s="21">
        <f t="shared" si="57"/>
        <v>54426.447259189765</v>
      </c>
      <c r="Z72" s="21">
        <f t="shared" si="58"/>
        <v>-54426.447259189765</v>
      </c>
      <c r="AA72" s="21">
        <f t="shared" si="59"/>
        <v>-291.59012004261785</v>
      </c>
      <c r="AB72" s="21">
        <f t="shared" si="60"/>
        <v>177436.48218605891</v>
      </c>
      <c r="AC72" s="21">
        <f t="shared" si="9"/>
        <v>123195.75037930561</v>
      </c>
      <c r="AD72" s="21">
        <f t="shared" si="10"/>
        <v>300632.23256536451</v>
      </c>
      <c r="AE72" s="21">
        <f t="shared" si="61"/>
        <v>41039.918647884639</v>
      </c>
      <c r="AF72" s="54">
        <f t="shared" si="11"/>
        <v>0.99834523263045727</v>
      </c>
      <c r="AG72" s="21">
        <f t="shared" si="12"/>
        <v>-145894.76743463543</v>
      </c>
      <c r="AH72" s="21">
        <f t="shared" si="13"/>
        <v>191911.87872474623</v>
      </c>
      <c r="AI72" s="21">
        <f t="shared" si="14"/>
        <v>191911.87872474623</v>
      </c>
      <c r="AJ72" s="54">
        <f t="shared" si="15"/>
        <v>0</v>
      </c>
      <c r="AK72" s="21">
        <f t="shared" si="16"/>
        <v>0</v>
      </c>
      <c r="AL72" s="21">
        <f t="shared" si="17"/>
        <v>0</v>
      </c>
      <c r="AM72" s="21">
        <f t="shared" si="18"/>
        <v>0</v>
      </c>
      <c r="AN72" s="54">
        <f t="shared" si="19"/>
        <v>0</v>
      </c>
      <c r="AO72" s="21">
        <f t="shared" si="20"/>
        <v>0</v>
      </c>
      <c r="AP72" s="21">
        <f t="shared" si="21"/>
        <v>0</v>
      </c>
      <c r="AQ72" s="21">
        <f t="shared" si="22"/>
        <v>0</v>
      </c>
      <c r="AR72" s="54">
        <f t="shared" si="23"/>
        <v>0.99834523263045727</v>
      </c>
      <c r="AS72" s="21">
        <f t="shared" si="24"/>
        <v>-1800.0813521153614</v>
      </c>
      <c r="AT72" s="21">
        <f t="shared" si="25"/>
        <v>8568</v>
      </c>
      <c r="AU72" s="21">
        <f t="shared" si="26"/>
        <v>8568</v>
      </c>
      <c r="AV72" s="54">
        <f t="shared" si="27"/>
        <v>0</v>
      </c>
      <c r="AW72" s="21">
        <f t="shared" si="28"/>
        <v>0</v>
      </c>
      <c r="AX72" s="21">
        <f t="shared" si="29"/>
        <v>0</v>
      </c>
      <c r="AY72" s="21">
        <f t="shared" si="30"/>
        <v>0</v>
      </c>
      <c r="AZ72" s="54">
        <f t="shared" si="31"/>
        <v>0</v>
      </c>
      <c r="BA72" s="21">
        <f t="shared" si="32"/>
        <v>0</v>
      </c>
      <c r="BB72" s="21">
        <f t="shared" si="33"/>
        <v>0</v>
      </c>
      <c r="BC72" s="21">
        <f t="shared" si="34"/>
        <v>0</v>
      </c>
      <c r="BD72" s="54">
        <f t="shared" si="35"/>
        <v>0</v>
      </c>
      <c r="BE72" s="21">
        <f t="shared" si="36"/>
        <v>0</v>
      </c>
      <c r="BF72" s="21">
        <f t="shared" si="37"/>
        <v>0</v>
      </c>
      <c r="BG72" s="21">
        <f t="shared" si="38"/>
        <v>0</v>
      </c>
      <c r="BH72" s="54">
        <f t="shared" si="39"/>
        <v>0</v>
      </c>
      <c r="BI72" s="21">
        <f t="shared" si="40"/>
        <v>0</v>
      </c>
      <c r="BJ72" s="21">
        <f t="shared" si="41"/>
        <v>0</v>
      </c>
      <c r="BK72" s="21">
        <f t="shared" si="42"/>
        <v>0</v>
      </c>
    </row>
    <row r="73" spans="1:63" x14ac:dyDescent="0.25">
      <c r="A73" s="51">
        <v>5</v>
      </c>
      <c r="B73" s="51">
        <f t="shared" si="0"/>
        <v>39</v>
      </c>
      <c r="C73" s="52" t="b">
        <f t="shared" si="1"/>
        <v>1</v>
      </c>
      <c r="D73" s="54">
        <f t="shared" si="2"/>
        <v>1.8770000000000001E-4</v>
      </c>
      <c r="E73" s="54">
        <f t="shared" si="3"/>
        <v>1.7000000000000001E-4</v>
      </c>
      <c r="F73" s="54">
        <f t="shared" si="4"/>
        <v>8.8908599999999998E-4</v>
      </c>
      <c r="G73" s="54">
        <f t="shared" si="5"/>
        <v>2.34393E-4</v>
      </c>
      <c r="H73" s="54">
        <f t="shared" si="6"/>
        <v>2.1000000000000001E-4</v>
      </c>
      <c r="I73" s="54">
        <f t="shared" si="43"/>
        <v>0.99834523263045727</v>
      </c>
      <c r="J73" s="54">
        <f t="shared" si="7"/>
        <v>0.99797198595361747</v>
      </c>
      <c r="K73" s="54">
        <f t="shared" si="44"/>
        <v>0.99884214362079615</v>
      </c>
      <c r="L73" s="54">
        <f t="shared" si="45"/>
        <v>1.1578563792038477E-3</v>
      </c>
      <c r="M73" s="54">
        <f t="shared" si="46"/>
        <v>2.3417649590111304E-4</v>
      </c>
      <c r="N73" s="54">
        <f t="shared" si="47"/>
        <v>0.99895044090739959</v>
      </c>
      <c r="O73" s="54">
        <f t="shared" si="48"/>
        <v>8.3973543704218834E-4</v>
      </c>
      <c r="P73" s="54">
        <f t="shared" si="49"/>
        <v>0.99618721974519164</v>
      </c>
      <c r="Q73" s="54">
        <f t="shared" si="50"/>
        <v>2.9262959835991698E-3</v>
      </c>
      <c r="R73" s="50">
        <f t="shared" si="8"/>
        <v>1.1204130756413424</v>
      </c>
      <c r="S73" s="21">
        <f t="shared" si="51"/>
        <v>98367.152529425221</v>
      </c>
      <c r="T73" s="50">
        <f t="shared" si="52"/>
        <v>1.1668343489575068</v>
      </c>
      <c r="U73" s="21">
        <f t="shared" si="53"/>
        <v>0</v>
      </c>
      <c r="V73" s="21">
        <f t="shared" si="54"/>
        <v>98367.152529425221</v>
      </c>
      <c r="W73" s="50">
        <f t="shared" si="55"/>
        <v>3.1158954881696614E-3</v>
      </c>
      <c r="X73" s="21">
        <f t="shared" si="56"/>
        <v>98060.65076267469</v>
      </c>
      <c r="Y73" s="21">
        <f t="shared" si="57"/>
        <v>55678.255546151122</v>
      </c>
      <c r="Z73" s="21">
        <f t="shared" si="58"/>
        <v>-55678.255546151122</v>
      </c>
      <c r="AA73" s="21">
        <f t="shared" si="59"/>
        <v>-315.72295311280408</v>
      </c>
      <c r="AB73" s="21">
        <f t="shared" si="60"/>
        <v>221632.39223570237</v>
      </c>
      <c r="AC73" s="21">
        <f t="shared" si="9"/>
        <v>128480.16787613506</v>
      </c>
      <c r="AD73" s="21">
        <f t="shared" si="10"/>
        <v>350112.56011183746</v>
      </c>
      <c r="AE73" s="21">
        <f t="shared" si="61"/>
        <v>42382.395216523568</v>
      </c>
      <c r="AF73" s="54">
        <f t="shared" si="11"/>
        <v>0.99797198595361747</v>
      </c>
      <c r="AG73" s="21">
        <f t="shared" si="12"/>
        <v>-96414.439888162538</v>
      </c>
      <c r="AH73" s="21">
        <f t="shared" si="13"/>
        <v>202659.03640073867</v>
      </c>
      <c r="AI73" s="21">
        <f t="shared" si="14"/>
        <v>202659.03640073867</v>
      </c>
      <c r="AJ73" s="54">
        <f t="shared" si="15"/>
        <v>0</v>
      </c>
      <c r="AK73" s="21">
        <f t="shared" si="16"/>
        <v>0</v>
      </c>
      <c r="AL73" s="21">
        <f t="shared" si="17"/>
        <v>0</v>
      </c>
      <c r="AM73" s="21">
        <f t="shared" si="18"/>
        <v>0</v>
      </c>
      <c r="AN73" s="54">
        <f t="shared" si="19"/>
        <v>0</v>
      </c>
      <c r="AO73" s="21">
        <f t="shared" si="20"/>
        <v>0</v>
      </c>
      <c r="AP73" s="21">
        <f t="shared" si="21"/>
        <v>0</v>
      </c>
      <c r="AQ73" s="21">
        <f t="shared" si="22"/>
        <v>0</v>
      </c>
      <c r="AR73" s="54">
        <f t="shared" si="23"/>
        <v>0.99797198595361747</v>
      </c>
      <c r="AS73" s="21">
        <f t="shared" si="24"/>
        <v>-457.6047834764322</v>
      </c>
      <c r="AT73" s="21">
        <f t="shared" si="25"/>
        <v>8568</v>
      </c>
      <c r="AU73" s="21">
        <f t="shared" si="26"/>
        <v>8568</v>
      </c>
      <c r="AV73" s="54">
        <f t="shared" si="27"/>
        <v>0</v>
      </c>
      <c r="AW73" s="21">
        <f t="shared" si="28"/>
        <v>0</v>
      </c>
      <c r="AX73" s="21">
        <f t="shared" si="29"/>
        <v>0</v>
      </c>
      <c r="AY73" s="21">
        <f t="shared" si="30"/>
        <v>0</v>
      </c>
      <c r="AZ73" s="54">
        <f t="shared" si="31"/>
        <v>0</v>
      </c>
      <c r="BA73" s="21">
        <f t="shared" si="32"/>
        <v>0</v>
      </c>
      <c r="BB73" s="21">
        <f t="shared" si="33"/>
        <v>0</v>
      </c>
      <c r="BC73" s="21">
        <f t="shared" si="34"/>
        <v>0</v>
      </c>
      <c r="BD73" s="54">
        <f t="shared" si="35"/>
        <v>0</v>
      </c>
      <c r="BE73" s="21">
        <f t="shared" si="36"/>
        <v>0</v>
      </c>
      <c r="BF73" s="21">
        <f t="shared" si="37"/>
        <v>0</v>
      </c>
      <c r="BG73" s="21">
        <f t="shared" si="38"/>
        <v>0</v>
      </c>
      <c r="BH73" s="54">
        <f t="shared" si="39"/>
        <v>0</v>
      </c>
      <c r="BI73" s="21">
        <f t="shared" si="40"/>
        <v>0</v>
      </c>
      <c r="BJ73" s="21">
        <f t="shared" si="41"/>
        <v>0</v>
      </c>
      <c r="BK73" s="21">
        <f t="shared" si="42"/>
        <v>0</v>
      </c>
    </row>
    <row r="74" spans="1:63" x14ac:dyDescent="0.25">
      <c r="A74" s="51">
        <v>6</v>
      </c>
      <c r="B74" s="51">
        <f t="shared" si="0"/>
        <v>40</v>
      </c>
      <c r="C74" s="52" t="b">
        <f t="shared" si="1"/>
        <v>1</v>
      </c>
      <c r="D74" s="54">
        <f t="shared" si="2"/>
        <v>2.039E-4</v>
      </c>
      <c r="E74" s="54">
        <f t="shared" si="3"/>
        <v>1.7000000000000001E-4</v>
      </c>
      <c r="F74" s="54">
        <f t="shared" si="4"/>
        <v>9.6584100000000005E-4</v>
      </c>
      <c r="G74" s="54">
        <f t="shared" si="5"/>
        <v>2.5878099999999997E-4</v>
      </c>
      <c r="H74" s="54">
        <f t="shared" si="6"/>
        <v>2.1000000000000001E-4</v>
      </c>
      <c r="I74" s="54">
        <f t="shared" si="43"/>
        <v>0.99797198595361747</v>
      </c>
      <c r="J74" s="54">
        <f t="shared" si="7"/>
        <v>0.99759039697802387</v>
      </c>
      <c r="K74" s="54">
        <f t="shared" si="44"/>
        <v>0.99858366225202788</v>
      </c>
      <c r="L74" s="54">
        <f t="shared" si="45"/>
        <v>1.4163377479721184E-3</v>
      </c>
      <c r="M74" s="54">
        <f t="shared" si="46"/>
        <v>2.5848136876833322E-4</v>
      </c>
      <c r="N74" s="54">
        <f t="shared" si="47"/>
        <v>0.99874066131480899</v>
      </c>
      <c r="O74" s="54">
        <f t="shared" si="48"/>
        <v>1.049559092600405E-3</v>
      </c>
      <c r="P74" s="54">
        <f t="shared" si="49"/>
        <v>0.9952250612846858</v>
      </c>
      <c r="Q74" s="54">
        <f t="shared" si="50"/>
        <v>3.8127802548083567E-3</v>
      </c>
      <c r="R74" s="50">
        <f t="shared" si="8"/>
        <v>1.1461825763810933</v>
      </c>
      <c r="S74" s="21">
        <f t="shared" si="51"/>
        <v>101121.43280024912</v>
      </c>
      <c r="T74" s="50">
        <f t="shared" si="52"/>
        <v>1.2035896309496683</v>
      </c>
      <c r="U74" s="21">
        <f t="shared" si="53"/>
        <v>0</v>
      </c>
      <c r="V74" s="21">
        <f t="shared" si="54"/>
        <v>101121.43280024912</v>
      </c>
      <c r="W74" s="50">
        <f t="shared" si="55"/>
        <v>3.969114704539433E-3</v>
      </c>
      <c r="X74" s="21">
        <f t="shared" si="56"/>
        <v>100720.07023437756</v>
      </c>
      <c r="Y74" s="21">
        <f t="shared" si="57"/>
        <v>56958.855423712601</v>
      </c>
      <c r="Z74" s="21">
        <f t="shared" si="58"/>
        <v>-56958.855423712601</v>
      </c>
      <c r="AA74" s="21">
        <f t="shared" si="59"/>
        <v>-352.94850264431977</v>
      </c>
      <c r="AB74" s="21">
        <f t="shared" si="60"/>
        <v>267700.24725055147</v>
      </c>
      <c r="AC74" s="21">
        <f t="shared" si="9"/>
        <v>133991.25770699244</v>
      </c>
      <c r="AD74" s="21">
        <f t="shared" si="10"/>
        <v>401691.50495754392</v>
      </c>
      <c r="AE74" s="21">
        <f t="shared" si="61"/>
        <v>43761.214810664962</v>
      </c>
      <c r="AF74" s="54">
        <f t="shared" si="11"/>
        <v>0.99759039697802387</v>
      </c>
      <c r="AG74" s="21">
        <f t="shared" si="12"/>
        <v>-44835.495042456081</v>
      </c>
      <c r="AH74" s="21">
        <f t="shared" si="13"/>
        <v>207591.71398494262</v>
      </c>
      <c r="AI74" s="21">
        <f t="shared" si="14"/>
        <v>207591.71398494262</v>
      </c>
      <c r="AJ74" s="54">
        <f t="shared" si="15"/>
        <v>0</v>
      </c>
      <c r="AK74" s="21">
        <f t="shared" si="16"/>
        <v>0</v>
      </c>
      <c r="AL74" s="21">
        <f t="shared" si="17"/>
        <v>0</v>
      </c>
      <c r="AM74" s="21">
        <f t="shared" si="18"/>
        <v>0</v>
      </c>
      <c r="AN74" s="54">
        <f t="shared" si="19"/>
        <v>0</v>
      </c>
      <c r="AO74" s="21">
        <f t="shared" si="20"/>
        <v>0</v>
      </c>
      <c r="AP74" s="21">
        <f t="shared" si="21"/>
        <v>0</v>
      </c>
      <c r="AQ74" s="21">
        <f t="shared" si="22"/>
        <v>0</v>
      </c>
      <c r="AR74" s="54">
        <f t="shared" si="23"/>
        <v>0.99759039697802387</v>
      </c>
      <c r="AS74" s="21">
        <f t="shared" si="24"/>
        <v>896.45300139242227</v>
      </c>
      <c r="AT74" s="21">
        <f t="shared" si="25"/>
        <v>8568</v>
      </c>
      <c r="AU74" s="21">
        <f t="shared" si="26"/>
        <v>8568</v>
      </c>
      <c r="AV74" s="54">
        <f t="shared" si="27"/>
        <v>0</v>
      </c>
      <c r="AW74" s="21">
        <f t="shared" si="28"/>
        <v>0</v>
      </c>
      <c r="AX74" s="21">
        <f t="shared" si="29"/>
        <v>0</v>
      </c>
      <c r="AY74" s="21">
        <f t="shared" si="30"/>
        <v>0</v>
      </c>
      <c r="AZ74" s="54">
        <f t="shared" si="31"/>
        <v>0</v>
      </c>
      <c r="BA74" s="21">
        <f t="shared" si="32"/>
        <v>0</v>
      </c>
      <c r="BB74" s="21">
        <f t="shared" si="33"/>
        <v>0</v>
      </c>
      <c r="BC74" s="21">
        <f t="shared" si="34"/>
        <v>0</v>
      </c>
      <c r="BD74" s="54">
        <f t="shared" si="35"/>
        <v>0</v>
      </c>
      <c r="BE74" s="21">
        <f t="shared" si="36"/>
        <v>0</v>
      </c>
      <c r="BF74" s="21">
        <f t="shared" si="37"/>
        <v>0</v>
      </c>
      <c r="BG74" s="21">
        <f t="shared" si="38"/>
        <v>0</v>
      </c>
      <c r="BH74" s="54">
        <f t="shared" si="39"/>
        <v>0</v>
      </c>
      <c r="BI74" s="21">
        <f t="shared" si="40"/>
        <v>0</v>
      </c>
      <c r="BJ74" s="21">
        <f t="shared" si="41"/>
        <v>0</v>
      </c>
      <c r="BK74" s="21">
        <f t="shared" si="42"/>
        <v>0</v>
      </c>
    </row>
    <row r="75" spans="1:63" x14ac:dyDescent="0.25">
      <c r="A75" s="51">
        <v>7</v>
      </c>
      <c r="B75" s="51">
        <f t="shared" si="0"/>
        <v>41</v>
      </c>
      <c r="C75" s="52" t="b">
        <f t="shared" si="1"/>
        <v>1</v>
      </c>
      <c r="D75" s="54">
        <f t="shared" si="2"/>
        <v>2.2240000000000001E-4</v>
      </c>
      <c r="E75" s="54">
        <f t="shared" si="3"/>
        <v>1.6000000000000001E-4</v>
      </c>
      <c r="F75" s="54">
        <f t="shared" si="4"/>
        <v>1.05379E-3</v>
      </c>
      <c r="G75" s="54">
        <f t="shared" si="5"/>
        <v>2.8771899999999997E-4</v>
      </c>
      <c r="H75" s="54">
        <f t="shared" si="6"/>
        <v>2.1000000000000001E-4</v>
      </c>
      <c r="I75" s="54">
        <f t="shared" si="43"/>
        <v>0.99759039697802387</v>
      </c>
      <c r="J75" s="54">
        <f t="shared" si="7"/>
        <v>0.99718840683435628</v>
      </c>
      <c r="K75" s="54">
        <f t="shared" si="44"/>
        <v>0.99829635075930834</v>
      </c>
      <c r="L75" s="54">
        <f t="shared" si="45"/>
        <v>1.7036492406916626E-3</v>
      </c>
      <c r="M75" s="54">
        <f t="shared" si="46"/>
        <v>2.8731149271949118E-4</v>
      </c>
      <c r="N75" s="54">
        <f t="shared" si="47"/>
        <v>0.99853092577593283</v>
      </c>
      <c r="O75" s="54">
        <f t="shared" si="48"/>
        <v>1.2593386851910138E-3</v>
      </c>
      <c r="P75" s="54">
        <f t="shared" si="49"/>
        <v>0.99417630306735461</v>
      </c>
      <c r="Q75" s="54">
        <f t="shared" si="50"/>
        <v>4.1252070953029518E-3</v>
      </c>
      <c r="R75" s="50">
        <f t="shared" si="8"/>
        <v>1.1725447756378582</v>
      </c>
      <c r="S75" s="21">
        <f t="shared" si="51"/>
        <v>103952.8329186561</v>
      </c>
      <c r="T75" s="50">
        <f t="shared" si="52"/>
        <v>1.241502704324583</v>
      </c>
      <c r="U75" s="21">
        <f t="shared" si="53"/>
        <v>0</v>
      </c>
      <c r="V75" s="21">
        <f t="shared" si="54"/>
        <v>103952.8329186561</v>
      </c>
      <c r="W75" s="50">
        <f t="shared" si="55"/>
        <v>4.5037554960671022E-3</v>
      </c>
      <c r="X75" s="21">
        <f t="shared" si="56"/>
        <v>103484.65477606696</v>
      </c>
      <c r="Y75" s="21">
        <f t="shared" si="57"/>
        <v>58268.909098457974</v>
      </c>
      <c r="Z75" s="21">
        <f t="shared" si="58"/>
        <v>-58268.909098457974</v>
      </c>
      <c r="AA75" s="21">
        <f t="shared" si="59"/>
        <v>-396.70039368129926</v>
      </c>
      <c r="AB75" s="21">
        <f t="shared" si="60"/>
        <v>315731.69550148578</v>
      </c>
      <c r="AC75" s="21">
        <f t="shared" si="9"/>
        <v>139738.74286349307</v>
      </c>
      <c r="AD75" s="21">
        <f t="shared" si="10"/>
        <v>455470.43836497888</v>
      </c>
      <c r="AE75" s="21">
        <f t="shared" si="61"/>
        <v>45215.745677608989</v>
      </c>
      <c r="AF75" s="54">
        <f t="shared" si="11"/>
        <v>0.99718840683435628</v>
      </c>
      <c r="AG75" s="21">
        <f t="shared" si="12"/>
        <v>8847.2220300435256</v>
      </c>
      <c r="AH75" s="21">
        <f t="shared" si="13"/>
        <v>207826.17068587308</v>
      </c>
      <c r="AI75" s="21">
        <f t="shared" si="14"/>
        <v>207826.17068587308</v>
      </c>
      <c r="AJ75" s="54">
        <f t="shared" si="15"/>
        <v>0</v>
      </c>
      <c r="AK75" s="21">
        <f t="shared" si="16"/>
        <v>0</v>
      </c>
      <c r="AL75" s="21">
        <f t="shared" si="17"/>
        <v>0</v>
      </c>
      <c r="AM75" s="21">
        <f t="shared" si="18"/>
        <v>0</v>
      </c>
      <c r="AN75" s="54">
        <f t="shared" si="19"/>
        <v>0</v>
      </c>
      <c r="AO75" s="21">
        <f t="shared" si="20"/>
        <v>0</v>
      </c>
      <c r="AP75" s="21">
        <f t="shared" si="21"/>
        <v>0</v>
      </c>
      <c r="AQ75" s="21">
        <f t="shared" si="22"/>
        <v>0</v>
      </c>
      <c r="AR75" s="54">
        <f t="shared" si="23"/>
        <v>0.99718840683435628</v>
      </c>
      <c r="AS75" s="21">
        <f t="shared" si="24"/>
        <v>2211.0582498347771</v>
      </c>
      <c r="AT75" s="21">
        <f t="shared" si="25"/>
        <v>8568</v>
      </c>
      <c r="AU75" s="21">
        <f t="shared" si="26"/>
        <v>8568</v>
      </c>
      <c r="AV75" s="54">
        <f t="shared" si="27"/>
        <v>0</v>
      </c>
      <c r="AW75" s="21">
        <f t="shared" si="28"/>
        <v>0</v>
      </c>
      <c r="AX75" s="21">
        <f t="shared" si="29"/>
        <v>0</v>
      </c>
      <c r="AY75" s="21">
        <f t="shared" si="30"/>
        <v>0</v>
      </c>
      <c r="AZ75" s="54">
        <f t="shared" si="31"/>
        <v>0</v>
      </c>
      <c r="BA75" s="21">
        <f t="shared" si="32"/>
        <v>0</v>
      </c>
      <c r="BB75" s="21">
        <f t="shared" si="33"/>
        <v>0</v>
      </c>
      <c r="BC75" s="21">
        <f t="shared" si="34"/>
        <v>0</v>
      </c>
      <c r="BD75" s="54">
        <f t="shared" si="35"/>
        <v>0</v>
      </c>
      <c r="BE75" s="21">
        <f t="shared" si="36"/>
        <v>0</v>
      </c>
      <c r="BF75" s="21">
        <f t="shared" si="37"/>
        <v>0</v>
      </c>
      <c r="BG75" s="21">
        <f t="shared" si="38"/>
        <v>0</v>
      </c>
      <c r="BH75" s="54">
        <f t="shared" si="39"/>
        <v>0</v>
      </c>
      <c r="BI75" s="21">
        <f t="shared" si="40"/>
        <v>0</v>
      </c>
      <c r="BJ75" s="21">
        <f t="shared" si="41"/>
        <v>0</v>
      </c>
      <c r="BK75" s="21">
        <f t="shared" si="42"/>
        <v>0</v>
      </c>
    </row>
    <row r="76" spans="1:63" x14ac:dyDescent="0.25">
      <c r="A76" s="51">
        <v>8</v>
      </c>
      <c r="B76" s="51">
        <f t="shared" si="0"/>
        <v>42</v>
      </c>
      <c r="C76" s="52" t="b">
        <f t="shared" si="1"/>
        <v>1</v>
      </c>
      <c r="D76" s="54">
        <f t="shared" si="2"/>
        <v>2.43E-4</v>
      </c>
      <c r="E76" s="54">
        <f t="shared" si="3"/>
        <v>1.6000000000000001E-4</v>
      </c>
      <c r="F76" s="54">
        <f t="shared" si="4"/>
        <v>1.151334E-3</v>
      </c>
      <c r="G76" s="54">
        <f t="shared" si="5"/>
        <v>3.2164200000000002E-4</v>
      </c>
      <c r="H76" s="54">
        <f t="shared" si="6"/>
        <v>2.1000000000000001E-4</v>
      </c>
      <c r="I76" s="54">
        <f t="shared" si="43"/>
        <v>0.99718840683435628</v>
      </c>
      <c r="J76" s="54">
        <f t="shared" si="7"/>
        <v>0.99676364701338338</v>
      </c>
      <c r="K76" s="54">
        <f t="shared" si="44"/>
        <v>0.99797525672445742</v>
      </c>
      <c r="L76" s="54">
        <f t="shared" si="45"/>
        <v>2.0247432755425843E-3</v>
      </c>
      <c r="M76" s="54">
        <f t="shared" si="46"/>
        <v>3.2109403485092549E-4</v>
      </c>
      <c r="N76" s="54">
        <f t="shared" si="47"/>
        <v>0.99832123428151986</v>
      </c>
      <c r="O76" s="54">
        <f t="shared" si="48"/>
        <v>1.4690742240671684E-3</v>
      </c>
      <c r="P76" s="54">
        <f t="shared" si="49"/>
        <v>0.99303167408763882</v>
      </c>
      <c r="Q76" s="54">
        <f t="shared" si="50"/>
        <v>4.4757979766426592E-3</v>
      </c>
      <c r="R76" s="50">
        <f t="shared" si="8"/>
        <v>1.1995133054775289</v>
      </c>
      <c r="S76" s="21">
        <f t="shared" si="51"/>
        <v>106863.51224037848</v>
      </c>
      <c r="T76" s="50">
        <f t="shared" si="52"/>
        <v>1.2806100395108075</v>
      </c>
      <c r="U76" s="21">
        <f t="shared" si="53"/>
        <v>0</v>
      </c>
      <c r="V76" s="21">
        <f t="shared" si="54"/>
        <v>106863.51224037848</v>
      </c>
      <c r="W76" s="50">
        <f t="shared" si="55"/>
        <v>5.0773783902925045E-3</v>
      </c>
      <c r="X76" s="21">
        <f t="shared" si="56"/>
        <v>106320.92575261842</v>
      </c>
      <c r="Y76" s="21">
        <f t="shared" si="57"/>
        <v>59609.094007722502</v>
      </c>
      <c r="Z76" s="21">
        <f t="shared" si="58"/>
        <v>-59609.094007722502</v>
      </c>
      <c r="AA76" s="21">
        <f t="shared" si="59"/>
        <v>-447.21760620797181</v>
      </c>
      <c r="AB76" s="21">
        <f t="shared" si="60"/>
        <v>365785.08998619154</v>
      </c>
      <c r="AC76" s="21">
        <f t="shared" si="9"/>
        <v>145732.76339990954</v>
      </c>
      <c r="AD76" s="21">
        <f t="shared" si="10"/>
        <v>511517.85338610108</v>
      </c>
      <c r="AE76" s="21">
        <f t="shared" si="61"/>
        <v>46711.831744895921</v>
      </c>
      <c r="AF76" s="54">
        <f t="shared" si="11"/>
        <v>0.99676364701338338</v>
      </c>
      <c r="AG76" s="21">
        <f t="shared" si="12"/>
        <v>59909.911209865335</v>
      </c>
      <c r="AH76" s="21">
        <f t="shared" si="13"/>
        <v>207826.17068587308</v>
      </c>
      <c r="AI76" s="21">
        <f t="shared" si="14"/>
        <v>207826.17068587308</v>
      </c>
      <c r="AJ76" s="54">
        <f t="shared" si="15"/>
        <v>0</v>
      </c>
      <c r="AK76" s="21">
        <f t="shared" si="16"/>
        <v>0</v>
      </c>
      <c r="AL76" s="21">
        <f t="shared" si="17"/>
        <v>0</v>
      </c>
      <c r="AM76" s="21">
        <f t="shared" si="18"/>
        <v>0</v>
      </c>
      <c r="AN76" s="54">
        <f t="shared" si="19"/>
        <v>0</v>
      </c>
      <c r="AO76" s="21">
        <f t="shared" si="20"/>
        <v>0</v>
      </c>
      <c r="AP76" s="21">
        <f t="shared" si="21"/>
        <v>0</v>
      </c>
      <c r="AQ76" s="21">
        <f t="shared" si="22"/>
        <v>0</v>
      </c>
      <c r="AR76" s="54">
        <f t="shared" si="23"/>
        <v>0.99676364701338338</v>
      </c>
      <c r="AS76" s="21">
        <f t="shared" si="24"/>
        <v>3434.416914690978</v>
      </c>
      <c r="AT76" s="21">
        <f t="shared" si="25"/>
        <v>8568</v>
      </c>
      <c r="AU76" s="21">
        <f t="shared" si="26"/>
        <v>8568</v>
      </c>
      <c r="AV76" s="54">
        <f t="shared" si="27"/>
        <v>0</v>
      </c>
      <c r="AW76" s="21">
        <f t="shared" si="28"/>
        <v>0</v>
      </c>
      <c r="AX76" s="21">
        <f t="shared" si="29"/>
        <v>0</v>
      </c>
      <c r="AY76" s="21">
        <f t="shared" si="30"/>
        <v>0</v>
      </c>
      <c r="AZ76" s="54">
        <f t="shared" si="31"/>
        <v>0</v>
      </c>
      <c r="BA76" s="21">
        <f t="shared" si="32"/>
        <v>0</v>
      </c>
      <c r="BB76" s="21">
        <f t="shared" si="33"/>
        <v>0</v>
      </c>
      <c r="BC76" s="21">
        <f t="shared" si="34"/>
        <v>0</v>
      </c>
      <c r="BD76" s="54">
        <f t="shared" si="35"/>
        <v>0</v>
      </c>
      <c r="BE76" s="21">
        <f t="shared" si="36"/>
        <v>0</v>
      </c>
      <c r="BF76" s="21">
        <f t="shared" si="37"/>
        <v>0</v>
      </c>
      <c r="BG76" s="21">
        <f t="shared" si="38"/>
        <v>0</v>
      </c>
      <c r="BH76" s="54">
        <f t="shared" si="39"/>
        <v>0</v>
      </c>
      <c r="BI76" s="21">
        <f t="shared" si="40"/>
        <v>0</v>
      </c>
      <c r="BJ76" s="21">
        <f t="shared" si="41"/>
        <v>0</v>
      </c>
      <c r="BK76" s="21">
        <f t="shared" si="42"/>
        <v>0</v>
      </c>
    </row>
    <row r="77" spans="1:63" x14ac:dyDescent="0.25">
      <c r="A77" s="51">
        <v>9</v>
      </c>
      <c r="B77" s="51">
        <f t="shared" si="0"/>
        <v>43</v>
      </c>
      <c r="C77" s="52" t="b">
        <f t="shared" si="1"/>
        <v>1</v>
      </c>
      <c r="D77" s="54">
        <f t="shared" si="2"/>
        <v>2.6600000000000001E-4</v>
      </c>
      <c r="E77" s="54">
        <f t="shared" si="3"/>
        <v>1.6000000000000001E-4</v>
      </c>
      <c r="F77" s="54">
        <f t="shared" si="4"/>
        <v>1.260071E-3</v>
      </c>
      <c r="G77" s="54">
        <f t="shared" si="5"/>
        <v>3.6102699999999998E-4</v>
      </c>
      <c r="H77" s="54">
        <f t="shared" si="6"/>
        <v>2.1000000000000001E-4</v>
      </c>
      <c r="I77" s="54">
        <f t="shared" si="43"/>
        <v>0.99676364701338338</v>
      </c>
      <c r="J77" s="54">
        <f t="shared" si="7"/>
        <v>0.99630359032548965</v>
      </c>
      <c r="K77" s="54">
        <f t="shared" si="44"/>
        <v>0.99761496071144795</v>
      </c>
      <c r="L77" s="54">
        <f t="shared" si="45"/>
        <v>2.3850392885520488E-3</v>
      </c>
      <c r="M77" s="54">
        <f t="shared" si="46"/>
        <v>3.6029601300946066E-4</v>
      </c>
      <c r="N77" s="54">
        <f t="shared" si="47"/>
        <v>0.99811158682232071</v>
      </c>
      <c r="O77" s="54">
        <f t="shared" si="48"/>
        <v>1.6787657184801352E-3</v>
      </c>
      <c r="P77" s="54">
        <f t="shared" si="49"/>
        <v>0.99178038367303956</v>
      </c>
      <c r="Q77" s="54">
        <f t="shared" si="50"/>
        <v>4.8692997915841252E-3</v>
      </c>
      <c r="R77" s="50">
        <f t="shared" si="8"/>
        <v>1.2271021115035119</v>
      </c>
      <c r="S77" s="21">
        <f t="shared" si="51"/>
        <v>109855.69058310907</v>
      </c>
      <c r="T77" s="50">
        <f t="shared" si="52"/>
        <v>1.3209492557553981</v>
      </c>
      <c r="U77" s="21">
        <f t="shared" si="53"/>
        <v>0</v>
      </c>
      <c r="V77" s="21">
        <f t="shared" si="54"/>
        <v>109855.69058310907</v>
      </c>
      <c r="W77" s="50">
        <f t="shared" si="55"/>
        <v>5.6954462801462238E-3</v>
      </c>
      <c r="X77" s="21">
        <f t="shared" si="56"/>
        <v>109230.01339882461</v>
      </c>
      <c r="Y77" s="21">
        <f t="shared" si="57"/>
        <v>60980.103169900118</v>
      </c>
      <c r="Z77" s="21">
        <f t="shared" si="58"/>
        <v>-60980.103169900118</v>
      </c>
      <c r="AA77" s="21">
        <f t="shared" si="59"/>
        <v>-505.54843620747977</v>
      </c>
      <c r="AB77" s="21">
        <f t="shared" si="60"/>
        <v>417918.87285874283</v>
      </c>
      <c r="AC77" s="21">
        <f t="shared" si="9"/>
        <v>151983.89432285697</v>
      </c>
      <c r="AD77" s="21">
        <f t="shared" si="10"/>
        <v>569902.76718159975</v>
      </c>
      <c r="AE77" s="21">
        <f t="shared" si="61"/>
        <v>48249.910228924491</v>
      </c>
      <c r="AF77" s="54">
        <f t="shared" si="11"/>
        <v>0.99630359032548965</v>
      </c>
      <c r="AG77" s="21">
        <f t="shared" si="12"/>
        <v>105065.29661211652</v>
      </c>
      <c r="AH77" s="21">
        <f t="shared" si="13"/>
        <v>207826.17068587308</v>
      </c>
      <c r="AI77" s="21">
        <f t="shared" si="14"/>
        <v>207826.17068587308</v>
      </c>
      <c r="AJ77" s="54">
        <f t="shared" si="15"/>
        <v>0</v>
      </c>
      <c r="AK77" s="21">
        <f t="shared" si="16"/>
        <v>0</v>
      </c>
      <c r="AL77" s="21">
        <f t="shared" si="17"/>
        <v>0</v>
      </c>
      <c r="AM77" s="21">
        <f t="shared" si="18"/>
        <v>0</v>
      </c>
      <c r="AN77" s="54">
        <f t="shared" si="19"/>
        <v>0</v>
      </c>
      <c r="AO77" s="21">
        <f t="shared" si="20"/>
        <v>0</v>
      </c>
      <c r="AP77" s="21">
        <f t="shared" si="21"/>
        <v>0</v>
      </c>
      <c r="AQ77" s="21">
        <f t="shared" si="22"/>
        <v>0</v>
      </c>
      <c r="AR77" s="54">
        <f t="shared" si="23"/>
        <v>0.99630359032548965</v>
      </c>
      <c r="AS77" s="21">
        <f t="shared" si="24"/>
        <v>4555.9440558087745</v>
      </c>
      <c r="AT77" s="21">
        <f t="shared" si="25"/>
        <v>8568</v>
      </c>
      <c r="AU77" s="21">
        <f t="shared" si="26"/>
        <v>8568</v>
      </c>
      <c r="AV77" s="54">
        <f t="shared" si="27"/>
        <v>0</v>
      </c>
      <c r="AW77" s="21">
        <f t="shared" si="28"/>
        <v>0</v>
      </c>
      <c r="AX77" s="21">
        <f t="shared" si="29"/>
        <v>0</v>
      </c>
      <c r="AY77" s="21">
        <f t="shared" si="30"/>
        <v>0</v>
      </c>
      <c r="AZ77" s="54">
        <f t="shared" si="31"/>
        <v>0</v>
      </c>
      <c r="BA77" s="21">
        <f t="shared" si="32"/>
        <v>0</v>
      </c>
      <c r="BB77" s="21">
        <f t="shared" si="33"/>
        <v>0</v>
      </c>
      <c r="BC77" s="21">
        <f t="shared" si="34"/>
        <v>0</v>
      </c>
      <c r="BD77" s="54">
        <f t="shared" si="35"/>
        <v>0</v>
      </c>
      <c r="BE77" s="21">
        <f t="shared" si="36"/>
        <v>0</v>
      </c>
      <c r="BF77" s="21">
        <f t="shared" si="37"/>
        <v>0</v>
      </c>
      <c r="BG77" s="21">
        <f t="shared" si="38"/>
        <v>0</v>
      </c>
      <c r="BH77" s="54">
        <f t="shared" si="39"/>
        <v>0</v>
      </c>
      <c r="BI77" s="21">
        <f t="shared" si="40"/>
        <v>0</v>
      </c>
      <c r="BJ77" s="21">
        <f t="shared" si="41"/>
        <v>0</v>
      </c>
      <c r="BK77" s="21">
        <f t="shared" si="42"/>
        <v>0</v>
      </c>
    </row>
    <row r="78" spans="1:63" x14ac:dyDescent="0.25">
      <c r="A78" s="51">
        <v>10</v>
      </c>
      <c r="B78" s="51">
        <f t="shared" si="0"/>
        <v>44</v>
      </c>
      <c r="C78" s="52" t="b">
        <f t="shared" si="1"/>
        <v>1</v>
      </c>
      <c r="D78" s="54">
        <f t="shared" si="2"/>
        <v>2.9159999999999999E-4</v>
      </c>
      <c r="E78" s="54">
        <f t="shared" si="3"/>
        <v>1.7000000000000001E-4</v>
      </c>
      <c r="F78" s="54">
        <f t="shared" si="4"/>
        <v>1.3816010000000001E-3</v>
      </c>
      <c r="G78" s="54">
        <f t="shared" si="5"/>
        <v>4.06396E-4</v>
      </c>
      <c r="H78" s="54">
        <f t="shared" si="6"/>
        <v>2.1000000000000001E-4</v>
      </c>
      <c r="I78" s="54">
        <f t="shared" si="43"/>
        <v>0.99630359032548965</v>
      </c>
      <c r="J78" s="54">
        <f t="shared" si="7"/>
        <v>0.99581515692487976</v>
      </c>
      <c r="K78" s="54">
        <f t="shared" si="44"/>
        <v>0.99720953398187462</v>
      </c>
      <c r="L78" s="54">
        <f t="shared" si="45"/>
        <v>2.7904660181253815E-3</v>
      </c>
      <c r="M78" s="54">
        <f t="shared" si="46"/>
        <v>4.054267295732896E-4</v>
      </c>
      <c r="N78" s="54">
        <f t="shared" si="47"/>
        <v>0.99790198338908798</v>
      </c>
      <c r="O78" s="54">
        <f t="shared" si="48"/>
        <v>1.8884131776792934E-3</v>
      </c>
      <c r="P78" s="54">
        <f t="shared" si="49"/>
        <v>0.99041013890317653</v>
      </c>
      <c r="Q78" s="54">
        <f t="shared" si="50"/>
        <v>5.3088556262579356E-3</v>
      </c>
      <c r="R78" s="50">
        <f t="shared" si="8"/>
        <v>1.2553254600680925</v>
      </c>
      <c r="S78" s="21">
        <f t="shared" si="51"/>
        <v>112931.64991943612</v>
      </c>
      <c r="T78" s="50">
        <f t="shared" si="52"/>
        <v>1.3625591573116933</v>
      </c>
      <c r="U78" s="21">
        <f t="shared" si="53"/>
        <v>0</v>
      </c>
      <c r="V78" s="21">
        <f t="shared" si="54"/>
        <v>541331.64991943608</v>
      </c>
      <c r="W78" s="50">
        <f t="shared" si="55"/>
        <v>6.3627465127595647E-3</v>
      </c>
      <c r="X78" s="21">
        <f t="shared" si="56"/>
        <v>537887.29385166476</v>
      </c>
      <c r="Y78" s="21">
        <f t="shared" si="57"/>
        <v>62382.645542807812</v>
      </c>
      <c r="Z78" s="21">
        <f t="shared" si="58"/>
        <v>-490782.64554280782</v>
      </c>
      <c r="AA78" s="21">
        <f t="shared" si="59"/>
        <v>-572.84225033762573</v>
      </c>
      <c r="AB78" s="21">
        <f t="shared" si="60"/>
        <v>469465.70539156697</v>
      </c>
      <c r="AC78" s="21">
        <f t="shared" si="9"/>
        <v>158503.16424834702</v>
      </c>
      <c r="AD78" s="21">
        <f t="shared" si="10"/>
        <v>627968.86963991402</v>
      </c>
      <c r="AE78" s="21">
        <f t="shared" si="61"/>
        <v>475504.64830885694</v>
      </c>
      <c r="AF78" s="54">
        <f t="shared" si="11"/>
        <v>0.99581515692487976</v>
      </c>
      <c r="AG78" s="21">
        <f t="shared" si="12"/>
        <v>141840.0813403698</v>
      </c>
      <c r="AH78" s="21">
        <f t="shared" si="13"/>
        <v>207826.17068587308</v>
      </c>
      <c r="AI78" s="21">
        <f t="shared" si="14"/>
        <v>207826.17068587308</v>
      </c>
      <c r="AJ78" s="54">
        <f t="shared" si="15"/>
        <v>0</v>
      </c>
      <c r="AK78" s="21">
        <f t="shared" si="16"/>
        <v>0</v>
      </c>
      <c r="AL78" s="21">
        <f t="shared" si="17"/>
        <v>0</v>
      </c>
      <c r="AM78" s="21">
        <f t="shared" si="18"/>
        <v>0</v>
      </c>
      <c r="AN78" s="54">
        <f t="shared" si="19"/>
        <v>0</v>
      </c>
      <c r="AO78" s="21">
        <f t="shared" si="20"/>
        <v>0</v>
      </c>
      <c r="AP78" s="21">
        <f t="shared" si="21"/>
        <v>0</v>
      </c>
      <c r="AQ78" s="21">
        <f t="shared" si="22"/>
        <v>0</v>
      </c>
      <c r="AR78" s="54">
        <f t="shared" si="23"/>
        <v>0.99581515692487976</v>
      </c>
      <c r="AS78" s="21">
        <f t="shared" si="24"/>
        <v>8568</v>
      </c>
      <c r="AT78" s="21">
        <f t="shared" si="25"/>
        <v>8568</v>
      </c>
      <c r="AU78" s="21">
        <f t="shared" si="26"/>
        <v>8568</v>
      </c>
      <c r="AV78" s="54">
        <f t="shared" si="27"/>
        <v>0</v>
      </c>
      <c r="AW78" s="21">
        <f t="shared" si="28"/>
        <v>0</v>
      </c>
      <c r="AX78" s="21">
        <f t="shared" si="29"/>
        <v>0</v>
      </c>
      <c r="AY78" s="21">
        <f t="shared" si="30"/>
        <v>0</v>
      </c>
      <c r="AZ78" s="54">
        <f t="shared" si="31"/>
        <v>0</v>
      </c>
      <c r="BA78" s="21">
        <f t="shared" si="32"/>
        <v>0</v>
      </c>
      <c r="BB78" s="21">
        <f t="shared" si="33"/>
        <v>0</v>
      </c>
      <c r="BC78" s="21">
        <f t="shared" si="34"/>
        <v>0</v>
      </c>
      <c r="BD78" s="54">
        <f t="shared" si="35"/>
        <v>0</v>
      </c>
      <c r="BE78" s="21">
        <f t="shared" si="36"/>
        <v>0</v>
      </c>
      <c r="BF78" s="21">
        <f t="shared" si="37"/>
        <v>0</v>
      </c>
      <c r="BG78" s="21">
        <f t="shared" si="38"/>
        <v>0</v>
      </c>
      <c r="BH78" s="54">
        <f t="shared" si="39"/>
        <v>0.99581515692487976</v>
      </c>
      <c r="BI78" s="21">
        <f t="shared" si="40"/>
        <v>40630.418931227679</v>
      </c>
      <c r="BJ78" s="21">
        <f t="shared" si="41"/>
        <v>85680</v>
      </c>
      <c r="BK78" s="21">
        <f t="shared" si="42"/>
        <v>85680</v>
      </c>
    </row>
    <row r="79" spans="1:63" x14ac:dyDescent="0.25">
      <c r="A79" s="51">
        <v>11</v>
      </c>
      <c r="B79" s="51">
        <f t="shared" si="0"/>
        <v>45</v>
      </c>
      <c r="C79" s="52" t="b">
        <f t="shared" si="1"/>
        <v>1</v>
      </c>
      <c r="D79" s="54">
        <f t="shared" si="2"/>
        <v>3.2029999999999998E-4</v>
      </c>
      <c r="E79" s="54">
        <f t="shared" si="3"/>
        <v>1.7000000000000001E-4</v>
      </c>
      <c r="F79" s="54">
        <f t="shared" si="4"/>
        <v>1.5175220000000001E-3</v>
      </c>
      <c r="G79" s="54">
        <f t="shared" si="5"/>
        <v>4.5832000000000002E-4</v>
      </c>
      <c r="H79" s="54">
        <f t="shared" si="6"/>
        <v>2.1000000000000001E-4</v>
      </c>
      <c r="I79" s="54">
        <f t="shared" si="43"/>
        <v>0.99581515692487976</v>
      </c>
      <c r="J79" s="54">
        <f t="shared" si="7"/>
        <v>0.99529500274419669</v>
      </c>
      <c r="K79" s="54">
        <f t="shared" si="44"/>
        <v>0.99675249290826007</v>
      </c>
      <c r="L79" s="54">
        <f t="shared" si="45"/>
        <v>3.2475070917399318E-3</v>
      </c>
      <c r="M79" s="54">
        <f t="shared" si="46"/>
        <v>4.5704107361457282E-4</v>
      </c>
      <c r="N79" s="54">
        <f t="shared" si="47"/>
        <v>0.99769242397257618</v>
      </c>
      <c r="O79" s="54">
        <f t="shared" si="48"/>
        <v>2.0980166109120235E-3</v>
      </c>
      <c r="P79" s="54">
        <f t="shared" si="49"/>
        <v>0.9889071697283679</v>
      </c>
      <c r="Q79" s="54">
        <f t="shared" si="50"/>
        <v>5.7991918863331549E-3</v>
      </c>
      <c r="R79" s="50">
        <f t="shared" si="8"/>
        <v>1.2841979456496586</v>
      </c>
      <c r="S79" s="21">
        <f t="shared" si="51"/>
        <v>116093.73611718033</v>
      </c>
      <c r="T79" s="50">
        <f t="shared" si="52"/>
        <v>1.4054797707670117</v>
      </c>
      <c r="U79" s="21">
        <f t="shared" si="53"/>
        <v>0</v>
      </c>
      <c r="V79" s="21">
        <f t="shared" si="54"/>
        <v>116093.73611718033</v>
      </c>
      <c r="W79" s="50">
        <f t="shared" si="55"/>
        <v>7.0852621944122026E-3</v>
      </c>
      <c r="X79" s="21">
        <f t="shared" si="56"/>
        <v>115271.18155766121</v>
      </c>
      <c r="Y79" s="21">
        <f t="shared" si="57"/>
        <v>63817.446390292389</v>
      </c>
      <c r="Z79" s="21">
        <f t="shared" si="58"/>
        <v>-63817.446390292389</v>
      </c>
      <c r="AA79" s="21">
        <f t="shared" si="59"/>
        <v>-650.3571832447592</v>
      </c>
      <c r="AB79" s="21">
        <f t="shared" si="60"/>
        <v>525902.67184038984</v>
      </c>
      <c r="AC79" s="21">
        <f t="shared" si="9"/>
        <v>165302.07485912647</v>
      </c>
      <c r="AD79" s="21">
        <f t="shared" si="10"/>
        <v>691204.74669951631</v>
      </c>
      <c r="AE79" s="21">
        <f t="shared" si="61"/>
        <v>51453.735167368824</v>
      </c>
      <c r="AF79" s="54">
        <f t="shared" si="11"/>
        <v>0</v>
      </c>
      <c r="AG79" s="21">
        <f t="shared" si="12"/>
        <v>0</v>
      </c>
      <c r="AH79" s="21">
        <f t="shared" si="13"/>
        <v>0</v>
      </c>
      <c r="AI79" s="21">
        <f t="shared" si="14"/>
        <v>0</v>
      </c>
      <c r="AJ79" s="54">
        <f t="shared" si="15"/>
        <v>0</v>
      </c>
      <c r="AK79" s="21">
        <f t="shared" si="16"/>
        <v>0</v>
      </c>
      <c r="AL79" s="21">
        <f t="shared" si="17"/>
        <v>0</v>
      </c>
      <c r="AM79" s="21">
        <f t="shared" si="18"/>
        <v>0</v>
      </c>
      <c r="AN79" s="54">
        <f t="shared" si="19"/>
        <v>0</v>
      </c>
      <c r="AO79" s="21">
        <f t="shared" si="20"/>
        <v>0</v>
      </c>
      <c r="AP79" s="21">
        <f t="shared" si="21"/>
        <v>0</v>
      </c>
      <c r="AQ79" s="21">
        <f t="shared" si="22"/>
        <v>0</v>
      </c>
      <c r="AR79" s="54">
        <f t="shared" si="23"/>
        <v>0</v>
      </c>
      <c r="AS79" s="21">
        <f t="shared" si="24"/>
        <v>0</v>
      </c>
      <c r="AT79" s="21">
        <f t="shared" si="25"/>
        <v>0</v>
      </c>
      <c r="AU79" s="21">
        <f t="shared" si="26"/>
        <v>0</v>
      </c>
      <c r="AV79" s="54">
        <f t="shared" si="27"/>
        <v>0</v>
      </c>
      <c r="AW79" s="21">
        <f t="shared" si="28"/>
        <v>0</v>
      </c>
      <c r="AX79" s="21">
        <f t="shared" si="29"/>
        <v>0</v>
      </c>
      <c r="AY79" s="21">
        <f t="shared" si="30"/>
        <v>0</v>
      </c>
      <c r="AZ79" s="54">
        <f t="shared" si="31"/>
        <v>0</v>
      </c>
      <c r="BA79" s="21">
        <f t="shared" si="32"/>
        <v>0</v>
      </c>
      <c r="BB79" s="21">
        <f t="shared" si="33"/>
        <v>0</v>
      </c>
      <c r="BC79" s="21">
        <f t="shared" si="34"/>
        <v>0</v>
      </c>
      <c r="BD79" s="54">
        <f t="shared" si="35"/>
        <v>0</v>
      </c>
      <c r="BE79" s="21">
        <f t="shared" si="36"/>
        <v>0</v>
      </c>
      <c r="BF79" s="21">
        <f t="shared" si="37"/>
        <v>0</v>
      </c>
      <c r="BG79" s="21">
        <f t="shared" si="38"/>
        <v>0</v>
      </c>
      <c r="BH79" s="54">
        <f t="shared" si="39"/>
        <v>0</v>
      </c>
      <c r="BI79" s="21">
        <f t="shared" si="40"/>
        <v>0</v>
      </c>
      <c r="BJ79" s="21">
        <f t="shared" si="41"/>
        <v>0</v>
      </c>
      <c r="BK79" s="21">
        <f t="shared" si="42"/>
        <v>0</v>
      </c>
    </row>
    <row r="80" spans="1:63" x14ac:dyDescent="0.25">
      <c r="A80" s="51">
        <v>12</v>
      </c>
      <c r="B80" s="51">
        <f t="shared" si="0"/>
        <v>46</v>
      </c>
      <c r="C80" s="52" t="b">
        <f t="shared" si="1"/>
        <v>1</v>
      </c>
      <c r="D80" s="54">
        <f t="shared" si="2"/>
        <v>3.524E-4</v>
      </c>
      <c r="E80" s="54">
        <f t="shared" si="3"/>
        <v>1.7000000000000001E-4</v>
      </c>
      <c r="F80" s="54">
        <f t="shared" si="4"/>
        <v>1.669434E-3</v>
      </c>
      <c r="G80" s="54">
        <f t="shared" si="5"/>
        <v>5.1742400000000005E-4</v>
      </c>
      <c r="H80" s="54">
        <f t="shared" si="6"/>
        <v>2.1000000000000001E-4</v>
      </c>
      <c r="I80" s="54">
        <f t="shared" si="43"/>
        <v>0.99529500274419669</v>
      </c>
      <c r="J80" s="54">
        <f t="shared" si="7"/>
        <v>0.99473959426974357</v>
      </c>
      <c r="K80" s="54">
        <f t="shared" si="44"/>
        <v>0.99623674924636951</v>
      </c>
      <c r="L80" s="54">
        <f t="shared" si="45"/>
        <v>3.7632507536304871E-3</v>
      </c>
      <c r="M80" s="54">
        <f t="shared" si="46"/>
        <v>5.1574366189056356E-4</v>
      </c>
      <c r="N80" s="54">
        <f t="shared" si="47"/>
        <v>0.99748290856354194</v>
      </c>
      <c r="O80" s="54">
        <f t="shared" si="48"/>
        <v>2.3075760274238188E-3</v>
      </c>
      <c r="P80" s="54">
        <f t="shared" si="49"/>
        <v>0.98725625447637966</v>
      </c>
      <c r="Q80" s="54">
        <f t="shared" si="50"/>
        <v>6.3482038406090791E-3</v>
      </c>
      <c r="R80" s="50">
        <f t="shared" si="8"/>
        <v>1.3137344983996007</v>
      </c>
      <c r="S80" s="21">
        <f t="shared" si="51"/>
        <v>119344.3607284614</v>
      </c>
      <c r="T80" s="50">
        <f t="shared" si="52"/>
        <v>1.4508767673627863</v>
      </c>
      <c r="U80" s="21">
        <f t="shared" si="53"/>
        <v>0</v>
      </c>
      <c r="V80" s="21">
        <f t="shared" si="54"/>
        <v>119344.3607284614</v>
      </c>
      <c r="W80" s="50">
        <f t="shared" si="55"/>
        <v>7.8711166589252105E-3</v>
      </c>
      <c r="X80" s="21">
        <f t="shared" si="56"/>
        <v>118404.98734258283</v>
      </c>
      <c r="Y80" s="21">
        <f t="shared" si="57"/>
        <v>65285.247657269108</v>
      </c>
      <c r="Z80" s="21">
        <f t="shared" si="58"/>
        <v>-65285.247657269108</v>
      </c>
      <c r="AA80" s="21">
        <f t="shared" si="59"/>
        <v>-739.47091470496605</v>
      </c>
      <c r="AB80" s="21">
        <f t="shared" si="60"/>
        <v>584593.77267308324</v>
      </c>
      <c r="AC80" s="21">
        <f t="shared" si="9"/>
        <v>172392.62119662832</v>
      </c>
      <c r="AD80" s="21">
        <f t="shared" si="10"/>
        <v>756986.39386971155</v>
      </c>
      <c r="AE80" s="21">
        <f t="shared" si="61"/>
        <v>53119.739685313718</v>
      </c>
      <c r="AF80" s="54">
        <f t="shared" si="11"/>
        <v>0</v>
      </c>
      <c r="AG80" s="21">
        <f t="shared" si="12"/>
        <v>0</v>
      </c>
      <c r="AH80" s="21">
        <f t="shared" si="13"/>
        <v>0</v>
      </c>
      <c r="AI80" s="21">
        <f t="shared" si="14"/>
        <v>0</v>
      </c>
      <c r="AJ80" s="54">
        <f t="shared" si="15"/>
        <v>0</v>
      </c>
      <c r="AK80" s="21">
        <f t="shared" si="16"/>
        <v>0</v>
      </c>
      <c r="AL80" s="21">
        <f t="shared" si="17"/>
        <v>0</v>
      </c>
      <c r="AM80" s="21">
        <f t="shared" si="18"/>
        <v>0</v>
      </c>
      <c r="AN80" s="54">
        <f t="shared" si="19"/>
        <v>0</v>
      </c>
      <c r="AO80" s="21">
        <f t="shared" si="20"/>
        <v>0</v>
      </c>
      <c r="AP80" s="21">
        <f t="shared" si="21"/>
        <v>0</v>
      </c>
      <c r="AQ80" s="21">
        <f t="shared" si="22"/>
        <v>0</v>
      </c>
      <c r="AR80" s="54">
        <f t="shared" si="23"/>
        <v>0</v>
      </c>
      <c r="AS80" s="21">
        <f t="shared" si="24"/>
        <v>0</v>
      </c>
      <c r="AT80" s="21">
        <f t="shared" si="25"/>
        <v>0</v>
      </c>
      <c r="AU80" s="21">
        <f t="shared" si="26"/>
        <v>0</v>
      </c>
      <c r="AV80" s="54">
        <f t="shared" si="27"/>
        <v>0</v>
      </c>
      <c r="AW80" s="21">
        <f t="shared" si="28"/>
        <v>0</v>
      </c>
      <c r="AX80" s="21">
        <f t="shared" si="29"/>
        <v>0</v>
      </c>
      <c r="AY80" s="21">
        <f t="shared" si="30"/>
        <v>0</v>
      </c>
      <c r="AZ80" s="54">
        <f t="shared" si="31"/>
        <v>0</v>
      </c>
      <c r="BA80" s="21">
        <f t="shared" si="32"/>
        <v>0</v>
      </c>
      <c r="BB80" s="21">
        <f t="shared" si="33"/>
        <v>0</v>
      </c>
      <c r="BC80" s="21">
        <f t="shared" si="34"/>
        <v>0</v>
      </c>
      <c r="BD80" s="54">
        <f t="shared" si="35"/>
        <v>0</v>
      </c>
      <c r="BE80" s="21">
        <f t="shared" si="36"/>
        <v>0</v>
      </c>
      <c r="BF80" s="21">
        <f t="shared" si="37"/>
        <v>0</v>
      </c>
      <c r="BG80" s="21">
        <f t="shared" si="38"/>
        <v>0</v>
      </c>
      <c r="BH80" s="54">
        <f t="shared" si="39"/>
        <v>0</v>
      </c>
      <c r="BI80" s="21">
        <f t="shared" si="40"/>
        <v>0</v>
      </c>
      <c r="BJ80" s="21">
        <f t="shared" si="41"/>
        <v>0</v>
      </c>
      <c r="BK80" s="21">
        <f t="shared" si="42"/>
        <v>0</v>
      </c>
    </row>
    <row r="81" spans="1:63" x14ac:dyDescent="0.25">
      <c r="A81" s="51">
        <v>13</v>
      </c>
      <c r="B81" s="51">
        <f t="shared" si="0"/>
        <v>47</v>
      </c>
      <c r="C81" s="52" t="b">
        <f t="shared" si="1"/>
        <v>1</v>
      </c>
      <c r="D81" s="54">
        <f t="shared" si="2"/>
        <v>3.881E-4</v>
      </c>
      <c r="E81" s="54">
        <f t="shared" si="3"/>
        <v>1.7000000000000001E-4</v>
      </c>
      <c r="F81" s="54">
        <f t="shared" si="4"/>
        <v>1.838936E-3</v>
      </c>
      <c r="G81" s="54">
        <f t="shared" si="5"/>
        <v>5.8439099999999997E-4</v>
      </c>
      <c r="H81" s="54">
        <f t="shared" si="6"/>
        <v>2.1000000000000001E-4</v>
      </c>
      <c r="I81" s="54">
        <f t="shared" si="43"/>
        <v>0.99473959426974357</v>
      </c>
      <c r="J81" s="54">
        <f t="shared" si="7"/>
        <v>0.99414451399847648</v>
      </c>
      <c r="K81" s="54">
        <f t="shared" si="44"/>
        <v>0.99565455745624076</v>
      </c>
      <c r="L81" s="54">
        <f t="shared" si="45"/>
        <v>4.345442543759237E-3</v>
      </c>
      <c r="M81" s="54">
        <f t="shared" si="46"/>
        <v>5.821917901288351E-4</v>
      </c>
      <c r="N81" s="54">
        <f t="shared" si="47"/>
        <v>0.99727343715274352</v>
      </c>
      <c r="O81" s="54">
        <f t="shared" si="48"/>
        <v>2.5170914364580632E-3</v>
      </c>
      <c r="P81" s="54">
        <f t="shared" si="49"/>
        <v>0.98544075340879789</v>
      </c>
      <c r="Q81" s="54">
        <f t="shared" si="50"/>
        <v>6.9605849280699461E-3</v>
      </c>
      <c r="R81" s="50">
        <f t="shared" si="8"/>
        <v>1.3439503918627913</v>
      </c>
      <c r="S81" s="21">
        <f t="shared" si="51"/>
        <v>122686.00282885831</v>
      </c>
      <c r="T81" s="50">
        <f t="shared" si="52"/>
        <v>1.4977400869486042</v>
      </c>
      <c r="U81" s="21">
        <f t="shared" si="53"/>
        <v>0</v>
      </c>
      <c r="V81" s="21">
        <f t="shared" si="54"/>
        <v>122686.00282885831</v>
      </c>
      <c r="W81" s="50">
        <f t="shared" si="55"/>
        <v>8.7269048483626481E-3</v>
      </c>
      <c r="X81" s="21">
        <f t="shared" si="56"/>
        <v>121615.33375594491</v>
      </c>
      <c r="Y81" s="21">
        <f t="shared" si="57"/>
        <v>66786.808353386295</v>
      </c>
      <c r="Z81" s="21">
        <f t="shared" si="58"/>
        <v>-66786.808353386295</v>
      </c>
      <c r="AA81" s="21">
        <f t="shared" si="59"/>
        <v>-841.68972827254765</v>
      </c>
      <c r="AB81" s="21">
        <f t="shared" si="60"/>
        <v>645595.73361944628</v>
      </c>
      <c r="AC81" s="21">
        <f t="shared" si="9"/>
        <v>179787.31282333549</v>
      </c>
      <c r="AD81" s="21">
        <f t="shared" si="10"/>
        <v>825383.04644278181</v>
      </c>
      <c r="AE81" s="21">
        <f t="shared" si="61"/>
        <v>54828.525402558618</v>
      </c>
      <c r="AF81" s="54">
        <f t="shared" si="11"/>
        <v>0</v>
      </c>
      <c r="AG81" s="21">
        <f t="shared" si="12"/>
        <v>0</v>
      </c>
      <c r="AH81" s="21">
        <f t="shared" si="13"/>
        <v>0</v>
      </c>
      <c r="AI81" s="21">
        <f t="shared" si="14"/>
        <v>0</v>
      </c>
      <c r="AJ81" s="54">
        <f t="shared" si="15"/>
        <v>0</v>
      </c>
      <c r="AK81" s="21">
        <f t="shared" si="16"/>
        <v>0</v>
      </c>
      <c r="AL81" s="21">
        <f t="shared" si="17"/>
        <v>0</v>
      </c>
      <c r="AM81" s="21">
        <f t="shared" si="18"/>
        <v>0</v>
      </c>
      <c r="AN81" s="54">
        <f t="shared" si="19"/>
        <v>0</v>
      </c>
      <c r="AO81" s="21">
        <f t="shared" si="20"/>
        <v>0</v>
      </c>
      <c r="AP81" s="21">
        <f t="shared" si="21"/>
        <v>0</v>
      </c>
      <c r="AQ81" s="21">
        <f t="shared" si="22"/>
        <v>0</v>
      </c>
      <c r="AR81" s="54">
        <f t="shared" si="23"/>
        <v>0</v>
      </c>
      <c r="AS81" s="21">
        <f t="shared" si="24"/>
        <v>0</v>
      </c>
      <c r="AT81" s="21">
        <f t="shared" si="25"/>
        <v>0</v>
      </c>
      <c r="AU81" s="21">
        <f t="shared" si="26"/>
        <v>0</v>
      </c>
      <c r="AV81" s="54">
        <f t="shared" si="27"/>
        <v>0</v>
      </c>
      <c r="AW81" s="21">
        <f t="shared" si="28"/>
        <v>0</v>
      </c>
      <c r="AX81" s="21">
        <f t="shared" si="29"/>
        <v>0</v>
      </c>
      <c r="AY81" s="21">
        <f t="shared" si="30"/>
        <v>0</v>
      </c>
      <c r="AZ81" s="54">
        <f t="shared" si="31"/>
        <v>0</v>
      </c>
      <c r="BA81" s="21">
        <f t="shared" si="32"/>
        <v>0</v>
      </c>
      <c r="BB81" s="21">
        <f t="shared" si="33"/>
        <v>0</v>
      </c>
      <c r="BC81" s="21">
        <f t="shared" si="34"/>
        <v>0</v>
      </c>
      <c r="BD81" s="54">
        <f t="shared" si="35"/>
        <v>0</v>
      </c>
      <c r="BE81" s="21">
        <f t="shared" si="36"/>
        <v>0</v>
      </c>
      <c r="BF81" s="21">
        <f t="shared" si="37"/>
        <v>0</v>
      </c>
      <c r="BG81" s="21">
        <f t="shared" si="38"/>
        <v>0</v>
      </c>
      <c r="BH81" s="54">
        <f t="shared" si="39"/>
        <v>0</v>
      </c>
      <c r="BI81" s="21">
        <f t="shared" si="40"/>
        <v>0</v>
      </c>
      <c r="BJ81" s="21">
        <f t="shared" si="41"/>
        <v>0</v>
      </c>
      <c r="BK81" s="21">
        <f t="shared" si="42"/>
        <v>0</v>
      </c>
    </row>
    <row r="82" spans="1:63" x14ac:dyDescent="0.25">
      <c r="A82" s="51">
        <v>14</v>
      </c>
      <c r="B82" s="51">
        <f t="shared" si="0"/>
        <v>48</v>
      </c>
      <c r="C82" s="52" t="b">
        <f t="shared" si="1"/>
        <v>1</v>
      </c>
      <c r="D82" s="54">
        <f t="shared" si="2"/>
        <v>4.283E-4</v>
      </c>
      <c r="E82" s="54">
        <f t="shared" si="3"/>
        <v>1.7000000000000001E-4</v>
      </c>
      <c r="F82" s="54">
        <f t="shared" si="4"/>
        <v>2.0292259999999999E-3</v>
      </c>
      <c r="G82" s="54">
        <f t="shared" si="5"/>
        <v>6.5996800000000003E-4</v>
      </c>
      <c r="H82" s="54">
        <f t="shared" si="6"/>
        <v>2.1000000000000001E-4</v>
      </c>
      <c r="I82" s="54">
        <f t="shared" si="43"/>
        <v>0.99414451399847648</v>
      </c>
      <c r="J82" s="54">
        <f t="shared" si="7"/>
        <v>0.993495621065413</v>
      </c>
      <c r="K82" s="54">
        <f t="shared" si="44"/>
        <v>0.99499745730926548</v>
      </c>
      <c r="L82" s="54">
        <f t="shared" si="45"/>
        <v>5.0025426907345238E-3</v>
      </c>
      <c r="M82" s="54">
        <f t="shared" si="46"/>
        <v>6.5710014697528034E-4</v>
      </c>
      <c r="N82" s="54">
        <f t="shared" si="47"/>
        <v>0.99706400973094145</v>
      </c>
      <c r="O82" s="54">
        <f t="shared" si="48"/>
        <v>2.7265628472564751E-3</v>
      </c>
      <c r="P82" s="54">
        <f t="shared" si="49"/>
        <v>0.98344107141052117</v>
      </c>
      <c r="Q82" s="54">
        <f t="shared" si="50"/>
        <v>7.6441878712631972E-3</v>
      </c>
      <c r="R82" s="50">
        <f t="shared" si="8"/>
        <v>1.3748612508756355</v>
      </c>
      <c r="S82" s="21">
        <f t="shared" si="51"/>
        <v>126121.21090806634</v>
      </c>
      <c r="T82" s="50">
        <f t="shared" si="52"/>
        <v>1.5461170917570441</v>
      </c>
      <c r="U82" s="21">
        <f t="shared" si="53"/>
        <v>0</v>
      </c>
      <c r="V82" s="21">
        <f t="shared" si="54"/>
        <v>126121.21090806634</v>
      </c>
      <c r="W82" s="50">
        <f t="shared" si="55"/>
        <v>9.661411412190523E-3</v>
      </c>
      <c r="X82" s="21">
        <f t="shared" si="56"/>
        <v>124902.70200167985</v>
      </c>
      <c r="Y82" s="21">
        <f t="shared" si="57"/>
        <v>68322.904945514179</v>
      </c>
      <c r="Z82" s="21">
        <f t="shared" si="58"/>
        <v>-68322.904945514179</v>
      </c>
      <c r="AA82" s="21">
        <f t="shared" si="59"/>
        <v>-959.09999866319549</v>
      </c>
      <c r="AB82" s="21">
        <f t="shared" si="60"/>
        <v>708963.57948038215</v>
      </c>
      <c r="AC82" s="21">
        <f t="shared" si="9"/>
        <v>187499.19589289289</v>
      </c>
      <c r="AD82" s="21">
        <f t="shared" si="10"/>
        <v>896462.77537327504</v>
      </c>
      <c r="AE82" s="21">
        <f t="shared" si="61"/>
        <v>56579.797056165669</v>
      </c>
      <c r="AF82" s="54">
        <f t="shared" si="11"/>
        <v>0</v>
      </c>
      <c r="AG82" s="21">
        <f t="shared" si="12"/>
        <v>0</v>
      </c>
      <c r="AH82" s="21">
        <f t="shared" si="13"/>
        <v>0</v>
      </c>
      <c r="AI82" s="21">
        <f t="shared" si="14"/>
        <v>0</v>
      </c>
      <c r="AJ82" s="54">
        <f t="shared" si="15"/>
        <v>0</v>
      </c>
      <c r="AK82" s="21">
        <f t="shared" si="16"/>
        <v>0</v>
      </c>
      <c r="AL82" s="21">
        <f t="shared" si="17"/>
        <v>0</v>
      </c>
      <c r="AM82" s="21">
        <f t="shared" si="18"/>
        <v>0</v>
      </c>
      <c r="AN82" s="54">
        <f t="shared" si="19"/>
        <v>0</v>
      </c>
      <c r="AO82" s="21">
        <f t="shared" si="20"/>
        <v>0</v>
      </c>
      <c r="AP82" s="21">
        <f t="shared" si="21"/>
        <v>0</v>
      </c>
      <c r="AQ82" s="21">
        <f t="shared" si="22"/>
        <v>0</v>
      </c>
      <c r="AR82" s="54">
        <f t="shared" si="23"/>
        <v>0</v>
      </c>
      <c r="AS82" s="21">
        <f t="shared" si="24"/>
        <v>0</v>
      </c>
      <c r="AT82" s="21">
        <f t="shared" si="25"/>
        <v>0</v>
      </c>
      <c r="AU82" s="21">
        <f t="shared" si="26"/>
        <v>0</v>
      </c>
      <c r="AV82" s="54">
        <f t="shared" si="27"/>
        <v>0</v>
      </c>
      <c r="AW82" s="21">
        <f t="shared" si="28"/>
        <v>0</v>
      </c>
      <c r="AX82" s="21">
        <f t="shared" si="29"/>
        <v>0</v>
      </c>
      <c r="AY82" s="21">
        <f t="shared" si="30"/>
        <v>0</v>
      </c>
      <c r="AZ82" s="54">
        <f t="shared" si="31"/>
        <v>0</v>
      </c>
      <c r="BA82" s="21">
        <f t="shared" si="32"/>
        <v>0</v>
      </c>
      <c r="BB82" s="21">
        <f t="shared" si="33"/>
        <v>0</v>
      </c>
      <c r="BC82" s="21">
        <f t="shared" si="34"/>
        <v>0</v>
      </c>
      <c r="BD82" s="54">
        <f t="shared" si="35"/>
        <v>0</v>
      </c>
      <c r="BE82" s="21">
        <f t="shared" si="36"/>
        <v>0</v>
      </c>
      <c r="BF82" s="21">
        <f t="shared" si="37"/>
        <v>0</v>
      </c>
      <c r="BG82" s="21">
        <f t="shared" si="38"/>
        <v>0</v>
      </c>
      <c r="BH82" s="54">
        <f t="shared" si="39"/>
        <v>0</v>
      </c>
      <c r="BI82" s="21">
        <f t="shared" si="40"/>
        <v>0</v>
      </c>
      <c r="BJ82" s="21">
        <f t="shared" si="41"/>
        <v>0</v>
      </c>
      <c r="BK82" s="21">
        <f t="shared" si="42"/>
        <v>0</v>
      </c>
    </row>
    <row r="83" spans="1:63" x14ac:dyDescent="0.25">
      <c r="A83" s="51">
        <v>15</v>
      </c>
      <c r="B83" s="51">
        <f t="shared" si="0"/>
        <v>49</v>
      </c>
      <c r="C83" s="52" t="b">
        <f t="shared" si="1"/>
        <v>1</v>
      </c>
      <c r="D83" s="54">
        <f t="shared" si="2"/>
        <v>4.728E-4</v>
      </c>
      <c r="E83" s="54">
        <f t="shared" si="3"/>
        <v>1.8000000000000001E-4</v>
      </c>
      <c r="F83" s="54">
        <f t="shared" si="4"/>
        <v>2.2403039999999998E-3</v>
      </c>
      <c r="G83" s="54">
        <f t="shared" si="5"/>
        <v>7.44972E-4</v>
      </c>
      <c r="H83" s="54">
        <f t="shared" si="6"/>
        <v>2.1000000000000001E-4</v>
      </c>
      <c r="I83" s="54">
        <f t="shared" si="43"/>
        <v>0.993495621065413</v>
      </c>
      <c r="J83" s="54">
        <f t="shared" si="7"/>
        <v>0.99279718783980264</v>
      </c>
      <c r="K83" s="54">
        <f t="shared" si="44"/>
        <v>0.9942562120634989</v>
      </c>
      <c r="L83" s="54">
        <f t="shared" si="45"/>
        <v>5.7437879365010991E-3</v>
      </c>
      <c r="M83" s="54">
        <f t="shared" si="46"/>
        <v>7.4124524576659812E-4</v>
      </c>
      <c r="N83" s="54">
        <f t="shared" si="47"/>
        <v>0.99685462628889787</v>
      </c>
      <c r="O83" s="54">
        <f t="shared" si="48"/>
        <v>2.9359902690585526E-3</v>
      </c>
      <c r="P83" s="54">
        <f t="shared" si="49"/>
        <v>0.98123786444447592</v>
      </c>
      <c r="Q83" s="54">
        <f t="shared" si="50"/>
        <v>8.4084263006229953E-3</v>
      </c>
      <c r="R83" s="50">
        <f t="shared" si="8"/>
        <v>1.4064830596457747</v>
      </c>
      <c r="S83" s="21">
        <f t="shared" si="51"/>
        <v>129652.6048134922</v>
      </c>
      <c r="T83" s="50">
        <f t="shared" si="52"/>
        <v>1.5960566738207966</v>
      </c>
      <c r="U83" s="21">
        <f t="shared" si="53"/>
        <v>0</v>
      </c>
      <c r="V83" s="21">
        <f t="shared" si="54"/>
        <v>129652.6048134922</v>
      </c>
      <c r="W83" s="50">
        <f t="shared" si="55"/>
        <v>1.0684714572548878E-2</v>
      </c>
      <c r="X83" s="21">
        <f t="shared" si="56"/>
        <v>128267.30373747257</v>
      </c>
      <c r="Y83" s="21">
        <f t="shared" si="57"/>
        <v>69894.331759260982</v>
      </c>
      <c r="Z83" s="21">
        <f t="shared" si="58"/>
        <v>-69894.331759260982</v>
      </c>
      <c r="AA83" s="21">
        <f t="shared" si="59"/>
        <v>-1093.0816281502114</v>
      </c>
      <c r="AB83" s="21">
        <f t="shared" si="60"/>
        <v>774751.03278420807</v>
      </c>
      <c r="AC83" s="21">
        <f t="shared" si="9"/>
        <v>195541.87616690574</v>
      </c>
      <c r="AD83" s="21">
        <f t="shared" si="10"/>
        <v>970292.90895111382</v>
      </c>
      <c r="AE83" s="21">
        <f t="shared" si="61"/>
        <v>58372.971978211586</v>
      </c>
      <c r="AF83" s="54">
        <f t="shared" si="11"/>
        <v>0</v>
      </c>
      <c r="AG83" s="21">
        <f t="shared" si="12"/>
        <v>0</v>
      </c>
      <c r="AH83" s="21">
        <f t="shared" si="13"/>
        <v>0</v>
      </c>
      <c r="AI83" s="21">
        <f t="shared" si="14"/>
        <v>0</v>
      </c>
      <c r="AJ83" s="54">
        <f t="shared" si="15"/>
        <v>0</v>
      </c>
      <c r="AK83" s="21">
        <f t="shared" si="16"/>
        <v>0</v>
      </c>
      <c r="AL83" s="21">
        <f t="shared" si="17"/>
        <v>0</v>
      </c>
      <c r="AM83" s="21">
        <f t="shared" si="18"/>
        <v>0</v>
      </c>
      <c r="AN83" s="54">
        <f t="shared" si="19"/>
        <v>0</v>
      </c>
      <c r="AO83" s="21">
        <f t="shared" si="20"/>
        <v>0</v>
      </c>
      <c r="AP83" s="21">
        <f t="shared" si="21"/>
        <v>0</v>
      </c>
      <c r="AQ83" s="21">
        <f t="shared" si="22"/>
        <v>0</v>
      </c>
      <c r="AR83" s="54">
        <f t="shared" si="23"/>
        <v>0</v>
      </c>
      <c r="AS83" s="21">
        <f t="shared" si="24"/>
        <v>0</v>
      </c>
      <c r="AT83" s="21">
        <f t="shared" si="25"/>
        <v>0</v>
      </c>
      <c r="AU83" s="21">
        <f t="shared" si="26"/>
        <v>0</v>
      </c>
      <c r="AV83" s="54">
        <f t="shared" si="27"/>
        <v>0</v>
      </c>
      <c r="AW83" s="21">
        <f t="shared" si="28"/>
        <v>0</v>
      </c>
      <c r="AX83" s="21">
        <f t="shared" si="29"/>
        <v>0</v>
      </c>
      <c r="AY83" s="21">
        <f t="shared" si="30"/>
        <v>0</v>
      </c>
      <c r="AZ83" s="54">
        <f t="shared" si="31"/>
        <v>0</v>
      </c>
      <c r="BA83" s="21">
        <f t="shared" si="32"/>
        <v>0</v>
      </c>
      <c r="BB83" s="21">
        <f t="shared" si="33"/>
        <v>0</v>
      </c>
      <c r="BC83" s="21">
        <f t="shared" si="34"/>
        <v>0</v>
      </c>
      <c r="BD83" s="54">
        <f t="shared" si="35"/>
        <v>0</v>
      </c>
      <c r="BE83" s="21">
        <f t="shared" si="36"/>
        <v>0</v>
      </c>
      <c r="BF83" s="21">
        <f t="shared" si="37"/>
        <v>0</v>
      </c>
      <c r="BG83" s="21">
        <f t="shared" si="38"/>
        <v>0</v>
      </c>
      <c r="BH83" s="54">
        <f t="shared" si="39"/>
        <v>0</v>
      </c>
      <c r="BI83" s="21">
        <f t="shared" si="40"/>
        <v>0</v>
      </c>
      <c r="BJ83" s="21">
        <f t="shared" si="41"/>
        <v>0</v>
      </c>
      <c r="BK83" s="21">
        <f t="shared" si="42"/>
        <v>0</v>
      </c>
    </row>
    <row r="84" spans="1:63" x14ac:dyDescent="0.25">
      <c r="A84" s="51">
        <v>16</v>
      </c>
      <c r="B84" s="51">
        <f t="shared" si="0"/>
        <v>50</v>
      </c>
      <c r="C84" s="52" t="b">
        <f t="shared" si="1"/>
        <v>1</v>
      </c>
      <c r="D84" s="54">
        <f t="shared" si="2"/>
        <v>5.2309999999999998E-4</v>
      </c>
      <c r="E84" s="54">
        <f t="shared" si="3"/>
        <v>1.8000000000000001E-4</v>
      </c>
      <c r="F84" s="54">
        <f t="shared" si="4"/>
        <v>2.4785660000000002E-3</v>
      </c>
      <c r="G84" s="54">
        <f t="shared" si="5"/>
        <v>8.4029600000000003E-4</v>
      </c>
      <c r="H84" s="54">
        <f t="shared" si="6"/>
        <v>2.1000000000000001E-4</v>
      </c>
      <c r="I84" s="54">
        <f t="shared" si="43"/>
        <v>0.99279718783980264</v>
      </c>
      <c r="J84" s="54">
        <f t="shared" si="7"/>
        <v>0.99203363749826112</v>
      </c>
      <c r="K84" s="54">
        <f t="shared" si="44"/>
        <v>0.99342074254552681</v>
      </c>
      <c r="L84" s="54">
        <f t="shared" si="45"/>
        <v>6.5792574544731863E-3</v>
      </c>
      <c r="M84" s="54">
        <f t="shared" si="46"/>
        <v>8.354695179721099E-4</v>
      </c>
      <c r="N84" s="54">
        <f t="shared" si="47"/>
        <v>0.99664528681737719</v>
      </c>
      <c r="O84" s="54">
        <f t="shared" si="48"/>
        <v>3.1453737111021285E-3</v>
      </c>
      <c r="P84" s="54">
        <f t="shared" si="49"/>
        <v>0.97880580163575126</v>
      </c>
      <c r="Q84" s="54">
        <f t="shared" si="50"/>
        <v>9.2610869966036624E-3</v>
      </c>
      <c r="R84" s="50">
        <f t="shared" si="8"/>
        <v>1.4388321700176274</v>
      </c>
      <c r="S84" s="21">
        <f t="shared" si="51"/>
        <v>133282.87774826997</v>
      </c>
      <c r="T84" s="50">
        <f t="shared" si="52"/>
        <v>1.6476093043852083</v>
      </c>
      <c r="U84" s="21">
        <f t="shared" si="53"/>
        <v>0</v>
      </c>
      <c r="V84" s="21">
        <f t="shared" si="54"/>
        <v>133282.87774826997</v>
      </c>
      <c r="W84" s="50">
        <f t="shared" si="55"/>
        <v>1.180637020533515E-2</v>
      </c>
      <c r="X84" s="21">
        <f t="shared" si="56"/>
        <v>131709.29075154147</v>
      </c>
      <c r="Y84" s="21">
        <f t="shared" si="57"/>
        <v>71501.901389723978</v>
      </c>
      <c r="Z84" s="21">
        <f t="shared" si="58"/>
        <v>-71501.901389723978</v>
      </c>
      <c r="AA84" s="21">
        <f t="shared" si="59"/>
        <v>-1246.9806855325442</v>
      </c>
      <c r="AB84" s="21">
        <f t="shared" si="60"/>
        <v>843008.45385390357</v>
      </c>
      <c r="AC84" s="21">
        <f t="shared" si="9"/>
        <v>203929.54301903147</v>
      </c>
      <c r="AD84" s="21">
        <f t="shared" si="10"/>
        <v>1046937.996872935</v>
      </c>
      <c r="AE84" s="21">
        <f t="shared" si="61"/>
        <v>60207.389361817492</v>
      </c>
      <c r="AF84" s="54">
        <f t="shared" si="11"/>
        <v>0</v>
      </c>
      <c r="AG84" s="21">
        <f t="shared" si="12"/>
        <v>0</v>
      </c>
      <c r="AH84" s="21">
        <f t="shared" si="13"/>
        <v>0</v>
      </c>
      <c r="AI84" s="21">
        <f t="shared" si="14"/>
        <v>0</v>
      </c>
      <c r="AJ84" s="54">
        <f t="shared" si="15"/>
        <v>0</v>
      </c>
      <c r="AK84" s="21">
        <f t="shared" si="16"/>
        <v>0</v>
      </c>
      <c r="AL84" s="21">
        <f t="shared" si="17"/>
        <v>0</v>
      </c>
      <c r="AM84" s="21">
        <f t="shared" si="18"/>
        <v>0</v>
      </c>
      <c r="AN84" s="54">
        <f t="shared" si="19"/>
        <v>0</v>
      </c>
      <c r="AO84" s="21">
        <f t="shared" si="20"/>
        <v>0</v>
      </c>
      <c r="AP84" s="21">
        <f t="shared" si="21"/>
        <v>0</v>
      </c>
      <c r="AQ84" s="21">
        <f t="shared" si="22"/>
        <v>0</v>
      </c>
      <c r="AR84" s="54">
        <f t="shared" si="23"/>
        <v>0</v>
      </c>
      <c r="AS84" s="21">
        <f t="shared" si="24"/>
        <v>0</v>
      </c>
      <c r="AT84" s="21">
        <f t="shared" si="25"/>
        <v>0</v>
      </c>
      <c r="AU84" s="21">
        <f t="shared" si="26"/>
        <v>0</v>
      </c>
      <c r="AV84" s="54">
        <f t="shared" si="27"/>
        <v>0</v>
      </c>
      <c r="AW84" s="21">
        <f t="shared" si="28"/>
        <v>0</v>
      </c>
      <c r="AX84" s="21">
        <f t="shared" si="29"/>
        <v>0</v>
      </c>
      <c r="AY84" s="21">
        <f t="shared" si="30"/>
        <v>0</v>
      </c>
      <c r="AZ84" s="54">
        <f t="shared" si="31"/>
        <v>0</v>
      </c>
      <c r="BA84" s="21">
        <f t="shared" si="32"/>
        <v>0</v>
      </c>
      <c r="BB84" s="21">
        <f t="shared" si="33"/>
        <v>0</v>
      </c>
      <c r="BC84" s="21">
        <f t="shared" si="34"/>
        <v>0</v>
      </c>
      <c r="BD84" s="54">
        <f t="shared" si="35"/>
        <v>0</v>
      </c>
      <c r="BE84" s="21">
        <f t="shared" si="36"/>
        <v>0</v>
      </c>
      <c r="BF84" s="21">
        <f t="shared" si="37"/>
        <v>0</v>
      </c>
      <c r="BG84" s="21">
        <f t="shared" si="38"/>
        <v>0</v>
      </c>
      <c r="BH84" s="54">
        <f t="shared" si="39"/>
        <v>0</v>
      </c>
      <c r="BI84" s="21">
        <f t="shared" si="40"/>
        <v>0</v>
      </c>
      <c r="BJ84" s="21">
        <f t="shared" si="41"/>
        <v>0</v>
      </c>
      <c r="BK84" s="21">
        <f t="shared" si="42"/>
        <v>0</v>
      </c>
    </row>
    <row r="85" spans="1:63" x14ac:dyDescent="0.25">
      <c r="A85" s="51">
        <v>17</v>
      </c>
      <c r="B85" s="51">
        <f t="shared" si="0"/>
        <v>51</v>
      </c>
      <c r="C85" s="52" t="b">
        <f t="shared" si="1"/>
        <v>1</v>
      </c>
      <c r="D85" s="54">
        <f t="shared" si="2"/>
        <v>5.7919999999999998E-4</v>
      </c>
      <c r="E85" s="54">
        <f t="shared" si="3"/>
        <v>1.9000000000000001E-4</v>
      </c>
      <c r="F85" s="54">
        <f t="shared" si="4"/>
        <v>2.744013E-3</v>
      </c>
      <c r="G85" s="54">
        <f t="shared" si="5"/>
        <v>9.46915E-4</v>
      </c>
      <c r="H85" s="54">
        <f t="shared" si="6"/>
        <v>2.1000000000000001E-4</v>
      </c>
      <c r="I85" s="54">
        <f t="shared" si="43"/>
        <v>0.99203363749826112</v>
      </c>
      <c r="J85" s="54">
        <f t="shared" si="7"/>
        <v>0.99119886928669898</v>
      </c>
      <c r="K85" s="54">
        <f t="shared" si="44"/>
        <v>0.99248005754309931</v>
      </c>
      <c r="L85" s="54">
        <f t="shared" si="45"/>
        <v>7.5199424569006856E-3</v>
      </c>
      <c r="M85" s="54">
        <f t="shared" si="46"/>
        <v>9.4068500242749757E-4</v>
      </c>
      <c r="N85" s="54">
        <f t="shared" si="47"/>
        <v>0.99643599130714544</v>
      </c>
      <c r="O85" s="54">
        <f t="shared" si="48"/>
        <v>3.3547131826228149E-3</v>
      </c>
      <c r="P85" s="54">
        <f t="shared" si="49"/>
        <v>0.97611994579158734</v>
      </c>
      <c r="Q85" s="54">
        <f t="shared" si="50"/>
        <v>1.0214677779504133E-2</v>
      </c>
      <c r="R85" s="50">
        <f t="shared" si="8"/>
        <v>1.4719253099280327</v>
      </c>
      <c r="S85" s="21">
        <f t="shared" si="51"/>
        <v>137014.79832522155</v>
      </c>
      <c r="T85" s="50">
        <f t="shared" si="52"/>
        <v>1.7034632598038668</v>
      </c>
      <c r="U85" s="21">
        <f t="shared" si="53"/>
        <v>0</v>
      </c>
      <c r="V85" s="21">
        <f t="shared" si="54"/>
        <v>137014.79832522155</v>
      </c>
      <c r="W85" s="50">
        <f t="shared" si="55"/>
        <v>1.303912837701415E-2</v>
      </c>
      <c r="X85" s="21">
        <f t="shared" si="56"/>
        <v>135228.24478030828</v>
      </c>
      <c r="Y85" s="21">
        <f t="shared" si="57"/>
        <v>73146.445121687619</v>
      </c>
      <c r="Z85" s="21">
        <f t="shared" si="58"/>
        <v>-73146.445121687619</v>
      </c>
      <c r="AA85" s="21">
        <f t="shared" si="59"/>
        <v>-1422.5668573960897</v>
      </c>
      <c r="AB85" s="21">
        <f t="shared" si="60"/>
        <v>913783.78810137499</v>
      </c>
      <c r="AC85" s="21">
        <f t="shared" si="9"/>
        <v>212676.9944687142</v>
      </c>
      <c r="AD85" s="21">
        <f t="shared" si="10"/>
        <v>1126460.7825700892</v>
      </c>
      <c r="AE85" s="21">
        <f t="shared" si="61"/>
        <v>62081.799658620657</v>
      </c>
      <c r="AF85" s="54">
        <f t="shared" si="11"/>
        <v>0</v>
      </c>
      <c r="AG85" s="21">
        <f t="shared" si="12"/>
        <v>0</v>
      </c>
      <c r="AH85" s="21">
        <f t="shared" si="13"/>
        <v>0</v>
      </c>
      <c r="AI85" s="21">
        <f t="shared" si="14"/>
        <v>0</v>
      </c>
      <c r="AJ85" s="54">
        <f t="shared" si="15"/>
        <v>0</v>
      </c>
      <c r="AK85" s="21">
        <f t="shared" si="16"/>
        <v>0</v>
      </c>
      <c r="AL85" s="21">
        <f t="shared" si="17"/>
        <v>0</v>
      </c>
      <c r="AM85" s="21">
        <f t="shared" si="18"/>
        <v>0</v>
      </c>
      <c r="AN85" s="54">
        <f t="shared" si="19"/>
        <v>0</v>
      </c>
      <c r="AO85" s="21">
        <f t="shared" si="20"/>
        <v>0</v>
      </c>
      <c r="AP85" s="21">
        <f t="shared" si="21"/>
        <v>0</v>
      </c>
      <c r="AQ85" s="21">
        <f t="shared" si="22"/>
        <v>0</v>
      </c>
      <c r="AR85" s="54">
        <f t="shared" si="23"/>
        <v>0</v>
      </c>
      <c r="AS85" s="21">
        <f t="shared" si="24"/>
        <v>0</v>
      </c>
      <c r="AT85" s="21">
        <f t="shared" si="25"/>
        <v>0</v>
      </c>
      <c r="AU85" s="21">
        <f t="shared" si="26"/>
        <v>0</v>
      </c>
      <c r="AV85" s="54">
        <f t="shared" si="27"/>
        <v>0</v>
      </c>
      <c r="AW85" s="21">
        <f t="shared" si="28"/>
        <v>0</v>
      </c>
      <c r="AX85" s="21">
        <f t="shared" si="29"/>
        <v>0</v>
      </c>
      <c r="AY85" s="21">
        <f t="shared" si="30"/>
        <v>0</v>
      </c>
      <c r="AZ85" s="54">
        <f t="shared" si="31"/>
        <v>0</v>
      </c>
      <c r="BA85" s="21">
        <f t="shared" si="32"/>
        <v>0</v>
      </c>
      <c r="BB85" s="21">
        <f t="shared" si="33"/>
        <v>0</v>
      </c>
      <c r="BC85" s="21">
        <f t="shared" si="34"/>
        <v>0</v>
      </c>
      <c r="BD85" s="54">
        <f t="shared" si="35"/>
        <v>0</v>
      </c>
      <c r="BE85" s="21">
        <f t="shared" si="36"/>
        <v>0</v>
      </c>
      <c r="BF85" s="21">
        <f t="shared" si="37"/>
        <v>0</v>
      </c>
      <c r="BG85" s="21">
        <f t="shared" si="38"/>
        <v>0</v>
      </c>
      <c r="BH85" s="54">
        <f t="shared" si="39"/>
        <v>0</v>
      </c>
      <c r="BI85" s="21">
        <f t="shared" si="40"/>
        <v>0</v>
      </c>
      <c r="BJ85" s="21">
        <f t="shared" si="41"/>
        <v>0</v>
      </c>
      <c r="BK85" s="21">
        <f t="shared" si="42"/>
        <v>0</v>
      </c>
    </row>
    <row r="86" spans="1:63" x14ac:dyDescent="0.25">
      <c r="A86" s="51">
        <v>18</v>
      </c>
      <c r="B86" s="51">
        <f t="shared" si="0"/>
        <v>52</v>
      </c>
      <c r="C86" s="52" t="b">
        <f t="shared" si="1"/>
        <v>1</v>
      </c>
      <c r="D86" s="54">
        <f t="shared" si="2"/>
        <v>6.4159999999999998E-4</v>
      </c>
      <c r="E86" s="54">
        <f t="shared" si="3"/>
        <v>2.0000000000000001E-4</v>
      </c>
      <c r="F86" s="54">
        <f t="shared" si="4"/>
        <v>3.0398420000000001E-3</v>
      </c>
      <c r="G86" s="54">
        <f t="shared" si="5"/>
        <v>1.0658950000000001E-3</v>
      </c>
      <c r="H86" s="54">
        <f t="shared" si="6"/>
        <v>2.1000000000000001E-4</v>
      </c>
      <c r="I86" s="54">
        <f t="shared" si="43"/>
        <v>0.99119886928669898</v>
      </c>
      <c r="J86" s="54">
        <f t="shared" si="7"/>
        <v>0.99029523526475438</v>
      </c>
      <c r="K86" s="54">
        <f t="shared" si="44"/>
        <v>0.99142217801216448</v>
      </c>
      <c r="L86" s="54">
        <f t="shared" si="45"/>
        <v>8.5778219878355211E-3</v>
      </c>
      <c r="M86" s="54">
        <f t="shared" si="46"/>
        <v>1.057879530934902E-3</v>
      </c>
      <c r="N86" s="54">
        <f t="shared" si="47"/>
        <v>0.99622673974897091</v>
      </c>
      <c r="O86" s="54">
        <f t="shared" si="48"/>
        <v>3.5640086928545589E-3</v>
      </c>
      <c r="P86" s="54">
        <f t="shared" si="49"/>
        <v>0.97315269538333238</v>
      </c>
      <c r="Q86" s="54">
        <f t="shared" si="50"/>
        <v>1.1280058884710509E-2</v>
      </c>
      <c r="R86" s="50">
        <f t="shared" si="8"/>
        <v>1.5057795920563775</v>
      </c>
      <c r="S86" s="21">
        <f t="shared" si="51"/>
        <v>140851.21267832772</v>
      </c>
      <c r="T86" s="50">
        <f t="shared" si="52"/>
        <v>1.761210664311218</v>
      </c>
      <c r="U86" s="21">
        <f t="shared" si="53"/>
        <v>0</v>
      </c>
      <c r="V86" s="21">
        <f t="shared" si="54"/>
        <v>140851.21267832772</v>
      </c>
      <c r="W86" s="50">
        <f t="shared" si="55"/>
        <v>1.4395277481853583E-2</v>
      </c>
      <c r="X86" s="21">
        <f t="shared" si="56"/>
        <v>138823.62038816762</v>
      </c>
      <c r="Y86" s="21">
        <f t="shared" si="57"/>
        <v>74828.813359486434</v>
      </c>
      <c r="Z86" s="21">
        <f t="shared" si="58"/>
        <v>-74828.813359486434</v>
      </c>
      <c r="AA86" s="21">
        <f t="shared" si="59"/>
        <v>-1622.7288427251297</v>
      </c>
      <c r="AB86" s="21">
        <f t="shared" si="60"/>
        <v>987121.27174454753</v>
      </c>
      <c r="AC86" s="21">
        <f t="shared" si="9"/>
        <v>221799.66328872863</v>
      </c>
      <c r="AD86" s="21">
        <f t="shared" si="10"/>
        <v>1208920.9350332762</v>
      </c>
      <c r="AE86" s="21">
        <f t="shared" si="61"/>
        <v>63994.807028681185</v>
      </c>
      <c r="AF86" s="54">
        <f t="shared" si="11"/>
        <v>0</v>
      </c>
      <c r="AG86" s="21">
        <f t="shared" si="12"/>
        <v>0</v>
      </c>
      <c r="AH86" s="21">
        <f t="shared" si="13"/>
        <v>0</v>
      </c>
      <c r="AI86" s="21">
        <f t="shared" si="14"/>
        <v>0</v>
      </c>
      <c r="AJ86" s="54">
        <f t="shared" si="15"/>
        <v>0</v>
      </c>
      <c r="AK86" s="21">
        <f t="shared" si="16"/>
        <v>0</v>
      </c>
      <c r="AL86" s="21">
        <f t="shared" si="17"/>
        <v>0</v>
      </c>
      <c r="AM86" s="21">
        <f t="shared" si="18"/>
        <v>0</v>
      </c>
      <c r="AN86" s="54">
        <f t="shared" si="19"/>
        <v>0</v>
      </c>
      <c r="AO86" s="21">
        <f t="shared" si="20"/>
        <v>0</v>
      </c>
      <c r="AP86" s="21">
        <f t="shared" si="21"/>
        <v>0</v>
      </c>
      <c r="AQ86" s="21">
        <f t="shared" si="22"/>
        <v>0</v>
      </c>
      <c r="AR86" s="54">
        <f t="shared" si="23"/>
        <v>0</v>
      </c>
      <c r="AS86" s="21">
        <f t="shared" si="24"/>
        <v>0</v>
      </c>
      <c r="AT86" s="21">
        <f t="shared" si="25"/>
        <v>0</v>
      </c>
      <c r="AU86" s="21">
        <f t="shared" si="26"/>
        <v>0</v>
      </c>
      <c r="AV86" s="54">
        <f t="shared" si="27"/>
        <v>0</v>
      </c>
      <c r="AW86" s="21">
        <f t="shared" si="28"/>
        <v>0</v>
      </c>
      <c r="AX86" s="21">
        <f t="shared" si="29"/>
        <v>0</v>
      </c>
      <c r="AY86" s="21">
        <f t="shared" si="30"/>
        <v>0</v>
      </c>
      <c r="AZ86" s="54">
        <f t="shared" si="31"/>
        <v>0</v>
      </c>
      <c r="BA86" s="21">
        <f t="shared" si="32"/>
        <v>0</v>
      </c>
      <c r="BB86" s="21">
        <f t="shared" si="33"/>
        <v>0</v>
      </c>
      <c r="BC86" s="21">
        <f t="shared" si="34"/>
        <v>0</v>
      </c>
      <c r="BD86" s="54">
        <f t="shared" si="35"/>
        <v>0</v>
      </c>
      <c r="BE86" s="21">
        <f t="shared" si="36"/>
        <v>0</v>
      </c>
      <c r="BF86" s="21">
        <f t="shared" si="37"/>
        <v>0</v>
      </c>
      <c r="BG86" s="21">
        <f t="shared" si="38"/>
        <v>0</v>
      </c>
      <c r="BH86" s="54">
        <f t="shared" si="39"/>
        <v>0</v>
      </c>
      <c r="BI86" s="21">
        <f t="shared" si="40"/>
        <v>0</v>
      </c>
      <c r="BJ86" s="21">
        <f t="shared" si="41"/>
        <v>0</v>
      </c>
      <c r="BK86" s="21">
        <f t="shared" si="42"/>
        <v>0</v>
      </c>
    </row>
    <row r="87" spans="1:63" x14ac:dyDescent="0.25">
      <c r="A87" s="51">
        <v>19</v>
      </c>
      <c r="B87" s="51">
        <f t="shared" si="0"/>
        <v>53</v>
      </c>
      <c r="C87" s="52" t="b">
        <f t="shared" si="1"/>
        <v>1</v>
      </c>
      <c r="D87" s="54">
        <f t="shared" si="2"/>
        <v>7.1179999999999995E-4</v>
      </c>
      <c r="E87" s="54">
        <f t="shared" si="3"/>
        <v>2.0000000000000001E-4</v>
      </c>
      <c r="F87" s="54">
        <f t="shared" si="4"/>
        <v>3.372449E-3</v>
      </c>
      <c r="G87" s="54">
        <f t="shared" si="5"/>
        <v>1.198398E-3</v>
      </c>
      <c r="H87" s="54">
        <f t="shared" si="6"/>
        <v>2.1000000000000001E-4</v>
      </c>
      <c r="I87" s="54">
        <f t="shared" si="43"/>
        <v>0.99029523526475438</v>
      </c>
      <c r="J87" s="54">
        <f t="shared" si="7"/>
        <v>0.98930500531074184</v>
      </c>
      <c r="K87" s="54">
        <f t="shared" si="44"/>
        <v>0.99023405965687905</v>
      </c>
      <c r="L87" s="54">
        <f t="shared" si="45"/>
        <v>9.7659403431209491E-3</v>
      </c>
      <c r="M87" s="54">
        <f t="shared" si="46"/>
        <v>1.1881183552854219E-3</v>
      </c>
      <c r="N87" s="54">
        <f t="shared" si="47"/>
        <v>0.99601753213362354</v>
      </c>
      <c r="O87" s="54">
        <f t="shared" si="48"/>
        <v>3.7732602510290869E-3</v>
      </c>
      <c r="P87" s="54">
        <f t="shared" si="49"/>
        <v>0.96987078754893952</v>
      </c>
      <c r="Q87" s="54">
        <f t="shared" si="50"/>
        <v>1.246960609550507E-2</v>
      </c>
      <c r="R87" s="50">
        <f t="shared" si="8"/>
        <v>1.5404125226736738</v>
      </c>
      <c r="S87" s="21">
        <f t="shared" si="51"/>
        <v>144795.04663332092</v>
      </c>
      <c r="T87" s="50">
        <f t="shared" si="52"/>
        <v>1.8209157058313683</v>
      </c>
      <c r="U87" s="21">
        <f t="shared" si="53"/>
        <v>0</v>
      </c>
      <c r="V87" s="21">
        <f t="shared" si="54"/>
        <v>144795.04663332092</v>
      </c>
      <c r="W87" s="50">
        <f t="shared" si="55"/>
        <v>1.5888517547535199E-2</v>
      </c>
      <c r="X87" s="21">
        <f t="shared" si="56"/>
        <v>142494.46799409122</v>
      </c>
      <c r="Y87" s="21">
        <f t="shared" si="57"/>
        <v>76549.876066754601</v>
      </c>
      <c r="Z87" s="21">
        <f t="shared" si="58"/>
        <v>-76549.876066754601</v>
      </c>
      <c r="AA87" s="21">
        <f t="shared" si="59"/>
        <v>-1851.5979567833119</v>
      </c>
      <c r="AB87" s="21">
        <f t="shared" si="60"/>
        <v>1063059.7209760353</v>
      </c>
      <c r="AC87" s="21">
        <f t="shared" si="9"/>
        <v>231313.64423259348</v>
      </c>
      <c r="AD87" s="21">
        <f t="shared" si="10"/>
        <v>1294373.3652086288</v>
      </c>
      <c r="AE87" s="21">
        <f t="shared" si="61"/>
        <v>65944.591927336616</v>
      </c>
      <c r="AF87" s="54">
        <f t="shared" si="11"/>
        <v>0</v>
      </c>
      <c r="AG87" s="21">
        <f t="shared" si="12"/>
        <v>0</v>
      </c>
      <c r="AH87" s="21">
        <f t="shared" si="13"/>
        <v>0</v>
      </c>
      <c r="AI87" s="21">
        <f t="shared" si="14"/>
        <v>0</v>
      </c>
      <c r="AJ87" s="54">
        <f t="shared" si="15"/>
        <v>0</v>
      </c>
      <c r="AK87" s="21">
        <f t="shared" si="16"/>
        <v>0</v>
      </c>
      <c r="AL87" s="21">
        <f t="shared" si="17"/>
        <v>0</v>
      </c>
      <c r="AM87" s="21">
        <f t="shared" si="18"/>
        <v>0</v>
      </c>
      <c r="AN87" s="54">
        <f t="shared" si="19"/>
        <v>0</v>
      </c>
      <c r="AO87" s="21">
        <f t="shared" si="20"/>
        <v>0</v>
      </c>
      <c r="AP87" s="21">
        <f t="shared" si="21"/>
        <v>0</v>
      </c>
      <c r="AQ87" s="21">
        <f t="shared" si="22"/>
        <v>0</v>
      </c>
      <c r="AR87" s="54">
        <f t="shared" si="23"/>
        <v>0</v>
      </c>
      <c r="AS87" s="21">
        <f t="shared" si="24"/>
        <v>0</v>
      </c>
      <c r="AT87" s="21">
        <f t="shared" si="25"/>
        <v>0</v>
      </c>
      <c r="AU87" s="21">
        <f t="shared" si="26"/>
        <v>0</v>
      </c>
      <c r="AV87" s="54">
        <f t="shared" si="27"/>
        <v>0</v>
      </c>
      <c r="AW87" s="21">
        <f t="shared" si="28"/>
        <v>0</v>
      </c>
      <c r="AX87" s="21">
        <f t="shared" si="29"/>
        <v>0</v>
      </c>
      <c r="AY87" s="21">
        <f t="shared" si="30"/>
        <v>0</v>
      </c>
      <c r="AZ87" s="54">
        <f t="shared" si="31"/>
        <v>0</v>
      </c>
      <c r="BA87" s="21">
        <f t="shared" si="32"/>
        <v>0</v>
      </c>
      <c r="BB87" s="21">
        <f t="shared" si="33"/>
        <v>0</v>
      </c>
      <c r="BC87" s="21">
        <f t="shared" si="34"/>
        <v>0</v>
      </c>
      <c r="BD87" s="54">
        <f t="shared" si="35"/>
        <v>0</v>
      </c>
      <c r="BE87" s="21">
        <f t="shared" si="36"/>
        <v>0</v>
      </c>
      <c r="BF87" s="21">
        <f t="shared" si="37"/>
        <v>0</v>
      </c>
      <c r="BG87" s="21">
        <f t="shared" si="38"/>
        <v>0</v>
      </c>
      <c r="BH87" s="54">
        <f t="shared" si="39"/>
        <v>0</v>
      </c>
      <c r="BI87" s="21">
        <f t="shared" si="40"/>
        <v>0</v>
      </c>
      <c r="BJ87" s="21">
        <f t="shared" si="41"/>
        <v>0</v>
      </c>
      <c r="BK87" s="21">
        <f t="shared" si="42"/>
        <v>0</v>
      </c>
    </row>
    <row r="88" spans="1:63" x14ac:dyDescent="0.25">
      <c r="A88" s="51">
        <v>20</v>
      </c>
      <c r="B88" s="51">
        <f t="shared" si="0"/>
        <v>54</v>
      </c>
      <c r="C88" s="52" t="b">
        <f t="shared" si="1"/>
        <v>1</v>
      </c>
      <c r="D88" s="54">
        <f t="shared" si="2"/>
        <v>7.9009999999999996E-4</v>
      </c>
      <c r="E88" s="54">
        <f t="shared" si="3"/>
        <v>2.1000000000000001E-4</v>
      </c>
      <c r="F88" s="54">
        <f t="shared" si="4"/>
        <v>3.7434349999999998E-3</v>
      </c>
      <c r="G88" s="54">
        <f t="shared" si="5"/>
        <v>1.3456950000000001E-3</v>
      </c>
      <c r="H88" s="54">
        <f t="shared" si="6"/>
        <v>2.1000000000000001E-4</v>
      </c>
      <c r="I88" s="54">
        <f t="shared" si="43"/>
        <v>0.98930500531074184</v>
      </c>
      <c r="J88" s="54">
        <f t="shared" si="7"/>
        <v>0.98821943405274459</v>
      </c>
      <c r="K88" s="54">
        <f t="shared" si="44"/>
        <v>0.98890150663396903</v>
      </c>
      <c r="L88" s="54">
        <f t="shared" si="45"/>
        <v>1.109849336603097E-2</v>
      </c>
      <c r="M88" s="54">
        <f t="shared" si="46"/>
        <v>1.3325530229099638E-3</v>
      </c>
      <c r="N88" s="54">
        <f t="shared" si="47"/>
        <v>0.99580836845187548</v>
      </c>
      <c r="O88" s="54">
        <f t="shared" si="48"/>
        <v>3.9824678663764601E-3</v>
      </c>
      <c r="P88" s="54">
        <f t="shared" si="49"/>
        <v>0.96624013929735131</v>
      </c>
      <c r="Q88" s="54">
        <f t="shared" si="50"/>
        <v>1.3798776821592584E-2</v>
      </c>
      <c r="R88" s="50">
        <f t="shared" si="8"/>
        <v>1.5758420106951683</v>
      </c>
      <c r="S88" s="21">
        <f t="shared" si="51"/>
        <v>148849.30793905389</v>
      </c>
      <c r="T88" s="50">
        <f t="shared" si="52"/>
        <v>1.8826447482590518</v>
      </c>
      <c r="U88" s="21">
        <f t="shared" si="53"/>
        <v>0</v>
      </c>
      <c r="V88" s="21">
        <f t="shared" si="54"/>
        <v>148849.30793905389</v>
      </c>
      <c r="W88" s="50">
        <f t="shared" si="55"/>
        <v>1.7534911697919042E-2</v>
      </c>
      <c r="X88" s="21">
        <f t="shared" si="56"/>
        <v>146239.24846804622</v>
      </c>
      <c r="Y88" s="21">
        <f t="shared" si="57"/>
        <v>78310.523216289963</v>
      </c>
      <c r="Z88" s="21">
        <f t="shared" si="58"/>
        <v>-78310.523216289963</v>
      </c>
      <c r="AA88" s="21">
        <f t="shared" si="59"/>
        <v>-2112.1649349926138</v>
      </c>
      <c r="AB88" s="21">
        <f t="shared" si="60"/>
        <v>1141632.9979445117</v>
      </c>
      <c r="AC88" s="21">
        <f t="shared" si="9"/>
        <v>241235.72242989004</v>
      </c>
      <c r="AD88" s="21">
        <f t="shared" si="10"/>
        <v>1382868.7203744017</v>
      </c>
      <c r="AE88" s="21">
        <f t="shared" si="61"/>
        <v>67928.725251756259</v>
      </c>
      <c r="AF88" s="54">
        <f t="shared" si="11"/>
        <v>0</v>
      </c>
      <c r="AG88" s="21">
        <f t="shared" si="12"/>
        <v>0</v>
      </c>
      <c r="AH88" s="21">
        <f t="shared" si="13"/>
        <v>0</v>
      </c>
      <c r="AI88" s="21">
        <f t="shared" si="14"/>
        <v>0</v>
      </c>
      <c r="AJ88" s="54">
        <f t="shared" si="15"/>
        <v>0</v>
      </c>
      <c r="AK88" s="21">
        <f t="shared" si="16"/>
        <v>0</v>
      </c>
      <c r="AL88" s="21">
        <f t="shared" si="17"/>
        <v>0</v>
      </c>
      <c r="AM88" s="21">
        <f t="shared" si="18"/>
        <v>0</v>
      </c>
      <c r="AN88" s="54">
        <f t="shared" si="19"/>
        <v>0</v>
      </c>
      <c r="AO88" s="21">
        <f t="shared" si="20"/>
        <v>0</v>
      </c>
      <c r="AP88" s="21">
        <f t="shared" si="21"/>
        <v>0</v>
      </c>
      <c r="AQ88" s="21">
        <f t="shared" si="22"/>
        <v>0</v>
      </c>
      <c r="AR88" s="54">
        <f t="shared" si="23"/>
        <v>0</v>
      </c>
      <c r="AS88" s="21">
        <f t="shared" si="24"/>
        <v>0</v>
      </c>
      <c r="AT88" s="21">
        <f t="shared" si="25"/>
        <v>0</v>
      </c>
      <c r="AU88" s="21">
        <f t="shared" si="26"/>
        <v>0</v>
      </c>
      <c r="AV88" s="54">
        <f t="shared" si="27"/>
        <v>0</v>
      </c>
      <c r="AW88" s="21">
        <f t="shared" si="28"/>
        <v>0</v>
      </c>
      <c r="AX88" s="21">
        <f t="shared" si="29"/>
        <v>0</v>
      </c>
      <c r="AY88" s="21">
        <f t="shared" si="30"/>
        <v>0</v>
      </c>
      <c r="AZ88" s="54">
        <f t="shared" si="31"/>
        <v>0</v>
      </c>
      <c r="BA88" s="21">
        <f t="shared" si="32"/>
        <v>0</v>
      </c>
      <c r="BB88" s="21">
        <f t="shared" si="33"/>
        <v>0</v>
      </c>
      <c r="BC88" s="21">
        <f t="shared" si="34"/>
        <v>0</v>
      </c>
      <c r="BD88" s="54">
        <f t="shared" si="35"/>
        <v>0</v>
      </c>
      <c r="BE88" s="21">
        <f t="shared" si="36"/>
        <v>0</v>
      </c>
      <c r="BF88" s="21">
        <f t="shared" si="37"/>
        <v>0</v>
      </c>
      <c r="BG88" s="21">
        <f t="shared" si="38"/>
        <v>0</v>
      </c>
      <c r="BH88" s="54">
        <f t="shared" si="39"/>
        <v>0</v>
      </c>
      <c r="BI88" s="21">
        <f t="shared" si="40"/>
        <v>0</v>
      </c>
      <c r="BJ88" s="21">
        <f t="shared" si="41"/>
        <v>0</v>
      </c>
      <c r="BK88" s="21">
        <f t="shared" si="42"/>
        <v>0</v>
      </c>
    </row>
    <row r="89" spans="1:63" x14ac:dyDescent="0.25">
      <c r="A89" s="51">
        <v>21</v>
      </c>
      <c r="B89" s="51">
        <f t="shared" si="0"/>
        <v>55</v>
      </c>
      <c r="C89" s="52" t="b">
        <f t="shared" si="1"/>
        <v>1</v>
      </c>
      <c r="D89" s="54">
        <f t="shared" si="2"/>
        <v>8.7750000000000002E-4</v>
      </c>
      <c r="E89" s="54">
        <f t="shared" si="3"/>
        <v>2.2000000000000001E-4</v>
      </c>
      <c r="F89" s="54">
        <f t="shared" si="4"/>
        <v>4.157595E-3</v>
      </c>
      <c r="G89" s="54">
        <f t="shared" si="5"/>
        <v>1.509168E-3</v>
      </c>
      <c r="H89" s="54">
        <f t="shared" si="6"/>
        <v>2.1000000000000001E-4</v>
      </c>
      <c r="I89" s="54">
        <f t="shared" si="43"/>
        <v>0.98821943405274459</v>
      </c>
      <c r="J89" s="54">
        <f t="shared" si="7"/>
        <v>0.98702845604606182</v>
      </c>
      <c r="K89" s="54">
        <f t="shared" si="44"/>
        <v>0.98740908812500527</v>
      </c>
      <c r="L89" s="54">
        <f t="shared" si="45"/>
        <v>1.2590911874994726E-2</v>
      </c>
      <c r="M89" s="54">
        <f t="shared" si="46"/>
        <v>1.4924185089637738E-3</v>
      </c>
      <c r="N89" s="54">
        <f t="shared" si="47"/>
        <v>0.99559924869450056</v>
      </c>
      <c r="O89" s="54">
        <f t="shared" si="48"/>
        <v>4.1916315481245192E-3</v>
      </c>
      <c r="P89" s="54">
        <f t="shared" si="49"/>
        <v>0.96222290412540934</v>
      </c>
      <c r="Q89" s="54">
        <f t="shared" si="50"/>
        <v>1.5284494912572E-2</v>
      </c>
      <c r="R89" s="50">
        <f t="shared" si="8"/>
        <v>1.6120863769411569</v>
      </c>
      <c r="S89" s="21">
        <f t="shared" si="51"/>
        <v>153017.08856134739</v>
      </c>
      <c r="T89" s="50">
        <f t="shared" si="52"/>
        <v>1.9464664052250338</v>
      </c>
      <c r="U89" s="21">
        <f t="shared" si="53"/>
        <v>0</v>
      </c>
      <c r="V89" s="21">
        <f t="shared" si="54"/>
        <v>153017.08856134739</v>
      </c>
      <c r="W89" s="50">
        <f t="shared" si="55"/>
        <v>1.9351991069652387E-2</v>
      </c>
      <c r="X89" s="21">
        <f t="shared" si="56"/>
        <v>150055.90323000398</v>
      </c>
      <c r="Y89" s="21">
        <f t="shared" si="57"/>
        <v>80111.665250264617</v>
      </c>
      <c r="Z89" s="21">
        <f t="shared" si="58"/>
        <v>-80111.665250264617</v>
      </c>
      <c r="AA89" s="21">
        <f t="shared" si="59"/>
        <v>-2408.7034029336619</v>
      </c>
      <c r="AB89" s="21">
        <f t="shared" si="60"/>
        <v>1222868.1284966515</v>
      </c>
      <c r="AC89" s="21">
        <f t="shared" si="9"/>
        <v>251583.40299958395</v>
      </c>
      <c r="AD89" s="21">
        <f t="shared" si="10"/>
        <v>1474451.5314962354</v>
      </c>
      <c r="AE89" s="21">
        <f t="shared" si="61"/>
        <v>69944.237979739366</v>
      </c>
      <c r="AF89" s="54">
        <f t="shared" si="11"/>
        <v>0</v>
      </c>
      <c r="AG89" s="21">
        <f t="shared" si="12"/>
        <v>0</v>
      </c>
      <c r="AH89" s="21">
        <f t="shared" si="13"/>
        <v>0</v>
      </c>
      <c r="AI89" s="21">
        <f t="shared" si="14"/>
        <v>0</v>
      </c>
      <c r="AJ89" s="54">
        <f t="shared" si="15"/>
        <v>0</v>
      </c>
      <c r="AK89" s="21">
        <f t="shared" si="16"/>
        <v>0</v>
      </c>
      <c r="AL89" s="21">
        <f t="shared" si="17"/>
        <v>0</v>
      </c>
      <c r="AM89" s="21">
        <f t="shared" si="18"/>
        <v>0</v>
      </c>
      <c r="AN89" s="54">
        <f t="shared" si="19"/>
        <v>0</v>
      </c>
      <c r="AO89" s="21">
        <f t="shared" si="20"/>
        <v>0</v>
      </c>
      <c r="AP89" s="21">
        <f t="shared" si="21"/>
        <v>0</v>
      </c>
      <c r="AQ89" s="21">
        <f t="shared" si="22"/>
        <v>0</v>
      </c>
      <c r="AR89" s="54">
        <f t="shared" si="23"/>
        <v>0</v>
      </c>
      <c r="AS89" s="21">
        <f t="shared" si="24"/>
        <v>0</v>
      </c>
      <c r="AT89" s="21">
        <f t="shared" si="25"/>
        <v>0</v>
      </c>
      <c r="AU89" s="21">
        <f t="shared" si="26"/>
        <v>0</v>
      </c>
      <c r="AV89" s="54">
        <f t="shared" si="27"/>
        <v>0</v>
      </c>
      <c r="AW89" s="21">
        <f t="shared" si="28"/>
        <v>0</v>
      </c>
      <c r="AX89" s="21">
        <f t="shared" si="29"/>
        <v>0</v>
      </c>
      <c r="AY89" s="21">
        <f t="shared" si="30"/>
        <v>0</v>
      </c>
      <c r="AZ89" s="54">
        <f t="shared" si="31"/>
        <v>0</v>
      </c>
      <c r="BA89" s="21">
        <f t="shared" si="32"/>
        <v>0</v>
      </c>
      <c r="BB89" s="21">
        <f t="shared" si="33"/>
        <v>0</v>
      </c>
      <c r="BC89" s="21">
        <f t="shared" si="34"/>
        <v>0</v>
      </c>
      <c r="BD89" s="54">
        <f t="shared" si="35"/>
        <v>0</v>
      </c>
      <c r="BE89" s="21">
        <f t="shared" si="36"/>
        <v>0</v>
      </c>
      <c r="BF89" s="21">
        <f t="shared" si="37"/>
        <v>0</v>
      </c>
      <c r="BG89" s="21">
        <f t="shared" si="38"/>
        <v>0</v>
      </c>
      <c r="BH89" s="54">
        <f t="shared" si="39"/>
        <v>0</v>
      </c>
      <c r="BI89" s="21">
        <f t="shared" si="40"/>
        <v>0</v>
      </c>
      <c r="BJ89" s="21">
        <f t="shared" si="41"/>
        <v>0</v>
      </c>
      <c r="BK89" s="21">
        <f t="shared" si="42"/>
        <v>0</v>
      </c>
    </row>
    <row r="90" spans="1:63" x14ac:dyDescent="0.25">
      <c r="A90" s="51">
        <v>22</v>
      </c>
      <c r="B90" s="51">
        <f t="shared" si="0"/>
        <v>56</v>
      </c>
      <c r="C90" s="52" t="b">
        <f t="shared" si="1"/>
        <v>1</v>
      </c>
      <c r="D90" s="54">
        <f t="shared" si="2"/>
        <v>9.7539999999999996E-4</v>
      </c>
      <c r="E90" s="54">
        <f t="shared" si="3"/>
        <v>2.3000000000000001E-4</v>
      </c>
      <c r="F90" s="54">
        <f t="shared" si="4"/>
        <v>4.6213269999999997E-3</v>
      </c>
      <c r="G90" s="54">
        <f t="shared" si="5"/>
        <v>1.6903280000000001E-3</v>
      </c>
      <c r="H90" s="54">
        <f t="shared" si="6"/>
        <v>2.1000000000000001E-4</v>
      </c>
      <c r="I90" s="54">
        <f t="shared" si="43"/>
        <v>0.98702845604606182</v>
      </c>
      <c r="J90" s="54">
        <f t="shared" si="7"/>
        <v>0.98572149243895224</v>
      </c>
      <c r="K90" s="54">
        <f t="shared" si="44"/>
        <v>0.98574004289589312</v>
      </c>
      <c r="L90" s="54">
        <f t="shared" si="45"/>
        <v>1.425995710410688E-2</v>
      </c>
      <c r="M90" s="54">
        <f t="shared" si="46"/>
        <v>1.669045229112164E-3</v>
      </c>
      <c r="N90" s="54">
        <f t="shared" si="47"/>
        <v>0.99539017285227471</v>
      </c>
      <c r="O90" s="54">
        <f t="shared" si="48"/>
        <v>4.4007513054994396E-3</v>
      </c>
      <c r="P90" s="54">
        <f t="shared" si="49"/>
        <v>0.95777615743855626</v>
      </c>
      <c r="Q90" s="54">
        <f t="shared" si="50"/>
        <v>1.6941968961186271E-2</v>
      </c>
      <c r="R90" s="50">
        <f t="shared" si="8"/>
        <v>1.6491643636108035</v>
      </c>
      <c r="S90" s="21">
        <f t="shared" si="51"/>
        <v>157301.56704106514</v>
      </c>
      <c r="T90" s="50">
        <f t="shared" si="52"/>
        <v>2.0108944432379823</v>
      </c>
      <c r="U90" s="21">
        <f t="shared" si="53"/>
        <v>0</v>
      </c>
      <c r="V90" s="21">
        <f t="shared" si="54"/>
        <v>157301.56704106514</v>
      </c>
      <c r="W90" s="50">
        <f t="shared" si="55"/>
        <v>2.1356957169848194E-2</v>
      </c>
      <c r="X90" s="21">
        <f t="shared" si="56"/>
        <v>153942.0842110191</v>
      </c>
      <c r="Y90" s="21">
        <f t="shared" si="57"/>
        <v>81954.233551020705</v>
      </c>
      <c r="Z90" s="21">
        <f t="shared" si="58"/>
        <v>-81954.233551020705</v>
      </c>
      <c r="AA90" s="21">
        <f t="shared" si="59"/>
        <v>-2746.3888416177306</v>
      </c>
      <c r="AB90" s="21">
        <f t="shared" si="60"/>
        <v>1306784.0078569921</v>
      </c>
      <c r="AC90" s="21">
        <f t="shared" si="9"/>
        <v>262374.94193359429</v>
      </c>
      <c r="AD90" s="21">
        <f t="shared" si="10"/>
        <v>1569158.9497905863</v>
      </c>
      <c r="AE90" s="21">
        <f t="shared" si="61"/>
        <v>71987.850659998396</v>
      </c>
      <c r="AF90" s="54">
        <f t="shared" si="11"/>
        <v>0</v>
      </c>
      <c r="AG90" s="21">
        <f t="shared" si="12"/>
        <v>0</v>
      </c>
      <c r="AH90" s="21">
        <f t="shared" si="13"/>
        <v>0</v>
      </c>
      <c r="AI90" s="21">
        <f t="shared" si="14"/>
        <v>0</v>
      </c>
      <c r="AJ90" s="54">
        <f t="shared" si="15"/>
        <v>0</v>
      </c>
      <c r="AK90" s="21">
        <f t="shared" si="16"/>
        <v>0</v>
      </c>
      <c r="AL90" s="21">
        <f t="shared" si="17"/>
        <v>0</v>
      </c>
      <c r="AM90" s="21">
        <f t="shared" si="18"/>
        <v>0</v>
      </c>
      <c r="AN90" s="54">
        <f t="shared" si="19"/>
        <v>0</v>
      </c>
      <c r="AO90" s="21">
        <f t="shared" si="20"/>
        <v>0</v>
      </c>
      <c r="AP90" s="21">
        <f t="shared" si="21"/>
        <v>0</v>
      </c>
      <c r="AQ90" s="21">
        <f t="shared" si="22"/>
        <v>0</v>
      </c>
      <c r="AR90" s="54">
        <f t="shared" si="23"/>
        <v>0</v>
      </c>
      <c r="AS90" s="21">
        <f t="shared" si="24"/>
        <v>0</v>
      </c>
      <c r="AT90" s="21">
        <f t="shared" si="25"/>
        <v>0</v>
      </c>
      <c r="AU90" s="21">
        <f t="shared" si="26"/>
        <v>0</v>
      </c>
      <c r="AV90" s="54">
        <f t="shared" si="27"/>
        <v>0</v>
      </c>
      <c r="AW90" s="21">
        <f t="shared" si="28"/>
        <v>0</v>
      </c>
      <c r="AX90" s="21">
        <f t="shared" si="29"/>
        <v>0</v>
      </c>
      <c r="AY90" s="21">
        <f t="shared" si="30"/>
        <v>0</v>
      </c>
      <c r="AZ90" s="54">
        <f t="shared" si="31"/>
        <v>0</v>
      </c>
      <c r="BA90" s="21">
        <f t="shared" si="32"/>
        <v>0</v>
      </c>
      <c r="BB90" s="21">
        <f t="shared" si="33"/>
        <v>0</v>
      </c>
      <c r="BC90" s="21">
        <f t="shared" si="34"/>
        <v>0</v>
      </c>
      <c r="BD90" s="54">
        <f t="shared" si="35"/>
        <v>0</v>
      </c>
      <c r="BE90" s="21">
        <f t="shared" si="36"/>
        <v>0</v>
      </c>
      <c r="BF90" s="21">
        <f t="shared" si="37"/>
        <v>0</v>
      </c>
      <c r="BG90" s="21">
        <f t="shared" si="38"/>
        <v>0</v>
      </c>
      <c r="BH90" s="54">
        <f t="shared" si="39"/>
        <v>0</v>
      </c>
      <c r="BI90" s="21">
        <f t="shared" si="40"/>
        <v>0</v>
      </c>
      <c r="BJ90" s="21">
        <f t="shared" si="41"/>
        <v>0</v>
      </c>
      <c r="BK90" s="21">
        <f t="shared" si="42"/>
        <v>0</v>
      </c>
    </row>
    <row r="91" spans="1:63" x14ac:dyDescent="0.25">
      <c r="A91" s="51">
        <v>23</v>
      </c>
      <c r="B91" s="51">
        <f t="shared" si="0"/>
        <v>57</v>
      </c>
      <c r="C91" s="52" t="b">
        <f t="shared" si="1"/>
        <v>1</v>
      </c>
      <c r="D91" s="54">
        <f t="shared" si="2"/>
        <v>1.0843999999999999E-3</v>
      </c>
      <c r="E91" s="54">
        <f t="shared" si="3"/>
        <v>2.4000000000000001E-4</v>
      </c>
      <c r="F91" s="54">
        <f t="shared" si="4"/>
        <v>5.1378279999999997E-3</v>
      </c>
      <c r="G91" s="54">
        <f t="shared" si="5"/>
        <v>1.8908180000000001E-3</v>
      </c>
      <c r="H91" s="54">
        <f t="shared" si="6"/>
        <v>2.1000000000000001E-4</v>
      </c>
      <c r="I91" s="54">
        <f t="shared" si="43"/>
        <v>0.98572149243895224</v>
      </c>
      <c r="J91" s="54">
        <f t="shared" si="7"/>
        <v>0.98428569221343531</v>
      </c>
      <c r="K91" s="54">
        <f t="shared" si="44"/>
        <v>0.98387618787946474</v>
      </c>
      <c r="L91" s="54">
        <f t="shared" si="45"/>
        <v>1.6123812120535264E-2</v>
      </c>
      <c r="M91" s="54">
        <f t="shared" si="46"/>
        <v>1.863855016428327E-3</v>
      </c>
      <c r="N91" s="54">
        <f t="shared" si="47"/>
        <v>0.99518114091597565</v>
      </c>
      <c r="O91" s="54">
        <f t="shared" si="48"/>
        <v>4.6098271477252872E-3</v>
      </c>
      <c r="P91" s="54">
        <f t="shared" si="49"/>
        <v>0.95285526827913614</v>
      </c>
      <c r="Q91" s="54">
        <f t="shared" si="50"/>
        <v>1.8792555599460803E-2</v>
      </c>
      <c r="R91" s="50">
        <f t="shared" si="8"/>
        <v>1.6870951439738515</v>
      </c>
      <c r="S91" s="21">
        <f t="shared" si="51"/>
        <v>161706.01091821495</v>
      </c>
      <c r="T91" s="50">
        <f t="shared" si="52"/>
        <v>2.0774550493091595</v>
      </c>
      <c r="U91" s="21">
        <f t="shared" si="53"/>
        <v>0</v>
      </c>
      <c r="V91" s="21">
        <f t="shared" si="54"/>
        <v>161706.01091821495</v>
      </c>
      <c r="W91" s="50">
        <f t="shared" si="55"/>
        <v>2.3571288243319825E-2</v>
      </c>
      <c r="X91" s="21">
        <f t="shared" si="56"/>
        <v>157894.39192418428</v>
      </c>
      <c r="Y91" s="21">
        <f t="shared" si="57"/>
        <v>83839.180922694155</v>
      </c>
      <c r="Z91" s="21">
        <f t="shared" si="58"/>
        <v>-83839.180922694155</v>
      </c>
      <c r="AA91" s="21">
        <f t="shared" si="59"/>
        <v>-3129.7592656702418</v>
      </c>
      <c r="AB91" s="21">
        <f t="shared" si="60"/>
        <v>1393390.8676870957</v>
      </c>
      <c r="AC91" s="21">
        <f t="shared" si="9"/>
        <v>273629.37830509763</v>
      </c>
      <c r="AD91" s="21">
        <f t="shared" si="10"/>
        <v>1667020.2459921932</v>
      </c>
      <c r="AE91" s="21">
        <f t="shared" si="61"/>
        <v>74055.211001490126</v>
      </c>
      <c r="AF91" s="54">
        <f t="shared" si="11"/>
        <v>0</v>
      </c>
      <c r="AG91" s="21">
        <f t="shared" si="12"/>
        <v>0</v>
      </c>
      <c r="AH91" s="21">
        <f t="shared" si="13"/>
        <v>0</v>
      </c>
      <c r="AI91" s="21">
        <f t="shared" si="14"/>
        <v>0</v>
      </c>
      <c r="AJ91" s="54">
        <f t="shared" si="15"/>
        <v>0</v>
      </c>
      <c r="AK91" s="21">
        <f t="shared" si="16"/>
        <v>0</v>
      </c>
      <c r="AL91" s="21">
        <f t="shared" si="17"/>
        <v>0</v>
      </c>
      <c r="AM91" s="21">
        <f t="shared" si="18"/>
        <v>0</v>
      </c>
      <c r="AN91" s="54">
        <f t="shared" si="19"/>
        <v>0</v>
      </c>
      <c r="AO91" s="21">
        <f t="shared" si="20"/>
        <v>0</v>
      </c>
      <c r="AP91" s="21">
        <f t="shared" si="21"/>
        <v>0</v>
      </c>
      <c r="AQ91" s="21">
        <f t="shared" si="22"/>
        <v>0</v>
      </c>
      <c r="AR91" s="54">
        <f t="shared" si="23"/>
        <v>0</v>
      </c>
      <c r="AS91" s="21">
        <f t="shared" si="24"/>
        <v>0</v>
      </c>
      <c r="AT91" s="21">
        <f t="shared" si="25"/>
        <v>0</v>
      </c>
      <c r="AU91" s="21">
        <f t="shared" si="26"/>
        <v>0</v>
      </c>
      <c r="AV91" s="54">
        <f t="shared" si="27"/>
        <v>0</v>
      </c>
      <c r="AW91" s="21">
        <f t="shared" si="28"/>
        <v>0</v>
      </c>
      <c r="AX91" s="21">
        <f t="shared" si="29"/>
        <v>0</v>
      </c>
      <c r="AY91" s="21">
        <f t="shared" si="30"/>
        <v>0</v>
      </c>
      <c r="AZ91" s="54">
        <f t="shared" si="31"/>
        <v>0</v>
      </c>
      <c r="BA91" s="21">
        <f t="shared" si="32"/>
        <v>0</v>
      </c>
      <c r="BB91" s="21">
        <f t="shared" si="33"/>
        <v>0</v>
      </c>
      <c r="BC91" s="21">
        <f t="shared" si="34"/>
        <v>0</v>
      </c>
      <c r="BD91" s="54">
        <f t="shared" si="35"/>
        <v>0</v>
      </c>
      <c r="BE91" s="21">
        <f t="shared" si="36"/>
        <v>0</v>
      </c>
      <c r="BF91" s="21">
        <f t="shared" si="37"/>
        <v>0</v>
      </c>
      <c r="BG91" s="21">
        <f t="shared" si="38"/>
        <v>0</v>
      </c>
      <c r="BH91" s="54">
        <f t="shared" si="39"/>
        <v>0</v>
      </c>
      <c r="BI91" s="21">
        <f t="shared" si="40"/>
        <v>0</v>
      </c>
      <c r="BJ91" s="21">
        <f t="shared" si="41"/>
        <v>0</v>
      </c>
      <c r="BK91" s="21">
        <f t="shared" si="42"/>
        <v>0</v>
      </c>
    </row>
    <row r="92" spans="1:63" x14ac:dyDescent="0.25">
      <c r="A92" s="51">
        <v>24</v>
      </c>
      <c r="B92" s="51">
        <f t="shared" si="0"/>
        <v>58</v>
      </c>
      <c r="C92" s="52" t="b">
        <f t="shared" si="1"/>
        <v>1</v>
      </c>
      <c r="D92" s="54">
        <f t="shared" si="2"/>
        <v>1.2068999999999999E-3</v>
      </c>
      <c r="E92" s="54">
        <f t="shared" si="3"/>
        <v>2.5000000000000001E-4</v>
      </c>
      <c r="F92" s="54">
        <f t="shared" si="4"/>
        <v>5.7182919999999998E-3</v>
      </c>
      <c r="G92" s="54">
        <f t="shared" si="5"/>
        <v>2.1124300000000002E-3</v>
      </c>
      <c r="H92" s="54">
        <f t="shared" si="6"/>
        <v>2.1000000000000001E-4</v>
      </c>
      <c r="I92" s="54">
        <f t="shared" si="43"/>
        <v>0.98428569221343531</v>
      </c>
      <c r="J92" s="54">
        <f t="shared" si="7"/>
        <v>0.98270793073276175</v>
      </c>
      <c r="K92" s="54">
        <f t="shared" si="44"/>
        <v>0.98179781830390245</v>
      </c>
      <c r="L92" s="54">
        <f t="shared" si="45"/>
        <v>1.8202181696097552E-2</v>
      </c>
      <c r="M92" s="54">
        <f t="shared" si="46"/>
        <v>2.0783695755622177E-3</v>
      </c>
      <c r="N92" s="54">
        <f t="shared" si="47"/>
        <v>0.9949721528763833</v>
      </c>
      <c r="O92" s="54">
        <f t="shared" si="48"/>
        <v>4.8188590840243517E-3</v>
      </c>
      <c r="P92" s="54">
        <f t="shared" si="49"/>
        <v>0.94740656362137776</v>
      </c>
      <c r="Q92" s="54">
        <f t="shared" si="50"/>
        <v>2.0857391856887286E-2</v>
      </c>
      <c r="R92" s="50">
        <f t="shared" si="8"/>
        <v>1.7258983322852501</v>
      </c>
      <c r="S92" s="21">
        <f t="shared" si="51"/>
        <v>166233.77922392497</v>
      </c>
      <c r="T92" s="50">
        <f t="shared" si="52"/>
        <v>2.1462188114412926</v>
      </c>
      <c r="U92" s="21">
        <f t="shared" si="53"/>
        <v>0</v>
      </c>
      <c r="V92" s="21">
        <f t="shared" si="54"/>
        <v>166233.77922392497</v>
      </c>
      <c r="W92" s="50">
        <f t="shared" si="55"/>
        <v>2.6017096019220795E-2</v>
      </c>
      <c r="X92" s="21">
        <f t="shared" si="56"/>
        <v>161908.85902821817</v>
      </c>
      <c r="Y92" s="21">
        <f t="shared" si="57"/>
        <v>85767.482083916126</v>
      </c>
      <c r="Z92" s="21">
        <f t="shared" si="58"/>
        <v>-85767.482083916126</v>
      </c>
      <c r="AA92" s="21">
        <f t="shared" si="59"/>
        <v>-3566.4903607088618</v>
      </c>
      <c r="AB92" s="21">
        <f t="shared" si="60"/>
        <v>1482686.4446829339</v>
      </c>
      <c r="AC92" s="21">
        <f t="shared" si="9"/>
        <v>285366.56785839022</v>
      </c>
      <c r="AD92" s="21">
        <f t="shared" si="10"/>
        <v>1768053.0125413241</v>
      </c>
      <c r="AE92" s="21">
        <f t="shared" si="61"/>
        <v>76141.376944302043</v>
      </c>
      <c r="AF92" s="54">
        <f t="shared" si="11"/>
        <v>0</v>
      </c>
      <c r="AG92" s="21">
        <f t="shared" si="12"/>
        <v>0</v>
      </c>
      <c r="AH92" s="21">
        <f t="shared" si="13"/>
        <v>0</v>
      </c>
      <c r="AI92" s="21">
        <f t="shared" si="14"/>
        <v>0</v>
      </c>
      <c r="AJ92" s="54">
        <f t="shared" si="15"/>
        <v>0</v>
      </c>
      <c r="AK92" s="21">
        <f t="shared" si="16"/>
        <v>0</v>
      </c>
      <c r="AL92" s="21">
        <f t="shared" si="17"/>
        <v>0</v>
      </c>
      <c r="AM92" s="21">
        <f t="shared" si="18"/>
        <v>0</v>
      </c>
      <c r="AN92" s="54">
        <f t="shared" si="19"/>
        <v>0</v>
      </c>
      <c r="AO92" s="21">
        <f t="shared" si="20"/>
        <v>0</v>
      </c>
      <c r="AP92" s="21">
        <f t="shared" si="21"/>
        <v>0</v>
      </c>
      <c r="AQ92" s="21">
        <f t="shared" si="22"/>
        <v>0</v>
      </c>
      <c r="AR92" s="54">
        <f t="shared" si="23"/>
        <v>0</v>
      </c>
      <c r="AS92" s="21">
        <f t="shared" si="24"/>
        <v>0</v>
      </c>
      <c r="AT92" s="21">
        <f t="shared" si="25"/>
        <v>0</v>
      </c>
      <c r="AU92" s="21">
        <f t="shared" si="26"/>
        <v>0</v>
      </c>
      <c r="AV92" s="54">
        <f t="shared" si="27"/>
        <v>0</v>
      </c>
      <c r="AW92" s="21">
        <f t="shared" si="28"/>
        <v>0</v>
      </c>
      <c r="AX92" s="21">
        <f t="shared" si="29"/>
        <v>0</v>
      </c>
      <c r="AY92" s="21">
        <f t="shared" si="30"/>
        <v>0</v>
      </c>
      <c r="AZ92" s="54">
        <f t="shared" si="31"/>
        <v>0</v>
      </c>
      <c r="BA92" s="21">
        <f t="shared" si="32"/>
        <v>0</v>
      </c>
      <c r="BB92" s="21">
        <f t="shared" si="33"/>
        <v>0</v>
      </c>
      <c r="BC92" s="21">
        <f t="shared" si="34"/>
        <v>0</v>
      </c>
      <c r="BD92" s="54">
        <f t="shared" si="35"/>
        <v>0</v>
      </c>
      <c r="BE92" s="21">
        <f t="shared" si="36"/>
        <v>0</v>
      </c>
      <c r="BF92" s="21">
        <f t="shared" si="37"/>
        <v>0</v>
      </c>
      <c r="BG92" s="21">
        <f t="shared" si="38"/>
        <v>0</v>
      </c>
      <c r="BH92" s="54">
        <f t="shared" si="39"/>
        <v>0</v>
      </c>
      <c r="BI92" s="21">
        <f t="shared" si="40"/>
        <v>0</v>
      </c>
      <c r="BJ92" s="21">
        <f t="shared" si="41"/>
        <v>0</v>
      </c>
      <c r="BK92" s="21">
        <f t="shared" si="42"/>
        <v>0</v>
      </c>
    </row>
    <row r="93" spans="1:63" x14ac:dyDescent="0.25">
      <c r="A93" s="51">
        <v>25</v>
      </c>
      <c r="B93" s="51">
        <f t="shared" si="0"/>
        <v>59</v>
      </c>
      <c r="C93" s="52" t="b">
        <f t="shared" si="1"/>
        <v>1</v>
      </c>
      <c r="D93" s="54">
        <f t="shared" si="2"/>
        <v>1.3433E-3</v>
      </c>
      <c r="E93" s="54">
        <f t="shared" si="3"/>
        <v>2.5999999999999998E-4</v>
      </c>
      <c r="F93" s="54">
        <f t="shared" si="4"/>
        <v>6.3643190000000002E-3</v>
      </c>
      <c r="G93" s="54">
        <f t="shared" si="5"/>
        <v>2.3571099999999999E-3</v>
      </c>
      <c r="H93" s="54">
        <f t="shared" si="6"/>
        <v>2.1000000000000001E-4</v>
      </c>
      <c r="I93" s="54">
        <f t="shared" si="43"/>
        <v>0.98270793073276175</v>
      </c>
      <c r="J93" s="54">
        <f t="shared" si="7"/>
        <v>0.98097276721821514</v>
      </c>
      <c r="K93" s="54">
        <f t="shared" si="44"/>
        <v>0.97948361284840013</v>
      </c>
      <c r="L93" s="54">
        <f t="shared" si="45"/>
        <v>2.0516387151599869E-2</v>
      </c>
      <c r="M93" s="54">
        <f t="shared" si="46"/>
        <v>2.3142054555023114E-3</v>
      </c>
      <c r="N93" s="54">
        <f t="shared" si="47"/>
        <v>0.99476320872427926</v>
      </c>
      <c r="O93" s="54">
        <f t="shared" si="48"/>
        <v>5.0278471236167022E-3</v>
      </c>
      <c r="P93" s="54">
        <f t="shared" si="49"/>
        <v>0.94137696602779752</v>
      </c>
      <c r="Q93" s="54">
        <f t="shared" si="50"/>
        <v>2.3162079130492619E-2</v>
      </c>
      <c r="R93" s="50">
        <f t="shared" si="8"/>
        <v>1.7655939939278107</v>
      </c>
      <c r="S93" s="21">
        <f t="shared" si="51"/>
        <v>170888.32504219489</v>
      </c>
      <c r="T93" s="50">
        <f t="shared" si="52"/>
        <v>2.2172586540999992</v>
      </c>
      <c r="U93" s="21">
        <f t="shared" si="53"/>
        <v>0</v>
      </c>
      <c r="V93" s="21">
        <f t="shared" si="54"/>
        <v>170888.32504219489</v>
      </c>
      <c r="W93" s="50">
        <f t="shared" si="55"/>
        <v>2.8719889804146415E-2</v>
      </c>
      <c r="X93" s="21">
        <f t="shared" si="56"/>
        <v>165980.4311781679</v>
      </c>
      <c r="Y93" s="21">
        <f t="shared" si="57"/>
        <v>87740.134171846192</v>
      </c>
      <c r="Z93" s="21">
        <f t="shared" si="58"/>
        <v>-87740.134171846192</v>
      </c>
      <c r="AA93" s="21">
        <f t="shared" si="59"/>
        <v>-4061.5212606778659</v>
      </c>
      <c r="AB93" s="21">
        <f t="shared" si="60"/>
        <v>1574657.4577647732</v>
      </c>
      <c r="AC93" s="21">
        <f t="shared" si="9"/>
        <v>297607.21803957014</v>
      </c>
      <c r="AD93" s="21">
        <f t="shared" si="10"/>
        <v>1872264.6758043433</v>
      </c>
      <c r="AE93" s="21">
        <f t="shared" si="61"/>
        <v>78240.297006321707</v>
      </c>
      <c r="AF93" s="54">
        <f t="shared" si="11"/>
        <v>0</v>
      </c>
      <c r="AG93" s="21">
        <f t="shared" si="12"/>
        <v>0</v>
      </c>
      <c r="AH93" s="21">
        <f t="shared" si="13"/>
        <v>0</v>
      </c>
      <c r="AI93" s="21">
        <f t="shared" si="14"/>
        <v>0</v>
      </c>
      <c r="AJ93" s="54">
        <f t="shared" si="15"/>
        <v>0</v>
      </c>
      <c r="AK93" s="21">
        <f t="shared" si="16"/>
        <v>0</v>
      </c>
      <c r="AL93" s="21">
        <f t="shared" si="17"/>
        <v>0</v>
      </c>
      <c r="AM93" s="21">
        <f t="shared" si="18"/>
        <v>0</v>
      </c>
      <c r="AN93" s="54">
        <f t="shared" si="19"/>
        <v>0</v>
      </c>
      <c r="AO93" s="21">
        <f t="shared" si="20"/>
        <v>0</v>
      </c>
      <c r="AP93" s="21">
        <f t="shared" si="21"/>
        <v>0</v>
      </c>
      <c r="AQ93" s="21">
        <f t="shared" si="22"/>
        <v>0</v>
      </c>
      <c r="AR93" s="54">
        <f t="shared" si="23"/>
        <v>0</v>
      </c>
      <c r="AS93" s="21">
        <f t="shared" si="24"/>
        <v>0</v>
      </c>
      <c r="AT93" s="21">
        <f t="shared" si="25"/>
        <v>0</v>
      </c>
      <c r="AU93" s="21">
        <f t="shared" si="26"/>
        <v>0</v>
      </c>
      <c r="AV93" s="54">
        <f t="shared" si="27"/>
        <v>0</v>
      </c>
      <c r="AW93" s="21">
        <f t="shared" si="28"/>
        <v>0</v>
      </c>
      <c r="AX93" s="21">
        <f t="shared" si="29"/>
        <v>0</v>
      </c>
      <c r="AY93" s="21">
        <f t="shared" si="30"/>
        <v>0</v>
      </c>
      <c r="AZ93" s="54">
        <f t="shared" si="31"/>
        <v>0</v>
      </c>
      <c r="BA93" s="21">
        <f t="shared" si="32"/>
        <v>0</v>
      </c>
      <c r="BB93" s="21">
        <f t="shared" si="33"/>
        <v>0</v>
      </c>
      <c r="BC93" s="21">
        <f t="shared" si="34"/>
        <v>0</v>
      </c>
      <c r="BD93" s="54">
        <f t="shared" si="35"/>
        <v>0</v>
      </c>
      <c r="BE93" s="21">
        <f t="shared" si="36"/>
        <v>0</v>
      </c>
      <c r="BF93" s="21">
        <f t="shared" si="37"/>
        <v>0</v>
      </c>
      <c r="BG93" s="21">
        <f t="shared" si="38"/>
        <v>0</v>
      </c>
      <c r="BH93" s="54">
        <f t="shared" si="39"/>
        <v>0</v>
      </c>
      <c r="BI93" s="21">
        <f t="shared" si="40"/>
        <v>0</v>
      </c>
      <c r="BJ93" s="21">
        <f t="shared" si="41"/>
        <v>0</v>
      </c>
      <c r="BK93" s="21">
        <f t="shared" si="42"/>
        <v>0</v>
      </c>
    </row>
    <row r="94" spans="1:63" x14ac:dyDescent="0.25">
      <c r="A94" s="51">
        <v>26</v>
      </c>
      <c r="B94" s="51">
        <f t="shared" si="0"/>
        <v>60</v>
      </c>
      <c r="C94" s="52" t="b">
        <f t="shared" si="1"/>
        <v>1</v>
      </c>
      <c r="D94" s="54">
        <f t="shared" si="2"/>
        <v>1.4961E-3</v>
      </c>
      <c r="E94" s="54">
        <f t="shared" si="3"/>
        <v>2.7E-4</v>
      </c>
      <c r="F94" s="54">
        <f t="shared" si="4"/>
        <v>7.0886990000000004E-3</v>
      </c>
      <c r="G94" s="54">
        <f t="shared" si="5"/>
        <v>2.6269790000000002E-3</v>
      </c>
      <c r="H94" s="54">
        <f t="shared" si="6"/>
        <v>2.1000000000000001E-4</v>
      </c>
      <c r="I94" s="54">
        <f t="shared" si="43"/>
        <v>0.98097276721821514</v>
      </c>
      <c r="J94" s="54">
        <f t="shared" si="7"/>
        <v>0.97906366339852813</v>
      </c>
      <c r="K94" s="54">
        <f t="shared" si="44"/>
        <v>0.97691052996660332</v>
      </c>
      <c r="L94" s="54">
        <f t="shared" si="45"/>
        <v>2.3089470033396675E-2</v>
      </c>
      <c r="M94" s="54">
        <f t="shared" si="46"/>
        <v>2.5730828817968777E-3</v>
      </c>
      <c r="N94" s="54">
        <f t="shared" si="47"/>
        <v>0.99455430845044712</v>
      </c>
      <c r="O94" s="54">
        <f t="shared" si="48"/>
        <v>5.2367912757207424E-3</v>
      </c>
      <c r="P94" s="54">
        <f t="shared" si="49"/>
        <v>0.93470382807009322</v>
      </c>
      <c r="Q94" s="54">
        <f t="shared" si="50"/>
        <v>2.5731877882483989E-2</v>
      </c>
      <c r="R94" s="50">
        <f t="shared" si="8"/>
        <v>1.8062026557881501</v>
      </c>
      <c r="S94" s="21">
        <f t="shared" si="51"/>
        <v>175673.19814337633</v>
      </c>
      <c r="T94" s="50">
        <f t="shared" si="52"/>
        <v>2.2906499155507092</v>
      </c>
      <c r="U94" s="21">
        <f t="shared" si="53"/>
        <v>0</v>
      </c>
      <c r="V94" s="21">
        <f t="shared" si="54"/>
        <v>175673.19814337633</v>
      </c>
      <c r="W94" s="50">
        <f t="shared" si="55"/>
        <v>3.170584127757696E-2</v>
      </c>
      <c r="X94" s="21">
        <f t="shared" si="56"/>
        <v>170103.33160631813</v>
      </c>
      <c r="Y94" s="21">
        <f t="shared" si="57"/>
        <v>89758.157257798637</v>
      </c>
      <c r="Z94" s="21">
        <f t="shared" si="58"/>
        <v>-89758.157257798637</v>
      </c>
      <c r="AA94" s="21">
        <f t="shared" si="59"/>
        <v>-4624.2194477676194</v>
      </c>
      <c r="AB94" s="21">
        <f t="shared" si="60"/>
        <v>1669274.3021587024</v>
      </c>
      <c r="AC94" s="21">
        <f t="shared" si="9"/>
        <v>310372.92452984228</v>
      </c>
      <c r="AD94" s="21">
        <f t="shared" si="10"/>
        <v>1979647.2266885447</v>
      </c>
      <c r="AE94" s="21">
        <f t="shared" si="61"/>
        <v>80345.174348519489</v>
      </c>
      <c r="AF94" s="54">
        <f t="shared" si="11"/>
        <v>0</v>
      </c>
      <c r="AG94" s="21">
        <f t="shared" si="12"/>
        <v>0</v>
      </c>
      <c r="AH94" s="21">
        <f t="shared" si="13"/>
        <v>0</v>
      </c>
      <c r="AI94" s="21">
        <f t="shared" si="14"/>
        <v>0</v>
      </c>
      <c r="AJ94" s="54">
        <f t="shared" si="15"/>
        <v>0</v>
      </c>
      <c r="AK94" s="21">
        <f t="shared" si="16"/>
        <v>0</v>
      </c>
      <c r="AL94" s="21">
        <f t="shared" si="17"/>
        <v>0</v>
      </c>
      <c r="AM94" s="21">
        <f t="shared" si="18"/>
        <v>0</v>
      </c>
      <c r="AN94" s="54">
        <f t="shared" si="19"/>
        <v>0</v>
      </c>
      <c r="AO94" s="21">
        <f t="shared" si="20"/>
        <v>0</v>
      </c>
      <c r="AP94" s="21">
        <f t="shared" si="21"/>
        <v>0</v>
      </c>
      <c r="AQ94" s="21">
        <f t="shared" si="22"/>
        <v>0</v>
      </c>
      <c r="AR94" s="54">
        <f t="shared" si="23"/>
        <v>0</v>
      </c>
      <c r="AS94" s="21">
        <f t="shared" si="24"/>
        <v>0</v>
      </c>
      <c r="AT94" s="21">
        <f t="shared" si="25"/>
        <v>0</v>
      </c>
      <c r="AU94" s="21">
        <f t="shared" si="26"/>
        <v>0</v>
      </c>
      <c r="AV94" s="54">
        <f t="shared" si="27"/>
        <v>0</v>
      </c>
      <c r="AW94" s="21">
        <f t="shared" si="28"/>
        <v>0</v>
      </c>
      <c r="AX94" s="21">
        <f t="shared" si="29"/>
        <v>0</v>
      </c>
      <c r="AY94" s="21">
        <f t="shared" si="30"/>
        <v>0</v>
      </c>
      <c r="AZ94" s="54">
        <f t="shared" si="31"/>
        <v>0</v>
      </c>
      <c r="BA94" s="21">
        <f t="shared" si="32"/>
        <v>0</v>
      </c>
      <c r="BB94" s="21">
        <f t="shared" si="33"/>
        <v>0</v>
      </c>
      <c r="BC94" s="21">
        <f t="shared" si="34"/>
        <v>0</v>
      </c>
      <c r="BD94" s="54">
        <f t="shared" si="35"/>
        <v>0</v>
      </c>
      <c r="BE94" s="21">
        <f t="shared" si="36"/>
        <v>0</v>
      </c>
      <c r="BF94" s="21">
        <f t="shared" si="37"/>
        <v>0</v>
      </c>
      <c r="BG94" s="21">
        <f t="shared" si="38"/>
        <v>0</v>
      </c>
      <c r="BH94" s="54">
        <f t="shared" si="39"/>
        <v>0</v>
      </c>
      <c r="BI94" s="21">
        <f t="shared" si="40"/>
        <v>0</v>
      </c>
      <c r="BJ94" s="21">
        <f t="shared" si="41"/>
        <v>0</v>
      </c>
      <c r="BK94" s="21">
        <f t="shared" si="42"/>
        <v>0</v>
      </c>
    </row>
    <row r="95" spans="1:63" x14ac:dyDescent="0.25">
      <c r="A95" s="51">
        <v>27</v>
      </c>
      <c r="B95" s="51">
        <f t="shared" si="0"/>
        <v>61</v>
      </c>
      <c r="C95" s="52" t="b">
        <f t="shared" si="1"/>
        <v>1</v>
      </c>
      <c r="D95" s="54">
        <f t="shared" si="2"/>
        <v>1.6666000000000001E-3</v>
      </c>
      <c r="E95" s="54">
        <f t="shared" si="3"/>
        <v>2.7999999999999998E-4</v>
      </c>
      <c r="F95" s="54">
        <f t="shared" si="4"/>
        <v>7.8962319999999996E-3</v>
      </c>
      <c r="G95" s="54">
        <f t="shared" si="5"/>
        <v>2.9243369999999999E-3</v>
      </c>
      <c r="H95" s="54">
        <f t="shared" si="6"/>
        <v>2.1000000000000001E-4</v>
      </c>
      <c r="I95" s="54">
        <f t="shared" si="43"/>
        <v>0.97906366339852813</v>
      </c>
      <c r="J95" s="54">
        <f t="shared" si="7"/>
        <v>0.97696184733444569</v>
      </c>
      <c r="K95" s="54">
        <f t="shared" si="44"/>
        <v>0.97405371435813237</v>
      </c>
      <c r="L95" s="54">
        <f t="shared" si="45"/>
        <v>2.5946285641867628E-2</v>
      </c>
      <c r="M95" s="54">
        <f t="shared" si="46"/>
        <v>2.8568156084709468E-3</v>
      </c>
      <c r="N95" s="54">
        <f t="shared" si="47"/>
        <v>0.99434545204567248</v>
      </c>
      <c r="O95" s="54">
        <f t="shared" si="48"/>
        <v>5.4456915495528779E-3</v>
      </c>
      <c r="P95" s="54">
        <f t="shared" si="49"/>
        <v>0.92732318979236361</v>
      </c>
      <c r="Q95" s="54">
        <f t="shared" si="50"/>
        <v>2.8599481406368032E-2</v>
      </c>
      <c r="R95" s="50">
        <f t="shared" si="8"/>
        <v>1.8477453168712774</v>
      </c>
      <c r="S95" s="21">
        <f t="shared" si="51"/>
        <v>180592.04769139088</v>
      </c>
      <c r="T95" s="50">
        <f t="shared" si="52"/>
        <v>2.3749458324429753</v>
      </c>
      <c r="U95" s="21">
        <f t="shared" si="53"/>
        <v>0</v>
      </c>
      <c r="V95" s="21">
        <f t="shared" si="54"/>
        <v>180592.04769139088</v>
      </c>
      <c r="W95" s="50">
        <f t="shared" si="55"/>
        <v>3.5006339987841945E-2</v>
      </c>
      <c r="X95" s="21">
        <f t="shared" si="56"/>
        <v>174270.18107080547</v>
      </c>
      <c r="Y95" s="21">
        <f t="shared" si="57"/>
        <v>91822.594874727991</v>
      </c>
      <c r="Z95" s="21">
        <f t="shared" si="58"/>
        <v>-91822.594874727991</v>
      </c>
      <c r="AA95" s="21">
        <f t="shared" si="59"/>
        <v>-5261.7735815881551</v>
      </c>
      <c r="AB95" s="21">
        <f t="shared" si="60"/>
        <v>1766491.4063990961</v>
      </c>
      <c r="AC95" s="21">
        <f t="shared" si="9"/>
        <v>323686.20934589981</v>
      </c>
      <c r="AD95" s="21">
        <f t="shared" si="10"/>
        <v>2090177.6157449959</v>
      </c>
      <c r="AE95" s="21">
        <f t="shared" si="61"/>
        <v>82447.586196077478</v>
      </c>
      <c r="AF95" s="54">
        <f t="shared" si="11"/>
        <v>0</v>
      </c>
      <c r="AG95" s="21">
        <f t="shared" si="12"/>
        <v>0</v>
      </c>
      <c r="AH95" s="21">
        <f t="shared" si="13"/>
        <v>0</v>
      </c>
      <c r="AI95" s="21">
        <f t="shared" si="14"/>
        <v>0</v>
      </c>
      <c r="AJ95" s="54">
        <f t="shared" si="15"/>
        <v>0</v>
      </c>
      <c r="AK95" s="21">
        <f t="shared" si="16"/>
        <v>0</v>
      </c>
      <c r="AL95" s="21">
        <f t="shared" si="17"/>
        <v>0</v>
      </c>
      <c r="AM95" s="21">
        <f t="shared" si="18"/>
        <v>0</v>
      </c>
      <c r="AN95" s="54">
        <f t="shared" si="19"/>
        <v>0</v>
      </c>
      <c r="AO95" s="21">
        <f t="shared" si="20"/>
        <v>0</v>
      </c>
      <c r="AP95" s="21">
        <f t="shared" si="21"/>
        <v>0</v>
      </c>
      <c r="AQ95" s="21">
        <f t="shared" si="22"/>
        <v>0</v>
      </c>
      <c r="AR95" s="54">
        <f t="shared" si="23"/>
        <v>0</v>
      </c>
      <c r="AS95" s="21">
        <f t="shared" si="24"/>
        <v>0</v>
      </c>
      <c r="AT95" s="21">
        <f t="shared" si="25"/>
        <v>0</v>
      </c>
      <c r="AU95" s="21">
        <f t="shared" si="26"/>
        <v>0</v>
      </c>
      <c r="AV95" s="54">
        <f t="shared" si="27"/>
        <v>0</v>
      </c>
      <c r="AW95" s="21">
        <f t="shared" si="28"/>
        <v>0</v>
      </c>
      <c r="AX95" s="21">
        <f t="shared" si="29"/>
        <v>0</v>
      </c>
      <c r="AY95" s="21">
        <f t="shared" si="30"/>
        <v>0</v>
      </c>
      <c r="AZ95" s="54">
        <f t="shared" si="31"/>
        <v>0</v>
      </c>
      <c r="BA95" s="21">
        <f t="shared" si="32"/>
        <v>0</v>
      </c>
      <c r="BB95" s="21">
        <f t="shared" si="33"/>
        <v>0</v>
      </c>
      <c r="BC95" s="21">
        <f t="shared" si="34"/>
        <v>0</v>
      </c>
      <c r="BD95" s="54">
        <f t="shared" si="35"/>
        <v>0</v>
      </c>
      <c r="BE95" s="21">
        <f t="shared" si="36"/>
        <v>0</v>
      </c>
      <c r="BF95" s="21">
        <f t="shared" si="37"/>
        <v>0</v>
      </c>
      <c r="BG95" s="21">
        <f t="shared" si="38"/>
        <v>0</v>
      </c>
      <c r="BH95" s="54">
        <f t="shared" si="39"/>
        <v>0</v>
      </c>
      <c r="BI95" s="21">
        <f t="shared" si="40"/>
        <v>0</v>
      </c>
      <c r="BJ95" s="21">
        <f t="shared" si="41"/>
        <v>0</v>
      </c>
      <c r="BK95" s="21">
        <f t="shared" si="42"/>
        <v>0</v>
      </c>
    </row>
    <row r="96" spans="1:63" x14ac:dyDescent="0.25">
      <c r="A96" s="51">
        <v>28</v>
      </c>
      <c r="B96" s="51">
        <f t="shared" si="0"/>
        <v>62</v>
      </c>
      <c r="C96" s="52" t="b">
        <f t="shared" si="1"/>
        <v>1</v>
      </c>
      <c r="D96" s="54">
        <f t="shared" si="2"/>
        <v>1.8573000000000001E-3</v>
      </c>
      <c r="E96" s="54">
        <f t="shared" si="3"/>
        <v>2.9E-4</v>
      </c>
      <c r="F96" s="54">
        <f t="shared" si="4"/>
        <v>8.7997100000000005E-3</v>
      </c>
      <c r="G96" s="54">
        <f t="shared" si="5"/>
        <v>3.2516820000000001E-3</v>
      </c>
      <c r="H96" s="54">
        <f t="shared" si="6"/>
        <v>2.1000000000000001E-4</v>
      </c>
      <c r="I96" s="54">
        <f t="shared" si="43"/>
        <v>0.97696184733444569</v>
      </c>
      <c r="J96" s="54">
        <f t="shared" si="7"/>
        <v>0.9746468591158185</v>
      </c>
      <c r="K96" s="54">
        <f t="shared" si="44"/>
        <v>0.97088640142812088</v>
      </c>
      <c r="L96" s="54">
        <f t="shared" si="45"/>
        <v>2.9113598571879118E-2</v>
      </c>
      <c r="M96" s="54">
        <f t="shared" si="46"/>
        <v>3.1673129300114808E-3</v>
      </c>
      <c r="N96" s="54">
        <f t="shared" si="47"/>
        <v>0.99413663950074282</v>
      </c>
      <c r="O96" s="54">
        <f t="shared" si="48"/>
        <v>5.6545479543275157E-3</v>
      </c>
      <c r="P96" s="54">
        <f t="shared" si="49"/>
        <v>0.91916301464591588</v>
      </c>
      <c r="Q96" s="54">
        <f t="shared" si="50"/>
        <v>3.1795495648623162E-2</v>
      </c>
      <c r="R96" s="50">
        <f t="shared" si="8"/>
        <v>1.8902434591593167</v>
      </c>
      <c r="S96" s="21">
        <f t="shared" si="51"/>
        <v>185648.62502674985</v>
      </c>
      <c r="T96" s="50">
        <f t="shared" si="52"/>
        <v>2.4623438390768766</v>
      </c>
      <c r="U96" s="21">
        <f t="shared" si="53"/>
        <v>0</v>
      </c>
      <c r="V96" s="21">
        <f t="shared" si="54"/>
        <v>185648.62502674985</v>
      </c>
      <c r="W96" s="50">
        <f t="shared" si="55"/>
        <v>3.865251948336576E-2</v>
      </c>
      <c r="X96" s="21">
        <f t="shared" si="56"/>
        <v>178472.83793084335</v>
      </c>
      <c r="Y96" s="21">
        <f t="shared" si="57"/>
        <v>93934.514556846741</v>
      </c>
      <c r="Z96" s="21">
        <f t="shared" si="58"/>
        <v>-93934.514556846741</v>
      </c>
      <c r="AA96" s="21">
        <f t="shared" si="59"/>
        <v>-5984.9435457845957</v>
      </c>
      <c r="AB96" s="21">
        <f t="shared" si="60"/>
        <v>1866242.6831040974</v>
      </c>
      <c r="AC96" s="21">
        <f t="shared" si="9"/>
        <v>337570.56057460268</v>
      </c>
      <c r="AD96" s="21">
        <f t="shared" si="10"/>
        <v>2203813.2436787002</v>
      </c>
      <c r="AE96" s="21">
        <f t="shared" si="61"/>
        <v>84538.323373996609</v>
      </c>
      <c r="AF96" s="54">
        <f t="shared" si="11"/>
        <v>0</v>
      </c>
      <c r="AG96" s="21">
        <f t="shared" si="12"/>
        <v>0</v>
      </c>
      <c r="AH96" s="21">
        <f t="shared" si="13"/>
        <v>0</v>
      </c>
      <c r="AI96" s="21">
        <f t="shared" si="14"/>
        <v>0</v>
      </c>
      <c r="AJ96" s="54">
        <f t="shared" si="15"/>
        <v>0</v>
      </c>
      <c r="AK96" s="21">
        <f t="shared" si="16"/>
        <v>0</v>
      </c>
      <c r="AL96" s="21">
        <f t="shared" si="17"/>
        <v>0</v>
      </c>
      <c r="AM96" s="21">
        <f t="shared" si="18"/>
        <v>0</v>
      </c>
      <c r="AN96" s="54">
        <f t="shared" si="19"/>
        <v>0</v>
      </c>
      <c r="AO96" s="21">
        <f t="shared" si="20"/>
        <v>0</v>
      </c>
      <c r="AP96" s="21">
        <f t="shared" si="21"/>
        <v>0</v>
      </c>
      <c r="AQ96" s="21">
        <f t="shared" si="22"/>
        <v>0</v>
      </c>
      <c r="AR96" s="54">
        <f t="shared" si="23"/>
        <v>0</v>
      </c>
      <c r="AS96" s="21">
        <f t="shared" si="24"/>
        <v>0</v>
      </c>
      <c r="AT96" s="21">
        <f t="shared" si="25"/>
        <v>0</v>
      </c>
      <c r="AU96" s="21">
        <f t="shared" si="26"/>
        <v>0</v>
      </c>
      <c r="AV96" s="54">
        <f t="shared" si="27"/>
        <v>0</v>
      </c>
      <c r="AW96" s="21">
        <f t="shared" si="28"/>
        <v>0</v>
      </c>
      <c r="AX96" s="21">
        <f t="shared" si="29"/>
        <v>0</v>
      </c>
      <c r="AY96" s="21">
        <f t="shared" si="30"/>
        <v>0</v>
      </c>
      <c r="AZ96" s="54">
        <f t="shared" si="31"/>
        <v>0</v>
      </c>
      <c r="BA96" s="21">
        <f t="shared" si="32"/>
        <v>0</v>
      </c>
      <c r="BB96" s="21">
        <f t="shared" si="33"/>
        <v>0</v>
      </c>
      <c r="BC96" s="21">
        <f t="shared" si="34"/>
        <v>0</v>
      </c>
      <c r="BD96" s="54">
        <f t="shared" si="35"/>
        <v>0</v>
      </c>
      <c r="BE96" s="21">
        <f t="shared" si="36"/>
        <v>0</v>
      </c>
      <c r="BF96" s="21">
        <f t="shared" si="37"/>
        <v>0</v>
      </c>
      <c r="BG96" s="21">
        <f t="shared" si="38"/>
        <v>0</v>
      </c>
      <c r="BH96" s="54">
        <f t="shared" si="39"/>
        <v>0</v>
      </c>
      <c r="BI96" s="21">
        <f t="shared" si="40"/>
        <v>0</v>
      </c>
      <c r="BJ96" s="21">
        <f t="shared" si="41"/>
        <v>0</v>
      </c>
      <c r="BK96" s="21">
        <f t="shared" si="42"/>
        <v>0</v>
      </c>
    </row>
    <row r="97" spans="1:63" x14ac:dyDescent="0.25">
      <c r="A97" s="51">
        <v>29</v>
      </c>
      <c r="B97" s="51">
        <f t="shared" si="0"/>
        <v>63</v>
      </c>
      <c r="C97" s="52" t="b">
        <f t="shared" si="1"/>
        <v>1</v>
      </c>
      <c r="D97" s="54">
        <f t="shared" si="2"/>
        <v>2.0701999999999999E-3</v>
      </c>
      <c r="E97" s="54">
        <f t="shared" si="3"/>
        <v>2.9999999999999997E-4</v>
      </c>
      <c r="F97" s="54">
        <f t="shared" si="4"/>
        <v>9.8087260000000003E-3</v>
      </c>
      <c r="G97" s="54">
        <f t="shared" si="5"/>
        <v>3.6117229999999998E-3</v>
      </c>
      <c r="H97" s="54">
        <f t="shared" si="6"/>
        <v>2.1000000000000001E-4</v>
      </c>
      <c r="I97" s="54">
        <f t="shared" si="43"/>
        <v>0.9746468591158185</v>
      </c>
      <c r="J97" s="54">
        <f t="shared" si="7"/>
        <v>0.97208571983776026</v>
      </c>
      <c r="K97" s="54">
        <f t="shared" si="44"/>
        <v>0.9673798286816957</v>
      </c>
      <c r="L97" s="54">
        <f t="shared" si="45"/>
        <v>3.2620171318304303E-2</v>
      </c>
      <c r="M97" s="54">
        <f t="shared" si="46"/>
        <v>3.5065727464251768E-3</v>
      </c>
      <c r="N97" s="54">
        <f t="shared" si="47"/>
        <v>0.99392787080644762</v>
      </c>
      <c r="O97" s="54">
        <f t="shared" si="48"/>
        <v>5.8633604992571753E-3</v>
      </c>
      <c r="P97" s="54">
        <f t="shared" si="49"/>
        <v>0.91014719648592002</v>
      </c>
      <c r="Q97" s="54">
        <f t="shared" si="50"/>
        <v>3.5359256284607343E-2</v>
      </c>
      <c r="R97" s="50">
        <f t="shared" si="8"/>
        <v>1.9337190587199808</v>
      </c>
      <c r="S97" s="21">
        <f t="shared" si="51"/>
        <v>190846.78652749883</v>
      </c>
      <c r="T97" s="50">
        <f t="shared" si="52"/>
        <v>2.5529580923549053</v>
      </c>
      <c r="U97" s="21">
        <f t="shared" si="53"/>
        <v>0</v>
      </c>
      <c r="V97" s="21">
        <f t="shared" si="54"/>
        <v>190846.78652749883</v>
      </c>
      <c r="W97" s="50">
        <f t="shared" si="55"/>
        <v>4.2681575446230323E-2</v>
      </c>
      <c r="X97" s="21">
        <f t="shared" si="56"/>
        <v>182701.14500965478</v>
      </c>
      <c r="Y97" s="21">
        <f t="shared" si="57"/>
        <v>96095.008391654206</v>
      </c>
      <c r="Z97" s="21">
        <f t="shared" si="58"/>
        <v>-96095.008391654206</v>
      </c>
      <c r="AA97" s="21">
        <f t="shared" si="59"/>
        <v>-6804.1066700368319</v>
      </c>
      <c r="AB97" s="21">
        <f t="shared" si="60"/>
        <v>1968439.6252493104</v>
      </c>
      <c r="AC97" s="21">
        <f t="shared" si="9"/>
        <v>352050.4738120531</v>
      </c>
      <c r="AD97" s="21">
        <f t="shared" si="10"/>
        <v>2320490.0990613634</v>
      </c>
      <c r="AE97" s="21">
        <f t="shared" si="61"/>
        <v>86606.136618000572</v>
      </c>
      <c r="AF97" s="54">
        <f t="shared" si="11"/>
        <v>0</v>
      </c>
      <c r="AG97" s="21">
        <f t="shared" si="12"/>
        <v>0</v>
      </c>
      <c r="AH97" s="21">
        <f t="shared" si="13"/>
        <v>0</v>
      </c>
      <c r="AI97" s="21">
        <f t="shared" si="14"/>
        <v>0</v>
      </c>
      <c r="AJ97" s="54">
        <f t="shared" si="15"/>
        <v>0</v>
      </c>
      <c r="AK97" s="21">
        <f t="shared" si="16"/>
        <v>0</v>
      </c>
      <c r="AL97" s="21">
        <f t="shared" si="17"/>
        <v>0</v>
      </c>
      <c r="AM97" s="21">
        <f t="shared" si="18"/>
        <v>0</v>
      </c>
      <c r="AN97" s="54">
        <f t="shared" si="19"/>
        <v>0</v>
      </c>
      <c r="AO97" s="21">
        <f t="shared" si="20"/>
        <v>0</v>
      </c>
      <c r="AP97" s="21">
        <f t="shared" si="21"/>
        <v>0</v>
      </c>
      <c r="AQ97" s="21">
        <f t="shared" si="22"/>
        <v>0</v>
      </c>
      <c r="AR97" s="54">
        <f t="shared" si="23"/>
        <v>0</v>
      </c>
      <c r="AS97" s="21">
        <f t="shared" si="24"/>
        <v>0</v>
      </c>
      <c r="AT97" s="21">
        <f t="shared" si="25"/>
        <v>0</v>
      </c>
      <c r="AU97" s="21">
        <f t="shared" si="26"/>
        <v>0</v>
      </c>
      <c r="AV97" s="54">
        <f t="shared" si="27"/>
        <v>0</v>
      </c>
      <c r="AW97" s="21">
        <f t="shared" si="28"/>
        <v>0</v>
      </c>
      <c r="AX97" s="21">
        <f t="shared" si="29"/>
        <v>0</v>
      </c>
      <c r="AY97" s="21">
        <f t="shared" si="30"/>
        <v>0</v>
      </c>
      <c r="AZ97" s="54">
        <f t="shared" si="31"/>
        <v>0</v>
      </c>
      <c r="BA97" s="21">
        <f t="shared" si="32"/>
        <v>0</v>
      </c>
      <c r="BB97" s="21">
        <f t="shared" si="33"/>
        <v>0</v>
      </c>
      <c r="BC97" s="21">
        <f t="shared" si="34"/>
        <v>0</v>
      </c>
      <c r="BD97" s="54">
        <f t="shared" si="35"/>
        <v>0</v>
      </c>
      <c r="BE97" s="21">
        <f t="shared" si="36"/>
        <v>0</v>
      </c>
      <c r="BF97" s="21">
        <f t="shared" si="37"/>
        <v>0</v>
      </c>
      <c r="BG97" s="21">
        <f t="shared" si="38"/>
        <v>0</v>
      </c>
      <c r="BH97" s="54">
        <f t="shared" si="39"/>
        <v>0</v>
      </c>
      <c r="BI97" s="21">
        <f t="shared" si="40"/>
        <v>0</v>
      </c>
      <c r="BJ97" s="21">
        <f t="shared" si="41"/>
        <v>0</v>
      </c>
      <c r="BK97" s="21">
        <f t="shared" si="42"/>
        <v>0</v>
      </c>
    </row>
    <row r="98" spans="1:63" x14ac:dyDescent="0.25">
      <c r="A98" s="51">
        <v>30</v>
      </c>
      <c r="B98" s="51">
        <f t="shared" si="0"/>
        <v>64</v>
      </c>
      <c r="C98" s="52" t="b">
        <f t="shared" si="1"/>
        <v>1</v>
      </c>
      <c r="D98" s="54">
        <f t="shared" si="2"/>
        <v>2.3084999999999998E-3</v>
      </c>
      <c r="E98" s="54">
        <f t="shared" si="3"/>
        <v>3.2000000000000003E-4</v>
      </c>
      <c r="F98" s="54">
        <f t="shared" si="4"/>
        <v>1.0937673E-2</v>
      </c>
      <c r="G98" s="54">
        <f t="shared" si="5"/>
        <v>4.0073940000000001E-3</v>
      </c>
      <c r="H98" s="54">
        <f t="shared" si="6"/>
        <v>2.1000000000000001E-4</v>
      </c>
      <c r="I98" s="54">
        <f t="shared" si="43"/>
        <v>0.97208571983776026</v>
      </c>
      <c r="J98" s="54">
        <f t="shared" si="7"/>
        <v>0.96925342690308625</v>
      </c>
      <c r="K98" s="54">
        <f t="shared" si="44"/>
        <v>0.96350315656051555</v>
      </c>
      <c r="L98" s="54">
        <f t="shared" si="45"/>
        <v>3.649684343948445E-2</v>
      </c>
      <c r="M98" s="54">
        <f t="shared" si="46"/>
        <v>3.8766721211800554E-3</v>
      </c>
      <c r="N98" s="54">
        <f t="shared" si="47"/>
        <v>0.99371914595357824</v>
      </c>
      <c r="O98" s="54">
        <f t="shared" si="48"/>
        <v>6.072129193552378E-3</v>
      </c>
      <c r="P98" s="54">
        <f t="shared" si="49"/>
        <v>0.90019230406889028</v>
      </c>
      <c r="Q98" s="54">
        <f t="shared" si="50"/>
        <v>3.9327748578220856E-2</v>
      </c>
      <c r="R98" s="50">
        <f t="shared" si="8"/>
        <v>1.9781945970705404</v>
      </c>
      <c r="S98" s="21">
        <f t="shared" si="51"/>
        <v>196190.49655026876</v>
      </c>
      <c r="T98" s="50">
        <f t="shared" si="52"/>
        <v>2.6469069501535656</v>
      </c>
      <c r="U98" s="21">
        <f t="shared" si="53"/>
        <v>0</v>
      </c>
      <c r="V98" s="21">
        <f t="shared" si="54"/>
        <v>196190.49655026876</v>
      </c>
      <c r="W98" s="50">
        <f t="shared" si="55"/>
        <v>4.7130378867514769E-2</v>
      </c>
      <c r="X98" s="21">
        <f t="shared" si="56"/>
        <v>186943.96411764872</v>
      </c>
      <c r="Y98" s="21">
        <f t="shared" si="57"/>
        <v>98305.193584662251</v>
      </c>
      <c r="Z98" s="21">
        <f t="shared" si="58"/>
        <v>-98305.193584662251</v>
      </c>
      <c r="AA98" s="21">
        <f t="shared" si="59"/>
        <v>-7732.3215856860415</v>
      </c>
      <c r="AB98" s="21">
        <f t="shared" si="60"/>
        <v>2072967.3496996027</v>
      </c>
      <c r="AC98" s="21">
        <f t="shared" si="9"/>
        <v>367151.49538018036</v>
      </c>
      <c r="AD98" s="21">
        <f t="shared" si="10"/>
        <v>2440118.8450797829</v>
      </c>
      <c r="AE98" s="21">
        <f t="shared" si="61"/>
        <v>88638.770532986469</v>
      </c>
      <c r="AF98" s="54">
        <f t="shared" si="11"/>
        <v>0</v>
      </c>
      <c r="AG98" s="21">
        <f t="shared" si="12"/>
        <v>0</v>
      </c>
      <c r="AH98" s="21">
        <f t="shared" si="13"/>
        <v>0</v>
      </c>
      <c r="AI98" s="21">
        <f t="shared" si="14"/>
        <v>0</v>
      </c>
      <c r="AJ98" s="54">
        <f t="shared" si="15"/>
        <v>0</v>
      </c>
      <c r="AK98" s="21">
        <f t="shared" si="16"/>
        <v>0</v>
      </c>
      <c r="AL98" s="21">
        <f t="shared" si="17"/>
        <v>0</v>
      </c>
      <c r="AM98" s="21">
        <f t="shared" si="18"/>
        <v>0</v>
      </c>
      <c r="AN98" s="54">
        <f t="shared" si="19"/>
        <v>0</v>
      </c>
      <c r="AO98" s="21">
        <f t="shared" si="20"/>
        <v>0</v>
      </c>
      <c r="AP98" s="21">
        <f t="shared" si="21"/>
        <v>0</v>
      </c>
      <c r="AQ98" s="21">
        <f t="shared" si="22"/>
        <v>0</v>
      </c>
      <c r="AR98" s="54">
        <f t="shared" si="23"/>
        <v>0</v>
      </c>
      <c r="AS98" s="21">
        <f t="shared" si="24"/>
        <v>0</v>
      </c>
      <c r="AT98" s="21">
        <f t="shared" si="25"/>
        <v>0</v>
      </c>
      <c r="AU98" s="21">
        <f t="shared" si="26"/>
        <v>0</v>
      </c>
      <c r="AV98" s="54">
        <f t="shared" si="27"/>
        <v>0</v>
      </c>
      <c r="AW98" s="21">
        <f t="shared" si="28"/>
        <v>0</v>
      </c>
      <c r="AX98" s="21">
        <f t="shared" si="29"/>
        <v>0</v>
      </c>
      <c r="AY98" s="21">
        <f t="shared" si="30"/>
        <v>0</v>
      </c>
      <c r="AZ98" s="54">
        <f t="shared" si="31"/>
        <v>0</v>
      </c>
      <c r="BA98" s="21">
        <f t="shared" si="32"/>
        <v>0</v>
      </c>
      <c r="BB98" s="21">
        <f t="shared" si="33"/>
        <v>0</v>
      </c>
      <c r="BC98" s="21">
        <f t="shared" si="34"/>
        <v>0</v>
      </c>
      <c r="BD98" s="54">
        <f t="shared" si="35"/>
        <v>0</v>
      </c>
      <c r="BE98" s="21">
        <f t="shared" si="36"/>
        <v>0</v>
      </c>
      <c r="BF98" s="21">
        <f t="shared" si="37"/>
        <v>0</v>
      </c>
      <c r="BG98" s="21">
        <f t="shared" si="38"/>
        <v>0</v>
      </c>
      <c r="BH98" s="54">
        <f t="shared" si="39"/>
        <v>0</v>
      </c>
      <c r="BI98" s="21">
        <f t="shared" si="40"/>
        <v>0</v>
      </c>
      <c r="BJ98" s="21">
        <f t="shared" si="41"/>
        <v>0</v>
      </c>
      <c r="BK98" s="21">
        <f t="shared" si="42"/>
        <v>0</v>
      </c>
    </row>
    <row r="99" spans="1:63" x14ac:dyDescent="0.25">
      <c r="A99" s="51">
        <v>31</v>
      </c>
      <c r="B99" s="51">
        <f t="shared" si="0"/>
        <v>65</v>
      </c>
      <c r="C99" s="52" t="b">
        <f t="shared" si="1"/>
        <v>1</v>
      </c>
      <c r="D99" s="54">
        <f t="shared" si="2"/>
        <v>2.5745E-3</v>
      </c>
      <c r="E99" s="54">
        <f t="shared" si="3"/>
        <v>3.4000000000000002E-4</v>
      </c>
      <c r="F99" s="54">
        <f t="shared" si="4"/>
        <v>1.2197744E-2</v>
      </c>
      <c r="G99" s="54">
        <f t="shared" si="5"/>
        <v>4.4418679999999999E-3</v>
      </c>
      <c r="H99" s="54">
        <f t="shared" si="6"/>
        <v>2.1000000000000001E-4</v>
      </c>
      <c r="I99" s="54">
        <f t="shared" si="43"/>
        <v>0.96925342690308625</v>
      </c>
      <c r="J99" s="54">
        <f t="shared" si="7"/>
        <v>0.96612228641008646</v>
      </c>
      <c r="K99" s="54">
        <f t="shared" si="44"/>
        <v>0.95922340272149043</v>
      </c>
      <c r="L99" s="54">
        <f t="shared" si="45"/>
        <v>4.0776597278509574E-2</v>
      </c>
      <c r="M99" s="54">
        <f t="shared" si="46"/>
        <v>4.2797538390251444E-3</v>
      </c>
      <c r="N99" s="54">
        <f t="shared" si="47"/>
        <v>0.99351046493292794</v>
      </c>
      <c r="O99" s="54">
        <f t="shared" si="48"/>
        <v>6.2808540464217577E-3</v>
      </c>
      <c r="P99" s="54">
        <f t="shared" si="49"/>
        <v>0.88921198879308783</v>
      </c>
      <c r="Q99" s="54">
        <f t="shared" si="50"/>
        <v>4.3749383557459054E-2</v>
      </c>
      <c r="R99" s="50">
        <f t="shared" si="8"/>
        <v>2.0236930728031619</v>
      </c>
      <c r="S99" s="21">
        <f t="shared" si="51"/>
        <v>201683.83045367632</v>
      </c>
      <c r="T99" s="50">
        <f t="shared" si="52"/>
        <v>2.7443131259192168</v>
      </c>
      <c r="U99" s="21">
        <f t="shared" si="53"/>
        <v>2716.8699946600245</v>
      </c>
      <c r="V99" s="21">
        <f t="shared" si="54"/>
        <v>204400.70044833634</v>
      </c>
      <c r="W99" s="50">
        <f t="shared" si="55"/>
        <v>5.20434989965015E-2</v>
      </c>
      <c r="X99" s="21">
        <f t="shared" si="56"/>
        <v>193762.97279966914</v>
      </c>
      <c r="Y99" s="21">
        <f t="shared" si="57"/>
        <v>100566.21303710944</v>
      </c>
      <c r="Z99" s="21">
        <f t="shared" si="58"/>
        <v>-100566.21303710944</v>
      </c>
      <c r="AA99" s="21">
        <f t="shared" si="59"/>
        <v>-8782.3412469433042</v>
      </c>
      <c r="AB99" s="21">
        <f t="shared" si="60"/>
        <v>2182257.376411614</v>
      </c>
      <c r="AC99" s="21">
        <f t="shared" si="9"/>
        <v>382900.26739707647</v>
      </c>
      <c r="AD99" s="21">
        <f t="shared" si="10"/>
        <v>2565157.6438086904</v>
      </c>
      <c r="AE99" s="21">
        <f t="shared" si="61"/>
        <v>93196.759762559697</v>
      </c>
      <c r="AF99" s="54">
        <f t="shared" si="11"/>
        <v>0</v>
      </c>
      <c r="AG99" s="21">
        <f t="shared" si="12"/>
        <v>0</v>
      </c>
      <c r="AH99" s="21">
        <f t="shared" si="13"/>
        <v>0</v>
      </c>
      <c r="AI99" s="21">
        <f t="shared" si="14"/>
        <v>0</v>
      </c>
      <c r="AJ99" s="54">
        <f t="shared" si="15"/>
        <v>0</v>
      </c>
      <c r="AK99" s="21">
        <f t="shared" si="16"/>
        <v>0</v>
      </c>
      <c r="AL99" s="21">
        <f t="shared" si="17"/>
        <v>0</v>
      </c>
      <c r="AM99" s="21">
        <f t="shared" si="18"/>
        <v>0</v>
      </c>
      <c r="AN99" s="54">
        <f t="shared" si="19"/>
        <v>0</v>
      </c>
      <c r="AO99" s="21">
        <f t="shared" si="20"/>
        <v>0</v>
      </c>
      <c r="AP99" s="21">
        <f t="shared" si="21"/>
        <v>0</v>
      </c>
      <c r="AQ99" s="21">
        <f t="shared" si="22"/>
        <v>0</v>
      </c>
      <c r="AR99" s="54">
        <f t="shared" si="23"/>
        <v>0</v>
      </c>
      <c r="AS99" s="21">
        <f t="shared" si="24"/>
        <v>0</v>
      </c>
      <c r="AT99" s="21">
        <f t="shared" si="25"/>
        <v>0</v>
      </c>
      <c r="AU99" s="21">
        <f t="shared" si="26"/>
        <v>0</v>
      </c>
      <c r="AV99" s="54">
        <f t="shared" si="27"/>
        <v>0.96612228641008646</v>
      </c>
      <c r="AW99" s="21">
        <f t="shared" si="28"/>
        <v>359538.17068587308</v>
      </c>
      <c r="AX99" s="21">
        <f t="shared" si="29"/>
        <v>359538.17068587308</v>
      </c>
      <c r="AY99" s="21">
        <f t="shared" si="30"/>
        <v>359538.17068587308</v>
      </c>
      <c r="AZ99" s="54">
        <f t="shared" si="31"/>
        <v>0</v>
      </c>
      <c r="BA99" s="21">
        <f t="shared" si="32"/>
        <v>0</v>
      </c>
      <c r="BB99" s="21">
        <f t="shared" si="33"/>
        <v>0</v>
      </c>
      <c r="BC99" s="21">
        <f t="shared" si="34"/>
        <v>0</v>
      </c>
      <c r="BD99" s="54">
        <f t="shared" si="35"/>
        <v>0</v>
      </c>
      <c r="BE99" s="21">
        <f t="shared" si="36"/>
        <v>0</v>
      </c>
      <c r="BF99" s="21">
        <f t="shared" si="37"/>
        <v>0</v>
      </c>
      <c r="BG99" s="21">
        <f t="shared" si="38"/>
        <v>0</v>
      </c>
      <c r="BH99" s="54">
        <f t="shared" si="39"/>
        <v>0</v>
      </c>
      <c r="BI99" s="21">
        <f t="shared" si="40"/>
        <v>0</v>
      </c>
      <c r="BJ99" s="21">
        <f t="shared" si="41"/>
        <v>0</v>
      </c>
      <c r="BK99" s="21">
        <f t="shared" si="42"/>
        <v>0</v>
      </c>
    </row>
    <row r="100" spans="1:63" x14ac:dyDescent="0.25">
      <c r="A100" s="51">
        <v>32</v>
      </c>
      <c r="B100" s="51">
        <f t="shared" ref="B100:B131" si="62">HU_age+A100</f>
        <v>66</v>
      </c>
      <c r="C100" s="52" t="b">
        <f t="shared" ref="C100:C131" si="63">A100&lt;=HU_T</f>
        <v>1</v>
      </c>
      <c r="D100" s="54">
        <f t="shared" ref="D100:D131" si="64">IF(OR(A100&lt;1,A100&gt;HU_T),0,INDEX(HU_q_mort,HU_age+A100-17,HU_col))</f>
        <v>2.8714999999999999E-3</v>
      </c>
      <c r="E100" s="54">
        <f t="shared" ref="E100:E131" si="65">IF(OR(A100&lt;1,A100&gt;HU_T),0,INDEX(HU_q_adb,HU_age+A100-17,HU_col))</f>
        <v>3.6000000000000002E-4</v>
      </c>
      <c r="F100" s="54">
        <f t="shared" ref="F100:F131" si="66">IF(OR(A100&lt;1,A100&gt;HU_T),0,INDEX(HU_q_morb,HU_age+A100-17,HU_col))</f>
        <v>1.3604929999999999E-2</v>
      </c>
      <c r="G100" s="54">
        <f t="shared" ref="G100:G131" si="67">IF(OR(A100&lt;1,A100&gt;HU_T),0,INDEX(HU_q_ptd,HU_age+A100-17,HU_col))</f>
        <v>4.9185740000000002E-3</v>
      </c>
      <c r="H100" s="54">
        <f t="shared" ref="H100:H131" si="68">IF(OR(A100&lt;1,A100&gt;HU_T),0,INDEX(HU_q_dis,HU_age+A100-17,HU_col))</f>
        <v>2.1000000000000001E-4</v>
      </c>
      <c r="I100" s="54">
        <f t="shared" si="43"/>
        <v>0.96612228641008646</v>
      </c>
      <c r="J100" s="54">
        <f t="shared" ref="J100:J131" si="69">IF(A100&gt;=HU_T,0,N(I101))</f>
        <v>0.96266126671086283</v>
      </c>
      <c r="K100" s="54">
        <f t="shared" si="44"/>
        <v>0.95450539143267299</v>
      </c>
      <c r="L100" s="54">
        <f t="shared" si="45"/>
        <v>4.5494608567327011E-2</v>
      </c>
      <c r="M100" s="54">
        <f t="shared" si="46"/>
        <v>4.718011288817452E-3</v>
      </c>
      <c r="N100" s="54">
        <f t="shared" si="47"/>
        <v>0.99330182773529196</v>
      </c>
      <c r="O100" s="54">
        <f t="shared" si="48"/>
        <v>6.4895350670720608E-3</v>
      </c>
      <c r="P100" s="54">
        <f t="shared" si="49"/>
        <v>0.87711432193039707</v>
      </c>
      <c r="Q100" s="54">
        <f t="shared" si="50"/>
        <v>4.8669790270286506E-2</v>
      </c>
      <c r="R100" s="50">
        <f t="shared" ref="R100:R131" si="70">(1+inflationRate)^A100</f>
        <v>2.0702380134776348</v>
      </c>
      <c r="S100" s="21">
        <f t="shared" si="51"/>
        <v>0</v>
      </c>
      <c r="T100" s="50">
        <f t="shared" si="52"/>
        <v>2.8453038489530438</v>
      </c>
      <c r="U100" s="21">
        <f t="shared" si="53"/>
        <v>0</v>
      </c>
      <c r="V100" s="21">
        <f t="shared" si="54"/>
        <v>0</v>
      </c>
      <c r="W100" s="50">
        <f t="shared" si="55"/>
        <v>5.7464988247313865E-2</v>
      </c>
      <c r="X100" s="21">
        <f t="shared" si="56"/>
        <v>0</v>
      </c>
      <c r="Y100" s="21">
        <f t="shared" si="57"/>
        <v>77159.42695272222</v>
      </c>
      <c r="Z100" s="21">
        <f t="shared" si="58"/>
        <v>-77159.42695272222</v>
      </c>
      <c r="AA100" s="21">
        <f t="shared" si="59"/>
        <v>-9969.8170565886212</v>
      </c>
      <c r="AB100" s="21">
        <f t="shared" si="60"/>
        <v>2121315.2209192426</v>
      </c>
      <c r="AC100" s="21">
        <f t="shared" ref="AC100:AC131" si="71">IF(A100&gt;HU_T,0,HU_inv*EXP(HU_mu*A100))</f>
        <v>399324.57478060195</v>
      </c>
      <c r="AD100" s="21">
        <f t="shared" ref="AD100:AD131" si="72">IF(A100&gt;HU_T,0,MAX(0,AC100+AB100))</f>
        <v>2520639.7956998446</v>
      </c>
      <c r="AE100" s="21">
        <f t="shared" si="61"/>
        <v>0</v>
      </c>
      <c r="AF100" s="54">
        <f t="shared" ref="AF100:AF131" si="73">IF(AND($J$6,A100&gt;=1,A100&lt;=$Q$6-1),J100,0)</f>
        <v>0</v>
      </c>
      <c r="AG100" s="21">
        <f t="shared" ref="AG100:AG131" si="74">IF(OR(AF100=0,$S$6=0),0,IF((AD100+$L$6)&gt;$S$6/HU_alpha+$K$6,0.5*$S$6/HU_alpha,IF((AD100+$L$6)&gt;=$K$6,((AD100+$L$6)-$K$6)-0.5*HU_alpha/$S$6*((AD100+$L$6)-$K$6)^2,IF((AD100+$L$6)&gt;=$T$6,HU_beta*((AD100+$L$6)-$K$6),HU_beta*($T$6-$K$6)))))</f>
        <v>0</v>
      </c>
      <c r="AH100" s="21">
        <f t="shared" ref="AH100:AH131" si="75">IF(OR(AF100=0,$S$6=0),0,IF((AD100+$L$6+$N$6)&gt;$S$6/HU_alpha+$K$6,0.5*$S$6/HU_alpha,IF((AD100+$L$6+$N$6)&gt;=$K$6,((AD100+$L$6+$N$6)-$K$6)-0.5*HU_alpha/$S$6*((AD100+$L$6+$N$6)-$K$6)^2,IF((AD100+$L$6+$N$6)&gt;=$T$6,HU_beta*((AD100+$L$6+$N$6)-$K$6),HU_beta*($T$6-$K$6)))))</f>
        <v>0</v>
      </c>
      <c r="AI100" s="21">
        <f t="shared" ref="AI100:AI131" si="76">IF(OR(AF100=0,$S$6=0),0,IF((AD100+$K$6)&gt;$S$6/HU_alpha+$K$6,0.5*$S$6/HU_alpha,IF((AD100+$K$6)&gt;=$K$6,((AD100+$K$6)-$K$6)-0.5*HU_alpha/$S$6*((AD100+$K$6)-$K$6)^2,IF((AD100+$K$6)&gt;=$T$6,HU_beta*((AD100+$K$6)-$K$6),HU_beta*($T$6-$K$6)))))</f>
        <v>0</v>
      </c>
      <c r="AJ100" s="54">
        <f t="shared" ref="AJ100:AJ131" si="77">IF(AND($J$7,A100&gt;=1,A100&lt;=$Q$7-1),J100,0)</f>
        <v>0</v>
      </c>
      <c r="AK100" s="21">
        <f t="shared" ref="AK100:AK131" si="78">IF(OR(AJ100=0,$S$7=0),0,IF((AE100+$L$7)&gt;$S$7/HU_alpha+$K$7,0.5*$S$7/HU_alpha,IF((AE100+$L$7)&gt;=$K$7,((AE100+$L$7)-$K$7)-0.5*HU_alpha/$S$7*((AE100+$L$7)-$K$7)^2,IF((AE100+$L$7)&gt;=$T$7,HU_beta*((AE100+$L$7)-$K$7),HU_beta*($T$7-$K$7)))))</f>
        <v>0</v>
      </c>
      <c r="AL100" s="21">
        <f t="shared" ref="AL100:AL131" si="79">IF(OR(AJ100=0,$S$7=0),0,IF((AE100+$L$7+$N$7)&gt;$S$7/HU_alpha+$K$7,0.5*$S$7/HU_alpha,IF((AE100+$L$7+$N$7)&gt;=$K$7,((AE100+$L$7+$N$7)-$K$7)-0.5*HU_alpha/$S$7*((AE100+$L$7+$N$7)-$K$7)^2,IF((AE100+$L$7+$N$7)&gt;=$T$7,HU_beta*((AE100+$L$7+$N$7)-$K$7),HU_beta*($T$7-$K$7)))))</f>
        <v>0</v>
      </c>
      <c r="AM100" s="21">
        <f t="shared" ref="AM100:AM131" si="80">IF(OR(AJ100=0,$S$7=0),0,IF((AE100+$K$7)&gt;$S$7/HU_alpha+$K$7,0.5*$S$7/HU_alpha,IF((AE100+$K$7)&gt;=$K$7,((AE100+$K$7)-$K$7)-0.5*HU_alpha/$S$7*((AE100+$K$7)-$K$7)^2,IF((AE100+$K$7)&gt;=$T$7,HU_beta*((AE100+$K$7)-$K$7),HU_beta*($T$7-$K$7)))))</f>
        <v>0</v>
      </c>
      <c r="AN100" s="54">
        <f t="shared" ref="AN100:AN131" si="81">IF(AND($J$8,A100&gt;=1,A100&lt;=$Q$8-1),J100,0)</f>
        <v>0</v>
      </c>
      <c r="AO100" s="21">
        <f t="shared" ref="AO100:AO131" si="82">IF(OR(AN100=0,$S$8=0),0,IF((AE100+$L$8)&gt;$S$8/HU_alpha+$K$8,0.5*$S$8/HU_alpha,IF((AE100+$L$8)&gt;=$K$8,((AE100+$L$8)-$K$8)-0.5*HU_alpha/$S$8*((AE100+$L$8)-$K$8)^2,IF((AE100+$L$8)&gt;=$T$8,HU_beta*((AE100+$L$8)-$K$8),HU_beta*($T$8-$K$8)))))</f>
        <v>0</v>
      </c>
      <c r="AP100" s="21">
        <f t="shared" ref="AP100:AP131" si="83">IF(OR(AN100=0,$S$8=0),0,IF((AE100+$L$8+$N$8)&gt;$S$8/HU_alpha+$K$8,0.5*$S$8/HU_alpha,IF((AE100+$L$8+$N$8)&gt;=$K$8,((AE100+$L$8+$N$8)-$K$8)-0.5*HU_alpha/$S$8*((AE100+$L$8+$N$8)-$K$8)^2,IF((AE100+$L$8+$N$8)&gt;=$T$8,HU_beta*((AE100+$L$8+$N$8)-$K$8),HU_beta*($T$8-$K$8)))))</f>
        <v>0</v>
      </c>
      <c r="AQ100" s="21">
        <f t="shared" ref="AQ100:AQ131" si="84">IF(OR(AN100=0,$S$8=0),0,IF((AE100+$K$8)&gt;$S$8/HU_alpha+$K$8,0.5*$S$8/HU_alpha,IF((AE100+$K$8)&gt;=$K$8,((AE100+$K$8)-$K$8)-0.5*HU_alpha/$S$8*((AE100+$K$8)-$K$8)^2,IF((AE100+$K$8)&gt;=$T$8,HU_beta*((AE100+$K$8)-$K$8),HU_beta*($T$8-$K$8)))))</f>
        <v>0</v>
      </c>
      <c r="AR100" s="54">
        <f t="shared" ref="AR100:AR131" si="85">IF(AND($J$9,A100&gt;=1,A100&lt;=$Q$9-1),J100,0)</f>
        <v>0</v>
      </c>
      <c r="AS100" s="21">
        <f t="shared" ref="AS100:AS131" si="86">IF(OR(AR100=0,$S$9=0),0,IF((AE100+$L$9)&gt;$S$9/HU_alpha+$K$9,0.5*$S$9/HU_alpha,IF((AE100+$L$9)&gt;=$K$9,((AE100+$L$9)-$K$9)-0.5*HU_alpha/$S$9*((AE100+$L$9)-$K$9)^2,IF((AE100+$L$9)&gt;=$T$9,HU_beta*((AE100+$L$9)-$K$9),HU_beta*($T$9-$K$9)))))</f>
        <v>0</v>
      </c>
      <c r="AT100" s="21">
        <f t="shared" ref="AT100:AT131" si="87">IF(OR(AR100=0,$S$9=0),0,IF((AE100+$L$9+$N$9)&gt;$S$9/HU_alpha+$K$9,0.5*$S$9/HU_alpha,IF((AE100+$L$9+$N$9)&gt;=$K$9,((AE100+$L$9+$N$9)-$K$9)-0.5*HU_alpha/$S$9*((AE100+$L$9+$N$9)-$K$9)^2,IF((AE100+$L$9+$N$9)&gt;=$T$9,HU_beta*((AE100+$L$9+$N$9)-$K$9),HU_beta*($T$9-$K$9)))))</f>
        <v>0</v>
      </c>
      <c r="AU100" s="21">
        <f t="shared" ref="AU100:AU131" si="88">IF(OR(AR100=0,$S$9=0),0,IF((AE100+$K$9)&gt;$S$9/HU_alpha+$K$9,0.5*$S$9/HU_alpha,IF((AE100+$K$9)&gt;=$K$9,((AE100+$K$9)-$K$9)-0.5*HU_alpha/$S$9*((AE100+$K$9)-$K$9)^2,IF((AE100+$K$9)&gt;=$T$9,HU_beta*((AE100+$K$9)-$K$9),HU_beta*($T$9-$K$9)))))</f>
        <v>0</v>
      </c>
      <c r="AV100" s="54">
        <f t="shared" ref="AV100:AV131" si="89">IF(AND($J$10,A100=$Q$10),J100,0)</f>
        <v>0</v>
      </c>
      <c r="AW100" s="21">
        <f t="shared" ref="AW100:AW131" si="90">IF(OR(AV100=0,$S$10=0),0,IF((AD100+$L$10)&gt;$S$10/HU_alpha+$K$10,0.5*$S$10/HU_alpha,IF((AD100+$L$10)&gt;=$K$10,((AD100+$L$10)-$K$10)-0.5*HU_alpha/$S$10*((AD100+$L$10)-$K$10)^2,IF((AD100+$L$10)&gt;=$T$10,HU_beta*((AD100+$L$10)-$K$10),HU_beta*($T$10-$K$10)))))</f>
        <v>0</v>
      </c>
      <c r="AX100" s="21">
        <f t="shared" ref="AX100:AX131" si="91">IF(OR(AV100=0,$S$10=0),0,IF((AD100+$L$10+$N$10)&gt;$S$10/HU_alpha+$K$10,0.5*$S$10/HU_alpha,IF((AD100+$L$10+$N$10)&gt;=$K$10,((AD100+$L$10+$N$10)-$K$10)-0.5*HU_alpha/$S$10*((AD100+$L$10+$N$10)-$K$10)^2,IF((AD100+$L$10+$N$10)&gt;=$T$10,HU_beta*((AD100+$L$10+$N$10)-$K$10),HU_beta*($T$10-$K$10)))))</f>
        <v>0</v>
      </c>
      <c r="AY100" s="21">
        <f t="shared" ref="AY100:AY131" si="92">IF(OR(AV100=0,$S$10=0),0,IF((AD100+$K$10)&gt;$S$10/HU_alpha+$K$10,0.5*$S$10/HU_alpha,IF((AD100+$K$10)&gt;=$K$10,((AD100+$K$10)-$K$10)-0.5*HU_alpha/$S$10*((AD100+$K$10)-$K$10)^2,IF((AD100+$K$10)&gt;=$T$10,HU_beta*((AD100+$K$10)-$K$10),HU_beta*($T$10-$K$10)))))</f>
        <v>0</v>
      </c>
      <c r="AZ100" s="54">
        <f t="shared" ref="AZ100:AZ131" si="93">IF(AND($J$11,A100=$Q$11),J100,0)</f>
        <v>0</v>
      </c>
      <c r="BA100" s="21">
        <f t="shared" ref="BA100:BA131" si="94">IF(OR(AZ100=0,$S$11=0),0,IF((AE100+$L$11)&gt;$S$11/HU_alpha+$K$11,0.5*$S$11/HU_alpha,IF((AE100+$L$11)&gt;=$K$11,((AE100+$L$11)-$K$11)-0.5*HU_alpha/$S$11*((AE100+$L$11)-$K$11)^2,IF((AE100+$L$11)&gt;=$T$11,HU_beta*((AE100+$L$11)-$K$11),HU_beta*($T$11-$K$11)))))</f>
        <v>0</v>
      </c>
      <c r="BB100" s="21">
        <f t="shared" ref="BB100:BB131" si="95">IF(OR(AZ100=0,$S$11=0),0,IF((AE100+$L$11+$N$11)&gt;$S$11/HU_alpha+$K$11,0.5*$S$11/HU_alpha,IF((AE100+$L$11+$N$11)&gt;=$K$11,((AE100+$L$11+$N$11)-$K$11)-0.5*HU_alpha/$S$11*((AE100+$L$11+$N$11)-$K$11)^2,IF((AE100+$L$11+$N$11)&gt;=$T$11,HU_beta*((AE100+$L$11+$N$11)-$K$11),HU_beta*($T$11-$K$11)))))</f>
        <v>0</v>
      </c>
      <c r="BC100" s="21">
        <f t="shared" ref="BC100:BC131" si="96">IF(OR(AZ100=0,$S$11=0),0,IF((AE100+$K$11)&gt;$S$11/HU_alpha+$K$11,0.5*$S$11/HU_alpha,IF((AE100+$K$11)&gt;=$K$11,((AE100+$K$11)-$K$11)-0.5*HU_alpha/$S$11*((AE100+$K$11)-$K$11)^2,IF((AE100+$K$11)&gt;=$T$11,HU_beta*((AE100+$K$11)-$K$11),HU_beta*($T$11-$K$11)))))</f>
        <v>0</v>
      </c>
      <c r="BD100" s="54">
        <f t="shared" ref="BD100:BD131" si="97">IF(AND($J$12,A100=$Q$12),J100,0)</f>
        <v>0</v>
      </c>
      <c r="BE100" s="21">
        <f t="shared" ref="BE100:BE131" si="98">IF(OR(BD100=0,$S$12=0),0,IF((AE100+$L$12)&gt;$S$12/HU_alpha+$K$12,0.5*$S$12/HU_alpha,IF((AE100+$L$12)&gt;=$K$12,((AE100+$L$12)-$K$12)-0.5*HU_alpha/$S$12*((AE100+$L$12)-$K$12)^2,IF((AE100+$L$12)&gt;=$T$12,HU_beta*((AE100+$L$12)-$K$12),HU_beta*($T$12-$K$12)))))</f>
        <v>0</v>
      </c>
      <c r="BF100" s="21">
        <f t="shared" ref="BF100:BF131" si="99">IF(OR(BD100=0,$S$12=0),0,IF((AE100+$L$12+$N$12)&gt;$S$12/HU_alpha+$K$12,0.5*$S$12/HU_alpha,IF((AE100+$L$12+$N$12)&gt;=$K$12,((AE100+$L$12+$N$12)-$K$12)-0.5*HU_alpha/$S$12*((AE100+$L$12+$N$12)-$K$12)^2,IF((AE100+$L$12+$N$12)&gt;=$T$12,HU_beta*((AE100+$L$12+$N$12)-$K$12),HU_beta*($T$12-$K$12)))))</f>
        <v>0</v>
      </c>
      <c r="BG100" s="21">
        <f t="shared" ref="BG100:BG131" si="100">IF(OR(BD100=0,$S$12=0),0,IF((AE100+$K$12)&gt;$S$12/HU_alpha+$K$12,0.5*$S$12/HU_alpha,IF((AE100+$K$12)&gt;=$K$12,((AE100+$K$12)-$K$12)-0.5*HU_alpha/$S$12*((AE100+$K$12)-$K$12)^2,IF((AE100+$K$12)&gt;=$T$12,HU_beta*((AE100+$K$12)-$K$12),HU_beta*($T$12-$K$12)))))</f>
        <v>0</v>
      </c>
      <c r="BH100" s="54">
        <f t="shared" ref="BH100:BH131" si="101">IF(AND($J$13,A100=$Q$13),J100,0)</f>
        <v>0</v>
      </c>
      <c r="BI100" s="21">
        <f t="shared" ref="BI100:BI131" si="102">IF(OR(BH100=0,$S$13=0),0,IF((AE100+$L$13)&gt;$S$13/HU_alpha+$K$13,0.5*$S$13/HU_alpha,IF((AE100+$L$13)&gt;=$K$13,((AE100+$L$13)-$K$13)-0.5*HU_alpha/$S$13*((AE100+$L$13)-$K$13)^2,IF((AE100+$L$13)&gt;=$T$13,HU_beta*((AE100+$L$13)-$K$13),HU_beta*($T$13-$K$13)))))</f>
        <v>0</v>
      </c>
      <c r="BJ100" s="21">
        <f t="shared" ref="BJ100:BJ131" si="103">IF(OR(BH100=0,$S$13=0),0,IF((AE100+$L$13+$N$13)&gt;$S$13/HU_alpha+$K$13,0.5*$S$13/HU_alpha,IF((AE100+$L$13+$N$13)&gt;=$K$13,((AE100+$L$13+$N$13)-$K$13)-0.5*HU_alpha/$S$13*((AE100+$L$13+$N$13)-$K$13)^2,IF((AE100+$L$13+$N$13)&gt;=$T$13,HU_beta*((AE100+$L$13+$N$13)-$K$13),HU_beta*($T$13-$K$13)))))</f>
        <v>0</v>
      </c>
      <c r="BK100" s="21">
        <f t="shared" ref="BK100:BK131" si="104">IF(OR(BH100=0,$S$13=0),0,IF((AE100+$K$13)&gt;$S$13/HU_alpha+$K$13,0.5*$S$13/HU_alpha,IF((AE100+$K$13)&gt;=$K$13,((AE100+$K$13)-$K$13)-0.5*HU_alpha/$S$13*((AE100+$K$13)-$K$13)^2,IF((AE100+$K$13)&gt;=$T$13,HU_beta*((AE100+$K$13)-$K$13),HU_beta*($T$13-$K$13)))))</f>
        <v>0</v>
      </c>
    </row>
    <row r="101" spans="1:63" x14ac:dyDescent="0.25">
      <c r="A101" s="51">
        <v>33</v>
      </c>
      <c r="B101" s="51">
        <f t="shared" si="62"/>
        <v>67</v>
      </c>
      <c r="C101" s="52" t="b">
        <f t="shared" si="63"/>
        <v>1</v>
      </c>
      <c r="D101" s="54">
        <f t="shared" si="64"/>
        <v>3.2036E-3</v>
      </c>
      <c r="E101" s="54">
        <f t="shared" si="65"/>
        <v>3.8000000000000002E-4</v>
      </c>
      <c r="F101" s="54">
        <f t="shared" si="66"/>
        <v>1.517842E-2</v>
      </c>
      <c r="G101" s="54">
        <f t="shared" si="67"/>
        <v>5.4412100000000001E-3</v>
      </c>
      <c r="H101" s="54">
        <f t="shared" si="68"/>
        <v>2.1000000000000001E-4</v>
      </c>
      <c r="I101" s="54">
        <f t="shared" ref="I101:I132" si="105">IF(A101&gt;HU_T,0,I100*(1-D101)*(1-E101))</f>
        <v>0.96266126671086283</v>
      </c>
      <c r="J101" s="54">
        <f t="shared" si="69"/>
        <v>0.9588269537170595</v>
      </c>
      <c r="K101" s="54">
        <f t="shared" ref="K101:K132" si="106">K100*(1-G101)</f>
        <v>0.9493117271517556</v>
      </c>
      <c r="L101" s="54">
        <f t="shared" ref="L101:L132" si="107">1-K101</f>
        <v>5.0688272848244398E-2</v>
      </c>
      <c r="M101" s="54">
        <f t="shared" ref="M101:M132" si="108">K100*G101</f>
        <v>5.193664280917375E-3</v>
      </c>
      <c r="N101" s="54">
        <f t="shared" ref="N101:N132" si="109">N100*(1-H101)</f>
        <v>0.99309323435146746</v>
      </c>
      <c r="O101" s="54">
        <f t="shared" ref="O101:O132" si="110">1-N100</f>
        <v>6.6981722647080355E-3</v>
      </c>
      <c r="P101" s="54">
        <f t="shared" ref="P101:P132" si="111">P100*(1-F101)</f>
        <v>0.86380111236412227</v>
      </c>
      <c r="Q101" s="54">
        <f t="shared" ref="Q101:Q132" si="112">1-P100/INDEX($P$68:$P$150,MAX(1,A101-HU_ciYears))</f>
        <v>5.4143871753286721E-2</v>
      </c>
      <c r="R101" s="50">
        <f t="shared" si="70"/>
        <v>2.1178534877876203</v>
      </c>
      <c r="S101" s="21">
        <f t="shared" ref="S101:S132" si="113">IF(OR(OR(A101&lt;1,A101&gt;HU_T),A101-1&gt;=HU_dtr),0,HU_inc0*(1+incomeGrowthRate)^A101)</f>
        <v>0</v>
      </c>
      <c r="T101" s="50">
        <f t="shared" ref="T101:T132" si="114">IF(A101&gt;HU_T,T100,T100*(1+INDEX(HU_ssG,HU_age+A101-17)))</f>
        <v>2.9500110305945157</v>
      </c>
      <c r="U101" s="21">
        <f t="shared" ref="U101:U132" si="115">IF(AND(HU_dtr&gt;=1,A101=HU_dtr,A101&lt;=HU_T),MIN(S101*INDEX(HU_ssC,HU_age+A101-17)/(1-INDEX(HU_ssC,HU_age+A101-17)),INDEX(HU_ssCap,HU_age+A101-17))*T101,0)</f>
        <v>0</v>
      </c>
      <c r="V101" s="21">
        <f t="shared" ref="V101:V132" si="116">S101+U101+IF(AND(HU_wdOn,A101=HU_wdYear),HU_wdIncome,0)</f>
        <v>0</v>
      </c>
      <c r="W101" s="50">
        <f t="shared" ref="W101:W132" si="117">HU_ciProp*Q101+HU_ptdCut*L101+HU_disCut*O101</f>
        <v>6.3445387789874005E-2</v>
      </c>
      <c r="X101" s="21">
        <f t="shared" ref="X101:X132" si="118">IF(OR(A101&lt;1,A101&gt;HU_T),0,V101*(1-W101))</f>
        <v>0</v>
      </c>
      <c r="Y101" s="21">
        <f t="shared" ref="Y101:Y132" si="119">IF(OR(A101&lt;1,A101&gt;HU_T),0,IF(AND(HU_retExp&gt;0,A101-1&gt;=HU_dtr),HU_retExp,HU_exp0)*R101)</f>
        <v>78934.093772634835</v>
      </c>
      <c r="Z101" s="21">
        <f t="shared" ref="Z101:Z132" si="120">-Y101-IF(AND(HU_wdOn,A101=HU_wdYear),HU_wdOut,0)</f>
        <v>-78934.093772634835</v>
      </c>
      <c r="AA101" s="21">
        <f t="shared" ref="AA101:AA132" si="121">IF(OR(A101&lt;1,A101&gt;HU_T),0,-HU_medCost*R101*F101-HU_ptdCost*R101*M101)</f>
        <v>-11312.876432433122</v>
      </c>
      <c r="AB101" s="21">
        <f t="shared" ref="AB101:AB132" si="122">IF(A101&gt;HU_T,0,AB100*(1+interestRate)+X101+Z101+AA101)</f>
        <v>2056524.0333652056</v>
      </c>
      <c r="AC101" s="21">
        <f t="shared" si="71"/>
        <v>416453.39426818606</v>
      </c>
      <c r="AD101" s="21">
        <f t="shared" si="72"/>
        <v>2472977.4276333917</v>
      </c>
      <c r="AE101" s="21">
        <f t="shared" ref="AE101:AE132" si="123">IF(A101&gt;HU_T,0,MAX(0,X101-Y101))</f>
        <v>0</v>
      </c>
      <c r="AF101" s="54">
        <f t="shared" si="73"/>
        <v>0</v>
      </c>
      <c r="AG101" s="21">
        <f t="shared" si="74"/>
        <v>0</v>
      </c>
      <c r="AH101" s="21">
        <f t="shared" si="75"/>
        <v>0</v>
      </c>
      <c r="AI101" s="21">
        <f t="shared" si="76"/>
        <v>0</v>
      </c>
      <c r="AJ101" s="54">
        <f t="shared" si="77"/>
        <v>0</v>
      </c>
      <c r="AK101" s="21">
        <f t="shared" si="78"/>
        <v>0</v>
      </c>
      <c r="AL101" s="21">
        <f t="shared" si="79"/>
        <v>0</v>
      </c>
      <c r="AM101" s="21">
        <f t="shared" si="80"/>
        <v>0</v>
      </c>
      <c r="AN101" s="54">
        <f t="shared" si="81"/>
        <v>0</v>
      </c>
      <c r="AO101" s="21">
        <f t="shared" si="82"/>
        <v>0</v>
      </c>
      <c r="AP101" s="21">
        <f t="shared" si="83"/>
        <v>0</v>
      </c>
      <c r="AQ101" s="21">
        <f t="shared" si="84"/>
        <v>0</v>
      </c>
      <c r="AR101" s="54">
        <f t="shared" si="85"/>
        <v>0</v>
      </c>
      <c r="AS101" s="21">
        <f t="shared" si="86"/>
        <v>0</v>
      </c>
      <c r="AT101" s="21">
        <f t="shared" si="87"/>
        <v>0</v>
      </c>
      <c r="AU101" s="21">
        <f t="shared" si="88"/>
        <v>0</v>
      </c>
      <c r="AV101" s="54">
        <f t="shared" si="89"/>
        <v>0</v>
      </c>
      <c r="AW101" s="21">
        <f t="shared" si="90"/>
        <v>0</v>
      </c>
      <c r="AX101" s="21">
        <f t="shared" si="91"/>
        <v>0</v>
      </c>
      <c r="AY101" s="21">
        <f t="shared" si="92"/>
        <v>0</v>
      </c>
      <c r="AZ101" s="54">
        <f t="shared" si="93"/>
        <v>0</v>
      </c>
      <c r="BA101" s="21">
        <f t="shared" si="94"/>
        <v>0</v>
      </c>
      <c r="BB101" s="21">
        <f t="shared" si="95"/>
        <v>0</v>
      </c>
      <c r="BC101" s="21">
        <f t="shared" si="96"/>
        <v>0</v>
      </c>
      <c r="BD101" s="54">
        <f t="shared" si="97"/>
        <v>0</v>
      </c>
      <c r="BE101" s="21">
        <f t="shared" si="98"/>
        <v>0</v>
      </c>
      <c r="BF101" s="21">
        <f t="shared" si="99"/>
        <v>0</v>
      </c>
      <c r="BG101" s="21">
        <f t="shared" si="100"/>
        <v>0</v>
      </c>
      <c r="BH101" s="54">
        <f t="shared" si="101"/>
        <v>0</v>
      </c>
      <c r="BI101" s="21">
        <f t="shared" si="102"/>
        <v>0</v>
      </c>
      <c r="BJ101" s="21">
        <f t="shared" si="103"/>
        <v>0</v>
      </c>
      <c r="BK101" s="21">
        <f t="shared" si="104"/>
        <v>0</v>
      </c>
    </row>
    <row r="102" spans="1:63" x14ac:dyDescent="0.25">
      <c r="A102" s="51">
        <v>34</v>
      </c>
      <c r="B102" s="51">
        <f t="shared" si="62"/>
        <v>68</v>
      </c>
      <c r="C102" s="52" t="b">
        <f t="shared" si="63"/>
        <v>1</v>
      </c>
      <c r="D102" s="54">
        <f t="shared" si="64"/>
        <v>3.5745E-3</v>
      </c>
      <c r="E102" s="54">
        <f t="shared" si="65"/>
        <v>4.0999999999999999E-4</v>
      </c>
      <c r="F102" s="54">
        <f t="shared" si="66"/>
        <v>1.6935802999999999E-2</v>
      </c>
      <c r="G102" s="54">
        <f t="shared" si="67"/>
        <v>6.0137610000000003E-3</v>
      </c>
      <c r="H102" s="54">
        <f t="shared" si="68"/>
        <v>2.1000000000000001E-4</v>
      </c>
      <c r="I102" s="54">
        <f t="shared" si="105"/>
        <v>0.9588269537170595</v>
      </c>
      <c r="J102" s="54">
        <f t="shared" si="69"/>
        <v>0.95458237539579072</v>
      </c>
      <c r="K102" s="54">
        <f t="shared" si="106"/>
        <v>0.94360279331016783</v>
      </c>
      <c r="L102" s="54">
        <f t="shared" si="107"/>
        <v>5.6397206689832169E-2</v>
      </c>
      <c r="M102" s="54">
        <f t="shared" si="108"/>
        <v>5.7089338415878691E-3</v>
      </c>
      <c r="N102" s="54">
        <f t="shared" si="109"/>
        <v>0.99288468477225356</v>
      </c>
      <c r="O102" s="54">
        <f t="shared" si="110"/>
        <v>6.9067656485325424E-3</v>
      </c>
      <c r="P102" s="54">
        <f t="shared" si="111"/>
        <v>0.84917194689394271</v>
      </c>
      <c r="Q102" s="54">
        <f t="shared" si="112"/>
        <v>6.0230776695383459E-2</v>
      </c>
      <c r="R102" s="50">
        <f t="shared" si="70"/>
        <v>2.1665641180067352</v>
      </c>
      <c r="S102" s="21">
        <f t="shared" si="113"/>
        <v>0</v>
      </c>
      <c r="T102" s="50">
        <f t="shared" si="114"/>
        <v>3.0585714365203938</v>
      </c>
      <c r="U102" s="21">
        <f t="shared" si="115"/>
        <v>0</v>
      </c>
      <c r="V102" s="21">
        <f t="shared" si="116"/>
        <v>0</v>
      </c>
      <c r="W102" s="50">
        <f t="shared" si="117"/>
        <v>7.0038811756850811E-2</v>
      </c>
      <c r="X102" s="21">
        <f t="shared" si="118"/>
        <v>0</v>
      </c>
      <c r="Y102" s="21">
        <f t="shared" si="119"/>
        <v>80749.577929405423</v>
      </c>
      <c r="Z102" s="21">
        <f t="shared" si="120"/>
        <v>-80749.577929405423</v>
      </c>
      <c r="AA102" s="21">
        <f t="shared" si="121"/>
        <v>-12830.235036572994</v>
      </c>
      <c r="AB102" s="21">
        <f t="shared" si="122"/>
        <v>1987622.5087996097</v>
      </c>
      <c r="AC102" s="21">
        <f t="shared" si="71"/>
        <v>434316.94553930603</v>
      </c>
      <c r="AD102" s="21">
        <f t="shared" si="72"/>
        <v>2421939.4543389156</v>
      </c>
      <c r="AE102" s="21">
        <f t="shared" si="123"/>
        <v>0</v>
      </c>
      <c r="AF102" s="54">
        <f t="shared" si="73"/>
        <v>0</v>
      </c>
      <c r="AG102" s="21">
        <f t="shared" si="74"/>
        <v>0</v>
      </c>
      <c r="AH102" s="21">
        <f t="shared" si="75"/>
        <v>0</v>
      </c>
      <c r="AI102" s="21">
        <f t="shared" si="76"/>
        <v>0</v>
      </c>
      <c r="AJ102" s="54">
        <f t="shared" si="77"/>
        <v>0</v>
      </c>
      <c r="AK102" s="21">
        <f t="shared" si="78"/>
        <v>0</v>
      </c>
      <c r="AL102" s="21">
        <f t="shared" si="79"/>
        <v>0</v>
      </c>
      <c r="AM102" s="21">
        <f t="shared" si="80"/>
        <v>0</v>
      </c>
      <c r="AN102" s="54">
        <f t="shared" si="81"/>
        <v>0</v>
      </c>
      <c r="AO102" s="21">
        <f t="shared" si="82"/>
        <v>0</v>
      </c>
      <c r="AP102" s="21">
        <f t="shared" si="83"/>
        <v>0</v>
      </c>
      <c r="AQ102" s="21">
        <f t="shared" si="84"/>
        <v>0</v>
      </c>
      <c r="AR102" s="54">
        <f t="shared" si="85"/>
        <v>0</v>
      </c>
      <c r="AS102" s="21">
        <f t="shared" si="86"/>
        <v>0</v>
      </c>
      <c r="AT102" s="21">
        <f t="shared" si="87"/>
        <v>0</v>
      </c>
      <c r="AU102" s="21">
        <f t="shared" si="88"/>
        <v>0</v>
      </c>
      <c r="AV102" s="54">
        <f t="shared" si="89"/>
        <v>0</v>
      </c>
      <c r="AW102" s="21">
        <f t="shared" si="90"/>
        <v>0</v>
      </c>
      <c r="AX102" s="21">
        <f t="shared" si="91"/>
        <v>0</v>
      </c>
      <c r="AY102" s="21">
        <f t="shared" si="92"/>
        <v>0</v>
      </c>
      <c r="AZ102" s="54">
        <f t="shared" si="93"/>
        <v>0</v>
      </c>
      <c r="BA102" s="21">
        <f t="shared" si="94"/>
        <v>0</v>
      </c>
      <c r="BB102" s="21">
        <f t="shared" si="95"/>
        <v>0</v>
      </c>
      <c r="BC102" s="21">
        <f t="shared" si="96"/>
        <v>0</v>
      </c>
      <c r="BD102" s="54">
        <f t="shared" si="97"/>
        <v>0</v>
      </c>
      <c r="BE102" s="21">
        <f t="shared" si="98"/>
        <v>0</v>
      </c>
      <c r="BF102" s="21">
        <f t="shared" si="99"/>
        <v>0</v>
      </c>
      <c r="BG102" s="21">
        <f t="shared" si="100"/>
        <v>0</v>
      </c>
      <c r="BH102" s="54">
        <f t="shared" si="101"/>
        <v>0</v>
      </c>
      <c r="BI102" s="21">
        <f t="shared" si="102"/>
        <v>0</v>
      </c>
      <c r="BJ102" s="21">
        <f t="shared" si="103"/>
        <v>0</v>
      </c>
      <c r="BK102" s="21">
        <f t="shared" si="104"/>
        <v>0</v>
      </c>
    </row>
    <row r="103" spans="1:63" x14ac:dyDescent="0.25">
      <c r="A103" s="51">
        <v>35</v>
      </c>
      <c r="B103" s="51">
        <f t="shared" si="62"/>
        <v>69</v>
      </c>
      <c r="C103" s="52" t="b">
        <f t="shared" si="63"/>
        <v>1</v>
      </c>
      <c r="D103" s="54">
        <f t="shared" si="64"/>
        <v>3.9886000000000001E-3</v>
      </c>
      <c r="E103" s="54">
        <f t="shared" si="65"/>
        <v>4.4000000000000002E-4</v>
      </c>
      <c r="F103" s="54">
        <f t="shared" si="66"/>
        <v>1.8897868000000002E-2</v>
      </c>
      <c r="G103" s="54">
        <f t="shared" si="67"/>
        <v>6.6405079999999998E-3</v>
      </c>
      <c r="H103" s="54">
        <f t="shared" si="68"/>
        <v>2.1000000000000001E-4</v>
      </c>
      <c r="I103" s="54">
        <f t="shared" si="105"/>
        <v>0.95458237539579072</v>
      </c>
      <c r="J103" s="54">
        <f t="shared" si="69"/>
        <v>0.94987736914886745</v>
      </c>
      <c r="K103" s="54">
        <f t="shared" si="106"/>
        <v>0.93733679141236925</v>
      </c>
      <c r="L103" s="54">
        <f t="shared" si="107"/>
        <v>6.2663208587630748E-2</v>
      </c>
      <c r="M103" s="54">
        <f t="shared" si="108"/>
        <v>6.2660018977985154E-3</v>
      </c>
      <c r="N103" s="54">
        <f t="shared" si="109"/>
        <v>0.99267617898845129</v>
      </c>
      <c r="O103" s="54">
        <f t="shared" si="110"/>
        <v>7.1153152277464438E-3</v>
      </c>
      <c r="P103" s="54">
        <f t="shared" si="111"/>
        <v>0.83312440753223793</v>
      </c>
      <c r="Q103" s="54">
        <f t="shared" si="112"/>
        <v>6.6994932058685563E-2</v>
      </c>
      <c r="R103" s="50">
        <f t="shared" si="70"/>
        <v>2.21639509272089</v>
      </c>
      <c r="S103" s="21">
        <f t="shared" si="113"/>
        <v>0</v>
      </c>
      <c r="T103" s="50">
        <f t="shared" si="114"/>
        <v>3.1711268653843443</v>
      </c>
      <c r="U103" s="21">
        <f t="shared" si="115"/>
        <v>0</v>
      </c>
      <c r="V103" s="21">
        <f t="shared" si="116"/>
        <v>0</v>
      </c>
      <c r="W103" s="50">
        <f t="shared" si="117"/>
        <v>7.7303526607113371E-2</v>
      </c>
      <c r="X103" s="21">
        <f t="shared" si="118"/>
        <v>0</v>
      </c>
      <c r="Y103" s="21">
        <f t="shared" si="119"/>
        <v>82606.818221781738</v>
      </c>
      <c r="Z103" s="21">
        <f t="shared" si="120"/>
        <v>-82606.818221781738</v>
      </c>
      <c r="AA103" s="21">
        <f t="shared" si="121"/>
        <v>-14543.271900241052</v>
      </c>
      <c r="AB103" s="21">
        <f t="shared" si="122"/>
        <v>1914323.8887831825</v>
      </c>
      <c r="AC103" s="21">
        <f t="shared" si="71"/>
        <v>452946.74453083822</v>
      </c>
      <c r="AD103" s="21">
        <f t="shared" si="72"/>
        <v>2367270.6333140209</v>
      </c>
      <c r="AE103" s="21">
        <f t="shared" si="123"/>
        <v>0</v>
      </c>
      <c r="AF103" s="54">
        <f t="shared" si="73"/>
        <v>0</v>
      </c>
      <c r="AG103" s="21">
        <f t="shared" si="74"/>
        <v>0</v>
      </c>
      <c r="AH103" s="21">
        <f t="shared" si="75"/>
        <v>0</v>
      </c>
      <c r="AI103" s="21">
        <f t="shared" si="76"/>
        <v>0</v>
      </c>
      <c r="AJ103" s="54">
        <f t="shared" si="77"/>
        <v>0</v>
      </c>
      <c r="AK103" s="21">
        <f t="shared" si="78"/>
        <v>0</v>
      </c>
      <c r="AL103" s="21">
        <f t="shared" si="79"/>
        <v>0</v>
      </c>
      <c r="AM103" s="21">
        <f t="shared" si="80"/>
        <v>0</v>
      </c>
      <c r="AN103" s="54">
        <f t="shared" si="81"/>
        <v>0</v>
      </c>
      <c r="AO103" s="21">
        <f t="shared" si="82"/>
        <v>0</v>
      </c>
      <c r="AP103" s="21">
        <f t="shared" si="83"/>
        <v>0</v>
      </c>
      <c r="AQ103" s="21">
        <f t="shared" si="84"/>
        <v>0</v>
      </c>
      <c r="AR103" s="54">
        <f t="shared" si="85"/>
        <v>0</v>
      </c>
      <c r="AS103" s="21">
        <f t="shared" si="86"/>
        <v>0</v>
      </c>
      <c r="AT103" s="21">
        <f t="shared" si="87"/>
        <v>0</v>
      </c>
      <c r="AU103" s="21">
        <f t="shared" si="88"/>
        <v>0</v>
      </c>
      <c r="AV103" s="54">
        <f t="shared" si="89"/>
        <v>0</v>
      </c>
      <c r="AW103" s="21">
        <f t="shared" si="90"/>
        <v>0</v>
      </c>
      <c r="AX103" s="21">
        <f t="shared" si="91"/>
        <v>0</v>
      </c>
      <c r="AY103" s="21">
        <f t="shared" si="92"/>
        <v>0</v>
      </c>
      <c r="AZ103" s="54">
        <f t="shared" si="93"/>
        <v>0</v>
      </c>
      <c r="BA103" s="21">
        <f t="shared" si="94"/>
        <v>0</v>
      </c>
      <c r="BB103" s="21">
        <f t="shared" si="95"/>
        <v>0</v>
      </c>
      <c r="BC103" s="21">
        <f t="shared" si="96"/>
        <v>0</v>
      </c>
      <c r="BD103" s="54">
        <f t="shared" si="97"/>
        <v>0</v>
      </c>
      <c r="BE103" s="21">
        <f t="shared" si="98"/>
        <v>0</v>
      </c>
      <c r="BF103" s="21">
        <f t="shared" si="99"/>
        <v>0</v>
      </c>
      <c r="BG103" s="21">
        <f t="shared" si="100"/>
        <v>0</v>
      </c>
      <c r="BH103" s="54">
        <f t="shared" si="101"/>
        <v>0</v>
      </c>
      <c r="BI103" s="21">
        <f t="shared" si="102"/>
        <v>0</v>
      </c>
      <c r="BJ103" s="21">
        <f t="shared" si="103"/>
        <v>0</v>
      </c>
      <c r="BK103" s="21">
        <f t="shared" si="104"/>
        <v>0</v>
      </c>
    </row>
    <row r="104" spans="1:63" x14ac:dyDescent="0.25">
      <c r="A104" s="51">
        <v>36</v>
      </c>
      <c r="B104" s="51">
        <f t="shared" si="62"/>
        <v>70</v>
      </c>
      <c r="C104" s="52" t="b">
        <f t="shared" si="63"/>
        <v>1</v>
      </c>
      <c r="D104" s="54">
        <f t="shared" si="64"/>
        <v>4.4510000000000001E-3</v>
      </c>
      <c r="E104" s="54">
        <f t="shared" si="65"/>
        <v>4.8000000000000001E-4</v>
      </c>
      <c r="F104" s="54">
        <f t="shared" si="66"/>
        <v>2.1088600999999998E-2</v>
      </c>
      <c r="G104" s="54">
        <f t="shared" si="67"/>
        <v>7.3260460000000001E-3</v>
      </c>
      <c r="H104" s="54">
        <f t="shared" si="68"/>
        <v>2.1000000000000001E-4</v>
      </c>
      <c r="I104" s="54">
        <f t="shared" si="105"/>
        <v>0.94987736914886745</v>
      </c>
      <c r="J104" s="54">
        <f t="shared" si="69"/>
        <v>0.94465772925057523</v>
      </c>
      <c r="K104" s="54">
        <f t="shared" si="106"/>
        <v>0.9304698189609899</v>
      </c>
      <c r="L104" s="54">
        <f t="shared" si="107"/>
        <v>6.9530181039010097E-2</v>
      </c>
      <c r="M104" s="54">
        <f t="shared" si="108"/>
        <v>6.8669724513794224E-3</v>
      </c>
      <c r="N104" s="54">
        <f t="shared" si="109"/>
        <v>0.99246771699086367</v>
      </c>
      <c r="O104" s="54">
        <f t="shared" si="110"/>
        <v>7.3238210115487146E-3</v>
      </c>
      <c r="P104" s="54">
        <f t="shared" si="111"/>
        <v>0.81555497931842913</v>
      </c>
      <c r="Q104" s="54">
        <f t="shared" si="112"/>
        <v>7.4503965689890816E-2</v>
      </c>
      <c r="R104" s="50">
        <f t="shared" si="70"/>
        <v>2.2673721798534703</v>
      </c>
      <c r="S104" s="21">
        <f t="shared" si="113"/>
        <v>0</v>
      </c>
      <c r="T104" s="50">
        <f t="shared" si="114"/>
        <v>3.2783109534343353</v>
      </c>
      <c r="U104" s="21">
        <f t="shared" si="115"/>
        <v>0</v>
      </c>
      <c r="V104" s="21">
        <f t="shared" si="116"/>
        <v>0</v>
      </c>
      <c r="W104" s="50">
        <f t="shared" si="117"/>
        <v>8.5300707291837474E-2</v>
      </c>
      <c r="X104" s="21">
        <f t="shared" si="118"/>
        <v>0</v>
      </c>
      <c r="Y104" s="21">
        <f t="shared" si="119"/>
        <v>84506.775040882712</v>
      </c>
      <c r="Z104" s="21">
        <f t="shared" si="120"/>
        <v>-84506.775040882712</v>
      </c>
      <c r="AA104" s="21">
        <f t="shared" si="121"/>
        <v>-16476.213583344597</v>
      </c>
      <c r="AB104" s="21">
        <f t="shared" si="122"/>
        <v>1836312.7868243535</v>
      </c>
      <c r="AC104" s="21">
        <f t="shared" si="71"/>
        <v>472375.65903934353</v>
      </c>
      <c r="AD104" s="21">
        <f t="shared" si="72"/>
        <v>2308688.4458636972</v>
      </c>
      <c r="AE104" s="21">
        <f t="shared" si="123"/>
        <v>0</v>
      </c>
      <c r="AF104" s="54">
        <f t="shared" si="73"/>
        <v>0</v>
      </c>
      <c r="AG104" s="21">
        <f t="shared" si="74"/>
        <v>0</v>
      </c>
      <c r="AH104" s="21">
        <f t="shared" si="75"/>
        <v>0</v>
      </c>
      <c r="AI104" s="21">
        <f t="shared" si="76"/>
        <v>0</v>
      </c>
      <c r="AJ104" s="54">
        <f t="shared" si="77"/>
        <v>0</v>
      </c>
      <c r="AK104" s="21">
        <f t="shared" si="78"/>
        <v>0</v>
      </c>
      <c r="AL104" s="21">
        <f t="shared" si="79"/>
        <v>0</v>
      </c>
      <c r="AM104" s="21">
        <f t="shared" si="80"/>
        <v>0</v>
      </c>
      <c r="AN104" s="54">
        <f t="shared" si="81"/>
        <v>0</v>
      </c>
      <c r="AO104" s="21">
        <f t="shared" si="82"/>
        <v>0</v>
      </c>
      <c r="AP104" s="21">
        <f t="shared" si="83"/>
        <v>0</v>
      </c>
      <c r="AQ104" s="21">
        <f t="shared" si="84"/>
        <v>0</v>
      </c>
      <c r="AR104" s="54">
        <f t="shared" si="85"/>
        <v>0</v>
      </c>
      <c r="AS104" s="21">
        <f t="shared" si="86"/>
        <v>0</v>
      </c>
      <c r="AT104" s="21">
        <f t="shared" si="87"/>
        <v>0</v>
      </c>
      <c r="AU104" s="21">
        <f t="shared" si="88"/>
        <v>0</v>
      </c>
      <c r="AV104" s="54">
        <f t="shared" si="89"/>
        <v>0</v>
      </c>
      <c r="AW104" s="21">
        <f t="shared" si="90"/>
        <v>0</v>
      </c>
      <c r="AX104" s="21">
        <f t="shared" si="91"/>
        <v>0</v>
      </c>
      <c r="AY104" s="21">
        <f t="shared" si="92"/>
        <v>0</v>
      </c>
      <c r="AZ104" s="54">
        <f t="shared" si="93"/>
        <v>0</v>
      </c>
      <c r="BA104" s="21">
        <f t="shared" si="94"/>
        <v>0</v>
      </c>
      <c r="BB104" s="21">
        <f t="shared" si="95"/>
        <v>0</v>
      </c>
      <c r="BC104" s="21">
        <f t="shared" si="96"/>
        <v>0</v>
      </c>
      <c r="BD104" s="54">
        <f t="shared" si="97"/>
        <v>0</v>
      </c>
      <c r="BE104" s="21">
        <f t="shared" si="98"/>
        <v>0</v>
      </c>
      <c r="BF104" s="21">
        <f t="shared" si="99"/>
        <v>0</v>
      </c>
      <c r="BG104" s="21">
        <f t="shared" si="100"/>
        <v>0</v>
      </c>
      <c r="BH104" s="54">
        <f t="shared" si="101"/>
        <v>0</v>
      </c>
      <c r="BI104" s="21">
        <f t="shared" si="102"/>
        <v>0</v>
      </c>
      <c r="BJ104" s="21">
        <f t="shared" si="103"/>
        <v>0</v>
      </c>
      <c r="BK104" s="21">
        <f t="shared" si="104"/>
        <v>0</v>
      </c>
    </row>
    <row r="105" spans="1:63" x14ac:dyDescent="0.25">
      <c r="A105" s="51">
        <v>37</v>
      </c>
      <c r="B105" s="51">
        <f t="shared" si="62"/>
        <v>71</v>
      </c>
      <c r="C105" s="52" t="b">
        <f t="shared" si="63"/>
        <v>1</v>
      </c>
      <c r="D105" s="54">
        <f t="shared" si="64"/>
        <v>4.9677000000000002E-3</v>
      </c>
      <c r="E105" s="54">
        <f t="shared" si="65"/>
        <v>5.2999999999999998E-4</v>
      </c>
      <c r="F105" s="54">
        <f t="shared" si="66"/>
        <v>2.3536785000000001E-2</v>
      </c>
      <c r="G105" s="54">
        <f t="shared" si="67"/>
        <v>8.0752930000000007E-3</v>
      </c>
      <c r="H105" s="54">
        <f t="shared" si="68"/>
        <v>2.1000000000000001E-4</v>
      </c>
      <c r="I105" s="54">
        <f t="shared" si="105"/>
        <v>0.94465772925057523</v>
      </c>
      <c r="J105" s="54">
        <f t="shared" si="69"/>
        <v>0.93887558847148345</v>
      </c>
      <c r="K105" s="54">
        <f t="shared" si="106"/>
        <v>0.92295600254522292</v>
      </c>
      <c r="L105" s="54">
        <f t="shared" si="107"/>
        <v>7.704399745477708E-2</v>
      </c>
      <c r="M105" s="54">
        <f t="shared" si="108"/>
        <v>7.5138164157669499E-3</v>
      </c>
      <c r="N105" s="54">
        <f t="shared" si="109"/>
        <v>0.99225929877029551</v>
      </c>
      <c r="O105" s="54">
        <f t="shared" si="110"/>
        <v>7.5322830091363313E-3</v>
      </c>
      <c r="P105" s="54">
        <f t="shared" si="111"/>
        <v>0.79635943711453183</v>
      </c>
      <c r="Q105" s="54">
        <f t="shared" si="112"/>
        <v>8.2834026534698513E-2</v>
      </c>
      <c r="R105" s="50">
        <f t="shared" si="70"/>
        <v>2.3195217399900998</v>
      </c>
      <c r="S105" s="21">
        <f t="shared" si="113"/>
        <v>0</v>
      </c>
      <c r="T105" s="50">
        <f t="shared" si="114"/>
        <v>3.3891178636604162</v>
      </c>
      <c r="U105" s="21">
        <f t="shared" si="115"/>
        <v>0</v>
      </c>
      <c r="V105" s="21">
        <f t="shared" si="116"/>
        <v>0</v>
      </c>
      <c r="W105" s="50">
        <f t="shared" si="117"/>
        <v>9.4097456398654411E-2</v>
      </c>
      <c r="X105" s="21">
        <f t="shared" si="118"/>
        <v>0</v>
      </c>
      <c r="Y105" s="21">
        <f t="shared" si="119"/>
        <v>86450.430866823008</v>
      </c>
      <c r="Z105" s="21">
        <f t="shared" si="120"/>
        <v>-86450.430866823008</v>
      </c>
      <c r="AA105" s="21">
        <f t="shared" si="121"/>
        <v>-18657.053373234252</v>
      </c>
      <c r="AB105" s="21">
        <f t="shared" si="122"/>
        <v>1753241.0560261884</v>
      </c>
      <c r="AC105" s="21">
        <f t="shared" si="71"/>
        <v>492637.96670838445</v>
      </c>
      <c r="AD105" s="21">
        <f t="shared" si="72"/>
        <v>2245879.0227345731</v>
      </c>
      <c r="AE105" s="21">
        <f t="shared" si="123"/>
        <v>0</v>
      </c>
      <c r="AF105" s="54">
        <f t="shared" si="73"/>
        <v>0</v>
      </c>
      <c r="AG105" s="21">
        <f t="shared" si="74"/>
        <v>0</v>
      </c>
      <c r="AH105" s="21">
        <f t="shared" si="75"/>
        <v>0</v>
      </c>
      <c r="AI105" s="21">
        <f t="shared" si="76"/>
        <v>0</v>
      </c>
      <c r="AJ105" s="54">
        <f t="shared" si="77"/>
        <v>0</v>
      </c>
      <c r="AK105" s="21">
        <f t="shared" si="78"/>
        <v>0</v>
      </c>
      <c r="AL105" s="21">
        <f t="shared" si="79"/>
        <v>0</v>
      </c>
      <c r="AM105" s="21">
        <f t="shared" si="80"/>
        <v>0</v>
      </c>
      <c r="AN105" s="54">
        <f t="shared" si="81"/>
        <v>0</v>
      </c>
      <c r="AO105" s="21">
        <f t="shared" si="82"/>
        <v>0</v>
      </c>
      <c r="AP105" s="21">
        <f t="shared" si="83"/>
        <v>0</v>
      </c>
      <c r="AQ105" s="21">
        <f t="shared" si="84"/>
        <v>0</v>
      </c>
      <c r="AR105" s="54">
        <f t="shared" si="85"/>
        <v>0</v>
      </c>
      <c r="AS105" s="21">
        <f t="shared" si="86"/>
        <v>0</v>
      </c>
      <c r="AT105" s="21">
        <f t="shared" si="87"/>
        <v>0</v>
      </c>
      <c r="AU105" s="21">
        <f t="shared" si="88"/>
        <v>0</v>
      </c>
      <c r="AV105" s="54">
        <f t="shared" si="89"/>
        <v>0</v>
      </c>
      <c r="AW105" s="21">
        <f t="shared" si="90"/>
        <v>0</v>
      </c>
      <c r="AX105" s="21">
        <f t="shared" si="91"/>
        <v>0</v>
      </c>
      <c r="AY105" s="21">
        <f t="shared" si="92"/>
        <v>0</v>
      </c>
      <c r="AZ105" s="54">
        <f t="shared" si="93"/>
        <v>0</v>
      </c>
      <c r="BA105" s="21">
        <f t="shared" si="94"/>
        <v>0</v>
      </c>
      <c r="BB105" s="21">
        <f t="shared" si="95"/>
        <v>0</v>
      </c>
      <c r="BC105" s="21">
        <f t="shared" si="96"/>
        <v>0</v>
      </c>
      <c r="BD105" s="54">
        <f t="shared" si="97"/>
        <v>0</v>
      </c>
      <c r="BE105" s="21">
        <f t="shared" si="98"/>
        <v>0</v>
      </c>
      <c r="BF105" s="21">
        <f t="shared" si="99"/>
        <v>0</v>
      </c>
      <c r="BG105" s="21">
        <f t="shared" si="100"/>
        <v>0</v>
      </c>
      <c r="BH105" s="54">
        <f t="shared" si="101"/>
        <v>0</v>
      </c>
      <c r="BI105" s="21">
        <f t="shared" si="102"/>
        <v>0</v>
      </c>
      <c r="BJ105" s="21">
        <f t="shared" si="103"/>
        <v>0</v>
      </c>
      <c r="BK105" s="21">
        <f t="shared" si="104"/>
        <v>0</v>
      </c>
    </row>
    <row r="106" spans="1:63" x14ac:dyDescent="0.25">
      <c r="A106" s="51">
        <v>38</v>
      </c>
      <c r="B106" s="51">
        <f t="shared" si="62"/>
        <v>72</v>
      </c>
      <c r="C106" s="52" t="b">
        <f t="shared" si="63"/>
        <v>1</v>
      </c>
      <c r="D106" s="54">
        <f t="shared" si="64"/>
        <v>5.5440999999999997E-3</v>
      </c>
      <c r="E106" s="54">
        <f t="shared" si="65"/>
        <v>5.8E-4</v>
      </c>
      <c r="F106" s="54">
        <f t="shared" si="66"/>
        <v>2.6268005000000001E-2</v>
      </c>
      <c r="G106" s="54">
        <f t="shared" si="67"/>
        <v>8.8935009999999998E-3</v>
      </c>
      <c r="H106" s="54">
        <f t="shared" si="68"/>
        <v>2.1000000000000001E-4</v>
      </c>
      <c r="I106" s="54">
        <f t="shared" si="105"/>
        <v>0.93887558847148345</v>
      </c>
      <c r="J106" s="54">
        <f t="shared" si="69"/>
        <v>0.93246922716599556</v>
      </c>
      <c r="K106" s="54">
        <f t="shared" si="106"/>
        <v>0.91474769241363096</v>
      </c>
      <c r="L106" s="54">
        <f t="shared" si="107"/>
        <v>8.5252307586369036E-2</v>
      </c>
      <c r="M106" s="54">
        <f t="shared" si="108"/>
        <v>8.2083101315919421E-3</v>
      </c>
      <c r="N106" s="54">
        <f t="shared" si="109"/>
        <v>0.99205092431755371</v>
      </c>
      <c r="O106" s="54">
        <f t="shared" si="110"/>
        <v>7.7407012297044941E-3</v>
      </c>
      <c r="P106" s="54">
        <f t="shared" si="111"/>
        <v>0.77544066343861007</v>
      </c>
      <c r="Q106" s="54">
        <f t="shared" si="112"/>
        <v>9.206882477775058E-2</v>
      </c>
      <c r="R106" s="50">
        <f t="shared" si="70"/>
        <v>2.3728707400098723</v>
      </c>
      <c r="S106" s="21">
        <f t="shared" si="113"/>
        <v>0</v>
      </c>
      <c r="T106" s="50">
        <f t="shared" si="114"/>
        <v>3.5036700474521383</v>
      </c>
      <c r="U106" s="21">
        <f t="shared" si="115"/>
        <v>0</v>
      </c>
      <c r="V106" s="21">
        <f t="shared" si="116"/>
        <v>0</v>
      </c>
      <c r="W106" s="50">
        <f t="shared" si="117"/>
        <v>0.10376615015291139</v>
      </c>
      <c r="X106" s="21">
        <f t="shared" si="118"/>
        <v>0</v>
      </c>
      <c r="Y106" s="21">
        <f t="shared" si="119"/>
        <v>88438.790776759939</v>
      </c>
      <c r="Z106" s="21">
        <f t="shared" si="120"/>
        <v>-88438.790776759939</v>
      </c>
      <c r="AA106" s="21">
        <f t="shared" si="121"/>
        <v>-21114.019060251016</v>
      </c>
      <c r="AB106" s="21">
        <f t="shared" si="122"/>
        <v>1664727.1388614918</v>
      </c>
      <c r="AC106" s="21">
        <f t="shared" si="71"/>
        <v>513769.41550317645</v>
      </c>
      <c r="AD106" s="21">
        <f t="shared" si="72"/>
        <v>2178496.5543646682</v>
      </c>
      <c r="AE106" s="21">
        <f t="shared" si="123"/>
        <v>0</v>
      </c>
      <c r="AF106" s="54">
        <f t="shared" si="73"/>
        <v>0</v>
      </c>
      <c r="AG106" s="21">
        <f t="shared" si="74"/>
        <v>0</v>
      </c>
      <c r="AH106" s="21">
        <f t="shared" si="75"/>
        <v>0</v>
      </c>
      <c r="AI106" s="21">
        <f t="shared" si="76"/>
        <v>0</v>
      </c>
      <c r="AJ106" s="54">
        <f t="shared" si="77"/>
        <v>0</v>
      </c>
      <c r="AK106" s="21">
        <f t="shared" si="78"/>
        <v>0</v>
      </c>
      <c r="AL106" s="21">
        <f t="shared" si="79"/>
        <v>0</v>
      </c>
      <c r="AM106" s="21">
        <f t="shared" si="80"/>
        <v>0</v>
      </c>
      <c r="AN106" s="54">
        <f t="shared" si="81"/>
        <v>0</v>
      </c>
      <c r="AO106" s="21">
        <f t="shared" si="82"/>
        <v>0</v>
      </c>
      <c r="AP106" s="21">
        <f t="shared" si="83"/>
        <v>0</v>
      </c>
      <c r="AQ106" s="21">
        <f t="shared" si="84"/>
        <v>0</v>
      </c>
      <c r="AR106" s="54">
        <f t="shared" si="85"/>
        <v>0</v>
      </c>
      <c r="AS106" s="21">
        <f t="shared" si="86"/>
        <v>0</v>
      </c>
      <c r="AT106" s="21">
        <f t="shared" si="87"/>
        <v>0</v>
      </c>
      <c r="AU106" s="21">
        <f t="shared" si="88"/>
        <v>0</v>
      </c>
      <c r="AV106" s="54">
        <f t="shared" si="89"/>
        <v>0</v>
      </c>
      <c r="AW106" s="21">
        <f t="shared" si="90"/>
        <v>0</v>
      </c>
      <c r="AX106" s="21">
        <f t="shared" si="91"/>
        <v>0</v>
      </c>
      <c r="AY106" s="21">
        <f t="shared" si="92"/>
        <v>0</v>
      </c>
      <c r="AZ106" s="54">
        <f t="shared" si="93"/>
        <v>0</v>
      </c>
      <c r="BA106" s="21">
        <f t="shared" si="94"/>
        <v>0</v>
      </c>
      <c r="BB106" s="21">
        <f t="shared" si="95"/>
        <v>0</v>
      </c>
      <c r="BC106" s="21">
        <f t="shared" si="96"/>
        <v>0</v>
      </c>
      <c r="BD106" s="54">
        <f t="shared" si="97"/>
        <v>0</v>
      </c>
      <c r="BE106" s="21">
        <f t="shared" si="98"/>
        <v>0</v>
      </c>
      <c r="BF106" s="21">
        <f t="shared" si="99"/>
        <v>0</v>
      </c>
      <c r="BG106" s="21">
        <f t="shared" si="100"/>
        <v>0</v>
      </c>
      <c r="BH106" s="54">
        <f t="shared" si="101"/>
        <v>0</v>
      </c>
      <c r="BI106" s="21">
        <f t="shared" si="102"/>
        <v>0</v>
      </c>
      <c r="BJ106" s="21">
        <f t="shared" si="103"/>
        <v>0</v>
      </c>
      <c r="BK106" s="21">
        <f t="shared" si="104"/>
        <v>0</v>
      </c>
    </row>
    <row r="107" spans="1:63" x14ac:dyDescent="0.25">
      <c r="A107" s="51">
        <v>39</v>
      </c>
      <c r="B107" s="51">
        <f t="shared" si="62"/>
        <v>73</v>
      </c>
      <c r="C107" s="52" t="b">
        <f t="shared" si="63"/>
        <v>1</v>
      </c>
      <c r="D107" s="54">
        <f t="shared" si="64"/>
        <v>6.1874E-3</v>
      </c>
      <c r="E107" s="54">
        <f t="shared" si="65"/>
        <v>6.4000000000000005E-4</v>
      </c>
      <c r="F107" s="54">
        <f t="shared" si="66"/>
        <v>2.9315842000000002E-2</v>
      </c>
      <c r="G107" s="54">
        <f t="shared" si="67"/>
        <v>9.7862620000000004E-3</v>
      </c>
      <c r="H107" s="54">
        <f t="shared" si="68"/>
        <v>2.1000000000000001E-4</v>
      </c>
      <c r="I107" s="54">
        <f t="shared" si="105"/>
        <v>0.93246922716599556</v>
      </c>
      <c r="J107" s="54">
        <f t="shared" si="69"/>
        <v>0.925382026238458</v>
      </c>
      <c r="K107" s="54">
        <f t="shared" si="106"/>
        <v>0.90579573183177575</v>
      </c>
      <c r="L107" s="54">
        <f t="shared" si="107"/>
        <v>9.4204268168224248E-2</v>
      </c>
      <c r="M107" s="54">
        <f t="shared" si="108"/>
        <v>8.9519605818552048E-3</v>
      </c>
      <c r="N107" s="54">
        <f t="shared" si="109"/>
        <v>0.99184259362344696</v>
      </c>
      <c r="O107" s="54">
        <f t="shared" si="110"/>
        <v>7.9490756824462938E-3</v>
      </c>
      <c r="P107" s="54">
        <f t="shared" si="111"/>
        <v>0.75270796746886859</v>
      </c>
      <c r="Q107" s="54">
        <f t="shared" si="112"/>
        <v>0.1022925852499541</v>
      </c>
      <c r="R107" s="50">
        <f t="shared" si="70"/>
        <v>2.4274467670300988</v>
      </c>
      <c r="S107" s="21">
        <f t="shared" si="113"/>
        <v>0</v>
      </c>
      <c r="T107" s="50">
        <f t="shared" si="114"/>
        <v>3.6220940950560205</v>
      </c>
      <c r="U107" s="21">
        <f t="shared" si="115"/>
        <v>0</v>
      </c>
      <c r="V107" s="21">
        <f t="shared" si="116"/>
        <v>0</v>
      </c>
      <c r="W107" s="50">
        <f t="shared" si="117"/>
        <v>0.11438021676280401</v>
      </c>
      <c r="X107" s="21">
        <f t="shared" si="118"/>
        <v>0</v>
      </c>
      <c r="Y107" s="21">
        <f t="shared" si="119"/>
        <v>90472.882964625387</v>
      </c>
      <c r="Z107" s="21">
        <f t="shared" si="120"/>
        <v>-90472.882964625387</v>
      </c>
      <c r="AA107" s="21">
        <f t="shared" si="121"/>
        <v>-23880.830228347389</v>
      </c>
      <c r="AB107" s="21">
        <f t="shared" si="122"/>
        <v>1570350.1513348569</v>
      </c>
      <c r="AC107" s="21">
        <f t="shared" si="71"/>
        <v>535807.28677926958</v>
      </c>
      <c r="AD107" s="21">
        <f t="shared" si="72"/>
        <v>2106157.4381141262</v>
      </c>
      <c r="AE107" s="21">
        <f t="shared" si="123"/>
        <v>0</v>
      </c>
      <c r="AF107" s="54">
        <f t="shared" si="73"/>
        <v>0</v>
      </c>
      <c r="AG107" s="21">
        <f t="shared" si="74"/>
        <v>0</v>
      </c>
      <c r="AH107" s="21">
        <f t="shared" si="75"/>
        <v>0</v>
      </c>
      <c r="AI107" s="21">
        <f t="shared" si="76"/>
        <v>0</v>
      </c>
      <c r="AJ107" s="54">
        <f t="shared" si="77"/>
        <v>0</v>
      </c>
      <c r="AK107" s="21">
        <f t="shared" si="78"/>
        <v>0</v>
      </c>
      <c r="AL107" s="21">
        <f t="shared" si="79"/>
        <v>0</v>
      </c>
      <c r="AM107" s="21">
        <f t="shared" si="80"/>
        <v>0</v>
      </c>
      <c r="AN107" s="54">
        <f t="shared" si="81"/>
        <v>0</v>
      </c>
      <c r="AO107" s="21">
        <f t="shared" si="82"/>
        <v>0</v>
      </c>
      <c r="AP107" s="21">
        <f t="shared" si="83"/>
        <v>0</v>
      </c>
      <c r="AQ107" s="21">
        <f t="shared" si="84"/>
        <v>0</v>
      </c>
      <c r="AR107" s="54">
        <f t="shared" si="85"/>
        <v>0</v>
      </c>
      <c r="AS107" s="21">
        <f t="shared" si="86"/>
        <v>0</v>
      </c>
      <c r="AT107" s="21">
        <f t="shared" si="87"/>
        <v>0</v>
      </c>
      <c r="AU107" s="21">
        <f t="shared" si="88"/>
        <v>0</v>
      </c>
      <c r="AV107" s="54">
        <f t="shared" si="89"/>
        <v>0</v>
      </c>
      <c r="AW107" s="21">
        <f t="shared" si="90"/>
        <v>0</v>
      </c>
      <c r="AX107" s="21">
        <f t="shared" si="91"/>
        <v>0</v>
      </c>
      <c r="AY107" s="21">
        <f t="shared" si="92"/>
        <v>0</v>
      </c>
      <c r="AZ107" s="54">
        <f t="shared" si="93"/>
        <v>0</v>
      </c>
      <c r="BA107" s="21">
        <f t="shared" si="94"/>
        <v>0</v>
      </c>
      <c r="BB107" s="21">
        <f t="shared" si="95"/>
        <v>0</v>
      </c>
      <c r="BC107" s="21">
        <f t="shared" si="96"/>
        <v>0</v>
      </c>
      <c r="BD107" s="54">
        <f t="shared" si="97"/>
        <v>0</v>
      </c>
      <c r="BE107" s="21">
        <f t="shared" si="98"/>
        <v>0</v>
      </c>
      <c r="BF107" s="21">
        <f t="shared" si="99"/>
        <v>0</v>
      </c>
      <c r="BG107" s="21">
        <f t="shared" si="100"/>
        <v>0</v>
      </c>
      <c r="BH107" s="54">
        <f t="shared" si="101"/>
        <v>0</v>
      </c>
      <c r="BI107" s="21">
        <f t="shared" si="102"/>
        <v>0</v>
      </c>
      <c r="BJ107" s="21">
        <f t="shared" si="103"/>
        <v>0</v>
      </c>
      <c r="BK107" s="21">
        <f t="shared" si="104"/>
        <v>0</v>
      </c>
    </row>
    <row r="108" spans="1:63" x14ac:dyDescent="0.25">
      <c r="A108" s="51">
        <v>40</v>
      </c>
      <c r="B108" s="51">
        <f t="shared" si="62"/>
        <v>74</v>
      </c>
      <c r="C108" s="52" t="b">
        <f t="shared" si="63"/>
        <v>1</v>
      </c>
      <c r="D108" s="54">
        <f t="shared" si="64"/>
        <v>6.9052999999999996E-3</v>
      </c>
      <c r="E108" s="54">
        <f t="shared" si="65"/>
        <v>6.9999999999999999E-4</v>
      </c>
      <c r="F108" s="54">
        <f t="shared" si="66"/>
        <v>3.2717074999999998E-2</v>
      </c>
      <c r="G108" s="54">
        <f t="shared" si="67"/>
        <v>1.0759516E-2</v>
      </c>
      <c r="H108" s="54">
        <f t="shared" si="68"/>
        <v>2.1000000000000001E-4</v>
      </c>
      <c r="I108" s="54">
        <f t="shared" si="105"/>
        <v>0.925382026238458</v>
      </c>
      <c r="J108" s="54">
        <f t="shared" si="69"/>
        <v>0.91755306909180911</v>
      </c>
      <c r="K108" s="54">
        <f t="shared" si="106"/>
        <v>0.89604980816239999</v>
      </c>
      <c r="L108" s="54">
        <f t="shared" si="107"/>
        <v>0.10395019183760001</v>
      </c>
      <c r="M108" s="54">
        <f t="shared" si="108"/>
        <v>9.7459236693757008E-3</v>
      </c>
      <c r="N108" s="54">
        <f t="shared" si="109"/>
        <v>0.99163430667878594</v>
      </c>
      <c r="O108" s="54">
        <f t="shared" si="110"/>
        <v>8.1574063765530447E-3</v>
      </c>
      <c r="P108" s="54">
        <f t="shared" si="111"/>
        <v>0.72808156444409211</v>
      </c>
      <c r="Q108" s="54">
        <f t="shared" si="112"/>
        <v>0.11359769923855245</v>
      </c>
      <c r="R108" s="50">
        <f t="shared" si="70"/>
        <v>2.4832780426717909</v>
      </c>
      <c r="S108" s="21">
        <f t="shared" si="113"/>
        <v>0</v>
      </c>
      <c r="T108" s="50">
        <f t="shared" si="114"/>
        <v>3.7445208754689143</v>
      </c>
      <c r="U108" s="21">
        <f t="shared" si="115"/>
        <v>0</v>
      </c>
      <c r="V108" s="21">
        <f t="shared" si="116"/>
        <v>0</v>
      </c>
      <c r="W108" s="50">
        <f t="shared" si="117"/>
        <v>0.12601839887732946</v>
      </c>
      <c r="X108" s="21">
        <f t="shared" si="118"/>
        <v>0</v>
      </c>
      <c r="Y108" s="21">
        <f t="shared" si="119"/>
        <v>92553.759272811774</v>
      </c>
      <c r="Z108" s="21">
        <f t="shared" si="120"/>
        <v>-92553.759272811774</v>
      </c>
      <c r="AA108" s="21">
        <f t="shared" si="121"/>
        <v>-26994.734978239125</v>
      </c>
      <c r="AB108" s="21">
        <f t="shared" si="122"/>
        <v>1469645.8588998243</v>
      </c>
      <c r="AC108" s="21">
        <f t="shared" si="71"/>
        <v>558790.46105652698</v>
      </c>
      <c r="AD108" s="21">
        <f t="shared" si="72"/>
        <v>2028436.3199563513</v>
      </c>
      <c r="AE108" s="21">
        <f t="shared" si="123"/>
        <v>0</v>
      </c>
      <c r="AF108" s="54">
        <f t="shared" si="73"/>
        <v>0</v>
      </c>
      <c r="AG108" s="21">
        <f t="shared" si="74"/>
        <v>0</v>
      </c>
      <c r="AH108" s="21">
        <f t="shared" si="75"/>
        <v>0</v>
      </c>
      <c r="AI108" s="21">
        <f t="shared" si="76"/>
        <v>0</v>
      </c>
      <c r="AJ108" s="54">
        <f t="shared" si="77"/>
        <v>0</v>
      </c>
      <c r="AK108" s="21">
        <f t="shared" si="78"/>
        <v>0</v>
      </c>
      <c r="AL108" s="21">
        <f t="shared" si="79"/>
        <v>0</v>
      </c>
      <c r="AM108" s="21">
        <f t="shared" si="80"/>
        <v>0</v>
      </c>
      <c r="AN108" s="54">
        <f t="shared" si="81"/>
        <v>0</v>
      </c>
      <c r="AO108" s="21">
        <f t="shared" si="82"/>
        <v>0</v>
      </c>
      <c r="AP108" s="21">
        <f t="shared" si="83"/>
        <v>0</v>
      </c>
      <c r="AQ108" s="21">
        <f t="shared" si="84"/>
        <v>0</v>
      </c>
      <c r="AR108" s="54">
        <f t="shared" si="85"/>
        <v>0</v>
      </c>
      <c r="AS108" s="21">
        <f t="shared" si="86"/>
        <v>0</v>
      </c>
      <c r="AT108" s="21">
        <f t="shared" si="87"/>
        <v>0</v>
      </c>
      <c r="AU108" s="21">
        <f t="shared" si="88"/>
        <v>0</v>
      </c>
      <c r="AV108" s="54">
        <f t="shared" si="89"/>
        <v>0</v>
      </c>
      <c r="AW108" s="21">
        <f t="shared" si="90"/>
        <v>0</v>
      </c>
      <c r="AX108" s="21">
        <f t="shared" si="91"/>
        <v>0</v>
      </c>
      <c r="AY108" s="21">
        <f t="shared" si="92"/>
        <v>0</v>
      </c>
      <c r="AZ108" s="54">
        <f t="shared" si="93"/>
        <v>0</v>
      </c>
      <c r="BA108" s="21">
        <f t="shared" si="94"/>
        <v>0</v>
      </c>
      <c r="BB108" s="21">
        <f t="shared" si="95"/>
        <v>0</v>
      </c>
      <c r="BC108" s="21">
        <f t="shared" si="96"/>
        <v>0</v>
      </c>
      <c r="BD108" s="54">
        <f t="shared" si="97"/>
        <v>0</v>
      </c>
      <c r="BE108" s="21">
        <f t="shared" si="98"/>
        <v>0</v>
      </c>
      <c r="BF108" s="21">
        <f t="shared" si="99"/>
        <v>0</v>
      </c>
      <c r="BG108" s="21">
        <f t="shared" si="100"/>
        <v>0</v>
      </c>
      <c r="BH108" s="54">
        <f t="shared" si="101"/>
        <v>0</v>
      </c>
      <c r="BI108" s="21">
        <f t="shared" si="102"/>
        <v>0</v>
      </c>
      <c r="BJ108" s="21">
        <f t="shared" si="103"/>
        <v>0</v>
      </c>
      <c r="BK108" s="21">
        <f t="shared" si="104"/>
        <v>0</v>
      </c>
    </row>
    <row r="109" spans="1:63" x14ac:dyDescent="0.25">
      <c r="A109" s="51">
        <v>41</v>
      </c>
      <c r="B109" s="51">
        <f t="shared" si="62"/>
        <v>75</v>
      </c>
      <c r="C109" s="52" t="b">
        <f t="shared" si="63"/>
        <v>1</v>
      </c>
      <c r="D109" s="54">
        <f t="shared" si="64"/>
        <v>7.7060999999999996E-3</v>
      </c>
      <c r="E109" s="54">
        <f t="shared" si="65"/>
        <v>7.6000000000000004E-4</v>
      </c>
      <c r="F109" s="54">
        <f t="shared" si="66"/>
        <v>3.6511678999999998E-2</v>
      </c>
      <c r="G109" s="54">
        <f t="shared" si="67"/>
        <v>1.1819547E-2</v>
      </c>
      <c r="H109" s="54">
        <f t="shared" si="68"/>
        <v>2.1000000000000001E-4</v>
      </c>
      <c r="I109" s="54">
        <f t="shared" si="105"/>
        <v>0.91755306909180911</v>
      </c>
      <c r="J109" s="54">
        <f t="shared" si="69"/>
        <v>0.90890755153983049</v>
      </c>
      <c r="K109" s="54">
        <f t="shared" si="106"/>
        <v>0.88545890534048355</v>
      </c>
      <c r="L109" s="54">
        <f t="shared" si="107"/>
        <v>0.11454109465951645</v>
      </c>
      <c r="M109" s="54">
        <f t="shared" si="108"/>
        <v>1.059090282191647E-2</v>
      </c>
      <c r="N109" s="54">
        <f t="shared" si="109"/>
        <v>0.99142606347438333</v>
      </c>
      <c r="O109" s="54">
        <f t="shared" si="110"/>
        <v>8.3656933212140627E-3</v>
      </c>
      <c r="P109" s="54">
        <f t="shared" si="111"/>
        <v>0.70149808407729164</v>
      </c>
      <c r="Q109" s="54">
        <f t="shared" si="112"/>
        <v>0.1260830221014515</v>
      </c>
      <c r="R109" s="50">
        <f t="shared" si="70"/>
        <v>2.5403934376532415</v>
      </c>
      <c r="S109" s="21">
        <f t="shared" si="113"/>
        <v>0</v>
      </c>
      <c r="T109" s="50">
        <f t="shared" si="114"/>
        <v>3.871085681059764</v>
      </c>
      <c r="U109" s="21">
        <f t="shared" si="115"/>
        <v>0</v>
      </c>
      <c r="V109" s="21">
        <f t="shared" si="116"/>
        <v>0</v>
      </c>
      <c r="W109" s="50">
        <f t="shared" si="117"/>
        <v>0.13876353997659141</v>
      </c>
      <c r="X109" s="21">
        <f t="shared" si="118"/>
        <v>0</v>
      </c>
      <c r="Y109" s="21">
        <f t="shared" si="119"/>
        <v>94682.495736086421</v>
      </c>
      <c r="Z109" s="21">
        <f t="shared" si="120"/>
        <v>-94682.495736086421</v>
      </c>
      <c r="AA109" s="21">
        <f t="shared" si="121"/>
        <v>-30496.652598123525</v>
      </c>
      <c r="AB109" s="21">
        <f t="shared" si="122"/>
        <v>1362102.4608724122</v>
      </c>
      <c r="AC109" s="21">
        <f t="shared" si="71"/>
        <v>582759.48661444546</v>
      </c>
      <c r="AD109" s="21">
        <f t="shared" si="72"/>
        <v>1944861.9474868577</v>
      </c>
      <c r="AE109" s="21">
        <f t="shared" si="123"/>
        <v>0</v>
      </c>
      <c r="AF109" s="54">
        <f t="shared" si="73"/>
        <v>0</v>
      </c>
      <c r="AG109" s="21">
        <f t="shared" si="74"/>
        <v>0</v>
      </c>
      <c r="AH109" s="21">
        <f t="shared" si="75"/>
        <v>0</v>
      </c>
      <c r="AI109" s="21">
        <f t="shared" si="76"/>
        <v>0</v>
      </c>
      <c r="AJ109" s="54">
        <f t="shared" si="77"/>
        <v>0</v>
      </c>
      <c r="AK109" s="21">
        <f t="shared" si="78"/>
        <v>0</v>
      </c>
      <c r="AL109" s="21">
        <f t="shared" si="79"/>
        <v>0</v>
      </c>
      <c r="AM109" s="21">
        <f t="shared" si="80"/>
        <v>0</v>
      </c>
      <c r="AN109" s="54">
        <f t="shared" si="81"/>
        <v>0</v>
      </c>
      <c r="AO109" s="21">
        <f t="shared" si="82"/>
        <v>0</v>
      </c>
      <c r="AP109" s="21">
        <f t="shared" si="83"/>
        <v>0</v>
      </c>
      <c r="AQ109" s="21">
        <f t="shared" si="84"/>
        <v>0</v>
      </c>
      <c r="AR109" s="54">
        <f t="shared" si="85"/>
        <v>0</v>
      </c>
      <c r="AS109" s="21">
        <f t="shared" si="86"/>
        <v>0</v>
      </c>
      <c r="AT109" s="21">
        <f t="shared" si="87"/>
        <v>0</v>
      </c>
      <c r="AU109" s="21">
        <f t="shared" si="88"/>
        <v>0</v>
      </c>
      <c r="AV109" s="54">
        <f t="shared" si="89"/>
        <v>0</v>
      </c>
      <c r="AW109" s="21">
        <f t="shared" si="90"/>
        <v>0</v>
      </c>
      <c r="AX109" s="21">
        <f t="shared" si="91"/>
        <v>0</v>
      </c>
      <c r="AY109" s="21">
        <f t="shared" si="92"/>
        <v>0</v>
      </c>
      <c r="AZ109" s="54">
        <f t="shared" si="93"/>
        <v>0</v>
      </c>
      <c r="BA109" s="21">
        <f t="shared" si="94"/>
        <v>0</v>
      </c>
      <c r="BB109" s="21">
        <f t="shared" si="95"/>
        <v>0</v>
      </c>
      <c r="BC109" s="21">
        <f t="shared" si="96"/>
        <v>0</v>
      </c>
      <c r="BD109" s="54">
        <f t="shared" si="97"/>
        <v>0</v>
      </c>
      <c r="BE109" s="21">
        <f t="shared" si="98"/>
        <v>0</v>
      </c>
      <c r="BF109" s="21">
        <f t="shared" si="99"/>
        <v>0</v>
      </c>
      <c r="BG109" s="21">
        <f t="shared" si="100"/>
        <v>0</v>
      </c>
      <c r="BH109" s="54">
        <f t="shared" si="101"/>
        <v>0</v>
      </c>
      <c r="BI109" s="21">
        <f t="shared" si="102"/>
        <v>0</v>
      </c>
      <c r="BJ109" s="21">
        <f t="shared" si="103"/>
        <v>0</v>
      </c>
      <c r="BK109" s="21">
        <f t="shared" si="104"/>
        <v>0</v>
      </c>
    </row>
    <row r="110" spans="1:63" x14ac:dyDescent="0.25">
      <c r="A110" s="51">
        <v>42</v>
      </c>
      <c r="B110" s="51">
        <f t="shared" si="62"/>
        <v>76</v>
      </c>
      <c r="C110" s="52" t="b">
        <f t="shared" si="63"/>
        <v>1</v>
      </c>
      <c r="D110" s="54">
        <f t="shared" si="64"/>
        <v>8.5994999999999995E-3</v>
      </c>
      <c r="E110" s="54">
        <f t="shared" si="65"/>
        <v>8.3000000000000001E-4</v>
      </c>
      <c r="F110" s="54">
        <f t="shared" si="66"/>
        <v>4.0744430999999998E-2</v>
      </c>
      <c r="G110" s="54">
        <f t="shared" si="67"/>
        <v>1.2972979000000001E-2</v>
      </c>
      <c r="H110" s="54">
        <f t="shared" si="68"/>
        <v>2.1000000000000001E-4</v>
      </c>
      <c r="I110" s="54">
        <f t="shared" si="105"/>
        <v>0.90890755153983049</v>
      </c>
      <c r="J110" s="54">
        <f t="shared" si="69"/>
        <v>0.89937596161281397</v>
      </c>
      <c r="K110" s="54">
        <f t="shared" si="106"/>
        <v>0.87397186555613837</v>
      </c>
      <c r="L110" s="54">
        <f t="shared" si="107"/>
        <v>0.12602813444386163</v>
      </c>
      <c r="M110" s="54">
        <f t="shared" si="108"/>
        <v>1.1487039784345081E-2</v>
      </c>
      <c r="N110" s="54">
        <f t="shared" si="109"/>
        <v>0.99121786400105372</v>
      </c>
      <c r="O110" s="54">
        <f t="shared" si="110"/>
        <v>8.5739365256166655E-3</v>
      </c>
      <c r="P110" s="54">
        <f t="shared" si="111"/>
        <v>0.67291594379397224</v>
      </c>
      <c r="Q110" s="54">
        <f t="shared" si="112"/>
        <v>0.13985187771945973</v>
      </c>
      <c r="R110" s="50">
        <f t="shared" si="70"/>
        <v>2.598822486719266</v>
      </c>
      <c r="S110" s="21">
        <f t="shared" si="113"/>
        <v>0</v>
      </c>
      <c r="T110" s="50">
        <f t="shared" si="114"/>
        <v>4.0019283770795839</v>
      </c>
      <c r="U110" s="21">
        <f t="shared" si="115"/>
        <v>0</v>
      </c>
      <c r="V110" s="21">
        <f t="shared" si="116"/>
        <v>0</v>
      </c>
      <c r="W110" s="50">
        <f t="shared" si="117"/>
        <v>0.1527011461261602</v>
      </c>
      <c r="X110" s="21">
        <f t="shared" si="118"/>
        <v>0</v>
      </c>
      <c r="Y110" s="21">
        <f t="shared" si="119"/>
        <v>96860.193138016402</v>
      </c>
      <c r="Z110" s="21">
        <f t="shared" si="120"/>
        <v>-96860.193138016402</v>
      </c>
      <c r="AA110" s="21">
        <f t="shared" si="121"/>
        <v>-34432.141818319607</v>
      </c>
      <c r="AB110" s="21">
        <f t="shared" si="122"/>
        <v>1247155.3554465452</v>
      </c>
      <c r="AC110" s="21">
        <f t="shared" si="71"/>
        <v>607756.65102983441</v>
      </c>
      <c r="AD110" s="21">
        <f t="shared" si="72"/>
        <v>1854912.0064763795</v>
      </c>
      <c r="AE110" s="21">
        <f t="shared" si="123"/>
        <v>0</v>
      </c>
      <c r="AF110" s="54">
        <f t="shared" si="73"/>
        <v>0</v>
      </c>
      <c r="AG110" s="21">
        <f t="shared" si="74"/>
        <v>0</v>
      </c>
      <c r="AH110" s="21">
        <f t="shared" si="75"/>
        <v>0</v>
      </c>
      <c r="AI110" s="21">
        <f t="shared" si="76"/>
        <v>0</v>
      </c>
      <c r="AJ110" s="54">
        <f t="shared" si="77"/>
        <v>0</v>
      </c>
      <c r="AK110" s="21">
        <f t="shared" si="78"/>
        <v>0</v>
      </c>
      <c r="AL110" s="21">
        <f t="shared" si="79"/>
        <v>0</v>
      </c>
      <c r="AM110" s="21">
        <f t="shared" si="80"/>
        <v>0</v>
      </c>
      <c r="AN110" s="54">
        <f t="shared" si="81"/>
        <v>0</v>
      </c>
      <c r="AO110" s="21">
        <f t="shared" si="82"/>
        <v>0</v>
      </c>
      <c r="AP110" s="21">
        <f t="shared" si="83"/>
        <v>0</v>
      </c>
      <c r="AQ110" s="21">
        <f t="shared" si="84"/>
        <v>0</v>
      </c>
      <c r="AR110" s="54">
        <f t="shared" si="85"/>
        <v>0</v>
      </c>
      <c r="AS110" s="21">
        <f t="shared" si="86"/>
        <v>0</v>
      </c>
      <c r="AT110" s="21">
        <f t="shared" si="87"/>
        <v>0</v>
      </c>
      <c r="AU110" s="21">
        <f t="shared" si="88"/>
        <v>0</v>
      </c>
      <c r="AV110" s="54">
        <f t="shared" si="89"/>
        <v>0</v>
      </c>
      <c r="AW110" s="21">
        <f t="shared" si="90"/>
        <v>0</v>
      </c>
      <c r="AX110" s="21">
        <f t="shared" si="91"/>
        <v>0</v>
      </c>
      <c r="AY110" s="21">
        <f t="shared" si="92"/>
        <v>0</v>
      </c>
      <c r="AZ110" s="54">
        <f t="shared" si="93"/>
        <v>0</v>
      </c>
      <c r="BA110" s="21">
        <f t="shared" si="94"/>
        <v>0</v>
      </c>
      <c r="BB110" s="21">
        <f t="shared" si="95"/>
        <v>0</v>
      </c>
      <c r="BC110" s="21">
        <f t="shared" si="96"/>
        <v>0</v>
      </c>
      <c r="BD110" s="54">
        <f t="shared" si="97"/>
        <v>0</v>
      </c>
      <c r="BE110" s="21">
        <f t="shared" si="98"/>
        <v>0</v>
      </c>
      <c r="BF110" s="21">
        <f t="shared" si="99"/>
        <v>0</v>
      </c>
      <c r="BG110" s="21">
        <f t="shared" si="100"/>
        <v>0</v>
      </c>
      <c r="BH110" s="54">
        <f t="shared" si="101"/>
        <v>0</v>
      </c>
      <c r="BI110" s="21">
        <f t="shared" si="102"/>
        <v>0</v>
      </c>
      <c r="BJ110" s="21">
        <f t="shared" si="103"/>
        <v>0</v>
      </c>
      <c r="BK110" s="21">
        <f t="shared" si="104"/>
        <v>0</v>
      </c>
    </row>
    <row r="111" spans="1:63" x14ac:dyDescent="0.25">
      <c r="A111" s="51">
        <v>43</v>
      </c>
      <c r="B111" s="51">
        <f t="shared" si="62"/>
        <v>77</v>
      </c>
      <c r="C111" s="52" t="b">
        <f t="shared" si="63"/>
        <v>1</v>
      </c>
      <c r="D111" s="54">
        <f t="shared" si="64"/>
        <v>9.5954999999999999E-3</v>
      </c>
      <c r="E111" s="54">
        <f t="shared" si="65"/>
        <v>8.9999999999999998E-4</v>
      </c>
      <c r="F111" s="54">
        <f t="shared" si="66"/>
        <v>4.5463300999999998E-2</v>
      </c>
      <c r="G111" s="54">
        <f t="shared" si="67"/>
        <v>1.4226767E-2</v>
      </c>
      <c r="H111" s="54">
        <f t="shared" si="68"/>
        <v>2.1000000000000001E-4</v>
      </c>
      <c r="I111" s="54">
        <f t="shared" si="105"/>
        <v>0.89937596161281397</v>
      </c>
      <c r="J111" s="54">
        <f t="shared" si="69"/>
        <v>0.88888463699427989</v>
      </c>
      <c r="K111" s="54">
        <f t="shared" si="106"/>
        <v>0.8615380714603158</v>
      </c>
      <c r="L111" s="54">
        <f t="shared" si="107"/>
        <v>0.1384619285396842</v>
      </c>
      <c r="M111" s="54">
        <f t="shared" si="108"/>
        <v>1.2433794095822506E-2</v>
      </c>
      <c r="N111" s="54">
        <f t="shared" si="109"/>
        <v>0.99100970824961343</v>
      </c>
      <c r="O111" s="54">
        <f t="shared" si="110"/>
        <v>8.7821359989462833E-3</v>
      </c>
      <c r="P111" s="54">
        <f t="shared" si="111"/>
        <v>0.64232296369356778</v>
      </c>
      <c r="Q111" s="54">
        <f t="shared" si="112"/>
        <v>0.155009770170911</v>
      </c>
      <c r="R111" s="50">
        <f t="shared" si="70"/>
        <v>2.6585954039138087</v>
      </c>
      <c r="S111" s="21">
        <f t="shared" si="113"/>
        <v>0</v>
      </c>
      <c r="T111" s="50">
        <f t="shared" si="114"/>
        <v>4.1371935562248741</v>
      </c>
      <c r="U111" s="21">
        <f t="shared" si="115"/>
        <v>0</v>
      </c>
      <c r="V111" s="21">
        <f t="shared" si="116"/>
        <v>0</v>
      </c>
      <c r="W111" s="50">
        <f t="shared" si="117"/>
        <v>0.16791771766099106</v>
      </c>
      <c r="X111" s="21">
        <f t="shared" si="118"/>
        <v>0</v>
      </c>
      <c r="Y111" s="21">
        <f t="shared" si="119"/>
        <v>99087.977580190767</v>
      </c>
      <c r="Z111" s="21">
        <f t="shared" si="120"/>
        <v>-99087.977580190767</v>
      </c>
      <c r="AA111" s="21">
        <f t="shared" si="121"/>
        <v>-38850.758576415785</v>
      </c>
      <c r="AB111" s="21">
        <f t="shared" si="122"/>
        <v>1124182.4835552971</v>
      </c>
      <c r="AC111" s="21">
        <f t="shared" si="71"/>
        <v>633826.05578306864</v>
      </c>
      <c r="AD111" s="21">
        <f t="shared" si="72"/>
        <v>1758008.5393383657</v>
      </c>
      <c r="AE111" s="21">
        <f t="shared" si="123"/>
        <v>0</v>
      </c>
      <c r="AF111" s="54">
        <f t="shared" si="73"/>
        <v>0</v>
      </c>
      <c r="AG111" s="21">
        <f t="shared" si="74"/>
        <v>0</v>
      </c>
      <c r="AH111" s="21">
        <f t="shared" si="75"/>
        <v>0</v>
      </c>
      <c r="AI111" s="21">
        <f t="shared" si="76"/>
        <v>0</v>
      </c>
      <c r="AJ111" s="54">
        <f t="shared" si="77"/>
        <v>0</v>
      </c>
      <c r="AK111" s="21">
        <f t="shared" si="78"/>
        <v>0</v>
      </c>
      <c r="AL111" s="21">
        <f t="shared" si="79"/>
        <v>0</v>
      </c>
      <c r="AM111" s="21">
        <f t="shared" si="80"/>
        <v>0</v>
      </c>
      <c r="AN111" s="54">
        <f t="shared" si="81"/>
        <v>0</v>
      </c>
      <c r="AO111" s="21">
        <f t="shared" si="82"/>
        <v>0</v>
      </c>
      <c r="AP111" s="21">
        <f t="shared" si="83"/>
        <v>0</v>
      </c>
      <c r="AQ111" s="21">
        <f t="shared" si="84"/>
        <v>0</v>
      </c>
      <c r="AR111" s="54">
        <f t="shared" si="85"/>
        <v>0</v>
      </c>
      <c r="AS111" s="21">
        <f t="shared" si="86"/>
        <v>0</v>
      </c>
      <c r="AT111" s="21">
        <f t="shared" si="87"/>
        <v>0</v>
      </c>
      <c r="AU111" s="21">
        <f t="shared" si="88"/>
        <v>0</v>
      </c>
      <c r="AV111" s="54">
        <f t="shared" si="89"/>
        <v>0</v>
      </c>
      <c r="AW111" s="21">
        <f t="shared" si="90"/>
        <v>0</v>
      </c>
      <c r="AX111" s="21">
        <f t="shared" si="91"/>
        <v>0</v>
      </c>
      <c r="AY111" s="21">
        <f t="shared" si="92"/>
        <v>0</v>
      </c>
      <c r="AZ111" s="54">
        <f t="shared" si="93"/>
        <v>0</v>
      </c>
      <c r="BA111" s="21">
        <f t="shared" si="94"/>
        <v>0</v>
      </c>
      <c r="BB111" s="21">
        <f t="shared" si="95"/>
        <v>0</v>
      </c>
      <c r="BC111" s="21">
        <f t="shared" si="96"/>
        <v>0</v>
      </c>
      <c r="BD111" s="54">
        <f t="shared" si="97"/>
        <v>0</v>
      </c>
      <c r="BE111" s="21">
        <f t="shared" si="98"/>
        <v>0</v>
      </c>
      <c r="BF111" s="21">
        <f t="shared" si="99"/>
        <v>0</v>
      </c>
      <c r="BG111" s="21">
        <f t="shared" si="100"/>
        <v>0</v>
      </c>
      <c r="BH111" s="54">
        <f t="shared" si="101"/>
        <v>0</v>
      </c>
      <c r="BI111" s="21">
        <f t="shared" si="102"/>
        <v>0</v>
      </c>
      <c r="BJ111" s="21">
        <f t="shared" si="103"/>
        <v>0</v>
      </c>
      <c r="BK111" s="21">
        <f t="shared" si="104"/>
        <v>0</v>
      </c>
    </row>
    <row r="112" spans="1:63" x14ac:dyDescent="0.25">
      <c r="A112" s="51">
        <v>44</v>
      </c>
      <c r="B112" s="51">
        <f t="shared" si="62"/>
        <v>78</v>
      </c>
      <c r="C112" s="52" t="b">
        <f t="shared" si="63"/>
        <v>1</v>
      </c>
      <c r="D112" s="54">
        <f t="shared" si="64"/>
        <v>1.07055E-2</v>
      </c>
      <c r="E112" s="54">
        <f t="shared" si="65"/>
        <v>9.7000000000000005E-4</v>
      </c>
      <c r="F112" s="54">
        <f t="shared" si="66"/>
        <v>5.0722659000000003E-2</v>
      </c>
      <c r="G112" s="54">
        <f t="shared" si="67"/>
        <v>1.5588174999999999E-2</v>
      </c>
      <c r="H112" s="54">
        <f t="shared" si="68"/>
        <v>2.1000000000000001E-4</v>
      </c>
      <c r="I112" s="54">
        <f t="shared" si="105"/>
        <v>0.88888463699427989</v>
      </c>
      <c r="J112" s="54">
        <f t="shared" si="69"/>
        <v>0.87734703842327866</v>
      </c>
      <c r="K112" s="54">
        <f t="shared" si="106"/>
        <v>0.84810826523322991</v>
      </c>
      <c r="L112" s="54">
        <f t="shared" si="107"/>
        <v>0.15189173476677009</v>
      </c>
      <c r="M112" s="54">
        <f t="shared" si="108"/>
        <v>1.3429806227085908E-2</v>
      </c>
      <c r="N112" s="54">
        <f t="shared" si="109"/>
        <v>0.99080159621088093</v>
      </c>
      <c r="O112" s="54">
        <f t="shared" si="110"/>
        <v>8.9902917503865698E-3</v>
      </c>
      <c r="P112" s="54">
        <f t="shared" si="111"/>
        <v>0.60974263503826953</v>
      </c>
      <c r="Q112" s="54">
        <f t="shared" si="112"/>
        <v>0.17166716426082929</v>
      </c>
      <c r="R112" s="50">
        <f t="shared" si="70"/>
        <v>2.7197430982038262</v>
      </c>
      <c r="S112" s="21">
        <f t="shared" si="113"/>
        <v>0</v>
      </c>
      <c r="T112" s="50">
        <f t="shared" si="114"/>
        <v>4.2770306984252748</v>
      </c>
      <c r="U112" s="21">
        <f t="shared" si="115"/>
        <v>0</v>
      </c>
      <c r="V112" s="21">
        <f t="shared" si="116"/>
        <v>0</v>
      </c>
      <c r="W112" s="50">
        <f t="shared" si="117"/>
        <v>0.18450195233930555</v>
      </c>
      <c r="X112" s="21">
        <f t="shared" si="118"/>
        <v>0</v>
      </c>
      <c r="Y112" s="21">
        <f t="shared" si="119"/>
        <v>101367.00106453516</v>
      </c>
      <c r="Z112" s="21">
        <f t="shared" si="120"/>
        <v>-101367.00106453516</v>
      </c>
      <c r="AA112" s="21">
        <f t="shared" si="121"/>
        <v>-43807.896869130498</v>
      </c>
      <c r="AB112" s="21">
        <f t="shared" si="122"/>
        <v>992497.77542429511</v>
      </c>
      <c r="AC112" s="21">
        <f t="shared" si="71"/>
        <v>661013.69406453555</v>
      </c>
      <c r="AD112" s="21">
        <f t="shared" si="72"/>
        <v>1653511.4694888308</v>
      </c>
      <c r="AE112" s="21">
        <f t="shared" si="123"/>
        <v>0</v>
      </c>
      <c r="AF112" s="54">
        <f t="shared" si="73"/>
        <v>0</v>
      </c>
      <c r="AG112" s="21">
        <f t="shared" si="74"/>
        <v>0</v>
      </c>
      <c r="AH112" s="21">
        <f t="shared" si="75"/>
        <v>0</v>
      </c>
      <c r="AI112" s="21">
        <f t="shared" si="76"/>
        <v>0</v>
      </c>
      <c r="AJ112" s="54">
        <f t="shared" si="77"/>
        <v>0</v>
      </c>
      <c r="AK112" s="21">
        <f t="shared" si="78"/>
        <v>0</v>
      </c>
      <c r="AL112" s="21">
        <f t="shared" si="79"/>
        <v>0</v>
      </c>
      <c r="AM112" s="21">
        <f t="shared" si="80"/>
        <v>0</v>
      </c>
      <c r="AN112" s="54">
        <f t="shared" si="81"/>
        <v>0</v>
      </c>
      <c r="AO112" s="21">
        <f t="shared" si="82"/>
        <v>0</v>
      </c>
      <c r="AP112" s="21">
        <f t="shared" si="83"/>
        <v>0</v>
      </c>
      <c r="AQ112" s="21">
        <f t="shared" si="84"/>
        <v>0</v>
      </c>
      <c r="AR112" s="54">
        <f t="shared" si="85"/>
        <v>0</v>
      </c>
      <c r="AS112" s="21">
        <f t="shared" si="86"/>
        <v>0</v>
      </c>
      <c r="AT112" s="21">
        <f t="shared" si="87"/>
        <v>0</v>
      </c>
      <c r="AU112" s="21">
        <f t="shared" si="88"/>
        <v>0</v>
      </c>
      <c r="AV112" s="54">
        <f t="shared" si="89"/>
        <v>0</v>
      </c>
      <c r="AW112" s="21">
        <f t="shared" si="90"/>
        <v>0</v>
      </c>
      <c r="AX112" s="21">
        <f t="shared" si="91"/>
        <v>0</v>
      </c>
      <c r="AY112" s="21">
        <f t="shared" si="92"/>
        <v>0</v>
      </c>
      <c r="AZ112" s="54">
        <f t="shared" si="93"/>
        <v>0</v>
      </c>
      <c r="BA112" s="21">
        <f t="shared" si="94"/>
        <v>0</v>
      </c>
      <c r="BB112" s="21">
        <f t="shared" si="95"/>
        <v>0</v>
      </c>
      <c r="BC112" s="21">
        <f t="shared" si="96"/>
        <v>0</v>
      </c>
      <c r="BD112" s="54">
        <f t="shared" si="97"/>
        <v>0</v>
      </c>
      <c r="BE112" s="21">
        <f t="shared" si="98"/>
        <v>0</v>
      </c>
      <c r="BF112" s="21">
        <f t="shared" si="99"/>
        <v>0</v>
      </c>
      <c r="BG112" s="21">
        <f t="shared" si="100"/>
        <v>0</v>
      </c>
      <c r="BH112" s="54">
        <f t="shared" si="101"/>
        <v>0</v>
      </c>
      <c r="BI112" s="21">
        <f t="shared" si="102"/>
        <v>0</v>
      </c>
      <c r="BJ112" s="21">
        <f t="shared" si="103"/>
        <v>0</v>
      </c>
      <c r="BK112" s="21">
        <f t="shared" si="104"/>
        <v>0</v>
      </c>
    </row>
    <row r="113" spans="1:63" x14ac:dyDescent="0.25">
      <c r="A113" s="51">
        <v>45</v>
      </c>
      <c r="B113" s="51">
        <f t="shared" si="62"/>
        <v>79</v>
      </c>
      <c r="C113" s="52" t="b">
        <f t="shared" si="63"/>
        <v>1</v>
      </c>
      <c r="D113" s="54">
        <f t="shared" si="64"/>
        <v>1.1942400000000001E-2</v>
      </c>
      <c r="E113" s="54">
        <f t="shared" si="65"/>
        <v>1.0499999999999999E-3</v>
      </c>
      <c r="F113" s="54">
        <f t="shared" si="66"/>
        <v>5.6583268999999999E-2</v>
      </c>
      <c r="G113" s="54">
        <f t="shared" si="67"/>
        <v>1.7064754000000001E-2</v>
      </c>
      <c r="H113" s="54">
        <f t="shared" si="68"/>
        <v>2.1000000000000001E-4</v>
      </c>
      <c r="I113" s="54">
        <f t="shared" si="105"/>
        <v>0.87734703842327866</v>
      </c>
      <c r="J113" s="54">
        <f t="shared" si="69"/>
        <v>0.86468275446587306</v>
      </c>
      <c r="K113" s="54">
        <f t="shared" si="106"/>
        <v>0.83363550632165817</v>
      </c>
      <c r="L113" s="54">
        <f t="shared" si="107"/>
        <v>0.16636449367834183</v>
      </c>
      <c r="M113" s="54">
        <f t="shared" si="108"/>
        <v>1.4472758911571822E-2</v>
      </c>
      <c r="N113" s="54">
        <f t="shared" si="109"/>
        <v>0.99059352787567656</v>
      </c>
      <c r="O113" s="54">
        <f t="shared" si="110"/>
        <v>9.1984037891190695E-3</v>
      </c>
      <c r="P113" s="54">
        <f t="shared" si="111"/>
        <v>0.57524140349913033</v>
      </c>
      <c r="Q113" s="54">
        <f t="shared" si="112"/>
        <v>0.18993466073083909</v>
      </c>
      <c r="R113" s="50">
        <f t="shared" si="70"/>
        <v>2.7822971894625139</v>
      </c>
      <c r="S113" s="21">
        <f t="shared" si="113"/>
        <v>0</v>
      </c>
      <c r="T113" s="50">
        <f t="shared" si="114"/>
        <v>4.4215943360320491</v>
      </c>
      <c r="U113" s="21">
        <f t="shared" si="115"/>
        <v>0</v>
      </c>
      <c r="V113" s="21">
        <f t="shared" si="116"/>
        <v>0</v>
      </c>
      <c r="W113" s="50">
        <f t="shared" si="117"/>
        <v>0.20254146812834961</v>
      </c>
      <c r="X113" s="21">
        <f t="shared" si="118"/>
        <v>0</v>
      </c>
      <c r="Y113" s="21">
        <f t="shared" si="119"/>
        <v>103698.44208901945</v>
      </c>
      <c r="Z113" s="21">
        <f t="shared" si="120"/>
        <v>-103698.44208901945</v>
      </c>
      <c r="AA113" s="21">
        <f t="shared" si="121"/>
        <v>-49365.071362745344</v>
      </c>
      <c r="AB113" s="21">
        <f t="shared" si="122"/>
        <v>851344.23527762177</v>
      </c>
      <c r="AC113" s="21">
        <f t="shared" si="71"/>
        <v>689367.53191855038</v>
      </c>
      <c r="AD113" s="21">
        <f t="shared" si="72"/>
        <v>1540711.7671961721</v>
      </c>
      <c r="AE113" s="21">
        <f t="shared" si="123"/>
        <v>0</v>
      </c>
      <c r="AF113" s="54">
        <f t="shared" si="73"/>
        <v>0</v>
      </c>
      <c r="AG113" s="21">
        <f t="shared" si="74"/>
        <v>0</v>
      </c>
      <c r="AH113" s="21">
        <f t="shared" si="75"/>
        <v>0</v>
      </c>
      <c r="AI113" s="21">
        <f t="shared" si="76"/>
        <v>0</v>
      </c>
      <c r="AJ113" s="54">
        <f t="shared" si="77"/>
        <v>0</v>
      </c>
      <c r="AK113" s="21">
        <f t="shared" si="78"/>
        <v>0</v>
      </c>
      <c r="AL113" s="21">
        <f t="shared" si="79"/>
        <v>0</v>
      </c>
      <c r="AM113" s="21">
        <f t="shared" si="80"/>
        <v>0</v>
      </c>
      <c r="AN113" s="54">
        <f t="shared" si="81"/>
        <v>0</v>
      </c>
      <c r="AO113" s="21">
        <f t="shared" si="82"/>
        <v>0</v>
      </c>
      <c r="AP113" s="21">
        <f t="shared" si="83"/>
        <v>0</v>
      </c>
      <c r="AQ113" s="21">
        <f t="shared" si="84"/>
        <v>0</v>
      </c>
      <c r="AR113" s="54">
        <f t="shared" si="85"/>
        <v>0</v>
      </c>
      <c r="AS113" s="21">
        <f t="shared" si="86"/>
        <v>0</v>
      </c>
      <c r="AT113" s="21">
        <f t="shared" si="87"/>
        <v>0</v>
      </c>
      <c r="AU113" s="21">
        <f t="shared" si="88"/>
        <v>0</v>
      </c>
      <c r="AV113" s="54">
        <f t="shared" si="89"/>
        <v>0</v>
      </c>
      <c r="AW113" s="21">
        <f t="shared" si="90"/>
        <v>0</v>
      </c>
      <c r="AX113" s="21">
        <f t="shared" si="91"/>
        <v>0</v>
      </c>
      <c r="AY113" s="21">
        <f t="shared" si="92"/>
        <v>0</v>
      </c>
      <c r="AZ113" s="54">
        <f t="shared" si="93"/>
        <v>0</v>
      </c>
      <c r="BA113" s="21">
        <f t="shared" si="94"/>
        <v>0</v>
      </c>
      <c r="BB113" s="21">
        <f t="shared" si="95"/>
        <v>0</v>
      </c>
      <c r="BC113" s="21">
        <f t="shared" si="96"/>
        <v>0</v>
      </c>
      <c r="BD113" s="54">
        <f t="shared" si="97"/>
        <v>0</v>
      </c>
      <c r="BE113" s="21">
        <f t="shared" si="98"/>
        <v>0</v>
      </c>
      <c r="BF113" s="21">
        <f t="shared" si="99"/>
        <v>0</v>
      </c>
      <c r="BG113" s="21">
        <f t="shared" si="100"/>
        <v>0</v>
      </c>
      <c r="BH113" s="54">
        <f t="shared" si="101"/>
        <v>0</v>
      </c>
      <c r="BI113" s="21">
        <f t="shared" si="102"/>
        <v>0</v>
      </c>
      <c r="BJ113" s="21">
        <f t="shared" si="103"/>
        <v>0</v>
      </c>
      <c r="BK113" s="21">
        <f t="shared" si="104"/>
        <v>0</v>
      </c>
    </row>
    <row r="114" spans="1:63" x14ac:dyDescent="0.25">
      <c r="A114" s="51">
        <v>46</v>
      </c>
      <c r="B114" s="51">
        <f t="shared" si="62"/>
        <v>80</v>
      </c>
      <c r="C114" s="52" t="b">
        <f t="shared" si="63"/>
        <v>1</v>
      </c>
      <c r="D114" s="54">
        <f t="shared" si="64"/>
        <v>1.33198E-2</v>
      </c>
      <c r="E114" s="54">
        <f t="shared" si="65"/>
        <v>1.1299999999999999E-3</v>
      </c>
      <c r="F114" s="54">
        <f t="shared" si="66"/>
        <v>6.3109094000000004E-2</v>
      </c>
      <c r="G114" s="54">
        <f t="shared" si="67"/>
        <v>1.8664303E-2</v>
      </c>
      <c r="H114" s="54">
        <f t="shared" si="68"/>
        <v>2.1000000000000001E-4</v>
      </c>
      <c r="I114" s="54">
        <f t="shared" si="105"/>
        <v>0.86468275446587306</v>
      </c>
      <c r="J114" s="54">
        <f t="shared" si="69"/>
        <v>0.85080037717554458</v>
      </c>
      <c r="K114" s="54">
        <f t="shared" si="106"/>
        <v>0.81807628064011229</v>
      </c>
      <c r="L114" s="54">
        <f t="shared" si="107"/>
        <v>0.18192371935988771</v>
      </c>
      <c r="M114" s="54">
        <f t="shared" si="108"/>
        <v>1.5559225681545844E-2</v>
      </c>
      <c r="N114" s="54">
        <f t="shared" si="109"/>
        <v>0.99038550323482266</v>
      </c>
      <c r="O114" s="54">
        <f t="shared" si="110"/>
        <v>9.4064721243234395E-3</v>
      </c>
      <c r="P114" s="54">
        <f t="shared" si="111"/>
        <v>0.53893843969301181</v>
      </c>
      <c r="Q114" s="54">
        <f t="shared" si="112"/>
        <v>0.20992175658459222</v>
      </c>
      <c r="R114" s="50">
        <f t="shared" si="70"/>
        <v>2.8462900248201519</v>
      </c>
      <c r="S114" s="21">
        <f t="shared" si="113"/>
        <v>0</v>
      </c>
      <c r="T114" s="50">
        <f t="shared" si="114"/>
        <v>4.571044224589933</v>
      </c>
      <c r="U114" s="21">
        <f t="shared" si="115"/>
        <v>0</v>
      </c>
      <c r="V114" s="21">
        <f t="shared" si="116"/>
        <v>0</v>
      </c>
      <c r="W114" s="50">
        <f t="shared" si="117"/>
        <v>0.2221215296009475</v>
      </c>
      <c r="X114" s="21">
        <f t="shared" si="118"/>
        <v>0</v>
      </c>
      <c r="Y114" s="21">
        <f t="shared" si="119"/>
        <v>106083.50625706691</v>
      </c>
      <c r="Z114" s="21">
        <f t="shared" si="120"/>
        <v>-106083.50625706691</v>
      </c>
      <c r="AA114" s="21">
        <f t="shared" si="121"/>
        <v>-55588.371515508865</v>
      </c>
      <c r="AB114" s="21">
        <f t="shared" si="122"/>
        <v>699888.48832837737</v>
      </c>
      <c r="AC114" s="21">
        <f t="shared" si="71"/>
        <v>718937.59286789666</v>
      </c>
      <c r="AD114" s="21">
        <f t="shared" si="72"/>
        <v>1418826.0811962741</v>
      </c>
      <c r="AE114" s="21">
        <f t="shared" si="123"/>
        <v>0</v>
      </c>
      <c r="AF114" s="54">
        <f t="shared" si="73"/>
        <v>0</v>
      </c>
      <c r="AG114" s="21">
        <f t="shared" si="74"/>
        <v>0</v>
      </c>
      <c r="AH114" s="21">
        <f t="shared" si="75"/>
        <v>0</v>
      </c>
      <c r="AI114" s="21">
        <f t="shared" si="76"/>
        <v>0</v>
      </c>
      <c r="AJ114" s="54">
        <f t="shared" si="77"/>
        <v>0</v>
      </c>
      <c r="AK114" s="21">
        <f t="shared" si="78"/>
        <v>0</v>
      </c>
      <c r="AL114" s="21">
        <f t="shared" si="79"/>
        <v>0</v>
      </c>
      <c r="AM114" s="21">
        <f t="shared" si="80"/>
        <v>0</v>
      </c>
      <c r="AN114" s="54">
        <f t="shared" si="81"/>
        <v>0</v>
      </c>
      <c r="AO114" s="21">
        <f t="shared" si="82"/>
        <v>0</v>
      </c>
      <c r="AP114" s="21">
        <f t="shared" si="83"/>
        <v>0</v>
      </c>
      <c r="AQ114" s="21">
        <f t="shared" si="84"/>
        <v>0</v>
      </c>
      <c r="AR114" s="54">
        <f t="shared" si="85"/>
        <v>0</v>
      </c>
      <c r="AS114" s="21">
        <f t="shared" si="86"/>
        <v>0</v>
      </c>
      <c r="AT114" s="21">
        <f t="shared" si="87"/>
        <v>0</v>
      </c>
      <c r="AU114" s="21">
        <f t="shared" si="88"/>
        <v>0</v>
      </c>
      <c r="AV114" s="54">
        <f t="shared" si="89"/>
        <v>0</v>
      </c>
      <c r="AW114" s="21">
        <f t="shared" si="90"/>
        <v>0</v>
      </c>
      <c r="AX114" s="21">
        <f t="shared" si="91"/>
        <v>0</v>
      </c>
      <c r="AY114" s="21">
        <f t="shared" si="92"/>
        <v>0</v>
      </c>
      <c r="AZ114" s="54">
        <f t="shared" si="93"/>
        <v>0</v>
      </c>
      <c r="BA114" s="21">
        <f t="shared" si="94"/>
        <v>0</v>
      </c>
      <c r="BB114" s="21">
        <f t="shared" si="95"/>
        <v>0</v>
      </c>
      <c r="BC114" s="21">
        <f t="shared" si="96"/>
        <v>0</v>
      </c>
      <c r="BD114" s="54">
        <f t="shared" si="97"/>
        <v>0</v>
      </c>
      <c r="BE114" s="21">
        <f t="shared" si="98"/>
        <v>0</v>
      </c>
      <c r="BF114" s="21">
        <f t="shared" si="99"/>
        <v>0</v>
      </c>
      <c r="BG114" s="21">
        <f t="shared" si="100"/>
        <v>0</v>
      </c>
      <c r="BH114" s="54">
        <f t="shared" si="101"/>
        <v>0</v>
      </c>
      <c r="BI114" s="21">
        <f t="shared" si="102"/>
        <v>0</v>
      </c>
      <c r="BJ114" s="21">
        <f t="shared" si="103"/>
        <v>0</v>
      </c>
      <c r="BK114" s="21">
        <f t="shared" si="104"/>
        <v>0</v>
      </c>
    </row>
    <row r="115" spans="1:63" x14ac:dyDescent="0.25">
      <c r="A115" s="51">
        <v>47</v>
      </c>
      <c r="B115" s="51">
        <f t="shared" si="62"/>
        <v>81</v>
      </c>
      <c r="C115" s="52" t="b">
        <f t="shared" si="63"/>
        <v>1</v>
      </c>
      <c r="D115" s="54">
        <f t="shared" si="64"/>
        <v>1.4853E-2</v>
      </c>
      <c r="E115" s="54">
        <f t="shared" si="65"/>
        <v>1.2199999999999999E-3</v>
      </c>
      <c r="F115" s="54">
        <f t="shared" si="66"/>
        <v>7.0373692000000002E-2</v>
      </c>
      <c r="G115" s="54">
        <f t="shared" si="67"/>
        <v>2.0394821E-2</v>
      </c>
      <c r="H115" s="54">
        <f t="shared" si="68"/>
        <v>2.1000000000000001E-4</v>
      </c>
      <c r="I115" s="54">
        <f t="shared" si="105"/>
        <v>0.85080037717554458</v>
      </c>
      <c r="J115" s="54">
        <f t="shared" si="69"/>
        <v>0.83559069471906622</v>
      </c>
      <c r="K115" s="54">
        <f t="shared" si="106"/>
        <v>0.80139176133211143</v>
      </c>
      <c r="L115" s="54">
        <f t="shared" si="107"/>
        <v>0.19860823866788857</v>
      </c>
      <c r="M115" s="54">
        <f t="shared" si="108"/>
        <v>1.6684519308000856E-2</v>
      </c>
      <c r="N115" s="54">
        <f t="shared" si="109"/>
        <v>0.99017752227914335</v>
      </c>
      <c r="O115" s="54">
        <f t="shared" si="110"/>
        <v>9.6144967651773383E-3</v>
      </c>
      <c r="P115" s="54">
        <f t="shared" si="111"/>
        <v>0.50101135193109525</v>
      </c>
      <c r="Q115" s="54">
        <f t="shared" si="112"/>
        <v>0.23173212881700311</v>
      </c>
      <c r="R115" s="50">
        <f t="shared" si="70"/>
        <v>2.9117546953910143</v>
      </c>
      <c r="S115" s="21">
        <f t="shared" si="113"/>
        <v>0</v>
      </c>
      <c r="T115" s="50">
        <f t="shared" si="114"/>
        <v>4.7255455193810727</v>
      </c>
      <c r="U115" s="21">
        <f t="shared" si="115"/>
        <v>0</v>
      </c>
      <c r="V115" s="21">
        <f t="shared" si="116"/>
        <v>0</v>
      </c>
      <c r="W115" s="50">
        <f t="shared" si="117"/>
        <v>0.24332168214974753</v>
      </c>
      <c r="X115" s="21">
        <f t="shared" si="118"/>
        <v>0</v>
      </c>
      <c r="Y115" s="21">
        <f t="shared" si="119"/>
        <v>108523.42690097941</v>
      </c>
      <c r="Z115" s="21">
        <f t="shared" si="120"/>
        <v>-108523.42690097941</v>
      </c>
      <c r="AA115" s="21">
        <f t="shared" si="121"/>
        <v>-62552.250603923821</v>
      </c>
      <c r="AB115" s="21">
        <f t="shared" si="122"/>
        <v>537211.4726834147</v>
      </c>
      <c r="AC115" s="21">
        <f t="shared" si="71"/>
        <v>749776.04616829357</v>
      </c>
      <c r="AD115" s="21">
        <f t="shared" si="72"/>
        <v>1286987.5188517082</v>
      </c>
      <c r="AE115" s="21">
        <f t="shared" si="123"/>
        <v>0</v>
      </c>
      <c r="AF115" s="54">
        <f t="shared" si="73"/>
        <v>0</v>
      </c>
      <c r="AG115" s="21">
        <f t="shared" si="74"/>
        <v>0</v>
      </c>
      <c r="AH115" s="21">
        <f t="shared" si="75"/>
        <v>0</v>
      </c>
      <c r="AI115" s="21">
        <f t="shared" si="76"/>
        <v>0</v>
      </c>
      <c r="AJ115" s="54">
        <f t="shared" si="77"/>
        <v>0</v>
      </c>
      <c r="AK115" s="21">
        <f t="shared" si="78"/>
        <v>0</v>
      </c>
      <c r="AL115" s="21">
        <f t="shared" si="79"/>
        <v>0</v>
      </c>
      <c r="AM115" s="21">
        <f t="shared" si="80"/>
        <v>0</v>
      </c>
      <c r="AN115" s="54">
        <f t="shared" si="81"/>
        <v>0</v>
      </c>
      <c r="AO115" s="21">
        <f t="shared" si="82"/>
        <v>0</v>
      </c>
      <c r="AP115" s="21">
        <f t="shared" si="83"/>
        <v>0</v>
      </c>
      <c r="AQ115" s="21">
        <f t="shared" si="84"/>
        <v>0</v>
      </c>
      <c r="AR115" s="54">
        <f t="shared" si="85"/>
        <v>0</v>
      </c>
      <c r="AS115" s="21">
        <f t="shared" si="86"/>
        <v>0</v>
      </c>
      <c r="AT115" s="21">
        <f t="shared" si="87"/>
        <v>0</v>
      </c>
      <c r="AU115" s="21">
        <f t="shared" si="88"/>
        <v>0</v>
      </c>
      <c r="AV115" s="54">
        <f t="shared" si="89"/>
        <v>0</v>
      </c>
      <c r="AW115" s="21">
        <f t="shared" si="90"/>
        <v>0</v>
      </c>
      <c r="AX115" s="21">
        <f t="shared" si="91"/>
        <v>0</v>
      </c>
      <c r="AY115" s="21">
        <f t="shared" si="92"/>
        <v>0</v>
      </c>
      <c r="AZ115" s="54">
        <f t="shared" si="93"/>
        <v>0</v>
      </c>
      <c r="BA115" s="21">
        <f t="shared" si="94"/>
        <v>0</v>
      </c>
      <c r="BB115" s="21">
        <f t="shared" si="95"/>
        <v>0</v>
      </c>
      <c r="BC115" s="21">
        <f t="shared" si="96"/>
        <v>0</v>
      </c>
      <c r="BD115" s="54">
        <f t="shared" si="97"/>
        <v>0</v>
      </c>
      <c r="BE115" s="21">
        <f t="shared" si="98"/>
        <v>0</v>
      </c>
      <c r="BF115" s="21">
        <f t="shared" si="99"/>
        <v>0</v>
      </c>
      <c r="BG115" s="21">
        <f t="shared" si="100"/>
        <v>0</v>
      </c>
      <c r="BH115" s="54">
        <f t="shared" si="101"/>
        <v>0</v>
      </c>
      <c r="BI115" s="21">
        <f t="shared" si="102"/>
        <v>0</v>
      </c>
      <c r="BJ115" s="21">
        <f t="shared" si="103"/>
        <v>0</v>
      </c>
      <c r="BK115" s="21">
        <f t="shared" si="104"/>
        <v>0</v>
      </c>
    </row>
    <row r="116" spans="1:63" x14ac:dyDescent="0.25">
      <c r="A116" s="51">
        <v>48</v>
      </c>
      <c r="B116" s="51">
        <f t="shared" si="62"/>
        <v>82</v>
      </c>
      <c r="C116" s="52" t="b">
        <f t="shared" si="63"/>
        <v>1</v>
      </c>
      <c r="D116" s="54">
        <f t="shared" si="64"/>
        <v>1.65591E-2</v>
      </c>
      <c r="E116" s="54">
        <f t="shared" si="65"/>
        <v>1.34E-3</v>
      </c>
      <c r="F116" s="54">
        <f t="shared" si="66"/>
        <v>7.8457016000000004E-2</v>
      </c>
      <c r="G116" s="54">
        <f t="shared" si="67"/>
        <v>2.2264448999999999E-2</v>
      </c>
      <c r="H116" s="54">
        <f t="shared" si="68"/>
        <v>2.1000000000000001E-4</v>
      </c>
      <c r="I116" s="54">
        <f t="shared" si="105"/>
        <v>0.83559069471906622</v>
      </c>
      <c r="J116" s="54">
        <f t="shared" si="69"/>
        <v>0.81893886274177607</v>
      </c>
      <c r="K116" s="54">
        <f t="shared" si="106"/>
        <v>0.78354921533291244</v>
      </c>
      <c r="L116" s="54">
        <f t="shared" si="107"/>
        <v>0.21645078466708756</v>
      </c>
      <c r="M116" s="54">
        <f t="shared" si="108"/>
        <v>1.7842545999198964E-2</v>
      </c>
      <c r="N116" s="54">
        <f t="shared" si="109"/>
        <v>0.98996958499946464</v>
      </c>
      <c r="O116" s="54">
        <f t="shared" si="110"/>
        <v>9.8224777208566483E-3</v>
      </c>
      <c r="P116" s="54">
        <f t="shared" si="111"/>
        <v>0.46170349627645568</v>
      </c>
      <c r="Q116" s="54">
        <f t="shared" si="112"/>
        <v>0.25546220660735197</v>
      </c>
      <c r="R116" s="50">
        <f t="shared" si="70"/>
        <v>2.9787250533850074</v>
      </c>
      <c r="S116" s="21">
        <f t="shared" si="113"/>
        <v>0</v>
      </c>
      <c r="T116" s="50">
        <f t="shared" si="114"/>
        <v>4.8852689579361535</v>
      </c>
      <c r="U116" s="21">
        <f t="shared" si="115"/>
        <v>0</v>
      </c>
      <c r="V116" s="21">
        <f t="shared" si="116"/>
        <v>0</v>
      </c>
      <c r="W116" s="50">
        <f t="shared" si="117"/>
        <v>0.26621422058752198</v>
      </c>
      <c r="X116" s="21">
        <f t="shared" si="118"/>
        <v>0</v>
      </c>
      <c r="Y116" s="21">
        <f t="shared" si="119"/>
        <v>111019.46571970193</v>
      </c>
      <c r="Z116" s="21">
        <f t="shared" si="120"/>
        <v>-111019.46571970193</v>
      </c>
      <c r="AA116" s="21">
        <f t="shared" si="121"/>
        <v>-70338.105054696527</v>
      </c>
      <c r="AB116" s="21">
        <f t="shared" si="122"/>
        <v>362300.43958121713</v>
      </c>
      <c r="AC116" s="21">
        <f t="shared" si="71"/>
        <v>781937.29884849058</v>
      </c>
      <c r="AD116" s="21">
        <f t="shared" si="72"/>
        <v>1144237.7384297077</v>
      </c>
      <c r="AE116" s="21">
        <f t="shared" si="123"/>
        <v>0</v>
      </c>
      <c r="AF116" s="54">
        <f t="shared" si="73"/>
        <v>0</v>
      </c>
      <c r="AG116" s="21">
        <f t="shared" si="74"/>
        <v>0</v>
      </c>
      <c r="AH116" s="21">
        <f t="shared" si="75"/>
        <v>0</v>
      </c>
      <c r="AI116" s="21">
        <f t="shared" si="76"/>
        <v>0</v>
      </c>
      <c r="AJ116" s="54">
        <f t="shared" si="77"/>
        <v>0</v>
      </c>
      <c r="AK116" s="21">
        <f t="shared" si="78"/>
        <v>0</v>
      </c>
      <c r="AL116" s="21">
        <f t="shared" si="79"/>
        <v>0</v>
      </c>
      <c r="AM116" s="21">
        <f t="shared" si="80"/>
        <v>0</v>
      </c>
      <c r="AN116" s="54">
        <f t="shared" si="81"/>
        <v>0</v>
      </c>
      <c r="AO116" s="21">
        <f t="shared" si="82"/>
        <v>0</v>
      </c>
      <c r="AP116" s="21">
        <f t="shared" si="83"/>
        <v>0</v>
      </c>
      <c r="AQ116" s="21">
        <f t="shared" si="84"/>
        <v>0</v>
      </c>
      <c r="AR116" s="54">
        <f t="shared" si="85"/>
        <v>0</v>
      </c>
      <c r="AS116" s="21">
        <f t="shared" si="86"/>
        <v>0</v>
      </c>
      <c r="AT116" s="21">
        <f t="shared" si="87"/>
        <v>0</v>
      </c>
      <c r="AU116" s="21">
        <f t="shared" si="88"/>
        <v>0</v>
      </c>
      <c r="AV116" s="54">
        <f t="shared" si="89"/>
        <v>0</v>
      </c>
      <c r="AW116" s="21">
        <f t="shared" si="90"/>
        <v>0</v>
      </c>
      <c r="AX116" s="21">
        <f t="shared" si="91"/>
        <v>0</v>
      </c>
      <c r="AY116" s="21">
        <f t="shared" si="92"/>
        <v>0</v>
      </c>
      <c r="AZ116" s="54">
        <f t="shared" si="93"/>
        <v>0</v>
      </c>
      <c r="BA116" s="21">
        <f t="shared" si="94"/>
        <v>0</v>
      </c>
      <c r="BB116" s="21">
        <f t="shared" si="95"/>
        <v>0</v>
      </c>
      <c r="BC116" s="21">
        <f t="shared" si="96"/>
        <v>0</v>
      </c>
      <c r="BD116" s="54">
        <f t="shared" si="97"/>
        <v>0</v>
      </c>
      <c r="BE116" s="21">
        <f t="shared" si="98"/>
        <v>0</v>
      </c>
      <c r="BF116" s="21">
        <f t="shared" si="99"/>
        <v>0</v>
      </c>
      <c r="BG116" s="21">
        <f t="shared" si="100"/>
        <v>0</v>
      </c>
      <c r="BH116" s="54">
        <f t="shared" si="101"/>
        <v>0</v>
      </c>
      <c r="BI116" s="21">
        <f t="shared" si="102"/>
        <v>0</v>
      </c>
      <c r="BJ116" s="21">
        <f t="shared" si="103"/>
        <v>0</v>
      </c>
      <c r="BK116" s="21">
        <f t="shared" si="104"/>
        <v>0</v>
      </c>
    </row>
    <row r="117" spans="1:63" x14ac:dyDescent="0.25">
      <c r="A117" s="51">
        <v>49</v>
      </c>
      <c r="B117" s="51">
        <f t="shared" si="62"/>
        <v>83</v>
      </c>
      <c r="C117" s="52" t="b">
        <f t="shared" si="63"/>
        <v>1</v>
      </c>
      <c r="D117" s="54">
        <f t="shared" si="64"/>
        <v>1.8455900000000001E-2</v>
      </c>
      <c r="E117" s="54">
        <f t="shared" si="65"/>
        <v>1.5E-3</v>
      </c>
      <c r="F117" s="54">
        <f t="shared" si="66"/>
        <v>8.7443816999999993E-2</v>
      </c>
      <c r="G117" s="54">
        <f t="shared" si="67"/>
        <v>2.4281395000000001E-2</v>
      </c>
      <c r="H117" s="54">
        <f t="shared" si="68"/>
        <v>2.1000000000000001E-4</v>
      </c>
      <c r="I117" s="54">
        <f t="shared" si="105"/>
        <v>0.81893886274177607</v>
      </c>
      <c r="J117" s="54">
        <f t="shared" si="69"/>
        <v>0.80071924908175884</v>
      </c>
      <c r="K117" s="54">
        <f t="shared" si="106"/>
        <v>0.76452354733347394</v>
      </c>
      <c r="L117" s="54">
        <f t="shared" si="107"/>
        <v>0.23547645266652606</v>
      </c>
      <c r="M117" s="54">
        <f t="shared" si="108"/>
        <v>1.9025667999438504E-2</v>
      </c>
      <c r="N117" s="54">
        <f t="shared" si="109"/>
        <v>0.98976169138661474</v>
      </c>
      <c r="O117" s="54">
        <f t="shared" si="110"/>
        <v>1.0030415000535364E-2</v>
      </c>
      <c r="P117" s="54">
        <f t="shared" si="111"/>
        <v>0.42133038023979708</v>
      </c>
      <c r="Q117" s="54">
        <f t="shared" si="112"/>
        <v>0.28119727555510532</v>
      </c>
      <c r="R117" s="50">
        <f t="shared" si="70"/>
        <v>3.0472357296128623</v>
      </c>
      <c r="S117" s="21">
        <f t="shared" si="113"/>
        <v>0</v>
      </c>
      <c r="T117" s="50">
        <f t="shared" si="114"/>
        <v>5.0503910487143955</v>
      </c>
      <c r="U117" s="21">
        <f t="shared" si="115"/>
        <v>0</v>
      </c>
      <c r="V117" s="21">
        <f t="shared" si="116"/>
        <v>0</v>
      </c>
      <c r="W117" s="50">
        <f t="shared" si="117"/>
        <v>0.29086115764833281</v>
      </c>
      <c r="X117" s="21">
        <f t="shared" si="118"/>
        <v>0</v>
      </c>
      <c r="Y117" s="21">
        <f t="shared" si="119"/>
        <v>113572.91343125506</v>
      </c>
      <c r="Z117" s="21">
        <f t="shared" si="120"/>
        <v>-113572.91343125506</v>
      </c>
      <c r="AA117" s="21">
        <f t="shared" si="121"/>
        <v>-79033.593415818352</v>
      </c>
      <c r="AB117" s="21">
        <f t="shared" si="122"/>
        <v>174041.53800911832</v>
      </c>
      <c r="AC117" s="21">
        <f t="shared" si="71"/>
        <v>815478.09169837658</v>
      </c>
      <c r="AD117" s="21">
        <f t="shared" si="72"/>
        <v>989519.62970749487</v>
      </c>
      <c r="AE117" s="21">
        <f t="shared" si="123"/>
        <v>0</v>
      </c>
      <c r="AF117" s="54">
        <f t="shared" si="73"/>
        <v>0</v>
      </c>
      <c r="AG117" s="21">
        <f t="shared" si="74"/>
        <v>0</v>
      </c>
      <c r="AH117" s="21">
        <f t="shared" si="75"/>
        <v>0</v>
      </c>
      <c r="AI117" s="21">
        <f t="shared" si="76"/>
        <v>0</v>
      </c>
      <c r="AJ117" s="54">
        <f t="shared" si="77"/>
        <v>0</v>
      </c>
      <c r="AK117" s="21">
        <f t="shared" si="78"/>
        <v>0</v>
      </c>
      <c r="AL117" s="21">
        <f t="shared" si="79"/>
        <v>0</v>
      </c>
      <c r="AM117" s="21">
        <f t="shared" si="80"/>
        <v>0</v>
      </c>
      <c r="AN117" s="54">
        <f t="shared" si="81"/>
        <v>0</v>
      </c>
      <c r="AO117" s="21">
        <f t="shared" si="82"/>
        <v>0</v>
      </c>
      <c r="AP117" s="21">
        <f t="shared" si="83"/>
        <v>0</v>
      </c>
      <c r="AQ117" s="21">
        <f t="shared" si="84"/>
        <v>0</v>
      </c>
      <c r="AR117" s="54">
        <f t="shared" si="85"/>
        <v>0</v>
      </c>
      <c r="AS117" s="21">
        <f t="shared" si="86"/>
        <v>0</v>
      </c>
      <c r="AT117" s="21">
        <f t="shared" si="87"/>
        <v>0</v>
      </c>
      <c r="AU117" s="21">
        <f t="shared" si="88"/>
        <v>0</v>
      </c>
      <c r="AV117" s="54">
        <f t="shared" si="89"/>
        <v>0</v>
      </c>
      <c r="AW117" s="21">
        <f t="shared" si="90"/>
        <v>0</v>
      </c>
      <c r="AX117" s="21">
        <f t="shared" si="91"/>
        <v>0</v>
      </c>
      <c r="AY117" s="21">
        <f t="shared" si="92"/>
        <v>0</v>
      </c>
      <c r="AZ117" s="54">
        <f t="shared" si="93"/>
        <v>0</v>
      </c>
      <c r="BA117" s="21">
        <f t="shared" si="94"/>
        <v>0</v>
      </c>
      <c r="BB117" s="21">
        <f t="shared" si="95"/>
        <v>0</v>
      </c>
      <c r="BC117" s="21">
        <f t="shared" si="96"/>
        <v>0</v>
      </c>
      <c r="BD117" s="54">
        <f t="shared" si="97"/>
        <v>0</v>
      </c>
      <c r="BE117" s="21">
        <f t="shared" si="98"/>
        <v>0</v>
      </c>
      <c r="BF117" s="21">
        <f t="shared" si="99"/>
        <v>0</v>
      </c>
      <c r="BG117" s="21">
        <f t="shared" si="100"/>
        <v>0</v>
      </c>
      <c r="BH117" s="54">
        <f t="shared" si="101"/>
        <v>0</v>
      </c>
      <c r="BI117" s="21">
        <f t="shared" si="102"/>
        <v>0</v>
      </c>
      <c r="BJ117" s="21">
        <f t="shared" si="103"/>
        <v>0</v>
      </c>
      <c r="BK117" s="21">
        <f t="shared" si="104"/>
        <v>0</v>
      </c>
    </row>
    <row r="118" spans="1:63" x14ac:dyDescent="0.25">
      <c r="A118" s="51">
        <v>50</v>
      </c>
      <c r="B118" s="51">
        <f t="shared" si="62"/>
        <v>84</v>
      </c>
      <c r="C118" s="52" t="b">
        <f t="shared" si="63"/>
        <v>1</v>
      </c>
      <c r="D118" s="54">
        <f t="shared" si="64"/>
        <v>2.05632E-2</v>
      </c>
      <c r="E118" s="54">
        <f t="shared" si="65"/>
        <v>1.72E-3</v>
      </c>
      <c r="F118" s="54">
        <f t="shared" si="66"/>
        <v>9.7428442000000004E-2</v>
      </c>
      <c r="G118" s="54">
        <f t="shared" si="67"/>
        <v>2.6453846999999999E-2</v>
      </c>
      <c r="H118" s="54">
        <f t="shared" si="68"/>
        <v>2.1000000000000001E-4</v>
      </c>
      <c r="I118" s="54">
        <f t="shared" si="105"/>
        <v>0.80071924908175884</v>
      </c>
      <c r="J118" s="54">
        <f t="shared" si="69"/>
        <v>0.78080747192011679</v>
      </c>
      <c r="K118" s="54">
        <f t="shared" si="106"/>
        <v>0.74429895838441695</v>
      </c>
      <c r="L118" s="54">
        <f t="shared" si="107"/>
        <v>0.25570104161558305</v>
      </c>
      <c r="M118" s="54">
        <f t="shared" si="108"/>
        <v>2.0224588949056977E-2</v>
      </c>
      <c r="N118" s="54">
        <f t="shared" si="109"/>
        <v>0.98955384143142355</v>
      </c>
      <c r="O118" s="54">
        <f t="shared" si="110"/>
        <v>1.0238308613385261E-2</v>
      </c>
      <c r="P118" s="54">
        <f t="shared" si="111"/>
        <v>0.38028081772576605</v>
      </c>
      <c r="Q118" s="54">
        <f t="shared" si="112"/>
        <v>0.30900292020197517</v>
      </c>
      <c r="R118" s="50">
        <f t="shared" si="70"/>
        <v>3.1173221513939584</v>
      </c>
      <c r="S118" s="21">
        <f t="shared" si="113"/>
        <v>0</v>
      </c>
      <c r="T118" s="50">
        <f t="shared" si="114"/>
        <v>5.2210942661609421</v>
      </c>
      <c r="U118" s="21">
        <f t="shared" si="115"/>
        <v>0</v>
      </c>
      <c r="V118" s="21">
        <f t="shared" si="116"/>
        <v>0</v>
      </c>
      <c r="W118" s="50">
        <f t="shared" si="117"/>
        <v>0.31730843140627307</v>
      </c>
      <c r="X118" s="21">
        <f t="shared" si="118"/>
        <v>0</v>
      </c>
      <c r="Y118" s="21">
        <f t="shared" si="119"/>
        <v>116185.09044017392</v>
      </c>
      <c r="Z118" s="21">
        <f t="shared" si="120"/>
        <v>-116185.09044017392</v>
      </c>
      <c r="AA118" s="21">
        <f t="shared" si="121"/>
        <v>-88735.840339857648</v>
      </c>
      <c r="AB118" s="21">
        <f t="shared" si="122"/>
        <v>-28790.894314803823</v>
      </c>
      <c r="AC118" s="21">
        <f t="shared" si="71"/>
        <v>850457.5993744455</v>
      </c>
      <c r="AD118" s="21">
        <f t="shared" si="72"/>
        <v>821666.70505964174</v>
      </c>
      <c r="AE118" s="21">
        <f t="shared" si="123"/>
        <v>0</v>
      </c>
      <c r="AF118" s="54">
        <f t="shared" si="73"/>
        <v>0</v>
      </c>
      <c r="AG118" s="21">
        <f t="shared" si="74"/>
        <v>0</v>
      </c>
      <c r="AH118" s="21">
        <f t="shared" si="75"/>
        <v>0</v>
      </c>
      <c r="AI118" s="21">
        <f t="shared" si="76"/>
        <v>0</v>
      </c>
      <c r="AJ118" s="54">
        <f t="shared" si="77"/>
        <v>0</v>
      </c>
      <c r="AK118" s="21">
        <f t="shared" si="78"/>
        <v>0</v>
      </c>
      <c r="AL118" s="21">
        <f t="shared" si="79"/>
        <v>0</v>
      </c>
      <c r="AM118" s="21">
        <f t="shared" si="80"/>
        <v>0</v>
      </c>
      <c r="AN118" s="54">
        <f t="shared" si="81"/>
        <v>0</v>
      </c>
      <c r="AO118" s="21">
        <f t="shared" si="82"/>
        <v>0</v>
      </c>
      <c r="AP118" s="21">
        <f t="shared" si="83"/>
        <v>0</v>
      </c>
      <c r="AQ118" s="21">
        <f t="shared" si="84"/>
        <v>0</v>
      </c>
      <c r="AR118" s="54">
        <f t="shared" si="85"/>
        <v>0</v>
      </c>
      <c r="AS118" s="21">
        <f t="shared" si="86"/>
        <v>0</v>
      </c>
      <c r="AT118" s="21">
        <f t="shared" si="87"/>
        <v>0</v>
      </c>
      <c r="AU118" s="21">
        <f t="shared" si="88"/>
        <v>0</v>
      </c>
      <c r="AV118" s="54">
        <f t="shared" si="89"/>
        <v>0</v>
      </c>
      <c r="AW118" s="21">
        <f t="shared" si="90"/>
        <v>0</v>
      </c>
      <c r="AX118" s="21">
        <f t="shared" si="91"/>
        <v>0</v>
      </c>
      <c r="AY118" s="21">
        <f t="shared" si="92"/>
        <v>0</v>
      </c>
      <c r="AZ118" s="54">
        <f t="shared" si="93"/>
        <v>0</v>
      </c>
      <c r="BA118" s="21">
        <f t="shared" si="94"/>
        <v>0</v>
      </c>
      <c r="BB118" s="21">
        <f t="shared" si="95"/>
        <v>0</v>
      </c>
      <c r="BC118" s="21">
        <f t="shared" si="96"/>
        <v>0</v>
      </c>
      <c r="BD118" s="54">
        <f t="shared" si="97"/>
        <v>0</v>
      </c>
      <c r="BE118" s="21">
        <f t="shared" si="98"/>
        <v>0</v>
      </c>
      <c r="BF118" s="21">
        <f t="shared" si="99"/>
        <v>0</v>
      </c>
      <c r="BG118" s="21">
        <f t="shared" si="100"/>
        <v>0</v>
      </c>
      <c r="BH118" s="54">
        <f t="shared" si="101"/>
        <v>0</v>
      </c>
      <c r="BI118" s="21">
        <f t="shared" si="102"/>
        <v>0</v>
      </c>
      <c r="BJ118" s="21">
        <f t="shared" si="103"/>
        <v>0</v>
      </c>
      <c r="BK118" s="21">
        <f t="shared" si="104"/>
        <v>0</v>
      </c>
    </row>
    <row r="119" spans="1:63" x14ac:dyDescent="0.25">
      <c r="A119" s="51">
        <v>51</v>
      </c>
      <c r="B119" s="51">
        <f t="shared" si="62"/>
        <v>85</v>
      </c>
      <c r="C119" s="52" t="b">
        <f t="shared" si="63"/>
        <v>1</v>
      </c>
      <c r="D119" s="54">
        <f t="shared" si="64"/>
        <v>2.2903400000000001E-2</v>
      </c>
      <c r="E119" s="54">
        <f t="shared" si="65"/>
        <v>2.0100000000000001E-3</v>
      </c>
      <c r="F119" s="54">
        <f t="shared" si="66"/>
        <v>0.108516428</v>
      </c>
      <c r="G119" s="54">
        <f t="shared" si="67"/>
        <v>2.8789868E-2</v>
      </c>
      <c r="H119" s="54">
        <f t="shared" si="68"/>
        <v>2.1000000000000001E-4</v>
      </c>
      <c r="I119" s="54">
        <f t="shared" si="105"/>
        <v>0.78080747192011679</v>
      </c>
      <c r="J119" s="54">
        <f t="shared" si="69"/>
        <v>0.7590861025982848</v>
      </c>
      <c r="K119" s="54">
        <f t="shared" si="106"/>
        <v>0.72287068961999201</v>
      </c>
      <c r="L119" s="54">
        <f t="shared" si="107"/>
        <v>0.27712931038000799</v>
      </c>
      <c r="M119" s="54">
        <f t="shared" si="108"/>
        <v>2.1428268764424857E-2</v>
      </c>
      <c r="N119" s="54">
        <f t="shared" si="109"/>
        <v>0.98934603512472286</v>
      </c>
      <c r="O119" s="54">
        <f t="shared" si="110"/>
        <v>1.0446158568576447E-2</v>
      </c>
      <c r="P119" s="54">
        <f t="shared" si="111"/>
        <v>0.33901410174924684</v>
      </c>
      <c r="Q119" s="54">
        <f t="shared" si="112"/>
        <v>0.33891959895000678</v>
      </c>
      <c r="R119" s="50">
        <f t="shared" si="70"/>
        <v>3.1890205608760187</v>
      </c>
      <c r="S119" s="21">
        <f t="shared" si="113"/>
        <v>0</v>
      </c>
      <c r="T119" s="50">
        <f t="shared" si="114"/>
        <v>5.3975672523571818</v>
      </c>
      <c r="U119" s="21">
        <f t="shared" si="115"/>
        <v>0</v>
      </c>
      <c r="V119" s="21">
        <f t="shared" si="116"/>
        <v>0</v>
      </c>
      <c r="W119" s="50">
        <f t="shared" si="117"/>
        <v>0.34558188690269892</v>
      </c>
      <c r="X119" s="21">
        <f t="shared" si="118"/>
        <v>0</v>
      </c>
      <c r="Y119" s="21">
        <f t="shared" si="119"/>
        <v>118857.3475202979</v>
      </c>
      <c r="Z119" s="21">
        <f t="shared" si="120"/>
        <v>-118857.3475202979</v>
      </c>
      <c r="AA119" s="21">
        <f t="shared" si="121"/>
        <v>-99553.048232099754</v>
      </c>
      <c r="AB119" s="21">
        <f t="shared" si="122"/>
        <v>-247546.7807989791</v>
      </c>
      <c r="AC119" s="21">
        <f t="shared" si="71"/>
        <v>886937.53479923797</v>
      </c>
      <c r="AD119" s="21">
        <f t="shared" si="72"/>
        <v>639390.75400025886</v>
      </c>
      <c r="AE119" s="21">
        <f t="shared" si="123"/>
        <v>0</v>
      </c>
      <c r="AF119" s="54">
        <f t="shared" si="73"/>
        <v>0</v>
      </c>
      <c r="AG119" s="21">
        <f t="shared" si="74"/>
        <v>0</v>
      </c>
      <c r="AH119" s="21">
        <f t="shared" si="75"/>
        <v>0</v>
      </c>
      <c r="AI119" s="21">
        <f t="shared" si="76"/>
        <v>0</v>
      </c>
      <c r="AJ119" s="54">
        <f t="shared" si="77"/>
        <v>0</v>
      </c>
      <c r="AK119" s="21">
        <f t="shared" si="78"/>
        <v>0</v>
      </c>
      <c r="AL119" s="21">
        <f t="shared" si="79"/>
        <v>0</v>
      </c>
      <c r="AM119" s="21">
        <f t="shared" si="80"/>
        <v>0</v>
      </c>
      <c r="AN119" s="54">
        <f t="shared" si="81"/>
        <v>0</v>
      </c>
      <c r="AO119" s="21">
        <f t="shared" si="82"/>
        <v>0</v>
      </c>
      <c r="AP119" s="21">
        <f t="shared" si="83"/>
        <v>0</v>
      </c>
      <c r="AQ119" s="21">
        <f t="shared" si="84"/>
        <v>0</v>
      </c>
      <c r="AR119" s="54">
        <f t="shared" si="85"/>
        <v>0</v>
      </c>
      <c r="AS119" s="21">
        <f t="shared" si="86"/>
        <v>0</v>
      </c>
      <c r="AT119" s="21">
        <f t="shared" si="87"/>
        <v>0</v>
      </c>
      <c r="AU119" s="21">
        <f t="shared" si="88"/>
        <v>0</v>
      </c>
      <c r="AV119" s="54">
        <f t="shared" si="89"/>
        <v>0</v>
      </c>
      <c r="AW119" s="21">
        <f t="shared" si="90"/>
        <v>0</v>
      </c>
      <c r="AX119" s="21">
        <f t="shared" si="91"/>
        <v>0</v>
      </c>
      <c r="AY119" s="21">
        <f t="shared" si="92"/>
        <v>0</v>
      </c>
      <c r="AZ119" s="54">
        <f t="shared" si="93"/>
        <v>0</v>
      </c>
      <c r="BA119" s="21">
        <f t="shared" si="94"/>
        <v>0</v>
      </c>
      <c r="BB119" s="21">
        <f t="shared" si="95"/>
        <v>0</v>
      </c>
      <c r="BC119" s="21">
        <f t="shared" si="96"/>
        <v>0</v>
      </c>
      <c r="BD119" s="54">
        <f t="shared" si="97"/>
        <v>0</v>
      </c>
      <c r="BE119" s="21">
        <f t="shared" si="98"/>
        <v>0</v>
      </c>
      <c r="BF119" s="21">
        <f t="shared" si="99"/>
        <v>0</v>
      </c>
      <c r="BG119" s="21">
        <f t="shared" si="100"/>
        <v>0</v>
      </c>
      <c r="BH119" s="54">
        <f t="shared" si="101"/>
        <v>0</v>
      </c>
      <c r="BI119" s="21">
        <f t="shared" si="102"/>
        <v>0</v>
      </c>
      <c r="BJ119" s="21">
        <f t="shared" si="103"/>
        <v>0</v>
      </c>
      <c r="BK119" s="21">
        <f t="shared" si="104"/>
        <v>0</v>
      </c>
    </row>
    <row r="120" spans="1:63" x14ac:dyDescent="0.25">
      <c r="A120" s="51">
        <v>52</v>
      </c>
      <c r="B120" s="51">
        <f t="shared" si="62"/>
        <v>86</v>
      </c>
      <c r="C120" s="52" t="b">
        <f t="shared" si="63"/>
        <v>1</v>
      </c>
      <c r="D120" s="54">
        <f t="shared" si="64"/>
        <v>2.54998E-2</v>
      </c>
      <c r="E120" s="54">
        <f t="shared" si="65"/>
        <v>2.3800000000000002E-3</v>
      </c>
      <c r="F120" s="54">
        <f t="shared" si="66"/>
        <v>0.12081811200000001</v>
      </c>
      <c r="G120" s="54">
        <f t="shared" si="67"/>
        <v>3.1297274E-2</v>
      </c>
      <c r="H120" s="54">
        <f t="shared" si="68"/>
        <v>2.1000000000000001E-4</v>
      </c>
      <c r="I120" s="54">
        <f t="shared" si="105"/>
        <v>0.7590861025982848</v>
      </c>
      <c r="J120" s="54">
        <f t="shared" si="69"/>
        <v>0.73548016173111319</v>
      </c>
      <c r="K120" s="54">
        <f t="shared" si="106"/>
        <v>0.70024680758038615</v>
      </c>
      <c r="L120" s="54">
        <f t="shared" si="107"/>
        <v>0.29975319241961385</v>
      </c>
      <c r="M120" s="54">
        <f t="shared" si="108"/>
        <v>2.2623882039605844E-2</v>
      </c>
      <c r="N120" s="54">
        <f t="shared" si="109"/>
        <v>0.98913827245734665</v>
      </c>
      <c r="O120" s="54">
        <f t="shared" si="110"/>
        <v>1.0653964875277144E-2</v>
      </c>
      <c r="P120" s="54">
        <f t="shared" si="111"/>
        <v>0.29805505803452692</v>
      </c>
      <c r="Q120" s="54">
        <f t="shared" si="112"/>
        <v>0.37095950709629311</v>
      </c>
      <c r="R120" s="50">
        <f t="shared" si="70"/>
        <v>3.2623680337761667</v>
      </c>
      <c r="S120" s="21">
        <f t="shared" si="113"/>
        <v>0</v>
      </c>
      <c r="T120" s="50">
        <f t="shared" si="114"/>
        <v>5.5800050254868552</v>
      </c>
      <c r="U120" s="21">
        <f t="shared" si="115"/>
        <v>0</v>
      </c>
      <c r="V120" s="21">
        <f t="shared" si="116"/>
        <v>0</v>
      </c>
      <c r="W120" s="50">
        <f t="shared" si="117"/>
        <v>0.37568456406644546</v>
      </c>
      <c r="X120" s="21">
        <f t="shared" si="118"/>
        <v>0</v>
      </c>
      <c r="Y120" s="21">
        <f t="shared" si="119"/>
        <v>121591.06651326474</v>
      </c>
      <c r="Z120" s="21">
        <f t="shared" si="120"/>
        <v>-121591.06651326474</v>
      </c>
      <c r="AA120" s="21">
        <f t="shared" si="121"/>
        <v>-111601.12802527193</v>
      </c>
      <c r="AB120" s="21">
        <f t="shared" si="122"/>
        <v>-483709.53670710354</v>
      </c>
      <c r="AC120" s="21">
        <f t="shared" si="71"/>
        <v>924982.25803893793</v>
      </c>
      <c r="AD120" s="21">
        <f t="shared" si="72"/>
        <v>441272.72133183439</v>
      </c>
      <c r="AE120" s="21">
        <f t="shared" si="123"/>
        <v>0</v>
      </c>
      <c r="AF120" s="54">
        <f t="shared" si="73"/>
        <v>0</v>
      </c>
      <c r="AG120" s="21">
        <f t="shared" si="74"/>
        <v>0</v>
      </c>
      <c r="AH120" s="21">
        <f t="shared" si="75"/>
        <v>0</v>
      </c>
      <c r="AI120" s="21">
        <f t="shared" si="76"/>
        <v>0</v>
      </c>
      <c r="AJ120" s="54">
        <f t="shared" si="77"/>
        <v>0</v>
      </c>
      <c r="AK120" s="21">
        <f t="shared" si="78"/>
        <v>0</v>
      </c>
      <c r="AL120" s="21">
        <f t="shared" si="79"/>
        <v>0</v>
      </c>
      <c r="AM120" s="21">
        <f t="shared" si="80"/>
        <v>0</v>
      </c>
      <c r="AN120" s="54">
        <f t="shared" si="81"/>
        <v>0</v>
      </c>
      <c r="AO120" s="21">
        <f t="shared" si="82"/>
        <v>0</v>
      </c>
      <c r="AP120" s="21">
        <f t="shared" si="83"/>
        <v>0</v>
      </c>
      <c r="AQ120" s="21">
        <f t="shared" si="84"/>
        <v>0</v>
      </c>
      <c r="AR120" s="54">
        <f t="shared" si="85"/>
        <v>0</v>
      </c>
      <c r="AS120" s="21">
        <f t="shared" si="86"/>
        <v>0</v>
      </c>
      <c r="AT120" s="21">
        <f t="shared" si="87"/>
        <v>0</v>
      </c>
      <c r="AU120" s="21">
        <f t="shared" si="88"/>
        <v>0</v>
      </c>
      <c r="AV120" s="54">
        <f t="shared" si="89"/>
        <v>0</v>
      </c>
      <c r="AW120" s="21">
        <f t="shared" si="90"/>
        <v>0</v>
      </c>
      <c r="AX120" s="21">
        <f t="shared" si="91"/>
        <v>0</v>
      </c>
      <c r="AY120" s="21">
        <f t="shared" si="92"/>
        <v>0</v>
      </c>
      <c r="AZ120" s="54">
        <f t="shared" si="93"/>
        <v>0</v>
      </c>
      <c r="BA120" s="21">
        <f t="shared" si="94"/>
        <v>0</v>
      </c>
      <c r="BB120" s="21">
        <f t="shared" si="95"/>
        <v>0</v>
      </c>
      <c r="BC120" s="21">
        <f t="shared" si="96"/>
        <v>0</v>
      </c>
      <c r="BD120" s="54">
        <f t="shared" si="97"/>
        <v>0</v>
      </c>
      <c r="BE120" s="21">
        <f t="shared" si="98"/>
        <v>0</v>
      </c>
      <c r="BF120" s="21">
        <f t="shared" si="99"/>
        <v>0</v>
      </c>
      <c r="BG120" s="21">
        <f t="shared" si="100"/>
        <v>0</v>
      </c>
      <c r="BH120" s="54">
        <f t="shared" si="101"/>
        <v>0</v>
      </c>
      <c r="BI120" s="21">
        <f t="shared" si="102"/>
        <v>0</v>
      </c>
      <c r="BJ120" s="21">
        <f t="shared" si="103"/>
        <v>0</v>
      </c>
      <c r="BK120" s="21">
        <f t="shared" si="104"/>
        <v>0</v>
      </c>
    </row>
    <row r="121" spans="1:63" x14ac:dyDescent="0.25">
      <c r="A121" s="51">
        <v>53</v>
      </c>
      <c r="B121" s="51">
        <f t="shared" si="62"/>
        <v>87</v>
      </c>
      <c r="C121" s="52" t="b">
        <f t="shared" si="63"/>
        <v>1</v>
      </c>
      <c r="D121" s="54">
        <f t="shared" si="64"/>
        <v>2.8377300000000001E-2</v>
      </c>
      <c r="E121" s="54">
        <f t="shared" si="65"/>
        <v>2.8E-3</v>
      </c>
      <c r="F121" s="54">
        <f t="shared" si="66"/>
        <v>0.134451825</v>
      </c>
      <c r="G121" s="54">
        <f t="shared" si="67"/>
        <v>3.3983499E-2</v>
      </c>
      <c r="H121" s="54">
        <f t="shared" si="68"/>
        <v>2.1000000000000001E-4</v>
      </c>
      <c r="I121" s="54">
        <f t="shared" si="105"/>
        <v>0.73548016173111319</v>
      </c>
      <c r="J121" s="54">
        <f t="shared" si="69"/>
        <v>0.70993657775526142</v>
      </c>
      <c r="K121" s="54">
        <f t="shared" si="106"/>
        <v>0.67644997089522496</v>
      </c>
      <c r="L121" s="54">
        <f t="shared" si="107"/>
        <v>0.32355002910477504</v>
      </c>
      <c r="M121" s="54">
        <f t="shared" si="108"/>
        <v>2.3796836685161245E-2</v>
      </c>
      <c r="N121" s="54">
        <f t="shared" si="109"/>
        <v>0.98893055342013059</v>
      </c>
      <c r="O121" s="54">
        <f t="shared" si="110"/>
        <v>1.0861727542653354E-2</v>
      </c>
      <c r="P121" s="54">
        <f t="shared" si="111"/>
        <v>0.25798101153130387</v>
      </c>
      <c r="Q121" s="54">
        <f t="shared" si="112"/>
        <v>0.40509320420444517</v>
      </c>
      <c r="R121" s="50">
        <f t="shared" si="70"/>
        <v>3.337402498553018</v>
      </c>
      <c r="S121" s="21">
        <f t="shared" si="113"/>
        <v>0</v>
      </c>
      <c r="T121" s="50">
        <f t="shared" si="114"/>
        <v>5.7686091953483114</v>
      </c>
      <c r="U121" s="21">
        <f t="shared" si="115"/>
        <v>0</v>
      </c>
      <c r="V121" s="21">
        <f t="shared" si="116"/>
        <v>0</v>
      </c>
      <c r="W121" s="50">
        <f t="shared" si="117"/>
        <v>0.40758805833805134</v>
      </c>
      <c r="X121" s="21">
        <f t="shared" si="118"/>
        <v>0</v>
      </c>
      <c r="Y121" s="21">
        <f t="shared" si="119"/>
        <v>124387.66104306981</v>
      </c>
      <c r="Z121" s="21">
        <f t="shared" si="120"/>
        <v>-124387.66104306981</v>
      </c>
      <c r="AA121" s="21">
        <f t="shared" si="121"/>
        <v>-125006.28359956019</v>
      </c>
      <c r="AB121" s="21">
        <f t="shared" si="122"/>
        <v>-738907.99579021882</v>
      </c>
      <c r="AC121" s="21">
        <f t="shared" si="71"/>
        <v>964658.88985122205</v>
      </c>
      <c r="AD121" s="21">
        <f t="shared" si="72"/>
        <v>225750.89406100323</v>
      </c>
      <c r="AE121" s="21">
        <f t="shared" si="123"/>
        <v>0</v>
      </c>
      <c r="AF121" s="54">
        <f t="shared" si="73"/>
        <v>0</v>
      </c>
      <c r="AG121" s="21">
        <f t="shared" si="74"/>
        <v>0</v>
      </c>
      <c r="AH121" s="21">
        <f t="shared" si="75"/>
        <v>0</v>
      </c>
      <c r="AI121" s="21">
        <f t="shared" si="76"/>
        <v>0</v>
      </c>
      <c r="AJ121" s="54">
        <f t="shared" si="77"/>
        <v>0</v>
      </c>
      <c r="AK121" s="21">
        <f t="shared" si="78"/>
        <v>0</v>
      </c>
      <c r="AL121" s="21">
        <f t="shared" si="79"/>
        <v>0</v>
      </c>
      <c r="AM121" s="21">
        <f t="shared" si="80"/>
        <v>0</v>
      </c>
      <c r="AN121" s="54">
        <f t="shared" si="81"/>
        <v>0</v>
      </c>
      <c r="AO121" s="21">
        <f t="shared" si="82"/>
        <v>0</v>
      </c>
      <c r="AP121" s="21">
        <f t="shared" si="83"/>
        <v>0</v>
      </c>
      <c r="AQ121" s="21">
        <f t="shared" si="84"/>
        <v>0</v>
      </c>
      <c r="AR121" s="54">
        <f t="shared" si="85"/>
        <v>0</v>
      </c>
      <c r="AS121" s="21">
        <f t="shared" si="86"/>
        <v>0</v>
      </c>
      <c r="AT121" s="21">
        <f t="shared" si="87"/>
        <v>0</v>
      </c>
      <c r="AU121" s="21">
        <f t="shared" si="88"/>
        <v>0</v>
      </c>
      <c r="AV121" s="54">
        <f t="shared" si="89"/>
        <v>0</v>
      </c>
      <c r="AW121" s="21">
        <f t="shared" si="90"/>
        <v>0</v>
      </c>
      <c r="AX121" s="21">
        <f t="shared" si="91"/>
        <v>0</v>
      </c>
      <c r="AY121" s="21">
        <f t="shared" si="92"/>
        <v>0</v>
      </c>
      <c r="AZ121" s="54">
        <f t="shared" si="93"/>
        <v>0</v>
      </c>
      <c r="BA121" s="21">
        <f t="shared" si="94"/>
        <v>0</v>
      </c>
      <c r="BB121" s="21">
        <f t="shared" si="95"/>
        <v>0</v>
      </c>
      <c r="BC121" s="21">
        <f t="shared" si="96"/>
        <v>0</v>
      </c>
      <c r="BD121" s="54">
        <f t="shared" si="97"/>
        <v>0</v>
      </c>
      <c r="BE121" s="21">
        <f t="shared" si="98"/>
        <v>0</v>
      </c>
      <c r="BF121" s="21">
        <f t="shared" si="99"/>
        <v>0</v>
      </c>
      <c r="BG121" s="21">
        <f t="shared" si="100"/>
        <v>0</v>
      </c>
      <c r="BH121" s="54">
        <f t="shared" si="101"/>
        <v>0</v>
      </c>
      <c r="BI121" s="21">
        <f t="shared" si="102"/>
        <v>0</v>
      </c>
      <c r="BJ121" s="21">
        <f t="shared" si="103"/>
        <v>0</v>
      </c>
      <c r="BK121" s="21">
        <f t="shared" si="104"/>
        <v>0</v>
      </c>
    </row>
    <row r="122" spans="1:63" x14ac:dyDescent="0.25">
      <c r="A122" s="51">
        <v>54</v>
      </c>
      <c r="B122" s="51">
        <f t="shared" si="62"/>
        <v>88</v>
      </c>
      <c r="C122" s="52" t="b">
        <f t="shared" si="63"/>
        <v>1</v>
      </c>
      <c r="D122" s="54">
        <f t="shared" si="64"/>
        <v>3.15637E-2</v>
      </c>
      <c r="E122" s="54">
        <f t="shared" si="65"/>
        <v>3.2699999999999999E-3</v>
      </c>
      <c r="F122" s="54">
        <f t="shared" si="66"/>
        <v>0.14954869200000001</v>
      </c>
      <c r="G122" s="54">
        <f t="shared" si="67"/>
        <v>3.6855437999999997E-2</v>
      </c>
      <c r="H122" s="54">
        <f t="shared" si="68"/>
        <v>2.1000000000000001E-4</v>
      </c>
      <c r="I122" s="54">
        <f t="shared" si="105"/>
        <v>0.70993657775526142</v>
      </c>
      <c r="J122" s="54">
        <f t="shared" si="69"/>
        <v>0</v>
      </c>
      <c r="K122" s="54">
        <f t="shared" si="106"/>
        <v>0.65151911093279413</v>
      </c>
      <c r="L122" s="54">
        <f t="shared" si="107"/>
        <v>0.34848088906720587</v>
      </c>
      <c r="M122" s="54">
        <f t="shared" si="108"/>
        <v>2.4930859962430767E-2</v>
      </c>
      <c r="N122" s="54">
        <f t="shared" si="109"/>
        <v>0.98872287800391234</v>
      </c>
      <c r="O122" s="54">
        <f t="shared" si="110"/>
        <v>1.1069446579869413E-2</v>
      </c>
      <c r="P122" s="54">
        <f t="shared" si="111"/>
        <v>0.21940028869596045</v>
      </c>
      <c r="Q122" s="54">
        <f t="shared" si="112"/>
        <v>0.44124094010145476</v>
      </c>
      <c r="R122" s="50">
        <f t="shared" si="70"/>
        <v>3.4141627560197376</v>
      </c>
      <c r="S122" s="21">
        <f t="shared" si="113"/>
        <v>0</v>
      </c>
      <c r="T122" s="50">
        <f t="shared" si="114"/>
        <v>5.9635881861510844</v>
      </c>
      <c r="U122" s="21">
        <f t="shared" si="115"/>
        <v>0</v>
      </c>
      <c r="V122" s="21">
        <f t="shared" si="116"/>
        <v>0</v>
      </c>
      <c r="W122" s="50">
        <f t="shared" si="117"/>
        <v>0.44122664948204565</v>
      </c>
      <c r="X122" s="21">
        <f t="shared" si="118"/>
        <v>0</v>
      </c>
      <c r="Y122" s="21">
        <f t="shared" si="119"/>
        <v>127248.57724706043</v>
      </c>
      <c r="Z122" s="21">
        <f t="shared" si="120"/>
        <v>-127248.57724706043</v>
      </c>
      <c r="AA122" s="21">
        <f t="shared" si="121"/>
        <v>-139909.11290789137</v>
      </c>
      <c r="AB122" s="21">
        <f t="shared" si="122"/>
        <v>-1014932.5818946534</v>
      </c>
      <c r="AC122" s="21">
        <f t="shared" si="71"/>
        <v>1006037.4301036805</v>
      </c>
      <c r="AD122" s="21">
        <f t="shared" si="72"/>
        <v>0</v>
      </c>
      <c r="AE122" s="21">
        <f t="shared" si="123"/>
        <v>0</v>
      </c>
      <c r="AF122" s="54">
        <f t="shared" si="73"/>
        <v>0</v>
      </c>
      <c r="AG122" s="21">
        <f t="shared" si="74"/>
        <v>0</v>
      </c>
      <c r="AH122" s="21">
        <f t="shared" si="75"/>
        <v>0</v>
      </c>
      <c r="AI122" s="21">
        <f t="shared" si="76"/>
        <v>0</v>
      </c>
      <c r="AJ122" s="54">
        <f t="shared" si="77"/>
        <v>0</v>
      </c>
      <c r="AK122" s="21">
        <f t="shared" si="78"/>
        <v>0</v>
      </c>
      <c r="AL122" s="21">
        <f t="shared" si="79"/>
        <v>0</v>
      </c>
      <c r="AM122" s="21">
        <f t="shared" si="80"/>
        <v>0</v>
      </c>
      <c r="AN122" s="54">
        <f t="shared" si="81"/>
        <v>0</v>
      </c>
      <c r="AO122" s="21">
        <f t="shared" si="82"/>
        <v>0</v>
      </c>
      <c r="AP122" s="21">
        <f t="shared" si="83"/>
        <v>0</v>
      </c>
      <c r="AQ122" s="21">
        <f t="shared" si="84"/>
        <v>0</v>
      </c>
      <c r="AR122" s="54">
        <f t="shared" si="85"/>
        <v>0</v>
      </c>
      <c r="AS122" s="21">
        <f t="shared" si="86"/>
        <v>0</v>
      </c>
      <c r="AT122" s="21">
        <f t="shared" si="87"/>
        <v>0</v>
      </c>
      <c r="AU122" s="21">
        <f t="shared" si="88"/>
        <v>0</v>
      </c>
      <c r="AV122" s="54">
        <f t="shared" si="89"/>
        <v>0</v>
      </c>
      <c r="AW122" s="21">
        <f t="shared" si="90"/>
        <v>0</v>
      </c>
      <c r="AX122" s="21">
        <f t="shared" si="91"/>
        <v>0</v>
      </c>
      <c r="AY122" s="21">
        <f t="shared" si="92"/>
        <v>0</v>
      </c>
      <c r="AZ122" s="54">
        <f t="shared" si="93"/>
        <v>0</v>
      </c>
      <c r="BA122" s="21">
        <f t="shared" si="94"/>
        <v>0</v>
      </c>
      <c r="BB122" s="21">
        <f t="shared" si="95"/>
        <v>0</v>
      </c>
      <c r="BC122" s="21">
        <f t="shared" si="96"/>
        <v>0</v>
      </c>
      <c r="BD122" s="54">
        <f t="shared" si="97"/>
        <v>0</v>
      </c>
      <c r="BE122" s="21">
        <f t="shared" si="98"/>
        <v>0</v>
      </c>
      <c r="BF122" s="21">
        <f t="shared" si="99"/>
        <v>0</v>
      </c>
      <c r="BG122" s="21">
        <f t="shared" si="100"/>
        <v>0</v>
      </c>
      <c r="BH122" s="54">
        <f t="shared" si="101"/>
        <v>0</v>
      </c>
      <c r="BI122" s="21">
        <f t="shared" si="102"/>
        <v>0</v>
      </c>
      <c r="BJ122" s="21">
        <f t="shared" si="103"/>
        <v>0</v>
      </c>
      <c r="BK122" s="21">
        <f t="shared" si="104"/>
        <v>0</v>
      </c>
    </row>
    <row r="123" spans="1:63" x14ac:dyDescent="0.25">
      <c r="A123" s="51">
        <v>55</v>
      </c>
      <c r="B123" s="51">
        <f t="shared" si="62"/>
        <v>89</v>
      </c>
      <c r="C123" s="52" t="b">
        <f t="shared" si="63"/>
        <v>0</v>
      </c>
      <c r="D123" s="54">
        <f t="shared" si="64"/>
        <v>0</v>
      </c>
      <c r="E123" s="54">
        <f t="shared" si="65"/>
        <v>0</v>
      </c>
      <c r="F123" s="54">
        <f t="shared" si="66"/>
        <v>0</v>
      </c>
      <c r="G123" s="54">
        <f t="shared" si="67"/>
        <v>0</v>
      </c>
      <c r="H123" s="54">
        <f t="shared" si="68"/>
        <v>0</v>
      </c>
      <c r="I123" s="54">
        <f t="shared" si="105"/>
        <v>0</v>
      </c>
      <c r="J123" s="54">
        <f t="shared" si="69"/>
        <v>0</v>
      </c>
      <c r="K123" s="54">
        <f t="shared" si="106"/>
        <v>0.65151911093279413</v>
      </c>
      <c r="L123" s="54">
        <f t="shared" si="107"/>
        <v>0.34848088906720587</v>
      </c>
      <c r="M123" s="54">
        <f t="shared" si="108"/>
        <v>0</v>
      </c>
      <c r="N123" s="54">
        <f t="shared" si="109"/>
        <v>0.98872287800391234</v>
      </c>
      <c r="O123" s="54">
        <f t="shared" si="110"/>
        <v>1.1277121996087658E-2</v>
      </c>
      <c r="P123" s="54">
        <f t="shared" si="111"/>
        <v>0.21940028869596045</v>
      </c>
      <c r="Q123" s="54">
        <f t="shared" si="112"/>
        <v>0.47926781693005283</v>
      </c>
      <c r="R123" s="50">
        <f t="shared" si="70"/>
        <v>3.4926884994081906</v>
      </c>
      <c r="S123" s="21">
        <f t="shared" si="113"/>
        <v>0</v>
      </c>
      <c r="T123" s="50">
        <f t="shared" si="114"/>
        <v>5.9635881861510844</v>
      </c>
      <c r="U123" s="21">
        <f t="shared" si="115"/>
        <v>0</v>
      </c>
      <c r="V123" s="21">
        <f t="shared" si="116"/>
        <v>0</v>
      </c>
      <c r="W123" s="50">
        <f t="shared" si="117"/>
        <v>0.46348965604368803</v>
      </c>
      <c r="X123" s="21">
        <f t="shared" si="118"/>
        <v>0</v>
      </c>
      <c r="Y123" s="21">
        <f t="shared" si="119"/>
        <v>0</v>
      </c>
      <c r="Z123" s="21">
        <f t="shared" si="120"/>
        <v>0</v>
      </c>
      <c r="AA123" s="21">
        <f t="shared" si="121"/>
        <v>0</v>
      </c>
      <c r="AB123" s="21">
        <f t="shared" si="122"/>
        <v>0</v>
      </c>
      <c r="AC123" s="21">
        <f t="shared" si="71"/>
        <v>0</v>
      </c>
      <c r="AD123" s="21">
        <f t="shared" si="72"/>
        <v>0</v>
      </c>
      <c r="AE123" s="21">
        <f t="shared" si="123"/>
        <v>0</v>
      </c>
      <c r="AF123" s="54">
        <f t="shared" si="73"/>
        <v>0</v>
      </c>
      <c r="AG123" s="21">
        <f t="shared" si="74"/>
        <v>0</v>
      </c>
      <c r="AH123" s="21">
        <f t="shared" si="75"/>
        <v>0</v>
      </c>
      <c r="AI123" s="21">
        <f t="shared" si="76"/>
        <v>0</v>
      </c>
      <c r="AJ123" s="54">
        <f t="shared" si="77"/>
        <v>0</v>
      </c>
      <c r="AK123" s="21">
        <f t="shared" si="78"/>
        <v>0</v>
      </c>
      <c r="AL123" s="21">
        <f t="shared" si="79"/>
        <v>0</v>
      </c>
      <c r="AM123" s="21">
        <f t="shared" si="80"/>
        <v>0</v>
      </c>
      <c r="AN123" s="54">
        <f t="shared" si="81"/>
        <v>0</v>
      </c>
      <c r="AO123" s="21">
        <f t="shared" si="82"/>
        <v>0</v>
      </c>
      <c r="AP123" s="21">
        <f t="shared" si="83"/>
        <v>0</v>
      </c>
      <c r="AQ123" s="21">
        <f t="shared" si="84"/>
        <v>0</v>
      </c>
      <c r="AR123" s="54">
        <f t="shared" si="85"/>
        <v>0</v>
      </c>
      <c r="AS123" s="21">
        <f t="shared" si="86"/>
        <v>0</v>
      </c>
      <c r="AT123" s="21">
        <f t="shared" si="87"/>
        <v>0</v>
      </c>
      <c r="AU123" s="21">
        <f t="shared" si="88"/>
        <v>0</v>
      </c>
      <c r="AV123" s="54">
        <f t="shared" si="89"/>
        <v>0</v>
      </c>
      <c r="AW123" s="21">
        <f t="shared" si="90"/>
        <v>0</v>
      </c>
      <c r="AX123" s="21">
        <f t="shared" si="91"/>
        <v>0</v>
      </c>
      <c r="AY123" s="21">
        <f t="shared" si="92"/>
        <v>0</v>
      </c>
      <c r="AZ123" s="54">
        <f t="shared" si="93"/>
        <v>0</v>
      </c>
      <c r="BA123" s="21">
        <f t="shared" si="94"/>
        <v>0</v>
      </c>
      <c r="BB123" s="21">
        <f t="shared" si="95"/>
        <v>0</v>
      </c>
      <c r="BC123" s="21">
        <f t="shared" si="96"/>
        <v>0</v>
      </c>
      <c r="BD123" s="54">
        <f t="shared" si="97"/>
        <v>0</v>
      </c>
      <c r="BE123" s="21">
        <f t="shared" si="98"/>
        <v>0</v>
      </c>
      <c r="BF123" s="21">
        <f t="shared" si="99"/>
        <v>0</v>
      </c>
      <c r="BG123" s="21">
        <f t="shared" si="100"/>
        <v>0</v>
      </c>
      <c r="BH123" s="54">
        <f t="shared" si="101"/>
        <v>0</v>
      </c>
      <c r="BI123" s="21">
        <f t="shared" si="102"/>
        <v>0</v>
      </c>
      <c r="BJ123" s="21">
        <f t="shared" si="103"/>
        <v>0</v>
      </c>
      <c r="BK123" s="21">
        <f t="shared" si="104"/>
        <v>0</v>
      </c>
    </row>
    <row r="124" spans="1:63" x14ac:dyDescent="0.25">
      <c r="A124" s="51">
        <v>56</v>
      </c>
      <c r="B124" s="51">
        <f t="shared" si="62"/>
        <v>90</v>
      </c>
      <c r="C124" s="52" t="b">
        <f t="shared" si="63"/>
        <v>0</v>
      </c>
      <c r="D124" s="54">
        <f t="shared" si="64"/>
        <v>0</v>
      </c>
      <c r="E124" s="54">
        <f t="shared" si="65"/>
        <v>0</v>
      </c>
      <c r="F124" s="54">
        <f t="shared" si="66"/>
        <v>0</v>
      </c>
      <c r="G124" s="54">
        <f t="shared" si="67"/>
        <v>0</v>
      </c>
      <c r="H124" s="54">
        <f t="shared" si="68"/>
        <v>0</v>
      </c>
      <c r="I124" s="54">
        <f t="shared" si="105"/>
        <v>0</v>
      </c>
      <c r="J124" s="54">
        <f t="shared" si="69"/>
        <v>0</v>
      </c>
      <c r="K124" s="54">
        <f t="shared" si="106"/>
        <v>0.65151911093279413</v>
      </c>
      <c r="L124" s="54">
        <f t="shared" si="107"/>
        <v>0.34848088906720587</v>
      </c>
      <c r="M124" s="54">
        <f t="shared" si="108"/>
        <v>0</v>
      </c>
      <c r="N124" s="54">
        <f t="shared" si="109"/>
        <v>0.98872287800391234</v>
      </c>
      <c r="O124" s="54">
        <f t="shared" si="110"/>
        <v>1.1277121996087658E-2</v>
      </c>
      <c r="P124" s="54">
        <f t="shared" si="111"/>
        <v>0.21940028869596045</v>
      </c>
      <c r="Q124" s="54">
        <f t="shared" si="112"/>
        <v>0.42305717651480979</v>
      </c>
      <c r="R124" s="50">
        <f t="shared" si="70"/>
        <v>3.5730203348945793</v>
      </c>
      <c r="S124" s="21">
        <f t="shared" si="113"/>
        <v>0</v>
      </c>
      <c r="T124" s="50">
        <f t="shared" si="114"/>
        <v>5.9635881861510844</v>
      </c>
      <c r="U124" s="21">
        <f t="shared" si="115"/>
        <v>0</v>
      </c>
      <c r="V124" s="21">
        <f t="shared" si="116"/>
        <v>0</v>
      </c>
      <c r="W124" s="50">
        <f t="shared" si="117"/>
        <v>0.43088786510927723</v>
      </c>
      <c r="X124" s="21">
        <f t="shared" si="118"/>
        <v>0</v>
      </c>
      <c r="Y124" s="21">
        <f t="shared" si="119"/>
        <v>0</v>
      </c>
      <c r="Z124" s="21">
        <f t="shared" si="120"/>
        <v>0</v>
      </c>
      <c r="AA124" s="21">
        <f t="shared" si="121"/>
        <v>0</v>
      </c>
      <c r="AB124" s="21">
        <f t="shared" si="122"/>
        <v>0</v>
      </c>
      <c r="AC124" s="21">
        <f t="shared" si="71"/>
        <v>0</v>
      </c>
      <c r="AD124" s="21">
        <f t="shared" si="72"/>
        <v>0</v>
      </c>
      <c r="AE124" s="21">
        <f t="shared" si="123"/>
        <v>0</v>
      </c>
      <c r="AF124" s="54">
        <f t="shared" si="73"/>
        <v>0</v>
      </c>
      <c r="AG124" s="21">
        <f t="shared" si="74"/>
        <v>0</v>
      </c>
      <c r="AH124" s="21">
        <f t="shared" si="75"/>
        <v>0</v>
      </c>
      <c r="AI124" s="21">
        <f t="shared" si="76"/>
        <v>0</v>
      </c>
      <c r="AJ124" s="54">
        <f t="shared" si="77"/>
        <v>0</v>
      </c>
      <c r="AK124" s="21">
        <f t="shared" si="78"/>
        <v>0</v>
      </c>
      <c r="AL124" s="21">
        <f t="shared" si="79"/>
        <v>0</v>
      </c>
      <c r="AM124" s="21">
        <f t="shared" si="80"/>
        <v>0</v>
      </c>
      <c r="AN124" s="54">
        <f t="shared" si="81"/>
        <v>0</v>
      </c>
      <c r="AO124" s="21">
        <f t="shared" si="82"/>
        <v>0</v>
      </c>
      <c r="AP124" s="21">
        <f t="shared" si="83"/>
        <v>0</v>
      </c>
      <c r="AQ124" s="21">
        <f t="shared" si="84"/>
        <v>0</v>
      </c>
      <c r="AR124" s="54">
        <f t="shared" si="85"/>
        <v>0</v>
      </c>
      <c r="AS124" s="21">
        <f t="shared" si="86"/>
        <v>0</v>
      </c>
      <c r="AT124" s="21">
        <f t="shared" si="87"/>
        <v>0</v>
      </c>
      <c r="AU124" s="21">
        <f t="shared" si="88"/>
        <v>0</v>
      </c>
      <c r="AV124" s="54">
        <f t="shared" si="89"/>
        <v>0</v>
      </c>
      <c r="AW124" s="21">
        <f t="shared" si="90"/>
        <v>0</v>
      </c>
      <c r="AX124" s="21">
        <f t="shared" si="91"/>
        <v>0</v>
      </c>
      <c r="AY124" s="21">
        <f t="shared" si="92"/>
        <v>0</v>
      </c>
      <c r="AZ124" s="54">
        <f t="shared" si="93"/>
        <v>0</v>
      </c>
      <c r="BA124" s="21">
        <f t="shared" si="94"/>
        <v>0</v>
      </c>
      <c r="BB124" s="21">
        <f t="shared" si="95"/>
        <v>0</v>
      </c>
      <c r="BC124" s="21">
        <f t="shared" si="96"/>
        <v>0</v>
      </c>
      <c r="BD124" s="54">
        <f t="shared" si="97"/>
        <v>0</v>
      </c>
      <c r="BE124" s="21">
        <f t="shared" si="98"/>
        <v>0</v>
      </c>
      <c r="BF124" s="21">
        <f t="shared" si="99"/>
        <v>0</v>
      </c>
      <c r="BG124" s="21">
        <f t="shared" si="100"/>
        <v>0</v>
      </c>
      <c r="BH124" s="54">
        <f t="shared" si="101"/>
        <v>0</v>
      </c>
      <c r="BI124" s="21">
        <f t="shared" si="102"/>
        <v>0</v>
      </c>
      <c r="BJ124" s="21">
        <f t="shared" si="103"/>
        <v>0</v>
      </c>
      <c r="BK124" s="21">
        <f t="shared" si="104"/>
        <v>0</v>
      </c>
    </row>
    <row r="125" spans="1:63" x14ac:dyDescent="0.25">
      <c r="A125" s="51">
        <v>57</v>
      </c>
      <c r="B125" s="51">
        <f t="shared" si="62"/>
        <v>91</v>
      </c>
      <c r="C125" s="52" t="b">
        <f t="shared" si="63"/>
        <v>0</v>
      </c>
      <c r="D125" s="54">
        <f t="shared" si="64"/>
        <v>0</v>
      </c>
      <c r="E125" s="54">
        <f t="shared" si="65"/>
        <v>0</v>
      </c>
      <c r="F125" s="54">
        <f t="shared" si="66"/>
        <v>0</v>
      </c>
      <c r="G125" s="54">
        <f t="shared" si="67"/>
        <v>0</v>
      </c>
      <c r="H125" s="54">
        <f t="shared" si="68"/>
        <v>0</v>
      </c>
      <c r="I125" s="54">
        <f t="shared" si="105"/>
        <v>0</v>
      </c>
      <c r="J125" s="54">
        <f t="shared" si="69"/>
        <v>0</v>
      </c>
      <c r="K125" s="54">
        <f t="shared" si="106"/>
        <v>0.65151911093279413</v>
      </c>
      <c r="L125" s="54">
        <f t="shared" si="107"/>
        <v>0.34848088906720587</v>
      </c>
      <c r="M125" s="54">
        <f t="shared" si="108"/>
        <v>0</v>
      </c>
      <c r="N125" s="54">
        <f t="shared" si="109"/>
        <v>0.98872287800391234</v>
      </c>
      <c r="O125" s="54">
        <f t="shared" si="110"/>
        <v>1.1277121996087658E-2</v>
      </c>
      <c r="P125" s="54">
        <f t="shared" si="111"/>
        <v>0.21940028869596045</v>
      </c>
      <c r="Q125" s="54">
        <f t="shared" si="112"/>
        <v>0.35282842936651415</v>
      </c>
      <c r="R125" s="50">
        <f t="shared" si="70"/>
        <v>3.6551998025971542</v>
      </c>
      <c r="S125" s="21">
        <f t="shared" si="113"/>
        <v>0</v>
      </c>
      <c r="T125" s="50">
        <f t="shared" si="114"/>
        <v>5.9635881861510844</v>
      </c>
      <c r="U125" s="21">
        <f t="shared" si="115"/>
        <v>0</v>
      </c>
      <c r="V125" s="21">
        <f t="shared" si="116"/>
        <v>0</v>
      </c>
      <c r="W125" s="50">
        <f t="shared" si="117"/>
        <v>0.39015566716240146</v>
      </c>
      <c r="X125" s="21">
        <f t="shared" si="118"/>
        <v>0</v>
      </c>
      <c r="Y125" s="21">
        <f t="shared" si="119"/>
        <v>0</v>
      </c>
      <c r="Z125" s="21">
        <f t="shared" si="120"/>
        <v>0</v>
      </c>
      <c r="AA125" s="21">
        <f t="shared" si="121"/>
        <v>0</v>
      </c>
      <c r="AB125" s="21">
        <f t="shared" si="122"/>
        <v>0</v>
      </c>
      <c r="AC125" s="21">
        <f t="shared" si="71"/>
        <v>0</v>
      </c>
      <c r="AD125" s="21">
        <f t="shared" si="72"/>
        <v>0</v>
      </c>
      <c r="AE125" s="21">
        <f t="shared" si="123"/>
        <v>0</v>
      </c>
      <c r="AF125" s="54">
        <f t="shared" si="73"/>
        <v>0</v>
      </c>
      <c r="AG125" s="21">
        <f t="shared" si="74"/>
        <v>0</v>
      </c>
      <c r="AH125" s="21">
        <f t="shared" si="75"/>
        <v>0</v>
      </c>
      <c r="AI125" s="21">
        <f t="shared" si="76"/>
        <v>0</v>
      </c>
      <c r="AJ125" s="54">
        <f t="shared" si="77"/>
        <v>0</v>
      </c>
      <c r="AK125" s="21">
        <f t="shared" si="78"/>
        <v>0</v>
      </c>
      <c r="AL125" s="21">
        <f t="shared" si="79"/>
        <v>0</v>
      </c>
      <c r="AM125" s="21">
        <f t="shared" si="80"/>
        <v>0</v>
      </c>
      <c r="AN125" s="54">
        <f t="shared" si="81"/>
        <v>0</v>
      </c>
      <c r="AO125" s="21">
        <f t="shared" si="82"/>
        <v>0</v>
      </c>
      <c r="AP125" s="21">
        <f t="shared" si="83"/>
        <v>0</v>
      </c>
      <c r="AQ125" s="21">
        <f t="shared" si="84"/>
        <v>0</v>
      </c>
      <c r="AR125" s="54">
        <f t="shared" si="85"/>
        <v>0</v>
      </c>
      <c r="AS125" s="21">
        <f t="shared" si="86"/>
        <v>0</v>
      </c>
      <c r="AT125" s="21">
        <f t="shared" si="87"/>
        <v>0</v>
      </c>
      <c r="AU125" s="21">
        <f t="shared" si="88"/>
        <v>0</v>
      </c>
      <c r="AV125" s="54">
        <f t="shared" si="89"/>
        <v>0</v>
      </c>
      <c r="AW125" s="21">
        <f t="shared" si="90"/>
        <v>0</v>
      </c>
      <c r="AX125" s="21">
        <f t="shared" si="91"/>
        <v>0</v>
      </c>
      <c r="AY125" s="21">
        <f t="shared" si="92"/>
        <v>0</v>
      </c>
      <c r="AZ125" s="54">
        <f t="shared" si="93"/>
        <v>0</v>
      </c>
      <c r="BA125" s="21">
        <f t="shared" si="94"/>
        <v>0</v>
      </c>
      <c r="BB125" s="21">
        <f t="shared" si="95"/>
        <v>0</v>
      </c>
      <c r="BC125" s="21">
        <f t="shared" si="96"/>
        <v>0</v>
      </c>
      <c r="BD125" s="54">
        <f t="shared" si="97"/>
        <v>0</v>
      </c>
      <c r="BE125" s="21">
        <f t="shared" si="98"/>
        <v>0</v>
      </c>
      <c r="BF125" s="21">
        <f t="shared" si="99"/>
        <v>0</v>
      </c>
      <c r="BG125" s="21">
        <f t="shared" si="100"/>
        <v>0</v>
      </c>
      <c r="BH125" s="54">
        <f t="shared" si="101"/>
        <v>0</v>
      </c>
      <c r="BI125" s="21">
        <f t="shared" si="102"/>
        <v>0</v>
      </c>
      <c r="BJ125" s="21">
        <f t="shared" si="103"/>
        <v>0</v>
      </c>
      <c r="BK125" s="21">
        <f t="shared" si="104"/>
        <v>0</v>
      </c>
    </row>
    <row r="126" spans="1:63" x14ac:dyDescent="0.25">
      <c r="A126" s="51">
        <v>58</v>
      </c>
      <c r="B126" s="51">
        <f t="shared" si="62"/>
        <v>92</v>
      </c>
      <c r="C126" s="52" t="b">
        <f t="shared" si="63"/>
        <v>0</v>
      </c>
      <c r="D126" s="54">
        <f t="shared" si="64"/>
        <v>0</v>
      </c>
      <c r="E126" s="54">
        <f t="shared" si="65"/>
        <v>0</v>
      </c>
      <c r="F126" s="54">
        <f t="shared" si="66"/>
        <v>0</v>
      </c>
      <c r="G126" s="54">
        <f t="shared" si="67"/>
        <v>0</v>
      </c>
      <c r="H126" s="54">
        <f t="shared" si="68"/>
        <v>0</v>
      </c>
      <c r="I126" s="54">
        <f t="shared" si="105"/>
        <v>0</v>
      </c>
      <c r="J126" s="54">
        <f t="shared" si="69"/>
        <v>0</v>
      </c>
      <c r="K126" s="54">
        <f t="shared" si="106"/>
        <v>0.65151911093279413</v>
      </c>
      <c r="L126" s="54">
        <f t="shared" si="107"/>
        <v>0.34848088906720587</v>
      </c>
      <c r="M126" s="54">
        <f t="shared" si="108"/>
        <v>0</v>
      </c>
      <c r="N126" s="54">
        <f t="shared" si="109"/>
        <v>0.98872287800391234</v>
      </c>
      <c r="O126" s="54">
        <f t="shared" si="110"/>
        <v>1.1277121996087658E-2</v>
      </c>
      <c r="P126" s="54">
        <f t="shared" si="111"/>
        <v>0.21940028869596045</v>
      </c>
      <c r="Q126" s="54">
        <f t="shared" si="112"/>
        <v>0.26389342243423708</v>
      </c>
      <c r="R126" s="50">
        <f t="shared" si="70"/>
        <v>3.7392693980568881</v>
      </c>
      <c r="S126" s="21">
        <f t="shared" si="113"/>
        <v>0</v>
      </c>
      <c r="T126" s="50">
        <f t="shared" si="114"/>
        <v>5.9635881861510844</v>
      </c>
      <c r="U126" s="21">
        <f t="shared" si="115"/>
        <v>0</v>
      </c>
      <c r="V126" s="21">
        <f t="shared" si="116"/>
        <v>0</v>
      </c>
      <c r="W126" s="50">
        <f t="shared" si="117"/>
        <v>0.33857396516901495</v>
      </c>
      <c r="X126" s="21">
        <f t="shared" si="118"/>
        <v>0</v>
      </c>
      <c r="Y126" s="21">
        <f t="shared" si="119"/>
        <v>0</v>
      </c>
      <c r="Z126" s="21">
        <f t="shared" si="120"/>
        <v>0</v>
      </c>
      <c r="AA126" s="21">
        <f t="shared" si="121"/>
        <v>0</v>
      </c>
      <c r="AB126" s="21">
        <f t="shared" si="122"/>
        <v>0</v>
      </c>
      <c r="AC126" s="21">
        <f t="shared" si="71"/>
        <v>0</v>
      </c>
      <c r="AD126" s="21">
        <f t="shared" si="72"/>
        <v>0</v>
      </c>
      <c r="AE126" s="21">
        <f t="shared" si="123"/>
        <v>0</v>
      </c>
      <c r="AF126" s="54">
        <f t="shared" si="73"/>
        <v>0</v>
      </c>
      <c r="AG126" s="21">
        <f t="shared" si="74"/>
        <v>0</v>
      </c>
      <c r="AH126" s="21">
        <f t="shared" si="75"/>
        <v>0</v>
      </c>
      <c r="AI126" s="21">
        <f t="shared" si="76"/>
        <v>0</v>
      </c>
      <c r="AJ126" s="54">
        <f t="shared" si="77"/>
        <v>0</v>
      </c>
      <c r="AK126" s="21">
        <f t="shared" si="78"/>
        <v>0</v>
      </c>
      <c r="AL126" s="21">
        <f t="shared" si="79"/>
        <v>0</v>
      </c>
      <c r="AM126" s="21">
        <f t="shared" si="80"/>
        <v>0</v>
      </c>
      <c r="AN126" s="54">
        <f t="shared" si="81"/>
        <v>0</v>
      </c>
      <c r="AO126" s="21">
        <f t="shared" si="82"/>
        <v>0</v>
      </c>
      <c r="AP126" s="21">
        <f t="shared" si="83"/>
        <v>0</v>
      </c>
      <c r="AQ126" s="21">
        <f t="shared" si="84"/>
        <v>0</v>
      </c>
      <c r="AR126" s="54">
        <f t="shared" si="85"/>
        <v>0</v>
      </c>
      <c r="AS126" s="21">
        <f t="shared" si="86"/>
        <v>0</v>
      </c>
      <c r="AT126" s="21">
        <f t="shared" si="87"/>
        <v>0</v>
      </c>
      <c r="AU126" s="21">
        <f t="shared" si="88"/>
        <v>0</v>
      </c>
      <c r="AV126" s="54">
        <f t="shared" si="89"/>
        <v>0</v>
      </c>
      <c r="AW126" s="21">
        <f t="shared" si="90"/>
        <v>0</v>
      </c>
      <c r="AX126" s="21">
        <f t="shared" si="91"/>
        <v>0</v>
      </c>
      <c r="AY126" s="21">
        <f t="shared" si="92"/>
        <v>0</v>
      </c>
      <c r="AZ126" s="54">
        <f t="shared" si="93"/>
        <v>0</v>
      </c>
      <c r="BA126" s="21">
        <f t="shared" si="94"/>
        <v>0</v>
      </c>
      <c r="BB126" s="21">
        <f t="shared" si="95"/>
        <v>0</v>
      </c>
      <c r="BC126" s="21">
        <f t="shared" si="96"/>
        <v>0</v>
      </c>
      <c r="BD126" s="54">
        <f t="shared" si="97"/>
        <v>0</v>
      </c>
      <c r="BE126" s="21">
        <f t="shared" si="98"/>
        <v>0</v>
      </c>
      <c r="BF126" s="21">
        <f t="shared" si="99"/>
        <v>0</v>
      </c>
      <c r="BG126" s="21">
        <f t="shared" si="100"/>
        <v>0</v>
      </c>
      <c r="BH126" s="54">
        <f t="shared" si="101"/>
        <v>0</v>
      </c>
      <c r="BI126" s="21">
        <f t="shared" si="102"/>
        <v>0</v>
      </c>
      <c r="BJ126" s="21">
        <f t="shared" si="103"/>
        <v>0</v>
      </c>
      <c r="BK126" s="21">
        <f t="shared" si="104"/>
        <v>0</v>
      </c>
    </row>
    <row r="127" spans="1:63" x14ac:dyDescent="0.25">
      <c r="A127" s="51">
        <v>59</v>
      </c>
      <c r="B127" s="51">
        <f t="shared" si="62"/>
        <v>93</v>
      </c>
      <c r="C127" s="52" t="b">
        <f t="shared" si="63"/>
        <v>0</v>
      </c>
      <c r="D127" s="54">
        <f t="shared" si="64"/>
        <v>0</v>
      </c>
      <c r="E127" s="54">
        <f t="shared" si="65"/>
        <v>0</v>
      </c>
      <c r="F127" s="54">
        <f t="shared" si="66"/>
        <v>0</v>
      </c>
      <c r="G127" s="54">
        <f t="shared" si="67"/>
        <v>0</v>
      </c>
      <c r="H127" s="54">
        <f t="shared" si="68"/>
        <v>0</v>
      </c>
      <c r="I127" s="54">
        <f t="shared" si="105"/>
        <v>0</v>
      </c>
      <c r="J127" s="54">
        <f t="shared" si="69"/>
        <v>0</v>
      </c>
      <c r="K127" s="54">
        <f t="shared" si="106"/>
        <v>0.65151911093279413</v>
      </c>
      <c r="L127" s="54">
        <f t="shared" si="107"/>
        <v>0.34848088906720587</v>
      </c>
      <c r="M127" s="54">
        <f t="shared" si="108"/>
        <v>0</v>
      </c>
      <c r="N127" s="54">
        <f t="shared" si="109"/>
        <v>0.98872287800391234</v>
      </c>
      <c r="O127" s="54">
        <f t="shared" si="110"/>
        <v>1.1277121996087658E-2</v>
      </c>
      <c r="P127" s="54">
        <f t="shared" si="111"/>
        <v>0.21940028869596045</v>
      </c>
      <c r="Q127" s="54">
        <f t="shared" si="112"/>
        <v>0.14954869199999998</v>
      </c>
      <c r="R127" s="50">
        <f t="shared" si="70"/>
        <v>3.8252725942121963</v>
      </c>
      <c r="S127" s="21">
        <f t="shared" si="113"/>
        <v>0</v>
      </c>
      <c r="T127" s="50">
        <f t="shared" si="114"/>
        <v>5.9635881861510844</v>
      </c>
      <c r="U127" s="21">
        <f t="shared" si="115"/>
        <v>0</v>
      </c>
      <c r="V127" s="21">
        <f t="shared" si="116"/>
        <v>0</v>
      </c>
      <c r="W127" s="50">
        <f t="shared" si="117"/>
        <v>0.27225479555041632</v>
      </c>
      <c r="X127" s="21">
        <f t="shared" si="118"/>
        <v>0</v>
      </c>
      <c r="Y127" s="21">
        <f t="shared" si="119"/>
        <v>0</v>
      </c>
      <c r="Z127" s="21">
        <f t="shared" si="120"/>
        <v>0</v>
      </c>
      <c r="AA127" s="21">
        <f t="shared" si="121"/>
        <v>0</v>
      </c>
      <c r="AB127" s="21">
        <f t="shared" si="122"/>
        <v>0</v>
      </c>
      <c r="AC127" s="21">
        <f t="shared" si="71"/>
        <v>0</v>
      </c>
      <c r="AD127" s="21">
        <f t="shared" si="72"/>
        <v>0</v>
      </c>
      <c r="AE127" s="21">
        <f t="shared" si="123"/>
        <v>0</v>
      </c>
      <c r="AF127" s="54">
        <f t="shared" si="73"/>
        <v>0</v>
      </c>
      <c r="AG127" s="21">
        <f t="shared" si="74"/>
        <v>0</v>
      </c>
      <c r="AH127" s="21">
        <f t="shared" si="75"/>
        <v>0</v>
      </c>
      <c r="AI127" s="21">
        <f t="shared" si="76"/>
        <v>0</v>
      </c>
      <c r="AJ127" s="54">
        <f t="shared" si="77"/>
        <v>0</v>
      </c>
      <c r="AK127" s="21">
        <f t="shared" si="78"/>
        <v>0</v>
      </c>
      <c r="AL127" s="21">
        <f t="shared" si="79"/>
        <v>0</v>
      </c>
      <c r="AM127" s="21">
        <f t="shared" si="80"/>
        <v>0</v>
      </c>
      <c r="AN127" s="54">
        <f t="shared" si="81"/>
        <v>0</v>
      </c>
      <c r="AO127" s="21">
        <f t="shared" si="82"/>
        <v>0</v>
      </c>
      <c r="AP127" s="21">
        <f t="shared" si="83"/>
        <v>0</v>
      </c>
      <c r="AQ127" s="21">
        <f t="shared" si="84"/>
        <v>0</v>
      </c>
      <c r="AR127" s="54">
        <f t="shared" si="85"/>
        <v>0</v>
      </c>
      <c r="AS127" s="21">
        <f t="shared" si="86"/>
        <v>0</v>
      </c>
      <c r="AT127" s="21">
        <f t="shared" si="87"/>
        <v>0</v>
      </c>
      <c r="AU127" s="21">
        <f t="shared" si="88"/>
        <v>0</v>
      </c>
      <c r="AV127" s="54">
        <f t="shared" si="89"/>
        <v>0</v>
      </c>
      <c r="AW127" s="21">
        <f t="shared" si="90"/>
        <v>0</v>
      </c>
      <c r="AX127" s="21">
        <f t="shared" si="91"/>
        <v>0</v>
      </c>
      <c r="AY127" s="21">
        <f t="shared" si="92"/>
        <v>0</v>
      </c>
      <c r="AZ127" s="54">
        <f t="shared" si="93"/>
        <v>0</v>
      </c>
      <c r="BA127" s="21">
        <f t="shared" si="94"/>
        <v>0</v>
      </c>
      <c r="BB127" s="21">
        <f t="shared" si="95"/>
        <v>0</v>
      </c>
      <c r="BC127" s="21">
        <f t="shared" si="96"/>
        <v>0</v>
      </c>
      <c r="BD127" s="54">
        <f t="shared" si="97"/>
        <v>0</v>
      </c>
      <c r="BE127" s="21">
        <f t="shared" si="98"/>
        <v>0</v>
      </c>
      <c r="BF127" s="21">
        <f t="shared" si="99"/>
        <v>0</v>
      </c>
      <c r="BG127" s="21">
        <f t="shared" si="100"/>
        <v>0</v>
      </c>
      <c r="BH127" s="54">
        <f t="shared" si="101"/>
        <v>0</v>
      </c>
      <c r="BI127" s="21">
        <f t="shared" si="102"/>
        <v>0</v>
      </c>
      <c r="BJ127" s="21">
        <f t="shared" si="103"/>
        <v>0</v>
      </c>
      <c r="BK127" s="21">
        <f t="shared" si="104"/>
        <v>0</v>
      </c>
    </row>
    <row r="128" spans="1:63" x14ac:dyDescent="0.25">
      <c r="A128" s="51">
        <v>60</v>
      </c>
      <c r="B128" s="51">
        <f t="shared" si="62"/>
        <v>94</v>
      </c>
      <c r="C128" s="52" t="b">
        <f t="shared" si="63"/>
        <v>0</v>
      </c>
      <c r="D128" s="54">
        <f t="shared" si="64"/>
        <v>0</v>
      </c>
      <c r="E128" s="54">
        <f t="shared" si="65"/>
        <v>0</v>
      </c>
      <c r="F128" s="54">
        <f t="shared" si="66"/>
        <v>0</v>
      </c>
      <c r="G128" s="54">
        <f t="shared" si="67"/>
        <v>0</v>
      </c>
      <c r="H128" s="54">
        <f t="shared" si="68"/>
        <v>0</v>
      </c>
      <c r="I128" s="54">
        <f t="shared" si="105"/>
        <v>0</v>
      </c>
      <c r="J128" s="54">
        <f t="shared" si="69"/>
        <v>0</v>
      </c>
      <c r="K128" s="54">
        <f t="shared" si="106"/>
        <v>0.65151911093279413</v>
      </c>
      <c r="L128" s="54">
        <f t="shared" si="107"/>
        <v>0.34848088906720587</v>
      </c>
      <c r="M128" s="54">
        <f t="shared" si="108"/>
        <v>0</v>
      </c>
      <c r="N128" s="54">
        <f t="shared" si="109"/>
        <v>0.98872287800391234</v>
      </c>
      <c r="O128" s="54">
        <f t="shared" si="110"/>
        <v>1.1277121996087658E-2</v>
      </c>
      <c r="P128" s="54">
        <f t="shared" si="111"/>
        <v>0.21940028869596045</v>
      </c>
      <c r="Q128" s="54">
        <f t="shared" si="112"/>
        <v>0</v>
      </c>
      <c r="R128" s="50">
        <f t="shared" si="70"/>
        <v>3.9132538638790764</v>
      </c>
      <c r="S128" s="21">
        <f t="shared" si="113"/>
        <v>0</v>
      </c>
      <c r="T128" s="50">
        <f t="shared" si="114"/>
        <v>5.9635881861510844</v>
      </c>
      <c r="U128" s="21">
        <f t="shared" si="115"/>
        <v>0</v>
      </c>
      <c r="V128" s="21">
        <f t="shared" si="116"/>
        <v>0</v>
      </c>
      <c r="W128" s="50">
        <f t="shared" si="117"/>
        <v>0.18551756652969059</v>
      </c>
      <c r="X128" s="21">
        <f t="shared" si="118"/>
        <v>0</v>
      </c>
      <c r="Y128" s="21">
        <f t="shared" si="119"/>
        <v>0</v>
      </c>
      <c r="Z128" s="21">
        <f t="shared" si="120"/>
        <v>0</v>
      </c>
      <c r="AA128" s="21">
        <f t="shared" si="121"/>
        <v>0</v>
      </c>
      <c r="AB128" s="21">
        <f t="shared" si="122"/>
        <v>0</v>
      </c>
      <c r="AC128" s="21">
        <f t="shared" si="71"/>
        <v>0</v>
      </c>
      <c r="AD128" s="21">
        <f t="shared" si="72"/>
        <v>0</v>
      </c>
      <c r="AE128" s="21">
        <f t="shared" si="123"/>
        <v>0</v>
      </c>
      <c r="AF128" s="54">
        <f t="shared" si="73"/>
        <v>0</v>
      </c>
      <c r="AG128" s="21">
        <f t="shared" si="74"/>
        <v>0</v>
      </c>
      <c r="AH128" s="21">
        <f t="shared" si="75"/>
        <v>0</v>
      </c>
      <c r="AI128" s="21">
        <f t="shared" si="76"/>
        <v>0</v>
      </c>
      <c r="AJ128" s="54">
        <f t="shared" si="77"/>
        <v>0</v>
      </c>
      <c r="AK128" s="21">
        <f t="shared" si="78"/>
        <v>0</v>
      </c>
      <c r="AL128" s="21">
        <f t="shared" si="79"/>
        <v>0</v>
      </c>
      <c r="AM128" s="21">
        <f t="shared" si="80"/>
        <v>0</v>
      </c>
      <c r="AN128" s="54">
        <f t="shared" si="81"/>
        <v>0</v>
      </c>
      <c r="AO128" s="21">
        <f t="shared" si="82"/>
        <v>0</v>
      </c>
      <c r="AP128" s="21">
        <f t="shared" si="83"/>
        <v>0</v>
      </c>
      <c r="AQ128" s="21">
        <f t="shared" si="84"/>
        <v>0</v>
      </c>
      <c r="AR128" s="54">
        <f t="shared" si="85"/>
        <v>0</v>
      </c>
      <c r="AS128" s="21">
        <f t="shared" si="86"/>
        <v>0</v>
      </c>
      <c r="AT128" s="21">
        <f t="shared" si="87"/>
        <v>0</v>
      </c>
      <c r="AU128" s="21">
        <f t="shared" si="88"/>
        <v>0</v>
      </c>
      <c r="AV128" s="54">
        <f t="shared" si="89"/>
        <v>0</v>
      </c>
      <c r="AW128" s="21">
        <f t="shared" si="90"/>
        <v>0</v>
      </c>
      <c r="AX128" s="21">
        <f t="shared" si="91"/>
        <v>0</v>
      </c>
      <c r="AY128" s="21">
        <f t="shared" si="92"/>
        <v>0</v>
      </c>
      <c r="AZ128" s="54">
        <f t="shared" si="93"/>
        <v>0</v>
      </c>
      <c r="BA128" s="21">
        <f t="shared" si="94"/>
        <v>0</v>
      </c>
      <c r="BB128" s="21">
        <f t="shared" si="95"/>
        <v>0</v>
      </c>
      <c r="BC128" s="21">
        <f t="shared" si="96"/>
        <v>0</v>
      </c>
      <c r="BD128" s="54">
        <f t="shared" si="97"/>
        <v>0</v>
      </c>
      <c r="BE128" s="21">
        <f t="shared" si="98"/>
        <v>0</v>
      </c>
      <c r="BF128" s="21">
        <f t="shared" si="99"/>
        <v>0</v>
      </c>
      <c r="BG128" s="21">
        <f t="shared" si="100"/>
        <v>0</v>
      </c>
      <c r="BH128" s="54">
        <f t="shared" si="101"/>
        <v>0</v>
      </c>
      <c r="BI128" s="21">
        <f t="shared" si="102"/>
        <v>0</v>
      </c>
      <c r="BJ128" s="21">
        <f t="shared" si="103"/>
        <v>0</v>
      </c>
      <c r="BK128" s="21">
        <f t="shared" si="104"/>
        <v>0</v>
      </c>
    </row>
    <row r="129" spans="1:63" x14ac:dyDescent="0.25">
      <c r="A129" s="51">
        <v>61</v>
      </c>
      <c r="B129" s="51">
        <f t="shared" si="62"/>
        <v>95</v>
      </c>
      <c r="C129" s="52" t="b">
        <f t="shared" si="63"/>
        <v>0</v>
      </c>
      <c r="D129" s="54">
        <f t="shared" si="64"/>
        <v>0</v>
      </c>
      <c r="E129" s="54">
        <f t="shared" si="65"/>
        <v>0</v>
      </c>
      <c r="F129" s="54">
        <f t="shared" si="66"/>
        <v>0</v>
      </c>
      <c r="G129" s="54">
        <f t="shared" si="67"/>
        <v>0</v>
      </c>
      <c r="H129" s="54">
        <f t="shared" si="68"/>
        <v>0</v>
      </c>
      <c r="I129" s="54">
        <f t="shared" si="105"/>
        <v>0</v>
      </c>
      <c r="J129" s="54">
        <f t="shared" si="69"/>
        <v>0</v>
      </c>
      <c r="K129" s="54">
        <f t="shared" si="106"/>
        <v>0.65151911093279413</v>
      </c>
      <c r="L129" s="54">
        <f t="shared" si="107"/>
        <v>0.34848088906720587</v>
      </c>
      <c r="M129" s="54">
        <f t="shared" si="108"/>
        <v>0</v>
      </c>
      <c r="N129" s="54">
        <f t="shared" si="109"/>
        <v>0.98872287800391234</v>
      </c>
      <c r="O129" s="54">
        <f t="shared" si="110"/>
        <v>1.1277121996087658E-2</v>
      </c>
      <c r="P129" s="54">
        <f t="shared" si="111"/>
        <v>0.21940028869596045</v>
      </c>
      <c r="Q129" s="54">
        <f t="shared" si="112"/>
        <v>0</v>
      </c>
      <c r="R129" s="50">
        <f t="shared" si="70"/>
        <v>4.0032587027482949</v>
      </c>
      <c r="S129" s="21">
        <f t="shared" si="113"/>
        <v>0</v>
      </c>
      <c r="T129" s="50">
        <f t="shared" si="114"/>
        <v>5.9635881861510844</v>
      </c>
      <c r="U129" s="21">
        <f t="shared" si="115"/>
        <v>0</v>
      </c>
      <c r="V129" s="21">
        <f t="shared" si="116"/>
        <v>0</v>
      </c>
      <c r="W129" s="50">
        <f t="shared" si="117"/>
        <v>0.18551756652969059</v>
      </c>
      <c r="X129" s="21">
        <f t="shared" si="118"/>
        <v>0</v>
      </c>
      <c r="Y129" s="21">
        <f t="shared" si="119"/>
        <v>0</v>
      </c>
      <c r="Z129" s="21">
        <f t="shared" si="120"/>
        <v>0</v>
      </c>
      <c r="AA129" s="21">
        <f t="shared" si="121"/>
        <v>0</v>
      </c>
      <c r="AB129" s="21">
        <f t="shared" si="122"/>
        <v>0</v>
      </c>
      <c r="AC129" s="21">
        <f t="shared" si="71"/>
        <v>0</v>
      </c>
      <c r="AD129" s="21">
        <f t="shared" si="72"/>
        <v>0</v>
      </c>
      <c r="AE129" s="21">
        <f t="shared" si="123"/>
        <v>0</v>
      </c>
      <c r="AF129" s="54">
        <f t="shared" si="73"/>
        <v>0</v>
      </c>
      <c r="AG129" s="21">
        <f t="shared" si="74"/>
        <v>0</v>
      </c>
      <c r="AH129" s="21">
        <f t="shared" si="75"/>
        <v>0</v>
      </c>
      <c r="AI129" s="21">
        <f t="shared" si="76"/>
        <v>0</v>
      </c>
      <c r="AJ129" s="54">
        <f t="shared" si="77"/>
        <v>0</v>
      </c>
      <c r="AK129" s="21">
        <f t="shared" si="78"/>
        <v>0</v>
      </c>
      <c r="AL129" s="21">
        <f t="shared" si="79"/>
        <v>0</v>
      </c>
      <c r="AM129" s="21">
        <f t="shared" si="80"/>
        <v>0</v>
      </c>
      <c r="AN129" s="54">
        <f t="shared" si="81"/>
        <v>0</v>
      </c>
      <c r="AO129" s="21">
        <f t="shared" si="82"/>
        <v>0</v>
      </c>
      <c r="AP129" s="21">
        <f t="shared" si="83"/>
        <v>0</v>
      </c>
      <c r="AQ129" s="21">
        <f t="shared" si="84"/>
        <v>0</v>
      </c>
      <c r="AR129" s="54">
        <f t="shared" si="85"/>
        <v>0</v>
      </c>
      <c r="AS129" s="21">
        <f t="shared" si="86"/>
        <v>0</v>
      </c>
      <c r="AT129" s="21">
        <f t="shared" si="87"/>
        <v>0</v>
      </c>
      <c r="AU129" s="21">
        <f t="shared" si="88"/>
        <v>0</v>
      </c>
      <c r="AV129" s="54">
        <f t="shared" si="89"/>
        <v>0</v>
      </c>
      <c r="AW129" s="21">
        <f t="shared" si="90"/>
        <v>0</v>
      </c>
      <c r="AX129" s="21">
        <f t="shared" si="91"/>
        <v>0</v>
      </c>
      <c r="AY129" s="21">
        <f t="shared" si="92"/>
        <v>0</v>
      </c>
      <c r="AZ129" s="54">
        <f t="shared" si="93"/>
        <v>0</v>
      </c>
      <c r="BA129" s="21">
        <f t="shared" si="94"/>
        <v>0</v>
      </c>
      <c r="BB129" s="21">
        <f t="shared" si="95"/>
        <v>0</v>
      </c>
      <c r="BC129" s="21">
        <f t="shared" si="96"/>
        <v>0</v>
      </c>
      <c r="BD129" s="54">
        <f t="shared" si="97"/>
        <v>0</v>
      </c>
      <c r="BE129" s="21">
        <f t="shared" si="98"/>
        <v>0</v>
      </c>
      <c r="BF129" s="21">
        <f t="shared" si="99"/>
        <v>0</v>
      </c>
      <c r="BG129" s="21">
        <f t="shared" si="100"/>
        <v>0</v>
      </c>
      <c r="BH129" s="54">
        <f t="shared" si="101"/>
        <v>0</v>
      </c>
      <c r="BI129" s="21">
        <f t="shared" si="102"/>
        <v>0</v>
      </c>
      <c r="BJ129" s="21">
        <f t="shared" si="103"/>
        <v>0</v>
      </c>
      <c r="BK129" s="21">
        <f t="shared" si="104"/>
        <v>0</v>
      </c>
    </row>
    <row r="130" spans="1:63" x14ac:dyDescent="0.25">
      <c r="A130" s="51">
        <v>62</v>
      </c>
      <c r="B130" s="51">
        <f t="shared" si="62"/>
        <v>96</v>
      </c>
      <c r="C130" s="52" t="b">
        <f t="shared" si="63"/>
        <v>0</v>
      </c>
      <c r="D130" s="54">
        <f t="shared" si="64"/>
        <v>0</v>
      </c>
      <c r="E130" s="54">
        <f t="shared" si="65"/>
        <v>0</v>
      </c>
      <c r="F130" s="54">
        <f t="shared" si="66"/>
        <v>0</v>
      </c>
      <c r="G130" s="54">
        <f t="shared" si="67"/>
        <v>0</v>
      </c>
      <c r="H130" s="54">
        <f t="shared" si="68"/>
        <v>0</v>
      </c>
      <c r="I130" s="54">
        <f t="shared" si="105"/>
        <v>0</v>
      </c>
      <c r="J130" s="54">
        <f t="shared" si="69"/>
        <v>0</v>
      </c>
      <c r="K130" s="54">
        <f t="shared" si="106"/>
        <v>0.65151911093279413</v>
      </c>
      <c r="L130" s="54">
        <f t="shared" si="107"/>
        <v>0.34848088906720587</v>
      </c>
      <c r="M130" s="54">
        <f t="shared" si="108"/>
        <v>0</v>
      </c>
      <c r="N130" s="54">
        <f t="shared" si="109"/>
        <v>0.98872287800391234</v>
      </c>
      <c r="O130" s="54">
        <f t="shared" si="110"/>
        <v>1.1277121996087658E-2</v>
      </c>
      <c r="P130" s="54">
        <f t="shared" si="111"/>
        <v>0.21940028869596045</v>
      </c>
      <c r="Q130" s="54">
        <f t="shared" si="112"/>
        <v>0</v>
      </c>
      <c r="R130" s="50">
        <f t="shared" si="70"/>
        <v>4.0953336529115054</v>
      </c>
      <c r="S130" s="21">
        <f t="shared" si="113"/>
        <v>0</v>
      </c>
      <c r="T130" s="50">
        <f t="shared" si="114"/>
        <v>5.9635881861510844</v>
      </c>
      <c r="U130" s="21">
        <f t="shared" si="115"/>
        <v>0</v>
      </c>
      <c r="V130" s="21">
        <f t="shared" si="116"/>
        <v>0</v>
      </c>
      <c r="W130" s="50">
        <f t="shared" si="117"/>
        <v>0.18551756652969059</v>
      </c>
      <c r="X130" s="21">
        <f t="shared" si="118"/>
        <v>0</v>
      </c>
      <c r="Y130" s="21">
        <f t="shared" si="119"/>
        <v>0</v>
      </c>
      <c r="Z130" s="21">
        <f t="shared" si="120"/>
        <v>0</v>
      </c>
      <c r="AA130" s="21">
        <f t="shared" si="121"/>
        <v>0</v>
      </c>
      <c r="AB130" s="21">
        <f t="shared" si="122"/>
        <v>0</v>
      </c>
      <c r="AC130" s="21">
        <f t="shared" si="71"/>
        <v>0</v>
      </c>
      <c r="AD130" s="21">
        <f t="shared" si="72"/>
        <v>0</v>
      </c>
      <c r="AE130" s="21">
        <f t="shared" si="123"/>
        <v>0</v>
      </c>
      <c r="AF130" s="54">
        <f t="shared" si="73"/>
        <v>0</v>
      </c>
      <c r="AG130" s="21">
        <f t="shared" si="74"/>
        <v>0</v>
      </c>
      <c r="AH130" s="21">
        <f t="shared" si="75"/>
        <v>0</v>
      </c>
      <c r="AI130" s="21">
        <f t="shared" si="76"/>
        <v>0</v>
      </c>
      <c r="AJ130" s="54">
        <f t="shared" si="77"/>
        <v>0</v>
      </c>
      <c r="AK130" s="21">
        <f t="shared" si="78"/>
        <v>0</v>
      </c>
      <c r="AL130" s="21">
        <f t="shared" si="79"/>
        <v>0</v>
      </c>
      <c r="AM130" s="21">
        <f t="shared" si="80"/>
        <v>0</v>
      </c>
      <c r="AN130" s="54">
        <f t="shared" si="81"/>
        <v>0</v>
      </c>
      <c r="AO130" s="21">
        <f t="shared" si="82"/>
        <v>0</v>
      </c>
      <c r="AP130" s="21">
        <f t="shared" si="83"/>
        <v>0</v>
      </c>
      <c r="AQ130" s="21">
        <f t="shared" si="84"/>
        <v>0</v>
      </c>
      <c r="AR130" s="54">
        <f t="shared" si="85"/>
        <v>0</v>
      </c>
      <c r="AS130" s="21">
        <f t="shared" si="86"/>
        <v>0</v>
      </c>
      <c r="AT130" s="21">
        <f t="shared" si="87"/>
        <v>0</v>
      </c>
      <c r="AU130" s="21">
        <f t="shared" si="88"/>
        <v>0</v>
      </c>
      <c r="AV130" s="54">
        <f t="shared" si="89"/>
        <v>0</v>
      </c>
      <c r="AW130" s="21">
        <f t="shared" si="90"/>
        <v>0</v>
      </c>
      <c r="AX130" s="21">
        <f t="shared" si="91"/>
        <v>0</v>
      </c>
      <c r="AY130" s="21">
        <f t="shared" si="92"/>
        <v>0</v>
      </c>
      <c r="AZ130" s="54">
        <f t="shared" si="93"/>
        <v>0</v>
      </c>
      <c r="BA130" s="21">
        <f t="shared" si="94"/>
        <v>0</v>
      </c>
      <c r="BB130" s="21">
        <f t="shared" si="95"/>
        <v>0</v>
      </c>
      <c r="BC130" s="21">
        <f t="shared" si="96"/>
        <v>0</v>
      </c>
      <c r="BD130" s="54">
        <f t="shared" si="97"/>
        <v>0</v>
      </c>
      <c r="BE130" s="21">
        <f t="shared" si="98"/>
        <v>0</v>
      </c>
      <c r="BF130" s="21">
        <f t="shared" si="99"/>
        <v>0</v>
      </c>
      <c r="BG130" s="21">
        <f t="shared" si="100"/>
        <v>0</v>
      </c>
      <c r="BH130" s="54">
        <f t="shared" si="101"/>
        <v>0</v>
      </c>
      <c r="BI130" s="21">
        <f t="shared" si="102"/>
        <v>0</v>
      </c>
      <c r="BJ130" s="21">
        <f t="shared" si="103"/>
        <v>0</v>
      </c>
      <c r="BK130" s="21">
        <f t="shared" si="104"/>
        <v>0</v>
      </c>
    </row>
    <row r="131" spans="1:63" x14ac:dyDescent="0.25">
      <c r="A131" s="51">
        <v>63</v>
      </c>
      <c r="B131" s="51">
        <f t="shared" si="62"/>
        <v>97</v>
      </c>
      <c r="C131" s="52" t="b">
        <f t="shared" si="63"/>
        <v>0</v>
      </c>
      <c r="D131" s="54">
        <f t="shared" si="64"/>
        <v>0</v>
      </c>
      <c r="E131" s="54">
        <f t="shared" si="65"/>
        <v>0</v>
      </c>
      <c r="F131" s="54">
        <f t="shared" si="66"/>
        <v>0</v>
      </c>
      <c r="G131" s="54">
        <f t="shared" si="67"/>
        <v>0</v>
      </c>
      <c r="H131" s="54">
        <f t="shared" si="68"/>
        <v>0</v>
      </c>
      <c r="I131" s="54">
        <f t="shared" si="105"/>
        <v>0</v>
      </c>
      <c r="J131" s="54">
        <f t="shared" si="69"/>
        <v>0</v>
      </c>
      <c r="K131" s="54">
        <f t="shared" si="106"/>
        <v>0.65151911093279413</v>
      </c>
      <c r="L131" s="54">
        <f t="shared" si="107"/>
        <v>0.34848088906720587</v>
      </c>
      <c r="M131" s="54">
        <f t="shared" si="108"/>
        <v>0</v>
      </c>
      <c r="N131" s="54">
        <f t="shared" si="109"/>
        <v>0.98872287800391234</v>
      </c>
      <c r="O131" s="54">
        <f t="shared" si="110"/>
        <v>1.1277121996087658E-2</v>
      </c>
      <c r="P131" s="54">
        <f t="shared" si="111"/>
        <v>0.21940028869596045</v>
      </c>
      <c r="Q131" s="54">
        <f t="shared" si="112"/>
        <v>0</v>
      </c>
      <c r="R131" s="50">
        <f t="shared" si="70"/>
        <v>4.1895263269284682</v>
      </c>
      <c r="S131" s="21">
        <f t="shared" si="113"/>
        <v>0</v>
      </c>
      <c r="T131" s="50">
        <f t="shared" si="114"/>
        <v>5.9635881861510844</v>
      </c>
      <c r="U131" s="21">
        <f t="shared" si="115"/>
        <v>0</v>
      </c>
      <c r="V131" s="21">
        <f t="shared" si="116"/>
        <v>0</v>
      </c>
      <c r="W131" s="50">
        <f t="shared" si="117"/>
        <v>0.18551756652969059</v>
      </c>
      <c r="X131" s="21">
        <f t="shared" si="118"/>
        <v>0</v>
      </c>
      <c r="Y131" s="21">
        <f t="shared" si="119"/>
        <v>0</v>
      </c>
      <c r="Z131" s="21">
        <f t="shared" si="120"/>
        <v>0</v>
      </c>
      <c r="AA131" s="21">
        <f t="shared" si="121"/>
        <v>0</v>
      </c>
      <c r="AB131" s="21">
        <f t="shared" si="122"/>
        <v>0</v>
      </c>
      <c r="AC131" s="21">
        <f t="shared" si="71"/>
        <v>0</v>
      </c>
      <c r="AD131" s="21">
        <f t="shared" si="72"/>
        <v>0</v>
      </c>
      <c r="AE131" s="21">
        <f t="shared" si="123"/>
        <v>0</v>
      </c>
      <c r="AF131" s="54">
        <f t="shared" si="73"/>
        <v>0</v>
      </c>
      <c r="AG131" s="21">
        <f t="shared" si="74"/>
        <v>0</v>
      </c>
      <c r="AH131" s="21">
        <f t="shared" si="75"/>
        <v>0</v>
      </c>
      <c r="AI131" s="21">
        <f t="shared" si="76"/>
        <v>0</v>
      </c>
      <c r="AJ131" s="54">
        <f t="shared" si="77"/>
        <v>0</v>
      </c>
      <c r="AK131" s="21">
        <f t="shared" si="78"/>
        <v>0</v>
      </c>
      <c r="AL131" s="21">
        <f t="shared" si="79"/>
        <v>0</v>
      </c>
      <c r="AM131" s="21">
        <f t="shared" si="80"/>
        <v>0</v>
      </c>
      <c r="AN131" s="54">
        <f t="shared" si="81"/>
        <v>0</v>
      </c>
      <c r="AO131" s="21">
        <f t="shared" si="82"/>
        <v>0</v>
      </c>
      <c r="AP131" s="21">
        <f t="shared" si="83"/>
        <v>0</v>
      </c>
      <c r="AQ131" s="21">
        <f t="shared" si="84"/>
        <v>0</v>
      </c>
      <c r="AR131" s="54">
        <f t="shared" si="85"/>
        <v>0</v>
      </c>
      <c r="AS131" s="21">
        <f t="shared" si="86"/>
        <v>0</v>
      </c>
      <c r="AT131" s="21">
        <f t="shared" si="87"/>
        <v>0</v>
      </c>
      <c r="AU131" s="21">
        <f t="shared" si="88"/>
        <v>0</v>
      </c>
      <c r="AV131" s="54">
        <f t="shared" si="89"/>
        <v>0</v>
      </c>
      <c r="AW131" s="21">
        <f t="shared" si="90"/>
        <v>0</v>
      </c>
      <c r="AX131" s="21">
        <f t="shared" si="91"/>
        <v>0</v>
      </c>
      <c r="AY131" s="21">
        <f t="shared" si="92"/>
        <v>0</v>
      </c>
      <c r="AZ131" s="54">
        <f t="shared" si="93"/>
        <v>0</v>
      </c>
      <c r="BA131" s="21">
        <f t="shared" si="94"/>
        <v>0</v>
      </c>
      <c r="BB131" s="21">
        <f t="shared" si="95"/>
        <v>0</v>
      </c>
      <c r="BC131" s="21">
        <f t="shared" si="96"/>
        <v>0</v>
      </c>
      <c r="BD131" s="54">
        <f t="shared" si="97"/>
        <v>0</v>
      </c>
      <c r="BE131" s="21">
        <f t="shared" si="98"/>
        <v>0</v>
      </c>
      <c r="BF131" s="21">
        <f t="shared" si="99"/>
        <v>0</v>
      </c>
      <c r="BG131" s="21">
        <f t="shared" si="100"/>
        <v>0</v>
      </c>
      <c r="BH131" s="54">
        <f t="shared" si="101"/>
        <v>0</v>
      </c>
      <c r="BI131" s="21">
        <f t="shared" si="102"/>
        <v>0</v>
      </c>
      <c r="BJ131" s="21">
        <f t="shared" si="103"/>
        <v>0</v>
      </c>
      <c r="BK131" s="21">
        <f t="shared" si="104"/>
        <v>0</v>
      </c>
    </row>
    <row r="132" spans="1:63" x14ac:dyDescent="0.25">
      <c r="A132" s="51">
        <v>64</v>
      </c>
      <c r="B132" s="51">
        <f t="shared" ref="B132:B163" si="124">HU_age+A132</f>
        <v>98</v>
      </c>
      <c r="C132" s="52" t="b">
        <f t="shared" ref="C132:C150" si="125">A132&lt;=HU_T</f>
        <v>0</v>
      </c>
      <c r="D132" s="54">
        <f t="shared" ref="D132:D150" si="126">IF(OR(A132&lt;1,A132&gt;HU_T),0,INDEX(HU_q_mort,HU_age+A132-17,HU_col))</f>
        <v>0</v>
      </c>
      <c r="E132" s="54">
        <f t="shared" ref="E132:E150" si="127">IF(OR(A132&lt;1,A132&gt;HU_T),0,INDEX(HU_q_adb,HU_age+A132-17,HU_col))</f>
        <v>0</v>
      </c>
      <c r="F132" s="54">
        <f t="shared" ref="F132:F150" si="128">IF(OR(A132&lt;1,A132&gt;HU_T),0,INDEX(HU_q_morb,HU_age+A132-17,HU_col))</f>
        <v>0</v>
      </c>
      <c r="G132" s="54">
        <f t="shared" ref="G132:G150" si="129">IF(OR(A132&lt;1,A132&gt;HU_T),0,INDEX(HU_q_ptd,HU_age+A132-17,HU_col))</f>
        <v>0</v>
      </c>
      <c r="H132" s="54">
        <f t="shared" ref="H132:H150" si="130">IF(OR(A132&lt;1,A132&gt;HU_T),0,INDEX(HU_q_dis,HU_age+A132-17,HU_col))</f>
        <v>0</v>
      </c>
      <c r="I132" s="54">
        <f t="shared" si="105"/>
        <v>0</v>
      </c>
      <c r="J132" s="54">
        <f t="shared" ref="J132:J150" si="131">IF(A132&gt;=HU_T,0,N(I133))</f>
        <v>0</v>
      </c>
      <c r="K132" s="54">
        <f t="shared" si="106"/>
        <v>0.65151911093279413</v>
      </c>
      <c r="L132" s="54">
        <f t="shared" si="107"/>
        <v>0.34848088906720587</v>
      </c>
      <c r="M132" s="54">
        <f t="shared" si="108"/>
        <v>0</v>
      </c>
      <c r="N132" s="54">
        <f t="shared" si="109"/>
        <v>0.98872287800391234</v>
      </c>
      <c r="O132" s="54">
        <f t="shared" si="110"/>
        <v>1.1277121996087658E-2</v>
      </c>
      <c r="P132" s="54">
        <f t="shared" si="111"/>
        <v>0.21940028869596045</v>
      </c>
      <c r="Q132" s="54">
        <f t="shared" si="112"/>
        <v>0</v>
      </c>
      <c r="R132" s="50">
        <f t="shared" ref="R132:R150" si="132">(1+inflationRate)^A132</f>
        <v>4.2858854324478237</v>
      </c>
      <c r="S132" s="21">
        <f t="shared" si="113"/>
        <v>0</v>
      </c>
      <c r="T132" s="50">
        <f t="shared" si="114"/>
        <v>5.9635881861510844</v>
      </c>
      <c r="U132" s="21">
        <f t="shared" si="115"/>
        <v>0</v>
      </c>
      <c r="V132" s="21">
        <f t="shared" si="116"/>
        <v>0</v>
      </c>
      <c r="W132" s="50">
        <f t="shared" si="117"/>
        <v>0.18551756652969059</v>
      </c>
      <c r="X132" s="21">
        <f t="shared" si="118"/>
        <v>0</v>
      </c>
      <c r="Y132" s="21">
        <f t="shared" si="119"/>
        <v>0</v>
      </c>
      <c r="Z132" s="21">
        <f t="shared" si="120"/>
        <v>0</v>
      </c>
      <c r="AA132" s="21">
        <f t="shared" si="121"/>
        <v>0</v>
      </c>
      <c r="AB132" s="21">
        <f t="shared" si="122"/>
        <v>0</v>
      </c>
      <c r="AC132" s="21">
        <f t="shared" ref="AC132:AC150" si="133">IF(A132&gt;HU_T,0,HU_inv*EXP(HU_mu*A132))</f>
        <v>0</v>
      </c>
      <c r="AD132" s="21">
        <f t="shared" ref="AD132:AD163" si="134">IF(A132&gt;HU_T,0,MAX(0,AC132+AB132))</f>
        <v>0</v>
      </c>
      <c r="AE132" s="21">
        <f t="shared" si="123"/>
        <v>0</v>
      </c>
      <c r="AF132" s="54">
        <f t="shared" ref="AF132:AF150" si="135">IF(AND($J$6,A132&gt;=1,A132&lt;=$Q$6-1),J132,0)</f>
        <v>0</v>
      </c>
      <c r="AG132" s="21">
        <f t="shared" ref="AG132:AG163" si="136">IF(OR(AF132=0,$S$6=0),0,IF((AD132+$L$6)&gt;$S$6/HU_alpha+$K$6,0.5*$S$6/HU_alpha,IF((AD132+$L$6)&gt;=$K$6,((AD132+$L$6)-$K$6)-0.5*HU_alpha/$S$6*((AD132+$L$6)-$K$6)^2,IF((AD132+$L$6)&gt;=$T$6,HU_beta*((AD132+$L$6)-$K$6),HU_beta*($T$6-$K$6)))))</f>
        <v>0</v>
      </c>
      <c r="AH132" s="21">
        <f t="shared" ref="AH132:AH150" si="137">IF(OR(AF132=0,$S$6=0),0,IF((AD132+$L$6+$N$6)&gt;$S$6/HU_alpha+$K$6,0.5*$S$6/HU_alpha,IF((AD132+$L$6+$N$6)&gt;=$K$6,((AD132+$L$6+$N$6)-$K$6)-0.5*HU_alpha/$S$6*((AD132+$L$6+$N$6)-$K$6)^2,IF((AD132+$L$6+$N$6)&gt;=$T$6,HU_beta*((AD132+$L$6+$N$6)-$K$6),HU_beta*($T$6-$K$6)))))</f>
        <v>0</v>
      </c>
      <c r="AI132" s="21">
        <f t="shared" ref="AI132:AI150" si="138">IF(OR(AF132=0,$S$6=0),0,IF((AD132+$K$6)&gt;$S$6/HU_alpha+$K$6,0.5*$S$6/HU_alpha,IF((AD132+$K$6)&gt;=$K$6,((AD132+$K$6)-$K$6)-0.5*HU_alpha/$S$6*((AD132+$K$6)-$K$6)^2,IF((AD132+$K$6)&gt;=$T$6,HU_beta*((AD132+$K$6)-$K$6),HU_beta*($T$6-$K$6)))))</f>
        <v>0</v>
      </c>
      <c r="AJ132" s="54">
        <f t="shared" ref="AJ132:AJ150" si="139">IF(AND($J$7,A132&gt;=1,A132&lt;=$Q$7-1),J132,0)</f>
        <v>0</v>
      </c>
      <c r="AK132" s="21">
        <f t="shared" ref="AK132:AK163" si="140">IF(OR(AJ132=0,$S$7=0),0,IF((AE132+$L$7)&gt;$S$7/HU_alpha+$K$7,0.5*$S$7/HU_alpha,IF((AE132+$L$7)&gt;=$K$7,((AE132+$L$7)-$K$7)-0.5*HU_alpha/$S$7*((AE132+$L$7)-$K$7)^2,IF((AE132+$L$7)&gt;=$T$7,HU_beta*((AE132+$L$7)-$K$7),HU_beta*($T$7-$K$7)))))</f>
        <v>0</v>
      </c>
      <c r="AL132" s="21">
        <f t="shared" ref="AL132:AL150" si="141">IF(OR(AJ132=0,$S$7=0),0,IF((AE132+$L$7+$N$7)&gt;$S$7/HU_alpha+$K$7,0.5*$S$7/HU_alpha,IF((AE132+$L$7+$N$7)&gt;=$K$7,((AE132+$L$7+$N$7)-$K$7)-0.5*HU_alpha/$S$7*((AE132+$L$7+$N$7)-$K$7)^2,IF((AE132+$L$7+$N$7)&gt;=$T$7,HU_beta*((AE132+$L$7+$N$7)-$K$7),HU_beta*($T$7-$K$7)))))</f>
        <v>0</v>
      </c>
      <c r="AM132" s="21">
        <f t="shared" ref="AM132:AM150" si="142">IF(OR(AJ132=0,$S$7=0),0,IF((AE132+$K$7)&gt;$S$7/HU_alpha+$K$7,0.5*$S$7/HU_alpha,IF((AE132+$K$7)&gt;=$K$7,((AE132+$K$7)-$K$7)-0.5*HU_alpha/$S$7*((AE132+$K$7)-$K$7)^2,IF((AE132+$K$7)&gt;=$T$7,HU_beta*((AE132+$K$7)-$K$7),HU_beta*($T$7-$K$7)))))</f>
        <v>0</v>
      </c>
      <c r="AN132" s="54">
        <f t="shared" ref="AN132:AN150" si="143">IF(AND($J$8,A132&gt;=1,A132&lt;=$Q$8-1),J132,0)</f>
        <v>0</v>
      </c>
      <c r="AO132" s="21">
        <f t="shared" ref="AO132:AO163" si="144">IF(OR(AN132=0,$S$8=0),0,IF((AE132+$L$8)&gt;$S$8/HU_alpha+$K$8,0.5*$S$8/HU_alpha,IF((AE132+$L$8)&gt;=$K$8,((AE132+$L$8)-$K$8)-0.5*HU_alpha/$S$8*((AE132+$L$8)-$K$8)^2,IF((AE132+$L$8)&gt;=$T$8,HU_beta*((AE132+$L$8)-$K$8),HU_beta*($T$8-$K$8)))))</f>
        <v>0</v>
      </c>
      <c r="AP132" s="21">
        <f t="shared" ref="AP132:AP150" si="145">IF(OR(AN132=0,$S$8=0),0,IF((AE132+$L$8+$N$8)&gt;$S$8/HU_alpha+$K$8,0.5*$S$8/HU_alpha,IF((AE132+$L$8+$N$8)&gt;=$K$8,((AE132+$L$8+$N$8)-$K$8)-0.5*HU_alpha/$S$8*((AE132+$L$8+$N$8)-$K$8)^2,IF((AE132+$L$8+$N$8)&gt;=$T$8,HU_beta*((AE132+$L$8+$N$8)-$K$8),HU_beta*($T$8-$K$8)))))</f>
        <v>0</v>
      </c>
      <c r="AQ132" s="21">
        <f t="shared" ref="AQ132:AQ150" si="146">IF(OR(AN132=0,$S$8=0),0,IF((AE132+$K$8)&gt;$S$8/HU_alpha+$K$8,0.5*$S$8/HU_alpha,IF((AE132+$K$8)&gt;=$K$8,((AE132+$K$8)-$K$8)-0.5*HU_alpha/$S$8*((AE132+$K$8)-$K$8)^2,IF((AE132+$K$8)&gt;=$T$8,HU_beta*((AE132+$K$8)-$K$8),HU_beta*($T$8-$K$8)))))</f>
        <v>0</v>
      </c>
      <c r="AR132" s="54">
        <f t="shared" ref="AR132:AR150" si="147">IF(AND($J$9,A132&gt;=1,A132&lt;=$Q$9-1),J132,0)</f>
        <v>0</v>
      </c>
      <c r="AS132" s="21">
        <f t="shared" ref="AS132:AS163" si="148">IF(OR(AR132=0,$S$9=0),0,IF((AE132+$L$9)&gt;$S$9/HU_alpha+$K$9,0.5*$S$9/HU_alpha,IF((AE132+$L$9)&gt;=$K$9,((AE132+$L$9)-$K$9)-0.5*HU_alpha/$S$9*((AE132+$L$9)-$K$9)^2,IF((AE132+$L$9)&gt;=$T$9,HU_beta*((AE132+$L$9)-$K$9),HU_beta*($T$9-$K$9)))))</f>
        <v>0</v>
      </c>
      <c r="AT132" s="21">
        <f t="shared" ref="AT132:AT150" si="149">IF(OR(AR132=0,$S$9=0),0,IF((AE132+$L$9+$N$9)&gt;$S$9/HU_alpha+$K$9,0.5*$S$9/HU_alpha,IF((AE132+$L$9+$N$9)&gt;=$K$9,((AE132+$L$9+$N$9)-$K$9)-0.5*HU_alpha/$S$9*((AE132+$L$9+$N$9)-$K$9)^2,IF((AE132+$L$9+$N$9)&gt;=$T$9,HU_beta*((AE132+$L$9+$N$9)-$K$9),HU_beta*($T$9-$K$9)))))</f>
        <v>0</v>
      </c>
      <c r="AU132" s="21">
        <f t="shared" ref="AU132:AU150" si="150">IF(OR(AR132=0,$S$9=0),0,IF((AE132+$K$9)&gt;$S$9/HU_alpha+$K$9,0.5*$S$9/HU_alpha,IF((AE132+$K$9)&gt;=$K$9,((AE132+$K$9)-$K$9)-0.5*HU_alpha/$S$9*((AE132+$K$9)-$K$9)^2,IF((AE132+$K$9)&gt;=$T$9,HU_beta*((AE132+$K$9)-$K$9),HU_beta*($T$9-$K$9)))))</f>
        <v>0</v>
      </c>
      <c r="AV132" s="54">
        <f t="shared" ref="AV132:AV150" si="151">IF(AND($J$10,A132=$Q$10),J132,0)</f>
        <v>0</v>
      </c>
      <c r="AW132" s="21">
        <f t="shared" ref="AW132:AW163" si="152">IF(OR(AV132=0,$S$10=0),0,IF((AD132+$L$10)&gt;$S$10/HU_alpha+$K$10,0.5*$S$10/HU_alpha,IF((AD132+$L$10)&gt;=$K$10,((AD132+$L$10)-$K$10)-0.5*HU_alpha/$S$10*((AD132+$L$10)-$K$10)^2,IF((AD132+$L$10)&gt;=$T$10,HU_beta*((AD132+$L$10)-$K$10),HU_beta*($T$10-$K$10)))))</f>
        <v>0</v>
      </c>
      <c r="AX132" s="21">
        <f t="shared" ref="AX132:AX150" si="153">IF(OR(AV132=0,$S$10=0),0,IF((AD132+$L$10+$N$10)&gt;$S$10/HU_alpha+$K$10,0.5*$S$10/HU_alpha,IF((AD132+$L$10+$N$10)&gt;=$K$10,((AD132+$L$10+$N$10)-$K$10)-0.5*HU_alpha/$S$10*((AD132+$L$10+$N$10)-$K$10)^2,IF((AD132+$L$10+$N$10)&gt;=$T$10,HU_beta*((AD132+$L$10+$N$10)-$K$10),HU_beta*($T$10-$K$10)))))</f>
        <v>0</v>
      </c>
      <c r="AY132" s="21">
        <f t="shared" ref="AY132:AY150" si="154">IF(OR(AV132=0,$S$10=0),0,IF((AD132+$K$10)&gt;$S$10/HU_alpha+$K$10,0.5*$S$10/HU_alpha,IF((AD132+$K$10)&gt;=$K$10,((AD132+$K$10)-$K$10)-0.5*HU_alpha/$S$10*((AD132+$K$10)-$K$10)^2,IF((AD132+$K$10)&gt;=$T$10,HU_beta*((AD132+$K$10)-$K$10),HU_beta*($T$10-$K$10)))))</f>
        <v>0</v>
      </c>
      <c r="AZ132" s="54">
        <f t="shared" ref="AZ132:AZ150" si="155">IF(AND($J$11,A132=$Q$11),J132,0)</f>
        <v>0</v>
      </c>
      <c r="BA132" s="21">
        <f t="shared" ref="BA132:BA163" si="156">IF(OR(AZ132=0,$S$11=0),0,IF((AE132+$L$11)&gt;$S$11/HU_alpha+$K$11,0.5*$S$11/HU_alpha,IF((AE132+$L$11)&gt;=$K$11,((AE132+$L$11)-$K$11)-0.5*HU_alpha/$S$11*((AE132+$L$11)-$K$11)^2,IF((AE132+$L$11)&gt;=$T$11,HU_beta*((AE132+$L$11)-$K$11),HU_beta*($T$11-$K$11)))))</f>
        <v>0</v>
      </c>
      <c r="BB132" s="21">
        <f t="shared" ref="BB132:BB150" si="157">IF(OR(AZ132=0,$S$11=0),0,IF((AE132+$L$11+$N$11)&gt;$S$11/HU_alpha+$K$11,0.5*$S$11/HU_alpha,IF((AE132+$L$11+$N$11)&gt;=$K$11,((AE132+$L$11+$N$11)-$K$11)-0.5*HU_alpha/$S$11*((AE132+$L$11+$N$11)-$K$11)^2,IF((AE132+$L$11+$N$11)&gt;=$T$11,HU_beta*((AE132+$L$11+$N$11)-$K$11),HU_beta*($T$11-$K$11)))))</f>
        <v>0</v>
      </c>
      <c r="BC132" s="21">
        <f t="shared" ref="BC132:BC150" si="158">IF(OR(AZ132=0,$S$11=0),0,IF((AE132+$K$11)&gt;$S$11/HU_alpha+$K$11,0.5*$S$11/HU_alpha,IF((AE132+$K$11)&gt;=$K$11,((AE132+$K$11)-$K$11)-0.5*HU_alpha/$S$11*((AE132+$K$11)-$K$11)^2,IF((AE132+$K$11)&gt;=$T$11,HU_beta*((AE132+$K$11)-$K$11),HU_beta*($T$11-$K$11)))))</f>
        <v>0</v>
      </c>
      <c r="BD132" s="54">
        <f t="shared" ref="BD132:BD150" si="159">IF(AND($J$12,A132=$Q$12),J132,0)</f>
        <v>0</v>
      </c>
      <c r="BE132" s="21">
        <f t="shared" ref="BE132:BE163" si="160">IF(OR(BD132=0,$S$12=0),0,IF((AE132+$L$12)&gt;$S$12/HU_alpha+$K$12,0.5*$S$12/HU_alpha,IF((AE132+$L$12)&gt;=$K$12,((AE132+$L$12)-$K$12)-0.5*HU_alpha/$S$12*((AE132+$L$12)-$K$12)^2,IF((AE132+$L$12)&gt;=$T$12,HU_beta*((AE132+$L$12)-$K$12),HU_beta*($T$12-$K$12)))))</f>
        <v>0</v>
      </c>
      <c r="BF132" s="21">
        <f t="shared" ref="BF132:BF150" si="161">IF(OR(BD132=0,$S$12=0),0,IF((AE132+$L$12+$N$12)&gt;$S$12/HU_alpha+$K$12,0.5*$S$12/HU_alpha,IF((AE132+$L$12+$N$12)&gt;=$K$12,((AE132+$L$12+$N$12)-$K$12)-0.5*HU_alpha/$S$12*((AE132+$L$12+$N$12)-$K$12)^2,IF((AE132+$L$12+$N$12)&gt;=$T$12,HU_beta*((AE132+$L$12+$N$12)-$K$12),HU_beta*($T$12-$K$12)))))</f>
        <v>0</v>
      </c>
      <c r="BG132" s="21">
        <f t="shared" ref="BG132:BG150" si="162">IF(OR(BD132=0,$S$12=0),0,IF((AE132+$K$12)&gt;$S$12/HU_alpha+$K$12,0.5*$S$12/HU_alpha,IF((AE132+$K$12)&gt;=$K$12,((AE132+$K$12)-$K$12)-0.5*HU_alpha/$S$12*((AE132+$K$12)-$K$12)^2,IF((AE132+$K$12)&gt;=$T$12,HU_beta*((AE132+$K$12)-$K$12),HU_beta*($T$12-$K$12)))))</f>
        <v>0</v>
      </c>
      <c r="BH132" s="54">
        <f t="shared" ref="BH132:BH150" si="163">IF(AND($J$13,A132=$Q$13),J132,0)</f>
        <v>0</v>
      </c>
      <c r="BI132" s="21">
        <f t="shared" ref="BI132:BI163" si="164">IF(OR(BH132=0,$S$13=0),0,IF((AE132+$L$13)&gt;$S$13/HU_alpha+$K$13,0.5*$S$13/HU_alpha,IF((AE132+$L$13)&gt;=$K$13,((AE132+$L$13)-$K$13)-0.5*HU_alpha/$S$13*((AE132+$L$13)-$K$13)^2,IF((AE132+$L$13)&gt;=$T$13,HU_beta*((AE132+$L$13)-$K$13),HU_beta*($T$13-$K$13)))))</f>
        <v>0</v>
      </c>
      <c r="BJ132" s="21">
        <f t="shared" ref="BJ132:BJ150" si="165">IF(OR(BH132=0,$S$13=0),0,IF((AE132+$L$13+$N$13)&gt;$S$13/HU_alpha+$K$13,0.5*$S$13/HU_alpha,IF((AE132+$L$13+$N$13)&gt;=$K$13,((AE132+$L$13+$N$13)-$K$13)-0.5*HU_alpha/$S$13*((AE132+$L$13+$N$13)-$K$13)^2,IF((AE132+$L$13+$N$13)&gt;=$T$13,HU_beta*((AE132+$L$13+$N$13)-$K$13),HU_beta*($T$13-$K$13)))))</f>
        <v>0</v>
      </c>
      <c r="BK132" s="21">
        <f t="shared" ref="BK132:BK150" si="166">IF(OR(BH132=0,$S$13=0),0,IF((AE132+$K$13)&gt;$S$13/HU_alpha+$K$13,0.5*$S$13/HU_alpha,IF((AE132+$K$13)&gt;=$K$13,((AE132+$K$13)-$K$13)-0.5*HU_alpha/$S$13*((AE132+$K$13)-$K$13)^2,IF((AE132+$K$13)&gt;=$T$13,HU_beta*((AE132+$K$13)-$K$13),HU_beta*($T$13-$K$13)))))</f>
        <v>0</v>
      </c>
    </row>
    <row r="133" spans="1:63" x14ac:dyDescent="0.25">
      <c r="A133" s="51">
        <v>65</v>
      </c>
      <c r="B133" s="51">
        <f t="shared" si="124"/>
        <v>99</v>
      </c>
      <c r="C133" s="52" t="b">
        <f t="shared" si="125"/>
        <v>0</v>
      </c>
      <c r="D133" s="54">
        <f t="shared" si="126"/>
        <v>0</v>
      </c>
      <c r="E133" s="54">
        <f t="shared" si="127"/>
        <v>0</v>
      </c>
      <c r="F133" s="54">
        <f t="shared" si="128"/>
        <v>0</v>
      </c>
      <c r="G133" s="54">
        <f t="shared" si="129"/>
        <v>0</v>
      </c>
      <c r="H133" s="54">
        <f t="shared" si="130"/>
        <v>0</v>
      </c>
      <c r="I133" s="54">
        <f t="shared" ref="I133:I150" si="167">IF(A133&gt;HU_T,0,I132*(1-D133)*(1-E133))</f>
        <v>0</v>
      </c>
      <c r="J133" s="54">
        <f t="shared" si="131"/>
        <v>0</v>
      </c>
      <c r="K133" s="54">
        <f t="shared" ref="K133:K150" si="168">K132*(1-G133)</f>
        <v>0.65151911093279413</v>
      </c>
      <c r="L133" s="54">
        <f t="shared" ref="L133:L164" si="169">1-K133</f>
        <v>0.34848088906720587</v>
      </c>
      <c r="M133" s="54">
        <f t="shared" ref="M133:M150" si="170">K132*G133</f>
        <v>0</v>
      </c>
      <c r="N133" s="54">
        <f t="shared" ref="N133:N150" si="171">N132*(1-H133)</f>
        <v>0.98872287800391234</v>
      </c>
      <c r="O133" s="54">
        <f t="shared" ref="O133:O150" si="172">1-N132</f>
        <v>1.1277121996087658E-2</v>
      </c>
      <c r="P133" s="54">
        <f t="shared" ref="P133:P150" si="173">P132*(1-F133)</f>
        <v>0.21940028869596045</v>
      </c>
      <c r="Q133" s="54">
        <f t="shared" ref="Q133:Q150" si="174">1-P132/INDEX($P$68:$P$150,MAX(1,A133-HU_ciYears))</f>
        <v>0</v>
      </c>
      <c r="R133" s="50">
        <f t="shared" si="132"/>
        <v>4.384460797394123</v>
      </c>
      <c r="S133" s="21">
        <f t="shared" ref="S133:S150" si="175">IF(OR(OR(A133&lt;1,A133&gt;HU_T),A133-1&gt;=HU_dtr),0,HU_inc0*(1+incomeGrowthRate)^A133)</f>
        <v>0</v>
      </c>
      <c r="T133" s="50">
        <f t="shared" ref="T133:T150" si="176">IF(A133&gt;HU_T,T132,T132*(1+INDEX(HU_ssG,HU_age+A133-17)))</f>
        <v>5.9635881861510844</v>
      </c>
      <c r="U133" s="21">
        <f t="shared" ref="U133:U164" si="177">IF(AND(HU_dtr&gt;=1,A133=HU_dtr,A133&lt;=HU_T),MIN(S133*INDEX(HU_ssC,HU_age+A133-17)/(1-INDEX(HU_ssC,HU_age+A133-17)),INDEX(HU_ssCap,HU_age+A133-17))*T133,0)</f>
        <v>0</v>
      </c>
      <c r="V133" s="21">
        <f t="shared" ref="V133:V164" si="178">S133+U133+IF(AND(HU_wdOn,A133=HU_wdYear),HU_wdIncome,0)</f>
        <v>0</v>
      </c>
      <c r="W133" s="50">
        <f t="shared" ref="W133:W150" si="179">HU_ciProp*Q133+HU_ptdCut*L133+HU_disCut*O133</f>
        <v>0.18551756652969059</v>
      </c>
      <c r="X133" s="21">
        <f t="shared" ref="X133:X164" si="180">IF(OR(A133&lt;1,A133&gt;HU_T),0,V133*(1-W133))</f>
        <v>0</v>
      </c>
      <c r="Y133" s="21">
        <f t="shared" ref="Y133:Y150" si="181">IF(OR(A133&lt;1,A133&gt;HU_T),0,IF(AND(HU_retExp&gt;0,A133-1&gt;=HU_dtr),HU_retExp,HU_exp0)*R133)</f>
        <v>0</v>
      </c>
      <c r="Z133" s="21">
        <f t="shared" ref="Z133:Z164" si="182">-Y133-IF(AND(HU_wdOn,A133=HU_wdYear),HU_wdOut,0)</f>
        <v>0</v>
      </c>
      <c r="AA133" s="21">
        <f t="shared" ref="AA133:AA150" si="183">IF(OR(A133&lt;1,A133&gt;HU_T),0,-HU_medCost*R133*F133-HU_ptdCost*R133*M133)</f>
        <v>0</v>
      </c>
      <c r="AB133" s="21">
        <f t="shared" ref="AB133:AB164" si="184">IF(A133&gt;HU_T,0,AB132*(1+interestRate)+X133+Z133+AA133)</f>
        <v>0</v>
      </c>
      <c r="AC133" s="21">
        <f t="shared" si="133"/>
        <v>0</v>
      </c>
      <c r="AD133" s="21">
        <f t="shared" si="134"/>
        <v>0</v>
      </c>
      <c r="AE133" s="21">
        <f t="shared" ref="AE133:AE150" si="185">IF(A133&gt;HU_T,0,MAX(0,X133-Y133))</f>
        <v>0</v>
      </c>
      <c r="AF133" s="54">
        <f t="shared" si="135"/>
        <v>0</v>
      </c>
      <c r="AG133" s="21">
        <f t="shared" si="136"/>
        <v>0</v>
      </c>
      <c r="AH133" s="21">
        <f t="shared" si="137"/>
        <v>0</v>
      </c>
      <c r="AI133" s="21">
        <f t="shared" si="138"/>
        <v>0</v>
      </c>
      <c r="AJ133" s="54">
        <f t="shared" si="139"/>
        <v>0</v>
      </c>
      <c r="AK133" s="21">
        <f t="shared" si="140"/>
        <v>0</v>
      </c>
      <c r="AL133" s="21">
        <f t="shared" si="141"/>
        <v>0</v>
      </c>
      <c r="AM133" s="21">
        <f t="shared" si="142"/>
        <v>0</v>
      </c>
      <c r="AN133" s="54">
        <f t="shared" si="143"/>
        <v>0</v>
      </c>
      <c r="AO133" s="21">
        <f t="shared" si="144"/>
        <v>0</v>
      </c>
      <c r="AP133" s="21">
        <f t="shared" si="145"/>
        <v>0</v>
      </c>
      <c r="AQ133" s="21">
        <f t="shared" si="146"/>
        <v>0</v>
      </c>
      <c r="AR133" s="54">
        <f t="shared" si="147"/>
        <v>0</v>
      </c>
      <c r="AS133" s="21">
        <f t="shared" si="148"/>
        <v>0</v>
      </c>
      <c r="AT133" s="21">
        <f t="shared" si="149"/>
        <v>0</v>
      </c>
      <c r="AU133" s="21">
        <f t="shared" si="150"/>
        <v>0</v>
      </c>
      <c r="AV133" s="54">
        <f t="shared" si="151"/>
        <v>0</v>
      </c>
      <c r="AW133" s="21">
        <f t="shared" si="152"/>
        <v>0</v>
      </c>
      <c r="AX133" s="21">
        <f t="shared" si="153"/>
        <v>0</v>
      </c>
      <c r="AY133" s="21">
        <f t="shared" si="154"/>
        <v>0</v>
      </c>
      <c r="AZ133" s="54">
        <f t="shared" si="155"/>
        <v>0</v>
      </c>
      <c r="BA133" s="21">
        <f t="shared" si="156"/>
        <v>0</v>
      </c>
      <c r="BB133" s="21">
        <f t="shared" si="157"/>
        <v>0</v>
      </c>
      <c r="BC133" s="21">
        <f t="shared" si="158"/>
        <v>0</v>
      </c>
      <c r="BD133" s="54">
        <f t="shared" si="159"/>
        <v>0</v>
      </c>
      <c r="BE133" s="21">
        <f t="shared" si="160"/>
        <v>0</v>
      </c>
      <c r="BF133" s="21">
        <f t="shared" si="161"/>
        <v>0</v>
      </c>
      <c r="BG133" s="21">
        <f t="shared" si="162"/>
        <v>0</v>
      </c>
      <c r="BH133" s="54">
        <f t="shared" si="163"/>
        <v>0</v>
      </c>
      <c r="BI133" s="21">
        <f t="shared" si="164"/>
        <v>0</v>
      </c>
      <c r="BJ133" s="21">
        <f t="shared" si="165"/>
        <v>0</v>
      </c>
      <c r="BK133" s="21">
        <f t="shared" si="166"/>
        <v>0</v>
      </c>
    </row>
    <row r="134" spans="1:63" x14ac:dyDescent="0.25">
      <c r="A134" s="51">
        <v>66</v>
      </c>
      <c r="B134" s="51">
        <f t="shared" si="124"/>
        <v>100</v>
      </c>
      <c r="C134" s="52" t="b">
        <f t="shared" si="125"/>
        <v>0</v>
      </c>
      <c r="D134" s="54">
        <f t="shared" si="126"/>
        <v>0</v>
      </c>
      <c r="E134" s="54">
        <f t="shared" si="127"/>
        <v>0</v>
      </c>
      <c r="F134" s="54">
        <f t="shared" si="128"/>
        <v>0</v>
      </c>
      <c r="G134" s="54">
        <f t="shared" si="129"/>
        <v>0</v>
      </c>
      <c r="H134" s="54">
        <f t="shared" si="130"/>
        <v>0</v>
      </c>
      <c r="I134" s="54">
        <f t="shared" si="167"/>
        <v>0</v>
      </c>
      <c r="J134" s="54">
        <f t="shared" si="131"/>
        <v>0</v>
      </c>
      <c r="K134" s="54">
        <f t="shared" si="168"/>
        <v>0.65151911093279413</v>
      </c>
      <c r="L134" s="54">
        <f t="shared" si="169"/>
        <v>0.34848088906720587</v>
      </c>
      <c r="M134" s="54">
        <f t="shared" si="170"/>
        <v>0</v>
      </c>
      <c r="N134" s="54">
        <f t="shared" si="171"/>
        <v>0.98872287800391234</v>
      </c>
      <c r="O134" s="54">
        <f t="shared" si="172"/>
        <v>1.1277121996087658E-2</v>
      </c>
      <c r="P134" s="54">
        <f t="shared" si="173"/>
        <v>0.21940028869596045</v>
      </c>
      <c r="Q134" s="54">
        <f t="shared" si="174"/>
        <v>0</v>
      </c>
      <c r="R134" s="50">
        <f t="shared" si="132"/>
        <v>4.4853033957341877</v>
      </c>
      <c r="S134" s="21">
        <f t="shared" si="175"/>
        <v>0</v>
      </c>
      <c r="T134" s="50">
        <f t="shared" si="176"/>
        <v>5.9635881861510844</v>
      </c>
      <c r="U134" s="21">
        <f t="shared" si="177"/>
        <v>0</v>
      </c>
      <c r="V134" s="21">
        <f t="shared" si="178"/>
        <v>0</v>
      </c>
      <c r="W134" s="50">
        <f t="shared" si="179"/>
        <v>0.18551756652969059</v>
      </c>
      <c r="X134" s="21">
        <f t="shared" si="180"/>
        <v>0</v>
      </c>
      <c r="Y134" s="21">
        <f t="shared" si="181"/>
        <v>0</v>
      </c>
      <c r="Z134" s="21">
        <f t="shared" si="182"/>
        <v>0</v>
      </c>
      <c r="AA134" s="21">
        <f t="shared" si="183"/>
        <v>0</v>
      </c>
      <c r="AB134" s="21">
        <f t="shared" si="184"/>
        <v>0</v>
      </c>
      <c r="AC134" s="21">
        <f t="shared" si="133"/>
        <v>0</v>
      </c>
      <c r="AD134" s="21">
        <f t="shared" si="134"/>
        <v>0</v>
      </c>
      <c r="AE134" s="21">
        <f t="shared" si="185"/>
        <v>0</v>
      </c>
      <c r="AF134" s="54">
        <f t="shared" si="135"/>
        <v>0</v>
      </c>
      <c r="AG134" s="21">
        <f t="shared" si="136"/>
        <v>0</v>
      </c>
      <c r="AH134" s="21">
        <f t="shared" si="137"/>
        <v>0</v>
      </c>
      <c r="AI134" s="21">
        <f t="shared" si="138"/>
        <v>0</v>
      </c>
      <c r="AJ134" s="54">
        <f t="shared" si="139"/>
        <v>0</v>
      </c>
      <c r="AK134" s="21">
        <f t="shared" si="140"/>
        <v>0</v>
      </c>
      <c r="AL134" s="21">
        <f t="shared" si="141"/>
        <v>0</v>
      </c>
      <c r="AM134" s="21">
        <f t="shared" si="142"/>
        <v>0</v>
      </c>
      <c r="AN134" s="54">
        <f t="shared" si="143"/>
        <v>0</v>
      </c>
      <c r="AO134" s="21">
        <f t="shared" si="144"/>
        <v>0</v>
      </c>
      <c r="AP134" s="21">
        <f t="shared" si="145"/>
        <v>0</v>
      </c>
      <c r="AQ134" s="21">
        <f t="shared" si="146"/>
        <v>0</v>
      </c>
      <c r="AR134" s="54">
        <f t="shared" si="147"/>
        <v>0</v>
      </c>
      <c r="AS134" s="21">
        <f t="shared" si="148"/>
        <v>0</v>
      </c>
      <c r="AT134" s="21">
        <f t="shared" si="149"/>
        <v>0</v>
      </c>
      <c r="AU134" s="21">
        <f t="shared" si="150"/>
        <v>0</v>
      </c>
      <c r="AV134" s="54">
        <f t="shared" si="151"/>
        <v>0</v>
      </c>
      <c r="AW134" s="21">
        <f t="shared" si="152"/>
        <v>0</v>
      </c>
      <c r="AX134" s="21">
        <f t="shared" si="153"/>
        <v>0</v>
      </c>
      <c r="AY134" s="21">
        <f t="shared" si="154"/>
        <v>0</v>
      </c>
      <c r="AZ134" s="54">
        <f t="shared" si="155"/>
        <v>0</v>
      </c>
      <c r="BA134" s="21">
        <f t="shared" si="156"/>
        <v>0</v>
      </c>
      <c r="BB134" s="21">
        <f t="shared" si="157"/>
        <v>0</v>
      </c>
      <c r="BC134" s="21">
        <f t="shared" si="158"/>
        <v>0</v>
      </c>
      <c r="BD134" s="54">
        <f t="shared" si="159"/>
        <v>0</v>
      </c>
      <c r="BE134" s="21">
        <f t="shared" si="160"/>
        <v>0</v>
      </c>
      <c r="BF134" s="21">
        <f t="shared" si="161"/>
        <v>0</v>
      </c>
      <c r="BG134" s="21">
        <f t="shared" si="162"/>
        <v>0</v>
      </c>
      <c r="BH134" s="54">
        <f t="shared" si="163"/>
        <v>0</v>
      </c>
      <c r="BI134" s="21">
        <f t="shared" si="164"/>
        <v>0</v>
      </c>
      <c r="BJ134" s="21">
        <f t="shared" si="165"/>
        <v>0</v>
      </c>
      <c r="BK134" s="21">
        <f t="shared" si="166"/>
        <v>0</v>
      </c>
    </row>
    <row r="135" spans="1:63" x14ac:dyDescent="0.25">
      <c r="A135" s="51">
        <v>67</v>
      </c>
      <c r="B135" s="51">
        <f t="shared" si="124"/>
        <v>101</v>
      </c>
      <c r="C135" s="52" t="b">
        <f t="shared" si="125"/>
        <v>0</v>
      </c>
      <c r="D135" s="54">
        <f t="shared" si="126"/>
        <v>0</v>
      </c>
      <c r="E135" s="54">
        <f t="shared" si="127"/>
        <v>0</v>
      </c>
      <c r="F135" s="54">
        <f t="shared" si="128"/>
        <v>0</v>
      </c>
      <c r="G135" s="54">
        <f t="shared" si="129"/>
        <v>0</v>
      </c>
      <c r="H135" s="54">
        <f t="shared" si="130"/>
        <v>0</v>
      </c>
      <c r="I135" s="54">
        <f t="shared" si="167"/>
        <v>0</v>
      </c>
      <c r="J135" s="54">
        <f t="shared" si="131"/>
        <v>0</v>
      </c>
      <c r="K135" s="54">
        <f t="shared" si="168"/>
        <v>0.65151911093279413</v>
      </c>
      <c r="L135" s="54">
        <f t="shared" si="169"/>
        <v>0.34848088906720587</v>
      </c>
      <c r="M135" s="54">
        <f t="shared" si="170"/>
        <v>0</v>
      </c>
      <c r="N135" s="54">
        <f t="shared" si="171"/>
        <v>0.98872287800391234</v>
      </c>
      <c r="O135" s="54">
        <f t="shared" si="172"/>
        <v>1.1277121996087658E-2</v>
      </c>
      <c r="P135" s="54">
        <f t="shared" si="173"/>
        <v>0.21940028869596045</v>
      </c>
      <c r="Q135" s="54">
        <f t="shared" si="174"/>
        <v>0</v>
      </c>
      <c r="R135" s="50">
        <f t="shared" si="132"/>
        <v>4.5884653738360734</v>
      </c>
      <c r="S135" s="21">
        <f t="shared" si="175"/>
        <v>0</v>
      </c>
      <c r="T135" s="50">
        <f t="shared" si="176"/>
        <v>5.9635881861510844</v>
      </c>
      <c r="U135" s="21">
        <f t="shared" si="177"/>
        <v>0</v>
      </c>
      <c r="V135" s="21">
        <f t="shared" si="178"/>
        <v>0</v>
      </c>
      <c r="W135" s="50">
        <f t="shared" si="179"/>
        <v>0.18551756652969059</v>
      </c>
      <c r="X135" s="21">
        <f t="shared" si="180"/>
        <v>0</v>
      </c>
      <c r="Y135" s="21">
        <f t="shared" si="181"/>
        <v>0</v>
      </c>
      <c r="Z135" s="21">
        <f t="shared" si="182"/>
        <v>0</v>
      </c>
      <c r="AA135" s="21">
        <f t="shared" si="183"/>
        <v>0</v>
      </c>
      <c r="AB135" s="21">
        <f t="shared" si="184"/>
        <v>0</v>
      </c>
      <c r="AC135" s="21">
        <f t="shared" si="133"/>
        <v>0</v>
      </c>
      <c r="AD135" s="21">
        <f t="shared" si="134"/>
        <v>0</v>
      </c>
      <c r="AE135" s="21">
        <f t="shared" si="185"/>
        <v>0</v>
      </c>
      <c r="AF135" s="54">
        <f t="shared" si="135"/>
        <v>0</v>
      </c>
      <c r="AG135" s="21">
        <f t="shared" si="136"/>
        <v>0</v>
      </c>
      <c r="AH135" s="21">
        <f t="shared" si="137"/>
        <v>0</v>
      </c>
      <c r="AI135" s="21">
        <f t="shared" si="138"/>
        <v>0</v>
      </c>
      <c r="AJ135" s="54">
        <f t="shared" si="139"/>
        <v>0</v>
      </c>
      <c r="AK135" s="21">
        <f t="shared" si="140"/>
        <v>0</v>
      </c>
      <c r="AL135" s="21">
        <f t="shared" si="141"/>
        <v>0</v>
      </c>
      <c r="AM135" s="21">
        <f t="shared" si="142"/>
        <v>0</v>
      </c>
      <c r="AN135" s="54">
        <f t="shared" si="143"/>
        <v>0</v>
      </c>
      <c r="AO135" s="21">
        <f t="shared" si="144"/>
        <v>0</v>
      </c>
      <c r="AP135" s="21">
        <f t="shared" si="145"/>
        <v>0</v>
      </c>
      <c r="AQ135" s="21">
        <f t="shared" si="146"/>
        <v>0</v>
      </c>
      <c r="AR135" s="54">
        <f t="shared" si="147"/>
        <v>0</v>
      </c>
      <c r="AS135" s="21">
        <f t="shared" si="148"/>
        <v>0</v>
      </c>
      <c r="AT135" s="21">
        <f t="shared" si="149"/>
        <v>0</v>
      </c>
      <c r="AU135" s="21">
        <f t="shared" si="150"/>
        <v>0</v>
      </c>
      <c r="AV135" s="54">
        <f t="shared" si="151"/>
        <v>0</v>
      </c>
      <c r="AW135" s="21">
        <f t="shared" si="152"/>
        <v>0</v>
      </c>
      <c r="AX135" s="21">
        <f t="shared" si="153"/>
        <v>0</v>
      </c>
      <c r="AY135" s="21">
        <f t="shared" si="154"/>
        <v>0</v>
      </c>
      <c r="AZ135" s="54">
        <f t="shared" si="155"/>
        <v>0</v>
      </c>
      <c r="BA135" s="21">
        <f t="shared" si="156"/>
        <v>0</v>
      </c>
      <c r="BB135" s="21">
        <f t="shared" si="157"/>
        <v>0</v>
      </c>
      <c r="BC135" s="21">
        <f t="shared" si="158"/>
        <v>0</v>
      </c>
      <c r="BD135" s="54">
        <f t="shared" si="159"/>
        <v>0</v>
      </c>
      <c r="BE135" s="21">
        <f t="shared" si="160"/>
        <v>0</v>
      </c>
      <c r="BF135" s="21">
        <f t="shared" si="161"/>
        <v>0</v>
      </c>
      <c r="BG135" s="21">
        <f t="shared" si="162"/>
        <v>0</v>
      </c>
      <c r="BH135" s="54">
        <f t="shared" si="163"/>
        <v>0</v>
      </c>
      <c r="BI135" s="21">
        <f t="shared" si="164"/>
        <v>0</v>
      </c>
      <c r="BJ135" s="21">
        <f t="shared" si="165"/>
        <v>0</v>
      </c>
      <c r="BK135" s="21">
        <f t="shared" si="166"/>
        <v>0</v>
      </c>
    </row>
    <row r="136" spans="1:63" x14ac:dyDescent="0.25">
      <c r="A136" s="51">
        <v>68</v>
      </c>
      <c r="B136" s="51">
        <f t="shared" si="124"/>
        <v>102</v>
      </c>
      <c r="C136" s="52" t="b">
        <f t="shared" si="125"/>
        <v>0</v>
      </c>
      <c r="D136" s="54">
        <f t="shared" si="126"/>
        <v>0</v>
      </c>
      <c r="E136" s="54">
        <f t="shared" si="127"/>
        <v>0</v>
      </c>
      <c r="F136" s="54">
        <f t="shared" si="128"/>
        <v>0</v>
      </c>
      <c r="G136" s="54">
        <f t="shared" si="129"/>
        <v>0</v>
      </c>
      <c r="H136" s="54">
        <f t="shared" si="130"/>
        <v>0</v>
      </c>
      <c r="I136" s="54">
        <f t="shared" si="167"/>
        <v>0</v>
      </c>
      <c r="J136" s="54">
        <f t="shared" si="131"/>
        <v>0</v>
      </c>
      <c r="K136" s="54">
        <f t="shared" si="168"/>
        <v>0.65151911093279413</v>
      </c>
      <c r="L136" s="54">
        <f t="shared" si="169"/>
        <v>0.34848088906720587</v>
      </c>
      <c r="M136" s="54">
        <f t="shared" si="170"/>
        <v>0</v>
      </c>
      <c r="N136" s="54">
        <f t="shared" si="171"/>
        <v>0.98872287800391234</v>
      </c>
      <c r="O136" s="54">
        <f t="shared" si="172"/>
        <v>1.1277121996087658E-2</v>
      </c>
      <c r="P136" s="54">
        <f t="shared" si="173"/>
        <v>0.21940028869596045</v>
      </c>
      <c r="Q136" s="54">
        <f t="shared" si="174"/>
        <v>0</v>
      </c>
      <c r="R136" s="50">
        <f t="shared" si="132"/>
        <v>4.6940000774343025</v>
      </c>
      <c r="S136" s="21">
        <f t="shared" si="175"/>
        <v>0</v>
      </c>
      <c r="T136" s="50">
        <f t="shared" si="176"/>
        <v>5.9635881861510844</v>
      </c>
      <c r="U136" s="21">
        <f t="shared" si="177"/>
        <v>0</v>
      </c>
      <c r="V136" s="21">
        <f t="shared" si="178"/>
        <v>0</v>
      </c>
      <c r="W136" s="50">
        <f t="shared" si="179"/>
        <v>0.18551756652969059</v>
      </c>
      <c r="X136" s="21">
        <f t="shared" si="180"/>
        <v>0</v>
      </c>
      <c r="Y136" s="21">
        <f t="shared" si="181"/>
        <v>0</v>
      </c>
      <c r="Z136" s="21">
        <f t="shared" si="182"/>
        <v>0</v>
      </c>
      <c r="AA136" s="21">
        <f t="shared" si="183"/>
        <v>0</v>
      </c>
      <c r="AB136" s="21">
        <f t="shared" si="184"/>
        <v>0</v>
      </c>
      <c r="AC136" s="21">
        <f t="shared" si="133"/>
        <v>0</v>
      </c>
      <c r="AD136" s="21">
        <f t="shared" si="134"/>
        <v>0</v>
      </c>
      <c r="AE136" s="21">
        <f t="shared" si="185"/>
        <v>0</v>
      </c>
      <c r="AF136" s="54">
        <f t="shared" si="135"/>
        <v>0</v>
      </c>
      <c r="AG136" s="21">
        <f t="shared" si="136"/>
        <v>0</v>
      </c>
      <c r="AH136" s="21">
        <f t="shared" si="137"/>
        <v>0</v>
      </c>
      <c r="AI136" s="21">
        <f t="shared" si="138"/>
        <v>0</v>
      </c>
      <c r="AJ136" s="54">
        <f t="shared" si="139"/>
        <v>0</v>
      </c>
      <c r="AK136" s="21">
        <f t="shared" si="140"/>
        <v>0</v>
      </c>
      <c r="AL136" s="21">
        <f t="shared" si="141"/>
        <v>0</v>
      </c>
      <c r="AM136" s="21">
        <f t="shared" si="142"/>
        <v>0</v>
      </c>
      <c r="AN136" s="54">
        <f t="shared" si="143"/>
        <v>0</v>
      </c>
      <c r="AO136" s="21">
        <f t="shared" si="144"/>
        <v>0</v>
      </c>
      <c r="AP136" s="21">
        <f t="shared" si="145"/>
        <v>0</v>
      </c>
      <c r="AQ136" s="21">
        <f t="shared" si="146"/>
        <v>0</v>
      </c>
      <c r="AR136" s="54">
        <f t="shared" si="147"/>
        <v>0</v>
      </c>
      <c r="AS136" s="21">
        <f t="shared" si="148"/>
        <v>0</v>
      </c>
      <c r="AT136" s="21">
        <f t="shared" si="149"/>
        <v>0</v>
      </c>
      <c r="AU136" s="21">
        <f t="shared" si="150"/>
        <v>0</v>
      </c>
      <c r="AV136" s="54">
        <f t="shared" si="151"/>
        <v>0</v>
      </c>
      <c r="AW136" s="21">
        <f t="shared" si="152"/>
        <v>0</v>
      </c>
      <c r="AX136" s="21">
        <f t="shared" si="153"/>
        <v>0</v>
      </c>
      <c r="AY136" s="21">
        <f t="shared" si="154"/>
        <v>0</v>
      </c>
      <c r="AZ136" s="54">
        <f t="shared" si="155"/>
        <v>0</v>
      </c>
      <c r="BA136" s="21">
        <f t="shared" si="156"/>
        <v>0</v>
      </c>
      <c r="BB136" s="21">
        <f t="shared" si="157"/>
        <v>0</v>
      </c>
      <c r="BC136" s="21">
        <f t="shared" si="158"/>
        <v>0</v>
      </c>
      <c r="BD136" s="54">
        <f t="shared" si="159"/>
        <v>0</v>
      </c>
      <c r="BE136" s="21">
        <f t="shared" si="160"/>
        <v>0</v>
      </c>
      <c r="BF136" s="21">
        <f t="shared" si="161"/>
        <v>0</v>
      </c>
      <c r="BG136" s="21">
        <f t="shared" si="162"/>
        <v>0</v>
      </c>
      <c r="BH136" s="54">
        <f t="shared" si="163"/>
        <v>0</v>
      </c>
      <c r="BI136" s="21">
        <f t="shared" si="164"/>
        <v>0</v>
      </c>
      <c r="BJ136" s="21">
        <f t="shared" si="165"/>
        <v>0</v>
      </c>
      <c r="BK136" s="21">
        <f t="shared" si="166"/>
        <v>0</v>
      </c>
    </row>
    <row r="137" spans="1:63" x14ac:dyDescent="0.25">
      <c r="A137" s="51">
        <v>69</v>
      </c>
      <c r="B137" s="51">
        <f t="shared" si="124"/>
        <v>103</v>
      </c>
      <c r="C137" s="52" t="b">
        <f t="shared" si="125"/>
        <v>0</v>
      </c>
      <c r="D137" s="54">
        <f t="shared" si="126"/>
        <v>0</v>
      </c>
      <c r="E137" s="54">
        <f t="shared" si="127"/>
        <v>0</v>
      </c>
      <c r="F137" s="54">
        <f t="shared" si="128"/>
        <v>0</v>
      </c>
      <c r="G137" s="54">
        <f t="shared" si="129"/>
        <v>0</v>
      </c>
      <c r="H137" s="54">
        <f t="shared" si="130"/>
        <v>0</v>
      </c>
      <c r="I137" s="54">
        <f t="shared" si="167"/>
        <v>0</v>
      </c>
      <c r="J137" s="54">
        <f t="shared" si="131"/>
        <v>0</v>
      </c>
      <c r="K137" s="54">
        <f t="shared" si="168"/>
        <v>0.65151911093279413</v>
      </c>
      <c r="L137" s="54">
        <f t="shared" si="169"/>
        <v>0.34848088906720587</v>
      </c>
      <c r="M137" s="54">
        <f t="shared" si="170"/>
        <v>0</v>
      </c>
      <c r="N137" s="54">
        <f t="shared" si="171"/>
        <v>0.98872287800391234</v>
      </c>
      <c r="O137" s="54">
        <f t="shared" si="172"/>
        <v>1.1277121996087658E-2</v>
      </c>
      <c r="P137" s="54">
        <f t="shared" si="173"/>
        <v>0.21940028869596045</v>
      </c>
      <c r="Q137" s="54">
        <f t="shared" si="174"/>
        <v>0</v>
      </c>
      <c r="R137" s="50">
        <f t="shared" si="132"/>
        <v>4.8019620792152908</v>
      </c>
      <c r="S137" s="21">
        <f t="shared" si="175"/>
        <v>0</v>
      </c>
      <c r="T137" s="50">
        <f t="shared" si="176"/>
        <v>5.9635881861510844</v>
      </c>
      <c r="U137" s="21">
        <f t="shared" si="177"/>
        <v>0</v>
      </c>
      <c r="V137" s="21">
        <f t="shared" si="178"/>
        <v>0</v>
      </c>
      <c r="W137" s="50">
        <f t="shared" si="179"/>
        <v>0.18551756652969059</v>
      </c>
      <c r="X137" s="21">
        <f t="shared" si="180"/>
        <v>0</v>
      </c>
      <c r="Y137" s="21">
        <f t="shared" si="181"/>
        <v>0</v>
      </c>
      <c r="Z137" s="21">
        <f t="shared" si="182"/>
        <v>0</v>
      </c>
      <c r="AA137" s="21">
        <f t="shared" si="183"/>
        <v>0</v>
      </c>
      <c r="AB137" s="21">
        <f t="shared" si="184"/>
        <v>0</v>
      </c>
      <c r="AC137" s="21">
        <f t="shared" si="133"/>
        <v>0</v>
      </c>
      <c r="AD137" s="21">
        <f t="shared" si="134"/>
        <v>0</v>
      </c>
      <c r="AE137" s="21">
        <f t="shared" si="185"/>
        <v>0</v>
      </c>
      <c r="AF137" s="54">
        <f t="shared" si="135"/>
        <v>0</v>
      </c>
      <c r="AG137" s="21">
        <f t="shared" si="136"/>
        <v>0</v>
      </c>
      <c r="AH137" s="21">
        <f t="shared" si="137"/>
        <v>0</v>
      </c>
      <c r="AI137" s="21">
        <f t="shared" si="138"/>
        <v>0</v>
      </c>
      <c r="AJ137" s="54">
        <f t="shared" si="139"/>
        <v>0</v>
      </c>
      <c r="AK137" s="21">
        <f t="shared" si="140"/>
        <v>0</v>
      </c>
      <c r="AL137" s="21">
        <f t="shared" si="141"/>
        <v>0</v>
      </c>
      <c r="AM137" s="21">
        <f t="shared" si="142"/>
        <v>0</v>
      </c>
      <c r="AN137" s="54">
        <f t="shared" si="143"/>
        <v>0</v>
      </c>
      <c r="AO137" s="21">
        <f t="shared" si="144"/>
        <v>0</v>
      </c>
      <c r="AP137" s="21">
        <f t="shared" si="145"/>
        <v>0</v>
      </c>
      <c r="AQ137" s="21">
        <f t="shared" si="146"/>
        <v>0</v>
      </c>
      <c r="AR137" s="54">
        <f t="shared" si="147"/>
        <v>0</v>
      </c>
      <c r="AS137" s="21">
        <f t="shared" si="148"/>
        <v>0</v>
      </c>
      <c r="AT137" s="21">
        <f t="shared" si="149"/>
        <v>0</v>
      </c>
      <c r="AU137" s="21">
        <f t="shared" si="150"/>
        <v>0</v>
      </c>
      <c r="AV137" s="54">
        <f t="shared" si="151"/>
        <v>0</v>
      </c>
      <c r="AW137" s="21">
        <f t="shared" si="152"/>
        <v>0</v>
      </c>
      <c r="AX137" s="21">
        <f t="shared" si="153"/>
        <v>0</v>
      </c>
      <c r="AY137" s="21">
        <f t="shared" si="154"/>
        <v>0</v>
      </c>
      <c r="AZ137" s="54">
        <f t="shared" si="155"/>
        <v>0</v>
      </c>
      <c r="BA137" s="21">
        <f t="shared" si="156"/>
        <v>0</v>
      </c>
      <c r="BB137" s="21">
        <f t="shared" si="157"/>
        <v>0</v>
      </c>
      <c r="BC137" s="21">
        <f t="shared" si="158"/>
        <v>0</v>
      </c>
      <c r="BD137" s="54">
        <f t="shared" si="159"/>
        <v>0</v>
      </c>
      <c r="BE137" s="21">
        <f t="shared" si="160"/>
        <v>0</v>
      </c>
      <c r="BF137" s="21">
        <f t="shared" si="161"/>
        <v>0</v>
      </c>
      <c r="BG137" s="21">
        <f t="shared" si="162"/>
        <v>0</v>
      </c>
      <c r="BH137" s="54">
        <f t="shared" si="163"/>
        <v>0</v>
      </c>
      <c r="BI137" s="21">
        <f t="shared" si="164"/>
        <v>0</v>
      </c>
      <c r="BJ137" s="21">
        <f t="shared" si="165"/>
        <v>0</v>
      </c>
      <c r="BK137" s="21">
        <f t="shared" si="166"/>
        <v>0</v>
      </c>
    </row>
    <row r="138" spans="1:63" x14ac:dyDescent="0.25">
      <c r="A138" s="51">
        <v>70</v>
      </c>
      <c r="B138" s="51">
        <f t="shared" si="124"/>
        <v>104</v>
      </c>
      <c r="C138" s="52" t="b">
        <f t="shared" si="125"/>
        <v>0</v>
      </c>
      <c r="D138" s="54">
        <f t="shared" si="126"/>
        <v>0</v>
      </c>
      <c r="E138" s="54">
        <f t="shared" si="127"/>
        <v>0</v>
      </c>
      <c r="F138" s="54">
        <f t="shared" si="128"/>
        <v>0</v>
      </c>
      <c r="G138" s="54">
        <f t="shared" si="129"/>
        <v>0</v>
      </c>
      <c r="H138" s="54">
        <f t="shared" si="130"/>
        <v>0</v>
      </c>
      <c r="I138" s="54">
        <f t="shared" si="167"/>
        <v>0</v>
      </c>
      <c r="J138" s="54">
        <f t="shared" si="131"/>
        <v>0</v>
      </c>
      <c r="K138" s="54">
        <f t="shared" si="168"/>
        <v>0.65151911093279413</v>
      </c>
      <c r="L138" s="54">
        <f t="shared" si="169"/>
        <v>0.34848088906720587</v>
      </c>
      <c r="M138" s="54">
        <f t="shared" si="170"/>
        <v>0</v>
      </c>
      <c r="N138" s="54">
        <f t="shared" si="171"/>
        <v>0.98872287800391234</v>
      </c>
      <c r="O138" s="54">
        <f t="shared" si="172"/>
        <v>1.1277121996087658E-2</v>
      </c>
      <c r="P138" s="54">
        <f t="shared" si="173"/>
        <v>0.21940028869596045</v>
      </c>
      <c r="Q138" s="54">
        <f t="shared" si="174"/>
        <v>0</v>
      </c>
      <c r="R138" s="50">
        <f t="shared" si="132"/>
        <v>4.9124072070372433</v>
      </c>
      <c r="S138" s="21">
        <f t="shared" si="175"/>
        <v>0</v>
      </c>
      <c r="T138" s="50">
        <f t="shared" si="176"/>
        <v>5.9635881861510844</v>
      </c>
      <c r="U138" s="21">
        <f t="shared" si="177"/>
        <v>0</v>
      </c>
      <c r="V138" s="21">
        <f t="shared" si="178"/>
        <v>0</v>
      </c>
      <c r="W138" s="50">
        <f t="shared" si="179"/>
        <v>0.18551756652969059</v>
      </c>
      <c r="X138" s="21">
        <f t="shared" si="180"/>
        <v>0</v>
      </c>
      <c r="Y138" s="21">
        <f t="shared" si="181"/>
        <v>0</v>
      </c>
      <c r="Z138" s="21">
        <f t="shared" si="182"/>
        <v>0</v>
      </c>
      <c r="AA138" s="21">
        <f t="shared" si="183"/>
        <v>0</v>
      </c>
      <c r="AB138" s="21">
        <f t="shared" si="184"/>
        <v>0</v>
      </c>
      <c r="AC138" s="21">
        <f t="shared" si="133"/>
        <v>0</v>
      </c>
      <c r="AD138" s="21">
        <f t="shared" si="134"/>
        <v>0</v>
      </c>
      <c r="AE138" s="21">
        <f t="shared" si="185"/>
        <v>0</v>
      </c>
      <c r="AF138" s="54">
        <f t="shared" si="135"/>
        <v>0</v>
      </c>
      <c r="AG138" s="21">
        <f t="shared" si="136"/>
        <v>0</v>
      </c>
      <c r="AH138" s="21">
        <f t="shared" si="137"/>
        <v>0</v>
      </c>
      <c r="AI138" s="21">
        <f t="shared" si="138"/>
        <v>0</v>
      </c>
      <c r="AJ138" s="54">
        <f t="shared" si="139"/>
        <v>0</v>
      </c>
      <c r="AK138" s="21">
        <f t="shared" si="140"/>
        <v>0</v>
      </c>
      <c r="AL138" s="21">
        <f t="shared" si="141"/>
        <v>0</v>
      </c>
      <c r="AM138" s="21">
        <f t="shared" si="142"/>
        <v>0</v>
      </c>
      <c r="AN138" s="54">
        <f t="shared" si="143"/>
        <v>0</v>
      </c>
      <c r="AO138" s="21">
        <f t="shared" si="144"/>
        <v>0</v>
      </c>
      <c r="AP138" s="21">
        <f t="shared" si="145"/>
        <v>0</v>
      </c>
      <c r="AQ138" s="21">
        <f t="shared" si="146"/>
        <v>0</v>
      </c>
      <c r="AR138" s="54">
        <f t="shared" si="147"/>
        <v>0</v>
      </c>
      <c r="AS138" s="21">
        <f t="shared" si="148"/>
        <v>0</v>
      </c>
      <c r="AT138" s="21">
        <f t="shared" si="149"/>
        <v>0</v>
      </c>
      <c r="AU138" s="21">
        <f t="shared" si="150"/>
        <v>0</v>
      </c>
      <c r="AV138" s="54">
        <f t="shared" si="151"/>
        <v>0</v>
      </c>
      <c r="AW138" s="21">
        <f t="shared" si="152"/>
        <v>0</v>
      </c>
      <c r="AX138" s="21">
        <f t="shared" si="153"/>
        <v>0</v>
      </c>
      <c r="AY138" s="21">
        <f t="shared" si="154"/>
        <v>0</v>
      </c>
      <c r="AZ138" s="54">
        <f t="shared" si="155"/>
        <v>0</v>
      </c>
      <c r="BA138" s="21">
        <f t="shared" si="156"/>
        <v>0</v>
      </c>
      <c r="BB138" s="21">
        <f t="shared" si="157"/>
        <v>0</v>
      </c>
      <c r="BC138" s="21">
        <f t="shared" si="158"/>
        <v>0</v>
      </c>
      <c r="BD138" s="54">
        <f t="shared" si="159"/>
        <v>0</v>
      </c>
      <c r="BE138" s="21">
        <f t="shared" si="160"/>
        <v>0</v>
      </c>
      <c r="BF138" s="21">
        <f t="shared" si="161"/>
        <v>0</v>
      </c>
      <c r="BG138" s="21">
        <f t="shared" si="162"/>
        <v>0</v>
      </c>
      <c r="BH138" s="54">
        <f t="shared" si="163"/>
        <v>0</v>
      </c>
      <c r="BI138" s="21">
        <f t="shared" si="164"/>
        <v>0</v>
      </c>
      <c r="BJ138" s="21">
        <f t="shared" si="165"/>
        <v>0</v>
      </c>
      <c r="BK138" s="21">
        <f t="shared" si="166"/>
        <v>0</v>
      </c>
    </row>
    <row r="139" spans="1:63" x14ac:dyDescent="0.25">
      <c r="A139" s="51">
        <v>71</v>
      </c>
      <c r="B139" s="51">
        <f t="shared" si="124"/>
        <v>105</v>
      </c>
      <c r="C139" s="52" t="b">
        <f t="shared" si="125"/>
        <v>0</v>
      </c>
      <c r="D139" s="54">
        <f t="shared" si="126"/>
        <v>0</v>
      </c>
      <c r="E139" s="54">
        <f t="shared" si="127"/>
        <v>0</v>
      </c>
      <c r="F139" s="54">
        <f t="shared" si="128"/>
        <v>0</v>
      </c>
      <c r="G139" s="54">
        <f t="shared" si="129"/>
        <v>0</v>
      </c>
      <c r="H139" s="54">
        <f t="shared" si="130"/>
        <v>0</v>
      </c>
      <c r="I139" s="54">
        <f t="shared" si="167"/>
        <v>0</v>
      </c>
      <c r="J139" s="54">
        <f t="shared" si="131"/>
        <v>0</v>
      </c>
      <c r="K139" s="54">
        <f t="shared" si="168"/>
        <v>0.65151911093279413</v>
      </c>
      <c r="L139" s="54">
        <f t="shared" si="169"/>
        <v>0.34848088906720587</v>
      </c>
      <c r="M139" s="54">
        <f t="shared" si="170"/>
        <v>0</v>
      </c>
      <c r="N139" s="54">
        <f t="shared" si="171"/>
        <v>0.98872287800391234</v>
      </c>
      <c r="O139" s="54">
        <f t="shared" si="172"/>
        <v>1.1277121996087658E-2</v>
      </c>
      <c r="P139" s="54">
        <f t="shared" si="173"/>
        <v>0.21940028869596045</v>
      </c>
      <c r="Q139" s="54">
        <f t="shared" si="174"/>
        <v>0</v>
      </c>
      <c r="R139" s="50">
        <f t="shared" si="132"/>
        <v>5.025392572799098</v>
      </c>
      <c r="S139" s="21">
        <f t="shared" si="175"/>
        <v>0</v>
      </c>
      <c r="T139" s="50">
        <f t="shared" si="176"/>
        <v>5.9635881861510844</v>
      </c>
      <c r="U139" s="21">
        <f t="shared" si="177"/>
        <v>0</v>
      </c>
      <c r="V139" s="21">
        <f t="shared" si="178"/>
        <v>0</v>
      </c>
      <c r="W139" s="50">
        <f t="shared" si="179"/>
        <v>0.18551756652969059</v>
      </c>
      <c r="X139" s="21">
        <f t="shared" si="180"/>
        <v>0</v>
      </c>
      <c r="Y139" s="21">
        <f t="shared" si="181"/>
        <v>0</v>
      </c>
      <c r="Z139" s="21">
        <f t="shared" si="182"/>
        <v>0</v>
      </c>
      <c r="AA139" s="21">
        <f t="shared" si="183"/>
        <v>0</v>
      </c>
      <c r="AB139" s="21">
        <f t="shared" si="184"/>
        <v>0</v>
      </c>
      <c r="AC139" s="21">
        <f t="shared" si="133"/>
        <v>0</v>
      </c>
      <c r="AD139" s="21">
        <f t="shared" si="134"/>
        <v>0</v>
      </c>
      <c r="AE139" s="21">
        <f t="shared" si="185"/>
        <v>0</v>
      </c>
      <c r="AF139" s="54">
        <f t="shared" si="135"/>
        <v>0</v>
      </c>
      <c r="AG139" s="21">
        <f t="shared" si="136"/>
        <v>0</v>
      </c>
      <c r="AH139" s="21">
        <f t="shared" si="137"/>
        <v>0</v>
      </c>
      <c r="AI139" s="21">
        <f t="shared" si="138"/>
        <v>0</v>
      </c>
      <c r="AJ139" s="54">
        <f t="shared" si="139"/>
        <v>0</v>
      </c>
      <c r="AK139" s="21">
        <f t="shared" si="140"/>
        <v>0</v>
      </c>
      <c r="AL139" s="21">
        <f t="shared" si="141"/>
        <v>0</v>
      </c>
      <c r="AM139" s="21">
        <f t="shared" si="142"/>
        <v>0</v>
      </c>
      <c r="AN139" s="54">
        <f t="shared" si="143"/>
        <v>0</v>
      </c>
      <c r="AO139" s="21">
        <f t="shared" si="144"/>
        <v>0</v>
      </c>
      <c r="AP139" s="21">
        <f t="shared" si="145"/>
        <v>0</v>
      </c>
      <c r="AQ139" s="21">
        <f t="shared" si="146"/>
        <v>0</v>
      </c>
      <c r="AR139" s="54">
        <f t="shared" si="147"/>
        <v>0</v>
      </c>
      <c r="AS139" s="21">
        <f t="shared" si="148"/>
        <v>0</v>
      </c>
      <c r="AT139" s="21">
        <f t="shared" si="149"/>
        <v>0</v>
      </c>
      <c r="AU139" s="21">
        <f t="shared" si="150"/>
        <v>0</v>
      </c>
      <c r="AV139" s="54">
        <f t="shared" si="151"/>
        <v>0</v>
      </c>
      <c r="AW139" s="21">
        <f t="shared" si="152"/>
        <v>0</v>
      </c>
      <c r="AX139" s="21">
        <f t="shared" si="153"/>
        <v>0</v>
      </c>
      <c r="AY139" s="21">
        <f t="shared" si="154"/>
        <v>0</v>
      </c>
      <c r="AZ139" s="54">
        <f t="shared" si="155"/>
        <v>0</v>
      </c>
      <c r="BA139" s="21">
        <f t="shared" si="156"/>
        <v>0</v>
      </c>
      <c r="BB139" s="21">
        <f t="shared" si="157"/>
        <v>0</v>
      </c>
      <c r="BC139" s="21">
        <f t="shared" si="158"/>
        <v>0</v>
      </c>
      <c r="BD139" s="54">
        <f t="shared" si="159"/>
        <v>0</v>
      </c>
      <c r="BE139" s="21">
        <f t="shared" si="160"/>
        <v>0</v>
      </c>
      <c r="BF139" s="21">
        <f t="shared" si="161"/>
        <v>0</v>
      </c>
      <c r="BG139" s="21">
        <f t="shared" si="162"/>
        <v>0</v>
      </c>
      <c r="BH139" s="54">
        <f t="shared" si="163"/>
        <v>0</v>
      </c>
      <c r="BI139" s="21">
        <f t="shared" si="164"/>
        <v>0</v>
      </c>
      <c r="BJ139" s="21">
        <f t="shared" si="165"/>
        <v>0</v>
      </c>
      <c r="BK139" s="21">
        <f t="shared" si="166"/>
        <v>0</v>
      </c>
    </row>
    <row r="140" spans="1:63" x14ac:dyDescent="0.25">
      <c r="A140" s="51">
        <v>72</v>
      </c>
      <c r="B140" s="51">
        <f t="shared" si="124"/>
        <v>106</v>
      </c>
      <c r="C140" s="52" t="b">
        <f t="shared" si="125"/>
        <v>0</v>
      </c>
      <c r="D140" s="54">
        <f t="shared" si="126"/>
        <v>0</v>
      </c>
      <c r="E140" s="54">
        <f t="shared" si="127"/>
        <v>0</v>
      </c>
      <c r="F140" s="54">
        <f t="shared" si="128"/>
        <v>0</v>
      </c>
      <c r="G140" s="54">
        <f t="shared" si="129"/>
        <v>0</v>
      </c>
      <c r="H140" s="54">
        <f t="shared" si="130"/>
        <v>0</v>
      </c>
      <c r="I140" s="54">
        <f t="shared" si="167"/>
        <v>0</v>
      </c>
      <c r="J140" s="54">
        <f t="shared" si="131"/>
        <v>0</v>
      </c>
      <c r="K140" s="54">
        <f t="shared" si="168"/>
        <v>0.65151911093279413</v>
      </c>
      <c r="L140" s="54">
        <f t="shared" si="169"/>
        <v>0.34848088906720587</v>
      </c>
      <c r="M140" s="54">
        <f t="shared" si="170"/>
        <v>0</v>
      </c>
      <c r="N140" s="54">
        <f t="shared" si="171"/>
        <v>0.98872287800391234</v>
      </c>
      <c r="O140" s="54">
        <f t="shared" si="172"/>
        <v>1.1277121996087658E-2</v>
      </c>
      <c r="P140" s="54">
        <f t="shared" si="173"/>
        <v>0.21940028869596045</v>
      </c>
      <c r="Q140" s="54">
        <f t="shared" si="174"/>
        <v>0</v>
      </c>
      <c r="R140" s="50">
        <f t="shared" si="132"/>
        <v>5.1409766019734775</v>
      </c>
      <c r="S140" s="21">
        <f t="shared" si="175"/>
        <v>0</v>
      </c>
      <c r="T140" s="50">
        <f t="shared" si="176"/>
        <v>5.9635881861510844</v>
      </c>
      <c r="U140" s="21">
        <f t="shared" si="177"/>
        <v>0</v>
      </c>
      <c r="V140" s="21">
        <f t="shared" si="178"/>
        <v>0</v>
      </c>
      <c r="W140" s="50">
        <f t="shared" si="179"/>
        <v>0.18551756652969059</v>
      </c>
      <c r="X140" s="21">
        <f t="shared" si="180"/>
        <v>0</v>
      </c>
      <c r="Y140" s="21">
        <f t="shared" si="181"/>
        <v>0</v>
      </c>
      <c r="Z140" s="21">
        <f t="shared" si="182"/>
        <v>0</v>
      </c>
      <c r="AA140" s="21">
        <f t="shared" si="183"/>
        <v>0</v>
      </c>
      <c r="AB140" s="21">
        <f t="shared" si="184"/>
        <v>0</v>
      </c>
      <c r="AC140" s="21">
        <f t="shared" si="133"/>
        <v>0</v>
      </c>
      <c r="AD140" s="21">
        <f t="shared" si="134"/>
        <v>0</v>
      </c>
      <c r="AE140" s="21">
        <f t="shared" si="185"/>
        <v>0</v>
      </c>
      <c r="AF140" s="54">
        <f t="shared" si="135"/>
        <v>0</v>
      </c>
      <c r="AG140" s="21">
        <f t="shared" si="136"/>
        <v>0</v>
      </c>
      <c r="AH140" s="21">
        <f t="shared" si="137"/>
        <v>0</v>
      </c>
      <c r="AI140" s="21">
        <f t="shared" si="138"/>
        <v>0</v>
      </c>
      <c r="AJ140" s="54">
        <f t="shared" si="139"/>
        <v>0</v>
      </c>
      <c r="AK140" s="21">
        <f t="shared" si="140"/>
        <v>0</v>
      </c>
      <c r="AL140" s="21">
        <f t="shared" si="141"/>
        <v>0</v>
      </c>
      <c r="AM140" s="21">
        <f t="shared" si="142"/>
        <v>0</v>
      </c>
      <c r="AN140" s="54">
        <f t="shared" si="143"/>
        <v>0</v>
      </c>
      <c r="AO140" s="21">
        <f t="shared" si="144"/>
        <v>0</v>
      </c>
      <c r="AP140" s="21">
        <f t="shared" si="145"/>
        <v>0</v>
      </c>
      <c r="AQ140" s="21">
        <f t="shared" si="146"/>
        <v>0</v>
      </c>
      <c r="AR140" s="54">
        <f t="shared" si="147"/>
        <v>0</v>
      </c>
      <c r="AS140" s="21">
        <f t="shared" si="148"/>
        <v>0</v>
      </c>
      <c r="AT140" s="21">
        <f t="shared" si="149"/>
        <v>0</v>
      </c>
      <c r="AU140" s="21">
        <f t="shared" si="150"/>
        <v>0</v>
      </c>
      <c r="AV140" s="54">
        <f t="shared" si="151"/>
        <v>0</v>
      </c>
      <c r="AW140" s="21">
        <f t="shared" si="152"/>
        <v>0</v>
      </c>
      <c r="AX140" s="21">
        <f t="shared" si="153"/>
        <v>0</v>
      </c>
      <c r="AY140" s="21">
        <f t="shared" si="154"/>
        <v>0</v>
      </c>
      <c r="AZ140" s="54">
        <f t="shared" si="155"/>
        <v>0</v>
      </c>
      <c r="BA140" s="21">
        <f t="shared" si="156"/>
        <v>0</v>
      </c>
      <c r="BB140" s="21">
        <f t="shared" si="157"/>
        <v>0</v>
      </c>
      <c r="BC140" s="21">
        <f t="shared" si="158"/>
        <v>0</v>
      </c>
      <c r="BD140" s="54">
        <f t="shared" si="159"/>
        <v>0</v>
      </c>
      <c r="BE140" s="21">
        <f t="shared" si="160"/>
        <v>0</v>
      </c>
      <c r="BF140" s="21">
        <f t="shared" si="161"/>
        <v>0</v>
      </c>
      <c r="BG140" s="21">
        <f t="shared" si="162"/>
        <v>0</v>
      </c>
      <c r="BH140" s="54">
        <f t="shared" si="163"/>
        <v>0</v>
      </c>
      <c r="BI140" s="21">
        <f t="shared" si="164"/>
        <v>0</v>
      </c>
      <c r="BJ140" s="21">
        <f t="shared" si="165"/>
        <v>0</v>
      </c>
      <c r="BK140" s="21">
        <f t="shared" si="166"/>
        <v>0</v>
      </c>
    </row>
    <row r="141" spans="1:63" x14ac:dyDescent="0.25">
      <c r="A141" s="51">
        <v>73</v>
      </c>
      <c r="B141" s="51">
        <f t="shared" si="124"/>
        <v>107</v>
      </c>
      <c r="C141" s="52" t="b">
        <f t="shared" si="125"/>
        <v>0</v>
      </c>
      <c r="D141" s="54">
        <f t="shared" si="126"/>
        <v>0</v>
      </c>
      <c r="E141" s="54">
        <f t="shared" si="127"/>
        <v>0</v>
      </c>
      <c r="F141" s="54">
        <f t="shared" si="128"/>
        <v>0</v>
      </c>
      <c r="G141" s="54">
        <f t="shared" si="129"/>
        <v>0</v>
      </c>
      <c r="H141" s="54">
        <f t="shared" si="130"/>
        <v>0</v>
      </c>
      <c r="I141" s="54">
        <f t="shared" si="167"/>
        <v>0</v>
      </c>
      <c r="J141" s="54">
        <f t="shared" si="131"/>
        <v>0</v>
      </c>
      <c r="K141" s="54">
        <f t="shared" si="168"/>
        <v>0.65151911093279413</v>
      </c>
      <c r="L141" s="54">
        <f t="shared" si="169"/>
        <v>0.34848088906720587</v>
      </c>
      <c r="M141" s="54">
        <f t="shared" si="170"/>
        <v>0</v>
      </c>
      <c r="N141" s="54">
        <f t="shared" si="171"/>
        <v>0.98872287800391234</v>
      </c>
      <c r="O141" s="54">
        <f t="shared" si="172"/>
        <v>1.1277121996087658E-2</v>
      </c>
      <c r="P141" s="54">
        <f t="shared" si="173"/>
        <v>0.21940028869596045</v>
      </c>
      <c r="Q141" s="54">
        <f t="shared" si="174"/>
        <v>0</v>
      </c>
      <c r="R141" s="50">
        <f t="shared" si="132"/>
        <v>5.2592190638188665</v>
      </c>
      <c r="S141" s="21">
        <f t="shared" si="175"/>
        <v>0</v>
      </c>
      <c r="T141" s="50">
        <f t="shared" si="176"/>
        <v>5.9635881861510844</v>
      </c>
      <c r="U141" s="21">
        <f t="shared" si="177"/>
        <v>0</v>
      </c>
      <c r="V141" s="21">
        <f t="shared" si="178"/>
        <v>0</v>
      </c>
      <c r="W141" s="50">
        <f t="shared" si="179"/>
        <v>0.18551756652969059</v>
      </c>
      <c r="X141" s="21">
        <f t="shared" si="180"/>
        <v>0</v>
      </c>
      <c r="Y141" s="21">
        <f t="shared" si="181"/>
        <v>0</v>
      </c>
      <c r="Z141" s="21">
        <f t="shared" si="182"/>
        <v>0</v>
      </c>
      <c r="AA141" s="21">
        <f t="shared" si="183"/>
        <v>0</v>
      </c>
      <c r="AB141" s="21">
        <f t="shared" si="184"/>
        <v>0</v>
      </c>
      <c r="AC141" s="21">
        <f t="shared" si="133"/>
        <v>0</v>
      </c>
      <c r="AD141" s="21">
        <f t="shared" si="134"/>
        <v>0</v>
      </c>
      <c r="AE141" s="21">
        <f t="shared" si="185"/>
        <v>0</v>
      </c>
      <c r="AF141" s="54">
        <f t="shared" si="135"/>
        <v>0</v>
      </c>
      <c r="AG141" s="21">
        <f t="shared" si="136"/>
        <v>0</v>
      </c>
      <c r="AH141" s="21">
        <f t="shared" si="137"/>
        <v>0</v>
      </c>
      <c r="AI141" s="21">
        <f t="shared" si="138"/>
        <v>0</v>
      </c>
      <c r="AJ141" s="54">
        <f t="shared" si="139"/>
        <v>0</v>
      </c>
      <c r="AK141" s="21">
        <f t="shared" si="140"/>
        <v>0</v>
      </c>
      <c r="AL141" s="21">
        <f t="shared" si="141"/>
        <v>0</v>
      </c>
      <c r="AM141" s="21">
        <f t="shared" si="142"/>
        <v>0</v>
      </c>
      <c r="AN141" s="54">
        <f t="shared" si="143"/>
        <v>0</v>
      </c>
      <c r="AO141" s="21">
        <f t="shared" si="144"/>
        <v>0</v>
      </c>
      <c r="AP141" s="21">
        <f t="shared" si="145"/>
        <v>0</v>
      </c>
      <c r="AQ141" s="21">
        <f t="shared" si="146"/>
        <v>0</v>
      </c>
      <c r="AR141" s="54">
        <f t="shared" si="147"/>
        <v>0</v>
      </c>
      <c r="AS141" s="21">
        <f t="shared" si="148"/>
        <v>0</v>
      </c>
      <c r="AT141" s="21">
        <f t="shared" si="149"/>
        <v>0</v>
      </c>
      <c r="AU141" s="21">
        <f t="shared" si="150"/>
        <v>0</v>
      </c>
      <c r="AV141" s="54">
        <f t="shared" si="151"/>
        <v>0</v>
      </c>
      <c r="AW141" s="21">
        <f t="shared" si="152"/>
        <v>0</v>
      </c>
      <c r="AX141" s="21">
        <f t="shared" si="153"/>
        <v>0</v>
      </c>
      <c r="AY141" s="21">
        <f t="shared" si="154"/>
        <v>0</v>
      </c>
      <c r="AZ141" s="54">
        <f t="shared" si="155"/>
        <v>0</v>
      </c>
      <c r="BA141" s="21">
        <f t="shared" si="156"/>
        <v>0</v>
      </c>
      <c r="BB141" s="21">
        <f t="shared" si="157"/>
        <v>0</v>
      </c>
      <c r="BC141" s="21">
        <f t="shared" si="158"/>
        <v>0</v>
      </c>
      <c r="BD141" s="54">
        <f t="shared" si="159"/>
        <v>0</v>
      </c>
      <c r="BE141" s="21">
        <f t="shared" si="160"/>
        <v>0</v>
      </c>
      <c r="BF141" s="21">
        <f t="shared" si="161"/>
        <v>0</v>
      </c>
      <c r="BG141" s="21">
        <f t="shared" si="162"/>
        <v>0</v>
      </c>
      <c r="BH141" s="54">
        <f t="shared" si="163"/>
        <v>0</v>
      </c>
      <c r="BI141" s="21">
        <f t="shared" si="164"/>
        <v>0</v>
      </c>
      <c r="BJ141" s="21">
        <f t="shared" si="165"/>
        <v>0</v>
      </c>
      <c r="BK141" s="21">
        <f t="shared" si="166"/>
        <v>0</v>
      </c>
    </row>
    <row r="142" spans="1:63" x14ac:dyDescent="0.25">
      <c r="A142" s="51">
        <v>74</v>
      </c>
      <c r="B142" s="51">
        <f t="shared" si="124"/>
        <v>108</v>
      </c>
      <c r="C142" s="52" t="b">
        <f t="shared" si="125"/>
        <v>0</v>
      </c>
      <c r="D142" s="54">
        <f t="shared" si="126"/>
        <v>0</v>
      </c>
      <c r="E142" s="54">
        <f t="shared" si="127"/>
        <v>0</v>
      </c>
      <c r="F142" s="54">
        <f t="shared" si="128"/>
        <v>0</v>
      </c>
      <c r="G142" s="54">
        <f t="shared" si="129"/>
        <v>0</v>
      </c>
      <c r="H142" s="54">
        <f t="shared" si="130"/>
        <v>0</v>
      </c>
      <c r="I142" s="54">
        <f t="shared" si="167"/>
        <v>0</v>
      </c>
      <c r="J142" s="54">
        <f t="shared" si="131"/>
        <v>0</v>
      </c>
      <c r="K142" s="54">
        <f t="shared" si="168"/>
        <v>0.65151911093279413</v>
      </c>
      <c r="L142" s="54">
        <f t="shared" si="169"/>
        <v>0.34848088906720587</v>
      </c>
      <c r="M142" s="54">
        <f t="shared" si="170"/>
        <v>0</v>
      </c>
      <c r="N142" s="54">
        <f t="shared" si="171"/>
        <v>0.98872287800391234</v>
      </c>
      <c r="O142" s="54">
        <f t="shared" si="172"/>
        <v>1.1277121996087658E-2</v>
      </c>
      <c r="P142" s="54">
        <f t="shared" si="173"/>
        <v>0.21940028869596045</v>
      </c>
      <c r="Q142" s="54">
        <f t="shared" si="174"/>
        <v>0</v>
      </c>
      <c r="R142" s="50">
        <f t="shared" si="132"/>
        <v>5.3801811022867003</v>
      </c>
      <c r="S142" s="21">
        <f t="shared" si="175"/>
        <v>0</v>
      </c>
      <c r="T142" s="50">
        <f t="shared" si="176"/>
        <v>5.9635881861510844</v>
      </c>
      <c r="U142" s="21">
        <f t="shared" si="177"/>
        <v>0</v>
      </c>
      <c r="V142" s="21">
        <f t="shared" si="178"/>
        <v>0</v>
      </c>
      <c r="W142" s="50">
        <f t="shared" si="179"/>
        <v>0.18551756652969059</v>
      </c>
      <c r="X142" s="21">
        <f t="shared" si="180"/>
        <v>0</v>
      </c>
      <c r="Y142" s="21">
        <f t="shared" si="181"/>
        <v>0</v>
      </c>
      <c r="Z142" s="21">
        <f t="shared" si="182"/>
        <v>0</v>
      </c>
      <c r="AA142" s="21">
        <f t="shared" si="183"/>
        <v>0</v>
      </c>
      <c r="AB142" s="21">
        <f t="shared" si="184"/>
        <v>0</v>
      </c>
      <c r="AC142" s="21">
        <f t="shared" si="133"/>
        <v>0</v>
      </c>
      <c r="AD142" s="21">
        <f t="shared" si="134"/>
        <v>0</v>
      </c>
      <c r="AE142" s="21">
        <f t="shared" si="185"/>
        <v>0</v>
      </c>
      <c r="AF142" s="54">
        <f t="shared" si="135"/>
        <v>0</v>
      </c>
      <c r="AG142" s="21">
        <f t="shared" si="136"/>
        <v>0</v>
      </c>
      <c r="AH142" s="21">
        <f t="shared" si="137"/>
        <v>0</v>
      </c>
      <c r="AI142" s="21">
        <f t="shared" si="138"/>
        <v>0</v>
      </c>
      <c r="AJ142" s="54">
        <f t="shared" si="139"/>
        <v>0</v>
      </c>
      <c r="AK142" s="21">
        <f t="shared" si="140"/>
        <v>0</v>
      </c>
      <c r="AL142" s="21">
        <f t="shared" si="141"/>
        <v>0</v>
      </c>
      <c r="AM142" s="21">
        <f t="shared" si="142"/>
        <v>0</v>
      </c>
      <c r="AN142" s="54">
        <f t="shared" si="143"/>
        <v>0</v>
      </c>
      <c r="AO142" s="21">
        <f t="shared" si="144"/>
        <v>0</v>
      </c>
      <c r="AP142" s="21">
        <f t="shared" si="145"/>
        <v>0</v>
      </c>
      <c r="AQ142" s="21">
        <f t="shared" si="146"/>
        <v>0</v>
      </c>
      <c r="AR142" s="54">
        <f t="shared" si="147"/>
        <v>0</v>
      </c>
      <c r="AS142" s="21">
        <f t="shared" si="148"/>
        <v>0</v>
      </c>
      <c r="AT142" s="21">
        <f t="shared" si="149"/>
        <v>0</v>
      </c>
      <c r="AU142" s="21">
        <f t="shared" si="150"/>
        <v>0</v>
      </c>
      <c r="AV142" s="54">
        <f t="shared" si="151"/>
        <v>0</v>
      </c>
      <c r="AW142" s="21">
        <f t="shared" si="152"/>
        <v>0</v>
      </c>
      <c r="AX142" s="21">
        <f t="shared" si="153"/>
        <v>0</v>
      </c>
      <c r="AY142" s="21">
        <f t="shared" si="154"/>
        <v>0</v>
      </c>
      <c r="AZ142" s="54">
        <f t="shared" si="155"/>
        <v>0</v>
      </c>
      <c r="BA142" s="21">
        <f t="shared" si="156"/>
        <v>0</v>
      </c>
      <c r="BB142" s="21">
        <f t="shared" si="157"/>
        <v>0</v>
      </c>
      <c r="BC142" s="21">
        <f t="shared" si="158"/>
        <v>0</v>
      </c>
      <c r="BD142" s="54">
        <f t="shared" si="159"/>
        <v>0</v>
      </c>
      <c r="BE142" s="21">
        <f t="shared" si="160"/>
        <v>0</v>
      </c>
      <c r="BF142" s="21">
        <f t="shared" si="161"/>
        <v>0</v>
      </c>
      <c r="BG142" s="21">
        <f t="shared" si="162"/>
        <v>0</v>
      </c>
      <c r="BH142" s="54">
        <f t="shared" si="163"/>
        <v>0</v>
      </c>
      <c r="BI142" s="21">
        <f t="shared" si="164"/>
        <v>0</v>
      </c>
      <c r="BJ142" s="21">
        <f t="shared" si="165"/>
        <v>0</v>
      </c>
      <c r="BK142" s="21">
        <f t="shared" si="166"/>
        <v>0</v>
      </c>
    </row>
    <row r="143" spans="1:63" x14ac:dyDescent="0.25">
      <c r="A143" s="51">
        <v>75</v>
      </c>
      <c r="B143" s="51">
        <f t="shared" si="124"/>
        <v>109</v>
      </c>
      <c r="C143" s="52" t="b">
        <f t="shared" si="125"/>
        <v>0</v>
      </c>
      <c r="D143" s="54">
        <f t="shared" si="126"/>
        <v>0</v>
      </c>
      <c r="E143" s="54">
        <f t="shared" si="127"/>
        <v>0</v>
      </c>
      <c r="F143" s="54">
        <f t="shared" si="128"/>
        <v>0</v>
      </c>
      <c r="G143" s="54">
        <f t="shared" si="129"/>
        <v>0</v>
      </c>
      <c r="H143" s="54">
        <f t="shared" si="130"/>
        <v>0</v>
      </c>
      <c r="I143" s="54">
        <f t="shared" si="167"/>
        <v>0</v>
      </c>
      <c r="J143" s="54">
        <f t="shared" si="131"/>
        <v>0</v>
      </c>
      <c r="K143" s="54">
        <f t="shared" si="168"/>
        <v>0.65151911093279413</v>
      </c>
      <c r="L143" s="54">
        <f t="shared" si="169"/>
        <v>0.34848088906720587</v>
      </c>
      <c r="M143" s="54">
        <f t="shared" si="170"/>
        <v>0</v>
      </c>
      <c r="N143" s="54">
        <f t="shared" si="171"/>
        <v>0.98872287800391234</v>
      </c>
      <c r="O143" s="54">
        <f t="shared" si="172"/>
        <v>1.1277121996087658E-2</v>
      </c>
      <c r="P143" s="54">
        <f t="shared" si="173"/>
        <v>0.21940028869596045</v>
      </c>
      <c r="Q143" s="54">
        <f t="shared" si="174"/>
        <v>0</v>
      </c>
      <c r="R143" s="50">
        <f t="shared" si="132"/>
        <v>5.5039252676392936</v>
      </c>
      <c r="S143" s="21">
        <f t="shared" si="175"/>
        <v>0</v>
      </c>
      <c r="T143" s="50">
        <f t="shared" si="176"/>
        <v>5.9635881861510844</v>
      </c>
      <c r="U143" s="21">
        <f t="shared" si="177"/>
        <v>0</v>
      </c>
      <c r="V143" s="21">
        <f t="shared" si="178"/>
        <v>0</v>
      </c>
      <c r="W143" s="50">
        <f t="shared" si="179"/>
        <v>0.18551756652969059</v>
      </c>
      <c r="X143" s="21">
        <f t="shared" si="180"/>
        <v>0</v>
      </c>
      <c r="Y143" s="21">
        <f t="shared" si="181"/>
        <v>0</v>
      </c>
      <c r="Z143" s="21">
        <f t="shared" si="182"/>
        <v>0</v>
      </c>
      <c r="AA143" s="21">
        <f t="shared" si="183"/>
        <v>0</v>
      </c>
      <c r="AB143" s="21">
        <f t="shared" si="184"/>
        <v>0</v>
      </c>
      <c r="AC143" s="21">
        <f t="shared" si="133"/>
        <v>0</v>
      </c>
      <c r="AD143" s="21">
        <f t="shared" si="134"/>
        <v>0</v>
      </c>
      <c r="AE143" s="21">
        <f t="shared" si="185"/>
        <v>0</v>
      </c>
      <c r="AF143" s="54">
        <f t="shared" si="135"/>
        <v>0</v>
      </c>
      <c r="AG143" s="21">
        <f t="shared" si="136"/>
        <v>0</v>
      </c>
      <c r="AH143" s="21">
        <f t="shared" si="137"/>
        <v>0</v>
      </c>
      <c r="AI143" s="21">
        <f t="shared" si="138"/>
        <v>0</v>
      </c>
      <c r="AJ143" s="54">
        <f t="shared" si="139"/>
        <v>0</v>
      </c>
      <c r="AK143" s="21">
        <f t="shared" si="140"/>
        <v>0</v>
      </c>
      <c r="AL143" s="21">
        <f t="shared" si="141"/>
        <v>0</v>
      </c>
      <c r="AM143" s="21">
        <f t="shared" si="142"/>
        <v>0</v>
      </c>
      <c r="AN143" s="54">
        <f t="shared" si="143"/>
        <v>0</v>
      </c>
      <c r="AO143" s="21">
        <f t="shared" si="144"/>
        <v>0</v>
      </c>
      <c r="AP143" s="21">
        <f t="shared" si="145"/>
        <v>0</v>
      </c>
      <c r="AQ143" s="21">
        <f t="shared" si="146"/>
        <v>0</v>
      </c>
      <c r="AR143" s="54">
        <f t="shared" si="147"/>
        <v>0</v>
      </c>
      <c r="AS143" s="21">
        <f t="shared" si="148"/>
        <v>0</v>
      </c>
      <c r="AT143" s="21">
        <f t="shared" si="149"/>
        <v>0</v>
      </c>
      <c r="AU143" s="21">
        <f t="shared" si="150"/>
        <v>0</v>
      </c>
      <c r="AV143" s="54">
        <f t="shared" si="151"/>
        <v>0</v>
      </c>
      <c r="AW143" s="21">
        <f t="shared" si="152"/>
        <v>0</v>
      </c>
      <c r="AX143" s="21">
        <f t="shared" si="153"/>
        <v>0</v>
      </c>
      <c r="AY143" s="21">
        <f t="shared" si="154"/>
        <v>0</v>
      </c>
      <c r="AZ143" s="54">
        <f t="shared" si="155"/>
        <v>0</v>
      </c>
      <c r="BA143" s="21">
        <f t="shared" si="156"/>
        <v>0</v>
      </c>
      <c r="BB143" s="21">
        <f t="shared" si="157"/>
        <v>0</v>
      </c>
      <c r="BC143" s="21">
        <f t="shared" si="158"/>
        <v>0</v>
      </c>
      <c r="BD143" s="54">
        <f t="shared" si="159"/>
        <v>0</v>
      </c>
      <c r="BE143" s="21">
        <f t="shared" si="160"/>
        <v>0</v>
      </c>
      <c r="BF143" s="21">
        <f t="shared" si="161"/>
        <v>0</v>
      </c>
      <c r="BG143" s="21">
        <f t="shared" si="162"/>
        <v>0</v>
      </c>
      <c r="BH143" s="54">
        <f t="shared" si="163"/>
        <v>0</v>
      </c>
      <c r="BI143" s="21">
        <f t="shared" si="164"/>
        <v>0</v>
      </c>
      <c r="BJ143" s="21">
        <f t="shared" si="165"/>
        <v>0</v>
      </c>
      <c r="BK143" s="21">
        <f t="shared" si="166"/>
        <v>0</v>
      </c>
    </row>
    <row r="144" spans="1:63" x14ac:dyDescent="0.25">
      <c r="A144" s="51">
        <v>76</v>
      </c>
      <c r="B144" s="51">
        <f t="shared" si="124"/>
        <v>110</v>
      </c>
      <c r="C144" s="52" t="b">
        <f t="shared" si="125"/>
        <v>0</v>
      </c>
      <c r="D144" s="54">
        <f t="shared" si="126"/>
        <v>0</v>
      </c>
      <c r="E144" s="54">
        <f t="shared" si="127"/>
        <v>0</v>
      </c>
      <c r="F144" s="54">
        <f t="shared" si="128"/>
        <v>0</v>
      </c>
      <c r="G144" s="54">
        <f t="shared" si="129"/>
        <v>0</v>
      </c>
      <c r="H144" s="54">
        <f t="shared" si="130"/>
        <v>0</v>
      </c>
      <c r="I144" s="54">
        <f t="shared" si="167"/>
        <v>0</v>
      </c>
      <c r="J144" s="54">
        <f t="shared" si="131"/>
        <v>0</v>
      </c>
      <c r="K144" s="54">
        <f t="shared" si="168"/>
        <v>0.65151911093279413</v>
      </c>
      <c r="L144" s="54">
        <f t="shared" si="169"/>
        <v>0.34848088906720587</v>
      </c>
      <c r="M144" s="54">
        <f t="shared" si="170"/>
        <v>0</v>
      </c>
      <c r="N144" s="54">
        <f t="shared" si="171"/>
        <v>0.98872287800391234</v>
      </c>
      <c r="O144" s="54">
        <f t="shared" si="172"/>
        <v>1.1277121996087658E-2</v>
      </c>
      <c r="P144" s="54">
        <f t="shared" si="173"/>
        <v>0.21940028869596045</v>
      </c>
      <c r="Q144" s="54">
        <f t="shared" si="174"/>
        <v>0</v>
      </c>
      <c r="R144" s="50">
        <f t="shared" si="132"/>
        <v>5.6305155487949969</v>
      </c>
      <c r="S144" s="21">
        <f t="shared" si="175"/>
        <v>0</v>
      </c>
      <c r="T144" s="50">
        <f t="shared" si="176"/>
        <v>5.9635881861510844</v>
      </c>
      <c r="U144" s="21">
        <f t="shared" si="177"/>
        <v>0</v>
      </c>
      <c r="V144" s="21">
        <f t="shared" si="178"/>
        <v>0</v>
      </c>
      <c r="W144" s="50">
        <f t="shared" si="179"/>
        <v>0.18551756652969059</v>
      </c>
      <c r="X144" s="21">
        <f t="shared" si="180"/>
        <v>0</v>
      </c>
      <c r="Y144" s="21">
        <f t="shared" si="181"/>
        <v>0</v>
      </c>
      <c r="Z144" s="21">
        <f t="shared" si="182"/>
        <v>0</v>
      </c>
      <c r="AA144" s="21">
        <f t="shared" si="183"/>
        <v>0</v>
      </c>
      <c r="AB144" s="21">
        <f t="shared" si="184"/>
        <v>0</v>
      </c>
      <c r="AC144" s="21">
        <f t="shared" si="133"/>
        <v>0</v>
      </c>
      <c r="AD144" s="21">
        <f t="shared" si="134"/>
        <v>0</v>
      </c>
      <c r="AE144" s="21">
        <f t="shared" si="185"/>
        <v>0</v>
      </c>
      <c r="AF144" s="54">
        <f t="shared" si="135"/>
        <v>0</v>
      </c>
      <c r="AG144" s="21">
        <f t="shared" si="136"/>
        <v>0</v>
      </c>
      <c r="AH144" s="21">
        <f t="shared" si="137"/>
        <v>0</v>
      </c>
      <c r="AI144" s="21">
        <f t="shared" si="138"/>
        <v>0</v>
      </c>
      <c r="AJ144" s="54">
        <f t="shared" si="139"/>
        <v>0</v>
      </c>
      <c r="AK144" s="21">
        <f t="shared" si="140"/>
        <v>0</v>
      </c>
      <c r="AL144" s="21">
        <f t="shared" si="141"/>
        <v>0</v>
      </c>
      <c r="AM144" s="21">
        <f t="shared" si="142"/>
        <v>0</v>
      </c>
      <c r="AN144" s="54">
        <f t="shared" si="143"/>
        <v>0</v>
      </c>
      <c r="AO144" s="21">
        <f t="shared" si="144"/>
        <v>0</v>
      </c>
      <c r="AP144" s="21">
        <f t="shared" si="145"/>
        <v>0</v>
      </c>
      <c r="AQ144" s="21">
        <f t="shared" si="146"/>
        <v>0</v>
      </c>
      <c r="AR144" s="54">
        <f t="shared" si="147"/>
        <v>0</v>
      </c>
      <c r="AS144" s="21">
        <f t="shared" si="148"/>
        <v>0</v>
      </c>
      <c r="AT144" s="21">
        <f t="shared" si="149"/>
        <v>0</v>
      </c>
      <c r="AU144" s="21">
        <f t="shared" si="150"/>
        <v>0</v>
      </c>
      <c r="AV144" s="54">
        <f t="shared" si="151"/>
        <v>0</v>
      </c>
      <c r="AW144" s="21">
        <f t="shared" si="152"/>
        <v>0</v>
      </c>
      <c r="AX144" s="21">
        <f t="shared" si="153"/>
        <v>0</v>
      </c>
      <c r="AY144" s="21">
        <f t="shared" si="154"/>
        <v>0</v>
      </c>
      <c r="AZ144" s="54">
        <f t="shared" si="155"/>
        <v>0</v>
      </c>
      <c r="BA144" s="21">
        <f t="shared" si="156"/>
        <v>0</v>
      </c>
      <c r="BB144" s="21">
        <f t="shared" si="157"/>
        <v>0</v>
      </c>
      <c r="BC144" s="21">
        <f t="shared" si="158"/>
        <v>0</v>
      </c>
      <c r="BD144" s="54">
        <f t="shared" si="159"/>
        <v>0</v>
      </c>
      <c r="BE144" s="21">
        <f t="shared" si="160"/>
        <v>0</v>
      </c>
      <c r="BF144" s="21">
        <f t="shared" si="161"/>
        <v>0</v>
      </c>
      <c r="BG144" s="21">
        <f t="shared" si="162"/>
        <v>0</v>
      </c>
      <c r="BH144" s="54">
        <f t="shared" si="163"/>
        <v>0</v>
      </c>
      <c r="BI144" s="21">
        <f t="shared" si="164"/>
        <v>0</v>
      </c>
      <c r="BJ144" s="21">
        <f t="shared" si="165"/>
        <v>0</v>
      </c>
      <c r="BK144" s="21">
        <f t="shared" si="166"/>
        <v>0</v>
      </c>
    </row>
    <row r="145" spans="1:63" x14ac:dyDescent="0.25">
      <c r="A145" s="51">
        <v>77</v>
      </c>
      <c r="B145" s="51">
        <f t="shared" si="124"/>
        <v>111</v>
      </c>
      <c r="C145" s="52" t="b">
        <f t="shared" si="125"/>
        <v>0</v>
      </c>
      <c r="D145" s="54">
        <f t="shared" si="126"/>
        <v>0</v>
      </c>
      <c r="E145" s="54">
        <f t="shared" si="127"/>
        <v>0</v>
      </c>
      <c r="F145" s="54">
        <f t="shared" si="128"/>
        <v>0</v>
      </c>
      <c r="G145" s="54">
        <f t="shared" si="129"/>
        <v>0</v>
      </c>
      <c r="H145" s="54">
        <f t="shared" si="130"/>
        <v>0</v>
      </c>
      <c r="I145" s="54">
        <f t="shared" si="167"/>
        <v>0</v>
      </c>
      <c r="J145" s="54">
        <f t="shared" si="131"/>
        <v>0</v>
      </c>
      <c r="K145" s="54">
        <f t="shared" si="168"/>
        <v>0.65151911093279413</v>
      </c>
      <c r="L145" s="54">
        <f t="shared" si="169"/>
        <v>0.34848088906720587</v>
      </c>
      <c r="M145" s="54">
        <f t="shared" si="170"/>
        <v>0</v>
      </c>
      <c r="N145" s="54">
        <f t="shared" si="171"/>
        <v>0.98872287800391234</v>
      </c>
      <c r="O145" s="54">
        <f t="shared" si="172"/>
        <v>1.1277121996087658E-2</v>
      </c>
      <c r="P145" s="54">
        <f t="shared" si="173"/>
        <v>0.21940028869596045</v>
      </c>
      <c r="Q145" s="54">
        <f t="shared" si="174"/>
        <v>0</v>
      </c>
      <c r="R145" s="50">
        <f t="shared" si="132"/>
        <v>5.7600174064172815</v>
      </c>
      <c r="S145" s="21">
        <f t="shared" si="175"/>
        <v>0</v>
      </c>
      <c r="T145" s="50">
        <f t="shared" si="176"/>
        <v>5.9635881861510844</v>
      </c>
      <c r="U145" s="21">
        <f t="shared" si="177"/>
        <v>0</v>
      </c>
      <c r="V145" s="21">
        <f t="shared" si="178"/>
        <v>0</v>
      </c>
      <c r="W145" s="50">
        <f t="shared" si="179"/>
        <v>0.18551756652969059</v>
      </c>
      <c r="X145" s="21">
        <f t="shared" si="180"/>
        <v>0</v>
      </c>
      <c r="Y145" s="21">
        <f t="shared" si="181"/>
        <v>0</v>
      </c>
      <c r="Z145" s="21">
        <f t="shared" si="182"/>
        <v>0</v>
      </c>
      <c r="AA145" s="21">
        <f t="shared" si="183"/>
        <v>0</v>
      </c>
      <c r="AB145" s="21">
        <f t="shared" si="184"/>
        <v>0</v>
      </c>
      <c r="AC145" s="21">
        <f t="shared" si="133"/>
        <v>0</v>
      </c>
      <c r="AD145" s="21">
        <f t="shared" si="134"/>
        <v>0</v>
      </c>
      <c r="AE145" s="21">
        <f t="shared" si="185"/>
        <v>0</v>
      </c>
      <c r="AF145" s="54">
        <f t="shared" si="135"/>
        <v>0</v>
      </c>
      <c r="AG145" s="21">
        <f t="shared" si="136"/>
        <v>0</v>
      </c>
      <c r="AH145" s="21">
        <f t="shared" si="137"/>
        <v>0</v>
      </c>
      <c r="AI145" s="21">
        <f t="shared" si="138"/>
        <v>0</v>
      </c>
      <c r="AJ145" s="54">
        <f t="shared" si="139"/>
        <v>0</v>
      </c>
      <c r="AK145" s="21">
        <f t="shared" si="140"/>
        <v>0</v>
      </c>
      <c r="AL145" s="21">
        <f t="shared" si="141"/>
        <v>0</v>
      </c>
      <c r="AM145" s="21">
        <f t="shared" si="142"/>
        <v>0</v>
      </c>
      <c r="AN145" s="54">
        <f t="shared" si="143"/>
        <v>0</v>
      </c>
      <c r="AO145" s="21">
        <f t="shared" si="144"/>
        <v>0</v>
      </c>
      <c r="AP145" s="21">
        <f t="shared" si="145"/>
        <v>0</v>
      </c>
      <c r="AQ145" s="21">
        <f t="shared" si="146"/>
        <v>0</v>
      </c>
      <c r="AR145" s="54">
        <f t="shared" si="147"/>
        <v>0</v>
      </c>
      <c r="AS145" s="21">
        <f t="shared" si="148"/>
        <v>0</v>
      </c>
      <c r="AT145" s="21">
        <f t="shared" si="149"/>
        <v>0</v>
      </c>
      <c r="AU145" s="21">
        <f t="shared" si="150"/>
        <v>0</v>
      </c>
      <c r="AV145" s="54">
        <f t="shared" si="151"/>
        <v>0</v>
      </c>
      <c r="AW145" s="21">
        <f t="shared" si="152"/>
        <v>0</v>
      </c>
      <c r="AX145" s="21">
        <f t="shared" si="153"/>
        <v>0</v>
      </c>
      <c r="AY145" s="21">
        <f t="shared" si="154"/>
        <v>0</v>
      </c>
      <c r="AZ145" s="54">
        <f t="shared" si="155"/>
        <v>0</v>
      </c>
      <c r="BA145" s="21">
        <f t="shared" si="156"/>
        <v>0</v>
      </c>
      <c r="BB145" s="21">
        <f t="shared" si="157"/>
        <v>0</v>
      </c>
      <c r="BC145" s="21">
        <f t="shared" si="158"/>
        <v>0</v>
      </c>
      <c r="BD145" s="54">
        <f t="shared" si="159"/>
        <v>0</v>
      </c>
      <c r="BE145" s="21">
        <f t="shared" si="160"/>
        <v>0</v>
      </c>
      <c r="BF145" s="21">
        <f t="shared" si="161"/>
        <v>0</v>
      </c>
      <c r="BG145" s="21">
        <f t="shared" si="162"/>
        <v>0</v>
      </c>
      <c r="BH145" s="54">
        <f t="shared" si="163"/>
        <v>0</v>
      </c>
      <c r="BI145" s="21">
        <f t="shared" si="164"/>
        <v>0</v>
      </c>
      <c r="BJ145" s="21">
        <f t="shared" si="165"/>
        <v>0</v>
      </c>
      <c r="BK145" s="21">
        <f t="shared" si="166"/>
        <v>0</v>
      </c>
    </row>
    <row r="146" spans="1:63" x14ac:dyDescent="0.25">
      <c r="A146" s="51">
        <v>78</v>
      </c>
      <c r="B146" s="51">
        <f t="shared" si="124"/>
        <v>112</v>
      </c>
      <c r="C146" s="52" t="b">
        <f t="shared" si="125"/>
        <v>0</v>
      </c>
      <c r="D146" s="54">
        <f t="shared" si="126"/>
        <v>0</v>
      </c>
      <c r="E146" s="54">
        <f t="shared" si="127"/>
        <v>0</v>
      </c>
      <c r="F146" s="54">
        <f t="shared" si="128"/>
        <v>0</v>
      </c>
      <c r="G146" s="54">
        <f t="shared" si="129"/>
        <v>0</v>
      </c>
      <c r="H146" s="54">
        <f t="shared" si="130"/>
        <v>0</v>
      </c>
      <c r="I146" s="54">
        <f t="shared" si="167"/>
        <v>0</v>
      </c>
      <c r="J146" s="54">
        <f t="shared" si="131"/>
        <v>0</v>
      </c>
      <c r="K146" s="54">
        <f t="shared" si="168"/>
        <v>0.65151911093279413</v>
      </c>
      <c r="L146" s="54">
        <f t="shared" si="169"/>
        <v>0.34848088906720587</v>
      </c>
      <c r="M146" s="54">
        <f t="shared" si="170"/>
        <v>0</v>
      </c>
      <c r="N146" s="54">
        <f t="shared" si="171"/>
        <v>0.98872287800391234</v>
      </c>
      <c r="O146" s="54">
        <f t="shared" si="172"/>
        <v>1.1277121996087658E-2</v>
      </c>
      <c r="P146" s="54">
        <f t="shared" si="173"/>
        <v>0.21940028869596045</v>
      </c>
      <c r="Q146" s="54">
        <f t="shared" si="174"/>
        <v>0</v>
      </c>
      <c r="R146" s="50">
        <f t="shared" si="132"/>
        <v>5.8924978067648786</v>
      </c>
      <c r="S146" s="21">
        <f t="shared" si="175"/>
        <v>0</v>
      </c>
      <c r="T146" s="50">
        <f t="shared" si="176"/>
        <v>5.9635881861510844</v>
      </c>
      <c r="U146" s="21">
        <f t="shared" si="177"/>
        <v>0</v>
      </c>
      <c r="V146" s="21">
        <f t="shared" si="178"/>
        <v>0</v>
      </c>
      <c r="W146" s="50">
        <f t="shared" si="179"/>
        <v>0.18551756652969059</v>
      </c>
      <c r="X146" s="21">
        <f t="shared" si="180"/>
        <v>0</v>
      </c>
      <c r="Y146" s="21">
        <f t="shared" si="181"/>
        <v>0</v>
      </c>
      <c r="Z146" s="21">
        <f t="shared" si="182"/>
        <v>0</v>
      </c>
      <c r="AA146" s="21">
        <f t="shared" si="183"/>
        <v>0</v>
      </c>
      <c r="AB146" s="21">
        <f t="shared" si="184"/>
        <v>0</v>
      </c>
      <c r="AC146" s="21">
        <f t="shared" si="133"/>
        <v>0</v>
      </c>
      <c r="AD146" s="21">
        <f t="shared" si="134"/>
        <v>0</v>
      </c>
      <c r="AE146" s="21">
        <f t="shared" si="185"/>
        <v>0</v>
      </c>
      <c r="AF146" s="54">
        <f t="shared" si="135"/>
        <v>0</v>
      </c>
      <c r="AG146" s="21">
        <f t="shared" si="136"/>
        <v>0</v>
      </c>
      <c r="AH146" s="21">
        <f t="shared" si="137"/>
        <v>0</v>
      </c>
      <c r="AI146" s="21">
        <f t="shared" si="138"/>
        <v>0</v>
      </c>
      <c r="AJ146" s="54">
        <f t="shared" si="139"/>
        <v>0</v>
      </c>
      <c r="AK146" s="21">
        <f t="shared" si="140"/>
        <v>0</v>
      </c>
      <c r="AL146" s="21">
        <f t="shared" si="141"/>
        <v>0</v>
      </c>
      <c r="AM146" s="21">
        <f t="shared" si="142"/>
        <v>0</v>
      </c>
      <c r="AN146" s="54">
        <f t="shared" si="143"/>
        <v>0</v>
      </c>
      <c r="AO146" s="21">
        <f t="shared" si="144"/>
        <v>0</v>
      </c>
      <c r="AP146" s="21">
        <f t="shared" si="145"/>
        <v>0</v>
      </c>
      <c r="AQ146" s="21">
        <f t="shared" si="146"/>
        <v>0</v>
      </c>
      <c r="AR146" s="54">
        <f t="shared" si="147"/>
        <v>0</v>
      </c>
      <c r="AS146" s="21">
        <f t="shared" si="148"/>
        <v>0</v>
      </c>
      <c r="AT146" s="21">
        <f t="shared" si="149"/>
        <v>0</v>
      </c>
      <c r="AU146" s="21">
        <f t="shared" si="150"/>
        <v>0</v>
      </c>
      <c r="AV146" s="54">
        <f t="shared" si="151"/>
        <v>0</v>
      </c>
      <c r="AW146" s="21">
        <f t="shared" si="152"/>
        <v>0</v>
      </c>
      <c r="AX146" s="21">
        <f t="shared" si="153"/>
        <v>0</v>
      </c>
      <c r="AY146" s="21">
        <f t="shared" si="154"/>
        <v>0</v>
      </c>
      <c r="AZ146" s="54">
        <f t="shared" si="155"/>
        <v>0</v>
      </c>
      <c r="BA146" s="21">
        <f t="shared" si="156"/>
        <v>0</v>
      </c>
      <c r="BB146" s="21">
        <f t="shared" si="157"/>
        <v>0</v>
      </c>
      <c r="BC146" s="21">
        <f t="shared" si="158"/>
        <v>0</v>
      </c>
      <c r="BD146" s="54">
        <f t="shared" si="159"/>
        <v>0</v>
      </c>
      <c r="BE146" s="21">
        <f t="shared" si="160"/>
        <v>0</v>
      </c>
      <c r="BF146" s="21">
        <f t="shared" si="161"/>
        <v>0</v>
      </c>
      <c r="BG146" s="21">
        <f t="shared" si="162"/>
        <v>0</v>
      </c>
      <c r="BH146" s="54">
        <f t="shared" si="163"/>
        <v>0</v>
      </c>
      <c r="BI146" s="21">
        <f t="shared" si="164"/>
        <v>0</v>
      </c>
      <c r="BJ146" s="21">
        <f t="shared" si="165"/>
        <v>0</v>
      </c>
      <c r="BK146" s="21">
        <f t="shared" si="166"/>
        <v>0</v>
      </c>
    </row>
    <row r="147" spans="1:63" x14ac:dyDescent="0.25">
      <c r="A147" s="51">
        <v>79</v>
      </c>
      <c r="B147" s="51">
        <f t="shared" si="124"/>
        <v>113</v>
      </c>
      <c r="C147" s="52" t="b">
        <f t="shared" si="125"/>
        <v>0</v>
      </c>
      <c r="D147" s="54">
        <f t="shared" si="126"/>
        <v>0</v>
      </c>
      <c r="E147" s="54">
        <f t="shared" si="127"/>
        <v>0</v>
      </c>
      <c r="F147" s="54">
        <f t="shared" si="128"/>
        <v>0</v>
      </c>
      <c r="G147" s="54">
        <f t="shared" si="129"/>
        <v>0</v>
      </c>
      <c r="H147" s="54">
        <f t="shared" si="130"/>
        <v>0</v>
      </c>
      <c r="I147" s="54">
        <f t="shared" si="167"/>
        <v>0</v>
      </c>
      <c r="J147" s="54">
        <f t="shared" si="131"/>
        <v>0</v>
      </c>
      <c r="K147" s="54">
        <f t="shared" si="168"/>
        <v>0.65151911093279413</v>
      </c>
      <c r="L147" s="54">
        <f t="shared" si="169"/>
        <v>0.34848088906720587</v>
      </c>
      <c r="M147" s="54">
        <f t="shared" si="170"/>
        <v>0</v>
      </c>
      <c r="N147" s="54">
        <f t="shared" si="171"/>
        <v>0.98872287800391234</v>
      </c>
      <c r="O147" s="54">
        <f t="shared" si="172"/>
        <v>1.1277121996087658E-2</v>
      </c>
      <c r="P147" s="54">
        <f t="shared" si="173"/>
        <v>0.21940028869596045</v>
      </c>
      <c r="Q147" s="54">
        <f t="shared" si="174"/>
        <v>0</v>
      </c>
      <c r="R147" s="50">
        <f t="shared" si="132"/>
        <v>6.0280252563204693</v>
      </c>
      <c r="S147" s="21">
        <f t="shared" si="175"/>
        <v>0</v>
      </c>
      <c r="T147" s="50">
        <f t="shared" si="176"/>
        <v>5.9635881861510844</v>
      </c>
      <c r="U147" s="21">
        <f t="shared" si="177"/>
        <v>0</v>
      </c>
      <c r="V147" s="21">
        <f t="shared" si="178"/>
        <v>0</v>
      </c>
      <c r="W147" s="50">
        <f t="shared" si="179"/>
        <v>0.18551756652969059</v>
      </c>
      <c r="X147" s="21">
        <f t="shared" si="180"/>
        <v>0</v>
      </c>
      <c r="Y147" s="21">
        <f t="shared" si="181"/>
        <v>0</v>
      </c>
      <c r="Z147" s="21">
        <f t="shared" si="182"/>
        <v>0</v>
      </c>
      <c r="AA147" s="21">
        <f t="shared" si="183"/>
        <v>0</v>
      </c>
      <c r="AB147" s="21">
        <f t="shared" si="184"/>
        <v>0</v>
      </c>
      <c r="AC147" s="21">
        <f t="shared" si="133"/>
        <v>0</v>
      </c>
      <c r="AD147" s="21">
        <f t="shared" si="134"/>
        <v>0</v>
      </c>
      <c r="AE147" s="21">
        <f t="shared" si="185"/>
        <v>0</v>
      </c>
      <c r="AF147" s="54">
        <f t="shared" si="135"/>
        <v>0</v>
      </c>
      <c r="AG147" s="21">
        <f t="shared" si="136"/>
        <v>0</v>
      </c>
      <c r="AH147" s="21">
        <f t="shared" si="137"/>
        <v>0</v>
      </c>
      <c r="AI147" s="21">
        <f t="shared" si="138"/>
        <v>0</v>
      </c>
      <c r="AJ147" s="54">
        <f t="shared" si="139"/>
        <v>0</v>
      </c>
      <c r="AK147" s="21">
        <f t="shared" si="140"/>
        <v>0</v>
      </c>
      <c r="AL147" s="21">
        <f t="shared" si="141"/>
        <v>0</v>
      </c>
      <c r="AM147" s="21">
        <f t="shared" si="142"/>
        <v>0</v>
      </c>
      <c r="AN147" s="54">
        <f t="shared" si="143"/>
        <v>0</v>
      </c>
      <c r="AO147" s="21">
        <f t="shared" si="144"/>
        <v>0</v>
      </c>
      <c r="AP147" s="21">
        <f t="shared" si="145"/>
        <v>0</v>
      </c>
      <c r="AQ147" s="21">
        <f t="shared" si="146"/>
        <v>0</v>
      </c>
      <c r="AR147" s="54">
        <f t="shared" si="147"/>
        <v>0</v>
      </c>
      <c r="AS147" s="21">
        <f t="shared" si="148"/>
        <v>0</v>
      </c>
      <c r="AT147" s="21">
        <f t="shared" si="149"/>
        <v>0</v>
      </c>
      <c r="AU147" s="21">
        <f t="shared" si="150"/>
        <v>0</v>
      </c>
      <c r="AV147" s="54">
        <f t="shared" si="151"/>
        <v>0</v>
      </c>
      <c r="AW147" s="21">
        <f t="shared" si="152"/>
        <v>0</v>
      </c>
      <c r="AX147" s="21">
        <f t="shared" si="153"/>
        <v>0</v>
      </c>
      <c r="AY147" s="21">
        <f t="shared" si="154"/>
        <v>0</v>
      </c>
      <c r="AZ147" s="54">
        <f t="shared" si="155"/>
        <v>0</v>
      </c>
      <c r="BA147" s="21">
        <f t="shared" si="156"/>
        <v>0</v>
      </c>
      <c r="BB147" s="21">
        <f t="shared" si="157"/>
        <v>0</v>
      </c>
      <c r="BC147" s="21">
        <f t="shared" si="158"/>
        <v>0</v>
      </c>
      <c r="BD147" s="54">
        <f t="shared" si="159"/>
        <v>0</v>
      </c>
      <c r="BE147" s="21">
        <f t="shared" si="160"/>
        <v>0</v>
      </c>
      <c r="BF147" s="21">
        <f t="shared" si="161"/>
        <v>0</v>
      </c>
      <c r="BG147" s="21">
        <f t="shared" si="162"/>
        <v>0</v>
      </c>
      <c r="BH147" s="54">
        <f t="shared" si="163"/>
        <v>0</v>
      </c>
      <c r="BI147" s="21">
        <f t="shared" si="164"/>
        <v>0</v>
      </c>
      <c r="BJ147" s="21">
        <f t="shared" si="165"/>
        <v>0</v>
      </c>
      <c r="BK147" s="21">
        <f t="shared" si="166"/>
        <v>0</v>
      </c>
    </row>
    <row r="148" spans="1:63" x14ac:dyDescent="0.25">
      <c r="A148" s="51">
        <v>80</v>
      </c>
      <c r="B148" s="51">
        <f t="shared" si="124"/>
        <v>114</v>
      </c>
      <c r="C148" s="52" t="b">
        <f t="shared" si="125"/>
        <v>0</v>
      </c>
      <c r="D148" s="54">
        <f t="shared" si="126"/>
        <v>0</v>
      </c>
      <c r="E148" s="54">
        <f t="shared" si="127"/>
        <v>0</v>
      </c>
      <c r="F148" s="54">
        <f t="shared" si="128"/>
        <v>0</v>
      </c>
      <c r="G148" s="54">
        <f t="shared" si="129"/>
        <v>0</v>
      </c>
      <c r="H148" s="54">
        <f t="shared" si="130"/>
        <v>0</v>
      </c>
      <c r="I148" s="54">
        <f t="shared" si="167"/>
        <v>0</v>
      </c>
      <c r="J148" s="54">
        <f t="shared" si="131"/>
        <v>0</v>
      </c>
      <c r="K148" s="54">
        <f t="shared" si="168"/>
        <v>0.65151911093279413</v>
      </c>
      <c r="L148" s="54">
        <f t="shared" si="169"/>
        <v>0.34848088906720587</v>
      </c>
      <c r="M148" s="54">
        <f t="shared" si="170"/>
        <v>0</v>
      </c>
      <c r="N148" s="54">
        <f t="shared" si="171"/>
        <v>0.98872287800391234</v>
      </c>
      <c r="O148" s="54">
        <f t="shared" si="172"/>
        <v>1.1277121996087658E-2</v>
      </c>
      <c r="P148" s="54">
        <f t="shared" si="173"/>
        <v>0.21940028869596045</v>
      </c>
      <c r="Q148" s="54">
        <f t="shared" si="174"/>
        <v>0</v>
      </c>
      <c r="R148" s="50">
        <f t="shared" si="132"/>
        <v>6.1666698372158395</v>
      </c>
      <c r="S148" s="21">
        <f t="shared" si="175"/>
        <v>0</v>
      </c>
      <c r="T148" s="50">
        <f t="shared" si="176"/>
        <v>5.9635881861510844</v>
      </c>
      <c r="U148" s="21">
        <f t="shared" si="177"/>
        <v>0</v>
      </c>
      <c r="V148" s="21">
        <f t="shared" si="178"/>
        <v>0</v>
      </c>
      <c r="W148" s="50">
        <f t="shared" si="179"/>
        <v>0.18551756652969059</v>
      </c>
      <c r="X148" s="21">
        <f t="shared" si="180"/>
        <v>0</v>
      </c>
      <c r="Y148" s="21">
        <f t="shared" si="181"/>
        <v>0</v>
      </c>
      <c r="Z148" s="21">
        <f t="shared" si="182"/>
        <v>0</v>
      </c>
      <c r="AA148" s="21">
        <f t="shared" si="183"/>
        <v>0</v>
      </c>
      <c r="AB148" s="21">
        <f t="shared" si="184"/>
        <v>0</v>
      </c>
      <c r="AC148" s="21">
        <f t="shared" si="133"/>
        <v>0</v>
      </c>
      <c r="AD148" s="21">
        <f t="shared" si="134"/>
        <v>0</v>
      </c>
      <c r="AE148" s="21">
        <f t="shared" si="185"/>
        <v>0</v>
      </c>
      <c r="AF148" s="54">
        <f t="shared" si="135"/>
        <v>0</v>
      </c>
      <c r="AG148" s="21">
        <f t="shared" si="136"/>
        <v>0</v>
      </c>
      <c r="AH148" s="21">
        <f t="shared" si="137"/>
        <v>0</v>
      </c>
      <c r="AI148" s="21">
        <f t="shared" si="138"/>
        <v>0</v>
      </c>
      <c r="AJ148" s="54">
        <f t="shared" si="139"/>
        <v>0</v>
      </c>
      <c r="AK148" s="21">
        <f t="shared" si="140"/>
        <v>0</v>
      </c>
      <c r="AL148" s="21">
        <f t="shared" si="141"/>
        <v>0</v>
      </c>
      <c r="AM148" s="21">
        <f t="shared" si="142"/>
        <v>0</v>
      </c>
      <c r="AN148" s="54">
        <f t="shared" si="143"/>
        <v>0</v>
      </c>
      <c r="AO148" s="21">
        <f t="shared" si="144"/>
        <v>0</v>
      </c>
      <c r="AP148" s="21">
        <f t="shared" si="145"/>
        <v>0</v>
      </c>
      <c r="AQ148" s="21">
        <f t="shared" si="146"/>
        <v>0</v>
      </c>
      <c r="AR148" s="54">
        <f t="shared" si="147"/>
        <v>0</v>
      </c>
      <c r="AS148" s="21">
        <f t="shared" si="148"/>
        <v>0</v>
      </c>
      <c r="AT148" s="21">
        <f t="shared" si="149"/>
        <v>0</v>
      </c>
      <c r="AU148" s="21">
        <f t="shared" si="150"/>
        <v>0</v>
      </c>
      <c r="AV148" s="54">
        <f t="shared" si="151"/>
        <v>0</v>
      </c>
      <c r="AW148" s="21">
        <f t="shared" si="152"/>
        <v>0</v>
      </c>
      <c r="AX148" s="21">
        <f t="shared" si="153"/>
        <v>0</v>
      </c>
      <c r="AY148" s="21">
        <f t="shared" si="154"/>
        <v>0</v>
      </c>
      <c r="AZ148" s="54">
        <f t="shared" si="155"/>
        <v>0</v>
      </c>
      <c r="BA148" s="21">
        <f t="shared" si="156"/>
        <v>0</v>
      </c>
      <c r="BB148" s="21">
        <f t="shared" si="157"/>
        <v>0</v>
      </c>
      <c r="BC148" s="21">
        <f t="shared" si="158"/>
        <v>0</v>
      </c>
      <c r="BD148" s="54">
        <f t="shared" si="159"/>
        <v>0</v>
      </c>
      <c r="BE148" s="21">
        <f t="shared" si="160"/>
        <v>0</v>
      </c>
      <c r="BF148" s="21">
        <f t="shared" si="161"/>
        <v>0</v>
      </c>
      <c r="BG148" s="21">
        <f t="shared" si="162"/>
        <v>0</v>
      </c>
      <c r="BH148" s="54">
        <f t="shared" si="163"/>
        <v>0</v>
      </c>
      <c r="BI148" s="21">
        <f t="shared" si="164"/>
        <v>0</v>
      </c>
      <c r="BJ148" s="21">
        <f t="shared" si="165"/>
        <v>0</v>
      </c>
      <c r="BK148" s="21">
        <f t="shared" si="166"/>
        <v>0</v>
      </c>
    </row>
    <row r="149" spans="1:63" x14ac:dyDescent="0.25">
      <c r="A149" s="51">
        <v>81</v>
      </c>
      <c r="B149" s="51">
        <f t="shared" si="124"/>
        <v>115</v>
      </c>
      <c r="C149" s="52" t="b">
        <f t="shared" si="125"/>
        <v>0</v>
      </c>
      <c r="D149" s="54">
        <f t="shared" si="126"/>
        <v>0</v>
      </c>
      <c r="E149" s="54">
        <f t="shared" si="127"/>
        <v>0</v>
      </c>
      <c r="F149" s="54">
        <f t="shared" si="128"/>
        <v>0</v>
      </c>
      <c r="G149" s="54">
        <f t="shared" si="129"/>
        <v>0</v>
      </c>
      <c r="H149" s="54">
        <f t="shared" si="130"/>
        <v>0</v>
      </c>
      <c r="I149" s="54">
        <f t="shared" si="167"/>
        <v>0</v>
      </c>
      <c r="J149" s="54">
        <f t="shared" si="131"/>
        <v>0</v>
      </c>
      <c r="K149" s="54">
        <f t="shared" si="168"/>
        <v>0.65151911093279413</v>
      </c>
      <c r="L149" s="54">
        <f t="shared" si="169"/>
        <v>0.34848088906720587</v>
      </c>
      <c r="M149" s="54">
        <f t="shared" si="170"/>
        <v>0</v>
      </c>
      <c r="N149" s="54">
        <f t="shared" si="171"/>
        <v>0.98872287800391234</v>
      </c>
      <c r="O149" s="54">
        <f t="shared" si="172"/>
        <v>1.1277121996087658E-2</v>
      </c>
      <c r="P149" s="54">
        <f t="shared" si="173"/>
        <v>0.21940028869596045</v>
      </c>
      <c r="Q149" s="54">
        <f t="shared" si="174"/>
        <v>0</v>
      </c>
      <c r="R149" s="50">
        <f t="shared" si="132"/>
        <v>6.3085032434718036</v>
      </c>
      <c r="S149" s="21">
        <f t="shared" si="175"/>
        <v>0</v>
      </c>
      <c r="T149" s="50">
        <f t="shared" si="176"/>
        <v>5.9635881861510844</v>
      </c>
      <c r="U149" s="21">
        <f t="shared" si="177"/>
        <v>0</v>
      </c>
      <c r="V149" s="21">
        <f t="shared" si="178"/>
        <v>0</v>
      </c>
      <c r="W149" s="50">
        <f t="shared" si="179"/>
        <v>0.18551756652969059</v>
      </c>
      <c r="X149" s="21">
        <f t="shared" si="180"/>
        <v>0</v>
      </c>
      <c r="Y149" s="21">
        <f t="shared" si="181"/>
        <v>0</v>
      </c>
      <c r="Z149" s="21">
        <f t="shared" si="182"/>
        <v>0</v>
      </c>
      <c r="AA149" s="21">
        <f t="shared" si="183"/>
        <v>0</v>
      </c>
      <c r="AB149" s="21">
        <f t="shared" si="184"/>
        <v>0</v>
      </c>
      <c r="AC149" s="21">
        <f t="shared" si="133"/>
        <v>0</v>
      </c>
      <c r="AD149" s="21">
        <f t="shared" si="134"/>
        <v>0</v>
      </c>
      <c r="AE149" s="21">
        <f t="shared" si="185"/>
        <v>0</v>
      </c>
      <c r="AF149" s="54">
        <f t="shared" si="135"/>
        <v>0</v>
      </c>
      <c r="AG149" s="21">
        <f t="shared" si="136"/>
        <v>0</v>
      </c>
      <c r="AH149" s="21">
        <f t="shared" si="137"/>
        <v>0</v>
      </c>
      <c r="AI149" s="21">
        <f t="shared" si="138"/>
        <v>0</v>
      </c>
      <c r="AJ149" s="54">
        <f t="shared" si="139"/>
        <v>0</v>
      </c>
      <c r="AK149" s="21">
        <f t="shared" si="140"/>
        <v>0</v>
      </c>
      <c r="AL149" s="21">
        <f t="shared" si="141"/>
        <v>0</v>
      </c>
      <c r="AM149" s="21">
        <f t="shared" si="142"/>
        <v>0</v>
      </c>
      <c r="AN149" s="54">
        <f t="shared" si="143"/>
        <v>0</v>
      </c>
      <c r="AO149" s="21">
        <f t="shared" si="144"/>
        <v>0</v>
      </c>
      <c r="AP149" s="21">
        <f t="shared" si="145"/>
        <v>0</v>
      </c>
      <c r="AQ149" s="21">
        <f t="shared" si="146"/>
        <v>0</v>
      </c>
      <c r="AR149" s="54">
        <f t="shared" si="147"/>
        <v>0</v>
      </c>
      <c r="AS149" s="21">
        <f t="shared" si="148"/>
        <v>0</v>
      </c>
      <c r="AT149" s="21">
        <f t="shared" si="149"/>
        <v>0</v>
      </c>
      <c r="AU149" s="21">
        <f t="shared" si="150"/>
        <v>0</v>
      </c>
      <c r="AV149" s="54">
        <f t="shared" si="151"/>
        <v>0</v>
      </c>
      <c r="AW149" s="21">
        <f t="shared" si="152"/>
        <v>0</v>
      </c>
      <c r="AX149" s="21">
        <f t="shared" si="153"/>
        <v>0</v>
      </c>
      <c r="AY149" s="21">
        <f t="shared" si="154"/>
        <v>0</v>
      </c>
      <c r="AZ149" s="54">
        <f t="shared" si="155"/>
        <v>0</v>
      </c>
      <c r="BA149" s="21">
        <f t="shared" si="156"/>
        <v>0</v>
      </c>
      <c r="BB149" s="21">
        <f t="shared" si="157"/>
        <v>0</v>
      </c>
      <c r="BC149" s="21">
        <f t="shared" si="158"/>
        <v>0</v>
      </c>
      <c r="BD149" s="54">
        <f t="shared" si="159"/>
        <v>0</v>
      </c>
      <c r="BE149" s="21">
        <f t="shared" si="160"/>
        <v>0</v>
      </c>
      <c r="BF149" s="21">
        <f t="shared" si="161"/>
        <v>0</v>
      </c>
      <c r="BG149" s="21">
        <f t="shared" si="162"/>
        <v>0</v>
      </c>
      <c r="BH149" s="54">
        <f t="shared" si="163"/>
        <v>0</v>
      </c>
      <c r="BI149" s="21">
        <f t="shared" si="164"/>
        <v>0</v>
      </c>
      <c r="BJ149" s="21">
        <f t="shared" si="165"/>
        <v>0</v>
      </c>
      <c r="BK149" s="21">
        <f t="shared" si="166"/>
        <v>0</v>
      </c>
    </row>
    <row r="150" spans="1:63" x14ac:dyDescent="0.25">
      <c r="A150" s="51">
        <v>82</v>
      </c>
      <c r="B150" s="51">
        <f t="shared" si="124"/>
        <v>116</v>
      </c>
      <c r="C150" s="52" t="b">
        <f t="shared" si="125"/>
        <v>0</v>
      </c>
      <c r="D150" s="54">
        <f t="shared" si="126"/>
        <v>0</v>
      </c>
      <c r="E150" s="54">
        <f t="shared" si="127"/>
        <v>0</v>
      </c>
      <c r="F150" s="54">
        <f t="shared" si="128"/>
        <v>0</v>
      </c>
      <c r="G150" s="54">
        <f t="shared" si="129"/>
        <v>0</v>
      </c>
      <c r="H150" s="54">
        <f t="shared" si="130"/>
        <v>0</v>
      </c>
      <c r="I150" s="54">
        <f t="shared" si="167"/>
        <v>0</v>
      </c>
      <c r="J150" s="54">
        <f t="shared" si="131"/>
        <v>0</v>
      </c>
      <c r="K150" s="54">
        <f t="shared" si="168"/>
        <v>0.65151911093279413</v>
      </c>
      <c r="L150" s="54">
        <f t="shared" si="169"/>
        <v>0.34848088906720587</v>
      </c>
      <c r="M150" s="54">
        <f t="shared" si="170"/>
        <v>0</v>
      </c>
      <c r="N150" s="54">
        <f t="shared" si="171"/>
        <v>0.98872287800391234</v>
      </c>
      <c r="O150" s="54">
        <f t="shared" si="172"/>
        <v>1.1277121996087658E-2</v>
      </c>
      <c r="P150" s="54">
        <f t="shared" si="173"/>
        <v>0.21940028869596045</v>
      </c>
      <c r="Q150" s="54">
        <f t="shared" si="174"/>
        <v>0</v>
      </c>
      <c r="R150" s="50">
        <f t="shared" si="132"/>
        <v>6.4535988180716553</v>
      </c>
      <c r="S150" s="21">
        <f t="shared" si="175"/>
        <v>0</v>
      </c>
      <c r="T150" s="50">
        <f t="shared" si="176"/>
        <v>5.9635881861510844</v>
      </c>
      <c r="U150" s="21">
        <f t="shared" si="177"/>
        <v>0</v>
      </c>
      <c r="V150" s="21">
        <f t="shared" si="178"/>
        <v>0</v>
      </c>
      <c r="W150" s="50">
        <f t="shared" si="179"/>
        <v>0.18551756652969059</v>
      </c>
      <c r="X150" s="21">
        <f t="shared" si="180"/>
        <v>0</v>
      </c>
      <c r="Y150" s="21">
        <f t="shared" si="181"/>
        <v>0</v>
      </c>
      <c r="Z150" s="21">
        <f t="shared" si="182"/>
        <v>0</v>
      </c>
      <c r="AA150" s="21">
        <f t="shared" si="183"/>
        <v>0</v>
      </c>
      <c r="AB150" s="21">
        <f t="shared" si="184"/>
        <v>0</v>
      </c>
      <c r="AC150" s="21">
        <f t="shared" si="133"/>
        <v>0</v>
      </c>
      <c r="AD150" s="21">
        <f t="shared" si="134"/>
        <v>0</v>
      </c>
      <c r="AE150" s="21">
        <f t="shared" si="185"/>
        <v>0</v>
      </c>
      <c r="AF150" s="54">
        <f t="shared" si="135"/>
        <v>0</v>
      </c>
      <c r="AG150" s="21">
        <f t="shared" si="136"/>
        <v>0</v>
      </c>
      <c r="AH150" s="21">
        <f t="shared" si="137"/>
        <v>0</v>
      </c>
      <c r="AI150" s="21">
        <f t="shared" si="138"/>
        <v>0</v>
      </c>
      <c r="AJ150" s="54">
        <f t="shared" si="139"/>
        <v>0</v>
      </c>
      <c r="AK150" s="21">
        <f t="shared" si="140"/>
        <v>0</v>
      </c>
      <c r="AL150" s="21">
        <f t="shared" si="141"/>
        <v>0</v>
      </c>
      <c r="AM150" s="21">
        <f t="shared" si="142"/>
        <v>0</v>
      </c>
      <c r="AN150" s="54">
        <f t="shared" si="143"/>
        <v>0</v>
      </c>
      <c r="AO150" s="21">
        <f t="shared" si="144"/>
        <v>0</v>
      </c>
      <c r="AP150" s="21">
        <f t="shared" si="145"/>
        <v>0</v>
      </c>
      <c r="AQ150" s="21">
        <f t="shared" si="146"/>
        <v>0</v>
      </c>
      <c r="AR150" s="54">
        <f t="shared" si="147"/>
        <v>0</v>
      </c>
      <c r="AS150" s="21">
        <f t="shared" si="148"/>
        <v>0</v>
      </c>
      <c r="AT150" s="21">
        <f t="shared" si="149"/>
        <v>0</v>
      </c>
      <c r="AU150" s="21">
        <f t="shared" si="150"/>
        <v>0</v>
      </c>
      <c r="AV150" s="54">
        <f t="shared" si="151"/>
        <v>0</v>
      </c>
      <c r="AW150" s="21">
        <f t="shared" si="152"/>
        <v>0</v>
      </c>
      <c r="AX150" s="21">
        <f t="shared" si="153"/>
        <v>0</v>
      </c>
      <c r="AY150" s="21">
        <f t="shared" si="154"/>
        <v>0</v>
      </c>
      <c r="AZ150" s="54">
        <f t="shared" si="155"/>
        <v>0</v>
      </c>
      <c r="BA150" s="21">
        <f t="shared" si="156"/>
        <v>0</v>
      </c>
      <c r="BB150" s="21">
        <f t="shared" si="157"/>
        <v>0</v>
      </c>
      <c r="BC150" s="21">
        <f t="shared" si="158"/>
        <v>0</v>
      </c>
      <c r="BD150" s="54">
        <f t="shared" si="159"/>
        <v>0</v>
      </c>
      <c r="BE150" s="21">
        <f t="shared" si="160"/>
        <v>0</v>
      </c>
      <c r="BF150" s="21">
        <f t="shared" si="161"/>
        <v>0</v>
      </c>
      <c r="BG150" s="21">
        <f t="shared" si="162"/>
        <v>0</v>
      </c>
      <c r="BH150" s="54">
        <f t="shared" si="163"/>
        <v>0</v>
      </c>
      <c r="BI150" s="21">
        <f t="shared" si="164"/>
        <v>0</v>
      </c>
      <c r="BJ150" s="21">
        <f t="shared" si="165"/>
        <v>0</v>
      </c>
      <c r="BK150" s="21">
        <f t="shared" si="166"/>
        <v>0</v>
      </c>
    </row>
  </sheetData>
  <mergeCells count="18">
    <mergeCell ref="AR66:AU66"/>
    <mergeCell ref="BH66:BK66"/>
    <mergeCell ref="AF66:AI66"/>
    <mergeCell ref="A4:D4"/>
    <mergeCell ref="AV66:AY66"/>
    <mergeCell ref="H4:AF4"/>
    <mergeCell ref="A55:D55"/>
    <mergeCell ref="A15:D15"/>
    <mergeCell ref="I66:Q66"/>
    <mergeCell ref="D66:H66"/>
    <mergeCell ref="AZ66:BC66"/>
    <mergeCell ref="BD66:BG66"/>
    <mergeCell ref="A36:D36"/>
    <mergeCell ref="R66:AE66"/>
    <mergeCell ref="A1:D1"/>
    <mergeCell ref="AJ66:AM66"/>
    <mergeCell ref="AN66:AQ66"/>
    <mergeCell ref="A66:C66"/>
  </mergeCells>
  <conditionalFormatting sqref="A68:BK150">
    <cfRule type="expression" dxfId="4" priority="1">
      <formula>OR($C68=FALSE,$B68&gt;endAge)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D6F42"/>
  </sheetPr>
  <dimension ref="A1:L34"/>
  <sheetViews>
    <sheetView topLeftCell="D1" workbookViewId="0">
      <pane ySplit="3" topLeftCell="A4" activePane="bottomLeft" state="frozen"/>
      <selection pane="bottomLeft" activeCell="K19" sqref="K19"/>
    </sheetView>
  </sheetViews>
  <sheetFormatPr defaultRowHeight="15" x14ac:dyDescent="0.25"/>
  <cols>
    <col min="1" max="1" width="36" customWidth="1"/>
    <col min="2" max="2" width="22" customWidth="1"/>
    <col min="3" max="3" width="34" customWidth="1"/>
    <col min="4" max="4" width="78" customWidth="1"/>
    <col min="6" max="6" width="42" customWidth="1"/>
    <col min="9" max="9" width="14" customWidth="1"/>
    <col min="10" max="10" width="16" customWidth="1"/>
    <col min="11" max="11" width="14" customWidth="1"/>
    <col min="12" max="12" width="42" customWidth="1"/>
  </cols>
  <sheetData>
    <row r="1" spans="1:12" ht="27.95" customHeight="1" x14ac:dyDescent="0.25">
      <c r="A1" s="77" t="s">
        <v>1281</v>
      </c>
      <c r="B1" s="74"/>
      <c r="C1" s="74"/>
      <c r="D1" s="74"/>
    </row>
    <row r="2" spans="1:12" x14ac:dyDescent="0.25">
      <c r="A2" s="4" t="s">
        <v>83</v>
      </c>
      <c r="B2" s="5" t="str">
        <f>SelectedPersona</f>
        <v>P03</v>
      </c>
      <c r="C2" s="6" t="str">
        <f>IFERROR(INDEX(Personas!B$3:B$52,MATCH($B$2,Personas!$A$3:$A$52,0)),"")</f>
        <v>Daniel Koh</v>
      </c>
      <c r="D2" s="1" t="s">
        <v>352</v>
      </c>
      <c r="F2" s="4" t="s">
        <v>86</v>
      </c>
    </row>
    <row r="3" spans="1:12" x14ac:dyDescent="0.25">
      <c r="A3" s="2" t="s">
        <v>87</v>
      </c>
      <c r="B3" s="2" t="s">
        <v>88</v>
      </c>
      <c r="C3" s="2" t="s">
        <v>89</v>
      </c>
      <c r="D3" s="2" t="s">
        <v>90</v>
      </c>
      <c r="F3" s="7" t="s">
        <v>91</v>
      </c>
    </row>
    <row r="4" spans="1:12" x14ac:dyDescent="0.25">
      <c r="A4" s="79" t="s">
        <v>1282</v>
      </c>
      <c r="B4" s="79"/>
      <c r="C4" s="79"/>
      <c r="D4" s="79"/>
      <c r="F4" s="8" t="s">
        <v>93</v>
      </c>
      <c r="I4" s="83" t="s">
        <v>1283</v>
      </c>
      <c r="J4" s="84"/>
      <c r="K4" s="84"/>
      <c r="L4" s="85"/>
    </row>
    <row r="5" spans="1:12" ht="25.5" x14ac:dyDescent="0.25">
      <c r="A5" s="9" t="s">
        <v>119</v>
      </c>
      <c r="B5" s="5" t="str">
        <f>PLU_currency</f>
        <v>SGD</v>
      </c>
      <c r="C5" s="5" t="s">
        <v>95</v>
      </c>
      <c r="D5" s="10" t="s">
        <v>1284</v>
      </c>
      <c r="F5" s="11" t="s">
        <v>97</v>
      </c>
      <c r="I5" s="2" t="s">
        <v>119</v>
      </c>
      <c r="J5" s="2" t="s">
        <v>1285</v>
      </c>
      <c r="K5" s="2" t="s">
        <v>706</v>
      </c>
      <c r="L5" s="2" t="s">
        <v>357</v>
      </c>
    </row>
    <row r="6" spans="1:12" x14ac:dyDescent="0.25">
      <c r="A6" s="9" t="s">
        <v>1286</v>
      </c>
      <c r="B6" s="28">
        <f>PLU_incomeMonthly</f>
        <v>7140</v>
      </c>
      <c r="C6" s="5" t="s">
        <v>95</v>
      </c>
      <c r="D6" s="10" t="s">
        <v>1287</v>
      </c>
      <c r="F6" s="13" t="s">
        <v>100</v>
      </c>
      <c r="I6" s="5" t="s">
        <v>1288</v>
      </c>
      <c r="J6" s="55">
        <v>1</v>
      </c>
      <c r="K6" s="56">
        <v>1</v>
      </c>
      <c r="L6" s="10" t="s">
        <v>1289</v>
      </c>
    </row>
    <row r="7" spans="1:12" x14ac:dyDescent="0.25">
      <c r="A7" s="9" t="s">
        <v>1290</v>
      </c>
      <c r="B7" s="28">
        <f>PLU_expenseMonthly</f>
        <v>4141.2</v>
      </c>
      <c r="C7" s="5" t="s">
        <v>95</v>
      </c>
      <c r="D7" s="10"/>
      <c r="I7" s="5" t="s">
        <v>180</v>
      </c>
      <c r="J7" s="55">
        <v>0.74</v>
      </c>
      <c r="K7" s="56">
        <v>1</v>
      </c>
      <c r="L7" s="10" t="s">
        <v>1291</v>
      </c>
    </row>
    <row r="8" spans="1:12" x14ac:dyDescent="0.25">
      <c r="A8" s="9" t="s">
        <v>1292</v>
      </c>
      <c r="B8" s="28">
        <f>PLU_cash</f>
        <v>18378</v>
      </c>
      <c r="C8" s="5" t="s">
        <v>95</v>
      </c>
      <c r="D8" s="10"/>
      <c r="I8" s="5" t="s">
        <v>1293</v>
      </c>
      <c r="J8" s="55">
        <v>3.8000000000000002E-5</v>
      </c>
      <c r="K8" s="56">
        <v>1</v>
      </c>
      <c r="L8" s="10" t="s">
        <v>1294</v>
      </c>
    </row>
    <row r="9" spans="1:12" x14ac:dyDescent="0.25">
      <c r="A9" s="9" t="s">
        <v>1295</v>
      </c>
      <c r="B9" s="38">
        <f>PLU_investments</f>
        <v>104144</v>
      </c>
      <c r="C9" s="5" t="s">
        <v>95</v>
      </c>
      <c r="D9" s="10"/>
      <c r="I9" s="5" t="s">
        <v>1296</v>
      </c>
      <c r="J9" s="55">
        <v>0.22500000000000001</v>
      </c>
      <c r="K9" s="56">
        <v>1</v>
      </c>
      <c r="L9" s="10"/>
    </row>
    <row r="10" spans="1:12" x14ac:dyDescent="0.25">
      <c r="A10" s="9" t="s">
        <v>1297</v>
      </c>
      <c r="B10" s="38">
        <f>PLU_property</f>
        <v>350000</v>
      </c>
      <c r="C10" s="5" t="s">
        <v>95</v>
      </c>
      <c r="D10" s="10"/>
      <c r="I10" s="5" t="s">
        <v>1298</v>
      </c>
      <c r="J10" s="55">
        <v>2.9000000000000001E-2</v>
      </c>
      <c r="K10" s="56">
        <v>1</v>
      </c>
      <c r="L10" s="10"/>
    </row>
    <row r="11" spans="1:12" x14ac:dyDescent="0.25">
      <c r="A11" s="9" t="s">
        <v>1299</v>
      </c>
      <c r="B11" s="38">
        <f>PLU_mortgage</f>
        <v>192500</v>
      </c>
      <c r="C11" s="5" t="s">
        <v>95</v>
      </c>
      <c r="D11" s="10"/>
      <c r="I11" s="5" t="s">
        <v>1300</v>
      </c>
      <c r="J11" s="55">
        <v>1.7500000000000002E-2</v>
      </c>
      <c r="K11" s="56">
        <v>1</v>
      </c>
      <c r="L11" s="10"/>
    </row>
    <row r="12" spans="1:12" x14ac:dyDescent="0.25">
      <c r="A12" s="9" t="s">
        <v>1301</v>
      </c>
      <c r="B12" s="28">
        <f>PLU_liabilities</f>
        <v>85765.680000000008</v>
      </c>
      <c r="C12" s="5" t="s">
        <v>95</v>
      </c>
      <c r="D12" s="10"/>
      <c r="I12" s="5" t="s">
        <v>1302</v>
      </c>
      <c r="J12" s="55">
        <v>0.66</v>
      </c>
      <c r="K12" s="56">
        <v>1</v>
      </c>
      <c r="L12" s="10"/>
    </row>
    <row r="13" spans="1:12" x14ac:dyDescent="0.25">
      <c r="A13" s="9" t="s">
        <v>1303</v>
      </c>
      <c r="B13" s="38">
        <f>PLU_lifeSum</f>
        <v>428400</v>
      </c>
      <c r="C13" s="5" t="s">
        <v>95</v>
      </c>
      <c r="D13" s="10"/>
      <c r="I13" s="5" t="s">
        <v>1304</v>
      </c>
      <c r="J13" s="55">
        <v>1.0900000000000001</v>
      </c>
      <c r="K13" s="56">
        <v>1</v>
      </c>
      <c r="L13" s="10"/>
    </row>
    <row r="14" spans="1:12" x14ac:dyDescent="0.25">
      <c r="I14" s="5" t="s">
        <v>1305</v>
      </c>
      <c r="J14" s="55">
        <v>0.128</v>
      </c>
      <c r="K14" s="56">
        <v>1</v>
      </c>
      <c r="L14" s="10"/>
    </row>
    <row r="15" spans="1:12" x14ac:dyDescent="0.25">
      <c r="A15" s="83" t="s">
        <v>1306</v>
      </c>
      <c r="B15" s="83"/>
      <c r="C15" s="83"/>
      <c r="D15" s="83"/>
    </row>
    <row r="16" spans="1:12" x14ac:dyDescent="0.25">
      <c r="A16" s="29" t="s">
        <v>536</v>
      </c>
      <c r="B16" s="39">
        <f>IFERROR(VLOOKUP(PLU_currency,FxTable,2,FALSE),NA())</f>
        <v>0.74</v>
      </c>
      <c r="C16" s="27" t="s">
        <v>369</v>
      </c>
      <c r="D16" s="10" t="s">
        <v>1307</v>
      </c>
    </row>
    <row r="17" spans="1:4" x14ac:dyDescent="0.25">
      <c r="A17" s="29" t="s">
        <v>1308</v>
      </c>
      <c r="B17" s="44">
        <f>IF(priceLevelOn=TRUE,IFERROR(VLOOKUP(PLU_currency,FxTable,3,FALSE),NA()),1)</f>
        <v>1</v>
      </c>
      <c r="C17" s="27" t="s">
        <v>369</v>
      </c>
      <c r="D17" s="10" t="s">
        <v>1309</v>
      </c>
    </row>
    <row r="19" spans="1:4" x14ac:dyDescent="0.25">
      <c r="A19" s="80" t="s">
        <v>1310</v>
      </c>
      <c r="B19" s="80"/>
      <c r="C19" s="80"/>
      <c r="D19" s="80"/>
    </row>
    <row r="20" spans="1:4" x14ac:dyDescent="0.25">
      <c r="A20" s="18" t="s">
        <v>708</v>
      </c>
      <c r="B20" s="20">
        <f t="shared" ref="B20:B27" si="0">B6*$B$16</f>
        <v>5283.6</v>
      </c>
      <c r="C20" s="19" t="s">
        <v>137</v>
      </c>
      <c r="D20" s="10" t="s">
        <v>1311</v>
      </c>
    </row>
    <row r="21" spans="1:4" x14ac:dyDescent="0.25">
      <c r="A21" s="18" t="s">
        <v>709</v>
      </c>
      <c r="B21" s="20">
        <f t="shared" si="0"/>
        <v>3064.4879999999998</v>
      </c>
      <c r="C21" s="19" t="s">
        <v>137</v>
      </c>
      <c r="D21" s="10"/>
    </row>
    <row r="22" spans="1:4" x14ac:dyDescent="0.25">
      <c r="A22" s="18" t="s">
        <v>1312</v>
      </c>
      <c r="B22" s="20">
        <f t="shared" si="0"/>
        <v>13599.72</v>
      </c>
      <c r="C22" s="19" t="s">
        <v>137</v>
      </c>
      <c r="D22" s="10"/>
    </row>
    <row r="23" spans="1:4" x14ac:dyDescent="0.25">
      <c r="A23" s="18" t="s">
        <v>712</v>
      </c>
      <c r="B23" s="20">
        <f t="shared" si="0"/>
        <v>77066.559999999998</v>
      </c>
      <c r="C23" s="19" t="s">
        <v>137</v>
      </c>
      <c r="D23" s="10"/>
    </row>
    <row r="24" spans="1:4" x14ac:dyDescent="0.25">
      <c r="A24" s="18" t="s">
        <v>480</v>
      </c>
      <c r="B24" s="20">
        <f t="shared" si="0"/>
        <v>259000</v>
      </c>
      <c r="C24" s="19" t="s">
        <v>137</v>
      </c>
      <c r="D24" s="10"/>
    </row>
    <row r="25" spans="1:4" x14ac:dyDescent="0.25">
      <c r="A25" s="18" t="s">
        <v>710</v>
      </c>
      <c r="B25" s="20">
        <f t="shared" si="0"/>
        <v>142450</v>
      </c>
      <c r="C25" s="19" t="s">
        <v>137</v>
      </c>
      <c r="D25" s="10"/>
    </row>
    <row r="26" spans="1:4" x14ac:dyDescent="0.25">
      <c r="A26" s="18" t="s">
        <v>1313</v>
      </c>
      <c r="B26" s="20">
        <f t="shared" si="0"/>
        <v>63466.603200000005</v>
      </c>
      <c r="C26" s="19" t="s">
        <v>137</v>
      </c>
      <c r="D26" s="10"/>
    </row>
    <row r="27" spans="1:4" x14ac:dyDescent="0.25">
      <c r="A27" s="18" t="s">
        <v>1314</v>
      </c>
      <c r="B27" s="20">
        <f t="shared" si="0"/>
        <v>317016</v>
      </c>
      <c r="C27" s="19" t="s">
        <v>137</v>
      </c>
      <c r="D27" s="10"/>
    </row>
    <row r="29" spans="1:4" x14ac:dyDescent="0.25">
      <c r="A29" s="80" t="s">
        <v>1315</v>
      </c>
      <c r="B29" s="80"/>
      <c r="C29" s="80"/>
      <c r="D29" s="80"/>
    </row>
    <row r="30" spans="1:4" x14ac:dyDescent="0.25">
      <c r="A30" s="18" t="s">
        <v>1316</v>
      </c>
      <c r="B30" s="57">
        <f>IF(((lumpRoundStep/$B$16))&lt;=0,0,10^INT(LOG10((lumpRoundStep/$B$16)))*IF(((lumpRoundStep/$B$16))/10^INT(LOG10((lumpRoundStep/$B$16)))&lt;1.5,1,IF(((lumpRoundStep/$B$16))/10^INT(LOG10((lumpRoundStep/$B$16)))&lt;3.5,2,IF(((lumpRoundStep/$B$16))/10^INT(LOG10((lumpRoundStep/$B$16)))&lt;7.5,5,10))))</f>
        <v>1000</v>
      </c>
      <c r="C30" s="19" t="s">
        <v>137</v>
      </c>
      <c r="D30" s="10" t="s">
        <v>1317</v>
      </c>
    </row>
    <row r="31" spans="1:4" x14ac:dyDescent="0.25">
      <c r="A31" s="18" t="s">
        <v>1318</v>
      </c>
      <c r="B31" s="57">
        <f>IF(((monthlyRoundStep/$B$16))&lt;=0,0,10^INT(LOG10((monthlyRoundStep/$B$16)))*IF(((monthlyRoundStep/$B$16))/10^INT(LOG10((monthlyRoundStep/$B$16)))&lt;1.5,1,IF(((monthlyRoundStep/$B$16))/10^INT(LOG10((monthlyRoundStep/$B$16)))&lt;3.5,2,IF(((monthlyRoundStep/$B$16))/10^INT(LOG10((monthlyRoundStep/$B$16)))&lt;7.5,5,10))))</f>
        <v>50</v>
      </c>
      <c r="C31" s="19" t="s">
        <v>137</v>
      </c>
      <c r="D31" s="10" t="s">
        <v>1319</v>
      </c>
    </row>
    <row r="32" spans="1:4" x14ac:dyDescent="0.25">
      <c r="A32" s="18" t="s">
        <v>1320</v>
      </c>
      <c r="B32" s="57">
        <f>IF(((coverPremRoundStep/$B$16))&lt;=0,0,10^INT(LOG10((coverPremRoundStep/$B$16)))*IF(((coverPremRoundStep/$B$16))/10^INT(LOG10((coverPremRoundStep/$B$16)))&lt;1.5,1,IF(((coverPremRoundStep/$B$16))/10^INT(LOG10((coverPremRoundStep/$B$16)))&lt;3.5,2,IF(((coverPremRoundStep/$B$16))/10^INT(LOG10((coverPremRoundStep/$B$16)))&lt;7.5,5,10))))</f>
        <v>10</v>
      </c>
      <c r="C32" s="19" t="s">
        <v>137</v>
      </c>
      <c r="D32" s="10" t="s">
        <v>1321</v>
      </c>
    </row>
    <row r="33" spans="1:4" x14ac:dyDescent="0.25">
      <c r="A33" s="18" t="s">
        <v>1322</v>
      </c>
      <c r="B33" s="57">
        <f>IF(((lifeRoundUnit/$B$16))&lt;=0,0,10^INT(LOG10((lifeRoundUnit/$B$16)))*IF(((lifeRoundUnit/$B$16))/10^INT(LOG10((lifeRoundUnit/$B$16)))&lt;1.5,1,IF(((lifeRoundUnit/$B$16))/10^INT(LOG10((lifeRoundUnit/$B$16)))&lt;3.5,2,IF(((lifeRoundUnit/$B$16))/10^INT(LOG10((lifeRoundUnit/$B$16)))&lt;7.5,5,10))))</f>
        <v>100000</v>
      </c>
      <c r="C33" s="19" t="s">
        <v>137</v>
      </c>
      <c r="D33" s="10" t="s">
        <v>1323</v>
      </c>
    </row>
    <row r="34" spans="1:4" x14ac:dyDescent="0.25">
      <c r="A34" s="18" t="s">
        <v>1324</v>
      </c>
      <c r="B34" s="57">
        <f>IF(((benefitRound/$B$16))&lt;=0,0,10^INT(LOG10((benefitRound/$B$16)))*IF(((benefitRound/$B$16))/10^INT(LOG10((benefitRound/$B$16)))&lt;1.5,1,IF(((benefitRound/$B$16))/10^INT(LOG10((benefitRound/$B$16)))&lt;3.5,2,IF(((benefitRound/$B$16))/10^INT(LOG10((benefitRound/$B$16)))&lt;7.5,5,10))))</f>
        <v>50000</v>
      </c>
      <c r="C34" s="19" t="s">
        <v>137</v>
      </c>
      <c r="D34" s="10" t="s">
        <v>1325</v>
      </c>
    </row>
  </sheetData>
  <mergeCells count="6">
    <mergeCell ref="A1:D1"/>
    <mergeCell ref="A4:D4"/>
    <mergeCell ref="I4:L4"/>
    <mergeCell ref="A15:D15"/>
    <mergeCell ref="A29:D29"/>
    <mergeCell ref="A19:D19"/>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5C26"/>
  </sheetPr>
  <dimension ref="A1:G29"/>
  <sheetViews>
    <sheetView workbookViewId="0">
      <pane ySplit="3" topLeftCell="A4" activePane="bottomLeft" state="frozen"/>
      <selection pane="bottomLeft" sqref="A1:G1"/>
    </sheetView>
  </sheetViews>
  <sheetFormatPr defaultRowHeight="15" x14ac:dyDescent="0.25"/>
  <cols>
    <col min="1" max="1" width="22" customWidth="1"/>
    <col min="2" max="2" width="20" customWidth="1"/>
    <col min="3" max="3" width="18" customWidth="1"/>
    <col min="4" max="4" width="72" customWidth="1"/>
    <col min="5" max="5" width="28" customWidth="1"/>
    <col min="6" max="6" width="10" customWidth="1"/>
    <col min="7" max="7" width="42" customWidth="1"/>
  </cols>
  <sheetData>
    <row r="1" spans="1:7" ht="32.1" customHeight="1" x14ac:dyDescent="0.25">
      <c r="A1" s="77" t="s">
        <v>1326</v>
      </c>
      <c r="B1" s="74"/>
      <c r="C1" s="74"/>
      <c r="D1" s="74"/>
      <c r="E1" s="74"/>
      <c r="F1" s="74"/>
      <c r="G1" s="74"/>
    </row>
    <row r="2" spans="1:7" ht="32.1" customHeight="1" x14ac:dyDescent="0.25">
      <c r="A2" s="75" t="s">
        <v>1327</v>
      </c>
      <c r="B2" s="74"/>
      <c r="C2" s="74"/>
      <c r="D2" s="74"/>
      <c r="E2" s="74"/>
      <c r="F2" s="74"/>
      <c r="G2" s="74"/>
    </row>
    <row r="4" spans="1:7" x14ac:dyDescent="0.25">
      <c r="A4" s="82" t="s">
        <v>1328</v>
      </c>
      <c r="B4" s="84"/>
      <c r="C4" s="84"/>
      <c r="D4" s="84"/>
      <c r="E4" s="85"/>
    </row>
    <row r="5" spans="1:7" x14ac:dyDescent="0.25">
      <c r="A5" s="2" t="s">
        <v>1329</v>
      </c>
      <c r="B5" s="2" t="s">
        <v>1330</v>
      </c>
      <c r="C5" s="2" t="s">
        <v>1331</v>
      </c>
      <c r="D5" s="2" t="s">
        <v>1332</v>
      </c>
      <c r="E5" s="2" t="s">
        <v>1333</v>
      </c>
    </row>
    <row r="6" spans="1:7" ht="24" x14ac:dyDescent="0.25">
      <c r="A6" s="6" t="s">
        <v>139</v>
      </c>
      <c r="B6" s="38">
        <v>200</v>
      </c>
      <c r="C6" s="38">
        <v>100000</v>
      </c>
      <c r="D6" s="10" t="s">
        <v>1334</v>
      </c>
      <c r="E6" s="10" t="s">
        <v>1335</v>
      </c>
    </row>
    <row r="7" spans="1:7" x14ac:dyDescent="0.25">
      <c r="A7" s="6" t="s">
        <v>143</v>
      </c>
      <c r="B7" s="38">
        <v>80</v>
      </c>
      <c r="C7" s="38">
        <v>80000</v>
      </c>
      <c r="D7" s="10" t="s">
        <v>1336</v>
      </c>
      <c r="E7" s="10" t="s">
        <v>1335</v>
      </c>
    </row>
    <row r="8" spans="1:7" x14ac:dyDescent="0.25">
      <c r="A8" s="6" t="s">
        <v>145</v>
      </c>
      <c r="B8" s="38">
        <v>0</v>
      </c>
      <c r="C8" s="38">
        <v>20000000</v>
      </c>
      <c r="D8" s="10" t="s">
        <v>1337</v>
      </c>
      <c r="E8" s="10" t="s">
        <v>1338</v>
      </c>
    </row>
    <row r="9" spans="1:7" x14ac:dyDescent="0.25">
      <c r="A9" s="6" t="s">
        <v>147</v>
      </c>
      <c r="B9" s="38">
        <v>0</v>
      </c>
      <c r="C9" s="38">
        <v>20000000</v>
      </c>
      <c r="D9" s="10" t="s">
        <v>1339</v>
      </c>
      <c r="E9" s="10" t="s">
        <v>1338</v>
      </c>
    </row>
    <row r="10" spans="1:7" x14ac:dyDescent="0.25">
      <c r="A10" s="6" t="s">
        <v>148</v>
      </c>
      <c r="B10" s="38">
        <v>0</v>
      </c>
      <c r="C10" s="38">
        <v>50000000</v>
      </c>
      <c r="D10" s="10" t="s">
        <v>1340</v>
      </c>
      <c r="E10" s="10" t="s">
        <v>1338</v>
      </c>
    </row>
    <row r="11" spans="1:7" x14ac:dyDescent="0.25">
      <c r="A11" s="6" t="s">
        <v>150</v>
      </c>
      <c r="B11" s="38">
        <v>0</v>
      </c>
      <c r="C11" s="38">
        <v>50000000</v>
      </c>
      <c r="D11" s="10" t="s">
        <v>1341</v>
      </c>
      <c r="E11" s="10" t="s">
        <v>1342</v>
      </c>
    </row>
    <row r="12" spans="1:7" x14ac:dyDescent="0.25">
      <c r="A12" s="6" t="s">
        <v>151</v>
      </c>
      <c r="B12" s="38">
        <v>0</v>
      </c>
      <c r="C12" s="38">
        <v>20000000</v>
      </c>
      <c r="D12" s="10" t="s">
        <v>1343</v>
      </c>
      <c r="E12" s="10" t="s">
        <v>1338</v>
      </c>
    </row>
    <row r="13" spans="1:7" x14ac:dyDescent="0.25">
      <c r="A13" s="6" t="s">
        <v>153</v>
      </c>
      <c r="B13" s="38">
        <v>0</v>
      </c>
      <c r="C13" s="38">
        <v>20000000</v>
      </c>
      <c r="D13" s="10" t="s">
        <v>1344</v>
      </c>
      <c r="E13" s="10" t="s">
        <v>1338</v>
      </c>
    </row>
    <row r="15" spans="1:7" x14ac:dyDescent="0.25">
      <c r="A15" s="80" t="s">
        <v>1345</v>
      </c>
      <c r="B15" s="84"/>
      <c r="C15" s="84"/>
      <c r="D15" s="84"/>
      <c r="E15" s="84"/>
      <c r="F15" s="84"/>
      <c r="G15" s="85"/>
    </row>
    <row r="16" spans="1:7" ht="24" x14ac:dyDescent="0.25">
      <c r="A16" s="9" t="s">
        <v>83</v>
      </c>
      <c r="B16" s="5" t="str">
        <f>SelectedPersona</f>
        <v>P03</v>
      </c>
      <c r="C16" s="6" t="str">
        <f>IFERROR(INDEX(Personas!B$3:B$52,MATCH($B$16,Personas!$A$3:$A$52,0)),"")</f>
        <v>Daniel Koh</v>
      </c>
      <c r="D16" s="6" t="str">
        <f>IFERROR(INDEX(Personas!F$3:F$52,MATCH($B$16,Personas!$A$3:$A$52,0)),"")&amp;" / "&amp;PLU_currency</f>
        <v>Singapore / SGD</v>
      </c>
      <c r="E16" s="1" t="s">
        <v>1346</v>
      </c>
    </row>
    <row r="17" spans="1:7" ht="36" x14ac:dyDescent="0.25">
      <c r="A17" s="29" t="s">
        <v>536</v>
      </c>
      <c r="B17" s="39">
        <f>FX_usdPerLocal</f>
        <v>0.74</v>
      </c>
      <c r="C17" s="1" t="s">
        <v>1347</v>
      </c>
    </row>
    <row r="19" spans="1:7" x14ac:dyDescent="0.25">
      <c r="A19" s="2" t="s">
        <v>1329</v>
      </c>
      <c r="B19" s="2" t="s">
        <v>1348</v>
      </c>
      <c r="C19" s="2" t="s">
        <v>1349</v>
      </c>
      <c r="D19" s="2" t="s">
        <v>1330</v>
      </c>
      <c r="E19" s="2" t="s">
        <v>1331</v>
      </c>
      <c r="F19" s="2" t="s">
        <v>1350</v>
      </c>
      <c r="G19" s="2" t="s">
        <v>1351</v>
      </c>
    </row>
    <row r="20" spans="1:7" x14ac:dyDescent="0.25">
      <c r="A20" s="58" t="s">
        <v>139</v>
      </c>
      <c r="B20" s="20">
        <f>PLU_incomeMonthly</f>
        <v>7140</v>
      </c>
      <c r="C20" s="20">
        <f>FX_incomeMonthly</f>
        <v>5283.6</v>
      </c>
      <c r="D20" s="30">
        <f t="shared" ref="D20:E27" si="0">B6</f>
        <v>200</v>
      </c>
      <c r="E20" s="30">
        <f t="shared" si="0"/>
        <v>100000</v>
      </c>
      <c r="F20" s="19" t="str">
        <f>IF(FX_usdPerLocal="","no FX",IF(OR(C20&lt;D20,C20&gt;E20),"FAIL","OK"))</f>
        <v>OK</v>
      </c>
      <c r="G20" s="10" t="str">
        <f>IF(FX_usdPerLocal="","Set Personas currency to a row on the FX tab.",IF(C20&lt;D20,"below min USD",IF(C20&gt;E20,"above max USD","inside USD band")))</f>
        <v>inside USD band</v>
      </c>
    </row>
    <row r="21" spans="1:7" x14ac:dyDescent="0.25">
      <c r="A21" s="58" t="s">
        <v>143</v>
      </c>
      <c r="B21" s="20">
        <f>PLU_expenseMonthly</f>
        <v>4141.2</v>
      </c>
      <c r="C21" s="20">
        <f>FX_expenseMonthly</f>
        <v>3064.4879999999998</v>
      </c>
      <c r="D21" s="30">
        <f t="shared" si="0"/>
        <v>80</v>
      </c>
      <c r="E21" s="30">
        <f t="shared" si="0"/>
        <v>80000</v>
      </c>
      <c r="F21" s="19" t="str">
        <f>IF(FX_usdPerLocal="","no FX",IF(OR(C21&lt;D21,C21&gt;E21),"FAIL","OK"))</f>
        <v>OK</v>
      </c>
      <c r="G21" s="10" t="str">
        <f>IF(FX_usdPerLocal="","Set Personas currency to a row on the FX tab.",IF(C21&lt;D21,"below min USD",IF(C21&gt;E21,"above max USD","inside USD band")))</f>
        <v>inside USD band</v>
      </c>
    </row>
    <row r="22" spans="1:7" x14ac:dyDescent="0.25">
      <c r="A22" s="58" t="s">
        <v>145</v>
      </c>
      <c r="B22" s="20">
        <f>PLU_cash</f>
        <v>18378</v>
      </c>
      <c r="C22" s="20">
        <f>FX_cash</f>
        <v>13599.72</v>
      </c>
      <c r="D22" s="30">
        <f t="shared" si="0"/>
        <v>0</v>
      </c>
      <c r="E22" s="30">
        <f t="shared" si="0"/>
        <v>20000000</v>
      </c>
      <c r="F22" s="19" t="str">
        <f>IF(FX_usdPerLocal="","no FX",IF(OR(C22&lt;D22,C22&gt;E22),"FAIL","OK"))</f>
        <v>OK</v>
      </c>
      <c r="G22" s="10" t="str">
        <f>IF(FX_usdPerLocal="","Set Personas currency to a row on the FX tab.",IF(C22&lt;D22,"below min USD",IF(C22&gt;E22,"above max USD","inside USD band")))</f>
        <v>inside USD band</v>
      </c>
    </row>
    <row r="23" spans="1:7" x14ac:dyDescent="0.25">
      <c r="A23" s="58" t="s">
        <v>147</v>
      </c>
      <c r="B23" s="20">
        <f>PLU_investments</f>
        <v>104144</v>
      </c>
      <c r="C23" s="20">
        <f>FX_investments</f>
        <v>77066.559999999998</v>
      </c>
      <c r="D23" s="30">
        <f t="shared" si="0"/>
        <v>0</v>
      </c>
      <c r="E23" s="30">
        <f t="shared" si="0"/>
        <v>20000000</v>
      </c>
      <c r="F23" s="19" t="str">
        <f>IF(FX_usdPerLocal="","no FX",IF(OR(C23&lt;D23,C23&gt;E23),"FAIL","OK"))</f>
        <v>OK</v>
      </c>
      <c r="G23" s="10" t="str">
        <f>IF(FX_usdPerLocal="","Set Personas currency to a row on the FX tab.",IF(C23&lt;D23,"below min USD",IF(C23&gt;E23,"above max USD","inside USD band")))</f>
        <v>inside USD band</v>
      </c>
    </row>
    <row r="24" spans="1:7" x14ac:dyDescent="0.25">
      <c r="A24" s="58" t="s">
        <v>148</v>
      </c>
      <c r="B24" s="20">
        <f>PLU_property</f>
        <v>350000</v>
      </c>
      <c r="C24" s="20">
        <f>FX_property</f>
        <v>259000</v>
      </c>
      <c r="D24" s="30">
        <f t="shared" si="0"/>
        <v>0</v>
      </c>
      <c r="E24" s="30">
        <f t="shared" si="0"/>
        <v>50000000</v>
      </c>
      <c r="F24" s="19" t="str">
        <f>IF(FX_usdPerLocal="","no FX",IF(OR(C24&lt;D24,C24&gt;E24),"FAIL","OK"))</f>
        <v>OK</v>
      </c>
      <c r="G24" s="10" t="str">
        <f>IF(FX_usdPerLocal="","Set Personas currency to a row on the FX tab.",IF(C24&lt;D24,"below min USD",IF(C24&gt;E24,"above max USD","inside USD band")))</f>
        <v>inside USD band</v>
      </c>
    </row>
    <row r="25" spans="1:7" x14ac:dyDescent="0.25">
      <c r="A25" s="58" t="s">
        <v>150</v>
      </c>
      <c r="B25" s="20">
        <f>PLU_mortgage</f>
        <v>192500</v>
      </c>
      <c r="C25" s="20">
        <f>FX_mortgage</f>
        <v>142450</v>
      </c>
      <c r="D25" s="30">
        <f t="shared" si="0"/>
        <v>0</v>
      </c>
      <c r="E25" s="30">
        <f t="shared" si="0"/>
        <v>50000000</v>
      </c>
      <c r="F25" s="19" t="str">
        <f>IF(FX_usdPerLocal="","no FX",IF(OR(C25&lt;D25,C25&gt;E25,AND(C25&gt;C24,C24&gt;0)),"FAIL","OK"))</f>
        <v>OK</v>
      </c>
      <c r="G25" s="10" t="str">
        <f>IF(FX_usdPerLocal="","Set Personas currency to a row on the FX tab.",IF(AND(C25&gt;C24,C24&gt;0),"mortgage USD &gt; property USD",IF(C25&lt;D25,"below min USD",IF(C25&gt;E25,"above max USD","inside USD band"))))</f>
        <v>inside USD band</v>
      </c>
    </row>
    <row r="26" spans="1:7" x14ac:dyDescent="0.25">
      <c r="A26" s="58" t="s">
        <v>151</v>
      </c>
      <c r="B26" s="20">
        <f>PLU_liabilities</f>
        <v>85765.680000000008</v>
      </c>
      <c r="C26" s="20">
        <f>FX_liabilities</f>
        <v>63466.603200000005</v>
      </c>
      <c r="D26" s="30">
        <f t="shared" si="0"/>
        <v>0</v>
      </c>
      <c r="E26" s="30">
        <f t="shared" si="0"/>
        <v>20000000</v>
      </c>
      <c r="F26" s="19" t="str">
        <f>IF(FX_usdPerLocal="","no FX",IF(OR(C26&lt;D26,C26&gt;E26),"FAIL","OK"))</f>
        <v>OK</v>
      </c>
      <c r="G26" s="10" t="str">
        <f>IF(FX_usdPerLocal="","Set Personas currency to a row on the FX tab.",IF(C26&lt;D26,"below min USD",IF(C26&gt;E26,"above max USD","inside USD band")))</f>
        <v>inside USD band</v>
      </c>
    </row>
    <row r="27" spans="1:7" x14ac:dyDescent="0.25">
      <c r="A27" s="58" t="s">
        <v>153</v>
      </c>
      <c r="B27" s="20">
        <f>PLU_lifeSum</f>
        <v>428400</v>
      </c>
      <c r="C27" s="20">
        <f>FX_lifeSum</f>
        <v>317016</v>
      </c>
      <c r="D27" s="30">
        <f t="shared" si="0"/>
        <v>0</v>
      </c>
      <c r="E27" s="30">
        <f t="shared" si="0"/>
        <v>20000000</v>
      </c>
      <c r="F27" s="19" t="str">
        <f>IF(FX_usdPerLocal="","no FX",IF(OR(C27&lt;D27,C27&gt;E27),"FAIL","OK"))</f>
        <v>OK</v>
      </c>
      <c r="G27" s="10" t="str">
        <f>IF(FX_usdPerLocal="","Set Personas currency to a row on the FX tab.",IF(C27&lt;D27,"below min USD",IF(C27&gt;E27,"above max USD","inside USD band")))</f>
        <v>inside USD band</v>
      </c>
    </row>
    <row r="29" spans="1:7" x14ac:dyDescent="0.25">
      <c r="A29" s="59" t="s">
        <v>1352</v>
      </c>
      <c r="B29" s="19" t="str">
        <f>IF(COUNTIF(F20:F27,"FAIL")&gt;0,"FAIL",IF(COUNTIF(F20:F27,"no FX")&gt;0,"no FX","OK"))</f>
        <v>OK</v>
      </c>
    </row>
  </sheetData>
  <mergeCells count="4">
    <mergeCell ref="A2:G2"/>
    <mergeCell ref="A4:E4"/>
    <mergeCell ref="A1:G1"/>
    <mergeCell ref="A15:G15"/>
  </mergeCells>
  <conditionalFormatting sqref="B29">
    <cfRule type="expression" dxfId="3" priority="17">
      <formula>B29="FAIL"</formula>
    </cfRule>
    <cfRule type="expression" dxfId="2" priority="18">
      <formula>B29="OK"</formula>
    </cfRule>
  </conditionalFormatting>
  <conditionalFormatting sqref="F20:F27">
    <cfRule type="expression" dxfId="1" priority="1">
      <formula>F20="FAIL"</formula>
    </cfRule>
    <cfRule type="expression" dxfId="0" priority="2">
      <formula>F20="OK"</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6F6A"/>
  </sheetPr>
  <dimension ref="A1:AB193"/>
  <sheetViews>
    <sheetView workbookViewId="0">
      <pane ySplit="2" topLeftCell="A29" activePane="bottomLeft" state="frozen"/>
      <selection pane="bottomLeft" activeCell="A64" sqref="A64"/>
    </sheetView>
  </sheetViews>
  <sheetFormatPr defaultRowHeight="15" x14ac:dyDescent="0.25"/>
  <cols>
    <col min="1" max="1" width="52" customWidth="1"/>
    <col min="2" max="2" width="16" customWidth="1"/>
    <col min="3" max="3" width="56" customWidth="1"/>
    <col min="4" max="4" width="14" customWidth="1"/>
    <col min="5" max="5" width="36" customWidth="1"/>
    <col min="6" max="7" width="14" customWidth="1"/>
    <col min="8" max="8" width="16" customWidth="1"/>
    <col min="9" max="9" width="22" customWidth="1"/>
    <col min="10" max="11" width="16" customWidth="1"/>
  </cols>
  <sheetData>
    <row r="1" spans="1:12" ht="21.95" customHeight="1" x14ac:dyDescent="0.25">
      <c r="A1" s="77" t="s">
        <v>1353</v>
      </c>
      <c r="B1" s="74"/>
      <c r="C1" s="74"/>
      <c r="D1" s="74"/>
      <c r="E1" s="74"/>
      <c r="F1" s="74"/>
      <c r="G1" s="74"/>
    </row>
    <row r="2" spans="1:12" ht="32.1" customHeight="1" x14ac:dyDescent="0.25">
      <c r="A2" s="75" t="s">
        <v>1354</v>
      </c>
      <c r="B2" s="74"/>
      <c r="C2" s="74"/>
      <c r="D2" s="74"/>
      <c r="E2" s="74"/>
      <c r="F2" s="74"/>
      <c r="G2" s="74"/>
    </row>
    <row r="4" spans="1:12" x14ac:dyDescent="0.25">
      <c r="A4" s="76" t="s">
        <v>1355</v>
      </c>
      <c r="B4" s="74"/>
      <c r="C4" s="74"/>
      <c r="E4" s="76" t="s">
        <v>1356</v>
      </c>
      <c r="F4" s="74"/>
      <c r="G4" s="74"/>
      <c r="I4" s="78" t="s">
        <v>1357</v>
      </c>
      <c r="J4" s="74"/>
      <c r="K4" s="74"/>
      <c r="L4" s="74"/>
    </row>
    <row r="5" spans="1:12" x14ac:dyDescent="0.25">
      <c r="A5" s="3" t="s">
        <v>727</v>
      </c>
      <c r="B5" s="60">
        <v>2.3E-2</v>
      </c>
      <c r="E5" s="2" t="s">
        <v>107</v>
      </c>
      <c r="F5" s="2" t="s">
        <v>1358</v>
      </c>
      <c r="G5" s="2" t="s">
        <v>1359</v>
      </c>
      <c r="I5" s="74"/>
      <c r="J5" s="74"/>
      <c r="K5" s="74"/>
      <c r="L5" s="74"/>
    </row>
    <row r="6" spans="1:12" x14ac:dyDescent="0.25">
      <c r="A6" s="3" t="s">
        <v>1360</v>
      </c>
      <c r="B6" s="60">
        <v>1.2E-2</v>
      </c>
      <c r="E6" s="3" t="s">
        <v>192</v>
      </c>
      <c r="F6" s="61">
        <v>5600</v>
      </c>
      <c r="G6" s="61">
        <v>9800</v>
      </c>
      <c r="H6" s="62" t="s">
        <v>1361</v>
      </c>
      <c r="I6" s="74"/>
      <c r="J6" s="74"/>
      <c r="K6" s="74"/>
      <c r="L6" s="74"/>
    </row>
    <row r="7" spans="1:12" x14ac:dyDescent="0.25">
      <c r="A7" s="3" t="s">
        <v>1362</v>
      </c>
      <c r="B7" s="60">
        <v>3.5000000000000003E-2</v>
      </c>
      <c r="E7" s="3" t="s">
        <v>215</v>
      </c>
      <c r="F7" s="61">
        <v>7500</v>
      </c>
      <c r="G7" s="61">
        <v>18000</v>
      </c>
      <c r="H7" s="62" t="s">
        <v>1363</v>
      </c>
    </row>
    <row r="8" spans="1:12" ht="24" x14ac:dyDescent="0.25">
      <c r="A8" s="3" t="s">
        <v>1364</v>
      </c>
      <c r="B8" s="60">
        <v>2.8000000000000001E-2</v>
      </c>
      <c r="E8" s="3" t="s">
        <v>230</v>
      </c>
      <c r="F8" s="61">
        <v>11200</v>
      </c>
      <c r="G8" s="61">
        <v>28000</v>
      </c>
      <c r="H8" s="62" t="s">
        <v>1365</v>
      </c>
    </row>
    <row r="9" spans="1:12" x14ac:dyDescent="0.25">
      <c r="A9" s="3" t="s">
        <v>729</v>
      </c>
      <c r="B9" s="60">
        <v>4.2000000000000003E-2</v>
      </c>
      <c r="E9" s="3" t="s">
        <v>208</v>
      </c>
      <c r="F9" s="61">
        <v>7000</v>
      </c>
      <c r="G9" s="61">
        <v>14000</v>
      </c>
      <c r="H9" s="62" t="s">
        <v>1366</v>
      </c>
    </row>
    <row r="10" spans="1:12" x14ac:dyDescent="0.25">
      <c r="A10" s="3" t="s">
        <v>1367</v>
      </c>
      <c r="B10" s="60">
        <v>0.03</v>
      </c>
      <c r="E10" s="3" t="s">
        <v>223</v>
      </c>
      <c r="F10" s="61">
        <v>10400</v>
      </c>
      <c r="G10" s="61">
        <v>26000</v>
      </c>
      <c r="H10" s="62" t="s">
        <v>1368</v>
      </c>
    </row>
    <row r="11" spans="1:12" x14ac:dyDescent="0.25">
      <c r="A11" s="3" t="s">
        <v>1369</v>
      </c>
      <c r="B11" s="63">
        <f>MAX(0,(1+investmentReturn)/(1+inflationRate)-1)</f>
        <v>1.8572825024438133E-2</v>
      </c>
      <c r="C11" s="64" t="s">
        <v>1370</v>
      </c>
      <c r="E11" s="3" t="s">
        <v>179</v>
      </c>
      <c r="F11" s="61">
        <v>4200</v>
      </c>
      <c r="G11" s="61">
        <v>8400</v>
      </c>
      <c r="H11" s="62" t="s">
        <v>179</v>
      </c>
    </row>
    <row r="12" spans="1:12" x14ac:dyDescent="0.25">
      <c r="E12" s="3" t="s">
        <v>202</v>
      </c>
      <c r="F12" s="61">
        <v>5600</v>
      </c>
      <c r="G12" s="61">
        <v>11200</v>
      </c>
      <c r="H12" s="62" t="s">
        <v>202</v>
      </c>
    </row>
    <row r="13" spans="1:12" ht="36" x14ac:dyDescent="0.25">
      <c r="A13" s="76" t="s">
        <v>1371</v>
      </c>
      <c r="B13" s="74"/>
      <c r="C13" s="74"/>
      <c r="E13" s="3" t="s">
        <v>235</v>
      </c>
      <c r="F13" s="61">
        <v>16800</v>
      </c>
      <c r="G13" s="61">
        <v>42000</v>
      </c>
      <c r="H13" s="62" t="s">
        <v>1372</v>
      </c>
    </row>
    <row r="14" spans="1:12" x14ac:dyDescent="0.25">
      <c r="A14" s="3" t="s">
        <v>930</v>
      </c>
      <c r="B14" s="38">
        <v>65</v>
      </c>
    </row>
    <row r="15" spans="1:12" x14ac:dyDescent="0.25">
      <c r="A15" s="3" t="s">
        <v>451</v>
      </c>
      <c r="B15" s="38">
        <v>85</v>
      </c>
    </row>
    <row r="16" spans="1:12" x14ac:dyDescent="0.25">
      <c r="A16" s="3" t="s">
        <v>1373</v>
      </c>
      <c r="B16" s="38">
        <v>2026</v>
      </c>
    </row>
    <row r="17" spans="1:9" x14ac:dyDescent="0.25">
      <c r="A17" s="3" t="s">
        <v>1374</v>
      </c>
      <c r="B17" s="38">
        <v>85</v>
      </c>
    </row>
    <row r="19" spans="1:9" x14ac:dyDescent="0.25">
      <c r="A19" s="76" t="s">
        <v>1375</v>
      </c>
      <c r="B19" s="74"/>
      <c r="C19" s="74"/>
    </row>
    <row r="20" spans="1:9" x14ac:dyDescent="0.25">
      <c r="E20" s="76" t="s">
        <v>1376</v>
      </c>
      <c r="F20" s="74"/>
      <c r="G20" s="74"/>
      <c r="H20" s="74"/>
      <c r="I20" s="74"/>
    </row>
    <row r="21" spans="1:9" x14ac:dyDescent="0.25">
      <c r="A21" s="76" t="s">
        <v>1377</v>
      </c>
      <c r="B21" s="74"/>
      <c r="C21" s="74"/>
      <c r="E21" s="2" t="s">
        <v>158</v>
      </c>
      <c r="F21" s="2" t="s">
        <v>1378</v>
      </c>
      <c r="G21" s="2" t="s">
        <v>1379</v>
      </c>
      <c r="H21" s="2" t="s">
        <v>1380</v>
      </c>
      <c r="I21" s="2" t="s">
        <v>1381</v>
      </c>
    </row>
    <row r="22" spans="1:9" ht="25.5" x14ac:dyDescent="0.25">
      <c r="A22" s="3" t="s">
        <v>1382</v>
      </c>
      <c r="B22" s="61" t="s">
        <v>1288</v>
      </c>
      <c r="E22" s="3" t="s">
        <v>1075</v>
      </c>
      <c r="F22" s="3" t="s">
        <v>1383</v>
      </c>
      <c r="G22" s="3" t="s">
        <v>1384</v>
      </c>
      <c r="H22" s="3" t="s">
        <v>1385</v>
      </c>
      <c r="I22" s="3" t="s">
        <v>1386</v>
      </c>
    </row>
    <row r="23" spans="1:9" ht="25.5" x14ac:dyDescent="0.25">
      <c r="A23" s="3" t="s">
        <v>1387</v>
      </c>
      <c r="B23" s="38" t="s">
        <v>217</v>
      </c>
      <c r="E23" s="3" t="s">
        <v>1388</v>
      </c>
      <c r="F23" s="3" t="s">
        <v>1389</v>
      </c>
      <c r="G23" s="3" t="s">
        <v>1390</v>
      </c>
      <c r="H23" s="3" t="s">
        <v>1391</v>
      </c>
      <c r="I23" s="3" t="s">
        <v>1392</v>
      </c>
    </row>
    <row r="24" spans="1:9" ht="25.5" x14ac:dyDescent="0.25">
      <c r="A24" s="3" t="s">
        <v>1393</v>
      </c>
      <c r="B24" s="38" t="b">
        <v>0</v>
      </c>
      <c r="E24" s="3" t="s">
        <v>1394</v>
      </c>
      <c r="F24" s="3" t="s">
        <v>1395</v>
      </c>
      <c r="G24" s="3" t="s">
        <v>1396</v>
      </c>
      <c r="H24" s="3" t="s">
        <v>1397</v>
      </c>
      <c r="I24" s="3" t="s">
        <v>1398</v>
      </c>
    </row>
    <row r="25" spans="1:9" ht="25.5" x14ac:dyDescent="0.25">
      <c r="E25" s="3" t="s">
        <v>1399</v>
      </c>
      <c r="F25" s="3" t="s">
        <v>1400</v>
      </c>
      <c r="G25" s="3" t="s">
        <v>1401</v>
      </c>
      <c r="H25" s="3" t="s">
        <v>1402</v>
      </c>
      <c r="I25" s="3" t="s">
        <v>1403</v>
      </c>
    </row>
    <row r="26" spans="1:9" x14ac:dyDescent="0.25">
      <c r="E26" s="3" t="s">
        <v>1404</v>
      </c>
      <c r="F26" s="3" t="s">
        <v>1405</v>
      </c>
      <c r="G26" s="3" t="s">
        <v>1406</v>
      </c>
      <c r="H26" s="3" t="s">
        <v>1407</v>
      </c>
      <c r="I26" s="3" t="s">
        <v>1408</v>
      </c>
    </row>
    <row r="27" spans="1:9" x14ac:dyDescent="0.25">
      <c r="A27" s="76" t="s">
        <v>1409</v>
      </c>
      <c r="B27" s="74"/>
      <c r="C27" s="74"/>
      <c r="E27" s="3" t="s">
        <v>1410</v>
      </c>
      <c r="F27" s="3" t="s">
        <v>1411</v>
      </c>
      <c r="G27" s="3" t="s">
        <v>1412</v>
      </c>
      <c r="H27" s="3" t="s">
        <v>1413</v>
      </c>
      <c r="I27" s="3" t="s">
        <v>1414</v>
      </c>
    </row>
    <row r="28" spans="1:9" ht="38.25" x14ac:dyDescent="0.25">
      <c r="A28" s="3" t="s">
        <v>733</v>
      </c>
      <c r="B28" s="60">
        <v>0.75</v>
      </c>
      <c r="E28" s="3" t="s">
        <v>1415</v>
      </c>
      <c r="F28" s="3" t="s">
        <v>1416</v>
      </c>
      <c r="G28" s="3" t="s">
        <v>1417</v>
      </c>
      <c r="H28" s="3" t="s">
        <v>1418</v>
      </c>
      <c r="I28" s="3" t="s">
        <v>1414</v>
      </c>
    </row>
    <row r="29" spans="1:9" ht="25.5" x14ac:dyDescent="0.25">
      <c r="A29" s="3" t="s">
        <v>735</v>
      </c>
      <c r="B29" s="60">
        <v>1</v>
      </c>
      <c r="E29" s="3" t="s">
        <v>1419</v>
      </c>
      <c r="F29" s="3" t="s">
        <v>1420</v>
      </c>
      <c r="G29" s="3" t="s">
        <v>1421</v>
      </c>
      <c r="H29" s="3" t="s">
        <v>1422</v>
      </c>
      <c r="I29" s="3" t="s">
        <v>1414</v>
      </c>
    </row>
    <row r="30" spans="1:9" x14ac:dyDescent="0.25">
      <c r="A30" s="3" t="s">
        <v>737</v>
      </c>
      <c r="B30" s="60">
        <v>1.25</v>
      </c>
      <c r="E30" s="3" t="s">
        <v>1423</v>
      </c>
      <c r="F30" s="3" t="s">
        <v>1424</v>
      </c>
      <c r="G30" s="3" t="s">
        <v>1425</v>
      </c>
      <c r="H30" s="3" t="s">
        <v>1426</v>
      </c>
      <c r="I30" s="3" t="s">
        <v>1427</v>
      </c>
    </row>
    <row r="31" spans="1:9" ht="25.5" x14ac:dyDescent="0.25">
      <c r="A31" s="3" t="s">
        <v>1428</v>
      </c>
      <c r="B31" s="38">
        <v>10</v>
      </c>
      <c r="E31" s="3" t="s">
        <v>1429</v>
      </c>
      <c r="F31" s="3" t="s">
        <v>1430</v>
      </c>
      <c r="G31" s="3" t="s">
        <v>1431</v>
      </c>
      <c r="H31" s="3" t="s">
        <v>1432</v>
      </c>
      <c r="I31" s="3" t="s">
        <v>1433</v>
      </c>
    </row>
    <row r="32" spans="1:9" ht="25.5" x14ac:dyDescent="0.25">
      <c r="A32" s="3" t="s">
        <v>1434</v>
      </c>
      <c r="B32" s="38">
        <v>25</v>
      </c>
      <c r="E32" s="3" t="s">
        <v>1435</v>
      </c>
      <c r="F32" s="3" t="s">
        <v>1436</v>
      </c>
      <c r="G32" s="3" t="s">
        <v>1437</v>
      </c>
      <c r="H32" s="3" t="s">
        <v>1438</v>
      </c>
      <c r="I32" s="3" t="s">
        <v>1439</v>
      </c>
    </row>
    <row r="33" spans="1:9" x14ac:dyDescent="0.25">
      <c r="A33" s="3" t="s">
        <v>1440</v>
      </c>
      <c r="B33" s="38">
        <v>50</v>
      </c>
      <c r="E33" s="3" t="s">
        <v>1441</v>
      </c>
      <c r="F33" s="3" t="s">
        <v>1442</v>
      </c>
      <c r="G33" s="3" t="s">
        <v>1443</v>
      </c>
      <c r="H33" s="3" t="s">
        <v>1444</v>
      </c>
      <c r="I33" s="3" t="s">
        <v>1439</v>
      </c>
    </row>
    <row r="34" spans="1:9" ht="25.5" x14ac:dyDescent="0.25">
      <c r="A34" s="3" t="s">
        <v>1445</v>
      </c>
      <c r="B34" s="38">
        <v>3</v>
      </c>
      <c r="E34" s="3" t="s">
        <v>1446</v>
      </c>
      <c r="F34" s="3" t="s">
        <v>1447</v>
      </c>
      <c r="G34" s="3" t="s">
        <v>1448</v>
      </c>
      <c r="H34" s="3" t="s">
        <v>1449</v>
      </c>
      <c r="I34" s="3" t="s">
        <v>1450</v>
      </c>
    </row>
    <row r="35" spans="1:9" x14ac:dyDescent="0.25">
      <c r="A35" s="3" t="s">
        <v>1451</v>
      </c>
      <c r="B35" s="38">
        <v>148000</v>
      </c>
    </row>
    <row r="36" spans="1:9" x14ac:dyDescent="0.25">
      <c r="A36" s="3" t="s">
        <v>1452</v>
      </c>
      <c r="B36" s="38">
        <v>5</v>
      </c>
    </row>
    <row r="37" spans="1:9" x14ac:dyDescent="0.25">
      <c r="A37" s="3" t="s">
        <v>1453</v>
      </c>
      <c r="B37" s="38">
        <v>148000</v>
      </c>
    </row>
    <row r="38" spans="1:9" x14ac:dyDescent="0.25">
      <c r="A38" s="3" t="s">
        <v>745</v>
      </c>
      <c r="B38" s="38">
        <v>6</v>
      </c>
    </row>
    <row r="39" spans="1:9" x14ac:dyDescent="0.25">
      <c r="A39" s="3" t="s">
        <v>747</v>
      </c>
      <c r="B39" s="38">
        <v>55500</v>
      </c>
    </row>
    <row r="40" spans="1:9" x14ac:dyDescent="0.25">
      <c r="A40" s="3" t="s">
        <v>1454</v>
      </c>
      <c r="B40" s="38">
        <v>10</v>
      </c>
    </row>
    <row r="41" spans="1:9" x14ac:dyDescent="0.25">
      <c r="A41" s="3" t="s">
        <v>749</v>
      </c>
      <c r="B41" s="38">
        <v>1</v>
      </c>
    </row>
    <row r="42" spans="1:9" x14ac:dyDescent="0.25">
      <c r="A42" s="3" t="s">
        <v>751</v>
      </c>
      <c r="B42" s="38">
        <v>5</v>
      </c>
    </row>
    <row r="44" spans="1:9" x14ac:dyDescent="0.25">
      <c r="A44" s="76" t="s">
        <v>1455</v>
      </c>
      <c r="B44" s="74"/>
      <c r="C44" s="74"/>
    </row>
    <row r="45" spans="1:9" x14ac:dyDescent="0.25">
      <c r="A45" s="3" t="s">
        <v>420</v>
      </c>
      <c r="B45" s="60">
        <v>0.67500000000000004</v>
      </c>
    </row>
    <row r="46" spans="1:9" x14ac:dyDescent="0.25">
      <c r="A46" s="3" t="s">
        <v>422</v>
      </c>
      <c r="B46" s="60">
        <v>0.05</v>
      </c>
    </row>
    <row r="47" spans="1:9" x14ac:dyDescent="0.25">
      <c r="A47" s="3" t="s">
        <v>424</v>
      </c>
      <c r="B47" s="60">
        <v>0.9</v>
      </c>
    </row>
    <row r="48" spans="1:9" x14ac:dyDescent="0.25">
      <c r="A48" s="3" t="s">
        <v>426</v>
      </c>
      <c r="B48" s="60">
        <v>0.5</v>
      </c>
    </row>
    <row r="49" spans="1:3" x14ac:dyDescent="0.25">
      <c r="A49" s="3" t="s">
        <v>428</v>
      </c>
      <c r="B49" s="38">
        <v>21</v>
      </c>
    </row>
    <row r="50" spans="1:3" x14ac:dyDescent="0.25">
      <c r="A50" s="3" t="s">
        <v>1456</v>
      </c>
      <c r="B50" s="60">
        <v>0.7</v>
      </c>
    </row>
    <row r="51" spans="1:3" x14ac:dyDescent="0.25">
      <c r="A51" s="3" t="s">
        <v>430</v>
      </c>
      <c r="B51" s="60">
        <v>0.15</v>
      </c>
    </row>
    <row r="52" spans="1:3" x14ac:dyDescent="0.25">
      <c r="A52" s="3" t="s">
        <v>432</v>
      </c>
      <c r="B52" s="60">
        <v>0.85</v>
      </c>
    </row>
    <row r="53" spans="1:3" x14ac:dyDescent="0.25">
      <c r="A53" s="3" t="s">
        <v>436</v>
      </c>
      <c r="B53" s="38">
        <v>259000</v>
      </c>
    </row>
    <row r="54" spans="1:3" x14ac:dyDescent="0.25">
      <c r="A54" s="3" t="s">
        <v>438</v>
      </c>
      <c r="B54" s="38">
        <v>481000</v>
      </c>
    </row>
    <row r="55" spans="1:3" x14ac:dyDescent="0.25">
      <c r="A55" s="3" t="s">
        <v>440</v>
      </c>
      <c r="B55" s="38">
        <v>629000</v>
      </c>
    </row>
    <row r="56" spans="1:3" x14ac:dyDescent="0.25">
      <c r="A56" s="3" t="s">
        <v>1457</v>
      </c>
      <c r="B56" s="38">
        <v>7400</v>
      </c>
    </row>
    <row r="57" spans="1:3" x14ac:dyDescent="0.25">
      <c r="A57" s="3" t="s">
        <v>1458</v>
      </c>
      <c r="B57" s="38">
        <v>14800</v>
      </c>
    </row>
    <row r="58" spans="1:3" x14ac:dyDescent="0.25">
      <c r="A58" s="3" t="s">
        <v>445</v>
      </c>
      <c r="B58" s="60">
        <v>0.55000000000000004</v>
      </c>
    </row>
    <row r="59" spans="1:3" x14ac:dyDescent="0.25">
      <c r="A59" s="3" t="s">
        <v>447</v>
      </c>
      <c r="B59" s="65">
        <v>3.0999999999999999E-3</v>
      </c>
    </row>
    <row r="60" spans="1:3" x14ac:dyDescent="0.25">
      <c r="A60" s="3" t="s">
        <v>1459</v>
      </c>
      <c r="B60" s="38">
        <v>74000</v>
      </c>
    </row>
    <row r="62" spans="1:3" x14ac:dyDescent="0.25">
      <c r="A62" s="76" t="s">
        <v>1460</v>
      </c>
      <c r="B62" s="74"/>
      <c r="C62" s="74"/>
    </row>
    <row r="63" spans="1:3" x14ac:dyDescent="0.25">
      <c r="A63" s="3" t="s">
        <v>806</v>
      </c>
      <c r="B63" s="65">
        <v>7.7999999999999999E-4</v>
      </c>
    </row>
    <row r="64" spans="1:3" x14ac:dyDescent="0.25">
      <c r="A64" s="3" t="s">
        <v>808</v>
      </c>
      <c r="B64" s="60">
        <v>0.5</v>
      </c>
    </row>
    <row r="65" spans="1:3" x14ac:dyDescent="0.25">
      <c r="A65" s="3" t="s">
        <v>1461</v>
      </c>
      <c r="B65" s="38">
        <v>740</v>
      </c>
    </row>
    <row r="66" spans="1:3" x14ac:dyDescent="0.25">
      <c r="A66" s="3" t="s">
        <v>1462</v>
      </c>
      <c r="B66" s="38">
        <v>37</v>
      </c>
    </row>
    <row r="67" spans="1:3" x14ac:dyDescent="0.25">
      <c r="A67" s="3" t="s">
        <v>1463</v>
      </c>
      <c r="B67" s="66">
        <v>7.4</v>
      </c>
    </row>
    <row r="68" spans="1:3" x14ac:dyDescent="0.25">
      <c r="A68" s="3" t="s">
        <v>1464</v>
      </c>
      <c r="B68" s="38">
        <v>148</v>
      </c>
    </row>
    <row r="70" spans="1:3" x14ac:dyDescent="0.25">
      <c r="A70" s="76" t="s">
        <v>1465</v>
      </c>
      <c r="B70" s="74"/>
      <c r="C70" s="74"/>
    </row>
    <row r="71" spans="1:3" x14ac:dyDescent="0.25">
      <c r="A71" s="3" t="s">
        <v>1466</v>
      </c>
      <c r="B71" s="38">
        <v>1110</v>
      </c>
    </row>
    <row r="72" spans="1:3" x14ac:dyDescent="0.25">
      <c r="A72" s="3" t="s">
        <v>1467</v>
      </c>
      <c r="B72" s="38">
        <v>148</v>
      </c>
    </row>
    <row r="73" spans="1:3" x14ac:dyDescent="0.25">
      <c r="A73" s="3" t="s">
        <v>1468</v>
      </c>
      <c r="B73" s="60">
        <v>0.05</v>
      </c>
    </row>
    <row r="74" spans="1:3" x14ac:dyDescent="0.25">
      <c r="A74" s="3" t="s">
        <v>1469</v>
      </c>
      <c r="B74" s="38">
        <v>37000</v>
      </c>
    </row>
    <row r="75" spans="1:3" x14ac:dyDescent="0.25">
      <c r="A75" s="3" t="s">
        <v>1470</v>
      </c>
      <c r="B75" s="38">
        <v>200</v>
      </c>
    </row>
    <row r="76" spans="1:3" x14ac:dyDescent="0.25">
      <c r="A76" s="3" t="s">
        <v>1471</v>
      </c>
      <c r="B76" s="38">
        <v>7400</v>
      </c>
    </row>
    <row r="77" spans="1:3" x14ac:dyDescent="0.25">
      <c r="A77" s="3" t="s">
        <v>1472</v>
      </c>
      <c r="B77" s="38">
        <v>148000</v>
      </c>
    </row>
    <row r="79" spans="1:3" x14ac:dyDescent="0.25">
      <c r="A79" s="76" t="s">
        <v>1473</v>
      </c>
      <c r="B79" s="74"/>
      <c r="C79" s="74"/>
    </row>
    <row r="80" spans="1:3" x14ac:dyDescent="0.25">
      <c r="A80" s="3" t="s">
        <v>1474</v>
      </c>
      <c r="B80" s="60">
        <v>0.03</v>
      </c>
    </row>
    <row r="81" spans="1:13" x14ac:dyDescent="0.25">
      <c r="A81" s="3" t="s">
        <v>1475</v>
      </c>
      <c r="B81" s="60">
        <v>3.5000000000000003E-2</v>
      </c>
    </row>
    <row r="82" spans="1:13" x14ac:dyDescent="0.25">
      <c r="A82" s="3" t="s">
        <v>1476</v>
      </c>
      <c r="B82" s="60">
        <v>4.2000000000000003E-2</v>
      </c>
    </row>
    <row r="83" spans="1:13" x14ac:dyDescent="0.25">
      <c r="A83" s="3" t="s">
        <v>1477</v>
      </c>
      <c r="B83" s="60">
        <v>0.05</v>
      </c>
    </row>
    <row r="84" spans="1:13" x14ac:dyDescent="0.25">
      <c r="A84" s="3" t="s">
        <v>1478</v>
      </c>
      <c r="B84" s="60">
        <v>5.5E-2</v>
      </c>
    </row>
    <row r="85" spans="1:13" x14ac:dyDescent="0.25">
      <c r="A85" s="3" t="s">
        <v>1479</v>
      </c>
      <c r="B85" s="38">
        <v>3</v>
      </c>
    </row>
    <row r="88" spans="1:13" x14ac:dyDescent="0.25">
      <c r="A88" s="76" t="s">
        <v>1480</v>
      </c>
      <c r="B88" s="74"/>
      <c r="C88" s="74"/>
      <c r="D88" s="74"/>
      <c r="E88" s="74"/>
      <c r="F88" s="74"/>
      <c r="G88" s="74"/>
      <c r="H88" s="74"/>
      <c r="I88" s="74"/>
      <c r="J88" s="74"/>
      <c r="K88" s="74"/>
      <c r="L88" s="74"/>
      <c r="M88" s="74"/>
    </row>
    <row r="89" spans="1:13" ht="38.25" x14ac:dyDescent="0.25">
      <c r="A89" s="2" t="s">
        <v>1481</v>
      </c>
      <c r="B89" s="2" t="s">
        <v>1482</v>
      </c>
      <c r="C89" s="2" t="s">
        <v>1483</v>
      </c>
      <c r="D89" s="2" t="s">
        <v>1484</v>
      </c>
      <c r="E89" s="2" t="s">
        <v>1485</v>
      </c>
      <c r="F89" s="2" t="s">
        <v>1486</v>
      </c>
      <c r="G89" s="2" t="s">
        <v>1487</v>
      </c>
      <c r="H89" s="2" t="s">
        <v>1488</v>
      </c>
      <c r="I89" s="2" t="s">
        <v>1489</v>
      </c>
      <c r="J89" s="2" t="s">
        <v>1490</v>
      </c>
      <c r="K89" s="2" t="s">
        <v>1491</v>
      </c>
      <c r="L89" s="2" t="s">
        <v>1492</v>
      </c>
      <c r="M89" s="2" t="s">
        <v>1493</v>
      </c>
    </row>
    <row r="90" spans="1:13" x14ac:dyDescent="0.25">
      <c r="A90" s="3" t="s">
        <v>1494</v>
      </c>
      <c r="B90" s="67">
        <v>0</v>
      </c>
      <c r="C90" s="67">
        <v>0</v>
      </c>
      <c r="D90" s="67">
        <v>0</v>
      </c>
      <c r="E90" s="67">
        <v>2</v>
      </c>
      <c r="F90" s="67">
        <v>0</v>
      </c>
      <c r="G90" s="67">
        <v>0</v>
      </c>
      <c r="H90" s="67">
        <v>0</v>
      </c>
      <c r="I90" s="67">
        <v>2</v>
      </c>
      <c r="J90" s="67">
        <v>0</v>
      </c>
      <c r="K90" s="67">
        <v>1</v>
      </c>
      <c r="L90" s="67">
        <v>1</v>
      </c>
      <c r="M90" s="67">
        <v>0</v>
      </c>
    </row>
    <row r="91" spans="1:13" x14ac:dyDescent="0.25">
      <c r="A91" s="3" t="s">
        <v>1495</v>
      </c>
      <c r="B91" s="67">
        <v>0</v>
      </c>
      <c r="C91" s="67">
        <v>0</v>
      </c>
      <c r="D91" s="67">
        <v>0</v>
      </c>
      <c r="E91" s="67">
        <v>2</v>
      </c>
      <c r="F91" s="67">
        <v>0</v>
      </c>
      <c r="G91" s="67">
        <v>0</v>
      </c>
      <c r="H91" s="67">
        <v>2</v>
      </c>
      <c r="I91" s="67">
        <v>1</v>
      </c>
      <c r="J91" s="67">
        <v>0</v>
      </c>
      <c r="K91" s="67">
        <v>2</v>
      </c>
      <c r="L91" s="67">
        <v>1</v>
      </c>
      <c r="M91" s="67">
        <v>2</v>
      </c>
    </row>
    <row r="92" spans="1:13" x14ac:dyDescent="0.25">
      <c r="A92" s="3" t="s">
        <v>1496</v>
      </c>
      <c r="B92" s="67">
        <v>4</v>
      </c>
      <c r="C92" s="67">
        <v>1</v>
      </c>
      <c r="D92" s="67">
        <v>0</v>
      </c>
      <c r="E92" s="67">
        <v>1</v>
      </c>
      <c r="F92" s="67">
        <v>0</v>
      </c>
      <c r="G92" s="67">
        <v>0</v>
      </c>
      <c r="H92" s="67">
        <v>3</v>
      </c>
      <c r="I92" s="67">
        <v>1</v>
      </c>
      <c r="J92" s="67">
        <v>0</v>
      </c>
      <c r="K92" s="67">
        <v>2</v>
      </c>
      <c r="L92" s="67">
        <v>2</v>
      </c>
      <c r="M92" s="67">
        <v>2</v>
      </c>
    </row>
    <row r="93" spans="1:13" x14ac:dyDescent="0.25">
      <c r="A93" s="3" t="s">
        <v>1497</v>
      </c>
      <c r="B93" s="67">
        <v>1</v>
      </c>
      <c r="C93" s="67">
        <v>1</v>
      </c>
      <c r="D93" s="67">
        <v>0</v>
      </c>
      <c r="E93" s="67">
        <v>1</v>
      </c>
      <c r="F93" s="67">
        <v>0</v>
      </c>
      <c r="G93" s="67">
        <v>0</v>
      </c>
      <c r="H93" s="67">
        <v>1</v>
      </c>
      <c r="I93" s="67">
        <v>2</v>
      </c>
      <c r="J93" s="67">
        <v>0</v>
      </c>
      <c r="K93" s="67">
        <v>1</v>
      </c>
      <c r="L93" s="67">
        <v>2</v>
      </c>
      <c r="M93" s="67">
        <v>2</v>
      </c>
    </row>
    <row r="94" spans="1:13" x14ac:dyDescent="0.25">
      <c r="A94" s="3" t="s">
        <v>1498</v>
      </c>
      <c r="B94" s="67">
        <v>4</v>
      </c>
      <c r="C94" s="67">
        <v>4</v>
      </c>
      <c r="D94" s="67">
        <v>2</v>
      </c>
      <c r="E94" s="67">
        <v>1</v>
      </c>
      <c r="F94" s="67">
        <v>0</v>
      </c>
      <c r="G94" s="67">
        <v>3</v>
      </c>
      <c r="H94" s="67">
        <v>0</v>
      </c>
      <c r="I94" s="67">
        <v>1</v>
      </c>
      <c r="J94" s="67">
        <v>0</v>
      </c>
      <c r="K94" s="67">
        <v>2</v>
      </c>
      <c r="L94" s="67">
        <v>2</v>
      </c>
      <c r="M94" s="67">
        <v>2</v>
      </c>
    </row>
    <row r="95" spans="1:13" x14ac:dyDescent="0.25">
      <c r="A95" s="3" t="s">
        <v>1499</v>
      </c>
      <c r="B95" s="67">
        <v>4</v>
      </c>
      <c r="C95" s="67">
        <v>1</v>
      </c>
      <c r="D95" s="67">
        <v>2</v>
      </c>
      <c r="E95" s="67">
        <v>1</v>
      </c>
      <c r="F95" s="67">
        <v>0</v>
      </c>
      <c r="G95" s="67">
        <v>3</v>
      </c>
      <c r="H95" s="67">
        <v>1</v>
      </c>
      <c r="I95" s="67">
        <v>2</v>
      </c>
      <c r="J95" s="67">
        <v>0</v>
      </c>
      <c r="K95" s="67">
        <v>2</v>
      </c>
      <c r="L95" s="67">
        <v>2</v>
      </c>
      <c r="M95" s="67">
        <v>2</v>
      </c>
    </row>
    <row r="96" spans="1:13" x14ac:dyDescent="0.25">
      <c r="A96" s="3" t="s">
        <v>1500</v>
      </c>
      <c r="B96" s="67">
        <v>4</v>
      </c>
      <c r="C96" s="67">
        <v>2</v>
      </c>
      <c r="D96" s="67">
        <v>2</v>
      </c>
      <c r="E96" s="67">
        <v>1</v>
      </c>
      <c r="F96" s="67">
        <v>0</v>
      </c>
      <c r="G96" s="67">
        <v>3</v>
      </c>
      <c r="H96" s="67">
        <v>3</v>
      </c>
      <c r="I96" s="67">
        <v>2</v>
      </c>
      <c r="J96" s="67">
        <v>0</v>
      </c>
      <c r="K96" s="67">
        <v>2</v>
      </c>
      <c r="L96" s="67">
        <v>1</v>
      </c>
      <c r="M96" s="67">
        <v>1</v>
      </c>
    </row>
    <row r="97" spans="1:28" x14ac:dyDescent="0.25">
      <c r="A97" s="3" t="s">
        <v>1501</v>
      </c>
      <c r="B97" s="67">
        <v>4</v>
      </c>
      <c r="C97" s="67">
        <v>1</v>
      </c>
      <c r="D97" s="67">
        <v>2</v>
      </c>
      <c r="E97" s="67">
        <v>1</v>
      </c>
      <c r="F97" s="67">
        <v>0</v>
      </c>
      <c r="G97" s="67">
        <v>3</v>
      </c>
      <c r="H97" s="67">
        <v>2</v>
      </c>
      <c r="I97" s="67">
        <v>1</v>
      </c>
      <c r="J97" s="67">
        <v>0</v>
      </c>
      <c r="K97" s="67">
        <v>2</v>
      </c>
      <c r="L97" s="67">
        <v>1</v>
      </c>
      <c r="M97" s="67">
        <v>1</v>
      </c>
    </row>
    <row r="98" spans="1:28" x14ac:dyDescent="0.25">
      <c r="A98" s="3" t="s">
        <v>1502</v>
      </c>
      <c r="B98" s="67">
        <v>3</v>
      </c>
      <c r="C98" s="67">
        <v>1</v>
      </c>
      <c r="D98" s="67">
        <v>2</v>
      </c>
      <c r="E98" s="67">
        <v>1</v>
      </c>
      <c r="F98" s="67">
        <v>0</v>
      </c>
      <c r="G98" s="67">
        <v>3</v>
      </c>
      <c r="H98" s="67">
        <v>2</v>
      </c>
      <c r="I98" s="67">
        <v>1</v>
      </c>
      <c r="J98" s="67">
        <v>0</v>
      </c>
      <c r="K98" s="67">
        <v>1</v>
      </c>
      <c r="L98" s="67">
        <v>2</v>
      </c>
      <c r="M98" s="67">
        <v>1</v>
      </c>
    </row>
    <row r="99" spans="1:28" x14ac:dyDescent="0.25">
      <c r="A99" s="3" t="s">
        <v>1487</v>
      </c>
      <c r="B99" s="67">
        <v>3</v>
      </c>
      <c r="C99" s="67">
        <v>3</v>
      </c>
      <c r="D99" s="67">
        <v>0</v>
      </c>
      <c r="E99" s="67">
        <v>0</v>
      </c>
      <c r="F99" s="67">
        <v>0</v>
      </c>
      <c r="G99" s="67">
        <v>4</v>
      </c>
      <c r="H99" s="67">
        <v>0</v>
      </c>
      <c r="I99" s="67">
        <v>0</v>
      </c>
      <c r="J99" s="67">
        <v>0</v>
      </c>
      <c r="K99" s="67">
        <v>0</v>
      </c>
      <c r="L99" s="67">
        <v>0</v>
      </c>
      <c r="M99" s="67">
        <v>0</v>
      </c>
    </row>
    <row r="100" spans="1:28" x14ac:dyDescent="0.25">
      <c r="A100" s="3" t="s">
        <v>1484</v>
      </c>
      <c r="B100" s="67">
        <v>3</v>
      </c>
      <c r="C100" s="67">
        <v>3</v>
      </c>
      <c r="D100" s="67">
        <v>4</v>
      </c>
      <c r="E100" s="67">
        <v>0</v>
      </c>
      <c r="F100" s="67">
        <v>0</v>
      </c>
      <c r="G100" s="67">
        <v>3</v>
      </c>
      <c r="H100" s="67">
        <v>0</v>
      </c>
      <c r="I100" s="67">
        <v>0</v>
      </c>
      <c r="J100" s="67">
        <v>0</v>
      </c>
      <c r="K100" s="67">
        <v>0</v>
      </c>
      <c r="L100" s="67">
        <v>0</v>
      </c>
      <c r="M100" s="67">
        <v>0</v>
      </c>
    </row>
    <row r="101" spans="1:28" x14ac:dyDescent="0.25">
      <c r="A101" s="3" t="s">
        <v>1503</v>
      </c>
      <c r="B101" s="67">
        <v>2</v>
      </c>
      <c r="C101" s="67">
        <v>3</v>
      </c>
      <c r="D101" s="67">
        <v>2</v>
      </c>
      <c r="E101" s="67">
        <v>1</v>
      </c>
      <c r="F101" s="67">
        <v>0</v>
      </c>
      <c r="G101" s="67">
        <v>3</v>
      </c>
      <c r="H101" s="67">
        <v>2</v>
      </c>
      <c r="I101" s="67">
        <v>1</v>
      </c>
      <c r="J101" s="67">
        <v>0</v>
      </c>
      <c r="K101" s="67">
        <v>2</v>
      </c>
      <c r="L101" s="67">
        <v>1</v>
      </c>
      <c r="M101" s="67">
        <v>2</v>
      </c>
    </row>
    <row r="102" spans="1:28" x14ac:dyDescent="0.25">
      <c r="A102" s="3" t="s">
        <v>1504</v>
      </c>
      <c r="B102" s="67">
        <v>1</v>
      </c>
      <c r="C102" s="67">
        <v>4</v>
      </c>
      <c r="D102" s="67">
        <v>2</v>
      </c>
      <c r="E102" s="67">
        <v>1</v>
      </c>
      <c r="F102" s="67">
        <v>0</v>
      </c>
      <c r="G102" s="67">
        <v>3</v>
      </c>
      <c r="H102" s="67">
        <v>1</v>
      </c>
      <c r="I102" s="67">
        <v>1</v>
      </c>
      <c r="J102" s="67">
        <v>0</v>
      </c>
      <c r="K102" s="67">
        <v>2</v>
      </c>
      <c r="L102" s="67">
        <v>1</v>
      </c>
      <c r="M102" s="67">
        <v>2</v>
      </c>
    </row>
    <row r="103" spans="1:28" x14ac:dyDescent="0.25">
      <c r="A103" s="3" t="s">
        <v>1505</v>
      </c>
      <c r="B103" s="67">
        <v>0</v>
      </c>
      <c r="C103" s="67">
        <v>0</v>
      </c>
      <c r="D103" s="67">
        <v>0</v>
      </c>
      <c r="E103" s="67">
        <v>1</v>
      </c>
      <c r="F103" s="67">
        <v>0</v>
      </c>
      <c r="G103" s="67">
        <v>0</v>
      </c>
      <c r="H103" s="67">
        <v>2</v>
      </c>
      <c r="I103" s="67">
        <v>0</v>
      </c>
      <c r="J103" s="67">
        <v>0</v>
      </c>
      <c r="K103" s="67">
        <v>2</v>
      </c>
      <c r="L103" s="67">
        <v>2</v>
      </c>
      <c r="M103" s="67">
        <v>1</v>
      </c>
    </row>
    <row r="104" spans="1:28" x14ac:dyDescent="0.25">
      <c r="A104" s="3" t="s">
        <v>1506</v>
      </c>
      <c r="B104" s="67">
        <v>1</v>
      </c>
      <c r="C104" s="67">
        <v>0</v>
      </c>
      <c r="D104" s="67">
        <v>2</v>
      </c>
      <c r="E104" s="67">
        <v>0</v>
      </c>
      <c r="F104" s="67">
        <v>0</v>
      </c>
      <c r="G104" s="67">
        <v>1</v>
      </c>
      <c r="H104" s="67">
        <v>0</v>
      </c>
      <c r="I104" s="67">
        <v>0</v>
      </c>
      <c r="J104" s="67">
        <v>0</v>
      </c>
      <c r="K104" s="67">
        <v>0</v>
      </c>
      <c r="L104" s="67">
        <v>0</v>
      </c>
      <c r="M104" s="67">
        <v>2</v>
      </c>
    </row>
    <row r="108" spans="1:28" x14ac:dyDescent="0.25">
      <c r="A108" s="76" t="s">
        <v>1507</v>
      </c>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row>
    <row r="109" spans="1:28" x14ac:dyDescent="0.25">
      <c r="A109" s="68"/>
      <c r="B109" s="83" t="s">
        <v>1508</v>
      </c>
      <c r="C109" s="83"/>
      <c r="D109" s="83"/>
      <c r="E109" s="83"/>
      <c r="F109" s="83" t="s">
        <v>1509</v>
      </c>
      <c r="G109" s="83"/>
      <c r="H109" s="83"/>
      <c r="I109" s="83"/>
      <c r="J109" s="83" t="s">
        <v>1510</v>
      </c>
      <c r="K109" s="83"/>
      <c r="L109" s="83"/>
      <c r="M109" s="83"/>
      <c r="N109" s="83" t="s">
        <v>1511</v>
      </c>
      <c r="O109" s="83"/>
      <c r="P109" s="83"/>
      <c r="Q109" s="83"/>
      <c r="R109" s="83" t="s">
        <v>1512</v>
      </c>
      <c r="S109" s="83"/>
      <c r="T109" s="83"/>
      <c r="U109" s="83"/>
      <c r="V109" s="83" t="s">
        <v>1513</v>
      </c>
      <c r="W109" s="83"/>
      <c r="X109" s="83"/>
      <c r="Y109" s="83"/>
      <c r="Z109" s="83" t="s">
        <v>1514</v>
      </c>
      <c r="AA109" s="83"/>
      <c r="AB109" s="83"/>
    </row>
    <row r="110" spans="1:28" ht="25.5" x14ac:dyDescent="0.25">
      <c r="A110" s="2" t="s">
        <v>98</v>
      </c>
      <c r="B110" s="2" t="s">
        <v>190</v>
      </c>
      <c r="C110" s="2" t="s">
        <v>1515</v>
      </c>
      <c r="D110" s="2" t="s">
        <v>176</v>
      </c>
      <c r="E110" s="2" t="s">
        <v>1516</v>
      </c>
      <c r="F110" s="2" t="s">
        <v>190</v>
      </c>
      <c r="G110" s="2" t="s">
        <v>1515</v>
      </c>
      <c r="H110" s="2" t="s">
        <v>176</v>
      </c>
      <c r="I110" s="2" t="s">
        <v>1516</v>
      </c>
      <c r="J110" s="2" t="s">
        <v>190</v>
      </c>
      <c r="K110" s="2" t="s">
        <v>1515</v>
      </c>
      <c r="L110" s="2" t="s">
        <v>176</v>
      </c>
      <c r="M110" s="2" t="s">
        <v>1516</v>
      </c>
      <c r="N110" s="2" t="s">
        <v>190</v>
      </c>
      <c r="O110" s="2" t="s">
        <v>1515</v>
      </c>
      <c r="P110" s="2" t="s">
        <v>176</v>
      </c>
      <c r="Q110" s="2" t="s">
        <v>1516</v>
      </c>
      <c r="R110" s="2" t="s">
        <v>190</v>
      </c>
      <c r="S110" s="2" t="s">
        <v>1515</v>
      </c>
      <c r="T110" s="2" t="s">
        <v>176</v>
      </c>
      <c r="U110" s="2" t="s">
        <v>1516</v>
      </c>
      <c r="V110" s="2" t="s">
        <v>190</v>
      </c>
      <c r="W110" s="2" t="s">
        <v>1515</v>
      </c>
      <c r="X110" s="2" t="s">
        <v>176</v>
      </c>
      <c r="Y110" s="2" t="s">
        <v>1516</v>
      </c>
      <c r="Z110" s="2" t="s">
        <v>1517</v>
      </c>
      <c r="AA110" s="2" t="s">
        <v>1518</v>
      </c>
      <c r="AB110" s="2" t="s">
        <v>1519</v>
      </c>
    </row>
    <row r="111" spans="1:28" x14ac:dyDescent="0.25">
      <c r="A111" s="69">
        <v>18</v>
      </c>
      <c r="B111" s="39">
        <v>1.549E-4</v>
      </c>
      <c r="C111" s="39">
        <v>2.298E-4</v>
      </c>
      <c r="D111" s="39">
        <v>6.2100000000000005E-5</v>
      </c>
      <c r="E111" s="39">
        <v>8.5400000000000002E-5</v>
      </c>
      <c r="F111" s="39">
        <v>1.47E-3</v>
      </c>
      <c r="G111" s="39">
        <v>1.47E-3</v>
      </c>
      <c r="H111" s="39">
        <v>2.4000000000000001E-4</v>
      </c>
      <c r="I111" s="39">
        <v>2.4000000000000001E-4</v>
      </c>
      <c r="J111" s="39">
        <v>7.3397499999999999E-4</v>
      </c>
      <c r="K111" s="39">
        <v>1.0889700000000001E-3</v>
      </c>
      <c r="L111" s="39">
        <v>2.9422999999999998E-4</v>
      </c>
      <c r="M111" s="39">
        <v>4.0456599999999998E-4</v>
      </c>
      <c r="N111" s="39">
        <v>2.31E-4</v>
      </c>
      <c r="O111" s="39">
        <v>2.31E-4</v>
      </c>
      <c r="P111" s="39">
        <v>2.31E-4</v>
      </c>
      <c r="Q111" s="39">
        <v>2.31E-4</v>
      </c>
      <c r="R111" s="39">
        <v>2.1000000000000001E-4</v>
      </c>
      <c r="S111" s="39">
        <v>2.1000000000000001E-4</v>
      </c>
      <c r="T111" s="39">
        <v>2.1000000000000001E-4</v>
      </c>
      <c r="U111" s="39">
        <v>2.1000000000000001E-4</v>
      </c>
      <c r="V111" s="39">
        <v>8.8800000000000004E-2</v>
      </c>
      <c r="W111" s="39">
        <v>8.8800000000000004E-2</v>
      </c>
      <c r="X111" s="39">
        <v>9.6500000000000002E-2</v>
      </c>
      <c r="Y111" s="39">
        <v>9.6500000000000002E-2</v>
      </c>
      <c r="Z111" s="70">
        <v>0.37</v>
      </c>
      <c r="AA111" s="30">
        <v>2220</v>
      </c>
      <c r="AB111" s="46">
        <v>3.0700000000000002E-2</v>
      </c>
    </row>
    <row r="112" spans="1:28" x14ac:dyDescent="0.25">
      <c r="A112" s="69">
        <v>19</v>
      </c>
      <c r="B112" s="39">
        <v>1.5589999999999999E-4</v>
      </c>
      <c r="C112" s="39">
        <v>2.309E-4</v>
      </c>
      <c r="D112" s="39">
        <v>6.3499999999999999E-5</v>
      </c>
      <c r="E112" s="39">
        <v>8.6399999999999999E-5</v>
      </c>
      <c r="F112" s="39">
        <v>1.32E-3</v>
      </c>
      <c r="G112" s="39">
        <v>1.32E-3</v>
      </c>
      <c r="H112" s="39">
        <v>2.4000000000000001E-4</v>
      </c>
      <c r="I112" s="39">
        <v>2.4000000000000001E-4</v>
      </c>
      <c r="J112" s="39">
        <v>7.3877299999999997E-4</v>
      </c>
      <c r="K112" s="39">
        <v>1.093767E-3</v>
      </c>
      <c r="L112" s="39">
        <v>3.0062600000000002E-4</v>
      </c>
      <c r="M112" s="39">
        <v>4.0936299999999999E-4</v>
      </c>
      <c r="N112" s="39">
        <v>2.31E-4</v>
      </c>
      <c r="O112" s="39">
        <v>2.31E-4</v>
      </c>
      <c r="P112" s="39">
        <v>2.31E-4</v>
      </c>
      <c r="Q112" s="39">
        <v>2.31E-4</v>
      </c>
      <c r="R112" s="39">
        <v>2.1000000000000001E-4</v>
      </c>
      <c r="S112" s="39">
        <v>2.1000000000000001E-4</v>
      </c>
      <c r="T112" s="39">
        <v>2.1000000000000001E-4</v>
      </c>
      <c r="U112" s="39">
        <v>2.1000000000000001E-4</v>
      </c>
      <c r="V112" s="39">
        <v>8.8800000000000004E-2</v>
      </c>
      <c r="W112" s="39">
        <v>8.8800000000000004E-2</v>
      </c>
      <c r="X112" s="39">
        <v>9.6500000000000002E-2</v>
      </c>
      <c r="Y112" s="39">
        <v>9.6500000000000002E-2</v>
      </c>
      <c r="Z112" s="70">
        <v>0.37</v>
      </c>
      <c r="AA112" s="30">
        <v>2220</v>
      </c>
      <c r="AB112" s="46">
        <v>3.0700000000000002E-2</v>
      </c>
    </row>
    <row r="113" spans="1:28" x14ac:dyDescent="0.25">
      <c r="A113" s="69">
        <v>20</v>
      </c>
      <c r="B113" s="39">
        <v>1.5660000000000001E-4</v>
      </c>
      <c r="C113" s="39">
        <v>2.319E-4</v>
      </c>
      <c r="D113" s="39">
        <v>6.5500000000000006E-5</v>
      </c>
      <c r="E113" s="39">
        <v>8.7800000000000006E-5</v>
      </c>
      <c r="F113" s="39">
        <v>1.1800000000000001E-3</v>
      </c>
      <c r="G113" s="39">
        <v>1.1800000000000001E-3</v>
      </c>
      <c r="H113" s="39">
        <v>2.3000000000000001E-4</v>
      </c>
      <c r="I113" s="39">
        <v>2.3000000000000001E-4</v>
      </c>
      <c r="J113" s="39">
        <v>7.4197100000000002E-4</v>
      </c>
      <c r="K113" s="39">
        <v>1.0985649999999999E-3</v>
      </c>
      <c r="L113" s="39">
        <v>3.1022100000000001E-4</v>
      </c>
      <c r="M113" s="39">
        <v>4.1575999999999999E-4</v>
      </c>
      <c r="N113" s="39">
        <v>2.31E-4</v>
      </c>
      <c r="O113" s="39">
        <v>2.31E-4</v>
      </c>
      <c r="P113" s="39">
        <v>2.31E-4</v>
      </c>
      <c r="Q113" s="39">
        <v>2.31E-4</v>
      </c>
      <c r="R113" s="39">
        <v>2.1000000000000001E-4</v>
      </c>
      <c r="S113" s="39">
        <v>2.1000000000000001E-4</v>
      </c>
      <c r="T113" s="39">
        <v>2.1000000000000001E-4</v>
      </c>
      <c r="U113" s="39">
        <v>2.1000000000000001E-4</v>
      </c>
      <c r="V113" s="39">
        <v>8.8800000000000004E-2</v>
      </c>
      <c r="W113" s="39">
        <v>8.8800000000000004E-2</v>
      </c>
      <c r="X113" s="39">
        <v>9.6500000000000002E-2</v>
      </c>
      <c r="Y113" s="39">
        <v>9.6500000000000002E-2</v>
      </c>
      <c r="Z113" s="70">
        <v>0.37</v>
      </c>
      <c r="AA113" s="30">
        <v>2220</v>
      </c>
      <c r="AB113" s="46">
        <v>3.0700000000000002E-2</v>
      </c>
    </row>
    <row r="114" spans="1:28" x14ac:dyDescent="0.25">
      <c r="A114" s="69">
        <v>21</v>
      </c>
      <c r="B114" s="39">
        <v>1.5760000000000001E-4</v>
      </c>
      <c r="C114" s="39">
        <v>2.329E-4</v>
      </c>
      <c r="D114" s="39">
        <v>6.7199999999999994E-5</v>
      </c>
      <c r="E114" s="39">
        <v>8.9400000000000005E-5</v>
      </c>
      <c r="F114" s="39">
        <v>1.06E-3</v>
      </c>
      <c r="G114" s="39">
        <v>1.06E-3</v>
      </c>
      <c r="H114" s="39">
        <v>2.3000000000000001E-4</v>
      </c>
      <c r="I114" s="39">
        <v>2.3000000000000001E-4</v>
      </c>
      <c r="J114" s="39">
        <v>7.4676799999999998E-4</v>
      </c>
      <c r="K114" s="39">
        <v>1.1033620000000001E-3</v>
      </c>
      <c r="L114" s="39">
        <v>3.1821600000000002E-4</v>
      </c>
      <c r="M114" s="39">
        <v>4.23755E-4</v>
      </c>
      <c r="N114" s="39">
        <v>2.31E-4</v>
      </c>
      <c r="O114" s="39">
        <v>2.31E-4</v>
      </c>
      <c r="P114" s="39">
        <v>2.31E-4</v>
      </c>
      <c r="Q114" s="39">
        <v>2.31E-4</v>
      </c>
      <c r="R114" s="39">
        <v>2.1000000000000001E-4</v>
      </c>
      <c r="S114" s="39">
        <v>2.1000000000000001E-4</v>
      </c>
      <c r="T114" s="39">
        <v>2.1000000000000001E-4</v>
      </c>
      <c r="U114" s="39">
        <v>2.1000000000000001E-4</v>
      </c>
      <c r="V114" s="39">
        <v>8.8800000000000004E-2</v>
      </c>
      <c r="W114" s="39">
        <v>8.8800000000000004E-2</v>
      </c>
      <c r="X114" s="39">
        <v>9.6500000000000002E-2</v>
      </c>
      <c r="Y114" s="39">
        <v>9.6500000000000002E-2</v>
      </c>
      <c r="Z114" s="70">
        <v>0.37</v>
      </c>
      <c r="AA114" s="30">
        <v>2220</v>
      </c>
      <c r="AB114" s="46">
        <v>3.0700000000000002E-2</v>
      </c>
    </row>
    <row r="115" spans="1:28" x14ac:dyDescent="0.25">
      <c r="A115" s="69">
        <v>22</v>
      </c>
      <c r="B115" s="39">
        <v>1.5899999999999999E-4</v>
      </c>
      <c r="C115" s="39">
        <v>2.3460000000000001E-4</v>
      </c>
      <c r="D115" s="39">
        <v>6.9499999999999995E-5</v>
      </c>
      <c r="E115" s="39">
        <v>9.1100000000000005E-5</v>
      </c>
      <c r="F115" s="39">
        <v>9.6000000000000002E-4</v>
      </c>
      <c r="G115" s="39">
        <v>9.6000000000000002E-4</v>
      </c>
      <c r="H115" s="39">
        <v>2.2000000000000001E-4</v>
      </c>
      <c r="I115" s="39">
        <v>2.2000000000000001E-4</v>
      </c>
      <c r="J115" s="39">
        <v>7.5316399999999996E-4</v>
      </c>
      <c r="K115" s="39">
        <v>1.1113570000000001E-3</v>
      </c>
      <c r="L115" s="39">
        <v>3.2940900000000002E-4</v>
      </c>
      <c r="M115" s="39">
        <v>4.3175E-4</v>
      </c>
      <c r="N115" s="39">
        <v>2.31E-4</v>
      </c>
      <c r="O115" s="39">
        <v>2.31E-4</v>
      </c>
      <c r="P115" s="39">
        <v>2.31E-4</v>
      </c>
      <c r="Q115" s="39">
        <v>2.31E-4</v>
      </c>
      <c r="R115" s="39">
        <v>2.1000000000000001E-4</v>
      </c>
      <c r="S115" s="39">
        <v>2.1000000000000001E-4</v>
      </c>
      <c r="T115" s="39">
        <v>2.1000000000000001E-4</v>
      </c>
      <c r="U115" s="39">
        <v>2.1000000000000001E-4</v>
      </c>
      <c r="V115" s="39">
        <v>8.8800000000000004E-2</v>
      </c>
      <c r="W115" s="39">
        <v>8.8800000000000004E-2</v>
      </c>
      <c r="X115" s="39">
        <v>9.6500000000000002E-2</v>
      </c>
      <c r="Y115" s="39">
        <v>9.6500000000000002E-2</v>
      </c>
      <c r="Z115" s="70">
        <v>0.37</v>
      </c>
      <c r="AA115" s="30">
        <v>2220</v>
      </c>
      <c r="AB115" s="46">
        <v>3.0700000000000002E-2</v>
      </c>
    </row>
    <row r="116" spans="1:28" x14ac:dyDescent="0.25">
      <c r="A116" s="69">
        <v>23</v>
      </c>
      <c r="B116" s="39">
        <v>1.6029999999999999E-4</v>
      </c>
      <c r="C116" s="39">
        <v>2.363E-4</v>
      </c>
      <c r="D116" s="39">
        <v>7.1899999999999999E-5</v>
      </c>
      <c r="E116" s="39">
        <v>9.3200000000000002E-5</v>
      </c>
      <c r="F116" s="39">
        <v>8.5999999999999998E-4</v>
      </c>
      <c r="G116" s="39">
        <v>8.5999999999999998E-4</v>
      </c>
      <c r="H116" s="39">
        <v>2.2000000000000001E-4</v>
      </c>
      <c r="I116" s="39">
        <v>2.2000000000000001E-4</v>
      </c>
      <c r="J116" s="39">
        <v>7.5956099999999996E-4</v>
      </c>
      <c r="K116" s="39">
        <v>1.119353E-3</v>
      </c>
      <c r="L116" s="39">
        <v>3.4060299999999998E-4</v>
      </c>
      <c r="M116" s="39">
        <v>4.41345E-4</v>
      </c>
      <c r="N116" s="39">
        <v>2.31E-4</v>
      </c>
      <c r="O116" s="39">
        <v>2.31E-4</v>
      </c>
      <c r="P116" s="39">
        <v>2.31E-4</v>
      </c>
      <c r="Q116" s="39">
        <v>2.31E-4</v>
      </c>
      <c r="R116" s="39">
        <v>2.1000000000000001E-4</v>
      </c>
      <c r="S116" s="39">
        <v>2.1000000000000001E-4</v>
      </c>
      <c r="T116" s="39">
        <v>2.1000000000000001E-4</v>
      </c>
      <c r="U116" s="39">
        <v>2.1000000000000001E-4</v>
      </c>
      <c r="V116" s="39">
        <v>8.8800000000000004E-2</v>
      </c>
      <c r="W116" s="39">
        <v>8.8800000000000004E-2</v>
      </c>
      <c r="X116" s="39">
        <v>9.6500000000000002E-2</v>
      </c>
      <c r="Y116" s="39">
        <v>9.6500000000000002E-2</v>
      </c>
      <c r="Z116" s="70">
        <v>0.37</v>
      </c>
      <c r="AA116" s="30">
        <v>2220</v>
      </c>
      <c r="AB116" s="46">
        <v>3.0700000000000002E-2</v>
      </c>
    </row>
    <row r="117" spans="1:28" x14ac:dyDescent="0.25">
      <c r="A117" s="69">
        <v>24</v>
      </c>
      <c r="B117" s="39">
        <v>1.6200000000000001E-4</v>
      </c>
      <c r="C117" s="39">
        <v>2.3829999999999999E-4</v>
      </c>
      <c r="D117" s="39">
        <v>7.4599999999999997E-5</v>
      </c>
      <c r="E117" s="39">
        <v>9.59E-5</v>
      </c>
      <c r="F117" s="39">
        <v>7.7999999999999999E-4</v>
      </c>
      <c r="G117" s="39">
        <v>7.7999999999999999E-4</v>
      </c>
      <c r="H117" s="39">
        <v>2.1000000000000001E-4</v>
      </c>
      <c r="I117" s="39">
        <v>2.1000000000000001E-4</v>
      </c>
      <c r="J117" s="39">
        <v>7.6755599999999997E-4</v>
      </c>
      <c r="K117" s="39">
        <v>1.1289469999999999E-3</v>
      </c>
      <c r="L117" s="39">
        <v>3.5339600000000002E-4</v>
      </c>
      <c r="M117" s="39">
        <v>4.5413700000000002E-4</v>
      </c>
      <c r="N117" s="39">
        <v>2.31E-4</v>
      </c>
      <c r="O117" s="39">
        <v>2.31E-4</v>
      </c>
      <c r="P117" s="39">
        <v>2.31E-4</v>
      </c>
      <c r="Q117" s="39">
        <v>2.31E-4</v>
      </c>
      <c r="R117" s="39">
        <v>2.1000000000000001E-4</v>
      </c>
      <c r="S117" s="39">
        <v>2.1000000000000001E-4</v>
      </c>
      <c r="T117" s="39">
        <v>2.1000000000000001E-4</v>
      </c>
      <c r="U117" s="39">
        <v>2.1000000000000001E-4</v>
      </c>
      <c r="V117" s="39">
        <v>8.8800000000000004E-2</v>
      </c>
      <c r="W117" s="39">
        <v>8.8800000000000004E-2</v>
      </c>
      <c r="X117" s="39">
        <v>9.6500000000000002E-2</v>
      </c>
      <c r="Y117" s="39">
        <v>9.6500000000000002E-2</v>
      </c>
      <c r="Z117" s="70">
        <v>0.37</v>
      </c>
      <c r="AA117" s="30">
        <v>2220</v>
      </c>
      <c r="AB117" s="46">
        <v>3.0700000000000002E-2</v>
      </c>
    </row>
    <row r="118" spans="1:28" x14ac:dyDescent="0.25">
      <c r="A118" s="69">
        <v>25</v>
      </c>
      <c r="B118" s="39">
        <v>1.6369999999999999E-4</v>
      </c>
      <c r="C118" s="39">
        <v>2.4059999999999999E-4</v>
      </c>
      <c r="D118" s="39">
        <v>7.7600000000000002E-5</v>
      </c>
      <c r="E118" s="39">
        <v>9.8900000000000005E-5</v>
      </c>
      <c r="F118" s="39">
        <v>7.1000000000000002E-4</v>
      </c>
      <c r="G118" s="39">
        <v>7.1000000000000002E-4</v>
      </c>
      <c r="H118" s="39">
        <v>2.1000000000000001E-4</v>
      </c>
      <c r="I118" s="39">
        <v>2.1000000000000001E-4</v>
      </c>
      <c r="J118" s="39">
        <v>7.7555099999999997E-4</v>
      </c>
      <c r="K118" s="39">
        <v>1.14014E-3</v>
      </c>
      <c r="L118" s="39">
        <v>3.6778700000000001E-4</v>
      </c>
      <c r="M118" s="39">
        <v>4.6852900000000003E-4</v>
      </c>
      <c r="N118" s="39">
        <v>2.31E-4</v>
      </c>
      <c r="O118" s="39">
        <v>2.31E-4</v>
      </c>
      <c r="P118" s="39">
        <v>2.31E-4</v>
      </c>
      <c r="Q118" s="39">
        <v>2.31E-4</v>
      </c>
      <c r="R118" s="39">
        <v>2.1000000000000001E-4</v>
      </c>
      <c r="S118" s="39">
        <v>2.1000000000000001E-4</v>
      </c>
      <c r="T118" s="39">
        <v>2.1000000000000001E-4</v>
      </c>
      <c r="U118" s="39">
        <v>2.1000000000000001E-4</v>
      </c>
      <c r="V118" s="39">
        <v>8.8800000000000004E-2</v>
      </c>
      <c r="W118" s="39">
        <v>8.8800000000000004E-2</v>
      </c>
      <c r="X118" s="39">
        <v>9.6500000000000002E-2</v>
      </c>
      <c r="Y118" s="39">
        <v>9.6500000000000002E-2</v>
      </c>
      <c r="Z118" s="70">
        <v>0.37</v>
      </c>
      <c r="AA118" s="30">
        <v>2220</v>
      </c>
      <c r="AB118" s="46">
        <v>3.0700000000000002E-2</v>
      </c>
    </row>
    <row r="119" spans="1:28" x14ac:dyDescent="0.25">
      <c r="A119" s="69">
        <v>26</v>
      </c>
      <c r="B119" s="39">
        <v>1.661E-4</v>
      </c>
      <c r="C119" s="39">
        <v>2.4369999999999999E-4</v>
      </c>
      <c r="D119" s="39">
        <v>8.1299999999999997E-5</v>
      </c>
      <c r="E119" s="39">
        <v>1.0230000000000001E-4</v>
      </c>
      <c r="F119" s="39">
        <v>6.4999999999999997E-4</v>
      </c>
      <c r="G119" s="39">
        <v>6.4999999999999997E-4</v>
      </c>
      <c r="H119" s="39">
        <v>2.1000000000000001E-4</v>
      </c>
      <c r="I119" s="39">
        <v>2.1000000000000001E-4</v>
      </c>
      <c r="J119" s="39">
        <v>7.8674500000000004E-4</v>
      </c>
      <c r="K119" s="39">
        <v>1.154532E-3</v>
      </c>
      <c r="L119" s="39">
        <v>3.8537700000000001E-4</v>
      </c>
      <c r="M119" s="39">
        <v>4.8452E-4</v>
      </c>
      <c r="N119" s="39">
        <v>2.31E-4</v>
      </c>
      <c r="O119" s="39">
        <v>2.31E-4</v>
      </c>
      <c r="P119" s="39">
        <v>2.31E-4</v>
      </c>
      <c r="Q119" s="39">
        <v>2.31E-4</v>
      </c>
      <c r="R119" s="39">
        <v>2.1000000000000001E-4</v>
      </c>
      <c r="S119" s="39">
        <v>2.1000000000000001E-4</v>
      </c>
      <c r="T119" s="39">
        <v>2.1000000000000001E-4</v>
      </c>
      <c r="U119" s="39">
        <v>2.1000000000000001E-4</v>
      </c>
      <c r="V119" s="39">
        <v>8.8800000000000004E-2</v>
      </c>
      <c r="W119" s="39">
        <v>8.8800000000000004E-2</v>
      </c>
      <c r="X119" s="39">
        <v>9.6500000000000002E-2</v>
      </c>
      <c r="Y119" s="39">
        <v>9.6500000000000002E-2</v>
      </c>
      <c r="Z119" s="70">
        <v>0.37</v>
      </c>
      <c r="AA119" s="30">
        <v>2220</v>
      </c>
      <c r="AB119" s="46">
        <v>3.0700000000000002E-2</v>
      </c>
    </row>
    <row r="120" spans="1:28" x14ac:dyDescent="0.25">
      <c r="A120" s="69">
        <v>27</v>
      </c>
      <c r="B120" s="39">
        <v>1.6880000000000001E-4</v>
      </c>
      <c r="C120" s="39">
        <v>2.4709999999999999E-4</v>
      </c>
      <c r="D120" s="39">
        <v>8.5099999999999995E-5</v>
      </c>
      <c r="E120" s="39">
        <v>1.063E-4</v>
      </c>
      <c r="F120" s="39">
        <v>5.9999999999999995E-4</v>
      </c>
      <c r="G120" s="39">
        <v>5.9999999999999995E-4</v>
      </c>
      <c r="H120" s="39">
        <v>2.1000000000000001E-4</v>
      </c>
      <c r="I120" s="39">
        <v>2.1000000000000001E-4</v>
      </c>
      <c r="J120" s="39">
        <v>7.9953800000000003E-4</v>
      </c>
      <c r="K120" s="39">
        <v>1.1705229999999999E-3</v>
      </c>
      <c r="L120" s="39">
        <v>4.0296700000000001E-4</v>
      </c>
      <c r="M120" s="39">
        <v>5.0370899999999997E-4</v>
      </c>
      <c r="N120" s="39">
        <v>2.31E-4</v>
      </c>
      <c r="O120" s="39">
        <v>2.31E-4</v>
      </c>
      <c r="P120" s="39">
        <v>2.31E-4</v>
      </c>
      <c r="Q120" s="39">
        <v>2.31E-4</v>
      </c>
      <c r="R120" s="39">
        <v>2.1000000000000001E-4</v>
      </c>
      <c r="S120" s="39">
        <v>2.1000000000000001E-4</v>
      </c>
      <c r="T120" s="39">
        <v>2.1000000000000001E-4</v>
      </c>
      <c r="U120" s="39">
        <v>2.1000000000000001E-4</v>
      </c>
      <c r="V120" s="39">
        <v>8.8800000000000004E-2</v>
      </c>
      <c r="W120" s="39">
        <v>8.8800000000000004E-2</v>
      </c>
      <c r="X120" s="39">
        <v>9.6500000000000002E-2</v>
      </c>
      <c r="Y120" s="39">
        <v>9.6500000000000002E-2</v>
      </c>
      <c r="Z120" s="70">
        <v>0.37</v>
      </c>
      <c r="AA120" s="30">
        <v>2220</v>
      </c>
      <c r="AB120" s="46">
        <v>3.0700000000000002E-2</v>
      </c>
    </row>
    <row r="121" spans="1:28" x14ac:dyDescent="0.25">
      <c r="A121" s="69">
        <v>28</v>
      </c>
      <c r="B121" s="39">
        <v>1.7149999999999999E-4</v>
      </c>
      <c r="C121" s="39">
        <v>2.5109999999999998E-4</v>
      </c>
      <c r="D121" s="39">
        <v>8.9400000000000005E-5</v>
      </c>
      <c r="E121" s="39">
        <v>1.11E-4</v>
      </c>
      <c r="F121" s="39">
        <v>5.5000000000000003E-4</v>
      </c>
      <c r="G121" s="39">
        <v>5.5000000000000003E-4</v>
      </c>
      <c r="H121" s="39">
        <v>2.0000000000000001E-4</v>
      </c>
      <c r="I121" s="39">
        <v>2.0000000000000001E-4</v>
      </c>
      <c r="J121" s="39">
        <v>8.1233E-4</v>
      </c>
      <c r="K121" s="39">
        <v>1.1897120000000001E-3</v>
      </c>
      <c r="L121" s="39">
        <v>4.23755E-4</v>
      </c>
      <c r="M121" s="39">
        <v>5.2609599999999999E-4</v>
      </c>
      <c r="N121" s="39">
        <v>2.31E-4</v>
      </c>
      <c r="O121" s="39">
        <v>2.31E-4</v>
      </c>
      <c r="P121" s="39">
        <v>2.31E-4</v>
      </c>
      <c r="Q121" s="39">
        <v>2.31E-4</v>
      </c>
      <c r="R121" s="39">
        <v>2.1000000000000001E-4</v>
      </c>
      <c r="S121" s="39">
        <v>2.1000000000000001E-4</v>
      </c>
      <c r="T121" s="39">
        <v>2.1000000000000001E-4</v>
      </c>
      <c r="U121" s="39">
        <v>2.1000000000000001E-4</v>
      </c>
      <c r="V121" s="39">
        <v>8.8800000000000004E-2</v>
      </c>
      <c r="W121" s="39">
        <v>8.8800000000000004E-2</v>
      </c>
      <c r="X121" s="39">
        <v>9.6500000000000002E-2</v>
      </c>
      <c r="Y121" s="39">
        <v>9.6500000000000002E-2</v>
      </c>
      <c r="Z121" s="70">
        <v>0.37</v>
      </c>
      <c r="AA121" s="30">
        <v>2220</v>
      </c>
      <c r="AB121" s="46">
        <v>3.0700000000000002E-2</v>
      </c>
    </row>
    <row r="122" spans="1:28" x14ac:dyDescent="0.25">
      <c r="A122" s="69">
        <v>29</v>
      </c>
      <c r="B122" s="39">
        <v>1.752E-4</v>
      </c>
      <c r="C122" s="39">
        <v>2.5619999999999999E-4</v>
      </c>
      <c r="D122" s="39">
        <v>9.4199999999999999E-5</v>
      </c>
      <c r="E122" s="39">
        <v>1.164E-4</v>
      </c>
      <c r="F122" s="39">
        <v>5.1000000000000004E-4</v>
      </c>
      <c r="G122" s="39">
        <v>5.1000000000000004E-4</v>
      </c>
      <c r="H122" s="39">
        <v>2.0000000000000001E-4</v>
      </c>
      <c r="I122" s="39">
        <v>2.0000000000000001E-4</v>
      </c>
      <c r="J122" s="39">
        <v>8.2992000000000005E-4</v>
      </c>
      <c r="K122" s="39">
        <v>1.213698E-3</v>
      </c>
      <c r="L122" s="39">
        <v>4.4614200000000001E-4</v>
      </c>
      <c r="M122" s="39">
        <v>5.5168100000000005E-4</v>
      </c>
      <c r="N122" s="39">
        <v>2.31E-4</v>
      </c>
      <c r="O122" s="39">
        <v>2.31E-4</v>
      </c>
      <c r="P122" s="39">
        <v>2.31E-4</v>
      </c>
      <c r="Q122" s="39">
        <v>2.31E-4</v>
      </c>
      <c r="R122" s="39">
        <v>2.1000000000000001E-4</v>
      </c>
      <c r="S122" s="39">
        <v>2.1000000000000001E-4</v>
      </c>
      <c r="T122" s="39">
        <v>2.1000000000000001E-4</v>
      </c>
      <c r="U122" s="39">
        <v>2.1000000000000001E-4</v>
      </c>
      <c r="V122" s="39">
        <v>8.8800000000000004E-2</v>
      </c>
      <c r="W122" s="39">
        <v>8.8800000000000004E-2</v>
      </c>
      <c r="X122" s="39">
        <v>9.6500000000000002E-2</v>
      </c>
      <c r="Y122" s="39">
        <v>9.6500000000000002E-2</v>
      </c>
      <c r="Z122" s="70">
        <v>0.37</v>
      </c>
      <c r="AA122" s="30">
        <v>2220</v>
      </c>
      <c r="AB122" s="46">
        <v>3.0700000000000002E-2</v>
      </c>
    </row>
    <row r="123" spans="1:28" x14ac:dyDescent="0.25">
      <c r="A123" s="69">
        <v>30</v>
      </c>
      <c r="B123" s="39">
        <v>1.7919999999999999E-4</v>
      </c>
      <c r="C123" s="39">
        <v>2.6190000000000002E-4</v>
      </c>
      <c r="D123" s="39">
        <v>9.9599999999999995E-5</v>
      </c>
      <c r="E123" s="39">
        <v>1.2290000000000001E-4</v>
      </c>
      <c r="F123" s="39">
        <v>4.8000000000000001E-4</v>
      </c>
      <c r="G123" s="39">
        <v>4.8000000000000001E-4</v>
      </c>
      <c r="H123" s="39">
        <v>1.9000000000000001E-4</v>
      </c>
      <c r="I123" s="39">
        <v>1.9000000000000001E-4</v>
      </c>
      <c r="J123" s="39">
        <v>8.4910900000000002E-4</v>
      </c>
      <c r="K123" s="39">
        <v>1.240882E-3</v>
      </c>
      <c r="L123" s="39">
        <v>4.7172700000000002E-4</v>
      </c>
      <c r="M123" s="39">
        <v>5.8206299999999996E-4</v>
      </c>
      <c r="N123" s="39">
        <v>2.31E-4</v>
      </c>
      <c r="O123" s="39">
        <v>2.31E-4</v>
      </c>
      <c r="P123" s="39">
        <v>2.31E-4</v>
      </c>
      <c r="Q123" s="39">
        <v>2.31E-4</v>
      </c>
      <c r="R123" s="39">
        <v>2.1000000000000001E-4</v>
      </c>
      <c r="S123" s="39">
        <v>2.1000000000000001E-4</v>
      </c>
      <c r="T123" s="39">
        <v>2.1000000000000001E-4</v>
      </c>
      <c r="U123" s="39">
        <v>2.1000000000000001E-4</v>
      </c>
      <c r="V123" s="39">
        <v>8.8800000000000004E-2</v>
      </c>
      <c r="W123" s="39">
        <v>8.8800000000000004E-2</v>
      </c>
      <c r="X123" s="39">
        <v>9.6500000000000002E-2</v>
      </c>
      <c r="Y123" s="39">
        <v>9.6500000000000002E-2</v>
      </c>
      <c r="Z123" s="70">
        <v>0.37</v>
      </c>
      <c r="AA123" s="30">
        <v>2220</v>
      </c>
      <c r="AB123" s="46">
        <v>3.0700000000000002E-2</v>
      </c>
    </row>
    <row r="124" spans="1:28" x14ac:dyDescent="0.25">
      <c r="A124" s="69">
        <v>31</v>
      </c>
      <c r="B124" s="39">
        <v>1.839E-4</v>
      </c>
      <c r="C124" s="39">
        <v>2.6870000000000003E-4</v>
      </c>
      <c r="D124" s="39">
        <v>1.0560000000000001E-4</v>
      </c>
      <c r="E124" s="39">
        <v>1.2990000000000001E-4</v>
      </c>
      <c r="F124" s="39">
        <v>4.6000000000000001E-4</v>
      </c>
      <c r="G124" s="39">
        <v>4.6000000000000001E-4</v>
      </c>
      <c r="H124" s="39">
        <v>1.9000000000000001E-4</v>
      </c>
      <c r="I124" s="39">
        <v>1.9000000000000001E-4</v>
      </c>
      <c r="J124" s="39">
        <v>8.7149600000000003E-4</v>
      </c>
      <c r="K124" s="39">
        <v>1.2728640000000001E-3</v>
      </c>
      <c r="L124" s="39">
        <v>5.0051000000000002E-4</v>
      </c>
      <c r="M124" s="39">
        <v>6.1564400000000004E-4</v>
      </c>
      <c r="N124" s="39">
        <v>2.31E-4</v>
      </c>
      <c r="O124" s="39">
        <v>2.31E-4</v>
      </c>
      <c r="P124" s="39">
        <v>2.31E-4</v>
      </c>
      <c r="Q124" s="39">
        <v>2.31E-4</v>
      </c>
      <c r="R124" s="39">
        <v>2.1000000000000001E-4</v>
      </c>
      <c r="S124" s="39">
        <v>2.1000000000000001E-4</v>
      </c>
      <c r="T124" s="39">
        <v>2.1000000000000001E-4</v>
      </c>
      <c r="U124" s="39">
        <v>2.1000000000000001E-4</v>
      </c>
      <c r="V124" s="39">
        <v>8.8800000000000004E-2</v>
      </c>
      <c r="W124" s="39">
        <v>8.8800000000000004E-2</v>
      </c>
      <c r="X124" s="39">
        <v>9.6500000000000002E-2</v>
      </c>
      <c r="Y124" s="39">
        <v>9.6500000000000002E-2</v>
      </c>
      <c r="Z124" s="70">
        <v>0.37</v>
      </c>
      <c r="AA124" s="30">
        <v>2220</v>
      </c>
      <c r="AB124" s="46">
        <v>3.0700000000000002E-2</v>
      </c>
    </row>
    <row r="125" spans="1:28" x14ac:dyDescent="0.25">
      <c r="A125" s="69">
        <v>32</v>
      </c>
      <c r="B125" s="39">
        <v>1.8929999999999999E-4</v>
      </c>
      <c r="C125" s="39">
        <v>2.7680000000000001E-4</v>
      </c>
      <c r="D125" s="39">
        <v>1.1239999999999999E-4</v>
      </c>
      <c r="E125" s="39">
        <v>1.3870000000000001E-4</v>
      </c>
      <c r="F125" s="39">
        <v>4.4999999999999999E-4</v>
      </c>
      <c r="G125" s="39">
        <v>4.4999999999999999E-4</v>
      </c>
      <c r="H125" s="39">
        <v>1.9000000000000001E-4</v>
      </c>
      <c r="I125" s="39">
        <v>1.9000000000000001E-4</v>
      </c>
      <c r="J125" s="39">
        <v>8.9708099999999999E-4</v>
      </c>
      <c r="K125" s="39">
        <v>1.311242E-3</v>
      </c>
      <c r="L125" s="39">
        <v>5.3249199999999997E-4</v>
      </c>
      <c r="M125" s="39">
        <v>6.5722000000000003E-4</v>
      </c>
      <c r="N125" s="39">
        <v>2.31E-4</v>
      </c>
      <c r="O125" s="39">
        <v>2.31E-4</v>
      </c>
      <c r="P125" s="39">
        <v>2.31E-4</v>
      </c>
      <c r="Q125" s="39">
        <v>2.31E-4</v>
      </c>
      <c r="R125" s="39">
        <v>2.1000000000000001E-4</v>
      </c>
      <c r="S125" s="39">
        <v>2.1000000000000001E-4</v>
      </c>
      <c r="T125" s="39">
        <v>2.1000000000000001E-4</v>
      </c>
      <c r="U125" s="39">
        <v>2.1000000000000001E-4</v>
      </c>
      <c r="V125" s="39">
        <v>8.8800000000000004E-2</v>
      </c>
      <c r="W125" s="39">
        <v>8.8800000000000004E-2</v>
      </c>
      <c r="X125" s="39">
        <v>9.6500000000000002E-2</v>
      </c>
      <c r="Y125" s="39">
        <v>9.6500000000000002E-2</v>
      </c>
      <c r="Z125" s="70">
        <v>0.37</v>
      </c>
      <c r="AA125" s="30">
        <v>2220</v>
      </c>
      <c r="AB125" s="46">
        <v>3.0700000000000002E-2</v>
      </c>
    </row>
    <row r="126" spans="1:28" x14ac:dyDescent="0.25">
      <c r="A126" s="69">
        <v>33</v>
      </c>
      <c r="B126" s="39">
        <v>1.9540000000000001E-4</v>
      </c>
      <c r="C126" s="39">
        <v>2.8620000000000002E-4</v>
      </c>
      <c r="D126" s="39">
        <v>1.198E-4</v>
      </c>
      <c r="E126" s="39">
        <v>1.485E-4</v>
      </c>
      <c r="F126" s="39">
        <v>4.4000000000000002E-4</v>
      </c>
      <c r="G126" s="39">
        <v>4.4000000000000002E-4</v>
      </c>
      <c r="H126" s="39">
        <v>1.8000000000000001E-4</v>
      </c>
      <c r="I126" s="39">
        <v>1.8000000000000001E-4</v>
      </c>
      <c r="J126" s="39">
        <v>9.2586399999999998E-4</v>
      </c>
      <c r="K126" s="39">
        <v>1.356016E-3</v>
      </c>
      <c r="L126" s="39">
        <v>5.6767199999999997E-4</v>
      </c>
      <c r="M126" s="39">
        <v>7.0359299999999997E-4</v>
      </c>
      <c r="N126" s="39">
        <v>2.31E-4</v>
      </c>
      <c r="O126" s="39">
        <v>2.31E-4</v>
      </c>
      <c r="P126" s="39">
        <v>2.31E-4</v>
      </c>
      <c r="Q126" s="39">
        <v>2.31E-4</v>
      </c>
      <c r="R126" s="39">
        <v>2.1000000000000001E-4</v>
      </c>
      <c r="S126" s="39">
        <v>2.1000000000000001E-4</v>
      </c>
      <c r="T126" s="39">
        <v>2.1000000000000001E-4</v>
      </c>
      <c r="U126" s="39">
        <v>2.1000000000000001E-4</v>
      </c>
      <c r="V126" s="39">
        <v>8.8800000000000004E-2</v>
      </c>
      <c r="W126" s="39">
        <v>8.8800000000000004E-2</v>
      </c>
      <c r="X126" s="39">
        <v>9.6500000000000002E-2</v>
      </c>
      <c r="Y126" s="39">
        <v>9.6500000000000002E-2</v>
      </c>
      <c r="Z126" s="70">
        <v>0.37</v>
      </c>
      <c r="AA126" s="30">
        <v>2220</v>
      </c>
      <c r="AB126" s="46">
        <v>3.0700000000000002E-2</v>
      </c>
    </row>
    <row r="127" spans="1:28" x14ac:dyDescent="0.25">
      <c r="A127" s="69">
        <v>34</v>
      </c>
      <c r="B127" s="39">
        <v>2.028E-4</v>
      </c>
      <c r="C127" s="39">
        <v>2.9730000000000002E-4</v>
      </c>
      <c r="D127" s="39">
        <v>1.283E-4</v>
      </c>
      <c r="E127" s="39">
        <v>1.6000000000000001E-4</v>
      </c>
      <c r="F127" s="39">
        <v>4.2999999999999999E-4</v>
      </c>
      <c r="G127" s="39">
        <v>4.2999999999999999E-4</v>
      </c>
      <c r="H127" s="39">
        <v>1.8000000000000001E-4</v>
      </c>
      <c r="I127" s="39">
        <v>1.8000000000000001E-4</v>
      </c>
      <c r="J127" s="39">
        <v>9.6104399999999998E-4</v>
      </c>
      <c r="K127" s="39">
        <v>1.4087850000000001E-3</v>
      </c>
      <c r="L127" s="39">
        <v>6.0764900000000004E-4</v>
      </c>
      <c r="M127" s="39">
        <v>7.5796200000000005E-4</v>
      </c>
      <c r="N127" s="39">
        <v>2.31E-4</v>
      </c>
      <c r="O127" s="39">
        <v>2.31E-4</v>
      </c>
      <c r="P127" s="39">
        <v>2.31E-4</v>
      </c>
      <c r="Q127" s="39">
        <v>2.31E-4</v>
      </c>
      <c r="R127" s="39">
        <v>2.1000000000000001E-4</v>
      </c>
      <c r="S127" s="39">
        <v>2.1000000000000001E-4</v>
      </c>
      <c r="T127" s="39">
        <v>2.1000000000000001E-4</v>
      </c>
      <c r="U127" s="39">
        <v>2.1000000000000001E-4</v>
      </c>
      <c r="V127" s="39">
        <v>8.8800000000000004E-2</v>
      </c>
      <c r="W127" s="39">
        <v>8.8800000000000004E-2</v>
      </c>
      <c r="X127" s="39">
        <v>9.6500000000000002E-2</v>
      </c>
      <c r="Y127" s="39">
        <v>9.6500000000000002E-2</v>
      </c>
      <c r="Z127" s="70">
        <v>0.37</v>
      </c>
      <c r="AA127" s="30">
        <v>2220</v>
      </c>
      <c r="AB127" s="46">
        <v>3.0700000000000002E-2</v>
      </c>
    </row>
    <row r="128" spans="1:28" x14ac:dyDescent="0.25">
      <c r="A128" s="69">
        <v>35</v>
      </c>
      <c r="B128" s="39">
        <v>2.1130000000000001E-4</v>
      </c>
      <c r="C128" s="39">
        <v>3.1050000000000001E-4</v>
      </c>
      <c r="D128" s="39">
        <v>1.3770000000000001E-4</v>
      </c>
      <c r="E128" s="39">
        <v>1.7310000000000001E-4</v>
      </c>
      <c r="F128" s="39">
        <v>4.2999999999999999E-4</v>
      </c>
      <c r="G128" s="39">
        <v>4.2999999999999999E-4</v>
      </c>
      <c r="H128" s="39">
        <v>1.7000000000000001E-4</v>
      </c>
      <c r="I128" s="39">
        <v>1.7000000000000001E-4</v>
      </c>
      <c r="J128" s="39">
        <v>1.0010209999999999E-3</v>
      </c>
      <c r="K128" s="39">
        <v>1.4711489999999999E-3</v>
      </c>
      <c r="L128" s="39">
        <v>6.5242299999999996E-4</v>
      </c>
      <c r="M128" s="39">
        <v>8.20325E-4</v>
      </c>
      <c r="N128" s="39">
        <v>2.31E-4</v>
      </c>
      <c r="O128" s="39">
        <v>2.31E-4</v>
      </c>
      <c r="P128" s="39">
        <v>2.31E-4</v>
      </c>
      <c r="Q128" s="39">
        <v>2.31E-4</v>
      </c>
      <c r="R128" s="39">
        <v>2.1000000000000001E-4</v>
      </c>
      <c r="S128" s="39">
        <v>2.1000000000000001E-4</v>
      </c>
      <c r="T128" s="39">
        <v>2.1000000000000001E-4</v>
      </c>
      <c r="U128" s="39">
        <v>2.1000000000000001E-4</v>
      </c>
      <c r="V128" s="39">
        <v>8.8800000000000004E-2</v>
      </c>
      <c r="W128" s="39">
        <v>8.8800000000000004E-2</v>
      </c>
      <c r="X128" s="39">
        <v>9.6500000000000002E-2</v>
      </c>
      <c r="Y128" s="39">
        <v>9.6500000000000002E-2</v>
      </c>
      <c r="Z128" s="70">
        <v>0.37</v>
      </c>
      <c r="AA128" s="30">
        <v>2220</v>
      </c>
      <c r="AB128" s="46">
        <v>3.0700000000000002E-2</v>
      </c>
    </row>
    <row r="129" spans="1:28" x14ac:dyDescent="0.25">
      <c r="A129" s="69">
        <v>36</v>
      </c>
      <c r="B129" s="39">
        <v>2.207E-4</v>
      </c>
      <c r="C129" s="39">
        <v>3.2600000000000001E-4</v>
      </c>
      <c r="D129" s="39">
        <v>1.482E-4</v>
      </c>
      <c r="E129" s="39">
        <v>1.883E-4</v>
      </c>
      <c r="F129" s="39">
        <v>4.2999999999999999E-4</v>
      </c>
      <c r="G129" s="39">
        <v>4.2999999999999999E-4</v>
      </c>
      <c r="H129" s="39">
        <v>1.7000000000000001E-4</v>
      </c>
      <c r="I129" s="39">
        <v>1.7000000000000001E-4</v>
      </c>
      <c r="J129" s="39">
        <v>1.045795E-3</v>
      </c>
      <c r="K129" s="39">
        <v>1.5447060000000001E-3</v>
      </c>
      <c r="L129" s="39">
        <v>7.0199399999999995E-4</v>
      </c>
      <c r="M129" s="39">
        <v>8.9228400000000002E-4</v>
      </c>
      <c r="N129" s="39">
        <v>2.31E-4</v>
      </c>
      <c r="O129" s="39">
        <v>2.31E-4</v>
      </c>
      <c r="P129" s="39">
        <v>2.31E-4</v>
      </c>
      <c r="Q129" s="39">
        <v>2.31E-4</v>
      </c>
      <c r="R129" s="39">
        <v>2.1000000000000001E-4</v>
      </c>
      <c r="S129" s="39">
        <v>2.1000000000000001E-4</v>
      </c>
      <c r="T129" s="39">
        <v>2.1000000000000001E-4</v>
      </c>
      <c r="U129" s="39">
        <v>2.1000000000000001E-4</v>
      </c>
      <c r="V129" s="39">
        <v>8.8800000000000004E-2</v>
      </c>
      <c r="W129" s="39">
        <v>8.8800000000000004E-2</v>
      </c>
      <c r="X129" s="39">
        <v>9.6500000000000002E-2</v>
      </c>
      <c r="Y129" s="39">
        <v>9.6500000000000002E-2</v>
      </c>
      <c r="Z129" s="70">
        <v>0.37</v>
      </c>
      <c r="AA129" s="30">
        <v>2220</v>
      </c>
      <c r="AB129" s="46">
        <v>3.15E-2</v>
      </c>
    </row>
    <row r="130" spans="1:28" x14ac:dyDescent="0.25">
      <c r="A130" s="69">
        <v>37</v>
      </c>
      <c r="B130" s="39">
        <v>2.319E-4</v>
      </c>
      <c r="C130" s="39">
        <v>3.4390000000000001E-4</v>
      </c>
      <c r="D130" s="39">
        <v>1.596E-4</v>
      </c>
      <c r="E130" s="39">
        <v>2.0589999999999999E-4</v>
      </c>
      <c r="F130" s="39">
        <v>4.4000000000000002E-4</v>
      </c>
      <c r="G130" s="39">
        <v>4.4000000000000002E-4</v>
      </c>
      <c r="H130" s="39">
        <v>1.7000000000000001E-4</v>
      </c>
      <c r="I130" s="39">
        <v>1.7000000000000001E-4</v>
      </c>
      <c r="J130" s="39">
        <v>1.0985649999999999E-3</v>
      </c>
      <c r="K130" s="39">
        <v>1.629457E-3</v>
      </c>
      <c r="L130" s="39">
        <v>7.5636200000000001E-4</v>
      </c>
      <c r="M130" s="39">
        <v>9.7543599999999999E-4</v>
      </c>
      <c r="N130" s="39">
        <v>2.31E-4</v>
      </c>
      <c r="O130" s="39">
        <v>2.31E-4</v>
      </c>
      <c r="P130" s="39">
        <v>2.31E-4</v>
      </c>
      <c r="Q130" s="39">
        <v>2.31E-4</v>
      </c>
      <c r="R130" s="39">
        <v>2.1000000000000001E-4</v>
      </c>
      <c r="S130" s="39">
        <v>2.1000000000000001E-4</v>
      </c>
      <c r="T130" s="39">
        <v>2.1000000000000001E-4</v>
      </c>
      <c r="U130" s="39">
        <v>2.1000000000000001E-4</v>
      </c>
      <c r="V130" s="39">
        <v>8.8800000000000004E-2</v>
      </c>
      <c r="W130" s="39">
        <v>8.8800000000000004E-2</v>
      </c>
      <c r="X130" s="39">
        <v>9.6500000000000002E-2</v>
      </c>
      <c r="Y130" s="39">
        <v>9.6500000000000002E-2</v>
      </c>
      <c r="Z130" s="70">
        <v>0.37</v>
      </c>
      <c r="AA130" s="30">
        <v>2220</v>
      </c>
      <c r="AB130" s="46">
        <v>3.15E-2</v>
      </c>
    </row>
    <row r="131" spans="1:28" x14ac:dyDescent="0.25">
      <c r="A131" s="69">
        <v>38</v>
      </c>
      <c r="B131" s="39">
        <v>2.4499999999999999E-4</v>
      </c>
      <c r="C131" s="39">
        <v>3.6479999999999998E-4</v>
      </c>
      <c r="D131" s="39">
        <v>1.728E-4</v>
      </c>
      <c r="E131" s="39">
        <v>2.2580000000000001E-4</v>
      </c>
      <c r="F131" s="39">
        <v>4.4000000000000002E-4</v>
      </c>
      <c r="G131" s="39">
        <v>4.4000000000000002E-4</v>
      </c>
      <c r="H131" s="39">
        <v>1.7000000000000001E-4</v>
      </c>
      <c r="I131" s="39">
        <v>1.7000000000000001E-4</v>
      </c>
      <c r="J131" s="39">
        <v>1.1609280000000001E-3</v>
      </c>
      <c r="K131" s="39">
        <v>1.7286000000000001E-3</v>
      </c>
      <c r="L131" s="39">
        <v>8.1872599999999998E-4</v>
      </c>
      <c r="M131" s="39">
        <v>1.0697809999999999E-3</v>
      </c>
      <c r="N131" s="39">
        <v>2.31E-4</v>
      </c>
      <c r="O131" s="39">
        <v>2.31E-4</v>
      </c>
      <c r="P131" s="39">
        <v>2.31E-4</v>
      </c>
      <c r="Q131" s="39">
        <v>2.31E-4</v>
      </c>
      <c r="R131" s="39">
        <v>2.1000000000000001E-4</v>
      </c>
      <c r="S131" s="39">
        <v>2.1000000000000001E-4</v>
      </c>
      <c r="T131" s="39">
        <v>2.1000000000000001E-4</v>
      </c>
      <c r="U131" s="39">
        <v>2.1000000000000001E-4</v>
      </c>
      <c r="V131" s="39">
        <v>8.8800000000000004E-2</v>
      </c>
      <c r="W131" s="39">
        <v>8.8800000000000004E-2</v>
      </c>
      <c r="X131" s="39">
        <v>9.6500000000000002E-2</v>
      </c>
      <c r="Y131" s="39">
        <v>9.6500000000000002E-2</v>
      </c>
      <c r="Z131" s="70">
        <v>0.37</v>
      </c>
      <c r="AA131" s="30">
        <v>2220</v>
      </c>
      <c r="AB131" s="46">
        <v>3.15E-2</v>
      </c>
    </row>
    <row r="132" spans="1:28" x14ac:dyDescent="0.25">
      <c r="A132" s="69">
        <v>39</v>
      </c>
      <c r="B132" s="39">
        <v>2.5950000000000002E-4</v>
      </c>
      <c r="C132" s="39">
        <v>3.8949999999999998E-4</v>
      </c>
      <c r="D132" s="39">
        <v>1.8770000000000001E-4</v>
      </c>
      <c r="E132" s="39">
        <v>2.4909999999999998E-4</v>
      </c>
      <c r="F132" s="39">
        <v>4.4999999999999999E-4</v>
      </c>
      <c r="G132" s="39">
        <v>4.4999999999999999E-4</v>
      </c>
      <c r="H132" s="39">
        <v>1.7000000000000001E-4</v>
      </c>
      <c r="I132" s="39">
        <v>1.7000000000000001E-4</v>
      </c>
      <c r="J132" s="39">
        <v>1.229689E-3</v>
      </c>
      <c r="K132" s="39">
        <v>1.845333E-3</v>
      </c>
      <c r="L132" s="39">
        <v>8.8908599999999998E-4</v>
      </c>
      <c r="M132" s="39">
        <v>1.1801170000000001E-3</v>
      </c>
      <c r="N132" s="39">
        <v>2.34393E-4</v>
      </c>
      <c r="O132" s="39">
        <v>2.34393E-4</v>
      </c>
      <c r="P132" s="39">
        <v>2.34393E-4</v>
      </c>
      <c r="Q132" s="39">
        <v>2.34393E-4</v>
      </c>
      <c r="R132" s="39">
        <v>2.1000000000000001E-4</v>
      </c>
      <c r="S132" s="39">
        <v>2.1000000000000001E-4</v>
      </c>
      <c r="T132" s="39">
        <v>2.1000000000000001E-4</v>
      </c>
      <c r="U132" s="39">
        <v>2.1000000000000001E-4</v>
      </c>
      <c r="V132" s="39">
        <v>8.8800000000000004E-2</v>
      </c>
      <c r="W132" s="39">
        <v>8.8800000000000004E-2</v>
      </c>
      <c r="X132" s="39">
        <v>9.6500000000000002E-2</v>
      </c>
      <c r="Y132" s="39">
        <v>9.6500000000000002E-2</v>
      </c>
      <c r="Z132" s="70">
        <v>0.37</v>
      </c>
      <c r="AA132" s="30">
        <v>2220</v>
      </c>
      <c r="AB132" s="46">
        <v>3.15E-2</v>
      </c>
    </row>
    <row r="133" spans="1:28" x14ac:dyDescent="0.25">
      <c r="A133" s="69">
        <v>40</v>
      </c>
      <c r="B133" s="39">
        <v>2.7680000000000001E-4</v>
      </c>
      <c r="C133" s="39">
        <v>4.1780000000000002E-4</v>
      </c>
      <c r="D133" s="39">
        <v>2.039E-4</v>
      </c>
      <c r="E133" s="39">
        <v>2.7540000000000003E-4</v>
      </c>
      <c r="F133" s="39">
        <v>4.6000000000000001E-4</v>
      </c>
      <c r="G133" s="39">
        <v>4.6000000000000001E-4</v>
      </c>
      <c r="H133" s="39">
        <v>1.7000000000000001E-4</v>
      </c>
      <c r="I133" s="39">
        <v>1.7000000000000001E-4</v>
      </c>
      <c r="J133" s="39">
        <v>1.311242E-3</v>
      </c>
      <c r="K133" s="39">
        <v>1.9796549999999999E-3</v>
      </c>
      <c r="L133" s="39">
        <v>9.6584100000000005E-4</v>
      </c>
      <c r="M133" s="39">
        <v>1.304845E-3</v>
      </c>
      <c r="N133" s="39">
        <v>2.5878099999999997E-4</v>
      </c>
      <c r="O133" s="39">
        <v>2.5878099999999997E-4</v>
      </c>
      <c r="P133" s="39">
        <v>2.5878099999999997E-4</v>
      </c>
      <c r="Q133" s="39">
        <v>2.5878099999999997E-4</v>
      </c>
      <c r="R133" s="39">
        <v>2.1000000000000001E-4</v>
      </c>
      <c r="S133" s="39">
        <v>2.1000000000000001E-4</v>
      </c>
      <c r="T133" s="39">
        <v>2.1000000000000001E-4</v>
      </c>
      <c r="U133" s="39">
        <v>2.1000000000000001E-4</v>
      </c>
      <c r="V133" s="39">
        <v>8.8800000000000004E-2</v>
      </c>
      <c r="W133" s="39">
        <v>8.8800000000000004E-2</v>
      </c>
      <c r="X133" s="39">
        <v>9.6500000000000002E-2</v>
      </c>
      <c r="Y133" s="39">
        <v>9.6500000000000002E-2</v>
      </c>
      <c r="Z133" s="70">
        <v>0.37</v>
      </c>
      <c r="AA133" s="30">
        <v>2220</v>
      </c>
      <c r="AB133" s="46">
        <v>3.15E-2</v>
      </c>
    </row>
    <row r="134" spans="1:28" x14ac:dyDescent="0.25">
      <c r="A134" s="69">
        <v>41</v>
      </c>
      <c r="B134" s="39">
        <v>2.9629999999999999E-4</v>
      </c>
      <c r="C134" s="39">
        <v>4.5090000000000001E-4</v>
      </c>
      <c r="D134" s="39">
        <v>2.2240000000000001E-4</v>
      </c>
      <c r="E134" s="39">
        <v>3.0580000000000001E-4</v>
      </c>
      <c r="F134" s="39">
        <v>4.6000000000000001E-4</v>
      </c>
      <c r="G134" s="39">
        <v>4.6000000000000001E-4</v>
      </c>
      <c r="H134" s="39">
        <v>1.6000000000000001E-4</v>
      </c>
      <c r="I134" s="39">
        <v>1.6000000000000001E-4</v>
      </c>
      <c r="J134" s="39">
        <v>1.4039879999999999E-3</v>
      </c>
      <c r="K134" s="39">
        <v>2.136364E-3</v>
      </c>
      <c r="L134" s="39">
        <v>1.05379E-3</v>
      </c>
      <c r="M134" s="39">
        <v>1.4487619999999999E-3</v>
      </c>
      <c r="N134" s="39">
        <v>2.8771899999999997E-4</v>
      </c>
      <c r="O134" s="39">
        <v>2.8771899999999997E-4</v>
      </c>
      <c r="P134" s="39">
        <v>2.8771899999999997E-4</v>
      </c>
      <c r="Q134" s="39">
        <v>2.8771899999999997E-4</v>
      </c>
      <c r="R134" s="39">
        <v>2.1000000000000001E-4</v>
      </c>
      <c r="S134" s="39">
        <v>2.1000000000000001E-4</v>
      </c>
      <c r="T134" s="39">
        <v>2.1000000000000001E-4</v>
      </c>
      <c r="U134" s="39">
        <v>2.1000000000000001E-4</v>
      </c>
      <c r="V134" s="39">
        <v>8.8800000000000004E-2</v>
      </c>
      <c r="W134" s="39">
        <v>8.8800000000000004E-2</v>
      </c>
      <c r="X134" s="39">
        <v>9.6500000000000002E-2</v>
      </c>
      <c r="Y134" s="39">
        <v>9.6500000000000002E-2</v>
      </c>
      <c r="Z134" s="70">
        <v>0.37</v>
      </c>
      <c r="AA134" s="30">
        <v>2220</v>
      </c>
      <c r="AB134" s="46">
        <v>3.15E-2</v>
      </c>
    </row>
    <row r="135" spans="1:28" x14ac:dyDescent="0.25">
      <c r="A135" s="69">
        <v>42</v>
      </c>
      <c r="B135" s="39">
        <v>3.1859999999999999E-4</v>
      </c>
      <c r="C135" s="39">
        <v>4.8899999999999996E-4</v>
      </c>
      <c r="D135" s="39">
        <v>2.43E-4</v>
      </c>
      <c r="E135" s="39">
        <v>3.4049999999999998E-4</v>
      </c>
      <c r="F135" s="39">
        <v>4.6999999999999999E-4</v>
      </c>
      <c r="G135" s="39">
        <v>4.6999999999999999E-4</v>
      </c>
      <c r="H135" s="39">
        <v>1.6000000000000001E-4</v>
      </c>
      <c r="I135" s="39">
        <v>1.6000000000000001E-4</v>
      </c>
      <c r="J135" s="39">
        <v>1.5095270000000001E-3</v>
      </c>
      <c r="K135" s="39">
        <v>2.3170600000000001E-3</v>
      </c>
      <c r="L135" s="39">
        <v>1.151334E-3</v>
      </c>
      <c r="M135" s="39">
        <v>1.6134669999999999E-3</v>
      </c>
      <c r="N135" s="39">
        <v>3.2164200000000002E-4</v>
      </c>
      <c r="O135" s="39">
        <v>3.2164200000000002E-4</v>
      </c>
      <c r="P135" s="39">
        <v>3.2164200000000002E-4</v>
      </c>
      <c r="Q135" s="39">
        <v>3.2164200000000002E-4</v>
      </c>
      <c r="R135" s="39">
        <v>2.1000000000000001E-4</v>
      </c>
      <c r="S135" s="39">
        <v>2.1000000000000001E-4</v>
      </c>
      <c r="T135" s="39">
        <v>2.1000000000000001E-4</v>
      </c>
      <c r="U135" s="39">
        <v>2.1000000000000001E-4</v>
      </c>
      <c r="V135" s="39">
        <v>8.8800000000000004E-2</v>
      </c>
      <c r="W135" s="39">
        <v>8.8800000000000004E-2</v>
      </c>
      <c r="X135" s="39">
        <v>9.6500000000000002E-2</v>
      </c>
      <c r="Y135" s="39">
        <v>9.6500000000000002E-2</v>
      </c>
      <c r="Z135" s="70">
        <v>0.37</v>
      </c>
      <c r="AA135" s="30">
        <v>2220</v>
      </c>
      <c r="AB135" s="46">
        <v>3.15E-2</v>
      </c>
    </row>
    <row r="136" spans="1:28" x14ac:dyDescent="0.25">
      <c r="A136" s="69">
        <v>43</v>
      </c>
      <c r="B136" s="39">
        <v>3.4459999999999997E-4</v>
      </c>
      <c r="C136" s="39">
        <v>5.3359999999999996E-4</v>
      </c>
      <c r="D136" s="39">
        <v>2.6600000000000001E-4</v>
      </c>
      <c r="E136" s="39">
        <v>3.8039999999999998E-4</v>
      </c>
      <c r="F136" s="39">
        <v>4.6999999999999999E-4</v>
      </c>
      <c r="G136" s="39">
        <v>4.6999999999999999E-4</v>
      </c>
      <c r="H136" s="39">
        <v>1.6000000000000001E-4</v>
      </c>
      <c r="I136" s="39">
        <v>1.6000000000000001E-4</v>
      </c>
      <c r="J136" s="39">
        <v>1.6326559999999999E-3</v>
      </c>
      <c r="K136" s="39">
        <v>2.5281380000000001E-3</v>
      </c>
      <c r="L136" s="39">
        <v>1.260071E-3</v>
      </c>
      <c r="M136" s="39">
        <v>1.8021580000000001E-3</v>
      </c>
      <c r="N136" s="39">
        <v>3.6102699999999998E-4</v>
      </c>
      <c r="O136" s="39">
        <v>3.6102699999999998E-4</v>
      </c>
      <c r="P136" s="39">
        <v>3.6102699999999998E-4</v>
      </c>
      <c r="Q136" s="39">
        <v>3.6102699999999998E-4</v>
      </c>
      <c r="R136" s="39">
        <v>2.1000000000000001E-4</v>
      </c>
      <c r="S136" s="39">
        <v>2.1000000000000001E-4</v>
      </c>
      <c r="T136" s="39">
        <v>2.1000000000000001E-4</v>
      </c>
      <c r="U136" s="39">
        <v>2.1000000000000001E-4</v>
      </c>
      <c r="V136" s="39">
        <v>8.8800000000000004E-2</v>
      </c>
      <c r="W136" s="39">
        <v>8.8800000000000004E-2</v>
      </c>
      <c r="X136" s="39">
        <v>9.6500000000000002E-2</v>
      </c>
      <c r="Y136" s="39">
        <v>9.6500000000000002E-2</v>
      </c>
      <c r="Z136" s="70">
        <v>0.37</v>
      </c>
      <c r="AA136" s="30">
        <v>2220</v>
      </c>
      <c r="AB136" s="46">
        <v>3.15E-2</v>
      </c>
    </row>
    <row r="137" spans="1:28" x14ac:dyDescent="0.25">
      <c r="A137" s="69">
        <v>44</v>
      </c>
      <c r="B137" s="39">
        <v>3.7399999999999998E-4</v>
      </c>
      <c r="C137" s="39">
        <v>5.8460000000000001E-4</v>
      </c>
      <c r="D137" s="39">
        <v>2.9159999999999999E-4</v>
      </c>
      <c r="E137" s="39">
        <v>4.2559999999999999E-4</v>
      </c>
      <c r="F137" s="39">
        <v>4.8000000000000001E-4</v>
      </c>
      <c r="G137" s="39">
        <v>4.8000000000000001E-4</v>
      </c>
      <c r="H137" s="39">
        <v>1.7000000000000001E-4</v>
      </c>
      <c r="I137" s="39">
        <v>1.7000000000000001E-4</v>
      </c>
      <c r="J137" s="39">
        <v>1.771775E-3</v>
      </c>
      <c r="K137" s="39">
        <v>2.7695979999999999E-3</v>
      </c>
      <c r="L137" s="39">
        <v>1.3816010000000001E-3</v>
      </c>
      <c r="M137" s="39">
        <v>2.0164340000000001E-3</v>
      </c>
      <c r="N137" s="39">
        <v>4.06396E-4</v>
      </c>
      <c r="O137" s="39">
        <v>4.06396E-4</v>
      </c>
      <c r="P137" s="39">
        <v>4.06396E-4</v>
      </c>
      <c r="Q137" s="39">
        <v>4.06396E-4</v>
      </c>
      <c r="R137" s="39">
        <v>2.1000000000000001E-4</v>
      </c>
      <c r="S137" s="39">
        <v>2.1000000000000001E-4</v>
      </c>
      <c r="T137" s="39">
        <v>2.1000000000000001E-4</v>
      </c>
      <c r="U137" s="39">
        <v>2.1000000000000001E-4</v>
      </c>
      <c r="V137" s="39">
        <v>8.8800000000000004E-2</v>
      </c>
      <c r="W137" s="39">
        <v>8.8800000000000004E-2</v>
      </c>
      <c r="X137" s="39">
        <v>9.6500000000000002E-2</v>
      </c>
      <c r="Y137" s="39">
        <v>9.6500000000000002E-2</v>
      </c>
      <c r="Z137" s="70">
        <v>0.37</v>
      </c>
      <c r="AA137" s="30">
        <v>2220</v>
      </c>
      <c r="AB137" s="46">
        <v>3.15E-2</v>
      </c>
    </row>
    <row r="138" spans="1:28" x14ac:dyDescent="0.25">
      <c r="A138" s="69">
        <v>45</v>
      </c>
      <c r="B138" s="39">
        <v>4.0769999999999999E-4</v>
      </c>
      <c r="C138" s="39">
        <v>6.4360000000000003E-4</v>
      </c>
      <c r="D138" s="39">
        <v>3.2029999999999998E-4</v>
      </c>
      <c r="E138" s="39">
        <v>4.7760000000000001E-4</v>
      </c>
      <c r="F138" s="39">
        <v>4.8999999999999998E-4</v>
      </c>
      <c r="G138" s="39">
        <v>4.8999999999999998E-4</v>
      </c>
      <c r="H138" s="39">
        <v>1.7000000000000001E-4</v>
      </c>
      <c r="I138" s="39">
        <v>1.7000000000000001E-4</v>
      </c>
      <c r="J138" s="39">
        <v>1.931683E-3</v>
      </c>
      <c r="K138" s="39">
        <v>3.049436E-3</v>
      </c>
      <c r="L138" s="39">
        <v>1.5175220000000001E-3</v>
      </c>
      <c r="M138" s="39">
        <v>2.2626909999999998E-3</v>
      </c>
      <c r="N138" s="39">
        <v>4.5832000000000002E-4</v>
      </c>
      <c r="O138" s="39">
        <v>4.5832000000000002E-4</v>
      </c>
      <c r="P138" s="39">
        <v>4.5832000000000002E-4</v>
      </c>
      <c r="Q138" s="39">
        <v>4.5832000000000002E-4</v>
      </c>
      <c r="R138" s="39">
        <v>2.1000000000000001E-4</v>
      </c>
      <c r="S138" s="39">
        <v>2.1000000000000001E-4</v>
      </c>
      <c r="T138" s="39">
        <v>2.1000000000000001E-4</v>
      </c>
      <c r="U138" s="39">
        <v>2.1000000000000001E-4</v>
      </c>
      <c r="V138" s="39">
        <v>8.8800000000000004E-2</v>
      </c>
      <c r="W138" s="39">
        <v>8.8800000000000004E-2</v>
      </c>
      <c r="X138" s="39">
        <v>9.6500000000000002E-2</v>
      </c>
      <c r="Y138" s="39">
        <v>9.6500000000000002E-2</v>
      </c>
      <c r="Z138" s="70">
        <v>0.37</v>
      </c>
      <c r="AA138" s="30">
        <v>2220</v>
      </c>
      <c r="AB138" s="46">
        <v>3.15E-2</v>
      </c>
    </row>
    <row r="139" spans="1:28" x14ac:dyDescent="0.25">
      <c r="A139" s="69">
        <v>46</v>
      </c>
      <c r="B139" s="39">
        <v>4.462E-4</v>
      </c>
      <c r="C139" s="39">
        <v>7.1179999999999995E-4</v>
      </c>
      <c r="D139" s="39">
        <v>3.524E-4</v>
      </c>
      <c r="E139" s="39">
        <v>5.3629999999999997E-4</v>
      </c>
      <c r="F139" s="39">
        <v>5.0000000000000001E-4</v>
      </c>
      <c r="G139" s="39">
        <v>5.0000000000000001E-4</v>
      </c>
      <c r="H139" s="39">
        <v>1.7000000000000001E-4</v>
      </c>
      <c r="I139" s="39">
        <v>1.7000000000000001E-4</v>
      </c>
      <c r="J139" s="39">
        <v>2.113977E-3</v>
      </c>
      <c r="K139" s="39">
        <v>3.372449E-3</v>
      </c>
      <c r="L139" s="39">
        <v>1.669434E-3</v>
      </c>
      <c r="M139" s="39">
        <v>2.5409299999999998E-3</v>
      </c>
      <c r="N139" s="39">
        <v>5.1742400000000005E-4</v>
      </c>
      <c r="O139" s="39">
        <v>5.1742400000000005E-4</v>
      </c>
      <c r="P139" s="39">
        <v>5.1742400000000005E-4</v>
      </c>
      <c r="Q139" s="39">
        <v>5.1742400000000005E-4</v>
      </c>
      <c r="R139" s="39">
        <v>2.1000000000000001E-4</v>
      </c>
      <c r="S139" s="39">
        <v>2.1000000000000001E-4</v>
      </c>
      <c r="T139" s="39">
        <v>2.1000000000000001E-4</v>
      </c>
      <c r="U139" s="39">
        <v>2.1000000000000001E-4</v>
      </c>
      <c r="V139" s="39">
        <v>8.8800000000000004E-2</v>
      </c>
      <c r="W139" s="39">
        <v>8.8800000000000004E-2</v>
      </c>
      <c r="X139" s="39">
        <v>9.6500000000000002E-2</v>
      </c>
      <c r="Y139" s="39">
        <v>9.6500000000000002E-2</v>
      </c>
      <c r="Z139" s="70">
        <v>0.37</v>
      </c>
      <c r="AA139" s="30">
        <v>2220</v>
      </c>
      <c r="AB139" s="46">
        <v>3.2300000000000002E-2</v>
      </c>
    </row>
    <row r="140" spans="1:28" x14ac:dyDescent="0.25">
      <c r="A140" s="69">
        <v>47</v>
      </c>
      <c r="B140" s="39">
        <v>4.9010000000000004E-4</v>
      </c>
      <c r="C140" s="39">
        <v>7.8980000000000001E-4</v>
      </c>
      <c r="D140" s="39">
        <v>3.881E-4</v>
      </c>
      <c r="E140" s="39">
        <v>6.0349999999999998E-4</v>
      </c>
      <c r="F140" s="39">
        <v>5.1000000000000004E-4</v>
      </c>
      <c r="G140" s="39">
        <v>5.1000000000000004E-4</v>
      </c>
      <c r="H140" s="39">
        <v>1.7000000000000001E-4</v>
      </c>
      <c r="I140" s="39">
        <v>1.7000000000000001E-4</v>
      </c>
      <c r="J140" s="39">
        <v>2.3218570000000001E-3</v>
      </c>
      <c r="K140" s="39">
        <v>3.7418360000000001E-3</v>
      </c>
      <c r="L140" s="39">
        <v>1.838936E-3</v>
      </c>
      <c r="M140" s="39">
        <v>2.8591459999999999E-3</v>
      </c>
      <c r="N140" s="39">
        <v>5.8439099999999997E-4</v>
      </c>
      <c r="O140" s="39">
        <v>5.8439099999999997E-4</v>
      </c>
      <c r="P140" s="39">
        <v>5.8439099999999997E-4</v>
      </c>
      <c r="Q140" s="39">
        <v>5.8439099999999997E-4</v>
      </c>
      <c r="R140" s="39">
        <v>2.1000000000000001E-4</v>
      </c>
      <c r="S140" s="39">
        <v>2.1000000000000001E-4</v>
      </c>
      <c r="T140" s="39">
        <v>2.1000000000000001E-4</v>
      </c>
      <c r="U140" s="39">
        <v>2.1000000000000001E-4</v>
      </c>
      <c r="V140" s="39">
        <v>8.8800000000000004E-2</v>
      </c>
      <c r="W140" s="39">
        <v>8.8800000000000004E-2</v>
      </c>
      <c r="X140" s="39">
        <v>9.6500000000000002E-2</v>
      </c>
      <c r="Y140" s="39">
        <v>9.6500000000000002E-2</v>
      </c>
      <c r="Z140" s="70">
        <v>0.37</v>
      </c>
      <c r="AA140" s="30">
        <v>2220</v>
      </c>
      <c r="AB140" s="46">
        <v>3.2300000000000002E-2</v>
      </c>
    </row>
    <row r="141" spans="1:28" x14ac:dyDescent="0.25">
      <c r="A141" s="69">
        <v>48</v>
      </c>
      <c r="B141" s="39">
        <v>5.4029999999999996E-4</v>
      </c>
      <c r="C141" s="39">
        <v>8.7920000000000001E-4</v>
      </c>
      <c r="D141" s="39">
        <v>4.283E-4</v>
      </c>
      <c r="E141" s="39">
        <v>6.7940000000000003E-4</v>
      </c>
      <c r="F141" s="39">
        <v>5.1000000000000004E-4</v>
      </c>
      <c r="G141" s="39">
        <v>5.1000000000000004E-4</v>
      </c>
      <c r="H141" s="39">
        <v>1.7000000000000001E-4</v>
      </c>
      <c r="I141" s="39">
        <v>1.7000000000000001E-4</v>
      </c>
      <c r="J141" s="39">
        <v>2.560119E-3</v>
      </c>
      <c r="K141" s="39">
        <v>4.1655900000000003E-3</v>
      </c>
      <c r="L141" s="39">
        <v>2.0292259999999999E-3</v>
      </c>
      <c r="M141" s="39">
        <v>3.2189380000000002E-3</v>
      </c>
      <c r="N141" s="39">
        <v>6.5996800000000003E-4</v>
      </c>
      <c r="O141" s="39">
        <v>6.5996800000000003E-4</v>
      </c>
      <c r="P141" s="39">
        <v>6.5996800000000003E-4</v>
      </c>
      <c r="Q141" s="39">
        <v>6.5996800000000003E-4</v>
      </c>
      <c r="R141" s="39">
        <v>2.1000000000000001E-4</v>
      </c>
      <c r="S141" s="39">
        <v>2.1000000000000001E-4</v>
      </c>
      <c r="T141" s="39">
        <v>2.1000000000000001E-4</v>
      </c>
      <c r="U141" s="39">
        <v>2.1000000000000001E-4</v>
      </c>
      <c r="V141" s="39">
        <v>8.8800000000000004E-2</v>
      </c>
      <c r="W141" s="39">
        <v>8.8800000000000004E-2</v>
      </c>
      <c r="X141" s="39">
        <v>9.6500000000000002E-2</v>
      </c>
      <c r="Y141" s="39">
        <v>9.6500000000000002E-2</v>
      </c>
      <c r="Z141" s="70">
        <v>0.37</v>
      </c>
      <c r="AA141" s="30">
        <v>2220</v>
      </c>
      <c r="AB141" s="46">
        <v>3.2300000000000002E-2</v>
      </c>
    </row>
    <row r="142" spans="1:28" x14ac:dyDescent="0.25">
      <c r="A142" s="69">
        <v>49</v>
      </c>
      <c r="B142" s="39">
        <v>5.9739999999999999E-4</v>
      </c>
      <c r="C142" s="39">
        <v>9.817999999999999E-4</v>
      </c>
      <c r="D142" s="39">
        <v>4.728E-4</v>
      </c>
      <c r="E142" s="39">
        <v>7.6579999999999997E-4</v>
      </c>
      <c r="F142" s="39">
        <v>5.1999999999999995E-4</v>
      </c>
      <c r="G142" s="39">
        <v>5.1999999999999995E-4</v>
      </c>
      <c r="H142" s="39">
        <v>1.8000000000000001E-4</v>
      </c>
      <c r="I142" s="39">
        <v>1.8000000000000001E-4</v>
      </c>
      <c r="J142" s="39">
        <v>2.8303629999999998E-3</v>
      </c>
      <c r="K142" s="39">
        <v>4.6517090000000004E-3</v>
      </c>
      <c r="L142" s="39">
        <v>2.2403039999999998E-3</v>
      </c>
      <c r="M142" s="39">
        <v>3.628301E-3</v>
      </c>
      <c r="N142" s="39">
        <v>7.44972E-4</v>
      </c>
      <c r="O142" s="39">
        <v>7.44972E-4</v>
      </c>
      <c r="P142" s="39">
        <v>7.44972E-4</v>
      </c>
      <c r="Q142" s="39">
        <v>7.44972E-4</v>
      </c>
      <c r="R142" s="39">
        <v>2.1000000000000001E-4</v>
      </c>
      <c r="S142" s="39">
        <v>2.1000000000000001E-4</v>
      </c>
      <c r="T142" s="39">
        <v>2.1000000000000001E-4</v>
      </c>
      <c r="U142" s="39">
        <v>2.1000000000000001E-4</v>
      </c>
      <c r="V142" s="39">
        <v>8.8800000000000004E-2</v>
      </c>
      <c r="W142" s="39">
        <v>8.8800000000000004E-2</v>
      </c>
      <c r="X142" s="39">
        <v>9.6500000000000002E-2</v>
      </c>
      <c r="Y142" s="39">
        <v>9.6500000000000002E-2</v>
      </c>
      <c r="Z142" s="70">
        <v>0.37</v>
      </c>
      <c r="AA142" s="30">
        <v>2220</v>
      </c>
      <c r="AB142" s="46">
        <v>3.2300000000000002E-2</v>
      </c>
    </row>
    <row r="143" spans="1:28" x14ac:dyDescent="0.25">
      <c r="A143" s="69">
        <v>50</v>
      </c>
      <c r="B143" s="39">
        <v>6.625E-4</v>
      </c>
      <c r="C143" s="39">
        <v>1.0989000000000001E-3</v>
      </c>
      <c r="D143" s="39">
        <v>5.2309999999999998E-4</v>
      </c>
      <c r="E143" s="39">
        <v>8.633E-4</v>
      </c>
      <c r="F143" s="39">
        <v>5.2999999999999998E-4</v>
      </c>
      <c r="G143" s="39">
        <v>5.2999999999999998E-4</v>
      </c>
      <c r="H143" s="39">
        <v>1.8000000000000001E-4</v>
      </c>
      <c r="I143" s="39">
        <v>1.8000000000000001E-4</v>
      </c>
      <c r="J143" s="39">
        <v>3.138984E-3</v>
      </c>
      <c r="K143" s="39">
        <v>5.2065879999999998E-3</v>
      </c>
      <c r="L143" s="39">
        <v>2.4785660000000002E-3</v>
      </c>
      <c r="M143" s="39">
        <v>4.0904340000000004E-3</v>
      </c>
      <c r="N143" s="39">
        <v>8.4029600000000003E-4</v>
      </c>
      <c r="O143" s="39">
        <v>8.4029600000000003E-4</v>
      </c>
      <c r="P143" s="39">
        <v>8.4029600000000003E-4</v>
      </c>
      <c r="Q143" s="39">
        <v>8.4029600000000003E-4</v>
      </c>
      <c r="R143" s="39">
        <v>2.1000000000000001E-4</v>
      </c>
      <c r="S143" s="39">
        <v>2.1000000000000001E-4</v>
      </c>
      <c r="T143" s="39">
        <v>2.1000000000000001E-4</v>
      </c>
      <c r="U143" s="39">
        <v>2.1000000000000001E-4</v>
      </c>
      <c r="V143" s="39">
        <v>8.8800000000000004E-2</v>
      </c>
      <c r="W143" s="39">
        <v>8.8800000000000004E-2</v>
      </c>
      <c r="X143" s="39">
        <v>9.6500000000000002E-2</v>
      </c>
      <c r="Y143" s="39">
        <v>9.6500000000000002E-2</v>
      </c>
      <c r="Z143" s="70">
        <v>0.37</v>
      </c>
      <c r="AA143" s="30">
        <v>2220</v>
      </c>
      <c r="AB143" s="46">
        <v>3.2300000000000002E-2</v>
      </c>
    </row>
    <row r="144" spans="1:28" x14ac:dyDescent="0.25">
      <c r="A144" s="69">
        <v>51</v>
      </c>
      <c r="B144" s="39">
        <v>7.3680000000000002E-4</v>
      </c>
      <c r="C144" s="39">
        <v>1.2325999999999999E-3</v>
      </c>
      <c r="D144" s="39">
        <v>5.7919999999999998E-4</v>
      </c>
      <c r="E144" s="39">
        <v>9.7400000000000004E-4</v>
      </c>
      <c r="F144" s="39">
        <v>5.4000000000000001E-4</v>
      </c>
      <c r="G144" s="39">
        <v>5.4000000000000001E-4</v>
      </c>
      <c r="H144" s="39">
        <v>1.9000000000000001E-4</v>
      </c>
      <c r="I144" s="39">
        <v>1.9000000000000001E-4</v>
      </c>
      <c r="J144" s="39">
        <v>3.4907810000000001E-3</v>
      </c>
      <c r="K144" s="39">
        <v>5.8398219999999997E-3</v>
      </c>
      <c r="L144" s="39">
        <v>2.744013E-3</v>
      </c>
      <c r="M144" s="39">
        <v>4.6149299999999997E-3</v>
      </c>
      <c r="N144" s="39">
        <v>9.46915E-4</v>
      </c>
      <c r="O144" s="39">
        <v>9.46915E-4</v>
      </c>
      <c r="P144" s="39">
        <v>9.46915E-4</v>
      </c>
      <c r="Q144" s="39">
        <v>9.46915E-4</v>
      </c>
      <c r="R144" s="39">
        <v>2.1000000000000001E-4</v>
      </c>
      <c r="S144" s="39">
        <v>2.1000000000000001E-4</v>
      </c>
      <c r="T144" s="39">
        <v>2.1000000000000001E-4</v>
      </c>
      <c r="U144" s="39">
        <v>2.1000000000000001E-4</v>
      </c>
      <c r="V144" s="39">
        <v>8.8800000000000004E-2</v>
      </c>
      <c r="W144" s="39">
        <v>8.8800000000000004E-2</v>
      </c>
      <c r="X144" s="39">
        <v>9.6500000000000002E-2</v>
      </c>
      <c r="Y144" s="39">
        <v>9.6500000000000002E-2</v>
      </c>
      <c r="Z144" s="70">
        <v>0.37</v>
      </c>
      <c r="AA144" s="30">
        <v>2220</v>
      </c>
      <c r="AB144" s="46">
        <v>3.39E-2</v>
      </c>
    </row>
    <row r="145" spans="1:28" x14ac:dyDescent="0.25">
      <c r="A145" s="69">
        <v>52</v>
      </c>
      <c r="B145" s="39">
        <v>8.208E-4</v>
      </c>
      <c r="C145" s="39">
        <v>1.3848E-3</v>
      </c>
      <c r="D145" s="39">
        <v>6.4159999999999998E-4</v>
      </c>
      <c r="E145" s="39">
        <v>1.0992E-3</v>
      </c>
      <c r="F145" s="39">
        <v>5.5000000000000003E-4</v>
      </c>
      <c r="G145" s="39">
        <v>5.5000000000000003E-4</v>
      </c>
      <c r="H145" s="39">
        <v>2.0000000000000001E-4</v>
      </c>
      <c r="I145" s="39">
        <v>2.0000000000000001E-4</v>
      </c>
      <c r="J145" s="39">
        <v>3.88895E-3</v>
      </c>
      <c r="K145" s="39">
        <v>6.561005E-3</v>
      </c>
      <c r="L145" s="39">
        <v>3.0398420000000001E-3</v>
      </c>
      <c r="M145" s="39">
        <v>5.2081870000000004E-3</v>
      </c>
      <c r="N145" s="39">
        <v>1.0658950000000001E-3</v>
      </c>
      <c r="O145" s="39">
        <v>1.0658950000000001E-3</v>
      </c>
      <c r="P145" s="39">
        <v>1.0658950000000001E-3</v>
      </c>
      <c r="Q145" s="39">
        <v>1.0658950000000001E-3</v>
      </c>
      <c r="R145" s="39">
        <v>2.1000000000000001E-4</v>
      </c>
      <c r="S145" s="39">
        <v>2.1000000000000001E-4</v>
      </c>
      <c r="T145" s="39">
        <v>2.1000000000000001E-4</v>
      </c>
      <c r="U145" s="39">
        <v>2.1000000000000001E-4</v>
      </c>
      <c r="V145" s="39">
        <v>8.8800000000000004E-2</v>
      </c>
      <c r="W145" s="39">
        <v>8.8800000000000004E-2</v>
      </c>
      <c r="X145" s="39">
        <v>9.6500000000000002E-2</v>
      </c>
      <c r="Y145" s="39">
        <v>9.6500000000000002E-2</v>
      </c>
      <c r="Z145" s="70">
        <v>0.37</v>
      </c>
      <c r="AA145" s="30">
        <v>2220</v>
      </c>
      <c r="AB145" s="46">
        <v>3.39E-2</v>
      </c>
    </row>
    <row r="146" spans="1:28" x14ac:dyDescent="0.25">
      <c r="A146" s="69">
        <v>53</v>
      </c>
      <c r="B146" s="39">
        <v>9.1629999999999999E-4</v>
      </c>
      <c r="C146" s="39">
        <v>1.5575999999999999E-3</v>
      </c>
      <c r="D146" s="39">
        <v>7.1179999999999995E-4</v>
      </c>
      <c r="E146" s="39">
        <v>1.24E-3</v>
      </c>
      <c r="F146" s="39">
        <v>5.5999999999999995E-4</v>
      </c>
      <c r="G146" s="39">
        <v>5.5999999999999995E-4</v>
      </c>
      <c r="H146" s="39">
        <v>2.0000000000000001E-4</v>
      </c>
      <c r="I146" s="39">
        <v>2.0000000000000001E-4</v>
      </c>
      <c r="J146" s="39">
        <v>4.3414889999999996E-3</v>
      </c>
      <c r="K146" s="39">
        <v>7.3797309999999996E-3</v>
      </c>
      <c r="L146" s="39">
        <v>3.372449E-3</v>
      </c>
      <c r="M146" s="39">
        <v>5.8750019999999998E-3</v>
      </c>
      <c r="N146" s="39">
        <v>1.198398E-3</v>
      </c>
      <c r="O146" s="39">
        <v>1.198398E-3</v>
      </c>
      <c r="P146" s="39">
        <v>1.198398E-3</v>
      </c>
      <c r="Q146" s="39">
        <v>1.198398E-3</v>
      </c>
      <c r="R146" s="39">
        <v>2.1000000000000001E-4</v>
      </c>
      <c r="S146" s="39">
        <v>2.1000000000000001E-4</v>
      </c>
      <c r="T146" s="39">
        <v>2.1000000000000001E-4</v>
      </c>
      <c r="U146" s="39">
        <v>2.1000000000000001E-4</v>
      </c>
      <c r="V146" s="39">
        <v>8.8800000000000004E-2</v>
      </c>
      <c r="W146" s="39">
        <v>8.8800000000000004E-2</v>
      </c>
      <c r="X146" s="39">
        <v>9.6500000000000002E-2</v>
      </c>
      <c r="Y146" s="39">
        <v>9.6500000000000002E-2</v>
      </c>
      <c r="Z146" s="70">
        <v>0.37</v>
      </c>
      <c r="AA146" s="30">
        <v>2220</v>
      </c>
      <c r="AB146" s="46">
        <v>3.39E-2</v>
      </c>
    </row>
    <row r="147" spans="1:28" x14ac:dyDescent="0.25">
      <c r="A147" s="69">
        <v>54</v>
      </c>
      <c r="B147" s="39">
        <v>1.0246999999999999E-3</v>
      </c>
      <c r="C147" s="39">
        <v>1.7537E-3</v>
      </c>
      <c r="D147" s="39">
        <v>7.9009999999999996E-4</v>
      </c>
      <c r="E147" s="39">
        <v>1.3993E-3</v>
      </c>
      <c r="F147" s="39">
        <v>5.6999999999999998E-4</v>
      </c>
      <c r="G147" s="39">
        <v>5.6999999999999998E-4</v>
      </c>
      <c r="H147" s="39">
        <v>2.1000000000000001E-4</v>
      </c>
      <c r="I147" s="39">
        <v>2.1000000000000001E-4</v>
      </c>
      <c r="J147" s="39">
        <v>4.8547920000000001E-3</v>
      </c>
      <c r="K147" s="39">
        <v>8.3087939999999996E-3</v>
      </c>
      <c r="L147" s="39">
        <v>3.7434349999999998E-3</v>
      </c>
      <c r="M147" s="39">
        <v>6.6297650000000001E-3</v>
      </c>
      <c r="N147" s="39">
        <v>1.3456950000000001E-3</v>
      </c>
      <c r="O147" s="39">
        <v>1.3456950000000001E-3</v>
      </c>
      <c r="P147" s="39">
        <v>1.3456950000000001E-3</v>
      </c>
      <c r="Q147" s="39">
        <v>1.3456950000000001E-3</v>
      </c>
      <c r="R147" s="39">
        <v>2.1000000000000001E-4</v>
      </c>
      <c r="S147" s="39">
        <v>2.1000000000000001E-4</v>
      </c>
      <c r="T147" s="39">
        <v>2.1000000000000001E-4</v>
      </c>
      <c r="U147" s="39">
        <v>2.1000000000000001E-4</v>
      </c>
      <c r="V147" s="39">
        <v>8.8800000000000004E-2</v>
      </c>
      <c r="W147" s="39">
        <v>8.8800000000000004E-2</v>
      </c>
      <c r="X147" s="39">
        <v>9.6500000000000002E-2</v>
      </c>
      <c r="Y147" s="39">
        <v>9.6500000000000002E-2</v>
      </c>
      <c r="Z147" s="70">
        <v>0.37</v>
      </c>
      <c r="AA147" s="30">
        <v>2220</v>
      </c>
      <c r="AB147" s="46">
        <v>3.39E-2</v>
      </c>
    </row>
    <row r="148" spans="1:28" x14ac:dyDescent="0.25">
      <c r="A148" s="69">
        <v>55</v>
      </c>
      <c r="B148" s="39">
        <v>1.1475000000000001E-3</v>
      </c>
      <c r="C148" s="39">
        <v>1.9761000000000002E-3</v>
      </c>
      <c r="D148" s="39">
        <v>8.7750000000000002E-4</v>
      </c>
      <c r="E148" s="39">
        <v>1.5782000000000001E-3</v>
      </c>
      <c r="F148" s="39">
        <v>5.8E-4</v>
      </c>
      <c r="G148" s="39">
        <v>5.8E-4</v>
      </c>
      <c r="H148" s="39">
        <v>2.2000000000000001E-4</v>
      </c>
      <c r="I148" s="39">
        <v>2.2000000000000001E-4</v>
      </c>
      <c r="J148" s="39">
        <v>5.436855E-3</v>
      </c>
      <c r="K148" s="39">
        <v>9.3625840000000002E-3</v>
      </c>
      <c r="L148" s="39">
        <v>4.157595E-3</v>
      </c>
      <c r="M148" s="39">
        <v>7.4772750000000002E-3</v>
      </c>
      <c r="N148" s="39">
        <v>1.509168E-3</v>
      </c>
      <c r="O148" s="39">
        <v>1.509168E-3</v>
      </c>
      <c r="P148" s="39">
        <v>1.509168E-3</v>
      </c>
      <c r="Q148" s="39">
        <v>1.509168E-3</v>
      </c>
      <c r="R148" s="39">
        <v>2.1000000000000001E-4</v>
      </c>
      <c r="S148" s="39">
        <v>2.1000000000000001E-4</v>
      </c>
      <c r="T148" s="39">
        <v>2.1000000000000001E-4</v>
      </c>
      <c r="U148" s="39">
        <v>2.1000000000000001E-4</v>
      </c>
      <c r="V148" s="39">
        <v>8.8800000000000004E-2</v>
      </c>
      <c r="W148" s="39">
        <v>8.8800000000000004E-2</v>
      </c>
      <c r="X148" s="39">
        <v>9.6500000000000002E-2</v>
      </c>
      <c r="Y148" s="39">
        <v>9.6500000000000002E-2</v>
      </c>
      <c r="Z148" s="70">
        <v>0.37</v>
      </c>
      <c r="AA148" s="30">
        <v>2220</v>
      </c>
      <c r="AB148" s="46">
        <v>3.39E-2</v>
      </c>
    </row>
    <row r="149" spans="1:28" x14ac:dyDescent="0.25">
      <c r="A149" s="69">
        <v>56</v>
      </c>
      <c r="B149" s="39">
        <v>1.2865999999999999E-3</v>
      </c>
      <c r="C149" s="39">
        <v>2.2271999999999999E-3</v>
      </c>
      <c r="D149" s="39">
        <v>9.7539999999999996E-4</v>
      </c>
      <c r="E149" s="39">
        <v>1.7792999999999999E-3</v>
      </c>
      <c r="F149" s="39">
        <v>5.9000000000000003E-4</v>
      </c>
      <c r="G149" s="39">
        <v>5.9000000000000003E-4</v>
      </c>
      <c r="H149" s="39">
        <v>2.3000000000000001E-4</v>
      </c>
      <c r="I149" s="39">
        <v>2.3000000000000001E-4</v>
      </c>
      <c r="J149" s="39">
        <v>6.0956739999999997E-3</v>
      </c>
      <c r="K149" s="39">
        <v>1.0552295999999999E-2</v>
      </c>
      <c r="L149" s="39">
        <v>4.6213269999999997E-3</v>
      </c>
      <c r="M149" s="39">
        <v>8.430323E-3</v>
      </c>
      <c r="N149" s="39">
        <v>1.6903280000000001E-3</v>
      </c>
      <c r="O149" s="39">
        <v>1.6903280000000001E-3</v>
      </c>
      <c r="P149" s="39">
        <v>1.6903280000000001E-3</v>
      </c>
      <c r="Q149" s="39">
        <v>1.6903280000000001E-3</v>
      </c>
      <c r="R149" s="39">
        <v>2.1000000000000001E-4</v>
      </c>
      <c r="S149" s="39">
        <v>2.1000000000000001E-4</v>
      </c>
      <c r="T149" s="39">
        <v>2.1000000000000001E-4</v>
      </c>
      <c r="U149" s="39">
        <v>2.1000000000000001E-4</v>
      </c>
      <c r="V149" s="39">
        <v>8.8800000000000004E-2</v>
      </c>
      <c r="W149" s="39">
        <v>8.8800000000000004E-2</v>
      </c>
      <c r="X149" s="39">
        <v>9.6500000000000002E-2</v>
      </c>
      <c r="Y149" s="39">
        <v>9.6500000000000002E-2</v>
      </c>
      <c r="Z149" s="70">
        <v>0.26</v>
      </c>
      <c r="AA149" s="30">
        <v>1560</v>
      </c>
      <c r="AB149" s="46">
        <v>3.3099999999999997E-2</v>
      </c>
    </row>
    <row r="150" spans="1:28" x14ac:dyDescent="0.25">
      <c r="A150" s="69">
        <v>57</v>
      </c>
      <c r="B150" s="39">
        <v>1.4434999999999999E-3</v>
      </c>
      <c r="C150" s="39">
        <v>2.5103E-3</v>
      </c>
      <c r="D150" s="39">
        <v>1.0843999999999999E-3</v>
      </c>
      <c r="E150" s="39">
        <v>2.0051000000000001E-3</v>
      </c>
      <c r="F150" s="39">
        <v>5.9999999999999995E-4</v>
      </c>
      <c r="G150" s="39">
        <v>5.9999999999999995E-4</v>
      </c>
      <c r="H150" s="39">
        <v>2.4000000000000001E-4</v>
      </c>
      <c r="I150" s="39">
        <v>2.4000000000000001E-4</v>
      </c>
      <c r="J150" s="39">
        <v>6.8392440000000004E-3</v>
      </c>
      <c r="K150" s="39">
        <v>1.1893920000000001E-2</v>
      </c>
      <c r="L150" s="39">
        <v>5.1378279999999997E-3</v>
      </c>
      <c r="M150" s="39">
        <v>9.500105E-3</v>
      </c>
      <c r="N150" s="39">
        <v>1.8908180000000001E-3</v>
      </c>
      <c r="O150" s="39">
        <v>1.8908180000000001E-3</v>
      </c>
      <c r="P150" s="39">
        <v>1.8908180000000001E-3</v>
      </c>
      <c r="Q150" s="39">
        <v>1.8908180000000001E-3</v>
      </c>
      <c r="R150" s="39">
        <v>2.1000000000000001E-4</v>
      </c>
      <c r="S150" s="39">
        <v>2.1000000000000001E-4</v>
      </c>
      <c r="T150" s="39">
        <v>2.1000000000000001E-4</v>
      </c>
      <c r="U150" s="39">
        <v>2.1000000000000001E-4</v>
      </c>
      <c r="V150" s="39">
        <v>8.8800000000000004E-2</v>
      </c>
      <c r="W150" s="39">
        <v>8.8800000000000004E-2</v>
      </c>
      <c r="X150" s="39">
        <v>9.6500000000000002E-2</v>
      </c>
      <c r="Y150" s="39">
        <v>9.6500000000000002E-2</v>
      </c>
      <c r="Z150" s="70">
        <v>0.26</v>
      </c>
      <c r="AA150" s="30">
        <v>1560</v>
      </c>
      <c r="AB150" s="46">
        <v>3.3099999999999997E-2</v>
      </c>
    </row>
    <row r="151" spans="1:28" x14ac:dyDescent="0.25">
      <c r="A151" s="69">
        <v>58</v>
      </c>
      <c r="B151" s="39">
        <v>1.6207000000000001E-3</v>
      </c>
      <c r="C151" s="39">
        <v>2.8292999999999999E-3</v>
      </c>
      <c r="D151" s="39">
        <v>1.2068999999999999E-3</v>
      </c>
      <c r="E151" s="39">
        <v>2.2582000000000001E-3</v>
      </c>
      <c r="F151" s="39">
        <v>6.0999999999999997E-4</v>
      </c>
      <c r="G151" s="39">
        <v>6.0999999999999997E-4</v>
      </c>
      <c r="H151" s="39">
        <v>2.5000000000000001E-4</v>
      </c>
      <c r="I151" s="39">
        <v>2.5000000000000001E-4</v>
      </c>
      <c r="J151" s="39">
        <v>7.6787579999999999E-3</v>
      </c>
      <c r="K151" s="39">
        <v>1.3405046E-2</v>
      </c>
      <c r="L151" s="39">
        <v>5.7182919999999998E-3</v>
      </c>
      <c r="M151" s="39">
        <v>1.0699411000000001E-2</v>
      </c>
      <c r="N151" s="39">
        <v>2.1124300000000002E-3</v>
      </c>
      <c r="O151" s="39">
        <v>2.1124300000000002E-3</v>
      </c>
      <c r="P151" s="39">
        <v>2.1124300000000002E-3</v>
      </c>
      <c r="Q151" s="39">
        <v>2.1124300000000002E-3</v>
      </c>
      <c r="R151" s="39">
        <v>2.1000000000000001E-4</v>
      </c>
      <c r="S151" s="39">
        <v>2.1000000000000001E-4</v>
      </c>
      <c r="T151" s="39">
        <v>2.1000000000000001E-4</v>
      </c>
      <c r="U151" s="39">
        <v>2.1000000000000001E-4</v>
      </c>
      <c r="V151" s="39">
        <v>8.8800000000000004E-2</v>
      </c>
      <c r="W151" s="39">
        <v>8.8800000000000004E-2</v>
      </c>
      <c r="X151" s="39">
        <v>9.6500000000000002E-2</v>
      </c>
      <c r="Y151" s="39">
        <v>9.6500000000000002E-2</v>
      </c>
      <c r="Z151" s="70">
        <v>0.26</v>
      </c>
      <c r="AA151" s="30">
        <v>1560</v>
      </c>
      <c r="AB151" s="46">
        <v>3.3099999999999997E-2</v>
      </c>
    </row>
    <row r="152" spans="1:28" x14ac:dyDescent="0.25">
      <c r="A152" s="69">
        <v>59</v>
      </c>
      <c r="B152" s="39">
        <v>1.8208E-3</v>
      </c>
      <c r="C152" s="39">
        <v>3.1879999999999999E-3</v>
      </c>
      <c r="D152" s="39">
        <v>1.3433E-3</v>
      </c>
      <c r="E152" s="39">
        <v>2.5414000000000001E-3</v>
      </c>
      <c r="F152" s="39">
        <v>6.2E-4</v>
      </c>
      <c r="G152" s="39">
        <v>6.2E-4</v>
      </c>
      <c r="H152" s="39">
        <v>2.5999999999999998E-4</v>
      </c>
      <c r="I152" s="39">
        <v>2.5999999999999998E-4</v>
      </c>
      <c r="J152" s="39">
        <v>8.6270099999999992E-3</v>
      </c>
      <c r="K152" s="39">
        <v>1.5104862E-2</v>
      </c>
      <c r="L152" s="39">
        <v>6.3643190000000002E-3</v>
      </c>
      <c r="M152" s="39">
        <v>1.2041035E-2</v>
      </c>
      <c r="N152" s="39">
        <v>2.3571099999999999E-3</v>
      </c>
      <c r="O152" s="39">
        <v>2.3571099999999999E-3</v>
      </c>
      <c r="P152" s="39">
        <v>2.3571099999999999E-3</v>
      </c>
      <c r="Q152" s="39">
        <v>2.3571099999999999E-3</v>
      </c>
      <c r="R152" s="39">
        <v>2.1000000000000001E-4</v>
      </c>
      <c r="S152" s="39">
        <v>2.1000000000000001E-4</v>
      </c>
      <c r="T152" s="39">
        <v>2.1000000000000001E-4</v>
      </c>
      <c r="U152" s="39">
        <v>2.1000000000000001E-4</v>
      </c>
      <c r="V152" s="39">
        <v>8.8800000000000004E-2</v>
      </c>
      <c r="W152" s="39">
        <v>8.8800000000000004E-2</v>
      </c>
      <c r="X152" s="39">
        <v>9.6500000000000002E-2</v>
      </c>
      <c r="Y152" s="39">
        <v>9.6500000000000002E-2</v>
      </c>
      <c r="Z152" s="70">
        <v>0.26</v>
      </c>
      <c r="AA152" s="30">
        <v>1560</v>
      </c>
      <c r="AB152" s="46">
        <v>3.3099999999999997E-2</v>
      </c>
    </row>
    <row r="153" spans="1:28" x14ac:dyDescent="0.25">
      <c r="A153" s="69">
        <v>60</v>
      </c>
      <c r="B153" s="39">
        <v>2.0466E-3</v>
      </c>
      <c r="C153" s="39">
        <v>3.5899999999999999E-3</v>
      </c>
      <c r="D153" s="39">
        <v>1.4961E-3</v>
      </c>
      <c r="E153" s="39">
        <v>2.8582999999999998E-3</v>
      </c>
      <c r="F153" s="39">
        <v>6.3000000000000003E-4</v>
      </c>
      <c r="G153" s="39">
        <v>6.3000000000000003E-4</v>
      </c>
      <c r="H153" s="39">
        <v>2.7E-4</v>
      </c>
      <c r="I153" s="39">
        <v>2.7E-4</v>
      </c>
      <c r="J153" s="39">
        <v>9.6967909999999997E-3</v>
      </c>
      <c r="K153" s="39">
        <v>1.7009361000000001E-2</v>
      </c>
      <c r="L153" s="39">
        <v>7.0886990000000004E-3</v>
      </c>
      <c r="M153" s="39">
        <v>1.3542566000000001E-2</v>
      </c>
      <c r="N153" s="39">
        <v>2.6269790000000002E-3</v>
      </c>
      <c r="O153" s="39">
        <v>2.6269790000000002E-3</v>
      </c>
      <c r="P153" s="39">
        <v>2.6269790000000002E-3</v>
      </c>
      <c r="Q153" s="39">
        <v>2.6269790000000002E-3</v>
      </c>
      <c r="R153" s="39">
        <v>2.1000000000000001E-4</v>
      </c>
      <c r="S153" s="39">
        <v>2.1000000000000001E-4</v>
      </c>
      <c r="T153" s="39">
        <v>2.1000000000000001E-4</v>
      </c>
      <c r="U153" s="39">
        <v>2.1000000000000001E-4</v>
      </c>
      <c r="V153" s="39">
        <v>8.8800000000000004E-2</v>
      </c>
      <c r="W153" s="39">
        <v>8.8800000000000004E-2</v>
      </c>
      <c r="X153" s="39">
        <v>9.6500000000000002E-2</v>
      </c>
      <c r="Y153" s="39">
        <v>9.6500000000000002E-2</v>
      </c>
      <c r="Z153" s="70">
        <v>0.26</v>
      </c>
      <c r="AA153" s="30">
        <v>1560</v>
      </c>
      <c r="AB153" s="46">
        <v>3.3099999999999997E-2</v>
      </c>
    </row>
    <row r="154" spans="1:28" x14ac:dyDescent="0.25">
      <c r="A154" s="69">
        <v>61</v>
      </c>
      <c r="B154" s="39">
        <v>2.3004000000000002E-3</v>
      </c>
      <c r="C154" s="39">
        <v>4.0401999999999999E-3</v>
      </c>
      <c r="D154" s="39">
        <v>1.6666000000000001E-3</v>
      </c>
      <c r="E154" s="39">
        <v>3.212E-3</v>
      </c>
      <c r="F154" s="39">
        <v>6.4000000000000005E-4</v>
      </c>
      <c r="G154" s="39">
        <v>6.4000000000000005E-4</v>
      </c>
      <c r="H154" s="39">
        <v>2.7999999999999998E-4</v>
      </c>
      <c r="I154" s="39">
        <v>2.7999999999999998E-4</v>
      </c>
      <c r="J154" s="39">
        <v>1.0899295E-2</v>
      </c>
      <c r="K154" s="39">
        <v>1.9142526999999999E-2</v>
      </c>
      <c r="L154" s="39">
        <v>7.8962319999999996E-3</v>
      </c>
      <c r="M154" s="39">
        <v>1.5218397E-2</v>
      </c>
      <c r="N154" s="39">
        <v>2.9243369999999999E-3</v>
      </c>
      <c r="O154" s="39">
        <v>2.9243369999999999E-3</v>
      </c>
      <c r="P154" s="39">
        <v>2.9243369999999999E-3</v>
      </c>
      <c r="Q154" s="39">
        <v>2.9243369999999999E-3</v>
      </c>
      <c r="R154" s="39">
        <v>2.1000000000000001E-4</v>
      </c>
      <c r="S154" s="39">
        <v>2.1000000000000001E-4</v>
      </c>
      <c r="T154" s="39">
        <v>2.1000000000000001E-4</v>
      </c>
      <c r="U154" s="39">
        <v>2.1000000000000001E-4</v>
      </c>
      <c r="V154" s="39">
        <v>8.8800000000000004E-2</v>
      </c>
      <c r="W154" s="39">
        <v>8.8800000000000004E-2</v>
      </c>
      <c r="X154" s="39">
        <v>9.6500000000000002E-2</v>
      </c>
      <c r="Y154" s="39">
        <v>9.6500000000000002E-2</v>
      </c>
      <c r="Z154" s="70">
        <v>0.16500000000000001</v>
      </c>
      <c r="AA154" s="30">
        <v>990</v>
      </c>
      <c r="AB154" s="46">
        <v>3.6799999999999999E-2</v>
      </c>
    </row>
    <row r="155" spans="1:28" x14ac:dyDescent="0.25">
      <c r="A155" s="69">
        <v>62</v>
      </c>
      <c r="B155" s="39">
        <v>2.5858999999999999E-3</v>
      </c>
      <c r="C155" s="39">
        <v>4.5434000000000004E-3</v>
      </c>
      <c r="D155" s="39">
        <v>1.8573000000000001E-3</v>
      </c>
      <c r="E155" s="39">
        <v>3.6064999999999999E-3</v>
      </c>
      <c r="F155" s="39">
        <v>6.4999999999999997E-4</v>
      </c>
      <c r="G155" s="39">
        <v>6.4999999999999997E-4</v>
      </c>
      <c r="H155" s="39">
        <v>2.9E-4</v>
      </c>
      <c r="I155" s="39">
        <v>2.9E-4</v>
      </c>
      <c r="J155" s="39">
        <v>1.2252113E-2</v>
      </c>
      <c r="K155" s="39">
        <v>2.1526747999999998E-2</v>
      </c>
      <c r="L155" s="39">
        <v>8.7997100000000005E-3</v>
      </c>
      <c r="M155" s="39">
        <v>1.7087715E-2</v>
      </c>
      <c r="N155" s="39">
        <v>3.2516820000000001E-3</v>
      </c>
      <c r="O155" s="39">
        <v>3.2516820000000001E-3</v>
      </c>
      <c r="P155" s="39">
        <v>3.2516820000000001E-3</v>
      </c>
      <c r="Q155" s="39">
        <v>3.2516820000000001E-3</v>
      </c>
      <c r="R155" s="39">
        <v>2.1000000000000001E-4</v>
      </c>
      <c r="S155" s="39">
        <v>2.1000000000000001E-4</v>
      </c>
      <c r="T155" s="39">
        <v>2.1000000000000001E-4</v>
      </c>
      <c r="U155" s="39">
        <v>2.1000000000000001E-4</v>
      </c>
      <c r="V155" s="39">
        <v>8.8800000000000004E-2</v>
      </c>
      <c r="W155" s="39">
        <v>8.8800000000000004E-2</v>
      </c>
      <c r="X155" s="39">
        <v>9.6500000000000002E-2</v>
      </c>
      <c r="Y155" s="39">
        <v>9.6500000000000002E-2</v>
      </c>
      <c r="Z155" s="70">
        <v>0.16500000000000001</v>
      </c>
      <c r="AA155" s="30">
        <v>990</v>
      </c>
      <c r="AB155" s="46">
        <v>3.6799999999999999E-2</v>
      </c>
    </row>
    <row r="156" spans="1:28" x14ac:dyDescent="0.25">
      <c r="A156" s="69">
        <v>63</v>
      </c>
      <c r="B156" s="39">
        <v>2.9069E-3</v>
      </c>
      <c r="C156" s="39">
        <v>5.1044000000000003E-3</v>
      </c>
      <c r="D156" s="39">
        <v>2.0701999999999999E-3</v>
      </c>
      <c r="E156" s="39">
        <v>4.0455999999999999E-3</v>
      </c>
      <c r="F156" s="39">
        <v>6.6E-4</v>
      </c>
      <c r="G156" s="39">
        <v>6.6E-4</v>
      </c>
      <c r="H156" s="39">
        <v>2.9999999999999997E-4</v>
      </c>
      <c r="I156" s="39">
        <v>2.9999999999999997E-4</v>
      </c>
      <c r="J156" s="39">
        <v>1.3772833E-2</v>
      </c>
      <c r="K156" s="39">
        <v>2.418441E-2</v>
      </c>
      <c r="L156" s="39">
        <v>9.8087260000000003E-3</v>
      </c>
      <c r="M156" s="39">
        <v>1.9168112000000001E-2</v>
      </c>
      <c r="N156" s="39">
        <v>3.6117229999999998E-3</v>
      </c>
      <c r="O156" s="39">
        <v>3.6117229999999998E-3</v>
      </c>
      <c r="P156" s="39">
        <v>3.6117229999999998E-3</v>
      </c>
      <c r="Q156" s="39">
        <v>3.6117229999999998E-3</v>
      </c>
      <c r="R156" s="39">
        <v>2.1000000000000001E-4</v>
      </c>
      <c r="S156" s="39">
        <v>2.1000000000000001E-4</v>
      </c>
      <c r="T156" s="39">
        <v>2.1000000000000001E-4</v>
      </c>
      <c r="U156" s="39">
        <v>2.1000000000000001E-4</v>
      </c>
      <c r="V156" s="39">
        <v>8.8800000000000004E-2</v>
      </c>
      <c r="W156" s="39">
        <v>8.8800000000000004E-2</v>
      </c>
      <c r="X156" s="39">
        <v>9.6500000000000002E-2</v>
      </c>
      <c r="Y156" s="39">
        <v>9.6500000000000002E-2</v>
      </c>
      <c r="Z156" s="70">
        <v>0.16500000000000001</v>
      </c>
      <c r="AA156" s="30">
        <v>990</v>
      </c>
      <c r="AB156" s="46">
        <v>3.6799999999999999E-2</v>
      </c>
    </row>
    <row r="157" spans="1:28" x14ac:dyDescent="0.25">
      <c r="A157" s="69">
        <v>64</v>
      </c>
      <c r="B157" s="39">
        <v>3.2667E-3</v>
      </c>
      <c r="C157" s="39">
        <v>5.7286999999999998E-3</v>
      </c>
      <c r="D157" s="39">
        <v>2.3084999999999998E-3</v>
      </c>
      <c r="E157" s="39">
        <v>4.5335999999999996E-3</v>
      </c>
      <c r="F157" s="39">
        <v>6.7000000000000002E-4</v>
      </c>
      <c r="G157" s="39">
        <v>6.7000000000000002E-4</v>
      </c>
      <c r="H157" s="39">
        <v>3.2000000000000003E-4</v>
      </c>
      <c r="I157" s="39">
        <v>3.2000000000000003E-4</v>
      </c>
      <c r="J157" s="39">
        <v>1.5477447E-2</v>
      </c>
      <c r="K157" s="39">
        <v>2.7142698999999999E-2</v>
      </c>
      <c r="L157" s="39">
        <v>1.0937673E-2</v>
      </c>
      <c r="M157" s="39">
        <v>2.1480374E-2</v>
      </c>
      <c r="N157" s="39">
        <v>4.0073940000000001E-3</v>
      </c>
      <c r="O157" s="39">
        <v>4.0073940000000001E-3</v>
      </c>
      <c r="P157" s="39">
        <v>4.0073940000000001E-3</v>
      </c>
      <c r="Q157" s="39">
        <v>4.0073940000000001E-3</v>
      </c>
      <c r="R157" s="39">
        <v>2.1000000000000001E-4</v>
      </c>
      <c r="S157" s="39">
        <v>2.1000000000000001E-4</v>
      </c>
      <c r="T157" s="39">
        <v>2.1000000000000001E-4</v>
      </c>
      <c r="U157" s="39">
        <v>2.1000000000000001E-4</v>
      </c>
      <c r="V157" s="39">
        <v>8.8800000000000004E-2</v>
      </c>
      <c r="W157" s="39">
        <v>8.8800000000000004E-2</v>
      </c>
      <c r="X157" s="39">
        <v>9.6500000000000002E-2</v>
      </c>
      <c r="Y157" s="39">
        <v>9.6500000000000002E-2</v>
      </c>
      <c r="Z157" s="70">
        <v>0.16500000000000001</v>
      </c>
      <c r="AA157" s="30">
        <v>990</v>
      </c>
      <c r="AB157" s="46">
        <v>3.6799999999999999E-2</v>
      </c>
    </row>
    <row r="158" spans="1:28" x14ac:dyDescent="0.25">
      <c r="A158" s="69">
        <v>65</v>
      </c>
      <c r="B158" s="39">
        <v>3.6703E-3</v>
      </c>
      <c r="C158" s="39">
        <v>6.4222999999999997E-3</v>
      </c>
      <c r="D158" s="39">
        <v>2.5745E-3</v>
      </c>
      <c r="E158" s="39">
        <v>5.0756999999999998E-3</v>
      </c>
      <c r="F158" s="39">
        <v>6.8000000000000005E-4</v>
      </c>
      <c r="G158" s="39">
        <v>6.8000000000000005E-4</v>
      </c>
      <c r="H158" s="39">
        <v>3.4000000000000002E-4</v>
      </c>
      <c r="I158" s="39">
        <v>3.4000000000000002E-4</v>
      </c>
      <c r="J158" s="39">
        <v>1.7389940999999999E-2</v>
      </c>
      <c r="K158" s="39">
        <v>3.0428798E-2</v>
      </c>
      <c r="L158" s="39">
        <v>1.2197744E-2</v>
      </c>
      <c r="M158" s="39">
        <v>2.4048488999999999E-2</v>
      </c>
      <c r="N158" s="39">
        <v>4.4418679999999999E-3</v>
      </c>
      <c r="O158" s="39">
        <v>4.4418679999999999E-3</v>
      </c>
      <c r="P158" s="39">
        <v>4.4418679999999999E-3</v>
      </c>
      <c r="Q158" s="39">
        <v>4.4418679999999999E-3</v>
      </c>
      <c r="R158" s="39">
        <v>2.1000000000000001E-4</v>
      </c>
      <c r="S158" s="39">
        <v>2.1000000000000001E-4</v>
      </c>
      <c r="T158" s="39">
        <v>2.1000000000000001E-4</v>
      </c>
      <c r="U158" s="39">
        <v>2.1000000000000001E-4</v>
      </c>
      <c r="V158" s="39">
        <v>0.3765</v>
      </c>
      <c r="W158" s="39">
        <v>0.3765</v>
      </c>
      <c r="X158" s="39">
        <v>0.31890000000000002</v>
      </c>
      <c r="Y158" s="39">
        <v>0.31890000000000002</v>
      </c>
      <c r="Z158" s="70">
        <v>0.16500000000000001</v>
      </c>
      <c r="AA158" s="30">
        <v>990</v>
      </c>
      <c r="AB158" s="46">
        <v>3.6799999999999999E-2</v>
      </c>
    </row>
    <row r="159" spans="1:28" x14ac:dyDescent="0.25">
      <c r="A159" s="69">
        <v>66</v>
      </c>
      <c r="B159" s="39">
        <v>4.1222000000000003E-3</v>
      </c>
      <c r="C159" s="39">
        <v>7.1910999999999997E-3</v>
      </c>
      <c r="D159" s="39">
        <v>2.8714999999999999E-3</v>
      </c>
      <c r="E159" s="39">
        <v>5.6763999999999998E-3</v>
      </c>
      <c r="F159" s="39">
        <v>6.8999999999999997E-4</v>
      </c>
      <c r="G159" s="39">
        <v>6.8999999999999997E-4</v>
      </c>
      <c r="H159" s="39">
        <v>3.6000000000000002E-4</v>
      </c>
      <c r="I159" s="39">
        <v>3.6000000000000002E-4</v>
      </c>
      <c r="J159" s="39">
        <v>1.9531102000000002E-2</v>
      </c>
      <c r="K159" s="39">
        <v>3.4071491000000002E-2</v>
      </c>
      <c r="L159" s="39">
        <v>1.3604929999999999E-2</v>
      </c>
      <c r="M159" s="39">
        <v>2.6894841999999999E-2</v>
      </c>
      <c r="N159" s="39">
        <v>4.9185740000000002E-3</v>
      </c>
      <c r="O159" s="39">
        <v>4.9185740000000002E-3</v>
      </c>
      <c r="P159" s="39">
        <v>4.9185740000000002E-3</v>
      </c>
      <c r="Q159" s="39">
        <v>4.9185740000000002E-3</v>
      </c>
      <c r="R159" s="39">
        <v>2.1000000000000001E-4</v>
      </c>
      <c r="S159" s="39">
        <v>2.1000000000000001E-4</v>
      </c>
      <c r="T159" s="39">
        <v>2.1000000000000001E-4</v>
      </c>
      <c r="U159" s="39">
        <v>2.1000000000000001E-4</v>
      </c>
      <c r="V159" s="39">
        <v>0.3765</v>
      </c>
      <c r="W159" s="39">
        <v>0.3765</v>
      </c>
      <c r="X159" s="39">
        <v>0.31890000000000002</v>
      </c>
      <c r="Y159" s="39">
        <v>0.31890000000000002</v>
      </c>
      <c r="Z159" s="70">
        <v>0.125</v>
      </c>
      <c r="AA159" s="30">
        <v>750</v>
      </c>
      <c r="AB159" s="46">
        <v>3.6799999999999999E-2</v>
      </c>
    </row>
    <row r="160" spans="1:28" x14ac:dyDescent="0.25">
      <c r="A160" s="69">
        <v>67</v>
      </c>
      <c r="B160" s="39">
        <v>4.6277999999999996E-3</v>
      </c>
      <c r="C160" s="39">
        <v>8.0412999999999995E-3</v>
      </c>
      <c r="D160" s="39">
        <v>3.2036E-3</v>
      </c>
      <c r="E160" s="39">
        <v>6.3413000000000002E-3</v>
      </c>
      <c r="F160" s="39">
        <v>6.9999999999999999E-4</v>
      </c>
      <c r="G160" s="39">
        <v>6.9999999999999999E-4</v>
      </c>
      <c r="H160" s="39">
        <v>3.8000000000000002E-4</v>
      </c>
      <c r="I160" s="39">
        <v>3.8000000000000002E-4</v>
      </c>
      <c r="J160" s="39">
        <v>2.1926516E-2</v>
      </c>
      <c r="K160" s="39">
        <v>3.8099560999999997E-2</v>
      </c>
      <c r="L160" s="39">
        <v>1.517842E-2</v>
      </c>
      <c r="M160" s="39">
        <v>3.0045019999999999E-2</v>
      </c>
      <c r="N160" s="39">
        <v>5.4412100000000001E-3</v>
      </c>
      <c r="O160" s="39">
        <v>5.4412100000000001E-3</v>
      </c>
      <c r="P160" s="39">
        <v>5.4412100000000001E-3</v>
      </c>
      <c r="Q160" s="39">
        <v>5.4412100000000001E-3</v>
      </c>
      <c r="R160" s="39">
        <v>2.1000000000000001E-4</v>
      </c>
      <c r="S160" s="39">
        <v>2.1000000000000001E-4</v>
      </c>
      <c r="T160" s="39">
        <v>2.1000000000000001E-4</v>
      </c>
      <c r="U160" s="39">
        <v>2.1000000000000001E-4</v>
      </c>
      <c r="V160" s="39">
        <v>0.3765</v>
      </c>
      <c r="W160" s="39">
        <v>0.3765</v>
      </c>
      <c r="X160" s="39">
        <v>0.31890000000000002</v>
      </c>
      <c r="Y160" s="39">
        <v>0.31890000000000002</v>
      </c>
      <c r="Z160" s="70">
        <v>0.125</v>
      </c>
      <c r="AA160" s="30">
        <v>750</v>
      </c>
      <c r="AB160" s="46">
        <v>3.6799999999999999E-2</v>
      </c>
    </row>
    <row r="161" spans="1:28" x14ac:dyDescent="0.25">
      <c r="A161" s="69">
        <v>68</v>
      </c>
      <c r="B161" s="39">
        <v>5.1923999999999998E-3</v>
      </c>
      <c r="C161" s="39">
        <v>8.9799000000000007E-3</v>
      </c>
      <c r="D161" s="39">
        <v>3.5745E-3</v>
      </c>
      <c r="E161" s="39">
        <v>7.0764000000000001E-3</v>
      </c>
      <c r="F161" s="39">
        <v>7.1000000000000002E-4</v>
      </c>
      <c r="G161" s="39">
        <v>7.1000000000000002E-4</v>
      </c>
      <c r="H161" s="39">
        <v>4.0999999999999999E-4</v>
      </c>
      <c r="I161" s="39">
        <v>4.0999999999999999E-4</v>
      </c>
      <c r="J161" s="39">
        <v>2.4601768999999999E-2</v>
      </c>
      <c r="K161" s="39">
        <v>4.2546589000000003E-2</v>
      </c>
      <c r="L161" s="39">
        <v>1.6935802999999999E-2</v>
      </c>
      <c r="M161" s="39">
        <v>3.3527806E-2</v>
      </c>
      <c r="N161" s="39">
        <v>6.0137610000000003E-3</v>
      </c>
      <c r="O161" s="39">
        <v>6.0137610000000003E-3</v>
      </c>
      <c r="P161" s="39">
        <v>6.0137610000000003E-3</v>
      </c>
      <c r="Q161" s="39">
        <v>6.0137610000000003E-3</v>
      </c>
      <c r="R161" s="39">
        <v>2.1000000000000001E-4</v>
      </c>
      <c r="S161" s="39">
        <v>2.1000000000000001E-4</v>
      </c>
      <c r="T161" s="39">
        <v>2.1000000000000001E-4</v>
      </c>
      <c r="U161" s="39">
        <v>2.1000000000000001E-4</v>
      </c>
      <c r="V161" s="39">
        <v>0.3765</v>
      </c>
      <c r="W161" s="39">
        <v>0.3765</v>
      </c>
      <c r="X161" s="39">
        <v>0.31890000000000002</v>
      </c>
      <c r="Y161" s="39">
        <v>0.31890000000000002</v>
      </c>
      <c r="Z161" s="70">
        <v>0.125</v>
      </c>
      <c r="AA161" s="30">
        <v>750</v>
      </c>
      <c r="AB161" s="46">
        <v>3.6799999999999999E-2</v>
      </c>
    </row>
    <row r="162" spans="1:28" x14ac:dyDescent="0.25">
      <c r="A162" s="69">
        <v>69</v>
      </c>
      <c r="B162" s="39">
        <v>5.8225999999999998E-3</v>
      </c>
      <c r="C162" s="39">
        <v>1.0013599999999999E-2</v>
      </c>
      <c r="D162" s="39">
        <v>3.9886000000000001E-3</v>
      </c>
      <c r="E162" s="39">
        <v>7.8873999999999993E-3</v>
      </c>
      <c r="F162" s="39">
        <v>7.2999999999999996E-4</v>
      </c>
      <c r="G162" s="39">
        <v>7.2999999999999996E-4</v>
      </c>
      <c r="H162" s="39">
        <v>4.4000000000000002E-4</v>
      </c>
      <c r="I162" s="39">
        <v>4.4000000000000002E-4</v>
      </c>
      <c r="J162" s="39">
        <v>2.7587242000000001E-2</v>
      </c>
      <c r="K162" s="39">
        <v>4.7444554999999999E-2</v>
      </c>
      <c r="L162" s="39">
        <v>1.8897868000000002E-2</v>
      </c>
      <c r="M162" s="39">
        <v>3.7370383E-2</v>
      </c>
      <c r="N162" s="39">
        <v>6.6405079999999998E-3</v>
      </c>
      <c r="O162" s="39">
        <v>6.6405079999999998E-3</v>
      </c>
      <c r="P162" s="39">
        <v>6.6405079999999998E-3</v>
      </c>
      <c r="Q162" s="39">
        <v>6.6405079999999998E-3</v>
      </c>
      <c r="R162" s="39">
        <v>2.1000000000000001E-4</v>
      </c>
      <c r="S162" s="39">
        <v>2.1000000000000001E-4</v>
      </c>
      <c r="T162" s="39">
        <v>2.1000000000000001E-4</v>
      </c>
      <c r="U162" s="39">
        <v>2.1000000000000001E-4</v>
      </c>
      <c r="V162" s="39">
        <v>0.3765</v>
      </c>
      <c r="W162" s="39">
        <v>0.3765</v>
      </c>
      <c r="X162" s="39">
        <v>0.31890000000000002</v>
      </c>
      <c r="Y162" s="39">
        <v>0.31890000000000002</v>
      </c>
      <c r="Z162" s="70">
        <v>0.125</v>
      </c>
      <c r="AA162" s="30">
        <v>750</v>
      </c>
      <c r="AB162" s="46">
        <v>3.6799999999999999E-2</v>
      </c>
    </row>
    <row r="163" spans="1:28" x14ac:dyDescent="0.25">
      <c r="A163" s="69">
        <v>70</v>
      </c>
      <c r="B163" s="39">
        <v>6.5249000000000001E-3</v>
      </c>
      <c r="C163" s="39">
        <v>1.11497E-2</v>
      </c>
      <c r="D163" s="39">
        <v>4.4510000000000001E-3</v>
      </c>
      <c r="E163" s="39">
        <v>8.7814E-3</v>
      </c>
      <c r="F163" s="39">
        <v>7.6000000000000004E-4</v>
      </c>
      <c r="G163" s="39">
        <v>7.6000000000000004E-4</v>
      </c>
      <c r="H163" s="39">
        <v>4.8000000000000001E-4</v>
      </c>
      <c r="I163" s="39">
        <v>4.8000000000000001E-4</v>
      </c>
      <c r="J163" s="39">
        <v>3.0914917E-2</v>
      </c>
      <c r="K163" s="39">
        <v>5.2827041999999998E-2</v>
      </c>
      <c r="L163" s="39">
        <v>2.1088600999999998E-2</v>
      </c>
      <c r="M163" s="39">
        <v>4.1606332000000003E-2</v>
      </c>
      <c r="N163" s="39">
        <v>7.3260460000000001E-3</v>
      </c>
      <c r="O163" s="39">
        <v>7.3260460000000001E-3</v>
      </c>
      <c r="P163" s="39">
        <v>7.3260460000000001E-3</v>
      </c>
      <c r="Q163" s="39">
        <v>7.3260460000000001E-3</v>
      </c>
      <c r="R163" s="39">
        <v>2.1000000000000001E-4</v>
      </c>
      <c r="S163" s="39">
        <v>2.1000000000000001E-4</v>
      </c>
      <c r="T163" s="39">
        <v>2.1000000000000001E-4</v>
      </c>
      <c r="U163" s="39">
        <v>2.1000000000000001E-4</v>
      </c>
      <c r="V163" s="39">
        <v>0.3765</v>
      </c>
      <c r="W163" s="39">
        <v>0.3765</v>
      </c>
      <c r="X163" s="39">
        <v>0.31890000000000002</v>
      </c>
      <c r="Y163" s="39">
        <v>0.31890000000000002</v>
      </c>
      <c r="Z163" s="70">
        <v>0.125</v>
      </c>
      <c r="AA163" s="30">
        <v>750</v>
      </c>
      <c r="AB163" s="46">
        <v>3.3799999999999997E-2</v>
      </c>
    </row>
    <row r="164" spans="1:28" x14ac:dyDescent="0.25">
      <c r="A164" s="69">
        <v>71</v>
      </c>
      <c r="B164" s="39">
        <v>7.3064999999999996E-3</v>
      </c>
      <c r="C164" s="39">
        <v>1.2395700000000001E-2</v>
      </c>
      <c r="D164" s="39">
        <v>4.9677000000000002E-3</v>
      </c>
      <c r="E164" s="39">
        <v>9.7646E-3</v>
      </c>
      <c r="F164" s="39">
        <v>8.0000000000000004E-4</v>
      </c>
      <c r="G164" s="39">
        <v>8.0000000000000004E-4</v>
      </c>
      <c r="H164" s="39">
        <v>5.2999999999999998E-4</v>
      </c>
      <c r="I164" s="39">
        <v>5.2999999999999998E-4</v>
      </c>
      <c r="J164" s="39">
        <v>3.4618375E-2</v>
      </c>
      <c r="K164" s="39">
        <v>5.8730826999999999E-2</v>
      </c>
      <c r="L164" s="39">
        <v>2.3536785000000001E-2</v>
      </c>
      <c r="M164" s="39">
        <v>4.6264437999999998E-2</v>
      </c>
      <c r="N164" s="39">
        <v>8.0752930000000007E-3</v>
      </c>
      <c r="O164" s="39">
        <v>8.0752930000000007E-3</v>
      </c>
      <c r="P164" s="39">
        <v>8.0752930000000007E-3</v>
      </c>
      <c r="Q164" s="39">
        <v>8.0752930000000007E-3</v>
      </c>
      <c r="R164" s="39">
        <v>2.1000000000000001E-4</v>
      </c>
      <c r="S164" s="39">
        <v>2.1000000000000001E-4</v>
      </c>
      <c r="T164" s="39">
        <v>2.1000000000000001E-4</v>
      </c>
      <c r="U164" s="39">
        <v>2.1000000000000001E-4</v>
      </c>
      <c r="V164" s="39">
        <v>0.3765</v>
      </c>
      <c r="W164" s="39">
        <v>0.3765</v>
      </c>
      <c r="X164" s="39">
        <v>0.31890000000000002</v>
      </c>
      <c r="Y164" s="39">
        <v>0.31890000000000002</v>
      </c>
      <c r="Z164" s="70">
        <v>0.125</v>
      </c>
      <c r="AA164" s="30">
        <v>750</v>
      </c>
      <c r="AB164" s="46">
        <v>3.3799999999999997E-2</v>
      </c>
    </row>
    <row r="165" spans="1:28" x14ac:dyDescent="0.25">
      <c r="A165" s="69">
        <v>72</v>
      </c>
      <c r="B165" s="39">
        <v>8.1755999999999999E-3</v>
      </c>
      <c r="C165" s="39">
        <v>1.3759199999999999E-2</v>
      </c>
      <c r="D165" s="39">
        <v>5.5440999999999997E-3</v>
      </c>
      <c r="E165" s="39">
        <v>1.0844899999999999E-2</v>
      </c>
      <c r="F165" s="39">
        <v>8.4000000000000003E-4</v>
      </c>
      <c r="G165" s="39">
        <v>8.4000000000000003E-4</v>
      </c>
      <c r="H165" s="39">
        <v>5.8E-4</v>
      </c>
      <c r="I165" s="39">
        <v>5.8E-4</v>
      </c>
      <c r="J165" s="39">
        <v>3.8735993000000003E-2</v>
      </c>
      <c r="K165" s="39">
        <v>6.5191089999999993E-2</v>
      </c>
      <c r="L165" s="39">
        <v>2.6268005000000001E-2</v>
      </c>
      <c r="M165" s="39">
        <v>5.1383076999999999E-2</v>
      </c>
      <c r="N165" s="39">
        <v>8.8935009999999998E-3</v>
      </c>
      <c r="O165" s="39">
        <v>8.8935009999999998E-3</v>
      </c>
      <c r="P165" s="39">
        <v>8.8935009999999998E-3</v>
      </c>
      <c r="Q165" s="39">
        <v>8.8935009999999998E-3</v>
      </c>
      <c r="R165" s="39">
        <v>2.1000000000000001E-4</v>
      </c>
      <c r="S165" s="39">
        <v>2.1000000000000001E-4</v>
      </c>
      <c r="T165" s="39">
        <v>2.1000000000000001E-4</v>
      </c>
      <c r="U165" s="39">
        <v>2.1000000000000001E-4</v>
      </c>
      <c r="V165" s="39">
        <v>0.3765</v>
      </c>
      <c r="W165" s="39">
        <v>0.3765</v>
      </c>
      <c r="X165" s="39">
        <v>0.31890000000000002</v>
      </c>
      <c r="Y165" s="39">
        <v>0.31890000000000002</v>
      </c>
      <c r="Z165" s="70">
        <v>0.125</v>
      </c>
      <c r="AA165" s="30">
        <v>750</v>
      </c>
      <c r="AB165" s="46">
        <v>3.3799999999999997E-2</v>
      </c>
    </row>
    <row r="166" spans="1:28" x14ac:dyDescent="0.25">
      <c r="A166" s="69">
        <v>73</v>
      </c>
      <c r="B166" s="39">
        <v>9.1409000000000004E-3</v>
      </c>
      <c r="C166" s="39">
        <v>1.52479E-2</v>
      </c>
      <c r="D166" s="39">
        <v>6.1874E-3</v>
      </c>
      <c r="E166" s="39">
        <v>1.20295E-2</v>
      </c>
      <c r="F166" s="39">
        <v>8.8999999999999995E-4</v>
      </c>
      <c r="G166" s="39">
        <v>8.8999999999999995E-4</v>
      </c>
      <c r="H166" s="39">
        <v>6.4000000000000005E-4</v>
      </c>
      <c r="I166" s="39">
        <v>6.4000000000000005E-4</v>
      </c>
      <c r="J166" s="39">
        <v>4.3309346999999998E-2</v>
      </c>
      <c r="K166" s="39">
        <v>7.2244609000000001E-2</v>
      </c>
      <c r="L166" s="39">
        <v>2.9315842000000002E-2</v>
      </c>
      <c r="M166" s="39">
        <v>5.6995829999999997E-2</v>
      </c>
      <c r="N166" s="39">
        <v>9.7862620000000004E-3</v>
      </c>
      <c r="O166" s="39">
        <v>9.7862620000000004E-3</v>
      </c>
      <c r="P166" s="39">
        <v>9.7862620000000004E-3</v>
      </c>
      <c r="Q166" s="39">
        <v>9.7862620000000004E-3</v>
      </c>
      <c r="R166" s="39">
        <v>2.1000000000000001E-4</v>
      </c>
      <c r="S166" s="39">
        <v>2.1000000000000001E-4</v>
      </c>
      <c r="T166" s="39">
        <v>2.1000000000000001E-4</v>
      </c>
      <c r="U166" s="39">
        <v>2.1000000000000001E-4</v>
      </c>
      <c r="V166" s="39">
        <v>0.3765</v>
      </c>
      <c r="W166" s="39">
        <v>0.3765</v>
      </c>
      <c r="X166" s="39">
        <v>0.31890000000000002</v>
      </c>
      <c r="Y166" s="39">
        <v>0.31890000000000002</v>
      </c>
      <c r="Z166" s="70">
        <v>0.125</v>
      </c>
      <c r="AA166" s="30">
        <v>750</v>
      </c>
      <c r="AB166" s="46">
        <v>3.3799999999999997E-2</v>
      </c>
    </row>
    <row r="167" spans="1:28" x14ac:dyDescent="0.25">
      <c r="A167" s="69">
        <v>74</v>
      </c>
      <c r="B167" s="39">
        <v>1.0211100000000001E-2</v>
      </c>
      <c r="C167" s="39">
        <v>1.68693E-2</v>
      </c>
      <c r="D167" s="39">
        <v>6.9052999999999996E-3</v>
      </c>
      <c r="E167" s="39">
        <v>1.33265E-2</v>
      </c>
      <c r="F167" s="39">
        <v>9.3999999999999997E-4</v>
      </c>
      <c r="G167" s="39">
        <v>9.3999999999999997E-4</v>
      </c>
      <c r="H167" s="39">
        <v>6.9999999999999999E-4</v>
      </c>
      <c r="I167" s="39">
        <v>6.9999999999999999E-4</v>
      </c>
      <c r="J167" s="39">
        <v>4.8380013999999999E-2</v>
      </c>
      <c r="K167" s="39">
        <v>7.9926566000000004E-2</v>
      </c>
      <c r="L167" s="39">
        <v>3.2717074999999998E-2</v>
      </c>
      <c r="M167" s="39">
        <v>6.3141075000000005E-2</v>
      </c>
      <c r="N167" s="39">
        <v>1.0759516E-2</v>
      </c>
      <c r="O167" s="39">
        <v>1.0759516E-2</v>
      </c>
      <c r="P167" s="39">
        <v>1.0759516E-2</v>
      </c>
      <c r="Q167" s="39">
        <v>1.0759516E-2</v>
      </c>
      <c r="R167" s="39">
        <v>2.1000000000000001E-4</v>
      </c>
      <c r="S167" s="39">
        <v>2.1000000000000001E-4</v>
      </c>
      <c r="T167" s="39">
        <v>2.1000000000000001E-4</v>
      </c>
      <c r="U167" s="39">
        <v>2.1000000000000001E-4</v>
      </c>
      <c r="V167" s="39">
        <v>0.3765</v>
      </c>
      <c r="W167" s="39">
        <v>0.3765</v>
      </c>
      <c r="X167" s="39">
        <v>0.31890000000000002</v>
      </c>
      <c r="Y167" s="39">
        <v>0.31890000000000002</v>
      </c>
      <c r="Z167" s="70">
        <v>0.125</v>
      </c>
      <c r="AA167" s="30">
        <v>750</v>
      </c>
      <c r="AB167" s="46">
        <v>3.3799999999999997E-2</v>
      </c>
    </row>
    <row r="168" spans="1:28" x14ac:dyDescent="0.25">
      <c r="A168" s="69">
        <v>75</v>
      </c>
      <c r="B168" s="39">
        <v>1.1396399999999999E-2</v>
      </c>
      <c r="C168" s="39">
        <v>1.8631700000000001E-2</v>
      </c>
      <c r="D168" s="39">
        <v>7.7060999999999996E-3</v>
      </c>
      <c r="E168" s="39">
        <v>1.4744E-2</v>
      </c>
      <c r="F168" s="39">
        <v>9.8999999999999999E-4</v>
      </c>
      <c r="G168" s="39">
        <v>9.8999999999999999E-4</v>
      </c>
      <c r="H168" s="39">
        <v>7.6000000000000004E-4</v>
      </c>
      <c r="I168" s="39">
        <v>7.6000000000000004E-4</v>
      </c>
      <c r="J168" s="39">
        <v>5.3995965999999999E-2</v>
      </c>
      <c r="K168" s="39">
        <v>8.8276935000000001E-2</v>
      </c>
      <c r="L168" s="39">
        <v>3.6511678999999998E-2</v>
      </c>
      <c r="M168" s="39">
        <v>6.985719E-2</v>
      </c>
      <c r="N168" s="39">
        <v>1.1819547E-2</v>
      </c>
      <c r="O168" s="39">
        <v>1.1819547E-2</v>
      </c>
      <c r="P168" s="39">
        <v>1.1819547E-2</v>
      </c>
      <c r="Q168" s="39">
        <v>1.1819547E-2</v>
      </c>
      <c r="R168" s="39">
        <v>2.1000000000000001E-4</v>
      </c>
      <c r="S168" s="39">
        <v>2.1000000000000001E-4</v>
      </c>
      <c r="T168" s="39">
        <v>2.1000000000000001E-4</v>
      </c>
      <c r="U168" s="39">
        <v>2.1000000000000001E-4</v>
      </c>
      <c r="V168" s="39">
        <v>0.3765</v>
      </c>
      <c r="W168" s="39">
        <v>0.3765</v>
      </c>
      <c r="X168" s="39">
        <v>0.31890000000000002</v>
      </c>
      <c r="Y168" s="39">
        <v>0.31890000000000002</v>
      </c>
      <c r="Z168" s="70">
        <v>0.125</v>
      </c>
      <c r="AA168" s="30">
        <v>750</v>
      </c>
      <c r="AB168" s="46">
        <v>3.3799999999999997E-2</v>
      </c>
    </row>
    <row r="169" spans="1:28" x14ac:dyDescent="0.25">
      <c r="A169" s="69">
        <v>76</v>
      </c>
      <c r="B169" s="39">
        <v>1.2707599999999999E-2</v>
      </c>
      <c r="C169" s="39">
        <v>2.0541899999999998E-2</v>
      </c>
      <c r="D169" s="39">
        <v>8.5994999999999995E-3</v>
      </c>
      <c r="E169" s="39">
        <v>1.6291099999999999E-2</v>
      </c>
      <c r="F169" s="39">
        <v>1.0399999999999999E-3</v>
      </c>
      <c r="G169" s="39">
        <v>1.0399999999999999E-3</v>
      </c>
      <c r="H169" s="39">
        <v>8.3000000000000001E-4</v>
      </c>
      <c r="I169" s="39">
        <v>8.3000000000000001E-4</v>
      </c>
      <c r="J169" s="39">
        <v>6.0208372000000003E-2</v>
      </c>
      <c r="K169" s="39">
        <v>9.7327700000000003E-2</v>
      </c>
      <c r="L169" s="39">
        <v>4.0744430999999998E-2</v>
      </c>
      <c r="M169" s="39">
        <v>7.7187350000000002E-2</v>
      </c>
      <c r="N169" s="39">
        <v>1.2972979000000001E-2</v>
      </c>
      <c r="O169" s="39">
        <v>1.2972979000000001E-2</v>
      </c>
      <c r="P169" s="39">
        <v>1.2972979000000001E-2</v>
      </c>
      <c r="Q169" s="39">
        <v>1.2972979000000001E-2</v>
      </c>
      <c r="R169" s="39">
        <v>2.1000000000000001E-4</v>
      </c>
      <c r="S169" s="39">
        <v>2.1000000000000001E-4</v>
      </c>
      <c r="T169" s="39">
        <v>2.1000000000000001E-4</v>
      </c>
      <c r="U169" s="39">
        <v>2.1000000000000001E-4</v>
      </c>
      <c r="V169" s="39">
        <v>0.3765</v>
      </c>
      <c r="W169" s="39">
        <v>0.3765</v>
      </c>
      <c r="X169" s="39">
        <v>0.31890000000000002</v>
      </c>
      <c r="Y169" s="39">
        <v>0.31890000000000002</v>
      </c>
      <c r="Z169" s="70">
        <v>0.125</v>
      </c>
      <c r="AA169" s="30">
        <v>750</v>
      </c>
      <c r="AB169" s="46">
        <v>3.3799999999999997E-2</v>
      </c>
    </row>
    <row r="170" spans="1:28" x14ac:dyDescent="0.25">
      <c r="A170" s="69">
        <v>77</v>
      </c>
      <c r="B170" s="39">
        <v>1.41554E-2</v>
      </c>
      <c r="C170" s="39">
        <v>2.26085E-2</v>
      </c>
      <c r="D170" s="39">
        <v>9.5954999999999999E-3</v>
      </c>
      <c r="E170" s="39">
        <v>1.79759E-2</v>
      </c>
      <c r="F170" s="39">
        <v>1.1000000000000001E-3</v>
      </c>
      <c r="G170" s="39">
        <v>1.1000000000000001E-3</v>
      </c>
      <c r="H170" s="39">
        <v>8.9999999999999998E-4</v>
      </c>
      <c r="I170" s="39">
        <v>8.9999999999999998E-4</v>
      </c>
      <c r="J170" s="39">
        <v>6.7068403999999998E-2</v>
      </c>
      <c r="K170" s="39">
        <v>0.107118836</v>
      </c>
      <c r="L170" s="39">
        <v>4.5463300999999998E-2</v>
      </c>
      <c r="M170" s="39">
        <v>8.5169933000000003E-2</v>
      </c>
      <c r="N170" s="39">
        <v>1.4226767E-2</v>
      </c>
      <c r="O170" s="39">
        <v>1.4226767E-2</v>
      </c>
      <c r="P170" s="39">
        <v>1.4226767E-2</v>
      </c>
      <c r="Q170" s="39">
        <v>1.4226767E-2</v>
      </c>
      <c r="R170" s="39">
        <v>2.1000000000000001E-4</v>
      </c>
      <c r="S170" s="39">
        <v>2.1000000000000001E-4</v>
      </c>
      <c r="T170" s="39">
        <v>2.1000000000000001E-4</v>
      </c>
      <c r="U170" s="39">
        <v>2.1000000000000001E-4</v>
      </c>
      <c r="V170" s="39">
        <v>0.3765</v>
      </c>
      <c r="W170" s="39">
        <v>0.3765</v>
      </c>
      <c r="X170" s="39">
        <v>0.31890000000000002</v>
      </c>
      <c r="Y170" s="39">
        <v>0.31890000000000002</v>
      </c>
      <c r="Z170" s="70">
        <v>0.125</v>
      </c>
      <c r="AA170" s="30">
        <v>750</v>
      </c>
      <c r="AB170" s="46">
        <v>3.3799999999999997E-2</v>
      </c>
    </row>
    <row r="171" spans="1:28" x14ac:dyDescent="0.25">
      <c r="A171" s="69">
        <v>78</v>
      </c>
      <c r="B171" s="39">
        <v>1.57518E-2</v>
      </c>
      <c r="C171" s="39">
        <v>2.4837600000000001E-2</v>
      </c>
      <c r="D171" s="39">
        <v>1.07055E-2</v>
      </c>
      <c r="E171" s="39">
        <v>1.9808200000000002E-2</v>
      </c>
      <c r="F171" s="39">
        <v>1.17E-3</v>
      </c>
      <c r="G171" s="39">
        <v>1.17E-3</v>
      </c>
      <c r="H171" s="39">
        <v>9.7000000000000005E-4</v>
      </c>
      <c r="I171" s="39">
        <v>9.7000000000000005E-4</v>
      </c>
      <c r="J171" s="39">
        <v>7.4632028000000003E-2</v>
      </c>
      <c r="K171" s="39">
        <v>0.117680726</v>
      </c>
      <c r="L171" s="39">
        <v>5.0722659000000003E-2</v>
      </c>
      <c r="M171" s="39">
        <v>9.3851311000000007E-2</v>
      </c>
      <c r="N171" s="39">
        <v>1.5588174999999999E-2</v>
      </c>
      <c r="O171" s="39">
        <v>1.5588174999999999E-2</v>
      </c>
      <c r="P171" s="39">
        <v>1.5588174999999999E-2</v>
      </c>
      <c r="Q171" s="39">
        <v>1.5588174999999999E-2</v>
      </c>
      <c r="R171" s="39">
        <v>2.1000000000000001E-4</v>
      </c>
      <c r="S171" s="39">
        <v>2.1000000000000001E-4</v>
      </c>
      <c r="T171" s="39">
        <v>2.1000000000000001E-4</v>
      </c>
      <c r="U171" s="39">
        <v>2.1000000000000001E-4</v>
      </c>
      <c r="V171" s="39">
        <v>0.3765</v>
      </c>
      <c r="W171" s="39">
        <v>0.3765</v>
      </c>
      <c r="X171" s="39">
        <v>0.31890000000000002</v>
      </c>
      <c r="Y171" s="39">
        <v>0.31890000000000002</v>
      </c>
      <c r="Z171" s="70">
        <v>0.125</v>
      </c>
      <c r="AA171" s="30">
        <v>750</v>
      </c>
      <c r="AB171" s="46">
        <v>3.3799999999999997E-2</v>
      </c>
    </row>
    <row r="172" spans="1:28" x14ac:dyDescent="0.25">
      <c r="A172" s="69">
        <v>79</v>
      </c>
      <c r="B172" s="39">
        <v>1.75102E-2</v>
      </c>
      <c r="C172" s="39">
        <v>2.7237299999999999E-2</v>
      </c>
      <c r="D172" s="39">
        <v>1.1942400000000001E-2</v>
      </c>
      <c r="E172" s="39">
        <v>2.1796800000000002E-2</v>
      </c>
      <c r="F172" s="39">
        <v>1.25E-3</v>
      </c>
      <c r="G172" s="39">
        <v>1.25E-3</v>
      </c>
      <c r="H172" s="39">
        <v>1.0499999999999999E-3</v>
      </c>
      <c r="I172" s="39">
        <v>1.0499999999999999E-3</v>
      </c>
      <c r="J172" s="39">
        <v>8.2963208999999996E-2</v>
      </c>
      <c r="K172" s="39">
        <v>0.12905015</v>
      </c>
      <c r="L172" s="39">
        <v>5.6583268999999999E-2</v>
      </c>
      <c r="M172" s="39">
        <v>0.103273061</v>
      </c>
      <c r="N172" s="39">
        <v>1.7064754000000001E-2</v>
      </c>
      <c r="O172" s="39">
        <v>1.7064754000000001E-2</v>
      </c>
      <c r="P172" s="39">
        <v>1.7064754000000001E-2</v>
      </c>
      <c r="Q172" s="39">
        <v>1.7064754000000001E-2</v>
      </c>
      <c r="R172" s="39">
        <v>2.1000000000000001E-4</v>
      </c>
      <c r="S172" s="39">
        <v>2.1000000000000001E-4</v>
      </c>
      <c r="T172" s="39">
        <v>2.1000000000000001E-4</v>
      </c>
      <c r="U172" s="39">
        <v>2.1000000000000001E-4</v>
      </c>
      <c r="V172" s="39">
        <v>0.3765</v>
      </c>
      <c r="W172" s="39">
        <v>0.3765</v>
      </c>
      <c r="X172" s="39">
        <v>0.31890000000000002</v>
      </c>
      <c r="Y172" s="39">
        <v>0.31890000000000002</v>
      </c>
      <c r="Z172" s="70">
        <v>0.125</v>
      </c>
      <c r="AA172" s="30">
        <v>750</v>
      </c>
      <c r="AB172" s="46">
        <v>3.3799999999999997E-2</v>
      </c>
    </row>
    <row r="173" spans="1:28" x14ac:dyDescent="0.25">
      <c r="A173" s="69">
        <v>80</v>
      </c>
      <c r="B173" s="39">
        <v>1.94434E-2</v>
      </c>
      <c r="C173" s="39">
        <v>2.9812700000000001E-2</v>
      </c>
      <c r="D173" s="39">
        <v>1.33198E-2</v>
      </c>
      <c r="E173" s="39">
        <v>2.3950699999999998E-2</v>
      </c>
      <c r="F173" s="39">
        <v>1.34E-3</v>
      </c>
      <c r="G173" s="39">
        <v>1.34E-3</v>
      </c>
      <c r="H173" s="39">
        <v>1.1299999999999999E-3</v>
      </c>
      <c r="I173" s="39">
        <v>1.1299999999999999E-3</v>
      </c>
      <c r="J173" s="39">
        <v>9.2122710999999996E-2</v>
      </c>
      <c r="K173" s="39">
        <v>0.14125269100000001</v>
      </c>
      <c r="L173" s="39">
        <v>6.3109094000000004E-2</v>
      </c>
      <c r="M173" s="39">
        <v>0.113478357</v>
      </c>
      <c r="N173" s="39">
        <v>1.8664303E-2</v>
      </c>
      <c r="O173" s="39">
        <v>1.8664303E-2</v>
      </c>
      <c r="P173" s="39">
        <v>1.8664303E-2</v>
      </c>
      <c r="Q173" s="39">
        <v>1.8664303E-2</v>
      </c>
      <c r="R173" s="39">
        <v>2.1000000000000001E-4</v>
      </c>
      <c r="S173" s="39">
        <v>2.1000000000000001E-4</v>
      </c>
      <c r="T173" s="39">
        <v>2.1000000000000001E-4</v>
      </c>
      <c r="U173" s="39">
        <v>2.1000000000000001E-4</v>
      </c>
      <c r="V173" s="39">
        <v>0.3765</v>
      </c>
      <c r="W173" s="39">
        <v>0.3765</v>
      </c>
      <c r="X173" s="39">
        <v>0.31890000000000002</v>
      </c>
      <c r="Y173" s="39">
        <v>0.31890000000000002</v>
      </c>
      <c r="Z173" s="70">
        <v>0.125</v>
      </c>
      <c r="AA173" s="30">
        <v>750</v>
      </c>
      <c r="AB173" s="46">
        <v>3.3799999999999997E-2</v>
      </c>
    </row>
    <row r="174" spans="1:28" x14ac:dyDescent="0.25">
      <c r="A174" s="69">
        <v>81</v>
      </c>
      <c r="B174" s="39">
        <v>2.15652E-2</v>
      </c>
      <c r="C174" s="39">
        <v>3.2570799999999997E-2</v>
      </c>
      <c r="D174" s="39">
        <v>1.4853E-2</v>
      </c>
      <c r="E174" s="39">
        <v>2.6280100000000001E-2</v>
      </c>
      <c r="F174" s="39">
        <v>1.4599999999999999E-3</v>
      </c>
      <c r="G174" s="39">
        <v>1.4599999999999999E-3</v>
      </c>
      <c r="H174" s="39">
        <v>1.2199999999999999E-3</v>
      </c>
      <c r="I174" s="39">
        <v>1.2199999999999999E-3</v>
      </c>
      <c r="J174" s="39">
        <v>0.10217609499999999</v>
      </c>
      <c r="K174" s="39">
        <v>0.154320332</v>
      </c>
      <c r="L174" s="39">
        <v>7.0373692000000002E-2</v>
      </c>
      <c r="M174" s="39">
        <v>0.12451517300000001</v>
      </c>
      <c r="N174" s="39">
        <v>2.0394821E-2</v>
      </c>
      <c r="O174" s="39">
        <v>2.0394821E-2</v>
      </c>
      <c r="P174" s="39">
        <v>2.0394821E-2</v>
      </c>
      <c r="Q174" s="39">
        <v>2.0394821E-2</v>
      </c>
      <c r="R174" s="39">
        <v>2.1000000000000001E-4</v>
      </c>
      <c r="S174" s="39">
        <v>2.1000000000000001E-4</v>
      </c>
      <c r="T174" s="39">
        <v>2.1000000000000001E-4</v>
      </c>
      <c r="U174" s="39">
        <v>2.1000000000000001E-4</v>
      </c>
      <c r="V174" s="39">
        <v>0.3765</v>
      </c>
      <c r="W174" s="39">
        <v>0.3765</v>
      </c>
      <c r="X174" s="39">
        <v>0.31890000000000002</v>
      </c>
      <c r="Y174" s="39">
        <v>0.31890000000000002</v>
      </c>
      <c r="Z174" s="70">
        <v>0.125</v>
      </c>
      <c r="AA174" s="30">
        <v>750</v>
      </c>
      <c r="AB174" s="46">
        <v>3.3799999999999997E-2</v>
      </c>
    </row>
    <row r="175" spans="1:28" x14ac:dyDescent="0.25">
      <c r="A175" s="69">
        <v>82</v>
      </c>
      <c r="B175" s="39">
        <v>2.3890600000000001E-2</v>
      </c>
      <c r="C175" s="39">
        <v>3.55158E-2</v>
      </c>
      <c r="D175" s="39">
        <v>1.65591E-2</v>
      </c>
      <c r="E175" s="39">
        <v>2.87935E-2</v>
      </c>
      <c r="F175" s="39">
        <v>1.6199999999999999E-3</v>
      </c>
      <c r="G175" s="39">
        <v>1.6199999999999999E-3</v>
      </c>
      <c r="H175" s="39">
        <v>1.34E-3</v>
      </c>
      <c r="I175" s="39">
        <v>1.34E-3</v>
      </c>
      <c r="J175" s="39">
        <v>0.113193722</v>
      </c>
      <c r="K175" s="39">
        <v>0.16827386</v>
      </c>
      <c r="L175" s="39">
        <v>7.8457016000000004E-2</v>
      </c>
      <c r="M175" s="39">
        <v>0.13642348500000001</v>
      </c>
      <c r="N175" s="39">
        <v>2.2264448999999999E-2</v>
      </c>
      <c r="O175" s="39">
        <v>2.2264448999999999E-2</v>
      </c>
      <c r="P175" s="39">
        <v>2.2264448999999999E-2</v>
      </c>
      <c r="Q175" s="39">
        <v>2.2264448999999999E-2</v>
      </c>
      <c r="R175" s="39">
        <v>2.1000000000000001E-4</v>
      </c>
      <c r="S175" s="39">
        <v>2.1000000000000001E-4</v>
      </c>
      <c r="T175" s="39">
        <v>2.1000000000000001E-4</v>
      </c>
      <c r="U175" s="39">
        <v>2.1000000000000001E-4</v>
      </c>
      <c r="V175" s="39">
        <v>0.3765</v>
      </c>
      <c r="W175" s="39">
        <v>0.3765</v>
      </c>
      <c r="X175" s="39">
        <v>0.31890000000000002</v>
      </c>
      <c r="Y175" s="39">
        <v>0.31890000000000002</v>
      </c>
      <c r="Z175" s="70">
        <v>0.125</v>
      </c>
      <c r="AA175" s="30">
        <v>750</v>
      </c>
      <c r="AB175" s="46">
        <v>3.3799999999999997E-2</v>
      </c>
    </row>
    <row r="176" spans="1:28" x14ac:dyDescent="0.25">
      <c r="A176" s="69">
        <v>83</v>
      </c>
      <c r="B176" s="39">
        <v>2.6434699999999998E-2</v>
      </c>
      <c r="C176" s="39">
        <v>3.8652899999999997E-2</v>
      </c>
      <c r="D176" s="39">
        <v>1.8455900000000001E-2</v>
      </c>
      <c r="E176" s="39">
        <v>3.1500199999999999E-2</v>
      </c>
      <c r="F176" s="39">
        <v>1.8E-3</v>
      </c>
      <c r="G176" s="39">
        <v>1.8E-3</v>
      </c>
      <c r="H176" s="39">
        <v>1.5E-3</v>
      </c>
      <c r="I176" s="39">
        <v>1.5E-3</v>
      </c>
      <c r="J176" s="39">
        <v>0.12524754900000001</v>
      </c>
      <c r="K176" s="39">
        <v>0.18313726299999999</v>
      </c>
      <c r="L176" s="39">
        <v>8.7443816999999993E-2</v>
      </c>
      <c r="M176" s="39">
        <v>0.14924806600000001</v>
      </c>
      <c r="N176" s="39">
        <v>2.4281395000000001E-2</v>
      </c>
      <c r="O176" s="39">
        <v>2.4281395000000001E-2</v>
      </c>
      <c r="P176" s="39">
        <v>2.4281395000000001E-2</v>
      </c>
      <c r="Q176" s="39">
        <v>2.4281395000000001E-2</v>
      </c>
      <c r="R176" s="39">
        <v>2.1000000000000001E-4</v>
      </c>
      <c r="S176" s="39">
        <v>2.1000000000000001E-4</v>
      </c>
      <c r="T176" s="39">
        <v>2.1000000000000001E-4</v>
      </c>
      <c r="U176" s="39">
        <v>2.1000000000000001E-4</v>
      </c>
      <c r="V176" s="39">
        <v>0.3765</v>
      </c>
      <c r="W176" s="39">
        <v>0.3765</v>
      </c>
      <c r="X176" s="39">
        <v>0.31890000000000002</v>
      </c>
      <c r="Y176" s="39">
        <v>0.31890000000000002</v>
      </c>
      <c r="Z176" s="70">
        <v>0.125</v>
      </c>
      <c r="AA176" s="30">
        <v>750</v>
      </c>
      <c r="AB176" s="46">
        <v>3.3799999999999997E-2</v>
      </c>
    </row>
    <row r="177" spans="1:28" x14ac:dyDescent="0.25">
      <c r="A177" s="69">
        <v>84</v>
      </c>
      <c r="B177" s="39">
        <v>2.9212700000000001E-2</v>
      </c>
      <c r="C177" s="39">
        <v>4.19847E-2</v>
      </c>
      <c r="D177" s="39">
        <v>2.05632E-2</v>
      </c>
      <c r="E177" s="39">
        <v>3.4409500000000003E-2</v>
      </c>
      <c r="F177" s="39">
        <v>2.0200000000000001E-3</v>
      </c>
      <c r="G177" s="39">
        <v>2.0200000000000001E-3</v>
      </c>
      <c r="H177" s="39">
        <v>1.72E-3</v>
      </c>
      <c r="I177" s="39">
        <v>1.72E-3</v>
      </c>
      <c r="J177" s="39">
        <v>0.138409536</v>
      </c>
      <c r="K177" s="39">
        <v>0.19892333100000001</v>
      </c>
      <c r="L177" s="39">
        <v>9.7428442000000004E-2</v>
      </c>
      <c r="M177" s="39">
        <v>0.16303209299999999</v>
      </c>
      <c r="N177" s="39">
        <v>2.6453846999999999E-2</v>
      </c>
      <c r="O177" s="39">
        <v>2.6453846999999999E-2</v>
      </c>
      <c r="P177" s="39">
        <v>2.6453846999999999E-2</v>
      </c>
      <c r="Q177" s="39">
        <v>2.6453846999999999E-2</v>
      </c>
      <c r="R177" s="39">
        <v>2.1000000000000001E-4</v>
      </c>
      <c r="S177" s="39">
        <v>2.1000000000000001E-4</v>
      </c>
      <c r="T177" s="39">
        <v>2.1000000000000001E-4</v>
      </c>
      <c r="U177" s="39">
        <v>2.1000000000000001E-4</v>
      </c>
      <c r="V177" s="39">
        <v>0.3765</v>
      </c>
      <c r="W177" s="39">
        <v>0.3765</v>
      </c>
      <c r="X177" s="39">
        <v>0.31890000000000002</v>
      </c>
      <c r="Y177" s="39">
        <v>0.31890000000000002</v>
      </c>
      <c r="Z177" s="70">
        <v>0.125</v>
      </c>
      <c r="AA177" s="30">
        <v>750</v>
      </c>
      <c r="AB177" s="46">
        <v>3.3799999999999997E-2</v>
      </c>
    </row>
    <row r="178" spans="1:28" x14ac:dyDescent="0.25">
      <c r="A178" s="69">
        <v>85</v>
      </c>
      <c r="B178" s="39">
        <v>3.2240999999999999E-2</v>
      </c>
      <c r="C178" s="39">
        <v>4.5513900000000003E-2</v>
      </c>
      <c r="D178" s="39">
        <v>2.2903400000000001E-2</v>
      </c>
      <c r="E178" s="39">
        <v>3.7529699999999999E-2</v>
      </c>
      <c r="F178" s="39">
        <v>2.2899999999999999E-3</v>
      </c>
      <c r="G178" s="39">
        <v>2.2899999999999999E-3</v>
      </c>
      <c r="H178" s="39">
        <v>2.0100000000000001E-3</v>
      </c>
      <c r="I178" s="39">
        <v>2.0100000000000001E-3</v>
      </c>
      <c r="J178" s="39">
        <v>0.15275803600000001</v>
      </c>
      <c r="K178" s="39">
        <v>0.21564485799999999</v>
      </c>
      <c r="L178" s="39">
        <v>0.108516428</v>
      </c>
      <c r="M178" s="39">
        <v>0.17781554099999999</v>
      </c>
      <c r="N178" s="39">
        <v>2.8789868E-2</v>
      </c>
      <c r="O178" s="39">
        <v>2.8789868E-2</v>
      </c>
      <c r="P178" s="39">
        <v>2.8789868E-2</v>
      </c>
      <c r="Q178" s="39">
        <v>2.8789868E-2</v>
      </c>
      <c r="R178" s="39">
        <v>2.1000000000000001E-4</v>
      </c>
      <c r="S178" s="39">
        <v>2.1000000000000001E-4</v>
      </c>
      <c r="T178" s="39">
        <v>2.1000000000000001E-4</v>
      </c>
      <c r="U178" s="39">
        <v>2.1000000000000001E-4</v>
      </c>
      <c r="V178" s="39">
        <v>0.3765</v>
      </c>
      <c r="W178" s="39">
        <v>0.3765</v>
      </c>
      <c r="X178" s="39">
        <v>0.31890000000000002</v>
      </c>
      <c r="Y178" s="39">
        <v>0.31890000000000002</v>
      </c>
      <c r="Z178" s="70">
        <v>0.125</v>
      </c>
      <c r="AA178" s="30">
        <v>750</v>
      </c>
      <c r="AB178" s="46">
        <v>3.3799999999999997E-2</v>
      </c>
    </row>
    <row r="179" spans="1:28" x14ac:dyDescent="0.25">
      <c r="A179" s="69">
        <v>86</v>
      </c>
      <c r="B179" s="39">
        <v>3.5535400000000002E-2</v>
      </c>
      <c r="C179" s="39">
        <v>4.9241899999999998E-2</v>
      </c>
      <c r="D179" s="39">
        <v>2.54998E-2</v>
      </c>
      <c r="E179" s="39">
        <v>4.08689E-2</v>
      </c>
      <c r="F179" s="39">
        <v>2.6099999999999999E-3</v>
      </c>
      <c r="G179" s="39">
        <v>2.6099999999999999E-3</v>
      </c>
      <c r="H179" s="39">
        <v>2.3800000000000002E-3</v>
      </c>
      <c r="I179" s="39">
        <v>2.3800000000000002E-3</v>
      </c>
      <c r="J179" s="39">
        <v>0.168366607</v>
      </c>
      <c r="K179" s="39">
        <v>0.233308241</v>
      </c>
      <c r="L179" s="39">
        <v>0.12081811200000001</v>
      </c>
      <c r="M179" s="39">
        <v>0.193636789</v>
      </c>
      <c r="N179" s="39">
        <v>3.1297274E-2</v>
      </c>
      <c r="O179" s="39">
        <v>3.1297274E-2</v>
      </c>
      <c r="P179" s="39">
        <v>3.1297274E-2</v>
      </c>
      <c r="Q179" s="39">
        <v>3.1297274E-2</v>
      </c>
      <c r="R179" s="39">
        <v>2.1000000000000001E-4</v>
      </c>
      <c r="S179" s="39">
        <v>2.1000000000000001E-4</v>
      </c>
      <c r="T179" s="39">
        <v>2.1000000000000001E-4</v>
      </c>
      <c r="U179" s="39">
        <v>2.1000000000000001E-4</v>
      </c>
      <c r="V179" s="39">
        <v>0.3765</v>
      </c>
      <c r="W179" s="39">
        <v>0.3765</v>
      </c>
      <c r="X179" s="39">
        <v>0.31890000000000002</v>
      </c>
      <c r="Y179" s="39">
        <v>0.31890000000000002</v>
      </c>
      <c r="Z179" s="70">
        <v>0.125</v>
      </c>
      <c r="AA179" s="30">
        <v>750</v>
      </c>
      <c r="AB179" s="46">
        <v>3.3799999999999997E-2</v>
      </c>
    </row>
    <row r="180" spans="1:28" x14ac:dyDescent="0.25">
      <c r="A180" s="69">
        <v>87</v>
      </c>
      <c r="B180" s="39">
        <v>3.91122E-2</v>
      </c>
      <c r="C180" s="39">
        <v>5.3168399999999998E-2</v>
      </c>
      <c r="D180" s="39">
        <v>2.8377300000000001E-2</v>
      </c>
      <c r="E180" s="39">
        <v>4.4434599999999998E-2</v>
      </c>
      <c r="F180" s="39">
        <v>2.99E-3</v>
      </c>
      <c r="G180" s="39">
        <v>2.99E-3</v>
      </c>
      <c r="H180" s="39">
        <v>2.8E-3</v>
      </c>
      <c r="I180" s="39">
        <v>2.8E-3</v>
      </c>
      <c r="J180" s="39">
        <v>0.18531360399999999</v>
      </c>
      <c r="K180" s="39">
        <v>0.25191187900000001</v>
      </c>
      <c r="L180" s="39">
        <v>0.134451825</v>
      </c>
      <c r="M180" s="39">
        <v>0.21053101599999999</v>
      </c>
      <c r="N180" s="39">
        <v>3.3983499E-2</v>
      </c>
      <c r="O180" s="39">
        <v>3.3983499E-2</v>
      </c>
      <c r="P180" s="39">
        <v>3.3983499E-2</v>
      </c>
      <c r="Q180" s="39">
        <v>3.3983499E-2</v>
      </c>
      <c r="R180" s="39">
        <v>2.1000000000000001E-4</v>
      </c>
      <c r="S180" s="39">
        <v>2.1000000000000001E-4</v>
      </c>
      <c r="T180" s="39">
        <v>2.1000000000000001E-4</v>
      </c>
      <c r="U180" s="39">
        <v>2.1000000000000001E-4</v>
      </c>
      <c r="V180" s="39">
        <v>0.3765</v>
      </c>
      <c r="W180" s="39">
        <v>0.3765</v>
      </c>
      <c r="X180" s="39">
        <v>0.31890000000000002</v>
      </c>
      <c r="Y180" s="39">
        <v>0.31890000000000002</v>
      </c>
      <c r="Z180" s="70">
        <v>0.125</v>
      </c>
      <c r="AA180" s="30">
        <v>750</v>
      </c>
      <c r="AB180" s="46">
        <v>3.3799999999999997E-2</v>
      </c>
    </row>
    <row r="181" spans="1:28" x14ac:dyDescent="0.25">
      <c r="A181" s="69">
        <v>88</v>
      </c>
      <c r="B181" s="39">
        <v>4.2987400000000002E-2</v>
      </c>
      <c r="C181" s="39">
        <v>5.7292000000000003E-2</v>
      </c>
      <c r="D181" s="39">
        <v>3.15637E-2</v>
      </c>
      <c r="E181" s="39">
        <v>4.8233499999999999E-2</v>
      </c>
      <c r="F181" s="39">
        <v>3.4299999999999999E-3</v>
      </c>
      <c r="G181" s="39">
        <v>3.4299999999999999E-3</v>
      </c>
      <c r="H181" s="39">
        <v>3.2699999999999999E-3</v>
      </c>
      <c r="I181" s="39">
        <v>3.2699999999999999E-3</v>
      </c>
      <c r="J181" s="39">
        <v>0.20367418300000001</v>
      </c>
      <c r="K181" s="39">
        <v>0.27144937800000002</v>
      </c>
      <c r="L181" s="39">
        <v>0.14954869200000001</v>
      </c>
      <c r="M181" s="39">
        <v>0.22853020499999999</v>
      </c>
      <c r="N181" s="39">
        <v>3.6855437999999997E-2</v>
      </c>
      <c r="O181" s="39">
        <v>3.6855437999999997E-2</v>
      </c>
      <c r="P181" s="39">
        <v>3.6855437999999997E-2</v>
      </c>
      <c r="Q181" s="39">
        <v>3.6855437999999997E-2</v>
      </c>
      <c r="R181" s="39">
        <v>2.1000000000000001E-4</v>
      </c>
      <c r="S181" s="39">
        <v>2.1000000000000001E-4</v>
      </c>
      <c r="T181" s="39">
        <v>2.1000000000000001E-4</v>
      </c>
      <c r="U181" s="39">
        <v>2.1000000000000001E-4</v>
      </c>
      <c r="V181" s="39">
        <v>0.3765</v>
      </c>
      <c r="W181" s="39">
        <v>0.3765</v>
      </c>
      <c r="X181" s="39">
        <v>0.31890000000000002</v>
      </c>
      <c r="Y181" s="39">
        <v>0.31890000000000002</v>
      </c>
      <c r="Z181" s="70">
        <v>0.125</v>
      </c>
      <c r="AA181" s="30">
        <v>750</v>
      </c>
      <c r="AB181" s="46">
        <v>3.3799999999999997E-2</v>
      </c>
    </row>
    <row r="182" spans="1:28" x14ac:dyDescent="0.25">
      <c r="A182" s="69">
        <v>89</v>
      </c>
      <c r="B182" s="39">
        <v>4.71764E-2</v>
      </c>
      <c r="C182" s="39">
        <v>6.1609999999999998E-2</v>
      </c>
      <c r="D182" s="39">
        <v>3.5087500000000001E-2</v>
      </c>
      <c r="E182" s="39">
        <v>5.2270999999999998E-2</v>
      </c>
      <c r="F182" s="39">
        <v>3.9199999999999999E-3</v>
      </c>
      <c r="G182" s="39">
        <v>3.9199999999999999E-3</v>
      </c>
      <c r="H182" s="39">
        <v>3.79E-3</v>
      </c>
      <c r="I182" s="39">
        <v>3.79E-3</v>
      </c>
      <c r="J182" s="39">
        <v>0.22352190199999999</v>
      </c>
      <c r="K182" s="39">
        <v>0.291907943</v>
      </c>
      <c r="L182" s="39">
        <v>0.166244634</v>
      </c>
      <c r="M182" s="39">
        <v>0.247659939</v>
      </c>
      <c r="N182" s="39">
        <v>3.9919284999999999E-2</v>
      </c>
      <c r="O182" s="39">
        <v>3.9919284999999999E-2</v>
      </c>
      <c r="P182" s="39">
        <v>3.9919284999999999E-2</v>
      </c>
      <c r="Q182" s="39">
        <v>3.9919284999999999E-2</v>
      </c>
      <c r="R182" s="39">
        <v>2.1000000000000001E-4</v>
      </c>
      <c r="S182" s="39">
        <v>2.1000000000000001E-4</v>
      </c>
      <c r="T182" s="39">
        <v>2.1000000000000001E-4</v>
      </c>
      <c r="U182" s="39">
        <v>2.1000000000000001E-4</v>
      </c>
      <c r="V182" s="39">
        <v>0.3765</v>
      </c>
      <c r="W182" s="39">
        <v>0.3765</v>
      </c>
      <c r="X182" s="39">
        <v>0.31890000000000002</v>
      </c>
      <c r="Y182" s="39">
        <v>0.31890000000000002</v>
      </c>
      <c r="Z182" s="70">
        <v>0.125</v>
      </c>
      <c r="AA182" s="30">
        <v>750</v>
      </c>
      <c r="AB182" s="46">
        <v>3.3799999999999997E-2</v>
      </c>
    </row>
    <row r="183" spans="1:28" x14ac:dyDescent="0.25">
      <c r="A183" s="69">
        <v>90</v>
      </c>
      <c r="B183" s="39">
        <v>5.1694200000000003E-2</v>
      </c>
      <c r="C183" s="39">
        <v>6.6117899999999993E-2</v>
      </c>
      <c r="D183" s="39">
        <v>3.8979600000000003E-2</v>
      </c>
      <c r="E183" s="39">
        <v>5.6552499999999999E-2</v>
      </c>
      <c r="F183" s="39">
        <v>4.45E-3</v>
      </c>
      <c r="G183" s="39">
        <v>4.45E-3</v>
      </c>
      <c r="H183" s="39">
        <v>4.3499999999999997E-3</v>
      </c>
      <c r="I183" s="39">
        <v>4.3499999999999997E-3</v>
      </c>
      <c r="J183" s="39">
        <v>0.24492712</v>
      </c>
      <c r="K183" s="39">
        <v>0.31326678800000002</v>
      </c>
      <c r="L183" s="39">
        <v>0.18468516700000001</v>
      </c>
      <c r="M183" s="39">
        <v>0.26794580400000001</v>
      </c>
      <c r="N183" s="39">
        <v>4.3180344000000002E-2</v>
      </c>
      <c r="O183" s="39">
        <v>4.3180344000000002E-2</v>
      </c>
      <c r="P183" s="39">
        <v>4.3180344000000002E-2</v>
      </c>
      <c r="Q183" s="39">
        <v>4.3180344000000002E-2</v>
      </c>
      <c r="R183" s="39">
        <v>2.1000000000000001E-4</v>
      </c>
      <c r="S183" s="39">
        <v>2.1000000000000001E-4</v>
      </c>
      <c r="T183" s="39">
        <v>2.1000000000000001E-4</v>
      </c>
      <c r="U183" s="39">
        <v>2.1000000000000001E-4</v>
      </c>
      <c r="V183" s="39">
        <v>0.3765</v>
      </c>
      <c r="W183" s="39">
        <v>0.3765</v>
      </c>
      <c r="X183" s="39">
        <v>0.31890000000000002</v>
      </c>
      <c r="Y183" s="39">
        <v>0.31890000000000002</v>
      </c>
      <c r="Z183" s="70">
        <v>0.125</v>
      </c>
      <c r="AA183" s="30">
        <v>750</v>
      </c>
      <c r="AB183" s="46">
        <v>3.3799999999999997E-2</v>
      </c>
    </row>
    <row r="184" spans="1:28" x14ac:dyDescent="0.25">
      <c r="A184" s="69">
        <v>91</v>
      </c>
      <c r="B184" s="39">
        <v>5.65552E-2</v>
      </c>
      <c r="C184" s="39">
        <v>7.0810200000000004E-2</v>
      </c>
      <c r="D184" s="39">
        <v>4.3272600000000001E-2</v>
      </c>
      <c r="E184" s="39">
        <v>6.1081099999999999E-2</v>
      </c>
      <c r="F184" s="39">
        <v>4.45E-3</v>
      </c>
      <c r="G184" s="39">
        <v>4.45E-3</v>
      </c>
      <c r="H184" s="39">
        <v>4.3499999999999997E-3</v>
      </c>
      <c r="I184" s="39">
        <v>4.3499999999999997E-3</v>
      </c>
      <c r="J184" s="39">
        <v>0.26795859700000002</v>
      </c>
      <c r="K184" s="39">
        <v>0.33549872800000002</v>
      </c>
      <c r="L184" s="39">
        <v>0.205025401</v>
      </c>
      <c r="M184" s="39">
        <v>0.28940219299999997</v>
      </c>
      <c r="N184" s="39">
        <v>4.6642839999999998E-2</v>
      </c>
      <c r="O184" s="39">
        <v>4.6642839999999998E-2</v>
      </c>
      <c r="P184" s="39">
        <v>4.6642839999999998E-2</v>
      </c>
      <c r="Q184" s="39">
        <v>4.6642839999999998E-2</v>
      </c>
      <c r="R184" s="39">
        <v>2.1000000000000001E-4</v>
      </c>
      <c r="S184" s="39">
        <v>2.1000000000000001E-4</v>
      </c>
      <c r="T184" s="39">
        <v>2.1000000000000001E-4</v>
      </c>
      <c r="U184" s="39">
        <v>2.1000000000000001E-4</v>
      </c>
      <c r="V184" s="39">
        <v>0.3765</v>
      </c>
      <c r="W184" s="39">
        <v>0.3765</v>
      </c>
      <c r="X184" s="39">
        <v>0.31890000000000002</v>
      </c>
      <c r="Y184" s="39">
        <v>0.31890000000000002</v>
      </c>
      <c r="Z184" s="70">
        <v>0.125</v>
      </c>
      <c r="AA184" s="30">
        <v>750</v>
      </c>
      <c r="AB184" s="46">
        <v>3.3799999999999997E-2</v>
      </c>
    </row>
    <row r="185" spans="1:28" x14ac:dyDescent="0.25">
      <c r="A185" s="69">
        <v>92</v>
      </c>
      <c r="B185" s="39">
        <v>6.1772300000000002E-2</v>
      </c>
      <c r="C185" s="39">
        <v>7.5678999999999996E-2</v>
      </c>
      <c r="D185" s="39">
        <v>4.7999600000000003E-2</v>
      </c>
      <c r="E185" s="39">
        <v>6.5859100000000004E-2</v>
      </c>
      <c r="F185" s="39">
        <v>4.45E-3</v>
      </c>
      <c r="G185" s="39">
        <v>4.45E-3</v>
      </c>
      <c r="H185" s="39">
        <v>4.3499999999999997E-3</v>
      </c>
      <c r="I185" s="39">
        <v>4.3499999999999997E-3</v>
      </c>
      <c r="J185" s="39">
        <v>0.29267709800000002</v>
      </c>
      <c r="K185" s="39">
        <v>0.35856698399999998</v>
      </c>
      <c r="L185" s="39">
        <v>0.22742204599999999</v>
      </c>
      <c r="M185" s="39">
        <v>0.31204029700000002</v>
      </c>
      <c r="N185" s="39">
        <v>5.0309723000000001E-2</v>
      </c>
      <c r="O185" s="39">
        <v>5.0309723000000001E-2</v>
      </c>
      <c r="P185" s="39">
        <v>5.0309723000000001E-2</v>
      </c>
      <c r="Q185" s="39">
        <v>5.0309723000000001E-2</v>
      </c>
      <c r="R185" s="39">
        <v>2.1000000000000001E-4</v>
      </c>
      <c r="S185" s="39">
        <v>2.1000000000000001E-4</v>
      </c>
      <c r="T185" s="39">
        <v>2.1000000000000001E-4</v>
      </c>
      <c r="U185" s="39">
        <v>2.1000000000000001E-4</v>
      </c>
      <c r="V185" s="39">
        <v>0.3765</v>
      </c>
      <c r="W185" s="39">
        <v>0.3765</v>
      </c>
      <c r="X185" s="39">
        <v>0.31890000000000002</v>
      </c>
      <c r="Y185" s="39">
        <v>0.31890000000000002</v>
      </c>
      <c r="Z185" s="70">
        <v>0.125</v>
      </c>
      <c r="AA185" s="30">
        <v>750</v>
      </c>
      <c r="AB185" s="46">
        <v>3.3799999999999997E-2</v>
      </c>
    </row>
    <row r="186" spans="1:28" x14ac:dyDescent="0.25">
      <c r="A186" s="69">
        <v>93</v>
      </c>
      <c r="B186" s="39">
        <v>6.7355899999999996E-2</v>
      </c>
      <c r="C186" s="39">
        <v>8.0715800000000004E-2</v>
      </c>
      <c r="D186" s="39">
        <v>5.3195100000000002E-2</v>
      </c>
      <c r="E186" s="39">
        <v>7.0887199999999997E-2</v>
      </c>
      <c r="F186" s="39">
        <v>4.45E-3</v>
      </c>
      <c r="G186" s="39">
        <v>4.45E-3</v>
      </c>
      <c r="H186" s="39">
        <v>4.3499999999999997E-3</v>
      </c>
      <c r="I186" s="39">
        <v>4.3499999999999997E-3</v>
      </c>
      <c r="J186" s="39">
        <v>0.31913219500000001</v>
      </c>
      <c r="K186" s="39">
        <v>0.38243157900000002</v>
      </c>
      <c r="L186" s="39">
        <v>0.25203820599999999</v>
      </c>
      <c r="M186" s="39">
        <v>0.33586331699999999</v>
      </c>
      <c r="N186" s="39">
        <v>5.4182464999999999E-2</v>
      </c>
      <c r="O186" s="39">
        <v>5.4182464999999999E-2</v>
      </c>
      <c r="P186" s="39">
        <v>5.4182464999999999E-2</v>
      </c>
      <c r="Q186" s="39">
        <v>5.4182464999999999E-2</v>
      </c>
      <c r="R186" s="39">
        <v>2.1000000000000001E-4</v>
      </c>
      <c r="S186" s="39">
        <v>2.1000000000000001E-4</v>
      </c>
      <c r="T186" s="39">
        <v>2.1000000000000001E-4</v>
      </c>
      <c r="U186" s="39">
        <v>2.1000000000000001E-4</v>
      </c>
      <c r="V186" s="39">
        <v>0.3765</v>
      </c>
      <c r="W186" s="39">
        <v>0.3765</v>
      </c>
      <c r="X186" s="39">
        <v>0.31890000000000002</v>
      </c>
      <c r="Y186" s="39">
        <v>0.31890000000000002</v>
      </c>
      <c r="Z186" s="70">
        <v>0.125</v>
      </c>
      <c r="AA186" s="30">
        <v>750</v>
      </c>
      <c r="AB186" s="46">
        <v>3.3799999999999997E-2</v>
      </c>
    </row>
    <row r="187" spans="1:28" x14ac:dyDescent="0.25">
      <c r="A187" s="69">
        <v>94</v>
      </c>
      <c r="B187" s="39">
        <v>7.33158E-2</v>
      </c>
      <c r="C187" s="39">
        <v>8.591E-2</v>
      </c>
      <c r="D187" s="39">
        <v>5.88944E-2</v>
      </c>
      <c r="E187" s="39">
        <v>7.6164300000000004E-2</v>
      </c>
      <c r="F187" s="39">
        <v>4.45E-3</v>
      </c>
      <c r="G187" s="39">
        <v>4.45E-3</v>
      </c>
      <c r="H187" s="39">
        <v>4.3499999999999997E-3</v>
      </c>
      <c r="I187" s="39">
        <v>4.3499999999999997E-3</v>
      </c>
      <c r="J187" s="39">
        <v>0.34737025999999999</v>
      </c>
      <c r="K187" s="39">
        <v>0.407041343</v>
      </c>
      <c r="L187" s="39">
        <v>0.27904178600000001</v>
      </c>
      <c r="M187" s="39">
        <v>0.36086645299999998</v>
      </c>
      <c r="N187" s="39">
        <v>5.8260868E-2</v>
      </c>
      <c r="O187" s="39">
        <v>5.8260868E-2</v>
      </c>
      <c r="P187" s="39">
        <v>5.8260868E-2</v>
      </c>
      <c r="Q187" s="39">
        <v>5.8260868E-2</v>
      </c>
      <c r="R187" s="39">
        <v>2.1000000000000001E-4</v>
      </c>
      <c r="S187" s="39">
        <v>2.1000000000000001E-4</v>
      </c>
      <c r="T187" s="39">
        <v>2.1000000000000001E-4</v>
      </c>
      <c r="U187" s="39">
        <v>2.1000000000000001E-4</v>
      </c>
      <c r="V187" s="39">
        <v>0.3765</v>
      </c>
      <c r="W187" s="39">
        <v>0.3765</v>
      </c>
      <c r="X187" s="39">
        <v>0.31890000000000002</v>
      </c>
      <c r="Y187" s="39">
        <v>0.31890000000000002</v>
      </c>
      <c r="Z187" s="70">
        <v>0.125</v>
      </c>
      <c r="AA187" s="30">
        <v>750</v>
      </c>
      <c r="AB187" s="46">
        <v>3.3799999999999997E-2</v>
      </c>
    </row>
    <row r="188" spans="1:28" x14ac:dyDescent="0.25">
      <c r="A188" s="69">
        <v>95</v>
      </c>
      <c r="B188" s="39">
        <v>7.9658099999999996E-2</v>
      </c>
      <c r="C188" s="39">
        <v>9.1249499999999997E-2</v>
      </c>
      <c r="D188" s="39">
        <v>6.5132099999999998E-2</v>
      </c>
      <c r="E188" s="39">
        <v>8.1688200000000002E-2</v>
      </c>
      <c r="F188" s="39">
        <v>4.45E-3</v>
      </c>
      <c r="G188" s="39">
        <v>4.45E-3</v>
      </c>
      <c r="H188" s="39">
        <v>4.3499999999999997E-3</v>
      </c>
      <c r="I188" s="39">
        <v>4.3499999999999997E-3</v>
      </c>
      <c r="J188" s="39">
        <v>0.37742007799999999</v>
      </c>
      <c r="K188" s="39">
        <v>0.43234030899999998</v>
      </c>
      <c r="L188" s="39">
        <v>0.30859588999999998</v>
      </c>
      <c r="M188" s="39">
        <v>0.387038514</v>
      </c>
      <c r="N188" s="39">
        <v>6.2542878999999996E-2</v>
      </c>
      <c r="O188" s="39">
        <v>6.2542878999999996E-2</v>
      </c>
      <c r="P188" s="39">
        <v>6.2542878999999996E-2</v>
      </c>
      <c r="Q188" s="39">
        <v>6.2542878999999996E-2</v>
      </c>
      <c r="R188" s="39">
        <v>2.1000000000000001E-4</v>
      </c>
      <c r="S188" s="39">
        <v>2.1000000000000001E-4</v>
      </c>
      <c r="T188" s="39">
        <v>2.1000000000000001E-4</v>
      </c>
      <c r="U188" s="39">
        <v>2.1000000000000001E-4</v>
      </c>
      <c r="V188" s="39">
        <v>0.3765</v>
      </c>
      <c r="W188" s="39">
        <v>0.3765</v>
      </c>
      <c r="X188" s="39">
        <v>0.31890000000000002</v>
      </c>
      <c r="Y188" s="39">
        <v>0.31890000000000002</v>
      </c>
      <c r="Z188" s="70">
        <v>0.125</v>
      </c>
      <c r="AA188" s="30">
        <v>750</v>
      </c>
      <c r="AB188" s="46">
        <v>3.3799999999999997E-2</v>
      </c>
    </row>
    <row r="189" spans="1:28" x14ac:dyDescent="0.25">
      <c r="A189" s="69">
        <v>96</v>
      </c>
      <c r="B189" s="39">
        <v>8.6387500000000006E-2</v>
      </c>
      <c r="C189" s="39">
        <v>9.6720799999999996E-2</v>
      </c>
      <c r="D189" s="39">
        <v>7.1941500000000005E-2</v>
      </c>
      <c r="E189" s="39">
        <v>8.7453699999999995E-2</v>
      </c>
      <c r="F189" s="39">
        <v>4.45E-3</v>
      </c>
      <c r="G189" s="39">
        <v>4.45E-3</v>
      </c>
      <c r="H189" s="39">
        <v>4.3499999999999997E-3</v>
      </c>
      <c r="I189" s="39">
        <v>4.3499999999999997E-3</v>
      </c>
      <c r="J189" s="39">
        <v>0.40930403399999998</v>
      </c>
      <c r="K189" s="39">
        <v>0.45826291400000002</v>
      </c>
      <c r="L189" s="39">
        <v>0.34085882699999998</v>
      </c>
      <c r="M189" s="39">
        <v>0.41435551199999998</v>
      </c>
      <c r="N189" s="39">
        <v>6.7024432999999994E-2</v>
      </c>
      <c r="O189" s="39">
        <v>6.7024432999999994E-2</v>
      </c>
      <c r="P189" s="39">
        <v>6.7024432999999994E-2</v>
      </c>
      <c r="Q189" s="39">
        <v>6.7024432999999994E-2</v>
      </c>
      <c r="R189" s="39">
        <v>2.1000000000000001E-4</v>
      </c>
      <c r="S189" s="39">
        <v>2.1000000000000001E-4</v>
      </c>
      <c r="T189" s="39">
        <v>2.1000000000000001E-4</v>
      </c>
      <c r="U189" s="39">
        <v>2.1000000000000001E-4</v>
      </c>
      <c r="V189" s="39">
        <v>0.3765</v>
      </c>
      <c r="W189" s="39">
        <v>0.3765</v>
      </c>
      <c r="X189" s="39">
        <v>0.31890000000000002</v>
      </c>
      <c r="Y189" s="39">
        <v>0.31890000000000002</v>
      </c>
      <c r="Z189" s="70">
        <v>0.125</v>
      </c>
      <c r="AA189" s="30">
        <v>750</v>
      </c>
      <c r="AB189" s="46">
        <v>3.3799999999999997E-2</v>
      </c>
    </row>
    <row r="190" spans="1:28" x14ac:dyDescent="0.25">
      <c r="A190" s="69">
        <v>97</v>
      </c>
      <c r="B190" s="39">
        <v>9.3503699999999995E-2</v>
      </c>
      <c r="C190" s="39">
        <v>0.10230939999999999</v>
      </c>
      <c r="D190" s="39">
        <v>7.9353999999999994E-2</v>
      </c>
      <c r="E190" s="39">
        <v>9.3454400000000007E-2</v>
      </c>
      <c r="F190" s="39">
        <v>4.45E-3</v>
      </c>
      <c r="G190" s="39">
        <v>4.45E-3</v>
      </c>
      <c r="H190" s="39">
        <v>4.3499999999999997E-3</v>
      </c>
      <c r="I190" s="39">
        <v>4.3499999999999997E-3</v>
      </c>
      <c r="J190" s="39">
        <v>0.443020531</v>
      </c>
      <c r="K190" s="39">
        <v>0.48474199600000001</v>
      </c>
      <c r="L190" s="39">
        <v>0.37597931099999998</v>
      </c>
      <c r="M190" s="39">
        <v>0.44278706600000001</v>
      </c>
      <c r="N190" s="39">
        <v>7.1699312000000001E-2</v>
      </c>
      <c r="O190" s="39">
        <v>7.1699312000000001E-2</v>
      </c>
      <c r="P190" s="39">
        <v>7.1699312000000001E-2</v>
      </c>
      <c r="Q190" s="39">
        <v>7.1699312000000001E-2</v>
      </c>
      <c r="R190" s="39">
        <v>2.1000000000000001E-4</v>
      </c>
      <c r="S190" s="39">
        <v>2.1000000000000001E-4</v>
      </c>
      <c r="T190" s="39">
        <v>2.1000000000000001E-4</v>
      </c>
      <c r="U190" s="39">
        <v>2.1000000000000001E-4</v>
      </c>
      <c r="V190" s="39">
        <v>0.3765</v>
      </c>
      <c r="W190" s="39">
        <v>0.3765</v>
      </c>
      <c r="X190" s="39">
        <v>0.31890000000000002</v>
      </c>
      <c r="Y190" s="39">
        <v>0.31890000000000002</v>
      </c>
      <c r="Z190" s="70">
        <v>0.125</v>
      </c>
      <c r="AA190" s="30">
        <v>750</v>
      </c>
      <c r="AB190" s="46">
        <v>3.3799999999999997E-2</v>
      </c>
    </row>
    <row r="191" spans="1:28" x14ac:dyDescent="0.25">
      <c r="A191" s="69">
        <v>98</v>
      </c>
      <c r="B191" s="39">
        <v>0.1010033</v>
      </c>
      <c r="C191" s="39">
        <v>0.107999</v>
      </c>
      <c r="D191" s="39">
        <v>8.7397699999999995E-2</v>
      </c>
      <c r="E191" s="39">
        <v>9.9682000000000007E-2</v>
      </c>
      <c r="F191" s="39">
        <v>4.45E-3</v>
      </c>
      <c r="G191" s="39">
        <v>4.45E-3</v>
      </c>
      <c r="H191" s="39">
        <v>4.3499999999999997E-3</v>
      </c>
      <c r="I191" s="39">
        <v>4.3499999999999997E-3</v>
      </c>
      <c r="J191" s="39">
        <v>0.47855357599999998</v>
      </c>
      <c r="K191" s="39">
        <v>0.51169920300000005</v>
      </c>
      <c r="L191" s="39">
        <v>0.41409006599999998</v>
      </c>
      <c r="M191" s="39">
        <v>0.47229319800000003</v>
      </c>
      <c r="N191" s="39">
        <v>7.6559051000000003E-2</v>
      </c>
      <c r="O191" s="39">
        <v>7.6559051000000003E-2</v>
      </c>
      <c r="P191" s="39">
        <v>7.6559051000000003E-2</v>
      </c>
      <c r="Q191" s="39">
        <v>7.6559051000000003E-2</v>
      </c>
      <c r="R191" s="39">
        <v>2.1000000000000001E-4</v>
      </c>
      <c r="S191" s="39">
        <v>2.1000000000000001E-4</v>
      </c>
      <c r="T191" s="39">
        <v>2.1000000000000001E-4</v>
      </c>
      <c r="U191" s="39">
        <v>2.1000000000000001E-4</v>
      </c>
      <c r="V191" s="39">
        <v>0.3765</v>
      </c>
      <c r="W191" s="39">
        <v>0.3765</v>
      </c>
      <c r="X191" s="39">
        <v>0.31890000000000002</v>
      </c>
      <c r="Y191" s="39">
        <v>0.31890000000000002</v>
      </c>
      <c r="Z191" s="70">
        <v>0.125</v>
      </c>
      <c r="AA191" s="30">
        <v>750</v>
      </c>
      <c r="AB191" s="46">
        <v>3.3799999999999997E-2</v>
      </c>
    </row>
    <row r="192" spans="1:28" x14ac:dyDescent="0.25">
      <c r="A192" s="69">
        <v>99</v>
      </c>
      <c r="B192" s="39">
        <v>0.1088795</v>
      </c>
      <c r="C192" s="39">
        <v>0.1137729</v>
      </c>
      <c r="D192" s="39">
        <v>9.6095399999999997E-2</v>
      </c>
      <c r="E192" s="39">
        <v>0.10612489999999999</v>
      </c>
      <c r="F192" s="39">
        <v>4.45E-3</v>
      </c>
      <c r="G192" s="39">
        <v>4.45E-3</v>
      </c>
      <c r="H192" s="39">
        <v>4.3499999999999997E-3</v>
      </c>
      <c r="I192" s="39">
        <v>4.3499999999999997E-3</v>
      </c>
      <c r="J192" s="39">
        <v>0.51587118899999995</v>
      </c>
      <c r="K192" s="39">
        <v>0.53905617800000005</v>
      </c>
      <c r="L192" s="39">
        <v>0.45529982800000002</v>
      </c>
      <c r="M192" s="39">
        <v>0.50281953899999998</v>
      </c>
      <c r="N192" s="39">
        <v>8.1592887000000003E-2</v>
      </c>
      <c r="O192" s="39">
        <v>8.1592887000000003E-2</v>
      </c>
      <c r="P192" s="39">
        <v>8.1592887000000003E-2</v>
      </c>
      <c r="Q192" s="39">
        <v>8.1592887000000003E-2</v>
      </c>
      <c r="R192" s="39">
        <v>2.1000000000000001E-4</v>
      </c>
      <c r="S192" s="39">
        <v>2.1000000000000001E-4</v>
      </c>
      <c r="T192" s="39">
        <v>2.1000000000000001E-4</v>
      </c>
      <c r="U192" s="39">
        <v>2.1000000000000001E-4</v>
      </c>
      <c r="V192" s="39">
        <v>0.3765</v>
      </c>
      <c r="W192" s="39">
        <v>0.3765</v>
      </c>
      <c r="X192" s="39">
        <v>0.31890000000000002</v>
      </c>
      <c r="Y192" s="39">
        <v>0.31890000000000002</v>
      </c>
      <c r="Z192" s="70">
        <v>0.125</v>
      </c>
      <c r="AA192" s="30">
        <v>750</v>
      </c>
      <c r="AB192" s="46">
        <v>3.3799999999999997E-2</v>
      </c>
    </row>
    <row r="193" spans="1:28" x14ac:dyDescent="0.25">
      <c r="A193" s="69">
        <v>100</v>
      </c>
      <c r="B193" s="39">
        <v>0.1170312</v>
      </c>
      <c r="C193" s="39">
        <v>0.1205985</v>
      </c>
      <c r="D193" s="39">
        <v>0.10536379999999999</v>
      </c>
      <c r="E193" s="39">
        <v>0.1136832</v>
      </c>
      <c r="F193" s="39">
        <v>4.45E-3</v>
      </c>
      <c r="G193" s="39">
        <v>4.45E-3</v>
      </c>
      <c r="H193" s="39">
        <v>4.3499999999999997E-3</v>
      </c>
      <c r="I193" s="39">
        <v>4.3499999999999997E-3</v>
      </c>
      <c r="J193" s="39">
        <v>0.55449364800000001</v>
      </c>
      <c r="K193" s="39">
        <v>0.571395871</v>
      </c>
      <c r="L193" s="39">
        <v>0.49921362499999999</v>
      </c>
      <c r="M193" s="39">
        <v>0.53863082399999995</v>
      </c>
      <c r="N193" s="39">
        <v>8.7701616999999996E-2</v>
      </c>
      <c r="O193" s="39">
        <v>8.7701616999999996E-2</v>
      </c>
      <c r="P193" s="39">
        <v>8.7701616999999996E-2</v>
      </c>
      <c r="Q193" s="39">
        <v>8.7701616999999996E-2</v>
      </c>
      <c r="R193" s="39">
        <v>2.1000000000000001E-4</v>
      </c>
      <c r="S193" s="39">
        <v>2.1000000000000001E-4</v>
      </c>
      <c r="T193" s="39">
        <v>2.1000000000000001E-4</v>
      </c>
      <c r="U193" s="39">
        <v>2.1000000000000001E-4</v>
      </c>
      <c r="V193" s="39">
        <v>0.3765</v>
      </c>
      <c r="W193" s="39">
        <v>0.3765</v>
      </c>
      <c r="X193" s="39">
        <v>0.31890000000000002</v>
      </c>
      <c r="Y193" s="39">
        <v>0.31890000000000002</v>
      </c>
      <c r="Z193" s="70">
        <v>0.125</v>
      </c>
      <c r="AA193" s="30">
        <v>750</v>
      </c>
      <c r="AB193" s="46">
        <v>3.3799999999999997E-2</v>
      </c>
    </row>
  </sheetData>
  <autoFilter ref="A5:B10" xr:uid="{00000000-0009-0000-0000-00000D000000}"/>
  <mergeCells count="23">
    <mergeCell ref="A1:G1"/>
    <mergeCell ref="A44:C44"/>
    <mergeCell ref="A88:M88"/>
    <mergeCell ref="A79:C79"/>
    <mergeCell ref="F109:I109"/>
    <mergeCell ref="A108:AB108"/>
    <mergeCell ref="A70:C70"/>
    <mergeCell ref="A2:G2"/>
    <mergeCell ref="E4:G4"/>
    <mergeCell ref="R109:U109"/>
    <mergeCell ref="J109:M109"/>
    <mergeCell ref="Z109:AB109"/>
    <mergeCell ref="A27:C27"/>
    <mergeCell ref="A21:C21"/>
    <mergeCell ref="I4:L6"/>
    <mergeCell ref="V109:Y109"/>
    <mergeCell ref="E20:I20"/>
    <mergeCell ref="A62:C62"/>
    <mergeCell ref="B109:E109"/>
    <mergeCell ref="N109:Q109"/>
    <mergeCell ref="A4:C4"/>
    <mergeCell ref="A19:C19"/>
    <mergeCell ref="A13:C1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B1D20"/>
  </sheetPr>
  <dimension ref="A1:F12"/>
  <sheetViews>
    <sheetView workbookViewId="0">
      <pane ySplit="2" topLeftCell="A3" activePane="bottomLeft" state="frozen"/>
      <selection pane="bottomLeft" sqref="A1:F1"/>
    </sheetView>
  </sheetViews>
  <sheetFormatPr defaultRowHeight="15" x14ac:dyDescent="0.25"/>
  <cols>
    <col min="1" max="1" width="4" customWidth="1"/>
    <col min="2" max="2" width="22" customWidth="1"/>
    <col min="3" max="3" width="42" customWidth="1"/>
    <col min="4" max="4" width="52" customWidth="1"/>
    <col min="5" max="5" width="36" customWidth="1"/>
    <col min="6" max="6" width="48" customWidth="1"/>
  </cols>
  <sheetData>
    <row r="1" spans="1:6" x14ac:dyDescent="0.25">
      <c r="A1" s="77" t="s">
        <v>1520</v>
      </c>
      <c r="B1" s="74"/>
      <c r="C1" s="74"/>
      <c r="D1" s="74"/>
      <c r="E1" s="74"/>
      <c r="F1" s="74"/>
    </row>
    <row r="2" spans="1:6" ht="36" customHeight="1" x14ac:dyDescent="0.25">
      <c r="A2" s="75" t="s">
        <v>1521</v>
      </c>
      <c r="B2" s="74"/>
      <c r="C2" s="74"/>
      <c r="D2" s="74"/>
      <c r="E2" s="74"/>
      <c r="F2" s="74"/>
    </row>
    <row r="3" spans="1:6" x14ac:dyDescent="0.25">
      <c r="A3" s="2" t="s">
        <v>1522</v>
      </c>
      <c r="B3" s="2" t="s">
        <v>2</v>
      </c>
      <c r="C3" s="2" t="s">
        <v>1523</v>
      </c>
      <c r="D3" s="2" t="s">
        <v>1524</v>
      </c>
      <c r="E3" s="2" t="s">
        <v>1525</v>
      </c>
      <c r="F3" s="2" t="s">
        <v>1526</v>
      </c>
    </row>
    <row r="4" spans="1:6" ht="68.099999999999994" customHeight="1" x14ac:dyDescent="0.25">
      <c r="A4" s="3" t="s">
        <v>1527</v>
      </c>
      <c r="B4" s="3" t="s">
        <v>1528</v>
      </c>
      <c r="C4" s="3" t="s">
        <v>1529</v>
      </c>
      <c r="D4" s="3" t="s">
        <v>1530</v>
      </c>
      <c r="E4" s="3" t="s">
        <v>1531</v>
      </c>
      <c r="F4" s="3" t="s">
        <v>1532</v>
      </c>
    </row>
    <row r="5" spans="1:6" ht="68.099999999999994" customHeight="1" x14ac:dyDescent="0.25">
      <c r="A5" s="3" t="s">
        <v>1533</v>
      </c>
      <c r="B5" s="3" t="s">
        <v>1534</v>
      </c>
      <c r="C5" s="3" t="s">
        <v>1535</v>
      </c>
      <c r="D5" s="3" t="s">
        <v>1536</v>
      </c>
      <c r="E5" s="3" t="s">
        <v>1537</v>
      </c>
      <c r="F5" s="3" t="s">
        <v>1538</v>
      </c>
    </row>
    <row r="6" spans="1:6" ht="68.099999999999994" customHeight="1" x14ac:dyDescent="0.25">
      <c r="A6" s="3" t="s">
        <v>1539</v>
      </c>
      <c r="B6" s="3" t="s">
        <v>1540</v>
      </c>
      <c r="C6" s="3" t="s">
        <v>1541</v>
      </c>
      <c r="D6" s="3" t="s">
        <v>1542</v>
      </c>
      <c r="E6" s="3" t="s">
        <v>1543</v>
      </c>
      <c r="F6" s="3" t="s">
        <v>1544</v>
      </c>
    </row>
    <row r="7" spans="1:6" ht="68.099999999999994" customHeight="1" x14ac:dyDescent="0.25">
      <c r="A7" s="3" t="s">
        <v>1545</v>
      </c>
      <c r="B7" s="3" t="s">
        <v>1546</v>
      </c>
      <c r="C7" s="3" t="s">
        <v>1547</v>
      </c>
      <c r="D7" s="3" t="s">
        <v>1548</v>
      </c>
      <c r="E7" s="3" t="s">
        <v>1549</v>
      </c>
      <c r="F7" s="3" t="s">
        <v>1550</v>
      </c>
    </row>
    <row r="8" spans="1:6" ht="68.099999999999994" customHeight="1" x14ac:dyDescent="0.25">
      <c r="A8" s="3" t="s">
        <v>1551</v>
      </c>
      <c r="B8" s="3" t="s">
        <v>1552</v>
      </c>
      <c r="C8" s="3" t="s">
        <v>1553</v>
      </c>
      <c r="D8" s="3" t="s">
        <v>1554</v>
      </c>
      <c r="E8" s="3" t="s">
        <v>1555</v>
      </c>
      <c r="F8" s="3" t="s">
        <v>1556</v>
      </c>
    </row>
    <row r="9" spans="1:6" ht="68.099999999999994" customHeight="1" x14ac:dyDescent="0.25">
      <c r="A9" s="3" t="s">
        <v>1557</v>
      </c>
      <c r="B9" s="3" t="s">
        <v>1558</v>
      </c>
      <c r="C9" s="3" t="s">
        <v>1559</v>
      </c>
      <c r="D9" s="3" t="s">
        <v>1560</v>
      </c>
      <c r="E9" s="3" t="s">
        <v>1561</v>
      </c>
      <c r="F9" s="3" t="s">
        <v>1562</v>
      </c>
    </row>
    <row r="10" spans="1:6" ht="68.099999999999994" customHeight="1" x14ac:dyDescent="0.25">
      <c r="A10" s="3" t="s">
        <v>1563</v>
      </c>
      <c r="B10" s="3" t="s">
        <v>1564</v>
      </c>
      <c r="C10" s="3" t="s">
        <v>1565</v>
      </c>
      <c r="D10" s="3" t="s">
        <v>1566</v>
      </c>
      <c r="E10" s="3" t="s">
        <v>1567</v>
      </c>
      <c r="F10" s="3" t="s">
        <v>1568</v>
      </c>
    </row>
    <row r="11" spans="1:6" ht="68.099999999999994" customHeight="1" x14ac:dyDescent="0.25">
      <c r="A11" s="3" t="s">
        <v>1569</v>
      </c>
      <c r="B11" s="3" t="s">
        <v>1570</v>
      </c>
      <c r="C11" s="3" t="s">
        <v>1571</v>
      </c>
      <c r="D11" s="3" t="s">
        <v>1572</v>
      </c>
      <c r="E11" s="3" t="s">
        <v>1573</v>
      </c>
      <c r="F11" s="3" t="s">
        <v>1574</v>
      </c>
    </row>
    <row r="12" spans="1:6" ht="68.099999999999994" customHeight="1" x14ac:dyDescent="0.25">
      <c r="A12" s="3" t="s">
        <v>1575</v>
      </c>
      <c r="B12" s="3" t="s">
        <v>1576</v>
      </c>
      <c r="C12" s="3" t="s">
        <v>1577</v>
      </c>
      <c r="D12" s="3" t="s">
        <v>1578</v>
      </c>
      <c r="E12" s="3" t="s">
        <v>1579</v>
      </c>
      <c r="F12" s="3" t="s">
        <v>1580</v>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04040"/>
  </sheetPr>
  <dimension ref="A1:F12"/>
  <sheetViews>
    <sheetView workbookViewId="0">
      <pane ySplit="2" topLeftCell="A3" activePane="bottomLeft" state="frozen"/>
      <selection pane="bottomLeft" sqref="A1:F1"/>
    </sheetView>
  </sheetViews>
  <sheetFormatPr defaultRowHeight="15" x14ac:dyDescent="0.25"/>
  <cols>
    <col min="1" max="1" width="9" customWidth="1"/>
    <col min="2" max="2" width="12" customWidth="1"/>
    <col min="3" max="3" width="20" customWidth="1"/>
    <col min="4" max="4" width="70" customWidth="1"/>
    <col min="5" max="6" width="45" customWidth="1"/>
  </cols>
  <sheetData>
    <row r="1" spans="1:6" x14ac:dyDescent="0.25">
      <c r="A1" s="77" t="s">
        <v>1581</v>
      </c>
      <c r="B1" s="74"/>
      <c r="C1" s="74"/>
      <c r="D1" s="74"/>
      <c r="E1" s="74"/>
      <c r="F1" s="74"/>
    </row>
    <row r="2" spans="1:6" x14ac:dyDescent="0.25">
      <c r="A2" s="75" t="s">
        <v>1582</v>
      </c>
      <c r="B2" s="74"/>
      <c r="C2" s="74"/>
      <c r="D2" s="74"/>
      <c r="E2" s="74"/>
      <c r="F2" s="74"/>
    </row>
    <row r="3" spans="1:6" x14ac:dyDescent="0.25">
      <c r="A3" s="2" t="s">
        <v>1583</v>
      </c>
      <c r="B3" s="2" t="s">
        <v>1584</v>
      </c>
      <c r="C3" s="2" t="s">
        <v>2</v>
      </c>
      <c r="D3" s="2" t="s">
        <v>1585</v>
      </c>
      <c r="E3" s="2" t="s">
        <v>1586</v>
      </c>
      <c r="F3" s="2" t="s">
        <v>1587</v>
      </c>
    </row>
    <row r="4" spans="1:6" ht="75" x14ac:dyDescent="0.25">
      <c r="A4" s="71" t="s">
        <v>1588</v>
      </c>
      <c r="B4" s="71" t="s">
        <v>1589</v>
      </c>
      <c r="C4" s="71" t="s">
        <v>1590</v>
      </c>
      <c r="D4" s="71" t="s">
        <v>1591</v>
      </c>
      <c r="E4" s="71" t="s">
        <v>1592</v>
      </c>
      <c r="F4" s="71" t="s">
        <v>1593</v>
      </c>
    </row>
    <row r="5" spans="1:6" ht="45" x14ac:dyDescent="0.25">
      <c r="A5" s="71" t="s">
        <v>1588</v>
      </c>
      <c r="B5" s="71" t="s">
        <v>1589</v>
      </c>
      <c r="C5" s="71" t="s">
        <v>56</v>
      </c>
      <c r="D5" s="71" t="s">
        <v>1594</v>
      </c>
      <c r="E5" s="71" t="s">
        <v>1595</v>
      </c>
      <c r="F5" s="71" t="s">
        <v>1596</v>
      </c>
    </row>
    <row r="6" spans="1:6" ht="45" x14ac:dyDescent="0.25">
      <c r="A6" s="71" t="s">
        <v>1588</v>
      </c>
      <c r="B6" s="71" t="s">
        <v>1589</v>
      </c>
      <c r="C6" s="71" t="s">
        <v>30</v>
      </c>
      <c r="D6" s="71" t="s">
        <v>1597</v>
      </c>
      <c r="E6" s="71" t="s">
        <v>1598</v>
      </c>
      <c r="F6" s="71" t="s">
        <v>1599</v>
      </c>
    </row>
    <row r="7" spans="1:6" ht="45" x14ac:dyDescent="0.25">
      <c r="A7" s="71" t="s">
        <v>1588</v>
      </c>
      <c r="B7" s="71" t="s">
        <v>1589</v>
      </c>
      <c r="C7" s="71" t="s">
        <v>17</v>
      </c>
      <c r="D7" s="71" t="s">
        <v>1600</v>
      </c>
      <c r="E7" s="71" t="s">
        <v>1601</v>
      </c>
      <c r="F7" s="71" t="s">
        <v>1602</v>
      </c>
    </row>
    <row r="8" spans="1:6" ht="45" x14ac:dyDescent="0.25">
      <c r="A8" s="71" t="s">
        <v>1588</v>
      </c>
      <c r="B8" s="71" t="s">
        <v>1589</v>
      </c>
      <c r="C8" s="71" t="s">
        <v>1603</v>
      </c>
      <c r="D8" s="71" t="s">
        <v>1604</v>
      </c>
      <c r="E8" s="71" t="s">
        <v>1605</v>
      </c>
      <c r="F8" s="71" t="s">
        <v>1606</v>
      </c>
    </row>
    <row r="9" spans="1:6" ht="30" x14ac:dyDescent="0.25">
      <c r="A9" s="71" t="s">
        <v>1588</v>
      </c>
      <c r="B9" s="71" t="s">
        <v>1589</v>
      </c>
      <c r="C9" s="71" t="s">
        <v>10</v>
      </c>
      <c r="D9" s="71" t="s">
        <v>1607</v>
      </c>
      <c r="E9" s="71" t="s">
        <v>1608</v>
      </c>
      <c r="F9" s="71" t="s">
        <v>1609</v>
      </c>
    </row>
    <row r="10" spans="1:6" ht="45" x14ac:dyDescent="0.25">
      <c r="A10" s="71" t="s">
        <v>1610</v>
      </c>
      <c r="B10" s="71" t="s">
        <v>1589</v>
      </c>
      <c r="C10" s="71" t="s">
        <v>71</v>
      </c>
      <c r="D10" s="71" t="s">
        <v>1611</v>
      </c>
      <c r="E10" s="71" t="s">
        <v>1612</v>
      </c>
      <c r="F10" s="71" t="s">
        <v>1613</v>
      </c>
    </row>
    <row r="11" spans="1:6" ht="60" x14ac:dyDescent="0.25">
      <c r="A11" s="71" t="s">
        <v>1610</v>
      </c>
      <c r="B11" s="71" t="s">
        <v>1589</v>
      </c>
      <c r="C11" s="71" t="s">
        <v>71</v>
      </c>
      <c r="D11" s="71" t="s">
        <v>1614</v>
      </c>
      <c r="E11" s="71" t="s">
        <v>1615</v>
      </c>
      <c r="F11" s="71" t="s">
        <v>1616</v>
      </c>
    </row>
    <row r="12" spans="1:6" ht="30" x14ac:dyDescent="0.25">
      <c r="A12" s="71" t="s">
        <v>1610</v>
      </c>
      <c r="B12" s="71" t="s">
        <v>1589</v>
      </c>
      <c r="C12" s="71" t="s">
        <v>1617</v>
      </c>
      <c r="D12" s="71" t="s">
        <v>1618</v>
      </c>
      <c r="E12" s="71" t="s">
        <v>1619</v>
      </c>
      <c r="F12" s="71" t="s">
        <v>1620</v>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4546A"/>
  </sheetPr>
  <dimension ref="A1:R52"/>
  <sheetViews>
    <sheetView workbookViewId="0">
      <pane xSplit="2" ySplit="2" topLeftCell="C3" activePane="bottomRight" state="frozen"/>
      <selection pane="topRight"/>
      <selection pane="bottomLeft"/>
      <selection pane="bottomRight" sqref="A1:R1"/>
    </sheetView>
  </sheetViews>
  <sheetFormatPr defaultRowHeight="15" x14ac:dyDescent="0.25"/>
  <cols>
    <col min="1" max="1" width="8" customWidth="1"/>
    <col min="2" max="18" width="14" customWidth="1"/>
  </cols>
  <sheetData>
    <row r="1" spans="1:18" ht="36" customHeight="1" x14ac:dyDescent="0.25">
      <c r="A1" s="77" t="s">
        <v>1621</v>
      </c>
      <c r="B1" s="74"/>
      <c r="C1" s="74"/>
      <c r="D1" s="74"/>
      <c r="E1" s="74"/>
      <c r="F1" s="74"/>
      <c r="G1" s="74"/>
      <c r="H1" s="74"/>
      <c r="I1" s="74"/>
      <c r="J1" s="74"/>
      <c r="K1" s="74"/>
      <c r="L1" s="74"/>
      <c r="M1" s="74"/>
      <c r="N1" s="74"/>
      <c r="O1" s="74"/>
      <c r="P1" s="74"/>
      <c r="Q1" s="74"/>
      <c r="R1" s="74"/>
    </row>
    <row r="2" spans="1:18" ht="25.5" x14ac:dyDescent="0.25">
      <c r="A2" s="2" t="s">
        <v>158</v>
      </c>
      <c r="B2" s="2" t="s">
        <v>139</v>
      </c>
      <c r="C2" s="2" t="s">
        <v>143</v>
      </c>
      <c r="D2" s="2" t="s">
        <v>145</v>
      </c>
      <c r="E2" s="2" t="s">
        <v>147</v>
      </c>
      <c r="F2" s="2" t="s">
        <v>148</v>
      </c>
      <c r="G2" s="2" t="s">
        <v>150</v>
      </c>
      <c r="H2" s="2" t="s">
        <v>1622</v>
      </c>
      <c r="I2" s="2" t="s">
        <v>1623</v>
      </c>
      <c r="J2" s="2" t="s">
        <v>1624</v>
      </c>
      <c r="K2" s="2" t="s">
        <v>1625</v>
      </c>
      <c r="L2" s="2" t="s">
        <v>1626</v>
      </c>
      <c r="M2" s="2" t="s">
        <v>1627</v>
      </c>
      <c r="N2" s="2" t="s">
        <v>1628</v>
      </c>
      <c r="O2" s="2" t="s">
        <v>1629</v>
      </c>
      <c r="P2" s="2" t="s">
        <v>1630</v>
      </c>
      <c r="Q2" s="2" t="s">
        <v>1631</v>
      </c>
      <c r="R2" s="2" t="s">
        <v>1632</v>
      </c>
    </row>
    <row r="3" spans="1:18" x14ac:dyDescent="0.25">
      <c r="A3" s="3" t="s">
        <v>84</v>
      </c>
      <c r="B3" s="72">
        <v>4200</v>
      </c>
      <c r="C3" s="72">
        <v>2268</v>
      </c>
      <c r="D3" s="61">
        <v>983</v>
      </c>
      <c r="E3" s="61">
        <v>5569</v>
      </c>
      <c r="F3" s="61">
        <v>0</v>
      </c>
      <c r="G3" s="61">
        <v>0</v>
      </c>
      <c r="H3" s="61">
        <v>0</v>
      </c>
      <c r="I3" s="69" t="b">
        <v>1</v>
      </c>
      <c r="J3" s="69" t="b">
        <v>0</v>
      </c>
      <c r="K3" s="69" t="b">
        <v>0</v>
      </c>
      <c r="L3" s="69" t="b">
        <v>1</v>
      </c>
      <c r="M3" s="69" t="b">
        <v>1</v>
      </c>
      <c r="N3" s="69" t="b">
        <v>0</v>
      </c>
      <c r="O3" s="69" t="b">
        <v>1</v>
      </c>
      <c r="P3" s="69" t="b">
        <v>0</v>
      </c>
      <c r="Q3" s="61">
        <v>540361</v>
      </c>
      <c r="R3" s="61">
        <v>1036295</v>
      </c>
    </row>
    <row r="4" spans="1:18" x14ac:dyDescent="0.25">
      <c r="A4" s="3" t="s">
        <v>188</v>
      </c>
      <c r="B4" s="72">
        <v>6020</v>
      </c>
      <c r="C4" s="72">
        <v>3250.8</v>
      </c>
      <c r="D4" s="61">
        <v>8452</v>
      </c>
      <c r="E4" s="61">
        <v>47895</v>
      </c>
      <c r="F4" s="61">
        <v>0</v>
      </c>
      <c r="G4" s="61">
        <v>0</v>
      </c>
      <c r="H4" s="61">
        <v>0</v>
      </c>
      <c r="I4" s="69" t="b">
        <v>1</v>
      </c>
      <c r="J4" s="69" t="b">
        <v>0</v>
      </c>
      <c r="K4" s="69" t="b">
        <v>0</v>
      </c>
      <c r="L4" s="69" t="b">
        <v>1</v>
      </c>
      <c r="M4" s="69" t="b">
        <v>1</v>
      </c>
      <c r="N4" s="69" t="b">
        <v>0</v>
      </c>
      <c r="O4" s="69" t="b">
        <v>1</v>
      </c>
      <c r="P4" s="69" t="b">
        <v>0</v>
      </c>
      <c r="Q4" s="61">
        <v>724812</v>
      </c>
      <c r="R4" s="61">
        <v>1078002</v>
      </c>
    </row>
    <row r="5" spans="1:18" x14ac:dyDescent="0.25">
      <c r="A5" s="3" t="s">
        <v>200</v>
      </c>
      <c r="B5" s="72">
        <v>7140</v>
      </c>
      <c r="C5" s="72">
        <v>4141.2</v>
      </c>
      <c r="D5" s="61">
        <v>18378</v>
      </c>
      <c r="E5" s="61">
        <v>104144</v>
      </c>
      <c r="F5" s="61">
        <v>350000</v>
      </c>
      <c r="G5" s="61">
        <v>192500</v>
      </c>
      <c r="H5" s="61">
        <v>428400</v>
      </c>
      <c r="I5" s="69" t="b">
        <v>1</v>
      </c>
      <c r="J5" s="69" t="b">
        <v>0</v>
      </c>
      <c r="K5" s="69" t="b">
        <v>0</v>
      </c>
      <c r="L5" s="69" t="b">
        <v>1</v>
      </c>
      <c r="M5" s="69" t="b">
        <v>1</v>
      </c>
      <c r="N5" s="69" t="b">
        <v>0</v>
      </c>
      <c r="O5" s="69" t="b">
        <v>0</v>
      </c>
      <c r="P5" s="69" t="b">
        <v>1</v>
      </c>
      <c r="Q5" s="61">
        <v>874927</v>
      </c>
      <c r="R5" s="61">
        <v>1633487</v>
      </c>
    </row>
    <row r="6" spans="1:18" x14ac:dyDescent="0.25">
      <c r="A6" s="3" t="s">
        <v>206</v>
      </c>
      <c r="B6" s="72">
        <v>4550</v>
      </c>
      <c r="C6" s="72">
        <v>2821</v>
      </c>
      <c r="D6" s="61">
        <v>14742</v>
      </c>
      <c r="E6" s="61">
        <v>83538</v>
      </c>
      <c r="F6" s="61">
        <v>350000</v>
      </c>
      <c r="G6" s="61">
        <v>192500</v>
      </c>
      <c r="H6" s="61">
        <v>273000</v>
      </c>
      <c r="I6" s="69" t="b">
        <v>1</v>
      </c>
      <c r="J6" s="69" t="b">
        <v>0</v>
      </c>
      <c r="K6" s="69" t="b">
        <v>0</v>
      </c>
      <c r="L6" s="69" t="b">
        <v>1</v>
      </c>
      <c r="M6" s="69" t="b">
        <v>1</v>
      </c>
      <c r="N6" s="69" t="b">
        <v>0</v>
      </c>
      <c r="O6" s="69" t="b">
        <v>0</v>
      </c>
      <c r="P6" s="69" t="b">
        <v>1</v>
      </c>
      <c r="Q6" s="61">
        <v>498862</v>
      </c>
      <c r="R6" s="61">
        <v>603146</v>
      </c>
    </row>
    <row r="7" spans="1:18" x14ac:dyDescent="0.25">
      <c r="A7" s="3" t="s">
        <v>212</v>
      </c>
      <c r="B7" s="72">
        <v>5000</v>
      </c>
      <c r="C7" s="72">
        <v>3875</v>
      </c>
      <c r="D7" s="61">
        <v>26325</v>
      </c>
      <c r="E7" s="61">
        <v>149175</v>
      </c>
      <c r="F7" s="61">
        <v>350000</v>
      </c>
      <c r="G7" s="61">
        <v>192500</v>
      </c>
      <c r="H7" s="61">
        <v>300000</v>
      </c>
      <c r="I7" s="69" t="b">
        <v>1</v>
      </c>
      <c r="J7" s="69" t="b">
        <v>0</v>
      </c>
      <c r="K7" s="69" t="b">
        <v>0</v>
      </c>
      <c r="L7" s="69" t="b">
        <v>1</v>
      </c>
      <c r="M7" s="69" t="b">
        <v>1</v>
      </c>
      <c r="N7" s="69" t="b">
        <v>0</v>
      </c>
      <c r="O7" s="69" t="b">
        <v>0</v>
      </c>
      <c r="P7" s="69" t="b">
        <v>1</v>
      </c>
      <c r="Q7" s="61">
        <v>613326</v>
      </c>
      <c r="R7" s="61">
        <v>1285792</v>
      </c>
    </row>
    <row r="8" spans="1:18" x14ac:dyDescent="0.25">
      <c r="A8" s="3" t="s">
        <v>221</v>
      </c>
      <c r="B8" s="72">
        <v>13910</v>
      </c>
      <c r="C8" s="72">
        <v>8924.75</v>
      </c>
      <c r="D8" s="61">
        <v>33514</v>
      </c>
      <c r="E8" s="61">
        <v>189913</v>
      </c>
      <c r="F8" s="61">
        <v>650000</v>
      </c>
      <c r="G8" s="61">
        <v>357500</v>
      </c>
      <c r="H8" s="61">
        <v>834600</v>
      </c>
      <c r="I8" s="69" t="b">
        <v>1</v>
      </c>
      <c r="J8" s="69" t="b">
        <v>1</v>
      </c>
      <c r="K8" s="69" t="b">
        <v>0</v>
      </c>
      <c r="L8" s="69" t="b">
        <v>0</v>
      </c>
      <c r="M8" s="69" t="b">
        <v>1</v>
      </c>
      <c r="N8" s="69" t="b">
        <v>0</v>
      </c>
      <c r="O8" s="69" t="b">
        <v>0</v>
      </c>
      <c r="P8" s="69" t="b">
        <v>1</v>
      </c>
      <c r="Q8" s="61">
        <v>1983433</v>
      </c>
      <c r="R8" s="61">
        <v>2984292</v>
      </c>
    </row>
    <row r="9" spans="1:18" x14ac:dyDescent="0.25">
      <c r="A9" s="3" t="s">
        <v>228</v>
      </c>
      <c r="B9" s="72">
        <v>5525</v>
      </c>
      <c r="C9" s="72">
        <v>2983.5</v>
      </c>
      <c r="D9" s="61">
        <v>42664</v>
      </c>
      <c r="E9" s="61">
        <v>241763</v>
      </c>
      <c r="F9" s="61">
        <v>350000</v>
      </c>
      <c r="G9" s="61">
        <v>192500</v>
      </c>
      <c r="H9" s="61">
        <v>200000</v>
      </c>
      <c r="I9" s="69" t="b">
        <v>1</v>
      </c>
      <c r="J9" s="69" t="b">
        <v>0</v>
      </c>
      <c r="K9" s="69" t="b">
        <v>0</v>
      </c>
      <c r="L9" s="69" t="b">
        <v>1</v>
      </c>
      <c r="M9" s="69" t="b">
        <v>1</v>
      </c>
      <c r="N9" s="69" t="b">
        <v>0</v>
      </c>
      <c r="O9" s="69" t="b">
        <v>0</v>
      </c>
      <c r="P9" s="69" t="b">
        <v>1</v>
      </c>
      <c r="Q9" s="61">
        <v>516509</v>
      </c>
      <c r="R9" s="61">
        <v>842652</v>
      </c>
    </row>
    <row r="10" spans="1:18" x14ac:dyDescent="0.25">
      <c r="A10" s="3" t="s">
        <v>233</v>
      </c>
      <c r="B10" s="72">
        <v>5975</v>
      </c>
      <c r="C10" s="72">
        <v>4042.5</v>
      </c>
      <c r="D10" s="61">
        <v>30098</v>
      </c>
      <c r="E10" s="61">
        <v>170557</v>
      </c>
      <c r="F10" s="61">
        <v>350000</v>
      </c>
      <c r="G10" s="61">
        <v>192500</v>
      </c>
      <c r="H10" s="61">
        <v>358500</v>
      </c>
      <c r="I10" s="69" t="b">
        <v>1</v>
      </c>
      <c r="J10" s="69" t="b">
        <v>0</v>
      </c>
      <c r="K10" s="69" t="b">
        <v>0</v>
      </c>
      <c r="L10" s="69" t="b">
        <v>1</v>
      </c>
      <c r="M10" s="69" t="b">
        <v>1</v>
      </c>
      <c r="N10" s="69" t="b">
        <v>0</v>
      </c>
      <c r="O10" s="69" t="b">
        <v>0</v>
      </c>
      <c r="P10" s="69" t="b">
        <v>1</v>
      </c>
      <c r="Q10" s="61">
        <v>631517</v>
      </c>
      <c r="R10" s="61">
        <v>524768</v>
      </c>
    </row>
    <row r="11" spans="1:18" x14ac:dyDescent="0.25">
      <c r="A11" s="3" t="s">
        <v>237</v>
      </c>
      <c r="B11" s="72">
        <v>3350</v>
      </c>
      <c r="C11" s="72">
        <v>1809</v>
      </c>
      <c r="D11" s="61">
        <v>3136</v>
      </c>
      <c r="E11" s="61">
        <v>17768</v>
      </c>
      <c r="F11" s="61">
        <v>0</v>
      </c>
      <c r="G11" s="61">
        <v>0</v>
      </c>
      <c r="H11" s="61">
        <v>0</v>
      </c>
      <c r="I11" s="69" t="b">
        <v>1</v>
      </c>
      <c r="J11" s="69" t="b">
        <v>0</v>
      </c>
      <c r="K11" s="69" t="b">
        <v>0</v>
      </c>
      <c r="L11" s="69" t="b">
        <v>1</v>
      </c>
      <c r="M11" s="69" t="b">
        <v>1</v>
      </c>
      <c r="N11" s="69" t="b">
        <v>0</v>
      </c>
      <c r="O11" s="69" t="b">
        <v>1</v>
      </c>
      <c r="P11" s="69" t="b">
        <v>0</v>
      </c>
      <c r="Q11" s="61">
        <v>431003</v>
      </c>
      <c r="R11" s="61">
        <v>812405</v>
      </c>
    </row>
    <row r="12" spans="1:18" x14ac:dyDescent="0.25">
      <c r="A12" s="3" t="s">
        <v>242</v>
      </c>
      <c r="B12" s="72">
        <v>4250</v>
      </c>
      <c r="C12" s="72">
        <v>3293.75</v>
      </c>
      <c r="D12" s="61">
        <v>13770</v>
      </c>
      <c r="E12" s="61">
        <v>78030</v>
      </c>
      <c r="F12" s="61">
        <v>0</v>
      </c>
      <c r="G12" s="61">
        <v>0</v>
      </c>
      <c r="H12" s="61">
        <v>255000</v>
      </c>
      <c r="I12" s="69" t="b">
        <v>1</v>
      </c>
      <c r="J12" s="69" t="b">
        <v>0</v>
      </c>
      <c r="K12" s="69" t="b">
        <v>0</v>
      </c>
      <c r="L12" s="69" t="b">
        <v>1</v>
      </c>
      <c r="M12" s="69" t="b">
        <v>1</v>
      </c>
      <c r="N12" s="69" t="b">
        <v>0</v>
      </c>
      <c r="O12" s="69" t="b">
        <v>1</v>
      </c>
      <c r="P12" s="69" t="b">
        <v>0</v>
      </c>
      <c r="Q12" s="61">
        <v>452793</v>
      </c>
      <c r="R12" s="61">
        <v>859363</v>
      </c>
    </row>
    <row r="13" spans="1:18" x14ac:dyDescent="0.25">
      <c r="A13" s="3" t="s">
        <v>248</v>
      </c>
      <c r="B13" s="72">
        <v>7140</v>
      </c>
      <c r="C13" s="72">
        <v>4141.2</v>
      </c>
      <c r="D13" s="61">
        <v>42412</v>
      </c>
      <c r="E13" s="61">
        <v>240332</v>
      </c>
      <c r="F13" s="61">
        <v>350000</v>
      </c>
      <c r="G13" s="61">
        <v>192500</v>
      </c>
      <c r="H13" s="61">
        <v>428400</v>
      </c>
      <c r="I13" s="69" t="b">
        <v>1</v>
      </c>
      <c r="J13" s="69" t="b">
        <v>0</v>
      </c>
      <c r="K13" s="69" t="b">
        <v>0</v>
      </c>
      <c r="L13" s="69" t="b">
        <v>1</v>
      </c>
      <c r="M13" s="69" t="b">
        <v>1</v>
      </c>
      <c r="N13" s="69" t="b">
        <v>0</v>
      </c>
      <c r="O13" s="69" t="b">
        <v>0</v>
      </c>
      <c r="P13" s="69" t="b">
        <v>1</v>
      </c>
      <c r="Q13" s="61">
        <v>642236</v>
      </c>
      <c r="R13" s="61">
        <v>1316453</v>
      </c>
    </row>
    <row r="14" spans="1:18" x14ac:dyDescent="0.25">
      <c r="A14" s="3" t="s">
        <v>252</v>
      </c>
      <c r="B14" s="72">
        <v>9800</v>
      </c>
      <c r="C14" s="72">
        <v>6210</v>
      </c>
      <c r="D14" s="61">
        <v>121095</v>
      </c>
      <c r="E14" s="61">
        <v>686205</v>
      </c>
      <c r="F14" s="61">
        <v>350000</v>
      </c>
      <c r="G14" s="61">
        <v>192500</v>
      </c>
      <c r="H14" s="61">
        <v>200000</v>
      </c>
      <c r="I14" s="69" t="b">
        <v>1</v>
      </c>
      <c r="J14" s="69" t="b">
        <v>0</v>
      </c>
      <c r="K14" s="69" t="b">
        <v>0</v>
      </c>
      <c r="L14" s="69" t="b">
        <v>1</v>
      </c>
      <c r="M14" s="69" t="b">
        <v>1</v>
      </c>
      <c r="N14" s="69" t="b">
        <v>0</v>
      </c>
      <c r="O14" s="69" t="b">
        <v>0</v>
      </c>
      <c r="P14" s="69" t="b">
        <v>1</v>
      </c>
      <c r="Q14" s="61">
        <v>866908</v>
      </c>
      <c r="R14" s="61">
        <v>1235459</v>
      </c>
    </row>
    <row r="15" spans="1:18" x14ac:dyDescent="0.25">
      <c r="A15" s="3" t="s">
        <v>255</v>
      </c>
      <c r="B15" s="72">
        <v>6580</v>
      </c>
      <c r="C15" s="72">
        <v>3816.4</v>
      </c>
      <c r="D15" s="61">
        <v>11726</v>
      </c>
      <c r="E15" s="61">
        <v>66445</v>
      </c>
      <c r="F15" s="61">
        <v>0</v>
      </c>
      <c r="G15" s="61">
        <v>0</v>
      </c>
      <c r="H15" s="61">
        <v>394800</v>
      </c>
      <c r="I15" s="69" t="b">
        <v>1</v>
      </c>
      <c r="J15" s="69" t="b">
        <v>0</v>
      </c>
      <c r="K15" s="69" t="b">
        <v>0</v>
      </c>
      <c r="L15" s="69" t="b">
        <v>1</v>
      </c>
      <c r="M15" s="69" t="b">
        <v>1</v>
      </c>
      <c r="N15" s="69" t="b">
        <v>0</v>
      </c>
      <c r="O15" s="69" t="b">
        <v>1</v>
      </c>
      <c r="P15" s="69" t="b">
        <v>0</v>
      </c>
      <c r="Q15" s="61">
        <v>759260</v>
      </c>
      <c r="R15" s="61">
        <v>1066448</v>
      </c>
    </row>
    <row r="16" spans="1:18" x14ac:dyDescent="0.25">
      <c r="A16" s="3" t="s">
        <v>258</v>
      </c>
      <c r="B16" s="72">
        <v>4775</v>
      </c>
      <c r="C16" s="72">
        <v>3342.5</v>
      </c>
      <c r="D16" s="61">
        <v>9884</v>
      </c>
      <c r="E16" s="61">
        <v>56011</v>
      </c>
      <c r="F16" s="61">
        <v>350000</v>
      </c>
      <c r="G16" s="61">
        <v>192500</v>
      </c>
      <c r="H16" s="61">
        <v>286500</v>
      </c>
      <c r="I16" s="69" t="b">
        <v>1</v>
      </c>
      <c r="J16" s="69" t="b">
        <v>0</v>
      </c>
      <c r="K16" s="69" t="b">
        <v>0</v>
      </c>
      <c r="L16" s="69" t="b">
        <v>1</v>
      </c>
      <c r="M16" s="69" t="b">
        <v>1</v>
      </c>
      <c r="N16" s="69" t="b">
        <v>0</v>
      </c>
      <c r="O16" s="69" t="b">
        <v>0</v>
      </c>
      <c r="P16" s="69" t="b">
        <v>1</v>
      </c>
      <c r="Q16" s="61">
        <v>555497</v>
      </c>
      <c r="R16" s="61">
        <v>937828</v>
      </c>
    </row>
    <row r="17" spans="1:18" x14ac:dyDescent="0.25">
      <c r="A17" s="3" t="s">
        <v>262</v>
      </c>
      <c r="B17" s="72">
        <v>5750</v>
      </c>
      <c r="C17" s="72">
        <v>3654.12</v>
      </c>
      <c r="D17" s="61">
        <v>34373</v>
      </c>
      <c r="E17" s="61">
        <v>194778</v>
      </c>
      <c r="F17" s="61">
        <v>350000</v>
      </c>
      <c r="G17" s="61">
        <v>192500</v>
      </c>
      <c r="H17" s="61">
        <v>345000</v>
      </c>
      <c r="I17" s="69" t="b">
        <v>1</v>
      </c>
      <c r="J17" s="69" t="b">
        <v>0</v>
      </c>
      <c r="K17" s="69" t="b">
        <v>0</v>
      </c>
      <c r="L17" s="69" t="b">
        <v>1</v>
      </c>
      <c r="M17" s="69" t="b">
        <v>1</v>
      </c>
      <c r="N17" s="69" t="b">
        <v>0</v>
      </c>
      <c r="O17" s="69" t="b">
        <v>0</v>
      </c>
      <c r="P17" s="69" t="b">
        <v>1</v>
      </c>
      <c r="Q17" s="61">
        <v>589339</v>
      </c>
      <c r="R17" s="61">
        <v>1071094</v>
      </c>
    </row>
    <row r="18" spans="1:18" x14ac:dyDescent="0.25">
      <c r="A18" s="3" t="s">
        <v>265</v>
      </c>
      <c r="B18" s="72">
        <v>10400</v>
      </c>
      <c r="C18" s="72">
        <v>5940</v>
      </c>
      <c r="D18" s="61">
        <v>5148</v>
      </c>
      <c r="E18" s="61">
        <v>29172</v>
      </c>
      <c r="F18" s="61">
        <v>0</v>
      </c>
      <c r="G18" s="61">
        <v>0</v>
      </c>
      <c r="H18" s="61">
        <v>0</v>
      </c>
      <c r="I18" s="69" t="b">
        <v>1</v>
      </c>
      <c r="J18" s="69" t="b">
        <v>0</v>
      </c>
      <c r="K18" s="69" t="b">
        <v>0</v>
      </c>
      <c r="L18" s="69" t="b">
        <v>1</v>
      </c>
      <c r="M18" s="69" t="b">
        <v>1</v>
      </c>
      <c r="N18" s="69" t="b">
        <v>0</v>
      </c>
      <c r="O18" s="69" t="b">
        <v>1</v>
      </c>
      <c r="P18" s="69" t="b">
        <v>0</v>
      </c>
      <c r="Q18" s="61">
        <v>1415232</v>
      </c>
      <c r="R18" s="61">
        <v>2664616</v>
      </c>
    </row>
    <row r="19" spans="1:18" x14ac:dyDescent="0.25">
      <c r="A19" s="3" t="s">
        <v>268</v>
      </c>
      <c r="B19" s="72">
        <v>3575</v>
      </c>
      <c r="C19" s="72">
        <v>1930.5</v>
      </c>
      <c r="D19" s="61">
        <v>5856</v>
      </c>
      <c r="E19" s="61">
        <v>33183</v>
      </c>
      <c r="F19" s="61">
        <v>0</v>
      </c>
      <c r="G19" s="61">
        <v>0</v>
      </c>
      <c r="H19" s="61">
        <v>0</v>
      </c>
      <c r="I19" s="69" t="b">
        <v>1</v>
      </c>
      <c r="J19" s="69" t="b">
        <v>0</v>
      </c>
      <c r="K19" s="69" t="b">
        <v>0</v>
      </c>
      <c r="L19" s="69" t="b">
        <v>1</v>
      </c>
      <c r="M19" s="69" t="b">
        <v>1</v>
      </c>
      <c r="N19" s="69" t="b">
        <v>0</v>
      </c>
      <c r="O19" s="69" t="b">
        <v>1</v>
      </c>
      <c r="P19" s="69" t="b">
        <v>0</v>
      </c>
      <c r="Q19" s="61">
        <v>415260</v>
      </c>
      <c r="R19" s="61">
        <v>628502</v>
      </c>
    </row>
    <row r="20" spans="1:18" x14ac:dyDescent="0.25">
      <c r="A20" s="3" t="s">
        <v>271</v>
      </c>
      <c r="B20" s="72">
        <v>4100</v>
      </c>
      <c r="C20" s="72">
        <v>2378</v>
      </c>
      <c r="D20" s="61">
        <v>11365</v>
      </c>
      <c r="E20" s="61">
        <v>64403</v>
      </c>
      <c r="F20" s="61">
        <v>350000</v>
      </c>
      <c r="G20" s="61">
        <v>192500</v>
      </c>
      <c r="H20" s="61">
        <v>246000</v>
      </c>
      <c r="I20" s="69" t="b">
        <v>1</v>
      </c>
      <c r="J20" s="69" t="b">
        <v>0</v>
      </c>
      <c r="K20" s="69" t="b">
        <v>0</v>
      </c>
      <c r="L20" s="69" t="b">
        <v>1</v>
      </c>
      <c r="M20" s="69" t="b">
        <v>1</v>
      </c>
      <c r="N20" s="69" t="b">
        <v>0</v>
      </c>
      <c r="O20" s="69" t="b">
        <v>0</v>
      </c>
      <c r="P20" s="69" t="b">
        <v>1</v>
      </c>
      <c r="Q20" s="61">
        <v>563112</v>
      </c>
      <c r="R20" s="61">
        <v>920893</v>
      </c>
    </row>
    <row r="21" spans="1:18" x14ac:dyDescent="0.25">
      <c r="A21" s="3" t="s">
        <v>274</v>
      </c>
      <c r="B21" s="72">
        <v>4625</v>
      </c>
      <c r="C21" s="72">
        <v>2867.5</v>
      </c>
      <c r="D21" s="61">
        <v>15734</v>
      </c>
      <c r="E21" s="61">
        <v>89161</v>
      </c>
      <c r="F21" s="61">
        <v>350000</v>
      </c>
      <c r="G21" s="61">
        <v>192500</v>
      </c>
      <c r="H21" s="61">
        <v>277500</v>
      </c>
      <c r="I21" s="69" t="b">
        <v>1</v>
      </c>
      <c r="J21" s="69" t="b">
        <v>0</v>
      </c>
      <c r="K21" s="69" t="b">
        <v>0</v>
      </c>
      <c r="L21" s="69" t="b">
        <v>1</v>
      </c>
      <c r="M21" s="69" t="b">
        <v>1</v>
      </c>
      <c r="N21" s="69" t="b">
        <v>0</v>
      </c>
      <c r="O21" s="69" t="b">
        <v>0</v>
      </c>
      <c r="P21" s="69" t="b">
        <v>1</v>
      </c>
      <c r="Q21" s="61">
        <v>503912</v>
      </c>
      <c r="R21" s="61">
        <v>601908</v>
      </c>
    </row>
    <row r="22" spans="1:18" x14ac:dyDescent="0.25">
      <c r="A22" s="3" t="s">
        <v>277</v>
      </c>
      <c r="B22" s="72">
        <v>5075</v>
      </c>
      <c r="C22" s="72">
        <v>3933.12</v>
      </c>
      <c r="D22" s="61">
        <v>27748</v>
      </c>
      <c r="E22" s="61">
        <v>157237</v>
      </c>
      <c r="F22" s="61">
        <v>350000</v>
      </c>
      <c r="G22" s="61">
        <v>192500</v>
      </c>
      <c r="H22" s="61">
        <v>304500</v>
      </c>
      <c r="I22" s="69" t="b">
        <v>1</v>
      </c>
      <c r="J22" s="69" t="b">
        <v>0</v>
      </c>
      <c r="K22" s="69" t="b">
        <v>0</v>
      </c>
      <c r="L22" s="69" t="b">
        <v>1</v>
      </c>
      <c r="M22" s="69" t="b">
        <v>1</v>
      </c>
      <c r="N22" s="69" t="b">
        <v>0</v>
      </c>
      <c r="O22" s="69" t="b">
        <v>0</v>
      </c>
      <c r="P22" s="69" t="b">
        <v>1</v>
      </c>
      <c r="Q22" s="61">
        <v>619638</v>
      </c>
      <c r="R22" s="61">
        <v>1281280</v>
      </c>
    </row>
    <row r="23" spans="1:18" x14ac:dyDescent="0.25">
      <c r="A23" s="3" t="s">
        <v>280</v>
      </c>
      <c r="B23" s="72">
        <v>5250</v>
      </c>
      <c r="C23" s="72">
        <v>3045</v>
      </c>
      <c r="D23" s="61">
        <v>12474</v>
      </c>
      <c r="E23" s="61">
        <v>70686</v>
      </c>
      <c r="F23" s="61">
        <v>350000</v>
      </c>
      <c r="G23" s="61">
        <v>192500</v>
      </c>
      <c r="H23" s="61">
        <v>315000</v>
      </c>
      <c r="I23" s="69" t="b">
        <v>1</v>
      </c>
      <c r="J23" s="69" t="b">
        <v>0</v>
      </c>
      <c r="K23" s="69" t="b">
        <v>0</v>
      </c>
      <c r="L23" s="69" t="b">
        <v>1</v>
      </c>
      <c r="M23" s="69" t="b">
        <v>1</v>
      </c>
      <c r="N23" s="69" t="b">
        <v>0</v>
      </c>
      <c r="O23" s="69" t="b">
        <v>0</v>
      </c>
      <c r="P23" s="69" t="b">
        <v>1</v>
      </c>
      <c r="Q23" s="61">
        <v>721009</v>
      </c>
      <c r="R23" s="61">
        <v>999633</v>
      </c>
    </row>
    <row r="24" spans="1:18" x14ac:dyDescent="0.25">
      <c r="A24" s="3" t="s">
        <v>283</v>
      </c>
      <c r="B24" s="72">
        <v>8960</v>
      </c>
      <c r="C24" s="72">
        <v>4968</v>
      </c>
      <c r="D24" s="61">
        <v>73195</v>
      </c>
      <c r="E24" s="61">
        <v>414773</v>
      </c>
      <c r="F24" s="61">
        <v>350000</v>
      </c>
      <c r="G24" s="61">
        <v>192500</v>
      </c>
      <c r="H24" s="61">
        <v>200000</v>
      </c>
      <c r="I24" s="69" t="b">
        <v>1</v>
      </c>
      <c r="J24" s="69" t="b">
        <v>0</v>
      </c>
      <c r="K24" s="69" t="b">
        <v>0</v>
      </c>
      <c r="L24" s="69" t="b">
        <v>1</v>
      </c>
      <c r="M24" s="69" t="b">
        <v>1</v>
      </c>
      <c r="N24" s="69" t="b">
        <v>0</v>
      </c>
      <c r="O24" s="69" t="b">
        <v>0</v>
      </c>
      <c r="P24" s="69" t="b">
        <v>1</v>
      </c>
      <c r="Q24" s="61">
        <v>732027</v>
      </c>
      <c r="R24" s="61">
        <v>1377564</v>
      </c>
    </row>
    <row r="25" spans="1:18" x14ac:dyDescent="0.25">
      <c r="A25" s="3" t="s">
        <v>286</v>
      </c>
      <c r="B25" s="72">
        <v>10920</v>
      </c>
      <c r="C25" s="72">
        <v>8184</v>
      </c>
      <c r="D25" s="61">
        <v>62496</v>
      </c>
      <c r="E25" s="61">
        <v>354144</v>
      </c>
      <c r="F25" s="61">
        <v>650000</v>
      </c>
      <c r="G25" s="61">
        <v>357500</v>
      </c>
      <c r="H25" s="61">
        <v>655200</v>
      </c>
      <c r="I25" s="69" t="b">
        <v>1</v>
      </c>
      <c r="J25" s="69" t="b">
        <v>1</v>
      </c>
      <c r="K25" s="69" t="b">
        <v>0</v>
      </c>
      <c r="L25" s="69" t="b">
        <v>0</v>
      </c>
      <c r="M25" s="69" t="b">
        <v>1</v>
      </c>
      <c r="N25" s="69" t="b">
        <v>0</v>
      </c>
      <c r="O25" s="69" t="b">
        <v>0</v>
      </c>
      <c r="P25" s="69" t="b">
        <v>1</v>
      </c>
      <c r="Q25" s="61">
        <v>1246285</v>
      </c>
      <c r="R25" s="61">
        <v>1043015</v>
      </c>
    </row>
    <row r="26" spans="1:18" x14ac:dyDescent="0.25">
      <c r="A26" s="3" t="s">
        <v>289</v>
      </c>
      <c r="B26" s="72">
        <v>3425</v>
      </c>
      <c r="C26" s="72">
        <v>1849.5</v>
      </c>
      <c r="D26" s="61">
        <v>4007</v>
      </c>
      <c r="E26" s="61">
        <v>22708</v>
      </c>
      <c r="F26" s="61">
        <v>0</v>
      </c>
      <c r="G26" s="61">
        <v>0</v>
      </c>
      <c r="H26" s="61">
        <v>0</v>
      </c>
      <c r="I26" s="69" t="b">
        <v>1</v>
      </c>
      <c r="J26" s="69" t="b">
        <v>0</v>
      </c>
      <c r="K26" s="69" t="b">
        <v>0</v>
      </c>
      <c r="L26" s="69" t="b">
        <v>1</v>
      </c>
      <c r="M26" s="69" t="b">
        <v>1</v>
      </c>
      <c r="N26" s="69" t="b">
        <v>0</v>
      </c>
      <c r="O26" s="69" t="b">
        <v>1</v>
      </c>
      <c r="P26" s="69" t="b">
        <v>0</v>
      </c>
      <c r="Q26" s="61">
        <v>426642</v>
      </c>
      <c r="R26" s="61">
        <v>815448</v>
      </c>
    </row>
    <row r="27" spans="1:18" x14ac:dyDescent="0.25">
      <c r="A27" s="3" t="s">
        <v>292</v>
      </c>
      <c r="B27" s="72">
        <v>4325</v>
      </c>
      <c r="C27" s="72">
        <v>3351.88</v>
      </c>
      <c r="D27" s="61">
        <v>14889</v>
      </c>
      <c r="E27" s="61">
        <v>84370</v>
      </c>
      <c r="F27" s="61">
        <v>0</v>
      </c>
      <c r="G27" s="61">
        <v>0</v>
      </c>
      <c r="H27" s="61">
        <v>259500</v>
      </c>
      <c r="I27" s="69" t="b">
        <v>1</v>
      </c>
      <c r="J27" s="69" t="b">
        <v>0</v>
      </c>
      <c r="K27" s="69" t="b">
        <v>0</v>
      </c>
      <c r="L27" s="69" t="b">
        <v>1</v>
      </c>
      <c r="M27" s="69" t="b">
        <v>1</v>
      </c>
      <c r="N27" s="69" t="b">
        <v>0</v>
      </c>
      <c r="O27" s="69" t="b">
        <v>1</v>
      </c>
      <c r="P27" s="69" t="b">
        <v>0</v>
      </c>
      <c r="Q27" s="61">
        <v>429120</v>
      </c>
      <c r="R27" s="61">
        <v>858583</v>
      </c>
    </row>
    <row r="28" spans="1:18" x14ac:dyDescent="0.25">
      <c r="A28" s="3" t="s">
        <v>295</v>
      </c>
      <c r="B28" s="72">
        <v>21710</v>
      </c>
      <c r="C28" s="72">
        <v>14579.75</v>
      </c>
      <c r="D28" s="61">
        <v>154294</v>
      </c>
      <c r="E28" s="61">
        <v>874333</v>
      </c>
      <c r="F28" s="61">
        <v>850000</v>
      </c>
      <c r="G28" s="61">
        <v>467500</v>
      </c>
      <c r="H28" s="61">
        <v>1302600</v>
      </c>
      <c r="I28" s="69" t="b">
        <v>0</v>
      </c>
      <c r="J28" s="69" t="b">
        <v>1</v>
      </c>
      <c r="K28" s="69" t="b">
        <v>0</v>
      </c>
      <c r="L28" s="69" t="b">
        <v>1</v>
      </c>
      <c r="M28" s="69" t="b">
        <v>1</v>
      </c>
      <c r="N28" s="69" t="b">
        <v>0</v>
      </c>
      <c r="O28" s="69" t="b">
        <v>0</v>
      </c>
      <c r="P28" s="69" t="b">
        <v>1</v>
      </c>
      <c r="Q28" s="61">
        <v>2050866</v>
      </c>
      <c r="R28" s="61">
        <v>4550270</v>
      </c>
    </row>
    <row r="29" spans="1:18" x14ac:dyDescent="0.25">
      <c r="A29" s="3" t="s">
        <v>299</v>
      </c>
      <c r="B29" s="72">
        <v>6200</v>
      </c>
      <c r="C29" s="72">
        <v>3871.13</v>
      </c>
      <c r="D29" s="61">
        <v>77164</v>
      </c>
      <c r="E29" s="61">
        <v>437264</v>
      </c>
      <c r="F29" s="61">
        <v>350000</v>
      </c>
      <c r="G29" s="61">
        <v>192500</v>
      </c>
      <c r="H29" s="61">
        <v>200000</v>
      </c>
      <c r="I29" s="69" t="b">
        <v>1</v>
      </c>
      <c r="J29" s="69" t="b">
        <v>0</v>
      </c>
      <c r="K29" s="69" t="b">
        <v>0</v>
      </c>
      <c r="L29" s="69" t="b">
        <v>1</v>
      </c>
      <c r="M29" s="69" t="b">
        <v>1</v>
      </c>
      <c r="N29" s="69" t="b">
        <v>0</v>
      </c>
      <c r="O29" s="69" t="b">
        <v>0</v>
      </c>
      <c r="P29" s="69" t="b">
        <v>1</v>
      </c>
      <c r="Q29" s="61">
        <v>612906</v>
      </c>
      <c r="R29" s="61">
        <v>770148</v>
      </c>
    </row>
    <row r="30" spans="1:18" x14ac:dyDescent="0.25">
      <c r="A30" s="3" t="s">
        <v>302</v>
      </c>
      <c r="B30" s="72">
        <v>3800</v>
      </c>
      <c r="C30" s="72">
        <v>2204</v>
      </c>
      <c r="D30" s="61">
        <v>7524</v>
      </c>
      <c r="E30" s="61">
        <v>42636</v>
      </c>
      <c r="F30" s="61">
        <v>0</v>
      </c>
      <c r="G30" s="61">
        <v>0</v>
      </c>
      <c r="H30" s="61">
        <v>228000</v>
      </c>
      <c r="I30" s="69" t="b">
        <v>1</v>
      </c>
      <c r="J30" s="69" t="b">
        <v>0</v>
      </c>
      <c r="K30" s="69" t="b">
        <v>0</v>
      </c>
      <c r="L30" s="69" t="b">
        <v>1</v>
      </c>
      <c r="M30" s="69" t="b">
        <v>1</v>
      </c>
      <c r="N30" s="69" t="b">
        <v>0</v>
      </c>
      <c r="O30" s="69" t="b">
        <v>1</v>
      </c>
      <c r="P30" s="69" t="b">
        <v>0</v>
      </c>
      <c r="Q30" s="61">
        <v>420174</v>
      </c>
      <c r="R30" s="61">
        <v>604652</v>
      </c>
    </row>
    <row r="31" spans="1:18" x14ac:dyDescent="0.25">
      <c r="A31" s="3" t="s">
        <v>305</v>
      </c>
      <c r="B31" s="72">
        <v>4850</v>
      </c>
      <c r="C31" s="72">
        <v>3395</v>
      </c>
      <c r="D31" s="61">
        <v>10476</v>
      </c>
      <c r="E31" s="61">
        <v>59364</v>
      </c>
      <c r="F31" s="61">
        <v>350000</v>
      </c>
      <c r="G31" s="61">
        <v>192500</v>
      </c>
      <c r="H31" s="61">
        <v>291000</v>
      </c>
      <c r="I31" s="69" t="b">
        <v>1</v>
      </c>
      <c r="J31" s="69" t="b">
        <v>0</v>
      </c>
      <c r="K31" s="69" t="b">
        <v>0</v>
      </c>
      <c r="L31" s="69" t="b">
        <v>1</v>
      </c>
      <c r="M31" s="69" t="b">
        <v>1</v>
      </c>
      <c r="N31" s="69" t="b">
        <v>0</v>
      </c>
      <c r="O31" s="69" t="b">
        <v>0</v>
      </c>
      <c r="P31" s="69" t="b">
        <v>1</v>
      </c>
      <c r="Q31" s="61">
        <v>561198</v>
      </c>
      <c r="R31" s="61">
        <v>935189</v>
      </c>
    </row>
    <row r="32" spans="1:18" x14ac:dyDescent="0.25">
      <c r="A32" s="3" t="s">
        <v>308</v>
      </c>
      <c r="B32" s="72">
        <v>5825</v>
      </c>
      <c r="C32" s="72">
        <v>3702.18</v>
      </c>
      <c r="D32" s="61">
        <v>35792</v>
      </c>
      <c r="E32" s="61">
        <v>202819</v>
      </c>
      <c r="F32" s="61">
        <v>350000</v>
      </c>
      <c r="G32" s="61">
        <v>192500</v>
      </c>
      <c r="H32" s="61">
        <v>349500</v>
      </c>
      <c r="I32" s="69" t="b">
        <v>1</v>
      </c>
      <c r="J32" s="69" t="b">
        <v>0</v>
      </c>
      <c r="K32" s="69" t="b">
        <v>0</v>
      </c>
      <c r="L32" s="69" t="b">
        <v>1</v>
      </c>
      <c r="M32" s="69" t="b">
        <v>1</v>
      </c>
      <c r="N32" s="69" t="b">
        <v>0</v>
      </c>
      <c r="O32" s="69" t="b">
        <v>0</v>
      </c>
      <c r="P32" s="69" t="b">
        <v>1</v>
      </c>
      <c r="Q32" s="61">
        <v>594558</v>
      </c>
      <c r="R32" s="61">
        <v>1065393</v>
      </c>
    </row>
    <row r="33" spans="1:18" x14ac:dyDescent="0.25">
      <c r="A33" s="3" t="s">
        <v>311</v>
      </c>
      <c r="B33" s="72">
        <v>4305</v>
      </c>
      <c r="C33" s="72">
        <v>2324.6999999999998</v>
      </c>
      <c r="D33" s="61">
        <v>3022</v>
      </c>
      <c r="E33" s="61">
        <v>17125</v>
      </c>
      <c r="F33" s="61">
        <v>0</v>
      </c>
      <c r="G33" s="61">
        <v>0</v>
      </c>
      <c r="H33" s="61">
        <v>0</v>
      </c>
      <c r="I33" s="69" t="b">
        <v>1</v>
      </c>
      <c r="J33" s="69" t="b">
        <v>0</v>
      </c>
      <c r="K33" s="69" t="b">
        <v>0</v>
      </c>
      <c r="L33" s="69" t="b">
        <v>1</v>
      </c>
      <c r="M33" s="69" t="b">
        <v>1</v>
      </c>
      <c r="N33" s="69" t="b">
        <v>0</v>
      </c>
      <c r="O33" s="69" t="b">
        <v>1</v>
      </c>
      <c r="P33" s="69" t="b">
        <v>0</v>
      </c>
      <c r="Q33" s="61">
        <v>553871</v>
      </c>
      <c r="R33" s="61">
        <v>1023819</v>
      </c>
    </row>
    <row r="34" spans="1:18" x14ac:dyDescent="0.25">
      <c r="A34" s="3" t="s">
        <v>313</v>
      </c>
      <c r="B34" s="72">
        <v>6230</v>
      </c>
      <c r="C34" s="72">
        <v>3364.2</v>
      </c>
      <c r="D34" s="61">
        <v>11663</v>
      </c>
      <c r="E34" s="61">
        <v>66088</v>
      </c>
      <c r="F34" s="61">
        <v>0</v>
      </c>
      <c r="G34" s="61">
        <v>0</v>
      </c>
      <c r="H34" s="61">
        <v>0</v>
      </c>
      <c r="I34" s="69" t="b">
        <v>1</v>
      </c>
      <c r="J34" s="69" t="b">
        <v>0</v>
      </c>
      <c r="K34" s="69" t="b">
        <v>0</v>
      </c>
      <c r="L34" s="69" t="b">
        <v>1</v>
      </c>
      <c r="M34" s="69" t="b">
        <v>1</v>
      </c>
      <c r="N34" s="69" t="b">
        <v>0</v>
      </c>
      <c r="O34" s="69" t="b">
        <v>1</v>
      </c>
      <c r="P34" s="69" t="b">
        <v>0</v>
      </c>
      <c r="Q34" s="61">
        <v>696727</v>
      </c>
      <c r="R34" s="61">
        <v>1075293</v>
      </c>
    </row>
    <row r="35" spans="1:18" x14ac:dyDescent="0.25">
      <c r="A35" s="3" t="s">
        <v>315</v>
      </c>
      <c r="B35" s="72">
        <v>7420</v>
      </c>
      <c r="C35" s="72">
        <v>4303.6000000000004</v>
      </c>
      <c r="D35" s="61">
        <v>22037</v>
      </c>
      <c r="E35" s="61">
        <v>124879</v>
      </c>
      <c r="F35" s="61">
        <v>350000</v>
      </c>
      <c r="G35" s="61">
        <v>192500</v>
      </c>
      <c r="H35" s="61">
        <v>445200</v>
      </c>
      <c r="I35" s="69" t="b">
        <v>1</v>
      </c>
      <c r="J35" s="69" t="b">
        <v>0</v>
      </c>
      <c r="K35" s="69" t="b">
        <v>0</v>
      </c>
      <c r="L35" s="69" t="b">
        <v>1</v>
      </c>
      <c r="M35" s="69" t="b">
        <v>1</v>
      </c>
      <c r="N35" s="69" t="b">
        <v>0</v>
      </c>
      <c r="O35" s="69" t="b">
        <v>0</v>
      </c>
      <c r="P35" s="69" t="b">
        <v>1</v>
      </c>
      <c r="Q35" s="61">
        <v>824031</v>
      </c>
      <c r="R35" s="61">
        <v>1636203</v>
      </c>
    </row>
    <row r="36" spans="1:18" x14ac:dyDescent="0.25">
      <c r="A36" s="3" t="s">
        <v>317</v>
      </c>
      <c r="B36" s="72">
        <v>4700</v>
      </c>
      <c r="C36" s="72">
        <v>2914</v>
      </c>
      <c r="D36" s="61">
        <v>16751</v>
      </c>
      <c r="E36" s="61">
        <v>94921</v>
      </c>
      <c r="F36" s="61">
        <v>350000</v>
      </c>
      <c r="G36" s="61">
        <v>192500</v>
      </c>
      <c r="H36" s="61">
        <v>282000</v>
      </c>
      <c r="I36" s="69" t="b">
        <v>1</v>
      </c>
      <c r="J36" s="69" t="b">
        <v>0</v>
      </c>
      <c r="K36" s="69" t="b">
        <v>0</v>
      </c>
      <c r="L36" s="69" t="b">
        <v>1</v>
      </c>
      <c r="M36" s="69" t="b">
        <v>1</v>
      </c>
      <c r="N36" s="69" t="b">
        <v>0</v>
      </c>
      <c r="O36" s="69" t="b">
        <v>0</v>
      </c>
      <c r="P36" s="69" t="b">
        <v>1</v>
      </c>
      <c r="Q36" s="61">
        <v>508961</v>
      </c>
      <c r="R36" s="61">
        <v>600516</v>
      </c>
    </row>
    <row r="37" spans="1:18" x14ac:dyDescent="0.25">
      <c r="A37" s="3" t="s">
        <v>319</v>
      </c>
      <c r="B37" s="72">
        <v>5150</v>
      </c>
      <c r="C37" s="72">
        <v>3991.25</v>
      </c>
      <c r="D37" s="61">
        <v>29200</v>
      </c>
      <c r="E37" s="61">
        <v>165470</v>
      </c>
      <c r="F37" s="61">
        <v>350000</v>
      </c>
      <c r="G37" s="61">
        <v>192500</v>
      </c>
      <c r="H37" s="61">
        <v>309000</v>
      </c>
      <c r="I37" s="69" t="b">
        <v>1</v>
      </c>
      <c r="J37" s="69" t="b">
        <v>0</v>
      </c>
      <c r="K37" s="69" t="b">
        <v>0</v>
      </c>
      <c r="L37" s="69" t="b">
        <v>1</v>
      </c>
      <c r="M37" s="69" t="b">
        <v>1</v>
      </c>
      <c r="N37" s="69" t="b">
        <v>0</v>
      </c>
      <c r="O37" s="69" t="b">
        <v>0</v>
      </c>
      <c r="P37" s="69" t="b">
        <v>1</v>
      </c>
      <c r="Q37" s="61">
        <v>625951</v>
      </c>
      <c r="R37" s="61">
        <v>1276508</v>
      </c>
    </row>
    <row r="38" spans="1:18" x14ac:dyDescent="0.25">
      <c r="A38" s="3" t="s">
        <v>321</v>
      </c>
      <c r="B38" s="72">
        <v>14690</v>
      </c>
      <c r="C38" s="72">
        <v>9490.25</v>
      </c>
      <c r="D38" s="61">
        <v>42117</v>
      </c>
      <c r="E38" s="61">
        <v>238663</v>
      </c>
      <c r="F38" s="61">
        <v>650000</v>
      </c>
      <c r="G38" s="61">
        <v>357500</v>
      </c>
      <c r="H38" s="61">
        <v>881400</v>
      </c>
      <c r="I38" s="69" t="b">
        <v>1</v>
      </c>
      <c r="J38" s="69" t="b">
        <v>1</v>
      </c>
      <c r="K38" s="69" t="b">
        <v>0</v>
      </c>
      <c r="L38" s="69" t="b">
        <v>0</v>
      </c>
      <c r="M38" s="69" t="b">
        <v>1</v>
      </c>
      <c r="N38" s="69" t="b">
        <v>0</v>
      </c>
      <c r="O38" s="69" t="b">
        <v>0</v>
      </c>
      <c r="P38" s="69" t="b">
        <v>1</v>
      </c>
      <c r="Q38" s="61">
        <v>1921395</v>
      </c>
      <c r="R38" s="61">
        <v>3058713</v>
      </c>
    </row>
    <row r="39" spans="1:18" x14ac:dyDescent="0.25">
      <c r="A39" s="3" t="s">
        <v>323</v>
      </c>
      <c r="B39" s="72">
        <v>5675</v>
      </c>
      <c r="C39" s="72">
        <v>3141.45</v>
      </c>
      <c r="D39" s="61">
        <v>47645</v>
      </c>
      <c r="E39" s="61">
        <v>269990</v>
      </c>
      <c r="F39" s="61">
        <v>350000</v>
      </c>
      <c r="G39" s="61">
        <v>192500</v>
      </c>
      <c r="H39" s="61">
        <v>200000</v>
      </c>
      <c r="I39" s="69" t="b">
        <v>1</v>
      </c>
      <c r="J39" s="69" t="b">
        <v>0</v>
      </c>
      <c r="K39" s="69" t="b">
        <v>0</v>
      </c>
      <c r="L39" s="69" t="b">
        <v>1</v>
      </c>
      <c r="M39" s="69" t="b">
        <v>1</v>
      </c>
      <c r="N39" s="69" t="b">
        <v>0</v>
      </c>
      <c r="O39" s="69" t="b">
        <v>0</v>
      </c>
      <c r="P39" s="69" t="b">
        <v>1</v>
      </c>
      <c r="Q39" s="61">
        <v>533663</v>
      </c>
      <c r="R39" s="61">
        <v>855201</v>
      </c>
    </row>
    <row r="40" spans="1:18" x14ac:dyDescent="0.25">
      <c r="A40" s="3" t="s">
        <v>325</v>
      </c>
      <c r="B40" s="72">
        <v>6125</v>
      </c>
      <c r="C40" s="72">
        <v>4422</v>
      </c>
      <c r="D40" s="61">
        <v>34612</v>
      </c>
      <c r="E40" s="61">
        <v>196136</v>
      </c>
      <c r="F40" s="61">
        <v>350000</v>
      </c>
      <c r="G40" s="61">
        <v>192500</v>
      </c>
      <c r="H40" s="61">
        <v>367500</v>
      </c>
      <c r="I40" s="69" t="b">
        <v>1</v>
      </c>
      <c r="J40" s="69" t="b">
        <v>0</v>
      </c>
      <c r="K40" s="69" t="b">
        <v>0</v>
      </c>
      <c r="L40" s="69" t="b">
        <v>1</v>
      </c>
      <c r="M40" s="69" t="b">
        <v>1</v>
      </c>
      <c r="N40" s="69" t="b">
        <v>0</v>
      </c>
      <c r="O40" s="69" t="b">
        <v>0</v>
      </c>
      <c r="P40" s="69" t="b">
        <v>1</v>
      </c>
      <c r="Q40" s="61">
        <v>672731</v>
      </c>
      <c r="R40" s="61">
        <v>553288</v>
      </c>
    </row>
    <row r="41" spans="1:18" x14ac:dyDescent="0.25">
      <c r="A41" s="3" t="s">
        <v>327</v>
      </c>
      <c r="B41" s="72">
        <v>3500</v>
      </c>
      <c r="C41" s="72">
        <v>1890</v>
      </c>
      <c r="D41" s="61">
        <v>4914</v>
      </c>
      <c r="E41" s="61">
        <v>27846</v>
      </c>
      <c r="F41" s="61">
        <v>0</v>
      </c>
      <c r="G41" s="61">
        <v>0</v>
      </c>
      <c r="H41" s="61">
        <v>0</v>
      </c>
      <c r="I41" s="69" t="b">
        <v>1</v>
      </c>
      <c r="J41" s="69" t="b">
        <v>0</v>
      </c>
      <c r="K41" s="69" t="b">
        <v>0</v>
      </c>
      <c r="L41" s="69" t="b">
        <v>1</v>
      </c>
      <c r="M41" s="69" t="b">
        <v>1</v>
      </c>
      <c r="N41" s="69" t="b">
        <v>0</v>
      </c>
      <c r="O41" s="69" t="b">
        <v>1</v>
      </c>
      <c r="P41" s="69" t="b">
        <v>0</v>
      </c>
      <c r="Q41" s="61">
        <v>421402</v>
      </c>
      <c r="R41" s="61">
        <v>818110</v>
      </c>
    </row>
    <row r="42" spans="1:18" x14ac:dyDescent="0.25">
      <c r="A42" s="3" t="s">
        <v>329</v>
      </c>
      <c r="B42" s="72">
        <v>4400</v>
      </c>
      <c r="C42" s="72">
        <v>3410</v>
      </c>
      <c r="D42" s="61">
        <v>16038</v>
      </c>
      <c r="E42" s="61">
        <v>90882</v>
      </c>
      <c r="F42" s="61">
        <v>0</v>
      </c>
      <c r="G42" s="61">
        <v>0</v>
      </c>
      <c r="H42" s="61">
        <v>264000</v>
      </c>
      <c r="I42" s="69" t="b">
        <v>1</v>
      </c>
      <c r="J42" s="69" t="b">
        <v>0</v>
      </c>
      <c r="K42" s="69" t="b">
        <v>0</v>
      </c>
      <c r="L42" s="69" t="b">
        <v>1</v>
      </c>
      <c r="M42" s="69" t="b">
        <v>1</v>
      </c>
      <c r="N42" s="69" t="b">
        <v>0</v>
      </c>
      <c r="O42" s="69" t="b">
        <v>1</v>
      </c>
      <c r="P42" s="69" t="b">
        <v>0</v>
      </c>
      <c r="Q42" s="61">
        <v>403748</v>
      </c>
      <c r="R42" s="61">
        <v>857544</v>
      </c>
    </row>
    <row r="43" spans="1:18" x14ac:dyDescent="0.25">
      <c r="A43" s="3" t="s">
        <v>331</v>
      </c>
      <c r="B43" s="72">
        <v>7350</v>
      </c>
      <c r="C43" s="72">
        <v>4263</v>
      </c>
      <c r="D43" s="61">
        <v>46570</v>
      </c>
      <c r="E43" s="61">
        <v>263894</v>
      </c>
      <c r="F43" s="61">
        <v>350000</v>
      </c>
      <c r="G43" s="61">
        <v>192500</v>
      </c>
      <c r="H43" s="61">
        <v>441000</v>
      </c>
      <c r="I43" s="69" t="b">
        <v>1</v>
      </c>
      <c r="J43" s="69" t="b">
        <v>0</v>
      </c>
      <c r="K43" s="69" t="b">
        <v>0</v>
      </c>
      <c r="L43" s="69" t="b">
        <v>1</v>
      </c>
      <c r="M43" s="69" t="b">
        <v>1</v>
      </c>
      <c r="N43" s="69" t="b">
        <v>0</v>
      </c>
      <c r="O43" s="69" t="b">
        <v>0</v>
      </c>
      <c r="P43" s="69" t="b">
        <v>1</v>
      </c>
      <c r="Q43" s="61">
        <v>655463</v>
      </c>
      <c r="R43" s="61">
        <v>1306202</v>
      </c>
    </row>
    <row r="44" spans="1:18" x14ac:dyDescent="0.25">
      <c r="A44" s="3" t="s">
        <v>333</v>
      </c>
      <c r="B44" s="72">
        <v>9800</v>
      </c>
      <c r="C44" s="72">
        <v>6210</v>
      </c>
      <c r="D44" s="61">
        <v>126477</v>
      </c>
      <c r="E44" s="61">
        <v>716703</v>
      </c>
      <c r="F44" s="61">
        <v>350000</v>
      </c>
      <c r="G44" s="61">
        <v>192500</v>
      </c>
      <c r="H44" s="61">
        <v>200000</v>
      </c>
      <c r="I44" s="69" t="b">
        <v>1</v>
      </c>
      <c r="J44" s="69" t="b">
        <v>0</v>
      </c>
      <c r="K44" s="69" t="b">
        <v>0</v>
      </c>
      <c r="L44" s="69" t="b">
        <v>1</v>
      </c>
      <c r="M44" s="69" t="b">
        <v>1</v>
      </c>
      <c r="N44" s="69" t="b">
        <v>0</v>
      </c>
      <c r="O44" s="69" t="b">
        <v>0</v>
      </c>
      <c r="P44" s="69" t="b">
        <v>1</v>
      </c>
      <c r="Q44" s="61">
        <v>866908</v>
      </c>
      <c r="R44" s="61">
        <v>1235459</v>
      </c>
    </row>
    <row r="45" spans="1:18" x14ac:dyDescent="0.25">
      <c r="A45" s="3" t="s">
        <v>335</v>
      </c>
      <c r="B45" s="72">
        <v>6860</v>
      </c>
      <c r="C45" s="72">
        <v>3978.8</v>
      </c>
      <c r="D45" s="61">
        <v>14941</v>
      </c>
      <c r="E45" s="61">
        <v>84666</v>
      </c>
      <c r="F45" s="61">
        <v>0</v>
      </c>
      <c r="G45" s="61">
        <v>0</v>
      </c>
      <c r="H45" s="61">
        <v>411600</v>
      </c>
      <c r="I45" s="69" t="b">
        <v>1</v>
      </c>
      <c r="J45" s="69" t="b">
        <v>0</v>
      </c>
      <c r="K45" s="69" t="b">
        <v>0</v>
      </c>
      <c r="L45" s="69" t="b">
        <v>1</v>
      </c>
      <c r="M45" s="69" t="b">
        <v>1</v>
      </c>
      <c r="N45" s="69" t="b">
        <v>0</v>
      </c>
      <c r="O45" s="69" t="b">
        <v>1</v>
      </c>
      <c r="P45" s="69" t="b">
        <v>0</v>
      </c>
      <c r="Q45" s="61">
        <v>724867</v>
      </c>
      <c r="R45" s="61">
        <v>1071652</v>
      </c>
    </row>
    <row r="46" spans="1:18" x14ac:dyDescent="0.25">
      <c r="A46" s="3" t="s">
        <v>337</v>
      </c>
      <c r="B46" s="72">
        <v>4925</v>
      </c>
      <c r="C46" s="72">
        <v>3447.5</v>
      </c>
      <c r="D46" s="61">
        <v>11081</v>
      </c>
      <c r="E46" s="61">
        <v>62794</v>
      </c>
      <c r="F46" s="61">
        <v>350000</v>
      </c>
      <c r="G46" s="61">
        <v>192500</v>
      </c>
      <c r="H46" s="61">
        <v>295500</v>
      </c>
      <c r="I46" s="69" t="b">
        <v>1</v>
      </c>
      <c r="J46" s="69" t="b">
        <v>0</v>
      </c>
      <c r="K46" s="69" t="b">
        <v>0</v>
      </c>
      <c r="L46" s="69" t="b">
        <v>1</v>
      </c>
      <c r="M46" s="69" t="b">
        <v>1</v>
      </c>
      <c r="N46" s="69" t="b">
        <v>0</v>
      </c>
      <c r="O46" s="69" t="b">
        <v>0</v>
      </c>
      <c r="P46" s="69" t="b">
        <v>1</v>
      </c>
      <c r="Q46" s="61">
        <v>566900</v>
      </c>
      <c r="R46" s="61">
        <v>932334</v>
      </c>
    </row>
    <row r="47" spans="1:18" x14ac:dyDescent="0.25">
      <c r="A47" s="3" t="s">
        <v>339</v>
      </c>
      <c r="B47" s="72">
        <v>5900</v>
      </c>
      <c r="C47" s="72">
        <v>3749.45</v>
      </c>
      <c r="D47" s="61">
        <v>37228</v>
      </c>
      <c r="E47" s="61">
        <v>210961</v>
      </c>
      <c r="F47" s="61">
        <v>350000</v>
      </c>
      <c r="G47" s="61">
        <v>192500</v>
      </c>
      <c r="H47" s="61">
        <v>354000</v>
      </c>
      <c r="I47" s="69" t="b">
        <v>1</v>
      </c>
      <c r="J47" s="69" t="b">
        <v>0</v>
      </c>
      <c r="K47" s="69" t="b">
        <v>0</v>
      </c>
      <c r="L47" s="69" t="b">
        <v>1</v>
      </c>
      <c r="M47" s="69" t="b">
        <v>1</v>
      </c>
      <c r="N47" s="69" t="b">
        <v>0</v>
      </c>
      <c r="O47" s="69" t="b">
        <v>0</v>
      </c>
      <c r="P47" s="69" t="b">
        <v>1</v>
      </c>
      <c r="Q47" s="61">
        <v>599692</v>
      </c>
      <c r="R47" s="61">
        <v>1059322</v>
      </c>
    </row>
    <row r="48" spans="1:18" x14ac:dyDescent="0.25">
      <c r="A48" s="3" t="s">
        <v>341</v>
      </c>
      <c r="B48" s="72">
        <v>10400</v>
      </c>
      <c r="C48" s="72">
        <v>5940</v>
      </c>
      <c r="D48" s="61">
        <v>2574</v>
      </c>
      <c r="E48" s="61">
        <v>14586</v>
      </c>
      <c r="F48" s="61">
        <v>0</v>
      </c>
      <c r="G48" s="61">
        <v>0</v>
      </c>
      <c r="H48" s="61">
        <v>0</v>
      </c>
      <c r="I48" s="69" t="b">
        <v>1</v>
      </c>
      <c r="J48" s="69" t="b">
        <v>0</v>
      </c>
      <c r="K48" s="69" t="b">
        <v>0</v>
      </c>
      <c r="L48" s="69" t="b">
        <v>1</v>
      </c>
      <c r="M48" s="69" t="b">
        <v>1</v>
      </c>
      <c r="N48" s="69" t="b">
        <v>0</v>
      </c>
      <c r="O48" s="69" t="b">
        <v>1</v>
      </c>
      <c r="P48" s="69" t="b">
        <v>0</v>
      </c>
      <c r="Q48" s="61">
        <v>1415232</v>
      </c>
      <c r="R48" s="61">
        <v>2714105</v>
      </c>
    </row>
    <row r="49" spans="1:18" x14ac:dyDescent="0.25">
      <c r="A49" s="3" t="s">
        <v>343</v>
      </c>
      <c r="B49" s="72">
        <v>3500</v>
      </c>
      <c r="C49" s="72">
        <v>1890</v>
      </c>
      <c r="D49" s="61">
        <v>4914</v>
      </c>
      <c r="E49" s="61">
        <v>27846</v>
      </c>
      <c r="F49" s="61">
        <v>0</v>
      </c>
      <c r="G49" s="61">
        <v>0</v>
      </c>
      <c r="H49" s="61">
        <v>0</v>
      </c>
      <c r="I49" s="69" t="b">
        <v>1</v>
      </c>
      <c r="J49" s="69" t="b">
        <v>0</v>
      </c>
      <c r="K49" s="69" t="b">
        <v>0</v>
      </c>
      <c r="L49" s="69" t="b">
        <v>1</v>
      </c>
      <c r="M49" s="69" t="b">
        <v>1</v>
      </c>
      <c r="N49" s="69" t="b">
        <v>0</v>
      </c>
      <c r="O49" s="69" t="b">
        <v>1</v>
      </c>
      <c r="P49" s="69" t="b">
        <v>0</v>
      </c>
      <c r="Q49" s="61">
        <v>421402</v>
      </c>
      <c r="R49" s="61">
        <v>626745</v>
      </c>
    </row>
    <row r="50" spans="1:18" x14ac:dyDescent="0.25">
      <c r="A50" s="3" t="s">
        <v>345</v>
      </c>
      <c r="B50" s="72">
        <v>4025</v>
      </c>
      <c r="C50" s="72">
        <v>2334.5</v>
      </c>
      <c r="D50" s="61">
        <v>10360</v>
      </c>
      <c r="E50" s="61">
        <v>58709</v>
      </c>
      <c r="F50" s="61">
        <v>350000</v>
      </c>
      <c r="G50" s="61">
        <v>192500</v>
      </c>
      <c r="H50" s="61">
        <v>241500</v>
      </c>
      <c r="I50" s="69" t="b">
        <v>1</v>
      </c>
      <c r="J50" s="69" t="b">
        <v>0</v>
      </c>
      <c r="K50" s="69" t="b">
        <v>0</v>
      </c>
      <c r="L50" s="69" t="b">
        <v>1</v>
      </c>
      <c r="M50" s="69" t="b">
        <v>1</v>
      </c>
      <c r="N50" s="69" t="b">
        <v>0</v>
      </c>
      <c r="O50" s="69" t="b">
        <v>0</v>
      </c>
      <c r="P50" s="69" t="b">
        <v>1</v>
      </c>
      <c r="Q50" s="61">
        <v>577202</v>
      </c>
      <c r="R50" s="61">
        <v>920838</v>
      </c>
    </row>
    <row r="51" spans="1:18" x14ac:dyDescent="0.25">
      <c r="A51" s="3" t="s">
        <v>347</v>
      </c>
      <c r="B51" s="72">
        <v>4550</v>
      </c>
      <c r="C51" s="72">
        <v>2821</v>
      </c>
      <c r="D51" s="61">
        <v>14742</v>
      </c>
      <c r="E51" s="61">
        <v>83538</v>
      </c>
      <c r="F51" s="61">
        <v>350000</v>
      </c>
      <c r="G51" s="61">
        <v>192500</v>
      </c>
      <c r="H51" s="61">
        <v>273000</v>
      </c>
      <c r="I51" s="69" t="b">
        <v>1</v>
      </c>
      <c r="J51" s="69" t="b">
        <v>0</v>
      </c>
      <c r="K51" s="69" t="b">
        <v>0</v>
      </c>
      <c r="L51" s="69" t="b">
        <v>1</v>
      </c>
      <c r="M51" s="69" t="b">
        <v>1</v>
      </c>
      <c r="N51" s="69" t="b">
        <v>0</v>
      </c>
      <c r="O51" s="69" t="b">
        <v>0</v>
      </c>
      <c r="P51" s="69" t="b">
        <v>1</v>
      </c>
      <c r="Q51" s="61">
        <v>498862</v>
      </c>
      <c r="R51" s="61">
        <v>603146</v>
      </c>
    </row>
    <row r="52" spans="1:18" x14ac:dyDescent="0.25">
      <c r="A52" s="3" t="s">
        <v>349</v>
      </c>
      <c r="B52" s="72">
        <v>5000</v>
      </c>
      <c r="C52" s="72">
        <v>3875</v>
      </c>
      <c r="D52" s="61">
        <v>26325</v>
      </c>
      <c r="E52" s="61">
        <v>149175</v>
      </c>
      <c r="F52" s="61">
        <v>350000</v>
      </c>
      <c r="G52" s="61">
        <v>192500</v>
      </c>
      <c r="H52" s="61">
        <v>300000</v>
      </c>
      <c r="I52" s="69" t="b">
        <v>1</v>
      </c>
      <c r="J52" s="69" t="b">
        <v>0</v>
      </c>
      <c r="K52" s="69" t="b">
        <v>0</v>
      </c>
      <c r="L52" s="69" t="b">
        <v>1</v>
      </c>
      <c r="M52" s="69" t="b">
        <v>1</v>
      </c>
      <c r="N52" s="69" t="b">
        <v>0</v>
      </c>
      <c r="O52" s="69" t="b">
        <v>0</v>
      </c>
      <c r="P52" s="69" t="b">
        <v>1</v>
      </c>
      <c r="Q52" s="61">
        <v>613326</v>
      </c>
      <c r="R52" s="61">
        <v>1285792</v>
      </c>
    </row>
  </sheetData>
  <autoFilter ref="A2:R52" xr:uid="{00000000-0009-0000-0000-000010000000}"/>
  <mergeCells count="1">
    <mergeCell ref="A1:R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424</vt:i4>
      </vt:variant>
    </vt:vector>
  </HeadingPairs>
  <TitlesOfParts>
    <vt:vector size="441" baseType="lpstr">
      <vt:lpstr>Overview</vt:lpstr>
      <vt:lpstr>Selected persona</vt:lpstr>
      <vt:lpstr>Personas</vt:lpstr>
      <vt:lpstr>CPF</vt:lpstr>
      <vt:lpstr>People Like You</vt:lpstr>
      <vt:lpstr>Need Profiler</vt:lpstr>
      <vt:lpstr>Need Calculator</vt:lpstr>
      <vt:lpstr>Plan Calculator</vt:lpstr>
      <vt:lpstr>Budget Calculator</vt:lpstr>
      <vt:lpstr>Scenario Visualizer</vt:lpstr>
      <vt:lpstr>HappiU</vt:lpstr>
      <vt:lpstr>FX</vt:lpstr>
      <vt:lpstr>Validation</vt:lpstr>
      <vt:lpstr>Assumptions</vt:lpstr>
      <vt:lpstr>Discrepancies</vt:lpstr>
      <vt:lpstr>Change log</vt:lpstr>
      <vt:lpstr>Code check</vt:lpstr>
      <vt:lpstr>ageOfRetirement</vt:lpstr>
      <vt:lpstr>annualBudget</vt:lpstr>
      <vt:lpstr>assetReturn</vt:lpstr>
      <vt:lpstr>assetsSaveShare</vt:lpstr>
      <vt:lpstr>benefitRound</vt:lpstr>
      <vt:lpstr>CASH_SAVINGS_SHARE</vt:lpstr>
      <vt:lpstr>CI_COST</vt:lpstr>
      <vt:lpstr>CI_YEARS</vt:lpstr>
      <vt:lpstr>coverPremRoundStep</vt:lpstr>
      <vt:lpstr>coverSliderPremFloor</vt:lpstr>
      <vt:lpstr>CPF_employee</vt:lpstr>
      <vt:lpstr>CPF_income</vt:lpstr>
      <vt:lpstr>CPF_on</vt:lpstr>
      <vt:lpstr>CPF_rate</vt:lpstr>
      <vt:lpstr>CPF_takeHome</vt:lpstr>
      <vt:lpstr>CpfCountrySwitch</vt:lpstr>
      <vt:lpstr>cpfRate_over70</vt:lpstr>
      <vt:lpstr>cpfRate_to55</vt:lpstr>
      <vt:lpstr>cpfRate_to60</vt:lpstr>
      <vt:lpstr>cpfRate_to65</vt:lpstr>
      <vt:lpstr>cpfRate_to70</vt:lpstr>
      <vt:lpstr>criMedicalPlaceholder</vt:lpstr>
      <vt:lpstr>currentYear</vt:lpstr>
      <vt:lpstr>EDU_TOTAL_COST</vt:lpstr>
      <vt:lpstr>eduYearsDefault</vt:lpstr>
      <vt:lpstr>endAge</vt:lpstr>
      <vt:lpstr>FREE_BUDGET_SHARE</vt:lpstr>
      <vt:lpstr>funeralLump</vt:lpstr>
      <vt:lpstr>FX_benefitRound</vt:lpstr>
      <vt:lpstr>FX_cash</vt:lpstr>
      <vt:lpstr>FX_coverPremStep</vt:lpstr>
      <vt:lpstr>FX_expenseMonthly</vt:lpstr>
      <vt:lpstr>FX_incomeMonthly</vt:lpstr>
      <vt:lpstr>FX_investments</vt:lpstr>
      <vt:lpstr>FX_liabilities</vt:lpstr>
      <vt:lpstr>FX_lifeRound</vt:lpstr>
      <vt:lpstr>FX_lifeSum</vt:lpstr>
      <vt:lpstr>FX_lumpStep</vt:lpstr>
      <vt:lpstr>FX_monthlyStep</vt:lpstr>
      <vt:lpstr>FX_mortgage</vt:lpstr>
      <vt:lpstr>FX_priceLevel</vt:lpstr>
      <vt:lpstr>FX_property</vt:lpstr>
      <vt:lpstr>FX_usdPerLocal</vt:lpstr>
      <vt:lpstr>fxMode</vt:lpstr>
      <vt:lpstr>FxTable</vt:lpstr>
      <vt:lpstr>gfr</vt:lpstr>
      <vt:lpstr>HOSP_MONTHS</vt:lpstr>
      <vt:lpstr>HU_age</vt:lpstr>
      <vt:lpstr>HU_alpha</vt:lpstr>
      <vt:lpstr>HU_benefitRound</vt:lpstr>
      <vt:lpstr>HU_beta</vt:lpstr>
      <vt:lpstr>HU_calRet</vt:lpstr>
      <vt:lpstr>HU_cash</vt:lpstr>
      <vt:lpstr>HU_cash0</vt:lpstr>
      <vt:lpstr>HU_ciDefaultYears</vt:lpstr>
      <vt:lpstr>HU_ciMaxAge</vt:lpstr>
      <vt:lpstr>HU_ciProp</vt:lpstr>
      <vt:lpstr>HU_ciYears</vt:lpstr>
      <vt:lpstr>HU_ciYearsGP</vt:lpstr>
      <vt:lpstr>HU_col</vt:lpstr>
      <vt:lpstr>HU_defaultLE</vt:lpstr>
      <vt:lpstr>HU_depYears</vt:lpstr>
      <vt:lpstr>HU_disCut</vt:lpstr>
      <vt:lpstr>HU_dtr</vt:lpstr>
      <vt:lpstr>HU_exp0</vt:lpstr>
      <vt:lpstr>HU_expense</vt:lpstr>
      <vt:lpstr>HU_gender</vt:lpstr>
      <vt:lpstr>HU_inc0</vt:lpstr>
      <vt:lpstr>HU_income</vt:lpstr>
      <vt:lpstr>HU_inv</vt:lpstr>
      <vt:lpstr>HU_le</vt:lpstr>
      <vt:lpstr>HU_leS</vt:lpstr>
      <vt:lpstr>HU_lifeSum</vt:lpstr>
      <vt:lpstr>HU_medCost</vt:lpstr>
      <vt:lpstr>HU_minMu</vt:lpstr>
      <vt:lpstr>HU_mu</vt:lpstr>
      <vt:lpstr>HU_nanEquity</vt:lpstr>
      <vt:lpstr>HU_nCons</vt:lpstr>
      <vt:lpstr>HU_nGoals</vt:lpstr>
      <vt:lpstr>HU_postHappiU</vt:lpstr>
      <vt:lpstr>HU_postRaw</vt:lpstr>
      <vt:lpstr>HU_preHappiU</vt:lpstr>
      <vt:lpstr>HU_preRaw</vt:lpstr>
      <vt:lpstr>HU_ptdCost</vt:lpstr>
      <vt:lpstr>HU_ptdCut</vt:lpstr>
      <vt:lpstr>HU_q_adb</vt:lpstr>
      <vt:lpstr>HU_q_dis</vt:lpstr>
      <vt:lpstr>HU_q_hosp</vt:lpstr>
      <vt:lpstr>HU_q_morb</vt:lpstr>
      <vt:lpstr>HU_q_mort</vt:lpstr>
      <vt:lpstr>HU_q_ptd</vt:lpstr>
      <vt:lpstr>HU_ret</vt:lpstr>
      <vt:lpstr>HU_retExp</vt:lpstr>
      <vt:lpstr>HU_retLifestyle</vt:lpstr>
      <vt:lpstr>HU_retShare</vt:lpstr>
      <vt:lpstr>HU_riskProfile</vt:lpstr>
      <vt:lpstr>HU_sig</vt:lpstr>
      <vt:lpstr>HU_smoker</vt:lpstr>
      <vt:lpstr>HU_ssC</vt:lpstr>
      <vt:lpstr>HU_ssCap</vt:lpstr>
      <vt:lpstr>HU_ssG</vt:lpstr>
      <vt:lpstr>HU_T</vt:lpstr>
      <vt:lpstr>HU_term</vt:lpstr>
      <vt:lpstr>HU_wdIncome</vt:lpstr>
      <vt:lpstr>HU_wdOn</vt:lpstr>
      <vt:lpstr>HU_wdOut</vt:lpstr>
      <vt:lpstr>HU_wdYear</vt:lpstr>
      <vt:lpstr>HU_whl</vt:lpstr>
      <vt:lpstr>HU_Y_Cw</vt:lpstr>
      <vt:lpstr>HU_Y_pos</vt:lpstr>
      <vt:lpstr>HU_Y_S</vt:lpstr>
      <vt:lpstr>HU_Y_sav</vt:lpstr>
      <vt:lpstr>HU_Y_spend</vt:lpstr>
      <vt:lpstr>HU_Y_W</vt:lpstr>
      <vt:lpstr>huNumSims</vt:lpstr>
      <vt:lpstr>IncomeBands</vt:lpstr>
      <vt:lpstr>incomeGrowthRate</vt:lpstr>
      <vt:lpstr>inflationRate</vt:lpstr>
      <vt:lpstr>interestRate</vt:lpstr>
      <vt:lpstr>investmentReturn</vt:lpstr>
      <vt:lpstr>INVESTMENTS_SHARE</vt:lpstr>
      <vt:lpstr>liabilityRatio</vt:lpstr>
      <vt:lpstr>lifeExpectancyDefault</vt:lpstr>
      <vt:lpstr>lifePremiumRate</vt:lpstr>
      <vt:lpstr>lifeRoundUnit</vt:lpstr>
      <vt:lpstr>lifestyleFrugal</vt:lpstr>
      <vt:lpstr>lifestyleOnlyTheBest</vt:lpstr>
      <vt:lpstr>lifestyleStressFree</vt:lpstr>
      <vt:lpstr>lifeSupportMax</vt:lpstr>
      <vt:lpstr>lifeSupportMin</vt:lpstr>
      <vt:lpstr>lifeSupportPivotAge</vt:lpstr>
      <vt:lpstr>loanRate</vt:lpstr>
      <vt:lpstr>lumpRoundStep</vt:lpstr>
      <vt:lpstr>monthlyRoundStep</vt:lpstr>
      <vt:lpstr>NC_age</vt:lpstr>
      <vt:lpstr>NC_amount_N_CRI</vt:lpstr>
      <vt:lpstr>NC_amount_N_EDU</vt:lpstr>
      <vt:lpstr>NC_amount_N_HOS</vt:lpstr>
      <vt:lpstr>NC_amount_N_INC</vt:lpstr>
      <vt:lpstr>NC_amount_N_PRP</vt:lpstr>
      <vt:lpstr>NC_amount_N_RET</vt:lpstr>
      <vt:lpstr>NC_amount_N_SAV</vt:lpstr>
      <vt:lpstr>NC_amount_N_TPD</vt:lpstr>
      <vt:lpstr>NC_amountUSD_N_CRI</vt:lpstr>
      <vt:lpstr>NC_amountUSD_N_EDU</vt:lpstr>
      <vt:lpstr>NC_amountUSD_N_HOS</vt:lpstr>
      <vt:lpstr>NC_amountUSD_N_INC</vt:lpstr>
      <vt:lpstr>NC_amountUSD_N_PRP</vt:lpstr>
      <vt:lpstr>NC_amountUSD_N_RET</vt:lpstr>
      <vt:lpstr>NC_amountUSD_N_SAV</vt:lpstr>
      <vt:lpstr>NC_amountUSD_N_TPD</vt:lpstr>
      <vt:lpstr>NC_eduYears</vt:lpstr>
      <vt:lpstr>NC_gap_N_CRI</vt:lpstr>
      <vt:lpstr>NC_gap_N_EDU</vt:lpstr>
      <vt:lpstr>NC_gap_N_HOS</vt:lpstr>
      <vt:lpstr>NC_gap_N_INC</vt:lpstr>
      <vt:lpstr>NC_gap_N_PRP</vt:lpstr>
      <vt:lpstr>NC_gap_N_RET</vt:lpstr>
      <vt:lpstr>NC_gap_N_SAV</vt:lpstr>
      <vt:lpstr>NC_gap_N_TPD</vt:lpstr>
      <vt:lpstr>NC_gapUSD_N_CRI</vt:lpstr>
      <vt:lpstr>NC_gapUSD_N_EDU</vt:lpstr>
      <vt:lpstr>NC_gapUSD_N_HOS</vt:lpstr>
      <vt:lpstr>NC_gapUSD_N_INC</vt:lpstr>
      <vt:lpstr>NC_gapUSD_N_PRP</vt:lpstr>
      <vt:lpstr>NC_gapUSD_N_RET</vt:lpstr>
      <vt:lpstr>NC_gapUSD_N_SAV</vt:lpstr>
      <vt:lpstr>NC_gapUSD_N_TPD</vt:lpstr>
      <vt:lpstr>NC_have_N_CRI</vt:lpstr>
      <vt:lpstr>NC_have_N_EDU</vt:lpstr>
      <vt:lpstr>NC_have_N_HOS</vt:lpstr>
      <vt:lpstr>NC_have_N_INC</vt:lpstr>
      <vt:lpstr>NC_have_N_PRP</vt:lpstr>
      <vt:lpstr>NC_have_N_RET</vt:lpstr>
      <vt:lpstr>NC_have_N_SAV</vt:lpstr>
      <vt:lpstr>NC_have_N_TPD</vt:lpstr>
      <vt:lpstr>NC_on_N_CRI</vt:lpstr>
      <vt:lpstr>NC_on_N_EDU</vt:lpstr>
      <vt:lpstr>NC_on_N_HOS</vt:lpstr>
      <vt:lpstr>NC_on_N_INC</vt:lpstr>
      <vt:lpstr>NC_on_N_PRP</vt:lpstr>
      <vt:lpstr>NC_on_N_RET</vt:lpstr>
      <vt:lpstr>NC_on_N_SAV</vt:lpstr>
      <vt:lpstr>NC_on_N_TPD</vt:lpstr>
      <vt:lpstr>NC_yearsInRet</vt:lpstr>
      <vt:lpstr>NC_yearsToRet</vt:lpstr>
      <vt:lpstr>NP_grow2</vt:lpstr>
      <vt:lpstr>NP_on_N_CRI</vt:lpstr>
      <vt:lpstr>NP_on_N_EDU</vt:lpstr>
      <vt:lpstr>NP_on_N_HOS</vt:lpstr>
      <vt:lpstr>NP_on_N_INC</vt:lpstr>
      <vt:lpstr>NP_on_N_PRP</vt:lpstr>
      <vt:lpstr>NP_on_N_RET</vt:lpstr>
      <vt:lpstr>NP_on_N_SAV</vt:lpstr>
      <vt:lpstr>NP_on_N_TPD</vt:lpstr>
      <vt:lpstr>NP_priority_N_CRI</vt:lpstr>
      <vt:lpstr>NP_priority_N_EDU</vt:lpstr>
      <vt:lpstr>NP_priority_N_HOS</vt:lpstr>
      <vt:lpstr>NP_priority_N_INC</vt:lpstr>
      <vt:lpstr>NP_priority_N_PRP</vt:lpstr>
      <vt:lpstr>NP_priority_N_RET</vt:lpstr>
      <vt:lpstr>NP_priority_N_SAV</vt:lpstr>
      <vt:lpstr>NP_priority_N_TPD</vt:lpstr>
      <vt:lpstr>NP_prot1</vt:lpstr>
      <vt:lpstr>NP_prot2</vt:lpstr>
      <vt:lpstr>OW_CEILING</vt:lpstr>
      <vt:lpstr>PersonaIDs</vt:lpstr>
      <vt:lpstr>placeholderNeedBudget</vt:lpstr>
      <vt:lpstr>PLAN_included_N_CRI</vt:lpstr>
      <vt:lpstr>PLAN_included_N_EDU</vt:lpstr>
      <vt:lpstr>PLAN_included_N_HOS</vt:lpstr>
      <vt:lpstr>PLAN_included_N_INC</vt:lpstr>
      <vt:lpstr>PLAN_included_N_PRP</vt:lpstr>
      <vt:lpstr>PLAN_included_N_RET</vt:lpstr>
      <vt:lpstr>PLAN_included_N_SAV</vt:lpstr>
      <vt:lpstr>PLAN_included_N_TPD</vt:lpstr>
      <vt:lpstr>PLAN_investLump</vt:lpstr>
      <vt:lpstr>PLAN_investMth</vt:lpstr>
      <vt:lpstr>PLAN_lump_N_EDU</vt:lpstr>
      <vt:lpstr>PLAN_lump_N_PRP</vt:lpstr>
      <vt:lpstr>PLAN_lump_N_RET</vt:lpstr>
      <vt:lpstr>PLAN_lump_N_SAV</vt:lpstr>
      <vt:lpstr>PLAN_mth_N_EDU</vt:lpstr>
      <vt:lpstr>PLAN_mth_N_PRP</vt:lpstr>
      <vt:lpstr>PLAN_mth_N_RET</vt:lpstr>
      <vt:lpstr>PLAN_mth_N_SAV</vt:lpstr>
      <vt:lpstr>PLAN_nWealth</vt:lpstr>
      <vt:lpstr>PLAN_prem_N_CRI</vt:lpstr>
      <vt:lpstr>PLAN_prem_N_HOS</vt:lpstr>
      <vt:lpstr>PLAN_prem_N_INC</vt:lpstr>
      <vt:lpstr>PLAN_prem_N_TPD</vt:lpstr>
      <vt:lpstr>PLAN_protPremYr</vt:lpstr>
      <vt:lpstr>PLAN_sug_N_CRI</vt:lpstr>
      <vt:lpstr>PLAN_sug_N_EDU</vt:lpstr>
      <vt:lpstr>PLAN_sug_N_HOS</vt:lpstr>
      <vt:lpstr>PLAN_sug_N_INC</vt:lpstr>
      <vt:lpstr>PLAN_sug_N_PRP</vt:lpstr>
      <vt:lpstr>PLAN_sug_N_RET</vt:lpstr>
      <vt:lpstr>PLAN_sug_N_SAV</vt:lpstr>
      <vt:lpstr>PLAN_sug_N_TPD</vt:lpstr>
      <vt:lpstr>PLAN_sum_N_CRI</vt:lpstr>
      <vt:lpstr>PLAN_sum_N_HOS</vt:lpstr>
      <vt:lpstr>PLAN_sum_N_INC</vt:lpstr>
      <vt:lpstr>PLAN_sum_N_TPD</vt:lpstr>
      <vt:lpstr>PLAN_wealthShare</vt:lpstr>
      <vt:lpstr>PLU_age</vt:lpstr>
      <vt:lpstr>PLU_cash</vt:lpstr>
      <vt:lpstr>PLU_currency</vt:lpstr>
      <vt:lpstr>PLU_dependents</vt:lpstr>
      <vt:lpstr>PLU_expenseMonthly</vt:lpstr>
      <vt:lpstr>PLU_incomeMonthly</vt:lpstr>
      <vt:lpstr>PLU_investments</vt:lpstr>
      <vt:lpstr>PLU_leUsed</vt:lpstr>
      <vt:lpstr>PLU_liabilities</vt:lpstr>
      <vt:lpstr>PLU_lifePrem</vt:lpstr>
      <vt:lpstr>PLU_lifeSum</vt:lpstr>
      <vt:lpstr>PLU_marital</vt:lpstr>
      <vt:lpstr>PLU_mortgage</vt:lpstr>
      <vt:lpstr>PLU_ownsProperty</vt:lpstr>
      <vt:lpstr>PLU_property</vt:lpstr>
      <vt:lpstr>PLU_surplus</vt:lpstr>
      <vt:lpstr>PLU_takeHome</vt:lpstr>
      <vt:lpstr>priceLevelOn</vt:lpstr>
      <vt:lpstr>ProfilerWeights</vt:lpstr>
      <vt:lpstr>PROPERTY_LTV</vt:lpstr>
      <vt:lpstr>propertyHigh</vt:lpstr>
      <vt:lpstr>propertyIncomeHigh</vt:lpstr>
      <vt:lpstr>propertyIncomeLow</vt:lpstr>
      <vt:lpstr>propertyLow</vt:lpstr>
      <vt:lpstr>propertyMid</vt:lpstr>
      <vt:lpstr>protectionPremiumRate</vt:lpstr>
      <vt:lpstr>prpIncomeMultiple</vt:lpstr>
      <vt:lpstr>PW_1</vt:lpstr>
      <vt:lpstr>PW_10</vt:lpstr>
      <vt:lpstr>PW_11</vt:lpstr>
      <vt:lpstr>PW_12</vt:lpstr>
      <vt:lpstr>PW_13</vt:lpstr>
      <vt:lpstr>PW_14</vt:lpstr>
      <vt:lpstr>PW_15</vt:lpstr>
      <vt:lpstr>PW_2</vt:lpstr>
      <vt:lpstr>PW_3</vt:lpstr>
      <vt:lpstr>PW_4</vt:lpstr>
      <vt:lpstr>PW_5</vt:lpstr>
      <vt:lpstr>PW_6</vt:lpstr>
      <vt:lpstr>PW_7</vt:lpstr>
      <vt:lpstr>PW_8</vt:lpstr>
      <vt:lpstr>PW_9</vt:lpstr>
      <vt:lpstr>realReturn</vt:lpstr>
      <vt:lpstr>savIncomeMultiple</vt:lpstr>
      <vt:lpstr>SelectedPersona</vt:lpstr>
      <vt:lpstr>spendShareBase</vt:lpstr>
      <vt:lpstr>spendShareCap</vt:lpstr>
      <vt:lpstr>spendSharePerDependant</vt:lpstr>
      <vt:lpstr>SV_age</vt:lpstr>
      <vt:lpstr>SV_asp</vt:lpstr>
      <vt:lpstr>SV_brs</vt:lpstr>
      <vt:lpstr>SV_brsGrowth</vt:lpstr>
      <vt:lpstr>SV_brsIdx</vt:lpstr>
      <vt:lpstr>SV_brsTbl</vt:lpstr>
      <vt:lpstr>SV_cash</vt:lpstr>
      <vt:lpstr>SV_ccyF</vt:lpstr>
      <vt:lpstr>SV_ccyOn</vt:lpstr>
      <vt:lpstr>SV_ccyV</vt:lpstr>
      <vt:lpstr>SV_ccyY</vt:lpstr>
      <vt:lpstr>SV_ccyYr</vt:lpstr>
      <vt:lpstr>SV_contrib</vt:lpstr>
      <vt:lpstr>SV_cpfEmp</vt:lpstr>
      <vt:lpstr>SV_cpfLower</vt:lpstr>
      <vt:lpstr>SV_cpfMA</vt:lpstr>
      <vt:lpstr>SV_cpfOA</vt:lpstr>
      <vt:lpstr>SV_cpfOn</vt:lpstr>
      <vt:lpstr>SV_cpfSA</vt:lpstr>
      <vt:lpstr>SV_cpfTot</vt:lpstr>
      <vt:lpstr>SV_crashF</vt:lpstr>
      <vt:lpstr>SV_crashOn</vt:lpstr>
      <vt:lpstr>SV_crashV</vt:lpstr>
      <vt:lpstr>SV_crashY</vt:lpstr>
      <vt:lpstr>SV_crashYr</vt:lpstr>
      <vt:lpstr>SV_deferBonus</vt:lpstr>
      <vt:lpstr>SV_dtr</vt:lpstr>
      <vt:lpstr>SV_effNeg</vt:lpstr>
      <vt:lpstr>SV_effStop</vt:lpstr>
      <vt:lpstr>SV_exp0</vt:lpstr>
      <vt:lpstr>SV_expE</vt:lpstr>
      <vt:lpstr>SV_expense</vt:lpstr>
      <vt:lpstr>SV_expFrom</vt:lpstr>
      <vt:lpstr>SV_expImp</vt:lpstr>
      <vt:lpstr>SV_expOn</vt:lpstr>
      <vt:lpstr>SV_expS</vt:lpstr>
      <vt:lpstr>SV_expTo</vt:lpstr>
      <vt:lpstr>SV_expV</vt:lpstr>
      <vt:lpstr>SV_fxShare</vt:lpstr>
      <vt:lpstr>SV_goalLump</vt:lpstr>
      <vt:lpstr>SV_goalMth</vt:lpstr>
      <vt:lpstr>SV_goalPay</vt:lpstr>
      <vt:lpstr>SV_incE</vt:lpstr>
      <vt:lpstr>SV_incFrom</vt:lpstr>
      <vt:lpstr>SV_incImp</vt:lpstr>
      <vt:lpstr>SV_income</vt:lpstr>
      <vt:lpstr>SV_incOn</vt:lpstr>
      <vt:lpstr>SV_incS</vt:lpstr>
      <vt:lpstr>SV_incTo</vt:lpstr>
      <vt:lpstr>SV_incV</vt:lpstr>
      <vt:lpstr>SV_inflE</vt:lpstr>
      <vt:lpstr>SV_inflFrom</vt:lpstr>
      <vt:lpstr>SV_inflOn</vt:lpstr>
      <vt:lpstr>SV_inflRate</vt:lpstr>
      <vt:lpstr>SV_inflS</vt:lpstr>
      <vt:lpstr>SV_inflTo</vt:lpstr>
      <vt:lpstr>SV_inflV</vt:lpstr>
      <vt:lpstr>SV_inst</vt:lpstr>
      <vt:lpstr>SV_investments</vt:lpstr>
      <vt:lpstr>SV_L</vt:lpstr>
      <vt:lpstr>SV_L0</vt:lpstr>
      <vt:lpstr>SV_LE</vt:lpstr>
      <vt:lpstr>SV_lifeGrowth</vt:lpstr>
      <vt:lpstr>SV_lifePrem</vt:lpstr>
      <vt:lpstr>SV_lifePremYr</vt:lpstr>
      <vt:lpstr>SV_lifeSum</vt:lpstr>
      <vt:lpstr>SV_loanYears</vt:lpstr>
      <vt:lpstr>SV_maCap</vt:lpstr>
      <vt:lpstr>SV_mortgage</vt:lpstr>
      <vt:lpstr>SV_mortP</vt:lpstr>
      <vt:lpstr>SV_mult</vt:lpstr>
      <vt:lpstr>SV_n1</vt:lpstr>
      <vt:lpstr>SV_oaRate</vt:lpstr>
      <vt:lpstr>SV_owCap</vt:lpstr>
      <vt:lpstr>SV_pay</vt:lpstr>
      <vt:lpstr>SV_payTbl</vt:lpstr>
      <vt:lpstr>SV_pIdx</vt:lpstr>
      <vt:lpstr>SV_property</vt:lpstr>
      <vt:lpstr>SV_propPremium</vt:lpstr>
      <vt:lpstr>SV_propRate</vt:lpstr>
      <vt:lpstr>SV_protPay</vt:lpstr>
      <vt:lpstr>SV_protPrem</vt:lpstr>
      <vt:lpstr>SV_R0</vt:lpstr>
      <vt:lpstr>SV_raS</vt:lpstr>
      <vt:lpstr>SV_residency</vt:lpstr>
      <vt:lpstr>SV_ret</vt:lpstr>
      <vt:lpstr>SV_retLump</vt:lpstr>
      <vt:lpstr>SV_retMth</vt:lpstr>
      <vt:lpstr>SV_retPay</vt:lpstr>
      <vt:lpstr>SV_sal0</vt:lpstr>
      <vt:lpstr>SV_salCut</vt:lpstr>
      <vt:lpstr>SV_saRate</vt:lpstr>
      <vt:lpstr>SV_savRate</vt:lpstr>
      <vt:lpstr>SV_seedLife</vt:lpstr>
      <vt:lpstr>SV_seedRA</vt:lpstr>
      <vt:lpstr>SV_sIdx</vt:lpstr>
      <vt:lpstr>SV_sp</vt:lpstr>
      <vt:lpstr>SV_spOutPost</vt:lpstr>
      <vt:lpstr>SV_spOutPre</vt:lpstr>
      <vt:lpstr>SV_stop</vt:lpstr>
      <vt:lpstr>SV_T</vt:lpstr>
      <vt:lpstr>SV_takeHome</vt:lpstr>
      <vt:lpstr>SV_wd</vt:lpstr>
      <vt:lpstr>SV_wdAmt</vt:lpstr>
      <vt:lpstr>SV_wdYear</vt:lpstr>
      <vt:lpstr>SV_wPost65</vt:lpstr>
      <vt:lpstr>SV_wPost85</vt:lpstr>
      <vt:lpstr>SV_wPostEnd</vt:lpstr>
      <vt:lpstr>SV_wPre65</vt:lpstr>
      <vt:lpstr>SV_wPre85</vt:lpstr>
      <vt:lpstr>SV_wPreEnd</vt:lpstr>
      <vt:lpstr>SV_Y_cash</vt:lpstr>
      <vt:lpstr>SV_Y_cpf</vt:lpstr>
      <vt:lpstr>SV_Y_home</vt:lpstr>
      <vt:lpstr>SV_Y_insCf</vt:lpstr>
      <vt:lpstr>SV_Y_inv</vt:lpstr>
      <vt:lpstr>SV_Y_loan</vt:lpstr>
      <vt:lpstr>SV_Y_pot</vt:lpstr>
      <vt:lpstr>SV_Y_sal</vt:lpstr>
      <vt:lpstr>SV_Y_savPost</vt:lpstr>
      <vt:lpstr>SV_Y_savPre</vt:lpstr>
      <vt:lpstr>SV_Y_spend</vt:lpstr>
      <vt:lpstr>SV_Y_spPost</vt:lpstr>
      <vt:lpstr>SV_Y_spPre</vt:lpstr>
      <vt:lpstr>SV_Y_wPost</vt:lpstr>
      <vt:lpstr>SV_Y_wPre</vt:lpstr>
      <vt:lpstr>systemCurrency</vt:lpstr>
      <vt:lpstr>TPD_COST</vt:lpstr>
      <vt:lpstr>TPD_YEARS</vt:lpstr>
      <vt:lpstr>UsdRules</vt:lpstr>
      <vt:lpstr>workStartAge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Gerber</cp:lastModifiedBy>
  <dcterms:created xsi:type="dcterms:W3CDTF">2026-09-25T19:13:18Z</dcterms:created>
  <dcterms:modified xsi:type="dcterms:W3CDTF">2026-09-25T21:25:19Z</dcterms:modified>
</cp:coreProperties>
</file>