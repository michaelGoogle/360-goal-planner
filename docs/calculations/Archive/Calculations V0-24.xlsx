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PP_BASE_COUNTRY">Assumptions!$B$78</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TARGET_AGE">Assumptions!$B$40</definedName>
    <definedName name="SAV_TARGET_AGE">Assumptions!$B$18</definedName>
    <definedName name="PRP_TARGET_AGE">Assumptions!$B$19</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MIN_EXPENSE_MONTHLY">Assumptions!$B$79</definedName>
    <definedName name="IncomeBands">Assumptions!$J$6:$L$13</definedName>
    <definedName name="R_DEA_SIZE">Assumptions!$L$21</definedName>
    <definedName name="R_DEA_WHEN">Assumptions!$N$21</definedName>
    <definedName name="R_CRI_SIZE">Assumptions!$L$22</definedName>
    <definedName name="R_CRI_WHEN">Assumptions!$N$22</definedName>
    <definedName name="R_TPD_SIZE">Assumptions!$L$23</definedName>
    <definedName name="R_TPD_WHEN">Assumptions!$N$23</definedName>
    <definedName name="R_PAC_SIZE">Assumptions!$L$24</definedName>
    <definedName name="R_PAC_WHEN">Assumptions!$N$24</definedName>
    <definedName name="R_HOS_SIZE">Assumptions!$L$25</definedName>
    <definedName name="R_HOS_WHEN">Assumptions!$N$25</definedName>
    <definedName name="R_LTC_SIZE">Assumptions!$L$26</definedName>
    <definedName name="R_LTC_WHEN">Assumptions!$N$26</definedName>
    <definedName name="R_WED_SIZE">Assumptions!$L$27</definedName>
    <definedName name="R_WED_WHEN">Assumptions!$N$27</definedName>
    <definedName name="R_BAB_SIZE">Assumptions!$L$28</definedName>
    <definedName name="R_BAB_WHEN">Assumptions!$N$28</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Calculator'!$B$71</definedName>
    <definedName name="NC_eduYears">'Need Calculator'!$B$73</definedName>
    <definedName name="NC_yearsInRet">'Need Calculator'!$B$72</definedName>
    <definedName name="NC_savYears">'Need Calculator'!$B$74</definedName>
    <definedName name="NC_prpYears">'Need Calculator'!$B$75</definedName>
    <definedName name="NC_lonYearsInRet">'Need Calculator'!$B$93</definedName>
    <definedName name="NC_lonAmount_N_RET">'Need Calculator'!$B$95</definedName>
    <definedName name="NC_lonGap_N_RET">'Need Calculator'!$B$96</definedName>
    <definedName name="NC_lonExtra_N_RET">'Need Calculator'!$B$97</definedName>
    <definedName name="NC_careYears">'Need Calculator'!$B$76</definedName>
    <definedName name="NC_ltcStartAge">'Need Calculator'!$B$28</definedName>
    <definedName name="NC_lonAmount_N_LTC">'Need Calculator'!$B$99</definedName>
    <definedName name="NC_amount_N_INC">'Need Calculator'!$B$80</definedName>
    <definedName name="NC_have_N_INC">'Need Calculator'!$C$80</definedName>
    <definedName name="NC_gap_N_INC">'Need Calculator'!$D$80</definedName>
    <definedName name="NC_on_N_INC">'Need Calculator'!$F$80</definedName>
    <definedName name="NC_amountUSD_N_INC">'Need Calculator'!$H$80</definedName>
    <definedName name="NC_gapUSD_N_INC">'Need Calculator'!$J$80</definedName>
    <definedName name="NC_amount_N_CRI">'Need Calculator'!$B$81</definedName>
    <definedName name="NC_have_N_CRI">'Need Calculator'!$C$81</definedName>
    <definedName name="NC_gap_N_CRI">'Need Calculator'!$D$81</definedName>
    <definedName name="NC_on_N_CRI">'Need Calculator'!$F$81</definedName>
    <definedName name="NC_amountUSD_N_CRI">'Need Calculator'!$H$81</definedName>
    <definedName name="NC_gapUSD_N_CRI">'Need Calculator'!$J$81</definedName>
    <definedName name="NC_amount_N_TPD">'Need Calculator'!$B$82</definedName>
    <definedName name="NC_have_N_TPD">'Need Calculator'!$C$82</definedName>
    <definedName name="NC_gap_N_TPD">'Need Calculator'!$D$82</definedName>
    <definedName name="NC_on_N_TPD">'Need Calculator'!$F$82</definedName>
    <definedName name="NC_amountUSD_N_TPD">'Need Calculator'!$H$82</definedName>
    <definedName name="NC_gapUSD_N_TPD">'Need Calculator'!$J$82</definedName>
    <definedName name="NC_amount_N_HOS">'Need Calculator'!$B$83</definedName>
    <definedName name="NC_have_N_HOS">'Need Calculator'!$C$83</definedName>
    <definedName name="NC_gap_N_HOS">'Need Calculator'!$D$83</definedName>
    <definedName name="NC_on_N_HOS">'Need Calculator'!$F$83</definedName>
    <definedName name="NC_amountUSD_N_HOS">'Need Calculator'!$H$83</definedName>
    <definedName name="NC_gapUSD_N_HOS">'Need Calculator'!$J$83</definedName>
    <definedName name="NC_amount_N_PAC">'Need Calculator'!$B$84</definedName>
    <definedName name="NC_have_N_PAC">'Need Calculator'!$C$84</definedName>
    <definedName name="NC_gap_N_PAC">'Need Calculator'!$D$84</definedName>
    <definedName name="NC_on_N_PAC">'Need Calculator'!$F$84</definedName>
    <definedName name="NC_amountUSD_N_PAC">'Need Calculator'!$H$84</definedName>
    <definedName name="NC_gapUSD_N_PAC">'Need Calculator'!$J$84</definedName>
    <definedName name="NC_amount_N_LTC">'Need Calculator'!$B$85</definedName>
    <definedName name="NC_have_N_LTC">'Need Calculator'!$C$85</definedName>
    <definedName name="NC_gap_N_LTC">'Need Calculator'!$D$85</definedName>
    <definedName name="NC_on_N_LTC">'Need Calculator'!$F$85</definedName>
    <definedName name="NC_amountUSD_N_LTC">'Need Calculator'!$H$85</definedName>
    <definedName name="NC_gapUSD_N_LTC">'Need Calculator'!$J$85</definedName>
    <definedName name="NC_amount_N_RET">'Need Calculator'!$B$86</definedName>
    <definedName name="NC_have_N_RET">'Need Calculator'!$C$86</definedName>
    <definedName name="NC_gap_N_RET">'Need Calculator'!$D$86</definedName>
    <definedName name="NC_on_N_RET">'Need Calculator'!$F$86</definedName>
    <definedName name="NC_amountUSD_N_RET">'Need Calculator'!$H$86</definedName>
    <definedName name="NC_gapUSD_N_RET">'Need Calculator'!$J$86</definedName>
    <definedName name="NC_amount_N_EDU">'Need Calculator'!$B$87</definedName>
    <definedName name="NC_have_N_EDU">'Need Calculator'!$C$87</definedName>
    <definedName name="NC_gap_N_EDU">'Need Calculator'!$D$87</definedName>
    <definedName name="NC_on_N_EDU">'Need Calculator'!$F$87</definedName>
    <definedName name="NC_amountUSD_N_EDU">'Need Calculator'!$H$87</definedName>
    <definedName name="NC_gapUSD_N_EDU">'Need Calculator'!$J$87</definedName>
    <definedName name="NC_amount_N_SAV">'Need Calculator'!$B$88</definedName>
    <definedName name="NC_have_N_SAV">'Need Calculator'!$C$88</definedName>
    <definedName name="NC_gap_N_SAV">'Need Calculator'!$D$88</definedName>
    <definedName name="NC_on_N_SAV">'Need Calculator'!$F$88</definedName>
    <definedName name="NC_amountUSD_N_SAV">'Need Calculator'!$H$88</definedName>
    <definedName name="NC_gapUSD_N_SAV">'Need Calculator'!$J$88</definedName>
    <definedName name="NC_amount_N_PRP">'Need Calculator'!$B$89</definedName>
    <definedName name="NC_have_N_PRP">'Need Calculator'!$C$89</definedName>
    <definedName name="NC_gap_N_PRP">'Need Calculator'!$D$89</definedName>
    <definedName name="NC_on_N_PRP">'Need Calculator'!$F$89</definedName>
    <definedName name="NC_amountUSD_N_PRP">'Need Calculator'!$H$89</definedName>
    <definedName name="NC_gapUSD_N_PRP">'Need Calculator'!$J$89</definedName>
    <definedName name="PLAN_nWealth">'Plan Calculator'!$B$50</definedName>
    <definedName name="PLAN_protPremYr">'Plan Calculator'!$B$63</definedName>
    <definedName name="PLAN_wealthShare">'Plan Calculator'!$B$64</definedName>
    <definedName name="PLAN_investMth">'Plan Calculator'!$B$91</definedName>
    <definedName name="PLAN_investLump">'Plan Calculator'!$B$92</definedName>
    <definedName name="PLAN_prem_N_INC">'Plan Calculator'!$B$52</definedName>
    <definedName name="PLAN_prem_N_CRI">'Plan Calculator'!$B$54</definedName>
    <definedName name="PLAN_prem_N_TPD">'Plan Calculator'!$B$56</definedName>
    <definedName name="PLAN_prem_N_HOS">'Plan Calculator'!$B$58</definedName>
    <definedName name="PLAN_prem_N_PAC">'Plan Calculator'!$B$60</definedName>
    <definedName name="PLAN_prem_N_LTC">'Plan Calculator'!$B$62</definedName>
    <definedName name="PLAN_included_N_INC">'Plan Calculator'!$D$80</definedName>
    <definedName name="PLAN_sug_N_INC">'Plan Calculator'!$B$80</definedName>
    <definedName name="PLAN_included_N_CRI">'Plan Calculator'!$D$81</definedName>
    <definedName name="PLAN_sug_N_CRI">'Plan Calculator'!$B$81</definedName>
    <definedName name="PLAN_included_N_TPD">'Plan Calculator'!$D$82</definedName>
    <definedName name="PLAN_sug_N_TPD">'Plan Calculator'!$B$82</definedName>
    <definedName name="PLAN_included_N_HOS">'Plan Calculator'!$D$83</definedName>
    <definedName name="PLAN_sug_N_HOS">'Plan Calculator'!$B$83</definedName>
    <definedName name="PLAN_included_N_PAC">'Plan Calculator'!$D$84</definedName>
    <definedName name="PLAN_sug_N_PAC">'Plan Calculator'!$B$84</definedName>
    <definedName name="PLAN_included_N_LTC">'Plan Calculator'!$D$85</definedName>
    <definedName name="PLAN_sug_N_LTC">'Plan Calculator'!$B$85</definedName>
    <definedName name="PLAN_included_N_RET">'Plan Calculator'!$D$86</definedName>
    <definedName name="PLAN_sug_N_RET">'Plan Calculator'!$B$86</definedName>
    <definedName name="PLAN_included_N_EDU">'Plan Calculator'!$D$87</definedName>
    <definedName name="PLAN_sug_N_EDU">'Plan Calculator'!$B$87</definedName>
    <definedName name="PLAN_included_N_SAV">'Plan Calculator'!$D$88</definedName>
    <definedName name="PLAN_sug_N_SAV">'Plan Calculator'!$B$88</definedName>
    <definedName name="PLAN_included_N_PRP">'Plan Calculator'!$D$89</definedName>
    <definedName name="PLAN_sug_N_PRP">'Plan Calculator'!$B$89</definedName>
    <definedName name="PLAN_sum_N_INC">'Plan Calculator'!$B$51</definedName>
    <definedName name="PLAN_sum_N_CRI">'Plan Calculator'!$B$53</definedName>
    <definedName name="PLAN_sum_N_TPD">'Plan Calculator'!$B$55</definedName>
    <definedName name="PLAN_sum_N_HOS">'Plan Calculator'!$B$57</definedName>
    <definedName name="PLAN_sum_N_PAC">'Plan Calculator'!$B$59</definedName>
    <definedName name="PLAN_sum_N_LTC">'Plan Calculator'!$B$61</definedName>
    <definedName name="PLAN_mth_N_RET">'Plan Calculator'!$B$66</definedName>
    <definedName name="PLAN_lump_N_RET">'Plan Calculator'!$B$67</definedName>
    <definedName name="PLAN_mth_N_EDU">'Plan Calculator'!$B$69</definedName>
    <definedName name="PLAN_lump_N_EDU">'Plan Calculator'!$B$70</definedName>
    <definedName name="PLAN_mth_N_SAV">'Plan Calculator'!$B$72</definedName>
    <definedName name="PLAN_lump_N_SAV">'Plan Calculator'!$B$73</definedName>
    <definedName name="PLAN_mth_N_PRP">'Plan Calculator'!$B$75</definedName>
    <definedName name="PLAN_lump_N_PRP">'Plan Calculator'!$B$76</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EDUYear">'Scenario Visualizer'!$B$44</definedName>
    <definedName name="SV_wdEDUAmt">'Scenario Visualizer'!$B$45</definedName>
    <definedName name="SV_wdSAVYear">'Scenario Visualizer'!$B$46</definedName>
    <definedName name="SV_wdSAVAmt">'Scenario Visualizer'!$B$47</definedName>
    <definedName name="SV_wdPRPYear">'Scenario Visualizer'!$B$48</definedName>
    <definedName name="SV_wdPRPAmt">'Scenario Visualizer'!$B$49</definedName>
    <definedName name="SV_retMth">'Scenario Visualizer'!$B$50</definedName>
    <definedName name="SV_retLump">'Scenario Visualizer'!$B$51</definedName>
    <definedName name="SV_retPay">'Scenario Visualizer'!$B$52</definedName>
    <definedName name="SV_EDUMth">'Scenario Visualizer'!$B$53</definedName>
    <definedName name="SV_EDULump">'Scenario Visualizer'!$B$54</definedName>
    <definedName name="SV_EDUPay">'Scenario Visualizer'!$B$55</definedName>
    <definedName name="SV_SAVMth">'Scenario Visualizer'!$B$56</definedName>
    <definedName name="SV_SAVLump">'Scenario Visualizer'!$B$57</definedName>
    <definedName name="SV_SAVPay">'Scenario Visualizer'!$B$58</definedName>
    <definedName name="SV_PRPMth">'Scenario Visualizer'!$B$59</definedName>
    <definedName name="SV_PRPLump">'Scenario Visualizer'!$B$60</definedName>
    <definedName name="SV_PRPPay">'Scenario Visualizer'!$B$61</definedName>
    <definedName name="SV_protPrem">'Scenario Visualizer'!$B$62</definedName>
    <definedName name="SV_protPay">'Scenario Visualizer'!$B$63</definedName>
    <definedName name="SV_crashY">'Scenario Visualizer'!$B$66</definedName>
    <definedName name="SV_crashV">'Scenario Visualizer'!$B$67</definedName>
    <definedName name="SV_ccyY">'Scenario Visualizer'!$B$68</definedName>
    <definedName name="SV_ccyV">'Scenario Visualizer'!$B$69</definedName>
    <definedName name="SV_inflFrom">'Scenario Visualizer'!$B$70</definedName>
    <definedName name="SV_inflTo">'Scenario Visualizer'!$B$71</definedName>
    <definedName name="SV_inflV">'Scenario Visualizer'!$B$72</definedName>
    <definedName name="SV_incFrom">'Scenario Visualizer'!$B$73</definedName>
    <definedName name="SV_incTo">'Scenario Visualizer'!$B$74</definedName>
    <definedName name="SV_incV">'Scenario Visualizer'!$B$75</definedName>
    <definedName name="SV_expFrom">'Scenario Visualizer'!$B$76</definedName>
    <definedName name="SV_expTo">'Scenario Visualizer'!$B$77</definedName>
    <definedName name="SV_expV">'Scenario Visualizer'!$B$78</definedName>
    <definedName name="SV_crashOn">'Scenario Visualizer'!$B$79</definedName>
    <definedName name="SV_crashYr">'Scenario Visualizer'!$B$80</definedName>
    <definedName name="SV_crashF">'Scenario Visualizer'!$B$81</definedName>
    <definedName name="SV_ccyOn">'Scenario Visualizer'!$B$82</definedName>
    <definedName name="SV_ccyYr">'Scenario Visualizer'!$B$83</definedName>
    <definedName name="SV_ccyF">'Scenario Visualizer'!$B$84</definedName>
    <definedName name="SV_inflOn">'Scenario Visualizer'!$B$85</definedName>
    <definedName name="SV_inflS">'Scenario Visualizer'!$B$86</definedName>
    <definedName name="SV_inflE">'Scenario Visualizer'!$B$87</definedName>
    <definedName name="SV_incOn">'Scenario Visualizer'!$B$88</definedName>
    <definedName name="SV_incS">'Scenario Visualizer'!$B$89</definedName>
    <definedName name="SV_incE">'Scenario Visualizer'!$B$90</definedName>
    <definedName name="SV_expOn">'Scenario Visualizer'!$B$91</definedName>
    <definedName name="SV_expS">'Scenario Visualizer'!$B$92</definedName>
    <definedName name="SV_expE">'Scenario Visualizer'!$B$93</definedName>
    <definedName name="SV_inflRate">'Scenario Visualizer'!$B$94</definedName>
    <definedName name="SV_incImp">'Scenario Visualizer'!$B$95</definedName>
    <definedName name="SV_expImp">'Scenario Visualizer'!$B$96</definedName>
    <definedName name="SV_lonV">'Scenario Visualizer'!$B$97</definedName>
    <definedName name="SV_lonOn">'Scenario Visualizer'!$B$98</definedName>
    <definedName name="SV_end">'Scenario Visualizer'!$B$99</definedName>
    <definedName name="SV_deaV">'Scenario Visualizer'!$B$100</definedName>
    <definedName name="SV_deaOn">'Scenario Visualizer'!$B$101</definedName>
    <definedName name="SV_deaM">'Scenario Visualizer'!$B$102</definedName>
    <definedName name="SV_deaAmt">'Scenario Visualizer'!$B$103</definedName>
    <definedName name="SV_criV">'Scenario Visualizer'!$B$104</definedName>
    <definedName name="SV_criOn">'Scenario Visualizer'!$B$105</definedName>
    <definedName name="SV_criM">'Scenario Visualizer'!$B$106</definedName>
    <definedName name="SV_criAmt">'Scenario Visualizer'!$B$107</definedName>
    <definedName name="SV_tpdV">'Scenario Visualizer'!$B$108</definedName>
    <definedName name="SV_tpdOn">'Scenario Visualizer'!$B$109</definedName>
    <definedName name="SV_tpdM">'Scenario Visualizer'!$B$110</definedName>
    <definedName name="SV_tpdAmt">'Scenario Visualizer'!$B$111</definedName>
    <definedName name="SV_pacV">'Scenario Visualizer'!$B$112</definedName>
    <definedName name="SV_pacOn">'Scenario Visualizer'!$B$113</definedName>
    <definedName name="SV_pacM">'Scenario Visualizer'!$B$114</definedName>
    <definedName name="SV_pacAmt">'Scenario Visualizer'!$B$115</definedName>
    <definedName name="SV_hosV">'Scenario Visualizer'!$B$116</definedName>
    <definedName name="SV_hosOn">'Scenario Visualizer'!$B$117</definedName>
    <definedName name="SV_hosM">'Scenario Visualizer'!$B$118</definedName>
    <definedName name="SV_hosAmt">'Scenario Visualizer'!$B$119</definedName>
    <definedName name="SV_ltcV">'Scenario Visualizer'!$B$120</definedName>
    <definedName name="SV_ltcOn">'Scenario Visualizer'!$B$121</definedName>
    <definedName name="SV_ltcM">'Scenario Visualizer'!$B$122</definedName>
    <definedName name="SV_ltcE">'Scenario Visualizer'!$B$123</definedName>
    <definedName name="SV_ltcAmt">'Scenario Visualizer'!$B$124</definedName>
    <definedName name="SV_wedV">'Scenario Visualizer'!$B$125</definedName>
    <definedName name="SV_wedOn">'Scenario Visualizer'!$B$126</definedName>
    <definedName name="SV_wedM">'Scenario Visualizer'!$B$127</definedName>
    <definedName name="SV_wedAmt">'Scenario Visualizer'!$B$128</definedName>
    <definedName name="SV_babV">'Scenario Visualizer'!$B$129</definedName>
    <definedName name="SV_babOn">'Scenario Visualizer'!$B$130</definedName>
    <definedName name="SV_babM">'Scenario Visualizer'!$B$131</definedName>
    <definedName name="SV_babAmt">'Scenario Visualizer'!$B$132</definedName>
    <definedName name="SV_cpfOn">'Scenario Visualizer'!$B$135</definedName>
    <definedName name="SV_asp">'Scenario Visualizer'!$B$136</definedName>
    <definedName name="SV_stop">'Scenario Visualizer'!$B$137</definedName>
    <definedName name="SV_sp">'Scenario Visualizer'!$B$138</definedName>
    <definedName name="SV_effStop">'Scenario Visualizer'!$B$139</definedName>
    <definedName name="SV_effNeg">'Scenario Visualizer'!$B$140</definedName>
    <definedName name="SV_sIdx">'Scenario Visualizer'!$B$141</definedName>
    <definedName name="SV_pIdx">'Scenario Visualizer'!$B$142</definedName>
    <definedName name="SV_brsIdx">'Scenario Visualizer'!$B$143</definedName>
    <definedName name="SV_brs">'Scenario Visualizer'!$B$144</definedName>
    <definedName name="SV_raS">'Scenario Visualizer'!$B$145</definedName>
    <definedName name="SV_mult">'Scenario Visualizer'!$B$146</definedName>
    <definedName name="SV_wd">'Scenario Visualizer'!$B$147</definedName>
    <definedName name="SV_pay">'Scenario Visualizer'!$B$148</definedName>
    <definedName name="SV_L0">'Scenario Visualizer'!$B$149</definedName>
    <definedName name="SV_R0">'Scenario Visualizer'!$B$150</definedName>
    <definedName name="SV_n1">'Scenario Visualizer'!$B$151</definedName>
    <definedName name="SV_seedLife">'Scenario Visualizer'!$B$152</definedName>
    <definedName name="SV_seedRA">'Scenario Visualizer'!$B$153</definedName>
    <definedName name="SV_wPre65">'Scenario Visualizer'!$B$156</definedName>
    <definedName name="SV_wPre85">'Scenario Visualizer'!$B$157</definedName>
    <definedName name="SV_wPost65">'Scenario Visualizer'!$B$158</definedName>
    <definedName name="SV_wPost85">'Scenario Visualizer'!$B$159</definedName>
    <definedName name="SV_wPreEnd">'Scenario Visualizer'!$B$160</definedName>
    <definedName name="SV_wPostEnd">'Scenario Visualizer'!$B$161</definedName>
    <definedName name="SV_spPostEnd">'Scenario Visualizer'!$B$162</definedName>
    <definedName name="SV_spOutPre">'Scenario Visualizer'!$B$163</definedName>
    <definedName name="SV_spOutPost">'Scenario Visualizer'!$B$164</definedName>
    <definedName name="SV_Y_wPre">'Scenario Visualizer'!$AH$172:$AH$254</definedName>
    <definedName name="SV_Y_wPost">'Scenario Visualizer'!$AR$172:$AR$254</definedName>
    <definedName name="SV_Y_spPre">'Scenario Visualizer'!$AI$172:$AI$254</definedName>
    <definedName name="SV_Y_spPost">'Scenario Visualizer'!$AS$172:$AS$254</definedName>
    <definedName name="SV_Y_cpf">'Scenario Visualizer'!$AD$172:$AD$254</definedName>
    <definedName name="SV_Y_savPre">'Scenario Visualizer'!$AG$172:$AG$254</definedName>
    <definedName name="SV_Y_savPost">'Scenario Visualizer'!$AQ$172:$AQ$254</definedName>
    <definedName name="SV_Y_sal">'Scenario Visualizer'!$H$172:$H$254</definedName>
    <definedName name="SV_Y_spend">'Scenario Visualizer'!$I$172:$I$254</definedName>
    <definedName name="SV_Y_evt">'Scenario Visualizer'!$J$172:$J$254</definedName>
    <definedName name="SV_Y_cash">'Scenario Visualizer'!$O$172:$O$254</definedName>
    <definedName name="SV_Y_inv">'Scenario Visualizer'!$P$172:$P$254</definedName>
    <definedName name="SV_Y_home">'Scenario Visualizer'!$Q$172:$Q$254</definedName>
    <definedName name="SV_Y_loan">'Scenario Visualizer'!$AF$172:$AF$254</definedName>
    <definedName name="SV_Y_pot">'Scenario Visualizer'!$AO$172:$AO$254</definedName>
    <definedName name="SV_Y_insCf">'Scenario Visualizer'!$AP$172:$AP$254</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EDUOn">HappiU!$B$50</definedName>
    <definedName name="HU_wdEDUYear">HappiU!$B$51</definedName>
    <definedName name="HU_wdEDUAmt">HappiU!$B$52</definedName>
    <definedName name="HU_wdSAVOn">HappiU!$B$53</definedName>
    <definedName name="HU_wdSAVYear">HappiU!$B$54</definedName>
    <definedName name="HU_wdSAVAmt">HappiU!$B$55</definedName>
    <definedName name="HU_wdPRPOn">HappiU!$B$56</definedName>
    <definedName name="HU_wdPRPYear">HappiU!$B$57</definedName>
    <definedName name="HU_wdPRPAmt">HappiU!$B$58</definedName>
    <definedName name="HU_nGoals">HappiU!$B$61</definedName>
    <definedName name="HU_nCons">HappiU!$B$62</definedName>
    <definedName name="HU_sig">HappiU!$B$63</definedName>
    <definedName name="HU_preRaw">HappiU!$B$64</definedName>
    <definedName name="HU_postRaw">HappiU!$B$65</definedName>
    <definedName name="HU_preHappiU">HappiU!$B$66</definedName>
    <definedName name="HU_postHappiU">HappiU!$B$67</definedName>
    <definedName name="HU_Y_W">'HappiU'!$AD$73:$AD$155</definedName>
    <definedName name="HU_Y_Cw">'HappiU'!$AE$73:$AE$155</definedName>
    <definedName name="HU_Y_sav">'HappiU'!$AB$73:$AB$155</definedName>
    <definedName name="HU_Y_S">'HappiU'!$I$73:$I$155</definedName>
    <definedName name="HU_Y_pos">'HappiU'!$X$73:$X$155</definedName>
    <definedName name="HU_Y_spend">'HappiU'!$Y$73:$Y$155</definedName>
    <definedName name="FxTable">FX!$I$6:$J$157</definedName>
    <definedName name="CountryPPP">FX!$N$6:$U$250</definedName>
    <definedName name="FX_lumpStep">FX!$B$37</definedName>
    <definedName name="FX_monthlyStep">FX!$B$38</definedName>
    <definedName name="FX_coverPremStep">FX!$B$39</definedName>
    <definedName name="FX_lifeRound">FX!$B$40</definedName>
    <definedName name="FX_benefitRound">FX!$B$41</definedName>
    <definedName name="FX_priceLevel">FX!$B$23</definedName>
    <definedName name="FX_pppUsdPerLocal">FX!$B$24</definedName>
    <definedName name="FX_usdPerLocal">FX!$B$16</definedName>
    <definedName name="FX_incomeMonthly">FX!$B$27</definedName>
    <definedName name="FX_expenseMonthly">FX!$B$28</definedName>
    <definedName name="FX_cash">FX!$B$29</definedName>
    <definedName name="FX_investments">FX!$B$30</definedName>
    <definedName name="FX_property">FX!$B$31</definedName>
    <definedName name="FX_mortgage">FX!$B$32</definedName>
    <definedName name="FX_liabilities">FX!$B$33</definedName>
    <definedName name="FX_lifeSum">FX!$B$34</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9">
    <numFmt numFmtId="164" formatCode="0.0%"/>
    <numFmt numFmtId="165" formatCode="0.000"/>
    <numFmt numFmtId="166" formatCode="0.0000%"/>
    <numFmt numFmtId="167" formatCode="0.000000"/>
    <numFmt numFmtId="168" formatCode="0.0000"/>
    <numFmt numFmtId="169" formatCode="0.0"/>
    <numFmt numFmtId="170" formatCode="#,##0.##"/>
    <numFmt numFmtId="171" formatCode="0.000000000"/>
    <numFmt numFmtId="172" formatCode="#,##0.00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D7E6F5"/>
      </patternFill>
    </fill>
    <fill>
      <patternFill patternType="solid">
        <fgColor rgb="00D3F0E2"/>
      </patternFill>
    </fill>
    <fill>
      <patternFill patternType="solid">
        <fgColor rgb="00F8D0D0"/>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FFE0C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10" borderId="1" applyAlignment="1" pivotButton="0" quotePrefix="0" xfId="0">
      <alignment vertical="center" wrapText="1"/>
    </xf>
    <xf numFmtId="0" fontId="4" fillId="8" borderId="1" applyAlignment="1" pivotButton="0" quotePrefix="0" xfId="0">
      <alignment vertical="center" wrapText="1"/>
    </xf>
    <xf numFmtId="0" fontId="5" fillId="11"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1" borderId="1" applyAlignment="1" pivotButton="0" quotePrefix="0" xfId="0">
      <alignment vertical="center" wrapText="1"/>
    </xf>
    <xf numFmtId="0" fontId="2" fillId="2" borderId="1" applyAlignment="1" pivotButton="0" quotePrefix="0" xfId="0">
      <alignment vertical="center" wrapText="1"/>
    </xf>
    <xf numFmtId="0" fontId="5" fillId="9"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2" borderId="1" applyAlignment="1" pivotButton="0" quotePrefix="0" xfId="0">
      <alignment vertical="center" wrapText="1"/>
    </xf>
    <xf numFmtId="4" fontId="4" fillId="6" borderId="1" applyAlignment="1" pivotButton="0" quotePrefix="0" xfId="0">
      <alignment horizontal="center" vertical="center" wrapText="1"/>
    </xf>
    <xf numFmtId="0" fontId="4" fillId="6" borderId="1" applyAlignment="1" pivotButton="0" quotePrefix="0" xfId="0">
      <alignment horizontal="center" vertical="center" wrapText="1"/>
    </xf>
    <xf numFmtId="1" fontId="4" fillId="6" borderId="1" applyAlignment="1" pivotButton="0" quotePrefix="0" xfId="0">
      <alignment horizontal="center" vertical="center" wrapText="1"/>
    </xf>
    <xf numFmtId="0" fontId="5" fillId="14" borderId="1" applyAlignment="1" pivotButton="0" quotePrefix="0" xfId="0">
      <alignment vertical="center" wrapText="1"/>
    </xf>
    <xf numFmtId="0" fontId="4" fillId="7" borderId="1" applyAlignment="1" pivotButton="0" quotePrefix="0" xfId="0">
      <alignment horizontal="center" vertical="center" wrapText="1"/>
    </xf>
    <xf numFmtId="4"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3" fontId="4" fillId="6" borderId="1" applyAlignment="1" pivotButton="0" quotePrefix="0" xfId="0">
      <alignment horizontal="center" vertical="center" wrapText="1"/>
    </xf>
    <xf numFmtId="4" fontId="4" fillId="15" borderId="1" applyAlignment="1" pivotButton="0" quotePrefix="0" xfId="0">
      <alignment horizontal="center" vertical="center" wrapText="1"/>
    </xf>
    <xf numFmtId="3" fontId="4" fillId="15"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9" borderId="1" applyAlignment="1" pivotButton="0" quotePrefix="0" xfId="0">
      <alignment vertical="center" wrapText="1"/>
    </xf>
    <xf numFmtId="3" fontId="4" fillId="10" borderId="1" applyAlignment="1" pivotButton="0" quotePrefix="0" xfId="0">
      <alignment horizontal="center" vertical="center" wrapText="1"/>
    </xf>
    <xf numFmtId="164" fontId="4" fillId="10" borderId="1" applyAlignment="1" pivotButton="0" quotePrefix="0" xfId="0">
      <alignment horizontal="center" vertical="center" wrapText="1"/>
    </xf>
    <xf numFmtId="0" fontId="5" fillId="13" borderId="1" applyAlignment="1" pivotButton="0" quotePrefix="0" xfId="0">
      <alignment vertical="center" wrapText="1"/>
    </xf>
    <xf numFmtId="0" fontId="4" fillId="15" borderId="1" applyAlignment="1" pivotButton="0" quotePrefix="0" xfId="0">
      <alignment horizontal="center" vertical="center" wrapText="1"/>
    </xf>
    <xf numFmtId="164" fontId="4" fillId="7" borderId="1" applyAlignment="1" pivotButton="0" quotePrefix="0" xfId="0">
      <alignment horizontal="center" vertical="center" wrapText="1"/>
    </xf>
    <xf numFmtId="1"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1" fontId="4" fillId="7"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10" borderId="1" applyAlignment="1" pivotButton="0" quotePrefix="0" xfId="0">
      <alignment horizontal="center" vertical="center" wrapText="1"/>
    </xf>
    <xf numFmtId="2" fontId="4" fillId="7" borderId="1" applyAlignment="1" pivotButton="0" quotePrefix="0" xfId="0">
      <alignment horizontal="center" vertical="center" wrapText="1"/>
    </xf>
    <xf numFmtId="169" fontId="4" fillId="7"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5" borderId="1" applyAlignment="1" pivotButton="0" quotePrefix="0" xfId="0">
      <alignment horizontal="center" vertical="center" wrapText="1"/>
    </xf>
    <xf numFmtId="2" fontId="4" fillId="10" borderId="1" applyAlignment="1" pivotButton="0" quotePrefix="0" xfId="0">
      <alignment horizontal="center" vertical="center" wrapText="1"/>
    </xf>
    <xf numFmtId="170" fontId="4" fillId="10" borderId="1" applyAlignment="1" pivotButton="0" quotePrefix="0" xfId="0">
      <alignment horizontal="center" vertical="center" wrapText="1"/>
    </xf>
    <xf numFmtId="168" fontId="4" fillId="10" borderId="1" applyAlignment="1" pivotButton="0" quotePrefix="0" xfId="0">
      <alignment horizontal="center" vertical="center" wrapText="1"/>
    </xf>
    <xf numFmtId="10" fontId="4" fillId="7" borderId="1" applyAlignment="1" pivotButton="0" quotePrefix="0" xfId="0">
      <alignment horizontal="center" vertical="center" wrapText="1"/>
    </xf>
    <xf numFmtId="9" fontId="4" fillId="15" borderId="1" applyAlignment="1" pivotButton="0" quotePrefix="0" xfId="0">
      <alignment horizontal="center" vertical="center" wrapText="1"/>
    </xf>
    <xf numFmtId="164" fontId="4" fillId="15" borderId="1" applyAlignment="1" pivotButton="0" quotePrefix="0" xfId="0">
      <alignment horizontal="center" vertical="center" wrapText="1"/>
    </xf>
    <xf numFmtId="168" fontId="4" fillId="7"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10" borderId="1" applyAlignment="1" pivotButton="0" quotePrefix="0" xfId="0">
      <alignment horizontal="center" vertical="center" wrapText="1"/>
    </xf>
    <xf numFmtId="167" fontId="4" fillId="7" borderId="1" applyAlignment="1" pivotButton="0" quotePrefix="0" xfId="0">
      <alignment horizontal="center" vertical="center" wrapText="1"/>
    </xf>
    <xf numFmtId="171" fontId="4" fillId="4" borderId="1" applyAlignment="1" pivotButton="0" quotePrefix="0" xfId="0">
      <alignment horizontal="center" vertical="center" wrapText="1"/>
    </xf>
    <xf numFmtId="172"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168" fontId="4" fillId="4" borderId="1" applyAlignment="1" pivotButton="0" quotePrefix="0" xfId="0">
      <alignment horizontal="center" vertical="center" wrapText="1"/>
    </xf>
    <xf numFmtId="168" fontId="4" fillId="0" borderId="1" applyAlignment="1" pivotButton="0" quotePrefix="0" xfId="0">
      <alignment horizontal="center" vertical="center" wrapText="1"/>
    </xf>
    <xf numFmtId="171"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0" fontId="2" fillId="0" borderId="1" applyAlignment="1" pivotButton="0" quotePrefix="0" xfId="0">
      <alignment vertical="center" wrapText="1"/>
    </xf>
    <xf numFmtId="3"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10" fontId="4" fillId="4" borderId="1" applyAlignment="1" pivotButton="0" quotePrefix="0" xfId="0">
      <alignment horizontal="center" vertical="center" wrapText="1"/>
    </xf>
    <xf numFmtId="0" fontId="2" fillId="4" borderId="1" applyAlignment="1" pivotButton="0" quotePrefix="0" xfId="0">
      <alignment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9" borderId="1" applyAlignment="1" pivotButton="0" quotePrefix="0" xfId="0">
      <alignment vertical="center" wrapText="1"/>
    </xf>
    <xf numFmtId="165" fontId="4" fillId="10"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7"/>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EDU_TARGET_AGE (50)</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 SAV_TARGET_AGE (40)</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 PRP_TARGET_AGE (33)</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EDU_TARGET_AGE</t>
        </is>
      </c>
      <c r="B59" s="4" t="inlineStr">
        <is>
          <t>eduYearsDefault (+10 years)</t>
        </is>
      </c>
      <c r="C59" s="4" t="inlineStr">
        <is>
          <t>N_EDU</t>
        </is>
      </c>
    </row>
    <row r="60">
      <c r="A60" s="4" t="inlineStr">
        <is>
          <t>SAV_TARGET_AGE</t>
        </is>
      </c>
      <c r="B60" s="4" t="inlineStr">
        <is>
          <t>(new; was +10 years)</t>
        </is>
      </c>
      <c r="C60" s="4" t="inlineStr">
        <is>
          <t>N_SAV</t>
        </is>
      </c>
    </row>
    <row r="61">
      <c r="A61" s="4" t="inlineStr">
        <is>
          <t>PRP_TARGET_AGE</t>
        </is>
      </c>
      <c r="B61" s="4" t="inlineStr">
        <is>
          <t>(new; was +10 years)</t>
        </is>
      </c>
      <c r="C61" s="4" t="inlineStr">
        <is>
          <t>N_PRP</t>
        </is>
      </c>
    </row>
    <row r="62">
      <c r="A62" s="4" t="inlineStr">
        <is>
          <t>SAV_INCOME_MULT</t>
        </is>
      </c>
      <c r="B62" s="4" t="inlineStr">
        <is>
          <t>savIncomeMultiple</t>
        </is>
      </c>
      <c r="C62" s="4" t="inlineStr">
        <is>
          <t>N_SAV</t>
        </is>
      </c>
    </row>
    <row r="63">
      <c r="A63" s="4" t="inlineStr">
        <is>
          <t>PRP_INCOME_MULT</t>
        </is>
      </c>
      <c r="B63" s="4" t="inlineStr">
        <is>
          <t>prpIncomeMultiple</t>
        </is>
      </c>
      <c r="C63" s="4" t="inlineStr">
        <is>
          <t>N_PRP</t>
        </is>
      </c>
    </row>
    <row r="64">
      <c r="A64" s="4" t="inlineStr">
        <is>
          <t>(merged into CRI_COST)</t>
        </is>
      </c>
      <c r="B64" s="4" t="inlineStr">
        <is>
          <t>criMedicalPlaceholder / CRI_MEDICAL_HU</t>
        </is>
      </c>
      <c r="C64" s="4" t="inlineStr">
        <is>
          <t>N_CRI (HappiU payload)</t>
        </is>
      </c>
    </row>
    <row r="65">
      <c r="A65" s="4" t="inlineStr">
        <is>
          <t>MIN_EXPENSE_MONTHLY</t>
        </is>
      </c>
      <c r="B65" s="4" t="inlineStr">
        <is>
          <t>MIN_EXPENSE_MONTHLY (SGD 100)</t>
        </is>
      </c>
      <c r="C65" s="4" t="inlineStr">
        <is>
          <t>all (spend floor, USD 100)</t>
        </is>
      </c>
    </row>
    <row r="66">
      <c r="A66" s="4" t="inlineStr">
        <is>
          <t>R_xxx_SIZE / R_xxx_WHEN</t>
        </is>
      </c>
      <c r="B66" s="4" t="inlineStr">
        <is>
          <t>stress-event text table</t>
        </is>
      </c>
      <c r="C66" s="4" t="inlineStr">
        <is>
          <t>R_DEA, R_CRI, R_TPD, R_PAC, R_HOS, R_LTC, R_WED, R_BAB</t>
        </is>
      </c>
    </row>
    <row r="67">
      <c r="A67" s="4" t="inlineStr">
        <is>
          <t>(removed)</t>
        </is>
      </c>
      <c r="B67" s="4" t="inlineStr">
        <is>
          <t>funeralLump</t>
        </is>
      </c>
      <c r="C67"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inlineStr"/>
      <c r="X3" s="32" t="inlineStr"/>
      <c r="Y3" s="32" t="inlineStr"/>
      <c r="Z3" s="32" t="inlineStr"/>
      <c r="AA3" s="32" t="inlineStr"/>
      <c r="AB3" s="32" t="inlineStr"/>
      <c r="AC3" s="32" t="inlineStr"/>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inlineStr"/>
      <c r="X4" s="32" t="inlineStr"/>
      <c r="Y4" s="32" t="inlineStr"/>
      <c r="Z4" s="32" t="inlineStr"/>
      <c r="AA4" s="32" t="inlineStr"/>
      <c r="AB4" s="32" t="inlineStr"/>
      <c r="AC4" s="32" t="inlineStr"/>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inlineStr"/>
      <c r="X5" s="32" t="inlineStr"/>
      <c r="Y5" s="32" t="inlineStr"/>
      <c r="Z5" s="32" t="inlineStr"/>
      <c r="AA5" s="32" t="inlineStr"/>
      <c r="AB5" s="32" t="inlineStr"/>
      <c r="AC5" s="32" t="inlineStr"/>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inlineStr"/>
      <c r="X6" s="32" t="inlineStr"/>
      <c r="Y6" s="32" t="inlineStr"/>
      <c r="Z6" s="32" t="inlineStr"/>
      <c r="AA6" s="32" t="inlineStr"/>
      <c r="AB6" s="32" t="inlineStr"/>
      <c r="AC6" s="32" t="inlineStr"/>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inlineStr"/>
      <c r="X7" s="32" t="inlineStr"/>
      <c r="Y7" s="32" t="inlineStr"/>
      <c r="Z7" s="32" t="inlineStr"/>
      <c r="AA7" s="32" t="inlineStr"/>
      <c r="AB7" s="32" t="inlineStr"/>
      <c r="AC7" s="32" t="inlineStr"/>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inlineStr"/>
      <c r="X8" s="32" t="inlineStr"/>
      <c r="Y8" s="32" t="inlineStr"/>
      <c r="Z8" s="32" t="inlineStr"/>
      <c r="AA8" s="32" t="inlineStr"/>
      <c r="AB8" s="32" t="inlineStr"/>
      <c r="AC8" s="32" t="inlineStr"/>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inlineStr"/>
      <c r="X9" s="32" t="inlineStr"/>
      <c r="Y9" s="32" t="inlineStr"/>
      <c r="Z9" s="32" t="inlineStr"/>
      <c r="AA9" s="32" t="inlineStr"/>
      <c r="AB9" s="32" t="inlineStr"/>
      <c r="AC9" s="32" t="inlineStr"/>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inlineStr"/>
      <c r="X10" s="32" t="inlineStr"/>
      <c r="Y10" s="32" t="inlineStr"/>
      <c r="Z10" s="32" t="inlineStr"/>
      <c r="AA10" s="32" t="inlineStr"/>
      <c r="AB10" s="32" t="inlineStr"/>
      <c r="AC10" s="32" t="inlineStr"/>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inlineStr"/>
      <c r="X11" s="32" t="inlineStr"/>
      <c r="Y11" s="32" t="inlineStr"/>
      <c r="Z11" s="32" t="inlineStr"/>
      <c r="AA11" s="32" t="inlineStr"/>
      <c r="AB11" s="32" t="inlineStr"/>
      <c r="AC11" s="32" t="inlineStr"/>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inlineStr"/>
      <c r="X12" s="32" t="inlineStr"/>
      <c r="Y12" s="32" t="inlineStr"/>
      <c r="Z12" s="32" t="inlineStr"/>
      <c r="AA12" s="32" t="inlineStr"/>
      <c r="AB12" s="32" t="inlineStr"/>
      <c r="AC12" s="32" t="inlineStr"/>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inlineStr"/>
      <c r="X13" s="32" t="inlineStr"/>
      <c r="Y13" s="32" t="inlineStr"/>
      <c r="Z13" s="32" t="inlineStr"/>
      <c r="AA13" s="32" t="inlineStr"/>
      <c r="AB13" s="32" t="inlineStr"/>
      <c r="AC13" s="32" t="inlineStr"/>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inlineStr"/>
      <c r="X14" s="32" t="inlineStr"/>
      <c r="Y14" s="32" t="inlineStr"/>
      <c r="Z14" s="32" t="inlineStr"/>
      <c r="AA14" s="32" t="inlineStr"/>
      <c r="AB14" s="32" t="inlineStr"/>
      <c r="AC14" s="32" t="inlineStr"/>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inlineStr"/>
      <c r="X15" s="32" t="inlineStr"/>
      <c r="Y15" s="32" t="inlineStr"/>
      <c r="Z15" s="32" t="inlineStr"/>
      <c r="AA15" s="32" t="inlineStr"/>
      <c r="AB15" s="32" t="inlineStr"/>
      <c r="AC15" s="32" t="inlineStr"/>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inlineStr"/>
      <c r="X16" s="32" t="inlineStr"/>
      <c r="Y16" s="32" t="inlineStr"/>
      <c r="Z16" s="32" t="inlineStr"/>
      <c r="AA16" s="32" t="inlineStr"/>
      <c r="AB16" s="32" t="inlineStr"/>
      <c r="AC16" s="32" t="inlineStr"/>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inlineStr"/>
      <c r="X17" s="32" t="inlineStr"/>
      <c r="Y17" s="32" t="inlineStr"/>
      <c r="Z17" s="32" t="inlineStr"/>
      <c r="AA17" s="32" t="inlineStr"/>
      <c r="AB17" s="32" t="inlineStr"/>
      <c r="AC17" s="32" t="inlineStr"/>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inlineStr"/>
      <c r="X18" s="32" t="inlineStr"/>
      <c r="Y18" s="32" t="inlineStr"/>
      <c r="Z18" s="32" t="inlineStr"/>
      <c r="AA18" s="32" t="inlineStr"/>
      <c r="AB18" s="32" t="inlineStr"/>
      <c r="AC18" s="32" t="inlineStr"/>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inlineStr"/>
      <c r="X19" s="32" t="inlineStr"/>
      <c r="Y19" s="32" t="inlineStr"/>
      <c r="Z19" s="32" t="inlineStr"/>
      <c r="AA19" s="32" t="inlineStr"/>
      <c r="AB19" s="32" t="inlineStr"/>
      <c r="AC19" s="32" t="inlineStr"/>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inlineStr"/>
      <c r="X20" s="32" t="inlineStr"/>
      <c r="Y20" s="32" t="inlineStr"/>
      <c r="Z20" s="32" t="inlineStr"/>
      <c r="AA20" s="32" t="inlineStr"/>
      <c r="AB20" s="32" t="inlineStr"/>
      <c r="AC20" s="32" t="inlineStr"/>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inlineStr"/>
      <c r="X21" s="32" t="inlineStr"/>
      <c r="Y21" s="32" t="inlineStr"/>
      <c r="Z21" s="32" t="inlineStr"/>
      <c r="AA21" s="32" t="inlineStr"/>
      <c r="AB21" s="32" t="inlineStr"/>
      <c r="AC21" s="32" t="inlineStr"/>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inlineStr"/>
      <c r="X22" s="32" t="inlineStr"/>
      <c r="Y22" s="32" t="inlineStr"/>
      <c r="Z22" s="32" t="inlineStr"/>
      <c r="AA22" s="32" t="inlineStr"/>
      <c r="AB22" s="32" t="inlineStr"/>
      <c r="AC22" s="32" t="inlineStr"/>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inlineStr"/>
      <c r="X23" s="32" t="inlineStr"/>
      <c r="Y23" s="32" t="inlineStr"/>
      <c r="Z23" s="32" t="inlineStr"/>
      <c r="AA23" s="32" t="inlineStr"/>
      <c r="AB23" s="32" t="inlineStr"/>
      <c r="AC23" s="32" t="inlineStr"/>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inlineStr"/>
      <c r="X24" s="32" t="inlineStr"/>
      <c r="Y24" s="32" t="inlineStr"/>
      <c r="Z24" s="32" t="inlineStr"/>
      <c r="AA24" s="32" t="inlineStr"/>
      <c r="AB24" s="32" t="inlineStr"/>
      <c r="AC24" s="32" t="inlineStr"/>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inlineStr"/>
      <c r="X25" s="32" t="inlineStr"/>
      <c r="Y25" s="32" t="inlineStr"/>
      <c r="Z25" s="32" t="inlineStr"/>
      <c r="AA25" s="32" t="inlineStr"/>
      <c r="AB25" s="32" t="inlineStr"/>
      <c r="AC25" s="32" t="inlineStr"/>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inlineStr"/>
      <c r="X26" s="32" t="inlineStr"/>
      <c r="Y26" s="32" t="inlineStr"/>
      <c r="Z26" s="32" t="inlineStr"/>
      <c r="AA26" s="32" t="inlineStr"/>
      <c r="AB26" s="32" t="inlineStr"/>
      <c r="AC26" s="32" t="inlineStr"/>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inlineStr"/>
      <c r="X27" s="32" t="inlineStr"/>
      <c r="Y27" s="32" t="inlineStr"/>
      <c r="Z27" s="32" t="inlineStr"/>
      <c r="AA27" s="32" t="inlineStr"/>
      <c r="AB27" s="32" t="inlineStr"/>
      <c r="AC27" s="32" t="inlineStr"/>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inlineStr"/>
      <c r="X28" s="32" t="inlineStr"/>
      <c r="Y28" s="32" t="inlineStr"/>
      <c r="Z28" s="32" t="inlineStr"/>
      <c r="AA28" s="32" t="inlineStr"/>
      <c r="AB28" s="32" t="inlineStr"/>
      <c r="AC28" s="32" t="inlineStr"/>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inlineStr"/>
      <c r="X29" s="32" t="inlineStr"/>
      <c r="Y29" s="32" t="inlineStr"/>
      <c r="Z29" s="32" t="inlineStr"/>
      <c r="AA29" s="32" t="inlineStr"/>
      <c r="AB29" s="32" t="inlineStr"/>
      <c r="AC29" s="32" t="inlineStr"/>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inlineStr"/>
      <c r="X30" s="32" t="inlineStr"/>
      <c r="Y30" s="32" t="inlineStr"/>
      <c r="Z30" s="32" t="inlineStr"/>
      <c r="AA30" s="32" t="inlineStr"/>
      <c r="AB30" s="32" t="inlineStr"/>
      <c r="AC30" s="32" t="inlineStr"/>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inlineStr"/>
      <c r="X31" s="32" t="inlineStr"/>
      <c r="Y31" s="32" t="inlineStr"/>
      <c r="Z31" s="32" t="inlineStr"/>
      <c r="AA31" s="32" t="inlineStr"/>
      <c r="AB31" s="32" t="inlineStr"/>
      <c r="AC31" s="32" t="inlineStr"/>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inlineStr"/>
      <c r="X32" s="32" t="inlineStr"/>
      <c r="Y32" s="32" t="inlineStr"/>
      <c r="Z32" s="32" t="inlineStr"/>
      <c r="AA32" s="32" t="inlineStr"/>
      <c r="AB32" s="32" t="inlineStr"/>
      <c r="AC32" s="32" t="inlineStr"/>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inlineStr"/>
      <c r="X33" s="32" t="inlineStr"/>
      <c r="Y33" s="32" t="inlineStr"/>
      <c r="Z33" s="32" t="inlineStr"/>
      <c r="AA33" s="32" t="inlineStr"/>
      <c r="AB33" s="32" t="inlineStr"/>
      <c r="AC33" s="32" t="inlineStr"/>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inlineStr"/>
      <c r="X34" s="32" t="inlineStr"/>
      <c r="Y34" s="32" t="inlineStr"/>
      <c r="Z34" s="32" t="inlineStr"/>
      <c r="AA34" s="32" t="inlineStr"/>
      <c r="AB34" s="32" t="inlineStr"/>
      <c r="AC34" s="32" t="inlineStr"/>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inlineStr"/>
      <c r="X35" s="32" t="inlineStr"/>
      <c r="Y35" s="32" t="inlineStr"/>
      <c r="Z35" s="32" t="inlineStr"/>
      <c r="AA35" s="32" t="inlineStr"/>
      <c r="AB35" s="32" t="inlineStr"/>
      <c r="AC35" s="32" t="inlineStr"/>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inlineStr"/>
      <c r="X36" s="32" t="inlineStr"/>
      <c r="Y36" s="32" t="inlineStr"/>
      <c r="Z36" s="32" t="inlineStr"/>
      <c r="AA36" s="32" t="inlineStr"/>
      <c r="AB36" s="32" t="inlineStr"/>
      <c r="AC36" s="32" t="inlineStr"/>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inlineStr"/>
      <c r="X37" s="32" t="inlineStr"/>
      <c r="Y37" s="32" t="inlineStr"/>
      <c r="Z37" s="32" t="inlineStr"/>
      <c r="AA37" s="32" t="inlineStr"/>
      <c r="AB37" s="32" t="inlineStr"/>
      <c r="AC37" s="32" t="inlineStr"/>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inlineStr"/>
      <c r="X38" s="32" t="inlineStr"/>
      <c r="Y38" s="32" t="inlineStr"/>
      <c r="Z38" s="32" t="inlineStr"/>
      <c r="AA38" s="32" t="inlineStr"/>
      <c r="AB38" s="32" t="inlineStr"/>
      <c r="AC38" s="32" t="inlineStr"/>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inlineStr"/>
      <c r="X39" s="32" t="inlineStr"/>
      <c r="Y39" s="32" t="inlineStr"/>
      <c r="Z39" s="32" t="inlineStr"/>
      <c r="AA39" s="32" t="inlineStr"/>
      <c r="AB39" s="32" t="inlineStr"/>
      <c r="AC39" s="32" t="inlineStr"/>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inlineStr"/>
      <c r="X40" s="32" t="inlineStr"/>
      <c r="Y40" s="32" t="inlineStr"/>
      <c r="Z40" s="32" t="inlineStr"/>
      <c r="AA40" s="32" t="inlineStr"/>
      <c r="AB40" s="32" t="inlineStr"/>
      <c r="AC40" s="32" t="inlineStr"/>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inlineStr"/>
      <c r="X41" s="32" t="inlineStr"/>
      <c r="Y41" s="32" t="inlineStr"/>
      <c r="Z41" s="32" t="inlineStr"/>
      <c r="AA41" s="32" t="inlineStr"/>
      <c r="AB41" s="32" t="inlineStr"/>
      <c r="AC41" s="32" t="inlineStr"/>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inlineStr"/>
      <c r="X42" s="32" t="inlineStr"/>
      <c r="Y42" s="32" t="inlineStr"/>
      <c r="Z42" s="32" t="inlineStr"/>
      <c r="AA42" s="32" t="inlineStr"/>
      <c r="AB42" s="32" t="inlineStr"/>
      <c r="AC42" s="32" t="inlineStr"/>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inlineStr"/>
      <c r="X43" s="32" t="inlineStr"/>
      <c r="Y43" s="32" t="inlineStr"/>
      <c r="Z43" s="32" t="inlineStr"/>
      <c r="AA43" s="32" t="inlineStr"/>
      <c r="AB43" s="32" t="inlineStr"/>
      <c r="AC43" s="32" t="inlineStr"/>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inlineStr"/>
      <c r="X44" s="32" t="inlineStr"/>
      <c r="Y44" s="32" t="inlineStr"/>
      <c r="Z44" s="32" t="inlineStr"/>
      <c r="AA44" s="32" t="inlineStr"/>
      <c r="AB44" s="32" t="inlineStr"/>
      <c r="AC44" s="32" t="inlineStr"/>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inlineStr"/>
      <c r="X45" s="32" t="inlineStr"/>
      <c r="Y45" s="32" t="inlineStr"/>
      <c r="Z45" s="32" t="inlineStr"/>
      <c r="AA45" s="32" t="inlineStr"/>
      <c r="AB45" s="32" t="inlineStr"/>
      <c r="AC45" s="32" t="inlineStr"/>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inlineStr"/>
      <c r="X46" s="32" t="inlineStr"/>
      <c r="Y46" s="32" t="inlineStr"/>
      <c r="Z46" s="32" t="inlineStr"/>
      <c r="AA46" s="32" t="inlineStr"/>
      <c r="AB46" s="32" t="inlineStr"/>
      <c r="AC46" s="32" t="inlineStr"/>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inlineStr"/>
      <c r="X47" s="32" t="inlineStr"/>
      <c r="Y47" s="32" t="inlineStr"/>
      <c r="Z47" s="32" t="inlineStr"/>
      <c r="AA47" s="32" t="inlineStr"/>
      <c r="AB47" s="32" t="inlineStr"/>
      <c r="AC47" s="32" t="inlineStr"/>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inlineStr"/>
      <c r="X48" s="32" t="inlineStr"/>
      <c r="Y48" s="32" t="inlineStr"/>
      <c r="Z48" s="32" t="inlineStr"/>
      <c r="AA48" s="32" t="inlineStr"/>
      <c r="AB48" s="32" t="inlineStr"/>
      <c r="AC48" s="32" t="inlineStr"/>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inlineStr"/>
      <c r="X49" s="32" t="inlineStr"/>
      <c r="Y49" s="32" t="inlineStr"/>
      <c r="Z49" s="32" t="inlineStr"/>
      <c r="AA49" s="32" t="inlineStr"/>
      <c r="AB49" s="32" t="inlineStr"/>
      <c r="AC49" s="32" t="inlineStr"/>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inlineStr"/>
      <c r="X50" s="32" t="inlineStr"/>
      <c r="Y50" s="32" t="inlineStr"/>
      <c r="Z50" s="32" t="inlineStr"/>
      <c r="AA50" s="32" t="inlineStr"/>
      <c r="AB50" s="32" t="inlineStr"/>
      <c r="AC50" s="32" t="inlineStr"/>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inlineStr"/>
      <c r="X51" s="32" t="inlineStr"/>
      <c r="Y51" s="32" t="inlineStr"/>
      <c r="Z51" s="32" t="inlineStr"/>
      <c r="AA51" s="32" t="inlineStr"/>
      <c r="AB51" s="32" t="inlineStr"/>
      <c r="AC51" s="32" t="inlineStr"/>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inlineStr"/>
      <c r="X52" s="32" t="inlineStr"/>
      <c r="Y52" s="32" t="inlineStr"/>
      <c r="Z52" s="32" t="inlineStr"/>
      <c r="AA52" s="32" t="inlineStr"/>
      <c r="AB52" s="32" t="inlineStr"/>
      <c r="AC52" s="32" t="inlineStr"/>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IFERROR(INDEX(Assumptions!$K$6:$K$13,MATCH(B9,Assumptions!$J$6:$J$13,0)),"")</f>
        <v/>
      </c>
      <c r="C39" s="27" t="inlineStr">
        <is>
          <t>C · calculated</t>
        </is>
      </c>
      <c r="D39" s="18" t="inlineStr">
        <is>
          <t>income_anchors.json Singapore min for occupation.</t>
        </is>
      </c>
    </row>
    <row r="40">
      <c r="A40" s="26" t="inlineStr">
        <is>
          <t>band max</t>
        </is>
      </c>
      <c r="B40" s="29">
        <f>IFERROR(INDEX(Assumptions!$L$6:$L$13,MATCH(B9,Assumptions!$J$6:$J$13,0)),"")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MIN(LON_AGE,IF(B17&gt;0,B17,lifeExpectancyDefault))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MAX(ROUND(MIN_EXPENSE_MONTHLY/FX_usdPerLocal,2),IF(IFERROR(INDEX(Personas!W$3:W$52,MATCH($B$2,Personas!$A$3:$A$52,0)),"")="",B47,IFERROR(INDEX(Personas!W$3:W$52,MATCH($B$2,Personas!$A$3:$A$52,0)),"")))</f>
        <v/>
      </c>
      <c r="C74" s="27" t="inlineStr">
        <is>
          <t>C · calculated</t>
        </is>
      </c>
      <c r="D74" s="18" t="inlineStr">
        <is>
          <t>Floor: MIN_EXPENSE_MONTHLY (USD 100) in user currency.</t>
        </is>
      </c>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PPP-USD per 1 local (market ÷ price level)</t>
        </is>
      </c>
      <c r="B25" s="48">
        <f>FX_pppUsdPerLocal</f>
        <v/>
      </c>
      <c r="C25" s="36" t="inlineStr">
        <is>
          <t>D · assumption / shared</t>
        </is>
      </c>
      <c r="D25" s="18" t="inlineStr">
        <is>
          <t>From the FX tab. Income / expense / assets / liabilities convert local × this rate (equals the market rate for the base country).</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IF(FX_usdPerLocal="","",PLU_incomeMonthly*FX_pppUsdPerLocal)</f>
        <v/>
      </c>
      <c r="C30" s="27" t="inlineStr">
        <is>
          <t>C · calculated</t>
        </is>
      </c>
      <c r="D30" s="18" t="inlineStr">
        <is>
          <t>local income × PPP-USD rate (market USD ÷ price level, V0-22). Singapore = market USD.</t>
        </is>
      </c>
    </row>
    <row r="31">
      <c r="A31" s="26" t="inlineStr">
        <is>
          <t>usd Expense</t>
        </is>
      </c>
      <c r="B31" s="49">
        <f>IF(FX_usdPerLocal="","",PLU_expenseMonthly*FX_pppUsdPerLocal)</f>
        <v/>
      </c>
      <c r="C31" s="27" t="inlineStr">
        <is>
          <t>C · calculated</t>
        </is>
      </c>
      <c r="D31" s="18" t="inlineStr">
        <is>
          <t>local expense × FX.</t>
        </is>
      </c>
    </row>
    <row r="32">
      <c r="A32" s="26" t="inlineStr">
        <is>
          <t>usd Assets</t>
        </is>
      </c>
      <c r="B32" s="49">
        <f>IF(FX_usdPerLocal="","",(PLU_cash+PLU_investments)*FX_pppUsdPerLocal)</f>
        <v/>
      </c>
      <c r="C32" s="27" t="inlineStr">
        <is>
          <t>C · calculated</t>
        </is>
      </c>
      <c r="D32" s="18" t="inlineStr">
        <is>
          <t>cash + investments × FX.</t>
        </is>
      </c>
    </row>
    <row r="33">
      <c r="A33" s="26" t="inlineStr">
        <is>
          <t>usd Liab</t>
        </is>
      </c>
      <c r="B33" s="49">
        <f>IF(FX_usdPerLocal="","",PLU_liabilities*FX_pppUsdPerLocal)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IF(OR(UPPER(B17)="A",UPPER(B17)="SINGLE"),3,IF(OR(UPPER(B17)="B",UPPER(B17)="DOUBLE",UPPER(B17)="WARD"),2,0))</f>
        <v/>
      </c>
      <c r="C46" s="27" t="inlineStr">
        <is>
          <t>C · calculated</t>
        </is>
      </c>
      <c r="D46" s="18" t="inlineStr">
        <is>
          <t>V0-24 map: Single → A (3); Double / Ward → B (2, shared room).</t>
        </is>
      </c>
    </row>
    <row r="47">
      <c r="A47" s="26" t="inlineStr">
        <is>
          <t>ow Lifestyle</t>
        </is>
      </c>
      <c r="B47" s="46">
        <f>IF(OR(LOWER(B18)="frugal",LOWER(B18)="basic"),1,IF(OR(LOWER(B18)="stress-free",LOWER(B18)="stress free",LOWER(B18)="comfortable"),2,IF(OR(LOWER(B18)="only the best",LOWER(B18)="luxurious"),4,0)))</f>
        <v/>
      </c>
      <c r="C47" s="27" t="inlineStr">
        <is>
          <t>C · calculated</t>
        </is>
      </c>
      <c r="D47" s="18" t="inlineStr">
        <is>
          <t>V0-24 map: Basic → frugal (1), Comfortable → stress-free (2), Luxurious → only the best (4).</t>
        </is>
      </c>
    </row>
    <row r="48">
      <c r="A48" s="26" t="inlineStr">
        <is>
          <t>ow Sports</t>
        </is>
      </c>
      <c r="B48" s="46">
        <f>IF(OR(ISNUMBER(SEARCH("adventur",B19)),ISNUMBER(SEARCH("diving",B19)),ISNUMBER(SEARCH("climb",B19)),ISNUMBER(SEARCH("ski",B19)),ISNUMBER(SEARCH("surf",B19)),ISNUMBER(SEARCH("martial",B19)),ISNUMBER(SEARCH("rugby",B19)),ISNUMBER(SEARCH("motor",B19)),ISNUMBER(SEARCH("extreme",B19)),ISNUMBER(SEARCH("parachut",B19)),ISNUMBER(SEARCH("boxing",B19))),4,IF(OR(TRIM(B19)="",ISNUMBER(SEARCH("dont",B19)),ISNUMBER(SEARCH("no sport",B19)),LOWER(TRIM(B19))="none"),0,1))</f>
        <v/>
      </c>
      <c r="C48" s="27" t="inlineStr">
        <is>
          <t>C · calculated</t>
        </is>
      </c>
      <c r="D48" s="18" t="inlineStr">
        <is>
          <t>V0-24 map: adventurous / high-risk sports → Adventurous (4); none → 0; any other sport (running, yoga, golf, …) → Life style (1).</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N_LTC</t>
        </is>
      </c>
      <c r="B99" s="27">
        <f>FALSE()</f>
        <v/>
      </c>
      <c r="C99" s="42" t="inlineStr"/>
      <c r="D99" s="27">
        <f>IF(C99="",B99,C99)</f>
        <v/>
      </c>
      <c r="E99" s="27" t="n">
        <v>3</v>
      </c>
      <c r="F99" s="50" t="inlineStr">
        <is>
          <t>no label</t>
        </is>
      </c>
    </row>
    <row r="100">
      <c r="A100" s="16" t="inlineStr">
        <is>
          <t>N_RET</t>
        </is>
      </c>
      <c r="B100" s="27">
        <f>TRUE()</f>
        <v/>
      </c>
      <c r="C100" s="42" t="inlineStr"/>
      <c r="D100" s="27">
        <f>IF(C100="",B100,C100)</f>
        <v/>
      </c>
      <c r="E100" s="27">
        <f>IF(B67&gt;7,5,3)</f>
        <v/>
      </c>
      <c r="F100" s="50">
        <f>B67</f>
        <v/>
      </c>
    </row>
    <row r="101">
      <c r="A101" s="16" t="inlineStr">
        <is>
          <t>N_EDU</t>
        </is>
      </c>
      <c r="B101" s="27">
        <f>$B$90="N_EDU"</f>
        <v/>
      </c>
      <c r="C101" s="42" t="inlineStr"/>
      <c r="D101" s="27">
        <f>IF(C101="",B101,C101)</f>
        <v/>
      </c>
      <c r="E101" s="27">
        <f>IF(B68&gt;7,5,3)</f>
        <v/>
      </c>
      <c r="F101" s="50">
        <f>B68</f>
        <v/>
      </c>
    </row>
    <row r="102">
      <c r="A102" s="16" t="inlineStr">
        <is>
          <t>N_SAV</t>
        </is>
      </c>
      <c r="B102" s="27">
        <f>$B$90="N_SAV"</f>
        <v/>
      </c>
      <c r="C102" s="42" t="inlineStr"/>
      <c r="D102" s="27">
        <f>IF(C102="",B102,C102)</f>
        <v/>
      </c>
      <c r="E102" s="27">
        <f>IF(B70&gt;7,5,3)</f>
        <v/>
      </c>
      <c r="F102" s="50">
        <f>B70</f>
        <v/>
      </c>
    </row>
    <row r="103">
      <c r="A103" s="16" t="inlineStr">
        <is>
          <t>N_PRP</t>
        </is>
      </c>
      <c r="B103" s="27">
        <f>FALSE()</f>
        <v/>
      </c>
      <c r="C103" s="42" t="inlineStr"/>
      <c r="D103" s="27">
        <f>IF(C103="",B103,C103)</f>
        <v/>
      </c>
      <c r="E103" s="27" t="n">
        <v>3</v>
      </c>
      <c r="F103" s="50" t="inlineStr">
        <is>
          <t>no label</t>
        </is>
      </c>
    </row>
    <row r="104">
      <c r="A104" s="19" t="inlineStr">
        <is>
          <t>N_HOM</t>
        </is>
      </c>
      <c r="B104" s="52" t="inlineStr">
        <is>
          <t>parked</t>
        </is>
      </c>
      <c r="C104" s="52" t="inlineStr"/>
      <c r="D104" s="52" t="inlineStr">
        <is>
          <t>coverage need</t>
        </is>
      </c>
      <c r="E104" s="27">
        <f>IF(B73&gt;7,5,3)</f>
        <v/>
      </c>
      <c r="F104" s="50">
        <f>B73</f>
        <v/>
      </c>
    </row>
    <row r="105">
      <c r="A105" s="19" t="inlineStr">
        <is>
          <t>N_CAR</t>
        </is>
      </c>
      <c r="B105" s="52" t="inlineStr">
        <is>
          <t>parked</t>
        </is>
      </c>
      <c r="C105" s="52" t="inlineStr"/>
      <c r="D105" s="52" t="inlineStr">
        <is>
          <t>coverage need</t>
        </is>
      </c>
      <c r="E105" s="27">
        <f>IF(B72&gt;7,5,3)</f>
        <v/>
      </c>
      <c r="F105" s="50">
        <f>B72</f>
        <v/>
      </c>
    </row>
    <row r="106">
      <c r="A106" s="19" t="inlineStr">
        <is>
          <t>N_TRV</t>
        </is>
      </c>
      <c r="B106" s="52" t="inlineStr">
        <is>
          <t>parked</t>
        </is>
      </c>
      <c r="C106" s="52" t="inlineStr"/>
      <c r="D106" s="52" t="inlineStr">
        <is>
          <t>coverage need</t>
        </is>
      </c>
      <c r="E106" s="27">
        <f>IF(B74&gt;7,5,3)</f>
        <v/>
      </c>
      <c r="F106" s="50">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9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 N_EDU</t>
        </is>
      </c>
      <c r="B16" s="53">
        <f>currentYear+MAX(1,EDU_TARGET_AGE-B5)</f>
        <v/>
      </c>
      <c r="C16" s="42" t="inlineStr">
        <is>
          <t>E · user / frontend override</t>
        </is>
      </c>
      <c r="D16" s="18" t="inlineStr">
        <is>
          <t>Default: the year the customer turns EDU_TARGET_AGE (50); next year if older.</t>
        </is>
      </c>
    </row>
    <row r="17">
      <c r="A17" s="41" t="inlineStr">
        <is>
          <t>targetYear N_SAV</t>
        </is>
      </c>
      <c r="B17" s="53">
        <f>currentYear+MAX(1,SAV_TARGET_AGE-B5)</f>
        <v/>
      </c>
      <c r="C17" s="42" t="inlineStr">
        <is>
          <t>E · user / frontend override</t>
        </is>
      </c>
      <c r="D17" s="18" t="inlineStr">
        <is>
          <t>Default: the year the customer turns SAV_TARGET_AGE (40); next year if older.</t>
        </is>
      </c>
    </row>
    <row r="18">
      <c r="A18" s="41" t="inlineStr">
        <is>
          <t>targetYear N_PRP</t>
        </is>
      </c>
      <c r="B18" s="53">
        <f>currentYear+MAX(1,PRP_TARGET_AGE-B5)</f>
        <v/>
      </c>
      <c r="C18" s="42" t="inlineStr">
        <is>
          <t>E · user / frontend override</t>
        </is>
      </c>
      <c r="D18" s="18" t="inlineStr">
        <is>
          <t>Default: the year the customer turns PRP_TARGET_AGE (33); next year if older.</t>
        </is>
      </c>
    </row>
    <row r="19">
      <c r="A19" s="41" t="inlineStr">
        <is>
          <t>bequest</t>
        </is>
      </c>
      <c r="B19" s="32" t="n">
        <v>0</v>
      </c>
      <c r="C19" s="42" t="inlineStr">
        <is>
          <t>E · user / frontend override</t>
        </is>
      </c>
      <c r="D19" s="18" t="inlineStr">
        <is>
          <t>Added to N_INC amount.</t>
        </is>
      </c>
    </row>
    <row r="20">
      <c r="A20" s="41" t="inlineStr">
        <is>
          <t>dependYears (blank = age rule)</t>
        </is>
      </c>
      <c r="B20" s="42" t="inlineStr"/>
      <c r="C20" s="42" t="inlineStr">
        <is>
          <t>E · user / frontend override</t>
        </is>
      </c>
      <c r="D20" s="18" t="inlineStr">
        <is>
          <t>Blank or ≤0 → supportYears.</t>
        </is>
      </c>
    </row>
    <row r="21">
      <c r="A21" s="41" t="inlineStr">
        <is>
          <t>incomeReplace (blank = income)</t>
        </is>
      </c>
      <c r="B21" s="32" t="inlineStr"/>
      <c r="C21" s="42" t="inlineStr">
        <is>
          <t>E · user / frontend override</t>
        </is>
      </c>
      <c r="D21" s="18" t="inlineStr">
        <is>
          <t>Blank → incomeMonthly for CI / TPD.</t>
        </is>
      </c>
    </row>
    <row r="22">
      <c r="A22" s="41" t="inlineStr">
        <is>
          <t>N_SAV stored</t>
        </is>
      </c>
      <c r="B22" s="32" t="n">
        <v>0</v>
      </c>
      <c r="C22" s="42" t="inlineStr">
        <is>
          <t>E · user / frontend override</t>
        </is>
      </c>
      <c r="D22" s="18" t="inlineStr">
        <is>
          <t>If &gt; 0, this is N_SAV amount; else 1× annual income.</t>
        </is>
      </c>
    </row>
    <row r="23">
      <c r="A23" s="41" t="inlineStr">
        <is>
          <t>N_PRP stored</t>
        </is>
      </c>
      <c r="B23" s="32" t="n">
        <v>0</v>
      </c>
      <c r="C23" s="42" t="inlineStr">
        <is>
          <t>E · user / frontend override</t>
        </is>
      </c>
      <c r="D23" s="18" t="inlineStr">
        <is>
          <t>If &gt; 0, this is N_PRP amount; else 5× annual income.</t>
        </is>
      </c>
    </row>
    <row r="24">
      <c r="A24" s="41" t="inlineStr">
        <is>
          <t>tag N_RET</t>
        </is>
      </c>
      <c r="B24" s="32" t="n">
        <v>0</v>
      </c>
      <c r="C24" s="42" t="inlineStr">
        <is>
          <t>E · user / frontend override</t>
        </is>
      </c>
      <c r="D24" s="18" t="inlineStr">
        <is>
          <t>Investments tagged to retirement, then grown at realReturn.</t>
        </is>
      </c>
    </row>
    <row r="25">
      <c r="A25" s="41" t="inlineStr">
        <is>
          <t>tag N_EDU</t>
        </is>
      </c>
      <c r="B25" s="32" t="n">
        <v>0</v>
      </c>
      <c r="C25" s="42" t="inlineStr">
        <is>
          <t>E · user / frontend override</t>
        </is>
      </c>
      <c r="D25" s="18" t="inlineStr">
        <is>
          <t>apply_investment_pot walk order: RET, EDU, SAV, PRP.</t>
        </is>
      </c>
    </row>
    <row r="26">
      <c r="A26" s="41" t="inlineStr">
        <is>
          <t>tag N_SAV</t>
        </is>
      </c>
      <c r="B26" s="32" t="n">
        <v>0</v>
      </c>
      <c r="C26" s="42" t="inlineStr">
        <is>
          <t>E · user / frontend override</t>
        </is>
      </c>
      <c r="D26" s="18" t="inlineStr">
        <is>
          <t>Takes from remaining investments after RET and EDU.</t>
        </is>
      </c>
    </row>
    <row r="27">
      <c r="A27" s="41" t="inlineStr">
        <is>
          <t>tag N_PRP</t>
        </is>
      </c>
      <c r="B27" s="32" t="n">
        <v>0</v>
      </c>
      <c r="C27" s="42" t="inlineStr">
        <is>
          <t>E · user / frontend override</t>
        </is>
      </c>
      <c r="D27" s="18" t="inlineStr">
        <is>
          <t>Last in the walk.</t>
        </is>
      </c>
    </row>
    <row r="28">
      <c r="A28" s="41" t="inlineStr">
        <is>
          <t>LTC start age</t>
        </is>
      </c>
      <c r="B28" s="53">
        <f>LTC_START_AGE</f>
        <v/>
      </c>
      <c r="C28" s="42" t="inlineStr">
        <is>
          <t>E · user / frontend override</t>
        </is>
      </c>
      <c r="D28" s="18" t="inlineStr">
        <is>
          <t>N_LTC front-end input. Default LTC_START_AGE (80).</t>
        </is>
      </c>
    </row>
    <row r="30">
      <c r="A30" s="15" t="inlineStr">
        <is>
          <t>S · SYSTEM CURRENCY (USD)  —  user-currency inputs × USD per 1. The calculator below runs on these</t>
        </is>
      </c>
      <c r="B30" s="15" t="n"/>
      <c r="C30" s="15" t="n"/>
      <c r="D30" s="15" t="n"/>
    </row>
    <row r="31">
      <c r="A31" s="38" t="inlineStr">
        <is>
          <t>USD per 1 user-currency unit</t>
        </is>
      </c>
      <c r="B31" s="48">
        <f>FX_usdPerLocal</f>
        <v/>
      </c>
      <c r="C31" s="36" t="inlineStr">
        <is>
          <t>D · assumption / shared</t>
        </is>
      </c>
      <c r="D31" s="18" t="inlineStr">
        <is>
          <t>FX tab. #N/A if the currency is unknown.</t>
        </is>
      </c>
    </row>
    <row r="32">
      <c r="A32" s="38" t="inlineStr">
        <is>
          <t>price level (option B)</t>
        </is>
      </c>
      <c r="B32" s="54">
        <f>FX_priceLevel</f>
        <v/>
      </c>
      <c r="C32" s="36" t="inlineStr">
        <is>
          <t>D · assumption / shared</t>
        </is>
      </c>
      <c r="D32" s="18" t="inlineStr">
        <is>
          <t>1 under option A. Scales the USD fixed amounts.</t>
        </is>
      </c>
    </row>
    <row r="33">
      <c r="A33" s="26" t="inlineStr">
        <is>
          <t>incomeMonthly USD</t>
        </is>
      </c>
      <c r="B33" s="28">
        <f>PLU_incomeMonthly*B31</f>
        <v/>
      </c>
      <c r="C33" s="27" t="inlineStr">
        <is>
          <t>C · calculated</t>
        </is>
      </c>
      <c r="D33" s="18" t="inlineStr"/>
    </row>
    <row r="34">
      <c r="A34" s="26" t="inlineStr">
        <is>
          <t>expenseMonthly USD</t>
        </is>
      </c>
      <c r="B34" s="28">
        <f>PLU_expenseMonthly*B31</f>
        <v/>
      </c>
      <c r="C34" s="27" t="inlineStr">
        <is>
          <t>C · calculated</t>
        </is>
      </c>
      <c r="D34" s="18" t="inlineStr"/>
    </row>
    <row r="35">
      <c r="A35" s="26" t="inlineStr">
        <is>
          <t>mortgage USD</t>
        </is>
      </c>
      <c r="B35" s="28">
        <f>PLU_mortgage*B31</f>
        <v/>
      </c>
      <c r="C35" s="27" t="inlineStr">
        <is>
          <t>C · calculated</t>
        </is>
      </c>
      <c r="D35" s="18" t="inlineStr"/>
    </row>
    <row r="36">
      <c r="A36" s="26" t="inlineStr">
        <is>
          <t>life sum USD</t>
        </is>
      </c>
      <c r="B36" s="28">
        <f>PLU_lifeSum*B31</f>
        <v/>
      </c>
      <c r="C36" s="27" t="inlineStr">
        <is>
          <t>C · calculated</t>
        </is>
      </c>
      <c r="D36" s="18" t="inlineStr"/>
    </row>
    <row r="37">
      <c r="A37" s="26" t="inlineStr">
        <is>
          <t>investments USD</t>
        </is>
      </c>
      <c r="B37" s="28">
        <f>PLU_investments*B31</f>
        <v/>
      </c>
      <c r="C37" s="27" t="inlineStr">
        <is>
          <t>C · calculated</t>
        </is>
      </c>
      <c r="D37" s="18" t="inlineStr"/>
    </row>
    <row r="38">
      <c r="A38" s="26" t="inlineStr">
        <is>
          <t>bequest USD</t>
        </is>
      </c>
      <c r="B38" s="28">
        <f>B19*B31</f>
        <v/>
      </c>
      <c r="C38" s="27" t="inlineStr">
        <is>
          <t>C · calculated</t>
        </is>
      </c>
      <c r="D38" s="18" t="inlineStr"/>
    </row>
    <row r="39">
      <c r="A39" s="26" t="inlineStr">
        <is>
          <t>N_SAV stored USD</t>
        </is>
      </c>
      <c r="B39" s="28">
        <f>B22*B31</f>
        <v/>
      </c>
      <c r="C39" s="27" t="inlineStr">
        <is>
          <t>C · calculated</t>
        </is>
      </c>
      <c r="D39" s="18" t="inlineStr"/>
    </row>
    <row r="40">
      <c r="A40" s="26" t="inlineStr">
        <is>
          <t>N_PRP stored USD</t>
        </is>
      </c>
      <c r="B40" s="28">
        <f>B23*B31</f>
        <v/>
      </c>
      <c r="C40" s="27" t="inlineStr">
        <is>
          <t>C · calculated</t>
        </is>
      </c>
      <c r="D40" s="18" t="inlineStr"/>
    </row>
    <row r="41">
      <c r="A41" s="26" t="inlineStr">
        <is>
          <t>tag N_RET USD</t>
        </is>
      </c>
      <c r="B41" s="28">
        <f>B24*B31</f>
        <v/>
      </c>
      <c r="C41" s="27" t="inlineStr">
        <is>
          <t>C · calculated</t>
        </is>
      </c>
      <c r="D41" s="18" t="inlineStr"/>
    </row>
    <row r="42">
      <c r="A42" s="26" t="inlineStr">
        <is>
          <t>tag N_EDU USD</t>
        </is>
      </c>
      <c r="B42" s="28">
        <f>B25*B31</f>
        <v/>
      </c>
      <c r="C42" s="27" t="inlineStr">
        <is>
          <t>C · calculated</t>
        </is>
      </c>
      <c r="D42" s="18" t="inlineStr"/>
    </row>
    <row r="43">
      <c r="A43" s="26" t="inlineStr">
        <is>
          <t>tag N_SAV USD</t>
        </is>
      </c>
      <c r="B43" s="28">
        <f>B26*B31</f>
        <v/>
      </c>
      <c r="C43" s="27" t="inlineStr">
        <is>
          <t>C · calculated</t>
        </is>
      </c>
      <c r="D43" s="18" t="inlineStr"/>
    </row>
    <row r="44">
      <c r="A44" s="26" t="inlineStr">
        <is>
          <t>tag N_PRP USD</t>
        </is>
      </c>
      <c r="B44" s="28">
        <f>B27*B31</f>
        <v/>
      </c>
      <c r="C44" s="27" t="inlineStr">
        <is>
          <t>C · calculated</t>
        </is>
      </c>
      <c r="D44" s="18" t="inlineStr"/>
    </row>
    <row r="45">
      <c r="A45" s="26" t="inlineStr">
        <is>
          <t>incomeReplace USD</t>
        </is>
      </c>
      <c r="B45" s="28">
        <f>IF(B21="","",B21*B31)</f>
        <v/>
      </c>
      <c r="C45" s="27" t="inlineStr">
        <is>
          <t>C · calculated</t>
        </is>
      </c>
      <c r="D45" s="18" t="inlineStr">
        <is>
          <t>Blank → income.</t>
        </is>
      </c>
    </row>
    <row r="46">
      <c r="A46" s="26" t="inlineStr">
        <is>
          <t>CRI_COST USD (× price level)</t>
        </is>
      </c>
      <c r="B46" s="29">
        <f>CRI_COST*B32</f>
        <v/>
      </c>
      <c r="C46" s="27" t="inlineStr">
        <is>
          <t>C · calculated</t>
        </is>
      </c>
      <c r="D46" s="18" t="inlineStr">
        <is>
          <t>Fixed amount, USD.</t>
        </is>
      </c>
    </row>
    <row r="47">
      <c r="A47" s="26" t="inlineStr">
        <is>
          <t>TPD_COST USD (× price level)</t>
        </is>
      </c>
      <c r="B47" s="29">
        <f>TPD_COST*B32</f>
        <v/>
      </c>
      <c r="C47" s="27" t="inlineStr">
        <is>
          <t>C · calculated</t>
        </is>
      </c>
      <c r="D47" s="18" t="inlineStr">
        <is>
          <t>Fixed amount, USD.</t>
        </is>
      </c>
    </row>
    <row r="48">
      <c r="A48" s="26" t="inlineStr">
        <is>
          <t>EDU_COST USD (× price level)</t>
        </is>
      </c>
      <c r="B48" s="29">
        <f>EDU_COST*B32</f>
        <v/>
      </c>
      <c r="C48" s="27" t="inlineStr">
        <is>
          <t>C · calculated</t>
        </is>
      </c>
      <c r="D48" s="18" t="inlineStr">
        <is>
          <t>Fixed amount, USD.</t>
        </is>
      </c>
    </row>
    <row r="49">
      <c r="A49" s="26" t="inlineStr">
        <is>
          <t>PAC_COST USD (× price level)</t>
        </is>
      </c>
      <c r="B49" s="29">
        <f>PAC_COST*B32</f>
        <v/>
      </c>
      <c r="C49" s="27" t="inlineStr">
        <is>
          <t>C · calculated</t>
        </is>
      </c>
      <c r="D49" s="18" t="inlineStr">
        <is>
          <t>Fixed amount, USD.</t>
        </is>
      </c>
    </row>
    <row r="50">
      <c r="A50" s="26" t="inlineStr">
        <is>
          <t>LTC_COST USD / year (× price level)</t>
        </is>
      </c>
      <c r="B50" s="29">
        <f>LTC_COST*B32</f>
        <v/>
      </c>
      <c r="C50" s="27" t="inlineStr">
        <is>
          <t>C · calculated</t>
        </is>
      </c>
      <c r="D50" s="18" t="inlineStr">
        <is>
          <t>Fixed amount, USD a year.</t>
        </is>
      </c>
    </row>
    <row r="52">
      <c r="A52" s="19" t="inlineStr">
        <is>
          <t>D · ASSUMPTIONS / SHARED DATA  —  rates and need parameters</t>
        </is>
      </c>
      <c r="B52" s="19" t="n"/>
      <c r="C52" s="19" t="n"/>
      <c r="D52" s="19" t="n"/>
    </row>
    <row r="53">
      <c r="A53" s="38" t="inlineStr">
        <is>
          <t>inflationRate</t>
        </is>
      </c>
      <c r="B53" s="45">
        <f>inflationRate</f>
        <v/>
      </c>
      <c r="C53" s="36" t="inlineStr">
        <is>
          <t>D · assumption / shared</t>
        </is>
      </c>
      <c r="D53" s="18" t="inlineStr">
        <is>
          <t>Grows EDU cost. N_RET grows at realReturn, not inflation.</t>
        </is>
      </c>
    </row>
    <row r="54">
      <c r="A54" s="38" t="inlineStr">
        <is>
          <t>investmentReturn</t>
        </is>
      </c>
      <c r="B54" s="45">
        <f>investmentReturn</f>
        <v/>
      </c>
      <c r="C54" s="36" t="inlineStr">
        <is>
          <t>D · assumption / shared</t>
        </is>
      </c>
      <c r="D54" s="18" t="inlineStr">
        <is>
          <t>Used to form realReturn.</t>
        </is>
      </c>
    </row>
    <row r="55">
      <c r="A55" s="38" t="inlineStr">
        <is>
          <t>realReturn</t>
        </is>
      </c>
      <c r="B55" s="45">
        <f>realReturn</f>
        <v/>
      </c>
      <c r="C55" s="36" t="inlineStr">
        <is>
          <t>D · assumption / shared</t>
        </is>
      </c>
      <c r="D55" s="18" t="inlineStr">
        <is>
          <t>max(0, (1+i)/(1+π) − 1). Discount rate.</t>
        </is>
      </c>
    </row>
    <row r="56">
      <c r="A56" s="38" t="inlineStr">
        <is>
          <t>RET_LIFESTYLE_FRUGAL</t>
        </is>
      </c>
      <c r="B56" s="40">
        <f>RET_LIFESTYLE_FRUGAL</f>
        <v/>
      </c>
      <c r="C56" s="36" t="inlineStr">
        <is>
          <t>D · assumption / shared</t>
        </is>
      </c>
      <c r="D56" s="18" t="inlineStr">
        <is>
          <t>N_RET spend multiple when lifestyle=1.</t>
        </is>
      </c>
    </row>
    <row r="57">
      <c r="A57" s="38" t="inlineStr">
        <is>
          <t>RET_LIFESTYLE_STRESSFREE</t>
        </is>
      </c>
      <c r="B57" s="40">
        <f>RET_LIFESTYLE_STRESSFREE</f>
        <v/>
      </c>
      <c r="C57" s="36" t="inlineStr">
        <is>
          <t>D · assumption / shared</t>
        </is>
      </c>
      <c r="D57" s="18" t="inlineStr">
        <is>
          <t>Default lifestyle=2.</t>
        </is>
      </c>
    </row>
    <row r="58">
      <c r="A58" s="38" t="inlineStr">
        <is>
          <t>RET_LIFESTYLE_ONLYTHEBEST</t>
        </is>
      </c>
      <c r="B58" s="40">
        <f>RET_LIFESTYLE_ONLYTHEBEST</f>
        <v/>
      </c>
      <c r="C58" s="36" t="inlineStr">
        <is>
          <t>D · assumption / shared</t>
        </is>
      </c>
      <c r="D58" s="18" t="inlineStr">
        <is>
          <t>lifestyle=3.</t>
        </is>
      </c>
    </row>
    <row r="59">
      <c r="A59" s="38" t="inlineStr">
        <is>
          <t>INC_SUPPORT_MIN / Max / Pivot</t>
        </is>
      </c>
      <c r="B59" s="44">
        <f>INC_SUPPORT_MIN</f>
        <v/>
      </c>
      <c r="C59" s="36" t="inlineStr">
        <is>
          <t>D · assumption / shared</t>
        </is>
      </c>
      <c r="D59" s="18" t="inlineStr">
        <is>
          <t>supportYears = min(max(10, 50 − age), 25).</t>
        </is>
      </c>
    </row>
    <row r="60">
      <c r="A60" s="38" t="inlineStr">
        <is>
          <t>CRI_YEARS / CRI_COST</t>
        </is>
      </c>
      <c r="B60" s="44">
        <f>CRI_YEARS</f>
        <v/>
      </c>
      <c r="C60" s="36" t="inlineStr">
        <is>
          <t>D · assumption / shared</t>
        </is>
      </c>
      <c r="D60" s="18" t="inlineStr">
        <is>
          <t>3 years annuity-due + CRI_COST (USD, S-block).</t>
        </is>
      </c>
    </row>
    <row r="61">
      <c r="A61" s="38" t="inlineStr">
        <is>
          <t>TPD_YEARS / TPD_COST</t>
        </is>
      </c>
      <c r="B61" s="44">
        <f>TPD_YEARS</f>
        <v/>
      </c>
      <c r="C61" s="36" t="inlineStr">
        <is>
          <t>D · assumption / shared</t>
        </is>
      </c>
      <c r="D61" s="18" t="inlineStr">
        <is>
          <t>5 years annuity-due + TPD_COST (USD, S-block).</t>
        </is>
      </c>
    </row>
    <row r="62">
      <c r="A62" s="38" t="inlineStr">
        <is>
          <t>PAC_YEARS / PAC_COST</t>
        </is>
      </c>
      <c r="B62" s="44">
        <f>PAC_YEARS</f>
        <v/>
      </c>
      <c r="C62" s="36" t="inlineStr">
        <is>
          <t>D · assumption / shared</t>
        </is>
      </c>
      <c r="D62" s="18" t="inlineStr">
        <is>
          <t>1 year annuity-due + PAC_COST (USD, S-block). Agreed V0-18.</t>
        </is>
      </c>
    </row>
    <row r="63">
      <c r="A63" s="38" t="inlineStr">
        <is>
          <t>HOS_MONTHS</t>
        </is>
      </c>
      <c r="B63" s="44">
        <f>HOS_MONTHS</f>
        <v/>
      </c>
      <c r="C63" s="36" t="inlineStr">
        <is>
          <t>D · assumption / shared</t>
        </is>
      </c>
      <c r="D63" s="18" t="inlineStr">
        <is>
          <t>N_HOS = income × 6.</t>
        </is>
      </c>
    </row>
    <row r="64">
      <c r="A64" s="38" t="inlineStr">
        <is>
          <t>EDU_COST (USD)</t>
        </is>
      </c>
      <c r="B64" s="39">
        <f>EDU_COST</f>
        <v/>
      </c>
      <c r="C64" s="36" t="inlineStr">
        <is>
          <t>D · assumption / shared</t>
        </is>
      </c>
      <c r="D64" s="18" t="inlineStr">
        <is>
          <t>USD course cost, grown at inflation.</t>
        </is>
      </c>
    </row>
    <row r="65">
      <c r="A65" s="38" t="inlineStr">
        <is>
          <t>SAV_INCOME_MULT</t>
        </is>
      </c>
      <c r="B65" s="44">
        <f>SAV_INCOME_MULT</f>
        <v/>
      </c>
      <c r="C65" s="36" t="inlineStr">
        <is>
          <t>D · assumption / shared</t>
        </is>
      </c>
      <c r="D65" s="18" t="inlineStr">
        <is>
          <t>1 × annual income if stored is 0.</t>
        </is>
      </c>
    </row>
    <row r="66">
      <c r="A66" s="38" t="inlineStr">
        <is>
          <t>PRP_INCOME_MULT</t>
        </is>
      </c>
      <c r="B66" s="44">
        <f>PRP_INCOME_MULT</f>
        <v/>
      </c>
      <c r="C66" s="36" t="inlineStr">
        <is>
          <t>D · assumption / shared</t>
        </is>
      </c>
      <c r="D66" s="18" t="inlineStr">
        <is>
          <t>5 × annual income if stored is 0.</t>
        </is>
      </c>
    </row>
    <row r="67">
      <c r="A67" s="38" t="inlineStr">
        <is>
          <t>currentYear / ageOfRetirement</t>
        </is>
      </c>
      <c r="B67" s="44">
        <f>currentYear</f>
        <v/>
      </c>
      <c r="C67" s="36" t="inlineStr">
        <is>
          <t>D · assumption / shared</t>
        </is>
      </c>
      <c r="D67" s="18" t="inlineStr">
        <is>
          <t>2026 / 65 in this workbook.</t>
        </is>
      </c>
    </row>
    <row r="69">
      <c r="A69" s="16" t="inlineStr">
        <is>
          <t>C · DETERMINISTICALLY CALCULATED  —  horizons</t>
        </is>
      </c>
      <c r="B69" s="16" t="n"/>
      <c r="C69" s="16" t="n"/>
      <c r="D69" s="16" t="n"/>
    </row>
    <row r="70">
      <c r="A70" s="26" t="inlineStr">
        <is>
          <t>supportYears</t>
        </is>
      </c>
      <c r="B70" s="46">
        <f>MIN(MAX(INC_SUPPORT_MIN,INC_SUPPORT_PIVOT_AGE-B5),INC_SUPPORT_MAX)</f>
        <v/>
      </c>
      <c r="C70" s="27" t="inlineStr">
        <is>
          <t>C · calculated</t>
        </is>
      </c>
      <c r="D70" s="18" t="inlineStr">
        <is>
          <t>life_support_years(age).</t>
        </is>
      </c>
    </row>
    <row r="71">
      <c r="A71" s="26" t="inlineStr">
        <is>
          <t>yearsToRet</t>
        </is>
      </c>
      <c r="B71" s="46">
        <f>MAX(0,B15-B5)</f>
        <v/>
      </c>
      <c r="C71" s="27" t="inlineStr">
        <is>
          <t>C · calculated</t>
        </is>
      </c>
      <c r="D71" s="18" t="inlineStr">
        <is>
          <t>years_to_retirement.</t>
        </is>
      </c>
    </row>
    <row r="72">
      <c r="A72" s="26" t="inlineStr">
        <is>
          <t>yearsInRet</t>
        </is>
      </c>
      <c r="B72" s="46">
        <f>MAX(0,PLU_leUsed-B15)</f>
        <v/>
      </c>
      <c r="C72" s="27" t="inlineStr">
        <is>
          <t>C · calculated</t>
        </is>
      </c>
      <c r="D72" s="18" t="inlineStr">
        <is>
          <t>years_in_retirement(retAge, session LE).</t>
        </is>
      </c>
    </row>
    <row r="73">
      <c r="A73" s="26" t="inlineStr">
        <is>
          <t>eduYears</t>
        </is>
      </c>
      <c r="B73" s="46">
        <f>MAX(0,B16-currentYear)</f>
        <v/>
      </c>
      <c r="C73" s="27" t="inlineStr">
        <is>
          <t>C · calculated</t>
        </is>
      </c>
      <c r="D73" s="18" t="inlineStr">
        <is>
          <t>max(0, targetYear N_EDU − thisYear).</t>
        </is>
      </c>
    </row>
    <row r="74">
      <c r="A74" s="26" t="inlineStr">
        <is>
          <t>savYears</t>
        </is>
      </c>
      <c r="B74" s="46">
        <f>MAX(0,B17-currentYear)</f>
        <v/>
      </c>
      <c r="C74" s="27" t="inlineStr">
        <is>
          <t>C · calculated</t>
        </is>
      </c>
      <c r="D74" s="18" t="inlineStr">
        <is>
          <t>max(0, targetYear N_SAV − thisYear).</t>
        </is>
      </c>
    </row>
    <row r="75">
      <c r="A75" s="26" t="inlineStr">
        <is>
          <t>prpYears</t>
        </is>
      </c>
      <c r="B75" s="46">
        <f>MAX(0,B18-currentYear)</f>
        <v/>
      </c>
      <c r="C75" s="27" t="inlineStr">
        <is>
          <t>C · calculated</t>
        </is>
      </c>
      <c r="D75" s="18" t="inlineStr">
        <is>
          <t>max(0, targetYear N_PRP − thisYear).</t>
        </is>
      </c>
    </row>
    <row r="76">
      <c r="A76" s="26" t="inlineStr">
        <is>
          <t>careYears (N_LTC)</t>
        </is>
      </c>
      <c r="B76" s="46">
        <f>MAX(0,PLU_leUsed-B28)</f>
        <v/>
      </c>
      <c r="C76" s="27" t="inlineStr">
        <is>
          <t>C · calculated</t>
        </is>
      </c>
      <c r="D76" s="18" t="inlineStr">
        <is>
          <t>lifeExpectancy − LTC start age.</t>
        </is>
      </c>
    </row>
    <row r="78">
      <c r="A78" s="16" t="inlineStr">
        <is>
          <t>C · RESULTS  —  amount / have / gap for every UNIFIED type (even when off)</t>
        </is>
      </c>
      <c r="B78" s="16" t="n"/>
      <c r="C78" s="16" t="n"/>
      <c r="D78" s="16" t="n"/>
    </row>
    <row r="79">
      <c r="A79" s="3" t="inlineStr">
        <is>
          <t>type</t>
        </is>
      </c>
      <c r="B79" s="16" t="inlineStr">
        <is>
          <t>needAmount</t>
        </is>
      </c>
      <c r="C79" s="16" t="inlineStr">
        <is>
          <t>have</t>
        </is>
      </c>
      <c r="D79" s="16" t="inlineStr">
        <is>
          <t>gap</t>
        </is>
      </c>
      <c r="E79" s="21" t="inlineStr">
        <is>
          <t>Enable?</t>
        </is>
      </c>
      <c r="F79" s="16" t="inlineStr">
        <is>
          <t>on (effective)</t>
        </is>
      </c>
      <c r="H79" s="15" t="inlineStr">
        <is>
          <t>needAmount USD</t>
        </is>
      </c>
      <c r="I79" s="15" t="inlineStr">
        <is>
          <t>have USD</t>
        </is>
      </c>
      <c r="J79" s="15" t="inlineStr">
        <is>
          <t>gap USD</t>
        </is>
      </c>
    </row>
    <row r="80">
      <c r="A80" s="16" t="inlineStr">
        <is>
          <t>N_INC</t>
        </is>
      </c>
      <c r="B80" s="29">
        <f>ROUND(H80/$B$31,0)</f>
        <v/>
      </c>
      <c r="C80" s="29">
        <f>ROUND(I80/$B$31,0)</f>
        <v/>
      </c>
      <c r="D80" s="29">
        <f>MAX(0,B80-C80)</f>
        <v/>
      </c>
      <c r="E80" s="42" t="inlineStr"/>
      <c r="F80" s="27">
        <f>IF(E80="",NP_on_N_INC,E80)</f>
        <v/>
      </c>
      <c r="G80" s="18" t="inlineStr">
        <is>
          <t>bequest + mortgage + PV of annual spend over dependYears.</t>
        </is>
      </c>
      <c r="H80" s="23">
        <f>MAX(0,B38+B35+IF(OR((IF(OR(B20="",B20&lt;=0),B70,B20))&lt;=0,(B34*12)&lt;=0),0,IF(ABS(realReturn)&lt;1E-12,(B34*12)*(IF(OR(B20="",B20&lt;=0),B70,B20)),(B34*12)*(1-(1+realReturn)^(-(IF(OR(B20="",B20&lt;=0),B70,B20))))/(realReturn))))</f>
        <v/>
      </c>
      <c r="I80" s="23">
        <f>B36</f>
        <v/>
      </c>
      <c r="J80" s="23">
        <f>MAX(0,H80-I80)</f>
        <v/>
      </c>
    </row>
    <row r="81">
      <c r="A81" s="16" t="inlineStr">
        <is>
          <t>N_CRI</t>
        </is>
      </c>
      <c r="B81" s="29">
        <f>ROUND(H81/$B$31,0)</f>
        <v/>
      </c>
      <c r="C81" s="29">
        <f>ROUND(I81/$B$31,0)</f>
        <v/>
      </c>
      <c r="D81" s="29">
        <f>MAX(0,B81-C81)</f>
        <v/>
      </c>
      <c r="E81" s="42" t="inlineStr"/>
      <c r="F81" s="27">
        <f>IF(E81="",NP_on_N_CRI,E81)</f>
        <v/>
      </c>
      <c r="G81" s="18" t="inlineStr">
        <is>
          <t>Annuity-due of replacement income for CRI_YEARS + CRI_COST.</t>
        </is>
      </c>
      <c r="H81" s="23">
        <f>MAX(0,IF(OR((CRI_YEARS)&lt;=0,((IF(B45="",B33,B45))*12)&lt;=0),0,IF(ABS(realReturn)&lt;1E-12,((IF(B45="",B33,B45))*12)*(CRI_YEARS),((IF(B45="",B33,B45))*12)*(1-(1/((1+realReturn)))^(CRI_YEARS))/(1-(1/((1+realReturn))))))+B46)</f>
        <v/>
      </c>
      <c r="I81" s="23">
        <f>0</f>
        <v/>
      </c>
      <c r="J81" s="23">
        <f>MAX(0,H81-I81)</f>
        <v/>
      </c>
    </row>
    <row r="82">
      <c r="A82" s="16" t="inlineStr">
        <is>
          <t>N_TPD</t>
        </is>
      </c>
      <c r="B82" s="29">
        <f>ROUND(H82/$B$31,0)</f>
        <v/>
      </c>
      <c r="C82" s="29">
        <f>ROUND(I82/$B$31,0)</f>
        <v/>
      </c>
      <c r="D82" s="29">
        <f>MAX(0,B82-C82)</f>
        <v/>
      </c>
      <c r="E82" s="42" t="inlineStr"/>
      <c r="F82" s="27">
        <f>IF(E82="",NP_on_N_TPD,E82)</f>
        <v/>
      </c>
      <c r="G82" s="18" t="inlineStr">
        <is>
          <t>Annuity-due of replacement income for TPD_YEARS + TPD_COST.</t>
        </is>
      </c>
      <c r="H82" s="23">
        <f>MAX(0,IF(OR((TPD_YEARS)&lt;=0,((IF(B45="",B33,B45))*12)&lt;=0),0,IF(ABS(realReturn)&lt;1E-12,((IF(B45="",B33,B45))*12)*(TPD_YEARS),((IF(B45="",B33,B45))*12)*(1-(1/((1+realReturn)))^(TPD_YEARS))/(1-(1/((1+realReturn))))))+B47)</f>
        <v/>
      </c>
      <c r="I82" s="23">
        <f>0</f>
        <v/>
      </c>
      <c r="J82" s="23">
        <f>MAX(0,H82-I82)</f>
        <v/>
      </c>
    </row>
    <row r="83">
      <c r="A83" s="16" t="inlineStr">
        <is>
          <t>N_HOS</t>
        </is>
      </c>
      <c r="B83" s="29">
        <f>ROUND(H83/$B$31,0)</f>
        <v/>
      </c>
      <c r="C83" s="29">
        <f>ROUND(I83/$B$31,0)</f>
        <v/>
      </c>
      <c r="D83" s="29">
        <f>MAX(0,B83-C83)</f>
        <v/>
      </c>
      <c r="E83" s="42" t="inlineStr"/>
      <c r="F83" s="27">
        <f>IF(E83="",NP_on_N_HOS,E83)</f>
        <v/>
      </c>
      <c r="G83" s="18" t="inlineStr">
        <is>
          <t>incomeMonthly × HOS_MONTHS.</t>
        </is>
      </c>
      <c r="H83" s="23">
        <f>MAX(0,B33*HOS_MONTHS)</f>
        <v/>
      </c>
      <c r="I83" s="23">
        <f>0</f>
        <v/>
      </c>
      <c r="J83" s="23">
        <f>MAX(0,H83-I83)</f>
        <v/>
      </c>
    </row>
    <row r="84">
      <c r="A84" s="16" t="inlineStr">
        <is>
          <t>N_PAC</t>
        </is>
      </c>
      <c r="B84" s="29">
        <f>ROUND(H84/$B$31,0)</f>
        <v/>
      </c>
      <c r="C84" s="29">
        <f>ROUND(I84/$B$31,0)</f>
        <v/>
      </c>
      <c r="D84" s="29">
        <f>MAX(0,B84-C84)</f>
        <v/>
      </c>
      <c r="E84" s="42" t="inlineStr"/>
      <c r="F84" s="27">
        <f>IF(E84="",NP_on_N_PAC,E84)</f>
        <v/>
      </c>
      <c r="G84" s="18" t="inlineStr">
        <is>
          <t>Annuity-due of replacement income for PAC_YEARS + PAC_COST.</t>
        </is>
      </c>
      <c r="H84" s="23">
        <f>MAX(0,IF(OR((PAC_YEARS)&lt;=0,((IF(B45="",B33,B45))*12)&lt;=0),0,IF(ABS(realReturn)&lt;1E-12,((IF(B45="",B33,B45))*12)*(PAC_YEARS),((IF(B45="",B33,B45))*12)*(1-(1/((1+realReturn)))^(PAC_YEARS))/(1-(1/((1+realReturn))))))+B49)</f>
        <v/>
      </c>
      <c r="I84" s="23">
        <f>0</f>
        <v/>
      </c>
      <c r="J84" s="23">
        <f>MAX(0,H84-I84)</f>
        <v/>
      </c>
    </row>
    <row r="85">
      <c r="A85" s="16" t="inlineStr">
        <is>
          <t>N_LTC</t>
        </is>
      </c>
      <c r="B85" s="29">
        <f>ROUND(H85/$B$31,0)</f>
        <v/>
      </c>
      <c r="C85" s="29">
        <f>ROUND(I85/$B$31,0)</f>
        <v/>
      </c>
      <c r="D85" s="29">
        <f>MAX(0,B85-C85)</f>
        <v/>
      </c>
      <c r="E85" s="42" t="inlineStr"/>
      <c r="F85" s="27">
        <f>IF(E85="",NP_on_N_LTC,E85)</f>
        <v/>
      </c>
      <c r="G85" s="18" t="inlineStr">
        <is>
          <t>Annuity-due of LTC_COST over careYears (LTC start age → life expectancy), today's money.</t>
        </is>
      </c>
      <c r="H85" s="23">
        <f>MAX(0,IF(OR((B76)&lt;=0,(B50)&lt;=0),0,IF(ABS(realReturn)&lt;1E-12,(B50)*(B76),(B50)*(1-(1/((1+realReturn)))^(B76))/(1-(1/((1+realReturn)))))))</f>
        <v/>
      </c>
      <c r="I85" s="23">
        <f>0</f>
        <v/>
      </c>
      <c r="J85" s="23">
        <f>MAX(0,H85-I85)</f>
        <v/>
      </c>
    </row>
    <row r="86">
      <c r="A86" s="16" t="inlineStr">
        <is>
          <t>N_RET</t>
        </is>
      </c>
      <c r="B86" s="29">
        <f>ROUND(H86/$B$31,0)</f>
        <v/>
      </c>
      <c r="C86" s="29">
        <f>ROUND(I86/$B$31,0)</f>
        <v/>
      </c>
      <c r="D86" s="29">
        <f>MAX(0,B86-C86)</f>
        <v/>
      </c>
      <c r="E86" s="42" t="inlineStr"/>
      <c r="F86" s="27">
        <f>IF(E86="",NP_on_N_RET,E86)</f>
        <v/>
      </c>
      <c r="G86" s="18" t="inlineStr">
        <is>
          <t>annualSpend × (1+realReturn)^T × a(realReturn, yearsInRet).</t>
        </is>
      </c>
      <c r="H86" s="23">
        <f>MAX(0,IF(OR((B72)&lt;=0,(IF((B71)&lt;=0,MAX(0,B34*12*(IF(B14=1,RET_LIFESTYLE_FRUGAL,IF(B14=3,RET_LIFESTYLE_ONLYTHEBEST,RET_LIFESTYLE_STRESSFREE)))),(B34*12*(IF(B14=1,RET_LIFESTYLE_FRUGAL,IF(B14=3,RET_LIFESTYLE_ONLYTHEBEST,RET_LIFESTYLE_STRESSFREE))))*(1+realReturn)^(B71)))&lt;=0),0,IF(ABS(realReturn)&lt;1E-12,(IF((B71)&lt;=0,MAX(0,B34*12*(IF(B14=1,RET_LIFESTYLE_FRUGAL,IF(B14=3,RET_LIFESTYLE_ONLYTHEBEST,RET_LIFESTYLE_STRESSFREE)))),(B34*12*(IF(B14=1,RET_LIFESTYLE_FRUGAL,IF(B14=3,RET_LIFESTYLE_ONLYTHEBEST,RET_LIFESTYLE_STRESSFREE))))*(1+realReturn)^(B71)))*(B72),(IF((B71)&lt;=0,MAX(0,B34*12*(IF(B14=1,RET_LIFESTYLE_FRUGAL,IF(B14=3,RET_LIFESTYLE_ONLYTHEBEST,RET_LIFESTYLE_STRESSFREE)))),(B34*12*(IF(B14=1,RET_LIFESTYLE_FRUGAL,IF(B14=3,RET_LIFESTYLE_ONLYTHEBEST,RET_LIFESTYLE_STRESSFREE))))*(1+realReturn)^(B71)))*(1-(1+realReturn)^(-(B72)))/(realReturn))))</f>
        <v/>
      </c>
      <c r="I86" s="23">
        <f>IF((B71)&lt;=0,MAX(0,MIN(MAX(0,B41),MAX(0,B37))),(MIN(MAX(0,B41),MAX(0,B37)))*(1+realReturn)^(B71))</f>
        <v/>
      </c>
      <c r="J86" s="23">
        <f>MAX(0,H86-I86)</f>
        <v/>
      </c>
    </row>
    <row r="87">
      <c r="A87" s="16" t="inlineStr">
        <is>
          <t>N_EDU</t>
        </is>
      </c>
      <c r="B87" s="29">
        <f>ROUND(H87/$B$31,0)</f>
        <v/>
      </c>
      <c r="C87" s="29">
        <f>ROUND(I87/$B$31,0)</f>
        <v/>
      </c>
      <c r="D87" s="29">
        <f>MAX(0,B87-C87)</f>
        <v/>
      </c>
      <c r="E87" s="42" t="inlineStr"/>
      <c r="F87" s="27">
        <f>IF(E87="",NP_on_N_EDU,E87)</f>
        <v/>
      </c>
      <c r="G87" s="18" t="inlineStr">
        <is>
          <t>EDU_COST (USD) × (1+inflation)^eduYears.</t>
        </is>
      </c>
      <c r="H87" s="23">
        <f>MAX(0,B48*(1+inflationRate)^B73)</f>
        <v/>
      </c>
      <c r="I87" s="23">
        <f>IF((B73)&lt;=0,MAX(0,MIN(MAX(0,B42),MAX(0,B37-MIN(MAX(0,B41),MAX(0,B37))))),(MIN(MAX(0,B42),MAX(0,B37-MIN(MAX(0,B41),MAX(0,B37)))))*(1+realReturn)^(B73))</f>
        <v/>
      </c>
      <c r="J87" s="23">
        <f>MAX(0,H87-I87)</f>
        <v/>
      </c>
    </row>
    <row r="88">
      <c r="A88" s="16" t="inlineStr">
        <is>
          <t>N_SAV</t>
        </is>
      </c>
      <c r="B88" s="29">
        <f>ROUND(H88/$B$31,0)</f>
        <v/>
      </c>
      <c r="C88" s="29">
        <f>ROUND(I88/$B$31,0)</f>
        <v/>
      </c>
      <c r="D88" s="29">
        <f>MAX(0,B88-C88)</f>
        <v/>
      </c>
      <c r="E88" s="42" t="inlineStr"/>
      <c r="F88" s="27">
        <f>IF(E88="",NP_on_N_SAV,E88)</f>
        <v/>
      </c>
      <c r="G88" s="18" t="inlineStr">
        <is>
          <t>Stored or 1× annual income.</t>
        </is>
      </c>
      <c r="H88" s="23">
        <f>IF(B22&gt;0,B39,B33*12*SAV_INCOME_MULT)</f>
        <v/>
      </c>
      <c r="I88" s="23">
        <f>IF((B74)&lt;=0,MAX(0,MIN(MAX(0,B43),MAX(0,MAX(0,B37-MIN(MAX(0,B41),MAX(0,B37)))-MIN(MAX(0,B42),MAX(0,B37-MIN(MAX(0,B41),MAX(0,B37))))))),(MIN(MAX(0,B43),MAX(0,MAX(0,B37-MIN(MAX(0,B41),MAX(0,B37)))-MIN(MAX(0,B42),MAX(0,B37-MIN(MAX(0,B41),MAX(0,B37)))))))*(1+realReturn)^(B74))</f>
        <v/>
      </c>
      <c r="J88" s="23">
        <f>MAX(0,H88-I88)</f>
        <v/>
      </c>
    </row>
    <row r="89">
      <c r="A89" s="16" t="inlineStr">
        <is>
          <t>N_PRP</t>
        </is>
      </c>
      <c r="B89" s="29">
        <f>ROUND(H89/$B$31,0)</f>
        <v/>
      </c>
      <c r="C89" s="29">
        <f>ROUND(I89/$B$31,0)</f>
        <v/>
      </c>
      <c r="D89" s="29">
        <f>MAX(0,B89-C89)</f>
        <v/>
      </c>
      <c r="E89" s="42" t="inlineStr"/>
      <c r="F89" s="27">
        <f>IF(E89="",NP_on_N_PRP,E89)</f>
        <v/>
      </c>
      <c r="G89" s="18" t="inlineStr">
        <is>
          <t>Stored or 5× annual income.</t>
        </is>
      </c>
      <c r="H89" s="23">
        <f>IF(B23&gt;0,B40,B33*12*PRP_INCOME_MULT)</f>
        <v/>
      </c>
      <c r="I89" s="23">
        <f>IF((B75)&lt;=0,MAX(0,MIN(MAX(0,B44),MAX(0,MAX(0,MAX(0,B37-MIN(MAX(0,B41),MAX(0,B37)))-MIN(MAX(0,B42),MAX(0,B37-MIN(MAX(0,B41),MAX(0,B37)))))-MIN(MAX(0,B43),MAX(0,MAX(0,B37-MIN(MAX(0,B41),MAX(0,B37)))-MIN(MAX(0,B42),MAX(0,B37-MIN(MAX(0,B41),MAX(0,B37))))))))),(MIN(MAX(0,B44),MAX(0,MAX(0,MAX(0,B37-MIN(MAX(0,B41),MAX(0,B37)))-MIN(MAX(0,B42),MAX(0,B37-MIN(MAX(0,B41),MAX(0,B37)))))-MIN(MAX(0,B43),MAX(0,MAX(0,B37-MIN(MAX(0,B41),MAX(0,B37)))-MIN(MAX(0,B42),MAX(0,B37-MIN(MAX(0,B41),MAX(0,B37)))))))))*(1+realReturn)^(B75))</f>
        <v/>
      </c>
      <c r="J89" s="23">
        <f>MAX(0,H89-I89)</f>
        <v/>
      </c>
    </row>
    <row r="91">
      <c r="A91" s="16" t="inlineStr">
        <is>
          <t>C · STRESS R_LON  —  longevity: N_RET and N_LTC if the customer lives until LON_AGE (99). Does not change the plan</t>
        </is>
      </c>
      <c r="B91" s="16" t="n"/>
      <c r="C91" s="16" t="n"/>
      <c r="D91" s="16" t="n"/>
    </row>
    <row r="92">
      <c r="A92" s="38" t="inlineStr">
        <is>
          <t>LON_AGE</t>
        </is>
      </c>
      <c r="B92" s="44">
        <f>LON_AGE</f>
        <v/>
      </c>
      <c r="C92" s="36" t="inlineStr">
        <is>
          <t>D · assumption / shared</t>
        </is>
      </c>
      <c r="D92" s="18" t="inlineStr">
        <is>
          <t>Assumptions. Life expectancy under R_LON.</t>
        </is>
      </c>
    </row>
    <row r="93">
      <c r="A93" s="26" t="inlineStr">
        <is>
          <t>yearsInRet at LON_AGE</t>
        </is>
      </c>
      <c r="B93" s="46">
        <f>MAX(0,LON_AGE-B15)</f>
        <v/>
      </c>
      <c r="C93" s="27" t="inlineStr">
        <is>
          <t>C · calculated</t>
        </is>
      </c>
      <c r="D93" s="18" t="inlineStr">
        <is>
          <t>LON_AGE − retAge.</t>
        </is>
      </c>
    </row>
    <row r="94">
      <c r="A94" s="26" t="inlineStr">
        <is>
          <t>N_RET need at LON_AGE USD</t>
        </is>
      </c>
      <c r="B94" s="28">
        <f>MAX(0,IF(OR((B93)&lt;=0,(IF((B71)&lt;=0,MAX(0,B34*12*(IF(B14=1,RET_LIFESTYLE_FRUGAL,IF(B14=3,RET_LIFESTYLE_ONLYTHEBEST,RET_LIFESTYLE_STRESSFREE)))),(B34*12*(IF(B14=1,RET_LIFESTYLE_FRUGAL,IF(B14=3,RET_LIFESTYLE_ONLYTHEBEST,RET_LIFESTYLE_STRESSFREE))))*(1+realReturn)^(B71)))&lt;=0),0,IF(ABS(realReturn)&lt;1E-12,(IF((B71)&lt;=0,MAX(0,B34*12*(IF(B14=1,RET_LIFESTYLE_FRUGAL,IF(B14=3,RET_LIFESTYLE_ONLYTHEBEST,RET_LIFESTYLE_STRESSFREE)))),(B34*12*(IF(B14=1,RET_LIFESTYLE_FRUGAL,IF(B14=3,RET_LIFESTYLE_ONLYTHEBEST,RET_LIFESTYLE_STRESSFREE))))*(1+realReturn)^(B71)))*(B93),(IF((B71)&lt;=0,MAX(0,B34*12*(IF(B14=1,RET_LIFESTYLE_FRUGAL,IF(B14=3,RET_LIFESTYLE_ONLYTHEBEST,RET_LIFESTYLE_STRESSFREE)))),(B34*12*(IF(B14=1,RET_LIFESTYLE_FRUGAL,IF(B14=3,RET_LIFESTYLE_ONLYTHEBEST,RET_LIFESTYLE_STRESSFREE))))*(1+realReturn)^(B71)))*(1-(1+realReturn)^(-(B93)))/(realReturn))))</f>
        <v/>
      </c>
      <c r="C94" s="27" t="inlineStr">
        <is>
          <t>C · calculated</t>
        </is>
      </c>
      <c r="D94" s="18" t="inlineStr">
        <is>
          <t>Same formula as N_RET, years to LON_AGE.</t>
        </is>
      </c>
    </row>
    <row r="95">
      <c r="A95" s="26" t="inlineStr">
        <is>
          <t>N_RET need at LON_AGE</t>
        </is>
      </c>
      <c r="B95" s="29">
        <f>ROUND(B94/$B$31,0)</f>
        <v/>
      </c>
      <c r="C95" s="27" t="inlineStr">
        <is>
          <t>C · calculated</t>
        </is>
      </c>
      <c r="D95" s="18" t="inlineStr">
        <is>
          <t>User currency.</t>
        </is>
      </c>
    </row>
    <row r="96">
      <c r="A96" s="26" t="inlineStr">
        <is>
          <t>N_RET gap at LON_AGE</t>
        </is>
      </c>
      <c r="B96" s="29">
        <f>MAX(0,B95-C86)</f>
        <v/>
      </c>
      <c r="C96" s="27" t="inlineStr">
        <is>
          <t>C · calculated</t>
        </is>
      </c>
      <c r="D96" s="18" t="inlineStr">
        <is>
          <t>Need at 99 − have.</t>
        </is>
      </c>
    </row>
    <row r="97">
      <c r="A97" s="26" t="inlineStr">
        <is>
          <t>extra need from longevity</t>
        </is>
      </c>
      <c r="B97" s="29">
        <f>MAX(0,B95-B86)</f>
        <v/>
      </c>
      <c r="C97" s="27" t="inlineStr">
        <is>
          <t>C · calculated</t>
        </is>
      </c>
      <c r="D97" s="18" t="inlineStr">
        <is>
          <t>Need at 99 − base need.</t>
        </is>
      </c>
    </row>
    <row r="98">
      <c r="A98" s="26" t="inlineStr">
        <is>
          <t>careYears at LON_AGE</t>
        </is>
      </c>
      <c r="B98" s="46">
        <f>MAX(0,LON_AGE-B28)</f>
        <v/>
      </c>
      <c r="C98" s="27" t="inlineStr">
        <is>
          <t>C · calculated</t>
        </is>
      </c>
      <c r="D98" s="18" t="inlineStr">
        <is>
          <t>LON_AGE − LTC start age.</t>
        </is>
      </c>
    </row>
    <row r="99">
      <c r="A99" s="26" t="inlineStr">
        <is>
          <t>N_LTC need at LON_AGE</t>
        </is>
      </c>
      <c r="B99" s="29">
        <f>ROUND(MAX(0,IF(OR((B98)&lt;=0,(B50)&lt;=0),0,IF(ABS(realReturn)&lt;1E-12,(B50)*(B98),(B50)*(1-(1/((1+realReturn)))^(B98))/(1-(1/((1+realReturn)))))))/$B$31,0)</f>
        <v/>
      </c>
      <c r="C99" s="27" t="inlineStr">
        <is>
          <t>C · calculated</t>
        </is>
      </c>
      <c r="D99" s="18" t="inlineStr">
        <is>
          <t>Same formula as N_LTC, care until LON_AGE. User currency.</t>
        </is>
      </c>
    </row>
  </sheetData>
  <mergeCells count="8">
    <mergeCell ref="A1:D1"/>
    <mergeCell ref="A91:D91"/>
    <mergeCell ref="A69:D69"/>
    <mergeCell ref="A4:D4"/>
    <mergeCell ref="A78:D78"/>
    <mergeCell ref="A30:D30"/>
    <mergeCell ref="A52:D52"/>
    <mergeCell ref="A13:D13"/>
  </mergeCells>
  <dataValidations count="1">
    <dataValidation sqref="E80:E89"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92"/>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N_LTC on (from Need Calculator)</t>
        </is>
      </c>
      <c r="B17" s="13">
        <f>NC_on_N_LTC</f>
        <v/>
      </c>
      <c r="C17" s="13" t="inlineStr">
        <is>
          <t>A · input</t>
        </is>
      </c>
      <c r="D17" s="18" t="inlineStr">
        <is>
          <t>Effective enable after Need Calculator override.</t>
        </is>
      </c>
    </row>
    <row r="18">
      <c r="A18" s="17" t="inlineStr">
        <is>
          <t>N_LTC gap (from Need Calculator)</t>
        </is>
      </c>
      <c r="B18" s="47">
        <f>NC_gap_N_LTC</f>
        <v/>
      </c>
      <c r="C18" s="13" t="inlineStr">
        <is>
          <t>A · input</t>
        </is>
      </c>
      <c r="D18" s="18" t="inlineStr">
        <is>
          <t>remaining_gap.</t>
        </is>
      </c>
    </row>
    <row r="19">
      <c r="A19" s="17" t="inlineStr">
        <is>
          <t>N_RET on (from Need Calculator)</t>
        </is>
      </c>
      <c r="B19" s="13">
        <f>NC_on_N_RET</f>
        <v/>
      </c>
      <c r="C19" s="13" t="inlineStr">
        <is>
          <t>A · input</t>
        </is>
      </c>
      <c r="D19" s="18" t="inlineStr">
        <is>
          <t>Effective enable after Need Calculator override.</t>
        </is>
      </c>
    </row>
    <row r="20">
      <c r="A20" s="17" t="inlineStr">
        <is>
          <t>N_RET gap (from Need Calculator)</t>
        </is>
      </c>
      <c r="B20" s="47">
        <f>NC_gap_N_RET</f>
        <v/>
      </c>
      <c r="C20" s="13" t="inlineStr">
        <is>
          <t>A · input</t>
        </is>
      </c>
      <c r="D20" s="18" t="inlineStr">
        <is>
          <t>remaining_gap.</t>
        </is>
      </c>
    </row>
    <row r="21">
      <c r="A21" s="17" t="inlineStr">
        <is>
          <t>N_EDU on (from Need Calculator)</t>
        </is>
      </c>
      <c r="B21" s="13">
        <f>NC_on_N_EDU</f>
        <v/>
      </c>
      <c r="C21" s="13" t="inlineStr">
        <is>
          <t>A · input</t>
        </is>
      </c>
      <c r="D21" s="18" t="inlineStr">
        <is>
          <t>Effective enable after Need Calculator override.</t>
        </is>
      </c>
    </row>
    <row r="22">
      <c r="A22" s="17" t="inlineStr">
        <is>
          <t>N_EDU gap (from Need Calculator)</t>
        </is>
      </c>
      <c r="B22" s="47">
        <f>NC_gap_N_EDU</f>
        <v/>
      </c>
      <c r="C22" s="13" t="inlineStr">
        <is>
          <t>A · input</t>
        </is>
      </c>
      <c r="D22" s="18" t="inlineStr">
        <is>
          <t>remaining_gap.</t>
        </is>
      </c>
    </row>
    <row r="23">
      <c r="A23" s="17" t="inlineStr">
        <is>
          <t>N_SAV on (from Need Calculator)</t>
        </is>
      </c>
      <c r="B23" s="13">
        <f>NC_on_N_SAV</f>
        <v/>
      </c>
      <c r="C23" s="13" t="inlineStr">
        <is>
          <t>A · input</t>
        </is>
      </c>
      <c r="D23" s="18" t="inlineStr">
        <is>
          <t>Effective enable after Need Calculator override.</t>
        </is>
      </c>
    </row>
    <row r="24">
      <c r="A24" s="17" t="inlineStr">
        <is>
          <t>N_SAV gap (from Need Calculator)</t>
        </is>
      </c>
      <c r="B24" s="47">
        <f>NC_gap_N_SAV</f>
        <v/>
      </c>
      <c r="C24" s="13" t="inlineStr">
        <is>
          <t>A · input</t>
        </is>
      </c>
      <c r="D24" s="18" t="inlineStr">
        <is>
          <t>remaining_gap.</t>
        </is>
      </c>
    </row>
    <row r="25">
      <c r="A25" s="17" t="inlineStr">
        <is>
          <t>N_PRP on (from Need Calculator)</t>
        </is>
      </c>
      <c r="B25" s="13">
        <f>NC_on_N_PRP</f>
        <v/>
      </c>
      <c r="C25" s="13" t="inlineStr">
        <is>
          <t>A · input</t>
        </is>
      </c>
      <c r="D25" s="18" t="inlineStr">
        <is>
          <t>Effective enable after Need Calculator override.</t>
        </is>
      </c>
    </row>
    <row r="26">
      <c r="A26" s="17" t="inlineStr">
        <is>
          <t>N_PRP gap (from Need Calculator)</t>
        </is>
      </c>
      <c r="B26" s="47">
        <f>NC_gap_N_PRP</f>
        <v/>
      </c>
      <c r="C26" s="13" t="inlineStr">
        <is>
          <t>A · input</t>
        </is>
      </c>
      <c r="D26" s="18" t="inlineStr">
        <is>
          <t>remaining_gap.</t>
        </is>
      </c>
    </row>
    <row r="27">
      <c r="A27" s="17" t="inlineStr">
        <is>
          <t>yearsToRet (from Need Calculator)</t>
        </is>
      </c>
      <c r="B27" s="20">
        <f>NC_yearsToRet</f>
        <v/>
      </c>
      <c r="C27" s="13" t="inlineStr">
        <is>
          <t>A · input</t>
        </is>
      </c>
      <c r="D27" s="18" t="inlineStr">
        <is>
          <t>Retirement contribution horizon.</t>
        </is>
      </c>
    </row>
    <row r="28">
      <c r="A28" s="17" t="inlineStr">
        <is>
          <t>eduYears (from Need Calculator)</t>
        </is>
      </c>
      <c r="B28" s="20">
        <f>NC_eduYears</f>
        <v/>
      </c>
      <c r="C28" s="13" t="inlineStr">
        <is>
          <t>A · input</t>
        </is>
      </c>
      <c r="D28" s="18" t="inlineStr">
        <is>
          <t>N_EDU contribution horizon.</t>
        </is>
      </c>
    </row>
    <row r="29">
      <c r="A29" s="17" t="inlineStr">
        <is>
          <t>savYears (from Need Calculator)</t>
        </is>
      </c>
      <c r="B29" s="20">
        <f>NC_savYears</f>
        <v/>
      </c>
      <c r="C29" s="13" t="inlineStr">
        <is>
          <t>A · input</t>
        </is>
      </c>
      <c r="D29" s="18" t="inlineStr">
        <is>
          <t>N_SAV contribution horizon.</t>
        </is>
      </c>
    </row>
    <row r="30">
      <c r="A30" s="17" t="inlineStr">
        <is>
          <t>prpYears (from Need Calculator)</t>
        </is>
      </c>
      <c r="B30" s="20">
        <f>NC_prpYears</f>
        <v/>
      </c>
      <c r="C30" s="13" t="inlineStr">
        <is>
          <t>A · input</t>
        </is>
      </c>
      <c r="D30" s="18" t="inlineStr">
        <is>
          <t>N_PRP contribution horizon.</t>
        </is>
      </c>
    </row>
    <row r="32">
      <c r="A32" s="19" t="inlineStr">
        <is>
          <t>D · ASSUMPTIONS / SHARED DATA</t>
        </is>
      </c>
      <c r="B32" s="19" t="n"/>
      <c r="C32" s="19" t="n"/>
      <c r="D32" s="19" t="n"/>
    </row>
    <row r="33">
      <c r="A33" s="38" t="inlineStr">
        <is>
          <t>protectionPremiumRate</t>
        </is>
      </c>
      <c r="B33" s="45">
        <f>protectionPremiumRate</f>
        <v/>
      </c>
      <c r="C33" s="36" t="inlineStr">
        <is>
          <t>D · assumption / shared</t>
        </is>
      </c>
      <c r="D33" s="18" t="inlineStr">
        <is>
          <t>Dummy 0.00078. Future: premium-quote calculator API.</t>
        </is>
      </c>
    </row>
    <row r="34">
      <c r="A34" s="38" t="inlineStr">
        <is>
          <t>FREE_BUDGET_SHARE</t>
        </is>
      </c>
      <c r="B34" s="40">
        <f>FREE_BUDGET_SHARE</f>
        <v/>
      </c>
      <c r="C34" s="36" t="inlineStr">
        <is>
          <t>D · assumption / shared</t>
        </is>
      </c>
      <c r="D34" s="18" t="inlineStr">
        <is>
          <t>Half of leftover surplus split across wealth needs.</t>
        </is>
      </c>
    </row>
    <row r="35">
      <c r="A35" s="38" t="inlineStr">
        <is>
          <t>monthly step (user currency)</t>
        </is>
      </c>
      <c r="B35" s="55">
        <f>FX_monthlyStep</f>
        <v/>
      </c>
      <c r="C35" s="36" t="inlineStr">
        <is>
          <t>D · assumption / shared</t>
        </is>
      </c>
      <c r="D35" s="18" t="inlineStr">
        <is>
          <t>monthlyRoundStep (USD) as a nice step in user currency. SGD: 50.</t>
        </is>
      </c>
    </row>
    <row r="36">
      <c r="A36" s="38" t="inlineStr">
        <is>
          <t>premium step (user currency)</t>
        </is>
      </c>
      <c r="B36" s="55">
        <f>FX_coverPremStep</f>
        <v/>
      </c>
      <c r="C36" s="36" t="inlineStr">
        <is>
          <t>D · assumption / shared</t>
        </is>
      </c>
      <c r="D36" s="18" t="inlineStr">
        <is>
          <t>coverPremRoundStep (USD) as a nice step in user currency. SGD: 10.</t>
        </is>
      </c>
    </row>
    <row r="37">
      <c r="A37" s="38" t="inlineStr">
        <is>
          <t>realReturn</t>
        </is>
      </c>
      <c r="B37" s="45">
        <f>realReturn</f>
        <v/>
      </c>
      <c r="C37" s="36" t="inlineStr">
        <is>
          <t>D · assumption / shared</t>
        </is>
      </c>
      <c r="D37" s="18" t="inlineStr">
        <is>
          <t>annualPmtToHitFv for the wealth cap.</t>
        </is>
      </c>
    </row>
    <row r="39">
      <c r="A39" s="16" t="inlineStr">
        <is>
          <t>C · DETERMINISTICALLY CALCULATED  —  suggested flags and protection sizing</t>
        </is>
      </c>
      <c r="B39" s="16" t="n"/>
      <c r="C39" s="16" t="n"/>
      <c r="D39" s="16" t="n"/>
    </row>
    <row r="40">
      <c r="A40" s="26" t="inlineStr">
        <is>
          <t>sug N_INC</t>
        </is>
      </c>
      <c r="B40" s="27">
        <f>AND(NC_on_N_INC,NC_gap_N_INC&gt;0)</f>
        <v/>
      </c>
      <c r="C40" s="27" t="inlineStr">
        <is>
          <t>C · calculated</t>
        </is>
      </c>
      <c r="D40" s="18" t="inlineStr">
        <is>
          <t>enabled AND gap &gt; 0.</t>
        </is>
      </c>
    </row>
    <row r="41">
      <c r="A41" s="26" t="inlineStr">
        <is>
          <t>sug N_CRI</t>
        </is>
      </c>
      <c r="B41" s="27">
        <f>AND(NC_on_N_CRI,NC_gap_N_CRI&gt;0)</f>
        <v/>
      </c>
      <c r="C41" s="27" t="inlineStr">
        <is>
          <t>C · calculated</t>
        </is>
      </c>
      <c r="D41" s="18" t="inlineStr">
        <is>
          <t>enabled AND gap &gt; 0.</t>
        </is>
      </c>
    </row>
    <row r="42">
      <c r="A42" s="26" t="inlineStr">
        <is>
          <t>sug N_TPD</t>
        </is>
      </c>
      <c r="B42" s="27">
        <f>AND(NC_on_N_TPD,NC_gap_N_TPD&gt;0)</f>
        <v/>
      </c>
      <c r="C42" s="27" t="inlineStr">
        <is>
          <t>C · calculated</t>
        </is>
      </c>
      <c r="D42" s="18" t="inlineStr">
        <is>
          <t>enabled AND gap &gt; 0.</t>
        </is>
      </c>
    </row>
    <row r="43">
      <c r="A43" s="26" t="inlineStr">
        <is>
          <t>sug N_HOS</t>
        </is>
      </c>
      <c r="B43" s="27">
        <f>AND(NC_on_N_HOS,NC_gap_N_HOS&gt;0)</f>
        <v/>
      </c>
      <c r="C43" s="27" t="inlineStr">
        <is>
          <t>C · calculated</t>
        </is>
      </c>
      <c r="D43" s="18" t="inlineStr">
        <is>
          <t>enabled AND gap &gt; 0.</t>
        </is>
      </c>
    </row>
    <row r="44">
      <c r="A44" s="26" t="inlineStr">
        <is>
          <t>sug N_PAC</t>
        </is>
      </c>
      <c r="B44" s="27">
        <f>AND(NC_on_N_PAC,NC_gap_N_PAC&gt;0)</f>
        <v/>
      </c>
      <c r="C44" s="27" t="inlineStr">
        <is>
          <t>C · calculated</t>
        </is>
      </c>
      <c r="D44" s="18" t="inlineStr">
        <is>
          <t>enabled AND gap &gt; 0.</t>
        </is>
      </c>
    </row>
    <row r="45">
      <c r="A45" s="26" t="inlineStr">
        <is>
          <t>sug N_LTC</t>
        </is>
      </c>
      <c r="B45" s="27">
        <f>AND(NC_on_N_LTC,NC_gap_N_LTC&gt;0)</f>
        <v/>
      </c>
      <c r="C45" s="27" t="inlineStr">
        <is>
          <t>C · calculated</t>
        </is>
      </c>
      <c r="D45" s="18" t="inlineStr">
        <is>
          <t>enabled AND gap &gt; 0.</t>
        </is>
      </c>
    </row>
    <row r="46">
      <c r="A46" s="26" t="inlineStr">
        <is>
          <t>sug N_RET</t>
        </is>
      </c>
      <c r="B46" s="27">
        <f>AND(NC_on_N_RET,NC_gap_N_RET&gt;0)</f>
        <v/>
      </c>
      <c r="C46" s="27" t="inlineStr">
        <is>
          <t>C · calculated</t>
        </is>
      </c>
      <c r="D46" s="18" t="inlineStr">
        <is>
          <t>enabled AND gap &gt; 0.</t>
        </is>
      </c>
    </row>
    <row r="47">
      <c r="A47" s="26" t="inlineStr">
        <is>
          <t>sug N_EDU</t>
        </is>
      </c>
      <c r="B47" s="27">
        <f>AND(NC_on_N_EDU,NC_gap_N_EDU&gt;0)</f>
        <v/>
      </c>
      <c r="C47" s="27" t="inlineStr">
        <is>
          <t>C · calculated</t>
        </is>
      </c>
      <c r="D47" s="18" t="inlineStr">
        <is>
          <t>enabled AND gap &gt; 0.</t>
        </is>
      </c>
    </row>
    <row r="48">
      <c r="A48" s="26" t="inlineStr">
        <is>
          <t>sug N_SAV</t>
        </is>
      </c>
      <c r="B48" s="27">
        <f>AND(NC_on_N_SAV,NC_gap_N_SAV&gt;0)</f>
        <v/>
      </c>
      <c r="C48" s="27" t="inlineStr">
        <is>
          <t>C · calculated</t>
        </is>
      </c>
      <c r="D48" s="18" t="inlineStr">
        <is>
          <t>enabled AND gap &gt; 0.</t>
        </is>
      </c>
    </row>
    <row r="49">
      <c r="A49" s="26" t="inlineStr">
        <is>
          <t>sug N_PRP</t>
        </is>
      </c>
      <c r="B49" s="27">
        <f>AND(NC_on_N_PRP,NC_gap_N_PRP&gt;0)</f>
        <v/>
      </c>
      <c r="C49" s="27" t="inlineStr">
        <is>
          <t>C · calculated</t>
        </is>
      </c>
      <c r="D49" s="18" t="inlineStr">
        <is>
          <t>enabled AND gap &gt; 0.</t>
        </is>
      </c>
    </row>
    <row r="50">
      <c r="A50" s="26" t="inlineStr">
        <is>
          <t>n wealth suggested</t>
        </is>
      </c>
      <c r="B50" s="46">
        <f>(B46*1)+(B47*1)+(B48*1)+(B49*1)</f>
        <v/>
      </c>
      <c r="C50" s="27" t="inlineStr">
        <is>
          <t>C · calculated</t>
        </is>
      </c>
      <c r="D50" s="18" t="inlineStr">
        <is>
          <t>Count of suggested wealth needs.</t>
        </is>
      </c>
    </row>
    <row r="51">
      <c r="A51" s="26" t="inlineStr">
        <is>
          <t>planSum N_INC</t>
        </is>
      </c>
      <c r="B51" s="29">
        <f>IF(B40,MAX(0,ROUND(NC_gap_N_INC,0)),0)</f>
        <v/>
      </c>
      <c r="C51" s="27" t="inlineStr">
        <is>
          <t>C · calculated</t>
        </is>
      </c>
      <c r="D51" s="18" t="inlineStr">
        <is>
          <t>Suggested protection sum = gap.</t>
        </is>
      </c>
    </row>
    <row r="52">
      <c r="A52" s="26" t="inlineStr">
        <is>
          <t>planPrem N_INC</t>
        </is>
      </c>
      <c r="B52" s="29">
        <f>IF(B51&lt;=0,0,MAX(0,ROUND((B51*protectionPremiumRate)/FX_coverPremStep,0)*FX_coverPremStep))</f>
        <v/>
      </c>
      <c r="C52" s="27" t="inlineStr">
        <is>
          <t>C · calculated</t>
        </is>
      </c>
      <c r="D52" s="18" t="inlineStr">
        <is>
          <t>coverPremiumFor(sum). Indicative, not half of slider max.</t>
        </is>
      </c>
    </row>
    <row r="53">
      <c r="A53" s="26" t="inlineStr">
        <is>
          <t>planSum N_CRI</t>
        </is>
      </c>
      <c r="B53" s="29">
        <f>IF(B41,MAX(0,ROUND(NC_gap_N_CRI,0)),0)</f>
        <v/>
      </c>
      <c r="C53" s="27" t="inlineStr">
        <is>
          <t>C · calculated</t>
        </is>
      </c>
      <c r="D53" s="18" t="inlineStr">
        <is>
          <t>Suggested protection sum = gap.</t>
        </is>
      </c>
    </row>
    <row r="54">
      <c r="A54" s="26" t="inlineStr">
        <is>
          <t>planPrem N_CRI</t>
        </is>
      </c>
      <c r="B54" s="29">
        <f>IF(B53&lt;=0,0,MAX(0,ROUND((B53*protectionPremiumRate)/FX_coverPremStep,0)*FX_coverPremStep))</f>
        <v/>
      </c>
      <c r="C54" s="27" t="inlineStr">
        <is>
          <t>C · calculated</t>
        </is>
      </c>
      <c r="D54" s="18" t="inlineStr">
        <is>
          <t>coverPremiumFor(sum). Indicative, not half of slider max.</t>
        </is>
      </c>
    </row>
    <row r="55">
      <c r="A55" s="26" t="inlineStr">
        <is>
          <t>planSum N_TPD</t>
        </is>
      </c>
      <c r="B55" s="29">
        <f>IF(B42,MAX(0,ROUND(NC_gap_N_TPD,0)),0)</f>
        <v/>
      </c>
      <c r="C55" s="27" t="inlineStr">
        <is>
          <t>C · calculated</t>
        </is>
      </c>
      <c r="D55" s="18" t="inlineStr">
        <is>
          <t>Suggested protection sum = gap.</t>
        </is>
      </c>
    </row>
    <row r="56">
      <c r="A56" s="26" t="inlineStr">
        <is>
          <t>planPrem N_TPD</t>
        </is>
      </c>
      <c r="B56" s="29">
        <f>IF(B55&lt;=0,0,MAX(0,ROUND((B55*protectionPremiumRate)/FX_coverPremStep,0)*FX_coverPremStep))</f>
        <v/>
      </c>
      <c r="C56" s="27" t="inlineStr">
        <is>
          <t>C · calculated</t>
        </is>
      </c>
      <c r="D56" s="18" t="inlineStr">
        <is>
          <t>coverPremiumFor(sum). Indicative, not half of slider max.</t>
        </is>
      </c>
    </row>
    <row r="57">
      <c r="A57" s="26" t="inlineStr">
        <is>
          <t>planSum N_HOS</t>
        </is>
      </c>
      <c r="B57" s="29">
        <f>IF(B43,MAX(0,ROUND(NC_gap_N_HOS,0)),0)</f>
        <v/>
      </c>
      <c r="C57" s="27" t="inlineStr">
        <is>
          <t>C · calculated</t>
        </is>
      </c>
      <c r="D57" s="18" t="inlineStr">
        <is>
          <t>Suggested protection sum = gap.</t>
        </is>
      </c>
    </row>
    <row r="58">
      <c r="A58" s="26" t="inlineStr">
        <is>
          <t>planPrem N_HOS</t>
        </is>
      </c>
      <c r="B58" s="29">
        <f>IF(B57&lt;=0,0,MAX(0,ROUND((B57*protectionPremiumRate)/FX_coverPremStep,0)*FX_coverPremStep))</f>
        <v/>
      </c>
      <c r="C58" s="27" t="inlineStr">
        <is>
          <t>C · calculated</t>
        </is>
      </c>
      <c r="D58" s="18" t="inlineStr">
        <is>
          <t>coverPremiumFor(sum). Indicative, not half of slider max.</t>
        </is>
      </c>
    </row>
    <row r="59">
      <c r="A59" s="26" t="inlineStr">
        <is>
          <t>planSum N_PAC</t>
        </is>
      </c>
      <c r="B59" s="29">
        <f>IF(B44,MAX(0,ROUND(NC_gap_N_PAC,0)),0)</f>
        <v/>
      </c>
      <c r="C59" s="27" t="inlineStr">
        <is>
          <t>C · calculated</t>
        </is>
      </c>
      <c r="D59" s="18" t="inlineStr">
        <is>
          <t>Suggested protection sum = gap.</t>
        </is>
      </c>
    </row>
    <row r="60">
      <c r="A60" s="26" t="inlineStr">
        <is>
          <t>planPrem N_PAC</t>
        </is>
      </c>
      <c r="B60" s="29">
        <f>IF(B59&lt;=0,0,MAX(0,ROUND((B59*protectionPremiumRate)/FX_coverPremStep,0)*FX_coverPremStep))</f>
        <v/>
      </c>
      <c r="C60" s="27" t="inlineStr">
        <is>
          <t>C · calculated</t>
        </is>
      </c>
      <c r="D60" s="18" t="inlineStr">
        <is>
          <t>coverPremiumFor(sum). Indicative, not half of slider max.</t>
        </is>
      </c>
    </row>
    <row r="61">
      <c r="A61" s="26" t="inlineStr">
        <is>
          <t>planSum N_LTC</t>
        </is>
      </c>
      <c r="B61" s="29">
        <f>IF(B45,MAX(0,ROUND(NC_gap_N_LTC,0)),0)</f>
        <v/>
      </c>
      <c r="C61" s="27" t="inlineStr">
        <is>
          <t>C · calculated</t>
        </is>
      </c>
      <c r="D61" s="18" t="inlineStr">
        <is>
          <t>Suggested protection sum = gap.</t>
        </is>
      </c>
    </row>
    <row r="62">
      <c r="A62" s="26" t="inlineStr">
        <is>
          <t>planPrem N_LTC</t>
        </is>
      </c>
      <c r="B62" s="29">
        <f>IF(B61&lt;=0,0,MAX(0,ROUND((B61*protectionPremiumRate)/FX_coverPremStep,0)*FX_coverPremStep))</f>
        <v/>
      </c>
      <c r="C62" s="27" t="inlineStr">
        <is>
          <t>C · calculated</t>
        </is>
      </c>
      <c r="D62" s="18" t="inlineStr">
        <is>
          <t>coverPremiumFor(sum). Indicative, not half of slider max.</t>
        </is>
      </c>
    </row>
    <row r="63">
      <c r="A63" s="26" t="inlineStr">
        <is>
          <t>prot prem / yr</t>
        </is>
      </c>
      <c r="B63" s="29">
        <f>B52+B54+B56+B58+B60+B62</f>
        <v/>
      </c>
      <c r="C63" s="27" t="inlineStr">
        <is>
          <t>C · calculated</t>
        </is>
      </c>
      <c r="D63" s="18" t="inlineStr">
        <is>
          <t>Sum of suggested protection premiums (before Include?).</t>
        </is>
      </c>
    </row>
    <row r="64">
      <c r="A64" s="26" t="inlineStr">
        <is>
          <t>default wealth mth share</t>
        </is>
      </c>
      <c r="B64" s="29">
        <f>IF(B50=0,0,MAX(0,ROUNDDOWN((MAX(0,PLU_takeHome-PLU_expenseMonthly)*FREE_BUDGET_SHARE-B63/12)/B50/FX_monthlyStep,0)*FX_monthlyStep))</f>
        <v/>
      </c>
      <c r="C64" s="27" t="inlineStr">
        <is>
          <t>C · calculated</t>
        </is>
      </c>
      <c r="D64" s="18" t="inlineStr">
        <is>
          <t>V0-24: (free budget − protection premiums / 12) ÷ n wealth, rounded DOWN to the monthly step. Free budget = 50% of monthly surplus, as in the Budget Calculator, so the default plan always fits.</t>
        </is>
      </c>
    </row>
    <row r="65">
      <c r="A65" s="26" t="inlineStr">
        <is>
          <t>cap mth N_RET</t>
        </is>
      </c>
      <c r="B65"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5" s="27" t="inlineStr">
        <is>
          <t>C · calculated</t>
        </is>
      </c>
      <c r="D65" s="18" t="inlineStr">
        <is>
          <t>annualPmtToHitFv / 12, rounded up to the monthly step.</t>
        </is>
      </c>
    </row>
    <row r="66">
      <c r="A66" s="26" t="inlineStr">
        <is>
          <t>planMth N_RET</t>
        </is>
      </c>
      <c r="B66" s="29">
        <f>IF(B46,MIN(B64,B65),0)</f>
        <v/>
      </c>
      <c r="C66" s="27" t="inlineStr">
        <is>
          <t>C · calculated</t>
        </is>
      </c>
      <c r="D66" s="18" t="inlineStr">
        <is>
          <t>min(default share, cap).</t>
        </is>
      </c>
    </row>
    <row r="67">
      <c r="A67" s="26" t="inlineStr">
        <is>
          <t>planLump N_RET</t>
        </is>
      </c>
      <c r="B67" s="29" t="n">
        <v>0</v>
      </c>
      <c r="C67" s="27" t="inlineStr">
        <is>
          <t>C · calculated</t>
        </is>
      </c>
      <c r="D67" s="18" t="inlineStr">
        <is>
          <t>Default lump is 0.</t>
        </is>
      </c>
    </row>
    <row r="68">
      <c r="A68" s="26" t="inlineStr">
        <is>
          <t>cap mth N_EDU</t>
        </is>
      </c>
      <c r="B68"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8" s="27" t="inlineStr">
        <is>
          <t>C · calculated</t>
        </is>
      </c>
      <c r="D68" s="18" t="inlineStr">
        <is>
          <t>annualPmtToHitFv / 12, rounded up to the monthly step.</t>
        </is>
      </c>
    </row>
    <row r="69">
      <c r="A69" s="26" t="inlineStr">
        <is>
          <t>planMth N_EDU</t>
        </is>
      </c>
      <c r="B69" s="29">
        <f>IF(B47,MIN(B64,B68),0)</f>
        <v/>
      </c>
      <c r="C69" s="27" t="inlineStr">
        <is>
          <t>C · calculated</t>
        </is>
      </c>
      <c r="D69" s="18" t="inlineStr">
        <is>
          <t>min(default share, cap).</t>
        </is>
      </c>
    </row>
    <row r="70">
      <c r="A70" s="26" t="inlineStr">
        <is>
          <t>planLump N_EDU</t>
        </is>
      </c>
      <c r="B70" s="29" t="n">
        <v>0</v>
      </c>
      <c r="C70" s="27" t="inlineStr">
        <is>
          <t>C · calculated</t>
        </is>
      </c>
      <c r="D70" s="18" t="inlineStr">
        <is>
          <t>Default lump is 0.</t>
        </is>
      </c>
    </row>
    <row r="71">
      <c r="A71" s="26" t="inlineStr">
        <is>
          <t>cap mth N_SAV</t>
        </is>
      </c>
      <c r="B71" s="29">
        <f>IF((IF(OR((NC_gap_N_SAV)&lt;=0,(NC_savYears)&lt;=0),0,IF(ABS(realReturn)&lt;1E-12,(NC_gap_N_SAV)/(NC_savYears),(NC_gap_N_SAV)*realReturn/((1+realReturn)^(NC_savYears)-1))))&lt;=0,0,ROUNDUP((IF(OR((NC_gap_N_SAV)&lt;=0,(NC_savYears)&lt;=0),0,IF(ABS(realReturn)&lt;1E-12,(NC_gap_N_SAV)/(NC_savYears),(NC_gap_N_SAV)*realReturn/((1+realReturn)^(NC_savYears)-1))))/12/FX_monthlyStep,0)*FX_monthlyStep)</f>
        <v/>
      </c>
      <c r="C71" s="27" t="inlineStr">
        <is>
          <t>C · calculated</t>
        </is>
      </c>
      <c r="D71" s="18" t="inlineStr">
        <is>
          <t>annualPmtToHitFv / 12, rounded up to the monthly step.</t>
        </is>
      </c>
    </row>
    <row r="72">
      <c r="A72" s="26" t="inlineStr">
        <is>
          <t>planMth N_SAV</t>
        </is>
      </c>
      <c r="B72" s="29">
        <f>IF(B48,MIN(B64,B71),0)</f>
        <v/>
      </c>
      <c r="C72" s="27" t="inlineStr">
        <is>
          <t>C · calculated</t>
        </is>
      </c>
      <c r="D72" s="18" t="inlineStr">
        <is>
          <t>min(default share, cap).</t>
        </is>
      </c>
    </row>
    <row r="73">
      <c r="A73" s="26" t="inlineStr">
        <is>
          <t>planLump N_SAV</t>
        </is>
      </c>
      <c r="B73" s="29" t="n">
        <v>0</v>
      </c>
      <c r="C73" s="27" t="inlineStr">
        <is>
          <t>C · calculated</t>
        </is>
      </c>
      <c r="D73" s="18" t="inlineStr">
        <is>
          <t>Default lump is 0.</t>
        </is>
      </c>
    </row>
    <row r="74">
      <c r="A74" s="26" t="inlineStr">
        <is>
          <t>cap mth N_PRP</t>
        </is>
      </c>
      <c r="B74" s="29">
        <f>IF((IF(OR((NC_gap_N_PRP)&lt;=0,(NC_prpYears)&lt;=0),0,IF(ABS(realReturn)&lt;1E-12,(NC_gap_N_PRP)/(NC_prpYears),(NC_gap_N_PRP)*realReturn/((1+realReturn)^(NC_prpYears)-1))))&lt;=0,0,ROUNDUP((IF(OR((NC_gap_N_PRP)&lt;=0,(NC_prpYears)&lt;=0),0,IF(ABS(realReturn)&lt;1E-12,(NC_gap_N_PRP)/(NC_prpYears),(NC_gap_N_PRP)*realReturn/((1+realReturn)^(NC_prpYears)-1))))/12/FX_monthlyStep,0)*FX_monthlyStep)</f>
        <v/>
      </c>
      <c r="C74" s="27" t="inlineStr">
        <is>
          <t>C · calculated</t>
        </is>
      </c>
      <c r="D74" s="18" t="inlineStr">
        <is>
          <t>annualPmtToHitFv / 12, rounded up to the monthly step.</t>
        </is>
      </c>
    </row>
    <row r="75">
      <c r="A75" s="26" t="inlineStr">
        <is>
          <t>planMth N_PRP</t>
        </is>
      </c>
      <c r="B75" s="29">
        <f>IF(B49,MIN(B64,B74),0)</f>
        <v/>
      </c>
      <c r="C75" s="27" t="inlineStr">
        <is>
          <t>C · calculated</t>
        </is>
      </c>
      <c r="D75" s="18" t="inlineStr">
        <is>
          <t>min(default share, cap).</t>
        </is>
      </c>
    </row>
    <row r="76">
      <c r="A76" s="26" t="inlineStr">
        <is>
          <t>planLump N_PRP</t>
        </is>
      </c>
      <c r="B76" s="29" t="n">
        <v>0</v>
      </c>
      <c r="C76" s="27" t="inlineStr">
        <is>
          <t>C · calculated</t>
        </is>
      </c>
      <c r="D76" s="18" t="inlineStr">
        <is>
          <t>Default lump is 0.</t>
        </is>
      </c>
    </row>
    <row r="78">
      <c r="A78" s="16" t="inlineStr">
        <is>
          <t>C · RESULTS  —  Include? blank keeps the suggested product</t>
        </is>
      </c>
      <c r="B78" s="16" t="n"/>
      <c r="C78" s="16" t="n"/>
      <c r="D78" s="16" t="n"/>
    </row>
    <row r="79">
      <c r="A79" s="3" t="inlineStr">
        <is>
          <t>type</t>
        </is>
      </c>
      <c r="B79" s="16" t="inlineStr">
        <is>
          <t>suggested</t>
        </is>
      </c>
      <c r="C79" s="21" t="inlineStr">
        <is>
          <t>Include?</t>
        </is>
      </c>
      <c r="D79" s="16" t="inlineStr">
        <is>
          <t>included</t>
        </is>
      </c>
    </row>
    <row r="80">
      <c r="A80" s="16" t="inlineStr">
        <is>
          <t>N_INC</t>
        </is>
      </c>
      <c r="B80" s="27">
        <f>B40</f>
        <v/>
      </c>
      <c r="C80" s="42" t="inlineStr"/>
      <c r="D80" s="27">
        <f>AND(B80,IF(C80="",TRUE,C80))</f>
        <v/>
      </c>
    </row>
    <row r="81">
      <c r="A81" s="16" t="inlineStr">
        <is>
          <t>N_CRI</t>
        </is>
      </c>
      <c r="B81" s="27">
        <f>B41</f>
        <v/>
      </c>
      <c r="C81" s="42" t="inlineStr"/>
      <c r="D81" s="27">
        <f>AND(B81,IF(C81="",TRUE,C81))</f>
        <v/>
      </c>
    </row>
    <row r="82">
      <c r="A82" s="16" t="inlineStr">
        <is>
          <t>N_TPD</t>
        </is>
      </c>
      <c r="B82" s="27">
        <f>B42</f>
        <v/>
      </c>
      <c r="C82" s="42" t="inlineStr"/>
      <c r="D82" s="27">
        <f>AND(B82,IF(C82="",TRUE,C82))</f>
        <v/>
      </c>
    </row>
    <row r="83">
      <c r="A83" s="16" t="inlineStr">
        <is>
          <t>N_HOS</t>
        </is>
      </c>
      <c r="B83" s="27">
        <f>B43</f>
        <v/>
      </c>
      <c r="C83" s="42" t="inlineStr"/>
      <c r="D83" s="27">
        <f>AND(B83,IF(C83="",TRUE,C83))</f>
        <v/>
      </c>
    </row>
    <row r="84">
      <c r="A84" s="16" t="inlineStr">
        <is>
          <t>N_PAC</t>
        </is>
      </c>
      <c r="B84" s="27">
        <f>B44</f>
        <v/>
      </c>
      <c r="C84" s="42" t="inlineStr"/>
      <c r="D84" s="27">
        <f>AND(B84,IF(C84="",TRUE,C84))</f>
        <v/>
      </c>
    </row>
    <row r="85">
      <c r="A85" s="16" t="inlineStr">
        <is>
          <t>N_LTC</t>
        </is>
      </c>
      <c r="B85" s="27">
        <f>B45</f>
        <v/>
      </c>
      <c r="C85" s="42" t="inlineStr"/>
      <c r="D85" s="27">
        <f>AND(B85,IF(C85="",TRUE,C85))</f>
        <v/>
      </c>
    </row>
    <row r="86">
      <c r="A86" s="16" t="inlineStr">
        <is>
          <t>N_RET</t>
        </is>
      </c>
      <c r="B86" s="27">
        <f>B46</f>
        <v/>
      </c>
      <c r="C86" s="42" t="inlineStr"/>
      <c r="D86" s="27">
        <f>AND(B86,IF(C86="",TRUE,C86))</f>
        <v/>
      </c>
    </row>
    <row r="87">
      <c r="A87" s="16" t="inlineStr">
        <is>
          <t>N_EDU</t>
        </is>
      </c>
      <c r="B87" s="27">
        <f>B47</f>
        <v/>
      </c>
      <c r="C87" s="42" t="inlineStr"/>
      <c r="D87" s="27">
        <f>AND(B87,IF(C87="",TRUE,C87))</f>
        <v/>
      </c>
    </row>
    <row r="88">
      <c r="A88" s="16" t="inlineStr">
        <is>
          <t>N_SAV</t>
        </is>
      </c>
      <c r="B88" s="27">
        <f>B48</f>
        <v/>
      </c>
      <c r="C88" s="42" t="inlineStr"/>
      <c r="D88" s="27">
        <f>AND(B88,IF(C88="",TRUE,C88))</f>
        <v/>
      </c>
    </row>
    <row r="89">
      <c r="A89" s="16" t="inlineStr">
        <is>
          <t>N_PRP</t>
        </is>
      </c>
      <c r="B89" s="27">
        <f>B49</f>
        <v/>
      </c>
      <c r="C89" s="42" t="inlineStr"/>
      <c r="D89" s="27">
        <f>AND(B89,IF(C89="",TRUE,C89))</f>
        <v/>
      </c>
    </row>
    <row r="91">
      <c r="A91" s="26" t="inlineStr">
        <is>
          <t>investMth</t>
        </is>
      </c>
      <c r="B91" s="29">
        <f>(D86*B66)+(D87*B69)+(D88*B72)+(D89*B75)</f>
        <v/>
      </c>
      <c r="C91" s="27" t="inlineStr">
        <is>
          <t>C · calculated</t>
        </is>
      </c>
      <c r="D91" s="18" t="inlineStr">
        <is>
          <t>Sum of included wealth monthly contributions.</t>
        </is>
      </c>
    </row>
    <row r="92">
      <c r="A92" s="26" t="inlineStr">
        <is>
          <t>investLump</t>
        </is>
      </c>
      <c r="B92" s="29">
        <f>(D86*B67)+(D87*B70)+(D88*B73)+(D89*B76)</f>
        <v/>
      </c>
      <c r="C92" s="27" t="inlineStr">
        <is>
          <t>C · calculated</t>
        </is>
      </c>
      <c r="D92" s="18" t="inlineStr">
        <is>
          <t>Sum of included wealth lumps (default 0).</t>
        </is>
      </c>
    </row>
  </sheetData>
  <mergeCells count="5">
    <mergeCell ref="A1:D1"/>
    <mergeCell ref="A4:D4"/>
    <mergeCell ref="A78:D78"/>
    <mergeCell ref="A39:D39"/>
    <mergeCell ref="A32:D32"/>
  </mergeCells>
  <dataValidations count="1">
    <dataValidation sqref="C80:C89"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included N_LTC premium</t>
        </is>
      </c>
      <c r="B13" s="47">
        <f>IF(PLAN_included_N_LTC,PLAN_prem_N_LTC,0)</f>
        <v/>
      </c>
      <c r="C13" s="13" t="inlineStr">
        <is>
          <t>A · input</t>
        </is>
      </c>
      <c r="D13" s="18" t="inlineStr">
        <is>
          <t>V0-19.</t>
        </is>
      </c>
    </row>
    <row r="14">
      <c r="A14" s="17" t="inlineStr">
        <is>
          <t>investMth (from Plan)</t>
        </is>
      </c>
      <c r="B14" s="47">
        <f>PLAN_investMth</f>
        <v/>
      </c>
      <c r="C14" s="13" t="inlineStr">
        <is>
          <t>A · input</t>
        </is>
      </c>
      <c r="D14" s="18" t="inlineStr">
        <is>
          <t>Included wealth contributions.</t>
        </is>
      </c>
    </row>
    <row r="15">
      <c r="A15" s="17" t="inlineStr">
        <is>
          <t>investLump (from Plan)</t>
        </is>
      </c>
      <c r="B15" s="47">
        <f>PLAN_investLump</f>
        <v/>
      </c>
      <c r="C15" s="13" t="inlineStr">
        <is>
          <t>A · input</t>
        </is>
      </c>
      <c r="D15" s="18" t="inlineStr">
        <is>
          <t>Included wealth lumps.</t>
        </is>
      </c>
    </row>
    <row r="17">
      <c r="A17" s="19" t="inlineStr">
        <is>
          <t>D · ASSUMPTIONS / SHARED DATA</t>
        </is>
      </c>
      <c r="B17" s="19" t="n"/>
      <c r="C17" s="19" t="n"/>
      <c r="D17" s="19" t="n"/>
    </row>
    <row r="18">
      <c r="A18" s="38" t="inlineStr">
        <is>
          <t>FREE_BUDGET_SHARE</t>
        </is>
      </c>
      <c r="B18" s="40">
        <f>FREE_BUDGET_SHARE</f>
        <v/>
      </c>
      <c r="C18" s="36" t="inlineStr">
        <is>
          <t>D · assumption / shared</t>
        </is>
      </c>
      <c r="D18" s="18" t="inlineStr">
        <is>
          <t>Half of monthly surplus is the free budget.</t>
        </is>
      </c>
    </row>
    <row r="20">
      <c r="A20" s="16" t="inlineStr">
        <is>
          <t>C · DETERMINISTICALLY CALCULATED  —  planAfford</t>
        </is>
      </c>
      <c r="B20" s="16" t="n"/>
      <c r="C20" s="16" t="n"/>
      <c r="D20" s="16" t="n"/>
    </row>
    <row r="21">
      <c r="A21" s="26" t="inlineStr">
        <is>
          <t>available</t>
        </is>
      </c>
      <c r="B21" s="28">
        <f>MAX(0,PLU_takeHome-PLU_expenseMonthly)</f>
        <v/>
      </c>
      <c r="C21" s="27" t="inlineStr">
        <is>
          <t>C · calculated</t>
        </is>
      </c>
      <c r="D21" s="18" t="inlineStr">
        <is>
          <t>max(0, take-home − expense).</t>
        </is>
      </c>
    </row>
    <row r="22">
      <c r="A22" s="26" t="inlineStr">
        <is>
          <t>free (50%)</t>
        </is>
      </c>
      <c r="B22" s="29">
        <f>ROUND(B21*FREE_BUDGET_SHARE,0)</f>
        <v/>
      </c>
      <c r="C22" s="27" t="inlineStr">
        <is>
          <t>C · calculated</t>
        </is>
      </c>
      <c r="D22" s="18" t="inlineStr">
        <is>
          <t>available × 50%, rounded.</t>
        </is>
      </c>
    </row>
    <row r="23">
      <c r="A23" s="26" t="inlineStr">
        <is>
          <t>included prot prem / yr</t>
        </is>
      </c>
      <c r="B23" s="29">
        <f>IF(PLAN_included_N_INC,PLAN_prem_N_INC,0)+IF(PLAN_included_N_CRI,PLAN_prem_N_CRI,0)+IF(PLAN_included_N_TPD,PLAN_prem_N_TPD,0)+IF(PLAN_included_N_HOS,PLAN_prem_N_HOS,0)+IF(PLAN_included_N_PAC,PLAN_prem_N_PAC,0)+IF(PLAN_included_N_LTC,PLAN_prem_N_LTC,0)</f>
        <v/>
      </c>
      <c r="C23" s="27" t="inlineStr">
        <is>
          <t>C · calculated</t>
        </is>
      </c>
      <c r="D23" s="18" t="inlineStr">
        <is>
          <t>Sum of included protection premiums.</t>
        </is>
      </c>
    </row>
    <row r="24">
      <c r="A24" s="26" t="inlineStr">
        <is>
          <t>premMth (display)</t>
        </is>
      </c>
      <c r="B24" s="29">
        <f>ROUND(B23/12,0)</f>
        <v/>
      </c>
      <c r="C24" s="27" t="inlineStr">
        <is>
          <t>C · calculated</t>
        </is>
      </c>
      <c r="D24" s="18" t="inlineStr">
        <is>
          <t>Annual premiums / 12.</t>
        </is>
      </c>
    </row>
    <row r="25">
      <c r="A25" s="26" t="inlineStr">
        <is>
          <t>contribMth</t>
        </is>
      </c>
      <c r="B25" s="29">
        <f>PLAN_investMth</f>
        <v/>
      </c>
      <c r="C25" s="27" t="inlineStr">
        <is>
          <t>C · calculated</t>
        </is>
      </c>
      <c r="D25" s="18" t="inlineStr">
        <is>
          <t>Same as investMth.</t>
        </is>
      </c>
    </row>
    <row r="26">
      <c r="A26" s="26" t="inlineStr">
        <is>
          <t>monthly</t>
        </is>
      </c>
      <c r="B26" s="29">
        <f>ROUND(PLAN_investMth+B23/12,0)</f>
        <v/>
      </c>
      <c r="C26" s="27" t="inlineStr">
        <is>
          <t>C · calculated</t>
        </is>
      </c>
      <c r="D26" s="18" t="inlineStr">
        <is>
          <t>contrib + prem/12.</t>
        </is>
      </c>
    </row>
    <row r="27">
      <c r="A27" s="26" t="inlineStr">
        <is>
          <t>monthlyOver</t>
        </is>
      </c>
      <c r="B27" s="29">
        <f>B26-B22</f>
        <v/>
      </c>
      <c r="C27" s="27" t="inlineStr">
        <is>
          <t>C · calculated</t>
        </is>
      </c>
      <c r="D27" s="18" t="inlineStr">
        <is>
          <t>&gt; 0 means the plan exceeds the free budget.</t>
        </is>
      </c>
    </row>
    <row r="28">
      <c r="A28" s="26" t="inlineStr">
        <is>
          <t>lumps</t>
        </is>
      </c>
      <c r="B28" s="29">
        <f>PLAN_investLump</f>
        <v/>
      </c>
      <c r="C28" s="27" t="inlineStr">
        <is>
          <t>C · calculated</t>
        </is>
      </c>
      <c r="D28" s="18" t="inlineStr">
        <is>
          <t>Included lumps.</t>
        </is>
      </c>
    </row>
    <row r="29">
      <c r="A29" s="26" t="inlineStr">
        <is>
          <t>lumpOver</t>
        </is>
      </c>
      <c r="B29" s="29">
        <f>B28-PLU_investments</f>
        <v/>
      </c>
      <c r="C29" s="27" t="inlineStr">
        <is>
          <t>C · calculated</t>
        </is>
      </c>
      <c r="D29" s="18"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S25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path end age (sent: LON_AGE)</t>
        </is>
      </c>
      <c r="B18" s="44">
        <f>LON_AGE</f>
        <v/>
      </c>
      <c r="C18" s="36" t="inlineStr">
        <is>
          <t>D · assumption / shared</t>
        </is>
      </c>
      <c r="D18" s="18" t="inlineStr">
        <is>
          <t>V0-21: GP sends the cap (99); was SV tenant 100.</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N_EDU withdrawal year</t>
        </is>
      </c>
      <c r="B44" s="46">
        <f>IF(NC_eduYears&gt;=1,NC_eduYears,SV_T)</f>
        <v/>
      </c>
      <c r="C44" s="27" t="inlineStr">
        <is>
          <t>C · calculated</t>
        </is>
      </c>
      <c r="D44" s="18" t="inlineStr">
        <is>
          <t>fundsNeededYear − now (V0-24: own target year).</t>
        </is>
      </c>
    </row>
    <row r="45">
      <c r="A45" s="26" t="inlineStr">
        <is>
          <t>N_EDU withdrawal amount</t>
        </is>
      </c>
      <c r="B45" s="29">
        <f>IF(NC_eduYears&lt;=SV_T,NC_on_N_EDU*NC_amount_N_EDU,0)</f>
        <v/>
      </c>
      <c r="C45" s="27" t="inlineStr">
        <is>
          <t>C · calculated</t>
        </is>
      </c>
      <c r="D45" s="18" t="inlineStr">
        <is>
          <t>capitalSumRequired, not inflated. Leaves savings in that year.</t>
        </is>
      </c>
    </row>
    <row r="46">
      <c r="A46" s="26" t="inlineStr">
        <is>
          <t>N_SAV withdrawal year</t>
        </is>
      </c>
      <c r="B46" s="46">
        <f>IF(NC_savYears&gt;=1,NC_savYears,SV_T)</f>
        <v/>
      </c>
      <c r="C46" s="27" t="inlineStr">
        <is>
          <t>C · calculated</t>
        </is>
      </c>
      <c r="D46" s="18" t="inlineStr">
        <is>
          <t>fundsNeededYear − now (V0-24: own target year).</t>
        </is>
      </c>
    </row>
    <row r="47">
      <c r="A47" s="26" t="inlineStr">
        <is>
          <t>N_SAV withdrawal amount</t>
        </is>
      </c>
      <c r="B47" s="29">
        <f>IF(NC_savYears&lt;=SV_T,NC_on_N_SAV*NC_amount_N_SAV,0)</f>
        <v/>
      </c>
      <c r="C47" s="27" t="inlineStr">
        <is>
          <t>C · calculated</t>
        </is>
      </c>
      <c r="D47" s="18" t="inlineStr">
        <is>
          <t>capitalSumRequired, not inflated. Leaves savings in that year.</t>
        </is>
      </c>
    </row>
    <row r="48">
      <c r="A48" s="26" t="inlineStr">
        <is>
          <t>N_PRP withdrawal year</t>
        </is>
      </c>
      <c r="B48" s="46">
        <f>IF(NC_prpYears&gt;=1,NC_prpYears,SV_T)</f>
        <v/>
      </c>
      <c r="C48" s="27" t="inlineStr">
        <is>
          <t>C · calculated</t>
        </is>
      </c>
      <c r="D48" s="18" t="inlineStr">
        <is>
          <t>fundsNeededYear − now (V0-24: own target year).</t>
        </is>
      </c>
    </row>
    <row r="49">
      <c r="A49" s="26" t="inlineStr">
        <is>
          <t>N_PRP withdrawal amount</t>
        </is>
      </c>
      <c r="B49" s="29">
        <f>IF(NC_prpYears&lt;=SV_T,NC_on_N_PRP*NC_amount_N_PRP,0)</f>
        <v/>
      </c>
      <c r="C49" s="27" t="inlineStr">
        <is>
          <t>C · calculated</t>
        </is>
      </c>
      <c r="D49" s="18" t="inlineStr">
        <is>
          <t>capitalSumRequired, not inflated. Leaves savings in that year.</t>
        </is>
      </c>
    </row>
    <row r="50">
      <c r="A50" s="26" t="inlineStr">
        <is>
          <t>plan RET monthly</t>
        </is>
      </c>
      <c r="B50" s="29">
        <f>IF(PLAN_included_N_RET,PLAN_mth_N_RET,0)</f>
        <v/>
      </c>
      <c r="C50" s="27" t="inlineStr">
        <is>
          <t>C · calculated</t>
        </is>
      </c>
      <c r="D50" s="18" t="inlineStr">
        <is>
          <t>plan_benefit_visualizer pot.</t>
        </is>
      </c>
    </row>
    <row r="51">
      <c r="A51" s="26" t="inlineStr">
        <is>
          <t>plan RET lump</t>
        </is>
      </c>
      <c r="B51" s="29">
        <f>IF(PLAN_included_N_RET,PLAN_lump_N_RET,0)</f>
        <v/>
      </c>
      <c r="C51" s="27" t="inlineStr">
        <is>
          <t>C · calculated</t>
        </is>
      </c>
      <c r="D51" s="18" t="inlineStr"/>
    </row>
    <row r="52">
      <c r="A52" s="26" t="inlineStr">
        <is>
          <t>plan RET pay years</t>
        </is>
      </c>
      <c r="B52" s="46">
        <f>MAX(1,SV_ret-SV_age)</f>
        <v/>
      </c>
      <c r="C52" s="27" t="inlineStr">
        <is>
          <t>C · calculated</t>
        </is>
      </c>
      <c r="D52" s="18" t="inlineStr"/>
    </row>
    <row r="53">
      <c r="A53" s="26" t="inlineStr">
        <is>
          <t>plan N_EDU monthly</t>
        </is>
      </c>
      <c r="B53" s="29">
        <f>IF(PLAN_included_N_EDU,PLAN_mth_N_EDU,0)</f>
        <v/>
      </c>
      <c r="C53" s="27" t="inlineStr">
        <is>
          <t>C · calculated</t>
        </is>
      </c>
      <c r="D53" s="18" t="inlineStr">
        <is>
          <t>One pot column for the three goals.</t>
        </is>
      </c>
    </row>
    <row r="54">
      <c r="A54" s="26" t="inlineStr">
        <is>
          <t>plan N_EDU lump</t>
        </is>
      </c>
      <c r="B54" s="29">
        <f>IF(PLAN_included_N_EDU,PLAN_lump_N_EDU,0)</f>
        <v/>
      </c>
      <c r="C54" s="27" t="inlineStr">
        <is>
          <t>C · calculated</t>
        </is>
      </c>
      <c r="D54" s="18" t="inlineStr"/>
    </row>
    <row r="55">
      <c r="A55" s="26" t="inlineStr">
        <is>
          <t>plan N_EDU pay years</t>
        </is>
      </c>
      <c r="B55" s="46">
        <f>MAX(1,NC_eduYears)</f>
        <v/>
      </c>
      <c r="C55" s="27" t="inlineStr">
        <is>
          <t>C · calculated</t>
        </is>
      </c>
      <c r="D55" s="18" t="inlineStr">
        <is>
          <t>V0-24: own target year.</t>
        </is>
      </c>
    </row>
    <row r="56">
      <c r="A56" s="26" t="inlineStr">
        <is>
          <t>plan N_SAV monthly</t>
        </is>
      </c>
      <c r="B56" s="29">
        <f>IF(PLAN_included_N_SAV,PLAN_mth_N_SAV,0)</f>
        <v/>
      </c>
      <c r="C56" s="27" t="inlineStr">
        <is>
          <t>C · calculated</t>
        </is>
      </c>
      <c r="D56" s="18" t="inlineStr">
        <is>
          <t>One pot column for the three goals.</t>
        </is>
      </c>
    </row>
    <row r="57">
      <c r="A57" s="26" t="inlineStr">
        <is>
          <t>plan N_SAV lump</t>
        </is>
      </c>
      <c r="B57" s="29">
        <f>IF(PLAN_included_N_SAV,PLAN_lump_N_SAV,0)</f>
        <v/>
      </c>
      <c r="C57" s="27" t="inlineStr">
        <is>
          <t>C · calculated</t>
        </is>
      </c>
      <c r="D57" s="18" t="inlineStr"/>
    </row>
    <row r="58">
      <c r="A58" s="26" t="inlineStr">
        <is>
          <t>plan N_SAV pay years</t>
        </is>
      </c>
      <c r="B58" s="46">
        <f>MAX(1,NC_savYears)</f>
        <v/>
      </c>
      <c r="C58" s="27" t="inlineStr">
        <is>
          <t>C · calculated</t>
        </is>
      </c>
      <c r="D58" s="18" t="inlineStr">
        <is>
          <t>V0-24: own target year.</t>
        </is>
      </c>
    </row>
    <row r="59">
      <c r="A59" s="26" t="inlineStr">
        <is>
          <t>plan N_PRP monthly</t>
        </is>
      </c>
      <c r="B59" s="29">
        <f>IF(PLAN_included_N_PRP,PLAN_mth_N_PRP,0)</f>
        <v/>
      </c>
      <c r="C59" s="27" t="inlineStr">
        <is>
          <t>C · calculated</t>
        </is>
      </c>
      <c r="D59" s="18" t="inlineStr">
        <is>
          <t>One pot column for the three goals.</t>
        </is>
      </c>
    </row>
    <row r="60">
      <c r="A60" s="26" t="inlineStr">
        <is>
          <t>plan N_PRP lump</t>
        </is>
      </c>
      <c r="B60" s="29">
        <f>IF(PLAN_included_N_PRP,PLAN_lump_N_PRP,0)</f>
        <v/>
      </c>
      <c r="C60" s="27" t="inlineStr">
        <is>
          <t>C · calculated</t>
        </is>
      </c>
      <c r="D60" s="18" t="inlineStr"/>
    </row>
    <row r="61">
      <c r="A61" s="26" t="inlineStr">
        <is>
          <t>plan N_PRP pay years</t>
        </is>
      </c>
      <c r="B61" s="46">
        <f>MAX(1,NC_prpYears)</f>
        <v/>
      </c>
      <c r="C61" s="27" t="inlineStr">
        <is>
          <t>C · calculated</t>
        </is>
      </c>
      <c r="D61" s="18" t="inlineStr">
        <is>
          <t>V0-24: own target year.</t>
        </is>
      </c>
    </row>
    <row r="62">
      <c r="A62" s="26" t="inlineStr">
        <is>
          <t>plan protection premium / yr</t>
        </is>
      </c>
      <c r="B62" s="29">
        <f>IF(PLAN_included_N_INC,PLAN_prem_N_INC,0)+IF(PLAN_included_N_CRI,PLAN_prem_N_CRI,0)+IF(PLAN_included_N_TPD,PLAN_prem_N_TPD,0)+IF(PLAN_included_N_HOS,PLAN_prem_N_HOS,0)+IF(PLAN_included_N_PAC,PLAN_prem_N_PAC,0)+IF(PLAN_included_N_LTC,PLAN_prem_N_LTC,0)</f>
        <v/>
      </c>
      <c r="C62" s="27" t="inlineStr">
        <is>
          <t>C · calculated</t>
        </is>
      </c>
      <c r="D62" s="18" t="inlineStr">
        <is>
          <t>Premiums only: protection pots have no account value on SV's no-death path. Includes N_PAC and N_LTC.</t>
        </is>
      </c>
    </row>
    <row r="63">
      <c r="A63" s="26" t="inlineStr">
        <is>
          <t>plan protection pay years</t>
        </is>
      </c>
      <c r="B63" s="46">
        <f>MAX(1,SV_ret-SV_age)</f>
        <v/>
      </c>
      <c r="C63" s="27" t="inlineStr">
        <is>
          <t>C · calculated</t>
        </is>
      </c>
      <c r="D63" s="18" t="inlineStr"/>
    </row>
    <row r="65">
      <c r="A65" s="21" t="inlineStr">
        <is>
          <t>E · OVERRIDE  —  stress events (blank size = off). Slider years as on the SV screen</t>
        </is>
      </c>
      <c r="B65" s="21" t="n"/>
      <c r="C65" s="21" t="n"/>
      <c r="D65" s="21" t="n"/>
    </row>
    <row r="66">
      <c r="A66" s="41" t="inlineStr">
        <is>
          <t>R_MKT market crash: year</t>
        </is>
      </c>
      <c r="B66" s="53" t="inlineStr"/>
      <c r="C66" s="42" t="inlineStr">
        <is>
          <t>E · user / frontend override</t>
        </is>
      </c>
      <c r="D66" s="18" t="inlineStr">
        <is>
          <t>Slider year; SV applies it at year + 1.</t>
        </is>
      </c>
    </row>
    <row r="67">
      <c r="A67" s="41" t="inlineStr">
        <is>
          <t>R_MKT market crash: size</t>
        </is>
      </c>
      <c r="B67" s="58" t="inlineStr"/>
      <c r="C67" s="42" t="inlineStr">
        <is>
          <t>E · user / frontend override</t>
        </is>
      </c>
      <c r="D67" s="18" t="inlineStr">
        <is>
          <t>e.g. 0.35. Every asset × (1 − size).</t>
        </is>
      </c>
    </row>
    <row r="68">
      <c r="A68" s="41" t="inlineStr">
        <is>
          <t>R_CCY currency shock: year</t>
        </is>
      </c>
      <c r="B68" s="53" t="inlineStr"/>
      <c r="C68" s="42" t="inlineStr">
        <is>
          <t>E · user / frontend override</t>
        </is>
      </c>
      <c r="D68" s="18" t="inlineStr"/>
    </row>
    <row r="69">
      <c r="A69" s="41" t="inlineStr">
        <is>
          <t>R_CCY currency shock: size</t>
        </is>
      </c>
      <c r="B69" s="58" t="inlineStr"/>
      <c r="C69" s="42" t="inlineStr">
        <is>
          <t>E · user / frontend override</t>
        </is>
      </c>
      <c r="D69" s="18" t="inlineStr">
        <is>
          <t>Liquid assets × (1 − size × 2/3).</t>
        </is>
      </c>
    </row>
    <row r="70">
      <c r="A70" s="41" t="inlineStr">
        <is>
          <t>R_INF inflation shock: from</t>
        </is>
      </c>
      <c r="B70" s="53" t="inlineStr"/>
      <c r="C70" s="42" t="inlineStr">
        <is>
          <t>E · user / frontend override</t>
        </is>
      </c>
      <c r="D70" s="18" t="inlineStr"/>
    </row>
    <row r="71">
      <c r="A71" s="41" t="inlineStr">
        <is>
          <t>R_INF inflation shock: to</t>
        </is>
      </c>
      <c r="B71" s="53" t="inlineStr"/>
      <c r="C71" s="42" t="inlineStr">
        <is>
          <t>E · user / frontend override</t>
        </is>
      </c>
      <c r="D71" s="18" t="inlineStr"/>
    </row>
    <row r="72">
      <c r="A72" s="41" t="inlineStr">
        <is>
          <t>R_INF inflation shock: extra</t>
        </is>
      </c>
      <c r="B72" s="59" t="inlineStr"/>
      <c r="C72" s="42" t="inlineStr">
        <is>
          <t>E · user / frontend override</t>
        </is>
      </c>
      <c r="D72" s="18" t="inlineStr">
        <is>
          <t>Added to inflationRate for the window.</t>
        </is>
      </c>
    </row>
    <row r="73">
      <c r="A73" s="41" t="inlineStr">
        <is>
          <t>R_ICT income impact: from</t>
        </is>
      </c>
      <c r="B73" s="53" t="inlineStr"/>
      <c r="C73" s="42" t="inlineStr">
        <is>
          <t>E · user / frontend override</t>
        </is>
      </c>
      <c r="D73" s="18" t="inlineStr"/>
    </row>
    <row r="74">
      <c r="A74" s="41" t="inlineStr">
        <is>
          <t>R_ICT income impact: to</t>
        </is>
      </c>
      <c r="B74" s="53" t="inlineStr"/>
      <c r="C74" s="42" t="inlineStr">
        <is>
          <t>E · user / frontend override</t>
        </is>
      </c>
      <c r="D74" s="18" t="inlineStr"/>
    </row>
    <row r="75">
      <c r="A75" s="41" t="inlineStr">
        <is>
          <t>R_ICT income impact: size</t>
        </is>
      </c>
      <c r="B75" s="58" t="inlineStr"/>
      <c r="C75" s="42" t="inlineStr">
        <is>
          <t>E · user / frontend override</t>
        </is>
      </c>
      <c r="D75" s="18" t="inlineStr">
        <is>
          <t>−0.2 = salary × 0.8 (also the CPF wage).</t>
        </is>
      </c>
    </row>
    <row r="76">
      <c r="A76" s="41" t="inlineStr">
        <is>
          <t>R_EXP expense impact: from</t>
        </is>
      </c>
      <c r="B76" s="53" t="inlineStr"/>
      <c r="C76" s="42" t="inlineStr">
        <is>
          <t>E · user / frontend override</t>
        </is>
      </c>
      <c r="D76" s="18" t="inlineStr"/>
    </row>
    <row r="77">
      <c r="A77" s="41" t="inlineStr">
        <is>
          <t>R_EXP expense impact: to</t>
        </is>
      </c>
      <c r="B77" s="53" t="inlineStr"/>
      <c r="C77" s="42" t="inlineStr">
        <is>
          <t>E · user / frontend override</t>
        </is>
      </c>
      <c r="D77" s="18" t="inlineStr"/>
    </row>
    <row r="78">
      <c r="A78" s="41" t="inlineStr">
        <is>
          <t>R_EXP expense impact: size</t>
        </is>
      </c>
      <c r="B78" s="58" t="inlineStr"/>
      <c r="C78" s="42" t="inlineStr">
        <is>
          <t>E · user / frontend override</t>
        </is>
      </c>
      <c r="D78" s="18" t="inlineStr">
        <is>
          <t>Scales spend, instalment and goal withdrawals.</t>
        </is>
      </c>
    </row>
    <row r="79">
      <c r="A79" s="26" t="inlineStr">
        <is>
          <t>crash on</t>
        </is>
      </c>
      <c r="B79" s="27">
        <f>SV_crashV&lt;&gt;""</f>
        <v/>
      </c>
      <c r="C79" s="27" t="inlineStr">
        <is>
          <t>C · calculated</t>
        </is>
      </c>
      <c r="D79" s="18" t="inlineStr"/>
    </row>
    <row r="80">
      <c r="A80" s="26" t="inlineStr">
        <is>
          <t>crash year (SV)</t>
        </is>
      </c>
      <c r="B80" s="46">
        <f>MAX(1,N(SV_crashY)+1)</f>
        <v/>
      </c>
      <c r="C80" s="27" t="inlineStr">
        <is>
          <t>C · calculated</t>
        </is>
      </c>
      <c r="D80" s="18" t="inlineStr"/>
    </row>
    <row r="81">
      <c r="A81" s="26" t="inlineStr">
        <is>
          <t>crash factor</t>
        </is>
      </c>
      <c r="B81" s="60">
        <f>1-ABS(N(SV_crashV))</f>
        <v/>
      </c>
      <c r="C81" s="27" t="inlineStr">
        <is>
          <t>C · calculated</t>
        </is>
      </c>
      <c r="D81" s="18" t="inlineStr"/>
    </row>
    <row r="82">
      <c r="A82" s="26" t="inlineStr">
        <is>
          <t>currency on</t>
        </is>
      </c>
      <c r="B82" s="27">
        <f>SV_ccyV&lt;&gt;""</f>
        <v/>
      </c>
      <c r="C82" s="27" t="inlineStr">
        <is>
          <t>C · calculated</t>
        </is>
      </c>
      <c r="D82" s="18" t="inlineStr"/>
    </row>
    <row r="83">
      <c r="A83" s="26" t="inlineStr">
        <is>
          <t>currency year (SV)</t>
        </is>
      </c>
      <c r="B83" s="46">
        <f>MAX(1,N(SV_ccyY)+1)</f>
        <v/>
      </c>
      <c r="C83" s="27" t="inlineStr">
        <is>
          <t>C · calculated</t>
        </is>
      </c>
      <c r="D83" s="18" t="inlineStr"/>
    </row>
    <row r="84">
      <c r="A84" s="26" t="inlineStr">
        <is>
          <t>currency factor</t>
        </is>
      </c>
      <c r="B84" s="60">
        <f>1-ABS(N(SV_ccyV))*SV_fxShare</f>
        <v/>
      </c>
      <c r="C84" s="27" t="inlineStr">
        <is>
          <t>C · calculated</t>
        </is>
      </c>
      <c r="D84" s="18" t="inlineStr"/>
    </row>
    <row r="85">
      <c r="A85" s="26" t="inlineStr">
        <is>
          <t>inflation on</t>
        </is>
      </c>
      <c r="B85" s="27">
        <f>SV_inflV&lt;&gt;""</f>
        <v/>
      </c>
      <c r="C85" s="27" t="inlineStr">
        <is>
          <t>C · calculated</t>
        </is>
      </c>
      <c r="D85" s="18" t="inlineStr"/>
    </row>
    <row r="86">
      <c r="A86" s="26" t="inlineStr">
        <is>
          <t>inflation first year (SV)</t>
        </is>
      </c>
      <c r="B86" s="46">
        <f>MAX(1,N(SV_inflFrom)+1)</f>
        <v/>
      </c>
      <c r="C86" s="27" t="inlineStr">
        <is>
          <t>C · calculated</t>
        </is>
      </c>
      <c r="D86" s="18" t="inlineStr"/>
    </row>
    <row r="87">
      <c r="A87" s="26" t="inlineStr">
        <is>
          <t>inflation last year (SV)</t>
        </is>
      </c>
      <c r="B87" s="46">
        <f>MAX(SV_inflS,N(SV_inflTo)+1)</f>
        <v/>
      </c>
      <c r="C87" s="27" t="inlineStr">
        <is>
          <t>C · calculated</t>
        </is>
      </c>
      <c r="D87" s="18" t="inlineStr"/>
    </row>
    <row r="88">
      <c r="A88" s="26" t="inlineStr">
        <is>
          <t>income on</t>
        </is>
      </c>
      <c r="B88" s="27">
        <f>SV_incV&lt;&gt;""</f>
        <v/>
      </c>
      <c r="C88" s="27" t="inlineStr">
        <is>
          <t>C · calculated</t>
        </is>
      </c>
      <c r="D88" s="18" t="inlineStr"/>
    </row>
    <row r="89">
      <c r="A89" s="26" t="inlineStr">
        <is>
          <t>income first year (SV)</t>
        </is>
      </c>
      <c r="B89" s="46">
        <f>MAX(1,N(SV_incFrom)+1)</f>
        <v/>
      </c>
      <c r="C89" s="27" t="inlineStr">
        <is>
          <t>C · calculated</t>
        </is>
      </c>
      <c r="D89" s="18" t="inlineStr"/>
    </row>
    <row r="90">
      <c r="A90" s="26" t="inlineStr">
        <is>
          <t>income last year (SV)</t>
        </is>
      </c>
      <c r="B90" s="46">
        <f>MAX(SV_incS,N(SV_incTo)+1)</f>
        <v/>
      </c>
      <c r="C90" s="27" t="inlineStr">
        <is>
          <t>C · calculated</t>
        </is>
      </c>
      <c r="D90" s="18" t="inlineStr"/>
    </row>
    <row r="91">
      <c r="A91" s="26" t="inlineStr">
        <is>
          <t>expense on</t>
        </is>
      </c>
      <c r="B91" s="27">
        <f>SV_expV&lt;&gt;""</f>
        <v/>
      </c>
      <c r="C91" s="27" t="inlineStr">
        <is>
          <t>C · calculated</t>
        </is>
      </c>
      <c r="D91" s="18" t="inlineStr"/>
    </row>
    <row r="92">
      <c r="A92" s="26" t="inlineStr">
        <is>
          <t>expense first year (SV)</t>
        </is>
      </c>
      <c r="B92" s="46">
        <f>MAX(1,N(SV_expFrom)+1)</f>
        <v/>
      </c>
      <c r="C92" s="27" t="inlineStr">
        <is>
          <t>C · calculated</t>
        </is>
      </c>
      <c r="D92" s="18" t="inlineStr"/>
    </row>
    <row r="93">
      <c r="A93" s="26" t="inlineStr">
        <is>
          <t>expense last year (SV)</t>
        </is>
      </c>
      <c r="B93" s="46">
        <f>MAX(SV_expS,N(SV_expTo)+1)</f>
        <v/>
      </c>
      <c r="C93" s="27" t="inlineStr">
        <is>
          <t>C · calculated</t>
        </is>
      </c>
      <c r="D93" s="18" t="inlineStr"/>
    </row>
    <row r="94">
      <c r="A94" s="26" t="inlineStr">
        <is>
          <t>shock inflation rate</t>
        </is>
      </c>
      <c r="B94" s="57">
        <f>inflationRate+ABS(N(SV_inflV))</f>
        <v/>
      </c>
      <c r="C94" s="27" t="inlineStr">
        <is>
          <t>C · calculated</t>
        </is>
      </c>
      <c r="D94" s="18" t="inlineStr"/>
    </row>
    <row r="95">
      <c r="A95" s="26" t="inlineStr">
        <is>
          <t>income impact</t>
        </is>
      </c>
      <c r="B95" s="43">
        <f>IF(N(SV_incV)&lt;=0,N(SV_incV),-ABS(N(SV_incV)))</f>
        <v/>
      </c>
      <c r="C95" s="27" t="inlineStr">
        <is>
          <t>C · calculated</t>
        </is>
      </c>
      <c r="D95" s="18" t="inlineStr"/>
    </row>
    <row r="96">
      <c r="A96" s="26" t="inlineStr">
        <is>
          <t>expense impact</t>
        </is>
      </c>
      <c r="B96" s="43">
        <f>ABS(N(SV_expV))</f>
        <v/>
      </c>
      <c r="C96" s="27" t="inlineStr">
        <is>
          <t>C · calculated</t>
        </is>
      </c>
      <c r="D96" s="18" t="inlineStr"/>
    </row>
    <row r="97">
      <c r="A97" s="41" t="inlineStr">
        <is>
          <t>R_LON longevity: on (TRUE / blank)</t>
        </is>
      </c>
      <c r="B97" s="42" t="inlineStr"/>
      <c r="C97" s="42" t="inlineStr">
        <is>
          <t>E · user / frontend override</t>
        </is>
      </c>
      <c r="D97" s="18" t="inlineStr">
        <is>
          <t>Chart horizon to LON_AGE (99). SV already runs the path to 100.</t>
        </is>
      </c>
    </row>
    <row r="98">
      <c r="A98" s="26" t="inlineStr">
        <is>
          <t>R_LON on</t>
        </is>
      </c>
      <c r="B98" s="27">
        <f>SV_lonV=TRUE</f>
        <v/>
      </c>
      <c r="C98" s="27" t="inlineStr">
        <is>
          <t>C · calculated</t>
        </is>
      </c>
      <c r="D98" s="18" t="inlineStr"/>
    </row>
    <row r="99">
      <c r="A99" s="26" t="inlineStr">
        <is>
          <t>chart horizon (age)</t>
        </is>
      </c>
      <c r="B99" s="46">
        <f>IF(SV_lonOn,LON_AGE,PLU_leUsed)</f>
        <v/>
      </c>
      <c r="C99" s="27" t="inlineStr">
        <is>
          <t>C · calculated</t>
        </is>
      </c>
      <c r="D99" s="18" t="inlineStr">
        <is>
          <t>Session life expectancy, or LON_AGE under R_LON.</t>
        </is>
      </c>
    </row>
    <row r="100">
      <c r="A100" s="41" t="inlineStr">
        <is>
          <t>R_DEA death: on (TRUE / blank)</t>
        </is>
      </c>
      <c r="B100" s="42" t="inlineStr"/>
      <c r="C100" s="42" t="inlineStr">
        <is>
          <t>E · user / frontend override</t>
        </is>
      </c>
      <c r="D100" s="18" t="inlineStr">
        <is>
          <t>Size and timing from Assumptions (R_DEA_SIZE, R_DEA_WHEN).</t>
        </is>
      </c>
    </row>
    <row r="101">
      <c r="A101" s="26" t="inlineStr">
        <is>
          <t>R_DEA on</t>
        </is>
      </c>
      <c r="B101" s="27">
        <f>SV_deaV=TRUE</f>
        <v/>
      </c>
      <c r="C101" s="27" t="inlineStr">
        <is>
          <t>C · calculated</t>
        </is>
      </c>
      <c r="D101" s="18" t="inlineStr"/>
    </row>
    <row r="102">
      <c r="A102" s="26" t="inlineStr">
        <is>
          <t>R_DEA engine year</t>
        </is>
      </c>
      <c r="B102" s="46">
        <f>MAX(1,R_DEA_WHEN-SV_age)</f>
        <v/>
      </c>
      <c r="C102" s="27" t="inlineStr">
        <is>
          <t>C · calculated</t>
        </is>
      </c>
      <c r="D102" s="18" t="inlineStr">
        <is>
          <t>Age-based; if already older, next year.</t>
        </is>
      </c>
    </row>
    <row r="103">
      <c r="A103" s="26" t="inlineStr">
        <is>
          <t>R_DEA cost (user currency)</t>
        </is>
      </c>
      <c r="B103" s="29">
        <f>R_DEA_SIZE/FX_usdPerLocal</f>
        <v/>
      </c>
      <c r="C103" s="27" t="inlineStr">
        <is>
          <t>C · calculated</t>
        </is>
      </c>
      <c r="D103" s="18" t="inlineStr">
        <is>
          <t>USD size ÷ rate. Grown with the spend index.</t>
        </is>
      </c>
    </row>
    <row r="104">
      <c r="A104" s="41" t="inlineStr">
        <is>
          <t>R_CRI critical illness: on (TRUE / blank)</t>
        </is>
      </c>
      <c r="B104" s="42" t="inlineStr"/>
      <c r="C104" s="42" t="inlineStr">
        <is>
          <t>E · user / frontend override</t>
        </is>
      </c>
      <c r="D104" s="18" t="inlineStr">
        <is>
          <t>Size and timing from Assumptions (R_CRI_SIZE, R_CRI_WHEN).</t>
        </is>
      </c>
    </row>
    <row r="105">
      <c r="A105" s="26" t="inlineStr">
        <is>
          <t>R_CRI on</t>
        </is>
      </c>
      <c r="B105" s="27">
        <f>SV_criV=TRUE</f>
        <v/>
      </c>
      <c r="C105" s="27" t="inlineStr">
        <is>
          <t>C · calculated</t>
        </is>
      </c>
      <c r="D105" s="18" t="inlineStr"/>
    </row>
    <row r="106">
      <c r="A106" s="26" t="inlineStr">
        <is>
          <t>R_CRI engine year</t>
        </is>
      </c>
      <c r="B106" s="46">
        <f>MAX(1,R_CRI_WHEN-SV_age)</f>
        <v/>
      </c>
      <c r="C106" s="27" t="inlineStr">
        <is>
          <t>C · calculated</t>
        </is>
      </c>
      <c r="D106" s="18" t="inlineStr">
        <is>
          <t>Age-based; if already older, next year.</t>
        </is>
      </c>
    </row>
    <row r="107">
      <c r="A107" s="26" t="inlineStr">
        <is>
          <t>R_CRI cost (user currency)</t>
        </is>
      </c>
      <c r="B107" s="29">
        <f>R_CRI_SIZE/FX_usdPerLocal</f>
        <v/>
      </c>
      <c r="C107" s="27" t="inlineStr">
        <is>
          <t>C · calculated</t>
        </is>
      </c>
      <c r="D107" s="18" t="inlineStr">
        <is>
          <t>USD size ÷ rate. Grown with the spend index.</t>
        </is>
      </c>
    </row>
    <row r="108">
      <c r="A108" s="41" t="inlineStr">
        <is>
          <t>R_TPD TPD: on (TRUE / blank)</t>
        </is>
      </c>
      <c r="B108" s="42" t="inlineStr"/>
      <c r="C108" s="42" t="inlineStr">
        <is>
          <t>E · user / frontend override</t>
        </is>
      </c>
      <c r="D108" s="18" t="inlineStr">
        <is>
          <t>Size and timing from Assumptions (R_TPD_SIZE, R_TPD_WHEN).</t>
        </is>
      </c>
    </row>
    <row r="109">
      <c r="A109" s="26" t="inlineStr">
        <is>
          <t>R_TPD on</t>
        </is>
      </c>
      <c r="B109" s="27">
        <f>SV_tpdV=TRUE</f>
        <v/>
      </c>
      <c r="C109" s="27" t="inlineStr">
        <is>
          <t>C · calculated</t>
        </is>
      </c>
      <c r="D109" s="18" t="inlineStr"/>
    </row>
    <row r="110">
      <c r="A110" s="26" t="inlineStr">
        <is>
          <t>R_TPD engine year</t>
        </is>
      </c>
      <c r="B110" s="46">
        <f>MAX(1,R_TPD_WHEN-SV_age)</f>
        <v/>
      </c>
      <c r="C110" s="27" t="inlineStr">
        <is>
          <t>C · calculated</t>
        </is>
      </c>
      <c r="D110" s="18" t="inlineStr">
        <is>
          <t>Age-based; if already older, next year.</t>
        </is>
      </c>
    </row>
    <row r="111">
      <c r="A111" s="26" t="inlineStr">
        <is>
          <t>R_TPD cost (user currency)</t>
        </is>
      </c>
      <c r="B111" s="29">
        <f>R_TPD_SIZE/FX_usdPerLocal</f>
        <v/>
      </c>
      <c r="C111" s="27" t="inlineStr">
        <is>
          <t>C · calculated</t>
        </is>
      </c>
      <c r="D111" s="18" t="inlineStr">
        <is>
          <t>USD size ÷ rate. Grown with the spend index.</t>
        </is>
      </c>
    </row>
    <row r="112">
      <c r="A112" s="41" t="inlineStr">
        <is>
          <t>R_PAC personal accident: on (TRUE / blank)</t>
        </is>
      </c>
      <c r="B112" s="42" t="inlineStr"/>
      <c r="C112" s="42" t="inlineStr">
        <is>
          <t>E · user / frontend override</t>
        </is>
      </c>
      <c r="D112" s="18" t="inlineStr">
        <is>
          <t>Size and timing from Assumptions (R_PAC_SIZE, R_PAC_WHEN).</t>
        </is>
      </c>
    </row>
    <row r="113">
      <c r="A113" s="26" t="inlineStr">
        <is>
          <t>R_PAC on</t>
        </is>
      </c>
      <c r="B113" s="27">
        <f>SV_pacV=TRUE</f>
        <v/>
      </c>
      <c r="C113" s="27" t="inlineStr">
        <is>
          <t>C · calculated</t>
        </is>
      </c>
      <c r="D113" s="18" t="inlineStr"/>
    </row>
    <row r="114">
      <c r="A114" s="26" t="inlineStr">
        <is>
          <t>R_PAC engine year</t>
        </is>
      </c>
      <c r="B114" s="46">
        <f>MAX(1,R_PAC_WHEN-SV_age)</f>
        <v/>
      </c>
      <c r="C114" s="27" t="inlineStr">
        <is>
          <t>C · calculated</t>
        </is>
      </c>
      <c r="D114" s="18" t="inlineStr">
        <is>
          <t>Age-based; if already older, next year.</t>
        </is>
      </c>
    </row>
    <row r="115">
      <c r="A115" s="26" t="inlineStr">
        <is>
          <t>R_PAC cost (user currency)</t>
        </is>
      </c>
      <c r="B115" s="29">
        <f>R_PAC_SIZE/FX_usdPerLocal</f>
        <v/>
      </c>
      <c r="C115" s="27" t="inlineStr">
        <is>
          <t>C · calculated</t>
        </is>
      </c>
      <c r="D115" s="18" t="inlineStr">
        <is>
          <t>USD size ÷ rate. Grown with the spend index.</t>
        </is>
      </c>
    </row>
    <row r="116">
      <c r="A116" s="41" t="inlineStr">
        <is>
          <t>R_HOS hospitalisation: on (TRUE / blank)</t>
        </is>
      </c>
      <c r="B116" s="42" t="inlineStr"/>
      <c r="C116" s="42" t="inlineStr">
        <is>
          <t>E · user / frontend override</t>
        </is>
      </c>
      <c r="D116" s="18" t="inlineStr">
        <is>
          <t>Size and timing from Assumptions (R_HOS_SIZE, R_HOS_WHEN).</t>
        </is>
      </c>
    </row>
    <row r="117">
      <c r="A117" s="26" t="inlineStr">
        <is>
          <t>R_HOS on</t>
        </is>
      </c>
      <c r="B117" s="27">
        <f>SV_hosV=TRUE</f>
        <v/>
      </c>
      <c r="C117" s="27" t="inlineStr">
        <is>
          <t>C · calculated</t>
        </is>
      </c>
      <c r="D117" s="18" t="inlineStr"/>
    </row>
    <row r="118">
      <c r="A118" s="26" t="inlineStr">
        <is>
          <t>R_HOS engine year</t>
        </is>
      </c>
      <c r="B118" s="46">
        <f>MAX(1,R_HOS_WHEN-SV_age)</f>
        <v/>
      </c>
      <c r="C118" s="27" t="inlineStr">
        <is>
          <t>C · calculated</t>
        </is>
      </c>
      <c r="D118" s="18" t="inlineStr">
        <is>
          <t>Age-based; if already older, next year.</t>
        </is>
      </c>
    </row>
    <row r="119">
      <c r="A119" s="26" t="inlineStr">
        <is>
          <t>R_HOS cost (user currency)</t>
        </is>
      </c>
      <c r="B119" s="29">
        <f>R_HOS_SIZE/FX_usdPerLocal</f>
        <v/>
      </c>
      <c r="C119" s="27" t="inlineStr">
        <is>
          <t>C · calculated</t>
        </is>
      </c>
      <c r="D119" s="18" t="inlineStr">
        <is>
          <t>USD size ÷ rate. Grown with the spend index.</t>
        </is>
      </c>
    </row>
    <row r="120">
      <c r="A120" s="41" t="inlineStr">
        <is>
          <t>R_LTC long-term care: on (TRUE / blank)</t>
        </is>
      </c>
      <c r="B120" s="42" t="inlineStr"/>
      <c r="C120" s="42" t="inlineStr">
        <is>
          <t>E · user / frontend override</t>
        </is>
      </c>
      <c r="D120" s="18" t="inlineStr">
        <is>
          <t>Size and timing from Assumptions (R_LTC_SIZE, R_LTC_WHEN).</t>
        </is>
      </c>
    </row>
    <row r="121">
      <c r="A121" s="26" t="inlineStr">
        <is>
          <t>R_LTC on</t>
        </is>
      </c>
      <c r="B121" s="27">
        <f>SV_ltcV=TRUE</f>
        <v/>
      </c>
      <c r="C121" s="27" t="inlineStr">
        <is>
          <t>C · calculated</t>
        </is>
      </c>
      <c r="D121" s="18" t="inlineStr"/>
    </row>
    <row r="122">
      <c r="A122" s="26" t="inlineStr">
        <is>
          <t>R_LTC first year</t>
        </is>
      </c>
      <c r="B122" s="46">
        <f>MAX(1,NC_ltcStartAge-SV_age)</f>
        <v/>
      </c>
      <c r="C122" s="27" t="inlineStr">
        <is>
          <t>C · calculated</t>
        </is>
      </c>
      <c r="D122" s="18" t="inlineStr">
        <is>
          <t>LTC start age (Need Calculator input).</t>
        </is>
      </c>
    </row>
    <row r="123">
      <c r="A123" s="26" t="inlineStr">
        <is>
          <t>R_LTC last year</t>
        </is>
      </c>
      <c r="B123" s="46">
        <f>MAX(SV_ltcM,PLU_leUsed-SV_age-1)</f>
        <v/>
      </c>
      <c r="C123" s="27" t="inlineStr">
        <is>
          <t>C · calculated</t>
        </is>
      </c>
      <c r="D123" s="18" t="inlineStr">
        <is>
          <t>Last year before the session life expectancy (same years as N_LTC).</t>
        </is>
      </c>
    </row>
    <row r="124">
      <c r="A124" s="26" t="inlineStr">
        <is>
          <t>R_LTC cost (user currency)</t>
        </is>
      </c>
      <c r="B124" s="29">
        <f>R_LTC_SIZE/FX_usdPerLocal</f>
        <v/>
      </c>
      <c r="C124" s="27" t="inlineStr">
        <is>
          <t>C · calculated</t>
        </is>
      </c>
      <c r="D124" s="18" t="inlineStr">
        <is>
          <t>USD size ÷ rate. Grown with the spend index.</t>
        </is>
      </c>
    </row>
    <row r="125">
      <c r="A125" s="41" t="inlineStr">
        <is>
          <t>R_WED wedding: on (TRUE / blank)</t>
        </is>
      </c>
      <c r="B125" s="42" t="inlineStr"/>
      <c r="C125" s="42" t="inlineStr">
        <is>
          <t>E · user / frontend override</t>
        </is>
      </c>
      <c r="D125" s="18" t="inlineStr">
        <is>
          <t>Size and timing from Assumptions (R_WED_SIZE, R_WED_WHEN).</t>
        </is>
      </c>
    </row>
    <row r="126">
      <c r="A126" s="26" t="inlineStr">
        <is>
          <t>R_WED on</t>
        </is>
      </c>
      <c r="B126" s="27">
        <f>SV_wedV=TRUE</f>
        <v/>
      </c>
      <c r="C126" s="27" t="inlineStr">
        <is>
          <t>C · calculated</t>
        </is>
      </c>
      <c r="D126" s="18" t="inlineStr"/>
    </row>
    <row r="127">
      <c r="A127" s="26" t="inlineStr">
        <is>
          <t>R_WED engine year</t>
        </is>
      </c>
      <c r="B127" s="46">
        <f>MAX(1,N(R_WED_WHEN)+1)</f>
        <v/>
      </c>
      <c r="C127" s="27" t="inlineStr">
        <is>
          <t>C · calculated</t>
        </is>
      </c>
      <c r="D127" s="18" t="inlineStr">
        <is>
          <t>Years from today; SV applies at year + 1.</t>
        </is>
      </c>
    </row>
    <row r="128">
      <c r="A128" s="26" t="inlineStr">
        <is>
          <t>R_WED cost (user currency)</t>
        </is>
      </c>
      <c r="B128" s="29">
        <f>R_WED_SIZE/FX_usdPerLocal</f>
        <v/>
      </c>
      <c r="C128" s="27" t="inlineStr">
        <is>
          <t>C · calculated</t>
        </is>
      </c>
      <c r="D128" s="18" t="inlineStr">
        <is>
          <t>USD size ÷ rate. Grown with the spend index.</t>
        </is>
      </c>
    </row>
    <row r="129">
      <c r="A129" s="41" t="inlineStr">
        <is>
          <t>R_BAB newborn: on (TRUE / blank)</t>
        </is>
      </c>
      <c r="B129" s="42" t="inlineStr"/>
      <c r="C129" s="42" t="inlineStr">
        <is>
          <t>E · user / frontend override</t>
        </is>
      </c>
      <c r="D129" s="18" t="inlineStr">
        <is>
          <t>Size and timing from Assumptions (R_BAB_SIZE, R_BAB_WHEN).</t>
        </is>
      </c>
    </row>
    <row r="130">
      <c r="A130" s="26" t="inlineStr">
        <is>
          <t>R_BAB on</t>
        </is>
      </c>
      <c r="B130" s="27">
        <f>SV_babV=TRUE</f>
        <v/>
      </c>
      <c r="C130" s="27" t="inlineStr">
        <is>
          <t>C · calculated</t>
        </is>
      </c>
      <c r="D130" s="18" t="inlineStr"/>
    </row>
    <row r="131">
      <c r="A131" s="26" t="inlineStr">
        <is>
          <t>R_BAB engine year</t>
        </is>
      </c>
      <c r="B131" s="46">
        <f>MAX(1,N(R_BAB_WHEN)+1)</f>
        <v/>
      </c>
      <c r="C131" s="27" t="inlineStr">
        <is>
          <t>C · calculated</t>
        </is>
      </c>
      <c r="D131" s="18" t="inlineStr">
        <is>
          <t>Years from today; SV applies at year + 1.</t>
        </is>
      </c>
    </row>
    <row r="132">
      <c r="A132" s="26" t="inlineStr">
        <is>
          <t>R_BAB cost (user currency)</t>
        </is>
      </c>
      <c r="B132" s="29">
        <f>R_BAB_SIZE/FX_usdPerLocal</f>
        <v/>
      </c>
      <c r="C132" s="27" t="inlineStr">
        <is>
          <t>C · calculated</t>
        </is>
      </c>
      <c r="D132" s="18" t="inlineStr">
        <is>
          <t>USD size ÷ rate. Grown with the spend index.</t>
        </is>
      </c>
    </row>
    <row r="134">
      <c r="A134" s="16" t="inlineStr">
        <is>
          <t>C · CPF AT PAYOUT AGE  —  numpy indexing as SV runs it (negative index counts from the end)</t>
        </is>
      </c>
      <c r="B134" s="16" t="n"/>
      <c r="C134" s="16" t="n"/>
      <c r="D134" s="16" t="n"/>
    </row>
    <row r="135">
      <c r="A135" s="26" t="inlineStr">
        <is>
          <t>CPF on</t>
        </is>
      </c>
      <c r="B135" s="27">
        <f>SV_residency&lt;&gt;"Foreigner"</f>
        <v/>
      </c>
      <c r="C135" s="27" t="inlineStr">
        <is>
          <t>C · calculated</t>
        </is>
      </c>
      <c r="D135" s="18" t="inlineStr">
        <is>
          <t>sv_payload.py: region R_SGP unless Foreigner (not the CPF tab country switch).</t>
        </is>
      </c>
    </row>
    <row r="136">
      <c r="A136" s="26" t="inlineStr">
        <is>
          <t>payout age</t>
        </is>
      </c>
      <c r="B136" s="46">
        <f>MAX(65,SV_ret)</f>
        <v/>
      </c>
      <c r="C136" s="27" t="inlineStr">
        <is>
          <t>C · calculated</t>
        </is>
      </c>
      <c r="D136" s="18" t="inlineStr">
        <is>
          <t>ageStartPayout.</t>
        </is>
      </c>
    </row>
    <row r="137">
      <c r="A137" s="26" t="inlineStr">
        <is>
          <t>contribution stop index</t>
        </is>
      </c>
      <c r="B137" s="46">
        <f>MIN(70,SV_ret)-SV_age+1</f>
        <v/>
      </c>
      <c r="C137" s="27" t="inlineStr">
        <is>
          <t>C · calculated</t>
        </is>
      </c>
      <c r="D137" s="18" t="inlineStr">
        <is>
          <t>Contributions zero from here.</t>
        </is>
      </c>
    </row>
    <row r="138">
      <c r="A138" s="26" t="inlineStr">
        <is>
          <t>payout index</t>
        </is>
      </c>
      <c r="B138" s="46">
        <f>SV_asp-SV_age+1</f>
        <v/>
      </c>
      <c r="C138" s="27" t="inlineStr">
        <is>
          <t>C · calculated</t>
        </is>
      </c>
      <c r="D138" s="18" t="inlineStr">
        <is>
          <t>Past age 66 the payout index is negative, so SV wraps RA into year 0 (Discrepancies).</t>
        </is>
      </c>
    </row>
    <row r="139">
      <c r="A139" s="26" t="inlineStr">
        <is>
          <t>contributions zero from (effective)</t>
        </is>
      </c>
      <c r="B139" s="46">
        <f>IF(SV_stop&gt;=0,MIN(SV_stop,SV_L),MAX(0,SV_L+(SV_stop)))</f>
        <v/>
      </c>
      <c r="C139" s="27" t="inlineStr">
        <is>
          <t>C · calculated</t>
        </is>
      </c>
      <c r="D139" s="18" t="inlineStr"/>
    </row>
    <row r="140">
      <c r="A140" s="26" t="inlineStr">
        <is>
          <t>employee CPF zero from (effective)</t>
        </is>
      </c>
      <c r="B140" s="46">
        <f>IF(SV_stop-1&gt;=0,MIN(SV_stop-1,SV_L),MAX(0,SV_L+(SV_stop-1)))</f>
        <v/>
      </c>
      <c r="C140" s="27" t="inlineStr">
        <is>
          <t>C · calculated</t>
        </is>
      </c>
      <c r="D140" s="18" t="inlineStr"/>
    </row>
    <row r="141">
      <c r="A141" s="26" t="inlineStr">
        <is>
          <t>payout column (effective)</t>
        </is>
      </c>
      <c r="B141" s="46">
        <f>IF(SV_sp&gt;=0,MIN(SV_sp,SV_L),MAX(0,SV_L+(SV_sp)))</f>
        <v/>
      </c>
      <c r="C141" s="27" t="inlineStr">
        <is>
          <t>C · calculated</t>
        </is>
      </c>
      <c r="D141" s="18" t="inlineStr"/>
    </row>
    <row r="142">
      <c r="A142" s="26" t="inlineStr">
        <is>
          <t>column before payout (effective)</t>
        </is>
      </c>
      <c r="B142" s="46">
        <f>IF(SV_sp-1&gt;=0,MIN(SV_sp-1,SV_L),MAX(0,SV_L+(SV_sp-1)))</f>
        <v/>
      </c>
      <c r="C142" s="27" t="inlineStr">
        <is>
          <t>C · calculated</t>
        </is>
      </c>
      <c r="D142" s="18" t="inlineStr"/>
    </row>
    <row r="143">
      <c r="A143" s="26" t="inlineStr">
        <is>
          <t>BRS row</t>
        </is>
      </c>
      <c r="B143" s="46">
        <f>MAX(55-SV_age,0)+currentYear-2023</f>
        <v/>
      </c>
      <c r="C143" s="27" t="inlineStr">
        <is>
          <t>C · calculated</t>
        </is>
      </c>
      <c r="D143" s="18" t="inlineStr"/>
    </row>
    <row r="144">
      <c r="A144" s="26" t="inlineStr">
        <is>
          <t>BRS at payout age</t>
        </is>
      </c>
      <c r="B144" s="29">
        <f>IF(SV_brsIdx&lt;5,INDEX(SV_brsTbl,SV_brsIdx+1),INDEX(SV_brsTbl,5)*(1+SV_brsGrowth)^(SV_brsIdx-4))*(1+SV_brsGrowth)^(SV_asp-55)</f>
        <v/>
      </c>
      <c r="C144" s="27" t="inlineStr">
        <is>
          <t>C · calculated</t>
        </is>
      </c>
      <c r="D144" s="18" t="inlineStr"/>
    </row>
    <row r="145">
      <c r="A145" s="26" t="inlineStr">
        <is>
          <t>RA at payout (before CPF LIFE)</t>
        </is>
      </c>
      <c r="B145" s="29">
        <f>INDEX($X$172:$X$254,SV_pIdx+1)+INDEX($Y$172:$Y$254,SV_pIdx+1)+MAX(INDEX($V$172:$V$254,SV_pIdx+1)-SV_maCap,0)</f>
        <v/>
      </c>
      <c r="C145" s="27" t="inlineStr">
        <is>
          <t>C · calculated</t>
        </is>
      </c>
      <c r="D145" s="18" t="inlineStr">
        <is>
          <t>OA + SA + MA above the cap, one column before payout.</t>
        </is>
      </c>
    </row>
    <row r="146">
      <c r="A146" s="26" t="inlineStr">
        <is>
          <t>BRS multiple (max 3)</t>
        </is>
      </c>
      <c r="B146" s="46">
        <f>IF(SV_brs&gt;0,MIN(3,INT(SV_raS/SV_brs)),0)</f>
        <v/>
      </c>
      <c r="C146" s="27" t="inlineStr">
        <is>
          <t>C · calculated</t>
        </is>
      </c>
      <c r="D146" s="18" t="inlineStr"/>
    </row>
    <row r="147">
      <c r="A147" s="26" t="inlineStr">
        <is>
          <t>CPF LIFE premium (withdrawn from RA)</t>
        </is>
      </c>
      <c r="B147" s="29">
        <f>IF(SV_mult&lt;=0,0,SV_brs*SV_mult)</f>
        <v/>
      </c>
      <c r="C147" s="27" t="inlineStr">
        <is>
          <t>C · calculated</t>
        </is>
      </c>
      <c r="D147" s="18" t="inlineStr"/>
    </row>
    <row r="148">
      <c r="A148" s="26" t="inlineStr">
        <is>
          <t>CPF LIFE monthly payout</t>
        </is>
      </c>
      <c r="B148" s="28">
        <f>IF(SV_mult&lt;=0,0,IF(SV_brsIdx&lt;5,INDEX(SV_payTbl,SV_brsIdx+1,SV_mult),INDEX(SV_payTbl,5,SV_mult)*(1+SV_brsGrowth)^(SV_brsIdx-4))*(1+SV_deferBonus*(SV_asp-65)))</f>
        <v/>
      </c>
      <c r="C148" s="27" t="inlineStr">
        <is>
          <t>C · calculated</t>
        </is>
      </c>
      <c r="D148" s="18" t="inlineStr"/>
    </row>
    <row r="149">
      <c r="A149" s="26" t="inlineStr">
        <is>
          <t>CPF LIFE pot at payout column</t>
        </is>
      </c>
      <c r="B149" s="29">
        <f>SV_lifeGrowth*(SV_wd-12*SV_pay)</f>
        <v/>
      </c>
      <c r="C149" s="27" t="inlineStr">
        <is>
          <t>C · calculated</t>
        </is>
      </c>
      <c r="D149" s="18" t="inlineStr"/>
    </row>
    <row r="150">
      <c r="A150" s="26" t="inlineStr">
        <is>
          <t>RA at payout column</t>
        </is>
      </c>
      <c r="B150" s="29">
        <f>SV_lifeGrowth*(SV_raS-SV_wd)</f>
        <v/>
      </c>
      <c r="C150" s="27" t="inlineStr">
        <is>
          <t>C · calculated</t>
        </is>
      </c>
      <c r="D150" s="18" t="inlineStr"/>
    </row>
    <row r="151">
      <c r="A151" s="26" t="inlineStr">
        <is>
          <t>wrap steps (payout index &lt; 0)</t>
        </is>
      </c>
      <c r="B151" s="46">
        <f>MAX(0,-SV_sp-1)</f>
        <v/>
      </c>
      <c r="C151" s="27" t="inlineStr">
        <is>
          <t>C · calculated</t>
        </is>
      </c>
      <c r="D151" s="18" t="inlineStr">
        <is>
          <t>SV's loop starts at a negative year.</t>
        </is>
      </c>
    </row>
    <row r="152">
      <c r="A152" s="26" t="inlineStr">
        <is>
          <t>CPF LIFE carried into year 0 (wrap)</t>
        </is>
      </c>
      <c r="B152" s="29">
        <f>SV_L0*SV_lifeGrowth^SV_n1-12*SV_pay*SV_lifeGrowth*(SV_lifeGrowth^SV_n1-1)/(SV_lifeGrowth-1)</f>
        <v/>
      </c>
      <c r="C152" s="27" t="inlineStr">
        <is>
          <t>C · calculated</t>
        </is>
      </c>
      <c r="D152" s="18" t="inlineStr"/>
    </row>
    <row r="153">
      <c r="A153" s="26" t="inlineStr">
        <is>
          <t>RA carried into year 0 (wrap)</t>
        </is>
      </c>
      <c r="B153" s="29">
        <f>SV_R0*SV_lifeGrowth^SV_n1</f>
        <v/>
      </c>
      <c r="C153" s="27" t="inlineStr">
        <is>
          <t>C · calculated</t>
        </is>
      </c>
      <c r="D153" s="18" t="inlineStr"/>
    </row>
    <row r="155">
      <c r="A155" s="16" t="inlineStr">
        <is>
          <t>C · RESULTS  —  wealth (pre = today, post = with the plan)</t>
        </is>
      </c>
      <c r="B155" s="16" t="n"/>
      <c r="C155" s="16" t="n"/>
      <c r="D155" s="16" t="n"/>
    </row>
    <row r="156">
      <c r="A156" s="26" t="inlineStr">
        <is>
          <t>pre wealth at age 65</t>
        </is>
      </c>
      <c r="B156" s="29">
        <f>IF(AND(65-SV_age&gt;=0,65-SV_age&lt;=SV_T),INDEX($AH$172:$AH$254,65-SV_age+1),"")</f>
        <v/>
      </c>
      <c r="C156" s="27" t="inlineStr">
        <is>
          <t>C · calculated</t>
        </is>
      </c>
      <c r="D156" s="18" t="inlineStr"/>
    </row>
    <row r="157">
      <c r="A157" s="26" t="inlineStr">
        <is>
          <t>pre wealth at age 85</t>
        </is>
      </c>
      <c r="B157" s="29">
        <f>IF(AND(85-SV_age&gt;=0,85-SV_age&lt;=SV_T),INDEX($AH$172:$AH$254,85-SV_age+1),"")</f>
        <v/>
      </c>
      <c r="C157" s="27" t="inlineStr">
        <is>
          <t>C · calculated</t>
        </is>
      </c>
      <c r="D157" s="18" t="inlineStr"/>
    </row>
    <row r="158">
      <c r="A158" s="26" t="inlineStr">
        <is>
          <t>post wealth at age 65</t>
        </is>
      </c>
      <c r="B158" s="29">
        <f>IF(AND(65-SV_age&gt;=0,65-SV_age&lt;=SV_T),INDEX($AR$172:$AR$254,65-SV_age+1),"")</f>
        <v/>
      </c>
      <c r="C158" s="27" t="inlineStr">
        <is>
          <t>C · calculated</t>
        </is>
      </c>
      <c r="D158" s="18" t="inlineStr"/>
    </row>
    <row r="159">
      <c r="A159" s="26" t="inlineStr">
        <is>
          <t>post wealth at age 85</t>
        </is>
      </c>
      <c r="B159" s="29">
        <f>IF(AND(85-SV_age&gt;=0,85-SV_age&lt;=SV_T),INDEX($AR$172:$AR$254,85-SV_age+1),"")</f>
        <v/>
      </c>
      <c r="C159" s="27" t="inlineStr">
        <is>
          <t>C · calculated</t>
        </is>
      </c>
      <c r="D159" s="18" t="inlineStr"/>
    </row>
    <row r="160">
      <c r="A160" s="26" t="inlineStr">
        <is>
          <t>pre wealth at horizon</t>
        </is>
      </c>
      <c r="B160" s="29">
        <f>IF(SV_end-SV_age&lt;=SV_T,INDEX($AH$172:$AH$254,MAX(0,SV_end-SV_age)+1),"")</f>
        <v/>
      </c>
      <c r="C160" s="27" t="inlineStr">
        <is>
          <t>C · calculated</t>
        </is>
      </c>
      <c r="D160" s="18" t="inlineStr">
        <is>
          <t>endAge, or 99 under R_LON.</t>
        </is>
      </c>
    </row>
    <row r="161">
      <c r="A161" s="26" t="inlineStr">
        <is>
          <t>post wealth at horizon</t>
        </is>
      </c>
      <c r="B161" s="29">
        <f>IF(SV_end-SV_age&lt;=SV_T,INDEX($AR$172:$AR$254,MAX(0,SV_end-SV_age)+1),"")</f>
        <v/>
      </c>
      <c r="C161" s="27" t="inlineStr">
        <is>
          <t>C · calculated</t>
        </is>
      </c>
      <c r="D161" s="18" t="inlineStr"/>
    </row>
    <row r="162">
      <c r="A162" s="26" t="inlineStr">
        <is>
          <t>post spendable at horizon</t>
        </is>
      </c>
      <c r="B162" s="29">
        <f>IF(SV_end-SV_age&lt;=SV_T,INDEX($AS$172:$AS$254,MAX(0,SV_end-SV_age)+1),"")</f>
        <v/>
      </c>
      <c r="C162" s="27" t="inlineStr">
        <is>
          <t>C · calculated</t>
        </is>
      </c>
      <c r="D162" s="18" t="inlineStr">
        <is>
          <t>Below 0 = liquid money runs out before the horizon.</t>
        </is>
      </c>
    </row>
    <row r="163">
      <c r="A163" s="26" t="inlineStr">
        <is>
          <t>pre: first age spendable wealth &lt; 0</t>
        </is>
      </c>
      <c r="B163" s="46">
        <f>IFERROR(SV_age+MATCH(1,INDEX(--($AI$172:$AI$254&lt;0),0),0)-1,"never")</f>
        <v/>
      </c>
      <c r="C163" s="27" t="inlineStr">
        <is>
          <t>C · calculated</t>
        </is>
      </c>
      <c r="D163" s="18" t="inlineStr">
        <is>
          <t>Expense-funding panel: shortfall starts here even if the chart line is above 0.</t>
        </is>
      </c>
    </row>
    <row r="164">
      <c r="A164" s="26" t="inlineStr">
        <is>
          <t>post: first age spendable wealth &lt; 0</t>
        </is>
      </c>
      <c r="B164" s="46">
        <f>IFERROR(SV_age+MATCH(1,INDEX(--($AS$172:$AS$254&lt;0),0),0)-1,"never")</f>
        <v/>
      </c>
      <c r="C164" s="27" t="inlineStr">
        <is>
          <t>C · calculated</t>
        </is>
      </c>
      <c r="D164" s="18" t="inlineStr">
        <is>
          <t>Expense-funding panel: shortfall starts here even if the chart line is above 0.</t>
        </is>
      </c>
    </row>
    <row r="170">
      <c r="A170" s="3" t="inlineStr">
        <is>
          <t>year</t>
        </is>
      </c>
      <c r="B170" s="3" t="n"/>
      <c r="C170" s="3" t="n"/>
      <c r="D170" s="3" t="n"/>
      <c r="E170" s="16" t="inlineStr">
        <is>
          <t>C · HUMAN CAPITAL  —  salary, spend, premiums (flows land in the year shown)</t>
        </is>
      </c>
      <c r="F170" s="16" t="n"/>
      <c r="G170" s="16" t="n"/>
      <c r="H170" s="16" t="n"/>
      <c r="I170" s="16" t="n"/>
      <c r="J170" s="16" t="n"/>
      <c r="K170" s="16" t="n"/>
      <c r="L170" s="16" t="n"/>
      <c r="M170" s="16" t="inlineStr">
        <is>
          <t>C · ASSETS</t>
        </is>
      </c>
      <c r="N170" s="16" t="n"/>
      <c r="O170" s="16" t="n"/>
      <c r="P170" s="16" t="n"/>
      <c r="Q170" s="16" t="n"/>
      <c r="R170" s="16" t="inlineStr">
        <is>
          <t>C · CPF  —  SocialSecurityR_SGP</t>
        </is>
      </c>
      <c r="S170" s="16" t="n"/>
      <c r="T170" s="16" t="n"/>
      <c r="U170" s="16" t="n"/>
      <c r="V170" s="16" t="n"/>
      <c r="W170" s="16" t="n"/>
      <c r="X170" s="16" t="n"/>
      <c r="Y170" s="16" t="n"/>
      <c r="Z170" s="16" t="n"/>
      <c r="AA170" s="16" t="n"/>
      <c r="AB170" s="16" t="n"/>
      <c r="AC170" s="16" t="n"/>
      <c r="AD170" s="16" t="n"/>
      <c r="AE170" s="16" t="n"/>
      <c r="AF170" s="16" t="inlineStr">
        <is>
          <t>C · PRE (today)</t>
        </is>
      </c>
      <c r="AG170" s="16" t="n"/>
      <c r="AH170" s="16" t="n"/>
      <c r="AI170" s="16" t="n"/>
      <c r="AJ170" s="16" t="inlineStr">
        <is>
          <t>C · POST (with the plan)  —  plan_benefit_visualizer pots</t>
        </is>
      </c>
      <c r="AK170" s="16" t="n"/>
      <c r="AL170" s="16" t="n"/>
      <c r="AM170" s="16" t="n"/>
      <c r="AN170" s="16" t="n"/>
      <c r="AO170" s="16" t="n"/>
      <c r="AP170" s="16" t="n"/>
      <c r="AQ170" s="16" t="n"/>
      <c r="AR170" s="16" t="n"/>
      <c r="AS170" s="16" t="n"/>
    </row>
    <row r="171">
      <c r="A171" s="3" t="inlineStr">
        <is>
          <t>year</t>
        </is>
      </c>
      <c r="B171" s="3" t="inlineStr">
        <is>
          <t>age</t>
        </is>
      </c>
      <c r="C171" s="3" t="inlineStr">
        <is>
          <t>calendar</t>
        </is>
      </c>
      <c r="D171" s="3" t="inlineStr">
        <is>
          <t>on path</t>
        </is>
      </c>
      <c r="E171" s="3" t="inlineStr">
        <is>
          <t>inflation factor</t>
        </is>
      </c>
      <c r="F171" s="3" t="inlineStr">
        <is>
          <t>spend index</t>
        </is>
      </c>
      <c r="G171" s="3" t="inlineStr">
        <is>
          <t>income factor</t>
        </is>
      </c>
      <c r="H171" s="3" t="inlineStr">
        <is>
          <t>salary</t>
        </is>
      </c>
      <c r="I171" s="3" t="inlineStr">
        <is>
          <t>spend + instalment + goals</t>
        </is>
      </c>
      <c r="J171" s="3" t="inlineStr">
        <is>
          <t>stress events cost</t>
        </is>
      </c>
      <c r="K171" s="3" t="inlineStr">
        <is>
          <t>existing life premium</t>
        </is>
      </c>
      <c r="L171" s="3" t="inlineStr">
        <is>
          <t>to investments</t>
        </is>
      </c>
      <c r="M171" s="3" t="inlineStr">
        <is>
          <t>crash</t>
        </is>
      </c>
      <c r="N171" s="3" t="inlineStr">
        <is>
          <t>currency</t>
        </is>
      </c>
      <c r="O171" s="3" t="inlineStr">
        <is>
          <t>cash</t>
        </is>
      </c>
      <c r="P171" s="3" t="inlineStr">
        <is>
          <t>investments</t>
        </is>
      </c>
      <c r="Q171" s="3" t="inlineStr">
        <is>
          <t>home</t>
        </is>
      </c>
      <c r="R171" s="3" t="inlineStr">
        <is>
          <t>CPF band</t>
        </is>
      </c>
      <c r="S171" s="3" t="inlineStr">
        <is>
          <t>CPF wage</t>
        </is>
      </c>
      <c r="T171" s="3" t="inlineStr">
        <is>
          <t>OA (running)</t>
        </is>
      </c>
      <c r="U171" s="3" t="inlineStr">
        <is>
          <t>SA (running)</t>
        </is>
      </c>
      <c r="V171" s="3" t="inlineStr">
        <is>
          <t>MA (running)</t>
        </is>
      </c>
      <c r="W171" s="3" t="inlineStr">
        <is>
          <t>employee CPF</t>
        </is>
      </c>
      <c r="X171" s="3" t="inlineStr">
        <is>
          <t>OA</t>
        </is>
      </c>
      <c r="Y171" s="3" t="inlineStr">
        <is>
          <t>SA</t>
        </is>
      </c>
      <c r="Z171" s="3" t="inlineStr">
        <is>
          <t>MA</t>
        </is>
      </c>
      <c r="AA171" s="3" t="inlineStr">
        <is>
          <t>CPF LIFE payout</t>
        </is>
      </c>
      <c r="AB171" s="3" t="inlineStr">
        <is>
          <t>RA</t>
        </is>
      </c>
      <c r="AC171" s="3" t="inlineStr">
        <is>
          <t>CPF LIFE pot</t>
        </is>
      </c>
      <c r="AD171" s="3" t="inlineStr">
        <is>
          <t>CPF total</t>
        </is>
      </c>
      <c r="AE171" s="3" t="inlineStr">
        <is>
          <t>CPF cash flow</t>
        </is>
      </c>
      <c r="AF171" s="3" t="inlineStr">
        <is>
          <t>mortgage balance (annuity → 0 at year 20)</t>
        </is>
      </c>
      <c r="AG171" s="3" t="inlineStr">
        <is>
          <t>savings (pre)</t>
        </is>
      </c>
      <c r="AH171" s="3" t="inlineStr">
        <is>
          <t>WEALTH pre</t>
        </is>
      </c>
      <c r="AI171" s="3" t="inlineStr">
        <is>
          <t>SPENDABLE pre</t>
        </is>
      </c>
      <c r="AJ171" s="3" t="inlineStr">
        <is>
          <t>RET paid in</t>
        </is>
      </c>
      <c r="AK171" s="3" t="inlineStr">
        <is>
          <t>RET pot</t>
        </is>
      </c>
      <c r="AL171" s="3" t="inlineStr">
        <is>
          <t>goal pots paid in</t>
        </is>
      </c>
      <c r="AM171" s="3" t="inlineStr">
        <is>
          <t>goal pots</t>
        </is>
      </c>
      <c r="AN171" s="3" t="inlineStr">
        <is>
          <t>protection premium</t>
        </is>
      </c>
      <c r="AO171" s="3" t="inlineStr">
        <is>
          <t>plan account value</t>
        </is>
      </c>
      <c r="AP171" s="3" t="inlineStr">
        <is>
          <t>plan cash flow</t>
        </is>
      </c>
      <c r="AQ171" s="3" t="inlineStr">
        <is>
          <t>savings (post)</t>
        </is>
      </c>
      <c r="AR171" s="3" t="inlineStr">
        <is>
          <t>WEALTH post</t>
        </is>
      </c>
      <c r="AS171" s="3" t="inlineStr">
        <is>
          <t>SPENDABLE post</t>
        </is>
      </c>
    </row>
    <row r="172">
      <c r="A172" s="61" t="n">
        <v>0</v>
      </c>
      <c r="B172" s="61">
        <f>SV_age+A172</f>
        <v/>
      </c>
      <c r="C172" s="61">
        <f>currentYear+A172</f>
        <v/>
      </c>
      <c r="D172" s="52">
        <f>A172&lt;=SV_T</f>
        <v/>
      </c>
      <c r="E172" s="60" t="n">
        <v>1</v>
      </c>
      <c r="F172" s="60" t="n">
        <v>1</v>
      </c>
      <c r="G172" s="60" t="n">
        <v>1</v>
      </c>
      <c r="H172" s="29" t="n">
        <v>0</v>
      </c>
      <c r="I172" s="29" t="n">
        <v>0</v>
      </c>
      <c r="J172" s="29" t="n">
        <v>0</v>
      </c>
      <c r="K172" s="29" t="n">
        <v>0</v>
      </c>
      <c r="L172" s="29" t="n">
        <v>0</v>
      </c>
      <c r="M172" s="60" t="n">
        <v>1</v>
      </c>
      <c r="N172" s="60" t="n">
        <v>1</v>
      </c>
      <c r="O172" s="29">
        <f>IF(MOD(SV_cash,1)=0.5,2*ROUND((SV_cash)/2,0),ROUND(SV_cash,0))</f>
        <v/>
      </c>
      <c r="P172" s="29">
        <f>IF(MOD(SV_investments,1)=0.5,2*ROUND((SV_investments)/2,0),ROUND(SV_investments,0))</f>
        <v/>
      </c>
      <c r="Q172" s="29">
        <f>IF(MOD(SV_property,1)=0.5,2*ROUND((SV_property)/2,0),ROUND(SV_property,0))</f>
        <v/>
      </c>
      <c r="R172" s="46" t="inlineStr"/>
      <c r="S172" s="29" t="n">
        <v>0</v>
      </c>
      <c r="T172" s="29" t="n">
        <v>0</v>
      </c>
      <c r="U172" s="29" t="n">
        <v>0</v>
      </c>
      <c r="V172" s="29" t="n">
        <v>0</v>
      </c>
      <c r="W172" s="29" t="n">
        <v>0</v>
      </c>
      <c r="X172" s="29">
        <f>IF(A172&gt;=SV_sIdx,0,T172)</f>
        <v/>
      </c>
      <c r="Y172" s="29">
        <f>IF(A172&gt;=SV_sIdx,0,U172)</f>
        <v/>
      </c>
      <c r="Z172" s="29">
        <f>IF(A172&gt;=SV_sIdx,MIN(V172,SV_maCap),V172)</f>
        <v/>
      </c>
      <c r="AA172" s="29">
        <f>IF(AND(SV_cpfOn,A172&gt;=SV_pIdx,A172&lt;=SV_T),12*SV_pay,0)</f>
        <v/>
      </c>
      <c r="AB172" s="29">
        <f>IF(SV_sp&gt;=0,IF(SV_sIdx=0,SV_R0,0),SV_lifeGrowth*SV_seedRA)</f>
        <v/>
      </c>
      <c r="AC172" s="29">
        <f>IF(A172&gt;SV_T,0,IF(AND(SV_sp&gt;=0,A172&lt;SV_sIdx),0,IF(AND(SV_sp&gt;=0,A172=SV_sIdx),SV_L0,SV_lifeGrowth*(SV_seedLife-AA172))))</f>
        <v/>
      </c>
      <c r="AD172" s="29">
        <f>X172+Y172+AB172+Z172+IF(AB172&lt;0,0,AC172)</f>
        <v/>
      </c>
      <c r="AE172" s="29">
        <f>AA172+W172</f>
        <v/>
      </c>
      <c r="AF172" s="29">
        <f>IF(SV_mortP&gt;0,SV_mortP,0)</f>
        <v/>
      </c>
      <c r="AG172" s="29" t="n">
        <v>0</v>
      </c>
      <c r="AH172" s="29">
        <f>IF(A172&gt;SV_T,0,MAX(0,O172+P172+Q172+AD172+AG172-AF172))</f>
        <v/>
      </c>
      <c r="AI172" s="29">
        <f>IF(A172&gt;SV_T,0,O172+P172+AG172-MAX(0,AF172-(Q172+AD172)))</f>
        <v/>
      </c>
      <c r="AJ172" s="29" t="n">
        <v>0</v>
      </c>
      <c r="AK172" s="29" t="n">
        <v>0</v>
      </c>
      <c r="AL172" s="29" t="n">
        <v>0</v>
      </c>
      <c r="AM172" s="29" t="n">
        <v>0</v>
      </c>
      <c r="AN172" s="29" t="n">
        <v>0</v>
      </c>
      <c r="AO172" s="29">
        <f>IF(OR(A172=0,A172&gt;=SV_T),0,ROUND(MAX(0,AK172),2)+ROUND(MAX(0,AM172),2))</f>
        <v/>
      </c>
      <c r="AP172" s="29" t="n">
        <v>0</v>
      </c>
      <c r="AQ172" s="29" t="n">
        <v>0</v>
      </c>
      <c r="AR172" s="29">
        <f>IF(A172&gt;SV_T,0,MAX(0,O172+P172+Q172+AD172+AQ172+AO172-AF172))</f>
        <v/>
      </c>
      <c r="AS172" s="29">
        <f>IF(A172&gt;SV_T,0,O172+P172+AQ172+AO172-MAX(0,AF172-(Q172+AD172)))</f>
        <v/>
      </c>
    </row>
    <row r="173">
      <c r="A173" s="61" t="n">
        <v>1</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IF(OR(OR(A173&lt;1,A173&gt;SV_T),A173-1&gt;=SV_salCut,AND(SV_deaOn,A173&gt;=SV_deaM)),0,SV_sal0*(1+incomeGrowthRate)^(A173-1)*G173)</f>
        <v/>
      </c>
      <c r="I173" s="29">
        <f>IF(OR(A173&lt;1,A173&gt;SV_T),0,(-SV_exp0*F173-IF(A173&lt;=SV_loanYears,SV_inst,0)-IF(AND(SV_wdEDUAmt&gt;0,A173=SV_wdEDUYear),SV_wdEDUAmt,0)-IF(AND(SV_wdSAVAmt&gt;0,A173=SV_wdSAVYear),SV_wdSAVAmt,0)-IF(AND(SV_wdPRPAmt&gt;0,A173=SV_wdPRPYear),SV_wdPRPAmt,0))*IF(AND(SV_expOn,A173&gt;=SV_expS,A173&lt;=SV_expE),1+SV_expImp,1))</f>
        <v/>
      </c>
      <c r="J173" s="29">
        <f>IF(OR(A173&lt;1,A173&gt;SV_T),0,-F173*(IF(AND(SV_deaOn,A173=SV_deaM),SV_deaAmt,0)+IF(AND(SV_criOn,A173=SV_criM),SV_criAmt,0)+IF(AND(SV_tpdOn,A173=SV_tpdM),SV_tpdAmt,0)+IF(AND(SV_pacOn,A173=SV_pacM),SV_pacAmt,0)+IF(AND(SV_hosOn,A173=SV_hosM),SV_hosAmt,0)+IF(AND(SV_wedOn,A173=SV_wedM),SV_wedAmt,0)+IF(AND(SV_babOn,A173=SV_babM),SV_babAmt,0)+IF(AND(SV_ltcOn,A173&gt;=SV_ltcM,A173&lt;=SV_ltcE),SV_ltcAmt,0)))</f>
        <v/>
      </c>
      <c r="K173" s="29">
        <f>IF(OR(OR(A173&lt;1,A173&gt;SV_T),A173&gt;SV_loanYears),0,-SV_lifePremYr)</f>
        <v/>
      </c>
      <c r="L173" s="29">
        <f>IF(OR(A173&lt;1,A173&gt;SV_T),0,-SV_contrib)</f>
        <v/>
      </c>
      <c r="M173" s="60">
        <f>IF(AND(SV_crashOn,A173=SV_crashYr),SV_crashF,1)</f>
        <v/>
      </c>
      <c r="N173" s="60">
        <f>IF(AND(SV_ccyOn,A173=SV_ccyYr),SV_ccyF,1)</f>
        <v/>
      </c>
      <c r="O173" s="29">
        <f>IF(A173&gt;SV_T,0,O172*(1+interestRate)*M173*N173)</f>
        <v/>
      </c>
      <c r="P173" s="29">
        <f>IF(A173&gt;SV_T,0,(P172+SV_contrib)*(1+investmentReturn)*M173*N173)</f>
        <v/>
      </c>
      <c r="Q173" s="29">
        <f>IF(A173&gt;SV_T,0,Q172*(1+SV_propRate)*M173)</f>
        <v/>
      </c>
      <c r="R173" s="46">
        <f>MATCH(SV_age+A173-1,SV_cpfLower,1)</f>
        <v/>
      </c>
      <c r="S173" s="29">
        <f>IF(OR(OR(A173&lt;1,A173&gt;SV_T),NOT(SV_cpfOn),AND(SV_deaOn,A173&gt;=SV_deaM)),0,MIN(SV_sal0*(1+incomeGrowthRate)^(A173-1)*G173,SV_owCap))</f>
        <v/>
      </c>
      <c r="T173" s="29">
        <f>IF(A173&gt;SV_T,0,T172*(1+SV_oaRate)+IF(A173&gt;=SV_effStop,0,INDEX(SV_cpfOA,R173)*INDEX(SV_cpfTot,R173)*S173))</f>
        <v/>
      </c>
      <c r="U173" s="29">
        <f>IF(A173&gt;SV_T,0,U172*(1+SV_saRate)+IF(A173&gt;=SV_effStop,0,INDEX(SV_cpfSA,R173)*INDEX(SV_cpfTot,R173)*S173))</f>
        <v/>
      </c>
      <c r="V173" s="29">
        <f>IF(A173&gt;SV_T,0,V172*(1+SV_saRate)+IF(A173&gt;=SV_effStop,0,INDEX(SV_cpfMA,R173)*INDEX(SV_cpfTot,R173)*S173))</f>
        <v/>
      </c>
      <c r="W173" s="29">
        <f>IF(OR(OR(A173&lt;1,A173&gt;SV_T),A173&gt;=SV_effNeg),0,-(INDEX(SV_cpfOA,R173)+INDEX(SV_cpfSA,R173)+INDEX(SV_cpfMA,R173))*INDEX(SV_cpfEmp,R173)*S173)</f>
        <v/>
      </c>
      <c r="X173" s="29">
        <f>IF(A173&gt;=SV_sIdx,0,T173)</f>
        <v/>
      </c>
      <c r="Y173" s="29">
        <f>IF(A173&gt;=SV_sIdx,0,U173)</f>
        <v/>
      </c>
      <c r="Z173" s="29">
        <f>IF(A173&gt;=SV_sIdx,MIN(V173,SV_maCap),V173)</f>
        <v/>
      </c>
      <c r="AA173" s="29">
        <f>IF(AND(SV_cpfOn,A173&gt;=SV_pIdx,A173&lt;=SV_T),12*SV_pay,0)</f>
        <v/>
      </c>
      <c r="AB173" s="29">
        <f>IF(A173&gt;SV_T,0,IF(SV_sp&gt;=0,IF(A173&lt;SV_sIdx,0,IF(A173=SV_sIdx,SV_R0,SV_lifeGrowth*AB172)),SV_lifeGrowth*AB172))</f>
        <v/>
      </c>
      <c r="AC173" s="29">
        <f>IF(A173&gt;SV_T,0,IF(AND(SV_sp&gt;=0,A173&lt;SV_sIdx),0,IF(AND(SV_sp&gt;=0,A173=SV_sIdx),SV_L0,SV_lifeGrowth*(AC172-AA173))))</f>
        <v/>
      </c>
      <c r="AD173" s="29">
        <f>X173+Y173+AB173+Z173+IF(AB173&lt;0,0,AC173)</f>
        <v/>
      </c>
      <c r="AE173" s="29">
        <f>AA173+W173</f>
        <v/>
      </c>
      <c r="AF173" s="29">
        <f>IF(OR(A173&gt;SV_T,A173&gt;=SV_loanYears),0,MAX(0,AF172*(1+loanRate)-SV_inst))</f>
        <v/>
      </c>
      <c r="AG173" s="29">
        <f>IF(A173&gt;SV_T,0,AG172*(1+SV_savRate)+H173+I173+J173+K173+L173+AE173)</f>
        <v/>
      </c>
      <c r="AH173" s="29">
        <f>IF(A173&gt;SV_T,0,MAX(0,O173+P173+Q173+AD173+AG173-AF173))</f>
        <v/>
      </c>
      <c r="AI173" s="29">
        <f>IF(A173&gt;SV_T,0,O173+P173+AG173-MAX(0,AF173-(Q173+AD173)))</f>
        <v/>
      </c>
      <c r="AJ173" s="29">
        <f>IF(OR(OR(A173&lt;1,A173&gt;SV_T),A173-1&gt;=SV_retPay),0,SV_retMth*12+IF(A173=1,SV_retLump,0))</f>
        <v/>
      </c>
      <c r="AK173" s="29">
        <f>IF(A173&gt;SV_T,0,(AK172+AJ173)*(1+investmentReturn))</f>
        <v/>
      </c>
      <c r="AL173" s="29">
        <f>IF(OR(A173&lt;1,A173&gt;SV_T),0,IF(A173-1&gt;=SV_EDUPay,0,SV_EDUMth*12+IF(A173=1,SV_EDULump,0))+IF(A173-1&gt;=SV_SAVPay,0,SV_SAVMth*12+IF(A173=1,SV_SAVLump,0))+IF(A173-1&gt;=SV_PRPPay,0,SV_PRPMth*12+IF(A173=1,SV_PRPLump,0)))</f>
        <v/>
      </c>
      <c r="AM173" s="29">
        <f>IF(A173&gt;SV_T,0,(AM172+AL173)*(1+investmentReturn))</f>
        <v/>
      </c>
      <c r="AN173" s="29">
        <f>IF(OR(OR(A173&lt;1,A173&gt;SV_T),A173-1&gt;=SV_protPay),0,SV_protPrem)</f>
        <v/>
      </c>
      <c r="AO173" s="29">
        <f>IF(OR(A173=0,A173&gt;=SV_T),0,ROUND(MAX(0,AK173),2)+ROUND(MAX(0,AM173),2))</f>
        <v/>
      </c>
      <c r="AP173" s="29">
        <f>IF(OR(A173&lt;1,A173&gt;SV_T),0,-(AJ173+AL173+AN173)+IF(A173=SV_T,ROUND(MAX(0,AK173),2)+ROUND(MAX(0,AM173),2),0))</f>
        <v/>
      </c>
      <c r="AQ173" s="29">
        <f>IF(A173&gt;SV_T,0,AQ172*(1+SV_savRate)+H173+I173+J173+K173+L173+AE173+AP173)</f>
        <v/>
      </c>
      <c r="AR173" s="29">
        <f>IF(A173&gt;SV_T,0,MAX(0,O173+P173+Q173+AD173+AQ173+AO173-AF173))</f>
        <v/>
      </c>
      <c r="AS173" s="29">
        <f>IF(A173&gt;SV_T,0,O173+P173+AQ173+AO173-MAX(0,AF173-(Q173+AD173)))</f>
        <v/>
      </c>
    </row>
    <row r="174">
      <c r="A174" s="61" t="n">
        <v>2</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IF(OR(OR(A174&lt;1,A174&gt;SV_T),A174-1&gt;=SV_salCut,AND(SV_deaOn,A174&gt;=SV_deaM)),0,SV_sal0*(1+incomeGrowthRate)^(A174-1)*G174)</f>
        <v/>
      </c>
      <c r="I174" s="29">
        <f>IF(OR(A174&lt;1,A174&gt;SV_T),0,(-SV_exp0*F174-IF(A174&lt;=SV_loanYears,SV_inst,0)-IF(AND(SV_wdEDUAmt&gt;0,A174=SV_wdEDUYear),SV_wdEDUAmt,0)-IF(AND(SV_wdSAVAmt&gt;0,A174=SV_wdSAVYear),SV_wdSAVAmt,0)-IF(AND(SV_wdPRPAmt&gt;0,A174=SV_wdPRPYear),SV_wdPRPAmt,0))*IF(AND(SV_expOn,A174&gt;=SV_expS,A174&lt;=SV_expE),1+SV_expImp,1))</f>
        <v/>
      </c>
      <c r="J174" s="29">
        <f>IF(OR(A174&lt;1,A174&gt;SV_T),0,-F174*(IF(AND(SV_deaOn,A174=SV_deaM),SV_deaAmt,0)+IF(AND(SV_criOn,A174=SV_criM),SV_criAmt,0)+IF(AND(SV_tpdOn,A174=SV_tpdM),SV_tpdAmt,0)+IF(AND(SV_pacOn,A174=SV_pacM),SV_pacAmt,0)+IF(AND(SV_hosOn,A174=SV_hosM),SV_hosAmt,0)+IF(AND(SV_wedOn,A174=SV_wedM),SV_wedAmt,0)+IF(AND(SV_babOn,A174=SV_babM),SV_babAmt,0)+IF(AND(SV_ltcOn,A174&gt;=SV_ltcM,A174&lt;=SV_ltcE),SV_ltcAmt,0)))</f>
        <v/>
      </c>
      <c r="K174" s="29">
        <f>IF(OR(OR(A174&lt;1,A174&gt;SV_T),A174&gt;SV_loanYears),0,-SV_lifePremYr)</f>
        <v/>
      </c>
      <c r="L174" s="29">
        <f>IF(OR(A174&lt;1,A174&gt;SV_T),0,-SV_contrib)</f>
        <v/>
      </c>
      <c r="M174" s="60">
        <f>IF(AND(SV_crashOn,A174=SV_crashYr),SV_crashF,1)</f>
        <v/>
      </c>
      <c r="N174" s="60">
        <f>IF(AND(SV_ccyOn,A174=SV_ccyYr),SV_ccyF,1)</f>
        <v/>
      </c>
      <c r="O174" s="29">
        <f>IF(A174&gt;SV_T,0,O173*(1+interestRate)*M174*N174)</f>
        <v/>
      </c>
      <c r="P174" s="29">
        <f>IF(A174&gt;SV_T,0,(P173+SV_contrib)*(1+investmentReturn)*M174*N174)</f>
        <v/>
      </c>
      <c r="Q174" s="29">
        <f>IF(A174&gt;SV_T,0,Q173*(1+SV_propRate)*M174)</f>
        <v/>
      </c>
      <c r="R174" s="46">
        <f>MATCH(SV_age+A174-1,SV_cpfLower,1)</f>
        <v/>
      </c>
      <c r="S174" s="29">
        <f>IF(OR(OR(A174&lt;1,A174&gt;SV_T),NOT(SV_cpfOn),AND(SV_deaOn,A174&gt;=SV_deaM)),0,MIN(SV_sal0*(1+incomeGrowthRate)^(A174-1)*G174,SV_owCap))</f>
        <v/>
      </c>
      <c r="T174" s="29">
        <f>IF(A174&gt;SV_T,0,T173*(1+SV_oaRate)+IF(A174&gt;=SV_effStop,0,INDEX(SV_cpfOA,R174)*INDEX(SV_cpfTot,R174)*S174))</f>
        <v/>
      </c>
      <c r="U174" s="29">
        <f>IF(A174&gt;SV_T,0,U173*(1+SV_saRate)+IF(A174&gt;=SV_effStop,0,INDEX(SV_cpfSA,R174)*INDEX(SV_cpfTot,R174)*S174))</f>
        <v/>
      </c>
      <c r="V174" s="29">
        <f>IF(A174&gt;SV_T,0,V173*(1+SV_saRate)+IF(A174&gt;=SV_effStop,0,INDEX(SV_cpfMA,R174)*INDEX(SV_cpfTot,R174)*S174))</f>
        <v/>
      </c>
      <c r="W174" s="29">
        <f>IF(OR(OR(A174&lt;1,A174&gt;SV_T),A174&gt;=SV_effNeg),0,-(INDEX(SV_cpfOA,R174)+INDEX(SV_cpfSA,R174)+INDEX(SV_cpfMA,R174))*INDEX(SV_cpfEmp,R174)*S174)</f>
        <v/>
      </c>
      <c r="X174" s="29">
        <f>IF(A174&gt;=SV_sIdx,0,T174)</f>
        <v/>
      </c>
      <c r="Y174" s="29">
        <f>IF(A174&gt;=SV_sIdx,0,U174)</f>
        <v/>
      </c>
      <c r="Z174" s="29">
        <f>IF(A174&gt;=SV_sIdx,MIN(V174,SV_maCap),V174)</f>
        <v/>
      </c>
      <c r="AA174" s="29">
        <f>IF(AND(SV_cpfOn,A174&gt;=SV_pIdx,A174&lt;=SV_T),12*SV_pay,0)</f>
        <v/>
      </c>
      <c r="AB174" s="29">
        <f>IF(A174&gt;SV_T,0,IF(SV_sp&gt;=0,IF(A174&lt;SV_sIdx,0,IF(A174=SV_sIdx,SV_R0,SV_lifeGrowth*AB173)),SV_lifeGrowth*AB173))</f>
        <v/>
      </c>
      <c r="AC174" s="29">
        <f>IF(A174&gt;SV_T,0,IF(AND(SV_sp&gt;=0,A174&lt;SV_sIdx),0,IF(AND(SV_sp&gt;=0,A174=SV_sIdx),SV_L0,SV_lifeGrowth*(AC173-AA174))))</f>
        <v/>
      </c>
      <c r="AD174" s="29">
        <f>X174+Y174+AB174+Z174+IF(AB174&lt;0,0,AC174)</f>
        <v/>
      </c>
      <c r="AE174" s="29">
        <f>AA174+W174</f>
        <v/>
      </c>
      <c r="AF174" s="29">
        <f>IF(OR(A174&gt;SV_T,A174&gt;=SV_loanYears),0,MAX(0,AF173*(1+loanRate)-SV_inst))</f>
        <v/>
      </c>
      <c r="AG174" s="29">
        <f>IF(A174&gt;SV_T,0,AG173*(1+SV_savRate)+H174+I174+J174+K174+L174+AE174)</f>
        <v/>
      </c>
      <c r="AH174" s="29">
        <f>IF(A174&gt;SV_T,0,MAX(0,O174+P174+Q174+AD174+AG174-AF174))</f>
        <v/>
      </c>
      <c r="AI174" s="29">
        <f>IF(A174&gt;SV_T,0,O174+P174+AG174-MAX(0,AF174-(Q174+AD174)))</f>
        <v/>
      </c>
      <c r="AJ174" s="29">
        <f>IF(OR(OR(A174&lt;1,A174&gt;SV_T),A174-1&gt;=SV_retPay),0,SV_retMth*12+IF(A174=1,SV_retLump,0))</f>
        <v/>
      </c>
      <c r="AK174" s="29">
        <f>IF(A174&gt;SV_T,0,(AK173+AJ174)*(1+investmentReturn))</f>
        <v/>
      </c>
      <c r="AL174" s="29">
        <f>IF(OR(A174&lt;1,A174&gt;SV_T),0,IF(A174-1&gt;=SV_EDUPay,0,SV_EDUMth*12+IF(A174=1,SV_EDULump,0))+IF(A174-1&gt;=SV_SAVPay,0,SV_SAVMth*12+IF(A174=1,SV_SAVLump,0))+IF(A174-1&gt;=SV_PRPPay,0,SV_PRPMth*12+IF(A174=1,SV_PRPLump,0)))</f>
        <v/>
      </c>
      <c r="AM174" s="29">
        <f>IF(A174&gt;SV_T,0,(AM173+AL174)*(1+investmentReturn))</f>
        <v/>
      </c>
      <c r="AN174" s="29">
        <f>IF(OR(OR(A174&lt;1,A174&gt;SV_T),A174-1&gt;=SV_protPay),0,SV_protPrem)</f>
        <v/>
      </c>
      <c r="AO174" s="29">
        <f>IF(OR(A174=0,A174&gt;=SV_T),0,ROUND(MAX(0,AK174),2)+ROUND(MAX(0,AM174),2))</f>
        <v/>
      </c>
      <c r="AP174" s="29">
        <f>IF(OR(A174&lt;1,A174&gt;SV_T),0,-(AJ174+AL174+AN174)+IF(A174=SV_T,ROUND(MAX(0,AK174),2)+ROUND(MAX(0,AM174),2),0))</f>
        <v/>
      </c>
      <c r="AQ174" s="29">
        <f>IF(A174&gt;SV_T,0,AQ173*(1+SV_savRate)+H174+I174+J174+K174+L174+AE174+AP174)</f>
        <v/>
      </c>
      <c r="AR174" s="29">
        <f>IF(A174&gt;SV_T,0,MAX(0,O174+P174+Q174+AD174+AQ174+AO174-AF174))</f>
        <v/>
      </c>
      <c r="AS174" s="29">
        <f>IF(A174&gt;SV_T,0,O174+P174+AQ174+AO174-MAX(0,AF174-(Q174+AD174)))</f>
        <v/>
      </c>
    </row>
    <row r="175">
      <c r="A175" s="61" t="n">
        <v>3</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IF(OR(OR(A175&lt;1,A175&gt;SV_T),A175-1&gt;=SV_salCut,AND(SV_deaOn,A175&gt;=SV_deaM)),0,SV_sal0*(1+incomeGrowthRate)^(A175-1)*G175)</f>
        <v/>
      </c>
      <c r="I175" s="29">
        <f>IF(OR(A175&lt;1,A175&gt;SV_T),0,(-SV_exp0*F175-IF(A175&lt;=SV_loanYears,SV_inst,0)-IF(AND(SV_wdEDUAmt&gt;0,A175=SV_wdEDUYear),SV_wdEDUAmt,0)-IF(AND(SV_wdSAVAmt&gt;0,A175=SV_wdSAVYear),SV_wdSAVAmt,0)-IF(AND(SV_wdPRPAmt&gt;0,A175=SV_wdPRPYear),SV_wdPRPAmt,0))*IF(AND(SV_expOn,A175&gt;=SV_expS,A175&lt;=SV_expE),1+SV_expImp,1))</f>
        <v/>
      </c>
      <c r="J175" s="29">
        <f>IF(OR(A175&lt;1,A175&gt;SV_T),0,-F175*(IF(AND(SV_deaOn,A175=SV_deaM),SV_deaAmt,0)+IF(AND(SV_criOn,A175=SV_criM),SV_criAmt,0)+IF(AND(SV_tpdOn,A175=SV_tpdM),SV_tpdAmt,0)+IF(AND(SV_pacOn,A175=SV_pacM),SV_pacAmt,0)+IF(AND(SV_hosOn,A175=SV_hosM),SV_hosAmt,0)+IF(AND(SV_wedOn,A175=SV_wedM),SV_wedAmt,0)+IF(AND(SV_babOn,A175=SV_babM),SV_babAmt,0)+IF(AND(SV_ltcOn,A175&gt;=SV_ltcM,A175&lt;=SV_ltcE),SV_ltcAmt,0)))</f>
        <v/>
      </c>
      <c r="K175" s="29">
        <f>IF(OR(OR(A175&lt;1,A175&gt;SV_T),A175&gt;SV_loanYears),0,-SV_lifePremYr)</f>
        <v/>
      </c>
      <c r="L175" s="29">
        <f>IF(OR(A175&lt;1,A175&gt;SV_T),0,-SV_contrib)</f>
        <v/>
      </c>
      <c r="M175" s="60">
        <f>IF(AND(SV_crashOn,A175=SV_crashYr),SV_crashF,1)</f>
        <v/>
      </c>
      <c r="N175" s="60">
        <f>IF(AND(SV_ccyOn,A175=SV_ccyYr),SV_ccyF,1)</f>
        <v/>
      </c>
      <c r="O175" s="29">
        <f>IF(A175&gt;SV_T,0,O174*(1+interestRate)*M175*N175)</f>
        <v/>
      </c>
      <c r="P175" s="29">
        <f>IF(A175&gt;SV_T,0,(P174+SV_contrib)*(1+investmentReturn)*M175*N175)</f>
        <v/>
      </c>
      <c r="Q175" s="29">
        <f>IF(A175&gt;SV_T,0,Q174*(1+SV_propRate)*M175)</f>
        <v/>
      </c>
      <c r="R175" s="46">
        <f>MATCH(SV_age+A175-1,SV_cpfLower,1)</f>
        <v/>
      </c>
      <c r="S175" s="29">
        <f>IF(OR(OR(A175&lt;1,A175&gt;SV_T),NOT(SV_cpfOn),AND(SV_deaOn,A175&gt;=SV_deaM)),0,MIN(SV_sal0*(1+incomeGrowthRate)^(A175-1)*G175,SV_owCap))</f>
        <v/>
      </c>
      <c r="T175" s="29">
        <f>IF(A175&gt;SV_T,0,T174*(1+SV_oaRate)+IF(A175&gt;=SV_effStop,0,INDEX(SV_cpfOA,R175)*INDEX(SV_cpfTot,R175)*S175))</f>
        <v/>
      </c>
      <c r="U175" s="29">
        <f>IF(A175&gt;SV_T,0,U174*(1+SV_saRate)+IF(A175&gt;=SV_effStop,0,INDEX(SV_cpfSA,R175)*INDEX(SV_cpfTot,R175)*S175))</f>
        <v/>
      </c>
      <c r="V175" s="29">
        <f>IF(A175&gt;SV_T,0,V174*(1+SV_saRate)+IF(A175&gt;=SV_effStop,0,INDEX(SV_cpfMA,R175)*INDEX(SV_cpfTot,R175)*S175))</f>
        <v/>
      </c>
      <c r="W175" s="29">
        <f>IF(OR(OR(A175&lt;1,A175&gt;SV_T),A175&gt;=SV_effNeg),0,-(INDEX(SV_cpfOA,R175)+INDEX(SV_cpfSA,R175)+INDEX(SV_cpfMA,R175))*INDEX(SV_cpfEmp,R175)*S175)</f>
        <v/>
      </c>
      <c r="X175" s="29">
        <f>IF(A175&gt;=SV_sIdx,0,T175)</f>
        <v/>
      </c>
      <c r="Y175" s="29">
        <f>IF(A175&gt;=SV_sIdx,0,U175)</f>
        <v/>
      </c>
      <c r="Z175" s="29">
        <f>IF(A175&gt;=SV_sIdx,MIN(V175,SV_maCap),V175)</f>
        <v/>
      </c>
      <c r="AA175" s="29">
        <f>IF(AND(SV_cpfOn,A175&gt;=SV_pIdx,A175&lt;=SV_T),12*SV_pay,0)</f>
        <v/>
      </c>
      <c r="AB175" s="29">
        <f>IF(A175&gt;SV_T,0,IF(SV_sp&gt;=0,IF(A175&lt;SV_sIdx,0,IF(A175=SV_sIdx,SV_R0,SV_lifeGrowth*AB174)),SV_lifeGrowth*AB174))</f>
        <v/>
      </c>
      <c r="AC175" s="29">
        <f>IF(A175&gt;SV_T,0,IF(AND(SV_sp&gt;=0,A175&lt;SV_sIdx),0,IF(AND(SV_sp&gt;=0,A175=SV_sIdx),SV_L0,SV_lifeGrowth*(AC174-AA175))))</f>
        <v/>
      </c>
      <c r="AD175" s="29">
        <f>X175+Y175+AB175+Z175+IF(AB175&lt;0,0,AC175)</f>
        <v/>
      </c>
      <c r="AE175" s="29">
        <f>AA175+W175</f>
        <v/>
      </c>
      <c r="AF175" s="29">
        <f>IF(OR(A175&gt;SV_T,A175&gt;=SV_loanYears),0,MAX(0,AF174*(1+loanRate)-SV_inst))</f>
        <v/>
      </c>
      <c r="AG175" s="29">
        <f>IF(A175&gt;SV_T,0,AG174*(1+SV_savRate)+H175+I175+J175+K175+L175+AE175)</f>
        <v/>
      </c>
      <c r="AH175" s="29">
        <f>IF(A175&gt;SV_T,0,MAX(0,O175+P175+Q175+AD175+AG175-AF175))</f>
        <v/>
      </c>
      <c r="AI175" s="29">
        <f>IF(A175&gt;SV_T,0,O175+P175+AG175-MAX(0,AF175-(Q175+AD175)))</f>
        <v/>
      </c>
      <c r="AJ175" s="29">
        <f>IF(OR(OR(A175&lt;1,A175&gt;SV_T),A175-1&gt;=SV_retPay),0,SV_retMth*12+IF(A175=1,SV_retLump,0))</f>
        <v/>
      </c>
      <c r="AK175" s="29">
        <f>IF(A175&gt;SV_T,0,(AK174+AJ175)*(1+investmentReturn))</f>
        <v/>
      </c>
      <c r="AL175" s="29">
        <f>IF(OR(A175&lt;1,A175&gt;SV_T),0,IF(A175-1&gt;=SV_EDUPay,0,SV_EDUMth*12+IF(A175=1,SV_EDULump,0))+IF(A175-1&gt;=SV_SAVPay,0,SV_SAVMth*12+IF(A175=1,SV_SAVLump,0))+IF(A175-1&gt;=SV_PRPPay,0,SV_PRPMth*12+IF(A175=1,SV_PRPLump,0)))</f>
        <v/>
      </c>
      <c r="AM175" s="29">
        <f>IF(A175&gt;SV_T,0,(AM174+AL175)*(1+investmentReturn))</f>
        <v/>
      </c>
      <c r="AN175" s="29">
        <f>IF(OR(OR(A175&lt;1,A175&gt;SV_T),A175-1&gt;=SV_protPay),0,SV_protPrem)</f>
        <v/>
      </c>
      <c r="AO175" s="29">
        <f>IF(OR(A175=0,A175&gt;=SV_T),0,ROUND(MAX(0,AK175),2)+ROUND(MAX(0,AM175),2))</f>
        <v/>
      </c>
      <c r="AP175" s="29">
        <f>IF(OR(A175&lt;1,A175&gt;SV_T),0,-(AJ175+AL175+AN175)+IF(A175=SV_T,ROUND(MAX(0,AK175),2)+ROUND(MAX(0,AM175),2),0))</f>
        <v/>
      </c>
      <c r="AQ175" s="29">
        <f>IF(A175&gt;SV_T,0,AQ174*(1+SV_savRate)+H175+I175+J175+K175+L175+AE175+AP175)</f>
        <v/>
      </c>
      <c r="AR175" s="29">
        <f>IF(A175&gt;SV_T,0,MAX(0,O175+P175+Q175+AD175+AQ175+AO175-AF175))</f>
        <v/>
      </c>
      <c r="AS175" s="29">
        <f>IF(A175&gt;SV_T,0,O175+P175+AQ175+AO175-MAX(0,AF175-(Q175+AD175)))</f>
        <v/>
      </c>
    </row>
    <row r="176">
      <c r="A176" s="61" t="n">
        <v>4</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IF(OR(OR(A176&lt;1,A176&gt;SV_T),A176-1&gt;=SV_salCut,AND(SV_deaOn,A176&gt;=SV_deaM)),0,SV_sal0*(1+incomeGrowthRate)^(A176-1)*G176)</f>
        <v/>
      </c>
      <c r="I176" s="29">
        <f>IF(OR(A176&lt;1,A176&gt;SV_T),0,(-SV_exp0*F176-IF(A176&lt;=SV_loanYears,SV_inst,0)-IF(AND(SV_wdEDUAmt&gt;0,A176=SV_wdEDUYear),SV_wdEDUAmt,0)-IF(AND(SV_wdSAVAmt&gt;0,A176=SV_wdSAVYear),SV_wdSAVAmt,0)-IF(AND(SV_wdPRPAmt&gt;0,A176=SV_wdPRPYear),SV_wdPRPAmt,0))*IF(AND(SV_expOn,A176&gt;=SV_expS,A176&lt;=SV_expE),1+SV_expImp,1))</f>
        <v/>
      </c>
      <c r="J176" s="29">
        <f>IF(OR(A176&lt;1,A176&gt;SV_T),0,-F176*(IF(AND(SV_deaOn,A176=SV_deaM),SV_deaAmt,0)+IF(AND(SV_criOn,A176=SV_criM),SV_criAmt,0)+IF(AND(SV_tpdOn,A176=SV_tpdM),SV_tpdAmt,0)+IF(AND(SV_pacOn,A176=SV_pacM),SV_pacAmt,0)+IF(AND(SV_hosOn,A176=SV_hosM),SV_hosAmt,0)+IF(AND(SV_wedOn,A176=SV_wedM),SV_wedAmt,0)+IF(AND(SV_babOn,A176=SV_babM),SV_babAmt,0)+IF(AND(SV_ltcOn,A176&gt;=SV_ltcM,A176&lt;=SV_ltcE),SV_ltcAmt,0)))</f>
        <v/>
      </c>
      <c r="K176" s="29">
        <f>IF(OR(OR(A176&lt;1,A176&gt;SV_T),A176&gt;SV_loanYears),0,-SV_lifePremYr)</f>
        <v/>
      </c>
      <c r="L176" s="29">
        <f>IF(OR(A176&lt;1,A176&gt;SV_T),0,-SV_contrib)</f>
        <v/>
      </c>
      <c r="M176" s="60">
        <f>IF(AND(SV_crashOn,A176=SV_crashYr),SV_crashF,1)</f>
        <v/>
      </c>
      <c r="N176" s="60">
        <f>IF(AND(SV_ccyOn,A176=SV_ccyYr),SV_ccyF,1)</f>
        <v/>
      </c>
      <c r="O176" s="29">
        <f>IF(A176&gt;SV_T,0,O175*(1+interestRate)*M176*N176)</f>
        <v/>
      </c>
      <c r="P176" s="29">
        <f>IF(A176&gt;SV_T,0,(P175+SV_contrib)*(1+investmentReturn)*M176*N176)</f>
        <v/>
      </c>
      <c r="Q176" s="29">
        <f>IF(A176&gt;SV_T,0,Q175*(1+SV_propRate)*M176)</f>
        <v/>
      </c>
      <c r="R176" s="46">
        <f>MATCH(SV_age+A176-1,SV_cpfLower,1)</f>
        <v/>
      </c>
      <c r="S176" s="29">
        <f>IF(OR(OR(A176&lt;1,A176&gt;SV_T),NOT(SV_cpfOn),AND(SV_deaOn,A176&gt;=SV_deaM)),0,MIN(SV_sal0*(1+incomeGrowthRate)^(A176-1)*G176,SV_owCap))</f>
        <v/>
      </c>
      <c r="T176" s="29">
        <f>IF(A176&gt;SV_T,0,T175*(1+SV_oaRate)+IF(A176&gt;=SV_effStop,0,INDEX(SV_cpfOA,R176)*INDEX(SV_cpfTot,R176)*S176))</f>
        <v/>
      </c>
      <c r="U176" s="29">
        <f>IF(A176&gt;SV_T,0,U175*(1+SV_saRate)+IF(A176&gt;=SV_effStop,0,INDEX(SV_cpfSA,R176)*INDEX(SV_cpfTot,R176)*S176))</f>
        <v/>
      </c>
      <c r="V176" s="29">
        <f>IF(A176&gt;SV_T,0,V175*(1+SV_saRate)+IF(A176&gt;=SV_effStop,0,INDEX(SV_cpfMA,R176)*INDEX(SV_cpfTot,R176)*S176))</f>
        <v/>
      </c>
      <c r="W176" s="29">
        <f>IF(OR(OR(A176&lt;1,A176&gt;SV_T),A176&gt;=SV_effNeg),0,-(INDEX(SV_cpfOA,R176)+INDEX(SV_cpfSA,R176)+INDEX(SV_cpfMA,R176))*INDEX(SV_cpfEmp,R176)*S176)</f>
        <v/>
      </c>
      <c r="X176" s="29">
        <f>IF(A176&gt;=SV_sIdx,0,T176)</f>
        <v/>
      </c>
      <c r="Y176" s="29">
        <f>IF(A176&gt;=SV_sIdx,0,U176)</f>
        <v/>
      </c>
      <c r="Z176" s="29">
        <f>IF(A176&gt;=SV_sIdx,MIN(V176,SV_maCap),V176)</f>
        <v/>
      </c>
      <c r="AA176" s="29">
        <f>IF(AND(SV_cpfOn,A176&gt;=SV_pIdx,A176&lt;=SV_T),12*SV_pay,0)</f>
        <v/>
      </c>
      <c r="AB176" s="29">
        <f>IF(A176&gt;SV_T,0,IF(SV_sp&gt;=0,IF(A176&lt;SV_sIdx,0,IF(A176=SV_sIdx,SV_R0,SV_lifeGrowth*AB175)),SV_lifeGrowth*AB175))</f>
        <v/>
      </c>
      <c r="AC176" s="29">
        <f>IF(A176&gt;SV_T,0,IF(AND(SV_sp&gt;=0,A176&lt;SV_sIdx),0,IF(AND(SV_sp&gt;=0,A176=SV_sIdx),SV_L0,SV_lifeGrowth*(AC175-AA176))))</f>
        <v/>
      </c>
      <c r="AD176" s="29">
        <f>X176+Y176+AB176+Z176+IF(AB176&lt;0,0,AC176)</f>
        <v/>
      </c>
      <c r="AE176" s="29">
        <f>AA176+W176</f>
        <v/>
      </c>
      <c r="AF176" s="29">
        <f>IF(OR(A176&gt;SV_T,A176&gt;=SV_loanYears),0,MAX(0,AF175*(1+loanRate)-SV_inst))</f>
        <v/>
      </c>
      <c r="AG176" s="29">
        <f>IF(A176&gt;SV_T,0,AG175*(1+SV_savRate)+H176+I176+J176+K176+L176+AE176)</f>
        <v/>
      </c>
      <c r="AH176" s="29">
        <f>IF(A176&gt;SV_T,0,MAX(0,O176+P176+Q176+AD176+AG176-AF176))</f>
        <v/>
      </c>
      <c r="AI176" s="29">
        <f>IF(A176&gt;SV_T,0,O176+P176+AG176-MAX(0,AF176-(Q176+AD176)))</f>
        <v/>
      </c>
      <c r="AJ176" s="29">
        <f>IF(OR(OR(A176&lt;1,A176&gt;SV_T),A176-1&gt;=SV_retPay),0,SV_retMth*12+IF(A176=1,SV_retLump,0))</f>
        <v/>
      </c>
      <c r="AK176" s="29">
        <f>IF(A176&gt;SV_T,0,(AK175+AJ176)*(1+investmentReturn))</f>
        <v/>
      </c>
      <c r="AL176" s="29">
        <f>IF(OR(A176&lt;1,A176&gt;SV_T),0,IF(A176-1&gt;=SV_EDUPay,0,SV_EDUMth*12+IF(A176=1,SV_EDULump,0))+IF(A176-1&gt;=SV_SAVPay,0,SV_SAVMth*12+IF(A176=1,SV_SAVLump,0))+IF(A176-1&gt;=SV_PRPPay,0,SV_PRPMth*12+IF(A176=1,SV_PRPLump,0)))</f>
        <v/>
      </c>
      <c r="AM176" s="29">
        <f>IF(A176&gt;SV_T,0,(AM175+AL176)*(1+investmentReturn))</f>
        <v/>
      </c>
      <c r="AN176" s="29">
        <f>IF(OR(OR(A176&lt;1,A176&gt;SV_T),A176-1&gt;=SV_protPay),0,SV_protPrem)</f>
        <v/>
      </c>
      <c r="AO176" s="29">
        <f>IF(OR(A176=0,A176&gt;=SV_T),0,ROUND(MAX(0,AK176),2)+ROUND(MAX(0,AM176),2))</f>
        <v/>
      </c>
      <c r="AP176" s="29">
        <f>IF(OR(A176&lt;1,A176&gt;SV_T),0,-(AJ176+AL176+AN176)+IF(A176=SV_T,ROUND(MAX(0,AK176),2)+ROUND(MAX(0,AM176),2),0))</f>
        <v/>
      </c>
      <c r="AQ176" s="29">
        <f>IF(A176&gt;SV_T,0,AQ175*(1+SV_savRate)+H176+I176+J176+K176+L176+AE176+AP176)</f>
        <v/>
      </c>
      <c r="AR176" s="29">
        <f>IF(A176&gt;SV_T,0,MAX(0,O176+P176+Q176+AD176+AQ176+AO176-AF176))</f>
        <v/>
      </c>
      <c r="AS176" s="29">
        <f>IF(A176&gt;SV_T,0,O176+P176+AQ176+AO176-MAX(0,AF176-(Q176+AD176)))</f>
        <v/>
      </c>
    </row>
    <row r="177">
      <c r="A177" s="61" t="n">
        <v>5</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IF(OR(OR(A177&lt;1,A177&gt;SV_T),A177-1&gt;=SV_salCut,AND(SV_deaOn,A177&gt;=SV_deaM)),0,SV_sal0*(1+incomeGrowthRate)^(A177-1)*G177)</f>
        <v/>
      </c>
      <c r="I177" s="29">
        <f>IF(OR(A177&lt;1,A177&gt;SV_T),0,(-SV_exp0*F177-IF(A177&lt;=SV_loanYears,SV_inst,0)-IF(AND(SV_wdEDUAmt&gt;0,A177=SV_wdEDUYear),SV_wdEDUAmt,0)-IF(AND(SV_wdSAVAmt&gt;0,A177=SV_wdSAVYear),SV_wdSAVAmt,0)-IF(AND(SV_wdPRPAmt&gt;0,A177=SV_wdPRPYear),SV_wdPRPAmt,0))*IF(AND(SV_expOn,A177&gt;=SV_expS,A177&lt;=SV_expE),1+SV_expImp,1))</f>
        <v/>
      </c>
      <c r="J177" s="29">
        <f>IF(OR(A177&lt;1,A177&gt;SV_T),0,-F177*(IF(AND(SV_deaOn,A177=SV_deaM),SV_deaAmt,0)+IF(AND(SV_criOn,A177=SV_criM),SV_criAmt,0)+IF(AND(SV_tpdOn,A177=SV_tpdM),SV_tpdAmt,0)+IF(AND(SV_pacOn,A177=SV_pacM),SV_pacAmt,0)+IF(AND(SV_hosOn,A177=SV_hosM),SV_hosAmt,0)+IF(AND(SV_wedOn,A177=SV_wedM),SV_wedAmt,0)+IF(AND(SV_babOn,A177=SV_babM),SV_babAmt,0)+IF(AND(SV_ltcOn,A177&gt;=SV_ltcM,A177&lt;=SV_ltcE),SV_ltcAmt,0)))</f>
        <v/>
      </c>
      <c r="K177" s="29">
        <f>IF(OR(OR(A177&lt;1,A177&gt;SV_T),A177&gt;SV_loanYears),0,-SV_lifePremYr)</f>
        <v/>
      </c>
      <c r="L177" s="29">
        <f>IF(OR(A177&lt;1,A177&gt;SV_T),0,-SV_contrib)</f>
        <v/>
      </c>
      <c r="M177" s="60">
        <f>IF(AND(SV_crashOn,A177=SV_crashYr),SV_crashF,1)</f>
        <v/>
      </c>
      <c r="N177" s="60">
        <f>IF(AND(SV_ccyOn,A177=SV_ccyYr),SV_ccyF,1)</f>
        <v/>
      </c>
      <c r="O177" s="29">
        <f>IF(A177&gt;SV_T,0,O176*(1+interestRate)*M177*N177)</f>
        <v/>
      </c>
      <c r="P177" s="29">
        <f>IF(A177&gt;SV_T,0,(P176+SV_contrib)*(1+investmentReturn)*M177*N177)</f>
        <v/>
      </c>
      <c r="Q177" s="29">
        <f>IF(A177&gt;SV_T,0,Q176*(1+SV_propRate)*M177)</f>
        <v/>
      </c>
      <c r="R177" s="46">
        <f>MATCH(SV_age+A177-1,SV_cpfLower,1)</f>
        <v/>
      </c>
      <c r="S177" s="29">
        <f>IF(OR(OR(A177&lt;1,A177&gt;SV_T),NOT(SV_cpfOn),AND(SV_deaOn,A177&gt;=SV_deaM)),0,MIN(SV_sal0*(1+incomeGrowthRate)^(A177-1)*G177,SV_owCap))</f>
        <v/>
      </c>
      <c r="T177" s="29">
        <f>IF(A177&gt;SV_T,0,T176*(1+SV_oaRate)+IF(A177&gt;=SV_effStop,0,INDEX(SV_cpfOA,R177)*INDEX(SV_cpfTot,R177)*S177))</f>
        <v/>
      </c>
      <c r="U177" s="29">
        <f>IF(A177&gt;SV_T,0,U176*(1+SV_saRate)+IF(A177&gt;=SV_effStop,0,INDEX(SV_cpfSA,R177)*INDEX(SV_cpfTot,R177)*S177))</f>
        <v/>
      </c>
      <c r="V177" s="29">
        <f>IF(A177&gt;SV_T,0,V176*(1+SV_saRate)+IF(A177&gt;=SV_effStop,0,INDEX(SV_cpfMA,R177)*INDEX(SV_cpfTot,R177)*S177))</f>
        <v/>
      </c>
      <c r="W177" s="29">
        <f>IF(OR(OR(A177&lt;1,A177&gt;SV_T),A177&gt;=SV_effNeg),0,-(INDEX(SV_cpfOA,R177)+INDEX(SV_cpfSA,R177)+INDEX(SV_cpfMA,R177))*INDEX(SV_cpfEmp,R177)*S177)</f>
        <v/>
      </c>
      <c r="X177" s="29">
        <f>IF(A177&gt;=SV_sIdx,0,T177)</f>
        <v/>
      </c>
      <c r="Y177" s="29">
        <f>IF(A177&gt;=SV_sIdx,0,U177)</f>
        <v/>
      </c>
      <c r="Z177" s="29">
        <f>IF(A177&gt;=SV_sIdx,MIN(V177,SV_maCap),V177)</f>
        <v/>
      </c>
      <c r="AA177" s="29">
        <f>IF(AND(SV_cpfOn,A177&gt;=SV_pIdx,A177&lt;=SV_T),12*SV_pay,0)</f>
        <v/>
      </c>
      <c r="AB177" s="29">
        <f>IF(A177&gt;SV_T,0,IF(SV_sp&gt;=0,IF(A177&lt;SV_sIdx,0,IF(A177=SV_sIdx,SV_R0,SV_lifeGrowth*AB176)),SV_lifeGrowth*AB176))</f>
        <v/>
      </c>
      <c r="AC177" s="29">
        <f>IF(A177&gt;SV_T,0,IF(AND(SV_sp&gt;=0,A177&lt;SV_sIdx),0,IF(AND(SV_sp&gt;=0,A177=SV_sIdx),SV_L0,SV_lifeGrowth*(AC176-AA177))))</f>
        <v/>
      </c>
      <c r="AD177" s="29">
        <f>X177+Y177+AB177+Z177+IF(AB177&lt;0,0,AC177)</f>
        <v/>
      </c>
      <c r="AE177" s="29">
        <f>AA177+W177</f>
        <v/>
      </c>
      <c r="AF177" s="29">
        <f>IF(OR(A177&gt;SV_T,A177&gt;=SV_loanYears),0,MAX(0,AF176*(1+loanRate)-SV_inst))</f>
        <v/>
      </c>
      <c r="AG177" s="29">
        <f>IF(A177&gt;SV_T,0,AG176*(1+SV_savRate)+H177+I177+J177+K177+L177+AE177)</f>
        <v/>
      </c>
      <c r="AH177" s="29">
        <f>IF(A177&gt;SV_T,0,MAX(0,O177+P177+Q177+AD177+AG177-AF177))</f>
        <v/>
      </c>
      <c r="AI177" s="29">
        <f>IF(A177&gt;SV_T,0,O177+P177+AG177-MAX(0,AF177-(Q177+AD177)))</f>
        <v/>
      </c>
      <c r="AJ177" s="29">
        <f>IF(OR(OR(A177&lt;1,A177&gt;SV_T),A177-1&gt;=SV_retPay),0,SV_retMth*12+IF(A177=1,SV_retLump,0))</f>
        <v/>
      </c>
      <c r="AK177" s="29">
        <f>IF(A177&gt;SV_T,0,(AK176+AJ177)*(1+investmentReturn))</f>
        <v/>
      </c>
      <c r="AL177" s="29">
        <f>IF(OR(A177&lt;1,A177&gt;SV_T),0,IF(A177-1&gt;=SV_EDUPay,0,SV_EDUMth*12+IF(A177=1,SV_EDULump,0))+IF(A177-1&gt;=SV_SAVPay,0,SV_SAVMth*12+IF(A177=1,SV_SAVLump,0))+IF(A177-1&gt;=SV_PRPPay,0,SV_PRPMth*12+IF(A177=1,SV_PRPLump,0)))</f>
        <v/>
      </c>
      <c r="AM177" s="29">
        <f>IF(A177&gt;SV_T,0,(AM176+AL177)*(1+investmentReturn))</f>
        <v/>
      </c>
      <c r="AN177" s="29">
        <f>IF(OR(OR(A177&lt;1,A177&gt;SV_T),A177-1&gt;=SV_protPay),0,SV_protPrem)</f>
        <v/>
      </c>
      <c r="AO177" s="29">
        <f>IF(OR(A177=0,A177&gt;=SV_T),0,ROUND(MAX(0,AK177),2)+ROUND(MAX(0,AM177),2))</f>
        <v/>
      </c>
      <c r="AP177" s="29">
        <f>IF(OR(A177&lt;1,A177&gt;SV_T),0,-(AJ177+AL177+AN177)+IF(A177=SV_T,ROUND(MAX(0,AK177),2)+ROUND(MAX(0,AM177),2),0))</f>
        <v/>
      </c>
      <c r="AQ177" s="29">
        <f>IF(A177&gt;SV_T,0,AQ176*(1+SV_savRate)+H177+I177+J177+K177+L177+AE177+AP177)</f>
        <v/>
      </c>
      <c r="AR177" s="29">
        <f>IF(A177&gt;SV_T,0,MAX(0,O177+P177+Q177+AD177+AQ177+AO177-AF177))</f>
        <v/>
      </c>
      <c r="AS177" s="29">
        <f>IF(A177&gt;SV_T,0,O177+P177+AQ177+AO177-MAX(0,AF177-(Q177+AD177)))</f>
        <v/>
      </c>
    </row>
    <row r="178">
      <c r="A178" s="61" t="n">
        <v>6</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IF(OR(OR(A178&lt;1,A178&gt;SV_T),A178-1&gt;=SV_salCut,AND(SV_deaOn,A178&gt;=SV_deaM)),0,SV_sal0*(1+incomeGrowthRate)^(A178-1)*G178)</f>
        <v/>
      </c>
      <c r="I178" s="29">
        <f>IF(OR(A178&lt;1,A178&gt;SV_T),0,(-SV_exp0*F178-IF(A178&lt;=SV_loanYears,SV_inst,0)-IF(AND(SV_wdEDUAmt&gt;0,A178=SV_wdEDUYear),SV_wdEDUAmt,0)-IF(AND(SV_wdSAVAmt&gt;0,A178=SV_wdSAVYear),SV_wdSAVAmt,0)-IF(AND(SV_wdPRPAmt&gt;0,A178=SV_wdPRPYear),SV_wdPRPAmt,0))*IF(AND(SV_expOn,A178&gt;=SV_expS,A178&lt;=SV_expE),1+SV_expImp,1))</f>
        <v/>
      </c>
      <c r="J178" s="29">
        <f>IF(OR(A178&lt;1,A178&gt;SV_T),0,-F178*(IF(AND(SV_deaOn,A178=SV_deaM),SV_deaAmt,0)+IF(AND(SV_criOn,A178=SV_criM),SV_criAmt,0)+IF(AND(SV_tpdOn,A178=SV_tpdM),SV_tpdAmt,0)+IF(AND(SV_pacOn,A178=SV_pacM),SV_pacAmt,0)+IF(AND(SV_hosOn,A178=SV_hosM),SV_hosAmt,0)+IF(AND(SV_wedOn,A178=SV_wedM),SV_wedAmt,0)+IF(AND(SV_babOn,A178=SV_babM),SV_babAmt,0)+IF(AND(SV_ltcOn,A178&gt;=SV_ltcM,A178&lt;=SV_ltcE),SV_ltcAmt,0)))</f>
        <v/>
      </c>
      <c r="K178" s="29">
        <f>IF(OR(OR(A178&lt;1,A178&gt;SV_T),A178&gt;SV_loanYears),0,-SV_lifePremYr)</f>
        <v/>
      </c>
      <c r="L178" s="29">
        <f>IF(OR(A178&lt;1,A178&gt;SV_T),0,-SV_contrib)</f>
        <v/>
      </c>
      <c r="M178" s="60">
        <f>IF(AND(SV_crashOn,A178=SV_crashYr),SV_crashF,1)</f>
        <v/>
      </c>
      <c r="N178" s="60">
        <f>IF(AND(SV_ccyOn,A178=SV_ccyYr),SV_ccyF,1)</f>
        <v/>
      </c>
      <c r="O178" s="29">
        <f>IF(A178&gt;SV_T,0,O177*(1+interestRate)*M178*N178)</f>
        <v/>
      </c>
      <c r="P178" s="29">
        <f>IF(A178&gt;SV_T,0,(P177+SV_contrib)*(1+investmentReturn)*M178*N178)</f>
        <v/>
      </c>
      <c r="Q178" s="29">
        <f>IF(A178&gt;SV_T,0,Q177*(1+SV_propRate)*M178)</f>
        <v/>
      </c>
      <c r="R178" s="46">
        <f>MATCH(SV_age+A178-1,SV_cpfLower,1)</f>
        <v/>
      </c>
      <c r="S178" s="29">
        <f>IF(OR(OR(A178&lt;1,A178&gt;SV_T),NOT(SV_cpfOn),AND(SV_deaOn,A178&gt;=SV_deaM)),0,MIN(SV_sal0*(1+incomeGrowthRate)^(A178-1)*G178,SV_owCap))</f>
        <v/>
      </c>
      <c r="T178" s="29">
        <f>IF(A178&gt;SV_T,0,T177*(1+SV_oaRate)+IF(A178&gt;=SV_effStop,0,INDEX(SV_cpfOA,R178)*INDEX(SV_cpfTot,R178)*S178))</f>
        <v/>
      </c>
      <c r="U178" s="29">
        <f>IF(A178&gt;SV_T,0,U177*(1+SV_saRate)+IF(A178&gt;=SV_effStop,0,INDEX(SV_cpfSA,R178)*INDEX(SV_cpfTot,R178)*S178))</f>
        <v/>
      </c>
      <c r="V178" s="29">
        <f>IF(A178&gt;SV_T,0,V177*(1+SV_saRate)+IF(A178&gt;=SV_effStop,0,INDEX(SV_cpfMA,R178)*INDEX(SV_cpfTot,R178)*S178))</f>
        <v/>
      </c>
      <c r="W178" s="29">
        <f>IF(OR(OR(A178&lt;1,A178&gt;SV_T),A178&gt;=SV_effNeg),0,-(INDEX(SV_cpfOA,R178)+INDEX(SV_cpfSA,R178)+INDEX(SV_cpfMA,R178))*INDEX(SV_cpfEmp,R178)*S178)</f>
        <v/>
      </c>
      <c r="X178" s="29">
        <f>IF(A178&gt;=SV_sIdx,0,T178)</f>
        <v/>
      </c>
      <c r="Y178" s="29">
        <f>IF(A178&gt;=SV_sIdx,0,U178)</f>
        <v/>
      </c>
      <c r="Z178" s="29">
        <f>IF(A178&gt;=SV_sIdx,MIN(V178,SV_maCap),V178)</f>
        <v/>
      </c>
      <c r="AA178" s="29">
        <f>IF(AND(SV_cpfOn,A178&gt;=SV_pIdx,A178&lt;=SV_T),12*SV_pay,0)</f>
        <v/>
      </c>
      <c r="AB178" s="29">
        <f>IF(A178&gt;SV_T,0,IF(SV_sp&gt;=0,IF(A178&lt;SV_sIdx,0,IF(A178=SV_sIdx,SV_R0,SV_lifeGrowth*AB177)),SV_lifeGrowth*AB177))</f>
        <v/>
      </c>
      <c r="AC178" s="29">
        <f>IF(A178&gt;SV_T,0,IF(AND(SV_sp&gt;=0,A178&lt;SV_sIdx),0,IF(AND(SV_sp&gt;=0,A178=SV_sIdx),SV_L0,SV_lifeGrowth*(AC177-AA178))))</f>
        <v/>
      </c>
      <c r="AD178" s="29">
        <f>X178+Y178+AB178+Z178+IF(AB178&lt;0,0,AC178)</f>
        <v/>
      </c>
      <c r="AE178" s="29">
        <f>AA178+W178</f>
        <v/>
      </c>
      <c r="AF178" s="29">
        <f>IF(OR(A178&gt;SV_T,A178&gt;=SV_loanYears),0,MAX(0,AF177*(1+loanRate)-SV_inst))</f>
        <v/>
      </c>
      <c r="AG178" s="29">
        <f>IF(A178&gt;SV_T,0,AG177*(1+SV_savRate)+H178+I178+J178+K178+L178+AE178)</f>
        <v/>
      </c>
      <c r="AH178" s="29">
        <f>IF(A178&gt;SV_T,0,MAX(0,O178+P178+Q178+AD178+AG178-AF178))</f>
        <v/>
      </c>
      <c r="AI178" s="29">
        <f>IF(A178&gt;SV_T,0,O178+P178+AG178-MAX(0,AF178-(Q178+AD178)))</f>
        <v/>
      </c>
      <c r="AJ178" s="29">
        <f>IF(OR(OR(A178&lt;1,A178&gt;SV_T),A178-1&gt;=SV_retPay),0,SV_retMth*12+IF(A178=1,SV_retLump,0))</f>
        <v/>
      </c>
      <c r="AK178" s="29">
        <f>IF(A178&gt;SV_T,0,(AK177+AJ178)*(1+investmentReturn))</f>
        <v/>
      </c>
      <c r="AL178" s="29">
        <f>IF(OR(A178&lt;1,A178&gt;SV_T),0,IF(A178-1&gt;=SV_EDUPay,0,SV_EDUMth*12+IF(A178=1,SV_EDULump,0))+IF(A178-1&gt;=SV_SAVPay,0,SV_SAVMth*12+IF(A178=1,SV_SAVLump,0))+IF(A178-1&gt;=SV_PRPPay,0,SV_PRPMth*12+IF(A178=1,SV_PRPLump,0)))</f>
        <v/>
      </c>
      <c r="AM178" s="29">
        <f>IF(A178&gt;SV_T,0,(AM177+AL178)*(1+investmentReturn))</f>
        <v/>
      </c>
      <c r="AN178" s="29">
        <f>IF(OR(OR(A178&lt;1,A178&gt;SV_T),A178-1&gt;=SV_protPay),0,SV_protPrem)</f>
        <v/>
      </c>
      <c r="AO178" s="29">
        <f>IF(OR(A178=0,A178&gt;=SV_T),0,ROUND(MAX(0,AK178),2)+ROUND(MAX(0,AM178),2))</f>
        <v/>
      </c>
      <c r="AP178" s="29">
        <f>IF(OR(A178&lt;1,A178&gt;SV_T),0,-(AJ178+AL178+AN178)+IF(A178=SV_T,ROUND(MAX(0,AK178),2)+ROUND(MAX(0,AM178),2),0))</f>
        <v/>
      </c>
      <c r="AQ178" s="29">
        <f>IF(A178&gt;SV_T,0,AQ177*(1+SV_savRate)+H178+I178+J178+K178+L178+AE178+AP178)</f>
        <v/>
      </c>
      <c r="AR178" s="29">
        <f>IF(A178&gt;SV_T,0,MAX(0,O178+P178+Q178+AD178+AQ178+AO178-AF178))</f>
        <v/>
      </c>
      <c r="AS178" s="29">
        <f>IF(A178&gt;SV_T,0,O178+P178+AQ178+AO178-MAX(0,AF178-(Q178+AD178)))</f>
        <v/>
      </c>
    </row>
    <row r="179">
      <c r="A179" s="61" t="n">
        <v>7</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IF(OR(OR(A179&lt;1,A179&gt;SV_T),A179-1&gt;=SV_salCut,AND(SV_deaOn,A179&gt;=SV_deaM)),0,SV_sal0*(1+incomeGrowthRate)^(A179-1)*G179)</f>
        <v/>
      </c>
      <c r="I179" s="29">
        <f>IF(OR(A179&lt;1,A179&gt;SV_T),0,(-SV_exp0*F179-IF(A179&lt;=SV_loanYears,SV_inst,0)-IF(AND(SV_wdEDUAmt&gt;0,A179=SV_wdEDUYear),SV_wdEDUAmt,0)-IF(AND(SV_wdSAVAmt&gt;0,A179=SV_wdSAVYear),SV_wdSAVAmt,0)-IF(AND(SV_wdPRPAmt&gt;0,A179=SV_wdPRPYear),SV_wdPRPAmt,0))*IF(AND(SV_expOn,A179&gt;=SV_expS,A179&lt;=SV_expE),1+SV_expImp,1))</f>
        <v/>
      </c>
      <c r="J179" s="29">
        <f>IF(OR(A179&lt;1,A179&gt;SV_T),0,-F179*(IF(AND(SV_deaOn,A179=SV_deaM),SV_deaAmt,0)+IF(AND(SV_criOn,A179=SV_criM),SV_criAmt,0)+IF(AND(SV_tpdOn,A179=SV_tpdM),SV_tpdAmt,0)+IF(AND(SV_pacOn,A179=SV_pacM),SV_pacAmt,0)+IF(AND(SV_hosOn,A179=SV_hosM),SV_hosAmt,0)+IF(AND(SV_wedOn,A179=SV_wedM),SV_wedAmt,0)+IF(AND(SV_babOn,A179=SV_babM),SV_babAmt,0)+IF(AND(SV_ltcOn,A179&gt;=SV_ltcM,A179&lt;=SV_ltcE),SV_ltcAmt,0)))</f>
        <v/>
      </c>
      <c r="K179" s="29">
        <f>IF(OR(OR(A179&lt;1,A179&gt;SV_T),A179&gt;SV_loanYears),0,-SV_lifePremYr)</f>
        <v/>
      </c>
      <c r="L179" s="29">
        <f>IF(OR(A179&lt;1,A179&gt;SV_T),0,-SV_contrib)</f>
        <v/>
      </c>
      <c r="M179" s="60">
        <f>IF(AND(SV_crashOn,A179=SV_crashYr),SV_crashF,1)</f>
        <v/>
      </c>
      <c r="N179" s="60">
        <f>IF(AND(SV_ccyOn,A179=SV_ccyYr),SV_ccyF,1)</f>
        <v/>
      </c>
      <c r="O179" s="29">
        <f>IF(A179&gt;SV_T,0,O178*(1+interestRate)*M179*N179)</f>
        <v/>
      </c>
      <c r="P179" s="29">
        <f>IF(A179&gt;SV_T,0,(P178+SV_contrib)*(1+investmentReturn)*M179*N179)</f>
        <v/>
      </c>
      <c r="Q179" s="29">
        <f>IF(A179&gt;SV_T,0,Q178*(1+SV_propRate)*M179)</f>
        <v/>
      </c>
      <c r="R179" s="46">
        <f>MATCH(SV_age+A179-1,SV_cpfLower,1)</f>
        <v/>
      </c>
      <c r="S179" s="29">
        <f>IF(OR(OR(A179&lt;1,A179&gt;SV_T),NOT(SV_cpfOn),AND(SV_deaOn,A179&gt;=SV_deaM)),0,MIN(SV_sal0*(1+incomeGrowthRate)^(A179-1)*G179,SV_owCap))</f>
        <v/>
      </c>
      <c r="T179" s="29">
        <f>IF(A179&gt;SV_T,0,T178*(1+SV_oaRate)+IF(A179&gt;=SV_effStop,0,INDEX(SV_cpfOA,R179)*INDEX(SV_cpfTot,R179)*S179))</f>
        <v/>
      </c>
      <c r="U179" s="29">
        <f>IF(A179&gt;SV_T,0,U178*(1+SV_saRate)+IF(A179&gt;=SV_effStop,0,INDEX(SV_cpfSA,R179)*INDEX(SV_cpfTot,R179)*S179))</f>
        <v/>
      </c>
      <c r="V179" s="29">
        <f>IF(A179&gt;SV_T,0,V178*(1+SV_saRate)+IF(A179&gt;=SV_effStop,0,INDEX(SV_cpfMA,R179)*INDEX(SV_cpfTot,R179)*S179))</f>
        <v/>
      </c>
      <c r="W179" s="29">
        <f>IF(OR(OR(A179&lt;1,A179&gt;SV_T),A179&gt;=SV_effNeg),0,-(INDEX(SV_cpfOA,R179)+INDEX(SV_cpfSA,R179)+INDEX(SV_cpfMA,R179))*INDEX(SV_cpfEmp,R179)*S179)</f>
        <v/>
      </c>
      <c r="X179" s="29">
        <f>IF(A179&gt;=SV_sIdx,0,T179)</f>
        <v/>
      </c>
      <c r="Y179" s="29">
        <f>IF(A179&gt;=SV_sIdx,0,U179)</f>
        <v/>
      </c>
      <c r="Z179" s="29">
        <f>IF(A179&gt;=SV_sIdx,MIN(V179,SV_maCap),V179)</f>
        <v/>
      </c>
      <c r="AA179" s="29">
        <f>IF(AND(SV_cpfOn,A179&gt;=SV_pIdx,A179&lt;=SV_T),12*SV_pay,0)</f>
        <v/>
      </c>
      <c r="AB179" s="29">
        <f>IF(A179&gt;SV_T,0,IF(SV_sp&gt;=0,IF(A179&lt;SV_sIdx,0,IF(A179=SV_sIdx,SV_R0,SV_lifeGrowth*AB178)),SV_lifeGrowth*AB178))</f>
        <v/>
      </c>
      <c r="AC179" s="29">
        <f>IF(A179&gt;SV_T,0,IF(AND(SV_sp&gt;=0,A179&lt;SV_sIdx),0,IF(AND(SV_sp&gt;=0,A179=SV_sIdx),SV_L0,SV_lifeGrowth*(AC178-AA179))))</f>
        <v/>
      </c>
      <c r="AD179" s="29">
        <f>X179+Y179+AB179+Z179+IF(AB179&lt;0,0,AC179)</f>
        <v/>
      </c>
      <c r="AE179" s="29">
        <f>AA179+W179</f>
        <v/>
      </c>
      <c r="AF179" s="29">
        <f>IF(OR(A179&gt;SV_T,A179&gt;=SV_loanYears),0,MAX(0,AF178*(1+loanRate)-SV_inst))</f>
        <v/>
      </c>
      <c r="AG179" s="29">
        <f>IF(A179&gt;SV_T,0,AG178*(1+SV_savRate)+H179+I179+J179+K179+L179+AE179)</f>
        <v/>
      </c>
      <c r="AH179" s="29">
        <f>IF(A179&gt;SV_T,0,MAX(0,O179+P179+Q179+AD179+AG179-AF179))</f>
        <v/>
      </c>
      <c r="AI179" s="29">
        <f>IF(A179&gt;SV_T,0,O179+P179+AG179-MAX(0,AF179-(Q179+AD179)))</f>
        <v/>
      </c>
      <c r="AJ179" s="29">
        <f>IF(OR(OR(A179&lt;1,A179&gt;SV_T),A179-1&gt;=SV_retPay),0,SV_retMth*12+IF(A179=1,SV_retLump,0))</f>
        <v/>
      </c>
      <c r="AK179" s="29">
        <f>IF(A179&gt;SV_T,0,(AK178+AJ179)*(1+investmentReturn))</f>
        <v/>
      </c>
      <c r="AL179" s="29">
        <f>IF(OR(A179&lt;1,A179&gt;SV_T),0,IF(A179-1&gt;=SV_EDUPay,0,SV_EDUMth*12+IF(A179=1,SV_EDULump,0))+IF(A179-1&gt;=SV_SAVPay,0,SV_SAVMth*12+IF(A179=1,SV_SAVLump,0))+IF(A179-1&gt;=SV_PRPPay,0,SV_PRPMth*12+IF(A179=1,SV_PRPLump,0)))</f>
        <v/>
      </c>
      <c r="AM179" s="29">
        <f>IF(A179&gt;SV_T,0,(AM178+AL179)*(1+investmentReturn))</f>
        <v/>
      </c>
      <c r="AN179" s="29">
        <f>IF(OR(OR(A179&lt;1,A179&gt;SV_T),A179-1&gt;=SV_protPay),0,SV_protPrem)</f>
        <v/>
      </c>
      <c r="AO179" s="29">
        <f>IF(OR(A179=0,A179&gt;=SV_T),0,ROUND(MAX(0,AK179),2)+ROUND(MAX(0,AM179),2))</f>
        <v/>
      </c>
      <c r="AP179" s="29">
        <f>IF(OR(A179&lt;1,A179&gt;SV_T),0,-(AJ179+AL179+AN179)+IF(A179=SV_T,ROUND(MAX(0,AK179),2)+ROUND(MAX(0,AM179),2),0))</f>
        <v/>
      </c>
      <c r="AQ179" s="29">
        <f>IF(A179&gt;SV_T,0,AQ178*(1+SV_savRate)+H179+I179+J179+K179+L179+AE179+AP179)</f>
        <v/>
      </c>
      <c r="AR179" s="29">
        <f>IF(A179&gt;SV_T,0,MAX(0,O179+P179+Q179+AD179+AQ179+AO179-AF179))</f>
        <v/>
      </c>
      <c r="AS179" s="29">
        <f>IF(A179&gt;SV_T,0,O179+P179+AQ179+AO179-MAX(0,AF179-(Q179+AD179)))</f>
        <v/>
      </c>
    </row>
    <row r="180">
      <c r="A180" s="61" t="n">
        <v>8</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IF(OR(OR(A180&lt;1,A180&gt;SV_T),A180-1&gt;=SV_salCut,AND(SV_deaOn,A180&gt;=SV_deaM)),0,SV_sal0*(1+incomeGrowthRate)^(A180-1)*G180)</f>
        <v/>
      </c>
      <c r="I180" s="29">
        <f>IF(OR(A180&lt;1,A180&gt;SV_T),0,(-SV_exp0*F180-IF(A180&lt;=SV_loanYears,SV_inst,0)-IF(AND(SV_wdEDUAmt&gt;0,A180=SV_wdEDUYear),SV_wdEDUAmt,0)-IF(AND(SV_wdSAVAmt&gt;0,A180=SV_wdSAVYear),SV_wdSAVAmt,0)-IF(AND(SV_wdPRPAmt&gt;0,A180=SV_wdPRPYear),SV_wdPRPAmt,0))*IF(AND(SV_expOn,A180&gt;=SV_expS,A180&lt;=SV_expE),1+SV_expImp,1))</f>
        <v/>
      </c>
      <c r="J180" s="29">
        <f>IF(OR(A180&lt;1,A180&gt;SV_T),0,-F180*(IF(AND(SV_deaOn,A180=SV_deaM),SV_deaAmt,0)+IF(AND(SV_criOn,A180=SV_criM),SV_criAmt,0)+IF(AND(SV_tpdOn,A180=SV_tpdM),SV_tpdAmt,0)+IF(AND(SV_pacOn,A180=SV_pacM),SV_pacAmt,0)+IF(AND(SV_hosOn,A180=SV_hosM),SV_hosAmt,0)+IF(AND(SV_wedOn,A180=SV_wedM),SV_wedAmt,0)+IF(AND(SV_babOn,A180=SV_babM),SV_babAmt,0)+IF(AND(SV_ltcOn,A180&gt;=SV_ltcM,A180&lt;=SV_ltcE),SV_ltcAmt,0)))</f>
        <v/>
      </c>
      <c r="K180" s="29">
        <f>IF(OR(OR(A180&lt;1,A180&gt;SV_T),A180&gt;SV_loanYears),0,-SV_lifePremYr)</f>
        <v/>
      </c>
      <c r="L180" s="29">
        <f>IF(OR(A180&lt;1,A180&gt;SV_T),0,-SV_contrib)</f>
        <v/>
      </c>
      <c r="M180" s="60">
        <f>IF(AND(SV_crashOn,A180=SV_crashYr),SV_crashF,1)</f>
        <v/>
      </c>
      <c r="N180" s="60">
        <f>IF(AND(SV_ccyOn,A180=SV_ccyYr),SV_ccyF,1)</f>
        <v/>
      </c>
      <c r="O180" s="29">
        <f>IF(A180&gt;SV_T,0,O179*(1+interestRate)*M180*N180)</f>
        <v/>
      </c>
      <c r="P180" s="29">
        <f>IF(A180&gt;SV_T,0,(P179+SV_contrib)*(1+investmentReturn)*M180*N180)</f>
        <v/>
      </c>
      <c r="Q180" s="29">
        <f>IF(A180&gt;SV_T,0,Q179*(1+SV_propRate)*M180)</f>
        <v/>
      </c>
      <c r="R180" s="46">
        <f>MATCH(SV_age+A180-1,SV_cpfLower,1)</f>
        <v/>
      </c>
      <c r="S180" s="29">
        <f>IF(OR(OR(A180&lt;1,A180&gt;SV_T),NOT(SV_cpfOn),AND(SV_deaOn,A180&gt;=SV_deaM)),0,MIN(SV_sal0*(1+incomeGrowthRate)^(A180-1)*G180,SV_owCap))</f>
        <v/>
      </c>
      <c r="T180" s="29">
        <f>IF(A180&gt;SV_T,0,T179*(1+SV_oaRate)+IF(A180&gt;=SV_effStop,0,INDEX(SV_cpfOA,R180)*INDEX(SV_cpfTot,R180)*S180))</f>
        <v/>
      </c>
      <c r="U180" s="29">
        <f>IF(A180&gt;SV_T,0,U179*(1+SV_saRate)+IF(A180&gt;=SV_effStop,0,INDEX(SV_cpfSA,R180)*INDEX(SV_cpfTot,R180)*S180))</f>
        <v/>
      </c>
      <c r="V180" s="29">
        <f>IF(A180&gt;SV_T,0,V179*(1+SV_saRate)+IF(A180&gt;=SV_effStop,0,INDEX(SV_cpfMA,R180)*INDEX(SV_cpfTot,R180)*S180))</f>
        <v/>
      </c>
      <c r="W180" s="29">
        <f>IF(OR(OR(A180&lt;1,A180&gt;SV_T),A180&gt;=SV_effNeg),0,-(INDEX(SV_cpfOA,R180)+INDEX(SV_cpfSA,R180)+INDEX(SV_cpfMA,R180))*INDEX(SV_cpfEmp,R180)*S180)</f>
        <v/>
      </c>
      <c r="X180" s="29">
        <f>IF(A180&gt;=SV_sIdx,0,T180)</f>
        <v/>
      </c>
      <c r="Y180" s="29">
        <f>IF(A180&gt;=SV_sIdx,0,U180)</f>
        <v/>
      </c>
      <c r="Z180" s="29">
        <f>IF(A180&gt;=SV_sIdx,MIN(V180,SV_maCap),V180)</f>
        <v/>
      </c>
      <c r="AA180" s="29">
        <f>IF(AND(SV_cpfOn,A180&gt;=SV_pIdx,A180&lt;=SV_T),12*SV_pay,0)</f>
        <v/>
      </c>
      <c r="AB180" s="29">
        <f>IF(A180&gt;SV_T,0,IF(SV_sp&gt;=0,IF(A180&lt;SV_sIdx,0,IF(A180=SV_sIdx,SV_R0,SV_lifeGrowth*AB179)),SV_lifeGrowth*AB179))</f>
        <v/>
      </c>
      <c r="AC180" s="29">
        <f>IF(A180&gt;SV_T,0,IF(AND(SV_sp&gt;=0,A180&lt;SV_sIdx),0,IF(AND(SV_sp&gt;=0,A180=SV_sIdx),SV_L0,SV_lifeGrowth*(AC179-AA180))))</f>
        <v/>
      </c>
      <c r="AD180" s="29">
        <f>X180+Y180+AB180+Z180+IF(AB180&lt;0,0,AC180)</f>
        <v/>
      </c>
      <c r="AE180" s="29">
        <f>AA180+W180</f>
        <v/>
      </c>
      <c r="AF180" s="29">
        <f>IF(OR(A180&gt;SV_T,A180&gt;=SV_loanYears),0,MAX(0,AF179*(1+loanRate)-SV_inst))</f>
        <v/>
      </c>
      <c r="AG180" s="29">
        <f>IF(A180&gt;SV_T,0,AG179*(1+SV_savRate)+H180+I180+J180+K180+L180+AE180)</f>
        <v/>
      </c>
      <c r="AH180" s="29">
        <f>IF(A180&gt;SV_T,0,MAX(0,O180+P180+Q180+AD180+AG180-AF180))</f>
        <v/>
      </c>
      <c r="AI180" s="29">
        <f>IF(A180&gt;SV_T,0,O180+P180+AG180-MAX(0,AF180-(Q180+AD180)))</f>
        <v/>
      </c>
      <c r="AJ180" s="29">
        <f>IF(OR(OR(A180&lt;1,A180&gt;SV_T),A180-1&gt;=SV_retPay),0,SV_retMth*12+IF(A180=1,SV_retLump,0))</f>
        <v/>
      </c>
      <c r="AK180" s="29">
        <f>IF(A180&gt;SV_T,0,(AK179+AJ180)*(1+investmentReturn))</f>
        <v/>
      </c>
      <c r="AL180" s="29">
        <f>IF(OR(A180&lt;1,A180&gt;SV_T),0,IF(A180-1&gt;=SV_EDUPay,0,SV_EDUMth*12+IF(A180=1,SV_EDULump,0))+IF(A180-1&gt;=SV_SAVPay,0,SV_SAVMth*12+IF(A180=1,SV_SAVLump,0))+IF(A180-1&gt;=SV_PRPPay,0,SV_PRPMth*12+IF(A180=1,SV_PRPLump,0)))</f>
        <v/>
      </c>
      <c r="AM180" s="29">
        <f>IF(A180&gt;SV_T,0,(AM179+AL180)*(1+investmentReturn))</f>
        <v/>
      </c>
      <c r="AN180" s="29">
        <f>IF(OR(OR(A180&lt;1,A180&gt;SV_T),A180-1&gt;=SV_protPay),0,SV_protPrem)</f>
        <v/>
      </c>
      <c r="AO180" s="29">
        <f>IF(OR(A180=0,A180&gt;=SV_T),0,ROUND(MAX(0,AK180),2)+ROUND(MAX(0,AM180),2))</f>
        <v/>
      </c>
      <c r="AP180" s="29">
        <f>IF(OR(A180&lt;1,A180&gt;SV_T),0,-(AJ180+AL180+AN180)+IF(A180=SV_T,ROUND(MAX(0,AK180),2)+ROUND(MAX(0,AM180),2),0))</f>
        <v/>
      </c>
      <c r="AQ180" s="29">
        <f>IF(A180&gt;SV_T,0,AQ179*(1+SV_savRate)+H180+I180+J180+K180+L180+AE180+AP180)</f>
        <v/>
      </c>
      <c r="AR180" s="29">
        <f>IF(A180&gt;SV_T,0,MAX(0,O180+P180+Q180+AD180+AQ180+AO180-AF180))</f>
        <v/>
      </c>
      <c r="AS180" s="29">
        <f>IF(A180&gt;SV_T,0,O180+P180+AQ180+AO180-MAX(0,AF180-(Q180+AD180)))</f>
        <v/>
      </c>
    </row>
    <row r="181">
      <c r="A181" s="61" t="n">
        <v>9</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IF(OR(OR(A181&lt;1,A181&gt;SV_T),A181-1&gt;=SV_salCut,AND(SV_deaOn,A181&gt;=SV_deaM)),0,SV_sal0*(1+incomeGrowthRate)^(A181-1)*G181)</f>
        <v/>
      </c>
      <c r="I181" s="29">
        <f>IF(OR(A181&lt;1,A181&gt;SV_T),0,(-SV_exp0*F181-IF(A181&lt;=SV_loanYears,SV_inst,0)-IF(AND(SV_wdEDUAmt&gt;0,A181=SV_wdEDUYear),SV_wdEDUAmt,0)-IF(AND(SV_wdSAVAmt&gt;0,A181=SV_wdSAVYear),SV_wdSAVAmt,0)-IF(AND(SV_wdPRPAmt&gt;0,A181=SV_wdPRPYear),SV_wdPRPAmt,0))*IF(AND(SV_expOn,A181&gt;=SV_expS,A181&lt;=SV_expE),1+SV_expImp,1))</f>
        <v/>
      </c>
      <c r="J181" s="29">
        <f>IF(OR(A181&lt;1,A181&gt;SV_T),0,-F181*(IF(AND(SV_deaOn,A181=SV_deaM),SV_deaAmt,0)+IF(AND(SV_criOn,A181=SV_criM),SV_criAmt,0)+IF(AND(SV_tpdOn,A181=SV_tpdM),SV_tpdAmt,0)+IF(AND(SV_pacOn,A181=SV_pacM),SV_pacAmt,0)+IF(AND(SV_hosOn,A181=SV_hosM),SV_hosAmt,0)+IF(AND(SV_wedOn,A181=SV_wedM),SV_wedAmt,0)+IF(AND(SV_babOn,A181=SV_babM),SV_babAmt,0)+IF(AND(SV_ltcOn,A181&gt;=SV_ltcM,A181&lt;=SV_ltcE),SV_ltcAmt,0)))</f>
        <v/>
      </c>
      <c r="K181" s="29">
        <f>IF(OR(OR(A181&lt;1,A181&gt;SV_T),A181&gt;SV_loanYears),0,-SV_lifePremYr)</f>
        <v/>
      </c>
      <c r="L181" s="29">
        <f>IF(OR(A181&lt;1,A181&gt;SV_T),0,-SV_contrib)</f>
        <v/>
      </c>
      <c r="M181" s="60">
        <f>IF(AND(SV_crashOn,A181=SV_crashYr),SV_crashF,1)</f>
        <v/>
      </c>
      <c r="N181" s="60">
        <f>IF(AND(SV_ccyOn,A181=SV_ccyYr),SV_ccyF,1)</f>
        <v/>
      </c>
      <c r="O181" s="29">
        <f>IF(A181&gt;SV_T,0,O180*(1+interestRate)*M181*N181)</f>
        <v/>
      </c>
      <c r="P181" s="29">
        <f>IF(A181&gt;SV_T,0,(P180+SV_contrib)*(1+investmentReturn)*M181*N181)</f>
        <v/>
      </c>
      <c r="Q181" s="29">
        <f>IF(A181&gt;SV_T,0,Q180*(1+SV_propRate)*M181)</f>
        <v/>
      </c>
      <c r="R181" s="46">
        <f>MATCH(SV_age+A181-1,SV_cpfLower,1)</f>
        <v/>
      </c>
      <c r="S181" s="29">
        <f>IF(OR(OR(A181&lt;1,A181&gt;SV_T),NOT(SV_cpfOn),AND(SV_deaOn,A181&gt;=SV_deaM)),0,MIN(SV_sal0*(1+incomeGrowthRate)^(A181-1)*G181,SV_owCap))</f>
        <v/>
      </c>
      <c r="T181" s="29">
        <f>IF(A181&gt;SV_T,0,T180*(1+SV_oaRate)+IF(A181&gt;=SV_effStop,0,INDEX(SV_cpfOA,R181)*INDEX(SV_cpfTot,R181)*S181))</f>
        <v/>
      </c>
      <c r="U181" s="29">
        <f>IF(A181&gt;SV_T,0,U180*(1+SV_saRate)+IF(A181&gt;=SV_effStop,0,INDEX(SV_cpfSA,R181)*INDEX(SV_cpfTot,R181)*S181))</f>
        <v/>
      </c>
      <c r="V181" s="29">
        <f>IF(A181&gt;SV_T,0,V180*(1+SV_saRate)+IF(A181&gt;=SV_effStop,0,INDEX(SV_cpfMA,R181)*INDEX(SV_cpfTot,R181)*S181))</f>
        <v/>
      </c>
      <c r="W181" s="29">
        <f>IF(OR(OR(A181&lt;1,A181&gt;SV_T),A181&gt;=SV_effNeg),0,-(INDEX(SV_cpfOA,R181)+INDEX(SV_cpfSA,R181)+INDEX(SV_cpfMA,R181))*INDEX(SV_cpfEmp,R181)*S181)</f>
        <v/>
      </c>
      <c r="X181" s="29">
        <f>IF(A181&gt;=SV_sIdx,0,T181)</f>
        <v/>
      </c>
      <c r="Y181" s="29">
        <f>IF(A181&gt;=SV_sIdx,0,U181)</f>
        <v/>
      </c>
      <c r="Z181" s="29">
        <f>IF(A181&gt;=SV_sIdx,MIN(V181,SV_maCap),V181)</f>
        <v/>
      </c>
      <c r="AA181" s="29">
        <f>IF(AND(SV_cpfOn,A181&gt;=SV_pIdx,A181&lt;=SV_T),12*SV_pay,0)</f>
        <v/>
      </c>
      <c r="AB181" s="29">
        <f>IF(A181&gt;SV_T,0,IF(SV_sp&gt;=0,IF(A181&lt;SV_sIdx,0,IF(A181=SV_sIdx,SV_R0,SV_lifeGrowth*AB180)),SV_lifeGrowth*AB180))</f>
        <v/>
      </c>
      <c r="AC181" s="29">
        <f>IF(A181&gt;SV_T,0,IF(AND(SV_sp&gt;=0,A181&lt;SV_sIdx),0,IF(AND(SV_sp&gt;=0,A181=SV_sIdx),SV_L0,SV_lifeGrowth*(AC180-AA181))))</f>
        <v/>
      </c>
      <c r="AD181" s="29">
        <f>X181+Y181+AB181+Z181+IF(AB181&lt;0,0,AC181)</f>
        <v/>
      </c>
      <c r="AE181" s="29">
        <f>AA181+W181</f>
        <v/>
      </c>
      <c r="AF181" s="29">
        <f>IF(OR(A181&gt;SV_T,A181&gt;=SV_loanYears),0,MAX(0,AF180*(1+loanRate)-SV_inst))</f>
        <v/>
      </c>
      <c r="AG181" s="29">
        <f>IF(A181&gt;SV_T,0,AG180*(1+SV_savRate)+H181+I181+J181+K181+L181+AE181)</f>
        <v/>
      </c>
      <c r="AH181" s="29">
        <f>IF(A181&gt;SV_T,0,MAX(0,O181+P181+Q181+AD181+AG181-AF181))</f>
        <v/>
      </c>
      <c r="AI181" s="29">
        <f>IF(A181&gt;SV_T,0,O181+P181+AG181-MAX(0,AF181-(Q181+AD181)))</f>
        <v/>
      </c>
      <c r="AJ181" s="29">
        <f>IF(OR(OR(A181&lt;1,A181&gt;SV_T),A181-1&gt;=SV_retPay),0,SV_retMth*12+IF(A181=1,SV_retLump,0))</f>
        <v/>
      </c>
      <c r="AK181" s="29">
        <f>IF(A181&gt;SV_T,0,(AK180+AJ181)*(1+investmentReturn))</f>
        <v/>
      </c>
      <c r="AL181" s="29">
        <f>IF(OR(A181&lt;1,A181&gt;SV_T),0,IF(A181-1&gt;=SV_EDUPay,0,SV_EDUMth*12+IF(A181=1,SV_EDULump,0))+IF(A181-1&gt;=SV_SAVPay,0,SV_SAVMth*12+IF(A181=1,SV_SAVLump,0))+IF(A181-1&gt;=SV_PRPPay,0,SV_PRPMth*12+IF(A181=1,SV_PRPLump,0)))</f>
        <v/>
      </c>
      <c r="AM181" s="29">
        <f>IF(A181&gt;SV_T,0,(AM180+AL181)*(1+investmentReturn))</f>
        <v/>
      </c>
      <c r="AN181" s="29">
        <f>IF(OR(OR(A181&lt;1,A181&gt;SV_T),A181-1&gt;=SV_protPay),0,SV_protPrem)</f>
        <v/>
      </c>
      <c r="AO181" s="29">
        <f>IF(OR(A181=0,A181&gt;=SV_T),0,ROUND(MAX(0,AK181),2)+ROUND(MAX(0,AM181),2))</f>
        <v/>
      </c>
      <c r="AP181" s="29">
        <f>IF(OR(A181&lt;1,A181&gt;SV_T),0,-(AJ181+AL181+AN181)+IF(A181=SV_T,ROUND(MAX(0,AK181),2)+ROUND(MAX(0,AM181),2),0))</f>
        <v/>
      </c>
      <c r="AQ181" s="29">
        <f>IF(A181&gt;SV_T,0,AQ180*(1+SV_savRate)+H181+I181+J181+K181+L181+AE181+AP181)</f>
        <v/>
      </c>
      <c r="AR181" s="29">
        <f>IF(A181&gt;SV_T,0,MAX(0,O181+P181+Q181+AD181+AQ181+AO181-AF181))</f>
        <v/>
      </c>
      <c r="AS181" s="29">
        <f>IF(A181&gt;SV_T,0,O181+P181+AQ181+AO181-MAX(0,AF181-(Q181+AD181)))</f>
        <v/>
      </c>
    </row>
    <row r="182">
      <c r="A182" s="61" t="n">
        <v>10</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IF(OR(OR(A182&lt;1,A182&gt;SV_T),A182-1&gt;=SV_salCut,AND(SV_deaOn,A182&gt;=SV_deaM)),0,SV_sal0*(1+incomeGrowthRate)^(A182-1)*G182)</f>
        <v/>
      </c>
      <c r="I182" s="29">
        <f>IF(OR(A182&lt;1,A182&gt;SV_T),0,(-SV_exp0*F182-IF(A182&lt;=SV_loanYears,SV_inst,0)-IF(AND(SV_wdEDUAmt&gt;0,A182=SV_wdEDUYear),SV_wdEDUAmt,0)-IF(AND(SV_wdSAVAmt&gt;0,A182=SV_wdSAVYear),SV_wdSAVAmt,0)-IF(AND(SV_wdPRPAmt&gt;0,A182=SV_wdPRPYear),SV_wdPRPAmt,0))*IF(AND(SV_expOn,A182&gt;=SV_expS,A182&lt;=SV_expE),1+SV_expImp,1))</f>
        <v/>
      </c>
      <c r="J182" s="29">
        <f>IF(OR(A182&lt;1,A182&gt;SV_T),0,-F182*(IF(AND(SV_deaOn,A182=SV_deaM),SV_deaAmt,0)+IF(AND(SV_criOn,A182=SV_criM),SV_criAmt,0)+IF(AND(SV_tpdOn,A182=SV_tpdM),SV_tpdAmt,0)+IF(AND(SV_pacOn,A182=SV_pacM),SV_pacAmt,0)+IF(AND(SV_hosOn,A182=SV_hosM),SV_hosAmt,0)+IF(AND(SV_wedOn,A182=SV_wedM),SV_wedAmt,0)+IF(AND(SV_babOn,A182=SV_babM),SV_babAmt,0)+IF(AND(SV_ltcOn,A182&gt;=SV_ltcM,A182&lt;=SV_ltcE),SV_ltcAmt,0)))</f>
        <v/>
      </c>
      <c r="K182" s="29">
        <f>IF(OR(OR(A182&lt;1,A182&gt;SV_T),A182&gt;SV_loanYears),0,-SV_lifePremYr)</f>
        <v/>
      </c>
      <c r="L182" s="29">
        <f>IF(OR(A182&lt;1,A182&gt;SV_T),0,-SV_contrib)</f>
        <v/>
      </c>
      <c r="M182" s="60">
        <f>IF(AND(SV_crashOn,A182=SV_crashYr),SV_crashF,1)</f>
        <v/>
      </c>
      <c r="N182" s="60">
        <f>IF(AND(SV_ccyOn,A182=SV_ccyYr),SV_ccyF,1)</f>
        <v/>
      </c>
      <c r="O182" s="29">
        <f>IF(A182&gt;SV_T,0,O181*(1+interestRate)*M182*N182)</f>
        <v/>
      </c>
      <c r="P182" s="29">
        <f>IF(A182&gt;SV_T,0,(P181+SV_contrib)*(1+investmentReturn)*M182*N182)</f>
        <v/>
      </c>
      <c r="Q182" s="29">
        <f>IF(A182&gt;SV_T,0,Q181*(1+SV_propRate)*M182)</f>
        <v/>
      </c>
      <c r="R182" s="46">
        <f>MATCH(SV_age+A182-1,SV_cpfLower,1)</f>
        <v/>
      </c>
      <c r="S182" s="29">
        <f>IF(OR(OR(A182&lt;1,A182&gt;SV_T),NOT(SV_cpfOn),AND(SV_deaOn,A182&gt;=SV_deaM)),0,MIN(SV_sal0*(1+incomeGrowthRate)^(A182-1)*G182,SV_owCap))</f>
        <v/>
      </c>
      <c r="T182" s="29">
        <f>IF(A182&gt;SV_T,0,T181*(1+SV_oaRate)+IF(A182&gt;=SV_effStop,0,INDEX(SV_cpfOA,R182)*INDEX(SV_cpfTot,R182)*S182))</f>
        <v/>
      </c>
      <c r="U182" s="29">
        <f>IF(A182&gt;SV_T,0,U181*(1+SV_saRate)+IF(A182&gt;=SV_effStop,0,INDEX(SV_cpfSA,R182)*INDEX(SV_cpfTot,R182)*S182))</f>
        <v/>
      </c>
      <c r="V182" s="29">
        <f>IF(A182&gt;SV_T,0,V181*(1+SV_saRate)+IF(A182&gt;=SV_effStop,0,INDEX(SV_cpfMA,R182)*INDEX(SV_cpfTot,R182)*S182))</f>
        <v/>
      </c>
      <c r="W182" s="29">
        <f>IF(OR(OR(A182&lt;1,A182&gt;SV_T),A182&gt;=SV_effNeg),0,-(INDEX(SV_cpfOA,R182)+INDEX(SV_cpfSA,R182)+INDEX(SV_cpfMA,R182))*INDEX(SV_cpfEmp,R182)*S182)</f>
        <v/>
      </c>
      <c r="X182" s="29">
        <f>IF(A182&gt;=SV_sIdx,0,T182)</f>
        <v/>
      </c>
      <c r="Y182" s="29">
        <f>IF(A182&gt;=SV_sIdx,0,U182)</f>
        <v/>
      </c>
      <c r="Z182" s="29">
        <f>IF(A182&gt;=SV_sIdx,MIN(V182,SV_maCap),V182)</f>
        <v/>
      </c>
      <c r="AA182" s="29">
        <f>IF(AND(SV_cpfOn,A182&gt;=SV_pIdx,A182&lt;=SV_T),12*SV_pay,0)</f>
        <v/>
      </c>
      <c r="AB182" s="29">
        <f>IF(A182&gt;SV_T,0,IF(SV_sp&gt;=0,IF(A182&lt;SV_sIdx,0,IF(A182=SV_sIdx,SV_R0,SV_lifeGrowth*AB181)),SV_lifeGrowth*AB181))</f>
        <v/>
      </c>
      <c r="AC182" s="29">
        <f>IF(A182&gt;SV_T,0,IF(AND(SV_sp&gt;=0,A182&lt;SV_sIdx),0,IF(AND(SV_sp&gt;=0,A182=SV_sIdx),SV_L0,SV_lifeGrowth*(AC181-AA182))))</f>
        <v/>
      </c>
      <c r="AD182" s="29">
        <f>X182+Y182+AB182+Z182+IF(AB182&lt;0,0,AC182)</f>
        <v/>
      </c>
      <c r="AE182" s="29">
        <f>AA182+W182</f>
        <v/>
      </c>
      <c r="AF182" s="29">
        <f>IF(OR(A182&gt;SV_T,A182&gt;=SV_loanYears),0,MAX(0,AF181*(1+loanRate)-SV_inst))</f>
        <v/>
      </c>
      <c r="AG182" s="29">
        <f>IF(A182&gt;SV_T,0,AG181*(1+SV_savRate)+H182+I182+J182+K182+L182+AE182)</f>
        <v/>
      </c>
      <c r="AH182" s="29">
        <f>IF(A182&gt;SV_T,0,MAX(0,O182+P182+Q182+AD182+AG182-AF182))</f>
        <v/>
      </c>
      <c r="AI182" s="29">
        <f>IF(A182&gt;SV_T,0,O182+P182+AG182-MAX(0,AF182-(Q182+AD182)))</f>
        <v/>
      </c>
      <c r="AJ182" s="29">
        <f>IF(OR(OR(A182&lt;1,A182&gt;SV_T),A182-1&gt;=SV_retPay),0,SV_retMth*12+IF(A182=1,SV_retLump,0))</f>
        <v/>
      </c>
      <c r="AK182" s="29">
        <f>IF(A182&gt;SV_T,0,(AK181+AJ182)*(1+investmentReturn))</f>
        <v/>
      </c>
      <c r="AL182" s="29">
        <f>IF(OR(A182&lt;1,A182&gt;SV_T),0,IF(A182-1&gt;=SV_EDUPay,0,SV_EDUMth*12+IF(A182=1,SV_EDULump,0))+IF(A182-1&gt;=SV_SAVPay,0,SV_SAVMth*12+IF(A182=1,SV_SAVLump,0))+IF(A182-1&gt;=SV_PRPPay,0,SV_PRPMth*12+IF(A182=1,SV_PRPLump,0)))</f>
        <v/>
      </c>
      <c r="AM182" s="29">
        <f>IF(A182&gt;SV_T,0,(AM181+AL182)*(1+investmentReturn))</f>
        <v/>
      </c>
      <c r="AN182" s="29">
        <f>IF(OR(OR(A182&lt;1,A182&gt;SV_T),A182-1&gt;=SV_protPay),0,SV_protPrem)</f>
        <v/>
      </c>
      <c r="AO182" s="29">
        <f>IF(OR(A182=0,A182&gt;=SV_T),0,ROUND(MAX(0,AK182),2)+ROUND(MAX(0,AM182),2))</f>
        <v/>
      </c>
      <c r="AP182" s="29">
        <f>IF(OR(A182&lt;1,A182&gt;SV_T),0,-(AJ182+AL182+AN182)+IF(A182=SV_T,ROUND(MAX(0,AK182),2)+ROUND(MAX(0,AM182),2),0))</f>
        <v/>
      </c>
      <c r="AQ182" s="29">
        <f>IF(A182&gt;SV_T,0,AQ181*(1+SV_savRate)+H182+I182+J182+K182+L182+AE182+AP182)</f>
        <v/>
      </c>
      <c r="AR182" s="29">
        <f>IF(A182&gt;SV_T,0,MAX(0,O182+P182+Q182+AD182+AQ182+AO182-AF182))</f>
        <v/>
      </c>
      <c r="AS182" s="29">
        <f>IF(A182&gt;SV_T,0,O182+P182+AQ182+AO182-MAX(0,AF182-(Q182+AD182)))</f>
        <v/>
      </c>
    </row>
    <row r="183">
      <c r="A183" s="61" t="n">
        <v>11</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IF(OR(OR(A183&lt;1,A183&gt;SV_T),A183-1&gt;=SV_salCut,AND(SV_deaOn,A183&gt;=SV_deaM)),0,SV_sal0*(1+incomeGrowthRate)^(A183-1)*G183)</f>
        <v/>
      </c>
      <c r="I183" s="29">
        <f>IF(OR(A183&lt;1,A183&gt;SV_T),0,(-SV_exp0*F183-IF(A183&lt;=SV_loanYears,SV_inst,0)-IF(AND(SV_wdEDUAmt&gt;0,A183=SV_wdEDUYear),SV_wdEDUAmt,0)-IF(AND(SV_wdSAVAmt&gt;0,A183=SV_wdSAVYear),SV_wdSAVAmt,0)-IF(AND(SV_wdPRPAmt&gt;0,A183=SV_wdPRPYear),SV_wdPRPAmt,0))*IF(AND(SV_expOn,A183&gt;=SV_expS,A183&lt;=SV_expE),1+SV_expImp,1))</f>
        <v/>
      </c>
      <c r="J183" s="29">
        <f>IF(OR(A183&lt;1,A183&gt;SV_T),0,-F183*(IF(AND(SV_deaOn,A183=SV_deaM),SV_deaAmt,0)+IF(AND(SV_criOn,A183=SV_criM),SV_criAmt,0)+IF(AND(SV_tpdOn,A183=SV_tpdM),SV_tpdAmt,0)+IF(AND(SV_pacOn,A183=SV_pacM),SV_pacAmt,0)+IF(AND(SV_hosOn,A183=SV_hosM),SV_hosAmt,0)+IF(AND(SV_wedOn,A183=SV_wedM),SV_wedAmt,0)+IF(AND(SV_babOn,A183=SV_babM),SV_babAmt,0)+IF(AND(SV_ltcOn,A183&gt;=SV_ltcM,A183&lt;=SV_ltcE),SV_ltcAmt,0)))</f>
        <v/>
      </c>
      <c r="K183" s="29">
        <f>IF(OR(OR(A183&lt;1,A183&gt;SV_T),A183&gt;SV_loanYears),0,-SV_lifePremYr)</f>
        <v/>
      </c>
      <c r="L183" s="29">
        <f>IF(OR(A183&lt;1,A183&gt;SV_T),0,-SV_contrib)</f>
        <v/>
      </c>
      <c r="M183" s="60">
        <f>IF(AND(SV_crashOn,A183=SV_crashYr),SV_crashF,1)</f>
        <v/>
      </c>
      <c r="N183" s="60">
        <f>IF(AND(SV_ccyOn,A183=SV_ccyYr),SV_ccyF,1)</f>
        <v/>
      </c>
      <c r="O183" s="29">
        <f>IF(A183&gt;SV_T,0,O182*(1+interestRate)*M183*N183)</f>
        <v/>
      </c>
      <c r="P183" s="29">
        <f>IF(A183&gt;SV_T,0,(P182+SV_contrib)*(1+investmentReturn)*M183*N183)</f>
        <v/>
      </c>
      <c r="Q183" s="29">
        <f>IF(A183&gt;SV_T,0,Q182*(1+SV_propRate)*M183)</f>
        <v/>
      </c>
      <c r="R183" s="46">
        <f>MATCH(SV_age+A183-1,SV_cpfLower,1)</f>
        <v/>
      </c>
      <c r="S183" s="29">
        <f>IF(OR(OR(A183&lt;1,A183&gt;SV_T),NOT(SV_cpfOn),AND(SV_deaOn,A183&gt;=SV_deaM)),0,MIN(SV_sal0*(1+incomeGrowthRate)^(A183-1)*G183,SV_owCap))</f>
        <v/>
      </c>
      <c r="T183" s="29">
        <f>IF(A183&gt;SV_T,0,T182*(1+SV_oaRate)+IF(A183&gt;=SV_effStop,0,INDEX(SV_cpfOA,R183)*INDEX(SV_cpfTot,R183)*S183))</f>
        <v/>
      </c>
      <c r="U183" s="29">
        <f>IF(A183&gt;SV_T,0,U182*(1+SV_saRate)+IF(A183&gt;=SV_effStop,0,INDEX(SV_cpfSA,R183)*INDEX(SV_cpfTot,R183)*S183))</f>
        <v/>
      </c>
      <c r="V183" s="29">
        <f>IF(A183&gt;SV_T,0,V182*(1+SV_saRate)+IF(A183&gt;=SV_effStop,0,INDEX(SV_cpfMA,R183)*INDEX(SV_cpfTot,R183)*S183))</f>
        <v/>
      </c>
      <c r="W183" s="29">
        <f>IF(OR(OR(A183&lt;1,A183&gt;SV_T),A183&gt;=SV_effNeg),0,-(INDEX(SV_cpfOA,R183)+INDEX(SV_cpfSA,R183)+INDEX(SV_cpfMA,R183))*INDEX(SV_cpfEmp,R183)*S183)</f>
        <v/>
      </c>
      <c r="X183" s="29">
        <f>IF(A183&gt;=SV_sIdx,0,T183)</f>
        <v/>
      </c>
      <c r="Y183" s="29">
        <f>IF(A183&gt;=SV_sIdx,0,U183)</f>
        <v/>
      </c>
      <c r="Z183" s="29">
        <f>IF(A183&gt;=SV_sIdx,MIN(V183,SV_maCap),V183)</f>
        <v/>
      </c>
      <c r="AA183" s="29">
        <f>IF(AND(SV_cpfOn,A183&gt;=SV_pIdx,A183&lt;=SV_T),12*SV_pay,0)</f>
        <v/>
      </c>
      <c r="AB183" s="29">
        <f>IF(A183&gt;SV_T,0,IF(SV_sp&gt;=0,IF(A183&lt;SV_sIdx,0,IF(A183=SV_sIdx,SV_R0,SV_lifeGrowth*AB182)),SV_lifeGrowth*AB182))</f>
        <v/>
      </c>
      <c r="AC183" s="29">
        <f>IF(A183&gt;SV_T,0,IF(AND(SV_sp&gt;=0,A183&lt;SV_sIdx),0,IF(AND(SV_sp&gt;=0,A183=SV_sIdx),SV_L0,SV_lifeGrowth*(AC182-AA183))))</f>
        <v/>
      </c>
      <c r="AD183" s="29">
        <f>X183+Y183+AB183+Z183+IF(AB183&lt;0,0,AC183)</f>
        <v/>
      </c>
      <c r="AE183" s="29">
        <f>AA183+W183</f>
        <v/>
      </c>
      <c r="AF183" s="29">
        <f>IF(OR(A183&gt;SV_T,A183&gt;=SV_loanYears),0,MAX(0,AF182*(1+loanRate)-SV_inst))</f>
        <v/>
      </c>
      <c r="AG183" s="29">
        <f>IF(A183&gt;SV_T,0,AG182*(1+SV_savRate)+H183+I183+J183+K183+L183+AE183)</f>
        <v/>
      </c>
      <c r="AH183" s="29">
        <f>IF(A183&gt;SV_T,0,MAX(0,O183+P183+Q183+AD183+AG183-AF183))</f>
        <v/>
      </c>
      <c r="AI183" s="29">
        <f>IF(A183&gt;SV_T,0,O183+P183+AG183-MAX(0,AF183-(Q183+AD183)))</f>
        <v/>
      </c>
      <c r="AJ183" s="29">
        <f>IF(OR(OR(A183&lt;1,A183&gt;SV_T),A183-1&gt;=SV_retPay),0,SV_retMth*12+IF(A183=1,SV_retLump,0))</f>
        <v/>
      </c>
      <c r="AK183" s="29">
        <f>IF(A183&gt;SV_T,0,(AK182+AJ183)*(1+investmentReturn))</f>
        <v/>
      </c>
      <c r="AL183" s="29">
        <f>IF(OR(A183&lt;1,A183&gt;SV_T),0,IF(A183-1&gt;=SV_EDUPay,0,SV_EDUMth*12+IF(A183=1,SV_EDULump,0))+IF(A183-1&gt;=SV_SAVPay,0,SV_SAVMth*12+IF(A183=1,SV_SAVLump,0))+IF(A183-1&gt;=SV_PRPPay,0,SV_PRPMth*12+IF(A183=1,SV_PRPLump,0)))</f>
        <v/>
      </c>
      <c r="AM183" s="29">
        <f>IF(A183&gt;SV_T,0,(AM182+AL183)*(1+investmentReturn))</f>
        <v/>
      </c>
      <c r="AN183" s="29">
        <f>IF(OR(OR(A183&lt;1,A183&gt;SV_T),A183-1&gt;=SV_protPay),0,SV_protPrem)</f>
        <v/>
      </c>
      <c r="AO183" s="29">
        <f>IF(OR(A183=0,A183&gt;=SV_T),0,ROUND(MAX(0,AK183),2)+ROUND(MAX(0,AM183),2))</f>
        <v/>
      </c>
      <c r="AP183" s="29">
        <f>IF(OR(A183&lt;1,A183&gt;SV_T),0,-(AJ183+AL183+AN183)+IF(A183=SV_T,ROUND(MAX(0,AK183),2)+ROUND(MAX(0,AM183),2),0))</f>
        <v/>
      </c>
      <c r="AQ183" s="29">
        <f>IF(A183&gt;SV_T,0,AQ182*(1+SV_savRate)+H183+I183+J183+K183+L183+AE183+AP183)</f>
        <v/>
      </c>
      <c r="AR183" s="29">
        <f>IF(A183&gt;SV_T,0,MAX(0,O183+P183+Q183+AD183+AQ183+AO183-AF183))</f>
        <v/>
      </c>
      <c r="AS183" s="29">
        <f>IF(A183&gt;SV_T,0,O183+P183+AQ183+AO183-MAX(0,AF183-(Q183+AD183)))</f>
        <v/>
      </c>
    </row>
    <row r="184">
      <c r="A184" s="61" t="n">
        <v>12</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IF(OR(OR(A184&lt;1,A184&gt;SV_T),A184-1&gt;=SV_salCut,AND(SV_deaOn,A184&gt;=SV_deaM)),0,SV_sal0*(1+incomeGrowthRate)^(A184-1)*G184)</f>
        <v/>
      </c>
      <c r="I184" s="29">
        <f>IF(OR(A184&lt;1,A184&gt;SV_T),0,(-SV_exp0*F184-IF(A184&lt;=SV_loanYears,SV_inst,0)-IF(AND(SV_wdEDUAmt&gt;0,A184=SV_wdEDUYear),SV_wdEDUAmt,0)-IF(AND(SV_wdSAVAmt&gt;0,A184=SV_wdSAVYear),SV_wdSAVAmt,0)-IF(AND(SV_wdPRPAmt&gt;0,A184=SV_wdPRPYear),SV_wdPRPAmt,0))*IF(AND(SV_expOn,A184&gt;=SV_expS,A184&lt;=SV_expE),1+SV_expImp,1))</f>
        <v/>
      </c>
      <c r="J184" s="29">
        <f>IF(OR(A184&lt;1,A184&gt;SV_T),0,-F184*(IF(AND(SV_deaOn,A184=SV_deaM),SV_deaAmt,0)+IF(AND(SV_criOn,A184=SV_criM),SV_criAmt,0)+IF(AND(SV_tpdOn,A184=SV_tpdM),SV_tpdAmt,0)+IF(AND(SV_pacOn,A184=SV_pacM),SV_pacAmt,0)+IF(AND(SV_hosOn,A184=SV_hosM),SV_hosAmt,0)+IF(AND(SV_wedOn,A184=SV_wedM),SV_wedAmt,0)+IF(AND(SV_babOn,A184=SV_babM),SV_babAmt,0)+IF(AND(SV_ltcOn,A184&gt;=SV_ltcM,A184&lt;=SV_ltcE),SV_ltcAmt,0)))</f>
        <v/>
      </c>
      <c r="K184" s="29">
        <f>IF(OR(OR(A184&lt;1,A184&gt;SV_T),A184&gt;SV_loanYears),0,-SV_lifePremYr)</f>
        <v/>
      </c>
      <c r="L184" s="29">
        <f>IF(OR(A184&lt;1,A184&gt;SV_T),0,-SV_contrib)</f>
        <v/>
      </c>
      <c r="M184" s="60">
        <f>IF(AND(SV_crashOn,A184=SV_crashYr),SV_crashF,1)</f>
        <v/>
      </c>
      <c r="N184" s="60">
        <f>IF(AND(SV_ccyOn,A184=SV_ccyYr),SV_ccyF,1)</f>
        <v/>
      </c>
      <c r="O184" s="29">
        <f>IF(A184&gt;SV_T,0,O183*(1+interestRate)*M184*N184)</f>
        <v/>
      </c>
      <c r="P184" s="29">
        <f>IF(A184&gt;SV_T,0,(P183+SV_contrib)*(1+investmentReturn)*M184*N184)</f>
        <v/>
      </c>
      <c r="Q184" s="29">
        <f>IF(A184&gt;SV_T,0,Q183*(1+SV_propRate)*M184)</f>
        <v/>
      </c>
      <c r="R184" s="46">
        <f>MATCH(SV_age+A184-1,SV_cpfLower,1)</f>
        <v/>
      </c>
      <c r="S184" s="29">
        <f>IF(OR(OR(A184&lt;1,A184&gt;SV_T),NOT(SV_cpfOn),AND(SV_deaOn,A184&gt;=SV_deaM)),0,MIN(SV_sal0*(1+incomeGrowthRate)^(A184-1)*G184,SV_owCap))</f>
        <v/>
      </c>
      <c r="T184" s="29">
        <f>IF(A184&gt;SV_T,0,T183*(1+SV_oaRate)+IF(A184&gt;=SV_effStop,0,INDEX(SV_cpfOA,R184)*INDEX(SV_cpfTot,R184)*S184))</f>
        <v/>
      </c>
      <c r="U184" s="29">
        <f>IF(A184&gt;SV_T,0,U183*(1+SV_saRate)+IF(A184&gt;=SV_effStop,0,INDEX(SV_cpfSA,R184)*INDEX(SV_cpfTot,R184)*S184))</f>
        <v/>
      </c>
      <c r="V184" s="29">
        <f>IF(A184&gt;SV_T,0,V183*(1+SV_saRate)+IF(A184&gt;=SV_effStop,0,INDEX(SV_cpfMA,R184)*INDEX(SV_cpfTot,R184)*S184))</f>
        <v/>
      </c>
      <c r="W184" s="29">
        <f>IF(OR(OR(A184&lt;1,A184&gt;SV_T),A184&gt;=SV_effNeg),0,-(INDEX(SV_cpfOA,R184)+INDEX(SV_cpfSA,R184)+INDEX(SV_cpfMA,R184))*INDEX(SV_cpfEmp,R184)*S184)</f>
        <v/>
      </c>
      <c r="X184" s="29">
        <f>IF(A184&gt;=SV_sIdx,0,T184)</f>
        <v/>
      </c>
      <c r="Y184" s="29">
        <f>IF(A184&gt;=SV_sIdx,0,U184)</f>
        <v/>
      </c>
      <c r="Z184" s="29">
        <f>IF(A184&gt;=SV_sIdx,MIN(V184,SV_maCap),V184)</f>
        <v/>
      </c>
      <c r="AA184" s="29">
        <f>IF(AND(SV_cpfOn,A184&gt;=SV_pIdx,A184&lt;=SV_T),12*SV_pay,0)</f>
        <v/>
      </c>
      <c r="AB184" s="29">
        <f>IF(A184&gt;SV_T,0,IF(SV_sp&gt;=0,IF(A184&lt;SV_sIdx,0,IF(A184=SV_sIdx,SV_R0,SV_lifeGrowth*AB183)),SV_lifeGrowth*AB183))</f>
        <v/>
      </c>
      <c r="AC184" s="29">
        <f>IF(A184&gt;SV_T,0,IF(AND(SV_sp&gt;=0,A184&lt;SV_sIdx),0,IF(AND(SV_sp&gt;=0,A184=SV_sIdx),SV_L0,SV_lifeGrowth*(AC183-AA184))))</f>
        <v/>
      </c>
      <c r="AD184" s="29">
        <f>X184+Y184+AB184+Z184+IF(AB184&lt;0,0,AC184)</f>
        <v/>
      </c>
      <c r="AE184" s="29">
        <f>AA184+W184</f>
        <v/>
      </c>
      <c r="AF184" s="29">
        <f>IF(OR(A184&gt;SV_T,A184&gt;=SV_loanYears),0,MAX(0,AF183*(1+loanRate)-SV_inst))</f>
        <v/>
      </c>
      <c r="AG184" s="29">
        <f>IF(A184&gt;SV_T,0,AG183*(1+SV_savRate)+H184+I184+J184+K184+L184+AE184)</f>
        <v/>
      </c>
      <c r="AH184" s="29">
        <f>IF(A184&gt;SV_T,0,MAX(0,O184+P184+Q184+AD184+AG184-AF184))</f>
        <v/>
      </c>
      <c r="AI184" s="29">
        <f>IF(A184&gt;SV_T,0,O184+P184+AG184-MAX(0,AF184-(Q184+AD184)))</f>
        <v/>
      </c>
      <c r="AJ184" s="29">
        <f>IF(OR(OR(A184&lt;1,A184&gt;SV_T),A184-1&gt;=SV_retPay),0,SV_retMth*12+IF(A184=1,SV_retLump,0))</f>
        <v/>
      </c>
      <c r="AK184" s="29">
        <f>IF(A184&gt;SV_T,0,(AK183+AJ184)*(1+investmentReturn))</f>
        <v/>
      </c>
      <c r="AL184" s="29">
        <f>IF(OR(A184&lt;1,A184&gt;SV_T),0,IF(A184-1&gt;=SV_EDUPay,0,SV_EDUMth*12+IF(A184=1,SV_EDULump,0))+IF(A184-1&gt;=SV_SAVPay,0,SV_SAVMth*12+IF(A184=1,SV_SAVLump,0))+IF(A184-1&gt;=SV_PRPPay,0,SV_PRPMth*12+IF(A184=1,SV_PRPLump,0)))</f>
        <v/>
      </c>
      <c r="AM184" s="29">
        <f>IF(A184&gt;SV_T,0,(AM183+AL184)*(1+investmentReturn))</f>
        <v/>
      </c>
      <c r="AN184" s="29">
        <f>IF(OR(OR(A184&lt;1,A184&gt;SV_T),A184-1&gt;=SV_protPay),0,SV_protPrem)</f>
        <v/>
      </c>
      <c r="AO184" s="29">
        <f>IF(OR(A184=0,A184&gt;=SV_T),0,ROUND(MAX(0,AK184),2)+ROUND(MAX(0,AM184),2))</f>
        <v/>
      </c>
      <c r="AP184" s="29">
        <f>IF(OR(A184&lt;1,A184&gt;SV_T),0,-(AJ184+AL184+AN184)+IF(A184=SV_T,ROUND(MAX(0,AK184),2)+ROUND(MAX(0,AM184),2),0))</f>
        <v/>
      </c>
      <c r="AQ184" s="29">
        <f>IF(A184&gt;SV_T,0,AQ183*(1+SV_savRate)+H184+I184+J184+K184+L184+AE184+AP184)</f>
        <v/>
      </c>
      <c r="AR184" s="29">
        <f>IF(A184&gt;SV_T,0,MAX(0,O184+P184+Q184+AD184+AQ184+AO184-AF184))</f>
        <v/>
      </c>
      <c r="AS184" s="29">
        <f>IF(A184&gt;SV_T,0,O184+P184+AQ184+AO184-MAX(0,AF184-(Q184+AD184)))</f>
        <v/>
      </c>
    </row>
    <row r="185">
      <c r="A185" s="61" t="n">
        <v>13</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IF(OR(OR(A185&lt;1,A185&gt;SV_T),A185-1&gt;=SV_salCut,AND(SV_deaOn,A185&gt;=SV_deaM)),0,SV_sal0*(1+incomeGrowthRate)^(A185-1)*G185)</f>
        <v/>
      </c>
      <c r="I185" s="29">
        <f>IF(OR(A185&lt;1,A185&gt;SV_T),0,(-SV_exp0*F185-IF(A185&lt;=SV_loanYears,SV_inst,0)-IF(AND(SV_wdEDUAmt&gt;0,A185=SV_wdEDUYear),SV_wdEDUAmt,0)-IF(AND(SV_wdSAVAmt&gt;0,A185=SV_wdSAVYear),SV_wdSAVAmt,0)-IF(AND(SV_wdPRPAmt&gt;0,A185=SV_wdPRPYear),SV_wdPRPAmt,0))*IF(AND(SV_expOn,A185&gt;=SV_expS,A185&lt;=SV_expE),1+SV_expImp,1))</f>
        <v/>
      </c>
      <c r="J185" s="29">
        <f>IF(OR(A185&lt;1,A185&gt;SV_T),0,-F185*(IF(AND(SV_deaOn,A185=SV_deaM),SV_deaAmt,0)+IF(AND(SV_criOn,A185=SV_criM),SV_criAmt,0)+IF(AND(SV_tpdOn,A185=SV_tpdM),SV_tpdAmt,0)+IF(AND(SV_pacOn,A185=SV_pacM),SV_pacAmt,0)+IF(AND(SV_hosOn,A185=SV_hosM),SV_hosAmt,0)+IF(AND(SV_wedOn,A185=SV_wedM),SV_wedAmt,0)+IF(AND(SV_babOn,A185=SV_babM),SV_babAmt,0)+IF(AND(SV_ltcOn,A185&gt;=SV_ltcM,A185&lt;=SV_ltcE),SV_ltcAmt,0)))</f>
        <v/>
      </c>
      <c r="K185" s="29">
        <f>IF(OR(OR(A185&lt;1,A185&gt;SV_T),A185&gt;SV_loanYears),0,-SV_lifePremYr)</f>
        <v/>
      </c>
      <c r="L185" s="29">
        <f>IF(OR(A185&lt;1,A185&gt;SV_T),0,-SV_contrib)</f>
        <v/>
      </c>
      <c r="M185" s="60">
        <f>IF(AND(SV_crashOn,A185=SV_crashYr),SV_crashF,1)</f>
        <v/>
      </c>
      <c r="N185" s="60">
        <f>IF(AND(SV_ccyOn,A185=SV_ccyYr),SV_ccyF,1)</f>
        <v/>
      </c>
      <c r="O185" s="29">
        <f>IF(A185&gt;SV_T,0,O184*(1+interestRate)*M185*N185)</f>
        <v/>
      </c>
      <c r="P185" s="29">
        <f>IF(A185&gt;SV_T,0,(P184+SV_contrib)*(1+investmentReturn)*M185*N185)</f>
        <v/>
      </c>
      <c r="Q185" s="29">
        <f>IF(A185&gt;SV_T,0,Q184*(1+SV_propRate)*M185)</f>
        <v/>
      </c>
      <c r="R185" s="46">
        <f>MATCH(SV_age+A185-1,SV_cpfLower,1)</f>
        <v/>
      </c>
      <c r="S185" s="29">
        <f>IF(OR(OR(A185&lt;1,A185&gt;SV_T),NOT(SV_cpfOn),AND(SV_deaOn,A185&gt;=SV_deaM)),0,MIN(SV_sal0*(1+incomeGrowthRate)^(A185-1)*G185,SV_owCap))</f>
        <v/>
      </c>
      <c r="T185" s="29">
        <f>IF(A185&gt;SV_T,0,T184*(1+SV_oaRate)+IF(A185&gt;=SV_effStop,0,INDEX(SV_cpfOA,R185)*INDEX(SV_cpfTot,R185)*S185))</f>
        <v/>
      </c>
      <c r="U185" s="29">
        <f>IF(A185&gt;SV_T,0,U184*(1+SV_saRate)+IF(A185&gt;=SV_effStop,0,INDEX(SV_cpfSA,R185)*INDEX(SV_cpfTot,R185)*S185))</f>
        <v/>
      </c>
      <c r="V185" s="29">
        <f>IF(A185&gt;SV_T,0,V184*(1+SV_saRate)+IF(A185&gt;=SV_effStop,0,INDEX(SV_cpfMA,R185)*INDEX(SV_cpfTot,R185)*S185))</f>
        <v/>
      </c>
      <c r="W185" s="29">
        <f>IF(OR(OR(A185&lt;1,A185&gt;SV_T),A185&gt;=SV_effNeg),0,-(INDEX(SV_cpfOA,R185)+INDEX(SV_cpfSA,R185)+INDEX(SV_cpfMA,R185))*INDEX(SV_cpfEmp,R185)*S185)</f>
        <v/>
      </c>
      <c r="X185" s="29">
        <f>IF(A185&gt;=SV_sIdx,0,T185)</f>
        <v/>
      </c>
      <c r="Y185" s="29">
        <f>IF(A185&gt;=SV_sIdx,0,U185)</f>
        <v/>
      </c>
      <c r="Z185" s="29">
        <f>IF(A185&gt;=SV_sIdx,MIN(V185,SV_maCap),V185)</f>
        <v/>
      </c>
      <c r="AA185" s="29">
        <f>IF(AND(SV_cpfOn,A185&gt;=SV_pIdx,A185&lt;=SV_T),12*SV_pay,0)</f>
        <v/>
      </c>
      <c r="AB185" s="29">
        <f>IF(A185&gt;SV_T,0,IF(SV_sp&gt;=0,IF(A185&lt;SV_sIdx,0,IF(A185=SV_sIdx,SV_R0,SV_lifeGrowth*AB184)),SV_lifeGrowth*AB184))</f>
        <v/>
      </c>
      <c r="AC185" s="29">
        <f>IF(A185&gt;SV_T,0,IF(AND(SV_sp&gt;=0,A185&lt;SV_sIdx),0,IF(AND(SV_sp&gt;=0,A185=SV_sIdx),SV_L0,SV_lifeGrowth*(AC184-AA185))))</f>
        <v/>
      </c>
      <c r="AD185" s="29">
        <f>X185+Y185+AB185+Z185+IF(AB185&lt;0,0,AC185)</f>
        <v/>
      </c>
      <c r="AE185" s="29">
        <f>AA185+W185</f>
        <v/>
      </c>
      <c r="AF185" s="29">
        <f>IF(OR(A185&gt;SV_T,A185&gt;=SV_loanYears),0,MAX(0,AF184*(1+loanRate)-SV_inst))</f>
        <v/>
      </c>
      <c r="AG185" s="29">
        <f>IF(A185&gt;SV_T,0,AG184*(1+SV_savRate)+H185+I185+J185+K185+L185+AE185)</f>
        <v/>
      </c>
      <c r="AH185" s="29">
        <f>IF(A185&gt;SV_T,0,MAX(0,O185+P185+Q185+AD185+AG185-AF185))</f>
        <v/>
      </c>
      <c r="AI185" s="29">
        <f>IF(A185&gt;SV_T,0,O185+P185+AG185-MAX(0,AF185-(Q185+AD185)))</f>
        <v/>
      </c>
      <c r="AJ185" s="29">
        <f>IF(OR(OR(A185&lt;1,A185&gt;SV_T),A185-1&gt;=SV_retPay),0,SV_retMth*12+IF(A185=1,SV_retLump,0))</f>
        <v/>
      </c>
      <c r="AK185" s="29">
        <f>IF(A185&gt;SV_T,0,(AK184+AJ185)*(1+investmentReturn))</f>
        <v/>
      </c>
      <c r="AL185" s="29">
        <f>IF(OR(A185&lt;1,A185&gt;SV_T),0,IF(A185-1&gt;=SV_EDUPay,0,SV_EDUMth*12+IF(A185=1,SV_EDULump,0))+IF(A185-1&gt;=SV_SAVPay,0,SV_SAVMth*12+IF(A185=1,SV_SAVLump,0))+IF(A185-1&gt;=SV_PRPPay,0,SV_PRPMth*12+IF(A185=1,SV_PRPLump,0)))</f>
        <v/>
      </c>
      <c r="AM185" s="29">
        <f>IF(A185&gt;SV_T,0,(AM184+AL185)*(1+investmentReturn))</f>
        <v/>
      </c>
      <c r="AN185" s="29">
        <f>IF(OR(OR(A185&lt;1,A185&gt;SV_T),A185-1&gt;=SV_protPay),0,SV_protPrem)</f>
        <v/>
      </c>
      <c r="AO185" s="29">
        <f>IF(OR(A185=0,A185&gt;=SV_T),0,ROUND(MAX(0,AK185),2)+ROUND(MAX(0,AM185),2))</f>
        <v/>
      </c>
      <c r="AP185" s="29">
        <f>IF(OR(A185&lt;1,A185&gt;SV_T),0,-(AJ185+AL185+AN185)+IF(A185=SV_T,ROUND(MAX(0,AK185),2)+ROUND(MAX(0,AM185),2),0))</f>
        <v/>
      </c>
      <c r="AQ185" s="29">
        <f>IF(A185&gt;SV_T,0,AQ184*(1+SV_savRate)+H185+I185+J185+K185+L185+AE185+AP185)</f>
        <v/>
      </c>
      <c r="AR185" s="29">
        <f>IF(A185&gt;SV_T,0,MAX(0,O185+P185+Q185+AD185+AQ185+AO185-AF185))</f>
        <v/>
      </c>
      <c r="AS185" s="29">
        <f>IF(A185&gt;SV_T,0,O185+P185+AQ185+AO185-MAX(0,AF185-(Q185+AD185)))</f>
        <v/>
      </c>
    </row>
    <row r="186">
      <c r="A186" s="61" t="n">
        <v>14</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IF(OR(OR(A186&lt;1,A186&gt;SV_T),A186-1&gt;=SV_salCut,AND(SV_deaOn,A186&gt;=SV_deaM)),0,SV_sal0*(1+incomeGrowthRate)^(A186-1)*G186)</f>
        <v/>
      </c>
      <c r="I186" s="29">
        <f>IF(OR(A186&lt;1,A186&gt;SV_T),0,(-SV_exp0*F186-IF(A186&lt;=SV_loanYears,SV_inst,0)-IF(AND(SV_wdEDUAmt&gt;0,A186=SV_wdEDUYear),SV_wdEDUAmt,0)-IF(AND(SV_wdSAVAmt&gt;0,A186=SV_wdSAVYear),SV_wdSAVAmt,0)-IF(AND(SV_wdPRPAmt&gt;0,A186=SV_wdPRPYear),SV_wdPRPAmt,0))*IF(AND(SV_expOn,A186&gt;=SV_expS,A186&lt;=SV_expE),1+SV_expImp,1))</f>
        <v/>
      </c>
      <c r="J186" s="29">
        <f>IF(OR(A186&lt;1,A186&gt;SV_T),0,-F186*(IF(AND(SV_deaOn,A186=SV_deaM),SV_deaAmt,0)+IF(AND(SV_criOn,A186=SV_criM),SV_criAmt,0)+IF(AND(SV_tpdOn,A186=SV_tpdM),SV_tpdAmt,0)+IF(AND(SV_pacOn,A186=SV_pacM),SV_pacAmt,0)+IF(AND(SV_hosOn,A186=SV_hosM),SV_hosAmt,0)+IF(AND(SV_wedOn,A186=SV_wedM),SV_wedAmt,0)+IF(AND(SV_babOn,A186=SV_babM),SV_babAmt,0)+IF(AND(SV_ltcOn,A186&gt;=SV_ltcM,A186&lt;=SV_ltcE),SV_ltcAmt,0)))</f>
        <v/>
      </c>
      <c r="K186" s="29">
        <f>IF(OR(OR(A186&lt;1,A186&gt;SV_T),A186&gt;SV_loanYears),0,-SV_lifePremYr)</f>
        <v/>
      </c>
      <c r="L186" s="29">
        <f>IF(OR(A186&lt;1,A186&gt;SV_T),0,-SV_contrib)</f>
        <v/>
      </c>
      <c r="M186" s="60">
        <f>IF(AND(SV_crashOn,A186=SV_crashYr),SV_crashF,1)</f>
        <v/>
      </c>
      <c r="N186" s="60">
        <f>IF(AND(SV_ccyOn,A186=SV_ccyYr),SV_ccyF,1)</f>
        <v/>
      </c>
      <c r="O186" s="29">
        <f>IF(A186&gt;SV_T,0,O185*(1+interestRate)*M186*N186)</f>
        <v/>
      </c>
      <c r="P186" s="29">
        <f>IF(A186&gt;SV_T,0,(P185+SV_contrib)*(1+investmentReturn)*M186*N186)</f>
        <v/>
      </c>
      <c r="Q186" s="29">
        <f>IF(A186&gt;SV_T,0,Q185*(1+SV_propRate)*M186)</f>
        <v/>
      </c>
      <c r="R186" s="46">
        <f>MATCH(SV_age+A186-1,SV_cpfLower,1)</f>
        <v/>
      </c>
      <c r="S186" s="29">
        <f>IF(OR(OR(A186&lt;1,A186&gt;SV_T),NOT(SV_cpfOn),AND(SV_deaOn,A186&gt;=SV_deaM)),0,MIN(SV_sal0*(1+incomeGrowthRate)^(A186-1)*G186,SV_owCap))</f>
        <v/>
      </c>
      <c r="T186" s="29">
        <f>IF(A186&gt;SV_T,0,T185*(1+SV_oaRate)+IF(A186&gt;=SV_effStop,0,INDEX(SV_cpfOA,R186)*INDEX(SV_cpfTot,R186)*S186))</f>
        <v/>
      </c>
      <c r="U186" s="29">
        <f>IF(A186&gt;SV_T,0,U185*(1+SV_saRate)+IF(A186&gt;=SV_effStop,0,INDEX(SV_cpfSA,R186)*INDEX(SV_cpfTot,R186)*S186))</f>
        <v/>
      </c>
      <c r="V186" s="29">
        <f>IF(A186&gt;SV_T,0,V185*(1+SV_saRate)+IF(A186&gt;=SV_effStop,0,INDEX(SV_cpfMA,R186)*INDEX(SV_cpfTot,R186)*S186))</f>
        <v/>
      </c>
      <c r="W186" s="29">
        <f>IF(OR(OR(A186&lt;1,A186&gt;SV_T),A186&gt;=SV_effNeg),0,-(INDEX(SV_cpfOA,R186)+INDEX(SV_cpfSA,R186)+INDEX(SV_cpfMA,R186))*INDEX(SV_cpfEmp,R186)*S186)</f>
        <v/>
      </c>
      <c r="X186" s="29">
        <f>IF(A186&gt;=SV_sIdx,0,T186)</f>
        <v/>
      </c>
      <c r="Y186" s="29">
        <f>IF(A186&gt;=SV_sIdx,0,U186)</f>
        <v/>
      </c>
      <c r="Z186" s="29">
        <f>IF(A186&gt;=SV_sIdx,MIN(V186,SV_maCap),V186)</f>
        <v/>
      </c>
      <c r="AA186" s="29">
        <f>IF(AND(SV_cpfOn,A186&gt;=SV_pIdx,A186&lt;=SV_T),12*SV_pay,0)</f>
        <v/>
      </c>
      <c r="AB186" s="29">
        <f>IF(A186&gt;SV_T,0,IF(SV_sp&gt;=0,IF(A186&lt;SV_sIdx,0,IF(A186=SV_sIdx,SV_R0,SV_lifeGrowth*AB185)),SV_lifeGrowth*AB185))</f>
        <v/>
      </c>
      <c r="AC186" s="29">
        <f>IF(A186&gt;SV_T,0,IF(AND(SV_sp&gt;=0,A186&lt;SV_sIdx),0,IF(AND(SV_sp&gt;=0,A186=SV_sIdx),SV_L0,SV_lifeGrowth*(AC185-AA186))))</f>
        <v/>
      </c>
      <c r="AD186" s="29">
        <f>X186+Y186+AB186+Z186+IF(AB186&lt;0,0,AC186)</f>
        <v/>
      </c>
      <c r="AE186" s="29">
        <f>AA186+W186</f>
        <v/>
      </c>
      <c r="AF186" s="29">
        <f>IF(OR(A186&gt;SV_T,A186&gt;=SV_loanYears),0,MAX(0,AF185*(1+loanRate)-SV_inst))</f>
        <v/>
      </c>
      <c r="AG186" s="29">
        <f>IF(A186&gt;SV_T,0,AG185*(1+SV_savRate)+H186+I186+J186+K186+L186+AE186)</f>
        <v/>
      </c>
      <c r="AH186" s="29">
        <f>IF(A186&gt;SV_T,0,MAX(0,O186+P186+Q186+AD186+AG186-AF186))</f>
        <v/>
      </c>
      <c r="AI186" s="29">
        <f>IF(A186&gt;SV_T,0,O186+P186+AG186-MAX(0,AF186-(Q186+AD186)))</f>
        <v/>
      </c>
      <c r="AJ186" s="29">
        <f>IF(OR(OR(A186&lt;1,A186&gt;SV_T),A186-1&gt;=SV_retPay),0,SV_retMth*12+IF(A186=1,SV_retLump,0))</f>
        <v/>
      </c>
      <c r="AK186" s="29">
        <f>IF(A186&gt;SV_T,0,(AK185+AJ186)*(1+investmentReturn))</f>
        <v/>
      </c>
      <c r="AL186" s="29">
        <f>IF(OR(A186&lt;1,A186&gt;SV_T),0,IF(A186-1&gt;=SV_EDUPay,0,SV_EDUMth*12+IF(A186=1,SV_EDULump,0))+IF(A186-1&gt;=SV_SAVPay,0,SV_SAVMth*12+IF(A186=1,SV_SAVLump,0))+IF(A186-1&gt;=SV_PRPPay,0,SV_PRPMth*12+IF(A186=1,SV_PRPLump,0)))</f>
        <v/>
      </c>
      <c r="AM186" s="29">
        <f>IF(A186&gt;SV_T,0,(AM185+AL186)*(1+investmentReturn))</f>
        <v/>
      </c>
      <c r="AN186" s="29">
        <f>IF(OR(OR(A186&lt;1,A186&gt;SV_T),A186-1&gt;=SV_protPay),0,SV_protPrem)</f>
        <v/>
      </c>
      <c r="AO186" s="29">
        <f>IF(OR(A186=0,A186&gt;=SV_T),0,ROUND(MAX(0,AK186),2)+ROUND(MAX(0,AM186),2))</f>
        <v/>
      </c>
      <c r="AP186" s="29">
        <f>IF(OR(A186&lt;1,A186&gt;SV_T),0,-(AJ186+AL186+AN186)+IF(A186=SV_T,ROUND(MAX(0,AK186),2)+ROUND(MAX(0,AM186),2),0))</f>
        <v/>
      </c>
      <c r="AQ186" s="29">
        <f>IF(A186&gt;SV_T,0,AQ185*(1+SV_savRate)+H186+I186+J186+K186+L186+AE186+AP186)</f>
        <v/>
      </c>
      <c r="AR186" s="29">
        <f>IF(A186&gt;SV_T,0,MAX(0,O186+P186+Q186+AD186+AQ186+AO186-AF186))</f>
        <v/>
      </c>
      <c r="AS186" s="29">
        <f>IF(A186&gt;SV_T,0,O186+P186+AQ186+AO186-MAX(0,AF186-(Q186+AD186)))</f>
        <v/>
      </c>
    </row>
    <row r="187">
      <c r="A187" s="61" t="n">
        <v>15</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IF(OR(OR(A187&lt;1,A187&gt;SV_T),A187-1&gt;=SV_salCut,AND(SV_deaOn,A187&gt;=SV_deaM)),0,SV_sal0*(1+incomeGrowthRate)^(A187-1)*G187)</f>
        <v/>
      </c>
      <c r="I187" s="29">
        <f>IF(OR(A187&lt;1,A187&gt;SV_T),0,(-SV_exp0*F187-IF(A187&lt;=SV_loanYears,SV_inst,0)-IF(AND(SV_wdEDUAmt&gt;0,A187=SV_wdEDUYear),SV_wdEDUAmt,0)-IF(AND(SV_wdSAVAmt&gt;0,A187=SV_wdSAVYear),SV_wdSAVAmt,0)-IF(AND(SV_wdPRPAmt&gt;0,A187=SV_wdPRPYear),SV_wdPRPAmt,0))*IF(AND(SV_expOn,A187&gt;=SV_expS,A187&lt;=SV_expE),1+SV_expImp,1))</f>
        <v/>
      </c>
      <c r="J187" s="29">
        <f>IF(OR(A187&lt;1,A187&gt;SV_T),0,-F187*(IF(AND(SV_deaOn,A187=SV_deaM),SV_deaAmt,0)+IF(AND(SV_criOn,A187=SV_criM),SV_criAmt,0)+IF(AND(SV_tpdOn,A187=SV_tpdM),SV_tpdAmt,0)+IF(AND(SV_pacOn,A187=SV_pacM),SV_pacAmt,0)+IF(AND(SV_hosOn,A187=SV_hosM),SV_hosAmt,0)+IF(AND(SV_wedOn,A187=SV_wedM),SV_wedAmt,0)+IF(AND(SV_babOn,A187=SV_babM),SV_babAmt,0)+IF(AND(SV_ltcOn,A187&gt;=SV_ltcM,A187&lt;=SV_ltcE),SV_ltcAmt,0)))</f>
        <v/>
      </c>
      <c r="K187" s="29">
        <f>IF(OR(OR(A187&lt;1,A187&gt;SV_T),A187&gt;SV_loanYears),0,-SV_lifePremYr)</f>
        <v/>
      </c>
      <c r="L187" s="29">
        <f>IF(OR(A187&lt;1,A187&gt;SV_T),0,-SV_contrib)</f>
        <v/>
      </c>
      <c r="M187" s="60">
        <f>IF(AND(SV_crashOn,A187=SV_crashYr),SV_crashF,1)</f>
        <v/>
      </c>
      <c r="N187" s="60">
        <f>IF(AND(SV_ccyOn,A187=SV_ccyYr),SV_ccyF,1)</f>
        <v/>
      </c>
      <c r="O187" s="29">
        <f>IF(A187&gt;SV_T,0,O186*(1+interestRate)*M187*N187)</f>
        <v/>
      </c>
      <c r="P187" s="29">
        <f>IF(A187&gt;SV_T,0,(P186+SV_contrib)*(1+investmentReturn)*M187*N187)</f>
        <v/>
      </c>
      <c r="Q187" s="29">
        <f>IF(A187&gt;SV_T,0,Q186*(1+SV_propRate)*M187)</f>
        <v/>
      </c>
      <c r="R187" s="46">
        <f>MATCH(SV_age+A187-1,SV_cpfLower,1)</f>
        <v/>
      </c>
      <c r="S187" s="29">
        <f>IF(OR(OR(A187&lt;1,A187&gt;SV_T),NOT(SV_cpfOn),AND(SV_deaOn,A187&gt;=SV_deaM)),0,MIN(SV_sal0*(1+incomeGrowthRate)^(A187-1)*G187,SV_owCap))</f>
        <v/>
      </c>
      <c r="T187" s="29">
        <f>IF(A187&gt;SV_T,0,T186*(1+SV_oaRate)+IF(A187&gt;=SV_effStop,0,INDEX(SV_cpfOA,R187)*INDEX(SV_cpfTot,R187)*S187))</f>
        <v/>
      </c>
      <c r="U187" s="29">
        <f>IF(A187&gt;SV_T,0,U186*(1+SV_saRate)+IF(A187&gt;=SV_effStop,0,INDEX(SV_cpfSA,R187)*INDEX(SV_cpfTot,R187)*S187))</f>
        <v/>
      </c>
      <c r="V187" s="29">
        <f>IF(A187&gt;SV_T,0,V186*(1+SV_saRate)+IF(A187&gt;=SV_effStop,0,INDEX(SV_cpfMA,R187)*INDEX(SV_cpfTot,R187)*S187))</f>
        <v/>
      </c>
      <c r="W187" s="29">
        <f>IF(OR(OR(A187&lt;1,A187&gt;SV_T),A187&gt;=SV_effNeg),0,-(INDEX(SV_cpfOA,R187)+INDEX(SV_cpfSA,R187)+INDEX(SV_cpfMA,R187))*INDEX(SV_cpfEmp,R187)*S187)</f>
        <v/>
      </c>
      <c r="X187" s="29">
        <f>IF(A187&gt;=SV_sIdx,0,T187)</f>
        <v/>
      </c>
      <c r="Y187" s="29">
        <f>IF(A187&gt;=SV_sIdx,0,U187)</f>
        <v/>
      </c>
      <c r="Z187" s="29">
        <f>IF(A187&gt;=SV_sIdx,MIN(V187,SV_maCap),V187)</f>
        <v/>
      </c>
      <c r="AA187" s="29">
        <f>IF(AND(SV_cpfOn,A187&gt;=SV_pIdx,A187&lt;=SV_T),12*SV_pay,0)</f>
        <v/>
      </c>
      <c r="AB187" s="29">
        <f>IF(A187&gt;SV_T,0,IF(SV_sp&gt;=0,IF(A187&lt;SV_sIdx,0,IF(A187=SV_sIdx,SV_R0,SV_lifeGrowth*AB186)),SV_lifeGrowth*AB186))</f>
        <v/>
      </c>
      <c r="AC187" s="29">
        <f>IF(A187&gt;SV_T,0,IF(AND(SV_sp&gt;=0,A187&lt;SV_sIdx),0,IF(AND(SV_sp&gt;=0,A187=SV_sIdx),SV_L0,SV_lifeGrowth*(AC186-AA187))))</f>
        <v/>
      </c>
      <c r="AD187" s="29">
        <f>X187+Y187+AB187+Z187+IF(AB187&lt;0,0,AC187)</f>
        <v/>
      </c>
      <c r="AE187" s="29">
        <f>AA187+W187</f>
        <v/>
      </c>
      <c r="AF187" s="29">
        <f>IF(OR(A187&gt;SV_T,A187&gt;=SV_loanYears),0,MAX(0,AF186*(1+loanRate)-SV_inst))</f>
        <v/>
      </c>
      <c r="AG187" s="29">
        <f>IF(A187&gt;SV_T,0,AG186*(1+SV_savRate)+H187+I187+J187+K187+L187+AE187)</f>
        <v/>
      </c>
      <c r="AH187" s="29">
        <f>IF(A187&gt;SV_T,0,MAX(0,O187+P187+Q187+AD187+AG187-AF187))</f>
        <v/>
      </c>
      <c r="AI187" s="29">
        <f>IF(A187&gt;SV_T,0,O187+P187+AG187-MAX(0,AF187-(Q187+AD187)))</f>
        <v/>
      </c>
      <c r="AJ187" s="29">
        <f>IF(OR(OR(A187&lt;1,A187&gt;SV_T),A187-1&gt;=SV_retPay),0,SV_retMth*12+IF(A187=1,SV_retLump,0))</f>
        <v/>
      </c>
      <c r="AK187" s="29">
        <f>IF(A187&gt;SV_T,0,(AK186+AJ187)*(1+investmentReturn))</f>
        <v/>
      </c>
      <c r="AL187" s="29">
        <f>IF(OR(A187&lt;1,A187&gt;SV_T),0,IF(A187-1&gt;=SV_EDUPay,0,SV_EDUMth*12+IF(A187=1,SV_EDULump,0))+IF(A187-1&gt;=SV_SAVPay,0,SV_SAVMth*12+IF(A187=1,SV_SAVLump,0))+IF(A187-1&gt;=SV_PRPPay,0,SV_PRPMth*12+IF(A187=1,SV_PRPLump,0)))</f>
        <v/>
      </c>
      <c r="AM187" s="29">
        <f>IF(A187&gt;SV_T,0,(AM186+AL187)*(1+investmentReturn))</f>
        <v/>
      </c>
      <c r="AN187" s="29">
        <f>IF(OR(OR(A187&lt;1,A187&gt;SV_T),A187-1&gt;=SV_protPay),0,SV_protPrem)</f>
        <v/>
      </c>
      <c r="AO187" s="29">
        <f>IF(OR(A187=0,A187&gt;=SV_T),0,ROUND(MAX(0,AK187),2)+ROUND(MAX(0,AM187),2))</f>
        <v/>
      </c>
      <c r="AP187" s="29">
        <f>IF(OR(A187&lt;1,A187&gt;SV_T),0,-(AJ187+AL187+AN187)+IF(A187=SV_T,ROUND(MAX(0,AK187),2)+ROUND(MAX(0,AM187),2),0))</f>
        <v/>
      </c>
      <c r="AQ187" s="29">
        <f>IF(A187&gt;SV_T,0,AQ186*(1+SV_savRate)+H187+I187+J187+K187+L187+AE187+AP187)</f>
        <v/>
      </c>
      <c r="AR187" s="29">
        <f>IF(A187&gt;SV_T,0,MAX(0,O187+P187+Q187+AD187+AQ187+AO187-AF187))</f>
        <v/>
      </c>
      <c r="AS187" s="29">
        <f>IF(A187&gt;SV_T,0,O187+P187+AQ187+AO187-MAX(0,AF187-(Q187+AD187)))</f>
        <v/>
      </c>
    </row>
    <row r="188">
      <c r="A188" s="61" t="n">
        <v>16</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IF(OR(OR(A188&lt;1,A188&gt;SV_T),A188-1&gt;=SV_salCut,AND(SV_deaOn,A188&gt;=SV_deaM)),0,SV_sal0*(1+incomeGrowthRate)^(A188-1)*G188)</f>
        <v/>
      </c>
      <c r="I188" s="29">
        <f>IF(OR(A188&lt;1,A188&gt;SV_T),0,(-SV_exp0*F188-IF(A188&lt;=SV_loanYears,SV_inst,0)-IF(AND(SV_wdEDUAmt&gt;0,A188=SV_wdEDUYear),SV_wdEDUAmt,0)-IF(AND(SV_wdSAVAmt&gt;0,A188=SV_wdSAVYear),SV_wdSAVAmt,0)-IF(AND(SV_wdPRPAmt&gt;0,A188=SV_wdPRPYear),SV_wdPRPAmt,0))*IF(AND(SV_expOn,A188&gt;=SV_expS,A188&lt;=SV_expE),1+SV_expImp,1))</f>
        <v/>
      </c>
      <c r="J188" s="29">
        <f>IF(OR(A188&lt;1,A188&gt;SV_T),0,-F188*(IF(AND(SV_deaOn,A188=SV_deaM),SV_deaAmt,0)+IF(AND(SV_criOn,A188=SV_criM),SV_criAmt,0)+IF(AND(SV_tpdOn,A188=SV_tpdM),SV_tpdAmt,0)+IF(AND(SV_pacOn,A188=SV_pacM),SV_pacAmt,0)+IF(AND(SV_hosOn,A188=SV_hosM),SV_hosAmt,0)+IF(AND(SV_wedOn,A188=SV_wedM),SV_wedAmt,0)+IF(AND(SV_babOn,A188=SV_babM),SV_babAmt,0)+IF(AND(SV_ltcOn,A188&gt;=SV_ltcM,A188&lt;=SV_ltcE),SV_ltcAmt,0)))</f>
        <v/>
      </c>
      <c r="K188" s="29">
        <f>IF(OR(OR(A188&lt;1,A188&gt;SV_T),A188&gt;SV_loanYears),0,-SV_lifePremYr)</f>
        <v/>
      </c>
      <c r="L188" s="29">
        <f>IF(OR(A188&lt;1,A188&gt;SV_T),0,-SV_contrib)</f>
        <v/>
      </c>
      <c r="M188" s="60">
        <f>IF(AND(SV_crashOn,A188=SV_crashYr),SV_crashF,1)</f>
        <v/>
      </c>
      <c r="N188" s="60">
        <f>IF(AND(SV_ccyOn,A188=SV_ccyYr),SV_ccyF,1)</f>
        <v/>
      </c>
      <c r="O188" s="29">
        <f>IF(A188&gt;SV_T,0,O187*(1+interestRate)*M188*N188)</f>
        <v/>
      </c>
      <c r="P188" s="29">
        <f>IF(A188&gt;SV_T,0,(P187+SV_contrib)*(1+investmentReturn)*M188*N188)</f>
        <v/>
      </c>
      <c r="Q188" s="29">
        <f>IF(A188&gt;SV_T,0,Q187*(1+SV_propRate)*M188)</f>
        <v/>
      </c>
      <c r="R188" s="46">
        <f>MATCH(SV_age+A188-1,SV_cpfLower,1)</f>
        <v/>
      </c>
      <c r="S188" s="29">
        <f>IF(OR(OR(A188&lt;1,A188&gt;SV_T),NOT(SV_cpfOn),AND(SV_deaOn,A188&gt;=SV_deaM)),0,MIN(SV_sal0*(1+incomeGrowthRate)^(A188-1)*G188,SV_owCap))</f>
        <v/>
      </c>
      <c r="T188" s="29">
        <f>IF(A188&gt;SV_T,0,T187*(1+SV_oaRate)+IF(A188&gt;=SV_effStop,0,INDEX(SV_cpfOA,R188)*INDEX(SV_cpfTot,R188)*S188))</f>
        <v/>
      </c>
      <c r="U188" s="29">
        <f>IF(A188&gt;SV_T,0,U187*(1+SV_saRate)+IF(A188&gt;=SV_effStop,0,INDEX(SV_cpfSA,R188)*INDEX(SV_cpfTot,R188)*S188))</f>
        <v/>
      </c>
      <c r="V188" s="29">
        <f>IF(A188&gt;SV_T,0,V187*(1+SV_saRate)+IF(A188&gt;=SV_effStop,0,INDEX(SV_cpfMA,R188)*INDEX(SV_cpfTot,R188)*S188))</f>
        <v/>
      </c>
      <c r="W188" s="29">
        <f>IF(OR(OR(A188&lt;1,A188&gt;SV_T),A188&gt;=SV_effNeg),0,-(INDEX(SV_cpfOA,R188)+INDEX(SV_cpfSA,R188)+INDEX(SV_cpfMA,R188))*INDEX(SV_cpfEmp,R188)*S188)</f>
        <v/>
      </c>
      <c r="X188" s="29">
        <f>IF(A188&gt;=SV_sIdx,0,T188)</f>
        <v/>
      </c>
      <c r="Y188" s="29">
        <f>IF(A188&gt;=SV_sIdx,0,U188)</f>
        <v/>
      </c>
      <c r="Z188" s="29">
        <f>IF(A188&gt;=SV_sIdx,MIN(V188,SV_maCap),V188)</f>
        <v/>
      </c>
      <c r="AA188" s="29">
        <f>IF(AND(SV_cpfOn,A188&gt;=SV_pIdx,A188&lt;=SV_T),12*SV_pay,0)</f>
        <v/>
      </c>
      <c r="AB188" s="29">
        <f>IF(A188&gt;SV_T,0,IF(SV_sp&gt;=0,IF(A188&lt;SV_sIdx,0,IF(A188=SV_sIdx,SV_R0,SV_lifeGrowth*AB187)),SV_lifeGrowth*AB187))</f>
        <v/>
      </c>
      <c r="AC188" s="29">
        <f>IF(A188&gt;SV_T,0,IF(AND(SV_sp&gt;=0,A188&lt;SV_sIdx),0,IF(AND(SV_sp&gt;=0,A188=SV_sIdx),SV_L0,SV_lifeGrowth*(AC187-AA188))))</f>
        <v/>
      </c>
      <c r="AD188" s="29">
        <f>X188+Y188+AB188+Z188+IF(AB188&lt;0,0,AC188)</f>
        <v/>
      </c>
      <c r="AE188" s="29">
        <f>AA188+W188</f>
        <v/>
      </c>
      <c r="AF188" s="29">
        <f>IF(OR(A188&gt;SV_T,A188&gt;=SV_loanYears),0,MAX(0,AF187*(1+loanRate)-SV_inst))</f>
        <v/>
      </c>
      <c r="AG188" s="29">
        <f>IF(A188&gt;SV_T,0,AG187*(1+SV_savRate)+H188+I188+J188+K188+L188+AE188)</f>
        <v/>
      </c>
      <c r="AH188" s="29">
        <f>IF(A188&gt;SV_T,0,MAX(0,O188+P188+Q188+AD188+AG188-AF188))</f>
        <v/>
      </c>
      <c r="AI188" s="29">
        <f>IF(A188&gt;SV_T,0,O188+P188+AG188-MAX(0,AF188-(Q188+AD188)))</f>
        <v/>
      </c>
      <c r="AJ188" s="29">
        <f>IF(OR(OR(A188&lt;1,A188&gt;SV_T),A188-1&gt;=SV_retPay),0,SV_retMth*12+IF(A188=1,SV_retLump,0))</f>
        <v/>
      </c>
      <c r="AK188" s="29">
        <f>IF(A188&gt;SV_T,0,(AK187+AJ188)*(1+investmentReturn))</f>
        <v/>
      </c>
      <c r="AL188" s="29">
        <f>IF(OR(A188&lt;1,A188&gt;SV_T),0,IF(A188-1&gt;=SV_EDUPay,0,SV_EDUMth*12+IF(A188=1,SV_EDULump,0))+IF(A188-1&gt;=SV_SAVPay,0,SV_SAVMth*12+IF(A188=1,SV_SAVLump,0))+IF(A188-1&gt;=SV_PRPPay,0,SV_PRPMth*12+IF(A188=1,SV_PRPLump,0)))</f>
        <v/>
      </c>
      <c r="AM188" s="29">
        <f>IF(A188&gt;SV_T,0,(AM187+AL188)*(1+investmentReturn))</f>
        <v/>
      </c>
      <c r="AN188" s="29">
        <f>IF(OR(OR(A188&lt;1,A188&gt;SV_T),A188-1&gt;=SV_protPay),0,SV_protPrem)</f>
        <v/>
      </c>
      <c r="AO188" s="29">
        <f>IF(OR(A188=0,A188&gt;=SV_T),0,ROUND(MAX(0,AK188),2)+ROUND(MAX(0,AM188),2))</f>
        <v/>
      </c>
      <c r="AP188" s="29">
        <f>IF(OR(A188&lt;1,A188&gt;SV_T),0,-(AJ188+AL188+AN188)+IF(A188=SV_T,ROUND(MAX(0,AK188),2)+ROUND(MAX(0,AM188),2),0))</f>
        <v/>
      </c>
      <c r="AQ188" s="29">
        <f>IF(A188&gt;SV_T,0,AQ187*(1+SV_savRate)+H188+I188+J188+K188+L188+AE188+AP188)</f>
        <v/>
      </c>
      <c r="AR188" s="29">
        <f>IF(A188&gt;SV_T,0,MAX(0,O188+P188+Q188+AD188+AQ188+AO188-AF188))</f>
        <v/>
      </c>
      <c r="AS188" s="29">
        <f>IF(A188&gt;SV_T,0,O188+P188+AQ188+AO188-MAX(0,AF188-(Q188+AD188)))</f>
        <v/>
      </c>
    </row>
    <row r="189">
      <c r="A189" s="61" t="n">
        <v>17</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IF(OR(OR(A189&lt;1,A189&gt;SV_T),A189-1&gt;=SV_salCut,AND(SV_deaOn,A189&gt;=SV_deaM)),0,SV_sal0*(1+incomeGrowthRate)^(A189-1)*G189)</f>
        <v/>
      </c>
      <c r="I189" s="29">
        <f>IF(OR(A189&lt;1,A189&gt;SV_T),0,(-SV_exp0*F189-IF(A189&lt;=SV_loanYears,SV_inst,0)-IF(AND(SV_wdEDUAmt&gt;0,A189=SV_wdEDUYear),SV_wdEDUAmt,0)-IF(AND(SV_wdSAVAmt&gt;0,A189=SV_wdSAVYear),SV_wdSAVAmt,0)-IF(AND(SV_wdPRPAmt&gt;0,A189=SV_wdPRPYear),SV_wdPRPAmt,0))*IF(AND(SV_expOn,A189&gt;=SV_expS,A189&lt;=SV_expE),1+SV_expImp,1))</f>
        <v/>
      </c>
      <c r="J189" s="29">
        <f>IF(OR(A189&lt;1,A189&gt;SV_T),0,-F189*(IF(AND(SV_deaOn,A189=SV_deaM),SV_deaAmt,0)+IF(AND(SV_criOn,A189=SV_criM),SV_criAmt,0)+IF(AND(SV_tpdOn,A189=SV_tpdM),SV_tpdAmt,0)+IF(AND(SV_pacOn,A189=SV_pacM),SV_pacAmt,0)+IF(AND(SV_hosOn,A189=SV_hosM),SV_hosAmt,0)+IF(AND(SV_wedOn,A189=SV_wedM),SV_wedAmt,0)+IF(AND(SV_babOn,A189=SV_babM),SV_babAmt,0)+IF(AND(SV_ltcOn,A189&gt;=SV_ltcM,A189&lt;=SV_ltcE),SV_ltcAmt,0)))</f>
        <v/>
      </c>
      <c r="K189" s="29">
        <f>IF(OR(OR(A189&lt;1,A189&gt;SV_T),A189&gt;SV_loanYears),0,-SV_lifePremYr)</f>
        <v/>
      </c>
      <c r="L189" s="29">
        <f>IF(OR(A189&lt;1,A189&gt;SV_T),0,-SV_contrib)</f>
        <v/>
      </c>
      <c r="M189" s="60">
        <f>IF(AND(SV_crashOn,A189=SV_crashYr),SV_crashF,1)</f>
        <v/>
      </c>
      <c r="N189" s="60">
        <f>IF(AND(SV_ccyOn,A189=SV_ccyYr),SV_ccyF,1)</f>
        <v/>
      </c>
      <c r="O189" s="29">
        <f>IF(A189&gt;SV_T,0,O188*(1+interestRate)*M189*N189)</f>
        <v/>
      </c>
      <c r="P189" s="29">
        <f>IF(A189&gt;SV_T,0,(P188+SV_contrib)*(1+investmentReturn)*M189*N189)</f>
        <v/>
      </c>
      <c r="Q189" s="29">
        <f>IF(A189&gt;SV_T,0,Q188*(1+SV_propRate)*M189)</f>
        <v/>
      </c>
      <c r="R189" s="46">
        <f>MATCH(SV_age+A189-1,SV_cpfLower,1)</f>
        <v/>
      </c>
      <c r="S189" s="29">
        <f>IF(OR(OR(A189&lt;1,A189&gt;SV_T),NOT(SV_cpfOn),AND(SV_deaOn,A189&gt;=SV_deaM)),0,MIN(SV_sal0*(1+incomeGrowthRate)^(A189-1)*G189,SV_owCap))</f>
        <v/>
      </c>
      <c r="T189" s="29">
        <f>IF(A189&gt;SV_T,0,T188*(1+SV_oaRate)+IF(A189&gt;=SV_effStop,0,INDEX(SV_cpfOA,R189)*INDEX(SV_cpfTot,R189)*S189))</f>
        <v/>
      </c>
      <c r="U189" s="29">
        <f>IF(A189&gt;SV_T,0,U188*(1+SV_saRate)+IF(A189&gt;=SV_effStop,0,INDEX(SV_cpfSA,R189)*INDEX(SV_cpfTot,R189)*S189))</f>
        <v/>
      </c>
      <c r="V189" s="29">
        <f>IF(A189&gt;SV_T,0,V188*(1+SV_saRate)+IF(A189&gt;=SV_effStop,0,INDEX(SV_cpfMA,R189)*INDEX(SV_cpfTot,R189)*S189))</f>
        <v/>
      </c>
      <c r="W189" s="29">
        <f>IF(OR(OR(A189&lt;1,A189&gt;SV_T),A189&gt;=SV_effNeg),0,-(INDEX(SV_cpfOA,R189)+INDEX(SV_cpfSA,R189)+INDEX(SV_cpfMA,R189))*INDEX(SV_cpfEmp,R189)*S189)</f>
        <v/>
      </c>
      <c r="X189" s="29">
        <f>IF(A189&gt;=SV_sIdx,0,T189)</f>
        <v/>
      </c>
      <c r="Y189" s="29">
        <f>IF(A189&gt;=SV_sIdx,0,U189)</f>
        <v/>
      </c>
      <c r="Z189" s="29">
        <f>IF(A189&gt;=SV_sIdx,MIN(V189,SV_maCap),V189)</f>
        <v/>
      </c>
      <c r="AA189" s="29">
        <f>IF(AND(SV_cpfOn,A189&gt;=SV_pIdx,A189&lt;=SV_T),12*SV_pay,0)</f>
        <v/>
      </c>
      <c r="AB189" s="29">
        <f>IF(A189&gt;SV_T,0,IF(SV_sp&gt;=0,IF(A189&lt;SV_sIdx,0,IF(A189=SV_sIdx,SV_R0,SV_lifeGrowth*AB188)),SV_lifeGrowth*AB188))</f>
        <v/>
      </c>
      <c r="AC189" s="29">
        <f>IF(A189&gt;SV_T,0,IF(AND(SV_sp&gt;=0,A189&lt;SV_sIdx),0,IF(AND(SV_sp&gt;=0,A189=SV_sIdx),SV_L0,SV_lifeGrowth*(AC188-AA189))))</f>
        <v/>
      </c>
      <c r="AD189" s="29">
        <f>X189+Y189+AB189+Z189+IF(AB189&lt;0,0,AC189)</f>
        <v/>
      </c>
      <c r="AE189" s="29">
        <f>AA189+W189</f>
        <v/>
      </c>
      <c r="AF189" s="29">
        <f>IF(OR(A189&gt;SV_T,A189&gt;=SV_loanYears),0,MAX(0,AF188*(1+loanRate)-SV_inst))</f>
        <v/>
      </c>
      <c r="AG189" s="29">
        <f>IF(A189&gt;SV_T,0,AG188*(1+SV_savRate)+H189+I189+J189+K189+L189+AE189)</f>
        <v/>
      </c>
      <c r="AH189" s="29">
        <f>IF(A189&gt;SV_T,0,MAX(0,O189+P189+Q189+AD189+AG189-AF189))</f>
        <v/>
      </c>
      <c r="AI189" s="29">
        <f>IF(A189&gt;SV_T,0,O189+P189+AG189-MAX(0,AF189-(Q189+AD189)))</f>
        <v/>
      </c>
      <c r="AJ189" s="29">
        <f>IF(OR(OR(A189&lt;1,A189&gt;SV_T),A189-1&gt;=SV_retPay),0,SV_retMth*12+IF(A189=1,SV_retLump,0))</f>
        <v/>
      </c>
      <c r="AK189" s="29">
        <f>IF(A189&gt;SV_T,0,(AK188+AJ189)*(1+investmentReturn))</f>
        <v/>
      </c>
      <c r="AL189" s="29">
        <f>IF(OR(A189&lt;1,A189&gt;SV_T),0,IF(A189-1&gt;=SV_EDUPay,0,SV_EDUMth*12+IF(A189=1,SV_EDULump,0))+IF(A189-1&gt;=SV_SAVPay,0,SV_SAVMth*12+IF(A189=1,SV_SAVLump,0))+IF(A189-1&gt;=SV_PRPPay,0,SV_PRPMth*12+IF(A189=1,SV_PRPLump,0)))</f>
        <v/>
      </c>
      <c r="AM189" s="29">
        <f>IF(A189&gt;SV_T,0,(AM188+AL189)*(1+investmentReturn))</f>
        <v/>
      </c>
      <c r="AN189" s="29">
        <f>IF(OR(OR(A189&lt;1,A189&gt;SV_T),A189-1&gt;=SV_protPay),0,SV_protPrem)</f>
        <v/>
      </c>
      <c r="AO189" s="29">
        <f>IF(OR(A189=0,A189&gt;=SV_T),0,ROUND(MAX(0,AK189),2)+ROUND(MAX(0,AM189),2))</f>
        <v/>
      </c>
      <c r="AP189" s="29">
        <f>IF(OR(A189&lt;1,A189&gt;SV_T),0,-(AJ189+AL189+AN189)+IF(A189=SV_T,ROUND(MAX(0,AK189),2)+ROUND(MAX(0,AM189),2),0))</f>
        <v/>
      </c>
      <c r="AQ189" s="29">
        <f>IF(A189&gt;SV_T,0,AQ188*(1+SV_savRate)+H189+I189+J189+K189+L189+AE189+AP189)</f>
        <v/>
      </c>
      <c r="AR189" s="29">
        <f>IF(A189&gt;SV_T,0,MAX(0,O189+P189+Q189+AD189+AQ189+AO189-AF189))</f>
        <v/>
      </c>
      <c r="AS189" s="29">
        <f>IF(A189&gt;SV_T,0,O189+P189+AQ189+AO189-MAX(0,AF189-(Q189+AD189)))</f>
        <v/>
      </c>
    </row>
    <row r="190">
      <c r="A190" s="61" t="n">
        <v>18</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IF(OR(OR(A190&lt;1,A190&gt;SV_T),A190-1&gt;=SV_salCut,AND(SV_deaOn,A190&gt;=SV_deaM)),0,SV_sal0*(1+incomeGrowthRate)^(A190-1)*G190)</f>
        <v/>
      </c>
      <c r="I190" s="29">
        <f>IF(OR(A190&lt;1,A190&gt;SV_T),0,(-SV_exp0*F190-IF(A190&lt;=SV_loanYears,SV_inst,0)-IF(AND(SV_wdEDUAmt&gt;0,A190=SV_wdEDUYear),SV_wdEDUAmt,0)-IF(AND(SV_wdSAVAmt&gt;0,A190=SV_wdSAVYear),SV_wdSAVAmt,0)-IF(AND(SV_wdPRPAmt&gt;0,A190=SV_wdPRPYear),SV_wdPRPAmt,0))*IF(AND(SV_expOn,A190&gt;=SV_expS,A190&lt;=SV_expE),1+SV_expImp,1))</f>
        <v/>
      </c>
      <c r="J190" s="29">
        <f>IF(OR(A190&lt;1,A190&gt;SV_T),0,-F190*(IF(AND(SV_deaOn,A190=SV_deaM),SV_deaAmt,0)+IF(AND(SV_criOn,A190=SV_criM),SV_criAmt,0)+IF(AND(SV_tpdOn,A190=SV_tpdM),SV_tpdAmt,0)+IF(AND(SV_pacOn,A190=SV_pacM),SV_pacAmt,0)+IF(AND(SV_hosOn,A190=SV_hosM),SV_hosAmt,0)+IF(AND(SV_wedOn,A190=SV_wedM),SV_wedAmt,0)+IF(AND(SV_babOn,A190=SV_babM),SV_babAmt,0)+IF(AND(SV_ltcOn,A190&gt;=SV_ltcM,A190&lt;=SV_ltcE),SV_ltcAmt,0)))</f>
        <v/>
      </c>
      <c r="K190" s="29">
        <f>IF(OR(OR(A190&lt;1,A190&gt;SV_T),A190&gt;SV_loanYears),0,-SV_lifePremYr)</f>
        <v/>
      </c>
      <c r="L190" s="29">
        <f>IF(OR(A190&lt;1,A190&gt;SV_T),0,-SV_contrib)</f>
        <v/>
      </c>
      <c r="M190" s="60">
        <f>IF(AND(SV_crashOn,A190=SV_crashYr),SV_crashF,1)</f>
        <v/>
      </c>
      <c r="N190" s="60">
        <f>IF(AND(SV_ccyOn,A190=SV_ccyYr),SV_ccyF,1)</f>
        <v/>
      </c>
      <c r="O190" s="29">
        <f>IF(A190&gt;SV_T,0,O189*(1+interestRate)*M190*N190)</f>
        <v/>
      </c>
      <c r="P190" s="29">
        <f>IF(A190&gt;SV_T,0,(P189+SV_contrib)*(1+investmentReturn)*M190*N190)</f>
        <v/>
      </c>
      <c r="Q190" s="29">
        <f>IF(A190&gt;SV_T,0,Q189*(1+SV_propRate)*M190)</f>
        <v/>
      </c>
      <c r="R190" s="46">
        <f>MATCH(SV_age+A190-1,SV_cpfLower,1)</f>
        <v/>
      </c>
      <c r="S190" s="29">
        <f>IF(OR(OR(A190&lt;1,A190&gt;SV_T),NOT(SV_cpfOn),AND(SV_deaOn,A190&gt;=SV_deaM)),0,MIN(SV_sal0*(1+incomeGrowthRate)^(A190-1)*G190,SV_owCap))</f>
        <v/>
      </c>
      <c r="T190" s="29">
        <f>IF(A190&gt;SV_T,0,T189*(1+SV_oaRate)+IF(A190&gt;=SV_effStop,0,INDEX(SV_cpfOA,R190)*INDEX(SV_cpfTot,R190)*S190))</f>
        <v/>
      </c>
      <c r="U190" s="29">
        <f>IF(A190&gt;SV_T,0,U189*(1+SV_saRate)+IF(A190&gt;=SV_effStop,0,INDEX(SV_cpfSA,R190)*INDEX(SV_cpfTot,R190)*S190))</f>
        <v/>
      </c>
      <c r="V190" s="29">
        <f>IF(A190&gt;SV_T,0,V189*(1+SV_saRate)+IF(A190&gt;=SV_effStop,0,INDEX(SV_cpfMA,R190)*INDEX(SV_cpfTot,R190)*S190))</f>
        <v/>
      </c>
      <c r="W190" s="29">
        <f>IF(OR(OR(A190&lt;1,A190&gt;SV_T),A190&gt;=SV_effNeg),0,-(INDEX(SV_cpfOA,R190)+INDEX(SV_cpfSA,R190)+INDEX(SV_cpfMA,R190))*INDEX(SV_cpfEmp,R190)*S190)</f>
        <v/>
      </c>
      <c r="X190" s="29">
        <f>IF(A190&gt;=SV_sIdx,0,T190)</f>
        <v/>
      </c>
      <c r="Y190" s="29">
        <f>IF(A190&gt;=SV_sIdx,0,U190)</f>
        <v/>
      </c>
      <c r="Z190" s="29">
        <f>IF(A190&gt;=SV_sIdx,MIN(V190,SV_maCap),V190)</f>
        <v/>
      </c>
      <c r="AA190" s="29">
        <f>IF(AND(SV_cpfOn,A190&gt;=SV_pIdx,A190&lt;=SV_T),12*SV_pay,0)</f>
        <v/>
      </c>
      <c r="AB190" s="29">
        <f>IF(A190&gt;SV_T,0,IF(SV_sp&gt;=0,IF(A190&lt;SV_sIdx,0,IF(A190=SV_sIdx,SV_R0,SV_lifeGrowth*AB189)),SV_lifeGrowth*AB189))</f>
        <v/>
      </c>
      <c r="AC190" s="29">
        <f>IF(A190&gt;SV_T,0,IF(AND(SV_sp&gt;=0,A190&lt;SV_sIdx),0,IF(AND(SV_sp&gt;=0,A190=SV_sIdx),SV_L0,SV_lifeGrowth*(AC189-AA190))))</f>
        <v/>
      </c>
      <c r="AD190" s="29">
        <f>X190+Y190+AB190+Z190+IF(AB190&lt;0,0,AC190)</f>
        <v/>
      </c>
      <c r="AE190" s="29">
        <f>AA190+W190</f>
        <v/>
      </c>
      <c r="AF190" s="29">
        <f>IF(OR(A190&gt;SV_T,A190&gt;=SV_loanYears),0,MAX(0,AF189*(1+loanRate)-SV_inst))</f>
        <v/>
      </c>
      <c r="AG190" s="29">
        <f>IF(A190&gt;SV_T,0,AG189*(1+SV_savRate)+H190+I190+J190+K190+L190+AE190)</f>
        <v/>
      </c>
      <c r="AH190" s="29">
        <f>IF(A190&gt;SV_T,0,MAX(0,O190+P190+Q190+AD190+AG190-AF190))</f>
        <v/>
      </c>
      <c r="AI190" s="29">
        <f>IF(A190&gt;SV_T,0,O190+P190+AG190-MAX(0,AF190-(Q190+AD190)))</f>
        <v/>
      </c>
      <c r="AJ190" s="29">
        <f>IF(OR(OR(A190&lt;1,A190&gt;SV_T),A190-1&gt;=SV_retPay),0,SV_retMth*12+IF(A190=1,SV_retLump,0))</f>
        <v/>
      </c>
      <c r="AK190" s="29">
        <f>IF(A190&gt;SV_T,0,(AK189+AJ190)*(1+investmentReturn))</f>
        <v/>
      </c>
      <c r="AL190" s="29">
        <f>IF(OR(A190&lt;1,A190&gt;SV_T),0,IF(A190-1&gt;=SV_EDUPay,0,SV_EDUMth*12+IF(A190=1,SV_EDULump,0))+IF(A190-1&gt;=SV_SAVPay,0,SV_SAVMth*12+IF(A190=1,SV_SAVLump,0))+IF(A190-1&gt;=SV_PRPPay,0,SV_PRPMth*12+IF(A190=1,SV_PRPLump,0)))</f>
        <v/>
      </c>
      <c r="AM190" s="29">
        <f>IF(A190&gt;SV_T,0,(AM189+AL190)*(1+investmentReturn))</f>
        <v/>
      </c>
      <c r="AN190" s="29">
        <f>IF(OR(OR(A190&lt;1,A190&gt;SV_T),A190-1&gt;=SV_protPay),0,SV_protPrem)</f>
        <v/>
      </c>
      <c r="AO190" s="29">
        <f>IF(OR(A190=0,A190&gt;=SV_T),0,ROUND(MAX(0,AK190),2)+ROUND(MAX(0,AM190),2))</f>
        <v/>
      </c>
      <c r="AP190" s="29">
        <f>IF(OR(A190&lt;1,A190&gt;SV_T),0,-(AJ190+AL190+AN190)+IF(A190=SV_T,ROUND(MAX(0,AK190),2)+ROUND(MAX(0,AM190),2),0))</f>
        <v/>
      </c>
      <c r="AQ190" s="29">
        <f>IF(A190&gt;SV_T,0,AQ189*(1+SV_savRate)+H190+I190+J190+K190+L190+AE190+AP190)</f>
        <v/>
      </c>
      <c r="AR190" s="29">
        <f>IF(A190&gt;SV_T,0,MAX(0,O190+P190+Q190+AD190+AQ190+AO190-AF190))</f>
        <v/>
      </c>
      <c r="AS190" s="29">
        <f>IF(A190&gt;SV_T,0,O190+P190+AQ190+AO190-MAX(0,AF190-(Q190+AD190)))</f>
        <v/>
      </c>
    </row>
    <row r="191">
      <c r="A191" s="61" t="n">
        <v>19</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IF(OR(OR(A191&lt;1,A191&gt;SV_T),A191-1&gt;=SV_salCut,AND(SV_deaOn,A191&gt;=SV_deaM)),0,SV_sal0*(1+incomeGrowthRate)^(A191-1)*G191)</f>
        <v/>
      </c>
      <c r="I191" s="29">
        <f>IF(OR(A191&lt;1,A191&gt;SV_T),0,(-SV_exp0*F191-IF(A191&lt;=SV_loanYears,SV_inst,0)-IF(AND(SV_wdEDUAmt&gt;0,A191=SV_wdEDUYear),SV_wdEDUAmt,0)-IF(AND(SV_wdSAVAmt&gt;0,A191=SV_wdSAVYear),SV_wdSAVAmt,0)-IF(AND(SV_wdPRPAmt&gt;0,A191=SV_wdPRPYear),SV_wdPRPAmt,0))*IF(AND(SV_expOn,A191&gt;=SV_expS,A191&lt;=SV_expE),1+SV_expImp,1))</f>
        <v/>
      </c>
      <c r="J191" s="29">
        <f>IF(OR(A191&lt;1,A191&gt;SV_T),0,-F191*(IF(AND(SV_deaOn,A191=SV_deaM),SV_deaAmt,0)+IF(AND(SV_criOn,A191=SV_criM),SV_criAmt,0)+IF(AND(SV_tpdOn,A191=SV_tpdM),SV_tpdAmt,0)+IF(AND(SV_pacOn,A191=SV_pacM),SV_pacAmt,0)+IF(AND(SV_hosOn,A191=SV_hosM),SV_hosAmt,0)+IF(AND(SV_wedOn,A191=SV_wedM),SV_wedAmt,0)+IF(AND(SV_babOn,A191=SV_babM),SV_babAmt,0)+IF(AND(SV_ltcOn,A191&gt;=SV_ltcM,A191&lt;=SV_ltcE),SV_ltcAmt,0)))</f>
        <v/>
      </c>
      <c r="K191" s="29">
        <f>IF(OR(OR(A191&lt;1,A191&gt;SV_T),A191&gt;SV_loanYears),0,-SV_lifePremYr)</f>
        <v/>
      </c>
      <c r="L191" s="29">
        <f>IF(OR(A191&lt;1,A191&gt;SV_T),0,-SV_contrib)</f>
        <v/>
      </c>
      <c r="M191" s="60">
        <f>IF(AND(SV_crashOn,A191=SV_crashYr),SV_crashF,1)</f>
        <v/>
      </c>
      <c r="N191" s="60">
        <f>IF(AND(SV_ccyOn,A191=SV_ccyYr),SV_ccyF,1)</f>
        <v/>
      </c>
      <c r="O191" s="29">
        <f>IF(A191&gt;SV_T,0,O190*(1+interestRate)*M191*N191)</f>
        <v/>
      </c>
      <c r="P191" s="29">
        <f>IF(A191&gt;SV_T,0,(P190+SV_contrib)*(1+investmentReturn)*M191*N191)</f>
        <v/>
      </c>
      <c r="Q191" s="29">
        <f>IF(A191&gt;SV_T,0,Q190*(1+SV_propRate)*M191)</f>
        <v/>
      </c>
      <c r="R191" s="46">
        <f>MATCH(SV_age+A191-1,SV_cpfLower,1)</f>
        <v/>
      </c>
      <c r="S191" s="29">
        <f>IF(OR(OR(A191&lt;1,A191&gt;SV_T),NOT(SV_cpfOn),AND(SV_deaOn,A191&gt;=SV_deaM)),0,MIN(SV_sal0*(1+incomeGrowthRate)^(A191-1)*G191,SV_owCap))</f>
        <v/>
      </c>
      <c r="T191" s="29">
        <f>IF(A191&gt;SV_T,0,T190*(1+SV_oaRate)+IF(A191&gt;=SV_effStop,0,INDEX(SV_cpfOA,R191)*INDEX(SV_cpfTot,R191)*S191))</f>
        <v/>
      </c>
      <c r="U191" s="29">
        <f>IF(A191&gt;SV_T,0,U190*(1+SV_saRate)+IF(A191&gt;=SV_effStop,0,INDEX(SV_cpfSA,R191)*INDEX(SV_cpfTot,R191)*S191))</f>
        <v/>
      </c>
      <c r="V191" s="29">
        <f>IF(A191&gt;SV_T,0,V190*(1+SV_saRate)+IF(A191&gt;=SV_effStop,0,INDEX(SV_cpfMA,R191)*INDEX(SV_cpfTot,R191)*S191))</f>
        <v/>
      </c>
      <c r="W191" s="29">
        <f>IF(OR(OR(A191&lt;1,A191&gt;SV_T),A191&gt;=SV_effNeg),0,-(INDEX(SV_cpfOA,R191)+INDEX(SV_cpfSA,R191)+INDEX(SV_cpfMA,R191))*INDEX(SV_cpfEmp,R191)*S191)</f>
        <v/>
      </c>
      <c r="X191" s="29">
        <f>IF(A191&gt;=SV_sIdx,0,T191)</f>
        <v/>
      </c>
      <c r="Y191" s="29">
        <f>IF(A191&gt;=SV_sIdx,0,U191)</f>
        <v/>
      </c>
      <c r="Z191" s="29">
        <f>IF(A191&gt;=SV_sIdx,MIN(V191,SV_maCap),V191)</f>
        <v/>
      </c>
      <c r="AA191" s="29">
        <f>IF(AND(SV_cpfOn,A191&gt;=SV_pIdx,A191&lt;=SV_T),12*SV_pay,0)</f>
        <v/>
      </c>
      <c r="AB191" s="29">
        <f>IF(A191&gt;SV_T,0,IF(SV_sp&gt;=0,IF(A191&lt;SV_sIdx,0,IF(A191=SV_sIdx,SV_R0,SV_lifeGrowth*AB190)),SV_lifeGrowth*AB190))</f>
        <v/>
      </c>
      <c r="AC191" s="29">
        <f>IF(A191&gt;SV_T,0,IF(AND(SV_sp&gt;=0,A191&lt;SV_sIdx),0,IF(AND(SV_sp&gt;=0,A191=SV_sIdx),SV_L0,SV_lifeGrowth*(AC190-AA191))))</f>
        <v/>
      </c>
      <c r="AD191" s="29">
        <f>X191+Y191+AB191+Z191+IF(AB191&lt;0,0,AC191)</f>
        <v/>
      </c>
      <c r="AE191" s="29">
        <f>AA191+W191</f>
        <v/>
      </c>
      <c r="AF191" s="29">
        <f>IF(OR(A191&gt;SV_T,A191&gt;=SV_loanYears),0,MAX(0,AF190*(1+loanRate)-SV_inst))</f>
        <v/>
      </c>
      <c r="AG191" s="29">
        <f>IF(A191&gt;SV_T,0,AG190*(1+SV_savRate)+H191+I191+J191+K191+L191+AE191)</f>
        <v/>
      </c>
      <c r="AH191" s="29">
        <f>IF(A191&gt;SV_T,0,MAX(0,O191+P191+Q191+AD191+AG191-AF191))</f>
        <v/>
      </c>
      <c r="AI191" s="29">
        <f>IF(A191&gt;SV_T,0,O191+P191+AG191-MAX(0,AF191-(Q191+AD191)))</f>
        <v/>
      </c>
      <c r="AJ191" s="29">
        <f>IF(OR(OR(A191&lt;1,A191&gt;SV_T),A191-1&gt;=SV_retPay),0,SV_retMth*12+IF(A191=1,SV_retLump,0))</f>
        <v/>
      </c>
      <c r="AK191" s="29">
        <f>IF(A191&gt;SV_T,0,(AK190+AJ191)*(1+investmentReturn))</f>
        <v/>
      </c>
      <c r="AL191" s="29">
        <f>IF(OR(A191&lt;1,A191&gt;SV_T),0,IF(A191-1&gt;=SV_EDUPay,0,SV_EDUMth*12+IF(A191=1,SV_EDULump,0))+IF(A191-1&gt;=SV_SAVPay,0,SV_SAVMth*12+IF(A191=1,SV_SAVLump,0))+IF(A191-1&gt;=SV_PRPPay,0,SV_PRPMth*12+IF(A191=1,SV_PRPLump,0)))</f>
        <v/>
      </c>
      <c r="AM191" s="29">
        <f>IF(A191&gt;SV_T,0,(AM190+AL191)*(1+investmentReturn))</f>
        <v/>
      </c>
      <c r="AN191" s="29">
        <f>IF(OR(OR(A191&lt;1,A191&gt;SV_T),A191-1&gt;=SV_protPay),0,SV_protPrem)</f>
        <v/>
      </c>
      <c r="AO191" s="29">
        <f>IF(OR(A191=0,A191&gt;=SV_T),0,ROUND(MAX(0,AK191),2)+ROUND(MAX(0,AM191),2))</f>
        <v/>
      </c>
      <c r="AP191" s="29">
        <f>IF(OR(A191&lt;1,A191&gt;SV_T),0,-(AJ191+AL191+AN191)+IF(A191=SV_T,ROUND(MAX(0,AK191),2)+ROUND(MAX(0,AM191),2),0))</f>
        <v/>
      </c>
      <c r="AQ191" s="29">
        <f>IF(A191&gt;SV_T,0,AQ190*(1+SV_savRate)+H191+I191+J191+K191+L191+AE191+AP191)</f>
        <v/>
      </c>
      <c r="AR191" s="29">
        <f>IF(A191&gt;SV_T,0,MAX(0,O191+P191+Q191+AD191+AQ191+AO191-AF191))</f>
        <v/>
      </c>
      <c r="AS191" s="29">
        <f>IF(A191&gt;SV_T,0,O191+P191+AQ191+AO191-MAX(0,AF191-(Q191+AD191)))</f>
        <v/>
      </c>
    </row>
    <row r="192">
      <c r="A192" s="61" t="n">
        <v>20</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IF(OR(OR(A192&lt;1,A192&gt;SV_T),A192-1&gt;=SV_salCut,AND(SV_deaOn,A192&gt;=SV_deaM)),0,SV_sal0*(1+incomeGrowthRate)^(A192-1)*G192)</f>
        <v/>
      </c>
      <c r="I192" s="29">
        <f>IF(OR(A192&lt;1,A192&gt;SV_T),0,(-SV_exp0*F192-IF(A192&lt;=SV_loanYears,SV_inst,0)-IF(AND(SV_wdEDUAmt&gt;0,A192=SV_wdEDUYear),SV_wdEDUAmt,0)-IF(AND(SV_wdSAVAmt&gt;0,A192=SV_wdSAVYear),SV_wdSAVAmt,0)-IF(AND(SV_wdPRPAmt&gt;0,A192=SV_wdPRPYear),SV_wdPRPAmt,0))*IF(AND(SV_expOn,A192&gt;=SV_expS,A192&lt;=SV_expE),1+SV_expImp,1))</f>
        <v/>
      </c>
      <c r="J192" s="29">
        <f>IF(OR(A192&lt;1,A192&gt;SV_T),0,-F192*(IF(AND(SV_deaOn,A192=SV_deaM),SV_deaAmt,0)+IF(AND(SV_criOn,A192=SV_criM),SV_criAmt,0)+IF(AND(SV_tpdOn,A192=SV_tpdM),SV_tpdAmt,0)+IF(AND(SV_pacOn,A192=SV_pacM),SV_pacAmt,0)+IF(AND(SV_hosOn,A192=SV_hosM),SV_hosAmt,0)+IF(AND(SV_wedOn,A192=SV_wedM),SV_wedAmt,0)+IF(AND(SV_babOn,A192=SV_babM),SV_babAmt,0)+IF(AND(SV_ltcOn,A192&gt;=SV_ltcM,A192&lt;=SV_ltcE),SV_ltcAmt,0)))</f>
        <v/>
      </c>
      <c r="K192" s="29">
        <f>IF(OR(OR(A192&lt;1,A192&gt;SV_T),A192&gt;SV_loanYears),0,-SV_lifePremYr)</f>
        <v/>
      </c>
      <c r="L192" s="29">
        <f>IF(OR(A192&lt;1,A192&gt;SV_T),0,-SV_contrib)</f>
        <v/>
      </c>
      <c r="M192" s="60">
        <f>IF(AND(SV_crashOn,A192=SV_crashYr),SV_crashF,1)</f>
        <v/>
      </c>
      <c r="N192" s="60">
        <f>IF(AND(SV_ccyOn,A192=SV_ccyYr),SV_ccyF,1)</f>
        <v/>
      </c>
      <c r="O192" s="29">
        <f>IF(A192&gt;SV_T,0,O191*(1+interestRate)*M192*N192)</f>
        <v/>
      </c>
      <c r="P192" s="29">
        <f>IF(A192&gt;SV_T,0,(P191+SV_contrib)*(1+investmentReturn)*M192*N192)</f>
        <v/>
      </c>
      <c r="Q192" s="29">
        <f>IF(A192&gt;SV_T,0,Q191*(1+SV_propRate)*M192)</f>
        <v/>
      </c>
      <c r="R192" s="46">
        <f>MATCH(SV_age+A192-1,SV_cpfLower,1)</f>
        <v/>
      </c>
      <c r="S192" s="29">
        <f>IF(OR(OR(A192&lt;1,A192&gt;SV_T),NOT(SV_cpfOn),AND(SV_deaOn,A192&gt;=SV_deaM)),0,MIN(SV_sal0*(1+incomeGrowthRate)^(A192-1)*G192,SV_owCap))</f>
        <v/>
      </c>
      <c r="T192" s="29">
        <f>IF(A192&gt;SV_T,0,T191*(1+SV_oaRate)+IF(A192&gt;=SV_effStop,0,INDEX(SV_cpfOA,R192)*INDEX(SV_cpfTot,R192)*S192))</f>
        <v/>
      </c>
      <c r="U192" s="29">
        <f>IF(A192&gt;SV_T,0,U191*(1+SV_saRate)+IF(A192&gt;=SV_effStop,0,INDEX(SV_cpfSA,R192)*INDEX(SV_cpfTot,R192)*S192))</f>
        <v/>
      </c>
      <c r="V192" s="29">
        <f>IF(A192&gt;SV_T,0,V191*(1+SV_saRate)+IF(A192&gt;=SV_effStop,0,INDEX(SV_cpfMA,R192)*INDEX(SV_cpfTot,R192)*S192))</f>
        <v/>
      </c>
      <c r="W192" s="29">
        <f>IF(OR(OR(A192&lt;1,A192&gt;SV_T),A192&gt;=SV_effNeg),0,-(INDEX(SV_cpfOA,R192)+INDEX(SV_cpfSA,R192)+INDEX(SV_cpfMA,R192))*INDEX(SV_cpfEmp,R192)*S192)</f>
        <v/>
      </c>
      <c r="X192" s="29">
        <f>IF(A192&gt;=SV_sIdx,0,T192)</f>
        <v/>
      </c>
      <c r="Y192" s="29">
        <f>IF(A192&gt;=SV_sIdx,0,U192)</f>
        <v/>
      </c>
      <c r="Z192" s="29">
        <f>IF(A192&gt;=SV_sIdx,MIN(V192,SV_maCap),V192)</f>
        <v/>
      </c>
      <c r="AA192" s="29">
        <f>IF(AND(SV_cpfOn,A192&gt;=SV_pIdx,A192&lt;=SV_T),12*SV_pay,0)</f>
        <v/>
      </c>
      <c r="AB192" s="29">
        <f>IF(A192&gt;SV_T,0,IF(SV_sp&gt;=0,IF(A192&lt;SV_sIdx,0,IF(A192=SV_sIdx,SV_R0,SV_lifeGrowth*AB191)),SV_lifeGrowth*AB191))</f>
        <v/>
      </c>
      <c r="AC192" s="29">
        <f>IF(A192&gt;SV_T,0,IF(AND(SV_sp&gt;=0,A192&lt;SV_sIdx),0,IF(AND(SV_sp&gt;=0,A192=SV_sIdx),SV_L0,SV_lifeGrowth*(AC191-AA192))))</f>
        <v/>
      </c>
      <c r="AD192" s="29">
        <f>X192+Y192+AB192+Z192+IF(AB192&lt;0,0,AC192)</f>
        <v/>
      </c>
      <c r="AE192" s="29">
        <f>AA192+W192</f>
        <v/>
      </c>
      <c r="AF192" s="29">
        <f>IF(OR(A192&gt;SV_T,A192&gt;=SV_loanYears),0,MAX(0,AF191*(1+loanRate)-SV_inst))</f>
        <v/>
      </c>
      <c r="AG192" s="29">
        <f>IF(A192&gt;SV_T,0,AG191*(1+SV_savRate)+H192+I192+J192+K192+L192+AE192)</f>
        <v/>
      </c>
      <c r="AH192" s="29">
        <f>IF(A192&gt;SV_T,0,MAX(0,O192+P192+Q192+AD192+AG192-AF192))</f>
        <v/>
      </c>
      <c r="AI192" s="29">
        <f>IF(A192&gt;SV_T,0,O192+P192+AG192-MAX(0,AF192-(Q192+AD192)))</f>
        <v/>
      </c>
      <c r="AJ192" s="29">
        <f>IF(OR(OR(A192&lt;1,A192&gt;SV_T),A192-1&gt;=SV_retPay),0,SV_retMth*12+IF(A192=1,SV_retLump,0))</f>
        <v/>
      </c>
      <c r="AK192" s="29">
        <f>IF(A192&gt;SV_T,0,(AK191+AJ192)*(1+investmentReturn))</f>
        <v/>
      </c>
      <c r="AL192" s="29">
        <f>IF(OR(A192&lt;1,A192&gt;SV_T),0,IF(A192-1&gt;=SV_EDUPay,0,SV_EDUMth*12+IF(A192=1,SV_EDULump,0))+IF(A192-1&gt;=SV_SAVPay,0,SV_SAVMth*12+IF(A192=1,SV_SAVLump,0))+IF(A192-1&gt;=SV_PRPPay,0,SV_PRPMth*12+IF(A192=1,SV_PRPLump,0)))</f>
        <v/>
      </c>
      <c r="AM192" s="29">
        <f>IF(A192&gt;SV_T,0,(AM191+AL192)*(1+investmentReturn))</f>
        <v/>
      </c>
      <c r="AN192" s="29">
        <f>IF(OR(OR(A192&lt;1,A192&gt;SV_T),A192-1&gt;=SV_protPay),0,SV_protPrem)</f>
        <v/>
      </c>
      <c r="AO192" s="29">
        <f>IF(OR(A192=0,A192&gt;=SV_T),0,ROUND(MAX(0,AK192),2)+ROUND(MAX(0,AM192),2))</f>
        <v/>
      </c>
      <c r="AP192" s="29">
        <f>IF(OR(A192&lt;1,A192&gt;SV_T),0,-(AJ192+AL192+AN192)+IF(A192=SV_T,ROUND(MAX(0,AK192),2)+ROUND(MAX(0,AM192),2),0))</f>
        <v/>
      </c>
      <c r="AQ192" s="29">
        <f>IF(A192&gt;SV_T,0,AQ191*(1+SV_savRate)+H192+I192+J192+K192+L192+AE192+AP192)</f>
        <v/>
      </c>
      <c r="AR192" s="29">
        <f>IF(A192&gt;SV_T,0,MAX(0,O192+P192+Q192+AD192+AQ192+AO192-AF192))</f>
        <v/>
      </c>
      <c r="AS192" s="29">
        <f>IF(A192&gt;SV_T,0,O192+P192+AQ192+AO192-MAX(0,AF192-(Q192+AD192)))</f>
        <v/>
      </c>
    </row>
    <row r="193">
      <c r="A193" s="61" t="n">
        <v>21</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IF(OR(OR(A193&lt;1,A193&gt;SV_T),A193-1&gt;=SV_salCut,AND(SV_deaOn,A193&gt;=SV_deaM)),0,SV_sal0*(1+incomeGrowthRate)^(A193-1)*G193)</f>
        <v/>
      </c>
      <c r="I193" s="29">
        <f>IF(OR(A193&lt;1,A193&gt;SV_T),0,(-SV_exp0*F193-IF(A193&lt;=SV_loanYears,SV_inst,0)-IF(AND(SV_wdEDUAmt&gt;0,A193=SV_wdEDUYear),SV_wdEDUAmt,0)-IF(AND(SV_wdSAVAmt&gt;0,A193=SV_wdSAVYear),SV_wdSAVAmt,0)-IF(AND(SV_wdPRPAmt&gt;0,A193=SV_wdPRPYear),SV_wdPRPAmt,0))*IF(AND(SV_expOn,A193&gt;=SV_expS,A193&lt;=SV_expE),1+SV_expImp,1))</f>
        <v/>
      </c>
      <c r="J193" s="29">
        <f>IF(OR(A193&lt;1,A193&gt;SV_T),0,-F193*(IF(AND(SV_deaOn,A193=SV_deaM),SV_deaAmt,0)+IF(AND(SV_criOn,A193=SV_criM),SV_criAmt,0)+IF(AND(SV_tpdOn,A193=SV_tpdM),SV_tpdAmt,0)+IF(AND(SV_pacOn,A193=SV_pacM),SV_pacAmt,0)+IF(AND(SV_hosOn,A193=SV_hosM),SV_hosAmt,0)+IF(AND(SV_wedOn,A193=SV_wedM),SV_wedAmt,0)+IF(AND(SV_babOn,A193=SV_babM),SV_babAmt,0)+IF(AND(SV_ltcOn,A193&gt;=SV_ltcM,A193&lt;=SV_ltcE),SV_ltcAmt,0)))</f>
        <v/>
      </c>
      <c r="K193" s="29">
        <f>IF(OR(OR(A193&lt;1,A193&gt;SV_T),A193&gt;SV_loanYears),0,-SV_lifePremYr)</f>
        <v/>
      </c>
      <c r="L193" s="29">
        <f>IF(OR(A193&lt;1,A193&gt;SV_T),0,-SV_contrib)</f>
        <v/>
      </c>
      <c r="M193" s="60">
        <f>IF(AND(SV_crashOn,A193=SV_crashYr),SV_crashF,1)</f>
        <v/>
      </c>
      <c r="N193" s="60">
        <f>IF(AND(SV_ccyOn,A193=SV_ccyYr),SV_ccyF,1)</f>
        <v/>
      </c>
      <c r="O193" s="29">
        <f>IF(A193&gt;SV_T,0,O192*(1+interestRate)*M193*N193)</f>
        <v/>
      </c>
      <c r="P193" s="29">
        <f>IF(A193&gt;SV_T,0,(P192+SV_contrib)*(1+investmentReturn)*M193*N193)</f>
        <v/>
      </c>
      <c r="Q193" s="29">
        <f>IF(A193&gt;SV_T,0,Q192*(1+SV_propRate)*M193)</f>
        <v/>
      </c>
      <c r="R193" s="46">
        <f>MATCH(SV_age+A193-1,SV_cpfLower,1)</f>
        <v/>
      </c>
      <c r="S193" s="29">
        <f>IF(OR(OR(A193&lt;1,A193&gt;SV_T),NOT(SV_cpfOn),AND(SV_deaOn,A193&gt;=SV_deaM)),0,MIN(SV_sal0*(1+incomeGrowthRate)^(A193-1)*G193,SV_owCap))</f>
        <v/>
      </c>
      <c r="T193" s="29">
        <f>IF(A193&gt;SV_T,0,T192*(1+SV_oaRate)+IF(A193&gt;=SV_effStop,0,INDEX(SV_cpfOA,R193)*INDEX(SV_cpfTot,R193)*S193))</f>
        <v/>
      </c>
      <c r="U193" s="29">
        <f>IF(A193&gt;SV_T,0,U192*(1+SV_saRate)+IF(A193&gt;=SV_effStop,0,INDEX(SV_cpfSA,R193)*INDEX(SV_cpfTot,R193)*S193))</f>
        <v/>
      </c>
      <c r="V193" s="29">
        <f>IF(A193&gt;SV_T,0,V192*(1+SV_saRate)+IF(A193&gt;=SV_effStop,0,INDEX(SV_cpfMA,R193)*INDEX(SV_cpfTot,R193)*S193))</f>
        <v/>
      </c>
      <c r="W193" s="29">
        <f>IF(OR(OR(A193&lt;1,A193&gt;SV_T),A193&gt;=SV_effNeg),0,-(INDEX(SV_cpfOA,R193)+INDEX(SV_cpfSA,R193)+INDEX(SV_cpfMA,R193))*INDEX(SV_cpfEmp,R193)*S193)</f>
        <v/>
      </c>
      <c r="X193" s="29">
        <f>IF(A193&gt;=SV_sIdx,0,T193)</f>
        <v/>
      </c>
      <c r="Y193" s="29">
        <f>IF(A193&gt;=SV_sIdx,0,U193)</f>
        <v/>
      </c>
      <c r="Z193" s="29">
        <f>IF(A193&gt;=SV_sIdx,MIN(V193,SV_maCap),V193)</f>
        <v/>
      </c>
      <c r="AA193" s="29">
        <f>IF(AND(SV_cpfOn,A193&gt;=SV_pIdx,A193&lt;=SV_T),12*SV_pay,0)</f>
        <v/>
      </c>
      <c r="AB193" s="29">
        <f>IF(A193&gt;SV_T,0,IF(SV_sp&gt;=0,IF(A193&lt;SV_sIdx,0,IF(A193=SV_sIdx,SV_R0,SV_lifeGrowth*AB192)),SV_lifeGrowth*AB192))</f>
        <v/>
      </c>
      <c r="AC193" s="29">
        <f>IF(A193&gt;SV_T,0,IF(AND(SV_sp&gt;=0,A193&lt;SV_sIdx),0,IF(AND(SV_sp&gt;=0,A193=SV_sIdx),SV_L0,SV_lifeGrowth*(AC192-AA193))))</f>
        <v/>
      </c>
      <c r="AD193" s="29">
        <f>X193+Y193+AB193+Z193+IF(AB193&lt;0,0,AC193)</f>
        <v/>
      </c>
      <c r="AE193" s="29">
        <f>AA193+W193</f>
        <v/>
      </c>
      <c r="AF193" s="29">
        <f>IF(OR(A193&gt;SV_T,A193&gt;=SV_loanYears),0,MAX(0,AF192*(1+loanRate)-SV_inst))</f>
        <v/>
      </c>
      <c r="AG193" s="29">
        <f>IF(A193&gt;SV_T,0,AG192*(1+SV_savRate)+H193+I193+J193+K193+L193+AE193)</f>
        <v/>
      </c>
      <c r="AH193" s="29">
        <f>IF(A193&gt;SV_T,0,MAX(0,O193+P193+Q193+AD193+AG193-AF193))</f>
        <v/>
      </c>
      <c r="AI193" s="29">
        <f>IF(A193&gt;SV_T,0,O193+P193+AG193-MAX(0,AF193-(Q193+AD193)))</f>
        <v/>
      </c>
      <c r="AJ193" s="29">
        <f>IF(OR(OR(A193&lt;1,A193&gt;SV_T),A193-1&gt;=SV_retPay),0,SV_retMth*12+IF(A193=1,SV_retLump,0))</f>
        <v/>
      </c>
      <c r="AK193" s="29">
        <f>IF(A193&gt;SV_T,0,(AK192+AJ193)*(1+investmentReturn))</f>
        <v/>
      </c>
      <c r="AL193" s="29">
        <f>IF(OR(A193&lt;1,A193&gt;SV_T),0,IF(A193-1&gt;=SV_EDUPay,0,SV_EDUMth*12+IF(A193=1,SV_EDULump,0))+IF(A193-1&gt;=SV_SAVPay,0,SV_SAVMth*12+IF(A193=1,SV_SAVLump,0))+IF(A193-1&gt;=SV_PRPPay,0,SV_PRPMth*12+IF(A193=1,SV_PRPLump,0)))</f>
        <v/>
      </c>
      <c r="AM193" s="29">
        <f>IF(A193&gt;SV_T,0,(AM192+AL193)*(1+investmentReturn))</f>
        <v/>
      </c>
      <c r="AN193" s="29">
        <f>IF(OR(OR(A193&lt;1,A193&gt;SV_T),A193-1&gt;=SV_protPay),0,SV_protPrem)</f>
        <v/>
      </c>
      <c r="AO193" s="29">
        <f>IF(OR(A193=0,A193&gt;=SV_T),0,ROUND(MAX(0,AK193),2)+ROUND(MAX(0,AM193),2))</f>
        <v/>
      </c>
      <c r="AP193" s="29">
        <f>IF(OR(A193&lt;1,A193&gt;SV_T),0,-(AJ193+AL193+AN193)+IF(A193=SV_T,ROUND(MAX(0,AK193),2)+ROUND(MAX(0,AM193),2),0))</f>
        <v/>
      </c>
      <c r="AQ193" s="29">
        <f>IF(A193&gt;SV_T,0,AQ192*(1+SV_savRate)+H193+I193+J193+K193+L193+AE193+AP193)</f>
        <v/>
      </c>
      <c r="AR193" s="29">
        <f>IF(A193&gt;SV_T,0,MAX(0,O193+P193+Q193+AD193+AQ193+AO193-AF193))</f>
        <v/>
      </c>
      <c r="AS193" s="29">
        <f>IF(A193&gt;SV_T,0,O193+P193+AQ193+AO193-MAX(0,AF193-(Q193+AD193)))</f>
        <v/>
      </c>
    </row>
    <row r="194">
      <c r="A194" s="61" t="n">
        <v>22</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IF(OR(OR(A194&lt;1,A194&gt;SV_T),A194-1&gt;=SV_salCut,AND(SV_deaOn,A194&gt;=SV_deaM)),0,SV_sal0*(1+incomeGrowthRate)^(A194-1)*G194)</f>
        <v/>
      </c>
      <c r="I194" s="29">
        <f>IF(OR(A194&lt;1,A194&gt;SV_T),0,(-SV_exp0*F194-IF(A194&lt;=SV_loanYears,SV_inst,0)-IF(AND(SV_wdEDUAmt&gt;0,A194=SV_wdEDUYear),SV_wdEDUAmt,0)-IF(AND(SV_wdSAVAmt&gt;0,A194=SV_wdSAVYear),SV_wdSAVAmt,0)-IF(AND(SV_wdPRPAmt&gt;0,A194=SV_wdPRPYear),SV_wdPRPAmt,0))*IF(AND(SV_expOn,A194&gt;=SV_expS,A194&lt;=SV_expE),1+SV_expImp,1))</f>
        <v/>
      </c>
      <c r="J194" s="29">
        <f>IF(OR(A194&lt;1,A194&gt;SV_T),0,-F194*(IF(AND(SV_deaOn,A194=SV_deaM),SV_deaAmt,0)+IF(AND(SV_criOn,A194=SV_criM),SV_criAmt,0)+IF(AND(SV_tpdOn,A194=SV_tpdM),SV_tpdAmt,0)+IF(AND(SV_pacOn,A194=SV_pacM),SV_pacAmt,0)+IF(AND(SV_hosOn,A194=SV_hosM),SV_hosAmt,0)+IF(AND(SV_wedOn,A194=SV_wedM),SV_wedAmt,0)+IF(AND(SV_babOn,A194=SV_babM),SV_babAmt,0)+IF(AND(SV_ltcOn,A194&gt;=SV_ltcM,A194&lt;=SV_ltcE),SV_ltcAmt,0)))</f>
        <v/>
      </c>
      <c r="K194" s="29">
        <f>IF(OR(OR(A194&lt;1,A194&gt;SV_T),A194&gt;SV_loanYears),0,-SV_lifePremYr)</f>
        <v/>
      </c>
      <c r="L194" s="29">
        <f>IF(OR(A194&lt;1,A194&gt;SV_T),0,-SV_contrib)</f>
        <v/>
      </c>
      <c r="M194" s="60">
        <f>IF(AND(SV_crashOn,A194=SV_crashYr),SV_crashF,1)</f>
        <v/>
      </c>
      <c r="N194" s="60">
        <f>IF(AND(SV_ccyOn,A194=SV_ccyYr),SV_ccyF,1)</f>
        <v/>
      </c>
      <c r="O194" s="29">
        <f>IF(A194&gt;SV_T,0,O193*(1+interestRate)*M194*N194)</f>
        <v/>
      </c>
      <c r="P194" s="29">
        <f>IF(A194&gt;SV_T,0,(P193+SV_contrib)*(1+investmentReturn)*M194*N194)</f>
        <v/>
      </c>
      <c r="Q194" s="29">
        <f>IF(A194&gt;SV_T,0,Q193*(1+SV_propRate)*M194)</f>
        <v/>
      </c>
      <c r="R194" s="46">
        <f>MATCH(SV_age+A194-1,SV_cpfLower,1)</f>
        <v/>
      </c>
      <c r="S194" s="29">
        <f>IF(OR(OR(A194&lt;1,A194&gt;SV_T),NOT(SV_cpfOn),AND(SV_deaOn,A194&gt;=SV_deaM)),0,MIN(SV_sal0*(1+incomeGrowthRate)^(A194-1)*G194,SV_owCap))</f>
        <v/>
      </c>
      <c r="T194" s="29">
        <f>IF(A194&gt;SV_T,0,T193*(1+SV_oaRate)+IF(A194&gt;=SV_effStop,0,INDEX(SV_cpfOA,R194)*INDEX(SV_cpfTot,R194)*S194))</f>
        <v/>
      </c>
      <c r="U194" s="29">
        <f>IF(A194&gt;SV_T,0,U193*(1+SV_saRate)+IF(A194&gt;=SV_effStop,0,INDEX(SV_cpfSA,R194)*INDEX(SV_cpfTot,R194)*S194))</f>
        <v/>
      </c>
      <c r="V194" s="29">
        <f>IF(A194&gt;SV_T,0,V193*(1+SV_saRate)+IF(A194&gt;=SV_effStop,0,INDEX(SV_cpfMA,R194)*INDEX(SV_cpfTot,R194)*S194))</f>
        <v/>
      </c>
      <c r="W194" s="29">
        <f>IF(OR(OR(A194&lt;1,A194&gt;SV_T),A194&gt;=SV_effNeg),0,-(INDEX(SV_cpfOA,R194)+INDEX(SV_cpfSA,R194)+INDEX(SV_cpfMA,R194))*INDEX(SV_cpfEmp,R194)*S194)</f>
        <v/>
      </c>
      <c r="X194" s="29">
        <f>IF(A194&gt;=SV_sIdx,0,T194)</f>
        <v/>
      </c>
      <c r="Y194" s="29">
        <f>IF(A194&gt;=SV_sIdx,0,U194)</f>
        <v/>
      </c>
      <c r="Z194" s="29">
        <f>IF(A194&gt;=SV_sIdx,MIN(V194,SV_maCap),V194)</f>
        <v/>
      </c>
      <c r="AA194" s="29">
        <f>IF(AND(SV_cpfOn,A194&gt;=SV_pIdx,A194&lt;=SV_T),12*SV_pay,0)</f>
        <v/>
      </c>
      <c r="AB194" s="29">
        <f>IF(A194&gt;SV_T,0,IF(SV_sp&gt;=0,IF(A194&lt;SV_sIdx,0,IF(A194=SV_sIdx,SV_R0,SV_lifeGrowth*AB193)),SV_lifeGrowth*AB193))</f>
        <v/>
      </c>
      <c r="AC194" s="29">
        <f>IF(A194&gt;SV_T,0,IF(AND(SV_sp&gt;=0,A194&lt;SV_sIdx),0,IF(AND(SV_sp&gt;=0,A194=SV_sIdx),SV_L0,SV_lifeGrowth*(AC193-AA194))))</f>
        <v/>
      </c>
      <c r="AD194" s="29">
        <f>X194+Y194+AB194+Z194+IF(AB194&lt;0,0,AC194)</f>
        <v/>
      </c>
      <c r="AE194" s="29">
        <f>AA194+W194</f>
        <v/>
      </c>
      <c r="AF194" s="29">
        <f>IF(OR(A194&gt;SV_T,A194&gt;=SV_loanYears),0,MAX(0,AF193*(1+loanRate)-SV_inst))</f>
        <v/>
      </c>
      <c r="AG194" s="29">
        <f>IF(A194&gt;SV_T,0,AG193*(1+SV_savRate)+H194+I194+J194+K194+L194+AE194)</f>
        <v/>
      </c>
      <c r="AH194" s="29">
        <f>IF(A194&gt;SV_T,0,MAX(0,O194+P194+Q194+AD194+AG194-AF194))</f>
        <v/>
      </c>
      <c r="AI194" s="29">
        <f>IF(A194&gt;SV_T,0,O194+P194+AG194-MAX(0,AF194-(Q194+AD194)))</f>
        <v/>
      </c>
      <c r="AJ194" s="29">
        <f>IF(OR(OR(A194&lt;1,A194&gt;SV_T),A194-1&gt;=SV_retPay),0,SV_retMth*12+IF(A194=1,SV_retLump,0))</f>
        <v/>
      </c>
      <c r="AK194" s="29">
        <f>IF(A194&gt;SV_T,0,(AK193+AJ194)*(1+investmentReturn))</f>
        <v/>
      </c>
      <c r="AL194" s="29">
        <f>IF(OR(A194&lt;1,A194&gt;SV_T),0,IF(A194-1&gt;=SV_EDUPay,0,SV_EDUMth*12+IF(A194=1,SV_EDULump,0))+IF(A194-1&gt;=SV_SAVPay,0,SV_SAVMth*12+IF(A194=1,SV_SAVLump,0))+IF(A194-1&gt;=SV_PRPPay,0,SV_PRPMth*12+IF(A194=1,SV_PRPLump,0)))</f>
        <v/>
      </c>
      <c r="AM194" s="29">
        <f>IF(A194&gt;SV_T,0,(AM193+AL194)*(1+investmentReturn))</f>
        <v/>
      </c>
      <c r="AN194" s="29">
        <f>IF(OR(OR(A194&lt;1,A194&gt;SV_T),A194-1&gt;=SV_protPay),0,SV_protPrem)</f>
        <v/>
      </c>
      <c r="AO194" s="29">
        <f>IF(OR(A194=0,A194&gt;=SV_T),0,ROUND(MAX(0,AK194),2)+ROUND(MAX(0,AM194),2))</f>
        <v/>
      </c>
      <c r="AP194" s="29">
        <f>IF(OR(A194&lt;1,A194&gt;SV_T),0,-(AJ194+AL194+AN194)+IF(A194=SV_T,ROUND(MAX(0,AK194),2)+ROUND(MAX(0,AM194),2),0))</f>
        <v/>
      </c>
      <c r="AQ194" s="29">
        <f>IF(A194&gt;SV_T,0,AQ193*(1+SV_savRate)+H194+I194+J194+K194+L194+AE194+AP194)</f>
        <v/>
      </c>
      <c r="AR194" s="29">
        <f>IF(A194&gt;SV_T,0,MAX(0,O194+P194+Q194+AD194+AQ194+AO194-AF194))</f>
        <v/>
      </c>
      <c r="AS194" s="29">
        <f>IF(A194&gt;SV_T,0,O194+P194+AQ194+AO194-MAX(0,AF194-(Q194+AD194)))</f>
        <v/>
      </c>
    </row>
    <row r="195">
      <c r="A195" s="61" t="n">
        <v>23</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IF(OR(OR(A195&lt;1,A195&gt;SV_T),A195-1&gt;=SV_salCut,AND(SV_deaOn,A195&gt;=SV_deaM)),0,SV_sal0*(1+incomeGrowthRate)^(A195-1)*G195)</f>
        <v/>
      </c>
      <c r="I195" s="29">
        <f>IF(OR(A195&lt;1,A195&gt;SV_T),0,(-SV_exp0*F195-IF(A195&lt;=SV_loanYears,SV_inst,0)-IF(AND(SV_wdEDUAmt&gt;0,A195=SV_wdEDUYear),SV_wdEDUAmt,0)-IF(AND(SV_wdSAVAmt&gt;0,A195=SV_wdSAVYear),SV_wdSAVAmt,0)-IF(AND(SV_wdPRPAmt&gt;0,A195=SV_wdPRPYear),SV_wdPRPAmt,0))*IF(AND(SV_expOn,A195&gt;=SV_expS,A195&lt;=SV_expE),1+SV_expImp,1))</f>
        <v/>
      </c>
      <c r="J195" s="29">
        <f>IF(OR(A195&lt;1,A195&gt;SV_T),0,-F195*(IF(AND(SV_deaOn,A195=SV_deaM),SV_deaAmt,0)+IF(AND(SV_criOn,A195=SV_criM),SV_criAmt,0)+IF(AND(SV_tpdOn,A195=SV_tpdM),SV_tpdAmt,0)+IF(AND(SV_pacOn,A195=SV_pacM),SV_pacAmt,0)+IF(AND(SV_hosOn,A195=SV_hosM),SV_hosAmt,0)+IF(AND(SV_wedOn,A195=SV_wedM),SV_wedAmt,0)+IF(AND(SV_babOn,A195=SV_babM),SV_babAmt,0)+IF(AND(SV_ltcOn,A195&gt;=SV_ltcM,A195&lt;=SV_ltcE),SV_ltcAmt,0)))</f>
        <v/>
      </c>
      <c r="K195" s="29">
        <f>IF(OR(OR(A195&lt;1,A195&gt;SV_T),A195&gt;SV_loanYears),0,-SV_lifePremYr)</f>
        <v/>
      </c>
      <c r="L195" s="29">
        <f>IF(OR(A195&lt;1,A195&gt;SV_T),0,-SV_contrib)</f>
        <v/>
      </c>
      <c r="M195" s="60">
        <f>IF(AND(SV_crashOn,A195=SV_crashYr),SV_crashF,1)</f>
        <v/>
      </c>
      <c r="N195" s="60">
        <f>IF(AND(SV_ccyOn,A195=SV_ccyYr),SV_ccyF,1)</f>
        <v/>
      </c>
      <c r="O195" s="29">
        <f>IF(A195&gt;SV_T,0,O194*(1+interestRate)*M195*N195)</f>
        <v/>
      </c>
      <c r="P195" s="29">
        <f>IF(A195&gt;SV_T,0,(P194+SV_contrib)*(1+investmentReturn)*M195*N195)</f>
        <v/>
      </c>
      <c r="Q195" s="29">
        <f>IF(A195&gt;SV_T,0,Q194*(1+SV_propRate)*M195)</f>
        <v/>
      </c>
      <c r="R195" s="46">
        <f>MATCH(SV_age+A195-1,SV_cpfLower,1)</f>
        <v/>
      </c>
      <c r="S195" s="29">
        <f>IF(OR(OR(A195&lt;1,A195&gt;SV_T),NOT(SV_cpfOn),AND(SV_deaOn,A195&gt;=SV_deaM)),0,MIN(SV_sal0*(1+incomeGrowthRate)^(A195-1)*G195,SV_owCap))</f>
        <v/>
      </c>
      <c r="T195" s="29">
        <f>IF(A195&gt;SV_T,0,T194*(1+SV_oaRate)+IF(A195&gt;=SV_effStop,0,INDEX(SV_cpfOA,R195)*INDEX(SV_cpfTot,R195)*S195))</f>
        <v/>
      </c>
      <c r="U195" s="29">
        <f>IF(A195&gt;SV_T,0,U194*(1+SV_saRate)+IF(A195&gt;=SV_effStop,0,INDEX(SV_cpfSA,R195)*INDEX(SV_cpfTot,R195)*S195))</f>
        <v/>
      </c>
      <c r="V195" s="29">
        <f>IF(A195&gt;SV_T,0,V194*(1+SV_saRate)+IF(A195&gt;=SV_effStop,0,INDEX(SV_cpfMA,R195)*INDEX(SV_cpfTot,R195)*S195))</f>
        <v/>
      </c>
      <c r="W195" s="29">
        <f>IF(OR(OR(A195&lt;1,A195&gt;SV_T),A195&gt;=SV_effNeg),0,-(INDEX(SV_cpfOA,R195)+INDEX(SV_cpfSA,R195)+INDEX(SV_cpfMA,R195))*INDEX(SV_cpfEmp,R195)*S195)</f>
        <v/>
      </c>
      <c r="X195" s="29">
        <f>IF(A195&gt;=SV_sIdx,0,T195)</f>
        <v/>
      </c>
      <c r="Y195" s="29">
        <f>IF(A195&gt;=SV_sIdx,0,U195)</f>
        <v/>
      </c>
      <c r="Z195" s="29">
        <f>IF(A195&gt;=SV_sIdx,MIN(V195,SV_maCap),V195)</f>
        <v/>
      </c>
      <c r="AA195" s="29">
        <f>IF(AND(SV_cpfOn,A195&gt;=SV_pIdx,A195&lt;=SV_T),12*SV_pay,0)</f>
        <v/>
      </c>
      <c r="AB195" s="29">
        <f>IF(A195&gt;SV_T,0,IF(SV_sp&gt;=0,IF(A195&lt;SV_sIdx,0,IF(A195=SV_sIdx,SV_R0,SV_lifeGrowth*AB194)),SV_lifeGrowth*AB194))</f>
        <v/>
      </c>
      <c r="AC195" s="29">
        <f>IF(A195&gt;SV_T,0,IF(AND(SV_sp&gt;=0,A195&lt;SV_sIdx),0,IF(AND(SV_sp&gt;=0,A195=SV_sIdx),SV_L0,SV_lifeGrowth*(AC194-AA195))))</f>
        <v/>
      </c>
      <c r="AD195" s="29">
        <f>X195+Y195+AB195+Z195+IF(AB195&lt;0,0,AC195)</f>
        <v/>
      </c>
      <c r="AE195" s="29">
        <f>AA195+W195</f>
        <v/>
      </c>
      <c r="AF195" s="29">
        <f>IF(OR(A195&gt;SV_T,A195&gt;=SV_loanYears),0,MAX(0,AF194*(1+loanRate)-SV_inst))</f>
        <v/>
      </c>
      <c r="AG195" s="29">
        <f>IF(A195&gt;SV_T,0,AG194*(1+SV_savRate)+H195+I195+J195+K195+L195+AE195)</f>
        <v/>
      </c>
      <c r="AH195" s="29">
        <f>IF(A195&gt;SV_T,0,MAX(0,O195+P195+Q195+AD195+AG195-AF195))</f>
        <v/>
      </c>
      <c r="AI195" s="29">
        <f>IF(A195&gt;SV_T,0,O195+P195+AG195-MAX(0,AF195-(Q195+AD195)))</f>
        <v/>
      </c>
      <c r="AJ195" s="29">
        <f>IF(OR(OR(A195&lt;1,A195&gt;SV_T),A195-1&gt;=SV_retPay),0,SV_retMth*12+IF(A195=1,SV_retLump,0))</f>
        <v/>
      </c>
      <c r="AK195" s="29">
        <f>IF(A195&gt;SV_T,0,(AK194+AJ195)*(1+investmentReturn))</f>
        <v/>
      </c>
      <c r="AL195" s="29">
        <f>IF(OR(A195&lt;1,A195&gt;SV_T),0,IF(A195-1&gt;=SV_EDUPay,0,SV_EDUMth*12+IF(A195=1,SV_EDULump,0))+IF(A195-1&gt;=SV_SAVPay,0,SV_SAVMth*12+IF(A195=1,SV_SAVLump,0))+IF(A195-1&gt;=SV_PRPPay,0,SV_PRPMth*12+IF(A195=1,SV_PRPLump,0)))</f>
        <v/>
      </c>
      <c r="AM195" s="29">
        <f>IF(A195&gt;SV_T,0,(AM194+AL195)*(1+investmentReturn))</f>
        <v/>
      </c>
      <c r="AN195" s="29">
        <f>IF(OR(OR(A195&lt;1,A195&gt;SV_T),A195-1&gt;=SV_protPay),0,SV_protPrem)</f>
        <v/>
      </c>
      <c r="AO195" s="29">
        <f>IF(OR(A195=0,A195&gt;=SV_T),0,ROUND(MAX(0,AK195),2)+ROUND(MAX(0,AM195),2))</f>
        <v/>
      </c>
      <c r="AP195" s="29">
        <f>IF(OR(A195&lt;1,A195&gt;SV_T),0,-(AJ195+AL195+AN195)+IF(A195=SV_T,ROUND(MAX(0,AK195),2)+ROUND(MAX(0,AM195),2),0))</f>
        <v/>
      </c>
      <c r="AQ195" s="29">
        <f>IF(A195&gt;SV_T,0,AQ194*(1+SV_savRate)+H195+I195+J195+K195+L195+AE195+AP195)</f>
        <v/>
      </c>
      <c r="AR195" s="29">
        <f>IF(A195&gt;SV_T,0,MAX(0,O195+P195+Q195+AD195+AQ195+AO195-AF195))</f>
        <v/>
      </c>
      <c r="AS195" s="29">
        <f>IF(A195&gt;SV_T,0,O195+P195+AQ195+AO195-MAX(0,AF195-(Q195+AD195)))</f>
        <v/>
      </c>
    </row>
    <row r="196">
      <c r="A196" s="61" t="n">
        <v>24</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IF(OR(OR(A196&lt;1,A196&gt;SV_T),A196-1&gt;=SV_salCut,AND(SV_deaOn,A196&gt;=SV_deaM)),0,SV_sal0*(1+incomeGrowthRate)^(A196-1)*G196)</f>
        <v/>
      </c>
      <c r="I196" s="29">
        <f>IF(OR(A196&lt;1,A196&gt;SV_T),0,(-SV_exp0*F196-IF(A196&lt;=SV_loanYears,SV_inst,0)-IF(AND(SV_wdEDUAmt&gt;0,A196=SV_wdEDUYear),SV_wdEDUAmt,0)-IF(AND(SV_wdSAVAmt&gt;0,A196=SV_wdSAVYear),SV_wdSAVAmt,0)-IF(AND(SV_wdPRPAmt&gt;0,A196=SV_wdPRPYear),SV_wdPRPAmt,0))*IF(AND(SV_expOn,A196&gt;=SV_expS,A196&lt;=SV_expE),1+SV_expImp,1))</f>
        <v/>
      </c>
      <c r="J196" s="29">
        <f>IF(OR(A196&lt;1,A196&gt;SV_T),0,-F196*(IF(AND(SV_deaOn,A196=SV_deaM),SV_deaAmt,0)+IF(AND(SV_criOn,A196=SV_criM),SV_criAmt,0)+IF(AND(SV_tpdOn,A196=SV_tpdM),SV_tpdAmt,0)+IF(AND(SV_pacOn,A196=SV_pacM),SV_pacAmt,0)+IF(AND(SV_hosOn,A196=SV_hosM),SV_hosAmt,0)+IF(AND(SV_wedOn,A196=SV_wedM),SV_wedAmt,0)+IF(AND(SV_babOn,A196=SV_babM),SV_babAmt,0)+IF(AND(SV_ltcOn,A196&gt;=SV_ltcM,A196&lt;=SV_ltcE),SV_ltcAmt,0)))</f>
        <v/>
      </c>
      <c r="K196" s="29">
        <f>IF(OR(OR(A196&lt;1,A196&gt;SV_T),A196&gt;SV_loanYears),0,-SV_lifePremYr)</f>
        <v/>
      </c>
      <c r="L196" s="29">
        <f>IF(OR(A196&lt;1,A196&gt;SV_T),0,-SV_contrib)</f>
        <v/>
      </c>
      <c r="M196" s="60">
        <f>IF(AND(SV_crashOn,A196=SV_crashYr),SV_crashF,1)</f>
        <v/>
      </c>
      <c r="N196" s="60">
        <f>IF(AND(SV_ccyOn,A196=SV_ccyYr),SV_ccyF,1)</f>
        <v/>
      </c>
      <c r="O196" s="29">
        <f>IF(A196&gt;SV_T,0,O195*(1+interestRate)*M196*N196)</f>
        <v/>
      </c>
      <c r="P196" s="29">
        <f>IF(A196&gt;SV_T,0,(P195+SV_contrib)*(1+investmentReturn)*M196*N196)</f>
        <v/>
      </c>
      <c r="Q196" s="29">
        <f>IF(A196&gt;SV_T,0,Q195*(1+SV_propRate)*M196)</f>
        <v/>
      </c>
      <c r="R196" s="46">
        <f>MATCH(SV_age+A196-1,SV_cpfLower,1)</f>
        <v/>
      </c>
      <c r="S196" s="29">
        <f>IF(OR(OR(A196&lt;1,A196&gt;SV_T),NOT(SV_cpfOn),AND(SV_deaOn,A196&gt;=SV_deaM)),0,MIN(SV_sal0*(1+incomeGrowthRate)^(A196-1)*G196,SV_owCap))</f>
        <v/>
      </c>
      <c r="T196" s="29">
        <f>IF(A196&gt;SV_T,0,T195*(1+SV_oaRate)+IF(A196&gt;=SV_effStop,0,INDEX(SV_cpfOA,R196)*INDEX(SV_cpfTot,R196)*S196))</f>
        <v/>
      </c>
      <c r="U196" s="29">
        <f>IF(A196&gt;SV_T,0,U195*(1+SV_saRate)+IF(A196&gt;=SV_effStop,0,INDEX(SV_cpfSA,R196)*INDEX(SV_cpfTot,R196)*S196))</f>
        <v/>
      </c>
      <c r="V196" s="29">
        <f>IF(A196&gt;SV_T,0,V195*(1+SV_saRate)+IF(A196&gt;=SV_effStop,0,INDEX(SV_cpfMA,R196)*INDEX(SV_cpfTot,R196)*S196))</f>
        <v/>
      </c>
      <c r="W196" s="29">
        <f>IF(OR(OR(A196&lt;1,A196&gt;SV_T),A196&gt;=SV_effNeg),0,-(INDEX(SV_cpfOA,R196)+INDEX(SV_cpfSA,R196)+INDEX(SV_cpfMA,R196))*INDEX(SV_cpfEmp,R196)*S196)</f>
        <v/>
      </c>
      <c r="X196" s="29">
        <f>IF(A196&gt;=SV_sIdx,0,T196)</f>
        <v/>
      </c>
      <c r="Y196" s="29">
        <f>IF(A196&gt;=SV_sIdx,0,U196)</f>
        <v/>
      </c>
      <c r="Z196" s="29">
        <f>IF(A196&gt;=SV_sIdx,MIN(V196,SV_maCap),V196)</f>
        <v/>
      </c>
      <c r="AA196" s="29">
        <f>IF(AND(SV_cpfOn,A196&gt;=SV_pIdx,A196&lt;=SV_T),12*SV_pay,0)</f>
        <v/>
      </c>
      <c r="AB196" s="29">
        <f>IF(A196&gt;SV_T,0,IF(SV_sp&gt;=0,IF(A196&lt;SV_sIdx,0,IF(A196=SV_sIdx,SV_R0,SV_lifeGrowth*AB195)),SV_lifeGrowth*AB195))</f>
        <v/>
      </c>
      <c r="AC196" s="29">
        <f>IF(A196&gt;SV_T,0,IF(AND(SV_sp&gt;=0,A196&lt;SV_sIdx),0,IF(AND(SV_sp&gt;=0,A196=SV_sIdx),SV_L0,SV_lifeGrowth*(AC195-AA196))))</f>
        <v/>
      </c>
      <c r="AD196" s="29">
        <f>X196+Y196+AB196+Z196+IF(AB196&lt;0,0,AC196)</f>
        <v/>
      </c>
      <c r="AE196" s="29">
        <f>AA196+W196</f>
        <v/>
      </c>
      <c r="AF196" s="29">
        <f>IF(OR(A196&gt;SV_T,A196&gt;=SV_loanYears),0,MAX(0,AF195*(1+loanRate)-SV_inst))</f>
        <v/>
      </c>
      <c r="AG196" s="29">
        <f>IF(A196&gt;SV_T,0,AG195*(1+SV_savRate)+H196+I196+J196+K196+L196+AE196)</f>
        <v/>
      </c>
      <c r="AH196" s="29">
        <f>IF(A196&gt;SV_T,0,MAX(0,O196+P196+Q196+AD196+AG196-AF196))</f>
        <v/>
      </c>
      <c r="AI196" s="29">
        <f>IF(A196&gt;SV_T,0,O196+P196+AG196-MAX(0,AF196-(Q196+AD196)))</f>
        <v/>
      </c>
      <c r="AJ196" s="29">
        <f>IF(OR(OR(A196&lt;1,A196&gt;SV_T),A196-1&gt;=SV_retPay),0,SV_retMth*12+IF(A196=1,SV_retLump,0))</f>
        <v/>
      </c>
      <c r="AK196" s="29">
        <f>IF(A196&gt;SV_T,0,(AK195+AJ196)*(1+investmentReturn))</f>
        <v/>
      </c>
      <c r="AL196" s="29">
        <f>IF(OR(A196&lt;1,A196&gt;SV_T),0,IF(A196-1&gt;=SV_EDUPay,0,SV_EDUMth*12+IF(A196=1,SV_EDULump,0))+IF(A196-1&gt;=SV_SAVPay,0,SV_SAVMth*12+IF(A196=1,SV_SAVLump,0))+IF(A196-1&gt;=SV_PRPPay,0,SV_PRPMth*12+IF(A196=1,SV_PRPLump,0)))</f>
        <v/>
      </c>
      <c r="AM196" s="29">
        <f>IF(A196&gt;SV_T,0,(AM195+AL196)*(1+investmentReturn))</f>
        <v/>
      </c>
      <c r="AN196" s="29">
        <f>IF(OR(OR(A196&lt;1,A196&gt;SV_T),A196-1&gt;=SV_protPay),0,SV_protPrem)</f>
        <v/>
      </c>
      <c r="AO196" s="29">
        <f>IF(OR(A196=0,A196&gt;=SV_T),0,ROUND(MAX(0,AK196),2)+ROUND(MAX(0,AM196),2))</f>
        <v/>
      </c>
      <c r="AP196" s="29">
        <f>IF(OR(A196&lt;1,A196&gt;SV_T),0,-(AJ196+AL196+AN196)+IF(A196=SV_T,ROUND(MAX(0,AK196),2)+ROUND(MAX(0,AM196),2),0))</f>
        <v/>
      </c>
      <c r="AQ196" s="29">
        <f>IF(A196&gt;SV_T,0,AQ195*(1+SV_savRate)+H196+I196+J196+K196+L196+AE196+AP196)</f>
        <v/>
      </c>
      <c r="AR196" s="29">
        <f>IF(A196&gt;SV_T,0,MAX(0,O196+P196+Q196+AD196+AQ196+AO196-AF196))</f>
        <v/>
      </c>
      <c r="AS196" s="29">
        <f>IF(A196&gt;SV_T,0,O196+P196+AQ196+AO196-MAX(0,AF196-(Q196+AD196)))</f>
        <v/>
      </c>
    </row>
    <row r="197">
      <c r="A197" s="61" t="n">
        <v>25</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IF(OR(OR(A197&lt;1,A197&gt;SV_T),A197-1&gt;=SV_salCut,AND(SV_deaOn,A197&gt;=SV_deaM)),0,SV_sal0*(1+incomeGrowthRate)^(A197-1)*G197)</f>
        <v/>
      </c>
      <c r="I197" s="29">
        <f>IF(OR(A197&lt;1,A197&gt;SV_T),0,(-SV_exp0*F197-IF(A197&lt;=SV_loanYears,SV_inst,0)-IF(AND(SV_wdEDUAmt&gt;0,A197=SV_wdEDUYear),SV_wdEDUAmt,0)-IF(AND(SV_wdSAVAmt&gt;0,A197=SV_wdSAVYear),SV_wdSAVAmt,0)-IF(AND(SV_wdPRPAmt&gt;0,A197=SV_wdPRPYear),SV_wdPRPAmt,0))*IF(AND(SV_expOn,A197&gt;=SV_expS,A197&lt;=SV_expE),1+SV_expImp,1))</f>
        <v/>
      </c>
      <c r="J197" s="29">
        <f>IF(OR(A197&lt;1,A197&gt;SV_T),0,-F197*(IF(AND(SV_deaOn,A197=SV_deaM),SV_deaAmt,0)+IF(AND(SV_criOn,A197=SV_criM),SV_criAmt,0)+IF(AND(SV_tpdOn,A197=SV_tpdM),SV_tpdAmt,0)+IF(AND(SV_pacOn,A197=SV_pacM),SV_pacAmt,0)+IF(AND(SV_hosOn,A197=SV_hosM),SV_hosAmt,0)+IF(AND(SV_wedOn,A197=SV_wedM),SV_wedAmt,0)+IF(AND(SV_babOn,A197=SV_babM),SV_babAmt,0)+IF(AND(SV_ltcOn,A197&gt;=SV_ltcM,A197&lt;=SV_ltcE),SV_ltcAmt,0)))</f>
        <v/>
      </c>
      <c r="K197" s="29">
        <f>IF(OR(OR(A197&lt;1,A197&gt;SV_T),A197&gt;SV_loanYears),0,-SV_lifePremYr)</f>
        <v/>
      </c>
      <c r="L197" s="29">
        <f>IF(OR(A197&lt;1,A197&gt;SV_T),0,-SV_contrib)</f>
        <v/>
      </c>
      <c r="M197" s="60">
        <f>IF(AND(SV_crashOn,A197=SV_crashYr),SV_crashF,1)</f>
        <v/>
      </c>
      <c r="N197" s="60">
        <f>IF(AND(SV_ccyOn,A197=SV_ccyYr),SV_ccyF,1)</f>
        <v/>
      </c>
      <c r="O197" s="29">
        <f>IF(A197&gt;SV_T,0,O196*(1+interestRate)*M197*N197)</f>
        <v/>
      </c>
      <c r="P197" s="29">
        <f>IF(A197&gt;SV_T,0,(P196+SV_contrib)*(1+investmentReturn)*M197*N197)</f>
        <v/>
      </c>
      <c r="Q197" s="29">
        <f>IF(A197&gt;SV_T,0,Q196*(1+SV_propRate)*M197)</f>
        <v/>
      </c>
      <c r="R197" s="46">
        <f>MATCH(SV_age+A197-1,SV_cpfLower,1)</f>
        <v/>
      </c>
      <c r="S197" s="29">
        <f>IF(OR(OR(A197&lt;1,A197&gt;SV_T),NOT(SV_cpfOn),AND(SV_deaOn,A197&gt;=SV_deaM)),0,MIN(SV_sal0*(1+incomeGrowthRate)^(A197-1)*G197,SV_owCap))</f>
        <v/>
      </c>
      <c r="T197" s="29">
        <f>IF(A197&gt;SV_T,0,T196*(1+SV_oaRate)+IF(A197&gt;=SV_effStop,0,INDEX(SV_cpfOA,R197)*INDEX(SV_cpfTot,R197)*S197))</f>
        <v/>
      </c>
      <c r="U197" s="29">
        <f>IF(A197&gt;SV_T,0,U196*(1+SV_saRate)+IF(A197&gt;=SV_effStop,0,INDEX(SV_cpfSA,R197)*INDEX(SV_cpfTot,R197)*S197))</f>
        <v/>
      </c>
      <c r="V197" s="29">
        <f>IF(A197&gt;SV_T,0,V196*(1+SV_saRate)+IF(A197&gt;=SV_effStop,0,INDEX(SV_cpfMA,R197)*INDEX(SV_cpfTot,R197)*S197))</f>
        <v/>
      </c>
      <c r="W197" s="29">
        <f>IF(OR(OR(A197&lt;1,A197&gt;SV_T),A197&gt;=SV_effNeg),0,-(INDEX(SV_cpfOA,R197)+INDEX(SV_cpfSA,R197)+INDEX(SV_cpfMA,R197))*INDEX(SV_cpfEmp,R197)*S197)</f>
        <v/>
      </c>
      <c r="X197" s="29">
        <f>IF(A197&gt;=SV_sIdx,0,T197)</f>
        <v/>
      </c>
      <c r="Y197" s="29">
        <f>IF(A197&gt;=SV_sIdx,0,U197)</f>
        <v/>
      </c>
      <c r="Z197" s="29">
        <f>IF(A197&gt;=SV_sIdx,MIN(V197,SV_maCap),V197)</f>
        <v/>
      </c>
      <c r="AA197" s="29">
        <f>IF(AND(SV_cpfOn,A197&gt;=SV_pIdx,A197&lt;=SV_T),12*SV_pay,0)</f>
        <v/>
      </c>
      <c r="AB197" s="29">
        <f>IF(A197&gt;SV_T,0,IF(SV_sp&gt;=0,IF(A197&lt;SV_sIdx,0,IF(A197=SV_sIdx,SV_R0,SV_lifeGrowth*AB196)),SV_lifeGrowth*AB196))</f>
        <v/>
      </c>
      <c r="AC197" s="29">
        <f>IF(A197&gt;SV_T,0,IF(AND(SV_sp&gt;=0,A197&lt;SV_sIdx),0,IF(AND(SV_sp&gt;=0,A197=SV_sIdx),SV_L0,SV_lifeGrowth*(AC196-AA197))))</f>
        <v/>
      </c>
      <c r="AD197" s="29">
        <f>X197+Y197+AB197+Z197+IF(AB197&lt;0,0,AC197)</f>
        <v/>
      </c>
      <c r="AE197" s="29">
        <f>AA197+W197</f>
        <v/>
      </c>
      <c r="AF197" s="29">
        <f>IF(OR(A197&gt;SV_T,A197&gt;=SV_loanYears),0,MAX(0,AF196*(1+loanRate)-SV_inst))</f>
        <v/>
      </c>
      <c r="AG197" s="29">
        <f>IF(A197&gt;SV_T,0,AG196*(1+SV_savRate)+H197+I197+J197+K197+L197+AE197)</f>
        <v/>
      </c>
      <c r="AH197" s="29">
        <f>IF(A197&gt;SV_T,0,MAX(0,O197+P197+Q197+AD197+AG197-AF197))</f>
        <v/>
      </c>
      <c r="AI197" s="29">
        <f>IF(A197&gt;SV_T,0,O197+P197+AG197-MAX(0,AF197-(Q197+AD197)))</f>
        <v/>
      </c>
      <c r="AJ197" s="29">
        <f>IF(OR(OR(A197&lt;1,A197&gt;SV_T),A197-1&gt;=SV_retPay),0,SV_retMth*12+IF(A197=1,SV_retLump,0))</f>
        <v/>
      </c>
      <c r="AK197" s="29">
        <f>IF(A197&gt;SV_T,0,(AK196+AJ197)*(1+investmentReturn))</f>
        <v/>
      </c>
      <c r="AL197" s="29">
        <f>IF(OR(A197&lt;1,A197&gt;SV_T),0,IF(A197-1&gt;=SV_EDUPay,0,SV_EDUMth*12+IF(A197=1,SV_EDULump,0))+IF(A197-1&gt;=SV_SAVPay,0,SV_SAVMth*12+IF(A197=1,SV_SAVLump,0))+IF(A197-1&gt;=SV_PRPPay,0,SV_PRPMth*12+IF(A197=1,SV_PRPLump,0)))</f>
        <v/>
      </c>
      <c r="AM197" s="29">
        <f>IF(A197&gt;SV_T,0,(AM196+AL197)*(1+investmentReturn))</f>
        <v/>
      </c>
      <c r="AN197" s="29">
        <f>IF(OR(OR(A197&lt;1,A197&gt;SV_T),A197-1&gt;=SV_protPay),0,SV_protPrem)</f>
        <v/>
      </c>
      <c r="AO197" s="29">
        <f>IF(OR(A197=0,A197&gt;=SV_T),0,ROUND(MAX(0,AK197),2)+ROUND(MAX(0,AM197),2))</f>
        <v/>
      </c>
      <c r="AP197" s="29">
        <f>IF(OR(A197&lt;1,A197&gt;SV_T),0,-(AJ197+AL197+AN197)+IF(A197=SV_T,ROUND(MAX(0,AK197),2)+ROUND(MAX(0,AM197),2),0))</f>
        <v/>
      </c>
      <c r="AQ197" s="29">
        <f>IF(A197&gt;SV_T,0,AQ196*(1+SV_savRate)+H197+I197+J197+K197+L197+AE197+AP197)</f>
        <v/>
      </c>
      <c r="AR197" s="29">
        <f>IF(A197&gt;SV_T,0,MAX(0,O197+P197+Q197+AD197+AQ197+AO197-AF197))</f>
        <v/>
      </c>
      <c r="AS197" s="29">
        <f>IF(A197&gt;SV_T,0,O197+P197+AQ197+AO197-MAX(0,AF197-(Q197+AD197)))</f>
        <v/>
      </c>
    </row>
    <row r="198">
      <c r="A198" s="61" t="n">
        <v>26</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IF(OR(OR(A198&lt;1,A198&gt;SV_T),A198-1&gt;=SV_salCut,AND(SV_deaOn,A198&gt;=SV_deaM)),0,SV_sal0*(1+incomeGrowthRate)^(A198-1)*G198)</f>
        <v/>
      </c>
      <c r="I198" s="29">
        <f>IF(OR(A198&lt;1,A198&gt;SV_T),0,(-SV_exp0*F198-IF(A198&lt;=SV_loanYears,SV_inst,0)-IF(AND(SV_wdEDUAmt&gt;0,A198=SV_wdEDUYear),SV_wdEDUAmt,0)-IF(AND(SV_wdSAVAmt&gt;0,A198=SV_wdSAVYear),SV_wdSAVAmt,0)-IF(AND(SV_wdPRPAmt&gt;0,A198=SV_wdPRPYear),SV_wdPRPAmt,0))*IF(AND(SV_expOn,A198&gt;=SV_expS,A198&lt;=SV_expE),1+SV_expImp,1))</f>
        <v/>
      </c>
      <c r="J198" s="29">
        <f>IF(OR(A198&lt;1,A198&gt;SV_T),0,-F198*(IF(AND(SV_deaOn,A198=SV_deaM),SV_deaAmt,0)+IF(AND(SV_criOn,A198=SV_criM),SV_criAmt,0)+IF(AND(SV_tpdOn,A198=SV_tpdM),SV_tpdAmt,0)+IF(AND(SV_pacOn,A198=SV_pacM),SV_pacAmt,0)+IF(AND(SV_hosOn,A198=SV_hosM),SV_hosAmt,0)+IF(AND(SV_wedOn,A198=SV_wedM),SV_wedAmt,0)+IF(AND(SV_babOn,A198=SV_babM),SV_babAmt,0)+IF(AND(SV_ltcOn,A198&gt;=SV_ltcM,A198&lt;=SV_ltcE),SV_ltcAmt,0)))</f>
        <v/>
      </c>
      <c r="K198" s="29">
        <f>IF(OR(OR(A198&lt;1,A198&gt;SV_T),A198&gt;SV_loanYears),0,-SV_lifePremYr)</f>
        <v/>
      </c>
      <c r="L198" s="29">
        <f>IF(OR(A198&lt;1,A198&gt;SV_T),0,-SV_contrib)</f>
        <v/>
      </c>
      <c r="M198" s="60">
        <f>IF(AND(SV_crashOn,A198=SV_crashYr),SV_crashF,1)</f>
        <v/>
      </c>
      <c r="N198" s="60">
        <f>IF(AND(SV_ccyOn,A198=SV_ccyYr),SV_ccyF,1)</f>
        <v/>
      </c>
      <c r="O198" s="29">
        <f>IF(A198&gt;SV_T,0,O197*(1+interestRate)*M198*N198)</f>
        <v/>
      </c>
      <c r="P198" s="29">
        <f>IF(A198&gt;SV_T,0,(P197+SV_contrib)*(1+investmentReturn)*M198*N198)</f>
        <v/>
      </c>
      <c r="Q198" s="29">
        <f>IF(A198&gt;SV_T,0,Q197*(1+SV_propRate)*M198)</f>
        <v/>
      </c>
      <c r="R198" s="46">
        <f>MATCH(SV_age+A198-1,SV_cpfLower,1)</f>
        <v/>
      </c>
      <c r="S198" s="29">
        <f>IF(OR(OR(A198&lt;1,A198&gt;SV_T),NOT(SV_cpfOn),AND(SV_deaOn,A198&gt;=SV_deaM)),0,MIN(SV_sal0*(1+incomeGrowthRate)^(A198-1)*G198,SV_owCap))</f>
        <v/>
      </c>
      <c r="T198" s="29">
        <f>IF(A198&gt;SV_T,0,T197*(1+SV_oaRate)+IF(A198&gt;=SV_effStop,0,INDEX(SV_cpfOA,R198)*INDEX(SV_cpfTot,R198)*S198))</f>
        <v/>
      </c>
      <c r="U198" s="29">
        <f>IF(A198&gt;SV_T,0,U197*(1+SV_saRate)+IF(A198&gt;=SV_effStop,0,INDEX(SV_cpfSA,R198)*INDEX(SV_cpfTot,R198)*S198))</f>
        <v/>
      </c>
      <c r="V198" s="29">
        <f>IF(A198&gt;SV_T,0,V197*(1+SV_saRate)+IF(A198&gt;=SV_effStop,0,INDEX(SV_cpfMA,R198)*INDEX(SV_cpfTot,R198)*S198))</f>
        <v/>
      </c>
      <c r="W198" s="29">
        <f>IF(OR(OR(A198&lt;1,A198&gt;SV_T),A198&gt;=SV_effNeg),0,-(INDEX(SV_cpfOA,R198)+INDEX(SV_cpfSA,R198)+INDEX(SV_cpfMA,R198))*INDEX(SV_cpfEmp,R198)*S198)</f>
        <v/>
      </c>
      <c r="X198" s="29">
        <f>IF(A198&gt;=SV_sIdx,0,T198)</f>
        <v/>
      </c>
      <c r="Y198" s="29">
        <f>IF(A198&gt;=SV_sIdx,0,U198)</f>
        <v/>
      </c>
      <c r="Z198" s="29">
        <f>IF(A198&gt;=SV_sIdx,MIN(V198,SV_maCap),V198)</f>
        <v/>
      </c>
      <c r="AA198" s="29">
        <f>IF(AND(SV_cpfOn,A198&gt;=SV_pIdx,A198&lt;=SV_T),12*SV_pay,0)</f>
        <v/>
      </c>
      <c r="AB198" s="29">
        <f>IF(A198&gt;SV_T,0,IF(SV_sp&gt;=0,IF(A198&lt;SV_sIdx,0,IF(A198=SV_sIdx,SV_R0,SV_lifeGrowth*AB197)),SV_lifeGrowth*AB197))</f>
        <v/>
      </c>
      <c r="AC198" s="29">
        <f>IF(A198&gt;SV_T,0,IF(AND(SV_sp&gt;=0,A198&lt;SV_sIdx),0,IF(AND(SV_sp&gt;=0,A198=SV_sIdx),SV_L0,SV_lifeGrowth*(AC197-AA198))))</f>
        <v/>
      </c>
      <c r="AD198" s="29">
        <f>X198+Y198+AB198+Z198+IF(AB198&lt;0,0,AC198)</f>
        <v/>
      </c>
      <c r="AE198" s="29">
        <f>AA198+W198</f>
        <v/>
      </c>
      <c r="AF198" s="29">
        <f>IF(OR(A198&gt;SV_T,A198&gt;=SV_loanYears),0,MAX(0,AF197*(1+loanRate)-SV_inst))</f>
        <v/>
      </c>
      <c r="AG198" s="29">
        <f>IF(A198&gt;SV_T,0,AG197*(1+SV_savRate)+H198+I198+J198+K198+L198+AE198)</f>
        <v/>
      </c>
      <c r="AH198" s="29">
        <f>IF(A198&gt;SV_T,0,MAX(0,O198+P198+Q198+AD198+AG198-AF198))</f>
        <v/>
      </c>
      <c r="AI198" s="29">
        <f>IF(A198&gt;SV_T,0,O198+P198+AG198-MAX(0,AF198-(Q198+AD198)))</f>
        <v/>
      </c>
      <c r="AJ198" s="29">
        <f>IF(OR(OR(A198&lt;1,A198&gt;SV_T),A198-1&gt;=SV_retPay),0,SV_retMth*12+IF(A198=1,SV_retLump,0))</f>
        <v/>
      </c>
      <c r="AK198" s="29">
        <f>IF(A198&gt;SV_T,0,(AK197+AJ198)*(1+investmentReturn))</f>
        <v/>
      </c>
      <c r="AL198" s="29">
        <f>IF(OR(A198&lt;1,A198&gt;SV_T),0,IF(A198-1&gt;=SV_EDUPay,0,SV_EDUMth*12+IF(A198=1,SV_EDULump,0))+IF(A198-1&gt;=SV_SAVPay,0,SV_SAVMth*12+IF(A198=1,SV_SAVLump,0))+IF(A198-1&gt;=SV_PRPPay,0,SV_PRPMth*12+IF(A198=1,SV_PRPLump,0)))</f>
        <v/>
      </c>
      <c r="AM198" s="29">
        <f>IF(A198&gt;SV_T,0,(AM197+AL198)*(1+investmentReturn))</f>
        <v/>
      </c>
      <c r="AN198" s="29">
        <f>IF(OR(OR(A198&lt;1,A198&gt;SV_T),A198-1&gt;=SV_protPay),0,SV_protPrem)</f>
        <v/>
      </c>
      <c r="AO198" s="29">
        <f>IF(OR(A198=0,A198&gt;=SV_T),0,ROUND(MAX(0,AK198),2)+ROUND(MAX(0,AM198),2))</f>
        <v/>
      </c>
      <c r="AP198" s="29">
        <f>IF(OR(A198&lt;1,A198&gt;SV_T),0,-(AJ198+AL198+AN198)+IF(A198=SV_T,ROUND(MAX(0,AK198),2)+ROUND(MAX(0,AM198),2),0))</f>
        <v/>
      </c>
      <c r="AQ198" s="29">
        <f>IF(A198&gt;SV_T,0,AQ197*(1+SV_savRate)+H198+I198+J198+K198+L198+AE198+AP198)</f>
        <v/>
      </c>
      <c r="AR198" s="29">
        <f>IF(A198&gt;SV_T,0,MAX(0,O198+P198+Q198+AD198+AQ198+AO198-AF198))</f>
        <v/>
      </c>
      <c r="AS198" s="29">
        <f>IF(A198&gt;SV_T,0,O198+P198+AQ198+AO198-MAX(0,AF198-(Q198+AD198)))</f>
        <v/>
      </c>
    </row>
    <row r="199">
      <c r="A199" s="61" t="n">
        <v>27</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IF(OR(OR(A199&lt;1,A199&gt;SV_T),A199-1&gt;=SV_salCut,AND(SV_deaOn,A199&gt;=SV_deaM)),0,SV_sal0*(1+incomeGrowthRate)^(A199-1)*G199)</f>
        <v/>
      </c>
      <c r="I199" s="29">
        <f>IF(OR(A199&lt;1,A199&gt;SV_T),0,(-SV_exp0*F199-IF(A199&lt;=SV_loanYears,SV_inst,0)-IF(AND(SV_wdEDUAmt&gt;0,A199=SV_wdEDUYear),SV_wdEDUAmt,0)-IF(AND(SV_wdSAVAmt&gt;0,A199=SV_wdSAVYear),SV_wdSAVAmt,0)-IF(AND(SV_wdPRPAmt&gt;0,A199=SV_wdPRPYear),SV_wdPRPAmt,0))*IF(AND(SV_expOn,A199&gt;=SV_expS,A199&lt;=SV_expE),1+SV_expImp,1))</f>
        <v/>
      </c>
      <c r="J199" s="29">
        <f>IF(OR(A199&lt;1,A199&gt;SV_T),0,-F199*(IF(AND(SV_deaOn,A199=SV_deaM),SV_deaAmt,0)+IF(AND(SV_criOn,A199=SV_criM),SV_criAmt,0)+IF(AND(SV_tpdOn,A199=SV_tpdM),SV_tpdAmt,0)+IF(AND(SV_pacOn,A199=SV_pacM),SV_pacAmt,0)+IF(AND(SV_hosOn,A199=SV_hosM),SV_hosAmt,0)+IF(AND(SV_wedOn,A199=SV_wedM),SV_wedAmt,0)+IF(AND(SV_babOn,A199=SV_babM),SV_babAmt,0)+IF(AND(SV_ltcOn,A199&gt;=SV_ltcM,A199&lt;=SV_ltcE),SV_ltcAmt,0)))</f>
        <v/>
      </c>
      <c r="K199" s="29">
        <f>IF(OR(OR(A199&lt;1,A199&gt;SV_T),A199&gt;SV_loanYears),0,-SV_lifePremYr)</f>
        <v/>
      </c>
      <c r="L199" s="29">
        <f>IF(OR(A199&lt;1,A199&gt;SV_T),0,-SV_contrib)</f>
        <v/>
      </c>
      <c r="M199" s="60">
        <f>IF(AND(SV_crashOn,A199=SV_crashYr),SV_crashF,1)</f>
        <v/>
      </c>
      <c r="N199" s="60">
        <f>IF(AND(SV_ccyOn,A199=SV_ccyYr),SV_ccyF,1)</f>
        <v/>
      </c>
      <c r="O199" s="29">
        <f>IF(A199&gt;SV_T,0,O198*(1+interestRate)*M199*N199)</f>
        <v/>
      </c>
      <c r="P199" s="29">
        <f>IF(A199&gt;SV_T,0,(P198+SV_contrib)*(1+investmentReturn)*M199*N199)</f>
        <v/>
      </c>
      <c r="Q199" s="29">
        <f>IF(A199&gt;SV_T,0,Q198*(1+SV_propRate)*M199)</f>
        <v/>
      </c>
      <c r="R199" s="46">
        <f>MATCH(SV_age+A199-1,SV_cpfLower,1)</f>
        <v/>
      </c>
      <c r="S199" s="29">
        <f>IF(OR(OR(A199&lt;1,A199&gt;SV_T),NOT(SV_cpfOn),AND(SV_deaOn,A199&gt;=SV_deaM)),0,MIN(SV_sal0*(1+incomeGrowthRate)^(A199-1)*G199,SV_owCap))</f>
        <v/>
      </c>
      <c r="T199" s="29">
        <f>IF(A199&gt;SV_T,0,T198*(1+SV_oaRate)+IF(A199&gt;=SV_effStop,0,INDEX(SV_cpfOA,R199)*INDEX(SV_cpfTot,R199)*S199))</f>
        <v/>
      </c>
      <c r="U199" s="29">
        <f>IF(A199&gt;SV_T,0,U198*(1+SV_saRate)+IF(A199&gt;=SV_effStop,0,INDEX(SV_cpfSA,R199)*INDEX(SV_cpfTot,R199)*S199))</f>
        <v/>
      </c>
      <c r="V199" s="29">
        <f>IF(A199&gt;SV_T,0,V198*(1+SV_saRate)+IF(A199&gt;=SV_effStop,0,INDEX(SV_cpfMA,R199)*INDEX(SV_cpfTot,R199)*S199))</f>
        <v/>
      </c>
      <c r="W199" s="29">
        <f>IF(OR(OR(A199&lt;1,A199&gt;SV_T),A199&gt;=SV_effNeg),0,-(INDEX(SV_cpfOA,R199)+INDEX(SV_cpfSA,R199)+INDEX(SV_cpfMA,R199))*INDEX(SV_cpfEmp,R199)*S199)</f>
        <v/>
      </c>
      <c r="X199" s="29">
        <f>IF(A199&gt;=SV_sIdx,0,T199)</f>
        <v/>
      </c>
      <c r="Y199" s="29">
        <f>IF(A199&gt;=SV_sIdx,0,U199)</f>
        <v/>
      </c>
      <c r="Z199" s="29">
        <f>IF(A199&gt;=SV_sIdx,MIN(V199,SV_maCap),V199)</f>
        <v/>
      </c>
      <c r="AA199" s="29">
        <f>IF(AND(SV_cpfOn,A199&gt;=SV_pIdx,A199&lt;=SV_T),12*SV_pay,0)</f>
        <v/>
      </c>
      <c r="AB199" s="29">
        <f>IF(A199&gt;SV_T,0,IF(SV_sp&gt;=0,IF(A199&lt;SV_sIdx,0,IF(A199=SV_sIdx,SV_R0,SV_lifeGrowth*AB198)),SV_lifeGrowth*AB198))</f>
        <v/>
      </c>
      <c r="AC199" s="29">
        <f>IF(A199&gt;SV_T,0,IF(AND(SV_sp&gt;=0,A199&lt;SV_sIdx),0,IF(AND(SV_sp&gt;=0,A199=SV_sIdx),SV_L0,SV_lifeGrowth*(AC198-AA199))))</f>
        <v/>
      </c>
      <c r="AD199" s="29">
        <f>X199+Y199+AB199+Z199+IF(AB199&lt;0,0,AC199)</f>
        <v/>
      </c>
      <c r="AE199" s="29">
        <f>AA199+W199</f>
        <v/>
      </c>
      <c r="AF199" s="29">
        <f>IF(OR(A199&gt;SV_T,A199&gt;=SV_loanYears),0,MAX(0,AF198*(1+loanRate)-SV_inst))</f>
        <v/>
      </c>
      <c r="AG199" s="29">
        <f>IF(A199&gt;SV_T,0,AG198*(1+SV_savRate)+H199+I199+J199+K199+L199+AE199)</f>
        <v/>
      </c>
      <c r="AH199" s="29">
        <f>IF(A199&gt;SV_T,0,MAX(0,O199+P199+Q199+AD199+AG199-AF199))</f>
        <v/>
      </c>
      <c r="AI199" s="29">
        <f>IF(A199&gt;SV_T,0,O199+P199+AG199-MAX(0,AF199-(Q199+AD199)))</f>
        <v/>
      </c>
      <c r="AJ199" s="29">
        <f>IF(OR(OR(A199&lt;1,A199&gt;SV_T),A199-1&gt;=SV_retPay),0,SV_retMth*12+IF(A199=1,SV_retLump,0))</f>
        <v/>
      </c>
      <c r="AK199" s="29">
        <f>IF(A199&gt;SV_T,0,(AK198+AJ199)*(1+investmentReturn))</f>
        <v/>
      </c>
      <c r="AL199" s="29">
        <f>IF(OR(A199&lt;1,A199&gt;SV_T),0,IF(A199-1&gt;=SV_EDUPay,0,SV_EDUMth*12+IF(A199=1,SV_EDULump,0))+IF(A199-1&gt;=SV_SAVPay,0,SV_SAVMth*12+IF(A199=1,SV_SAVLump,0))+IF(A199-1&gt;=SV_PRPPay,0,SV_PRPMth*12+IF(A199=1,SV_PRPLump,0)))</f>
        <v/>
      </c>
      <c r="AM199" s="29">
        <f>IF(A199&gt;SV_T,0,(AM198+AL199)*(1+investmentReturn))</f>
        <v/>
      </c>
      <c r="AN199" s="29">
        <f>IF(OR(OR(A199&lt;1,A199&gt;SV_T),A199-1&gt;=SV_protPay),0,SV_protPrem)</f>
        <v/>
      </c>
      <c r="AO199" s="29">
        <f>IF(OR(A199=0,A199&gt;=SV_T),0,ROUND(MAX(0,AK199),2)+ROUND(MAX(0,AM199),2))</f>
        <v/>
      </c>
      <c r="AP199" s="29">
        <f>IF(OR(A199&lt;1,A199&gt;SV_T),0,-(AJ199+AL199+AN199)+IF(A199=SV_T,ROUND(MAX(0,AK199),2)+ROUND(MAX(0,AM199),2),0))</f>
        <v/>
      </c>
      <c r="AQ199" s="29">
        <f>IF(A199&gt;SV_T,0,AQ198*(1+SV_savRate)+H199+I199+J199+K199+L199+AE199+AP199)</f>
        <v/>
      </c>
      <c r="AR199" s="29">
        <f>IF(A199&gt;SV_T,0,MAX(0,O199+P199+Q199+AD199+AQ199+AO199-AF199))</f>
        <v/>
      </c>
      <c r="AS199" s="29">
        <f>IF(A199&gt;SV_T,0,O199+P199+AQ199+AO199-MAX(0,AF199-(Q199+AD199)))</f>
        <v/>
      </c>
    </row>
    <row r="200">
      <c r="A200" s="61" t="n">
        <v>28</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IF(OR(OR(A200&lt;1,A200&gt;SV_T),A200-1&gt;=SV_salCut,AND(SV_deaOn,A200&gt;=SV_deaM)),0,SV_sal0*(1+incomeGrowthRate)^(A200-1)*G200)</f>
        <v/>
      </c>
      <c r="I200" s="29">
        <f>IF(OR(A200&lt;1,A200&gt;SV_T),0,(-SV_exp0*F200-IF(A200&lt;=SV_loanYears,SV_inst,0)-IF(AND(SV_wdEDUAmt&gt;0,A200=SV_wdEDUYear),SV_wdEDUAmt,0)-IF(AND(SV_wdSAVAmt&gt;0,A200=SV_wdSAVYear),SV_wdSAVAmt,0)-IF(AND(SV_wdPRPAmt&gt;0,A200=SV_wdPRPYear),SV_wdPRPAmt,0))*IF(AND(SV_expOn,A200&gt;=SV_expS,A200&lt;=SV_expE),1+SV_expImp,1))</f>
        <v/>
      </c>
      <c r="J200" s="29">
        <f>IF(OR(A200&lt;1,A200&gt;SV_T),0,-F200*(IF(AND(SV_deaOn,A200=SV_deaM),SV_deaAmt,0)+IF(AND(SV_criOn,A200=SV_criM),SV_criAmt,0)+IF(AND(SV_tpdOn,A200=SV_tpdM),SV_tpdAmt,0)+IF(AND(SV_pacOn,A200=SV_pacM),SV_pacAmt,0)+IF(AND(SV_hosOn,A200=SV_hosM),SV_hosAmt,0)+IF(AND(SV_wedOn,A200=SV_wedM),SV_wedAmt,0)+IF(AND(SV_babOn,A200=SV_babM),SV_babAmt,0)+IF(AND(SV_ltcOn,A200&gt;=SV_ltcM,A200&lt;=SV_ltcE),SV_ltcAmt,0)))</f>
        <v/>
      </c>
      <c r="K200" s="29">
        <f>IF(OR(OR(A200&lt;1,A200&gt;SV_T),A200&gt;SV_loanYears),0,-SV_lifePremYr)</f>
        <v/>
      </c>
      <c r="L200" s="29">
        <f>IF(OR(A200&lt;1,A200&gt;SV_T),0,-SV_contrib)</f>
        <v/>
      </c>
      <c r="M200" s="60">
        <f>IF(AND(SV_crashOn,A200=SV_crashYr),SV_crashF,1)</f>
        <v/>
      </c>
      <c r="N200" s="60">
        <f>IF(AND(SV_ccyOn,A200=SV_ccyYr),SV_ccyF,1)</f>
        <v/>
      </c>
      <c r="O200" s="29">
        <f>IF(A200&gt;SV_T,0,O199*(1+interestRate)*M200*N200)</f>
        <v/>
      </c>
      <c r="P200" s="29">
        <f>IF(A200&gt;SV_T,0,(P199+SV_contrib)*(1+investmentReturn)*M200*N200)</f>
        <v/>
      </c>
      <c r="Q200" s="29">
        <f>IF(A200&gt;SV_T,0,Q199*(1+SV_propRate)*M200)</f>
        <v/>
      </c>
      <c r="R200" s="46">
        <f>MATCH(SV_age+A200-1,SV_cpfLower,1)</f>
        <v/>
      </c>
      <c r="S200" s="29">
        <f>IF(OR(OR(A200&lt;1,A200&gt;SV_T),NOT(SV_cpfOn),AND(SV_deaOn,A200&gt;=SV_deaM)),0,MIN(SV_sal0*(1+incomeGrowthRate)^(A200-1)*G200,SV_owCap))</f>
        <v/>
      </c>
      <c r="T200" s="29">
        <f>IF(A200&gt;SV_T,0,T199*(1+SV_oaRate)+IF(A200&gt;=SV_effStop,0,INDEX(SV_cpfOA,R200)*INDEX(SV_cpfTot,R200)*S200))</f>
        <v/>
      </c>
      <c r="U200" s="29">
        <f>IF(A200&gt;SV_T,0,U199*(1+SV_saRate)+IF(A200&gt;=SV_effStop,0,INDEX(SV_cpfSA,R200)*INDEX(SV_cpfTot,R200)*S200))</f>
        <v/>
      </c>
      <c r="V200" s="29">
        <f>IF(A200&gt;SV_T,0,V199*(1+SV_saRate)+IF(A200&gt;=SV_effStop,0,INDEX(SV_cpfMA,R200)*INDEX(SV_cpfTot,R200)*S200))</f>
        <v/>
      </c>
      <c r="W200" s="29">
        <f>IF(OR(OR(A200&lt;1,A200&gt;SV_T),A200&gt;=SV_effNeg),0,-(INDEX(SV_cpfOA,R200)+INDEX(SV_cpfSA,R200)+INDEX(SV_cpfMA,R200))*INDEX(SV_cpfEmp,R200)*S200)</f>
        <v/>
      </c>
      <c r="X200" s="29">
        <f>IF(A200&gt;=SV_sIdx,0,T200)</f>
        <v/>
      </c>
      <c r="Y200" s="29">
        <f>IF(A200&gt;=SV_sIdx,0,U200)</f>
        <v/>
      </c>
      <c r="Z200" s="29">
        <f>IF(A200&gt;=SV_sIdx,MIN(V200,SV_maCap),V200)</f>
        <v/>
      </c>
      <c r="AA200" s="29">
        <f>IF(AND(SV_cpfOn,A200&gt;=SV_pIdx,A200&lt;=SV_T),12*SV_pay,0)</f>
        <v/>
      </c>
      <c r="AB200" s="29">
        <f>IF(A200&gt;SV_T,0,IF(SV_sp&gt;=0,IF(A200&lt;SV_sIdx,0,IF(A200=SV_sIdx,SV_R0,SV_lifeGrowth*AB199)),SV_lifeGrowth*AB199))</f>
        <v/>
      </c>
      <c r="AC200" s="29">
        <f>IF(A200&gt;SV_T,0,IF(AND(SV_sp&gt;=0,A200&lt;SV_sIdx),0,IF(AND(SV_sp&gt;=0,A200=SV_sIdx),SV_L0,SV_lifeGrowth*(AC199-AA200))))</f>
        <v/>
      </c>
      <c r="AD200" s="29">
        <f>X200+Y200+AB200+Z200+IF(AB200&lt;0,0,AC200)</f>
        <v/>
      </c>
      <c r="AE200" s="29">
        <f>AA200+W200</f>
        <v/>
      </c>
      <c r="AF200" s="29">
        <f>IF(OR(A200&gt;SV_T,A200&gt;=SV_loanYears),0,MAX(0,AF199*(1+loanRate)-SV_inst))</f>
        <v/>
      </c>
      <c r="AG200" s="29">
        <f>IF(A200&gt;SV_T,0,AG199*(1+SV_savRate)+H200+I200+J200+K200+L200+AE200)</f>
        <v/>
      </c>
      <c r="AH200" s="29">
        <f>IF(A200&gt;SV_T,0,MAX(0,O200+P200+Q200+AD200+AG200-AF200))</f>
        <v/>
      </c>
      <c r="AI200" s="29">
        <f>IF(A200&gt;SV_T,0,O200+P200+AG200-MAX(0,AF200-(Q200+AD200)))</f>
        <v/>
      </c>
      <c r="AJ200" s="29">
        <f>IF(OR(OR(A200&lt;1,A200&gt;SV_T),A200-1&gt;=SV_retPay),0,SV_retMth*12+IF(A200=1,SV_retLump,0))</f>
        <v/>
      </c>
      <c r="AK200" s="29">
        <f>IF(A200&gt;SV_T,0,(AK199+AJ200)*(1+investmentReturn))</f>
        <v/>
      </c>
      <c r="AL200" s="29">
        <f>IF(OR(A200&lt;1,A200&gt;SV_T),0,IF(A200-1&gt;=SV_EDUPay,0,SV_EDUMth*12+IF(A200=1,SV_EDULump,0))+IF(A200-1&gt;=SV_SAVPay,0,SV_SAVMth*12+IF(A200=1,SV_SAVLump,0))+IF(A200-1&gt;=SV_PRPPay,0,SV_PRPMth*12+IF(A200=1,SV_PRPLump,0)))</f>
        <v/>
      </c>
      <c r="AM200" s="29">
        <f>IF(A200&gt;SV_T,0,(AM199+AL200)*(1+investmentReturn))</f>
        <v/>
      </c>
      <c r="AN200" s="29">
        <f>IF(OR(OR(A200&lt;1,A200&gt;SV_T),A200-1&gt;=SV_protPay),0,SV_protPrem)</f>
        <v/>
      </c>
      <c r="AO200" s="29">
        <f>IF(OR(A200=0,A200&gt;=SV_T),0,ROUND(MAX(0,AK200),2)+ROUND(MAX(0,AM200),2))</f>
        <v/>
      </c>
      <c r="AP200" s="29">
        <f>IF(OR(A200&lt;1,A200&gt;SV_T),0,-(AJ200+AL200+AN200)+IF(A200=SV_T,ROUND(MAX(0,AK200),2)+ROUND(MAX(0,AM200),2),0))</f>
        <v/>
      </c>
      <c r="AQ200" s="29">
        <f>IF(A200&gt;SV_T,0,AQ199*(1+SV_savRate)+H200+I200+J200+K200+L200+AE200+AP200)</f>
        <v/>
      </c>
      <c r="AR200" s="29">
        <f>IF(A200&gt;SV_T,0,MAX(0,O200+P200+Q200+AD200+AQ200+AO200-AF200))</f>
        <v/>
      </c>
      <c r="AS200" s="29">
        <f>IF(A200&gt;SV_T,0,O200+P200+AQ200+AO200-MAX(0,AF200-(Q200+AD200)))</f>
        <v/>
      </c>
    </row>
    <row r="201">
      <c r="A201" s="61" t="n">
        <v>29</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IF(OR(OR(A201&lt;1,A201&gt;SV_T),A201-1&gt;=SV_salCut,AND(SV_deaOn,A201&gt;=SV_deaM)),0,SV_sal0*(1+incomeGrowthRate)^(A201-1)*G201)</f>
        <v/>
      </c>
      <c r="I201" s="29">
        <f>IF(OR(A201&lt;1,A201&gt;SV_T),0,(-SV_exp0*F201-IF(A201&lt;=SV_loanYears,SV_inst,0)-IF(AND(SV_wdEDUAmt&gt;0,A201=SV_wdEDUYear),SV_wdEDUAmt,0)-IF(AND(SV_wdSAVAmt&gt;0,A201=SV_wdSAVYear),SV_wdSAVAmt,0)-IF(AND(SV_wdPRPAmt&gt;0,A201=SV_wdPRPYear),SV_wdPRPAmt,0))*IF(AND(SV_expOn,A201&gt;=SV_expS,A201&lt;=SV_expE),1+SV_expImp,1))</f>
        <v/>
      </c>
      <c r="J201" s="29">
        <f>IF(OR(A201&lt;1,A201&gt;SV_T),0,-F201*(IF(AND(SV_deaOn,A201=SV_deaM),SV_deaAmt,0)+IF(AND(SV_criOn,A201=SV_criM),SV_criAmt,0)+IF(AND(SV_tpdOn,A201=SV_tpdM),SV_tpdAmt,0)+IF(AND(SV_pacOn,A201=SV_pacM),SV_pacAmt,0)+IF(AND(SV_hosOn,A201=SV_hosM),SV_hosAmt,0)+IF(AND(SV_wedOn,A201=SV_wedM),SV_wedAmt,0)+IF(AND(SV_babOn,A201=SV_babM),SV_babAmt,0)+IF(AND(SV_ltcOn,A201&gt;=SV_ltcM,A201&lt;=SV_ltcE),SV_ltcAmt,0)))</f>
        <v/>
      </c>
      <c r="K201" s="29">
        <f>IF(OR(OR(A201&lt;1,A201&gt;SV_T),A201&gt;SV_loanYears),0,-SV_lifePremYr)</f>
        <v/>
      </c>
      <c r="L201" s="29">
        <f>IF(OR(A201&lt;1,A201&gt;SV_T),0,-SV_contrib)</f>
        <v/>
      </c>
      <c r="M201" s="60">
        <f>IF(AND(SV_crashOn,A201=SV_crashYr),SV_crashF,1)</f>
        <v/>
      </c>
      <c r="N201" s="60">
        <f>IF(AND(SV_ccyOn,A201=SV_ccyYr),SV_ccyF,1)</f>
        <v/>
      </c>
      <c r="O201" s="29">
        <f>IF(A201&gt;SV_T,0,O200*(1+interestRate)*M201*N201)</f>
        <v/>
      </c>
      <c r="P201" s="29">
        <f>IF(A201&gt;SV_T,0,(P200+SV_contrib)*(1+investmentReturn)*M201*N201)</f>
        <v/>
      </c>
      <c r="Q201" s="29">
        <f>IF(A201&gt;SV_T,0,Q200*(1+SV_propRate)*M201)</f>
        <v/>
      </c>
      <c r="R201" s="46">
        <f>MATCH(SV_age+A201-1,SV_cpfLower,1)</f>
        <v/>
      </c>
      <c r="S201" s="29">
        <f>IF(OR(OR(A201&lt;1,A201&gt;SV_T),NOT(SV_cpfOn),AND(SV_deaOn,A201&gt;=SV_deaM)),0,MIN(SV_sal0*(1+incomeGrowthRate)^(A201-1)*G201,SV_owCap))</f>
        <v/>
      </c>
      <c r="T201" s="29">
        <f>IF(A201&gt;SV_T,0,T200*(1+SV_oaRate)+IF(A201&gt;=SV_effStop,0,INDEX(SV_cpfOA,R201)*INDEX(SV_cpfTot,R201)*S201))</f>
        <v/>
      </c>
      <c r="U201" s="29">
        <f>IF(A201&gt;SV_T,0,U200*(1+SV_saRate)+IF(A201&gt;=SV_effStop,0,INDEX(SV_cpfSA,R201)*INDEX(SV_cpfTot,R201)*S201))</f>
        <v/>
      </c>
      <c r="V201" s="29">
        <f>IF(A201&gt;SV_T,0,V200*(1+SV_saRate)+IF(A201&gt;=SV_effStop,0,INDEX(SV_cpfMA,R201)*INDEX(SV_cpfTot,R201)*S201))</f>
        <v/>
      </c>
      <c r="W201" s="29">
        <f>IF(OR(OR(A201&lt;1,A201&gt;SV_T),A201&gt;=SV_effNeg),0,-(INDEX(SV_cpfOA,R201)+INDEX(SV_cpfSA,R201)+INDEX(SV_cpfMA,R201))*INDEX(SV_cpfEmp,R201)*S201)</f>
        <v/>
      </c>
      <c r="X201" s="29">
        <f>IF(A201&gt;=SV_sIdx,0,T201)</f>
        <v/>
      </c>
      <c r="Y201" s="29">
        <f>IF(A201&gt;=SV_sIdx,0,U201)</f>
        <v/>
      </c>
      <c r="Z201" s="29">
        <f>IF(A201&gt;=SV_sIdx,MIN(V201,SV_maCap),V201)</f>
        <v/>
      </c>
      <c r="AA201" s="29">
        <f>IF(AND(SV_cpfOn,A201&gt;=SV_pIdx,A201&lt;=SV_T),12*SV_pay,0)</f>
        <v/>
      </c>
      <c r="AB201" s="29">
        <f>IF(A201&gt;SV_T,0,IF(SV_sp&gt;=0,IF(A201&lt;SV_sIdx,0,IF(A201=SV_sIdx,SV_R0,SV_lifeGrowth*AB200)),SV_lifeGrowth*AB200))</f>
        <v/>
      </c>
      <c r="AC201" s="29">
        <f>IF(A201&gt;SV_T,0,IF(AND(SV_sp&gt;=0,A201&lt;SV_sIdx),0,IF(AND(SV_sp&gt;=0,A201=SV_sIdx),SV_L0,SV_lifeGrowth*(AC200-AA201))))</f>
        <v/>
      </c>
      <c r="AD201" s="29">
        <f>X201+Y201+AB201+Z201+IF(AB201&lt;0,0,AC201)</f>
        <v/>
      </c>
      <c r="AE201" s="29">
        <f>AA201+W201</f>
        <v/>
      </c>
      <c r="AF201" s="29">
        <f>IF(OR(A201&gt;SV_T,A201&gt;=SV_loanYears),0,MAX(0,AF200*(1+loanRate)-SV_inst))</f>
        <v/>
      </c>
      <c r="AG201" s="29">
        <f>IF(A201&gt;SV_T,0,AG200*(1+SV_savRate)+H201+I201+J201+K201+L201+AE201)</f>
        <v/>
      </c>
      <c r="AH201" s="29">
        <f>IF(A201&gt;SV_T,0,MAX(0,O201+P201+Q201+AD201+AG201-AF201))</f>
        <v/>
      </c>
      <c r="AI201" s="29">
        <f>IF(A201&gt;SV_T,0,O201+P201+AG201-MAX(0,AF201-(Q201+AD201)))</f>
        <v/>
      </c>
      <c r="AJ201" s="29">
        <f>IF(OR(OR(A201&lt;1,A201&gt;SV_T),A201-1&gt;=SV_retPay),0,SV_retMth*12+IF(A201=1,SV_retLump,0))</f>
        <v/>
      </c>
      <c r="AK201" s="29">
        <f>IF(A201&gt;SV_T,0,(AK200+AJ201)*(1+investmentReturn))</f>
        <v/>
      </c>
      <c r="AL201" s="29">
        <f>IF(OR(A201&lt;1,A201&gt;SV_T),0,IF(A201-1&gt;=SV_EDUPay,0,SV_EDUMth*12+IF(A201=1,SV_EDULump,0))+IF(A201-1&gt;=SV_SAVPay,0,SV_SAVMth*12+IF(A201=1,SV_SAVLump,0))+IF(A201-1&gt;=SV_PRPPay,0,SV_PRPMth*12+IF(A201=1,SV_PRPLump,0)))</f>
        <v/>
      </c>
      <c r="AM201" s="29">
        <f>IF(A201&gt;SV_T,0,(AM200+AL201)*(1+investmentReturn))</f>
        <v/>
      </c>
      <c r="AN201" s="29">
        <f>IF(OR(OR(A201&lt;1,A201&gt;SV_T),A201-1&gt;=SV_protPay),0,SV_protPrem)</f>
        <v/>
      </c>
      <c r="AO201" s="29">
        <f>IF(OR(A201=0,A201&gt;=SV_T),0,ROUND(MAX(0,AK201),2)+ROUND(MAX(0,AM201),2))</f>
        <v/>
      </c>
      <c r="AP201" s="29">
        <f>IF(OR(A201&lt;1,A201&gt;SV_T),0,-(AJ201+AL201+AN201)+IF(A201=SV_T,ROUND(MAX(0,AK201),2)+ROUND(MAX(0,AM201),2),0))</f>
        <v/>
      </c>
      <c r="AQ201" s="29">
        <f>IF(A201&gt;SV_T,0,AQ200*(1+SV_savRate)+H201+I201+J201+K201+L201+AE201+AP201)</f>
        <v/>
      </c>
      <c r="AR201" s="29">
        <f>IF(A201&gt;SV_T,0,MAX(0,O201+P201+Q201+AD201+AQ201+AO201-AF201))</f>
        <v/>
      </c>
      <c r="AS201" s="29">
        <f>IF(A201&gt;SV_T,0,O201+P201+AQ201+AO201-MAX(0,AF201-(Q201+AD201)))</f>
        <v/>
      </c>
    </row>
    <row r="202">
      <c r="A202" s="61" t="n">
        <v>30</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IF(OR(OR(A202&lt;1,A202&gt;SV_T),A202-1&gt;=SV_salCut,AND(SV_deaOn,A202&gt;=SV_deaM)),0,SV_sal0*(1+incomeGrowthRate)^(A202-1)*G202)</f>
        <v/>
      </c>
      <c r="I202" s="29">
        <f>IF(OR(A202&lt;1,A202&gt;SV_T),0,(-SV_exp0*F202-IF(A202&lt;=SV_loanYears,SV_inst,0)-IF(AND(SV_wdEDUAmt&gt;0,A202=SV_wdEDUYear),SV_wdEDUAmt,0)-IF(AND(SV_wdSAVAmt&gt;0,A202=SV_wdSAVYear),SV_wdSAVAmt,0)-IF(AND(SV_wdPRPAmt&gt;0,A202=SV_wdPRPYear),SV_wdPRPAmt,0))*IF(AND(SV_expOn,A202&gt;=SV_expS,A202&lt;=SV_expE),1+SV_expImp,1))</f>
        <v/>
      </c>
      <c r="J202" s="29">
        <f>IF(OR(A202&lt;1,A202&gt;SV_T),0,-F202*(IF(AND(SV_deaOn,A202=SV_deaM),SV_deaAmt,0)+IF(AND(SV_criOn,A202=SV_criM),SV_criAmt,0)+IF(AND(SV_tpdOn,A202=SV_tpdM),SV_tpdAmt,0)+IF(AND(SV_pacOn,A202=SV_pacM),SV_pacAmt,0)+IF(AND(SV_hosOn,A202=SV_hosM),SV_hosAmt,0)+IF(AND(SV_wedOn,A202=SV_wedM),SV_wedAmt,0)+IF(AND(SV_babOn,A202=SV_babM),SV_babAmt,0)+IF(AND(SV_ltcOn,A202&gt;=SV_ltcM,A202&lt;=SV_ltcE),SV_ltcAmt,0)))</f>
        <v/>
      </c>
      <c r="K202" s="29">
        <f>IF(OR(OR(A202&lt;1,A202&gt;SV_T),A202&gt;SV_loanYears),0,-SV_lifePremYr)</f>
        <v/>
      </c>
      <c r="L202" s="29">
        <f>IF(OR(A202&lt;1,A202&gt;SV_T),0,-SV_contrib)</f>
        <v/>
      </c>
      <c r="M202" s="60">
        <f>IF(AND(SV_crashOn,A202=SV_crashYr),SV_crashF,1)</f>
        <v/>
      </c>
      <c r="N202" s="60">
        <f>IF(AND(SV_ccyOn,A202=SV_ccyYr),SV_ccyF,1)</f>
        <v/>
      </c>
      <c r="O202" s="29">
        <f>IF(A202&gt;SV_T,0,O201*(1+interestRate)*M202*N202)</f>
        <v/>
      </c>
      <c r="P202" s="29">
        <f>IF(A202&gt;SV_T,0,(P201+SV_contrib)*(1+investmentReturn)*M202*N202)</f>
        <v/>
      </c>
      <c r="Q202" s="29">
        <f>IF(A202&gt;SV_T,0,Q201*(1+SV_propRate)*M202)</f>
        <v/>
      </c>
      <c r="R202" s="46">
        <f>MATCH(SV_age+A202-1,SV_cpfLower,1)</f>
        <v/>
      </c>
      <c r="S202" s="29">
        <f>IF(OR(OR(A202&lt;1,A202&gt;SV_T),NOT(SV_cpfOn),AND(SV_deaOn,A202&gt;=SV_deaM)),0,MIN(SV_sal0*(1+incomeGrowthRate)^(A202-1)*G202,SV_owCap))</f>
        <v/>
      </c>
      <c r="T202" s="29">
        <f>IF(A202&gt;SV_T,0,T201*(1+SV_oaRate)+IF(A202&gt;=SV_effStop,0,INDEX(SV_cpfOA,R202)*INDEX(SV_cpfTot,R202)*S202))</f>
        <v/>
      </c>
      <c r="U202" s="29">
        <f>IF(A202&gt;SV_T,0,U201*(1+SV_saRate)+IF(A202&gt;=SV_effStop,0,INDEX(SV_cpfSA,R202)*INDEX(SV_cpfTot,R202)*S202))</f>
        <v/>
      </c>
      <c r="V202" s="29">
        <f>IF(A202&gt;SV_T,0,V201*(1+SV_saRate)+IF(A202&gt;=SV_effStop,0,INDEX(SV_cpfMA,R202)*INDEX(SV_cpfTot,R202)*S202))</f>
        <v/>
      </c>
      <c r="W202" s="29">
        <f>IF(OR(OR(A202&lt;1,A202&gt;SV_T),A202&gt;=SV_effNeg),0,-(INDEX(SV_cpfOA,R202)+INDEX(SV_cpfSA,R202)+INDEX(SV_cpfMA,R202))*INDEX(SV_cpfEmp,R202)*S202)</f>
        <v/>
      </c>
      <c r="X202" s="29">
        <f>IF(A202&gt;=SV_sIdx,0,T202)</f>
        <v/>
      </c>
      <c r="Y202" s="29">
        <f>IF(A202&gt;=SV_sIdx,0,U202)</f>
        <v/>
      </c>
      <c r="Z202" s="29">
        <f>IF(A202&gt;=SV_sIdx,MIN(V202,SV_maCap),V202)</f>
        <v/>
      </c>
      <c r="AA202" s="29">
        <f>IF(AND(SV_cpfOn,A202&gt;=SV_pIdx,A202&lt;=SV_T),12*SV_pay,0)</f>
        <v/>
      </c>
      <c r="AB202" s="29">
        <f>IF(A202&gt;SV_T,0,IF(SV_sp&gt;=0,IF(A202&lt;SV_sIdx,0,IF(A202=SV_sIdx,SV_R0,SV_lifeGrowth*AB201)),SV_lifeGrowth*AB201))</f>
        <v/>
      </c>
      <c r="AC202" s="29">
        <f>IF(A202&gt;SV_T,0,IF(AND(SV_sp&gt;=0,A202&lt;SV_sIdx),0,IF(AND(SV_sp&gt;=0,A202=SV_sIdx),SV_L0,SV_lifeGrowth*(AC201-AA202))))</f>
        <v/>
      </c>
      <c r="AD202" s="29">
        <f>X202+Y202+AB202+Z202+IF(AB202&lt;0,0,AC202)</f>
        <v/>
      </c>
      <c r="AE202" s="29">
        <f>AA202+W202</f>
        <v/>
      </c>
      <c r="AF202" s="29">
        <f>IF(OR(A202&gt;SV_T,A202&gt;=SV_loanYears),0,MAX(0,AF201*(1+loanRate)-SV_inst))</f>
        <v/>
      </c>
      <c r="AG202" s="29">
        <f>IF(A202&gt;SV_T,0,AG201*(1+SV_savRate)+H202+I202+J202+K202+L202+AE202)</f>
        <v/>
      </c>
      <c r="AH202" s="29">
        <f>IF(A202&gt;SV_T,0,MAX(0,O202+P202+Q202+AD202+AG202-AF202))</f>
        <v/>
      </c>
      <c r="AI202" s="29">
        <f>IF(A202&gt;SV_T,0,O202+P202+AG202-MAX(0,AF202-(Q202+AD202)))</f>
        <v/>
      </c>
      <c r="AJ202" s="29">
        <f>IF(OR(OR(A202&lt;1,A202&gt;SV_T),A202-1&gt;=SV_retPay),0,SV_retMth*12+IF(A202=1,SV_retLump,0))</f>
        <v/>
      </c>
      <c r="AK202" s="29">
        <f>IF(A202&gt;SV_T,0,(AK201+AJ202)*(1+investmentReturn))</f>
        <v/>
      </c>
      <c r="AL202" s="29">
        <f>IF(OR(A202&lt;1,A202&gt;SV_T),0,IF(A202-1&gt;=SV_EDUPay,0,SV_EDUMth*12+IF(A202=1,SV_EDULump,0))+IF(A202-1&gt;=SV_SAVPay,0,SV_SAVMth*12+IF(A202=1,SV_SAVLump,0))+IF(A202-1&gt;=SV_PRPPay,0,SV_PRPMth*12+IF(A202=1,SV_PRPLump,0)))</f>
        <v/>
      </c>
      <c r="AM202" s="29">
        <f>IF(A202&gt;SV_T,0,(AM201+AL202)*(1+investmentReturn))</f>
        <v/>
      </c>
      <c r="AN202" s="29">
        <f>IF(OR(OR(A202&lt;1,A202&gt;SV_T),A202-1&gt;=SV_protPay),0,SV_protPrem)</f>
        <v/>
      </c>
      <c r="AO202" s="29">
        <f>IF(OR(A202=0,A202&gt;=SV_T),0,ROUND(MAX(0,AK202),2)+ROUND(MAX(0,AM202),2))</f>
        <v/>
      </c>
      <c r="AP202" s="29">
        <f>IF(OR(A202&lt;1,A202&gt;SV_T),0,-(AJ202+AL202+AN202)+IF(A202=SV_T,ROUND(MAX(0,AK202),2)+ROUND(MAX(0,AM202),2),0))</f>
        <v/>
      </c>
      <c r="AQ202" s="29">
        <f>IF(A202&gt;SV_T,0,AQ201*(1+SV_savRate)+H202+I202+J202+K202+L202+AE202+AP202)</f>
        <v/>
      </c>
      <c r="AR202" s="29">
        <f>IF(A202&gt;SV_T,0,MAX(0,O202+P202+Q202+AD202+AQ202+AO202-AF202))</f>
        <v/>
      </c>
      <c r="AS202" s="29">
        <f>IF(A202&gt;SV_T,0,O202+P202+AQ202+AO202-MAX(0,AF202-(Q202+AD202)))</f>
        <v/>
      </c>
    </row>
    <row r="203">
      <c r="A203" s="61" t="n">
        <v>31</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IF(OR(OR(A203&lt;1,A203&gt;SV_T),A203-1&gt;=SV_salCut,AND(SV_deaOn,A203&gt;=SV_deaM)),0,SV_sal0*(1+incomeGrowthRate)^(A203-1)*G203)</f>
        <v/>
      </c>
      <c r="I203" s="29">
        <f>IF(OR(A203&lt;1,A203&gt;SV_T),0,(-SV_exp0*F203-IF(A203&lt;=SV_loanYears,SV_inst,0)-IF(AND(SV_wdEDUAmt&gt;0,A203=SV_wdEDUYear),SV_wdEDUAmt,0)-IF(AND(SV_wdSAVAmt&gt;0,A203=SV_wdSAVYear),SV_wdSAVAmt,0)-IF(AND(SV_wdPRPAmt&gt;0,A203=SV_wdPRPYear),SV_wdPRPAmt,0))*IF(AND(SV_expOn,A203&gt;=SV_expS,A203&lt;=SV_expE),1+SV_expImp,1))</f>
        <v/>
      </c>
      <c r="J203" s="29">
        <f>IF(OR(A203&lt;1,A203&gt;SV_T),0,-F203*(IF(AND(SV_deaOn,A203=SV_deaM),SV_deaAmt,0)+IF(AND(SV_criOn,A203=SV_criM),SV_criAmt,0)+IF(AND(SV_tpdOn,A203=SV_tpdM),SV_tpdAmt,0)+IF(AND(SV_pacOn,A203=SV_pacM),SV_pacAmt,0)+IF(AND(SV_hosOn,A203=SV_hosM),SV_hosAmt,0)+IF(AND(SV_wedOn,A203=SV_wedM),SV_wedAmt,0)+IF(AND(SV_babOn,A203=SV_babM),SV_babAmt,0)+IF(AND(SV_ltcOn,A203&gt;=SV_ltcM,A203&lt;=SV_ltcE),SV_ltcAmt,0)))</f>
        <v/>
      </c>
      <c r="K203" s="29">
        <f>IF(OR(OR(A203&lt;1,A203&gt;SV_T),A203&gt;SV_loanYears),0,-SV_lifePremYr)</f>
        <v/>
      </c>
      <c r="L203" s="29">
        <f>IF(OR(A203&lt;1,A203&gt;SV_T),0,-SV_contrib)</f>
        <v/>
      </c>
      <c r="M203" s="60">
        <f>IF(AND(SV_crashOn,A203=SV_crashYr),SV_crashF,1)</f>
        <v/>
      </c>
      <c r="N203" s="60">
        <f>IF(AND(SV_ccyOn,A203=SV_ccyYr),SV_ccyF,1)</f>
        <v/>
      </c>
      <c r="O203" s="29">
        <f>IF(A203&gt;SV_T,0,O202*(1+interestRate)*M203*N203)</f>
        <v/>
      </c>
      <c r="P203" s="29">
        <f>IF(A203&gt;SV_T,0,(P202+SV_contrib)*(1+investmentReturn)*M203*N203)</f>
        <v/>
      </c>
      <c r="Q203" s="29">
        <f>IF(A203&gt;SV_T,0,Q202*(1+SV_propRate)*M203)</f>
        <v/>
      </c>
      <c r="R203" s="46">
        <f>MATCH(SV_age+A203-1,SV_cpfLower,1)</f>
        <v/>
      </c>
      <c r="S203" s="29">
        <f>IF(OR(OR(A203&lt;1,A203&gt;SV_T),NOT(SV_cpfOn),AND(SV_deaOn,A203&gt;=SV_deaM)),0,MIN(SV_sal0*(1+incomeGrowthRate)^(A203-1)*G203,SV_owCap))</f>
        <v/>
      </c>
      <c r="T203" s="29">
        <f>IF(A203&gt;SV_T,0,T202*(1+SV_oaRate)+IF(A203&gt;=SV_effStop,0,INDEX(SV_cpfOA,R203)*INDEX(SV_cpfTot,R203)*S203))</f>
        <v/>
      </c>
      <c r="U203" s="29">
        <f>IF(A203&gt;SV_T,0,U202*(1+SV_saRate)+IF(A203&gt;=SV_effStop,0,INDEX(SV_cpfSA,R203)*INDEX(SV_cpfTot,R203)*S203))</f>
        <v/>
      </c>
      <c r="V203" s="29">
        <f>IF(A203&gt;SV_T,0,V202*(1+SV_saRate)+IF(A203&gt;=SV_effStop,0,INDEX(SV_cpfMA,R203)*INDEX(SV_cpfTot,R203)*S203))</f>
        <v/>
      </c>
      <c r="W203" s="29">
        <f>IF(OR(OR(A203&lt;1,A203&gt;SV_T),A203&gt;=SV_effNeg),0,-(INDEX(SV_cpfOA,R203)+INDEX(SV_cpfSA,R203)+INDEX(SV_cpfMA,R203))*INDEX(SV_cpfEmp,R203)*S203)</f>
        <v/>
      </c>
      <c r="X203" s="29">
        <f>IF(A203&gt;=SV_sIdx,0,T203)</f>
        <v/>
      </c>
      <c r="Y203" s="29">
        <f>IF(A203&gt;=SV_sIdx,0,U203)</f>
        <v/>
      </c>
      <c r="Z203" s="29">
        <f>IF(A203&gt;=SV_sIdx,MIN(V203,SV_maCap),V203)</f>
        <v/>
      </c>
      <c r="AA203" s="29">
        <f>IF(AND(SV_cpfOn,A203&gt;=SV_pIdx,A203&lt;=SV_T),12*SV_pay,0)</f>
        <v/>
      </c>
      <c r="AB203" s="29">
        <f>IF(A203&gt;SV_T,0,IF(SV_sp&gt;=0,IF(A203&lt;SV_sIdx,0,IF(A203=SV_sIdx,SV_R0,SV_lifeGrowth*AB202)),SV_lifeGrowth*AB202))</f>
        <v/>
      </c>
      <c r="AC203" s="29">
        <f>IF(A203&gt;SV_T,0,IF(AND(SV_sp&gt;=0,A203&lt;SV_sIdx),0,IF(AND(SV_sp&gt;=0,A203=SV_sIdx),SV_L0,SV_lifeGrowth*(AC202-AA203))))</f>
        <v/>
      </c>
      <c r="AD203" s="29">
        <f>X203+Y203+AB203+Z203+IF(AB203&lt;0,0,AC203)</f>
        <v/>
      </c>
      <c r="AE203" s="29">
        <f>AA203+W203</f>
        <v/>
      </c>
      <c r="AF203" s="29">
        <f>IF(OR(A203&gt;SV_T,A203&gt;=SV_loanYears),0,MAX(0,AF202*(1+loanRate)-SV_inst))</f>
        <v/>
      </c>
      <c r="AG203" s="29">
        <f>IF(A203&gt;SV_T,0,AG202*(1+SV_savRate)+H203+I203+J203+K203+L203+AE203)</f>
        <v/>
      </c>
      <c r="AH203" s="29">
        <f>IF(A203&gt;SV_T,0,MAX(0,O203+P203+Q203+AD203+AG203-AF203))</f>
        <v/>
      </c>
      <c r="AI203" s="29">
        <f>IF(A203&gt;SV_T,0,O203+P203+AG203-MAX(0,AF203-(Q203+AD203)))</f>
        <v/>
      </c>
      <c r="AJ203" s="29">
        <f>IF(OR(OR(A203&lt;1,A203&gt;SV_T),A203-1&gt;=SV_retPay),0,SV_retMth*12+IF(A203=1,SV_retLump,0))</f>
        <v/>
      </c>
      <c r="AK203" s="29">
        <f>IF(A203&gt;SV_T,0,(AK202+AJ203)*(1+investmentReturn))</f>
        <v/>
      </c>
      <c r="AL203" s="29">
        <f>IF(OR(A203&lt;1,A203&gt;SV_T),0,IF(A203-1&gt;=SV_EDUPay,0,SV_EDUMth*12+IF(A203=1,SV_EDULump,0))+IF(A203-1&gt;=SV_SAVPay,0,SV_SAVMth*12+IF(A203=1,SV_SAVLump,0))+IF(A203-1&gt;=SV_PRPPay,0,SV_PRPMth*12+IF(A203=1,SV_PRPLump,0)))</f>
        <v/>
      </c>
      <c r="AM203" s="29">
        <f>IF(A203&gt;SV_T,0,(AM202+AL203)*(1+investmentReturn))</f>
        <v/>
      </c>
      <c r="AN203" s="29">
        <f>IF(OR(OR(A203&lt;1,A203&gt;SV_T),A203-1&gt;=SV_protPay),0,SV_protPrem)</f>
        <v/>
      </c>
      <c r="AO203" s="29">
        <f>IF(OR(A203=0,A203&gt;=SV_T),0,ROUND(MAX(0,AK203),2)+ROUND(MAX(0,AM203),2))</f>
        <v/>
      </c>
      <c r="AP203" s="29">
        <f>IF(OR(A203&lt;1,A203&gt;SV_T),0,-(AJ203+AL203+AN203)+IF(A203=SV_T,ROUND(MAX(0,AK203),2)+ROUND(MAX(0,AM203),2),0))</f>
        <v/>
      </c>
      <c r="AQ203" s="29">
        <f>IF(A203&gt;SV_T,0,AQ202*(1+SV_savRate)+H203+I203+J203+K203+L203+AE203+AP203)</f>
        <v/>
      </c>
      <c r="AR203" s="29">
        <f>IF(A203&gt;SV_T,0,MAX(0,O203+P203+Q203+AD203+AQ203+AO203-AF203))</f>
        <v/>
      </c>
      <c r="AS203" s="29">
        <f>IF(A203&gt;SV_T,0,O203+P203+AQ203+AO203-MAX(0,AF203-(Q203+AD203)))</f>
        <v/>
      </c>
    </row>
    <row r="204">
      <c r="A204" s="61" t="n">
        <v>32</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IF(OR(OR(A204&lt;1,A204&gt;SV_T),A204-1&gt;=SV_salCut,AND(SV_deaOn,A204&gt;=SV_deaM)),0,SV_sal0*(1+incomeGrowthRate)^(A204-1)*G204)</f>
        <v/>
      </c>
      <c r="I204" s="29">
        <f>IF(OR(A204&lt;1,A204&gt;SV_T),0,(-SV_exp0*F204-IF(A204&lt;=SV_loanYears,SV_inst,0)-IF(AND(SV_wdEDUAmt&gt;0,A204=SV_wdEDUYear),SV_wdEDUAmt,0)-IF(AND(SV_wdSAVAmt&gt;0,A204=SV_wdSAVYear),SV_wdSAVAmt,0)-IF(AND(SV_wdPRPAmt&gt;0,A204=SV_wdPRPYear),SV_wdPRPAmt,0))*IF(AND(SV_expOn,A204&gt;=SV_expS,A204&lt;=SV_expE),1+SV_expImp,1))</f>
        <v/>
      </c>
      <c r="J204" s="29">
        <f>IF(OR(A204&lt;1,A204&gt;SV_T),0,-F204*(IF(AND(SV_deaOn,A204=SV_deaM),SV_deaAmt,0)+IF(AND(SV_criOn,A204=SV_criM),SV_criAmt,0)+IF(AND(SV_tpdOn,A204=SV_tpdM),SV_tpdAmt,0)+IF(AND(SV_pacOn,A204=SV_pacM),SV_pacAmt,0)+IF(AND(SV_hosOn,A204=SV_hosM),SV_hosAmt,0)+IF(AND(SV_wedOn,A204=SV_wedM),SV_wedAmt,0)+IF(AND(SV_babOn,A204=SV_babM),SV_babAmt,0)+IF(AND(SV_ltcOn,A204&gt;=SV_ltcM,A204&lt;=SV_ltcE),SV_ltcAmt,0)))</f>
        <v/>
      </c>
      <c r="K204" s="29">
        <f>IF(OR(OR(A204&lt;1,A204&gt;SV_T),A204&gt;SV_loanYears),0,-SV_lifePremYr)</f>
        <v/>
      </c>
      <c r="L204" s="29">
        <f>IF(OR(A204&lt;1,A204&gt;SV_T),0,-SV_contrib)</f>
        <v/>
      </c>
      <c r="M204" s="60">
        <f>IF(AND(SV_crashOn,A204=SV_crashYr),SV_crashF,1)</f>
        <v/>
      </c>
      <c r="N204" s="60">
        <f>IF(AND(SV_ccyOn,A204=SV_ccyYr),SV_ccyF,1)</f>
        <v/>
      </c>
      <c r="O204" s="29">
        <f>IF(A204&gt;SV_T,0,O203*(1+interestRate)*M204*N204)</f>
        <v/>
      </c>
      <c r="P204" s="29">
        <f>IF(A204&gt;SV_T,0,(P203+SV_contrib)*(1+investmentReturn)*M204*N204)</f>
        <v/>
      </c>
      <c r="Q204" s="29">
        <f>IF(A204&gt;SV_T,0,Q203*(1+SV_propRate)*M204)</f>
        <v/>
      </c>
      <c r="R204" s="46">
        <f>MATCH(SV_age+A204-1,SV_cpfLower,1)</f>
        <v/>
      </c>
      <c r="S204" s="29">
        <f>IF(OR(OR(A204&lt;1,A204&gt;SV_T),NOT(SV_cpfOn),AND(SV_deaOn,A204&gt;=SV_deaM)),0,MIN(SV_sal0*(1+incomeGrowthRate)^(A204-1)*G204,SV_owCap))</f>
        <v/>
      </c>
      <c r="T204" s="29">
        <f>IF(A204&gt;SV_T,0,T203*(1+SV_oaRate)+IF(A204&gt;=SV_effStop,0,INDEX(SV_cpfOA,R204)*INDEX(SV_cpfTot,R204)*S204))</f>
        <v/>
      </c>
      <c r="U204" s="29">
        <f>IF(A204&gt;SV_T,0,U203*(1+SV_saRate)+IF(A204&gt;=SV_effStop,0,INDEX(SV_cpfSA,R204)*INDEX(SV_cpfTot,R204)*S204))</f>
        <v/>
      </c>
      <c r="V204" s="29">
        <f>IF(A204&gt;SV_T,0,V203*(1+SV_saRate)+IF(A204&gt;=SV_effStop,0,INDEX(SV_cpfMA,R204)*INDEX(SV_cpfTot,R204)*S204))</f>
        <v/>
      </c>
      <c r="W204" s="29">
        <f>IF(OR(OR(A204&lt;1,A204&gt;SV_T),A204&gt;=SV_effNeg),0,-(INDEX(SV_cpfOA,R204)+INDEX(SV_cpfSA,R204)+INDEX(SV_cpfMA,R204))*INDEX(SV_cpfEmp,R204)*S204)</f>
        <v/>
      </c>
      <c r="X204" s="29">
        <f>IF(A204&gt;=SV_sIdx,0,T204)</f>
        <v/>
      </c>
      <c r="Y204" s="29">
        <f>IF(A204&gt;=SV_sIdx,0,U204)</f>
        <v/>
      </c>
      <c r="Z204" s="29">
        <f>IF(A204&gt;=SV_sIdx,MIN(V204,SV_maCap),V204)</f>
        <v/>
      </c>
      <c r="AA204" s="29">
        <f>IF(AND(SV_cpfOn,A204&gt;=SV_pIdx,A204&lt;=SV_T),12*SV_pay,0)</f>
        <v/>
      </c>
      <c r="AB204" s="29">
        <f>IF(A204&gt;SV_T,0,IF(SV_sp&gt;=0,IF(A204&lt;SV_sIdx,0,IF(A204=SV_sIdx,SV_R0,SV_lifeGrowth*AB203)),SV_lifeGrowth*AB203))</f>
        <v/>
      </c>
      <c r="AC204" s="29">
        <f>IF(A204&gt;SV_T,0,IF(AND(SV_sp&gt;=0,A204&lt;SV_sIdx),0,IF(AND(SV_sp&gt;=0,A204=SV_sIdx),SV_L0,SV_lifeGrowth*(AC203-AA204))))</f>
        <v/>
      </c>
      <c r="AD204" s="29">
        <f>X204+Y204+AB204+Z204+IF(AB204&lt;0,0,AC204)</f>
        <v/>
      </c>
      <c r="AE204" s="29">
        <f>AA204+W204</f>
        <v/>
      </c>
      <c r="AF204" s="29">
        <f>IF(OR(A204&gt;SV_T,A204&gt;=SV_loanYears),0,MAX(0,AF203*(1+loanRate)-SV_inst))</f>
        <v/>
      </c>
      <c r="AG204" s="29">
        <f>IF(A204&gt;SV_T,0,AG203*(1+SV_savRate)+H204+I204+J204+K204+L204+AE204)</f>
        <v/>
      </c>
      <c r="AH204" s="29">
        <f>IF(A204&gt;SV_T,0,MAX(0,O204+P204+Q204+AD204+AG204-AF204))</f>
        <v/>
      </c>
      <c r="AI204" s="29">
        <f>IF(A204&gt;SV_T,0,O204+P204+AG204-MAX(0,AF204-(Q204+AD204)))</f>
        <v/>
      </c>
      <c r="AJ204" s="29">
        <f>IF(OR(OR(A204&lt;1,A204&gt;SV_T),A204-1&gt;=SV_retPay),0,SV_retMth*12+IF(A204=1,SV_retLump,0))</f>
        <v/>
      </c>
      <c r="AK204" s="29">
        <f>IF(A204&gt;SV_T,0,(AK203+AJ204)*(1+investmentReturn))</f>
        <v/>
      </c>
      <c r="AL204" s="29">
        <f>IF(OR(A204&lt;1,A204&gt;SV_T),0,IF(A204-1&gt;=SV_EDUPay,0,SV_EDUMth*12+IF(A204=1,SV_EDULump,0))+IF(A204-1&gt;=SV_SAVPay,0,SV_SAVMth*12+IF(A204=1,SV_SAVLump,0))+IF(A204-1&gt;=SV_PRPPay,0,SV_PRPMth*12+IF(A204=1,SV_PRPLump,0)))</f>
        <v/>
      </c>
      <c r="AM204" s="29">
        <f>IF(A204&gt;SV_T,0,(AM203+AL204)*(1+investmentReturn))</f>
        <v/>
      </c>
      <c r="AN204" s="29">
        <f>IF(OR(OR(A204&lt;1,A204&gt;SV_T),A204-1&gt;=SV_protPay),0,SV_protPrem)</f>
        <v/>
      </c>
      <c r="AO204" s="29">
        <f>IF(OR(A204=0,A204&gt;=SV_T),0,ROUND(MAX(0,AK204),2)+ROUND(MAX(0,AM204),2))</f>
        <v/>
      </c>
      <c r="AP204" s="29">
        <f>IF(OR(A204&lt;1,A204&gt;SV_T),0,-(AJ204+AL204+AN204)+IF(A204=SV_T,ROUND(MAX(0,AK204),2)+ROUND(MAX(0,AM204),2),0))</f>
        <v/>
      </c>
      <c r="AQ204" s="29">
        <f>IF(A204&gt;SV_T,0,AQ203*(1+SV_savRate)+H204+I204+J204+K204+L204+AE204+AP204)</f>
        <v/>
      </c>
      <c r="AR204" s="29">
        <f>IF(A204&gt;SV_T,0,MAX(0,O204+P204+Q204+AD204+AQ204+AO204-AF204))</f>
        <v/>
      </c>
      <c r="AS204" s="29">
        <f>IF(A204&gt;SV_T,0,O204+P204+AQ204+AO204-MAX(0,AF204-(Q204+AD204)))</f>
        <v/>
      </c>
    </row>
    <row r="205">
      <c r="A205" s="61" t="n">
        <v>33</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IF(OR(OR(A205&lt;1,A205&gt;SV_T),A205-1&gt;=SV_salCut,AND(SV_deaOn,A205&gt;=SV_deaM)),0,SV_sal0*(1+incomeGrowthRate)^(A205-1)*G205)</f>
        <v/>
      </c>
      <c r="I205" s="29">
        <f>IF(OR(A205&lt;1,A205&gt;SV_T),0,(-SV_exp0*F205-IF(A205&lt;=SV_loanYears,SV_inst,0)-IF(AND(SV_wdEDUAmt&gt;0,A205=SV_wdEDUYear),SV_wdEDUAmt,0)-IF(AND(SV_wdSAVAmt&gt;0,A205=SV_wdSAVYear),SV_wdSAVAmt,0)-IF(AND(SV_wdPRPAmt&gt;0,A205=SV_wdPRPYear),SV_wdPRPAmt,0))*IF(AND(SV_expOn,A205&gt;=SV_expS,A205&lt;=SV_expE),1+SV_expImp,1))</f>
        <v/>
      </c>
      <c r="J205" s="29">
        <f>IF(OR(A205&lt;1,A205&gt;SV_T),0,-F205*(IF(AND(SV_deaOn,A205=SV_deaM),SV_deaAmt,0)+IF(AND(SV_criOn,A205=SV_criM),SV_criAmt,0)+IF(AND(SV_tpdOn,A205=SV_tpdM),SV_tpdAmt,0)+IF(AND(SV_pacOn,A205=SV_pacM),SV_pacAmt,0)+IF(AND(SV_hosOn,A205=SV_hosM),SV_hosAmt,0)+IF(AND(SV_wedOn,A205=SV_wedM),SV_wedAmt,0)+IF(AND(SV_babOn,A205=SV_babM),SV_babAmt,0)+IF(AND(SV_ltcOn,A205&gt;=SV_ltcM,A205&lt;=SV_ltcE),SV_ltcAmt,0)))</f>
        <v/>
      </c>
      <c r="K205" s="29">
        <f>IF(OR(OR(A205&lt;1,A205&gt;SV_T),A205&gt;SV_loanYears),0,-SV_lifePremYr)</f>
        <v/>
      </c>
      <c r="L205" s="29">
        <f>IF(OR(A205&lt;1,A205&gt;SV_T),0,-SV_contrib)</f>
        <v/>
      </c>
      <c r="M205" s="60">
        <f>IF(AND(SV_crashOn,A205=SV_crashYr),SV_crashF,1)</f>
        <v/>
      </c>
      <c r="N205" s="60">
        <f>IF(AND(SV_ccyOn,A205=SV_ccyYr),SV_ccyF,1)</f>
        <v/>
      </c>
      <c r="O205" s="29">
        <f>IF(A205&gt;SV_T,0,O204*(1+interestRate)*M205*N205)</f>
        <v/>
      </c>
      <c r="P205" s="29">
        <f>IF(A205&gt;SV_T,0,(P204+SV_contrib)*(1+investmentReturn)*M205*N205)</f>
        <v/>
      </c>
      <c r="Q205" s="29">
        <f>IF(A205&gt;SV_T,0,Q204*(1+SV_propRate)*M205)</f>
        <v/>
      </c>
      <c r="R205" s="46">
        <f>MATCH(SV_age+A205-1,SV_cpfLower,1)</f>
        <v/>
      </c>
      <c r="S205" s="29">
        <f>IF(OR(OR(A205&lt;1,A205&gt;SV_T),NOT(SV_cpfOn),AND(SV_deaOn,A205&gt;=SV_deaM)),0,MIN(SV_sal0*(1+incomeGrowthRate)^(A205-1)*G205,SV_owCap))</f>
        <v/>
      </c>
      <c r="T205" s="29">
        <f>IF(A205&gt;SV_T,0,T204*(1+SV_oaRate)+IF(A205&gt;=SV_effStop,0,INDEX(SV_cpfOA,R205)*INDEX(SV_cpfTot,R205)*S205))</f>
        <v/>
      </c>
      <c r="U205" s="29">
        <f>IF(A205&gt;SV_T,0,U204*(1+SV_saRate)+IF(A205&gt;=SV_effStop,0,INDEX(SV_cpfSA,R205)*INDEX(SV_cpfTot,R205)*S205))</f>
        <v/>
      </c>
      <c r="V205" s="29">
        <f>IF(A205&gt;SV_T,0,V204*(1+SV_saRate)+IF(A205&gt;=SV_effStop,0,INDEX(SV_cpfMA,R205)*INDEX(SV_cpfTot,R205)*S205))</f>
        <v/>
      </c>
      <c r="W205" s="29">
        <f>IF(OR(OR(A205&lt;1,A205&gt;SV_T),A205&gt;=SV_effNeg),0,-(INDEX(SV_cpfOA,R205)+INDEX(SV_cpfSA,R205)+INDEX(SV_cpfMA,R205))*INDEX(SV_cpfEmp,R205)*S205)</f>
        <v/>
      </c>
      <c r="X205" s="29">
        <f>IF(A205&gt;=SV_sIdx,0,T205)</f>
        <v/>
      </c>
      <c r="Y205" s="29">
        <f>IF(A205&gt;=SV_sIdx,0,U205)</f>
        <v/>
      </c>
      <c r="Z205" s="29">
        <f>IF(A205&gt;=SV_sIdx,MIN(V205,SV_maCap),V205)</f>
        <v/>
      </c>
      <c r="AA205" s="29">
        <f>IF(AND(SV_cpfOn,A205&gt;=SV_pIdx,A205&lt;=SV_T),12*SV_pay,0)</f>
        <v/>
      </c>
      <c r="AB205" s="29">
        <f>IF(A205&gt;SV_T,0,IF(SV_sp&gt;=0,IF(A205&lt;SV_sIdx,0,IF(A205=SV_sIdx,SV_R0,SV_lifeGrowth*AB204)),SV_lifeGrowth*AB204))</f>
        <v/>
      </c>
      <c r="AC205" s="29">
        <f>IF(A205&gt;SV_T,0,IF(AND(SV_sp&gt;=0,A205&lt;SV_sIdx),0,IF(AND(SV_sp&gt;=0,A205=SV_sIdx),SV_L0,SV_lifeGrowth*(AC204-AA205))))</f>
        <v/>
      </c>
      <c r="AD205" s="29">
        <f>X205+Y205+AB205+Z205+IF(AB205&lt;0,0,AC205)</f>
        <v/>
      </c>
      <c r="AE205" s="29">
        <f>AA205+W205</f>
        <v/>
      </c>
      <c r="AF205" s="29">
        <f>IF(OR(A205&gt;SV_T,A205&gt;=SV_loanYears),0,MAX(0,AF204*(1+loanRate)-SV_inst))</f>
        <v/>
      </c>
      <c r="AG205" s="29">
        <f>IF(A205&gt;SV_T,0,AG204*(1+SV_savRate)+H205+I205+J205+K205+L205+AE205)</f>
        <v/>
      </c>
      <c r="AH205" s="29">
        <f>IF(A205&gt;SV_T,0,MAX(0,O205+P205+Q205+AD205+AG205-AF205))</f>
        <v/>
      </c>
      <c r="AI205" s="29">
        <f>IF(A205&gt;SV_T,0,O205+P205+AG205-MAX(0,AF205-(Q205+AD205)))</f>
        <v/>
      </c>
      <c r="AJ205" s="29">
        <f>IF(OR(OR(A205&lt;1,A205&gt;SV_T),A205-1&gt;=SV_retPay),0,SV_retMth*12+IF(A205=1,SV_retLump,0))</f>
        <v/>
      </c>
      <c r="AK205" s="29">
        <f>IF(A205&gt;SV_T,0,(AK204+AJ205)*(1+investmentReturn))</f>
        <v/>
      </c>
      <c r="AL205" s="29">
        <f>IF(OR(A205&lt;1,A205&gt;SV_T),0,IF(A205-1&gt;=SV_EDUPay,0,SV_EDUMth*12+IF(A205=1,SV_EDULump,0))+IF(A205-1&gt;=SV_SAVPay,0,SV_SAVMth*12+IF(A205=1,SV_SAVLump,0))+IF(A205-1&gt;=SV_PRPPay,0,SV_PRPMth*12+IF(A205=1,SV_PRPLump,0)))</f>
        <v/>
      </c>
      <c r="AM205" s="29">
        <f>IF(A205&gt;SV_T,0,(AM204+AL205)*(1+investmentReturn))</f>
        <v/>
      </c>
      <c r="AN205" s="29">
        <f>IF(OR(OR(A205&lt;1,A205&gt;SV_T),A205-1&gt;=SV_protPay),0,SV_protPrem)</f>
        <v/>
      </c>
      <c r="AO205" s="29">
        <f>IF(OR(A205=0,A205&gt;=SV_T),0,ROUND(MAX(0,AK205),2)+ROUND(MAX(0,AM205),2))</f>
        <v/>
      </c>
      <c r="AP205" s="29">
        <f>IF(OR(A205&lt;1,A205&gt;SV_T),0,-(AJ205+AL205+AN205)+IF(A205=SV_T,ROUND(MAX(0,AK205),2)+ROUND(MAX(0,AM205),2),0))</f>
        <v/>
      </c>
      <c r="AQ205" s="29">
        <f>IF(A205&gt;SV_T,0,AQ204*(1+SV_savRate)+H205+I205+J205+K205+L205+AE205+AP205)</f>
        <v/>
      </c>
      <c r="AR205" s="29">
        <f>IF(A205&gt;SV_T,0,MAX(0,O205+P205+Q205+AD205+AQ205+AO205-AF205))</f>
        <v/>
      </c>
      <c r="AS205" s="29">
        <f>IF(A205&gt;SV_T,0,O205+P205+AQ205+AO205-MAX(0,AF205-(Q205+AD205)))</f>
        <v/>
      </c>
    </row>
    <row r="206">
      <c r="A206" s="61" t="n">
        <v>34</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IF(OR(OR(A206&lt;1,A206&gt;SV_T),A206-1&gt;=SV_salCut,AND(SV_deaOn,A206&gt;=SV_deaM)),0,SV_sal0*(1+incomeGrowthRate)^(A206-1)*G206)</f>
        <v/>
      </c>
      <c r="I206" s="29">
        <f>IF(OR(A206&lt;1,A206&gt;SV_T),0,(-SV_exp0*F206-IF(A206&lt;=SV_loanYears,SV_inst,0)-IF(AND(SV_wdEDUAmt&gt;0,A206=SV_wdEDUYear),SV_wdEDUAmt,0)-IF(AND(SV_wdSAVAmt&gt;0,A206=SV_wdSAVYear),SV_wdSAVAmt,0)-IF(AND(SV_wdPRPAmt&gt;0,A206=SV_wdPRPYear),SV_wdPRPAmt,0))*IF(AND(SV_expOn,A206&gt;=SV_expS,A206&lt;=SV_expE),1+SV_expImp,1))</f>
        <v/>
      </c>
      <c r="J206" s="29">
        <f>IF(OR(A206&lt;1,A206&gt;SV_T),0,-F206*(IF(AND(SV_deaOn,A206=SV_deaM),SV_deaAmt,0)+IF(AND(SV_criOn,A206=SV_criM),SV_criAmt,0)+IF(AND(SV_tpdOn,A206=SV_tpdM),SV_tpdAmt,0)+IF(AND(SV_pacOn,A206=SV_pacM),SV_pacAmt,0)+IF(AND(SV_hosOn,A206=SV_hosM),SV_hosAmt,0)+IF(AND(SV_wedOn,A206=SV_wedM),SV_wedAmt,0)+IF(AND(SV_babOn,A206=SV_babM),SV_babAmt,0)+IF(AND(SV_ltcOn,A206&gt;=SV_ltcM,A206&lt;=SV_ltcE),SV_ltcAmt,0)))</f>
        <v/>
      </c>
      <c r="K206" s="29">
        <f>IF(OR(OR(A206&lt;1,A206&gt;SV_T),A206&gt;SV_loanYears),0,-SV_lifePremYr)</f>
        <v/>
      </c>
      <c r="L206" s="29">
        <f>IF(OR(A206&lt;1,A206&gt;SV_T),0,-SV_contrib)</f>
        <v/>
      </c>
      <c r="M206" s="60">
        <f>IF(AND(SV_crashOn,A206=SV_crashYr),SV_crashF,1)</f>
        <v/>
      </c>
      <c r="N206" s="60">
        <f>IF(AND(SV_ccyOn,A206=SV_ccyYr),SV_ccyF,1)</f>
        <v/>
      </c>
      <c r="O206" s="29">
        <f>IF(A206&gt;SV_T,0,O205*(1+interestRate)*M206*N206)</f>
        <v/>
      </c>
      <c r="P206" s="29">
        <f>IF(A206&gt;SV_T,0,(P205+SV_contrib)*(1+investmentReturn)*M206*N206)</f>
        <v/>
      </c>
      <c r="Q206" s="29">
        <f>IF(A206&gt;SV_T,0,Q205*(1+SV_propRate)*M206)</f>
        <v/>
      </c>
      <c r="R206" s="46">
        <f>MATCH(SV_age+A206-1,SV_cpfLower,1)</f>
        <v/>
      </c>
      <c r="S206" s="29">
        <f>IF(OR(OR(A206&lt;1,A206&gt;SV_T),NOT(SV_cpfOn),AND(SV_deaOn,A206&gt;=SV_deaM)),0,MIN(SV_sal0*(1+incomeGrowthRate)^(A206-1)*G206,SV_owCap))</f>
        <v/>
      </c>
      <c r="T206" s="29">
        <f>IF(A206&gt;SV_T,0,T205*(1+SV_oaRate)+IF(A206&gt;=SV_effStop,0,INDEX(SV_cpfOA,R206)*INDEX(SV_cpfTot,R206)*S206))</f>
        <v/>
      </c>
      <c r="U206" s="29">
        <f>IF(A206&gt;SV_T,0,U205*(1+SV_saRate)+IF(A206&gt;=SV_effStop,0,INDEX(SV_cpfSA,R206)*INDEX(SV_cpfTot,R206)*S206))</f>
        <v/>
      </c>
      <c r="V206" s="29">
        <f>IF(A206&gt;SV_T,0,V205*(1+SV_saRate)+IF(A206&gt;=SV_effStop,0,INDEX(SV_cpfMA,R206)*INDEX(SV_cpfTot,R206)*S206))</f>
        <v/>
      </c>
      <c r="W206" s="29">
        <f>IF(OR(OR(A206&lt;1,A206&gt;SV_T),A206&gt;=SV_effNeg),0,-(INDEX(SV_cpfOA,R206)+INDEX(SV_cpfSA,R206)+INDEX(SV_cpfMA,R206))*INDEX(SV_cpfEmp,R206)*S206)</f>
        <v/>
      </c>
      <c r="X206" s="29">
        <f>IF(A206&gt;=SV_sIdx,0,T206)</f>
        <v/>
      </c>
      <c r="Y206" s="29">
        <f>IF(A206&gt;=SV_sIdx,0,U206)</f>
        <v/>
      </c>
      <c r="Z206" s="29">
        <f>IF(A206&gt;=SV_sIdx,MIN(V206,SV_maCap),V206)</f>
        <v/>
      </c>
      <c r="AA206" s="29">
        <f>IF(AND(SV_cpfOn,A206&gt;=SV_pIdx,A206&lt;=SV_T),12*SV_pay,0)</f>
        <v/>
      </c>
      <c r="AB206" s="29">
        <f>IF(A206&gt;SV_T,0,IF(SV_sp&gt;=0,IF(A206&lt;SV_sIdx,0,IF(A206=SV_sIdx,SV_R0,SV_lifeGrowth*AB205)),SV_lifeGrowth*AB205))</f>
        <v/>
      </c>
      <c r="AC206" s="29">
        <f>IF(A206&gt;SV_T,0,IF(AND(SV_sp&gt;=0,A206&lt;SV_sIdx),0,IF(AND(SV_sp&gt;=0,A206=SV_sIdx),SV_L0,SV_lifeGrowth*(AC205-AA206))))</f>
        <v/>
      </c>
      <c r="AD206" s="29">
        <f>X206+Y206+AB206+Z206+IF(AB206&lt;0,0,AC206)</f>
        <v/>
      </c>
      <c r="AE206" s="29">
        <f>AA206+W206</f>
        <v/>
      </c>
      <c r="AF206" s="29">
        <f>IF(OR(A206&gt;SV_T,A206&gt;=SV_loanYears),0,MAX(0,AF205*(1+loanRate)-SV_inst))</f>
        <v/>
      </c>
      <c r="AG206" s="29">
        <f>IF(A206&gt;SV_T,0,AG205*(1+SV_savRate)+H206+I206+J206+K206+L206+AE206)</f>
        <v/>
      </c>
      <c r="AH206" s="29">
        <f>IF(A206&gt;SV_T,0,MAX(0,O206+P206+Q206+AD206+AG206-AF206))</f>
        <v/>
      </c>
      <c r="AI206" s="29">
        <f>IF(A206&gt;SV_T,0,O206+P206+AG206-MAX(0,AF206-(Q206+AD206)))</f>
        <v/>
      </c>
      <c r="AJ206" s="29">
        <f>IF(OR(OR(A206&lt;1,A206&gt;SV_T),A206-1&gt;=SV_retPay),0,SV_retMth*12+IF(A206=1,SV_retLump,0))</f>
        <v/>
      </c>
      <c r="AK206" s="29">
        <f>IF(A206&gt;SV_T,0,(AK205+AJ206)*(1+investmentReturn))</f>
        <v/>
      </c>
      <c r="AL206" s="29">
        <f>IF(OR(A206&lt;1,A206&gt;SV_T),0,IF(A206-1&gt;=SV_EDUPay,0,SV_EDUMth*12+IF(A206=1,SV_EDULump,0))+IF(A206-1&gt;=SV_SAVPay,0,SV_SAVMth*12+IF(A206=1,SV_SAVLump,0))+IF(A206-1&gt;=SV_PRPPay,0,SV_PRPMth*12+IF(A206=1,SV_PRPLump,0)))</f>
        <v/>
      </c>
      <c r="AM206" s="29">
        <f>IF(A206&gt;SV_T,0,(AM205+AL206)*(1+investmentReturn))</f>
        <v/>
      </c>
      <c r="AN206" s="29">
        <f>IF(OR(OR(A206&lt;1,A206&gt;SV_T),A206-1&gt;=SV_protPay),0,SV_protPrem)</f>
        <v/>
      </c>
      <c r="AO206" s="29">
        <f>IF(OR(A206=0,A206&gt;=SV_T),0,ROUND(MAX(0,AK206),2)+ROUND(MAX(0,AM206),2))</f>
        <v/>
      </c>
      <c r="AP206" s="29">
        <f>IF(OR(A206&lt;1,A206&gt;SV_T),0,-(AJ206+AL206+AN206)+IF(A206=SV_T,ROUND(MAX(0,AK206),2)+ROUND(MAX(0,AM206),2),0))</f>
        <v/>
      </c>
      <c r="AQ206" s="29">
        <f>IF(A206&gt;SV_T,0,AQ205*(1+SV_savRate)+H206+I206+J206+K206+L206+AE206+AP206)</f>
        <v/>
      </c>
      <c r="AR206" s="29">
        <f>IF(A206&gt;SV_T,0,MAX(0,O206+P206+Q206+AD206+AQ206+AO206-AF206))</f>
        <v/>
      </c>
      <c r="AS206" s="29">
        <f>IF(A206&gt;SV_T,0,O206+P206+AQ206+AO206-MAX(0,AF206-(Q206+AD206)))</f>
        <v/>
      </c>
    </row>
    <row r="207">
      <c r="A207" s="61" t="n">
        <v>35</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IF(OR(OR(A207&lt;1,A207&gt;SV_T),A207-1&gt;=SV_salCut,AND(SV_deaOn,A207&gt;=SV_deaM)),0,SV_sal0*(1+incomeGrowthRate)^(A207-1)*G207)</f>
        <v/>
      </c>
      <c r="I207" s="29">
        <f>IF(OR(A207&lt;1,A207&gt;SV_T),0,(-SV_exp0*F207-IF(A207&lt;=SV_loanYears,SV_inst,0)-IF(AND(SV_wdEDUAmt&gt;0,A207=SV_wdEDUYear),SV_wdEDUAmt,0)-IF(AND(SV_wdSAVAmt&gt;0,A207=SV_wdSAVYear),SV_wdSAVAmt,0)-IF(AND(SV_wdPRPAmt&gt;0,A207=SV_wdPRPYear),SV_wdPRPAmt,0))*IF(AND(SV_expOn,A207&gt;=SV_expS,A207&lt;=SV_expE),1+SV_expImp,1))</f>
        <v/>
      </c>
      <c r="J207" s="29">
        <f>IF(OR(A207&lt;1,A207&gt;SV_T),0,-F207*(IF(AND(SV_deaOn,A207=SV_deaM),SV_deaAmt,0)+IF(AND(SV_criOn,A207=SV_criM),SV_criAmt,0)+IF(AND(SV_tpdOn,A207=SV_tpdM),SV_tpdAmt,0)+IF(AND(SV_pacOn,A207=SV_pacM),SV_pacAmt,0)+IF(AND(SV_hosOn,A207=SV_hosM),SV_hosAmt,0)+IF(AND(SV_wedOn,A207=SV_wedM),SV_wedAmt,0)+IF(AND(SV_babOn,A207=SV_babM),SV_babAmt,0)+IF(AND(SV_ltcOn,A207&gt;=SV_ltcM,A207&lt;=SV_ltcE),SV_ltcAmt,0)))</f>
        <v/>
      </c>
      <c r="K207" s="29">
        <f>IF(OR(OR(A207&lt;1,A207&gt;SV_T),A207&gt;SV_loanYears),0,-SV_lifePremYr)</f>
        <v/>
      </c>
      <c r="L207" s="29">
        <f>IF(OR(A207&lt;1,A207&gt;SV_T),0,-SV_contrib)</f>
        <v/>
      </c>
      <c r="M207" s="60">
        <f>IF(AND(SV_crashOn,A207=SV_crashYr),SV_crashF,1)</f>
        <v/>
      </c>
      <c r="N207" s="60">
        <f>IF(AND(SV_ccyOn,A207=SV_ccyYr),SV_ccyF,1)</f>
        <v/>
      </c>
      <c r="O207" s="29">
        <f>IF(A207&gt;SV_T,0,O206*(1+interestRate)*M207*N207)</f>
        <v/>
      </c>
      <c r="P207" s="29">
        <f>IF(A207&gt;SV_T,0,(P206+SV_contrib)*(1+investmentReturn)*M207*N207)</f>
        <v/>
      </c>
      <c r="Q207" s="29">
        <f>IF(A207&gt;SV_T,0,Q206*(1+SV_propRate)*M207)</f>
        <v/>
      </c>
      <c r="R207" s="46">
        <f>MATCH(SV_age+A207-1,SV_cpfLower,1)</f>
        <v/>
      </c>
      <c r="S207" s="29">
        <f>IF(OR(OR(A207&lt;1,A207&gt;SV_T),NOT(SV_cpfOn),AND(SV_deaOn,A207&gt;=SV_deaM)),0,MIN(SV_sal0*(1+incomeGrowthRate)^(A207-1)*G207,SV_owCap))</f>
        <v/>
      </c>
      <c r="T207" s="29">
        <f>IF(A207&gt;SV_T,0,T206*(1+SV_oaRate)+IF(A207&gt;=SV_effStop,0,INDEX(SV_cpfOA,R207)*INDEX(SV_cpfTot,R207)*S207))</f>
        <v/>
      </c>
      <c r="U207" s="29">
        <f>IF(A207&gt;SV_T,0,U206*(1+SV_saRate)+IF(A207&gt;=SV_effStop,0,INDEX(SV_cpfSA,R207)*INDEX(SV_cpfTot,R207)*S207))</f>
        <v/>
      </c>
      <c r="V207" s="29">
        <f>IF(A207&gt;SV_T,0,V206*(1+SV_saRate)+IF(A207&gt;=SV_effStop,0,INDEX(SV_cpfMA,R207)*INDEX(SV_cpfTot,R207)*S207))</f>
        <v/>
      </c>
      <c r="W207" s="29">
        <f>IF(OR(OR(A207&lt;1,A207&gt;SV_T),A207&gt;=SV_effNeg),0,-(INDEX(SV_cpfOA,R207)+INDEX(SV_cpfSA,R207)+INDEX(SV_cpfMA,R207))*INDEX(SV_cpfEmp,R207)*S207)</f>
        <v/>
      </c>
      <c r="X207" s="29">
        <f>IF(A207&gt;=SV_sIdx,0,T207)</f>
        <v/>
      </c>
      <c r="Y207" s="29">
        <f>IF(A207&gt;=SV_sIdx,0,U207)</f>
        <v/>
      </c>
      <c r="Z207" s="29">
        <f>IF(A207&gt;=SV_sIdx,MIN(V207,SV_maCap),V207)</f>
        <v/>
      </c>
      <c r="AA207" s="29">
        <f>IF(AND(SV_cpfOn,A207&gt;=SV_pIdx,A207&lt;=SV_T),12*SV_pay,0)</f>
        <v/>
      </c>
      <c r="AB207" s="29">
        <f>IF(A207&gt;SV_T,0,IF(SV_sp&gt;=0,IF(A207&lt;SV_sIdx,0,IF(A207=SV_sIdx,SV_R0,SV_lifeGrowth*AB206)),SV_lifeGrowth*AB206))</f>
        <v/>
      </c>
      <c r="AC207" s="29">
        <f>IF(A207&gt;SV_T,0,IF(AND(SV_sp&gt;=0,A207&lt;SV_sIdx),0,IF(AND(SV_sp&gt;=0,A207=SV_sIdx),SV_L0,SV_lifeGrowth*(AC206-AA207))))</f>
        <v/>
      </c>
      <c r="AD207" s="29">
        <f>X207+Y207+AB207+Z207+IF(AB207&lt;0,0,AC207)</f>
        <v/>
      </c>
      <c r="AE207" s="29">
        <f>AA207+W207</f>
        <v/>
      </c>
      <c r="AF207" s="29">
        <f>IF(OR(A207&gt;SV_T,A207&gt;=SV_loanYears),0,MAX(0,AF206*(1+loanRate)-SV_inst))</f>
        <v/>
      </c>
      <c r="AG207" s="29">
        <f>IF(A207&gt;SV_T,0,AG206*(1+SV_savRate)+H207+I207+J207+K207+L207+AE207)</f>
        <v/>
      </c>
      <c r="AH207" s="29">
        <f>IF(A207&gt;SV_T,0,MAX(0,O207+P207+Q207+AD207+AG207-AF207))</f>
        <v/>
      </c>
      <c r="AI207" s="29">
        <f>IF(A207&gt;SV_T,0,O207+P207+AG207-MAX(0,AF207-(Q207+AD207)))</f>
        <v/>
      </c>
      <c r="AJ207" s="29">
        <f>IF(OR(OR(A207&lt;1,A207&gt;SV_T),A207-1&gt;=SV_retPay),0,SV_retMth*12+IF(A207=1,SV_retLump,0))</f>
        <v/>
      </c>
      <c r="AK207" s="29">
        <f>IF(A207&gt;SV_T,0,(AK206+AJ207)*(1+investmentReturn))</f>
        <v/>
      </c>
      <c r="AL207" s="29">
        <f>IF(OR(A207&lt;1,A207&gt;SV_T),0,IF(A207-1&gt;=SV_EDUPay,0,SV_EDUMth*12+IF(A207=1,SV_EDULump,0))+IF(A207-1&gt;=SV_SAVPay,0,SV_SAVMth*12+IF(A207=1,SV_SAVLump,0))+IF(A207-1&gt;=SV_PRPPay,0,SV_PRPMth*12+IF(A207=1,SV_PRPLump,0)))</f>
        <v/>
      </c>
      <c r="AM207" s="29">
        <f>IF(A207&gt;SV_T,0,(AM206+AL207)*(1+investmentReturn))</f>
        <v/>
      </c>
      <c r="AN207" s="29">
        <f>IF(OR(OR(A207&lt;1,A207&gt;SV_T),A207-1&gt;=SV_protPay),0,SV_protPrem)</f>
        <v/>
      </c>
      <c r="AO207" s="29">
        <f>IF(OR(A207=0,A207&gt;=SV_T),0,ROUND(MAX(0,AK207),2)+ROUND(MAX(0,AM207),2))</f>
        <v/>
      </c>
      <c r="AP207" s="29">
        <f>IF(OR(A207&lt;1,A207&gt;SV_T),0,-(AJ207+AL207+AN207)+IF(A207=SV_T,ROUND(MAX(0,AK207),2)+ROUND(MAX(0,AM207),2),0))</f>
        <v/>
      </c>
      <c r="AQ207" s="29">
        <f>IF(A207&gt;SV_T,0,AQ206*(1+SV_savRate)+H207+I207+J207+K207+L207+AE207+AP207)</f>
        <v/>
      </c>
      <c r="AR207" s="29">
        <f>IF(A207&gt;SV_T,0,MAX(0,O207+P207+Q207+AD207+AQ207+AO207-AF207))</f>
        <v/>
      </c>
      <c r="AS207" s="29">
        <f>IF(A207&gt;SV_T,0,O207+P207+AQ207+AO207-MAX(0,AF207-(Q207+AD207)))</f>
        <v/>
      </c>
    </row>
    <row r="208">
      <c r="A208" s="61" t="n">
        <v>36</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IF(OR(OR(A208&lt;1,A208&gt;SV_T),A208-1&gt;=SV_salCut,AND(SV_deaOn,A208&gt;=SV_deaM)),0,SV_sal0*(1+incomeGrowthRate)^(A208-1)*G208)</f>
        <v/>
      </c>
      <c r="I208" s="29">
        <f>IF(OR(A208&lt;1,A208&gt;SV_T),0,(-SV_exp0*F208-IF(A208&lt;=SV_loanYears,SV_inst,0)-IF(AND(SV_wdEDUAmt&gt;0,A208=SV_wdEDUYear),SV_wdEDUAmt,0)-IF(AND(SV_wdSAVAmt&gt;0,A208=SV_wdSAVYear),SV_wdSAVAmt,0)-IF(AND(SV_wdPRPAmt&gt;0,A208=SV_wdPRPYear),SV_wdPRPAmt,0))*IF(AND(SV_expOn,A208&gt;=SV_expS,A208&lt;=SV_expE),1+SV_expImp,1))</f>
        <v/>
      </c>
      <c r="J208" s="29">
        <f>IF(OR(A208&lt;1,A208&gt;SV_T),0,-F208*(IF(AND(SV_deaOn,A208=SV_deaM),SV_deaAmt,0)+IF(AND(SV_criOn,A208=SV_criM),SV_criAmt,0)+IF(AND(SV_tpdOn,A208=SV_tpdM),SV_tpdAmt,0)+IF(AND(SV_pacOn,A208=SV_pacM),SV_pacAmt,0)+IF(AND(SV_hosOn,A208=SV_hosM),SV_hosAmt,0)+IF(AND(SV_wedOn,A208=SV_wedM),SV_wedAmt,0)+IF(AND(SV_babOn,A208=SV_babM),SV_babAmt,0)+IF(AND(SV_ltcOn,A208&gt;=SV_ltcM,A208&lt;=SV_ltcE),SV_ltcAmt,0)))</f>
        <v/>
      </c>
      <c r="K208" s="29">
        <f>IF(OR(OR(A208&lt;1,A208&gt;SV_T),A208&gt;SV_loanYears),0,-SV_lifePremYr)</f>
        <v/>
      </c>
      <c r="L208" s="29">
        <f>IF(OR(A208&lt;1,A208&gt;SV_T),0,-SV_contrib)</f>
        <v/>
      </c>
      <c r="M208" s="60">
        <f>IF(AND(SV_crashOn,A208=SV_crashYr),SV_crashF,1)</f>
        <v/>
      </c>
      <c r="N208" s="60">
        <f>IF(AND(SV_ccyOn,A208=SV_ccyYr),SV_ccyF,1)</f>
        <v/>
      </c>
      <c r="O208" s="29">
        <f>IF(A208&gt;SV_T,0,O207*(1+interestRate)*M208*N208)</f>
        <v/>
      </c>
      <c r="P208" s="29">
        <f>IF(A208&gt;SV_T,0,(P207+SV_contrib)*(1+investmentReturn)*M208*N208)</f>
        <v/>
      </c>
      <c r="Q208" s="29">
        <f>IF(A208&gt;SV_T,0,Q207*(1+SV_propRate)*M208)</f>
        <v/>
      </c>
      <c r="R208" s="46">
        <f>MATCH(SV_age+A208-1,SV_cpfLower,1)</f>
        <v/>
      </c>
      <c r="S208" s="29">
        <f>IF(OR(OR(A208&lt;1,A208&gt;SV_T),NOT(SV_cpfOn),AND(SV_deaOn,A208&gt;=SV_deaM)),0,MIN(SV_sal0*(1+incomeGrowthRate)^(A208-1)*G208,SV_owCap))</f>
        <v/>
      </c>
      <c r="T208" s="29">
        <f>IF(A208&gt;SV_T,0,T207*(1+SV_oaRate)+IF(A208&gt;=SV_effStop,0,INDEX(SV_cpfOA,R208)*INDEX(SV_cpfTot,R208)*S208))</f>
        <v/>
      </c>
      <c r="U208" s="29">
        <f>IF(A208&gt;SV_T,0,U207*(1+SV_saRate)+IF(A208&gt;=SV_effStop,0,INDEX(SV_cpfSA,R208)*INDEX(SV_cpfTot,R208)*S208))</f>
        <v/>
      </c>
      <c r="V208" s="29">
        <f>IF(A208&gt;SV_T,0,V207*(1+SV_saRate)+IF(A208&gt;=SV_effStop,0,INDEX(SV_cpfMA,R208)*INDEX(SV_cpfTot,R208)*S208))</f>
        <v/>
      </c>
      <c r="W208" s="29">
        <f>IF(OR(OR(A208&lt;1,A208&gt;SV_T),A208&gt;=SV_effNeg),0,-(INDEX(SV_cpfOA,R208)+INDEX(SV_cpfSA,R208)+INDEX(SV_cpfMA,R208))*INDEX(SV_cpfEmp,R208)*S208)</f>
        <v/>
      </c>
      <c r="X208" s="29">
        <f>IF(A208&gt;=SV_sIdx,0,T208)</f>
        <v/>
      </c>
      <c r="Y208" s="29">
        <f>IF(A208&gt;=SV_sIdx,0,U208)</f>
        <v/>
      </c>
      <c r="Z208" s="29">
        <f>IF(A208&gt;=SV_sIdx,MIN(V208,SV_maCap),V208)</f>
        <v/>
      </c>
      <c r="AA208" s="29">
        <f>IF(AND(SV_cpfOn,A208&gt;=SV_pIdx,A208&lt;=SV_T),12*SV_pay,0)</f>
        <v/>
      </c>
      <c r="AB208" s="29">
        <f>IF(A208&gt;SV_T,0,IF(SV_sp&gt;=0,IF(A208&lt;SV_sIdx,0,IF(A208=SV_sIdx,SV_R0,SV_lifeGrowth*AB207)),SV_lifeGrowth*AB207))</f>
        <v/>
      </c>
      <c r="AC208" s="29">
        <f>IF(A208&gt;SV_T,0,IF(AND(SV_sp&gt;=0,A208&lt;SV_sIdx),0,IF(AND(SV_sp&gt;=0,A208=SV_sIdx),SV_L0,SV_lifeGrowth*(AC207-AA208))))</f>
        <v/>
      </c>
      <c r="AD208" s="29">
        <f>X208+Y208+AB208+Z208+IF(AB208&lt;0,0,AC208)</f>
        <v/>
      </c>
      <c r="AE208" s="29">
        <f>AA208+W208</f>
        <v/>
      </c>
      <c r="AF208" s="29">
        <f>IF(OR(A208&gt;SV_T,A208&gt;=SV_loanYears),0,MAX(0,AF207*(1+loanRate)-SV_inst))</f>
        <v/>
      </c>
      <c r="AG208" s="29">
        <f>IF(A208&gt;SV_T,0,AG207*(1+SV_savRate)+H208+I208+J208+K208+L208+AE208)</f>
        <v/>
      </c>
      <c r="AH208" s="29">
        <f>IF(A208&gt;SV_T,0,MAX(0,O208+P208+Q208+AD208+AG208-AF208))</f>
        <v/>
      </c>
      <c r="AI208" s="29">
        <f>IF(A208&gt;SV_T,0,O208+P208+AG208-MAX(0,AF208-(Q208+AD208)))</f>
        <v/>
      </c>
      <c r="AJ208" s="29">
        <f>IF(OR(OR(A208&lt;1,A208&gt;SV_T),A208-1&gt;=SV_retPay),0,SV_retMth*12+IF(A208=1,SV_retLump,0))</f>
        <v/>
      </c>
      <c r="AK208" s="29">
        <f>IF(A208&gt;SV_T,0,(AK207+AJ208)*(1+investmentReturn))</f>
        <v/>
      </c>
      <c r="AL208" s="29">
        <f>IF(OR(A208&lt;1,A208&gt;SV_T),0,IF(A208-1&gt;=SV_EDUPay,0,SV_EDUMth*12+IF(A208=1,SV_EDULump,0))+IF(A208-1&gt;=SV_SAVPay,0,SV_SAVMth*12+IF(A208=1,SV_SAVLump,0))+IF(A208-1&gt;=SV_PRPPay,0,SV_PRPMth*12+IF(A208=1,SV_PRPLump,0)))</f>
        <v/>
      </c>
      <c r="AM208" s="29">
        <f>IF(A208&gt;SV_T,0,(AM207+AL208)*(1+investmentReturn))</f>
        <v/>
      </c>
      <c r="AN208" s="29">
        <f>IF(OR(OR(A208&lt;1,A208&gt;SV_T),A208-1&gt;=SV_protPay),0,SV_protPrem)</f>
        <v/>
      </c>
      <c r="AO208" s="29">
        <f>IF(OR(A208=0,A208&gt;=SV_T),0,ROUND(MAX(0,AK208),2)+ROUND(MAX(0,AM208),2))</f>
        <v/>
      </c>
      <c r="AP208" s="29">
        <f>IF(OR(A208&lt;1,A208&gt;SV_T),0,-(AJ208+AL208+AN208)+IF(A208=SV_T,ROUND(MAX(0,AK208),2)+ROUND(MAX(0,AM208),2),0))</f>
        <v/>
      </c>
      <c r="AQ208" s="29">
        <f>IF(A208&gt;SV_T,0,AQ207*(1+SV_savRate)+H208+I208+J208+K208+L208+AE208+AP208)</f>
        <v/>
      </c>
      <c r="AR208" s="29">
        <f>IF(A208&gt;SV_T,0,MAX(0,O208+P208+Q208+AD208+AQ208+AO208-AF208))</f>
        <v/>
      </c>
      <c r="AS208" s="29">
        <f>IF(A208&gt;SV_T,0,O208+P208+AQ208+AO208-MAX(0,AF208-(Q208+AD208)))</f>
        <v/>
      </c>
    </row>
    <row r="209">
      <c r="A209" s="61" t="n">
        <v>37</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IF(OR(OR(A209&lt;1,A209&gt;SV_T),A209-1&gt;=SV_salCut,AND(SV_deaOn,A209&gt;=SV_deaM)),0,SV_sal0*(1+incomeGrowthRate)^(A209-1)*G209)</f>
        <v/>
      </c>
      <c r="I209" s="29">
        <f>IF(OR(A209&lt;1,A209&gt;SV_T),0,(-SV_exp0*F209-IF(A209&lt;=SV_loanYears,SV_inst,0)-IF(AND(SV_wdEDUAmt&gt;0,A209=SV_wdEDUYear),SV_wdEDUAmt,0)-IF(AND(SV_wdSAVAmt&gt;0,A209=SV_wdSAVYear),SV_wdSAVAmt,0)-IF(AND(SV_wdPRPAmt&gt;0,A209=SV_wdPRPYear),SV_wdPRPAmt,0))*IF(AND(SV_expOn,A209&gt;=SV_expS,A209&lt;=SV_expE),1+SV_expImp,1))</f>
        <v/>
      </c>
      <c r="J209" s="29">
        <f>IF(OR(A209&lt;1,A209&gt;SV_T),0,-F209*(IF(AND(SV_deaOn,A209=SV_deaM),SV_deaAmt,0)+IF(AND(SV_criOn,A209=SV_criM),SV_criAmt,0)+IF(AND(SV_tpdOn,A209=SV_tpdM),SV_tpdAmt,0)+IF(AND(SV_pacOn,A209=SV_pacM),SV_pacAmt,0)+IF(AND(SV_hosOn,A209=SV_hosM),SV_hosAmt,0)+IF(AND(SV_wedOn,A209=SV_wedM),SV_wedAmt,0)+IF(AND(SV_babOn,A209=SV_babM),SV_babAmt,0)+IF(AND(SV_ltcOn,A209&gt;=SV_ltcM,A209&lt;=SV_ltcE),SV_ltcAmt,0)))</f>
        <v/>
      </c>
      <c r="K209" s="29">
        <f>IF(OR(OR(A209&lt;1,A209&gt;SV_T),A209&gt;SV_loanYears),0,-SV_lifePremYr)</f>
        <v/>
      </c>
      <c r="L209" s="29">
        <f>IF(OR(A209&lt;1,A209&gt;SV_T),0,-SV_contrib)</f>
        <v/>
      </c>
      <c r="M209" s="60">
        <f>IF(AND(SV_crashOn,A209=SV_crashYr),SV_crashF,1)</f>
        <v/>
      </c>
      <c r="N209" s="60">
        <f>IF(AND(SV_ccyOn,A209=SV_ccyYr),SV_ccyF,1)</f>
        <v/>
      </c>
      <c r="O209" s="29">
        <f>IF(A209&gt;SV_T,0,O208*(1+interestRate)*M209*N209)</f>
        <v/>
      </c>
      <c r="P209" s="29">
        <f>IF(A209&gt;SV_T,0,(P208+SV_contrib)*(1+investmentReturn)*M209*N209)</f>
        <v/>
      </c>
      <c r="Q209" s="29">
        <f>IF(A209&gt;SV_T,0,Q208*(1+SV_propRate)*M209)</f>
        <v/>
      </c>
      <c r="R209" s="46">
        <f>MATCH(SV_age+A209-1,SV_cpfLower,1)</f>
        <v/>
      </c>
      <c r="S209" s="29">
        <f>IF(OR(OR(A209&lt;1,A209&gt;SV_T),NOT(SV_cpfOn),AND(SV_deaOn,A209&gt;=SV_deaM)),0,MIN(SV_sal0*(1+incomeGrowthRate)^(A209-1)*G209,SV_owCap))</f>
        <v/>
      </c>
      <c r="T209" s="29">
        <f>IF(A209&gt;SV_T,0,T208*(1+SV_oaRate)+IF(A209&gt;=SV_effStop,0,INDEX(SV_cpfOA,R209)*INDEX(SV_cpfTot,R209)*S209))</f>
        <v/>
      </c>
      <c r="U209" s="29">
        <f>IF(A209&gt;SV_T,0,U208*(1+SV_saRate)+IF(A209&gt;=SV_effStop,0,INDEX(SV_cpfSA,R209)*INDEX(SV_cpfTot,R209)*S209))</f>
        <v/>
      </c>
      <c r="V209" s="29">
        <f>IF(A209&gt;SV_T,0,V208*(1+SV_saRate)+IF(A209&gt;=SV_effStop,0,INDEX(SV_cpfMA,R209)*INDEX(SV_cpfTot,R209)*S209))</f>
        <v/>
      </c>
      <c r="W209" s="29">
        <f>IF(OR(OR(A209&lt;1,A209&gt;SV_T),A209&gt;=SV_effNeg),0,-(INDEX(SV_cpfOA,R209)+INDEX(SV_cpfSA,R209)+INDEX(SV_cpfMA,R209))*INDEX(SV_cpfEmp,R209)*S209)</f>
        <v/>
      </c>
      <c r="X209" s="29">
        <f>IF(A209&gt;=SV_sIdx,0,T209)</f>
        <v/>
      </c>
      <c r="Y209" s="29">
        <f>IF(A209&gt;=SV_sIdx,0,U209)</f>
        <v/>
      </c>
      <c r="Z209" s="29">
        <f>IF(A209&gt;=SV_sIdx,MIN(V209,SV_maCap),V209)</f>
        <v/>
      </c>
      <c r="AA209" s="29">
        <f>IF(AND(SV_cpfOn,A209&gt;=SV_pIdx,A209&lt;=SV_T),12*SV_pay,0)</f>
        <v/>
      </c>
      <c r="AB209" s="29">
        <f>IF(A209&gt;SV_T,0,IF(SV_sp&gt;=0,IF(A209&lt;SV_sIdx,0,IF(A209=SV_sIdx,SV_R0,SV_lifeGrowth*AB208)),SV_lifeGrowth*AB208))</f>
        <v/>
      </c>
      <c r="AC209" s="29">
        <f>IF(A209&gt;SV_T,0,IF(AND(SV_sp&gt;=0,A209&lt;SV_sIdx),0,IF(AND(SV_sp&gt;=0,A209=SV_sIdx),SV_L0,SV_lifeGrowth*(AC208-AA209))))</f>
        <v/>
      </c>
      <c r="AD209" s="29">
        <f>X209+Y209+AB209+Z209+IF(AB209&lt;0,0,AC209)</f>
        <v/>
      </c>
      <c r="AE209" s="29">
        <f>AA209+W209</f>
        <v/>
      </c>
      <c r="AF209" s="29">
        <f>IF(OR(A209&gt;SV_T,A209&gt;=SV_loanYears),0,MAX(0,AF208*(1+loanRate)-SV_inst))</f>
        <v/>
      </c>
      <c r="AG209" s="29">
        <f>IF(A209&gt;SV_T,0,AG208*(1+SV_savRate)+H209+I209+J209+K209+L209+AE209)</f>
        <v/>
      </c>
      <c r="AH209" s="29">
        <f>IF(A209&gt;SV_T,0,MAX(0,O209+P209+Q209+AD209+AG209-AF209))</f>
        <v/>
      </c>
      <c r="AI209" s="29">
        <f>IF(A209&gt;SV_T,0,O209+P209+AG209-MAX(0,AF209-(Q209+AD209)))</f>
        <v/>
      </c>
      <c r="AJ209" s="29">
        <f>IF(OR(OR(A209&lt;1,A209&gt;SV_T),A209-1&gt;=SV_retPay),0,SV_retMth*12+IF(A209=1,SV_retLump,0))</f>
        <v/>
      </c>
      <c r="AK209" s="29">
        <f>IF(A209&gt;SV_T,0,(AK208+AJ209)*(1+investmentReturn))</f>
        <v/>
      </c>
      <c r="AL209" s="29">
        <f>IF(OR(A209&lt;1,A209&gt;SV_T),0,IF(A209-1&gt;=SV_EDUPay,0,SV_EDUMth*12+IF(A209=1,SV_EDULump,0))+IF(A209-1&gt;=SV_SAVPay,0,SV_SAVMth*12+IF(A209=1,SV_SAVLump,0))+IF(A209-1&gt;=SV_PRPPay,0,SV_PRPMth*12+IF(A209=1,SV_PRPLump,0)))</f>
        <v/>
      </c>
      <c r="AM209" s="29">
        <f>IF(A209&gt;SV_T,0,(AM208+AL209)*(1+investmentReturn))</f>
        <v/>
      </c>
      <c r="AN209" s="29">
        <f>IF(OR(OR(A209&lt;1,A209&gt;SV_T),A209-1&gt;=SV_protPay),0,SV_protPrem)</f>
        <v/>
      </c>
      <c r="AO209" s="29">
        <f>IF(OR(A209=0,A209&gt;=SV_T),0,ROUND(MAX(0,AK209),2)+ROUND(MAX(0,AM209),2))</f>
        <v/>
      </c>
      <c r="AP209" s="29">
        <f>IF(OR(A209&lt;1,A209&gt;SV_T),0,-(AJ209+AL209+AN209)+IF(A209=SV_T,ROUND(MAX(0,AK209),2)+ROUND(MAX(0,AM209),2),0))</f>
        <v/>
      </c>
      <c r="AQ209" s="29">
        <f>IF(A209&gt;SV_T,0,AQ208*(1+SV_savRate)+H209+I209+J209+K209+L209+AE209+AP209)</f>
        <v/>
      </c>
      <c r="AR209" s="29">
        <f>IF(A209&gt;SV_T,0,MAX(0,O209+P209+Q209+AD209+AQ209+AO209-AF209))</f>
        <v/>
      </c>
      <c r="AS209" s="29">
        <f>IF(A209&gt;SV_T,0,O209+P209+AQ209+AO209-MAX(0,AF209-(Q209+AD209)))</f>
        <v/>
      </c>
    </row>
    <row r="210">
      <c r="A210" s="61" t="n">
        <v>38</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IF(OR(OR(A210&lt;1,A210&gt;SV_T),A210-1&gt;=SV_salCut,AND(SV_deaOn,A210&gt;=SV_deaM)),0,SV_sal0*(1+incomeGrowthRate)^(A210-1)*G210)</f>
        <v/>
      </c>
      <c r="I210" s="29">
        <f>IF(OR(A210&lt;1,A210&gt;SV_T),0,(-SV_exp0*F210-IF(A210&lt;=SV_loanYears,SV_inst,0)-IF(AND(SV_wdEDUAmt&gt;0,A210=SV_wdEDUYear),SV_wdEDUAmt,0)-IF(AND(SV_wdSAVAmt&gt;0,A210=SV_wdSAVYear),SV_wdSAVAmt,0)-IF(AND(SV_wdPRPAmt&gt;0,A210=SV_wdPRPYear),SV_wdPRPAmt,0))*IF(AND(SV_expOn,A210&gt;=SV_expS,A210&lt;=SV_expE),1+SV_expImp,1))</f>
        <v/>
      </c>
      <c r="J210" s="29">
        <f>IF(OR(A210&lt;1,A210&gt;SV_T),0,-F210*(IF(AND(SV_deaOn,A210=SV_deaM),SV_deaAmt,0)+IF(AND(SV_criOn,A210=SV_criM),SV_criAmt,0)+IF(AND(SV_tpdOn,A210=SV_tpdM),SV_tpdAmt,0)+IF(AND(SV_pacOn,A210=SV_pacM),SV_pacAmt,0)+IF(AND(SV_hosOn,A210=SV_hosM),SV_hosAmt,0)+IF(AND(SV_wedOn,A210=SV_wedM),SV_wedAmt,0)+IF(AND(SV_babOn,A210=SV_babM),SV_babAmt,0)+IF(AND(SV_ltcOn,A210&gt;=SV_ltcM,A210&lt;=SV_ltcE),SV_ltcAmt,0)))</f>
        <v/>
      </c>
      <c r="K210" s="29">
        <f>IF(OR(OR(A210&lt;1,A210&gt;SV_T),A210&gt;SV_loanYears),0,-SV_lifePremYr)</f>
        <v/>
      </c>
      <c r="L210" s="29">
        <f>IF(OR(A210&lt;1,A210&gt;SV_T),0,-SV_contrib)</f>
        <v/>
      </c>
      <c r="M210" s="60">
        <f>IF(AND(SV_crashOn,A210=SV_crashYr),SV_crashF,1)</f>
        <v/>
      </c>
      <c r="N210" s="60">
        <f>IF(AND(SV_ccyOn,A210=SV_ccyYr),SV_ccyF,1)</f>
        <v/>
      </c>
      <c r="O210" s="29">
        <f>IF(A210&gt;SV_T,0,O209*(1+interestRate)*M210*N210)</f>
        <v/>
      </c>
      <c r="P210" s="29">
        <f>IF(A210&gt;SV_T,0,(P209+SV_contrib)*(1+investmentReturn)*M210*N210)</f>
        <v/>
      </c>
      <c r="Q210" s="29">
        <f>IF(A210&gt;SV_T,0,Q209*(1+SV_propRate)*M210)</f>
        <v/>
      </c>
      <c r="R210" s="46">
        <f>MATCH(SV_age+A210-1,SV_cpfLower,1)</f>
        <v/>
      </c>
      <c r="S210" s="29">
        <f>IF(OR(OR(A210&lt;1,A210&gt;SV_T),NOT(SV_cpfOn),AND(SV_deaOn,A210&gt;=SV_deaM)),0,MIN(SV_sal0*(1+incomeGrowthRate)^(A210-1)*G210,SV_owCap))</f>
        <v/>
      </c>
      <c r="T210" s="29">
        <f>IF(A210&gt;SV_T,0,T209*(1+SV_oaRate)+IF(A210&gt;=SV_effStop,0,INDEX(SV_cpfOA,R210)*INDEX(SV_cpfTot,R210)*S210))</f>
        <v/>
      </c>
      <c r="U210" s="29">
        <f>IF(A210&gt;SV_T,0,U209*(1+SV_saRate)+IF(A210&gt;=SV_effStop,0,INDEX(SV_cpfSA,R210)*INDEX(SV_cpfTot,R210)*S210))</f>
        <v/>
      </c>
      <c r="V210" s="29">
        <f>IF(A210&gt;SV_T,0,V209*(1+SV_saRate)+IF(A210&gt;=SV_effStop,0,INDEX(SV_cpfMA,R210)*INDEX(SV_cpfTot,R210)*S210))</f>
        <v/>
      </c>
      <c r="W210" s="29">
        <f>IF(OR(OR(A210&lt;1,A210&gt;SV_T),A210&gt;=SV_effNeg),0,-(INDEX(SV_cpfOA,R210)+INDEX(SV_cpfSA,R210)+INDEX(SV_cpfMA,R210))*INDEX(SV_cpfEmp,R210)*S210)</f>
        <v/>
      </c>
      <c r="X210" s="29">
        <f>IF(A210&gt;=SV_sIdx,0,T210)</f>
        <v/>
      </c>
      <c r="Y210" s="29">
        <f>IF(A210&gt;=SV_sIdx,0,U210)</f>
        <v/>
      </c>
      <c r="Z210" s="29">
        <f>IF(A210&gt;=SV_sIdx,MIN(V210,SV_maCap),V210)</f>
        <v/>
      </c>
      <c r="AA210" s="29">
        <f>IF(AND(SV_cpfOn,A210&gt;=SV_pIdx,A210&lt;=SV_T),12*SV_pay,0)</f>
        <v/>
      </c>
      <c r="AB210" s="29">
        <f>IF(A210&gt;SV_T,0,IF(SV_sp&gt;=0,IF(A210&lt;SV_sIdx,0,IF(A210=SV_sIdx,SV_R0,SV_lifeGrowth*AB209)),SV_lifeGrowth*AB209))</f>
        <v/>
      </c>
      <c r="AC210" s="29">
        <f>IF(A210&gt;SV_T,0,IF(AND(SV_sp&gt;=0,A210&lt;SV_sIdx),0,IF(AND(SV_sp&gt;=0,A210=SV_sIdx),SV_L0,SV_lifeGrowth*(AC209-AA210))))</f>
        <v/>
      </c>
      <c r="AD210" s="29">
        <f>X210+Y210+AB210+Z210+IF(AB210&lt;0,0,AC210)</f>
        <v/>
      </c>
      <c r="AE210" s="29">
        <f>AA210+W210</f>
        <v/>
      </c>
      <c r="AF210" s="29">
        <f>IF(OR(A210&gt;SV_T,A210&gt;=SV_loanYears),0,MAX(0,AF209*(1+loanRate)-SV_inst))</f>
        <v/>
      </c>
      <c r="AG210" s="29">
        <f>IF(A210&gt;SV_T,0,AG209*(1+SV_savRate)+H210+I210+J210+K210+L210+AE210)</f>
        <v/>
      </c>
      <c r="AH210" s="29">
        <f>IF(A210&gt;SV_T,0,MAX(0,O210+P210+Q210+AD210+AG210-AF210))</f>
        <v/>
      </c>
      <c r="AI210" s="29">
        <f>IF(A210&gt;SV_T,0,O210+P210+AG210-MAX(0,AF210-(Q210+AD210)))</f>
        <v/>
      </c>
      <c r="AJ210" s="29">
        <f>IF(OR(OR(A210&lt;1,A210&gt;SV_T),A210-1&gt;=SV_retPay),0,SV_retMth*12+IF(A210=1,SV_retLump,0))</f>
        <v/>
      </c>
      <c r="AK210" s="29">
        <f>IF(A210&gt;SV_T,0,(AK209+AJ210)*(1+investmentReturn))</f>
        <v/>
      </c>
      <c r="AL210" s="29">
        <f>IF(OR(A210&lt;1,A210&gt;SV_T),0,IF(A210-1&gt;=SV_EDUPay,0,SV_EDUMth*12+IF(A210=1,SV_EDULump,0))+IF(A210-1&gt;=SV_SAVPay,0,SV_SAVMth*12+IF(A210=1,SV_SAVLump,0))+IF(A210-1&gt;=SV_PRPPay,0,SV_PRPMth*12+IF(A210=1,SV_PRPLump,0)))</f>
        <v/>
      </c>
      <c r="AM210" s="29">
        <f>IF(A210&gt;SV_T,0,(AM209+AL210)*(1+investmentReturn))</f>
        <v/>
      </c>
      <c r="AN210" s="29">
        <f>IF(OR(OR(A210&lt;1,A210&gt;SV_T),A210-1&gt;=SV_protPay),0,SV_protPrem)</f>
        <v/>
      </c>
      <c r="AO210" s="29">
        <f>IF(OR(A210=0,A210&gt;=SV_T),0,ROUND(MAX(0,AK210),2)+ROUND(MAX(0,AM210),2))</f>
        <v/>
      </c>
      <c r="AP210" s="29">
        <f>IF(OR(A210&lt;1,A210&gt;SV_T),0,-(AJ210+AL210+AN210)+IF(A210=SV_T,ROUND(MAX(0,AK210),2)+ROUND(MAX(0,AM210),2),0))</f>
        <v/>
      </c>
      <c r="AQ210" s="29">
        <f>IF(A210&gt;SV_T,0,AQ209*(1+SV_savRate)+H210+I210+J210+K210+L210+AE210+AP210)</f>
        <v/>
      </c>
      <c r="AR210" s="29">
        <f>IF(A210&gt;SV_T,0,MAX(0,O210+P210+Q210+AD210+AQ210+AO210-AF210))</f>
        <v/>
      </c>
      <c r="AS210" s="29">
        <f>IF(A210&gt;SV_T,0,O210+P210+AQ210+AO210-MAX(0,AF210-(Q210+AD210)))</f>
        <v/>
      </c>
    </row>
    <row r="211">
      <c r="A211" s="61" t="n">
        <v>39</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IF(OR(OR(A211&lt;1,A211&gt;SV_T),A211-1&gt;=SV_salCut,AND(SV_deaOn,A211&gt;=SV_deaM)),0,SV_sal0*(1+incomeGrowthRate)^(A211-1)*G211)</f>
        <v/>
      </c>
      <c r="I211" s="29">
        <f>IF(OR(A211&lt;1,A211&gt;SV_T),0,(-SV_exp0*F211-IF(A211&lt;=SV_loanYears,SV_inst,0)-IF(AND(SV_wdEDUAmt&gt;0,A211=SV_wdEDUYear),SV_wdEDUAmt,0)-IF(AND(SV_wdSAVAmt&gt;0,A211=SV_wdSAVYear),SV_wdSAVAmt,0)-IF(AND(SV_wdPRPAmt&gt;0,A211=SV_wdPRPYear),SV_wdPRPAmt,0))*IF(AND(SV_expOn,A211&gt;=SV_expS,A211&lt;=SV_expE),1+SV_expImp,1))</f>
        <v/>
      </c>
      <c r="J211" s="29">
        <f>IF(OR(A211&lt;1,A211&gt;SV_T),0,-F211*(IF(AND(SV_deaOn,A211=SV_deaM),SV_deaAmt,0)+IF(AND(SV_criOn,A211=SV_criM),SV_criAmt,0)+IF(AND(SV_tpdOn,A211=SV_tpdM),SV_tpdAmt,0)+IF(AND(SV_pacOn,A211=SV_pacM),SV_pacAmt,0)+IF(AND(SV_hosOn,A211=SV_hosM),SV_hosAmt,0)+IF(AND(SV_wedOn,A211=SV_wedM),SV_wedAmt,0)+IF(AND(SV_babOn,A211=SV_babM),SV_babAmt,0)+IF(AND(SV_ltcOn,A211&gt;=SV_ltcM,A211&lt;=SV_ltcE),SV_ltcAmt,0)))</f>
        <v/>
      </c>
      <c r="K211" s="29">
        <f>IF(OR(OR(A211&lt;1,A211&gt;SV_T),A211&gt;SV_loanYears),0,-SV_lifePremYr)</f>
        <v/>
      </c>
      <c r="L211" s="29">
        <f>IF(OR(A211&lt;1,A211&gt;SV_T),0,-SV_contrib)</f>
        <v/>
      </c>
      <c r="M211" s="60">
        <f>IF(AND(SV_crashOn,A211=SV_crashYr),SV_crashF,1)</f>
        <v/>
      </c>
      <c r="N211" s="60">
        <f>IF(AND(SV_ccyOn,A211=SV_ccyYr),SV_ccyF,1)</f>
        <v/>
      </c>
      <c r="O211" s="29">
        <f>IF(A211&gt;SV_T,0,O210*(1+interestRate)*M211*N211)</f>
        <v/>
      </c>
      <c r="P211" s="29">
        <f>IF(A211&gt;SV_T,0,(P210+SV_contrib)*(1+investmentReturn)*M211*N211)</f>
        <v/>
      </c>
      <c r="Q211" s="29">
        <f>IF(A211&gt;SV_T,0,Q210*(1+SV_propRate)*M211)</f>
        <v/>
      </c>
      <c r="R211" s="46">
        <f>MATCH(SV_age+A211-1,SV_cpfLower,1)</f>
        <v/>
      </c>
      <c r="S211" s="29">
        <f>IF(OR(OR(A211&lt;1,A211&gt;SV_T),NOT(SV_cpfOn),AND(SV_deaOn,A211&gt;=SV_deaM)),0,MIN(SV_sal0*(1+incomeGrowthRate)^(A211-1)*G211,SV_owCap))</f>
        <v/>
      </c>
      <c r="T211" s="29">
        <f>IF(A211&gt;SV_T,0,T210*(1+SV_oaRate)+IF(A211&gt;=SV_effStop,0,INDEX(SV_cpfOA,R211)*INDEX(SV_cpfTot,R211)*S211))</f>
        <v/>
      </c>
      <c r="U211" s="29">
        <f>IF(A211&gt;SV_T,0,U210*(1+SV_saRate)+IF(A211&gt;=SV_effStop,0,INDEX(SV_cpfSA,R211)*INDEX(SV_cpfTot,R211)*S211))</f>
        <v/>
      </c>
      <c r="V211" s="29">
        <f>IF(A211&gt;SV_T,0,V210*(1+SV_saRate)+IF(A211&gt;=SV_effStop,0,INDEX(SV_cpfMA,R211)*INDEX(SV_cpfTot,R211)*S211))</f>
        <v/>
      </c>
      <c r="W211" s="29">
        <f>IF(OR(OR(A211&lt;1,A211&gt;SV_T),A211&gt;=SV_effNeg),0,-(INDEX(SV_cpfOA,R211)+INDEX(SV_cpfSA,R211)+INDEX(SV_cpfMA,R211))*INDEX(SV_cpfEmp,R211)*S211)</f>
        <v/>
      </c>
      <c r="X211" s="29">
        <f>IF(A211&gt;=SV_sIdx,0,T211)</f>
        <v/>
      </c>
      <c r="Y211" s="29">
        <f>IF(A211&gt;=SV_sIdx,0,U211)</f>
        <v/>
      </c>
      <c r="Z211" s="29">
        <f>IF(A211&gt;=SV_sIdx,MIN(V211,SV_maCap),V211)</f>
        <v/>
      </c>
      <c r="AA211" s="29">
        <f>IF(AND(SV_cpfOn,A211&gt;=SV_pIdx,A211&lt;=SV_T),12*SV_pay,0)</f>
        <v/>
      </c>
      <c r="AB211" s="29">
        <f>IF(A211&gt;SV_T,0,IF(SV_sp&gt;=0,IF(A211&lt;SV_sIdx,0,IF(A211=SV_sIdx,SV_R0,SV_lifeGrowth*AB210)),SV_lifeGrowth*AB210))</f>
        <v/>
      </c>
      <c r="AC211" s="29">
        <f>IF(A211&gt;SV_T,0,IF(AND(SV_sp&gt;=0,A211&lt;SV_sIdx),0,IF(AND(SV_sp&gt;=0,A211=SV_sIdx),SV_L0,SV_lifeGrowth*(AC210-AA211))))</f>
        <v/>
      </c>
      <c r="AD211" s="29">
        <f>X211+Y211+AB211+Z211+IF(AB211&lt;0,0,AC211)</f>
        <v/>
      </c>
      <c r="AE211" s="29">
        <f>AA211+W211</f>
        <v/>
      </c>
      <c r="AF211" s="29">
        <f>IF(OR(A211&gt;SV_T,A211&gt;=SV_loanYears),0,MAX(0,AF210*(1+loanRate)-SV_inst))</f>
        <v/>
      </c>
      <c r="AG211" s="29">
        <f>IF(A211&gt;SV_T,0,AG210*(1+SV_savRate)+H211+I211+J211+K211+L211+AE211)</f>
        <v/>
      </c>
      <c r="AH211" s="29">
        <f>IF(A211&gt;SV_T,0,MAX(0,O211+P211+Q211+AD211+AG211-AF211))</f>
        <v/>
      </c>
      <c r="AI211" s="29">
        <f>IF(A211&gt;SV_T,0,O211+P211+AG211-MAX(0,AF211-(Q211+AD211)))</f>
        <v/>
      </c>
      <c r="AJ211" s="29">
        <f>IF(OR(OR(A211&lt;1,A211&gt;SV_T),A211-1&gt;=SV_retPay),0,SV_retMth*12+IF(A211=1,SV_retLump,0))</f>
        <v/>
      </c>
      <c r="AK211" s="29">
        <f>IF(A211&gt;SV_T,0,(AK210+AJ211)*(1+investmentReturn))</f>
        <v/>
      </c>
      <c r="AL211" s="29">
        <f>IF(OR(A211&lt;1,A211&gt;SV_T),0,IF(A211-1&gt;=SV_EDUPay,0,SV_EDUMth*12+IF(A211=1,SV_EDULump,0))+IF(A211-1&gt;=SV_SAVPay,0,SV_SAVMth*12+IF(A211=1,SV_SAVLump,0))+IF(A211-1&gt;=SV_PRPPay,0,SV_PRPMth*12+IF(A211=1,SV_PRPLump,0)))</f>
        <v/>
      </c>
      <c r="AM211" s="29">
        <f>IF(A211&gt;SV_T,0,(AM210+AL211)*(1+investmentReturn))</f>
        <v/>
      </c>
      <c r="AN211" s="29">
        <f>IF(OR(OR(A211&lt;1,A211&gt;SV_T),A211-1&gt;=SV_protPay),0,SV_protPrem)</f>
        <v/>
      </c>
      <c r="AO211" s="29">
        <f>IF(OR(A211=0,A211&gt;=SV_T),0,ROUND(MAX(0,AK211),2)+ROUND(MAX(0,AM211),2))</f>
        <v/>
      </c>
      <c r="AP211" s="29">
        <f>IF(OR(A211&lt;1,A211&gt;SV_T),0,-(AJ211+AL211+AN211)+IF(A211=SV_T,ROUND(MAX(0,AK211),2)+ROUND(MAX(0,AM211),2),0))</f>
        <v/>
      </c>
      <c r="AQ211" s="29">
        <f>IF(A211&gt;SV_T,0,AQ210*(1+SV_savRate)+H211+I211+J211+K211+L211+AE211+AP211)</f>
        <v/>
      </c>
      <c r="AR211" s="29">
        <f>IF(A211&gt;SV_T,0,MAX(0,O211+P211+Q211+AD211+AQ211+AO211-AF211))</f>
        <v/>
      </c>
      <c r="AS211" s="29">
        <f>IF(A211&gt;SV_T,0,O211+P211+AQ211+AO211-MAX(0,AF211-(Q211+AD211)))</f>
        <v/>
      </c>
    </row>
    <row r="212">
      <c r="A212" s="61" t="n">
        <v>40</v>
      </c>
      <c r="B212" s="61">
        <f>SV_age+A212</f>
        <v/>
      </c>
      <c r="C212" s="61">
        <f>currentYear+A212</f>
        <v/>
      </c>
      <c r="D212" s="52">
        <f>A212&lt;=SV_T</f>
        <v/>
      </c>
      <c r="E212" s="60">
        <f>IF(AND(SV_inflOn,A212&gt;=SV_inflS,A212&lt;=SV_inflE),1+SV_inflRate,1+inflationRate)</f>
        <v/>
      </c>
      <c r="F212" s="60">
        <f>IF(A212&lt;=1,1,F211*E212)</f>
        <v/>
      </c>
      <c r="G212" s="60">
        <f>IF(AND(SV_incOn,A212&gt;=SV_incS,A212&lt;=SV_incE),1+SV_incImp,1)</f>
        <v/>
      </c>
      <c r="H212" s="29">
        <f>IF(OR(OR(A212&lt;1,A212&gt;SV_T),A212-1&gt;=SV_salCut,AND(SV_deaOn,A212&gt;=SV_deaM)),0,SV_sal0*(1+incomeGrowthRate)^(A212-1)*G212)</f>
        <v/>
      </c>
      <c r="I212" s="29">
        <f>IF(OR(A212&lt;1,A212&gt;SV_T),0,(-SV_exp0*F212-IF(A212&lt;=SV_loanYears,SV_inst,0)-IF(AND(SV_wdEDUAmt&gt;0,A212=SV_wdEDUYear),SV_wdEDUAmt,0)-IF(AND(SV_wdSAVAmt&gt;0,A212=SV_wdSAVYear),SV_wdSAVAmt,0)-IF(AND(SV_wdPRPAmt&gt;0,A212=SV_wdPRPYear),SV_wdPRPAmt,0))*IF(AND(SV_expOn,A212&gt;=SV_expS,A212&lt;=SV_expE),1+SV_expImp,1))</f>
        <v/>
      </c>
      <c r="J212" s="29">
        <f>IF(OR(A212&lt;1,A212&gt;SV_T),0,-F212*(IF(AND(SV_deaOn,A212=SV_deaM),SV_deaAmt,0)+IF(AND(SV_criOn,A212=SV_criM),SV_criAmt,0)+IF(AND(SV_tpdOn,A212=SV_tpdM),SV_tpdAmt,0)+IF(AND(SV_pacOn,A212=SV_pacM),SV_pacAmt,0)+IF(AND(SV_hosOn,A212=SV_hosM),SV_hosAmt,0)+IF(AND(SV_wedOn,A212=SV_wedM),SV_wedAmt,0)+IF(AND(SV_babOn,A212=SV_babM),SV_babAmt,0)+IF(AND(SV_ltcOn,A212&gt;=SV_ltcM,A212&lt;=SV_ltcE),SV_ltcAmt,0)))</f>
        <v/>
      </c>
      <c r="K212" s="29">
        <f>IF(OR(OR(A212&lt;1,A212&gt;SV_T),A212&gt;SV_loanYears),0,-SV_lifePremYr)</f>
        <v/>
      </c>
      <c r="L212" s="29">
        <f>IF(OR(A212&lt;1,A212&gt;SV_T),0,-SV_contrib)</f>
        <v/>
      </c>
      <c r="M212" s="60">
        <f>IF(AND(SV_crashOn,A212=SV_crashYr),SV_crashF,1)</f>
        <v/>
      </c>
      <c r="N212" s="60">
        <f>IF(AND(SV_ccyOn,A212=SV_ccyYr),SV_ccyF,1)</f>
        <v/>
      </c>
      <c r="O212" s="29">
        <f>IF(A212&gt;SV_T,0,O211*(1+interestRate)*M212*N212)</f>
        <v/>
      </c>
      <c r="P212" s="29">
        <f>IF(A212&gt;SV_T,0,(P211+SV_contrib)*(1+investmentReturn)*M212*N212)</f>
        <v/>
      </c>
      <c r="Q212" s="29">
        <f>IF(A212&gt;SV_T,0,Q211*(1+SV_propRate)*M212)</f>
        <v/>
      </c>
      <c r="R212" s="46">
        <f>MATCH(SV_age+A212-1,SV_cpfLower,1)</f>
        <v/>
      </c>
      <c r="S212" s="29">
        <f>IF(OR(OR(A212&lt;1,A212&gt;SV_T),NOT(SV_cpfOn),AND(SV_deaOn,A212&gt;=SV_deaM)),0,MIN(SV_sal0*(1+incomeGrowthRate)^(A212-1)*G212,SV_owCap))</f>
        <v/>
      </c>
      <c r="T212" s="29">
        <f>IF(A212&gt;SV_T,0,T211*(1+SV_oaRate)+IF(A212&gt;=SV_effStop,0,INDEX(SV_cpfOA,R212)*INDEX(SV_cpfTot,R212)*S212))</f>
        <v/>
      </c>
      <c r="U212" s="29">
        <f>IF(A212&gt;SV_T,0,U211*(1+SV_saRate)+IF(A212&gt;=SV_effStop,0,INDEX(SV_cpfSA,R212)*INDEX(SV_cpfTot,R212)*S212))</f>
        <v/>
      </c>
      <c r="V212" s="29">
        <f>IF(A212&gt;SV_T,0,V211*(1+SV_saRate)+IF(A212&gt;=SV_effStop,0,INDEX(SV_cpfMA,R212)*INDEX(SV_cpfTot,R212)*S212))</f>
        <v/>
      </c>
      <c r="W212" s="29">
        <f>IF(OR(OR(A212&lt;1,A212&gt;SV_T),A212&gt;=SV_effNeg),0,-(INDEX(SV_cpfOA,R212)+INDEX(SV_cpfSA,R212)+INDEX(SV_cpfMA,R212))*INDEX(SV_cpfEmp,R212)*S212)</f>
        <v/>
      </c>
      <c r="X212" s="29">
        <f>IF(A212&gt;=SV_sIdx,0,T212)</f>
        <v/>
      </c>
      <c r="Y212" s="29">
        <f>IF(A212&gt;=SV_sIdx,0,U212)</f>
        <v/>
      </c>
      <c r="Z212" s="29">
        <f>IF(A212&gt;=SV_sIdx,MIN(V212,SV_maCap),V212)</f>
        <v/>
      </c>
      <c r="AA212" s="29">
        <f>IF(AND(SV_cpfOn,A212&gt;=SV_pIdx,A212&lt;=SV_T),12*SV_pay,0)</f>
        <v/>
      </c>
      <c r="AB212" s="29">
        <f>IF(A212&gt;SV_T,0,IF(SV_sp&gt;=0,IF(A212&lt;SV_sIdx,0,IF(A212=SV_sIdx,SV_R0,SV_lifeGrowth*AB211)),SV_lifeGrowth*AB211))</f>
        <v/>
      </c>
      <c r="AC212" s="29">
        <f>IF(A212&gt;SV_T,0,IF(AND(SV_sp&gt;=0,A212&lt;SV_sIdx),0,IF(AND(SV_sp&gt;=0,A212=SV_sIdx),SV_L0,SV_lifeGrowth*(AC211-AA212))))</f>
        <v/>
      </c>
      <c r="AD212" s="29">
        <f>X212+Y212+AB212+Z212+IF(AB212&lt;0,0,AC212)</f>
        <v/>
      </c>
      <c r="AE212" s="29">
        <f>AA212+W212</f>
        <v/>
      </c>
      <c r="AF212" s="29">
        <f>IF(OR(A212&gt;SV_T,A212&gt;=SV_loanYears),0,MAX(0,AF211*(1+loanRate)-SV_inst))</f>
        <v/>
      </c>
      <c r="AG212" s="29">
        <f>IF(A212&gt;SV_T,0,AG211*(1+SV_savRate)+H212+I212+J212+K212+L212+AE212)</f>
        <v/>
      </c>
      <c r="AH212" s="29">
        <f>IF(A212&gt;SV_T,0,MAX(0,O212+P212+Q212+AD212+AG212-AF212))</f>
        <v/>
      </c>
      <c r="AI212" s="29">
        <f>IF(A212&gt;SV_T,0,O212+P212+AG212-MAX(0,AF212-(Q212+AD212)))</f>
        <v/>
      </c>
      <c r="AJ212" s="29">
        <f>IF(OR(OR(A212&lt;1,A212&gt;SV_T),A212-1&gt;=SV_retPay),0,SV_retMth*12+IF(A212=1,SV_retLump,0))</f>
        <v/>
      </c>
      <c r="AK212" s="29">
        <f>IF(A212&gt;SV_T,0,(AK211+AJ212)*(1+investmentReturn))</f>
        <v/>
      </c>
      <c r="AL212" s="29">
        <f>IF(OR(A212&lt;1,A212&gt;SV_T),0,IF(A212-1&gt;=SV_EDUPay,0,SV_EDUMth*12+IF(A212=1,SV_EDULump,0))+IF(A212-1&gt;=SV_SAVPay,0,SV_SAVMth*12+IF(A212=1,SV_SAVLump,0))+IF(A212-1&gt;=SV_PRPPay,0,SV_PRPMth*12+IF(A212=1,SV_PRPLump,0)))</f>
        <v/>
      </c>
      <c r="AM212" s="29">
        <f>IF(A212&gt;SV_T,0,(AM211+AL212)*(1+investmentReturn))</f>
        <v/>
      </c>
      <c r="AN212" s="29">
        <f>IF(OR(OR(A212&lt;1,A212&gt;SV_T),A212-1&gt;=SV_protPay),0,SV_protPrem)</f>
        <v/>
      </c>
      <c r="AO212" s="29">
        <f>IF(OR(A212=0,A212&gt;=SV_T),0,ROUND(MAX(0,AK212),2)+ROUND(MAX(0,AM212),2))</f>
        <v/>
      </c>
      <c r="AP212" s="29">
        <f>IF(OR(A212&lt;1,A212&gt;SV_T),0,-(AJ212+AL212+AN212)+IF(A212=SV_T,ROUND(MAX(0,AK212),2)+ROUND(MAX(0,AM212),2),0))</f>
        <v/>
      </c>
      <c r="AQ212" s="29">
        <f>IF(A212&gt;SV_T,0,AQ211*(1+SV_savRate)+H212+I212+J212+K212+L212+AE212+AP212)</f>
        <v/>
      </c>
      <c r="AR212" s="29">
        <f>IF(A212&gt;SV_T,0,MAX(0,O212+P212+Q212+AD212+AQ212+AO212-AF212))</f>
        <v/>
      </c>
      <c r="AS212" s="29">
        <f>IF(A212&gt;SV_T,0,O212+P212+AQ212+AO212-MAX(0,AF212-(Q212+AD212)))</f>
        <v/>
      </c>
    </row>
    <row r="213">
      <c r="A213" s="61" t="n">
        <v>41</v>
      </c>
      <c r="B213" s="61">
        <f>SV_age+A213</f>
        <v/>
      </c>
      <c r="C213" s="61">
        <f>currentYear+A213</f>
        <v/>
      </c>
      <c r="D213" s="52">
        <f>A213&lt;=SV_T</f>
        <v/>
      </c>
      <c r="E213" s="60">
        <f>IF(AND(SV_inflOn,A213&gt;=SV_inflS,A213&lt;=SV_inflE),1+SV_inflRate,1+inflationRate)</f>
        <v/>
      </c>
      <c r="F213" s="60">
        <f>IF(A213&lt;=1,1,F212*E213)</f>
        <v/>
      </c>
      <c r="G213" s="60">
        <f>IF(AND(SV_incOn,A213&gt;=SV_incS,A213&lt;=SV_incE),1+SV_incImp,1)</f>
        <v/>
      </c>
      <c r="H213" s="29">
        <f>IF(OR(OR(A213&lt;1,A213&gt;SV_T),A213-1&gt;=SV_salCut,AND(SV_deaOn,A213&gt;=SV_deaM)),0,SV_sal0*(1+incomeGrowthRate)^(A213-1)*G213)</f>
        <v/>
      </c>
      <c r="I213" s="29">
        <f>IF(OR(A213&lt;1,A213&gt;SV_T),0,(-SV_exp0*F213-IF(A213&lt;=SV_loanYears,SV_inst,0)-IF(AND(SV_wdEDUAmt&gt;0,A213=SV_wdEDUYear),SV_wdEDUAmt,0)-IF(AND(SV_wdSAVAmt&gt;0,A213=SV_wdSAVYear),SV_wdSAVAmt,0)-IF(AND(SV_wdPRPAmt&gt;0,A213=SV_wdPRPYear),SV_wdPRPAmt,0))*IF(AND(SV_expOn,A213&gt;=SV_expS,A213&lt;=SV_expE),1+SV_expImp,1))</f>
        <v/>
      </c>
      <c r="J213" s="29">
        <f>IF(OR(A213&lt;1,A213&gt;SV_T),0,-F213*(IF(AND(SV_deaOn,A213=SV_deaM),SV_deaAmt,0)+IF(AND(SV_criOn,A213=SV_criM),SV_criAmt,0)+IF(AND(SV_tpdOn,A213=SV_tpdM),SV_tpdAmt,0)+IF(AND(SV_pacOn,A213=SV_pacM),SV_pacAmt,0)+IF(AND(SV_hosOn,A213=SV_hosM),SV_hosAmt,0)+IF(AND(SV_wedOn,A213=SV_wedM),SV_wedAmt,0)+IF(AND(SV_babOn,A213=SV_babM),SV_babAmt,0)+IF(AND(SV_ltcOn,A213&gt;=SV_ltcM,A213&lt;=SV_ltcE),SV_ltcAmt,0)))</f>
        <v/>
      </c>
      <c r="K213" s="29">
        <f>IF(OR(OR(A213&lt;1,A213&gt;SV_T),A213&gt;SV_loanYears),0,-SV_lifePremYr)</f>
        <v/>
      </c>
      <c r="L213" s="29">
        <f>IF(OR(A213&lt;1,A213&gt;SV_T),0,-SV_contrib)</f>
        <v/>
      </c>
      <c r="M213" s="60">
        <f>IF(AND(SV_crashOn,A213=SV_crashYr),SV_crashF,1)</f>
        <v/>
      </c>
      <c r="N213" s="60">
        <f>IF(AND(SV_ccyOn,A213=SV_ccyYr),SV_ccyF,1)</f>
        <v/>
      </c>
      <c r="O213" s="29">
        <f>IF(A213&gt;SV_T,0,O212*(1+interestRate)*M213*N213)</f>
        <v/>
      </c>
      <c r="P213" s="29">
        <f>IF(A213&gt;SV_T,0,(P212+SV_contrib)*(1+investmentReturn)*M213*N213)</f>
        <v/>
      </c>
      <c r="Q213" s="29">
        <f>IF(A213&gt;SV_T,0,Q212*(1+SV_propRate)*M213)</f>
        <v/>
      </c>
      <c r="R213" s="46">
        <f>MATCH(SV_age+A213-1,SV_cpfLower,1)</f>
        <v/>
      </c>
      <c r="S213" s="29">
        <f>IF(OR(OR(A213&lt;1,A213&gt;SV_T),NOT(SV_cpfOn),AND(SV_deaOn,A213&gt;=SV_deaM)),0,MIN(SV_sal0*(1+incomeGrowthRate)^(A213-1)*G213,SV_owCap))</f>
        <v/>
      </c>
      <c r="T213" s="29">
        <f>IF(A213&gt;SV_T,0,T212*(1+SV_oaRate)+IF(A213&gt;=SV_effStop,0,INDEX(SV_cpfOA,R213)*INDEX(SV_cpfTot,R213)*S213))</f>
        <v/>
      </c>
      <c r="U213" s="29">
        <f>IF(A213&gt;SV_T,0,U212*(1+SV_saRate)+IF(A213&gt;=SV_effStop,0,INDEX(SV_cpfSA,R213)*INDEX(SV_cpfTot,R213)*S213))</f>
        <v/>
      </c>
      <c r="V213" s="29">
        <f>IF(A213&gt;SV_T,0,V212*(1+SV_saRate)+IF(A213&gt;=SV_effStop,0,INDEX(SV_cpfMA,R213)*INDEX(SV_cpfTot,R213)*S213))</f>
        <v/>
      </c>
      <c r="W213" s="29">
        <f>IF(OR(OR(A213&lt;1,A213&gt;SV_T),A213&gt;=SV_effNeg),0,-(INDEX(SV_cpfOA,R213)+INDEX(SV_cpfSA,R213)+INDEX(SV_cpfMA,R213))*INDEX(SV_cpfEmp,R213)*S213)</f>
        <v/>
      </c>
      <c r="X213" s="29">
        <f>IF(A213&gt;=SV_sIdx,0,T213)</f>
        <v/>
      </c>
      <c r="Y213" s="29">
        <f>IF(A213&gt;=SV_sIdx,0,U213)</f>
        <v/>
      </c>
      <c r="Z213" s="29">
        <f>IF(A213&gt;=SV_sIdx,MIN(V213,SV_maCap),V213)</f>
        <v/>
      </c>
      <c r="AA213" s="29">
        <f>IF(AND(SV_cpfOn,A213&gt;=SV_pIdx,A213&lt;=SV_T),12*SV_pay,0)</f>
        <v/>
      </c>
      <c r="AB213" s="29">
        <f>IF(A213&gt;SV_T,0,IF(SV_sp&gt;=0,IF(A213&lt;SV_sIdx,0,IF(A213=SV_sIdx,SV_R0,SV_lifeGrowth*AB212)),SV_lifeGrowth*AB212))</f>
        <v/>
      </c>
      <c r="AC213" s="29">
        <f>IF(A213&gt;SV_T,0,IF(AND(SV_sp&gt;=0,A213&lt;SV_sIdx),0,IF(AND(SV_sp&gt;=0,A213=SV_sIdx),SV_L0,SV_lifeGrowth*(AC212-AA213))))</f>
        <v/>
      </c>
      <c r="AD213" s="29">
        <f>X213+Y213+AB213+Z213+IF(AB213&lt;0,0,AC213)</f>
        <v/>
      </c>
      <c r="AE213" s="29">
        <f>AA213+W213</f>
        <v/>
      </c>
      <c r="AF213" s="29">
        <f>IF(OR(A213&gt;SV_T,A213&gt;=SV_loanYears),0,MAX(0,AF212*(1+loanRate)-SV_inst))</f>
        <v/>
      </c>
      <c r="AG213" s="29">
        <f>IF(A213&gt;SV_T,0,AG212*(1+SV_savRate)+H213+I213+J213+K213+L213+AE213)</f>
        <v/>
      </c>
      <c r="AH213" s="29">
        <f>IF(A213&gt;SV_T,0,MAX(0,O213+P213+Q213+AD213+AG213-AF213))</f>
        <v/>
      </c>
      <c r="AI213" s="29">
        <f>IF(A213&gt;SV_T,0,O213+P213+AG213-MAX(0,AF213-(Q213+AD213)))</f>
        <v/>
      </c>
      <c r="AJ213" s="29">
        <f>IF(OR(OR(A213&lt;1,A213&gt;SV_T),A213-1&gt;=SV_retPay),0,SV_retMth*12+IF(A213=1,SV_retLump,0))</f>
        <v/>
      </c>
      <c r="AK213" s="29">
        <f>IF(A213&gt;SV_T,0,(AK212+AJ213)*(1+investmentReturn))</f>
        <v/>
      </c>
      <c r="AL213" s="29">
        <f>IF(OR(A213&lt;1,A213&gt;SV_T),0,IF(A213-1&gt;=SV_EDUPay,0,SV_EDUMth*12+IF(A213=1,SV_EDULump,0))+IF(A213-1&gt;=SV_SAVPay,0,SV_SAVMth*12+IF(A213=1,SV_SAVLump,0))+IF(A213-1&gt;=SV_PRPPay,0,SV_PRPMth*12+IF(A213=1,SV_PRPLump,0)))</f>
        <v/>
      </c>
      <c r="AM213" s="29">
        <f>IF(A213&gt;SV_T,0,(AM212+AL213)*(1+investmentReturn))</f>
        <v/>
      </c>
      <c r="AN213" s="29">
        <f>IF(OR(OR(A213&lt;1,A213&gt;SV_T),A213-1&gt;=SV_protPay),0,SV_protPrem)</f>
        <v/>
      </c>
      <c r="AO213" s="29">
        <f>IF(OR(A213=0,A213&gt;=SV_T),0,ROUND(MAX(0,AK213),2)+ROUND(MAX(0,AM213),2))</f>
        <v/>
      </c>
      <c r="AP213" s="29">
        <f>IF(OR(A213&lt;1,A213&gt;SV_T),0,-(AJ213+AL213+AN213)+IF(A213=SV_T,ROUND(MAX(0,AK213),2)+ROUND(MAX(0,AM213),2),0))</f>
        <v/>
      </c>
      <c r="AQ213" s="29">
        <f>IF(A213&gt;SV_T,0,AQ212*(1+SV_savRate)+H213+I213+J213+K213+L213+AE213+AP213)</f>
        <v/>
      </c>
      <c r="AR213" s="29">
        <f>IF(A213&gt;SV_T,0,MAX(0,O213+P213+Q213+AD213+AQ213+AO213-AF213))</f>
        <v/>
      </c>
      <c r="AS213" s="29">
        <f>IF(A213&gt;SV_T,0,O213+P213+AQ213+AO213-MAX(0,AF213-(Q213+AD213)))</f>
        <v/>
      </c>
    </row>
    <row r="214">
      <c r="A214" s="61" t="n">
        <v>42</v>
      </c>
      <c r="B214" s="61">
        <f>SV_age+A214</f>
        <v/>
      </c>
      <c r="C214" s="61">
        <f>currentYear+A214</f>
        <v/>
      </c>
      <c r="D214" s="52">
        <f>A214&lt;=SV_T</f>
        <v/>
      </c>
      <c r="E214" s="60">
        <f>IF(AND(SV_inflOn,A214&gt;=SV_inflS,A214&lt;=SV_inflE),1+SV_inflRate,1+inflationRate)</f>
        <v/>
      </c>
      <c r="F214" s="60">
        <f>IF(A214&lt;=1,1,F213*E214)</f>
        <v/>
      </c>
      <c r="G214" s="60">
        <f>IF(AND(SV_incOn,A214&gt;=SV_incS,A214&lt;=SV_incE),1+SV_incImp,1)</f>
        <v/>
      </c>
      <c r="H214" s="29">
        <f>IF(OR(OR(A214&lt;1,A214&gt;SV_T),A214-1&gt;=SV_salCut,AND(SV_deaOn,A214&gt;=SV_deaM)),0,SV_sal0*(1+incomeGrowthRate)^(A214-1)*G214)</f>
        <v/>
      </c>
      <c r="I214" s="29">
        <f>IF(OR(A214&lt;1,A214&gt;SV_T),0,(-SV_exp0*F214-IF(A214&lt;=SV_loanYears,SV_inst,0)-IF(AND(SV_wdEDUAmt&gt;0,A214=SV_wdEDUYear),SV_wdEDUAmt,0)-IF(AND(SV_wdSAVAmt&gt;0,A214=SV_wdSAVYear),SV_wdSAVAmt,0)-IF(AND(SV_wdPRPAmt&gt;0,A214=SV_wdPRPYear),SV_wdPRPAmt,0))*IF(AND(SV_expOn,A214&gt;=SV_expS,A214&lt;=SV_expE),1+SV_expImp,1))</f>
        <v/>
      </c>
      <c r="J214" s="29">
        <f>IF(OR(A214&lt;1,A214&gt;SV_T),0,-F214*(IF(AND(SV_deaOn,A214=SV_deaM),SV_deaAmt,0)+IF(AND(SV_criOn,A214=SV_criM),SV_criAmt,0)+IF(AND(SV_tpdOn,A214=SV_tpdM),SV_tpdAmt,0)+IF(AND(SV_pacOn,A214=SV_pacM),SV_pacAmt,0)+IF(AND(SV_hosOn,A214=SV_hosM),SV_hosAmt,0)+IF(AND(SV_wedOn,A214=SV_wedM),SV_wedAmt,0)+IF(AND(SV_babOn,A214=SV_babM),SV_babAmt,0)+IF(AND(SV_ltcOn,A214&gt;=SV_ltcM,A214&lt;=SV_ltcE),SV_ltcAmt,0)))</f>
        <v/>
      </c>
      <c r="K214" s="29">
        <f>IF(OR(OR(A214&lt;1,A214&gt;SV_T),A214&gt;SV_loanYears),0,-SV_lifePremYr)</f>
        <v/>
      </c>
      <c r="L214" s="29">
        <f>IF(OR(A214&lt;1,A214&gt;SV_T),0,-SV_contrib)</f>
        <v/>
      </c>
      <c r="M214" s="60">
        <f>IF(AND(SV_crashOn,A214=SV_crashYr),SV_crashF,1)</f>
        <v/>
      </c>
      <c r="N214" s="60">
        <f>IF(AND(SV_ccyOn,A214=SV_ccyYr),SV_ccyF,1)</f>
        <v/>
      </c>
      <c r="O214" s="29">
        <f>IF(A214&gt;SV_T,0,O213*(1+interestRate)*M214*N214)</f>
        <v/>
      </c>
      <c r="P214" s="29">
        <f>IF(A214&gt;SV_T,0,(P213+SV_contrib)*(1+investmentReturn)*M214*N214)</f>
        <v/>
      </c>
      <c r="Q214" s="29">
        <f>IF(A214&gt;SV_T,0,Q213*(1+SV_propRate)*M214)</f>
        <v/>
      </c>
      <c r="R214" s="46">
        <f>MATCH(SV_age+A214-1,SV_cpfLower,1)</f>
        <v/>
      </c>
      <c r="S214" s="29">
        <f>IF(OR(OR(A214&lt;1,A214&gt;SV_T),NOT(SV_cpfOn),AND(SV_deaOn,A214&gt;=SV_deaM)),0,MIN(SV_sal0*(1+incomeGrowthRate)^(A214-1)*G214,SV_owCap))</f>
        <v/>
      </c>
      <c r="T214" s="29">
        <f>IF(A214&gt;SV_T,0,T213*(1+SV_oaRate)+IF(A214&gt;=SV_effStop,0,INDEX(SV_cpfOA,R214)*INDEX(SV_cpfTot,R214)*S214))</f>
        <v/>
      </c>
      <c r="U214" s="29">
        <f>IF(A214&gt;SV_T,0,U213*(1+SV_saRate)+IF(A214&gt;=SV_effStop,0,INDEX(SV_cpfSA,R214)*INDEX(SV_cpfTot,R214)*S214))</f>
        <v/>
      </c>
      <c r="V214" s="29">
        <f>IF(A214&gt;SV_T,0,V213*(1+SV_saRate)+IF(A214&gt;=SV_effStop,0,INDEX(SV_cpfMA,R214)*INDEX(SV_cpfTot,R214)*S214))</f>
        <v/>
      </c>
      <c r="W214" s="29">
        <f>IF(OR(OR(A214&lt;1,A214&gt;SV_T),A214&gt;=SV_effNeg),0,-(INDEX(SV_cpfOA,R214)+INDEX(SV_cpfSA,R214)+INDEX(SV_cpfMA,R214))*INDEX(SV_cpfEmp,R214)*S214)</f>
        <v/>
      </c>
      <c r="X214" s="29">
        <f>IF(A214&gt;=SV_sIdx,0,T214)</f>
        <v/>
      </c>
      <c r="Y214" s="29">
        <f>IF(A214&gt;=SV_sIdx,0,U214)</f>
        <v/>
      </c>
      <c r="Z214" s="29">
        <f>IF(A214&gt;=SV_sIdx,MIN(V214,SV_maCap),V214)</f>
        <v/>
      </c>
      <c r="AA214" s="29">
        <f>IF(AND(SV_cpfOn,A214&gt;=SV_pIdx,A214&lt;=SV_T),12*SV_pay,0)</f>
        <v/>
      </c>
      <c r="AB214" s="29">
        <f>IF(A214&gt;SV_T,0,IF(SV_sp&gt;=0,IF(A214&lt;SV_sIdx,0,IF(A214=SV_sIdx,SV_R0,SV_lifeGrowth*AB213)),SV_lifeGrowth*AB213))</f>
        <v/>
      </c>
      <c r="AC214" s="29">
        <f>IF(A214&gt;SV_T,0,IF(AND(SV_sp&gt;=0,A214&lt;SV_sIdx),0,IF(AND(SV_sp&gt;=0,A214=SV_sIdx),SV_L0,SV_lifeGrowth*(AC213-AA214))))</f>
        <v/>
      </c>
      <c r="AD214" s="29">
        <f>X214+Y214+AB214+Z214+IF(AB214&lt;0,0,AC214)</f>
        <v/>
      </c>
      <c r="AE214" s="29">
        <f>AA214+W214</f>
        <v/>
      </c>
      <c r="AF214" s="29">
        <f>IF(OR(A214&gt;SV_T,A214&gt;=SV_loanYears),0,MAX(0,AF213*(1+loanRate)-SV_inst))</f>
        <v/>
      </c>
      <c r="AG214" s="29">
        <f>IF(A214&gt;SV_T,0,AG213*(1+SV_savRate)+H214+I214+J214+K214+L214+AE214)</f>
        <v/>
      </c>
      <c r="AH214" s="29">
        <f>IF(A214&gt;SV_T,0,MAX(0,O214+P214+Q214+AD214+AG214-AF214))</f>
        <v/>
      </c>
      <c r="AI214" s="29">
        <f>IF(A214&gt;SV_T,0,O214+P214+AG214-MAX(0,AF214-(Q214+AD214)))</f>
        <v/>
      </c>
      <c r="AJ214" s="29">
        <f>IF(OR(OR(A214&lt;1,A214&gt;SV_T),A214-1&gt;=SV_retPay),0,SV_retMth*12+IF(A214=1,SV_retLump,0))</f>
        <v/>
      </c>
      <c r="AK214" s="29">
        <f>IF(A214&gt;SV_T,0,(AK213+AJ214)*(1+investmentReturn))</f>
        <v/>
      </c>
      <c r="AL214" s="29">
        <f>IF(OR(A214&lt;1,A214&gt;SV_T),0,IF(A214-1&gt;=SV_EDUPay,0,SV_EDUMth*12+IF(A214=1,SV_EDULump,0))+IF(A214-1&gt;=SV_SAVPay,0,SV_SAVMth*12+IF(A214=1,SV_SAVLump,0))+IF(A214-1&gt;=SV_PRPPay,0,SV_PRPMth*12+IF(A214=1,SV_PRPLump,0)))</f>
        <v/>
      </c>
      <c r="AM214" s="29">
        <f>IF(A214&gt;SV_T,0,(AM213+AL214)*(1+investmentReturn))</f>
        <v/>
      </c>
      <c r="AN214" s="29">
        <f>IF(OR(OR(A214&lt;1,A214&gt;SV_T),A214-1&gt;=SV_protPay),0,SV_protPrem)</f>
        <v/>
      </c>
      <c r="AO214" s="29">
        <f>IF(OR(A214=0,A214&gt;=SV_T),0,ROUND(MAX(0,AK214),2)+ROUND(MAX(0,AM214),2))</f>
        <v/>
      </c>
      <c r="AP214" s="29">
        <f>IF(OR(A214&lt;1,A214&gt;SV_T),0,-(AJ214+AL214+AN214)+IF(A214=SV_T,ROUND(MAX(0,AK214),2)+ROUND(MAX(0,AM214),2),0))</f>
        <v/>
      </c>
      <c r="AQ214" s="29">
        <f>IF(A214&gt;SV_T,0,AQ213*(1+SV_savRate)+H214+I214+J214+K214+L214+AE214+AP214)</f>
        <v/>
      </c>
      <c r="AR214" s="29">
        <f>IF(A214&gt;SV_T,0,MAX(0,O214+P214+Q214+AD214+AQ214+AO214-AF214))</f>
        <v/>
      </c>
      <c r="AS214" s="29">
        <f>IF(A214&gt;SV_T,0,O214+P214+AQ214+AO214-MAX(0,AF214-(Q214+AD214)))</f>
        <v/>
      </c>
    </row>
    <row r="215">
      <c r="A215" s="61" t="n">
        <v>43</v>
      </c>
      <c r="B215" s="61">
        <f>SV_age+A215</f>
        <v/>
      </c>
      <c r="C215" s="61">
        <f>currentYear+A215</f>
        <v/>
      </c>
      <c r="D215" s="52">
        <f>A215&lt;=SV_T</f>
        <v/>
      </c>
      <c r="E215" s="60">
        <f>IF(AND(SV_inflOn,A215&gt;=SV_inflS,A215&lt;=SV_inflE),1+SV_inflRate,1+inflationRate)</f>
        <v/>
      </c>
      <c r="F215" s="60">
        <f>IF(A215&lt;=1,1,F214*E215)</f>
        <v/>
      </c>
      <c r="G215" s="60">
        <f>IF(AND(SV_incOn,A215&gt;=SV_incS,A215&lt;=SV_incE),1+SV_incImp,1)</f>
        <v/>
      </c>
      <c r="H215" s="29">
        <f>IF(OR(OR(A215&lt;1,A215&gt;SV_T),A215-1&gt;=SV_salCut,AND(SV_deaOn,A215&gt;=SV_deaM)),0,SV_sal0*(1+incomeGrowthRate)^(A215-1)*G215)</f>
        <v/>
      </c>
      <c r="I215" s="29">
        <f>IF(OR(A215&lt;1,A215&gt;SV_T),0,(-SV_exp0*F215-IF(A215&lt;=SV_loanYears,SV_inst,0)-IF(AND(SV_wdEDUAmt&gt;0,A215=SV_wdEDUYear),SV_wdEDUAmt,0)-IF(AND(SV_wdSAVAmt&gt;0,A215=SV_wdSAVYear),SV_wdSAVAmt,0)-IF(AND(SV_wdPRPAmt&gt;0,A215=SV_wdPRPYear),SV_wdPRPAmt,0))*IF(AND(SV_expOn,A215&gt;=SV_expS,A215&lt;=SV_expE),1+SV_expImp,1))</f>
        <v/>
      </c>
      <c r="J215" s="29">
        <f>IF(OR(A215&lt;1,A215&gt;SV_T),0,-F215*(IF(AND(SV_deaOn,A215=SV_deaM),SV_deaAmt,0)+IF(AND(SV_criOn,A215=SV_criM),SV_criAmt,0)+IF(AND(SV_tpdOn,A215=SV_tpdM),SV_tpdAmt,0)+IF(AND(SV_pacOn,A215=SV_pacM),SV_pacAmt,0)+IF(AND(SV_hosOn,A215=SV_hosM),SV_hosAmt,0)+IF(AND(SV_wedOn,A215=SV_wedM),SV_wedAmt,0)+IF(AND(SV_babOn,A215=SV_babM),SV_babAmt,0)+IF(AND(SV_ltcOn,A215&gt;=SV_ltcM,A215&lt;=SV_ltcE),SV_ltcAmt,0)))</f>
        <v/>
      </c>
      <c r="K215" s="29">
        <f>IF(OR(OR(A215&lt;1,A215&gt;SV_T),A215&gt;SV_loanYears),0,-SV_lifePremYr)</f>
        <v/>
      </c>
      <c r="L215" s="29">
        <f>IF(OR(A215&lt;1,A215&gt;SV_T),0,-SV_contrib)</f>
        <v/>
      </c>
      <c r="M215" s="60">
        <f>IF(AND(SV_crashOn,A215=SV_crashYr),SV_crashF,1)</f>
        <v/>
      </c>
      <c r="N215" s="60">
        <f>IF(AND(SV_ccyOn,A215=SV_ccyYr),SV_ccyF,1)</f>
        <v/>
      </c>
      <c r="O215" s="29">
        <f>IF(A215&gt;SV_T,0,O214*(1+interestRate)*M215*N215)</f>
        <v/>
      </c>
      <c r="P215" s="29">
        <f>IF(A215&gt;SV_T,0,(P214+SV_contrib)*(1+investmentReturn)*M215*N215)</f>
        <v/>
      </c>
      <c r="Q215" s="29">
        <f>IF(A215&gt;SV_T,0,Q214*(1+SV_propRate)*M215)</f>
        <v/>
      </c>
      <c r="R215" s="46">
        <f>MATCH(SV_age+A215-1,SV_cpfLower,1)</f>
        <v/>
      </c>
      <c r="S215" s="29">
        <f>IF(OR(OR(A215&lt;1,A215&gt;SV_T),NOT(SV_cpfOn),AND(SV_deaOn,A215&gt;=SV_deaM)),0,MIN(SV_sal0*(1+incomeGrowthRate)^(A215-1)*G215,SV_owCap))</f>
        <v/>
      </c>
      <c r="T215" s="29">
        <f>IF(A215&gt;SV_T,0,T214*(1+SV_oaRate)+IF(A215&gt;=SV_effStop,0,INDEX(SV_cpfOA,R215)*INDEX(SV_cpfTot,R215)*S215))</f>
        <v/>
      </c>
      <c r="U215" s="29">
        <f>IF(A215&gt;SV_T,0,U214*(1+SV_saRate)+IF(A215&gt;=SV_effStop,0,INDEX(SV_cpfSA,R215)*INDEX(SV_cpfTot,R215)*S215))</f>
        <v/>
      </c>
      <c r="V215" s="29">
        <f>IF(A215&gt;SV_T,0,V214*(1+SV_saRate)+IF(A215&gt;=SV_effStop,0,INDEX(SV_cpfMA,R215)*INDEX(SV_cpfTot,R215)*S215))</f>
        <v/>
      </c>
      <c r="W215" s="29">
        <f>IF(OR(OR(A215&lt;1,A215&gt;SV_T),A215&gt;=SV_effNeg),0,-(INDEX(SV_cpfOA,R215)+INDEX(SV_cpfSA,R215)+INDEX(SV_cpfMA,R215))*INDEX(SV_cpfEmp,R215)*S215)</f>
        <v/>
      </c>
      <c r="X215" s="29">
        <f>IF(A215&gt;=SV_sIdx,0,T215)</f>
        <v/>
      </c>
      <c r="Y215" s="29">
        <f>IF(A215&gt;=SV_sIdx,0,U215)</f>
        <v/>
      </c>
      <c r="Z215" s="29">
        <f>IF(A215&gt;=SV_sIdx,MIN(V215,SV_maCap),V215)</f>
        <v/>
      </c>
      <c r="AA215" s="29">
        <f>IF(AND(SV_cpfOn,A215&gt;=SV_pIdx,A215&lt;=SV_T),12*SV_pay,0)</f>
        <v/>
      </c>
      <c r="AB215" s="29">
        <f>IF(A215&gt;SV_T,0,IF(SV_sp&gt;=0,IF(A215&lt;SV_sIdx,0,IF(A215=SV_sIdx,SV_R0,SV_lifeGrowth*AB214)),SV_lifeGrowth*AB214))</f>
        <v/>
      </c>
      <c r="AC215" s="29">
        <f>IF(A215&gt;SV_T,0,IF(AND(SV_sp&gt;=0,A215&lt;SV_sIdx),0,IF(AND(SV_sp&gt;=0,A215=SV_sIdx),SV_L0,SV_lifeGrowth*(AC214-AA215))))</f>
        <v/>
      </c>
      <c r="AD215" s="29">
        <f>X215+Y215+AB215+Z215+IF(AB215&lt;0,0,AC215)</f>
        <v/>
      </c>
      <c r="AE215" s="29">
        <f>AA215+W215</f>
        <v/>
      </c>
      <c r="AF215" s="29">
        <f>IF(OR(A215&gt;SV_T,A215&gt;=SV_loanYears),0,MAX(0,AF214*(1+loanRate)-SV_inst))</f>
        <v/>
      </c>
      <c r="AG215" s="29">
        <f>IF(A215&gt;SV_T,0,AG214*(1+SV_savRate)+H215+I215+J215+K215+L215+AE215)</f>
        <v/>
      </c>
      <c r="AH215" s="29">
        <f>IF(A215&gt;SV_T,0,MAX(0,O215+P215+Q215+AD215+AG215-AF215))</f>
        <v/>
      </c>
      <c r="AI215" s="29">
        <f>IF(A215&gt;SV_T,0,O215+P215+AG215-MAX(0,AF215-(Q215+AD215)))</f>
        <v/>
      </c>
      <c r="AJ215" s="29">
        <f>IF(OR(OR(A215&lt;1,A215&gt;SV_T),A215-1&gt;=SV_retPay),0,SV_retMth*12+IF(A215=1,SV_retLump,0))</f>
        <v/>
      </c>
      <c r="AK215" s="29">
        <f>IF(A215&gt;SV_T,0,(AK214+AJ215)*(1+investmentReturn))</f>
        <v/>
      </c>
      <c r="AL215" s="29">
        <f>IF(OR(A215&lt;1,A215&gt;SV_T),0,IF(A215-1&gt;=SV_EDUPay,0,SV_EDUMth*12+IF(A215=1,SV_EDULump,0))+IF(A215-1&gt;=SV_SAVPay,0,SV_SAVMth*12+IF(A215=1,SV_SAVLump,0))+IF(A215-1&gt;=SV_PRPPay,0,SV_PRPMth*12+IF(A215=1,SV_PRPLump,0)))</f>
        <v/>
      </c>
      <c r="AM215" s="29">
        <f>IF(A215&gt;SV_T,0,(AM214+AL215)*(1+investmentReturn))</f>
        <v/>
      </c>
      <c r="AN215" s="29">
        <f>IF(OR(OR(A215&lt;1,A215&gt;SV_T),A215-1&gt;=SV_protPay),0,SV_protPrem)</f>
        <v/>
      </c>
      <c r="AO215" s="29">
        <f>IF(OR(A215=0,A215&gt;=SV_T),0,ROUND(MAX(0,AK215),2)+ROUND(MAX(0,AM215),2))</f>
        <v/>
      </c>
      <c r="AP215" s="29">
        <f>IF(OR(A215&lt;1,A215&gt;SV_T),0,-(AJ215+AL215+AN215)+IF(A215=SV_T,ROUND(MAX(0,AK215),2)+ROUND(MAX(0,AM215),2),0))</f>
        <v/>
      </c>
      <c r="AQ215" s="29">
        <f>IF(A215&gt;SV_T,0,AQ214*(1+SV_savRate)+H215+I215+J215+K215+L215+AE215+AP215)</f>
        <v/>
      </c>
      <c r="AR215" s="29">
        <f>IF(A215&gt;SV_T,0,MAX(0,O215+P215+Q215+AD215+AQ215+AO215-AF215))</f>
        <v/>
      </c>
      <c r="AS215" s="29">
        <f>IF(A215&gt;SV_T,0,O215+P215+AQ215+AO215-MAX(0,AF215-(Q215+AD215)))</f>
        <v/>
      </c>
    </row>
    <row r="216">
      <c r="A216" s="61" t="n">
        <v>44</v>
      </c>
      <c r="B216" s="61">
        <f>SV_age+A216</f>
        <v/>
      </c>
      <c r="C216" s="61">
        <f>currentYear+A216</f>
        <v/>
      </c>
      <c r="D216" s="52">
        <f>A216&lt;=SV_T</f>
        <v/>
      </c>
      <c r="E216" s="60">
        <f>IF(AND(SV_inflOn,A216&gt;=SV_inflS,A216&lt;=SV_inflE),1+SV_inflRate,1+inflationRate)</f>
        <v/>
      </c>
      <c r="F216" s="60">
        <f>IF(A216&lt;=1,1,F215*E216)</f>
        <v/>
      </c>
      <c r="G216" s="60">
        <f>IF(AND(SV_incOn,A216&gt;=SV_incS,A216&lt;=SV_incE),1+SV_incImp,1)</f>
        <v/>
      </c>
      <c r="H216" s="29">
        <f>IF(OR(OR(A216&lt;1,A216&gt;SV_T),A216-1&gt;=SV_salCut,AND(SV_deaOn,A216&gt;=SV_deaM)),0,SV_sal0*(1+incomeGrowthRate)^(A216-1)*G216)</f>
        <v/>
      </c>
      <c r="I216" s="29">
        <f>IF(OR(A216&lt;1,A216&gt;SV_T),0,(-SV_exp0*F216-IF(A216&lt;=SV_loanYears,SV_inst,0)-IF(AND(SV_wdEDUAmt&gt;0,A216=SV_wdEDUYear),SV_wdEDUAmt,0)-IF(AND(SV_wdSAVAmt&gt;0,A216=SV_wdSAVYear),SV_wdSAVAmt,0)-IF(AND(SV_wdPRPAmt&gt;0,A216=SV_wdPRPYear),SV_wdPRPAmt,0))*IF(AND(SV_expOn,A216&gt;=SV_expS,A216&lt;=SV_expE),1+SV_expImp,1))</f>
        <v/>
      </c>
      <c r="J216" s="29">
        <f>IF(OR(A216&lt;1,A216&gt;SV_T),0,-F216*(IF(AND(SV_deaOn,A216=SV_deaM),SV_deaAmt,0)+IF(AND(SV_criOn,A216=SV_criM),SV_criAmt,0)+IF(AND(SV_tpdOn,A216=SV_tpdM),SV_tpdAmt,0)+IF(AND(SV_pacOn,A216=SV_pacM),SV_pacAmt,0)+IF(AND(SV_hosOn,A216=SV_hosM),SV_hosAmt,0)+IF(AND(SV_wedOn,A216=SV_wedM),SV_wedAmt,0)+IF(AND(SV_babOn,A216=SV_babM),SV_babAmt,0)+IF(AND(SV_ltcOn,A216&gt;=SV_ltcM,A216&lt;=SV_ltcE),SV_ltcAmt,0)))</f>
        <v/>
      </c>
      <c r="K216" s="29">
        <f>IF(OR(OR(A216&lt;1,A216&gt;SV_T),A216&gt;SV_loanYears),0,-SV_lifePremYr)</f>
        <v/>
      </c>
      <c r="L216" s="29">
        <f>IF(OR(A216&lt;1,A216&gt;SV_T),0,-SV_contrib)</f>
        <v/>
      </c>
      <c r="M216" s="60">
        <f>IF(AND(SV_crashOn,A216=SV_crashYr),SV_crashF,1)</f>
        <v/>
      </c>
      <c r="N216" s="60">
        <f>IF(AND(SV_ccyOn,A216=SV_ccyYr),SV_ccyF,1)</f>
        <v/>
      </c>
      <c r="O216" s="29">
        <f>IF(A216&gt;SV_T,0,O215*(1+interestRate)*M216*N216)</f>
        <v/>
      </c>
      <c r="P216" s="29">
        <f>IF(A216&gt;SV_T,0,(P215+SV_contrib)*(1+investmentReturn)*M216*N216)</f>
        <v/>
      </c>
      <c r="Q216" s="29">
        <f>IF(A216&gt;SV_T,0,Q215*(1+SV_propRate)*M216)</f>
        <v/>
      </c>
      <c r="R216" s="46">
        <f>MATCH(SV_age+A216-1,SV_cpfLower,1)</f>
        <v/>
      </c>
      <c r="S216" s="29">
        <f>IF(OR(OR(A216&lt;1,A216&gt;SV_T),NOT(SV_cpfOn),AND(SV_deaOn,A216&gt;=SV_deaM)),0,MIN(SV_sal0*(1+incomeGrowthRate)^(A216-1)*G216,SV_owCap))</f>
        <v/>
      </c>
      <c r="T216" s="29">
        <f>IF(A216&gt;SV_T,0,T215*(1+SV_oaRate)+IF(A216&gt;=SV_effStop,0,INDEX(SV_cpfOA,R216)*INDEX(SV_cpfTot,R216)*S216))</f>
        <v/>
      </c>
      <c r="U216" s="29">
        <f>IF(A216&gt;SV_T,0,U215*(1+SV_saRate)+IF(A216&gt;=SV_effStop,0,INDEX(SV_cpfSA,R216)*INDEX(SV_cpfTot,R216)*S216))</f>
        <v/>
      </c>
      <c r="V216" s="29">
        <f>IF(A216&gt;SV_T,0,V215*(1+SV_saRate)+IF(A216&gt;=SV_effStop,0,INDEX(SV_cpfMA,R216)*INDEX(SV_cpfTot,R216)*S216))</f>
        <v/>
      </c>
      <c r="W216" s="29">
        <f>IF(OR(OR(A216&lt;1,A216&gt;SV_T),A216&gt;=SV_effNeg),0,-(INDEX(SV_cpfOA,R216)+INDEX(SV_cpfSA,R216)+INDEX(SV_cpfMA,R216))*INDEX(SV_cpfEmp,R216)*S216)</f>
        <v/>
      </c>
      <c r="X216" s="29">
        <f>IF(A216&gt;=SV_sIdx,0,T216)</f>
        <v/>
      </c>
      <c r="Y216" s="29">
        <f>IF(A216&gt;=SV_sIdx,0,U216)</f>
        <v/>
      </c>
      <c r="Z216" s="29">
        <f>IF(A216&gt;=SV_sIdx,MIN(V216,SV_maCap),V216)</f>
        <v/>
      </c>
      <c r="AA216" s="29">
        <f>IF(AND(SV_cpfOn,A216&gt;=SV_pIdx,A216&lt;=SV_T),12*SV_pay,0)</f>
        <v/>
      </c>
      <c r="AB216" s="29">
        <f>IF(A216&gt;SV_T,0,IF(SV_sp&gt;=0,IF(A216&lt;SV_sIdx,0,IF(A216=SV_sIdx,SV_R0,SV_lifeGrowth*AB215)),SV_lifeGrowth*AB215))</f>
        <v/>
      </c>
      <c r="AC216" s="29">
        <f>IF(A216&gt;SV_T,0,IF(AND(SV_sp&gt;=0,A216&lt;SV_sIdx),0,IF(AND(SV_sp&gt;=0,A216=SV_sIdx),SV_L0,SV_lifeGrowth*(AC215-AA216))))</f>
        <v/>
      </c>
      <c r="AD216" s="29">
        <f>X216+Y216+AB216+Z216+IF(AB216&lt;0,0,AC216)</f>
        <v/>
      </c>
      <c r="AE216" s="29">
        <f>AA216+W216</f>
        <v/>
      </c>
      <c r="AF216" s="29">
        <f>IF(OR(A216&gt;SV_T,A216&gt;=SV_loanYears),0,MAX(0,AF215*(1+loanRate)-SV_inst))</f>
        <v/>
      </c>
      <c r="AG216" s="29">
        <f>IF(A216&gt;SV_T,0,AG215*(1+SV_savRate)+H216+I216+J216+K216+L216+AE216)</f>
        <v/>
      </c>
      <c r="AH216" s="29">
        <f>IF(A216&gt;SV_T,0,MAX(0,O216+P216+Q216+AD216+AG216-AF216))</f>
        <v/>
      </c>
      <c r="AI216" s="29">
        <f>IF(A216&gt;SV_T,0,O216+P216+AG216-MAX(0,AF216-(Q216+AD216)))</f>
        <v/>
      </c>
      <c r="AJ216" s="29">
        <f>IF(OR(OR(A216&lt;1,A216&gt;SV_T),A216-1&gt;=SV_retPay),0,SV_retMth*12+IF(A216=1,SV_retLump,0))</f>
        <v/>
      </c>
      <c r="AK216" s="29">
        <f>IF(A216&gt;SV_T,0,(AK215+AJ216)*(1+investmentReturn))</f>
        <v/>
      </c>
      <c r="AL216" s="29">
        <f>IF(OR(A216&lt;1,A216&gt;SV_T),0,IF(A216-1&gt;=SV_EDUPay,0,SV_EDUMth*12+IF(A216=1,SV_EDULump,0))+IF(A216-1&gt;=SV_SAVPay,0,SV_SAVMth*12+IF(A216=1,SV_SAVLump,0))+IF(A216-1&gt;=SV_PRPPay,0,SV_PRPMth*12+IF(A216=1,SV_PRPLump,0)))</f>
        <v/>
      </c>
      <c r="AM216" s="29">
        <f>IF(A216&gt;SV_T,0,(AM215+AL216)*(1+investmentReturn))</f>
        <v/>
      </c>
      <c r="AN216" s="29">
        <f>IF(OR(OR(A216&lt;1,A216&gt;SV_T),A216-1&gt;=SV_protPay),0,SV_protPrem)</f>
        <v/>
      </c>
      <c r="AO216" s="29">
        <f>IF(OR(A216=0,A216&gt;=SV_T),0,ROUND(MAX(0,AK216),2)+ROUND(MAX(0,AM216),2))</f>
        <v/>
      </c>
      <c r="AP216" s="29">
        <f>IF(OR(A216&lt;1,A216&gt;SV_T),0,-(AJ216+AL216+AN216)+IF(A216=SV_T,ROUND(MAX(0,AK216),2)+ROUND(MAX(0,AM216),2),0))</f>
        <v/>
      </c>
      <c r="AQ216" s="29">
        <f>IF(A216&gt;SV_T,0,AQ215*(1+SV_savRate)+H216+I216+J216+K216+L216+AE216+AP216)</f>
        <v/>
      </c>
      <c r="AR216" s="29">
        <f>IF(A216&gt;SV_T,0,MAX(0,O216+P216+Q216+AD216+AQ216+AO216-AF216))</f>
        <v/>
      </c>
      <c r="AS216" s="29">
        <f>IF(A216&gt;SV_T,0,O216+P216+AQ216+AO216-MAX(0,AF216-(Q216+AD216)))</f>
        <v/>
      </c>
    </row>
    <row r="217">
      <c r="A217" s="61" t="n">
        <v>45</v>
      </c>
      <c r="B217" s="61">
        <f>SV_age+A217</f>
        <v/>
      </c>
      <c r="C217" s="61">
        <f>currentYear+A217</f>
        <v/>
      </c>
      <c r="D217" s="52">
        <f>A217&lt;=SV_T</f>
        <v/>
      </c>
      <c r="E217" s="60">
        <f>IF(AND(SV_inflOn,A217&gt;=SV_inflS,A217&lt;=SV_inflE),1+SV_inflRate,1+inflationRate)</f>
        <v/>
      </c>
      <c r="F217" s="60">
        <f>IF(A217&lt;=1,1,F216*E217)</f>
        <v/>
      </c>
      <c r="G217" s="60">
        <f>IF(AND(SV_incOn,A217&gt;=SV_incS,A217&lt;=SV_incE),1+SV_incImp,1)</f>
        <v/>
      </c>
      <c r="H217" s="29">
        <f>IF(OR(OR(A217&lt;1,A217&gt;SV_T),A217-1&gt;=SV_salCut,AND(SV_deaOn,A217&gt;=SV_deaM)),0,SV_sal0*(1+incomeGrowthRate)^(A217-1)*G217)</f>
        <v/>
      </c>
      <c r="I217" s="29">
        <f>IF(OR(A217&lt;1,A217&gt;SV_T),0,(-SV_exp0*F217-IF(A217&lt;=SV_loanYears,SV_inst,0)-IF(AND(SV_wdEDUAmt&gt;0,A217=SV_wdEDUYear),SV_wdEDUAmt,0)-IF(AND(SV_wdSAVAmt&gt;0,A217=SV_wdSAVYear),SV_wdSAVAmt,0)-IF(AND(SV_wdPRPAmt&gt;0,A217=SV_wdPRPYear),SV_wdPRPAmt,0))*IF(AND(SV_expOn,A217&gt;=SV_expS,A217&lt;=SV_expE),1+SV_expImp,1))</f>
        <v/>
      </c>
      <c r="J217" s="29">
        <f>IF(OR(A217&lt;1,A217&gt;SV_T),0,-F217*(IF(AND(SV_deaOn,A217=SV_deaM),SV_deaAmt,0)+IF(AND(SV_criOn,A217=SV_criM),SV_criAmt,0)+IF(AND(SV_tpdOn,A217=SV_tpdM),SV_tpdAmt,0)+IF(AND(SV_pacOn,A217=SV_pacM),SV_pacAmt,0)+IF(AND(SV_hosOn,A217=SV_hosM),SV_hosAmt,0)+IF(AND(SV_wedOn,A217=SV_wedM),SV_wedAmt,0)+IF(AND(SV_babOn,A217=SV_babM),SV_babAmt,0)+IF(AND(SV_ltcOn,A217&gt;=SV_ltcM,A217&lt;=SV_ltcE),SV_ltcAmt,0)))</f>
        <v/>
      </c>
      <c r="K217" s="29">
        <f>IF(OR(OR(A217&lt;1,A217&gt;SV_T),A217&gt;SV_loanYears),0,-SV_lifePremYr)</f>
        <v/>
      </c>
      <c r="L217" s="29">
        <f>IF(OR(A217&lt;1,A217&gt;SV_T),0,-SV_contrib)</f>
        <v/>
      </c>
      <c r="M217" s="60">
        <f>IF(AND(SV_crashOn,A217=SV_crashYr),SV_crashF,1)</f>
        <v/>
      </c>
      <c r="N217" s="60">
        <f>IF(AND(SV_ccyOn,A217=SV_ccyYr),SV_ccyF,1)</f>
        <v/>
      </c>
      <c r="O217" s="29">
        <f>IF(A217&gt;SV_T,0,O216*(1+interestRate)*M217*N217)</f>
        <v/>
      </c>
      <c r="P217" s="29">
        <f>IF(A217&gt;SV_T,0,(P216+SV_contrib)*(1+investmentReturn)*M217*N217)</f>
        <v/>
      </c>
      <c r="Q217" s="29">
        <f>IF(A217&gt;SV_T,0,Q216*(1+SV_propRate)*M217)</f>
        <v/>
      </c>
      <c r="R217" s="46">
        <f>MATCH(SV_age+A217-1,SV_cpfLower,1)</f>
        <v/>
      </c>
      <c r="S217" s="29">
        <f>IF(OR(OR(A217&lt;1,A217&gt;SV_T),NOT(SV_cpfOn),AND(SV_deaOn,A217&gt;=SV_deaM)),0,MIN(SV_sal0*(1+incomeGrowthRate)^(A217-1)*G217,SV_owCap))</f>
        <v/>
      </c>
      <c r="T217" s="29">
        <f>IF(A217&gt;SV_T,0,T216*(1+SV_oaRate)+IF(A217&gt;=SV_effStop,0,INDEX(SV_cpfOA,R217)*INDEX(SV_cpfTot,R217)*S217))</f>
        <v/>
      </c>
      <c r="U217" s="29">
        <f>IF(A217&gt;SV_T,0,U216*(1+SV_saRate)+IF(A217&gt;=SV_effStop,0,INDEX(SV_cpfSA,R217)*INDEX(SV_cpfTot,R217)*S217))</f>
        <v/>
      </c>
      <c r="V217" s="29">
        <f>IF(A217&gt;SV_T,0,V216*(1+SV_saRate)+IF(A217&gt;=SV_effStop,0,INDEX(SV_cpfMA,R217)*INDEX(SV_cpfTot,R217)*S217))</f>
        <v/>
      </c>
      <c r="W217" s="29">
        <f>IF(OR(OR(A217&lt;1,A217&gt;SV_T),A217&gt;=SV_effNeg),0,-(INDEX(SV_cpfOA,R217)+INDEX(SV_cpfSA,R217)+INDEX(SV_cpfMA,R217))*INDEX(SV_cpfEmp,R217)*S217)</f>
        <v/>
      </c>
      <c r="X217" s="29">
        <f>IF(A217&gt;=SV_sIdx,0,T217)</f>
        <v/>
      </c>
      <c r="Y217" s="29">
        <f>IF(A217&gt;=SV_sIdx,0,U217)</f>
        <v/>
      </c>
      <c r="Z217" s="29">
        <f>IF(A217&gt;=SV_sIdx,MIN(V217,SV_maCap),V217)</f>
        <v/>
      </c>
      <c r="AA217" s="29">
        <f>IF(AND(SV_cpfOn,A217&gt;=SV_pIdx,A217&lt;=SV_T),12*SV_pay,0)</f>
        <v/>
      </c>
      <c r="AB217" s="29">
        <f>IF(A217&gt;SV_T,0,IF(SV_sp&gt;=0,IF(A217&lt;SV_sIdx,0,IF(A217=SV_sIdx,SV_R0,SV_lifeGrowth*AB216)),SV_lifeGrowth*AB216))</f>
        <v/>
      </c>
      <c r="AC217" s="29">
        <f>IF(A217&gt;SV_T,0,IF(AND(SV_sp&gt;=0,A217&lt;SV_sIdx),0,IF(AND(SV_sp&gt;=0,A217=SV_sIdx),SV_L0,SV_lifeGrowth*(AC216-AA217))))</f>
        <v/>
      </c>
      <c r="AD217" s="29">
        <f>X217+Y217+AB217+Z217+IF(AB217&lt;0,0,AC217)</f>
        <v/>
      </c>
      <c r="AE217" s="29">
        <f>AA217+W217</f>
        <v/>
      </c>
      <c r="AF217" s="29">
        <f>IF(OR(A217&gt;SV_T,A217&gt;=SV_loanYears),0,MAX(0,AF216*(1+loanRate)-SV_inst))</f>
        <v/>
      </c>
      <c r="AG217" s="29">
        <f>IF(A217&gt;SV_T,0,AG216*(1+SV_savRate)+H217+I217+J217+K217+L217+AE217)</f>
        <v/>
      </c>
      <c r="AH217" s="29">
        <f>IF(A217&gt;SV_T,0,MAX(0,O217+P217+Q217+AD217+AG217-AF217))</f>
        <v/>
      </c>
      <c r="AI217" s="29">
        <f>IF(A217&gt;SV_T,0,O217+P217+AG217-MAX(0,AF217-(Q217+AD217)))</f>
        <v/>
      </c>
      <c r="AJ217" s="29">
        <f>IF(OR(OR(A217&lt;1,A217&gt;SV_T),A217-1&gt;=SV_retPay),0,SV_retMth*12+IF(A217=1,SV_retLump,0))</f>
        <v/>
      </c>
      <c r="AK217" s="29">
        <f>IF(A217&gt;SV_T,0,(AK216+AJ217)*(1+investmentReturn))</f>
        <v/>
      </c>
      <c r="AL217" s="29">
        <f>IF(OR(A217&lt;1,A217&gt;SV_T),0,IF(A217-1&gt;=SV_EDUPay,0,SV_EDUMth*12+IF(A217=1,SV_EDULump,0))+IF(A217-1&gt;=SV_SAVPay,0,SV_SAVMth*12+IF(A217=1,SV_SAVLump,0))+IF(A217-1&gt;=SV_PRPPay,0,SV_PRPMth*12+IF(A217=1,SV_PRPLump,0)))</f>
        <v/>
      </c>
      <c r="AM217" s="29">
        <f>IF(A217&gt;SV_T,0,(AM216+AL217)*(1+investmentReturn))</f>
        <v/>
      </c>
      <c r="AN217" s="29">
        <f>IF(OR(OR(A217&lt;1,A217&gt;SV_T),A217-1&gt;=SV_protPay),0,SV_protPrem)</f>
        <v/>
      </c>
      <c r="AO217" s="29">
        <f>IF(OR(A217=0,A217&gt;=SV_T),0,ROUND(MAX(0,AK217),2)+ROUND(MAX(0,AM217),2))</f>
        <v/>
      </c>
      <c r="AP217" s="29">
        <f>IF(OR(A217&lt;1,A217&gt;SV_T),0,-(AJ217+AL217+AN217)+IF(A217=SV_T,ROUND(MAX(0,AK217),2)+ROUND(MAX(0,AM217),2),0))</f>
        <v/>
      </c>
      <c r="AQ217" s="29">
        <f>IF(A217&gt;SV_T,0,AQ216*(1+SV_savRate)+H217+I217+J217+K217+L217+AE217+AP217)</f>
        <v/>
      </c>
      <c r="AR217" s="29">
        <f>IF(A217&gt;SV_T,0,MAX(0,O217+P217+Q217+AD217+AQ217+AO217-AF217))</f>
        <v/>
      </c>
      <c r="AS217" s="29">
        <f>IF(A217&gt;SV_T,0,O217+P217+AQ217+AO217-MAX(0,AF217-(Q217+AD217)))</f>
        <v/>
      </c>
    </row>
    <row r="218">
      <c r="A218" s="61" t="n">
        <v>46</v>
      </c>
      <c r="B218" s="61">
        <f>SV_age+A218</f>
        <v/>
      </c>
      <c r="C218" s="61">
        <f>currentYear+A218</f>
        <v/>
      </c>
      <c r="D218" s="52">
        <f>A218&lt;=SV_T</f>
        <v/>
      </c>
      <c r="E218" s="60">
        <f>IF(AND(SV_inflOn,A218&gt;=SV_inflS,A218&lt;=SV_inflE),1+SV_inflRate,1+inflationRate)</f>
        <v/>
      </c>
      <c r="F218" s="60">
        <f>IF(A218&lt;=1,1,F217*E218)</f>
        <v/>
      </c>
      <c r="G218" s="60">
        <f>IF(AND(SV_incOn,A218&gt;=SV_incS,A218&lt;=SV_incE),1+SV_incImp,1)</f>
        <v/>
      </c>
      <c r="H218" s="29">
        <f>IF(OR(OR(A218&lt;1,A218&gt;SV_T),A218-1&gt;=SV_salCut,AND(SV_deaOn,A218&gt;=SV_deaM)),0,SV_sal0*(1+incomeGrowthRate)^(A218-1)*G218)</f>
        <v/>
      </c>
      <c r="I218" s="29">
        <f>IF(OR(A218&lt;1,A218&gt;SV_T),0,(-SV_exp0*F218-IF(A218&lt;=SV_loanYears,SV_inst,0)-IF(AND(SV_wdEDUAmt&gt;0,A218=SV_wdEDUYear),SV_wdEDUAmt,0)-IF(AND(SV_wdSAVAmt&gt;0,A218=SV_wdSAVYear),SV_wdSAVAmt,0)-IF(AND(SV_wdPRPAmt&gt;0,A218=SV_wdPRPYear),SV_wdPRPAmt,0))*IF(AND(SV_expOn,A218&gt;=SV_expS,A218&lt;=SV_expE),1+SV_expImp,1))</f>
        <v/>
      </c>
      <c r="J218" s="29">
        <f>IF(OR(A218&lt;1,A218&gt;SV_T),0,-F218*(IF(AND(SV_deaOn,A218=SV_deaM),SV_deaAmt,0)+IF(AND(SV_criOn,A218=SV_criM),SV_criAmt,0)+IF(AND(SV_tpdOn,A218=SV_tpdM),SV_tpdAmt,0)+IF(AND(SV_pacOn,A218=SV_pacM),SV_pacAmt,0)+IF(AND(SV_hosOn,A218=SV_hosM),SV_hosAmt,0)+IF(AND(SV_wedOn,A218=SV_wedM),SV_wedAmt,0)+IF(AND(SV_babOn,A218=SV_babM),SV_babAmt,0)+IF(AND(SV_ltcOn,A218&gt;=SV_ltcM,A218&lt;=SV_ltcE),SV_ltcAmt,0)))</f>
        <v/>
      </c>
      <c r="K218" s="29">
        <f>IF(OR(OR(A218&lt;1,A218&gt;SV_T),A218&gt;SV_loanYears),0,-SV_lifePremYr)</f>
        <v/>
      </c>
      <c r="L218" s="29">
        <f>IF(OR(A218&lt;1,A218&gt;SV_T),0,-SV_contrib)</f>
        <v/>
      </c>
      <c r="M218" s="60">
        <f>IF(AND(SV_crashOn,A218=SV_crashYr),SV_crashF,1)</f>
        <v/>
      </c>
      <c r="N218" s="60">
        <f>IF(AND(SV_ccyOn,A218=SV_ccyYr),SV_ccyF,1)</f>
        <v/>
      </c>
      <c r="O218" s="29">
        <f>IF(A218&gt;SV_T,0,O217*(1+interestRate)*M218*N218)</f>
        <v/>
      </c>
      <c r="P218" s="29">
        <f>IF(A218&gt;SV_T,0,(P217+SV_contrib)*(1+investmentReturn)*M218*N218)</f>
        <v/>
      </c>
      <c r="Q218" s="29">
        <f>IF(A218&gt;SV_T,0,Q217*(1+SV_propRate)*M218)</f>
        <v/>
      </c>
      <c r="R218" s="46">
        <f>MATCH(SV_age+A218-1,SV_cpfLower,1)</f>
        <v/>
      </c>
      <c r="S218" s="29">
        <f>IF(OR(OR(A218&lt;1,A218&gt;SV_T),NOT(SV_cpfOn),AND(SV_deaOn,A218&gt;=SV_deaM)),0,MIN(SV_sal0*(1+incomeGrowthRate)^(A218-1)*G218,SV_owCap))</f>
        <v/>
      </c>
      <c r="T218" s="29">
        <f>IF(A218&gt;SV_T,0,T217*(1+SV_oaRate)+IF(A218&gt;=SV_effStop,0,INDEX(SV_cpfOA,R218)*INDEX(SV_cpfTot,R218)*S218))</f>
        <v/>
      </c>
      <c r="U218" s="29">
        <f>IF(A218&gt;SV_T,0,U217*(1+SV_saRate)+IF(A218&gt;=SV_effStop,0,INDEX(SV_cpfSA,R218)*INDEX(SV_cpfTot,R218)*S218))</f>
        <v/>
      </c>
      <c r="V218" s="29">
        <f>IF(A218&gt;SV_T,0,V217*(1+SV_saRate)+IF(A218&gt;=SV_effStop,0,INDEX(SV_cpfMA,R218)*INDEX(SV_cpfTot,R218)*S218))</f>
        <v/>
      </c>
      <c r="W218" s="29">
        <f>IF(OR(OR(A218&lt;1,A218&gt;SV_T),A218&gt;=SV_effNeg),0,-(INDEX(SV_cpfOA,R218)+INDEX(SV_cpfSA,R218)+INDEX(SV_cpfMA,R218))*INDEX(SV_cpfEmp,R218)*S218)</f>
        <v/>
      </c>
      <c r="X218" s="29">
        <f>IF(A218&gt;=SV_sIdx,0,T218)</f>
        <v/>
      </c>
      <c r="Y218" s="29">
        <f>IF(A218&gt;=SV_sIdx,0,U218)</f>
        <v/>
      </c>
      <c r="Z218" s="29">
        <f>IF(A218&gt;=SV_sIdx,MIN(V218,SV_maCap),V218)</f>
        <v/>
      </c>
      <c r="AA218" s="29">
        <f>IF(AND(SV_cpfOn,A218&gt;=SV_pIdx,A218&lt;=SV_T),12*SV_pay,0)</f>
        <v/>
      </c>
      <c r="AB218" s="29">
        <f>IF(A218&gt;SV_T,0,IF(SV_sp&gt;=0,IF(A218&lt;SV_sIdx,0,IF(A218=SV_sIdx,SV_R0,SV_lifeGrowth*AB217)),SV_lifeGrowth*AB217))</f>
        <v/>
      </c>
      <c r="AC218" s="29">
        <f>IF(A218&gt;SV_T,0,IF(AND(SV_sp&gt;=0,A218&lt;SV_sIdx),0,IF(AND(SV_sp&gt;=0,A218=SV_sIdx),SV_L0,SV_lifeGrowth*(AC217-AA218))))</f>
        <v/>
      </c>
      <c r="AD218" s="29">
        <f>X218+Y218+AB218+Z218+IF(AB218&lt;0,0,AC218)</f>
        <v/>
      </c>
      <c r="AE218" s="29">
        <f>AA218+W218</f>
        <v/>
      </c>
      <c r="AF218" s="29">
        <f>IF(OR(A218&gt;SV_T,A218&gt;=SV_loanYears),0,MAX(0,AF217*(1+loanRate)-SV_inst))</f>
        <v/>
      </c>
      <c r="AG218" s="29">
        <f>IF(A218&gt;SV_T,0,AG217*(1+SV_savRate)+H218+I218+J218+K218+L218+AE218)</f>
        <v/>
      </c>
      <c r="AH218" s="29">
        <f>IF(A218&gt;SV_T,0,MAX(0,O218+P218+Q218+AD218+AG218-AF218))</f>
        <v/>
      </c>
      <c r="AI218" s="29">
        <f>IF(A218&gt;SV_T,0,O218+P218+AG218-MAX(0,AF218-(Q218+AD218)))</f>
        <v/>
      </c>
      <c r="AJ218" s="29">
        <f>IF(OR(OR(A218&lt;1,A218&gt;SV_T),A218-1&gt;=SV_retPay),0,SV_retMth*12+IF(A218=1,SV_retLump,0))</f>
        <v/>
      </c>
      <c r="AK218" s="29">
        <f>IF(A218&gt;SV_T,0,(AK217+AJ218)*(1+investmentReturn))</f>
        <v/>
      </c>
      <c r="AL218" s="29">
        <f>IF(OR(A218&lt;1,A218&gt;SV_T),0,IF(A218-1&gt;=SV_EDUPay,0,SV_EDUMth*12+IF(A218=1,SV_EDULump,0))+IF(A218-1&gt;=SV_SAVPay,0,SV_SAVMth*12+IF(A218=1,SV_SAVLump,0))+IF(A218-1&gt;=SV_PRPPay,0,SV_PRPMth*12+IF(A218=1,SV_PRPLump,0)))</f>
        <v/>
      </c>
      <c r="AM218" s="29">
        <f>IF(A218&gt;SV_T,0,(AM217+AL218)*(1+investmentReturn))</f>
        <v/>
      </c>
      <c r="AN218" s="29">
        <f>IF(OR(OR(A218&lt;1,A218&gt;SV_T),A218-1&gt;=SV_protPay),0,SV_protPrem)</f>
        <v/>
      </c>
      <c r="AO218" s="29">
        <f>IF(OR(A218=0,A218&gt;=SV_T),0,ROUND(MAX(0,AK218),2)+ROUND(MAX(0,AM218),2))</f>
        <v/>
      </c>
      <c r="AP218" s="29">
        <f>IF(OR(A218&lt;1,A218&gt;SV_T),0,-(AJ218+AL218+AN218)+IF(A218=SV_T,ROUND(MAX(0,AK218),2)+ROUND(MAX(0,AM218),2),0))</f>
        <v/>
      </c>
      <c r="AQ218" s="29">
        <f>IF(A218&gt;SV_T,0,AQ217*(1+SV_savRate)+H218+I218+J218+K218+L218+AE218+AP218)</f>
        <v/>
      </c>
      <c r="AR218" s="29">
        <f>IF(A218&gt;SV_T,0,MAX(0,O218+P218+Q218+AD218+AQ218+AO218-AF218))</f>
        <v/>
      </c>
      <c r="AS218" s="29">
        <f>IF(A218&gt;SV_T,0,O218+P218+AQ218+AO218-MAX(0,AF218-(Q218+AD218)))</f>
        <v/>
      </c>
    </row>
    <row r="219">
      <c r="A219" s="61" t="n">
        <v>47</v>
      </c>
      <c r="B219" s="61">
        <f>SV_age+A219</f>
        <v/>
      </c>
      <c r="C219" s="61">
        <f>currentYear+A219</f>
        <v/>
      </c>
      <c r="D219" s="52">
        <f>A219&lt;=SV_T</f>
        <v/>
      </c>
      <c r="E219" s="60">
        <f>IF(AND(SV_inflOn,A219&gt;=SV_inflS,A219&lt;=SV_inflE),1+SV_inflRate,1+inflationRate)</f>
        <v/>
      </c>
      <c r="F219" s="60">
        <f>IF(A219&lt;=1,1,F218*E219)</f>
        <v/>
      </c>
      <c r="G219" s="60">
        <f>IF(AND(SV_incOn,A219&gt;=SV_incS,A219&lt;=SV_incE),1+SV_incImp,1)</f>
        <v/>
      </c>
      <c r="H219" s="29">
        <f>IF(OR(OR(A219&lt;1,A219&gt;SV_T),A219-1&gt;=SV_salCut,AND(SV_deaOn,A219&gt;=SV_deaM)),0,SV_sal0*(1+incomeGrowthRate)^(A219-1)*G219)</f>
        <v/>
      </c>
      <c r="I219" s="29">
        <f>IF(OR(A219&lt;1,A219&gt;SV_T),0,(-SV_exp0*F219-IF(A219&lt;=SV_loanYears,SV_inst,0)-IF(AND(SV_wdEDUAmt&gt;0,A219=SV_wdEDUYear),SV_wdEDUAmt,0)-IF(AND(SV_wdSAVAmt&gt;0,A219=SV_wdSAVYear),SV_wdSAVAmt,0)-IF(AND(SV_wdPRPAmt&gt;0,A219=SV_wdPRPYear),SV_wdPRPAmt,0))*IF(AND(SV_expOn,A219&gt;=SV_expS,A219&lt;=SV_expE),1+SV_expImp,1))</f>
        <v/>
      </c>
      <c r="J219" s="29">
        <f>IF(OR(A219&lt;1,A219&gt;SV_T),0,-F219*(IF(AND(SV_deaOn,A219=SV_deaM),SV_deaAmt,0)+IF(AND(SV_criOn,A219=SV_criM),SV_criAmt,0)+IF(AND(SV_tpdOn,A219=SV_tpdM),SV_tpdAmt,0)+IF(AND(SV_pacOn,A219=SV_pacM),SV_pacAmt,0)+IF(AND(SV_hosOn,A219=SV_hosM),SV_hosAmt,0)+IF(AND(SV_wedOn,A219=SV_wedM),SV_wedAmt,0)+IF(AND(SV_babOn,A219=SV_babM),SV_babAmt,0)+IF(AND(SV_ltcOn,A219&gt;=SV_ltcM,A219&lt;=SV_ltcE),SV_ltcAmt,0)))</f>
        <v/>
      </c>
      <c r="K219" s="29">
        <f>IF(OR(OR(A219&lt;1,A219&gt;SV_T),A219&gt;SV_loanYears),0,-SV_lifePremYr)</f>
        <v/>
      </c>
      <c r="L219" s="29">
        <f>IF(OR(A219&lt;1,A219&gt;SV_T),0,-SV_contrib)</f>
        <v/>
      </c>
      <c r="M219" s="60">
        <f>IF(AND(SV_crashOn,A219=SV_crashYr),SV_crashF,1)</f>
        <v/>
      </c>
      <c r="N219" s="60">
        <f>IF(AND(SV_ccyOn,A219=SV_ccyYr),SV_ccyF,1)</f>
        <v/>
      </c>
      <c r="O219" s="29">
        <f>IF(A219&gt;SV_T,0,O218*(1+interestRate)*M219*N219)</f>
        <v/>
      </c>
      <c r="P219" s="29">
        <f>IF(A219&gt;SV_T,0,(P218+SV_contrib)*(1+investmentReturn)*M219*N219)</f>
        <v/>
      </c>
      <c r="Q219" s="29">
        <f>IF(A219&gt;SV_T,0,Q218*(1+SV_propRate)*M219)</f>
        <v/>
      </c>
      <c r="R219" s="46">
        <f>MATCH(SV_age+A219-1,SV_cpfLower,1)</f>
        <v/>
      </c>
      <c r="S219" s="29">
        <f>IF(OR(OR(A219&lt;1,A219&gt;SV_T),NOT(SV_cpfOn),AND(SV_deaOn,A219&gt;=SV_deaM)),0,MIN(SV_sal0*(1+incomeGrowthRate)^(A219-1)*G219,SV_owCap))</f>
        <v/>
      </c>
      <c r="T219" s="29">
        <f>IF(A219&gt;SV_T,0,T218*(1+SV_oaRate)+IF(A219&gt;=SV_effStop,0,INDEX(SV_cpfOA,R219)*INDEX(SV_cpfTot,R219)*S219))</f>
        <v/>
      </c>
      <c r="U219" s="29">
        <f>IF(A219&gt;SV_T,0,U218*(1+SV_saRate)+IF(A219&gt;=SV_effStop,0,INDEX(SV_cpfSA,R219)*INDEX(SV_cpfTot,R219)*S219))</f>
        <v/>
      </c>
      <c r="V219" s="29">
        <f>IF(A219&gt;SV_T,0,V218*(1+SV_saRate)+IF(A219&gt;=SV_effStop,0,INDEX(SV_cpfMA,R219)*INDEX(SV_cpfTot,R219)*S219))</f>
        <v/>
      </c>
      <c r="W219" s="29">
        <f>IF(OR(OR(A219&lt;1,A219&gt;SV_T),A219&gt;=SV_effNeg),0,-(INDEX(SV_cpfOA,R219)+INDEX(SV_cpfSA,R219)+INDEX(SV_cpfMA,R219))*INDEX(SV_cpfEmp,R219)*S219)</f>
        <v/>
      </c>
      <c r="X219" s="29">
        <f>IF(A219&gt;=SV_sIdx,0,T219)</f>
        <v/>
      </c>
      <c r="Y219" s="29">
        <f>IF(A219&gt;=SV_sIdx,0,U219)</f>
        <v/>
      </c>
      <c r="Z219" s="29">
        <f>IF(A219&gt;=SV_sIdx,MIN(V219,SV_maCap),V219)</f>
        <v/>
      </c>
      <c r="AA219" s="29">
        <f>IF(AND(SV_cpfOn,A219&gt;=SV_pIdx,A219&lt;=SV_T),12*SV_pay,0)</f>
        <v/>
      </c>
      <c r="AB219" s="29">
        <f>IF(A219&gt;SV_T,0,IF(SV_sp&gt;=0,IF(A219&lt;SV_sIdx,0,IF(A219=SV_sIdx,SV_R0,SV_lifeGrowth*AB218)),SV_lifeGrowth*AB218))</f>
        <v/>
      </c>
      <c r="AC219" s="29">
        <f>IF(A219&gt;SV_T,0,IF(AND(SV_sp&gt;=0,A219&lt;SV_sIdx),0,IF(AND(SV_sp&gt;=0,A219=SV_sIdx),SV_L0,SV_lifeGrowth*(AC218-AA219))))</f>
        <v/>
      </c>
      <c r="AD219" s="29">
        <f>X219+Y219+AB219+Z219+IF(AB219&lt;0,0,AC219)</f>
        <v/>
      </c>
      <c r="AE219" s="29">
        <f>AA219+W219</f>
        <v/>
      </c>
      <c r="AF219" s="29">
        <f>IF(OR(A219&gt;SV_T,A219&gt;=SV_loanYears),0,MAX(0,AF218*(1+loanRate)-SV_inst))</f>
        <v/>
      </c>
      <c r="AG219" s="29">
        <f>IF(A219&gt;SV_T,0,AG218*(1+SV_savRate)+H219+I219+J219+K219+L219+AE219)</f>
        <v/>
      </c>
      <c r="AH219" s="29">
        <f>IF(A219&gt;SV_T,0,MAX(0,O219+P219+Q219+AD219+AG219-AF219))</f>
        <v/>
      </c>
      <c r="AI219" s="29">
        <f>IF(A219&gt;SV_T,0,O219+P219+AG219-MAX(0,AF219-(Q219+AD219)))</f>
        <v/>
      </c>
      <c r="AJ219" s="29">
        <f>IF(OR(OR(A219&lt;1,A219&gt;SV_T),A219-1&gt;=SV_retPay),0,SV_retMth*12+IF(A219=1,SV_retLump,0))</f>
        <v/>
      </c>
      <c r="AK219" s="29">
        <f>IF(A219&gt;SV_T,0,(AK218+AJ219)*(1+investmentReturn))</f>
        <v/>
      </c>
      <c r="AL219" s="29">
        <f>IF(OR(A219&lt;1,A219&gt;SV_T),0,IF(A219-1&gt;=SV_EDUPay,0,SV_EDUMth*12+IF(A219=1,SV_EDULump,0))+IF(A219-1&gt;=SV_SAVPay,0,SV_SAVMth*12+IF(A219=1,SV_SAVLump,0))+IF(A219-1&gt;=SV_PRPPay,0,SV_PRPMth*12+IF(A219=1,SV_PRPLump,0)))</f>
        <v/>
      </c>
      <c r="AM219" s="29">
        <f>IF(A219&gt;SV_T,0,(AM218+AL219)*(1+investmentReturn))</f>
        <v/>
      </c>
      <c r="AN219" s="29">
        <f>IF(OR(OR(A219&lt;1,A219&gt;SV_T),A219-1&gt;=SV_protPay),0,SV_protPrem)</f>
        <v/>
      </c>
      <c r="AO219" s="29">
        <f>IF(OR(A219=0,A219&gt;=SV_T),0,ROUND(MAX(0,AK219),2)+ROUND(MAX(0,AM219),2))</f>
        <v/>
      </c>
      <c r="AP219" s="29">
        <f>IF(OR(A219&lt;1,A219&gt;SV_T),0,-(AJ219+AL219+AN219)+IF(A219=SV_T,ROUND(MAX(0,AK219),2)+ROUND(MAX(0,AM219),2),0))</f>
        <v/>
      </c>
      <c r="AQ219" s="29">
        <f>IF(A219&gt;SV_T,0,AQ218*(1+SV_savRate)+H219+I219+J219+K219+L219+AE219+AP219)</f>
        <v/>
      </c>
      <c r="AR219" s="29">
        <f>IF(A219&gt;SV_T,0,MAX(0,O219+P219+Q219+AD219+AQ219+AO219-AF219))</f>
        <v/>
      </c>
      <c r="AS219" s="29">
        <f>IF(A219&gt;SV_T,0,O219+P219+AQ219+AO219-MAX(0,AF219-(Q219+AD219)))</f>
        <v/>
      </c>
    </row>
    <row r="220">
      <c r="A220" s="61" t="n">
        <v>48</v>
      </c>
      <c r="B220" s="61">
        <f>SV_age+A220</f>
        <v/>
      </c>
      <c r="C220" s="61">
        <f>currentYear+A220</f>
        <v/>
      </c>
      <c r="D220" s="52">
        <f>A220&lt;=SV_T</f>
        <v/>
      </c>
      <c r="E220" s="60">
        <f>IF(AND(SV_inflOn,A220&gt;=SV_inflS,A220&lt;=SV_inflE),1+SV_inflRate,1+inflationRate)</f>
        <v/>
      </c>
      <c r="F220" s="60">
        <f>IF(A220&lt;=1,1,F219*E220)</f>
        <v/>
      </c>
      <c r="G220" s="60">
        <f>IF(AND(SV_incOn,A220&gt;=SV_incS,A220&lt;=SV_incE),1+SV_incImp,1)</f>
        <v/>
      </c>
      <c r="H220" s="29">
        <f>IF(OR(OR(A220&lt;1,A220&gt;SV_T),A220-1&gt;=SV_salCut,AND(SV_deaOn,A220&gt;=SV_deaM)),0,SV_sal0*(1+incomeGrowthRate)^(A220-1)*G220)</f>
        <v/>
      </c>
      <c r="I220" s="29">
        <f>IF(OR(A220&lt;1,A220&gt;SV_T),0,(-SV_exp0*F220-IF(A220&lt;=SV_loanYears,SV_inst,0)-IF(AND(SV_wdEDUAmt&gt;0,A220=SV_wdEDUYear),SV_wdEDUAmt,0)-IF(AND(SV_wdSAVAmt&gt;0,A220=SV_wdSAVYear),SV_wdSAVAmt,0)-IF(AND(SV_wdPRPAmt&gt;0,A220=SV_wdPRPYear),SV_wdPRPAmt,0))*IF(AND(SV_expOn,A220&gt;=SV_expS,A220&lt;=SV_expE),1+SV_expImp,1))</f>
        <v/>
      </c>
      <c r="J220" s="29">
        <f>IF(OR(A220&lt;1,A220&gt;SV_T),0,-F220*(IF(AND(SV_deaOn,A220=SV_deaM),SV_deaAmt,0)+IF(AND(SV_criOn,A220=SV_criM),SV_criAmt,0)+IF(AND(SV_tpdOn,A220=SV_tpdM),SV_tpdAmt,0)+IF(AND(SV_pacOn,A220=SV_pacM),SV_pacAmt,0)+IF(AND(SV_hosOn,A220=SV_hosM),SV_hosAmt,0)+IF(AND(SV_wedOn,A220=SV_wedM),SV_wedAmt,0)+IF(AND(SV_babOn,A220=SV_babM),SV_babAmt,0)+IF(AND(SV_ltcOn,A220&gt;=SV_ltcM,A220&lt;=SV_ltcE),SV_ltcAmt,0)))</f>
        <v/>
      </c>
      <c r="K220" s="29">
        <f>IF(OR(OR(A220&lt;1,A220&gt;SV_T),A220&gt;SV_loanYears),0,-SV_lifePremYr)</f>
        <v/>
      </c>
      <c r="L220" s="29">
        <f>IF(OR(A220&lt;1,A220&gt;SV_T),0,-SV_contrib)</f>
        <v/>
      </c>
      <c r="M220" s="60">
        <f>IF(AND(SV_crashOn,A220=SV_crashYr),SV_crashF,1)</f>
        <v/>
      </c>
      <c r="N220" s="60">
        <f>IF(AND(SV_ccyOn,A220=SV_ccyYr),SV_ccyF,1)</f>
        <v/>
      </c>
      <c r="O220" s="29">
        <f>IF(A220&gt;SV_T,0,O219*(1+interestRate)*M220*N220)</f>
        <v/>
      </c>
      <c r="P220" s="29">
        <f>IF(A220&gt;SV_T,0,(P219+SV_contrib)*(1+investmentReturn)*M220*N220)</f>
        <v/>
      </c>
      <c r="Q220" s="29">
        <f>IF(A220&gt;SV_T,0,Q219*(1+SV_propRate)*M220)</f>
        <v/>
      </c>
      <c r="R220" s="46">
        <f>MATCH(SV_age+A220-1,SV_cpfLower,1)</f>
        <v/>
      </c>
      <c r="S220" s="29">
        <f>IF(OR(OR(A220&lt;1,A220&gt;SV_T),NOT(SV_cpfOn),AND(SV_deaOn,A220&gt;=SV_deaM)),0,MIN(SV_sal0*(1+incomeGrowthRate)^(A220-1)*G220,SV_owCap))</f>
        <v/>
      </c>
      <c r="T220" s="29">
        <f>IF(A220&gt;SV_T,0,T219*(1+SV_oaRate)+IF(A220&gt;=SV_effStop,0,INDEX(SV_cpfOA,R220)*INDEX(SV_cpfTot,R220)*S220))</f>
        <v/>
      </c>
      <c r="U220" s="29">
        <f>IF(A220&gt;SV_T,0,U219*(1+SV_saRate)+IF(A220&gt;=SV_effStop,0,INDEX(SV_cpfSA,R220)*INDEX(SV_cpfTot,R220)*S220))</f>
        <v/>
      </c>
      <c r="V220" s="29">
        <f>IF(A220&gt;SV_T,0,V219*(1+SV_saRate)+IF(A220&gt;=SV_effStop,0,INDEX(SV_cpfMA,R220)*INDEX(SV_cpfTot,R220)*S220))</f>
        <v/>
      </c>
      <c r="W220" s="29">
        <f>IF(OR(OR(A220&lt;1,A220&gt;SV_T),A220&gt;=SV_effNeg),0,-(INDEX(SV_cpfOA,R220)+INDEX(SV_cpfSA,R220)+INDEX(SV_cpfMA,R220))*INDEX(SV_cpfEmp,R220)*S220)</f>
        <v/>
      </c>
      <c r="X220" s="29">
        <f>IF(A220&gt;=SV_sIdx,0,T220)</f>
        <v/>
      </c>
      <c r="Y220" s="29">
        <f>IF(A220&gt;=SV_sIdx,0,U220)</f>
        <v/>
      </c>
      <c r="Z220" s="29">
        <f>IF(A220&gt;=SV_sIdx,MIN(V220,SV_maCap),V220)</f>
        <v/>
      </c>
      <c r="AA220" s="29">
        <f>IF(AND(SV_cpfOn,A220&gt;=SV_pIdx,A220&lt;=SV_T),12*SV_pay,0)</f>
        <v/>
      </c>
      <c r="AB220" s="29">
        <f>IF(A220&gt;SV_T,0,IF(SV_sp&gt;=0,IF(A220&lt;SV_sIdx,0,IF(A220=SV_sIdx,SV_R0,SV_lifeGrowth*AB219)),SV_lifeGrowth*AB219))</f>
        <v/>
      </c>
      <c r="AC220" s="29">
        <f>IF(A220&gt;SV_T,0,IF(AND(SV_sp&gt;=0,A220&lt;SV_sIdx),0,IF(AND(SV_sp&gt;=0,A220=SV_sIdx),SV_L0,SV_lifeGrowth*(AC219-AA220))))</f>
        <v/>
      </c>
      <c r="AD220" s="29">
        <f>X220+Y220+AB220+Z220+IF(AB220&lt;0,0,AC220)</f>
        <v/>
      </c>
      <c r="AE220" s="29">
        <f>AA220+W220</f>
        <v/>
      </c>
      <c r="AF220" s="29">
        <f>IF(OR(A220&gt;SV_T,A220&gt;=SV_loanYears),0,MAX(0,AF219*(1+loanRate)-SV_inst))</f>
        <v/>
      </c>
      <c r="AG220" s="29">
        <f>IF(A220&gt;SV_T,0,AG219*(1+SV_savRate)+H220+I220+J220+K220+L220+AE220)</f>
        <v/>
      </c>
      <c r="AH220" s="29">
        <f>IF(A220&gt;SV_T,0,MAX(0,O220+P220+Q220+AD220+AG220-AF220))</f>
        <v/>
      </c>
      <c r="AI220" s="29">
        <f>IF(A220&gt;SV_T,0,O220+P220+AG220-MAX(0,AF220-(Q220+AD220)))</f>
        <v/>
      </c>
      <c r="AJ220" s="29">
        <f>IF(OR(OR(A220&lt;1,A220&gt;SV_T),A220-1&gt;=SV_retPay),0,SV_retMth*12+IF(A220=1,SV_retLump,0))</f>
        <v/>
      </c>
      <c r="AK220" s="29">
        <f>IF(A220&gt;SV_T,0,(AK219+AJ220)*(1+investmentReturn))</f>
        <v/>
      </c>
      <c r="AL220" s="29">
        <f>IF(OR(A220&lt;1,A220&gt;SV_T),0,IF(A220-1&gt;=SV_EDUPay,0,SV_EDUMth*12+IF(A220=1,SV_EDULump,0))+IF(A220-1&gt;=SV_SAVPay,0,SV_SAVMth*12+IF(A220=1,SV_SAVLump,0))+IF(A220-1&gt;=SV_PRPPay,0,SV_PRPMth*12+IF(A220=1,SV_PRPLump,0)))</f>
        <v/>
      </c>
      <c r="AM220" s="29">
        <f>IF(A220&gt;SV_T,0,(AM219+AL220)*(1+investmentReturn))</f>
        <v/>
      </c>
      <c r="AN220" s="29">
        <f>IF(OR(OR(A220&lt;1,A220&gt;SV_T),A220-1&gt;=SV_protPay),0,SV_protPrem)</f>
        <v/>
      </c>
      <c r="AO220" s="29">
        <f>IF(OR(A220=0,A220&gt;=SV_T),0,ROUND(MAX(0,AK220),2)+ROUND(MAX(0,AM220),2))</f>
        <v/>
      </c>
      <c r="AP220" s="29">
        <f>IF(OR(A220&lt;1,A220&gt;SV_T),0,-(AJ220+AL220+AN220)+IF(A220=SV_T,ROUND(MAX(0,AK220),2)+ROUND(MAX(0,AM220),2),0))</f>
        <v/>
      </c>
      <c r="AQ220" s="29">
        <f>IF(A220&gt;SV_T,0,AQ219*(1+SV_savRate)+H220+I220+J220+K220+L220+AE220+AP220)</f>
        <v/>
      </c>
      <c r="AR220" s="29">
        <f>IF(A220&gt;SV_T,0,MAX(0,O220+P220+Q220+AD220+AQ220+AO220-AF220))</f>
        <v/>
      </c>
      <c r="AS220" s="29">
        <f>IF(A220&gt;SV_T,0,O220+P220+AQ220+AO220-MAX(0,AF220-(Q220+AD220)))</f>
        <v/>
      </c>
    </row>
    <row r="221">
      <c r="A221" s="61" t="n">
        <v>49</v>
      </c>
      <c r="B221" s="61">
        <f>SV_age+A221</f>
        <v/>
      </c>
      <c r="C221" s="61">
        <f>currentYear+A221</f>
        <v/>
      </c>
      <c r="D221" s="52">
        <f>A221&lt;=SV_T</f>
        <v/>
      </c>
      <c r="E221" s="60">
        <f>IF(AND(SV_inflOn,A221&gt;=SV_inflS,A221&lt;=SV_inflE),1+SV_inflRate,1+inflationRate)</f>
        <v/>
      </c>
      <c r="F221" s="60">
        <f>IF(A221&lt;=1,1,F220*E221)</f>
        <v/>
      </c>
      <c r="G221" s="60">
        <f>IF(AND(SV_incOn,A221&gt;=SV_incS,A221&lt;=SV_incE),1+SV_incImp,1)</f>
        <v/>
      </c>
      <c r="H221" s="29">
        <f>IF(OR(OR(A221&lt;1,A221&gt;SV_T),A221-1&gt;=SV_salCut,AND(SV_deaOn,A221&gt;=SV_deaM)),0,SV_sal0*(1+incomeGrowthRate)^(A221-1)*G221)</f>
        <v/>
      </c>
      <c r="I221" s="29">
        <f>IF(OR(A221&lt;1,A221&gt;SV_T),0,(-SV_exp0*F221-IF(A221&lt;=SV_loanYears,SV_inst,0)-IF(AND(SV_wdEDUAmt&gt;0,A221=SV_wdEDUYear),SV_wdEDUAmt,0)-IF(AND(SV_wdSAVAmt&gt;0,A221=SV_wdSAVYear),SV_wdSAVAmt,0)-IF(AND(SV_wdPRPAmt&gt;0,A221=SV_wdPRPYear),SV_wdPRPAmt,0))*IF(AND(SV_expOn,A221&gt;=SV_expS,A221&lt;=SV_expE),1+SV_expImp,1))</f>
        <v/>
      </c>
      <c r="J221" s="29">
        <f>IF(OR(A221&lt;1,A221&gt;SV_T),0,-F221*(IF(AND(SV_deaOn,A221=SV_deaM),SV_deaAmt,0)+IF(AND(SV_criOn,A221=SV_criM),SV_criAmt,0)+IF(AND(SV_tpdOn,A221=SV_tpdM),SV_tpdAmt,0)+IF(AND(SV_pacOn,A221=SV_pacM),SV_pacAmt,0)+IF(AND(SV_hosOn,A221=SV_hosM),SV_hosAmt,0)+IF(AND(SV_wedOn,A221=SV_wedM),SV_wedAmt,0)+IF(AND(SV_babOn,A221=SV_babM),SV_babAmt,0)+IF(AND(SV_ltcOn,A221&gt;=SV_ltcM,A221&lt;=SV_ltcE),SV_ltcAmt,0)))</f>
        <v/>
      </c>
      <c r="K221" s="29">
        <f>IF(OR(OR(A221&lt;1,A221&gt;SV_T),A221&gt;SV_loanYears),0,-SV_lifePremYr)</f>
        <v/>
      </c>
      <c r="L221" s="29">
        <f>IF(OR(A221&lt;1,A221&gt;SV_T),0,-SV_contrib)</f>
        <v/>
      </c>
      <c r="M221" s="60">
        <f>IF(AND(SV_crashOn,A221=SV_crashYr),SV_crashF,1)</f>
        <v/>
      </c>
      <c r="N221" s="60">
        <f>IF(AND(SV_ccyOn,A221=SV_ccyYr),SV_ccyF,1)</f>
        <v/>
      </c>
      <c r="O221" s="29">
        <f>IF(A221&gt;SV_T,0,O220*(1+interestRate)*M221*N221)</f>
        <v/>
      </c>
      <c r="P221" s="29">
        <f>IF(A221&gt;SV_T,0,(P220+SV_contrib)*(1+investmentReturn)*M221*N221)</f>
        <v/>
      </c>
      <c r="Q221" s="29">
        <f>IF(A221&gt;SV_T,0,Q220*(1+SV_propRate)*M221)</f>
        <v/>
      </c>
      <c r="R221" s="46">
        <f>MATCH(SV_age+A221-1,SV_cpfLower,1)</f>
        <v/>
      </c>
      <c r="S221" s="29">
        <f>IF(OR(OR(A221&lt;1,A221&gt;SV_T),NOT(SV_cpfOn),AND(SV_deaOn,A221&gt;=SV_deaM)),0,MIN(SV_sal0*(1+incomeGrowthRate)^(A221-1)*G221,SV_owCap))</f>
        <v/>
      </c>
      <c r="T221" s="29">
        <f>IF(A221&gt;SV_T,0,T220*(1+SV_oaRate)+IF(A221&gt;=SV_effStop,0,INDEX(SV_cpfOA,R221)*INDEX(SV_cpfTot,R221)*S221))</f>
        <v/>
      </c>
      <c r="U221" s="29">
        <f>IF(A221&gt;SV_T,0,U220*(1+SV_saRate)+IF(A221&gt;=SV_effStop,0,INDEX(SV_cpfSA,R221)*INDEX(SV_cpfTot,R221)*S221))</f>
        <v/>
      </c>
      <c r="V221" s="29">
        <f>IF(A221&gt;SV_T,0,V220*(1+SV_saRate)+IF(A221&gt;=SV_effStop,0,INDEX(SV_cpfMA,R221)*INDEX(SV_cpfTot,R221)*S221))</f>
        <v/>
      </c>
      <c r="W221" s="29">
        <f>IF(OR(OR(A221&lt;1,A221&gt;SV_T),A221&gt;=SV_effNeg),0,-(INDEX(SV_cpfOA,R221)+INDEX(SV_cpfSA,R221)+INDEX(SV_cpfMA,R221))*INDEX(SV_cpfEmp,R221)*S221)</f>
        <v/>
      </c>
      <c r="X221" s="29">
        <f>IF(A221&gt;=SV_sIdx,0,T221)</f>
        <v/>
      </c>
      <c r="Y221" s="29">
        <f>IF(A221&gt;=SV_sIdx,0,U221)</f>
        <v/>
      </c>
      <c r="Z221" s="29">
        <f>IF(A221&gt;=SV_sIdx,MIN(V221,SV_maCap),V221)</f>
        <v/>
      </c>
      <c r="AA221" s="29">
        <f>IF(AND(SV_cpfOn,A221&gt;=SV_pIdx,A221&lt;=SV_T),12*SV_pay,0)</f>
        <v/>
      </c>
      <c r="AB221" s="29">
        <f>IF(A221&gt;SV_T,0,IF(SV_sp&gt;=0,IF(A221&lt;SV_sIdx,0,IF(A221=SV_sIdx,SV_R0,SV_lifeGrowth*AB220)),SV_lifeGrowth*AB220))</f>
        <v/>
      </c>
      <c r="AC221" s="29">
        <f>IF(A221&gt;SV_T,0,IF(AND(SV_sp&gt;=0,A221&lt;SV_sIdx),0,IF(AND(SV_sp&gt;=0,A221=SV_sIdx),SV_L0,SV_lifeGrowth*(AC220-AA221))))</f>
        <v/>
      </c>
      <c r="AD221" s="29">
        <f>X221+Y221+AB221+Z221+IF(AB221&lt;0,0,AC221)</f>
        <v/>
      </c>
      <c r="AE221" s="29">
        <f>AA221+W221</f>
        <v/>
      </c>
      <c r="AF221" s="29">
        <f>IF(OR(A221&gt;SV_T,A221&gt;=SV_loanYears),0,MAX(0,AF220*(1+loanRate)-SV_inst))</f>
        <v/>
      </c>
      <c r="AG221" s="29">
        <f>IF(A221&gt;SV_T,0,AG220*(1+SV_savRate)+H221+I221+J221+K221+L221+AE221)</f>
        <v/>
      </c>
      <c r="AH221" s="29">
        <f>IF(A221&gt;SV_T,0,MAX(0,O221+P221+Q221+AD221+AG221-AF221))</f>
        <v/>
      </c>
      <c r="AI221" s="29">
        <f>IF(A221&gt;SV_T,0,O221+P221+AG221-MAX(0,AF221-(Q221+AD221)))</f>
        <v/>
      </c>
      <c r="AJ221" s="29">
        <f>IF(OR(OR(A221&lt;1,A221&gt;SV_T),A221-1&gt;=SV_retPay),0,SV_retMth*12+IF(A221=1,SV_retLump,0))</f>
        <v/>
      </c>
      <c r="AK221" s="29">
        <f>IF(A221&gt;SV_T,0,(AK220+AJ221)*(1+investmentReturn))</f>
        <v/>
      </c>
      <c r="AL221" s="29">
        <f>IF(OR(A221&lt;1,A221&gt;SV_T),0,IF(A221-1&gt;=SV_EDUPay,0,SV_EDUMth*12+IF(A221=1,SV_EDULump,0))+IF(A221-1&gt;=SV_SAVPay,0,SV_SAVMth*12+IF(A221=1,SV_SAVLump,0))+IF(A221-1&gt;=SV_PRPPay,0,SV_PRPMth*12+IF(A221=1,SV_PRPLump,0)))</f>
        <v/>
      </c>
      <c r="AM221" s="29">
        <f>IF(A221&gt;SV_T,0,(AM220+AL221)*(1+investmentReturn))</f>
        <v/>
      </c>
      <c r="AN221" s="29">
        <f>IF(OR(OR(A221&lt;1,A221&gt;SV_T),A221-1&gt;=SV_protPay),0,SV_protPrem)</f>
        <v/>
      </c>
      <c r="AO221" s="29">
        <f>IF(OR(A221=0,A221&gt;=SV_T),0,ROUND(MAX(0,AK221),2)+ROUND(MAX(0,AM221),2))</f>
        <v/>
      </c>
      <c r="AP221" s="29">
        <f>IF(OR(A221&lt;1,A221&gt;SV_T),0,-(AJ221+AL221+AN221)+IF(A221=SV_T,ROUND(MAX(0,AK221),2)+ROUND(MAX(0,AM221),2),0))</f>
        <v/>
      </c>
      <c r="AQ221" s="29">
        <f>IF(A221&gt;SV_T,0,AQ220*(1+SV_savRate)+H221+I221+J221+K221+L221+AE221+AP221)</f>
        <v/>
      </c>
      <c r="AR221" s="29">
        <f>IF(A221&gt;SV_T,0,MAX(0,O221+P221+Q221+AD221+AQ221+AO221-AF221))</f>
        <v/>
      </c>
      <c r="AS221" s="29">
        <f>IF(A221&gt;SV_T,0,O221+P221+AQ221+AO221-MAX(0,AF221-(Q221+AD221)))</f>
        <v/>
      </c>
    </row>
    <row r="222">
      <c r="A222" s="61" t="n">
        <v>50</v>
      </c>
      <c r="B222" s="61">
        <f>SV_age+A222</f>
        <v/>
      </c>
      <c r="C222" s="61">
        <f>currentYear+A222</f>
        <v/>
      </c>
      <c r="D222" s="52">
        <f>A222&lt;=SV_T</f>
        <v/>
      </c>
      <c r="E222" s="60">
        <f>IF(AND(SV_inflOn,A222&gt;=SV_inflS,A222&lt;=SV_inflE),1+SV_inflRate,1+inflationRate)</f>
        <v/>
      </c>
      <c r="F222" s="60">
        <f>IF(A222&lt;=1,1,F221*E222)</f>
        <v/>
      </c>
      <c r="G222" s="60">
        <f>IF(AND(SV_incOn,A222&gt;=SV_incS,A222&lt;=SV_incE),1+SV_incImp,1)</f>
        <v/>
      </c>
      <c r="H222" s="29">
        <f>IF(OR(OR(A222&lt;1,A222&gt;SV_T),A222-1&gt;=SV_salCut,AND(SV_deaOn,A222&gt;=SV_deaM)),0,SV_sal0*(1+incomeGrowthRate)^(A222-1)*G222)</f>
        <v/>
      </c>
      <c r="I222" s="29">
        <f>IF(OR(A222&lt;1,A222&gt;SV_T),0,(-SV_exp0*F222-IF(A222&lt;=SV_loanYears,SV_inst,0)-IF(AND(SV_wdEDUAmt&gt;0,A222=SV_wdEDUYear),SV_wdEDUAmt,0)-IF(AND(SV_wdSAVAmt&gt;0,A222=SV_wdSAVYear),SV_wdSAVAmt,0)-IF(AND(SV_wdPRPAmt&gt;0,A222=SV_wdPRPYear),SV_wdPRPAmt,0))*IF(AND(SV_expOn,A222&gt;=SV_expS,A222&lt;=SV_expE),1+SV_expImp,1))</f>
        <v/>
      </c>
      <c r="J222" s="29">
        <f>IF(OR(A222&lt;1,A222&gt;SV_T),0,-F222*(IF(AND(SV_deaOn,A222=SV_deaM),SV_deaAmt,0)+IF(AND(SV_criOn,A222=SV_criM),SV_criAmt,0)+IF(AND(SV_tpdOn,A222=SV_tpdM),SV_tpdAmt,0)+IF(AND(SV_pacOn,A222=SV_pacM),SV_pacAmt,0)+IF(AND(SV_hosOn,A222=SV_hosM),SV_hosAmt,0)+IF(AND(SV_wedOn,A222=SV_wedM),SV_wedAmt,0)+IF(AND(SV_babOn,A222=SV_babM),SV_babAmt,0)+IF(AND(SV_ltcOn,A222&gt;=SV_ltcM,A222&lt;=SV_ltcE),SV_ltcAmt,0)))</f>
        <v/>
      </c>
      <c r="K222" s="29">
        <f>IF(OR(OR(A222&lt;1,A222&gt;SV_T),A222&gt;SV_loanYears),0,-SV_lifePremYr)</f>
        <v/>
      </c>
      <c r="L222" s="29">
        <f>IF(OR(A222&lt;1,A222&gt;SV_T),0,-SV_contrib)</f>
        <v/>
      </c>
      <c r="M222" s="60">
        <f>IF(AND(SV_crashOn,A222=SV_crashYr),SV_crashF,1)</f>
        <v/>
      </c>
      <c r="N222" s="60">
        <f>IF(AND(SV_ccyOn,A222=SV_ccyYr),SV_ccyF,1)</f>
        <v/>
      </c>
      <c r="O222" s="29">
        <f>IF(A222&gt;SV_T,0,O221*(1+interestRate)*M222*N222)</f>
        <v/>
      </c>
      <c r="P222" s="29">
        <f>IF(A222&gt;SV_T,0,(P221+SV_contrib)*(1+investmentReturn)*M222*N222)</f>
        <v/>
      </c>
      <c r="Q222" s="29">
        <f>IF(A222&gt;SV_T,0,Q221*(1+SV_propRate)*M222)</f>
        <v/>
      </c>
      <c r="R222" s="46">
        <f>MATCH(SV_age+A222-1,SV_cpfLower,1)</f>
        <v/>
      </c>
      <c r="S222" s="29">
        <f>IF(OR(OR(A222&lt;1,A222&gt;SV_T),NOT(SV_cpfOn),AND(SV_deaOn,A222&gt;=SV_deaM)),0,MIN(SV_sal0*(1+incomeGrowthRate)^(A222-1)*G222,SV_owCap))</f>
        <v/>
      </c>
      <c r="T222" s="29">
        <f>IF(A222&gt;SV_T,0,T221*(1+SV_oaRate)+IF(A222&gt;=SV_effStop,0,INDEX(SV_cpfOA,R222)*INDEX(SV_cpfTot,R222)*S222))</f>
        <v/>
      </c>
      <c r="U222" s="29">
        <f>IF(A222&gt;SV_T,0,U221*(1+SV_saRate)+IF(A222&gt;=SV_effStop,0,INDEX(SV_cpfSA,R222)*INDEX(SV_cpfTot,R222)*S222))</f>
        <v/>
      </c>
      <c r="V222" s="29">
        <f>IF(A222&gt;SV_T,0,V221*(1+SV_saRate)+IF(A222&gt;=SV_effStop,0,INDEX(SV_cpfMA,R222)*INDEX(SV_cpfTot,R222)*S222))</f>
        <v/>
      </c>
      <c r="W222" s="29">
        <f>IF(OR(OR(A222&lt;1,A222&gt;SV_T),A222&gt;=SV_effNeg),0,-(INDEX(SV_cpfOA,R222)+INDEX(SV_cpfSA,R222)+INDEX(SV_cpfMA,R222))*INDEX(SV_cpfEmp,R222)*S222)</f>
        <v/>
      </c>
      <c r="X222" s="29">
        <f>IF(A222&gt;=SV_sIdx,0,T222)</f>
        <v/>
      </c>
      <c r="Y222" s="29">
        <f>IF(A222&gt;=SV_sIdx,0,U222)</f>
        <v/>
      </c>
      <c r="Z222" s="29">
        <f>IF(A222&gt;=SV_sIdx,MIN(V222,SV_maCap),V222)</f>
        <v/>
      </c>
      <c r="AA222" s="29">
        <f>IF(AND(SV_cpfOn,A222&gt;=SV_pIdx,A222&lt;=SV_T),12*SV_pay,0)</f>
        <v/>
      </c>
      <c r="AB222" s="29">
        <f>IF(A222&gt;SV_T,0,IF(SV_sp&gt;=0,IF(A222&lt;SV_sIdx,0,IF(A222=SV_sIdx,SV_R0,SV_lifeGrowth*AB221)),SV_lifeGrowth*AB221))</f>
        <v/>
      </c>
      <c r="AC222" s="29">
        <f>IF(A222&gt;SV_T,0,IF(AND(SV_sp&gt;=0,A222&lt;SV_sIdx),0,IF(AND(SV_sp&gt;=0,A222=SV_sIdx),SV_L0,SV_lifeGrowth*(AC221-AA222))))</f>
        <v/>
      </c>
      <c r="AD222" s="29">
        <f>X222+Y222+AB222+Z222+IF(AB222&lt;0,0,AC222)</f>
        <v/>
      </c>
      <c r="AE222" s="29">
        <f>AA222+W222</f>
        <v/>
      </c>
      <c r="AF222" s="29">
        <f>IF(OR(A222&gt;SV_T,A222&gt;=SV_loanYears),0,MAX(0,AF221*(1+loanRate)-SV_inst))</f>
        <v/>
      </c>
      <c r="AG222" s="29">
        <f>IF(A222&gt;SV_T,0,AG221*(1+SV_savRate)+H222+I222+J222+K222+L222+AE222)</f>
        <v/>
      </c>
      <c r="AH222" s="29">
        <f>IF(A222&gt;SV_T,0,MAX(0,O222+P222+Q222+AD222+AG222-AF222))</f>
        <v/>
      </c>
      <c r="AI222" s="29">
        <f>IF(A222&gt;SV_T,0,O222+P222+AG222-MAX(0,AF222-(Q222+AD222)))</f>
        <v/>
      </c>
      <c r="AJ222" s="29">
        <f>IF(OR(OR(A222&lt;1,A222&gt;SV_T),A222-1&gt;=SV_retPay),0,SV_retMth*12+IF(A222=1,SV_retLump,0))</f>
        <v/>
      </c>
      <c r="AK222" s="29">
        <f>IF(A222&gt;SV_T,0,(AK221+AJ222)*(1+investmentReturn))</f>
        <v/>
      </c>
      <c r="AL222" s="29">
        <f>IF(OR(A222&lt;1,A222&gt;SV_T),0,IF(A222-1&gt;=SV_EDUPay,0,SV_EDUMth*12+IF(A222=1,SV_EDULump,0))+IF(A222-1&gt;=SV_SAVPay,0,SV_SAVMth*12+IF(A222=1,SV_SAVLump,0))+IF(A222-1&gt;=SV_PRPPay,0,SV_PRPMth*12+IF(A222=1,SV_PRPLump,0)))</f>
        <v/>
      </c>
      <c r="AM222" s="29">
        <f>IF(A222&gt;SV_T,0,(AM221+AL222)*(1+investmentReturn))</f>
        <v/>
      </c>
      <c r="AN222" s="29">
        <f>IF(OR(OR(A222&lt;1,A222&gt;SV_T),A222-1&gt;=SV_protPay),0,SV_protPrem)</f>
        <v/>
      </c>
      <c r="AO222" s="29">
        <f>IF(OR(A222=0,A222&gt;=SV_T),0,ROUND(MAX(0,AK222),2)+ROUND(MAX(0,AM222),2))</f>
        <v/>
      </c>
      <c r="AP222" s="29">
        <f>IF(OR(A222&lt;1,A222&gt;SV_T),0,-(AJ222+AL222+AN222)+IF(A222=SV_T,ROUND(MAX(0,AK222),2)+ROUND(MAX(0,AM222),2),0))</f>
        <v/>
      </c>
      <c r="AQ222" s="29">
        <f>IF(A222&gt;SV_T,0,AQ221*(1+SV_savRate)+H222+I222+J222+K222+L222+AE222+AP222)</f>
        <v/>
      </c>
      <c r="AR222" s="29">
        <f>IF(A222&gt;SV_T,0,MAX(0,O222+P222+Q222+AD222+AQ222+AO222-AF222))</f>
        <v/>
      </c>
      <c r="AS222" s="29">
        <f>IF(A222&gt;SV_T,0,O222+P222+AQ222+AO222-MAX(0,AF222-(Q222+AD222)))</f>
        <v/>
      </c>
    </row>
    <row r="223">
      <c r="A223" s="61" t="n">
        <v>51</v>
      </c>
      <c r="B223" s="61">
        <f>SV_age+A223</f>
        <v/>
      </c>
      <c r="C223" s="61">
        <f>currentYear+A223</f>
        <v/>
      </c>
      <c r="D223" s="52">
        <f>A223&lt;=SV_T</f>
        <v/>
      </c>
      <c r="E223" s="60">
        <f>IF(AND(SV_inflOn,A223&gt;=SV_inflS,A223&lt;=SV_inflE),1+SV_inflRate,1+inflationRate)</f>
        <v/>
      </c>
      <c r="F223" s="60">
        <f>IF(A223&lt;=1,1,F222*E223)</f>
        <v/>
      </c>
      <c r="G223" s="60">
        <f>IF(AND(SV_incOn,A223&gt;=SV_incS,A223&lt;=SV_incE),1+SV_incImp,1)</f>
        <v/>
      </c>
      <c r="H223" s="29">
        <f>IF(OR(OR(A223&lt;1,A223&gt;SV_T),A223-1&gt;=SV_salCut,AND(SV_deaOn,A223&gt;=SV_deaM)),0,SV_sal0*(1+incomeGrowthRate)^(A223-1)*G223)</f>
        <v/>
      </c>
      <c r="I223" s="29">
        <f>IF(OR(A223&lt;1,A223&gt;SV_T),0,(-SV_exp0*F223-IF(A223&lt;=SV_loanYears,SV_inst,0)-IF(AND(SV_wdEDUAmt&gt;0,A223=SV_wdEDUYear),SV_wdEDUAmt,0)-IF(AND(SV_wdSAVAmt&gt;0,A223=SV_wdSAVYear),SV_wdSAVAmt,0)-IF(AND(SV_wdPRPAmt&gt;0,A223=SV_wdPRPYear),SV_wdPRPAmt,0))*IF(AND(SV_expOn,A223&gt;=SV_expS,A223&lt;=SV_expE),1+SV_expImp,1))</f>
        <v/>
      </c>
      <c r="J223" s="29">
        <f>IF(OR(A223&lt;1,A223&gt;SV_T),0,-F223*(IF(AND(SV_deaOn,A223=SV_deaM),SV_deaAmt,0)+IF(AND(SV_criOn,A223=SV_criM),SV_criAmt,0)+IF(AND(SV_tpdOn,A223=SV_tpdM),SV_tpdAmt,0)+IF(AND(SV_pacOn,A223=SV_pacM),SV_pacAmt,0)+IF(AND(SV_hosOn,A223=SV_hosM),SV_hosAmt,0)+IF(AND(SV_wedOn,A223=SV_wedM),SV_wedAmt,0)+IF(AND(SV_babOn,A223=SV_babM),SV_babAmt,0)+IF(AND(SV_ltcOn,A223&gt;=SV_ltcM,A223&lt;=SV_ltcE),SV_ltcAmt,0)))</f>
        <v/>
      </c>
      <c r="K223" s="29">
        <f>IF(OR(OR(A223&lt;1,A223&gt;SV_T),A223&gt;SV_loanYears),0,-SV_lifePremYr)</f>
        <v/>
      </c>
      <c r="L223" s="29">
        <f>IF(OR(A223&lt;1,A223&gt;SV_T),0,-SV_contrib)</f>
        <v/>
      </c>
      <c r="M223" s="60">
        <f>IF(AND(SV_crashOn,A223=SV_crashYr),SV_crashF,1)</f>
        <v/>
      </c>
      <c r="N223" s="60">
        <f>IF(AND(SV_ccyOn,A223=SV_ccyYr),SV_ccyF,1)</f>
        <v/>
      </c>
      <c r="O223" s="29">
        <f>IF(A223&gt;SV_T,0,O222*(1+interestRate)*M223*N223)</f>
        <v/>
      </c>
      <c r="P223" s="29">
        <f>IF(A223&gt;SV_T,0,(P222+SV_contrib)*(1+investmentReturn)*M223*N223)</f>
        <v/>
      </c>
      <c r="Q223" s="29">
        <f>IF(A223&gt;SV_T,0,Q222*(1+SV_propRate)*M223)</f>
        <v/>
      </c>
      <c r="R223" s="46">
        <f>MATCH(SV_age+A223-1,SV_cpfLower,1)</f>
        <v/>
      </c>
      <c r="S223" s="29">
        <f>IF(OR(OR(A223&lt;1,A223&gt;SV_T),NOT(SV_cpfOn),AND(SV_deaOn,A223&gt;=SV_deaM)),0,MIN(SV_sal0*(1+incomeGrowthRate)^(A223-1)*G223,SV_owCap))</f>
        <v/>
      </c>
      <c r="T223" s="29">
        <f>IF(A223&gt;SV_T,0,T222*(1+SV_oaRate)+IF(A223&gt;=SV_effStop,0,INDEX(SV_cpfOA,R223)*INDEX(SV_cpfTot,R223)*S223))</f>
        <v/>
      </c>
      <c r="U223" s="29">
        <f>IF(A223&gt;SV_T,0,U222*(1+SV_saRate)+IF(A223&gt;=SV_effStop,0,INDEX(SV_cpfSA,R223)*INDEX(SV_cpfTot,R223)*S223))</f>
        <v/>
      </c>
      <c r="V223" s="29">
        <f>IF(A223&gt;SV_T,0,V222*(1+SV_saRate)+IF(A223&gt;=SV_effStop,0,INDEX(SV_cpfMA,R223)*INDEX(SV_cpfTot,R223)*S223))</f>
        <v/>
      </c>
      <c r="W223" s="29">
        <f>IF(OR(OR(A223&lt;1,A223&gt;SV_T),A223&gt;=SV_effNeg),0,-(INDEX(SV_cpfOA,R223)+INDEX(SV_cpfSA,R223)+INDEX(SV_cpfMA,R223))*INDEX(SV_cpfEmp,R223)*S223)</f>
        <v/>
      </c>
      <c r="X223" s="29">
        <f>IF(A223&gt;=SV_sIdx,0,T223)</f>
        <v/>
      </c>
      <c r="Y223" s="29">
        <f>IF(A223&gt;=SV_sIdx,0,U223)</f>
        <v/>
      </c>
      <c r="Z223" s="29">
        <f>IF(A223&gt;=SV_sIdx,MIN(V223,SV_maCap),V223)</f>
        <v/>
      </c>
      <c r="AA223" s="29">
        <f>IF(AND(SV_cpfOn,A223&gt;=SV_pIdx,A223&lt;=SV_T),12*SV_pay,0)</f>
        <v/>
      </c>
      <c r="AB223" s="29">
        <f>IF(A223&gt;SV_T,0,IF(SV_sp&gt;=0,IF(A223&lt;SV_sIdx,0,IF(A223=SV_sIdx,SV_R0,SV_lifeGrowth*AB222)),SV_lifeGrowth*AB222))</f>
        <v/>
      </c>
      <c r="AC223" s="29">
        <f>IF(A223&gt;SV_T,0,IF(AND(SV_sp&gt;=0,A223&lt;SV_sIdx),0,IF(AND(SV_sp&gt;=0,A223=SV_sIdx),SV_L0,SV_lifeGrowth*(AC222-AA223))))</f>
        <v/>
      </c>
      <c r="AD223" s="29">
        <f>X223+Y223+AB223+Z223+IF(AB223&lt;0,0,AC223)</f>
        <v/>
      </c>
      <c r="AE223" s="29">
        <f>AA223+W223</f>
        <v/>
      </c>
      <c r="AF223" s="29">
        <f>IF(OR(A223&gt;SV_T,A223&gt;=SV_loanYears),0,MAX(0,AF222*(1+loanRate)-SV_inst))</f>
        <v/>
      </c>
      <c r="AG223" s="29">
        <f>IF(A223&gt;SV_T,0,AG222*(1+SV_savRate)+H223+I223+J223+K223+L223+AE223)</f>
        <v/>
      </c>
      <c r="AH223" s="29">
        <f>IF(A223&gt;SV_T,0,MAX(0,O223+P223+Q223+AD223+AG223-AF223))</f>
        <v/>
      </c>
      <c r="AI223" s="29">
        <f>IF(A223&gt;SV_T,0,O223+P223+AG223-MAX(0,AF223-(Q223+AD223)))</f>
        <v/>
      </c>
      <c r="AJ223" s="29">
        <f>IF(OR(OR(A223&lt;1,A223&gt;SV_T),A223-1&gt;=SV_retPay),0,SV_retMth*12+IF(A223=1,SV_retLump,0))</f>
        <v/>
      </c>
      <c r="AK223" s="29">
        <f>IF(A223&gt;SV_T,0,(AK222+AJ223)*(1+investmentReturn))</f>
        <v/>
      </c>
      <c r="AL223" s="29">
        <f>IF(OR(A223&lt;1,A223&gt;SV_T),0,IF(A223-1&gt;=SV_EDUPay,0,SV_EDUMth*12+IF(A223=1,SV_EDULump,0))+IF(A223-1&gt;=SV_SAVPay,0,SV_SAVMth*12+IF(A223=1,SV_SAVLump,0))+IF(A223-1&gt;=SV_PRPPay,0,SV_PRPMth*12+IF(A223=1,SV_PRPLump,0)))</f>
        <v/>
      </c>
      <c r="AM223" s="29">
        <f>IF(A223&gt;SV_T,0,(AM222+AL223)*(1+investmentReturn))</f>
        <v/>
      </c>
      <c r="AN223" s="29">
        <f>IF(OR(OR(A223&lt;1,A223&gt;SV_T),A223-1&gt;=SV_protPay),0,SV_protPrem)</f>
        <v/>
      </c>
      <c r="AO223" s="29">
        <f>IF(OR(A223=0,A223&gt;=SV_T),0,ROUND(MAX(0,AK223),2)+ROUND(MAX(0,AM223),2))</f>
        <v/>
      </c>
      <c r="AP223" s="29">
        <f>IF(OR(A223&lt;1,A223&gt;SV_T),0,-(AJ223+AL223+AN223)+IF(A223=SV_T,ROUND(MAX(0,AK223),2)+ROUND(MAX(0,AM223),2),0))</f>
        <v/>
      </c>
      <c r="AQ223" s="29">
        <f>IF(A223&gt;SV_T,0,AQ222*(1+SV_savRate)+H223+I223+J223+K223+L223+AE223+AP223)</f>
        <v/>
      </c>
      <c r="AR223" s="29">
        <f>IF(A223&gt;SV_T,0,MAX(0,O223+P223+Q223+AD223+AQ223+AO223-AF223))</f>
        <v/>
      </c>
      <c r="AS223" s="29">
        <f>IF(A223&gt;SV_T,0,O223+P223+AQ223+AO223-MAX(0,AF223-(Q223+AD223)))</f>
        <v/>
      </c>
    </row>
    <row r="224">
      <c r="A224" s="61" t="n">
        <v>52</v>
      </c>
      <c r="B224" s="61">
        <f>SV_age+A224</f>
        <v/>
      </c>
      <c r="C224" s="61">
        <f>currentYear+A224</f>
        <v/>
      </c>
      <c r="D224" s="52">
        <f>A224&lt;=SV_T</f>
        <v/>
      </c>
      <c r="E224" s="60">
        <f>IF(AND(SV_inflOn,A224&gt;=SV_inflS,A224&lt;=SV_inflE),1+SV_inflRate,1+inflationRate)</f>
        <v/>
      </c>
      <c r="F224" s="60">
        <f>IF(A224&lt;=1,1,F223*E224)</f>
        <v/>
      </c>
      <c r="G224" s="60">
        <f>IF(AND(SV_incOn,A224&gt;=SV_incS,A224&lt;=SV_incE),1+SV_incImp,1)</f>
        <v/>
      </c>
      <c r="H224" s="29">
        <f>IF(OR(OR(A224&lt;1,A224&gt;SV_T),A224-1&gt;=SV_salCut,AND(SV_deaOn,A224&gt;=SV_deaM)),0,SV_sal0*(1+incomeGrowthRate)^(A224-1)*G224)</f>
        <v/>
      </c>
      <c r="I224" s="29">
        <f>IF(OR(A224&lt;1,A224&gt;SV_T),0,(-SV_exp0*F224-IF(A224&lt;=SV_loanYears,SV_inst,0)-IF(AND(SV_wdEDUAmt&gt;0,A224=SV_wdEDUYear),SV_wdEDUAmt,0)-IF(AND(SV_wdSAVAmt&gt;0,A224=SV_wdSAVYear),SV_wdSAVAmt,0)-IF(AND(SV_wdPRPAmt&gt;0,A224=SV_wdPRPYear),SV_wdPRPAmt,0))*IF(AND(SV_expOn,A224&gt;=SV_expS,A224&lt;=SV_expE),1+SV_expImp,1))</f>
        <v/>
      </c>
      <c r="J224" s="29">
        <f>IF(OR(A224&lt;1,A224&gt;SV_T),0,-F224*(IF(AND(SV_deaOn,A224=SV_deaM),SV_deaAmt,0)+IF(AND(SV_criOn,A224=SV_criM),SV_criAmt,0)+IF(AND(SV_tpdOn,A224=SV_tpdM),SV_tpdAmt,0)+IF(AND(SV_pacOn,A224=SV_pacM),SV_pacAmt,0)+IF(AND(SV_hosOn,A224=SV_hosM),SV_hosAmt,0)+IF(AND(SV_wedOn,A224=SV_wedM),SV_wedAmt,0)+IF(AND(SV_babOn,A224=SV_babM),SV_babAmt,0)+IF(AND(SV_ltcOn,A224&gt;=SV_ltcM,A224&lt;=SV_ltcE),SV_ltcAmt,0)))</f>
        <v/>
      </c>
      <c r="K224" s="29">
        <f>IF(OR(OR(A224&lt;1,A224&gt;SV_T),A224&gt;SV_loanYears),0,-SV_lifePremYr)</f>
        <v/>
      </c>
      <c r="L224" s="29">
        <f>IF(OR(A224&lt;1,A224&gt;SV_T),0,-SV_contrib)</f>
        <v/>
      </c>
      <c r="M224" s="60">
        <f>IF(AND(SV_crashOn,A224=SV_crashYr),SV_crashF,1)</f>
        <v/>
      </c>
      <c r="N224" s="60">
        <f>IF(AND(SV_ccyOn,A224=SV_ccyYr),SV_ccyF,1)</f>
        <v/>
      </c>
      <c r="O224" s="29">
        <f>IF(A224&gt;SV_T,0,O223*(1+interestRate)*M224*N224)</f>
        <v/>
      </c>
      <c r="P224" s="29">
        <f>IF(A224&gt;SV_T,0,(P223+SV_contrib)*(1+investmentReturn)*M224*N224)</f>
        <v/>
      </c>
      <c r="Q224" s="29">
        <f>IF(A224&gt;SV_T,0,Q223*(1+SV_propRate)*M224)</f>
        <v/>
      </c>
      <c r="R224" s="46">
        <f>MATCH(SV_age+A224-1,SV_cpfLower,1)</f>
        <v/>
      </c>
      <c r="S224" s="29">
        <f>IF(OR(OR(A224&lt;1,A224&gt;SV_T),NOT(SV_cpfOn),AND(SV_deaOn,A224&gt;=SV_deaM)),0,MIN(SV_sal0*(1+incomeGrowthRate)^(A224-1)*G224,SV_owCap))</f>
        <v/>
      </c>
      <c r="T224" s="29">
        <f>IF(A224&gt;SV_T,0,T223*(1+SV_oaRate)+IF(A224&gt;=SV_effStop,0,INDEX(SV_cpfOA,R224)*INDEX(SV_cpfTot,R224)*S224))</f>
        <v/>
      </c>
      <c r="U224" s="29">
        <f>IF(A224&gt;SV_T,0,U223*(1+SV_saRate)+IF(A224&gt;=SV_effStop,0,INDEX(SV_cpfSA,R224)*INDEX(SV_cpfTot,R224)*S224))</f>
        <v/>
      </c>
      <c r="V224" s="29">
        <f>IF(A224&gt;SV_T,0,V223*(1+SV_saRate)+IF(A224&gt;=SV_effStop,0,INDEX(SV_cpfMA,R224)*INDEX(SV_cpfTot,R224)*S224))</f>
        <v/>
      </c>
      <c r="W224" s="29">
        <f>IF(OR(OR(A224&lt;1,A224&gt;SV_T),A224&gt;=SV_effNeg),0,-(INDEX(SV_cpfOA,R224)+INDEX(SV_cpfSA,R224)+INDEX(SV_cpfMA,R224))*INDEX(SV_cpfEmp,R224)*S224)</f>
        <v/>
      </c>
      <c r="X224" s="29">
        <f>IF(A224&gt;=SV_sIdx,0,T224)</f>
        <v/>
      </c>
      <c r="Y224" s="29">
        <f>IF(A224&gt;=SV_sIdx,0,U224)</f>
        <v/>
      </c>
      <c r="Z224" s="29">
        <f>IF(A224&gt;=SV_sIdx,MIN(V224,SV_maCap),V224)</f>
        <v/>
      </c>
      <c r="AA224" s="29">
        <f>IF(AND(SV_cpfOn,A224&gt;=SV_pIdx,A224&lt;=SV_T),12*SV_pay,0)</f>
        <v/>
      </c>
      <c r="AB224" s="29">
        <f>IF(A224&gt;SV_T,0,IF(SV_sp&gt;=0,IF(A224&lt;SV_sIdx,0,IF(A224=SV_sIdx,SV_R0,SV_lifeGrowth*AB223)),SV_lifeGrowth*AB223))</f>
        <v/>
      </c>
      <c r="AC224" s="29">
        <f>IF(A224&gt;SV_T,0,IF(AND(SV_sp&gt;=0,A224&lt;SV_sIdx),0,IF(AND(SV_sp&gt;=0,A224=SV_sIdx),SV_L0,SV_lifeGrowth*(AC223-AA224))))</f>
        <v/>
      </c>
      <c r="AD224" s="29">
        <f>X224+Y224+AB224+Z224+IF(AB224&lt;0,0,AC224)</f>
        <v/>
      </c>
      <c r="AE224" s="29">
        <f>AA224+W224</f>
        <v/>
      </c>
      <c r="AF224" s="29">
        <f>IF(OR(A224&gt;SV_T,A224&gt;=SV_loanYears),0,MAX(0,AF223*(1+loanRate)-SV_inst))</f>
        <v/>
      </c>
      <c r="AG224" s="29">
        <f>IF(A224&gt;SV_T,0,AG223*(1+SV_savRate)+H224+I224+J224+K224+L224+AE224)</f>
        <v/>
      </c>
      <c r="AH224" s="29">
        <f>IF(A224&gt;SV_T,0,MAX(0,O224+P224+Q224+AD224+AG224-AF224))</f>
        <v/>
      </c>
      <c r="AI224" s="29">
        <f>IF(A224&gt;SV_T,0,O224+P224+AG224-MAX(0,AF224-(Q224+AD224)))</f>
        <v/>
      </c>
      <c r="AJ224" s="29">
        <f>IF(OR(OR(A224&lt;1,A224&gt;SV_T),A224-1&gt;=SV_retPay),0,SV_retMth*12+IF(A224=1,SV_retLump,0))</f>
        <v/>
      </c>
      <c r="AK224" s="29">
        <f>IF(A224&gt;SV_T,0,(AK223+AJ224)*(1+investmentReturn))</f>
        <v/>
      </c>
      <c r="AL224" s="29">
        <f>IF(OR(A224&lt;1,A224&gt;SV_T),0,IF(A224-1&gt;=SV_EDUPay,0,SV_EDUMth*12+IF(A224=1,SV_EDULump,0))+IF(A224-1&gt;=SV_SAVPay,0,SV_SAVMth*12+IF(A224=1,SV_SAVLump,0))+IF(A224-1&gt;=SV_PRPPay,0,SV_PRPMth*12+IF(A224=1,SV_PRPLump,0)))</f>
        <v/>
      </c>
      <c r="AM224" s="29">
        <f>IF(A224&gt;SV_T,0,(AM223+AL224)*(1+investmentReturn))</f>
        <v/>
      </c>
      <c r="AN224" s="29">
        <f>IF(OR(OR(A224&lt;1,A224&gt;SV_T),A224-1&gt;=SV_protPay),0,SV_protPrem)</f>
        <v/>
      </c>
      <c r="AO224" s="29">
        <f>IF(OR(A224=0,A224&gt;=SV_T),0,ROUND(MAX(0,AK224),2)+ROUND(MAX(0,AM224),2))</f>
        <v/>
      </c>
      <c r="AP224" s="29">
        <f>IF(OR(A224&lt;1,A224&gt;SV_T),0,-(AJ224+AL224+AN224)+IF(A224=SV_T,ROUND(MAX(0,AK224),2)+ROUND(MAX(0,AM224),2),0))</f>
        <v/>
      </c>
      <c r="AQ224" s="29">
        <f>IF(A224&gt;SV_T,0,AQ223*(1+SV_savRate)+H224+I224+J224+K224+L224+AE224+AP224)</f>
        <v/>
      </c>
      <c r="AR224" s="29">
        <f>IF(A224&gt;SV_T,0,MAX(0,O224+P224+Q224+AD224+AQ224+AO224-AF224))</f>
        <v/>
      </c>
      <c r="AS224" s="29">
        <f>IF(A224&gt;SV_T,0,O224+P224+AQ224+AO224-MAX(0,AF224-(Q224+AD224)))</f>
        <v/>
      </c>
    </row>
    <row r="225">
      <c r="A225" s="61" t="n">
        <v>53</v>
      </c>
      <c r="B225" s="61">
        <f>SV_age+A225</f>
        <v/>
      </c>
      <c r="C225" s="61">
        <f>currentYear+A225</f>
        <v/>
      </c>
      <c r="D225" s="52">
        <f>A225&lt;=SV_T</f>
        <v/>
      </c>
      <c r="E225" s="60">
        <f>IF(AND(SV_inflOn,A225&gt;=SV_inflS,A225&lt;=SV_inflE),1+SV_inflRate,1+inflationRate)</f>
        <v/>
      </c>
      <c r="F225" s="60">
        <f>IF(A225&lt;=1,1,F224*E225)</f>
        <v/>
      </c>
      <c r="G225" s="60">
        <f>IF(AND(SV_incOn,A225&gt;=SV_incS,A225&lt;=SV_incE),1+SV_incImp,1)</f>
        <v/>
      </c>
      <c r="H225" s="29">
        <f>IF(OR(OR(A225&lt;1,A225&gt;SV_T),A225-1&gt;=SV_salCut,AND(SV_deaOn,A225&gt;=SV_deaM)),0,SV_sal0*(1+incomeGrowthRate)^(A225-1)*G225)</f>
        <v/>
      </c>
      <c r="I225" s="29">
        <f>IF(OR(A225&lt;1,A225&gt;SV_T),0,(-SV_exp0*F225-IF(A225&lt;=SV_loanYears,SV_inst,0)-IF(AND(SV_wdEDUAmt&gt;0,A225=SV_wdEDUYear),SV_wdEDUAmt,0)-IF(AND(SV_wdSAVAmt&gt;0,A225=SV_wdSAVYear),SV_wdSAVAmt,0)-IF(AND(SV_wdPRPAmt&gt;0,A225=SV_wdPRPYear),SV_wdPRPAmt,0))*IF(AND(SV_expOn,A225&gt;=SV_expS,A225&lt;=SV_expE),1+SV_expImp,1))</f>
        <v/>
      </c>
      <c r="J225" s="29">
        <f>IF(OR(A225&lt;1,A225&gt;SV_T),0,-F225*(IF(AND(SV_deaOn,A225=SV_deaM),SV_deaAmt,0)+IF(AND(SV_criOn,A225=SV_criM),SV_criAmt,0)+IF(AND(SV_tpdOn,A225=SV_tpdM),SV_tpdAmt,0)+IF(AND(SV_pacOn,A225=SV_pacM),SV_pacAmt,0)+IF(AND(SV_hosOn,A225=SV_hosM),SV_hosAmt,0)+IF(AND(SV_wedOn,A225=SV_wedM),SV_wedAmt,0)+IF(AND(SV_babOn,A225=SV_babM),SV_babAmt,0)+IF(AND(SV_ltcOn,A225&gt;=SV_ltcM,A225&lt;=SV_ltcE),SV_ltcAmt,0)))</f>
        <v/>
      </c>
      <c r="K225" s="29">
        <f>IF(OR(OR(A225&lt;1,A225&gt;SV_T),A225&gt;SV_loanYears),0,-SV_lifePremYr)</f>
        <v/>
      </c>
      <c r="L225" s="29">
        <f>IF(OR(A225&lt;1,A225&gt;SV_T),0,-SV_contrib)</f>
        <v/>
      </c>
      <c r="M225" s="60">
        <f>IF(AND(SV_crashOn,A225=SV_crashYr),SV_crashF,1)</f>
        <v/>
      </c>
      <c r="N225" s="60">
        <f>IF(AND(SV_ccyOn,A225=SV_ccyYr),SV_ccyF,1)</f>
        <v/>
      </c>
      <c r="O225" s="29">
        <f>IF(A225&gt;SV_T,0,O224*(1+interestRate)*M225*N225)</f>
        <v/>
      </c>
      <c r="P225" s="29">
        <f>IF(A225&gt;SV_T,0,(P224+SV_contrib)*(1+investmentReturn)*M225*N225)</f>
        <v/>
      </c>
      <c r="Q225" s="29">
        <f>IF(A225&gt;SV_T,0,Q224*(1+SV_propRate)*M225)</f>
        <v/>
      </c>
      <c r="R225" s="46">
        <f>MATCH(SV_age+A225-1,SV_cpfLower,1)</f>
        <v/>
      </c>
      <c r="S225" s="29">
        <f>IF(OR(OR(A225&lt;1,A225&gt;SV_T),NOT(SV_cpfOn),AND(SV_deaOn,A225&gt;=SV_deaM)),0,MIN(SV_sal0*(1+incomeGrowthRate)^(A225-1)*G225,SV_owCap))</f>
        <v/>
      </c>
      <c r="T225" s="29">
        <f>IF(A225&gt;SV_T,0,T224*(1+SV_oaRate)+IF(A225&gt;=SV_effStop,0,INDEX(SV_cpfOA,R225)*INDEX(SV_cpfTot,R225)*S225))</f>
        <v/>
      </c>
      <c r="U225" s="29">
        <f>IF(A225&gt;SV_T,0,U224*(1+SV_saRate)+IF(A225&gt;=SV_effStop,0,INDEX(SV_cpfSA,R225)*INDEX(SV_cpfTot,R225)*S225))</f>
        <v/>
      </c>
      <c r="V225" s="29">
        <f>IF(A225&gt;SV_T,0,V224*(1+SV_saRate)+IF(A225&gt;=SV_effStop,0,INDEX(SV_cpfMA,R225)*INDEX(SV_cpfTot,R225)*S225))</f>
        <v/>
      </c>
      <c r="W225" s="29">
        <f>IF(OR(OR(A225&lt;1,A225&gt;SV_T),A225&gt;=SV_effNeg),0,-(INDEX(SV_cpfOA,R225)+INDEX(SV_cpfSA,R225)+INDEX(SV_cpfMA,R225))*INDEX(SV_cpfEmp,R225)*S225)</f>
        <v/>
      </c>
      <c r="X225" s="29">
        <f>IF(A225&gt;=SV_sIdx,0,T225)</f>
        <v/>
      </c>
      <c r="Y225" s="29">
        <f>IF(A225&gt;=SV_sIdx,0,U225)</f>
        <v/>
      </c>
      <c r="Z225" s="29">
        <f>IF(A225&gt;=SV_sIdx,MIN(V225,SV_maCap),V225)</f>
        <v/>
      </c>
      <c r="AA225" s="29">
        <f>IF(AND(SV_cpfOn,A225&gt;=SV_pIdx,A225&lt;=SV_T),12*SV_pay,0)</f>
        <v/>
      </c>
      <c r="AB225" s="29">
        <f>IF(A225&gt;SV_T,0,IF(SV_sp&gt;=0,IF(A225&lt;SV_sIdx,0,IF(A225=SV_sIdx,SV_R0,SV_lifeGrowth*AB224)),SV_lifeGrowth*AB224))</f>
        <v/>
      </c>
      <c r="AC225" s="29">
        <f>IF(A225&gt;SV_T,0,IF(AND(SV_sp&gt;=0,A225&lt;SV_sIdx),0,IF(AND(SV_sp&gt;=0,A225=SV_sIdx),SV_L0,SV_lifeGrowth*(AC224-AA225))))</f>
        <v/>
      </c>
      <c r="AD225" s="29">
        <f>X225+Y225+AB225+Z225+IF(AB225&lt;0,0,AC225)</f>
        <v/>
      </c>
      <c r="AE225" s="29">
        <f>AA225+W225</f>
        <v/>
      </c>
      <c r="AF225" s="29">
        <f>IF(OR(A225&gt;SV_T,A225&gt;=SV_loanYears),0,MAX(0,AF224*(1+loanRate)-SV_inst))</f>
        <v/>
      </c>
      <c r="AG225" s="29">
        <f>IF(A225&gt;SV_T,0,AG224*(1+SV_savRate)+H225+I225+J225+K225+L225+AE225)</f>
        <v/>
      </c>
      <c r="AH225" s="29">
        <f>IF(A225&gt;SV_T,0,MAX(0,O225+P225+Q225+AD225+AG225-AF225))</f>
        <v/>
      </c>
      <c r="AI225" s="29">
        <f>IF(A225&gt;SV_T,0,O225+P225+AG225-MAX(0,AF225-(Q225+AD225)))</f>
        <v/>
      </c>
      <c r="AJ225" s="29">
        <f>IF(OR(OR(A225&lt;1,A225&gt;SV_T),A225-1&gt;=SV_retPay),0,SV_retMth*12+IF(A225=1,SV_retLump,0))</f>
        <v/>
      </c>
      <c r="AK225" s="29">
        <f>IF(A225&gt;SV_T,0,(AK224+AJ225)*(1+investmentReturn))</f>
        <v/>
      </c>
      <c r="AL225" s="29">
        <f>IF(OR(A225&lt;1,A225&gt;SV_T),0,IF(A225-1&gt;=SV_EDUPay,0,SV_EDUMth*12+IF(A225=1,SV_EDULump,0))+IF(A225-1&gt;=SV_SAVPay,0,SV_SAVMth*12+IF(A225=1,SV_SAVLump,0))+IF(A225-1&gt;=SV_PRPPay,0,SV_PRPMth*12+IF(A225=1,SV_PRPLump,0)))</f>
        <v/>
      </c>
      <c r="AM225" s="29">
        <f>IF(A225&gt;SV_T,0,(AM224+AL225)*(1+investmentReturn))</f>
        <v/>
      </c>
      <c r="AN225" s="29">
        <f>IF(OR(OR(A225&lt;1,A225&gt;SV_T),A225-1&gt;=SV_protPay),0,SV_protPrem)</f>
        <v/>
      </c>
      <c r="AO225" s="29">
        <f>IF(OR(A225=0,A225&gt;=SV_T),0,ROUND(MAX(0,AK225),2)+ROUND(MAX(0,AM225),2))</f>
        <v/>
      </c>
      <c r="AP225" s="29">
        <f>IF(OR(A225&lt;1,A225&gt;SV_T),0,-(AJ225+AL225+AN225)+IF(A225=SV_T,ROUND(MAX(0,AK225),2)+ROUND(MAX(0,AM225),2),0))</f>
        <v/>
      </c>
      <c r="AQ225" s="29">
        <f>IF(A225&gt;SV_T,0,AQ224*(1+SV_savRate)+H225+I225+J225+K225+L225+AE225+AP225)</f>
        <v/>
      </c>
      <c r="AR225" s="29">
        <f>IF(A225&gt;SV_T,0,MAX(0,O225+P225+Q225+AD225+AQ225+AO225-AF225))</f>
        <v/>
      </c>
      <c r="AS225" s="29">
        <f>IF(A225&gt;SV_T,0,O225+P225+AQ225+AO225-MAX(0,AF225-(Q225+AD225)))</f>
        <v/>
      </c>
    </row>
    <row r="226">
      <c r="A226" s="61" t="n">
        <v>54</v>
      </c>
      <c r="B226" s="61">
        <f>SV_age+A226</f>
        <v/>
      </c>
      <c r="C226" s="61">
        <f>currentYear+A226</f>
        <v/>
      </c>
      <c r="D226" s="52">
        <f>A226&lt;=SV_T</f>
        <v/>
      </c>
      <c r="E226" s="60">
        <f>IF(AND(SV_inflOn,A226&gt;=SV_inflS,A226&lt;=SV_inflE),1+SV_inflRate,1+inflationRate)</f>
        <v/>
      </c>
      <c r="F226" s="60">
        <f>IF(A226&lt;=1,1,F225*E226)</f>
        <v/>
      </c>
      <c r="G226" s="60">
        <f>IF(AND(SV_incOn,A226&gt;=SV_incS,A226&lt;=SV_incE),1+SV_incImp,1)</f>
        <v/>
      </c>
      <c r="H226" s="29">
        <f>IF(OR(OR(A226&lt;1,A226&gt;SV_T),A226-1&gt;=SV_salCut,AND(SV_deaOn,A226&gt;=SV_deaM)),0,SV_sal0*(1+incomeGrowthRate)^(A226-1)*G226)</f>
        <v/>
      </c>
      <c r="I226" s="29">
        <f>IF(OR(A226&lt;1,A226&gt;SV_T),0,(-SV_exp0*F226-IF(A226&lt;=SV_loanYears,SV_inst,0)-IF(AND(SV_wdEDUAmt&gt;0,A226=SV_wdEDUYear),SV_wdEDUAmt,0)-IF(AND(SV_wdSAVAmt&gt;0,A226=SV_wdSAVYear),SV_wdSAVAmt,0)-IF(AND(SV_wdPRPAmt&gt;0,A226=SV_wdPRPYear),SV_wdPRPAmt,0))*IF(AND(SV_expOn,A226&gt;=SV_expS,A226&lt;=SV_expE),1+SV_expImp,1))</f>
        <v/>
      </c>
      <c r="J226" s="29">
        <f>IF(OR(A226&lt;1,A226&gt;SV_T),0,-F226*(IF(AND(SV_deaOn,A226=SV_deaM),SV_deaAmt,0)+IF(AND(SV_criOn,A226=SV_criM),SV_criAmt,0)+IF(AND(SV_tpdOn,A226=SV_tpdM),SV_tpdAmt,0)+IF(AND(SV_pacOn,A226=SV_pacM),SV_pacAmt,0)+IF(AND(SV_hosOn,A226=SV_hosM),SV_hosAmt,0)+IF(AND(SV_wedOn,A226=SV_wedM),SV_wedAmt,0)+IF(AND(SV_babOn,A226=SV_babM),SV_babAmt,0)+IF(AND(SV_ltcOn,A226&gt;=SV_ltcM,A226&lt;=SV_ltcE),SV_ltcAmt,0)))</f>
        <v/>
      </c>
      <c r="K226" s="29">
        <f>IF(OR(OR(A226&lt;1,A226&gt;SV_T),A226&gt;SV_loanYears),0,-SV_lifePremYr)</f>
        <v/>
      </c>
      <c r="L226" s="29">
        <f>IF(OR(A226&lt;1,A226&gt;SV_T),0,-SV_contrib)</f>
        <v/>
      </c>
      <c r="M226" s="60">
        <f>IF(AND(SV_crashOn,A226=SV_crashYr),SV_crashF,1)</f>
        <v/>
      </c>
      <c r="N226" s="60">
        <f>IF(AND(SV_ccyOn,A226=SV_ccyYr),SV_ccyF,1)</f>
        <v/>
      </c>
      <c r="O226" s="29">
        <f>IF(A226&gt;SV_T,0,O225*(1+interestRate)*M226*N226)</f>
        <v/>
      </c>
      <c r="P226" s="29">
        <f>IF(A226&gt;SV_T,0,(P225+SV_contrib)*(1+investmentReturn)*M226*N226)</f>
        <v/>
      </c>
      <c r="Q226" s="29">
        <f>IF(A226&gt;SV_T,0,Q225*(1+SV_propRate)*M226)</f>
        <v/>
      </c>
      <c r="R226" s="46">
        <f>MATCH(SV_age+A226-1,SV_cpfLower,1)</f>
        <v/>
      </c>
      <c r="S226" s="29">
        <f>IF(OR(OR(A226&lt;1,A226&gt;SV_T),NOT(SV_cpfOn),AND(SV_deaOn,A226&gt;=SV_deaM)),0,MIN(SV_sal0*(1+incomeGrowthRate)^(A226-1)*G226,SV_owCap))</f>
        <v/>
      </c>
      <c r="T226" s="29">
        <f>IF(A226&gt;SV_T,0,T225*(1+SV_oaRate)+IF(A226&gt;=SV_effStop,0,INDEX(SV_cpfOA,R226)*INDEX(SV_cpfTot,R226)*S226))</f>
        <v/>
      </c>
      <c r="U226" s="29">
        <f>IF(A226&gt;SV_T,0,U225*(1+SV_saRate)+IF(A226&gt;=SV_effStop,0,INDEX(SV_cpfSA,R226)*INDEX(SV_cpfTot,R226)*S226))</f>
        <v/>
      </c>
      <c r="V226" s="29">
        <f>IF(A226&gt;SV_T,0,V225*(1+SV_saRate)+IF(A226&gt;=SV_effStop,0,INDEX(SV_cpfMA,R226)*INDEX(SV_cpfTot,R226)*S226))</f>
        <v/>
      </c>
      <c r="W226" s="29">
        <f>IF(OR(OR(A226&lt;1,A226&gt;SV_T),A226&gt;=SV_effNeg),0,-(INDEX(SV_cpfOA,R226)+INDEX(SV_cpfSA,R226)+INDEX(SV_cpfMA,R226))*INDEX(SV_cpfEmp,R226)*S226)</f>
        <v/>
      </c>
      <c r="X226" s="29">
        <f>IF(A226&gt;=SV_sIdx,0,T226)</f>
        <v/>
      </c>
      <c r="Y226" s="29">
        <f>IF(A226&gt;=SV_sIdx,0,U226)</f>
        <v/>
      </c>
      <c r="Z226" s="29">
        <f>IF(A226&gt;=SV_sIdx,MIN(V226,SV_maCap),V226)</f>
        <v/>
      </c>
      <c r="AA226" s="29">
        <f>IF(AND(SV_cpfOn,A226&gt;=SV_pIdx,A226&lt;=SV_T),12*SV_pay,0)</f>
        <v/>
      </c>
      <c r="AB226" s="29">
        <f>IF(A226&gt;SV_T,0,IF(SV_sp&gt;=0,IF(A226&lt;SV_sIdx,0,IF(A226=SV_sIdx,SV_R0,SV_lifeGrowth*AB225)),SV_lifeGrowth*AB225))</f>
        <v/>
      </c>
      <c r="AC226" s="29">
        <f>IF(A226&gt;SV_T,0,IF(AND(SV_sp&gt;=0,A226&lt;SV_sIdx),0,IF(AND(SV_sp&gt;=0,A226=SV_sIdx),SV_L0,SV_lifeGrowth*(AC225-AA226))))</f>
        <v/>
      </c>
      <c r="AD226" s="29">
        <f>X226+Y226+AB226+Z226+IF(AB226&lt;0,0,AC226)</f>
        <v/>
      </c>
      <c r="AE226" s="29">
        <f>AA226+W226</f>
        <v/>
      </c>
      <c r="AF226" s="29">
        <f>IF(OR(A226&gt;SV_T,A226&gt;=SV_loanYears),0,MAX(0,AF225*(1+loanRate)-SV_inst))</f>
        <v/>
      </c>
      <c r="AG226" s="29">
        <f>IF(A226&gt;SV_T,0,AG225*(1+SV_savRate)+H226+I226+J226+K226+L226+AE226)</f>
        <v/>
      </c>
      <c r="AH226" s="29">
        <f>IF(A226&gt;SV_T,0,MAX(0,O226+P226+Q226+AD226+AG226-AF226))</f>
        <v/>
      </c>
      <c r="AI226" s="29">
        <f>IF(A226&gt;SV_T,0,O226+P226+AG226-MAX(0,AF226-(Q226+AD226)))</f>
        <v/>
      </c>
      <c r="AJ226" s="29">
        <f>IF(OR(OR(A226&lt;1,A226&gt;SV_T),A226-1&gt;=SV_retPay),0,SV_retMth*12+IF(A226=1,SV_retLump,0))</f>
        <v/>
      </c>
      <c r="AK226" s="29">
        <f>IF(A226&gt;SV_T,0,(AK225+AJ226)*(1+investmentReturn))</f>
        <v/>
      </c>
      <c r="AL226" s="29">
        <f>IF(OR(A226&lt;1,A226&gt;SV_T),0,IF(A226-1&gt;=SV_EDUPay,0,SV_EDUMth*12+IF(A226=1,SV_EDULump,0))+IF(A226-1&gt;=SV_SAVPay,0,SV_SAVMth*12+IF(A226=1,SV_SAVLump,0))+IF(A226-1&gt;=SV_PRPPay,0,SV_PRPMth*12+IF(A226=1,SV_PRPLump,0)))</f>
        <v/>
      </c>
      <c r="AM226" s="29">
        <f>IF(A226&gt;SV_T,0,(AM225+AL226)*(1+investmentReturn))</f>
        <v/>
      </c>
      <c r="AN226" s="29">
        <f>IF(OR(OR(A226&lt;1,A226&gt;SV_T),A226-1&gt;=SV_protPay),0,SV_protPrem)</f>
        <v/>
      </c>
      <c r="AO226" s="29">
        <f>IF(OR(A226=0,A226&gt;=SV_T),0,ROUND(MAX(0,AK226),2)+ROUND(MAX(0,AM226),2))</f>
        <v/>
      </c>
      <c r="AP226" s="29">
        <f>IF(OR(A226&lt;1,A226&gt;SV_T),0,-(AJ226+AL226+AN226)+IF(A226=SV_T,ROUND(MAX(0,AK226),2)+ROUND(MAX(0,AM226),2),0))</f>
        <v/>
      </c>
      <c r="AQ226" s="29">
        <f>IF(A226&gt;SV_T,0,AQ225*(1+SV_savRate)+H226+I226+J226+K226+L226+AE226+AP226)</f>
        <v/>
      </c>
      <c r="AR226" s="29">
        <f>IF(A226&gt;SV_T,0,MAX(0,O226+P226+Q226+AD226+AQ226+AO226-AF226))</f>
        <v/>
      </c>
      <c r="AS226" s="29">
        <f>IF(A226&gt;SV_T,0,O226+P226+AQ226+AO226-MAX(0,AF226-(Q226+AD226)))</f>
        <v/>
      </c>
    </row>
    <row r="227">
      <c r="A227" s="61" t="n">
        <v>55</v>
      </c>
      <c r="B227" s="61">
        <f>SV_age+A227</f>
        <v/>
      </c>
      <c r="C227" s="61">
        <f>currentYear+A227</f>
        <v/>
      </c>
      <c r="D227" s="52">
        <f>A227&lt;=SV_T</f>
        <v/>
      </c>
      <c r="E227" s="60">
        <f>IF(AND(SV_inflOn,A227&gt;=SV_inflS,A227&lt;=SV_inflE),1+SV_inflRate,1+inflationRate)</f>
        <v/>
      </c>
      <c r="F227" s="60">
        <f>IF(A227&lt;=1,1,F226*E227)</f>
        <v/>
      </c>
      <c r="G227" s="60">
        <f>IF(AND(SV_incOn,A227&gt;=SV_incS,A227&lt;=SV_incE),1+SV_incImp,1)</f>
        <v/>
      </c>
      <c r="H227" s="29">
        <f>IF(OR(OR(A227&lt;1,A227&gt;SV_T),A227-1&gt;=SV_salCut,AND(SV_deaOn,A227&gt;=SV_deaM)),0,SV_sal0*(1+incomeGrowthRate)^(A227-1)*G227)</f>
        <v/>
      </c>
      <c r="I227" s="29">
        <f>IF(OR(A227&lt;1,A227&gt;SV_T),0,(-SV_exp0*F227-IF(A227&lt;=SV_loanYears,SV_inst,0)-IF(AND(SV_wdEDUAmt&gt;0,A227=SV_wdEDUYear),SV_wdEDUAmt,0)-IF(AND(SV_wdSAVAmt&gt;0,A227=SV_wdSAVYear),SV_wdSAVAmt,0)-IF(AND(SV_wdPRPAmt&gt;0,A227=SV_wdPRPYear),SV_wdPRPAmt,0))*IF(AND(SV_expOn,A227&gt;=SV_expS,A227&lt;=SV_expE),1+SV_expImp,1))</f>
        <v/>
      </c>
      <c r="J227" s="29">
        <f>IF(OR(A227&lt;1,A227&gt;SV_T),0,-F227*(IF(AND(SV_deaOn,A227=SV_deaM),SV_deaAmt,0)+IF(AND(SV_criOn,A227=SV_criM),SV_criAmt,0)+IF(AND(SV_tpdOn,A227=SV_tpdM),SV_tpdAmt,0)+IF(AND(SV_pacOn,A227=SV_pacM),SV_pacAmt,0)+IF(AND(SV_hosOn,A227=SV_hosM),SV_hosAmt,0)+IF(AND(SV_wedOn,A227=SV_wedM),SV_wedAmt,0)+IF(AND(SV_babOn,A227=SV_babM),SV_babAmt,0)+IF(AND(SV_ltcOn,A227&gt;=SV_ltcM,A227&lt;=SV_ltcE),SV_ltcAmt,0)))</f>
        <v/>
      </c>
      <c r="K227" s="29">
        <f>IF(OR(OR(A227&lt;1,A227&gt;SV_T),A227&gt;SV_loanYears),0,-SV_lifePremYr)</f>
        <v/>
      </c>
      <c r="L227" s="29">
        <f>IF(OR(A227&lt;1,A227&gt;SV_T),0,-SV_contrib)</f>
        <v/>
      </c>
      <c r="M227" s="60">
        <f>IF(AND(SV_crashOn,A227=SV_crashYr),SV_crashF,1)</f>
        <v/>
      </c>
      <c r="N227" s="60">
        <f>IF(AND(SV_ccyOn,A227=SV_ccyYr),SV_ccyF,1)</f>
        <v/>
      </c>
      <c r="O227" s="29">
        <f>IF(A227&gt;SV_T,0,O226*(1+interestRate)*M227*N227)</f>
        <v/>
      </c>
      <c r="P227" s="29">
        <f>IF(A227&gt;SV_T,0,(P226+SV_contrib)*(1+investmentReturn)*M227*N227)</f>
        <v/>
      </c>
      <c r="Q227" s="29">
        <f>IF(A227&gt;SV_T,0,Q226*(1+SV_propRate)*M227)</f>
        <v/>
      </c>
      <c r="R227" s="46">
        <f>MATCH(SV_age+A227-1,SV_cpfLower,1)</f>
        <v/>
      </c>
      <c r="S227" s="29">
        <f>IF(OR(OR(A227&lt;1,A227&gt;SV_T),NOT(SV_cpfOn),AND(SV_deaOn,A227&gt;=SV_deaM)),0,MIN(SV_sal0*(1+incomeGrowthRate)^(A227-1)*G227,SV_owCap))</f>
        <v/>
      </c>
      <c r="T227" s="29">
        <f>IF(A227&gt;SV_T,0,T226*(1+SV_oaRate)+IF(A227&gt;=SV_effStop,0,INDEX(SV_cpfOA,R227)*INDEX(SV_cpfTot,R227)*S227))</f>
        <v/>
      </c>
      <c r="U227" s="29">
        <f>IF(A227&gt;SV_T,0,U226*(1+SV_saRate)+IF(A227&gt;=SV_effStop,0,INDEX(SV_cpfSA,R227)*INDEX(SV_cpfTot,R227)*S227))</f>
        <v/>
      </c>
      <c r="V227" s="29">
        <f>IF(A227&gt;SV_T,0,V226*(1+SV_saRate)+IF(A227&gt;=SV_effStop,0,INDEX(SV_cpfMA,R227)*INDEX(SV_cpfTot,R227)*S227))</f>
        <v/>
      </c>
      <c r="W227" s="29">
        <f>IF(OR(OR(A227&lt;1,A227&gt;SV_T),A227&gt;=SV_effNeg),0,-(INDEX(SV_cpfOA,R227)+INDEX(SV_cpfSA,R227)+INDEX(SV_cpfMA,R227))*INDEX(SV_cpfEmp,R227)*S227)</f>
        <v/>
      </c>
      <c r="X227" s="29">
        <f>IF(A227&gt;=SV_sIdx,0,T227)</f>
        <v/>
      </c>
      <c r="Y227" s="29">
        <f>IF(A227&gt;=SV_sIdx,0,U227)</f>
        <v/>
      </c>
      <c r="Z227" s="29">
        <f>IF(A227&gt;=SV_sIdx,MIN(V227,SV_maCap),V227)</f>
        <v/>
      </c>
      <c r="AA227" s="29">
        <f>IF(AND(SV_cpfOn,A227&gt;=SV_pIdx,A227&lt;=SV_T),12*SV_pay,0)</f>
        <v/>
      </c>
      <c r="AB227" s="29">
        <f>IF(A227&gt;SV_T,0,IF(SV_sp&gt;=0,IF(A227&lt;SV_sIdx,0,IF(A227=SV_sIdx,SV_R0,SV_lifeGrowth*AB226)),SV_lifeGrowth*AB226))</f>
        <v/>
      </c>
      <c r="AC227" s="29">
        <f>IF(A227&gt;SV_T,0,IF(AND(SV_sp&gt;=0,A227&lt;SV_sIdx),0,IF(AND(SV_sp&gt;=0,A227=SV_sIdx),SV_L0,SV_lifeGrowth*(AC226-AA227))))</f>
        <v/>
      </c>
      <c r="AD227" s="29">
        <f>X227+Y227+AB227+Z227+IF(AB227&lt;0,0,AC227)</f>
        <v/>
      </c>
      <c r="AE227" s="29">
        <f>AA227+W227</f>
        <v/>
      </c>
      <c r="AF227" s="29">
        <f>IF(OR(A227&gt;SV_T,A227&gt;=SV_loanYears),0,MAX(0,AF226*(1+loanRate)-SV_inst))</f>
        <v/>
      </c>
      <c r="AG227" s="29">
        <f>IF(A227&gt;SV_T,0,AG226*(1+SV_savRate)+H227+I227+J227+K227+L227+AE227)</f>
        <v/>
      </c>
      <c r="AH227" s="29">
        <f>IF(A227&gt;SV_T,0,MAX(0,O227+P227+Q227+AD227+AG227-AF227))</f>
        <v/>
      </c>
      <c r="AI227" s="29">
        <f>IF(A227&gt;SV_T,0,O227+P227+AG227-MAX(0,AF227-(Q227+AD227)))</f>
        <v/>
      </c>
      <c r="AJ227" s="29">
        <f>IF(OR(OR(A227&lt;1,A227&gt;SV_T),A227-1&gt;=SV_retPay),0,SV_retMth*12+IF(A227=1,SV_retLump,0))</f>
        <v/>
      </c>
      <c r="AK227" s="29">
        <f>IF(A227&gt;SV_T,0,(AK226+AJ227)*(1+investmentReturn))</f>
        <v/>
      </c>
      <c r="AL227" s="29">
        <f>IF(OR(A227&lt;1,A227&gt;SV_T),0,IF(A227-1&gt;=SV_EDUPay,0,SV_EDUMth*12+IF(A227=1,SV_EDULump,0))+IF(A227-1&gt;=SV_SAVPay,0,SV_SAVMth*12+IF(A227=1,SV_SAVLump,0))+IF(A227-1&gt;=SV_PRPPay,0,SV_PRPMth*12+IF(A227=1,SV_PRPLump,0)))</f>
        <v/>
      </c>
      <c r="AM227" s="29">
        <f>IF(A227&gt;SV_T,0,(AM226+AL227)*(1+investmentReturn))</f>
        <v/>
      </c>
      <c r="AN227" s="29">
        <f>IF(OR(OR(A227&lt;1,A227&gt;SV_T),A227-1&gt;=SV_protPay),0,SV_protPrem)</f>
        <v/>
      </c>
      <c r="AO227" s="29">
        <f>IF(OR(A227=0,A227&gt;=SV_T),0,ROUND(MAX(0,AK227),2)+ROUND(MAX(0,AM227),2))</f>
        <v/>
      </c>
      <c r="AP227" s="29">
        <f>IF(OR(A227&lt;1,A227&gt;SV_T),0,-(AJ227+AL227+AN227)+IF(A227=SV_T,ROUND(MAX(0,AK227),2)+ROUND(MAX(0,AM227),2),0))</f>
        <v/>
      </c>
      <c r="AQ227" s="29">
        <f>IF(A227&gt;SV_T,0,AQ226*(1+SV_savRate)+H227+I227+J227+K227+L227+AE227+AP227)</f>
        <v/>
      </c>
      <c r="AR227" s="29">
        <f>IF(A227&gt;SV_T,0,MAX(0,O227+P227+Q227+AD227+AQ227+AO227-AF227))</f>
        <v/>
      </c>
      <c r="AS227" s="29">
        <f>IF(A227&gt;SV_T,0,O227+P227+AQ227+AO227-MAX(0,AF227-(Q227+AD227)))</f>
        <v/>
      </c>
    </row>
    <row r="228">
      <c r="A228" s="61" t="n">
        <v>56</v>
      </c>
      <c r="B228" s="61">
        <f>SV_age+A228</f>
        <v/>
      </c>
      <c r="C228" s="61">
        <f>currentYear+A228</f>
        <v/>
      </c>
      <c r="D228" s="52">
        <f>A228&lt;=SV_T</f>
        <v/>
      </c>
      <c r="E228" s="60">
        <f>IF(AND(SV_inflOn,A228&gt;=SV_inflS,A228&lt;=SV_inflE),1+SV_inflRate,1+inflationRate)</f>
        <v/>
      </c>
      <c r="F228" s="60">
        <f>IF(A228&lt;=1,1,F227*E228)</f>
        <v/>
      </c>
      <c r="G228" s="60">
        <f>IF(AND(SV_incOn,A228&gt;=SV_incS,A228&lt;=SV_incE),1+SV_incImp,1)</f>
        <v/>
      </c>
      <c r="H228" s="29">
        <f>IF(OR(OR(A228&lt;1,A228&gt;SV_T),A228-1&gt;=SV_salCut,AND(SV_deaOn,A228&gt;=SV_deaM)),0,SV_sal0*(1+incomeGrowthRate)^(A228-1)*G228)</f>
        <v/>
      </c>
      <c r="I228" s="29">
        <f>IF(OR(A228&lt;1,A228&gt;SV_T),0,(-SV_exp0*F228-IF(A228&lt;=SV_loanYears,SV_inst,0)-IF(AND(SV_wdEDUAmt&gt;0,A228=SV_wdEDUYear),SV_wdEDUAmt,0)-IF(AND(SV_wdSAVAmt&gt;0,A228=SV_wdSAVYear),SV_wdSAVAmt,0)-IF(AND(SV_wdPRPAmt&gt;0,A228=SV_wdPRPYear),SV_wdPRPAmt,0))*IF(AND(SV_expOn,A228&gt;=SV_expS,A228&lt;=SV_expE),1+SV_expImp,1))</f>
        <v/>
      </c>
      <c r="J228" s="29">
        <f>IF(OR(A228&lt;1,A228&gt;SV_T),0,-F228*(IF(AND(SV_deaOn,A228=SV_deaM),SV_deaAmt,0)+IF(AND(SV_criOn,A228=SV_criM),SV_criAmt,0)+IF(AND(SV_tpdOn,A228=SV_tpdM),SV_tpdAmt,0)+IF(AND(SV_pacOn,A228=SV_pacM),SV_pacAmt,0)+IF(AND(SV_hosOn,A228=SV_hosM),SV_hosAmt,0)+IF(AND(SV_wedOn,A228=SV_wedM),SV_wedAmt,0)+IF(AND(SV_babOn,A228=SV_babM),SV_babAmt,0)+IF(AND(SV_ltcOn,A228&gt;=SV_ltcM,A228&lt;=SV_ltcE),SV_ltcAmt,0)))</f>
        <v/>
      </c>
      <c r="K228" s="29">
        <f>IF(OR(OR(A228&lt;1,A228&gt;SV_T),A228&gt;SV_loanYears),0,-SV_lifePremYr)</f>
        <v/>
      </c>
      <c r="L228" s="29">
        <f>IF(OR(A228&lt;1,A228&gt;SV_T),0,-SV_contrib)</f>
        <v/>
      </c>
      <c r="M228" s="60">
        <f>IF(AND(SV_crashOn,A228=SV_crashYr),SV_crashF,1)</f>
        <v/>
      </c>
      <c r="N228" s="60">
        <f>IF(AND(SV_ccyOn,A228=SV_ccyYr),SV_ccyF,1)</f>
        <v/>
      </c>
      <c r="O228" s="29">
        <f>IF(A228&gt;SV_T,0,O227*(1+interestRate)*M228*N228)</f>
        <v/>
      </c>
      <c r="P228" s="29">
        <f>IF(A228&gt;SV_T,0,(P227+SV_contrib)*(1+investmentReturn)*M228*N228)</f>
        <v/>
      </c>
      <c r="Q228" s="29">
        <f>IF(A228&gt;SV_T,0,Q227*(1+SV_propRate)*M228)</f>
        <v/>
      </c>
      <c r="R228" s="46">
        <f>MATCH(SV_age+A228-1,SV_cpfLower,1)</f>
        <v/>
      </c>
      <c r="S228" s="29">
        <f>IF(OR(OR(A228&lt;1,A228&gt;SV_T),NOT(SV_cpfOn),AND(SV_deaOn,A228&gt;=SV_deaM)),0,MIN(SV_sal0*(1+incomeGrowthRate)^(A228-1)*G228,SV_owCap))</f>
        <v/>
      </c>
      <c r="T228" s="29">
        <f>IF(A228&gt;SV_T,0,T227*(1+SV_oaRate)+IF(A228&gt;=SV_effStop,0,INDEX(SV_cpfOA,R228)*INDEX(SV_cpfTot,R228)*S228))</f>
        <v/>
      </c>
      <c r="U228" s="29">
        <f>IF(A228&gt;SV_T,0,U227*(1+SV_saRate)+IF(A228&gt;=SV_effStop,0,INDEX(SV_cpfSA,R228)*INDEX(SV_cpfTot,R228)*S228))</f>
        <v/>
      </c>
      <c r="V228" s="29">
        <f>IF(A228&gt;SV_T,0,V227*(1+SV_saRate)+IF(A228&gt;=SV_effStop,0,INDEX(SV_cpfMA,R228)*INDEX(SV_cpfTot,R228)*S228))</f>
        <v/>
      </c>
      <c r="W228" s="29">
        <f>IF(OR(OR(A228&lt;1,A228&gt;SV_T),A228&gt;=SV_effNeg),0,-(INDEX(SV_cpfOA,R228)+INDEX(SV_cpfSA,R228)+INDEX(SV_cpfMA,R228))*INDEX(SV_cpfEmp,R228)*S228)</f>
        <v/>
      </c>
      <c r="X228" s="29">
        <f>IF(A228&gt;=SV_sIdx,0,T228)</f>
        <v/>
      </c>
      <c r="Y228" s="29">
        <f>IF(A228&gt;=SV_sIdx,0,U228)</f>
        <v/>
      </c>
      <c r="Z228" s="29">
        <f>IF(A228&gt;=SV_sIdx,MIN(V228,SV_maCap),V228)</f>
        <v/>
      </c>
      <c r="AA228" s="29">
        <f>IF(AND(SV_cpfOn,A228&gt;=SV_pIdx,A228&lt;=SV_T),12*SV_pay,0)</f>
        <v/>
      </c>
      <c r="AB228" s="29">
        <f>IF(A228&gt;SV_T,0,IF(SV_sp&gt;=0,IF(A228&lt;SV_sIdx,0,IF(A228=SV_sIdx,SV_R0,SV_lifeGrowth*AB227)),SV_lifeGrowth*AB227))</f>
        <v/>
      </c>
      <c r="AC228" s="29">
        <f>IF(A228&gt;SV_T,0,IF(AND(SV_sp&gt;=0,A228&lt;SV_sIdx),0,IF(AND(SV_sp&gt;=0,A228=SV_sIdx),SV_L0,SV_lifeGrowth*(AC227-AA228))))</f>
        <v/>
      </c>
      <c r="AD228" s="29">
        <f>X228+Y228+AB228+Z228+IF(AB228&lt;0,0,AC228)</f>
        <v/>
      </c>
      <c r="AE228" s="29">
        <f>AA228+W228</f>
        <v/>
      </c>
      <c r="AF228" s="29">
        <f>IF(OR(A228&gt;SV_T,A228&gt;=SV_loanYears),0,MAX(0,AF227*(1+loanRate)-SV_inst))</f>
        <v/>
      </c>
      <c r="AG228" s="29">
        <f>IF(A228&gt;SV_T,0,AG227*(1+SV_savRate)+H228+I228+J228+K228+L228+AE228)</f>
        <v/>
      </c>
      <c r="AH228" s="29">
        <f>IF(A228&gt;SV_T,0,MAX(0,O228+P228+Q228+AD228+AG228-AF228))</f>
        <v/>
      </c>
      <c r="AI228" s="29">
        <f>IF(A228&gt;SV_T,0,O228+P228+AG228-MAX(0,AF228-(Q228+AD228)))</f>
        <v/>
      </c>
      <c r="AJ228" s="29">
        <f>IF(OR(OR(A228&lt;1,A228&gt;SV_T),A228-1&gt;=SV_retPay),0,SV_retMth*12+IF(A228=1,SV_retLump,0))</f>
        <v/>
      </c>
      <c r="AK228" s="29">
        <f>IF(A228&gt;SV_T,0,(AK227+AJ228)*(1+investmentReturn))</f>
        <v/>
      </c>
      <c r="AL228" s="29">
        <f>IF(OR(A228&lt;1,A228&gt;SV_T),0,IF(A228-1&gt;=SV_EDUPay,0,SV_EDUMth*12+IF(A228=1,SV_EDULump,0))+IF(A228-1&gt;=SV_SAVPay,0,SV_SAVMth*12+IF(A228=1,SV_SAVLump,0))+IF(A228-1&gt;=SV_PRPPay,0,SV_PRPMth*12+IF(A228=1,SV_PRPLump,0)))</f>
        <v/>
      </c>
      <c r="AM228" s="29">
        <f>IF(A228&gt;SV_T,0,(AM227+AL228)*(1+investmentReturn))</f>
        <v/>
      </c>
      <c r="AN228" s="29">
        <f>IF(OR(OR(A228&lt;1,A228&gt;SV_T),A228-1&gt;=SV_protPay),0,SV_protPrem)</f>
        <v/>
      </c>
      <c r="AO228" s="29">
        <f>IF(OR(A228=0,A228&gt;=SV_T),0,ROUND(MAX(0,AK228),2)+ROUND(MAX(0,AM228),2))</f>
        <v/>
      </c>
      <c r="AP228" s="29">
        <f>IF(OR(A228&lt;1,A228&gt;SV_T),0,-(AJ228+AL228+AN228)+IF(A228=SV_T,ROUND(MAX(0,AK228),2)+ROUND(MAX(0,AM228),2),0))</f>
        <v/>
      </c>
      <c r="AQ228" s="29">
        <f>IF(A228&gt;SV_T,0,AQ227*(1+SV_savRate)+H228+I228+J228+K228+L228+AE228+AP228)</f>
        <v/>
      </c>
      <c r="AR228" s="29">
        <f>IF(A228&gt;SV_T,0,MAX(0,O228+P228+Q228+AD228+AQ228+AO228-AF228))</f>
        <v/>
      </c>
      <c r="AS228" s="29">
        <f>IF(A228&gt;SV_T,0,O228+P228+AQ228+AO228-MAX(0,AF228-(Q228+AD228)))</f>
        <v/>
      </c>
    </row>
    <row r="229">
      <c r="A229" s="61" t="n">
        <v>57</v>
      </c>
      <c r="B229" s="61">
        <f>SV_age+A229</f>
        <v/>
      </c>
      <c r="C229" s="61">
        <f>currentYear+A229</f>
        <v/>
      </c>
      <c r="D229" s="52">
        <f>A229&lt;=SV_T</f>
        <v/>
      </c>
      <c r="E229" s="60">
        <f>IF(AND(SV_inflOn,A229&gt;=SV_inflS,A229&lt;=SV_inflE),1+SV_inflRate,1+inflationRate)</f>
        <v/>
      </c>
      <c r="F229" s="60">
        <f>IF(A229&lt;=1,1,F228*E229)</f>
        <v/>
      </c>
      <c r="G229" s="60">
        <f>IF(AND(SV_incOn,A229&gt;=SV_incS,A229&lt;=SV_incE),1+SV_incImp,1)</f>
        <v/>
      </c>
      <c r="H229" s="29">
        <f>IF(OR(OR(A229&lt;1,A229&gt;SV_T),A229-1&gt;=SV_salCut,AND(SV_deaOn,A229&gt;=SV_deaM)),0,SV_sal0*(1+incomeGrowthRate)^(A229-1)*G229)</f>
        <v/>
      </c>
      <c r="I229" s="29">
        <f>IF(OR(A229&lt;1,A229&gt;SV_T),0,(-SV_exp0*F229-IF(A229&lt;=SV_loanYears,SV_inst,0)-IF(AND(SV_wdEDUAmt&gt;0,A229=SV_wdEDUYear),SV_wdEDUAmt,0)-IF(AND(SV_wdSAVAmt&gt;0,A229=SV_wdSAVYear),SV_wdSAVAmt,0)-IF(AND(SV_wdPRPAmt&gt;0,A229=SV_wdPRPYear),SV_wdPRPAmt,0))*IF(AND(SV_expOn,A229&gt;=SV_expS,A229&lt;=SV_expE),1+SV_expImp,1))</f>
        <v/>
      </c>
      <c r="J229" s="29">
        <f>IF(OR(A229&lt;1,A229&gt;SV_T),0,-F229*(IF(AND(SV_deaOn,A229=SV_deaM),SV_deaAmt,0)+IF(AND(SV_criOn,A229=SV_criM),SV_criAmt,0)+IF(AND(SV_tpdOn,A229=SV_tpdM),SV_tpdAmt,0)+IF(AND(SV_pacOn,A229=SV_pacM),SV_pacAmt,0)+IF(AND(SV_hosOn,A229=SV_hosM),SV_hosAmt,0)+IF(AND(SV_wedOn,A229=SV_wedM),SV_wedAmt,0)+IF(AND(SV_babOn,A229=SV_babM),SV_babAmt,0)+IF(AND(SV_ltcOn,A229&gt;=SV_ltcM,A229&lt;=SV_ltcE),SV_ltcAmt,0)))</f>
        <v/>
      </c>
      <c r="K229" s="29">
        <f>IF(OR(OR(A229&lt;1,A229&gt;SV_T),A229&gt;SV_loanYears),0,-SV_lifePremYr)</f>
        <v/>
      </c>
      <c r="L229" s="29">
        <f>IF(OR(A229&lt;1,A229&gt;SV_T),0,-SV_contrib)</f>
        <v/>
      </c>
      <c r="M229" s="60">
        <f>IF(AND(SV_crashOn,A229=SV_crashYr),SV_crashF,1)</f>
        <v/>
      </c>
      <c r="N229" s="60">
        <f>IF(AND(SV_ccyOn,A229=SV_ccyYr),SV_ccyF,1)</f>
        <v/>
      </c>
      <c r="O229" s="29">
        <f>IF(A229&gt;SV_T,0,O228*(1+interestRate)*M229*N229)</f>
        <v/>
      </c>
      <c r="P229" s="29">
        <f>IF(A229&gt;SV_T,0,(P228+SV_contrib)*(1+investmentReturn)*M229*N229)</f>
        <v/>
      </c>
      <c r="Q229" s="29">
        <f>IF(A229&gt;SV_T,0,Q228*(1+SV_propRate)*M229)</f>
        <v/>
      </c>
      <c r="R229" s="46">
        <f>MATCH(SV_age+A229-1,SV_cpfLower,1)</f>
        <v/>
      </c>
      <c r="S229" s="29">
        <f>IF(OR(OR(A229&lt;1,A229&gt;SV_T),NOT(SV_cpfOn),AND(SV_deaOn,A229&gt;=SV_deaM)),0,MIN(SV_sal0*(1+incomeGrowthRate)^(A229-1)*G229,SV_owCap))</f>
        <v/>
      </c>
      <c r="T229" s="29">
        <f>IF(A229&gt;SV_T,0,T228*(1+SV_oaRate)+IF(A229&gt;=SV_effStop,0,INDEX(SV_cpfOA,R229)*INDEX(SV_cpfTot,R229)*S229))</f>
        <v/>
      </c>
      <c r="U229" s="29">
        <f>IF(A229&gt;SV_T,0,U228*(1+SV_saRate)+IF(A229&gt;=SV_effStop,0,INDEX(SV_cpfSA,R229)*INDEX(SV_cpfTot,R229)*S229))</f>
        <v/>
      </c>
      <c r="V229" s="29">
        <f>IF(A229&gt;SV_T,0,V228*(1+SV_saRate)+IF(A229&gt;=SV_effStop,0,INDEX(SV_cpfMA,R229)*INDEX(SV_cpfTot,R229)*S229))</f>
        <v/>
      </c>
      <c r="W229" s="29">
        <f>IF(OR(OR(A229&lt;1,A229&gt;SV_T),A229&gt;=SV_effNeg),0,-(INDEX(SV_cpfOA,R229)+INDEX(SV_cpfSA,R229)+INDEX(SV_cpfMA,R229))*INDEX(SV_cpfEmp,R229)*S229)</f>
        <v/>
      </c>
      <c r="X229" s="29">
        <f>IF(A229&gt;=SV_sIdx,0,T229)</f>
        <v/>
      </c>
      <c r="Y229" s="29">
        <f>IF(A229&gt;=SV_sIdx,0,U229)</f>
        <v/>
      </c>
      <c r="Z229" s="29">
        <f>IF(A229&gt;=SV_sIdx,MIN(V229,SV_maCap),V229)</f>
        <v/>
      </c>
      <c r="AA229" s="29">
        <f>IF(AND(SV_cpfOn,A229&gt;=SV_pIdx,A229&lt;=SV_T),12*SV_pay,0)</f>
        <v/>
      </c>
      <c r="AB229" s="29">
        <f>IF(A229&gt;SV_T,0,IF(SV_sp&gt;=0,IF(A229&lt;SV_sIdx,0,IF(A229=SV_sIdx,SV_R0,SV_lifeGrowth*AB228)),SV_lifeGrowth*AB228))</f>
        <v/>
      </c>
      <c r="AC229" s="29">
        <f>IF(A229&gt;SV_T,0,IF(AND(SV_sp&gt;=0,A229&lt;SV_sIdx),0,IF(AND(SV_sp&gt;=0,A229=SV_sIdx),SV_L0,SV_lifeGrowth*(AC228-AA229))))</f>
        <v/>
      </c>
      <c r="AD229" s="29">
        <f>X229+Y229+AB229+Z229+IF(AB229&lt;0,0,AC229)</f>
        <v/>
      </c>
      <c r="AE229" s="29">
        <f>AA229+W229</f>
        <v/>
      </c>
      <c r="AF229" s="29">
        <f>IF(OR(A229&gt;SV_T,A229&gt;=SV_loanYears),0,MAX(0,AF228*(1+loanRate)-SV_inst))</f>
        <v/>
      </c>
      <c r="AG229" s="29">
        <f>IF(A229&gt;SV_T,0,AG228*(1+SV_savRate)+H229+I229+J229+K229+L229+AE229)</f>
        <v/>
      </c>
      <c r="AH229" s="29">
        <f>IF(A229&gt;SV_T,0,MAX(0,O229+P229+Q229+AD229+AG229-AF229))</f>
        <v/>
      </c>
      <c r="AI229" s="29">
        <f>IF(A229&gt;SV_T,0,O229+P229+AG229-MAX(0,AF229-(Q229+AD229)))</f>
        <v/>
      </c>
      <c r="AJ229" s="29">
        <f>IF(OR(OR(A229&lt;1,A229&gt;SV_T),A229-1&gt;=SV_retPay),0,SV_retMth*12+IF(A229=1,SV_retLump,0))</f>
        <v/>
      </c>
      <c r="AK229" s="29">
        <f>IF(A229&gt;SV_T,0,(AK228+AJ229)*(1+investmentReturn))</f>
        <v/>
      </c>
      <c r="AL229" s="29">
        <f>IF(OR(A229&lt;1,A229&gt;SV_T),0,IF(A229-1&gt;=SV_EDUPay,0,SV_EDUMth*12+IF(A229=1,SV_EDULump,0))+IF(A229-1&gt;=SV_SAVPay,0,SV_SAVMth*12+IF(A229=1,SV_SAVLump,0))+IF(A229-1&gt;=SV_PRPPay,0,SV_PRPMth*12+IF(A229=1,SV_PRPLump,0)))</f>
        <v/>
      </c>
      <c r="AM229" s="29">
        <f>IF(A229&gt;SV_T,0,(AM228+AL229)*(1+investmentReturn))</f>
        <v/>
      </c>
      <c r="AN229" s="29">
        <f>IF(OR(OR(A229&lt;1,A229&gt;SV_T),A229-1&gt;=SV_protPay),0,SV_protPrem)</f>
        <v/>
      </c>
      <c r="AO229" s="29">
        <f>IF(OR(A229=0,A229&gt;=SV_T),0,ROUND(MAX(0,AK229),2)+ROUND(MAX(0,AM229),2))</f>
        <v/>
      </c>
      <c r="AP229" s="29">
        <f>IF(OR(A229&lt;1,A229&gt;SV_T),0,-(AJ229+AL229+AN229)+IF(A229=SV_T,ROUND(MAX(0,AK229),2)+ROUND(MAX(0,AM229),2),0))</f>
        <v/>
      </c>
      <c r="AQ229" s="29">
        <f>IF(A229&gt;SV_T,0,AQ228*(1+SV_savRate)+H229+I229+J229+K229+L229+AE229+AP229)</f>
        <v/>
      </c>
      <c r="AR229" s="29">
        <f>IF(A229&gt;SV_T,0,MAX(0,O229+P229+Q229+AD229+AQ229+AO229-AF229))</f>
        <v/>
      </c>
      <c r="AS229" s="29">
        <f>IF(A229&gt;SV_T,0,O229+P229+AQ229+AO229-MAX(0,AF229-(Q229+AD229)))</f>
        <v/>
      </c>
    </row>
    <row r="230">
      <c r="A230" s="61" t="n">
        <v>58</v>
      </c>
      <c r="B230" s="61">
        <f>SV_age+A230</f>
        <v/>
      </c>
      <c r="C230" s="61">
        <f>currentYear+A230</f>
        <v/>
      </c>
      <c r="D230" s="52">
        <f>A230&lt;=SV_T</f>
        <v/>
      </c>
      <c r="E230" s="60">
        <f>IF(AND(SV_inflOn,A230&gt;=SV_inflS,A230&lt;=SV_inflE),1+SV_inflRate,1+inflationRate)</f>
        <v/>
      </c>
      <c r="F230" s="60">
        <f>IF(A230&lt;=1,1,F229*E230)</f>
        <v/>
      </c>
      <c r="G230" s="60">
        <f>IF(AND(SV_incOn,A230&gt;=SV_incS,A230&lt;=SV_incE),1+SV_incImp,1)</f>
        <v/>
      </c>
      <c r="H230" s="29">
        <f>IF(OR(OR(A230&lt;1,A230&gt;SV_T),A230-1&gt;=SV_salCut,AND(SV_deaOn,A230&gt;=SV_deaM)),0,SV_sal0*(1+incomeGrowthRate)^(A230-1)*G230)</f>
        <v/>
      </c>
      <c r="I230" s="29">
        <f>IF(OR(A230&lt;1,A230&gt;SV_T),0,(-SV_exp0*F230-IF(A230&lt;=SV_loanYears,SV_inst,0)-IF(AND(SV_wdEDUAmt&gt;0,A230=SV_wdEDUYear),SV_wdEDUAmt,0)-IF(AND(SV_wdSAVAmt&gt;0,A230=SV_wdSAVYear),SV_wdSAVAmt,0)-IF(AND(SV_wdPRPAmt&gt;0,A230=SV_wdPRPYear),SV_wdPRPAmt,0))*IF(AND(SV_expOn,A230&gt;=SV_expS,A230&lt;=SV_expE),1+SV_expImp,1))</f>
        <v/>
      </c>
      <c r="J230" s="29">
        <f>IF(OR(A230&lt;1,A230&gt;SV_T),0,-F230*(IF(AND(SV_deaOn,A230=SV_deaM),SV_deaAmt,0)+IF(AND(SV_criOn,A230=SV_criM),SV_criAmt,0)+IF(AND(SV_tpdOn,A230=SV_tpdM),SV_tpdAmt,0)+IF(AND(SV_pacOn,A230=SV_pacM),SV_pacAmt,0)+IF(AND(SV_hosOn,A230=SV_hosM),SV_hosAmt,0)+IF(AND(SV_wedOn,A230=SV_wedM),SV_wedAmt,0)+IF(AND(SV_babOn,A230=SV_babM),SV_babAmt,0)+IF(AND(SV_ltcOn,A230&gt;=SV_ltcM,A230&lt;=SV_ltcE),SV_ltcAmt,0)))</f>
        <v/>
      </c>
      <c r="K230" s="29">
        <f>IF(OR(OR(A230&lt;1,A230&gt;SV_T),A230&gt;SV_loanYears),0,-SV_lifePremYr)</f>
        <v/>
      </c>
      <c r="L230" s="29">
        <f>IF(OR(A230&lt;1,A230&gt;SV_T),0,-SV_contrib)</f>
        <v/>
      </c>
      <c r="M230" s="60">
        <f>IF(AND(SV_crashOn,A230=SV_crashYr),SV_crashF,1)</f>
        <v/>
      </c>
      <c r="N230" s="60">
        <f>IF(AND(SV_ccyOn,A230=SV_ccyYr),SV_ccyF,1)</f>
        <v/>
      </c>
      <c r="O230" s="29">
        <f>IF(A230&gt;SV_T,0,O229*(1+interestRate)*M230*N230)</f>
        <v/>
      </c>
      <c r="P230" s="29">
        <f>IF(A230&gt;SV_T,0,(P229+SV_contrib)*(1+investmentReturn)*M230*N230)</f>
        <v/>
      </c>
      <c r="Q230" s="29">
        <f>IF(A230&gt;SV_T,0,Q229*(1+SV_propRate)*M230)</f>
        <v/>
      </c>
      <c r="R230" s="46">
        <f>MATCH(SV_age+A230-1,SV_cpfLower,1)</f>
        <v/>
      </c>
      <c r="S230" s="29">
        <f>IF(OR(OR(A230&lt;1,A230&gt;SV_T),NOT(SV_cpfOn),AND(SV_deaOn,A230&gt;=SV_deaM)),0,MIN(SV_sal0*(1+incomeGrowthRate)^(A230-1)*G230,SV_owCap))</f>
        <v/>
      </c>
      <c r="T230" s="29">
        <f>IF(A230&gt;SV_T,0,T229*(1+SV_oaRate)+IF(A230&gt;=SV_effStop,0,INDEX(SV_cpfOA,R230)*INDEX(SV_cpfTot,R230)*S230))</f>
        <v/>
      </c>
      <c r="U230" s="29">
        <f>IF(A230&gt;SV_T,0,U229*(1+SV_saRate)+IF(A230&gt;=SV_effStop,0,INDEX(SV_cpfSA,R230)*INDEX(SV_cpfTot,R230)*S230))</f>
        <v/>
      </c>
      <c r="V230" s="29">
        <f>IF(A230&gt;SV_T,0,V229*(1+SV_saRate)+IF(A230&gt;=SV_effStop,0,INDEX(SV_cpfMA,R230)*INDEX(SV_cpfTot,R230)*S230))</f>
        <v/>
      </c>
      <c r="W230" s="29">
        <f>IF(OR(OR(A230&lt;1,A230&gt;SV_T),A230&gt;=SV_effNeg),0,-(INDEX(SV_cpfOA,R230)+INDEX(SV_cpfSA,R230)+INDEX(SV_cpfMA,R230))*INDEX(SV_cpfEmp,R230)*S230)</f>
        <v/>
      </c>
      <c r="X230" s="29">
        <f>IF(A230&gt;=SV_sIdx,0,T230)</f>
        <v/>
      </c>
      <c r="Y230" s="29">
        <f>IF(A230&gt;=SV_sIdx,0,U230)</f>
        <v/>
      </c>
      <c r="Z230" s="29">
        <f>IF(A230&gt;=SV_sIdx,MIN(V230,SV_maCap),V230)</f>
        <v/>
      </c>
      <c r="AA230" s="29">
        <f>IF(AND(SV_cpfOn,A230&gt;=SV_pIdx,A230&lt;=SV_T),12*SV_pay,0)</f>
        <v/>
      </c>
      <c r="AB230" s="29">
        <f>IF(A230&gt;SV_T,0,IF(SV_sp&gt;=0,IF(A230&lt;SV_sIdx,0,IF(A230=SV_sIdx,SV_R0,SV_lifeGrowth*AB229)),SV_lifeGrowth*AB229))</f>
        <v/>
      </c>
      <c r="AC230" s="29">
        <f>IF(A230&gt;SV_T,0,IF(AND(SV_sp&gt;=0,A230&lt;SV_sIdx),0,IF(AND(SV_sp&gt;=0,A230=SV_sIdx),SV_L0,SV_lifeGrowth*(AC229-AA230))))</f>
        <v/>
      </c>
      <c r="AD230" s="29">
        <f>X230+Y230+AB230+Z230+IF(AB230&lt;0,0,AC230)</f>
        <v/>
      </c>
      <c r="AE230" s="29">
        <f>AA230+W230</f>
        <v/>
      </c>
      <c r="AF230" s="29">
        <f>IF(OR(A230&gt;SV_T,A230&gt;=SV_loanYears),0,MAX(0,AF229*(1+loanRate)-SV_inst))</f>
        <v/>
      </c>
      <c r="AG230" s="29">
        <f>IF(A230&gt;SV_T,0,AG229*(1+SV_savRate)+H230+I230+J230+K230+L230+AE230)</f>
        <v/>
      </c>
      <c r="AH230" s="29">
        <f>IF(A230&gt;SV_T,0,MAX(0,O230+P230+Q230+AD230+AG230-AF230))</f>
        <v/>
      </c>
      <c r="AI230" s="29">
        <f>IF(A230&gt;SV_T,0,O230+P230+AG230-MAX(0,AF230-(Q230+AD230)))</f>
        <v/>
      </c>
      <c r="AJ230" s="29">
        <f>IF(OR(OR(A230&lt;1,A230&gt;SV_T),A230-1&gt;=SV_retPay),0,SV_retMth*12+IF(A230=1,SV_retLump,0))</f>
        <v/>
      </c>
      <c r="AK230" s="29">
        <f>IF(A230&gt;SV_T,0,(AK229+AJ230)*(1+investmentReturn))</f>
        <v/>
      </c>
      <c r="AL230" s="29">
        <f>IF(OR(A230&lt;1,A230&gt;SV_T),0,IF(A230-1&gt;=SV_EDUPay,0,SV_EDUMth*12+IF(A230=1,SV_EDULump,0))+IF(A230-1&gt;=SV_SAVPay,0,SV_SAVMth*12+IF(A230=1,SV_SAVLump,0))+IF(A230-1&gt;=SV_PRPPay,0,SV_PRPMth*12+IF(A230=1,SV_PRPLump,0)))</f>
        <v/>
      </c>
      <c r="AM230" s="29">
        <f>IF(A230&gt;SV_T,0,(AM229+AL230)*(1+investmentReturn))</f>
        <v/>
      </c>
      <c r="AN230" s="29">
        <f>IF(OR(OR(A230&lt;1,A230&gt;SV_T),A230-1&gt;=SV_protPay),0,SV_protPrem)</f>
        <v/>
      </c>
      <c r="AO230" s="29">
        <f>IF(OR(A230=0,A230&gt;=SV_T),0,ROUND(MAX(0,AK230),2)+ROUND(MAX(0,AM230),2))</f>
        <v/>
      </c>
      <c r="AP230" s="29">
        <f>IF(OR(A230&lt;1,A230&gt;SV_T),0,-(AJ230+AL230+AN230)+IF(A230=SV_T,ROUND(MAX(0,AK230),2)+ROUND(MAX(0,AM230),2),0))</f>
        <v/>
      </c>
      <c r="AQ230" s="29">
        <f>IF(A230&gt;SV_T,0,AQ229*(1+SV_savRate)+H230+I230+J230+K230+L230+AE230+AP230)</f>
        <v/>
      </c>
      <c r="AR230" s="29">
        <f>IF(A230&gt;SV_T,0,MAX(0,O230+P230+Q230+AD230+AQ230+AO230-AF230))</f>
        <v/>
      </c>
      <c r="AS230" s="29">
        <f>IF(A230&gt;SV_T,0,O230+P230+AQ230+AO230-MAX(0,AF230-(Q230+AD230)))</f>
        <v/>
      </c>
    </row>
    <row r="231">
      <c r="A231" s="61" t="n">
        <v>59</v>
      </c>
      <c r="B231" s="61">
        <f>SV_age+A231</f>
        <v/>
      </c>
      <c r="C231" s="61">
        <f>currentYear+A231</f>
        <v/>
      </c>
      <c r="D231" s="52">
        <f>A231&lt;=SV_T</f>
        <v/>
      </c>
      <c r="E231" s="60">
        <f>IF(AND(SV_inflOn,A231&gt;=SV_inflS,A231&lt;=SV_inflE),1+SV_inflRate,1+inflationRate)</f>
        <v/>
      </c>
      <c r="F231" s="60">
        <f>IF(A231&lt;=1,1,F230*E231)</f>
        <v/>
      </c>
      <c r="G231" s="60">
        <f>IF(AND(SV_incOn,A231&gt;=SV_incS,A231&lt;=SV_incE),1+SV_incImp,1)</f>
        <v/>
      </c>
      <c r="H231" s="29">
        <f>IF(OR(OR(A231&lt;1,A231&gt;SV_T),A231-1&gt;=SV_salCut,AND(SV_deaOn,A231&gt;=SV_deaM)),0,SV_sal0*(1+incomeGrowthRate)^(A231-1)*G231)</f>
        <v/>
      </c>
      <c r="I231" s="29">
        <f>IF(OR(A231&lt;1,A231&gt;SV_T),0,(-SV_exp0*F231-IF(A231&lt;=SV_loanYears,SV_inst,0)-IF(AND(SV_wdEDUAmt&gt;0,A231=SV_wdEDUYear),SV_wdEDUAmt,0)-IF(AND(SV_wdSAVAmt&gt;0,A231=SV_wdSAVYear),SV_wdSAVAmt,0)-IF(AND(SV_wdPRPAmt&gt;0,A231=SV_wdPRPYear),SV_wdPRPAmt,0))*IF(AND(SV_expOn,A231&gt;=SV_expS,A231&lt;=SV_expE),1+SV_expImp,1))</f>
        <v/>
      </c>
      <c r="J231" s="29">
        <f>IF(OR(A231&lt;1,A231&gt;SV_T),0,-F231*(IF(AND(SV_deaOn,A231=SV_deaM),SV_deaAmt,0)+IF(AND(SV_criOn,A231=SV_criM),SV_criAmt,0)+IF(AND(SV_tpdOn,A231=SV_tpdM),SV_tpdAmt,0)+IF(AND(SV_pacOn,A231=SV_pacM),SV_pacAmt,0)+IF(AND(SV_hosOn,A231=SV_hosM),SV_hosAmt,0)+IF(AND(SV_wedOn,A231=SV_wedM),SV_wedAmt,0)+IF(AND(SV_babOn,A231=SV_babM),SV_babAmt,0)+IF(AND(SV_ltcOn,A231&gt;=SV_ltcM,A231&lt;=SV_ltcE),SV_ltcAmt,0)))</f>
        <v/>
      </c>
      <c r="K231" s="29">
        <f>IF(OR(OR(A231&lt;1,A231&gt;SV_T),A231&gt;SV_loanYears),0,-SV_lifePremYr)</f>
        <v/>
      </c>
      <c r="L231" s="29">
        <f>IF(OR(A231&lt;1,A231&gt;SV_T),0,-SV_contrib)</f>
        <v/>
      </c>
      <c r="M231" s="60">
        <f>IF(AND(SV_crashOn,A231=SV_crashYr),SV_crashF,1)</f>
        <v/>
      </c>
      <c r="N231" s="60">
        <f>IF(AND(SV_ccyOn,A231=SV_ccyYr),SV_ccyF,1)</f>
        <v/>
      </c>
      <c r="O231" s="29">
        <f>IF(A231&gt;SV_T,0,O230*(1+interestRate)*M231*N231)</f>
        <v/>
      </c>
      <c r="P231" s="29">
        <f>IF(A231&gt;SV_T,0,(P230+SV_contrib)*(1+investmentReturn)*M231*N231)</f>
        <v/>
      </c>
      <c r="Q231" s="29">
        <f>IF(A231&gt;SV_T,0,Q230*(1+SV_propRate)*M231)</f>
        <v/>
      </c>
      <c r="R231" s="46">
        <f>MATCH(SV_age+A231-1,SV_cpfLower,1)</f>
        <v/>
      </c>
      <c r="S231" s="29">
        <f>IF(OR(OR(A231&lt;1,A231&gt;SV_T),NOT(SV_cpfOn),AND(SV_deaOn,A231&gt;=SV_deaM)),0,MIN(SV_sal0*(1+incomeGrowthRate)^(A231-1)*G231,SV_owCap))</f>
        <v/>
      </c>
      <c r="T231" s="29">
        <f>IF(A231&gt;SV_T,0,T230*(1+SV_oaRate)+IF(A231&gt;=SV_effStop,0,INDEX(SV_cpfOA,R231)*INDEX(SV_cpfTot,R231)*S231))</f>
        <v/>
      </c>
      <c r="U231" s="29">
        <f>IF(A231&gt;SV_T,0,U230*(1+SV_saRate)+IF(A231&gt;=SV_effStop,0,INDEX(SV_cpfSA,R231)*INDEX(SV_cpfTot,R231)*S231))</f>
        <v/>
      </c>
      <c r="V231" s="29">
        <f>IF(A231&gt;SV_T,0,V230*(1+SV_saRate)+IF(A231&gt;=SV_effStop,0,INDEX(SV_cpfMA,R231)*INDEX(SV_cpfTot,R231)*S231))</f>
        <v/>
      </c>
      <c r="W231" s="29">
        <f>IF(OR(OR(A231&lt;1,A231&gt;SV_T),A231&gt;=SV_effNeg),0,-(INDEX(SV_cpfOA,R231)+INDEX(SV_cpfSA,R231)+INDEX(SV_cpfMA,R231))*INDEX(SV_cpfEmp,R231)*S231)</f>
        <v/>
      </c>
      <c r="X231" s="29">
        <f>IF(A231&gt;=SV_sIdx,0,T231)</f>
        <v/>
      </c>
      <c r="Y231" s="29">
        <f>IF(A231&gt;=SV_sIdx,0,U231)</f>
        <v/>
      </c>
      <c r="Z231" s="29">
        <f>IF(A231&gt;=SV_sIdx,MIN(V231,SV_maCap),V231)</f>
        <v/>
      </c>
      <c r="AA231" s="29">
        <f>IF(AND(SV_cpfOn,A231&gt;=SV_pIdx,A231&lt;=SV_T),12*SV_pay,0)</f>
        <v/>
      </c>
      <c r="AB231" s="29">
        <f>IF(A231&gt;SV_T,0,IF(SV_sp&gt;=0,IF(A231&lt;SV_sIdx,0,IF(A231=SV_sIdx,SV_R0,SV_lifeGrowth*AB230)),SV_lifeGrowth*AB230))</f>
        <v/>
      </c>
      <c r="AC231" s="29">
        <f>IF(A231&gt;SV_T,0,IF(AND(SV_sp&gt;=0,A231&lt;SV_sIdx),0,IF(AND(SV_sp&gt;=0,A231=SV_sIdx),SV_L0,SV_lifeGrowth*(AC230-AA231))))</f>
        <v/>
      </c>
      <c r="AD231" s="29">
        <f>X231+Y231+AB231+Z231+IF(AB231&lt;0,0,AC231)</f>
        <v/>
      </c>
      <c r="AE231" s="29">
        <f>AA231+W231</f>
        <v/>
      </c>
      <c r="AF231" s="29">
        <f>IF(OR(A231&gt;SV_T,A231&gt;=SV_loanYears),0,MAX(0,AF230*(1+loanRate)-SV_inst))</f>
        <v/>
      </c>
      <c r="AG231" s="29">
        <f>IF(A231&gt;SV_T,0,AG230*(1+SV_savRate)+H231+I231+J231+K231+L231+AE231)</f>
        <v/>
      </c>
      <c r="AH231" s="29">
        <f>IF(A231&gt;SV_T,0,MAX(0,O231+P231+Q231+AD231+AG231-AF231))</f>
        <v/>
      </c>
      <c r="AI231" s="29">
        <f>IF(A231&gt;SV_T,0,O231+P231+AG231-MAX(0,AF231-(Q231+AD231)))</f>
        <v/>
      </c>
      <c r="AJ231" s="29">
        <f>IF(OR(OR(A231&lt;1,A231&gt;SV_T),A231-1&gt;=SV_retPay),0,SV_retMth*12+IF(A231=1,SV_retLump,0))</f>
        <v/>
      </c>
      <c r="AK231" s="29">
        <f>IF(A231&gt;SV_T,0,(AK230+AJ231)*(1+investmentReturn))</f>
        <v/>
      </c>
      <c r="AL231" s="29">
        <f>IF(OR(A231&lt;1,A231&gt;SV_T),0,IF(A231-1&gt;=SV_EDUPay,0,SV_EDUMth*12+IF(A231=1,SV_EDULump,0))+IF(A231-1&gt;=SV_SAVPay,0,SV_SAVMth*12+IF(A231=1,SV_SAVLump,0))+IF(A231-1&gt;=SV_PRPPay,0,SV_PRPMth*12+IF(A231=1,SV_PRPLump,0)))</f>
        <v/>
      </c>
      <c r="AM231" s="29">
        <f>IF(A231&gt;SV_T,0,(AM230+AL231)*(1+investmentReturn))</f>
        <v/>
      </c>
      <c r="AN231" s="29">
        <f>IF(OR(OR(A231&lt;1,A231&gt;SV_T),A231-1&gt;=SV_protPay),0,SV_protPrem)</f>
        <v/>
      </c>
      <c r="AO231" s="29">
        <f>IF(OR(A231=0,A231&gt;=SV_T),0,ROUND(MAX(0,AK231),2)+ROUND(MAX(0,AM231),2))</f>
        <v/>
      </c>
      <c r="AP231" s="29">
        <f>IF(OR(A231&lt;1,A231&gt;SV_T),0,-(AJ231+AL231+AN231)+IF(A231=SV_T,ROUND(MAX(0,AK231),2)+ROUND(MAX(0,AM231),2),0))</f>
        <v/>
      </c>
      <c r="AQ231" s="29">
        <f>IF(A231&gt;SV_T,0,AQ230*(1+SV_savRate)+H231+I231+J231+K231+L231+AE231+AP231)</f>
        <v/>
      </c>
      <c r="AR231" s="29">
        <f>IF(A231&gt;SV_T,0,MAX(0,O231+P231+Q231+AD231+AQ231+AO231-AF231))</f>
        <v/>
      </c>
      <c r="AS231" s="29">
        <f>IF(A231&gt;SV_T,0,O231+P231+AQ231+AO231-MAX(0,AF231-(Q231+AD231)))</f>
        <v/>
      </c>
    </row>
    <row r="232">
      <c r="A232" s="61" t="n">
        <v>60</v>
      </c>
      <c r="B232" s="61">
        <f>SV_age+A232</f>
        <v/>
      </c>
      <c r="C232" s="61">
        <f>currentYear+A232</f>
        <v/>
      </c>
      <c r="D232" s="52">
        <f>A232&lt;=SV_T</f>
        <v/>
      </c>
      <c r="E232" s="60">
        <f>IF(AND(SV_inflOn,A232&gt;=SV_inflS,A232&lt;=SV_inflE),1+SV_inflRate,1+inflationRate)</f>
        <v/>
      </c>
      <c r="F232" s="60">
        <f>IF(A232&lt;=1,1,F231*E232)</f>
        <v/>
      </c>
      <c r="G232" s="60">
        <f>IF(AND(SV_incOn,A232&gt;=SV_incS,A232&lt;=SV_incE),1+SV_incImp,1)</f>
        <v/>
      </c>
      <c r="H232" s="29">
        <f>IF(OR(OR(A232&lt;1,A232&gt;SV_T),A232-1&gt;=SV_salCut,AND(SV_deaOn,A232&gt;=SV_deaM)),0,SV_sal0*(1+incomeGrowthRate)^(A232-1)*G232)</f>
        <v/>
      </c>
      <c r="I232" s="29">
        <f>IF(OR(A232&lt;1,A232&gt;SV_T),0,(-SV_exp0*F232-IF(A232&lt;=SV_loanYears,SV_inst,0)-IF(AND(SV_wdEDUAmt&gt;0,A232=SV_wdEDUYear),SV_wdEDUAmt,0)-IF(AND(SV_wdSAVAmt&gt;0,A232=SV_wdSAVYear),SV_wdSAVAmt,0)-IF(AND(SV_wdPRPAmt&gt;0,A232=SV_wdPRPYear),SV_wdPRPAmt,0))*IF(AND(SV_expOn,A232&gt;=SV_expS,A232&lt;=SV_expE),1+SV_expImp,1))</f>
        <v/>
      </c>
      <c r="J232" s="29">
        <f>IF(OR(A232&lt;1,A232&gt;SV_T),0,-F232*(IF(AND(SV_deaOn,A232=SV_deaM),SV_deaAmt,0)+IF(AND(SV_criOn,A232=SV_criM),SV_criAmt,0)+IF(AND(SV_tpdOn,A232=SV_tpdM),SV_tpdAmt,0)+IF(AND(SV_pacOn,A232=SV_pacM),SV_pacAmt,0)+IF(AND(SV_hosOn,A232=SV_hosM),SV_hosAmt,0)+IF(AND(SV_wedOn,A232=SV_wedM),SV_wedAmt,0)+IF(AND(SV_babOn,A232=SV_babM),SV_babAmt,0)+IF(AND(SV_ltcOn,A232&gt;=SV_ltcM,A232&lt;=SV_ltcE),SV_ltcAmt,0)))</f>
        <v/>
      </c>
      <c r="K232" s="29">
        <f>IF(OR(OR(A232&lt;1,A232&gt;SV_T),A232&gt;SV_loanYears),0,-SV_lifePremYr)</f>
        <v/>
      </c>
      <c r="L232" s="29">
        <f>IF(OR(A232&lt;1,A232&gt;SV_T),0,-SV_contrib)</f>
        <v/>
      </c>
      <c r="M232" s="60">
        <f>IF(AND(SV_crashOn,A232=SV_crashYr),SV_crashF,1)</f>
        <v/>
      </c>
      <c r="N232" s="60">
        <f>IF(AND(SV_ccyOn,A232=SV_ccyYr),SV_ccyF,1)</f>
        <v/>
      </c>
      <c r="O232" s="29">
        <f>IF(A232&gt;SV_T,0,O231*(1+interestRate)*M232*N232)</f>
        <v/>
      </c>
      <c r="P232" s="29">
        <f>IF(A232&gt;SV_T,0,(P231+SV_contrib)*(1+investmentReturn)*M232*N232)</f>
        <v/>
      </c>
      <c r="Q232" s="29">
        <f>IF(A232&gt;SV_T,0,Q231*(1+SV_propRate)*M232)</f>
        <v/>
      </c>
      <c r="R232" s="46">
        <f>MATCH(SV_age+A232-1,SV_cpfLower,1)</f>
        <v/>
      </c>
      <c r="S232" s="29">
        <f>IF(OR(OR(A232&lt;1,A232&gt;SV_T),NOT(SV_cpfOn),AND(SV_deaOn,A232&gt;=SV_deaM)),0,MIN(SV_sal0*(1+incomeGrowthRate)^(A232-1)*G232,SV_owCap))</f>
        <v/>
      </c>
      <c r="T232" s="29">
        <f>IF(A232&gt;SV_T,0,T231*(1+SV_oaRate)+IF(A232&gt;=SV_effStop,0,INDEX(SV_cpfOA,R232)*INDEX(SV_cpfTot,R232)*S232))</f>
        <v/>
      </c>
      <c r="U232" s="29">
        <f>IF(A232&gt;SV_T,0,U231*(1+SV_saRate)+IF(A232&gt;=SV_effStop,0,INDEX(SV_cpfSA,R232)*INDEX(SV_cpfTot,R232)*S232))</f>
        <v/>
      </c>
      <c r="V232" s="29">
        <f>IF(A232&gt;SV_T,0,V231*(1+SV_saRate)+IF(A232&gt;=SV_effStop,0,INDEX(SV_cpfMA,R232)*INDEX(SV_cpfTot,R232)*S232))</f>
        <v/>
      </c>
      <c r="W232" s="29">
        <f>IF(OR(OR(A232&lt;1,A232&gt;SV_T),A232&gt;=SV_effNeg),0,-(INDEX(SV_cpfOA,R232)+INDEX(SV_cpfSA,R232)+INDEX(SV_cpfMA,R232))*INDEX(SV_cpfEmp,R232)*S232)</f>
        <v/>
      </c>
      <c r="X232" s="29">
        <f>IF(A232&gt;=SV_sIdx,0,T232)</f>
        <v/>
      </c>
      <c r="Y232" s="29">
        <f>IF(A232&gt;=SV_sIdx,0,U232)</f>
        <v/>
      </c>
      <c r="Z232" s="29">
        <f>IF(A232&gt;=SV_sIdx,MIN(V232,SV_maCap),V232)</f>
        <v/>
      </c>
      <c r="AA232" s="29">
        <f>IF(AND(SV_cpfOn,A232&gt;=SV_pIdx,A232&lt;=SV_T),12*SV_pay,0)</f>
        <v/>
      </c>
      <c r="AB232" s="29">
        <f>IF(A232&gt;SV_T,0,IF(SV_sp&gt;=0,IF(A232&lt;SV_sIdx,0,IF(A232=SV_sIdx,SV_R0,SV_lifeGrowth*AB231)),SV_lifeGrowth*AB231))</f>
        <v/>
      </c>
      <c r="AC232" s="29">
        <f>IF(A232&gt;SV_T,0,IF(AND(SV_sp&gt;=0,A232&lt;SV_sIdx),0,IF(AND(SV_sp&gt;=0,A232=SV_sIdx),SV_L0,SV_lifeGrowth*(AC231-AA232))))</f>
        <v/>
      </c>
      <c r="AD232" s="29">
        <f>X232+Y232+AB232+Z232+IF(AB232&lt;0,0,AC232)</f>
        <v/>
      </c>
      <c r="AE232" s="29">
        <f>AA232+W232</f>
        <v/>
      </c>
      <c r="AF232" s="29">
        <f>IF(OR(A232&gt;SV_T,A232&gt;=SV_loanYears),0,MAX(0,AF231*(1+loanRate)-SV_inst))</f>
        <v/>
      </c>
      <c r="AG232" s="29">
        <f>IF(A232&gt;SV_T,0,AG231*(1+SV_savRate)+H232+I232+J232+K232+L232+AE232)</f>
        <v/>
      </c>
      <c r="AH232" s="29">
        <f>IF(A232&gt;SV_T,0,MAX(0,O232+P232+Q232+AD232+AG232-AF232))</f>
        <v/>
      </c>
      <c r="AI232" s="29">
        <f>IF(A232&gt;SV_T,0,O232+P232+AG232-MAX(0,AF232-(Q232+AD232)))</f>
        <v/>
      </c>
      <c r="AJ232" s="29">
        <f>IF(OR(OR(A232&lt;1,A232&gt;SV_T),A232-1&gt;=SV_retPay),0,SV_retMth*12+IF(A232=1,SV_retLump,0))</f>
        <v/>
      </c>
      <c r="AK232" s="29">
        <f>IF(A232&gt;SV_T,0,(AK231+AJ232)*(1+investmentReturn))</f>
        <v/>
      </c>
      <c r="AL232" s="29">
        <f>IF(OR(A232&lt;1,A232&gt;SV_T),0,IF(A232-1&gt;=SV_EDUPay,0,SV_EDUMth*12+IF(A232=1,SV_EDULump,0))+IF(A232-1&gt;=SV_SAVPay,0,SV_SAVMth*12+IF(A232=1,SV_SAVLump,0))+IF(A232-1&gt;=SV_PRPPay,0,SV_PRPMth*12+IF(A232=1,SV_PRPLump,0)))</f>
        <v/>
      </c>
      <c r="AM232" s="29">
        <f>IF(A232&gt;SV_T,0,(AM231+AL232)*(1+investmentReturn))</f>
        <v/>
      </c>
      <c r="AN232" s="29">
        <f>IF(OR(OR(A232&lt;1,A232&gt;SV_T),A232-1&gt;=SV_protPay),0,SV_protPrem)</f>
        <v/>
      </c>
      <c r="AO232" s="29">
        <f>IF(OR(A232=0,A232&gt;=SV_T),0,ROUND(MAX(0,AK232),2)+ROUND(MAX(0,AM232),2))</f>
        <v/>
      </c>
      <c r="AP232" s="29">
        <f>IF(OR(A232&lt;1,A232&gt;SV_T),0,-(AJ232+AL232+AN232)+IF(A232=SV_T,ROUND(MAX(0,AK232),2)+ROUND(MAX(0,AM232),2),0))</f>
        <v/>
      </c>
      <c r="AQ232" s="29">
        <f>IF(A232&gt;SV_T,0,AQ231*(1+SV_savRate)+H232+I232+J232+K232+L232+AE232+AP232)</f>
        <v/>
      </c>
      <c r="AR232" s="29">
        <f>IF(A232&gt;SV_T,0,MAX(0,O232+P232+Q232+AD232+AQ232+AO232-AF232))</f>
        <v/>
      </c>
      <c r="AS232" s="29">
        <f>IF(A232&gt;SV_T,0,O232+P232+AQ232+AO232-MAX(0,AF232-(Q232+AD232)))</f>
        <v/>
      </c>
    </row>
    <row r="233">
      <c r="A233" s="61" t="n">
        <v>61</v>
      </c>
      <c r="B233" s="61">
        <f>SV_age+A233</f>
        <v/>
      </c>
      <c r="C233" s="61">
        <f>currentYear+A233</f>
        <v/>
      </c>
      <c r="D233" s="52">
        <f>A233&lt;=SV_T</f>
        <v/>
      </c>
      <c r="E233" s="60">
        <f>IF(AND(SV_inflOn,A233&gt;=SV_inflS,A233&lt;=SV_inflE),1+SV_inflRate,1+inflationRate)</f>
        <v/>
      </c>
      <c r="F233" s="60">
        <f>IF(A233&lt;=1,1,F232*E233)</f>
        <v/>
      </c>
      <c r="G233" s="60">
        <f>IF(AND(SV_incOn,A233&gt;=SV_incS,A233&lt;=SV_incE),1+SV_incImp,1)</f>
        <v/>
      </c>
      <c r="H233" s="29">
        <f>IF(OR(OR(A233&lt;1,A233&gt;SV_T),A233-1&gt;=SV_salCut,AND(SV_deaOn,A233&gt;=SV_deaM)),0,SV_sal0*(1+incomeGrowthRate)^(A233-1)*G233)</f>
        <v/>
      </c>
      <c r="I233" s="29">
        <f>IF(OR(A233&lt;1,A233&gt;SV_T),0,(-SV_exp0*F233-IF(A233&lt;=SV_loanYears,SV_inst,0)-IF(AND(SV_wdEDUAmt&gt;0,A233=SV_wdEDUYear),SV_wdEDUAmt,0)-IF(AND(SV_wdSAVAmt&gt;0,A233=SV_wdSAVYear),SV_wdSAVAmt,0)-IF(AND(SV_wdPRPAmt&gt;0,A233=SV_wdPRPYear),SV_wdPRPAmt,0))*IF(AND(SV_expOn,A233&gt;=SV_expS,A233&lt;=SV_expE),1+SV_expImp,1))</f>
        <v/>
      </c>
      <c r="J233" s="29">
        <f>IF(OR(A233&lt;1,A233&gt;SV_T),0,-F233*(IF(AND(SV_deaOn,A233=SV_deaM),SV_deaAmt,0)+IF(AND(SV_criOn,A233=SV_criM),SV_criAmt,0)+IF(AND(SV_tpdOn,A233=SV_tpdM),SV_tpdAmt,0)+IF(AND(SV_pacOn,A233=SV_pacM),SV_pacAmt,0)+IF(AND(SV_hosOn,A233=SV_hosM),SV_hosAmt,0)+IF(AND(SV_wedOn,A233=SV_wedM),SV_wedAmt,0)+IF(AND(SV_babOn,A233=SV_babM),SV_babAmt,0)+IF(AND(SV_ltcOn,A233&gt;=SV_ltcM,A233&lt;=SV_ltcE),SV_ltcAmt,0)))</f>
        <v/>
      </c>
      <c r="K233" s="29">
        <f>IF(OR(OR(A233&lt;1,A233&gt;SV_T),A233&gt;SV_loanYears),0,-SV_lifePremYr)</f>
        <v/>
      </c>
      <c r="L233" s="29">
        <f>IF(OR(A233&lt;1,A233&gt;SV_T),0,-SV_contrib)</f>
        <v/>
      </c>
      <c r="M233" s="60">
        <f>IF(AND(SV_crashOn,A233=SV_crashYr),SV_crashF,1)</f>
        <v/>
      </c>
      <c r="N233" s="60">
        <f>IF(AND(SV_ccyOn,A233=SV_ccyYr),SV_ccyF,1)</f>
        <v/>
      </c>
      <c r="O233" s="29">
        <f>IF(A233&gt;SV_T,0,O232*(1+interestRate)*M233*N233)</f>
        <v/>
      </c>
      <c r="P233" s="29">
        <f>IF(A233&gt;SV_T,0,(P232+SV_contrib)*(1+investmentReturn)*M233*N233)</f>
        <v/>
      </c>
      <c r="Q233" s="29">
        <f>IF(A233&gt;SV_T,0,Q232*(1+SV_propRate)*M233)</f>
        <v/>
      </c>
      <c r="R233" s="46">
        <f>MATCH(SV_age+A233-1,SV_cpfLower,1)</f>
        <v/>
      </c>
      <c r="S233" s="29">
        <f>IF(OR(OR(A233&lt;1,A233&gt;SV_T),NOT(SV_cpfOn),AND(SV_deaOn,A233&gt;=SV_deaM)),0,MIN(SV_sal0*(1+incomeGrowthRate)^(A233-1)*G233,SV_owCap))</f>
        <v/>
      </c>
      <c r="T233" s="29">
        <f>IF(A233&gt;SV_T,0,T232*(1+SV_oaRate)+IF(A233&gt;=SV_effStop,0,INDEX(SV_cpfOA,R233)*INDEX(SV_cpfTot,R233)*S233))</f>
        <v/>
      </c>
      <c r="U233" s="29">
        <f>IF(A233&gt;SV_T,0,U232*(1+SV_saRate)+IF(A233&gt;=SV_effStop,0,INDEX(SV_cpfSA,R233)*INDEX(SV_cpfTot,R233)*S233))</f>
        <v/>
      </c>
      <c r="V233" s="29">
        <f>IF(A233&gt;SV_T,0,V232*(1+SV_saRate)+IF(A233&gt;=SV_effStop,0,INDEX(SV_cpfMA,R233)*INDEX(SV_cpfTot,R233)*S233))</f>
        <v/>
      </c>
      <c r="W233" s="29">
        <f>IF(OR(OR(A233&lt;1,A233&gt;SV_T),A233&gt;=SV_effNeg),0,-(INDEX(SV_cpfOA,R233)+INDEX(SV_cpfSA,R233)+INDEX(SV_cpfMA,R233))*INDEX(SV_cpfEmp,R233)*S233)</f>
        <v/>
      </c>
      <c r="X233" s="29">
        <f>IF(A233&gt;=SV_sIdx,0,T233)</f>
        <v/>
      </c>
      <c r="Y233" s="29">
        <f>IF(A233&gt;=SV_sIdx,0,U233)</f>
        <v/>
      </c>
      <c r="Z233" s="29">
        <f>IF(A233&gt;=SV_sIdx,MIN(V233,SV_maCap),V233)</f>
        <v/>
      </c>
      <c r="AA233" s="29">
        <f>IF(AND(SV_cpfOn,A233&gt;=SV_pIdx,A233&lt;=SV_T),12*SV_pay,0)</f>
        <v/>
      </c>
      <c r="AB233" s="29">
        <f>IF(A233&gt;SV_T,0,IF(SV_sp&gt;=0,IF(A233&lt;SV_sIdx,0,IF(A233=SV_sIdx,SV_R0,SV_lifeGrowth*AB232)),SV_lifeGrowth*AB232))</f>
        <v/>
      </c>
      <c r="AC233" s="29">
        <f>IF(A233&gt;SV_T,0,IF(AND(SV_sp&gt;=0,A233&lt;SV_sIdx),0,IF(AND(SV_sp&gt;=0,A233=SV_sIdx),SV_L0,SV_lifeGrowth*(AC232-AA233))))</f>
        <v/>
      </c>
      <c r="AD233" s="29">
        <f>X233+Y233+AB233+Z233+IF(AB233&lt;0,0,AC233)</f>
        <v/>
      </c>
      <c r="AE233" s="29">
        <f>AA233+W233</f>
        <v/>
      </c>
      <c r="AF233" s="29">
        <f>IF(OR(A233&gt;SV_T,A233&gt;=SV_loanYears),0,MAX(0,AF232*(1+loanRate)-SV_inst))</f>
        <v/>
      </c>
      <c r="AG233" s="29">
        <f>IF(A233&gt;SV_T,0,AG232*(1+SV_savRate)+H233+I233+J233+K233+L233+AE233)</f>
        <v/>
      </c>
      <c r="AH233" s="29">
        <f>IF(A233&gt;SV_T,0,MAX(0,O233+P233+Q233+AD233+AG233-AF233))</f>
        <v/>
      </c>
      <c r="AI233" s="29">
        <f>IF(A233&gt;SV_T,0,O233+P233+AG233-MAX(0,AF233-(Q233+AD233)))</f>
        <v/>
      </c>
      <c r="AJ233" s="29">
        <f>IF(OR(OR(A233&lt;1,A233&gt;SV_T),A233-1&gt;=SV_retPay),0,SV_retMth*12+IF(A233=1,SV_retLump,0))</f>
        <v/>
      </c>
      <c r="AK233" s="29">
        <f>IF(A233&gt;SV_T,0,(AK232+AJ233)*(1+investmentReturn))</f>
        <v/>
      </c>
      <c r="AL233" s="29">
        <f>IF(OR(A233&lt;1,A233&gt;SV_T),0,IF(A233-1&gt;=SV_EDUPay,0,SV_EDUMth*12+IF(A233=1,SV_EDULump,0))+IF(A233-1&gt;=SV_SAVPay,0,SV_SAVMth*12+IF(A233=1,SV_SAVLump,0))+IF(A233-1&gt;=SV_PRPPay,0,SV_PRPMth*12+IF(A233=1,SV_PRPLump,0)))</f>
        <v/>
      </c>
      <c r="AM233" s="29">
        <f>IF(A233&gt;SV_T,0,(AM232+AL233)*(1+investmentReturn))</f>
        <v/>
      </c>
      <c r="AN233" s="29">
        <f>IF(OR(OR(A233&lt;1,A233&gt;SV_T),A233-1&gt;=SV_protPay),0,SV_protPrem)</f>
        <v/>
      </c>
      <c r="AO233" s="29">
        <f>IF(OR(A233=0,A233&gt;=SV_T),0,ROUND(MAX(0,AK233),2)+ROUND(MAX(0,AM233),2))</f>
        <v/>
      </c>
      <c r="AP233" s="29">
        <f>IF(OR(A233&lt;1,A233&gt;SV_T),0,-(AJ233+AL233+AN233)+IF(A233=SV_T,ROUND(MAX(0,AK233),2)+ROUND(MAX(0,AM233),2),0))</f>
        <v/>
      </c>
      <c r="AQ233" s="29">
        <f>IF(A233&gt;SV_T,0,AQ232*(1+SV_savRate)+H233+I233+J233+K233+L233+AE233+AP233)</f>
        <v/>
      </c>
      <c r="AR233" s="29">
        <f>IF(A233&gt;SV_T,0,MAX(0,O233+P233+Q233+AD233+AQ233+AO233-AF233))</f>
        <v/>
      </c>
      <c r="AS233" s="29">
        <f>IF(A233&gt;SV_T,0,O233+P233+AQ233+AO233-MAX(0,AF233-(Q233+AD233)))</f>
        <v/>
      </c>
    </row>
    <row r="234">
      <c r="A234" s="61" t="n">
        <v>62</v>
      </c>
      <c r="B234" s="61">
        <f>SV_age+A234</f>
        <v/>
      </c>
      <c r="C234" s="61">
        <f>currentYear+A234</f>
        <v/>
      </c>
      <c r="D234" s="52">
        <f>A234&lt;=SV_T</f>
        <v/>
      </c>
      <c r="E234" s="60">
        <f>IF(AND(SV_inflOn,A234&gt;=SV_inflS,A234&lt;=SV_inflE),1+SV_inflRate,1+inflationRate)</f>
        <v/>
      </c>
      <c r="F234" s="60">
        <f>IF(A234&lt;=1,1,F233*E234)</f>
        <v/>
      </c>
      <c r="G234" s="60">
        <f>IF(AND(SV_incOn,A234&gt;=SV_incS,A234&lt;=SV_incE),1+SV_incImp,1)</f>
        <v/>
      </c>
      <c r="H234" s="29">
        <f>IF(OR(OR(A234&lt;1,A234&gt;SV_T),A234-1&gt;=SV_salCut,AND(SV_deaOn,A234&gt;=SV_deaM)),0,SV_sal0*(1+incomeGrowthRate)^(A234-1)*G234)</f>
        <v/>
      </c>
      <c r="I234" s="29">
        <f>IF(OR(A234&lt;1,A234&gt;SV_T),0,(-SV_exp0*F234-IF(A234&lt;=SV_loanYears,SV_inst,0)-IF(AND(SV_wdEDUAmt&gt;0,A234=SV_wdEDUYear),SV_wdEDUAmt,0)-IF(AND(SV_wdSAVAmt&gt;0,A234=SV_wdSAVYear),SV_wdSAVAmt,0)-IF(AND(SV_wdPRPAmt&gt;0,A234=SV_wdPRPYear),SV_wdPRPAmt,0))*IF(AND(SV_expOn,A234&gt;=SV_expS,A234&lt;=SV_expE),1+SV_expImp,1))</f>
        <v/>
      </c>
      <c r="J234" s="29">
        <f>IF(OR(A234&lt;1,A234&gt;SV_T),0,-F234*(IF(AND(SV_deaOn,A234=SV_deaM),SV_deaAmt,0)+IF(AND(SV_criOn,A234=SV_criM),SV_criAmt,0)+IF(AND(SV_tpdOn,A234=SV_tpdM),SV_tpdAmt,0)+IF(AND(SV_pacOn,A234=SV_pacM),SV_pacAmt,0)+IF(AND(SV_hosOn,A234=SV_hosM),SV_hosAmt,0)+IF(AND(SV_wedOn,A234=SV_wedM),SV_wedAmt,0)+IF(AND(SV_babOn,A234=SV_babM),SV_babAmt,0)+IF(AND(SV_ltcOn,A234&gt;=SV_ltcM,A234&lt;=SV_ltcE),SV_ltcAmt,0)))</f>
        <v/>
      </c>
      <c r="K234" s="29">
        <f>IF(OR(OR(A234&lt;1,A234&gt;SV_T),A234&gt;SV_loanYears),0,-SV_lifePremYr)</f>
        <v/>
      </c>
      <c r="L234" s="29">
        <f>IF(OR(A234&lt;1,A234&gt;SV_T),0,-SV_contrib)</f>
        <v/>
      </c>
      <c r="M234" s="60">
        <f>IF(AND(SV_crashOn,A234=SV_crashYr),SV_crashF,1)</f>
        <v/>
      </c>
      <c r="N234" s="60">
        <f>IF(AND(SV_ccyOn,A234=SV_ccyYr),SV_ccyF,1)</f>
        <v/>
      </c>
      <c r="O234" s="29">
        <f>IF(A234&gt;SV_T,0,O233*(1+interestRate)*M234*N234)</f>
        <v/>
      </c>
      <c r="P234" s="29">
        <f>IF(A234&gt;SV_T,0,(P233+SV_contrib)*(1+investmentReturn)*M234*N234)</f>
        <v/>
      </c>
      <c r="Q234" s="29">
        <f>IF(A234&gt;SV_T,0,Q233*(1+SV_propRate)*M234)</f>
        <v/>
      </c>
      <c r="R234" s="46">
        <f>MATCH(SV_age+A234-1,SV_cpfLower,1)</f>
        <v/>
      </c>
      <c r="S234" s="29">
        <f>IF(OR(OR(A234&lt;1,A234&gt;SV_T),NOT(SV_cpfOn),AND(SV_deaOn,A234&gt;=SV_deaM)),0,MIN(SV_sal0*(1+incomeGrowthRate)^(A234-1)*G234,SV_owCap))</f>
        <v/>
      </c>
      <c r="T234" s="29">
        <f>IF(A234&gt;SV_T,0,T233*(1+SV_oaRate)+IF(A234&gt;=SV_effStop,0,INDEX(SV_cpfOA,R234)*INDEX(SV_cpfTot,R234)*S234))</f>
        <v/>
      </c>
      <c r="U234" s="29">
        <f>IF(A234&gt;SV_T,0,U233*(1+SV_saRate)+IF(A234&gt;=SV_effStop,0,INDEX(SV_cpfSA,R234)*INDEX(SV_cpfTot,R234)*S234))</f>
        <v/>
      </c>
      <c r="V234" s="29">
        <f>IF(A234&gt;SV_T,0,V233*(1+SV_saRate)+IF(A234&gt;=SV_effStop,0,INDEX(SV_cpfMA,R234)*INDEX(SV_cpfTot,R234)*S234))</f>
        <v/>
      </c>
      <c r="W234" s="29">
        <f>IF(OR(OR(A234&lt;1,A234&gt;SV_T),A234&gt;=SV_effNeg),0,-(INDEX(SV_cpfOA,R234)+INDEX(SV_cpfSA,R234)+INDEX(SV_cpfMA,R234))*INDEX(SV_cpfEmp,R234)*S234)</f>
        <v/>
      </c>
      <c r="X234" s="29">
        <f>IF(A234&gt;=SV_sIdx,0,T234)</f>
        <v/>
      </c>
      <c r="Y234" s="29">
        <f>IF(A234&gt;=SV_sIdx,0,U234)</f>
        <v/>
      </c>
      <c r="Z234" s="29">
        <f>IF(A234&gt;=SV_sIdx,MIN(V234,SV_maCap),V234)</f>
        <v/>
      </c>
      <c r="AA234" s="29">
        <f>IF(AND(SV_cpfOn,A234&gt;=SV_pIdx,A234&lt;=SV_T),12*SV_pay,0)</f>
        <v/>
      </c>
      <c r="AB234" s="29">
        <f>IF(A234&gt;SV_T,0,IF(SV_sp&gt;=0,IF(A234&lt;SV_sIdx,0,IF(A234=SV_sIdx,SV_R0,SV_lifeGrowth*AB233)),SV_lifeGrowth*AB233))</f>
        <v/>
      </c>
      <c r="AC234" s="29">
        <f>IF(A234&gt;SV_T,0,IF(AND(SV_sp&gt;=0,A234&lt;SV_sIdx),0,IF(AND(SV_sp&gt;=0,A234=SV_sIdx),SV_L0,SV_lifeGrowth*(AC233-AA234))))</f>
        <v/>
      </c>
      <c r="AD234" s="29">
        <f>X234+Y234+AB234+Z234+IF(AB234&lt;0,0,AC234)</f>
        <v/>
      </c>
      <c r="AE234" s="29">
        <f>AA234+W234</f>
        <v/>
      </c>
      <c r="AF234" s="29">
        <f>IF(OR(A234&gt;SV_T,A234&gt;=SV_loanYears),0,MAX(0,AF233*(1+loanRate)-SV_inst))</f>
        <v/>
      </c>
      <c r="AG234" s="29">
        <f>IF(A234&gt;SV_T,0,AG233*(1+SV_savRate)+H234+I234+J234+K234+L234+AE234)</f>
        <v/>
      </c>
      <c r="AH234" s="29">
        <f>IF(A234&gt;SV_T,0,MAX(0,O234+P234+Q234+AD234+AG234-AF234))</f>
        <v/>
      </c>
      <c r="AI234" s="29">
        <f>IF(A234&gt;SV_T,0,O234+P234+AG234-MAX(0,AF234-(Q234+AD234)))</f>
        <v/>
      </c>
      <c r="AJ234" s="29">
        <f>IF(OR(OR(A234&lt;1,A234&gt;SV_T),A234-1&gt;=SV_retPay),0,SV_retMth*12+IF(A234=1,SV_retLump,0))</f>
        <v/>
      </c>
      <c r="AK234" s="29">
        <f>IF(A234&gt;SV_T,0,(AK233+AJ234)*(1+investmentReturn))</f>
        <v/>
      </c>
      <c r="AL234" s="29">
        <f>IF(OR(A234&lt;1,A234&gt;SV_T),0,IF(A234-1&gt;=SV_EDUPay,0,SV_EDUMth*12+IF(A234=1,SV_EDULump,0))+IF(A234-1&gt;=SV_SAVPay,0,SV_SAVMth*12+IF(A234=1,SV_SAVLump,0))+IF(A234-1&gt;=SV_PRPPay,0,SV_PRPMth*12+IF(A234=1,SV_PRPLump,0)))</f>
        <v/>
      </c>
      <c r="AM234" s="29">
        <f>IF(A234&gt;SV_T,0,(AM233+AL234)*(1+investmentReturn))</f>
        <v/>
      </c>
      <c r="AN234" s="29">
        <f>IF(OR(OR(A234&lt;1,A234&gt;SV_T),A234-1&gt;=SV_protPay),0,SV_protPrem)</f>
        <v/>
      </c>
      <c r="AO234" s="29">
        <f>IF(OR(A234=0,A234&gt;=SV_T),0,ROUND(MAX(0,AK234),2)+ROUND(MAX(0,AM234),2))</f>
        <v/>
      </c>
      <c r="AP234" s="29">
        <f>IF(OR(A234&lt;1,A234&gt;SV_T),0,-(AJ234+AL234+AN234)+IF(A234=SV_T,ROUND(MAX(0,AK234),2)+ROUND(MAX(0,AM234),2),0))</f>
        <v/>
      </c>
      <c r="AQ234" s="29">
        <f>IF(A234&gt;SV_T,0,AQ233*(1+SV_savRate)+H234+I234+J234+K234+L234+AE234+AP234)</f>
        <v/>
      </c>
      <c r="AR234" s="29">
        <f>IF(A234&gt;SV_T,0,MAX(0,O234+P234+Q234+AD234+AQ234+AO234-AF234))</f>
        <v/>
      </c>
      <c r="AS234" s="29">
        <f>IF(A234&gt;SV_T,0,O234+P234+AQ234+AO234-MAX(0,AF234-(Q234+AD234)))</f>
        <v/>
      </c>
    </row>
    <row r="235">
      <c r="A235" s="61" t="n">
        <v>63</v>
      </c>
      <c r="B235" s="61">
        <f>SV_age+A235</f>
        <v/>
      </c>
      <c r="C235" s="61">
        <f>currentYear+A235</f>
        <v/>
      </c>
      <c r="D235" s="52">
        <f>A235&lt;=SV_T</f>
        <v/>
      </c>
      <c r="E235" s="60">
        <f>IF(AND(SV_inflOn,A235&gt;=SV_inflS,A235&lt;=SV_inflE),1+SV_inflRate,1+inflationRate)</f>
        <v/>
      </c>
      <c r="F235" s="60">
        <f>IF(A235&lt;=1,1,F234*E235)</f>
        <v/>
      </c>
      <c r="G235" s="60">
        <f>IF(AND(SV_incOn,A235&gt;=SV_incS,A235&lt;=SV_incE),1+SV_incImp,1)</f>
        <v/>
      </c>
      <c r="H235" s="29">
        <f>IF(OR(OR(A235&lt;1,A235&gt;SV_T),A235-1&gt;=SV_salCut,AND(SV_deaOn,A235&gt;=SV_deaM)),0,SV_sal0*(1+incomeGrowthRate)^(A235-1)*G235)</f>
        <v/>
      </c>
      <c r="I235" s="29">
        <f>IF(OR(A235&lt;1,A235&gt;SV_T),0,(-SV_exp0*F235-IF(A235&lt;=SV_loanYears,SV_inst,0)-IF(AND(SV_wdEDUAmt&gt;0,A235=SV_wdEDUYear),SV_wdEDUAmt,0)-IF(AND(SV_wdSAVAmt&gt;0,A235=SV_wdSAVYear),SV_wdSAVAmt,0)-IF(AND(SV_wdPRPAmt&gt;0,A235=SV_wdPRPYear),SV_wdPRPAmt,0))*IF(AND(SV_expOn,A235&gt;=SV_expS,A235&lt;=SV_expE),1+SV_expImp,1))</f>
        <v/>
      </c>
      <c r="J235" s="29">
        <f>IF(OR(A235&lt;1,A235&gt;SV_T),0,-F235*(IF(AND(SV_deaOn,A235=SV_deaM),SV_deaAmt,0)+IF(AND(SV_criOn,A235=SV_criM),SV_criAmt,0)+IF(AND(SV_tpdOn,A235=SV_tpdM),SV_tpdAmt,0)+IF(AND(SV_pacOn,A235=SV_pacM),SV_pacAmt,0)+IF(AND(SV_hosOn,A235=SV_hosM),SV_hosAmt,0)+IF(AND(SV_wedOn,A235=SV_wedM),SV_wedAmt,0)+IF(AND(SV_babOn,A235=SV_babM),SV_babAmt,0)+IF(AND(SV_ltcOn,A235&gt;=SV_ltcM,A235&lt;=SV_ltcE),SV_ltcAmt,0)))</f>
        <v/>
      </c>
      <c r="K235" s="29">
        <f>IF(OR(OR(A235&lt;1,A235&gt;SV_T),A235&gt;SV_loanYears),0,-SV_lifePremYr)</f>
        <v/>
      </c>
      <c r="L235" s="29">
        <f>IF(OR(A235&lt;1,A235&gt;SV_T),0,-SV_contrib)</f>
        <v/>
      </c>
      <c r="M235" s="60">
        <f>IF(AND(SV_crashOn,A235=SV_crashYr),SV_crashF,1)</f>
        <v/>
      </c>
      <c r="N235" s="60">
        <f>IF(AND(SV_ccyOn,A235=SV_ccyYr),SV_ccyF,1)</f>
        <v/>
      </c>
      <c r="O235" s="29">
        <f>IF(A235&gt;SV_T,0,O234*(1+interestRate)*M235*N235)</f>
        <v/>
      </c>
      <c r="P235" s="29">
        <f>IF(A235&gt;SV_T,0,(P234+SV_contrib)*(1+investmentReturn)*M235*N235)</f>
        <v/>
      </c>
      <c r="Q235" s="29">
        <f>IF(A235&gt;SV_T,0,Q234*(1+SV_propRate)*M235)</f>
        <v/>
      </c>
      <c r="R235" s="46">
        <f>MATCH(SV_age+A235-1,SV_cpfLower,1)</f>
        <v/>
      </c>
      <c r="S235" s="29">
        <f>IF(OR(OR(A235&lt;1,A235&gt;SV_T),NOT(SV_cpfOn),AND(SV_deaOn,A235&gt;=SV_deaM)),0,MIN(SV_sal0*(1+incomeGrowthRate)^(A235-1)*G235,SV_owCap))</f>
        <v/>
      </c>
      <c r="T235" s="29">
        <f>IF(A235&gt;SV_T,0,T234*(1+SV_oaRate)+IF(A235&gt;=SV_effStop,0,INDEX(SV_cpfOA,R235)*INDEX(SV_cpfTot,R235)*S235))</f>
        <v/>
      </c>
      <c r="U235" s="29">
        <f>IF(A235&gt;SV_T,0,U234*(1+SV_saRate)+IF(A235&gt;=SV_effStop,0,INDEX(SV_cpfSA,R235)*INDEX(SV_cpfTot,R235)*S235))</f>
        <v/>
      </c>
      <c r="V235" s="29">
        <f>IF(A235&gt;SV_T,0,V234*(1+SV_saRate)+IF(A235&gt;=SV_effStop,0,INDEX(SV_cpfMA,R235)*INDEX(SV_cpfTot,R235)*S235))</f>
        <v/>
      </c>
      <c r="W235" s="29">
        <f>IF(OR(OR(A235&lt;1,A235&gt;SV_T),A235&gt;=SV_effNeg),0,-(INDEX(SV_cpfOA,R235)+INDEX(SV_cpfSA,R235)+INDEX(SV_cpfMA,R235))*INDEX(SV_cpfEmp,R235)*S235)</f>
        <v/>
      </c>
      <c r="X235" s="29">
        <f>IF(A235&gt;=SV_sIdx,0,T235)</f>
        <v/>
      </c>
      <c r="Y235" s="29">
        <f>IF(A235&gt;=SV_sIdx,0,U235)</f>
        <v/>
      </c>
      <c r="Z235" s="29">
        <f>IF(A235&gt;=SV_sIdx,MIN(V235,SV_maCap),V235)</f>
        <v/>
      </c>
      <c r="AA235" s="29">
        <f>IF(AND(SV_cpfOn,A235&gt;=SV_pIdx,A235&lt;=SV_T),12*SV_pay,0)</f>
        <v/>
      </c>
      <c r="AB235" s="29">
        <f>IF(A235&gt;SV_T,0,IF(SV_sp&gt;=0,IF(A235&lt;SV_sIdx,0,IF(A235=SV_sIdx,SV_R0,SV_lifeGrowth*AB234)),SV_lifeGrowth*AB234))</f>
        <v/>
      </c>
      <c r="AC235" s="29">
        <f>IF(A235&gt;SV_T,0,IF(AND(SV_sp&gt;=0,A235&lt;SV_sIdx),0,IF(AND(SV_sp&gt;=0,A235=SV_sIdx),SV_L0,SV_lifeGrowth*(AC234-AA235))))</f>
        <v/>
      </c>
      <c r="AD235" s="29">
        <f>X235+Y235+AB235+Z235+IF(AB235&lt;0,0,AC235)</f>
        <v/>
      </c>
      <c r="AE235" s="29">
        <f>AA235+W235</f>
        <v/>
      </c>
      <c r="AF235" s="29">
        <f>IF(OR(A235&gt;SV_T,A235&gt;=SV_loanYears),0,MAX(0,AF234*(1+loanRate)-SV_inst))</f>
        <v/>
      </c>
      <c r="AG235" s="29">
        <f>IF(A235&gt;SV_T,0,AG234*(1+SV_savRate)+H235+I235+J235+K235+L235+AE235)</f>
        <v/>
      </c>
      <c r="AH235" s="29">
        <f>IF(A235&gt;SV_T,0,MAX(0,O235+P235+Q235+AD235+AG235-AF235))</f>
        <v/>
      </c>
      <c r="AI235" s="29">
        <f>IF(A235&gt;SV_T,0,O235+P235+AG235-MAX(0,AF235-(Q235+AD235)))</f>
        <v/>
      </c>
      <c r="AJ235" s="29">
        <f>IF(OR(OR(A235&lt;1,A235&gt;SV_T),A235-1&gt;=SV_retPay),0,SV_retMth*12+IF(A235=1,SV_retLump,0))</f>
        <v/>
      </c>
      <c r="AK235" s="29">
        <f>IF(A235&gt;SV_T,0,(AK234+AJ235)*(1+investmentReturn))</f>
        <v/>
      </c>
      <c r="AL235" s="29">
        <f>IF(OR(A235&lt;1,A235&gt;SV_T),0,IF(A235-1&gt;=SV_EDUPay,0,SV_EDUMth*12+IF(A235=1,SV_EDULump,0))+IF(A235-1&gt;=SV_SAVPay,0,SV_SAVMth*12+IF(A235=1,SV_SAVLump,0))+IF(A235-1&gt;=SV_PRPPay,0,SV_PRPMth*12+IF(A235=1,SV_PRPLump,0)))</f>
        <v/>
      </c>
      <c r="AM235" s="29">
        <f>IF(A235&gt;SV_T,0,(AM234+AL235)*(1+investmentReturn))</f>
        <v/>
      </c>
      <c r="AN235" s="29">
        <f>IF(OR(OR(A235&lt;1,A235&gt;SV_T),A235-1&gt;=SV_protPay),0,SV_protPrem)</f>
        <v/>
      </c>
      <c r="AO235" s="29">
        <f>IF(OR(A235=0,A235&gt;=SV_T),0,ROUND(MAX(0,AK235),2)+ROUND(MAX(0,AM235),2))</f>
        <v/>
      </c>
      <c r="AP235" s="29">
        <f>IF(OR(A235&lt;1,A235&gt;SV_T),0,-(AJ235+AL235+AN235)+IF(A235=SV_T,ROUND(MAX(0,AK235),2)+ROUND(MAX(0,AM235),2),0))</f>
        <v/>
      </c>
      <c r="AQ235" s="29">
        <f>IF(A235&gt;SV_T,0,AQ234*(1+SV_savRate)+H235+I235+J235+K235+L235+AE235+AP235)</f>
        <v/>
      </c>
      <c r="AR235" s="29">
        <f>IF(A235&gt;SV_T,0,MAX(0,O235+P235+Q235+AD235+AQ235+AO235-AF235))</f>
        <v/>
      </c>
      <c r="AS235" s="29">
        <f>IF(A235&gt;SV_T,0,O235+P235+AQ235+AO235-MAX(0,AF235-(Q235+AD235)))</f>
        <v/>
      </c>
    </row>
    <row r="236">
      <c r="A236" s="61" t="n">
        <v>64</v>
      </c>
      <c r="B236" s="61">
        <f>SV_age+A236</f>
        <v/>
      </c>
      <c r="C236" s="61">
        <f>currentYear+A236</f>
        <v/>
      </c>
      <c r="D236" s="52">
        <f>A236&lt;=SV_T</f>
        <v/>
      </c>
      <c r="E236" s="60">
        <f>IF(AND(SV_inflOn,A236&gt;=SV_inflS,A236&lt;=SV_inflE),1+SV_inflRate,1+inflationRate)</f>
        <v/>
      </c>
      <c r="F236" s="60">
        <f>IF(A236&lt;=1,1,F235*E236)</f>
        <v/>
      </c>
      <c r="G236" s="60">
        <f>IF(AND(SV_incOn,A236&gt;=SV_incS,A236&lt;=SV_incE),1+SV_incImp,1)</f>
        <v/>
      </c>
      <c r="H236" s="29">
        <f>IF(OR(OR(A236&lt;1,A236&gt;SV_T),A236-1&gt;=SV_salCut,AND(SV_deaOn,A236&gt;=SV_deaM)),0,SV_sal0*(1+incomeGrowthRate)^(A236-1)*G236)</f>
        <v/>
      </c>
      <c r="I236" s="29">
        <f>IF(OR(A236&lt;1,A236&gt;SV_T),0,(-SV_exp0*F236-IF(A236&lt;=SV_loanYears,SV_inst,0)-IF(AND(SV_wdEDUAmt&gt;0,A236=SV_wdEDUYear),SV_wdEDUAmt,0)-IF(AND(SV_wdSAVAmt&gt;0,A236=SV_wdSAVYear),SV_wdSAVAmt,0)-IF(AND(SV_wdPRPAmt&gt;0,A236=SV_wdPRPYear),SV_wdPRPAmt,0))*IF(AND(SV_expOn,A236&gt;=SV_expS,A236&lt;=SV_expE),1+SV_expImp,1))</f>
        <v/>
      </c>
      <c r="J236" s="29">
        <f>IF(OR(A236&lt;1,A236&gt;SV_T),0,-F236*(IF(AND(SV_deaOn,A236=SV_deaM),SV_deaAmt,0)+IF(AND(SV_criOn,A236=SV_criM),SV_criAmt,0)+IF(AND(SV_tpdOn,A236=SV_tpdM),SV_tpdAmt,0)+IF(AND(SV_pacOn,A236=SV_pacM),SV_pacAmt,0)+IF(AND(SV_hosOn,A236=SV_hosM),SV_hosAmt,0)+IF(AND(SV_wedOn,A236=SV_wedM),SV_wedAmt,0)+IF(AND(SV_babOn,A236=SV_babM),SV_babAmt,0)+IF(AND(SV_ltcOn,A236&gt;=SV_ltcM,A236&lt;=SV_ltcE),SV_ltcAmt,0)))</f>
        <v/>
      </c>
      <c r="K236" s="29">
        <f>IF(OR(OR(A236&lt;1,A236&gt;SV_T),A236&gt;SV_loanYears),0,-SV_lifePremYr)</f>
        <v/>
      </c>
      <c r="L236" s="29">
        <f>IF(OR(A236&lt;1,A236&gt;SV_T),0,-SV_contrib)</f>
        <v/>
      </c>
      <c r="M236" s="60">
        <f>IF(AND(SV_crashOn,A236=SV_crashYr),SV_crashF,1)</f>
        <v/>
      </c>
      <c r="N236" s="60">
        <f>IF(AND(SV_ccyOn,A236=SV_ccyYr),SV_ccyF,1)</f>
        <v/>
      </c>
      <c r="O236" s="29">
        <f>IF(A236&gt;SV_T,0,O235*(1+interestRate)*M236*N236)</f>
        <v/>
      </c>
      <c r="P236" s="29">
        <f>IF(A236&gt;SV_T,0,(P235+SV_contrib)*(1+investmentReturn)*M236*N236)</f>
        <v/>
      </c>
      <c r="Q236" s="29">
        <f>IF(A236&gt;SV_T,0,Q235*(1+SV_propRate)*M236)</f>
        <v/>
      </c>
      <c r="R236" s="46">
        <f>MATCH(SV_age+A236-1,SV_cpfLower,1)</f>
        <v/>
      </c>
      <c r="S236" s="29">
        <f>IF(OR(OR(A236&lt;1,A236&gt;SV_T),NOT(SV_cpfOn),AND(SV_deaOn,A236&gt;=SV_deaM)),0,MIN(SV_sal0*(1+incomeGrowthRate)^(A236-1)*G236,SV_owCap))</f>
        <v/>
      </c>
      <c r="T236" s="29">
        <f>IF(A236&gt;SV_T,0,T235*(1+SV_oaRate)+IF(A236&gt;=SV_effStop,0,INDEX(SV_cpfOA,R236)*INDEX(SV_cpfTot,R236)*S236))</f>
        <v/>
      </c>
      <c r="U236" s="29">
        <f>IF(A236&gt;SV_T,0,U235*(1+SV_saRate)+IF(A236&gt;=SV_effStop,0,INDEX(SV_cpfSA,R236)*INDEX(SV_cpfTot,R236)*S236))</f>
        <v/>
      </c>
      <c r="V236" s="29">
        <f>IF(A236&gt;SV_T,0,V235*(1+SV_saRate)+IF(A236&gt;=SV_effStop,0,INDEX(SV_cpfMA,R236)*INDEX(SV_cpfTot,R236)*S236))</f>
        <v/>
      </c>
      <c r="W236" s="29">
        <f>IF(OR(OR(A236&lt;1,A236&gt;SV_T),A236&gt;=SV_effNeg),0,-(INDEX(SV_cpfOA,R236)+INDEX(SV_cpfSA,R236)+INDEX(SV_cpfMA,R236))*INDEX(SV_cpfEmp,R236)*S236)</f>
        <v/>
      </c>
      <c r="X236" s="29">
        <f>IF(A236&gt;=SV_sIdx,0,T236)</f>
        <v/>
      </c>
      <c r="Y236" s="29">
        <f>IF(A236&gt;=SV_sIdx,0,U236)</f>
        <v/>
      </c>
      <c r="Z236" s="29">
        <f>IF(A236&gt;=SV_sIdx,MIN(V236,SV_maCap),V236)</f>
        <v/>
      </c>
      <c r="AA236" s="29">
        <f>IF(AND(SV_cpfOn,A236&gt;=SV_pIdx,A236&lt;=SV_T),12*SV_pay,0)</f>
        <v/>
      </c>
      <c r="AB236" s="29">
        <f>IF(A236&gt;SV_T,0,IF(SV_sp&gt;=0,IF(A236&lt;SV_sIdx,0,IF(A236=SV_sIdx,SV_R0,SV_lifeGrowth*AB235)),SV_lifeGrowth*AB235))</f>
        <v/>
      </c>
      <c r="AC236" s="29">
        <f>IF(A236&gt;SV_T,0,IF(AND(SV_sp&gt;=0,A236&lt;SV_sIdx),0,IF(AND(SV_sp&gt;=0,A236=SV_sIdx),SV_L0,SV_lifeGrowth*(AC235-AA236))))</f>
        <v/>
      </c>
      <c r="AD236" s="29">
        <f>X236+Y236+AB236+Z236+IF(AB236&lt;0,0,AC236)</f>
        <v/>
      </c>
      <c r="AE236" s="29">
        <f>AA236+W236</f>
        <v/>
      </c>
      <c r="AF236" s="29">
        <f>IF(OR(A236&gt;SV_T,A236&gt;=SV_loanYears),0,MAX(0,AF235*(1+loanRate)-SV_inst))</f>
        <v/>
      </c>
      <c r="AG236" s="29">
        <f>IF(A236&gt;SV_T,0,AG235*(1+SV_savRate)+H236+I236+J236+K236+L236+AE236)</f>
        <v/>
      </c>
      <c r="AH236" s="29">
        <f>IF(A236&gt;SV_T,0,MAX(0,O236+P236+Q236+AD236+AG236-AF236))</f>
        <v/>
      </c>
      <c r="AI236" s="29">
        <f>IF(A236&gt;SV_T,0,O236+P236+AG236-MAX(0,AF236-(Q236+AD236)))</f>
        <v/>
      </c>
      <c r="AJ236" s="29">
        <f>IF(OR(OR(A236&lt;1,A236&gt;SV_T),A236-1&gt;=SV_retPay),0,SV_retMth*12+IF(A236=1,SV_retLump,0))</f>
        <v/>
      </c>
      <c r="AK236" s="29">
        <f>IF(A236&gt;SV_T,0,(AK235+AJ236)*(1+investmentReturn))</f>
        <v/>
      </c>
      <c r="AL236" s="29">
        <f>IF(OR(A236&lt;1,A236&gt;SV_T),0,IF(A236-1&gt;=SV_EDUPay,0,SV_EDUMth*12+IF(A236=1,SV_EDULump,0))+IF(A236-1&gt;=SV_SAVPay,0,SV_SAVMth*12+IF(A236=1,SV_SAVLump,0))+IF(A236-1&gt;=SV_PRPPay,0,SV_PRPMth*12+IF(A236=1,SV_PRPLump,0)))</f>
        <v/>
      </c>
      <c r="AM236" s="29">
        <f>IF(A236&gt;SV_T,0,(AM235+AL236)*(1+investmentReturn))</f>
        <v/>
      </c>
      <c r="AN236" s="29">
        <f>IF(OR(OR(A236&lt;1,A236&gt;SV_T),A236-1&gt;=SV_protPay),0,SV_protPrem)</f>
        <v/>
      </c>
      <c r="AO236" s="29">
        <f>IF(OR(A236=0,A236&gt;=SV_T),0,ROUND(MAX(0,AK236),2)+ROUND(MAX(0,AM236),2))</f>
        <v/>
      </c>
      <c r="AP236" s="29">
        <f>IF(OR(A236&lt;1,A236&gt;SV_T),0,-(AJ236+AL236+AN236)+IF(A236=SV_T,ROUND(MAX(0,AK236),2)+ROUND(MAX(0,AM236),2),0))</f>
        <v/>
      </c>
      <c r="AQ236" s="29">
        <f>IF(A236&gt;SV_T,0,AQ235*(1+SV_savRate)+H236+I236+J236+K236+L236+AE236+AP236)</f>
        <v/>
      </c>
      <c r="AR236" s="29">
        <f>IF(A236&gt;SV_T,0,MAX(0,O236+P236+Q236+AD236+AQ236+AO236-AF236))</f>
        <v/>
      </c>
      <c r="AS236" s="29">
        <f>IF(A236&gt;SV_T,0,O236+P236+AQ236+AO236-MAX(0,AF236-(Q236+AD236)))</f>
        <v/>
      </c>
    </row>
    <row r="237">
      <c r="A237" s="61" t="n">
        <v>65</v>
      </c>
      <c r="B237" s="61">
        <f>SV_age+A237</f>
        <v/>
      </c>
      <c r="C237" s="61">
        <f>currentYear+A237</f>
        <v/>
      </c>
      <c r="D237" s="52">
        <f>A237&lt;=SV_T</f>
        <v/>
      </c>
      <c r="E237" s="60">
        <f>IF(AND(SV_inflOn,A237&gt;=SV_inflS,A237&lt;=SV_inflE),1+SV_inflRate,1+inflationRate)</f>
        <v/>
      </c>
      <c r="F237" s="60">
        <f>IF(A237&lt;=1,1,F236*E237)</f>
        <v/>
      </c>
      <c r="G237" s="60">
        <f>IF(AND(SV_incOn,A237&gt;=SV_incS,A237&lt;=SV_incE),1+SV_incImp,1)</f>
        <v/>
      </c>
      <c r="H237" s="29">
        <f>IF(OR(OR(A237&lt;1,A237&gt;SV_T),A237-1&gt;=SV_salCut,AND(SV_deaOn,A237&gt;=SV_deaM)),0,SV_sal0*(1+incomeGrowthRate)^(A237-1)*G237)</f>
        <v/>
      </c>
      <c r="I237" s="29">
        <f>IF(OR(A237&lt;1,A237&gt;SV_T),0,(-SV_exp0*F237-IF(A237&lt;=SV_loanYears,SV_inst,0)-IF(AND(SV_wdEDUAmt&gt;0,A237=SV_wdEDUYear),SV_wdEDUAmt,0)-IF(AND(SV_wdSAVAmt&gt;0,A237=SV_wdSAVYear),SV_wdSAVAmt,0)-IF(AND(SV_wdPRPAmt&gt;0,A237=SV_wdPRPYear),SV_wdPRPAmt,0))*IF(AND(SV_expOn,A237&gt;=SV_expS,A237&lt;=SV_expE),1+SV_expImp,1))</f>
        <v/>
      </c>
      <c r="J237" s="29">
        <f>IF(OR(A237&lt;1,A237&gt;SV_T),0,-F237*(IF(AND(SV_deaOn,A237=SV_deaM),SV_deaAmt,0)+IF(AND(SV_criOn,A237=SV_criM),SV_criAmt,0)+IF(AND(SV_tpdOn,A237=SV_tpdM),SV_tpdAmt,0)+IF(AND(SV_pacOn,A237=SV_pacM),SV_pacAmt,0)+IF(AND(SV_hosOn,A237=SV_hosM),SV_hosAmt,0)+IF(AND(SV_wedOn,A237=SV_wedM),SV_wedAmt,0)+IF(AND(SV_babOn,A237=SV_babM),SV_babAmt,0)+IF(AND(SV_ltcOn,A237&gt;=SV_ltcM,A237&lt;=SV_ltcE),SV_ltcAmt,0)))</f>
        <v/>
      </c>
      <c r="K237" s="29">
        <f>IF(OR(OR(A237&lt;1,A237&gt;SV_T),A237&gt;SV_loanYears),0,-SV_lifePremYr)</f>
        <v/>
      </c>
      <c r="L237" s="29">
        <f>IF(OR(A237&lt;1,A237&gt;SV_T),0,-SV_contrib)</f>
        <v/>
      </c>
      <c r="M237" s="60">
        <f>IF(AND(SV_crashOn,A237=SV_crashYr),SV_crashF,1)</f>
        <v/>
      </c>
      <c r="N237" s="60">
        <f>IF(AND(SV_ccyOn,A237=SV_ccyYr),SV_ccyF,1)</f>
        <v/>
      </c>
      <c r="O237" s="29">
        <f>IF(A237&gt;SV_T,0,O236*(1+interestRate)*M237*N237)</f>
        <v/>
      </c>
      <c r="P237" s="29">
        <f>IF(A237&gt;SV_T,0,(P236+SV_contrib)*(1+investmentReturn)*M237*N237)</f>
        <v/>
      </c>
      <c r="Q237" s="29">
        <f>IF(A237&gt;SV_T,0,Q236*(1+SV_propRate)*M237)</f>
        <v/>
      </c>
      <c r="R237" s="46">
        <f>MATCH(SV_age+A237-1,SV_cpfLower,1)</f>
        <v/>
      </c>
      <c r="S237" s="29">
        <f>IF(OR(OR(A237&lt;1,A237&gt;SV_T),NOT(SV_cpfOn),AND(SV_deaOn,A237&gt;=SV_deaM)),0,MIN(SV_sal0*(1+incomeGrowthRate)^(A237-1)*G237,SV_owCap))</f>
        <v/>
      </c>
      <c r="T237" s="29">
        <f>IF(A237&gt;SV_T,0,T236*(1+SV_oaRate)+IF(A237&gt;=SV_effStop,0,INDEX(SV_cpfOA,R237)*INDEX(SV_cpfTot,R237)*S237))</f>
        <v/>
      </c>
      <c r="U237" s="29">
        <f>IF(A237&gt;SV_T,0,U236*(1+SV_saRate)+IF(A237&gt;=SV_effStop,0,INDEX(SV_cpfSA,R237)*INDEX(SV_cpfTot,R237)*S237))</f>
        <v/>
      </c>
      <c r="V237" s="29">
        <f>IF(A237&gt;SV_T,0,V236*(1+SV_saRate)+IF(A237&gt;=SV_effStop,0,INDEX(SV_cpfMA,R237)*INDEX(SV_cpfTot,R237)*S237))</f>
        <v/>
      </c>
      <c r="W237" s="29">
        <f>IF(OR(OR(A237&lt;1,A237&gt;SV_T),A237&gt;=SV_effNeg),0,-(INDEX(SV_cpfOA,R237)+INDEX(SV_cpfSA,R237)+INDEX(SV_cpfMA,R237))*INDEX(SV_cpfEmp,R237)*S237)</f>
        <v/>
      </c>
      <c r="X237" s="29">
        <f>IF(A237&gt;=SV_sIdx,0,T237)</f>
        <v/>
      </c>
      <c r="Y237" s="29">
        <f>IF(A237&gt;=SV_sIdx,0,U237)</f>
        <v/>
      </c>
      <c r="Z237" s="29">
        <f>IF(A237&gt;=SV_sIdx,MIN(V237,SV_maCap),V237)</f>
        <v/>
      </c>
      <c r="AA237" s="29">
        <f>IF(AND(SV_cpfOn,A237&gt;=SV_pIdx,A237&lt;=SV_T),12*SV_pay,0)</f>
        <v/>
      </c>
      <c r="AB237" s="29">
        <f>IF(A237&gt;SV_T,0,IF(SV_sp&gt;=0,IF(A237&lt;SV_sIdx,0,IF(A237=SV_sIdx,SV_R0,SV_lifeGrowth*AB236)),SV_lifeGrowth*AB236))</f>
        <v/>
      </c>
      <c r="AC237" s="29">
        <f>IF(A237&gt;SV_T,0,IF(AND(SV_sp&gt;=0,A237&lt;SV_sIdx),0,IF(AND(SV_sp&gt;=0,A237=SV_sIdx),SV_L0,SV_lifeGrowth*(AC236-AA237))))</f>
        <v/>
      </c>
      <c r="AD237" s="29">
        <f>X237+Y237+AB237+Z237+IF(AB237&lt;0,0,AC237)</f>
        <v/>
      </c>
      <c r="AE237" s="29">
        <f>AA237+W237</f>
        <v/>
      </c>
      <c r="AF237" s="29">
        <f>IF(OR(A237&gt;SV_T,A237&gt;=SV_loanYears),0,MAX(0,AF236*(1+loanRate)-SV_inst))</f>
        <v/>
      </c>
      <c r="AG237" s="29">
        <f>IF(A237&gt;SV_T,0,AG236*(1+SV_savRate)+H237+I237+J237+K237+L237+AE237)</f>
        <v/>
      </c>
      <c r="AH237" s="29">
        <f>IF(A237&gt;SV_T,0,MAX(0,O237+P237+Q237+AD237+AG237-AF237))</f>
        <v/>
      </c>
      <c r="AI237" s="29">
        <f>IF(A237&gt;SV_T,0,O237+P237+AG237-MAX(0,AF237-(Q237+AD237)))</f>
        <v/>
      </c>
      <c r="AJ237" s="29">
        <f>IF(OR(OR(A237&lt;1,A237&gt;SV_T),A237-1&gt;=SV_retPay),0,SV_retMth*12+IF(A237=1,SV_retLump,0))</f>
        <v/>
      </c>
      <c r="AK237" s="29">
        <f>IF(A237&gt;SV_T,0,(AK236+AJ237)*(1+investmentReturn))</f>
        <v/>
      </c>
      <c r="AL237" s="29">
        <f>IF(OR(A237&lt;1,A237&gt;SV_T),0,IF(A237-1&gt;=SV_EDUPay,0,SV_EDUMth*12+IF(A237=1,SV_EDULump,0))+IF(A237-1&gt;=SV_SAVPay,0,SV_SAVMth*12+IF(A237=1,SV_SAVLump,0))+IF(A237-1&gt;=SV_PRPPay,0,SV_PRPMth*12+IF(A237=1,SV_PRPLump,0)))</f>
        <v/>
      </c>
      <c r="AM237" s="29">
        <f>IF(A237&gt;SV_T,0,(AM236+AL237)*(1+investmentReturn))</f>
        <v/>
      </c>
      <c r="AN237" s="29">
        <f>IF(OR(OR(A237&lt;1,A237&gt;SV_T),A237-1&gt;=SV_protPay),0,SV_protPrem)</f>
        <v/>
      </c>
      <c r="AO237" s="29">
        <f>IF(OR(A237=0,A237&gt;=SV_T),0,ROUND(MAX(0,AK237),2)+ROUND(MAX(0,AM237),2))</f>
        <v/>
      </c>
      <c r="AP237" s="29">
        <f>IF(OR(A237&lt;1,A237&gt;SV_T),0,-(AJ237+AL237+AN237)+IF(A237=SV_T,ROUND(MAX(0,AK237),2)+ROUND(MAX(0,AM237),2),0))</f>
        <v/>
      </c>
      <c r="AQ237" s="29">
        <f>IF(A237&gt;SV_T,0,AQ236*(1+SV_savRate)+H237+I237+J237+K237+L237+AE237+AP237)</f>
        <v/>
      </c>
      <c r="AR237" s="29">
        <f>IF(A237&gt;SV_T,0,MAX(0,O237+P237+Q237+AD237+AQ237+AO237-AF237))</f>
        <v/>
      </c>
      <c r="AS237" s="29">
        <f>IF(A237&gt;SV_T,0,O237+P237+AQ237+AO237-MAX(0,AF237-(Q237+AD237)))</f>
        <v/>
      </c>
    </row>
    <row r="238">
      <c r="A238" s="61" t="n">
        <v>66</v>
      </c>
      <c r="B238" s="61">
        <f>SV_age+A238</f>
        <v/>
      </c>
      <c r="C238" s="61">
        <f>currentYear+A238</f>
        <v/>
      </c>
      <c r="D238" s="52">
        <f>A238&lt;=SV_T</f>
        <v/>
      </c>
      <c r="E238" s="60">
        <f>IF(AND(SV_inflOn,A238&gt;=SV_inflS,A238&lt;=SV_inflE),1+SV_inflRate,1+inflationRate)</f>
        <v/>
      </c>
      <c r="F238" s="60">
        <f>IF(A238&lt;=1,1,F237*E238)</f>
        <v/>
      </c>
      <c r="G238" s="60">
        <f>IF(AND(SV_incOn,A238&gt;=SV_incS,A238&lt;=SV_incE),1+SV_incImp,1)</f>
        <v/>
      </c>
      <c r="H238" s="29">
        <f>IF(OR(OR(A238&lt;1,A238&gt;SV_T),A238-1&gt;=SV_salCut,AND(SV_deaOn,A238&gt;=SV_deaM)),0,SV_sal0*(1+incomeGrowthRate)^(A238-1)*G238)</f>
        <v/>
      </c>
      <c r="I238" s="29">
        <f>IF(OR(A238&lt;1,A238&gt;SV_T),0,(-SV_exp0*F238-IF(A238&lt;=SV_loanYears,SV_inst,0)-IF(AND(SV_wdEDUAmt&gt;0,A238=SV_wdEDUYear),SV_wdEDUAmt,0)-IF(AND(SV_wdSAVAmt&gt;0,A238=SV_wdSAVYear),SV_wdSAVAmt,0)-IF(AND(SV_wdPRPAmt&gt;0,A238=SV_wdPRPYear),SV_wdPRPAmt,0))*IF(AND(SV_expOn,A238&gt;=SV_expS,A238&lt;=SV_expE),1+SV_expImp,1))</f>
        <v/>
      </c>
      <c r="J238" s="29">
        <f>IF(OR(A238&lt;1,A238&gt;SV_T),0,-F238*(IF(AND(SV_deaOn,A238=SV_deaM),SV_deaAmt,0)+IF(AND(SV_criOn,A238=SV_criM),SV_criAmt,0)+IF(AND(SV_tpdOn,A238=SV_tpdM),SV_tpdAmt,0)+IF(AND(SV_pacOn,A238=SV_pacM),SV_pacAmt,0)+IF(AND(SV_hosOn,A238=SV_hosM),SV_hosAmt,0)+IF(AND(SV_wedOn,A238=SV_wedM),SV_wedAmt,0)+IF(AND(SV_babOn,A238=SV_babM),SV_babAmt,0)+IF(AND(SV_ltcOn,A238&gt;=SV_ltcM,A238&lt;=SV_ltcE),SV_ltcAmt,0)))</f>
        <v/>
      </c>
      <c r="K238" s="29">
        <f>IF(OR(OR(A238&lt;1,A238&gt;SV_T),A238&gt;SV_loanYears),0,-SV_lifePremYr)</f>
        <v/>
      </c>
      <c r="L238" s="29">
        <f>IF(OR(A238&lt;1,A238&gt;SV_T),0,-SV_contrib)</f>
        <v/>
      </c>
      <c r="M238" s="60">
        <f>IF(AND(SV_crashOn,A238=SV_crashYr),SV_crashF,1)</f>
        <v/>
      </c>
      <c r="N238" s="60">
        <f>IF(AND(SV_ccyOn,A238=SV_ccyYr),SV_ccyF,1)</f>
        <v/>
      </c>
      <c r="O238" s="29">
        <f>IF(A238&gt;SV_T,0,O237*(1+interestRate)*M238*N238)</f>
        <v/>
      </c>
      <c r="P238" s="29">
        <f>IF(A238&gt;SV_T,0,(P237+SV_contrib)*(1+investmentReturn)*M238*N238)</f>
        <v/>
      </c>
      <c r="Q238" s="29">
        <f>IF(A238&gt;SV_T,0,Q237*(1+SV_propRate)*M238)</f>
        <v/>
      </c>
      <c r="R238" s="46">
        <f>MATCH(SV_age+A238-1,SV_cpfLower,1)</f>
        <v/>
      </c>
      <c r="S238" s="29">
        <f>IF(OR(OR(A238&lt;1,A238&gt;SV_T),NOT(SV_cpfOn),AND(SV_deaOn,A238&gt;=SV_deaM)),0,MIN(SV_sal0*(1+incomeGrowthRate)^(A238-1)*G238,SV_owCap))</f>
        <v/>
      </c>
      <c r="T238" s="29">
        <f>IF(A238&gt;SV_T,0,T237*(1+SV_oaRate)+IF(A238&gt;=SV_effStop,0,INDEX(SV_cpfOA,R238)*INDEX(SV_cpfTot,R238)*S238))</f>
        <v/>
      </c>
      <c r="U238" s="29">
        <f>IF(A238&gt;SV_T,0,U237*(1+SV_saRate)+IF(A238&gt;=SV_effStop,0,INDEX(SV_cpfSA,R238)*INDEX(SV_cpfTot,R238)*S238))</f>
        <v/>
      </c>
      <c r="V238" s="29">
        <f>IF(A238&gt;SV_T,0,V237*(1+SV_saRate)+IF(A238&gt;=SV_effStop,0,INDEX(SV_cpfMA,R238)*INDEX(SV_cpfTot,R238)*S238))</f>
        <v/>
      </c>
      <c r="W238" s="29">
        <f>IF(OR(OR(A238&lt;1,A238&gt;SV_T),A238&gt;=SV_effNeg),0,-(INDEX(SV_cpfOA,R238)+INDEX(SV_cpfSA,R238)+INDEX(SV_cpfMA,R238))*INDEX(SV_cpfEmp,R238)*S238)</f>
        <v/>
      </c>
      <c r="X238" s="29">
        <f>IF(A238&gt;=SV_sIdx,0,T238)</f>
        <v/>
      </c>
      <c r="Y238" s="29">
        <f>IF(A238&gt;=SV_sIdx,0,U238)</f>
        <v/>
      </c>
      <c r="Z238" s="29">
        <f>IF(A238&gt;=SV_sIdx,MIN(V238,SV_maCap),V238)</f>
        <v/>
      </c>
      <c r="AA238" s="29">
        <f>IF(AND(SV_cpfOn,A238&gt;=SV_pIdx,A238&lt;=SV_T),12*SV_pay,0)</f>
        <v/>
      </c>
      <c r="AB238" s="29">
        <f>IF(A238&gt;SV_T,0,IF(SV_sp&gt;=0,IF(A238&lt;SV_sIdx,0,IF(A238=SV_sIdx,SV_R0,SV_lifeGrowth*AB237)),SV_lifeGrowth*AB237))</f>
        <v/>
      </c>
      <c r="AC238" s="29">
        <f>IF(A238&gt;SV_T,0,IF(AND(SV_sp&gt;=0,A238&lt;SV_sIdx),0,IF(AND(SV_sp&gt;=0,A238=SV_sIdx),SV_L0,SV_lifeGrowth*(AC237-AA238))))</f>
        <v/>
      </c>
      <c r="AD238" s="29">
        <f>X238+Y238+AB238+Z238+IF(AB238&lt;0,0,AC238)</f>
        <v/>
      </c>
      <c r="AE238" s="29">
        <f>AA238+W238</f>
        <v/>
      </c>
      <c r="AF238" s="29">
        <f>IF(OR(A238&gt;SV_T,A238&gt;=SV_loanYears),0,MAX(0,AF237*(1+loanRate)-SV_inst))</f>
        <v/>
      </c>
      <c r="AG238" s="29">
        <f>IF(A238&gt;SV_T,0,AG237*(1+SV_savRate)+H238+I238+J238+K238+L238+AE238)</f>
        <v/>
      </c>
      <c r="AH238" s="29">
        <f>IF(A238&gt;SV_T,0,MAX(0,O238+P238+Q238+AD238+AG238-AF238))</f>
        <v/>
      </c>
      <c r="AI238" s="29">
        <f>IF(A238&gt;SV_T,0,O238+P238+AG238-MAX(0,AF238-(Q238+AD238)))</f>
        <v/>
      </c>
      <c r="AJ238" s="29">
        <f>IF(OR(OR(A238&lt;1,A238&gt;SV_T),A238-1&gt;=SV_retPay),0,SV_retMth*12+IF(A238=1,SV_retLump,0))</f>
        <v/>
      </c>
      <c r="AK238" s="29">
        <f>IF(A238&gt;SV_T,0,(AK237+AJ238)*(1+investmentReturn))</f>
        <v/>
      </c>
      <c r="AL238" s="29">
        <f>IF(OR(A238&lt;1,A238&gt;SV_T),0,IF(A238-1&gt;=SV_EDUPay,0,SV_EDUMth*12+IF(A238=1,SV_EDULump,0))+IF(A238-1&gt;=SV_SAVPay,0,SV_SAVMth*12+IF(A238=1,SV_SAVLump,0))+IF(A238-1&gt;=SV_PRPPay,0,SV_PRPMth*12+IF(A238=1,SV_PRPLump,0)))</f>
        <v/>
      </c>
      <c r="AM238" s="29">
        <f>IF(A238&gt;SV_T,0,(AM237+AL238)*(1+investmentReturn))</f>
        <v/>
      </c>
      <c r="AN238" s="29">
        <f>IF(OR(OR(A238&lt;1,A238&gt;SV_T),A238-1&gt;=SV_protPay),0,SV_protPrem)</f>
        <v/>
      </c>
      <c r="AO238" s="29">
        <f>IF(OR(A238=0,A238&gt;=SV_T),0,ROUND(MAX(0,AK238),2)+ROUND(MAX(0,AM238),2))</f>
        <v/>
      </c>
      <c r="AP238" s="29">
        <f>IF(OR(A238&lt;1,A238&gt;SV_T),0,-(AJ238+AL238+AN238)+IF(A238=SV_T,ROUND(MAX(0,AK238),2)+ROUND(MAX(0,AM238),2),0))</f>
        <v/>
      </c>
      <c r="AQ238" s="29">
        <f>IF(A238&gt;SV_T,0,AQ237*(1+SV_savRate)+H238+I238+J238+K238+L238+AE238+AP238)</f>
        <v/>
      </c>
      <c r="AR238" s="29">
        <f>IF(A238&gt;SV_T,0,MAX(0,O238+P238+Q238+AD238+AQ238+AO238-AF238))</f>
        <v/>
      </c>
      <c r="AS238" s="29">
        <f>IF(A238&gt;SV_T,0,O238+P238+AQ238+AO238-MAX(0,AF238-(Q238+AD238)))</f>
        <v/>
      </c>
    </row>
    <row r="239">
      <c r="A239" s="61" t="n">
        <v>67</v>
      </c>
      <c r="B239" s="61">
        <f>SV_age+A239</f>
        <v/>
      </c>
      <c r="C239" s="61">
        <f>currentYear+A239</f>
        <v/>
      </c>
      <c r="D239" s="52">
        <f>A239&lt;=SV_T</f>
        <v/>
      </c>
      <c r="E239" s="60">
        <f>IF(AND(SV_inflOn,A239&gt;=SV_inflS,A239&lt;=SV_inflE),1+SV_inflRate,1+inflationRate)</f>
        <v/>
      </c>
      <c r="F239" s="60">
        <f>IF(A239&lt;=1,1,F238*E239)</f>
        <v/>
      </c>
      <c r="G239" s="60">
        <f>IF(AND(SV_incOn,A239&gt;=SV_incS,A239&lt;=SV_incE),1+SV_incImp,1)</f>
        <v/>
      </c>
      <c r="H239" s="29">
        <f>IF(OR(OR(A239&lt;1,A239&gt;SV_T),A239-1&gt;=SV_salCut,AND(SV_deaOn,A239&gt;=SV_deaM)),0,SV_sal0*(1+incomeGrowthRate)^(A239-1)*G239)</f>
        <v/>
      </c>
      <c r="I239" s="29">
        <f>IF(OR(A239&lt;1,A239&gt;SV_T),0,(-SV_exp0*F239-IF(A239&lt;=SV_loanYears,SV_inst,0)-IF(AND(SV_wdEDUAmt&gt;0,A239=SV_wdEDUYear),SV_wdEDUAmt,0)-IF(AND(SV_wdSAVAmt&gt;0,A239=SV_wdSAVYear),SV_wdSAVAmt,0)-IF(AND(SV_wdPRPAmt&gt;0,A239=SV_wdPRPYear),SV_wdPRPAmt,0))*IF(AND(SV_expOn,A239&gt;=SV_expS,A239&lt;=SV_expE),1+SV_expImp,1))</f>
        <v/>
      </c>
      <c r="J239" s="29">
        <f>IF(OR(A239&lt;1,A239&gt;SV_T),0,-F239*(IF(AND(SV_deaOn,A239=SV_deaM),SV_deaAmt,0)+IF(AND(SV_criOn,A239=SV_criM),SV_criAmt,0)+IF(AND(SV_tpdOn,A239=SV_tpdM),SV_tpdAmt,0)+IF(AND(SV_pacOn,A239=SV_pacM),SV_pacAmt,0)+IF(AND(SV_hosOn,A239=SV_hosM),SV_hosAmt,0)+IF(AND(SV_wedOn,A239=SV_wedM),SV_wedAmt,0)+IF(AND(SV_babOn,A239=SV_babM),SV_babAmt,0)+IF(AND(SV_ltcOn,A239&gt;=SV_ltcM,A239&lt;=SV_ltcE),SV_ltcAmt,0)))</f>
        <v/>
      </c>
      <c r="K239" s="29">
        <f>IF(OR(OR(A239&lt;1,A239&gt;SV_T),A239&gt;SV_loanYears),0,-SV_lifePremYr)</f>
        <v/>
      </c>
      <c r="L239" s="29">
        <f>IF(OR(A239&lt;1,A239&gt;SV_T),0,-SV_contrib)</f>
        <v/>
      </c>
      <c r="M239" s="60">
        <f>IF(AND(SV_crashOn,A239=SV_crashYr),SV_crashF,1)</f>
        <v/>
      </c>
      <c r="N239" s="60">
        <f>IF(AND(SV_ccyOn,A239=SV_ccyYr),SV_ccyF,1)</f>
        <v/>
      </c>
      <c r="O239" s="29">
        <f>IF(A239&gt;SV_T,0,O238*(1+interestRate)*M239*N239)</f>
        <v/>
      </c>
      <c r="P239" s="29">
        <f>IF(A239&gt;SV_T,0,(P238+SV_contrib)*(1+investmentReturn)*M239*N239)</f>
        <v/>
      </c>
      <c r="Q239" s="29">
        <f>IF(A239&gt;SV_T,0,Q238*(1+SV_propRate)*M239)</f>
        <v/>
      </c>
      <c r="R239" s="46">
        <f>MATCH(SV_age+A239-1,SV_cpfLower,1)</f>
        <v/>
      </c>
      <c r="S239" s="29">
        <f>IF(OR(OR(A239&lt;1,A239&gt;SV_T),NOT(SV_cpfOn),AND(SV_deaOn,A239&gt;=SV_deaM)),0,MIN(SV_sal0*(1+incomeGrowthRate)^(A239-1)*G239,SV_owCap))</f>
        <v/>
      </c>
      <c r="T239" s="29">
        <f>IF(A239&gt;SV_T,0,T238*(1+SV_oaRate)+IF(A239&gt;=SV_effStop,0,INDEX(SV_cpfOA,R239)*INDEX(SV_cpfTot,R239)*S239))</f>
        <v/>
      </c>
      <c r="U239" s="29">
        <f>IF(A239&gt;SV_T,0,U238*(1+SV_saRate)+IF(A239&gt;=SV_effStop,0,INDEX(SV_cpfSA,R239)*INDEX(SV_cpfTot,R239)*S239))</f>
        <v/>
      </c>
      <c r="V239" s="29">
        <f>IF(A239&gt;SV_T,0,V238*(1+SV_saRate)+IF(A239&gt;=SV_effStop,0,INDEX(SV_cpfMA,R239)*INDEX(SV_cpfTot,R239)*S239))</f>
        <v/>
      </c>
      <c r="W239" s="29">
        <f>IF(OR(OR(A239&lt;1,A239&gt;SV_T),A239&gt;=SV_effNeg),0,-(INDEX(SV_cpfOA,R239)+INDEX(SV_cpfSA,R239)+INDEX(SV_cpfMA,R239))*INDEX(SV_cpfEmp,R239)*S239)</f>
        <v/>
      </c>
      <c r="X239" s="29">
        <f>IF(A239&gt;=SV_sIdx,0,T239)</f>
        <v/>
      </c>
      <c r="Y239" s="29">
        <f>IF(A239&gt;=SV_sIdx,0,U239)</f>
        <v/>
      </c>
      <c r="Z239" s="29">
        <f>IF(A239&gt;=SV_sIdx,MIN(V239,SV_maCap),V239)</f>
        <v/>
      </c>
      <c r="AA239" s="29">
        <f>IF(AND(SV_cpfOn,A239&gt;=SV_pIdx,A239&lt;=SV_T),12*SV_pay,0)</f>
        <v/>
      </c>
      <c r="AB239" s="29">
        <f>IF(A239&gt;SV_T,0,IF(SV_sp&gt;=0,IF(A239&lt;SV_sIdx,0,IF(A239=SV_sIdx,SV_R0,SV_lifeGrowth*AB238)),SV_lifeGrowth*AB238))</f>
        <v/>
      </c>
      <c r="AC239" s="29">
        <f>IF(A239&gt;SV_T,0,IF(AND(SV_sp&gt;=0,A239&lt;SV_sIdx),0,IF(AND(SV_sp&gt;=0,A239=SV_sIdx),SV_L0,SV_lifeGrowth*(AC238-AA239))))</f>
        <v/>
      </c>
      <c r="AD239" s="29">
        <f>X239+Y239+AB239+Z239+IF(AB239&lt;0,0,AC239)</f>
        <v/>
      </c>
      <c r="AE239" s="29">
        <f>AA239+W239</f>
        <v/>
      </c>
      <c r="AF239" s="29">
        <f>IF(OR(A239&gt;SV_T,A239&gt;=SV_loanYears),0,MAX(0,AF238*(1+loanRate)-SV_inst))</f>
        <v/>
      </c>
      <c r="AG239" s="29">
        <f>IF(A239&gt;SV_T,0,AG238*(1+SV_savRate)+H239+I239+J239+K239+L239+AE239)</f>
        <v/>
      </c>
      <c r="AH239" s="29">
        <f>IF(A239&gt;SV_T,0,MAX(0,O239+P239+Q239+AD239+AG239-AF239))</f>
        <v/>
      </c>
      <c r="AI239" s="29">
        <f>IF(A239&gt;SV_T,0,O239+P239+AG239-MAX(0,AF239-(Q239+AD239)))</f>
        <v/>
      </c>
      <c r="AJ239" s="29">
        <f>IF(OR(OR(A239&lt;1,A239&gt;SV_T),A239-1&gt;=SV_retPay),0,SV_retMth*12+IF(A239=1,SV_retLump,0))</f>
        <v/>
      </c>
      <c r="AK239" s="29">
        <f>IF(A239&gt;SV_T,0,(AK238+AJ239)*(1+investmentReturn))</f>
        <v/>
      </c>
      <c r="AL239" s="29">
        <f>IF(OR(A239&lt;1,A239&gt;SV_T),0,IF(A239-1&gt;=SV_EDUPay,0,SV_EDUMth*12+IF(A239=1,SV_EDULump,0))+IF(A239-1&gt;=SV_SAVPay,0,SV_SAVMth*12+IF(A239=1,SV_SAVLump,0))+IF(A239-1&gt;=SV_PRPPay,0,SV_PRPMth*12+IF(A239=1,SV_PRPLump,0)))</f>
        <v/>
      </c>
      <c r="AM239" s="29">
        <f>IF(A239&gt;SV_T,0,(AM238+AL239)*(1+investmentReturn))</f>
        <v/>
      </c>
      <c r="AN239" s="29">
        <f>IF(OR(OR(A239&lt;1,A239&gt;SV_T),A239-1&gt;=SV_protPay),0,SV_protPrem)</f>
        <v/>
      </c>
      <c r="AO239" s="29">
        <f>IF(OR(A239=0,A239&gt;=SV_T),0,ROUND(MAX(0,AK239),2)+ROUND(MAX(0,AM239),2))</f>
        <v/>
      </c>
      <c r="AP239" s="29">
        <f>IF(OR(A239&lt;1,A239&gt;SV_T),0,-(AJ239+AL239+AN239)+IF(A239=SV_T,ROUND(MAX(0,AK239),2)+ROUND(MAX(0,AM239),2),0))</f>
        <v/>
      </c>
      <c r="AQ239" s="29">
        <f>IF(A239&gt;SV_T,0,AQ238*(1+SV_savRate)+H239+I239+J239+K239+L239+AE239+AP239)</f>
        <v/>
      </c>
      <c r="AR239" s="29">
        <f>IF(A239&gt;SV_T,0,MAX(0,O239+P239+Q239+AD239+AQ239+AO239-AF239))</f>
        <v/>
      </c>
      <c r="AS239" s="29">
        <f>IF(A239&gt;SV_T,0,O239+P239+AQ239+AO239-MAX(0,AF239-(Q239+AD239)))</f>
        <v/>
      </c>
    </row>
    <row r="240">
      <c r="A240" s="61" t="n">
        <v>68</v>
      </c>
      <c r="B240" s="61">
        <f>SV_age+A240</f>
        <v/>
      </c>
      <c r="C240" s="61">
        <f>currentYear+A240</f>
        <v/>
      </c>
      <c r="D240" s="52">
        <f>A240&lt;=SV_T</f>
        <v/>
      </c>
      <c r="E240" s="60">
        <f>IF(AND(SV_inflOn,A240&gt;=SV_inflS,A240&lt;=SV_inflE),1+SV_inflRate,1+inflationRate)</f>
        <v/>
      </c>
      <c r="F240" s="60">
        <f>IF(A240&lt;=1,1,F239*E240)</f>
        <v/>
      </c>
      <c r="G240" s="60">
        <f>IF(AND(SV_incOn,A240&gt;=SV_incS,A240&lt;=SV_incE),1+SV_incImp,1)</f>
        <v/>
      </c>
      <c r="H240" s="29">
        <f>IF(OR(OR(A240&lt;1,A240&gt;SV_T),A240-1&gt;=SV_salCut,AND(SV_deaOn,A240&gt;=SV_deaM)),0,SV_sal0*(1+incomeGrowthRate)^(A240-1)*G240)</f>
        <v/>
      </c>
      <c r="I240" s="29">
        <f>IF(OR(A240&lt;1,A240&gt;SV_T),0,(-SV_exp0*F240-IF(A240&lt;=SV_loanYears,SV_inst,0)-IF(AND(SV_wdEDUAmt&gt;0,A240=SV_wdEDUYear),SV_wdEDUAmt,0)-IF(AND(SV_wdSAVAmt&gt;0,A240=SV_wdSAVYear),SV_wdSAVAmt,0)-IF(AND(SV_wdPRPAmt&gt;0,A240=SV_wdPRPYear),SV_wdPRPAmt,0))*IF(AND(SV_expOn,A240&gt;=SV_expS,A240&lt;=SV_expE),1+SV_expImp,1))</f>
        <v/>
      </c>
      <c r="J240" s="29">
        <f>IF(OR(A240&lt;1,A240&gt;SV_T),0,-F240*(IF(AND(SV_deaOn,A240=SV_deaM),SV_deaAmt,0)+IF(AND(SV_criOn,A240=SV_criM),SV_criAmt,0)+IF(AND(SV_tpdOn,A240=SV_tpdM),SV_tpdAmt,0)+IF(AND(SV_pacOn,A240=SV_pacM),SV_pacAmt,0)+IF(AND(SV_hosOn,A240=SV_hosM),SV_hosAmt,0)+IF(AND(SV_wedOn,A240=SV_wedM),SV_wedAmt,0)+IF(AND(SV_babOn,A240=SV_babM),SV_babAmt,0)+IF(AND(SV_ltcOn,A240&gt;=SV_ltcM,A240&lt;=SV_ltcE),SV_ltcAmt,0)))</f>
        <v/>
      </c>
      <c r="K240" s="29">
        <f>IF(OR(OR(A240&lt;1,A240&gt;SV_T),A240&gt;SV_loanYears),0,-SV_lifePremYr)</f>
        <v/>
      </c>
      <c r="L240" s="29">
        <f>IF(OR(A240&lt;1,A240&gt;SV_T),0,-SV_contrib)</f>
        <v/>
      </c>
      <c r="M240" s="60">
        <f>IF(AND(SV_crashOn,A240=SV_crashYr),SV_crashF,1)</f>
        <v/>
      </c>
      <c r="N240" s="60">
        <f>IF(AND(SV_ccyOn,A240=SV_ccyYr),SV_ccyF,1)</f>
        <v/>
      </c>
      <c r="O240" s="29">
        <f>IF(A240&gt;SV_T,0,O239*(1+interestRate)*M240*N240)</f>
        <v/>
      </c>
      <c r="P240" s="29">
        <f>IF(A240&gt;SV_T,0,(P239+SV_contrib)*(1+investmentReturn)*M240*N240)</f>
        <v/>
      </c>
      <c r="Q240" s="29">
        <f>IF(A240&gt;SV_T,0,Q239*(1+SV_propRate)*M240)</f>
        <v/>
      </c>
      <c r="R240" s="46">
        <f>MATCH(SV_age+A240-1,SV_cpfLower,1)</f>
        <v/>
      </c>
      <c r="S240" s="29">
        <f>IF(OR(OR(A240&lt;1,A240&gt;SV_T),NOT(SV_cpfOn),AND(SV_deaOn,A240&gt;=SV_deaM)),0,MIN(SV_sal0*(1+incomeGrowthRate)^(A240-1)*G240,SV_owCap))</f>
        <v/>
      </c>
      <c r="T240" s="29">
        <f>IF(A240&gt;SV_T,0,T239*(1+SV_oaRate)+IF(A240&gt;=SV_effStop,0,INDEX(SV_cpfOA,R240)*INDEX(SV_cpfTot,R240)*S240))</f>
        <v/>
      </c>
      <c r="U240" s="29">
        <f>IF(A240&gt;SV_T,0,U239*(1+SV_saRate)+IF(A240&gt;=SV_effStop,0,INDEX(SV_cpfSA,R240)*INDEX(SV_cpfTot,R240)*S240))</f>
        <v/>
      </c>
      <c r="V240" s="29">
        <f>IF(A240&gt;SV_T,0,V239*(1+SV_saRate)+IF(A240&gt;=SV_effStop,0,INDEX(SV_cpfMA,R240)*INDEX(SV_cpfTot,R240)*S240))</f>
        <v/>
      </c>
      <c r="W240" s="29">
        <f>IF(OR(OR(A240&lt;1,A240&gt;SV_T),A240&gt;=SV_effNeg),0,-(INDEX(SV_cpfOA,R240)+INDEX(SV_cpfSA,R240)+INDEX(SV_cpfMA,R240))*INDEX(SV_cpfEmp,R240)*S240)</f>
        <v/>
      </c>
      <c r="X240" s="29">
        <f>IF(A240&gt;=SV_sIdx,0,T240)</f>
        <v/>
      </c>
      <c r="Y240" s="29">
        <f>IF(A240&gt;=SV_sIdx,0,U240)</f>
        <v/>
      </c>
      <c r="Z240" s="29">
        <f>IF(A240&gt;=SV_sIdx,MIN(V240,SV_maCap),V240)</f>
        <v/>
      </c>
      <c r="AA240" s="29">
        <f>IF(AND(SV_cpfOn,A240&gt;=SV_pIdx,A240&lt;=SV_T),12*SV_pay,0)</f>
        <v/>
      </c>
      <c r="AB240" s="29">
        <f>IF(A240&gt;SV_T,0,IF(SV_sp&gt;=0,IF(A240&lt;SV_sIdx,0,IF(A240=SV_sIdx,SV_R0,SV_lifeGrowth*AB239)),SV_lifeGrowth*AB239))</f>
        <v/>
      </c>
      <c r="AC240" s="29">
        <f>IF(A240&gt;SV_T,0,IF(AND(SV_sp&gt;=0,A240&lt;SV_sIdx),0,IF(AND(SV_sp&gt;=0,A240=SV_sIdx),SV_L0,SV_lifeGrowth*(AC239-AA240))))</f>
        <v/>
      </c>
      <c r="AD240" s="29">
        <f>X240+Y240+AB240+Z240+IF(AB240&lt;0,0,AC240)</f>
        <v/>
      </c>
      <c r="AE240" s="29">
        <f>AA240+W240</f>
        <v/>
      </c>
      <c r="AF240" s="29">
        <f>IF(OR(A240&gt;SV_T,A240&gt;=SV_loanYears),0,MAX(0,AF239*(1+loanRate)-SV_inst))</f>
        <v/>
      </c>
      <c r="AG240" s="29">
        <f>IF(A240&gt;SV_T,0,AG239*(1+SV_savRate)+H240+I240+J240+K240+L240+AE240)</f>
        <v/>
      </c>
      <c r="AH240" s="29">
        <f>IF(A240&gt;SV_T,0,MAX(0,O240+P240+Q240+AD240+AG240-AF240))</f>
        <v/>
      </c>
      <c r="AI240" s="29">
        <f>IF(A240&gt;SV_T,0,O240+P240+AG240-MAX(0,AF240-(Q240+AD240)))</f>
        <v/>
      </c>
      <c r="AJ240" s="29">
        <f>IF(OR(OR(A240&lt;1,A240&gt;SV_T),A240-1&gt;=SV_retPay),0,SV_retMth*12+IF(A240=1,SV_retLump,0))</f>
        <v/>
      </c>
      <c r="AK240" s="29">
        <f>IF(A240&gt;SV_T,0,(AK239+AJ240)*(1+investmentReturn))</f>
        <v/>
      </c>
      <c r="AL240" s="29">
        <f>IF(OR(A240&lt;1,A240&gt;SV_T),0,IF(A240-1&gt;=SV_EDUPay,0,SV_EDUMth*12+IF(A240=1,SV_EDULump,0))+IF(A240-1&gt;=SV_SAVPay,0,SV_SAVMth*12+IF(A240=1,SV_SAVLump,0))+IF(A240-1&gt;=SV_PRPPay,0,SV_PRPMth*12+IF(A240=1,SV_PRPLump,0)))</f>
        <v/>
      </c>
      <c r="AM240" s="29">
        <f>IF(A240&gt;SV_T,0,(AM239+AL240)*(1+investmentReturn))</f>
        <v/>
      </c>
      <c r="AN240" s="29">
        <f>IF(OR(OR(A240&lt;1,A240&gt;SV_T),A240-1&gt;=SV_protPay),0,SV_protPrem)</f>
        <v/>
      </c>
      <c r="AO240" s="29">
        <f>IF(OR(A240=0,A240&gt;=SV_T),0,ROUND(MAX(0,AK240),2)+ROUND(MAX(0,AM240),2))</f>
        <v/>
      </c>
      <c r="AP240" s="29">
        <f>IF(OR(A240&lt;1,A240&gt;SV_T),0,-(AJ240+AL240+AN240)+IF(A240=SV_T,ROUND(MAX(0,AK240),2)+ROUND(MAX(0,AM240),2),0))</f>
        <v/>
      </c>
      <c r="AQ240" s="29">
        <f>IF(A240&gt;SV_T,0,AQ239*(1+SV_savRate)+H240+I240+J240+K240+L240+AE240+AP240)</f>
        <v/>
      </c>
      <c r="AR240" s="29">
        <f>IF(A240&gt;SV_T,0,MAX(0,O240+P240+Q240+AD240+AQ240+AO240-AF240))</f>
        <v/>
      </c>
      <c r="AS240" s="29">
        <f>IF(A240&gt;SV_T,0,O240+P240+AQ240+AO240-MAX(0,AF240-(Q240+AD240)))</f>
        <v/>
      </c>
    </row>
    <row r="241">
      <c r="A241" s="61" t="n">
        <v>69</v>
      </c>
      <c r="B241" s="61">
        <f>SV_age+A241</f>
        <v/>
      </c>
      <c r="C241" s="61">
        <f>currentYear+A241</f>
        <v/>
      </c>
      <c r="D241" s="52">
        <f>A241&lt;=SV_T</f>
        <v/>
      </c>
      <c r="E241" s="60">
        <f>IF(AND(SV_inflOn,A241&gt;=SV_inflS,A241&lt;=SV_inflE),1+SV_inflRate,1+inflationRate)</f>
        <v/>
      </c>
      <c r="F241" s="60">
        <f>IF(A241&lt;=1,1,F240*E241)</f>
        <v/>
      </c>
      <c r="G241" s="60">
        <f>IF(AND(SV_incOn,A241&gt;=SV_incS,A241&lt;=SV_incE),1+SV_incImp,1)</f>
        <v/>
      </c>
      <c r="H241" s="29">
        <f>IF(OR(OR(A241&lt;1,A241&gt;SV_T),A241-1&gt;=SV_salCut,AND(SV_deaOn,A241&gt;=SV_deaM)),0,SV_sal0*(1+incomeGrowthRate)^(A241-1)*G241)</f>
        <v/>
      </c>
      <c r="I241" s="29">
        <f>IF(OR(A241&lt;1,A241&gt;SV_T),0,(-SV_exp0*F241-IF(A241&lt;=SV_loanYears,SV_inst,0)-IF(AND(SV_wdEDUAmt&gt;0,A241=SV_wdEDUYear),SV_wdEDUAmt,0)-IF(AND(SV_wdSAVAmt&gt;0,A241=SV_wdSAVYear),SV_wdSAVAmt,0)-IF(AND(SV_wdPRPAmt&gt;0,A241=SV_wdPRPYear),SV_wdPRPAmt,0))*IF(AND(SV_expOn,A241&gt;=SV_expS,A241&lt;=SV_expE),1+SV_expImp,1))</f>
        <v/>
      </c>
      <c r="J241" s="29">
        <f>IF(OR(A241&lt;1,A241&gt;SV_T),0,-F241*(IF(AND(SV_deaOn,A241=SV_deaM),SV_deaAmt,0)+IF(AND(SV_criOn,A241=SV_criM),SV_criAmt,0)+IF(AND(SV_tpdOn,A241=SV_tpdM),SV_tpdAmt,0)+IF(AND(SV_pacOn,A241=SV_pacM),SV_pacAmt,0)+IF(AND(SV_hosOn,A241=SV_hosM),SV_hosAmt,0)+IF(AND(SV_wedOn,A241=SV_wedM),SV_wedAmt,0)+IF(AND(SV_babOn,A241=SV_babM),SV_babAmt,0)+IF(AND(SV_ltcOn,A241&gt;=SV_ltcM,A241&lt;=SV_ltcE),SV_ltcAmt,0)))</f>
        <v/>
      </c>
      <c r="K241" s="29">
        <f>IF(OR(OR(A241&lt;1,A241&gt;SV_T),A241&gt;SV_loanYears),0,-SV_lifePremYr)</f>
        <v/>
      </c>
      <c r="L241" s="29">
        <f>IF(OR(A241&lt;1,A241&gt;SV_T),0,-SV_contrib)</f>
        <v/>
      </c>
      <c r="M241" s="60">
        <f>IF(AND(SV_crashOn,A241=SV_crashYr),SV_crashF,1)</f>
        <v/>
      </c>
      <c r="N241" s="60">
        <f>IF(AND(SV_ccyOn,A241=SV_ccyYr),SV_ccyF,1)</f>
        <v/>
      </c>
      <c r="O241" s="29">
        <f>IF(A241&gt;SV_T,0,O240*(1+interestRate)*M241*N241)</f>
        <v/>
      </c>
      <c r="P241" s="29">
        <f>IF(A241&gt;SV_T,0,(P240+SV_contrib)*(1+investmentReturn)*M241*N241)</f>
        <v/>
      </c>
      <c r="Q241" s="29">
        <f>IF(A241&gt;SV_T,0,Q240*(1+SV_propRate)*M241)</f>
        <v/>
      </c>
      <c r="R241" s="46">
        <f>MATCH(SV_age+A241-1,SV_cpfLower,1)</f>
        <v/>
      </c>
      <c r="S241" s="29">
        <f>IF(OR(OR(A241&lt;1,A241&gt;SV_T),NOT(SV_cpfOn),AND(SV_deaOn,A241&gt;=SV_deaM)),0,MIN(SV_sal0*(1+incomeGrowthRate)^(A241-1)*G241,SV_owCap))</f>
        <v/>
      </c>
      <c r="T241" s="29">
        <f>IF(A241&gt;SV_T,0,T240*(1+SV_oaRate)+IF(A241&gt;=SV_effStop,0,INDEX(SV_cpfOA,R241)*INDEX(SV_cpfTot,R241)*S241))</f>
        <v/>
      </c>
      <c r="U241" s="29">
        <f>IF(A241&gt;SV_T,0,U240*(1+SV_saRate)+IF(A241&gt;=SV_effStop,0,INDEX(SV_cpfSA,R241)*INDEX(SV_cpfTot,R241)*S241))</f>
        <v/>
      </c>
      <c r="V241" s="29">
        <f>IF(A241&gt;SV_T,0,V240*(1+SV_saRate)+IF(A241&gt;=SV_effStop,0,INDEX(SV_cpfMA,R241)*INDEX(SV_cpfTot,R241)*S241))</f>
        <v/>
      </c>
      <c r="W241" s="29">
        <f>IF(OR(OR(A241&lt;1,A241&gt;SV_T),A241&gt;=SV_effNeg),0,-(INDEX(SV_cpfOA,R241)+INDEX(SV_cpfSA,R241)+INDEX(SV_cpfMA,R241))*INDEX(SV_cpfEmp,R241)*S241)</f>
        <v/>
      </c>
      <c r="X241" s="29">
        <f>IF(A241&gt;=SV_sIdx,0,T241)</f>
        <v/>
      </c>
      <c r="Y241" s="29">
        <f>IF(A241&gt;=SV_sIdx,0,U241)</f>
        <v/>
      </c>
      <c r="Z241" s="29">
        <f>IF(A241&gt;=SV_sIdx,MIN(V241,SV_maCap),V241)</f>
        <v/>
      </c>
      <c r="AA241" s="29">
        <f>IF(AND(SV_cpfOn,A241&gt;=SV_pIdx,A241&lt;=SV_T),12*SV_pay,0)</f>
        <v/>
      </c>
      <c r="AB241" s="29">
        <f>IF(A241&gt;SV_T,0,IF(SV_sp&gt;=0,IF(A241&lt;SV_sIdx,0,IF(A241=SV_sIdx,SV_R0,SV_lifeGrowth*AB240)),SV_lifeGrowth*AB240))</f>
        <v/>
      </c>
      <c r="AC241" s="29">
        <f>IF(A241&gt;SV_T,0,IF(AND(SV_sp&gt;=0,A241&lt;SV_sIdx),0,IF(AND(SV_sp&gt;=0,A241=SV_sIdx),SV_L0,SV_lifeGrowth*(AC240-AA241))))</f>
        <v/>
      </c>
      <c r="AD241" s="29">
        <f>X241+Y241+AB241+Z241+IF(AB241&lt;0,0,AC241)</f>
        <v/>
      </c>
      <c r="AE241" s="29">
        <f>AA241+W241</f>
        <v/>
      </c>
      <c r="AF241" s="29">
        <f>IF(OR(A241&gt;SV_T,A241&gt;=SV_loanYears),0,MAX(0,AF240*(1+loanRate)-SV_inst))</f>
        <v/>
      </c>
      <c r="AG241" s="29">
        <f>IF(A241&gt;SV_T,0,AG240*(1+SV_savRate)+H241+I241+J241+K241+L241+AE241)</f>
        <v/>
      </c>
      <c r="AH241" s="29">
        <f>IF(A241&gt;SV_T,0,MAX(0,O241+P241+Q241+AD241+AG241-AF241))</f>
        <v/>
      </c>
      <c r="AI241" s="29">
        <f>IF(A241&gt;SV_T,0,O241+P241+AG241-MAX(0,AF241-(Q241+AD241)))</f>
        <v/>
      </c>
      <c r="AJ241" s="29">
        <f>IF(OR(OR(A241&lt;1,A241&gt;SV_T),A241-1&gt;=SV_retPay),0,SV_retMth*12+IF(A241=1,SV_retLump,0))</f>
        <v/>
      </c>
      <c r="AK241" s="29">
        <f>IF(A241&gt;SV_T,0,(AK240+AJ241)*(1+investmentReturn))</f>
        <v/>
      </c>
      <c r="AL241" s="29">
        <f>IF(OR(A241&lt;1,A241&gt;SV_T),0,IF(A241-1&gt;=SV_EDUPay,0,SV_EDUMth*12+IF(A241=1,SV_EDULump,0))+IF(A241-1&gt;=SV_SAVPay,0,SV_SAVMth*12+IF(A241=1,SV_SAVLump,0))+IF(A241-1&gt;=SV_PRPPay,0,SV_PRPMth*12+IF(A241=1,SV_PRPLump,0)))</f>
        <v/>
      </c>
      <c r="AM241" s="29">
        <f>IF(A241&gt;SV_T,0,(AM240+AL241)*(1+investmentReturn))</f>
        <v/>
      </c>
      <c r="AN241" s="29">
        <f>IF(OR(OR(A241&lt;1,A241&gt;SV_T),A241-1&gt;=SV_protPay),0,SV_protPrem)</f>
        <v/>
      </c>
      <c r="AO241" s="29">
        <f>IF(OR(A241=0,A241&gt;=SV_T),0,ROUND(MAX(0,AK241),2)+ROUND(MAX(0,AM241),2))</f>
        <v/>
      </c>
      <c r="AP241" s="29">
        <f>IF(OR(A241&lt;1,A241&gt;SV_T),0,-(AJ241+AL241+AN241)+IF(A241=SV_T,ROUND(MAX(0,AK241),2)+ROUND(MAX(0,AM241),2),0))</f>
        <v/>
      </c>
      <c r="AQ241" s="29">
        <f>IF(A241&gt;SV_T,0,AQ240*(1+SV_savRate)+H241+I241+J241+K241+L241+AE241+AP241)</f>
        <v/>
      </c>
      <c r="AR241" s="29">
        <f>IF(A241&gt;SV_T,0,MAX(0,O241+P241+Q241+AD241+AQ241+AO241-AF241))</f>
        <v/>
      </c>
      <c r="AS241" s="29">
        <f>IF(A241&gt;SV_T,0,O241+P241+AQ241+AO241-MAX(0,AF241-(Q241+AD241)))</f>
        <v/>
      </c>
    </row>
    <row r="242">
      <c r="A242" s="61" t="n">
        <v>70</v>
      </c>
      <c r="B242" s="61">
        <f>SV_age+A242</f>
        <v/>
      </c>
      <c r="C242" s="61">
        <f>currentYear+A242</f>
        <v/>
      </c>
      <c r="D242" s="52">
        <f>A242&lt;=SV_T</f>
        <v/>
      </c>
      <c r="E242" s="60">
        <f>IF(AND(SV_inflOn,A242&gt;=SV_inflS,A242&lt;=SV_inflE),1+SV_inflRate,1+inflationRate)</f>
        <v/>
      </c>
      <c r="F242" s="60">
        <f>IF(A242&lt;=1,1,F241*E242)</f>
        <v/>
      </c>
      <c r="G242" s="60">
        <f>IF(AND(SV_incOn,A242&gt;=SV_incS,A242&lt;=SV_incE),1+SV_incImp,1)</f>
        <v/>
      </c>
      <c r="H242" s="29">
        <f>IF(OR(OR(A242&lt;1,A242&gt;SV_T),A242-1&gt;=SV_salCut,AND(SV_deaOn,A242&gt;=SV_deaM)),0,SV_sal0*(1+incomeGrowthRate)^(A242-1)*G242)</f>
        <v/>
      </c>
      <c r="I242" s="29">
        <f>IF(OR(A242&lt;1,A242&gt;SV_T),0,(-SV_exp0*F242-IF(A242&lt;=SV_loanYears,SV_inst,0)-IF(AND(SV_wdEDUAmt&gt;0,A242=SV_wdEDUYear),SV_wdEDUAmt,0)-IF(AND(SV_wdSAVAmt&gt;0,A242=SV_wdSAVYear),SV_wdSAVAmt,0)-IF(AND(SV_wdPRPAmt&gt;0,A242=SV_wdPRPYear),SV_wdPRPAmt,0))*IF(AND(SV_expOn,A242&gt;=SV_expS,A242&lt;=SV_expE),1+SV_expImp,1))</f>
        <v/>
      </c>
      <c r="J242" s="29">
        <f>IF(OR(A242&lt;1,A242&gt;SV_T),0,-F242*(IF(AND(SV_deaOn,A242=SV_deaM),SV_deaAmt,0)+IF(AND(SV_criOn,A242=SV_criM),SV_criAmt,0)+IF(AND(SV_tpdOn,A242=SV_tpdM),SV_tpdAmt,0)+IF(AND(SV_pacOn,A242=SV_pacM),SV_pacAmt,0)+IF(AND(SV_hosOn,A242=SV_hosM),SV_hosAmt,0)+IF(AND(SV_wedOn,A242=SV_wedM),SV_wedAmt,0)+IF(AND(SV_babOn,A242=SV_babM),SV_babAmt,0)+IF(AND(SV_ltcOn,A242&gt;=SV_ltcM,A242&lt;=SV_ltcE),SV_ltcAmt,0)))</f>
        <v/>
      </c>
      <c r="K242" s="29">
        <f>IF(OR(OR(A242&lt;1,A242&gt;SV_T),A242&gt;SV_loanYears),0,-SV_lifePremYr)</f>
        <v/>
      </c>
      <c r="L242" s="29">
        <f>IF(OR(A242&lt;1,A242&gt;SV_T),0,-SV_contrib)</f>
        <v/>
      </c>
      <c r="M242" s="60">
        <f>IF(AND(SV_crashOn,A242=SV_crashYr),SV_crashF,1)</f>
        <v/>
      </c>
      <c r="N242" s="60">
        <f>IF(AND(SV_ccyOn,A242=SV_ccyYr),SV_ccyF,1)</f>
        <v/>
      </c>
      <c r="O242" s="29">
        <f>IF(A242&gt;SV_T,0,O241*(1+interestRate)*M242*N242)</f>
        <v/>
      </c>
      <c r="P242" s="29">
        <f>IF(A242&gt;SV_T,0,(P241+SV_contrib)*(1+investmentReturn)*M242*N242)</f>
        <v/>
      </c>
      <c r="Q242" s="29">
        <f>IF(A242&gt;SV_T,0,Q241*(1+SV_propRate)*M242)</f>
        <v/>
      </c>
      <c r="R242" s="46">
        <f>MATCH(SV_age+A242-1,SV_cpfLower,1)</f>
        <v/>
      </c>
      <c r="S242" s="29">
        <f>IF(OR(OR(A242&lt;1,A242&gt;SV_T),NOT(SV_cpfOn),AND(SV_deaOn,A242&gt;=SV_deaM)),0,MIN(SV_sal0*(1+incomeGrowthRate)^(A242-1)*G242,SV_owCap))</f>
        <v/>
      </c>
      <c r="T242" s="29">
        <f>IF(A242&gt;SV_T,0,T241*(1+SV_oaRate)+IF(A242&gt;=SV_effStop,0,INDEX(SV_cpfOA,R242)*INDEX(SV_cpfTot,R242)*S242))</f>
        <v/>
      </c>
      <c r="U242" s="29">
        <f>IF(A242&gt;SV_T,0,U241*(1+SV_saRate)+IF(A242&gt;=SV_effStop,0,INDEX(SV_cpfSA,R242)*INDEX(SV_cpfTot,R242)*S242))</f>
        <v/>
      </c>
      <c r="V242" s="29">
        <f>IF(A242&gt;SV_T,0,V241*(1+SV_saRate)+IF(A242&gt;=SV_effStop,0,INDEX(SV_cpfMA,R242)*INDEX(SV_cpfTot,R242)*S242))</f>
        <v/>
      </c>
      <c r="W242" s="29">
        <f>IF(OR(OR(A242&lt;1,A242&gt;SV_T),A242&gt;=SV_effNeg),0,-(INDEX(SV_cpfOA,R242)+INDEX(SV_cpfSA,R242)+INDEX(SV_cpfMA,R242))*INDEX(SV_cpfEmp,R242)*S242)</f>
        <v/>
      </c>
      <c r="X242" s="29">
        <f>IF(A242&gt;=SV_sIdx,0,T242)</f>
        <v/>
      </c>
      <c r="Y242" s="29">
        <f>IF(A242&gt;=SV_sIdx,0,U242)</f>
        <v/>
      </c>
      <c r="Z242" s="29">
        <f>IF(A242&gt;=SV_sIdx,MIN(V242,SV_maCap),V242)</f>
        <v/>
      </c>
      <c r="AA242" s="29">
        <f>IF(AND(SV_cpfOn,A242&gt;=SV_pIdx,A242&lt;=SV_T),12*SV_pay,0)</f>
        <v/>
      </c>
      <c r="AB242" s="29">
        <f>IF(A242&gt;SV_T,0,IF(SV_sp&gt;=0,IF(A242&lt;SV_sIdx,0,IF(A242=SV_sIdx,SV_R0,SV_lifeGrowth*AB241)),SV_lifeGrowth*AB241))</f>
        <v/>
      </c>
      <c r="AC242" s="29">
        <f>IF(A242&gt;SV_T,0,IF(AND(SV_sp&gt;=0,A242&lt;SV_sIdx),0,IF(AND(SV_sp&gt;=0,A242=SV_sIdx),SV_L0,SV_lifeGrowth*(AC241-AA242))))</f>
        <v/>
      </c>
      <c r="AD242" s="29">
        <f>X242+Y242+AB242+Z242+IF(AB242&lt;0,0,AC242)</f>
        <v/>
      </c>
      <c r="AE242" s="29">
        <f>AA242+W242</f>
        <v/>
      </c>
      <c r="AF242" s="29">
        <f>IF(OR(A242&gt;SV_T,A242&gt;=SV_loanYears),0,MAX(0,AF241*(1+loanRate)-SV_inst))</f>
        <v/>
      </c>
      <c r="AG242" s="29">
        <f>IF(A242&gt;SV_T,0,AG241*(1+SV_savRate)+H242+I242+J242+K242+L242+AE242)</f>
        <v/>
      </c>
      <c r="AH242" s="29">
        <f>IF(A242&gt;SV_T,0,MAX(0,O242+P242+Q242+AD242+AG242-AF242))</f>
        <v/>
      </c>
      <c r="AI242" s="29">
        <f>IF(A242&gt;SV_T,0,O242+P242+AG242-MAX(0,AF242-(Q242+AD242)))</f>
        <v/>
      </c>
      <c r="AJ242" s="29">
        <f>IF(OR(OR(A242&lt;1,A242&gt;SV_T),A242-1&gt;=SV_retPay),0,SV_retMth*12+IF(A242=1,SV_retLump,0))</f>
        <v/>
      </c>
      <c r="AK242" s="29">
        <f>IF(A242&gt;SV_T,0,(AK241+AJ242)*(1+investmentReturn))</f>
        <v/>
      </c>
      <c r="AL242" s="29">
        <f>IF(OR(A242&lt;1,A242&gt;SV_T),0,IF(A242-1&gt;=SV_EDUPay,0,SV_EDUMth*12+IF(A242=1,SV_EDULump,0))+IF(A242-1&gt;=SV_SAVPay,0,SV_SAVMth*12+IF(A242=1,SV_SAVLump,0))+IF(A242-1&gt;=SV_PRPPay,0,SV_PRPMth*12+IF(A242=1,SV_PRPLump,0)))</f>
        <v/>
      </c>
      <c r="AM242" s="29">
        <f>IF(A242&gt;SV_T,0,(AM241+AL242)*(1+investmentReturn))</f>
        <v/>
      </c>
      <c r="AN242" s="29">
        <f>IF(OR(OR(A242&lt;1,A242&gt;SV_T),A242-1&gt;=SV_protPay),0,SV_protPrem)</f>
        <v/>
      </c>
      <c r="AO242" s="29">
        <f>IF(OR(A242=0,A242&gt;=SV_T),0,ROUND(MAX(0,AK242),2)+ROUND(MAX(0,AM242),2))</f>
        <v/>
      </c>
      <c r="AP242" s="29">
        <f>IF(OR(A242&lt;1,A242&gt;SV_T),0,-(AJ242+AL242+AN242)+IF(A242=SV_T,ROUND(MAX(0,AK242),2)+ROUND(MAX(0,AM242),2),0))</f>
        <v/>
      </c>
      <c r="AQ242" s="29">
        <f>IF(A242&gt;SV_T,0,AQ241*(1+SV_savRate)+H242+I242+J242+K242+L242+AE242+AP242)</f>
        <v/>
      </c>
      <c r="AR242" s="29">
        <f>IF(A242&gt;SV_T,0,MAX(0,O242+P242+Q242+AD242+AQ242+AO242-AF242))</f>
        <v/>
      </c>
      <c r="AS242" s="29">
        <f>IF(A242&gt;SV_T,0,O242+P242+AQ242+AO242-MAX(0,AF242-(Q242+AD242)))</f>
        <v/>
      </c>
    </row>
    <row r="243">
      <c r="A243" s="61" t="n">
        <v>71</v>
      </c>
      <c r="B243" s="61">
        <f>SV_age+A243</f>
        <v/>
      </c>
      <c r="C243" s="61">
        <f>currentYear+A243</f>
        <v/>
      </c>
      <c r="D243" s="52">
        <f>A243&lt;=SV_T</f>
        <v/>
      </c>
      <c r="E243" s="60">
        <f>IF(AND(SV_inflOn,A243&gt;=SV_inflS,A243&lt;=SV_inflE),1+SV_inflRate,1+inflationRate)</f>
        <v/>
      </c>
      <c r="F243" s="60">
        <f>IF(A243&lt;=1,1,F242*E243)</f>
        <v/>
      </c>
      <c r="G243" s="60">
        <f>IF(AND(SV_incOn,A243&gt;=SV_incS,A243&lt;=SV_incE),1+SV_incImp,1)</f>
        <v/>
      </c>
      <c r="H243" s="29">
        <f>IF(OR(OR(A243&lt;1,A243&gt;SV_T),A243-1&gt;=SV_salCut,AND(SV_deaOn,A243&gt;=SV_deaM)),0,SV_sal0*(1+incomeGrowthRate)^(A243-1)*G243)</f>
        <v/>
      </c>
      <c r="I243" s="29">
        <f>IF(OR(A243&lt;1,A243&gt;SV_T),0,(-SV_exp0*F243-IF(A243&lt;=SV_loanYears,SV_inst,0)-IF(AND(SV_wdEDUAmt&gt;0,A243=SV_wdEDUYear),SV_wdEDUAmt,0)-IF(AND(SV_wdSAVAmt&gt;0,A243=SV_wdSAVYear),SV_wdSAVAmt,0)-IF(AND(SV_wdPRPAmt&gt;0,A243=SV_wdPRPYear),SV_wdPRPAmt,0))*IF(AND(SV_expOn,A243&gt;=SV_expS,A243&lt;=SV_expE),1+SV_expImp,1))</f>
        <v/>
      </c>
      <c r="J243" s="29">
        <f>IF(OR(A243&lt;1,A243&gt;SV_T),0,-F243*(IF(AND(SV_deaOn,A243=SV_deaM),SV_deaAmt,0)+IF(AND(SV_criOn,A243=SV_criM),SV_criAmt,0)+IF(AND(SV_tpdOn,A243=SV_tpdM),SV_tpdAmt,0)+IF(AND(SV_pacOn,A243=SV_pacM),SV_pacAmt,0)+IF(AND(SV_hosOn,A243=SV_hosM),SV_hosAmt,0)+IF(AND(SV_wedOn,A243=SV_wedM),SV_wedAmt,0)+IF(AND(SV_babOn,A243=SV_babM),SV_babAmt,0)+IF(AND(SV_ltcOn,A243&gt;=SV_ltcM,A243&lt;=SV_ltcE),SV_ltcAmt,0)))</f>
        <v/>
      </c>
      <c r="K243" s="29">
        <f>IF(OR(OR(A243&lt;1,A243&gt;SV_T),A243&gt;SV_loanYears),0,-SV_lifePremYr)</f>
        <v/>
      </c>
      <c r="L243" s="29">
        <f>IF(OR(A243&lt;1,A243&gt;SV_T),0,-SV_contrib)</f>
        <v/>
      </c>
      <c r="M243" s="60">
        <f>IF(AND(SV_crashOn,A243=SV_crashYr),SV_crashF,1)</f>
        <v/>
      </c>
      <c r="N243" s="60">
        <f>IF(AND(SV_ccyOn,A243=SV_ccyYr),SV_ccyF,1)</f>
        <v/>
      </c>
      <c r="O243" s="29">
        <f>IF(A243&gt;SV_T,0,O242*(1+interestRate)*M243*N243)</f>
        <v/>
      </c>
      <c r="P243" s="29">
        <f>IF(A243&gt;SV_T,0,(P242+SV_contrib)*(1+investmentReturn)*M243*N243)</f>
        <v/>
      </c>
      <c r="Q243" s="29">
        <f>IF(A243&gt;SV_T,0,Q242*(1+SV_propRate)*M243)</f>
        <v/>
      </c>
      <c r="R243" s="46">
        <f>MATCH(SV_age+A243-1,SV_cpfLower,1)</f>
        <v/>
      </c>
      <c r="S243" s="29">
        <f>IF(OR(OR(A243&lt;1,A243&gt;SV_T),NOT(SV_cpfOn),AND(SV_deaOn,A243&gt;=SV_deaM)),0,MIN(SV_sal0*(1+incomeGrowthRate)^(A243-1)*G243,SV_owCap))</f>
        <v/>
      </c>
      <c r="T243" s="29">
        <f>IF(A243&gt;SV_T,0,T242*(1+SV_oaRate)+IF(A243&gt;=SV_effStop,0,INDEX(SV_cpfOA,R243)*INDEX(SV_cpfTot,R243)*S243))</f>
        <v/>
      </c>
      <c r="U243" s="29">
        <f>IF(A243&gt;SV_T,0,U242*(1+SV_saRate)+IF(A243&gt;=SV_effStop,0,INDEX(SV_cpfSA,R243)*INDEX(SV_cpfTot,R243)*S243))</f>
        <v/>
      </c>
      <c r="V243" s="29">
        <f>IF(A243&gt;SV_T,0,V242*(1+SV_saRate)+IF(A243&gt;=SV_effStop,0,INDEX(SV_cpfMA,R243)*INDEX(SV_cpfTot,R243)*S243))</f>
        <v/>
      </c>
      <c r="W243" s="29">
        <f>IF(OR(OR(A243&lt;1,A243&gt;SV_T),A243&gt;=SV_effNeg),0,-(INDEX(SV_cpfOA,R243)+INDEX(SV_cpfSA,R243)+INDEX(SV_cpfMA,R243))*INDEX(SV_cpfEmp,R243)*S243)</f>
        <v/>
      </c>
      <c r="X243" s="29">
        <f>IF(A243&gt;=SV_sIdx,0,T243)</f>
        <v/>
      </c>
      <c r="Y243" s="29">
        <f>IF(A243&gt;=SV_sIdx,0,U243)</f>
        <v/>
      </c>
      <c r="Z243" s="29">
        <f>IF(A243&gt;=SV_sIdx,MIN(V243,SV_maCap),V243)</f>
        <v/>
      </c>
      <c r="AA243" s="29">
        <f>IF(AND(SV_cpfOn,A243&gt;=SV_pIdx,A243&lt;=SV_T),12*SV_pay,0)</f>
        <v/>
      </c>
      <c r="AB243" s="29">
        <f>IF(A243&gt;SV_T,0,IF(SV_sp&gt;=0,IF(A243&lt;SV_sIdx,0,IF(A243=SV_sIdx,SV_R0,SV_lifeGrowth*AB242)),SV_lifeGrowth*AB242))</f>
        <v/>
      </c>
      <c r="AC243" s="29">
        <f>IF(A243&gt;SV_T,0,IF(AND(SV_sp&gt;=0,A243&lt;SV_sIdx),0,IF(AND(SV_sp&gt;=0,A243=SV_sIdx),SV_L0,SV_lifeGrowth*(AC242-AA243))))</f>
        <v/>
      </c>
      <c r="AD243" s="29">
        <f>X243+Y243+AB243+Z243+IF(AB243&lt;0,0,AC243)</f>
        <v/>
      </c>
      <c r="AE243" s="29">
        <f>AA243+W243</f>
        <v/>
      </c>
      <c r="AF243" s="29">
        <f>IF(OR(A243&gt;SV_T,A243&gt;=SV_loanYears),0,MAX(0,AF242*(1+loanRate)-SV_inst))</f>
        <v/>
      </c>
      <c r="AG243" s="29">
        <f>IF(A243&gt;SV_T,0,AG242*(1+SV_savRate)+H243+I243+J243+K243+L243+AE243)</f>
        <v/>
      </c>
      <c r="AH243" s="29">
        <f>IF(A243&gt;SV_T,0,MAX(0,O243+P243+Q243+AD243+AG243-AF243))</f>
        <v/>
      </c>
      <c r="AI243" s="29">
        <f>IF(A243&gt;SV_T,0,O243+P243+AG243-MAX(0,AF243-(Q243+AD243)))</f>
        <v/>
      </c>
      <c r="AJ243" s="29">
        <f>IF(OR(OR(A243&lt;1,A243&gt;SV_T),A243-1&gt;=SV_retPay),0,SV_retMth*12+IF(A243=1,SV_retLump,0))</f>
        <v/>
      </c>
      <c r="AK243" s="29">
        <f>IF(A243&gt;SV_T,0,(AK242+AJ243)*(1+investmentReturn))</f>
        <v/>
      </c>
      <c r="AL243" s="29">
        <f>IF(OR(A243&lt;1,A243&gt;SV_T),0,IF(A243-1&gt;=SV_EDUPay,0,SV_EDUMth*12+IF(A243=1,SV_EDULump,0))+IF(A243-1&gt;=SV_SAVPay,0,SV_SAVMth*12+IF(A243=1,SV_SAVLump,0))+IF(A243-1&gt;=SV_PRPPay,0,SV_PRPMth*12+IF(A243=1,SV_PRPLump,0)))</f>
        <v/>
      </c>
      <c r="AM243" s="29">
        <f>IF(A243&gt;SV_T,0,(AM242+AL243)*(1+investmentReturn))</f>
        <v/>
      </c>
      <c r="AN243" s="29">
        <f>IF(OR(OR(A243&lt;1,A243&gt;SV_T),A243-1&gt;=SV_protPay),0,SV_protPrem)</f>
        <v/>
      </c>
      <c r="AO243" s="29">
        <f>IF(OR(A243=0,A243&gt;=SV_T),0,ROUND(MAX(0,AK243),2)+ROUND(MAX(0,AM243),2))</f>
        <v/>
      </c>
      <c r="AP243" s="29">
        <f>IF(OR(A243&lt;1,A243&gt;SV_T),0,-(AJ243+AL243+AN243)+IF(A243=SV_T,ROUND(MAX(0,AK243),2)+ROUND(MAX(0,AM243),2),0))</f>
        <v/>
      </c>
      <c r="AQ243" s="29">
        <f>IF(A243&gt;SV_T,0,AQ242*(1+SV_savRate)+H243+I243+J243+K243+L243+AE243+AP243)</f>
        <v/>
      </c>
      <c r="AR243" s="29">
        <f>IF(A243&gt;SV_T,0,MAX(0,O243+P243+Q243+AD243+AQ243+AO243-AF243))</f>
        <v/>
      </c>
      <c r="AS243" s="29">
        <f>IF(A243&gt;SV_T,0,O243+P243+AQ243+AO243-MAX(0,AF243-(Q243+AD243)))</f>
        <v/>
      </c>
    </row>
    <row r="244">
      <c r="A244" s="61" t="n">
        <v>72</v>
      </c>
      <c r="B244" s="61">
        <f>SV_age+A244</f>
        <v/>
      </c>
      <c r="C244" s="61">
        <f>currentYear+A244</f>
        <v/>
      </c>
      <c r="D244" s="52">
        <f>A244&lt;=SV_T</f>
        <v/>
      </c>
      <c r="E244" s="60">
        <f>IF(AND(SV_inflOn,A244&gt;=SV_inflS,A244&lt;=SV_inflE),1+SV_inflRate,1+inflationRate)</f>
        <v/>
      </c>
      <c r="F244" s="60">
        <f>IF(A244&lt;=1,1,F243*E244)</f>
        <v/>
      </c>
      <c r="G244" s="60">
        <f>IF(AND(SV_incOn,A244&gt;=SV_incS,A244&lt;=SV_incE),1+SV_incImp,1)</f>
        <v/>
      </c>
      <c r="H244" s="29">
        <f>IF(OR(OR(A244&lt;1,A244&gt;SV_T),A244-1&gt;=SV_salCut,AND(SV_deaOn,A244&gt;=SV_deaM)),0,SV_sal0*(1+incomeGrowthRate)^(A244-1)*G244)</f>
        <v/>
      </c>
      <c r="I244" s="29">
        <f>IF(OR(A244&lt;1,A244&gt;SV_T),0,(-SV_exp0*F244-IF(A244&lt;=SV_loanYears,SV_inst,0)-IF(AND(SV_wdEDUAmt&gt;0,A244=SV_wdEDUYear),SV_wdEDUAmt,0)-IF(AND(SV_wdSAVAmt&gt;0,A244=SV_wdSAVYear),SV_wdSAVAmt,0)-IF(AND(SV_wdPRPAmt&gt;0,A244=SV_wdPRPYear),SV_wdPRPAmt,0))*IF(AND(SV_expOn,A244&gt;=SV_expS,A244&lt;=SV_expE),1+SV_expImp,1))</f>
        <v/>
      </c>
      <c r="J244" s="29">
        <f>IF(OR(A244&lt;1,A244&gt;SV_T),0,-F244*(IF(AND(SV_deaOn,A244=SV_deaM),SV_deaAmt,0)+IF(AND(SV_criOn,A244=SV_criM),SV_criAmt,0)+IF(AND(SV_tpdOn,A244=SV_tpdM),SV_tpdAmt,0)+IF(AND(SV_pacOn,A244=SV_pacM),SV_pacAmt,0)+IF(AND(SV_hosOn,A244=SV_hosM),SV_hosAmt,0)+IF(AND(SV_wedOn,A244=SV_wedM),SV_wedAmt,0)+IF(AND(SV_babOn,A244=SV_babM),SV_babAmt,0)+IF(AND(SV_ltcOn,A244&gt;=SV_ltcM,A244&lt;=SV_ltcE),SV_ltcAmt,0)))</f>
        <v/>
      </c>
      <c r="K244" s="29">
        <f>IF(OR(OR(A244&lt;1,A244&gt;SV_T),A244&gt;SV_loanYears),0,-SV_lifePremYr)</f>
        <v/>
      </c>
      <c r="L244" s="29">
        <f>IF(OR(A244&lt;1,A244&gt;SV_T),0,-SV_contrib)</f>
        <v/>
      </c>
      <c r="M244" s="60">
        <f>IF(AND(SV_crashOn,A244=SV_crashYr),SV_crashF,1)</f>
        <v/>
      </c>
      <c r="N244" s="60">
        <f>IF(AND(SV_ccyOn,A244=SV_ccyYr),SV_ccyF,1)</f>
        <v/>
      </c>
      <c r="O244" s="29">
        <f>IF(A244&gt;SV_T,0,O243*(1+interestRate)*M244*N244)</f>
        <v/>
      </c>
      <c r="P244" s="29">
        <f>IF(A244&gt;SV_T,0,(P243+SV_contrib)*(1+investmentReturn)*M244*N244)</f>
        <v/>
      </c>
      <c r="Q244" s="29">
        <f>IF(A244&gt;SV_T,0,Q243*(1+SV_propRate)*M244)</f>
        <v/>
      </c>
      <c r="R244" s="46">
        <f>MATCH(SV_age+A244-1,SV_cpfLower,1)</f>
        <v/>
      </c>
      <c r="S244" s="29">
        <f>IF(OR(OR(A244&lt;1,A244&gt;SV_T),NOT(SV_cpfOn),AND(SV_deaOn,A244&gt;=SV_deaM)),0,MIN(SV_sal0*(1+incomeGrowthRate)^(A244-1)*G244,SV_owCap))</f>
        <v/>
      </c>
      <c r="T244" s="29">
        <f>IF(A244&gt;SV_T,0,T243*(1+SV_oaRate)+IF(A244&gt;=SV_effStop,0,INDEX(SV_cpfOA,R244)*INDEX(SV_cpfTot,R244)*S244))</f>
        <v/>
      </c>
      <c r="U244" s="29">
        <f>IF(A244&gt;SV_T,0,U243*(1+SV_saRate)+IF(A244&gt;=SV_effStop,0,INDEX(SV_cpfSA,R244)*INDEX(SV_cpfTot,R244)*S244))</f>
        <v/>
      </c>
      <c r="V244" s="29">
        <f>IF(A244&gt;SV_T,0,V243*(1+SV_saRate)+IF(A244&gt;=SV_effStop,0,INDEX(SV_cpfMA,R244)*INDEX(SV_cpfTot,R244)*S244))</f>
        <v/>
      </c>
      <c r="W244" s="29">
        <f>IF(OR(OR(A244&lt;1,A244&gt;SV_T),A244&gt;=SV_effNeg),0,-(INDEX(SV_cpfOA,R244)+INDEX(SV_cpfSA,R244)+INDEX(SV_cpfMA,R244))*INDEX(SV_cpfEmp,R244)*S244)</f>
        <v/>
      </c>
      <c r="X244" s="29">
        <f>IF(A244&gt;=SV_sIdx,0,T244)</f>
        <v/>
      </c>
      <c r="Y244" s="29">
        <f>IF(A244&gt;=SV_sIdx,0,U244)</f>
        <v/>
      </c>
      <c r="Z244" s="29">
        <f>IF(A244&gt;=SV_sIdx,MIN(V244,SV_maCap),V244)</f>
        <v/>
      </c>
      <c r="AA244" s="29">
        <f>IF(AND(SV_cpfOn,A244&gt;=SV_pIdx,A244&lt;=SV_T),12*SV_pay,0)</f>
        <v/>
      </c>
      <c r="AB244" s="29">
        <f>IF(A244&gt;SV_T,0,IF(SV_sp&gt;=0,IF(A244&lt;SV_sIdx,0,IF(A244=SV_sIdx,SV_R0,SV_lifeGrowth*AB243)),SV_lifeGrowth*AB243))</f>
        <v/>
      </c>
      <c r="AC244" s="29">
        <f>IF(A244&gt;SV_T,0,IF(AND(SV_sp&gt;=0,A244&lt;SV_sIdx),0,IF(AND(SV_sp&gt;=0,A244=SV_sIdx),SV_L0,SV_lifeGrowth*(AC243-AA244))))</f>
        <v/>
      </c>
      <c r="AD244" s="29">
        <f>X244+Y244+AB244+Z244+IF(AB244&lt;0,0,AC244)</f>
        <v/>
      </c>
      <c r="AE244" s="29">
        <f>AA244+W244</f>
        <v/>
      </c>
      <c r="AF244" s="29">
        <f>IF(OR(A244&gt;SV_T,A244&gt;=SV_loanYears),0,MAX(0,AF243*(1+loanRate)-SV_inst))</f>
        <v/>
      </c>
      <c r="AG244" s="29">
        <f>IF(A244&gt;SV_T,0,AG243*(1+SV_savRate)+H244+I244+J244+K244+L244+AE244)</f>
        <v/>
      </c>
      <c r="AH244" s="29">
        <f>IF(A244&gt;SV_T,0,MAX(0,O244+P244+Q244+AD244+AG244-AF244))</f>
        <v/>
      </c>
      <c r="AI244" s="29">
        <f>IF(A244&gt;SV_T,0,O244+P244+AG244-MAX(0,AF244-(Q244+AD244)))</f>
        <v/>
      </c>
      <c r="AJ244" s="29">
        <f>IF(OR(OR(A244&lt;1,A244&gt;SV_T),A244-1&gt;=SV_retPay),0,SV_retMth*12+IF(A244=1,SV_retLump,0))</f>
        <v/>
      </c>
      <c r="AK244" s="29">
        <f>IF(A244&gt;SV_T,0,(AK243+AJ244)*(1+investmentReturn))</f>
        <v/>
      </c>
      <c r="AL244" s="29">
        <f>IF(OR(A244&lt;1,A244&gt;SV_T),0,IF(A244-1&gt;=SV_EDUPay,0,SV_EDUMth*12+IF(A244=1,SV_EDULump,0))+IF(A244-1&gt;=SV_SAVPay,0,SV_SAVMth*12+IF(A244=1,SV_SAVLump,0))+IF(A244-1&gt;=SV_PRPPay,0,SV_PRPMth*12+IF(A244=1,SV_PRPLump,0)))</f>
        <v/>
      </c>
      <c r="AM244" s="29">
        <f>IF(A244&gt;SV_T,0,(AM243+AL244)*(1+investmentReturn))</f>
        <v/>
      </c>
      <c r="AN244" s="29">
        <f>IF(OR(OR(A244&lt;1,A244&gt;SV_T),A244-1&gt;=SV_protPay),0,SV_protPrem)</f>
        <v/>
      </c>
      <c r="AO244" s="29">
        <f>IF(OR(A244=0,A244&gt;=SV_T),0,ROUND(MAX(0,AK244),2)+ROUND(MAX(0,AM244),2))</f>
        <v/>
      </c>
      <c r="AP244" s="29">
        <f>IF(OR(A244&lt;1,A244&gt;SV_T),0,-(AJ244+AL244+AN244)+IF(A244=SV_T,ROUND(MAX(0,AK244),2)+ROUND(MAX(0,AM244),2),0))</f>
        <v/>
      </c>
      <c r="AQ244" s="29">
        <f>IF(A244&gt;SV_T,0,AQ243*(1+SV_savRate)+H244+I244+J244+K244+L244+AE244+AP244)</f>
        <v/>
      </c>
      <c r="AR244" s="29">
        <f>IF(A244&gt;SV_T,0,MAX(0,O244+P244+Q244+AD244+AQ244+AO244-AF244))</f>
        <v/>
      </c>
      <c r="AS244" s="29">
        <f>IF(A244&gt;SV_T,0,O244+P244+AQ244+AO244-MAX(0,AF244-(Q244+AD244)))</f>
        <v/>
      </c>
    </row>
    <row r="245">
      <c r="A245" s="61" t="n">
        <v>73</v>
      </c>
      <c r="B245" s="61">
        <f>SV_age+A245</f>
        <v/>
      </c>
      <c r="C245" s="61">
        <f>currentYear+A245</f>
        <v/>
      </c>
      <c r="D245" s="52">
        <f>A245&lt;=SV_T</f>
        <v/>
      </c>
      <c r="E245" s="60">
        <f>IF(AND(SV_inflOn,A245&gt;=SV_inflS,A245&lt;=SV_inflE),1+SV_inflRate,1+inflationRate)</f>
        <v/>
      </c>
      <c r="F245" s="60">
        <f>IF(A245&lt;=1,1,F244*E245)</f>
        <v/>
      </c>
      <c r="G245" s="60">
        <f>IF(AND(SV_incOn,A245&gt;=SV_incS,A245&lt;=SV_incE),1+SV_incImp,1)</f>
        <v/>
      </c>
      <c r="H245" s="29">
        <f>IF(OR(OR(A245&lt;1,A245&gt;SV_T),A245-1&gt;=SV_salCut,AND(SV_deaOn,A245&gt;=SV_deaM)),0,SV_sal0*(1+incomeGrowthRate)^(A245-1)*G245)</f>
        <v/>
      </c>
      <c r="I245" s="29">
        <f>IF(OR(A245&lt;1,A245&gt;SV_T),0,(-SV_exp0*F245-IF(A245&lt;=SV_loanYears,SV_inst,0)-IF(AND(SV_wdEDUAmt&gt;0,A245=SV_wdEDUYear),SV_wdEDUAmt,0)-IF(AND(SV_wdSAVAmt&gt;0,A245=SV_wdSAVYear),SV_wdSAVAmt,0)-IF(AND(SV_wdPRPAmt&gt;0,A245=SV_wdPRPYear),SV_wdPRPAmt,0))*IF(AND(SV_expOn,A245&gt;=SV_expS,A245&lt;=SV_expE),1+SV_expImp,1))</f>
        <v/>
      </c>
      <c r="J245" s="29">
        <f>IF(OR(A245&lt;1,A245&gt;SV_T),0,-F245*(IF(AND(SV_deaOn,A245=SV_deaM),SV_deaAmt,0)+IF(AND(SV_criOn,A245=SV_criM),SV_criAmt,0)+IF(AND(SV_tpdOn,A245=SV_tpdM),SV_tpdAmt,0)+IF(AND(SV_pacOn,A245=SV_pacM),SV_pacAmt,0)+IF(AND(SV_hosOn,A245=SV_hosM),SV_hosAmt,0)+IF(AND(SV_wedOn,A245=SV_wedM),SV_wedAmt,0)+IF(AND(SV_babOn,A245=SV_babM),SV_babAmt,0)+IF(AND(SV_ltcOn,A245&gt;=SV_ltcM,A245&lt;=SV_ltcE),SV_ltcAmt,0)))</f>
        <v/>
      </c>
      <c r="K245" s="29">
        <f>IF(OR(OR(A245&lt;1,A245&gt;SV_T),A245&gt;SV_loanYears),0,-SV_lifePremYr)</f>
        <v/>
      </c>
      <c r="L245" s="29">
        <f>IF(OR(A245&lt;1,A245&gt;SV_T),0,-SV_contrib)</f>
        <v/>
      </c>
      <c r="M245" s="60">
        <f>IF(AND(SV_crashOn,A245=SV_crashYr),SV_crashF,1)</f>
        <v/>
      </c>
      <c r="N245" s="60">
        <f>IF(AND(SV_ccyOn,A245=SV_ccyYr),SV_ccyF,1)</f>
        <v/>
      </c>
      <c r="O245" s="29">
        <f>IF(A245&gt;SV_T,0,O244*(1+interestRate)*M245*N245)</f>
        <v/>
      </c>
      <c r="P245" s="29">
        <f>IF(A245&gt;SV_T,0,(P244+SV_contrib)*(1+investmentReturn)*M245*N245)</f>
        <v/>
      </c>
      <c r="Q245" s="29">
        <f>IF(A245&gt;SV_T,0,Q244*(1+SV_propRate)*M245)</f>
        <v/>
      </c>
      <c r="R245" s="46">
        <f>MATCH(SV_age+A245-1,SV_cpfLower,1)</f>
        <v/>
      </c>
      <c r="S245" s="29">
        <f>IF(OR(OR(A245&lt;1,A245&gt;SV_T),NOT(SV_cpfOn),AND(SV_deaOn,A245&gt;=SV_deaM)),0,MIN(SV_sal0*(1+incomeGrowthRate)^(A245-1)*G245,SV_owCap))</f>
        <v/>
      </c>
      <c r="T245" s="29">
        <f>IF(A245&gt;SV_T,0,T244*(1+SV_oaRate)+IF(A245&gt;=SV_effStop,0,INDEX(SV_cpfOA,R245)*INDEX(SV_cpfTot,R245)*S245))</f>
        <v/>
      </c>
      <c r="U245" s="29">
        <f>IF(A245&gt;SV_T,0,U244*(1+SV_saRate)+IF(A245&gt;=SV_effStop,0,INDEX(SV_cpfSA,R245)*INDEX(SV_cpfTot,R245)*S245))</f>
        <v/>
      </c>
      <c r="V245" s="29">
        <f>IF(A245&gt;SV_T,0,V244*(1+SV_saRate)+IF(A245&gt;=SV_effStop,0,INDEX(SV_cpfMA,R245)*INDEX(SV_cpfTot,R245)*S245))</f>
        <v/>
      </c>
      <c r="W245" s="29">
        <f>IF(OR(OR(A245&lt;1,A245&gt;SV_T),A245&gt;=SV_effNeg),0,-(INDEX(SV_cpfOA,R245)+INDEX(SV_cpfSA,R245)+INDEX(SV_cpfMA,R245))*INDEX(SV_cpfEmp,R245)*S245)</f>
        <v/>
      </c>
      <c r="X245" s="29">
        <f>IF(A245&gt;=SV_sIdx,0,T245)</f>
        <v/>
      </c>
      <c r="Y245" s="29">
        <f>IF(A245&gt;=SV_sIdx,0,U245)</f>
        <v/>
      </c>
      <c r="Z245" s="29">
        <f>IF(A245&gt;=SV_sIdx,MIN(V245,SV_maCap),V245)</f>
        <v/>
      </c>
      <c r="AA245" s="29">
        <f>IF(AND(SV_cpfOn,A245&gt;=SV_pIdx,A245&lt;=SV_T),12*SV_pay,0)</f>
        <v/>
      </c>
      <c r="AB245" s="29">
        <f>IF(A245&gt;SV_T,0,IF(SV_sp&gt;=0,IF(A245&lt;SV_sIdx,0,IF(A245=SV_sIdx,SV_R0,SV_lifeGrowth*AB244)),SV_lifeGrowth*AB244))</f>
        <v/>
      </c>
      <c r="AC245" s="29">
        <f>IF(A245&gt;SV_T,0,IF(AND(SV_sp&gt;=0,A245&lt;SV_sIdx),0,IF(AND(SV_sp&gt;=0,A245=SV_sIdx),SV_L0,SV_lifeGrowth*(AC244-AA245))))</f>
        <v/>
      </c>
      <c r="AD245" s="29">
        <f>X245+Y245+AB245+Z245+IF(AB245&lt;0,0,AC245)</f>
        <v/>
      </c>
      <c r="AE245" s="29">
        <f>AA245+W245</f>
        <v/>
      </c>
      <c r="AF245" s="29">
        <f>IF(OR(A245&gt;SV_T,A245&gt;=SV_loanYears),0,MAX(0,AF244*(1+loanRate)-SV_inst))</f>
        <v/>
      </c>
      <c r="AG245" s="29">
        <f>IF(A245&gt;SV_T,0,AG244*(1+SV_savRate)+H245+I245+J245+K245+L245+AE245)</f>
        <v/>
      </c>
      <c r="AH245" s="29">
        <f>IF(A245&gt;SV_T,0,MAX(0,O245+P245+Q245+AD245+AG245-AF245))</f>
        <v/>
      </c>
      <c r="AI245" s="29">
        <f>IF(A245&gt;SV_T,0,O245+P245+AG245-MAX(0,AF245-(Q245+AD245)))</f>
        <v/>
      </c>
      <c r="AJ245" s="29">
        <f>IF(OR(OR(A245&lt;1,A245&gt;SV_T),A245-1&gt;=SV_retPay),0,SV_retMth*12+IF(A245=1,SV_retLump,0))</f>
        <v/>
      </c>
      <c r="AK245" s="29">
        <f>IF(A245&gt;SV_T,0,(AK244+AJ245)*(1+investmentReturn))</f>
        <v/>
      </c>
      <c r="AL245" s="29">
        <f>IF(OR(A245&lt;1,A245&gt;SV_T),0,IF(A245-1&gt;=SV_EDUPay,0,SV_EDUMth*12+IF(A245=1,SV_EDULump,0))+IF(A245-1&gt;=SV_SAVPay,0,SV_SAVMth*12+IF(A245=1,SV_SAVLump,0))+IF(A245-1&gt;=SV_PRPPay,0,SV_PRPMth*12+IF(A245=1,SV_PRPLump,0)))</f>
        <v/>
      </c>
      <c r="AM245" s="29">
        <f>IF(A245&gt;SV_T,0,(AM244+AL245)*(1+investmentReturn))</f>
        <v/>
      </c>
      <c r="AN245" s="29">
        <f>IF(OR(OR(A245&lt;1,A245&gt;SV_T),A245-1&gt;=SV_protPay),0,SV_protPrem)</f>
        <v/>
      </c>
      <c r="AO245" s="29">
        <f>IF(OR(A245=0,A245&gt;=SV_T),0,ROUND(MAX(0,AK245),2)+ROUND(MAX(0,AM245),2))</f>
        <v/>
      </c>
      <c r="AP245" s="29">
        <f>IF(OR(A245&lt;1,A245&gt;SV_T),0,-(AJ245+AL245+AN245)+IF(A245=SV_T,ROUND(MAX(0,AK245),2)+ROUND(MAX(0,AM245),2),0))</f>
        <v/>
      </c>
      <c r="AQ245" s="29">
        <f>IF(A245&gt;SV_T,0,AQ244*(1+SV_savRate)+H245+I245+J245+K245+L245+AE245+AP245)</f>
        <v/>
      </c>
      <c r="AR245" s="29">
        <f>IF(A245&gt;SV_T,0,MAX(0,O245+P245+Q245+AD245+AQ245+AO245-AF245))</f>
        <v/>
      </c>
      <c r="AS245" s="29">
        <f>IF(A245&gt;SV_T,0,O245+P245+AQ245+AO245-MAX(0,AF245-(Q245+AD245)))</f>
        <v/>
      </c>
    </row>
    <row r="246">
      <c r="A246" s="61" t="n">
        <v>74</v>
      </c>
      <c r="B246" s="61">
        <f>SV_age+A246</f>
        <v/>
      </c>
      <c r="C246" s="61">
        <f>currentYear+A246</f>
        <v/>
      </c>
      <c r="D246" s="52">
        <f>A246&lt;=SV_T</f>
        <v/>
      </c>
      <c r="E246" s="60">
        <f>IF(AND(SV_inflOn,A246&gt;=SV_inflS,A246&lt;=SV_inflE),1+SV_inflRate,1+inflationRate)</f>
        <v/>
      </c>
      <c r="F246" s="60">
        <f>IF(A246&lt;=1,1,F245*E246)</f>
        <v/>
      </c>
      <c r="G246" s="60">
        <f>IF(AND(SV_incOn,A246&gt;=SV_incS,A246&lt;=SV_incE),1+SV_incImp,1)</f>
        <v/>
      </c>
      <c r="H246" s="29">
        <f>IF(OR(OR(A246&lt;1,A246&gt;SV_T),A246-1&gt;=SV_salCut,AND(SV_deaOn,A246&gt;=SV_deaM)),0,SV_sal0*(1+incomeGrowthRate)^(A246-1)*G246)</f>
        <v/>
      </c>
      <c r="I246" s="29">
        <f>IF(OR(A246&lt;1,A246&gt;SV_T),0,(-SV_exp0*F246-IF(A246&lt;=SV_loanYears,SV_inst,0)-IF(AND(SV_wdEDUAmt&gt;0,A246=SV_wdEDUYear),SV_wdEDUAmt,0)-IF(AND(SV_wdSAVAmt&gt;0,A246=SV_wdSAVYear),SV_wdSAVAmt,0)-IF(AND(SV_wdPRPAmt&gt;0,A246=SV_wdPRPYear),SV_wdPRPAmt,0))*IF(AND(SV_expOn,A246&gt;=SV_expS,A246&lt;=SV_expE),1+SV_expImp,1))</f>
        <v/>
      </c>
      <c r="J246" s="29">
        <f>IF(OR(A246&lt;1,A246&gt;SV_T),0,-F246*(IF(AND(SV_deaOn,A246=SV_deaM),SV_deaAmt,0)+IF(AND(SV_criOn,A246=SV_criM),SV_criAmt,0)+IF(AND(SV_tpdOn,A246=SV_tpdM),SV_tpdAmt,0)+IF(AND(SV_pacOn,A246=SV_pacM),SV_pacAmt,0)+IF(AND(SV_hosOn,A246=SV_hosM),SV_hosAmt,0)+IF(AND(SV_wedOn,A246=SV_wedM),SV_wedAmt,0)+IF(AND(SV_babOn,A246=SV_babM),SV_babAmt,0)+IF(AND(SV_ltcOn,A246&gt;=SV_ltcM,A246&lt;=SV_ltcE),SV_ltcAmt,0)))</f>
        <v/>
      </c>
      <c r="K246" s="29">
        <f>IF(OR(OR(A246&lt;1,A246&gt;SV_T),A246&gt;SV_loanYears),0,-SV_lifePremYr)</f>
        <v/>
      </c>
      <c r="L246" s="29">
        <f>IF(OR(A246&lt;1,A246&gt;SV_T),0,-SV_contrib)</f>
        <v/>
      </c>
      <c r="M246" s="60">
        <f>IF(AND(SV_crashOn,A246=SV_crashYr),SV_crashF,1)</f>
        <v/>
      </c>
      <c r="N246" s="60">
        <f>IF(AND(SV_ccyOn,A246=SV_ccyYr),SV_ccyF,1)</f>
        <v/>
      </c>
      <c r="O246" s="29">
        <f>IF(A246&gt;SV_T,0,O245*(1+interestRate)*M246*N246)</f>
        <v/>
      </c>
      <c r="P246" s="29">
        <f>IF(A246&gt;SV_T,0,(P245+SV_contrib)*(1+investmentReturn)*M246*N246)</f>
        <v/>
      </c>
      <c r="Q246" s="29">
        <f>IF(A246&gt;SV_T,0,Q245*(1+SV_propRate)*M246)</f>
        <v/>
      </c>
      <c r="R246" s="46">
        <f>MATCH(SV_age+A246-1,SV_cpfLower,1)</f>
        <v/>
      </c>
      <c r="S246" s="29">
        <f>IF(OR(OR(A246&lt;1,A246&gt;SV_T),NOT(SV_cpfOn),AND(SV_deaOn,A246&gt;=SV_deaM)),0,MIN(SV_sal0*(1+incomeGrowthRate)^(A246-1)*G246,SV_owCap))</f>
        <v/>
      </c>
      <c r="T246" s="29">
        <f>IF(A246&gt;SV_T,0,T245*(1+SV_oaRate)+IF(A246&gt;=SV_effStop,0,INDEX(SV_cpfOA,R246)*INDEX(SV_cpfTot,R246)*S246))</f>
        <v/>
      </c>
      <c r="U246" s="29">
        <f>IF(A246&gt;SV_T,0,U245*(1+SV_saRate)+IF(A246&gt;=SV_effStop,0,INDEX(SV_cpfSA,R246)*INDEX(SV_cpfTot,R246)*S246))</f>
        <v/>
      </c>
      <c r="V246" s="29">
        <f>IF(A246&gt;SV_T,0,V245*(1+SV_saRate)+IF(A246&gt;=SV_effStop,0,INDEX(SV_cpfMA,R246)*INDEX(SV_cpfTot,R246)*S246))</f>
        <v/>
      </c>
      <c r="W246" s="29">
        <f>IF(OR(OR(A246&lt;1,A246&gt;SV_T),A246&gt;=SV_effNeg),0,-(INDEX(SV_cpfOA,R246)+INDEX(SV_cpfSA,R246)+INDEX(SV_cpfMA,R246))*INDEX(SV_cpfEmp,R246)*S246)</f>
        <v/>
      </c>
      <c r="X246" s="29">
        <f>IF(A246&gt;=SV_sIdx,0,T246)</f>
        <v/>
      </c>
      <c r="Y246" s="29">
        <f>IF(A246&gt;=SV_sIdx,0,U246)</f>
        <v/>
      </c>
      <c r="Z246" s="29">
        <f>IF(A246&gt;=SV_sIdx,MIN(V246,SV_maCap),V246)</f>
        <v/>
      </c>
      <c r="AA246" s="29">
        <f>IF(AND(SV_cpfOn,A246&gt;=SV_pIdx,A246&lt;=SV_T),12*SV_pay,0)</f>
        <v/>
      </c>
      <c r="AB246" s="29">
        <f>IF(A246&gt;SV_T,0,IF(SV_sp&gt;=0,IF(A246&lt;SV_sIdx,0,IF(A246=SV_sIdx,SV_R0,SV_lifeGrowth*AB245)),SV_lifeGrowth*AB245))</f>
        <v/>
      </c>
      <c r="AC246" s="29">
        <f>IF(A246&gt;SV_T,0,IF(AND(SV_sp&gt;=0,A246&lt;SV_sIdx),0,IF(AND(SV_sp&gt;=0,A246=SV_sIdx),SV_L0,SV_lifeGrowth*(AC245-AA246))))</f>
        <v/>
      </c>
      <c r="AD246" s="29">
        <f>X246+Y246+AB246+Z246+IF(AB246&lt;0,0,AC246)</f>
        <v/>
      </c>
      <c r="AE246" s="29">
        <f>AA246+W246</f>
        <v/>
      </c>
      <c r="AF246" s="29">
        <f>IF(OR(A246&gt;SV_T,A246&gt;=SV_loanYears),0,MAX(0,AF245*(1+loanRate)-SV_inst))</f>
        <v/>
      </c>
      <c r="AG246" s="29">
        <f>IF(A246&gt;SV_T,0,AG245*(1+SV_savRate)+H246+I246+J246+K246+L246+AE246)</f>
        <v/>
      </c>
      <c r="AH246" s="29">
        <f>IF(A246&gt;SV_T,0,MAX(0,O246+P246+Q246+AD246+AG246-AF246))</f>
        <v/>
      </c>
      <c r="AI246" s="29">
        <f>IF(A246&gt;SV_T,0,O246+P246+AG246-MAX(0,AF246-(Q246+AD246)))</f>
        <v/>
      </c>
      <c r="AJ246" s="29">
        <f>IF(OR(OR(A246&lt;1,A246&gt;SV_T),A246-1&gt;=SV_retPay),0,SV_retMth*12+IF(A246=1,SV_retLump,0))</f>
        <v/>
      </c>
      <c r="AK246" s="29">
        <f>IF(A246&gt;SV_T,0,(AK245+AJ246)*(1+investmentReturn))</f>
        <v/>
      </c>
      <c r="AL246" s="29">
        <f>IF(OR(A246&lt;1,A246&gt;SV_T),0,IF(A246-1&gt;=SV_EDUPay,0,SV_EDUMth*12+IF(A246=1,SV_EDULump,0))+IF(A246-1&gt;=SV_SAVPay,0,SV_SAVMth*12+IF(A246=1,SV_SAVLump,0))+IF(A246-1&gt;=SV_PRPPay,0,SV_PRPMth*12+IF(A246=1,SV_PRPLump,0)))</f>
        <v/>
      </c>
      <c r="AM246" s="29">
        <f>IF(A246&gt;SV_T,0,(AM245+AL246)*(1+investmentReturn))</f>
        <v/>
      </c>
      <c r="AN246" s="29">
        <f>IF(OR(OR(A246&lt;1,A246&gt;SV_T),A246-1&gt;=SV_protPay),0,SV_protPrem)</f>
        <v/>
      </c>
      <c r="AO246" s="29">
        <f>IF(OR(A246=0,A246&gt;=SV_T),0,ROUND(MAX(0,AK246),2)+ROUND(MAX(0,AM246),2))</f>
        <v/>
      </c>
      <c r="AP246" s="29">
        <f>IF(OR(A246&lt;1,A246&gt;SV_T),0,-(AJ246+AL246+AN246)+IF(A246=SV_T,ROUND(MAX(0,AK246),2)+ROUND(MAX(0,AM246),2),0))</f>
        <v/>
      </c>
      <c r="AQ246" s="29">
        <f>IF(A246&gt;SV_T,0,AQ245*(1+SV_savRate)+H246+I246+J246+K246+L246+AE246+AP246)</f>
        <v/>
      </c>
      <c r="AR246" s="29">
        <f>IF(A246&gt;SV_T,0,MAX(0,O246+P246+Q246+AD246+AQ246+AO246-AF246))</f>
        <v/>
      </c>
      <c r="AS246" s="29">
        <f>IF(A246&gt;SV_T,0,O246+P246+AQ246+AO246-MAX(0,AF246-(Q246+AD246)))</f>
        <v/>
      </c>
    </row>
    <row r="247">
      <c r="A247" s="61" t="n">
        <v>75</v>
      </c>
      <c r="B247" s="61">
        <f>SV_age+A247</f>
        <v/>
      </c>
      <c r="C247" s="61">
        <f>currentYear+A247</f>
        <v/>
      </c>
      <c r="D247" s="52">
        <f>A247&lt;=SV_T</f>
        <v/>
      </c>
      <c r="E247" s="60">
        <f>IF(AND(SV_inflOn,A247&gt;=SV_inflS,A247&lt;=SV_inflE),1+SV_inflRate,1+inflationRate)</f>
        <v/>
      </c>
      <c r="F247" s="60">
        <f>IF(A247&lt;=1,1,F246*E247)</f>
        <v/>
      </c>
      <c r="G247" s="60">
        <f>IF(AND(SV_incOn,A247&gt;=SV_incS,A247&lt;=SV_incE),1+SV_incImp,1)</f>
        <v/>
      </c>
      <c r="H247" s="29">
        <f>IF(OR(OR(A247&lt;1,A247&gt;SV_T),A247-1&gt;=SV_salCut,AND(SV_deaOn,A247&gt;=SV_deaM)),0,SV_sal0*(1+incomeGrowthRate)^(A247-1)*G247)</f>
        <v/>
      </c>
      <c r="I247" s="29">
        <f>IF(OR(A247&lt;1,A247&gt;SV_T),0,(-SV_exp0*F247-IF(A247&lt;=SV_loanYears,SV_inst,0)-IF(AND(SV_wdEDUAmt&gt;0,A247=SV_wdEDUYear),SV_wdEDUAmt,0)-IF(AND(SV_wdSAVAmt&gt;0,A247=SV_wdSAVYear),SV_wdSAVAmt,0)-IF(AND(SV_wdPRPAmt&gt;0,A247=SV_wdPRPYear),SV_wdPRPAmt,0))*IF(AND(SV_expOn,A247&gt;=SV_expS,A247&lt;=SV_expE),1+SV_expImp,1))</f>
        <v/>
      </c>
      <c r="J247" s="29">
        <f>IF(OR(A247&lt;1,A247&gt;SV_T),0,-F247*(IF(AND(SV_deaOn,A247=SV_deaM),SV_deaAmt,0)+IF(AND(SV_criOn,A247=SV_criM),SV_criAmt,0)+IF(AND(SV_tpdOn,A247=SV_tpdM),SV_tpdAmt,0)+IF(AND(SV_pacOn,A247=SV_pacM),SV_pacAmt,0)+IF(AND(SV_hosOn,A247=SV_hosM),SV_hosAmt,0)+IF(AND(SV_wedOn,A247=SV_wedM),SV_wedAmt,0)+IF(AND(SV_babOn,A247=SV_babM),SV_babAmt,0)+IF(AND(SV_ltcOn,A247&gt;=SV_ltcM,A247&lt;=SV_ltcE),SV_ltcAmt,0)))</f>
        <v/>
      </c>
      <c r="K247" s="29">
        <f>IF(OR(OR(A247&lt;1,A247&gt;SV_T),A247&gt;SV_loanYears),0,-SV_lifePremYr)</f>
        <v/>
      </c>
      <c r="L247" s="29">
        <f>IF(OR(A247&lt;1,A247&gt;SV_T),0,-SV_contrib)</f>
        <v/>
      </c>
      <c r="M247" s="60">
        <f>IF(AND(SV_crashOn,A247=SV_crashYr),SV_crashF,1)</f>
        <v/>
      </c>
      <c r="N247" s="60">
        <f>IF(AND(SV_ccyOn,A247=SV_ccyYr),SV_ccyF,1)</f>
        <v/>
      </c>
      <c r="O247" s="29">
        <f>IF(A247&gt;SV_T,0,O246*(1+interestRate)*M247*N247)</f>
        <v/>
      </c>
      <c r="P247" s="29">
        <f>IF(A247&gt;SV_T,0,(P246+SV_contrib)*(1+investmentReturn)*M247*N247)</f>
        <v/>
      </c>
      <c r="Q247" s="29">
        <f>IF(A247&gt;SV_T,0,Q246*(1+SV_propRate)*M247)</f>
        <v/>
      </c>
      <c r="R247" s="46">
        <f>MATCH(SV_age+A247-1,SV_cpfLower,1)</f>
        <v/>
      </c>
      <c r="S247" s="29">
        <f>IF(OR(OR(A247&lt;1,A247&gt;SV_T),NOT(SV_cpfOn),AND(SV_deaOn,A247&gt;=SV_deaM)),0,MIN(SV_sal0*(1+incomeGrowthRate)^(A247-1)*G247,SV_owCap))</f>
        <v/>
      </c>
      <c r="T247" s="29">
        <f>IF(A247&gt;SV_T,0,T246*(1+SV_oaRate)+IF(A247&gt;=SV_effStop,0,INDEX(SV_cpfOA,R247)*INDEX(SV_cpfTot,R247)*S247))</f>
        <v/>
      </c>
      <c r="U247" s="29">
        <f>IF(A247&gt;SV_T,0,U246*(1+SV_saRate)+IF(A247&gt;=SV_effStop,0,INDEX(SV_cpfSA,R247)*INDEX(SV_cpfTot,R247)*S247))</f>
        <v/>
      </c>
      <c r="V247" s="29">
        <f>IF(A247&gt;SV_T,0,V246*(1+SV_saRate)+IF(A247&gt;=SV_effStop,0,INDEX(SV_cpfMA,R247)*INDEX(SV_cpfTot,R247)*S247))</f>
        <v/>
      </c>
      <c r="W247" s="29">
        <f>IF(OR(OR(A247&lt;1,A247&gt;SV_T),A247&gt;=SV_effNeg),0,-(INDEX(SV_cpfOA,R247)+INDEX(SV_cpfSA,R247)+INDEX(SV_cpfMA,R247))*INDEX(SV_cpfEmp,R247)*S247)</f>
        <v/>
      </c>
      <c r="X247" s="29">
        <f>IF(A247&gt;=SV_sIdx,0,T247)</f>
        <v/>
      </c>
      <c r="Y247" s="29">
        <f>IF(A247&gt;=SV_sIdx,0,U247)</f>
        <v/>
      </c>
      <c r="Z247" s="29">
        <f>IF(A247&gt;=SV_sIdx,MIN(V247,SV_maCap),V247)</f>
        <v/>
      </c>
      <c r="AA247" s="29">
        <f>IF(AND(SV_cpfOn,A247&gt;=SV_pIdx,A247&lt;=SV_T),12*SV_pay,0)</f>
        <v/>
      </c>
      <c r="AB247" s="29">
        <f>IF(A247&gt;SV_T,0,IF(SV_sp&gt;=0,IF(A247&lt;SV_sIdx,0,IF(A247=SV_sIdx,SV_R0,SV_lifeGrowth*AB246)),SV_lifeGrowth*AB246))</f>
        <v/>
      </c>
      <c r="AC247" s="29">
        <f>IF(A247&gt;SV_T,0,IF(AND(SV_sp&gt;=0,A247&lt;SV_sIdx),0,IF(AND(SV_sp&gt;=0,A247=SV_sIdx),SV_L0,SV_lifeGrowth*(AC246-AA247))))</f>
        <v/>
      </c>
      <c r="AD247" s="29">
        <f>X247+Y247+AB247+Z247+IF(AB247&lt;0,0,AC247)</f>
        <v/>
      </c>
      <c r="AE247" s="29">
        <f>AA247+W247</f>
        <v/>
      </c>
      <c r="AF247" s="29">
        <f>IF(OR(A247&gt;SV_T,A247&gt;=SV_loanYears),0,MAX(0,AF246*(1+loanRate)-SV_inst))</f>
        <v/>
      </c>
      <c r="AG247" s="29">
        <f>IF(A247&gt;SV_T,0,AG246*(1+SV_savRate)+H247+I247+J247+K247+L247+AE247)</f>
        <v/>
      </c>
      <c r="AH247" s="29">
        <f>IF(A247&gt;SV_T,0,MAX(0,O247+P247+Q247+AD247+AG247-AF247))</f>
        <v/>
      </c>
      <c r="AI247" s="29">
        <f>IF(A247&gt;SV_T,0,O247+P247+AG247-MAX(0,AF247-(Q247+AD247)))</f>
        <v/>
      </c>
      <c r="AJ247" s="29">
        <f>IF(OR(OR(A247&lt;1,A247&gt;SV_T),A247-1&gt;=SV_retPay),0,SV_retMth*12+IF(A247=1,SV_retLump,0))</f>
        <v/>
      </c>
      <c r="AK247" s="29">
        <f>IF(A247&gt;SV_T,0,(AK246+AJ247)*(1+investmentReturn))</f>
        <v/>
      </c>
      <c r="AL247" s="29">
        <f>IF(OR(A247&lt;1,A247&gt;SV_T),0,IF(A247-1&gt;=SV_EDUPay,0,SV_EDUMth*12+IF(A247=1,SV_EDULump,0))+IF(A247-1&gt;=SV_SAVPay,0,SV_SAVMth*12+IF(A247=1,SV_SAVLump,0))+IF(A247-1&gt;=SV_PRPPay,0,SV_PRPMth*12+IF(A247=1,SV_PRPLump,0)))</f>
        <v/>
      </c>
      <c r="AM247" s="29">
        <f>IF(A247&gt;SV_T,0,(AM246+AL247)*(1+investmentReturn))</f>
        <v/>
      </c>
      <c r="AN247" s="29">
        <f>IF(OR(OR(A247&lt;1,A247&gt;SV_T),A247-1&gt;=SV_protPay),0,SV_protPrem)</f>
        <v/>
      </c>
      <c r="AO247" s="29">
        <f>IF(OR(A247=0,A247&gt;=SV_T),0,ROUND(MAX(0,AK247),2)+ROUND(MAX(0,AM247),2))</f>
        <v/>
      </c>
      <c r="AP247" s="29">
        <f>IF(OR(A247&lt;1,A247&gt;SV_T),0,-(AJ247+AL247+AN247)+IF(A247=SV_T,ROUND(MAX(0,AK247),2)+ROUND(MAX(0,AM247),2),0))</f>
        <v/>
      </c>
      <c r="AQ247" s="29">
        <f>IF(A247&gt;SV_T,0,AQ246*(1+SV_savRate)+H247+I247+J247+K247+L247+AE247+AP247)</f>
        <v/>
      </c>
      <c r="AR247" s="29">
        <f>IF(A247&gt;SV_T,0,MAX(0,O247+P247+Q247+AD247+AQ247+AO247-AF247))</f>
        <v/>
      </c>
      <c r="AS247" s="29">
        <f>IF(A247&gt;SV_T,0,O247+P247+AQ247+AO247-MAX(0,AF247-(Q247+AD247)))</f>
        <v/>
      </c>
    </row>
    <row r="248">
      <c r="A248" s="61" t="n">
        <v>76</v>
      </c>
      <c r="B248" s="61">
        <f>SV_age+A248</f>
        <v/>
      </c>
      <c r="C248" s="61">
        <f>currentYear+A248</f>
        <v/>
      </c>
      <c r="D248" s="52">
        <f>A248&lt;=SV_T</f>
        <v/>
      </c>
      <c r="E248" s="60">
        <f>IF(AND(SV_inflOn,A248&gt;=SV_inflS,A248&lt;=SV_inflE),1+SV_inflRate,1+inflationRate)</f>
        <v/>
      </c>
      <c r="F248" s="60">
        <f>IF(A248&lt;=1,1,F247*E248)</f>
        <v/>
      </c>
      <c r="G248" s="60">
        <f>IF(AND(SV_incOn,A248&gt;=SV_incS,A248&lt;=SV_incE),1+SV_incImp,1)</f>
        <v/>
      </c>
      <c r="H248" s="29">
        <f>IF(OR(OR(A248&lt;1,A248&gt;SV_T),A248-1&gt;=SV_salCut,AND(SV_deaOn,A248&gt;=SV_deaM)),0,SV_sal0*(1+incomeGrowthRate)^(A248-1)*G248)</f>
        <v/>
      </c>
      <c r="I248" s="29">
        <f>IF(OR(A248&lt;1,A248&gt;SV_T),0,(-SV_exp0*F248-IF(A248&lt;=SV_loanYears,SV_inst,0)-IF(AND(SV_wdEDUAmt&gt;0,A248=SV_wdEDUYear),SV_wdEDUAmt,0)-IF(AND(SV_wdSAVAmt&gt;0,A248=SV_wdSAVYear),SV_wdSAVAmt,0)-IF(AND(SV_wdPRPAmt&gt;0,A248=SV_wdPRPYear),SV_wdPRPAmt,0))*IF(AND(SV_expOn,A248&gt;=SV_expS,A248&lt;=SV_expE),1+SV_expImp,1))</f>
        <v/>
      </c>
      <c r="J248" s="29">
        <f>IF(OR(A248&lt;1,A248&gt;SV_T),0,-F248*(IF(AND(SV_deaOn,A248=SV_deaM),SV_deaAmt,0)+IF(AND(SV_criOn,A248=SV_criM),SV_criAmt,0)+IF(AND(SV_tpdOn,A248=SV_tpdM),SV_tpdAmt,0)+IF(AND(SV_pacOn,A248=SV_pacM),SV_pacAmt,0)+IF(AND(SV_hosOn,A248=SV_hosM),SV_hosAmt,0)+IF(AND(SV_wedOn,A248=SV_wedM),SV_wedAmt,0)+IF(AND(SV_babOn,A248=SV_babM),SV_babAmt,0)+IF(AND(SV_ltcOn,A248&gt;=SV_ltcM,A248&lt;=SV_ltcE),SV_ltcAmt,0)))</f>
        <v/>
      </c>
      <c r="K248" s="29">
        <f>IF(OR(OR(A248&lt;1,A248&gt;SV_T),A248&gt;SV_loanYears),0,-SV_lifePremYr)</f>
        <v/>
      </c>
      <c r="L248" s="29">
        <f>IF(OR(A248&lt;1,A248&gt;SV_T),0,-SV_contrib)</f>
        <v/>
      </c>
      <c r="M248" s="60">
        <f>IF(AND(SV_crashOn,A248=SV_crashYr),SV_crashF,1)</f>
        <v/>
      </c>
      <c r="N248" s="60">
        <f>IF(AND(SV_ccyOn,A248=SV_ccyYr),SV_ccyF,1)</f>
        <v/>
      </c>
      <c r="O248" s="29">
        <f>IF(A248&gt;SV_T,0,O247*(1+interestRate)*M248*N248)</f>
        <v/>
      </c>
      <c r="P248" s="29">
        <f>IF(A248&gt;SV_T,0,(P247+SV_contrib)*(1+investmentReturn)*M248*N248)</f>
        <v/>
      </c>
      <c r="Q248" s="29">
        <f>IF(A248&gt;SV_T,0,Q247*(1+SV_propRate)*M248)</f>
        <v/>
      </c>
      <c r="R248" s="46">
        <f>MATCH(SV_age+A248-1,SV_cpfLower,1)</f>
        <v/>
      </c>
      <c r="S248" s="29">
        <f>IF(OR(OR(A248&lt;1,A248&gt;SV_T),NOT(SV_cpfOn),AND(SV_deaOn,A248&gt;=SV_deaM)),0,MIN(SV_sal0*(1+incomeGrowthRate)^(A248-1)*G248,SV_owCap))</f>
        <v/>
      </c>
      <c r="T248" s="29">
        <f>IF(A248&gt;SV_T,0,T247*(1+SV_oaRate)+IF(A248&gt;=SV_effStop,0,INDEX(SV_cpfOA,R248)*INDEX(SV_cpfTot,R248)*S248))</f>
        <v/>
      </c>
      <c r="U248" s="29">
        <f>IF(A248&gt;SV_T,0,U247*(1+SV_saRate)+IF(A248&gt;=SV_effStop,0,INDEX(SV_cpfSA,R248)*INDEX(SV_cpfTot,R248)*S248))</f>
        <v/>
      </c>
      <c r="V248" s="29">
        <f>IF(A248&gt;SV_T,0,V247*(1+SV_saRate)+IF(A248&gt;=SV_effStop,0,INDEX(SV_cpfMA,R248)*INDEX(SV_cpfTot,R248)*S248))</f>
        <v/>
      </c>
      <c r="W248" s="29">
        <f>IF(OR(OR(A248&lt;1,A248&gt;SV_T),A248&gt;=SV_effNeg),0,-(INDEX(SV_cpfOA,R248)+INDEX(SV_cpfSA,R248)+INDEX(SV_cpfMA,R248))*INDEX(SV_cpfEmp,R248)*S248)</f>
        <v/>
      </c>
      <c r="X248" s="29">
        <f>IF(A248&gt;=SV_sIdx,0,T248)</f>
        <v/>
      </c>
      <c r="Y248" s="29">
        <f>IF(A248&gt;=SV_sIdx,0,U248)</f>
        <v/>
      </c>
      <c r="Z248" s="29">
        <f>IF(A248&gt;=SV_sIdx,MIN(V248,SV_maCap),V248)</f>
        <v/>
      </c>
      <c r="AA248" s="29">
        <f>IF(AND(SV_cpfOn,A248&gt;=SV_pIdx,A248&lt;=SV_T),12*SV_pay,0)</f>
        <v/>
      </c>
      <c r="AB248" s="29">
        <f>IF(A248&gt;SV_T,0,IF(SV_sp&gt;=0,IF(A248&lt;SV_sIdx,0,IF(A248=SV_sIdx,SV_R0,SV_lifeGrowth*AB247)),SV_lifeGrowth*AB247))</f>
        <v/>
      </c>
      <c r="AC248" s="29">
        <f>IF(A248&gt;SV_T,0,IF(AND(SV_sp&gt;=0,A248&lt;SV_sIdx),0,IF(AND(SV_sp&gt;=0,A248=SV_sIdx),SV_L0,SV_lifeGrowth*(AC247-AA248))))</f>
        <v/>
      </c>
      <c r="AD248" s="29">
        <f>X248+Y248+AB248+Z248+IF(AB248&lt;0,0,AC248)</f>
        <v/>
      </c>
      <c r="AE248" s="29">
        <f>AA248+W248</f>
        <v/>
      </c>
      <c r="AF248" s="29">
        <f>IF(OR(A248&gt;SV_T,A248&gt;=SV_loanYears),0,MAX(0,AF247*(1+loanRate)-SV_inst))</f>
        <v/>
      </c>
      <c r="AG248" s="29">
        <f>IF(A248&gt;SV_T,0,AG247*(1+SV_savRate)+H248+I248+J248+K248+L248+AE248)</f>
        <v/>
      </c>
      <c r="AH248" s="29">
        <f>IF(A248&gt;SV_T,0,MAX(0,O248+P248+Q248+AD248+AG248-AF248))</f>
        <v/>
      </c>
      <c r="AI248" s="29">
        <f>IF(A248&gt;SV_T,0,O248+P248+AG248-MAX(0,AF248-(Q248+AD248)))</f>
        <v/>
      </c>
      <c r="AJ248" s="29">
        <f>IF(OR(OR(A248&lt;1,A248&gt;SV_T),A248-1&gt;=SV_retPay),0,SV_retMth*12+IF(A248=1,SV_retLump,0))</f>
        <v/>
      </c>
      <c r="AK248" s="29">
        <f>IF(A248&gt;SV_T,0,(AK247+AJ248)*(1+investmentReturn))</f>
        <v/>
      </c>
      <c r="AL248" s="29">
        <f>IF(OR(A248&lt;1,A248&gt;SV_T),0,IF(A248-1&gt;=SV_EDUPay,0,SV_EDUMth*12+IF(A248=1,SV_EDULump,0))+IF(A248-1&gt;=SV_SAVPay,0,SV_SAVMth*12+IF(A248=1,SV_SAVLump,0))+IF(A248-1&gt;=SV_PRPPay,0,SV_PRPMth*12+IF(A248=1,SV_PRPLump,0)))</f>
        <v/>
      </c>
      <c r="AM248" s="29">
        <f>IF(A248&gt;SV_T,0,(AM247+AL248)*(1+investmentReturn))</f>
        <v/>
      </c>
      <c r="AN248" s="29">
        <f>IF(OR(OR(A248&lt;1,A248&gt;SV_T),A248-1&gt;=SV_protPay),0,SV_protPrem)</f>
        <v/>
      </c>
      <c r="AO248" s="29">
        <f>IF(OR(A248=0,A248&gt;=SV_T),0,ROUND(MAX(0,AK248),2)+ROUND(MAX(0,AM248),2))</f>
        <v/>
      </c>
      <c r="AP248" s="29">
        <f>IF(OR(A248&lt;1,A248&gt;SV_T),0,-(AJ248+AL248+AN248)+IF(A248=SV_T,ROUND(MAX(0,AK248),2)+ROUND(MAX(0,AM248),2),0))</f>
        <v/>
      </c>
      <c r="AQ248" s="29">
        <f>IF(A248&gt;SV_T,0,AQ247*(1+SV_savRate)+H248+I248+J248+K248+L248+AE248+AP248)</f>
        <v/>
      </c>
      <c r="AR248" s="29">
        <f>IF(A248&gt;SV_T,0,MAX(0,O248+P248+Q248+AD248+AQ248+AO248-AF248))</f>
        <v/>
      </c>
      <c r="AS248" s="29">
        <f>IF(A248&gt;SV_T,0,O248+P248+AQ248+AO248-MAX(0,AF248-(Q248+AD248)))</f>
        <v/>
      </c>
    </row>
    <row r="249">
      <c r="A249" s="61" t="n">
        <v>77</v>
      </c>
      <c r="B249" s="61">
        <f>SV_age+A249</f>
        <v/>
      </c>
      <c r="C249" s="61">
        <f>currentYear+A249</f>
        <v/>
      </c>
      <c r="D249" s="52">
        <f>A249&lt;=SV_T</f>
        <v/>
      </c>
      <c r="E249" s="60">
        <f>IF(AND(SV_inflOn,A249&gt;=SV_inflS,A249&lt;=SV_inflE),1+SV_inflRate,1+inflationRate)</f>
        <v/>
      </c>
      <c r="F249" s="60">
        <f>IF(A249&lt;=1,1,F248*E249)</f>
        <v/>
      </c>
      <c r="G249" s="60">
        <f>IF(AND(SV_incOn,A249&gt;=SV_incS,A249&lt;=SV_incE),1+SV_incImp,1)</f>
        <v/>
      </c>
      <c r="H249" s="29">
        <f>IF(OR(OR(A249&lt;1,A249&gt;SV_T),A249-1&gt;=SV_salCut,AND(SV_deaOn,A249&gt;=SV_deaM)),0,SV_sal0*(1+incomeGrowthRate)^(A249-1)*G249)</f>
        <v/>
      </c>
      <c r="I249" s="29">
        <f>IF(OR(A249&lt;1,A249&gt;SV_T),0,(-SV_exp0*F249-IF(A249&lt;=SV_loanYears,SV_inst,0)-IF(AND(SV_wdEDUAmt&gt;0,A249=SV_wdEDUYear),SV_wdEDUAmt,0)-IF(AND(SV_wdSAVAmt&gt;0,A249=SV_wdSAVYear),SV_wdSAVAmt,0)-IF(AND(SV_wdPRPAmt&gt;0,A249=SV_wdPRPYear),SV_wdPRPAmt,0))*IF(AND(SV_expOn,A249&gt;=SV_expS,A249&lt;=SV_expE),1+SV_expImp,1))</f>
        <v/>
      </c>
      <c r="J249" s="29">
        <f>IF(OR(A249&lt;1,A249&gt;SV_T),0,-F249*(IF(AND(SV_deaOn,A249=SV_deaM),SV_deaAmt,0)+IF(AND(SV_criOn,A249=SV_criM),SV_criAmt,0)+IF(AND(SV_tpdOn,A249=SV_tpdM),SV_tpdAmt,0)+IF(AND(SV_pacOn,A249=SV_pacM),SV_pacAmt,0)+IF(AND(SV_hosOn,A249=SV_hosM),SV_hosAmt,0)+IF(AND(SV_wedOn,A249=SV_wedM),SV_wedAmt,0)+IF(AND(SV_babOn,A249=SV_babM),SV_babAmt,0)+IF(AND(SV_ltcOn,A249&gt;=SV_ltcM,A249&lt;=SV_ltcE),SV_ltcAmt,0)))</f>
        <v/>
      </c>
      <c r="K249" s="29">
        <f>IF(OR(OR(A249&lt;1,A249&gt;SV_T),A249&gt;SV_loanYears),0,-SV_lifePremYr)</f>
        <v/>
      </c>
      <c r="L249" s="29">
        <f>IF(OR(A249&lt;1,A249&gt;SV_T),0,-SV_contrib)</f>
        <v/>
      </c>
      <c r="M249" s="60">
        <f>IF(AND(SV_crashOn,A249=SV_crashYr),SV_crashF,1)</f>
        <v/>
      </c>
      <c r="N249" s="60">
        <f>IF(AND(SV_ccyOn,A249=SV_ccyYr),SV_ccyF,1)</f>
        <v/>
      </c>
      <c r="O249" s="29">
        <f>IF(A249&gt;SV_T,0,O248*(1+interestRate)*M249*N249)</f>
        <v/>
      </c>
      <c r="P249" s="29">
        <f>IF(A249&gt;SV_T,0,(P248+SV_contrib)*(1+investmentReturn)*M249*N249)</f>
        <v/>
      </c>
      <c r="Q249" s="29">
        <f>IF(A249&gt;SV_T,0,Q248*(1+SV_propRate)*M249)</f>
        <v/>
      </c>
      <c r="R249" s="46">
        <f>MATCH(SV_age+A249-1,SV_cpfLower,1)</f>
        <v/>
      </c>
      <c r="S249" s="29">
        <f>IF(OR(OR(A249&lt;1,A249&gt;SV_T),NOT(SV_cpfOn),AND(SV_deaOn,A249&gt;=SV_deaM)),0,MIN(SV_sal0*(1+incomeGrowthRate)^(A249-1)*G249,SV_owCap))</f>
        <v/>
      </c>
      <c r="T249" s="29">
        <f>IF(A249&gt;SV_T,0,T248*(1+SV_oaRate)+IF(A249&gt;=SV_effStop,0,INDEX(SV_cpfOA,R249)*INDEX(SV_cpfTot,R249)*S249))</f>
        <v/>
      </c>
      <c r="U249" s="29">
        <f>IF(A249&gt;SV_T,0,U248*(1+SV_saRate)+IF(A249&gt;=SV_effStop,0,INDEX(SV_cpfSA,R249)*INDEX(SV_cpfTot,R249)*S249))</f>
        <v/>
      </c>
      <c r="V249" s="29">
        <f>IF(A249&gt;SV_T,0,V248*(1+SV_saRate)+IF(A249&gt;=SV_effStop,0,INDEX(SV_cpfMA,R249)*INDEX(SV_cpfTot,R249)*S249))</f>
        <v/>
      </c>
      <c r="W249" s="29">
        <f>IF(OR(OR(A249&lt;1,A249&gt;SV_T),A249&gt;=SV_effNeg),0,-(INDEX(SV_cpfOA,R249)+INDEX(SV_cpfSA,R249)+INDEX(SV_cpfMA,R249))*INDEX(SV_cpfEmp,R249)*S249)</f>
        <v/>
      </c>
      <c r="X249" s="29">
        <f>IF(A249&gt;=SV_sIdx,0,T249)</f>
        <v/>
      </c>
      <c r="Y249" s="29">
        <f>IF(A249&gt;=SV_sIdx,0,U249)</f>
        <v/>
      </c>
      <c r="Z249" s="29">
        <f>IF(A249&gt;=SV_sIdx,MIN(V249,SV_maCap),V249)</f>
        <v/>
      </c>
      <c r="AA249" s="29">
        <f>IF(AND(SV_cpfOn,A249&gt;=SV_pIdx,A249&lt;=SV_T),12*SV_pay,0)</f>
        <v/>
      </c>
      <c r="AB249" s="29">
        <f>IF(A249&gt;SV_T,0,IF(SV_sp&gt;=0,IF(A249&lt;SV_sIdx,0,IF(A249=SV_sIdx,SV_R0,SV_lifeGrowth*AB248)),SV_lifeGrowth*AB248))</f>
        <v/>
      </c>
      <c r="AC249" s="29">
        <f>IF(A249&gt;SV_T,0,IF(AND(SV_sp&gt;=0,A249&lt;SV_sIdx),0,IF(AND(SV_sp&gt;=0,A249=SV_sIdx),SV_L0,SV_lifeGrowth*(AC248-AA249))))</f>
        <v/>
      </c>
      <c r="AD249" s="29">
        <f>X249+Y249+AB249+Z249+IF(AB249&lt;0,0,AC249)</f>
        <v/>
      </c>
      <c r="AE249" s="29">
        <f>AA249+W249</f>
        <v/>
      </c>
      <c r="AF249" s="29">
        <f>IF(OR(A249&gt;SV_T,A249&gt;=SV_loanYears),0,MAX(0,AF248*(1+loanRate)-SV_inst))</f>
        <v/>
      </c>
      <c r="AG249" s="29">
        <f>IF(A249&gt;SV_T,0,AG248*(1+SV_savRate)+H249+I249+J249+K249+L249+AE249)</f>
        <v/>
      </c>
      <c r="AH249" s="29">
        <f>IF(A249&gt;SV_T,0,MAX(0,O249+P249+Q249+AD249+AG249-AF249))</f>
        <v/>
      </c>
      <c r="AI249" s="29">
        <f>IF(A249&gt;SV_T,0,O249+P249+AG249-MAX(0,AF249-(Q249+AD249)))</f>
        <v/>
      </c>
      <c r="AJ249" s="29">
        <f>IF(OR(OR(A249&lt;1,A249&gt;SV_T),A249-1&gt;=SV_retPay),0,SV_retMth*12+IF(A249=1,SV_retLump,0))</f>
        <v/>
      </c>
      <c r="AK249" s="29">
        <f>IF(A249&gt;SV_T,0,(AK248+AJ249)*(1+investmentReturn))</f>
        <v/>
      </c>
      <c r="AL249" s="29">
        <f>IF(OR(A249&lt;1,A249&gt;SV_T),0,IF(A249-1&gt;=SV_EDUPay,0,SV_EDUMth*12+IF(A249=1,SV_EDULump,0))+IF(A249-1&gt;=SV_SAVPay,0,SV_SAVMth*12+IF(A249=1,SV_SAVLump,0))+IF(A249-1&gt;=SV_PRPPay,0,SV_PRPMth*12+IF(A249=1,SV_PRPLump,0)))</f>
        <v/>
      </c>
      <c r="AM249" s="29">
        <f>IF(A249&gt;SV_T,0,(AM248+AL249)*(1+investmentReturn))</f>
        <v/>
      </c>
      <c r="AN249" s="29">
        <f>IF(OR(OR(A249&lt;1,A249&gt;SV_T),A249-1&gt;=SV_protPay),0,SV_protPrem)</f>
        <v/>
      </c>
      <c r="AO249" s="29">
        <f>IF(OR(A249=0,A249&gt;=SV_T),0,ROUND(MAX(0,AK249),2)+ROUND(MAX(0,AM249),2))</f>
        <v/>
      </c>
      <c r="AP249" s="29">
        <f>IF(OR(A249&lt;1,A249&gt;SV_T),0,-(AJ249+AL249+AN249)+IF(A249=SV_T,ROUND(MAX(0,AK249),2)+ROUND(MAX(0,AM249),2),0))</f>
        <v/>
      </c>
      <c r="AQ249" s="29">
        <f>IF(A249&gt;SV_T,0,AQ248*(1+SV_savRate)+H249+I249+J249+K249+L249+AE249+AP249)</f>
        <v/>
      </c>
      <c r="AR249" s="29">
        <f>IF(A249&gt;SV_T,0,MAX(0,O249+P249+Q249+AD249+AQ249+AO249-AF249))</f>
        <v/>
      </c>
      <c r="AS249" s="29">
        <f>IF(A249&gt;SV_T,0,O249+P249+AQ249+AO249-MAX(0,AF249-(Q249+AD249)))</f>
        <v/>
      </c>
    </row>
    <row r="250">
      <c r="A250" s="61" t="n">
        <v>78</v>
      </c>
      <c r="B250" s="61">
        <f>SV_age+A250</f>
        <v/>
      </c>
      <c r="C250" s="61">
        <f>currentYear+A250</f>
        <v/>
      </c>
      <c r="D250" s="52">
        <f>A250&lt;=SV_T</f>
        <v/>
      </c>
      <c r="E250" s="60">
        <f>IF(AND(SV_inflOn,A250&gt;=SV_inflS,A250&lt;=SV_inflE),1+SV_inflRate,1+inflationRate)</f>
        <v/>
      </c>
      <c r="F250" s="60">
        <f>IF(A250&lt;=1,1,F249*E250)</f>
        <v/>
      </c>
      <c r="G250" s="60">
        <f>IF(AND(SV_incOn,A250&gt;=SV_incS,A250&lt;=SV_incE),1+SV_incImp,1)</f>
        <v/>
      </c>
      <c r="H250" s="29">
        <f>IF(OR(OR(A250&lt;1,A250&gt;SV_T),A250-1&gt;=SV_salCut,AND(SV_deaOn,A250&gt;=SV_deaM)),0,SV_sal0*(1+incomeGrowthRate)^(A250-1)*G250)</f>
        <v/>
      </c>
      <c r="I250" s="29">
        <f>IF(OR(A250&lt;1,A250&gt;SV_T),0,(-SV_exp0*F250-IF(A250&lt;=SV_loanYears,SV_inst,0)-IF(AND(SV_wdEDUAmt&gt;0,A250=SV_wdEDUYear),SV_wdEDUAmt,0)-IF(AND(SV_wdSAVAmt&gt;0,A250=SV_wdSAVYear),SV_wdSAVAmt,0)-IF(AND(SV_wdPRPAmt&gt;0,A250=SV_wdPRPYear),SV_wdPRPAmt,0))*IF(AND(SV_expOn,A250&gt;=SV_expS,A250&lt;=SV_expE),1+SV_expImp,1))</f>
        <v/>
      </c>
      <c r="J250" s="29">
        <f>IF(OR(A250&lt;1,A250&gt;SV_T),0,-F250*(IF(AND(SV_deaOn,A250=SV_deaM),SV_deaAmt,0)+IF(AND(SV_criOn,A250=SV_criM),SV_criAmt,0)+IF(AND(SV_tpdOn,A250=SV_tpdM),SV_tpdAmt,0)+IF(AND(SV_pacOn,A250=SV_pacM),SV_pacAmt,0)+IF(AND(SV_hosOn,A250=SV_hosM),SV_hosAmt,0)+IF(AND(SV_wedOn,A250=SV_wedM),SV_wedAmt,0)+IF(AND(SV_babOn,A250=SV_babM),SV_babAmt,0)+IF(AND(SV_ltcOn,A250&gt;=SV_ltcM,A250&lt;=SV_ltcE),SV_ltcAmt,0)))</f>
        <v/>
      </c>
      <c r="K250" s="29">
        <f>IF(OR(OR(A250&lt;1,A250&gt;SV_T),A250&gt;SV_loanYears),0,-SV_lifePremYr)</f>
        <v/>
      </c>
      <c r="L250" s="29">
        <f>IF(OR(A250&lt;1,A250&gt;SV_T),0,-SV_contrib)</f>
        <v/>
      </c>
      <c r="M250" s="60">
        <f>IF(AND(SV_crashOn,A250=SV_crashYr),SV_crashF,1)</f>
        <v/>
      </c>
      <c r="N250" s="60">
        <f>IF(AND(SV_ccyOn,A250=SV_ccyYr),SV_ccyF,1)</f>
        <v/>
      </c>
      <c r="O250" s="29">
        <f>IF(A250&gt;SV_T,0,O249*(1+interestRate)*M250*N250)</f>
        <v/>
      </c>
      <c r="P250" s="29">
        <f>IF(A250&gt;SV_T,0,(P249+SV_contrib)*(1+investmentReturn)*M250*N250)</f>
        <v/>
      </c>
      <c r="Q250" s="29">
        <f>IF(A250&gt;SV_T,0,Q249*(1+SV_propRate)*M250)</f>
        <v/>
      </c>
      <c r="R250" s="46">
        <f>MATCH(SV_age+A250-1,SV_cpfLower,1)</f>
        <v/>
      </c>
      <c r="S250" s="29">
        <f>IF(OR(OR(A250&lt;1,A250&gt;SV_T),NOT(SV_cpfOn),AND(SV_deaOn,A250&gt;=SV_deaM)),0,MIN(SV_sal0*(1+incomeGrowthRate)^(A250-1)*G250,SV_owCap))</f>
        <v/>
      </c>
      <c r="T250" s="29">
        <f>IF(A250&gt;SV_T,0,T249*(1+SV_oaRate)+IF(A250&gt;=SV_effStop,0,INDEX(SV_cpfOA,R250)*INDEX(SV_cpfTot,R250)*S250))</f>
        <v/>
      </c>
      <c r="U250" s="29">
        <f>IF(A250&gt;SV_T,0,U249*(1+SV_saRate)+IF(A250&gt;=SV_effStop,0,INDEX(SV_cpfSA,R250)*INDEX(SV_cpfTot,R250)*S250))</f>
        <v/>
      </c>
      <c r="V250" s="29">
        <f>IF(A250&gt;SV_T,0,V249*(1+SV_saRate)+IF(A250&gt;=SV_effStop,0,INDEX(SV_cpfMA,R250)*INDEX(SV_cpfTot,R250)*S250))</f>
        <v/>
      </c>
      <c r="W250" s="29">
        <f>IF(OR(OR(A250&lt;1,A250&gt;SV_T),A250&gt;=SV_effNeg),0,-(INDEX(SV_cpfOA,R250)+INDEX(SV_cpfSA,R250)+INDEX(SV_cpfMA,R250))*INDEX(SV_cpfEmp,R250)*S250)</f>
        <v/>
      </c>
      <c r="X250" s="29">
        <f>IF(A250&gt;=SV_sIdx,0,T250)</f>
        <v/>
      </c>
      <c r="Y250" s="29">
        <f>IF(A250&gt;=SV_sIdx,0,U250)</f>
        <v/>
      </c>
      <c r="Z250" s="29">
        <f>IF(A250&gt;=SV_sIdx,MIN(V250,SV_maCap),V250)</f>
        <v/>
      </c>
      <c r="AA250" s="29">
        <f>IF(AND(SV_cpfOn,A250&gt;=SV_pIdx,A250&lt;=SV_T),12*SV_pay,0)</f>
        <v/>
      </c>
      <c r="AB250" s="29">
        <f>IF(A250&gt;SV_T,0,IF(SV_sp&gt;=0,IF(A250&lt;SV_sIdx,0,IF(A250=SV_sIdx,SV_R0,SV_lifeGrowth*AB249)),SV_lifeGrowth*AB249))</f>
        <v/>
      </c>
      <c r="AC250" s="29">
        <f>IF(A250&gt;SV_T,0,IF(AND(SV_sp&gt;=0,A250&lt;SV_sIdx),0,IF(AND(SV_sp&gt;=0,A250=SV_sIdx),SV_L0,SV_lifeGrowth*(AC249-AA250))))</f>
        <v/>
      </c>
      <c r="AD250" s="29">
        <f>X250+Y250+AB250+Z250+IF(AB250&lt;0,0,AC250)</f>
        <v/>
      </c>
      <c r="AE250" s="29">
        <f>AA250+W250</f>
        <v/>
      </c>
      <c r="AF250" s="29">
        <f>IF(OR(A250&gt;SV_T,A250&gt;=SV_loanYears),0,MAX(0,AF249*(1+loanRate)-SV_inst))</f>
        <v/>
      </c>
      <c r="AG250" s="29">
        <f>IF(A250&gt;SV_T,0,AG249*(1+SV_savRate)+H250+I250+J250+K250+L250+AE250)</f>
        <v/>
      </c>
      <c r="AH250" s="29">
        <f>IF(A250&gt;SV_T,0,MAX(0,O250+P250+Q250+AD250+AG250-AF250))</f>
        <v/>
      </c>
      <c r="AI250" s="29">
        <f>IF(A250&gt;SV_T,0,O250+P250+AG250-MAX(0,AF250-(Q250+AD250)))</f>
        <v/>
      </c>
      <c r="AJ250" s="29">
        <f>IF(OR(OR(A250&lt;1,A250&gt;SV_T),A250-1&gt;=SV_retPay),0,SV_retMth*12+IF(A250=1,SV_retLump,0))</f>
        <v/>
      </c>
      <c r="AK250" s="29">
        <f>IF(A250&gt;SV_T,0,(AK249+AJ250)*(1+investmentReturn))</f>
        <v/>
      </c>
      <c r="AL250" s="29">
        <f>IF(OR(A250&lt;1,A250&gt;SV_T),0,IF(A250-1&gt;=SV_EDUPay,0,SV_EDUMth*12+IF(A250=1,SV_EDULump,0))+IF(A250-1&gt;=SV_SAVPay,0,SV_SAVMth*12+IF(A250=1,SV_SAVLump,0))+IF(A250-1&gt;=SV_PRPPay,0,SV_PRPMth*12+IF(A250=1,SV_PRPLump,0)))</f>
        <v/>
      </c>
      <c r="AM250" s="29">
        <f>IF(A250&gt;SV_T,0,(AM249+AL250)*(1+investmentReturn))</f>
        <v/>
      </c>
      <c r="AN250" s="29">
        <f>IF(OR(OR(A250&lt;1,A250&gt;SV_T),A250-1&gt;=SV_protPay),0,SV_protPrem)</f>
        <v/>
      </c>
      <c r="AO250" s="29">
        <f>IF(OR(A250=0,A250&gt;=SV_T),0,ROUND(MAX(0,AK250),2)+ROUND(MAX(0,AM250),2))</f>
        <v/>
      </c>
      <c r="AP250" s="29">
        <f>IF(OR(A250&lt;1,A250&gt;SV_T),0,-(AJ250+AL250+AN250)+IF(A250=SV_T,ROUND(MAX(0,AK250),2)+ROUND(MAX(0,AM250),2),0))</f>
        <v/>
      </c>
      <c r="AQ250" s="29">
        <f>IF(A250&gt;SV_T,0,AQ249*(1+SV_savRate)+H250+I250+J250+K250+L250+AE250+AP250)</f>
        <v/>
      </c>
      <c r="AR250" s="29">
        <f>IF(A250&gt;SV_T,0,MAX(0,O250+P250+Q250+AD250+AQ250+AO250-AF250))</f>
        <v/>
      </c>
      <c r="AS250" s="29">
        <f>IF(A250&gt;SV_T,0,O250+P250+AQ250+AO250-MAX(0,AF250-(Q250+AD250)))</f>
        <v/>
      </c>
    </row>
    <row r="251">
      <c r="A251" s="61" t="n">
        <v>79</v>
      </c>
      <c r="B251" s="61">
        <f>SV_age+A251</f>
        <v/>
      </c>
      <c r="C251" s="61">
        <f>currentYear+A251</f>
        <v/>
      </c>
      <c r="D251" s="52">
        <f>A251&lt;=SV_T</f>
        <v/>
      </c>
      <c r="E251" s="60">
        <f>IF(AND(SV_inflOn,A251&gt;=SV_inflS,A251&lt;=SV_inflE),1+SV_inflRate,1+inflationRate)</f>
        <v/>
      </c>
      <c r="F251" s="60">
        <f>IF(A251&lt;=1,1,F250*E251)</f>
        <v/>
      </c>
      <c r="G251" s="60">
        <f>IF(AND(SV_incOn,A251&gt;=SV_incS,A251&lt;=SV_incE),1+SV_incImp,1)</f>
        <v/>
      </c>
      <c r="H251" s="29">
        <f>IF(OR(OR(A251&lt;1,A251&gt;SV_T),A251-1&gt;=SV_salCut,AND(SV_deaOn,A251&gt;=SV_deaM)),0,SV_sal0*(1+incomeGrowthRate)^(A251-1)*G251)</f>
        <v/>
      </c>
      <c r="I251" s="29">
        <f>IF(OR(A251&lt;1,A251&gt;SV_T),0,(-SV_exp0*F251-IF(A251&lt;=SV_loanYears,SV_inst,0)-IF(AND(SV_wdEDUAmt&gt;0,A251=SV_wdEDUYear),SV_wdEDUAmt,0)-IF(AND(SV_wdSAVAmt&gt;0,A251=SV_wdSAVYear),SV_wdSAVAmt,0)-IF(AND(SV_wdPRPAmt&gt;0,A251=SV_wdPRPYear),SV_wdPRPAmt,0))*IF(AND(SV_expOn,A251&gt;=SV_expS,A251&lt;=SV_expE),1+SV_expImp,1))</f>
        <v/>
      </c>
      <c r="J251" s="29">
        <f>IF(OR(A251&lt;1,A251&gt;SV_T),0,-F251*(IF(AND(SV_deaOn,A251=SV_deaM),SV_deaAmt,0)+IF(AND(SV_criOn,A251=SV_criM),SV_criAmt,0)+IF(AND(SV_tpdOn,A251=SV_tpdM),SV_tpdAmt,0)+IF(AND(SV_pacOn,A251=SV_pacM),SV_pacAmt,0)+IF(AND(SV_hosOn,A251=SV_hosM),SV_hosAmt,0)+IF(AND(SV_wedOn,A251=SV_wedM),SV_wedAmt,0)+IF(AND(SV_babOn,A251=SV_babM),SV_babAmt,0)+IF(AND(SV_ltcOn,A251&gt;=SV_ltcM,A251&lt;=SV_ltcE),SV_ltcAmt,0)))</f>
        <v/>
      </c>
      <c r="K251" s="29">
        <f>IF(OR(OR(A251&lt;1,A251&gt;SV_T),A251&gt;SV_loanYears),0,-SV_lifePremYr)</f>
        <v/>
      </c>
      <c r="L251" s="29">
        <f>IF(OR(A251&lt;1,A251&gt;SV_T),0,-SV_contrib)</f>
        <v/>
      </c>
      <c r="M251" s="60">
        <f>IF(AND(SV_crashOn,A251=SV_crashYr),SV_crashF,1)</f>
        <v/>
      </c>
      <c r="N251" s="60">
        <f>IF(AND(SV_ccyOn,A251=SV_ccyYr),SV_ccyF,1)</f>
        <v/>
      </c>
      <c r="O251" s="29">
        <f>IF(A251&gt;SV_T,0,O250*(1+interestRate)*M251*N251)</f>
        <v/>
      </c>
      <c r="P251" s="29">
        <f>IF(A251&gt;SV_T,0,(P250+SV_contrib)*(1+investmentReturn)*M251*N251)</f>
        <v/>
      </c>
      <c r="Q251" s="29">
        <f>IF(A251&gt;SV_T,0,Q250*(1+SV_propRate)*M251)</f>
        <v/>
      </c>
      <c r="R251" s="46">
        <f>MATCH(SV_age+A251-1,SV_cpfLower,1)</f>
        <v/>
      </c>
      <c r="S251" s="29">
        <f>IF(OR(OR(A251&lt;1,A251&gt;SV_T),NOT(SV_cpfOn),AND(SV_deaOn,A251&gt;=SV_deaM)),0,MIN(SV_sal0*(1+incomeGrowthRate)^(A251-1)*G251,SV_owCap))</f>
        <v/>
      </c>
      <c r="T251" s="29">
        <f>IF(A251&gt;SV_T,0,T250*(1+SV_oaRate)+IF(A251&gt;=SV_effStop,0,INDEX(SV_cpfOA,R251)*INDEX(SV_cpfTot,R251)*S251))</f>
        <v/>
      </c>
      <c r="U251" s="29">
        <f>IF(A251&gt;SV_T,0,U250*(1+SV_saRate)+IF(A251&gt;=SV_effStop,0,INDEX(SV_cpfSA,R251)*INDEX(SV_cpfTot,R251)*S251))</f>
        <v/>
      </c>
      <c r="V251" s="29">
        <f>IF(A251&gt;SV_T,0,V250*(1+SV_saRate)+IF(A251&gt;=SV_effStop,0,INDEX(SV_cpfMA,R251)*INDEX(SV_cpfTot,R251)*S251))</f>
        <v/>
      </c>
      <c r="W251" s="29">
        <f>IF(OR(OR(A251&lt;1,A251&gt;SV_T),A251&gt;=SV_effNeg),0,-(INDEX(SV_cpfOA,R251)+INDEX(SV_cpfSA,R251)+INDEX(SV_cpfMA,R251))*INDEX(SV_cpfEmp,R251)*S251)</f>
        <v/>
      </c>
      <c r="X251" s="29">
        <f>IF(A251&gt;=SV_sIdx,0,T251)</f>
        <v/>
      </c>
      <c r="Y251" s="29">
        <f>IF(A251&gt;=SV_sIdx,0,U251)</f>
        <v/>
      </c>
      <c r="Z251" s="29">
        <f>IF(A251&gt;=SV_sIdx,MIN(V251,SV_maCap),V251)</f>
        <v/>
      </c>
      <c r="AA251" s="29">
        <f>IF(AND(SV_cpfOn,A251&gt;=SV_pIdx,A251&lt;=SV_T),12*SV_pay,0)</f>
        <v/>
      </c>
      <c r="AB251" s="29">
        <f>IF(A251&gt;SV_T,0,IF(SV_sp&gt;=0,IF(A251&lt;SV_sIdx,0,IF(A251=SV_sIdx,SV_R0,SV_lifeGrowth*AB250)),SV_lifeGrowth*AB250))</f>
        <v/>
      </c>
      <c r="AC251" s="29">
        <f>IF(A251&gt;SV_T,0,IF(AND(SV_sp&gt;=0,A251&lt;SV_sIdx),0,IF(AND(SV_sp&gt;=0,A251=SV_sIdx),SV_L0,SV_lifeGrowth*(AC250-AA251))))</f>
        <v/>
      </c>
      <c r="AD251" s="29">
        <f>X251+Y251+AB251+Z251+IF(AB251&lt;0,0,AC251)</f>
        <v/>
      </c>
      <c r="AE251" s="29">
        <f>AA251+W251</f>
        <v/>
      </c>
      <c r="AF251" s="29">
        <f>IF(OR(A251&gt;SV_T,A251&gt;=SV_loanYears),0,MAX(0,AF250*(1+loanRate)-SV_inst))</f>
        <v/>
      </c>
      <c r="AG251" s="29">
        <f>IF(A251&gt;SV_T,0,AG250*(1+SV_savRate)+H251+I251+J251+K251+L251+AE251)</f>
        <v/>
      </c>
      <c r="AH251" s="29">
        <f>IF(A251&gt;SV_T,0,MAX(0,O251+P251+Q251+AD251+AG251-AF251))</f>
        <v/>
      </c>
      <c r="AI251" s="29">
        <f>IF(A251&gt;SV_T,0,O251+P251+AG251-MAX(0,AF251-(Q251+AD251)))</f>
        <v/>
      </c>
      <c r="AJ251" s="29">
        <f>IF(OR(OR(A251&lt;1,A251&gt;SV_T),A251-1&gt;=SV_retPay),0,SV_retMth*12+IF(A251=1,SV_retLump,0))</f>
        <v/>
      </c>
      <c r="AK251" s="29">
        <f>IF(A251&gt;SV_T,0,(AK250+AJ251)*(1+investmentReturn))</f>
        <v/>
      </c>
      <c r="AL251" s="29">
        <f>IF(OR(A251&lt;1,A251&gt;SV_T),0,IF(A251-1&gt;=SV_EDUPay,0,SV_EDUMth*12+IF(A251=1,SV_EDULump,0))+IF(A251-1&gt;=SV_SAVPay,0,SV_SAVMth*12+IF(A251=1,SV_SAVLump,0))+IF(A251-1&gt;=SV_PRPPay,0,SV_PRPMth*12+IF(A251=1,SV_PRPLump,0)))</f>
        <v/>
      </c>
      <c r="AM251" s="29">
        <f>IF(A251&gt;SV_T,0,(AM250+AL251)*(1+investmentReturn))</f>
        <v/>
      </c>
      <c r="AN251" s="29">
        <f>IF(OR(OR(A251&lt;1,A251&gt;SV_T),A251-1&gt;=SV_protPay),0,SV_protPrem)</f>
        <v/>
      </c>
      <c r="AO251" s="29">
        <f>IF(OR(A251=0,A251&gt;=SV_T),0,ROUND(MAX(0,AK251),2)+ROUND(MAX(0,AM251),2))</f>
        <v/>
      </c>
      <c r="AP251" s="29">
        <f>IF(OR(A251&lt;1,A251&gt;SV_T),0,-(AJ251+AL251+AN251)+IF(A251=SV_T,ROUND(MAX(0,AK251),2)+ROUND(MAX(0,AM251),2),0))</f>
        <v/>
      </c>
      <c r="AQ251" s="29">
        <f>IF(A251&gt;SV_T,0,AQ250*(1+SV_savRate)+H251+I251+J251+K251+L251+AE251+AP251)</f>
        <v/>
      </c>
      <c r="AR251" s="29">
        <f>IF(A251&gt;SV_T,0,MAX(0,O251+P251+Q251+AD251+AQ251+AO251-AF251))</f>
        <v/>
      </c>
      <c r="AS251" s="29">
        <f>IF(A251&gt;SV_T,0,O251+P251+AQ251+AO251-MAX(0,AF251-(Q251+AD251)))</f>
        <v/>
      </c>
    </row>
    <row r="252">
      <c r="A252" s="61" t="n">
        <v>80</v>
      </c>
      <c r="B252" s="61">
        <f>SV_age+A252</f>
        <v/>
      </c>
      <c r="C252" s="61">
        <f>currentYear+A252</f>
        <v/>
      </c>
      <c r="D252" s="52">
        <f>A252&lt;=SV_T</f>
        <v/>
      </c>
      <c r="E252" s="60">
        <f>IF(AND(SV_inflOn,A252&gt;=SV_inflS,A252&lt;=SV_inflE),1+SV_inflRate,1+inflationRate)</f>
        <v/>
      </c>
      <c r="F252" s="60">
        <f>IF(A252&lt;=1,1,F251*E252)</f>
        <v/>
      </c>
      <c r="G252" s="60">
        <f>IF(AND(SV_incOn,A252&gt;=SV_incS,A252&lt;=SV_incE),1+SV_incImp,1)</f>
        <v/>
      </c>
      <c r="H252" s="29">
        <f>IF(OR(OR(A252&lt;1,A252&gt;SV_T),A252-1&gt;=SV_salCut,AND(SV_deaOn,A252&gt;=SV_deaM)),0,SV_sal0*(1+incomeGrowthRate)^(A252-1)*G252)</f>
        <v/>
      </c>
      <c r="I252" s="29">
        <f>IF(OR(A252&lt;1,A252&gt;SV_T),0,(-SV_exp0*F252-IF(A252&lt;=SV_loanYears,SV_inst,0)-IF(AND(SV_wdEDUAmt&gt;0,A252=SV_wdEDUYear),SV_wdEDUAmt,0)-IF(AND(SV_wdSAVAmt&gt;0,A252=SV_wdSAVYear),SV_wdSAVAmt,0)-IF(AND(SV_wdPRPAmt&gt;0,A252=SV_wdPRPYear),SV_wdPRPAmt,0))*IF(AND(SV_expOn,A252&gt;=SV_expS,A252&lt;=SV_expE),1+SV_expImp,1))</f>
        <v/>
      </c>
      <c r="J252" s="29">
        <f>IF(OR(A252&lt;1,A252&gt;SV_T),0,-F252*(IF(AND(SV_deaOn,A252=SV_deaM),SV_deaAmt,0)+IF(AND(SV_criOn,A252=SV_criM),SV_criAmt,0)+IF(AND(SV_tpdOn,A252=SV_tpdM),SV_tpdAmt,0)+IF(AND(SV_pacOn,A252=SV_pacM),SV_pacAmt,0)+IF(AND(SV_hosOn,A252=SV_hosM),SV_hosAmt,0)+IF(AND(SV_wedOn,A252=SV_wedM),SV_wedAmt,0)+IF(AND(SV_babOn,A252=SV_babM),SV_babAmt,0)+IF(AND(SV_ltcOn,A252&gt;=SV_ltcM,A252&lt;=SV_ltcE),SV_ltcAmt,0)))</f>
        <v/>
      </c>
      <c r="K252" s="29">
        <f>IF(OR(OR(A252&lt;1,A252&gt;SV_T),A252&gt;SV_loanYears),0,-SV_lifePremYr)</f>
        <v/>
      </c>
      <c r="L252" s="29">
        <f>IF(OR(A252&lt;1,A252&gt;SV_T),0,-SV_contrib)</f>
        <v/>
      </c>
      <c r="M252" s="60">
        <f>IF(AND(SV_crashOn,A252=SV_crashYr),SV_crashF,1)</f>
        <v/>
      </c>
      <c r="N252" s="60">
        <f>IF(AND(SV_ccyOn,A252=SV_ccyYr),SV_ccyF,1)</f>
        <v/>
      </c>
      <c r="O252" s="29">
        <f>IF(A252&gt;SV_T,0,O251*(1+interestRate)*M252*N252)</f>
        <v/>
      </c>
      <c r="P252" s="29">
        <f>IF(A252&gt;SV_T,0,(P251+SV_contrib)*(1+investmentReturn)*M252*N252)</f>
        <v/>
      </c>
      <c r="Q252" s="29">
        <f>IF(A252&gt;SV_T,0,Q251*(1+SV_propRate)*M252)</f>
        <v/>
      </c>
      <c r="R252" s="46">
        <f>MATCH(SV_age+A252-1,SV_cpfLower,1)</f>
        <v/>
      </c>
      <c r="S252" s="29">
        <f>IF(OR(OR(A252&lt;1,A252&gt;SV_T),NOT(SV_cpfOn),AND(SV_deaOn,A252&gt;=SV_deaM)),0,MIN(SV_sal0*(1+incomeGrowthRate)^(A252-1)*G252,SV_owCap))</f>
        <v/>
      </c>
      <c r="T252" s="29">
        <f>IF(A252&gt;SV_T,0,T251*(1+SV_oaRate)+IF(A252&gt;=SV_effStop,0,INDEX(SV_cpfOA,R252)*INDEX(SV_cpfTot,R252)*S252))</f>
        <v/>
      </c>
      <c r="U252" s="29">
        <f>IF(A252&gt;SV_T,0,U251*(1+SV_saRate)+IF(A252&gt;=SV_effStop,0,INDEX(SV_cpfSA,R252)*INDEX(SV_cpfTot,R252)*S252))</f>
        <v/>
      </c>
      <c r="V252" s="29">
        <f>IF(A252&gt;SV_T,0,V251*(1+SV_saRate)+IF(A252&gt;=SV_effStop,0,INDEX(SV_cpfMA,R252)*INDEX(SV_cpfTot,R252)*S252))</f>
        <v/>
      </c>
      <c r="W252" s="29">
        <f>IF(OR(OR(A252&lt;1,A252&gt;SV_T),A252&gt;=SV_effNeg),0,-(INDEX(SV_cpfOA,R252)+INDEX(SV_cpfSA,R252)+INDEX(SV_cpfMA,R252))*INDEX(SV_cpfEmp,R252)*S252)</f>
        <v/>
      </c>
      <c r="X252" s="29">
        <f>IF(A252&gt;=SV_sIdx,0,T252)</f>
        <v/>
      </c>
      <c r="Y252" s="29">
        <f>IF(A252&gt;=SV_sIdx,0,U252)</f>
        <v/>
      </c>
      <c r="Z252" s="29">
        <f>IF(A252&gt;=SV_sIdx,MIN(V252,SV_maCap),V252)</f>
        <v/>
      </c>
      <c r="AA252" s="29">
        <f>IF(AND(SV_cpfOn,A252&gt;=SV_pIdx,A252&lt;=SV_T),12*SV_pay,0)</f>
        <v/>
      </c>
      <c r="AB252" s="29">
        <f>IF(A252&gt;SV_T,0,IF(SV_sp&gt;=0,IF(A252&lt;SV_sIdx,0,IF(A252=SV_sIdx,SV_R0,SV_lifeGrowth*AB251)),SV_lifeGrowth*AB251))</f>
        <v/>
      </c>
      <c r="AC252" s="29">
        <f>IF(A252&gt;SV_T,0,IF(AND(SV_sp&gt;=0,A252&lt;SV_sIdx),0,IF(AND(SV_sp&gt;=0,A252=SV_sIdx),SV_L0,SV_lifeGrowth*(AC251-AA252))))</f>
        <v/>
      </c>
      <c r="AD252" s="29">
        <f>X252+Y252+AB252+Z252+IF(AB252&lt;0,0,AC252)</f>
        <v/>
      </c>
      <c r="AE252" s="29">
        <f>AA252+W252</f>
        <v/>
      </c>
      <c r="AF252" s="29">
        <f>IF(OR(A252&gt;SV_T,A252&gt;=SV_loanYears),0,MAX(0,AF251*(1+loanRate)-SV_inst))</f>
        <v/>
      </c>
      <c r="AG252" s="29">
        <f>IF(A252&gt;SV_T,0,AG251*(1+SV_savRate)+H252+I252+J252+K252+L252+AE252)</f>
        <v/>
      </c>
      <c r="AH252" s="29">
        <f>IF(A252&gt;SV_T,0,MAX(0,O252+P252+Q252+AD252+AG252-AF252))</f>
        <v/>
      </c>
      <c r="AI252" s="29">
        <f>IF(A252&gt;SV_T,0,O252+P252+AG252-MAX(0,AF252-(Q252+AD252)))</f>
        <v/>
      </c>
      <c r="AJ252" s="29">
        <f>IF(OR(OR(A252&lt;1,A252&gt;SV_T),A252-1&gt;=SV_retPay),0,SV_retMth*12+IF(A252=1,SV_retLump,0))</f>
        <v/>
      </c>
      <c r="AK252" s="29">
        <f>IF(A252&gt;SV_T,0,(AK251+AJ252)*(1+investmentReturn))</f>
        <v/>
      </c>
      <c r="AL252" s="29">
        <f>IF(OR(A252&lt;1,A252&gt;SV_T),0,IF(A252-1&gt;=SV_EDUPay,0,SV_EDUMth*12+IF(A252=1,SV_EDULump,0))+IF(A252-1&gt;=SV_SAVPay,0,SV_SAVMth*12+IF(A252=1,SV_SAVLump,0))+IF(A252-1&gt;=SV_PRPPay,0,SV_PRPMth*12+IF(A252=1,SV_PRPLump,0)))</f>
        <v/>
      </c>
      <c r="AM252" s="29">
        <f>IF(A252&gt;SV_T,0,(AM251+AL252)*(1+investmentReturn))</f>
        <v/>
      </c>
      <c r="AN252" s="29">
        <f>IF(OR(OR(A252&lt;1,A252&gt;SV_T),A252-1&gt;=SV_protPay),0,SV_protPrem)</f>
        <v/>
      </c>
      <c r="AO252" s="29">
        <f>IF(OR(A252=0,A252&gt;=SV_T),0,ROUND(MAX(0,AK252),2)+ROUND(MAX(0,AM252),2))</f>
        <v/>
      </c>
      <c r="AP252" s="29">
        <f>IF(OR(A252&lt;1,A252&gt;SV_T),0,-(AJ252+AL252+AN252)+IF(A252=SV_T,ROUND(MAX(0,AK252),2)+ROUND(MAX(0,AM252),2),0))</f>
        <v/>
      </c>
      <c r="AQ252" s="29">
        <f>IF(A252&gt;SV_T,0,AQ251*(1+SV_savRate)+H252+I252+J252+K252+L252+AE252+AP252)</f>
        <v/>
      </c>
      <c r="AR252" s="29">
        <f>IF(A252&gt;SV_T,0,MAX(0,O252+P252+Q252+AD252+AQ252+AO252-AF252))</f>
        <v/>
      </c>
      <c r="AS252" s="29">
        <f>IF(A252&gt;SV_T,0,O252+P252+AQ252+AO252-MAX(0,AF252-(Q252+AD252)))</f>
        <v/>
      </c>
    </row>
    <row r="253">
      <c r="A253" s="61" t="n">
        <v>81</v>
      </c>
      <c r="B253" s="61">
        <f>SV_age+A253</f>
        <v/>
      </c>
      <c r="C253" s="61">
        <f>currentYear+A253</f>
        <v/>
      </c>
      <c r="D253" s="52">
        <f>A253&lt;=SV_T</f>
        <v/>
      </c>
      <c r="E253" s="60">
        <f>IF(AND(SV_inflOn,A253&gt;=SV_inflS,A253&lt;=SV_inflE),1+SV_inflRate,1+inflationRate)</f>
        <v/>
      </c>
      <c r="F253" s="60">
        <f>IF(A253&lt;=1,1,F252*E253)</f>
        <v/>
      </c>
      <c r="G253" s="60">
        <f>IF(AND(SV_incOn,A253&gt;=SV_incS,A253&lt;=SV_incE),1+SV_incImp,1)</f>
        <v/>
      </c>
      <c r="H253" s="29">
        <f>IF(OR(OR(A253&lt;1,A253&gt;SV_T),A253-1&gt;=SV_salCut,AND(SV_deaOn,A253&gt;=SV_deaM)),0,SV_sal0*(1+incomeGrowthRate)^(A253-1)*G253)</f>
        <v/>
      </c>
      <c r="I253" s="29">
        <f>IF(OR(A253&lt;1,A253&gt;SV_T),0,(-SV_exp0*F253-IF(A253&lt;=SV_loanYears,SV_inst,0)-IF(AND(SV_wdEDUAmt&gt;0,A253=SV_wdEDUYear),SV_wdEDUAmt,0)-IF(AND(SV_wdSAVAmt&gt;0,A253=SV_wdSAVYear),SV_wdSAVAmt,0)-IF(AND(SV_wdPRPAmt&gt;0,A253=SV_wdPRPYear),SV_wdPRPAmt,0))*IF(AND(SV_expOn,A253&gt;=SV_expS,A253&lt;=SV_expE),1+SV_expImp,1))</f>
        <v/>
      </c>
      <c r="J253" s="29">
        <f>IF(OR(A253&lt;1,A253&gt;SV_T),0,-F253*(IF(AND(SV_deaOn,A253=SV_deaM),SV_deaAmt,0)+IF(AND(SV_criOn,A253=SV_criM),SV_criAmt,0)+IF(AND(SV_tpdOn,A253=SV_tpdM),SV_tpdAmt,0)+IF(AND(SV_pacOn,A253=SV_pacM),SV_pacAmt,0)+IF(AND(SV_hosOn,A253=SV_hosM),SV_hosAmt,0)+IF(AND(SV_wedOn,A253=SV_wedM),SV_wedAmt,0)+IF(AND(SV_babOn,A253=SV_babM),SV_babAmt,0)+IF(AND(SV_ltcOn,A253&gt;=SV_ltcM,A253&lt;=SV_ltcE),SV_ltcAmt,0)))</f>
        <v/>
      </c>
      <c r="K253" s="29">
        <f>IF(OR(OR(A253&lt;1,A253&gt;SV_T),A253&gt;SV_loanYears),0,-SV_lifePremYr)</f>
        <v/>
      </c>
      <c r="L253" s="29">
        <f>IF(OR(A253&lt;1,A253&gt;SV_T),0,-SV_contrib)</f>
        <v/>
      </c>
      <c r="M253" s="60">
        <f>IF(AND(SV_crashOn,A253=SV_crashYr),SV_crashF,1)</f>
        <v/>
      </c>
      <c r="N253" s="60">
        <f>IF(AND(SV_ccyOn,A253=SV_ccyYr),SV_ccyF,1)</f>
        <v/>
      </c>
      <c r="O253" s="29">
        <f>IF(A253&gt;SV_T,0,O252*(1+interestRate)*M253*N253)</f>
        <v/>
      </c>
      <c r="P253" s="29">
        <f>IF(A253&gt;SV_T,0,(P252+SV_contrib)*(1+investmentReturn)*M253*N253)</f>
        <v/>
      </c>
      <c r="Q253" s="29">
        <f>IF(A253&gt;SV_T,0,Q252*(1+SV_propRate)*M253)</f>
        <v/>
      </c>
      <c r="R253" s="46">
        <f>MATCH(SV_age+A253-1,SV_cpfLower,1)</f>
        <v/>
      </c>
      <c r="S253" s="29">
        <f>IF(OR(OR(A253&lt;1,A253&gt;SV_T),NOT(SV_cpfOn),AND(SV_deaOn,A253&gt;=SV_deaM)),0,MIN(SV_sal0*(1+incomeGrowthRate)^(A253-1)*G253,SV_owCap))</f>
        <v/>
      </c>
      <c r="T253" s="29">
        <f>IF(A253&gt;SV_T,0,T252*(1+SV_oaRate)+IF(A253&gt;=SV_effStop,0,INDEX(SV_cpfOA,R253)*INDEX(SV_cpfTot,R253)*S253))</f>
        <v/>
      </c>
      <c r="U253" s="29">
        <f>IF(A253&gt;SV_T,0,U252*(1+SV_saRate)+IF(A253&gt;=SV_effStop,0,INDEX(SV_cpfSA,R253)*INDEX(SV_cpfTot,R253)*S253))</f>
        <v/>
      </c>
      <c r="V253" s="29">
        <f>IF(A253&gt;SV_T,0,V252*(1+SV_saRate)+IF(A253&gt;=SV_effStop,0,INDEX(SV_cpfMA,R253)*INDEX(SV_cpfTot,R253)*S253))</f>
        <v/>
      </c>
      <c r="W253" s="29">
        <f>IF(OR(OR(A253&lt;1,A253&gt;SV_T),A253&gt;=SV_effNeg),0,-(INDEX(SV_cpfOA,R253)+INDEX(SV_cpfSA,R253)+INDEX(SV_cpfMA,R253))*INDEX(SV_cpfEmp,R253)*S253)</f>
        <v/>
      </c>
      <c r="X253" s="29">
        <f>IF(A253&gt;=SV_sIdx,0,T253)</f>
        <v/>
      </c>
      <c r="Y253" s="29">
        <f>IF(A253&gt;=SV_sIdx,0,U253)</f>
        <v/>
      </c>
      <c r="Z253" s="29">
        <f>IF(A253&gt;=SV_sIdx,MIN(V253,SV_maCap),V253)</f>
        <v/>
      </c>
      <c r="AA253" s="29">
        <f>IF(AND(SV_cpfOn,A253&gt;=SV_pIdx,A253&lt;=SV_T),12*SV_pay,0)</f>
        <v/>
      </c>
      <c r="AB253" s="29">
        <f>IF(A253&gt;SV_T,0,IF(SV_sp&gt;=0,IF(A253&lt;SV_sIdx,0,IF(A253=SV_sIdx,SV_R0,SV_lifeGrowth*AB252)),SV_lifeGrowth*AB252))</f>
        <v/>
      </c>
      <c r="AC253" s="29">
        <f>IF(A253&gt;SV_T,0,IF(AND(SV_sp&gt;=0,A253&lt;SV_sIdx),0,IF(AND(SV_sp&gt;=0,A253=SV_sIdx),SV_L0,SV_lifeGrowth*(AC252-AA253))))</f>
        <v/>
      </c>
      <c r="AD253" s="29">
        <f>X253+Y253+AB253+Z253+IF(AB253&lt;0,0,AC253)</f>
        <v/>
      </c>
      <c r="AE253" s="29">
        <f>AA253+W253</f>
        <v/>
      </c>
      <c r="AF253" s="29">
        <f>IF(OR(A253&gt;SV_T,A253&gt;=SV_loanYears),0,MAX(0,AF252*(1+loanRate)-SV_inst))</f>
        <v/>
      </c>
      <c r="AG253" s="29">
        <f>IF(A253&gt;SV_T,0,AG252*(1+SV_savRate)+H253+I253+J253+K253+L253+AE253)</f>
        <v/>
      </c>
      <c r="AH253" s="29">
        <f>IF(A253&gt;SV_T,0,MAX(0,O253+P253+Q253+AD253+AG253-AF253))</f>
        <v/>
      </c>
      <c r="AI253" s="29">
        <f>IF(A253&gt;SV_T,0,O253+P253+AG253-MAX(0,AF253-(Q253+AD253)))</f>
        <v/>
      </c>
      <c r="AJ253" s="29">
        <f>IF(OR(OR(A253&lt;1,A253&gt;SV_T),A253-1&gt;=SV_retPay),0,SV_retMth*12+IF(A253=1,SV_retLump,0))</f>
        <v/>
      </c>
      <c r="AK253" s="29">
        <f>IF(A253&gt;SV_T,0,(AK252+AJ253)*(1+investmentReturn))</f>
        <v/>
      </c>
      <c r="AL253" s="29">
        <f>IF(OR(A253&lt;1,A253&gt;SV_T),0,IF(A253-1&gt;=SV_EDUPay,0,SV_EDUMth*12+IF(A253=1,SV_EDULump,0))+IF(A253-1&gt;=SV_SAVPay,0,SV_SAVMth*12+IF(A253=1,SV_SAVLump,0))+IF(A253-1&gt;=SV_PRPPay,0,SV_PRPMth*12+IF(A253=1,SV_PRPLump,0)))</f>
        <v/>
      </c>
      <c r="AM253" s="29">
        <f>IF(A253&gt;SV_T,0,(AM252+AL253)*(1+investmentReturn))</f>
        <v/>
      </c>
      <c r="AN253" s="29">
        <f>IF(OR(OR(A253&lt;1,A253&gt;SV_T),A253-1&gt;=SV_protPay),0,SV_protPrem)</f>
        <v/>
      </c>
      <c r="AO253" s="29">
        <f>IF(OR(A253=0,A253&gt;=SV_T),0,ROUND(MAX(0,AK253),2)+ROUND(MAX(0,AM253),2))</f>
        <v/>
      </c>
      <c r="AP253" s="29">
        <f>IF(OR(A253&lt;1,A253&gt;SV_T),0,-(AJ253+AL253+AN253)+IF(A253=SV_T,ROUND(MAX(0,AK253),2)+ROUND(MAX(0,AM253),2),0))</f>
        <v/>
      </c>
      <c r="AQ253" s="29">
        <f>IF(A253&gt;SV_T,0,AQ252*(1+SV_savRate)+H253+I253+J253+K253+L253+AE253+AP253)</f>
        <v/>
      </c>
      <c r="AR253" s="29">
        <f>IF(A253&gt;SV_T,0,MAX(0,O253+P253+Q253+AD253+AQ253+AO253-AF253))</f>
        <v/>
      </c>
      <c r="AS253" s="29">
        <f>IF(A253&gt;SV_T,0,O253+P253+AQ253+AO253-MAX(0,AF253-(Q253+AD253)))</f>
        <v/>
      </c>
    </row>
    <row r="254">
      <c r="A254" s="61" t="n">
        <v>82</v>
      </c>
      <c r="B254" s="61">
        <f>SV_age+A254</f>
        <v/>
      </c>
      <c r="C254" s="61">
        <f>currentYear+A254</f>
        <v/>
      </c>
      <c r="D254" s="52">
        <f>A254&lt;=SV_T</f>
        <v/>
      </c>
      <c r="E254" s="60">
        <f>IF(AND(SV_inflOn,A254&gt;=SV_inflS,A254&lt;=SV_inflE),1+SV_inflRate,1+inflationRate)</f>
        <v/>
      </c>
      <c r="F254" s="60">
        <f>IF(A254&lt;=1,1,F253*E254)</f>
        <v/>
      </c>
      <c r="G254" s="60">
        <f>IF(AND(SV_incOn,A254&gt;=SV_incS,A254&lt;=SV_incE),1+SV_incImp,1)</f>
        <v/>
      </c>
      <c r="H254" s="29">
        <f>IF(OR(OR(A254&lt;1,A254&gt;SV_T),A254-1&gt;=SV_salCut,AND(SV_deaOn,A254&gt;=SV_deaM)),0,SV_sal0*(1+incomeGrowthRate)^(A254-1)*G254)</f>
        <v/>
      </c>
      <c r="I254" s="29">
        <f>IF(OR(A254&lt;1,A254&gt;SV_T),0,(-SV_exp0*F254-IF(A254&lt;=SV_loanYears,SV_inst,0)-IF(AND(SV_wdEDUAmt&gt;0,A254=SV_wdEDUYear),SV_wdEDUAmt,0)-IF(AND(SV_wdSAVAmt&gt;0,A254=SV_wdSAVYear),SV_wdSAVAmt,0)-IF(AND(SV_wdPRPAmt&gt;0,A254=SV_wdPRPYear),SV_wdPRPAmt,0))*IF(AND(SV_expOn,A254&gt;=SV_expS,A254&lt;=SV_expE),1+SV_expImp,1))</f>
        <v/>
      </c>
      <c r="J254" s="29">
        <f>IF(OR(A254&lt;1,A254&gt;SV_T),0,-F254*(IF(AND(SV_deaOn,A254=SV_deaM),SV_deaAmt,0)+IF(AND(SV_criOn,A254=SV_criM),SV_criAmt,0)+IF(AND(SV_tpdOn,A254=SV_tpdM),SV_tpdAmt,0)+IF(AND(SV_pacOn,A254=SV_pacM),SV_pacAmt,0)+IF(AND(SV_hosOn,A254=SV_hosM),SV_hosAmt,0)+IF(AND(SV_wedOn,A254=SV_wedM),SV_wedAmt,0)+IF(AND(SV_babOn,A254=SV_babM),SV_babAmt,0)+IF(AND(SV_ltcOn,A254&gt;=SV_ltcM,A254&lt;=SV_ltcE),SV_ltcAmt,0)))</f>
        <v/>
      </c>
      <c r="K254" s="29">
        <f>IF(OR(OR(A254&lt;1,A254&gt;SV_T),A254&gt;SV_loanYears),0,-SV_lifePremYr)</f>
        <v/>
      </c>
      <c r="L254" s="29">
        <f>IF(OR(A254&lt;1,A254&gt;SV_T),0,-SV_contrib)</f>
        <v/>
      </c>
      <c r="M254" s="60">
        <f>IF(AND(SV_crashOn,A254=SV_crashYr),SV_crashF,1)</f>
        <v/>
      </c>
      <c r="N254" s="60">
        <f>IF(AND(SV_ccyOn,A254=SV_ccyYr),SV_ccyF,1)</f>
        <v/>
      </c>
      <c r="O254" s="29">
        <f>IF(A254&gt;SV_T,0,O253*(1+interestRate)*M254*N254)</f>
        <v/>
      </c>
      <c r="P254" s="29">
        <f>IF(A254&gt;SV_T,0,(P253+SV_contrib)*(1+investmentReturn)*M254*N254)</f>
        <v/>
      </c>
      <c r="Q254" s="29">
        <f>IF(A254&gt;SV_T,0,Q253*(1+SV_propRate)*M254)</f>
        <v/>
      </c>
      <c r="R254" s="46">
        <f>MATCH(SV_age+A254-1,SV_cpfLower,1)</f>
        <v/>
      </c>
      <c r="S254" s="29">
        <f>IF(OR(OR(A254&lt;1,A254&gt;SV_T),NOT(SV_cpfOn),AND(SV_deaOn,A254&gt;=SV_deaM)),0,MIN(SV_sal0*(1+incomeGrowthRate)^(A254-1)*G254,SV_owCap))</f>
        <v/>
      </c>
      <c r="T254" s="29">
        <f>IF(A254&gt;SV_T,0,T253*(1+SV_oaRate)+IF(A254&gt;=SV_effStop,0,INDEX(SV_cpfOA,R254)*INDEX(SV_cpfTot,R254)*S254))</f>
        <v/>
      </c>
      <c r="U254" s="29">
        <f>IF(A254&gt;SV_T,0,U253*(1+SV_saRate)+IF(A254&gt;=SV_effStop,0,INDEX(SV_cpfSA,R254)*INDEX(SV_cpfTot,R254)*S254))</f>
        <v/>
      </c>
      <c r="V254" s="29">
        <f>IF(A254&gt;SV_T,0,V253*(1+SV_saRate)+IF(A254&gt;=SV_effStop,0,INDEX(SV_cpfMA,R254)*INDEX(SV_cpfTot,R254)*S254))</f>
        <v/>
      </c>
      <c r="W254" s="29">
        <f>IF(OR(OR(A254&lt;1,A254&gt;SV_T),A254&gt;=SV_effNeg),0,-(INDEX(SV_cpfOA,R254)+INDEX(SV_cpfSA,R254)+INDEX(SV_cpfMA,R254))*INDEX(SV_cpfEmp,R254)*S254)</f>
        <v/>
      </c>
      <c r="X254" s="29">
        <f>IF(A254&gt;=SV_sIdx,0,T254)</f>
        <v/>
      </c>
      <c r="Y254" s="29">
        <f>IF(A254&gt;=SV_sIdx,0,U254)</f>
        <v/>
      </c>
      <c r="Z254" s="29">
        <f>IF(A254&gt;=SV_sIdx,MIN(V254,SV_maCap),V254)</f>
        <v/>
      </c>
      <c r="AA254" s="29">
        <f>IF(AND(SV_cpfOn,A254&gt;=SV_pIdx,A254&lt;=SV_T),12*SV_pay,0)</f>
        <v/>
      </c>
      <c r="AB254" s="29">
        <f>IF(A254&gt;SV_T,0,IF(SV_sp&gt;=0,IF(A254&lt;SV_sIdx,0,IF(A254=SV_sIdx,SV_R0,SV_lifeGrowth*AB253)),SV_lifeGrowth*AB253))</f>
        <v/>
      </c>
      <c r="AC254" s="29">
        <f>IF(A254&gt;SV_T,0,IF(AND(SV_sp&gt;=0,A254&lt;SV_sIdx),0,IF(AND(SV_sp&gt;=0,A254=SV_sIdx),SV_L0,SV_lifeGrowth*(AC253-AA254))))</f>
        <v/>
      </c>
      <c r="AD254" s="29">
        <f>X254+Y254+AB254+Z254+IF(AB254&lt;0,0,AC254)</f>
        <v/>
      </c>
      <c r="AE254" s="29">
        <f>AA254+W254</f>
        <v/>
      </c>
      <c r="AF254" s="29">
        <f>IF(OR(A254&gt;SV_T,A254&gt;=SV_loanYears),0,MAX(0,AF253*(1+loanRate)-SV_inst))</f>
        <v/>
      </c>
      <c r="AG254" s="29">
        <f>IF(A254&gt;SV_T,0,AG253*(1+SV_savRate)+H254+I254+J254+K254+L254+AE254)</f>
        <v/>
      </c>
      <c r="AH254" s="29">
        <f>IF(A254&gt;SV_T,0,MAX(0,O254+P254+Q254+AD254+AG254-AF254))</f>
        <v/>
      </c>
      <c r="AI254" s="29">
        <f>IF(A254&gt;SV_T,0,O254+P254+AG254-MAX(0,AF254-(Q254+AD254)))</f>
        <v/>
      </c>
      <c r="AJ254" s="29">
        <f>IF(OR(OR(A254&lt;1,A254&gt;SV_T),A254-1&gt;=SV_retPay),0,SV_retMth*12+IF(A254=1,SV_retLump,0))</f>
        <v/>
      </c>
      <c r="AK254" s="29">
        <f>IF(A254&gt;SV_T,0,(AK253+AJ254)*(1+investmentReturn))</f>
        <v/>
      </c>
      <c r="AL254" s="29">
        <f>IF(OR(A254&lt;1,A254&gt;SV_T),0,IF(A254-1&gt;=SV_EDUPay,0,SV_EDUMth*12+IF(A254=1,SV_EDULump,0))+IF(A254-1&gt;=SV_SAVPay,0,SV_SAVMth*12+IF(A254=1,SV_SAVLump,0))+IF(A254-1&gt;=SV_PRPPay,0,SV_PRPMth*12+IF(A254=1,SV_PRPLump,0)))</f>
        <v/>
      </c>
      <c r="AM254" s="29">
        <f>IF(A254&gt;SV_T,0,(AM253+AL254)*(1+investmentReturn))</f>
        <v/>
      </c>
      <c r="AN254" s="29">
        <f>IF(OR(OR(A254&lt;1,A254&gt;SV_T),A254-1&gt;=SV_protPay),0,SV_protPrem)</f>
        <v/>
      </c>
      <c r="AO254" s="29">
        <f>IF(OR(A254=0,A254&gt;=SV_T),0,ROUND(MAX(0,AK254),2)+ROUND(MAX(0,AM254),2))</f>
        <v/>
      </c>
      <c r="AP254" s="29">
        <f>IF(OR(A254&lt;1,A254&gt;SV_T),0,-(AJ254+AL254+AN254)+IF(A254=SV_T,ROUND(MAX(0,AK254),2)+ROUND(MAX(0,AM254),2),0))</f>
        <v/>
      </c>
      <c r="AQ254" s="29">
        <f>IF(A254&gt;SV_T,0,AQ253*(1+SV_savRate)+H254+I254+J254+K254+L254+AE254+AP254)</f>
        <v/>
      </c>
      <c r="AR254" s="29">
        <f>IF(A254&gt;SV_T,0,MAX(0,O254+P254+Q254+AD254+AQ254+AO254-AF254))</f>
        <v/>
      </c>
      <c r="AS254" s="29">
        <f>IF(A254&gt;SV_T,0,O254+P254+AQ254+AO254-MAX(0,AF254-(Q254+AD254)))</f>
        <v/>
      </c>
    </row>
  </sheetData>
  <mergeCells count="15">
    <mergeCell ref="A1:D1"/>
    <mergeCell ref="A17:D17"/>
    <mergeCell ref="H4:N4"/>
    <mergeCell ref="R170:AE170"/>
    <mergeCell ref="A4:D4"/>
    <mergeCell ref="H15:L15"/>
    <mergeCell ref="E170:L170"/>
    <mergeCell ref="A134:D134"/>
    <mergeCell ref="A65:D65"/>
    <mergeCell ref="M170:Q170"/>
    <mergeCell ref="AF170:AI170"/>
    <mergeCell ref="A170:D170"/>
    <mergeCell ref="AJ170:AS170"/>
    <mergeCell ref="A155:D155"/>
    <mergeCell ref="A32:D32"/>
  </mergeCells>
  <conditionalFormatting sqref="A172:AS254">
    <cfRule type="expression" priority="1" dxfId="2">
      <formula>OR($D172=FALSE,$B172&gt;IFERROR(SV_end,endAge))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INDEX($AD$73:$AD$155,IF(HU_T&gt;=1,2,1))+$K$6</f>
        <v/>
      </c>
      <c r="T6" s="29">
        <f>HU_whl*$K$6</f>
        <v/>
      </c>
      <c r="U6" s="29">
        <f>IF($S$6=0,0,IF(0&gt;$S$6/HU_alpha+$K$6,0.5*$S$6/HU_alpha,IF(0&gt;=$K$6,(0-$K$6)-0.5*HU_alpha/$S$6*(0-$K$6)^2,IF(0&gt;=$T$6,HU_beta*(0-$K$6),HU_beta*($T$6-$K$6)))))</f>
        <v/>
      </c>
      <c r="V6" s="29">
        <f>$U$6*SUM($AF$73:$AF$155)</f>
        <v/>
      </c>
      <c r="W6" s="29">
        <f>SUMPRODUCT($AF$73:$AF$155,$AG$73:$AG$155)</f>
        <v/>
      </c>
      <c r="X6" s="29">
        <f>SUMPRODUCT($AF$73:$AF$155,$AH$73:$AH$155)</f>
        <v/>
      </c>
      <c r="Y6" s="29">
        <f>SUMPRODUCT($AF$73:$AF$155,$AI$73:$AI$155)</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$U$7*SUM($AJ$73:$AJ$155)</f>
        <v/>
      </c>
      <c r="W7" s="29">
        <f>SUMPRODUCT($AJ$73:$AJ$155,$AK$73:$AK$155)</f>
        <v/>
      </c>
      <c r="X7" s="29">
        <f>SUMPRODUCT($AJ$73:$AJ$155,$AL$73:$AL$155)</f>
        <v/>
      </c>
      <c r="Y7" s="29">
        <f>SUMPRODUCT($AJ$73:$AJ$155,$AM$73:$AM$155)</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$U$8*SUM($AN$73:$AN$155)</f>
        <v/>
      </c>
      <c r="W8" s="29">
        <f>SUMPRODUCT($AN$73:$AN$155,$AO$73:$AO$155)</f>
        <v/>
      </c>
      <c r="X8" s="29">
        <f>SUMPRODUCT($AN$73:$AN$155,$AP$73:$AP$155)</f>
        <v/>
      </c>
      <c r="Y8" s="29">
        <f>SUMPRODUCT($AN$73:$AN$155,$AQ$73:$AQ$155)</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$U$9*SUM($AR$73:$AR$155)</f>
        <v/>
      </c>
      <c r="W9" s="29">
        <f>SUMPRODUCT($AR$73:$AR$155,$AS$73:$AS$155)</f>
        <v/>
      </c>
      <c r="X9" s="29">
        <f>SUMPRODUCT($AR$73:$AR$155,$AT$73:$AT$155)</f>
        <v/>
      </c>
      <c r="Y9" s="29">
        <f>SUMPRODUCT($AR$73:$AR$155,$AU$73:$AU$155)</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INDEX($AD$73:$AD$155,IF(HU_T&gt;=1,2,1))+$K$10</f>
        <v/>
      </c>
      <c r="T10" s="29">
        <f>HU_whl*$K$10</f>
        <v/>
      </c>
      <c r="U10" s="29">
        <f>IF($S$10=0,0,IF(0&gt;$S$10/HU_alpha+$K$10,0.5*$S$10/HU_alpha,IF(0&gt;=$K$10,(0-$K$10)-0.5*HU_alpha/$S$10*(0-$K$10)^2,IF(0&gt;=$T$10,HU_beta*(0-$K$10),HU_beta*($T$10-$K$10)))))</f>
        <v/>
      </c>
      <c r="V10" s="29">
        <f>$U$10*SUM($AV$73:$AV$155)</f>
        <v/>
      </c>
      <c r="W10" s="29">
        <f>SUMPRODUCT($AV$73:$AV$155,$AW$73:$AW$155)</f>
        <v/>
      </c>
      <c r="X10" s="29">
        <f>SUMPRODUCT($AV$73:$AV$155,$AX$73:$AX$155)</f>
        <v/>
      </c>
      <c r="Y10" s="29">
        <f>SUMPRODUCT($AV$73:$AV$155,$AY$73:$AY$155)</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$U$11*SUM($AZ$73:$AZ$155)</f>
        <v/>
      </c>
      <c r="W11" s="29">
        <f>SUMPRODUCT($AZ$73:$AZ$155,$BA$73:$BA$155)</f>
        <v/>
      </c>
      <c r="X11" s="29">
        <f>SUMPRODUCT($AZ$73:$AZ$155,$BB$73:$BB$155)</f>
        <v/>
      </c>
      <c r="Y11" s="29">
        <f>SUMPRODUCT($AZ$73:$AZ$155,$BC$73:$BC$155)</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MAX(0,NC_savYears)</f>
        <v/>
      </c>
      <c r="Q12" s="46">
        <f>MIN($P$12,HU_T)</f>
        <v/>
      </c>
      <c r="R12" s="27" t="inlineStr">
        <is>
          <t>C</t>
        </is>
      </c>
      <c r="S12" s="29">
        <f>$K$12</f>
        <v/>
      </c>
      <c r="T12" s="29">
        <f>HU_whl*$K$12</f>
        <v/>
      </c>
      <c r="U12" s="29">
        <f>IF($S$12=0,0,IF(0&gt;$S$12/HU_alpha+$K$12,0.5*$S$12/HU_alpha,IF(0&gt;=$K$12,(0-$K$12)-0.5*HU_alpha/$S$12*(0-$K$12)^2,IF(0&gt;=$T$12,HU_beta*(0-$K$12),HU_beta*($T$12-$K$12)))))</f>
        <v/>
      </c>
      <c r="V12" s="29">
        <f>$U$12*SUM($BD$73:$BD$155)</f>
        <v/>
      </c>
      <c r="W12" s="29">
        <f>SUMPRODUCT($BD$73:$BD$155,$BE$73:$BE$155)</f>
        <v/>
      </c>
      <c r="X12" s="29">
        <f>SUMPRODUCT($BD$73:$BD$155,$BF$73:$BF$155)</f>
        <v/>
      </c>
      <c r="Y12" s="29">
        <f>SUMPRODUCT($BD$73:$BD$155,$BG$73:$BG$155)</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MIN(PLU_leUsed,LON_AGE)</f>
        <v/>
      </c>
      <c r="C13" s="13" t="inlineStr">
        <is>
          <t>A · input</t>
        </is>
      </c>
      <c r="D13" s="18" t="inlineStr">
        <is>
          <t>Sent by GP, capped at LON_AGE (99).</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MAX(0,NC_prpYears)</f>
        <v/>
      </c>
      <c r="Q13" s="46">
        <f>MIN($P$13,HU_T)</f>
        <v/>
      </c>
      <c r="R13" s="27" t="inlineStr">
        <is>
          <t>C</t>
        </is>
      </c>
      <c r="S13" s="29">
        <f>$K$13</f>
        <v/>
      </c>
      <c r="T13" s="29">
        <f>HU_whl*$K$13</f>
        <v/>
      </c>
      <c r="U13" s="29">
        <f>IF($S$13=0,0,IF(0&gt;$S$13/HU_alpha+$K$13,0.5*$S$13/HU_alpha,IF(0&gt;=$K$13,(0-$K$13)-0.5*HU_alpha/$S$13*(0-$K$13)^2,IF(0&gt;=$T$13,HU_beta*(0-$K$13),HU_beta*($T$13-$K$13)))))</f>
        <v/>
      </c>
      <c r="V13" s="29">
        <f>$U$13*SUM($BH$73:$BH$155)</f>
        <v/>
      </c>
      <c r="W13" s="29">
        <f>SUMPRODUCT($BH$73:$BH$155,$BI$73:$BI$155)</f>
        <v/>
      </c>
      <c r="X13" s="29">
        <f>SUMPRODUCT($BH$73:$BH$155,$BJ$73:$BJ$155)</f>
        <v/>
      </c>
      <c r="Y13" s="29">
        <f>SUMPRODUCT($BH$73:$BH$155,$BK$73:$BK$155)</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f>lifeExpectancyDefault</f>
        <v/>
      </c>
      <c r="C17" s="36" t="inlineStr">
        <is>
          <t>D · assumption / shared</t>
        </is>
      </c>
      <c r="D17" s="18" t="inlineStr">
        <is>
          <t>V0-21: GP sends the one default (85); was HU 83.</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 (sent: CRI_COST)</t>
        </is>
      </c>
      <c r="B20" s="39">
        <f>CRI_COST/FX_usdPerLocal</f>
        <v/>
      </c>
      <c r="C20" s="36" t="inlineStr">
        <is>
          <t>D · assumption / shared</t>
        </is>
      </c>
      <c r="D20" s="18" t="inlineStr">
        <is>
          <t>V0-21: GP sends CRI_COST in user currency; was HU 200,000.</t>
        </is>
      </c>
    </row>
    <row r="21">
      <c r="A21" s="38" t="inlineStr">
        <is>
          <t>TPD medical cost (sent: TPD_COST)</t>
        </is>
      </c>
      <c r="B21" s="39">
        <f>TPD_COST/FX_usdPerLocal</f>
        <v/>
      </c>
      <c r="C21" s="36" t="inlineStr">
        <is>
          <t>D · assumption / shared</t>
        </is>
      </c>
      <c r="D21" s="18" t="inlineStr">
        <is>
          <t>V0-21: GP sends TPD_COST in user currency; was HU 444,000.</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the default (85).</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N_EDU withdrawal on the path</t>
        </is>
      </c>
      <c r="B50" s="27">
        <f>AND(HU_T&gt;0,NC_eduYears&lt;=HU_T)</f>
        <v/>
      </c>
      <c r="C50" s="27" t="inlineStr">
        <is>
          <t>C · calculated</t>
        </is>
      </c>
      <c r="D50" s="18" t="inlineStr">
        <is>
          <t>V0-24: own target year.</t>
        </is>
      </c>
    </row>
    <row r="51">
      <c r="A51" s="26" t="inlineStr">
        <is>
          <t>N_EDU withdrawal year</t>
        </is>
      </c>
      <c r="B51" s="46">
        <f>IF(HU_T&gt;0,MOD(NC_eduYears-1,HU_T)+1,0)</f>
        <v/>
      </c>
      <c r="C51" s="27" t="inlineStr">
        <is>
          <t>C · calculated</t>
        </is>
      </c>
      <c r="D51" s="18" t="inlineStr">
        <is>
          <t>fundsNeededYear − now.</t>
        </is>
      </c>
    </row>
    <row r="52">
      <c r="A52" s="26" t="inlineStr">
        <is>
          <t>N_EDU amount</t>
        </is>
      </c>
      <c r="B52" s="29">
        <f>NC_on_N_EDU*NC_amount_N_EDU</f>
        <v/>
      </c>
      <c r="C52" s="27" t="inlineStr">
        <is>
          <t>C · calculated</t>
        </is>
      </c>
      <c r="D52" s="18" t="inlineStr">
        <is>
          <t>SAV / PRP: booked as income in the target year and spent again (net 0). EDU: spent.</t>
        </is>
      </c>
    </row>
    <row r="53">
      <c r="A53" s="26" t="inlineStr">
        <is>
          <t>N_SAV withdrawal on the path</t>
        </is>
      </c>
      <c r="B53" s="27">
        <f>AND(HU_T&gt;0,NC_savYears&lt;=HU_T)</f>
        <v/>
      </c>
      <c r="C53" s="27" t="inlineStr">
        <is>
          <t>C · calculated</t>
        </is>
      </c>
      <c r="D53" s="18" t="inlineStr">
        <is>
          <t>V0-24: own target year.</t>
        </is>
      </c>
    </row>
    <row r="54">
      <c r="A54" s="26" t="inlineStr">
        <is>
          <t>N_SAV withdrawal year</t>
        </is>
      </c>
      <c r="B54" s="46">
        <f>IF(HU_T&gt;0,MOD(NC_savYears-1,HU_T)+1,0)</f>
        <v/>
      </c>
      <c r="C54" s="27" t="inlineStr">
        <is>
          <t>C · calculated</t>
        </is>
      </c>
      <c r="D54" s="18" t="inlineStr">
        <is>
          <t>fundsNeededYear − now.</t>
        </is>
      </c>
    </row>
    <row r="55">
      <c r="A55" s="26" t="inlineStr">
        <is>
          <t>N_SAV amount</t>
        </is>
      </c>
      <c r="B55" s="29">
        <f>NC_on_N_SAV*NC_amount_N_SAV</f>
        <v/>
      </c>
      <c r="C55" s="27" t="inlineStr">
        <is>
          <t>C · calculated</t>
        </is>
      </c>
      <c r="D55" s="18" t="inlineStr">
        <is>
          <t>SAV / PRP: booked as income in the target year and spent again (net 0). EDU: spent.</t>
        </is>
      </c>
    </row>
    <row r="56">
      <c r="A56" s="26" t="inlineStr">
        <is>
          <t>N_PRP withdrawal on the path</t>
        </is>
      </c>
      <c r="B56" s="27">
        <f>AND(HU_T&gt;0,NC_prpYears&lt;=HU_T)</f>
        <v/>
      </c>
      <c r="C56" s="27" t="inlineStr">
        <is>
          <t>C · calculated</t>
        </is>
      </c>
      <c r="D56" s="18" t="inlineStr">
        <is>
          <t>V0-24: own target year.</t>
        </is>
      </c>
    </row>
    <row r="57">
      <c r="A57" s="26" t="inlineStr">
        <is>
          <t>N_PRP withdrawal year</t>
        </is>
      </c>
      <c r="B57" s="46">
        <f>IF(HU_T&gt;0,MOD(NC_prpYears-1,HU_T)+1,0)</f>
        <v/>
      </c>
      <c r="C57" s="27" t="inlineStr">
        <is>
          <t>C · calculated</t>
        </is>
      </c>
      <c r="D57" s="18" t="inlineStr">
        <is>
          <t>fundsNeededYear − now.</t>
        </is>
      </c>
    </row>
    <row r="58">
      <c r="A58" s="26" t="inlineStr">
        <is>
          <t>N_PRP amount</t>
        </is>
      </c>
      <c r="B58" s="29">
        <f>NC_on_N_PRP*NC_amount_N_PRP</f>
        <v/>
      </c>
      <c r="C58" s="27" t="inlineStr">
        <is>
          <t>C · calculated</t>
        </is>
      </c>
      <c r="D58" s="18" t="inlineStr">
        <is>
          <t>SAV / PRP: booked as income in the target year and spent again (net 0). EDU: spent.</t>
        </is>
      </c>
    </row>
    <row r="60">
      <c r="A60" s="16" t="inlineStr">
        <is>
          <t>C · RESULTS  —  weights, sigmoid, HappiU (0–100)</t>
        </is>
      </c>
      <c r="B60" s="16" t="n"/>
      <c r="C60" s="16" t="n"/>
      <c r="D60" s="16" t="n"/>
    </row>
    <row r="61">
      <c r="A61" s="26" t="inlineStr">
        <is>
          <t>goals scored</t>
        </is>
      </c>
      <c r="B61" s="46">
        <f>COUNTIF($J$6:$J$13,TRUE)</f>
        <v/>
      </c>
      <c r="C61" s="27" t="inlineStr">
        <is>
          <t>C · calculated</t>
        </is>
      </c>
      <c r="D61" s="18" t="inlineStr"/>
    </row>
    <row r="62">
      <c r="A62" s="26" t="inlineStr">
        <is>
          <t>consumption goals</t>
        </is>
      </c>
      <c r="B62" s="46">
        <f>COUNTIFS($J$6:$J$13,TRUE,$R$6:$R$13,"C")</f>
        <v/>
      </c>
      <c r="C62" s="27" t="inlineStr">
        <is>
          <t>C · calculated</t>
        </is>
      </c>
      <c r="D62" s="18" t="inlineStr">
        <is>
          <t>Everything except N_INC / N_ADB / N_RET.</t>
        </is>
      </c>
    </row>
    <row r="63">
      <c r="A63" s="26" t="inlineStr">
        <is>
          <t>sigmoid divisor</t>
        </is>
      </c>
      <c r="B63" s="60">
        <f>1+EXP(-HU_nGoals)</f>
        <v/>
      </c>
      <c r="C63" s="27" t="inlineStr">
        <is>
          <t>C · calculated</t>
        </is>
      </c>
      <c r="D63" s="18" t="inlineStr">
        <is>
          <t>Weighted sum ÷ (1 + e^(−number of goals)).</t>
        </is>
      </c>
    </row>
    <row r="64">
      <c r="A64" s="26" t="inlineStr">
        <is>
          <t>pre (0–1)</t>
        </is>
      </c>
      <c r="B64" s="60">
        <f>SUMPRODUCT($AA$6:$AA$13,$AF$6:$AF$13)/HU_sig</f>
        <v/>
      </c>
      <c r="C64" s="27" t="inlineStr">
        <is>
          <t>C · calculated</t>
        </is>
      </c>
      <c r="D64" s="18" t="inlineStr"/>
    </row>
    <row r="65">
      <c r="A65" s="26" t="inlineStr">
        <is>
          <t>post (0–1)</t>
        </is>
      </c>
      <c r="B65" s="60">
        <f>SUMPRODUCT($AB$6:$AB$13,$AF$6:$AF$13)/HU_sig</f>
        <v/>
      </c>
      <c r="C65" s="27" t="inlineStr">
        <is>
          <t>C · calculated</t>
        </is>
      </c>
      <c r="D65" s="18" t="inlineStr"/>
    </row>
    <row r="66">
      <c r="A66" s="26" t="inlineStr">
        <is>
          <t>preHappiU</t>
        </is>
      </c>
      <c r="B66" s="46">
        <f>ROUND(HU_preRaw*100,0)</f>
        <v/>
      </c>
      <c r="C66" s="27" t="inlineStr">
        <is>
          <t>C · calculated</t>
        </is>
      </c>
      <c r="D66" s="18" t="inlineStr">
        <is>
          <t>Today's cover.</t>
        </is>
      </c>
    </row>
    <row r="67">
      <c r="A67" s="26" t="inlineStr">
        <is>
          <t>postHappiU</t>
        </is>
      </c>
      <c r="B67" s="46">
        <f>ROUND(HU_postRaw*100,0)</f>
        <v/>
      </c>
      <c r="C67" s="27" t="inlineStr">
        <is>
          <t>C · calculated</t>
        </is>
      </c>
      <c r="D67" s="18" t="inlineStr">
        <is>
          <t>With the plan's benefits.</t>
        </is>
      </c>
    </row>
    <row r="71">
      <c r="A71" s="3" t="inlineStr">
        <is>
          <t>year</t>
        </is>
      </c>
      <c r="B71" s="3" t="n"/>
      <c r="C71" s="3" t="n"/>
      <c r="D71" s="19" t="inlineStr">
        <is>
          <t>D · q(age + year) from Assumptions</t>
        </is>
      </c>
      <c r="E71" s="19" t="n"/>
      <c r="F71" s="19" t="n"/>
      <c r="G71" s="19" t="n"/>
      <c r="H71" s="19" t="n"/>
      <c r="I71" s="16" t="inlineStr">
        <is>
          <t>C · PROBABILITIES</t>
        </is>
      </c>
      <c r="J71" s="16" t="n"/>
      <c r="K71" s="16" t="n"/>
      <c r="L71" s="16" t="n"/>
      <c r="M71" s="16" t="n"/>
      <c r="N71" s="16" t="n"/>
      <c r="O71" s="16" t="n"/>
      <c r="P71" s="16" t="n"/>
      <c r="Q71" s="16" t="n"/>
      <c r="R71" s="16" t="inlineStr">
        <is>
          <t>C · EXPECTED CASH FLOWS AND PATHS (alive)</t>
        </is>
      </c>
      <c r="S71" s="16" t="n"/>
      <c r="T71" s="16" t="n"/>
      <c r="U71" s="16" t="n"/>
      <c r="V71" s="16" t="n"/>
      <c r="W71" s="16" t="n"/>
      <c r="X71" s="16" t="n"/>
      <c r="Y71" s="16" t="n"/>
      <c r="Z71" s="16" t="n"/>
      <c r="AA71" s="16" t="n"/>
      <c r="AB71" s="16" t="n"/>
      <c r="AC71" s="16" t="n"/>
      <c r="AD71" s="16" t="n"/>
      <c r="AE71" s="16" t="n"/>
      <c r="AF71" s="16" t="inlineStr">
        <is>
          <t>C · N_INC  (W path)</t>
        </is>
      </c>
      <c r="AG71" s="16" t="n"/>
      <c r="AH71" s="16" t="n"/>
      <c r="AI71" s="16" t="n"/>
      <c r="AJ71" s="16" t="inlineStr">
        <is>
          <t>C · N_CRI  (consumption path)</t>
        </is>
      </c>
      <c r="AK71" s="16" t="n"/>
      <c r="AL71" s="16" t="n"/>
      <c r="AM71" s="16" t="n"/>
      <c r="AN71" s="16" t="inlineStr">
        <is>
          <t>C · N_TPD  (consumption path)</t>
        </is>
      </c>
      <c r="AO71" s="16" t="n"/>
      <c r="AP71" s="16" t="n"/>
      <c r="AQ71" s="16" t="n"/>
      <c r="AR71" s="16" t="inlineStr">
        <is>
          <t>C · N_HOS  (consumption path)</t>
        </is>
      </c>
      <c r="AS71" s="16" t="n"/>
      <c r="AT71" s="16" t="n"/>
      <c r="AU71" s="16" t="n"/>
      <c r="AV71" s="16" t="inlineStr">
        <is>
          <t>C · N_RET  (W path)</t>
        </is>
      </c>
      <c r="AW71" s="16" t="n"/>
      <c r="AX71" s="16" t="n"/>
      <c r="AY71" s="16" t="n"/>
      <c r="AZ71" s="16" t="inlineStr">
        <is>
          <t>C · N_EDU  (consumption path)</t>
        </is>
      </c>
      <c r="BA71" s="16" t="n"/>
      <c r="BB71" s="16" t="n"/>
      <c r="BC71" s="16" t="n"/>
      <c r="BD71" s="16" t="inlineStr">
        <is>
          <t>C · N_SAV  (consumption path)</t>
        </is>
      </c>
      <c r="BE71" s="16" t="n"/>
      <c r="BF71" s="16" t="n"/>
      <c r="BG71" s="16" t="n"/>
      <c r="BH71" s="16" t="inlineStr">
        <is>
          <t>C · N_PRP  (consumption path)</t>
        </is>
      </c>
      <c r="BI71" s="16" t="n"/>
      <c r="BJ71" s="16" t="n"/>
      <c r="BK71" s="16" t="n"/>
    </row>
    <row r="72">
      <c r="A72" s="3" t="inlineStr">
        <is>
          <t>year</t>
        </is>
      </c>
      <c r="B72" s="3" t="inlineStr">
        <is>
          <t>age</t>
        </is>
      </c>
      <c r="C72" s="3" t="inlineStr">
        <is>
          <t>on path</t>
        </is>
      </c>
      <c r="D72" s="3" t="inlineStr">
        <is>
          <t>q mortality</t>
        </is>
      </c>
      <c r="E72" s="3" t="inlineStr">
        <is>
          <t>q accidental death</t>
        </is>
      </c>
      <c r="F72" s="3" t="inlineStr">
        <is>
          <t>q critical illness</t>
        </is>
      </c>
      <c r="G72" s="3" t="inlineStr">
        <is>
          <t>q TPD</t>
        </is>
      </c>
      <c r="H72" s="3" t="inlineStr">
        <is>
          <t>q dismemberment</t>
        </is>
      </c>
      <c r="I72" s="3" t="inlineStr">
        <is>
          <t>alive</t>
        </is>
      </c>
      <c r="J72" s="3" t="inlineStr">
        <is>
          <t>score weight</t>
        </is>
      </c>
      <c r="K72" s="3" t="inlineStr">
        <is>
          <t>no TPD yet</t>
        </is>
      </c>
      <c r="L72" s="3" t="inlineStr">
        <is>
          <t>P(TPD so far)</t>
        </is>
      </c>
      <c r="M72" s="3" t="inlineStr">
        <is>
          <t>P(first TPD)</t>
        </is>
      </c>
      <c r="N72" s="3" t="inlineStr">
        <is>
          <t>no dismemberment</t>
        </is>
      </c>
      <c r="O72" s="3" t="inlineStr">
        <is>
          <t>P(dismembered before)</t>
        </is>
      </c>
      <c r="P72" s="3" t="inlineStr">
        <is>
          <t>no CI (running)</t>
        </is>
      </c>
      <c r="Q72" s="3" t="inlineStr">
        <is>
          <t>P(CI in window)</t>
        </is>
      </c>
      <c r="R72" s="3" t="inlineStr">
        <is>
          <t>inflation index</t>
        </is>
      </c>
      <c r="S72" s="3" t="inlineStr">
        <is>
          <t>salary</t>
        </is>
      </c>
      <c r="T72" s="3" t="inlineStr">
        <is>
          <t>ss growth index</t>
        </is>
      </c>
      <c r="U72" s="3" t="inlineStr">
        <is>
          <t>social-security lump</t>
        </is>
      </c>
      <c r="V72" s="3" t="inlineStr">
        <is>
          <t>income + lump + SAV/PRP</t>
        </is>
      </c>
      <c r="W72" s="3" t="inlineStr">
        <is>
          <t>expected income cut</t>
        </is>
      </c>
      <c r="X72" s="3" t="inlineStr">
        <is>
          <t>income after cut</t>
        </is>
      </c>
      <c r="Y72" s="3" t="inlineStr">
        <is>
          <t>spend</t>
        </is>
      </c>
      <c r="Z72" s="3" t="inlineStr">
        <is>
          <t>spend + goals</t>
        </is>
      </c>
      <c r="AA72" s="3" t="inlineStr">
        <is>
          <t>expected medical</t>
        </is>
      </c>
      <c r="AB72" s="3" t="inlineStr">
        <is>
          <t>savings</t>
        </is>
      </c>
      <c r="AC72" s="3" t="inlineStr">
        <is>
          <t>equity</t>
        </is>
      </c>
      <c r="AD72" s="3" t="inlineStr">
        <is>
          <t>WEALTH</t>
        </is>
      </c>
      <c r="AE72" s="3" t="inlineStr">
        <is>
          <t>CONSUMPTION WEALTH</t>
        </is>
      </c>
      <c r="AF72" s="3" t="inlineStr">
        <is>
          <t>N_INC weight</t>
        </is>
      </c>
      <c r="AG72" s="3" t="inlineStr">
        <is>
          <t>N_INC v pre</t>
        </is>
      </c>
      <c r="AH72" s="3" t="inlineStr">
        <is>
          <t>N_INC v rec</t>
        </is>
      </c>
      <c r="AI72" s="3" t="inlineStr">
        <is>
          <t>N_INC v full</t>
        </is>
      </c>
      <c r="AJ72" s="3" t="inlineStr">
        <is>
          <t>N_CRI weight</t>
        </is>
      </c>
      <c r="AK72" s="3" t="inlineStr">
        <is>
          <t>N_CRI v pre</t>
        </is>
      </c>
      <c r="AL72" s="3" t="inlineStr">
        <is>
          <t>N_CRI v rec</t>
        </is>
      </c>
      <c r="AM72" s="3" t="inlineStr">
        <is>
          <t>N_CRI v full</t>
        </is>
      </c>
      <c r="AN72" s="3" t="inlineStr">
        <is>
          <t>N_TPD weight</t>
        </is>
      </c>
      <c r="AO72" s="3" t="inlineStr">
        <is>
          <t>N_TPD v pre</t>
        </is>
      </c>
      <c r="AP72" s="3" t="inlineStr">
        <is>
          <t>N_TPD v rec</t>
        </is>
      </c>
      <c r="AQ72" s="3" t="inlineStr">
        <is>
          <t>N_TPD v full</t>
        </is>
      </c>
      <c r="AR72" s="3" t="inlineStr">
        <is>
          <t>N_HOS weight</t>
        </is>
      </c>
      <c r="AS72" s="3" t="inlineStr">
        <is>
          <t>N_HOS v pre</t>
        </is>
      </c>
      <c r="AT72" s="3" t="inlineStr">
        <is>
          <t>N_HOS v rec</t>
        </is>
      </c>
      <c r="AU72" s="3" t="inlineStr">
        <is>
          <t>N_HOS v full</t>
        </is>
      </c>
      <c r="AV72" s="3" t="inlineStr">
        <is>
          <t>N_RET weight</t>
        </is>
      </c>
      <c r="AW72" s="3" t="inlineStr">
        <is>
          <t>N_RET v pre</t>
        </is>
      </c>
      <c r="AX72" s="3" t="inlineStr">
        <is>
          <t>N_RET v rec</t>
        </is>
      </c>
      <c r="AY72" s="3" t="inlineStr">
        <is>
          <t>N_RET v full</t>
        </is>
      </c>
      <c r="AZ72" s="3" t="inlineStr">
        <is>
          <t>N_EDU weight</t>
        </is>
      </c>
      <c r="BA72" s="3" t="inlineStr">
        <is>
          <t>N_EDU v pre</t>
        </is>
      </c>
      <c r="BB72" s="3" t="inlineStr">
        <is>
          <t>N_EDU v rec</t>
        </is>
      </c>
      <c r="BC72" s="3" t="inlineStr">
        <is>
          <t>N_EDU v full</t>
        </is>
      </c>
      <c r="BD72" s="3" t="inlineStr">
        <is>
          <t>N_SAV weight</t>
        </is>
      </c>
      <c r="BE72" s="3" t="inlineStr">
        <is>
          <t>N_SAV v pre</t>
        </is>
      </c>
      <c r="BF72" s="3" t="inlineStr">
        <is>
          <t>N_SAV v rec</t>
        </is>
      </c>
      <c r="BG72" s="3" t="inlineStr">
        <is>
          <t>N_SAV v full</t>
        </is>
      </c>
      <c r="BH72" s="3" t="inlineStr">
        <is>
          <t>N_PRP weight</t>
        </is>
      </c>
      <c r="BI72" s="3" t="inlineStr">
        <is>
          <t>N_PRP v pre</t>
        </is>
      </c>
      <c r="BJ72" s="3" t="inlineStr">
        <is>
          <t>N_PRP v rec</t>
        </is>
      </c>
      <c r="BK72" s="3" t="inlineStr">
        <is>
          <t>N_PRP v full</t>
        </is>
      </c>
    </row>
    <row r="73">
      <c r="A73" s="61" t="n">
        <v>0</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t="n">
        <v>1</v>
      </c>
      <c r="J73" s="63">
        <f>IF(A73&gt;=HU_T,0,N(I74))</f>
        <v/>
      </c>
      <c r="K73" s="63" t="n">
        <v>1</v>
      </c>
      <c r="L73" s="63" t="n">
        <v>0</v>
      </c>
      <c r="M73" s="63" t="n">
        <v>0</v>
      </c>
      <c r="N73" s="63" t="n">
        <v>1</v>
      </c>
      <c r="O73" s="63" t="n">
        <v>0</v>
      </c>
      <c r="P73" s="63" t="n">
        <v>1</v>
      </c>
      <c r="Q73" s="63" t="n">
        <v>0</v>
      </c>
      <c r="R73" s="60">
        <f>(1+inflationRate)^A73</f>
        <v/>
      </c>
      <c r="S73" s="29" t="n">
        <v>0</v>
      </c>
      <c r="T73" s="60" t="n">
        <v>1</v>
      </c>
      <c r="U73" s="29" t="n">
        <v>0</v>
      </c>
      <c r="V73" s="29" t="n">
        <v>0</v>
      </c>
      <c r="W73" s="60" t="n">
        <v>0</v>
      </c>
      <c r="X73" s="29" t="n">
        <v>0</v>
      </c>
      <c r="Y73" s="29" t="n">
        <v>0</v>
      </c>
      <c r="Z73" s="29" t="n">
        <v>0</v>
      </c>
      <c r="AA73" s="29" t="n">
        <v>0</v>
      </c>
      <c r="AB73" s="29">
        <f>HU_cash0</f>
        <v/>
      </c>
      <c r="AC73" s="29">
        <f>IF(A73&gt;HU_T,0,HU_inv*EXP(HU_mu*A73))</f>
        <v/>
      </c>
      <c r="AD73" s="29">
        <f>IF(A73&gt;HU_T,0,MAX(0,AC73+AB73))</f>
        <v/>
      </c>
      <c r="AE73" s="29" t="n">
        <v>0</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1</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1-P73/INDEX($P$73:$P$155,MAX(1,A74-HU_ciYears))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S74+U74+IF(AND(HU_wdSAVOn,A74=HU_wdSAVYear),HU_wdSAVAmt,0)+IF(AND(HU_wdPRPOn,A74=HU_wdPRPYear),HU_wdPRPAmt,0)</f>
        <v/>
      </c>
      <c r="W74" s="60">
        <f>HU_ciProp*Q74+HU_tpdCut*L74+HU_disCut*O74</f>
        <v/>
      </c>
      <c r="X74" s="29">
        <f>IF(OR(A74&lt;1,A74&gt;HU_T),0,V74*(1-W74))</f>
        <v/>
      </c>
      <c r="Y74" s="29">
        <f>IF(OR(A74&lt;1,A74&gt;HU_T),0,IF(AND(HU_retExp&gt;0,A74-1&gt;=HU_dtr),HU_retExp,HU_exp0)*R74)</f>
        <v/>
      </c>
      <c r="Z74" s="29">
        <f>-Y74-IF(AND(HU_wdEDUOn,A74=HU_wdEDUYear),HU_wdEDUAmt,0)-IF(AND(HU_wdSAVOn,A74=HU_wdSAVYear),HU_wdSAVAmt,0)-IF(AND(HU_wdPRPOn,A74=HU_wdPRPYear),HU_wdPRPAmt,0)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2</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1-P74/INDEX($P$73:$P$155,MAX(1,A75-HU_ciYears))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S75+U75+IF(AND(HU_wdSAVOn,A75=HU_wdSAVYear),HU_wdSAVAmt,0)+IF(AND(HU_wdPRPOn,A75=HU_wdPRPYear),HU_wdPRPAmt,0)</f>
        <v/>
      </c>
      <c r="W75" s="60">
        <f>HU_ciProp*Q75+HU_tpdCut*L75+HU_disCut*O75</f>
        <v/>
      </c>
      <c r="X75" s="29">
        <f>IF(OR(A75&lt;1,A75&gt;HU_T),0,V75*(1-W75))</f>
        <v/>
      </c>
      <c r="Y75" s="29">
        <f>IF(OR(A75&lt;1,A75&gt;HU_T),0,IF(AND(HU_retExp&gt;0,A75-1&gt;=HU_dtr),HU_retExp,HU_exp0)*R75)</f>
        <v/>
      </c>
      <c r="Z75" s="29">
        <f>-Y75-IF(AND(HU_wdEDUOn,A75=HU_wdEDUYear),HU_wdEDUAmt,0)-IF(AND(HU_wdSAVOn,A75=HU_wdSAVYear),HU_wdSAVAmt,0)-IF(AND(HU_wdPRPOn,A75=HU_wdPRPYear),HU_wdPRPAmt,0)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3</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1-P75/INDEX($P$73:$P$155,MAX(1,A76-HU_ciYears))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S76+U76+IF(AND(HU_wdSAVOn,A76=HU_wdSAVYear),HU_wdSAVAmt,0)+IF(AND(HU_wdPRPOn,A76=HU_wdPRPYear),HU_wdPRPAmt,0)</f>
        <v/>
      </c>
      <c r="W76" s="60">
        <f>HU_ciProp*Q76+HU_tpdCut*L76+HU_disCut*O76</f>
        <v/>
      </c>
      <c r="X76" s="29">
        <f>IF(OR(A76&lt;1,A76&gt;HU_T),0,V76*(1-W76))</f>
        <v/>
      </c>
      <c r="Y76" s="29">
        <f>IF(OR(A76&lt;1,A76&gt;HU_T),0,IF(AND(HU_retExp&gt;0,A76-1&gt;=HU_dtr),HU_retExp,HU_exp0)*R76)</f>
        <v/>
      </c>
      <c r="Z76" s="29">
        <f>-Y76-IF(AND(HU_wdEDUOn,A76=HU_wdEDUYear),HU_wdEDUAmt,0)-IF(AND(HU_wdSAVOn,A76=HU_wdSAVYear),HU_wdSAVAmt,0)-IF(AND(HU_wdPRPOn,A76=HU_wdPRPYear),HU_wdPRPAmt,0)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4</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1-P76/INDEX($P$73:$P$155,MAX(1,A77-HU_ciYears))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S77+U77+IF(AND(HU_wdSAVOn,A77=HU_wdSAVYear),HU_wdSAVAmt,0)+IF(AND(HU_wdPRPOn,A77=HU_wdPRPYear),HU_wdPRPAmt,0)</f>
        <v/>
      </c>
      <c r="W77" s="60">
        <f>HU_ciProp*Q77+HU_tpdCut*L77+HU_disCut*O77</f>
        <v/>
      </c>
      <c r="X77" s="29">
        <f>IF(OR(A77&lt;1,A77&gt;HU_T),0,V77*(1-W77))</f>
        <v/>
      </c>
      <c r="Y77" s="29">
        <f>IF(OR(A77&lt;1,A77&gt;HU_T),0,IF(AND(HU_retExp&gt;0,A77-1&gt;=HU_dtr),HU_retExp,HU_exp0)*R77)</f>
        <v/>
      </c>
      <c r="Z77" s="29">
        <f>-Y77-IF(AND(HU_wdEDUOn,A77=HU_wdEDUYear),HU_wdEDUAmt,0)-IF(AND(HU_wdSAVOn,A77=HU_wdSAVYear),HU_wdSAVAmt,0)-IF(AND(HU_wdPRPOn,A77=HU_wdPRPYear),HU_wdPRPAmt,0)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5</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1-P77/INDEX($P$73:$P$155,MAX(1,A78-HU_ciYears))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S78+U78+IF(AND(HU_wdSAVOn,A78=HU_wdSAVYear),HU_wdSAVAmt,0)+IF(AND(HU_wdPRPOn,A78=HU_wdPRPYear),HU_wdPRPAmt,0)</f>
        <v/>
      </c>
      <c r="W78" s="60">
        <f>HU_ciProp*Q78+HU_tpdCut*L78+HU_disCut*O78</f>
        <v/>
      </c>
      <c r="X78" s="29">
        <f>IF(OR(A78&lt;1,A78&gt;HU_T),0,V78*(1-W78))</f>
        <v/>
      </c>
      <c r="Y78" s="29">
        <f>IF(OR(A78&lt;1,A78&gt;HU_T),0,IF(AND(HU_retExp&gt;0,A78-1&gt;=HU_dtr),HU_retExp,HU_exp0)*R78)</f>
        <v/>
      </c>
      <c r="Z78" s="29">
        <f>-Y78-IF(AND(HU_wdEDUOn,A78=HU_wdEDUYear),HU_wdEDUAmt,0)-IF(AND(HU_wdSAVOn,A78=HU_wdSAVYear),HU_wdSAVAmt,0)-IF(AND(HU_wdPRPOn,A78=HU_wdPRPYear),HU_wdPRPAmt,0)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6</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1-P78/INDEX($P$73:$P$155,MAX(1,A79-HU_ciYears))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S79+U79+IF(AND(HU_wdSAVOn,A79=HU_wdSAVYear),HU_wdSAVAmt,0)+IF(AND(HU_wdPRPOn,A79=HU_wdPRPYear),HU_wdPRPAmt,0)</f>
        <v/>
      </c>
      <c r="W79" s="60">
        <f>HU_ciProp*Q79+HU_tpdCut*L79+HU_disCut*O79</f>
        <v/>
      </c>
      <c r="X79" s="29">
        <f>IF(OR(A79&lt;1,A79&gt;HU_T),0,V79*(1-W79))</f>
        <v/>
      </c>
      <c r="Y79" s="29">
        <f>IF(OR(A79&lt;1,A79&gt;HU_T),0,IF(AND(HU_retExp&gt;0,A79-1&gt;=HU_dtr),HU_retExp,HU_exp0)*R79)</f>
        <v/>
      </c>
      <c r="Z79" s="29">
        <f>-Y79-IF(AND(HU_wdEDUOn,A79=HU_wdEDUYear),HU_wdEDUAmt,0)-IF(AND(HU_wdSAVOn,A79=HU_wdSAVYear),HU_wdSAVAmt,0)-IF(AND(HU_wdPRPOn,A79=HU_wdPRPYear),HU_wdPRPAmt,0)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7</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1-P79/INDEX($P$73:$P$155,MAX(1,A80-HU_ciYears))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S80+U80+IF(AND(HU_wdSAVOn,A80=HU_wdSAVYear),HU_wdSAVAmt,0)+IF(AND(HU_wdPRPOn,A80=HU_wdPRPYear),HU_wdPRPAmt,0)</f>
        <v/>
      </c>
      <c r="W80" s="60">
        <f>HU_ciProp*Q80+HU_tpdCut*L80+HU_disCut*O80</f>
        <v/>
      </c>
      <c r="X80" s="29">
        <f>IF(OR(A80&lt;1,A80&gt;HU_T),0,V80*(1-W80))</f>
        <v/>
      </c>
      <c r="Y80" s="29">
        <f>IF(OR(A80&lt;1,A80&gt;HU_T),0,IF(AND(HU_retExp&gt;0,A80-1&gt;=HU_dtr),HU_retExp,HU_exp0)*R80)</f>
        <v/>
      </c>
      <c r="Z80" s="29">
        <f>-Y80-IF(AND(HU_wdEDUOn,A80=HU_wdEDUYear),HU_wdEDUAmt,0)-IF(AND(HU_wdSAVOn,A80=HU_wdSAVYear),HU_wdSAVAmt,0)-IF(AND(HU_wdPRPOn,A80=HU_wdPRPYear),HU_wdPRPAmt,0)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8</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1-P80/INDEX($P$73:$P$155,MAX(1,A81-HU_ciYears))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S81+U81+IF(AND(HU_wdSAVOn,A81=HU_wdSAVYear),HU_wdSAVAmt,0)+IF(AND(HU_wdPRPOn,A81=HU_wdPRPYear),HU_wdPRPAmt,0)</f>
        <v/>
      </c>
      <c r="W81" s="60">
        <f>HU_ciProp*Q81+HU_tpdCut*L81+HU_disCut*O81</f>
        <v/>
      </c>
      <c r="X81" s="29">
        <f>IF(OR(A81&lt;1,A81&gt;HU_T),0,V81*(1-W81))</f>
        <v/>
      </c>
      <c r="Y81" s="29">
        <f>IF(OR(A81&lt;1,A81&gt;HU_T),0,IF(AND(HU_retExp&gt;0,A81-1&gt;=HU_dtr),HU_retExp,HU_exp0)*R81)</f>
        <v/>
      </c>
      <c r="Z81" s="29">
        <f>-Y81-IF(AND(HU_wdEDUOn,A81=HU_wdEDUYear),HU_wdEDUAmt,0)-IF(AND(HU_wdSAVOn,A81=HU_wdSAVYear),HU_wdSAVAmt,0)-IF(AND(HU_wdPRPOn,A81=HU_wdPRPYear),HU_wdPRPAmt,0)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9</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1-P81/INDEX($P$73:$P$155,MAX(1,A82-HU_ciYears))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S82+U82+IF(AND(HU_wdSAVOn,A82=HU_wdSAVYear),HU_wdSAVAmt,0)+IF(AND(HU_wdPRPOn,A82=HU_wdPRPYear),HU_wdPRPAmt,0)</f>
        <v/>
      </c>
      <c r="W82" s="60">
        <f>HU_ciProp*Q82+HU_tpdCut*L82+HU_disCut*O82</f>
        <v/>
      </c>
      <c r="X82" s="29">
        <f>IF(OR(A82&lt;1,A82&gt;HU_T),0,V82*(1-W82))</f>
        <v/>
      </c>
      <c r="Y82" s="29">
        <f>IF(OR(A82&lt;1,A82&gt;HU_T),0,IF(AND(HU_retExp&gt;0,A82-1&gt;=HU_dtr),HU_retExp,HU_exp0)*R82)</f>
        <v/>
      </c>
      <c r="Z82" s="29">
        <f>-Y82-IF(AND(HU_wdEDUOn,A82=HU_wdEDUYear),HU_wdEDUAmt,0)-IF(AND(HU_wdSAVOn,A82=HU_wdSAVYear),HU_wdSAVAmt,0)-IF(AND(HU_wdPRPOn,A82=HU_wdPRPYear),HU_wdPRPAmt,0)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10</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1-P82/INDEX($P$73:$P$155,MAX(1,A83-HU_ciYears))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S83+U83+IF(AND(HU_wdSAVOn,A83=HU_wdSAVYear),HU_wdSAVAmt,0)+IF(AND(HU_wdPRPOn,A83=HU_wdPRPYear),HU_wdPRPAmt,0)</f>
        <v/>
      </c>
      <c r="W83" s="60">
        <f>HU_ciProp*Q83+HU_tpdCut*L83+HU_disCut*O83</f>
        <v/>
      </c>
      <c r="X83" s="29">
        <f>IF(OR(A83&lt;1,A83&gt;HU_T),0,V83*(1-W83))</f>
        <v/>
      </c>
      <c r="Y83" s="29">
        <f>IF(OR(A83&lt;1,A83&gt;HU_T),0,IF(AND(HU_retExp&gt;0,A83-1&gt;=HU_dtr),HU_retExp,HU_exp0)*R83)</f>
        <v/>
      </c>
      <c r="Z83" s="29">
        <f>-Y83-IF(AND(HU_wdEDUOn,A83=HU_wdEDUYear),HU_wdEDUAmt,0)-IF(AND(HU_wdSAVOn,A83=HU_wdSAVYear),HU_wdSAVAmt,0)-IF(AND(HU_wdPRPOn,A83=HU_wdPRPYear),HU_wdPRPAmt,0)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11</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1-P83/INDEX($P$73:$P$155,MAX(1,A84-HU_ciYears))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S84+U84+IF(AND(HU_wdSAVOn,A84=HU_wdSAVYear),HU_wdSAVAmt,0)+IF(AND(HU_wdPRPOn,A84=HU_wdPRPYear),HU_wdPRPAmt,0)</f>
        <v/>
      </c>
      <c r="W84" s="60">
        <f>HU_ciProp*Q84+HU_tpdCut*L84+HU_disCut*O84</f>
        <v/>
      </c>
      <c r="X84" s="29">
        <f>IF(OR(A84&lt;1,A84&gt;HU_T),0,V84*(1-W84))</f>
        <v/>
      </c>
      <c r="Y84" s="29">
        <f>IF(OR(A84&lt;1,A84&gt;HU_T),0,IF(AND(HU_retExp&gt;0,A84-1&gt;=HU_dtr),HU_retExp,HU_exp0)*R84)</f>
        <v/>
      </c>
      <c r="Z84" s="29">
        <f>-Y84-IF(AND(HU_wdEDUOn,A84=HU_wdEDUYear),HU_wdEDUAmt,0)-IF(AND(HU_wdSAVOn,A84=HU_wdSAVYear),HU_wdSAVAmt,0)-IF(AND(HU_wdPRPOn,A84=HU_wdPRPYear),HU_wdPRPAmt,0)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12</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1-P84/INDEX($P$73:$P$155,MAX(1,A85-HU_ciYears))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S85+U85+IF(AND(HU_wdSAVOn,A85=HU_wdSAVYear),HU_wdSAVAmt,0)+IF(AND(HU_wdPRPOn,A85=HU_wdPRPYear),HU_wdPRPAmt,0)</f>
        <v/>
      </c>
      <c r="W85" s="60">
        <f>HU_ciProp*Q85+HU_tpdCut*L85+HU_disCut*O85</f>
        <v/>
      </c>
      <c r="X85" s="29">
        <f>IF(OR(A85&lt;1,A85&gt;HU_T),0,V85*(1-W85))</f>
        <v/>
      </c>
      <c r="Y85" s="29">
        <f>IF(OR(A85&lt;1,A85&gt;HU_T),0,IF(AND(HU_retExp&gt;0,A85-1&gt;=HU_dtr),HU_retExp,HU_exp0)*R85)</f>
        <v/>
      </c>
      <c r="Z85" s="29">
        <f>-Y85-IF(AND(HU_wdEDUOn,A85=HU_wdEDUYear),HU_wdEDUAmt,0)-IF(AND(HU_wdSAVOn,A85=HU_wdSAVYear),HU_wdSAVAmt,0)-IF(AND(HU_wdPRPOn,A85=HU_wdPRPYear),HU_wdPRPAmt,0)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13</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1-P85/INDEX($P$73:$P$155,MAX(1,A86-HU_ciYears))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S86+U86+IF(AND(HU_wdSAVOn,A86=HU_wdSAVYear),HU_wdSAVAmt,0)+IF(AND(HU_wdPRPOn,A86=HU_wdPRPYear),HU_wdPRPAmt,0)</f>
        <v/>
      </c>
      <c r="W86" s="60">
        <f>HU_ciProp*Q86+HU_tpdCut*L86+HU_disCut*O86</f>
        <v/>
      </c>
      <c r="X86" s="29">
        <f>IF(OR(A86&lt;1,A86&gt;HU_T),0,V86*(1-W86))</f>
        <v/>
      </c>
      <c r="Y86" s="29">
        <f>IF(OR(A86&lt;1,A86&gt;HU_T),0,IF(AND(HU_retExp&gt;0,A86-1&gt;=HU_dtr),HU_retExp,HU_exp0)*R86)</f>
        <v/>
      </c>
      <c r="Z86" s="29">
        <f>-Y86-IF(AND(HU_wdEDUOn,A86=HU_wdEDUYear),HU_wdEDUAmt,0)-IF(AND(HU_wdSAVOn,A86=HU_wdSAVYear),HU_wdSAVAmt,0)-IF(AND(HU_wdPRPOn,A86=HU_wdPRPYear),HU_wdPRPAmt,0)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14</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1-P86/INDEX($P$73:$P$155,MAX(1,A87-HU_ciYears))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S87+U87+IF(AND(HU_wdSAVOn,A87=HU_wdSAVYear),HU_wdSAVAmt,0)+IF(AND(HU_wdPRPOn,A87=HU_wdPRPYear),HU_wdPRPAmt,0)</f>
        <v/>
      </c>
      <c r="W87" s="60">
        <f>HU_ciProp*Q87+HU_tpdCut*L87+HU_disCut*O87</f>
        <v/>
      </c>
      <c r="X87" s="29">
        <f>IF(OR(A87&lt;1,A87&gt;HU_T),0,V87*(1-W87))</f>
        <v/>
      </c>
      <c r="Y87" s="29">
        <f>IF(OR(A87&lt;1,A87&gt;HU_T),0,IF(AND(HU_retExp&gt;0,A87-1&gt;=HU_dtr),HU_retExp,HU_exp0)*R87)</f>
        <v/>
      </c>
      <c r="Z87" s="29">
        <f>-Y87-IF(AND(HU_wdEDUOn,A87=HU_wdEDUYear),HU_wdEDUAmt,0)-IF(AND(HU_wdSAVOn,A87=HU_wdSAVYear),HU_wdSAVAmt,0)-IF(AND(HU_wdPRPOn,A87=HU_wdPRPYear),HU_wdPRPAmt,0)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15</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1-P87/INDEX($P$73:$P$155,MAX(1,A88-HU_ciYears))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S88+U88+IF(AND(HU_wdSAVOn,A88=HU_wdSAVYear),HU_wdSAVAmt,0)+IF(AND(HU_wdPRPOn,A88=HU_wdPRPYear),HU_wdPRPAmt,0)</f>
        <v/>
      </c>
      <c r="W88" s="60">
        <f>HU_ciProp*Q88+HU_tpdCut*L88+HU_disCut*O88</f>
        <v/>
      </c>
      <c r="X88" s="29">
        <f>IF(OR(A88&lt;1,A88&gt;HU_T),0,V88*(1-W88))</f>
        <v/>
      </c>
      <c r="Y88" s="29">
        <f>IF(OR(A88&lt;1,A88&gt;HU_T),0,IF(AND(HU_retExp&gt;0,A88-1&gt;=HU_dtr),HU_retExp,HU_exp0)*R88)</f>
        <v/>
      </c>
      <c r="Z88" s="29">
        <f>-Y88-IF(AND(HU_wdEDUOn,A88=HU_wdEDUYear),HU_wdEDUAmt,0)-IF(AND(HU_wdSAVOn,A88=HU_wdSAVYear),HU_wdSAVAmt,0)-IF(AND(HU_wdPRPOn,A88=HU_wdPRPYear),HU_wdPRPAmt,0)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16</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1-P88/INDEX($P$73:$P$155,MAX(1,A89-HU_ciYears))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S89+U89+IF(AND(HU_wdSAVOn,A89=HU_wdSAVYear),HU_wdSAVAmt,0)+IF(AND(HU_wdPRPOn,A89=HU_wdPRPYear),HU_wdPRPAmt,0)</f>
        <v/>
      </c>
      <c r="W89" s="60">
        <f>HU_ciProp*Q89+HU_tpdCut*L89+HU_disCut*O89</f>
        <v/>
      </c>
      <c r="X89" s="29">
        <f>IF(OR(A89&lt;1,A89&gt;HU_T),0,V89*(1-W89))</f>
        <v/>
      </c>
      <c r="Y89" s="29">
        <f>IF(OR(A89&lt;1,A89&gt;HU_T),0,IF(AND(HU_retExp&gt;0,A89-1&gt;=HU_dtr),HU_retExp,HU_exp0)*R89)</f>
        <v/>
      </c>
      <c r="Z89" s="29">
        <f>-Y89-IF(AND(HU_wdEDUOn,A89=HU_wdEDUYear),HU_wdEDUAmt,0)-IF(AND(HU_wdSAVOn,A89=HU_wdSAVYear),HU_wdSAVAmt,0)-IF(AND(HU_wdPRPOn,A89=HU_wdPRPYear),HU_wdPRPAmt,0)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17</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1-P89/INDEX($P$73:$P$155,MAX(1,A90-HU_ciYears))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S90+U90+IF(AND(HU_wdSAVOn,A90=HU_wdSAVYear),HU_wdSAVAmt,0)+IF(AND(HU_wdPRPOn,A90=HU_wdPRPYear),HU_wdPRPAmt,0)</f>
        <v/>
      </c>
      <c r="W90" s="60">
        <f>HU_ciProp*Q90+HU_tpdCut*L90+HU_disCut*O90</f>
        <v/>
      </c>
      <c r="X90" s="29">
        <f>IF(OR(A90&lt;1,A90&gt;HU_T),0,V90*(1-W90))</f>
        <v/>
      </c>
      <c r="Y90" s="29">
        <f>IF(OR(A90&lt;1,A90&gt;HU_T),0,IF(AND(HU_retExp&gt;0,A90-1&gt;=HU_dtr),HU_retExp,HU_exp0)*R90)</f>
        <v/>
      </c>
      <c r="Z90" s="29">
        <f>-Y90-IF(AND(HU_wdEDUOn,A90=HU_wdEDUYear),HU_wdEDUAmt,0)-IF(AND(HU_wdSAVOn,A90=HU_wdSAVYear),HU_wdSAVAmt,0)-IF(AND(HU_wdPRPOn,A90=HU_wdPRPYear),HU_wdPRPAmt,0)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18</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1-P90/INDEX($P$73:$P$155,MAX(1,A91-HU_ciYears))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S91+U91+IF(AND(HU_wdSAVOn,A91=HU_wdSAVYear),HU_wdSAVAmt,0)+IF(AND(HU_wdPRPOn,A91=HU_wdPRPYear),HU_wdPRPAmt,0)</f>
        <v/>
      </c>
      <c r="W91" s="60">
        <f>HU_ciProp*Q91+HU_tpdCut*L91+HU_disCut*O91</f>
        <v/>
      </c>
      <c r="X91" s="29">
        <f>IF(OR(A91&lt;1,A91&gt;HU_T),0,V91*(1-W91))</f>
        <v/>
      </c>
      <c r="Y91" s="29">
        <f>IF(OR(A91&lt;1,A91&gt;HU_T),0,IF(AND(HU_retExp&gt;0,A91-1&gt;=HU_dtr),HU_retExp,HU_exp0)*R91)</f>
        <v/>
      </c>
      <c r="Z91" s="29">
        <f>-Y91-IF(AND(HU_wdEDUOn,A91=HU_wdEDUYear),HU_wdEDUAmt,0)-IF(AND(HU_wdSAVOn,A91=HU_wdSAVYear),HU_wdSAVAmt,0)-IF(AND(HU_wdPRPOn,A91=HU_wdPRPYear),HU_wdPRPAmt,0)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19</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1-P91/INDEX($P$73:$P$155,MAX(1,A92-HU_ciYears))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S92+U92+IF(AND(HU_wdSAVOn,A92=HU_wdSAVYear),HU_wdSAVAmt,0)+IF(AND(HU_wdPRPOn,A92=HU_wdPRPYear),HU_wdPRPAmt,0)</f>
        <v/>
      </c>
      <c r="W92" s="60">
        <f>HU_ciProp*Q92+HU_tpdCut*L92+HU_disCut*O92</f>
        <v/>
      </c>
      <c r="X92" s="29">
        <f>IF(OR(A92&lt;1,A92&gt;HU_T),0,V92*(1-W92))</f>
        <v/>
      </c>
      <c r="Y92" s="29">
        <f>IF(OR(A92&lt;1,A92&gt;HU_T),0,IF(AND(HU_retExp&gt;0,A92-1&gt;=HU_dtr),HU_retExp,HU_exp0)*R92)</f>
        <v/>
      </c>
      <c r="Z92" s="29">
        <f>-Y92-IF(AND(HU_wdEDUOn,A92=HU_wdEDUYear),HU_wdEDUAmt,0)-IF(AND(HU_wdSAVOn,A92=HU_wdSAVYear),HU_wdSAVAmt,0)-IF(AND(HU_wdPRPOn,A92=HU_wdPRPYear),HU_wdPRPAmt,0)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20</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1-P92/INDEX($P$73:$P$155,MAX(1,A93-HU_ciYears))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S93+U93+IF(AND(HU_wdSAVOn,A93=HU_wdSAVYear),HU_wdSAVAmt,0)+IF(AND(HU_wdPRPOn,A93=HU_wdPRPYear),HU_wdPRPAmt,0)</f>
        <v/>
      </c>
      <c r="W93" s="60">
        <f>HU_ciProp*Q93+HU_tpdCut*L93+HU_disCut*O93</f>
        <v/>
      </c>
      <c r="X93" s="29">
        <f>IF(OR(A93&lt;1,A93&gt;HU_T),0,V93*(1-W93))</f>
        <v/>
      </c>
      <c r="Y93" s="29">
        <f>IF(OR(A93&lt;1,A93&gt;HU_T),0,IF(AND(HU_retExp&gt;0,A93-1&gt;=HU_dtr),HU_retExp,HU_exp0)*R93)</f>
        <v/>
      </c>
      <c r="Z93" s="29">
        <f>-Y93-IF(AND(HU_wdEDUOn,A93=HU_wdEDUYear),HU_wdEDUAmt,0)-IF(AND(HU_wdSAVOn,A93=HU_wdSAVYear),HU_wdSAVAmt,0)-IF(AND(HU_wdPRPOn,A93=HU_wdPRPYear),HU_wdPRPAmt,0)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21</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1-P93/INDEX($P$73:$P$155,MAX(1,A94-HU_ciYears))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S94+U94+IF(AND(HU_wdSAVOn,A94=HU_wdSAVYear),HU_wdSAVAmt,0)+IF(AND(HU_wdPRPOn,A94=HU_wdPRPYear),HU_wdPRPAmt,0)</f>
        <v/>
      </c>
      <c r="W94" s="60">
        <f>HU_ciProp*Q94+HU_tpdCut*L94+HU_disCut*O94</f>
        <v/>
      </c>
      <c r="X94" s="29">
        <f>IF(OR(A94&lt;1,A94&gt;HU_T),0,V94*(1-W94))</f>
        <v/>
      </c>
      <c r="Y94" s="29">
        <f>IF(OR(A94&lt;1,A94&gt;HU_T),0,IF(AND(HU_retExp&gt;0,A94-1&gt;=HU_dtr),HU_retExp,HU_exp0)*R94)</f>
        <v/>
      </c>
      <c r="Z94" s="29">
        <f>-Y94-IF(AND(HU_wdEDUOn,A94=HU_wdEDUYear),HU_wdEDUAmt,0)-IF(AND(HU_wdSAVOn,A94=HU_wdSAVYear),HU_wdSAVAmt,0)-IF(AND(HU_wdPRPOn,A94=HU_wdPRPYear),HU_wdPRPAmt,0)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22</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1-P94/INDEX($P$73:$P$155,MAX(1,A95-HU_ciYears))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S95+U95+IF(AND(HU_wdSAVOn,A95=HU_wdSAVYear),HU_wdSAVAmt,0)+IF(AND(HU_wdPRPOn,A95=HU_wdPRPYear),HU_wdPRPAmt,0)</f>
        <v/>
      </c>
      <c r="W95" s="60">
        <f>HU_ciProp*Q95+HU_tpdCut*L95+HU_disCut*O95</f>
        <v/>
      </c>
      <c r="X95" s="29">
        <f>IF(OR(A95&lt;1,A95&gt;HU_T),0,V95*(1-W95))</f>
        <v/>
      </c>
      <c r="Y95" s="29">
        <f>IF(OR(A95&lt;1,A95&gt;HU_T),0,IF(AND(HU_retExp&gt;0,A95-1&gt;=HU_dtr),HU_retExp,HU_exp0)*R95)</f>
        <v/>
      </c>
      <c r="Z95" s="29">
        <f>-Y95-IF(AND(HU_wdEDUOn,A95=HU_wdEDUYear),HU_wdEDUAmt,0)-IF(AND(HU_wdSAVOn,A95=HU_wdSAVYear),HU_wdSAVAmt,0)-IF(AND(HU_wdPRPOn,A95=HU_wdPRPYear),HU_wdPRPAmt,0)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23</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1-P95/INDEX($P$73:$P$155,MAX(1,A96-HU_ciYears))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S96+U96+IF(AND(HU_wdSAVOn,A96=HU_wdSAVYear),HU_wdSAVAmt,0)+IF(AND(HU_wdPRPOn,A96=HU_wdPRPYear),HU_wdPRPAmt,0)</f>
        <v/>
      </c>
      <c r="W96" s="60">
        <f>HU_ciProp*Q96+HU_tpdCut*L96+HU_disCut*O96</f>
        <v/>
      </c>
      <c r="X96" s="29">
        <f>IF(OR(A96&lt;1,A96&gt;HU_T),0,V96*(1-W96))</f>
        <v/>
      </c>
      <c r="Y96" s="29">
        <f>IF(OR(A96&lt;1,A96&gt;HU_T),0,IF(AND(HU_retExp&gt;0,A96-1&gt;=HU_dtr),HU_retExp,HU_exp0)*R96)</f>
        <v/>
      </c>
      <c r="Z96" s="29">
        <f>-Y96-IF(AND(HU_wdEDUOn,A96=HU_wdEDUYear),HU_wdEDUAmt,0)-IF(AND(HU_wdSAVOn,A96=HU_wdSAVYear),HU_wdSAVAmt,0)-IF(AND(HU_wdPRPOn,A96=HU_wdPRPYear),HU_wdPRPAmt,0)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24</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1-P96/INDEX($P$73:$P$155,MAX(1,A97-HU_ciYears))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S97+U97+IF(AND(HU_wdSAVOn,A97=HU_wdSAVYear),HU_wdSAVAmt,0)+IF(AND(HU_wdPRPOn,A97=HU_wdPRPYear),HU_wdPRPAmt,0)</f>
        <v/>
      </c>
      <c r="W97" s="60">
        <f>HU_ciProp*Q97+HU_tpdCut*L97+HU_disCut*O97</f>
        <v/>
      </c>
      <c r="X97" s="29">
        <f>IF(OR(A97&lt;1,A97&gt;HU_T),0,V97*(1-W97))</f>
        <v/>
      </c>
      <c r="Y97" s="29">
        <f>IF(OR(A97&lt;1,A97&gt;HU_T),0,IF(AND(HU_retExp&gt;0,A97-1&gt;=HU_dtr),HU_retExp,HU_exp0)*R97)</f>
        <v/>
      </c>
      <c r="Z97" s="29">
        <f>-Y97-IF(AND(HU_wdEDUOn,A97=HU_wdEDUYear),HU_wdEDUAmt,0)-IF(AND(HU_wdSAVOn,A97=HU_wdSAVYear),HU_wdSAVAmt,0)-IF(AND(HU_wdPRPOn,A97=HU_wdPRPYear),HU_wdPRPAmt,0)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25</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1-P97/INDEX($P$73:$P$155,MAX(1,A98-HU_ciYears))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S98+U98+IF(AND(HU_wdSAVOn,A98=HU_wdSAVYear),HU_wdSAVAmt,0)+IF(AND(HU_wdPRPOn,A98=HU_wdPRPYear),HU_wdPRPAmt,0)</f>
        <v/>
      </c>
      <c r="W98" s="60">
        <f>HU_ciProp*Q98+HU_tpdCut*L98+HU_disCut*O98</f>
        <v/>
      </c>
      <c r="X98" s="29">
        <f>IF(OR(A98&lt;1,A98&gt;HU_T),0,V98*(1-W98))</f>
        <v/>
      </c>
      <c r="Y98" s="29">
        <f>IF(OR(A98&lt;1,A98&gt;HU_T),0,IF(AND(HU_retExp&gt;0,A98-1&gt;=HU_dtr),HU_retExp,HU_exp0)*R98)</f>
        <v/>
      </c>
      <c r="Z98" s="29">
        <f>-Y98-IF(AND(HU_wdEDUOn,A98=HU_wdEDUYear),HU_wdEDUAmt,0)-IF(AND(HU_wdSAVOn,A98=HU_wdSAVYear),HU_wdSAVAmt,0)-IF(AND(HU_wdPRPOn,A98=HU_wdPRPYear),HU_wdPRPAmt,0)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26</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1-P98/INDEX($P$73:$P$155,MAX(1,A99-HU_ciYears))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S99+U99+IF(AND(HU_wdSAVOn,A99=HU_wdSAVYear),HU_wdSAVAmt,0)+IF(AND(HU_wdPRPOn,A99=HU_wdPRPYear),HU_wdPRPAmt,0)</f>
        <v/>
      </c>
      <c r="W99" s="60">
        <f>HU_ciProp*Q99+HU_tpdCut*L99+HU_disCut*O99</f>
        <v/>
      </c>
      <c r="X99" s="29">
        <f>IF(OR(A99&lt;1,A99&gt;HU_T),0,V99*(1-W99))</f>
        <v/>
      </c>
      <c r="Y99" s="29">
        <f>IF(OR(A99&lt;1,A99&gt;HU_T),0,IF(AND(HU_retExp&gt;0,A99-1&gt;=HU_dtr),HU_retExp,HU_exp0)*R99)</f>
        <v/>
      </c>
      <c r="Z99" s="29">
        <f>-Y99-IF(AND(HU_wdEDUOn,A99=HU_wdEDUYear),HU_wdEDUAmt,0)-IF(AND(HU_wdSAVOn,A99=HU_wdSAVYear),HU_wdSAVAmt,0)-IF(AND(HU_wdPRPOn,A99=HU_wdPRPYear),HU_wdPRPAmt,0)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27</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1-P99/INDEX($P$73:$P$155,MAX(1,A100-HU_ciYears))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S100+U100+IF(AND(HU_wdSAVOn,A100=HU_wdSAVYear),HU_wdSAVAmt,0)+IF(AND(HU_wdPRPOn,A100=HU_wdPRPYear),HU_wdPRPAmt,0)</f>
        <v/>
      </c>
      <c r="W100" s="60">
        <f>HU_ciProp*Q100+HU_tpdCut*L100+HU_disCut*O100</f>
        <v/>
      </c>
      <c r="X100" s="29">
        <f>IF(OR(A100&lt;1,A100&gt;HU_T),0,V100*(1-W100))</f>
        <v/>
      </c>
      <c r="Y100" s="29">
        <f>IF(OR(A100&lt;1,A100&gt;HU_T),0,IF(AND(HU_retExp&gt;0,A100-1&gt;=HU_dtr),HU_retExp,HU_exp0)*R100)</f>
        <v/>
      </c>
      <c r="Z100" s="29">
        <f>-Y100-IF(AND(HU_wdEDUOn,A100=HU_wdEDUYear),HU_wdEDUAmt,0)-IF(AND(HU_wdSAVOn,A100=HU_wdSAVYear),HU_wdSAVAmt,0)-IF(AND(HU_wdPRPOn,A100=HU_wdPRPYear),HU_wdPRPAmt,0)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28</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1-P100/INDEX($P$73:$P$155,MAX(1,A101-HU_ciYears))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S101+U101+IF(AND(HU_wdSAVOn,A101=HU_wdSAVYear),HU_wdSAVAmt,0)+IF(AND(HU_wdPRPOn,A101=HU_wdPRPYear),HU_wdPRPAmt,0)</f>
        <v/>
      </c>
      <c r="W101" s="60">
        <f>HU_ciProp*Q101+HU_tpdCut*L101+HU_disCut*O101</f>
        <v/>
      </c>
      <c r="X101" s="29">
        <f>IF(OR(A101&lt;1,A101&gt;HU_T),0,V101*(1-W101))</f>
        <v/>
      </c>
      <c r="Y101" s="29">
        <f>IF(OR(A101&lt;1,A101&gt;HU_T),0,IF(AND(HU_retExp&gt;0,A101-1&gt;=HU_dtr),HU_retExp,HU_exp0)*R101)</f>
        <v/>
      </c>
      <c r="Z101" s="29">
        <f>-Y101-IF(AND(HU_wdEDUOn,A101=HU_wdEDUYear),HU_wdEDUAmt,0)-IF(AND(HU_wdSAVOn,A101=HU_wdSAVYear),HU_wdSAVAmt,0)-IF(AND(HU_wdPRPOn,A101=HU_wdPRPYear),HU_wdPRPAmt,0)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29</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1-P101/INDEX($P$73:$P$155,MAX(1,A102-HU_ciYears))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S102+U102+IF(AND(HU_wdSAVOn,A102=HU_wdSAVYear),HU_wdSAVAmt,0)+IF(AND(HU_wdPRPOn,A102=HU_wdPRPYear),HU_wdPRPAmt,0)</f>
        <v/>
      </c>
      <c r="W102" s="60">
        <f>HU_ciProp*Q102+HU_tpdCut*L102+HU_disCut*O102</f>
        <v/>
      </c>
      <c r="X102" s="29">
        <f>IF(OR(A102&lt;1,A102&gt;HU_T),0,V102*(1-W102))</f>
        <v/>
      </c>
      <c r="Y102" s="29">
        <f>IF(OR(A102&lt;1,A102&gt;HU_T),0,IF(AND(HU_retExp&gt;0,A102-1&gt;=HU_dtr),HU_retExp,HU_exp0)*R102)</f>
        <v/>
      </c>
      <c r="Z102" s="29">
        <f>-Y102-IF(AND(HU_wdEDUOn,A102=HU_wdEDUYear),HU_wdEDUAmt,0)-IF(AND(HU_wdSAVOn,A102=HU_wdSAVYear),HU_wdSAVAmt,0)-IF(AND(HU_wdPRPOn,A102=HU_wdPRPYear),HU_wdPRPAmt,0)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30</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1-P102/INDEX($P$73:$P$155,MAX(1,A103-HU_ciYears))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S103+U103+IF(AND(HU_wdSAVOn,A103=HU_wdSAVYear),HU_wdSAVAmt,0)+IF(AND(HU_wdPRPOn,A103=HU_wdPRPYear),HU_wdPRPAmt,0)</f>
        <v/>
      </c>
      <c r="W103" s="60">
        <f>HU_ciProp*Q103+HU_tpdCut*L103+HU_disCut*O103</f>
        <v/>
      </c>
      <c r="X103" s="29">
        <f>IF(OR(A103&lt;1,A103&gt;HU_T),0,V103*(1-W103))</f>
        <v/>
      </c>
      <c r="Y103" s="29">
        <f>IF(OR(A103&lt;1,A103&gt;HU_T),0,IF(AND(HU_retExp&gt;0,A103-1&gt;=HU_dtr),HU_retExp,HU_exp0)*R103)</f>
        <v/>
      </c>
      <c r="Z103" s="29">
        <f>-Y103-IF(AND(HU_wdEDUOn,A103=HU_wdEDUYear),HU_wdEDUAmt,0)-IF(AND(HU_wdSAVOn,A103=HU_wdSAVYear),HU_wdSAVAmt,0)-IF(AND(HU_wdPRPOn,A103=HU_wdPRPYear),HU_wdPRPAmt,0)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31</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1-P103/INDEX($P$73:$P$155,MAX(1,A104-HU_ciYears))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S104+U104+IF(AND(HU_wdSAVOn,A104=HU_wdSAVYear),HU_wdSAVAmt,0)+IF(AND(HU_wdPRPOn,A104=HU_wdPRPYear),HU_wdPRPAmt,0)</f>
        <v/>
      </c>
      <c r="W104" s="60">
        <f>HU_ciProp*Q104+HU_tpdCut*L104+HU_disCut*O104</f>
        <v/>
      </c>
      <c r="X104" s="29">
        <f>IF(OR(A104&lt;1,A104&gt;HU_T),0,V104*(1-W104))</f>
        <v/>
      </c>
      <c r="Y104" s="29">
        <f>IF(OR(A104&lt;1,A104&gt;HU_T),0,IF(AND(HU_retExp&gt;0,A104-1&gt;=HU_dtr),HU_retExp,HU_exp0)*R104)</f>
        <v/>
      </c>
      <c r="Z104" s="29">
        <f>-Y104-IF(AND(HU_wdEDUOn,A104=HU_wdEDUYear),HU_wdEDUAmt,0)-IF(AND(HU_wdSAVOn,A104=HU_wdSAVYear),HU_wdSAVAmt,0)-IF(AND(HU_wdPRPOn,A104=HU_wdPRPYear),HU_wdPRPAmt,0)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32</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1-P104/INDEX($P$73:$P$155,MAX(1,A105-HU_ciYears))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S105+U105+IF(AND(HU_wdSAVOn,A105=HU_wdSAVYear),HU_wdSAVAmt,0)+IF(AND(HU_wdPRPOn,A105=HU_wdPRPYear),HU_wdPRPAmt,0)</f>
        <v/>
      </c>
      <c r="W105" s="60">
        <f>HU_ciProp*Q105+HU_tpdCut*L105+HU_disCut*O105</f>
        <v/>
      </c>
      <c r="X105" s="29">
        <f>IF(OR(A105&lt;1,A105&gt;HU_T),0,V105*(1-W105))</f>
        <v/>
      </c>
      <c r="Y105" s="29">
        <f>IF(OR(A105&lt;1,A105&gt;HU_T),0,IF(AND(HU_retExp&gt;0,A105-1&gt;=HU_dtr),HU_retExp,HU_exp0)*R105)</f>
        <v/>
      </c>
      <c r="Z105" s="29">
        <f>-Y105-IF(AND(HU_wdEDUOn,A105=HU_wdEDUYear),HU_wdEDUAmt,0)-IF(AND(HU_wdSAVOn,A105=HU_wdSAVYear),HU_wdSAVAmt,0)-IF(AND(HU_wdPRPOn,A105=HU_wdPRPYear),HU_wdPRPAmt,0)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33</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1-P105/INDEX($P$73:$P$155,MAX(1,A106-HU_ciYears))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S106+U106+IF(AND(HU_wdSAVOn,A106=HU_wdSAVYear),HU_wdSAVAmt,0)+IF(AND(HU_wdPRPOn,A106=HU_wdPRPYear),HU_wdPRPAmt,0)</f>
        <v/>
      </c>
      <c r="W106" s="60">
        <f>HU_ciProp*Q106+HU_tpdCut*L106+HU_disCut*O106</f>
        <v/>
      </c>
      <c r="X106" s="29">
        <f>IF(OR(A106&lt;1,A106&gt;HU_T),0,V106*(1-W106))</f>
        <v/>
      </c>
      <c r="Y106" s="29">
        <f>IF(OR(A106&lt;1,A106&gt;HU_T),0,IF(AND(HU_retExp&gt;0,A106-1&gt;=HU_dtr),HU_retExp,HU_exp0)*R106)</f>
        <v/>
      </c>
      <c r="Z106" s="29">
        <f>-Y106-IF(AND(HU_wdEDUOn,A106=HU_wdEDUYear),HU_wdEDUAmt,0)-IF(AND(HU_wdSAVOn,A106=HU_wdSAVYear),HU_wdSAVAmt,0)-IF(AND(HU_wdPRPOn,A106=HU_wdPRPYear),HU_wdPRPAmt,0)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34</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1-P106/INDEX($P$73:$P$155,MAX(1,A107-HU_ciYears))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S107+U107+IF(AND(HU_wdSAVOn,A107=HU_wdSAVYear),HU_wdSAVAmt,0)+IF(AND(HU_wdPRPOn,A107=HU_wdPRPYear),HU_wdPRPAmt,0)</f>
        <v/>
      </c>
      <c r="W107" s="60">
        <f>HU_ciProp*Q107+HU_tpdCut*L107+HU_disCut*O107</f>
        <v/>
      </c>
      <c r="X107" s="29">
        <f>IF(OR(A107&lt;1,A107&gt;HU_T),0,V107*(1-W107))</f>
        <v/>
      </c>
      <c r="Y107" s="29">
        <f>IF(OR(A107&lt;1,A107&gt;HU_T),0,IF(AND(HU_retExp&gt;0,A107-1&gt;=HU_dtr),HU_retExp,HU_exp0)*R107)</f>
        <v/>
      </c>
      <c r="Z107" s="29">
        <f>-Y107-IF(AND(HU_wdEDUOn,A107=HU_wdEDUYear),HU_wdEDUAmt,0)-IF(AND(HU_wdSAVOn,A107=HU_wdSAVYear),HU_wdSAVAmt,0)-IF(AND(HU_wdPRPOn,A107=HU_wdPRPYear),HU_wdPRPAmt,0)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35</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1-P107/INDEX($P$73:$P$155,MAX(1,A108-HU_ciYears))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S108+U108+IF(AND(HU_wdSAVOn,A108=HU_wdSAVYear),HU_wdSAVAmt,0)+IF(AND(HU_wdPRPOn,A108=HU_wdPRPYear),HU_wdPRPAmt,0)</f>
        <v/>
      </c>
      <c r="W108" s="60">
        <f>HU_ciProp*Q108+HU_tpdCut*L108+HU_disCut*O108</f>
        <v/>
      </c>
      <c r="X108" s="29">
        <f>IF(OR(A108&lt;1,A108&gt;HU_T),0,V108*(1-W108))</f>
        <v/>
      </c>
      <c r="Y108" s="29">
        <f>IF(OR(A108&lt;1,A108&gt;HU_T),0,IF(AND(HU_retExp&gt;0,A108-1&gt;=HU_dtr),HU_retExp,HU_exp0)*R108)</f>
        <v/>
      </c>
      <c r="Z108" s="29">
        <f>-Y108-IF(AND(HU_wdEDUOn,A108=HU_wdEDUYear),HU_wdEDUAmt,0)-IF(AND(HU_wdSAVOn,A108=HU_wdSAVYear),HU_wdSAVAmt,0)-IF(AND(HU_wdPRPOn,A108=HU_wdPRPYear),HU_wdPRPAmt,0)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36</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1-P108/INDEX($P$73:$P$155,MAX(1,A109-HU_ciYears))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S109+U109+IF(AND(HU_wdSAVOn,A109=HU_wdSAVYear),HU_wdSAVAmt,0)+IF(AND(HU_wdPRPOn,A109=HU_wdPRPYear),HU_wdPRPAmt,0)</f>
        <v/>
      </c>
      <c r="W109" s="60">
        <f>HU_ciProp*Q109+HU_tpdCut*L109+HU_disCut*O109</f>
        <v/>
      </c>
      <c r="X109" s="29">
        <f>IF(OR(A109&lt;1,A109&gt;HU_T),0,V109*(1-W109))</f>
        <v/>
      </c>
      <c r="Y109" s="29">
        <f>IF(OR(A109&lt;1,A109&gt;HU_T),0,IF(AND(HU_retExp&gt;0,A109-1&gt;=HU_dtr),HU_retExp,HU_exp0)*R109)</f>
        <v/>
      </c>
      <c r="Z109" s="29">
        <f>-Y109-IF(AND(HU_wdEDUOn,A109=HU_wdEDUYear),HU_wdEDUAmt,0)-IF(AND(HU_wdSAVOn,A109=HU_wdSAVYear),HU_wdSAVAmt,0)-IF(AND(HU_wdPRPOn,A109=HU_wdPRPYear),HU_wdPRPAmt,0)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37</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1-P109/INDEX($P$73:$P$155,MAX(1,A110-HU_ciYears))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S110+U110+IF(AND(HU_wdSAVOn,A110=HU_wdSAVYear),HU_wdSAVAmt,0)+IF(AND(HU_wdPRPOn,A110=HU_wdPRPYear),HU_wdPRPAmt,0)</f>
        <v/>
      </c>
      <c r="W110" s="60">
        <f>HU_ciProp*Q110+HU_tpdCut*L110+HU_disCut*O110</f>
        <v/>
      </c>
      <c r="X110" s="29">
        <f>IF(OR(A110&lt;1,A110&gt;HU_T),0,V110*(1-W110))</f>
        <v/>
      </c>
      <c r="Y110" s="29">
        <f>IF(OR(A110&lt;1,A110&gt;HU_T),0,IF(AND(HU_retExp&gt;0,A110-1&gt;=HU_dtr),HU_retExp,HU_exp0)*R110)</f>
        <v/>
      </c>
      <c r="Z110" s="29">
        <f>-Y110-IF(AND(HU_wdEDUOn,A110=HU_wdEDUYear),HU_wdEDUAmt,0)-IF(AND(HU_wdSAVOn,A110=HU_wdSAVYear),HU_wdSAVAmt,0)-IF(AND(HU_wdPRPOn,A110=HU_wdPRPYear),HU_wdPRPAmt,0)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38</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1-P110/INDEX($P$73:$P$155,MAX(1,A111-HU_ciYears))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S111+U111+IF(AND(HU_wdSAVOn,A111=HU_wdSAVYear),HU_wdSAVAmt,0)+IF(AND(HU_wdPRPOn,A111=HU_wdPRPYear),HU_wdPRPAmt,0)</f>
        <v/>
      </c>
      <c r="W111" s="60">
        <f>HU_ciProp*Q111+HU_tpdCut*L111+HU_disCut*O111</f>
        <v/>
      </c>
      <c r="X111" s="29">
        <f>IF(OR(A111&lt;1,A111&gt;HU_T),0,V111*(1-W111))</f>
        <v/>
      </c>
      <c r="Y111" s="29">
        <f>IF(OR(A111&lt;1,A111&gt;HU_T),0,IF(AND(HU_retExp&gt;0,A111-1&gt;=HU_dtr),HU_retExp,HU_exp0)*R111)</f>
        <v/>
      </c>
      <c r="Z111" s="29">
        <f>-Y111-IF(AND(HU_wdEDUOn,A111=HU_wdEDUYear),HU_wdEDUAmt,0)-IF(AND(HU_wdSAVOn,A111=HU_wdSAVYear),HU_wdSAVAmt,0)-IF(AND(HU_wdPRPOn,A111=HU_wdPRPYear),HU_wdPRPAmt,0)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39</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1-P111/INDEX($P$73:$P$155,MAX(1,A112-HU_ciYears))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S112+U112+IF(AND(HU_wdSAVOn,A112=HU_wdSAVYear),HU_wdSAVAmt,0)+IF(AND(HU_wdPRPOn,A112=HU_wdPRPYear),HU_wdPRPAmt,0)</f>
        <v/>
      </c>
      <c r="W112" s="60">
        <f>HU_ciProp*Q112+HU_tpdCut*L112+HU_disCut*O112</f>
        <v/>
      </c>
      <c r="X112" s="29">
        <f>IF(OR(A112&lt;1,A112&gt;HU_T),0,V112*(1-W112))</f>
        <v/>
      </c>
      <c r="Y112" s="29">
        <f>IF(OR(A112&lt;1,A112&gt;HU_T),0,IF(AND(HU_retExp&gt;0,A112-1&gt;=HU_dtr),HU_retExp,HU_exp0)*R112)</f>
        <v/>
      </c>
      <c r="Z112" s="29">
        <f>-Y112-IF(AND(HU_wdEDUOn,A112=HU_wdEDUYear),HU_wdEDUAmt,0)-IF(AND(HU_wdSAVOn,A112=HU_wdSAVYear),HU_wdSAVAmt,0)-IF(AND(HU_wdPRPOn,A112=HU_wdPRPYear),HU_wdPRPAmt,0)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40</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1-P112/INDEX($P$73:$P$155,MAX(1,A113-HU_ciYears))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S113+U113+IF(AND(HU_wdSAVOn,A113=HU_wdSAVYear),HU_wdSAVAmt,0)+IF(AND(HU_wdPRPOn,A113=HU_wdPRPYear),HU_wdPRPAmt,0)</f>
        <v/>
      </c>
      <c r="W113" s="60">
        <f>HU_ciProp*Q113+HU_tpdCut*L113+HU_disCut*O113</f>
        <v/>
      </c>
      <c r="X113" s="29">
        <f>IF(OR(A113&lt;1,A113&gt;HU_T),0,V113*(1-W113))</f>
        <v/>
      </c>
      <c r="Y113" s="29">
        <f>IF(OR(A113&lt;1,A113&gt;HU_T),0,IF(AND(HU_retExp&gt;0,A113-1&gt;=HU_dtr),HU_retExp,HU_exp0)*R113)</f>
        <v/>
      </c>
      <c r="Z113" s="29">
        <f>-Y113-IF(AND(HU_wdEDUOn,A113=HU_wdEDUYear),HU_wdEDUAmt,0)-IF(AND(HU_wdSAVOn,A113=HU_wdSAVYear),HU_wdSAVAmt,0)-IF(AND(HU_wdPRPOn,A113=HU_wdPRPYear),HU_wdPRPAmt,0)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41</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1-P113/INDEX($P$73:$P$155,MAX(1,A114-HU_ciYears))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S114+U114+IF(AND(HU_wdSAVOn,A114=HU_wdSAVYear),HU_wdSAVAmt,0)+IF(AND(HU_wdPRPOn,A114=HU_wdPRPYear),HU_wdPRPAmt,0)</f>
        <v/>
      </c>
      <c r="W114" s="60">
        <f>HU_ciProp*Q114+HU_tpdCut*L114+HU_disCut*O114</f>
        <v/>
      </c>
      <c r="X114" s="29">
        <f>IF(OR(A114&lt;1,A114&gt;HU_T),0,V114*(1-W114))</f>
        <v/>
      </c>
      <c r="Y114" s="29">
        <f>IF(OR(A114&lt;1,A114&gt;HU_T),0,IF(AND(HU_retExp&gt;0,A114-1&gt;=HU_dtr),HU_retExp,HU_exp0)*R114)</f>
        <v/>
      </c>
      <c r="Z114" s="29">
        <f>-Y114-IF(AND(HU_wdEDUOn,A114=HU_wdEDUYear),HU_wdEDUAmt,0)-IF(AND(HU_wdSAVOn,A114=HU_wdSAVYear),HU_wdSAVAmt,0)-IF(AND(HU_wdPRPOn,A114=HU_wdPRPYear),HU_wdPRPAmt,0)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42</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1-P114/INDEX($P$73:$P$155,MAX(1,A115-HU_ciYears))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S115+U115+IF(AND(HU_wdSAVOn,A115=HU_wdSAVYear),HU_wdSAVAmt,0)+IF(AND(HU_wdPRPOn,A115=HU_wdPRPYear),HU_wdPRPAmt,0)</f>
        <v/>
      </c>
      <c r="W115" s="60">
        <f>HU_ciProp*Q115+HU_tpdCut*L115+HU_disCut*O115</f>
        <v/>
      </c>
      <c r="X115" s="29">
        <f>IF(OR(A115&lt;1,A115&gt;HU_T),0,V115*(1-W115))</f>
        <v/>
      </c>
      <c r="Y115" s="29">
        <f>IF(OR(A115&lt;1,A115&gt;HU_T),0,IF(AND(HU_retExp&gt;0,A115-1&gt;=HU_dtr),HU_retExp,HU_exp0)*R115)</f>
        <v/>
      </c>
      <c r="Z115" s="29">
        <f>-Y115-IF(AND(HU_wdEDUOn,A115=HU_wdEDUYear),HU_wdEDUAmt,0)-IF(AND(HU_wdSAVOn,A115=HU_wdSAVYear),HU_wdSAVAmt,0)-IF(AND(HU_wdPRPOn,A115=HU_wdPRPYear),HU_wdPRPAmt,0)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43</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1-P115/INDEX($P$73:$P$155,MAX(1,A116-HU_ciYears))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S116+U116+IF(AND(HU_wdSAVOn,A116=HU_wdSAVYear),HU_wdSAVAmt,0)+IF(AND(HU_wdPRPOn,A116=HU_wdPRPYear),HU_wdPRPAmt,0)</f>
        <v/>
      </c>
      <c r="W116" s="60">
        <f>HU_ciProp*Q116+HU_tpdCut*L116+HU_disCut*O116</f>
        <v/>
      </c>
      <c r="X116" s="29">
        <f>IF(OR(A116&lt;1,A116&gt;HU_T),0,V116*(1-W116))</f>
        <v/>
      </c>
      <c r="Y116" s="29">
        <f>IF(OR(A116&lt;1,A116&gt;HU_T),0,IF(AND(HU_retExp&gt;0,A116-1&gt;=HU_dtr),HU_retExp,HU_exp0)*R116)</f>
        <v/>
      </c>
      <c r="Z116" s="29">
        <f>-Y116-IF(AND(HU_wdEDUOn,A116=HU_wdEDUYear),HU_wdEDUAmt,0)-IF(AND(HU_wdSAVOn,A116=HU_wdSAVYear),HU_wdSAVAmt,0)-IF(AND(HU_wdPRPOn,A116=HU_wdPRPYear),HU_wdPRPAmt,0)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44</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1-P116/INDEX($P$73:$P$155,MAX(1,A117-HU_ciYears))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S117+U117+IF(AND(HU_wdSAVOn,A117=HU_wdSAVYear),HU_wdSAVAmt,0)+IF(AND(HU_wdPRPOn,A117=HU_wdPRPYear),HU_wdPRPAmt,0)</f>
        <v/>
      </c>
      <c r="W117" s="60">
        <f>HU_ciProp*Q117+HU_tpdCut*L117+HU_disCut*O117</f>
        <v/>
      </c>
      <c r="X117" s="29">
        <f>IF(OR(A117&lt;1,A117&gt;HU_T),0,V117*(1-W117))</f>
        <v/>
      </c>
      <c r="Y117" s="29">
        <f>IF(OR(A117&lt;1,A117&gt;HU_T),0,IF(AND(HU_retExp&gt;0,A117-1&gt;=HU_dtr),HU_retExp,HU_exp0)*R117)</f>
        <v/>
      </c>
      <c r="Z117" s="29">
        <f>-Y117-IF(AND(HU_wdEDUOn,A117=HU_wdEDUYear),HU_wdEDUAmt,0)-IF(AND(HU_wdSAVOn,A117=HU_wdSAVYear),HU_wdSAVAmt,0)-IF(AND(HU_wdPRPOn,A117=HU_wdPRPYear),HU_wdPRPAmt,0)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45</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1-P117/INDEX($P$73:$P$155,MAX(1,A118-HU_ciYears))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S118+U118+IF(AND(HU_wdSAVOn,A118=HU_wdSAVYear),HU_wdSAVAmt,0)+IF(AND(HU_wdPRPOn,A118=HU_wdPRPYear),HU_wdPRPAmt,0)</f>
        <v/>
      </c>
      <c r="W118" s="60">
        <f>HU_ciProp*Q118+HU_tpdCut*L118+HU_disCut*O118</f>
        <v/>
      </c>
      <c r="X118" s="29">
        <f>IF(OR(A118&lt;1,A118&gt;HU_T),0,V118*(1-W118))</f>
        <v/>
      </c>
      <c r="Y118" s="29">
        <f>IF(OR(A118&lt;1,A118&gt;HU_T),0,IF(AND(HU_retExp&gt;0,A118-1&gt;=HU_dtr),HU_retExp,HU_exp0)*R118)</f>
        <v/>
      </c>
      <c r="Z118" s="29">
        <f>-Y118-IF(AND(HU_wdEDUOn,A118=HU_wdEDUYear),HU_wdEDUAmt,0)-IF(AND(HU_wdSAVOn,A118=HU_wdSAVYear),HU_wdSAVAmt,0)-IF(AND(HU_wdPRPOn,A118=HU_wdPRPYear),HU_wdPRPAmt,0)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46</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1-P118/INDEX($P$73:$P$155,MAX(1,A119-HU_ciYears))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S119+U119+IF(AND(HU_wdSAVOn,A119=HU_wdSAVYear),HU_wdSAVAmt,0)+IF(AND(HU_wdPRPOn,A119=HU_wdPRPYear),HU_wdPRPAmt,0)</f>
        <v/>
      </c>
      <c r="W119" s="60">
        <f>HU_ciProp*Q119+HU_tpdCut*L119+HU_disCut*O119</f>
        <v/>
      </c>
      <c r="X119" s="29">
        <f>IF(OR(A119&lt;1,A119&gt;HU_T),0,V119*(1-W119))</f>
        <v/>
      </c>
      <c r="Y119" s="29">
        <f>IF(OR(A119&lt;1,A119&gt;HU_T),0,IF(AND(HU_retExp&gt;0,A119-1&gt;=HU_dtr),HU_retExp,HU_exp0)*R119)</f>
        <v/>
      </c>
      <c r="Z119" s="29">
        <f>-Y119-IF(AND(HU_wdEDUOn,A119=HU_wdEDUYear),HU_wdEDUAmt,0)-IF(AND(HU_wdSAVOn,A119=HU_wdSAVYear),HU_wdSAVAmt,0)-IF(AND(HU_wdPRPOn,A119=HU_wdPRPYear),HU_wdPRPAmt,0)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47</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1-P119/INDEX($P$73:$P$155,MAX(1,A120-HU_ciYears))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S120+U120+IF(AND(HU_wdSAVOn,A120=HU_wdSAVYear),HU_wdSAVAmt,0)+IF(AND(HU_wdPRPOn,A120=HU_wdPRPYear),HU_wdPRPAmt,0)</f>
        <v/>
      </c>
      <c r="W120" s="60">
        <f>HU_ciProp*Q120+HU_tpdCut*L120+HU_disCut*O120</f>
        <v/>
      </c>
      <c r="X120" s="29">
        <f>IF(OR(A120&lt;1,A120&gt;HU_T),0,V120*(1-W120))</f>
        <v/>
      </c>
      <c r="Y120" s="29">
        <f>IF(OR(A120&lt;1,A120&gt;HU_T),0,IF(AND(HU_retExp&gt;0,A120-1&gt;=HU_dtr),HU_retExp,HU_exp0)*R120)</f>
        <v/>
      </c>
      <c r="Z120" s="29">
        <f>-Y120-IF(AND(HU_wdEDUOn,A120=HU_wdEDUYear),HU_wdEDUAmt,0)-IF(AND(HU_wdSAVOn,A120=HU_wdSAVYear),HU_wdSAVAmt,0)-IF(AND(HU_wdPRPOn,A120=HU_wdPRPYear),HU_wdPRPAmt,0)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48</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1-P120/INDEX($P$73:$P$155,MAX(1,A121-HU_ciYears))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S121+U121+IF(AND(HU_wdSAVOn,A121=HU_wdSAVYear),HU_wdSAVAmt,0)+IF(AND(HU_wdPRPOn,A121=HU_wdPRPYear),HU_wdPRPAmt,0)</f>
        <v/>
      </c>
      <c r="W121" s="60">
        <f>HU_ciProp*Q121+HU_tpdCut*L121+HU_disCut*O121</f>
        <v/>
      </c>
      <c r="X121" s="29">
        <f>IF(OR(A121&lt;1,A121&gt;HU_T),0,V121*(1-W121))</f>
        <v/>
      </c>
      <c r="Y121" s="29">
        <f>IF(OR(A121&lt;1,A121&gt;HU_T),0,IF(AND(HU_retExp&gt;0,A121-1&gt;=HU_dtr),HU_retExp,HU_exp0)*R121)</f>
        <v/>
      </c>
      <c r="Z121" s="29">
        <f>-Y121-IF(AND(HU_wdEDUOn,A121=HU_wdEDUYear),HU_wdEDUAmt,0)-IF(AND(HU_wdSAVOn,A121=HU_wdSAVYear),HU_wdSAVAmt,0)-IF(AND(HU_wdPRPOn,A121=HU_wdPRPYear),HU_wdPRPAmt,0)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49</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1-P121/INDEX($P$73:$P$155,MAX(1,A122-HU_ciYears))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S122+U122+IF(AND(HU_wdSAVOn,A122=HU_wdSAVYear),HU_wdSAVAmt,0)+IF(AND(HU_wdPRPOn,A122=HU_wdPRPYear),HU_wdPRPAmt,0)</f>
        <v/>
      </c>
      <c r="W122" s="60">
        <f>HU_ciProp*Q122+HU_tpdCut*L122+HU_disCut*O122</f>
        <v/>
      </c>
      <c r="X122" s="29">
        <f>IF(OR(A122&lt;1,A122&gt;HU_T),0,V122*(1-W122))</f>
        <v/>
      </c>
      <c r="Y122" s="29">
        <f>IF(OR(A122&lt;1,A122&gt;HU_T),0,IF(AND(HU_retExp&gt;0,A122-1&gt;=HU_dtr),HU_retExp,HU_exp0)*R122)</f>
        <v/>
      </c>
      <c r="Z122" s="29">
        <f>-Y122-IF(AND(HU_wdEDUOn,A122=HU_wdEDUYear),HU_wdEDUAmt,0)-IF(AND(HU_wdSAVOn,A122=HU_wdSAVYear),HU_wdSAVAmt,0)-IF(AND(HU_wdPRPOn,A122=HU_wdPRPYear),HU_wdPRPAmt,0)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50</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1-P122/INDEX($P$73:$P$155,MAX(1,A123-HU_ciYears))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S123+U123+IF(AND(HU_wdSAVOn,A123=HU_wdSAVYear),HU_wdSAVAmt,0)+IF(AND(HU_wdPRPOn,A123=HU_wdPRPYear),HU_wdPRPAmt,0)</f>
        <v/>
      </c>
      <c r="W123" s="60">
        <f>HU_ciProp*Q123+HU_tpdCut*L123+HU_disCut*O123</f>
        <v/>
      </c>
      <c r="X123" s="29">
        <f>IF(OR(A123&lt;1,A123&gt;HU_T),0,V123*(1-W123))</f>
        <v/>
      </c>
      <c r="Y123" s="29">
        <f>IF(OR(A123&lt;1,A123&gt;HU_T),0,IF(AND(HU_retExp&gt;0,A123-1&gt;=HU_dtr),HU_retExp,HU_exp0)*R123)</f>
        <v/>
      </c>
      <c r="Z123" s="29">
        <f>-Y123-IF(AND(HU_wdEDUOn,A123=HU_wdEDUYear),HU_wdEDUAmt,0)-IF(AND(HU_wdSAVOn,A123=HU_wdSAVYear),HU_wdSAVAmt,0)-IF(AND(HU_wdPRPOn,A123=HU_wdPRPYear),HU_wdPRPAmt,0)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51</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1-P123/INDEX($P$73:$P$155,MAX(1,A124-HU_ciYears))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S124+U124+IF(AND(HU_wdSAVOn,A124=HU_wdSAVYear),HU_wdSAVAmt,0)+IF(AND(HU_wdPRPOn,A124=HU_wdPRPYear),HU_wdPRPAmt,0)</f>
        <v/>
      </c>
      <c r="W124" s="60">
        <f>HU_ciProp*Q124+HU_tpdCut*L124+HU_disCut*O124</f>
        <v/>
      </c>
      <c r="X124" s="29">
        <f>IF(OR(A124&lt;1,A124&gt;HU_T),0,V124*(1-W124))</f>
        <v/>
      </c>
      <c r="Y124" s="29">
        <f>IF(OR(A124&lt;1,A124&gt;HU_T),0,IF(AND(HU_retExp&gt;0,A124-1&gt;=HU_dtr),HU_retExp,HU_exp0)*R124)</f>
        <v/>
      </c>
      <c r="Z124" s="29">
        <f>-Y124-IF(AND(HU_wdEDUOn,A124=HU_wdEDUYear),HU_wdEDUAmt,0)-IF(AND(HU_wdSAVOn,A124=HU_wdSAVYear),HU_wdSAVAmt,0)-IF(AND(HU_wdPRPOn,A124=HU_wdPRPYear),HU_wdPRPAmt,0)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52</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1-P124/INDEX($P$73:$P$155,MAX(1,A125-HU_ciYears))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S125+U125+IF(AND(HU_wdSAVOn,A125=HU_wdSAVYear),HU_wdSAVAmt,0)+IF(AND(HU_wdPRPOn,A125=HU_wdPRPYear),HU_wdPRPAmt,0)</f>
        <v/>
      </c>
      <c r="W125" s="60">
        <f>HU_ciProp*Q125+HU_tpdCut*L125+HU_disCut*O125</f>
        <v/>
      </c>
      <c r="X125" s="29">
        <f>IF(OR(A125&lt;1,A125&gt;HU_T),0,V125*(1-W125))</f>
        <v/>
      </c>
      <c r="Y125" s="29">
        <f>IF(OR(A125&lt;1,A125&gt;HU_T),0,IF(AND(HU_retExp&gt;0,A125-1&gt;=HU_dtr),HU_retExp,HU_exp0)*R125)</f>
        <v/>
      </c>
      <c r="Z125" s="29">
        <f>-Y125-IF(AND(HU_wdEDUOn,A125=HU_wdEDUYear),HU_wdEDUAmt,0)-IF(AND(HU_wdSAVOn,A125=HU_wdSAVYear),HU_wdSAVAmt,0)-IF(AND(HU_wdPRPOn,A125=HU_wdPRPYear),HU_wdPRPAmt,0)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53</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1-P125/INDEX($P$73:$P$155,MAX(1,A126-HU_ciYears))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S126+U126+IF(AND(HU_wdSAVOn,A126=HU_wdSAVYear),HU_wdSAVAmt,0)+IF(AND(HU_wdPRPOn,A126=HU_wdPRPYear),HU_wdPRPAmt,0)</f>
        <v/>
      </c>
      <c r="W126" s="60">
        <f>HU_ciProp*Q126+HU_tpdCut*L126+HU_disCut*O126</f>
        <v/>
      </c>
      <c r="X126" s="29">
        <f>IF(OR(A126&lt;1,A126&gt;HU_T),0,V126*(1-W126))</f>
        <v/>
      </c>
      <c r="Y126" s="29">
        <f>IF(OR(A126&lt;1,A126&gt;HU_T),0,IF(AND(HU_retExp&gt;0,A126-1&gt;=HU_dtr),HU_retExp,HU_exp0)*R126)</f>
        <v/>
      </c>
      <c r="Z126" s="29">
        <f>-Y126-IF(AND(HU_wdEDUOn,A126=HU_wdEDUYear),HU_wdEDUAmt,0)-IF(AND(HU_wdSAVOn,A126=HU_wdSAVYear),HU_wdSAVAmt,0)-IF(AND(HU_wdPRPOn,A126=HU_wdPRPYear),HU_wdPRPAmt,0)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54</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1-P126/INDEX($P$73:$P$155,MAX(1,A127-HU_ciYears))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S127+U127+IF(AND(HU_wdSAVOn,A127=HU_wdSAVYear),HU_wdSAVAmt,0)+IF(AND(HU_wdPRPOn,A127=HU_wdPRPYear),HU_wdPRPAmt,0)</f>
        <v/>
      </c>
      <c r="W127" s="60">
        <f>HU_ciProp*Q127+HU_tpdCut*L127+HU_disCut*O127</f>
        <v/>
      </c>
      <c r="X127" s="29">
        <f>IF(OR(A127&lt;1,A127&gt;HU_T),0,V127*(1-W127))</f>
        <v/>
      </c>
      <c r="Y127" s="29">
        <f>IF(OR(A127&lt;1,A127&gt;HU_T),0,IF(AND(HU_retExp&gt;0,A127-1&gt;=HU_dtr),HU_retExp,HU_exp0)*R127)</f>
        <v/>
      </c>
      <c r="Z127" s="29">
        <f>-Y127-IF(AND(HU_wdEDUOn,A127=HU_wdEDUYear),HU_wdEDUAmt,0)-IF(AND(HU_wdSAVOn,A127=HU_wdSAVYear),HU_wdSAVAmt,0)-IF(AND(HU_wdPRPOn,A127=HU_wdPRPYear),HU_wdPRPAmt,0)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55</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1-P127/INDEX($P$73:$P$155,MAX(1,A128-HU_ciYears))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S128+U128+IF(AND(HU_wdSAVOn,A128=HU_wdSAVYear),HU_wdSAVAmt,0)+IF(AND(HU_wdPRPOn,A128=HU_wdPRPYear),HU_wdPRPAmt,0)</f>
        <v/>
      </c>
      <c r="W128" s="60">
        <f>HU_ciProp*Q128+HU_tpdCut*L128+HU_disCut*O128</f>
        <v/>
      </c>
      <c r="X128" s="29">
        <f>IF(OR(A128&lt;1,A128&gt;HU_T),0,V128*(1-W128))</f>
        <v/>
      </c>
      <c r="Y128" s="29">
        <f>IF(OR(A128&lt;1,A128&gt;HU_T),0,IF(AND(HU_retExp&gt;0,A128-1&gt;=HU_dtr),HU_retExp,HU_exp0)*R128)</f>
        <v/>
      </c>
      <c r="Z128" s="29">
        <f>-Y128-IF(AND(HU_wdEDUOn,A128=HU_wdEDUYear),HU_wdEDUAmt,0)-IF(AND(HU_wdSAVOn,A128=HU_wdSAVYear),HU_wdSAVAmt,0)-IF(AND(HU_wdPRPOn,A128=HU_wdPRPYear),HU_wdPRPAmt,0)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56</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1-P128/INDEX($P$73:$P$155,MAX(1,A129-HU_ciYears))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S129+U129+IF(AND(HU_wdSAVOn,A129=HU_wdSAVYear),HU_wdSAVAmt,0)+IF(AND(HU_wdPRPOn,A129=HU_wdPRPYear),HU_wdPRPAmt,0)</f>
        <v/>
      </c>
      <c r="W129" s="60">
        <f>HU_ciProp*Q129+HU_tpdCut*L129+HU_disCut*O129</f>
        <v/>
      </c>
      <c r="X129" s="29">
        <f>IF(OR(A129&lt;1,A129&gt;HU_T),0,V129*(1-W129))</f>
        <v/>
      </c>
      <c r="Y129" s="29">
        <f>IF(OR(A129&lt;1,A129&gt;HU_T),0,IF(AND(HU_retExp&gt;0,A129-1&gt;=HU_dtr),HU_retExp,HU_exp0)*R129)</f>
        <v/>
      </c>
      <c r="Z129" s="29">
        <f>-Y129-IF(AND(HU_wdEDUOn,A129=HU_wdEDUYear),HU_wdEDUAmt,0)-IF(AND(HU_wdSAVOn,A129=HU_wdSAVYear),HU_wdSAVAmt,0)-IF(AND(HU_wdPRPOn,A129=HU_wdPRPYear),HU_wdPRPAmt,0)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57</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1-P129/INDEX($P$73:$P$155,MAX(1,A130-HU_ciYears))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S130+U130+IF(AND(HU_wdSAVOn,A130=HU_wdSAVYear),HU_wdSAVAmt,0)+IF(AND(HU_wdPRPOn,A130=HU_wdPRPYear),HU_wdPRPAmt,0)</f>
        <v/>
      </c>
      <c r="W130" s="60">
        <f>HU_ciProp*Q130+HU_tpdCut*L130+HU_disCut*O130</f>
        <v/>
      </c>
      <c r="X130" s="29">
        <f>IF(OR(A130&lt;1,A130&gt;HU_T),0,V130*(1-W130))</f>
        <v/>
      </c>
      <c r="Y130" s="29">
        <f>IF(OR(A130&lt;1,A130&gt;HU_T),0,IF(AND(HU_retExp&gt;0,A130-1&gt;=HU_dtr),HU_retExp,HU_exp0)*R130)</f>
        <v/>
      </c>
      <c r="Z130" s="29">
        <f>-Y130-IF(AND(HU_wdEDUOn,A130=HU_wdEDUYear),HU_wdEDUAmt,0)-IF(AND(HU_wdSAVOn,A130=HU_wdSAVYear),HU_wdSAVAmt,0)-IF(AND(HU_wdPRPOn,A130=HU_wdPRPYear),HU_wdPRPAmt,0)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58</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1-P130/INDEX($P$73:$P$155,MAX(1,A131-HU_ciYears))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S131+U131+IF(AND(HU_wdSAVOn,A131=HU_wdSAVYear),HU_wdSAVAmt,0)+IF(AND(HU_wdPRPOn,A131=HU_wdPRPYear),HU_wdPRPAmt,0)</f>
        <v/>
      </c>
      <c r="W131" s="60">
        <f>HU_ciProp*Q131+HU_tpdCut*L131+HU_disCut*O131</f>
        <v/>
      </c>
      <c r="X131" s="29">
        <f>IF(OR(A131&lt;1,A131&gt;HU_T),0,V131*(1-W131))</f>
        <v/>
      </c>
      <c r="Y131" s="29">
        <f>IF(OR(A131&lt;1,A131&gt;HU_T),0,IF(AND(HU_retExp&gt;0,A131-1&gt;=HU_dtr),HU_retExp,HU_exp0)*R131)</f>
        <v/>
      </c>
      <c r="Z131" s="29">
        <f>-Y131-IF(AND(HU_wdEDUOn,A131=HU_wdEDUYear),HU_wdEDUAmt,0)-IF(AND(HU_wdSAVOn,A131=HU_wdSAVYear),HU_wdSAVAmt,0)-IF(AND(HU_wdPRPOn,A131=HU_wdPRPYear),HU_wdPRPAmt,0)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59</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1-P131/INDEX($P$73:$P$155,MAX(1,A132-HU_ciYears))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S132+U132+IF(AND(HU_wdSAVOn,A132=HU_wdSAVYear),HU_wdSAVAmt,0)+IF(AND(HU_wdPRPOn,A132=HU_wdPRPYear),HU_wdPRPAmt,0)</f>
        <v/>
      </c>
      <c r="W132" s="60">
        <f>HU_ciProp*Q132+HU_tpdCut*L132+HU_disCut*O132</f>
        <v/>
      </c>
      <c r="X132" s="29">
        <f>IF(OR(A132&lt;1,A132&gt;HU_T),0,V132*(1-W132))</f>
        <v/>
      </c>
      <c r="Y132" s="29">
        <f>IF(OR(A132&lt;1,A132&gt;HU_T),0,IF(AND(HU_retExp&gt;0,A132-1&gt;=HU_dtr),HU_retExp,HU_exp0)*R132)</f>
        <v/>
      </c>
      <c r="Z132" s="29">
        <f>-Y132-IF(AND(HU_wdEDUOn,A132=HU_wdEDUYear),HU_wdEDUAmt,0)-IF(AND(HU_wdSAVOn,A132=HU_wdSAVYear),HU_wdSAVAmt,0)-IF(AND(HU_wdPRPOn,A132=HU_wdPRPYear),HU_wdPRPAmt,0)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60</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1-P132/INDEX($P$73:$P$155,MAX(1,A133-HU_ciYears))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S133+U133+IF(AND(HU_wdSAVOn,A133=HU_wdSAVYear),HU_wdSAVAmt,0)+IF(AND(HU_wdPRPOn,A133=HU_wdPRPYear),HU_wdPRPAmt,0)</f>
        <v/>
      </c>
      <c r="W133" s="60">
        <f>HU_ciProp*Q133+HU_tpdCut*L133+HU_disCut*O133</f>
        <v/>
      </c>
      <c r="X133" s="29">
        <f>IF(OR(A133&lt;1,A133&gt;HU_T),0,V133*(1-W133))</f>
        <v/>
      </c>
      <c r="Y133" s="29">
        <f>IF(OR(A133&lt;1,A133&gt;HU_T),0,IF(AND(HU_retExp&gt;0,A133-1&gt;=HU_dtr),HU_retExp,HU_exp0)*R133)</f>
        <v/>
      </c>
      <c r="Z133" s="29">
        <f>-Y133-IF(AND(HU_wdEDUOn,A133=HU_wdEDUYear),HU_wdEDUAmt,0)-IF(AND(HU_wdSAVOn,A133=HU_wdSAVYear),HU_wdSAVAmt,0)-IF(AND(HU_wdPRPOn,A133=HU_wdPRPYear),HU_wdPRPAmt,0)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61</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1-P133/INDEX($P$73:$P$155,MAX(1,A134-HU_ciYears))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S134+U134+IF(AND(HU_wdSAVOn,A134=HU_wdSAVYear),HU_wdSAVAmt,0)+IF(AND(HU_wdPRPOn,A134=HU_wdPRPYear),HU_wdPRPAmt,0)</f>
        <v/>
      </c>
      <c r="W134" s="60">
        <f>HU_ciProp*Q134+HU_tpdCut*L134+HU_disCut*O134</f>
        <v/>
      </c>
      <c r="X134" s="29">
        <f>IF(OR(A134&lt;1,A134&gt;HU_T),0,V134*(1-W134))</f>
        <v/>
      </c>
      <c r="Y134" s="29">
        <f>IF(OR(A134&lt;1,A134&gt;HU_T),0,IF(AND(HU_retExp&gt;0,A134-1&gt;=HU_dtr),HU_retExp,HU_exp0)*R134)</f>
        <v/>
      </c>
      <c r="Z134" s="29">
        <f>-Y134-IF(AND(HU_wdEDUOn,A134=HU_wdEDUYear),HU_wdEDUAmt,0)-IF(AND(HU_wdSAVOn,A134=HU_wdSAVYear),HU_wdSAVAmt,0)-IF(AND(HU_wdPRPOn,A134=HU_wdPRPYear),HU_wdPRPAmt,0)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62</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1-P134/INDEX($P$73:$P$155,MAX(1,A135-HU_ciYears))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S135+U135+IF(AND(HU_wdSAVOn,A135=HU_wdSAVYear),HU_wdSAVAmt,0)+IF(AND(HU_wdPRPOn,A135=HU_wdPRPYear),HU_wdPRPAmt,0)</f>
        <v/>
      </c>
      <c r="W135" s="60">
        <f>HU_ciProp*Q135+HU_tpdCut*L135+HU_disCut*O135</f>
        <v/>
      </c>
      <c r="X135" s="29">
        <f>IF(OR(A135&lt;1,A135&gt;HU_T),0,V135*(1-W135))</f>
        <v/>
      </c>
      <c r="Y135" s="29">
        <f>IF(OR(A135&lt;1,A135&gt;HU_T),0,IF(AND(HU_retExp&gt;0,A135-1&gt;=HU_dtr),HU_retExp,HU_exp0)*R135)</f>
        <v/>
      </c>
      <c r="Z135" s="29">
        <f>-Y135-IF(AND(HU_wdEDUOn,A135=HU_wdEDUYear),HU_wdEDUAmt,0)-IF(AND(HU_wdSAVOn,A135=HU_wdSAVYear),HU_wdSAVAmt,0)-IF(AND(HU_wdPRPOn,A135=HU_wdPRPYear),HU_wdPRPAmt,0)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63</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1-P135/INDEX($P$73:$P$155,MAX(1,A136-HU_ciYears))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S136+U136+IF(AND(HU_wdSAVOn,A136=HU_wdSAVYear),HU_wdSAVAmt,0)+IF(AND(HU_wdPRPOn,A136=HU_wdPRPYear),HU_wdPRPAmt,0)</f>
        <v/>
      </c>
      <c r="W136" s="60">
        <f>HU_ciProp*Q136+HU_tpdCut*L136+HU_disCut*O136</f>
        <v/>
      </c>
      <c r="X136" s="29">
        <f>IF(OR(A136&lt;1,A136&gt;HU_T),0,V136*(1-W136))</f>
        <v/>
      </c>
      <c r="Y136" s="29">
        <f>IF(OR(A136&lt;1,A136&gt;HU_T),0,IF(AND(HU_retExp&gt;0,A136-1&gt;=HU_dtr),HU_retExp,HU_exp0)*R136)</f>
        <v/>
      </c>
      <c r="Z136" s="29">
        <f>-Y136-IF(AND(HU_wdEDUOn,A136=HU_wdEDUYear),HU_wdEDUAmt,0)-IF(AND(HU_wdSAVOn,A136=HU_wdSAVYear),HU_wdSAVAmt,0)-IF(AND(HU_wdPRPOn,A136=HU_wdPRPYear),HU_wdPRPAmt,0)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64</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1-P136/INDEX($P$73:$P$155,MAX(1,A137-HU_ciYears))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S137+U137+IF(AND(HU_wdSAVOn,A137=HU_wdSAVYear),HU_wdSAVAmt,0)+IF(AND(HU_wdPRPOn,A137=HU_wdPRPYear),HU_wdPRPAmt,0)</f>
        <v/>
      </c>
      <c r="W137" s="60">
        <f>HU_ciProp*Q137+HU_tpdCut*L137+HU_disCut*O137</f>
        <v/>
      </c>
      <c r="X137" s="29">
        <f>IF(OR(A137&lt;1,A137&gt;HU_T),0,V137*(1-W137))</f>
        <v/>
      </c>
      <c r="Y137" s="29">
        <f>IF(OR(A137&lt;1,A137&gt;HU_T),0,IF(AND(HU_retExp&gt;0,A137-1&gt;=HU_dtr),HU_retExp,HU_exp0)*R137)</f>
        <v/>
      </c>
      <c r="Z137" s="29">
        <f>-Y137-IF(AND(HU_wdEDUOn,A137=HU_wdEDUYear),HU_wdEDUAmt,0)-IF(AND(HU_wdSAVOn,A137=HU_wdSAVYear),HU_wdSAVAmt,0)-IF(AND(HU_wdPRPOn,A137=HU_wdPRPYear),HU_wdPRPAmt,0)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65</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1-P137/INDEX($P$73:$P$155,MAX(1,A138-HU_ciYears))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S138+U138+IF(AND(HU_wdSAVOn,A138=HU_wdSAVYear),HU_wdSAVAmt,0)+IF(AND(HU_wdPRPOn,A138=HU_wdPRPYear),HU_wdPRPAmt,0)</f>
        <v/>
      </c>
      <c r="W138" s="60">
        <f>HU_ciProp*Q138+HU_tpdCut*L138+HU_disCut*O138</f>
        <v/>
      </c>
      <c r="X138" s="29">
        <f>IF(OR(A138&lt;1,A138&gt;HU_T),0,V138*(1-W138))</f>
        <v/>
      </c>
      <c r="Y138" s="29">
        <f>IF(OR(A138&lt;1,A138&gt;HU_T),0,IF(AND(HU_retExp&gt;0,A138-1&gt;=HU_dtr),HU_retExp,HU_exp0)*R138)</f>
        <v/>
      </c>
      <c r="Z138" s="29">
        <f>-Y138-IF(AND(HU_wdEDUOn,A138=HU_wdEDUYear),HU_wdEDUAmt,0)-IF(AND(HU_wdSAVOn,A138=HU_wdSAVYear),HU_wdSAVAmt,0)-IF(AND(HU_wdPRPOn,A138=HU_wdPRPYear),HU_wdPRPAmt,0)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66</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1-P138/INDEX($P$73:$P$155,MAX(1,A139-HU_ciYears))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S139+U139+IF(AND(HU_wdSAVOn,A139=HU_wdSAVYear),HU_wdSAVAmt,0)+IF(AND(HU_wdPRPOn,A139=HU_wdPRPYear),HU_wdPRPAmt,0)</f>
        <v/>
      </c>
      <c r="W139" s="60">
        <f>HU_ciProp*Q139+HU_tpdCut*L139+HU_disCut*O139</f>
        <v/>
      </c>
      <c r="X139" s="29">
        <f>IF(OR(A139&lt;1,A139&gt;HU_T),0,V139*(1-W139))</f>
        <v/>
      </c>
      <c r="Y139" s="29">
        <f>IF(OR(A139&lt;1,A139&gt;HU_T),0,IF(AND(HU_retExp&gt;0,A139-1&gt;=HU_dtr),HU_retExp,HU_exp0)*R139)</f>
        <v/>
      </c>
      <c r="Z139" s="29">
        <f>-Y139-IF(AND(HU_wdEDUOn,A139=HU_wdEDUYear),HU_wdEDUAmt,0)-IF(AND(HU_wdSAVOn,A139=HU_wdSAVYear),HU_wdSAVAmt,0)-IF(AND(HU_wdPRPOn,A139=HU_wdPRPYear),HU_wdPRPAmt,0)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67</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1-P139/INDEX($P$73:$P$155,MAX(1,A140-HU_ciYears))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S140+U140+IF(AND(HU_wdSAVOn,A140=HU_wdSAVYear),HU_wdSAVAmt,0)+IF(AND(HU_wdPRPOn,A140=HU_wdPRPYear),HU_wdPRPAmt,0)</f>
        <v/>
      </c>
      <c r="W140" s="60">
        <f>HU_ciProp*Q140+HU_tpdCut*L140+HU_disCut*O140</f>
        <v/>
      </c>
      <c r="X140" s="29">
        <f>IF(OR(A140&lt;1,A140&gt;HU_T),0,V140*(1-W140))</f>
        <v/>
      </c>
      <c r="Y140" s="29">
        <f>IF(OR(A140&lt;1,A140&gt;HU_T),0,IF(AND(HU_retExp&gt;0,A140-1&gt;=HU_dtr),HU_retExp,HU_exp0)*R140)</f>
        <v/>
      </c>
      <c r="Z140" s="29">
        <f>-Y140-IF(AND(HU_wdEDUOn,A140=HU_wdEDUYear),HU_wdEDUAmt,0)-IF(AND(HU_wdSAVOn,A140=HU_wdSAVYear),HU_wdSAVAmt,0)-IF(AND(HU_wdPRPOn,A140=HU_wdPRPYear),HU_wdPRPAmt,0)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68</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1-P140/INDEX($P$73:$P$155,MAX(1,A141-HU_ciYears))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S141+U141+IF(AND(HU_wdSAVOn,A141=HU_wdSAVYear),HU_wdSAVAmt,0)+IF(AND(HU_wdPRPOn,A141=HU_wdPRPYear),HU_wdPRPAmt,0)</f>
        <v/>
      </c>
      <c r="W141" s="60">
        <f>HU_ciProp*Q141+HU_tpdCut*L141+HU_disCut*O141</f>
        <v/>
      </c>
      <c r="X141" s="29">
        <f>IF(OR(A141&lt;1,A141&gt;HU_T),0,V141*(1-W141))</f>
        <v/>
      </c>
      <c r="Y141" s="29">
        <f>IF(OR(A141&lt;1,A141&gt;HU_T),0,IF(AND(HU_retExp&gt;0,A141-1&gt;=HU_dtr),HU_retExp,HU_exp0)*R141)</f>
        <v/>
      </c>
      <c r="Z141" s="29">
        <f>-Y141-IF(AND(HU_wdEDUOn,A141=HU_wdEDUYear),HU_wdEDUAmt,0)-IF(AND(HU_wdSAVOn,A141=HU_wdSAVYear),HU_wdSAVAmt,0)-IF(AND(HU_wdPRPOn,A141=HU_wdPRPYear),HU_wdPRPAmt,0)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69</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1-P141/INDEX($P$73:$P$155,MAX(1,A142-HU_ciYears))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S142+U142+IF(AND(HU_wdSAVOn,A142=HU_wdSAVYear),HU_wdSAVAmt,0)+IF(AND(HU_wdPRPOn,A142=HU_wdPRPYear),HU_wdPRPAmt,0)</f>
        <v/>
      </c>
      <c r="W142" s="60">
        <f>HU_ciProp*Q142+HU_tpdCut*L142+HU_disCut*O142</f>
        <v/>
      </c>
      <c r="X142" s="29">
        <f>IF(OR(A142&lt;1,A142&gt;HU_T),0,V142*(1-W142))</f>
        <v/>
      </c>
      <c r="Y142" s="29">
        <f>IF(OR(A142&lt;1,A142&gt;HU_T),0,IF(AND(HU_retExp&gt;0,A142-1&gt;=HU_dtr),HU_retExp,HU_exp0)*R142)</f>
        <v/>
      </c>
      <c r="Z142" s="29">
        <f>-Y142-IF(AND(HU_wdEDUOn,A142=HU_wdEDUYear),HU_wdEDUAmt,0)-IF(AND(HU_wdSAVOn,A142=HU_wdSAVYear),HU_wdSAVAmt,0)-IF(AND(HU_wdPRPOn,A142=HU_wdPRPYear),HU_wdPRPAmt,0)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70</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1-P142/INDEX($P$73:$P$155,MAX(1,A143-HU_ciYears))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S143+U143+IF(AND(HU_wdSAVOn,A143=HU_wdSAVYear),HU_wdSAVAmt,0)+IF(AND(HU_wdPRPOn,A143=HU_wdPRPYear),HU_wdPRPAmt,0)</f>
        <v/>
      </c>
      <c r="W143" s="60">
        <f>HU_ciProp*Q143+HU_tpdCut*L143+HU_disCut*O143</f>
        <v/>
      </c>
      <c r="X143" s="29">
        <f>IF(OR(A143&lt;1,A143&gt;HU_T),0,V143*(1-W143))</f>
        <v/>
      </c>
      <c r="Y143" s="29">
        <f>IF(OR(A143&lt;1,A143&gt;HU_T),0,IF(AND(HU_retExp&gt;0,A143-1&gt;=HU_dtr),HU_retExp,HU_exp0)*R143)</f>
        <v/>
      </c>
      <c r="Z143" s="29">
        <f>-Y143-IF(AND(HU_wdEDUOn,A143=HU_wdEDUYear),HU_wdEDUAmt,0)-IF(AND(HU_wdSAVOn,A143=HU_wdSAVYear),HU_wdSAVAmt,0)-IF(AND(HU_wdPRPOn,A143=HU_wdPRPYear),HU_wdPRPAmt,0)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71</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1-P143/INDEX($P$73:$P$155,MAX(1,A144-HU_ciYears))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S144+U144+IF(AND(HU_wdSAVOn,A144=HU_wdSAVYear),HU_wdSAVAmt,0)+IF(AND(HU_wdPRPOn,A144=HU_wdPRPYear),HU_wdPRPAmt,0)</f>
        <v/>
      </c>
      <c r="W144" s="60">
        <f>HU_ciProp*Q144+HU_tpdCut*L144+HU_disCut*O144</f>
        <v/>
      </c>
      <c r="X144" s="29">
        <f>IF(OR(A144&lt;1,A144&gt;HU_T),0,V144*(1-W144))</f>
        <v/>
      </c>
      <c r="Y144" s="29">
        <f>IF(OR(A144&lt;1,A144&gt;HU_T),0,IF(AND(HU_retExp&gt;0,A144-1&gt;=HU_dtr),HU_retExp,HU_exp0)*R144)</f>
        <v/>
      </c>
      <c r="Z144" s="29">
        <f>-Y144-IF(AND(HU_wdEDUOn,A144=HU_wdEDUYear),HU_wdEDUAmt,0)-IF(AND(HU_wdSAVOn,A144=HU_wdSAVYear),HU_wdSAVAmt,0)-IF(AND(HU_wdPRPOn,A144=HU_wdPRPYear),HU_wdPRPAmt,0)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72</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1-P144/INDEX($P$73:$P$155,MAX(1,A145-HU_ciYears))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S145+U145+IF(AND(HU_wdSAVOn,A145=HU_wdSAVYear),HU_wdSAVAmt,0)+IF(AND(HU_wdPRPOn,A145=HU_wdPRPYear),HU_wdPRPAmt,0)</f>
        <v/>
      </c>
      <c r="W145" s="60">
        <f>HU_ciProp*Q145+HU_tpdCut*L145+HU_disCut*O145</f>
        <v/>
      </c>
      <c r="X145" s="29">
        <f>IF(OR(A145&lt;1,A145&gt;HU_T),0,V145*(1-W145))</f>
        <v/>
      </c>
      <c r="Y145" s="29">
        <f>IF(OR(A145&lt;1,A145&gt;HU_T),0,IF(AND(HU_retExp&gt;0,A145-1&gt;=HU_dtr),HU_retExp,HU_exp0)*R145)</f>
        <v/>
      </c>
      <c r="Z145" s="29">
        <f>-Y145-IF(AND(HU_wdEDUOn,A145=HU_wdEDUYear),HU_wdEDUAmt,0)-IF(AND(HU_wdSAVOn,A145=HU_wdSAVYear),HU_wdSAVAmt,0)-IF(AND(HU_wdPRPOn,A145=HU_wdPRPYear),HU_wdPRPAmt,0)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73</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1-P145/INDEX($P$73:$P$155,MAX(1,A146-HU_ciYears))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S146+U146+IF(AND(HU_wdSAVOn,A146=HU_wdSAVYear),HU_wdSAVAmt,0)+IF(AND(HU_wdPRPOn,A146=HU_wdPRPYear),HU_wdPRPAmt,0)</f>
        <v/>
      </c>
      <c r="W146" s="60">
        <f>HU_ciProp*Q146+HU_tpdCut*L146+HU_disCut*O146</f>
        <v/>
      </c>
      <c r="X146" s="29">
        <f>IF(OR(A146&lt;1,A146&gt;HU_T),0,V146*(1-W146))</f>
        <v/>
      </c>
      <c r="Y146" s="29">
        <f>IF(OR(A146&lt;1,A146&gt;HU_T),0,IF(AND(HU_retExp&gt;0,A146-1&gt;=HU_dtr),HU_retExp,HU_exp0)*R146)</f>
        <v/>
      </c>
      <c r="Z146" s="29">
        <f>-Y146-IF(AND(HU_wdEDUOn,A146=HU_wdEDUYear),HU_wdEDUAmt,0)-IF(AND(HU_wdSAVOn,A146=HU_wdSAVYear),HU_wdSAVAmt,0)-IF(AND(HU_wdPRPOn,A146=HU_wdPRPYear),HU_wdPRPAmt,0)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74</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1-P146/INDEX($P$73:$P$155,MAX(1,A147-HU_ciYears))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S147+U147+IF(AND(HU_wdSAVOn,A147=HU_wdSAVYear),HU_wdSAVAmt,0)+IF(AND(HU_wdPRPOn,A147=HU_wdPRPYear),HU_wdPRPAmt,0)</f>
        <v/>
      </c>
      <c r="W147" s="60">
        <f>HU_ciProp*Q147+HU_tpdCut*L147+HU_disCut*O147</f>
        <v/>
      </c>
      <c r="X147" s="29">
        <f>IF(OR(A147&lt;1,A147&gt;HU_T),0,V147*(1-W147))</f>
        <v/>
      </c>
      <c r="Y147" s="29">
        <f>IF(OR(A147&lt;1,A147&gt;HU_T),0,IF(AND(HU_retExp&gt;0,A147-1&gt;=HU_dtr),HU_retExp,HU_exp0)*R147)</f>
        <v/>
      </c>
      <c r="Z147" s="29">
        <f>-Y147-IF(AND(HU_wdEDUOn,A147=HU_wdEDUYear),HU_wdEDUAmt,0)-IF(AND(HU_wdSAVOn,A147=HU_wdSAVYear),HU_wdSAVAmt,0)-IF(AND(HU_wdPRPOn,A147=HU_wdPRPYear),HU_wdPRPAmt,0)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75</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1-P147/INDEX($P$73:$P$155,MAX(1,A148-HU_ciYears))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S148+U148+IF(AND(HU_wdSAVOn,A148=HU_wdSAVYear),HU_wdSAVAmt,0)+IF(AND(HU_wdPRPOn,A148=HU_wdPRPYear),HU_wdPRPAmt,0)</f>
        <v/>
      </c>
      <c r="W148" s="60">
        <f>HU_ciProp*Q148+HU_tpdCut*L148+HU_disCut*O148</f>
        <v/>
      </c>
      <c r="X148" s="29">
        <f>IF(OR(A148&lt;1,A148&gt;HU_T),0,V148*(1-W148))</f>
        <v/>
      </c>
      <c r="Y148" s="29">
        <f>IF(OR(A148&lt;1,A148&gt;HU_T),0,IF(AND(HU_retExp&gt;0,A148-1&gt;=HU_dtr),HU_retExp,HU_exp0)*R148)</f>
        <v/>
      </c>
      <c r="Z148" s="29">
        <f>-Y148-IF(AND(HU_wdEDUOn,A148=HU_wdEDUYear),HU_wdEDUAmt,0)-IF(AND(HU_wdSAVOn,A148=HU_wdSAVYear),HU_wdSAVAmt,0)-IF(AND(HU_wdPRPOn,A148=HU_wdPRPYear),HU_wdPRPAmt,0)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76</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1-P148/INDEX($P$73:$P$155,MAX(1,A149-HU_ciYears))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S149+U149+IF(AND(HU_wdSAVOn,A149=HU_wdSAVYear),HU_wdSAVAmt,0)+IF(AND(HU_wdPRPOn,A149=HU_wdPRPYear),HU_wdPRPAmt,0)</f>
        <v/>
      </c>
      <c r="W149" s="60">
        <f>HU_ciProp*Q149+HU_tpdCut*L149+HU_disCut*O149</f>
        <v/>
      </c>
      <c r="X149" s="29">
        <f>IF(OR(A149&lt;1,A149&gt;HU_T),0,V149*(1-W149))</f>
        <v/>
      </c>
      <c r="Y149" s="29">
        <f>IF(OR(A149&lt;1,A149&gt;HU_T),0,IF(AND(HU_retExp&gt;0,A149-1&gt;=HU_dtr),HU_retExp,HU_exp0)*R149)</f>
        <v/>
      </c>
      <c r="Z149" s="29">
        <f>-Y149-IF(AND(HU_wdEDUOn,A149=HU_wdEDUYear),HU_wdEDUAmt,0)-IF(AND(HU_wdSAVOn,A149=HU_wdSAVYear),HU_wdSAVAmt,0)-IF(AND(HU_wdPRPOn,A149=HU_wdPRPYear),HU_wdPRPAmt,0)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77</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1-P149/INDEX($P$73:$P$155,MAX(1,A150-HU_ciYears))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S150+U150+IF(AND(HU_wdSAVOn,A150=HU_wdSAVYear),HU_wdSAVAmt,0)+IF(AND(HU_wdPRPOn,A150=HU_wdPRPYear),HU_wdPRPAmt,0)</f>
        <v/>
      </c>
      <c r="W150" s="60">
        <f>HU_ciProp*Q150+HU_tpdCut*L150+HU_disCut*O150</f>
        <v/>
      </c>
      <c r="X150" s="29">
        <f>IF(OR(A150&lt;1,A150&gt;HU_T),0,V150*(1-W150))</f>
        <v/>
      </c>
      <c r="Y150" s="29">
        <f>IF(OR(A150&lt;1,A150&gt;HU_T),0,IF(AND(HU_retExp&gt;0,A150-1&gt;=HU_dtr),HU_retExp,HU_exp0)*R150)</f>
        <v/>
      </c>
      <c r="Z150" s="29">
        <f>-Y150-IF(AND(HU_wdEDUOn,A150=HU_wdEDUYear),HU_wdEDUAmt,0)-IF(AND(HU_wdSAVOn,A150=HU_wdSAVYear),HU_wdSAVAmt,0)-IF(AND(HU_wdPRPOn,A150=HU_wdPRPYear),HU_wdPRPAmt,0)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row r="151">
      <c r="A151" s="61" t="n">
        <v>78</v>
      </c>
      <c r="B151" s="61">
        <f>HU_age+A151</f>
        <v/>
      </c>
      <c r="C151" s="52">
        <f>A151&lt;=HU_T</f>
        <v/>
      </c>
      <c r="D151" s="63">
        <f>IF(OR(A151&lt;1,A151&gt;HU_T),0,INDEX(HU_q_mort,HU_age+A151-17,HU_col))</f>
        <v/>
      </c>
      <c r="E151" s="63">
        <f>IF(OR(A151&lt;1,A151&gt;HU_T),0,INDEX(HU_q_adb,HU_age+A151-17,HU_col))</f>
        <v/>
      </c>
      <c r="F151" s="63">
        <f>IF(OR(A151&lt;1,A151&gt;HU_T),0,INDEX(HU_q_morb,HU_age+A151-17,HU_col))</f>
        <v/>
      </c>
      <c r="G151" s="63">
        <f>IF(OR(A151&lt;1,A151&gt;HU_T),0,INDEX(HU_q_ptd,HU_age+A151-17,HU_col))</f>
        <v/>
      </c>
      <c r="H151" s="63">
        <f>IF(OR(A151&lt;1,A151&gt;HU_T),0,INDEX(HU_q_dis,HU_age+A151-17,HU_col))</f>
        <v/>
      </c>
      <c r="I151" s="63">
        <f>IF(A151&gt;HU_T,0,I150*(1-D151)*(1-E151))</f>
        <v/>
      </c>
      <c r="J151" s="63">
        <f>IF(A151&gt;=HU_T,0,N(I152))</f>
        <v/>
      </c>
      <c r="K151" s="63">
        <f>K150*(1-G151)</f>
        <v/>
      </c>
      <c r="L151" s="63">
        <f>1-K151</f>
        <v/>
      </c>
      <c r="M151" s="63">
        <f>K150*G151</f>
        <v/>
      </c>
      <c r="N151" s="63">
        <f>N150*(1-H151)</f>
        <v/>
      </c>
      <c r="O151" s="63">
        <f>1-N150</f>
        <v/>
      </c>
      <c r="P151" s="63">
        <f>P150*(1-F151)</f>
        <v/>
      </c>
      <c r="Q151" s="63">
        <f>1-P150/INDEX($P$73:$P$155,MAX(1,A151-HU_ciYears))</f>
        <v/>
      </c>
      <c r="R151" s="60">
        <f>(1+inflationRate)^A151</f>
        <v/>
      </c>
      <c r="S151" s="29">
        <f>IF(OR(OR(A151&lt;1,A151&gt;HU_T),A151-1&gt;=HU_dtr),0,HU_inc0*(1+incomeGrowthRate)^A151)</f>
        <v/>
      </c>
      <c r="T151" s="60">
        <f>IF(A151&gt;HU_T,T150,T150*(1+INDEX(HU_ssG,HU_age+A151-17)))</f>
        <v/>
      </c>
      <c r="U151" s="29">
        <f>IF(AND(HU_dtr&gt;=1,A151=HU_dtr,A151&lt;=HU_T),MIN(S151*INDEX(HU_ssC,HU_age+A151-17)/(1-INDEX(HU_ssC,HU_age+A151-17)),INDEX(HU_ssCap,HU_age+A151-17))*T151,0)</f>
        <v/>
      </c>
      <c r="V151" s="29">
        <f>S151+U151+IF(AND(HU_wdSAVOn,A151=HU_wdSAVYear),HU_wdSAVAmt,0)+IF(AND(HU_wdPRPOn,A151=HU_wdPRPYear),HU_wdPRPAmt,0)</f>
        <v/>
      </c>
      <c r="W151" s="60">
        <f>HU_ciProp*Q151+HU_tpdCut*L151+HU_disCut*O151</f>
        <v/>
      </c>
      <c r="X151" s="29">
        <f>IF(OR(A151&lt;1,A151&gt;HU_T),0,V151*(1-W151))</f>
        <v/>
      </c>
      <c r="Y151" s="29">
        <f>IF(OR(A151&lt;1,A151&gt;HU_T),0,IF(AND(HU_retExp&gt;0,A151-1&gt;=HU_dtr),HU_retExp,HU_exp0)*R151)</f>
        <v/>
      </c>
      <c r="Z151" s="29">
        <f>-Y151-IF(AND(HU_wdEDUOn,A151=HU_wdEDUYear),HU_wdEDUAmt,0)-IF(AND(HU_wdSAVOn,A151=HU_wdSAVYear),HU_wdSAVAmt,0)-IF(AND(HU_wdPRPOn,A151=HU_wdPRPYear),HU_wdPRPAmt,0)</f>
        <v/>
      </c>
      <c r="AA151" s="29">
        <f>IF(OR(A151&lt;1,A151&gt;HU_T),0,-HU_medCost*R151*F151-HU_tpdCost*R151*M151)</f>
        <v/>
      </c>
      <c r="AB151" s="29">
        <f>IF(A151&gt;HU_T,0,AB150*(1+interestRate)+X151+Z151+AA151)</f>
        <v/>
      </c>
      <c r="AC151" s="29">
        <f>IF(A151&gt;HU_T,0,HU_inv*EXP(HU_mu*A151))</f>
        <v/>
      </c>
      <c r="AD151" s="29">
        <f>IF(A151&gt;HU_T,0,MAX(0,AC151+AB151))</f>
        <v/>
      </c>
      <c r="AE151" s="29">
        <f>IF(A151&gt;HU_T,0,MAX(0,X151-Y151))</f>
        <v/>
      </c>
      <c r="AF151" s="63">
        <f>IF(AND($J$6,A151&gt;=1,A151&lt;=$Q$6-1),J151,0)</f>
        <v/>
      </c>
      <c r="AG151" s="29">
        <f>IF(OR(AF151=0,$S$6=0),0,IF((AD151+$L$6)&gt;$S$6/HU_alpha+$K$6,0.5*$S$6/HU_alpha,IF((AD151+$L$6)&gt;=$K$6,((AD151+$L$6)-$K$6)-0.5*HU_alpha/$S$6*((AD151+$L$6)-$K$6)^2,IF((AD151+$L$6)&gt;=$T$6,HU_beta*((AD151+$L$6)-$K$6),HU_beta*($T$6-$K$6)))))</f>
        <v/>
      </c>
      <c r="AH151" s="29">
        <f>IF(OR(AF151=0,$S$6=0),0,IF((AD151+$L$6+$N$6)&gt;$S$6/HU_alpha+$K$6,0.5*$S$6/HU_alpha,IF((AD151+$L$6+$N$6)&gt;=$K$6,((AD151+$L$6+$N$6)-$K$6)-0.5*HU_alpha/$S$6*((AD151+$L$6+$N$6)-$K$6)^2,IF((AD151+$L$6+$N$6)&gt;=$T$6,HU_beta*((AD151+$L$6+$N$6)-$K$6),HU_beta*($T$6-$K$6)))))</f>
        <v/>
      </c>
      <c r="AI151" s="29">
        <f>IF(OR(AF151=0,$S$6=0),0,IF((AD151+$K$6)&gt;$S$6/HU_alpha+$K$6,0.5*$S$6/HU_alpha,IF((AD151+$K$6)&gt;=$K$6,((AD151+$K$6)-$K$6)-0.5*HU_alpha/$S$6*((AD151+$K$6)-$K$6)^2,IF((AD151+$K$6)&gt;=$T$6,HU_beta*((AD151+$K$6)-$K$6),HU_beta*($T$6-$K$6)))))</f>
        <v/>
      </c>
      <c r="AJ151" s="63">
        <f>IF(AND($J$7,A151&gt;=1,A151&lt;=$Q$7-1),J151,0)</f>
        <v/>
      </c>
      <c r="AK151" s="29">
        <f>IF(OR(AJ151=0,$S$7=0),0,IF((AE151+$L$7)&gt;$S$7/HU_alpha+$K$7,0.5*$S$7/HU_alpha,IF((AE151+$L$7)&gt;=$K$7,((AE151+$L$7)-$K$7)-0.5*HU_alpha/$S$7*((AE151+$L$7)-$K$7)^2,IF((AE151+$L$7)&gt;=$T$7,HU_beta*((AE151+$L$7)-$K$7),HU_beta*($T$7-$K$7)))))</f>
        <v/>
      </c>
      <c r="AL151" s="29">
        <f>IF(OR(AJ151=0,$S$7=0),0,IF((AE151+$L$7+$N$7)&gt;$S$7/HU_alpha+$K$7,0.5*$S$7/HU_alpha,IF((AE151+$L$7+$N$7)&gt;=$K$7,((AE151+$L$7+$N$7)-$K$7)-0.5*HU_alpha/$S$7*((AE151+$L$7+$N$7)-$K$7)^2,IF((AE151+$L$7+$N$7)&gt;=$T$7,HU_beta*((AE151+$L$7+$N$7)-$K$7),HU_beta*($T$7-$K$7)))))</f>
        <v/>
      </c>
      <c r="AM151" s="29">
        <f>IF(OR(AJ151=0,$S$7=0),0,IF((AE151+$K$7)&gt;$S$7/HU_alpha+$K$7,0.5*$S$7/HU_alpha,IF((AE151+$K$7)&gt;=$K$7,((AE151+$K$7)-$K$7)-0.5*HU_alpha/$S$7*((AE151+$K$7)-$K$7)^2,IF((AE151+$K$7)&gt;=$T$7,HU_beta*((AE151+$K$7)-$K$7),HU_beta*($T$7-$K$7)))))</f>
        <v/>
      </c>
      <c r="AN151" s="63">
        <f>IF(AND($J$8,A151&gt;=1,A151&lt;=$Q$8-1),J151,0)</f>
        <v/>
      </c>
      <c r="AO151" s="29">
        <f>IF(OR(AN151=0,$S$8=0),0,IF((AE151+$L$8)&gt;$S$8/HU_alpha+$K$8,0.5*$S$8/HU_alpha,IF((AE151+$L$8)&gt;=$K$8,((AE151+$L$8)-$K$8)-0.5*HU_alpha/$S$8*((AE151+$L$8)-$K$8)^2,IF((AE151+$L$8)&gt;=$T$8,HU_beta*((AE151+$L$8)-$K$8),HU_beta*($T$8-$K$8)))))</f>
        <v/>
      </c>
      <c r="AP151" s="29">
        <f>IF(OR(AN151=0,$S$8=0),0,IF((AE151+$L$8+$N$8)&gt;$S$8/HU_alpha+$K$8,0.5*$S$8/HU_alpha,IF((AE151+$L$8+$N$8)&gt;=$K$8,((AE151+$L$8+$N$8)-$K$8)-0.5*HU_alpha/$S$8*((AE151+$L$8+$N$8)-$K$8)^2,IF((AE151+$L$8+$N$8)&gt;=$T$8,HU_beta*((AE151+$L$8+$N$8)-$K$8),HU_beta*($T$8-$K$8)))))</f>
        <v/>
      </c>
      <c r="AQ151" s="29">
        <f>IF(OR(AN151=0,$S$8=0),0,IF((AE151+$K$8)&gt;$S$8/HU_alpha+$K$8,0.5*$S$8/HU_alpha,IF((AE151+$K$8)&gt;=$K$8,((AE151+$K$8)-$K$8)-0.5*HU_alpha/$S$8*((AE151+$K$8)-$K$8)^2,IF((AE151+$K$8)&gt;=$T$8,HU_beta*((AE151+$K$8)-$K$8),HU_beta*($T$8-$K$8)))))</f>
        <v/>
      </c>
      <c r="AR151" s="63">
        <f>IF(AND($J$9,A151&gt;=1,A151&lt;=$Q$9-1),J151,0)</f>
        <v/>
      </c>
      <c r="AS151" s="29">
        <f>IF(OR(AR151=0,$S$9=0),0,IF((AE151+$L$9)&gt;$S$9/HU_alpha+$K$9,0.5*$S$9/HU_alpha,IF((AE151+$L$9)&gt;=$K$9,((AE151+$L$9)-$K$9)-0.5*HU_alpha/$S$9*((AE151+$L$9)-$K$9)^2,IF((AE151+$L$9)&gt;=$T$9,HU_beta*((AE151+$L$9)-$K$9),HU_beta*($T$9-$K$9)))))</f>
        <v/>
      </c>
      <c r="AT151" s="29">
        <f>IF(OR(AR151=0,$S$9=0),0,IF((AE151+$L$9+$N$9)&gt;$S$9/HU_alpha+$K$9,0.5*$S$9/HU_alpha,IF((AE151+$L$9+$N$9)&gt;=$K$9,((AE151+$L$9+$N$9)-$K$9)-0.5*HU_alpha/$S$9*((AE151+$L$9+$N$9)-$K$9)^2,IF((AE151+$L$9+$N$9)&gt;=$T$9,HU_beta*((AE151+$L$9+$N$9)-$K$9),HU_beta*($T$9-$K$9)))))</f>
        <v/>
      </c>
      <c r="AU151" s="29">
        <f>IF(OR(AR151=0,$S$9=0),0,IF((AE151+$K$9)&gt;$S$9/HU_alpha+$K$9,0.5*$S$9/HU_alpha,IF((AE151+$K$9)&gt;=$K$9,((AE151+$K$9)-$K$9)-0.5*HU_alpha/$S$9*((AE151+$K$9)-$K$9)^2,IF((AE151+$K$9)&gt;=$T$9,HU_beta*((AE151+$K$9)-$K$9),HU_beta*($T$9-$K$9)))))</f>
        <v/>
      </c>
      <c r="AV151" s="63">
        <f>IF(AND($J$10,A151=$Q$10),J151,0)</f>
        <v/>
      </c>
      <c r="AW151" s="29">
        <f>IF(OR(AV151=0,$S$10=0),0,IF((AD151+$L$10)&gt;$S$10/HU_alpha+$K$10,0.5*$S$10/HU_alpha,IF((AD151+$L$10)&gt;=$K$10,((AD151+$L$10)-$K$10)-0.5*HU_alpha/$S$10*((AD151+$L$10)-$K$10)^2,IF((AD151+$L$10)&gt;=$T$10,HU_beta*((AD151+$L$10)-$K$10),HU_beta*($T$10-$K$10)))))</f>
        <v/>
      </c>
      <c r="AX151" s="29">
        <f>IF(OR(AV151=0,$S$10=0),0,IF((AD151+$L$10+$N$10)&gt;$S$10/HU_alpha+$K$10,0.5*$S$10/HU_alpha,IF((AD151+$L$10+$N$10)&gt;=$K$10,((AD151+$L$10+$N$10)-$K$10)-0.5*HU_alpha/$S$10*((AD151+$L$10+$N$10)-$K$10)^2,IF((AD151+$L$10+$N$10)&gt;=$T$10,HU_beta*((AD151+$L$10+$N$10)-$K$10),HU_beta*($T$10-$K$10)))))</f>
        <v/>
      </c>
      <c r="AY151" s="29">
        <f>IF(OR(AV151=0,$S$10=0),0,IF((AD151+$K$10)&gt;$S$10/HU_alpha+$K$10,0.5*$S$10/HU_alpha,IF((AD151+$K$10)&gt;=$K$10,((AD151+$K$10)-$K$10)-0.5*HU_alpha/$S$10*((AD151+$K$10)-$K$10)^2,IF((AD151+$K$10)&gt;=$T$10,HU_beta*((AD151+$K$10)-$K$10),HU_beta*($T$10-$K$10)))))</f>
        <v/>
      </c>
      <c r="AZ151" s="63">
        <f>IF(AND($J$11,A151=$Q$11),J151,0)</f>
        <v/>
      </c>
      <c r="BA151" s="29">
        <f>IF(OR(AZ151=0,$S$11=0),0,IF((AE151+$L$11)&gt;$S$11/HU_alpha+$K$11,0.5*$S$11/HU_alpha,IF((AE151+$L$11)&gt;=$K$11,((AE151+$L$11)-$K$11)-0.5*HU_alpha/$S$11*((AE151+$L$11)-$K$11)^2,IF((AE151+$L$11)&gt;=$T$11,HU_beta*((AE151+$L$11)-$K$11),HU_beta*($T$11-$K$11)))))</f>
        <v/>
      </c>
      <c r="BB151" s="29">
        <f>IF(OR(AZ151=0,$S$11=0),0,IF((AE151+$L$11+$N$11)&gt;$S$11/HU_alpha+$K$11,0.5*$S$11/HU_alpha,IF((AE151+$L$11+$N$11)&gt;=$K$11,((AE151+$L$11+$N$11)-$K$11)-0.5*HU_alpha/$S$11*((AE151+$L$11+$N$11)-$K$11)^2,IF((AE151+$L$11+$N$11)&gt;=$T$11,HU_beta*((AE151+$L$11+$N$11)-$K$11),HU_beta*($T$11-$K$11)))))</f>
        <v/>
      </c>
      <c r="BC151" s="29">
        <f>IF(OR(AZ151=0,$S$11=0),0,IF((AE151+$K$11)&gt;$S$11/HU_alpha+$K$11,0.5*$S$11/HU_alpha,IF((AE151+$K$11)&gt;=$K$11,((AE151+$K$11)-$K$11)-0.5*HU_alpha/$S$11*((AE151+$K$11)-$K$11)^2,IF((AE151+$K$11)&gt;=$T$11,HU_beta*((AE151+$K$11)-$K$11),HU_beta*($T$11-$K$11)))))</f>
        <v/>
      </c>
      <c r="BD151" s="63">
        <f>IF(AND($J$12,A151=$Q$12),J151,0)</f>
        <v/>
      </c>
      <c r="BE151" s="29">
        <f>IF(OR(BD151=0,$S$12=0),0,IF((AE151+$L$12)&gt;$S$12/HU_alpha+$K$12,0.5*$S$12/HU_alpha,IF((AE151+$L$12)&gt;=$K$12,((AE151+$L$12)-$K$12)-0.5*HU_alpha/$S$12*((AE151+$L$12)-$K$12)^2,IF((AE151+$L$12)&gt;=$T$12,HU_beta*((AE151+$L$12)-$K$12),HU_beta*($T$12-$K$12)))))</f>
        <v/>
      </c>
      <c r="BF151" s="29">
        <f>IF(OR(BD151=0,$S$12=0),0,IF((AE151+$L$12+$N$12)&gt;$S$12/HU_alpha+$K$12,0.5*$S$12/HU_alpha,IF((AE151+$L$12+$N$12)&gt;=$K$12,((AE151+$L$12+$N$12)-$K$12)-0.5*HU_alpha/$S$12*((AE151+$L$12+$N$12)-$K$12)^2,IF((AE151+$L$12+$N$12)&gt;=$T$12,HU_beta*((AE151+$L$12+$N$12)-$K$12),HU_beta*($T$12-$K$12)))))</f>
        <v/>
      </c>
      <c r="BG151" s="29">
        <f>IF(OR(BD151=0,$S$12=0),0,IF((AE151+$K$12)&gt;$S$12/HU_alpha+$K$12,0.5*$S$12/HU_alpha,IF((AE151+$K$12)&gt;=$K$12,((AE151+$K$12)-$K$12)-0.5*HU_alpha/$S$12*((AE151+$K$12)-$K$12)^2,IF((AE151+$K$12)&gt;=$T$12,HU_beta*((AE151+$K$12)-$K$12),HU_beta*($T$12-$K$12)))))</f>
        <v/>
      </c>
      <c r="BH151" s="63">
        <f>IF(AND($J$13,A151=$Q$13),J151,0)</f>
        <v/>
      </c>
      <c r="BI151" s="29">
        <f>IF(OR(BH151=0,$S$13=0),0,IF((AE151+$L$13)&gt;$S$13/HU_alpha+$K$13,0.5*$S$13/HU_alpha,IF((AE151+$L$13)&gt;=$K$13,((AE151+$L$13)-$K$13)-0.5*HU_alpha/$S$13*((AE151+$L$13)-$K$13)^2,IF((AE151+$L$13)&gt;=$T$13,HU_beta*((AE151+$L$13)-$K$13),HU_beta*($T$13-$K$13)))))</f>
        <v/>
      </c>
      <c r="BJ151" s="29">
        <f>IF(OR(BH151=0,$S$13=0),0,IF((AE151+$L$13+$N$13)&gt;$S$13/HU_alpha+$K$13,0.5*$S$13/HU_alpha,IF((AE151+$L$13+$N$13)&gt;=$K$13,((AE151+$L$13+$N$13)-$K$13)-0.5*HU_alpha/$S$13*((AE151+$L$13+$N$13)-$K$13)^2,IF((AE151+$L$13+$N$13)&gt;=$T$13,HU_beta*((AE151+$L$13+$N$13)-$K$13),HU_beta*($T$13-$K$13)))))</f>
        <v/>
      </c>
      <c r="BK151" s="29">
        <f>IF(OR(BH151=0,$S$13=0),0,IF((AE151+$K$13)&gt;$S$13/HU_alpha+$K$13,0.5*$S$13/HU_alpha,IF((AE151+$K$13)&gt;=$K$13,((AE151+$K$13)-$K$13)-0.5*HU_alpha/$S$13*((AE151+$K$13)-$K$13)^2,IF((AE151+$K$13)&gt;=$T$13,HU_beta*((AE151+$K$13)-$K$13),HU_beta*($T$13-$K$13)))))</f>
        <v/>
      </c>
    </row>
    <row r="152">
      <c r="A152" s="61" t="n">
        <v>79</v>
      </c>
      <c r="B152" s="61">
        <f>HU_age+A152</f>
        <v/>
      </c>
      <c r="C152" s="52">
        <f>A152&lt;=HU_T</f>
        <v/>
      </c>
      <c r="D152" s="63">
        <f>IF(OR(A152&lt;1,A152&gt;HU_T),0,INDEX(HU_q_mort,HU_age+A152-17,HU_col))</f>
        <v/>
      </c>
      <c r="E152" s="63">
        <f>IF(OR(A152&lt;1,A152&gt;HU_T),0,INDEX(HU_q_adb,HU_age+A152-17,HU_col))</f>
        <v/>
      </c>
      <c r="F152" s="63">
        <f>IF(OR(A152&lt;1,A152&gt;HU_T),0,INDEX(HU_q_morb,HU_age+A152-17,HU_col))</f>
        <v/>
      </c>
      <c r="G152" s="63">
        <f>IF(OR(A152&lt;1,A152&gt;HU_T),0,INDEX(HU_q_ptd,HU_age+A152-17,HU_col))</f>
        <v/>
      </c>
      <c r="H152" s="63">
        <f>IF(OR(A152&lt;1,A152&gt;HU_T),0,INDEX(HU_q_dis,HU_age+A152-17,HU_col))</f>
        <v/>
      </c>
      <c r="I152" s="63">
        <f>IF(A152&gt;HU_T,0,I151*(1-D152)*(1-E152))</f>
        <v/>
      </c>
      <c r="J152" s="63">
        <f>IF(A152&gt;=HU_T,0,N(I153))</f>
        <v/>
      </c>
      <c r="K152" s="63">
        <f>K151*(1-G152)</f>
        <v/>
      </c>
      <c r="L152" s="63">
        <f>1-K152</f>
        <v/>
      </c>
      <c r="M152" s="63">
        <f>K151*G152</f>
        <v/>
      </c>
      <c r="N152" s="63">
        <f>N151*(1-H152)</f>
        <v/>
      </c>
      <c r="O152" s="63">
        <f>1-N151</f>
        <v/>
      </c>
      <c r="P152" s="63">
        <f>P151*(1-F152)</f>
        <v/>
      </c>
      <c r="Q152" s="63">
        <f>1-P151/INDEX($P$73:$P$155,MAX(1,A152-HU_ciYears))</f>
        <v/>
      </c>
      <c r="R152" s="60">
        <f>(1+inflationRate)^A152</f>
        <v/>
      </c>
      <c r="S152" s="29">
        <f>IF(OR(OR(A152&lt;1,A152&gt;HU_T),A152-1&gt;=HU_dtr),0,HU_inc0*(1+incomeGrowthRate)^A152)</f>
        <v/>
      </c>
      <c r="T152" s="60">
        <f>IF(A152&gt;HU_T,T151,T151*(1+INDEX(HU_ssG,HU_age+A152-17)))</f>
        <v/>
      </c>
      <c r="U152" s="29">
        <f>IF(AND(HU_dtr&gt;=1,A152=HU_dtr,A152&lt;=HU_T),MIN(S152*INDEX(HU_ssC,HU_age+A152-17)/(1-INDEX(HU_ssC,HU_age+A152-17)),INDEX(HU_ssCap,HU_age+A152-17))*T152,0)</f>
        <v/>
      </c>
      <c r="V152" s="29">
        <f>S152+U152+IF(AND(HU_wdSAVOn,A152=HU_wdSAVYear),HU_wdSAVAmt,0)+IF(AND(HU_wdPRPOn,A152=HU_wdPRPYear),HU_wdPRPAmt,0)</f>
        <v/>
      </c>
      <c r="W152" s="60">
        <f>HU_ciProp*Q152+HU_tpdCut*L152+HU_disCut*O152</f>
        <v/>
      </c>
      <c r="X152" s="29">
        <f>IF(OR(A152&lt;1,A152&gt;HU_T),0,V152*(1-W152))</f>
        <v/>
      </c>
      <c r="Y152" s="29">
        <f>IF(OR(A152&lt;1,A152&gt;HU_T),0,IF(AND(HU_retExp&gt;0,A152-1&gt;=HU_dtr),HU_retExp,HU_exp0)*R152)</f>
        <v/>
      </c>
      <c r="Z152" s="29">
        <f>-Y152-IF(AND(HU_wdEDUOn,A152=HU_wdEDUYear),HU_wdEDUAmt,0)-IF(AND(HU_wdSAVOn,A152=HU_wdSAVYear),HU_wdSAVAmt,0)-IF(AND(HU_wdPRPOn,A152=HU_wdPRPYear),HU_wdPRPAmt,0)</f>
        <v/>
      </c>
      <c r="AA152" s="29">
        <f>IF(OR(A152&lt;1,A152&gt;HU_T),0,-HU_medCost*R152*F152-HU_tpdCost*R152*M152)</f>
        <v/>
      </c>
      <c r="AB152" s="29">
        <f>IF(A152&gt;HU_T,0,AB151*(1+interestRate)+X152+Z152+AA152)</f>
        <v/>
      </c>
      <c r="AC152" s="29">
        <f>IF(A152&gt;HU_T,0,HU_inv*EXP(HU_mu*A152))</f>
        <v/>
      </c>
      <c r="AD152" s="29">
        <f>IF(A152&gt;HU_T,0,MAX(0,AC152+AB152))</f>
        <v/>
      </c>
      <c r="AE152" s="29">
        <f>IF(A152&gt;HU_T,0,MAX(0,X152-Y152))</f>
        <v/>
      </c>
      <c r="AF152" s="63">
        <f>IF(AND($J$6,A152&gt;=1,A152&lt;=$Q$6-1),J152,0)</f>
        <v/>
      </c>
      <c r="AG152" s="29">
        <f>IF(OR(AF152=0,$S$6=0),0,IF((AD152+$L$6)&gt;$S$6/HU_alpha+$K$6,0.5*$S$6/HU_alpha,IF((AD152+$L$6)&gt;=$K$6,((AD152+$L$6)-$K$6)-0.5*HU_alpha/$S$6*((AD152+$L$6)-$K$6)^2,IF((AD152+$L$6)&gt;=$T$6,HU_beta*((AD152+$L$6)-$K$6),HU_beta*($T$6-$K$6)))))</f>
        <v/>
      </c>
      <c r="AH152" s="29">
        <f>IF(OR(AF152=0,$S$6=0),0,IF((AD152+$L$6+$N$6)&gt;$S$6/HU_alpha+$K$6,0.5*$S$6/HU_alpha,IF((AD152+$L$6+$N$6)&gt;=$K$6,((AD152+$L$6+$N$6)-$K$6)-0.5*HU_alpha/$S$6*((AD152+$L$6+$N$6)-$K$6)^2,IF((AD152+$L$6+$N$6)&gt;=$T$6,HU_beta*((AD152+$L$6+$N$6)-$K$6),HU_beta*($T$6-$K$6)))))</f>
        <v/>
      </c>
      <c r="AI152" s="29">
        <f>IF(OR(AF152=0,$S$6=0),0,IF((AD152+$K$6)&gt;$S$6/HU_alpha+$K$6,0.5*$S$6/HU_alpha,IF((AD152+$K$6)&gt;=$K$6,((AD152+$K$6)-$K$6)-0.5*HU_alpha/$S$6*((AD152+$K$6)-$K$6)^2,IF((AD152+$K$6)&gt;=$T$6,HU_beta*((AD152+$K$6)-$K$6),HU_beta*($T$6-$K$6)))))</f>
        <v/>
      </c>
      <c r="AJ152" s="63">
        <f>IF(AND($J$7,A152&gt;=1,A152&lt;=$Q$7-1),J152,0)</f>
        <v/>
      </c>
      <c r="AK152" s="29">
        <f>IF(OR(AJ152=0,$S$7=0),0,IF((AE152+$L$7)&gt;$S$7/HU_alpha+$K$7,0.5*$S$7/HU_alpha,IF((AE152+$L$7)&gt;=$K$7,((AE152+$L$7)-$K$7)-0.5*HU_alpha/$S$7*((AE152+$L$7)-$K$7)^2,IF((AE152+$L$7)&gt;=$T$7,HU_beta*((AE152+$L$7)-$K$7),HU_beta*($T$7-$K$7)))))</f>
        <v/>
      </c>
      <c r="AL152" s="29">
        <f>IF(OR(AJ152=0,$S$7=0),0,IF((AE152+$L$7+$N$7)&gt;$S$7/HU_alpha+$K$7,0.5*$S$7/HU_alpha,IF((AE152+$L$7+$N$7)&gt;=$K$7,((AE152+$L$7+$N$7)-$K$7)-0.5*HU_alpha/$S$7*((AE152+$L$7+$N$7)-$K$7)^2,IF((AE152+$L$7+$N$7)&gt;=$T$7,HU_beta*((AE152+$L$7+$N$7)-$K$7),HU_beta*($T$7-$K$7)))))</f>
        <v/>
      </c>
      <c r="AM152" s="29">
        <f>IF(OR(AJ152=0,$S$7=0),0,IF((AE152+$K$7)&gt;$S$7/HU_alpha+$K$7,0.5*$S$7/HU_alpha,IF((AE152+$K$7)&gt;=$K$7,((AE152+$K$7)-$K$7)-0.5*HU_alpha/$S$7*((AE152+$K$7)-$K$7)^2,IF((AE152+$K$7)&gt;=$T$7,HU_beta*((AE152+$K$7)-$K$7),HU_beta*($T$7-$K$7)))))</f>
        <v/>
      </c>
      <c r="AN152" s="63">
        <f>IF(AND($J$8,A152&gt;=1,A152&lt;=$Q$8-1),J152,0)</f>
        <v/>
      </c>
      <c r="AO152" s="29">
        <f>IF(OR(AN152=0,$S$8=0),0,IF((AE152+$L$8)&gt;$S$8/HU_alpha+$K$8,0.5*$S$8/HU_alpha,IF((AE152+$L$8)&gt;=$K$8,((AE152+$L$8)-$K$8)-0.5*HU_alpha/$S$8*((AE152+$L$8)-$K$8)^2,IF((AE152+$L$8)&gt;=$T$8,HU_beta*((AE152+$L$8)-$K$8),HU_beta*($T$8-$K$8)))))</f>
        <v/>
      </c>
      <c r="AP152" s="29">
        <f>IF(OR(AN152=0,$S$8=0),0,IF((AE152+$L$8+$N$8)&gt;$S$8/HU_alpha+$K$8,0.5*$S$8/HU_alpha,IF((AE152+$L$8+$N$8)&gt;=$K$8,((AE152+$L$8+$N$8)-$K$8)-0.5*HU_alpha/$S$8*((AE152+$L$8+$N$8)-$K$8)^2,IF((AE152+$L$8+$N$8)&gt;=$T$8,HU_beta*((AE152+$L$8+$N$8)-$K$8),HU_beta*($T$8-$K$8)))))</f>
        <v/>
      </c>
      <c r="AQ152" s="29">
        <f>IF(OR(AN152=0,$S$8=0),0,IF((AE152+$K$8)&gt;$S$8/HU_alpha+$K$8,0.5*$S$8/HU_alpha,IF((AE152+$K$8)&gt;=$K$8,((AE152+$K$8)-$K$8)-0.5*HU_alpha/$S$8*((AE152+$K$8)-$K$8)^2,IF((AE152+$K$8)&gt;=$T$8,HU_beta*((AE152+$K$8)-$K$8),HU_beta*($T$8-$K$8)))))</f>
        <v/>
      </c>
      <c r="AR152" s="63">
        <f>IF(AND($J$9,A152&gt;=1,A152&lt;=$Q$9-1),J152,0)</f>
        <v/>
      </c>
      <c r="AS152" s="29">
        <f>IF(OR(AR152=0,$S$9=0),0,IF((AE152+$L$9)&gt;$S$9/HU_alpha+$K$9,0.5*$S$9/HU_alpha,IF((AE152+$L$9)&gt;=$K$9,((AE152+$L$9)-$K$9)-0.5*HU_alpha/$S$9*((AE152+$L$9)-$K$9)^2,IF((AE152+$L$9)&gt;=$T$9,HU_beta*((AE152+$L$9)-$K$9),HU_beta*($T$9-$K$9)))))</f>
        <v/>
      </c>
      <c r="AT152" s="29">
        <f>IF(OR(AR152=0,$S$9=0),0,IF((AE152+$L$9+$N$9)&gt;$S$9/HU_alpha+$K$9,0.5*$S$9/HU_alpha,IF((AE152+$L$9+$N$9)&gt;=$K$9,((AE152+$L$9+$N$9)-$K$9)-0.5*HU_alpha/$S$9*((AE152+$L$9+$N$9)-$K$9)^2,IF((AE152+$L$9+$N$9)&gt;=$T$9,HU_beta*((AE152+$L$9+$N$9)-$K$9),HU_beta*($T$9-$K$9)))))</f>
        <v/>
      </c>
      <c r="AU152" s="29">
        <f>IF(OR(AR152=0,$S$9=0),0,IF((AE152+$K$9)&gt;$S$9/HU_alpha+$K$9,0.5*$S$9/HU_alpha,IF((AE152+$K$9)&gt;=$K$9,((AE152+$K$9)-$K$9)-0.5*HU_alpha/$S$9*((AE152+$K$9)-$K$9)^2,IF((AE152+$K$9)&gt;=$T$9,HU_beta*((AE152+$K$9)-$K$9),HU_beta*($T$9-$K$9)))))</f>
        <v/>
      </c>
      <c r="AV152" s="63">
        <f>IF(AND($J$10,A152=$Q$10),J152,0)</f>
        <v/>
      </c>
      <c r="AW152" s="29">
        <f>IF(OR(AV152=0,$S$10=0),0,IF((AD152+$L$10)&gt;$S$10/HU_alpha+$K$10,0.5*$S$10/HU_alpha,IF((AD152+$L$10)&gt;=$K$10,((AD152+$L$10)-$K$10)-0.5*HU_alpha/$S$10*((AD152+$L$10)-$K$10)^2,IF((AD152+$L$10)&gt;=$T$10,HU_beta*((AD152+$L$10)-$K$10),HU_beta*($T$10-$K$10)))))</f>
        <v/>
      </c>
      <c r="AX152" s="29">
        <f>IF(OR(AV152=0,$S$10=0),0,IF((AD152+$L$10+$N$10)&gt;$S$10/HU_alpha+$K$10,0.5*$S$10/HU_alpha,IF((AD152+$L$10+$N$10)&gt;=$K$10,((AD152+$L$10+$N$10)-$K$10)-0.5*HU_alpha/$S$10*((AD152+$L$10+$N$10)-$K$10)^2,IF((AD152+$L$10+$N$10)&gt;=$T$10,HU_beta*((AD152+$L$10+$N$10)-$K$10),HU_beta*($T$10-$K$10)))))</f>
        <v/>
      </c>
      <c r="AY152" s="29">
        <f>IF(OR(AV152=0,$S$10=0),0,IF((AD152+$K$10)&gt;$S$10/HU_alpha+$K$10,0.5*$S$10/HU_alpha,IF((AD152+$K$10)&gt;=$K$10,((AD152+$K$10)-$K$10)-0.5*HU_alpha/$S$10*((AD152+$K$10)-$K$10)^2,IF((AD152+$K$10)&gt;=$T$10,HU_beta*((AD152+$K$10)-$K$10),HU_beta*($T$10-$K$10)))))</f>
        <v/>
      </c>
      <c r="AZ152" s="63">
        <f>IF(AND($J$11,A152=$Q$11),J152,0)</f>
        <v/>
      </c>
      <c r="BA152" s="29">
        <f>IF(OR(AZ152=0,$S$11=0),0,IF((AE152+$L$11)&gt;$S$11/HU_alpha+$K$11,0.5*$S$11/HU_alpha,IF((AE152+$L$11)&gt;=$K$11,((AE152+$L$11)-$K$11)-0.5*HU_alpha/$S$11*((AE152+$L$11)-$K$11)^2,IF((AE152+$L$11)&gt;=$T$11,HU_beta*((AE152+$L$11)-$K$11),HU_beta*($T$11-$K$11)))))</f>
        <v/>
      </c>
      <c r="BB152" s="29">
        <f>IF(OR(AZ152=0,$S$11=0),0,IF((AE152+$L$11+$N$11)&gt;$S$11/HU_alpha+$K$11,0.5*$S$11/HU_alpha,IF((AE152+$L$11+$N$11)&gt;=$K$11,((AE152+$L$11+$N$11)-$K$11)-0.5*HU_alpha/$S$11*((AE152+$L$11+$N$11)-$K$11)^2,IF((AE152+$L$11+$N$11)&gt;=$T$11,HU_beta*((AE152+$L$11+$N$11)-$K$11),HU_beta*($T$11-$K$11)))))</f>
        <v/>
      </c>
      <c r="BC152" s="29">
        <f>IF(OR(AZ152=0,$S$11=0),0,IF((AE152+$K$11)&gt;$S$11/HU_alpha+$K$11,0.5*$S$11/HU_alpha,IF((AE152+$K$11)&gt;=$K$11,((AE152+$K$11)-$K$11)-0.5*HU_alpha/$S$11*((AE152+$K$11)-$K$11)^2,IF((AE152+$K$11)&gt;=$T$11,HU_beta*((AE152+$K$11)-$K$11),HU_beta*($T$11-$K$11)))))</f>
        <v/>
      </c>
      <c r="BD152" s="63">
        <f>IF(AND($J$12,A152=$Q$12),J152,0)</f>
        <v/>
      </c>
      <c r="BE152" s="29">
        <f>IF(OR(BD152=0,$S$12=0),0,IF((AE152+$L$12)&gt;$S$12/HU_alpha+$K$12,0.5*$S$12/HU_alpha,IF((AE152+$L$12)&gt;=$K$12,((AE152+$L$12)-$K$12)-0.5*HU_alpha/$S$12*((AE152+$L$12)-$K$12)^2,IF((AE152+$L$12)&gt;=$T$12,HU_beta*((AE152+$L$12)-$K$12),HU_beta*($T$12-$K$12)))))</f>
        <v/>
      </c>
      <c r="BF152" s="29">
        <f>IF(OR(BD152=0,$S$12=0),0,IF((AE152+$L$12+$N$12)&gt;$S$12/HU_alpha+$K$12,0.5*$S$12/HU_alpha,IF((AE152+$L$12+$N$12)&gt;=$K$12,((AE152+$L$12+$N$12)-$K$12)-0.5*HU_alpha/$S$12*((AE152+$L$12+$N$12)-$K$12)^2,IF((AE152+$L$12+$N$12)&gt;=$T$12,HU_beta*((AE152+$L$12+$N$12)-$K$12),HU_beta*($T$12-$K$12)))))</f>
        <v/>
      </c>
      <c r="BG152" s="29">
        <f>IF(OR(BD152=0,$S$12=0),0,IF((AE152+$K$12)&gt;$S$12/HU_alpha+$K$12,0.5*$S$12/HU_alpha,IF((AE152+$K$12)&gt;=$K$12,((AE152+$K$12)-$K$12)-0.5*HU_alpha/$S$12*((AE152+$K$12)-$K$12)^2,IF((AE152+$K$12)&gt;=$T$12,HU_beta*((AE152+$K$12)-$K$12),HU_beta*($T$12-$K$12)))))</f>
        <v/>
      </c>
      <c r="BH152" s="63">
        <f>IF(AND($J$13,A152=$Q$13),J152,0)</f>
        <v/>
      </c>
      <c r="BI152" s="29">
        <f>IF(OR(BH152=0,$S$13=0),0,IF((AE152+$L$13)&gt;$S$13/HU_alpha+$K$13,0.5*$S$13/HU_alpha,IF((AE152+$L$13)&gt;=$K$13,((AE152+$L$13)-$K$13)-0.5*HU_alpha/$S$13*((AE152+$L$13)-$K$13)^2,IF((AE152+$L$13)&gt;=$T$13,HU_beta*((AE152+$L$13)-$K$13),HU_beta*($T$13-$K$13)))))</f>
        <v/>
      </c>
      <c r="BJ152" s="29">
        <f>IF(OR(BH152=0,$S$13=0),0,IF((AE152+$L$13+$N$13)&gt;$S$13/HU_alpha+$K$13,0.5*$S$13/HU_alpha,IF((AE152+$L$13+$N$13)&gt;=$K$13,((AE152+$L$13+$N$13)-$K$13)-0.5*HU_alpha/$S$13*((AE152+$L$13+$N$13)-$K$13)^2,IF((AE152+$L$13+$N$13)&gt;=$T$13,HU_beta*((AE152+$L$13+$N$13)-$K$13),HU_beta*($T$13-$K$13)))))</f>
        <v/>
      </c>
      <c r="BK152" s="29">
        <f>IF(OR(BH152=0,$S$13=0),0,IF((AE152+$K$13)&gt;$S$13/HU_alpha+$K$13,0.5*$S$13/HU_alpha,IF((AE152+$K$13)&gt;=$K$13,((AE152+$K$13)-$K$13)-0.5*HU_alpha/$S$13*((AE152+$K$13)-$K$13)^2,IF((AE152+$K$13)&gt;=$T$13,HU_beta*((AE152+$K$13)-$K$13),HU_beta*($T$13-$K$13)))))</f>
        <v/>
      </c>
    </row>
    <row r="153">
      <c r="A153" s="61" t="n">
        <v>80</v>
      </c>
      <c r="B153" s="61">
        <f>HU_age+A153</f>
        <v/>
      </c>
      <c r="C153" s="52">
        <f>A153&lt;=HU_T</f>
        <v/>
      </c>
      <c r="D153" s="63">
        <f>IF(OR(A153&lt;1,A153&gt;HU_T),0,INDEX(HU_q_mort,HU_age+A153-17,HU_col))</f>
        <v/>
      </c>
      <c r="E153" s="63">
        <f>IF(OR(A153&lt;1,A153&gt;HU_T),0,INDEX(HU_q_adb,HU_age+A153-17,HU_col))</f>
        <v/>
      </c>
      <c r="F153" s="63">
        <f>IF(OR(A153&lt;1,A153&gt;HU_T),0,INDEX(HU_q_morb,HU_age+A153-17,HU_col))</f>
        <v/>
      </c>
      <c r="G153" s="63">
        <f>IF(OR(A153&lt;1,A153&gt;HU_T),0,INDEX(HU_q_ptd,HU_age+A153-17,HU_col))</f>
        <v/>
      </c>
      <c r="H153" s="63">
        <f>IF(OR(A153&lt;1,A153&gt;HU_T),0,INDEX(HU_q_dis,HU_age+A153-17,HU_col))</f>
        <v/>
      </c>
      <c r="I153" s="63">
        <f>IF(A153&gt;HU_T,0,I152*(1-D153)*(1-E153))</f>
        <v/>
      </c>
      <c r="J153" s="63">
        <f>IF(A153&gt;=HU_T,0,N(I154))</f>
        <v/>
      </c>
      <c r="K153" s="63">
        <f>K152*(1-G153)</f>
        <v/>
      </c>
      <c r="L153" s="63">
        <f>1-K153</f>
        <v/>
      </c>
      <c r="M153" s="63">
        <f>K152*G153</f>
        <v/>
      </c>
      <c r="N153" s="63">
        <f>N152*(1-H153)</f>
        <v/>
      </c>
      <c r="O153" s="63">
        <f>1-N152</f>
        <v/>
      </c>
      <c r="P153" s="63">
        <f>P152*(1-F153)</f>
        <v/>
      </c>
      <c r="Q153" s="63">
        <f>1-P152/INDEX($P$73:$P$155,MAX(1,A153-HU_ciYears))</f>
        <v/>
      </c>
      <c r="R153" s="60">
        <f>(1+inflationRate)^A153</f>
        <v/>
      </c>
      <c r="S153" s="29">
        <f>IF(OR(OR(A153&lt;1,A153&gt;HU_T),A153-1&gt;=HU_dtr),0,HU_inc0*(1+incomeGrowthRate)^A153)</f>
        <v/>
      </c>
      <c r="T153" s="60">
        <f>IF(A153&gt;HU_T,T152,T152*(1+INDEX(HU_ssG,HU_age+A153-17)))</f>
        <v/>
      </c>
      <c r="U153" s="29">
        <f>IF(AND(HU_dtr&gt;=1,A153=HU_dtr,A153&lt;=HU_T),MIN(S153*INDEX(HU_ssC,HU_age+A153-17)/(1-INDEX(HU_ssC,HU_age+A153-17)),INDEX(HU_ssCap,HU_age+A153-17))*T153,0)</f>
        <v/>
      </c>
      <c r="V153" s="29">
        <f>S153+U153+IF(AND(HU_wdSAVOn,A153=HU_wdSAVYear),HU_wdSAVAmt,0)+IF(AND(HU_wdPRPOn,A153=HU_wdPRPYear),HU_wdPRPAmt,0)</f>
        <v/>
      </c>
      <c r="W153" s="60">
        <f>HU_ciProp*Q153+HU_tpdCut*L153+HU_disCut*O153</f>
        <v/>
      </c>
      <c r="X153" s="29">
        <f>IF(OR(A153&lt;1,A153&gt;HU_T),0,V153*(1-W153))</f>
        <v/>
      </c>
      <c r="Y153" s="29">
        <f>IF(OR(A153&lt;1,A153&gt;HU_T),0,IF(AND(HU_retExp&gt;0,A153-1&gt;=HU_dtr),HU_retExp,HU_exp0)*R153)</f>
        <v/>
      </c>
      <c r="Z153" s="29">
        <f>-Y153-IF(AND(HU_wdEDUOn,A153=HU_wdEDUYear),HU_wdEDUAmt,0)-IF(AND(HU_wdSAVOn,A153=HU_wdSAVYear),HU_wdSAVAmt,0)-IF(AND(HU_wdPRPOn,A153=HU_wdPRPYear),HU_wdPRPAmt,0)</f>
        <v/>
      </c>
      <c r="AA153" s="29">
        <f>IF(OR(A153&lt;1,A153&gt;HU_T),0,-HU_medCost*R153*F153-HU_tpdCost*R153*M153)</f>
        <v/>
      </c>
      <c r="AB153" s="29">
        <f>IF(A153&gt;HU_T,0,AB152*(1+interestRate)+X153+Z153+AA153)</f>
        <v/>
      </c>
      <c r="AC153" s="29">
        <f>IF(A153&gt;HU_T,0,HU_inv*EXP(HU_mu*A153))</f>
        <v/>
      </c>
      <c r="AD153" s="29">
        <f>IF(A153&gt;HU_T,0,MAX(0,AC153+AB153))</f>
        <v/>
      </c>
      <c r="AE153" s="29">
        <f>IF(A153&gt;HU_T,0,MAX(0,X153-Y153))</f>
        <v/>
      </c>
      <c r="AF153" s="63">
        <f>IF(AND($J$6,A153&gt;=1,A153&lt;=$Q$6-1),J153,0)</f>
        <v/>
      </c>
      <c r="AG153" s="29">
        <f>IF(OR(AF153=0,$S$6=0),0,IF((AD153+$L$6)&gt;$S$6/HU_alpha+$K$6,0.5*$S$6/HU_alpha,IF((AD153+$L$6)&gt;=$K$6,((AD153+$L$6)-$K$6)-0.5*HU_alpha/$S$6*((AD153+$L$6)-$K$6)^2,IF((AD153+$L$6)&gt;=$T$6,HU_beta*((AD153+$L$6)-$K$6),HU_beta*($T$6-$K$6)))))</f>
        <v/>
      </c>
      <c r="AH153" s="29">
        <f>IF(OR(AF153=0,$S$6=0),0,IF((AD153+$L$6+$N$6)&gt;$S$6/HU_alpha+$K$6,0.5*$S$6/HU_alpha,IF((AD153+$L$6+$N$6)&gt;=$K$6,((AD153+$L$6+$N$6)-$K$6)-0.5*HU_alpha/$S$6*((AD153+$L$6+$N$6)-$K$6)^2,IF((AD153+$L$6+$N$6)&gt;=$T$6,HU_beta*((AD153+$L$6+$N$6)-$K$6),HU_beta*($T$6-$K$6)))))</f>
        <v/>
      </c>
      <c r="AI153" s="29">
        <f>IF(OR(AF153=0,$S$6=0),0,IF((AD153+$K$6)&gt;$S$6/HU_alpha+$K$6,0.5*$S$6/HU_alpha,IF((AD153+$K$6)&gt;=$K$6,((AD153+$K$6)-$K$6)-0.5*HU_alpha/$S$6*((AD153+$K$6)-$K$6)^2,IF((AD153+$K$6)&gt;=$T$6,HU_beta*((AD153+$K$6)-$K$6),HU_beta*($T$6-$K$6)))))</f>
        <v/>
      </c>
      <c r="AJ153" s="63">
        <f>IF(AND($J$7,A153&gt;=1,A153&lt;=$Q$7-1),J153,0)</f>
        <v/>
      </c>
      <c r="AK153" s="29">
        <f>IF(OR(AJ153=0,$S$7=0),0,IF((AE153+$L$7)&gt;$S$7/HU_alpha+$K$7,0.5*$S$7/HU_alpha,IF((AE153+$L$7)&gt;=$K$7,((AE153+$L$7)-$K$7)-0.5*HU_alpha/$S$7*((AE153+$L$7)-$K$7)^2,IF((AE153+$L$7)&gt;=$T$7,HU_beta*((AE153+$L$7)-$K$7),HU_beta*($T$7-$K$7)))))</f>
        <v/>
      </c>
      <c r="AL153" s="29">
        <f>IF(OR(AJ153=0,$S$7=0),0,IF((AE153+$L$7+$N$7)&gt;$S$7/HU_alpha+$K$7,0.5*$S$7/HU_alpha,IF((AE153+$L$7+$N$7)&gt;=$K$7,((AE153+$L$7+$N$7)-$K$7)-0.5*HU_alpha/$S$7*((AE153+$L$7+$N$7)-$K$7)^2,IF((AE153+$L$7+$N$7)&gt;=$T$7,HU_beta*((AE153+$L$7+$N$7)-$K$7),HU_beta*($T$7-$K$7)))))</f>
        <v/>
      </c>
      <c r="AM153" s="29">
        <f>IF(OR(AJ153=0,$S$7=0),0,IF((AE153+$K$7)&gt;$S$7/HU_alpha+$K$7,0.5*$S$7/HU_alpha,IF((AE153+$K$7)&gt;=$K$7,((AE153+$K$7)-$K$7)-0.5*HU_alpha/$S$7*((AE153+$K$7)-$K$7)^2,IF((AE153+$K$7)&gt;=$T$7,HU_beta*((AE153+$K$7)-$K$7),HU_beta*($T$7-$K$7)))))</f>
        <v/>
      </c>
      <c r="AN153" s="63">
        <f>IF(AND($J$8,A153&gt;=1,A153&lt;=$Q$8-1),J153,0)</f>
        <v/>
      </c>
      <c r="AO153" s="29">
        <f>IF(OR(AN153=0,$S$8=0),0,IF((AE153+$L$8)&gt;$S$8/HU_alpha+$K$8,0.5*$S$8/HU_alpha,IF((AE153+$L$8)&gt;=$K$8,((AE153+$L$8)-$K$8)-0.5*HU_alpha/$S$8*((AE153+$L$8)-$K$8)^2,IF((AE153+$L$8)&gt;=$T$8,HU_beta*((AE153+$L$8)-$K$8),HU_beta*($T$8-$K$8)))))</f>
        <v/>
      </c>
      <c r="AP153" s="29">
        <f>IF(OR(AN153=0,$S$8=0),0,IF((AE153+$L$8+$N$8)&gt;$S$8/HU_alpha+$K$8,0.5*$S$8/HU_alpha,IF((AE153+$L$8+$N$8)&gt;=$K$8,((AE153+$L$8+$N$8)-$K$8)-0.5*HU_alpha/$S$8*((AE153+$L$8+$N$8)-$K$8)^2,IF((AE153+$L$8+$N$8)&gt;=$T$8,HU_beta*((AE153+$L$8+$N$8)-$K$8),HU_beta*($T$8-$K$8)))))</f>
        <v/>
      </c>
      <c r="AQ153" s="29">
        <f>IF(OR(AN153=0,$S$8=0),0,IF((AE153+$K$8)&gt;$S$8/HU_alpha+$K$8,0.5*$S$8/HU_alpha,IF((AE153+$K$8)&gt;=$K$8,((AE153+$K$8)-$K$8)-0.5*HU_alpha/$S$8*((AE153+$K$8)-$K$8)^2,IF((AE153+$K$8)&gt;=$T$8,HU_beta*((AE153+$K$8)-$K$8),HU_beta*($T$8-$K$8)))))</f>
        <v/>
      </c>
      <c r="AR153" s="63">
        <f>IF(AND($J$9,A153&gt;=1,A153&lt;=$Q$9-1),J153,0)</f>
        <v/>
      </c>
      <c r="AS153" s="29">
        <f>IF(OR(AR153=0,$S$9=0),0,IF((AE153+$L$9)&gt;$S$9/HU_alpha+$K$9,0.5*$S$9/HU_alpha,IF((AE153+$L$9)&gt;=$K$9,((AE153+$L$9)-$K$9)-0.5*HU_alpha/$S$9*((AE153+$L$9)-$K$9)^2,IF((AE153+$L$9)&gt;=$T$9,HU_beta*((AE153+$L$9)-$K$9),HU_beta*($T$9-$K$9)))))</f>
        <v/>
      </c>
      <c r="AT153" s="29">
        <f>IF(OR(AR153=0,$S$9=0),0,IF((AE153+$L$9+$N$9)&gt;$S$9/HU_alpha+$K$9,0.5*$S$9/HU_alpha,IF((AE153+$L$9+$N$9)&gt;=$K$9,((AE153+$L$9+$N$9)-$K$9)-0.5*HU_alpha/$S$9*((AE153+$L$9+$N$9)-$K$9)^2,IF((AE153+$L$9+$N$9)&gt;=$T$9,HU_beta*((AE153+$L$9+$N$9)-$K$9),HU_beta*($T$9-$K$9)))))</f>
        <v/>
      </c>
      <c r="AU153" s="29">
        <f>IF(OR(AR153=0,$S$9=0),0,IF((AE153+$K$9)&gt;$S$9/HU_alpha+$K$9,0.5*$S$9/HU_alpha,IF((AE153+$K$9)&gt;=$K$9,((AE153+$K$9)-$K$9)-0.5*HU_alpha/$S$9*((AE153+$K$9)-$K$9)^2,IF((AE153+$K$9)&gt;=$T$9,HU_beta*((AE153+$K$9)-$K$9),HU_beta*($T$9-$K$9)))))</f>
        <v/>
      </c>
      <c r="AV153" s="63">
        <f>IF(AND($J$10,A153=$Q$10),J153,0)</f>
        <v/>
      </c>
      <c r="AW153" s="29">
        <f>IF(OR(AV153=0,$S$10=0),0,IF((AD153+$L$10)&gt;$S$10/HU_alpha+$K$10,0.5*$S$10/HU_alpha,IF((AD153+$L$10)&gt;=$K$10,((AD153+$L$10)-$K$10)-0.5*HU_alpha/$S$10*((AD153+$L$10)-$K$10)^2,IF((AD153+$L$10)&gt;=$T$10,HU_beta*((AD153+$L$10)-$K$10),HU_beta*($T$10-$K$10)))))</f>
        <v/>
      </c>
      <c r="AX153" s="29">
        <f>IF(OR(AV153=0,$S$10=0),0,IF((AD153+$L$10+$N$10)&gt;$S$10/HU_alpha+$K$10,0.5*$S$10/HU_alpha,IF((AD153+$L$10+$N$10)&gt;=$K$10,((AD153+$L$10+$N$10)-$K$10)-0.5*HU_alpha/$S$10*((AD153+$L$10+$N$10)-$K$10)^2,IF((AD153+$L$10+$N$10)&gt;=$T$10,HU_beta*((AD153+$L$10+$N$10)-$K$10),HU_beta*($T$10-$K$10)))))</f>
        <v/>
      </c>
      <c r="AY153" s="29">
        <f>IF(OR(AV153=0,$S$10=0),0,IF((AD153+$K$10)&gt;$S$10/HU_alpha+$K$10,0.5*$S$10/HU_alpha,IF((AD153+$K$10)&gt;=$K$10,((AD153+$K$10)-$K$10)-0.5*HU_alpha/$S$10*((AD153+$K$10)-$K$10)^2,IF((AD153+$K$10)&gt;=$T$10,HU_beta*((AD153+$K$10)-$K$10),HU_beta*($T$10-$K$10)))))</f>
        <v/>
      </c>
      <c r="AZ153" s="63">
        <f>IF(AND($J$11,A153=$Q$11),J153,0)</f>
        <v/>
      </c>
      <c r="BA153" s="29">
        <f>IF(OR(AZ153=0,$S$11=0),0,IF((AE153+$L$11)&gt;$S$11/HU_alpha+$K$11,0.5*$S$11/HU_alpha,IF((AE153+$L$11)&gt;=$K$11,((AE153+$L$11)-$K$11)-0.5*HU_alpha/$S$11*((AE153+$L$11)-$K$11)^2,IF((AE153+$L$11)&gt;=$T$11,HU_beta*((AE153+$L$11)-$K$11),HU_beta*($T$11-$K$11)))))</f>
        <v/>
      </c>
      <c r="BB153" s="29">
        <f>IF(OR(AZ153=0,$S$11=0),0,IF((AE153+$L$11+$N$11)&gt;$S$11/HU_alpha+$K$11,0.5*$S$11/HU_alpha,IF((AE153+$L$11+$N$11)&gt;=$K$11,((AE153+$L$11+$N$11)-$K$11)-0.5*HU_alpha/$S$11*((AE153+$L$11+$N$11)-$K$11)^2,IF((AE153+$L$11+$N$11)&gt;=$T$11,HU_beta*((AE153+$L$11+$N$11)-$K$11),HU_beta*($T$11-$K$11)))))</f>
        <v/>
      </c>
      <c r="BC153" s="29">
        <f>IF(OR(AZ153=0,$S$11=0),0,IF((AE153+$K$11)&gt;$S$11/HU_alpha+$K$11,0.5*$S$11/HU_alpha,IF((AE153+$K$11)&gt;=$K$11,((AE153+$K$11)-$K$11)-0.5*HU_alpha/$S$11*((AE153+$K$11)-$K$11)^2,IF((AE153+$K$11)&gt;=$T$11,HU_beta*((AE153+$K$11)-$K$11),HU_beta*($T$11-$K$11)))))</f>
        <v/>
      </c>
      <c r="BD153" s="63">
        <f>IF(AND($J$12,A153=$Q$12),J153,0)</f>
        <v/>
      </c>
      <c r="BE153" s="29">
        <f>IF(OR(BD153=0,$S$12=0),0,IF((AE153+$L$12)&gt;$S$12/HU_alpha+$K$12,0.5*$S$12/HU_alpha,IF((AE153+$L$12)&gt;=$K$12,((AE153+$L$12)-$K$12)-0.5*HU_alpha/$S$12*((AE153+$L$12)-$K$12)^2,IF((AE153+$L$12)&gt;=$T$12,HU_beta*((AE153+$L$12)-$K$12),HU_beta*($T$12-$K$12)))))</f>
        <v/>
      </c>
      <c r="BF153" s="29">
        <f>IF(OR(BD153=0,$S$12=0),0,IF((AE153+$L$12+$N$12)&gt;$S$12/HU_alpha+$K$12,0.5*$S$12/HU_alpha,IF((AE153+$L$12+$N$12)&gt;=$K$12,((AE153+$L$12+$N$12)-$K$12)-0.5*HU_alpha/$S$12*((AE153+$L$12+$N$12)-$K$12)^2,IF((AE153+$L$12+$N$12)&gt;=$T$12,HU_beta*((AE153+$L$12+$N$12)-$K$12),HU_beta*($T$12-$K$12)))))</f>
        <v/>
      </c>
      <c r="BG153" s="29">
        <f>IF(OR(BD153=0,$S$12=0),0,IF((AE153+$K$12)&gt;$S$12/HU_alpha+$K$12,0.5*$S$12/HU_alpha,IF((AE153+$K$12)&gt;=$K$12,((AE153+$K$12)-$K$12)-0.5*HU_alpha/$S$12*((AE153+$K$12)-$K$12)^2,IF((AE153+$K$12)&gt;=$T$12,HU_beta*((AE153+$K$12)-$K$12),HU_beta*($T$12-$K$12)))))</f>
        <v/>
      </c>
      <c r="BH153" s="63">
        <f>IF(AND($J$13,A153=$Q$13),J153,0)</f>
        <v/>
      </c>
      <c r="BI153" s="29">
        <f>IF(OR(BH153=0,$S$13=0),0,IF((AE153+$L$13)&gt;$S$13/HU_alpha+$K$13,0.5*$S$13/HU_alpha,IF((AE153+$L$13)&gt;=$K$13,((AE153+$L$13)-$K$13)-0.5*HU_alpha/$S$13*((AE153+$L$13)-$K$13)^2,IF((AE153+$L$13)&gt;=$T$13,HU_beta*((AE153+$L$13)-$K$13),HU_beta*($T$13-$K$13)))))</f>
        <v/>
      </c>
      <c r="BJ153" s="29">
        <f>IF(OR(BH153=0,$S$13=0),0,IF((AE153+$L$13+$N$13)&gt;$S$13/HU_alpha+$K$13,0.5*$S$13/HU_alpha,IF((AE153+$L$13+$N$13)&gt;=$K$13,((AE153+$L$13+$N$13)-$K$13)-0.5*HU_alpha/$S$13*((AE153+$L$13+$N$13)-$K$13)^2,IF((AE153+$L$13+$N$13)&gt;=$T$13,HU_beta*((AE153+$L$13+$N$13)-$K$13),HU_beta*($T$13-$K$13)))))</f>
        <v/>
      </c>
      <c r="BK153" s="29">
        <f>IF(OR(BH153=0,$S$13=0),0,IF((AE153+$K$13)&gt;$S$13/HU_alpha+$K$13,0.5*$S$13/HU_alpha,IF((AE153+$K$13)&gt;=$K$13,((AE153+$K$13)-$K$13)-0.5*HU_alpha/$S$13*((AE153+$K$13)-$K$13)^2,IF((AE153+$K$13)&gt;=$T$13,HU_beta*((AE153+$K$13)-$K$13),HU_beta*($T$13-$K$13)))))</f>
        <v/>
      </c>
    </row>
    <row r="154">
      <c r="A154" s="61" t="n">
        <v>81</v>
      </c>
      <c r="B154" s="61">
        <f>HU_age+A154</f>
        <v/>
      </c>
      <c r="C154" s="52">
        <f>A154&lt;=HU_T</f>
        <v/>
      </c>
      <c r="D154" s="63">
        <f>IF(OR(A154&lt;1,A154&gt;HU_T),0,INDEX(HU_q_mort,HU_age+A154-17,HU_col))</f>
        <v/>
      </c>
      <c r="E154" s="63">
        <f>IF(OR(A154&lt;1,A154&gt;HU_T),0,INDEX(HU_q_adb,HU_age+A154-17,HU_col))</f>
        <v/>
      </c>
      <c r="F154" s="63">
        <f>IF(OR(A154&lt;1,A154&gt;HU_T),0,INDEX(HU_q_morb,HU_age+A154-17,HU_col))</f>
        <v/>
      </c>
      <c r="G154" s="63">
        <f>IF(OR(A154&lt;1,A154&gt;HU_T),0,INDEX(HU_q_ptd,HU_age+A154-17,HU_col))</f>
        <v/>
      </c>
      <c r="H154" s="63">
        <f>IF(OR(A154&lt;1,A154&gt;HU_T),0,INDEX(HU_q_dis,HU_age+A154-17,HU_col))</f>
        <v/>
      </c>
      <c r="I154" s="63">
        <f>IF(A154&gt;HU_T,0,I153*(1-D154)*(1-E154))</f>
        <v/>
      </c>
      <c r="J154" s="63">
        <f>IF(A154&gt;=HU_T,0,N(I155))</f>
        <v/>
      </c>
      <c r="K154" s="63">
        <f>K153*(1-G154)</f>
        <v/>
      </c>
      <c r="L154" s="63">
        <f>1-K154</f>
        <v/>
      </c>
      <c r="M154" s="63">
        <f>K153*G154</f>
        <v/>
      </c>
      <c r="N154" s="63">
        <f>N153*(1-H154)</f>
        <v/>
      </c>
      <c r="O154" s="63">
        <f>1-N153</f>
        <v/>
      </c>
      <c r="P154" s="63">
        <f>P153*(1-F154)</f>
        <v/>
      </c>
      <c r="Q154" s="63">
        <f>1-P153/INDEX($P$73:$P$155,MAX(1,A154-HU_ciYears))</f>
        <v/>
      </c>
      <c r="R154" s="60">
        <f>(1+inflationRate)^A154</f>
        <v/>
      </c>
      <c r="S154" s="29">
        <f>IF(OR(OR(A154&lt;1,A154&gt;HU_T),A154-1&gt;=HU_dtr),0,HU_inc0*(1+incomeGrowthRate)^A154)</f>
        <v/>
      </c>
      <c r="T154" s="60">
        <f>IF(A154&gt;HU_T,T153,T153*(1+INDEX(HU_ssG,HU_age+A154-17)))</f>
        <v/>
      </c>
      <c r="U154" s="29">
        <f>IF(AND(HU_dtr&gt;=1,A154=HU_dtr,A154&lt;=HU_T),MIN(S154*INDEX(HU_ssC,HU_age+A154-17)/(1-INDEX(HU_ssC,HU_age+A154-17)),INDEX(HU_ssCap,HU_age+A154-17))*T154,0)</f>
        <v/>
      </c>
      <c r="V154" s="29">
        <f>S154+U154+IF(AND(HU_wdSAVOn,A154=HU_wdSAVYear),HU_wdSAVAmt,0)+IF(AND(HU_wdPRPOn,A154=HU_wdPRPYear),HU_wdPRPAmt,0)</f>
        <v/>
      </c>
      <c r="W154" s="60">
        <f>HU_ciProp*Q154+HU_tpdCut*L154+HU_disCut*O154</f>
        <v/>
      </c>
      <c r="X154" s="29">
        <f>IF(OR(A154&lt;1,A154&gt;HU_T),0,V154*(1-W154))</f>
        <v/>
      </c>
      <c r="Y154" s="29">
        <f>IF(OR(A154&lt;1,A154&gt;HU_T),0,IF(AND(HU_retExp&gt;0,A154-1&gt;=HU_dtr),HU_retExp,HU_exp0)*R154)</f>
        <v/>
      </c>
      <c r="Z154" s="29">
        <f>-Y154-IF(AND(HU_wdEDUOn,A154=HU_wdEDUYear),HU_wdEDUAmt,0)-IF(AND(HU_wdSAVOn,A154=HU_wdSAVYear),HU_wdSAVAmt,0)-IF(AND(HU_wdPRPOn,A154=HU_wdPRPYear),HU_wdPRPAmt,0)</f>
        <v/>
      </c>
      <c r="AA154" s="29">
        <f>IF(OR(A154&lt;1,A154&gt;HU_T),0,-HU_medCost*R154*F154-HU_tpdCost*R154*M154)</f>
        <v/>
      </c>
      <c r="AB154" s="29">
        <f>IF(A154&gt;HU_T,0,AB153*(1+interestRate)+X154+Z154+AA154)</f>
        <v/>
      </c>
      <c r="AC154" s="29">
        <f>IF(A154&gt;HU_T,0,HU_inv*EXP(HU_mu*A154))</f>
        <v/>
      </c>
      <c r="AD154" s="29">
        <f>IF(A154&gt;HU_T,0,MAX(0,AC154+AB154))</f>
        <v/>
      </c>
      <c r="AE154" s="29">
        <f>IF(A154&gt;HU_T,0,MAX(0,X154-Y154))</f>
        <v/>
      </c>
      <c r="AF154" s="63">
        <f>IF(AND($J$6,A154&gt;=1,A154&lt;=$Q$6-1),J154,0)</f>
        <v/>
      </c>
      <c r="AG154" s="29">
        <f>IF(OR(AF154=0,$S$6=0),0,IF((AD154+$L$6)&gt;$S$6/HU_alpha+$K$6,0.5*$S$6/HU_alpha,IF((AD154+$L$6)&gt;=$K$6,((AD154+$L$6)-$K$6)-0.5*HU_alpha/$S$6*((AD154+$L$6)-$K$6)^2,IF((AD154+$L$6)&gt;=$T$6,HU_beta*((AD154+$L$6)-$K$6),HU_beta*($T$6-$K$6)))))</f>
        <v/>
      </c>
      <c r="AH154" s="29">
        <f>IF(OR(AF154=0,$S$6=0),0,IF((AD154+$L$6+$N$6)&gt;$S$6/HU_alpha+$K$6,0.5*$S$6/HU_alpha,IF((AD154+$L$6+$N$6)&gt;=$K$6,((AD154+$L$6+$N$6)-$K$6)-0.5*HU_alpha/$S$6*((AD154+$L$6+$N$6)-$K$6)^2,IF((AD154+$L$6+$N$6)&gt;=$T$6,HU_beta*((AD154+$L$6+$N$6)-$K$6),HU_beta*($T$6-$K$6)))))</f>
        <v/>
      </c>
      <c r="AI154" s="29">
        <f>IF(OR(AF154=0,$S$6=0),0,IF((AD154+$K$6)&gt;$S$6/HU_alpha+$K$6,0.5*$S$6/HU_alpha,IF((AD154+$K$6)&gt;=$K$6,((AD154+$K$6)-$K$6)-0.5*HU_alpha/$S$6*((AD154+$K$6)-$K$6)^2,IF((AD154+$K$6)&gt;=$T$6,HU_beta*((AD154+$K$6)-$K$6),HU_beta*($T$6-$K$6)))))</f>
        <v/>
      </c>
      <c r="AJ154" s="63">
        <f>IF(AND($J$7,A154&gt;=1,A154&lt;=$Q$7-1),J154,0)</f>
        <v/>
      </c>
      <c r="AK154" s="29">
        <f>IF(OR(AJ154=0,$S$7=0),0,IF((AE154+$L$7)&gt;$S$7/HU_alpha+$K$7,0.5*$S$7/HU_alpha,IF((AE154+$L$7)&gt;=$K$7,((AE154+$L$7)-$K$7)-0.5*HU_alpha/$S$7*((AE154+$L$7)-$K$7)^2,IF((AE154+$L$7)&gt;=$T$7,HU_beta*((AE154+$L$7)-$K$7),HU_beta*($T$7-$K$7)))))</f>
        <v/>
      </c>
      <c r="AL154" s="29">
        <f>IF(OR(AJ154=0,$S$7=0),0,IF((AE154+$L$7+$N$7)&gt;$S$7/HU_alpha+$K$7,0.5*$S$7/HU_alpha,IF((AE154+$L$7+$N$7)&gt;=$K$7,((AE154+$L$7+$N$7)-$K$7)-0.5*HU_alpha/$S$7*((AE154+$L$7+$N$7)-$K$7)^2,IF((AE154+$L$7+$N$7)&gt;=$T$7,HU_beta*((AE154+$L$7+$N$7)-$K$7),HU_beta*($T$7-$K$7)))))</f>
        <v/>
      </c>
      <c r="AM154" s="29">
        <f>IF(OR(AJ154=0,$S$7=0),0,IF((AE154+$K$7)&gt;$S$7/HU_alpha+$K$7,0.5*$S$7/HU_alpha,IF((AE154+$K$7)&gt;=$K$7,((AE154+$K$7)-$K$7)-0.5*HU_alpha/$S$7*((AE154+$K$7)-$K$7)^2,IF((AE154+$K$7)&gt;=$T$7,HU_beta*((AE154+$K$7)-$K$7),HU_beta*($T$7-$K$7)))))</f>
        <v/>
      </c>
      <c r="AN154" s="63">
        <f>IF(AND($J$8,A154&gt;=1,A154&lt;=$Q$8-1),J154,0)</f>
        <v/>
      </c>
      <c r="AO154" s="29">
        <f>IF(OR(AN154=0,$S$8=0),0,IF((AE154+$L$8)&gt;$S$8/HU_alpha+$K$8,0.5*$S$8/HU_alpha,IF((AE154+$L$8)&gt;=$K$8,((AE154+$L$8)-$K$8)-0.5*HU_alpha/$S$8*((AE154+$L$8)-$K$8)^2,IF((AE154+$L$8)&gt;=$T$8,HU_beta*((AE154+$L$8)-$K$8),HU_beta*($T$8-$K$8)))))</f>
        <v/>
      </c>
      <c r="AP154" s="29">
        <f>IF(OR(AN154=0,$S$8=0),0,IF((AE154+$L$8+$N$8)&gt;$S$8/HU_alpha+$K$8,0.5*$S$8/HU_alpha,IF((AE154+$L$8+$N$8)&gt;=$K$8,((AE154+$L$8+$N$8)-$K$8)-0.5*HU_alpha/$S$8*((AE154+$L$8+$N$8)-$K$8)^2,IF((AE154+$L$8+$N$8)&gt;=$T$8,HU_beta*((AE154+$L$8+$N$8)-$K$8),HU_beta*($T$8-$K$8)))))</f>
        <v/>
      </c>
      <c r="AQ154" s="29">
        <f>IF(OR(AN154=0,$S$8=0),0,IF((AE154+$K$8)&gt;$S$8/HU_alpha+$K$8,0.5*$S$8/HU_alpha,IF((AE154+$K$8)&gt;=$K$8,((AE154+$K$8)-$K$8)-0.5*HU_alpha/$S$8*((AE154+$K$8)-$K$8)^2,IF((AE154+$K$8)&gt;=$T$8,HU_beta*((AE154+$K$8)-$K$8),HU_beta*($T$8-$K$8)))))</f>
        <v/>
      </c>
      <c r="AR154" s="63">
        <f>IF(AND($J$9,A154&gt;=1,A154&lt;=$Q$9-1),J154,0)</f>
        <v/>
      </c>
      <c r="AS154" s="29">
        <f>IF(OR(AR154=0,$S$9=0),0,IF((AE154+$L$9)&gt;$S$9/HU_alpha+$K$9,0.5*$S$9/HU_alpha,IF((AE154+$L$9)&gt;=$K$9,((AE154+$L$9)-$K$9)-0.5*HU_alpha/$S$9*((AE154+$L$9)-$K$9)^2,IF((AE154+$L$9)&gt;=$T$9,HU_beta*((AE154+$L$9)-$K$9),HU_beta*($T$9-$K$9)))))</f>
        <v/>
      </c>
      <c r="AT154" s="29">
        <f>IF(OR(AR154=0,$S$9=0),0,IF((AE154+$L$9+$N$9)&gt;$S$9/HU_alpha+$K$9,0.5*$S$9/HU_alpha,IF((AE154+$L$9+$N$9)&gt;=$K$9,((AE154+$L$9+$N$9)-$K$9)-0.5*HU_alpha/$S$9*((AE154+$L$9+$N$9)-$K$9)^2,IF((AE154+$L$9+$N$9)&gt;=$T$9,HU_beta*((AE154+$L$9+$N$9)-$K$9),HU_beta*($T$9-$K$9)))))</f>
        <v/>
      </c>
      <c r="AU154" s="29">
        <f>IF(OR(AR154=0,$S$9=0),0,IF((AE154+$K$9)&gt;$S$9/HU_alpha+$K$9,0.5*$S$9/HU_alpha,IF((AE154+$K$9)&gt;=$K$9,((AE154+$K$9)-$K$9)-0.5*HU_alpha/$S$9*((AE154+$K$9)-$K$9)^2,IF((AE154+$K$9)&gt;=$T$9,HU_beta*((AE154+$K$9)-$K$9),HU_beta*($T$9-$K$9)))))</f>
        <v/>
      </c>
      <c r="AV154" s="63">
        <f>IF(AND($J$10,A154=$Q$10),J154,0)</f>
        <v/>
      </c>
      <c r="AW154" s="29">
        <f>IF(OR(AV154=0,$S$10=0),0,IF((AD154+$L$10)&gt;$S$10/HU_alpha+$K$10,0.5*$S$10/HU_alpha,IF((AD154+$L$10)&gt;=$K$10,((AD154+$L$10)-$K$10)-0.5*HU_alpha/$S$10*((AD154+$L$10)-$K$10)^2,IF((AD154+$L$10)&gt;=$T$10,HU_beta*((AD154+$L$10)-$K$10),HU_beta*($T$10-$K$10)))))</f>
        <v/>
      </c>
      <c r="AX154" s="29">
        <f>IF(OR(AV154=0,$S$10=0),0,IF((AD154+$L$10+$N$10)&gt;$S$10/HU_alpha+$K$10,0.5*$S$10/HU_alpha,IF((AD154+$L$10+$N$10)&gt;=$K$10,((AD154+$L$10+$N$10)-$K$10)-0.5*HU_alpha/$S$10*((AD154+$L$10+$N$10)-$K$10)^2,IF((AD154+$L$10+$N$10)&gt;=$T$10,HU_beta*((AD154+$L$10+$N$10)-$K$10),HU_beta*($T$10-$K$10)))))</f>
        <v/>
      </c>
      <c r="AY154" s="29">
        <f>IF(OR(AV154=0,$S$10=0),0,IF((AD154+$K$10)&gt;$S$10/HU_alpha+$K$10,0.5*$S$10/HU_alpha,IF((AD154+$K$10)&gt;=$K$10,((AD154+$K$10)-$K$10)-0.5*HU_alpha/$S$10*((AD154+$K$10)-$K$10)^2,IF((AD154+$K$10)&gt;=$T$10,HU_beta*((AD154+$K$10)-$K$10),HU_beta*($T$10-$K$10)))))</f>
        <v/>
      </c>
      <c r="AZ154" s="63">
        <f>IF(AND($J$11,A154=$Q$11),J154,0)</f>
        <v/>
      </c>
      <c r="BA154" s="29">
        <f>IF(OR(AZ154=0,$S$11=0),0,IF((AE154+$L$11)&gt;$S$11/HU_alpha+$K$11,0.5*$S$11/HU_alpha,IF((AE154+$L$11)&gt;=$K$11,((AE154+$L$11)-$K$11)-0.5*HU_alpha/$S$11*((AE154+$L$11)-$K$11)^2,IF((AE154+$L$11)&gt;=$T$11,HU_beta*((AE154+$L$11)-$K$11),HU_beta*($T$11-$K$11)))))</f>
        <v/>
      </c>
      <c r="BB154" s="29">
        <f>IF(OR(AZ154=0,$S$11=0),0,IF((AE154+$L$11+$N$11)&gt;$S$11/HU_alpha+$K$11,0.5*$S$11/HU_alpha,IF((AE154+$L$11+$N$11)&gt;=$K$11,((AE154+$L$11+$N$11)-$K$11)-0.5*HU_alpha/$S$11*((AE154+$L$11+$N$11)-$K$11)^2,IF((AE154+$L$11+$N$11)&gt;=$T$11,HU_beta*((AE154+$L$11+$N$11)-$K$11),HU_beta*($T$11-$K$11)))))</f>
        <v/>
      </c>
      <c r="BC154" s="29">
        <f>IF(OR(AZ154=0,$S$11=0),0,IF((AE154+$K$11)&gt;$S$11/HU_alpha+$K$11,0.5*$S$11/HU_alpha,IF((AE154+$K$11)&gt;=$K$11,((AE154+$K$11)-$K$11)-0.5*HU_alpha/$S$11*((AE154+$K$11)-$K$11)^2,IF((AE154+$K$11)&gt;=$T$11,HU_beta*((AE154+$K$11)-$K$11),HU_beta*($T$11-$K$11)))))</f>
        <v/>
      </c>
      <c r="BD154" s="63">
        <f>IF(AND($J$12,A154=$Q$12),J154,0)</f>
        <v/>
      </c>
      <c r="BE154" s="29">
        <f>IF(OR(BD154=0,$S$12=0),0,IF((AE154+$L$12)&gt;$S$12/HU_alpha+$K$12,0.5*$S$12/HU_alpha,IF((AE154+$L$12)&gt;=$K$12,((AE154+$L$12)-$K$12)-0.5*HU_alpha/$S$12*((AE154+$L$12)-$K$12)^2,IF((AE154+$L$12)&gt;=$T$12,HU_beta*((AE154+$L$12)-$K$12),HU_beta*($T$12-$K$12)))))</f>
        <v/>
      </c>
      <c r="BF154" s="29">
        <f>IF(OR(BD154=0,$S$12=0),0,IF((AE154+$L$12+$N$12)&gt;$S$12/HU_alpha+$K$12,0.5*$S$12/HU_alpha,IF((AE154+$L$12+$N$12)&gt;=$K$12,((AE154+$L$12+$N$12)-$K$12)-0.5*HU_alpha/$S$12*((AE154+$L$12+$N$12)-$K$12)^2,IF((AE154+$L$12+$N$12)&gt;=$T$12,HU_beta*((AE154+$L$12+$N$12)-$K$12),HU_beta*($T$12-$K$12)))))</f>
        <v/>
      </c>
      <c r="BG154" s="29">
        <f>IF(OR(BD154=0,$S$12=0),0,IF((AE154+$K$12)&gt;$S$12/HU_alpha+$K$12,0.5*$S$12/HU_alpha,IF((AE154+$K$12)&gt;=$K$12,((AE154+$K$12)-$K$12)-0.5*HU_alpha/$S$12*((AE154+$K$12)-$K$12)^2,IF((AE154+$K$12)&gt;=$T$12,HU_beta*((AE154+$K$12)-$K$12),HU_beta*($T$12-$K$12)))))</f>
        <v/>
      </c>
      <c r="BH154" s="63">
        <f>IF(AND($J$13,A154=$Q$13),J154,0)</f>
        <v/>
      </c>
      <c r="BI154" s="29">
        <f>IF(OR(BH154=0,$S$13=0),0,IF((AE154+$L$13)&gt;$S$13/HU_alpha+$K$13,0.5*$S$13/HU_alpha,IF((AE154+$L$13)&gt;=$K$13,((AE154+$L$13)-$K$13)-0.5*HU_alpha/$S$13*((AE154+$L$13)-$K$13)^2,IF((AE154+$L$13)&gt;=$T$13,HU_beta*((AE154+$L$13)-$K$13),HU_beta*($T$13-$K$13)))))</f>
        <v/>
      </c>
      <c r="BJ154" s="29">
        <f>IF(OR(BH154=0,$S$13=0),0,IF((AE154+$L$13+$N$13)&gt;$S$13/HU_alpha+$K$13,0.5*$S$13/HU_alpha,IF((AE154+$L$13+$N$13)&gt;=$K$13,((AE154+$L$13+$N$13)-$K$13)-0.5*HU_alpha/$S$13*((AE154+$L$13+$N$13)-$K$13)^2,IF((AE154+$L$13+$N$13)&gt;=$T$13,HU_beta*((AE154+$L$13+$N$13)-$K$13),HU_beta*($T$13-$K$13)))))</f>
        <v/>
      </c>
      <c r="BK154" s="29">
        <f>IF(OR(BH154=0,$S$13=0),0,IF((AE154+$K$13)&gt;$S$13/HU_alpha+$K$13,0.5*$S$13/HU_alpha,IF((AE154+$K$13)&gt;=$K$13,((AE154+$K$13)-$K$13)-0.5*HU_alpha/$S$13*((AE154+$K$13)-$K$13)^2,IF((AE154+$K$13)&gt;=$T$13,HU_beta*((AE154+$K$13)-$K$13),HU_beta*($T$13-$K$13)))))</f>
        <v/>
      </c>
    </row>
    <row r="155">
      <c r="A155" s="61" t="n">
        <v>82</v>
      </c>
      <c r="B155" s="61">
        <f>HU_age+A155</f>
        <v/>
      </c>
      <c r="C155" s="52">
        <f>A155&lt;=HU_T</f>
        <v/>
      </c>
      <c r="D155" s="63">
        <f>IF(OR(A155&lt;1,A155&gt;HU_T),0,INDEX(HU_q_mort,HU_age+A155-17,HU_col))</f>
        <v/>
      </c>
      <c r="E155" s="63">
        <f>IF(OR(A155&lt;1,A155&gt;HU_T),0,INDEX(HU_q_adb,HU_age+A155-17,HU_col))</f>
        <v/>
      </c>
      <c r="F155" s="63">
        <f>IF(OR(A155&lt;1,A155&gt;HU_T),0,INDEX(HU_q_morb,HU_age+A155-17,HU_col))</f>
        <v/>
      </c>
      <c r="G155" s="63">
        <f>IF(OR(A155&lt;1,A155&gt;HU_T),0,INDEX(HU_q_ptd,HU_age+A155-17,HU_col))</f>
        <v/>
      </c>
      <c r="H155" s="63">
        <f>IF(OR(A155&lt;1,A155&gt;HU_T),0,INDEX(HU_q_dis,HU_age+A155-17,HU_col))</f>
        <v/>
      </c>
      <c r="I155" s="63">
        <f>IF(A155&gt;HU_T,0,I154*(1-D155)*(1-E155))</f>
        <v/>
      </c>
      <c r="J155" s="63">
        <f>IF(A155&gt;=HU_T,0,N(I156))</f>
        <v/>
      </c>
      <c r="K155" s="63">
        <f>K154*(1-G155)</f>
        <v/>
      </c>
      <c r="L155" s="63">
        <f>1-K155</f>
        <v/>
      </c>
      <c r="M155" s="63">
        <f>K154*G155</f>
        <v/>
      </c>
      <c r="N155" s="63">
        <f>N154*(1-H155)</f>
        <v/>
      </c>
      <c r="O155" s="63">
        <f>1-N154</f>
        <v/>
      </c>
      <c r="P155" s="63">
        <f>P154*(1-F155)</f>
        <v/>
      </c>
      <c r="Q155" s="63">
        <f>1-P154/INDEX($P$73:$P$155,MAX(1,A155-HU_ciYears))</f>
        <v/>
      </c>
      <c r="R155" s="60">
        <f>(1+inflationRate)^A155</f>
        <v/>
      </c>
      <c r="S155" s="29">
        <f>IF(OR(OR(A155&lt;1,A155&gt;HU_T),A155-1&gt;=HU_dtr),0,HU_inc0*(1+incomeGrowthRate)^A155)</f>
        <v/>
      </c>
      <c r="T155" s="60">
        <f>IF(A155&gt;HU_T,T154,T154*(1+INDEX(HU_ssG,HU_age+A155-17)))</f>
        <v/>
      </c>
      <c r="U155" s="29">
        <f>IF(AND(HU_dtr&gt;=1,A155=HU_dtr,A155&lt;=HU_T),MIN(S155*INDEX(HU_ssC,HU_age+A155-17)/(1-INDEX(HU_ssC,HU_age+A155-17)),INDEX(HU_ssCap,HU_age+A155-17))*T155,0)</f>
        <v/>
      </c>
      <c r="V155" s="29">
        <f>S155+U155+IF(AND(HU_wdSAVOn,A155=HU_wdSAVYear),HU_wdSAVAmt,0)+IF(AND(HU_wdPRPOn,A155=HU_wdPRPYear),HU_wdPRPAmt,0)</f>
        <v/>
      </c>
      <c r="W155" s="60">
        <f>HU_ciProp*Q155+HU_tpdCut*L155+HU_disCut*O155</f>
        <v/>
      </c>
      <c r="X155" s="29">
        <f>IF(OR(A155&lt;1,A155&gt;HU_T),0,V155*(1-W155))</f>
        <v/>
      </c>
      <c r="Y155" s="29">
        <f>IF(OR(A155&lt;1,A155&gt;HU_T),0,IF(AND(HU_retExp&gt;0,A155-1&gt;=HU_dtr),HU_retExp,HU_exp0)*R155)</f>
        <v/>
      </c>
      <c r="Z155" s="29">
        <f>-Y155-IF(AND(HU_wdEDUOn,A155=HU_wdEDUYear),HU_wdEDUAmt,0)-IF(AND(HU_wdSAVOn,A155=HU_wdSAVYear),HU_wdSAVAmt,0)-IF(AND(HU_wdPRPOn,A155=HU_wdPRPYear),HU_wdPRPAmt,0)</f>
        <v/>
      </c>
      <c r="AA155" s="29">
        <f>IF(OR(A155&lt;1,A155&gt;HU_T),0,-HU_medCost*R155*F155-HU_tpdCost*R155*M155)</f>
        <v/>
      </c>
      <c r="AB155" s="29">
        <f>IF(A155&gt;HU_T,0,AB154*(1+interestRate)+X155+Z155+AA155)</f>
        <v/>
      </c>
      <c r="AC155" s="29">
        <f>IF(A155&gt;HU_T,0,HU_inv*EXP(HU_mu*A155))</f>
        <v/>
      </c>
      <c r="AD155" s="29">
        <f>IF(A155&gt;HU_T,0,MAX(0,AC155+AB155))</f>
        <v/>
      </c>
      <c r="AE155" s="29">
        <f>IF(A155&gt;HU_T,0,MAX(0,X155-Y155))</f>
        <v/>
      </c>
      <c r="AF155" s="63">
        <f>IF(AND($J$6,A155&gt;=1,A155&lt;=$Q$6-1),J155,0)</f>
        <v/>
      </c>
      <c r="AG155" s="29">
        <f>IF(OR(AF155=0,$S$6=0),0,IF((AD155+$L$6)&gt;$S$6/HU_alpha+$K$6,0.5*$S$6/HU_alpha,IF((AD155+$L$6)&gt;=$K$6,((AD155+$L$6)-$K$6)-0.5*HU_alpha/$S$6*((AD155+$L$6)-$K$6)^2,IF((AD155+$L$6)&gt;=$T$6,HU_beta*((AD155+$L$6)-$K$6),HU_beta*($T$6-$K$6)))))</f>
        <v/>
      </c>
      <c r="AH155" s="29">
        <f>IF(OR(AF155=0,$S$6=0),0,IF((AD155+$L$6+$N$6)&gt;$S$6/HU_alpha+$K$6,0.5*$S$6/HU_alpha,IF((AD155+$L$6+$N$6)&gt;=$K$6,((AD155+$L$6+$N$6)-$K$6)-0.5*HU_alpha/$S$6*((AD155+$L$6+$N$6)-$K$6)^2,IF((AD155+$L$6+$N$6)&gt;=$T$6,HU_beta*((AD155+$L$6+$N$6)-$K$6),HU_beta*($T$6-$K$6)))))</f>
        <v/>
      </c>
      <c r="AI155" s="29">
        <f>IF(OR(AF155=0,$S$6=0),0,IF((AD155+$K$6)&gt;$S$6/HU_alpha+$K$6,0.5*$S$6/HU_alpha,IF((AD155+$K$6)&gt;=$K$6,((AD155+$K$6)-$K$6)-0.5*HU_alpha/$S$6*((AD155+$K$6)-$K$6)^2,IF((AD155+$K$6)&gt;=$T$6,HU_beta*((AD155+$K$6)-$K$6),HU_beta*($T$6-$K$6)))))</f>
        <v/>
      </c>
      <c r="AJ155" s="63">
        <f>IF(AND($J$7,A155&gt;=1,A155&lt;=$Q$7-1),J155,0)</f>
        <v/>
      </c>
      <c r="AK155" s="29">
        <f>IF(OR(AJ155=0,$S$7=0),0,IF((AE155+$L$7)&gt;$S$7/HU_alpha+$K$7,0.5*$S$7/HU_alpha,IF((AE155+$L$7)&gt;=$K$7,((AE155+$L$7)-$K$7)-0.5*HU_alpha/$S$7*((AE155+$L$7)-$K$7)^2,IF((AE155+$L$7)&gt;=$T$7,HU_beta*((AE155+$L$7)-$K$7),HU_beta*($T$7-$K$7)))))</f>
        <v/>
      </c>
      <c r="AL155" s="29">
        <f>IF(OR(AJ155=0,$S$7=0),0,IF((AE155+$L$7+$N$7)&gt;$S$7/HU_alpha+$K$7,0.5*$S$7/HU_alpha,IF((AE155+$L$7+$N$7)&gt;=$K$7,((AE155+$L$7+$N$7)-$K$7)-0.5*HU_alpha/$S$7*((AE155+$L$7+$N$7)-$K$7)^2,IF((AE155+$L$7+$N$7)&gt;=$T$7,HU_beta*((AE155+$L$7+$N$7)-$K$7),HU_beta*($T$7-$K$7)))))</f>
        <v/>
      </c>
      <c r="AM155" s="29">
        <f>IF(OR(AJ155=0,$S$7=0),0,IF((AE155+$K$7)&gt;$S$7/HU_alpha+$K$7,0.5*$S$7/HU_alpha,IF((AE155+$K$7)&gt;=$K$7,((AE155+$K$7)-$K$7)-0.5*HU_alpha/$S$7*((AE155+$K$7)-$K$7)^2,IF((AE155+$K$7)&gt;=$T$7,HU_beta*((AE155+$K$7)-$K$7),HU_beta*($T$7-$K$7)))))</f>
        <v/>
      </c>
      <c r="AN155" s="63">
        <f>IF(AND($J$8,A155&gt;=1,A155&lt;=$Q$8-1),J155,0)</f>
        <v/>
      </c>
      <c r="AO155" s="29">
        <f>IF(OR(AN155=0,$S$8=0),0,IF((AE155+$L$8)&gt;$S$8/HU_alpha+$K$8,0.5*$S$8/HU_alpha,IF((AE155+$L$8)&gt;=$K$8,((AE155+$L$8)-$K$8)-0.5*HU_alpha/$S$8*((AE155+$L$8)-$K$8)^2,IF((AE155+$L$8)&gt;=$T$8,HU_beta*((AE155+$L$8)-$K$8),HU_beta*($T$8-$K$8)))))</f>
        <v/>
      </c>
      <c r="AP155" s="29">
        <f>IF(OR(AN155=0,$S$8=0),0,IF((AE155+$L$8+$N$8)&gt;$S$8/HU_alpha+$K$8,0.5*$S$8/HU_alpha,IF((AE155+$L$8+$N$8)&gt;=$K$8,((AE155+$L$8+$N$8)-$K$8)-0.5*HU_alpha/$S$8*((AE155+$L$8+$N$8)-$K$8)^2,IF((AE155+$L$8+$N$8)&gt;=$T$8,HU_beta*((AE155+$L$8+$N$8)-$K$8),HU_beta*($T$8-$K$8)))))</f>
        <v/>
      </c>
      <c r="AQ155" s="29">
        <f>IF(OR(AN155=0,$S$8=0),0,IF((AE155+$K$8)&gt;$S$8/HU_alpha+$K$8,0.5*$S$8/HU_alpha,IF((AE155+$K$8)&gt;=$K$8,((AE155+$K$8)-$K$8)-0.5*HU_alpha/$S$8*((AE155+$K$8)-$K$8)^2,IF((AE155+$K$8)&gt;=$T$8,HU_beta*((AE155+$K$8)-$K$8),HU_beta*($T$8-$K$8)))))</f>
        <v/>
      </c>
      <c r="AR155" s="63">
        <f>IF(AND($J$9,A155&gt;=1,A155&lt;=$Q$9-1),J155,0)</f>
        <v/>
      </c>
      <c r="AS155" s="29">
        <f>IF(OR(AR155=0,$S$9=0),0,IF((AE155+$L$9)&gt;$S$9/HU_alpha+$K$9,0.5*$S$9/HU_alpha,IF((AE155+$L$9)&gt;=$K$9,((AE155+$L$9)-$K$9)-0.5*HU_alpha/$S$9*((AE155+$L$9)-$K$9)^2,IF((AE155+$L$9)&gt;=$T$9,HU_beta*((AE155+$L$9)-$K$9),HU_beta*($T$9-$K$9)))))</f>
        <v/>
      </c>
      <c r="AT155" s="29">
        <f>IF(OR(AR155=0,$S$9=0),0,IF((AE155+$L$9+$N$9)&gt;$S$9/HU_alpha+$K$9,0.5*$S$9/HU_alpha,IF((AE155+$L$9+$N$9)&gt;=$K$9,((AE155+$L$9+$N$9)-$K$9)-0.5*HU_alpha/$S$9*((AE155+$L$9+$N$9)-$K$9)^2,IF((AE155+$L$9+$N$9)&gt;=$T$9,HU_beta*((AE155+$L$9+$N$9)-$K$9),HU_beta*($T$9-$K$9)))))</f>
        <v/>
      </c>
      <c r="AU155" s="29">
        <f>IF(OR(AR155=0,$S$9=0),0,IF((AE155+$K$9)&gt;$S$9/HU_alpha+$K$9,0.5*$S$9/HU_alpha,IF((AE155+$K$9)&gt;=$K$9,((AE155+$K$9)-$K$9)-0.5*HU_alpha/$S$9*((AE155+$K$9)-$K$9)^2,IF((AE155+$K$9)&gt;=$T$9,HU_beta*((AE155+$K$9)-$K$9),HU_beta*($T$9-$K$9)))))</f>
        <v/>
      </c>
      <c r="AV155" s="63">
        <f>IF(AND($J$10,A155=$Q$10),J155,0)</f>
        <v/>
      </c>
      <c r="AW155" s="29">
        <f>IF(OR(AV155=0,$S$10=0),0,IF((AD155+$L$10)&gt;$S$10/HU_alpha+$K$10,0.5*$S$10/HU_alpha,IF((AD155+$L$10)&gt;=$K$10,((AD155+$L$10)-$K$10)-0.5*HU_alpha/$S$10*((AD155+$L$10)-$K$10)^2,IF((AD155+$L$10)&gt;=$T$10,HU_beta*((AD155+$L$10)-$K$10),HU_beta*($T$10-$K$10)))))</f>
        <v/>
      </c>
      <c r="AX155" s="29">
        <f>IF(OR(AV155=0,$S$10=0),0,IF((AD155+$L$10+$N$10)&gt;$S$10/HU_alpha+$K$10,0.5*$S$10/HU_alpha,IF((AD155+$L$10+$N$10)&gt;=$K$10,((AD155+$L$10+$N$10)-$K$10)-0.5*HU_alpha/$S$10*((AD155+$L$10+$N$10)-$K$10)^2,IF((AD155+$L$10+$N$10)&gt;=$T$10,HU_beta*((AD155+$L$10+$N$10)-$K$10),HU_beta*($T$10-$K$10)))))</f>
        <v/>
      </c>
      <c r="AY155" s="29">
        <f>IF(OR(AV155=0,$S$10=0),0,IF((AD155+$K$10)&gt;$S$10/HU_alpha+$K$10,0.5*$S$10/HU_alpha,IF((AD155+$K$10)&gt;=$K$10,((AD155+$K$10)-$K$10)-0.5*HU_alpha/$S$10*((AD155+$K$10)-$K$10)^2,IF((AD155+$K$10)&gt;=$T$10,HU_beta*((AD155+$K$10)-$K$10),HU_beta*($T$10-$K$10)))))</f>
        <v/>
      </c>
      <c r="AZ155" s="63">
        <f>IF(AND($J$11,A155=$Q$11),J155,0)</f>
        <v/>
      </c>
      <c r="BA155" s="29">
        <f>IF(OR(AZ155=0,$S$11=0),0,IF((AE155+$L$11)&gt;$S$11/HU_alpha+$K$11,0.5*$S$11/HU_alpha,IF((AE155+$L$11)&gt;=$K$11,((AE155+$L$11)-$K$11)-0.5*HU_alpha/$S$11*((AE155+$L$11)-$K$11)^2,IF((AE155+$L$11)&gt;=$T$11,HU_beta*((AE155+$L$11)-$K$11),HU_beta*($T$11-$K$11)))))</f>
        <v/>
      </c>
      <c r="BB155" s="29">
        <f>IF(OR(AZ155=0,$S$11=0),0,IF((AE155+$L$11+$N$11)&gt;$S$11/HU_alpha+$K$11,0.5*$S$11/HU_alpha,IF((AE155+$L$11+$N$11)&gt;=$K$11,((AE155+$L$11+$N$11)-$K$11)-0.5*HU_alpha/$S$11*((AE155+$L$11+$N$11)-$K$11)^2,IF((AE155+$L$11+$N$11)&gt;=$T$11,HU_beta*((AE155+$L$11+$N$11)-$K$11),HU_beta*($T$11-$K$11)))))</f>
        <v/>
      </c>
      <c r="BC155" s="29">
        <f>IF(OR(AZ155=0,$S$11=0),0,IF((AE155+$K$11)&gt;$S$11/HU_alpha+$K$11,0.5*$S$11/HU_alpha,IF((AE155+$K$11)&gt;=$K$11,((AE155+$K$11)-$K$11)-0.5*HU_alpha/$S$11*((AE155+$K$11)-$K$11)^2,IF((AE155+$K$11)&gt;=$T$11,HU_beta*((AE155+$K$11)-$K$11),HU_beta*($T$11-$K$11)))))</f>
        <v/>
      </c>
      <c r="BD155" s="63">
        <f>IF(AND($J$12,A155=$Q$12),J155,0)</f>
        <v/>
      </c>
      <c r="BE155" s="29">
        <f>IF(OR(BD155=0,$S$12=0),0,IF((AE155+$L$12)&gt;$S$12/HU_alpha+$K$12,0.5*$S$12/HU_alpha,IF((AE155+$L$12)&gt;=$K$12,((AE155+$L$12)-$K$12)-0.5*HU_alpha/$S$12*((AE155+$L$12)-$K$12)^2,IF((AE155+$L$12)&gt;=$T$12,HU_beta*((AE155+$L$12)-$K$12),HU_beta*($T$12-$K$12)))))</f>
        <v/>
      </c>
      <c r="BF155" s="29">
        <f>IF(OR(BD155=0,$S$12=0),0,IF((AE155+$L$12+$N$12)&gt;$S$12/HU_alpha+$K$12,0.5*$S$12/HU_alpha,IF((AE155+$L$12+$N$12)&gt;=$K$12,((AE155+$L$12+$N$12)-$K$12)-0.5*HU_alpha/$S$12*((AE155+$L$12+$N$12)-$K$12)^2,IF((AE155+$L$12+$N$12)&gt;=$T$12,HU_beta*((AE155+$L$12+$N$12)-$K$12),HU_beta*($T$12-$K$12)))))</f>
        <v/>
      </c>
      <c r="BG155" s="29">
        <f>IF(OR(BD155=0,$S$12=0),0,IF((AE155+$K$12)&gt;$S$12/HU_alpha+$K$12,0.5*$S$12/HU_alpha,IF((AE155+$K$12)&gt;=$K$12,((AE155+$K$12)-$K$12)-0.5*HU_alpha/$S$12*((AE155+$K$12)-$K$12)^2,IF((AE155+$K$12)&gt;=$T$12,HU_beta*((AE155+$K$12)-$K$12),HU_beta*($T$12-$K$12)))))</f>
        <v/>
      </c>
      <c r="BH155" s="63">
        <f>IF(AND($J$13,A155=$Q$13),J155,0)</f>
        <v/>
      </c>
      <c r="BI155" s="29">
        <f>IF(OR(BH155=0,$S$13=0),0,IF((AE155+$L$13)&gt;$S$13/HU_alpha+$K$13,0.5*$S$13/HU_alpha,IF((AE155+$L$13)&gt;=$K$13,((AE155+$L$13)-$K$13)-0.5*HU_alpha/$S$13*((AE155+$L$13)-$K$13)^2,IF((AE155+$L$13)&gt;=$T$13,HU_beta*((AE155+$L$13)-$K$13),HU_beta*($T$13-$K$13)))))</f>
        <v/>
      </c>
      <c r="BJ155" s="29">
        <f>IF(OR(BH155=0,$S$13=0),0,IF((AE155+$L$13+$N$13)&gt;$S$13/HU_alpha+$K$13,0.5*$S$13/HU_alpha,IF((AE155+$L$13+$N$13)&gt;=$K$13,((AE155+$L$13+$N$13)-$K$13)-0.5*HU_alpha/$S$13*((AE155+$L$13+$N$13)-$K$13)^2,IF((AE155+$L$13+$N$13)&gt;=$T$13,HU_beta*((AE155+$L$13+$N$13)-$K$13),HU_beta*($T$13-$K$13)))))</f>
        <v/>
      </c>
      <c r="BK155" s="29">
        <f>IF(OR(BH155=0,$S$13=0),0,IF((AE155+$K$13)&gt;$S$13/HU_alpha+$K$13,0.5*$S$13/HU_alpha,IF((AE155+$K$13)&gt;=$K$13,((AE155+$K$13)-$K$13)-0.5*HU_alpha/$S$13*((AE155+$K$13)-$K$13)^2,IF((AE155+$K$13)&gt;=$T$13,HU_beta*((AE155+$K$13)-$K$13),HU_beta*($T$13-$K$13)))))</f>
        <v/>
      </c>
    </row>
  </sheetData>
  <mergeCells count="18">
    <mergeCell ref="A1:D1"/>
    <mergeCell ref="AR71:AU71"/>
    <mergeCell ref="BH71:BK71"/>
    <mergeCell ref="A71:C71"/>
    <mergeCell ref="AJ71:AM71"/>
    <mergeCell ref="AF71:AI71"/>
    <mergeCell ref="AV71:AY71"/>
    <mergeCell ref="AZ71:BC71"/>
    <mergeCell ref="BD71:BG71"/>
    <mergeCell ref="A4:D4"/>
    <mergeCell ref="H4:AF4"/>
    <mergeCell ref="A15:D15"/>
    <mergeCell ref="D71:H71"/>
    <mergeCell ref="I71:Q71"/>
    <mergeCell ref="R71:AE71"/>
    <mergeCell ref="A60:D60"/>
    <mergeCell ref="A36:D36"/>
    <mergeCell ref="AN71:AQ71"/>
  </mergeCells>
  <conditionalFormatting sqref="A73:BK155">
    <cfRule type="expression" priority="1" dxfId="2">
      <formula>OR($C73=FALSE,$B73&gt;IFERROR(SV_end,endAge))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U2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6" customWidth="1" min="11" max="11"/>
    <col width="12" customWidth="1" min="12" max="12"/>
    <col width="28" customWidth="1" min="14" max="14"/>
    <col width="8" customWidth="1" min="15" max="15"/>
    <col width="10" customWidth="1" min="16" max="16"/>
    <col width="9" customWidth="1" min="17" max="17"/>
    <col width="16" customWidth="1" min="18" max="18"/>
    <col width="18" customWidth="1" min="19" max="19"/>
    <col width="16" customWidth="1" min="20" max="20"/>
    <col width="40" customWidth="1" min="21" max="21"/>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38" t="inlineStr">
        <is>
          <t>D · RATE TABLE  —  152 currencies, market rate 2026-09-25 (fx_ppp/currencies_fx.csv). App: live feed, locked on the session</t>
        </is>
      </c>
      <c r="J4" s="34" t="n"/>
      <c r="K4" s="34" t="n"/>
      <c r="L4" s="35" t="n"/>
      <c r="N4" s="38" t="inlineStr">
        <is>
          <t>D · PPP TABLE  —  245 countries. Price level = World Bank PPP ÷ 2024 average market rate (US = 1). fx_ppp/countries_ppp.csv</t>
        </is>
      </c>
      <c r="O4" s="34" t="n"/>
      <c r="P4" s="34" t="n"/>
      <c r="Q4" s="34" t="n"/>
      <c r="R4" s="34" t="n"/>
      <c r="S4" s="34" t="n"/>
      <c r="T4" s="34" t="n"/>
      <c r="U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units per USD</t>
        </is>
      </c>
      <c r="L5" s="3" t="inlineStr">
        <is>
          <t>date</t>
        </is>
      </c>
      <c r="N5" s="3" t="inlineStr">
        <is>
          <t>country</t>
        </is>
      </c>
      <c r="O5" s="3" t="inlineStr">
        <is>
          <t>ISO3</t>
        </is>
      </c>
      <c r="P5" s="3" t="inlineStr">
        <is>
          <t>currency</t>
        </is>
      </c>
      <c r="Q5" s="3" t="inlineStr">
        <is>
          <t>PPP year</t>
        </is>
      </c>
      <c r="R5" s="3" t="inlineStr">
        <is>
          <t>PPP (LCU per int. $)</t>
        </is>
      </c>
      <c r="S5" s="3" t="inlineStr">
        <is>
          <t>2024 avg (LCU per USD)</t>
        </is>
      </c>
      <c r="T5" s="3" t="inlineStr">
        <is>
          <t>price level (US = 1)</t>
        </is>
      </c>
      <c r="U5" s="3" t="inlineStr">
        <is>
          <t>flag</t>
        </is>
      </c>
    </row>
    <row r="6">
      <c r="A6" s="17" t="inlineStr">
        <is>
          <t>incomeMonthly (local)</t>
        </is>
      </c>
      <c r="B6" s="37">
        <f>PLU_incomeMonthly</f>
        <v/>
      </c>
      <c r="C6" s="13" t="inlineStr">
        <is>
          <t>A · input</t>
        </is>
      </c>
      <c r="D6" s="18" t="inlineStr">
        <is>
          <t>Effective session.</t>
        </is>
      </c>
      <c r="F6" s="21" t="inlineStr">
        <is>
          <t>E · USER / FRONTEND OVERRIDE</t>
        </is>
      </c>
      <c r="I6" s="13" t="inlineStr">
        <is>
          <t>AED</t>
        </is>
      </c>
      <c r="J6" s="64" t="n">
        <v>0.2722940776038121</v>
      </c>
      <c r="K6" s="65" t="n">
        <v>3.6725</v>
      </c>
      <c r="L6" s="66" t="inlineStr">
        <is>
          <t>2026-09-25</t>
        </is>
      </c>
      <c r="N6" s="4" t="inlineStr">
        <is>
          <t>Afghanistan</t>
        </is>
      </c>
      <c r="O6" s="67" t="inlineStr">
        <is>
          <t>AFG</t>
        </is>
      </c>
      <c r="P6" s="67" t="inlineStr">
        <is>
          <t>AFN</t>
        </is>
      </c>
      <c r="Q6" s="67" t="n">
        <v>2023</v>
      </c>
      <c r="R6" s="65" t="n">
        <v>14.8009414284672</v>
      </c>
      <c r="S6" s="65" t="n">
        <v>70.233314185</v>
      </c>
      <c r="T6" s="68" t="n">
        <v>0.2107</v>
      </c>
      <c r="U6" s="66" t="inlineStr"/>
    </row>
    <row r="7">
      <c r="A7" s="17" t="inlineStr">
        <is>
          <t>expenseMonthly (local)</t>
        </is>
      </c>
      <c r="B7" s="37">
        <f>PLU_expenseMonthly</f>
        <v/>
      </c>
      <c r="C7" s="13" t="inlineStr">
        <is>
          <t>A · input</t>
        </is>
      </c>
      <c r="D7" s="18" t="inlineStr"/>
      <c r="I7" s="13" t="inlineStr">
        <is>
          <t>AFN</t>
        </is>
      </c>
      <c r="J7" s="64" t="n">
        <v>0.01562325566594603</v>
      </c>
      <c r="K7" s="65" t="n">
        <v>64.00714558999999</v>
      </c>
      <c r="L7" s="66" t="inlineStr">
        <is>
          <t>2026-09-25</t>
        </is>
      </c>
      <c r="N7" s="4" t="inlineStr">
        <is>
          <t>Albania</t>
        </is>
      </c>
      <c r="O7" s="67" t="inlineStr">
        <is>
          <t>ALB</t>
        </is>
      </c>
      <c r="P7" s="67" t="inlineStr">
        <is>
          <t>ALL</t>
        </is>
      </c>
      <c r="Q7" s="67" t="n">
        <v>2024</v>
      </c>
      <c r="R7" s="65" t="n">
        <v>39.6673837913105</v>
      </c>
      <c r="S7" s="65" t="n">
        <v>92.66853639199999</v>
      </c>
      <c r="T7" s="68" t="n">
        <v>0.4281</v>
      </c>
      <c r="U7" s="66" t="inlineStr"/>
    </row>
    <row r="8">
      <c r="A8" s="17" t="inlineStr">
        <is>
          <t>cash (local)</t>
        </is>
      </c>
      <c r="B8" s="37">
        <f>PLU_cash</f>
        <v/>
      </c>
      <c r="C8" s="13" t="inlineStr">
        <is>
          <t>A · input</t>
        </is>
      </c>
      <c r="D8" s="18" t="inlineStr"/>
      <c r="I8" s="13" t="inlineStr">
        <is>
          <t>ALL</t>
        </is>
      </c>
      <c r="J8" s="64" t="n">
        <v>0.0124214988445056</v>
      </c>
      <c r="K8" s="65" t="n">
        <v>80.5055825</v>
      </c>
      <c r="L8" s="66" t="inlineStr">
        <is>
          <t>2026-09-25</t>
        </is>
      </c>
      <c r="N8" s="4" t="inlineStr">
        <is>
          <t>Algeria</t>
        </is>
      </c>
      <c r="O8" s="67" t="inlineStr">
        <is>
          <t>DZA</t>
        </is>
      </c>
      <c r="P8" s="67" t="inlineStr">
        <is>
          <t>DZD</t>
        </is>
      </c>
      <c r="Q8" s="67" t="n">
        <v>2024</v>
      </c>
      <c r="R8" s="65" t="n">
        <v>43.7670017603446</v>
      </c>
      <c r="S8" s="65" t="n">
        <v>134.203873092</v>
      </c>
      <c r="T8" s="68" t="n">
        <v>0.3261</v>
      </c>
      <c r="U8" s="66" t="inlineStr"/>
    </row>
    <row r="9">
      <c r="A9" s="17" t="inlineStr">
        <is>
          <t>investments (local)</t>
        </is>
      </c>
      <c r="B9" s="47">
        <f>PLU_investments</f>
        <v/>
      </c>
      <c r="C9" s="13" t="inlineStr">
        <is>
          <t>A · input</t>
        </is>
      </c>
      <c r="D9" s="18" t="inlineStr"/>
      <c r="I9" s="13" t="inlineStr">
        <is>
          <t>AMD</t>
        </is>
      </c>
      <c r="J9" s="64" t="n">
        <v>0.002753752709005363</v>
      </c>
      <c r="K9" s="65" t="n">
        <v>363.14081389</v>
      </c>
      <c r="L9" s="66" t="inlineStr">
        <is>
          <t>2026-09-25</t>
        </is>
      </c>
      <c r="N9" s="4" t="inlineStr">
        <is>
          <t>American Samoa</t>
        </is>
      </c>
      <c r="O9" s="67" t="inlineStr">
        <is>
          <t>ASM</t>
        </is>
      </c>
      <c r="P9" s="67" t="inlineStr">
        <is>
          <t>USD</t>
        </is>
      </c>
      <c r="Q9" s="67" t="inlineStr"/>
      <c r="R9" s="65" t="inlineStr"/>
      <c r="S9" s="65" t="n">
        <v>1</v>
      </c>
      <c r="T9" s="69" t="inlineStr"/>
      <c r="U9" s="66" t="inlineStr">
        <is>
          <t>no World Bank PPP</t>
        </is>
      </c>
    </row>
    <row r="10">
      <c r="A10" s="17" t="inlineStr">
        <is>
          <t>property (local)</t>
        </is>
      </c>
      <c r="B10" s="47">
        <f>PLU_property</f>
        <v/>
      </c>
      <c r="C10" s="13" t="inlineStr">
        <is>
          <t>A · input</t>
        </is>
      </c>
      <c r="D10" s="18" t="inlineStr"/>
      <c r="I10" s="13" t="inlineStr">
        <is>
          <t>AOA</t>
        </is>
      </c>
      <c r="J10" s="64" t="n">
        <v>0.00109089773638529</v>
      </c>
      <c r="K10" s="65" t="n">
        <v>916.67620772</v>
      </c>
      <c r="L10" s="66" t="inlineStr">
        <is>
          <t>2026-09-25</t>
        </is>
      </c>
      <c r="N10" s="4" t="inlineStr">
        <is>
          <t>Andorra</t>
        </is>
      </c>
      <c r="O10" s="67" t="inlineStr">
        <is>
          <t>AND</t>
        </is>
      </c>
      <c r="P10" s="67" t="inlineStr">
        <is>
          <t>EUR</t>
        </is>
      </c>
      <c r="Q10" s="67" t="n">
        <v>2024</v>
      </c>
      <c r="R10" s="65" t="n">
        <v>0.607839175148891</v>
      </c>
      <c r="S10" s="65" t="n">
        <v>0.926404983</v>
      </c>
      <c r="T10" s="68" t="n">
        <v>0.6561</v>
      </c>
      <c r="U10" s="66" t="inlineStr"/>
    </row>
    <row r="11">
      <c r="A11" s="17" t="inlineStr">
        <is>
          <t>mortgage (local)</t>
        </is>
      </c>
      <c r="B11" s="47">
        <f>PLU_mortgage</f>
        <v/>
      </c>
      <c r="C11" s="13" t="inlineStr">
        <is>
          <t>A · input</t>
        </is>
      </c>
      <c r="D11" s="18" t="inlineStr"/>
      <c r="I11" s="13" t="inlineStr">
        <is>
          <t>ARS</t>
        </is>
      </c>
      <c r="J11" s="64" t="n">
        <v>0.0006579611408993033</v>
      </c>
      <c r="K11" s="65" t="n">
        <v>1519.84659555</v>
      </c>
      <c r="L11" s="66" t="inlineStr">
        <is>
          <t>2026-09-25</t>
        </is>
      </c>
      <c r="N11" s="4" t="inlineStr">
        <is>
          <t>Angola</t>
        </is>
      </c>
      <c r="O11" s="67" t="inlineStr">
        <is>
          <t>AGO</t>
        </is>
      </c>
      <c r="P11" s="67" t="inlineStr">
        <is>
          <t>AOA</t>
        </is>
      </c>
      <c r="Q11" s="67" t="n">
        <v>2024</v>
      </c>
      <c r="R11" s="65" t="n">
        <v>265.840925124981</v>
      </c>
      <c r="S11" s="65" t="n">
        <v>882.817142168</v>
      </c>
      <c r="T11" s="68" t="n">
        <v>0.3011</v>
      </c>
      <c r="U11" s="66" t="inlineStr"/>
    </row>
    <row r="12">
      <c r="A12" s="17" t="inlineStr">
        <is>
          <t>PLU liabilities (local)</t>
        </is>
      </c>
      <c r="B12" s="37">
        <f>PLU_liabilities</f>
        <v/>
      </c>
      <c r="C12" s="13" t="inlineStr">
        <is>
          <t>A · input</t>
        </is>
      </c>
      <c r="D12" s="18" t="inlineStr"/>
      <c r="I12" s="13" t="inlineStr">
        <is>
          <t>AUD</t>
        </is>
      </c>
      <c r="J12" s="64" t="n">
        <v>0.701302771587125</v>
      </c>
      <c r="K12" s="65" t="n">
        <v>1.42591765</v>
      </c>
      <c r="L12" s="66" t="inlineStr">
        <is>
          <t>2026-09-25</t>
        </is>
      </c>
      <c r="N12" s="4" t="inlineStr">
        <is>
          <t>Anguilla</t>
        </is>
      </c>
      <c r="O12" s="67" t="inlineStr">
        <is>
          <t>AIA</t>
        </is>
      </c>
      <c r="P12" s="67" t="inlineStr">
        <is>
          <t>XCD</t>
        </is>
      </c>
      <c r="Q12" s="67" t="inlineStr"/>
      <c r="R12" s="65" t="inlineStr"/>
      <c r="S12" s="65" t="n">
        <v>2.701791065</v>
      </c>
      <c r="T12" s="69" t="inlineStr"/>
      <c r="U12" s="66" t="inlineStr">
        <is>
          <t>no World Bank PPP</t>
        </is>
      </c>
    </row>
    <row r="13">
      <c r="A13" s="17" t="inlineStr">
        <is>
          <t>life sum assured (local)</t>
        </is>
      </c>
      <c r="B13" s="47">
        <f>PLU_lifeSum</f>
        <v/>
      </c>
      <c r="C13" s="13" t="inlineStr">
        <is>
          <t>A · input</t>
        </is>
      </c>
      <c r="D13" s="18" t="inlineStr"/>
      <c r="I13" s="13" t="inlineStr">
        <is>
          <t>AWG</t>
        </is>
      </c>
      <c r="J13" s="64" t="n">
        <v>0.5586592178770949</v>
      </c>
      <c r="K13" s="65" t="n">
        <v>1.79</v>
      </c>
      <c r="L13" s="66" t="inlineStr">
        <is>
          <t>2026-09-25</t>
        </is>
      </c>
      <c r="N13" s="4" t="inlineStr">
        <is>
          <t>Antigua &amp; Barbuda</t>
        </is>
      </c>
      <c r="O13" s="67" t="inlineStr">
        <is>
          <t>ATG</t>
        </is>
      </c>
      <c r="P13" s="67" t="inlineStr">
        <is>
          <t>XCD</t>
        </is>
      </c>
      <c r="Q13" s="67" t="n">
        <v>2024</v>
      </c>
      <c r="R13" s="65" t="n">
        <v>1.90391952523762</v>
      </c>
      <c r="S13" s="65" t="n">
        <v>2.701791065</v>
      </c>
      <c r="T13" s="68" t="n">
        <v>0.7047</v>
      </c>
      <c r="U13" s="66" t="inlineStr"/>
    </row>
    <row r="14">
      <c r="I14" s="13" t="inlineStr">
        <is>
          <t>AZN</t>
        </is>
      </c>
      <c r="J14" s="64" t="n">
        <v>0.5882353460207659</v>
      </c>
      <c r="K14" s="65" t="n">
        <v>1.69999985</v>
      </c>
      <c r="L14" s="66" t="inlineStr">
        <is>
          <t>2026-09-25</t>
        </is>
      </c>
      <c r="N14" s="4" t="inlineStr">
        <is>
          <t>Argentina</t>
        </is>
      </c>
      <c r="O14" s="67" t="inlineStr">
        <is>
          <t>ARG</t>
        </is>
      </c>
      <c r="P14" s="67" t="inlineStr">
        <is>
          <t>ARS</t>
        </is>
      </c>
      <c r="Q14" s="67" t="n">
        <v>2024</v>
      </c>
      <c r="R14" s="65" t="n">
        <v>419.901039679183</v>
      </c>
      <c r="S14" s="65" t="n">
        <v>932.198441004</v>
      </c>
      <c r="T14" s="68" t="n">
        <v>0.4504</v>
      </c>
      <c r="U14" s="66" t="inlineStr"/>
    </row>
    <row r="15">
      <c r="A15" s="19" t="inlineStr">
        <is>
          <t>D · ASSUMPTIONS  —  rate from the table on the right</t>
        </is>
      </c>
      <c r="B15" s="19" t="n"/>
      <c r="C15" s="19" t="n"/>
      <c r="D15" s="19" t="n"/>
      <c r="I15" s="13" t="inlineStr">
        <is>
          <t>BAM</t>
        </is>
      </c>
      <c r="J15" s="64" t="n">
        <v>0.5813211425174121</v>
      </c>
      <c r="K15" s="65" t="n">
        <v>1.72021956</v>
      </c>
      <c r="L15" s="66" t="inlineStr">
        <is>
          <t>2026-09-25</t>
        </is>
      </c>
      <c r="N15" s="4" t="inlineStr">
        <is>
          <t>Armenia</t>
        </is>
      </c>
      <c r="O15" s="67" t="inlineStr">
        <is>
          <t>ARM</t>
        </is>
      </c>
      <c r="P15" s="67" t="inlineStr">
        <is>
          <t>AMD</t>
        </is>
      </c>
      <c r="Q15" s="67" t="n">
        <v>2024</v>
      </c>
      <c r="R15" s="65" t="n">
        <v>147.231105454721</v>
      </c>
      <c r="S15" s="65" t="n">
        <v>389.531026491</v>
      </c>
      <c r="T15" s="68" t="n">
        <v>0.378</v>
      </c>
      <c r="U15" s="66" t="inlineStr"/>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c r="I16" s="13" t="inlineStr">
        <is>
          <t>BBD</t>
        </is>
      </c>
      <c r="J16" s="64" t="n">
        <v>0.5</v>
      </c>
      <c r="K16" s="65" t="n">
        <v>2</v>
      </c>
      <c r="L16" s="66" t="inlineStr">
        <is>
          <t>2026-09-25</t>
        </is>
      </c>
      <c r="N16" s="4" t="inlineStr">
        <is>
          <t>Aruba</t>
        </is>
      </c>
      <c r="O16" s="67" t="inlineStr">
        <is>
          <t>ABW</t>
        </is>
      </c>
      <c r="P16" s="67" t="inlineStr">
        <is>
          <t>AWG</t>
        </is>
      </c>
      <c r="Q16" s="67" t="n">
        <v>2024</v>
      </c>
      <c r="R16" s="65" t="n">
        <v>1.39592218185229</v>
      </c>
      <c r="S16" s="65" t="n">
        <v>1.79</v>
      </c>
      <c r="T16" s="68" t="n">
        <v>0.7798</v>
      </c>
      <c r="U16" s="66" t="inlineStr"/>
    </row>
    <row r="17">
      <c r="A17" s="17" t="inlineStr">
        <is>
          <t>country</t>
        </is>
      </c>
      <c r="B17" s="13">
        <f>IFERROR(INDEX(Personas!F$3:F$52,MATCH($B$2,Personas!$A$3:$A$52,0)),"")</f>
        <v/>
      </c>
      <c r="C17" s="13" t="inlineStr">
        <is>
          <t>A · input</t>
        </is>
      </c>
      <c r="D17" s="18" t="inlineStr">
        <is>
          <t>Personas F. Lookup key for the PPP table (price level is per country, not per currency).</t>
        </is>
      </c>
      <c r="I17" s="13" t="inlineStr">
        <is>
          <t>BDT</t>
        </is>
      </c>
      <c r="J17" s="64" t="n">
        <v>0.008119425985338595</v>
      </c>
      <c r="K17" s="65" t="n">
        <v>123.16141582</v>
      </c>
      <c r="L17" s="66" t="inlineStr">
        <is>
          <t>2026-09-25</t>
        </is>
      </c>
      <c r="N17" s="4" t="inlineStr">
        <is>
          <t>Australia</t>
        </is>
      </c>
      <c r="O17" s="67" t="inlineStr">
        <is>
          <t>AUS</t>
        </is>
      </c>
      <c r="P17" s="67" t="inlineStr">
        <is>
          <t>AUD</t>
        </is>
      </c>
      <c r="Q17" s="67" t="n">
        <v>2024</v>
      </c>
      <c r="R17" s="65" t="n">
        <v>1.366527</v>
      </c>
      <c r="S17" s="65" t="n">
        <v>1.518557254</v>
      </c>
      <c r="T17" s="68" t="n">
        <v>0.8999</v>
      </c>
      <c r="U17" s="66" t="inlineStr"/>
    </row>
    <row r="18">
      <c r="A18" s="38" t="inlineStr">
        <is>
          <t>currency of that country</t>
        </is>
      </c>
      <c r="B18" s="36">
        <f>IFERROR(VLOOKUP(B17,CountryPPP,3,FALSE),"country not in table")</f>
        <v/>
      </c>
      <c r="C18" s="36" t="inlineStr">
        <is>
          <t>D · assumption / shared</t>
        </is>
      </c>
      <c r="D18" s="18" t="inlineStr">
        <is>
          <t>Check: should equal the session currency.</t>
        </is>
      </c>
      <c r="I18" s="13" t="inlineStr">
        <is>
          <t>BHD</t>
        </is>
      </c>
      <c r="J18" s="64" t="n">
        <v>2.659574468085106</v>
      </c>
      <c r="K18" s="65" t="n">
        <v>0.376</v>
      </c>
      <c r="L18" s="66" t="inlineStr">
        <is>
          <t>2026-09-25</t>
        </is>
      </c>
      <c r="N18" s="4" t="inlineStr">
        <is>
          <t>Austria</t>
        </is>
      </c>
      <c r="O18" s="67" t="inlineStr">
        <is>
          <t>AUT</t>
        </is>
      </c>
      <c r="P18" s="67" t="inlineStr">
        <is>
          <t>EUR</t>
        </is>
      </c>
      <c r="Q18" s="67" t="n">
        <v>2024</v>
      </c>
      <c r="R18" s="65" t="n">
        <v>0.7104510000000001</v>
      </c>
      <c r="S18" s="65" t="n">
        <v>0.926404983</v>
      </c>
      <c r="T18" s="68" t="n">
        <v>0.7669</v>
      </c>
      <c r="U18" s="66" t="inlineStr"/>
    </row>
    <row r="19">
      <c r="A19" s="26" t="inlineStr">
        <is>
          <t>currency matches country</t>
        </is>
      </c>
      <c r="B19" s="27">
        <f>IFERROR(B18=PLU_currency,FALSE)</f>
        <v/>
      </c>
      <c r="C19" s="27" t="inlineStr">
        <is>
          <t>C · calculated</t>
        </is>
      </c>
      <c r="D19" s="18" t="inlineStr">
        <is>
          <t>FALSE = persona currency differs from the country's currency.</t>
        </is>
      </c>
      <c r="I19" s="13" t="inlineStr">
        <is>
          <t>BIF</t>
        </is>
      </c>
      <c r="J19" s="64" t="n">
        <v>0.0003325316813245021</v>
      </c>
      <c r="K19" s="65" t="n">
        <v>3007.23226135</v>
      </c>
      <c r="L19" s="66" t="inlineStr">
        <is>
          <t>2026-09-25</t>
        </is>
      </c>
      <c r="N19" s="4" t="inlineStr">
        <is>
          <t>Azerbaijan</t>
        </is>
      </c>
      <c r="O19" s="67" t="inlineStr">
        <is>
          <t>AZE</t>
        </is>
      </c>
      <c r="P19" s="67" t="inlineStr">
        <is>
          <t>AZN</t>
        </is>
      </c>
      <c r="Q19" s="67" t="n">
        <v>2024</v>
      </c>
      <c r="R19" s="65" t="n">
        <v>0.49354478660225</v>
      </c>
      <c r="S19" s="65" t="n">
        <v>1.70056365</v>
      </c>
      <c r="T19" s="68" t="n">
        <v>0.2902</v>
      </c>
      <c r="U19" s="66" t="inlineStr"/>
    </row>
    <row r="20">
      <c r="A20" s="38" t="inlineStr">
        <is>
          <t>price level country (US = 1)</t>
        </is>
      </c>
      <c r="B20" s="56">
        <f>IFERROR(VLOOKUP(B17,CountryPPP,7,FALSE),"")</f>
        <v/>
      </c>
      <c r="C20" s="36" t="inlineStr">
        <is>
          <t>D · assumption / shared</t>
        </is>
      </c>
      <c r="D20" s="18" t="inlineStr">
        <is>
          <t>PPP ÷ 2024 market rate. Blank if the country has no usable PPP.</t>
        </is>
      </c>
      <c r="I20" s="13" t="inlineStr">
        <is>
          <t>BMD</t>
        </is>
      </c>
      <c r="J20" s="64" t="n">
        <v>1</v>
      </c>
      <c r="K20" s="65" t="n">
        <v>1</v>
      </c>
      <c r="L20" s="66" t="inlineStr">
        <is>
          <t>2026-09-25</t>
        </is>
      </c>
      <c r="N20" s="4" t="inlineStr">
        <is>
          <t>Bahamas</t>
        </is>
      </c>
      <c r="O20" s="67" t="inlineStr">
        <is>
          <t>BHS</t>
        </is>
      </c>
      <c r="P20" s="67" t="inlineStr">
        <is>
          <t>BSD</t>
        </is>
      </c>
      <c r="Q20" s="67" t="n">
        <v>2024</v>
      </c>
      <c r="R20" s="65" t="n">
        <v>0.9577044909772851</v>
      </c>
      <c r="S20" s="65" t="n">
        <v>1</v>
      </c>
      <c r="T20" s="68" t="n">
        <v>0.9577</v>
      </c>
      <c r="U20" s="66" t="inlineStr"/>
    </row>
    <row r="21">
      <c r="A21" s="38" t="inlineStr">
        <is>
          <t>price level base (PPP_BASE_COUNTRY)</t>
        </is>
      </c>
      <c r="B21" s="56">
        <f>IFERROR(VLOOKUP(PPP_BASE_COUNTRY,CountryPPP,7,FALSE),"")</f>
        <v/>
      </c>
      <c r="C21" s="36" t="inlineStr">
        <is>
          <t>D · assumption / shared</t>
        </is>
      </c>
      <c r="D21" s="18" t="inlineStr">
        <is>
          <t>Singapore: the USD fixed amounts were calibrated there.</t>
        </is>
      </c>
      <c r="I21" s="13" t="inlineStr">
        <is>
          <t>BND</t>
        </is>
      </c>
      <c r="J21" s="64" t="n">
        <v>0.78162734281267</v>
      </c>
      <c r="K21" s="65" t="n">
        <v>1.27938206</v>
      </c>
      <c r="L21" s="66" t="inlineStr">
        <is>
          <t>2026-09-25</t>
        </is>
      </c>
      <c r="N21" s="4" t="inlineStr">
        <is>
          <t>Bahrain</t>
        </is>
      </c>
      <c r="O21" s="67" t="inlineStr">
        <is>
          <t>BHR</t>
        </is>
      </c>
      <c r="P21" s="67" t="inlineStr">
        <is>
          <t>BHD</t>
        </is>
      </c>
      <c r="Q21" s="67" t="n">
        <v>2024</v>
      </c>
      <c r="R21" s="65" t="n">
        <v>0.166560122951055</v>
      </c>
      <c r="S21" s="65" t="n">
        <v>0.376</v>
      </c>
      <c r="T21" s="68" t="n">
        <v>0.443</v>
      </c>
      <c r="U21" s="66" t="inlineStr"/>
    </row>
    <row r="22">
      <c r="A22" s="26" t="inlineStr">
        <is>
          <t>relative price level</t>
        </is>
      </c>
      <c r="B22" s="60">
        <f>IF(OR(B20="",B21=""),1,B20/B21)</f>
        <v/>
      </c>
      <c r="C22" s="27" t="inlineStr">
        <is>
          <t>C · calculated</t>
        </is>
      </c>
      <c r="D22" s="18" t="inlineStr">
        <is>
          <t>Country ÷ base. 1 when the country has no PPP (falls back to market rate).</t>
        </is>
      </c>
      <c r="I22" s="13" t="inlineStr">
        <is>
          <t>BOB</t>
        </is>
      </c>
      <c r="J22" s="64" t="n">
        <v>0.0816669011595622</v>
      </c>
      <c r="K22" s="65" t="n">
        <v>12.2448628</v>
      </c>
      <c r="L22" s="66" t="inlineStr">
        <is>
          <t>2026-09-25</t>
        </is>
      </c>
      <c r="N22" s="4" t="inlineStr">
        <is>
          <t>Bangladesh</t>
        </is>
      </c>
      <c r="O22" s="67" t="inlineStr">
        <is>
          <t>BGD</t>
        </is>
      </c>
      <c r="P22" s="67" t="inlineStr">
        <is>
          <t>BDT</t>
        </is>
      </c>
      <c r="Q22" s="67" t="n">
        <v>2024</v>
      </c>
      <c r="R22" s="65" t="n">
        <v>29.8787873077242</v>
      </c>
      <c r="S22" s="65" t="n">
        <v>116.761989875</v>
      </c>
      <c r="T22" s="68" t="n">
        <v>0.2559</v>
      </c>
      <c r="U22" s="66" t="inlineStr"/>
    </row>
    <row r="23">
      <c r="A23" s="26" t="inlineStr">
        <is>
          <t>price level (effective)</t>
        </is>
      </c>
      <c r="B23" s="60">
        <f>IF(priceLevelOn=TRUE,B22,1)</f>
        <v/>
      </c>
      <c r="C23" s="27" t="inlineStr">
        <is>
          <t>C · calculated</t>
        </is>
      </c>
      <c r="D23" s="18" t="inlineStr">
        <is>
          <t>Option B: multiplies every USD fixed amount (costs, home seed, bands). 1 under option A.</t>
        </is>
      </c>
      <c r="I23" s="13" t="inlineStr">
        <is>
          <t>BRL</t>
        </is>
      </c>
      <c r="J23" s="64" t="n">
        <v>0.1926108822085935</v>
      </c>
      <c r="K23" s="65" t="n">
        <v>5.19181465</v>
      </c>
      <c r="L23" s="66" t="inlineStr">
        <is>
          <t>2026-09-25</t>
        </is>
      </c>
      <c r="N23" s="4" t="inlineStr">
        <is>
          <t>Barbados</t>
        </is>
      </c>
      <c r="O23" s="67" t="inlineStr">
        <is>
          <t>BRB</t>
        </is>
      </c>
      <c r="P23" s="67" t="inlineStr">
        <is>
          <t>BBD</t>
        </is>
      </c>
      <c r="Q23" s="67" t="n">
        <v>2024</v>
      </c>
      <c r="R23" s="65" t="n">
        <v>2.13877200243175</v>
      </c>
      <c r="S23" s="65" t="n">
        <v>2</v>
      </c>
      <c r="T23" s="68" t="n">
        <v>1.0694</v>
      </c>
      <c r="U23" s="66" t="inlineStr"/>
    </row>
    <row r="24">
      <c r="A24" s="26" t="inlineStr">
        <is>
          <t>PPP-USD per 1 local</t>
        </is>
      </c>
      <c r="B24" s="70">
        <f>B16/B23</f>
        <v/>
      </c>
      <c r="C24" s="27" t="inlineStr">
        <is>
          <t>C · calculated</t>
        </is>
      </c>
      <c r="D24" s="18" t="inlineStr">
        <is>
          <t>Market USD ÷ price level: what the local amount buys, in base-country USD. Need Profiler bands read this.</t>
        </is>
      </c>
      <c r="I24" s="13" t="inlineStr">
        <is>
          <t>BSD</t>
        </is>
      </c>
      <c r="J24" s="64" t="n">
        <v>1</v>
      </c>
      <c r="K24" s="65" t="n">
        <v>1</v>
      </c>
      <c r="L24" s="66" t="inlineStr">
        <is>
          <t>2026-09-25</t>
        </is>
      </c>
      <c r="N24" s="4" t="inlineStr">
        <is>
          <t>Belarus</t>
        </is>
      </c>
      <c r="O24" s="67" t="inlineStr">
        <is>
          <t>BLR</t>
        </is>
      </c>
      <c r="P24" s="67" t="inlineStr">
        <is>
          <t>BYN</t>
        </is>
      </c>
      <c r="Q24" s="67" t="n">
        <v>2024</v>
      </c>
      <c r="R24" s="65" t="n">
        <v>0.817945059163395</v>
      </c>
      <c r="S24" s="65" t="n">
        <v>3.271455309</v>
      </c>
      <c r="T24" s="68" t="n">
        <v>0.25</v>
      </c>
      <c r="U24" s="66" t="inlineStr"/>
    </row>
    <row r="25">
      <c r="I25" s="13" t="inlineStr">
        <is>
          <t>BWP</t>
        </is>
      </c>
      <c r="J25" s="64" t="n">
        <v>0.07336110063219112</v>
      </c>
      <c r="K25" s="65" t="n">
        <v>13.63120225</v>
      </c>
      <c r="L25" s="66" t="inlineStr">
        <is>
          <t>2026-09-25</t>
        </is>
      </c>
      <c r="N25" s="4" t="inlineStr">
        <is>
          <t>Belgium</t>
        </is>
      </c>
      <c r="O25" s="67" t="inlineStr">
        <is>
          <t>BEL</t>
        </is>
      </c>
      <c r="P25" s="67" t="inlineStr">
        <is>
          <t>EUR</t>
        </is>
      </c>
      <c r="Q25" s="67" t="n">
        <v>2024</v>
      </c>
      <c r="R25" s="65" t="n">
        <v>0.704288</v>
      </c>
      <c r="S25" s="65" t="n">
        <v>0.926404983</v>
      </c>
      <c r="T25" s="68" t="n">
        <v>0.7602</v>
      </c>
      <c r="U25" s="66" t="inlineStr"/>
    </row>
    <row r="26">
      <c r="A26" s="16" t="inlineStr">
        <is>
          <t>C · DETERMINISTICALLY CALCULATED  —  local × USD per 1</t>
        </is>
      </c>
      <c r="B26" s="16" t="n"/>
      <c r="C26" s="16" t="n"/>
      <c r="D26" s="16" t="n"/>
      <c r="I26" s="13" t="inlineStr">
        <is>
          <t>BYN</t>
        </is>
      </c>
      <c r="J26" s="64" t="n">
        <v>0.3285104095931189</v>
      </c>
      <c r="K26" s="65" t="n">
        <v>3.04404357</v>
      </c>
      <c r="L26" s="66" t="inlineStr">
        <is>
          <t>2026-09-25</t>
        </is>
      </c>
      <c r="N26" s="4" t="inlineStr">
        <is>
          <t>Belize</t>
        </is>
      </c>
      <c r="O26" s="67" t="inlineStr">
        <is>
          <t>BLZ</t>
        </is>
      </c>
      <c r="P26" s="67" t="inlineStr">
        <is>
          <t>BZD</t>
        </is>
      </c>
      <c r="Q26" s="67" t="inlineStr"/>
      <c r="R26" s="65" t="inlineStr"/>
      <c r="S26" s="65" t="n">
        <v>2.019358545</v>
      </c>
      <c r="T26" s="69" t="inlineStr"/>
      <c r="U26" s="66" t="inlineStr">
        <is>
          <t>no World Bank PPP</t>
        </is>
      </c>
    </row>
    <row r="27">
      <c r="A27" s="26" t="inlineStr">
        <is>
          <t>incomeMonthly USD</t>
        </is>
      </c>
      <c r="B27" s="28">
        <f>B6*$B$16</f>
        <v/>
      </c>
      <c r="C27" s="27" t="inlineStr">
        <is>
          <t>C · calculated</t>
        </is>
      </c>
      <c r="D27" s="18" t="inlineStr">
        <is>
          <t>5,000 SGD → 3,700. 5,000 VND → 0.19.</t>
        </is>
      </c>
      <c r="I27" s="13" t="inlineStr">
        <is>
          <t>BZD</t>
        </is>
      </c>
      <c r="J27" s="64" t="n">
        <v>0.496645129865823</v>
      </c>
      <c r="K27" s="65" t="n">
        <v>2.01351013</v>
      </c>
      <c r="L27" s="66" t="inlineStr">
        <is>
          <t>2026-09-25</t>
        </is>
      </c>
      <c r="N27" s="4" t="inlineStr">
        <is>
          <t>Benin</t>
        </is>
      </c>
      <c r="O27" s="67" t="inlineStr">
        <is>
          <t>BEN</t>
        </is>
      </c>
      <c r="P27" s="67" t="inlineStr">
        <is>
          <t>XOF</t>
        </is>
      </c>
      <c r="Q27" s="67" t="n">
        <v>2024</v>
      </c>
      <c r="R27" s="65" t="n">
        <v>203.098489252852</v>
      </c>
      <c r="S27" s="65" t="n">
        <v>607.681834032</v>
      </c>
      <c r="T27" s="68" t="n">
        <v>0.3342</v>
      </c>
      <c r="U27" s="66" t="inlineStr"/>
    </row>
    <row r="28">
      <c r="A28" s="26" t="inlineStr">
        <is>
          <t>expenseMonthly USD</t>
        </is>
      </c>
      <c r="B28" s="28">
        <f>B7*$B$16</f>
        <v/>
      </c>
      <c r="C28" s="27" t="inlineStr">
        <is>
          <t>C · calculated</t>
        </is>
      </c>
      <c r="D28" s="18" t="inlineStr"/>
      <c r="I28" s="13" t="inlineStr">
        <is>
          <t>CAD</t>
        </is>
      </c>
      <c r="J28" s="64" t="n">
        <v>0.7067843244877368</v>
      </c>
      <c r="K28" s="65" t="n">
        <v>1.41485877</v>
      </c>
      <c r="L28" s="66" t="inlineStr">
        <is>
          <t>2026-09-25</t>
        </is>
      </c>
      <c r="N28" s="4" t="inlineStr">
        <is>
          <t>Bermuda</t>
        </is>
      </c>
      <c r="O28" s="67" t="inlineStr">
        <is>
          <t>BMU</t>
        </is>
      </c>
      <c r="P28" s="67" t="inlineStr">
        <is>
          <t>BMD</t>
        </is>
      </c>
      <c r="Q28" s="67" t="n">
        <v>2024</v>
      </c>
      <c r="R28" s="65" t="n">
        <v>1.14971520694886</v>
      </c>
      <c r="S28" s="65" t="n">
        <v>1</v>
      </c>
      <c r="T28" s="68" t="n">
        <v>1.1497</v>
      </c>
      <c r="U28" s="66" t="inlineStr"/>
    </row>
    <row r="29">
      <c r="A29" s="26" t="inlineStr">
        <is>
          <t>cash USD</t>
        </is>
      </c>
      <c r="B29" s="28">
        <f>B8*$B$16</f>
        <v/>
      </c>
      <c r="C29" s="27" t="inlineStr">
        <is>
          <t>C · calculated</t>
        </is>
      </c>
      <c r="D29" s="18" t="inlineStr"/>
      <c r="I29" s="13" t="inlineStr">
        <is>
          <t>CDF</t>
        </is>
      </c>
      <c r="J29" s="64" t="n">
        <v>0.0004328580131130891</v>
      </c>
      <c r="K29" s="65" t="n">
        <v>2310.22637841</v>
      </c>
      <c r="L29" s="66" t="inlineStr">
        <is>
          <t>2026-09-25</t>
        </is>
      </c>
      <c r="N29" s="4" t="inlineStr">
        <is>
          <t>Bhutan</t>
        </is>
      </c>
      <c r="O29" s="67" t="inlineStr">
        <is>
          <t>BTN</t>
        </is>
      </c>
      <c r="P29" s="67" t="inlineStr">
        <is>
          <t>INR</t>
        </is>
      </c>
      <c r="Q29" s="67" t="n">
        <v>2023</v>
      </c>
      <c r="R29" s="65" t="n">
        <v>19.5166039945984</v>
      </c>
      <c r="S29" s="65" t="n">
        <v>83.81593696500001</v>
      </c>
      <c r="T29" s="68" t="n">
        <v>0.2329</v>
      </c>
      <c r="U29" s="66" t="inlineStr"/>
    </row>
    <row r="30">
      <c r="A30" s="26" t="inlineStr">
        <is>
          <t>investments USD</t>
        </is>
      </c>
      <c r="B30" s="28">
        <f>B9*$B$16</f>
        <v/>
      </c>
      <c r="C30" s="27" t="inlineStr">
        <is>
          <t>C · calculated</t>
        </is>
      </c>
      <c r="D30" s="18" t="inlineStr"/>
      <c r="I30" s="13" t="inlineStr">
        <is>
          <t>CHF</t>
        </is>
      </c>
      <c r="J30" s="64" t="n">
        <v>1.205903078868328</v>
      </c>
      <c r="K30" s="65" t="n">
        <v>0.82925404</v>
      </c>
      <c r="L30" s="66" t="inlineStr">
        <is>
          <t>2026-09-25</t>
        </is>
      </c>
      <c r="N30" s="4" t="inlineStr">
        <is>
          <t>Bolivia</t>
        </is>
      </c>
      <c r="O30" s="67" t="inlineStr">
        <is>
          <t>BOL</t>
        </is>
      </c>
      <c r="P30" s="67" t="inlineStr">
        <is>
          <t>BOB</t>
        </is>
      </c>
      <c r="Q30" s="67" t="n">
        <v>2024</v>
      </c>
      <c r="R30" s="65" t="n">
        <v>2.37235000544932</v>
      </c>
      <c r="S30" s="65" t="n">
        <v>6.926640066</v>
      </c>
      <c r="T30" s="68" t="n">
        <v>0.3425</v>
      </c>
      <c r="U30" s="66" t="inlineStr"/>
    </row>
    <row r="31">
      <c r="A31" s="26" t="inlineStr">
        <is>
          <t>property USD</t>
        </is>
      </c>
      <c r="B31" s="28">
        <f>B10*$B$16</f>
        <v/>
      </c>
      <c r="C31" s="27" t="inlineStr">
        <is>
          <t>C · calculated</t>
        </is>
      </c>
      <c r="D31" s="18" t="inlineStr"/>
      <c r="I31" s="13" t="inlineStr">
        <is>
          <t>CLP</t>
        </is>
      </c>
      <c r="J31" s="64" t="n">
        <v>0.00103815914298642</v>
      </c>
      <c r="K31" s="65" t="n">
        <v>963.24345526</v>
      </c>
      <c r="L31" s="66" t="inlineStr">
        <is>
          <t>2026-09-25</t>
        </is>
      </c>
      <c r="N31" s="4" t="inlineStr">
        <is>
          <t>Bosnia</t>
        </is>
      </c>
      <c r="O31" s="67" t="inlineStr">
        <is>
          <t>BIH</t>
        </is>
      </c>
      <c r="P31" s="67" t="inlineStr">
        <is>
          <t>BAM</t>
        </is>
      </c>
      <c r="Q31" s="67" t="n">
        <v>2024</v>
      </c>
      <c r="R31" s="65" t="n">
        <v>0.675500053313931</v>
      </c>
      <c r="S31" s="65" t="n">
        <v>1.81189066</v>
      </c>
      <c r="T31" s="68" t="n">
        <v>0.3728</v>
      </c>
      <c r="U31" s="66" t="inlineStr"/>
    </row>
    <row r="32">
      <c r="A32" s="26" t="inlineStr">
        <is>
          <t>mortgage USD</t>
        </is>
      </c>
      <c r="B32" s="28">
        <f>B11*$B$16</f>
        <v/>
      </c>
      <c r="C32" s="27" t="inlineStr">
        <is>
          <t>C · calculated</t>
        </is>
      </c>
      <c r="D32" s="18" t="inlineStr"/>
      <c r="I32" s="13" t="inlineStr">
        <is>
          <t>CNY</t>
        </is>
      </c>
      <c r="J32" s="64" t="n">
        <v>0.1489653504330619</v>
      </c>
      <c r="K32" s="65" t="n">
        <v>6.71297048</v>
      </c>
      <c r="L32" s="66" t="inlineStr">
        <is>
          <t>2026-09-25</t>
        </is>
      </c>
      <c r="N32" s="4" t="inlineStr">
        <is>
          <t>Botswana</t>
        </is>
      </c>
      <c r="O32" s="67" t="inlineStr">
        <is>
          <t>BWA</t>
        </is>
      </c>
      <c r="P32" s="67" t="inlineStr">
        <is>
          <t>BWP</t>
        </is>
      </c>
      <c r="Q32" s="67" t="n">
        <v>2024</v>
      </c>
      <c r="R32" s="65" t="n">
        <v>5.08218196380313</v>
      </c>
      <c r="S32" s="65" t="n">
        <v>13.519780892</v>
      </c>
      <c r="T32" s="68" t="n">
        <v>0.3759</v>
      </c>
      <c r="U32" s="66" t="inlineStr"/>
    </row>
    <row r="33">
      <c r="A33" s="26" t="inlineStr">
        <is>
          <t>PLU liabilities USD</t>
        </is>
      </c>
      <c r="B33" s="28">
        <f>B12*$B$16</f>
        <v/>
      </c>
      <c r="C33" s="27" t="inlineStr">
        <is>
          <t>C · calculated</t>
        </is>
      </c>
      <c r="D33" s="18" t="inlineStr"/>
      <c r="I33" s="13" t="inlineStr">
        <is>
          <t>COP</t>
        </is>
      </c>
      <c r="J33" s="64" t="n">
        <v>0.0002980552157467127</v>
      </c>
      <c r="K33" s="65" t="n">
        <v>3355.08304223</v>
      </c>
      <c r="L33" s="66" t="inlineStr">
        <is>
          <t>2026-09-25</t>
        </is>
      </c>
      <c r="N33" s="4" t="inlineStr">
        <is>
          <t>Bouvet Island</t>
        </is>
      </c>
      <c r="O33" s="67" t="inlineStr">
        <is>
          <t>BVT</t>
        </is>
      </c>
      <c r="P33" s="67" t="inlineStr">
        <is>
          <t>NOK</t>
        </is>
      </c>
      <c r="Q33" s="67" t="inlineStr"/>
      <c r="R33" s="65" t="inlineStr"/>
      <c r="S33" s="65" t="n">
        <v>10.818263922</v>
      </c>
      <c r="T33" s="69" t="inlineStr"/>
      <c r="U33" s="66" t="inlineStr">
        <is>
          <t>no World Bank PPP</t>
        </is>
      </c>
    </row>
    <row r="34">
      <c r="A34" s="26" t="inlineStr">
        <is>
          <t>life sum assured USD</t>
        </is>
      </c>
      <c r="B34" s="28">
        <f>B13*$B$16</f>
        <v/>
      </c>
      <c r="C34" s="27" t="inlineStr">
        <is>
          <t>C · calculated</t>
        </is>
      </c>
      <c r="D34" s="18" t="inlineStr"/>
      <c r="I34" s="13" t="inlineStr">
        <is>
          <t>CRC</t>
        </is>
      </c>
      <c r="J34" s="64" t="n">
        <v>0.002205432536083318</v>
      </c>
      <c r="K34" s="65" t="n">
        <v>453.42579455</v>
      </c>
      <c r="L34" s="66" t="inlineStr">
        <is>
          <t>2026-09-25</t>
        </is>
      </c>
      <c r="N34" s="4" t="inlineStr">
        <is>
          <t>Brazil</t>
        </is>
      </c>
      <c r="O34" s="67" t="inlineStr">
        <is>
          <t>BRA</t>
        </is>
      </c>
      <c r="P34" s="67" t="inlineStr">
        <is>
          <t>BRL</t>
        </is>
      </c>
      <c r="Q34" s="67" t="n">
        <v>2024</v>
      </c>
      <c r="R34" s="65" t="n">
        <v>2.48731718948001</v>
      </c>
      <c r="S34" s="65" t="n">
        <v>5.45137576</v>
      </c>
      <c r="T34" s="68" t="n">
        <v>0.4563</v>
      </c>
      <c r="U34" s="66" t="inlineStr"/>
    </row>
    <row r="35">
      <c r="I35" s="13" t="inlineStr">
        <is>
          <t>CUP</t>
        </is>
      </c>
      <c r="J35" s="64" t="n">
        <v>0.04166520829757373</v>
      </c>
      <c r="K35" s="65" t="n">
        <v>24.00084005</v>
      </c>
      <c r="L35" s="66" t="inlineStr">
        <is>
          <t>2026-09-25</t>
        </is>
      </c>
      <c r="N35" s="4" t="inlineStr">
        <is>
          <t>British Indian Ocean Territory</t>
        </is>
      </c>
      <c r="O35" s="67" t="inlineStr">
        <is>
          <t>IOT</t>
        </is>
      </c>
      <c r="P35" s="67" t="inlineStr">
        <is>
          <t>USD</t>
        </is>
      </c>
      <c r="Q35" s="67" t="inlineStr"/>
      <c r="R35" s="65" t="inlineStr"/>
      <c r="S35" s="65" t="n">
        <v>1</v>
      </c>
      <c r="T35" s="69" t="inlineStr"/>
      <c r="U35" s="66" t="inlineStr">
        <is>
          <t>no World Bank PPP</t>
        </is>
      </c>
    </row>
    <row r="36">
      <c r="A36" s="16" t="inlineStr">
        <is>
          <t>C · ROUNDING STEPS IN USER CURRENCY  —  USD step ÷ rate, then the nearest 1 / 2 / 5 × 10^k</t>
        </is>
      </c>
      <c r="B36" s="16" t="n"/>
      <c r="C36" s="16" t="n"/>
      <c r="D36" s="16" t="n"/>
      <c r="I36" s="13" t="inlineStr">
        <is>
          <t>CVE</t>
        </is>
      </c>
      <c r="J36" s="64" t="n">
        <v>0.01031074026254396</v>
      </c>
      <c r="K36" s="65" t="n">
        <v>96.98624682000001</v>
      </c>
      <c r="L36" s="66" t="inlineStr">
        <is>
          <t>2026-09-25</t>
        </is>
      </c>
      <c r="N36" s="4" t="inlineStr">
        <is>
          <t>British Virgin Islands</t>
        </is>
      </c>
      <c r="O36" s="67" t="inlineStr">
        <is>
          <t>VGB</t>
        </is>
      </c>
      <c r="P36" s="67" t="inlineStr">
        <is>
          <t>USD</t>
        </is>
      </c>
      <c r="Q36" s="67" t="n">
        <v>2017</v>
      </c>
      <c r="R36" s="65" t="n">
        <v>1.02022969722748</v>
      </c>
      <c r="S36" s="65" t="n">
        <v>1</v>
      </c>
      <c r="T36" s="69" t="inlineStr"/>
      <c r="U36" s="66" t="inlineStr">
        <is>
          <t>PPP 2017: too old, price level not used</t>
        </is>
      </c>
    </row>
    <row r="37">
      <c r="A37" s="26" t="inlineStr">
        <is>
          <t>lump step</t>
        </is>
      </c>
      <c r="B37" s="71">
        <f>IF(((lumpRoundStep/$B$16))&lt;=0,0,10^INT(LOG10((lumpRoundStep/$B$16)))*IF(((lumpRoundStep/$B$16))/10^INT(LOG10((lumpRoundStep/$B$16)))&lt;1.5,1,IF(((lumpRoundStep/$B$16))/10^INT(LOG10((lumpRoundStep/$B$16)))&lt;3.5,2,IF(((lumpRoundStep/$B$16))/10^INT(LOG10((lumpRoundStep/$B$16)))&lt;7.5,5,10))))</f>
        <v/>
      </c>
      <c r="C37" s="27" t="inlineStr">
        <is>
          <t>C · calculated</t>
        </is>
      </c>
      <c r="D37" s="18" t="inlineStr">
        <is>
          <t>lumpRoundStep (USD) in user currency. SGD gives the V0-14 step.</t>
        </is>
      </c>
      <c r="I37" s="13" t="inlineStr">
        <is>
          <t>CZK</t>
        </is>
      </c>
      <c r="J37" s="64" t="n">
        <v>0.04659110164293163</v>
      </c>
      <c r="K37" s="65" t="n">
        <v>21.46332593</v>
      </c>
      <c r="L37" s="66" t="inlineStr">
        <is>
          <t>2026-09-25</t>
        </is>
      </c>
      <c r="N37" s="4" t="inlineStr">
        <is>
          <t>Brunei</t>
        </is>
      </c>
      <c r="O37" s="67" t="inlineStr">
        <is>
          <t>BRN</t>
        </is>
      </c>
      <c r="P37" s="67" t="inlineStr">
        <is>
          <t>BND</t>
        </is>
      </c>
      <c r="Q37" s="67" t="n">
        <v>2024</v>
      </c>
      <c r="R37" s="65" t="n">
        <v>0.492817644064286</v>
      </c>
      <c r="S37" s="65" t="n">
        <v>1.336400184</v>
      </c>
      <c r="T37" s="68" t="n">
        <v>0.3688</v>
      </c>
      <c r="U37" s="66" t="inlineStr"/>
    </row>
    <row r="38">
      <c r="A38" s="26" t="inlineStr">
        <is>
          <t>monthly step</t>
        </is>
      </c>
      <c r="B38" s="71">
        <f>IF(((monthlyRoundStep/$B$16))&lt;=0,0,10^INT(LOG10((monthlyRoundStep/$B$16)))*IF(((monthlyRoundStep/$B$16))/10^INT(LOG10((monthlyRoundStep/$B$16)))&lt;1.5,1,IF(((monthlyRoundStep/$B$16))/10^INT(LOG10((monthlyRoundStep/$B$16)))&lt;3.5,2,IF(((monthlyRoundStep/$B$16))/10^INT(LOG10((monthlyRoundStep/$B$16)))&lt;7.5,5,10))))</f>
        <v/>
      </c>
      <c r="C38" s="27" t="inlineStr">
        <is>
          <t>C · calculated</t>
        </is>
      </c>
      <c r="D38" s="18" t="inlineStr">
        <is>
          <t>monthlyRoundStep (USD) in user currency. SGD gives the V0-14 step.</t>
        </is>
      </c>
      <c r="I38" s="13" t="inlineStr">
        <is>
          <t>DJF</t>
        </is>
      </c>
      <c r="J38" s="64" t="n">
        <v>0.005616497822612356</v>
      </c>
      <c r="K38" s="65" t="n">
        <v>178.04689534</v>
      </c>
      <c r="L38" s="66" t="inlineStr">
        <is>
          <t>2026-09-25</t>
        </is>
      </c>
      <c r="N38" s="4" t="inlineStr">
        <is>
          <t>Bulgaria</t>
        </is>
      </c>
      <c r="O38" s="67" t="inlineStr">
        <is>
          <t>BGR</t>
        </is>
      </c>
      <c r="P38" s="67" t="inlineStr">
        <is>
          <t>EUR</t>
        </is>
      </c>
      <c r="Q38" s="67" t="n">
        <v>2024</v>
      </c>
      <c r="R38" s="65" t="n">
        <v>0.757951749098367</v>
      </c>
      <c r="S38" s="65" t="n">
        <v>0.926404983</v>
      </c>
      <c r="T38" s="68" t="n">
        <v>0.8182</v>
      </c>
      <c r="U38" s="66" t="inlineStr"/>
    </row>
    <row r="39">
      <c r="A39" s="26" t="inlineStr">
        <is>
          <t>premium step</t>
        </is>
      </c>
      <c r="B39" s="71">
        <f>IF(((coverPremRoundStep/$B$16))&lt;=0,0,10^INT(LOG10((coverPremRoundStep/$B$16)))*IF(((coverPremRoundStep/$B$16))/10^INT(LOG10((coverPremRoundStep/$B$16)))&lt;1.5,1,IF(((coverPremRoundStep/$B$16))/10^INT(LOG10((coverPremRoundStep/$B$16)))&lt;3.5,2,IF(((coverPremRoundStep/$B$16))/10^INT(LOG10((coverPremRoundStep/$B$16)))&lt;7.5,5,10))))</f>
        <v/>
      </c>
      <c r="C39" s="27" t="inlineStr">
        <is>
          <t>C · calculated</t>
        </is>
      </c>
      <c r="D39" s="18" t="inlineStr">
        <is>
          <t>coverPremRoundStep (USD) in user currency. SGD gives the V0-14 step.</t>
        </is>
      </c>
      <c r="I39" s="13" t="inlineStr">
        <is>
          <t>DKK</t>
        </is>
      </c>
      <c r="J39" s="64" t="n">
        <v>0.1520923611524918</v>
      </c>
      <c r="K39" s="65" t="n">
        <v>6.57495217</v>
      </c>
      <c r="L39" s="66" t="inlineStr">
        <is>
          <t>2026-09-25</t>
        </is>
      </c>
      <c r="N39" s="4" t="inlineStr">
        <is>
          <t>Burkina Faso</t>
        </is>
      </c>
      <c r="O39" s="67" t="inlineStr">
        <is>
          <t>BFA</t>
        </is>
      </c>
      <c r="P39" s="67" t="inlineStr">
        <is>
          <t>XOF</t>
        </is>
      </c>
      <c r="Q39" s="67" t="n">
        <v>2024</v>
      </c>
      <c r="R39" s="65" t="n">
        <v>205.610818525697</v>
      </c>
      <c r="S39" s="65" t="n">
        <v>607.681834032</v>
      </c>
      <c r="T39" s="68" t="n">
        <v>0.3384</v>
      </c>
      <c r="U39" s="66" t="inlineStr"/>
    </row>
    <row r="40">
      <c r="A40" s="26" t="inlineStr">
        <is>
          <t>life cover step</t>
        </is>
      </c>
      <c r="B40" s="71">
        <f>IF(((lifeRoundUnit/$B$16))&lt;=0,0,10^INT(LOG10((lifeRoundUnit/$B$16)))*IF(((lifeRoundUnit/$B$16))/10^INT(LOG10((lifeRoundUnit/$B$16)))&lt;1.5,1,IF(((lifeRoundUnit/$B$16))/10^INT(LOG10((lifeRoundUnit/$B$16)))&lt;3.5,2,IF(((lifeRoundUnit/$B$16))/10^INT(LOG10((lifeRoundUnit/$B$16)))&lt;7.5,5,10))))</f>
        <v/>
      </c>
      <c r="C40" s="27" t="inlineStr">
        <is>
          <t>C · calculated</t>
        </is>
      </c>
      <c r="D40" s="18" t="inlineStr">
        <is>
          <t>lifeRoundUnit (USD) in user currency. SGD gives the V0-14 step.</t>
        </is>
      </c>
      <c r="I40" s="13" t="inlineStr">
        <is>
          <t>DOP</t>
        </is>
      </c>
      <c r="J40" s="64" t="n">
        <v>0.01683279059077668</v>
      </c>
      <c r="K40" s="65" t="n">
        <v>59.40785603</v>
      </c>
      <c r="L40" s="66" t="inlineStr">
        <is>
          <t>2026-09-25</t>
        </is>
      </c>
      <c r="N40" s="4" t="inlineStr">
        <is>
          <t>Burundi</t>
        </is>
      </c>
      <c r="O40" s="67" t="inlineStr">
        <is>
          <t>BDI</t>
        </is>
      </c>
      <c r="P40" s="67" t="inlineStr">
        <is>
          <t>BIF</t>
        </is>
      </c>
      <c r="Q40" s="67" t="n">
        <v>2024</v>
      </c>
      <c r="R40" s="65" t="n">
        <v>875.87514263987</v>
      </c>
      <c r="S40" s="65" t="n">
        <v>2886.048163298</v>
      </c>
      <c r="T40" s="68" t="n">
        <v>0.3035</v>
      </c>
      <c r="U40" s="66" t="inlineStr"/>
    </row>
    <row r="41">
      <c r="A41" s="26" t="inlineStr">
        <is>
          <t>HappiU benefit step</t>
        </is>
      </c>
      <c r="B41" s="71">
        <f>IF(((benefitRound/$B$16))&lt;=0,0,10^INT(LOG10((benefitRound/$B$16)))*IF(((benefitRound/$B$16))/10^INT(LOG10((benefitRound/$B$16)))&lt;1.5,1,IF(((benefitRound/$B$16))/10^INT(LOG10((benefitRound/$B$16)))&lt;3.5,2,IF(((benefitRound/$B$16))/10^INT(LOG10((benefitRound/$B$16)))&lt;7.5,5,10))))</f>
        <v/>
      </c>
      <c r="C41" s="27" t="inlineStr">
        <is>
          <t>C · calculated</t>
        </is>
      </c>
      <c r="D41" s="18" t="inlineStr">
        <is>
          <t>benefitRound (USD) in user currency. SGD gives the V0-14 step.</t>
        </is>
      </c>
      <c r="I41" s="13" t="inlineStr">
        <is>
          <t>DZD</t>
        </is>
      </c>
      <c r="J41" s="64" t="n">
        <v>0.007480590084481552</v>
      </c>
      <c r="K41" s="65" t="n">
        <v>133.67929384</v>
      </c>
      <c r="L41" s="66" t="inlineStr">
        <is>
          <t>2026-09-25</t>
        </is>
      </c>
      <c r="N41" s="4" t="inlineStr">
        <is>
          <t>Cambodia</t>
        </is>
      </c>
      <c r="O41" s="67" t="inlineStr">
        <is>
          <t>KHM</t>
        </is>
      </c>
      <c r="P41" s="67" t="inlineStr">
        <is>
          <t>KHR</t>
        </is>
      </c>
      <c r="Q41" s="67" t="n">
        <v>2024</v>
      </c>
      <c r="R41" s="65" t="n">
        <v>1343.28353426878</v>
      </c>
      <c r="S41" s="65" t="n">
        <v>4066.34313635</v>
      </c>
      <c r="T41" s="68" t="n">
        <v>0.3303</v>
      </c>
      <c r="U41" s="66" t="inlineStr"/>
    </row>
    <row r="42">
      <c r="I42" s="13" t="inlineStr">
        <is>
          <t>EGP</t>
        </is>
      </c>
      <c r="J42" s="64" t="n">
        <v>0.01931229772229359</v>
      </c>
      <c r="K42" s="65" t="n">
        <v>51.78047762</v>
      </c>
      <c r="L42" s="66" t="inlineStr">
        <is>
          <t>2026-09-25</t>
        </is>
      </c>
      <c r="N42" s="4" t="inlineStr">
        <is>
          <t>Cameroon</t>
        </is>
      </c>
      <c r="O42" s="67" t="inlineStr">
        <is>
          <t>CMR</t>
        </is>
      </c>
      <c r="P42" s="67" t="inlineStr">
        <is>
          <t>XAF</t>
        </is>
      </c>
      <c r="Q42" s="67" t="n">
        <v>2024</v>
      </c>
      <c r="R42" s="65" t="n">
        <v>198.536346180777</v>
      </c>
      <c r="S42" s="65" t="n">
        <v>607.681834032</v>
      </c>
      <c r="T42" s="68" t="n">
        <v>0.3267</v>
      </c>
      <c r="U42" s="66" t="inlineStr"/>
    </row>
    <row r="43">
      <c r="I43" s="13" t="inlineStr">
        <is>
          <t>ERN</t>
        </is>
      </c>
      <c r="J43" s="64" t="n">
        <v>0.06666666666666667</v>
      </c>
      <c r="K43" s="65" t="n">
        <v>15</v>
      </c>
      <c r="L43" s="66" t="inlineStr">
        <is>
          <t>2026-09-25</t>
        </is>
      </c>
      <c r="N43" s="4" t="inlineStr">
        <is>
          <t>Canada</t>
        </is>
      </c>
      <c r="O43" s="67" t="inlineStr">
        <is>
          <t>CAN</t>
        </is>
      </c>
      <c r="P43" s="67" t="inlineStr">
        <is>
          <t>CAD</t>
        </is>
      </c>
      <c r="Q43" s="67" t="n">
        <v>2024</v>
      </c>
      <c r="R43" s="65" t="n">
        <v>1.150472</v>
      </c>
      <c r="S43" s="65" t="n">
        <v>1.377496839</v>
      </c>
      <c r="T43" s="68" t="n">
        <v>0.8352000000000001</v>
      </c>
      <c r="U43" s="66" t="inlineStr"/>
    </row>
    <row r="44">
      <c r="I44" s="13" t="inlineStr">
        <is>
          <t>ETB</t>
        </is>
      </c>
      <c r="J44" s="64" t="n">
        <v>0.006133024045813859</v>
      </c>
      <c r="K44" s="65" t="n">
        <v>163.05170052</v>
      </c>
      <c r="L44" s="66" t="inlineStr">
        <is>
          <t>2026-09-25</t>
        </is>
      </c>
      <c r="N44" s="4" t="inlineStr">
        <is>
          <t>Cape Verde</t>
        </is>
      </c>
      <c r="O44" s="67" t="inlineStr">
        <is>
          <t>CPV</t>
        </is>
      </c>
      <c r="P44" s="67" t="inlineStr">
        <is>
          <t>CVE</t>
        </is>
      </c>
      <c r="Q44" s="67" t="n">
        <v>2024</v>
      </c>
      <c r="R44" s="65" t="n">
        <v>47.2731098785268</v>
      </c>
      <c r="S44" s="65" t="n">
        <v>102.154677575</v>
      </c>
      <c r="T44" s="68" t="n">
        <v>0.4628</v>
      </c>
      <c r="U44" s="66" t="inlineStr"/>
    </row>
    <row r="45">
      <c r="I45" s="13" t="inlineStr">
        <is>
          <t>EUR</t>
        </is>
      </c>
      <c r="J45" s="64" t="n">
        <v>1.1369653235809</v>
      </c>
      <c r="K45" s="65" t="n">
        <v>0.8795343</v>
      </c>
      <c r="L45" s="66" t="inlineStr">
        <is>
          <t>2026-09-25</t>
        </is>
      </c>
      <c r="N45" s="4" t="inlineStr">
        <is>
          <t>Caribbean Netherlands</t>
        </is>
      </c>
      <c r="O45" s="67" t="inlineStr">
        <is>
          <t>BES</t>
        </is>
      </c>
      <c r="P45" s="67" t="inlineStr">
        <is>
          <t>USD</t>
        </is>
      </c>
      <c r="Q45" s="67" t="inlineStr"/>
      <c r="R45" s="65" t="inlineStr"/>
      <c r="S45" s="65" t="n">
        <v>1</v>
      </c>
      <c r="T45" s="69" t="inlineStr"/>
      <c r="U45" s="66" t="inlineStr">
        <is>
          <t>no World Bank PPP</t>
        </is>
      </c>
    </row>
    <row r="46">
      <c r="I46" s="13" t="inlineStr">
        <is>
          <t>FJD</t>
        </is>
      </c>
      <c r="J46" s="64" t="n">
        <v>0.4449898002107935</v>
      </c>
      <c r="K46" s="65" t="n">
        <v>2.24724252</v>
      </c>
      <c r="L46" s="66" t="inlineStr">
        <is>
          <t>2026-09-25</t>
        </is>
      </c>
      <c r="N46" s="4" t="inlineStr">
        <is>
          <t>Cayman Islands</t>
        </is>
      </c>
      <c r="O46" s="67" t="inlineStr">
        <is>
          <t>CYM</t>
        </is>
      </c>
      <c r="P46" s="67" t="inlineStr">
        <is>
          <t>KYD</t>
        </is>
      </c>
      <c r="Q46" s="67" t="n">
        <v>2023</v>
      </c>
      <c r="R46" s="65" t="n">
        <v>0.934313420987657</v>
      </c>
      <c r="S46" s="65" t="n">
        <v>0.821274977</v>
      </c>
      <c r="T46" s="68" t="n">
        <v>1.1376</v>
      </c>
      <c r="U46" s="66" t="inlineStr"/>
    </row>
    <row r="47">
      <c r="I47" s="13" t="inlineStr">
        <is>
          <t>FKP</t>
        </is>
      </c>
      <c r="J47" s="64" t="n">
        <v>1.321149603612181</v>
      </c>
      <c r="K47" s="65" t="n">
        <v>0.75691655</v>
      </c>
      <c r="L47" s="66" t="inlineStr">
        <is>
          <t>2026-09-25</t>
        </is>
      </c>
      <c r="N47" s="4" t="inlineStr">
        <is>
          <t>Central African Republic</t>
        </is>
      </c>
      <c r="O47" s="67" t="inlineStr">
        <is>
          <t>CAF</t>
        </is>
      </c>
      <c r="P47" s="67" t="inlineStr">
        <is>
          <t>XAF</t>
        </is>
      </c>
      <c r="Q47" s="67" t="n">
        <v>2024</v>
      </c>
      <c r="R47" s="65" t="n">
        <v>247.78023515424</v>
      </c>
      <c r="S47" s="65" t="n">
        <v>607.681834032</v>
      </c>
      <c r="T47" s="68" t="n">
        <v>0.4077</v>
      </c>
      <c r="U47" s="66" t="inlineStr"/>
    </row>
    <row r="48">
      <c r="I48" s="13" t="inlineStr">
        <is>
          <t>GBP</t>
        </is>
      </c>
      <c r="J48" s="64" t="n">
        <v>1.321149603612181</v>
      </c>
      <c r="K48" s="65" t="n">
        <v>0.75691655</v>
      </c>
      <c r="L48" s="66" t="inlineStr">
        <is>
          <t>2026-09-25</t>
        </is>
      </c>
      <c r="N48" s="4" t="inlineStr">
        <is>
          <t>Chad</t>
        </is>
      </c>
      <c r="O48" s="67" t="inlineStr">
        <is>
          <t>TCD</t>
        </is>
      </c>
      <c r="P48" s="67" t="inlineStr">
        <is>
          <t>XAF</t>
        </is>
      </c>
      <c r="Q48" s="67" t="n">
        <v>2024</v>
      </c>
      <c r="R48" s="65" t="n">
        <v>212.580975482862</v>
      </c>
      <c r="S48" s="65" t="n">
        <v>607.681834032</v>
      </c>
      <c r="T48" s="68" t="n">
        <v>0.3498</v>
      </c>
      <c r="U48" s="66" t="inlineStr"/>
    </row>
    <row r="49">
      <c r="I49" s="13" t="inlineStr">
        <is>
          <t>GEL</t>
        </is>
      </c>
      <c r="J49" s="64" t="n">
        <v>0.3844884767996077</v>
      </c>
      <c r="K49" s="65" t="n">
        <v>2.60085818</v>
      </c>
      <c r="L49" s="66" t="inlineStr">
        <is>
          <t>2026-09-25</t>
        </is>
      </c>
      <c r="N49" s="4" t="inlineStr">
        <is>
          <t>Chile</t>
        </is>
      </c>
      <c r="O49" s="67" t="inlineStr">
        <is>
          <t>CHL</t>
        </is>
      </c>
      <c r="P49" s="67" t="inlineStr">
        <is>
          <t>CLP</t>
        </is>
      </c>
      <c r="Q49" s="67" t="inlineStr"/>
      <c r="R49" s="65" t="inlineStr"/>
      <c r="S49" s="65" t="n">
        <v>940.59542758</v>
      </c>
      <c r="T49" s="69" t="inlineStr"/>
      <c r="U49" s="66" t="inlineStr">
        <is>
          <t>no World Bank PPP</t>
        </is>
      </c>
    </row>
    <row r="50">
      <c r="I50" s="13" t="inlineStr">
        <is>
          <t>GHS</t>
        </is>
      </c>
      <c r="J50" s="64" t="n">
        <v>0.08624165669753361</v>
      </c>
      <c r="K50" s="65" t="n">
        <v>11.59532456</v>
      </c>
      <c r="L50" s="66" t="inlineStr">
        <is>
          <t>2026-09-25</t>
        </is>
      </c>
      <c r="N50" s="4" t="inlineStr">
        <is>
          <t>China</t>
        </is>
      </c>
      <c r="O50" s="67" t="inlineStr">
        <is>
          <t>CHN</t>
        </is>
      </c>
      <c r="P50" s="67" t="inlineStr">
        <is>
          <t>CNY</t>
        </is>
      </c>
      <c r="Q50" s="67" t="n">
        <v>2024</v>
      </c>
      <c r="R50" s="65" t="n">
        <v>3.5325492491585</v>
      </c>
      <c r="S50" s="65" t="n">
        <v>7.200849707</v>
      </c>
      <c r="T50" s="68" t="n">
        <v>0.4906</v>
      </c>
      <c r="U50" s="66" t="inlineStr"/>
    </row>
    <row r="51">
      <c r="I51" s="13" t="inlineStr">
        <is>
          <t>GIP</t>
        </is>
      </c>
      <c r="J51" s="64" t="n">
        <v>1.321149603612181</v>
      </c>
      <c r="K51" s="65" t="n">
        <v>0.75691655</v>
      </c>
      <c r="L51" s="66" t="inlineStr">
        <is>
          <t>2026-09-25</t>
        </is>
      </c>
      <c r="N51" s="4" t="inlineStr">
        <is>
          <t>Christmas Island</t>
        </is>
      </c>
      <c r="O51" s="67" t="inlineStr">
        <is>
          <t>CXR</t>
        </is>
      </c>
      <c r="P51" s="67" t="inlineStr">
        <is>
          <t>AUD</t>
        </is>
      </c>
      <c r="Q51" s="67" t="inlineStr"/>
      <c r="R51" s="65" t="inlineStr"/>
      <c r="S51" s="65" t="n">
        <v>1.518557254</v>
      </c>
      <c r="T51" s="69" t="inlineStr"/>
      <c r="U51" s="66" t="inlineStr">
        <is>
          <t>no World Bank PPP</t>
        </is>
      </c>
    </row>
    <row r="52">
      <c r="I52" s="13" t="inlineStr">
        <is>
          <t>GMD</t>
        </is>
      </c>
      <c r="J52" s="64" t="n">
        <v>0.01350916862715381</v>
      </c>
      <c r="K52" s="65" t="n">
        <v>74.02380024999999</v>
      </c>
      <c r="L52" s="66" t="inlineStr">
        <is>
          <t>2026-09-25</t>
        </is>
      </c>
      <c r="N52" s="4" t="inlineStr">
        <is>
          <t>Cocos Islands</t>
        </is>
      </c>
      <c r="O52" s="67" t="inlineStr">
        <is>
          <t>CCK</t>
        </is>
      </c>
      <c r="P52" s="67" t="inlineStr">
        <is>
          <t>AUD</t>
        </is>
      </c>
      <c r="Q52" s="67" t="inlineStr"/>
      <c r="R52" s="65" t="inlineStr"/>
      <c r="S52" s="65" t="n">
        <v>1.518557254</v>
      </c>
      <c r="T52" s="69" t="inlineStr"/>
      <c r="U52" s="66" t="inlineStr">
        <is>
          <t>no World Bank PPP</t>
        </is>
      </c>
    </row>
    <row r="53">
      <c r="I53" s="13" t="inlineStr">
        <is>
          <t>GNF</t>
        </is>
      </c>
      <c r="J53" s="64" t="n">
        <v>0.0001135948220757639</v>
      </c>
      <c r="K53" s="65" t="n">
        <v>8803.2181549</v>
      </c>
      <c r="L53" s="66" t="inlineStr">
        <is>
          <t>2026-09-25</t>
        </is>
      </c>
      <c r="N53" s="4" t="inlineStr">
        <is>
          <t>Colombia</t>
        </is>
      </c>
      <c r="O53" s="67" t="inlineStr">
        <is>
          <t>COL</t>
        </is>
      </c>
      <c r="P53" s="67" t="inlineStr">
        <is>
          <t>COP</t>
        </is>
      </c>
      <c r="Q53" s="67" t="n">
        <v>2024</v>
      </c>
      <c r="R53" s="65" t="n">
        <v>1443.718515</v>
      </c>
      <c r="S53" s="65" t="n">
        <v>4088.336726065</v>
      </c>
      <c r="T53" s="68" t="n">
        <v>0.3531</v>
      </c>
      <c r="U53" s="66" t="inlineStr"/>
    </row>
    <row r="54">
      <c r="I54" s="13" t="inlineStr">
        <is>
          <t>GTQ</t>
        </is>
      </c>
      <c r="J54" s="64" t="n">
        <v>0.1309511292310691</v>
      </c>
      <c r="K54" s="65" t="n">
        <v>7.63643663</v>
      </c>
      <c r="L54" s="66" t="inlineStr">
        <is>
          <t>2026-09-25</t>
        </is>
      </c>
      <c r="N54" s="4" t="inlineStr">
        <is>
          <t>Comoros</t>
        </is>
      </c>
      <c r="O54" s="67" t="inlineStr">
        <is>
          <t>COM</t>
        </is>
      </c>
      <c r="P54" s="67" t="inlineStr">
        <is>
          <t>KMF</t>
        </is>
      </c>
      <c r="Q54" s="67" t="n">
        <v>2024</v>
      </c>
      <c r="R54" s="65" t="n">
        <v>190.919893997601</v>
      </c>
      <c r="S54" s="65" t="n">
        <v>455.761375526</v>
      </c>
      <c r="T54" s="68" t="n">
        <v>0.4189</v>
      </c>
      <c r="U54" s="66" t="inlineStr"/>
    </row>
    <row r="55">
      <c r="I55" s="13" t="inlineStr">
        <is>
          <t>GYD</t>
        </is>
      </c>
      <c r="J55" s="64" t="n">
        <v>0.004780373275137421</v>
      </c>
      <c r="K55" s="65" t="n">
        <v>209.18868516</v>
      </c>
      <c r="L55" s="66" t="inlineStr">
        <is>
          <t>2026-09-25</t>
        </is>
      </c>
      <c r="N55" s="4" t="inlineStr">
        <is>
          <t>Congo - Brazzaville</t>
        </is>
      </c>
      <c r="O55" s="67" t="inlineStr">
        <is>
          <t>COG</t>
        </is>
      </c>
      <c r="P55" s="67" t="inlineStr">
        <is>
          <t>XAF</t>
        </is>
      </c>
      <c r="Q55" s="67" t="n">
        <v>2024</v>
      </c>
      <c r="R55" s="65" t="n">
        <v>214.20757379411</v>
      </c>
      <c r="S55" s="65" t="n">
        <v>607.681834032</v>
      </c>
      <c r="T55" s="68" t="n">
        <v>0.3525</v>
      </c>
      <c r="U55" s="66" t="inlineStr"/>
    </row>
    <row r="56">
      <c r="I56" s="13" t="inlineStr">
        <is>
          <t>HKD</t>
        </is>
      </c>
      <c r="J56" s="64" t="n">
        <v>0.1274932955419407</v>
      </c>
      <c r="K56" s="65" t="n">
        <v>7.8435497</v>
      </c>
      <c r="L56" s="66" t="inlineStr">
        <is>
          <t>2026-09-25</t>
        </is>
      </c>
      <c r="N56" s="4" t="inlineStr">
        <is>
          <t>Congo - Kinshasa</t>
        </is>
      </c>
      <c r="O56" s="67" t="inlineStr">
        <is>
          <t>COD</t>
        </is>
      </c>
      <c r="P56" s="67" t="inlineStr">
        <is>
          <t>CDF</t>
        </is>
      </c>
      <c r="Q56" s="67" t="n">
        <v>2024</v>
      </c>
      <c r="R56" s="65" t="n">
        <v>1006.63613613611</v>
      </c>
      <c r="S56" s="65" t="n">
        <v>2821.896324707</v>
      </c>
      <c r="T56" s="68" t="n">
        <v>0.3567</v>
      </c>
      <c r="U56" s="66" t="inlineStr"/>
    </row>
    <row r="57">
      <c r="I57" s="13" t="inlineStr">
        <is>
          <t>HNL</t>
        </is>
      </c>
      <c r="J57" s="64" t="n">
        <v>0.03726550666885694</v>
      </c>
      <c r="K57" s="65" t="n">
        <v>26.83446676</v>
      </c>
      <c r="L57" s="66" t="inlineStr">
        <is>
          <t>2026-09-25</t>
        </is>
      </c>
      <c r="N57" s="4" t="inlineStr">
        <is>
          <t>Cook Islands</t>
        </is>
      </c>
      <c r="O57" s="67" t="inlineStr">
        <is>
          <t>COK</t>
        </is>
      </c>
      <c r="P57" s="67" t="inlineStr">
        <is>
          <t>NZD</t>
        </is>
      </c>
      <c r="Q57" s="67" t="inlineStr"/>
      <c r="R57" s="65" t="inlineStr"/>
      <c r="S57" s="65" t="n">
        <v>1.662468254</v>
      </c>
      <c r="T57" s="69" t="inlineStr"/>
      <c r="U57" s="66" t="inlineStr">
        <is>
          <t>no World Bank PPP</t>
        </is>
      </c>
    </row>
    <row r="58">
      <c r="I58" s="13" t="inlineStr">
        <is>
          <t>HTG</t>
        </is>
      </c>
      <c r="J58" s="64" t="n">
        <v>0.007643735075050707</v>
      </c>
      <c r="K58" s="65" t="n">
        <v>130.82609355</v>
      </c>
      <c r="L58" s="66" t="inlineStr">
        <is>
          <t>2026-09-25</t>
        </is>
      </c>
      <c r="N58" s="4" t="inlineStr">
        <is>
          <t>Costa Rica</t>
        </is>
      </c>
      <c r="O58" s="67" t="inlineStr">
        <is>
          <t>CRI</t>
        </is>
      </c>
      <c r="P58" s="67" t="inlineStr">
        <is>
          <t>CRC</t>
        </is>
      </c>
      <c r="Q58" s="67" t="n">
        <v>2024</v>
      </c>
      <c r="R58" s="65" t="n">
        <v>307.792355</v>
      </c>
      <c r="S58" s="65" t="n">
        <v>515.002075945</v>
      </c>
      <c r="T58" s="68" t="n">
        <v>0.5977</v>
      </c>
      <c r="U58" s="66" t="inlineStr"/>
    </row>
    <row r="59">
      <c r="I59" s="13" t="inlineStr">
        <is>
          <t>HUF</t>
        </is>
      </c>
      <c r="J59" s="64" t="n">
        <v>0.003107116602876445</v>
      </c>
      <c r="K59" s="65" t="n">
        <v>321.84179991</v>
      </c>
      <c r="L59" s="66" t="inlineStr">
        <is>
          <t>2026-09-25</t>
        </is>
      </c>
      <c r="N59" s="4" t="inlineStr">
        <is>
          <t>Croatia</t>
        </is>
      </c>
      <c r="O59" s="67" t="inlineStr">
        <is>
          <t>HRV</t>
        </is>
      </c>
      <c r="P59" s="67" t="inlineStr">
        <is>
          <t>EUR</t>
        </is>
      </c>
      <c r="Q59" s="67" t="n">
        <v>2024</v>
      </c>
      <c r="R59" s="65" t="n">
        <v>0.44841971235566</v>
      </c>
      <c r="S59" s="65" t="n">
        <v>0.926404983</v>
      </c>
      <c r="T59" s="68" t="n">
        <v>0.484</v>
      </c>
      <c r="U59" s="66" t="inlineStr"/>
    </row>
    <row r="60">
      <c r="I60" s="13" t="inlineStr">
        <is>
          <t>IDR</t>
        </is>
      </c>
      <c r="J60" s="64" t="n">
        <v>5.57434076641774e-05</v>
      </c>
      <c r="K60" s="65" t="n">
        <v>17939.3410253</v>
      </c>
      <c r="L60" s="66" t="inlineStr">
        <is>
          <t>2026-09-25</t>
        </is>
      </c>
      <c r="N60" s="4" t="inlineStr">
        <is>
          <t>Cuba</t>
        </is>
      </c>
      <c r="O60" s="67" t="inlineStr">
        <is>
          <t>CUB</t>
        </is>
      </c>
      <c r="P60" s="67" t="inlineStr">
        <is>
          <t>CUP</t>
        </is>
      </c>
      <c r="Q60" s="67" t="inlineStr"/>
      <c r="R60" s="65" t="inlineStr"/>
      <c r="S60" s="65" t="n">
        <v>23.985592384</v>
      </c>
      <c r="T60" s="69" t="inlineStr"/>
      <c r="U60" s="66" t="inlineStr">
        <is>
          <t>no World Bank PPP</t>
        </is>
      </c>
    </row>
    <row r="61">
      <c r="I61" s="13" t="inlineStr">
        <is>
          <t>ILS</t>
        </is>
      </c>
      <c r="J61" s="64" t="n">
        <v>0.3282815680463643</v>
      </c>
      <c r="K61" s="65" t="n">
        <v>3.04616554</v>
      </c>
      <c r="L61" s="66" t="inlineStr">
        <is>
          <t>2026-09-25</t>
        </is>
      </c>
      <c r="N61" s="4" t="inlineStr">
        <is>
          <t>Curaçao</t>
        </is>
      </c>
      <c r="O61" s="67" t="inlineStr">
        <is>
          <t>CUW</t>
        </is>
      </c>
      <c r="P61" s="67" t="inlineStr">
        <is>
          <t>XCG</t>
        </is>
      </c>
      <c r="Q61" s="67" t="n">
        <v>2024</v>
      </c>
      <c r="R61" s="65" t="n">
        <v>1.25013046369671</v>
      </c>
      <c r="S61" s="65" t="inlineStr"/>
      <c r="T61" s="69" t="inlineStr"/>
      <c r="U61" s="66" t="inlineStr">
        <is>
          <t>no 2024 FX average</t>
        </is>
      </c>
    </row>
    <row r="62">
      <c r="I62" s="13" t="inlineStr">
        <is>
          <t>INR</t>
        </is>
      </c>
      <c r="J62" s="64" t="n">
        <v>0.01042400041569579</v>
      </c>
      <c r="K62" s="65" t="n">
        <v>95.93245972</v>
      </c>
      <c r="L62" s="66" t="inlineStr">
        <is>
          <t>2026-09-25</t>
        </is>
      </c>
      <c r="N62" s="4" t="inlineStr">
        <is>
          <t>Cyprus</t>
        </is>
      </c>
      <c r="O62" s="67" t="inlineStr">
        <is>
          <t>CYP</t>
        </is>
      </c>
      <c r="P62" s="67" t="inlineStr">
        <is>
          <t>EUR</t>
        </is>
      </c>
      <c r="Q62" s="67" t="n">
        <v>2024</v>
      </c>
      <c r="R62" s="65" t="n">
        <v>0.56709589608174</v>
      </c>
      <c r="S62" s="65" t="n">
        <v>0.926404983</v>
      </c>
      <c r="T62" s="68" t="n">
        <v>0.6121</v>
      </c>
      <c r="U62" s="66" t="inlineStr"/>
    </row>
    <row r="63">
      <c r="I63" s="13" t="inlineStr">
        <is>
          <t>IQD</t>
        </is>
      </c>
      <c r="J63" s="64" t="n">
        <v>0.0007633046137847357</v>
      </c>
      <c r="K63" s="65" t="n">
        <v>1310.09295888</v>
      </c>
      <c r="L63" s="66" t="inlineStr">
        <is>
          <t>2026-09-25</t>
        </is>
      </c>
      <c r="N63" s="4" t="inlineStr">
        <is>
          <t>Czechia</t>
        </is>
      </c>
      <c r="O63" s="67" t="inlineStr">
        <is>
          <t>CZE</t>
        </is>
      </c>
      <c r="P63" s="67" t="inlineStr">
        <is>
          <t>CZK</t>
        </is>
      </c>
      <c r="Q63" s="67" t="n">
        <v>2024</v>
      </c>
      <c r="R63" s="65" t="n">
        <v>12.823227</v>
      </c>
      <c r="S63" s="65" t="n">
        <v>23.278156989</v>
      </c>
      <c r="T63" s="68" t="n">
        <v>0.5508999999999999</v>
      </c>
      <c r="U63" s="66" t="inlineStr"/>
    </row>
    <row r="64">
      <c r="I64" s="13" t="inlineStr">
        <is>
          <t>IRR</t>
        </is>
      </c>
      <c r="J64" s="64" t="n">
        <v>7.27382583563906e-07</v>
      </c>
      <c r="K64" s="65" t="n">
        <v>1374792.33431789</v>
      </c>
      <c r="L64" s="66" t="inlineStr">
        <is>
          <t>2026-09-25</t>
        </is>
      </c>
      <c r="N64" s="4" t="inlineStr">
        <is>
          <t>Côte d’Ivoire</t>
        </is>
      </c>
      <c r="O64" s="67" t="inlineStr">
        <is>
          <t>CIV</t>
        </is>
      </c>
      <c r="P64" s="67" t="inlineStr">
        <is>
          <t>XOF</t>
        </is>
      </c>
      <c r="Q64" s="67" t="n">
        <v>2024</v>
      </c>
      <c r="R64" s="65" t="n">
        <v>215.672888731457</v>
      </c>
      <c r="S64" s="65" t="n">
        <v>607.681834032</v>
      </c>
      <c r="T64" s="68" t="n">
        <v>0.3549</v>
      </c>
      <c r="U64" s="66" t="inlineStr"/>
    </row>
    <row r="65">
      <c r="I65" s="13" t="inlineStr">
        <is>
          <t>ISK</t>
        </is>
      </c>
      <c r="J65" s="64" t="n">
        <v>0.008286402861903595</v>
      </c>
      <c r="K65" s="65" t="n">
        <v>120.67962621</v>
      </c>
      <c r="L65" s="66" t="inlineStr">
        <is>
          <t>2026-09-25</t>
        </is>
      </c>
      <c r="N65" s="4" t="inlineStr">
        <is>
          <t>Denmark</t>
        </is>
      </c>
      <c r="O65" s="67" t="inlineStr">
        <is>
          <t>DNK</t>
        </is>
      </c>
      <c r="P65" s="67" t="inlineStr">
        <is>
          <t>DKK</t>
        </is>
      </c>
      <c r="Q65" s="67" t="n">
        <v>2024</v>
      </c>
      <c r="R65" s="65" t="n">
        <v>6.050211</v>
      </c>
      <c r="S65" s="65" t="n">
        <v>6.911804583</v>
      </c>
      <c r="T65" s="68" t="n">
        <v>0.8753</v>
      </c>
      <c r="U65" s="66" t="inlineStr"/>
    </row>
    <row r="66">
      <c r="I66" s="13" t="inlineStr">
        <is>
          <t>JMD</t>
        </is>
      </c>
      <c r="J66" s="64" t="n">
        <v>0.00634032756542542</v>
      </c>
      <c r="K66" s="65" t="n">
        <v>157.72055776</v>
      </c>
      <c r="L66" s="66" t="inlineStr">
        <is>
          <t>2026-09-25</t>
        </is>
      </c>
      <c r="N66" s="4" t="inlineStr">
        <is>
          <t>Djibouti</t>
        </is>
      </c>
      <c r="O66" s="67" t="inlineStr">
        <is>
          <t>DJI</t>
        </is>
      </c>
      <c r="P66" s="67" t="inlineStr">
        <is>
          <t>DJF</t>
        </is>
      </c>
      <c r="Q66" s="67" t="n">
        <v>2024</v>
      </c>
      <c r="R66" s="65" t="n">
        <v>80.8413593974005</v>
      </c>
      <c r="S66" s="65" t="n">
        <v>178.176634434</v>
      </c>
      <c r="T66" s="68" t="n">
        <v>0.4537</v>
      </c>
      <c r="U66" s="66" t="inlineStr"/>
    </row>
    <row r="67">
      <c r="I67" s="13" t="inlineStr">
        <is>
          <t>JOD</t>
        </is>
      </c>
      <c r="J67" s="64" t="n">
        <v>1.410437235543018</v>
      </c>
      <c r="K67" s="65" t="n">
        <v>0.709</v>
      </c>
      <c r="L67" s="66" t="inlineStr">
        <is>
          <t>2026-09-25</t>
        </is>
      </c>
      <c r="N67" s="4" t="inlineStr">
        <is>
          <t>Dominica</t>
        </is>
      </c>
      <c r="O67" s="67" t="inlineStr">
        <is>
          <t>DMA</t>
        </is>
      </c>
      <c r="P67" s="67" t="inlineStr">
        <is>
          <t>XCD</t>
        </is>
      </c>
      <c r="Q67" s="67" t="n">
        <v>2024</v>
      </c>
      <c r="R67" s="65" t="n">
        <v>1.31893659155379</v>
      </c>
      <c r="S67" s="65" t="n">
        <v>2.701791065</v>
      </c>
      <c r="T67" s="68" t="n">
        <v>0.4882</v>
      </c>
      <c r="U67" s="66" t="inlineStr"/>
    </row>
    <row r="68">
      <c r="I68" s="13" t="inlineStr">
        <is>
          <t>JPY</t>
        </is>
      </c>
      <c r="J68" s="64" t="n">
        <v>0.006314252358809239</v>
      </c>
      <c r="K68" s="65" t="n">
        <v>158.37187733</v>
      </c>
      <c r="L68" s="66" t="inlineStr">
        <is>
          <t>2026-09-25</t>
        </is>
      </c>
      <c r="N68" s="4" t="inlineStr">
        <is>
          <t>Dominican Republic</t>
        </is>
      </c>
      <c r="O68" s="67" t="inlineStr">
        <is>
          <t>DOM</t>
        </is>
      </c>
      <c r="P68" s="67" t="inlineStr">
        <is>
          <t>DOP</t>
        </is>
      </c>
      <c r="Q68" s="67" t="n">
        <v>2024</v>
      </c>
      <c r="R68" s="65" t="n">
        <v>23.5211016601759</v>
      </c>
      <c r="S68" s="65" t="n">
        <v>59.626671746</v>
      </c>
      <c r="T68" s="68" t="n">
        <v>0.3945</v>
      </c>
      <c r="U68" s="66" t="inlineStr"/>
    </row>
    <row r="69">
      <c r="I69" s="13" t="inlineStr">
        <is>
          <t>KES</t>
        </is>
      </c>
      <c r="J69" s="64" t="n">
        <v>0.007719800143517616</v>
      </c>
      <c r="K69" s="65" t="n">
        <v>129.53703223</v>
      </c>
      <c r="L69" s="66" t="inlineStr">
        <is>
          <t>2026-09-25</t>
        </is>
      </c>
      <c r="N69" s="4" t="inlineStr">
        <is>
          <t>Ecuador</t>
        </is>
      </c>
      <c r="O69" s="67" t="inlineStr">
        <is>
          <t>ECU</t>
        </is>
      </c>
      <c r="P69" s="67" t="inlineStr">
        <is>
          <t>USD</t>
        </is>
      </c>
      <c r="Q69" s="67" t="n">
        <v>2024</v>
      </c>
      <c r="R69" s="65" t="n">
        <v>0.434001889105821</v>
      </c>
      <c r="S69" s="65" t="n">
        <v>1</v>
      </c>
      <c r="T69" s="68" t="n">
        <v>0.434</v>
      </c>
      <c r="U69" s="66" t="inlineStr"/>
    </row>
    <row r="70">
      <c r="I70" s="13" t="inlineStr">
        <is>
          <t>KGS</t>
        </is>
      </c>
      <c r="J70" s="64" t="n">
        <v>0.01143395955591191</v>
      </c>
      <c r="K70" s="65" t="n">
        <v>87.45876659</v>
      </c>
      <c r="L70" s="66" t="inlineStr">
        <is>
          <t>2026-09-25</t>
        </is>
      </c>
      <c r="N70" s="4" t="inlineStr">
        <is>
          <t>Egypt</t>
        </is>
      </c>
      <c r="O70" s="67" t="inlineStr">
        <is>
          <t>EGY</t>
        </is>
      </c>
      <c r="P70" s="67" t="inlineStr">
        <is>
          <t>EGP</t>
        </is>
      </c>
      <c r="Q70" s="67" t="n">
        <v>2024</v>
      </c>
      <c r="R70" s="65" t="n">
        <v>6.24782044764882</v>
      </c>
      <c r="S70" s="65" t="n">
        <v>48.432540291</v>
      </c>
      <c r="T70" s="68" t="n">
        <v>0.129</v>
      </c>
      <c r="U70" s="66" t="inlineStr"/>
    </row>
    <row r="71">
      <c r="I71" s="13" t="inlineStr">
        <is>
          <t>KHR</t>
        </is>
      </c>
      <c r="J71" s="64" t="n">
        <v>0.0002459577874474218</v>
      </c>
      <c r="K71" s="65" t="n">
        <v>4065.73831379</v>
      </c>
      <c r="L71" s="66" t="inlineStr">
        <is>
          <t>2026-09-25</t>
        </is>
      </c>
      <c r="N71" s="4" t="inlineStr">
        <is>
          <t>El Salvador</t>
        </is>
      </c>
      <c r="O71" s="67" t="inlineStr">
        <is>
          <t>SLV</t>
        </is>
      </c>
      <c r="P71" s="67" t="inlineStr">
        <is>
          <t>SVC</t>
        </is>
      </c>
      <c r="Q71" s="67" t="n">
        <v>2024</v>
      </c>
      <c r="R71" s="65" t="n">
        <v>0.420661059675436</v>
      </c>
      <c r="S71" s="65" t="n">
        <v>8.75</v>
      </c>
      <c r="T71" s="69" t="inlineStr"/>
      <c r="U71" s="66" t="inlineStr">
        <is>
          <t>price level 0.05 implausible (currency / inflation): not used</t>
        </is>
      </c>
    </row>
    <row r="72">
      <c r="I72" s="13" t="inlineStr">
        <is>
          <t>KMF</t>
        </is>
      </c>
      <c r="J72" s="64" t="n">
        <v>0.002311056626794579</v>
      </c>
      <c r="K72" s="65" t="n">
        <v>432.70250863</v>
      </c>
      <c r="L72" s="66" t="inlineStr">
        <is>
          <t>2026-09-25</t>
        </is>
      </c>
      <c r="N72" s="4" t="inlineStr">
        <is>
          <t>Equatorial Guinea</t>
        </is>
      </c>
      <c r="O72" s="67" t="inlineStr">
        <is>
          <t>GNQ</t>
        </is>
      </c>
      <c r="P72" s="67" t="inlineStr">
        <is>
          <t>XAF</t>
        </is>
      </c>
      <c r="Q72" s="67" t="n">
        <v>2024</v>
      </c>
      <c r="R72" s="65" t="n">
        <v>232.828458225939</v>
      </c>
      <c r="S72" s="65" t="n">
        <v>607.681834032</v>
      </c>
      <c r="T72" s="68" t="n">
        <v>0.3831</v>
      </c>
      <c r="U72" s="66" t="inlineStr"/>
    </row>
    <row r="73">
      <c r="I73" s="13" t="inlineStr">
        <is>
          <t>KPW</t>
        </is>
      </c>
      <c r="J73" s="64" t="n">
        <v>0.001110935068056955</v>
      </c>
      <c r="K73" s="65" t="n">
        <v>900.14261747</v>
      </c>
      <c r="L73" s="66" t="inlineStr">
        <is>
          <t>2026-09-25</t>
        </is>
      </c>
      <c r="N73" s="4" t="inlineStr">
        <is>
          <t>Eritrea</t>
        </is>
      </c>
      <c r="O73" s="67" t="inlineStr">
        <is>
          <t>ERI</t>
        </is>
      </c>
      <c r="P73" s="67" t="inlineStr">
        <is>
          <t>ERN</t>
        </is>
      </c>
      <c r="Q73" s="67" t="n">
        <v>2021</v>
      </c>
      <c r="R73" s="65" t="n">
        <v>4.93847894668579</v>
      </c>
      <c r="S73" s="65" t="n">
        <v>15</v>
      </c>
      <c r="T73" s="69" t="inlineStr"/>
      <c r="U73" s="66" t="inlineStr">
        <is>
          <t>PPP 2021: too old, price level not used</t>
        </is>
      </c>
    </row>
    <row r="74">
      <c r="I74" s="13" t="inlineStr">
        <is>
          <t>KRW</t>
        </is>
      </c>
      <c r="J74" s="64" t="n">
        <v>0.0007346068217462641</v>
      </c>
      <c r="K74" s="65" t="n">
        <v>1361.27241185</v>
      </c>
      <c r="L74" s="66" t="inlineStr">
        <is>
          <t>2026-09-25</t>
        </is>
      </c>
      <c r="N74" s="4" t="inlineStr">
        <is>
          <t>Estonia</t>
        </is>
      </c>
      <c r="O74" s="67" t="inlineStr">
        <is>
          <t>EST</t>
        </is>
      </c>
      <c r="P74" s="67" t="inlineStr">
        <is>
          <t>EUR</t>
        </is>
      </c>
      <c r="Q74" s="67" t="n">
        <v>2024</v>
      </c>
      <c r="R74" s="65" t="n">
        <v>0.576166</v>
      </c>
      <c r="S74" s="65" t="n">
        <v>0.926404983</v>
      </c>
      <c r="T74" s="68" t="n">
        <v>0.6219</v>
      </c>
      <c r="U74" s="66" t="inlineStr"/>
    </row>
    <row r="75">
      <c r="I75" s="13" t="inlineStr">
        <is>
          <t>KWD</t>
        </is>
      </c>
      <c r="J75" s="64" t="n">
        <v>3.238038507660584</v>
      </c>
      <c r="K75" s="65" t="n">
        <v>0.30882894</v>
      </c>
      <c r="L75" s="66" t="inlineStr">
        <is>
          <t>2026-09-25</t>
        </is>
      </c>
      <c r="N75" s="4" t="inlineStr">
        <is>
          <t>Eswatini</t>
        </is>
      </c>
      <c r="O75" s="67" t="inlineStr">
        <is>
          <t>SWZ</t>
        </is>
      </c>
      <c r="P75" s="67" t="inlineStr">
        <is>
          <t>SZL</t>
        </is>
      </c>
      <c r="Q75" s="67" t="n">
        <v>2024</v>
      </c>
      <c r="R75" s="65" t="n">
        <v>6.06939955235508</v>
      </c>
      <c r="S75" s="65" t="n">
        <v>18.191628042</v>
      </c>
      <c r="T75" s="68" t="n">
        <v>0.3336</v>
      </c>
      <c r="U75" s="66" t="inlineStr"/>
    </row>
    <row r="76">
      <c r="I76" s="13" t="inlineStr">
        <is>
          <t>KYD</t>
        </is>
      </c>
      <c r="J76" s="64" t="n">
        <v>1.202521475891164</v>
      </c>
      <c r="K76" s="65" t="n">
        <v>0.8315859799999999</v>
      </c>
      <c r="L76" s="66" t="inlineStr">
        <is>
          <t>2026-09-25</t>
        </is>
      </c>
      <c r="N76" s="4" t="inlineStr">
        <is>
          <t>Ethiopia</t>
        </is>
      </c>
      <c r="O76" s="67" t="inlineStr">
        <is>
          <t>ETH</t>
        </is>
      </c>
      <c r="P76" s="67" t="inlineStr">
        <is>
          <t>ETB</t>
        </is>
      </c>
      <c r="Q76" s="67" t="n">
        <v>2024</v>
      </c>
      <c r="R76" s="65" t="n">
        <v>27.1439173234342</v>
      </c>
      <c r="S76" s="65" t="n">
        <v>87.387972312</v>
      </c>
      <c r="T76" s="68" t="n">
        <v>0.3106</v>
      </c>
      <c r="U76" s="66" t="inlineStr"/>
    </row>
    <row r="77">
      <c r="I77" s="13" t="inlineStr">
        <is>
          <t>KZT</t>
        </is>
      </c>
      <c r="J77" s="64" t="n">
        <v>0.002262602662358586</v>
      </c>
      <c r="K77" s="65" t="n">
        <v>441.96889566</v>
      </c>
      <c r="L77" s="66" t="inlineStr">
        <is>
          <t>2026-09-25</t>
        </is>
      </c>
      <c r="N77" s="4" t="inlineStr">
        <is>
          <t>Falkland Islands</t>
        </is>
      </c>
      <c r="O77" s="67" t="inlineStr">
        <is>
          <t>FLK</t>
        </is>
      </c>
      <c r="P77" s="67" t="inlineStr">
        <is>
          <t>FKP</t>
        </is>
      </c>
      <c r="Q77" s="67" t="inlineStr"/>
      <c r="R77" s="65" t="inlineStr"/>
      <c r="S77" s="65" t="n">
        <v>0.7830716049999999</v>
      </c>
      <c r="T77" s="69" t="inlineStr"/>
      <c r="U77" s="66" t="inlineStr">
        <is>
          <t>no World Bank PPP</t>
        </is>
      </c>
    </row>
    <row r="78">
      <c r="I78" s="13" t="inlineStr">
        <is>
          <t>LAK</t>
        </is>
      </c>
      <c r="J78" s="64" t="n">
        <v>4.46211092409423e-05</v>
      </c>
      <c r="K78" s="65" t="n">
        <v>22410.91754578</v>
      </c>
      <c r="L78" s="66" t="inlineStr">
        <is>
          <t>2026-09-25</t>
        </is>
      </c>
      <c r="N78" s="4" t="inlineStr">
        <is>
          <t>Faroe Islands</t>
        </is>
      </c>
      <c r="O78" s="67" t="inlineStr">
        <is>
          <t>FRO</t>
        </is>
      </c>
      <c r="P78" s="67" t="inlineStr">
        <is>
          <t>DKK</t>
        </is>
      </c>
      <c r="Q78" s="67" t="n">
        <v>2024</v>
      </c>
      <c r="R78" s="65" t="n">
        <v>6.23885052437826</v>
      </c>
      <c r="S78" s="65" t="n">
        <v>6.911804583</v>
      </c>
      <c r="T78" s="68" t="n">
        <v>0.9026</v>
      </c>
      <c r="U78" s="66" t="inlineStr"/>
    </row>
    <row r="79">
      <c r="I79" s="13" t="inlineStr">
        <is>
          <t>LBP</t>
        </is>
      </c>
      <c r="J79" s="64" t="n">
        <v>1.112849723539932e-05</v>
      </c>
      <c r="K79" s="65" t="n">
        <v>89859.39240916001</v>
      </c>
      <c r="L79" s="66" t="inlineStr">
        <is>
          <t>2026-09-25</t>
        </is>
      </c>
      <c r="N79" s="4" t="inlineStr">
        <is>
          <t>Fiji</t>
        </is>
      </c>
      <c r="O79" s="67" t="inlineStr">
        <is>
          <t>FJI</t>
        </is>
      </c>
      <c r="P79" s="67" t="inlineStr">
        <is>
          <t>FJD</t>
        </is>
      </c>
      <c r="Q79" s="67" t="n">
        <v>2024</v>
      </c>
      <c r="R79" s="65" t="n">
        <v>0.943380395118387</v>
      </c>
      <c r="S79" s="65" t="n">
        <v>2.257354375</v>
      </c>
      <c r="T79" s="68" t="n">
        <v>0.4179</v>
      </c>
      <c r="U79" s="66" t="inlineStr"/>
    </row>
    <row r="80">
      <c r="I80" s="13" t="inlineStr">
        <is>
          <t>LKR</t>
        </is>
      </c>
      <c r="J80" s="64" t="n">
        <v>0.003030002882441136</v>
      </c>
      <c r="K80" s="65" t="n">
        <v>330.03268934</v>
      </c>
      <c r="L80" s="66" t="inlineStr">
        <is>
          <t>2026-09-25</t>
        </is>
      </c>
      <c r="N80" s="4" t="inlineStr">
        <is>
          <t>Finland</t>
        </is>
      </c>
      <c r="O80" s="67" t="inlineStr">
        <is>
          <t>FIN</t>
        </is>
      </c>
      <c r="P80" s="67" t="inlineStr">
        <is>
          <t>EUR</t>
        </is>
      </c>
      <c r="Q80" s="67" t="n">
        <v>2024</v>
      </c>
      <c r="R80" s="65" t="n">
        <v>0.753945</v>
      </c>
      <c r="S80" s="65" t="n">
        <v>0.926404983</v>
      </c>
      <c r="T80" s="68" t="n">
        <v>0.8138</v>
      </c>
      <c r="U80" s="66" t="inlineStr"/>
    </row>
    <row r="81">
      <c r="I81" s="13" t="inlineStr">
        <is>
          <t>LRD</t>
        </is>
      </c>
      <c r="J81" s="64" t="n">
        <v>0.005814292544447299</v>
      </c>
      <c r="K81" s="65" t="n">
        <v>171.98996995</v>
      </c>
      <c r="L81" s="66" t="inlineStr">
        <is>
          <t>2026-09-25</t>
        </is>
      </c>
      <c r="N81" s="4" t="inlineStr">
        <is>
          <t>France</t>
        </is>
      </c>
      <c r="O81" s="67" t="inlineStr">
        <is>
          <t>FRA</t>
        </is>
      </c>
      <c r="P81" s="67" t="inlineStr">
        <is>
          <t>EUR</t>
        </is>
      </c>
      <c r="Q81" s="67" t="n">
        <v>2024</v>
      </c>
      <c r="R81" s="65" t="n">
        <v>0.681239</v>
      </c>
      <c r="S81" s="65" t="n">
        <v>0.926404983</v>
      </c>
      <c r="T81" s="68" t="n">
        <v>0.7354000000000001</v>
      </c>
      <c r="U81" s="66" t="inlineStr"/>
    </row>
    <row r="82">
      <c r="I82" s="13" t="inlineStr">
        <is>
          <t>LSL</t>
        </is>
      </c>
      <c r="J82" s="64" t="n">
        <v>0.06087436266239165</v>
      </c>
      <c r="K82" s="65" t="n">
        <v>16.42727671</v>
      </c>
      <c r="L82" s="66" t="inlineStr">
        <is>
          <t>2026-09-25</t>
        </is>
      </c>
      <c r="N82" s="4" t="inlineStr">
        <is>
          <t>French Guiana</t>
        </is>
      </c>
      <c r="O82" s="67" t="inlineStr">
        <is>
          <t>GUF</t>
        </is>
      </c>
      <c r="P82" s="67" t="inlineStr">
        <is>
          <t>EUR</t>
        </is>
      </c>
      <c r="Q82" s="67" t="inlineStr"/>
      <c r="R82" s="65" t="inlineStr"/>
      <c r="S82" s="65" t="n">
        <v>0.926404983</v>
      </c>
      <c r="T82" s="69" t="inlineStr"/>
      <c r="U82" s="66" t="inlineStr">
        <is>
          <t>no World Bank PPP</t>
        </is>
      </c>
    </row>
    <row r="83">
      <c r="I83" s="13" t="inlineStr">
        <is>
          <t>LYD</t>
        </is>
      </c>
      <c r="J83" s="64" t="n">
        <v>0.1563773938212352</v>
      </c>
      <c r="K83" s="65" t="n">
        <v>6.3947862</v>
      </c>
      <c r="L83" s="66" t="inlineStr">
        <is>
          <t>2026-09-25</t>
        </is>
      </c>
      <c r="N83" s="4" t="inlineStr">
        <is>
          <t>French Polynesia</t>
        </is>
      </c>
      <c r="O83" s="67" t="inlineStr">
        <is>
          <t>PYF</t>
        </is>
      </c>
      <c r="P83" s="67" t="inlineStr">
        <is>
          <t>XPF</t>
        </is>
      </c>
      <c r="Q83" s="67" t="inlineStr"/>
      <c r="R83" s="65" t="inlineStr"/>
      <c r="S83" s="65" t="n">
        <v>110.549520753</v>
      </c>
      <c r="T83" s="69" t="inlineStr"/>
      <c r="U83" s="66" t="inlineStr">
        <is>
          <t>no World Bank PPP</t>
        </is>
      </c>
    </row>
    <row r="84">
      <c r="I84" s="13" t="inlineStr">
        <is>
          <t>MAD</t>
        </is>
      </c>
      <c r="J84" s="64" t="n">
        <v>0.1039814351129823</v>
      </c>
      <c r="K84" s="65" t="n">
        <v>9.61710135</v>
      </c>
      <c r="L84" s="66" t="inlineStr">
        <is>
          <t>2026-09-25</t>
        </is>
      </c>
      <c r="N84" s="4" t="inlineStr">
        <is>
          <t>French Southern Territories</t>
        </is>
      </c>
      <c r="O84" s="67" t="inlineStr">
        <is>
          <t>ATF</t>
        </is>
      </c>
      <c r="P84" s="67" t="inlineStr">
        <is>
          <t>EUR</t>
        </is>
      </c>
      <c r="Q84" s="67" t="inlineStr"/>
      <c r="R84" s="65" t="inlineStr"/>
      <c r="S84" s="65" t="n">
        <v>0.926404983</v>
      </c>
      <c r="T84" s="69" t="inlineStr"/>
      <c r="U84" s="66" t="inlineStr">
        <is>
          <t>no World Bank PPP</t>
        </is>
      </c>
    </row>
    <row r="85">
      <c r="I85" s="13" t="inlineStr">
        <is>
          <t>MDL</t>
        </is>
      </c>
      <c r="J85" s="64" t="n">
        <v>0.05685783489220828</v>
      </c>
      <c r="K85" s="65" t="n">
        <v>17.58772563</v>
      </c>
      <c r="L85" s="66" t="inlineStr">
        <is>
          <t>2026-09-25</t>
        </is>
      </c>
      <c r="N85" s="4" t="inlineStr">
        <is>
          <t>Gabon</t>
        </is>
      </c>
      <c r="O85" s="67" t="inlineStr">
        <is>
          <t>GAB</t>
        </is>
      </c>
      <c r="P85" s="67" t="inlineStr">
        <is>
          <t>XAF</t>
        </is>
      </c>
      <c r="Q85" s="67" t="n">
        <v>2024</v>
      </c>
      <c r="R85" s="65" t="n">
        <v>231.994789334726</v>
      </c>
      <c r="S85" s="65" t="n">
        <v>607.681834032</v>
      </c>
      <c r="T85" s="68" t="n">
        <v>0.3818</v>
      </c>
      <c r="U85" s="66" t="inlineStr"/>
    </row>
    <row r="86">
      <c r="I86" s="13" t="inlineStr">
        <is>
          <t>MGA</t>
        </is>
      </c>
      <c r="J86" s="64" t="n">
        <v>0.000228122514729044</v>
      </c>
      <c r="K86" s="65" t="n">
        <v>4383.60940036</v>
      </c>
      <c r="L86" s="66" t="inlineStr">
        <is>
          <t>2026-09-25</t>
        </is>
      </c>
      <c r="N86" s="4" t="inlineStr">
        <is>
          <t>Gambia</t>
        </is>
      </c>
      <c r="O86" s="67" t="inlineStr">
        <is>
          <t>GMB</t>
        </is>
      </c>
      <c r="P86" s="67" t="inlineStr">
        <is>
          <t>GMD</t>
        </is>
      </c>
      <c r="Q86" s="67" t="n">
        <v>2024</v>
      </c>
      <c r="R86" s="65" t="n">
        <v>16.9791581265962</v>
      </c>
      <c r="S86" s="65" t="n">
        <v>69.16929687699999</v>
      </c>
      <c r="T86" s="68" t="n">
        <v>0.2455</v>
      </c>
      <c r="U86" s="66" t="inlineStr"/>
    </row>
    <row r="87">
      <c r="I87" s="13" t="inlineStr">
        <is>
          <t>MKD</t>
        </is>
      </c>
      <c r="J87" s="64" t="n">
        <v>0.01851731221850144</v>
      </c>
      <c r="K87" s="65" t="n">
        <v>54.0035178</v>
      </c>
      <c r="L87" s="66" t="inlineStr">
        <is>
          <t>2026-09-25</t>
        </is>
      </c>
      <c r="N87" s="4" t="inlineStr">
        <is>
          <t>Georgia</t>
        </is>
      </c>
      <c r="O87" s="67" t="inlineStr">
        <is>
          <t>GEO</t>
        </is>
      </c>
      <c r="P87" s="67" t="inlineStr">
        <is>
          <t>GEL</t>
        </is>
      </c>
      <c r="Q87" s="67" t="n">
        <v>2024</v>
      </c>
      <c r="R87" s="65" t="n">
        <v>0.888955306771079</v>
      </c>
      <c r="S87" s="65" t="n">
        <v>2.735097158</v>
      </c>
      <c r="T87" s="68" t="n">
        <v>0.325</v>
      </c>
      <c r="U87" s="66" t="inlineStr"/>
    </row>
    <row r="88">
      <c r="I88" s="13" t="inlineStr">
        <is>
          <t>MMK</t>
        </is>
      </c>
      <c r="J88" s="64" t="n">
        <v>0.0004763094177785916</v>
      </c>
      <c r="K88" s="65" t="n">
        <v>2099.47559858</v>
      </c>
      <c r="L88" s="66" t="inlineStr">
        <is>
          <t>2026-09-25</t>
        </is>
      </c>
      <c r="N88" s="4" t="inlineStr">
        <is>
          <t>Germany</t>
        </is>
      </c>
      <c r="O88" s="67" t="inlineStr">
        <is>
          <t>DEU</t>
        </is>
      </c>
      <c r="P88" s="67" t="inlineStr">
        <is>
          <t>EUR</t>
        </is>
      </c>
      <c r="Q88" s="67" t="n">
        <v>2024</v>
      </c>
      <c r="R88" s="65" t="n">
        <v>0.700862</v>
      </c>
      <c r="S88" s="65" t="n">
        <v>0.926404983</v>
      </c>
      <c r="T88" s="68" t="n">
        <v>0.7565</v>
      </c>
      <c r="U88" s="66" t="inlineStr"/>
    </row>
    <row r="89">
      <c r="I89" s="13" t="inlineStr">
        <is>
          <t>MNT</t>
        </is>
      </c>
      <c r="J89" s="64" t="n">
        <v>0.0002779367890341389</v>
      </c>
      <c r="K89" s="65" t="n">
        <v>3597.94039312</v>
      </c>
      <c r="L89" s="66" t="inlineStr">
        <is>
          <t>2026-09-25</t>
        </is>
      </c>
      <c r="N89" s="4" t="inlineStr">
        <is>
          <t>Ghana</t>
        </is>
      </c>
      <c r="O89" s="67" t="inlineStr">
        <is>
          <t>GHA</t>
        </is>
      </c>
      <c r="P89" s="67" t="inlineStr">
        <is>
          <t>GHS</t>
        </is>
      </c>
      <c r="Q89" s="67" t="n">
        <v>2024</v>
      </c>
      <c r="R89" s="65" t="n">
        <v>4.23340273263268</v>
      </c>
      <c r="S89" s="65" t="n">
        <v>14.865850384</v>
      </c>
      <c r="T89" s="68" t="n">
        <v>0.2848</v>
      </c>
      <c r="U89" s="66" t="inlineStr"/>
    </row>
    <row r="90">
      <c r="I90" s="13" t="inlineStr">
        <is>
          <t>MOP</t>
        </is>
      </c>
      <c r="J90" s="64" t="n">
        <v>0.1237798985997299</v>
      </c>
      <c r="K90" s="65" t="n">
        <v>8.07885619</v>
      </c>
      <c r="L90" s="66" t="inlineStr">
        <is>
          <t>2026-09-25</t>
        </is>
      </c>
      <c r="N90" s="4" t="inlineStr">
        <is>
          <t>Gibraltar</t>
        </is>
      </c>
      <c r="O90" s="67" t="inlineStr">
        <is>
          <t>GIB</t>
        </is>
      </c>
      <c r="P90" s="67" t="inlineStr">
        <is>
          <t>GIP</t>
        </is>
      </c>
      <c r="Q90" s="67" t="inlineStr"/>
      <c r="R90" s="65" t="inlineStr"/>
      <c r="S90" s="65" t="n">
        <v>0.7830716049999999</v>
      </c>
      <c r="T90" s="69" t="inlineStr"/>
      <c r="U90" s="66" t="inlineStr">
        <is>
          <t>no World Bank PPP</t>
        </is>
      </c>
    </row>
    <row r="91">
      <c r="I91" s="13" t="inlineStr">
        <is>
          <t>MRU</t>
        </is>
      </c>
      <c r="J91" s="64" t="n">
        <v>0.02498221562911018</v>
      </c>
      <c r="K91" s="65" t="n">
        <v>40.02847525</v>
      </c>
      <c r="L91" s="66" t="inlineStr">
        <is>
          <t>2026-09-25</t>
        </is>
      </c>
      <c r="N91" s="4" t="inlineStr">
        <is>
          <t>Greece</t>
        </is>
      </c>
      <c r="O91" s="67" t="inlineStr">
        <is>
          <t>GRC</t>
        </is>
      </c>
      <c r="P91" s="67" t="inlineStr">
        <is>
          <t>EUR</t>
        </is>
      </c>
      <c r="Q91" s="67" t="n">
        <v>2024</v>
      </c>
      <c r="R91" s="65" t="n">
        <v>0.515086</v>
      </c>
      <c r="S91" s="65" t="n">
        <v>0.926404983</v>
      </c>
      <c r="T91" s="68" t="n">
        <v>0.556</v>
      </c>
      <c r="U91" s="66" t="inlineStr"/>
    </row>
    <row r="92">
      <c r="I92" s="13" t="inlineStr">
        <is>
          <t>MUR</t>
        </is>
      </c>
      <c r="J92" s="64" t="n">
        <v>0.02107079718785045</v>
      </c>
      <c r="K92" s="65" t="n">
        <v>47.45904918</v>
      </c>
      <c r="L92" s="66" t="inlineStr">
        <is>
          <t>2026-09-25</t>
        </is>
      </c>
      <c r="N92" s="4" t="inlineStr">
        <is>
          <t>Greenland</t>
        </is>
      </c>
      <c r="O92" s="67" t="inlineStr">
        <is>
          <t>GRL</t>
        </is>
      </c>
      <c r="P92" s="67" t="inlineStr">
        <is>
          <t>DKK</t>
        </is>
      </c>
      <c r="Q92" s="67" t="n">
        <v>2023</v>
      </c>
      <c r="R92" s="65" t="n">
        <v>5.11209384052967</v>
      </c>
      <c r="S92" s="65" t="n">
        <v>6.911804583</v>
      </c>
      <c r="T92" s="68" t="n">
        <v>0.7396</v>
      </c>
      <c r="U92" s="66" t="inlineStr"/>
    </row>
    <row r="93">
      <c r="I93" s="13" t="inlineStr">
        <is>
          <t>MVR</t>
        </is>
      </c>
      <c r="J93" s="64" t="n">
        <v>0.06468548795082231</v>
      </c>
      <c r="K93" s="65" t="n">
        <v>15.45941805</v>
      </c>
      <c r="L93" s="66" t="inlineStr">
        <is>
          <t>2026-09-25</t>
        </is>
      </c>
      <c r="N93" s="4" t="inlineStr">
        <is>
          <t>Grenada</t>
        </is>
      </c>
      <c r="O93" s="67" t="inlineStr">
        <is>
          <t>GRD</t>
        </is>
      </c>
      <c r="P93" s="67" t="inlineStr">
        <is>
          <t>XCD</t>
        </is>
      </c>
      <c r="Q93" s="67" t="n">
        <v>2024</v>
      </c>
      <c r="R93" s="65" t="n">
        <v>1.56626237427165</v>
      </c>
      <c r="S93" s="65" t="n">
        <v>2.701791065</v>
      </c>
      <c r="T93" s="68" t="n">
        <v>0.5797</v>
      </c>
      <c r="U93" s="66" t="inlineStr"/>
    </row>
    <row r="94">
      <c r="I94" s="13" t="inlineStr">
        <is>
          <t>MWK</t>
        </is>
      </c>
      <c r="J94" s="64" t="n">
        <v>0.0005767934221164161</v>
      </c>
      <c r="K94" s="65" t="n">
        <v>1733.72296156</v>
      </c>
      <c r="L94" s="66" t="inlineStr">
        <is>
          <t>2026-09-25</t>
        </is>
      </c>
      <c r="N94" s="4" t="inlineStr">
        <is>
          <t>Guadeloupe</t>
        </is>
      </c>
      <c r="O94" s="67" t="inlineStr">
        <is>
          <t>GLP</t>
        </is>
      </c>
      <c r="P94" s="67" t="inlineStr">
        <is>
          <t>EUR</t>
        </is>
      </c>
      <c r="Q94" s="67" t="inlineStr"/>
      <c r="R94" s="65" t="inlineStr"/>
      <c r="S94" s="65" t="n">
        <v>0.926404983</v>
      </c>
      <c r="T94" s="69" t="inlineStr"/>
      <c r="U94" s="66" t="inlineStr">
        <is>
          <t>no World Bank PPP</t>
        </is>
      </c>
    </row>
    <row r="95">
      <c r="I95" s="13" t="inlineStr">
        <is>
          <t>MXN</t>
        </is>
      </c>
      <c r="J95" s="64" t="n">
        <v>0.05637097374794452</v>
      </c>
      <c r="K95" s="65" t="n">
        <v>17.73962615</v>
      </c>
      <c r="L95" s="66" t="inlineStr">
        <is>
          <t>2026-09-25</t>
        </is>
      </c>
      <c r="N95" s="4" t="inlineStr">
        <is>
          <t>Guam</t>
        </is>
      </c>
      <c r="O95" s="67" t="inlineStr">
        <is>
          <t>GUM</t>
        </is>
      </c>
      <c r="P95" s="67" t="inlineStr">
        <is>
          <t>USD</t>
        </is>
      </c>
      <c r="Q95" s="67" t="inlineStr"/>
      <c r="R95" s="65" t="inlineStr"/>
      <c r="S95" s="65" t="n">
        <v>1</v>
      </c>
      <c r="T95" s="69" t="inlineStr"/>
      <c r="U95" s="66" t="inlineStr">
        <is>
          <t>no World Bank PPP</t>
        </is>
      </c>
    </row>
    <row r="96">
      <c r="I96" s="13" t="inlineStr">
        <is>
          <t>MYR</t>
        </is>
      </c>
      <c r="J96" s="64" t="n">
        <v>0.2452215557506315</v>
      </c>
      <c r="K96" s="65" t="n">
        <v>4.07794493</v>
      </c>
      <c r="L96" s="66" t="inlineStr">
        <is>
          <t>2026-09-25</t>
        </is>
      </c>
      <c r="N96" s="4" t="inlineStr">
        <is>
          <t>Guatemala</t>
        </is>
      </c>
      <c r="O96" s="67" t="inlineStr">
        <is>
          <t>GTM</t>
        </is>
      </c>
      <c r="P96" s="67" t="inlineStr">
        <is>
          <t>GTQ</t>
        </is>
      </c>
      <c r="Q96" s="67" t="n">
        <v>2024</v>
      </c>
      <c r="R96" s="65" t="n">
        <v>3.32078331028962</v>
      </c>
      <c r="S96" s="65" t="n">
        <v>7.754497292</v>
      </c>
      <c r="T96" s="68" t="n">
        <v>0.4282</v>
      </c>
      <c r="U96" s="66" t="inlineStr"/>
    </row>
    <row r="97">
      <c r="I97" s="13" t="inlineStr">
        <is>
          <t>MZN</t>
        </is>
      </c>
      <c r="J97" s="64" t="n">
        <v>0.01565792479678191</v>
      </c>
      <c r="K97" s="65" t="n">
        <v>63.86542361</v>
      </c>
      <c r="L97" s="66" t="inlineStr">
        <is>
          <t>2026-09-25</t>
        </is>
      </c>
      <c r="N97" s="4" t="inlineStr">
        <is>
          <t>Guernsey</t>
        </is>
      </c>
      <c r="O97" s="67" t="inlineStr">
        <is>
          <t>GGY</t>
        </is>
      </c>
      <c r="P97" s="67" t="inlineStr">
        <is>
          <t>GBP</t>
        </is>
      </c>
      <c r="Q97" s="67" t="inlineStr"/>
      <c r="R97" s="65" t="inlineStr"/>
      <c r="S97" s="65" t="n">
        <v>0.7830716049999999</v>
      </c>
      <c r="T97" s="69" t="inlineStr"/>
      <c r="U97" s="66" t="inlineStr">
        <is>
          <t>no World Bank PPP</t>
        </is>
      </c>
    </row>
    <row r="98">
      <c r="I98" s="13" t="inlineStr">
        <is>
          <t>NAD</t>
        </is>
      </c>
      <c r="J98" s="64" t="n">
        <v>0.06087436266239165</v>
      </c>
      <c r="K98" s="65" t="n">
        <v>16.42727671</v>
      </c>
      <c r="L98" s="66" t="inlineStr">
        <is>
          <t>2026-09-25</t>
        </is>
      </c>
      <c r="N98" s="4" t="inlineStr">
        <is>
          <t>Guinea</t>
        </is>
      </c>
      <c r="O98" s="67" t="inlineStr">
        <is>
          <t>GIN</t>
        </is>
      </c>
      <c r="P98" s="67" t="inlineStr">
        <is>
          <t>GNF</t>
        </is>
      </c>
      <c r="Q98" s="67" t="n">
        <v>2024</v>
      </c>
      <c r="R98" s="65" t="n">
        <v>3185.82499261202</v>
      </c>
      <c r="S98" s="65" t="n">
        <v>8617.704952745</v>
      </c>
      <c r="T98" s="68" t="n">
        <v>0.3697</v>
      </c>
      <c r="U98" s="66" t="inlineStr"/>
    </row>
    <row r="99">
      <c r="I99" s="13" t="inlineStr">
        <is>
          <t>NGN</t>
        </is>
      </c>
      <c r="J99" s="64" t="n">
        <v>0.0007536585697645595</v>
      </c>
      <c r="K99" s="65" t="n">
        <v>1326.86078301</v>
      </c>
      <c r="L99" s="66" t="inlineStr">
        <is>
          <t>2026-09-25</t>
        </is>
      </c>
      <c r="N99" s="4" t="inlineStr">
        <is>
          <t>Guinea-Bissau</t>
        </is>
      </c>
      <c r="O99" s="67" t="inlineStr">
        <is>
          <t>GNB</t>
        </is>
      </c>
      <c r="P99" s="67" t="inlineStr">
        <is>
          <t>XOF</t>
        </is>
      </c>
      <c r="Q99" s="67" t="n">
        <v>2024</v>
      </c>
      <c r="R99" s="65" t="n">
        <v>195.885394476863</v>
      </c>
      <c r="S99" s="65" t="n">
        <v>607.681834032</v>
      </c>
      <c r="T99" s="68" t="n">
        <v>0.3223</v>
      </c>
      <c r="U99" s="66" t="inlineStr"/>
    </row>
    <row r="100">
      <c r="I100" s="13" t="inlineStr">
        <is>
          <t>NIO</t>
        </is>
      </c>
      <c r="J100" s="64" t="n">
        <v>0.02717740532529224</v>
      </c>
      <c r="K100" s="65" t="n">
        <v>36.79527122</v>
      </c>
      <c r="L100" s="66" t="inlineStr">
        <is>
          <t>2026-09-25</t>
        </is>
      </c>
      <c r="N100" s="4" t="inlineStr">
        <is>
          <t>Guyana</t>
        </is>
      </c>
      <c r="O100" s="67" t="inlineStr">
        <is>
          <t>GUY</t>
        </is>
      </c>
      <c r="P100" s="67" t="inlineStr">
        <is>
          <t>GYD</t>
        </is>
      </c>
      <c r="Q100" s="67" t="n">
        <v>2024</v>
      </c>
      <c r="R100" s="65" t="n">
        <v>77.19150912571</v>
      </c>
      <c r="S100" s="65" t="n">
        <v>209.121093503</v>
      </c>
      <c r="T100" s="68" t="n">
        <v>0.3691</v>
      </c>
      <c r="U100" s="66" t="inlineStr"/>
    </row>
    <row r="101">
      <c r="I101" s="13" t="inlineStr">
        <is>
          <t>NOK</t>
        </is>
      </c>
      <c r="J101" s="64" t="n">
        <v>0.1049464028068805</v>
      </c>
      <c r="K101" s="65" t="n">
        <v>9.52867343</v>
      </c>
      <c r="L101" s="66" t="inlineStr">
        <is>
          <t>2026-09-25</t>
        </is>
      </c>
      <c r="N101" s="4" t="inlineStr">
        <is>
          <t>Haiti</t>
        </is>
      </c>
      <c r="O101" s="67" t="inlineStr">
        <is>
          <t>HTI</t>
        </is>
      </c>
      <c r="P101" s="67" t="inlineStr">
        <is>
          <t>HTG</t>
        </is>
      </c>
      <c r="Q101" s="67" t="n">
        <v>2024</v>
      </c>
      <c r="R101" s="65" t="n">
        <v>88.74025529269051</v>
      </c>
      <c r="S101" s="65" t="n">
        <v>132.797306452</v>
      </c>
      <c r="T101" s="68" t="n">
        <v>0.6682</v>
      </c>
      <c r="U101" s="66" t="inlineStr"/>
    </row>
    <row r="102">
      <c r="I102" s="13" t="inlineStr">
        <is>
          <t>NPR</t>
        </is>
      </c>
      <c r="J102" s="64" t="n">
        <v>0.00651194778457392</v>
      </c>
      <c r="K102" s="65" t="n">
        <v>153.56388489</v>
      </c>
      <c r="L102" s="66" t="inlineStr">
        <is>
          <t>2026-09-25</t>
        </is>
      </c>
      <c r="N102" s="4" t="inlineStr">
        <is>
          <t>Heard &amp; McDonald Islands</t>
        </is>
      </c>
      <c r="O102" s="67" t="inlineStr">
        <is>
          <t>HMD</t>
        </is>
      </c>
      <c r="P102" s="67" t="inlineStr">
        <is>
          <t>AUD</t>
        </is>
      </c>
      <c r="Q102" s="67" t="inlineStr"/>
      <c r="R102" s="65" t="inlineStr"/>
      <c r="S102" s="65" t="n">
        <v>1.518557254</v>
      </c>
      <c r="T102" s="69" t="inlineStr"/>
      <c r="U102" s="66" t="inlineStr">
        <is>
          <t>no World Bank PPP</t>
        </is>
      </c>
    </row>
    <row r="103">
      <c r="I103" s="13" t="inlineStr">
        <is>
          <t>NZD</t>
        </is>
      </c>
      <c r="J103" s="64" t="n">
        <v>0.5651710779917719</v>
      </c>
      <c r="K103" s="65" t="n">
        <v>1.76937575</v>
      </c>
      <c r="L103" s="66" t="inlineStr">
        <is>
          <t>2026-09-25</t>
        </is>
      </c>
      <c r="N103" s="4" t="inlineStr">
        <is>
          <t>Honduras</t>
        </is>
      </c>
      <c r="O103" s="67" t="inlineStr">
        <is>
          <t>HND</t>
        </is>
      </c>
      <c r="P103" s="67" t="inlineStr">
        <is>
          <t>HNL</t>
        </is>
      </c>
      <c r="Q103" s="67" t="n">
        <v>2024</v>
      </c>
      <c r="R103" s="65" t="n">
        <v>11.3509098940535</v>
      </c>
      <c r="S103" s="65" t="n">
        <v>24.872967423</v>
      </c>
      <c r="T103" s="68" t="n">
        <v>0.4564</v>
      </c>
      <c r="U103" s="66" t="inlineStr"/>
    </row>
    <row r="104">
      <c r="I104" s="13" t="inlineStr">
        <is>
          <t>OMR</t>
        </is>
      </c>
      <c r="J104" s="64" t="n">
        <v>2.599033778004622</v>
      </c>
      <c r="K104" s="65" t="n">
        <v>0.38475837</v>
      </c>
      <c r="L104" s="66" t="inlineStr">
        <is>
          <t>2026-09-25</t>
        </is>
      </c>
      <c r="N104" s="4" t="inlineStr">
        <is>
          <t>Hong Kong</t>
        </is>
      </c>
      <c r="O104" s="67" t="inlineStr">
        <is>
          <t>HKG</t>
        </is>
      </c>
      <c r="P104" s="67" t="inlineStr">
        <is>
          <t>HKD</t>
        </is>
      </c>
      <c r="Q104" s="67" t="inlineStr"/>
      <c r="R104" s="65" t="inlineStr"/>
      <c r="S104" s="65" t="n">
        <v>7.800547276</v>
      </c>
      <c r="T104" s="69" t="inlineStr"/>
      <c r="U104" s="66" t="inlineStr">
        <is>
          <t>no World Bank PPP</t>
        </is>
      </c>
    </row>
    <row r="105">
      <c r="I105" s="13" t="inlineStr">
        <is>
          <t>PAB</t>
        </is>
      </c>
      <c r="J105" s="64" t="n">
        <v>1</v>
      </c>
      <c r="K105" s="65" t="n">
        <v>1</v>
      </c>
      <c r="L105" s="66" t="inlineStr">
        <is>
          <t>2026-09-25</t>
        </is>
      </c>
      <c r="N105" s="4" t="inlineStr">
        <is>
          <t>Hungary</t>
        </is>
      </c>
      <c r="O105" s="67" t="inlineStr">
        <is>
          <t>HUN</t>
        </is>
      </c>
      <c r="P105" s="67" t="inlineStr">
        <is>
          <t>HUF</t>
        </is>
      </c>
      <c r="Q105" s="67" t="n">
        <v>2024</v>
      </c>
      <c r="R105" s="65" t="n">
        <v>175.578089</v>
      </c>
      <c r="S105" s="65" t="n">
        <v>367.898827798</v>
      </c>
      <c r="T105" s="68" t="n">
        <v>0.4772</v>
      </c>
      <c r="U105" s="66" t="inlineStr"/>
    </row>
    <row r="106">
      <c r="I106" s="13" t="inlineStr">
        <is>
          <t>PEN</t>
        </is>
      </c>
      <c r="J106" s="64" t="n">
        <v>0.29492100406717</v>
      </c>
      <c r="K106" s="65" t="n">
        <v>3.39073849</v>
      </c>
      <c r="L106" s="66" t="inlineStr">
        <is>
          <t>2026-09-25</t>
        </is>
      </c>
      <c r="N106" s="4" t="inlineStr">
        <is>
          <t>Iceland</t>
        </is>
      </c>
      <c r="O106" s="67" t="inlineStr">
        <is>
          <t>ISL</t>
        </is>
      </c>
      <c r="P106" s="67" t="inlineStr">
        <is>
          <t>ISK</t>
        </is>
      </c>
      <c r="Q106" s="67" t="n">
        <v>2024</v>
      </c>
      <c r="R106" s="65" t="n">
        <v>141.758111</v>
      </c>
      <c r="S106" s="65" t="n">
        <v>138.340558068</v>
      </c>
      <c r="T106" s="68" t="n">
        <v>1.0247</v>
      </c>
      <c r="U106" s="66" t="inlineStr"/>
    </row>
    <row r="107">
      <c r="I107" s="13" t="inlineStr">
        <is>
          <t>PGK</t>
        </is>
      </c>
      <c r="J107" s="64" t="n">
        <v>0.2246764852956902</v>
      </c>
      <c r="K107" s="65" t="n">
        <v>4.45084406</v>
      </c>
      <c r="L107" s="66" t="inlineStr">
        <is>
          <t>2026-09-25</t>
        </is>
      </c>
      <c r="N107" s="4" t="inlineStr">
        <is>
          <t>India</t>
        </is>
      </c>
      <c r="O107" s="67" t="inlineStr">
        <is>
          <t>IND</t>
        </is>
      </c>
      <c r="P107" s="67" t="inlineStr">
        <is>
          <t>INR</t>
        </is>
      </c>
      <c r="Q107" s="67" t="n">
        <v>2024</v>
      </c>
      <c r="R107" s="65" t="n">
        <v>20.4219876045922</v>
      </c>
      <c r="S107" s="65" t="n">
        <v>83.81593696500001</v>
      </c>
      <c r="T107" s="68" t="n">
        <v>0.2437</v>
      </c>
      <c r="U107" s="66" t="inlineStr"/>
    </row>
    <row r="108">
      <c r="I108" s="13" t="inlineStr">
        <is>
          <t>PHP</t>
        </is>
      </c>
      <c r="J108" s="64" t="n">
        <v>0.0159790324746554</v>
      </c>
      <c r="K108" s="65" t="n">
        <v>62.58201187</v>
      </c>
      <c r="L108" s="66" t="inlineStr">
        <is>
          <t>2026-09-25</t>
        </is>
      </c>
      <c r="N108" s="4" t="inlineStr">
        <is>
          <t>Indonesia</t>
        </is>
      </c>
      <c r="O108" s="67" t="inlineStr">
        <is>
          <t>IDN</t>
        </is>
      </c>
      <c r="P108" s="67" t="inlineStr">
        <is>
          <t>IDR</t>
        </is>
      </c>
      <c r="Q108" s="67" t="n">
        <v>2024</v>
      </c>
      <c r="R108" s="65" t="n">
        <v>4747.90857563225</v>
      </c>
      <c r="S108" s="65" t="n">
        <v>15896.795736594</v>
      </c>
      <c r="T108" s="68" t="n">
        <v>0.2987</v>
      </c>
      <c r="U108" s="66" t="inlineStr"/>
    </row>
    <row r="109">
      <c r="I109" s="13" t="inlineStr">
        <is>
          <t>PKR</t>
        </is>
      </c>
      <c r="J109" s="64" t="n">
        <v>0.003609427294749717</v>
      </c>
      <c r="K109" s="65" t="n">
        <v>277.05226296</v>
      </c>
      <c r="L109" s="66" t="inlineStr">
        <is>
          <t>2026-09-25</t>
        </is>
      </c>
      <c r="N109" s="4" t="inlineStr">
        <is>
          <t>Iran</t>
        </is>
      </c>
      <c r="O109" s="67" t="inlineStr">
        <is>
          <t>IRN</t>
        </is>
      </c>
      <c r="P109" s="67" t="inlineStr">
        <is>
          <t>IRR</t>
        </is>
      </c>
      <c r="Q109" s="67" t="n">
        <v>2024</v>
      </c>
      <c r="R109" s="65" t="n">
        <v>118268.070633131</v>
      </c>
      <c r="S109" s="65" t="n">
        <v>41990.011295047</v>
      </c>
      <c r="T109" s="68" t="n">
        <v>2.8166</v>
      </c>
      <c r="U109" s="66" t="inlineStr"/>
    </row>
    <row r="110">
      <c r="I110" s="13" t="inlineStr">
        <is>
          <t>PLN</t>
        </is>
      </c>
      <c r="J110" s="64" t="n">
        <v>0.2595088620913982</v>
      </c>
      <c r="K110" s="65" t="n">
        <v>3.85343295</v>
      </c>
      <c r="L110" s="66" t="inlineStr">
        <is>
          <t>2026-09-25</t>
        </is>
      </c>
      <c r="N110" s="4" t="inlineStr">
        <is>
          <t>Iraq</t>
        </is>
      </c>
      <c r="O110" s="67" t="inlineStr">
        <is>
          <t>IRQ</t>
        </is>
      </c>
      <c r="P110" s="67" t="inlineStr">
        <is>
          <t>IQD</t>
        </is>
      </c>
      <c r="Q110" s="67" t="n">
        <v>2024</v>
      </c>
      <c r="R110" s="65" t="n">
        <v>545.873856082559</v>
      </c>
      <c r="S110" s="65" t="n">
        <v>1309.973692664</v>
      </c>
      <c r="T110" s="68" t="n">
        <v>0.4167</v>
      </c>
      <c r="U110" s="66" t="inlineStr"/>
    </row>
    <row r="111">
      <c r="I111" s="13" t="inlineStr">
        <is>
          <t>PYG</t>
        </is>
      </c>
      <c r="J111" s="64" t="n">
        <v>0.0001686745313199456</v>
      </c>
      <c r="K111" s="65" t="n">
        <v>5928.57731499</v>
      </c>
      <c r="L111" s="66" t="inlineStr">
        <is>
          <t>2026-09-25</t>
        </is>
      </c>
      <c r="N111" s="4" t="inlineStr">
        <is>
          <t>Ireland</t>
        </is>
      </c>
      <c r="O111" s="67" t="inlineStr">
        <is>
          <t>IRL</t>
        </is>
      </c>
      <c r="P111" s="67" t="inlineStr">
        <is>
          <t>EUR</t>
        </is>
      </c>
      <c r="Q111" s="67" t="n">
        <v>2024</v>
      </c>
      <c r="R111" s="65" t="n">
        <v>0.7408940000000001</v>
      </c>
      <c r="S111" s="65" t="n">
        <v>0.926404983</v>
      </c>
      <c r="T111" s="68" t="n">
        <v>0.7998</v>
      </c>
      <c r="U111" s="66" t="inlineStr"/>
    </row>
    <row r="112">
      <c r="I112" s="13" t="inlineStr">
        <is>
          <t>QAR</t>
        </is>
      </c>
      <c r="J112" s="64" t="n">
        <v>0.2747252747252747</v>
      </c>
      <c r="K112" s="65" t="n">
        <v>3.64</v>
      </c>
      <c r="L112" s="66" t="inlineStr">
        <is>
          <t>2026-09-25</t>
        </is>
      </c>
      <c r="N112" s="4" t="inlineStr">
        <is>
          <t>Isle of Man</t>
        </is>
      </c>
      <c r="O112" s="67" t="inlineStr">
        <is>
          <t>IMN</t>
        </is>
      </c>
      <c r="P112" s="67" t="inlineStr">
        <is>
          <t>GBP</t>
        </is>
      </c>
      <c r="Q112" s="67" t="inlineStr"/>
      <c r="R112" s="65" t="inlineStr"/>
      <c r="S112" s="65" t="n">
        <v>0.7830716049999999</v>
      </c>
      <c r="T112" s="69" t="inlineStr"/>
      <c r="U112" s="66" t="inlineStr">
        <is>
          <t>no World Bank PPP</t>
        </is>
      </c>
    </row>
    <row r="113">
      <c r="I113" s="13" t="inlineStr">
        <is>
          <t>RON</t>
        </is>
      </c>
      <c r="J113" s="64" t="n">
        <v>0.2154734027582604</v>
      </c>
      <c r="K113" s="65" t="n">
        <v>4.64094402</v>
      </c>
      <c r="L113" s="66" t="inlineStr">
        <is>
          <t>2026-09-25</t>
        </is>
      </c>
      <c r="N113" s="4" t="inlineStr">
        <is>
          <t>Israel</t>
        </is>
      </c>
      <c r="O113" s="67" t="inlineStr">
        <is>
          <t>ISR</t>
        </is>
      </c>
      <c r="P113" s="67" t="inlineStr">
        <is>
          <t>ILS</t>
        </is>
      </c>
      <c r="Q113" s="67" t="n">
        <v>2024</v>
      </c>
      <c r="R113" s="65" t="n">
        <v>3.50198</v>
      </c>
      <c r="S113" s="65" t="n">
        <v>3.698793118</v>
      </c>
      <c r="T113" s="68" t="n">
        <v>0.9468</v>
      </c>
      <c r="U113" s="66" t="inlineStr"/>
    </row>
    <row r="114">
      <c r="I114" s="13" t="inlineStr">
        <is>
          <t>RSD</t>
        </is>
      </c>
      <c r="J114" s="64" t="n">
        <v>0.00967988336946266</v>
      </c>
      <c r="K114" s="65" t="n">
        <v>103.30702983</v>
      </c>
      <c r="L114" s="66" t="inlineStr">
        <is>
          <t>2026-09-25</t>
        </is>
      </c>
      <c r="N114" s="4" t="inlineStr">
        <is>
          <t>Italy</t>
        </is>
      </c>
      <c r="O114" s="67" t="inlineStr">
        <is>
          <t>ITA</t>
        </is>
      </c>
      <c r="P114" s="67" t="inlineStr">
        <is>
          <t>EUR</t>
        </is>
      </c>
      <c r="Q114" s="67" t="n">
        <v>2024</v>
      </c>
      <c r="R114" s="65" t="n">
        <v>0.599627</v>
      </c>
      <c r="S114" s="65" t="n">
        <v>0.926404983</v>
      </c>
      <c r="T114" s="68" t="n">
        <v>0.6473</v>
      </c>
      <c r="U114" s="66" t="inlineStr"/>
    </row>
    <row r="115">
      <c r="I115" s="13" t="inlineStr">
        <is>
          <t>RUB</t>
        </is>
      </c>
      <c r="J115" s="64" t="n">
        <v>0.01176289778242514</v>
      </c>
      <c r="K115" s="65" t="n">
        <v>85.01306553000001</v>
      </c>
      <c r="L115" s="66" t="inlineStr">
        <is>
          <t>2026-09-25</t>
        </is>
      </c>
      <c r="N115" s="4" t="inlineStr">
        <is>
          <t>Jamaica</t>
        </is>
      </c>
      <c r="O115" s="67" t="inlineStr">
        <is>
          <t>JAM</t>
        </is>
      </c>
      <c r="P115" s="67" t="inlineStr">
        <is>
          <t>JMD</t>
        </is>
      </c>
      <c r="Q115" s="67" t="n">
        <v>2024</v>
      </c>
      <c r="R115" s="65" t="n">
        <v>94.1020890725982</v>
      </c>
      <c r="S115" s="65" t="n">
        <v>156.633234253</v>
      </c>
      <c r="T115" s="68" t="n">
        <v>0.6008</v>
      </c>
      <c r="U115" s="66" t="inlineStr"/>
    </row>
    <row r="116">
      <c r="I116" s="13" t="inlineStr">
        <is>
          <t>RWF</t>
        </is>
      </c>
      <c r="J116" s="64" t="n">
        <v>0.0006775670026489907</v>
      </c>
      <c r="K116" s="65" t="n">
        <v>1475.8688013</v>
      </c>
      <c r="L116" s="66" t="inlineStr">
        <is>
          <t>2026-09-25</t>
        </is>
      </c>
      <c r="N116" s="4" t="inlineStr">
        <is>
          <t>Japan</t>
        </is>
      </c>
      <c r="O116" s="67" t="inlineStr">
        <is>
          <t>JPN</t>
        </is>
      </c>
      <c r="P116" s="67" t="inlineStr">
        <is>
          <t>JPY</t>
        </is>
      </c>
      <c r="Q116" s="67" t="n">
        <v>2024</v>
      </c>
      <c r="R116" s="65" t="n">
        <v>94.462599</v>
      </c>
      <c r="S116" s="65" t="n">
        <v>152.204880848</v>
      </c>
      <c r="T116" s="68" t="n">
        <v>0.6206</v>
      </c>
      <c r="U116" s="66" t="inlineStr"/>
    </row>
    <row r="117">
      <c r="I117" s="13" t="inlineStr">
        <is>
          <t>SAR</t>
        </is>
      </c>
      <c r="J117" s="64" t="n">
        <v>0.2666666666666667</v>
      </c>
      <c r="K117" s="65" t="n">
        <v>3.75</v>
      </c>
      <c r="L117" s="66" t="inlineStr">
        <is>
          <t>2026-09-25</t>
        </is>
      </c>
      <c r="N117" s="4" t="inlineStr">
        <is>
          <t>Jersey</t>
        </is>
      </c>
      <c r="O117" s="67" t="inlineStr">
        <is>
          <t>JEY</t>
        </is>
      </c>
      <c r="P117" s="67" t="inlineStr">
        <is>
          <t>GBP</t>
        </is>
      </c>
      <c r="Q117" s="67" t="inlineStr"/>
      <c r="R117" s="65" t="inlineStr"/>
      <c r="S117" s="65" t="n">
        <v>0.7830716049999999</v>
      </c>
      <c r="T117" s="69" t="inlineStr"/>
      <c r="U117" s="66" t="inlineStr">
        <is>
          <t>no World Bank PPP</t>
        </is>
      </c>
    </row>
    <row r="118">
      <c r="I118" s="13" t="inlineStr">
        <is>
          <t>SBD</t>
        </is>
      </c>
      <c r="J118" s="64" t="n">
        <v>0.1244120400513161</v>
      </c>
      <c r="K118" s="65" t="n">
        <v>8.03780727</v>
      </c>
      <c r="L118" s="66" t="inlineStr">
        <is>
          <t>2026-09-25</t>
        </is>
      </c>
      <c r="N118" s="4" t="inlineStr">
        <is>
          <t>Jordan</t>
        </is>
      </c>
      <c r="O118" s="67" t="inlineStr">
        <is>
          <t>JOR</t>
        </is>
      </c>
      <c r="P118" s="67" t="inlineStr">
        <is>
          <t>JOD</t>
        </is>
      </c>
      <c r="Q118" s="67" t="n">
        <v>2024</v>
      </c>
      <c r="R118" s="65" t="n">
        <v>0.302994117340261</v>
      </c>
      <c r="S118" s="65" t="n">
        <v>0.709</v>
      </c>
      <c r="T118" s="68" t="n">
        <v>0.4274</v>
      </c>
      <c r="U118" s="66" t="inlineStr"/>
    </row>
    <row r="119">
      <c r="I119" s="13" t="inlineStr">
        <is>
          <t>SCR</t>
        </is>
      </c>
      <c r="J119" s="64" t="n">
        <v>0.06976824643437307</v>
      </c>
      <c r="K119" s="65" t="n">
        <v>14.33316804</v>
      </c>
      <c r="L119" s="66" t="inlineStr">
        <is>
          <t>2026-09-25</t>
        </is>
      </c>
      <c r="N119" s="4" t="inlineStr">
        <is>
          <t>Kazakhstan</t>
        </is>
      </c>
      <c r="O119" s="67" t="inlineStr">
        <is>
          <t>KAZ</t>
        </is>
      </c>
      <c r="P119" s="67" t="inlineStr">
        <is>
          <t>KZT</t>
        </is>
      </c>
      <c r="Q119" s="67" t="n">
        <v>2024</v>
      </c>
      <c r="R119" s="65" t="n">
        <v>162.334081288311</v>
      </c>
      <c r="S119" s="65" t="n">
        <v>473.059040487</v>
      </c>
      <c r="T119" s="68" t="n">
        <v>0.3432</v>
      </c>
      <c r="U119" s="66" t="inlineStr"/>
    </row>
    <row r="120">
      <c r="I120" s="13" t="inlineStr">
        <is>
          <t>SDG</t>
        </is>
      </c>
      <c r="J120" s="64" t="n">
        <v>0.001666140280468648</v>
      </c>
      <c r="K120" s="65" t="n">
        <v>600.1895589</v>
      </c>
      <c r="L120" s="66" t="inlineStr">
        <is>
          <t>2026-09-25</t>
        </is>
      </c>
      <c r="N120" s="4" t="inlineStr">
        <is>
          <t>Kenya</t>
        </is>
      </c>
      <c r="O120" s="67" t="inlineStr">
        <is>
          <t>KEN</t>
        </is>
      </c>
      <c r="P120" s="67" t="inlineStr">
        <is>
          <t>KES</t>
        </is>
      </c>
      <c r="Q120" s="67" t="n">
        <v>2024</v>
      </c>
      <c r="R120" s="65" t="n">
        <v>43.2712900869078</v>
      </c>
      <c r="S120" s="65" t="n">
        <v>129.586661589</v>
      </c>
      <c r="T120" s="68" t="n">
        <v>0.3339</v>
      </c>
      <c r="U120" s="66" t="inlineStr"/>
    </row>
    <row r="121">
      <c r="I121" s="13" t="inlineStr">
        <is>
          <t>SEK</t>
        </is>
      </c>
      <c r="J121" s="64" t="n">
        <v>0.1006936057506199</v>
      </c>
      <c r="K121" s="65" t="n">
        <v>9.931117199999999</v>
      </c>
      <c r="L121" s="66" t="inlineStr">
        <is>
          <t>2026-09-25</t>
        </is>
      </c>
      <c r="N121" s="4" t="inlineStr">
        <is>
          <t>Kiribati</t>
        </is>
      </c>
      <c r="O121" s="67" t="inlineStr">
        <is>
          <t>KIR</t>
        </is>
      </c>
      <c r="P121" s="67" t="inlineStr">
        <is>
          <t>AUD</t>
        </is>
      </c>
      <c r="Q121" s="67" t="n">
        <v>2024</v>
      </c>
      <c r="R121" s="65" t="n">
        <v>0.9367357096361349</v>
      </c>
      <c r="S121" s="65" t="n">
        <v>1.518557254</v>
      </c>
      <c r="T121" s="68" t="n">
        <v>0.6169</v>
      </c>
      <c r="U121" s="66" t="inlineStr"/>
    </row>
    <row r="122">
      <c r="I122" s="13" t="inlineStr">
        <is>
          <t>SGD</t>
        </is>
      </c>
      <c r="J122" s="64" t="n">
        <v>0.78162734281267</v>
      </c>
      <c r="K122" s="65" t="n">
        <v>1.27938206</v>
      </c>
      <c r="L122" s="66" t="inlineStr">
        <is>
          <t>2026-09-25</t>
        </is>
      </c>
      <c r="N122" s="4" t="inlineStr">
        <is>
          <t>Kuwait</t>
        </is>
      </c>
      <c r="O122" s="67" t="inlineStr">
        <is>
          <t>KWT</t>
        </is>
      </c>
      <c r="P122" s="67" t="inlineStr">
        <is>
          <t>KWD</t>
        </is>
      </c>
      <c r="Q122" s="67" t="n">
        <v>2024</v>
      </c>
      <c r="R122" s="65" t="n">
        <v>0.191333746031327</v>
      </c>
      <c r="S122" s="65" t="n">
        <v>0.30715379</v>
      </c>
      <c r="T122" s="68" t="n">
        <v>0.6229</v>
      </c>
      <c r="U122" s="66" t="inlineStr"/>
    </row>
    <row r="123">
      <c r="I123" s="13" t="inlineStr">
        <is>
          <t>SHP</t>
        </is>
      </c>
      <c r="J123" s="64" t="n">
        <v>1.321149603612181</v>
      </c>
      <c r="K123" s="65" t="n">
        <v>0.75691655</v>
      </c>
      <c r="L123" s="66" t="inlineStr">
        <is>
          <t>2026-09-25</t>
        </is>
      </c>
      <c r="N123" s="4" t="inlineStr">
        <is>
          <t>Kyrgyzstan</t>
        </is>
      </c>
      <c r="O123" s="67" t="inlineStr">
        <is>
          <t>KGZ</t>
        </is>
      </c>
      <c r="P123" s="67" t="inlineStr">
        <is>
          <t>KGS</t>
        </is>
      </c>
      <c r="Q123" s="67" t="n">
        <v>2024</v>
      </c>
      <c r="R123" s="65" t="n">
        <v>26.3240076204654</v>
      </c>
      <c r="S123" s="65" t="n">
        <v>86.921935312</v>
      </c>
      <c r="T123" s="68" t="n">
        <v>0.3028</v>
      </c>
      <c r="U123" s="66" t="inlineStr"/>
    </row>
    <row r="124">
      <c r="I124" s="13" t="inlineStr">
        <is>
          <t>SLE</t>
        </is>
      </c>
      <c r="J124" s="64" t="n">
        <v>0.04361100187548503</v>
      </c>
      <c r="K124" s="65" t="n">
        <v>22.92999374</v>
      </c>
      <c r="L124" s="66" t="inlineStr">
        <is>
          <t>2026-09-25</t>
        </is>
      </c>
      <c r="N124" s="4" t="inlineStr">
        <is>
          <t>Laos</t>
        </is>
      </c>
      <c r="O124" s="67" t="inlineStr">
        <is>
          <t>LAO</t>
        </is>
      </c>
      <c r="P124" s="67" t="inlineStr">
        <is>
          <t>LAK</t>
        </is>
      </c>
      <c r="Q124" s="67" t="n">
        <v>2024</v>
      </c>
      <c r="R124" s="65" t="n">
        <v>4381.7249520295</v>
      </c>
      <c r="S124" s="65" t="n">
        <v>21730.076867384</v>
      </c>
      <c r="T124" s="68" t="n">
        <v>0.2016</v>
      </c>
      <c r="U124" s="66" t="inlineStr"/>
    </row>
    <row r="125">
      <c r="I125" s="13" t="inlineStr">
        <is>
          <t>SOS</t>
        </is>
      </c>
      <c r="J125" s="64" t="n">
        <v>0.001752410462483133</v>
      </c>
      <c r="K125" s="65" t="n">
        <v>570.64256429</v>
      </c>
      <c r="L125" s="66" t="inlineStr">
        <is>
          <t>2026-09-25</t>
        </is>
      </c>
      <c r="N125" s="4" t="inlineStr">
        <is>
          <t>Latvia</t>
        </is>
      </c>
      <c r="O125" s="67" t="inlineStr">
        <is>
          <t>LVA</t>
        </is>
      </c>
      <c r="P125" s="67" t="inlineStr">
        <is>
          <t>EUR</t>
        </is>
      </c>
      <c r="Q125" s="67" t="n">
        <v>2024</v>
      </c>
      <c r="R125" s="65" t="n">
        <v>0.496528</v>
      </c>
      <c r="S125" s="65" t="n">
        <v>0.926404983</v>
      </c>
      <c r="T125" s="68" t="n">
        <v>0.536</v>
      </c>
      <c r="U125" s="66" t="inlineStr"/>
    </row>
    <row r="126">
      <c r="I126" s="13" t="inlineStr">
        <is>
          <t>SRD</t>
        </is>
      </c>
      <c r="J126" s="64" t="n">
        <v>0.02647943085119802</v>
      </c>
      <c r="K126" s="65" t="n">
        <v>37.76516216</v>
      </c>
      <c r="L126" s="66" t="inlineStr">
        <is>
          <t>2026-09-25</t>
        </is>
      </c>
      <c r="N126" s="4" t="inlineStr">
        <is>
          <t>Lebanon</t>
        </is>
      </c>
      <c r="O126" s="67" t="inlineStr">
        <is>
          <t>LBN</t>
        </is>
      </c>
      <c r="P126" s="67" t="inlineStr">
        <is>
          <t>LBP</t>
        </is>
      </c>
      <c r="Q126" s="67" t="n">
        <v>2023</v>
      </c>
      <c r="R126" s="65" t="n">
        <v>23736.790355749</v>
      </c>
      <c r="S126" s="65" t="n">
        <v>90230.44447614001</v>
      </c>
      <c r="T126" s="68" t="n">
        <v>0.2631</v>
      </c>
      <c r="U126" s="66" t="inlineStr"/>
    </row>
    <row r="127">
      <c r="I127" s="13" t="inlineStr">
        <is>
          <t>SSP</t>
        </is>
      </c>
      <c r="J127" s="64" t="n">
        <v>0.0001750518884431426</v>
      </c>
      <c r="K127" s="65" t="n">
        <v>5712.5919</v>
      </c>
      <c r="L127" s="66" t="inlineStr">
        <is>
          <t>2026-09-25</t>
        </is>
      </c>
      <c r="N127" s="4" t="inlineStr">
        <is>
          <t>Lesotho</t>
        </is>
      </c>
      <c r="O127" s="67" t="inlineStr">
        <is>
          <t>LSO</t>
        </is>
      </c>
      <c r="P127" s="67" t="inlineStr">
        <is>
          <t>LSL</t>
        </is>
      </c>
      <c r="Q127" s="67" t="n">
        <v>2024</v>
      </c>
      <c r="R127" s="65" t="n">
        <v>5.93562011325191</v>
      </c>
      <c r="S127" s="65" t="n">
        <v>18.191628042</v>
      </c>
      <c r="T127" s="68" t="n">
        <v>0.3263</v>
      </c>
      <c r="U127" s="66" t="inlineStr"/>
    </row>
    <row r="128">
      <c r="I128" s="13" t="inlineStr">
        <is>
          <t>STN</t>
        </is>
      </c>
      <c r="J128" s="64" t="n">
        <v>0.04614427690278356</v>
      </c>
      <c r="K128" s="65" t="n">
        <v>21.67115983</v>
      </c>
      <c r="L128" s="66" t="inlineStr">
        <is>
          <t>2026-09-25</t>
        </is>
      </c>
      <c r="N128" s="4" t="inlineStr">
        <is>
          <t>Liberia</t>
        </is>
      </c>
      <c r="O128" s="67" t="inlineStr">
        <is>
          <t>LBR</t>
        </is>
      </c>
      <c r="P128" s="67" t="inlineStr">
        <is>
          <t>LRD</t>
        </is>
      </c>
      <c r="Q128" s="67" t="n">
        <v>2024</v>
      </c>
      <c r="R128" s="65" t="n">
        <v>0.455092288485533</v>
      </c>
      <c r="S128" s="65" t="n">
        <v>192.127004577</v>
      </c>
      <c r="T128" s="69" t="inlineStr"/>
      <c r="U128" s="66" t="inlineStr">
        <is>
          <t>price level 0.00 implausible (currency / inflation): not used</t>
        </is>
      </c>
    </row>
    <row r="129">
      <c r="I129" s="13" t="inlineStr">
        <is>
          <t>SVC</t>
        </is>
      </c>
      <c r="J129" s="64" t="n">
        <v>0.1142857142857143</v>
      </c>
      <c r="K129" s="65" t="n">
        <v>8.75</v>
      </c>
      <c r="L129" s="66" t="inlineStr">
        <is>
          <t>2026-09-25</t>
        </is>
      </c>
      <c r="N129" s="4" t="inlineStr">
        <is>
          <t>Libya</t>
        </is>
      </c>
      <c r="O129" s="67" t="inlineStr">
        <is>
          <t>LBY</t>
        </is>
      </c>
      <c r="P129" s="67" t="inlineStr">
        <is>
          <t>LYD</t>
        </is>
      </c>
      <c r="Q129" s="67" t="n">
        <v>2024</v>
      </c>
      <c r="R129" s="65" t="n">
        <v>2.21923878847227</v>
      </c>
      <c r="S129" s="65" t="n">
        <v>4.835689103</v>
      </c>
      <c r="T129" s="68" t="n">
        <v>0.4589</v>
      </c>
      <c r="U129" s="66" t="inlineStr"/>
    </row>
    <row r="130">
      <c r="I130" s="13" t="inlineStr">
        <is>
          <t>SYP</t>
        </is>
      </c>
      <c r="J130" s="64" t="n">
        <v>7.689908439910244e-05</v>
      </c>
      <c r="K130" s="65" t="n">
        <v>13004.05600163</v>
      </c>
      <c r="L130" s="66" t="inlineStr">
        <is>
          <t>2026-09-25</t>
        </is>
      </c>
      <c r="N130" s="4" t="inlineStr">
        <is>
          <t>Liechtenstein</t>
        </is>
      </c>
      <c r="O130" s="67" t="inlineStr">
        <is>
          <t>LIE</t>
        </is>
      </c>
      <c r="P130" s="67" t="inlineStr">
        <is>
          <t>CHF</t>
        </is>
      </c>
      <c r="Q130" s="67" t="inlineStr"/>
      <c r="R130" s="65" t="inlineStr"/>
      <c r="S130" s="65" t="n">
        <v>0.885177129</v>
      </c>
      <c r="T130" s="69" t="inlineStr"/>
      <c r="U130" s="66" t="inlineStr">
        <is>
          <t>no World Bank PPP</t>
        </is>
      </c>
    </row>
    <row r="131">
      <c r="I131" s="13" t="inlineStr">
        <is>
          <t>SZL</t>
        </is>
      </c>
      <c r="J131" s="64" t="n">
        <v>0.06087436266239165</v>
      </c>
      <c r="K131" s="65" t="n">
        <v>16.42727671</v>
      </c>
      <c r="L131" s="66" t="inlineStr">
        <is>
          <t>2026-09-25</t>
        </is>
      </c>
      <c r="N131" s="4" t="inlineStr">
        <is>
          <t>Lithuania</t>
        </is>
      </c>
      <c r="O131" s="67" t="inlineStr">
        <is>
          <t>LTU</t>
        </is>
      </c>
      <c r="P131" s="67" t="inlineStr">
        <is>
          <t>EUR</t>
        </is>
      </c>
      <c r="Q131" s="67" t="n">
        <v>2024</v>
      </c>
      <c r="R131" s="65" t="n">
        <v>0.49104</v>
      </c>
      <c r="S131" s="65" t="n">
        <v>0.926404983</v>
      </c>
      <c r="T131" s="68" t="n">
        <v>0.53</v>
      </c>
      <c r="U131" s="66" t="inlineStr"/>
    </row>
    <row r="132">
      <c r="I132" s="13" t="inlineStr">
        <is>
          <t>THB</t>
        </is>
      </c>
      <c r="J132" s="64" t="n">
        <v>0.02989438267070372</v>
      </c>
      <c r="K132" s="65" t="n">
        <v>33.45110053</v>
      </c>
      <c r="L132" s="66" t="inlineStr">
        <is>
          <t>2026-09-25</t>
        </is>
      </c>
      <c r="N132" s="4" t="inlineStr">
        <is>
          <t>Luxembourg</t>
        </is>
      </c>
      <c r="O132" s="67" t="inlineStr">
        <is>
          <t>LUX</t>
        </is>
      </c>
      <c r="P132" s="67" t="inlineStr">
        <is>
          <t>EUR</t>
        </is>
      </c>
      <c r="Q132" s="67" t="n">
        <v>2024</v>
      </c>
      <c r="R132" s="65" t="n">
        <v>0.8155790000000001</v>
      </c>
      <c r="S132" s="65" t="n">
        <v>0.926404983</v>
      </c>
      <c r="T132" s="68" t="n">
        <v>0.8804</v>
      </c>
      <c r="U132" s="66" t="inlineStr"/>
    </row>
    <row r="133">
      <c r="I133" s="13" t="inlineStr">
        <is>
          <t>TJS</t>
        </is>
      </c>
      <c r="J133" s="64" t="n">
        <v>0.108477866702738</v>
      </c>
      <c r="K133" s="65" t="n">
        <v>9.21847037</v>
      </c>
      <c r="L133" s="66" t="inlineStr">
        <is>
          <t>2026-09-25</t>
        </is>
      </c>
      <c r="N133" s="4" t="inlineStr">
        <is>
          <t>Macao</t>
        </is>
      </c>
      <c r="O133" s="67" t="inlineStr">
        <is>
          <t>MAC</t>
        </is>
      </c>
      <c r="P133" s="67" t="inlineStr">
        <is>
          <t>MOP</t>
        </is>
      </c>
      <c r="Q133" s="67" t="n">
        <v>2024</v>
      </c>
      <c r="R133" s="65" t="n">
        <v>4.55805241034254</v>
      </c>
      <c r="S133" s="65" t="n">
        <v>8.034563695999999</v>
      </c>
      <c r="T133" s="68" t="n">
        <v>0.5673</v>
      </c>
      <c r="U133" s="66" t="inlineStr"/>
    </row>
    <row r="134">
      <c r="I134" s="13" t="inlineStr">
        <is>
          <t>TMT</t>
        </is>
      </c>
      <c r="J134" s="64" t="n">
        <v>0.2849053052402077</v>
      </c>
      <c r="K134" s="65" t="n">
        <v>3.50993815</v>
      </c>
      <c r="L134" s="66" t="inlineStr">
        <is>
          <t>2026-09-25</t>
        </is>
      </c>
      <c r="N134" s="4" t="inlineStr">
        <is>
          <t>Madagascar</t>
        </is>
      </c>
      <c r="O134" s="67" t="inlineStr">
        <is>
          <t>MDG</t>
        </is>
      </c>
      <c r="P134" s="67" t="inlineStr">
        <is>
          <t>MGA</t>
        </is>
      </c>
      <c r="Q134" s="67" t="n">
        <v>2024</v>
      </c>
      <c r="R134" s="65" t="n">
        <v>1309.39787463694</v>
      </c>
      <c r="S134" s="65" t="n">
        <v>4539.899740839</v>
      </c>
      <c r="T134" s="68" t="n">
        <v>0.2884</v>
      </c>
      <c r="U134" s="66" t="inlineStr"/>
    </row>
    <row r="135">
      <c r="I135" s="13" t="inlineStr">
        <is>
          <t>TND</t>
        </is>
      </c>
      <c r="J135" s="64" t="n">
        <v>0.3381031757273945</v>
      </c>
      <c r="K135" s="65" t="n">
        <v>2.95767704</v>
      </c>
      <c r="L135" s="66" t="inlineStr">
        <is>
          <t>2026-09-25</t>
        </is>
      </c>
      <c r="N135" s="4" t="inlineStr">
        <is>
          <t>Malawi</t>
        </is>
      </c>
      <c r="O135" s="67" t="inlineStr">
        <is>
          <t>MWI</t>
        </is>
      </c>
      <c r="P135" s="67" t="inlineStr">
        <is>
          <t>MWK</t>
        </is>
      </c>
      <c r="Q135" s="67" t="n">
        <v>2024</v>
      </c>
      <c r="R135" s="65" t="n">
        <v>489.016043071952</v>
      </c>
      <c r="S135" s="65" t="n">
        <v>1729.709467495</v>
      </c>
      <c r="T135" s="68" t="n">
        <v>0.2827</v>
      </c>
      <c r="U135" s="66" t="inlineStr"/>
    </row>
    <row r="136">
      <c r="I136" s="13" t="inlineStr">
        <is>
          <t>TOP</t>
        </is>
      </c>
      <c r="J136" s="64" t="n">
        <v>0.4152373815359932</v>
      </c>
      <c r="K136" s="65" t="n">
        <v>2.40826102</v>
      </c>
      <c r="L136" s="66" t="inlineStr">
        <is>
          <t>2026-09-25</t>
        </is>
      </c>
      <c r="N136" s="4" t="inlineStr">
        <is>
          <t>Malaysia</t>
        </is>
      </c>
      <c r="O136" s="67" t="inlineStr">
        <is>
          <t>MYS</t>
        </is>
      </c>
      <c r="P136" s="67" t="inlineStr">
        <is>
          <t>MYR</t>
        </is>
      </c>
      <c r="Q136" s="67" t="n">
        <v>2024</v>
      </c>
      <c r="R136" s="65" t="n">
        <v>1.40132714240358</v>
      </c>
      <c r="S136" s="65" t="n">
        <v>4.556388986</v>
      </c>
      <c r="T136" s="68" t="n">
        <v>0.3076</v>
      </c>
      <c r="U136" s="66" t="inlineStr"/>
    </row>
    <row r="137">
      <c r="I137" s="13" t="inlineStr">
        <is>
          <t>TTD</t>
        </is>
      </c>
      <c r="J137" s="64" t="n">
        <v>0.1470662395608155</v>
      </c>
      <c r="K137" s="65" t="n">
        <v>6.7996571</v>
      </c>
      <c r="L137" s="66" t="inlineStr">
        <is>
          <t>2026-09-25</t>
        </is>
      </c>
      <c r="N137" s="4" t="inlineStr">
        <is>
          <t>Maldives</t>
        </is>
      </c>
      <c r="O137" s="67" t="inlineStr">
        <is>
          <t>MDV</t>
        </is>
      </c>
      <c r="P137" s="67" t="inlineStr">
        <is>
          <t>MVR</t>
        </is>
      </c>
      <c r="Q137" s="67" t="n">
        <v>2024</v>
      </c>
      <c r="R137" s="65" t="n">
        <v>7.86384927688972</v>
      </c>
      <c r="S137" s="65" t="n">
        <v>15.428567373</v>
      </c>
      <c r="T137" s="68" t="n">
        <v>0.5097</v>
      </c>
      <c r="U137" s="66" t="inlineStr"/>
    </row>
    <row r="138">
      <c r="I138" s="13" t="inlineStr">
        <is>
          <t>TWD</t>
        </is>
      </c>
      <c r="J138" s="64" t="n">
        <v>0.03146400967888818</v>
      </c>
      <c r="K138" s="65" t="n">
        <v>31.78234466</v>
      </c>
      <c r="L138" s="66" t="inlineStr">
        <is>
          <t>2026-09-25</t>
        </is>
      </c>
      <c r="N138" s="4" t="inlineStr">
        <is>
          <t>Mali</t>
        </is>
      </c>
      <c r="O138" s="67" t="inlineStr">
        <is>
          <t>MLI</t>
        </is>
      </c>
      <c r="P138" s="67" t="inlineStr">
        <is>
          <t>XOF</t>
        </is>
      </c>
      <c r="Q138" s="67" t="n">
        <v>2024</v>
      </c>
      <c r="R138" s="65" t="n">
        <v>200.230096581045</v>
      </c>
      <c r="S138" s="65" t="n">
        <v>607.681834032</v>
      </c>
      <c r="T138" s="68" t="n">
        <v>0.3295</v>
      </c>
      <c r="U138" s="66" t="inlineStr"/>
    </row>
    <row r="139">
      <c r="I139" s="13" t="inlineStr">
        <is>
          <t>TZS</t>
        </is>
      </c>
      <c r="J139" s="64" t="n">
        <v>0.0003778648071049794</v>
      </c>
      <c r="K139" s="65" t="n">
        <v>2646.44915641</v>
      </c>
      <c r="L139" s="66" t="inlineStr">
        <is>
          <t>2026-09-25</t>
        </is>
      </c>
      <c r="N139" s="4" t="inlineStr">
        <is>
          <t>Malta</t>
        </is>
      </c>
      <c r="O139" s="67" t="inlineStr">
        <is>
          <t>MLT</t>
        </is>
      </c>
      <c r="P139" s="67" t="inlineStr">
        <is>
          <t>EUR</t>
        </is>
      </c>
      <c r="Q139" s="67" t="n">
        <v>2024</v>
      </c>
      <c r="R139" s="65" t="n">
        <v>0.580522225637102</v>
      </c>
      <c r="S139" s="65" t="n">
        <v>0.926404983</v>
      </c>
      <c r="T139" s="68" t="n">
        <v>0.6266</v>
      </c>
      <c r="U139" s="66" t="inlineStr"/>
    </row>
    <row r="140">
      <c r="I140" s="13" t="inlineStr">
        <is>
          <t>UAH</t>
        </is>
      </c>
      <c r="J140" s="64" t="n">
        <v>0.02223813630697707</v>
      </c>
      <c r="K140" s="65" t="n">
        <v>44.96779704</v>
      </c>
      <c r="L140" s="66" t="inlineStr">
        <is>
          <t>2026-09-25</t>
        </is>
      </c>
      <c r="N140" s="4" t="inlineStr">
        <is>
          <t>Marshall Islands</t>
        </is>
      </c>
      <c r="O140" s="67" t="inlineStr">
        <is>
          <t>MHL</t>
        </is>
      </c>
      <c r="P140" s="67" t="inlineStr">
        <is>
          <t>USD</t>
        </is>
      </c>
      <c r="Q140" s="67" t="n">
        <v>2024</v>
      </c>
      <c r="R140" s="65" t="n">
        <v>0.942852652244908</v>
      </c>
      <c r="S140" s="65" t="n">
        <v>1</v>
      </c>
      <c r="T140" s="68" t="n">
        <v>0.9429</v>
      </c>
      <c r="U140" s="66" t="inlineStr"/>
    </row>
    <row r="141">
      <c r="I141" s="13" t="inlineStr">
        <is>
          <t>UGX</t>
        </is>
      </c>
      <c r="J141" s="64" t="n">
        <v>0.0002545583311327778</v>
      </c>
      <c r="K141" s="65" t="n">
        <v>3928.37270558</v>
      </c>
      <c r="L141" s="66" t="inlineStr">
        <is>
          <t>2026-09-25</t>
        </is>
      </c>
      <c r="N141" s="4" t="inlineStr">
        <is>
          <t>Martinique</t>
        </is>
      </c>
      <c r="O141" s="67" t="inlineStr">
        <is>
          <t>MTQ</t>
        </is>
      </c>
      <c r="P141" s="67" t="inlineStr">
        <is>
          <t>EUR</t>
        </is>
      </c>
      <c r="Q141" s="67" t="inlineStr"/>
      <c r="R141" s="65" t="inlineStr"/>
      <c r="S141" s="65" t="n">
        <v>0.926404983</v>
      </c>
      <c r="T141" s="69" t="inlineStr"/>
      <c r="U141" s="66" t="inlineStr">
        <is>
          <t>no World Bank PPP</t>
        </is>
      </c>
    </row>
    <row r="142">
      <c r="I142" s="13" t="inlineStr">
        <is>
          <t>USD</t>
        </is>
      </c>
      <c r="J142" s="64" t="n">
        <v>1</v>
      </c>
      <c r="K142" s="65" t="n">
        <v>1</v>
      </c>
      <c r="L142" s="66" t="inlineStr">
        <is>
          <t>2026-09-25</t>
        </is>
      </c>
      <c r="N142" s="4" t="inlineStr">
        <is>
          <t>Mauritania</t>
        </is>
      </c>
      <c r="O142" s="67" t="inlineStr">
        <is>
          <t>MRT</t>
        </is>
      </c>
      <c r="P142" s="67" t="inlineStr">
        <is>
          <t>MRU</t>
        </is>
      </c>
      <c r="Q142" s="67" t="n">
        <v>2024</v>
      </c>
      <c r="R142" s="65" t="n">
        <v>11.3448905855963</v>
      </c>
      <c r="S142" s="65" t="n">
        <v>39.761641533</v>
      </c>
      <c r="T142" s="68" t="n">
        <v>0.2853</v>
      </c>
      <c r="U142" s="66" t="inlineStr"/>
    </row>
    <row r="143">
      <c r="I143" s="13" t="inlineStr">
        <is>
          <t>UYU</t>
        </is>
      </c>
      <c r="J143" s="64" t="n">
        <v>0.02496226261926367</v>
      </c>
      <c r="K143" s="65" t="n">
        <v>40.06047109</v>
      </c>
      <c r="L143" s="66" t="inlineStr">
        <is>
          <t>2026-09-25</t>
        </is>
      </c>
      <c r="N143" s="4" t="inlineStr">
        <is>
          <t>Mauritius</t>
        </is>
      </c>
      <c r="O143" s="67" t="inlineStr">
        <is>
          <t>MUS</t>
        </is>
      </c>
      <c r="P143" s="67" t="inlineStr">
        <is>
          <t>MUR</t>
        </is>
      </c>
      <c r="Q143" s="67" t="n">
        <v>2024</v>
      </c>
      <c r="R143" s="65" t="n">
        <v>17.4796592721433</v>
      </c>
      <c r="S143" s="65" t="n">
        <v>46.439555434</v>
      </c>
      <c r="T143" s="68" t="n">
        <v>0.3764</v>
      </c>
      <c r="U143" s="66" t="inlineStr"/>
    </row>
    <row r="144">
      <c r="I144" s="13" t="inlineStr">
        <is>
          <t>UZS</t>
        </is>
      </c>
      <c r="J144" s="64" t="n">
        <v>8.463288114081365e-05</v>
      </c>
      <c r="K144" s="65" t="n">
        <v>11815.7385938</v>
      </c>
      <c r="L144" s="66" t="inlineStr">
        <is>
          <t>2026-09-25</t>
        </is>
      </c>
      <c r="N144" s="4" t="inlineStr">
        <is>
          <t>Mayotte</t>
        </is>
      </c>
      <c r="O144" s="67" t="inlineStr">
        <is>
          <t>MYT</t>
        </is>
      </c>
      <c r="P144" s="67" t="inlineStr">
        <is>
          <t>EUR</t>
        </is>
      </c>
      <c r="Q144" s="67" t="inlineStr"/>
      <c r="R144" s="65" t="inlineStr"/>
      <c r="S144" s="65" t="n">
        <v>0.926404983</v>
      </c>
      <c r="T144" s="69" t="inlineStr"/>
      <c r="U144" s="66" t="inlineStr">
        <is>
          <t>no World Bank PPP</t>
        </is>
      </c>
    </row>
    <row r="145">
      <c r="I145" s="13" t="inlineStr">
        <is>
          <t>VES</t>
        </is>
      </c>
      <c r="J145" s="64" t="n">
        <v>0.001171905665928491</v>
      </c>
      <c r="K145" s="65" t="n">
        <v>853.31100367</v>
      </c>
      <c r="L145" s="66" t="inlineStr">
        <is>
          <t>2026-09-25</t>
        </is>
      </c>
      <c r="N145" s="4" t="inlineStr">
        <is>
          <t>Mexico</t>
        </is>
      </c>
      <c r="O145" s="67" t="inlineStr">
        <is>
          <t>MEX</t>
        </is>
      </c>
      <c r="P145" s="67" t="inlineStr">
        <is>
          <t>MXN</t>
        </is>
      </c>
      <c r="Q145" s="67" t="n">
        <v>2024</v>
      </c>
      <c r="R145" s="65" t="n">
        <v>9.916562000000001</v>
      </c>
      <c r="S145" s="65" t="n">
        <v>18.438340854</v>
      </c>
      <c r="T145" s="68" t="n">
        <v>0.5377999999999999</v>
      </c>
      <c r="U145" s="66" t="inlineStr"/>
    </row>
    <row r="146">
      <c r="I146" s="13" t="inlineStr">
        <is>
          <t>VND</t>
        </is>
      </c>
      <c r="J146" s="64" t="n">
        <v>3.849039994550423e-05</v>
      </c>
      <c r="K146" s="65" t="n">
        <v>25980.50426641</v>
      </c>
      <c r="L146" s="66" t="inlineStr">
        <is>
          <t>2026-09-25</t>
        </is>
      </c>
      <c r="N146" s="4" t="inlineStr">
        <is>
          <t>Micronesia</t>
        </is>
      </c>
      <c r="O146" s="67" t="inlineStr">
        <is>
          <t>FSM</t>
        </is>
      </c>
      <c r="P146" s="67" t="inlineStr">
        <is>
          <t>USD</t>
        </is>
      </c>
      <c r="Q146" s="67" t="n">
        <v>2024</v>
      </c>
      <c r="R146" s="65" t="n">
        <v>0.958397910812363</v>
      </c>
      <c r="S146" s="65" t="n">
        <v>1</v>
      </c>
      <c r="T146" s="68" t="n">
        <v>0.9584</v>
      </c>
      <c r="U146" s="66" t="inlineStr"/>
    </row>
    <row r="147">
      <c r="I147" s="13" t="inlineStr">
        <is>
          <t>VUV</t>
        </is>
      </c>
      <c r="J147" s="64" t="n">
        <v>0.008438363928427424</v>
      </c>
      <c r="K147" s="65" t="n">
        <v>118.50638447</v>
      </c>
      <c r="L147" s="66" t="inlineStr">
        <is>
          <t>2026-09-25</t>
        </is>
      </c>
      <c r="N147" s="4" t="inlineStr">
        <is>
          <t>Moldova</t>
        </is>
      </c>
      <c r="O147" s="67" t="inlineStr">
        <is>
          <t>MDA</t>
        </is>
      </c>
      <c r="P147" s="67" t="inlineStr">
        <is>
          <t>MDL</t>
        </is>
      </c>
      <c r="Q147" s="67" t="n">
        <v>2024</v>
      </c>
      <c r="R147" s="65" t="n">
        <v>7.2411629601227</v>
      </c>
      <c r="S147" s="65" t="n">
        <v>17.717822273</v>
      </c>
      <c r="T147" s="68" t="n">
        <v>0.4087</v>
      </c>
      <c r="U147" s="66" t="inlineStr"/>
    </row>
    <row r="148">
      <c r="I148" s="13" t="inlineStr">
        <is>
          <t>WST</t>
        </is>
      </c>
      <c r="J148" s="64" t="n">
        <v>0.3615994424194454</v>
      </c>
      <c r="K148" s="65" t="n">
        <v>2.76549099</v>
      </c>
      <c r="L148" s="66" t="inlineStr">
        <is>
          <t>2026-09-25</t>
        </is>
      </c>
      <c r="N148" s="4" t="inlineStr">
        <is>
          <t>Monaco</t>
        </is>
      </c>
      <c r="O148" s="67" t="inlineStr">
        <is>
          <t>MCO</t>
        </is>
      </c>
      <c r="P148" s="67" t="inlineStr">
        <is>
          <t>EUR</t>
        </is>
      </c>
      <c r="Q148" s="67" t="inlineStr"/>
      <c r="R148" s="65" t="inlineStr"/>
      <c r="S148" s="65" t="n">
        <v>0.926404983</v>
      </c>
      <c r="T148" s="69" t="inlineStr"/>
      <c r="U148" s="66" t="inlineStr">
        <is>
          <t>no World Bank PPP</t>
        </is>
      </c>
    </row>
    <row r="149">
      <c r="I149" s="13" t="inlineStr">
        <is>
          <t>XAF</t>
        </is>
      </c>
      <c r="J149" s="64" t="n">
        <v>0.001733292470075906</v>
      </c>
      <c r="K149" s="65" t="n">
        <v>576.9366781799999</v>
      </c>
      <c r="L149" s="66" t="inlineStr">
        <is>
          <t>2026-09-25</t>
        </is>
      </c>
      <c r="N149" s="4" t="inlineStr">
        <is>
          <t>Mongolia</t>
        </is>
      </c>
      <c r="O149" s="67" t="inlineStr">
        <is>
          <t>MNG</t>
        </is>
      </c>
      <c r="P149" s="67" t="inlineStr">
        <is>
          <t>MNT</t>
        </is>
      </c>
      <c r="Q149" s="67" t="n">
        <v>2024</v>
      </c>
      <c r="R149" s="65" t="n">
        <v>1195.34284153461</v>
      </c>
      <c r="S149" s="65" t="n">
        <v>3396.180178852</v>
      </c>
      <c r="T149" s="68" t="n">
        <v>0.352</v>
      </c>
      <c r="U149" s="66" t="inlineStr"/>
    </row>
    <row r="150">
      <c r="I150" s="13" t="inlineStr">
        <is>
          <t>XCD</t>
        </is>
      </c>
      <c r="J150" s="64" t="n">
        <v>0.3693672700987746</v>
      </c>
      <c r="K150" s="65" t="n">
        <v>2.70733246</v>
      </c>
      <c r="L150" s="66" t="inlineStr">
        <is>
          <t>2026-09-25</t>
        </is>
      </c>
      <c r="N150" s="4" t="inlineStr">
        <is>
          <t>Montenegro</t>
        </is>
      </c>
      <c r="O150" s="67" t="inlineStr">
        <is>
          <t>MNE</t>
        </is>
      </c>
      <c r="P150" s="67" t="inlineStr">
        <is>
          <t>EUR</t>
        </is>
      </c>
      <c r="Q150" s="67" t="n">
        <v>2024</v>
      </c>
      <c r="R150" s="65" t="n">
        <v>0.359929249277126</v>
      </c>
      <c r="S150" s="65" t="n">
        <v>0.926404983</v>
      </c>
      <c r="T150" s="68" t="n">
        <v>0.3885</v>
      </c>
      <c r="U150" s="66" t="inlineStr"/>
    </row>
    <row r="151">
      <c r="I151" s="13" t="inlineStr">
        <is>
          <t>XCG</t>
        </is>
      </c>
      <c r="J151" s="64" t="n">
        <v>0.5548795581205541</v>
      </c>
      <c r="K151" s="65" t="n">
        <v>1.8021929</v>
      </c>
      <c r="L151" s="66" t="inlineStr">
        <is>
          <t>2026-09-25</t>
        </is>
      </c>
      <c r="N151" s="4" t="inlineStr">
        <is>
          <t>Montserrat</t>
        </is>
      </c>
      <c r="O151" s="67" t="inlineStr">
        <is>
          <t>MSR</t>
        </is>
      </c>
      <c r="P151" s="67" t="inlineStr">
        <is>
          <t>XCD</t>
        </is>
      </c>
      <c r="Q151" s="67" t="inlineStr"/>
      <c r="R151" s="65" t="inlineStr"/>
      <c r="S151" s="65" t="n">
        <v>2.701791065</v>
      </c>
      <c r="T151" s="69" t="inlineStr"/>
      <c r="U151" s="66" t="inlineStr">
        <is>
          <t>no World Bank PPP</t>
        </is>
      </c>
    </row>
    <row r="152">
      <c r="I152" s="13" t="inlineStr">
        <is>
          <t>XOF</t>
        </is>
      </c>
      <c r="J152" s="64" t="n">
        <v>0.001733292470075906</v>
      </c>
      <c r="K152" s="65" t="n">
        <v>576.9366781799999</v>
      </c>
      <c r="L152" s="66" t="inlineStr">
        <is>
          <t>2026-09-25</t>
        </is>
      </c>
      <c r="N152" s="4" t="inlineStr">
        <is>
          <t>Morocco</t>
        </is>
      </c>
      <c r="O152" s="67" t="inlineStr">
        <is>
          <t>MAR</t>
        </is>
      </c>
      <c r="P152" s="67" t="inlineStr">
        <is>
          <t>MAD</t>
        </is>
      </c>
      <c r="Q152" s="67" t="n">
        <v>2024</v>
      </c>
      <c r="R152" s="65" t="n">
        <v>3.96453983304242</v>
      </c>
      <c r="S152" s="65" t="n">
        <v>9.920130111000001</v>
      </c>
      <c r="T152" s="68" t="n">
        <v>0.3996</v>
      </c>
      <c r="U152" s="66" t="inlineStr"/>
    </row>
    <row r="153">
      <c r="I153" s="13" t="inlineStr">
        <is>
          <t>XPF</t>
        </is>
      </c>
      <c r="J153" s="64" t="n">
        <v>0.009527769455350558</v>
      </c>
      <c r="K153" s="65" t="n">
        <v>104.9563599</v>
      </c>
      <c r="L153" s="66" t="inlineStr">
        <is>
          <t>2026-09-25</t>
        </is>
      </c>
      <c r="N153" s="4" t="inlineStr">
        <is>
          <t>Mozambique</t>
        </is>
      </c>
      <c r="O153" s="67" t="inlineStr">
        <is>
          <t>MOZ</t>
        </is>
      </c>
      <c r="P153" s="67" t="inlineStr">
        <is>
          <t>MZN</t>
        </is>
      </c>
      <c r="Q153" s="67" t="n">
        <v>2024</v>
      </c>
      <c r="R153" s="65" t="n">
        <v>24.6111381541877</v>
      </c>
      <c r="S153" s="65" t="n">
        <v>63.830607889</v>
      </c>
      <c r="T153" s="68" t="n">
        <v>0.3856</v>
      </c>
      <c r="U153" s="66" t="inlineStr"/>
    </row>
    <row r="154">
      <c r="I154" s="13" t="inlineStr">
        <is>
          <t>YER</t>
        </is>
      </c>
      <c r="J154" s="64" t="n">
        <v>0.004226751145873927</v>
      </c>
      <c r="K154" s="65" t="n">
        <v>236.5883312</v>
      </c>
      <c r="L154" s="66" t="inlineStr">
        <is>
          <t>2026-09-25</t>
        </is>
      </c>
      <c r="N154" s="4" t="inlineStr">
        <is>
          <t>Myanmar</t>
        </is>
      </c>
      <c r="O154" s="67" t="inlineStr">
        <is>
          <t>MMR</t>
        </is>
      </c>
      <c r="P154" s="67" t="inlineStr">
        <is>
          <t>MMK</t>
        </is>
      </c>
      <c r="Q154" s="67" t="n">
        <v>2024</v>
      </c>
      <c r="R154" s="65" t="n">
        <v>475.868546974899</v>
      </c>
      <c r="S154" s="65" t="n">
        <v>2098.389352563</v>
      </c>
      <c r="T154" s="68" t="n">
        <v>0.2268</v>
      </c>
      <c r="U154" s="66" t="inlineStr"/>
    </row>
    <row r="155">
      <c r="I155" s="13" t="inlineStr">
        <is>
          <t>ZAR</t>
        </is>
      </c>
      <c r="J155" s="64" t="n">
        <v>0.06087436266239165</v>
      </c>
      <c r="K155" s="65" t="n">
        <v>16.42727671</v>
      </c>
      <c r="L155" s="66" t="inlineStr">
        <is>
          <t>2026-09-25</t>
        </is>
      </c>
      <c r="N155" s="4" t="inlineStr">
        <is>
          <t>Namibia</t>
        </is>
      </c>
      <c r="O155" s="67" t="inlineStr">
        <is>
          <t>NAM</t>
        </is>
      </c>
      <c r="P155" s="67" t="inlineStr">
        <is>
          <t>NAD</t>
        </is>
      </c>
      <c r="Q155" s="67" t="n">
        <v>2024</v>
      </c>
      <c r="R155" s="65" t="n">
        <v>6.92131935400361</v>
      </c>
      <c r="S155" s="65" t="n">
        <v>18.191628042</v>
      </c>
      <c r="T155" s="68" t="n">
        <v>0.3805</v>
      </c>
      <c r="U155" s="66" t="inlineStr"/>
    </row>
    <row r="156">
      <c r="I156" s="13" t="inlineStr">
        <is>
          <t>ZMW</t>
        </is>
      </c>
      <c r="J156" s="64" t="n">
        <v>0.05115056662582376</v>
      </c>
      <c r="K156" s="65" t="n">
        <v>19.55012556</v>
      </c>
      <c r="L156" s="66" t="inlineStr">
        <is>
          <t>2026-09-25</t>
        </is>
      </c>
      <c r="N156" s="4" t="inlineStr">
        <is>
          <t>Nauru</t>
        </is>
      </c>
      <c r="O156" s="67" t="inlineStr">
        <is>
          <t>NRU</t>
        </is>
      </c>
      <c r="P156" s="67" t="inlineStr">
        <is>
          <t>AUD</t>
        </is>
      </c>
      <c r="Q156" s="67" t="n">
        <v>2024</v>
      </c>
      <c r="R156" s="65" t="n">
        <v>1.46463963215346</v>
      </c>
      <c r="S156" s="65" t="n">
        <v>1.518557254</v>
      </c>
      <c r="T156" s="68" t="n">
        <v>0.9645</v>
      </c>
      <c r="U156" s="66" t="inlineStr"/>
    </row>
    <row r="157">
      <c r="I157" s="13" t="inlineStr">
        <is>
          <t>ZWG</t>
        </is>
      </c>
      <c r="J157" s="64" t="n">
        <v>0.03754176260643988</v>
      </c>
      <c r="K157" s="65" t="n">
        <v>26.63700185</v>
      </c>
      <c r="L157" s="66" t="inlineStr">
        <is>
          <t>2026-09-25</t>
        </is>
      </c>
      <c r="N157" s="4" t="inlineStr">
        <is>
          <t>Nepal</t>
        </is>
      </c>
      <c r="O157" s="67" t="inlineStr">
        <is>
          <t>NPL</t>
        </is>
      </c>
      <c r="P157" s="67" t="inlineStr">
        <is>
          <t>NPR</t>
        </is>
      </c>
      <c r="Q157" s="67" t="n">
        <v>2024</v>
      </c>
      <c r="R157" s="65" t="n">
        <v>33.5637990824022</v>
      </c>
      <c r="S157" s="65" t="n">
        <v>134.168361096</v>
      </c>
      <c r="T157" s="68" t="n">
        <v>0.2502</v>
      </c>
      <c r="U157" s="66" t="inlineStr"/>
    </row>
    <row r="158">
      <c r="N158" s="4" t="inlineStr">
        <is>
          <t>Netherlands</t>
        </is>
      </c>
      <c r="O158" s="67" t="inlineStr">
        <is>
          <t>NLD</t>
        </is>
      </c>
      <c r="P158" s="67" t="inlineStr">
        <is>
          <t>EUR</t>
        </is>
      </c>
      <c r="Q158" s="67" t="n">
        <v>2024</v>
      </c>
      <c r="R158" s="65" t="n">
        <v>0.731421</v>
      </c>
      <c r="S158" s="65" t="n">
        <v>0.926404983</v>
      </c>
      <c r="T158" s="68" t="n">
        <v>0.7895</v>
      </c>
      <c r="U158" s="66" t="inlineStr"/>
    </row>
    <row r="159">
      <c r="N159" s="4" t="inlineStr">
        <is>
          <t>New Caledonia</t>
        </is>
      </c>
      <c r="O159" s="67" t="inlineStr">
        <is>
          <t>NCL</t>
        </is>
      </c>
      <c r="P159" s="67" t="inlineStr">
        <is>
          <t>XPF</t>
        </is>
      </c>
      <c r="Q159" s="67" t="inlineStr"/>
      <c r="R159" s="65" t="inlineStr"/>
      <c r="S159" s="65" t="n">
        <v>110.549520753</v>
      </c>
      <c r="T159" s="69" t="inlineStr"/>
      <c r="U159" s="66" t="inlineStr">
        <is>
          <t>no World Bank PPP</t>
        </is>
      </c>
    </row>
    <row r="160">
      <c r="N160" s="4" t="inlineStr">
        <is>
          <t>New Zealand</t>
        </is>
      </c>
      <c r="O160" s="67" t="inlineStr">
        <is>
          <t>NZL</t>
        </is>
      </c>
      <c r="P160" s="67" t="inlineStr">
        <is>
          <t>NZD</t>
        </is>
      </c>
      <c r="Q160" s="67" t="n">
        <v>2024</v>
      </c>
      <c r="R160" s="65" t="n">
        <v>1.463912</v>
      </c>
      <c r="S160" s="65" t="n">
        <v>1.662468254</v>
      </c>
      <c r="T160" s="68" t="n">
        <v>0.8806</v>
      </c>
      <c r="U160" s="66" t="inlineStr"/>
    </row>
    <row r="161">
      <c r="N161" s="4" t="inlineStr">
        <is>
          <t>Nicaragua</t>
        </is>
      </c>
      <c r="O161" s="67" t="inlineStr">
        <is>
          <t>NIC</t>
        </is>
      </c>
      <c r="P161" s="67" t="inlineStr">
        <is>
          <t>NIO</t>
        </is>
      </c>
      <c r="Q161" s="67" t="n">
        <v>2024</v>
      </c>
      <c r="R161" s="65" t="n">
        <v>11.9751457059146</v>
      </c>
      <c r="S161" s="65" t="n">
        <v>36.74983615</v>
      </c>
      <c r="T161" s="68" t="n">
        <v>0.3259</v>
      </c>
      <c r="U161" s="66" t="inlineStr"/>
    </row>
    <row r="162">
      <c r="N162" s="4" t="inlineStr">
        <is>
          <t>Niger</t>
        </is>
      </c>
      <c r="O162" s="67" t="inlineStr">
        <is>
          <t>NER</t>
        </is>
      </c>
      <c r="P162" s="67" t="inlineStr">
        <is>
          <t>XOF</t>
        </is>
      </c>
      <c r="Q162" s="67" t="n">
        <v>2024</v>
      </c>
      <c r="R162" s="65" t="n">
        <v>217.484010909486</v>
      </c>
      <c r="S162" s="65" t="n">
        <v>607.681834032</v>
      </c>
      <c r="T162" s="68" t="n">
        <v>0.3579</v>
      </c>
      <c r="U162" s="66" t="inlineStr"/>
    </row>
    <row r="163">
      <c r="N163" s="4" t="inlineStr">
        <is>
          <t>Nigeria</t>
        </is>
      </c>
      <c r="O163" s="67" t="inlineStr">
        <is>
          <t>NGA</t>
        </is>
      </c>
      <c r="P163" s="67" t="inlineStr">
        <is>
          <t>NGN</t>
        </is>
      </c>
      <c r="Q163" s="67" t="n">
        <v>2024</v>
      </c>
      <c r="R163" s="65" t="n">
        <v>176.331472743819</v>
      </c>
      <c r="S163" s="65" t="n">
        <v>1540.069273051</v>
      </c>
      <c r="T163" s="68" t="n">
        <v>0.1145</v>
      </c>
      <c r="U163" s="66" t="inlineStr"/>
    </row>
    <row r="164">
      <c r="N164" s="4" t="inlineStr">
        <is>
          <t>Niue</t>
        </is>
      </c>
      <c r="O164" s="67" t="inlineStr">
        <is>
          <t>NIU</t>
        </is>
      </c>
      <c r="P164" s="67" t="inlineStr">
        <is>
          <t>NZD</t>
        </is>
      </c>
      <c r="Q164" s="67" t="inlineStr"/>
      <c r="R164" s="65" t="inlineStr"/>
      <c r="S164" s="65" t="n">
        <v>1.662468254</v>
      </c>
      <c r="T164" s="69" t="inlineStr"/>
      <c r="U164" s="66" t="inlineStr">
        <is>
          <t>no World Bank PPP</t>
        </is>
      </c>
    </row>
    <row r="165">
      <c r="N165" s="4" t="inlineStr">
        <is>
          <t>Norfolk Island</t>
        </is>
      </c>
      <c r="O165" s="67" t="inlineStr">
        <is>
          <t>NFK</t>
        </is>
      </c>
      <c r="P165" s="67" t="inlineStr">
        <is>
          <t>AUD</t>
        </is>
      </c>
      <c r="Q165" s="67" t="inlineStr"/>
      <c r="R165" s="65" t="inlineStr"/>
      <c r="S165" s="65" t="n">
        <v>1.518557254</v>
      </c>
      <c r="T165" s="69" t="inlineStr"/>
      <c r="U165" s="66" t="inlineStr">
        <is>
          <t>no World Bank PPP</t>
        </is>
      </c>
    </row>
    <row r="166">
      <c r="N166" s="4" t="inlineStr">
        <is>
          <t>North Korea</t>
        </is>
      </c>
      <c r="O166" s="67" t="inlineStr">
        <is>
          <t>PRK</t>
        </is>
      </c>
      <c r="P166" s="67" t="inlineStr">
        <is>
          <t>KPW</t>
        </is>
      </c>
      <c r="Q166" s="67" t="inlineStr"/>
      <c r="R166" s="65" t="inlineStr"/>
      <c r="S166" s="65" t="n">
        <v>899.982910228</v>
      </c>
      <c r="T166" s="69" t="inlineStr"/>
      <c r="U166" s="66" t="inlineStr">
        <is>
          <t>no World Bank PPP</t>
        </is>
      </c>
    </row>
    <row r="167">
      <c r="N167" s="4" t="inlineStr">
        <is>
          <t>North Macedonia</t>
        </is>
      </c>
      <c r="O167" s="67" t="inlineStr">
        <is>
          <t>MKD</t>
        </is>
      </c>
      <c r="P167" s="67" t="inlineStr">
        <is>
          <t>MKD</t>
        </is>
      </c>
      <c r="Q167" s="67" t="n">
        <v>2024</v>
      </c>
      <c r="R167" s="65" t="n">
        <v>19.575621107299</v>
      </c>
      <c r="S167" s="65" t="n">
        <v>56.98616816</v>
      </c>
      <c r="T167" s="68" t="n">
        <v>0.3435</v>
      </c>
      <c r="U167" s="66" t="inlineStr"/>
    </row>
    <row r="168">
      <c r="N168" s="4" t="inlineStr">
        <is>
          <t>Northern Mariana Islands</t>
        </is>
      </c>
      <c r="O168" s="67" t="inlineStr">
        <is>
          <t>MNP</t>
        </is>
      </c>
      <c r="P168" s="67" t="inlineStr">
        <is>
          <t>USD</t>
        </is>
      </c>
      <c r="Q168" s="67" t="inlineStr"/>
      <c r="R168" s="65" t="inlineStr"/>
      <c r="S168" s="65" t="n">
        <v>1</v>
      </c>
      <c r="T168" s="69" t="inlineStr"/>
      <c r="U168" s="66" t="inlineStr">
        <is>
          <t>no World Bank PPP</t>
        </is>
      </c>
    </row>
    <row r="169">
      <c r="N169" s="4" t="inlineStr">
        <is>
          <t>Norway</t>
        </is>
      </c>
      <c r="O169" s="67" t="inlineStr">
        <is>
          <t>NOR</t>
        </is>
      </c>
      <c r="P169" s="67" t="inlineStr">
        <is>
          <t>NOK</t>
        </is>
      </c>
      <c r="Q169" s="67" t="n">
        <v>2024</v>
      </c>
      <c r="R169" s="65" t="n">
        <v>9.142143000000001</v>
      </c>
      <c r="S169" s="65" t="n">
        <v>10.818263922</v>
      </c>
      <c r="T169" s="68" t="n">
        <v>0.8451</v>
      </c>
      <c r="U169" s="66" t="inlineStr"/>
    </row>
    <row r="170">
      <c r="N170" s="4" t="inlineStr">
        <is>
          <t>Oman</t>
        </is>
      </c>
      <c r="O170" s="67" t="inlineStr">
        <is>
          <t>OMN</t>
        </is>
      </c>
      <c r="P170" s="67" t="inlineStr">
        <is>
          <t>OMR</t>
        </is>
      </c>
      <c r="Q170" s="67" t="n">
        <v>2024</v>
      </c>
      <c r="R170" s="65" t="n">
        <v>0.186862455706877</v>
      </c>
      <c r="S170" s="65" t="n">
        <v>0.384987095</v>
      </c>
      <c r="T170" s="68" t="n">
        <v>0.4854</v>
      </c>
      <c r="U170" s="66" t="inlineStr"/>
    </row>
    <row r="171">
      <c r="N171" s="4" t="inlineStr">
        <is>
          <t>Pakistan</t>
        </is>
      </c>
      <c r="O171" s="67" t="inlineStr">
        <is>
          <t>PAK</t>
        </is>
      </c>
      <c r="P171" s="67" t="inlineStr">
        <is>
          <t>PKR</t>
        </is>
      </c>
      <c r="Q171" s="67" t="n">
        <v>2024</v>
      </c>
      <c r="R171" s="65" t="n">
        <v>66.95914941272569</v>
      </c>
      <c r="S171" s="65" t="n">
        <v>278.328783739</v>
      </c>
      <c r="T171" s="68" t="n">
        <v>0.2406</v>
      </c>
      <c r="U171" s="66" t="inlineStr"/>
    </row>
    <row r="172">
      <c r="N172" s="4" t="inlineStr">
        <is>
          <t>Palau</t>
        </is>
      </c>
      <c r="O172" s="67" t="inlineStr">
        <is>
          <t>PLW</t>
        </is>
      </c>
      <c r="P172" s="67" t="inlineStr">
        <is>
          <t>USD</t>
        </is>
      </c>
      <c r="Q172" s="67" t="n">
        <v>2023</v>
      </c>
      <c r="R172" s="65" t="n">
        <v>0.85631333549309</v>
      </c>
      <c r="S172" s="65" t="n">
        <v>1</v>
      </c>
      <c r="T172" s="68" t="n">
        <v>0.8563</v>
      </c>
      <c r="U172" s="66" t="inlineStr"/>
    </row>
    <row r="173">
      <c r="N173" s="4" t="inlineStr">
        <is>
          <t>Panama</t>
        </is>
      </c>
      <c r="O173" s="67" t="inlineStr">
        <is>
          <t>PAN</t>
        </is>
      </c>
      <c r="P173" s="67" t="inlineStr">
        <is>
          <t>PAB</t>
        </is>
      </c>
      <c r="Q173" s="67" t="n">
        <v>2024</v>
      </c>
      <c r="R173" s="65" t="n">
        <v>0.463173466609024</v>
      </c>
      <c r="S173" s="65" t="n">
        <v>1</v>
      </c>
      <c r="T173" s="68" t="n">
        <v>0.4632</v>
      </c>
      <c r="U173" s="66" t="inlineStr"/>
    </row>
    <row r="174">
      <c r="N174" s="4" t="inlineStr">
        <is>
          <t>Papua New Guinea</t>
        </is>
      </c>
      <c r="O174" s="67" t="inlineStr">
        <is>
          <t>PNG</t>
        </is>
      </c>
      <c r="P174" s="67" t="inlineStr">
        <is>
          <t>PGK</t>
        </is>
      </c>
      <c r="Q174" s="67" t="n">
        <v>2024</v>
      </c>
      <c r="R174" s="65" t="n">
        <v>2.37637373433914</v>
      </c>
      <c r="S174" s="65" t="n">
        <v>3.884249824</v>
      </c>
      <c r="T174" s="68" t="n">
        <v>0.6118</v>
      </c>
      <c r="U174" s="66" t="inlineStr"/>
    </row>
    <row r="175">
      <c r="N175" s="4" t="inlineStr">
        <is>
          <t>Paraguay</t>
        </is>
      </c>
      <c r="O175" s="67" t="inlineStr">
        <is>
          <t>PRY</t>
        </is>
      </c>
      <c r="P175" s="67" t="inlineStr">
        <is>
          <t>PYG</t>
        </is>
      </c>
      <c r="Q175" s="67" t="n">
        <v>2024</v>
      </c>
      <c r="R175" s="65" t="n">
        <v>2618.66324027055</v>
      </c>
      <c r="S175" s="65" t="n">
        <v>7617.051348559</v>
      </c>
      <c r="T175" s="68" t="n">
        <v>0.3438</v>
      </c>
      <c r="U175" s="66" t="inlineStr"/>
    </row>
    <row r="176">
      <c r="N176" s="4" t="inlineStr">
        <is>
          <t>Peru</t>
        </is>
      </c>
      <c r="O176" s="67" t="inlineStr">
        <is>
          <t>PER</t>
        </is>
      </c>
      <c r="P176" s="67" t="inlineStr">
        <is>
          <t>PEN</t>
        </is>
      </c>
      <c r="Q176" s="67" t="n">
        <v>2024</v>
      </c>
      <c r="R176" s="65" t="n">
        <v>1.78230274124247</v>
      </c>
      <c r="S176" s="65" t="n">
        <v>3.739342069</v>
      </c>
      <c r="T176" s="68" t="n">
        <v>0.4766</v>
      </c>
      <c r="U176" s="66" t="inlineStr"/>
    </row>
    <row r="177">
      <c r="N177" s="4" t="inlineStr">
        <is>
          <t>Philippines</t>
        </is>
      </c>
      <c r="O177" s="67" t="inlineStr">
        <is>
          <t>PHL</t>
        </is>
      </c>
      <c r="P177" s="67" t="inlineStr">
        <is>
          <t>PHP</t>
        </is>
      </c>
      <c r="Q177" s="67" t="n">
        <v>2024</v>
      </c>
      <c r="R177" s="65" t="n">
        <v>19.35653268202</v>
      </c>
      <c r="S177" s="65" t="n">
        <v>57.544266469</v>
      </c>
      <c r="T177" s="68" t="n">
        <v>0.3364</v>
      </c>
      <c r="U177" s="66" t="inlineStr"/>
    </row>
    <row r="178">
      <c r="N178" s="4" t="inlineStr">
        <is>
          <t>Pitcairn</t>
        </is>
      </c>
      <c r="O178" s="67" t="inlineStr">
        <is>
          <t>PCN</t>
        </is>
      </c>
      <c r="P178" s="67" t="inlineStr">
        <is>
          <t>NZD</t>
        </is>
      </c>
      <c r="Q178" s="67" t="inlineStr"/>
      <c r="R178" s="65" t="inlineStr"/>
      <c r="S178" s="65" t="n">
        <v>1.662468254</v>
      </c>
      <c r="T178" s="69" t="inlineStr"/>
      <c r="U178" s="66" t="inlineStr">
        <is>
          <t>no World Bank PPP</t>
        </is>
      </c>
    </row>
    <row r="179">
      <c r="N179" s="4" t="inlineStr">
        <is>
          <t>Poland</t>
        </is>
      </c>
      <c r="O179" s="67" t="inlineStr">
        <is>
          <t>POL</t>
        </is>
      </c>
      <c r="P179" s="67" t="inlineStr">
        <is>
          <t>PLN</t>
        </is>
      </c>
      <c r="Q179" s="67" t="n">
        <v>2024</v>
      </c>
      <c r="R179" s="65" t="n">
        <v>1.949414</v>
      </c>
      <c r="S179" s="65" t="n">
        <v>3.978479924</v>
      </c>
      <c r="T179" s="68" t="n">
        <v>0.49</v>
      </c>
      <c r="U179" s="66" t="inlineStr"/>
    </row>
    <row r="180">
      <c r="N180" s="4" t="inlineStr">
        <is>
          <t>Portugal</t>
        </is>
      </c>
      <c r="O180" s="67" t="inlineStr">
        <is>
          <t>PRT</t>
        </is>
      </c>
      <c r="P180" s="67" t="inlineStr">
        <is>
          <t>EUR</t>
        </is>
      </c>
      <c r="Q180" s="67" t="n">
        <v>2024</v>
      </c>
      <c r="R180" s="65" t="n">
        <v>0.515993</v>
      </c>
      <c r="S180" s="65" t="n">
        <v>0.926404983</v>
      </c>
      <c r="T180" s="68" t="n">
        <v>0.5570000000000001</v>
      </c>
      <c r="U180" s="66" t="inlineStr"/>
    </row>
    <row r="181">
      <c r="N181" s="4" t="inlineStr">
        <is>
          <t>Puerto Rico</t>
        </is>
      </c>
      <c r="O181" s="67" t="inlineStr">
        <is>
          <t>PRI</t>
        </is>
      </c>
      <c r="P181" s="67" t="inlineStr">
        <is>
          <t>USD</t>
        </is>
      </c>
      <c r="Q181" s="67" t="n">
        <v>2024</v>
      </c>
      <c r="R181" s="65" t="n">
        <v>0.782993024701742</v>
      </c>
      <c r="S181" s="65" t="n">
        <v>1</v>
      </c>
      <c r="T181" s="68" t="n">
        <v>0.783</v>
      </c>
      <c r="U181" s="66" t="inlineStr"/>
    </row>
    <row r="182">
      <c r="N182" s="4" t="inlineStr">
        <is>
          <t>Qatar</t>
        </is>
      </c>
      <c r="O182" s="67" t="inlineStr">
        <is>
          <t>QAT</t>
        </is>
      </c>
      <c r="P182" s="67" t="inlineStr">
        <is>
          <t>QAR</t>
        </is>
      </c>
      <c r="Q182" s="67" t="n">
        <v>2024</v>
      </c>
      <c r="R182" s="65" t="n">
        <v>2.21463640986909</v>
      </c>
      <c r="S182" s="65" t="n">
        <v>3.64</v>
      </c>
      <c r="T182" s="68" t="n">
        <v>0.6084000000000001</v>
      </c>
      <c r="U182" s="66" t="inlineStr"/>
    </row>
    <row r="183">
      <c r="N183" s="4" t="inlineStr">
        <is>
          <t>Romania</t>
        </is>
      </c>
      <c r="O183" s="67" t="inlineStr">
        <is>
          <t>ROU</t>
        </is>
      </c>
      <c r="P183" s="67" t="inlineStr">
        <is>
          <t>RON</t>
        </is>
      </c>
      <c r="Q183" s="67" t="n">
        <v>2024</v>
      </c>
      <c r="R183" s="65" t="n">
        <v>1.88148626695853</v>
      </c>
      <c r="S183" s="65" t="n">
        <v>4.608341604</v>
      </c>
      <c r="T183" s="68" t="n">
        <v>0.4083</v>
      </c>
      <c r="U183" s="66" t="inlineStr"/>
    </row>
    <row r="184">
      <c r="N184" s="4" t="inlineStr">
        <is>
          <t>Russia</t>
        </is>
      </c>
      <c r="O184" s="67" t="inlineStr">
        <is>
          <t>RUS</t>
        </is>
      </c>
      <c r="P184" s="67" t="inlineStr">
        <is>
          <t>RUB</t>
        </is>
      </c>
      <c r="Q184" s="67" t="n">
        <v>2024</v>
      </c>
      <c r="R184" s="65" t="n">
        <v>29.0629745679481</v>
      </c>
      <c r="S184" s="65" t="n">
        <v>93.00664340100001</v>
      </c>
      <c r="T184" s="68" t="n">
        <v>0.3125</v>
      </c>
      <c r="U184" s="66" t="inlineStr"/>
    </row>
    <row r="185">
      <c r="N185" s="4" t="inlineStr">
        <is>
          <t>Rwanda</t>
        </is>
      </c>
      <c r="O185" s="67" t="inlineStr">
        <is>
          <t>RWA</t>
        </is>
      </c>
      <c r="P185" s="67" t="inlineStr">
        <is>
          <t>RWF</t>
        </is>
      </c>
      <c r="Q185" s="67" t="n">
        <v>2024</v>
      </c>
      <c r="R185" s="65" t="n">
        <v>355.085581602396</v>
      </c>
      <c r="S185" s="65" t="n">
        <v>1324.304830794</v>
      </c>
      <c r="T185" s="68" t="n">
        <v>0.2681</v>
      </c>
      <c r="U185" s="66" t="inlineStr"/>
    </row>
    <row r="186">
      <c r="N186" s="4" t="inlineStr">
        <is>
          <t>Réunion</t>
        </is>
      </c>
      <c r="O186" s="67" t="inlineStr">
        <is>
          <t>REU</t>
        </is>
      </c>
      <c r="P186" s="67" t="inlineStr">
        <is>
          <t>EUR</t>
        </is>
      </c>
      <c r="Q186" s="67" t="inlineStr"/>
      <c r="R186" s="65" t="inlineStr"/>
      <c r="S186" s="65" t="n">
        <v>0.926404983</v>
      </c>
      <c r="T186" s="69" t="inlineStr"/>
      <c r="U186" s="66" t="inlineStr">
        <is>
          <t>no World Bank PPP</t>
        </is>
      </c>
    </row>
    <row r="187">
      <c r="N187" s="4" t="inlineStr">
        <is>
          <t>Samoa</t>
        </is>
      </c>
      <c r="O187" s="67" t="inlineStr">
        <is>
          <t>WSM</t>
        </is>
      </c>
      <c r="P187" s="67" t="inlineStr">
        <is>
          <t>WST</t>
        </is>
      </c>
      <c r="Q187" s="67" t="n">
        <v>2024</v>
      </c>
      <c r="R187" s="65" t="n">
        <v>1.70117853616414</v>
      </c>
      <c r="S187" s="65" t="n">
        <v>2.746093539</v>
      </c>
      <c r="T187" s="68" t="n">
        <v>0.6195000000000001</v>
      </c>
      <c r="U187" s="66" t="inlineStr"/>
    </row>
    <row r="188">
      <c r="N188" s="4" t="inlineStr">
        <is>
          <t>San Marino</t>
        </is>
      </c>
      <c r="O188" s="67" t="inlineStr">
        <is>
          <t>SMR</t>
        </is>
      </c>
      <c r="P188" s="67" t="inlineStr">
        <is>
          <t>EUR</t>
        </is>
      </c>
      <c r="Q188" s="67" t="n">
        <v>2023</v>
      </c>
      <c r="R188" s="65" t="n">
        <v>0.703169345202151</v>
      </c>
      <c r="S188" s="65" t="n">
        <v>0.926404983</v>
      </c>
      <c r="T188" s="68" t="n">
        <v>0.759</v>
      </c>
      <c r="U188" s="66" t="inlineStr"/>
    </row>
    <row r="189">
      <c r="N189" s="4" t="inlineStr">
        <is>
          <t>Saudi Arabia</t>
        </is>
      </c>
      <c r="O189" s="67" t="inlineStr">
        <is>
          <t>SAU</t>
        </is>
      </c>
      <c r="P189" s="67" t="inlineStr">
        <is>
          <t>SAR</t>
        </is>
      </c>
      <c r="Q189" s="67" t="n">
        <v>2024</v>
      </c>
      <c r="R189" s="65" t="n">
        <v>1.84526161631689</v>
      </c>
      <c r="S189" s="65" t="n">
        <v>3.75</v>
      </c>
      <c r="T189" s="68" t="n">
        <v>0.4921</v>
      </c>
      <c r="U189" s="66" t="inlineStr"/>
    </row>
    <row r="190">
      <c r="N190" s="4" t="inlineStr">
        <is>
          <t>Senegal</t>
        </is>
      </c>
      <c r="O190" s="67" t="inlineStr">
        <is>
          <t>SEN</t>
        </is>
      </c>
      <c r="P190" s="67" t="inlineStr">
        <is>
          <t>XOF</t>
        </is>
      </c>
      <c r="Q190" s="67" t="n">
        <v>2024</v>
      </c>
      <c r="R190" s="65" t="n">
        <v>212.040442650725</v>
      </c>
      <c r="S190" s="65" t="n">
        <v>607.681834032</v>
      </c>
      <c r="T190" s="68" t="n">
        <v>0.3489</v>
      </c>
      <c r="U190" s="66" t="inlineStr"/>
    </row>
    <row r="191">
      <c r="N191" s="4" t="inlineStr">
        <is>
          <t>Serbia</t>
        </is>
      </c>
      <c r="O191" s="67" t="inlineStr">
        <is>
          <t>SRB</t>
        </is>
      </c>
      <c r="P191" s="67" t="inlineStr">
        <is>
          <t>RSD</t>
        </is>
      </c>
      <c r="Q191" s="67" t="n">
        <v>2024</v>
      </c>
      <c r="R191" s="65" t="n">
        <v>45.078998701649</v>
      </c>
      <c r="S191" s="65" t="n">
        <v>108.486096059</v>
      </c>
      <c r="T191" s="68" t="n">
        <v>0.4155</v>
      </c>
      <c r="U191" s="66" t="inlineStr"/>
    </row>
    <row r="192">
      <c r="N192" s="4" t="inlineStr">
        <is>
          <t>Seychelles</t>
        </is>
      </c>
      <c r="O192" s="67" t="inlineStr">
        <is>
          <t>SYC</t>
        </is>
      </c>
      <c r="P192" s="67" t="inlineStr">
        <is>
          <t>SCR</t>
        </is>
      </c>
      <c r="Q192" s="67" t="n">
        <v>2024</v>
      </c>
      <c r="R192" s="65" t="n">
        <v>7.80668759041487</v>
      </c>
      <c r="S192" s="65" t="n">
        <v>14.390021626</v>
      </c>
      <c r="T192" s="68" t="n">
        <v>0.5425</v>
      </c>
      <c r="U192" s="66" t="inlineStr"/>
    </row>
    <row r="193">
      <c r="N193" s="4" t="inlineStr">
        <is>
          <t>Sierra Leone</t>
        </is>
      </c>
      <c r="O193" s="67" t="inlineStr">
        <is>
          <t>SLE</t>
        </is>
      </c>
      <c r="P193" s="67" t="inlineStr">
        <is>
          <t>SLE</t>
        </is>
      </c>
      <c r="Q193" s="67" t="n">
        <v>2024</v>
      </c>
      <c r="R193" s="65" t="n">
        <v>5.17268406300254</v>
      </c>
      <c r="S193" s="65" t="n">
        <v>22.626054858</v>
      </c>
      <c r="T193" s="68" t="n">
        <v>0.2286</v>
      </c>
      <c r="U193" s="66" t="inlineStr"/>
    </row>
    <row r="194">
      <c r="N194" s="4" t="inlineStr">
        <is>
          <t>Singapore</t>
        </is>
      </c>
      <c r="O194" s="67" t="inlineStr">
        <is>
          <t>SGP</t>
        </is>
      </c>
      <c r="P194" s="67" t="inlineStr">
        <is>
          <t>SGD</t>
        </is>
      </c>
      <c r="Q194" s="67" t="n">
        <v>2024</v>
      </c>
      <c r="R194" s="65" t="n">
        <v>0.804049648989492</v>
      </c>
      <c r="S194" s="65" t="n">
        <v>1.336400184</v>
      </c>
      <c r="T194" s="68" t="n">
        <v>0.6017</v>
      </c>
      <c r="U194" s="66" t="inlineStr"/>
    </row>
    <row r="195">
      <c r="N195" s="4" t="inlineStr">
        <is>
          <t>Sint Maarten</t>
        </is>
      </c>
      <c r="O195" s="67" t="inlineStr">
        <is>
          <t>SXM</t>
        </is>
      </c>
      <c r="P195" s="67" t="inlineStr">
        <is>
          <t>XCG</t>
        </is>
      </c>
      <c r="Q195" s="67" t="n">
        <v>2024</v>
      </c>
      <c r="R195" s="65" t="n">
        <v>1.38065436506043</v>
      </c>
      <c r="S195" s="65" t="inlineStr"/>
      <c r="T195" s="69" t="inlineStr"/>
      <c r="U195" s="66" t="inlineStr">
        <is>
          <t>no 2024 FX average</t>
        </is>
      </c>
    </row>
    <row r="196">
      <c r="N196" s="4" t="inlineStr">
        <is>
          <t>Slovakia</t>
        </is>
      </c>
      <c r="O196" s="67" t="inlineStr">
        <is>
          <t>SVK</t>
        </is>
      </c>
      <c r="P196" s="67" t="inlineStr">
        <is>
          <t>EUR</t>
        </is>
      </c>
      <c r="Q196" s="67" t="inlineStr"/>
      <c r="R196" s="65" t="inlineStr"/>
      <c r="S196" s="65" t="n">
        <v>0.926404983</v>
      </c>
      <c r="T196" s="69" t="inlineStr"/>
      <c r="U196" s="66" t="inlineStr">
        <is>
          <t>no World Bank PPP</t>
        </is>
      </c>
    </row>
    <row r="197">
      <c r="N197" s="4" t="inlineStr">
        <is>
          <t>Slovenia</t>
        </is>
      </c>
      <c r="O197" s="67" t="inlineStr">
        <is>
          <t>SVN</t>
        </is>
      </c>
      <c r="P197" s="67" t="inlineStr">
        <is>
          <t>EUR</t>
        </is>
      </c>
      <c r="Q197" s="67" t="n">
        <v>2024</v>
      </c>
      <c r="R197" s="65" t="n">
        <v>0.550461</v>
      </c>
      <c r="S197" s="65" t="n">
        <v>0.926404983</v>
      </c>
      <c r="T197" s="68" t="n">
        <v>0.5942</v>
      </c>
      <c r="U197" s="66" t="inlineStr"/>
    </row>
    <row r="198">
      <c r="N198" s="4" t="inlineStr">
        <is>
          <t>Solomon Islands</t>
        </is>
      </c>
      <c r="O198" s="67" t="inlineStr">
        <is>
          <t>SLB</t>
        </is>
      </c>
      <c r="P198" s="67" t="inlineStr">
        <is>
          <t>SBD</t>
        </is>
      </c>
      <c r="Q198" s="67" t="n">
        <v>2024</v>
      </c>
      <c r="R198" s="65" t="n">
        <v>6.11160632540053</v>
      </c>
      <c r="S198" s="65" t="n">
        <v>8.353184827</v>
      </c>
      <c r="T198" s="68" t="n">
        <v>0.7316</v>
      </c>
      <c r="U198" s="66" t="inlineStr"/>
    </row>
    <row r="199">
      <c r="N199" s="4" t="inlineStr">
        <is>
          <t>Somalia</t>
        </is>
      </c>
      <c r="O199" s="67" t="inlineStr">
        <is>
          <t>SOM</t>
        </is>
      </c>
      <c r="P199" s="67" t="inlineStr">
        <is>
          <t>SOS</t>
        </is>
      </c>
      <c r="Q199" s="67" t="n">
        <v>2024</v>
      </c>
      <c r="R199" s="65" t="n">
        <v>11049.7242096074</v>
      </c>
      <c r="S199" s="65" t="n">
        <v>571.1301517429999</v>
      </c>
      <c r="T199" s="69" t="inlineStr"/>
      <c r="U199" s="66" t="inlineStr">
        <is>
          <t>price level 19.35 implausible (currency / inflation): not used</t>
        </is>
      </c>
    </row>
    <row r="200">
      <c r="N200" s="4" t="inlineStr">
        <is>
          <t>South Africa</t>
        </is>
      </c>
      <c r="O200" s="67" t="inlineStr">
        <is>
          <t>ZAF</t>
        </is>
      </c>
      <c r="P200" s="67" t="inlineStr">
        <is>
          <t>ZAR</t>
        </is>
      </c>
      <c r="Q200" s="67" t="n">
        <v>2024</v>
      </c>
      <c r="R200" s="65" t="n">
        <v>7.43191283878561</v>
      </c>
      <c r="S200" s="65" t="n">
        <v>18.191628042</v>
      </c>
      <c r="T200" s="68" t="n">
        <v>0.4085</v>
      </c>
      <c r="U200" s="66" t="inlineStr"/>
    </row>
    <row r="201">
      <c r="N201" s="4" t="inlineStr">
        <is>
          <t>South Korea</t>
        </is>
      </c>
      <c r="O201" s="67" t="inlineStr">
        <is>
          <t>KOR</t>
        </is>
      </c>
      <c r="P201" s="67" t="inlineStr">
        <is>
          <t>KRW</t>
        </is>
      </c>
      <c r="Q201" s="67" t="n">
        <v>2024</v>
      </c>
      <c r="R201" s="65" t="n">
        <v>809.26722</v>
      </c>
      <c r="S201" s="65" t="n">
        <v>1372.886422917</v>
      </c>
      <c r="T201" s="68" t="n">
        <v>0.5895</v>
      </c>
      <c r="U201" s="66" t="inlineStr"/>
    </row>
    <row r="202">
      <c r="N202" s="4" t="inlineStr">
        <is>
          <t>South Sudan</t>
        </is>
      </c>
      <c r="O202" s="67" t="inlineStr">
        <is>
          <t>SSD</t>
        </is>
      </c>
      <c r="P202" s="67" t="inlineStr">
        <is>
          <t>SSP</t>
        </is>
      </c>
      <c r="Q202" s="67" t="n">
        <v>2021</v>
      </c>
      <c r="R202" s="65" t="n">
        <v>126.743049621582</v>
      </c>
      <c r="S202" s="65" t="inlineStr"/>
      <c r="T202" s="69" t="inlineStr"/>
      <c r="U202" s="66" t="inlineStr">
        <is>
          <t>no 2024 FX average</t>
        </is>
      </c>
    </row>
    <row r="203">
      <c r="N203" s="4" t="inlineStr">
        <is>
          <t>Spain</t>
        </is>
      </c>
      <c r="O203" s="67" t="inlineStr">
        <is>
          <t>ESP</t>
        </is>
      </c>
      <c r="P203" s="67" t="inlineStr">
        <is>
          <t>EUR</t>
        </is>
      </c>
      <c r="Q203" s="67" t="n">
        <v>2024</v>
      </c>
      <c r="R203" s="65" t="n">
        <v>0.562107</v>
      </c>
      <c r="S203" s="65" t="n">
        <v>0.926404983</v>
      </c>
      <c r="T203" s="68" t="n">
        <v>0.6068</v>
      </c>
      <c r="U203" s="66" t="inlineStr"/>
    </row>
    <row r="204">
      <c r="N204" s="4" t="inlineStr">
        <is>
          <t>Sri Lanka</t>
        </is>
      </c>
      <c r="O204" s="67" t="inlineStr">
        <is>
          <t>LKA</t>
        </is>
      </c>
      <c r="P204" s="67" t="inlineStr">
        <is>
          <t>LKR</t>
        </is>
      </c>
      <c r="Q204" s="67" t="n">
        <v>2024</v>
      </c>
      <c r="R204" s="65" t="n">
        <v>87.26860543987669</v>
      </c>
      <c r="S204" s="65" t="n">
        <v>298.681790652</v>
      </c>
      <c r="T204" s="68" t="n">
        <v>0.2922</v>
      </c>
      <c r="U204" s="66" t="inlineStr"/>
    </row>
    <row r="205">
      <c r="N205" s="4" t="inlineStr">
        <is>
          <t>St. Barthélemy</t>
        </is>
      </c>
      <c r="O205" s="67" t="inlineStr">
        <is>
          <t>BLM</t>
        </is>
      </c>
      <c r="P205" s="67" t="inlineStr">
        <is>
          <t>EUR</t>
        </is>
      </c>
      <c r="Q205" s="67" t="inlineStr"/>
      <c r="R205" s="65" t="inlineStr"/>
      <c r="S205" s="65" t="n">
        <v>0.926404983</v>
      </c>
      <c r="T205" s="69" t="inlineStr"/>
      <c r="U205" s="66" t="inlineStr">
        <is>
          <t>no World Bank PPP</t>
        </is>
      </c>
    </row>
    <row r="206">
      <c r="N206" s="4" t="inlineStr">
        <is>
          <t>St. Helena</t>
        </is>
      </c>
      <c r="O206" s="67" t="inlineStr">
        <is>
          <t>SHN</t>
        </is>
      </c>
      <c r="P206" s="67" t="inlineStr">
        <is>
          <t>SHP</t>
        </is>
      </c>
      <c r="Q206" s="67" t="inlineStr"/>
      <c r="R206" s="65" t="inlineStr"/>
      <c r="S206" s="65" t="n">
        <v>0.7830716049999999</v>
      </c>
      <c r="T206" s="69" t="inlineStr"/>
      <c r="U206" s="66" t="inlineStr">
        <is>
          <t>no World Bank PPP</t>
        </is>
      </c>
    </row>
    <row r="207">
      <c r="N207" s="4" t="inlineStr">
        <is>
          <t>St. Kitts &amp; Nevis</t>
        </is>
      </c>
      <c r="O207" s="67" t="inlineStr">
        <is>
          <t>KNA</t>
        </is>
      </c>
      <c r="P207" s="67" t="inlineStr">
        <is>
          <t>XCD</t>
        </is>
      </c>
      <c r="Q207" s="67" t="n">
        <v>2024</v>
      </c>
      <c r="R207" s="65" t="n">
        <v>1.85652998326696</v>
      </c>
      <c r="S207" s="65" t="n">
        <v>2.701791065</v>
      </c>
      <c r="T207" s="68" t="n">
        <v>0.6871</v>
      </c>
      <c r="U207" s="66" t="inlineStr"/>
    </row>
    <row r="208">
      <c r="N208" s="4" t="inlineStr">
        <is>
          <t>St. Lucia</t>
        </is>
      </c>
      <c r="O208" s="67" t="inlineStr">
        <is>
          <t>LCA</t>
        </is>
      </c>
      <c r="P208" s="67" t="inlineStr">
        <is>
          <t>XCD</t>
        </is>
      </c>
      <c r="Q208" s="67" t="n">
        <v>2024</v>
      </c>
      <c r="R208" s="65" t="n">
        <v>1.38897762585527</v>
      </c>
      <c r="S208" s="65" t="n">
        <v>2.701791065</v>
      </c>
      <c r="T208" s="68" t="n">
        <v>0.5141</v>
      </c>
      <c r="U208" s="66" t="inlineStr"/>
    </row>
    <row r="209">
      <c r="N209" s="4" t="inlineStr">
        <is>
          <t>St. Martin</t>
        </is>
      </c>
      <c r="O209" s="67" t="inlineStr">
        <is>
          <t>MAF</t>
        </is>
      </c>
      <c r="P209" s="67" t="inlineStr">
        <is>
          <t>EUR</t>
        </is>
      </c>
      <c r="Q209" s="67" t="inlineStr"/>
      <c r="R209" s="65" t="inlineStr"/>
      <c r="S209" s="65" t="n">
        <v>0.926404983</v>
      </c>
      <c r="T209" s="69" t="inlineStr"/>
      <c r="U209" s="66" t="inlineStr">
        <is>
          <t>no World Bank PPP</t>
        </is>
      </c>
    </row>
    <row r="210">
      <c r="N210" s="4" t="inlineStr">
        <is>
          <t>St. Pierre &amp; Miquelon</t>
        </is>
      </c>
      <c r="O210" s="67" t="inlineStr">
        <is>
          <t>SPM</t>
        </is>
      </c>
      <c r="P210" s="67" t="inlineStr">
        <is>
          <t>EUR</t>
        </is>
      </c>
      <c r="Q210" s="67" t="inlineStr"/>
      <c r="R210" s="65" t="inlineStr"/>
      <c r="S210" s="65" t="n">
        <v>0.926404983</v>
      </c>
      <c r="T210" s="69" t="inlineStr"/>
      <c r="U210" s="66" t="inlineStr">
        <is>
          <t>no World Bank PPP</t>
        </is>
      </c>
    </row>
    <row r="211">
      <c r="N211" s="4" t="inlineStr">
        <is>
          <t>St. Vincent &amp; Grenadines</t>
        </is>
      </c>
      <c r="O211" s="67" t="inlineStr">
        <is>
          <t>VCT</t>
        </is>
      </c>
      <c r="P211" s="67" t="inlineStr">
        <is>
          <t>XCD</t>
        </is>
      </c>
      <c r="Q211" s="67" t="n">
        <v>2024</v>
      </c>
      <c r="R211" s="65" t="n">
        <v>1.45981547183907</v>
      </c>
      <c r="S211" s="65" t="n">
        <v>2.701791065</v>
      </c>
      <c r="T211" s="68" t="n">
        <v>0.5403</v>
      </c>
      <c r="U211" s="66" t="inlineStr"/>
    </row>
    <row r="212">
      <c r="N212" s="4" t="inlineStr">
        <is>
          <t>Sudan</t>
        </is>
      </c>
      <c r="O212" s="67" t="inlineStr">
        <is>
          <t>SDN</t>
        </is>
      </c>
      <c r="P212" s="67" t="inlineStr">
        <is>
          <t>SDG</t>
        </is>
      </c>
      <c r="Q212" s="67" t="n">
        <v>2024</v>
      </c>
      <c r="R212" s="65" t="n">
        <v>729.4766873778771</v>
      </c>
      <c r="S212" s="65" t="n">
        <v>596.019758185</v>
      </c>
      <c r="T212" s="68" t="n">
        <v>1.2239</v>
      </c>
      <c r="U212" s="66" t="inlineStr"/>
    </row>
    <row r="213">
      <c r="N213" s="4" t="inlineStr">
        <is>
          <t>Suriname</t>
        </is>
      </c>
      <c r="O213" s="67" t="inlineStr">
        <is>
          <t>SUR</t>
        </is>
      </c>
      <c r="P213" s="67" t="inlineStr">
        <is>
          <t>SRD</t>
        </is>
      </c>
      <c r="Q213" s="67" t="n">
        <v>2024</v>
      </c>
      <c r="R213" s="65" t="n">
        <v>10.5958917756902</v>
      </c>
      <c r="S213" s="65" t="n">
        <v>32.523102166</v>
      </c>
      <c r="T213" s="68" t="n">
        <v>0.3258</v>
      </c>
      <c r="U213" s="66" t="inlineStr"/>
    </row>
    <row r="214">
      <c r="N214" s="4" t="inlineStr">
        <is>
          <t>Svalbard &amp; Jan Mayen</t>
        </is>
      </c>
      <c r="O214" s="67" t="inlineStr">
        <is>
          <t>SJM</t>
        </is>
      </c>
      <c r="P214" s="67" t="inlineStr">
        <is>
          <t>NOK</t>
        </is>
      </c>
      <c r="Q214" s="67" t="inlineStr"/>
      <c r="R214" s="65" t="inlineStr"/>
      <c r="S214" s="65" t="n">
        <v>10.818263922</v>
      </c>
      <c r="T214" s="69" t="inlineStr"/>
      <c r="U214" s="66" t="inlineStr">
        <is>
          <t>no World Bank PPP</t>
        </is>
      </c>
    </row>
    <row r="215">
      <c r="N215" s="4" t="inlineStr">
        <is>
          <t>Sweden</t>
        </is>
      </c>
      <c r="O215" s="67" t="inlineStr">
        <is>
          <t>SWE</t>
        </is>
      </c>
      <c r="P215" s="67" t="inlineStr">
        <is>
          <t>SEK</t>
        </is>
      </c>
      <c r="Q215" s="67" t="n">
        <v>2024</v>
      </c>
      <c r="R215" s="65" t="n">
        <v>8.490485</v>
      </c>
      <c r="S215" s="65" t="n">
        <v>10.622680242</v>
      </c>
      <c r="T215" s="68" t="n">
        <v>0.7993</v>
      </c>
      <c r="U215" s="66" t="inlineStr"/>
    </row>
    <row r="216">
      <c r="N216" s="4" t="inlineStr">
        <is>
          <t>Switzerland</t>
        </is>
      </c>
      <c r="O216" s="67" t="inlineStr">
        <is>
          <t>CHE</t>
        </is>
      </c>
      <c r="P216" s="67" t="inlineStr">
        <is>
          <t>CHF</t>
        </is>
      </c>
      <c r="Q216" s="67" t="n">
        <v>2024</v>
      </c>
      <c r="R216" s="65" t="n">
        <v>0.948875</v>
      </c>
      <c r="S216" s="65" t="n">
        <v>0.885177129</v>
      </c>
      <c r="T216" s="68" t="n">
        <v>1.072</v>
      </c>
      <c r="U216" s="66" t="inlineStr"/>
    </row>
    <row r="217">
      <c r="N217" s="4" t="inlineStr">
        <is>
          <t>Syria</t>
        </is>
      </c>
      <c r="O217" s="67" t="inlineStr">
        <is>
          <t>SYR</t>
        </is>
      </c>
      <c r="P217" s="67" t="inlineStr">
        <is>
          <t>SYP</t>
        </is>
      </c>
      <c r="Q217" s="67" t="n">
        <v>2023</v>
      </c>
      <c r="R217" s="65" t="n">
        <v>1757.52068232787</v>
      </c>
      <c r="S217" s="65" t="n">
        <v>13001.510392441</v>
      </c>
      <c r="T217" s="68" t="n">
        <v>0.1352</v>
      </c>
      <c r="U217" s="66" t="inlineStr"/>
    </row>
    <row r="218">
      <c r="N218" s="4" t="inlineStr">
        <is>
          <t>São Tomé &amp; Príncipe</t>
        </is>
      </c>
      <c r="O218" s="67" t="inlineStr">
        <is>
          <t>STP</t>
        </is>
      </c>
      <c r="P218" s="67" t="inlineStr">
        <is>
          <t>STN</t>
        </is>
      </c>
      <c r="Q218" s="67" t="n">
        <v>2024</v>
      </c>
      <c r="R218" s="65" t="n">
        <v>12.7576056454318</v>
      </c>
      <c r="S218" s="65" t="n">
        <v>22.79589432</v>
      </c>
      <c r="T218" s="68" t="n">
        <v>0.5596</v>
      </c>
      <c r="U218" s="66" t="inlineStr"/>
    </row>
    <row r="219">
      <c r="N219" s="4" t="inlineStr">
        <is>
          <t>Taiwan</t>
        </is>
      </c>
      <c r="O219" s="67" t="inlineStr">
        <is>
          <t>TWN</t>
        </is>
      </c>
      <c r="P219" s="67" t="inlineStr">
        <is>
          <t>TWD</t>
        </is>
      </c>
      <c r="Q219" s="67" t="inlineStr"/>
      <c r="R219" s="65" t="inlineStr"/>
      <c r="S219" s="65" t="n">
        <v>32.290808632</v>
      </c>
      <c r="T219" s="69" t="inlineStr"/>
      <c r="U219" s="66" t="inlineStr">
        <is>
          <t>no World Bank PPP</t>
        </is>
      </c>
    </row>
    <row r="220">
      <c r="N220" s="4" t="inlineStr">
        <is>
          <t>Tajikistan</t>
        </is>
      </c>
      <c r="O220" s="67" t="inlineStr">
        <is>
          <t>TJK</t>
        </is>
      </c>
      <c r="P220" s="67" t="inlineStr">
        <is>
          <t>TJS</t>
        </is>
      </c>
      <c r="Q220" s="67" t="n">
        <v>2024</v>
      </c>
      <c r="R220" s="65" t="n">
        <v>2.67931126140168</v>
      </c>
      <c r="S220" s="65" t="n">
        <v>10.766736</v>
      </c>
      <c r="T220" s="68" t="n">
        <v>0.2489</v>
      </c>
      <c r="U220" s="66" t="inlineStr"/>
    </row>
    <row r="221">
      <c r="N221" s="4" t="inlineStr">
        <is>
          <t>Tanzania</t>
        </is>
      </c>
      <c r="O221" s="67" t="inlineStr">
        <is>
          <t>TZA</t>
        </is>
      </c>
      <c r="P221" s="67" t="inlineStr">
        <is>
          <t>TZS</t>
        </is>
      </c>
      <c r="Q221" s="67" t="n">
        <v>2024</v>
      </c>
      <c r="R221" s="65" t="n">
        <v>730.424331119855</v>
      </c>
      <c r="S221" s="65" t="n">
        <v>2640.916430611</v>
      </c>
      <c r="T221" s="68" t="n">
        <v>0.2766</v>
      </c>
      <c r="U221" s="66" t="inlineStr"/>
    </row>
    <row r="222">
      <c r="N222" s="4" t="inlineStr">
        <is>
          <t>Thailand</t>
        </is>
      </c>
      <c r="O222" s="67" t="inlineStr">
        <is>
          <t>THA</t>
        </is>
      </c>
      <c r="P222" s="67" t="inlineStr">
        <is>
          <t>THB</t>
        </is>
      </c>
      <c r="Q222" s="67" t="n">
        <v>2024</v>
      </c>
      <c r="R222" s="65" t="n">
        <v>10.4923732985879</v>
      </c>
      <c r="S222" s="65" t="n">
        <v>35.2692068</v>
      </c>
      <c r="T222" s="68" t="n">
        <v>0.2975</v>
      </c>
      <c r="U222" s="66" t="inlineStr"/>
    </row>
    <row r="223">
      <c r="N223" s="4" t="inlineStr">
        <is>
          <t>Timor-Leste</t>
        </is>
      </c>
      <c r="O223" s="67" t="inlineStr">
        <is>
          <t>TLS</t>
        </is>
      </c>
      <c r="P223" s="67" t="inlineStr">
        <is>
          <t>USD</t>
        </is>
      </c>
      <c r="Q223" s="67" t="n">
        <v>2024</v>
      </c>
      <c r="R223" s="65" t="n">
        <v>0.301161456791842</v>
      </c>
      <c r="S223" s="65" t="n">
        <v>1</v>
      </c>
      <c r="T223" s="68" t="n">
        <v>0.3012</v>
      </c>
      <c r="U223" s="66" t="inlineStr"/>
    </row>
    <row r="224">
      <c r="N224" s="4" t="inlineStr">
        <is>
          <t>Togo</t>
        </is>
      </c>
      <c r="O224" s="67" t="inlineStr">
        <is>
          <t>TGO</t>
        </is>
      </c>
      <c r="P224" s="67" t="inlineStr">
        <is>
          <t>XOF</t>
        </is>
      </c>
      <c r="Q224" s="67" t="n">
        <v>2024</v>
      </c>
      <c r="R224" s="65" t="n">
        <v>201.675895153365</v>
      </c>
      <c r="S224" s="65" t="n">
        <v>607.681834032</v>
      </c>
      <c r="T224" s="68" t="n">
        <v>0.3319</v>
      </c>
      <c r="U224" s="66" t="inlineStr"/>
    </row>
    <row r="225">
      <c r="N225" s="4" t="inlineStr">
        <is>
          <t>Tokelau</t>
        </is>
      </c>
      <c r="O225" s="67" t="inlineStr">
        <is>
          <t>TKL</t>
        </is>
      </c>
      <c r="P225" s="67" t="inlineStr">
        <is>
          <t>NZD</t>
        </is>
      </c>
      <c r="Q225" s="67" t="inlineStr"/>
      <c r="R225" s="65" t="inlineStr"/>
      <c r="S225" s="65" t="n">
        <v>1.662468254</v>
      </c>
      <c r="T225" s="69" t="inlineStr"/>
      <c r="U225" s="66" t="inlineStr">
        <is>
          <t>no World Bank PPP</t>
        </is>
      </c>
    </row>
    <row r="226">
      <c r="N226" s="4" t="inlineStr">
        <is>
          <t>Tonga</t>
        </is>
      </c>
      <c r="O226" s="67" t="inlineStr">
        <is>
          <t>TON</t>
        </is>
      </c>
      <c r="P226" s="67" t="inlineStr">
        <is>
          <t>TOP</t>
        </is>
      </c>
      <c r="Q226" s="67" t="n">
        <v>2023</v>
      </c>
      <c r="R226" s="65" t="n">
        <v>1.71055911954168</v>
      </c>
      <c r="S226" s="65" t="n">
        <v>2.360240459</v>
      </c>
      <c r="T226" s="68" t="n">
        <v>0.7247</v>
      </c>
      <c r="U226" s="66" t="inlineStr"/>
    </row>
    <row r="227">
      <c r="N227" s="4" t="inlineStr">
        <is>
          <t>Trinidad &amp; Tobago</t>
        </is>
      </c>
      <c r="O227" s="67" t="inlineStr">
        <is>
          <t>TTO</t>
        </is>
      </c>
      <c r="P227" s="67" t="inlineStr">
        <is>
          <t>TTD</t>
        </is>
      </c>
      <c r="Q227" s="67" t="n">
        <v>2024</v>
      </c>
      <c r="R227" s="65" t="n">
        <v>3.48081488254357</v>
      </c>
      <c r="S227" s="65" t="n">
        <v>6.792250497</v>
      </c>
      <c r="T227" s="68" t="n">
        <v>0.5125</v>
      </c>
      <c r="U227" s="66" t="inlineStr"/>
    </row>
    <row r="228">
      <c r="N228" s="4" t="inlineStr">
        <is>
          <t>Tunisia</t>
        </is>
      </c>
      <c r="O228" s="67" t="inlineStr">
        <is>
          <t>TUN</t>
        </is>
      </c>
      <c r="P228" s="67" t="inlineStr">
        <is>
          <t>TND</t>
        </is>
      </c>
      <c r="Q228" s="67" t="n">
        <v>2024</v>
      </c>
      <c r="R228" s="65" t="n">
        <v>0.896141941458351</v>
      </c>
      <c r="S228" s="65" t="n">
        <v>3.103317654</v>
      </c>
      <c r="T228" s="68" t="n">
        <v>0.2888</v>
      </c>
      <c r="U228" s="66" t="inlineStr"/>
    </row>
    <row r="229">
      <c r="N229" s="4" t="inlineStr">
        <is>
          <t>Turkmenistan</t>
        </is>
      </c>
      <c r="O229" s="67" t="inlineStr">
        <is>
          <t>TKM</t>
        </is>
      </c>
      <c r="P229" s="67" t="inlineStr">
        <is>
          <t>TMT</t>
        </is>
      </c>
      <c r="Q229" s="67" t="n">
        <v>2024</v>
      </c>
      <c r="R229" s="65" t="n">
        <v>1.5118910193265</v>
      </c>
      <c r="S229" s="65" t="n">
        <v>3.5002251</v>
      </c>
      <c r="T229" s="68" t="n">
        <v>0.4319</v>
      </c>
      <c r="U229" s="66" t="inlineStr"/>
    </row>
    <row r="230">
      <c r="N230" s="4" t="inlineStr">
        <is>
          <t>Turks &amp; Caicos Islands</t>
        </is>
      </c>
      <c r="O230" s="67" t="inlineStr">
        <is>
          <t>TCA</t>
        </is>
      </c>
      <c r="P230" s="67" t="inlineStr">
        <is>
          <t>USD</t>
        </is>
      </c>
      <c r="Q230" s="67" t="n">
        <v>2024</v>
      </c>
      <c r="R230" s="65" t="n">
        <v>0.988206691271252</v>
      </c>
      <c r="S230" s="65" t="n">
        <v>1</v>
      </c>
      <c r="T230" s="68" t="n">
        <v>0.9882</v>
      </c>
      <c r="U230" s="66" t="inlineStr"/>
    </row>
    <row r="231">
      <c r="N231" s="4" t="inlineStr">
        <is>
          <t>Tuvalu</t>
        </is>
      </c>
      <c r="O231" s="67" t="inlineStr">
        <is>
          <t>TUV</t>
        </is>
      </c>
      <c r="P231" s="67" t="inlineStr">
        <is>
          <t>AUD</t>
        </is>
      </c>
      <c r="Q231" s="67" t="n">
        <v>2024</v>
      </c>
      <c r="R231" s="65" t="n">
        <v>1.57916853769056</v>
      </c>
      <c r="S231" s="65" t="n">
        <v>1.518557254</v>
      </c>
      <c r="T231" s="68" t="n">
        <v>1.0399</v>
      </c>
      <c r="U231" s="66" t="inlineStr"/>
    </row>
    <row r="232">
      <c r="N232" s="4" t="inlineStr">
        <is>
          <t>U.S. Outlying Islands</t>
        </is>
      </c>
      <c r="O232" s="67" t="inlineStr">
        <is>
          <t>UMI</t>
        </is>
      </c>
      <c r="P232" s="67" t="inlineStr">
        <is>
          <t>USD</t>
        </is>
      </c>
      <c r="Q232" s="67" t="inlineStr"/>
      <c r="R232" s="65" t="inlineStr"/>
      <c r="S232" s="65" t="n">
        <v>1</v>
      </c>
      <c r="T232" s="69" t="inlineStr"/>
      <c r="U232" s="66" t="inlineStr">
        <is>
          <t>no World Bank PPP</t>
        </is>
      </c>
    </row>
    <row r="233">
      <c r="N233" s="4" t="inlineStr">
        <is>
          <t>U.S. Virgin Islands</t>
        </is>
      </c>
      <c r="O233" s="67" t="inlineStr">
        <is>
          <t>VIR</t>
        </is>
      </c>
      <c r="P233" s="67" t="inlineStr">
        <is>
          <t>USD</t>
        </is>
      </c>
      <c r="Q233" s="67" t="n">
        <v>2022</v>
      </c>
      <c r="R233" s="65" t="n">
        <v>0.890102631117342</v>
      </c>
      <c r="S233" s="65" t="n">
        <v>1</v>
      </c>
      <c r="T233" s="69" t="inlineStr"/>
      <c r="U233" s="66" t="inlineStr">
        <is>
          <t>PPP 2022: too old, price level not used</t>
        </is>
      </c>
    </row>
    <row r="234">
      <c r="N234" s="4" t="inlineStr">
        <is>
          <t>United Kingdom</t>
        </is>
      </c>
      <c r="O234" s="67" t="inlineStr">
        <is>
          <t>GBR</t>
        </is>
      </c>
      <c r="P234" s="67" t="inlineStr">
        <is>
          <t>GBP</t>
        </is>
      </c>
      <c r="Q234" s="67" t="n">
        <v>2024</v>
      </c>
      <c r="R234" s="65" t="n">
        <v>0.664153</v>
      </c>
      <c r="S234" s="65" t="n">
        <v>0.7830716049999999</v>
      </c>
      <c r="T234" s="68" t="n">
        <v>0.8481</v>
      </c>
      <c r="U234" s="66" t="inlineStr"/>
    </row>
    <row r="235">
      <c r="N235" s="4" t="inlineStr">
        <is>
          <t>United States</t>
        </is>
      </c>
      <c r="O235" s="67" t="inlineStr">
        <is>
          <t>USA</t>
        </is>
      </c>
      <c r="P235" s="67" t="inlineStr">
        <is>
          <t>USD</t>
        </is>
      </c>
      <c r="Q235" s="67" t="n">
        <v>2024</v>
      </c>
      <c r="R235" s="65" t="n">
        <v>1</v>
      </c>
      <c r="S235" s="65" t="n">
        <v>1</v>
      </c>
      <c r="T235" s="68" t="n">
        <v>1</v>
      </c>
      <c r="U235" s="66" t="inlineStr"/>
    </row>
    <row r="236">
      <c r="N236" s="4" t="inlineStr">
        <is>
          <t>Uganda</t>
        </is>
      </c>
      <c r="O236" s="67" t="inlineStr">
        <is>
          <t>UGA</t>
        </is>
      </c>
      <c r="P236" s="67" t="inlineStr">
        <is>
          <t>UGX</t>
        </is>
      </c>
      <c r="Q236" s="67" t="n">
        <v>2024</v>
      </c>
      <c r="R236" s="65" t="n">
        <v>1244.29989240795</v>
      </c>
      <c r="S236" s="65" t="n">
        <v>3736.248511374</v>
      </c>
      <c r="T236" s="68" t="n">
        <v>0.333</v>
      </c>
      <c r="U236" s="66" t="inlineStr"/>
    </row>
    <row r="237">
      <c r="N237" s="4" t="inlineStr">
        <is>
          <t>Ukraine</t>
        </is>
      </c>
      <c r="O237" s="67" t="inlineStr">
        <is>
          <t>UKR</t>
        </is>
      </c>
      <c r="P237" s="67" t="inlineStr">
        <is>
          <t>UAH</t>
        </is>
      </c>
      <c r="Q237" s="67" t="n">
        <v>2024</v>
      </c>
      <c r="R237" s="65" t="n">
        <v>11.6654001366924</v>
      </c>
      <c r="S237" s="65" t="n">
        <v>40.611340447</v>
      </c>
      <c r="T237" s="68" t="n">
        <v>0.2872</v>
      </c>
      <c r="U237" s="66" t="inlineStr"/>
    </row>
    <row r="238">
      <c r="N238" s="4" t="inlineStr">
        <is>
          <t>United Arab Emirates</t>
        </is>
      </c>
      <c r="O238" s="67" t="inlineStr">
        <is>
          <t>ARE</t>
        </is>
      </c>
      <c r="P238" s="67" t="inlineStr">
        <is>
          <t>AED</t>
        </is>
      </c>
      <c r="Q238" s="67" t="n">
        <v>2024</v>
      </c>
      <c r="R238" s="65" t="n">
        <v>2.33033434270159</v>
      </c>
      <c r="S238" s="65" t="n">
        <v>3.6725</v>
      </c>
      <c r="T238" s="68" t="n">
        <v>0.6345</v>
      </c>
      <c r="U238" s="66" t="inlineStr"/>
    </row>
    <row r="239">
      <c r="N239" s="4" t="inlineStr">
        <is>
          <t>Uruguay</t>
        </is>
      </c>
      <c r="O239" s="67" t="inlineStr">
        <is>
          <t>URY</t>
        </is>
      </c>
      <c r="P239" s="67" t="inlineStr">
        <is>
          <t>UYU</t>
        </is>
      </c>
      <c r="Q239" s="67" t="n">
        <v>2024</v>
      </c>
      <c r="R239" s="65" t="n">
        <v>26.3976838152141</v>
      </c>
      <c r="S239" s="65" t="n">
        <v>40.57157926</v>
      </c>
      <c r="T239" s="68" t="n">
        <v>0.6506</v>
      </c>
      <c r="U239" s="66" t="inlineStr"/>
    </row>
    <row r="240">
      <c r="N240" s="4" t="inlineStr">
        <is>
          <t>Uzbekistan</t>
        </is>
      </c>
      <c r="O240" s="67" t="inlineStr">
        <is>
          <t>UZB</t>
        </is>
      </c>
      <c r="P240" s="67" t="inlineStr">
        <is>
          <t>UZS</t>
        </is>
      </c>
      <c r="Q240" s="67" t="n">
        <v>2024</v>
      </c>
      <c r="R240" s="65" t="n">
        <v>3367.64393969072</v>
      </c>
      <c r="S240" s="65" t="n">
        <v>12709.130340279</v>
      </c>
      <c r="T240" s="68" t="n">
        <v>0.265</v>
      </c>
      <c r="U240" s="66" t="inlineStr"/>
    </row>
    <row r="241">
      <c r="N241" s="4" t="inlineStr">
        <is>
          <t>Vanuatu</t>
        </is>
      </c>
      <c r="O241" s="67" t="inlineStr">
        <is>
          <t>VUT</t>
        </is>
      </c>
      <c r="P241" s="67" t="inlineStr">
        <is>
          <t>VUV</t>
        </is>
      </c>
      <c r="Q241" s="67" t="n">
        <v>2024</v>
      </c>
      <c r="R241" s="65" t="n">
        <v>112.727226133825</v>
      </c>
      <c r="S241" s="65" t="n">
        <v>120.05971643</v>
      </c>
      <c r="T241" s="68" t="n">
        <v>0.9389</v>
      </c>
      <c r="U241" s="66" t="inlineStr"/>
    </row>
    <row r="242">
      <c r="N242" s="4" t="inlineStr">
        <is>
          <t>Vatican City</t>
        </is>
      </c>
      <c r="O242" s="67" t="inlineStr">
        <is>
          <t>VAT</t>
        </is>
      </c>
      <c r="P242" s="67" t="inlineStr">
        <is>
          <t>EUR</t>
        </is>
      </c>
      <c r="Q242" s="67" t="inlineStr"/>
      <c r="R242" s="65" t="inlineStr"/>
      <c r="S242" s="65" t="n">
        <v>0.926404983</v>
      </c>
      <c r="T242" s="69" t="inlineStr"/>
      <c r="U242" s="66" t="inlineStr">
        <is>
          <t>no World Bank PPP</t>
        </is>
      </c>
    </row>
    <row r="243">
      <c r="N243" s="4" t="inlineStr">
        <is>
          <t>Venezuela</t>
        </is>
      </c>
      <c r="O243" s="67" t="inlineStr">
        <is>
          <t>VEN</t>
        </is>
      </c>
      <c r="P243" s="67" t="inlineStr">
        <is>
          <t>VES</t>
        </is>
      </c>
      <c r="Q243" s="67" t="n">
        <v>2011</v>
      </c>
      <c r="R243" s="65" t="n">
        <v>2.68098258972168e-11</v>
      </c>
      <c r="S243" s="65" t="n">
        <v>38.972736657</v>
      </c>
      <c r="T243" s="69" t="inlineStr"/>
      <c r="U243" s="66" t="inlineStr">
        <is>
          <t>PPP 2011: too old, price level not used</t>
        </is>
      </c>
    </row>
    <row r="244">
      <c r="N244" s="4" t="inlineStr">
        <is>
          <t>Vietnam</t>
        </is>
      </c>
      <c r="O244" s="67" t="inlineStr">
        <is>
          <t>VNM</t>
        </is>
      </c>
      <c r="P244" s="67" t="inlineStr">
        <is>
          <t>VND</t>
        </is>
      </c>
      <c r="Q244" s="67" t="n">
        <v>2024</v>
      </c>
      <c r="R244" s="65" t="n">
        <v>6956.92750425086</v>
      </c>
      <c r="S244" s="65" t="n">
        <v>25121.588999773</v>
      </c>
      <c r="T244" s="68" t="n">
        <v>0.2769</v>
      </c>
      <c r="U244" s="66" t="inlineStr"/>
    </row>
    <row r="245">
      <c r="N245" s="4" t="inlineStr">
        <is>
          <t>Wallis &amp; Futuna</t>
        </is>
      </c>
      <c r="O245" s="67" t="inlineStr">
        <is>
          <t>WLF</t>
        </is>
      </c>
      <c r="P245" s="67" t="inlineStr">
        <is>
          <t>XPF</t>
        </is>
      </c>
      <c r="Q245" s="67" t="inlineStr"/>
      <c r="R245" s="65" t="inlineStr"/>
      <c r="S245" s="65" t="n">
        <v>110.549520753</v>
      </c>
      <c r="T245" s="69" t="inlineStr"/>
      <c r="U245" s="66" t="inlineStr">
        <is>
          <t>no World Bank PPP</t>
        </is>
      </c>
    </row>
    <row r="246">
      <c r="N246" s="4" t="inlineStr">
        <is>
          <t>Western Sahara</t>
        </is>
      </c>
      <c r="O246" s="67" t="inlineStr">
        <is>
          <t>ESH</t>
        </is>
      </c>
      <c r="P246" s="67" t="inlineStr">
        <is>
          <t>MAD</t>
        </is>
      </c>
      <c r="Q246" s="67" t="inlineStr"/>
      <c r="R246" s="65" t="inlineStr"/>
      <c r="S246" s="65" t="n">
        <v>9.920130111000001</v>
      </c>
      <c r="T246" s="69" t="inlineStr"/>
      <c r="U246" s="66" t="inlineStr">
        <is>
          <t>no World Bank PPP</t>
        </is>
      </c>
    </row>
    <row r="247">
      <c r="N247" s="4" t="inlineStr">
        <is>
          <t>Yemen</t>
        </is>
      </c>
      <c r="O247" s="67" t="inlineStr">
        <is>
          <t>YEM</t>
        </is>
      </c>
      <c r="P247" s="67" t="inlineStr">
        <is>
          <t>YER</t>
        </is>
      </c>
      <c r="Q247" s="67" t="n">
        <v>2013</v>
      </c>
      <c r="R247" s="65" t="n">
        <v>93.6313171386719</v>
      </c>
      <c r="S247" s="65" t="n">
        <v>250.225352817</v>
      </c>
      <c r="T247" s="69" t="inlineStr"/>
      <c r="U247" s="66" t="inlineStr">
        <is>
          <t>PPP 2013: too old, price level not used</t>
        </is>
      </c>
    </row>
    <row r="248">
      <c r="N248" s="4" t="inlineStr">
        <is>
          <t>Zambia</t>
        </is>
      </c>
      <c r="O248" s="67" t="inlineStr">
        <is>
          <t>ZMB</t>
        </is>
      </c>
      <c r="P248" s="67" t="inlineStr">
        <is>
          <t>ZMW</t>
        </is>
      </c>
      <c r="Q248" s="67" t="n">
        <v>2024</v>
      </c>
      <c r="R248" s="65" t="n">
        <v>7.3696780609959</v>
      </c>
      <c r="S248" s="65" t="n">
        <v>26.141474596</v>
      </c>
      <c r="T248" s="68" t="n">
        <v>0.2819</v>
      </c>
      <c r="U248" s="66" t="inlineStr"/>
    </row>
    <row r="249">
      <c r="N249" s="4" t="inlineStr">
        <is>
          <t>Zimbabwe</t>
        </is>
      </c>
      <c r="O249" s="67" t="inlineStr">
        <is>
          <t>ZWE</t>
        </is>
      </c>
      <c r="P249" s="67" t="inlineStr">
        <is>
          <t>ZWG</t>
        </is>
      </c>
      <c r="Q249" s="67" t="n">
        <v>2024</v>
      </c>
      <c r="R249" s="65" t="n">
        <v>8.345391848661389</v>
      </c>
      <c r="S249" s="65" t="n">
        <v>19.88989156666667</v>
      </c>
      <c r="T249" s="68" t="n">
        <v>0.4196</v>
      </c>
      <c r="U249" s="66" t="inlineStr"/>
    </row>
    <row r="250">
      <c r="N250" s="4" t="inlineStr">
        <is>
          <t>Åland Islands</t>
        </is>
      </c>
      <c r="O250" s="67" t="inlineStr">
        <is>
          <t>ALA</t>
        </is>
      </c>
      <c r="P250" s="67" t="inlineStr">
        <is>
          <t>EUR</t>
        </is>
      </c>
      <c r="Q250" s="67" t="inlineStr"/>
      <c r="R250" s="65" t="inlineStr"/>
      <c r="S250" s="65" t="n">
        <v>0.926404983</v>
      </c>
      <c r="T250" s="69" t="inlineStr"/>
      <c r="U250" s="66" t="inlineStr">
        <is>
          <t>no World Bank PPP</t>
        </is>
      </c>
    </row>
  </sheetData>
  <mergeCells count="7">
    <mergeCell ref="A1:D1"/>
    <mergeCell ref="N4:U4"/>
    <mergeCell ref="A4:D4"/>
    <mergeCell ref="A26:D26"/>
    <mergeCell ref="I4:L4"/>
    <mergeCell ref="A15:D15"/>
    <mergeCell ref="A36:D36"/>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72"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6" customWidth="1" min="3" max="3"/>
    <col width="10" customWidth="1" min="4" max="4"/>
    <col width="14" customWidth="1" min="5" max="5"/>
    <col width="30" customWidth="1" min="6" max="6"/>
    <col width="26" customWidth="1" min="7" max="7"/>
    <col width="30" customWidth="1" min="8" max="8"/>
    <col width="3" customWidth="1" min="9" max="9"/>
    <col width="30" customWidth="1" min="10" max="10"/>
    <col width="24" customWidth="1" min="11" max="11"/>
    <col width="16" customWidth="1" min="12" max="12"/>
    <col width="16" customWidth="1" min="13" max="13"/>
    <col width="12" customWidth="1" min="14" max="14"/>
    <col width="18" customWidth="1" min="15" max="15"/>
    <col width="40" customWidth="1" min="16" max="16"/>
    <col width="22" customWidth="1" min="17" max="17"/>
  </cols>
  <sheetData>
    <row r="1" ht="22" customHeight="1">
      <c r="A1" s="1" t="inlineStr">
        <is>
          <t>Assumptions — every parameter of the model, one place (USD for money)</t>
        </is>
      </c>
    </row>
    <row r="2" ht="32" customHeight="1">
      <c r="A2" s="2" t="inlineStr">
        <is>
          <t>Yellow cells are editable. Every other tab reads these named cells. HappiU and Scenario Visualizer still run in HU / SV; this sheet only stores what GP sends them.</t>
        </is>
      </c>
    </row>
    <row r="3">
      <c r="A3" s="3" t="inlineStr">
        <is>
          <t>Parameter</t>
        </is>
      </c>
      <c r="B3" s="3" t="inlineStr">
        <is>
          <t>Value</t>
        </is>
      </c>
      <c r="C3" s="3" t="inlineStr">
        <is>
          <t>Unit</t>
        </is>
      </c>
      <c r="D3" s="3" t="inlineStr">
        <is>
          <t>Currency</t>
        </is>
      </c>
      <c r="E3" s="3" t="inlineStr">
        <is>
          <t>Status</t>
        </is>
      </c>
      <c r="F3" s="3" t="inlineStr">
        <is>
          <t>Code source</t>
        </is>
      </c>
      <c r="G3" s="3" t="inlineStr">
        <is>
          <t>Changed in</t>
        </is>
      </c>
      <c r="H3" s="3" t="inlineStr">
        <is>
          <t>Open proposal</t>
        </is>
      </c>
    </row>
    <row r="4">
      <c r="A4" s="5" t="inlineStr">
        <is>
          <t>Economic rates (src/session_rates.py DEFAULTS / ASSUME_DEFAULTS)</t>
        </is>
      </c>
      <c r="J4" s="5" t="inlineStr">
        <is>
          <t>Singapore occupation income bands (income_anchors.json)</t>
        </is>
      </c>
      <c r="O4" s="7" t="inlineStr">
        <is>
          <t>V0-21: this tab is the one parameter list (Parameter review merged). Money is USD; country plug-ins stay local. Decisions and history: Change log tab.</t>
        </is>
      </c>
    </row>
    <row r="5">
      <c r="A5" s="4" t="inlineStr">
        <is>
          <t>inflationRate</t>
        </is>
      </c>
      <c r="B5" s="73" t="n">
        <v>0.023</v>
      </c>
      <c r="C5" s="4" t="inlineStr">
        <is>
          <t>% p.a.</t>
        </is>
      </c>
      <c r="D5" s="4" t="inlineStr">
        <is>
          <t>—</t>
        </is>
      </c>
      <c r="E5" s="33" t="inlineStr">
        <is>
          <t>No currency</t>
        </is>
      </c>
      <c r="F5" s="74" t="inlineStr">
        <is>
          <t>session_rates.py</t>
        </is>
      </c>
      <c r="G5" s="74" t="inlineStr"/>
      <c r="H5" s="74" t="inlineStr"/>
      <c r="J5" s="3" t="inlineStr">
        <is>
          <t>occupation</t>
        </is>
      </c>
      <c r="K5" s="3" t="inlineStr">
        <is>
          <t>min</t>
        </is>
      </c>
      <c r="L5" s="3" t="inlineStr">
        <is>
          <t>max</t>
        </is>
      </c>
    </row>
    <row r="6">
      <c r="A6" s="4" t="inlineStr">
        <is>
          <t>interestRate</t>
        </is>
      </c>
      <c r="B6" s="73" t="n">
        <v>0.012</v>
      </c>
      <c r="C6" s="4" t="inlineStr">
        <is>
          <t>% p.a.</t>
        </is>
      </c>
      <c r="D6" s="4" t="inlineStr">
        <is>
          <t>—</t>
        </is>
      </c>
      <c r="E6" s="33" t="inlineStr">
        <is>
          <t>No currency</t>
        </is>
      </c>
      <c r="F6" s="74" t="inlineStr">
        <is>
          <t>session_rates.py</t>
        </is>
      </c>
      <c r="G6" s="74" t="inlineStr"/>
      <c r="H6" s="74" t="inlineStr"/>
      <c r="J6" s="4" t="inlineStr">
        <is>
          <t>Teacher</t>
        </is>
      </c>
      <c r="K6" s="75" t="n">
        <v>5600</v>
      </c>
      <c r="L6" s="75" t="n">
        <v>9800</v>
      </c>
      <c r="M6" s="74" t="inlineStr">
        <is>
          <t>Teacher / educator</t>
        </is>
      </c>
    </row>
    <row r="7">
      <c r="A7" s="4" t="inlineStr">
        <is>
          <t>loanRate</t>
        </is>
      </c>
      <c r="B7" s="73" t="n">
        <v>0.035</v>
      </c>
      <c r="C7" s="4" t="inlineStr">
        <is>
          <t>% p.a.</t>
        </is>
      </c>
      <c r="D7" s="4" t="inlineStr">
        <is>
          <t>—</t>
        </is>
      </c>
      <c r="E7" s="33" t="inlineStr">
        <is>
          <t>No currency</t>
        </is>
      </c>
      <c r="F7" s="74" t="inlineStr">
        <is>
          <t>session_rates.py</t>
        </is>
      </c>
      <c r="G7" s="74" t="inlineStr"/>
      <c r="H7" s="74" t="inlineStr"/>
      <c r="J7" s="4" t="inlineStr">
        <is>
          <t>Software Engineer</t>
        </is>
      </c>
      <c r="K7" s="75" t="n">
        <v>7500</v>
      </c>
      <c r="L7" s="75" t="n">
        <v>18000</v>
      </c>
      <c r="M7" s="74" t="inlineStr">
        <is>
          <t>Software engineer</t>
        </is>
      </c>
    </row>
    <row r="8">
      <c r="A8" s="4" t="inlineStr">
        <is>
          <t>incomeGrowthRate</t>
        </is>
      </c>
      <c r="B8" s="73" t="n">
        <v>0.028</v>
      </c>
      <c r="C8" s="4" t="inlineStr">
        <is>
          <t>% p.a.</t>
        </is>
      </c>
      <c r="D8" s="4" t="inlineStr">
        <is>
          <t>—</t>
        </is>
      </c>
      <c r="E8" s="33" t="inlineStr">
        <is>
          <t>No currency</t>
        </is>
      </c>
      <c r="F8" s="74" t="inlineStr">
        <is>
          <t>session_rates.py</t>
        </is>
      </c>
      <c r="G8" s="74" t="inlineStr"/>
      <c r="H8" s="74" t="inlineStr"/>
      <c r="J8" s="4" t="inlineStr">
        <is>
          <t>Investment Banker</t>
        </is>
      </c>
      <c r="K8" s="75" t="n">
        <v>11200</v>
      </c>
      <c r="L8" s="75" t="n">
        <v>28000</v>
      </c>
      <c r="M8" s="74" t="inlineStr">
        <is>
          <t>Investment banker / finance director</t>
        </is>
      </c>
    </row>
    <row r="9">
      <c r="A9" s="4" t="inlineStr">
        <is>
          <t>investmentReturn</t>
        </is>
      </c>
      <c r="B9" s="73" t="n">
        <v>0.042</v>
      </c>
      <c r="C9" s="4" t="inlineStr">
        <is>
          <t>% p.a.</t>
        </is>
      </c>
      <c r="D9" s="4" t="inlineStr">
        <is>
          <t>—</t>
        </is>
      </c>
      <c r="E9" s="33" t="inlineStr">
        <is>
          <t>No currency</t>
        </is>
      </c>
      <c r="F9" s="74" t="inlineStr">
        <is>
          <t>session_rates.py / riskCapacity.ts</t>
        </is>
      </c>
      <c r="G9" s="74" t="inlineStr"/>
      <c r="H9" s="74" t="inlineStr"/>
      <c r="J9" s="4" t="inlineStr">
        <is>
          <t>Marketing Manager</t>
        </is>
      </c>
      <c r="K9" s="75" t="n">
        <v>7000</v>
      </c>
      <c r="L9" s="75" t="n">
        <v>14000</v>
      </c>
      <c r="M9" s="74" t="inlineStr">
        <is>
          <t>Marketing manager</t>
        </is>
      </c>
    </row>
    <row r="10">
      <c r="A10" s="4" t="inlineStr">
        <is>
          <t>assetReturn</t>
        </is>
      </c>
      <c r="B10" s="73" t="n">
        <v>0.03</v>
      </c>
      <c r="C10" s="4" t="inlineStr">
        <is>
          <t>% p.a.</t>
        </is>
      </c>
      <c r="D10" s="4" t="inlineStr">
        <is>
          <t>—</t>
        </is>
      </c>
      <c r="E10" s="33" t="inlineStr">
        <is>
          <t>No currency</t>
        </is>
      </c>
      <c r="F10" s="74" t="inlineStr">
        <is>
          <t>session_rates.py</t>
        </is>
      </c>
      <c r="G10" s="74" t="inlineStr"/>
      <c r="H10" s="74" t="inlineStr"/>
      <c r="J10" s="4" t="inlineStr">
        <is>
          <t>Doctor</t>
        </is>
      </c>
      <c r="K10" s="75" t="n">
        <v>10400</v>
      </c>
      <c r="L10" s="75" t="n">
        <v>26000</v>
      </c>
      <c r="M10" s="74" t="inlineStr">
        <is>
          <t>Doctor / physician</t>
        </is>
      </c>
    </row>
    <row r="11">
      <c r="A11" s="4" t="inlineStr">
        <is>
          <t>realReturn (derived)</t>
        </is>
      </c>
      <c r="B11" s="76">
        <f>MAX(0,(1+investmentReturn)/(1+inflationRate)-1)</f>
        <v/>
      </c>
      <c r="C11" s="4" t="inlineStr">
        <is>
          <t>% p.a.</t>
        </is>
      </c>
      <c r="D11" s="4" t="inlineStr">
        <is>
          <t>—</t>
        </is>
      </c>
      <c r="E11" s="33" t="inlineStr">
        <is>
          <t>Derived</t>
        </is>
      </c>
      <c r="F11" s="74" t="inlineStr">
        <is>
          <t>goal_math.real_return</t>
        </is>
      </c>
      <c r="G11" s="74" t="inlineStr"/>
      <c r="H11" s="74" t="inlineStr"/>
      <c r="J11" s="4" t="inlineStr">
        <is>
          <t>Nurse</t>
        </is>
      </c>
      <c r="K11" s="75" t="n">
        <v>4200</v>
      </c>
      <c r="L11" s="75" t="n">
        <v>8400</v>
      </c>
      <c r="M11" s="74" t="inlineStr">
        <is>
          <t>Nurse</t>
        </is>
      </c>
    </row>
    <row r="12">
      <c r="J12" s="4" t="inlineStr">
        <is>
          <t>Accountant</t>
        </is>
      </c>
      <c r="K12" s="75" t="n">
        <v>5600</v>
      </c>
      <c r="L12" s="75" t="n">
        <v>11200</v>
      </c>
      <c r="M12" s="74" t="inlineStr">
        <is>
          <t>Accountant</t>
        </is>
      </c>
    </row>
    <row r="13">
      <c r="A13" s="5" t="inlineStr">
        <is>
          <t>Life-cycle</t>
        </is>
      </c>
      <c r="J13" s="4" t="inlineStr">
        <is>
          <t>CEO</t>
        </is>
      </c>
      <c r="K13" s="75" t="n">
        <v>16800</v>
      </c>
      <c r="L13" s="75" t="n">
        <v>42000</v>
      </c>
      <c r="M13" s="74" t="inlineStr">
        <is>
          <t>CEO / managing director of a typical firm</t>
        </is>
      </c>
    </row>
    <row r="14">
      <c r="A14" s="4" t="inlineStr">
        <is>
          <t>ageOfRetirement</t>
        </is>
      </c>
      <c r="B14" s="47" t="n">
        <v>65</v>
      </c>
      <c r="C14" s="4" t="inlineStr">
        <is>
          <t>age</t>
        </is>
      </c>
      <c r="D14" s="4" t="inlineStr">
        <is>
          <t>—</t>
        </is>
      </c>
      <c r="E14" s="33" t="inlineStr">
        <is>
          <t>No currency</t>
        </is>
      </c>
      <c r="F14" s="74" t="inlineStr">
        <is>
          <t>goal_math.py RETIREMENT_AGE</t>
        </is>
      </c>
      <c r="G14" s="74" t="inlineStr"/>
      <c r="H14" s="74" t="inlineStr"/>
    </row>
    <row r="15">
      <c r="A15" s="4" t="inlineStr">
        <is>
          <t>lifeExpectancyDefault</t>
        </is>
      </c>
      <c r="B15" s="47" t="n">
        <v>85</v>
      </c>
      <c r="C15" s="4" t="inlineStr">
        <is>
          <t>age</t>
        </is>
      </c>
      <c r="D15" s="4" t="inlineStr">
        <is>
          <t>—</t>
        </is>
      </c>
      <c r="E15" s="33" t="inlineStr">
        <is>
          <t>No currency</t>
        </is>
      </c>
      <c r="F15" s="74" t="inlineStr">
        <is>
          <t>goal_math.py LIFE_EXPECTANCY</t>
        </is>
      </c>
      <c r="G15" s="74" t="inlineStr">
        <is>
          <t>V0-21: the one default; GP sends it to HappiU and SV</t>
        </is>
      </c>
      <c r="H15" s="74" t="inlineStr"/>
    </row>
    <row r="16">
      <c r="A16" s="4" t="inlineStr">
        <is>
          <t>currentYear</t>
        </is>
      </c>
      <c r="B16" s="47" t="n">
        <v>2026</v>
      </c>
      <c r="C16" s="4" t="inlineStr">
        <is>
          <t>year</t>
        </is>
      </c>
      <c r="D16" s="4" t="inlineStr">
        <is>
          <t>—</t>
        </is>
      </c>
      <c r="E16" s="33" t="inlineStr">
        <is>
          <t>No currency</t>
        </is>
      </c>
      <c r="F16" s="74" t="inlineStr"/>
      <c r="G16" s="74" t="inlineStr"/>
      <c r="H16" s="74" t="inlineStr"/>
    </row>
    <row r="17">
      <c r="A17" s="4" t="inlineStr">
        <is>
          <t>endAge (chart horizon default)</t>
        </is>
      </c>
      <c r="B17" s="75">
        <f>lifeExpectancyDefault</f>
        <v/>
      </c>
      <c r="C17" s="4" t="inlineStr">
        <is>
          <t>age</t>
        </is>
      </c>
      <c r="D17" s="4" t="inlineStr">
        <is>
          <t>—</t>
        </is>
      </c>
      <c r="E17" s="33" t="inlineStr">
        <is>
          <t>Derived</t>
        </is>
      </c>
      <c r="F17" s="74" t="inlineStr">
        <is>
          <t>sv_payload.py endAge</t>
        </is>
      </c>
      <c r="G17" s="74" t="inlineStr">
        <is>
          <t>V0-21: = default; chart uses the session LE</t>
        </is>
      </c>
      <c r="H17" s="74" t="inlineStr"/>
    </row>
    <row r="18">
      <c r="A18" s="4" t="inlineStr">
        <is>
          <t>SAV_TARGET_AGE (N_SAV default target: next car / investment)</t>
        </is>
      </c>
      <c r="B18" s="47" t="n">
        <v>40</v>
      </c>
      <c r="C18" s="4" t="inlineStr">
        <is>
          <t>age</t>
        </is>
      </c>
      <c r="D18" s="4" t="inlineStr">
        <is>
          <t>—</t>
        </is>
      </c>
      <c r="E18" s="33" t="inlineStr">
        <is>
          <t>No currency</t>
        </is>
      </c>
      <c r="F18" s="74" t="inlineStr">
        <is>
          <t>needEdit.ts (was +10 years)</t>
        </is>
      </c>
      <c r="G18" s="74" t="inlineStr">
        <is>
          <t>V0-24</t>
        </is>
      </c>
      <c r="H18" s="74" t="inlineStr"/>
    </row>
    <row r="19">
      <c r="A19" s="4" t="inlineStr">
        <is>
          <t>PRP_TARGET_AGE (N_PRP default target: 3 years after marriage at 30)</t>
        </is>
      </c>
      <c r="B19" s="47" t="n">
        <v>33</v>
      </c>
      <c r="C19" s="4" t="inlineStr">
        <is>
          <t>age</t>
        </is>
      </c>
      <c r="D19" s="4" t="inlineStr">
        <is>
          <t>—</t>
        </is>
      </c>
      <c r="E19" s="33" t="inlineStr">
        <is>
          <t>No currency</t>
        </is>
      </c>
      <c r="F19" s="74" t="inlineStr">
        <is>
          <t>needEdit.ts (was +10 years)</t>
        </is>
      </c>
      <c r="G19" s="74" t="inlineStr">
        <is>
          <t>V0-24</t>
        </is>
      </c>
      <c r="H19" s="74" t="inlineStr"/>
      <c r="J19" s="5" t="inlineStr">
        <is>
          <t>Stress events (stressEvents.ts) — sizes in USD, personal risks by age. Scenario Visualizer applies them when switched on</t>
        </is>
      </c>
    </row>
    <row r="20">
      <c r="J20" s="3" t="inlineStr">
        <is>
          <t>code</t>
        </is>
      </c>
      <c r="K20" s="3" t="inlineStr">
        <is>
          <t>label</t>
        </is>
      </c>
      <c r="L20" s="3" t="inlineStr">
        <is>
          <t>size</t>
        </is>
      </c>
      <c r="M20" s="3" t="inlineStr">
        <is>
          <t>size unit</t>
        </is>
      </c>
      <c r="N20" s="3" t="inlineStr">
        <is>
          <t>timing</t>
        </is>
      </c>
      <c r="O20" s="3" t="inlineStr">
        <is>
          <t>timing unit</t>
        </is>
      </c>
      <c r="P20" s="3" t="inlineStr">
        <is>
          <t>what SV applies</t>
        </is>
      </c>
      <c r="Q20" s="3" t="inlineStr">
        <is>
          <t>code source</t>
        </is>
      </c>
    </row>
    <row r="21">
      <c r="A21" s="5" t="inlineStr">
        <is>
          <t>System currency (V0-15) — every calculator runs in USD; fixed amounts below are USD</t>
        </is>
      </c>
      <c r="J21" s="67" t="inlineStr">
        <is>
          <t>R_DEA</t>
        </is>
      </c>
      <c r="K21" s="67" t="inlineStr">
        <is>
          <t>Death</t>
        </is>
      </c>
      <c r="L21" s="47" t="n">
        <v>15632.55</v>
      </c>
      <c r="M21" s="67" t="inlineStr">
        <is>
          <t>one-off USD</t>
        </is>
      </c>
      <c r="N21" s="13" t="n">
        <v>60</v>
      </c>
      <c r="O21" s="67" t="inlineStr">
        <is>
          <t>age</t>
        </is>
      </c>
      <c r="P21" s="4" t="inlineStr">
        <is>
          <t>One-off cost; salary and CPF wage → 0 from that age</t>
        </is>
      </c>
      <c r="Q21" s="4" t="inlineStr">
        <is>
          <t>stressEvents.ts death</t>
        </is>
      </c>
    </row>
    <row r="22">
      <c r="A22" s="4" t="inlineStr">
        <is>
          <t>systemCurrency</t>
        </is>
      </c>
      <c r="B22" s="75" t="inlineStr">
        <is>
          <t>USD</t>
        </is>
      </c>
      <c r="C22" s="4" t="inlineStr">
        <is>
          <t>code</t>
        </is>
      </c>
      <c r="D22" s="4" t="inlineStr">
        <is>
          <t>—</t>
        </is>
      </c>
      <c r="E22" s="9" t="inlineStr">
        <is>
          <t>System</t>
        </is>
      </c>
      <c r="F22" s="74" t="inlineStr"/>
      <c r="G22" s="74" t="inlineStr">
        <is>
          <t>V0-15</t>
        </is>
      </c>
      <c r="H22" s="74" t="inlineStr"/>
      <c r="J22" s="67" t="inlineStr">
        <is>
          <t>R_CRI</t>
        </is>
      </c>
      <c r="K22" s="67" t="inlineStr">
        <is>
          <t>Critical illness</t>
        </is>
      </c>
      <c r="L22" s="75">
        <f>CRI_COST</f>
        <v/>
      </c>
      <c r="M22" s="67" t="inlineStr">
        <is>
          <t>one-off USD</t>
        </is>
      </c>
      <c r="N22" s="13" t="n">
        <v>55</v>
      </c>
      <c r="O22" s="67" t="inlineStr">
        <is>
          <t>age</t>
        </is>
      </c>
      <c r="P22" s="4" t="inlineStr">
        <is>
          <t>One-off medical cost (= CRI_COST)</t>
        </is>
      </c>
      <c r="Q22" s="4" t="inlineStr">
        <is>
          <t>stressEvents.ts ci</t>
        </is>
      </c>
    </row>
    <row r="23">
      <c r="A23" s="4" t="inlineStr">
        <is>
          <t>fxMode (A = market rate; B = market rate × price level)</t>
        </is>
      </c>
      <c r="B23" s="47" t="inlineStr">
        <is>
          <t>B</t>
        </is>
      </c>
      <c r="C23" s="4" t="inlineStr">
        <is>
          <t>A / B</t>
        </is>
      </c>
      <c r="D23" s="4" t="inlineStr">
        <is>
          <t>—</t>
        </is>
      </c>
      <c r="E23" s="9" t="inlineStr">
        <is>
          <t>System</t>
        </is>
      </c>
      <c r="F23" s="74" t="inlineStr"/>
      <c r="G23" s="74" t="inlineStr">
        <is>
          <t>V0-15; V0-22 B</t>
        </is>
      </c>
      <c r="H23" s="74" t="inlineStr"/>
      <c r="J23" s="67" t="inlineStr">
        <is>
          <t>R_TPD</t>
        </is>
      </c>
      <c r="K23" s="67" t="inlineStr">
        <is>
          <t>Total &amp; permanent disability</t>
        </is>
      </c>
      <c r="L23" s="75">
        <f>TPD_COST</f>
        <v/>
      </c>
      <c r="M23" s="67" t="inlineStr">
        <is>
          <t>one-off USD</t>
        </is>
      </c>
      <c r="N23" s="13" t="n">
        <v>50</v>
      </c>
      <c r="O23" s="67" t="inlineStr">
        <is>
          <t>age</t>
        </is>
      </c>
      <c r="P23" s="4" t="inlineStr">
        <is>
          <t>One-off cost (= TPD_COST)</t>
        </is>
      </c>
      <c r="Q23" s="4" t="inlineStr">
        <is>
          <t>stressEvents.ts tpd</t>
        </is>
      </c>
    </row>
    <row r="24">
      <c r="A24" s="4" t="inlineStr">
        <is>
          <t>priceLevelOn (option B)</t>
        </is>
      </c>
      <c r="B24" s="47" t="b">
        <v>1</v>
      </c>
      <c r="C24" s="4" t="inlineStr">
        <is>
          <t>TRUE / FALSE</t>
        </is>
      </c>
      <c r="D24" s="4" t="inlineStr">
        <is>
          <t>—</t>
        </is>
      </c>
      <c r="E24" s="9" t="inlineStr">
        <is>
          <t>System</t>
        </is>
      </c>
      <c r="F24" s="74" t="inlineStr"/>
      <c r="G24" s="74" t="inlineStr">
        <is>
          <t>V0-15; V0-22 switched on</t>
        </is>
      </c>
      <c r="H24" s="74" t="inlineStr"/>
      <c r="J24" s="67" t="inlineStr">
        <is>
          <t>R_PAC</t>
        </is>
      </c>
      <c r="K24" s="67" t="inlineStr">
        <is>
          <t>Personal accident</t>
        </is>
      </c>
      <c r="L24" s="75">
        <f>PAC_COST</f>
        <v/>
      </c>
      <c r="M24" s="67" t="inlineStr">
        <is>
          <t>one-off USD</t>
        </is>
      </c>
      <c r="N24" s="13" t="n">
        <v>45</v>
      </c>
      <c r="O24" s="67" t="inlineStr">
        <is>
          <t>age</t>
        </is>
      </c>
      <c r="P24" s="4" t="inlineStr">
        <is>
          <t>One-off cost (= PAC_COST)</t>
        </is>
      </c>
      <c r="Q24" s="4" t="inlineStr">
        <is>
          <t>stressEvents.ts pa</t>
        </is>
      </c>
    </row>
    <row r="25">
      <c r="A25" s="4" t="inlineStr">
        <is>
          <t>LTC_COST (USD / year, N_LTC nursing home)</t>
        </is>
      </c>
      <c r="B25" s="47" t="n">
        <v>129000</v>
      </c>
      <c r="C25" s="4" t="inlineStr">
        <is>
          <t>per year</t>
        </is>
      </c>
      <c r="D25" s="4" t="inlineStr">
        <is>
          <t>USD</t>
        </is>
      </c>
      <c r="E25" s="8" t="inlineStr">
        <is>
          <t>USD</t>
        </is>
      </c>
      <c r="F25" s="74" t="inlineStr">
        <is>
          <t>— (new)</t>
        </is>
      </c>
      <c r="G25" s="74" t="inlineStr">
        <is>
          <t>V0-19</t>
        </is>
      </c>
      <c r="H25" s="74" t="inlineStr"/>
      <c r="J25" s="67" t="inlineStr">
        <is>
          <t>R_HOS</t>
        </is>
      </c>
      <c r="K25" s="67" t="inlineStr">
        <is>
          <t>Hospitalisation</t>
        </is>
      </c>
      <c r="L25" s="47" t="n">
        <v>93795.28</v>
      </c>
      <c r="M25" s="67" t="inlineStr">
        <is>
          <t>one-off USD</t>
        </is>
      </c>
      <c r="N25" s="13" t="n">
        <v>50</v>
      </c>
      <c r="O25" s="67" t="inlineStr">
        <is>
          <t>age</t>
        </is>
      </c>
      <c r="P25" s="4" t="inlineStr">
        <is>
          <t>One-off hospital bill</t>
        </is>
      </c>
      <c r="Q25" s="4" t="inlineStr">
        <is>
          <t>stressEvents.ts hosp</t>
        </is>
      </c>
    </row>
    <row r="26">
      <c r="A26" s="4" t="inlineStr">
        <is>
          <t>LTC_START_AGE (N_LTC default; front-end input)</t>
        </is>
      </c>
      <c r="B26" s="47" t="n">
        <v>80</v>
      </c>
      <c r="C26" s="4" t="inlineStr">
        <is>
          <t>age</t>
        </is>
      </c>
      <c r="D26" s="4" t="inlineStr">
        <is>
          <t>—</t>
        </is>
      </c>
      <c r="E26" s="33" t="inlineStr">
        <is>
          <t>No currency</t>
        </is>
      </c>
      <c r="F26" s="74" t="inlineStr">
        <is>
          <t>— (new, front-end input)</t>
        </is>
      </c>
      <c r="G26" s="74" t="inlineStr">
        <is>
          <t>V0-19</t>
        </is>
      </c>
      <c r="H26" s="74" t="inlineStr"/>
      <c r="J26" s="67" t="inlineStr">
        <is>
          <t>R_LTC</t>
        </is>
      </c>
      <c r="K26" s="67" t="inlineStr">
        <is>
          <t>Long-term care</t>
        </is>
      </c>
      <c r="L26" s="75">
        <f>LTC_COST</f>
        <v/>
      </c>
      <c r="M26" s="67" t="inlineStr">
        <is>
          <t>USD per year</t>
        </is>
      </c>
      <c r="N26" s="67">
        <f>LTC_START_AGE</f>
        <v/>
      </c>
      <c r="O26" s="67" t="inlineStr">
        <is>
          <t>age → life expectancy</t>
        </is>
      </c>
      <c r="P26" s="4" t="inlineStr">
        <is>
          <t>Care cost every year from that age to the session life expectancy (= N_LTC)</t>
        </is>
      </c>
      <c r="Q26" s="4" t="inlineStr">
        <is>
          <t>stressEvents.ts care</t>
        </is>
      </c>
    </row>
    <row r="27">
      <c r="A27" s="5" t="inlineStr">
        <is>
          <t>Need parameters (src/pipeline/goal_math.py) — money in USD</t>
        </is>
      </c>
      <c r="J27" s="67" t="inlineStr">
        <is>
          <t>R_WED</t>
        </is>
      </c>
      <c r="K27" s="67" t="inlineStr">
        <is>
          <t>Wedding / marriage</t>
        </is>
      </c>
      <c r="L27" s="47" t="n">
        <v>46897.64</v>
      </c>
      <c r="M27" s="67" t="inlineStr">
        <is>
          <t>one-off USD</t>
        </is>
      </c>
      <c r="N27" s="13" t="n">
        <v>5</v>
      </c>
      <c r="O27" s="67" t="inlineStr">
        <is>
          <t>years from today</t>
        </is>
      </c>
      <c r="P27" s="4" t="inlineStr">
        <is>
          <t>One-off cost</t>
        </is>
      </c>
      <c r="Q27" s="4" t="inlineStr">
        <is>
          <t>stressEvents.ts wed</t>
        </is>
      </c>
    </row>
    <row r="28">
      <c r="A28" s="4" t="inlineStr">
        <is>
          <t>RET_LIFESTYLE_FRUGAL</t>
        </is>
      </c>
      <c r="B28" s="73" t="n">
        <v>0.75</v>
      </c>
      <c r="C28" s="4" t="inlineStr">
        <is>
          <t>× today's spend</t>
        </is>
      </c>
      <c r="D28" s="4" t="inlineStr">
        <is>
          <t>—</t>
        </is>
      </c>
      <c r="E28" s="33" t="inlineStr">
        <is>
          <t>No currency</t>
        </is>
      </c>
      <c r="F28" s="74" t="inlineStr">
        <is>
          <t>goal_math.py LIFESTYLE_RATES</t>
        </is>
      </c>
      <c r="G28" s="74" t="inlineStr">
        <is>
          <t>V0-16 renamed</t>
        </is>
      </c>
      <c r="H28" s="74" t="inlineStr"/>
      <c r="J28" s="67" t="inlineStr">
        <is>
          <t>R_BAB</t>
        </is>
      </c>
      <c r="K28" s="67" t="inlineStr">
        <is>
          <t>Newborn</t>
        </is>
      </c>
      <c r="L28" s="47" t="n">
        <v>27356.96</v>
      </c>
      <c r="M28" s="67" t="inlineStr">
        <is>
          <t>one-off USD</t>
        </is>
      </c>
      <c r="N28" s="13" t="n">
        <v>3</v>
      </c>
      <c r="O28" s="67" t="inlineStr">
        <is>
          <t>years from today</t>
        </is>
      </c>
      <c r="P28" s="4" t="inlineStr">
        <is>
          <t>One-off cost</t>
        </is>
      </c>
      <c r="Q28" s="4" t="inlineStr">
        <is>
          <t>stressEvents.ts baby</t>
        </is>
      </c>
    </row>
    <row r="29">
      <c r="A29" s="4" t="inlineStr">
        <is>
          <t>RET_LIFESTYLE_STRESSFREE</t>
        </is>
      </c>
      <c r="B29" s="73" t="n">
        <v>1</v>
      </c>
      <c r="C29" s="4" t="inlineStr">
        <is>
          <t>× today's spend</t>
        </is>
      </c>
      <c r="D29" s="4" t="inlineStr">
        <is>
          <t>—</t>
        </is>
      </c>
      <c r="E29" s="33" t="inlineStr">
        <is>
          <t>No currency</t>
        </is>
      </c>
      <c r="F29" s="74" t="inlineStr">
        <is>
          <t>goal_math.py LIFESTYLE_RATES</t>
        </is>
      </c>
      <c r="G29" s="74" t="inlineStr">
        <is>
          <t>V0-16 renamed</t>
        </is>
      </c>
      <c r="H29" s="74" t="inlineStr"/>
      <c r="J29" s="67" t="inlineStr">
        <is>
          <t>R_LON</t>
        </is>
      </c>
      <c r="K29" s="67" t="inlineStr">
        <is>
          <t>Longevity</t>
        </is>
      </c>
      <c r="L29" s="75" t="inlineStr">
        <is>
          <t>—</t>
        </is>
      </c>
      <c r="M29" s="67" t="inlineStr"/>
      <c r="N29" s="67">
        <f>LON_AGE</f>
        <v/>
      </c>
      <c r="O29" s="67" t="inlineStr">
        <is>
          <t>age</t>
        </is>
      </c>
      <c r="P29" s="4" t="inlineStr">
        <is>
          <t>Chart horizon to LON_AGE; N_RET and N_LTC re-sized (display only)</t>
        </is>
      </c>
      <c r="Q29" s="4" t="inlineStr">
        <is>
          <t>— (new)</t>
        </is>
      </c>
    </row>
    <row r="30">
      <c r="A30" s="4" t="inlineStr">
        <is>
          <t>RET_LIFESTYLE_ONLYTHEBEST</t>
        </is>
      </c>
      <c r="B30" s="73" t="n">
        <v>1.25</v>
      </c>
      <c r="C30" s="4" t="inlineStr">
        <is>
          <t>× today's spend</t>
        </is>
      </c>
      <c r="D30" s="4" t="inlineStr">
        <is>
          <t>—</t>
        </is>
      </c>
      <c r="E30" s="33" t="inlineStr">
        <is>
          <t>No currency</t>
        </is>
      </c>
      <c r="F30" s="74" t="inlineStr">
        <is>
          <t>goal_math.py LIFESTYLE_RATES</t>
        </is>
      </c>
      <c r="G30" s="74" t="inlineStr">
        <is>
          <t>V0-16 renamed</t>
        </is>
      </c>
      <c r="H30" s="74" t="inlineStr"/>
      <c r="J30" s="67" t="inlineStr">
        <is>
          <t>R_MKT</t>
        </is>
      </c>
      <c r="K30" s="67" t="inlineStr">
        <is>
          <t>Market crash</t>
        </is>
      </c>
      <c r="L30" s="77" t="n">
        <v>0.35</v>
      </c>
      <c r="M30" s="67" t="inlineStr">
        <is>
          <t>% of assets</t>
        </is>
      </c>
      <c r="N30" s="67" t="n">
        <v>8</v>
      </c>
      <c r="O30" s="67" t="inlineStr">
        <is>
          <t>years from today</t>
        </is>
      </c>
      <c r="P30" s="4" t="inlineStr">
        <is>
          <t>Haircut on invested assets</t>
        </is>
      </c>
      <c r="Q30" s="4" t="inlineStr">
        <is>
          <t>stressEvents.ts crash</t>
        </is>
      </c>
    </row>
    <row r="31">
      <c r="A31" s="4" t="inlineStr">
        <is>
          <t>INC_SUPPORT_MIN</t>
        </is>
      </c>
      <c r="B31" s="47" t="n">
        <v>10</v>
      </c>
      <c r="C31" s="4" t="inlineStr">
        <is>
          <t>years</t>
        </is>
      </c>
      <c r="D31" s="4" t="inlineStr">
        <is>
          <t>—</t>
        </is>
      </c>
      <c r="E31" s="33" t="inlineStr">
        <is>
          <t>No currency</t>
        </is>
      </c>
      <c r="F31" s="74" t="inlineStr">
        <is>
          <t>goal_math.py LIFE_SUPPORT_MIN_YEARS</t>
        </is>
      </c>
      <c r="G31" s="74" t="inlineStr">
        <is>
          <t>V0-16 renamed</t>
        </is>
      </c>
      <c r="H31" s="74" t="inlineStr"/>
      <c r="J31" s="67" t="inlineStr">
        <is>
          <t>R_CCY</t>
        </is>
      </c>
      <c r="K31" s="67" t="inlineStr">
        <is>
          <t>Currency shock</t>
        </is>
      </c>
      <c r="L31" s="77" t="n">
        <v>0.14</v>
      </c>
      <c r="M31" s="67" t="inlineStr">
        <is>
          <t>% (× 2/3 on liquid)</t>
        </is>
      </c>
      <c r="N31" s="67" t="n">
        <v>6</v>
      </c>
      <c r="O31" s="67" t="inlineStr">
        <is>
          <t>years from today</t>
        </is>
      </c>
      <c r="P31" s="4" t="inlineStr">
        <is>
          <t>Haircut on liquid assets</t>
        </is>
      </c>
      <c r="Q31" s="4" t="inlineStr">
        <is>
          <t>stressEvents.ts ccy</t>
        </is>
      </c>
    </row>
    <row r="32">
      <c r="A32" s="4" t="inlineStr">
        <is>
          <t>INC_SUPPORT_MAX</t>
        </is>
      </c>
      <c r="B32" s="47" t="n">
        <v>25</v>
      </c>
      <c r="C32" s="4" t="inlineStr">
        <is>
          <t>years</t>
        </is>
      </c>
      <c r="D32" s="4" t="inlineStr">
        <is>
          <t>—</t>
        </is>
      </c>
      <c r="E32" s="33" t="inlineStr">
        <is>
          <t>No currency</t>
        </is>
      </c>
      <c r="F32" s="74" t="inlineStr">
        <is>
          <t>goal_math.py LIFE_SUPPORT_MAX_YEARS</t>
        </is>
      </c>
      <c r="G32" s="74" t="inlineStr">
        <is>
          <t>V0-16 renamed</t>
        </is>
      </c>
      <c r="H32" s="74" t="inlineStr"/>
      <c r="J32" s="67" t="inlineStr">
        <is>
          <t>R_INF</t>
        </is>
      </c>
      <c r="K32" s="67" t="inlineStr">
        <is>
          <t>Inflation shock</t>
        </is>
      </c>
      <c r="L32" s="77" t="n">
        <v>0.03</v>
      </c>
      <c r="M32" s="67" t="inlineStr">
        <is>
          <t>+ pp</t>
        </is>
      </c>
      <c r="N32" s="67" t="inlineStr">
        <is>
          <t>4–9</t>
        </is>
      </c>
      <c r="O32" s="67" t="inlineStr">
        <is>
          <t>years from today</t>
        </is>
      </c>
      <c r="P32" s="4" t="inlineStr">
        <is>
          <t>inflationRate + extra</t>
        </is>
      </c>
      <c r="Q32" s="4" t="inlineStr">
        <is>
          <t>stressEvents.ts infl</t>
        </is>
      </c>
    </row>
    <row r="33">
      <c r="A33" s="4" t="inlineStr">
        <is>
          <t>INC_SUPPORT_PIVOT_AGE</t>
        </is>
      </c>
      <c r="B33" s="47" t="n">
        <v>50</v>
      </c>
      <c r="C33" s="4" t="inlineStr">
        <is>
          <t>age</t>
        </is>
      </c>
      <c r="D33" s="4" t="inlineStr">
        <is>
          <t>—</t>
        </is>
      </c>
      <c r="E33" s="33" t="inlineStr">
        <is>
          <t>No currency</t>
        </is>
      </c>
      <c r="F33" s="74" t="inlineStr">
        <is>
          <t>goal_math.py LIFE_SUPPORT_PIVOT_AGE</t>
        </is>
      </c>
      <c r="G33" s="74" t="inlineStr">
        <is>
          <t>V0-16 renamed</t>
        </is>
      </c>
      <c r="H33" s="74" t="inlineStr"/>
      <c r="J33" s="67" t="inlineStr">
        <is>
          <t>R_ICT</t>
        </is>
      </c>
      <c r="K33" s="67" t="inlineStr">
        <is>
          <t>Income cut</t>
        </is>
      </c>
      <c r="L33" s="77" t="n">
        <v>-0.2</v>
      </c>
      <c r="M33" s="67" t="inlineStr">
        <is>
          <t>% of salary</t>
        </is>
      </c>
      <c r="N33" s="67" t="inlineStr">
        <is>
          <t>5–10</t>
        </is>
      </c>
      <c r="O33" s="67" t="inlineStr">
        <is>
          <t>years from today</t>
        </is>
      </c>
      <c r="P33" s="4" t="inlineStr">
        <is>
          <t>Salary reduced for that span</t>
        </is>
      </c>
      <c r="Q33" s="4" t="inlineStr">
        <is>
          <t>stressEvents.ts inc</t>
        </is>
      </c>
    </row>
    <row r="34">
      <c r="A34" s="4" t="inlineStr">
        <is>
          <t>CRI_YEARS</t>
        </is>
      </c>
      <c r="B34" s="47" t="n">
        <v>3</v>
      </c>
      <c r="C34" s="4" t="inlineStr">
        <is>
          <t>years</t>
        </is>
      </c>
      <c r="D34" s="4" t="inlineStr">
        <is>
          <t>—</t>
        </is>
      </c>
      <c r="E34" s="33" t="inlineStr">
        <is>
          <t>No currency</t>
        </is>
      </c>
      <c r="F34" s="74" t="inlineStr">
        <is>
          <t>goal_math.py CI_YEARS</t>
        </is>
      </c>
      <c r="G34" s="74" t="inlineStr">
        <is>
          <t>V0-16 renamed</t>
        </is>
      </c>
      <c r="H34" s="74" t="inlineStr"/>
      <c r="J34" s="67" t="inlineStr">
        <is>
          <t>R_EXP</t>
        </is>
      </c>
      <c r="K34" s="67" t="inlineStr">
        <is>
          <t>Expense shock</t>
        </is>
      </c>
      <c r="L34" s="77" t="n">
        <v>0.15</v>
      </c>
      <c r="M34" s="67" t="inlineStr">
        <is>
          <t>% of spend</t>
        </is>
      </c>
      <c r="N34" s="67" t="inlineStr">
        <is>
          <t>6–12</t>
        </is>
      </c>
      <c r="O34" s="67" t="inlineStr">
        <is>
          <t>years from today</t>
        </is>
      </c>
      <c r="P34" s="4" t="inlineStr">
        <is>
          <t>Living spend raised for that span</t>
        </is>
      </c>
      <c r="Q34" s="4" t="inlineStr">
        <is>
          <t>stressEvents.ts exp</t>
        </is>
      </c>
    </row>
    <row r="35">
      <c r="A35" s="4" t="inlineStr">
        <is>
          <t>CRI_COST (USD)</t>
        </is>
      </c>
      <c r="B35" s="37" t="n">
        <v>156325.47</v>
      </c>
      <c r="C35" s="4" t="inlineStr">
        <is>
          <t>one-off</t>
        </is>
      </c>
      <c r="D35" s="4" t="inlineStr">
        <is>
          <t>USD</t>
        </is>
      </c>
      <c r="E35" s="8" t="inlineStr">
        <is>
          <t>USD</t>
        </is>
      </c>
      <c r="F35" s="74" t="inlineStr">
        <is>
          <t>goal_math.py CI_COST (SGD)</t>
        </is>
      </c>
      <c r="G35" s="74" t="inlineStr">
        <is>
          <t>V0-15 USD; V0-21 also sent to HappiU</t>
        </is>
      </c>
      <c r="H35" s="74" t="inlineStr"/>
    </row>
    <row r="36">
      <c r="A36" s="4" t="inlineStr">
        <is>
          <t>TPD_YEARS</t>
        </is>
      </c>
      <c r="B36" s="47" t="n">
        <v>5</v>
      </c>
      <c r="C36" s="4" t="inlineStr">
        <is>
          <t>years</t>
        </is>
      </c>
      <c r="D36" s="4" t="inlineStr">
        <is>
          <t>—</t>
        </is>
      </c>
      <c r="E36" s="33" t="inlineStr">
        <is>
          <t>No currency</t>
        </is>
      </c>
      <c r="F36" s="74" t="inlineStr">
        <is>
          <t>goal_math.py TPD_YEARS</t>
        </is>
      </c>
      <c r="G36" s="74" t="inlineStr"/>
      <c r="H36" s="74" t="inlineStr"/>
    </row>
    <row r="37">
      <c r="A37" s="4" t="inlineStr">
        <is>
          <t>TPD_COST (USD)</t>
        </is>
      </c>
      <c r="B37" s="37" t="n">
        <v>156325.47</v>
      </c>
      <c r="C37" s="4" t="inlineStr">
        <is>
          <t>one-off</t>
        </is>
      </c>
      <c r="D37" s="4" t="inlineStr">
        <is>
          <t>USD</t>
        </is>
      </c>
      <c r="E37" s="8" t="inlineStr">
        <is>
          <t>USD</t>
        </is>
      </c>
      <c r="F37" s="74" t="inlineStr">
        <is>
          <t>goal_math.py TPD_COST (SGD)</t>
        </is>
      </c>
      <c r="G37" s="74" t="inlineStr">
        <is>
          <t>V0-15 USD; V0-21 also sent to HappiU</t>
        </is>
      </c>
      <c r="H37" s="74" t="inlineStr"/>
      <c r="J37" s="5" t="inlineStr">
        <is>
          <t>Parameters held on other tabs (by design)</t>
        </is>
      </c>
    </row>
    <row r="38">
      <c r="A38" s="4" t="inlineStr">
        <is>
          <t>HOS_MONTHS</t>
        </is>
      </c>
      <c r="B38" s="47" t="n">
        <v>6</v>
      </c>
      <c r="C38" s="4" t="inlineStr">
        <is>
          <t>months of income</t>
        </is>
      </c>
      <c r="D38" s="4" t="inlineStr">
        <is>
          <t>—</t>
        </is>
      </c>
      <c r="E38" s="33" t="inlineStr">
        <is>
          <t>No currency</t>
        </is>
      </c>
      <c r="F38" s="74" t="inlineStr">
        <is>
          <t>goal_math.py HOSP_MONTHS</t>
        </is>
      </c>
      <c r="G38" s="74" t="inlineStr">
        <is>
          <t>V0-16 renamed</t>
        </is>
      </c>
      <c r="H38" s="74" t="inlineStr"/>
      <c r="J38" s="3" t="inlineStr">
        <is>
          <t>parameter</t>
        </is>
      </c>
      <c r="K38" s="3" t="inlineStr">
        <is>
          <t>where</t>
        </is>
      </c>
      <c r="L38" s="3" t="inlineStr">
        <is>
          <t>currency</t>
        </is>
      </c>
      <c r="M38" s="3" t="inlineStr">
        <is>
          <t>why there</t>
        </is>
      </c>
    </row>
    <row r="39">
      <c r="A39" s="4" t="inlineStr">
        <is>
          <t>EDU_COST (USD)</t>
        </is>
      </c>
      <c r="B39" s="37" t="n">
        <v>58622.05</v>
      </c>
      <c r="C39" s="4" t="inlineStr">
        <is>
          <t>one-off</t>
        </is>
      </c>
      <c r="D39" s="4" t="inlineStr">
        <is>
          <t>USD</t>
        </is>
      </c>
      <c r="E39" s="8" t="inlineStr">
        <is>
          <t>USD</t>
        </is>
      </c>
      <c r="F39" s="74" t="inlineStr">
        <is>
          <t>goal_math.py EDU_TOTAL_COST (SGD)</t>
        </is>
      </c>
      <c r="G39" s="74" t="inlineStr">
        <is>
          <t>V0-15 USD; V0-16 renamed</t>
        </is>
      </c>
      <c r="H39" s="74" t="inlineStr"/>
      <c r="J39" s="4" t="inlineStr">
        <is>
          <t>CPF rates, OW_CEILING</t>
        </is>
      </c>
      <c r="K39" s="4" t="inlineStr">
        <is>
          <t>CPF tab</t>
        </is>
      </c>
      <c r="L39" s="4" t="inlineStr">
        <is>
          <t>SGD</t>
        </is>
      </c>
      <c r="M39" s="4" t="inlineStr">
        <is>
          <t>Country plug-in (SG-CPF): local by design</t>
        </is>
      </c>
    </row>
    <row r="40">
      <c r="A40" s="4" t="inlineStr">
        <is>
          <t>EDU_TARGET_AGE (N_EDU default target: children leave home at 20, born at 30)</t>
        </is>
      </c>
      <c r="B40" s="47" t="n">
        <v>50</v>
      </c>
      <c r="C40" s="4" t="inlineStr">
        <is>
          <t>age</t>
        </is>
      </c>
      <c r="D40" s="4" t="inlineStr">
        <is>
          <t>—</t>
        </is>
      </c>
      <c r="E40" s="33" t="inlineStr">
        <is>
          <t>No currency</t>
        </is>
      </c>
      <c r="F40" s="74" t="inlineStr">
        <is>
          <t>needEdit.ts (was +10 years)</t>
        </is>
      </c>
      <c r="G40" s="74" t="inlineStr">
        <is>
          <t>V0-24</t>
        </is>
      </c>
      <c r="H40" s="74" t="inlineStr"/>
      <c r="J40" s="4" t="inlineStr">
        <is>
          <t>Income anchors (occupation bands)</t>
        </is>
      </c>
      <c r="K40" s="4" t="inlineStr">
        <is>
          <t>Assumptions J6:L13</t>
        </is>
      </c>
      <c r="L40" s="4" t="inlineStr">
        <is>
          <t>SGD</t>
        </is>
      </c>
      <c r="M40" s="4" t="inlineStr">
        <is>
          <t>Country plug-in: local by design</t>
        </is>
      </c>
    </row>
    <row r="41">
      <c r="A41" s="4" t="inlineStr">
        <is>
          <t>SAV_INCOME_MULT</t>
        </is>
      </c>
      <c r="B41" s="47" t="n">
        <v>1</v>
      </c>
      <c r="C41" s="4" t="inlineStr">
        <is>
          <t>× annual income</t>
        </is>
      </c>
      <c r="D41" s="4" t="inlineStr">
        <is>
          <t>—</t>
        </is>
      </c>
      <c r="E41" s="33" t="inlineStr">
        <is>
          <t>No currency</t>
        </is>
      </c>
      <c r="F41" s="74" t="inlineStr">
        <is>
          <t>need_calculator.py</t>
        </is>
      </c>
      <c r="G41" s="74" t="inlineStr">
        <is>
          <t>V0-16 renamed</t>
        </is>
      </c>
      <c r="H41" s="74" t="inlineStr"/>
      <c r="J41" s="4" t="inlineStr">
        <is>
          <t>FX rates (152 currencies), PPP price levels (245 countries)</t>
        </is>
      </c>
      <c r="K41" s="4" t="inlineStr">
        <is>
          <t>FX tab; fx_ppp/*.csv</t>
        </is>
      </c>
      <c r="L41" s="4" t="inlineStr">
        <is>
          <t>USD per 1</t>
        </is>
      </c>
      <c r="M41" s="4" t="inlineStr">
        <is>
          <t>Data snapshot; live feed locked per session in the app</t>
        </is>
      </c>
    </row>
    <row r="42">
      <c r="A42" s="4" t="inlineStr">
        <is>
          <t>PRP_INCOME_MULT</t>
        </is>
      </c>
      <c r="B42" s="47" t="n">
        <v>5</v>
      </c>
      <c r="C42" s="4" t="inlineStr">
        <is>
          <t>× annual income</t>
        </is>
      </c>
      <c r="D42" s="4" t="inlineStr">
        <is>
          <t>—</t>
        </is>
      </c>
      <c r="E42" s="33" t="inlineStr">
        <is>
          <t>No currency</t>
        </is>
      </c>
      <c r="F42" s="74" t="inlineStr">
        <is>
          <t>need_calculator.py</t>
        </is>
      </c>
      <c r="G42" s="74" t="inlineStr">
        <is>
          <t>V0-16 renamed</t>
        </is>
      </c>
      <c r="H42" s="74" t="inlineStr"/>
      <c r="J42" s="4" t="inlineStr">
        <is>
          <t>SV CPF caps, BRS, CPF LIFE tables</t>
        </is>
      </c>
      <c r="K42" s="4" t="inlineStr">
        <is>
          <t>Scenario Visualizer</t>
        </is>
      </c>
      <c r="L42" s="4" t="inlineStr">
        <is>
          <t>SGD</t>
        </is>
      </c>
      <c r="M42" s="4" t="inlineStr">
        <is>
          <t>SG-CPF module inside SV: local by design</t>
        </is>
      </c>
    </row>
    <row r="43">
      <c r="A43" s="4" t="inlineStr">
        <is>
          <t>PAC_YEARS</t>
        </is>
      </c>
      <c r="B43" s="47" t="n">
        <v>1</v>
      </c>
      <c r="C43" s="4" t="inlineStr">
        <is>
          <t>years</t>
        </is>
      </c>
      <c r="D43" s="4" t="inlineStr">
        <is>
          <t>—</t>
        </is>
      </c>
      <c r="E43" s="33" t="inlineStr">
        <is>
          <t>No currency</t>
        </is>
      </c>
      <c r="F43" s="74" t="inlineStr">
        <is>
          <t>— (new)</t>
        </is>
      </c>
      <c r="G43" s="74" t="inlineStr">
        <is>
          <t>V0-16, agreed V0-18</t>
        </is>
      </c>
      <c r="H43" s="74" t="inlineStr"/>
      <c r="J43" s="4" t="inlineStr">
        <is>
          <t>SV savingsRate, property premium, currency share</t>
        </is>
      </c>
      <c r="K43" s="4" t="inlineStr">
        <is>
          <t>Scenario Visualizer</t>
        </is>
      </c>
      <c r="L43" s="4" t="inlineStr">
        <is>
          <t>—</t>
        </is>
      </c>
      <c r="M43" s="4" t="inlineStr">
        <is>
          <t>SV engine constants</t>
        </is>
      </c>
    </row>
    <row r="44">
      <c r="A44" s="4" t="inlineStr">
        <is>
          <t>PAC_COST (USD = S$80,000 at the calibration rate)</t>
        </is>
      </c>
      <c r="B44" s="37" t="n">
        <v>62530.19</v>
      </c>
      <c r="C44" s="4" t="inlineStr">
        <is>
          <t>one-off</t>
        </is>
      </c>
      <c r="D44" s="4" t="inlineStr">
        <is>
          <t>USD</t>
        </is>
      </c>
      <c r="E44" s="8" t="inlineStr">
        <is>
          <t>USD</t>
        </is>
      </c>
      <c r="F44" s="74" t="inlineStr">
        <is>
          <t>— (new)</t>
        </is>
      </c>
      <c r="G44" s="74" t="inlineStr">
        <is>
          <t>V0-16, agreed V0-18</t>
        </is>
      </c>
      <c r="H44" s="74" t="inlineStr"/>
      <c r="J44" s="4" t="inlineStr">
        <is>
          <t>HappiU engine constants (whl, beta, cuts, cover age 75, dependent years 10)</t>
        </is>
      </c>
      <c r="K44" s="4" t="inlineStr">
        <is>
          <t>HappiU</t>
        </is>
      </c>
      <c r="L44" s="4" t="inlineStr">
        <is>
          <t>—</t>
        </is>
      </c>
      <c r="M44" s="4" t="inlineStr">
        <is>
          <t>HU engine constants</t>
        </is>
      </c>
    </row>
    <row r="45">
      <c r="A45" s="4" t="inlineStr">
        <is>
          <t>LON_AGE (life expectancy cap and R_LON)</t>
        </is>
      </c>
      <c r="B45" s="47" t="n">
        <v>99</v>
      </c>
      <c r="C45" s="4" t="inlineStr">
        <is>
          <t>age</t>
        </is>
      </c>
      <c r="D45" s="4" t="inlineStr">
        <is>
          <t>—</t>
        </is>
      </c>
      <c r="E45" s="33" t="inlineStr">
        <is>
          <t>No currency</t>
        </is>
      </c>
      <c r="F45" s="74" t="inlineStr">
        <is>
          <t>goal_math.py LIFE_EXPECTANCY_MAX</t>
        </is>
      </c>
      <c r="G45" s="74" t="inlineStr">
        <is>
          <t>V0-21: also the LE cap and the SV path end</t>
        </is>
      </c>
      <c r="H45" s="74" t="inlineStr"/>
      <c r="J45" s="4" t="inlineStr">
        <is>
          <t>Validation min / max</t>
        </is>
      </c>
      <c r="K45" s="4" t="inlineStr">
        <is>
          <t>Validation</t>
        </is>
      </c>
      <c r="L45" s="4" t="inlineStr">
        <is>
          <t>USD</t>
        </is>
      </c>
      <c r="M45" s="4" t="inlineStr">
        <is>
          <t>USD sanity bands</t>
        </is>
      </c>
    </row>
    <row r="46">
      <c r="A46" s="5" t="inlineStr">
        <is>
          <t>Household seeding (src/predict.py spend / assets; CPF is on the CPF tab)</t>
        </is>
      </c>
      <c r="J46" s="4" t="inlineStr">
        <is>
          <t>Need Profiler factor weights</t>
        </is>
      </c>
      <c r="K46" s="4" t="inlineStr">
        <is>
          <t>Assumptions A88</t>
        </is>
      </c>
      <c r="L46" s="4" t="inlineStr">
        <is>
          <t>—</t>
        </is>
      </c>
      <c r="M46" s="4" t="inlineStr">
        <is>
          <t>Need_profiler.json</t>
        </is>
      </c>
    </row>
    <row r="47">
      <c r="A47" s="4" t="inlineStr">
        <is>
          <t>spendShareBase</t>
        </is>
      </c>
      <c r="B47" s="73" t="n">
        <v>0.675</v>
      </c>
      <c r="C47" s="4" t="inlineStr">
        <is>
          <t>% of take-home</t>
        </is>
      </c>
      <c r="D47" s="4" t="inlineStr">
        <is>
          <t>—</t>
        </is>
      </c>
      <c r="E47" s="33" t="inlineStr">
        <is>
          <t>No currency</t>
        </is>
      </c>
      <c r="F47" s="74" t="inlineStr">
        <is>
          <t>src/cpf.py spend_share</t>
        </is>
      </c>
      <c r="G47" s="74" t="inlineStr"/>
      <c r="H47" s="74" t="inlineStr"/>
    </row>
    <row r="48">
      <c r="A48" s="4" t="inlineStr">
        <is>
          <t>spendSharePerDependant</t>
        </is>
      </c>
      <c r="B48" s="73" t="n">
        <v>0.05</v>
      </c>
      <c r="C48" s="4" t="inlineStr">
        <is>
          <t>pp per dependant</t>
        </is>
      </c>
      <c r="D48" s="4" t="inlineStr">
        <is>
          <t>—</t>
        </is>
      </c>
      <c r="E48" s="33" t="inlineStr">
        <is>
          <t>No currency</t>
        </is>
      </c>
      <c r="F48" s="74" t="inlineStr">
        <is>
          <t>src/cpf.py spend_share</t>
        </is>
      </c>
      <c r="G48" s="74" t="inlineStr"/>
      <c r="H48" s="74" t="inlineStr"/>
    </row>
    <row r="49">
      <c r="A49" s="4" t="inlineStr">
        <is>
          <t>spendShareCap</t>
        </is>
      </c>
      <c r="B49" s="73" t="n">
        <v>0.9</v>
      </c>
      <c r="C49" s="4" t="inlineStr">
        <is>
          <t>% of take-home</t>
        </is>
      </c>
      <c r="D49" s="4" t="inlineStr">
        <is>
          <t>—</t>
        </is>
      </c>
      <c r="E49" s="33" t="inlineStr">
        <is>
          <t>No currency</t>
        </is>
      </c>
      <c r="F49" s="74" t="inlineStr">
        <is>
          <t>src/cpf.py spend_share</t>
        </is>
      </c>
      <c r="G49" s="74" t="inlineStr"/>
      <c r="H49" s="74" t="inlineStr"/>
    </row>
    <row r="50">
      <c r="A50" s="4" t="inlineStr">
        <is>
          <t>assetsSaveShare</t>
        </is>
      </c>
      <c r="B50" s="73" t="n">
        <v>0.5</v>
      </c>
      <c r="C50" s="4" t="inlineStr">
        <is>
          <t>% of surplus</t>
        </is>
      </c>
      <c r="D50" s="4" t="inlineStr">
        <is>
          <t>—</t>
        </is>
      </c>
      <c r="E50" s="33" t="inlineStr">
        <is>
          <t>No currency</t>
        </is>
      </c>
      <c r="F50" s="74" t="inlineStr">
        <is>
          <t>people_like_you.py</t>
        </is>
      </c>
      <c r="G50" s="74" t="inlineStr"/>
      <c r="H50" s="74" t="inlineStr"/>
    </row>
    <row r="51">
      <c r="A51" s="4" t="inlineStr">
        <is>
          <t>workStartAge</t>
        </is>
      </c>
      <c r="B51" s="47" t="n">
        <v>21</v>
      </c>
      <c r="C51" s="4" t="inlineStr">
        <is>
          <t>age</t>
        </is>
      </c>
      <c r="D51" s="4" t="inlineStr">
        <is>
          <t>—</t>
        </is>
      </c>
      <c r="E51" s="33" t="inlineStr">
        <is>
          <t>No currency</t>
        </is>
      </c>
      <c r="F51" s="74" t="inlineStr">
        <is>
          <t>people_like_you.py</t>
        </is>
      </c>
      <c r="G51" s="74" t="inlineStr"/>
      <c r="H51" s="74" t="inlineStr"/>
    </row>
    <row r="52">
      <c r="A52" s="4" t="inlineStr">
        <is>
          <t>liabilityRatio (PLU only; not the mortgage)</t>
        </is>
      </c>
      <c r="B52" s="73" t="n">
        <v>0.7</v>
      </c>
      <c r="C52" s="4" t="inlineStr">
        <is>
          <t>× assets</t>
        </is>
      </c>
      <c r="D52" s="4" t="inlineStr">
        <is>
          <t>—</t>
        </is>
      </c>
      <c r="E52" s="33" t="inlineStr">
        <is>
          <t>No currency</t>
        </is>
      </c>
      <c r="F52" s="74" t="inlineStr">
        <is>
          <t>people_like_you.py</t>
        </is>
      </c>
      <c r="G52" s="74" t="inlineStr"/>
      <c r="H52" s="74" t="inlineStr"/>
    </row>
    <row r="53">
      <c r="A53" s="4" t="inlineStr">
        <is>
          <t>CASH_SAVINGS_SHARE</t>
        </is>
      </c>
      <c r="B53" s="73" t="n">
        <v>0.15</v>
      </c>
      <c r="C53" s="4" t="inlineStr">
        <is>
          <t>% of assets</t>
        </is>
      </c>
      <c r="D53" s="4" t="inlineStr">
        <is>
          <t>—</t>
        </is>
      </c>
      <c r="E53" s="33" t="inlineStr">
        <is>
          <t>No currency</t>
        </is>
      </c>
      <c r="F53" s="74" t="inlineStr">
        <is>
          <t>predict.py</t>
        </is>
      </c>
      <c r="G53" s="74" t="inlineStr"/>
      <c r="H53" s="74" t="inlineStr"/>
    </row>
    <row r="54">
      <c r="A54" s="4" t="inlineStr">
        <is>
          <t>INVESTMENTS_SHARE</t>
        </is>
      </c>
      <c r="B54" s="73" t="n">
        <v>0.85</v>
      </c>
      <c r="C54" s="4" t="inlineStr">
        <is>
          <t>% of assets</t>
        </is>
      </c>
      <c r="D54" s="4" t="inlineStr">
        <is>
          <t>—</t>
        </is>
      </c>
      <c r="E54" s="33" t="inlineStr">
        <is>
          <t>No currency</t>
        </is>
      </c>
      <c r="F54" s="74" t="inlineStr">
        <is>
          <t>predict.py</t>
        </is>
      </c>
      <c r="G54" s="74" t="inlineStr"/>
      <c r="H54" s="74" t="inlineStr"/>
    </row>
    <row r="55">
      <c r="A55" s="4" t="inlineStr">
        <is>
          <t>propertyLow (USD)</t>
        </is>
      </c>
      <c r="B55" s="37" t="n">
        <v>273569.57</v>
      </c>
      <c r="C55" s="4" t="inlineStr">
        <is>
          <t>value</t>
        </is>
      </c>
      <c r="D55" s="4" t="inlineStr">
        <is>
          <t>USD</t>
        </is>
      </c>
      <c r="E55" s="8" t="inlineStr">
        <is>
          <t>USD</t>
        </is>
      </c>
      <c r="F55" s="74" t="inlineStr">
        <is>
          <t>predict.py seed_property_value (SGD)</t>
        </is>
      </c>
      <c r="G55" s="74" t="inlineStr">
        <is>
          <t>V0-15</t>
        </is>
      </c>
      <c r="H55" s="74" t="inlineStr"/>
    </row>
    <row r="56">
      <c r="A56" s="4" t="inlineStr">
        <is>
          <t>propertyMid (USD)</t>
        </is>
      </c>
      <c r="B56" s="37" t="n">
        <v>508057.77</v>
      </c>
      <c r="C56" s="4" t="inlineStr">
        <is>
          <t>value</t>
        </is>
      </c>
      <c r="D56" s="4" t="inlineStr">
        <is>
          <t>USD</t>
        </is>
      </c>
      <c r="E56" s="8" t="inlineStr">
        <is>
          <t>USD</t>
        </is>
      </c>
      <c r="F56" s="74" t="inlineStr">
        <is>
          <t>predict.py seed_property_value (SGD)</t>
        </is>
      </c>
      <c r="G56" s="74" t="inlineStr">
        <is>
          <t>V0-15</t>
        </is>
      </c>
      <c r="H56" s="74" t="inlineStr"/>
    </row>
    <row r="57">
      <c r="A57" s="4" t="inlineStr">
        <is>
          <t>propertyHigh (USD)</t>
        </is>
      </c>
      <c r="B57" s="37" t="n">
        <v>664383.24</v>
      </c>
      <c r="C57" s="4" t="inlineStr">
        <is>
          <t>value</t>
        </is>
      </c>
      <c r="D57" s="4" t="inlineStr">
        <is>
          <t>USD</t>
        </is>
      </c>
      <c r="E57" s="8" t="inlineStr">
        <is>
          <t>USD</t>
        </is>
      </c>
      <c r="F57" s="74" t="inlineStr">
        <is>
          <t>predict.py seed_property_value (SGD)</t>
        </is>
      </c>
      <c r="G57" s="74" t="inlineStr">
        <is>
          <t>V0-15</t>
        </is>
      </c>
      <c r="H57" s="74" t="inlineStr"/>
    </row>
    <row r="58">
      <c r="A58" s="4" t="inlineStr">
        <is>
          <t>propertyIncomeLow (USD / month)</t>
        </is>
      </c>
      <c r="B58" s="37" t="n">
        <v>7816.27</v>
      </c>
      <c r="C58" s="4" t="inlineStr">
        <is>
          <t>per month</t>
        </is>
      </c>
      <c r="D58" s="4" t="inlineStr">
        <is>
          <t>USD</t>
        </is>
      </c>
      <c r="E58" s="8" t="inlineStr">
        <is>
          <t>USD</t>
        </is>
      </c>
      <c r="F58" s="74" t="inlineStr">
        <is>
          <t>predict.py (SGD)</t>
        </is>
      </c>
      <c r="G58" s="74" t="inlineStr">
        <is>
          <t>V0-15</t>
        </is>
      </c>
      <c r="H58" s="74" t="inlineStr"/>
    </row>
    <row r="59">
      <c r="A59" s="4" t="inlineStr">
        <is>
          <t>propertyIncomeHigh (USD / month)</t>
        </is>
      </c>
      <c r="B59" s="37" t="n">
        <v>15632.55</v>
      </c>
      <c r="C59" s="4" t="inlineStr">
        <is>
          <t>per month</t>
        </is>
      </c>
      <c r="D59" s="4" t="inlineStr">
        <is>
          <t>USD</t>
        </is>
      </c>
      <c r="E59" s="8" t="inlineStr">
        <is>
          <t>USD</t>
        </is>
      </c>
      <c r="F59" s="74" t="inlineStr">
        <is>
          <t>predict.py (SGD)</t>
        </is>
      </c>
      <c r="G59" s="74" t="inlineStr">
        <is>
          <t>V0-15</t>
        </is>
      </c>
      <c r="H59" s="74" t="inlineStr"/>
    </row>
    <row r="60">
      <c r="A60" s="4" t="inlineStr">
        <is>
          <t>PROPERTY_LTV</t>
        </is>
      </c>
      <c r="B60" s="73" t="n">
        <v>0.55</v>
      </c>
      <c r="C60" s="4" t="inlineStr">
        <is>
          <t>% of property</t>
        </is>
      </c>
      <c r="D60" s="4" t="inlineStr">
        <is>
          <t>—</t>
        </is>
      </c>
      <c r="E60" s="33" t="inlineStr">
        <is>
          <t>No currency</t>
        </is>
      </c>
      <c r="F60" s="74" t="inlineStr">
        <is>
          <t>predict.py PROPERTY_LTV</t>
        </is>
      </c>
      <c r="G60" s="74" t="inlineStr"/>
      <c r="H60" s="74" t="inlineStr"/>
    </row>
    <row r="61">
      <c r="A61" s="4" t="inlineStr">
        <is>
          <t>lifePremiumRate</t>
        </is>
      </c>
      <c r="B61" s="78" t="n">
        <v>0.0031</v>
      </c>
      <c r="C61" s="4" t="inlineStr">
        <is>
          <t>% of sum</t>
        </is>
      </c>
      <c r="D61" s="4" t="inlineStr">
        <is>
          <t>—</t>
        </is>
      </c>
      <c r="E61" s="33" t="inlineStr">
        <is>
          <t>No currency</t>
        </is>
      </c>
      <c r="F61" s="74" t="inlineStr">
        <is>
          <t>predict.py _assumed_life_policy</t>
        </is>
      </c>
      <c r="G61" s="74" t="inlineStr"/>
      <c r="H61" s="74" t="inlineStr"/>
    </row>
    <row r="62">
      <c r="A62" s="4" t="inlineStr">
        <is>
          <t>lifeRoundUnit (USD, before nice step)</t>
        </is>
      </c>
      <c r="B62" s="37" t="n">
        <v>78162.73</v>
      </c>
      <c r="C62" s="4" t="inlineStr">
        <is>
          <t>step</t>
        </is>
      </c>
      <c r="D62" s="4" t="inlineStr">
        <is>
          <t>USD</t>
        </is>
      </c>
      <c r="E62" s="8" t="inlineStr">
        <is>
          <t>USD</t>
        </is>
      </c>
      <c r="F62" s="74" t="inlineStr">
        <is>
          <t>predict.py (SGD 100,000)</t>
        </is>
      </c>
      <c r="G62" s="74" t="inlineStr">
        <is>
          <t>V0-15</t>
        </is>
      </c>
      <c r="H62" s="74" t="inlineStr"/>
    </row>
    <row r="64">
      <c r="A64" s="5" t="inlineStr">
        <is>
          <t>Plan and budget (frontend/src/lib/planProducts.ts)</t>
        </is>
      </c>
    </row>
    <row r="65">
      <c r="A65" s="4" t="inlineStr">
        <is>
          <t>protectionPremiumRate</t>
        </is>
      </c>
      <c r="B65" s="78" t="n">
        <v>0.00078</v>
      </c>
      <c r="C65" s="4" t="inlineStr">
        <is>
          <t>% of sum</t>
        </is>
      </c>
      <c r="D65" s="4" t="inlineStr">
        <is>
          <t>—</t>
        </is>
      </c>
      <c r="E65" s="11" t="inlineStr">
        <is>
          <t>Placeholder</t>
        </is>
      </c>
      <c r="F65" s="74" t="inlineStr">
        <is>
          <t>planProducts.ts coverPremiumFor</t>
        </is>
      </c>
      <c r="G65" s="74" t="inlineStr"/>
      <c r="H65" s="79" t="inlineStr">
        <is>
          <t>Premium-quote API; too cheap for large covers (N_LTC)</t>
        </is>
      </c>
    </row>
    <row r="66">
      <c r="A66" s="4" t="inlineStr">
        <is>
          <t>FREE_BUDGET_SHARE</t>
        </is>
      </c>
      <c r="B66" s="73" t="n">
        <v>0.5</v>
      </c>
      <c r="C66" s="4" t="inlineStr">
        <is>
          <t>% of surplus</t>
        </is>
      </c>
      <c r="D66" s="4" t="inlineStr">
        <is>
          <t>—</t>
        </is>
      </c>
      <c r="E66" s="33" t="inlineStr">
        <is>
          <t>No currency</t>
        </is>
      </c>
      <c r="F66" s="74" t="inlineStr">
        <is>
          <t>planProducts.ts</t>
        </is>
      </c>
      <c r="G66" s="74" t="inlineStr"/>
      <c r="H66" s="74" t="inlineStr"/>
    </row>
    <row r="67">
      <c r="A67" s="4" t="inlineStr">
        <is>
          <t>lumpRoundStep (USD, before nice step)</t>
        </is>
      </c>
      <c r="B67" s="37" t="n">
        <v>781.63</v>
      </c>
      <c r="C67" s="4" t="inlineStr">
        <is>
          <t>step</t>
        </is>
      </c>
      <c r="D67" s="4" t="inlineStr">
        <is>
          <t>USD</t>
        </is>
      </c>
      <c r="E67" s="8" t="inlineStr">
        <is>
          <t>USD</t>
        </is>
      </c>
      <c r="F67" s="74" t="inlineStr">
        <is>
          <t>planProducts.ts (SGD 1,000)</t>
        </is>
      </c>
      <c r="G67" s="74" t="inlineStr">
        <is>
          <t>V0-15</t>
        </is>
      </c>
      <c r="H67" s="74" t="inlineStr"/>
    </row>
    <row r="68">
      <c r="A68" s="4" t="inlineStr">
        <is>
          <t>monthlyRoundStep (USD, before nice step)</t>
        </is>
      </c>
      <c r="B68" s="37" t="n">
        <v>39.08</v>
      </c>
      <c r="C68" s="4" t="inlineStr">
        <is>
          <t>step</t>
        </is>
      </c>
      <c r="D68" s="4" t="inlineStr">
        <is>
          <t>USD</t>
        </is>
      </c>
      <c r="E68" s="8" t="inlineStr">
        <is>
          <t>USD</t>
        </is>
      </c>
      <c r="F68" s="74" t="inlineStr">
        <is>
          <t>planProducts.ts (SGD 50)</t>
        </is>
      </c>
      <c r="G68" s="74" t="inlineStr">
        <is>
          <t>V0-15</t>
        </is>
      </c>
      <c r="H68" s="74" t="inlineStr"/>
    </row>
    <row r="69">
      <c r="A69" s="4" t="inlineStr">
        <is>
          <t>coverPremRoundStep (USD, before nice step)</t>
        </is>
      </c>
      <c r="B69" s="80" t="n">
        <v>7.82</v>
      </c>
      <c r="C69" s="4" t="inlineStr">
        <is>
          <t>step</t>
        </is>
      </c>
      <c r="D69" s="4" t="inlineStr">
        <is>
          <t>USD</t>
        </is>
      </c>
      <c r="E69" s="8" t="inlineStr">
        <is>
          <t>USD</t>
        </is>
      </c>
      <c r="F69" s="74" t="inlineStr">
        <is>
          <t>planProducts.ts (SGD 10)</t>
        </is>
      </c>
      <c r="G69" s="74" t="inlineStr">
        <is>
          <t>V0-15</t>
        </is>
      </c>
      <c r="H69" s="74" t="inlineStr"/>
    </row>
    <row r="70">
      <c r="A70" s="4" t="inlineStr">
        <is>
          <t>coverSliderPremFloor (USD)</t>
        </is>
      </c>
      <c r="B70" s="37" t="n">
        <v>156.33</v>
      </c>
      <c r="C70" s="4" t="inlineStr">
        <is>
          <t>per year</t>
        </is>
      </c>
      <c r="D70" s="4" t="inlineStr">
        <is>
          <t>USD</t>
        </is>
      </c>
      <c r="E70" s="8" t="inlineStr">
        <is>
          <t>USD</t>
        </is>
      </c>
      <c r="F70" s="74" t="inlineStr">
        <is>
          <t>planProducts.ts (SGD 200)</t>
        </is>
      </c>
      <c r="G70" s="74" t="inlineStr">
        <is>
          <t>V0-15</t>
        </is>
      </c>
      <c r="H70" s="74" t="inlineStr"/>
    </row>
    <row r="72">
      <c r="A72" s="5" t="inlineStr">
        <is>
          <t>HappiU budget envelope (src/hu_payload.py) — not Budget Calculator</t>
        </is>
      </c>
    </row>
    <row r="73">
      <c r="A73" s="4" t="inlineStr">
        <is>
          <t>annualBudget (USD)</t>
        </is>
      </c>
      <c r="B73" s="37" t="n">
        <v>1172.44</v>
      </c>
      <c r="C73" s="4" t="inlineStr">
        <is>
          <t>per year</t>
        </is>
      </c>
      <c r="D73" s="4" t="inlineStr">
        <is>
          <t>USD</t>
        </is>
      </c>
      <c r="E73" s="8" t="inlineStr">
        <is>
          <t>USD</t>
        </is>
      </c>
      <c r="F73" s="74" t="inlineStr">
        <is>
          <t>hu_payload.py (SGD 1,500)</t>
        </is>
      </c>
      <c r="G73" s="74" t="inlineStr">
        <is>
          <t>V0-15</t>
        </is>
      </c>
      <c r="H73" s="74" t="inlineStr"/>
    </row>
    <row r="74">
      <c r="A74" s="4" t="inlineStr">
        <is>
          <t>placeholderNeedBudget (USD)</t>
        </is>
      </c>
      <c r="B74" s="37" t="n">
        <v>156.33</v>
      </c>
      <c r="C74" s="4" t="inlineStr">
        <is>
          <t>per year</t>
        </is>
      </c>
      <c r="D74" s="4" t="inlineStr">
        <is>
          <t>USD</t>
        </is>
      </c>
      <c r="E74" s="8" t="inlineStr">
        <is>
          <t>USD</t>
        </is>
      </c>
      <c r="F74" s="74" t="inlineStr">
        <is>
          <t>hu_payload.py (SGD 200)</t>
        </is>
      </c>
      <c r="G74" s="74" t="inlineStr">
        <is>
          <t>V0-15</t>
        </is>
      </c>
      <c r="H74" s="74" t="inlineStr"/>
    </row>
    <row r="75">
      <c r="A75" s="4" t="inlineStr">
        <is>
          <t>gfr</t>
        </is>
      </c>
      <c r="B75" s="73" t="n">
        <v>0.05</v>
      </c>
      <c r="C75" s="4" t="inlineStr">
        <is>
          <t>%</t>
        </is>
      </c>
      <c r="D75" s="4" t="inlineStr">
        <is>
          <t>—</t>
        </is>
      </c>
      <c r="E75" s="33" t="inlineStr">
        <is>
          <t>No currency</t>
        </is>
      </c>
      <c r="F75" s="74" t="inlineStr">
        <is>
          <t>hu_payload.py</t>
        </is>
      </c>
      <c r="G75" s="74" t="inlineStr"/>
      <c r="H75" s="74" t="inlineStr"/>
    </row>
    <row r="76">
      <c r="A76" s="4" t="inlineStr">
        <is>
          <t>benefitRound (USD, before nice step)</t>
        </is>
      </c>
      <c r="B76" s="37" t="n">
        <v>39081.37</v>
      </c>
      <c r="C76" s="4" t="inlineStr">
        <is>
          <t>step</t>
        </is>
      </c>
      <c r="D76" s="4" t="inlineStr">
        <is>
          <t>USD</t>
        </is>
      </c>
      <c r="E76" s="8" t="inlineStr">
        <is>
          <t>USD</t>
        </is>
      </c>
      <c r="F76" s="74" t="inlineStr">
        <is>
          <t>hu_payload.py (SGD 50,000)</t>
        </is>
      </c>
      <c r="G76" s="74" t="inlineStr">
        <is>
          <t>V0-15</t>
        </is>
      </c>
      <c r="H76" s="74" t="inlineStr"/>
    </row>
    <row r="77">
      <c r="A77" s="4" t="inlineStr">
        <is>
          <t>huNumSims</t>
        </is>
      </c>
      <c r="B77" s="47" t="n">
        <v>200</v>
      </c>
      <c r="C77" s="4" t="inlineStr">
        <is>
          <t>count</t>
        </is>
      </c>
      <c r="D77" s="4" t="inlineStr">
        <is>
          <t>—</t>
        </is>
      </c>
      <c r="E77" s="33" t="inlineStr">
        <is>
          <t>No currency</t>
        </is>
      </c>
      <c r="F77" s="74" t="inlineStr">
        <is>
          <t>hu_payload.py</t>
        </is>
      </c>
      <c r="G77" s="74" t="inlineStr"/>
      <c r="H77" s="74" t="inlineStr"/>
    </row>
    <row r="78">
      <c r="A78" s="4" t="inlineStr">
        <is>
          <t>PPP_BASE_COUNTRY (price level = 1)</t>
        </is>
      </c>
      <c r="B78" s="47" t="inlineStr">
        <is>
          <t>Singapore</t>
        </is>
      </c>
      <c r="C78" s="4" t="inlineStr">
        <is>
          <t>country</t>
        </is>
      </c>
      <c r="D78" s="4" t="inlineStr">
        <is>
          <t>—</t>
        </is>
      </c>
      <c r="E78" s="9" t="inlineStr">
        <is>
          <t>System</t>
        </is>
      </c>
      <c r="F78" s="74" t="inlineStr">
        <is>
          <t>— (new)</t>
        </is>
      </c>
      <c r="G78" s="74" t="inlineStr">
        <is>
          <t>V0-22</t>
        </is>
      </c>
      <c r="H78" s="79" t="inlineStr">
        <is>
          <t>USD fixed amounts were calibrated in Singapore, so Singapore = 1</t>
        </is>
      </c>
    </row>
    <row r="79">
      <c r="A79" s="4" t="inlineStr">
        <is>
          <t>MIN_EXPENSE_MONTHLY (USD)</t>
        </is>
      </c>
      <c r="B79" s="47" t="n">
        <v>100</v>
      </c>
      <c r="C79" s="4" t="inlineStr">
        <is>
          <t>per month</t>
        </is>
      </c>
      <c r="D79" s="4" t="inlineStr">
        <is>
          <t>USD</t>
        </is>
      </c>
      <c r="E79" s="8" t="inlineStr">
        <is>
          <t>USD</t>
        </is>
      </c>
      <c r="F79" s="74" t="inlineStr">
        <is>
          <t>frontend MIN_EXPENSE_MONTHLY (SGD 100)</t>
        </is>
      </c>
      <c r="G79" s="74" t="inlineStr">
        <is>
          <t>V0-21: USD 100 (was S$100)</t>
        </is>
      </c>
      <c r="H79" s="74" t="inlineStr"/>
    </row>
    <row r="81">
      <c r="A81" s="5" t="inlineStr">
        <is>
          <t>Risk → investmentReturn seed (frontend/src/lib/riskCapacity.ts)</t>
        </is>
      </c>
    </row>
    <row r="82">
      <c r="A82" s="4" t="inlineStr">
        <is>
          <t>suggestBand1</t>
        </is>
      </c>
      <c r="B82" s="73" t="n">
        <v>0.03</v>
      </c>
      <c r="C82" s="4" t="inlineStr">
        <is>
          <t>% p.a.</t>
        </is>
      </c>
      <c r="D82" s="4" t="inlineStr">
        <is>
          <t>—</t>
        </is>
      </c>
      <c r="E82" s="33" t="inlineStr">
        <is>
          <t>No currency</t>
        </is>
      </c>
      <c r="F82" s="74" t="inlineStr">
        <is>
          <t>riskCapacity.ts</t>
        </is>
      </c>
      <c r="G82" s="74" t="inlineStr"/>
      <c r="H82" s="74" t="inlineStr"/>
    </row>
    <row r="83">
      <c r="A83" s="4" t="inlineStr">
        <is>
          <t>suggestBand2</t>
        </is>
      </c>
      <c r="B83" s="73" t="n">
        <v>0.035</v>
      </c>
      <c r="C83" s="4" t="inlineStr">
        <is>
          <t>% p.a.</t>
        </is>
      </c>
      <c r="D83" s="4" t="inlineStr">
        <is>
          <t>—</t>
        </is>
      </c>
      <c r="E83" s="33" t="inlineStr">
        <is>
          <t>No currency</t>
        </is>
      </c>
      <c r="F83" s="74" t="inlineStr">
        <is>
          <t>riskCapacity.ts</t>
        </is>
      </c>
      <c r="G83" s="74" t="inlineStr"/>
      <c r="H83" s="74" t="inlineStr"/>
    </row>
    <row r="84">
      <c r="A84" s="4" t="inlineStr">
        <is>
          <t>suggestBand3</t>
        </is>
      </c>
      <c r="B84" s="73" t="n">
        <v>0.042</v>
      </c>
      <c r="C84" s="4" t="inlineStr">
        <is>
          <t>% p.a.</t>
        </is>
      </c>
      <c r="D84" s="4" t="inlineStr">
        <is>
          <t>—</t>
        </is>
      </c>
      <c r="E84" s="33" t="inlineStr">
        <is>
          <t>No currency</t>
        </is>
      </c>
      <c r="F84" s="74" t="inlineStr">
        <is>
          <t>riskCapacity.ts</t>
        </is>
      </c>
      <c r="G84" s="74" t="inlineStr"/>
      <c r="H84" s="74" t="inlineStr"/>
    </row>
    <row r="85">
      <c r="A85" s="4" t="inlineStr">
        <is>
          <t>suggestBand4</t>
        </is>
      </c>
      <c r="B85" s="73" t="n">
        <v>0.05</v>
      </c>
      <c r="C85" s="4" t="inlineStr">
        <is>
          <t>% p.a.</t>
        </is>
      </c>
      <c r="D85" s="4" t="inlineStr">
        <is>
          <t>—</t>
        </is>
      </c>
      <c r="E85" s="33" t="inlineStr">
        <is>
          <t>No currency</t>
        </is>
      </c>
      <c r="F85" s="74" t="inlineStr">
        <is>
          <t>riskCapacity.ts</t>
        </is>
      </c>
      <c r="G85" s="74" t="inlineStr"/>
      <c r="H85" s="74" t="inlineStr"/>
    </row>
    <row r="86">
      <c r="A86" s="4" t="inlineStr">
        <is>
          <t>suggestBand5</t>
        </is>
      </c>
      <c r="B86" s="73" t="n">
        <v>0.055</v>
      </c>
      <c r="C86" s="4" t="inlineStr">
        <is>
          <t>% p.a.</t>
        </is>
      </c>
      <c r="D86" s="4" t="inlineStr">
        <is>
          <t>—</t>
        </is>
      </c>
      <c r="E86" s="33" t="inlineStr">
        <is>
          <t>No currency</t>
        </is>
      </c>
      <c r="F86" s="74" t="inlineStr">
        <is>
          <t>riskCapacity.ts</t>
        </is>
      </c>
      <c r="G86" s="74" t="inlineStr"/>
      <c r="H86" s="74" t="inlineStr"/>
    </row>
    <row r="87">
      <c r="A87" s="4" t="inlineStr">
        <is>
          <t>defaultRiskTolerance</t>
        </is>
      </c>
      <c r="B87" s="47" t="n">
        <v>3</v>
      </c>
      <c r="C87" s="4" t="inlineStr">
        <is>
          <t>1–5</t>
        </is>
      </c>
      <c r="D87" s="4" t="inlineStr">
        <is>
          <t>—</t>
        </is>
      </c>
      <c r="E87" s="33" t="inlineStr">
        <is>
          <t>No currency</t>
        </is>
      </c>
      <c r="F87" s="74" t="inlineStr">
        <is>
          <t>riskCapacity.ts</t>
        </is>
      </c>
      <c r="G87" s="74" t="inlineStr"/>
      <c r="H87" s="74" t="inlineStr"/>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81" t="n">
        <v>0</v>
      </c>
      <c r="C90" s="81" t="n">
        <v>0</v>
      </c>
      <c r="D90" s="81" t="n">
        <v>0</v>
      </c>
      <c r="E90" s="81" t="n">
        <v>2</v>
      </c>
      <c r="F90" s="81" t="n">
        <v>0</v>
      </c>
      <c r="G90" s="81" t="n">
        <v>0</v>
      </c>
      <c r="H90" s="81" t="n">
        <v>0</v>
      </c>
      <c r="I90" s="81" t="n">
        <v>0</v>
      </c>
      <c r="J90" s="81" t="n">
        <v>1</v>
      </c>
      <c r="K90" s="81" t="n">
        <v>1</v>
      </c>
      <c r="L90" s="81" t="n">
        <v>0</v>
      </c>
    </row>
    <row r="91">
      <c r="A91" s="4" t="inlineStr">
        <is>
          <t>Gender</t>
        </is>
      </c>
      <c r="B91" s="81" t="n">
        <v>0</v>
      </c>
      <c r="C91" s="81" t="n">
        <v>0</v>
      </c>
      <c r="D91" s="81" t="n">
        <v>0</v>
      </c>
      <c r="E91" s="81" t="n">
        <v>2</v>
      </c>
      <c r="F91" s="81" t="n">
        <v>0</v>
      </c>
      <c r="G91" s="81" t="n">
        <v>0</v>
      </c>
      <c r="H91" s="81" t="n">
        <v>2</v>
      </c>
      <c r="I91" s="81" t="n">
        <v>0</v>
      </c>
      <c r="J91" s="81" t="n">
        <v>2</v>
      </c>
      <c r="K91" s="81" t="n">
        <v>1</v>
      </c>
      <c r="L91" s="81" t="n">
        <v>2</v>
      </c>
    </row>
    <row r="92">
      <c r="A92" s="4" t="inlineStr">
        <is>
          <t>Dependants</t>
        </is>
      </c>
      <c r="B92" s="81" t="n">
        <v>4</v>
      </c>
      <c r="C92" s="81" t="n">
        <v>1</v>
      </c>
      <c r="D92" s="81" t="n">
        <v>0</v>
      </c>
      <c r="E92" s="81" t="n">
        <v>1</v>
      </c>
      <c r="F92" s="81" t="n">
        <v>0</v>
      </c>
      <c r="G92" s="81" t="n">
        <v>0</v>
      </c>
      <c r="H92" s="81" t="n">
        <v>3</v>
      </c>
      <c r="I92" s="81" t="n">
        <v>0</v>
      </c>
      <c r="J92" s="81" t="n">
        <v>2</v>
      </c>
      <c r="K92" s="81" t="n">
        <v>2</v>
      </c>
      <c r="L92" s="81" t="n">
        <v>2</v>
      </c>
    </row>
    <row r="93">
      <c r="A93" s="4" t="inlineStr">
        <is>
          <t>Occupation</t>
        </is>
      </c>
      <c r="B93" s="81" t="n">
        <v>1</v>
      </c>
      <c r="C93" s="81" t="n">
        <v>1</v>
      </c>
      <c r="D93" s="81" t="n">
        <v>0</v>
      </c>
      <c r="E93" s="81" t="n">
        <v>1</v>
      </c>
      <c r="F93" s="81" t="n">
        <v>0</v>
      </c>
      <c r="G93" s="81" t="n">
        <v>0</v>
      </c>
      <c r="H93" s="81" t="n">
        <v>1</v>
      </c>
      <c r="I93" s="81" t="n">
        <v>0</v>
      </c>
      <c r="J93" s="81" t="n">
        <v>1</v>
      </c>
      <c r="K93" s="81" t="n">
        <v>2</v>
      </c>
      <c r="L93" s="81" t="n">
        <v>2</v>
      </c>
    </row>
    <row r="94">
      <c r="A94" s="4" t="inlineStr">
        <is>
          <t>Smoking</t>
        </is>
      </c>
      <c r="B94" s="81" t="n">
        <v>4</v>
      </c>
      <c r="C94" s="81" t="n">
        <v>4</v>
      </c>
      <c r="D94" s="81" t="n">
        <v>2</v>
      </c>
      <c r="E94" s="81" t="n">
        <v>1</v>
      </c>
      <c r="F94" s="81" t="n">
        <v>0</v>
      </c>
      <c r="G94" s="81" t="n">
        <v>3</v>
      </c>
      <c r="H94" s="81" t="n">
        <v>0</v>
      </c>
      <c r="I94" s="81" t="n">
        <v>0</v>
      </c>
      <c r="J94" s="81" t="n">
        <v>2</v>
      </c>
      <c r="K94" s="81" t="n">
        <v>2</v>
      </c>
      <c r="L94" s="81" t="n">
        <v>2</v>
      </c>
    </row>
    <row r="95">
      <c r="A95" s="4" t="inlineStr">
        <is>
          <t>Income</t>
        </is>
      </c>
      <c r="B95" s="81" t="n">
        <v>4</v>
      </c>
      <c r="C95" s="81" t="n">
        <v>1</v>
      </c>
      <c r="D95" s="81" t="n">
        <v>2</v>
      </c>
      <c r="E95" s="81" t="n">
        <v>1</v>
      </c>
      <c r="F95" s="81" t="n">
        <v>0</v>
      </c>
      <c r="G95" s="81" t="n">
        <v>3</v>
      </c>
      <c r="H95" s="81" t="n">
        <v>1</v>
      </c>
      <c r="I95" s="81" t="n">
        <v>0</v>
      </c>
      <c r="J95" s="81" t="n">
        <v>2</v>
      </c>
      <c r="K95" s="81" t="n">
        <v>2</v>
      </c>
      <c r="L95" s="81" t="n">
        <v>2</v>
      </c>
    </row>
    <row r="96">
      <c r="A96" s="4" t="inlineStr">
        <is>
          <t>Expense</t>
        </is>
      </c>
      <c r="B96" s="81" t="n">
        <v>4</v>
      </c>
      <c r="C96" s="81" t="n">
        <v>2</v>
      </c>
      <c r="D96" s="81" t="n">
        <v>2</v>
      </c>
      <c r="E96" s="81" t="n">
        <v>1</v>
      </c>
      <c r="F96" s="81" t="n">
        <v>0</v>
      </c>
      <c r="G96" s="81" t="n">
        <v>3</v>
      </c>
      <c r="H96" s="81" t="n">
        <v>3</v>
      </c>
      <c r="I96" s="81" t="n">
        <v>0</v>
      </c>
      <c r="J96" s="81" t="n">
        <v>2</v>
      </c>
      <c r="K96" s="81" t="n">
        <v>1</v>
      </c>
      <c r="L96" s="81" t="n">
        <v>1</v>
      </c>
    </row>
    <row r="97">
      <c r="A97" s="4" t="inlineStr">
        <is>
          <t>Assets</t>
        </is>
      </c>
      <c r="B97" s="81" t="n">
        <v>4</v>
      </c>
      <c r="C97" s="81" t="n">
        <v>1</v>
      </c>
      <c r="D97" s="81" t="n">
        <v>2</v>
      </c>
      <c r="E97" s="81" t="n">
        <v>1</v>
      </c>
      <c r="F97" s="81" t="n">
        <v>0</v>
      </c>
      <c r="G97" s="81" t="n">
        <v>3</v>
      </c>
      <c r="H97" s="81" t="n">
        <v>2</v>
      </c>
      <c r="I97" s="81" t="n">
        <v>0</v>
      </c>
      <c r="J97" s="81" t="n">
        <v>2</v>
      </c>
      <c r="K97" s="81" t="n">
        <v>1</v>
      </c>
      <c r="L97" s="81" t="n">
        <v>1</v>
      </c>
    </row>
    <row r="98">
      <c r="A98" s="4" t="inlineStr">
        <is>
          <t>Liabilities</t>
        </is>
      </c>
      <c r="B98" s="81" t="n">
        <v>3</v>
      </c>
      <c r="C98" s="81" t="n">
        <v>1</v>
      </c>
      <c r="D98" s="81" t="n">
        <v>2</v>
      </c>
      <c r="E98" s="81" t="n">
        <v>1</v>
      </c>
      <c r="F98" s="81" t="n">
        <v>0</v>
      </c>
      <c r="G98" s="81" t="n">
        <v>3</v>
      </c>
      <c r="H98" s="81" t="n">
        <v>2</v>
      </c>
      <c r="I98" s="81" t="n">
        <v>0</v>
      </c>
      <c r="J98" s="81" t="n">
        <v>1</v>
      </c>
      <c r="K98" s="81" t="n">
        <v>2</v>
      </c>
      <c r="L98" s="81" t="n">
        <v>1</v>
      </c>
    </row>
    <row r="99">
      <c r="A99" s="4" t="inlineStr">
        <is>
          <t>Hospitalization</t>
        </is>
      </c>
      <c r="B99" s="81" t="n">
        <v>3</v>
      </c>
      <c r="C99" s="81" t="n">
        <v>3</v>
      </c>
      <c r="D99" s="81" t="n">
        <v>0</v>
      </c>
      <c r="E99" s="81" t="n">
        <v>0</v>
      </c>
      <c r="F99" s="81" t="n">
        <v>0</v>
      </c>
      <c r="G99" s="81" t="n">
        <v>4</v>
      </c>
      <c r="H99" s="81" t="n">
        <v>0</v>
      </c>
      <c r="I99" s="81" t="n">
        <v>0</v>
      </c>
      <c r="J99" s="81" t="n">
        <v>0</v>
      </c>
      <c r="K99" s="81" t="n">
        <v>0</v>
      </c>
      <c r="L99" s="81" t="n">
        <v>0</v>
      </c>
    </row>
    <row r="100">
      <c r="A100" s="4" t="inlineStr">
        <is>
          <t>Disability</t>
        </is>
      </c>
      <c r="B100" s="81" t="n">
        <v>3</v>
      </c>
      <c r="C100" s="81" t="n">
        <v>3</v>
      </c>
      <c r="D100" s="81" t="n">
        <v>4</v>
      </c>
      <c r="E100" s="81" t="n">
        <v>0</v>
      </c>
      <c r="F100" s="81" t="n">
        <v>0</v>
      </c>
      <c r="G100" s="81" t="n">
        <v>3</v>
      </c>
      <c r="H100" s="81" t="n">
        <v>0</v>
      </c>
      <c r="I100" s="81" t="n">
        <v>0</v>
      </c>
      <c r="J100" s="81" t="n">
        <v>0</v>
      </c>
      <c r="K100" s="81" t="n">
        <v>0</v>
      </c>
      <c r="L100" s="81" t="n">
        <v>0</v>
      </c>
    </row>
    <row r="101">
      <c r="A101" s="4" t="inlineStr">
        <is>
          <t>Hospital Type</t>
        </is>
      </c>
      <c r="B101" s="81" t="n">
        <v>2</v>
      </c>
      <c r="C101" s="81" t="n">
        <v>3</v>
      </c>
      <c r="D101" s="81" t="n">
        <v>2</v>
      </c>
      <c r="E101" s="81" t="n">
        <v>1</v>
      </c>
      <c r="F101" s="81" t="n">
        <v>0</v>
      </c>
      <c r="G101" s="81" t="n">
        <v>3</v>
      </c>
      <c r="H101" s="81" t="n">
        <v>2</v>
      </c>
      <c r="I101" s="81" t="n">
        <v>0</v>
      </c>
      <c r="J101" s="81" t="n">
        <v>2</v>
      </c>
      <c r="K101" s="81" t="n">
        <v>1</v>
      </c>
      <c r="L101" s="81" t="n">
        <v>2</v>
      </c>
    </row>
    <row r="102">
      <c r="A102" s="4" t="inlineStr">
        <is>
          <t>Ward Type</t>
        </is>
      </c>
      <c r="B102" s="81" t="n">
        <v>1</v>
      </c>
      <c r="C102" s="81" t="n">
        <v>4</v>
      </c>
      <c r="D102" s="81" t="n">
        <v>2</v>
      </c>
      <c r="E102" s="81" t="n">
        <v>1</v>
      </c>
      <c r="F102" s="81" t="n">
        <v>0</v>
      </c>
      <c r="G102" s="81" t="n">
        <v>3</v>
      </c>
      <c r="H102" s="81" t="n">
        <v>1</v>
      </c>
      <c r="I102" s="81" t="n">
        <v>0</v>
      </c>
      <c r="J102" s="81" t="n">
        <v>2</v>
      </c>
      <c r="K102" s="81" t="n">
        <v>1</v>
      </c>
      <c r="L102" s="81" t="n">
        <v>2</v>
      </c>
    </row>
    <row r="103">
      <c r="A103" s="4" t="inlineStr">
        <is>
          <t>Lifestyle</t>
        </is>
      </c>
      <c r="B103" s="81" t="n">
        <v>0</v>
      </c>
      <c r="C103" s="81" t="n">
        <v>0</v>
      </c>
      <c r="D103" s="81" t="n">
        <v>0</v>
      </c>
      <c r="E103" s="81" t="n">
        <v>1</v>
      </c>
      <c r="F103" s="81" t="n">
        <v>0</v>
      </c>
      <c r="G103" s="81" t="n">
        <v>0</v>
      </c>
      <c r="H103" s="81" t="n">
        <v>2</v>
      </c>
      <c r="I103" s="81" t="n">
        <v>0</v>
      </c>
      <c r="J103" s="81" t="n">
        <v>2</v>
      </c>
      <c r="K103" s="81" t="n">
        <v>2</v>
      </c>
      <c r="L103" s="81" t="n">
        <v>1</v>
      </c>
    </row>
    <row r="104">
      <c r="A104" s="4" t="inlineStr">
        <is>
          <t>Sports</t>
        </is>
      </c>
      <c r="B104" s="81" t="n">
        <v>1</v>
      </c>
      <c r="C104" s="81" t="n">
        <v>0</v>
      </c>
      <c r="D104" s="81" t="n">
        <v>2</v>
      </c>
      <c r="E104" s="81" t="n">
        <v>0</v>
      </c>
      <c r="F104" s="81" t="n">
        <v>0</v>
      </c>
      <c r="G104" s="81" t="n">
        <v>1</v>
      </c>
      <c r="H104" s="81" t="n">
        <v>0</v>
      </c>
      <c r="I104" s="81" t="n">
        <v>0</v>
      </c>
      <c r="J104" s="81" t="n">
        <v>0</v>
      </c>
      <c r="K104" s="81" t="n">
        <v>0</v>
      </c>
      <c r="L104" s="81" t="n">
        <v>2</v>
      </c>
    </row>
    <row r="108">
      <c r="A108" s="5" t="inlineStr">
        <is>
          <t>HappiU rate tables (HU/src/CashflowHandler/Tables/*.csv) — q at age, read at age + 1 + year. Columns per rate: Male, Male smoker, Female, Female smoker.</t>
        </is>
      </c>
    </row>
    <row r="109">
      <c r="A109" s="82"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6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83" t="n">
        <v>0.37</v>
      </c>
      <c r="AA111" s="39" t="n">
        <v>2220</v>
      </c>
      <c r="AB111" s="56" t="n">
        <v>0.0307</v>
      </c>
    </row>
    <row r="112">
      <c r="A112" s="6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83" t="n">
        <v>0.37</v>
      </c>
      <c r="AA112" s="39" t="n">
        <v>2220</v>
      </c>
      <c r="AB112" s="56" t="n">
        <v>0.0307</v>
      </c>
    </row>
    <row r="113">
      <c r="A113" s="6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83" t="n">
        <v>0.37</v>
      </c>
      <c r="AA113" s="39" t="n">
        <v>2220</v>
      </c>
      <c r="AB113" s="56" t="n">
        <v>0.0307</v>
      </c>
    </row>
    <row r="114">
      <c r="A114" s="6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83" t="n">
        <v>0.37</v>
      </c>
      <c r="AA114" s="39" t="n">
        <v>2220</v>
      </c>
      <c r="AB114" s="56" t="n">
        <v>0.0307</v>
      </c>
    </row>
    <row r="115">
      <c r="A115" s="6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83" t="n">
        <v>0.37</v>
      </c>
      <c r="AA115" s="39" t="n">
        <v>2220</v>
      </c>
      <c r="AB115" s="56" t="n">
        <v>0.0307</v>
      </c>
    </row>
    <row r="116">
      <c r="A116" s="6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83" t="n">
        <v>0.37</v>
      </c>
      <c r="AA116" s="39" t="n">
        <v>2220</v>
      </c>
      <c r="AB116" s="56" t="n">
        <v>0.0307</v>
      </c>
    </row>
    <row r="117">
      <c r="A117" s="6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83" t="n">
        <v>0.37</v>
      </c>
      <c r="AA117" s="39" t="n">
        <v>2220</v>
      </c>
      <c r="AB117" s="56" t="n">
        <v>0.0307</v>
      </c>
    </row>
    <row r="118">
      <c r="A118" s="6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83" t="n">
        <v>0.37</v>
      </c>
      <c r="AA118" s="39" t="n">
        <v>2220</v>
      </c>
      <c r="AB118" s="56" t="n">
        <v>0.0307</v>
      </c>
    </row>
    <row r="119">
      <c r="A119" s="6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83" t="n">
        <v>0.37</v>
      </c>
      <c r="AA119" s="39" t="n">
        <v>2220</v>
      </c>
      <c r="AB119" s="56" t="n">
        <v>0.0307</v>
      </c>
    </row>
    <row r="120">
      <c r="A120" s="6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83" t="n">
        <v>0.37</v>
      </c>
      <c r="AA120" s="39" t="n">
        <v>2220</v>
      </c>
      <c r="AB120" s="56" t="n">
        <v>0.0307</v>
      </c>
    </row>
    <row r="121">
      <c r="A121" s="6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83" t="n">
        <v>0.37</v>
      </c>
      <c r="AA121" s="39" t="n">
        <v>2220</v>
      </c>
      <c r="AB121" s="56" t="n">
        <v>0.0307</v>
      </c>
    </row>
    <row r="122">
      <c r="A122" s="6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83" t="n">
        <v>0.37</v>
      </c>
      <c r="AA122" s="39" t="n">
        <v>2220</v>
      </c>
      <c r="AB122" s="56" t="n">
        <v>0.0307</v>
      </c>
    </row>
    <row r="123">
      <c r="A123" s="6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83" t="n">
        <v>0.37</v>
      </c>
      <c r="AA123" s="39" t="n">
        <v>2220</v>
      </c>
      <c r="AB123" s="56" t="n">
        <v>0.0307</v>
      </c>
    </row>
    <row r="124">
      <c r="A124" s="6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83" t="n">
        <v>0.37</v>
      </c>
      <c r="AA124" s="39" t="n">
        <v>2220</v>
      </c>
      <c r="AB124" s="56" t="n">
        <v>0.0307</v>
      </c>
    </row>
    <row r="125">
      <c r="A125" s="6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83" t="n">
        <v>0.37</v>
      </c>
      <c r="AA125" s="39" t="n">
        <v>2220</v>
      </c>
      <c r="AB125" s="56" t="n">
        <v>0.0307</v>
      </c>
    </row>
    <row r="126">
      <c r="A126" s="6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83" t="n">
        <v>0.37</v>
      </c>
      <c r="AA126" s="39" t="n">
        <v>2220</v>
      </c>
      <c r="AB126" s="56" t="n">
        <v>0.0307</v>
      </c>
    </row>
    <row r="127">
      <c r="A127" s="6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83" t="n">
        <v>0.37</v>
      </c>
      <c r="AA127" s="39" t="n">
        <v>2220</v>
      </c>
      <c r="AB127" s="56" t="n">
        <v>0.0307</v>
      </c>
    </row>
    <row r="128">
      <c r="A128" s="6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83" t="n">
        <v>0.37</v>
      </c>
      <c r="AA128" s="39" t="n">
        <v>2220</v>
      </c>
      <c r="AB128" s="56" t="n">
        <v>0.0307</v>
      </c>
    </row>
    <row r="129">
      <c r="A129" s="6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83" t="n">
        <v>0.37</v>
      </c>
      <c r="AA129" s="39" t="n">
        <v>2220</v>
      </c>
      <c r="AB129" s="56" t="n">
        <v>0.0315</v>
      </c>
    </row>
    <row r="130">
      <c r="A130" s="6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83" t="n">
        <v>0.37</v>
      </c>
      <c r="AA130" s="39" t="n">
        <v>2220</v>
      </c>
      <c r="AB130" s="56" t="n">
        <v>0.0315</v>
      </c>
    </row>
    <row r="131">
      <c r="A131" s="6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83" t="n">
        <v>0.37</v>
      </c>
      <c r="AA131" s="39" t="n">
        <v>2220</v>
      </c>
      <c r="AB131" s="56" t="n">
        <v>0.0315</v>
      </c>
    </row>
    <row r="132">
      <c r="A132" s="6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83" t="n">
        <v>0.37</v>
      </c>
      <c r="AA132" s="39" t="n">
        <v>2220</v>
      </c>
      <c r="AB132" s="56" t="n">
        <v>0.0315</v>
      </c>
    </row>
    <row r="133">
      <c r="A133" s="6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83" t="n">
        <v>0.37</v>
      </c>
      <c r="AA133" s="39" t="n">
        <v>2220</v>
      </c>
      <c r="AB133" s="56" t="n">
        <v>0.0315</v>
      </c>
    </row>
    <row r="134">
      <c r="A134" s="6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83" t="n">
        <v>0.37</v>
      </c>
      <c r="AA134" s="39" t="n">
        <v>2220</v>
      </c>
      <c r="AB134" s="56" t="n">
        <v>0.0315</v>
      </c>
    </row>
    <row r="135">
      <c r="A135" s="6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83" t="n">
        <v>0.37</v>
      </c>
      <c r="AA135" s="39" t="n">
        <v>2220</v>
      </c>
      <c r="AB135" s="56" t="n">
        <v>0.0315</v>
      </c>
    </row>
    <row r="136">
      <c r="A136" s="6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83" t="n">
        <v>0.37</v>
      </c>
      <c r="AA136" s="39" t="n">
        <v>2220</v>
      </c>
      <c r="AB136" s="56" t="n">
        <v>0.0315</v>
      </c>
    </row>
    <row r="137">
      <c r="A137" s="6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83" t="n">
        <v>0.37</v>
      </c>
      <c r="AA137" s="39" t="n">
        <v>2220</v>
      </c>
      <c r="AB137" s="56" t="n">
        <v>0.0315</v>
      </c>
    </row>
    <row r="138">
      <c r="A138" s="6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83" t="n">
        <v>0.37</v>
      </c>
      <c r="AA138" s="39" t="n">
        <v>2220</v>
      </c>
      <c r="AB138" s="56" t="n">
        <v>0.0315</v>
      </c>
    </row>
    <row r="139">
      <c r="A139" s="6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83" t="n">
        <v>0.37</v>
      </c>
      <c r="AA139" s="39" t="n">
        <v>2220</v>
      </c>
      <c r="AB139" s="56" t="n">
        <v>0.0323</v>
      </c>
    </row>
    <row r="140">
      <c r="A140" s="6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83" t="n">
        <v>0.37</v>
      </c>
      <c r="AA140" s="39" t="n">
        <v>2220</v>
      </c>
      <c r="AB140" s="56" t="n">
        <v>0.0323</v>
      </c>
    </row>
    <row r="141">
      <c r="A141" s="6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83" t="n">
        <v>0.37</v>
      </c>
      <c r="AA141" s="39" t="n">
        <v>2220</v>
      </c>
      <c r="AB141" s="56" t="n">
        <v>0.0323</v>
      </c>
    </row>
    <row r="142">
      <c r="A142" s="6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83" t="n">
        <v>0.37</v>
      </c>
      <c r="AA142" s="39" t="n">
        <v>2220</v>
      </c>
      <c r="AB142" s="56" t="n">
        <v>0.0323</v>
      </c>
    </row>
    <row r="143">
      <c r="A143" s="6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83" t="n">
        <v>0.37</v>
      </c>
      <c r="AA143" s="39" t="n">
        <v>2220</v>
      </c>
      <c r="AB143" s="56" t="n">
        <v>0.0323</v>
      </c>
    </row>
    <row r="144">
      <c r="A144" s="6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83" t="n">
        <v>0.37</v>
      </c>
      <c r="AA144" s="39" t="n">
        <v>2220</v>
      </c>
      <c r="AB144" s="56" t="n">
        <v>0.0339</v>
      </c>
    </row>
    <row r="145">
      <c r="A145" s="6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83" t="n">
        <v>0.37</v>
      </c>
      <c r="AA145" s="39" t="n">
        <v>2220</v>
      </c>
      <c r="AB145" s="56" t="n">
        <v>0.0339</v>
      </c>
    </row>
    <row r="146">
      <c r="A146" s="6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83" t="n">
        <v>0.37</v>
      </c>
      <c r="AA146" s="39" t="n">
        <v>2220</v>
      </c>
      <c r="AB146" s="56" t="n">
        <v>0.0339</v>
      </c>
    </row>
    <row r="147">
      <c r="A147" s="6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83" t="n">
        <v>0.37</v>
      </c>
      <c r="AA147" s="39" t="n">
        <v>2220</v>
      </c>
      <c r="AB147" s="56" t="n">
        <v>0.0339</v>
      </c>
    </row>
    <row r="148">
      <c r="A148" s="6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83" t="n">
        <v>0.37</v>
      </c>
      <c r="AA148" s="39" t="n">
        <v>2220</v>
      </c>
      <c r="AB148" s="56" t="n">
        <v>0.0339</v>
      </c>
    </row>
    <row r="149">
      <c r="A149" s="6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83" t="n">
        <v>0.26</v>
      </c>
      <c r="AA149" s="39" t="n">
        <v>1560</v>
      </c>
      <c r="AB149" s="56" t="n">
        <v>0.0331</v>
      </c>
    </row>
    <row r="150">
      <c r="A150" s="6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83" t="n">
        <v>0.26</v>
      </c>
      <c r="AA150" s="39" t="n">
        <v>1560</v>
      </c>
      <c r="AB150" s="56" t="n">
        <v>0.0331</v>
      </c>
    </row>
    <row r="151">
      <c r="A151" s="6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83" t="n">
        <v>0.26</v>
      </c>
      <c r="AA151" s="39" t="n">
        <v>1560</v>
      </c>
      <c r="AB151" s="56" t="n">
        <v>0.0331</v>
      </c>
    </row>
    <row r="152">
      <c r="A152" s="6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83" t="n">
        <v>0.26</v>
      </c>
      <c r="AA152" s="39" t="n">
        <v>1560</v>
      </c>
      <c r="AB152" s="56" t="n">
        <v>0.0331</v>
      </c>
    </row>
    <row r="153">
      <c r="A153" s="6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83" t="n">
        <v>0.26</v>
      </c>
      <c r="AA153" s="39" t="n">
        <v>1560</v>
      </c>
      <c r="AB153" s="56" t="n">
        <v>0.0331</v>
      </c>
    </row>
    <row r="154">
      <c r="A154" s="6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83" t="n">
        <v>0.165</v>
      </c>
      <c r="AA154" s="39" t="n">
        <v>990</v>
      </c>
      <c r="AB154" s="56" t="n">
        <v>0.0368</v>
      </c>
    </row>
    <row r="155">
      <c r="A155" s="6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83" t="n">
        <v>0.165</v>
      </c>
      <c r="AA155" s="39" t="n">
        <v>990</v>
      </c>
      <c r="AB155" s="56" t="n">
        <v>0.0368</v>
      </c>
    </row>
    <row r="156">
      <c r="A156" s="6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83" t="n">
        <v>0.165</v>
      </c>
      <c r="AA156" s="39" t="n">
        <v>990</v>
      </c>
      <c r="AB156" s="56" t="n">
        <v>0.0368</v>
      </c>
    </row>
    <row r="157">
      <c r="A157" s="6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83" t="n">
        <v>0.165</v>
      </c>
      <c r="AA157" s="39" t="n">
        <v>990</v>
      </c>
      <c r="AB157" s="56" t="n">
        <v>0.0368</v>
      </c>
    </row>
    <row r="158">
      <c r="A158" s="6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83" t="n">
        <v>0.165</v>
      </c>
      <c r="AA158" s="39" t="n">
        <v>990</v>
      </c>
      <c r="AB158" s="56" t="n">
        <v>0.0368</v>
      </c>
    </row>
    <row r="159">
      <c r="A159" s="6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83" t="n">
        <v>0.125</v>
      </c>
      <c r="AA159" s="39" t="n">
        <v>750</v>
      </c>
      <c r="AB159" s="56" t="n">
        <v>0.0368</v>
      </c>
    </row>
    <row r="160">
      <c r="A160" s="6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83" t="n">
        <v>0.125</v>
      </c>
      <c r="AA160" s="39" t="n">
        <v>750</v>
      </c>
      <c r="AB160" s="56" t="n">
        <v>0.0368</v>
      </c>
    </row>
    <row r="161">
      <c r="A161" s="6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83" t="n">
        <v>0.125</v>
      </c>
      <c r="AA161" s="39" t="n">
        <v>750</v>
      </c>
      <c r="AB161" s="56" t="n">
        <v>0.0368</v>
      </c>
    </row>
    <row r="162">
      <c r="A162" s="6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83" t="n">
        <v>0.125</v>
      </c>
      <c r="AA162" s="39" t="n">
        <v>750</v>
      </c>
      <c r="AB162" s="56" t="n">
        <v>0.0368</v>
      </c>
    </row>
    <row r="163">
      <c r="A163" s="6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83" t="n">
        <v>0.125</v>
      </c>
      <c r="AA163" s="39" t="n">
        <v>750</v>
      </c>
      <c r="AB163" s="56" t="n">
        <v>0.0338</v>
      </c>
    </row>
    <row r="164">
      <c r="A164" s="6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83" t="n">
        <v>0.125</v>
      </c>
      <c r="AA164" s="39" t="n">
        <v>750</v>
      </c>
      <c r="AB164" s="56" t="n">
        <v>0.0338</v>
      </c>
    </row>
    <row r="165">
      <c r="A165" s="6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83" t="n">
        <v>0.125</v>
      </c>
      <c r="AA165" s="39" t="n">
        <v>750</v>
      </c>
      <c r="AB165" s="56" t="n">
        <v>0.0338</v>
      </c>
    </row>
    <row r="166">
      <c r="A166" s="6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83" t="n">
        <v>0.125</v>
      </c>
      <c r="AA166" s="39" t="n">
        <v>750</v>
      </c>
      <c r="AB166" s="56" t="n">
        <v>0.0338</v>
      </c>
    </row>
    <row r="167">
      <c r="A167" s="6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83" t="n">
        <v>0.125</v>
      </c>
      <c r="AA167" s="39" t="n">
        <v>750</v>
      </c>
      <c r="AB167" s="56" t="n">
        <v>0.0338</v>
      </c>
    </row>
    <row r="168">
      <c r="A168" s="6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83" t="n">
        <v>0.125</v>
      </c>
      <c r="AA168" s="39" t="n">
        <v>750</v>
      </c>
      <c r="AB168" s="56" t="n">
        <v>0.0338</v>
      </c>
    </row>
    <row r="169">
      <c r="A169" s="6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83" t="n">
        <v>0.125</v>
      </c>
      <c r="AA169" s="39" t="n">
        <v>750</v>
      </c>
      <c r="AB169" s="56" t="n">
        <v>0.0338</v>
      </c>
    </row>
    <row r="170">
      <c r="A170" s="6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83" t="n">
        <v>0.125</v>
      </c>
      <c r="AA170" s="39" t="n">
        <v>750</v>
      </c>
      <c r="AB170" s="56" t="n">
        <v>0.0338</v>
      </c>
    </row>
    <row r="171">
      <c r="A171" s="6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83" t="n">
        <v>0.125</v>
      </c>
      <c r="AA171" s="39" t="n">
        <v>750</v>
      </c>
      <c r="AB171" s="56" t="n">
        <v>0.0338</v>
      </c>
    </row>
    <row r="172">
      <c r="A172" s="6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83" t="n">
        <v>0.125</v>
      </c>
      <c r="AA172" s="39" t="n">
        <v>750</v>
      </c>
      <c r="AB172" s="56" t="n">
        <v>0.0338</v>
      </c>
    </row>
    <row r="173">
      <c r="A173" s="6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83" t="n">
        <v>0.125</v>
      </c>
      <c r="AA173" s="39" t="n">
        <v>750</v>
      </c>
      <c r="AB173" s="56" t="n">
        <v>0.0338</v>
      </c>
    </row>
    <row r="174">
      <c r="A174" s="6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83" t="n">
        <v>0.125</v>
      </c>
      <c r="AA174" s="39" t="n">
        <v>750</v>
      </c>
      <c r="AB174" s="56" t="n">
        <v>0.0338</v>
      </c>
    </row>
    <row r="175">
      <c r="A175" s="6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83" t="n">
        <v>0.125</v>
      </c>
      <c r="AA175" s="39" t="n">
        <v>750</v>
      </c>
      <c r="AB175" s="56" t="n">
        <v>0.0338</v>
      </c>
    </row>
    <row r="176">
      <c r="A176" s="6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83" t="n">
        <v>0.125</v>
      </c>
      <c r="AA176" s="39" t="n">
        <v>750</v>
      </c>
      <c r="AB176" s="56" t="n">
        <v>0.0338</v>
      </c>
    </row>
    <row r="177">
      <c r="A177" s="6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83" t="n">
        <v>0.125</v>
      </c>
      <c r="AA177" s="39" t="n">
        <v>750</v>
      </c>
      <c r="AB177" s="56" t="n">
        <v>0.0338</v>
      </c>
    </row>
    <row r="178">
      <c r="A178" s="6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83" t="n">
        <v>0.125</v>
      </c>
      <c r="AA178" s="39" t="n">
        <v>750</v>
      </c>
      <c r="AB178" s="56" t="n">
        <v>0.0338</v>
      </c>
    </row>
    <row r="179">
      <c r="A179" s="6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83" t="n">
        <v>0.125</v>
      </c>
      <c r="AA179" s="39" t="n">
        <v>750</v>
      </c>
      <c r="AB179" s="56" t="n">
        <v>0.0338</v>
      </c>
    </row>
    <row r="180">
      <c r="A180" s="6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83" t="n">
        <v>0.125</v>
      </c>
      <c r="AA180" s="39" t="n">
        <v>750</v>
      </c>
      <c r="AB180" s="56" t="n">
        <v>0.0338</v>
      </c>
    </row>
    <row r="181">
      <c r="A181" s="6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83" t="n">
        <v>0.125</v>
      </c>
      <c r="AA181" s="39" t="n">
        <v>750</v>
      </c>
      <c r="AB181" s="56" t="n">
        <v>0.0338</v>
      </c>
    </row>
    <row r="182">
      <c r="A182" s="6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83" t="n">
        <v>0.125</v>
      </c>
      <c r="AA182" s="39" t="n">
        <v>750</v>
      </c>
      <c r="AB182" s="56" t="n">
        <v>0.0338</v>
      </c>
    </row>
    <row r="183">
      <c r="A183" s="6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83" t="n">
        <v>0.125</v>
      </c>
      <c r="AA183" s="39" t="n">
        <v>750</v>
      </c>
      <c r="AB183" s="56" t="n">
        <v>0.0338</v>
      </c>
    </row>
    <row r="184">
      <c r="A184" s="6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83" t="n">
        <v>0.125</v>
      </c>
      <c r="AA184" s="39" t="n">
        <v>750</v>
      </c>
      <c r="AB184" s="56" t="n">
        <v>0.0338</v>
      </c>
    </row>
    <row r="185">
      <c r="A185" s="6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83" t="n">
        <v>0.125</v>
      </c>
      <c r="AA185" s="39" t="n">
        <v>750</v>
      </c>
      <c r="AB185" s="56" t="n">
        <v>0.0338</v>
      </c>
    </row>
    <row r="186">
      <c r="A186" s="6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83" t="n">
        <v>0.125</v>
      </c>
      <c r="AA186" s="39" t="n">
        <v>750</v>
      </c>
      <c r="AB186" s="56" t="n">
        <v>0.0338</v>
      </c>
    </row>
    <row r="187">
      <c r="A187" s="6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83" t="n">
        <v>0.125</v>
      </c>
      <c r="AA187" s="39" t="n">
        <v>750</v>
      </c>
      <c r="AB187" s="56" t="n">
        <v>0.0338</v>
      </c>
    </row>
    <row r="188">
      <c r="A188" s="6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83" t="n">
        <v>0.125</v>
      </c>
      <c r="AA188" s="39" t="n">
        <v>750</v>
      </c>
      <c r="AB188" s="56" t="n">
        <v>0.0338</v>
      </c>
    </row>
    <row r="189">
      <c r="A189" s="6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83" t="n">
        <v>0.125</v>
      </c>
      <c r="AA189" s="39" t="n">
        <v>750</v>
      </c>
      <c r="AB189" s="56" t="n">
        <v>0.0338</v>
      </c>
    </row>
    <row r="190">
      <c r="A190" s="6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83" t="n">
        <v>0.125</v>
      </c>
      <c r="AA190" s="39" t="n">
        <v>750</v>
      </c>
      <c r="AB190" s="56" t="n">
        <v>0.0338</v>
      </c>
    </row>
    <row r="191">
      <c r="A191" s="6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83" t="n">
        <v>0.125</v>
      </c>
      <c r="AA191" s="39" t="n">
        <v>750</v>
      </c>
      <c r="AB191" s="56" t="n">
        <v>0.0338</v>
      </c>
    </row>
    <row r="192">
      <c r="A192" s="6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83" t="n">
        <v>0.125</v>
      </c>
      <c r="AA192" s="39" t="n">
        <v>750</v>
      </c>
      <c r="AB192" s="56" t="n">
        <v>0.0338</v>
      </c>
    </row>
    <row r="193">
      <c r="A193" s="6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83" t="n">
        <v>0.125</v>
      </c>
      <c r="AA193" s="39" t="n">
        <v>750</v>
      </c>
      <c r="AB193" s="56" t="n">
        <v>0.0338</v>
      </c>
    </row>
  </sheetData>
  <autoFilter ref="A5:B10"/>
  <mergeCells count="23">
    <mergeCell ref="J109:M109"/>
    <mergeCell ref="A64:H64"/>
    <mergeCell ref="Z109:AB109"/>
    <mergeCell ref="J19:Q19"/>
    <mergeCell ref="J4:L4"/>
    <mergeCell ref="J37:Q37"/>
    <mergeCell ref="V109:Y109"/>
    <mergeCell ref="O4:Q8"/>
    <mergeCell ref="B109:E109"/>
    <mergeCell ref="N109:Q109"/>
    <mergeCell ref="A46:H46"/>
    <mergeCell ref="A27:H27"/>
    <mergeCell ref="A21:H21"/>
    <mergeCell ref="A1:G1"/>
    <mergeCell ref="A88:M88"/>
    <mergeCell ref="A4:H4"/>
    <mergeCell ref="A81:H81"/>
    <mergeCell ref="A72:H72"/>
    <mergeCell ref="F109:I109"/>
    <mergeCell ref="A108:AB108"/>
    <mergeCell ref="A13:H13"/>
    <mergeCell ref="A2:G2"/>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52" customWidth="1" min="3" max="3"/>
    <col width="36" customWidth="1" min="4" max="4"/>
    <col width="44" customWidth="1" min="5" max="5"/>
    <col width="40" customWidth="1" min="6" max="6"/>
  </cols>
  <sheetData>
    <row r="1">
      <c r="A1" s="1" t="inlineStr">
        <is>
          <t>Code implementation backlog — where the code does not yet follow the model</t>
        </is>
      </c>
    </row>
    <row r="2">
      <c r="A2" s="2" t="inlineStr">
        <is>
          <t>V0-24: model issues are fixed or decided in the workbook; open ideas are parked in Calculations.md (Open issues). Every row below is a code change.</t>
        </is>
      </c>
    </row>
    <row r="3">
      <c r="A3" s="3" t="inlineStr">
        <is>
          <t>#</t>
        </is>
      </c>
      <c r="B3" s="3" t="inlineStr">
        <is>
          <t>Component</t>
        </is>
      </c>
      <c r="C3" s="3" t="inlineStr">
        <is>
          <t>Model (Excel)</t>
        </is>
      </c>
      <c r="D3" s="3" t="inlineStr">
        <is>
          <t>Code today</t>
        </is>
      </c>
      <c r="E3" s="3" t="inlineStr">
        <is>
          <t>Change in code</t>
        </is>
      </c>
      <c r="F3" s="3" t="inlineStr">
        <is>
          <t>Files</t>
        </is>
      </c>
    </row>
    <row r="4" ht="60" customHeight="1">
      <c r="A4" s="4" t="inlineStr">
        <is>
          <t>1</t>
        </is>
      </c>
      <c r="B4" s="4" t="inlineStr">
        <is>
          <t>USD system currency</t>
        </is>
      </c>
      <c r="C4" s="4" t="inlineStr">
        <is>
          <t>Inputs × USD per 1, calculators in USD with USD fixed amounts, results back and rounded in user currency (V0-15, recalibrated V0-24).</t>
        </is>
      </c>
      <c r="D4" s="4" t="inlineStr">
        <is>
          <t>Session currency with SGD constants.</t>
        </is>
      </c>
      <c r="E4" s="4" t="inlineStr">
        <is>
          <t>Convert in / calculate / convert back; USD constants from Assumptions.</t>
        </is>
      </c>
      <c r="F4" s="4" t="inlineStr">
        <is>
          <t>goal_math.py; need_calculator.py; predict.py; planProducts.ts; hu_payload.py</t>
        </is>
      </c>
    </row>
    <row r="5" ht="60" customHeight="1">
      <c r="A5" s="4" t="inlineStr">
        <is>
          <t>2</t>
        </is>
      </c>
      <c r="B5" s="4" t="inlineStr">
        <is>
          <t>FX feed and session lock</t>
        </is>
      </c>
      <c r="C5" s="4" t="inlineStr">
        <is>
          <t>152 currencies; unknown currency → error (V0-22).</t>
        </is>
      </c>
      <c r="D5" s="4" t="inlineStr">
        <is>
          <t>9 currencies; silent SGD fallback; no lock.</t>
        </is>
      </c>
      <c r="E5" s="4" t="inlineStr">
        <is>
          <t>Live FX feed; store the rate on the session at start; error on unknown currency.</t>
        </is>
      </c>
      <c r="F5" s="4" t="inlineStr">
        <is>
          <t>src/fx.py</t>
        </is>
      </c>
    </row>
    <row r="6" ht="60" customHeight="1">
      <c r="A6" s="4" t="inlineStr">
        <is>
          <t>3</t>
        </is>
      </c>
      <c r="B6" s="4" t="inlineStr">
        <is>
          <t>PPP price level</t>
        </is>
      </c>
      <c r="C6" s="4" t="inlineStr">
        <is>
          <t>Relative price level per country (base Singapore) × USD fixed amounts; Need Profiler in PPP-USD (V0-22).</t>
        </is>
      </c>
      <c r="D6" s="4" t="inlineStr">
        <is>
          <t>None.</t>
        </is>
      </c>
      <c r="E6" s="4" t="inlineStr">
        <is>
          <t>Ship fx_ppp/countries_ppp.csv (yearly refresh); apply in goal_math / predict / need_profiler.</t>
        </is>
      </c>
      <c r="F6" s="4" t="inlineStr">
        <is>
          <t>src/fx.py; need_profiler.py</t>
        </is>
      </c>
    </row>
    <row r="7" ht="60" customHeight="1">
      <c r="A7" s="4" t="inlineStr">
        <is>
          <t>4</t>
        </is>
      </c>
      <c r="B7" s="4" t="inlineStr">
        <is>
          <t>Social-security plug-in</t>
        </is>
      </c>
      <c r="C7" s="4" t="inlineStr">
        <is>
          <t>CPF tab = SG-CPF module; default module = no contribution (V0-15).</t>
        </is>
      </c>
      <c r="D7" s="4" t="inlineStr">
        <is>
          <t>src/cpf.py only; HU and SV run their own CPF.</t>
        </is>
      </c>
      <c r="E7" s="4" t="inlineStr">
        <is>
          <t>One interface (gross, age, residency, country → contribution, take-home) used by GP, HU and SV.</t>
        </is>
      </c>
      <c r="F7" s="4" t="inlineStr">
        <is>
          <t>src/cpf.py; HU; SV</t>
        </is>
      </c>
    </row>
    <row r="8" ht="60" customHeight="1">
      <c r="A8" s="4" t="inlineStr">
        <is>
          <t>5</t>
        </is>
      </c>
      <c r="B8" s="4" t="inlineStr">
        <is>
          <t>Names and needs</t>
        </is>
      </c>
      <c r="C8" s="4" t="inlineStr">
        <is>
          <t>Dictionary: N_ / R_ / prefix names; Farewell dropped; N_HOM / N_CAR / N_TRV parked; N_PRP never auto-picked (V0-16/17).</t>
        </is>
      </c>
      <c r="D8" s="4" t="inlineStr">
        <is>
          <t>Old names; Farewell scored; Home Protection → N_PRP with SAV ↔ PRP swap.</t>
        </is>
      </c>
      <c r="E8" s="4" t="inlineStr">
        <is>
          <t>Rename parameters; update need_profiler selection and labels.</t>
        </is>
      </c>
      <c r="F8" s="4" t="inlineStr">
        <is>
          <t>goal_math.py; need_profiler.py; Need_profiler.json; stressEvents.ts; types.ts</t>
        </is>
      </c>
    </row>
    <row r="9" ht="60" customHeight="1">
      <c r="A9" s="4" t="inlineStr">
        <is>
          <t>6</t>
        </is>
      </c>
      <c r="B9" s="4" t="inlineStr">
        <is>
          <t>N_PAC and N_LTC</t>
        </is>
      </c>
      <c r="C9" s="4" t="inlineStr">
        <is>
          <t>Calculators N_PAC (1 year income + PAC_COST) and N_LTC (LTC_COST a year, start age → life expectancy) (V0-16/18/19).</t>
        </is>
      </c>
      <c r="D9" s="4" t="inlineStr">
        <is>
          <t>Not present.</t>
        </is>
      </c>
      <c r="E9" s="4" t="inlineStr">
        <is>
          <t>Add both needs (calculator, plan, budget, SV premium); send N_PAC to HappiU.</t>
        </is>
      </c>
      <c r="F9" s="4" t="inlineStr">
        <is>
          <t>need_calculator.py; planProducts.ts; hu_payload.py</t>
        </is>
      </c>
    </row>
    <row r="10" ht="60" customHeight="1">
      <c r="A10" s="4" t="inlineStr">
        <is>
          <t>7</t>
        </is>
      </c>
      <c r="B10" s="4" t="inlineStr">
        <is>
          <t>HappiU payload</t>
        </is>
      </c>
      <c r="C10" s="4" t="inlineStr">
        <is>
          <t>GP sends CRI_COST, TPD_COST, life-expectancy default and cap; codes N_HOS / TPD (V0-18/21).</t>
        </is>
      </c>
      <c r="D10" s="4" t="inlineStr">
        <is>
          <t>HU defaults 200,000 / 444,000 / 83; N_HOS renamed N_HSP; HU says PTD.</t>
        </is>
      </c>
      <c r="E10" s="4" t="inlineStr">
        <is>
          <t>Send the values; one code per need in GP and HU.</t>
        </is>
      </c>
      <c r="F10" s="4" t="inlineStr">
        <is>
          <t>hu_payload.py; HU CashflowHandler, ProductPTD</t>
        </is>
      </c>
    </row>
    <row r="11" ht="60" customHeight="1">
      <c r="A11" s="4" t="inlineStr">
        <is>
          <t>8</t>
        </is>
      </c>
      <c r="B11" s="4" t="inlineStr">
        <is>
          <t>Scenario Visualizer payload and stress events</t>
        </is>
      </c>
      <c r="C11" s="4" t="inlineStr">
        <is>
          <t>Path to LON_AGE 99; chart to session LE; R_ events in USD by age; R_LON (V0-18/21).</t>
        </is>
      </c>
      <c r="D11" s="4" t="inlineStr">
        <is>
          <t>Path to 100; chart to 85; stress sizes SGD by year offset.</t>
        </is>
      </c>
      <c r="E11" s="4" t="inlineStr">
        <is>
          <t>Send LON_AGE and LE; move stressEvents.ts to USD sizes and ages; add R_LON.</t>
        </is>
      </c>
      <c r="F11" s="4" t="inlineStr">
        <is>
          <t>sv_payload.py; stressEvents.ts</t>
        </is>
      </c>
    </row>
    <row r="12" ht="60" customHeight="1">
      <c r="A12" s="4" t="inlineStr">
        <is>
          <t>9</t>
        </is>
      </c>
      <c r="B12" s="4" t="inlineStr">
        <is>
          <t>Spend floor</t>
        </is>
      </c>
      <c r="C12" s="4" t="inlineStr">
        <is>
          <t>MIN_EXPENSE_MONTHLY USD 100 (V0-21).</t>
        </is>
      </c>
      <c r="D12" s="4" t="inlineStr">
        <is>
          <t>S$100.</t>
        </is>
      </c>
      <c r="E12" s="4" t="inlineStr">
        <is>
          <t>Floor in USD, converted to user currency.</t>
        </is>
      </c>
      <c r="F12" s="4" t="inlineStr">
        <is>
          <t>frontend MIN_EXPENSE_MONTHLY</t>
        </is>
      </c>
    </row>
    <row r="13" ht="60" customHeight="1">
      <c r="A13" s="4" t="inlineStr">
        <is>
          <t>10</t>
        </is>
      </c>
      <c r="B13" s="4" t="inlineStr">
        <is>
          <t>Goal target years</t>
        </is>
      </c>
      <c r="C13" s="4" t="inlineStr">
        <is>
          <t>N_EDU at age 50, N_SAV at 40, N_PRP at 33; each goal its own horizon in Plan, SV, HU (V0-24).</t>
        </is>
      </c>
      <c r="D13" s="4" t="inlineStr">
        <is>
          <t>All three at +10 years, one horizon.</t>
        </is>
      </c>
      <c r="E13" s="4" t="inlineStr">
        <is>
          <t>Default targetYear per goal from the age parameters; per-goal horizons.</t>
        </is>
      </c>
      <c r="F13" s="4" t="inlineStr">
        <is>
          <t>needEdit.ts; planProducts.ts; sv_payload.py; hu_payload.py</t>
        </is>
      </c>
    </row>
    <row r="14" ht="60" customHeight="1">
      <c r="A14" s="4" t="inlineStr">
        <is>
          <t>11</t>
        </is>
      </c>
      <c r="B14" s="4" t="inlineStr">
        <is>
          <t>Plan default contribution</t>
        </is>
      </c>
      <c r="C14" s="4" t="inlineStr">
        <is>
          <t>(free budget − premiums / 12) ÷ n wealth, rounded down: default plan never exceeds the free budget (V0-24).</t>
        </is>
      </c>
      <c r="D14" s="4" t="inlineStr">
        <is>
          <t>(surplus × 12 − premiums) × 50%, rounded to nearest: can exceed.</t>
        </is>
      </c>
      <c r="E14" s="4" t="inlineStr">
        <is>
          <t>Same formula as the workbook.</t>
        </is>
      </c>
      <c r="F14" s="4" t="inlineStr">
        <is>
          <t>planProducts.ts seedProducts</t>
        </is>
      </c>
    </row>
    <row r="15" ht="60" customHeight="1">
      <c r="A15" s="4" t="inlineStr">
        <is>
          <t>12</t>
        </is>
      </c>
      <c r="B15" s="4" t="inlineStr">
        <is>
          <t>Profiler vocabulary</t>
        </is>
      </c>
      <c r="C15" s="4" t="inlineStr">
        <is>
          <t>Basic / Comfortable / Luxurious, Single / Double / Ward and free-text sports mapped to profiler options (V0-24).</t>
        </is>
      </c>
      <c r="D15" s="4" t="inlineStr">
        <is>
          <t>No mapping: those flags score 0.</t>
        </is>
      </c>
      <c r="E15" s="4" t="inlineStr">
        <is>
          <t>Apply the same map (or align the prompts).</t>
        </is>
      </c>
      <c r="F15" s="4" t="inlineStr">
        <is>
          <t>need_profiler.py; people_like_you_all_fields.json</t>
        </is>
      </c>
    </row>
    <row r="16" ht="60" customHeight="1">
      <c r="A16" s="4" t="inlineStr">
        <is>
          <t>13</t>
        </is>
      </c>
      <c r="B16" s="4" t="inlineStr">
        <is>
          <t>Premium quote</t>
        </is>
      </c>
      <c r="C16" s="4" t="inlineStr">
        <is>
          <t>Placeholder rate 0.078% of cover for every protection type.</t>
        </is>
      </c>
      <c r="D16" s="4" t="inlineStr">
        <is>
          <t>Same placeholder.</t>
        </is>
      </c>
      <c r="E16" s="4" t="inlineStr">
        <is>
          <t>Premium-quote API per market and product.</t>
        </is>
      </c>
      <c r="F16" s="4" t="inlineStr">
        <is>
          <t>planProducts.ts coverPremiumFor</t>
        </is>
      </c>
    </row>
    <row r="17" ht="60" customHeight="1">
      <c r="A17" s="4" t="inlineStr">
        <is>
          <t>14</t>
        </is>
      </c>
      <c r="B17" s="4" t="inlineStr">
        <is>
          <t>Existing cover in the profiler</t>
        </is>
      </c>
      <c r="C17" s="4" t="inlineStr">
        <is>
          <t>Hard-coded 0 (as code).</t>
        </is>
      </c>
      <c r="D17" s="4" t="inlineStr">
        <is>
          <t>Existing*Coverage = 0.</t>
        </is>
      </c>
      <c r="E17" s="4" t="inlineStr">
        <is>
          <t>Wire policies into Existing*Coverage and into have.</t>
        </is>
      </c>
      <c r="F17" s="4" t="inlineStr">
        <is>
          <t>onboarding.py; need_profiler.py</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84" t="inlineStr">
        <is>
          <t>V0-24</t>
        </is>
      </c>
      <c r="B4" s="84" t="inlineStr">
        <is>
          <t>2026-09-27</t>
        </is>
      </c>
      <c r="C4" s="84" t="inlineStr">
        <is>
          <t>Pre-code clean-up</t>
        </is>
      </c>
      <c r="D4" s="84" t="inlineStr">
        <is>
          <t>A1 Money-page overrides (Personas W–AC) cleared. A2 Plan default contribution = (free budget − premiums / 12) ÷ n wealth, rounded down, so it never exceeds the Budget Calculator. A3 Goal target years by age: N_EDU 50, N_SAV 40, N_PRP 33; own horizon per goal in Need Calculator, Plan, SV and HappiU. A4 People Like You vocabulary mapped to profiler options (lifestyle, ward, sports). A6 USD fixed amounts recalibrated at today's SGD rate, so Singapore amounts are unchanged in SGD. A7 Discrepancies tab is now the code implementation backlog only.</t>
        </is>
      </c>
      <c r="E4" s="84" t="inlineStr">
        <is>
          <t>Personas; Plan; Need Calculator; SV; HappiU; Need Profiler; Assumptions; Discrepancies.</t>
        </is>
      </c>
      <c r="F4" s="84" t="inlineStr">
        <is>
          <t>Not in code (see Discrepancies).</t>
        </is>
      </c>
    </row>
    <row r="5">
      <c r="A5" s="84" t="inlineStr">
        <is>
          <t>V0-23</t>
        </is>
      </c>
      <c r="B5" s="84" t="inlineStr">
        <is>
          <t>2026-09-27</t>
        </is>
      </c>
      <c r="C5" s="84" t="inlineStr">
        <is>
          <t>Need Profiler</t>
        </is>
      </c>
      <c r="D5" s="84" t="inlineStr">
        <is>
          <t>Section D row 'USD per 1 local' now shows the rate the profiler actually uses: PPP-USD per 1 local (market ÷ price level, =FX_pppUsdPerLocal). Display only; no result changes.</t>
        </is>
      </c>
      <c r="E5" s="84" t="inlineStr">
        <is>
          <t>Need Profiler D-block.</t>
        </is>
      </c>
      <c r="F5" s="84" t="inlineStr">
        <is>
          <t>—</t>
        </is>
      </c>
    </row>
    <row r="6">
      <c r="A6" s="84" t="inlineStr">
        <is>
          <t>V0-22</t>
        </is>
      </c>
      <c r="B6" s="84" t="inlineStr">
        <is>
          <t>2026-09-26</t>
        </is>
      </c>
      <c r="C6" s="84" t="inlineStr">
        <is>
          <t>FX and PPP</t>
        </is>
      </c>
      <c r="D6" s="84" t="inlineStr">
        <is>
          <t>Rate table extended to 152 currencies (market rate 2026-09-25) and a PPP table for 245 countries (World Bank PPP, 2024 average market rate, price level US = 1; 186 usable). Price level is per country, relative to PPP_BASE_COUNTRY (Singapore). Option B switched on: USD fixed amounts × relative price level; Need Profiler compares PPP-USD. Singapore is unchanged by PPP, but the new SGD rate (0.7816, was 0.74) lowers SGD fixed amounts by 5.3%.</t>
        </is>
      </c>
      <c r="E6" s="84" t="inlineStr">
        <is>
          <t>FX tab; fx_ppp/*.csv; Assumptions priceLevelOn, fxMode, PPP_BASE_COUNTRY; Need Profiler usd rows.</t>
        </is>
      </c>
      <c r="F6" s="84" t="inlineStr">
        <is>
          <t>Not in code (src/fx.py 9 currencies).</t>
        </is>
      </c>
    </row>
    <row r="7">
      <c r="A7" s="84" t="inlineStr">
        <is>
          <t>V0-21</t>
        </is>
      </c>
      <c r="B7" s="84" t="inlineStr">
        <is>
          <t>2026-09-26</t>
        </is>
      </c>
      <c r="C7" s="84" t="inlineStr">
        <is>
          <t>Assumptions / stress events / HappiU / SV</t>
        </is>
      </c>
      <c r="D7" s="84" t="inlineStr">
        <is>
          <t>Parameter review merged into Assumptions (unit, currency, status, code source, changed in, open proposal); review tab removed. Life expectancy: one default (85), cap LON_AGE 99; GP sends them to HappiU (default was 83) and SV (path now ends at 99, was 100); chart horizon = session life expectancy. GP sends CRI_COST and TPD_COST to HappiU (were HU 200,000 / 444,000). CRI_MEDICAL_HU merged into CRI_COST. MIN_EXPENSE_MONTHLY USD 100 floor on spend. Stress events: sizes in USD, personal risks by age (R_DEA 60, R_CRI 55, R_TPD 50, R_PAC 45, R_HOS 50, R_LTC LTC start age → life expectancy), R_WED / R_BAB years 5 / 3; SV tab applies them when switched on.</t>
        </is>
      </c>
      <c r="E7" s="84" t="inlineStr">
        <is>
          <t>Assumptions; People Like You; HappiU; Scenario Visualizer; Dictionary; Discrepancies 8.</t>
        </is>
      </c>
      <c r="F7" s="84" t="inlineStr">
        <is>
          <t>Not in code.</t>
        </is>
      </c>
    </row>
    <row r="8">
      <c r="A8" s="84" t="inlineStr">
        <is>
          <t>V0-20</t>
        </is>
      </c>
      <c r="B8" s="84" t="inlineStr">
        <is>
          <t>2026-09-26</t>
        </is>
      </c>
      <c r="C8" s="84" t="inlineStr">
        <is>
          <t>Parameter review</t>
        </is>
      </c>
      <c r="D8" s="84" t="inlineStr">
        <is>
          <t>New Parameter review tab: every fixed amount, age and timing with current value, currency, status and a proposal (stress events to USD and linked to need parameters; personal-risk timing by age; life-expectancy ages harmonised). Review only: no formula changed.</t>
        </is>
      </c>
      <c r="E8" s="84" t="inlineStr">
        <is>
          <t>Parameter review tab.</t>
        </is>
      </c>
      <c r="F8" s="84" t="inlineStr">
        <is>
          <t>—</t>
        </is>
      </c>
    </row>
    <row r="9">
      <c r="A9" s="84" t="inlineStr">
        <is>
          <t>V0-19</t>
        </is>
      </c>
      <c r="B9" s="84" t="inlineStr">
        <is>
          <t>2026-09-26</t>
        </is>
      </c>
      <c r="C9" s="84" t="inlineStr">
        <is>
          <t>N_LTC</t>
        </is>
      </c>
      <c r="D9" s="84"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9" s="84" t="inlineStr">
        <is>
          <t>Assumptions LTC_COST / LTC_START_AGE; Need Calculator; Plan; Budget; Scenario Visualizer; Dictionary.</t>
        </is>
      </c>
      <c r="F9" s="84" t="inlineStr">
        <is>
          <t>Not in code; HappiU has no LTC.</t>
        </is>
      </c>
    </row>
    <row r="10">
      <c r="A10" s="84" t="inlineStr">
        <is>
          <t>V0-18</t>
        </is>
      </c>
      <c r="B10" s="84" t="inlineStr">
        <is>
          <t>2026-09-26</t>
        </is>
      </c>
      <c r="C10" s="84" t="inlineStr">
        <is>
          <t>TPD / N_PAC / R_LON</t>
        </is>
      </c>
      <c r="D10" s="84"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10" s="84" t="inlineStr">
        <is>
          <t>Assumptions LON_AGE, stress table; Need Calculator R_LON block; Scenario Visualizer SV_lonV / SV_end; HappiU labels; Dictionary.</t>
        </is>
      </c>
      <c r="F10" s="84" t="inlineStr">
        <is>
          <t>Not in code.</t>
        </is>
      </c>
    </row>
    <row r="11">
      <c r="A11" s="84" t="inlineStr">
        <is>
          <t>V0-17</t>
        </is>
      </c>
      <c r="B11" s="84" t="inlineStr">
        <is>
          <t>2026-09-26</t>
        </is>
      </c>
      <c r="C11" s="84" t="inlineStr">
        <is>
          <t>Dictionary</t>
        </is>
      </c>
      <c r="D11" s="84"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11" s="84" t="inlineStr">
        <is>
          <t>Dictionary tab; Need-dictionary.md; Dictionary.md.</t>
        </is>
      </c>
      <c r="F11" s="84" t="inlineStr">
        <is>
          <t>Not in code.</t>
        </is>
      </c>
    </row>
    <row r="12">
      <c r="A12" s="84" t="inlineStr">
        <is>
          <t>V0-16</t>
        </is>
      </c>
      <c r="B12" s="84" t="inlineStr">
        <is>
          <t>2026-09-26</t>
        </is>
      </c>
      <c r="C12" s="84" t="inlineStr">
        <is>
          <t>Dictionary</t>
        </is>
      </c>
      <c r="D12" s="84"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12" s="84" t="inlineStr">
        <is>
          <t>Dictionary; Assumptions named cells and stress-event table; Scenario Visualizer event labels.</t>
        </is>
      </c>
      <c r="F12" s="84" t="inlineStr">
        <is>
          <t>Not in code.</t>
        </is>
      </c>
    </row>
    <row r="13">
      <c r="A13" s="84" t="inlineStr">
        <is>
          <t>V0-16</t>
        </is>
      </c>
      <c r="B13" s="84" t="inlineStr">
        <is>
          <t>2026-09-26</t>
        </is>
      </c>
      <c r="C13" s="84" t="inlineStr">
        <is>
          <t>Need Profiler</t>
        </is>
      </c>
      <c r="D13" s="84"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13" s="84" t="inlineStr">
        <is>
          <t>Need Profiler; Assumptions weight matrix (column Farewell removed).</t>
        </is>
      </c>
      <c r="F13" s="84" t="inlineStr">
        <is>
          <t>Not in code: need_profiler.py still scores Farewell and maps Home Protection to N_PRP.</t>
        </is>
      </c>
    </row>
    <row r="14">
      <c r="A14" s="84" t="inlineStr">
        <is>
          <t>V0-16</t>
        </is>
      </c>
      <c r="B14" s="84" t="inlineStr">
        <is>
          <t>2026-09-26</t>
        </is>
      </c>
      <c r="C14" s="84" t="inlineStr">
        <is>
          <t>Need Calculator / Plan / Budget</t>
        </is>
      </c>
      <c r="D14" s="84" t="inlineStr">
        <is>
          <t>New calculator N_PAC: annuity-due of income for PAC_YEARS + PAC_COST (proposal: 1 year, USD 59,200). Plan sizes it like other protection; Budget and SV include its premium. HappiU does not receive it. Farewell funeral lump removed from Assumptions.</t>
        </is>
      </c>
      <c r="E14" s="84" t="inlineStr">
        <is>
          <t>Need Calculator row N_PAC; Plan Calculator; Budget Calculator; Scenario Visualizer SV_protPrem.</t>
        </is>
      </c>
      <c r="F14" s="84" t="inlineStr">
        <is>
          <t>Not in code.</t>
        </is>
      </c>
    </row>
    <row r="15">
      <c r="A15" s="84" t="inlineStr">
        <is>
          <t>V0-15</t>
        </is>
      </c>
      <c r="B15" s="84" t="inlineStr">
        <is>
          <t>2026-09-25</t>
        </is>
      </c>
      <c r="C15" s="84" t="inlineStr">
        <is>
          <t>All components</t>
        </is>
      </c>
      <c r="D15" s="84"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5" s="84" t="inlineStr">
        <is>
          <t>Assumptions rows 21–24 (systemCurrency, fxMode, priceLevelOn) and the USD rows.</t>
        </is>
      </c>
      <c r="F15" s="84" t="inlineStr">
        <is>
          <t>Not in code: goal_math.py, predict.py, planProducts.ts, hu_payload.py still SGD.</t>
        </is>
      </c>
    </row>
    <row r="16">
      <c r="A16" s="84" t="inlineStr">
        <is>
          <t>V0-15</t>
        </is>
      </c>
      <c r="B16" s="84" t="inlineStr">
        <is>
          <t>2026-09-25</t>
        </is>
      </c>
      <c r="C16" s="84" t="inlineStr">
        <is>
          <t>FX</t>
        </is>
      </c>
      <c r="D16" s="84" t="inlineStr">
        <is>
          <t>Unknown currency → #N/A (no SGD fallback). Price-level column for option B (default 1, switch off). Rounding steps derived in user currency: USD step ÷ rate, then the nearest 1 / 2 / 5 × 10^k.</t>
        </is>
      </c>
      <c r="E16" s="84" t="inlineStr">
        <is>
          <t>FX tab: rate, price level, FX_lumpStep, FX_monthlyStep, FX_coverPremStep, FX_lifeRound, FX_benefitRound.</t>
        </is>
      </c>
      <c r="F16" s="84" t="inlineStr">
        <is>
          <t>Not in code: src/fx.py falls back to SGD; no session lock.</t>
        </is>
      </c>
    </row>
    <row r="17">
      <c r="A17" s="84" t="inlineStr">
        <is>
          <t>V0-15</t>
        </is>
      </c>
      <c r="B17" s="84" t="inlineStr">
        <is>
          <t>2026-09-25</t>
        </is>
      </c>
      <c r="C17" s="84" t="inlineStr">
        <is>
          <t>Need Calculator</t>
        </is>
      </c>
      <c r="D17" s="84" t="inlineStr">
        <is>
          <t>Runs in USD: an S-block converts every money input (session and sliders) to USD; amount / have / gap are calculated in USD (columns H–J), then converted back and rounded to whole units in user currency (B–D).</t>
        </is>
      </c>
      <c r="E17" s="84" t="inlineStr">
        <is>
          <t>Need Calculator S-block and results H–J; names NC_amountUSD_*, NC_gapUSD_*.</t>
        </is>
      </c>
      <c r="F17" s="84" t="inlineStr">
        <is>
          <t>Not in code: evaluate_session computes in session currency with SGD lumps.</t>
        </is>
      </c>
    </row>
    <row r="18">
      <c r="A18" s="84" t="inlineStr">
        <is>
          <t>V0-15</t>
        </is>
      </c>
      <c r="B18" s="84" t="inlineStr">
        <is>
          <t>2026-09-25</t>
        </is>
      </c>
      <c r="C18" s="84" t="inlineStr">
        <is>
          <t>People Like You</t>
        </is>
      </c>
      <c r="D18" s="84" t="inlineStr">
        <is>
          <t>Home seed in USD: income converted to USD, compared with USD bands, USD home value converted back. Life cover rounds to the life-cover step in user currency.</t>
        </is>
      </c>
      <c r="E18" s="84" t="inlineStr">
        <is>
          <t>People Like You: income USD, property USD, property, life sum assured.</t>
        </is>
      </c>
      <c r="F18" s="84" t="inlineStr">
        <is>
          <t>Not in code: seed_property_value and _assumed_life_policy use SGD.</t>
        </is>
      </c>
    </row>
    <row r="19">
      <c r="A19" s="84" t="inlineStr">
        <is>
          <t>V0-15</t>
        </is>
      </c>
      <c r="B19" s="84" t="inlineStr">
        <is>
          <t>2026-09-25</t>
        </is>
      </c>
      <c r="C19" s="84" t="inlineStr">
        <is>
          <t>Plan / HappiU</t>
        </is>
      </c>
      <c r="D19" s="84" t="inlineStr">
        <is>
          <t>Plan contributions and premiums round to steps in user currency (SGD: 50 and 10). HappiU benefit rounding in user currency (SGD: 50,000). Budget Calculator is ratios only; unchanged.</t>
        </is>
      </c>
      <c r="E19" s="84" t="inlineStr">
        <is>
          <t>Plan Calculator D-block; HappiU HU_benefitRound.</t>
        </is>
      </c>
      <c r="F19" s="84" t="inlineStr">
        <is>
          <t>Not in code: planProducts.ts and hu_payload.py use SGD steps.</t>
        </is>
      </c>
    </row>
    <row r="20">
      <c r="A20" s="84" t="inlineStr">
        <is>
          <t>V0-15</t>
        </is>
      </c>
      <c r="B20" s="84" t="inlineStr">
        <is>
          <t>2026-09-25</t>
        </is>
      </c>
      <c r="C20" s="84" t="inlineStr">
        <is>
          <t>CPF</t>
        </is>
      </c>
      <c r="D20" s="84" t="inlineStr">
        <is>
          <t>CPF tab framed as a social-security plug-in: SG-CPF module or the default module (no contribution). Runs in user currency.</t>
        </is>
      </c>
      <c r="E20" s="84" t="inlineStr">
        <is>
          <t>CPF tab: module per country, module used.</t>
        </is>
      </c>
      <c r="F20" s="84" t="inlineStr">
        <is>
          <t>Code has only src/cpf.py; HappiU and SV run their own CPF.</t>
        </is>
      </c>
    </row>
    <row r="21">
      <c r="A21" s="84" t="inlineStr">
        <is>
          <t>V0-14</t>
        </is>
      </c>
      <c r="B21" s="84" t="inlineStr">
        <is>
          <t>2026-09-25</t>
        </is>
      </c>
      <c r="C21" s="84" t="inlineStr">
        <is>
          <t>Scenario Visualizer</t>
        </is>
      </c>
      <c r="D21" s="84" t="inlineStr">
        <is>
          <t>Mortgage instalment is a level 20-year annuity at loanRate (mortgage × r / (1 − (1 + r)^−20); rate 0 → mortgage / 20), replacing round(mortgage / 20). The balance now runs smoothly to 0 in year 20 (no step at the end of the term).</t>
        </is>
      </c>
      <c r="E21" s="84" t="inlineStr">
        <is>
          <t>SV tab: SV_inst, mortgage balance column. deterministic_engines.twin_sv / sv_loans.</t>
        </is>
      </c>
      <c r="F21" s="84" t="inlineStr">
        <is>
          <t>In code (goal_math.annual_loan_payment, sv_payload.py). Workbook catches up.</t>
        </is>
      </c>
    </row>
    <row r="22">
      <c r="A22" s="84" t="inlineStr">
        <is>
          <t>V0-14</t>
        </is>
      </c>
      <c r="B22" s="84" t="inlineStr">
        <is>
          <t>2026-09-25</t>
        </is>
      </c>
      <c r="C22" s="84" t="inlineStr">
        <is>
          <t>Scenario Visualizer</t>
        </is>
      </c>
      <c r="D22" s="84" t="inlineStr">
        <is>
          <t>New SPENDABLE pre / post columns for the expense-funding panel: cash + investments + savings (+ plan pots on post) − max(0, remaining mortgage − (home + CPF)). Not floored at 0. New results: first age spendable wealth &lt; 0 (pre / post).</t>
        </is>
      </c>
      <c r="E22" s="84" t="inlineStr">
        <is>
          <t>SV tab: spPre, spPost, SV_spOutPre, SV_spOutPost. twin_sv spendable. excel_check SV_COLS.</t>
        </is>
      </c>
      <c r="F22" s="84" t="inlineStr">
        <is>
          <t>SV engine (CashFlowGeneratorV2 spendableWealth). Earmarked goal pots funded from assets = 0 in the workbook: open question.</t>
        </is>
      </c>
    </row>
    <row r="23">
      <c r="A23" s="84" t="inlineStr">
        <is>
          <t>V0-14</t>
        </is>
      </c>
      <c r="B23" s="84" t="inlineStr">
        <is>
          <t>2026-09-25</t>
        </is>
      </c>
      <c r="C23" s="84" t="inlineStr">
        <is>
          <t>Folder</t>
        </is>
      </c>
      <c r="D23" s="84" t="inlineStr">
        <is>
          <t>New tree docs/calculations_clone (first named calculations-V0-14) cloned from docs/calculations (V0-13). Older trees stay as snapshots.</t>
        </is>
      </c>
      <c r="E23" s="84" t="inlineStr">
        <is>
          <t>Whole folder.</t>
        </is>
      </c>
      <c r="F23" s="84"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5" t="n">
        <v>4200</v>
      </c>
      <c r="C3" s="85" t="n">
        <v>2268</v>
      </c>
      <c r="D3" s="75" t="n">
        <v>983</v>
      </c>
      <c r="E3" s="75" t="n">
        <v>5569</v>
      </c>
      <c r="F3" s="75" t="n">
        <v>0</v>
      </c>
      <c r="G3" s="75" t="n">
        <v>0</v>
      </c>
      <c r="H3" s="75" t="n">
        <v>0</v>
      </c>
      <c r="I3" s="67" t="b">
        <v>1</v>
      </c>
      <c r="J3" s="67" t="b">
        <v>0</v>
      </c>
      <c r="K3" s="67" t="b">
        <v>0</v>
      </c>
      <c r="L3" s="67" t="b">
        <v>1</v>
      </c>
      <c r="M3" s="67" t="b">
        <v>1</v>
      </c>
      <c r="N3" s="67" t="b">
        <v>0</v>
      </c>
      <c r="O3" s="67" t="b">
        <v>1</v>
      </c>
      <c r="P3" s="67" t="b">
        <v>0</v>
      </c>
      <c r="Q3" s="75" t="n">
        <v>540361</v>
      </c>
      <c r="R3" s="75" t="n">
        <v>1036295</v>
      </c>
    </row>
    <row r="4">
      <c r="A4" s="4" t="inlineStr">
        <is>
          <t>P02</t>
        </is>
      </c>
      <c r="B4" s="85" t="n">
        <v>6020</v>
      </c>
      <c r="C4" s="85" t="n">
        <v>3250.8</v>
      </c>
      <c r="D4" s="75" t="n">
        <v>8452</v>
      </c>
      <c r="E4" s="75" t="n">
        <v>47895</v>
      </c>
      <c r="F4" s="75" t="n">
        <v>0</v>
      </c>
      <c r="G4" s="75" t="n">
        <v>0</v>
      </c>
      <c r="H4" s="75" t="n">
        <v>0</v>
      </c>
      <c r="I4" s="67" t="b">
        <v>1</v>
      </c>
      <c r="J4" s="67" t="b">
        <v>0</v>
      </c>
      <c r="K4" s="67" t="b">
        <v>0</v>
      </c>
      <c r="L4" s="67" t="b">
        <v>1</v>
      </c>
      <c r="M4" s="67" t="b">
        <v>1</v>
      </c>
      <c r="N4" s="67" t="b">
        <v>0</v>
      </c>
      <c r="O4" s="67" t="b">
        <v>1</v>
      </c>
      <c r="P4" s="67" t="b">
        <v>0</v>
      </c>
      <c r="Q4" s="75" t="n">
        <v>724812</v>
      </c>
      <c r="R4" s="75" t="n">
        <v>1078002</v>
      </c>
    </row>
    <row r="5">
      <c r="A5" s="4" t="inlineStr">
        <is>
          <t>P03</t>
        </is>
      </c>
      <c r="B5" s="85" t="n">
        <v>7140</v>
      </c>
      <c r="C5" s="85" t="n">
        <v>4141.2</v>
      </c>
      <c r="D5" s="75" t="n">
        <v>18378</v>
      </c>
      <c r="E5" s="75" t="n">
        <v>104144</v>
      </c>
      <c r="F5" s="75" t="n">
        <v>350000</v>
      </c>
      <c r="G5" s="75" t="n">
        <v>192500</v>
      </c>
      <c r="H5" s="75" t="n">
        <v>428400</v>
      </c>
      <c r="I5" s="67" t="b">
        <v>1</v>
      </c>
      <c r="J5" s="67" t="b">
        <v>0</v>
      </c>
      <c r="K5" s="67" t="b">
        <v>0</v>
      </c>
      <c r="L5" s="67" t="b">
        <v>1</v>
      </c>
      <c r="M5" s="67" t="b">
        <v>1</v>
      </c>
      <c r="N5" s="67" t="b">
        <v>0</v>
      </c>
      <c r="O5" s="67" t="b">
        <v>0</v>
      </c>
      <c r="P5" s="67" t="b">
        <v>1</v>
      </c>
      <c r="Q5" s="75" t="n">
        <v>874927</v>
      </c>
      <c r="R5" s="75" t="n">
        <v>1633487</v>
      </c>
    </row>
    <row r="6">
      <c r="A6" s="4" t="inlineStr">
        <is>
          <t>P04</t>
        </is>
      </c>
      <c r="B6" s="85" t="n">
        <v>4550</v>
      </c>
      <c r="C6" s="85" t="n">
        <v>2821</v>
      </c>
      <c r="D6" s="75" t="n">
        <v>14742</v>
      </c>
      <c r="E6" s="75" t="n">
        <v>83538</v>
      </c>
      <c r="F6" s="75" t="n">
        <v>350000</v>
      </c>
      <c r="G6" s="75" t="n">
        <v>192500</v>
      </c>
      <c r="H6" s="75" t="n">
        <v>273000</v>
      </c>
      <c r="I6" s="67" t="b">
        <v>1</v>
      </c>
      <c r="J6" s="67" t="b">
        <v>0</v>
      </c>
      <c r="K6" s="67" t="b">
        <v>0</v>
      </c>
      <c r="L6" s="67" t="b">
        <v>1</v>
      </c>
      <c r="M6" s="67" t="b">
        <v>1</v>
      </c>
      <c r="N6" s="67" t="b">
        <v>0</v>
      </c>
      <c r="O6" s="67" t="b">
        <v>0</v>
      </c>
      <c r="P6" s="67" t="b">
        <v>1</v>
      </c>
      <c r="Q6" s="75" t="n">
        <v>498862</v>
      </c>
      <c r="R6" s="75" t="n">
        <v>603146</v>
      </c>
    </row>
    <row r="7">
      <c r="A7" s="4" t="inlineStr">
        <is>
          <t>P05</t>
        </is>
      </c>
      <c r="B7" s="85" t="n">
        <v>5000</v>
      </c>
      <c r="C7" s="85" t="n">
        <v>3875</v>
      </c>
      <c r="D7" s="75" t="n">
        <v>26325</v>
      </c>
      <c r="E7" s="75" t="n">
        <v>149175</v>
      </c>
      <c r="F7" s="75" t="n">
        <v>350000</v>
      </c>
      <c r="G7" s="75" t="n">
        <v>192500</v>
      </c>
      <c r="H7" s="75" t="n">
        <v>300000</v>
      </c>
      <c r="I7" s="67" t="b">
        <v>1</v>
      </c>
      <c r="J7" s="67" t="b">
        <v>0</v>
      </c>
      <c r="K7" s="67" t="b">
        <v>0</v>
      </c>
      <c r="L7" s="67" t="b">
        <v>1</v>
      </c>
      <c r="M7" s="67" t="b">
        <v>1</v>
      </c>
      <c r="N7" s="67" t="b">
        <v>0</v>
      </c>
      <c r="O7" s="67" t="b">
        <v>0</v>
      </c>
      <c r="P7" s="67" t="b">
        <v>1</v>
      </c>
      <c r="Q7" s="75" t="n">
        <v>613326</v>
      </c>
      <c r="R7" s="75" t="n">
        <v>1285792</v>
      </c>
    </row>
    <row r="8">
      <c r="A8" s="4" t="inlineStr">
        <is>
          <t>P06</t>
        </is>
      </c>
      <c r="B8" s="85" t="n">
        <v>13910</v>
      </c>
      <c r="C8" s="85" t="n">
        <v>8924.75</v>
      </c>
      <c r="D8" s="75" t="n">
        <v>33514</v>
      </c>
      <c r="E8" s="75" t="n">
        <v>189913</v>
      </c>
      <c r="F8" s="75" t="n">
        <v>650000</v>
      </c>
      <c r="G8" s="75" t="n">
        <v>357500</v>
      </c>
      <c r="H8" s="75" t="n">
        <v>834600</v>
      </c>
      <c r="I8" s="67" t="b">
        <v>1</v>
      </c>
      <c r="J8" s="67" t="b">
        <v>1</v>
      </c>
      <c r="K8" s="67" t="b">
        <v>0</v>
      </c>
      <c r="L8" s="67" t="b">
        <v>0</v>
      </c>
      <c r="M8" s="67" t="b">
        <v>1</v>
      </c>
      <c r="N8" s="67" t="b">
        <v>0</v>
      </c>
      <c r="O8" s="67" t="b">
        <v>0</v>
      </c>
      <c r="P8" s="67" t="b">
        <v>1</v>
      </c>
      <c r="Q8" s="75" t="n">
        <v>1983433</v>
      </c>
      <c r="R8" s="75" t="n">
        <v>2984292</v>
      </c>
    </row>
    <row r="9">
      <c r="A9" s="4" t="inlineStr">
        <is>
          <t>P07</t>
        </is>
      </c>
      <c r="B9" s="85" t="n">
        <v>5525</v>
      </c>
      <c r="C9" s="85" t="n">
        <v>2983.5</v>
      </c>
      <c r="D9" s="75" t="n">
        <v>42664</v>
      </c>
      <c r="E9" s="75" t="n">
        <v>241763</v>
      </c>
      <c r="F9" s="75" t="n">
        <v>350000</v>
      </c>
      <c r="G9" s="75" t="n">
        <v>192500</v>
      </c>
      <c r="H9" s="75" t="n">
        <v>200000</v>
      </c>
      <c r="I9" s="67" t="b">
        <v>1</v>
      </c>
      <c r="J9" s="67" t="b">
        <v>0</v>
      </c>
      <c r="K9" s="67" t="b">
        <v>0</v>
      </c>
      <c r="L9" s="67" t="b">
        <v>1</v>
      </c>
      <c r="M9" s="67" t="b">
        <v>1</v>
      </c>
      <c r="N9" s="67" t="b">
        <v>0</v>
      </c>
      <c r="O9" s="67" t="b">
        <v>0</v>
      </c>
      <c r="P9" s="67" t="b">
        <v>1</v>
      </c>
      <c r="Q9" s="75" t="n">
        <v>516509</v>
      </c>
      <c r="R9" s="75" t="n">
        <v>842652</v>
      </c>
    </row>
    <row r="10">
      <c r="A10" s="4" t="inlineStr">
        <is>
          <t>P08</t>
        </is>
      </c>
      <c r="B10" s="85" t="n">
        <v>5975</v>
      </c>
      <c r="C10" s="85" t="n">
        <v>4042.5</v>
      </c>
      <c r="D10" s="75" t="n">
        <v>30098</v>
      </c>
      <c r="E10" s="75" t="n">
        <v>170557</v>
      </c>
      <c r="F10" s="75" t="n">
        <v>350000</v>
      </c>
      <c r="G10" s="75" t="n">
        <v>192500</v>
      </c>
      <c r="H10" s="75" t="n">
        <v>358500</v>
      </c>
      <c r="I10" s="67" t="b">
        <v>1</v>
      </c>
      <c r="J10" s="67" t="b">
        <v>0</v>
      </c>
      <c r="K10" s="67" t="b">
        <v>0</v>
      </c>
      <c r="L10" s="67" t="b">
        <v>1</v>
      </c>
      <c r="M10" s="67" t="b">
        <v>1</v>
      </c>
      <c r="N10" s="67" t="b">
        <v>0</v>
      </c>
      <c r="O10" s="67" t="b">
        <v>0</v>
      </c>
      <c r="P10" s="67" t="b">
        <v>1</v>
      </c>
      <c r="Q10" s="75" t="n">
        <v>631517</v>
      </c>
      <c r="R10" s="75" t="n">
        <v>524768</v>
      </c>
    </row>
    <row r="11">
      <c r="A11" s="4" t="inlineStr">
        <is>
          <t>P09</t>
        </is>
      </c>
      <c r="B11" s="85" t="n">
        <v>3350</v>
      </c>
      <c r="C11" s="85" t="n">
        <v>1809</v>
      </c>
      <c r="D11" s="75" t="n">
        <v>3136</v>
      </c>
      <c r="E11" s="75" t="n">
        <v>17768</v>
      </c>
      <c r="F11" s="75" t="n">
        <v>0</v>
      </c>
      <c r="G11" s="75" t="n">
        <v>0</v>
      </c>
      <c r="H11" s="75" t="n">
        <v>0</v>
      </c>
      <c r="I11" s="67" t="b">
        <v>1</v>
      </c>
      <c r="J11" s="67" t="b">
        <v>0</v>
      </c>
      <c r="K11" s="67" t="b">
        <v>0</v>
      </c>
      <c r="L11" s="67" t="b">
        <v>1</v>
      </c>
      <c r="M11" s="67" t="b">
        <v>1</v>
      </c>
      <c r="N11" s="67" t="b">
        <v>0</v>
      </c>
      <c r="O11" s="67" t="b">
        <v>1</v>
      </c>
      <c r="P11" s="67" t="b">
        <v>0</v>
      </c>
      <c r="Q11" s="75" t="n">
        <v>431003</v>
      </c>
      <c r="R11" s="75" t="n">
        <v>812405</v>
      </c>
    </row>
    <row r="12">
      <c r="A12" s="4" t="inlineStr">
        <is>
          <t>P10</t>
        </is>
      </c>
      <c r="B12" s="85" t="n">
        <v>4250</v>
      </c>
      <c r="C12" s="85" t="n">
        <v>3293.75</v>
      </c>
      <c r="D12" s="75" t="n">
        <v>13770</v>
      </c>
      <c r="E12" s="75" t="n">
        <v>78030</v>
      </c>
      <c r="F12" s="75" t="n">
        <v>0</v>
      </c>
      <c r="G12" s="75" t="n">
        <v>0</v>
      </c>
      <c r="H12" s="75" t="n">
        <v>255000</v>
      </c>
      <c r="I12" s="67" t="b">
        <v>1</v>
      </c>
      <c r="J12" s="67" t="b">
        <v>0</v>
      </c>
      <c r="K12" s="67" t="b">
        <v>0</v>
      </c>
      <c r="L12" s="67" t="b">
        <v>1</v>
      </c>
      <c r="M12" s="67" t="b">
        <v>1</v>
      </c>
      <c r="N12" s="67" t="b">
        <v>0</v>
      </c>
      <c r="O12" s="67" t="b">
        <v>1</v>
      </c>
      <c r="P12" s="67" t="b">
        <v>0</v>
      </c>
      <c r="Q12" s="75" t="n">
        <v>452793</v>
      </c>
      <c r="R12" s="75" t="n">
        <v>859363</v>
      </c>
    </row>
    <row r="13">
      <c r="A13" s="4" t="inlineStr">
        <is>
          <t>P11</t>
        </is>
      </c>
      <c r="B13" s="85" t="n">
        <v>7140</v>
      </c>
      <c r="C13" s="85" t="n">
        <v>4141.2</v>
      </c>
      <c r="D13" s="75" t="n">
        <v>42412</v>
      </c>
      <c r="E13" s="75" t="n">
        <v>240332</v>
      </c>
      <c r="F13" s="75" t="n">
        <v>350000</v>
      </c>
      <c r="G13" s="75" t="n">
        <v>192500</v>
      </c>
      <c r="H13" s="75" t="n">
        <v>428400</v>
      </c>
      <c r="I13" s="67" t="b">
        <v>1</v>
      </c>
      <c r="J13" s="67" t="b">
        <v>0</v>
      </c>
      <c r="K13" s="67" t="b">
        <v>0</v>
      </c>
      <c r="L13" s="67" t="b">
        <v>1</v>
      </c>
      <c r="M13" s="67" t="b">
        <v>1</v>
      </c>
      <c r="N13" s="67" t="b">
        <v>0</v>
      </c>
      <c r="O13" s="67" t="b">
        <v>0</v>
      </c>
      <c r="P13" s="67" t="b">
        <v>1</v>
      </c>
      <c r="Q13" s="75" t="n">
        <v>642236</v>
      </c>
      <c r="R13" s="75" t="n">
        <v>1316453</v>
      </c>
    </row>
    <row r="14">
      <c r="A14" s="4" t="inlineStr">
        <is>
          <t>P12</t>
        </is>
      </c>
      <c r="B14" s="85" t="n">
        <v>9800</v>
      </c>
      <c r="C14" s="85" t="n">
        <v>6210</v>
      </c>
      <c r="D14" s="75" t="n">
        <v>121095</v>
      </c>
      <c r="E14" s="75" t="n">
        <v>686205</v>
      </c>
      <c r="F14" s="75" t="n">
        <v>350000</v>
      </c>
      <c r="G14" s="75" t="n">
        <v>192500</v>
      </c>
      <c r="H14" s="75" t="n">
        <v>200000</v>
      </c>
      <c r="I14" s="67" t="b">
        <v>1</v>
      </c>
      <c r="J14" s="67" t="b">
        <v>0</v>
      </c>
      <c r="K14" s="67" t="b">
        <v>0</v>
      </c>
      <c r="L14" s="67" t="b">
        <v>1</v>
      </c>
      <c r="M14" s="67" t="b">
        <v>1</v>
      </c>
      <c r="N14" s="67" t="b">
        <v>0</v>
      </c>
      <c r="O14" s="67" t="b">
        <v>0</v>
      </c>
      <c r="P14" s="67" t="b">
        <v>1</v>
      </c>
      <c r="Q14" s="75" t="n">
        <v>866908</v>
      </c>
      <c r="R14" s="75" t="n">
        <v>1235459</v>
      </c>
    </row>
    <row r="15">
      <c r="A15" s="4" t="inlineStr">
        <is>
          <t>P13</t>
        </is>
      </c>
      <c r="B15" s="85" t="n">
        <v>6580</v>
      </c>
      <c r="C15" s="85" t="n">
        <v>3816.4</v>
      </c>
      <c r="D15" s="75" t="n">
        <v>11726</v>
      </c>
      <c r="E15" s="75" t="n">
        <v>66445</v>
      </c>
      <c r="F15" s="75" t="n">
        <v>0</v>
      </c>
      <c r="G15" s="75" t="n">
        <v>0</v>
      </c>
      <c r="H15" s="75" t="n">
        <v>394800</v>
      </c>
      <c r="I15" s="67" t="b">
        <v>1</v>
      </c>
      <c r="J15" s="67" t="b">
        <v>0</v>
      </c>
      <c r="K15" s="67" t="b">
        <v>0</v>
      </c>
      <c r="L15" s="67" t="b">
        <v>1</v>
      </c>
      <c r="M15" s="67" t="b">
        <v>1</v>
      </c>
      <c r="N15" s="67" t="b">
        <v>0</v>
      </c>
      <c r="O15" s="67" t="b">
        <v>1</v>
      </c>
      <c r="P15" s="67" t="b">
        <v>0</v>
      </c>
      <c r="Q15" s="75" t="n">
        <v>759260</v>
      </c>
      <c r="R15" s="75" t="n">
        <v>1066448</v>
      </c>
    </row>
    <row r="16">
      <c r="A16" s="4" t="inlineStr">
        <is>
          <t>P14</t>
        </is>
      </c>
      <c r="B16" s="85" t="n">
        <v>4775</v>
      </c>
      <c r="C16" s="85" t="n">
        <v>3342.5</v>
      </c>
      <c r="D16" s="75" t="n">
        <v>9884</v>
      </c>
      <c r="E16" s="75" t="n">
        <v>56011</v>
      </c>
      <c r="F16" s="75" t="n">
        <v>350000</v>
      </c>
      <c r="G16" s="75" t="n">
        <v>192500</v>
      </c>
      <c r="H16" s="75" t="n">
        <v>286500</v>
      </c>
      <c r="I16" s="67" t="b">
        <v>1</v>
      </c>
      <c r="J16" s="67" t="b">
        <v>0</v>
      </c>
      <c r="K16" s="67" t="b">
        <v>0</v>
      </c>
      <c r="L16" s="67" t="b">
        <v>1</v>
      </c>
      <c r="M16" s="67" t="b">
        <v>1</v>
      </c>
      <c r="N16" s="67" t="b">
        <v>0</v>
      </c>
      <c r="O16" s="67" t="b">
        <v>0</v>
      </c>
      <c r="P16" s="67" t="b">
        <v>1</v>
      </c>
      <c r="Q16" s="75" t="n">
        <v>555497</v>
      </c>
      <c r="R16" s="75" t="n">
        <v>937828</v>
      </c>
    </row>
    <row r="17">
      <c r="A17" s="4" t="inlineStr">
        <is>
          <t>P15</t>
        </is>
      </c>
      <c r="B17" s="85" t="n">
        <v>5750</v>
      </c>
      <c r="C17" s="85" t="n">
        <v>3654.12</v>
      </c>
      <c r="D17" s="75" t="n">
        <v>34373</v>
      </c>
      <c r="E17" s="75" t="n">
        <v>194778</v>
      </c>
      <c r="F17" s="75" t="n">
        <v>350000</v>
      </c>
      <c r="G17" s="75" t="n">
        <v>192500</v>
      </c>
      <c r="H17" s="75" t="n">
        <v>345000</v>
      </c>
      <c r="I17" s="67" t="b">
        <v>1</v>
      </c>
      <c r="J17" s="67" t="b">
        <v>0</v>
      </c>
      <c r="K17" s="67" t="b">
        <v>0</v>
      </c>
      <c r="L17" s="67" t="b">
        <v>1</v>
      </c>
      <c r="M17" s="67" t="b">
        <v>1</v>
      </c>
      <c r="N17" s="67" t="b">
        <v>0</v>
      </c>
      <c r="O17" s="67" t="b">
        <v>0</v>
      </c>
      <c r="P17" s="67" t="b">
        <v>1</v>
      </c>
      <c r="Q17" s="75" t="n">
        <v>589339</v>
      </c>
      <c r="R17" s="75" t="n">
        <v>1071094</v>
      </c>
    </row>
    <row r="18">
      <c r="A18" s="4" t="inlineStr">
        <is>
          <t>P16</t>
        </is>
      </c>
      <c r="B18" s="85" t="n">
        <v>10400</v>
      </c>
      <c r="C18" s="85" t="n">
        <v>5940</v>
      </c>
      <c r="D18" s="75" t="n">
        <v>5148</v>
      </c>
      <c r="E18" s="75" t="n">
        <v>29172</v>
      </c>
      <c r="F18" s="75" t="n">
        <v>0</v>
      </c>
      <c r="G18" s="75" t="n">
        <v>0</v>
      </c>
      <c r="H18" s="75" t="n">
        <v>0</v>
      </c>
      <c r="I18" s="67" t="b">
        <v>1</v>
      </c>
      <c r="J18" s="67" t="b">
        <v>0</v>
      </c>
      <c r="K18" s="67" t="b">
        <v>0</v>
      </c>
      <c r="L18" s="67" t="b">
        <v>1</v>
      </c>
      <c r="M18" s="67" t="b">
        <v>1</v>
      </c>
      <c r="N18" s="67" t="b">
        <v>0</v>
      </c>
      <c r="O18" s="67" t="b">
        <v>1</v>
      </c>
      <c r="P18" s="67" t="b">
        <v>0</v>
      </c>
      <c r="Q18" s="75" t="n">
        <v>1415232</v>
      </c>
      <c r="R18" s="75" t="n">
        <v>2664616</v>
      </c>
    </row>
    <row r="19">
      <c r="A19" s="4" t="inlineStr">
        <is>
          <t>P17</t>
        </is>
      </c>
      <c r="B19" s="85" t="n">
        <v>3575</v>
      </c>
      <c r="C19" s="85" t="n">
        <v>1930.5</v>
      </c>
      <c r="D19" s="75" t="n">
        <v>5856</v>
      </c>
      <c r="E19" s="75" t="n">
        <v>33183</v>
      </c>
      <c r="F19" s="75" t="n">
        <v>0</v>
      </c>
      <c r="G19" s="75" t="n">
        <v>0</v>
      </c>
      <c r="H19" s="75" t="n">
        <v>0</v>
      </c>
      <c r="I19" s="67" t="b">
        <v>1</v>
      </c>
      <c r="J19" s="67" t="b">
        <v>0</v>
      </c>
      <c r="K19" s="67" t="b">
        <v>0</v>
      </c>
      <c r="L19" s="67" t="b">
        <v>1</v>
      </c>
      <c r="M19" s="67" t="b">
        <v>1</v>
      </c>
      <c r="N19" s="67" t="b">
        <v>0</v>
      </c>
      <c r="O19" s="67" t="b">
        <v>1</v>
      </c>
      <c r="P19" s="67" t="b">
        <v>0</v>
      </c>
      <c r="Q19" s="75" t="n">
        <v>415260</v>
      </c>
      <c r="R19" s="75" t="n">
        <v>628502</v>
      </c>
    </row>
    <row r="20">
      <c r="A20" s="4" t="inlineStr">
        <is>
          <t>P18</t>
        </is>
      </c>
      <c r="B20" s="85" t="n">
        <v>4100</v>
      </c>
      <c r="C20" s="85" t="n">
        <v>2378</v>
      </c>
      <c r="D20" s="75" t="n">
        <v>11365</v>
      </c>
      <c r="E20" s="75" t="n">
        <v>64403</v>
      </c>
      <c r="F20" s="75" t="n">
        <v>350000</v>
      </c>
      <c r="G20" s="75" t="n">
        <v>192500</v>
      </c>
      <c r="H20" s="75" t="n">
        <v>246000</v>
      </c>
      <c r="I20" s="67" t="b">
        <v>1</v>
      </c>
      <c r="J20" s="67" t="b">
        <v>0</v>
      </c>
      <c r="K20" s="67" t="b">
        <v>0</v>
      </c>
      <c r="L20" s="67" t="b">
        <v>1</v>
      </c>
      <c r="M20" s="67" t="b">
        <v>1</v>
      </c>
      <c r="N20" s="67" t="b">
        <v>0</v>
      </c>
      <c r="O20" s="67" t="b">
        <v>0</v>
      </c>
      <c r="P20" s="67" t="b">
        <v>1</v>
      </c>
      <c r="Q20" s="75" t="n">
        <v>563112</v>
      </c>
      <c r="R20" s="75" t="n">
        <v>920893</v>
      </c>
    </row>
    <row r="21">
      <c r="A21" s="4" t="inlineStr">
        <is>
          <t>P19</t>
        </is>
      </c>
      <c r="B21" s="85" t="n">
        <v>4625</v>
      </c>
      <c r="C21" s="85" t="n">
        <v>2867.5</v>
      </c>
      <c r="D21" s="75" t="n">
        <v>15734</v>
      </c>
      <c r="E21" s="75" t="n">
        <v>89161</v>
      </c>
      <c r="F21" s="75" t="n">
        <v>350000</v>
      </c>
      <c r="G21" s="75" t="n">
        <v>192500</v>
      </c>
      <c r="H21" s="75" t="n">
        <v>277500</v>
      </c>
      <c r="I21" s="67" t="b">
        <v>1</v>
      </c>
      <c r="J21" s="67" t="b">
        <v>0</v>
      </c>
      <c r="K21" s="67" t="b">
        <v>0</v>
      </c>
      <c r="L21" s="67" t="b">
        <v>1</v>
      </c>
      <c r="M21" s="67" t="b">
        <v>1</v>
      </c>
      <c r="N21" s="67" t="b">
        <v>0</v>
      </c>
      <c r="O21" s="67" t="b">
        <v>0</v>
      </c>
      <c r="P21" s="67" t="b">
        <v>1</v>
      </c>
      <c r="Q21" s="75" t="n">
        <v>503912</v>
      </c>
      <c r="R21" s="75" t="n">
        <v>601908</v>
      </c>
    </row>
    <row r="22">
      <c r="A22" s="4" t="inlineStr">
        <is>
          <t>P20</t>
        </is>
      </c>
      <c r="B22" s="85" t="n">
        <v>5075</v>
      </c>
      <c r="C22" s="85" t="n">
        <v>3933.12</v>
      </c>
      <c r="D22" s="75" t="n">
        <v>27748</v>
      </c>
      <c r="E22" s="75" t="n">
        <v>157237</v>
      </c>
      <c r="F22" s="75" t="n">
        <v>350000</v>
      </c>
      <c r="G22" s="75" t="n">
        <v>192500</v>
      </c>
      <c r="H22" s="75" t="n">
        <v>304500</v>
      </c>
      <c r="I22" s="67" t="b">
        <v>1</v>
      </c>
      <c r="J22" s="67" t="b">
        <v>0</v>
      </c>
      <c r="K22" s="67" t="b">
        <v>0</v>
      </c>
      <c r="L22" s="67" t="b">
        <v>1</v>
      </c>
      <c r="M22" s="67" t="b">
        <v>1</v>
      </c>
      <c r="N22" s="67" t="b">
        <v>0</v>
      </c>
      <c r="O22" s="67" t="b">
        <v>0</v>
      </c>
      <c r="P22" s="67" t="b">
        <v>1</v>
      </c>
      <c r="Q22" s="75" t="n">
        <v>619638</v>
      </c>
      <c r="R22" s="75" t="n">
        <v>1281280</v>
      </c>
    </row>
    <row r="23">
      <c r="A23" s="4" t="inlineStr">
        <is>
          <t>P21</t>
        </is>
      </c>
      <c r="B23" s="85" t="n">
        <v>5250</v>
      </c>
      <c r="C23" s="85" t="n">
        <v>3045</v>
      </c>
      <c r="D23" s="75" t="n">
        <v>12474</v>
      </c>
      <c r="E23" s="75" t="n">
        <v>70686</v>
      </c>
      <c r="F23" s="75" t="n">
        <v>350000</v>
      </c>
      <c r="G23" s="75" t="n">
        <v>192500</v>
      </c>
      <c r="H23" s="75" t="n">
        <v>315000</v>
      </c>
      <c r="I23" s="67" t="b">
        <v>1</v>
      </c>
      <c r="J23" s="67" t="b">
        <v>0</v>
      </c>
      <c r="K23" s="67" t="b">
        <v>0</v>
      </c>
      <c r="L23" s="67" t="b">
        <v>1</v>
      </c>
      <c r="M23" s="67" t="b">
        <v>1</v>
      </c>
      <c r="N23" s="67" t="b">
        <v>0</v>
      </c>
      <c r="O23" s="67" t="b">
        <v>0</v>
      </c>
      <c r="P23" s="67" t="b">
        <v>1</v>
      </c>
      <c r="Q23" s="75" t="n">
        <v>721009</v>
      </c>
      <c r="R23" s="75" t="n">
        <v>999633</v>
      </c>
    </row>
    <row r="24">
      <c r="A24" s="4" t="inlineStr">
        <is>
          <t>P22</t>
        </is>
      </c>
      <c r="B24" s="85" t="n">
        <v>8960</v>
      </c>
      <c r="C24" s="85" t="n">
        <v>4968</v>
      </c>
      <c r="D24" s="75" t="n">
        <v>73195</v>
      </c>
      <c r="E24" s="75" t="n">
        <v>414773</v>
      </c>
      <c r="F24" s="75" t="n">
        <v>350000</v>
      </c>
      <c r="G24" s="75" t="n">
        <v>192500</v>
      </c>
      <c r="H24" s="75" t="n">
        <v>200000</v>
      </c>
      <c r="I24" s="67" t="b">
        <v>1</v>
      </c>
      <c r="J24" s="67" t="b">
        <v>0</v>
      </c>
      <c r="K24" s="67" t="b">
        <v>0</v>
      </c>
      <c r="L24" s="67" t="b">
        <v>1</v>
      </c>
      <c r="M24" s="67" t="b">
        <v>1</v>
      </c>
      <c r="N24" s="67" t="b">
        <v>0</v>
      </c>
      <c r="O24" s="67" t="b">
        <v>0</v>
      </c>
      <c r="P24" s="67" t="b">
        <v>1</v>
      </c>
      <c r="Q24" s="75" t="n">
        <v>732027</v>
      </c>
      <c r="R24" s="75" t="n">
        <v>1377564</v>
      </c>
    </row>
    <row r="25">
      <c r="A25" s="4" t="inlineStr">
        <is>
          <t>P23</t>
        </is>
      </c>
      <c r="B25" s="85" t="n">
        <v>10920</v>
      </c>
      <c r="C25" s="85" t="n">
        <v>8184</v>
      </c>
      <c r="D25" s="75" t="n">
        <v>62496</v>
      </c>
      <c r="E25" s="75" t="n">
        <v>354144</v>
      </c>
      <c r="F25" s="75" t="n">
        <v>650000</v>
      </c>
      <c r="G25" s="75" t="n">
        <v>357500</v>
      </c>
      <c r="H25" s="75" t="n">
        <v>655200</v>
      </c>
      <c r="I25" s="67" t="b">
        <v>1</v>
      </c>
      <c r="J25" s="67" t="b">
        <v>1</v>
      </c>
      <c r="K25" s="67" t="b">
        <v>0</v>
      </c>
      <c r="L25" s="67" t="b">
        <v>0</v>
      </c>
      <c r="M25" s="67" t="b">
        <v>1</v>
      </c>
      <c r="N25" s="67" t="b">
        <v>0</v>
      </c>
      <c r="O25" s="67" t="b">
        <v>0</v>
      </c>
      <c r="P25" s="67" t="b">
        <v>1</v>
      </c>
      <c r="Q25" s="75" t="n">
        <v>1246285</v>
      </c>
      <c r="R25" s="75" t="n">
        <v>1043015</v>
      </c>
    </row>
    <row r="26">
      <c r="A26" s="4" t="inlineStr">
        <is>
          <t>P24</t>
        </is>
      </c>
      <c r="B26" s="85" t="n">
        <v>3425</v>
      </c>
      <c r="C26" s="85" t="n">
        <v>1849.5</v>
      </c>
      <c r="D26" s="75" t="n">
        <v>4007</v>
      </c>
      <c r="E26" s="75" t="n">
        <v>22708</v>
      </c>
      <c r="F26" s="75" t="n">
        <v>0</v>
      </c>
      <c r="G26" s="75" t="n">
        <v>0</v>
      </c>
      <c r="H26" s="75" t="n">
        <v>0</v>
      </c>
      <c r="I26" s="67" t="b">
        <v>1</v>
      </c>
      <c r="J26" s="67" t="b">
        <v>0</v>
      </c>
      <c r="K26" s="67" t="b">
        <v>0</v>
      </c>
      <c r="L26" s="67" t="b">
        <v>1</v>
      </c>
      <c r="M26" s="67" t="b">
        <v>1</v>
      </c>
      <c r="N26" s="67" t="b">
        <v>0</v>
      </c>
      <c r="O26" s="67" t="b">
        <v>1</v>
      </c>
      <c r="P26" s="67" t="b">
        <v>0</v>
      </c>
      <c r="Q26" s="75" t="n">
        <v>426642</v>
      </c>
      <c r="R26" s="75" t="n">
        <v>815448</v>
      </c>
    </row>
    <row r="27">
      <c r="A27" s="4" t="inlineStr">
        <is>
          <t>P25</t>
        </is>
      </c>
      <c r="B27" s="85" t="n">
        <v>4325</v>
      </c>
      <c r="C27" s="85" t="n">
        <v>3351.88</v>
      </c>
      <c r="D27" s="75" t="n">
        <v>14889</v>
      </c>
      <c r="E27" s="75" t="n">
        <v>84370</v>
      </c>
      <c r="F27" s="75" t="n">
        <v>0</v>
      </c>
      <c r="G27" s="75" t="n">
        <v>0</v>
      </c>
      <c r="H27" s="75" t="n">
        <v>259500</v>
      </c>
      <c r="I27" s="67" t="b">
        <v>1</v>
      </c>
      <c r="J27" s="67" t="b">
        <v>0</v>
      </c>
      <c r="K27" s="67" t="b">
        <v>0</v>
      </c>
      <c r="L27" s="67" t="b">
        <v>1</v>
      </c>
      <c r="M27" s="67" t="b">
        <v>1</v>
      </c>
      <c r="N27" s="67" t="b">
        <v>0</v>
      </c>
      <c r="O27" s="67" t="b">
        <v>1</v>
      </c>
      <c r="P27" s="67" t="b">
        <v>0</v>
      </c>
      <c r="Q27" s="75" t="n">
        <v>429120</v>
      </c>
      <c r="R27" s="75" t="n">
        <v>858583</v>
      </c>
    </row>
    <row r="28">
      <c r="A28" s="4" t="inlineStr">
        <is>
          <t>P26</t>
        </is>
      </c>
      <c r="B28" s="85" t="n">
        <v>21710</v>
      </c>
      <c r="C28" s="85" t="n">
        <v>14579.75</v>
      </c>
      <c r="D28" s="75" t="n">
        <v>154294</v>
      </c>
      <c r="E28" s="75" t="n">
        <v>874333</v>
      </c>
      <c r="F28" s="75" t="n">
        <v>850000</v>
      </c>
      <c r="G28" s="75" t="n">
        <v>467500</v>
      </c>
      <c r="H28" s="75" t="n">
        <v>1302600</v>
      </c>
      <c r="I28" s="67" t="b">
        <v>0</v>
      </c>
      <c r="J28" s="67" t="b">
        <v>1</v>
      </c>
      <c r="K28" s="67" t="b">
        <v>0</v>
      </c>
      <c r="L28" s="67" t="b">
        <v>1</v>
      </c>
      <c r="M28" s="67" t="b">
        <v>1</v>
      </c>
      <c r="N28" s="67" t="b">
        <v>0</v>
      </c>
      <c r="O28" s="67" t="b">
        <v>0</v>
      </c>
      <c r="P28" s="67" t="b">
        <v>1</v>
      </c>
      <c r="Q28" s="75" t="n">
        <v>2050866</v>
      </c>
      <c r="R28" s="75" t="n">
        <v>4550270</v>
      </c>
    </row>
    <row r="29">
      <c r="A29" s="4" t="inlineStr">
        <is>
          <t>P27</t>
        </is>
      </c>
      <c r="B29" s="85" t="n">
        <v>6200</v>
      </c>
      <c r="C29" s="85" t="n">
        <v>3871.13</v>
      </c>
      <c r="D29" s="75" t="n">
        <v>77164</v>
      </c>
      <c r="E29" s="75" t="n">
        <v>437264</v>
      </c>
      <c r="F29" s="75" t="n">
        <v>350000</v>
      </c>
      <c r="G29" s="75" t="n">
        <v>192500</v>
      </c>
      <c r="H29" s="75" t="n">
        <v>200000</v>
      </c>
      <c r="I29" s="67" t="b">
        <v>1</v>
      </c>
      <c r="J29" s="67" t="b">
        <v>0</v>
      </c>
      <c r="K29" s="67" t="b">
        <v>0</v>
      </c>
      <c r="L29" s="67" t="b">
        <v>1</v>
      </c>
      <c r="M29" s="67" t="b">
        <v>1</v>
      </c>
      <c r="N29" s="67" t="b">
        <v>0</v>
      </c>
      <c r="O29" s="67" t="b">
        <v>0</v>
      </c>
      <c r="P29" s="67" t="b">
        <v>1</v>
      </c>
      <c r="Q29" s="75" t="n">
        <v>612906</v>
      </c>
      <c r="R29" s="75" t="n">
        <v>770148</v>
      </c>
    </row>
    <row r="30">
      <c r="A30" s="4" t="inlineStr">
        <is>
          <t>P28</t>
        </is>
      </c>
      <c r="B30" s="85" t="n">
        <v>3800</v>
      </c>
      <c r="C30" s="85" t="n">
        <v>2204</v>
      </c>
      <c r="D30" s="75" t="n">
        <v>7524</v>
      </c>
      <c r="E30" s="75" t="n">
        <v>42636</v>
      </c>
      <c r="F30" s="75" t="n">
        <v>0</v>
      </c>
      <c r="G30" s="75" t="n">
        <v>0</v>
      </c>
      <c r="H30" s="75" t="n">
        <v>228000</v>
      </c>
      <c r="I30" s="67" t="b">
        <v>1</v>
      </c>
      <c r="J30" s="67" t="b">
        <v>0</v>
      </c>
      <c r="K30" s="67" t="b">
        <v>0</v>
      </c>
      <c r="L30" s="67" t="b">
        <v>1</v>
      </c>
      <c r="M30" s="67" t="b">
        <v>1</v>
      </c>
      <c r="N30" s="67" t="b">
        <v>0</v>
      </c>
      <c r="O30" s="67" t="b">
        <v>1</v>
      </c>
      <c r="P30" s="67" t="b">
        <v>0</v>
      </c>
      <c r="Q30" s="75" t="n">
        <v>420174</v>
      </c>
      <c r="R30" s="75" t="n">
        <v>604652</v>
      </c>
    </row>
    <row r="31">
      <c r="A31" s="4" t="inlineStr">
        <is>
          <t>P29</t>
        </is>
      </c>
      <c r="B31" s="85" t="n">
        <v>4850</v>
      </c>
      <c r="C31" s="85" t="n">
        <v>3395</v>
      </c>
      <c r="D31" s="75" t="n">
        <v>10476</v>
      </c>
      <c r="E31" s="75" t="n">
        <v>59364</v>
      </c>
      <c r="F31" s="75" t="n">
        <v>350000</v>
      </c>
      <c r="G31" s="75" t="n">
        <v>192500</v>
      </c>
      <c r="H31" s="75" t="n">
        <v>291000</v>
      </c>
      <c r="I31" s="67" t="b">
        <v>1</v>
      </c>
      <c r="J31" s="67" t="b">
        <v>0</v>
      </c>
      <c r="K31" s="67" t="b">
        <v>0</v>
      </c>
      <c r="L31" s="67" t="b">
        <v>1</v>
      </c>
      <c r="M31" s="67" t="b">
        <v>1</v>
      </c>
      <c r="N31" s="67" t="b">
        <v>0</v>
      </c>
      <c r="O31" s="67" t="b">
        <v>0</v>
      </c>
      <c r="P31" s="67" t="b">
        <v>1</v>
      </c>
      <c r="Q31" s="75" t="n">
        <v>561198</v>
      </c>
      <c r="R31" s="75" t="n">
        <v>935189</v>
      </c>
    </row>
    <row r="32">
      <c r="A32" s="4" t="inlineStr">
        <is>
          <t>P30</t>
        </is>
      </c>
      <c r="B32" s="85" t="n">
        <v>5825</v>
      </c>
      <c r="C32" s="85" t="n">
        <v>3702.18</v>
      </c>
      <c r="D32" s="75" t="n">
        <v>35792</v>
      </c>
      <c r="E32" s="75" t="n">
        <v>202819</v>
      </c>
      <c r="F32" s="75" t="n">
        <v>350000</v>
      </c>
      <c r="G32" s="75" t="n">
        <v>192500</v>
      </c>
      <c r="H32" s="75" t="n">
        <v>349500</v>
      </c>
      <c r="I32" s="67" t="b">
        <v>1</v>
      </c>
      <c r="J32" s="67" t="b">
        <v>0</v>
      </c>
      <c r="K32" s="67" t="b">
        <v>0</v>
      </c>
      <c r="L32" s="67" t="b">
        <v>1</v>
      </c>
      <c r="M32" s="67" t="b">
        <v>1</v>
      </c>
      <c r="N32" s="67" t="b">
        <v>0</v>
      </c>
      <c r="O32" s="67" t="b">
        <v>0</v>
      </c>
      <c r="P32" s="67" t="b">
        <v>1</v>
      </c>
      <c r="Q32" s="75" t="n">
        <v>594558</v>
      </c>
      <c r="R32" s="75" t="n">
        <v>1065393</v>
      </c>
    </row>
    <row r="33">
      <c r="A33" s="4" t="inlineStr">
        <is>
          <t>P31</t>
        </is>
      </c>
      <c r="B33" s="85" t="n">
        <v>4305</v>
      </c>
      <c r="C33" s="85" t="n">
        <v>2324.7</v>
      </c>
      <c r="D33" s="75" t="n">
        <v>3022</v>
      </c>
      <c r="E33" s="75" t="n">
        <v>17125</v>
      </c>
      <c r="F33" s="75" t="n">
        <v>0</v>
      </c>
      <c r="G33" s="75" t="n">
        <v>0</v>
      </c>
      <c r="H33" s="75" t="n">
        <v>0</v>
      </c>
      <c r="I33" s="67" t="b">
        <v>1</v>
      </c>
      <c r="J33" s="67" t="b">
        <v>0</v>
      </c>
      <c r="K33" s="67" t="b">
        <v>0</v>
      </c>
      <c r="L33" s="67" t="b">
        <v>1</v>
      </c>
      <c r="M33" s="67" t="b">
        <v>1</v>
      </c>
      <c r="N33" s="67" t="b">
        <v>0</v>
      </c>
      <c r="O33" s="67" t="b">
        <v>1</v>
      </c>
      <c r="P33" s="67" t="b">
        <v>0</v>
      </c>
      <c r="Q33" s="75" t="n">
        <v>553871</v>
      </c>
      <c r="R33" s="75" t="n">
        <v>1023819</v>
      </c>
    </row>
    <row r="34">
      <c r="A34" s="4" t="inlineStr">
        <is>
          <t>P32</t>
        </is>
      </c>
      <c r="B34" s="85" t="n">
        <v>6230</v>
      </c>
      <c r="C34" s="85" t="n">
        <v>3364.2</v>
      </c>
      <c r="D34" s="75" t="n">
        <v>11663</v>
      </c>
      <c r="E34" s="75" t="n">
        <v>66088</v>
      </c>
      <c r="F34" s="75" t="n">
        <v>0</v>
      </c>
      <c r="G34" s="75" t="n">
        <v>0</v>
      </c>
      <c r="H34" s="75" t="n">
        <v>0</v>
      </c>
      <c r="I34" s="67" t="b">
        <v>1</v>
      </c>
      <c r="J34" s="67" t="b">
        <v>0</v>
      </c>
      <c r="K34" s="67" t="b">
        <v>0</v>
      </c>
      <c r="L34" s="67" t="b">
        <v>1</v>
      </c>
      <c r="M34" s="67" t="b">
        <v>1</v>
      </c>
      <c r="N34" s="67" t="b">
        <v>0</v>
      </c>
      <c r="O34" s="67" t="b">
        <v>1</v>
      </c>
      <c r="P34" s="67" t="b">
        <v>0</v>
      </c>
      <c r="Q34" s="75" t="n">
        <v>696727</v>
      </c>
      <c r="R34" s="75" t="n">
        <v>1075293</v>
      </c>
    </row>
    <row r="35">
      <c r="A35" s="4" t="inlineStr">
        <is>
          <t>P33</t>
        </is>
      </c>
      <c r="B35" s="85" t="n">
        <v>7420</v>
      </c>
      <c r="C35" s="85" t="n">
        <v>4303.6</v>
      </c>
      <c r="D35" s="75" t="n">
        <v>22037</v>
      </c>
      <c r="E35" s="75" t="n">
        <v>124879</v>
      </c>
      <c r="F35" s="75" t="n">
        <v>350000</v>
      </c>
      <c r="G35" s="75" t="n">
        <v>192500</v>
      </c>
      <c r="H35" s="75" t="n">
        <v>445200</v>
      </c>
      <c r="I35" s="67" t="b">
        <v>1</v>
      </c>
      <c r="J35" s="67" t="b">
        <v>0</v>
      </c>
      <c r="K35" s="67" t="b">
        <v>0</v>
      </c>
      <c r="L35" s="67" t="b">
        <v>1</v>
      </c>
      <c r="M35" s="67" t="b">
        <v>1</v>
      </c>
      <c r="N35" s="67" t="b">
        <v>0</v>
      </c>
      <c r="O35" s="67" t="b">
        <v>0</v>
      </c>
      <c r="P35" s="67" t="b">
        <v>1</v>
      </c>
      <c r="Q35" s="75" t="n">
        <v>824031</v>
      </c>
      <c r="R35" s="75" t="n">
        <v>1636203</v>
      </c>
    </row>
    <row r="36">
      <c r="A36" s="4" t="inlineStr">
        <is>
          <t>P34</t>
        </is>
      </c>
      <c r="B36" s="85" t="n">
        <v>4700</v>
      </c>
      <c r="C36" s="85" t="n">
        <v>2914</v>
      </c>
      <c r="D36" s="75" t="n">
        <v>16751</v>
      </c>
      <c r="E36" s="75" t="n">
        <v>94921</v>
      </c>
      <c r="F36" s="75" t="n">
        <v>350000</v>
      </c>
      <c r="G36" s="75" t="n">
        <v>192500</v>
      </c>
      <c r="H36" s="75" t="n">
        <v>282000</v>
      </c>
      <c r="I36" s="67" t="b">
        <v>1</v>
      </c>
      <c r="J36" s="67" t="b">
        <v>0</v>
      </c>
      <c r="K36" s="67" t="b">
        <v>0</v>
      </c>
      <c r="L36" s="67" t="b">
        <v>1</v>
      </c>
      <c r="M36" s="67" t="b">
        <v>1</v>
      </c>
      <c r="N36" s="67" t="b">
        <v>0</v>
      </c>
      <c r="O36" s="67" t="b">
        <v>0</v>
      </c>
      <c r="P36" s="67" t="b">
        <v>1</v>
      </c>
      <c r="Q36" s="75" t="n">
        <v>508961</v>
      </c>
      <c r="R36" s="75" t="n">
        <v>600516</v>
      </c>
    </row>
    <row r="37">
      <c r="A37" s="4" t="inlineStr">
        <is>
          <t>P35</t>
        </is>
      </c>
      <c r="B37" s="85" t="n">
        <v>5150</v>
      </c>
      <c r="C37" s="85" t="n">
        <v>3991.25</v>
      </c>
      <c r="D37" s="75" t="n">
        <v>29200</v>
      </c>
      <c r="E37" s="75" t="n">
        <v>165470</v>
      </c>
      <c r="F37" s="75" t="n">
        <v>350000</v>
      </c>
      <c r="G37" s="75" t="n">
        <v>192500</v>
      </c>
      <c r="H37" s="75" t="n">
        <v>309000</v>
      </c>
      <c r="I37" s="67" t="b">
        <v>1</v>
      </c>
      <c r="J37" s="67" t="b">
        <v>0</v>
      </c>
      <c r="K37" s="67" t="b">
        <v>0</v>
      </c>
      <c r="L37" s="67" t="b">
        <v>1</v>
      </c>
      <c r="M37" s="67" t="b">
        <v>1</v>
      </c>
      <c r="N37" s="67" t="b">
        <v>0</v>
      </c>
      <c r="O37" s="67" t="b">
        <v>0</v>
      </c>
      <c r="P37" s="67" t="b">
        <v>1</v>
      </c>
      <c r="Q37" s="75" t="n">
        <v>625951</v>
      </c>
      <c r="R37" s="75" t="n">
        <v>1276508</v>
      </c>
    </row>
    <row r="38">
      <c r="A38" s="4" t="inlineStr">
        <is>
          <t>P36</t>
        </is>
      </c>
      <c r="B38" s="85" t="n">
        <v>14690</v>
      </c>
      <c r="C38" s="85" t="n">
        <v>9490.25</v>
      </c>
      <c r="D38" s="75" t="n">
        <v>42117</v>
      </c>
      <c r="E38" s="75" t="n">
        <v>238663</v>
      </c>
      <c r="F38" s="75" t="n">
        <v>650000</v>
      </c>
      <c r="G38" s="75" t="n">
        <v>357500</v>
      </c>
      <c r="H38" s="75" t="n">
        <v>881400</v>
      </c>
      <c r="I38" s="67" t="b">
        <v>1</v>
      </c>
      <c r="J38" s="67" t="b">
        <v>1</v>
      </c>
      <c r="K38" s="67" t="b">
        <v>0</v>
      </c>
      <c r="L38" s="67" t="b">
        <v>0</v>
      </c>
      <c r="M38" s="67" t="b">
        <v>1</v>
      </c>
      <c r="N38" s="67" t="b">
        <v>0</v>
      </c>
      <c r="O38" s="67" t="b">
        <v>0</v>
      </c>
      <c r="P38" s="67" t="b">
        <v>1</v>
      </c>
      <c r="Q38" s="75" t="n">
        <v>1921395</v>
      </c>
      <c r="R38" s="75" t="n">
        <v>3058713</v>
      </c>
    </row>
    <row r="39">
      <c r="A39" s="4" t="inlineStr">
        <is>
          <t>P37</t>
        </is>
      </c>
      <c r="B39" s="85" t="n">
        <v>5675</v>
      </c>
      <c r="C39" s="85" t="n">
        <v>3141.45</v>
      </c>
      <c r="D39" s="75" t="n">
        <v>47645</v>
      </c>
      <c r="E39" s="75" t="n">
        <v>269990</v>
      </c>
      <c r="F39" s="75" t="n">
        <v>350000</v>
      </c>
      <c r="G39" s="75" t="n">
        <v>192500</v>
      </c>
      <c r="H39" s="75" t="n">
        <v>200000</v>
      </c>
      <c r="I39" s="67" t="b">
        <v>1</v>
      </c>
      <c r="J39" s="67" t="b">
        <v>0</v>
      </c>
      <c r="K39" s="67" t="b">
        <v>0</v>
      </c>
      <c r="L39" s="67" t="b">
        <v>1</v>
      </c>
      <c r="M39" s="67" t="b">
        <v>1</v>
      </c>
      <c r="N39" s="67" t="b">
        <v>0</v>
      </c>
      <c r="O39" s="67" t="b">
        <v>0</v>
      </c>
      <c r="P39" s="67" t="b">
        <v>1</v>
      </c>
      <c r="Q39" s="75" t="n">
        <v>533663</v>
      </c>
      <c r="R39" s="75" t="n">
        <v>855201</v>
      </c>
    </row>
    <row r="40">
      <c r="A40" s="4" t="inlineStr">
        <is>
          <t>P38</t>
        </is>
      </c>
      <c r="B40" s="85" t="n">
        <v>6125</v>
      </c>
      <c r="C40" s="85" t="n">
        <v>4422</v>
      </c>
      <c r="D40" s="75" t="n">
        <v>34612</v>
      </c>
      <c r="E40" s="75" t="n">
        <v>196136</v>
      </c>
      <c r="F40" s="75" t="n">
        <v>350000</v>
      </c>
      <c r="G40" s="75" t="n">
        <v>192500</v>
      </c>
      <c r="H40" s="75" t="n">
        <v>367500</v>
      </c>
      <c r="I40" s="67" t="b">
        <v>1</v>
      </c>
      <c r="J40" s="67" t="b">
        <v>0</v>
      </c>
      <c r="K40" s="67" t="b">
        <v>0</v>
      </c>
      <c r="L40" s="67" t="b">
        <v>1</v>
      </c>
      <c r="M40" s="67" t="b">
        <v>1</v>
      </c>
      <c r="N40" s="67" t="b">
        <v>0</v>
      </c>
      <c r="O40" s="67" t="b">
        <v>0</v>
      </c>
      <c r="P40" s="67" t="b">
        <v>1</v>
      </c>
      <c r="Q40" s="75" t="n">
        <v>672731</v>
      </c>
      <c r="R40" s="75" t="n">
        <v>553288</v>
      </c>
    </row>
    <row r="41">
      <c r="A41" s="4" t="inlineStr">
        <is>
          <t>P39</t>
        </is>
      </c>
      <c r="B41" s="85" t="n">
        <v>3500</v>
      </c>
      <c r="C41" s="85" t="n">
        <v>1890</v>
      </c>
      <c r="D41" s="75" t="n">
        <v>4914</v>
      </c>
      <c r="E41" s="75" t="n">
        <v>27846</v>
      </c>
      <c r="F41" s="75" t="n">
        <v>0</v>
      </c>
      <c r="G41" s="75" t="n">
        <v>0</v>
      </c>
      <c r="H41" s="75" t="n">
        <v>0</v>
      </c>
      <c r="I41" s="67" t="b">
        <v>1</v>
      </c>
      <c r="J41" s="67" t="b">
        <v>0</v>
      </c>
      <c r="K41" s="67" t="b">
        <v>0</v>
      </c>
      <c r="L41" s="67" t="b">
        <v>1</v>
      </c>
      <c r="M41" s="67" t="b">
        <v>1</v>
      </c>
      <c r="N41" s="67" t="b">
        <v>0</v>
      </c>
      <c r="O41" s="67" t="b">
        <v>1</v>
      </c>
      <c r="P41" s="67" t="b">
        <v>0</v>
      </c>
      <c r="Q41" s="75" t="n">
        <v>421402</v>
      </c>
      <c r="R41" s="75" t="n">
        <v>818110</v>
      </c>
    </row>
    <row r="42">
      <c r="A42" s="4" t="inlineStr">
        <is>
          <t>P40</t>
        </is>
      </c>
      <c r="B42" s="85" t="n">
        <v>4400</v>
      </c>
      <c r="C42" s="85" t="n">
        <v>3410</v>
      </c>
      <c r="D42" s="75" t="n">
        <v>16038</v>
      </c>
      <c r="E42" s="75" t="n">
        <v>90882</v>
      </c>
      <c r="F42" s="75" t="n">
        <v>0</v>
      </c>
      <c r="G42" s="75" t="n">
        <v>0</v>
      </c>
      <c r="H42" s="75" t="n">
        <v>264000</v>
      </c>
      <c r="I42" s="67" t="b">
        <v>1</v>
      </c>
      <c r="J42" s="67" t="b">
        <v>0</v>
      </c>
      <c r="K42" s="67" t="b">
        <v>0</v>
      </c>
      <c r="L42" s="67" t="b">
        <v>1</v>
      </c>
      <c r="M42" s="67" t="b">
        <v>1</v>
      </c>
      <c r="N42" s="67" t="b">
        <v>0</v>
      </c>
      <c r="O42" s="67" t="b">
        <v>1</v>
      </c>
      <c r="P42" s="67" t="b">
        <v>0</v>
      </c>
      <c r="Q42" s="75" t="n">
        <v>403748</v>
      </c>
      <c r="R42" s="75" t="n">
        <v>857544</v>
      </c>
    </row>
    <row r="43">
      <c r="A43" s="4" t="inlineStr">
        <is>
          <t>P41</t>
        </is>
      </c>
      <c r="B43" s="85" t="n">
        <v>7350</v>
      </c>
      <c r="C43" s="85" t="n">
        <v>4263</v>
      </c>
      <c r="D43" s="75" t="n">
        <v>46570</v>
      </c>
      <c r="E43" s="75" t="n">
        <v>263894</v>
      </c>
      <c r="F43" s="75" t="n">
        <v>350000</v>
      </c>
      <c r="G43" s="75" t="n">
        <v>192500</v>
      </c>
      <c r="H43" s="75" t="n">
        <v>441000</v>
      </c>
      <c r="I43" s="67" t="b">
        <v>1</v>
      </c>
      <c r="J43" s="67" t="b">
        <v>0</v>
      </c>
      <c r="K43" s="67" t="b">
        <v>0</v>
      </c>
      <c r="L43" s="67" t="b">
        <v>1</v>
      </c>
      <c r="M43" s="67" t="b">
        <v>1</v>
      </c>
      <c r="N43" s="67" t="b">
        <v>0</v>
      </c>
      <c r="O43" s="67" t="b">
        <v>0</v>
      </c>
      <c r="P43" s="67" t="b">
        <v>1</v>
      </c>
      <c r="Q43" s="75" t="n">
        <v>655463</v>
      </c>
      <c r="R43" s="75" t="n">
        <v>1306202</v>
      </c>
    </row>
    <row r="44">
      <c r="A44" s="4" t="inlineStr">
        <is>
          <t>P42</t>
        </is>
      </c>
      <c r="B44" s="85" t="n">
        <v>9800</v>
      </c>
      <c r="C44" s="85" t="n">
        <v>6210</v>
      </c>
      <c r="D44" s="75" t="n">
        <v>126477</v>
      </c>
      <c r="E44" s="75" t="n">
        <v>716703</v>
      </c>
      <c r="F44" s="75" t="n">
        <v>350000</v>
      </c>
      <c r="G44" s="75" t="n">
        <v>192500</v>
      </c>
      <c r="H44" s="75" t="n">
        <v>200000</v>
      </c>
      <c r="I44" s="67" t="b">
        <v>1</v>
      </c>
      <c r="J44" s="67" t="b">
        <v>0</v>
      </c>
      <c r="K44" s="67" t="b">
        <v>0</v>
      </c>
      <c r="L44" s="67" t="b">
        <v>1</v>
      </c>
      <c r="M44" s="67" t="b">
        <v>1</v>
      </c>
      <c r="N44" s="67" t="b">
        <v>0</v>
      </c>
      <c r="O44" s="67" t="b">
        <v>0</v>
      </c>
      <c r="P44" s="67" t="b">
        <v>1</v>
      </c>
      <c r="Q44" s="75" t="n">
        <v>866908</v>
      </c>
      <c r="R44" s="75" t="n">
        <v>1235459</v>
      </c>
    </row>
    <row r="45">
      <c r="A45" s="4" t="inlineStr">
        <is>
          <t>P43</t>
        </is>
      </c>
      <c r="B45" s="85" t="n">
        <v>6860</v>
      </c>
      <c r="C45" s="85" t="n">
        <v>3978.8</v>
      </c>
      <c r="D45" s="75" t="n">
        <v>14941</v>
      </c>
      <c r="E45" s="75" t="n">
        <v>84666</v>
      </c>
      <c r="F45" s="75" t="n">
        <v>0</v>
      </c>
      <c r="G45" s="75" t="n">
        <v>0</v>
      </c>
      <c r="H45" s="75" t="n">
        <v>411600</v>
      </c>
      <c r="I45" s="67" t="b">
        <v>1</v>
      </c>
      <c r="J45" s="67" t="b">
        <v>0</v>
      </c>
      <c r="K45" s="67" t="b">
        <v>0</v>
      </c>
      <c r="L45" s="67" t="b">
        <v>1</v>
      </c>
      <c r="M45" s="67" t="b">
        <v>1</v>
      </c>
      <c r="N45" s="67" t="b">
        <v>0</v>
      </c>
      <c r="O45" s="67" t="b">
        <v>1</v>
      </c>
      <c r="P45" s="67" t="b">
        <v>0</v>
      </c>
      <c r="Q45" s="75" t="n">
        <v>724867</v>
      </c>
      <c r="R45" s="75" t="n">
        <v>1071652</v>
      </c>
    </row>
    <row r="46">
      <c r="A46" s="4" t="inlineStr">
        <is>
          <t>P44</t>
        </is>
      </c>
      <c r="B46" s="85" t="n">
        <v>4925</v>
      </c>
      <c r="C46" s="85" t="n">
        <v>3447.5</v>
      </c>
      <c r="D46" s="75" t="n">
        <v>11081</v>
      </c>
      <c r="E46" s="75" t="n">
        <v>62794</v>
      </c>
      <c r="F46" s="75" t="n">
        <v>350000</v>
      </c>
      <c r="G46" s="75" t="n">
        <v>192500</v>
      </c>
      <c r="H46" s="75" t="n">
        <v>295500</v>
      </c>
      <c r="I46" s="67" t="b">
        <v>1</v>
      </c>
      <c r="J46" s="67" t="b">
        <v>0</v>
      </c>
      <c r="K46" s="67" t="b">
        <v>0</v>
      </c>
      <c r="L46" s="67" t="b">
        <v>1</v>
      </c>
      <c r="M46" s="67" t="b">
        <v>1</v>
      </c>
      <c r="N46" s="67" t="b">
        <v>0</v>
      </c>
      <c r="O46" s="67" t="b">
        <v>0</v>
      </c>
      <c r="P46" s="67" t="b">
        <v>1</v>
      </c>
      <c r="Q46" s="75" t="n">
        <v>566900</v>
      </c>
      <c r="R46" s="75" t="n">
        <v>932334</v>
      </c>
    </row>
    <row r="47">
      <c r="A47" s="4" t="inlineStr">
        <is>
          <t>P45</t>
        </is>
      </c>
      <c r="B47" s="85" t="n">
        <v>5900</v>
      </c>
      <c r="C47" s="85" t="n">
        <v>3749.45</v>
      </c>
      <c r="D47" s="75" t="n">
        <v>37228</v>
      </c>
      <c r="E47" s="75" t="n">
        <v>210961</v>
      </c>
      <c r="F47" s="75" t="n">
        <v>350000</v>
      </c>
      <c r="G47" s="75" t="n">
        <v>192500</v>
      </c>
      <c r="H47" s="75" t="n">
        <v>354000</v>
      </c>
      <c r="I47" s="67" t="b">
        <v>1</v>
      </c>
      <c r="J47" s="67" t="b">
        <v>0</v>
      </c>
      <c r="K47" s="67" t="b">
        <v>0</v>
      </c>
      <c r="L47" s="67" t="b">
        <v>1</v>
      </c>
      <c r="M47" s="67" t="b">
        <v>1</v>
      </c>
      <c r="N47" s="67" t="b">
        <v>0</v>
      </c>
      <c r="O47" s="67" t="b">
        <v>0</v>
      </c>
      <c r="P47" s="67" t="b">
        <v>1</v>
      </c>
      <c r="Q47" s="75" t="n">
        <v>599692</v>
      </c>
      <c r="R47" s="75" t="n">
        <v>1059322</v>
      </c>
    </row>
    <row r="48">
      <c r="A48" s="4" t="inlineStr">
        <is>
          <t>P46</t>
        </is>
      </c>
      <c r="B48" s="85" t="n">
        <v>10400</v>
      </c>
      <c r="C48" s="85" t="n">
        <v>5940</v>
      </c>
      <c r="D48" s="75" t="n">
        <v>2574</v>
      </c>
      <c r="E48" s="75" t="n">
        <v>14586</v>
      </c>
      <c r="F48" s="75" t="n">
        <v>0</v>
      </c>
      <c r="G48" s="75" t="n">
        <v>0</v>
      </c>
      <c r="H48" s="75" t="n">
        <v>0</v>
      </c>
      <c r="I48" s="67" t="b">
        <v>1</v>
      </c>
      <c r="J48" s="67" t="b">
        <v>0</v>
      </c>
      <c r="K48" s="67" t="b">
        <v>0</v>
      </c>
      <c r="L48" s="67" t="b">
        <v>1</v>
      </c>
      <c r="M48" s="67" t="b">
        <v>1</v>
      </c>
      <c r="N48" s="67" t="b">
        <v>0</v>
      </c>
      <c r="O48" s="67" t="b">
        <v>1</v>
      </c>
      <c r="P48" s="67" t="b">
        <v>0</v>
      </c>
      <c r="Q48" s="75" t="n">
        <v>1415232</v>
      </c>
      <c r="R48" s="75" t="n">
        <v>2714105</v>
      </c>
    </row>
    <row r="49">
      <c r="A49" s="4" t="inlineStr">
        <is>
          <t>P47</t>
        </is>
      </c>
      <c r="B49" s="85" t="n">
        <v>3500</v>
      </c>
      <c r="C49" s="85" t="n">
        <v>1890</v>
      </c>
      <c r="D49" s="75" t="n">
        <v>4914</v>
      </c>
      <c r="E49" s="75" t="n">
        <v>27846</v>
      </c>
      <c r="F49" s="75" t="n">
        <v>0</v>
      </c>
      <c r="G49" s="75" t="n">
        <v>0</v>
      </c>
      <c r="H49" s="75" t="n">
        <v>0</v>
      </c>
      <c r="I49" s="67" t="b">
        <v>1</v>
      </c>
      <c r="J49" s="67" t="b">
        <v>0</v>
      </c>
      <c r="K49" s="67" t="b">
        <v>0</v>
      </c>
      <c r="L49" s="67" t="b">
        <v>1</v>
      </c>
      <c r="M49" s="67" t="b">
        <v>1</v>
      </c>
      <c r="N49" s="67" t="b">
        <v>0</v>
      </c>
      <c r="O49" s="67" t="b">
        <v>1</v>
      </c>
      <c r="P49" s="67" t="b">
        <v>0</v>
      </c>
      <c r="Q49" s="75" t="n">
        <v>421402</v>
      </c>
      <c r="R49" s="75" t="n">
        <v>626745</v>
      </c>
    </row>
    <row r="50">
      <c r="A50" s="4" t="inlineStr">
        <is>
          <t>P48</t>
        </is>
      </c>
      <c r="B50" s="85" t="n">
        <v>4025</v>
      </c>
      <c r="C50" s="85" t="n">
        <v>2334.5</v>
      </c>
      <c r="D50" s="75" t="n">
        <v>10360</v>
      </c>
      <c r="E50" s="75" t="n">
        <v>58709</v>
      </c>
      <c r="F50" s="75" t="n">
        <v>350000</v>
      </c>
      <c r="G50" s="75" t="n">
        <v>192500</v>
      </c>
      <c r="H50" s="75" t="n">
        <v>241500</v>
      </c>
      <c r="I50" s="67" t="b">
        <v>1</v>
      </c>
      <c r="J50" s="67" t="b">
        <v>0</v>
      </c>
      <c r="K50" s="67" t="b">
        <v>0</v>
      </c>
      <c r="L50" s="67" t="b">
        <v>1</v>
      </c>
      <c r="M50" s="67" t="b">
        <v>1</v>
      </c>
      <c r="N50" s="67" t="b">
        <v>0</v>
      </c>
      <c r="O50" s="67" t="b">
        <v>0</v>
      </c>
      <c r="P50" s="67" t="b">
        <v>1</v>
      </c>
      <c r="Q50" s="75" t="n">
        <v>577202</v>
      </c>
      <c r="R50" s="75" t="n">
        <v>920838</v>
      </c>
    </row>
    <row r="51">
      <c r="A51" s="4" t="inlineStr">
        <is>
          <t>P49</t>
        </is>
      </c>
      <c r="B51" s="85" t="n">
        <v>4550</v>
      </c>
      <c r="C51" s="85" t="n">
        <v>2821</v>
      </c>
      <c r="D51" s="75" t="n">
        <v>14742</v>
      </c>
      <c r="E51" s="75" t="n">
        <v>83538</v>
      </c>
      <c r="F51" s="75" t="n">
        <v>350000</v>
      </c>
      <c r="G51" s="75" t="n">
        <v>192500</v>
      </c>
      <c r="H51" s="75" t="n">
        <v>273000</v>
      </c>
      <c r="I51" s="67" t="b">
        <v>1</v>
      </c>
      <c r="J51" s="67" t="b">
        <v>0</v>
      </c>
      <c r="K51" s="67" t="b">
        <v>0</v>
      </c>
      <c r="L51" s="67" t="b">
        <v>1</v>
      </c>
      <c r="M51" s="67" t="b">
        <v>1</v>
      </c>
      <c r="N51" s="67" t="b">
        <v>0</v>
      </c>
      <c r="O51" s="67" t="b">
        <v>0</v>
      </c>
      <c r="P51" s="67" t="b">
        <v>1</v>
      </c>
      <c r="Q51" s="75" t="n">
        <v>498862</v>
      </c>
      <c r="R51" s="75" t="n">
        <v>603146</v>
      </c>
    </row>
    <row r="52">
      <c r="A52" s="4" t="inlineStr">
        <is>
          <t>P50</t>
        </is>
      </c>
      <c r="B52" s="85" t="n">
        <v>5000</v>
      </c>
      <c r="C52" s="85" t="n">
        <v>3875</v>
      </c>
      <c r="D52" s="75" t="n">
        <v>26325</v>
      </c>
      <c r="E52" s="75" t="n">
        <v>149175</v>
      </c>
      <c r="F52" s="75" t="n">
        <v>350000</v>
      </c>
      <c r="G52" s="75" t="n">
        <v>192500</v>
      </c>
      <c r="H52" s="75" t="n">
        <v>300000</v>
      </c>
      <c r="I52" s="67" t="b">
        <v>1</v>
      </c>
      <c r="J52" s="67" t="b">
        <v>0</v>
      </c>
      <c r="K52" s="67" t="b">
        <v>0</v>
      </c>
      <c r="L52" s="67" t="b">
        <v>1</v>
      </c>
      <c r="M52" s="67" t="b">
        <v>1</v>
      </c>
      <c r="N52" s="67" t="b">
        <v>0</v>
      </c>
      <c r="O52" s="67" t="b">
        <v>0</v>
      </c>
      <c r="P52" s="67" t="b">
        <v>1</v>
      </c>
      <c r="Q52" s="75" t="n">
        <v>613326</v>
      </c>
      <c r="R52" s="75"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2026-09-27T09:53:58Z</dcterms:created>
  <dcterms:modified xmlns:dcterms="http://purl.org/dc/terms/" xmlns:xsi="http://www.w3.org/2001/XMLSchema-instance" xsi:type="dcterms:W3CDTF">2026-09-27T09:54:00Z</dcterms:modified>
</cp:coreProperties>
</file>