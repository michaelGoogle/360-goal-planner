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riceLevelOn">Assumptions!$B$24</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CRI_MEDICAL_HU">Assumptions!$B$79</definedName>
    <definedName name="IncomeBands">Assumptions!$E$6:$G$13</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RET">'Need Profiler'!$D$99</definedName>
    <definedName name="NP_priority_N_RET">'Need Profiler'!$E$99</definedName>
    <definedName name="NP_on_N_EDU">'Need Profiler'!$D$100</definedName>
    <definedName name="NP_priority_N_EDU">'Need Profiler'!$E$100</definedName>
    <definedName name="NP_on_N_SAV">'Need Profiler'!$D$101</definedName>
    <definedName name="NP_priority_N_SAV">'Need Profiler'!$E$101</definedName>
    <definedName name="NP_on_N_PRP">'Need Profiler'!$D$102</definedName>
    <definedName name="NP_priority_N_PRP">'Need Profiler'!$E$102</definedName>
    <definedName name="NP_priority_N_HOM">'Need Profiler'!$E$103</definedName>
    <definedName name="NP_score_N_HOM">'Need Profiler'!$F$103</definedName>
    <definedName name="NP_priority_N_CAR">'Need Profiler'!$E$104</definedName>
    <definedName name="NP_score_N_CAR">'Need Profiler'!$F$104</definedName>
    <definedName name="NP_priority_N_TRV">'Need Profiler'!$E$105</definedName>
    <definedName name="NP_score_N_TRV">'Need Profiler'!$F$105</definedName>
    <definedName name="NC_age">'Need Calculator'!$B$5</definedName>
    <definedName name="NC_yearsToRet">'Need Calculator'!$B$67</definedName>
    <definedName name="NC_eduYears">'Need Calculator'!$B$69</definedName>
    <definedName name="NC_yearsInRet">'Need Calculator'!$B$68</definedName>
    <definedName name="NC_amount_N_INC">'Need Calculator'!$B$73</definedName>
    <definedName name="NC_have_N_INC">'Need Calculator'!$C$73</definedName>
    <definedName name="NC_gap_N_INC">'Need Calculator'!$D$73</definedName>
    <definedName name="NC_on_N_INC">'Need Calculator'!$F$73</definedName>
    <definedName name="NC_amountUSD_N_INC">'Need Calculator'!$H$73</definedName>
    <definedName name="NC_gapUSD_N_INC">'Need Calculator'!$J$73</definedName>
    <definedName name="NC_amount_N_CRI">'Need Calculator'!$B$74</definedName>
    <definedName name="NC_have_N_CRI">'Need Calculator'!$C$74</definedName>
    <definedName name="NC_gap_N_CRI">'Need Calculator'!$D$74</definedName>
    <definedName name="NC_on_N_CRI">'Need Calculator'!$F$74</definedName>
    <definedName name="NC_amountUSD_N_CRI">'Need Calculator'!$H$74</definedName>
    <definedName name="NC_gapUSD_N_CRI">'Need Calculator'!$J$74</definedName>
    <definedName name="NC_amount_N_TPD">'Need Calculator'!$B$75</definedName>
    <definedName name="NC_have_N_TPD">'Need Calculator'!$C$75</definedName>
    <definedName name="NC_gap_N_TPD">'Need Calculator'!$D$75</definedName>
    <definedName name="NC_on_N_TPD">'Need Calculator'!$F$75</definedName>
    <definedName name="NC_amountUSD_N_TPD">'Need Calculator'!$H$75</definedName>
    <definedName name="NC_gapUSD_N_TPD">'Need Calculator'!$J$75</definedName>
    <definedName name="NC_amount_N_HOS">'Need Calculator'!$B$76</definedName>
    <definedName name="NC_have_N_HOS">'Need Calculator'!$C$76</definedName>
    <definedName name="NC_gap_N_HOS">'Need Calculator'!$D$76</definedName>
    <definedName name="NC_on_N_HOS">'Need Calculator'!$F$76</definedName>
    <definedName name="NC_amountUSD_N_HOS">'Need Calculator'!$H$76</definedName>
    <definedName name="NC_gapUSD_N_HOS">'Need Calculator'!$J$76</definedName>
    <definedName name="NC_amount_N_PAC">'Need Calculator'!$B$77</definedName>
    <definedName name="NC_have_N_PAC">'Need Calculator'!$C$77</definedName>
    <definedName name="NC_gap_N_PAC">'Need Calculator'!$D$77</definedName>
    <definedName name="NC_on_N_PAC">'Need Calculator'!$F$77</definedName>
    <definedName name="NC_amountUSD_N_PAC">'Need Calculator'!$H$77</definedName>
    <definedName name="NC_gapUSD_N_PAC">'Need Calculator'!$J$77</definedName>
    <definedName name="NC_amount_N_RET">'Need Calculator'!$B$78</definedName>
    <definedName name="NC_have_N_RET">'Need Calculator'!$C$78</definedName>
    <definedName name="NC_gap_N_RET">'Need Calculator'!$D$78</definedName>
    <definedName name="NC_on_N_RET">'Need Calculator'!$F$78</definedName>
    <definedName name="NC_amountUSD_N_RET">'Need Calculator'!$H$78</definedName>
    <definedName name="NC_gapUSD_N_RET">'Need Calculator'!$J$78</definedName>
    <definedName name="NC_amount_N_EDU">'Need Calculator'!$B$79</definedName>
    <definedName name="NC_have_N_EDU">'Need Calculator'!$C$79</definedName>
    <definedName name="NC_gap_N_EDU">'Need Calculator'!$D$79</definedName>
    <definedName name="NC_on_N_EDU">'Need Calculator'!$F$79</definedName>
    <definedName name="NC_amountUSD_N_EDU">'Need Calculator'!$H$79</definedName>
    <definedName name="NC_gapUSD_N_EDU">'Need Calculator'!$J$79</definedName>
    <definedName name="NC_amount_N_SAV">'Need Calculator'!$B$80</definedName>
    <definedName name="NC_have_N_SAV">'Need Calculator'!$C$80</definedName>
    <definedName name="NC_gap_N_SAV">'Need Calculator'!$D$80</definedName>
    <definedName name="NC_on_N_SAV">'Need Calculator'!$F$80</definedName>
    <definedName name="NC_amountUSD_N_SAV">'Need Calculator'!$H$80</definedName>
    <definedName name="NC_gapUSD_N_SAV">'Need Calculator'!$J$80</definedName>
    <definedName name="NC_amount_N_PRP">'Need Calculator'!$B$81</definedName>
    <definedName name="NC_have_N_PRP">'Need Calculator'!$C$81</definedName>
    <definedName name="NC_gap_N_PRP">'Need Calculator'!$D$81</definedName>
    <definedName name="NC_on_N_PRP">'Need Calculator'!$F$81</definedName>
    <definedName name="NC_amountUSD_N_PRP">'Need Calculator'!$H$81</definedName>
    <definedName name="NC_gapUSD_N_PRP">'Need Calculator'!$J$81</definedName>
    <definedName name="PLAN_nWealth">'Plan Calculator'!$B$45</definedName>
    <definedName name="PLAN_protPremYr">'Plan Calculator'!$B$56</definedName>
    <definedName name="PLAN_wealthShare">'Plan Calculator'!$B$57</definedName>
    <definedName name="PLAN_investMth">'Plan Calculator'!$B$83</definedName>
    <definedName name="PLAN_investLump">'Plan Calculator'!$B$84</definedName>
    <definedName name="PLAN_prem_N_INC">'Plan Calculator'!$B$47</definedName>
    <definedName name="PLAN_prem_N_CRI">'Plan Calculator'!$B$49</definedName>
    <definedName name="PLAN_prem_N_TPD">'Plan Calculator'!$B$51</definedName>
    <definedName name="PLAN_prem_N_HOS">'Plan Calculator'!$B$53</definedName>
    <definedName name="PLAN_prem_N_PAC">'Plan Calculator'!$B$55</definedName>
    <definedName name="PLAN_included_N_INC">'Plan Calculator'!$D$73</definedName>
    <definedName name="PLAN_sug_N_INC">'Plan Calculator'!$B$73</definedName>
    <definedName name="PLAN_included_N_CRI">'Plan Calculator'!$D$74</definedName>
    <definedName name="PLAN_sug_N_CRI">'Plan Calculator'!$B$74</definedName>
    <definedName name="PLAN_included_N_TPD">'Plan Calculator'!$D$75</definedName>
    <definedName name="PLAN_sug_N_TPD">'Plan Calculator'!$B$75</definedName>
    <definedName name="PLAN_included_N_HOS">'Plan Calculator'!$D$76</definedName>
    <definedName name="PLAN_sug_N_HOS">'Plan Calculator'!$B$76</definedName>
    <definedName name="PLAN_included_N_PAC">'Plan Calculator'!$D$77</definedName>
    <definedName name="PLAN_sug_N_PAC">'Plan Calculator'!$B$77</definedName>
    <definedName name="PLAN_included_N_RET">'Plan Calculator'!$D$78</definedName>
    <definedName name="PLAN_sug_N_RET">'Plan Calculator'!$B$78</definedName>
    <definedName name="PLAN_included_N_EDU">'Plan Calculator'!$D$79</definedName>
    <definedName name="PLAN_sug_N_EDU">'Plan Calculator'!$B$79</definedName>
    <definedName name="PLAN_included_N_SAV">'Plan Calculator'!$D$80</definedName>
    <definedName name="PLAN_sug_N_SAV">'Plan Calculator'!$B$80</definedName>
    <definedName name="PLAN_included_N_PRP">'Plan Calculator'!$D$81</definedName>
    <definedName name="PLAN_sug_N_PRP">'Plan Calculator'!$B$81</definedName>
    <definedName name="PLAN_sum_N_INC">'Plan Calculator'!$B$46</definedName>
    <definedName name="PLAN_sum_N_CRI">'Plan Calculator'!$B$48</definedName>
    <definedName name="PLAN_sum_N_TPD">'Plan Calculator'!$B$50</definedName>
    <definedName name="PLAN_sum_N_HOS">'Plan Calculator'!$B$52</definedName>
    <definedName name="PLAN_sum_N_PAC">'Plan Calculator'!$B$54</definedName>
    <definedName name="PLAN_mth_N_RET">'Plan Calculator'!$B$59</definedName>
    <definedName name="PLAN_lump_N_RET">'Plan Calculator'!$B$60</definedName>
    <definedName name="PLAN_mth_N_EDU">'Plan Calculator'!$B$62</definedName>
    <definedName name="PLAN_lump_N_EDU">'Plan Calculator'!$B$63</definedName>
    <definedName name="PLAN_mth_N_SAV">'Plan Calculator'!$B$65</definedName>
    <definedName name="PLAN_lump_N_SAV">'Plan Calculator'!$B$66</definedName>
    <definedName name="PLAN_mth_N_PRP">'Plan Calculator'!$B$68</definedName>
    <definedName name="PLAN_lump_N_PRP">'Plan Calculator'!$B$69</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cpfOn">'Scenario Visualizer'!$B$89</definedName>
    <definedName name="SV_asp">'Scenario Visualizer'!$B$90</definedName>
    <definedName name="SV_stop">'Scenario Visualizer'!$B$91</definedName>
    <definedName name="SV_sp">'Scenario Visualizer'!$B$92</definedName>
    <definedName name="SV_effStop">'Scenario Visualizer'!$B$93</definedName>
    <definedName name="SV_effNeg">'Scenario Visualizer'!$B$94</definedName>
    <definedName name="SV_sIdx">'Scenario Visualizer'!$B$95</definedName>
    <definedName name="SV_pIdx">'Scenario Visualizer'!$B$96</definedName>
    <definedName name="SV_brsIdx">'Scenario Visualizer'!$B$97</definedName>
    <definedName name="SV_brs">'Scenario Visualizer'!$B$98</definedName>
    <definedName name="SV_raS">'Scenario Visualizer'!$B$99</definedName>
    <definedName name="SV_mult">'Scenario Visualizer'!$B$100</definedName>
    <definedName name="SV_wd">'Scenario Visualizer'!$B$101</definedName>
    <definedName name="SV_pay">'Scenario Visualizer'!$B$102</definedName>
    <definedName name="SV_L0">'Scenario Visualizer'!$B$103</definedName>
    <definedName name="SV_R0">'Scenario Visualizer'!$B$104</definedName>
    <definedName name="SV_n1">'Scenario Visualizer'!$B$105</definedName>
    <definedName name="SV_seedLife">'Scenario Visualizer'!$B$106</definedName>
    <definedName name="SV_seedRA">'Scenario Visualizer'!$B$107</definedName>
    <definedName name="SV_wPre65">'Scenario Visualizer'!$B$110</definedName>
    <definedName name="SV_wPre85">'Scenario Visualizer'!$B$111</definedName>
    <definedName name="SV_wPost65">'Scenario Visualizer'!$B$112</definedName>
    <definedName name="SV_wPost85">'Scenario Visualizer'!$B$113</definedName>
    <definedName name="SV_wPreEnd">'Scenario Visualizer'!$B$114</definedName>
    <definedName name="SV_wPostEnd">'Scenario Visualizer'!$B$115</definedName>
    <definedName name="SV_spOutPre">'Scenario Visualizer'!$B$116</definedName>
    <definedName name="SV_spOutPost">'Scenario Visualizer'!$B$117</definedName>
    <definedName name="SV_Y_wPre">'Scenario Visualizer'!$AG$123:$AG$205</definedName>
    <definedName name="SV_Y_wPost">'Scenario Visualizer'!$AQ$123:$AQ$205</definedName>
    <definedName name="SV_Y_spPre">'Scenario Visualizer'!$AH$123:$AH$205</definedName>
    <definedName name="SV_Y_spPost">'Scenario Visualizer'!$AR$123:$AR$205</definedName>
    <definedName name="SV_Y_cpf">'Scenario Visualizer'!$AC$123:$AC$205</definedName>
    <definedName name="SV_Y_savPre">'Scenario Visualizer'!$AF$123:$AF$205</definedName>
    <definedName name="SV_Y_savPost">'Scenario Visualizer'!$AP$123:$AP$205</definedName>
    <definedName name="SV_Y_sal">'Scenario Visualizer'!$H$123:$H$205</definedName>
    <definedName name="SV_Y_spend">'Scenario Visualizer'!$I$123:$I$205</definedName>
    <definedName name="SV_Y_cash">'Scenario Visualizer'!$N$123:$N$205</definedName>
    <definedName name="SV_Y_inv">'Scenario Visualizer'!$O$123:$O$205</definedName>
    <definedName name="SV_Y_home">'Scenario Visualizer'!$P$123:$P$205</definedName>
    <definedName name="SV_Y_loan">'Scenario Visualizer'!$AE$123:$AE$205</definedName>
    <definedName name="SV_Y_pot">'Scenario Visualizer'!$AN$123:$AN$205</definedName>
    <definedName name="SV_Y_insCf">'Scenario Visualizer'!$AO$123:$AO$205</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ptdCost">HappiU!$B$21</definedName>
    <definedName name="HU_pt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00000"/>
    <numFmt numFmtId="168" formatCode="0.0000"/>
    <numFmt numFmtId="169" formatCode="0.0"/>
    <numFmt numFmtId="170"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
      <patternFill patternType="solid">
        <fgColor rgb="00F8D0D0"/>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14" borderId="1" applyAlignment="1" pivotButton="0" quotePrefix="0" xfId="0">
      <alignment vertical="center" wrapText="1"/>
    </xf>
    <xf numFmtId="0" fontId="4" fillId="12" borderId="1" applyAlignment="1" pivotButton="0" quotePrefix="0" xfId="0">
      <alignment vertical="center" wrapText="1"/>
    </xf>
    <xf numFmtId="0" fontId="4" fillId="7" borderId="1" applyAlignment="1" pivotButton="0" quotePrefix="0" xfId="0">
      <alignment vertical="center" wrapText="1"/>
    </xf>
    <xf numFmtId="0" fontId="4" fillId="15" borderId="1"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3" borderId="1" applyAlignment="1" pivotButton="0" quotePrefix="0" xfId="0">
      <alignment horizontal="center" vertical="center" wrapText="1"/>
    </xf>
    <xf numFmtId="2"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168"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7" fontId="4" fillId="14"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14"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6"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57"/>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HappiU keeps its own engine codes (N_HSP, PTD); GP maps to them in the payload.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t>
        </is>
      </c>
      <c r="F8" s="4" t="inlineStr">
        <is>
          <t>Disability (disability)</t>
        </is>
      </c>
      <c r="G8" s="4" t="inlineStr">
        <is>
          <t>N_TPD (HU: PTD)</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(HU engine code)</t>
        </is>
      </c>
      <c r="H9" s="4" t="inlineStr">
        <is>
          <t>premium</t>
        </is>
      </c>
      <c r="I9" s="4" t="inlineStr">
        <is>
          <t>incomeMonthly × HOS_MONTHS</t>
        </is>
      </c>
      <c r="J9" s="4" t="inlineStr">
        <is>
          <t>HOS_MONTHS</t>
        </is>
      </c>
      <c r="K9" s="4" t="inlineStr">
        <is>
          <t>Live</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not sent</t>
        </is>
      </c>
      <c r="H10" s="4" t="inlineStr">
        <is>
          <t>premium</t>
        </is>
      </c>
      <c r="I10" s="4" t="inlineStr">
        <is>
          <t>annuity-due of income for PAC_YEARS + PAC_COST</t>
        </is>
      </c>
      <c r="J10" s="4" t="inlineStr">
        <is>
          <t>PAC_YEARS, PAC_COST</t>
        </is>
      </c>
      <c r="K10" s="4" t="inlineStr">
        <is>
          <t>New V0-16. Formula and values are a proposal</t>
        </is>
      </c>
    </row>
    <row r="11">
      <c r="A11" s="9" t="inlineStr">
        <is>
          <t>N_RET</t>
        </is>
      </c>
      <c r="B11" s="9" t="inlineStr">
        <is>
          <t>R_LON</t>
        </is>
      </c>
      <c r="C11" s="9" t="inlineStr">
        <is>
          <t>RET</t>
        </is>
      </c>
      <c r="D11" s="9" t="inlineStr">
        <is>
          <t>Wealth · calculator</t>
        </is>
      </c>
      <c r="E11" s="4" t="inlineStr">
        <is>
          <t>Private retirement</t>
        </is>
      </c>
      <c r="F11" s="4" t="inlineStr">
        <is>
          <t>Retirement (retirement)</t>
        </is>
      </c>
      <c r="G11" s="4" t="inlineStr">
        <is>
          <t>N_RET</t>
        </is>
      </c>
      <c r="H11" s="4" t="inlineStr">
        <is>
          <t>RET pot</t>
        </is>
      </c>
      <c r="I11" s="4" t="inlineStr">
        <is>
          <t>annual spend × lifestyle, grown to retirement, × annuity over years in retirement</t>
        </is>
      </c>
      <c r="J11" s="4" t="inlineStr">
        <is>
          <t>RET_LIFESTYLE_FRUGAL / STRESSFREE / ONLYTHEBEST</t>
        </is>
      </c>
      <c r="K11" s="4" t="inlineStr">
        <is>
          <t>Live. R_LON (longevity) is not a stress event</t>
        </is>
      </c>
    </row>
    <row r="12">
      <c r="A12" s="9" t="inlineStr">
        <is>
          <t>N_EDU</t>
        </is>
      </c>
      <c r="B12" s="9" t="inlineStr">
        <is>
          <t>—</t>
        </is>
      </c>
      <c r="C12" s="9" t="inlineStr">
        <is>
          <t>EDU</t>
        </is>
      </c>
      <c r="D12" s="9" t="inlineStr">
        <is>
          <t>Wealth · calculator</t>
        </is>
      </c>
      <c r="E12" s="4" t="inlineStr">
        <is>
          <t>Child's university education</t>
        </is>
      </c>
      <c r="F12" s="4" t="inlineStr">
        <is>
          <t>Education (education)</t>
        </is>
      </c>
      <c r="G12" s="4" t="inlineStr">
        <is>
          <t>N_EDU</t>
        </is>
      </c>
      <c r="H12" s="4" t="inlineStr">
        <is>
          <t>goal pot</t>
        </is>
      </c>
      <c r="I12" s="4" t="inlineStr">
        <is>
          <t>EDU_COST grown at inflation to target year</t>
        </is>
      </c>
      <c r="J12" s="4" t="inlineStr">
        <is>
          <t>EDU_COST, EDU_YEARS_DEFAULT</t>
        </is>
      </c>
      <c r="K12" s="4" t="inlineStr">
        <is>
          <t>Live</t>
        </is>
      </c>
    </row>
    <row r="13">
      <c r="A13" s="9" t="inlineStr">
        <is>
          <t>N_SAV</t>
        </is>
      </c>
      <c r="B13" s="9" t="inlineStr">
        <is>
          <t>—</t>
        </is>
      </c>
      <c r="C13" s="9" t="inlineStr">
        <is>
          <t>SAV</t>
        </is>
      </c>
      <c r="D13" s="9" t="inlineStr">
        <is>
          <t>Wealth · calculator</t>
        </is>
      </c>
      <c r="E13" s="4" t="inlineStr">
        <is>
          <t>Savings goal</t>
        </is>
      </c>
      <c r="F13" s="4" t="inlineStr">
        <is>
          <t>General Savings (general_savings)</t>
        </is>
      </c>
      <c r="G13" s="4" t="inlineStr">
        <is>
          <t>N_SAV</t>
        </is>
      </c>
      <c r="H13" s="4" t="inlineStr">
        <is>
          <t>goal pot</t>
        </is>
      </c>
      <c r="I13" s="4" t="inlineStr">
        <is>
          <t>stored amount, else SAV_INCOME_MULT × annual income</t>
        </is>
      </c>
      <c r="J13" s="4" t="inlineStr">
        <is>
          <t>SAV_INCOME_MULT</t>
        </is>
      </c>
      <c r="K13" s="4" t="inlineStr">
        <is>
          <t>Live. No longer swapped with N_PRP</t>
        </is>
      </c>
    </row>
    <row r="14">
      <c r="A14" s="9" t="inlineStr">
        <is>
          <t>N_PRP</t>
        </is>
      </c>
      <c r="B14" s="9" t="inlineStr">
        <is>
          <t>—</t>
        </is>
      </c>
      <c r="C14" s="9" t="inlineStr">
        <is>
          <t>PRP</t>
        </is>
      </c>
      <c r="D14" s="9" t="inlineStr">
        <is>
          <t>Wealth · calculator</t>
        </is>
      </c>
      <c r="E14" s="4" t="inlineStr">
        <is>
          <t>Home purchase</t>
        </is>
      </c>
      <c r="F14" s="4" t="inlineStr">
        <is>
          <t>none (no home-purchase label)</t>
        </is>
      </c>
      <c r="G14" s="4" t="inlineStr">
        <is>
          <t>N_PRP</t>
        </is>
      </c>
      <c r="H14" s="4" t="inlineStr">
        <is>
          <t>goal pot</t>
        </is>
      </c>
      <c r="I14" s="4" t="inlineStr">
        <is>
          <t>stored amount, else PRP_INCOME_MULT × annual income</t>
        </is>
      </c>
      <c r="J14" s="4" t="inlineStr">
        <is>
          <t>PRP_INCOME_MULT</t>
        </is>
      </c>
      <c r="K14" s="4" t="inlineStr">
        <is>
          <t>Separated from Home Protection. Off unless the customer switches it on</t>
        </is>
      </c>
    </row>
    <row r="15">
      <c r="A15" s="10" t="inlineStr">
        <is>
          <t>N_HOM</t>
        </is>
      </c>
      <c r="B15" s="10" t="inlineStr">
        <is>
          <t>—</t>
        </is>
      </c>
      <c r="C15" s="10" t="inlineStr">
        <is>
          <t>HOM</t>
        </is>
      </c>
      <c r="D15" s="10" t="inlineStr">
        <is>
          <t>Coverage · parked</t>
        </is>
      </c>
      <c r="E15" s="4" t="inlineStr">
        <is>
          <t>Home protection</t>
        </is>
      </c>
      <c r="F15" s="4" t="inlineStr">
        <is>
          <t>Home Protection (home)</t>
        </is>
      </c>
      <c r="G15" s="4" t="inlineStr">
        <is>
          <t>—</t>
        </is>
      </c>
      <c r="H15" s="4" t="inlineStr">
        <is>
          <t>—</t>
        </is>
      </c>
      <c r="I15" s="4" t="inlineStr">
        <is>
          <t>no calculator</t>
        </is>
      </c>
      <c r="J15" s="4" t="inlineStr">
        <is>
          <t>—</t>
        </is>
      </c>
      <c r="K15" s="4" t="inlineStr">
        <is>
          <t>Scored and prioritised only</t>
        </is>
      </c>
    </row>
    <row r="16">
      <c r="A16" s="10" t="inlineStr">
        <is>
          <t>N_CAR</t>
        </is>
      </c>
      <c r="B16" s="10" t="inlineStr">
        <is>
          <t>—</t>
        </is>
      </c>
      <c r="C16" s="10" t="inlineStr">
        <is>
          <t>CAR</t>
        </is>
      </c>
      <c r="D16" s="10" t="inlineStr">
        <is>
          <t>Coverage · parked</t>
        </is>
      </c>
      <c r="E16" s="4" t="inlineStr">
        <is>
          <t>Car protection</t>
        </is>
      </c>
      <c r="F16" s="4" t="inlineStr">
        <is>
          <t>Car Protection (motor)</t>
        </is>
      </c>
      <c r="G16" s="4" t="inlineStr">
        <is>
          <t>—</t>
        </is>
      </c>
      <c r="H16" s="4" t="inlineStr">
        <is>
          <t>—</t>
        </is>
      </c>
      <c r="I16" s="4" t="inlineStr">
        <is>
          <t>no calculator</t>
        </is>
      </c>
      <c r="J16" s="4" t="inlineStr">
        <is>
          <t>—</t>
        </is>
      </c>
      <c r="K16" s="4" t="inlineStr">
        <is>
          <t>Scored and prioritised only</t>
        </is>
      </c>
    </row>
    <row r="17">
      <c r="A17" s="10" t="inlineStr">
        <is>
          <t>N_TRV</t>
        </is>
      </c>
      <c r="B17" s="10" t="inlineStr">
        <is>
          <t>—</t>
        </is>
      </c>
      <c r="C17" s="10" t="inlineStr">
        <is>
          <t>TRV</t>
        </is>
      </c>
      <c r="D17" s="10" t="inlineStr">
        <is>
          <t>Coverage · parked</t>
        </is>
      </c>
      <c r="E17" s="4" t="inlineStr">
        <is>
          <t>Travel protection</t>
        </is>
      </c>
      <c r="F17" s="4" t="inlineStr">
        <is>
          <t>Travel Protection (travel)</t>
        </is>
      </c>
      <c r="G17" s="4" t="inlineStr">
        <is>
          <t>—</t>
        </is>
      </c>
      <c r="H17" s="4" t="inlineStr">
        <is>
          <t>—</t>
        </is>
      </c>
      <c r="I17" s="4" t="inlineStr">
        <is>
          <t>no calculator</t>
        </is>
      </c>
      <c r="J17" s="4" t="inlineStr">
        <is>
          <t>—</t>
        </is>
      </c>
      <c r="K17" s="4" t="inlineStr">
        <is>
          <t>Scored and prioritised only</t>
        </is>
      </c>
    </row>
    <row r="18">
      <c r="A18" s="11" t="inlineStr">
        <is>
          <t>—</t>
        </is>
      </c>
      <c r="B18" s="11" t="inlineStr">
        <is>
          <t>—</t>
        </is>
      </c>
      <c r="C18" s="11" t="inlineStr">
        <is>
          <t>—</t>
        </is>
      </c>
      <c r="D18" s="11" t="inlineStr">
        <is>
          <t>Dropped</t>
        </is>
      </c>
      <c r="E18" s="4" t="inlineStr">
        <is>
          <t>Farewell</t>
        </is>
      </c>
      <c r="F18" s="4" t="inlineStr">
        <is>
          <t>Farewell (farewell)</t>
        </is>
      </c>
      <c r="G18" s="4" t="inlineStr">
        <is>
          <t>funeral lump dropped</t>
        </is>
      </c>
      <c r="H18" s="4" t="inlineStr">
        <is>
          <t>—</t>
        </is>
      </c>
      <c r="I18" s="4" t="inlineStr">
        <is>
          <t>—</t>
        </is>
      </c>
      <c r="J18" s="4" t="inlineStr">
        <is>
          <t>funeralLump removed</t>
        </is>
      </c>
      <c r="K18" s="4" t="inlineStr">
        <is>
          <t>Dropped V0-16</t>
        </is>
      </c>
    </row>
    <row r="20">
      <c r="A20" s="5" t="inlineStr">
        <is>
          <t>RISKS AND STRESS EVENTS</t>
        </is>
      </c>
    </row>
    <row r="21">
      <c r="A21" s="3" t="inlineStr">
        <is>
          <t>Code</t>
        </is>
      </c>
      <c r="B21" s="3" t="inlineStr">
        <is>
          <t>Was (id)</t>
        </is>
      </c>
      <c r="C21" s="3" t="inlineStr">
        <is>
          <t>Label</t>
        </is>
      </c>
      <c r="D21" s="3" t="inlineStr">
        <is>
          <t>Need</t>
        </is>
      </c>
      <c r="E21" s="3" t="inlineStr">
        <is>
          <t>Kind</t>
        </is>
      </c>
    </row>
    <row r="22">
      <c r="A22" s="4" t="inlineStr">
        <is>
          <t>R_DEA</t>
        </is>
      </c>
      <c r="B22" s="4" t="inlineStr">
        <is>
          <t>death</t>
        </is>
      </c>
      <c r="C22" s="4" t="inlineStr">
        <is>
          <t>Death</t>
        </is>
      </c>
      <c r="D22" s="4" t="inlineStr">
        <is>
          <t>N_INC</t>
        </is>
      </c>
      <c r="E22" s="4" t="inlineStr">
        <is>
          <t>Need risk</t>
        </is>
      </c>
    </row>
    <row r="23">
      <c r="A23" s="4" t="inlineStr">
        <is>
          <t>R_CRI</t>
        </is>
      </c>
      <c r="B23" s="4" t="inlineStr">
        <is>
          <t>ci</t>
        </is>
      </c>
      <c r="C23" s="4" t="inlineStr">
        <is>
          <t>Critical illness</t>
        </is>
      </c>
      <c r="D23" s="4" t="inlineStr">
        <is>
          <t>N_CRI</t>
        </is>
      </c>
      <c r="E23" s="4" t="inlineStr">
        <is>
          <t>Need risk</t>
        </is>
      </c>
    </row>
    <row r="24">
      <c r="A24" s="4" t="inlineStr">
        <is>
          <t>R_TPD</t>
        </is>
      </c>
      <c r="B24" s="4" t="inlineStr">
        <is>
          <t>tpd</t>
        </is>
      </c>
      <c r="C24" s="4" t="inlineStr">
        <is>
          <t>Total &amp; permanent disability</t>
        </is>
      </c>
      <c r="D24" s="4" t="inlineStr">
        <is>
          <t>N_TPD</t>
        </is>
      </c>
      <c r="E24" s="4" t="inlineStr">
        <is>
          <t>Need risk</t>
        </is>
      </c>
    </row>
    <row r="25">
      <c r="A25" s="4" t="inlineStr">
        <is>
          <t>R_HOS</t>
        </is>
      </c>
      <c r="B25" s="4" t="inlineStr">
        <is>
          <t>hosp</t>
        </is>
      </c>
      <c r="C25" s="4" t="inlineStr">
        <is>
          <t>Hospitalisation</t>
        </is>
      </c>
      <c r="D25" s="4" t="inlineStr">
        <is>
          <t>N_HOS</t>
        </is>
      </c>
      <c r="E25" s="4" t="inlineStr">
        <is>
          <t>Need risk</t>
        </is>
      </c>
    </row>
    <row r="26">
      <c r="A26" s="4" t="inlineStr">
        <is>
          <t>R_PAC</t>
        </is>
      </c>
      <c r="B26" s="4" t="inlineStr">
        <is>
          <t>pa</t>
        </is>
      </c>
      <c r="C26" s="4" t="inlineStr">
        <is>
          <t>Personal accident</t>
        </is>
      </c>
      <c r="D26" s="4" t="inlineStr">
        <is>
          <t>N_PAC</t>
        </is>
      </c>
      <c r="E26" s="4" t="inlineStr">
        <is>
          <t>Need risk</t>
        </is>
      </c>
    </row>
    <row r="27">
      <c r="A27" s="4" t="inlineStr">
        <is>
          <t>R_LON</t>
        </is>
      </c>
      <c r="B27" s="4" t="inlineStr">
        <is>
          <t>—</t>
        </is>
      </c>
      <c r="C27" s="4" t="inlineStr">
        <is>
          <t>Longevity (outliving savings)</t>
        </is>
      </c>
      <c r="D27" s="4" t="inlineStr">
        <is>
          <t>N_RET</t>
        </is>
      </c>
      <c r="E27" s="4" t="inlineStr">
        <is>
          <t>Need risk (not a stress event)</t>
        </is>
      </c>
    </row>
    <row r="28">
      <c r="A28" s="4" t="inlineStr">
        <is>
          <t>R_LTC</t>
        </is>
      </c>
      <c r="B28" s="4" t="inlineStr">
        <is>
          <t>care</t>
        </is>
      </c>
      <c r="C28" s="4" t="inlineStr">
        <is>
          <t>Long-term care</t>
        </is>
      </c>
      <c r="D28" s="4" t="inlineStr">
        <is>
          <t>—</t>
        </is>
      </c>
      <c r="E28" s="4" t="inlineStr">
        <is>
          <t>Stress event (no need yet)</t>
        </is>
      </c>
    </row>
    <row r="29">
      <c r="A29" s="4" t="inlineStr">
        <is>
          <t>R_MKT</t>
        </is>
      </c>
      <c r="B29" s="4" t="inlineStr">
        <is>
          <t>crash</t>
        </is>
      </c>
      <c r="C29" s="4" t="inlineStr">
        <is>
          <t>Market crash</t>
        </is>
      </c>
      <c r="D29" s="4" t="inlineStr">
        <is>
          <t>—</t>
        </is>
      </c>
      <c r="E29" s="4" t="inlineStr">
        <is>
          <t>Market event</t>
        </is>
      </c>
    </row>
    <row r="30">
      <c r="A30" s="4" t="inlineStr">
        <is>
          <t>R_CCY</t>
        </is>
      </c>
      <c r="B30" s="4" t="inlineStr">
        <is>
          <t>ccy</t>
        </is>
      </c>
      <c r="C30" s="4" t="inlineStr">
        <is>
          <t>Currency shock</t>
        </is>
      </c>
      <c r="D30" s="4" t="inlineStr">
        <is>
          <t>—</t>
        </is>
      </c>
      <c r="E30" s="4" t="inlineStr">
        <is>
          <t>Market event</t>
        </is>
      </c>
    </row>
    <row r="31">
      <c r="A31" s="4" t="inlineStr">
        <is>
          <t>R_INF</t>
        </is>
      </c>
      <c r="B31" s="4" t="inlineStr">
        <is>
          <t>infl</t>
        </is>
      </c>
      <c r="C31" s="4" t="inlineStr">
        <is>
          <t>Inflation shock</t>
        </is>
      </c>
      <c r="D31" s="4" t="inlineStr">
        <is>
          <t>—</t>
        </is>
      </c>
      <c r="E31" s="4" t="inlineStr">
        <is>
          <t>Market event</t>
        </is>
      </c>
    </row>
    <row r="32">
      <c r="A32" s="4" t="inlineStr">
        <is>
          <t>R_ICT</t>
        </is>
      </c>
      <c r="B32" s="4" t="inlineStr">
        <is>
          <t>inc</t>
        </is>
      </c>
      <c r="C32" s="4" t="inlineStr">
        <is>
          <t>Income cut</t>
        </is>
      </c>
      <c r="D32" s="4" t="inlineStr">
        <is>
          <t>—</t>
        </is>
      </c>
      <c r="E32" s="4" t="inlineStr">
        <is>
          <t>Household event</t>
        </is>
      </c>
    </row>
    <row r="33">
      <c r="A33" s="4" t="inlineStr">
        <is>
          <t>R_EXP</t>
        </is>
      </c>
      <c r="B33" s="4" t="inlineStr">
        <is>
          <t>exp</t>
        </is>
      </c>
      <c r="C33" s="4" t="inlineStr">
        <is>
          <t>Expense shock</t>
        </is>
      </c>
      <c r="D33" s="4" t="inlineStr">
        <is>
          <t>—</t>
        </is>
      </c>
      <c r="E33" s="4" t="inlineStr">
        <is>
          <t>Household event</t>
        </is>
      </c>
    </row>
    <row r="34">
      <c r="A34" s="4" t="inlineStr">
        <is>
          <t>R_WED</t>
        </is>
      </c>
      <c r="B34" s="4" t="inlineStr">
        <is>
          <t>wed</t>
        </is>
      </c>
      <c r="C34" s="4" t="inlineStr">
        <is>
          <t>Wedding / marriage</t>
        </is>
      </c>
      <c r="D34" s="4" t="inlineStr">
        <is>
          <t>—</t>
        </is>
      </c>
      <c r="E34" s="4" t="inlineStr">
        <is>
          <t>Life event</t>
        </is>
      </c>
    </row>
    <row r="35">
      <c r="A35" s="4" t="inlineStr">
        <is>
          <t>R_BAB</t>
        </is>
      </c>
      <c r="B35" s="4" t="inlineStr">
        <is>
          <t>baby</t>
        </is>
      </c>
      <c r="C35" s="4" t="inlineStr">
        <is>
          <t>Newborn</t>
        </is>
      </c>
      <c r="D35" s="4" t="inlineStr">
        <is>
          <t>—</t>
        </is>
      </c>
      <c r="E35" s="4" t="inlineStr">
        <is>
          <t>Life event</t>
        </is>
      </c>
    </row>
    <row r="37">
      <c r="A37" s="5" t="inlineStr">
        <is>
          <t>PARAMETER NAMES (Assumptions named cells)</t>
        </is>
      </c>
    </row>
    <row r="38">
      <c r="A38" s="3" t="inlineStr">
        <is>
          <t>New name</t>
        </is>
      </c>
      <c r="B38" s="3" t="inlineStr">
        <is>
          <t>Was</t>
        </is>
      </c>
      <c r="C38" s="3" t="inlineStr">
        <is>
          <t>Need</t>
        </is>
      </c>
    </row>
    <row r="39">
      <c r="A39" s="4" t="inlineStr">
        <is>
          <t>INC_SUPPORT_MIN</t>
        </is>
      </c>
      <c r="B39" s="4" t="inlineStr">
        <is>
          <t>lifeSupportMin</t>
        </is>
      </c>
      <c r="C39" s="4" t="inlineStr">
        <is>
          <t>N_INC</t>
        </is>
      </c>
    </row>
    <row r="40">
      <c r="A40" s="4" t="inlineStr">
        <is>
          <t>INC_SUPPORT_MAX</t>
        </is>
      </c>
      <c r="B40" s="4" t="inlineStr">
        <is>
          <t>lifeSupportMax</t>
        </is>
      </c>
      <c r="C40" s="4" t="inlineStr">
        <is>
          <t>N_INC</t>
        </is>
      </c>
    </row>
    <row r="41">
      <c r="A41" s="4" t="inlineStr">
        <is>
          <t>INC_SUPPORT_PIVOT_AGE</t>
        </is>
      </c>
      <c r="B41" s="4" t="inlineStr">
        <is>
          <t>lifeSupportPivotAge</t>
        </is>
      </c>
      <c r="C41" s="4" t="inlineStr">
        <is>
          <t>N_INC</t>
        </is>
      </c>
    </row>
    <row r="42">
      <c r="A42" s="4" t="inlineStr">
        <is>
          <t>CRI_YEARS</t>
        </is>
      </c>
      <c r="B42" s="4" t="inlineStr">
        <is>
          <t>CI_YEARS</t>
        </is>
      </c>
      <c r="C42" s="4" t="inlineStr">
        <is>
          <t>N_CRI</t>
        </is>
      </c>
    </row>
    <row r="43">
      <c r="A43" s="4" t="inlineStr">
        <is>
          <t>CRI_COST</t>
        </is>
      </c>
      <c r="B43" s="4" t="inlineStr">
        <is>
          <t>CI_COST</t>
        </is>
      </c>
      <c r="C43" s="4" t="inlineStr">
        <is>
          <t>N_CRI</t>
        </is>
      </c>
    </row>
    <row r="44">
      <c r="A44" s="4" t="inlineStr">
        <is>
          <t>TPD_YEARS</t>
        </is>
      </c>
      <c r="B44" s="4" t="inlineStr">
        <is>
          <t>TPD_YEARS</t>
        </is>
      </c>
      <c r="C44" s="4" t="inlineStr">
        <is>
          <t>N_TPD</t>
        </is>
      </c>
    </row>
    <row r="45">
      <c r="A45" s="4" t="inlineStr">
        <is>
          <t>TPD_COST</t>
        </is>
      </c>
      <c r="B45" s="4" t="inlineStr">
        <is>
          <t>TPD_COST</t>
        </is>
      </c>
      <c r="C45" s="4" t="inlineStr">
        <is>
          <t>N_TPD</t>
        </is>
      </c>
    </row>
    <row r="46">
      <c r="A46" s="4" t="inlineStr">
        <is>
          <t>HOS_MONTHS</t>
        </is>
      </c>
      <c r="B46" s="4" t="inlineStr">
        <is>
          <t>HOSP_MONTHS</t>
        </is>
      </c>
      <c r="C46" s="4" t="inlineStr">
        <is>
          <t>N_HOS</t>
        </is>
      </c>
    </row>
    <row r="47">
      <c r="A47" s="4" t="inlineStr">
        <is>
          <t>PAC_YEARS</t>
        </is>
      </c>
      <c r="B47" s="4" t="inlineStr">
        <is>
          <t>(new)</t>
        </is>
      </c>
      <c r="C47" s="4" t="inlineStr">
        <is>
          <t>N_PAC</t>
        </is>
      </c>
    </row>
    <row r="48">
      <c r="A48" s="4" t="inlineStr">
        <is>
          <t>PAC_COST</t>
        </is>
      </c>
      <c r="B48" s="4" t="inlineStr">
        <is>
          <t>(new)</t>
        </is>
      </c>
      <c r="C48" s="4" t="inlineStr">
        <is>
          <t>N_PAC</t>
        </is>
      </c>
    </row>
    <row r="49">
      <c r="A49" s="4" t="inlineStr">
        <is>
          <t>RET_LIFESTYLE_FRUGAL</t>
        </is>
      </c>
      <c r="B49" s="4" t="inlineStr">
        <is>
          <t>lifestyleFrugal</t>
        </is>
      </c>
      <c r="C49" s="4" t="inlineStr">
        <is>
          <t>N_RET</t>
        </is>
      </c>
    </row>
    <row r="50">
      <c r="A50" s="4" t="inlineStr">
        <is>
          <t>RET_LIFESTYLE_STRESSFREE</t>
        </is>
      </c>
      <c r="B50" s="4" t="inlineStr">
        <is>
          <t>lifestyleStressFree</t>
        </is>
      </c>
      <c r="C50" s="4" t="inlineStr">
        <is>
          <t>N_RET</t>
        </is>
      </c>
    </row>
    <row r="51">
      <c r="A51" s="4" t="inlineStr">
        <is>
          <t>RET_LIFESTYLE_ONLYTHEBEST</t>
        </is>
      </c>
      <c r="B51" s="4" t="inlineStr">
        <is>
          <t>lifestyleOnlyTheBest</t>
        </is>
      </c>
      <c r="C51" s="4" t="inlineStr">
        <is>
          <t>N_RET</t>
        </is>
      </c>
    </row>
    <row r="52">
      <c r="A52" s="4" t="inlineStr">
        <is>
          <t>EDU_COST</t>
        </is>
      </c>
      <c r="B52" s="4" t="inlineStr">
        <is>
          <t>EDU_TOTAL_COST</t>
        </is>
      </c>
      <c r="C52" s="4" t="inlineStr">
        <is>
          <t>N_EDU</t>
        </is>
      </c>
    </row>
    <row r="53">
      <c r="A53" s="4" t="inlineStr">
        <is>
          <t>EDU_YEARS_DEFAULT</t>
        </is>
      </c>
      <c r="B53" s="4" t="inlineStr">
        <is>
          <t>eduYearsDefault</t>
        </is>
      </c>
      <c r="C53" s="4" t="inlineStr">
        <is>
          <t>N_EDU</t>
        </is>
      </c>
    </row>
    <row r="54">
      <c r="A54" s="4" t="inlineStr">
        <is>
          <t>SAV_INCOME_MULT</t>
        </is>
      </c>
      <c r="B54" s="4" t="inlineStr">
        <is>
          <t>savIncomeMultiple</t>
        </is>
      </c>
      <c r="C54" s="4" t="inlineStr">
        <is>
          <t>N_SAV</t>
        </is>
      </c>
    </row>
    <row r="55">
      <c r="A55" s="4" t="inlineStr">
        <is>
          <t>PRP_INCOME_MULT</t>
        </is>
      </c>
      <c r="B55" s="4" t="inlineStr">
        <is>
          <t>prpIncomeMultiple</t>
        </is>
      </c>
      <c r="C55" s="4" t="inlineStr">
        <is>
          <t>N_PRP</t>
        </is>
      </c>
    </row>
    <row r="56">
      <c r="A56" s="4" t="inlineStr">
        <is>
          <t>CRI_MEDICAL_HU</t>
        </is>
      </c>
      <c r="B56" s="4" t="inlineStr">
        <is>
          <t>criMedicalPlaceholder</t>
        </is>
      </c>
      <c r="C56" s="4" t="inlineStr">
        <is>
          <t>N_CRI (HappiU payload)</t>
        </is>
      </c>
    </row>
    <row r="57">
      <c r="A57" s="4" t="inlineStr">
        <is>
          <t>(removed)</t>
        </is>
      </c>
      <c r="B57" s="4" t="inlineStr">
        <is>
          <t>funeralLump</t>
        </is>
      </c>
      <c r="C57"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IFERROR(INDEX(Assumptions!$F$6:$F$13,MATCH(B9,Assumptions!$E$6:$E$13,0)),"")</f>
        <v/>
      </c>
      <c r="C39" s="27" t="inlineStr">
        <is>
          <t>C · calculated</t>
        </is>
      </c>
      <c r="D39" s="18" t="inlineStr">
        <is>
          <t>income_anchors.json Singapore min for occupation.</t>
        </is>
      </c>
    </row>
    <row r="40">
      <c r="A40" s="26" t="inlineStr">
        <is>
          <t>band max</t>
        </is>
      </c>
      <c r="B40" s="29">
        <f>IFERROR(INDEX(Assumptions!$G$6:$G$13,MATCH(B9,Assumptions!$E$6:$E$13,0)),"")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MIN(99,IF(B17&gt;0,B17,lifeExpectancyDefault))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IF(IFERROR(INDEX(Personas!W$3:W$52,MATCH($B$2,Personas!$A$3:$A$52,0)),"")="",B47,IFERROR(INDEX(Personas!W$3:W$52,MATCH($B$2,Personas!$A$3:$A$52,0)),""))</f>
        <v/>
      </c>
      <c r="C74" s="27" t="inlineStr">
        <is>
          <t>C · calculated</t>
        </is>
      </c>
      <c r="D74" s="18" t="inlineStr"/>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IF(FX_usdPerLocal="","",PLU_incomeMonthly*FX_usdPerLocal)</f>
        <v/>
      </c>
      <c r="C30" s="27" t="inlineStr">
        <is>
          <t>C · calculated</t>
        </is>
      </c>
      <c r="D30" s="18" t="inlineStr">
        <is>
          <t>local income × FX. S$5,000 × 0.74 ≈ 3,700 USD → Income weight 2.</t>
        </is>
      </c>
    </row>
    <row r="31">
      <c r="A31" s="26" t="inlineStr">
        <is>
          <t>usd Expense</t>
        </is>
      </c>
      <c r="B31" s="49">
        <f>IF(FX_usdPerLocal="","",PLU_expenseMonthly*FX_usdPerLocal)</f>
        <v/>
      </c>
      <c r="C31" s="27" t="inlineStr">
        <is>
          <t>C · calculated</t>
        </is>
      </c>
      <c r="D31" s="18" t="inlineStr">
        <is>
          <t>local expense × FX.</t>
        </is>
      </c>
    </row>
    <row r="32">
      <c r="A32" s="26" t="inlineStr">
        <is>
          <t>usd Assets</t>
        </is>
      </c>
      <c r="B32" s="49">
        <f>IF(FX_usdPerLocal="","",(PLU_cash+PLU_investments)*FX_usdPerLocal)</f>
        <v/>
      </c>
      <c r="C32" s="27" t="inlineStr">
        <is>
          <t>C · calculated</t>
        </is>
      </c>
      <c r="D32" s="18" t="inlineStr">
        <is>
          <t>cash + investments × FX.</t>
        </is>
      </c>
    </row>
    <row r="33">
      <c r="A33" s="26" t="inlineStr">
        <is>
          <t>usd Liab</t>
        </is>
      </c>
      <c r="B33" s="49">
        <f>IF(FX_usdPerLocal="","",PLU_liabilities*FX_usdPerLocal)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Disability</t>
        </is>
      </c>
      <c r="B53" s="49">
        <f>ROUND(SUMPRODUCT($B$34:$B$48,Assumptions!D$90:D$104),2)</f>
        <v/>
      </c>
      <c r="C53" s="27" t="inlineStr">
        <is>
          <t>C · calculated</t>
        </is>
      </c>
      <c r="D53" s="18" t="inlineStr">
        <is>
          <t>Need_profiler.json column Disability.</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Disability</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Disability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N_RET</t>
        </is>
      </c>
      <c r="B99" s="27">
        <f>TRUE()</f>
        <v/>
      </c>
      <c r="C99" s="42" t="inlineStr"/>
      <c r="D99" s="27">
        <f>IF(C99="",B99,C99)</f>
        <v/>
      </c>
      <c r="E99" s="27">
        <f>IF(B67&gt;7,5,3)</f>
        <v/>
      </c>
      <c r="F99" s="50">
        <f>B67</f>
        <v/>
      </c>
    </row>
    <row r="100">
      <c r="A100" s="16" t="inlineStr">
        <is>
          <t>N_EDU</t>
        </is>
      </c>
      <c r="B100" s="27">
        <f>$B$90="N_EDU"</f>
        <v/>
      </c>
      <c r="C100" s="42" t="inlineStr"/>
      <c r="D100" s="27">
        <f>IF(C100="",B100,C100)</f>
        <v/>
      </c>
      <c r="E100" s="27">
        <f>IF(B68&gt;7,5,3)</f>
        <v/>
      </c>
      <c r="F100" s="50">
        <f>B68</f>
        <v/>
      </c>
    </row>
    <row r="101">
      <c r="A101" s="16" t="inlineStr">
        <is>
          <t>N_SAV</t>
        </is>
      </c>
      <c r="B101" s="27">
        <f>$B$90="N_SAV"</f>
        <v/>
      </c>
      <c r="C101" s="42" t="inlineStr"/>
      <c r="D101" s="27">
        <f>IF(C101="",B101,C101)</f>
        <v/>
      </c>
      <c r="E101" s="27">
        <f>IF(B70&gt;7,5,3)</f>
        <v/>
      </c>
      <c r="F101" s="50">
        <f>B70</f>
        <v/>
      </c>
    </row>
    <row r="102">
      <c r="A102" s="16" t="inlineStr">
        <is>
          <t>N_PRP</t>
        </is>
      </c>
      <c r="B102" s="27">
        <f>FALSE()</f>
        <v/>
      </c>
      <c r="C102" s="42" t="inlineStr"/>
      <c r="D102" s="27">
        <f>IF(C102="",B102,C102)</f>
        <v/>
      </c>
      <c r="E102" s="27" t="n">
        <v>3</v>
      </c>
      <c r="F102" s="50" t="inlineStr">
        <is>
          <t>no label</t>
        </is>
      </c>
    </row>
    <row r="103">
      <c r="A103" s="19" t="inlineStr">
        <is>
          <t>N_HOM</t>
        </is>
      </c>
      <c r="B103" s="52" t="inlineStr">
        <is>
          <t>parked</t>
        </is>
      </c>
      <c r="C103" s="52" t="inlineStr"/>
      <c r="D103" s="52" t="inlineStr">
        <is>
          <t>coverage need</t>
        </is>
      </c>
      <c r="E103" s="27">
        <f>IF(B73&gt;7,5,3)</f>
        <v/>
      </c>
      <c r="F103" s="50">
        <f>B73</f>
        <v/>
      </c>
    </row>
    <row r="104">
      <c r="A104" s="19" t="inlineStr">
        <is>
          <t>N_CAR</t>
        </is>
      </c>
      <c r="B104" s="52" t="inlineStr">
        <is>
          <t>parked</t>
        </is>
      </c>
      <c r="C104" s="52" t="inlineStr"/>
      <c r="D104" s="52" t="inlineStr">
        <is>
          <t>coverage need</t>
        </is>
      </c>
      <c r="E104" s="27">
        <f>IF(B72&gt;7,5,3)</f>
        <v/>
      </c>
      <c r="F104" s="50">
        <f>B72</f>
        <v/>
      </c>
    </row>
    <row r="105">
      <c r="A105" s="19" t="inlineStr">
        <is>
          <t>N_TRV</t>
        </is>
      </c>
      <c r="B105" s="52" t="inlineStr">
        <is>
          <t>parked</t>
        </is>
      </c>
      <c r="C105" s="52" t="inlineStr"/>
      <c r="D105" s="52" t="inlineStr">
        <is>
          <t>coverage need</t>
        </is>
      </c>
      <c r="E105" s="27">
        <f>IF(B74&gt;7,5,3)</f>
        <v/>
      </c>
      <c r="F105" s="50">
        <f>B74</f>
        <v/>
      </c>
    </row>
    <row r="106">
      <c r="A106" s="2" t="inlineStr">
        <is>
          <t>N_PRP (home purchase) is never switched on by the profiler: there is no home-purchase label. Enable? = TRUE switches it on.</t>
        </is>
      </c>
    </row>
  </sheetData>
  <mergeCells count="7">
    <mergeCell ref="A1:D1"/>
    <mergeCell ref="A22:D22"/>
    <mergeCell ref="A50:D50"/>
    <mergeCell ref="A4:D4"/>
    <mergeCell ref="A92:D92"/>
    <mergeCell ref="A29:D29"/>
    <mergeCell ref="A14:D14"/>
  </mergeCells>
  <dataValidations count="1">
    <dataValidation sqref="C94:C102"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81"/>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7">
      <c r="A27" s="15" t="inlineStr">
        <is>
          <t>S · SYSTEM CURRENCY (USD)  —  user-currency inputs × USD per 1. The calculator below runs on these</t>
        </is>
      </c>
      <c r="B27" s="15" t="n"/>
      <c r="C27" s="15" t="n"/>
      <c r="D27" s="15" t="n"/>
    </row>
    <row r="28">
      <c r="A28" s="38" t="inlineStr">
        <is>
          <t>USD per 1 user-currency unit</t>
        </is>
      </c>
      <c r="B28" s="48">
        <f>FX_usdPerLocal</f>
        <v/>
      </c>
      <c r="C28" s="36" t="inlineStr">
        <is>
          <t>D · assumption / shared</t>
        </is>
      </c>
      <c r="D28" s="18" t="inlineStr">
        <is>
          <t>FX tab. #N/A if the currency is unknown.</t>
        </is>
      </c>
    </row>
    <row r="29">
      <c r="A29" s="38" t="inlineStr">
        <is>
          <t>price level (option B)</t>
        </is>
      </c>
      <c r="B29" s="54">
        <f>FX_priceLevel</f>
        <v/>
      </c>
      <c r="C29" s="36" t="inlineStr">
        <is>
          <t>D · assumption / shared</t>
        </is>
      </c>
      <c r="D29" s="18" t="inlineStr">
        <is>
          <t>1 under option A. Scales the USD fixed amounts.</t>
        </is>
      </c>
    </row>
    <row r="30">
      <c r="A30" s="26" t="inlineStr">
        <is>
          <t>incomeMonthly USD</t>
        </is>
      </c>
      <c r="B30" s="28">
        <f>PLU_incomeMonthly*B28</f>
        <v/>
      </c>
      <c r="C30" s="27" t="inlineStr">
        <is>
          <t>C · calculated</t>
        </is>
      </c>
      <c r="D30" s="18" t="inlineStr"/>
    </row>
    <row r="31">
      <c r="A31" s="26" t="inlineStr">
        <is>
          <t>expenseMonthly USD</t>
        </is>
      </c>
      <c r="B31" s="28">
        <f>PLU_expenseMonthly*B28</f>
        <v/>
      </c>
      <c r="C31" s="27" t="inlineStr">
        <is>
          <t>C · calculated</t>
        </is>
      </c>
      <c r="D31" s="18" t="inlineStr"/>
    </row>
    <row r="32">
      <c r="A32" s="26" t="inlineStr">
        <is>
          <t>mortgage USD</t>
        </is>
      </c>
      <c r="B32" s="28">
        <f>PLU_mortgage*B28</f>
        <v/>
      </c>
      <c r="C32" s="27" t="inlineStr">
        <is>
          <t>C · calculated</t>
        </is>
      </c>
      <c r="D32" s="18" t="inlineStr"/>
    </row>
    <row r="33">
      <c r="A33" s="26" t="inlineStr">
        <is>
          <t>life sum USD</t>
        </is>
      </c>
      <c r="B33" s="28">
        <f>PLU_lifeSum*B28</f>
        <v/>
      </c>
      <c r="C33" s="27" t="inlineStr">
        <is>
          <t>C · calculated</t>
        </is>
      </c>
      <c r="D33" s="18" t="inlineStr"/>
    </row>
    <row r="34">
      <c r="A34" s="26" t="inlineStr">
        <is>
          <t>investments USD</t>
        </is>
      </c>
      <c r="B34" s="28">
        <f>PLU_investments*B28</f>
        <v/>
      </c>
      <c r="C34" s="27" t="inlineStr">
        <is>
          <t>C · calculated</t>
        </is>
      </c>
      <c r="D34" s="18" t="inlineStr"/>
    </row>
    <row r="35">
      <c r="A35" s="26" t="inlineStr">
        <is>
          <t>bequest USD</t>
        </is>
      </c>
      <c r="B35" s="28">
        <f>B17*B28</f>
        <v/>
      </c>
      <c r="C35" s="27" t="inlineStr">
        <is>
          <t>C · calculated</t>
        </is>
      </c>
      <c r="D35" s="18" t="inlineStr"/>
    </row>
    <row r="36">
      <c r="A36" s="26" t="inlineStr">
        <is>
          <t>N_SAV stored USD</t>
        </is>
      </c>
      <c r="B36" s="28">
        <f>B20*B28</f>
        <v/>
      </c>
      <c r="C36" s="27" t="inlineStr">
        <is>
          <t>C · calculated</t>
        </is>
      </c>
      <c r="D36" s="18" t="inlineStr"/>
    </row>
    <row r="37">
      <c r="A37" s="26" t="inlineStr">
        <is>
          <t>N_PRP stored USD</t>
        </is>
      </c>
      <c r="B37" s="28">
        <f>B21*B28</f>
        <v/>
      </c>
      <c r="C37" s="27" t="inlineStr">
        <is>
          <t>C · calculated</t>
        </is>
      </c>
      <c r="D37" s="18" t="inlineStr"/>
    </row>
    <row r="38">
      <c r="A38" s="26" t="inlineStr">
        <is>
          <t>tag N_RET USD</t>
        </is>
      </c>
      <c r="B38" s="28">
        <f>B22*B28</f>
        <v/>
      </c>
      <c r="C38" s="27" t="inlineStr">
        <is>
          <t>C · calculated</t>
        </is>
      </c>
      <c r="D38" s="18" t="inlineStr"/>
    </row>
    <row r="39">
      <c r="A39" s="26" t="inlineStr">
        <is>
          <t>tag N_EDU USD</t>
        </is>
      </c>
      <c r="B39" s="28">
        <f>B23*B28</f>
        <v/>
      </c>
      <c r="C39" s="27" t="inlineStr">
        <is>
          <t>C · calculated</t>
        </is>
      </c>
      <c r="D39" s="18" t="inlineStr"/>
    </row>
    <row r="40">
      <c r="A40" s="26" t="inlineStr">
        <is>
          <t>tag N_SAV USD</t>
        </is>
      </c>
      <c r="B40" s="28">
        <f>B24*B28</f>
        <v/>
      </c>
      <c r="C40" s="27" t="inlineStr">
        <is>
          <t>C · calculated</t>
        </is>
      </c>
      <c r="D40" s="18" t="inlineStr"/>
    </row>
    <row r="41">
      <c r="A41" s="26" t="inlineStr">
        <is>
          <t>tag N_PRP USD</t>
        </is>
      </c>
      <c r="B41" s="28">
        <f>B25*B28</f>
        <v/>
      </c>
      <c r="C41" s="27" t="inlineStr">
        <is>
          <t>C · calculated</t>
        </is>
      </c>
      <c r="D41" s="18" t="inlineStr"/>
    </row>
    <row r="42">
      <c r="A42" s="26" t="inlineStr">
        <is>
          <t>incomeReplace USD</t>
        </is>
      </c>
      <c r="B42" s="28">
        <f>IF(B19="","",B19*B28)</f>
        <v/>
      </c>
      <c r="C42" s="27" t="inlineStr">
        <is>
          <t>C · calculated</t>
        </is>
      </c>
      <c r="D42" s="18" t="inlineStr">
        <is>
          <t>Blank → income.</t>
        </is>
      </c>
    </row>
    <row r="43">
      <c r="A43" s="26" t="inlineStr">
        <is>
          <t>CRI_COST USD (× price level)</t>
        </is>
      </c>
      <c r="B43" s="29">
        <f>CRI_COST*B29</f>
        <v/>
      </c>
      <c r="C43" s="27" t="inlineStr">
        <is>
          <t>C · calculated</t>
        </is>
      </c>
      <c r="D43" s="18" t="inlineStr">
        <is>
          <t>Fixed amount, USD.</t>
        </is>
      </c>
    </row>
    <row r="44">
      <c r="A44" s="26" t="inlineStr">
        <is>
          <t>TPD_COST USD (× price level)</t>
        </is>
      </c>
      <c r="B44" s="29">
        <f>TPD_COST*B29</f>
        <v/>
      </c>
      <c r="C44" s="27" t="inlineStr">
        <is>
          <t>C · calculated</t>
        </is>
      </c>
      <c r="D44" s="18" t="inlineStr">
        <is>
          <t>Fixed amount, USD.</t>
        </is>
      </c>
    </row>
    <row r="45">
      <c r="A45" s="26" t="inlineStr">
        <is>
          <t>EDU_COST USD (× price level)</t>
        </is>
      </c>
      <c r="B45" s="29">
        <f>EDU_COST*B29</f>
        <v/>
      </c>
      <c r="C45" s="27" t="inlineStr">
        <is>
          <t>C · calculated</t>
        </is>
      </c>
      <c r="D45" s="18" t="inlineStr">
        <is>
          <t>Fixed amount, USD.</t>
        </is>
      </c>
    </row>
    <row r="46">
      <c r="A46" s="26" t="inlineStr">
        <is>
          <t>PAC_COST USD (× price level)</t>
        </is>
      </c>
      <c r="B46" s="29">
        <f>PAC_COST*B29</f>
        <v/>
      </c>
      <c r="C46" s="27" t="inlineStr">
        <is>
          <t>C · calculated</t>
        </is>
      </c>
      <c r="D46" s="18" t="inlineStr">
        <is>
          <t>Fixed amount, USD. Proposal.</t>
        </is>
      </c>
    </row>
    <row r="48">
      <c r="A48" s="19" t="inlineStr">
        <is>
          <t>D · ASSUMPTIONS / SHARED DATA  —  rates and need parameters</t>
        </is>
      </c>
      <c r="B48" s="19" t="n"/>
      <c r="C48" s="19" t="n"/>
      <c r="D48" s="19" t="n"/>
    </row>
    <row r="49">
      <c r="A49" s="38" t="inlineStr">
        <is>
          <t>inflationRate</t>
        </is>
      </c>
      <c r="B49" s="45">
        <f>inflationRate</f>
        <v/>
      </c>
      <c r="C49" s="36" t="inlineStr">
        <is>
          <t>D · assumption / shared</t>
        </is>
      </c>
      <c r="D49" s="18" t="inlineStr">
        <is>
          <t>Grows EDU cost. N_RET grows at realReturn, not inflation.</t>
        </is>
      </c>
    </row>
    <row r="50">
      <c r="A50" s="38" t="inlineStr">
        <is>
          <t>investmentReturn</t>
        </is>
      </c>
      <c r="B50" s="45">
        <f>investmentReturn</f>
        <v/>
      </c>
      <c r="C50" s="36" t="inlineStr">
        <is>
          <t>D · assumption / shared</t>
        </is>
      </c>
      <c r="D50" s="18" t="inlineStr">
        <is>
          <t>Used to form realReturn.</t>
        </is>
      </c>
    </row>
    <row r="51">
      <c r="A51" s="38" t="inlineStr">
        <is>
          <t>realReturn</t>
        </is>
      </c>
      <c r="B51" s="45">
        <f>realReturn</f>
        <v/>
      </c>
      <c r="C51" s="36" t="inlineStr">
        <is>
          <t>D · assumption / shared</t>
        </is>
      </c>
      <c r="D51" s="18" t="inlineStr">
        <is>
          <t>max(0, (1+i)/(1+π) − 1). Discount rate.</t>
        </is>
      </c>
    </row>
    <row r="52">
      <c r="A52" s="38" t="inlineStr">
        <is>
          <t>RET_LIFESTYLE_FRUGAL</t>
        </is>
      </c>
      <c r="B52" s="40">
        <f>RET_LIFESTYLE_FRUGAL</f>
        <v/>
      </c>
      <c r="C52" s="36" t="inlineStr">
        <is>
          <t>D · assumption / shared</t>
        </is>
      </c>
      <c r="D52" s="18" t="inlineStr">
        <is>
          <t>N_RET spend multiple when lifestyle=1.</t>
        </is>
      </c>
    </row>
    <row r="53">
      <c r="A53" s="38" t="inlineStr">
        <is>
          <t>RET_LIFESTYLE_STRESSFREE</t>
        </is>
      </c>
      <c r="B53" s="40">
        <f>RET_LIFESTYLE_STRESSFREE</f>
        <v/>
      </c>
      <c r="C53" s="36" t="inlineStr">
        <is>
          <t>D · assumption / shared</t>
        </is>
      </c>
      <c r="D53" s="18" t="inlineStr">
        <is>
          <t>Default lifestyle=2.</t>
        </is>
      </c>
    </row>
    <row r="54">
      <c r="A54" s="38" t="inlineStr">
        <is>
          <t>RET_LIFESTYLE_ONLYTHEBEST</t>
        </is>
      </c>
      <c r="B54" s="40">
        <f>RET_LIFESTYLE_ONLYTHEBEST</f>
        <v/>
      </c>
      <c r="C54" s="36" t="inlineStr">
        <is>
          <t>D · assumption / shared</t>
        </is>
      </c>
      <c r="D54" s="18" t="inlineStr">
        <is>
          <t>lifestyle=3.</t>
        </is>
      </c>
    </row>
    <row r="55">
      <c r="A55" s="38" t="inlineStr">
        <is>
          <t>INC_SUPPORT_MIN / Max / Pivot</t>
        </is>
      </c>
      <c r="B55" s="44">
        <f>INC_SUPPORT_MIN</f>
        <v/>
      </c>
      <c r="C55" s="36" t="inlineStr">
        <is>
          <t>D · assumption / shared</t>
        </is>
      </c>
      <c r="D55" s="18" t="inlineStr">
        <is>
          <t>supportYears = min(max(10, 50 − age), 25).</t>
        </is>
      </c>
    </row>
    <row r="56">
      <c r="A56" s="38" t="inlineStr">
        <is>
          <t>CRI_YEARS / CRI_COST</t>
        </is>
      </c>
      <c r="B56" s="44">
        <f>CRI_YEARS</f>
        <v/>
      </c>
      <c r="C56" s="36" t="inlineStr">
        <is>
          <t>D · assumption / shared</t>
        </is>
      </c>
      <c r="D56" s="18" t="inlineStr">
        <is>
          <t>3 years annuity-due + CRI_COST (USD, S-block).</t>
        </is>
      </c>
    </row>
    <row r="57">
      <c r="A57" s="38" t="inlineStr">
        <is>
          <t>TPD_YEARS / TPD_COST</t>
        </is>
      </c>
      <c r="B57" s="44">
        <f>TPD_YEARS</f>
        <v/>
      </c>
      <c r="C57" s="36" t="inlineStr">
        <is>
          <t>D · assumption / shared</t>
        </is>
      </c>
      <c r="D57" s="18" t="inlineStr">
        <is>
          <t>5 years annuity-due + TPD_COST (USD, S-block).</t>
        </is>
      </c>
    </row>
    <row r="58">
      <c r="A58" s="38" t="inlineStr">
        <is>
          <t>PAC_YEARS / PAC_COST</t>
        </is>
      </c>
      <c r="B58" s="44">
        <f>PAC_YEARS</f>
        <v/>
      </c>
      <c r="C58" s="36" t="inlineStr">
        <is>
          <t>D · assumption / shared</t>
        </is>
      </c>
      <c r="D58" s="18" t="inlineStr">
        <is>
          <t>Proposal: 1 year annuity-due + PAC_COST (USD, S-block).</t>
        </is>
      </c>
    </row>
    <row r="59">
      <c r="A59" s="38" t="inlineStr">
        <is>
          <t>HOS_MONTHS</t>
        </is>
      </c>
      <c r="B59" s="44">
        <f>HOS_MONTHS</f>
        <v/>
      </c>
      <c r="C59" s="36" t="inlineStr">
        <is>
          <t>D · assumption / shared</t>
        </is>
      </c>
      <c r="D59" s="18" t="inlineStr">
        <is>
          <t>N_HOS = income × 6.</t>
        </is>
      </c>
    </row>
    <row r="60">
      <c r="A60" s="38" t="inlineStr">
        <is>
          <t>EDU_COST (USD)</t>
        </is>
      </c>
      <c r="B60" s="39">
        <f>EDU_COST</f>
        <v/>
      </c>
      <c r="C60" s="36" t="inlineStr">
        <is>
          <t>D · assumption / shared</t>
        </is>
      </c>
      <c r="D60" s="18" t="inlineStr">
        <is>
          <t>USD course cost, grown at inflation.</t>
        </is>
      </c>
    </row>
    <row r="61">
      <c r="A61" s="38" t="inlineStr">
        <is>
          <t>SAV_INCOME_MULT</t>
        </is>
      </c>
      <c r="B61" s="44">
        <f>SAV_INCOME_MULT</f>
        <v/>
      </c>
      <c r="C61" s="36" t="inlineStr">
        <is>
          <t>D · assumption / shared</t>
        </is>
      </c>
      <c r="D61" s="18" t="inlineStr">
        <is>
          <t>1 × annual income if stored is 0.</t>
        </is>
      </c>
    </row>
    <row r="62">
      <c r="A62" s="38" t="inlineStr">
        <is>
          <t>PRP_INCOME_MULT</t>
        </is>
      </c>
      <c r="B62" s="44">
        <f>PRP_INCOME_MULT</f>
        <v/>
      </c>
      <c r="C62" s="36" t="inlineStr">
        <is>
          <t>D · assumption / shared</t>
        </is>
      </c>
      <c r="D62" s="18" t="inlineStr">
        <is>
          <t>5 × annual income if stored is 0.</t>
        </is>
      </c>
    </row>
    <row r="63">
      <c r="A63" s="38" t="inlineStr">
        <is>
          <t>currentYear / ageOfRetirement</t>
        </is>
      </c>
      <c r="B63" s="44">
        <f>currentYear</f>
        <v/>
      </c>
      <c r="C63" s="36" t="inlineStr">
        <is>
          <t>D · assumption / shared</t>
        </is>
      </c>
      <c r="D63" s="18" t="inlineStr">
        <is>
          <t>2026 / 65 in this workbook.</t>
        </is>
      </c>
    </row>
    <row r="65">
      <c r="A65" s="16" t="inlineStr">
        <is>
          <t>C · DETERMINISTICALLY CALCULATED  —  horizons</t>
        </is>
      </c>
      <c r="B65" s="16" t="n"/>
      <c r="C65" s="16" t="n"/>
      <c r="D65" s="16" t="n"/>
    </row>
    <row r="66">
      <c r="A66" s="26" t="inlineStr">
        <is>
          <t>supportYears</t>
        </is>
      </c>
      <c r="B66" s="46">
        <f>MIN(MAX(INC_SUPPORT_MIN,INC_SUPPORT_PIVOT_AGE-B5),INC_SUPPORT_MAX)</f>
        <v/>
      </c>
      <c r="C66" s="27" t="inlineStr">
        <is>
          <t>C · calculated</t>
        </is>
      </c>
      <c r="D66" s="18" t="inlineStr">
        <is>
          <t>life_support_years(age).</t>
        </is>
      </c>
    </row>
    <row r="67">
      <c r="A67" s="26" t="inlineStr">
        <is>
          <t>yearsToRet</t>
        </is>
      </c>
      <c r="B67" s="46">
        <f>MAX(0,B15-B5)</f>
        <v/>
      </c>
      <c r="C67" s="27" t="inlineStr">
        <is>
          <t>C · calculated</t>
        </is>
      </c>
      <c r="D67" s="18" t="inlineStr">
        <is>
          <t>years_to_retirement.</t>
        </is>
      </c>
    </row>
    <row r="68">
      <c r="A68" s="26" t="inlineStr">
        <is>
          <t>yearsInRet</t>
        </is>
      </c>
      <c r="B68" s="46">
        <f>MAX(0,PLU_leUsed-B15)</f>
        <v/>
      </c>
      <c r="C68" s="27" t="inlineStr">
        <is>
          <t>C · calculated</t>
        </is>
      </c>
      <c r="D68" s="18" t="inlineStr">
        <is>
          <t>years_in_retirement(retAge, session LE).</t>
        </is>
      </c>
    </row>
    <row r="69">
      <c r="A69" s="26" t="inlineStr">
        <is>
          <t>eduYears</t>
        </is>
      </c>
      <c r="B69" s="46">
        <f>MAX(0,B16-currentYear)</f>
        <v/>
      </c>
      <c r="C69" s="27" t="inlineStr">
        <is>
          <t>C · calculated</t>
        </is>
      </c>
      <c r="D69" s="18" t="inlineStr">
        <is>
          <t>max(0, targetYear − thisYear).</t>
        </is>
      </c>
    </row>
    <row r="71">
      <c r="A71" s="16" t="inlineStr">
        <is>
          <t>C · RESULTS  —  amount / have / gap for every UNIFIED type (even when off)</t>
        </is>
      </c>
      <c r="B71" s="16" t="n"/>
      <c r="C71" s="16" t="n"/>
      <c r="D71" s="16" t="n"/>
    </row>
    <row r="72">
      <c r="A72" s="3" t="inlineStr">
        <is>
          <t>type</t>
        </is>
      </c>
      <c r="B72" s="16" t="inlineStr">
        <is>
          <t>needAmount</t>
        </is>
      </c>
      <c r="C72" s="16" t="inlineStr">
        <is>
          <t>have</t>
        </is>
      </c>
      <c r="D72" s="16" t="inlineStr">
        <is>
          <t>gap</t>
        </is>
      </c>
      <c r="E72" s="21" t="inlineStr">
        <is>
          <t>Enable?</t>
        </is>
      </c>
      <c r="F72" s="16" t="inlineStr">
        <is>
          <t>on (effective)</t>
        </is>
      </c>
      <c r="H72" s="15" t="inlineStr">
        <is>
          <t>needAmount USD</t>
        </is>
      </c>
      <c r="I72" s="15" t="inlineStr">
        <is>
          <t>have USD</t>
        </is>
      </c>
      <c r="J72" s="15" t="inlineStr">
        <is>
          <t>gap USD</t>
        </is>
      </c>
    </row>
    <row r="73">
      <c r="A73" s="16" t="inlineStr">
        <is>
          <t>N_INC</t>
        </is>
      </c>
      <c r="B73" s="29">
        <f>ROUND(H73/$B$28,0)</f>
        <v/>
      </c>
      <c r="C73" s="29">
        <f>ROUND(I73/$B$28,0)</f>
        <v/>
      </c>
      <c r="D73" s="29">
        <f>MAX(0,B73-C73)</f>
        <v/>
      </c>
      <c r="E73" s="42" t="inlineStr"/>
      <c r="F73" s="27">
        <f>IF(E73="",NP_on_N_INC,E73)</f>
        <v/>
      </c>
      <c r="G73" s="18" t="inlineStr">
        <is>
          <t>bequest + mortgage + PV of annual spend over dependYears.</t>
        </is>
      </c>
      <c r="H73" s="23">
        <f>MAX(0,B35+B32+IF(OR((IF(OR(B18="",B18&lt;=0),B66,B18))&lt;=0,(B31*12)&lt;=0),0,IF(ABS(realReturn)&lt;1E-12,(B31*12)*(IF(OR(B18="",B18&lt;=0),B66,B18)),(B31*12)*(1-(1+realReturn)^(-(IF(OR(B18="",B18&lt;=0),B66,B18))))/(realReturn))))</f>
        <v/>
      </c>
      <c r="I73" s="23">
        <f>B33</f>
        <v/>
      </c>
      <c r="J73" s="23">
        <f>MAX(0,H73-I73)</f>
        <v/>
      </c>
    </row>
    <row r="74">
      <c r="A74" s="16" t="inlineStr">
        <is>
          <t>N_CRI</t>
        </is>
      </c>
      <c r="B74" s="29">
        <f>ROUND(H74/$B$28,0)</f>
        <v/>
      </c>
      <c r="C74" s="29">
        <f>ROUND(I74/$B$28,0)</f>
        <v/>
      </c>
      <c r="D74" s="29">
        <f>MAX(0,B74-C74)</f>
        <v/>
      </c>
      <c r="E74" s="42" t="inlineStr"/>
      <c r="F74" s="27">
        <f>IF(E74="",NP_on_N_CRI,E74)</f>
        <v/>
      </c>
      <c r="G74" s="18" t="inlineStr">
        <is>
          <t>Annuity-due of replacement income for CRI_YEARS + CRI_COST.</t>
        </is>
      </c>
      <c r="H74" s="23">
        <f>MAX(0,IF(OR((CRI_YEARS)&lt;=0,((IF(B42="",B30,B42))*12)&lt;=0),0,IF(ABS(realReturn)&lt;1E-12,((IF(B42="",B30,B42))*12)*(CRI_YEARS),((IF(B42="",B30,B42))*12)*(1-(1/((1+realReturn)))^(CRI_YEARS))/(1-(1/((1+realReturn))))))+B43)</f>
        <v/>
      </c>
      <c r="I74" s="23">
        <f>0</f>
        <v/>
      </c>
      <c r="J74" s="23">
        <f>MAX(0,H74-I74)</f>
        <v/>
      </c>
    </row>
    <row r="75">
      <c r="A75" s="16" t="inlineStr">
        <is>
          <t>N_TPD</t>
        </is>
      </c>
      <c r="B75" s="29">
        <f>ROUND(H75/$B$28,0)</f>
        <v/>
      </c>
      <c r="C75" s="29">
        <f>ROUND(I75/$B$28,0)</f>
        <v/>
      </c>
      <c r="D75" s="29">
        <f>MAX(0,B75-C75)</f>
        <v/>
      </c>
      <c r="E75" s="42" t="inlineStr"/>
      <c r="F75" s="27">
        <f>IF(E75="",NP_on_N_TPD,E75)</f>
        <v/>
      </c>
      <c r="G75" s="18" t="inlineStr">
        <is>
          <t>Annuity-due of replacement income for TPD_YEARS + TPD_COST.</t>
        </is>
      </c>
      <c r="H75" s="23">
        <f>MAX(0,IF(OR((TPD_YEARS)&lt;=0,((IF(B42="",B30,B42))*12)&lt;=0),0,IF(ABS(realReturn)&lt;1E-12,((IF(B42="",B30,B42))*12)*(TPD_YEARS),((IF(B42="",B30,B42))*12)*(1-(1/((1+realReturn)))^(TPD_YEARS))/(1-(1/((1+realReturn))))))+B44)</f>
        <v/>
      </c>
      <c r="I75" s="23">
        <f>0</f>
        <v/>
      </c>
      <c r="J75" s="23">
        <f>MAX(0,H75-I75)</f>
        <v/>
      </c>
    </row>
    <row r="76">
      <c r="A76" s="16" t="inlineStr">
        <is>
          <t>N_HOS</t>
        </is>
      </c>
      <c r="B76" s="29">
        <f>ROUND(H76/$B$28,0)</f>
        <v/>
      </c>
      <c r="C76" s="29">
        <f>ROUND(I76/$B$28,0)</f>
        <v/>
      </c>
      <c r="D76" s="29">
        <f>MAX(0,B76-C76)</f>
        <v/>
      </c>
      <c r="E76" s="42" t="inlineStr"/>
      <c r="F76" s="27">
        <f>IF(E76="",NP_on_N_HOS,E76)</f>
        <v/>
      </c>
      <c r="G76" s="18" t="inlineStr">
        <is>
          <t>incomeMonthly × HOS_MONTHS.</t>
        </is>
      </c>
      <c r="H76" s="23">
        <f>MAX(0,B30*HOS_MONTHS)</f>
        <v/>
      </c>
      <c r="I76" s="23">
        <f>0</f>
        <v/>
      </c>
      <c r="J76" s="23">
        <f>MAX(0,H76-I76)</f>
        <v/>
      </c>
    </row>
    <row r="77">
      <c r="A77" s="16" t="inlineStr">
        <is>
          <t>N_PAC</t>
        </is>
      </c>
      <c r="B77" s="29">
        <f>ROUND(H77/$B$28,0)</f>
        <v/>
      </c>
      <c r="C77" s="29">
        <f>ROUND(I77/$B$28,0)</f>
        <v/>
      </c>
      <c r="D77" s="29">
        <f>MAX(0,B77-C77)</f>
        <v/>
      </c>
      <c r="E77" s="42" t="inlineStr"/>
      <c r="F77" s="27">
        <f>IF(E77="",NP_on_N_PAC,E77)</f>
        <v/>
      </c>
      <c r="G77" s="18" t="inlineStr">
        <is>
          <t>Annuity-due of replacement income for PAC_YEARS + PAC_COST (proposal).</t>
        </is>
      </c>
      <c r="H77" s="23">
        <f>MAX(0,IF(OR((PAC_YEARS)&lt;=0,((IF(B42="",B30,B42))*12)&lt;=0),0,IF(ABS(realReturn)&lt;1E-12,((IF(B42="",B30,B42))*12)*(PAC_YEARS),((IF(B42="",B30,B42))*12)*(1-(1/((1+realReturn)))^(PAC_YEARS))/(1-(1/((1+realReturn))))))+B46)</f>
        <v/>
      </c>
      <c r="I77" s="23">
        <f>0</f>
        <v/>
      </c>
      <c r="J77" s="23">
        <f>MAX(0,H77-I77)</f>
        <v/>
      </c>
    </row>
    <row r="78">
      <c r="A78" s="16" t="inlineStr">
        <is>
          <t>N_RET</t>
        </is>
      </c>
      <c r="B78" s="29">
        <f>ROUND(H78/$B$28,0)</f>
        <v/>
      </c>
      <c r="C78" s="29">
        <f>ROUND(I78/$B$28,0)</f>
        <v/>
      </c>
      <c r="D78" s="29">
        <f>MAX(0,B78-C78)</f>
        <v/>
      </c>
      <c r="E78" s="42" t="inlineStr"/>
      <c r="F78" s="27">
        <f>IF(E78="",NP_on_N_RET,E78)</f>
        <v/>
      </c>
      <c r="G78" s="18" t="inlineStr">
        <is>
          <t>annualSpend × (1+realReturn)^T × a(realReturn, yearsInRet).</t>
        </is>
      </c>
      <c r="H78" s="23">
        <f>MAX(0,IF(OR((B68)&lt;=0,(IF((B67)&lt;=0,MAX(0,B31*12*(IF(B14=1,RET_LIFESTYLE_FRUGAL,IF(B14=3,RET_LIFESTYLE_ONLYTHEBEST,RET_LIFESTYLE_STRESSFREE)))),(B31*12*(IF(B14=1,RET_LIFESTYLE_FRUGAL,IF(B14=3,RET_LIFESTYLE_ONLYTHEBEST,RET_LIFESTYLE_STRESSFREE))))*(1+realReturn)^(B67)))&lt;=0),0,IF(ABS(realReturn)&lt;1E-12,(IF((B67)&lt;=0,MAX(0,B31*12*(IF(B14=1,RET_LIFESTYLE_FRUGAL,IF(B14=3,RET_LIFESTYLE_ONLYTHEBEST,RET_LIFESTYLE_STRESSFREE)))),(B31*12*(IF(B14=1,RET_LIFESTYLE_FRUGAL,IF(B14=3,RET_LIFESTYLE_ONLYTHEBEST,RET_LIFESTYLE_STRESSFREE))))*(1+realReturn)^(B67)))*(B68),(IF((B67)&lt;=0,MAX(0,B31*12*(IF(B14=1,RET_LIFESTYLE_FRUGAL,IF(B14=3,RET_LIFESTYLE_ONLYTHEBEST,RET_LIFESTYLE_STRESSFREE)))),(B31*12*(IF(B14=1,RET_LIFESTYLE_FRUGAL,IF(B14=3,RET_LIFESTYLE_ONLYTHEBEST,RET_LIFESTYLE_STRESSFREE))))*(1+realReturn)^(B67)))*(1-(1+realReturn)^(-(B68)))/(realReturn))))</f>
        <v/>
      </c>
      <c r="I78" s="23">
        <f>IF((B67)&lt;=0,MAX(0,MIN(MAX(0,B38),MAX(0,B34))),(MIN(MAX(0,B38),MAX(0,B34)))*(1+realReturn)^(B67))</f>
        <v/>
      </c>
      <c r="J78" s="23">
        <f>MAX(0,H78-I78)</f>
        <v/>
      </c>
    </row>
    <row r="79">
      <c r="A79" s="16" t="inlineStr">
        <is>
          <t>N_EDU</t>
        </is>
      </c>
      <c r="B79" s="29">
        <f>ROUND(H79/$B$28,0)</f>
        <v/>
      </c>
      <c r="C79" s="29">
        <f>ROUND(I79/$B$28,0)</f>
        <v/>
      </c>
      <c r="D79" s="29">
        <f>MAX(0,B79-C79)</f>
        <v/>
      </c>
      <c r="E79" s="42" t="inlineStr"/>
      <c r="F79" s="27">
        <f>IF(E79="",NP_on_N_EDU,E79)</f>
        <v/>
      </c>
      <c r="G79" s="18" t="inlineStr">
        <is>
          <t>EDU_COST (USD) × (1+inflation)^eduYears.</t>
        </is>
      </c>
      <c r="H79" s="23">
        <f>MAX(0,B45*(1+inflationRate)^B69)</f>
        <v/>
      </c>
      <c r="I79" s="23">
        <f>IF((B69)&lt;=0,MAX(0,MIN(MAX(0,B39),MAX(0,B34-MIN(MAX(0,B38),MAX(0,B34))))),(MIN(MAX(0,B39),MAX(0,B34-MIN(MAX(0,B38),MAX(0,B34)))))*(1+realReturn)^(B69))</f>
        <v/>
      </c>
      <c r="J79" s="23">
        <f>MAX(0,H79-I79)</f>
        <v/>
      </c>
    </row>
    <row r="80">
      <c r="A80" s="16" t="inlineStr">
        <is>
          <t>N_SAV</t>
        </is>
      </c>
      <c r="B80" s="29">
        <f>ROUND(H80/$B$28,0)</f>
        <v/>
      </c>
      <c r="C80" s="29">
        <f>ROUND(I80/$B$28,0)</f>
        <v/>
      </c>
      <c r="D80" s="29">
        <f>MAX(0,B80-C80)</f>
        <v/>
      </c>
      <c r="E80" s="42" t="inlineStr"/>
      <c r="F80" s="27">
        <f>IF(E80="",NP_on_N_SAV,E80)</f>
        <v/>
      </c>
      <c r="G80" s="18" t="inlineStr">
        <is>
          <t>Stored or 1× annual income.</t>
        </is>
      </c>
      <c r="H80" s="23">
        <f>IF(B20&gt;0,B36,B30*12*SAV_INCOME_MULT)</f>
        <v/>
      </c>
      <c r="I80" s="23">
        <f>IF((B69)&lt;=0,MAX(0,MIN(MAX(0,B40),MAX(0,MAX(0,B34-MIN(MAX(0,B38),MAX(0,B34)))-MIN(MAX(0,B39),MAX(0,B34-MIN(MAX(0,B38),MAX(0,B34))))))),(MIN(MAX(0,B40),MAX(0,MAX(0,B34-MIN(MAX(0,B38),MAX(0,B34)))-MIN(MAX(0,B39),MAX(0,B34-MIN(MAX(0,B38),MAX(0,B34)))))))*(1+realReturn)^(B69))</f>
        <v/>
      </c>
      <c r="J80" s="23">
        <f>MAX(0,H80-I80)</f>
        <v/>
      </c>
    </row>
    <row r="81">
      <c r="A81" s="16" t="inlineStr">
        <is>
          <t>N_PRP</t>
        </is>
      </c>
      <c r="B81" s="29">
        <f>ROUND(H81/$B$28,0)</f>
        <v/>
      </c>
      <c r="C81" s="29">
        <f>ROUND(I81/$B$28,0)</f>
        <v/>
      </c>
      <c r="D81" s="29">
        <f>MAX(0,B81-C81)</f>
        <v/>
      </c>
      <c r="E81" s="42" t="inlineStr"/>
      <c r="F81" s="27">
        <f>IF(E81="",NP_on_N_PRP,E81)</f>
        <v/>
      </c>
      <c r="G81" s="18" t="inlineStr">
        <is>
          <t>Stored or 5× annual income.</t>
        </is>
      </c>
      <c r="H81" s="23">
        <f>IF(B21&gt;0,B37,B30*12*PRP_INCOME_MULT)</f>
        <v/>
      </c>
      <c r="I81" s="23">
        <f>IF((B69)&lt;=0,MAX(0,MIN(MAX(0,B41),MAX(0,MAX(0,MAX(0,B34-MIN(MAX(0,B38),MAX(0,B34)))-MIN(MAX(0,B39),MAX(0,B34-MIN(MAX(0,B38),MAX(0,B34)))))-MIN(MAX(0,B40),MAX(0,MAX(0,B34-MIN(MAX(0,B38),MAX(0,B34)))-MIN(MAX(0,B39),MAX(0,B34-MIN(MAX(0,B38),MAX(0,B34))))))))),(MIN(MAX(0,B41),MAX(0,MAX(0,MAX(0,B34-MIN(MAX(0,B38),MAX(0,B34)))-MIN(MAX(0,B39),MAX(0,B34-MIN(MAX(0,B38),MAX(0,B34)))))-MIN(MAX(0,B40),MAX(0,MAX(0,B34-MIN(MAX(0,B38),MAX(0,B34)))-MIN(MAX(0,B39),MAX(0,B34-MIN(MAX(0,B38),MAX(0,B34)))))))))*(1+realReturn)^(B69))</f>
        <v/>
      </c>
      <c r="J81" s="23">
        <f>MAX(0,H81-I81)</f>
        <v/>
      </c>
    </row>
  </sheetData>
  <mergeCells count="7">
    <mergeCell ref="A1:D1"/>
    <mergeCell ref="A27:D27"/>
    <mergeCell ref="A4:D4"/>
    <mergeCell ref="A48:D48"/>
    <mergeCell ref="A65:D65"/>
    <mergeCell ref="A71:D71"/>
    <mergeCell ref="A13:D13"/>
  </mergeCells>
  <dataValidations count="1">
    <dataValidation sqref="E73:E81"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8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N_RET on (from Need Calculator)</t>
        </is>
      </c>
      <c r="B17" s="13">
        <f>NC_on_N_RET</f>
        <v/>
      </c>
      <c r="C17" s="13" t="inlineStr">
        <is>
          <t>A · input</t>
        </is>
      </c>
      <c r="D17" s="18" t="inlineStr">
        <is>
          <t>Effective enable after Need Calculator override.</t>
        </is>
      </c>
    </row>
    <row r="18">
      <c r="A18" s="17" t="inlineStr">
        <is>
          <t>N_RET gap (from Need Calculator)</t>
        </is>
      </c>
      <c r="B18" s="47">
        <f>NC_gap_N_RET</f>
        <v/>
      </c>
      <c r="C18" s="13" t="inlineStr">
        <is>
          <t>A · input</t>
        </is>
      </c>
      <c r="D18" s="18" t="inlineStr">
        <is>
          <t>remaining_gap.</t>
        </is>
      </c>
    </row>
    <row r="19">
      <c r="A19" s="17" t="inlineStr">
        <is>
          <t>N_EDU on (from Need Calculator)</t>
        </is>
      </c>
      <c r="B19" s="13">
        <f>NC_on_N_EDU</f>
        <v/>
      </c>
      <c r="C19" s="13" t="inlineStr">
        <is>
          <t>A · input</t>
        </is>
      </c>
      <c r="D19" s="18" t="inlineStr">
        <is>
          <t>Effective enable after Need Calculator override.</t>
        </is>
      </c>
    </row>
    <row r="20">
      <c r="A20" s="17" t="inlineStr">
        <is>
          <t>N_EDU gap (from Need Calculator)</t>
        </is>
      </c>
      <c r="B20" s="47">
        <f>NC_gap_N_EDU</f>
        <v/>
      </c>
      <c r="C20" s="13" t="inlineStr">
        <is>
          <t>A · input</t>
        </is>
      </c>
      <c r="D20" s="18" t="inlineStr">
        <is>
          <t>remaining_gap.</t>
        </is>
      </c>
    </row>
    <row r="21">
      <c r="A21" s="17" t="inlineStr">
        <is>
          <t>N_SAV on (from Need Calculator)</t>
        </is>
      </c>
      <c r="B21" s="13">
        <f>NC_on_N_SAV</f>
        <v/>
      </c>
      <c r="C21" s="13" t="inlineStr">
        <is>
          <t>A · input</t>
        </is>
      </c>
      <c r="D21" s="18" t="inlineStr">
        <is>
          <t>Effective enable after Need Calculator override.</t>
        </is>
      </c>
    </row>
    <row r="22">
      <c r="A22" s="17" t="inlineStr">
        <is>
          <t>N_SAV gap (from Need Calculator)</t>
        </is>
      </c>
      <c r="B22" s="47">
        <f>NC_gap_N_SAV</f>
        <v/>
      </c>
      <c r="C22" s="13" t="inlineStr">
        <is>
          <t>A · input</t>
        </is>
      </c>
      <c r="D22" s="18" t="inlineStr">
        <is>
          <t>remaining_gap.</t>
        </is>
      </c>
    </row>
    <row r="23">
      <c r="A23" s="17" t="inlineStr">
        <is>
          <t>N_PRP on (from Need Calculator)</t>
        </is>
      </c>
      <c r="B23" s="13">
        <f>NC_on_N_PRP</f>
        <v/>
      </c>
      <c r="C23" s="13" t="inlineStr">
        <is>
          <t>A · input</t>
        </is>
      </c>
      <c r="D23" s="18" t="inlineStr">
        <is>
          <t>Effective enable after Need Calculator override.</t>
        </is>
      </c>
    </row>
    <row r="24">
      <c r="A24" s="17" t="inlineStr">
        <is>
          <t>N_PRP gap (from Need Calculator)</t>
        </is>
      </c>
      <c r="B24" s="47">
        <f>NC_gap_N_PRP</f>
        <v/>
      </c>
      <c r="C24" s="13" t="inlineStr">
        <is>
          <t>A · input</t>
        </is>
      </c>
      <c r="D24" s="18" t="inlineStr">
        <is>
          <t>remaining_gap.</t>
        </is>
      </c>
    </row>
    <row r="25">
      <c r="A25" s="17" t="inlineStr">
        <is>
          <t>yearsToRet (from Need Calculator)</t>
        </is>
      </c>
      <c r="B25" s="20">
        <f>NC_yearsToRet</f>
        <v/>
      </c>
      <c r="C25" s="13" t="inlineStr">
        <is>
          <t>A · input</t>
        </is>
      </c>
      <c r="D25" s="18" t="inlineStr">
        <is>
          <t>Retirement contribution horizon.</t>
        </is>
      </c>
    </row>
    <row r="26">
      <c r="A26" s="17" t="inlineStr">
        <is>
          <t>eduYears (from Need Calculator)</t>
        </is>
      </c>
      <c r="B26" s="20">
        <f>NC_eduYears</f>
        <v/>
      </c>
      <c r="C26" s="13" t="inlineStr">
        <is>
          <t>A · input</t>
        </is>
      </c>
      <c r="D26" s="18" t="inlineStr">
        <is>
          <t>EDU / SAV / PRP contribution horizon.</t>
        </is>
      </c>
    </row>
    <row r="28">
      <c r="A28" s="19" t="inlineStr">
        <is>
          <t>D · ASSUMPTIONS / SHARED DATA</t>
        </is>
      </c>
      <c r="B28" s="19" t="n"/>
      <c r="C28" s="19" t="n"/>
      <c r="D28" s="19" t="n"/>
    </row>
    <row r="29">
      <c r="A29" s="38" t="inlineStr">
        <is>
          <t>protectionPremiumRate</t>
        </is>
      </c>
      <c r="B29" s="45">
        <f>protectionPremiumRate</f>
        <v/>
      </c>
      <c r="C29" s="36" t="inlineStr">
        <is>
          <t>D · assumption / shared</t>
        </is>
      </c>
      <c r="D29" s="18" t="inlineStr">
        <is>
          <t>Dummy 0.00078. Future: premium-quote calculator API.</t>
        </is>
      </c>
    </row>
    <row r="30">
      <c r="A30" s="38" t="inlineStr">
        <is>
          <t>FREE_BUDGET_SHARE</t>
        </is>
      </c>
      <c r="B30" s="40">
        <f>FREE_BUDGET_SHARE</f>
        <v/>
      </c>
      <c r="C30" s="36" t="inlineStr">
        <is>
          <t>D · assumption / shared</t>
        </is>
      </c>
      <c r="D30" s="18" t="inlineStr">
        <is>
          <t>Half of leftover surplus split across wealth needs.</t>
        </is>
      </c>
    </row>
    <row r="31">
      <c r="A31" s="38" t="inlineStr">
        <is>
          <t>monthly step (user currency)</t>
        </is>
      </c>
      <c r="B31" s="55">
        <f>FX_monthlyStep</f>
        <v/>
      </c>
      <c r="C31" s="36" t="inlineStr">
        <is>
          <t>D · assumption / shared</t>
        </is>
      </c>
      <c r="D31" s="18" t="inlineStr">
        <is>
          <t>monthlyRoundStep (USD) as a nice step in user currency. SGD: 50.</t>
        </is>
      </c>
    </row>
    <row r="32">
      <c r="A32" s="38" t="inlineStr">
        <is>
          <t>premium step (user currency)</t>
        </is>
      </c>
      <c r="B32" s="55">
        <f>FX_coverPremStep</f>
        <v/>
      </c>
      <c r="C32" s="36" t="inlineStr">
        <is>
          <t>D · assumption / shared</t>
        </is>
      </c>
      <c r="D32" s="18" t="inlineStr">
        <is>
          <t>coverPremRoundStep (USD) as a nice step in user currency. SGD: 10.</t>
        </is>
      </c>
    </row>
    <row r="33">
      <c r="A33" s="38" t="inlineStr">
        <is>
          <t>realReturn</t>
        </is>
      </c>
      <c r="B33" s="45">
        <f>realReturn</f>
        <v/>
      </c>
      <c r="C33" s="36" t="inlineStr">
        <is>
          <t>D · assumption / shared</t>
        </is>
      </c>
      <c r="D33" s="18" t="inlineStr">
        <is>
          <t>annualPmtToHitFv for the wealth cap.</t>
        </is>
      </c>
    </row>
    <row r="35">
      <c r="A35" s="16" t="inlineStr">
        <is>
          <t>C · DETERMINISTICALLY CALCULATED  —  suggested flags and protection sizing</t>
        </is>
      </c>
      <c r="B35" s="16" t="n"/>
      <c r="C35" s="16" t="n"/>
      <c r="D35" s="16" t="n"/>
    </row>
    <row r="36">
      <c r="A36" s="26" t="inlineStr">
        <is>
          <t>sug N_INC</t>
        </is>
      </c>
      <c r="B36" s="27">
        <f>AND(NC_on_N_INC,NC_gap_N_INC&gt;0)</f>
        <v/>
      </c>
      <c r="C36" s="27" t="inlineStr">
        <is>
          <t>C · calculated</t>
        </is>
      </c>
      <c r="D36" s="18" t="inlineStr">
        <is>
          <t>enabled AND gap &gt; 0.</t>
        </is>
      </c>
    </row>
    <row r="37">
      <c r="A37" s="26" t="inlineStr">
        <is>
          <t>sug N_CRI</t>
        </is>
      </c>
      <c r="B37" s="27">
        <f>AND(NC_on_N_CRI,NC_gap_N_CRI&gt;0)</f>
        <v/>
      </c>
      <c r="C37" s="27" t="inlineStr">
        <is>
          <t>C · calculated</t>
        </is>
      </c>
      <c r="D37" s="18" t="inlineStr">
        <is>
          <t>enabled AND gap &gt; 0.</t>
        </is>
      </c>
    </row>
    <row r="38">
      <c r="A38" s="26" t="inlineStr">
        <is>
          <t>sug N_TPD</t>
        </is>
      </c>
      <c r="B38" s="27">
        <f>AND(NC_on_N_TPD,NC_gap_N_TPD&gt;0)</f>
        <v/>
      </c>
      <c r="C38" s="27" t="inlineStr">
        <is>
          <t>C · calculated</t>
        </is>
      </c>
      <c r="D38" s="18" t="inlineStr">
        <is>
          <t>enabled AND gap &gt; 0.</t>
        </is>
      </c>
    </row>
    <row r="39">
      <c r="A39" s="26" t="inlineStr">
        <is>
          <t>sug N_HOS</t>
        </is>
      </c>
      <c r="B39" s="27">
        <f>AND(NC_on_N_HOS,NC_gap_N_HOS&gt;0)</f>
        <v/>
      </c>
      <c r="C39" s="27" t="inlineStr">
        <is>
          <t>C · calculated</t>
        </is>
      </c>
      <c r="D39" s="18" t="inlineStr">
        <is>
          <t>enabled AND gap &gt; 0.</t>
        </is>
      </c>
    </row>
    <row r="40">
      <c r="A40" s="26" t="inlineStr">
        <is>
          <t>sug N_PAC</t>
        </is>
      </c>
      <c r="B40" s="27">
        <f>AND(NC_on_N_PAC,NC_gap_N_PAC&gt;0)</f>
        <v/>
      </c>
      <c r="C40" s="27" t="inlineStr">
        <is>
          <t>C · calculated</t>
        </is>
      </c>
      <c r="D40" s="18" t="inlineStr">
        <is>
          <t>enabled AND gap &gt; 0.</t>
        </is>
      </c>
    </row>
    <row r="41">
      <c r="A41" s="26" t="inlineStr">
        <is>
          <t>sug N_RET</t>
        </is>
      </c>
      <c r="B41" s="27">
        <f>AND(NC_on_N_RET,NC_gap_N_RET&gt;0)</f>
        <v/>
      </c>
      <c r="C41" s="27" t="inlineStr">
        <is>
          <t>C · calculated</t>
        </is>
      </c>
      <c r="D41" s="18" t="inlineStr">
        <is>
          <t>enabled AND gap &gt; 0.</t>
        </is>
      </c>
    </row>
    <row r="42">
      <c r="A42" s="26" t="inlineStr">
        <is>
          <t>sug N_EDU</t>
        </is>
      </c>
      <c r="B42" s="27">
        <f>AND(NC_on_N_EDU,NC_gap_N_EDU&gt;0)</f>
        <v/>
      </c>
      <c r="C42" s="27" t="inlineStr">
        <is>
          <t>C · calculated</t>
        </is>
      </c>
      <c r="D42" s="18" t="inlineStr">
        <is>
          <t>enabled AND gap &gt; 0.</t>
        </is>
      </c>
    </row>
    <row r="43">
      <c r="A43" s="26" t="inlineStr">
        <is>
          <t>sug N_SAV</t>
        </is>
      </c>
      <c r="B43" s="27">
        <f>AND(NC_on_N_SAV,NC_gap_N_SAV&gt;0)</f>
        <v/>
      </c>
      <c r="C43" s="27" t="inlineStr">
        <is>
          <t>C · calculated</t>
        </is>
      </c>
      <c r="D43" s="18" t="inlineStr">
        <is>
          <t>enabled AND gap &gt; 0.</t>
        </is>
      </c>
    </row>
    <row r="44">
      <c r="A44" s="26" t="inlineStr">
        <is>
          <t>sug N_PRP</t>
        </is>
      </c>
      <c r="B44" s="27">
        <f>AND(NC_on_N_PRP,NC_gap_N_PRP&gt;0)</f>
        <v/>
      </c>
      <c r="C44" s="27" t="inlineStr">
        <is>
          <t>C · calculated</t>
        </is>
      </c>
      <c r="D44" s="18" t="inlineStr">
        <is>
          <t>enabled AND gap &gt; 0.</t>
        </is>
      </c>
    </row>
    <row r="45">
      <c r="A45" s="26" t="inlineStr">
        <is>
          <t>n wealth suggested</t>
        </is>
      </c>
      <c r="B45" s="46">
        <f>(B41*1)+(B42*1)+(B43*1)+(B44*1)</f>
        <v/>
      </c>
      <c r="C45" s="27" t="inlineStr">
        <is>
          <t>C · calculated</t>
        </is>
      </c>
      <c r="D45" s="18" t="inlineStr">
        <is>
          <t>Count of suggested wealth needs.</t>
        </is>
      </c>
    </row>
    <row r="46">
      <c r="A46" s="26" t="inlineStr">
        <is>
          <t>planSum N_INC</t>
        </is>
      </c>
      <c r="B46" s="29">
        <f>IF(B36,MAX(0,ROUND(NC_gap_N_INC,0)),0)</f>
        <v/>
      </c>
      <c r="C46" s="27" t="inlineStr">
        <is>
          <t>C · calculated</t>
        </is>
      </c>
      <c r="D46" s="18" t="inlineStr">
        <is>
          <t>Suggested protection sum = gap.</t>
        </is>
      </c>
    </row>
    <row r="47">
      <c r="A47" s="26" t="inlineStr">
        <is>
          <t>planPrem N_INC</t>
        </is>
      </c>
      <c r="B47" s="29">
        <f>IF(B46&lt;=0,0,MAX(0,ROUND((B46*protectionPremiumRate)/FX_coverPremStep,0)*FX_coverPremStep))</f>
        <v/>
      </c>
      <c r="C47" s="27" t="inlineStr">
        <is>
          <t>C · calculated</t>
        </is>
      </c>
      <c r="D47" s="18" t="inlineStr">
        <is>
          <t>coverPremiumFor(sum). Indicative, not half of slider max.</t>
        </is>
      </c>
    </row>
    <row r="48">
      <c r="A48" s="26" t="inlineStr">
        <is>
          <t>planSum N_CRI</t>
        </is>
      </c>
      <c r="B48" s="29">
        <f>IF(B37,MAX(0,ROUND(NC_gap_N_CRI,0)),0)</f>
        <v/>
      </c>
      <c r="C48" s="27" t="inlineStr">
        <is>
          <t>C · calculated</t>
        </is>
      </c>
      <c r="D48" s="18" t="inlineStr">
        <is>
          <t>Suggested protection sum = gap.</t>
        </is>
      </c>
    </row>
    <row r="49">
      <c r="A49" s="26" t="inlineStr">
        <is>
          <t>planPrem N_CRI</t>
        </is>
      </c>
      <c r="B49" s="29">
        <f>IF(B48&lt;=0,0,MAX(0,ROUND((B48*protectionPremiumRate)/FX_coverPremStep,0)*FX_coverPremStep))</f>
        <v/>
      </c>
      <c r="C49" s="27" t="inlineStr">
        <is>
          <t>C · calculated</t>
        </is>
      </c>
      <c r="D49" s="18" t="inlineStr">
        <is>
          <t>coverPremiumFor(sum). Indicative, not half of slider max.</t>
        </is>
      </c>
    </row>
    <row r="50">
      <c r="A50" s="26" t="inlineStr">
        <is>
          <t>planSum N_TPD</t>
        </is>
      </c>
      <c r="B50" s="29">
        <f>IF(B38,MAX(0,ROUND(NC_gap_N_TPD,0)),0)</f>
        <v/>
      </c>
      <c r="C50" s="27" t="inlineStr">
        <is>
          <t>C · calculated</t>
        </is>
      </c>
      <c r="D50" s="18" t="inlineStr">
        <is>
          <t>Suggested protection sum = gap.</t>
        </is>
      </c>
    </row>
    <row r="51">
      <c r="A51" s="26" t="inlineStr">
        <is>
          <t>planPrem N_TPD</t>
        </is>
      </c>
      <c r="B51" s="29">
        <f>IF(B50&lt;=0,0,MAX(0,ROUND((B50*protectionPremiumRate)/FX_coverPremStep,0)*FX_coverPremStep))</f>
        <v/>
      </c>
      <c r="C51" s="27" t="inlineStr">
        <is>
          <t>C · calculated</t>
        </is>
      </c>
      <c r="D51" s="18" t="inlineStr">
        <is>
          <t>coverPremiumFor(sum). Indicative, not half of slider max.</t>
        </is>
      </c>
    </row>
    <row r="52">
      <c r="A52" s="26" t="inlineStr">
        <is>
          <t>planSum N_HOS</t>
        </is>
      </c>
      <c r="B52" s="29">
        <f>IF(B39,MAX(0,ROUND(NC_gap_N_HOS,0)),0)</f>
        <v/>
      </c>
      <c r="C52" s="27" t="inlineStr">
        <is>
          <t>C · calculated</t>
        </is>
      </c>
      <c r="D52" s="18" t="inlineStr">
        <is>
          <t>Suggested protection sum = gap.</t>
        </is>
      </c>
    </row>
    <row r="53">
      <c r="A53" s="26" t="inlineStr">
        <is>
          <t>planPrem N_HOS</t>
        </is>
      </c>
      <c r="B53" s="29">
        <f>IF(B52&lt;=0,0,MAX(0,ROUND((B52*protectionPremiumRate)/FX_coverPremStep,0)*FX_coverPremStep))</f>
        <v/>
      </c>
      <c r="C53" s="27" t="inlineStr">
        <is>
          <t>C · calculated</t>
        </is>
      </c>
      <c r="D53" s="18" t="inlineStr">
        <is>
          <t>coverPremiumFor(sum). Indicative, not half of slider max.</t>
        </is>
      </c>
    </row>
    <row r="54">
      <c r="A54" s="26" t="inlineStr">
        <is>
          <t>planSum N_PAC</t>
        </is>
      </c>
      <c r="B54" s="29">
        <f>IF(B40,MAX(0,ROUND(NC_gap_N_PAC,0)),0)</f>
        <v/>
      </c>
      <c r="C54" s="27" t="inlineStr">
        <is>
          <t>C · calculated</t>
        </is>
      </c>
      <c r="D54" s="18" t="inlineStr">
        <is>
          <t>Suggested protection sum = gap.</t>
        </is>
      </c>
    </row>
    <row r="55">
      <c r="A55" s="26" t="inlineStr">
        <is>
          <t>planPrem N_PAC</t>
        </is>
      </c>
      <c r="B55" s="29">
        <f>IF(B54&lt;=0,0,MAX(0,ROUND((B54*protectionPremiumRate)/FX_coverPremStep,0)*FX_coverPremStep))</f>
        <v/>
      </c>
      <c r="C55" s="27" t="inlineStr">
        <is>
          <t>C · calculated</t>
        </is>
      </c>
      <c r="D55" s="18" t="inlineStr">
        <is>
          <t>coverPremiumFor(sum). Indicative, not half of slider max.</t>
        </is>
      </c>
    </row>
    <row r="56">
      <c r="A56" s="26" t="inlineStr">
        <is>
          <t>prot prem / yr</t>
        </is>
      </c>
      <c r="B56" s="29">
        <f>B47+B49+B51+B53+B55</f>
        <v/>
      </c>
      <c r="C56" s="27" t="inlineStr">
        <is>
          <t>C · calculated</t>
        </is>
      </c>
      <c r="D56" s="18" t="inlineStr">
        <is>
          <t>Sum of suggested protection premiums (before Include?).</t>
        </is>
      </c>
    </row>
    <row r="57">
      <c r="A57" s="26" t="inlineStr">
        <is>
          <t>default wealth mth share</t>
        </is>
      </c>
      <c r="B57" s="29">
        <f>IF(B45=0,0,MAX(0,ROUND((MAX(0,(PLU_takeHome-PLU_expenseMonthly)*12-B56)*FREE_BUDGET_SHARE)/12/B45/FX_monthlyStep,0)*FX_monthlyStep))</f>
        <v/>
      </c>
      <c r="C57" s="27" t="inlineStr">
        <is>
          <t>C · calculated</t>
        </is>
      </c>
      <c r="D57" s="18" t="inlineStr">
        <is>
          <t>Leftover surplus × 50% / 12 / n wealth, rounded to the monthly step.</t>
        </is>
      </c>
    </row>
    <row r="58">
      <c r="A58" s="26" t="inlineStr">
        <is>
          <t>cap mth N_RET</t>
        </is>
      </c>
      <c r="B58"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58" s="27" t="inlineStr">
        <is>
          <t>C · calculated</t>
        </is>
      </c>
      <c r="D58" s="18" t="inlineStr">
        <is>
          <t>annualPmtToHitFv / 12, rounded up to the monthly step.</t>
        </is>
      </c>
    </row>
    <row r="59">
      <c r="A59" s="26" t="inlineStr">
        <is>
          <t>planMth N_RET</t>
        </is>
      </c>
      <c r="B59" s="29">
        <f>IF(B41,MIN(B57,B58),0)</f>
        <v/>
      </c>
      <c r="C59" s="27" t="inlineStr">
        <is>
          <t>C · calculated</t>
        </is>
      </c>
      <c r="D59" s="18" t="inlineStr">
        <is>
          <t>min(default share, cap).</t>
        </is>
      </c>
    </row>
    <row r="60">
      <c r="A60" s="26" t="inlineStr">
        <is>
          <t>planLump N_RET</t>
        </is>
      </c>
      <c r="B60" s="29" t="n">
        <v>0</v>
      </c>
      <c r="C60" s="27" t="inlineStr">
        <is>
          <t>C · calculated</t>
        </is>
      </c>
      <c r="D60" s="18" t="inlineStr">
        <is>
          <t>Default lump is 0.</t>
        </is>
      </c>
    </row>
    <row r="61">
      <c r="A61" s="26" t="inlineStr">
        <is>
          <t>cap mth N_EDU</t>
        </is>
      </c>
      <c r="B61"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1" s="27" t="inlineStr">
        <is>
          <t>C · calculated</t>
        </is>
      </c>
      <c r="D61" s="18" t="inlineStr">
        <is>
          <t>annualPmtToHitFv / 12, rounded up to the monthly step.</t>
        </is>
      </c>
    </row>
    <row r="62">
      <c r="A62" s="26" t="inlineStr">
        <is>
          <t>planMth N_EDU</t>
        </is>
      </c>
      <c r="B62" s="29">
        <f>IF(B42,MIN(B57,B61),0)</f>
        <v/>
      </c>
      <c r="C62" s="27" t="inlineStr">
        <is>
          <t>C · calculated</t>
        </is>
      </c>
      <c r="D62" s="18" t="inlineStr">
        <is>
          <t>min(default share, cap).</t>
        </is>
      </c>
    </row>
    <row r="63">
      <c r="A63" s="26" t="inlineStr">
        <is>
          <t>planLump N_EDU</t>
        </is>
      </c>
      <c r="B63" s="29" t="n">
        <v>0</v>
      </c>
      <c r="C63" s="27" t="inlineStr">
        <is>
          <t>C · calculated</t>
        </is>
      </c>
      <c r="D63" s="18" t="inlineStr">
        <is>
          <t>Default lump is 0.</t>
        </is>
      </c>
    </row>
    <row r="64">
      <c r="A64" s="26" t="inlineStr">
        <is>
          <t>cap mth N_SAV</t>
        </is>
      </c>
      <c r="B64"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4" s="27" t="inlineStr">
        <is>
          <t>C · calculated</t>
        </is>
      </c>
      <c r="D64" s="18" t="inlineStr">
        <is>
          <t>annualPmtToHitFv / 12, rounded up to the monthly step.</t>
        </is>
      </c>
    </row>
    <row r="65">
      <c r="A65" s="26" t="inlineStr">
        <is>
          <t>planMth N_SAV</t>
        </is>
      </c>
      <c r="B65" s="29">
        <f>IF(B43,MIN(B57,B64),0)</f>
        <v/>
      </c>
      <c r="C65" s="27" t="inlineStr">
        <is>
          <t>C · calculated</t>
        </is>
      </c>
      <c r="D65" s="18" t="inlineStr">
        <is>
          <t>min(default share, cap).</t>
        </is>
      </c>
    </row>
    <row r="66">
      <c r="A66" s="26" t="inlineStr">
        <is>
          <t>planLump N_SAV</t>
        </is>
      </c>
      <c r="B66" s="29" t="n">
        <v>0</v>
      </c>
      <c r="C66" s="27" t="inlineStr">
        <is>
          <t>C · calculated</t>
        </is>
      </c>
      <c r="D66" s="18" t="inlineStr">
        <is>
          <t>Default lump is 0.</t>
        </is>
      </c>
    </row>
    <row r="67">
      <c r="A67" s="26" t="inlineStr">
        <is>
          <t>cap mth N_PRP</t>
        </is>
      </c>
      <c r="B67"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67" s="27" t="inlineStr">
        <is>
          <t>C · calculated</t>
        </is>
      </c>
      <c r="D67" s="18" t="inlineStr">
        <is>
          <t>annualPmtToHitFv / 12, rounded up to the monthly step.</t>
        </is>
      </c>
    </row>
    <row r="68">
      <c r="A68" s="26" t="inlineStr">
        <is>
          <t>planMth N_PRP</t>
        </is>
      </c>
      <c r="B68" s="29">
        <f>IF(B44,MIN(B57,B67),0)</f>
        <v/>
      </c>
      <c r="C68" s="27" t="inlineStr">
        <is>
          <t>C · calculated</t>
        </is>
      </c>
      <c r="D68" s="18" t="inlineStr">
        <is>
          <t>min(default share, cap).</t>
        </is>
      </c>
    </row>
    <row r="69">
      <c r="A69" s="26" t="inlineStr">
        <is>
          <t>planLump N_PRP</t>
        </is>
      </c>
      <c r="B69" s="29" t="n">
        <v>0</v>
      </c>
      <c r="C69" s="27" t="inlineStr">
        <is>
          <t>C · calculated</t>
        </is>
      </c>
      <c r="D69" s="18" t="inlineStr">
        <is>
          <t>Default lump is 0.</t>
        </is>
      </c>
    </row>
    <row r="71">
      <c r="A71" s="16" t="inlineStr">
        <is>
          <t>C · RESULTS  —  Include? blank keeps the suggested product</t>
        </is>
      </c>
      <c r="B71" s="16" t="n"/>
      <c r="C71" s="16" t="n"/>
      <c r="D71" s="16" t="n"/>
    </row>
    <row r="72">
      <c r="A72" s="3" t="inlineStr">
        <is>
          <t>type</t>
        </is>
      </c>
      <c r="B72" s="16" t="inlineStr">
        <is>
          <t>suggested</t>
        </is>
      </c>
      <c r="C72" s="21" t="inlineStr">
        <is>
          <t>Include?</t>
        </is>
      </c>
      <c r="D72" s="16" t="inlineStr">
        <is>
          <t>included</t>
        </is>
      </c>
    </row>
    <row r="73">
      <c r="A73" s="16" t="inlineStr">
        <is>
          <t>N_INC</t>
        </is>
      </c>
      <c r="B73" s="27">
        <f>B36</f>
        <v/>
      </c>
      <c r="C73" s="42" t="inlineStr"/>
      <c r="D73" s="27">
        <f>AND(B73,IF(C73="",TRUE,C73))</f>
        <v/>
      </c>
    </row>
    <row r="74">
      <c r="A74" s="16" t="inlineStr">
        <is>
          <t>N_CRI</t>
        </is>
      </c>
      <c r="B74" s="27">
        <f>B37</f>
        <v/>
      </c>
      <c r="C74" s="42" t="inlineStr"/>
      <c r="D74" s="27">
        <f>AND(B74,IF(C74="",TRUE,C74))</f>
        <v/>
      </c>
    </row>
    <row r="75">
      <c r="A75" s="16" t="inlineStr">
        <is>
          <t>N_TPD</t>
        </is>
      </c>
      <c r="B75" s="27">
        <f>B38</f>
        <v/>
      </c>
      <c r="C75" s="42" t="inlineStr"/>
      <c r="D75" s="27">
        <f>AND(B75,IF(C75="",TRUE,C75))</f>
        <v/>
      </c>
    </row>
    <row r="76">
      <c r="A76" s="16" t="inlineStr">
        <is>
          <t>N_HOS</t>
        </is>
      </c>
      <c r="B76" s="27">
        <f>B39</f>
        <v/>
      </c>
      <c r="C76" s="42" t="inlineStr"/>
      <c r="D76" s="27">
        <f>AND(B76,IF(C76="",TRUE,C76))</f>
        <v/>
      </c>
    </row>
    <row r="77">
      <c r="A77" s="16" t="inlineStr">
        <is>
          <t>N_PAC</t>
        </is>
      </c>
      <c r="B77" s="27">
        <f>B40</f>
        <v/>
      </c>
      <c r="C77" s="42" t="inlineStr"/>
      <c r="D77" s="27">
        <f>AND(B77,IF(C77="",TRUE,C77))</f>
        <v/>
      </c>
    </row>
    <row r="78">
      <c r="A78" s="16" t="inlineStr">
        <is>
          <t>N_RET</t>
        </is>
      </c>
      <c r="B78" s="27">
        <f>B41</f>
        <v/>
      </c>
      <c r="C78" s="42" t="inlineStr"/>
      <c r="D78" s="27">
        <f>AND(B78,IF(C78="",TRUE,C78))</f>
        <v/>
      </c>
    </row>
    <row r="79">
      <c r="A79" s="16" t="inlineStr">
        <is>
          <t>N_EDU</t>
        </is>
      </c>
      <c r="B79" s="27">
        <f>B42</f>
        <v/>
      </c>
      <c r="C79" s="42" t="inlineStr"/>
      <c r="D79" s="27">
        <f>AND(B79,IF(C79="",TRUE,C79))</f>
        <v/>
      </c>
    </row>
    <row r="80">
      <c r="A80" s="16" t="inlineStr">
        <is>
          <t>N_SAV</t>
        </is>
      </c>
      <c r="B80" s="27">
        <f>B43</f>
        <v/>
      </c>
      <c r="C80" s="42" t="inlineStr"/>
      <c r="D80" s="27">
        <f>AND(B80,IF(C80="",TRUE,C80))</f>
        <v/>
      </c>
    </row>
    <row r="81">
      <c r="A81" s="16" t="inlineStr">
        <is>
          <t>N_PRP</t>
        </is>
      </c>
      <c r="B81" s="27">
        <f>B44</f>
        <v/>
      </c>
      <c r="C81" s="42" t="inlineStr"/>
      <c r="D81" s="27">
        <f>AND(B81,IF(C81="",TRUE,C81))</f>
        <v/>
      </c>
    </row>
    <row r="83">
      <c r="A83" s="26" t="inlineStr">
        <is>
          <t>investMth</t>
        </is>
      </c>
      <c r="B83" s="29">
        <f>(D78*B59)+(D79*B62)+(D80*B65)+(D81*B68)</f>
        <v/>
      </c>
      <c r="C83" s="27" t="inlineStr">
        <is>
          <t>C · calculated</t>
        </is>
      </c>
      <c r="D83" s="18" t="inlineStr">
        <is>
          <t>Sum of included wealth monthly contributions.</t>
        </is>
      </c>
    </row>
    <row r="84">
      <c r="A84" s="26" t="inlineStr">
        <is>
          <t>investLump</t>
        </is>
      </c>
      <c r="B84" s="29">
        <f>(D78*B60)+(D79*B63)+(D80*B66)+(D81*B69)</f>
        <v/>
      </c>
      <c r="C84" s="27" t="inlineStr">
        <is>
          <t>C · calculated</t>
        </is>
      </c>
      <c r="D84" s="18" t="inlineStr">
        <is>
          <t>Sum of included wealth lumps (default 0).</t>
        </is>
      </c>
    </row>
  </sheetData>
  <mergeCells count="5">
    <mergeCell ref="A1:D1"/>
    <mergeCell ref="A35:D35"/>
    <mergeCell ref="A4:D4"/>
    <mergeCell ref="A71:D71"/>
    <mergeCell ref="A28:D28"/>
  </mergeCells>
  <dataValidations count="1">
    <dataValidation sqref="C73:C81"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investMth (from Plan)</t>
        </is>
      </c>
      <c r="B13" s="47">
        <f>PLAN_investMth</f>
        <v/>
      </c>
      <c r="C13" s="13" t="inlineStr">
        <is>
          <t>A · input</t>
        </is>
      </c>
      <c r="D13" s="18" t="inlineStr">
        <is>
          <t>Included wealth contributions.</t>
        </is>
      </c>
    </row>
    <row r="14">
      <c r="A14" s="17" t="inlineStr">
        <is>
          <t>investLump (from Plan)</t>
        </is>
      </c>
      <c r="B14" s="47">
        <f>PLAN_investLump</f>
        <v/>
      </c>
      <c r="C14" s="13" t="inlineStr">
        <is>
          <t>A · input</t>
        </is>
      </c>
      <c r="D14" s="18" t="inlineStr">
        <is>
          <t>Included wealth lumps.</t>
        </is>
      </c>
    </row>
    <row r="16">
      <c r="A16" s="19" t="inlineStr">
        <is>
          <t>D · ASSUMPTIONS / SHARED DATA</t>
        </is>
      </c>
      <c r="B16" s="19" t="n"/>
      <c r="C16" s="19" t="n"/>
      <c r="D16" s="19" t="n"/>
    </row>
    <row r="17">
      <c r="A17" s="38" t="inlineStr">
        <is>
          <t>FREE_BUDGET_SHARE</t>
        </is>
      </c>
      <c r="B17" s="40">
        <f>FREE_BUDGET_SHARE</f>
        <v/>
      </c>
      <c r="C17" s="36" t="inlineStr">
        <is>
          <t>D · assumption / shared</t>
        </is>
      </c>
      <c r="D17" s="18" t="inlineStr">
        <is>
          <t>Half of monthly surplus is the free budget.</t>
        </is>
      </c>
    </row>
    <row r="19">
      <c r="A19" s="16" t="inlineStr">
        <is>
          <t>C · DETERMINISTICALLY CALCULATED  —  planAfford</t>
        </is>
      </c>
      <c r="B19" s="16" t="n"/>
      <c r="C19" s="16" t="n"/>
      <c r="D19" s="16" t="n"/>
    </row>
    <row r="20">
      <c r="A20" s="26" t="inlineStr">
        <is>
          <t>available</t>
        </is>
      </c>
      <c r="B20" s="28">
        <f>MAX(0,PLU_takeHome-PLU_expenseMonthly)</f>
        <v/>
      </c>
      <c r="C20" s="27" t="inlineStr">
        <is>
          <t>C · calculated</t>
        </is>
      </c>
      <c r="D20" s="18" t="inlineStr">
        <is>
          <t>max(0, take-home − expense).</t>
        </is>
      </c>
    </row>
    <row r="21">
      <c r="A21" s="26" t="inlineStr">
        <is>
          <t>free (50%)</t>
        </is>
      </c>
      <c r="B21" s="29">
        <f>ROUND(B20*FREE_BUDGET_SHARE,0)</f>
        <v/>
      </c>
      <c r="C21" s="27" t="inlineStr">
        <is>
          <t>C · calculated</t>
        </is>
      </c>
      <c r="D21" s="18" t="inlineStr">
        <is>
          <t>available × 50%, rounded.</t>
        </is>
      </c>
    </row>
    <row r="22">
      <c r="A22" s="26" t="inlineStr">
        <is>
          <t>included prot prem / yr</t>
        </is>
      </c>
      <c r="B22" s="29">
        <f>IF(PLAN_included_N_INC,PLAN_prem_N_INC,0)+IF(PLAN_included_N_CRI,PLAN_prem_N_CRI,0)+IF(PLAN_included_N_TPD,PLAN_prem_N_TPD,0)+IF(PLAN_included_N_HOS,PLAN_prem_N_HOS,0)+IF(PLAN_included_N_PAC,PLAN_prem_N_PAC,0)</f>
        <v/>
      </c>
      <c r="C22" s="27" t="inlineStr">
        <is>
          <t>C · calculated</t>
        </is>
      </c>
      <c r="D22" s="18" t="inlineStr">
        <is>
          <t>Sum of included protection premiums.</t>
        </is>
      </c>
    </row>
    <row r="23">
      <c r="A23" s="26" t="inlineStr">
        <is>
          <t>premMth (display)</t>
        </is>
      </c>
      <c r="B23" s="29">
        <f>ROUND(B22/12,0)</f>
        <v/>
      </c>
      <c r="C23" s="27" t="inlineStr">
        <is>
          <t>C · calculated</t>
        </is>
      </c>
      <c r="D23" s="18" t="inlineStr">
        <is>
          <t>Annual premiums / 12.</t>
        </is>
      </c>
    </row>
    <row r="24">
      <c r="A24" s="26" t="inlineStr">
        <is>
          <t>contribMth</t>
        </is>
      </c>
      <c r="B24" s="29">
        <f>PLAN_investMth</f>
        <v/>
      </c>
      <c r="C24" s="27" t="inlineStr">
        <is>
          <t>C · calculated</t>
        </is>
      </c>
      <c r="D24" s="18" t="inlineStr">
        <is>
          <t>Same as investMth.</t>
        </is>
      </c>
    </row>
    <row r="25">
      <c r="A25" s="26" t="inlineStr">
        <is>
          <t>monthly</t>
        </is>
      </c>
      <c r="B25" s="29">
        <f>ROUND(PLAN_investMth+B22/12,0)</f>
        <v/>
      </c>
      <c r="C25" s="27" t="inlineStr">
        <is>
          <t>C · calculated</t>
        </is>
      </c>
      <c r="D25" s="18" t="inlineStr">
        <is>
          <t>contrib + prem/12.</t>
        </is>
      </c>
    </row>
    <row r="26">
      <c r="A26" s="26" t="inlineStr">
        <is>
          <t>monthlyOver</t>
        </is>
      </c>
      <c r="B26" s="29">
        <f>B25-B21</f>
        <v/>
      </c>
      <c r="C26" s="27" t="inlineStr">
        <is>
          <t>C · calculated</t>
        </is>
      </c>
      <c r="D26" s="18" t="inlineStr">
        <is>
          <t>&gt; 0 means the plan exceeds the free budget.</t>
        </is>
      </c>
    </row>
    <row r="27">
      <c r="A27" s="26" t="inlineStr">
        <is>
          <t>lumps</t>
        </is>
      </c>
      <c r="B27" s="29">
        <f>PLAN_investLump</f>
        <v/>
      </c>
      <c r="C27" s="27" t="inlineStr">
        <is>
          <t>C · calculated</t>
        </is>
      </c>
      <c r="D27" s="18" t="inlineStr">
        <is>
          <t>Included lumps.</t>
        </is>
      </c>
    </row>
    <row r="28">
      <c r="A28" s="26" t="inlineStr">
        <is>
          <t>lumpOver</t>
        </is>
      </c>
      <c r="B28" s="29">
        <f>B27-PLU_investments</f>
        <v/>
      </c>
      <c r="C28" s="27" t="inlineStr">
        <is>
          <t>C · calculated</t>
        </is>
      </c>
      <c r="D28" s="18" t="inlineStr">
        <is>
          <t>&gt; 0 means lumps exceed current investments.</t>
        </is>
      </c>
    </row>
  </sheetData>
  <mergeCells count="4">
    <mergeCell ref="A19:D19"/>
    <mergeCell ref="A1:D1"/>
    <mergeCell ref="A4:D4"/>
    <mergeCell ref="A16:D16"/>
  </mergeCells>
  <conditionalFormatting sqref="B26">
    <cfRule type="expression" priority="1" dxfId="0">
      <formula>B26&gt;0</formula>
    </cfRule>
    <cfRule type="expression" priority="2" dxfId="1">
      <formula>B26&lt;=0</formula>
    </cfRule>
  </conditionalFormatting>
  <conditionalFormatting sqref="B28">
    <cfRule type="expression" priority="3" dxfId="0">
      <formula>B28&gt;0</formula>
    </cfRule>
    <cfRule type="expression" priority="4" dxfId="1">
      <formula>B28&lt;=0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R20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lifeExpectancy (SV tenant)</t>
        </is>
      </c>
      <c r="B18" s="44" t="n">
        <v>100</v>
      </c>
      <c r="C18" s="36" t="inlineStr">
        <is>
          <t>D · assumption / shared</t>
        </is>
      </c>
      <c r="D18" s="18" t="inlineStr">
        <is>
          <t>helium conf.ini. The path runs to age 100, not the session LE.</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f>
        <v/>
      </c>
      <c r="C52" s="27" t="inlineStr">
        <is>
          <t>C · calculated</t>
        </is>
      </c>
      <c r="D52" s="18" t="inlineStr">
        <is>
          <t>Premiums only: protection pots have no account value on SV's no-death path. Includes N_PAC (V0-16).</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8">
      <c r="A88" s="16" t="inlineStr">
        <is>
          <t>C · CPF AT PAYOUT AGE  —  numpy indexing as SV runs it (negative index counts from the end)</t>
        </is>
      </c>
      <c r="B88" s="16" t="n"/>
      <c r="C88" s="16" t="n"/>
      <c r="D88" s="16" t="n"/>
    </row>
    <row r="89">
      <c r="A89" s="26" t="inlineStr">
        <is>
          <t>CPF on</t>
        </is>
      </c>
      <c r="B89" s="27">
        <f>SV_residency&lt;&gt;"Foreigner"</f>
        <v/>
      </c>
      <c r="C89" s="27" t="inlineStr">
        <is>
          <t>C · calculated</t>
        </is>
      </c>
      <c r="D89" s="18" t="inlineStr">
        <is>
          <t>sv_payload.py: region R_SGP unless Foreigner (not the CPF tab country switch).</t>
        </is>
      </c>
    </row>
    <row r="90">
      <c r="A90" s="26" t="inlineStr">
        <is>
          <t>payout age</t>
        </is>
      </c>
      <c r="B90" s="46">
        <f>MAX(65,SV_ret)</f>
        <v/>
      </c>
      <c r="C90" s="27" t="inlineStr">
        <is>
          <t>C · calculated</t>
        </is>
      </c>
      <c r="D90" s="18" t="inlineStr">
        <is>
          <t>ageStartPayout.</t>
        </is>
      </c>
    </row>
    <row r="91">
      <c r="A91" s="26" t="inlineStr">
        <is>
          <t>contribution stop index</t>
        </is>
      </c>
      <c r="B91" s="46">
        <f>MIN(70,SV_ret)-SV_age+1</f>
        <v/>
      </c>
      <c r="C91" s="27" t="inlineStr">
        <is>
          <t>C · calculated</t>
        </is>
      </c>
      <c r="D91" s="18" t="inlineStr">
        <is>
          <t>Contributions zero from here.</t>
        </is>
      </c>
    </row>
    <row r="92">
      <c r="A92" s="26" t="inlineStr">
        <is>
          <t>payout index</t>
        </is>
      </c>
      <c r="B92" s="46">
        <f>SV_asp-SV_age+1</f>
        <v/>
      </c>
      <c r="C92" s="27" t="inlineStr">
        <is>
          <t>C · calculated</t>
        </is>
      </c>
      <c r="D92" s="18" t="inlineStr">
        <is>
          <t>Past age 66 the payout index is negative, so SV wraps RA into year 0 (Discrepancies).</t>
        </is>
      </c>
    </row>
    <row r="93">
      <c r="A93" s="26" t="inlineStr">
        <is>
          <t>contributions zero from (effective)</t>
        </is>
      </c>
      <c r="B93" s="46">
        <f>IF(SV_stop&gt;=0,MIN(SV_stop,SV_L),MAX(0,SV_L+(SV_stop)))</f>
        <v/>
      </c>
      <c r="C93" s="27" t="inlineStr">
        <is>
          <t>C · calculated</t>
        </is>
      </c>
      <c r="D93" s="18" t="inlineStr"/>
    </row>
    <row r="94">
      <c r="A94" s="26" t="inlineStr">
        <is>
          <t>employee CPF zero from (effective)</t>
        </is>
      </c>
      <c r="B94" s="46">
        <f>IF(SV_stop-1&gt;=0,MIN(SV_stop-1,SV_L),MAX(0,SV_L+(SV_stop-1)))</f>
        <v/>
      </c>
      <c r="C94" s="27" t="inlineStr">
        <is>
          <t>C · calculated</t>
        </is>
      </c>
      <c r="D94" s="18" t="inlineStr"/>
    </row>
    <row r="95">
      <c r="A95" s="26" t="inlineStr">
        <is>
          <t>payout column (effective)</t>
        </is>
      </c>
      <c r="B95" s="46">
        <f>IF(SV_sp&gt;=0,MIN(SV_sp,SV_L),MAX(0,SV_L+(SV_sp)))</f>
        <v/>
      </c>
      <c r="C95" s="27" t="inlineStr">
        <is>
          <t>C · calculated</t>
        </is>
      </c>
      <c r="D95" s="18" t="inlineStr"/>
    </row>
    <row r="96">
      <c r="A96" s="26" t="inlineStr">
        <is>
          <t>column before payout (effective)</t>
        </is>
      </c>
      <c r="B96" s="46">
        <f>IF(SV_sp-1&gt;=0,MIN(SV_sp-1,SV_L),MAX(0,SV_L+(SV_sp-1)))</f>
        <v/>
      </c>
      <c r="C96" s="27" t="inlineStr">
        <is>
          <t>C · calculated</t>
        </is>
      </c>
      <c r="D96" s="18" t="inlineStr"/>
    </row>
    <row r="97">
      <c r="A97" s="26" t="inlineStr">
        <is>
          <t>BRS row</t>
        </is>
      </c>
      <c r="B97" s="46">
        <f>MAX(55-SV_age,0)+currentYear-2023</f>
        <v/>
      </c>
      <c r="C97" s="27" t="inlineStr">
        <is>
          <t>C · calculated</t>
        </is>
      </c>
      <c r="D97" s="18" t="inlineStr"/>
    </row>
    <row r="98">
      <c r="A98" s="26" t="inlineStr">
        <is>
          <t>BRS at payout age</t>
        </is>
      </c>
      <c r="B98" s="29">
        <f>IF(SV_brsIdx&lt;5,INDEX(SV_brsTbl,SV_brsIdx+1),INDEX(SV_brsTbl,5)*(1+SV_brsGrowth)^(SV_brsIdx-4))*(1+SV_brsGrowth)^(SV_asp-55)</f>
        <v/>
      </c>
      <c r="C98" s="27" t="inlineStr">
        <is>
          <t>C · calculated</t>
        </is>
      </c>
      <c r="D98" s="18" t="inlineStr"/>
    </row>
    <row r="99">
      <c r="A99" s="26" t="inlineStr">
        <is>
          <t>RA at payout (before CPF LIFE)</t>
        </is>
      </c>
      <c r="B99" s="29">
        <f>INDEX($W$123:$W$205,SV_pIdx+1)+INDEX($X$123:$X$205,SV_pIdx+1)+MAX(INDEX($U$123:$U$205,SV_pIdx+1)-SV_maCap,0)</f>
        <v/>
      </c>
      <c r="C99" s="27" t="inlineStr">
        <is>
          <t>C · calculated</t>
        </is>
      </c>
      <c r="D99" s="18" t="inlineStr">
        <is>
          <t>OA + SA + MA above the cap, one column before payout.</t>
        </is>
      </c>
    </row>
    <row r="100">
      <c r="A100" s="26" t="inlineStr">
        <is>
          <t>BRS multiple (max 3)</t>
        </is>
      </c>
      <c r="B100" s="46">
        <f>IF(SV_brs&gt;0,MIN(3,INT(SV_raS/SV_brs)),0)</f>
        <v/>
      </c>
      <c r="C100" s="27" t="inlineStr">
        <is>
          <t>C · calculated</t>
        </is>
      </c>
      <c r="D100" s="18" t="inlineStr"/>
    </row>
    <row r="101">
      <c r="A101" s="26" t="inlineStr">
        <is>
          <t>CPF LIFE premium (withdrawn from RA)</t>
        </is>
      </c>
      <c r="B101" s="29">
        <f>IF(SV_mult&lt;=0,0,SV_brs*SV_mult)</f>
        <v/>
      </c>
      <c r="C101" s="27" t="inlineStr">
        <is>
          <t>C · calculated</t>
        </is>
      </c>
      <c r="D101" s="18" t="inlineStr"/>
    </row>
    <row r="102">
      <c r="A102" s="26" t="inlineStr">
        <is>
          <t>CPF LIFE monthly payout</t>
        </is>
      </c>
      <c r="B102" s="28">
        <f>IF(SV_mult&lt;=0,0,IF(SV_brsIdx&lt;5,INDEX(SV_payTbl,SV_brsIdx+1,SV_mult),INDEX(SV_payTbl,5,SV_mult)*(1+SV_brsGrowth)^(SV_brsIdx-4))*(1+SV_deferBonus*(SV_asp-65)))</f>
        <v/>
      </c>
      <c r="C102" s="27" t="inlineStr">
        <is>
          <t>C · calculated</t>
        </is>
      </c>
      <c r="D102" s="18" t="inlineStr"/>
    </row>
    <row r="103">
      <c r="A103" s="26" t="inlineStr">
        <is>
          <t>CPF LIFE pot at payout column</t>
        </is>
      </c>
      <c r="B103" s="29">
        <f>SV_lifeGrowth*(SV_wd-12*SV_pay)</f>
        <v/>
      </c>
      <c r="C103" s="27" t="inlineStr">
        <is>
          <t>C · calculated</t>
        </is>
      </c>
      <c r="D103" s="18" t="inlineStr"/>
    </row>
    <row r="104">
      <c r="A104" s="26" t="inlineStr">
        <is>
          <t>RA at payout column</t>
        </is>
      </c>
      <c r="B104" s="29">
        <f>SV_lifeGrowth*(SV_raS-SV_wd)</f>
        <v/>
      </c>
      <c r="C104" s="27" t="inlineStr">
        <is>
          <t>C · calculated</t>
        </is>
      </c>
      <c r="D104" s="18" t="inlineStr"/>
    </row>
    <row r="105">
      <c r="A105" s="26" t="inlineStr">
        <is>
          <t>wrap steps (payout index &lt; 0)</t>
        </is>
      </c>
      <c r="B105" s="46">
        <f>MAX(0,-SV_sp-1)</f>
        <v/>
      </c>
      <c r="C105" s="27" t="inlineStr">
        <is>
          <t>C · calculated</t>
        </is>
      </c>
      <c r="D105" s="18" t="inlineStr">
        <is>
          <t>SV's loop starts at a negative year.</t>
        </is>
      </c>
    </row>
    <row r="106">
      <c r="A106" s="26" t="inlineStr">
        <is>
          <t>CPF LIFE carried into year 0 (wrap)</t>
        </is>
      </c>
      <c r="B106" s="29">
        <f>SV_L0*SV_lifeGrowth^SV_n1-12*SV_pay*SV_lifeGrowth*(SV_lifeGrowth^SV_n1-1)/(SV_lifeGrowth-1)</f>
        <v/>
      </c>
      <c r="C106" s="27" t="inlineStr">
        <is>
          <t>C · calculated</t>
        </is>
      </c>
      <c r="D106" s="18" t="inlineStr"/>
    </row>
    <row r="107">
      <c r="A107" s="26" t="inlineStr">
        <is>
          <t>RA carried into year 0 (wrap)</t>
        </is>
      </c>
      <c r="B107" s="29">
        <f>SV_R0*SV_lifeGrowth^SV_n1</f>
        <v/>
      </c>
      <c r="C107" s="27" t="inlineStr">
        <is>
          <t>C · calculated</t>
        </is>
      </c>
      <c r="D107" s="18" t="inlineStr"/>
    </row>
    <row r="109">
      <c r="A109" s="16" t="inlineStr">
        <is>
          <t>C · RESULTS  —  wealth (pre = today, post = with the plan)</t>
        </is>
      </c>
      <c r="B109" s="16" t="n"/>
      <c r="C109" s="16" t="n"/>
      <c r="D109" s="16" t="n"/>
    </row>
    <row r="110">
      <c r="A110" s="26" t="inlineStr">
        <is>
          <t>pre wealth at age 65</t>
        </is>
      </c>
      <c r="B110" s="29">
        <f>IF(AND(65-SV_age&gt;=0,65-SV_age&lt;=SV_T),INDEX($AG$123:$AG$205,65-SV_age+1),"")</f>
        <v/>
      </c>
      <c r="C110" s="27" t="inlineStr">
        <is>
          <t>C · calculated</t>
        </is>
      </c>
      <c r="D110" s="18" t="inlineStr"/>
    </row>
    <row r="111">
      <c r="A111" s="26" t="inlineStr">
        <is>
          <t>pre wealth at age 85</t>
        </is>
      </c>
      <c r="B111" s="29">
        <f>IF(AND(85-SV_age&gt;=0,85-SV_age&lt;=SV_T),INDEX($AG$123:$AG$205,85-SV_age+1),"")</f>
        <v/>
      </c>
      <c r="C111" s="27" t="inlineStr">
        <is>
          <t>C · calculated</t>
        </is>
      </c>
      <c r="D111" s="18" t="inlineStr"/>
    </row>
    <row r="112">
      <c r="A112" s="26" t="inlineStr">
        <is>
          <t>post wealth at age 65</t>
        </is>
      </c>
      <c r="B112" s="29">
        <f>IF(AND(65-SV_age&gt;=0,65-SV_age&lt;=SV_T),INDEX($AQ$123:$AQ$205,65-SV_age+1),"")</f>
        <v/>
      </c>
      <c r="C112" s="27" t="inlineStr">
        <is>
          <t>C · calculated</t>
        </is>
      </c>
      <c r="D112" s="18" t="inlineStr"/>
    </row>
    <row r="113">
      <c r="A113" s="26" t="inlineStr">
        <is>
          <t>post wealth at age 85</t>
        </is>
      </c>
      <c r="B113" s="29">
        <f>IF(AND(85-SV_age&gt;=0,85-SV_age&lt;=SV_T),INDEX($AQ$123:$AQ$205,85-SV_age+1),"")</f>
        <v/>
      </c>
      <c r="C113" s="27" t="inlineStr">
        <is>
          <t>C · calculated</t>
        </is>
      </c>
      <c r="D113" s="18" t="inlineStr"/>
    </row>
    <row r="114">
      <c r="A114" s="26" t="inlineStr">
        <is>
          <t>pre wealth at endAge</t>
        </is>
      </c>
      <c r="B114" s="29">
        <f>IF(endAge-SV_age&lt;=SV_T,INDEX($AG$123:$AG$205,MAX(0,endAge-SV_age)+1),"")</f>
        <v/>
      </c>
      <c r="C114" s="27" t="inlineStr">
        <is>
          <t>C · calculated</t>
        </is>
      </c>
      <c r="D114" s="18" t="inlineStr">
        <is>
          <t>Assumptions endAge.</t>
        </is>
      </c>
    </row>
    <row r="115">
      <c r="A115" s="26" t="inlineStr">
        <is>
          <t>post wealth at endAge</t>
        </is>
      </c>
      <c r="B115" s="29">
        <f>IF(endAge-SV_age&lt;=SV_T,INDEX($AQ$123:$AQ$205,MAX(0,endAge-SV_age)+1),"")</f>
        <v/>
      </c>
      <c r="C115" s="27" t="inlineStr">
        <is>
          <t>C · calculated</t>
        </is>
      </c>
      <c r="D115" s="18" t="inlineStr"/>
    </row>
    <row r="116">
      <c r="A116" s="26" t="inlineStr">
        <is>
          <t>pre: first age spendable wealth &lt; 0</t>
        </is>
      </c>
      <c r="B116" s="46">
        <f>IFERROR(SV_age+MATCH(1,INDEX(--($AH$123:$AH$205&lt;0),0),0)-1,"never")</f>
        <v/>
      </c>
      <c r="C116" s="27" t="inlineStr">
        <is>
          <t>C · calculated</t>
        </is>
      </c>
      <c r="D116" s="18" t="inlineStr">
        <is>
          <t>Expense-funding panel: shortfall starts here even if the chart line is above 0.</t>
        </is>
      </c>
    </row>
    <row r="117">
      <c r="A117" s="26" t="inlineStr">
        <is>
          <t>post: first age spendable wealth &lt; 0</t>
        </is>
      </c>
      <c r="B117" s="46">
        <f>IFERROR(SV_age+MATCH(1,INDEX(--($AR$123:$AR$205&lt;0),0),0)-1,"never")</f>
        <v/>
      </c>
      <c r="C117" s="27" t="inlineStr">
        <is>
          <t>C · calculated</t>
        </is>
      </c>
      <c r="D117" s="18" t="inlineStr">
        <is>
          <t>Expense-funding panel: shortfall starts here even if the chart line is above 0.</t>
        </is>
      </c>
    </row>
    <row r="121">
      <c r="A121" s="3" t="inlineStr">
        <is>
          <t>year</t>
        </is>
      </c>
      <c r="B121" s="3" t="n"/>
      <c r="C121" s="3" t="n"/>
      <c r="D121" s="3" t="n"/>
      <c r="E121" s="16" t="inlineStr">
        <is>
          <t>C · HUMAN CAPITAL  —  salary, spend, premiums (flows land in the year shown)</t>
        </is>
      </c>
      <c r="F121" s="16" t="n"/>
      <c r="G121" s="16" t="n"/>
      <c r="H121" s="16" t="n"/>
      <c r="I121" s="16" t="n"/>
      <c r="J121" s="16" t="n"/>
      <c r="K121" s="16" t="n"/>
      <c r="L121" s="16" t="inlineStr">
        <is>
          <t>C · ASSETS</t>
        </is>
      </c>
      <c r="M121" s="16" t="n"/>
      <c r="N121" s="16" t="n"/>
      <c r="O121" s="16" t="n"/>
      <c r="P121" s="16" t="n"/>
      <c r="Q121" s="16" t="inlineStr">
        <is>
          <t>C · CPF  —  SocialSecurityR_SGP</t>
        </is>
      </c>
      <c r="R121" s="16" t="n"/>
      <c r="S121" s="16" t="n"/>
      <c r="T121" s="16" t="n"/>
      <c r="U121" s="16" t="n"/>
      <c r="V121" s="16" t="n"/>
      <c r="W121" s="16" t="n"/>
      <c r="X121" s="16" t="n"/>
      <c r="Y121" s="16" t="n"/>
      <c r="Z121" s="16" t="n"/>
      <c r="AA121" s="16" t="n"/>
      <c r="AB121" s="16" t="n"/>
      <c r="AC121" s="16" t="n"/>
      <c r="AD121" s="16" t="n"/>
      <c r="AE121" s="16" t="inlineStr">
        <is>
          <t>C · PRE (today)</t>
        </is>
      </c>
      <c r="AF121" s="16" t="n"/>
      <c r="AG121" s="16" t="n"/>
      <c r="AH121" s="16" t="n"/>
      <c r="AI121" s="16" t="inlineStr">
        <is>
          <t>C · POST (with the plan)  —  plan_benefit_visualizer pots</t>
        </is>
      </c>
      <c r="AJ121" s="16" t="n"/>
      <c r="AK121" s="16" t="n"/>
      <c r="AL121" s="16" t="n"/>
      <c r="AM121" s="16" t="n"/>
      <c r="AN121" s="16" t="n"/>
      <c r="AO121" s="16" t="n"/>
      <c r="AP121" s="16" t="n"/>
      <c r="AQ121" s="16" t="n"/>
      <c r="AR121" s="16" t="n"/>
    </row>
    <row r="122">
      <c r="A122" s="3" t="inlineStr">
        <is>
          <t>year</t>
        </is>
      </c>
      <c r="B122" s="3" t="inlineStr">
        <is>
          <t>age</t>
        </is>
      </c>
      <c r="C122" s="3" t="inlineStr">
        <is>
          <t>calendar</t>
        </is>
      </c>
      <c r="D122" s="3" t="inlineStr">
        <is>
          <t>on path</t>
        </is>
      </c>
      <c r="E122" s="3" t="inlineStr">
        <is>
          <t>inflation factor</t>
        </is>
      </c>
      <c r="F122" s="3" t="inlineStr">
        <is>
          <t>spend index</t>
        </is>
      </c>
      <c r="G122" s="3" t="inlineStr">
        <is>
          <t>income factor</t>
        </is>
      </c>
      <c r="H122" s="3" t="inlineStr">
        <is>
          <t>salary</t>
        </is>
      </c>
      <c r="I122" s="3" t="inlineStr">
        <is>
          <t>spend + instalment + goals</t>
        </is>
      </c>
      <c r="J122" s="3" t="inlineStr">
        <is>
          <t>existing life premium</t>
        </is>
      </c>
      <c r="K122" s="3" t="inlineStr">
        <is>
          <t>to investments</t>
        </is>
      </c>
      <c r="L122" s="3" t="inlineStr">
        <is>
          <t>crash</t>
        </is>
      </c>
      <c r="M122" s="3" t="inlineStr">
        <is>
          <t>currency</t>
        </is>
      </c>
      <c r="N122" s="3" t="inlineStr">
        <is>
          <t>cash</t>
        </is>
      </c>
      <c r="O122" s="3" t="inlineStr">
        <is>
          <t>investments</t>
        </is>
      </c>
      <c r="P122" s="3" t="inlineStr">
        <is>
          <t>home</t>
        </is>
      </c>
      <c r="Q122" s="3" t="inlineStr">
        <is>
          <t>CPF band</t>
        </is>
      </c>
      <c r="R122" s="3" t="inlineStr">
        <is>
          <t>CPF wage</t>
        </is>
      </c>
      <c r="S122" s="3" t="inlineStr">
        <is>
          <t>OA (running)</t>
        </is>
      </c>
      <c r="T122" s="3" t="inlineStr">
        <is>
          <t>SA (running)</t>
        </is>
      </c>
      <c r="U122" s="3" t="inlineStr">
        <is>
          <t>MA (running)</t>
        </is>
      </c>
      <c r="V122" s="3" t="inlineStr">
        <is>
          <t>employee CPF</t>
        </is>
      </c>
      <c r="W122" s="3" t="inlineStr">
        <is>
          <t>OA</t>
        </is>
      </c>
      <c r="X122" s="3" t="inlineStr">
        <is>
          <t>SA</t>
        </is>
      </c>
      <c r="Y122" s="3" t="inlineStr">
        <is>
          <t>MA</t>
        </is>
      </c>
      <c r="Z122" s="3" t="inlineStr">
        <is>
          <t>CPF LIFE payout</t>
        </is>
      </c>
      <c r="AA122" s="3" t="inlineStr">
        <is>
          <t>RA</t>
        </is>
      </c>
      <c r="AB122" s="3" t="inlineStr">
        <is>
          <t>CPF LIFE pot</t>
        </is>
      </c>
      <c r="AC122" s="3" t="inlineStr">
        <is>
          <t>CPF total</t>
        </is>
      </c>
      <c r="AD122" s="3" t="inlineStr">
        <is>
          <t>CPF cash flow</t>
        </is>
      </c>
      <c r="AE122" s="3" t="inlineStr">
        <is>
          <t>mortgage balance (annuity → 0 at year 20)</t>
        </is>
      </c>
      <c r="AF122" s="3" t="inlineStr">
        <is>
          <t>savings (pre)</t>
        </is>
      </c>
      <c r="AG122" s="3" t="inlineStr">
        <is>
          <t>WEALTH pre</t>
        </is>
      </c>
      <c r="AH122" s="3" t="inlineStr">
        <is>
          <t>SPENDABLE pre</t>
        </is>
      </c>
      <c r="AI122" s="3" t="inlineStr">
        <is>
          <t>RET paid in</t>
        </is>
      </c>
      <c r="AJ122" s="3" t="inlineStr">
        <is>
          <t>RET pot</t>
        </is>
      </c>
      <c r="AK122" s="3" t="inlineStr">
        <is>
          <t>goal pots paid in</t>
        </is>
      </c>
      <c r="AL122" s="3" t="inlineStr">
        <is>
          <t>goal pots</t>
        </is>
      </c>
      <c r="AM122" s="3" t="inlineStr">
        <is>
          <t>protection premium</t>
        </is>
      </c>
      <c r="AN122" s="3" t="inlineStr">
        <is>
          <t>plan account value</t>
        </is>
      </c>
      <c r="AO122" s="3" t="inlineStr">
        <is>
          <t>plan cash flow</t>
        </is>
      </c>
      <c r="AP122" s="3" t="inlineStr">
        <is>
          <t>savings (post)</t>
        </is>
      </c>
      <c r="AQ122" s="3" t="inlineStr">
        <is>
          <t>WEALTH post</t>
        </is>
      </c>
      <c r="AR122" s="3" t="inlineStr">
        <is>
          <t>SPENDABLE post</t>
        </is>
      </c>
    </row>
    <row r="123">
      <c r="A123" s="61" t="n">
        <v>0</v>
      </c>
      <c r="B123" s="61">
        <f>SV_age+A123</f>
        <v/>
      </c>
      <c r="C123" s="61">
        <f>currentYear+A123</f>
        <v/>
      </c>
      <c r="D123" s="52">
        <f>A123&lt;=SV_T</f>
        <v/>
      </c>
      <c r="E123" s="60" t="n">
        <v>1</v>
      </c>
      <c r="F123" s="60" t="n">
        <v>1</v>
      </c>
      <c r="G123" s="60" t="n">
        <v>1</v>
      </c>
      <c r="H123" s="29" t="n">
        <v>0</v>
      </c>
      <c r="I123" s="29" t="n">
        <v>0</v>
      </c>
      <c r="J123" s="29" t="n">
        <v>0</v>
      </c>
      <c r="K123" s="29" t="n">
        <v>0</v>
      </c>
      <c r="L123" s="60" t="n">
        <v>1</v>
      </c>
      <c r="M123" s="60" t="n">
        <v>1</v>
      </c>
      <c r="N123" s="29">
        <f>IF(MOD(SV_cash,1)=0.5,2*ROUND((SV_cash)/2,0),ROUND(SV_cash,0))</f>
        <v/>
      </c>
      <c r="O123" s="29">
        <f>IF(MOD(SV_investments,1)=0.5,2*ROUND((SV_investments)/2,0),ROUND(SV_investments,0))</f>
        <v/>
      </c>
      <c r="P123" s="29">
        <f>IF(MOD(SV_property,1)=0.5,2*ROUND((SV_property)/2,0),ROUND(SV_property,0))</f>
        <v/>
      </c>
      <c r="Q123" s="46" t="inlineStr"/>
      <c r="R123" s="29" t="n">
        <v>0</v>
      </c>
      <c r="S123" s="29" t="n">
        <v>0</v>
      </c>
      <c r="T123" s="29" t="n">
        <v>0</v>
      </c>
      <c r="U123" s="29" t="n">
        <v>0</v>
      </c>
      <c r="V123" s="29" t="n">
        <v>0</v>
      </c>
      <c r="W123" s="29">
        <f>IF(A123&gt;=SV_sIdx,0,S123)</f>
        <v/>
      </c>
      <c r="X123" s="29">
        <f>IF(A123&gt;=SV_sIdx,0,T123)</f>
        <v/>
      </c>
      <c r="Y123" s="29">
        <f>IF(A123&gt;=SV_sIdx,MIN(U123,SV_maCap),U123)</f>
        <v/>
      </c>
      <c r="Z123" s="29">
        <f>IF(AND(SV_cpfOn,A123&gt;=SV_pIdx,A123&lt;=SV_T),12*SV_pay,0)</f>
        <v/>
      </c>
      <c r="AA123" s="29">
        <f>IF(SV_sp&gt;=0,IF(SV_sIdx=0,SV_R0,0),SV_lifeGrowth*SV_seedRA)</f>
        <v/>
      </c>
      <c r="AB123" s="29">
        <f>IF(A123&gt;SV_T,0,IF(AND(SV_sp&gt;=0,A123&lt;SV_sIdx),0,IF(AND(SV_sp&gt;=0,A123=SV_sIdx),SV_L0,SV_lifeGrowth*(SV_seedLife-Z123))))</f>
        <v/>
      </c>
      <c r="AC123" s="29">
        <f>W123+X123+AA123+Y123+IF(AA123&lt;0,0,AB123)</f>
        <v/>
      </c>
      <c r="AD123" s="29">
        <f>Z123+V123</f>
        <v/>
      </c>
      <c r="AE123" s="29">
        <f>IF(SV_mortP&gt;0,SV_mortP,0)</f>
        <v/>
      </c>
      <c r="AF123" s="29" t="n">
        <v>0</v>
      </c>
      <c r="AG123" s="29">
        <f>IF(A123&gt;SV_T,0,MAX(0,N123+O123+P123+AC123+AF123-AE123))</f>
        <v/>
      </c>
      <c r="AH123" s="29">
        <f>IF(A123&gt;SV_T,0,N123+O123+AF123-MAX(0,AE123-(P123+AC123)))</f>
        <v/>
      </c>
      <c r="AI123" s="29" t="n">
        <v>0</v>
      </c>
      <c r="AJ123" s="29" t="n">
        <v>0</v>
      </c>
      <c r="AK123" s="29" t="n">
        <v>0</v>
      </c>
      <c r="AL123" s="29" t="n">
        <v>0</v>
      </c>
      <c r="AM123" s="29" t="n">
        <v>0</v>
      </c>
      <c r="AN123" s="29">
        <f>IF(OR(A123=0,A123&gt;=SV_T),0,ROUND(MAX(0,AJ123),2)+ROUND(MAX(0,AL123),2))</f>
        <v/>
      </c>
      <c r="AO123" s="29" t="n">
        <v>0</v>
      </c>
      <c r="AP123" s="29" t="n">
        <v>0</v>
      </c>
      <c r="AQ123" s="29">
        <f>IF(A123&gt;SV_T,0,MAX(0,N123+O123+P123+AC123+AP123+AN123-AE123))</f>
        <v/>
      </c>
      <c r="AR123" s="29">
        <f>IF(A123&gt;SV_T,0,N123+O123+AP123+AN123-MAX(0,AE123-(P123+AC123)))</f>
        <v/>
      </c>
    </row>
    <row r="124">
      <c r="A124" s="61" t="n">
        <v>1</v>
      </c>
      <c r="B124" s="61">
        <f>SV_age+A124</f>
        <v/>
      </c>
      <c r="C124" s="61">
        <f>currentYear+A124</f>
        <v/>
      </c>
      <c r="D124" s="52">
        <f>A124&lt;=SV_T</f>
        <v/>
      </c>
      <c r="E124" s="60">
        <f>IF(AND(SV_inflOn,A124&gt;=SV_inflS,A124&lt;=SV_inflE),1+SV_inflRate,1+inflationRate)</f>
        <v/>
      </c>
      <c r="F124" s="60">
        <f>IF(A124&lt;=1,1,F123*E124)</f>
        <v/>
      </c>
      <c r="G124" s="60">
        <f>IF(AND(SV_incOn,A124&gt;=SV_incS,A124&lt;=SV_incE),1+SV_incImp,1)</f>
        <v/>
      </c>
      <c r="H124" s="29">
        <f>IF(OR(OR(A124&lt;1,A124&gt;SV_T),A124-1&gt;=SV_salCut),0,SV_sal0*(1+incomeGrowthRate)^(A124-1)*G124)</f>
        <v/>
      </c>
      <c r="I124" s="29">
        <f>IF(OR(A124&lt;1,A124&gt;SV_T),0,(-SV_exp0*F124-IF(A124&lt;=SV_loanYears,SV_inst,0)-IF(AND(SV_wdAmt&gt;0,A124=SV_wdYear),SV_wdAmt,0))*IF(AND(SV_expOn,A124&gt;=SV_expS,A124&lt;=SV_expE),1+SV_expImp,1))</f>
        <v/>
      </c>
      <c r="J124" s="29">
        <f>IF(OR(OR(A124&lt;1,A124&gt;SV_T),A124&gt;SV_loanYears),0,-SV_lifePremYr)</f>
        <v/>
      </c>
      <c r="K124" s="29">
        <f>IF(OR(A124&lt;1,A124&gt;SV_T),0,-SV_contrib)</f>
        <v/>
      </c>
      <c r="L124" s="60">
        <f>IF(AND(SV_crashOn,A124=SV_crashYr),SV_crashF,1)</f>
        <v/>
      </c>
      <c r="M124" s="60">
        <f>IF(AND(SV_ccyOn,A124=SV_ccyYr),SV_ccyF,1)</f>
        <v/>
      </c>
      <c r="N124" s="29">
        <f>IF(A124&gt;SV_T,0,N123*(1+interestRate)*L124*M124)</f>
        <v/>
      </c>
      <c r="O124" s="29">
        <f>IF(A124&gt;SV_T,0,(O123+SV_contrib)*(1+investmentReturn)*L124*M124)</f>
        <v/>
      </c>
      <c r="P124" s="29">
        <f>IF(A124&gt;SV_T,0,P123*(1+SV_propRate)*L124)</f>
        <v/>
      </c>
      <c r="Q124" s="46">
        <f>MATCH(SV_age+A124-1,SV_cpfLower,1)</f>
        <v/>
      </c>
      <c r="R124" s="29">
        <f>IF(OR(OR(A124&lt;1,A124&gt;SV_T),NOT(SV_cpfOn)),0,MIN(SV_sal0*(1+incomeGrowthRate)^(A124-1)*G124,SV_owCap))</f>
        <v/>
      </c>
      <c r="S124" s="29">
        <f>IF(A124&gt;SV_T,0,S123*(1+SV_oaRate)+IF(A124&gt;=SV_effStop,0,INDEX(SV_cpfOA,Q124)*INDEX(SV_cpfTot,Q124)*R124))</f>
        <v/>
      </c>
      <c r="T124" s="29">
        <f>IF(A124&gt;SV_T,0,T123*(1+SV_saRate)+IF(A124&gt;=SV_effStop,0,INDEX(SV_cpfSA,Q124)*INDEX(SV_cpfTot,Q124)*R124))</f>
        <v/>
      </c>
      <c r="U124" s="29">
        <f>IF(A124&gt;SV_T,0,U123*(1+SV_saRate)+IF(A124&gt;=SV_effStop,0,INDEX(SV_cpfMA,Q124)*INDEX(SV_cpfTot,Q124)*R124))</f>
        <v/>
      </c>
      <c r="V124" s="29">
        <f>IF(OR(OR(A124&lt;1,A124&gt;SV_T),A124&gt;=SV_effNeg),0,-(INDEX(SV_cpfOA,Q124)+INDEX(SV_cpfSA,Q124)+INDEX(SV_cpfMA,Q124))*INDEX(SV_cpfEmp,Q124)*R124)</f>
        <v/>
      </c>
      <c r="W124" s="29">
        <f>IF(A124&gt;=SV_sIdx,0,S124)</f>
        <v/>
      </c>
      <c r="X124" s="29">
        <f>IF(A124&gt;=SV_sIdx,0,T124)</f>
        <v/>
      </c>
      <c r="Y124" s="29">
        <f>IF(A124&gt;=SV_sIdx,MIN(U124,SV_maCap),U124)</f>
        <v/>
      </c>
      <c r="Z124" s="29">
        <f>IF(AND(SV_cpfOn,A124&gt;=SV_pIdx,A124&lt;=SV_T),12*SV_pay,0)</f>
        <v/>
      </c>
      <c r="AA124" s="29">
        <f>IF(A124&gt;SV_T,0,IF(SV_sp&gt;=0,IF(A124&lt;SV_sIdx,0,IF(A124=SV_sIdx,SV_R0,SV_lifeGrowth*AA123)),SV_lifeGrowth*AA123))</f>
        <v/>
      </c>
      <c r="AB124" s="29">
        <f>IF(A124&gt;SV_T,0,IF(AND(SV_sp&gt;=0,A124&lt;SV_sIdx),0,IF(AND(SV_sp&gt;=0,A124=SV_sIdx),SV_L0,SV_lifeGrowth*(AB123-Z124))))</f>
        <v/>
      </c>
      <c r="AC124" s="29">
        <f>W124+X124+AA124+Y124+IF(AA124&lt;0,0,AB124)</f>
        <v/>
      </c>
      <c r="AD124" s="29">
        <f>Z124+V124</f>
        <v/>
      </c>
      <c r="AE124" s="29">
        <f>IF(OR(A124&gt;SV_T,A124&gt;=SV_loanYears),0,MAX(0,AE123*(1+loanRate)-SV_inst))</f>
        <v/>
      </c>
      <c r="AF124" s="29">
        <f>IF(A124&gt;SV_T,0,AF123*(1+SV_savRate)+H124+I124+J124+K124+AD124)</f>
        <v/>
      </c>
      <c r="AG124" s="29">
        <f>IF(A124&gt;SV_T,0,MAX(0,N124+O124+P124+AC124+AF124-AE124))</f>
        <v/>
      </c>
      <c r="AH124" s="29">
        <f>IF(A124&gt;SV_T,0,N124+O124+AF124-MAX(0,AE124-(P124+AC124)))</f>
        <v/>
      </c>
      <c r="AI124" s="29">
        <f>IF(OR(OR(A124&lt;1,A124&gt;SV_T),A124-1&gt;=SV_retPay),0,SV_retMth*12+IF(A124=1,SV_retLump,0))</f>
        <v/>
      </c>
      <c r="AJ124" s="29">
        <f>IF(A124&gt;SV_T,0,(AJ123+AI124)*(1+investmentReturn))</f>
        <v/>
      </c>
      <c r="AK124" s="29">
        <f>IF(OR(OR(A124&lt;1,A124&gt;SV_T),A124-1&gt;=SV_goalPay),0,SV_goalMth*12+IF(A124=1,SV_goalLump,0))</f>
        <v/>
      </c>
      <c r="AL124" s="29">
        <f>IF(A124&gt;SV_T,0,(AL123+AK124)*(1+investmentReturn))</f>
        <v/>
      </c>
      <c r="AM124" s="29">
        <f>IF(OR(OR(A124&lt;1,A124&gt;SV_T),A124-1&gt;=SV_protPay),0,SV_protPrem)</f>
        <v/>
      </c>
      <c r="AN124" s="29">
        <f>IF(OR(A124=0,A124&gt;=SV_T),0,ROUND(MAX(0,AJ124),2)+ROUND(MAX(0,AL124),2))</f>
        <v/>
      </c>
      <c r="AO124" s="29">
        <f>IF(OR(A124&lt;1,A124&gt;SV_T),0,-(AI124+AK124+AM124)+IF(A124=SV_T,ROUND(MAX(0,AJ124),2)+ROUND(MAX(0,AL124),2),0))</f>
        <v/>
      </c>
      <c r="AP124" s="29">
        <f>IF(A124&gt;SV_T,0,AP123*(1+SV_savRate)+H124+I124+J124+K124+AD124+AO124)</f>
        <v/>
      </c>
      <c r="AQ124" s="29">
        <f>IF(A124&gt;SV_T,0,MAX(0,N124+O124+P124+AC124+AP124+AN124-AE124))</f>
        <v/>
      </c>
      <c r="AR124" s="29">
        <f>IF(A124&gt;SV_T,0,N124+O124+AP124+AN124-MAX(0,AE124-(P124+AC124)))</f>
        <v/>
      </c>
    </row>
    <row r="125">
      <c r="A125" s="61" t="n">
        <v>2</v>
      </c>
      <c r="B125" s="61">
        <f>SV_age+A125</f>
        <v/>
      </c>
      <c r="C125" s="61">
        <f>currentYear+A125</f>
        <v/>
      </c>
      <c r="D125" s="52">
        <f>A125&lt;=SV_T</f>
        <v/>
      </c>
      <c r="E125" s="60">
        <f>IF(AND(SV_inflOn,A125&gt;=SV_inflS,A125&lt;=SV_inflE),1+SV_inflRate,1+inflationRate)</f>
        <v/>
      </c>
      <c r="F125" s="60">
        <f>IF(A125&lt;=1,1,F124*E125)</f>
        <v/>
      </c>
      <c r="G125" s="60">
        <f>IF(AND(SV_incOn,A125&gt;=SV_incS,A125&lt;=SV_incE),1+SV_incImp,1)</f>
        <v/>
      </c>
      <c r="H125" s="29">
        <f>IF(OR(OR(A125&lt;1,A125&gt;SV_T),A125-1&gt;=SV_salCut),0,SV_sal0*(1+incomeGrowthRate)^(A125-1)*G125)</f>
        <v/>
      </c>
      <c r="I125" s="29">
        <f>IF(OR(A125&lt;1,A125&gt;SV_T),0,(-SV_exp0*F125-IF(A125&lt;=SV_loanYears,SV_inst,0)-IF(AND(SV_wdAmt&gt;0,A125=SV_wdYear),SV_wdAmt,0))*IF(AND(SV_expOn,A125&gt;=SV_expS,A125&lt;=SV_expE),1+SV_expImp,1))</f>
        <v/>
      </c>
      <c r="J125" s="29">
        <f>IF(OR(OR(A125&lt;1,A125&gt;SV_T),A125&gt;SV_loanYears),0,-SV_lifePremYr)</f>
        <v/>
      </c>
      <c r="K125" s="29">
        <f>IF(OR(A125&lt;1,A125&gt;SV_T),0,-SV_contrib)</f>
        <v/>
      </c>
      <c r="L125" s="60">
        <f>IF(AND(SV_crashOn,A125=SV_crashYr),SV_crashF,1)</f>
        <v/>
      </c>
      <c r="M125" s="60">
        <f>IF(AND(SV_ccyOn,A125=SV_ccyYr),SV_ccyF,1)</f>
        <v/>
      </c>
      <c r="N125" s="29">
        <f>IF(A125&gt;SV_T,0,N124*(1+interestRate)*L125*M125)</f>
        <v/>
      </c>
      <c r="O125" s="29">
        <f>IF(A125&gt;SV_T,0,(O124+SV_contrib)*(1+investmentReturn)*L125*M125)</f>
        <v/>
      </c>
      <c r="P125" s="29">
        <f>IF(A125&gt;SV_T,0,P124*(1+SV_propRate)*L125)</f>
        <v/>
      </c>
      <c r="Q125" s="46">
        <f>MATCH(SV_age+A125-1,SV_cpfLower,1)</f>
        <v/>
      </c>
      <c r="R125" s="29">
        <f>IF(OR(OR(A125&lt;1,A125&gt;SV_T),NOT(SV_cpfOn)),0,MIN(SV_sal0*(1+incomeGrowthRate)^(A125-1)*G125,SV_owCap))</f>
        <v/>
      </c>
      <c r="S125" s="29">
        <f>IF(A125&gt;SV_T,0,S124*(1+SV_oaRate)+IF(A125&gt;=SV_effStop,0,INDEX(SV_cpfOA,Q125)*INDEX(SV_cpfTot,Q125)*R125))</f>
        <v/>
      </c>
      <c r="T125" s="29">
        <f>IF(A125&gt;SV_T,0,T124*(1+SV_saRate)+IF(A125&gt;=SV_effStop,0,INDEX(SV_cpfSA,Q125)*INDEX(SV_cpfTot,Q125)*R125))</f>
        <v/>
      </c>
      <c r="U125" s="29">
        <f>IF(A125&gt;SV_T,0,U124*(1+SV_saRate)+IF(A125&gt;=SV_effStop,0,INDEX(SV_cpfMA,Q125)*INDEX(SV_cpfTot,Q125)*R125))</f>
        <v/>
      </c>
      <c r="V125" s="29">
        <f>IF(OR(OR(A125&lt;1,A125&gt;SV_T),A125&gt;=SV_effNeg),0,-(INDEX(SV_cpfOA,Q125)+INDEX(SV_cpfSA,Q125)+INDEX(SV_cpfMA,Q125))*INDEX(SV_cpfEmp,Q125)*R125)</f>
        <v/>
      </c>
      <c r="W125" s="29">
        <f>IF(A125&gt;=SV_sIdx,0,S125)</f>
        <v/>
      </c>
      <c r="X125" s="29">
        <f>IF(A125&gt;=SV_sIdx,0,T125)</f>
        <v/>
      </c>
      <c r="Y125" s="29">
        <f>IF(A125&gt;=SV_sIdx,MIN(U125,SV_maCap),U125)</f>
        <v/>
      </c>
      <c r="Z125" s="29">
        <f>IF(AND(SV_cpfOn,A125&gt;=SV_pIdx,A125&lt;=SV_T),12*SV_pay,0)</f>
        <v/>
      </c>
      <c r="AA125" s="29">
        <f>IF(A125&gt;SV_T,0,IF(SV_sp&gt;=0,IF(A125&lt;SV_sIdx,0,IF(A125=SV_sIdx,SV_R0,SV_lifeGrowth*AA124)),SV_lifeGrowth*AA124))</f>
        <v/>
      </c>
      <c r="AB125" s="29">
        <f>IF(A125&gt;SV_T,0,IF(AND(SV_sp&gt;=0,A125&lt;SV_sIdx),0,IF(AND(SV_sp&gt;=0,A125=SV_sIdx),SV_L0,SV_lifeGrowth*(AB124-Z125))))</f>
        <v/>
      </c>
      <c r="AC125" s="29">
        <f>W125+X125+AA125+Y125+IF(AA125&lt;0,0,AB125)</f>
        <v/>
      </c>
      <c r="AD125" s="29">
        <f>Z125+V125</f>
        <v/>
      </c>
      <c r="AE125" s="29">
        <f>IF(OR(A125&gt;SV_T,A125&gt;=SV_loanYears),0,MAX(0,AE124*(1+loanRate)-SV_inst))</f>
        <v/>
      </c>
      <c r="AF125" s="29">
        <f>IF(A125&gt;SV_T,0,AF124*(1+SV_savRate)+H125+I125+J125+K125+AD125)</f>
        <v/>
      </c>
      <c r="AG125" s="29">
        <f>IF(A125&gt;SV_T,0,MAX(0,N125+O125+P125+AC125+AF125-AE125))</f>
        <v/>
      </c>
      <c r="AH125" s="29">
        <f>IF(A125&gt;SV_T,0,N125+O125+AF125-MAX(0,AE125-(P125+AC125)))</f>
        <v/>
      </c>
      <c r="AI125" s="29">
        <f>IF(OR(OR(A125&lt;1,A125&gt;SV_T),A125-1&gt;=SV_retPay),0,SV_retMth*12+IF(A125=1,SV_retLump,0))</f>
        <v/>
      </c>
      <c r="AJ125" s="29">
        <f>IF(A125&gt;SV_T,0,(AJ124+AI125)*(1+investmentReturn))</f>
        <v/>
      </c>
      <c r="AK125" s="29">
        <f>IF(OR(OR(A125&lt;1,A125&gt;SV_T),A125-1&gt;=SV_goalPay),0,SV_goalMth*12+IF(A125=1,SV_goalLump,0))</f>
        <v/>
      </c>
      <c r="AL125" s="29">
        <f>IF(A125&gt;SV_T,0,(AL124+AK125)*(1+investmentReturn))</f>
        <v/>
      </c>
      <c r="AM125" s="29">
        <f>IF(OR(OR(A125&lt;1,A125&gt;SV_T),A125-1&gt;=SV_protPay),0,SV_protPrem)</f>
        <v/>
      </c>
      <c r="AN125" s="29">
        <f>IF(OR(A125=0,A125&gt;=SV_T),0,ROUND(MAX(0,AJ125),2)+ROUND(MAX(0,AL125),2))</f>
        <v/>
      </c>
      <c r="AO125" s="29">
        <f>IF(OR(A125&lt;1,A125&gt;SV_T),0,-(AI125+AK125+AM125)+IF(A125=SV_T,ROUND(MAX(0,AJ125),2)+ROUND(MAX(0,AL125),2),0))</f>
        <v/>
      </c>
      <c r="AP125" s="29">
        <f>IF(A125&gt;SV_T,0,AP124*(1+SV_savRate)+H125+I125+J125+K125+AD125+AO125)</f>
        <v/>
      </c>
      <c r="AQ125" s="29">
        <f>IF(A125&gt;SV_T,0,MAX(0,N125+O125+P125+AC125+AP125+AN125-AE125))</f>
        <v/>
      </c>
      <c r="AR125" s="29">
        <f>IF(A125&gt;SV_T,0,N125+O125+AP125+AN125-MAX(0,AE125-(P125+AC125)))</f>
        <v/>
      </c>
    </row>
    <row r="126">
      <c r="A126" s="61" t="n">
        <v>3</v>
      </c>
      <c r="B126" s="61">
        <f>SV_age+A126</f>
        <v/>
      </c>
      <c r="C126" s="61">
        <f>currentYear+A126</f>
        <v/>
      </c>
      <c r="D126" s="52">
        <f>A126&lt;=SV_T</f>
        <v/>
      </c>
      <c r="E126" s="60">
        <f>IF(AND(SV_inflOn,A126&gt;=SV_inflS,A126&lt;=SV_inflE),1+SV_inflRate,1+inflationRate)</f>
        <v/>
      </c>
      <c r="F126" s="60">
        <f>IF(A126&lt;=1,1,F125*E126)</f>
        <v/>
      </c>
      <c r="G126" s="60">
        <f>IF(AND(SV_incOn,A126&gt;=SV_incS,A126&lt;=SV_incE),1+SV_incImp,1)</f>
        <v/>
      </c>
      <c r="H126" s="29">
        <f>IF(OR(OR(A126&lt;1,A126&gt;SV_T),A126-1&gt;=SV_salCut),0,SV_sal0*(1+incomeGrowthRate)^(A126-1)*G126)</f>
        <v/>
      </c>
      <c r="I126" s="29">
        <f>IF(OR(A126&lt;1,A126&gt;SV_T),0,(-SV_exp0*F126-IF(A126&lt;=SV_loanYears,SV_inst,0)-IF(AND(SV_wdAmt&gt;0,A126=SV_wdYear),SV_wdAmt,0))*IF(AND(SV_expOn,A126&gt;=SV_expS,A126&lt;=SV_expE),1+SV_expImp,1))</f>
        <v/>
      </c>
      <c r="J126" s="29">
        <f>IF(OR(OR(A126&lt;1,A126&gt;SV_T),A126&gt;SV_loanYears),0,-SV_lifePremYr)</f>
        <v/>
      </c>
      <c r="K126" s="29">
        <f>IF(OR(A126&lt;1,A126&gt;SV_T),0,-SV_contrib)</f>
        <v/>
      </c>
      <c r="L126" s="60">
        <f>IF(AND(SV_crashOn,A126=SV_crashYr),SV_crashF,1)</f>
        <v/>
      </c>
      <c r="M126" s="60">
        <f>IF(AND(SV_ccyOn,A126=SV_ccyYr),SV_ccyF,1)</f>
        <v/>
      </c>
      <c r="N126" s="29">
        <f>IF(A126&gt;SV_T,0,N125*(1+interestRate)*L126*M126)</f>
        <v/>
      </c>
      <c r="O126" s="29">
        <f>IF(A126&gt;SV_T,0,(O125+SV_contrib)*(1+investmentReturn)*L126*M126)</f>
        <v/>
      </c>
      <c r="P126" s="29">
        <f>IF(A126&gt;SV_T,0,P125*(1+SV_propRate)*L126)</f>
        <v/>
      </c>
      <c r="Q126" s="46">
        <f>MATCH(SV_age+A126-1,SV_cpfLower,1)</f>
        <v/>
      </c>
      <c r="R126" s="29">
        <f>IF(OR(OR(A126&lt;1,A126&gt;SV_T),NOT(SV_cpfOn)),0,MIN(SV_sal0*(1+incomeGrowthRate)^(A126-1)*G126,SV_owCap))</f>
        <v/>
      </c>
      <c r="S126" s="29">
        <f>IF(A126&gt;SV_T,0,S125*(1+SV_oaRate)+IF(A126&gt;=SV_effStop,0,INDEX(SV_cpfOA,Q126)*INDEX(SV_cpfTot,Q126)*R126))</f>
        <v/>
      </c>
      <c r="T126" s="29">
        <f>IF(A126&gt;SV_T,0,T125*(1+SV_saRate)+IF(A126&gt;=SV_effStop,0,INDEX(SV_cpfSA,Q126)*INDEX(SV_cpfTot,Q126)*R126))</f>
        <v/>
      </c>
      <c r="U126" s="29">
        <f>IF(A126&gt;SV_T,0,U125*(1+SV_saRate)+IF(A126&gt;=SV_effStop,0,INDEX(SV_cpfMA,Q126)*INDEX(SV_cpfTot,Q126)*R126))</f>
        <v/>
      </c>
      <c r="V126" s="29">
        <f>IF(OR(OR(A126&lt;1,A126&gt;SV_T),A126&gt;=SV_effNeg),0,-(INDEX(SV_cpfOA,Q126)+INDEX(SV_cpfSA,Q126)+INDEX(SV_cpfMA,Q126))*INDEX(SV_cpfEmp,Q126)*R126)</f>
        <v/>
      </c>
      <c r="W126" s="29">
        <f>IF(A126&gt;=SV_sIdx,0,S126)</f>
        <v/>
      </c>
      <c r="X126" s="29">
        <f>IF(A126&gt;=SV_sIdx,0,T126)</f>
        <v/>
      </c>
      <c r="Y126" s="29">
        <f>IF(A126&gt;=SV_sIdx,MIN(U126,SV_maCap),U126)</f>
        <v/>
      </c>
      <c r="Z126" s="29">
        <f>IF(AND(SV_cpfOn,A126&gt;=SV_pIdx,A126&lt;=SV_T),12*SV_pay,0)</f>
        <v/>
      </c>
      <c r="AA126" s="29">
        <f>IF(A126&gt;SV_T,0,IF(SV_sp&gt;=0,IF(A126&lt;SV_sIdx,0,IF(A126=SV_sIdx,SV_R0,SV_lifeGrowth*AA125)),SV_lifeGrowth*AA125))</f>
        <v/>
      </c>
      <c r="AB126" s="29">
        <f>IF(A126&gt;SV_T,0,IF(AND(SV_sp&gt;=0,A126&lt;SV_sIdx),0,IF(AND(SV_sp&gt;=0,A126=SV_sIdx),SV_L0,SV_lifeGrowth*(AB125-Z126))))</f>
        <v/>
      </c>
      <c r="AC126" s="29">
        <f>W126+X126+AA126+Y126+IF(AA126&lt;0,0,AB126)</f>
        <v/>
      </c>
      <c r="AD126" s="29">
        <f>Z126+V126</f>
        <v/>
      </c>
      <c r="AE126" s="29">
        <f>IF(OR(A126&gt;SV_T,A126&gt;=SV_loanYears),0,MAX(0,AE125*(1+loanRate)-SV_inst))</f>
        <v/>
      </c>
      <c r="AF126" s="29">
        <f>IF(A126&gt;SV_T,0,AF125*(1+SV_savRate)+H126+I126+J126+K126+AD126)</f>
        <v/>
      </c>
      <c r="AG126" s="29">
        <f>IF(A126&gt;SV_T,0,MAX(0,N126+O126+P126+AC126+AF126-AE126))</f>
        <v/>
      </c>
      <c r="AH126" s="29">
        <f>IF(A126&gt;SV_T,0,N126+O126+AF126-MAX(0,AE126-(P126+AC126)))</f>
        <v/>
      </c>
      <c r="AI126" s="29">
        <f>IF(OR(OR(A126&lt;1,A126&gt;SV_T),A126-1&gt;=SV_retPay),0,SV_retMth*12+IF(A126=1,SV_retLump,0))</f>
        <v/>
      </c>
      <c r="AJ126" s="29">
        <f>IF(A126&gt;SV_T,0,(AJ125+AI126)*(1+investmentReturn))</f>
        <v/>
      </c>
      <c r="AK126" s="29">
        <f>IF(OR(OR(A126&lt;1,A126&gt;SV_T),A126-1&gt;=SV_goalPay),0,SV_goalMth*12+IF(A126=1,SV_goalLump,0))</f>
        <v/>
      </c>
      <c r="AL126" s="29">
        <f>IF(A126&gt;SV_T,0,(AL125+AK126)*(1+investmentReturn))</f>
        <v/>
      </c>
      <c r="AM126" s="29">
        <f>IF(OR(OR(A126&lt;1,A126&gt;SV_T),A126-1&gt;=SV_protPay),0,SV_protPrem)</f>
        <v/>
      </c>
      <c r="AN126" s="29">
        <f>IF(OR(A126=0,A126&gt;=SV_T),0,ROUND(MAX(0,AJ126),2)+ROUND(MAX(0,AL126),2))</f>
        <v/>
      </c>
      <c r="AO126" s="29">
        <f>IF(OR(A126&lt;1,A126&gt;SV_T),0,-(AI126+AK126+AM126)+IF(A126=SV_T,ROUND(MAX(0,AJ126),2)+ROUND(MAX(0,AL126),2),0))</f>
        <v/>
      </c>
      <c r="AP126" s="29">
        <f>IF(A126&gt;SV_T,0,AP125*(1+SV_savRate)+H126+I126+J126+K126+AD126+AO126)</f>
        <v/>
      </c>
      <c r="AQ126" s="29">
        <f>IF(A126&gt;SV_T,0,MAX(0,N126+O126+P126+AC126+AP126+AN126-AE126))</f>
        <v/>
      </c>
      <c r="AR126" s="29">
        <f>IF(A126&gt;SV_T,0,N126+O126+AP126+AN126-MAX(0,AE126-(P126+AC126)))</f>
        <v/>
      </c>
    </row>
    <row r="127">
      <c r="A127" s="61" t="n">
        <v>4</v>
      </c>
      <c r="B127" s="61">
        <f>SV_age+A127</f>
        <v/>
      </c>
      <c r="C127" s="61">
        <f>currentYear+A127</f>
        <v/>
      </c>
      <c r="D127" s="52">
        <f>A127&lt;=SV_T</f>
        <v/>
      </c>
      <c r="E127" s="60">
        <f>IF(AND(SV_inflOn,A127&gt;=SV_inflS,A127&lt;=SV_inflE),1+SV_inflRate,1+inflationRate)</f>
        <v/>
      </c>
      <c r="F127" s="60">
        <f>IF(A127&lt;=1,1,F126*E127)</f>
        <v/>
      </c>
      <c r="G127" s="60">
        <f>IF(AND(SV_incOn,A127&gt;=SV_incS,A127&lt;=SV_incE),1+SV_incImp,1)</f>
        <v/>
      </c>
      <c r="H127" s="29">
        <f>IF(OR(OR(A127&lt;1,A127&gt;SV_T),A127-1&gt;=SV_salCut),0,SV_sal0*(1+incomeGrowthRate)^(A127-1)*G127)</f>
        <v/>
      </c>
      <c r="I127" s="29">
        <f>IF(OR(A127&lt;1,A127&gt;SV_T),0,(-SV_exp0*F127-IF(A127&lt;=SV_loanYears,SV_inst,0)-IF(AND(SV_wdAmt&gt;0,A127=SV_wdYear),SV_wdAmt,0))*IF(AND(SV_expOn,A127&gt;=SV_expS,A127&lt;=SV_expE),1+SV_expImp,1))</f>
        <v/>
      </c>
      <c r="J127" s="29">
        <f>IF(OR(OR(A127&lt;1,A127&gt;SV_T),A127&gt;SV_loanYears),0,-SV_lifePremYr)</f>
        <v/>
      </c>
      <c r="K127" s="29">
        <f>IF(OR(A127&lt;1,A127&gt;SV_T),0,-SV_contrib)</f>
        <v/>
      </c>
      <c r="L127" s="60">
        <f>IF(AND(SV_crashOn,A127=SV_crashYr),SV_crashF,1)</f>
        <v/>
      </c>
      <c r="M127" s="60">
        <f>IF(AND(SV_ccyOn,A127=SV_ccyYr),SV_ccyF,1)</f>
        <v/>
      </c>
      <c r="N127" s="29">
        <f>IF(A127&gt;SV_T,0,N126*(1+interestRate)*L127*M127)</f>
        <v/>
      </c>
      <c r="O127" s="29">
        <f>IF(A127&gt;SV_T,0,(O126+SV_contrib)*(1+investmentReturn)*L127*M127)</f>
        <v/>
      </c>
      <c r="P127" s="29">
        <f>IF(A127&gt;SV_T,0,P126*(1+SV_propRate)*L127)</f>
        <v/>
      </c>
      <c r="Q127" s="46">
        <f>MATCH(SV_age+A127-1,SV_cpfLower,1)</f>
        <v/>
      </c>
      <c r="R127" s="29">
        <f>IF(OR(OR(A127&lt;1,A127&gt;SV_T),NOT(SV_cpfOn)),0,MIN(SV_sal0*(1+incomeGrowthRate)^(A127-1)*G127,SV_owCap))</f>
        <v/>
      </c>
      <c r="S127" s="29">
        <f>IF(A127&gt;SV_T,0,S126*(1+SV_oaRate)+IF(A127&gt;=SV_effStop,0,INDEX(SV_cpfOA,Q127)*INDEX(SV_cpfTot,Q127)*R127))</f>
        <v/>
      </c>
      <c r="T127" s="29">
        <f>IF(A127&gt;SV_T,0,T126*(1+SV_saRate)+IF(A127&gt;=SV_effStop,0,INDEX(SV_cpfSA,Q127)*INDEX(SV_cpfTot,Q127)*R127))</f>
        <v/>
      </c>
      <c r="U127" s="29">
        <f>IF(A127&gt;SV_T,0,U126*(1+SV_saRate)+IF(A127&gt;=SV_effStop,0,INDEX(SV_cpfMA,Q127)*INDEX(SV_cpfTot,Q127)*R127))</f>
        <v/>
      </c>
      <c r="V127" s="29">
        <f>IF(OR(OR(A127&lt;1,A127&gt;SV_T),A127&gt;=SV_effNeg),0,-(INDEX(SV_cpfOA,Q127)+INDEX(SV_cpfSA,Q127)+INDEX(SV_cpfMA,Q127))*INDEX(SV_cpfEmp,Q127)*R127)</f>
        <v/>
      </c>
      <c r="W127" s="29">
        <f>IF(A127&gt;=SV_sIdx,0,S127)</f>
        <v/>
      </c>
      <c r="X127" s="29">
        <f>IF(A127&gt;=SV_sIdx,0,T127)</f>
        <v/>
      </c>
      <c r="Y127" s="29">
        <f>IF(A127&gt;=SV_sIdx,MIN(U127,SV_maCap),U127)</f>
        <v/>
      </c>
      <c r="Z127" s="29">
        <f>IF(AND(SV_cpfOn,A127&gt;=SV_pIdx,A127&lt;=SV_T),12*SV_pay,0)</f>
        <v/>
      </c>
      <c r="AA127" s="29">
        <f>IF(A127&gt;SV_T,0,IF(SV_sp&gt;=0,IF(A127&lt;SV_sIdx,0,IF(A127=SV_sIdx,SV_R0,SV_lifeGrowth*AA126)),SV_lifeGrowth*AA126))</f>
        <v/>
      </c>
      <c r="AB127" s="29">
        <f>IF(A127&gt;SV_T,0,IF(AND(SV_sp&gt;=0,A127&lt;SV_sIdx),0,IF(AND(SV_sp&gt;=0,A127=SV_sIdx),SV_L0,SV_lifeGrowth*(AB126-Z127))))</f>
        <v/>
      </c>
      <c r="AC127" s="29">
        <f>W127+X127+AA127+Y127+IF(AA127&lt;0,0,AB127)</f>
        <v/>
      </c>
      <c r="AD127" s="29">
        <f>Z127+V127</f>
        <v/>
      </c>
      <c r="AE127" s="29">
        <f>IF(OR(A127&gt;SV_T,A127&gt;=SV_loanYears),0,MAX(0,AE126*(1+loanRate)-SV_inst))</f>
        <v/>
      </c>
      <c r="AF127" s="29">
        <f>IF(A127&gt;SV_T,0,AF126*(1+SV_savRate)+H127+I127+J127+K127+AD127)</f>
        <v/>
      </c>
      <c r="AG127" s="29">
        <f>IF(A127&gt;SV_T,0,MAX(0,N127+O127+P127+AC127+AF127-AE127))</f>
        <v/>
      </c>
      <c r="AH127" s="29">
        <f>IF(A127&gt;SV_T,0,N127+O127+AF127-MAX(0,AE127-(P127+AC127)))</f>
        <v/>
      </c>
      <c r="AI127" s="29">
        <f>IF(OR(OR(A127&lt;1,A127&gt;SV_T),A127-1&gt;=SV_retPay),0,SV_retMth*12+IF(A127=1,SV_retLump,0))</f>
        <v/>
      </c>
      <c r="AJ127" s="29">
        <f>IF(A127&gt;SV_T,0,(AJ126+AI127)*(1+investmentReturn))</f>
        <v/>
      </c>
      <c r="AK127" s="29">
        <f>IF(OR(OR(A127&lt;1,A127&gt;SV_T),A127-1&gt;=SV_goalPay),0,SV_goalMth*12+IF(A127=1,SV_goalLump,0))</f>
        <v/>
      </c>
      <c r="AL127" s="29">
        <f>IF(A127&gt;SV_T,0,(AL126+AK127)*(1+investmentReturn))</f>
        <v/>
      </c>
      <c r="AM127" s="29">
        <f>IF(OR(OR(A127&lt;1,A127&gt;SV_T),A127-1&gt;=SV_protPay),0,SV_protPrem)</f>
        <v/>
      </c>
      <c r="AN127" s="29">
        <f>IF(OR(A127=0,A127&gt;=SV_T),0,ROUND(MAX(0,AJ127),2)+ROUND(MAX(0,AL127),2))</f>
        <v/>
      </c>
      <c r="AO127" s="29">
        <f>IF(OR(A127&lt;1,A127&gt;SV_T),0,-(AI127+AK127+AM127)+IF(A127=SV_T,ROUND(MAX(0,AJ127),2)+ROUND(MAX(0,AL127),2),0))</f>
        <v/>
      </c>
      <c r="AP127" s="29">
        <f>IF(A127&gt;SV_T,0,AP126*(1+SV_savRate)+H127+I127+J127+K127+AD127+AO127)</f>
        <v/>
      </c>
      <c r="AQ127" s="29">
        <f>IF(A127&gt;SV_T,0,MAX(0,N127+O127+P127+AC127+AP127+AN127-AE127))</f>
        <v/>
      </c>
      <c r="AR127" s="29">
        <f>IF(A127&gt;SV_T,0,N127+O127+AP127+AN127-MAX(0,AE127-(P127+AC127)))</f>
        <v/>
      </c>
    </row>
    <row r="128">
      <c r="A128" s="61" t="n">
        <v>5</v>
      </c>
      <c r="B128" s="61">
        <f>SV_age+A128</f>
        <v/>
      </c>
      <c r="C128" s="61">
        <f>currentYear+A128</f>
        <v/>
      </c>
      <c r="D128" s="52">
        <f>A128&lt;=SV_T</f>
        <v/>
      </c>
      <c r="E128" s="60">
        <f>IF(AND(SV_inflOn,A128&gt;=SV_inflS,A128&lt;=SV_inflE),1+SV_inflRate,1+inflationRate)</f>
        <v/>
      </c>
      <c r="F128" s="60">
        <f>IF(A128&lt;=1,1,F127*E128)</f>
        <v/>
      </c>
      <c r="G128" s="60">
        <f>IF(AND(SV_incOn,A128&gt;=SV_incS,A128&lt;=SV_incE),1+SV_incImp,1)</f>
        <v/>
      </c>
      <c r="H128" s="29">
        <f>IF(OR(OR(A128&lt;1,A128&gt;SV_T),A128-1&gt;=SV_salCut),0,SV_sal0*(1+incomeGrowthRate)^(A128-1)*G128)</f>
        <v/>
      </c>
      <c r="I128" s="29">
        <f>IF(OR(A128&lt;1,A128&gt;SV_T),0,(-SV_exp0*F128-IF(A128&lt;=SV_loanYears,SV_inst,0)-IF(AND(SV_wdAmt&gt;0,A128=SV_wdYear),SV_wdAmt,0))*IF(AND(SV_expOn,A128&gt;=SV_expS,A128&lt;=SV_expE),1+SV_expImp,1))</f>
        <v/>
      </c>
      <c r="J128" s="29">
        <f>IF(OR(OR(A128&lt;1,A128&gt;SV_T),A128&gt;SV_loanYears),0,-SV_lifePremYr)</f>
        <v/>
      </c>
      <c r="K128" s="29">
        <f>IF(OR(A128&lt;1,A128&gt;SV_T),0,-SV_contrib)</f>
        <v/>
      </c>
      <c r="L128" s="60">
        <f>IF(AND(SV_crashOn,A128=SV_crashYr),SV_crashF,1)</f>
        <v/>
      </c>
      <c r="M128" s="60">
        <f>IF(AND(SV_ccyOn,A128=SV_ccyYr),SV_ccyF,1)</f>
        <v/>
      </c>
      <c r="N128" s="29">
        <f>IF(A128&gt;SV_T,0,N127*(1+interestRate)*L128*M128)</f>
        <v/>
      </c>
      <c r="O128" s="29">
        <f>IF(A128&gt;SV_T,0,(O127+SV_contrib)*(1+investmentReturn)*L128*M128)</f>
        <v/>
      </c>
      <c r="P128" s="29">
        <f>IF(A128&gt;SV_T,0,P127*(1+SV_propRate)*L128)</f>
        <v/>
      </c>
      <c r="Q128" s="46">
        <f>MATCH(SV_age+A128-1,SV_cpfLower,1)</f>
        <v/>
      </c>
      <c r="R128" s="29">
        <f>IF(OR(OR(A128&lt;1,A128&gt;SV_T),NOT(SV_cpfOn)),0,MIN(SV_sal0*(1+incomeGrowthRate)^(A128-1)*G128,SV_owCap))</f>
        <v/>
      </c>
      <c r="S128" s="29">
        <f>IF(A128&gt;SV_T,0,S127*(1+SV_oaRate)+IF(A128&gt;=SV_effStop,0,INDEX(SV_cpfOA,Q128)*INDEX(SV_cpfTot,Q128)*R128))</f>
        <v/>
      </c>
      <c r="T128" s="29">
        <f>IF(A128&gt;SV_T,0,T127*(1+SV_saRate)+IF(A128&gt;=SV_effStop,0,INDEX(SV_cpfSA,Q128)*INDEX(SV_cpfTot,Q128)*R128))</f>
        <v/>
      </c>
      <c r="U128" s="29">
        <f>IF(A128&gt;SV_T,0,U127*(1+SV_saRate)+IF(A128&gt;=SV_effStop,0,INDEX(SV_cpfMA,Q128)*INDEX(SV_cpfTot,Q128)*R128))</f>
        <v/>
      </c>
      <c r="V128" s="29">
        <f>IF(OR(OR(A128&lt;1,A128&gt;SV_T),A128&gt;=SV_effNeg),0,-(INDEX(SV_cpfOA,Q128)+INDEX(SV_cpfSA,Q128)+INDEX(SV_cpfMA,Q128))*INDEX(SV_cpfEmp,Q128)*R128)</f>
        <v/>
      </c>
      <c r="W128" s="29">
        <f>IF(A128&gt;=SV_sIdx,0,S128)</f>
        <v/>
      </c>
      <c r="X128" s="29">
        <f>IF(A128&gt;=SV_sIdx,0,T128)</f>
        <v/>
      </c>
      <c r="Y128" s="29">
        <f>IF(A128&gt;=SV_sIdx,MIN(U128,SV_maCap),U128)</f>
        <v/>
      </c>
      <c r="Z128" s="29">
        <f>IF(AND(SV_cpfOn,A128&gt;=SV_pIdx,A128&lt;=SV_T),12*SV_pay,0)</f>
        <v/>
      </c>
      <c r="AA128" s="29">
        <f>IF(A128&gt;SV_T,0,IF(SV_sp&gt;=0,IF(A128&lt;SV_sIdx,0,IF(A128=SV_sIdx,SV_R0,SV_lifeGrowth*AA127)),SV_lifeGrowth*AA127))</f>
        <v/>
      </c>
      <c r="AB128" s="29">
        <f>IF(A128&gt;SV_T,0,IF(AND(SV_sp&gt;=0,A128&lt;SV_sIdx),0,IF(AND(SV_sp&gt;=0,A128=SV_sIdx),SV_L0,SV_lifeGrowth*(AB127-Z128))))</f>
        <v/>
      </c>
      <c r="AC128" s="29">
        <f>W128+X128+AA128+Y128+IF(AA128&lt;0,0,AB128)</f>
        <v/>
      </c>
      <c r="AD128" s="29">
        <f>Z128+V128</f>
        <v/>
      </c>
      <c r="AE128" s="29">
        <f>IF(OR(A128&gt;SV_T,A128&gt;=SV_loanYears),0,MAX(0,AE127*(1+loanRate)-SV_inst))</f>
        <v/>
      </c>
      <c r="AF128" s="29">
        <f>IF(A128&gt;SV_T,0,AF127*(1+SV_savRate)+H128+I128+J128+K128+AD128)</f>
        <v/>
      </c>
      <c r="AG128" s="29">
        <f>IF(A128&gt;SV_T,0,MAX(0,N128+O128+P128+AC128+AF128-AE128))</f>
        <v/>
      </c>
      <c r="AH128" s="29">
        <f>IF(A128&gt;SV_T,0,N128+O128+AF128-MAX(0,AE128-(P128+AC128)))</f>
        <v/>
      </c>
      <c r="AI128" s="29">
        <f>IF(OR(OR(A128&lt;1,A128&gt;SV_T),A128-1&gt;=SV_retPay),0,SV_retMth*12+IF(A128=1,SV_retLump,0))</f>
        <v/>
      </c>
      <c r="AJ128" s="29">
        <f>IF(A128&gt;SV_T,0,(AJ127+AI128)*(1+investmentReturn))</f>
        <v/>
      </c>
      <c r="AK128" s="29">
        <f>IF(OR(OR(A128&lt;1,A128&gt;SV_T),A128-1&gt;=SV_goalPay),0,SV_goalMth*12+IF(A128=1,SV_goalLump,0))</f>
        <v/>
      </c>
      <c r="AL128" s="29">
        <f>IF(A128&gt;SV_T,0,(AL127+AK128)*(1+investmentReturn))</f>
        <v/>
      </c>
      <c r="AM128" s="29">
        <f>IF(OR(OR(A128&lt;1,A128&gt;SV_T),A128-1&gt;=SV_protPay),0,SV_protPrem)</f>
        <v/>
      </c>
      <c r="AN128" s="29">
        <f>IF(OR(A128=0,A128&gt;=SV_T),0,ROUND(MAX(0,AJ128),2)+ROUND(MAX(0,AL128),2))</f>
        <v/>
      </c>
      <c r="AO128" s="29">
        <f>IF(OR(A128&lt;1,A128&gt;SV_T),0,-(AI128+AK128+AM128)+IF(A128=SV_T,ROUND(MAX(0,AJ128),2)+ROUND(MAX(0,AL128),2),0))</f>
        <v/>
      </c>
      <c r="AP128" s="29">
        <f>IF(A128&gt;SV_T,0,AP127*(1+SV_savRate)+H128+I128+J128+K128+AD128+AO128)</f>
        <v/>
      </c>
      <c r="AQ128" s="29">
        <f>IF(A128&gt;SV_T,0,MAX(0,N128+O128+P128+AC128+AP128+AN128-AE128))</f>
        <v/>
      </c>
      <c r="AR128" s="29">
        <f>IF(A128&gt;SV_T,0,N128+O128+AP128+AN128-MAX(0,AE128-(P128+AC128)))</f>
        <v/>
      </c>
    </row>
    <row r="129">
      <c r="A129" s="61" t="n">
        <v>6</v>
      </c>
      <c r="B129" s="61">
        <f>SV_age+A129</f>
        <v/>
      </c>
      <c r="C129" s="61">
        <f>currentYear+A129</f>
        <v/>
      </c>
      <c r="D129" s="52">
        <f>A129&lt;=SV_T</f>
        <v/>
      </c>
      <c r="E129" s="60">
        <f>IF(AND(SV_inflOn,A129&gt;=SV_inflS,A129&lt;=SV_inflE),1+SV_inflRate,1+inflationRate)</f>
        <v/>
      </c>
      <c r="F129" s="60">
        <f>IF(A129&lt;=1,1,F128*E129)</f>
        <v/>
      </c>
      <c r="G129" s="60">
        <f>IF(AND(SV_incOn,A129&gt;=SV_incS,A129&lt;=SV_incE),1+SV_incImp,1)</f>
        <v/>
      </c>
      <c r="H129" s="29">
        <f>IF(OR(OR(A129&lt;1,A129&gt;SV_T),A129-1&gt;=SV_salCut),0,SV_sal0*(1+incomeGrowthRate)^(A129-1)*G129)</f>
        <v/>
      </c>
      <c r="I129" s="29">
        <f>IF(OR(A129&lt;1,A129&gt;SV_T),0,(-SV_exp0*F129-IF(A129&lt;=SV_loanYears,SV_inst,0)-IF(AND(SV_wdAmt&gt;0,A129=SV_wdYear),SV_wdAmt,0))*IF(AND(SV_expOn,A129&gt;=SV_expS,A129&lt;=SV_expE),1+SV_expImp,1))</f>
        <v/>
      </c>
      <c r="J129" s="29">
        <f>IF(OR(OR(A129&lt;1,A129&gt;SV_T),A129&gt;SV_loanYears),0,-SV_lifePremYr)</f>
        <v/>
      </c>
      <c r="K129" s="29">
        <f>IF(OR(A129&lt;1,A129&gt;SV_T),0,-SV_contrib)</f>
        <v/>
      </c>
      <c r="L129" s="60">
        <f>IF(AND(SV_crashOn,A129=SV_crashYr),SV_crashF,1)</f>
        <v/>
      </c>
      <c r="M129" s="60">
        <f>IF(AND(SV_ccyOn,A129=SV_ccyYr),SV_ccyF,1)</f>
        <v/>
      </c>
      <c r="N129" s="29">
        <f>IF(A129&gt;SV_T,0,N128*(1+interestRate)*L129*M129)</f>
        <v/>
      </c>
      <c r="O129" s="29">
        <f>IF(A129&gt;SV_T,0,(O128+SV_contrib)*(1+investmentReturn)*L129*M129)</f>
        <v/>
      </c>
      <c r="P129" s="29">
        <f>IF(A129&gt;SV_T,0,P128*(1+SV_propRate)*L129)</f>
        <v/>
      </c>
      <c r="Q129" s="46">
        <f>MATCH(SV_age+A129-1,SV_cpfLower,1)</f>
        <v/>
      </c>
      <c r="R129" s="29">
        <f>IF(OR(OR(A129&lt;1,A129&gt;SV_T),NOT(SV_cpfOn)),0,MIN(SV_sal0*(1+incomeGrowthRate)^(A129-1)*G129,SV_owCap))</f>
        <v/>
      </c>
      <c r="S129" s="29">
        <f>IF(A129&gt;SV_T,0,S128*(1+SV_oaRate)+IF(A129&gt;=SV_effStop,0,INDEX(SV_cpfOA,Q129)*INDEX(SV_cpfTot,Q129)*R129))</f>
        <v/>
      </c>
      <c r="T129" s="29">
        <f>IF(A129&gt;SV_T,0,T128*(1+SV_saRate)+IF(A129&gt;=SV_effStop,0,INDEX(SV_cpfSA,Q129)*INDEX(SV_cpfTot,Q129)*R129))</f>
        <v/>
      </c>
      <c r="U129" s="29">
        <f>IF(A129&gt;SV_T,0,U128*(1+SV_saRate)+IF(A129&gt;=SV_effStop,0,INDEX(SV_cpfMA,Q129)*INDEX(SV_cpfTot,Q129)*R129))</f>
        <v/>
      </c>
      <c r="V129" s="29">
        <f>IF(OR(OR(A129&lt;1,A129&gt;SV_T),A129&gt;=SV_effNeg),0,-(INDEX(SV_cpfOA,Q129)+INDEX(SV_cpfSA,Q129)+INDEX(SV_cpfMA,Q129))*INDEX(SV_cpfEmp,Q129)*R129)</f>
        <v/>
      </c>
      <c r="W129" s="29">
        <f>IF(A129&gt;=SV_sIdx,0,S129)</f>
        <v/>
      </c>
      <c r="X129" s="29">
        <f>IF(A129&gt;=SV_sIdx,0,T129)</f>
        <v/>
      </c>
      <c r="Y129" s="29">
        <f>IF(A129&gt;=SV_sIdx,MIN(U129,SV_maCap),U129)</f>
        <v/>
      </c>
      <c r="Z129" s="29">
        <f>IF(AND(SV_cpfOn,A129&gt;=SV_pIdx,A129&lt;=SV_T),12*SV_pay,0)</f>
        <v/>
      </c>
      <c r="AA129" s="29">
        <f>IF(A129&gt;SV_T,0,IF(SV_sp&gt;=0,IF(A129&lt;SV_sIdx,0,IF(A129=SV_sIdx,SV_R0,SV_lifeGrowth*AA128)),SV_lifeGrowth*AA128))</f>
        <v/>
      </c>
      <c r="AB129" s="29">
        <f>IF(A129&gt;SV_T,0,IF(AND(SV_sp&gt;=0,A129&lt;SV_sIdx),0,IF(AND(SV_sp&gt;=0,A129=SV_sIdx),SV_L0,SV_lifeGrowth*(AB128-Z129))))</f>
        <v/>
      </c>
      <c r="AC129" s="29">
        <f>W129+X129+AA129+Y129+IF(AA129&lt;0,0,AB129)</f>
        <v/>
      </c>
      <c r="AD129" s="29">
        <f>Z129+V129</f>
        <v/>
      </c>
      <c r="AE129" s="29">
        <f>IF(OR(A129&gt;SV_T,A129&gt;=SV_loanYears),0,MAX(0,AE128*(1+loanRate)-SV_inst))</f>
        <v/>
      </c>
      <c r="AF129" s="29">
        <f>IF(A129&gt;SV_T,0,AF128*(1+SV_savRate)+H129+I129+J129+K129+AD129)</f>
        <v/>
      </c>
      <c r="AG129" s="29">
        <f>IF(A129&gt;SV_T,0,MAX(0,N129+O129+P129+AC129+AF129-AE129))</f>
        <v/>
      </c>
      <c r="AH129" s="29">
        <f>IF(A129&gt;SV_T,0,N129+O129+AF129-MAX(0,AE129-(P129+AC129)))</f>
        <v/>
      </c>
      <c r="AI129" s="29">
        <f>IF(OR(OR(A129&lt;1,A129&gt;SV_T),A129-1&gt;=SV_retPay),0,SV_retMth*12+IF(A129=1,SV_retLump,0))</f>
        <v/>
      </c>
      <c r="AJ129" s="29">
        <f>IF(A129&gt;SV_T,0,(AJ128+AI129)*(1+investmentReturn))</f>
        <v/>
      </c>
      <c r="AK129" s="29">
        <f>IF(OR(OR(A129&lt;1,A129&gt;SV_T),A129-1&gt;=SV_goalPay),0,SV_goalMth*12+IF(A129=1,SV_goalLump,0))</f>
        <v/>
      </c>
      <c r="AL129" s="29">
        <f>IF(A129&gt;SV_T,0,(AL128+AK129)*(1+investmentReturn))</f>
        <v/>
      </c>
      <c r="AM129" s="29">
        <f>IF(OR(OR(A129&lt;1,A129&gt;SV_T),A129-1&gt;=SV_protPay),0,SV_protPrem)</f>
        <v/>
      </c>
      <c r="AN129" s="29">
        <f>IF(OR(A129=0,A129&gt;=SV_T),0,ROUND(MAX(0,AJ129),2)+ROUND(MAX(0,AL129),2))</f>
        <v/>
      </c>
      <c r="AO129" s="29">
        <f>IF(OR(A129&lt;1,A129&gt;SV_T),0,-(AI129+AK129+AM129)+IF(A129=SV_T,ROUND(MAX(0,AJ129),2)+ROUND(MAX(0,AL129),2),0))</f>
        <v/>
      </c>
      <c r="AP129" s="29">
        <f>IF(A129&gt;SV_T,0,AP128*(1+SV_savRate)+H129+I129+J129+K129+AD129+AO129)</f>
        <v/>
      </c>
      <c r="AQ129" s="29">
        <f>IF(A129&gt;SV_T,0,MAX(0,N129+O129+P129+AC129+AP129+AN129-AE129))</f>
        <v/>
      </c>
      <c r="AR129" s="29">
        <f>IF(A129&gt;SV_T,0,N129+O129+AP129+AN129-MAX(0,AE129-(P129+AC129)))</f>
        <v/>
      </c>
    </row>
    <row r="130">
      <c r="A130" s="61" t="n">
        <v>7</v>
      </c>
      <c r="B130" s="61">
        <f>SV_age+A130</f>
        <v/>
      </c>
      <c r="C130" s="61">
        <f>currentYear+A130</f>
        <v/>
      </c>
      <c r="D130" s="52">
        <f>A130&lt;=SV_T</f>
        <v/>
      </c>
      <c r="E130" s="60">
        <f>IF(AND(SV_inflOn,A130&gt;=SV_inflS,A130&lt;=SV_inflE),1+SV_inflRate,1+inflationRate)</f>
        <v/>
      </c>
      <c r="F130" s="60">
        <f>IF(A130&lt;=1,1,F129*E130)</f>
        <v/>
      </c>
      <c r="G130" s="60">
        <f>IF(AND(SV_incOn,A130&gt;=SV_incS,A130&lt;=SV_incE),1+SV_incImp,1)</f>
        <v/>
      </c>
      <c r="H130" s="29">
        <f>IF(OR(OR(A130&lt;1,A130&gt;SV_T),A130-1&gt;=SV_salCut),0,SV_sal0*(1+incomeGrowthRate)^(A130-1)*G130)</f>
        <v/>
      </c>
      <c r="I130" s="29">
        <f>IF(OR(A130&lt;1,A130&gt;SV_T),0,(-SV_exp0*F130-IF(A130&lt;=SV_loanYears,SV_inst,0)-IF(AND(SV_wdAmt&gt;0,A130=SV_wdYear),SV_wdAmt,0))*IF(AND(SV_expOn,A130&gt;=SV_expS,A130&lt;=SV_expE),1+SV_expImp,1))</f>
        <v/>
      </c>
      <c r="J130" s="29">
        <f>IF(OR(OR(A130&lt;1,A130&gt;SV_T),A130&gt;SV_loanYears),0,-SV_lifePremYr)</f>
        <v/>
      </c>
      <c r="K130" s="29">
        <f>IF(OR(A130&lt;1,A130&gt;SV_T),0,-SV_contrib)</f>
        <v/>
      </c>
      <c r="L130" s="60">
        <f>IF(AND(SV_crashOn,A130=SV_crashYr),SV_crashF,1)</f>
        <v/>
      </c>
      <c r="M130" s="60">
        <f>IF(AND(SV_ccyOn,A130=SV_ccyYr),SV_ccyF,1)</f>
        <v/>
      </c>
      <c r="N130" s="29">
        <f>IF(A130&gt;SV_T,0,N129*(1+interestRate)*L130*M130)</f>
        <v/>
      </c>
      <c r="O130" s="29">
        <f>IF(A130&gt;SV_T,0,(O129+SV_contrib)*(1+investmentReturn)*L130*M130)</f>
        <v/>
      </c>
      <c r="P130" s="29">
        <f>IF(A130&gt;SV_T,0,P129*(1+SV_propRate)*L130)</f>
        <v/>
      </c>
      <c r="Q130" s="46">
        <f>MATCH(SV_age+A130-1,SV_cpfLower,1)</f>
        <v/>
      </c>
      <c r="R130" s="29">
        <f>IF(OR(OR(A130&lt;1,A130&gt;SV_T),NOT(SV_cpfOn)),0,MIN(SV_sal0*(1+incomeGrowthRate)^(A130-1)*G130,SV_owCap))</f>
        <v/>
      </c>
      <c r="S130" s="29">
        <f>IF(A130&gt;SV_T,0,S129*(1+SV_oaRate)+IF(A130&gt;=SV_effStop,0,INDEX(SV_cpfOA,Q130)*INDEX(SV_cpfTot,Q130)*R130))</f>
        <v/>
      </c>
      <c r="T130" s="29">
        <f>IF(A130&gt;SV_T,0,T129*(1+SV_saRate)+IF(A130&gt;=SV_effStop,0,INDEX(SV_cpfSA,Q130)*INDEX(SV_cpfTot,Q130)*R130))</f>
        <v/>
      </c>
      <c r="U130" s="29">
        <f>IF(A130&gt;SV_T,0,U129*(1+SV_saRate)+IF(A130&gt;=SV_effStop,0,INDEX(SV_cpfMA,Q130)*INDEX(SV_cpfTot,Q130)*R130))</f>
        <v/>
      </c>
      <c r="V130" s="29">
        <f>IF(OR(OR(A130&lt;1,A130&gt;SV_T),A130&gt;=SV_effNeg),0,-(INDEX(SV_cpfOA,Q130)+INDEX(SV_cpfSA,Q130)+INDEX(SV_cpfMA,Q130))*INDEX(SV_cpfEmp,Q130)*R130)</f>
        <v/>
      </c>
      <c r="W130" s="29">
        <f>IF(A130&gt;=SV_sIdx,0,S130)</f>
        <v/>
      </c>
      <c r="X130" s="29">
        <f>IF(A130&gt;=SV_sIdx,0,T130)</f>
        <v/>
      </c>
      <c r="Y130" s="29">
        <f>IF(A130&gt;=SV_sIdx,MIN(U130,SV_maCap),U130)</f>
        <v/>
      </c>
      <c r="Z130" s="29">
        <f>IF(AND(SV_cpfOn,A130&gt;=SV_pIdx,A130&lt;=SV_T),12*SV_pay,0)</f>
        <v/>
      </c>
      <c r="AA130" s="29">
        <f>IF(A130&gt;SV_T,0,IF(SV_sp&gt;=0,IF(A130&lt;SV_sIdx,0,IF(A130=SV_sIdx,SV_R0,SV_lifeGrowth*AA129)),SV_lifeGrowth*AA129))</f>
        <v/>
      </c>
      <c r="AB130" s="29">
        <f>IF(A130&gt;SV_T,0,IF(AND(SV_sp&gt;=0,A130&lt;SV_sIdx),0,IF(AND(SV_sp&gt;=0,A130=SV_sIdx),SV_L0,SV_lifeGrowth*(AB129-Z130))))</f>
        <v/>
      </c>
      <c r="AC130" s="29">
        <f>W130+X130+AA130+Y130+IF(AA130&lt;0,0,AB130)</f>
        <v/>
      </c>
      <c r="AD130" s="29">
        <f>Z130+V130</f>
        <v/>
      </c>
      <c r="AE130" s="29">
        <f>IF(OR(A130&gt;SV_T,A130&gt;=SV_loanYears),0,MAX(0,AE129*(1+loanRate)-SV_inst))</f>
        <v/>
      </c>
      <c r="AF130" s="29">
        <f>IF(A130&gt;SV_T,0,AF129*(1+SV_savRate)+H130+I130+J130+K130+AD130)</f>
        <v/>
      </c>
      <c r="AG130" s="29">
        <f>IF(A130&gt;SV_T,0,MAX(0,N130+O130+P130+AC130+AF130-AE130))</f>
        <v/>
      </c>
      <c r="AH130" s="29">
        <f>IF(A130&gt;SV_T,0,N130+O130+AF130-MAX(0,AE130-(P130+AC130)))</f>
        <v/>
      </c>
      <c r="AI130" s="29">
        <f>IF(OR(OR(A130&lt;1,A130&gt;SV_T),A130-1&gt;=SV_retPay),0,SV_retMth*12+IF(A130=1,SV_retLump,0))</f>
        <v/>
      </c>
      <c r="AJ130" s="29">
        <f>IF(A130&gt;SV_T,0,(AJ129+AI130)*(1+investmentReturn))</f>
        <v/>
      </c>
      <c r="AK130" s="29">
        <f>IF(OR(OR(A130&lt;1,A130&gt;SV_T),A130-1&gt;=SV_goalPay),0,SV_goalMth*12+IF(A130=1,SV_goalLump,0))</f>
        <v/>
      </c>
      <c r="AL130" s="29">
        <f>IF(A130&gt;SV_T,0,(AL129+AK130)*(1+investmentReturn))</f>
        <v/>
      </c>
      <c r="AM130" s="29">
        <f>IF(OR(OR(A130&lt;1,A130&gt;SV_T),A130-1&gt;=SV_protPay),0,SV_protPrem)</f>
        <v/>
      </c>
      <c r="AN130" s="29">
        <f>IF(OR(A130=0,A130&gt;=SV_T),0,ROUND(MAX(0,AJ130),2)+ROUND(MAX(0,AL130),2))</f>
        <v/>
      </c>
      <c r="AO130" s="29">
        <f>IF(OR(A130&lt;1,A130&gt;SV_T),0,-(AI130+AK130+AM130)+IF(A130=SV_T,ROUND(MAX(0,AJ130),2)+ROUND(MAX(0,AL130),2),0))</f>
        <v/>
      </c>
      <c r="AP130" s="29">
        <f>IF(A130&gt;SV_T,0,AP129*(1+SV_savRate)+H130+I130+J130+K130+AD130+AO130)</f>
        <v/>
      </c>
      <c r="AQ130" s="29">
        <f>IF(A130&gt;SV_T,0,MAX(0,N130+O130+P130+AC130+AP130+AN130-AE130))</f>
        <v/>
      </c>
      <c r="AR130" s="29">
        <f>IF(A130&gt;SV_T,0,N130+O130+AP130+AN130-MAX(0,AE130-(P130+AC130)))</f>
        <v/>
      </c>
    </row>
    <row r="131">
      <c r="A131" s="61" t="n">
        <v>8</v>
      </c>
      <c r="B131" s="61">
        <f>SV_age+A131</f>
        <v/>
      </c>
      <c r="C131" s="61">
        <f>currentYear+A131</f>
        <v/>
      </c>
      <c r="D131" s="52">
        <f>A131&lt;=SV_T</f>
        <v/>
      </c>
      <c r="E131" s="60">
        <f>IF(AND(SV_inflOn,A131&gt;=SV_inflS,A131&lt;=SV_inflE),1+SV_inflRate,1+inflationRate)</f>
        <v/>
      </c>
      <c r="F131" s="60">
        <f>IF(A131&lt;=1,1,F130*E131)</f>
        <v/>
      </c>
      <c r="G131" s="60">
        <f>IF(AND(SV_incOn,A131&gt;=SV_incS,A131&lt;=SV_incE),1+SV_incImp,1)</f>
        <v/>
      </c>
      <c r="H131" s="29">
        <f>IF(OR(OR(A131&lt;1,A131&gt;SV_T),A131-1&gt;=SV_salCut),0,SV_sal0*(1+incomeGrowthRate)^(A131-1)*G131)</f>
        <v/>
      </c>
      <c r="I131" s="29">
        <f>IF(OR(A131&lt;1,A131&gt;SV_T),0,(-SV_exp0*F131-IF(A131&lt;=SV_loanYears,SV_inst,0)-IF(AND(SV_wdAmt&gt;0,A131=SV_wdYear),SV_wdAmt,0))*IF(AND(SV_expOn,A131&gt;=SV_expS,A131&lt;=SV_expE),1+SV_expImp,1))</f>
        <v/>
      </c>
      <c r="J131" s="29">
        <f>IF(OR(OR(A131&lt;1,A131&gt;SV_T),A131&gt;SV_loanYears),0,-SV_lifePremYr)</f>
        <v/>
      </c>
      <c r="K131" s="29">
        <f>IF(OR(A131&lt;1,A131&gt;SV_T),0,-SV_contrib)</f>
        <v/>
      </c>
      <c r="L131" s="60">
        <f>IF(AND(SV_crashOn,A131=SV_crashYr),SV_crashF,1)</f>
        <v/>
      </c>
      <c r="M131" s="60">
        <f>IF(AND(SV_ccyOn,A131=SV_ccyYr),SV_ccyF,1)</f>
        <v/>
      </c>
      <c r="N131" s="29">
        <f>IF(A131&gt;SV_T,0,N130*(1+interestRate)*L131*M131)</f>
        <v/>
      </c>
      <c r="O131" s="29">
        <f>IF(A131&gt;SV_T,0,(O130+SV_contrib)*(1+investmentReturn)*L131*M131)</f>
        <v/>
      </c>
      <c r="P131" s="29">
        <f>IF(A131&gt;SV_T,0,P130*(1+SV_propRate)*L131)</f>
        <v/>
      </c>
      <c r="Q131" s="46">
        <f>MATCH(SV_age+A131-1,SV_cpfLower,1)</f>
        <v/>
      </c>
      <c r="R131" s="29">
        <f>IF(OR(OR(A131&lt;1,A131&gt;SV_T),NOT(SV_cpfOn)),0,MIN(SV_sal0*(1+incomeGrowthRate)^(A131-1)*G131,SV_owCap))</f>
        <v/>
      </c>
      <c r="S131" s="29">
        <f>IF(A131&gt;SV_T,0,S130*(1+SV_oaRate)+IF(A131&gt;=SV_effStop,0,INDEX(SV_cpfOA,Q131)*INDEX(SV_cpfTot,Q131)*R131))</f>
        <v/>
      </c>
      <c r="T131" s="29">
        <f>IF(A131&gt;SV_T,0,T130*(1+SV_saRate)+IF(A131&gt;=SV_effStop,0,INDEX(SV_cpfSA,Q131)*INDEX(SV_cpfTot,Q131)*R131))</f>
        <v/>
      </c>
      <c r="U131" s="29">
        <f>IF(A131&gt;SV_T,0,U130*(1+SV_saRate)+IF(A131&gt;=SV_effStop,0,INDEX(SV_cpfMA,Q131)*INDEX(SV_cpfTot,Q131)*R131))</f>
        <v/>
      </c>
      <c r="V131" s="29">
        <f>IF(OR(OR(A131&lt;1,A131&gt;SV_T),A131&gt;=SV_effNeg),0,-(INDEX(SV_cpfOA,Q131)+INDEX(SV_cpfSA,Q131)+INDEX(SV_cpfMA,Q131))*INDEX(SV_cpfEmp,Q131)*R131)</f>
        <v/>
      </c>
      <c r="W131" s="29">
        <f>IF(A131&gt;=SV_sIdx,0,S131)</f>
        <v/>
      </c>
      <c r="X131" s="29">
        <f>IF(A131&gt;=SV_sIdx,0,T131)</f>
        <v/>
      </c>
      <c r="Y131" s="29">
        <f>IF(A131&gt;=SV_sIdx,MIN(U131,SV_maCap),U131)</f>
        <v/>
      </c>
      <c r="Z131" s="29">
        <f>IF(AND(SV_cpfOn,A131&gt;=SV_pIdx,A131&lt;=SV_T),12*SV_pay,0)</f>
        <v/>
      </c>
      <c r="AA131" s="29">
        <f>IF(A131&gt;SV_T,0,IF(SV_sp&gt;=0,IF(A131&lt;SV_sIdx,0,IF(A131=SV_sIdx,SV_R0,SV_lifeGrowth*AA130)),SV_lifeGrowth*AA130))</f>
        <v/>
      </c>
      <c r="AB131" s="29">
        <f>IF(A131&gt;SV_T,0,IF(AND(SV_sp&gt;=0,A131&lt;SV_sIdx),0,IF(AND(SV_sp&gt;=0,A131=SV_sIdx),SV_L0,SV_lifeGrowth*(AB130-Z131))))</f>
        <v/>
      </c>
      <c r="AC131" s="29">
        <f>W131+X131+AA131+Y131+IF(AA131&lt;0,0,AB131)</f>
        <v/>
      </c>
      <c r="AD131" s="29">
        <f>Z131+V131</f>
        <v/>
      </c>
      <c r="AE131" s="29">
        <f>IF(OR(A131&gt;SV_T,A131&gt;=SV_loanYears),0,MAX(0,AE130*(1+loanRate)-SV_inst))</f>
        <v/>
      </c>
      <c r="AF131" s="29">
        <f>IF(A131&gt;SV_T,0,AF130*(1+SV_savRate)+H131+I131+J131+K131+AD131)</f>
        <v/>
      </c>
      <c r="AG131" s="29">
        <f>IF(A131&gt;SV_T,0,MAX(0,N131+O131+P131+AC131+AF131-AE131))</f>
        <v/>
      </c>
      <c r="AH131" s="29">
        <f>IF(A131&gt;SV_T,0,N131+O131+AF131-MAX(0,AE131-(P131+AC131)))</f>
        <v/>
      </c>
      <c r="AI131" s="29">
        <f>IF(OR(OR(A131&lt;1,A131&gt;SV_T),A131-1&gt;=SV_retPay),0,SV_retMth*12+IF(A131=1,SV_retLump,0))</f>
        <v/>
      </c>
      <c r="AJ131" s="29">
        <f>IF(A131&gt;SV_T,0,(AJ130+AI131)*(1+investmentReturn))</f>
        <v/>
      </c>
      <c r="AK131" s="29">
        <f>IF(OR(OR(A131&lt;1,A131&gt;SV_T),A131-1&gt;=SV_goalPay),0,SV_goalMth*12+IF(A131=1,SV_goalLump,0))</f>
        <v/>
      </c>
      <c r="AL131" s="29">
        <f>IF(A131&gt;SV_T,0,(AL130+AK131)*(1+investmentReturn))</f>
        <v/>
      </c>
      <c r="AM131" s="29">
        <f>IF(OR(OR(A131&lt;1,A131&gt;SV_T),A131-1&gt;=SV_protPay),0,SV_protPrem)</f>
        <v/>
      </c>
      <c r="AN131" s="29">
        <f>IF(OR(A131=0,A131&gt;=SV_T),0,ROUND(MAX(0,AJ131),2)+ROUND(MAX(0,AL131),2))</f>
        <v/>
      </c>
      <c r="AO131" s="29">
        <f>IF(OR(A131&lt;1,A131&gt;SV_T),0,-(AI131+AK131+AM131)+IF(A131=SV_T,ROUND(MAX(0,AJ131),2)+ROUND(MAX(0,AL131),2),0))</f>
        <v/>
      </c>
      <c r="AP131" s="29">
        <f>IF(A131&gt;SV_T,0,AP130*(1+SV_savRate)+H131+I131+J131+K131+AD131+AO131)</f>
        <v/>
      </c>
      <c r="AQ131" s="29">
        <f>IF(A131&gt;SV_T,0,MAX(0,N131+O131+P131+AC131+AP131+AN131-AE131))</f>
        <v/>
      </c>
      <c r="AR131" s="29">
        <f>IF(A131&gt;SV_T,0,N131+O131+AP131+AN131-MAX(0,AE131-(P131+AC131)))</f>
        <v/>
      </c>
    </row>
    <row r="132">
      <c r="A132" s="61" t="n">
        <v>9</v>
      </c>
      <c r="B132" s="61">
        <f>SV_age+A132</f>
        <v/>
      </c>
      <c r="C132" s="61">
        <f>currentYear+A132</f>
        <v/>
      </c>
      <c r="D132" s="52">
        <f>A132&lt;=SV_T</f>
        <v/>
      </c>
      <c r="E132" s="60">
        <f>IF(AND(SV_inflOn,A132&gt;=SV_inflS,A132&lt;=SV_inflE),1+SV_inflRate,1+inflationRate)</f>
        <v/>
      </c>
      <c r="F132" s="60">
        <f>IF(A132&lt;=1,1,F131*E132)</f>
        <v/>
      </c>
      <c r="G132" s="60">
        <f>IF(AND(SV_incOn,A132&gt;=SV_incS,A132&lt;=SV_incE),1+SV_incImp,1)</f>
        <v/>
      </c>
      <c r="H132" s="29">
        <f>IF(OR(OR(A132&lt;1,A132&gt;SV_T),A132-1&gt;=SV_salCut),0,SV_sal0*(1+incomeGrowthRate)^(A132-1)*G132)</f>
        <v/>
      </c>
      <c r="I132" s="29">
        <f>IF(OR(A132&lt;1,A132&gt;SV_T),0,(-SV_exp0*F132-IF(A132&lt;=SV_loanYears,SV_inst,0)-IF(AND(SV_wdAmt&gt;0,A132=SV_wdYear),SV_wdAmt,0))*IF(AND(SV_expOn,A132&gt;=SV_expS,A132&lt;=SV_expE),1+SV_expImp,1))</f>
        <v/>
      </c>
      <c r="J132" s="29">
        <f>IF(OR(OR(A132&lt;1,A132&gt;SV_T),A132&gt;SV_loanYears),0,-SV_lifePremYr)</f>
        <v/>
      </c>
      <c r="K132" s="29">
        <f>IF(OR(A132&lt;1,A132&gt;SV_T),0,-SV_contrib)</f>
        <v/>
      </c>
      <c r="L132" s="60">
        <f>IF(AND(SV_crashOn,A132=SV_crashYr),SV_crashF,1)</f>
        <v/>
      </c>
      <c r="M132" s="60">
        <f>IF(AND(SV_ccyOn,A132=SV_ccyYr),SV_ccyF,1)</f>
        <v/>
      </c>
      <c r="N132" s="29">
        <f>IF(A132&gt;SV_T,0,N131*(1+interestRate)*L132*M132)</f>
        <v/>
      </c>
      <c r="O132" s="29">
        <f>IF(A132&gt;SV_T,0,(O131+SV_contrib)*(1+investmentReturn)*L132*M132)</f>
        <v/>
      </c>
      <c r="P132" s="29">
        <f>IF(A132&gt;SV_T,0,P131*(1+SV_propRate)*L132)</f>
        <v/>
      </c>
      <c r="Q132" s="46">
        <f>MATCH(SV_age+A132-1,SV_cpfLower,1)</f>
        <v/>
      </c>
      <c r="R132" s="29">
        <f>IF(OR(OR(A132&lt;1,A132&gt;SV_T),NOT(SV_cpfOn)),0,MIN(SV_sal0*(1+incomeGrowthRate)^(A132-1)*G132,SV_owCap))</f>
        <v/>
      </c>
      <c r="S132" s="29">
        <f>IF(A132&gt;SV_T,0,S131*(1+SV_oaRate)+IF(A132&gt;=SV_effStop,0,INDEX(SV_cpfOA,Q132)*INDEX(SV_cpfTot,Q132)*R132))</f>
        <v/>
      </c>
      <c r="T132" s="29">
        <f>IF(A132&gt;SV_T,0,T131*(1+SV_saRate)+IF(A132&gt;=SV_effStop,0,INDEX(SV_cpfSA,Q132)*INDEX(SV_cpfTot,Q132)*R132))</f>
        <v/>
      </c>
      <c r="U132" s="29">
        <f>IF(A132&gt;SV_T,0,U131*(1+SV_saRate)+IF(A132&gt;=SV_effStop,0,INDEX(SV_cpfMA,Q132)*INDEX(SV_cpfTot,Q132)*R132))</f>
        <v/>
      </c>
      <c r="V132" s="29">
        <f>IF(OR(OR(A132&lt;1,A132&gt;SV_T),A132&gt;=SV_effNeg),0,-(INDEX(SV_cpfOA,Q132)+INDEX(SV_cpfSA,Q132)+INDEX(SV_cpfMA,Q132))*INDEX(SV_cpfEmp,Q132)*R132)</f>
        <v/>
      </c>
      <c r="W132" s="29">
        <f>IF(A132&gt;=SV_sIdx,0,S132)</f>
        <v/>
      </c>
      <c r="X132" s="29">
        <f>IF(A132&gt;=SV_sIdx,0,T132)</f>
        <v/>
      </c>
      <c r="Y132" s="29">
        <f>IF(A132&gt;=SV_sIdx,MIN(U132,SV_maCap),U132)</f>
        <v/>
      </c>
      <c r="Z132" s="29">
        <f>IF(AND(SV_cpfOn,A132&gt;=SV_pIdx,A132&lt;=SV_T),12*SV_pay,0)</f>
        <v/>
      </c>
      <c r="AA132" s="29">
        <f>IF(A132&gt;SV_T,0,IF(SV_sp&gt;=0,IF(A132&lt;SV_sIdx,0,IF(A132=SV_sIdx,SV_R0,SV_lifeGrowth*AA131)),SV_lifeGrowth*AA131))</f>
        <v/>
      </c>
      <c r="AB132" s="29">
        <f>IF(A132&gt;SV_T,0,IF(AND(SV_sp&gt;=0,A132&lt;SV_sIdx),0,IF(AND(SV_sp&gt;=0,A132=SV_sIdx),SV_L0,SV_lifeGrowth*(AB131-Z132))))</f>
        <v/>
      </c>
      <c r="AC132" s="29">
        <f>W132+X132+AA132+Y132+IF(AA132&lt;0,0,AB132)</f>
        <v/>
      </c>
      <c r="AD132" s="29">
        <f>Z132+V132</f>
        <v/>
      </c>
      <c r="AE132" s="29">
        <f>IF(OR(A132&gt;SV_T,A132&gt;=SV_loanYears),0,MAX(0,AE131*(1+loanRate)-SV_inst))</f>
        <v/>
      </c>
      <c r="AF132" s="29">
        <f>IF(A132&gt;SV_T,0,AF131*(1+SV_savRate)+H132+I132+J132+K132+AD132)</f>
        <v/>
      </c>
      <c r="AG132" s="29">
        <f>IF(A132&gt;SV_T,0,MAX(0,N132+O132+P132+AC132+AF132-AE132))</f>
        <v/>
      </c>
      <c r="AH132" s="29">
        <f>IF(A132&gt;SV_T,0,N132+O132+AF132-MAX(0,AE132-(P132+AC132)))</f>
        <v/>
      </c>
      <c r="AI132" s="29">
        <f>IF(OR(OR(A132&lt;1,A132&gt;SV_T),A132-1&gt;=SV_retPay),0,SV_retMth*12+IF(A132=1,SV_retLump,0))</f>
        <v/>
      </c>
      <c r="AJ132" s="29">
        <f>IF(A132&gt;SV_T,0,(AJ131+AI132)*(1+investmentReturn))</f>
        <v/>
      </c>
      <c r="AK132" s="29">
        <f>IF(OR(OR(A132&lt;1,A132&gt;SV_T),A132-1&gt;=SV_goalPay),0,SV_goalMth*12+IF(A132=1,SV_goalLump,0))</f>
        <v/>
      </c>
      <c r="AL132" s="29">
        <f>IF(A132&gt;SV_T,0,(AL131+AK132)*(1+investmentReturn))</f>
        <v/>
      </c>
      <c r="AM132" s="29">
        <f>IF(OR(OR(A132&lt;1,A132&gt;SV_T),A132-1&gt;=SV_protPay),0,SV_protPrem)</f>
        <v/>
      </c>
      <c r="AN132" s="29">
        <f>IF(OR(A132=0,A132&gt;=SV_T),0,ROUND(MAX(0,AJ132),2)+ROUND(MAX(0,AL132),2))</f>
        <v/>
      </c>
      <c r="AO132" s="29">
        <f>IF(OR(A132&lt;1,A132&gt;SV_T),0,-(AI132+AK132+AM132)+IF(A132=SV_T,ROUND(MAX(0,AJ132),2)+ROUND(MAX(0,AL132),2),0))</f>
        <v/>
      </c>
      <c r="AP132" s="29">
        <f>IF(A132&gt;SV_T,0,AP131*(1+SV_savRate)+H132+I132+J132+K132+AD132+AO132)</f>
        <v/>
      </c>
      <c r="AQ132" s="29">
        <f>IF(A132&gt;SV_T,0,MAX(0,N132+O132+P132+AC132+AP132+AN132-AE132))</f>
        <v/>
      </c>
      <c r="AR132" s="29">
        <f>IF(A132&gt;SV_T,0,N132+O132+AP132+AN132-MAX(0,AE132-(P132+AC132)))</f>
        <v/>
      </c>
    </row>
    <row r="133">
      <c r="A133" s="61" t="n">
        <v>10</v>
      </c>
      <c r="B133" s="61">
        <f>SV_age+A133</f>
        <v/>
      </c>
      <c r="C133" s="61">
        <f>currentYear+A133</f>
        <v/>
      </c>
      <c r="D133" s="52">
        <f>A133&lt;=SV_T</f>
        <v/>
      </c>
      <c r="E133" s="60">
        <f>IF(AND(SV_inflOn,A133&gt;=SV_inflS,A133&lt;=SV_inflE),1+SV_inflRate,1+inflationRate)</f>
        <v/>
      </c>
      <c r="F133" s="60">
        <f>IF(A133&lt;=1,1,F132*E133)</f>
        <v/>
      </c>
      <c r="G133" s="60">
        <f>IF(AND(SV_incOn,A133&gt;=SV_incS,A133&lt;=SV_incE),1+SV_incImp,1)</f>
        <v/>
      </c>
      <c r="H133" s="29">
        <f>IF(OR(OR(A133&lt;1,A133&gt;SV_T),A133-1&gt;=SV_salCut),0,SV_sal0*(1+incomeGrowthRate)^(A133-1)*G133)</f>
        <v/>
      </c>
      <c r="I133" s="29">
        <f>IF(OR(A133&lt;1,A133&gt;SV_T),0,(-SV_exp0*F133-IF(A133&lt;=SV_loanYears,SV_inst,0)-IF(AND(SV_wdAmt&gt;0,A133=SV_wdYear),SV_wdAmt,0))*IF(AND(SV_expOn,A133&gt;=SV_expS,A133&lt;=SV_expE),1+SV_expImp,1))</f>
        <v/>
      </c>
      <c r="J133" s="29">
        <f>IF(OR(OR(A133&lt;1,A133&gt;SV_T),A133&gt;SV_loanYears),0,-SV_lifePremYr)</f>
        <v/>
      </c>
      <c r="K133" s="29">
        <f>IF(OR(A133&lt;1,A133&gt;SV_T),0,-SV_contrib)</f>
        <v/>
      </c>
      <c r="L133" s="60">
        <f>IF(AND(SV_crashOn,A133=SV_crashYr),SV_crashF,1)</f>
        <v/>
      </c>
      <c r="M133" s="60">
        <f>IF(AND(SV_ccyOn,A133=SV_ccyYr),SV_ccyF,1)</f>
        <v/>
      </c>
      <c r="N133" s="29">
        <f>IF(A133&gt;SV_T,0,N132*(1+interestRate)*L133*M133)</f>
        <v/>
      </c>
      <c r="O133" s="29">
        <f>IF(A133&gt;SV_T,0,(O132+SV_contrib)*(1+investmentReturn)*L133*M133)</f>
        <v/>
      </c>
      <c r="P133" s="29">
        <f>IF(A133&gt;SV_T,0,P132*(1+SV_propRate)*L133)</f>
        <v/>
      </c>
      <c r="Q133" s="46">
        <f>MATCH(SV_age+A133-1,SV_cpfLower,1)</f>
        <v/>
      </c>
      <c r="R133" s="29">
        <f>IF(OR(OR(A133&lt;1,A133&gt;SV_T),NOT(SV_cpfOn)),0,MIN(SV_sal0*(1+incomeGrowthRate)^(A133-1)*G133,SV_owCap))</f>
        <v/>
      </c>
      <c r="S133" s="29">
        <f>IF(A133&gt;SV_T,0,S132*(1+SV_oaRate)+IF(A133&gt;=SV_effStop,0,INDEX(SV_cpfOA,Q133)*INDEX(SV_cpfTot,Q133)*R133))</f>
        <v/>
      </c>
      <c r="T133" s="29">
        <f>IF(A133&gt;SV_T,0,T132*(1+SV_saRate)+IF(A133&gt;=SV_effStop,0,INDEX(SV_cpfSA,Q133)*INDEX(SV_cpfTot,Q133)*R133))</f>
        <v/>
      </c>
      <c r="U133" s="29">
        <f>IF(A133&gt;SV_T,0,U132*(1+SV_saRate)+IF(A133&gt;=SV_effStop,0,INDEX(SV_cpfMA,Q133)*INDEX(SV_cpfTot,Q133)*R133))</f>
        <v/>
      </c>
      <c r="V133" s="29">
        <f>IF(OR(OR(A133&lt;1,A133&gt;SV_T),A133&gt;=SV_effNeg),0,-(INDEX(SV_cpfOA,Q133)+INDEX(SV_cpfSA,Q133)+INDEX(SV_cpfMA,Q133))*INDEX(SV_cpfEmp,Q133)*R133)</f>
        <v/>
      </c>
      <c r="W133" s="29">
        <f>IF(A133&gt;=SV_sIdx,0,S133)</f>
        <v/>
      </c>
      <c r="X133" s="29">
        <f>IF(A133&gt;=SV_sIdx,0,T133)</f>
        <v/>
      </c>
      <c r="Y133" s="29">
        <f>IF(A133&gt;=SV_sIdx,MIN(U133,SV_maCap),U133)</f>
        <v/>
      </c>
      <c r="Z133" s="29">
        <f>IF(AND(SV_cpfOn,A133&gt;=SV_pIdx,A133&lt;=SV_T),12*SV_pay,0)</f>
        <v/>
      </c>
      <c r="AA133" s="29">
        <f>IF(A133&gt;SV_T,0,IF(SV_sp&gt;=0,IF(A133&lt;SV_sIdx,0,IF(A133=SV_sIdx,SV_R0,SV_lifeGrowth*AA132)),SV_lifeGrowth*AA132))</f>
        <v/>
      </c>
      <c r="AB133" s="29">
        <f>IF(A133&gt;SV_T,0,IF(AND(SV_sp&gt;=0,A133&lt;SV_sIdx),0,IF(AND(SV_sp&gt;=0,A133=SV_sIdx),SV_L0,SV_lifeGrowth*(AB132-Z133))))</f>
        <v/>
      </c>
      <c r="AC133" s="29">
        <f>W133+X133+AA133+Y133+IF(AA133&lt;0,0,AB133)</f>
        <v/>
      </c>
      <c r="AD133" s="29">
        <f>Z133+V133</f>
        <v/>
      </c>
      <c r="AE133" s="29">
        <f>IF(OR(A133&gt;SV_T,A133&gt;=SV_loanYears),0,MAX(0,AE132*(1+loanRate)-SV_inst))</f>
        <v/>
      </c>
      <c r="AF133" s="29">
        <f>IF(A133&gt;SV_T,0,AF132*(1+SV_savRate)+H133+I133+J133+K133+AD133)</f>
        <v/>
      </c>
      <c r="AG133" s="29">
        <f>IF(A133&gt;SV_T,0,MAX(0,N133+O133+P133+AC133+AF133-AE133))</f>
        <v/>
      </c>
      <c r="AH133" s="29">
        <f>IF(A133&gt;SV_T,0,N133+O133+AF133-MAX(0,AE133-(P133+AC133)))</f>
        <v/>
      </c>
      <c r="AI133" s="29">
        <f>IF(OR(OR(A133&lt;1,A133&gt;SV_T),A133-1&gt;=SV_retPay),0,SV_retMth*12+IF(A133=1,SV_retLump,0))</f>
        <v/>
      </c>
      <c r="AJ133" s="29">
        <f>IF(A133&gt;SV_T,0,(AJ132+AI133)*(1+investmentReturn))</f>
        <v/>
      </c>
      <c r="AK133" s="29">
        <f>IF(OR(OR(A133&lt;1,A133&gt;SV_T),A133-1&gt;=SV_goalPay),0,SV_goalMth*12+IF(A133=1,SV_goalLump,0))</f>
        <v/>
      </c>
      <c r="AL133" s="29">
        <f>IF(A133&gt;SV_T,0,(AL132+AK133)*(1+investmentReturn))</f>
        <v/>
      </c>
      <c r="AM133" s="29">
        <f>IF(OR(OR(A133&lt;1,A133&gt;SV_T),A133-1&gt;=SV_protPay),0,SV_protPrem)</f>
        <v/>
      </c>
      <c r="AN133" s="29">
        <f>IF(OR(A133=0,A133&gt;=SV_T),0,ROUND(MAX(0,AJ133),2)+ROUND(MAX(0,AL133),2))</f>
        <v/>
      </c>
      <c r="AO133" s="29">
        <f>IF(OR(A133&lt;1,A133&gt;SV_T),0,-(AI133+AK133+AM133)+IF(A133=SV_T,ROUND(MAX(0,AJ133),2)+ROUND(MAX(0,AL133),2),0))</f>
        <v/>
      </c>
      <c r="AP133" s="29">
        <f>IF(A133&gt;SV_T,0,AP132*(1+SV_savRate)+H133+I133+J133+K133+AD133+AO133)</f>
        <v/>
      </c>
      <c r="AQ133" s="29">
        <f>IF(A133&gt;SV_T,0,MAX(0,N133+O133+P133+AC133+AP133+AN133-AE133))</f>
        <v/>
      </c>
      <c r="AR133" s="29">
        <f>IF(A133&gt;SV_T,0,N133+O133+AP133+AN133-MAX(0,AE133-(P133+AC133)))</f>
        <v/>
      </c>
    </row>
    <row r="134">
      <c r="A134" s="61" t="n">
        <v>11</v>
      </c>
      <c r="B134" s="61">
        <f>SV_age+A134</f>
        <v/>
      </c>
      <c r="C134" s="61">
        <f>currentYear+A134</f>
        <v/>
      </c>
      <c r="D134" s="52">
        <f>A134&lt;=SV_T</f>
        <v/>
      </c>
      <c r="E134" s="60">
        <f>IF(AND(SV_inflOn,A134&gt;=SV_inflS,A134&lt;=SV_inflE),1+SV_inflRate,1+inflationRate)</f>
        <v/>
      </c>
      <c r="F134" s="60">
        <f>IF(A134&lt;=1,1,F133*E134)</f>
        <v/>
      </c>
      <c r="G134" s="60">
        <f>IF(AND(SV_incOn,A134&gt;=SV_incS,A134&lt;=SV_incE),1+SV_incImp,1)</f>
        <v/>
      </c>
      <c r="H134" s="29">
        <f>IF(OR(OR(A134&lt;1,A134&gt;SV_T),A134-1&gt;=SV_salCut),0,SV_sal0*(1+incomeGrowthRate)^(A134-1)*G134)</f>
        <v/>
      </c>
      <c r="I134" s="29">
        <f>IF(OR(A134&lt;1,A134&gt;SV_T),0,(-SV_exp0*F134-IF(A134&lt;=SV_loanYears,SV_inst,0)-IF(AND(SV_wdAmt&gt;0,A134=SV_wdYear),SV_wdAmt,0))*IF(AND(SV_expOn,A134&gt;=SV_expS,A134&lt;=SV_expE),1+SV_expImp,1))</f>
        <v/>
      </c>
      <c r="J134" s="29">
        <f>IF(OR(OR(A134&lt;1,A134&gt;SV_T),A134&gt;SV_loanYears),0,-SV_lifePremYr)</f>
        <v/>
      </c>
      <c r="K134" s="29">
        <f>IF(OR(A134&lt;1,A134&gt;SV_T),0,-SV_contrib)</f>
        <v/>
      </c>
      <c r="L134" s="60">
        <f>IF(AND(SV_crashOn,A134=SV_crashYr),SV_crashF,1)</f>
        <v/>
      </c>
      <c r="M134" s="60">
        <f>IF(AND(SV_ccyOn,A134=SV_ccyYr),SV_ccyF,1)</f>
        <v/>
      </c>
      <c r="N134" s="29">
        <f>IF(A134&gt;SV_T,0,N133*(1+interestRate)*L134*M134)</f>
        <v/>
      </c>
      <c r="O134" s="29">
        <f>IF(A134&gt;SV_T,0,(O133+SV_contrib)*(1+investmentReturn)*L134*M134)</f>
        <v/>
      </c>
      <c r="P134" s="29">
        <f>IF(A134&gt;SV_T,0,P133*(1+SV_propRate)*L134)</f>
        <v/>
      </c>
      <c r="Q134" s="46">
        <f>MATCH(SV_age+A134-1,SV_cpfLower,1)</f>
        <v/>
      </c>
      <c r="R134" s="29">
        <f>IF(OR(OR(A134&lt;1,A134&gt;SV_T),NOT(SV_cpfOn)),0,MIN(SV_sal0*(1+incomeGrowthRate)^(A134-1)*G134,SV_owCap))</f>
        <v/>
      </c>
      <c r="S134" s="29">
        <f>IF(A134&gt;SV_T,0,S133*(1+SV_oaRate)+IF(A134&gt;=SV_effStop,0,INDEX(SV_cpfOA,Q134)*INDEX(SV_cpfTot,Q134)*R134))</f>
        <v/>
      </c>
      <c r="T134" s="29">
        <f>IF(A134&gt;SV_T,0,T133*(1+SV_saRate)+IF(A134&gt;=SV_effStop,0,INDEX(SV_cpfSA,Q134)*INDEX(SV_cpfTot,Q134)*R134))</f>
        <v/>
      </c>
      <c r="U134" s="29">
        <f>IF(A134&gt;SV_T,0,U133*(1+SV_saRate)+IF(A134&gt;=SV_effStop,0,INDEX(SV_cpfMA,Q134)*INDEX(SV_cpfTot,Q134)*R134))</f>
        <v/>
      </c>
      <c r="V134" s="29">
        <f>IF(OR(OR(A134&lt;1,A134&gt;SV_T),A134&gt;=SV_effNeg),0,-(INDEX(SV_cpfOA,Q134)+INDEX(SV_cpfSA,Q134)+INDEX(SV_cpfMA,Q134))*INDEX(SV_cpfEmp,Q134)*R134)</f>
        <v/>
      </c>
      <c r="W134" s="29">
        <f>IF(A134&gt;=SV_sIdx,0,S134)</f>
        <v/>
      </c>
      <c r="X134" s="29">
        <f>IF(A134&gt;=SV_sIdx,0,T134)</f>
        <v/>
      </c>
      <c r="Y134" s="29">
        <f>IF(A134&gt;=SV_sIdx,MIN(U134,SV_maCap),U134)</f>
        <v/>
      </c>
      <c r="Z134" s="29">
        <f>IF(AND(SV_cpfOn,A134&gt;=SV_pIdx,A134&lt;=SV_T),12*SV_pay,0)</f>
        <v/>
      </c>
      <c r="AA134" s="29">
        <f>IF(A134&gt;SV_T,0,IF(SV_sp&gt;=0,IF(A134&lt;SV_sIdx,0,IF(A134=SV_sIdx,SV_R0,SV_lifeGrowth*AA133)),SV_lifeGrowth*AA133))</f>
        <v/>
      </c>
      <c r="AB134" s="29">
        <f>IF(A134&gt;SV_T,0,IF(AND(SV_sp&gt;=0,A134&lt;SV_sIdx),0,IF(AND(SV_sp&gt;=0,A134=SV_sIdx),SV_L0,SV_lifeGrowth*(AB133-Z134))))</f>
        <v/>
      </c>
      <c r="AC134" s="29">
        <f>W134+X134+AA134+Y134+IF(AA134&lt;0,0,AB134)</f>
        <v/>
      </c>
      <c r="AD134" s="29">
        <f>Z134+V134</f>
        <v/>
      </c>
      <c r="AE134" s="29">
        <f>IF(OR(A134&gt;SV_T,A134&gt;=SV_loanYears),0,MAX(0,AE133*(1+loanRate)-SV_inst))</f>
        <v/>
      </c>
      <c r="AF134" s="29">
        <f>IF(A134&gt;SV_T,0,AF133*(1+SV_savRate)+H134+I134+J134+K134+AD134)</f>
        <v/>
      </c>
      <c r="AG134" s="29">
        <f>IF(A134&gt;SV_T,0,MAX(0,N134+O134+P134+AC134+AF134-AE134))</f>
        <v/>
      </c>
      <c r="AH134" s="29">
        <f>IF(A134&gt;SV_T,0,N134+O134+AF134-MAX(0,AE134-(P134+AC134)))</f>
        <v/>
      </c>
      <c r="AI134" s="29">
        <f>IF(OR(OR(A134&lt;1,A134&gt;SV_T),A134-1&gt;=SV_retPay),0,SV_retMth*12+IF(A134=1,SV_retLump,0))</f>
        <v/>
      </c>
      <c r="AJ134" s="29">
        <f>IF(A134&gt;SV_T,0,(AJ133+AI134)*(1+investmentReturn))</f>
        <v/>
      </c>
      <c r="AK134" s="29">
        <f>IF(OR(OR(A134&lt;1,A134&gt;SV_T),A134-1&gt;=SV_goalPay),0,SV_goalMth*12+IF(A134=1,SV_goalLump,0))</f>
        <v/>
      </c>
      <c r="AL134" s="29">
        <f>IF(A134&gt;SV_T,0,(AL133+AK134)*(1+investmentReturn))</f>
        <v/>
      </c>
      <c r="AM134" s="29">
        <f>IF(OR(OR(A134&lt;1,A134&gt;SV_T),A134-1&gt;=SV_protPay),0,SV_protPrem)</f>
        <v/>
      </c>
      <c r="AN134" s="29">
        <f>IF(OR(A134=0,A134&gt;=SV_T),0,ROUND(MAX(0,AJ134),2)+ROUND(MAX(0,AL134),2))</f>
        <v/>
      </c>
      <c r="AO134" s="29">
        <f>IF(OR(A134&lt;1,A134&gt;SV_T),0,-(AI134+AK134+AM134)+IF(A134=SV_T,ROUND(MAX(0,AJ134),2)+ROUND(MAX(0,AL134),2),0))</f>
        <v/>
      </c>
      <c r="AP134" s="29">
        <f>IF(A134&gt;SV_T,0,AP133*(1+SV_savRate)+H134+I134+J134+K134+AD134+AO134)</f>
        <v/>
      </c>
      <c r="AQ134" s="29">
        <f>IF(A134&gt;SV_T,0,MAX(0,N134+O134+P134+AC134+AP134+AN134-AE134))</f>
        <v/>
      </c>
      <c r="AR134" s="29">
        <f>IF(A134&gt;SV_T,0,N134+O134+AP134+AN134-MAX(0,AE134-(P134+AC134)))</f>
        <v/>
      </c>
    </row>
    <row r="135">
      <c r="A135" s="61" t="n">
        <v>12</v>
      </c>
      <c r="B135" s="61">
        <f>SV_age+A135</f>
        <v/>
      </c>
      <c r="C135" s="61">
        <f>currentYear+A135</f>
        <v/>
      </c>
      <c r="D135" s="52">
        <f>A135&lt;=SV_T</f>
        <v/>
      </c>
      <c r="E135" s="60">
        <f>IF(AND(SV_inflOn,A135&gt;=SV_inflS,A135&lt;=SV_inflE),1+SV_inflRate,1+inflationRate)</f>
        <v/>
      </c>
      <c r="F135" s="60">
        <f>IF(A135&lt;=1,1,F134*E135)</f>
        <v/>
      </c>
      <c r="G135" s="60">
        <f>IF(AND(SV_incOn,A135&gt;=SV_incS,A135&lt;=SV_incE),1+SV_incImp,1)</f>
        <v/>
      </c>
      <c r="H135" s="29">
        <f>IF(OR(OR(A135&lt;1,A135&gt;SV_T),A135-1&gt;=SV_salCut),0,SV_sal0*(1+incomeGrowthRate)^(A135-1)*G135)</f>
        <v/>
      </c>
      <c r="I135" s="29">
        <f>IF(OR(A135&lt;1,A135&gt;SV_T),0,(-SV_exp0*F135-IF(A135&lt;=SV_loanYears,SV_inst,0)-IF(AND(SV_wdAmt&gt;0,A135=SV_wdYear),SV_wdAmt,0))*IF(AND(SV_expOn,A135&gt;=SV_expS,A135&lt;=SV_expE),1+SV_expImp,1))</f>
        <v/>
      </c>
      <c r="J135" s="29">
        <f>IF(OR(OR(A135&lt;1,A135&gt;SV_T),A135&gt;SV_loanYears),0,-SV_lifePremYr)</f>
        <v/>
      </c>
      <c r="K135" s="29">
        <f>IF(OR(A135&lt;1,A135&gt;SV_T),0,-SV_contrib)</f>
        <v/>
      </c>
      <c r="L135" s="60">
        <f>IF(AND(SV_crashOn,A135=SV_crashYr),SV_crashF,1)</f>
        <v/>
      </c>
      <c r="M135" s="60">
        <f>IF(AND(SV_ccyOn,A135=SV_ccyYr),SV_ccyF,1)</f>
        <v/>
      </c>
      <c r="N135" s="29">
        <f>IF(A135&gt;SV_T,0,N134*(1+interestRate)*L135*M135)</f>
        <v/>
      </c>
      <c r="O135" s="29">
        <f>IF(A135&gt;SV_T,0,(O134+SV_contrib)*(1+investmentReturn)*L135*M135)</f>
        <v/>
      </c>
      <c r="P135" s="29">
        <f>IF(A135&gt;SV_T,0,P134*(1+SV_propRate)*L135)</f>
        <v/>
      </c>
      <c r="Q135" s="46">
        <f>MATCH(SV_age+A135-1,SV_cpfLower,1)</f>
        <v/>
      </c>
      <c r="R135" s="29">
        <f>IF(OR(OR(A135&lt;1,A135&gt;SV_T),NOT(SV_cpfOn)),0,MIN(SV_sal0*(1+incomeGrowthRate)^(A135-1)*G135,SV_owCap))</f>
        <v/>
      </c>
      <c r="S135" s="29">
        <f>IF(A135&gt;SV_T,0,S134*(1+SV_oaRate)+IF(A135&gt;=SV_effStop,0,INDEX(SV_cpfOA,Q135)*INDEX(SV_cpfTot,Q135)*R135))</f>
        <v/>
      </c>
      <c r="T135" s="29">
        <f>IF(A135&gt;SV_T,0,T134*(1+SV_saRate)+IF(A135&gt;=SV_effStop,0,INDEX(SV_cpfSA,Q135)*INDEX(SV_cpfTot,Q135)*R135))</f>
        <v/>
      </c>
      <c r="U135" s="29">
        <f>IF(A135&gt;SV_T,0,U134*(1+SV_saRate)+IF(A135&gt;=SV_effStop,0,INDEX(SV_cpfMA,Q135)*INDEX(SV_cpfTot,Q135)*R135))</f>
        <v/>
      </c>
      <c r="V135" s="29">
        <f>IF(OR(OR(A135&lt;1,A135&gt;SV_T),A135&gt;=SV_effNeg),0,-(INDEX(SV_cpfOA,Q135)+INDEX(SV_cpfSA,Q135)+INDEX(SV_cpfMA,Q135))*INDEX(SV_cpfEmp,Q135)*R135)</f>
        <v/>
      </c>
      <c r="W135" s="29">
        <f>IF(A135&gt;=SV_sIdx,0,S135)</f>
        <v/>
      </c>
      <c r="X135" s="29">
        <f>IF(A135&gt;=SV_sIdx,0,T135)</f>
        <v/>
      </c>
      <c r="Y135" s="29">
        <f>IF(A135&gt;=SV_sIdx,MIN(U135,SV_maCap),U135)</f>
        <v/>
      </c>
      <c r="Z135" s="29">
        <f>IF(AND(SV_cpfOn,A135&gt;=SV_pIdx,A135&lt;=SV_T),12*SV_pay,0)</f>
        <v/>
      </c>
      <c r="AA135" s="29">
        <f>IF(A135&gt;SV_T,0,IF(SV_sp&gt;=0,IF(A135&lt;SV_sIdx,0,IF(A135=SV_sIdx,SV_R0,SV_lifeGrowth*AA134)),SV_lifeGrowth*AA134))</f>
        <v/>
      </c>
      <c r="AB135" s="29">
        <f>IF(A135&gt;SV_T,0,IF(AND(SV_sp&gt;=0,A135&lt;SV_sIdx),0,IF(AND(SV_sp&gt;=0,A135=SV_sIdx),SV_L0,SV_lifeGrowth*(AB134-Z135))))</f>
        <v/>
      </c>
      <c r="AC135" s="29">
        <f>W135+X135+AA135+Y135+IF(AA135&lt;0,0,AB135)</f>
        <v/>
      </c>
      <c r="AD135" s="29">
        <f>Z135+V135</f>
        <v/>
      </c>
      <c r="AE135" s="29">
        <f>IF(OR(A135&gt;SV_T,A135&gt;=SV_loanYears),0,MAX(0,AE134*(1+loanRate)-SV_inst))</f>
        <v/>
      </c>
      <c r="AF135" s="29">
        <f>IF(A135&gt;SV_T,0,AF134*(1+SV_savRate)+H135+I135+J135+K135+AD135)</f>
        <v/>
      </c>
      <c r="AG135" s="29">
        <f>IF(A135&gt;SV_T,0,MAX(0,N135+O135+P135+AC135+AF135-AE135))</f>
        <v/>
      </c>
      <c r="AH135" s="29">
        <f>IF(A135&gt;SV_T,0,N135+O135+AF135-MAX(0,AE135-(P135+AC135)))</f>
        <v/>
      </c>
      <c r="AI135" s="29">
        <f>IF(OR(OR(A135&lt;1,A135&gt;SV_T),A135-1&gt;=SV_retPay),0,SV_retMth*12+IF(A135=1,SV_retLump,0))</f>
        <v/>
      </c>
      <c r="AJ135" s="29">
        <f>IF(A135&gt;SV_T,0,(AJ134+AI135)*(1+investmentReturn))</f>
        <v/>
      </c>
      <c r="AK135" s="29">
        <f>IF(OR(OR(A135&lt;1,A135&gt;SV_T),A135-1&gt;=SV_goalPay),0,SV_goalMth*12+IF(A135=1,SV_goalLump,0))</f>
        <v/>
      </c>
      <c r="AL135" s="29">
        <f>IF(A135&gt;SV_T,0,(AL134+AK135)*(1+investmentReturn))</f>
        <v/>
      </c>
      <c r="AM135" s="29">
        <f>IF(OR(OR(A135&lt;1,A135&gt;SV_T),A135-1&gt;=SV_protPay),0,SV_protPrem)</f>
        <v/>
      </c>
      <c r="AN135" s="29">
        <f>IF(OR(A135=0,A135&gt;=SV_T),0,ROUND(MAX(0,AJ135),2)+ROUND(MAX(0,AL135),2))</f>
        <v/>
      </c>
      <c r="AO135" s="29">
        <f>IF(OR(A135&lt;1,A135&gt;SV_T),0,-(AI135+AK135+AM135)+IF(A135=SV_T,ROUND(MAX(0,AJ135),2)+ROUND(MAX(0,AL135),2),0))</f>
        <v/>
      </c>
      <c r="AP135" s="29">
        <f>IF(A135&gt;SV_T,0,AP134*(1+SV_savRate)+H135+I135+J135+K135+AD135+AO135)</f>
        <v/>
      </c>
      <c r="AQ135" s="29">
        <f>IF(A135&gt;SV_T,0,MAX(0,N135+O135+P135+AC135+AP135+AN135-AE135))</f>
        <v/>
      </c>
      <c r="AR135" s="29">
        <f>IF(A135&gt;SV_T,0,N135+O135+AP135+AN135-MAX(0,AE135-(P135+AC135)))</f>
        <v/>
      </c>
    </row>
    <row r="136">
      <c r="A136" s="61" t="n">
        <v>13</v>
      </c>
      <c r="B136" s="61">
        <f>SV_age+A136</f>
        <v/>
      </c>
      <c r="C136" s="61">
        <f>currentYear+A136</f>
        <v/>
      </c>
      <c r="D136" s="52">
        <f>A136&lt;=SV_T</f>
        <v/>
      </c>
      <c r="E136" s="60">
        <f>IF(AND(SV_inflOn,A136&gt;=SV_inflS,A136&lt;=SV_inflE),1+SV_inflRate,1+inflationRate)</f>
        <v/>
      </c>
      <c r="F136" s="60">
        <f>IF(A136&lt;=1,1,F135*E136)</f>
        <v/>
      </c>
      <c r="G136" s="60">
        <f>IF(AND(SV_incOn,A136&gt;=SV_incS,A136&lt;=SV_incE),1+SV_incImp,1)</f>
        <v/>
      </c>
      <c r="H136" s="29">
        <f>IF(OR(OR(A136&lt;1,A136&gt;SV_T),A136-1&gt;=SV_salCut),0,SV_sal0*(1+incomeGrowthRate)^(A136-1)*G136)</f>
        <v/>
      </c>
      <c r="I136" s="29">
        <f>IF(OR(A136&lt;1,A136&gt;SV_T),0,(-SV_exp0*F136-IF(A136&lt;=SV_loanYears,SV_inst,0)-IF(AND(SV_wdAmt&gt;0,A136=SV_wdYear),SV_wdAmt,0))*IF(AND(SV_expOn,A136&gt;=SV_expS,A136&lt;=SV_expE),1+SV_expImp,1))</f>
        <v/>
      </c>
      <c r="J136" s="29">
        <f>IF(OR(OR(A136&lt;1,A136&gt;SV_T),A136&gt;SV_loanYears),0,-SV_lifePremYr)</f>
        <v/>
      </c>
      <c r="K136" s="29">
        <f>IF(OR(A136&lt;1,A136&gt;SV_T),0,-SV_contrib)</f>
        <v/>
      </c>
      <c r="L136" s="60">
        <f>IF(AND(SV_crashOn,A136=SV_crashYr),SV_crashF,1)</f>
        <v/>
      </c>
      <c r="M136" s="60">
        <f>IF(AND(SV_ccyOn,A136=SV_ccyYr),SV_ccyF,1)</f>
        <v/>
      </c>
      <c r="N136" s="29">
        <f>IF(A136&gt;SV_T,0,N135*(1+interestRate)*L136*M136)</f>
        <v/>
      </c>
      <c r="O136" s="29">
        <f>IF(A136&gt;SV_T,0,(O135+SV_contrib)*(1+investmentReturn)*L136*M136)</f>
        <v/>
      </c>
      <c r="P136" s="29">
        <f>IF(A136&gt;SV_T,0,P135*(1+SV_propRate)*L136)</f>
        <v/>
      </c>
      <c r="Q136" s="46">
        <f>MATCH(SV_age+A136-1,SV_cpfLower,1)</f>
        <v/>
      </c>
      <c r="R136" s="29">
        <f>IF(OR(OR(A136&lt;1,A136&gt;SV_T),NOT(SV_cpfOn)),0,MIN(SV_sal0*(1+incomeGrowthRate)^(A136-1)*G136,SV_owCap))</f>
        <v/>
      </c>
      <c r="S136" s="29">
        <f>IF(A136&gt;SV_T,0,S135*(1+SV_oaRate)+IF(A136&gt;=SV_effStop,0,INDEX(SV_cpfOA,Q136)*INDEX(SV_cpfTot,Q136)*R136))</f>
        <v/>
      </c>
      <c r="T136" s="29">
        <f>IF(A136&gt;SV_T,0,T135*(1+SV_saRate)+IF(A136&gt;=SV_effStop,0,INDEX(SV_cpfSA,Q136)*INDEX(SV_cpfTot,Q136)*R136))</f>
        <v/>
      </c>
      <c r="U136" s="29">
        <f>IF(A136&gt;SV_T,0,U135*(1+SV_saRate)+IF(A136&gt;=SV_effStop,0,INDEX(SV_cpfMA,Q136)*INDEX(SV_cpfTot,Q136)*R136))</f>
        <v/>
      </c>
      <c r="V136" s="29">
        <f>IF(OR(OR(A136&lt;1,A136&gt;SV_T),A136&gt;=SV_effNeg),0,-(INDEX(SV_cpfOA,Q136)+INDEX(SV_cpfSA,Q136)+INDEX(SV_cpfMA,Q136))*INDEX(SV_cpfEmp,Q136)*R136)</f>
        <v/>
      </c>
      <c r="W136" s="29">
        <f>IF(A136&gt;=SV_sIdx,0,S136)</f>
        <v/>
      </c>
      <c r="X136" s="29">
        <f>IF(A136&gt;=SV_sIdx,0,T136)</f>
        <v/>
      </c>
      <c r="Y136" s="29">
        <f>IF(A136&gt;=SV_sIdx,MIN(U136,SV_maCap),U136)</f>
        <v/>
      </c>
      <c r="Z136" s="29">
        <f>IF(AND(SV_cpfOn,A136&gt;=SV_pIdx,A136&lt;=SV_T),12*SV_pay,0)</f>
        <v/>
      </c>
      <c r="AA136" s="29">
        <f>IF(A136&gt;SV_T,0,IF(SV_sp&gt;=0,IF(A136&lt;SV_sIdx,0,IF(A136=SV_sIdx,SV_R0,SV_lifeGrowth*AA135)),SV_lifeGrowth*AA135))</f>
        <v/>
      </c>
      <c r="AB136" s="29">
        <f>IF(A136&gt;SV_T,0,IF(AND(SV_sp&gt;=0,A136&lt;SV_sIdx),0,IF(AND(SV_sp&gt;=0,A136=SV_sIdx),SV_L0,SV_lifeGrowth*(AB135-Z136))))</f>
        <v/>
      </c>
      <c r="AC136" s="29">
        <f>W136+X136+AA136+Y136+IF(AA136&lt;0,0,AB136)</f>
        <v/>
      </c>
      <c r="AD136" s="29">
        <f>Z136+V136</f>
        <v/>
      </c>
      <c r="AE136" s="29">
        <f>IF(OR(A136&gt;SV_T,A136&gt;=SV_loanYears),0,MAX(0,AE135*(1+loanRate)-SV_inst))</f>
        <v/>
      </c>
      <c r="AF136" s="29">
        <f>IF(A136&gt;SV_T,0,AF135*(1+SV_savRate)+H136+I136+J136+K136+AD136)</f>
        <v/>
      </c>
      <c r="AG136" s="29">
        <f>IF(A136&gt;SV_T,0,MAX(0,N136+O136+P136+AC136+AF136-AE136))</f>
        <v/>
      </c>
      <c r="AH136" s="29">
        <f>IF(A136&gt;SV_T,0,N136+O136+AF136-MAX(0,AE136-(P136+AC136)))</f>
        <v/>
      </c>
      <c r="AI136" s="29">
        <f>IF(OR(OR(A136&lt;1,A136&gt;SV_T),A136-1&gt;=SV_retPay),0,SV_retMth*12+IF(A136=1,SV_retLump,0))</f>
        <v/>
      </c>
      <c r="AJ136" s="29">
        <f>IF(A136&gt;SV_T,0,(AJ135+AI136)*(1+investmentReturn))</f>
        <v/>
      </c>
      <c r="AK136" s="29">
        <f>IF(OR(OR(A136&lt;1,A136&gt;SV_T),A136-1&gt;=SV_goalPay),0,SV_goalMth*12+IF(A136=1,SV_goalLump,0))</f>
        <v/>
      </c>
      <c r="AL136" s="29">
        <f>IF(A136&gt;SV_T,0,(AL135+AK136)*(1+investmentReturn))</f>
        <v/>
      </c>
      <c r="AM136" s="29">
        <f>IF(OR(OR(A136&lt;1,A136&gt;SV_T),A136-1&gt;=SV_protPay),0,SV_protPrem)</f>
        <v/>
      </c>
      <c r="AN136" s="29">
        <f>IF(OR(A136=0,A136&gt;=SV_T),0,ROUND(MAX(0,AJ136),2)+ROUND(MAX(0,AL136),2))</f>
        <v/>
      </c>
      <c r="AO136" s="29">
        <f>IF(OR(A136&lt;1,A136&gt;SV_T),0,-(AI136+AK136+AM136)+IF(A136=SV_T,ROUND(MAX(0,AJ136),2)+ROUND(MAX(0,AL136),2),0))</f>
        <v/>
      </c>
      <c r="AP136" s="29">
        <f>IF(A136&gt;SV_T,0,AP135*(1+SV_savRate)+H136+I136+J136+K136+AD136+AO136)</f>
        <v/>
      </c>
      <c r="AQ136" s="29">
        <f>IF(A136&gt;SV_T,0,MAX(0,N136+O136+P136+AC136+AP136+AN136-AE136))</f>
        <v/>
      </c>
      <c r="AR136" s="29">
        <f>IF(A136&gt;SV_T,0,N136+O136+AP136+AN136-MAX(0,AE136-(P136+AC136)))</f>
        <v/>
      </c>
    </row>
    <row r="137">
      <c r="A137" s="61" t="n">
        <v>14</v>
      </c>
      <c r="B137" s="61">
        <f>SV_age+A137</f>
        <v/>
      </c>
      <c r="C137" s="61">
        <f>currentYear+A137</f>
        <v/>
      </c>
      <c r="D137" s="52">
        <f>A137&lt;=SV_T</f>
        <v/>
      </c>
      <c r="E137" s="60">
        <f>IF(AND(SV_inflOn,A137&gt;=SV_inflS,A137&lt;=SV_inflE),1+SV_inflRate,1+inflationRate)</f>
        <v/>
      </c>
      <c r="F137" s="60">
        <f>IF(A137&lt;=1,1,F136*E137)</f>
        <v/>
      </c>
      <c r="G137" s="60">
        <f>IF(AND(SV_incOn,A137&gt;=SV_incS,A137&lt;=SV_incE),1+SV_incImp,1)</f>
        <v/>
      </c>
      <c r="H137" s="29">
        <f>IF(OR(OR(A137&lt;1,A137&gt;SV_T),A137-1&gt;=SV_salCut),0,SV_sal0*(1+incomeGrowthRate)^(A137-1)*G137)</f>
        <v/>
      </c>
      <c r="I137" s="29">
        <f>IF(OR(A137&lt;1,A137&gt;SV_T),0,(-SV_exp0*F137-IF(A137&lt;=SV_loanYears,SV_inst,0)-IF(AND(SV_wdAmt&gt;0,A137=SV_wdYear),SV_wdAmt,0))*IF(AND(SV_expOn,A137&gt;=SV_expS,A137&lt;=SV_expE),1+SV_expImp,1))</f>
        <v/>
      </c>
      <c r="J137" s="29">
        <f>IF(OR(OR(A137&lt;1,A137&gt;SV_T),A137&gt;SV_loanYears),0,-SV_lifePremYr)</f>
        <v/>
      </c>
      <c r="K137" s="29">
        <f>IF(OR(A137&lt;1,A137&gt;SV_T),0,-SV_contrib)</f>
        <v/>
      </c>
      <c r="L137" s="60">
        <f>IF(AND(SV_crashOn,A137=SV_crashYr),SV_crashF,1)</f>
        <v/>
      </c>
      <c r="M137" s="60">
        <f>IF(AND(SV_ccyOn,A137=SV_ccyYr),SV_ccyF,1)</f>
        <v/>
      </c>
      <c r="N137" s="29">
        <f>IF(A137&gt;SV_T,0,N136*(1+interestRate)*L137*M137)</f>
        <v/>
      </c>
      <c r="O137" s="29">
        <f>IF(A137&gt;SV_T,0,(O136+SV_contrib)*(1+investmentReturn)*L137*M137)</f>
        <v/>
      </c>
      <c r="P137" s="29">
        <f>IF(A137&gt;SV_T,0,P136*(1+SV_propRate)*L137)</f>
        <v/>
      </c>
      <c r="Q137" s="46">
        <f>MATCH(SV_age+A137-1,SV_cpfLower,1)</f>
        <v/>
      </c>
      <c r="R137" s="29">
        <f>IF(OR(OR(A137&lt;1,A137&gt;SV_T),NOT(SV_cpfOn)),0,MIN(SV_sal0*(1+incomeGrowthRate)^(A137-1)*G137,SV_owCap))</f>
        <v/>
      </c>
      <c r="S137" s="29">
        <f>IF(A137&gt;SV_T,0,S136*(1+SV_oaRate)+IF(A137&gt;=SV_effStop,0,INDEX(SV_cpfOA,Q137)*INDEX(SV_cpfTot,Q137)*R137))</f>
        <v/>
      </c>
      <c r="T137" s="29">
        <f>IF(A137&gt;SV_T,0,T136*(1+SV_saRate)+IF(A137&gt;=SV_effStop,0,INDEX(SV_cpfSA,Q137)*INDEX(SV_cpfTot,Q137)*R137))</f>
        <v/>
      </c>
      <c r="U137" s="29">
        <f>IF(A137&gt;SV_T,0,U136*(1+SV_saRate)+IF(A137&gt;=SV_effStop,0,INDEX(SV_cpfMA,Q137)*INDEX(SV_cpfTot,Q137)*R137))</f>
        <v/>
      </c>
      <c r="V137" s="29">
        <f>IF(OR(OR(A137&lt;1,A137&gt;SV_T),A137&gt;=SV_effNeg),0,-(INDEX(SV_cpfOA,Q137)+INDEX(SV_cpfSA,Q137)+INDEX(SV_cpfMA,Q137))*INDEX(SV_cpfEmp,Q137)*R137)</f>
        <v/>
      </c>
      <c r="W137" s="29">
        <f>IF(A137&gt;=SV_sIdx,0,S137)</f>
        <v/>
      </c>
      <c r="X137" s="29">
        <f>IF(A137&gt;=SV_sIdx,0,T137)</f>
        <v/>
      </c>
      <c r="Y137" s="29">
        <f>IF(A137&gt;=SV_sIdx,MIN(U137,SV_maCap),U137)</f>
        <v/>
      </c>
      <c r="Z137" s="29">
        <f>IF(AND(SV_cpfOn,A137&gt;=SV_pIdx,A137&lt;=SV_T),12*SV_pay,0)</f>
        <v/>
      </c>
      <c r="AA137" s="29">
        <f>IF(A137&gt;SV_T,0,IF(SV_sp&gt;=0,IF(A137&lt;SV_sIdx,0,IF(A137=SV_sIdx,SV_R0,SV_lifeGrowth*AA136)),SV_lifeGrowth*AA136))</f>
        <v/>
      </c>
      <c r="AB137" s="29">
        <f>IF(A137&gt;SV_T,0,IF(AND(SV_sp&gt;=0,A137&lt;SV_sIdx),0,IF(AND(SV_sp&gt;=0,A137=SV_sIdx),SV_L0,SV_lifeGrowth*(AB136-Z137))))</f>
        <v/>
      </c>
      <c r="AC137" s="29">
        <f>W137+X137+AA137+Y137+IF(AA137&lt;0,0,AB137)</f>
        <v/>
      </c>
      <c r="AD137" s="29">
        <f>Z137+V137</f>
        <v/>
      </c>
      <c r="AE137" s="29">
        <f>IF(OR(A137&gt;SV_T,A137&gt;=SV_loanYears),0,MAX(0,AE136*(1+loanRate)-SV_inst))</f>
        <v/>
      </c>
      <c r="AF137" s="29">
        <f>IF(A137&gt;SV_T,0,AF136*(1+SV_savRate)+H137+I137+J137+K137+AD137)</f>
        <v/>
      </c>
      <c r="AG137" s="29">
        <f>IF(A137&gt;SV_T,0,MAX(0,N137+O137+P137+AC137+AF137-AE137))</f>
        <v/>
      </c>
      <c r="AH137" s="29">
        <f>IF(A137&gt;SV_T,0,N137+O137+AF137-MAX(0,AE137-(P137+AC137)))</f>
        <v/>
      </c>
      <c r="AI137" s="29">
        <f>IF(OR(OR(A137&lt;1,A137&gt;SV_T),A137-1&gt;=SV_retPay),0,SV_retMth*12+IF(A137=1,SV_retLump,0))</f>
        <v/>
      </c>
      <c r="AJ137" s="29">
        <f>IF(A137&gt;SV_T,0,(AJ136+AI137)*(1+investmentReturn))</f>
        <v/>
      </c>
      <c r="AK137" s="29">
        <f>IF(OR(OR(A137&lt;1,A137&gt;SV_T),A137-1&gt;=SV_goalPay),0,SV_goalMth*12+IF(A137=1,SV_goalLump,0))</f>
        <v/>
      </c>
      <c r="AL137" s="29">
        <f>IF(A137&gt;SV_T,0,(AL136+AK137)*(1+investmentReturn))</f>
        <v/>
      </c>
      <c r="AM137" s="29">
        <f>IF(OR(OR(A137&lt;1,A137&gt;SV_T),A137-1&gt;=SV_protPay),0,SV_protPrem)</f>
        <v/>
      </c>
      <c r="AN137" s="29">
        <f>IF(OR(A137=0,A137&gt;=SV_T),0,ROUND(MAX(0,AJ137),2)+ROUND(MAX(0,AL137),2))</f>
        <v/>
      </c>
      <c r="AO137" s="29">
        <f>IF(OR(A137&lt;1,A137&gt;SV_T),0,-(AI137+AK137+AM137)+IF(A137=SV_T,ROUND(MAX(0,AJ137),2)+ROUND(MAX(0,AL137),2),0))</f>
        <v/>
      </c>
      <c r="AP137" s="29">
        <f>IF(A137&gt;SV_T,0,AP136*(1+SV_savRate)+H137+I137+J137+K137+AD137+AO137)</f>
        <v/>
      </c>
      <c r="AQ137" s="29">
        <f>IF(A137&gt;SV_T,0,MAX(0,N137+O137+P137+AC137+AP137+AN137-AE137))</f>
        <v/>
      </c>
      <c r="AR137" s="29">
        <f>IF(A137&gt;SV_T,0,N137+O137+AP137+AN137-MAX(0,AE137-(P137+AC137)))</f>
        <v/>
      </c>
    </row>
    <row r="138">
      <c r="A138" s="61" t="n">
        <v>15</v>
      </c>
      <c r="B138" s="61">
        <f>SV_age+A138</f>
        <v/>
      </c>
      <c r="C138" s="61">
        <f>currentYear+A138</f>
        <v/>
      </c>
      <c r="D138" s="52">
        <f>A138&lt;=SV_T</f>
        <v/>
      </c>
      <c r="E138" s="60">
        <f>IF(AND(SV_inflOn,A138&gt;=SV_inflS,A138&lt;=SV_inflE),1+SV_inflRate,1+inflationRate)</f>
        <v/>
      </c>
      <c r="F138" s="60">
        <f>IF(A138&lt;=1,1,F137*E138)</f>
        <v/>
      </c>
      <c r="G138" s="60">
        <f>IF(AND(SV_incOn,A138&gt;=SV_incS,A138&lt;=SV_incE),1+SV_incImp,1)</f>
        <v/>
      </c>
      <c r="H138" s="29">
        <f>IF(OR(OR(A138&lt;1,A138&gt;SV_T),A138-1&gt;=SV_salCut),0,SV_sal0*(1+incomeGrowthRate)^(A138-1)*G138)</f>
        <v/>
      </c>
      <c r="I138" s="29">
        <f>IF(OR(A138&lt;1,A138&gt;SV_T),0,(-SV_exp0*F138-IF(A138&lt;=SV_loanYears,SV_inst,0)-IF(AND(SV_wdAmt&gt;0,A138=SV_wdYear),SV_wdAmt,0))*IF(AND(SV_expOn,A138&gt;=SV_expS,A138&lt;=SV_expE),1+SV_expImp,1))</f>
        <v/>
      </c>
      <c r="J138" s="29">
        <f>IF(OR(OR(A138&lt;1,A138&gt;SV_T),A138&gt;SV_loanYears),0,-SV_lifePremYr)</f>
        <v/>
      </c>
      <c r="K138" s="29">
        <f>IF(OR(A138&lt;1,A138&gt;SV_T),0,-SV_contrib)</f>
        <v/>
      </c>
      <c r="L138" s="60">
        <f>IF(AND(SV_crashOn,A138=SV_crashYr),SV_crashF,1)</f>
        <v/>
      </c>
      <c r="M138" s="60">
        <f>IF(AND(SV_ccyOn,A138=SV_ccyYr),SV_ccyF,1)</f>
        <v/>
      </c>
      <c r="N138" s="29">
        <f>IF(A138&gt;SV_T,0,N137*(1+interestRate)*L138*M138)</f>
        <v/>
      </c>
      <c r="O138" s="29">
        <f>IF(A138&gt;SV_T,0,(O137+SV_contrib)*(1+investmentReturn)*L138*M138)</f>
        <v/>
      </c>
      <c r="P138" s="29">
        <f>IF(A138&gt;SV_T,0,P137*(1+SV_propRate)*L138)</f>
        <v/>
      </c>
      <c r="Q138" s="46">
        <f>MATCH(SV_age+A138-1,SV_cpfLower,1)</f>
        <v/>
      </c>
      <c r="R138" s="29">
        <f>IF(OR(OR(A138&lt;1,A138&gt;SV_T),NOT(SV_cpfOn)),0,MIN(SV_sal0*(1+incomeGrowthRate)^(A138-1)*G138,SV_owCap))</f>
        <v/>
      </c>
      <c r="S138" s="29">
        <f>IF(A138&gt;SV_T,0,S137*(1+SV_oaRate)+IF(A138&gt;=SV_effStop,0,INDEX(SV_cpfOA,Q138)*INDEX(SV_cpfTot,Q138)*R138))</f>
        <v/>
      </c>
      <c r="T138" s="29">
        <f>IF(A138&gt;SV_T,0,T137*(1+SV_saRate)+IF(A138&gt;=SV_effStop,0,INDEX(SV_cpfSA,Q138)*INDEX(SV_cpfTot,Q138)*R138))</f>
        <v/>
      </c>
      <c r="U138" s="29">
        <f>IF(A138&gt;SV_T,0,U137*(1+SV_saRate)+IF(A138&gt;=SV_effStop,0,INDEX(SV_cpfMA,Q138)*INDEX(SV_cpfTot,Q138)*R138))</f>
        <v/>
      </c>
      <c r="V138" s="29">
        <f>IF(OR(OR(A138&lt;1,A138&gt;SV_T),A138&gt;=SV_effNeg),0,-(INDEX(SV_cpfOA,Q138)+INDEX(SV_cpfSA,Q138)+INDEX(SV_cpfMA,Q138))*INDEX(SV_cpfEmp,Q138)*R138)</f>
        <v/>
      </c>
      <c r="W138" s="29">
        <f>IF(A138&gt;=SV_sIdx,0,S138)</f>
        <v/>
      </c>
      <c r="X138" s="29">
        <f>IF(A138&gt;=SV_sIdx,0,T138)</f>
        <v/>
      </c>
      <c r="Y138" s="29">
        <f>IF(A138&gt;=SV_sIdx,MIN(U138,SV_maCap),U138)</f>
        <v/>
      </c>
      <c r="Z138" s="29">
        <f>IF(AND(SV_cpfOn,A138&gt;=SV_pIdx,A138&lt;=SV_T),12*SV_pay,0)</f>
        <v/>
      </c>
      <c r="AA138" s="29">
        <f>IF(A138&gt;SV_T,0,IF(SV_sp&gt;=0,IF(A138&lt;SV_sIdx,0,IF(A138=SV_sIdx,SV_R0,SV_lifeGrowth*AA137)),SV_lifeGrowth*AA137))</f>
        <v/>
      </c>
      <c r="AB138" s="29">
        <f>IF(A138&gt;SV_T,0,IF(AND(SV_sp&gt;=0,A138&lt;SV_sIdx),0,IF(AND(SV_sp&gt;=0,A138=SV_sIdx),SV_L0,SV_lifeGrowth*(AB137-Z138))))</f>
        <v/>
      </c>
      <c r="AC138" s="29">
        <f>W138+X138+AA138+Y138+IF(AA138&lt;0,0,AB138)</f>
        <v/>
      </c>
      <c r="AD138" s="29">
        <f>Z138+V138</f>
        <v/>
      </c>
      <c r="AE138" s="29">
        <f>IF(OR(A138&gt;SV_T,A138&gt;=SV_loanYears),0,MAX(0,AE137*(1+loanRate)-SV_inst))</f>
        <v/>
      </c>
      <c r="AF138" s="29">
        <f>IF(A138&gt;SV_T,0,AF137*(1+SV_savRate)+H138+I138+J138+K138+AD138)</f>
        <v/>
      </c>
      <c r="AG138" s="29">
        <f>IF(A138&gt;SV_T,0,MAX(0,N138+O138+P138+AC138+AF138-AE138))</f>
        <v/>
      </c>
      <c r="AH138" s="29">
        <f>IF(A138&gt;SV_T,0,N138+O138+AF138-MAX(0,AE138-(P138+AC138)))</f>
        <v/>
      </c>
      <c r="AI138" s="29">
        <f>IF(OR(OR(A138&lt;1,A138&gt;SV_T),A138-1&gt;=SV_retPay),0,SV_retMth*12+IF(A138=1,SV_retLump,0))</f>
        <v/>
      </c>
      <c r="AJ138" s="29">
        <f>IF(A138&gt;SV_T,0,(AJ137+AI138)*(1+investmentReturn))</f>
        <v/>
      </c>
      <c r="AK138" s="29">
        <f>IF(OR(OR(A138&lt;1,A138&gt;SV_T),A138-1&gt;=SV_goalPay),0,SV_goalMth*12+IF(A138=1,SV_goalLump,0))</f>
        <v/>
      </c>
      <c r="AL138" s="29">
        <f>IF(A138&gt;SV_T,0,(AL137+AK138)*(1+investmentReturn))</f>
        <v/>
      </c>
      <c r="AM138" s="29">
        <f>IF(OR(OR(A138&lt;1,A138&gt;SV_T),A138-1&gt;=SV_protPay),0,SV_protPrem)</f>
        <v/>
      </c>
      <c r="AN138" s="29">
        <f>IF(OR(A138=0,A138&gt;=SV_T),0,ROUND(MAX(0,AJ138),2)+ROUND(MAX(0,AL138),2))</f>
        <v/>
      </c>
      <c r="AO138" s="29">
        <f>IF(OR(A138&lt;1,A138&gt;SV_T),0,-(AI138+AK138+AM138)+IF(A138=SV_T,ROUND(MAX(0,AJ138),2)+ROUND(MAX(0,AL138),2),0))</f>
        <v/>
      </c>
      <c r="AP138" s="29">
        <f>IF(A138&gt;SV_T,0,AP137*(1+SV_savRate)+H138+I138+J138+K138+AD138+AO138)</f>
        <v/>
      </c>
      <c r="AQ138" s="29">
        <f>IF(A138&gt;SV_T,0,MAX(0,N138+O138+P138+AC138+AP138+AN138-AE138))</f>
        <v/>
      </c>
      <c r="AR138" s="29">
        <f>IF(A138&gt;SV_T,0,N138+O138+AP138+AN138-MAX(0,AE138-(P138+AC138)))</f>
        <v/>
      </c>
    </row>
    <row r="139">
      <c r="A139" s="61" t="n">
        <v>16</v>
      </c>
      <c r="B139" s="61">
        <f>SV_age+A139</f>
        <v/>
      </c>
      <c r="C139" s="61">
        <f>currentYear+A139</f>
        <v/>
      </c>
      <c r="D139" s="52">
        <f>A139&lt;=SV_T</f>
        <v/>
      </c>
      <c r="E139" s="60">
        <f>IF(AND(SV_inflOn,A139&gt;=SV_inflS,A139&lt;=SV_inflE),1+SV_inflRate,1+inflationRate)</f>
        <v/>
      </c>
      <c r="F139" s="60">
        <f>IF(A139&lt;=1,1,F138*E139)</f>
        <v/>
      </c>
      <c r="G139" s="60">
        <f>IF(AND(SV_incOn,A139&gt;=SV_incS,A139&lt;=SV_incE),1+SV_incImp,1)</f>
        <v/>
      </c>
      <c r="H139" s="29">
        <f>IF(OR(OR(A139&lt;1,A139&gt;SV_T),A139-1&gt;=SV_salCut),0,SV_sal0*(1+incomeGrowthRate)^(A139-1)*G139)</f>
        <v/>
      </c>
      <c r="I139" s="29">
        <f>IF(OR(A139&lt;1,A139&gt;SV_T),0,(-SV_exp0*F139-IF(A139&lt;=SV_loanYears,SV_inst,0)-IF(AND(SV_wdAmt&gt;0,A139=SV_wdYear),SV_wdAmt,0))*IF(AND(SV_expOn,A139&gt;=SV_expS,A139&lt;=SV_expE),1+SV_expImp,1))</f>
        <v/>
      </c>
      <c r="J139" s="29">
        <f>IF(OR(OR(A139&lt;1,A139&gt;SV_T),A139&gt;SV_loanYears),0,-SV_lifePremYr)</f>
        <v/>
      </c>
      <c r="K139" s="29">
        <f>IF(OR(A139&lt;1,A139&gt;SV_T),0,-SV_contrib)</f>
        <v/>
      </c>
      <c r="L139" s="60">
        <f>IF(AND(SV_crashOn,A139=SV_crashYr),SV_crashF,1)</f>
        <v/>
      </c>
      <c r="M139" s="60">
        <f>IF(AND(SV_ccyOn,A139=SV_ccyYr),SV_ccyF,1)</f>
        <v/>
      </c>
      <c r="N139" s="29">
        <f>IF(A139&gt;SV_T,0,N138*(1+interestRate)*L139*M139)</f>
        <v/>
      </c>
      <c r="O139" s="29">
        <f>IF(A139&gt;SV_T,0,(O138+SV_contrib)*(1+investmentReturn)*L139*M139)</f>
        <v/>
      </c>
      <c r="P139" s="29">
        <f>IF(A139&gt;SV_T,0,P138*(1+SV_propRate)*L139)</f>
        <v/>
      </c>
      <c r="Q139" s="46">
        <f>MATCH(SV_age+A139-1,SV_cpfLower,1)</f>
        <v/>
      </c>
      <c r="R139" s="29">
        <f>IF(OR(OR(A139&lt;1,A139&gt;SV_T),NOT(SV_cpfOn)),0,MIN(SV_sal0*(1+incomeGrowthRate)^(A139-1)*G139,SV_owCap))</f>
        <v/>
      </c>
      <c r="S139" s="29">
        <f>IF(A139&gt;SV_T,0,S138*(1+SV_oaRate)+IF(A139&gt;=SV_effStop,0,INDEX(SV_cpfOA,Q139)*INDEX(SV_cpfTot,Q139)*R139))</f>
        <v/>
      </c>
      <c r="T139" s="29">
        <f>IF(A139&gt;SV_T,0,T138*(1+SV_saRate)+IF(A139&gt;=SV_effStop,0,INDEX(SV_cpfSA,Q139)*INDEX(SV_cpfTot,Q139)*R139))</f>
        <v/>
      </c>
      <c r="U139" s="29">
        <f>IF(A139&gt;SV_T,0,U138*(1+SV_saRate)+IF(A139&gt;=SV_effStop,0,INDEX(SV_cpfMA,Q139)*INDEX(SV_cpfTot,Q139)*R139))</f>
        <v/>
      </c>
      <c r="V139" s="29">
        <f>IF(OR(OR(A139&lt;1,A139&gt;SV_T),A139&gt;=SV_effNeg),0,-(INDEX(SV_cpfOA,Q139)+INDEX(SV_cpfSA,Q139)+INDEX(SV_cpfMA,Q139))*INDEX(SV_cpfEmp,Q139)*R139)</f>
        <v/>
      </c>
      <c r="W139" s="29">
        <f>IF(A139&gt;=SV_sIdx,0,S139)</f>
        <v/>
      </c>
      <c r="X139" s="29">
        <f>IF(A139&gt;=SV_sIdx,0,T139)</f>
        <v/>
      </c>
      <c r="Y139" s="29">
        <f>IF(A139&gt;=SV_sIdx,MIN(U139,SV_maCap),U139)</f>
        <v/>
      </c>
      <c r="Z139" s="29">
        <f>IF(AND(SV_cpfOn,A139&gt;=SV_pIdx,A139&lt;=SV_T),12*SV_pay,0)</f>
        <v/>
      </c>
      <c r="AA139" s="29">
        <f>IF(A139&gt;SV_T,0,IF(SV_sp&gt;=0,IF(A139&lt;SV_sIdx,0,IF(A139=SV_sIdx,SV_R0,SV_lifeGrowth*AA138)),SV_lifeGrowth*AA138))</f>
        <v/>
      </c>
      <c r="AB139" s="29">
        <f>IF(A139&gt;SV_T,0,IF(AND(SV_sp&gt;=0,A139&lt;SV_sIdx),0,IF(AND(SV_sp&gt;=0,A139=SV_sIdx),SV_L0,SV_lifeGrowth*(AB138-Z139))))</f>
        <v/>
      </c>
      <c r="AC139" s="29">
        <f>W139+X139+AA139+Y139+IF(AA139&lt;0,0,AB139)</f>
        <v/>
      </c>
      <c r="AD139" s="29">
        <f>Z139+V139</f>
        <v/>
      </c>
      <c r="AE139" s="29">
        <f>IF(OR(A139&gt;SV_T,A139&gt;=SV_loanYears),0,MAX(0,AE138*(1+loanRate)-SV_inst))</f>
        <v/>
      </c>
      <c r="AF139" s="29">
        <f>IF(A139&gt;SV_T,0,AF138*(1+SV_savRate)+H139+I139+J139+K139+AD139)</f>
        <v/>
      </c>
      <c r="AG139" s="29">
        <f>IF(A139&gt;SV_T,0,MAX(0,N139+O139+P139+AC139+AF139-AE139))</f>
        <v/>
      </c>
      <c r="AH139" s="29">
        <f>IF(A139&gt;SV_T,0,N139+O139+AF139-MAX(0,AE139-(P139+AC139)))</f>
        <v/>
      </c>
      <c r="AI139" s="29">
        <f>IF(OR(OR(A139&lt;1,A139&gt;SV_T),A139-1&gt;=SV_retPay),0,SV_retMth*12+IF(A139=1,SV_retLump,0))</f>
        <v/>
      </c>
      <c r="AJ139" s="29">
        <f>IF(A139&gt;SV_T,0,(AJ138+AI139)*(1+investmentReturn))</f>
        <v/>
      </c>
      <c r="AK139" s="29">
        <f>IF(OR(OR(A139&lt;1,A139&gt;SV_T),A139-1&gt;=SV_goalPay),0,SV_goalMth*12+IF(A139=1,SV_goalLump,0))</f>
        <v/>
      </c>
      <c r="AL139" s="29">
        <f>IF(A139&gt;SV_T,0,(AL138+AK139)*(1+investmentReturn))</f>
        <v/>
      </c>
      <c r="AM139" s="29">
        <f>IF(OR(OR(A139&lt;1,A139&gt;SV_T),A139-1&gt;=SV_protPay),0,SV_protPrem)</f>
        <v/>
      </c>
      <c r="AN139" s="29">
        <f>IF(OR(A139=0,A139&gt;=SV_T),0,ROUND(MAX(0,AJ139),2)+ROUND(MAX(0,AL139),2))</f>
        <v/>
      </c>
      <c r="AO139" s="29">
        <f>IF(OR(A139&lt;1,A139&gt;SV_T),0,-(AI139+AK139+AM139)+IF(A139=SV_T,ROUND(MAX(0,AJ139),2)+ROUND(MAX(0,AL139),2),0))</f>
        <v/>
      </c>
      <c r="AP139" s="29">
        <f>IF(A139&gt;SV_T,0,AP138*(1+SV_savRate)+H139+I139+J139+K139+AD139+AO139)</f>
        <v/>
      </c>
      <c r="AQ139" s="29">
        <f>IF(A139&gt;SV_T,0,MAX(0,N139+O139+P139+AC139+AP139+AN139-AE139))</f>
        <v/>
      </c>
      <c r="AR139" s="29">
        <f>IF(A139&gt;SV_T,0,N139+O139+AP139+AN139-MAX(0,AE139-(P139+AC139)))</f>
        <v/>
      </c>
    </row>
    <row r="140">
      <c r="A140" s="61" t="n">
        <v>17</v>
      </c>
      <c r="B140" s="61">
        <f>SV_age+A140</f>
        <v/>
      </c>
      <c r="C140" s="61">
        <f>currentYear+A140</f>
        <v/>
      </c>
      <c r="D140" s="52">
        <f>A140&lt;=SV_T</f>
        <v/>
      </c>
      <c r="E140" s="60">
        <f>IF(AND(SV_inflOn,A140&gt;=SV_inflS,A140&lt;=SV_inflE),1+SV_inflRate,1+inflationRate)</f>
        <v/>
      </c>
      <c r="F140" s="60">
        <f>IF(A140&lt;=1,1,F139*E140)</f>
        <v/>
      </c>
      <c r="G140" s="60">
        <f>IF(AND(SV_incOn,A140&gt;=SV_incS,A140&lt;=SV_incE),1+SV_incImp,1)</f>
        <v/>
      </c>
      <c r="H140" s="29">
        <f>IF(OR(OR(A140&lt;1,A140&gt;SV_T),A140-1&gt;=SV_salCut),0,SV_sal0*(1+incomeGrowthRate)^(A140-1)*G140)</f>
        <v/>
      </c>
      <c r="I140" s="29">
        <f>IF(OR(A140&lt;1,A140&gt;SV_T),0,(-SV_exp0*F140-IF(A140&lt;=SV_loanYears,SV_inst,0)-IF(AND(SV_wdAmt&gt;0,A140=SV_wdYear),SV_wdAmt,0))*IF(AND(SV_expOn,A140&gt;=SV_expS,A140&lt;=SV_expE),1+SV_expImp,1))</f>
        <v/>
      </c>
      <c r="J140" s="29">
        <f>IF(OR(OR(A140&lt;1,A140&gt;SV_T),A140&gt;SV_loanYears),0,-SV_lifePremYr)</f>
        <v/>
      </c>
      <c r="K140" s="29">
        <f>IF(OR(A140&lt;1,A140&gt;SV_T),0,-SV_contrib)</f>
        <v/>
      </c>
      <c r="L140" s="60">
        <f>IF(AND(SV_crashOn,A140=SV_crashYr),SV_crashF,1)</f>
        <v/>
      </c>
      <c r="M140" s="60">
        <f>IF(AND(SV_ccyOn,A140=SV_ccyYr),SV_ccyF,1)</f>
        <v/>
      </c>
      <c r="N140" s="29">
        <f>IF(A140&gt;SV_T,0,N139*(1+interestRate)*L140*M140)</f>
        <v/>
      </c>
      <c r="O140" s="29">
        <f>IF(A140&gt;SV_T,0,(O139+SV_contrib)*(1+investmentReturn)*L140*M140)</f>
        <v/>
      </c>
      <c r="P140" s="29">
        <f>IF(A140&gt;SV_T,0,P139*(1+SV_propRate)*L140)</f>
        <v/>
      </c>
      <c r="Q140" s="46">
        <f>MATCH(SV_age+A140-1,SV_cpfLower,1)</f>
        <v/>
      </c>
      <c r="R140" s="29">
        <f>IF(OR(OR(A140&lt;1,A140&gt;SV_T),NOT(SV_cpfOn)),0,MIN(SV_sal0*(1+incomeGrowthRate)^(A140-1)*G140,SV_owCap))</f>
        <v/>
      </c>
      <c r="S140" s="29">
        <f>IF(A140&gt;SV_T,0,S139*(1+SV_oaRate)+IF(A140&gt;=SV_effStop,0,INDEX(SV_cpfOA,Q140)*INDEX(SV_cpfTot,Q140)*R140))</f>
        <v/>
      </c>
      <c r="T140" s="29">
        <f>IF(A140&gt;SV_T,0,T139*(1+SV_saRate)+IF(A140&gt;=SV_effStop,0,INDEX(SV_cpfSA,Q140)*INDEX(SV_cpfTot,Q140)*R140))</f>
        <v/>
      </c>
      <c r="U140" s="29">
        <f>IF(A140&gt;SV_T,0,U139*(1+SV_saRate)+IF(A140&gt;=SV_effStop,0,INDEX(SV_cpfMA,Q140)*INDEX(SV_cpfTot,Q140)*R140))</f>
        <v/>
      </c>
      <c r="V140" s="29">
        <f>IF(OR(OR(A140&lt;1,A140&gt;SV_T),A140&gt;=SV_effNeg),0,-(INDEX(SV_cpfOA,Q140)+INDEX(SV_cpfSA,Q140)+INDEX(SV_cpfMA,Q140))*INDEX(SV_cpfEmp,Q140)*R140)</f>
        <v/>
      </c>
      <c r="W140" s="29">
        <f>IF(A140&gt;=SV_sIdx,0,S140)</f>
        <v/>
      </c>
      <c r="X140" s="29">
        <f>IF(A140&gt;=SV_sIdx,0,T140)</f>
        <v/>
      </c>
      <c r="Y140" s="29">
        <f>IF(A140&gt;=SV_sIdx,MIN(U140,SV_maCap),U140)</f>
        <v/>
      </c>
      <c r="Z140" s="29">
        <f>IF(AND(SV_cpfOn,A140&gt;=SV_pIdx,A140&lt;=SV_T),12*SV_pay,0)</f>
        <v/>
      </c>
      <c r="AA140" s="29">
        <f>IF(A140&gt;SV_T,0,IF(SV_sp&gt;=0,IF(A140&lt;SV_sIdx,0,IF(A140=SV_sIdx,SV_R0,SV_lifeGrowth*AA139)),SV_lifeGrowth*AA139))</f>
        <v/>
      </c>
      <c r="AB140" s="29">
        <f>IF(A140&gt;SV_T,0,IF(AND(SV_sp&gt;=0,A140&lt;SV_sIdx),0,IF(AND(SV_sp&gt;=0,A140=SV_sIdx),SV_L0,SV_lifeGrowth*(AB139-Z140))))</f>
        <v/>
      </c>
      <c r="AC140" s="29">
        <f>W140+X140+AA140+Y140+IF(AA140&lt;0,0,AB140)</f>
        <v/>
      </c>
      <c r="AD140" s="29">
        <f>Z140+V140</f>
        <v/>
      </c>
      <c r="AE140" s="29">
        <f>IF(OR(A140&gt;SV_T,A140&gt;=SV_loanYears),0,MAX(0,AE139*(1+loanRate)-SV_inst))</f>
        <v/>
      </c>
      <c r="AF140" s="29">
        <f>IF(A140&gt;SV_T,0,AF139*(1+SV_savRate)+H140+I140+J140+K140+AD140)</f>
        <v/>
      </c>
      <c r="AG140" s="29">
        <f>IF(A140&gt;SV_T,0,MAX(0,N140+O140+P140+AC140+AF140-AE140))</f>
        <v/>
      </c>
      <c r="AH140" s="29">
        <f>IF(A140&gt;SV_T,0,N140+O140+AF140-MAX(0,AE140-(P140+AC140)))</f>
        <v/>
      </c>
      <c r="AI140" s="29">
        <f>IF(OR(OR(A140&lt;1,A140&gt;SV_T),A140-1&gt;=SV_retPay),0,SV_retMth*12+IF(A140=1,SV_retLump,0))</f>
        <v/>
      </c>
      <c r="AJ140" s="29">
        <f>IF(A140&gt;SV_T,0,(AJ139+AI140)*(1+investmentReturn))</f>
        <v/>
      </c>
      <c r="AK140" s="29">
        <f>IF(OR(OR(A140&lt;1,A140&gt;SV_T),A140-1&gt;=SV_goalPay),0,SV_goalMth*12+IF(A140=1,SV_goalLump,0))</f>
        <v/>
      </c>
      <c r="AL140" s="29">
        <f>IF(A140&gt;SV_T,0,(AL139+AK140)*(1+investmentReturn))</f>
        <v/>
      </c>
      <c r="AM140" s="29">
        <f>IF(OR(OR(A140&lt;1,A140&gt;SV_T),A140-1&gt;=SV_protPay),0,SV_protPrem)</f>
        <v/>
      </c>
      <c r="AN140" s="29">
        <f>IF(OR(A140=0,A140&gt;=SV_T),0,ROUND(MAX(0,AJ140),2)+ROUND(MAX(0,AL140),2))</f>
        <v/>
      </c>
      <c r="AO140" s="29">
        <f>IF(OR(A140&lt;1,A140&gt;SV_T),0,-(AI140+AK140+AM140)+IF(A140=SV_T,ROUND(MAX(0,AJ140),2)+ROUND(MAX(0,AL140),2),0))</f>
        <v/>
      </c>
      <c r="AP140" s="29">
        <f>IF(A140&gt;SV_T,0,AP139*(1+SV_savRate)+H140+I140+J140+K140+AD140+AO140)</f>
        <v/>
      </c>
      <c r="AQ140" s="29">
        <f>IF(A140&gt;SV_T,0,MAX(0,N140+O140+P140+AC140+AP140+AN140-AE140))</f>
        <v/>
      </c>
      <c r="AR140" s="29">
        <f>IF(A140&gt;SV_T,0,N140+O140+AP140+AN140-MAX(0,AE140-(P140+AC140)))</f>
        <v/>
      </c>
    </row>
    <row r="141">
      <c r="A141" s="61" t="n">
        <v>18</v>
      </c>
      <c r="B141" s="61">
        <f>SV_age+A141</f>
        <v/>
      </c>
      <c r="C141" s="61">
        <f>currentYear+A141</f>
        <v/>
      </c>
      <c r="D141" s="52">
        <f>A141&lt;=SV_T</f>
        <v/>
      </c>
      <c r="E141" s="60">
        <f>IF(AND(SV_inflOn,A141&gt;=SV_inflS,A141&lt;=SV_inflE),1+SV_inflRate,1+inflationRate)</f>
        <v/>
      </c>
      <c r="F141" s="60">
        <f>IF(A141&lt;=1,1,F140*E141)</f>
        <v/>
      </c>
      <c r="G141" s="60">
        <f>IF(AND(SV_incOn,A141&gt;=SV_incS,A141&lt;=SV_incE),1+SV_incImp,1)</f>
        <v/>
      </c>
      <c r="H141" s="29">
        <f>IF(OR(OR(A141&lt;1,A141&gt;SV_T),A141-1&gt;=SV_salCut),0,SV_sal0*(1+incomeGrowthRate)^(A141-1)*G141)</f>
        <v/>
      </c>
      <c r="I141" s="29">
        <f>IF(OR(A141&lt;1,A141&gt;SV_T),0,(-SV_exp0*F141-IF(A141&lt;=SV_loanYears,SV_inst,0)-IF(AND(SV_wdAmt&gt;0,A141=SV_wdYear),SV_wdAmt,0))*IF(AND(SV_expOn,A141&gt;=SV_expS,A141&lt;=SV_expE),1+SV_expImp,1))</f>
        <v/>
      </c>
      <c r="J141" s="29">
        <f>IF(OR(OR(A141&lt;1,A141&gt;SV_T),A141&gt;SV_loanYears),0,-SV_lifePremYr)</f>
        <v/>
      </c>
      <c r="K141" s="29">
        <f>IF(OR(A141&lt;1,A141&gt;SV_T),0,-SV_contrib)</f>
        <v/>
      </c>
      <c r="L141" s="60">
        <f>IF(AND(SV_crashOn,A141=SV_crashYr),SV_crashF,1)</f>
        <v/>
      </c>
      <c r="M141" s="60">
        <f>IF(AND(SV_ccyOn,A141=SV_ccyYr),SV_ccyF,1)</f>
        <v/>
      </c>
      <c r="N141" s="29">
        <f>IF(A141&gt;SV_T,0,N140*(1+interestRate)*L141*M141)</f>
        <v/>
      </c>
      <c r="O141" s="29">
        <f>IF(A141&gt;SV_T,0,(O140+SV_contrib)*(1+investmentReturn)*L141*M141)</f>
        <v/>
      </c>
      <c r="P141" s="29">
        <f>IF(A141&gt;SV_T,0,P140*(1+SV_propRate)*L141)</f>
        <v/>
      </c>
      <c r="Q141" s="46">
        <f>MATCH(SV_age+A141-1,SV_cpfLower,1)</f>
        <v/>
      </c>
      <c r="R141" s="29">
        <f>IF(OR(OR(A141&lt;1,A141&gt;SV_T),NOT(SV_cpfOn)),0,MIN(SV_sal0*(1+incomeGrowthRate)^(A141-1)*G141,SV_owCap))</f>
        <v/>
      </c>
      <c r="S141" s="29">
        <f>IF(A141&gt;SV_T,0,S140*(1+SV_oaRate)+IF(A141&gt;=SV_effStop,0,INDEX(SV_cpfOA,Q141)*INDEX(SV_cpfTot,Q141)*R141))</f>
        <v/>
      </c>
      <c r="T141" s="29">
        <f>IF(A141&gt;SV_T,0,T140*(1+SV_saRate)+IF(A141&gt;=SV_effStop,0,INDEX(SV_cpfSA,Q141)*INDEX(SV_cpfTot,Q141)*R141))</f>
        <v/>
      </c>
      <c r="U141" s="29">
        <f>IF(A141&gt;SV_T,0,U140*(1+SV_saRate)+IF(A141&gt;=SV_effStop,0,INDEX(SV_cpfMA,Q141)*INDEX(SV_cpfTot,Q141)*R141))</f>
        <v/>
      </c>
      <c r="V141" s="29">
        <f>IF(OR(OR(A141&lt;1,A141&gt;SV_T),A141&gt;=SV_effNeg),0,-(INDEX(SV_cpfOA,Q141)+INDEX(SV_cpfSA,Q141)+INDEX(SV_cpfMA,Q141))*INDEX(SV_cpfEmp,Q141)*R141)</f>
        <v/>
      </c>
      <c r="W141" s="29">
        <f>IF(A141&gt;=SV_sIdx,0,S141)</f>
        <v/>
      </c>
      <c r="X141" s="29">
        <f>IF(A141&gt;=SV_sIdx,0,T141)</f>
        <v/>
      </c>
      <c r="Y141" s="29">
        <f>IF(A141&gt;=SV_sIdx,MIN(U141,SV_maCap),U141)</f>
        <v/>
      </c>
      <c r="Z141" s="29">
        <f>IF(AND(SV_cpfOn,A141&gt;=SV_pIdx,A141&lt;=SV_T),12*SV_pay,0)</f>
        <v/>
      </c>
      <c r="AA141" s="29">
        <f>IF(A141&gt;SV_T,0,IF(SV_sp&gt;=0,IF(A141&lt;SV_sIdx,0,IF(A141=SV_sIdx,SV_R0,SV_lifeGrowth*AA140)),SV_lifeGrowth*AA140))</f>
        <v/>
      </c>
      <c r="AB141" s="29">
        <f>IF(A141&gt;SV_T,0,IF(AND(SV_sp&gt;=0,A141&lt;SV_sIdx),0,IF(AND(SV_sp&gt;=0,A141=SV_sIdx),SV_L0,SV_lifeGrowth*(AB140-Z141))))</f>
        <v/>
      </c>
      <c r="AC141" s="29">
        <f>W141+X141+AA141+Y141+IF(AA141&lt;0,0,AB141)</f>
        <v/>
      </c>
      <c r="AD141" s="29">
        <f>Z141+V141</f>
        <v/>
      </c>
      <c r="AE141" s="29">
        <f>IF(OR(A141&gt;SV_T,A141&gt;=SV_loanYears),0,MAX(0,AE140*(1+loanRate)-SV_inst))</f>
        <v/>
      </c>
      <c r="AF141" s="29">
        <f>IF(A141&gt;SV_T,0,AF140*(1+SV_savRate)+H141+I141+J141+K141+AD141)</f>
        <v/>
      </c>
      <c r="AG141" s="29">
        <f>IF(A141&gt;SV_T,0,MAX(0,N141+O141+P141+AC141+AF141-AE141))</f>
        <v/>
      </c>
      <c r="AH141" s="29">
        <f>IF(A141&gt;SV_T,0,N141+O141+AF141-MAX(0,AE141-(P141+AC141)))</f>
        <v/>
      </c>
      <c r="AI141" s="29">
        <f>IF(OR(OR(A141&lt;1,A141&gt;SV_T),A141-1&gt;=SV_retPay),0,SV_retMth*12+IF(A141=1,SV_retLump,0))</f>
        <v/>
      </c>
      <c r="AJ141" s="29">
        <f>IF(A141&gt;SV_T,0,(AJ140+AI141)*(1+investmentReturn))</f>
        <v/>
      </c>
      <c r="AK141" s="29">
        <f>IF(OR(OR(A141&lt;1,A141&gt;SV_T),A141-1&gt;=SV_goalPay),0,SV_goalMth*12+IF(A141=1,SV_goalLump,0))</f>
        <v/>
      </c>
      <c r="AL141" s="29">
        <f>IF(A141&gt;SV_T,0,(AL140+AK141)*(1+investmentReturn))</f>
        <v/>
      </c>
      <c r="AM141" s="29">
        <f>IF(OR(OR(A141&lt;1,A141&gt;SV_T),A141-1&gt;=SV_protPay),0,SV_protPrem)</f>
        <v/>
      </c>
      <c r="AN141" s="29">
        <f>IF(OR(A141=0,A141&gt;=SV_T),0,ROUND(MAX(0,AJ141),2)+ROUND(MAX(0,AL141),2))</f>
        <v/>
      </c>
      <c r="AO141" s="29">
        <f>IF(OR(A141&lt;1,A141&gt;SV_T),0,-(AI141+AK141+AM141)+IF(A141=SV_T,ROUND(MAX(0,AJ141),2)+ROUND(MAX(0,AL141),2),0))</f>
        <v/>
      </c>
      <c r="AP141" s="29">
        <f>IF(A141&gt;SV_T,0,AP140*(1+SV_savRate)+H141+I141+J141+K141+AD141+AO141)</f>
        <v/>
      </c>
      <c r="AQ141" s="29">
        <f>IF(A141&gt;SV_T,0,MAX(0,N141+O141+P141+AC141+AP141+AN141-AE141))</f>
        <v/>
      </c>
      <c r="AR141" s="29">
        <f>IF(A141&gt;SV_T,0,N141+O141+AP141+AN141-MAX(0,AE141-(P141+AC141)))</f>
        <v/>
      </c>
    </row>
    <row r="142">
      <c r="A142" s="61" t="n">
        <v>19</v>
      </c>
      <c r="B142" s="61">
        <f>SV_age+A142</f>
        <v/>
      </c>
      <c r="C142" s="61">
        <f>currentYear+A142</f>
        <v/>
      </c>
      <c r="D142" s="52">
        <f>A142&lt;=SV_T</f>
        <v/>
      </c>
      <c r="E142" s="60">
        <f>IF(AND(SV_inflOn,A142&gt;=SV_inflS,A142&lt;=SV_inflE),1+SV_inflRate,1+inflationRate)</f>
        <v/>
      </c>
      <c r="F142" s="60">
        <f>IF(A142&lt;=1,1,F141*E142)</f>
        <v/>
      </c>
      <c r="G142" s="60">
        <f>IF(AND(SV_incOn,A142&gt;=SV_incS,A142&lt;=SV_incE),1+SV_incImp,1)</f>
        <v/>
      </c>
      <c r="H142" s="29">
        <f>IF(OR(OR(A142&lt;1,A142&gt;SV_T),A142-1&gt;=SV_salCut),0,SV_sal0*(1+incomeGrowthRate)^(A142-1)*G142)</f>
        <v/>
      </c>
      <c r="I142" s="29">
        <f>IF(OR(A142&lt;1,A142&gt;SV_T),0,(-SV_exp0*F142-IF(A142&lt;=SV_loanYears,SV_inst,0)-IF(AND(SV_wdAmt&gt;0,A142=SV_wdYear),SV_wdAmt,0))*IF(AND(SV_expOn,A142&gt;=SV_expS,A142&lt;=SV_expE),1+SV_expImp,1))</f>
        <v/>
      </c>
      <c r="J142" s="29">
        <f>IF(OR(OR(A142&lt;1,A142&gt;SV_T),A142&gt;SV_loanYears),0,-SV_lifePremYr)</f>
        <v/>
      </c>
      <c r="K142" s="29">
        <f>IF(OR(A142&lt;1,A142&gt;SV_T),0,-SV_contrib)</f>
        <v/>
      </c>
      <c r="L142" s="60">
        <f>IF(AND(SV_crashOn,A142=SV_crashYr),SV_crashF,1)</f>
        <v/>
      </c>
      <c r="M142" s="60">
        <f>IF(AND(SV_ccyOn,A142=SV_ccyYr),SV_ccyF,1)</f>
        <v/>
      </c>
      <c r="N142" s="29">
        <f>IF(A142&gt;SV_T,0,N141*(1+interestRate)*L142*M142)</f>
        <v/>
      </c>
      <c r="O142" s="29">
        <f>IF(A142&gt;SV_T,0,(O141+SV_contrib)*(1+investmentReturn)*L142*M142)</f>
        <v/>
      </c>
      <c r="P142" s="29">
        <f>IF(A142&gt;SV_T,0,P141*(1+SV_propRate)*L142)</f>
        <v/>
      </c>
      <c r="Q142" s="46">
        <f>MATCH(SV_age+A142-1,SV_cpfLower,1)</f>
        <v/>
      </c>
      <c r="R142" s="29">
        <f>IF(OR(OR(A142&lt;1,A142&gt;SV_T),NOT(SV_cpfOn)),0,MIN(SV_sal0*(1+incomeGrowthRate)^(A142-1)*G142,SV_owCap))</f>
        <v/>
      </c>
      <c r="S142" s="29">
        <f>IF(A142&gt;SV_T,0,S141*(1+SV_oaRate)+IF(A142&gt;=SV_effStop,0,INDEX(SV_cpfOA,Q142)*INDEX(SV_cpfTot,Q142)*R142))</f>
        <v/>
      </c>
      <c r="T142" s="29">
        <f>IF(A142&gt;SV_T,0,T141*(1+SV_saRate)+IF(A142&gt;=SV_effStop,0,INDEX(SV_cpfSA,Q142)*INDEX(SV_cpfTot,Q142)*R142))</f>
        <v/>
      </c>
      <c r="U142" s="29">
        <f>IF(A142&gt;SV_T,0,U141*(1+SV_saRate)+IF(A142&gt;=SV_effStop,0,INDEX(SV_cpfMA,Q142)*INDEX(SV_cpfTot,Q142)*R142))</f>
        <v/>
      </c>
      <c r="V142" s="29">
        <f>IF(OR(OR(A142&lt;1,A142&gt;SV_T),A142&gt;=SV_effNeg),0,-(INDEX(SV_cpfOA,Q142)+INDEX(SV_cpfSA,Q142)+INDEX(SV_cpfMA,Q142))*INDEX(SV_cpfEmp,Q142)*R142)</f>
        <v/>
      </c>
      <c r="W142" s="29">
        <f>IF(A142&gt;=SV_sIdx,0,S142)</f>
        <v/>
      </c>
      <c r="X142" s="29">
        <f>IF(A142&gt;=SV_sIdx,0,T142)</f>
        <v/>
      </c>
      <c r="Y142" s="29">
        <f>IF(A142&gt;=SV_sIdx,MIN(U142,SV_maCap),U142)</f>
        <v/>
      </c>
      <c r="Z142" s="29">
        <f>IF(AND(SV_cpfOn,A142&gt;=SV_pIdx,A142&lt;=SV_T),12*SV_pay,0)</f>
        <v/>
      </c>
      <c r="AA142" s="29">
        <f>IF(A142&gt;SV_T,0,IF(SV_sp&gt;=0,IF(A142&lt;SV_sIdx,0,IF(A142=SV_sIdx,SV_R0,SV_lifeGrowth*AA141)),SV_lifeGrowth*AA141))</f>
        <v/>
      </c>
      <c r="AB142" s="29">
        <f>IF(A142&gt;SV_T,0,IF(AND(SV_sp&gt;=0,A142&lt;SV_sIdx),0,IF(AND(SV_sp&gt;=0,A142=SV_sIdx),SV_L0,SV_lifeGrowth*(AB141-Z142))))</f>
        <v/>
      </c>
      <c r="AC142" s="29">
        <f>W142+X142+AA142+Y142+IF(AA142&lt;0,0,AB142)</f>
        <v/>
      </c>
      <c r="AD142" s="29">
        <f>Z142+V142</f>
        <v/>
      </c>
      <c r="AE142" s="29">
        <f>IF(OR(A142&gt;SV_T,A142&gt;=SV_loanYears),0,MAX(0,AE141*(1+loanRate)-SV_inst))</f>
        <v/>
      </c>
      <c r="AF142" s="29">
        <f>IF(A142&gt;SV_T,0,AF141*(1+SV_savRate)+H142+I142+J142+K142+AD142)</f>
        <v/>
      </c>
      <c r="AG142" s="29">
        <f>IF(A142&gt;SV_T,0,MAX(0,N142+O142+P142+AC142+AF142-AE142))</f>
        <v/>
      </c>
      <c r="AH142" s="29">
        <f>IF(A142&gt;SV_T,0,N142+O142+AF142-MAX(0,AE142-(P142+AC142)))</f>
        <v/>
      </c>
      <c r="AI142" s="29">
        <f>IF(OR(OR(A142&lt;1,A142&gt;SV_T),A142-1&gt;=SV_retPay),0,SV_retMth*12+IF(A142=1,SV_retLump,0))</f>
        <v/>
      </c>
      <c r="AJ142" s="29">
        <f>IF(A142&gt;SV_T,0,(AJ141+AI142)*(1+investmentReturn))</f>
        <v/>
      </c>
      <c r="AK142" s="29">
        <f>IF(OR(OR(A142&lt;1,A142&gt;SV_T),A142-1&gt;=SV_goalPay),0,SV_goalMth*12+IF(A142=1,SV_goalLump,0))</f>
        <v/>
      </c>
      <c r="AL142" s="29">
        <f>IF(A142&gt;SV_T,0,(AL141+AK142)*(1+investmentReturn))</f>
        <v/>
      </c>
      <c r="AM142" s="29">
        <f>IF(OR(OR(A142&lt;1,A142&gt;SV_T),A142-1&gt;=SV_protPay),0,SV_protPrem)</f>
        <v/>
      </c>
      <c r="AN142" s="29">
        <f>IF(OR(A142=0,A142&gt;=SV_T),0,ROUND(MAX(0,AJ142),2)+ROUND(MAX(0,AL142),2))</f>
        <v/>
      </c>
      <c r="AO142" s="29">
        <f>IF(OR(A142&lt;1,A142&gt;SV_T),0,-(AI142+AK142+AM142)+IF(A142=SV_T,ROUND(MAX(0,AJ142),2)+ROUND(MAX(0,AL142),2),0))</f>
        <v/>
      </c>
      <c r="AP142" s="29">
        <f>IF(A142&gt;SV_T,0,AP141*(1+SV_savRate)+H142+I142+J142+K142+AD142+AO142)</f>
        <v/>
      </c>
      <c r="AQ142" s="29">
        <f>IF(A142&gt;SV_T,0,MAX(0,N142+O142+P142+AC142+AP142+AN142-AE142))</f>
        <v/>
      </c>
      <c r="AR142" s="29">
        <f>IF(A142&gt;SV_T,0,N142+O142+AP142+AN142-MAX(0,AE142-(P142+AC142)))</f>
        <v/>
      </c>
    </row>
    <row r="143">
      <c r="A143" s="61" t="n">
        <v>20</v>
      </c>
      <c r="B143" s="61">
        <f>SV_age+A143</f>
        <v/>
      </c>
      <c r="C143" s="61">
        <f>currentYear+A143</f>
        <v/>
      </c>
      <c r="D143" s="52">
        <f>A143&lt;=SV_T</f>
        <v/>
      </c>
      <c r="E143" s="60">
        <f>IF(AND(SV_inflOn,A143&gt;=SV_inflS,A143&lt;=SV_inflE),1+SV_inflRate,1+inflationRate)</f>
        <v/>
      </c>
      <c r="F143" s="60">
        <f>IF(A143&lt;=1,1,F142*E143)</f>
        <v/>
      </c>
      <c r="G143" s="60">
        <f>IF(AND(SV_incOn,A143&gt;=SV_incS,A143&lt;=SV_incE),1+SV_incImp,1)</f>
        <v/>
      </c>
      <c r="H143" s="29">
        <f>IF(OR(OR(A143&lt;1,A143&gt;SV_T),A143-1&gt;=SV_salCut),0,SV_sal0*(1+incomeGrowthRate)^(A143-1)*G143)</f>
        <v/>
      </c>
      <c r="I143" s="29">
        <f>IF(OR(A143&lt;1,A143&gt;SV_T),0,(-SV_exp0*F143-IF(A143&lt;=SV_loanYears,SV_inst,0)-IF(AND(SV_wdAmt&gt;0,A143=SV_wdYear),SV_wdAmt,0))*IF(AND(SV_expOn,A143&gt;=SV_expS,A143&lt;=SV_expE),1+SV_expImp,1))</f>
        <v/>
      </c>
      <c r="J143" s="29">
        <f>IF(OR(OR(A143&lt;1,A143&gt;SV_T),A143&gt;SV_loanYears),0,-SV_lifePremYr)</f>
        <v/>
      </c>
      <c r="K143" s="29">
        <f>IF(OR(A143&lt;1,A143&gt;SV_T),0,-SV_contrib)</f>
        <v/>
      </c>
      <c r="L143" s="60">
        <f>IF(AND(SV_crashOn,A143=SV_crashYr),SV_crashF,1)</f>
        <v/>
      </c>
      <c r="M143" s="60">
        <f>IF(AND(SV_ccyOn,A143=SV_ccyYr),SV_ccyF,1)</f>
        <v/>
      </c>
      <c r="N143" s="29">
        <f>IF(A143&gt;SV_T,0,N142*(1+interestRate)*L143*M143)</f>
        <v/>
      </c>
      <c r="O143" s="29">
        <f>IF(A143&gt;SV_T,0,(O142+SV_contrib)*(1+investmentReturn)*L143*M143)</f>
        <v/>
      </c>
      <c r="P143" s="29">
        <f>IF(A143&gt;SV_T,0,P142*(1+SV_propRate)*L143)</f>
        <v/>
      </c>
      <c r="Q143" s="46">
        <f>MATCH(SV_age+A143-1,SV_cpfLower,1)</f>
        <v/>
      </c>
      <c r="R143" s="29">
        <f>IF(OR(OR(A143&lt;1,A143&gt;SV_T),NOT(SV_cpfOn)),0,MIN(SV_sal0*(1+incomeGrowthRate)^(A143-1)*G143,SV_owCap))</f>
        <v/>
      </c>
      <c r="S143" s="29">
        <f>IF(A143&gt;SV_T,0,S142*(1+SV_oaRate)+IF(A143&gt;=SV_effStop,0,INDEX(SV_cpfOA,Q143)*INDEX(SV_cpfTot,Q143)*R143))</f>
        <v/>
      </c>
      <c r="T143" s="29">
        <f>IF(A143&gt;SV_T,0,T142*(1+SV_saRate)+IF(A143&gt;=SV_effStop,0,INDEX(SV_cpfSA,Q143)*INDEX(SV_cpfTot,Q143)*R143))</f>
        <v/>
      </c>
      <c r="U143" s="29">
        <f>IF(A143&gt;SV_T,0,U142*(1+SV_saRate)+IF(A143&gt;=SV_effStop,0,INDEX(SV_cpfMA,Q143)*INDEX(SV_cpfTot,Q143)*R143))</f>
        <v/>
      </c>
      <c r="V143" s="29">
        <f>IF(OR(OR(A143&lt;1,A143&gt;SV_T),A143&gt;=SV_effNeg),0,-(INDEX(SV_cpfOA,Q143)+INDEX(SV_cpfSA,Q143)+INDEX(SV_cpfMA,Q143))*INDEX(SV_cpfEmp,Q143)*R143)</f>
        <v/>
      </c>
      <c r="W143" s="29">
        <f>IF(A143&gt;=SV_sIdx,0,S143)</f>
        <v/>
      </c>
      <c r="X143" s="29">
        <f>IF(A143&gt;=SV_sIdx,0,T143)</f>
        <v/>
      </c>
      <c r="Y143" s="29">
        <f>IF(A143&gt;=SV_sIdx,MIN(U143,SV_maCap),U143)</f>
        <v/>
      </c>
      <c r="Z143" s="29">
        <f>IF(AND(SV_cpfOn,A143&gt;=SV_pIdx,A143&lt;=SV_T),12*SV_pay,0)</f>
        <v/>
      </c>
      <c r="AA143" s="29">
        <f>IF(A143&gt;SV_T,0,IF(SV_sp&gt;=0,IF(A143&lt;SV_sIdx,0,IF(A143=SV_sIdx,SV_R0,SV_lifeGrowth*AA142)),SV_lifeGrowth*AA142))</f>
        <v/>
      </c>
      <c r="AB143" s="29">
        <f>IF(A143&gt;SV_T,0,IF(AND(SV_sp&gt;=0,A143&lt;SV_sIdx),0,IF(AND(SV_sp&gt;=0,A143=SV_sIdx),SV_L0,SV_lifeGrowth*(AB142-Z143))))</f>
        <v/>
      </c>
      <c r="AC143" s="29">
        <f>W143+X143+AA143+Y143+IF(AA143&lt;0,0,AB143)</f>
        <v/>
      </c>
      <c r="AD143" s="29">
        <f>Z143+V143</f>
        <v/>
      </c>
      <c r="AE143" s="29">
        <f>IF(OR(A143&gt;SV_T,A143&gt;=SV_loanYears),0,MAX(0,AE142*(1+loanRate)-SV_inst))</f>
        <v/>
      </c>
      <c r="AF143" s="29">
        <f>IF(A143&gt;SV_T,0,AF142*(1+SV_savRate)+H143+I143+J143+K143+AD143)</f>
        <v/>
      </c>
      <c r="AG143" s="29">
        <f>IF(A143&gt;SV_T,0,MAX(0,N143+O143+P143+AC143+AF143-AE143))</f>
        <v/>
      </c>
      <c r="AH143" s="29">
        <f>IF(A143&gt;SV_T,0,N143+O143+AF143-MAX(0,AE143-(P143+AC143)))</f>
        <v/>
      </c>
      <c r="AI143" s="29">
        <f>IF(OR(OR(A143&lt;1,A143&gt;SV_T),A143-1&gt;=SV_retPay),0,SV_retMth*12+IF(A143=1,SV_retLump,0))</f>
        <v/>
      </c>
      <c r="AJ143" s="29">
        <f>IF(A143&gt;SV_T,0,(AJ142+AI143)*(1+investmentReturn))</f>
        <v/>
      </c>
      <c r="AK143" s="29">
        <f>IF(OR(OR(A143&lt;1,A143&gt;SV_T),A143-1&gt;=SV_goalPay),0,SV_goalMth*12+IF(A143=1,SV_goalLump,0))</f>
        <v/>
      </c>
      <c r="AL143" s="29">
        <f>IF(A143&gt;SV_T,0,(AL142+AK143)*(1+investmentReturn))</f>
        <v/>
      </c>
      <c r="AM143" s="29">
        <f>IF(OR(OR(A143&lt;1,A143&gt;SV_T),A143-1&gt;=SV_protPay),0,SV_protPrem)</f>
        <v/>
      </c>
      <c r="AN143" s="29">
        <f>IF(OR(A143=0,A143&gt;=SV_T),0,ROUND(MAX(0,AJ143),2)+ROUND(MAX(0,AL143),2))</f>
        <v/>
      </c>
      <c r="AO143" s="29">
        <f>IF(OR(A143&lt;1,A143&gt;SV_T),0,-(AI143+AK143+AM143)+IF(A143=SV_T,ROUND(MAX(0,AJ143),2)+ROUND(MAX(0,AL143),2),0))</f>
        <v/>
      </c>
      <c r="AP143" s="29">
        <f>IF(A143&gt;SV_T,0,AP142*(1+SV_savRate)+H143+I143+J143+K143+AD143+AO143)</f>
        <v/>
      </c>
      <c r="AQ143" s="29">
        <f>IF(A143&gt;SV_T,0,MAX(0,N143+O143+P143+AC143+AP143+AN143-AE143))</f>
        <v/>
      </c>
      <c r="AR143" s="29">
        <f>IF(A143&gt;SV_T,0,N143+O143+AP143+AN143-MAX(0,AE143-(P143+AC143)))</f>
        <v/>
      </c>
    </row>
    <row r="144">
      <c r="A144" s="61" t="n">
        <v>21</v>
      </c>
      <c r="B144" s="61">
        <f>SV_age+A144</f>
        <v/>
      </c>
      <c r="C144" s="61">
        <f>currentYear+A144</f>
        <v/>
      </c>
      <c r="D144" s="52">
        <f>A144&lt;=SV_T</f>
        <v/>
      </c>
      <c r="E144" s="60">
        <f>IF(AND(SV_inflOn,A144&gt;=SV_inflS,A144&lt;=SV_inflE),1+SV_inflRate,1+inflationRate)</f>
        <v/>
      </c>
      <c r="F144" s="60">
        <f>IF(A144&lt;=1,1,F143*E144)</f>
        <v/>
      </c>
      <c r="G144" s="60">
        <f>IF(AND(SV_incOn,A144&gt;=SV_incS,A144&lt;=SV_incE),1+SV_incImp,1)</f>
        <v/>
      </c>
      <c r="H144" s="29">
        <f>IF(OR(OR(A144&lt;1,A144&gt;SV_T),A144-1&gt;=SV_salCut),0,SV_sal0*(1+incomeGrowthRate)^(A144-1)*G144)</f>
        <v/>
      </c>
      <c r="I144" s="29">
        <f>IF(OR(A144&lt;1,A144&gt;SV_T),0,(-SV_exp0*F144-IF(A144&lt;=SV_loanYears,SV_inst,0)-IF(AND(SV_wdAmt&gt;0,A144=SV_wdYear),SV_wdAmt,0))*IF(AND(SV_expOn,A144&gt;=SV_expS,A144&lt;=SV_expE),1+SV_expImp,1))</f>
        <v/>
      </c>
      <c r="J144" s="29">
        <f>IF(OR(OR(A144&lt;1,A144&gt;SV_T),A144&gt;SV_loanYears),0,-SV_lifePremYr)</f>
        <v/>
      </c>
      <c r="K144" s="29">
        <f>IF(OR(A144&lt;1,A144&gt;SV_T),0,-SV_contrib)</f>
        <v/>
      </c>
      <c r="L144" s="60">
        <f>IF(AND(SV_crashOn,A144=SV_crashYr),SV_crashF,1)</f>
        <v/>
      </c>
      <c r="M144" s="60">
        <f>IF(AND(SV_ccyOn,A144=SV_ccyYr),SV_ccyF,1)</f>
        <v/>
      </c>
      <c r="N144" s="29">
        <f>IF(A144&gt;SV_T,0,N143*(1+interestRate)*L144*M144)</f>
        <v/>
      </c>
      <c r="O144" s="29">
        <f>IF(A144&gt;SV_T,0,(O143+SV_contrib)*(1+investmentReturn)*L144*M144)</f>
        <v/>
      </c>
      <c r="P144" s="29">
        <f>IF(A144&gt;SV_T,0,P143*(1+SV_propRate)*L144)</f>
        <v/>
      </c>
      <c r="Q144" s="46">
        <f>MATCH(SV_age+A144-1,SV_cpfLower,1)</f>
        <v/>
      </c>
      <c r="R144" s="29">
        <f>IF(OR(OR(A144&lt;1,A144&gt;SV_T),NOT(SV_cpfOn)),0,MIN(SV_sal0*(1+incomeGrowthRate)^(A144-1)*G144,SV_owCap))</f>
        <v/>
      </c>
      <c r="S144" s="29">
        <f>IF(A144&gt;SV_T,0,S143*(1+SV_oaRate)+IF(A144&gt;=SV_effStop,0,INDEX(SV_cpfOA,Q144)*INDEX(SV_cpfTot,Q144)*R144))</f>
        <v/>
      </c>
      <c r="T144" s="29">
        <f>IF(A144&gt;SV_T,0,T143*(1+SV_saRate)+IF(A144&gt;=SV_effStop,0,INDEX(SV_cpfSA,Q144)*INDEX(SV_cpfTot,Q144)*R144))</f>
        <v/>
      </c>
      <c r="U144" s="29">
        <f>IF(A144&gt;SV_T,0,U143*(1+SV_saRate)+IF(A144&gt;=SV_effStop,0,INDEX(SV_cpfMA,Q144)*INDEX(SV_cpfTot,Q144)*R144))</f>
        <v/>
      </c>
      <c r="V144" s="29">
        <f>IF(OR(OR(A144&lt;1,A144&gt;SV_T),A144&gt;=SV_effNeg),0,-(INDEX(SV_cpfOA,Q144)+INDEX(SV_cpfSA,Q144)+INDEX(SV_cpfMA,Q144))*INDEX(SV_cpfEmp,Q144)*R144)</f>
        <v/>
      </c>
      <c r="W144" s="29">
        <f>IF(A144&gt;=SV_sIdx,0,S144)</f>
        <v/>
      </c>
      <c r="X144" s="29">
        <f>IF(A144&gt;=SV_sIdx,0,T144)</f>
        <v/>
      </c>
      <c r="Y144" s="29">
        <f>IF(A144&gt;=SV_sIdx,MIN(U144,SV_maCap),U144)</f>
        <v/>
      </c>
      <c r="Z144" s="29">
        <f>IF(AND(SV_cpfOn,A144&gt;=SV_pIdx,A144&lt;=SV_T),12*SV_pay,0)</f>
        <v/>
      </c>
      <c r="AA144" s="29">
        <f>IF(A144&gt;SV_T,0,IF(SV_sp&gt;=0,IF(A144&lt;SV_sIdx,0,IF(A144=SV_sIdx,SV_R0,SV_lifeGrowth*AA143)),SV_lifeGrowth*AA143))</f>
        <v/>
      </c>
      <c r="AB144" s="29">
        <f>IF(A144&gt;SV_T,0,IF(AND(SV_sp&gt;=0,A144&lt;SV_sIdx),0,IF(AND(SV_sp&gt;=0,A144=SV_sIdx),SV_L0,SV_lifeGrowth*(AB143-Z144))))</f>
        <v/>
      </c>
      <c r="AC144" s="29">
        <f>W144+X144+AA144+Y144+IF(AA144&lt;0,0,AB144)</f>
        <v/>
      </c>
      <c r="AD144" s="29">
        <f>Z144+V144</f>
        <v/>
      </c>
      <c r="AE144" s="29">
        <f>IF(OR(A144&gt;SV_T,A144&gt;=SV_loanYears),0,MAX(0,AE143*(1+loanRate)-SV_inst))</f>
        <v/>
      </c>
      <c r="AF144" s="29">
        <f>IF(A144&gt;SV_T,0,AF143*(1+SV_savRate)+H144+I144+J144+K144+AD144)</f>
        <v/>
      </c>
      <c r="AG144" s="29">
        <f>IF(A144&gt;SV_T,0,MAX(0,N144+O144+P144+AC144+AF144-AE144))</f>
        <v/>
      </c>
      <c r="AH144" s="29">
        <f>IF(A144&gt;SV_T,0,N144+O144+AF144-MAX(0,AE144-(P144+AC144)))</f>
        <v/>
      </c>
      <c r="AI144" s="29">
        <f>IF(OR(OR(A144&lt;1,A144&gt;SV_T),A144-1&gt;=SV_retPay),0,SV_retMth*12+IF(A144=1,SV_retLump,0))</f>
        <v/>
      </c>
      <c r="AJ144" s="29">
        <f>IF(A144&gt;SV_T,0,(AJ143+AI144)*(1+investmentReturn))</f>
        <v/>
      </c>
      <c r="AK144" s="29">
        <f>IF(OR(OR(A144&lt;1,A144&gt;SV_T),A144-1&gt;=SV_goalPay),0,SV_goalMth*12+IF(A144=1,SV_goalLump,0))</f>
        <v/>
      </c>
      <c r="AL144" s="29">
        <f>IF(A144&gt;SV_T,0,(AL143+AK144)*(1+investmentReturn))</f>
        <v/>
      </c>
      <c r="AM144" s="29">
        <f>IF(OR(OR(A144&lt;1,A144&gt;SV_T),A144-1&gt;=SV_protPay),0,SV_protPrem)</f>
        <v/>
      </c>
      <c r="AN144" s="29">
        <f>IF(OR(A144=0,A144&gt;=SV_T),0,ROUND(MAX(0,AJ144),2)+ROUND(MAX(0,AL144),2))</f>
        <v/>
      </c>
      <c r="AO144" s="29">
        <f>IF(OR(A144&lt;1,A144&gt;SV_T),0,-(AI144+AK144+AM144)+IF(A144=SV_T,ROUND(MAX(0,AJ144),2)+ROUND(MAX(0,AL144),2),0))</f>
        <v/>
      </c>
      <c r="AP144" s="29">
        <f>IF(A144&gt;SV_T,0,AP143*(1+SV_savRate)+H144+I144+J144+K144+AD144+AO144)</f>
        <v/>
      </c>
      <c r="AQ144" s="29">
        <f>IF(A144&gt;SV_T,0,MAX(0,N144+O144+P144+AC144+AP144+AN144-AE144))</f>
        <v/>
      </c>
      <c r="AR144" s="29">
        <f>IF(A144&gt;SV_T,0,N144+O144+AP144+AN144-MAX(0,AE144-(P144+AC144)))</f>
        <v/>
      </c>
    </row>
    <row r="145">
      <c r="A145" s="61" t="n">
        <v>22</v>
      </c>
      <c r="B145" s="61">
        <f>SV_age+A145</f>
        <v/>
      </c>
      <c r="C145" s="61">
        <f>currentYear+A145</f>
        <v/>
      </c>
      <c r="D145" s="52">
        <f>A145&lt;=SV_T</f>
        <v/>
      </c>
      <c r="E145" s="60">
        <f>IF(AND(SV_inflOn,A145&gt;=SV_inflS,A145&lt;=SV_inflE),1+SV_inflRate,1+inflationRate)</f>
        <v/>
      </c>
      <c r="F145" s="60">
        <f>IF(A145&lt;=1,1,F144*E145)</f>
        <v/>
      </c>
      <c r="G145" s="60">
        <f>IF(AND(SV_incOn,A145&gt;=SV_incS,A145&lt;=SV_incE),1+SV_incImp,1)</f>
        <v/>
      </c>
      <c r="H145" s="29">
        <f>IF(OR(OR(A145&lt;1,A145&gt;SV_T),A145-1&gt;=SV_salCut),0,SV_sal0*(1+incomeGrowthRate)^(A145-1)*G145)</f>
        <v/>
      </c>
      <c r="I145" s="29">
        <f>IF(OR(A145&lt;1,A145&gt;SV_T),0,(-SV_exp0*F145-IF(A145&lt;=SV_loanYears,SV_inst,0)-IF(AND(SV_wdAmt&gt;0,A145=SV_wdYear),SV_wdAmt,0))*IF(AND(SV_expOn,A145&gt;=SV_expS,A145&lt;=SV_expE),1+SV_expImp,1))</f>
        <v/>
      </c>
      <c r="J145" s="29">
        <f>IF(OR(OR(A145&lt;1,A145&gt;SV_T),A145&gt;SV_loanYears),0,-SV_lifePremYr)</f>
        <v/>
      </c>
      <c r="K145" s="29">
        <f>IF(OR(A145&lt;1,A145&gt;SV_T),0,-SV_contrib)</f>
        <v/>
      </c>
      <c r="L145" s="60">
        <f>IF(AND(SV_crashOn,A145=SV_crashYr),SV_crashF,1)</f>
        <v/>
      </c>
      <c r="M145" s="60">
        <f>IF(AND(SV_ccyOn,A145=SV_ccyYr),SV_ccyF,1)</f>
        <v/>
      </c>
      <c r="N145" s="29">
        <f>IF(A145&gt;SV_T,0,N144*(1+interestRate)*L145*M145)</f>
        <v/>
      </c>
      <c r="O145" s="29">
        <f>IF(A145&gt;SV_T,0,(O144+SV_contrib)*(1+investmentReturn)*L145*M145)</f>
        <v/>
      </c>
      <c r="P145" s="29">
        <f>IF(A145&gt;SV_T,0,P144*(1+SV_propRate)*L145)</f>
        <v/>
      </c>
      <c r="Q145" s="46">
        <f>MATCH(SV_age+A145-1,SV_cpfLower,1)</f>
        <v/>
      </c>
      <c r="R145" s="29">
        <f>IF(OR(OR(A145&lt;1,A145&gt;SV_T),NOT(SV_cpfOn)),0,MIN(SV_sal0*(1+incomeGrowthRate)^(A145-1)*G145,SV_owCap))</f>
        <v/>
      </c>
      <c r="S145" s="29">
        <f>IF(A145&gt;SV_T,0,S144*(1+SV_oaRate)+IF(A145&gt;=SV_effStop,0,INDEX(SV_cpfOA,Q145)*INDEX(SV_cpfTot,Q145)*R145))</f>
        <v/>
      </c>
      <c r="T145" s="29">
        <f>IF(A145&gt;SV_T,0,T144*(1+SV_saRate)+IF(A145&gt;=SV_effStop,0,INDEX(SV_cpfSA,Q145)*INDEX(SV_cpfTot,Q145)*R145))</f>
        <v/>
      </c>
      <c r="U145" s="29">
        <f>IF(A145&gt;SV_T,0,U144*(1+SV_saRate)+IF(A145&gt;=SV_effStop,0,INDEX(SV_cpfMA,Q145)*INDEX(SV_cpfTot,Q145)*R145))</f>
        <v/>
      </c>
      <c r="V145" s="29">
        <f>IF(OR(OR(A145&lt;1,A145&gt;SV_T),A145&gt;=SV_effNeg),0,-(INDEX(SV_cpfOA,Q145)+INDEX(SV_cpfSA,Q145)+INDEX(SV_cpfMA,Q145))*INDEX(SV_cpfEmp,Q145)*R145)</f>
        <v/>
      </c>
      <c r="W145" s="29">
        <f>IF(A145&gt;=SV_sIdx,0,S145)</f>
        <v/>
      </c>
      <c r="X145" s="29">
        <f>IF(A145&gt;=SV_sIdx,0,T145)</f>
        <v/>
      </c>
      <c r="Y145" s="29">
        <f>IF(A145&gt;=SV_sIdx,MIN(U145,SV_maCap),U145)</f>
        <v/>
      </c>
      <c r="Z145" s="29">
        <f>IF(AND(SV_cpfOn,A145&gt;=SV_pIdx,A145&lt;=SV_T),12*SV_pay,0)</f>
        <v/>
      </c>
      <c r="AA145" s="29">
        <f>IF(A145&gt;SV_T,0,IF(SV_sp&gt;=0,IF(A145&lt;SV_sIdx,0,IF(A145=SV_sIdx,SV_R0,SV_lifeGrowth*AA144)),SV_lifeGrowth*AA144))</f>
        <v/>
      </c>
      <c r="AB145" s="29">
        <f>IF(A145&gt;SV_T,0,IF(AND(SV_sp&gt;=0,A145&lt;SV_sIdx),0,IF(AND(SV_sp&gt;=0,A145=SV_sIdx),SV_L0,SV_lifeGrowth*(AB144-Z145))))</f>
        <v/>
      </c>
      <c r="AC145" s="29">
        <f>W145+X145+AA145+Y145+IF(AA145&lt;0,0,AB145)</f>
        <v/>
      </c>
      <c r="AD145" s="29">
        <f>Z145+V145</f>
        <v/>
      </c>
      <c r="AE145" s="29">
        <f>IF(OR(A145&gt;SV_T,A145&gt;=SV_loanYears),0,MAX(0,AE144*(1+loanRate)-SV_inst))</f>
        <v/>
      </c>
      <c r="AF145" s="29">
        <f>IF(A145&gt;SV_T,0,AF144*(1+SV_savRate)+H145+I145+J145+K145+AD145)</f>
        <v/>
      </c>
      <c r="AG145" s="29">
        <f>IF(A145&gt;SV_T,0,MAX(0,N145+O145+P145+AC145+AF145-AE145))</f>
        <v/>
      </c>
      <c r="AH145" s="29">
        <f>IF(A145&gt;SV_T,0,N145+O145+AF145-MAX(0,AE145-(P145+AC145)))</f>
        <v/>
      </c>
      <c r="AI145" s="29">
        <f>IF(OR(OR(A145&lt;1,A145&gt;SV_T),A145-1&gt;=SV_retPay),0,SV_retMth*12+IF(A145=1,SV_retLump,0))</f>
        <v/>
      </c>
      <c r="AJ145" s="29">
        <f>IF(A145&gt;SV_T,0,(AJ144+AI145)*(1+investmentReturn))</f>
        <v/>
      </c>
      <c r="AK145" s="29">
        <f>IF(OR(OR(A145&lt;1,A145&gt;SV_T),A145-1&gt;=SV_goalPay),0,SV_goalMth*12+IF(A145=1,SV_goalLump,0))</f>
        <v/>
      </c>
      <c r="AL145" s="29">
        <f>IF(A145&gt;SV_T,0,(AL144+AK145)*(1+investmentReturn))</f>
        <v/>
      </c>
      <c r="AM145" s="29">
        <f>IF(OR(OR(A145&lt;1,A145&gt;SV_T),A145-1&gt;=SV_protPay),0,SV_protPrem)</f>
        <v/>
      </c>
      <c r="AN145" s="29">
        <f>IF(OR(A145=0,A145&gt;=SV_T),0,ROUND(MAX(0,AJ145),2)+ROUND(MAX(0,AL145),2))</f>
        <v/>
      </c>
      <c r="AO145" s="29">
        <f>IF(OR(A145&lt;1,A145&gt;SV_T),0,-(AI145+AK145+AM145)+IF(A145=SV_T,ROUND(MAX(0,AJ145),2)+ROUND(MAX(0,AL145),2),0))</f>
        <v/>
      </c>
      <c r="AP145" s="29">
        <f>IF(A145&gt;SV_T,0,AP144*(1+SV_savRate)+H145+I145+J145+K145+AD145+AO145)</f>
        <v/>
      </c>
      <c r="AQ145" s="29">
        <f>IF(A145&gt;SV_T,0,MAX(0,N145+O145+P145+AC145+AP145+AN145-AE145))</f>
        <v/>
      </c>
      <c r="AR145" s="29">
        <f>IF(A145&gt;SV_T,0,N145+O145+AP145+AN145-MAX(0,AE145-(P145+AC145)))</f>
        <v/>
      </c>
    </row>
    <row r="146">
      <c r="A146" s="61" t="n">
        <v>23</v>
      </c>
      <c r="B146" s="61">
        <f>SV_age+A146</f>
        <v/>
      </c>
      <c r="C146" s="61">
        <f>currentYear+A146</f>
        <v/>
      </c>
      <c r="D146" s="52">
        <f>A146&lt;=SV_T</f>
        <v/>
      </c>
      <c r="E146" s="60">
        <f>IF(AND(SV_inflOn,A146&gt;=SV_inflS,A146&lt;=SV_inflE),1+SV_inflRate,1+inflationRate)</f>
        <v/>
      </c>
      <c r="F146" s="60">
        <f>IF(A146&lt;=1,1,F145*E146)</f>
        <v/>
      </c>
      <c r="G146" s="60">
        <f>IF(AND(SV_incOn,A146&gt;=SV_incS,A146&lt;=SV_incE),1+SV_incImp,1)</f>
        <v/>
      </c>
      <c r="H146" s="29">
        <f>IF(OR(OR(A146&lt;1,A146&gt;SV_T),A146-1&gt;=SV_salCut),0,SV_sal0*(1+incomeGrowthRate)^(A146-1)*G146)</f>
        <v/>
      </c>
      <c r="I146" s="29">
        <f>IF(OR(A146&lt;1,A146&gt;SV_T),0,(-SV_exp0*F146-IF(A146&lt;=SV_loanYears,SV_inst,0)-IF(AND(SV_wdAmt&gt;0,A146=SV_wdYear),SV_wdAmt,0))*IF(AND(SV_expOn,A146&gt;=SV_expS,A146&lt;=SV_expE),1+SV_expImp,1))</f>
        <v/>
      </c>
      <c r="J146" s="29">
        <f>IF(OR(OR(A146&lt;1,A146&gt;SV_T),A146&gt;SV_loanYears),0,-SV_lifePremYr)</f>
        <v/>
      </c>
      <c r="K146" s="29">
        <f>IF(OR(A146&lt;1,A146&gt;SV_T),0,-SV_contrib)</f>
        <v/>
      </c>
      <c r="L146" s="60">
        <f>IF(AND(SV_crashOn,A146=SV_crashYr),SV_crashF,1)</f>
        <v/>
      </c>
      <c r="M146" s="60">
        <f>IF(AND(SV_ccyOn,A146=SV_ccyYr),SV_ccyF,1)</f>
        <v/>
      </c>
      <c r="N146" s="29">
        <f>IF(A146&gt;SV_T,0,N145*(1+interestRate)*L146*M146)</f>
        <v/>
      </c>
      <c r="O146" s="29">
        <f>IF(A146&gt;SV_T,0,(O145+SV_contrib)*(1+investmentReturn)*L146*M146)</f>
        <v/>
      </c>
      <c r="P146" s="29">
        <f>IF(A146&gt;SV_T,0,P145*(1+SV_propRate)*L146)</f>
        <v/>
      </c>
      <c r="Q146" s="46">
        <f>MATCH(SV_age+A146-1,SV_cpfLower,1)</f>
        <v/>
      </c>
      <c r="R146" s="29">
        <f>IF(OR(OR(A146&lt;1,A146&gt;SV_T),NOT(SV_cpfOn)),0,MIN(SV_sal0*(1+incomeGrowthRate)^(A146-1)*G146,SV_owCap))</f>
        <v/>
      </c>
      <c r="S146" s="29">
        <f>IF(A146&gt;SV_T,0,S145*(1+SV_oaRate)+IF(A146&gt;=SV_effStop,0,INDEX(SV_cpfOA,Q146)*INDEX(SV_cpfTot,Q146)*R146))</f>
        <v/>
      </c>
      <c r="T146" s="29">
        <f>IF(A146&gt;SV_T,0,T145*(1+SV_saRate)+IF(A146&gt;=SV_effStop,0,INDEX(SV_cpfSA,Q146)*INDEX(SV_cpfTot,Q146)*R146))</f>
        <v/>
      </c>
      <c r="U146" s="29">
        <f>IF(A146&gt;SV_T,0,U145*(1+SV_saRate)+IF(A146&gt;=SV_effStop,0,INDEX(SV_cpfMA,Q146)*INDEX(SV_cpfTot,Q146)*R146))</f>
        <v/>
      </c>
      <c r="V146" s="29">
        <f>IF(OR(OR(A146&lt;1,A146&gt;SV_T),A146&gt;=SV_effNeg),0,-(INDEX(SV_cpfOA,Q146)+INDEX(SV_cpfSA,Q146)+INDEX(SV_cpfMA,Q146))*INDEX(SV_cpfEmp,Q146)*R146)</f>
        <v/>
      </c>
      <c r="W146" s="29">
        <f>IF(A146&gt;=SV_sIdx,0,S146)</f>
        <v/>
      </c>
      <c r="X146" s="29">
        <f>IF(A146&gt;=SV_sIdx,0,T146)</f>
        <v/>
      </c>
      <c r="Y146" s="29">
        <f>IF(A146&gt;=SV_sIdx,MIN(U146,SV_maCap),U146)</f>
        <v/>
      </c>
      <c r="Z146" s="29">
        <f>IF(AND(SV_cpfOn,A146&gt;=SV_pIdx,A146&lt;=SV_T),12*SV_pay,0)</f>
        <v/>
      </c>
      <c r="AA146" s="29">
        <f>IF(A146&gt;SV_T,0,IF(SV_sp&gt;=0,IF(A146&lt;SV_sIdx,0,IF(A146=SV_sIdx,SV_R0,SV_lifeGrowth*AA145)),SV_lifeGrowth*AA145))</f>
        <v/>
      </c>
      <c r="AB146" s="29">
        <f>IF(A146&gt;SV_T,0,IF(AND(SV_sp&gt;=0,A146&lt;SV_sIdx),0,IF(AND(SV_sp&gt;=0,A146=SV_sIdx),SV_L0,SV_lifeGrowth*(AB145-Z146))))</f>
        <v/>
      </c>
      <c r="AC146" s="29">
        <f>W146+X146+AA146+Y146+IF(AA146&lt;0,0,AB146)</f>
        <v/>
      </c>
      <c r="AD146" s="29">
        <f>Z146+V146</f>
        <v/>
      </c>
      <c r="AE146" s="29">
        <f>IF(OR(A146&gt;SV_T,A146&gt;=SV_loanYears),0,MAX(0,AE145*(1+loanRate)-SV_inst))</f>
        <v/>
      </c>
      <c r="AF146" s="29">
        <f>IF(A146&gt;SV_T,0,AF145*(1+SV_savRate)+H146+I146+J146+K146+AD146)</f>
        <v/>
      </c>
      <c r="AG146" s="29">
        <f>IF(A146&gt;SV_T,0,MAX(0,N146+O146+P146+AC146+AF146-AE146))</f>
        <v/>
      </c>
      <c r="AH146" s="29">
        <f>IF(A146&gt;SV_T,0,N146+O146+AF146-MAX(0,AE146-(P146+AC146)))</f>
        <v/>
      </c>
      <c r="AI146" s="29">
        <f>IF(OR(OR(A146&lt;1,A146&gt;SV_T),A146-1&gt;=SV_retPay),0,SV_retMth*12+IF(A146=1,SV_retLump,0))</f>
        <v/>
      </c>
      <c r="AJ146" s="29">
        <f>IF(A146&gt;SV_T,0,(AJ145+AI146)*(1+investmentReturn))</f>
        <v/>
      </c>
      <c r="AK146" s="29">
        <f>IF(OR(OR(A146&lt;1,A146&gt;SV_T),A146-1&gt;=SV_goalPay),0,SV_goalMth*12+IF(A146=1,SV_goalLump,0))</f>
        <v/>
      </c>
      <c r="AL146" s="29">
        <f>IF(A146&gt;SV_T,0,(AL145+AK146)*(1+investmentReturn))</f>
        <v/>
      </c>
      <c r="AM146" s="29">
        <f>IF(OR(OR(A146&lt;1,A146&gt;SV_T),A146-1&gt;=SV_protPay),0,SV_protPrem)</f>
        <v/>
      </c>
      <c r="AN146" s="29">
        <f>IF(OR(A146=0,A146&gt;=SV_T),0,ROUND(MAX(0,AJ146),2)+ROUND(MAX(0,AL146),2))</f>
        <v/>
      </c>
      <c r="AO146" s="29">
        <f>IF(OR(A146&lt;1,A146&gt;SV_T),0,-(AI146+AK146+AM146)+IF(A146=SV_T,ROUND(MAX(0,AJ146),2)+ROUND(MAX(0,AL146),2),0))</f>
        <v/>
      </c>
      <c r="AP146" s="29">
        <f>IF(A146&gt;SV_T,0,AP145*(1+SV_savRate)+H146+I146+J146+K146+AD146+AO146)</f>
        <v/>
      </c>
      <c r="AQ146" s="29">
        <f>IF(A146&gt;SV_T,0,MAX(0,N146+O146+P146+AC146+AP146+AN146-AE146))</f>
        <v/>
      </c>
      <c r="AR146" s="29">
        <f>IF(A146&gt;SV_T,0,N146+O146+AP146+AN146-MAX(0,AE146-(P146+AC146)))</f>
        <v/>
      </c>
    </row>
    <row r="147">
      <c r="A147" s="61" t="n">
        <v>24</v>
      </c>
      <c r="B147" s="61">
        <f>SV_age+A147</f>
        <v/>
      </c>
      <c r="C147" s="61">
        <f>currentYear+A147</f>
        <v/>
      </c>
      <c r="D147" s="52">
        <f>A147&lt;=SV_T</f>
        <v/>
      </c>
      <c r="E147" s="60">
        <f>IF(AND(SV_inflOn,A147&gt;=SV_inflS,A147&lt;=SV_inflE),1+SV_inflRate,1+inflationRate)</f>
        <v/>
      </c>
      <c r="F147" s="60">
        <f>IF(A147&lt;=1,1,F146*E147)</f>
        <v/>
      </c>
      <c r="G147" s="60">
        <f>IF(AND(SV_incOn,A147&gt;=SV_incS,A147&lt;=SV_incE),1+SV_incImp,1)</f>
        <v/>
      </c>
      <c r="H147" s="29">
        <f>IF(OR(OR(A147&lt;1,A147&gt;SV_T),A147-1&gt;=SV_salCut),0,SV_sal0*(1+incomeGrowthRate)^(A147-1)*G147)</f>
        <v/>
      </c>
      <c r="I147" s="29">
        <f>IF(OR(A147&lt;1,A147&gt;SV_T),0,(-SV_exp0*F147-IF(A147&lt;=SV_loanYears,SV_inst,0)-IF(AND(SV_wdAmt&gt;0,A147=SV_wdYear),SV_wdAmt,0))*IF(AND(SV_expOn,A147&gt;=SV_expS,A147&lt;=SV_expE),1+SV_expImp,1))</f>
        <v/>
      </c>
      <c r="J147" s="29">
        <f>IF(OR(OR(A147&lt;1,A147&gt;SV_T),A147&gt;SV_loanYears),0,-SV_lifePremYr)</f>
        <v/>
      </c>
      <c r="K147" s="29">
        <f>IF(OR(A147&lt;1,A147&gt;SV_T),0,-SV_contrib)</f>
        <v/>
      </c>
      <c r="L147" s="60">
        <f>IF(AND(SV_crashOn,A147=SV_crashYr),SV_crashF,1)</f>
        <v/>
      </c>
      <c r="M147" s="60">
        <f>IF(AND(SV_ccyOn,A147=SV_ccyYr),SV_ccyF,1)</f>
        <v/>
      </c>
      <c r="N147" s="29">
        <f>IF(A147&gt;SV_T,0,N146*(1+interestRate)*L147*M147)</f>
        <v/>
      </c>
      <c r="O147" s="29">
        <f>IF(A147&gt;SV_T,0,(O146+SV_contrib)*(1+investmentReturn)*L147*M147)</f>
        <v/>
      </c>
      <c r="P147" s="29">
        <f>IF(A147&gt;SV_T,0,P146*(1+SV_propRate)*L147)</f>
        <v/>
      </c>
      <c r="Q147" s="46">
        <f>MATCH(SV_age+A147-1,SV_cpfLower,1)</f>
        <v/>
      </c>
      <c r="R147" s="29">
        <f>IF(OR(OR(A147&lt;1,A147&gt;SV_T),NOT(SV_cpfOn)),0,MIN(SV_sal0*(1+incomeGrowthRate)^(A147-1)*G147,SV_owCap))</f>
        <v/>
      </c>
      <c r="S147" s="29">
        <f>IF(A147&gt;SV_T,0,S146*(1+SV_oaRate)+IF(A147&gt;=SV_effStop,0,INDEX(SV_cpfOA,Q147)*INDEX(SV_cpfTot,Q147)*R147))</f>
        <v/>
      </c>
      <c r="T147" s="29">
        <f>IF(A147&gt;SV_T,0,T146*(1+SV_saRate)+IF(A147&gt;=SV_effStop,0,INDEX(SV_cpfSA,Q147)*INDEX(SV_cpfTot,Q147)*R147))</f>
        <v/>
      </c>
      <c r="U147" s="29">
        <f>IF(A147&gt;SV_T,0,U146*(1+SV_saRate)+IF(A147&gt;=SV_effStop,0,INDEX(SV_cpfMA,Q147)*INDEX(SV_cpfTot,Q147)*R147))</f>
        <v/>
      </c>
      <c r="V147" s="29">
        <f>IF(OR(OR(A147&lt;1,A147&gt;SV_T),A147&gt;=SV_effNeg),0,-(INDEX(SV_cpfOA,Q147)+INDEX(SV_cpfSA,Q147)+INDEX(SV_cpfMA,Q147))*INDEX(SV_cpfEmp,Q147)*R147)</f>
        <v/>
      </c>
      <c r="W147" s="29">
        <f>IF(A147&gt;=SV_sIdx,0,S147)</f>
        <v/>
      </c>
      <c r="X147" s="29">
        <f>IF(A147&gt;=SV_sIdx,0,T147)</f>
        <v/>
      </c>
      <c r="Y147" s="29">
        <f>IF(A147&gt;=SV_sIdx,MIN(U147,SV_maCap),U147)</f>
        <v/>
      </c>
      <c r="Z147" s="29">
        <f>IF(AND(SV_cpfOn,A147&gt;=SV_pIdx,A147&lt;=SV_T),12*SV_pay,0)</f>
        <v/>
      </c>
      <c r="AA147" s="29">
        <f>IF(A147&gt;SV_T,0,IF(SV_sp&gt;=0,IF(A147&lt;SV_sIdx,0,IF(A147=SV_sIdx,SV_R0,SV_lifeGrowth*AA146)),SV_lifeGrowth*AA146))</f>
        <v/>
      </c>
      <c r="AB147" s="29">
        <f>IF(A147&gt;SV_T,0,IF(AND(SV_sp&gt;=0,A147&lt;SV_sIdx),0,IF(AND(SV_sp&gt;=0,A147=SV_sIdx),SV_L0,SV_lifeGrowth*(AB146-Z147))))</f>
        <v/>
      </c>
      <c r="AC147" s="29">
        <f>W147+X147+AA147+Y147+IF(AA147&lt;0,0,AB147)</f>
        <v/>
      </c>
      <c r="AD147" s="29">
        <f>Z147+V147</f>
        <v/>
      </c>
      <c r="AE147" s="29">
        <f>IF(OR(A147&gt;SV_T,A147&gt;=SV_loanYears),0,MAX(0,AE146*(1+loanRate)-SV_inst))</f>
        <v/>
      </c>
      <c r="AF147" s="29">
        <f>IF(A147&gt;SV_T,0,AF146*(1+SV_savRate)+H147+I147+J147+K147+AD147)</f>
        <v/>
      </c>
      <c r="AG147" s="29">
        <f>IF(A147&gt;SV_T,0,MAX(0,N147+O147+P147+AC147+AF147-AE147))</f>
        <v/>
      </c>
      <c r="AH147" s="29">
        <f>IF(A147&gt;SV_T,0,N147+O147+AF147-MAX(0,AE147-(P147+AC147)))</f>
        <v/>
      </c>
      <c r="AI147" s="29">
        <f>IF(OR(OR(A147&lt;1,A147&gt;SV_T),A147-1&gt;=SV_retPay),0,SV_retMth*12+IF(A147=1,SV_retLump,0))</f>
        <v/>
      </c>
      <c r="AJ147" s="29">
        <f>IF(A147&gt;SV_T,0,(AJ146+AI147)*(1+investmentReturn))</f>
        <v/>
      </c>
      <c r="AK147" s="29">
        <f>IF(OR(OR(A147&lt;1,A147&gt;SV_T),A147-1&gt;=SV_goalPay),0,SV_goalMth*12+IF(A147=1,SV_goalLump,0))</f>
        <v/>
      </c>
      <c r="AL147" s="29">
        <f>IF(A147&gt;SV_T,0,(AL146+AK147)*(1+investmentReturn))</f>
        <v/>
      </c>
      <c r="AM147" s="29">
        <f>IF(OR(OR(A147&lt;1,A147&gt;SV_T),A147-1&gt;=SV_protPay),0,SV_protPrem)</f>
        <v/>
      </c>
      <c r="AN147" s="29">
        <f>IF(OR(A147=0,A147&gt;=SV_T),0,ROUND(MAX(0,AJ147),2)+ROUND(MAX(0,AL147),2))</f>
        <v/>
      </c>
      <c r="AO147" s="29">
        <f>IF(OR(A147&lt;1,A147&gt;SV_T),0,-(AI147+AK147+AM147)+IF(A147=SV_T,ROUND(MAX(0,AJ147),2)+ROUND(MAX(0,AL147),2),0))</f>
        <v/>
      </c>
      <c r="AP147" s="29">
        <f>IF(A147&gt;SV_T,0,AP146*(1+SV_savRate)+H147+I147+J147+K147+AD147+AO147)</f>
        <v/>
      </c>
      <c r="AQ147" s="29">
        <f>IF(A147&gt;SV_T,0,MAX(0,N147+O147+P147+AC147+AP147+AN147-AE147))</f>
        <v/>
      </c>
      <c r="AR147" s="29">
        <f>IF(A147&gt;SV_T,0,N147+O147+AP147+AN147-MAX(0,AE147-(P147+AC147)))</f>
        <v/>
      </c>
    </row>
    <row r="148">
      <c r="A148" s="61" t="n">
        <v>25</v>
      </c>
      <c r="B148" s="61">
        <f>SV_age+A148</f>
        <v/>
      </c>
      <c r="C148" s="61">
        <f>currentYear+A148</f>
        <v/>
      </c>
      <c r="D148" s="52">
        <f>A148&lt;=SV_T</f>
        <v/>
      </c>
      <c r="E148" s="60">
        <f>IF(AND(SV_inflOn,A148&gt;=SV_inflS,A148&lt;=SV_inflE),1+SV_inflRate,1+inflationRate)</f>
        <v/>
      </c>
      <c r="F148" s="60">
        <f>IF(A148&lt;=1,1,F147*E148)</f>
        <v/>
      </c>
      <c r="G148" s="60">
        <f>IF(AND(SV_incOn,A148&gt;=SV_incS,A148&lt;=SV_incE),1+SV_incImp,1)</f>
        <v/>
      </c>
      <c r="H148" s="29">
        <f>IF(OR(OR(A148&lt;1,A148&gt;SV_T),A148-1&gt;=SV_salCut),0,SV_sal0*(1+incomeGrowthRate)^(A148-1)*G148)</f>
        <v/>
      </c>
      <c r="I148" s="29">
        <f>IF(OR(A148&lt;1,A148&gt;SV_T),0,(-SV_exp0*F148-IF(A148&lt;=SV_loanYears,SV_inst,0)-IF(AND(SV_wdAmt&gt;0,A148=SV_wdYear),SV_wdAmt,0))*IF(AND(SV_expOn,A148&gt;=SV_expS,A148&lt;=SV_expE),1+SV_expImp,1))</f>
        <v/>
      </c>
      <c r="J148" s="29">
        <f>IF(OR(OR(A148&lt;1,A148&gt;SV_T),A148&gt;SV_loanYears),0,-SV_lifePremYr)</f>
        <v/>
      </c>
      <c r="K148" s="29">
        <f>IF(OR(A148&lt;1,A148&gt;SV_T),0,-SV_contrib)</f>
        <v/>
      </c>
      <c r="L148" s="60">
        <f>IF(AND(SV_crashOn,A148=SV_crashYr),SV_crashF,1)</f>
        <v/>
      </c>
      <c r="M148" s="60">
        <f>IF(AND(SV_ccyOn,A148=SV_ccyYr),SV_ccyF,1)</f>
        <v/>
      </c>
      <c r="N148" s="29">
        <f>IF(A148&gt;SV_T,0,N147*(1+interestRate)*L148*M148)</f>
        <v/>
      </c>
      <c r="O148" s="29">
        <f>IF(A148&gt;SV_T,0,(O147+SV_contrib)*(1+investmentReturn)*L148*M148)</f>
        <v/>
      </c>
      <c r="P148" s="29">
        <f>IF(A148&gt;SV_T,0,P147*(1+SV_propRate)*L148)</f>
        <v/>
      </c>
      <c r="Q148" s="46">
        <f>MATCH(SV_age+A148-1,SV_cpfLower,1)</f>
        <v/>
      </c>
      <c r="R148" s="29">
        <f>IF(OR(OR(A148&lt;1,A148&gt;SV_T),NOT(SV_cpfOn)),0,MIN(SV_sal0*(1+incomeGrowthRate)^(A148-1)*G148,SV_owCap))</f>
        <v/>
      </c>
      <c r="S148" s="29">
        <f>IF(A148&gt;SV_T,0,S147*(1+SV_oaRate)+IF(A148&gt;=SV_effStop,0,INDEX(SV_cpfOA,Q148)*INDEX(SV_cpfTot,Q148)*R148))</f>
        <v/>
      </c>
      <c r="T148" s="29">
        <f>IF(A148&gt;SV_T,0,T147*(1+SV_saRate)+IF(A148&gt;=SV_effStop,0,INDEX(SV_cpfSA,Q148)*INDEX(SV_cpfTot,Q148)*R148))</f>
        <v/>
      </c>
      <c r="U148" s="29">
        <f>IF(A148&gt;SV_T,0,U147*(1+SV_saRate)+IF(A148&gt;=SV_effStop,0,INDEX(SV_cpfMA,Q148)*INDEX(SV_cpfTot,Q148)*R148))</f>
        <v/>
      </c>
      <c r="V148" s="29">
        <f>IF(OR(OR(A148&lt;1,A148&gt;SV_T),A148&gt;=SV_effNeg),0,-(INDEX(SV_cpfOA,Q148)+INDEX(SV_cpfSA,Q148)+INDEX(SV_cpfMA,Q148))*INDEX(SV_cpfEmp,Q148)*R148)</f>
        <v/>
      </c>
      <c r="W148" s="29">
        <f>IF(A148&gt;=SV_sIdx,0,S148)</f>
        <v/>
      </c>
      <c r="X148" s="29">
        <f>IF(A148&gt;=SV_sIdx,0,T148)</f>
        <v/>
      </c>
      <c r="Y148" s="29">
        <f>IF(A148&gt;=SV_sIdx,MIN(U148,SV_maCap),U148)</f>
        <v/>
      </c>
      <c r="Z148" s="29">
        <f>IF(AND(SV_cpfOn,A148&gt;=SV_pIdx,A148&lt;=SV_T),12*SV_pay,0)</f>
        <v/>
      </c>
      <c r="AA148" s="29">
        <f>IF(A148&gt;SV_T,0,IF(SV_sp&gt;=0,IF(A148&lt;SV_sIdx,0,IF(A148=SV_sIdx,SV_R0,SV_lifeGrowth*AA147)),SV_lifeGrowth*AA147))</f>
        <v/>
      </c>
      <c r="AB148" s="29">
        <f>IF(A148&gt;SV_T,0,IF(AND(SV_sp&gt;=0,A148&lt;SV_sIdx),0,IF(AND(SV_sp&gt;=0,A148=SV_sIdx),SV_L0,SV_lifeGrowth*(AB147-Z148))))</f>
        <v/>
      </c>
      <c r="AC148" s="29">
        <f>W148+X148+AA148+Y148+IF(AA148&lt;0,0,AB148)</f>
        <v/>
      </c>
      <c r="AD148" s="29">
        <f>Z148+V148</f>
        <v/>
      </c>
      <c r="AE148" s="29">
        <f>IF(OR(A148&gt;SV_T,A148&gt;=SV_loanYears),0,MAX(0,AE147*(1+loanRate)-SV_inst))</f>
        <v/>
      </c>
      <c r="AF148" s="29">
        <f>IF(A148&gt;SV_T,0,AF147*(1+SV_savRate)+H148+I148+J148+K148+AD148)</f>
        <v/>
      </c>
      <c r="AG148" s="29">
        <f>IF(A148&gt;SV_T,0,MAX(0,N148+O148+P148+AC148+AF148-AE148))</f>
        <v/>
      </c>
      <c r="AH148" s="29">
        <f>IF(A148&gt;SV_T,0,N148+O148+AF148-MAX(0,AE148-(P148+AC148)))</f>
        <v/>
      </c>
      <c r="AI148" s="29">
        <f>IF(OR(OR(A148&lt;1,A148&gt;SV_T),A148-1&gt;=SV_retPay),0,SV_retMth*12+IF(A148=1,SV_retLump,0))</f>
        <v/>
      </c>
      <c r="AJ148" s="29">
        <f>IF(A148&gt;SV_T,0,(AJ147+AI148)*(1+investmentReturn))</f>
        <v/>
      </c>
      <c r="AK148" s="29">
        <f>IF(OR(OR(A148&lt;1,A148&gt;SV_T),A148-1&gt;=SV_goalPay),0,SV_goalMth*12+IF(A148=1,SV_goalLump,0))</f>
        <v/>
      </c>
      <c r="AL148" s="29">
        <f>IF(A148&gt;SV_T,0,(AL147+AK148)*(1+investmentReturn))</f>
        <v/>
      </c>
      <c r="AM148" s="29">
        <f>IF(OR(OR(A148&lt;1,A148&gt;SV_T),A148-1&gt;=SV_protPay),0,SV_protPrem)</f>
        <v/>
      </c>
      <c r="AN148" s="29">
        <f>IF(OR(A148=0,A148&gt;=SV_T),0,ROUND(MAX(0,AJ148),2)+ROUND(MAX(0,AL148),2))</f>
        <v/>
      </c>
      <c r="AO148" s="29">
        <f>IF(OR(A148&lt;1,A148&gt;SV_T),0,-(AI148+AK148+AM148)+IF(A148=SV_T,ROUND(MAX(0,AJ148),2)+ROUND(MAX(0,AL148),2),0))</f>
        <v/>
      </c>
      <c r="AP148" s="29">
        <f>IF(A148&gt;SV_T,0,AP147*(1+SV_savRate)+H148+I148+J148+K148+AD148+AO148)</f>
        <v/>
      </c>
      <c r="AQ148" s="29">
        <f>IF(A148&gt;SV_T,0,MAX(0,N148+O148+P148+AC148+AP148+AN148-AE148))</f>
        <v/>
      </c>
      <c r="AR148" s="29">
        <f>IF(A148&gt;SV_T,0,N148+O148+AP148+AN148-MAX(0,AE148-(P148+AC148)))</f>
        <v/>
      </c>
    </row>
    <row r="149">
      <c r="A149" s="61" t="n">
        <v>26</v>
      </c>
      <c r="B149" s="61">
        <f>SV_age+A149</f>
        <v/>
      </c>
      <c r="C149" s="61">
        <f>currentYear+A149</f>
        <v/>
      </c>
      <c r="D149" s="52">
        <f>A149&lt;=SV_T</f>
        <v/>
      </c>
      <c r="E149" s="60">
        <f>IF(AND(SV_inflOn,A149&gt;=SV_inflS,A149&lt;=SV_inflE),1+SV_inflRate,1+inflationRate)</f>
        <v/>
      </c>
      <c r="F149" s="60">
        <f>IF(A149&lt;=1,1,F148*E149)</f>
        <v/>
      </c>
      <c r="G149" s="60">
        <f>IF(AND(SV_incOn,A149&gt;=SV_incS,A149&lt;=SV_incE),1+SV_incImp,1)</f>
        <v/>
      </c>
      <c r="H149" s="29">
        <f>IF(OR(OR(A149&lt;1,A149&gt;SV_T),A149-1&gt;=SV_salCut),0,SV_sal0*(1+incomeGrowthRate)^(A149-1)*G149)</f>
        <v/>
      </c>
      <c r="I149" s="29">
        <f>IF(OR(A149&lt;1,A149&gt;SV_T),0,(-SV_exp0*F149-IF(A149&lt;=SV_loanYears,SV_inst,0)-IF(AND(SV_wdAmt&gt;0,A149=SV_wdYear),SV_wdAmt,0))*IF(AND(SV_expOn,A149&gt;=SV_expS,A149&lt;=SV_expE),1+SV_expImp,1))</f>
        <v/>
      </c>
      <c r="J149" s="29">
        <f>IF(OR(OR(A149&lt;1,A149&gt;SV_T),A149&gt;SV_loanYears),0,-SV_lifePremYr)</f>
        <v/>
      </c>
      <c r="K149" s="29">
        <f>IF(OR(A149&lt;1,A149&gt;SV_T),0,-SV_contrib)</f>
        <v/>
      </c>
      <c r="L149" s="60">
        <f>IF(AND(SV_crashOn,A149=SV_crashYr),SV_crashF,1)</f>
        <v/>
      </c>
      <c r="M149" s="60">
        <f>IF(AND(SV_ccyOn,A149=SV_ccyYr),SV_ccyF,1)</f>
        <v/>
      </c>
      <c r="N149" s="29">
        <f>IF(A149&gt;SV_T,0,N148*(1+interestRate)*L149*M149)</f>
        <v/>
      </c>
      <c r="O149" s="29">
        <f>IF(A149&gt;SV_T,0,(O148+SV_contrib)*(1+investmentReturn)*L149*M149)</f>
        <v/>
      </c>
      <c r="P149" s="29">
        <f>IF(A149&gt;SV_T,0,P148*(1+SV_propRate)*L149)</f>
        <v/>
      </c>
      <c r="Q149" s="46">
        <f>MATCH(SV_age+A149-1,SV_cpfLower,1)</f>
        <v/>
      </c>
      <c r="R149" s="29">
        <f>IF(OR(OR(A149&lt;1,A149&gt;SV_T),NOT(SV_cpfOn)),0,MIN(SV_sal0*(1+incomeGrowthRate)^(A149-1)*G149,SV_owCap))</f>
        <v/>
      </c>
      <c r="S149" s="29">
        <f>IF(A149&gt;SV_T,0,S148*(1+SV_oaRate)+IF(A149&gt;=SV_effStop,0,INDEX(SV_cpfOA,Q149)*INDEX(SV_cpfTot,Q149)*R149))</f>
        <v/>
      </c>
      <c r="T149" s="29">
        <f>IF(A149&gt;SV_T,0,T148*(1+SV_saRate)+IF(A149&gt;=SV_effStop,0,INDEX(SV_cpfSA,Q149)*INDEX(SV_cpfTot,Q149)*R149))</f>
        <v/>
      </c>
      <c r="U149" s="29">
        <f>IF(A149&gt;SV_T,0,U148*(1+SV_saRate)+IF(A149&gt;=SV_effStop,0,INDEX(SV_cpfMA,Q149)*INDEX(SV_cpfTot,Q149)*R149))</f>
        <v/>
      </c>
      <c r="V149" s="29">
        <f>IF(OR(OR(A149&lt;1,A149&gt;SV_T),A149&gt;=SV_effNeg),0,-(INDEX(SV_cpfOA,Q149)+INDEX(SV_cpfSA,Q149)+INDEX(SV_cpfMA,Q149))*INDEX(SV_cpfEmp,Q149)*R149)</f>
        <v/>
      </c>
      <c r="W149" s="29">
        <f>IF(A149&gt;=SV_sIdx,0,S149)</f>
        <v/>
      </c>
      <c r="X149" s="29">
        <f>IF(A149&gt;=SV_sIdx,0,T149)</f>
        <v/>
      </c>
      <c r="Y149" s="29">
        <f>IF(A149&gt;=SV_sIdx,MIN(U149,SV_maCap),U149)</f>
        <v/>
      </c>
      <c r="Z149" s="29">
        <f>IF(AND(SV_cpfOn,A149&gt;=SV_pIdx,A149&lt;=SV_T),12*SV_pay,0)</f>
        <v/>
      </c>
      <c r="AA149" s="29">
        <f>IF(A149&gt;SV_T,0,IF(SV_sp&gt;=0,IF(A149&lt;SV_sIdx,0,IF(A149=SV_sIdx,SV_R0,SV_lifeGrowth*AA148)),SV_lifeGrowth*AA148))</f>
        <v/>
      </c>
      <c r="AB149" s="29">
        <f>IF(A149&gt;SV_T,0,IF(AND(SV_sp&gt;=0,A149&lt;SV_sIdx),0,IF(AND(SV_sp&gt;=0,A149=SV_sIdx),SV_L0,SV_lifeGrowth*(AB148-Z149))))</f>
        <v/>
      </c>
      <c r="AC149" s="29">
        <f>W149+X149+AA149+Y149+IF(AA149&lt;0,0,AB149)</f>
        <v/>
      </c>
      <c r="AD149" s="29">
        <f>Z149+V149</f>
        <v/>
      </c>
      <c r="AE149" s="29">
        <f>IF(OR(A149&gt;SV_T,A149&gt;=SV_loanYears),0,MAX(0,AE148*(1+loanRate)-SV_inst))</f>
        <v/>
      </c>
      <c r="AF149" s="29">
        <f>IF(A149&gt;SV_T,0,AF148*(1+SV_savRate)+H149+I149+J149+K149+AD149)</f>
        <v/>
      </c>
      <c r="AG149" s="29">
        <f>IF(A149&gt;SV_T,0,MAX(0,N149+O149+P149+AC149+AF149-AE149))</f>
        <v/>
      </c>
      <c r="AH149" s="29">
        <f>IF(A149&gt;SV_T,0,N149+O149+AF149-MAX(0,AE149-(P149+AC149)))</f>
        <v/>
      </c>
      <c r="AI149" s="29">
        <f>IF(OR(OR(A149&lt;1,A149&gt;SV_T),A149-1&gt;=SV_retPay),0,SV_retMth*12+IF(A149=1,SV_retLump,0))</f>
        <v/>
      </c>
      <c r="AJ149" s="29">
        <f>IF(A149&gt;SV_T,0,(AJ148+AI149)*(1+investmentReturn))</f>
        <v/>
      </c>
      <c r="AK149" s="29">
        <f>IF(OR(OR(A149&lt;1,A149&gt;SV_T),A149-1&gt;=SV_goalPay),0,SV_goalMth*12+IF(A149=1,SV_goalLump,0))</f>
        <v/>
      </c>
      <c r="AL149" s="29">
        <f>IF(A149&gt;SV_T,0,(AL148+AK149)*(1+investmentReturn))</f>
        <v/>
      </c>
      <c r="AM149" s="29">
        <f>IF(OR(OR(A149&lt;1,A149&gt;SV_T),A149-1&gt;=SV_protPay),0,SV_protPrem)</f>
        <v/>
      </c>
      <c r="AN149" s="29">
        <f>IF(OR(A149=0,A149&gt;=SV_T),0,ROUND(MAX(0,AJ149),2)+ROUND(MAX(0,AL149),2))</f>
        <v/>
      </c>
      <c r="AO149" s="29">
        <f>IF(OR(A149&lt;1,A149&gt;SV_T),0,-(AI149+AK149+AM149)+IF(A149=SV_T,ROUND(MAX(0,AJ149),2)+ROUND(MAX(0,AL149),2),0))</f>
        <v/>
      </c>
      <c r="AP149" s="29">
        <f>IF(A149&gt;SV_T,0,AP148*(1+SV_savRate)+H149+I149+J149+K149+AD149+AO149)</f>
        <v/>
      </c>
      <c r="AQ149" s="29">
        <f>IF(A149&gt;SV_T,0,MAX(0,N149+O149+P149+AC149+AP149+AN149-AE149))</f>
        <v/>
      </c>
      <c r="AR149" s="29">
        <f>IF(A149&gt;SV_T,0,N149+O149+AP149+AN149-MAX(0,AE149-(P149+AC149)))</f>
        <v/>
      </c>
    </row>
    <row r="150">
      <c r="A150" s="61" t="n">
        <v>27</v>
      </c>
      <c r="B150" s="61">
        <f>SV_age+A150</f>
        <v/>
      </c>
      <c r="C150" s="61">
        <f>currentYear+A150</f>
        <v/>
      </c>
      <c r="D150" s="52">
        <f>A150&lt;=SV_T</f>
        <v/>
      </c>
      <c r="E150" s="60">
        <f>IF(AND(SV_inflOn,A150&gt;=SV_inflS,A150&lt;=SV_inflE),1+SV_inflRate,1+inflationRate)</f>
        <v/>
      </c>
      <c r="F150" s="60">
        <f>IF(A150&lt;=1,1,F149*E150)</f>
        <v/>
      </c>
      <c r="G150" s="60">
        <f>IF(AND(SV_incOn,A150&gt;=SV_incS,A150&lt;=SV_incE),1+SV_incImp,1)</f>
        <v/>
      </c>
      <c r="H150" s="29">
        <f>IF(OR(OR(A150&lt;1,A150&gt;SV_T),A150-1&gt;=SV_salCut),0,SV_sal0*(1+incomeGrowthRate)^(A150-1)*G150)</f>
        <v/>
      </c>
      <c r="I150" s="29">
        <f>IF(OR(A150&lt;1,A150&gt;SV_T),0,(-SV_exp0*F150-IF(A150&lt;=SV_loanYears,SV_inst,0)-IF(AND(SV_wdAmt&gt;0,A150=SV_wdYear),SV_wdAmt,0))*IF(AND(SV_expOn,A150&gt;=SV_expS,A150&lt;=SV_expE),1+SV_expImp,1))</f>
        <v/>
      </c>
      <c r="J150" s="29">
        <f>IF(OR(OR(A150&lt;1,A150&gt;SV_T),A150&gt;SV_loanYears),0,-SV_lifePremYr)</f>
        <v/>
      </c>
      <c r="K150" s="29">
        <f>IF(OR(A150&lt;1,A150&gt;SV_T),0,-SV_contrib)</f>
        <v/>
      </c>
      <c r="L150" s="60">
        <f>IF(AND(SV_crashOn,A150=SV_crashYr),SV_crashF,1)</f>
        <v/>
      </c>
      <c r="M150" s="60">
        <f>IF(AND(SV_ccyOn,A150=SV_ccyYr),SV_ccyF,1)</f>
        <v/>
      </c>
      <c r="N150" s="29">
        <f>IF(A150&gt;SV_T,0,N149*(1+interestRate)*L150*M150)</f>
        <v/>
      </c>
      <c r="O150" s="29">
        <f>IF(A150&gt;SV_T,0,(O149+SV_contrib)*(1+investmentReturn)*L150*M150)</f>
        <v/>
      </c>
      <c r="P150" s="29">
        <f>IF(A150&gt;SV_T,0,P149*(1+SV_propRate)*L150)</f>
        <v/>
      </c>
      <c r="Q150" s="46">
        <f>MATCH(SV_age+A150-1,SV_cpfLower,1)</f>
        <v/>
      </c>
      <c r="R150" s="29">
        <f>IF(OR(OR(A150&lt;1,A150&gt;SV_T),NOT(SV_cpfOn)),0,MIN(SV_sal0*(1+incomeGrowthRate)^(A150-1)*G150,SV_owCap))</f>
        <v/>
      </c>
      <c r="S150" s="29">
        <f>IF(A150&gt;SV_T,0,S149*(1+SV_oaRate)+IF(A150&gt;=SV_effStop,0,INDEX(SV_cpfOA,Q150)*INDEX(SV_cpfTot,Q150)*R150))</f>
        <v/>
      </c>
      <c r="T150" s="29">
        <f>IF(A150&gt;SV_T,0,T149*(1+SV_saRate)+IF(A150&gt;=SV_effStop,0,INDEX(SV_cpfSA,Q150)*INDEX(SV_cpfTot,Q150)*R150))</f>
        <v/>
      </c>
      <c r="U150" s="29">
        <f>IF(A150&gt;SV_T,0,U149*(1+SV_saRate)+IF(A150&gt;=SV_effStop,0,INDEX(SV_cpfMA,Q150)*INDEX(SV_cpfTot,Q150)*R150))</f>
        <v/>
      </c>
      <c r="V150" s="29">
        <f>IF(OR(OR(A150&lt;1,A150&gt;SV_T),A150&gt;=SV_effNeg),0,-(INDEX(SV_cpfOA,Q150)+INDEX(SV_cpfSA,Q150)+INDEX(SV_cpfMA,Q150))*INDEX(SV_cpfEmp,Q150)*R150)</f>
        <v/>
      </c>
      <c r="W150" s="29">
        <f>IF(A150&gt;=SV_sIdx,0,S150)</f>
        <v/>
      </c>
      <c r="X150" s="29">
        <f>IF(A150&gt;=SV_sIdx,0,T150)</f>
        <v/>
      </c>
      <c r="Y150" s="29">
        <f>IF(A150&gt;=SV_sIdx,MIN(U150,SV_maCap),U150)</f>
        <v/>
      </c>
      <c r="Z150" s="29">
        <f>IF(AND(SV_cpfOn,A150&gt;=SV_pIdx,A150&lt;=SV_T),12*SV_pay,0)</f>
        <v/>
      </c>
      <c r="AA150" s="29">
        <f>IF(A150&gt;SV_T,0,IF(SV_sp&gt;=0,IF(A150&lt;SV_sIdx,0,IF(A150=SV_sIdx,SV_R0,SV_lifeGrowth*AA149)),SV_lifeGrowth*AA149))</f>
        <v/>
      </c>
      <c r="AB150" s="29">
        <f>IF(A150&gt;SV_T,0,IF(AND(SV_sp&gt;=0,A150&lt;SV_sIdx),0,IF(AND(SV_sp&gt;=0,A150=SV_sIdx),SV_L0,SV_lifeGrowth*(AB149-Z150))))</f>
        <v/>
      </c>
      <c r="AC150" s="29">
        <f>W150+X150+AA150+Y150+IF(AA150&lt;0,0,AB150)</f>
        <v/>
      </c>
      <c r="AD150" s="29">
        <f>Z150+V150</f>
        <v/>
      </c>
      <c r="AE150" s="29">
        <f>IF(OR(A150&gt;SV_T,A150&gt;=SV_loanYears),0,MAX(0,AE149*(1+loanRate)-SV_inst))</f>
        <v/>
      </c>
      <c r="AF150" s="29">
        <f>IF(A150&gt;SV_T,0,AF149*(1+SV_savRate)+H150+I150+J150+K150+AD150)</f>
        <v/>
      </c>
      <c r="AG150" s="29">
        <f>IF(A150&gt;SV_T,0,MAX(0,N150+O150+P150+AC150+AF150-AE150))</f>
        <v/>
      </c>
      <c r="AH150" s="29">
        <f>IF(A150&gt;SV_T,0,N150+O150+AF150-MAX(0,AE150-(P150+AC150)))</f>
        <v/>
      </c>
      <c r="AI150" s="29">
        <f>IF(OR(OR(A150&lt;1,A150&gt;SV_T),A150-1&gt;=SV_retPay),0,SV_retMth*12+IF(A150=1,SV_retLump,0))</f>
        <v/>
      </c>
      <c r="AJ150" s="29">
        <f>IF(A150&gt;SV_T,0,(AJ149+AI150)*(1+investmentReturn))</f>
        <v/>
      </c>
      <c r="AK150" s="29">
        <f>IF(OR(OR(A150&lt;1,A150&gt;SV_T),A150-1&gt;=SV_goalPay),0,SV_goalMth*12+IF(A150=1,SV_goalLump,0))</f>
        <v/>
      </c>
      <c r="AL150" s="29">
        <f>IF(A150&gt;SV_T,0,(AL149+AK150)*(1+investmentReturn))</f>
        <v/>
      </c>
      <c r="AM150" s="29">
        <f>IF(OR(OR(A150&lt;1,A150&gt;SV_T),A150-1&gt;=SV_protPay),0,SV_protPrem)</f>
        <v/>
      </c>
      <c r="AN150" s="29">
        <f>IF(OR(A150=0,A150&gt;=SV_T),0,ROUND(MAX(0,AJ150),2)+ROUND(MAX(0,AL150),2))</f>
        <v/>
      </c>
      <c r="AO150" s="29">
        <f>IF(OR(A150&lt;1,A150&gt;SV_T),0,-(AI150+AK150+AM150)+IF(A150=SV_T,ROUND(MAX(0,AJ150),2)+ROUND(MAX(0,AL150),2),0))</f>
        <v/>
      </c>
      <c r="AP150" s="29">
        <f>IF(A150&gt;SV_T,0,AP149*(1+SV_savRate)+H150+I150+J150+K150+AD150+AO150)</f>
        <v/>
      </c>
      <c r="AQ150" s="29">
        <f>IF(A150&gt;SV_T,0,MAX(0,N150+O150+P150+AC150+AP150+AN150-AE150))</f>
        <v/>
      </c>
      <c r="AR150" s="29">
        <f>IF(A150&gt;SV_T,0,N150+O150+AP150+AN150-MAX(0,AE150-(P150+AC150)))</f>
        <v/>
      </c>
    </row>
    <row r="151">
      <c r="A151" s="61" t="n">
        <v>28</v>
      </c>
      <c r="B151" s="61">
        <f>SV_age+A151</f>
        <v/>
      </c>
      <c r="C151" s="61">
        <f>currentYear+A151</f>
        <v/>
      </c>
      <c r="D151" s="52">
        <f>A151&lt;=SV_T</f>
        <v/>
      </c>
      <c r="E151" s="60">
        <f>IF(AND(SV_inflOn,A151&gt;=SV_inflS,A151&lt;=SV_inflE),1+SV_inflRate,1+inflationRate)</f>
        <v/>
      </c>
      <c r="F151" s="60">
        <f>IF(A151&lt;=1,1,F150*E151)</f>
        <v/>
      </c>
      <c r="G151" s="60">
        <f>IF(AND(SV_incOn,A151&gt;=SV_incS,A151&lt;=SV_incE),1+SV_incImp,1)</f>
        <v/>
      </c>
      <c r="H151" s="29">
        <f>IF(OR(OR(A151&lt;1,A151&gt;SV_T),A151-1&gt;=SV_salCut),0,SV_sal0*(1+incomeGrowthRate)^(A151-1)*G151)</f>
        <v/>
      </c>
      <c r="I151" s="29">
        <f>IF(OR(A151&lt;1,A151&gt;SV_T),0,(-SV_exp0*F151-IF(A151&lt;=SV_loanYears,SV_inst,0)-IF(AND(SV_wdAmt&gt;0,A151=SV_wdYear),SV_wdAmt,0))*IF(AND(SV_expOn,A151&gt;=SV_expS,A151&lt;=SV_expE),1+SV_expImp,1))</f>
        <v/>
      </c>
      <c r="J151" s="29">
        <f>IF(OR(OR(A151&lt;1,A151&gt;SV_T),A151&gt;SV_loanYears),0,-SV_lifePremYr)</f>
        <v/>
      </c>
      <c r="K151" s="29">
        <f>IF(OR(A151&lt;1,A151&gt;SV_T),0,-SV_contrib)</f>
        <v/>
      </c>
      <c r="L151" s="60">
        <f>IF(AND(SV_crashOn,A151=SV_crashYr),SV_crashF,1)</f>
        <v/>
      </c>
      <c r="M151" s="60">
        <f>IF(AND(SV_ccyOn,A151=SV_ccyYr),SV_ccyF,1)</f>
        <v/>
      </c>
      <c r="N151" s="29">
        <f>IF(A151&gt;SV_T,0,N150*(1+interestRate)*L151*M151)</f>
        <v/>
      </c>
      <c r="O151" s="29">
        <f>IF(A151&gt;SV_T,0,(O150+SV_contrib)*(1+investmentReturn)*L151*M151)</f>
        <v/>
      </c>
      <c r="P151" s="29">
        <f>IF(A151&gt;SV_T,0,P150*(1+SV_propRate)*L151)</f>
        <v/>
      </c>
      <c r="Q151" s="46">
        <f>MATCH(SV_age+A151-1,SV_cpfLower,1)</f>
        <v/>
      </c>
      <c r="R151" s="29">
        <f>IF(OR(OR(A151&lt;1,A151&gt;SV_T),NOT(SV_cpfOn)),0,MIN(SV_sal0*(1+incomeGrowthRate)^(A151-1)*G151,SV_owCap))</f>
        <v/>
      </c>
      <c r="S151" s="29">
        <f>IF(A151&gt;SV_T,0,S150*(1+SV_oaRate)+IF(A151&gt;=SV_effStop,0,INDEX(SV_cpfOA,Q151)*INDEX(SV_cpfTot,Q151)*R151))</f>
        <v/>
      </c>
      <c r="T151" s="29">
        <f>IF(A151&gt;SV_T,0,T150*(1+SV_saRate)+IF(A151&gt;=SV_effStop,0,INDEX(SV_cpfSA,Q151)*INDEX(SV_cpfTot,Q151)*R151))</f>
        <v/>
      </c>
      <c r="U151" s="29">
        <f>IF(A151&gt;SV_T,0,U150*(1+SV_saRate)+IF(A151&gt;=SV_effStop,0,INDEX(SV_cpfMA,Q151)*INDEX(SV_cpfTot,Q151)*R151))</f>
        <v/>
      </c>
      <c r="V151" s="29">
        <f>IF(OR(OR(A151&lt;1,A151&gt;SV_T),A151&gt;=SV_effNeg),0,-(INDEX(SV_cpfOA,Q151)+INDEX(SV_cpfSA,Q151)+INDEX(SV_cpfMA,Q151))*INDEX(SV_cpfEmp,Q151)*R151)</f>
        <v/>
      </c>
      <c r="W151" s="29">
        <f>IF(A151&gt;=SV_sIdx,0,S151)</f>
        <v/>
      </c>
      <c r="X151" s="29">
        <f>IF(A151&gt;=SV_sIdx,0,T151)</f>
        <v/>
      </c>
      <c r="Y151" s="29">
        <f>IF(A151&gt;=SV_sIdx,MIN(U151,SV_maCap),U151)</f>
        <v/>
      </c>
      <c r="Z151" s="29">
        <f>IF(AND(SV_cpfOn,A151&gt;=SV_pIdx,A151&lt;=SV_T),12*SV_pay,0)</f>
        <v/>
      </c>
      <c r="AA151" s="29">
        <f>IF(A151&gt;SV_T,0,IF(SV_sp&gt;=0,IF(A151&lt;SV_sIdx,0,IF(A151=SV_sIdx,SV_R0,SV_lifeGrowth*AA150)),SV_lifeGrowth*AA150))</f>
        <v/>
      </c>
      <c r="AB151" s="29">
        <f>IF(A151&gt;SV_T,0,IF(AND(SV_sp&gt;=0,A151&lt;SV_sIdx),0,IF(AND(SV_sp&gt;=0,A151=SV_sIdx),SV_L0,SV_lifeGrowth*(AB150-Z151))))</f>
        <v/>
      </c>
      <c r="AC151" s="29">
        <f>W151+X151+AA151+Y151+IF(AA151&lt;0,0,AB151)</f>
        <v/>
      </c>
      <c r="AD151" s="29">
        <f>Z151+V151</f>
        <v/>
      </c>
      <c r="AE151" s="29">
        <f>IF(OR(A151&gt;SV_T,A151&gt;=SV_loanYears),0,MAX(0,AE150*(1+loanRate)-SV_inst))</f>
        <v/>
      </c>
      <c r="AF151" s="29">
        <f>IF(A151&gt;SV_T,0,AF150*(1+SV_savRate)+H151+I151+J151+K151+AD151)</f>
        <v/>
      </c>
      <c r="AG151" s="29">
        <f>IF(A151&gt;SV_T,0,MAX(0,N151+O151+P151+AC151+AF151-AE151))</f>
        <v/>
      </c>
      <c r="AH151" s="29">
        <f>IF(A151&gt;SV_T,0,N151+O151+AF151-MAX(0,AE151-(P151+AC151)))</f>
        <v/>
      </c>
      <c r="AI151" s="29">
        <f>IF(OR(OR(A151&lt;1,A151&gt;SV_T),A151-1&gt;=SV_retPay),0,SV_retMth*12+IF(A151=1,SV_retLump,0))</f>
        <v/>
      </c>
      <c r="AJ151" s="29">
        <f>IF(A151&gt;SV_T,0,(AJ150+AI151)*(1+investmentReturn))</f>
        <v/>
      </c>
      <c r="AK151" s="29">
        <f>IF(OR(OR(A151&lt;1,A151&gt;SV_T),A151-1&gt;=SV_goalPay),0,SV_goalMth*12+IF(A151=1,SV_goalLump,0))</f>
        <v/>
      </c>
      <c r="AL151" s="29">
        <f>IF(A151&gt;SV_T,0,(AL150+AK151)*(1+investmentReturn))</f>
        <v/>
      </c>
      <c r="AM151" s="29">
        <f>IF(OR(OR(A151&lt;1,A151&gt;SV_T),A151-1&gt;=SV_protPay),0,SV_protPrem)</f>
        <v/>
      </c>
      <c r="AN151" s="29">
        <f>IF(OR(A151=0,A151&gt;=SV_T),0,ROUND(MAX(0,AJ151),2)+ROUND(MAX(0,AL151),2))</f>
        <v/>
      </c>
      <c r="AO151" s="29">
        <f>IF(OR(A151&lt;1,A151&gt;SV_T),0,-(AI151+AK151+AM151)+IF(A151=SV_T,ROUND(MAX(0,AJ151),2)+ROUND(MAX(0,AL151),2),0))</f>
        <v/>
      </c>
      <c r="AP151" s="29">
        <f>IF(A151&gt;SV_T,0,AP150*(1+SV_savRate)+H151+I151+J151+K151+AD151+AO151)</f>
        <v/>
      </c>
      <c r="AQ151" s="29">
        <f>IF(A151&gt;SV_T,0,MAX(0,N151+O151+P151+AC151+AP151+AN151-AE151))</f>
        <v/>
      </c>
      <c r="AR151" s="29">
        <f>IF(A151&gt;SV_T,0,N151+O151+AP151+AN151-MAX(0,AE151-(P151+AC151)))</f>
        <v/>
      </c>
    </row>
    <row r="152">
      <c r="A152" s="61" t="n">
        <v>29</v>
      </c>
      <c r="B152" s="61">
        <f>SV_age+A152</f>
        <v/>
      </c>
      <c r="C152" s="61">
        <f>currentYear+A152</f>
        <v/>
      </c>
      <c r="D152" s="52">
        <f>A152&lt;=SV_T</f>
        <v/>
      </c>
      <c r="E152" s="60">
        <f>IF(AND(SV_inflOn,A152&gt;=SV_inflS,A152&lt;=SV_inflE),1+SV_inflRate,1+inflationRate)</f>
        <v/>
      </c>
      <c r="F152" s="60">
        <f>IF(A152&lt;=1,1,F151*E152)</f>
        <v/>
      </c>
      <c r="G152" s="60">
        <f>IF(AND(SV_incOn,A152&gt;=SV_incS,A152&lt;=SV_incE),1+SV_incImp,1)</f>
        <v/>
      </c>
      <c r="H152" s="29">
        <f>IF(OR(OR(A152&lt;1,A152&gt;SV_T),A152-1&gt;=SV_salCut),0,SV_sal0*(1+incomeGrowthRate)^(A152-1)*G152)</f>
        <v/>
      </c>
      <c r="I152" s="29">
        <f>IF(OR(A152&lt;1,A152&gt;SV_T),0,(-SV_exp0*F152-IF(A152&lt;=SV_loanYears,SV_inst,0)-IF(AND(SV_wdAmt&gt;0,A152=SV_wdYear),SV_wdAmt,0))*IF(AND(SV_expOn,A152&gt;=SV_expS,A152&lt;=SV_expE),1+SV_expImp,1))</f>
        <v/>
      </c>
      <c r="J152" s="29">
        <f>IF(OR(OR(A152&lt;1,A152&gt;SV_T),A152&gt;SV_loanYears),0,-SV_lifePremYr)</f>
        <v/>
      </c>
      <c r="K152" s="29">
        <f>IF(OR(A152&lt;1,A152&gt;SV_T),0,-SV_contrib)</f>
        <v/>
      </c>
      <c r="L152" s="60">
        <f>IF(AND(SV_crashOn,A152=SV_crashYr),SV_crashF,1)</f>
        <v/>
      </c>
      <c r="M152" s="60">
        <f>IF(AND(SV_ccyOn,A152=SV_ccyYr),SV_ccyF,1)</f>
        <v/>
      </c>
      <c r="N152" s="29">
        <f>IF(A152&gt;SV_T,0,N151*(1+interestRate)*L152*M152)</f>
        <v/>
      </c>
      <c r="O152" s="29">
        <f>IF(A152&gt;SV_T,0,(O151+SV_contrib)*(1+investmentReturn)*L152*M152)</f>
        <v/>
      </c>
      <c r="P152" s="29">
        <f>IF(A152&gt;SV_T,0,P151*(1+SV_propRate)*L152)</f>
        <v/>
      </c>
      <c r="Q152" s="46">
        <f>MATCH(SV_age+A152-1,SV_cpfLower,1)</f>
        <v/>
      </c>
      <c r="R152" s="29">
        <f>IF(OR(OR(A152&lt;1,A152&gt;SV_T),NOT(SV_cpfOn)),0,MIN(SV_sal0*(1+incomeGrowthRate)^(A152-1)*G152,SV_owCap))</f>
        <v/>
      </c>
      <c r="S152" s="29">
        <f>IF(A152&gt;SV_T,0,S151*(1+SV_oaRate)+IF(A152&gt;=SV_effStop,0,INDEX(SV_cpfOA,Q152)*INDEX(SV_cpfTot,Q152)*R152))</f>
        <v/>
      </c>
      <c r="T152" s="29">
        <f>IF(A152&gt;SV_T,0,T151*(1+SV_saRate)+IF(A152&gt;=SV_effStop,0,INDEX(SV_cpfSA,Q152)*INDEX(SV_cpfTot,Q152)*R152))</f>
        <v/>
      </c>
      <c r="U152" s="29">
        <f>IF(A152&gt;SV_T,0,U151*(1+SV_saRate)+IF(A152&gt;=SV_effStop,0,INDEX(SV_cpfMA,Q152)*INDEX(SV_cpfTot,Q152)*R152))</f>
        <v/>
      </c>
      <c r="V152" s="29">
        <f>IF(OR(OR(A152&lt;1,A152&gt;SV_T),A152&gt;=SV_effNeg),0,-(INDEX(SV_cpfOA,Q152)+INDEX(SV_cpfSA,Q152)+INDEX(SV_cpfMA,Q152))*INDEX(SV_cpfEmp,Q152)*R152)</f>
        <v/>
      </c>
      <c r="W152" s="29">
        <f>IF(A152&gt;=SV_sIdx,0,S152)</f>
        <v/>
      </c>
      <c r="X152" s="29">
        <f>IF(A152&gt;=SV_sIdx,0,T152)</f>
        <v/>
      </c>
      <c r="Y152" s="29">
        <f>IF(A152&gt;=SV_sIdx,MIN(U152,SV_maCap),U152)</f>
        <v/>
      </c>
      <c r="Z152" s="29">
        <f>IF(AND(SV_cpfOn,A152&gt;=SV_pIdx,A152&lt;=SV_T),12*SV_pay,0)</f>
        <v/>
      </c>
      <c r="AA152" s="29">
        <f>IF(A152&gt;SV_T,0,IF(SV_sp&gt;=0,IF(A152&lt;SV_sIdx,0,IF(A152=SV_sIdx,SV_R0,SV_lifeGrowth*AA151)),SV_lifeGrowth*AA151))</f>
        <v/>
      </c>
      <c r="AB152" s="29">
        <f>IF(A152&gt;SV_T,0,IF(AND(SV_sp&gt;=0,A152&lt;SV_sIdx),0,IF(AND(SV_sp&gt;=0,A152=SV_sIdx),SV_L0,SV_lifeGrowth*(AB151-Z152))))</f>
        <v/>
      </c>
      <c r="AC152" s="29">
        <f>W152+X152+AA152+Y152+IF(AA152&lt;0,0,AB152)</f>
        <v/>
      </c>
      <c r="AD152" s="29">
        <f>Z152+V152</f>
        <v/>
      </c>
      <c r="AE152" s="29">
        <f>IF(OR(A152&gt;SV_T,A152&gt;=SV_loanYears),0,MAX(0,AE151*(1+loanRate)-SV_inst))</f>
        <v/>
      </c>
      <c r="AF152" s="29">
        <f>IF(A152&gt;SV_T,0,AF151*(1+SV_savRate)+H152+I152+J152+K152+AD152)</f>
        <v/>
      </c>
      <c r="AG152" s="29">
        <f>IF(A152&gt;SV_T,0,MAX(0,N152+O152+P152+AC152+AF152-AE152))</f>
        <v/>
      </c>
      <c r="AH152" s="29">
        <f>IF(A152&gt;SV_T,0,N152+O152+AF152-MAX(0,AE152-(P152+AC152)))</f>
        <v/>
      </c>
      <c r="AI152" s="29">
        <f>IF(OR(OR(A152&lt;1,A152&gt;SV_T),A152-1&gt;=SV_retPay),0,SV_retMth*12+IF(A152=1,SV_retLump,0))</f>
        <v/>
      </c>
      <c r="AJ152" s="29">
        <f>IF(A152&gt;SV_T,0,(AJ151+AI152)*(1+investmentReturn))</f>
        <v/>
      </c>
      <c r="AK152" s="29">
        <f>IF(OR(OR(A152&lt;1,A152&gt;SV_T),A152-1&gt;=SV_goalPay),0,SV_goalMth*12+IF(A152=1,SV_goalLump,0))</f>
        <v/>
      </c>
      <c r="AL152" s="29">
        <f>IF(A152&gt;SV_T,0,(AL151+AK152)*(1+investmentReturn))</f>
        <v/>
      </c>
      <c r="AM152" s="29">
        <f>IF(OR(OR(A152&lt;1,A152&gt;SV_T),A152-1&gt;=SV_protPay),0,SV_protPrem)</f>
        <v/>
      </c>
      <c r="AN152" s="29">
        <f>IF(OR(A152=0,A152&gt;=SV_T),0,ROUND(MAX(0,AJ152),2)+ROUND(MAX(0,AL152),2))</f>
        <v/>
      </c>
      <c r="AO152" s="29">
        <f>IF(OR(A152&lt;1,A152&gt;SV_T),0,-(AI152+AK152+AM152)+IF(A152=SV_T,ROUND(MAX(0,AJ152),2)+ROUND(MAX(0,AL152),2),0))</f>
        <v/>
      </c>
      <c r="AP152" s="29">
        <f>IF(A152&gt;SV_T,0,AP151*(1+SV_savRate)+H152+I152+J152+K152+AD152+AO152)</f>
        <v/>
      </c>
      <c r="AQ152" s="29">
        <f>IF(A152&gt;SV_T,0,MAX(0,N152+O152+P152+AC152+AP152+AN152-AE152))</f>
        <v/>
      </c>
      <c r="AR152" s="29">
        <f>IF(A152&gt;SV_T,0,N152+O152+AP152+AN152-MAX(0,AE152-(P152+AC152)))</f>
        <v/>
      </c>
    </row>
    <row r="153">
      <c r="A153" s="61" t="n">
        <v>30</v>
      </c>
      <c r="B153" s="61">
        <f>SV_age+A153</f>
        <v/>
      </c>
      <c r="C153" s="61">
        <f>currentYear+A153</f>
        <v/>
      </c>
      <c r="D153" s="52">
        <f>A153&lt;=SV_T</f>
        <v/>
      </c>
      <c r="E153" s="60">
        <f>IF(AND(SV_inflOn,A153&gt;=SV_inflS,A153&lt;=SV_inflE),1+SV_inflRate,1+inflationRate)</f>
        <v/>
      </c>
      <c r="F153" s="60">
        <f>IF(A153&lt;=1,1,F152*E153)</f>
        <v/>
      </c>
      <c r="G153" s="60">
        <f>IF(AND(SV_incOn,A153&gt;=SV_incS,A153&lt;=SV_incE),1+SV_incImp,1)</f>
        <v/>
      </c>
      <c r="H153" s="29">
        <f>IF(OR(OR(A153&lt;1,A153&gt;SV_T),A153-1&gt;=SV_salCut),0,SV_sal0*(1+incomeGrowthRate)^(A153-1)*G153)</f>
        <v/>
      </c>
      <c r="I153" s="29">
        <f>IF(OR(A153&lt;1,A153&gt;SV_T),0,(-SV_exp0*F153-IF(A153&lt;=SV_loanYears,SV_inst,0)-IF(AND(SV_wdAmt&gt;0,A153=SV_wdYear),SV_wdAmt,0))*IF(AND(SV_expOn,A153&gt;=SV_expS,A153&lt;=SV_expE),1+SV_expImp,1))</f>
        <v/>
      </c>
      <c r="J153" s="29">
        <f>IF(OR(OR(A153&lt;1,A153&gt;SV_T),A153&gt;SV_loanYears),0,-SV_lifePremYr)</f>
        <v/>
      </c>
      <c r="K153" s="29">
        <f>IF(OR(A153&lt;1,A153&gt;SV_T),0,-SV_contrib)</f>
        <v/>
      </c>
      <c r="L153" s="60">
        <f>IF(AND(SV_crashOn,A153=SV_crashYr),SV_crashF,1)</f>
        <v/>
      </c>
      <c r="M153" s="60">
        <f>IF(AND(SV_ccyOn,A153=SV_ccyYr),SV_ccyF,1)</f>
        <v/>
      </c>
      <c r="N153" s="29">
        <f>IF(A153&gt;SV_T,0,N152*(1+interestRate)*L153*M153)</f>
        <v/>
      </c>
      <c r="O153" s="29">
        <f>IF(A153&gt;SV_T,0,(O152+SV_contrib)*(1+investmentReturn)*L153*M153)</f>
        <v/>
      </c>
      <c r="P153" s="29">
        <f>IF(A153&gt;SV_T,0,P152*(1+SV_propRate)*L153)</f>
        <v/>
      </c>
      <c r="Q153" s="46">
        <f>MATCH(SV_age+A153-1,SV_cpfLower,1)</f>
        <v/>
      </c>
      <c r="R153" s="29">
        <f>IF(OR(OR(A153&lt;1,A153&gt;SV_T),NOT(SV_cpfOn)),0,MIN(SV_sal0*(1+incomeGrowthRate)^(A153-1)*G153,SV_owCap))</f>
        <v/>
      </c>
      <c r="S153" s="29">
        <f>IF(A153&gt;SV_T,0,S152*(1+SV_oaRate)+IF(A153&gt;=SV_effStop,0,INDEX(SV_cpfOA,Q153)*INDEX(SV_cpfTot,Q153)*R153))</f>
        <v/>
      </c>
      <c r="T153" s="29">
        <f>IF(A153&gt;SV_T,0,T152*(1+SV_saRate)+IF(A153&gt;=SV_effStop,0,INDEX(SV_cpfSA,Q153)*INDEX(SV_cpfTot,Q153)*R153))</f>
        <v/>
      </c>
      <c r="U153" s="29">
        <f>IF(A153&gt;SV_T,0,U152*(1+SV_saRate)+IF(A153&gt;=SV_effStop,0,INDEX(SV_cpfMA,Q153)*INDEX(SV_cpfTot,Q153)*R153))</f>
        <v/>
      </c>
      <c r="V153" s="29">
        <f>IF(OR(OR(A153&lt;1,A153&gt;SV_T),A153&gt;=SV_effNeg),0,-(INDEX(SV_cpfOA,Q153)+INDEX(SV_cpfSA,Q153)+INDEX(SV_cpfMA,Q153))*INDEX(SV_cpfEmp,Q153)*R153)</f>
        <v/>
      </c>
      <c r="W153" s="29">
        <f>IF(A153&gt;=SV_sIdx,0,S153)</f>
        <v/>
      </c>
      <c r="X153" s="29">
        <f>IF(A153&gt;=SV_sIdx,0,T153)</f>
        <v/>
      </c>
      <c r="Y153" s="29">
        <f>IF(A153&gt;=SV_sIdx,MIN(U153,SV_maCap),U153)</f>
        <v/>
      </c>
      <c r="Z153" s="29">
        <f>IF(AND(SV_cpfOn,A153&gt;=SV_pIdx,A153&lt;=SV_T),12*SV_pay,0)</f>
        <v/>
      </c>
      <c r="AA153" s="29">
        <f>IF(A153&gt;SV_T,0,IF(SV_sp&gt;=0,IF(A153&lt;SV_sIdx,0,IF(A153=SV_sIdx,SV_R0,SV_lifeGrowth*AA152)),SV_lifeGrowth*AA152))</f>
        <v/>
      </c>
      <c r="AB153" s="29">
        <f>IF(A153&gt;SV_T,0,IF(AND(SV_sp&gt;=0,A153&lt;SV_sIdx),0,IF(AND(SV_sp&gt;=0,A153=SV_sIdx),SV_L0,SV_lifeGrowth*(AB152-Z153))))</f>
        <v/>
      </c>
      <c r="AC153" s="29">
        <f>W153+X153+AA153+Y153+IF(AA153&lt;0,0,AB153)</f>
        <v/>
      </c>
      <c r="AD153" s="29">
        <f>Z153+V153</f>
        <v/>
      </c>
      <c r="AE153" s="29">
        <f>IF(OR(A153&gt;SV_T,A153&gt;=SV_loanYears),0,MAX(0,AE152*(1+loanRate)-SV_inst))</f>
        <v/>
      </c>
      <c r="AF153" s="29">
        <f>IF(A153&gt;SV_T,0,AF152*(1+SV_savRate)+H153+I153+J153+K153+AD153)</f>
        <v/>
      </c>
      <c r="AG153" s="29">
        <f>IF(A153&gt;SV_T,0,MAX(0,N153+O153+P153+AC153+AF153-AE153))</f>
        <v/>
      </c>
      <c r="AH153" s="29">
        <f>IF(A153&gt;SV_T,0,N153+O153+AF153-MAX(0,AE153-(P153+AC153)))</f>
        <v/>
      </c>
      <c r="AI153" s="29">
        <f>IF(OR(OR(A153&lt;1,A153&gt;SV_T),A153-1&gt;=SV_retPay),0,SV_retMth*12+IF(A153=1,SV_retLump,0))</f>
        <v/>
      </c>
      <c r="AJ153" s="29">
        <f>IF(A153&gt;SV_T,0,(AJ152+AI153)*(1+investmentReturn))</f>
        <v/>
      </c>
      <c r="AK153" s="29">
        <f>IF(OR(OR(A153&lt;1,A153&gt;SV_T),A153-1&gt;=SV_goalPay),0,SV_goalMth*12+IF(A153=1,SV_goalLump,0))</f>
        <v/>
      </c>
      <c r="AL153" s="29">
        <f>IF(A153&gt;SV_T,0,(AL152+AK153)*(1+investmentReturn))</f>
        <v/>
      </c>
      <c r="AM153" s="29">
        <f>IF(OR(OR(A153&lt;1,A153&gt;SV_T),A153-1&gt;=SV_protPay),0,SV_protPrem)</f>
        <v/>
      </c>
      <c r="AN153" s="29">
        <f>IF(OR(A153=0,A153&gt;=SV_T),0,ROUND(MAX(0,AJ153),2)+ROUND(MAX(0,AL153),2))</f>
        <v/>
      </c>
      <c r="AO153" s="29">
        <f>IF(OR(A153&lt;1,A153&gt;SV_T),0,-(AI153+AK153+AM153)+IF(A153=SV_T,ROUND(MAX(0,AJ153),2)+ROUND(MAX(0,AL153),2),0))</f>
        <v/>
      </c>
      <c r="AP153" s="29">
        <f>IF(A153&gt;SV_T,0,AP152*(1+SV_savRate)+H153+I153+J153+K153+AD153+AO153)</f>
        <v/>
      </c>
      <c r="AQ153" s="29">
        <f>IF(A153&gt;SV_T,0,MAX(0,N153+O153+P153+AC153+AP153+AN153-AE153))</f>
        <v/>
      </c>
      <c r="AR153" s="29">
        <f>IF(A153&gt;SV_T,0,N153+O153+AP153+AN153-MAX(0,AE153-(P153+AC153)))</f>
        <v/>
      </c>
    </row>
    <row r="154">
      <c r="A154" s="61" t="n">
        <v>31</v>
      </c>
      <c r="B154" s="61">
        <f>SV_age+A154</f>
        <v/>
      </c>
      <c r="C154" s="61">
        <f>currentYear+A154</f>
        <v/>
      </c>
      <c r="D154" s="52">
        <f>A154&lt;=SV_T</f>
        <v/>
      </c>
      <c r="E154" s="60">
        <f>IF(AND(SV_inflOn,A154&gt;=SV_inflS,A154&lt;=SV_inflE),1+SV_inflRate,1+inflationRate)</f>
        <v/>
      </c>
      <c r="F154" s="60">
        <f>IF(A154&lt;=1,1,F153*E154)</f>
        <v/>
      </c>
      <c r="G154" s="60">
        <f>IF(AND(SV_incOn,A154&gt;=SV_incS,A154&lt;=SV_incE),1+SV_incImp,1)</f>
        <v/>
      </c>
      <c r="H154" s="29">
        <f>IF(OR(OR(A154&lt;1,A154&gt;SV_T),A154-1&gt;=SV_salCut),0,SV_sal0*(1+incomeGrowthRate)^(A154-1)*G154)</f>
        <v/>
      </c>
      <c r="I154" s="29">
        <f>IF(OR(A154&lt;1,A154&gt;SV_T),0,(-SV_exp0*F154-IF(A154&lt;=SV_loanYears,SV_inst,0)-IF(AND(SV_wdAmt&gt;0,A154=SV_wdYear),SV_wdAmt,0))*IF(AND(SV_expOn,A154&gt;=SV_expS,A154&lt;=SV_expE),1+SV_expImp,1))</f>
        <v/>
      </c>
      <c r="J154" s="29">
        <f>IF(OR(OR(A154&lt;1,A154&gt;SV_T),A154&gt;SV_loanYears),0,-SV_lifePremYr)</f>
        <v/>
      </c>
      <c r="K154" s="29">
        <f>IF(OR(A154&lt;1,A154&gt;SV_T),0,-SV_contrib)</f>
        <v/>
      </c>
      <c r="L154" s="60">
        <f>IF(AND(SV_crashOn,A154=SV_crashYr),SV_crashF,1)</f>
        <v/>
      </c>
      <c r="M154" s="60">
        <f>IF(AND(SV_ccyOn,A154=SV_ccyYr),SV_ccyF,1)</f>
        <v/>
      </c>
      <c r="N154" s="29">
        <f>IF(A154&gt;SV_T,0,N153*(1+interestRate)*L154*M154)</f>
        <v/>
      </c>
      <c r="O154" s="29">
        <f>IF(A154&gt;SV_T,0,(O153+SV_contrib)*(1+investmentReturn)*L154*M154)</f>
        <v/>
      </c>
      <c r="P154" s="29">
        <f>IF(A154&gt;SV_T,0,P153*(1+SV_propRate)*L154)</f>
        <v/>
      </c>
      <c r="Q154" s="46">
        <f>MATCH(SV_age+A154-1,SV_cpfLower,1)</f>
        <v/>
      </c>
      <c r="R154" s="29">
        <f>IF(OR(OR(A154&lt;1,A154&gt;SV_T),NOT(SV_cpfOn)),0,MIN(SV_sal0*(1+incomeGrowthRate)^(A154-1)*G154,SV_owCap))</f>
        <v/>
      </c>
      <c r="S154" s="29">
        <f>IF(A154&gt;SV_T,0,S153*(1+SV_oaRate)+IF(A154&gt;=SV_effStop,0,INDEX(SV_cpfOA,Q154)*INDEX(SV_cpfTot,Q154)*R154))</f>
        <v/>
      </c>
      <c r="T154" s="29">
        <f>IF(A154&gt;SV_T,0,T153*(1+SV_saRate)+IF(A154&gt;=SV_effStop,0,INDEX(SV_cpfSA,Q154)*INDEX(SV_cpfTot,Q154)*R154))</f>
        <v/>
      </c>
      <c r="U154" s="29">
        <f>IF(A154&gt;SV_T,0,U153*(1+SV_saRate)+IF(A154&gt;=SV_effStop,0,INDEX(SV_cpfMA,Q154)*INDEX(SV_cpfTot,Q154)*R154))</f>
        <v/>
      </c>
      <c r="V154" s="29">
        <f>IF(OR(OR(A154&lt;1,A154&gt;SV_T),A154&gt;=SV_effNeg),0,-(INDEX(SV_cpfOA,Q154)+INDEX(SV_cpfSA,Q154)+INDEX(SV_cpfMA,Q154))*INDEX(SV_cpfEmp,Q154)*R154)</f>
        <v/>
      </c>
      <c r="W154" s="29">
        <f>IF(A154&gt;=SV_sIdx,0,S154)</f>
        <v/>
      </c>
      <c r="X154" s="29">
        <f>IF(A154&gt;=SV_sIdx,0,T154)</f>
        <v/>
      </c>
      <c r="Y154" s="29">
        <f>IF(A154&gt;=SV_sIdx,MIN(U154,SV_maCap),U154)</f>
        <v/>
      </c>
      <c r="Z154" s="29">
        <f>IF(AND(SV_cpfOn,A154&gt;=SV_pIdx,A154&lt;=SV_T),12*SV_pay,0)</f>
        <v/>
      </c>
      <c r="AA154" s="29">
        <f>IF(A154&gt;SV_T,0,IF(SV_sp&gt;=0,IF(A154&lt;SV_sIdx,0,IF(A154=SV_sIdx,SV_R0,SV_lifeGrowth*AA153)),SV_lifeGrowth*AA153))</f>
        <v/>
      </c>
      <c r="AB154" s="29">
        <f>IF(A154&gt;SV_T,0,IF(AND(SV_sp&gt;=0,A154&lt;SV_sIdx),0,IF(AND(SV_sp&gt;=0,A154=SV_sIdx),SV_L0,SV_lifeGrowth*(AB153-Z154))))</f>
        <v/>
      </c>
      <c r="AC154" s="29">
        <f>W154+X154+AA154+Y154+IF(AA154&lt;0,0,AB154)</f>
        <v/>
      </c>
      <c r="AD154" s="29">
        <f>Z154+V154</f>
        <v/>
      </c>
      <c r="AE154" s="29">
        <f>IF(OR(A154&gt;SV_T,A154&gt;=SV_loanYears),0,MAX(0,AE153*(1+loanRate)-SV_inst))</f>
        <v/>
      </c>
      <c r="AF154" s="29">
        <f>IF(A154&gt;SV_T,0,AF153*(1+SV_savRate)+H154+I154+J154+K154+AD154)</f>
        <v/>
      </c>
      <c r="AG154" s="29">
        <f>IF(A154&gt;SV_T,0,MAX(0,N154+O154+P154+AC154+AF154-AE154))</f>
        <v/>
      </c>
      <c r="AH154" s="29">
        <f>IF(A154&gt;SV_T,0,N154+O154+AF154-MAX(0,AE154-(P154+AC154)))</f>
        <v/>
      </c>
      <c r="AI154" s="29">
        <f>IF(OR(OR(A154&lt;1,A154&gt;SV_T),A154-1&gt;=SV_retPay),0,SV_retMth*12+IF(A154=1,SV_retLump,0))</f>
        <v/>
      </c>
      <c r="AJ154" s="29">
        <f>IF(A154&gt;SV_T,0,(AJ153+AI154)*(1+investmentReturn))</f>
        <v/>
      </c>
      <c r="AK154" s="29">
        <f>IF(OR(OR(A154&lt;1,A154&gt;SV_T),A154-1&gt;=SV_goalPay),0,SV_goalMth*12+IF(A154=1,SV_goalLump,0))</f>
        <v/>
      </c>
      <c r="AL154" s="29">
        <f>IF(A154&gt;SV_T,0,(AL153+AK154)*(1+investmentReturn))</f>
        <v/>
      </c>
      <c r="AM154" s="29">
        <f>IF(OR(OR(A154&lt;1,A154&gt;SV_T),A154-1&gt;=SV_protPay),0,SV_protPrem)</f>
        <v/>
      </c>
      <c r="AN154" s="29">
        <f>IF(OR(A154=0,A154&gt;=SV_T),0,ROUND(MAX(0,AJ154),2)+ROUND(MAX(0,AL154),2))</f>
        <v/>
      </c>
      <c r="AO154" s="29">
        <f>IF(OR(A154&lt;1,A154&gt;SV_T),0,-(AI154+AK154+AM154)+IF(A154=SV_T,ROUND(MAX(0,AJ154),2)+ROUND(MAX(0,AL154),2),0))</f>
        <v/>
      </c>
      <c r="AP154" s="29">
        <f>IF(A154&gt;SV_T,0,AP153*(1+SV_savRate)+H154+I154+J154+K154+AD154+AO154)</f>
        <v/>
      </c>
      <c r="AQ154" s="29">
        <f>IF(A154&gt;SV_T,0,MAX(0,N154+O154+P154+AC154+AP154+AN154-AE154))</f>
        <v/>
      </c>
      <c r="AR154" s="29">
        <f>IF(A154&gt;SV_T,0,N154+O154+AP154+AN154-MAX(0,AE154-(P154+AC154)))</f>
        <v/>
      </c>
    </row>
    <row r="155">
      <c r="A155" s="61" t="n">
        <v>32</v>
      </c>
      <c r="B155" s="61">
        <f>SV_age+A155</f>
        <v/>
      </c>
      <c r="C155" s="61">
        <f>currentYear+A155</f>
        <v/>
      </c>
      <c r="D155" s="52">
        <f>A155&lt;=SV_T</f>
        <v/>
      </c>
      <c r="E155" s="60">
        <f>IF(AND(SV_inflOn,A155&gt;=SV_inflS,A155&lt;=SV_inflE),1+SV_inflRate,1+inflationRate)</f>
        <v/>
      </c>
      <c r="F155" s="60">
        <f>IF(A155&lt;=1,1,F154*E155)</f>
        <v/>
      </c>
      <c r="G155" s="60">
        <f>IF(AND(SV_incOn,A155&gt;=SV_incS,A155&lt;=SV_incE),1+SV_incImp,1)</f>
        <v/>
      </c>
      <c r="H155" s="29">
        <f>IF(OR(OR(A155&lt;1,A155&gt;SV_T),A155-1&gt;=SV_salCut),0,SV_sal0*(1+incomeGrowthRate)^(A155-1)*G155)</f>
        <v/>
      </c>
      <c r="I155" s="29">
        <f>IF(OR(A155&lt;1,A155&gt;SV_T),0,(-SV_exp0*F155-IF(A155&lt;=SV_loanYears,SV_inst,0)-IF(AND(SV_wdAmt&gt;0,A155=SV_wdYear),SV_wdAmt,0))*IF(AND(SV_expOn,A155&gt;=SV_expS,A155&lt;=SV_expE),1+SV_expImp,1))</f>
        <v/>
      </c>
      <c r="J155" s="29">
        <f>IF(OR(OR(A155&lt;1,A155&gt;SV_T),A155&gt;SV_loanYears),0,-SV_lifePremYr)</f>
        <v/>
      </c>
      <c r="K155" s="29">
        <f>IF(OR(A155&lt;1,A155&gt;SV_T),0,-SV_contrib)</f>
        <v/>
      </c>
      <c r="L155" s="60">
        <f>IF(AND(SV_crashOn,A155=SV_crashYr),SV_crashF,1)</f>
        <v/>
      </c>
      <c r="M155" s="60">
        <f>IF(AND(SV_ccyOn,A155=SV_ccyYr),SV_ccyF,1)</f>
        <v/>
      </c>
      <c r="N155" s="29">
        <f>IF(A155&gt;SV_T,0,N154*(1+interestRate)*L155*M155)</f>
        <v/>
      </c>
      <c r="O155" s="29">
        <f>IF(A155&gt;SV_T,0,(O154+SV_contrib)*(1+investmentReturn)*L155*M155)</f>
        <v/>
      </c>
      <c r="P155" s="29">
        <f>IF(A155&gt;SV_T,0,P154*(1+SV_propRate)*L155)</f>
        <v/>
      </c>
      <c r="Q155" s="46">
        <f>MATCH(SV_age+A155-1,SV_cpfLower,1)</f>
        <v/>
      </c>
      <c r="R155" s="29">
        <f>IF(OR(OR(A155&lt;1,A155&gt;SV_T),NOT(SV_cpfOn)),0,MIN(SV_sal0*(1+incomeGrowthRate)^(A155-1)*G155,SV_owCap))</f>
        <v/>
      </c>
      <c r="S155" s="29">
        <f>IF(A155&gt;SV_T,0,S154*(1+SV_oaRate)+IF(A155&gt;=SV_effStop,0,INDEX(SV_cpfOA,Q155)*INDEX(SV_cpfTot,Q155)*R155))</f>
        <v/>
      </c>
      <c r="T155" s="29">
        <f>IF(A155&gt;SV_T,0,T154*(1+SV_saRate)+IF(A155&gt;=SV_effStop,0,INDEX(SV_cpfSA,Q155)*INDEX(SV_cpfTot,Q155)*R155))</f>
        <v/>
      </c>
      <c r="U155" s="29">
        <f>IF(A155&gt;SV_T,0,U154*(1+SV_saRate)+IF(A155&gt;=SV_effStop,0,INDEX(SV_cpfMA,Q155)*INDEX(SV_cpfTot,Q155)*R155))</f>
        <v/>
      </c>
      <c r="V155" s="29">
        <f>IF(OR(OR(A155&lt;1,A155&gt;SV_T),A155&gt;=SV_effNeg),0,-(INDEX(SV_cpfOA,Q155)+INDEX(SV_cpfSA,Q155)+INDEX(SV_cpfMA,Q155))*INDEX(SV_cpfEmp,Q155)*R155)</f>
        <v/>
      </c>
      <c r="W155" s="29">
        <f>IF(A155&gt;=SV_sIdx,0,S155)</f>
        <v/>
      </c>
      <c r="X155" s="29">
        <f>IF(A155&gt;=SV_sIdx,0,T155)</f>
        <v/>
      </c>
      <c r="Y155" s="29">
        <f>IF(A155&gt;=SV_sIdx,MIN(U155,SV_maCap),U155)</f>
        <v/>
      </c>
      <c r="Z155" s="29">
        <f>IF(AND(SV_cpfOn,A155&gt;=SV_pIdx,A155&lt;=SV_T),12*SV_pay,0)</f>
        <v/>
      </c>
      <c r="AA155" s="29">
        <f>IF(A155&gt;SV_T,0,IF(SV_sp&gt;=0,IF(A155&lt;SV_sIdx,0,IF(A155=SV_sIdx,SV_R0,SV_lifeGrowth*AA154)),SV_lifeGrowth*AA154))</f>
        <v/>
      </c>
      <c r="AB155" s="29">
        <f>IF(A155&gt;SV_T,0,IF(AND(SV_sp&gt;=0,A155&lt;SV_sIdx),0,IF(AND(SV_sp&gt;=0,A155=SV_sIdx),SV_L0,SV_lifeGrowth*(AB154-Z155))))</f>
        <v/>
      </c>
      <c r="AC155" s="29">
        <f>W155+X155+AA155+Y155+IF(AA155&lt;0,0,AB155)</f>
        <v/>
      </c>
      <c r="AD155" s="29">
        <f>Z155+V155</f>
        <v/>
      </c>
      <c r="AE155" s="29">
        <f>IF(OR(A155&gt;SV_T,A155&gt;=SV_loanYears),0,MAX(0,AE154*(1+loanRate)-SV_inst))</f>
        <v/>
      </c>
      <c r="AF155" s="29">
        <f>IF(A155&gt;SV_T,0,AF154*(1+SV_savRate)+H155+I155+J155+K155+AD155)</f>
        <v/>
      </c>
      <c r="AG155" s="29">
        <f>IF(A155&gt;SV_T,0,MAX(0,N155+O155+P155+AC155+AF155-AE155))</f>
        <v/>
      </c>
      <c r="AH155" s="29">
        <f>IF(A155&gt;SV_T,0,N155+O155+AF155-MAX(0,AE155-(P155+AC155)))</f>
        <v/>
      </c>
      <c r="AI155" s="29">
        <f>IF(OR(OR(A155&lt;1,A155&gt;SV_T),A155-1&gt;=SV_retPay),0,SV_retMth*12+IF(A155=1,SV_retLump,0))</f>
        <v/>
      </c>
      <c r="AJ155" s="29">
        <f>IF(A155&gt;SV_T,0,(AJ154+AI155)*(1+investmentReturn))</f>
        <v/>
      </c>
      <c r="AK155" s="29">
        <f>IF(OR(OR(A155&lt;1,A155&gt;SV_T),A155-1&gt;=SV_goalPay),0,SV_goalMth*12+IF(A155=1,SV_goalLump,0))</f>
        <v/>
      </c>
      <c r="AL155" s="29">
        <f>IF(A155&gt;SV_T,0,(AL154+AK155)*(1+investmentReturn))</f>
        <v/>
      </c>
      <c r="AM155" s="29">
        <f>IF(OR(OR(A155&lt;1,A155&gt;SV_T),A155-1&gt;=SV_protPay),0,SV_protPrem)</f>
        <v/>
      </c>
      <c r="AN155" s="29">
        <f>IF(OR(A155=0,A155&gt;=SV_T),0,ROUND(MAX(0,AJ155),2)+ROUND(MAX(0,AL155),2))</f>
        <v/>
      </c>
      <c r="AO155" s="29">
        <f>IF(OR(A155&lt;1,A155&gt;SV_T),0,-(AI155+AK155+AM155)+IF(A155=SV_T,ROUND(MAX(0,AJ155),2)+ROUND(MAX(0,AL155),2),0))</f>
        <v/>
      </c>
      <c r="AP155" s="29">
        <f>IF(A155&gt;SV_T,0,AP154*(1+SV_savRate)+H155+I155+J155+K155+AD155+AO155)</f>
        <v/>
      </c>
      <c r="AQ155" s="29">
        <f>IF(A155&gt;SV_T,0,MAX(0,N155+O155+P155+AC155+AP155+AN155-AE155))</f>
        <v/>
      </c>
      <c r="AR155" s="29">
        <f>IF(A155&gt;SV_T,0,N155+O155+AP155+AN155-MAX(0,AE155-(P155+AC155)))</f>
        <v/>
      </c>
    </row>
    <row r="156">
      <c r="A156" s="61" t="n">
        <v>33</v>
      </c>
      <c r="B156" s="61">
        <f>SV_age+A156</f>
        <v/>
      </c>
      <c r="C156" s="61">
        <f>currentYear+A156</f>
        <v/>
      </c>
      <c r="D156" s="52">
        <f>A156&lt;=SV_T</f>
        <v/>
      </c>
      <c r="E156" s="60">
        <f>IF(AND(SV_inflOn,A156&gt;=SV_inflS,A156&lt;=SV_inflE),1+SV_inflRate,1+inflationRate)</f>
        <v/>
      </c>
      <c r="F156" s="60">
        <f>IF(A156&lt;=1,1,F155*E156)</f>
        <v/>
      </c>
      <c r="G156" s="60">
        <f>IF(AND(SV_incOn,A156&gt;=SV_incS,A156&lt;=SV_incE),1+SV_incImp,1)</f>
        <v/>
      </c>
      <c r="H156" s="29">
        <f>IF(OR(OR(A156&lt;1,A156&gt;SV_T),A156-1&gt;=SV_salCut),0,SV_sal0*(1+incomeGrowthRate)^(A156-1)*G156)</f>
        <v/>
      </c>
      <c r="I156" s="29">
        <f>IF(OR(A156&lt;1,A156&gt;SV_T),0,(-SV_exp0*F156-IF(A156&lt;=SV_loanYears,SV_inst,0)-IF(AND(SV_wdAmt&gt;0,A156=SV_wdYear),SV_wdAmt,0))*IF(AND(SV_expOn,A156&gt;=SV_expS,A156&lt;=SV_expE),1+SV_expImp,1))</f>
        <v/>
      </c>
      <c r="J156" s="29">
        <f>IF(OR(OR(A156&lt;1,A156&gt;SV_T),A156&gt;SV_loanYears),0,-SV_lifePremYr)</f>
        <v/>
      </c>
      <c r="K156" s="29">
        <f>IF(OR(A156&lt;1,A156&gt;SV_T),0,-SV_contrib)</f>
        <v/>
      </c>
      <c r="L156" s="60">
        <f>IF(AND(SV_crashOn,A156=SV_crashYr),SV_crashF,1)</f>
        <v/>
      </c>
      <c r="M156" s="60">
        <f>IF(AND(SV_ccyOn,A156=SV_ccyYr),SV_ccyF,1)</f>
        <v/>
      </c>
      <c r="N156" s="29">
        <f>IF(A156&gt;SV_T,0,N155*(1+interestRate)*L156*M156)</f>
        <v/>
      </c>
      <c r="O156" s="29">
        <f>IF(A156&gt;SV_T,0,(O155+SV_contrib)*(1+investmentReturn)*L156*M156)</f>
        <v/>
      </c>
      <c r="P156" s="29">
        <f>IF(A156&gt;SV_T,0,P155*(1+SV_propRate)*L156)</f>
        <v/>
      </c>
      <c r="Q156" s="46">
        <f>MATCH(SV_age+A156-1,SV_cpfLower,1)</f>
        <v/>
      </c>
      <c r="R156" s="29">
        <f>IF(OR(OR(A156&lt;1,A156&gt;SV_T),NOT(SV_cpfOn)),0,MIN(SV_sal0*(1+incomeGrowthRate)^(A156-1)*G156,SV_owCap))</f>
        <v/>
      </c>
      <c r="S156" s="29">
        <f>IF(A156&gt;SV_T,0,S155*(1+SV_oaRate)+IF(A156&gt;=SV_effStop,0,INDEX(SV_cpfOA,Q156)*INDEX(SV_cpfTot,Q156)*R156))</f>
        <v/>
      </c>
      <c r="T156" s="29">
        <f>IF(A156&gt;SV_T,0,T155*(1+SV_saRate)+IF(A156&gt;=SV_effStop,0,INDEX(SV_cpfSA,Q156)*INDEX(SV_cpfTot,Q156)*R156))</f>
        <v/>
      </c>
      <c r="U156" s="29">
        <f>IF(A156&gt;SV_T,0,U155*(1+SV_saRate)+IF(A156&gt;=SV_effStop,0,INDEX(SV_cpfMA,Q156)*INDEX(SV_cpfTot,Q156)*R156))</f>
        <v/>
      </c>
      <c r="V156" s="29">
        <f>IF(OR(OR(A156&lt;1,A156&gt;SV_T),A156&gt;=SV_effNeg),0,-(INDEX(SV_cpfOA,Q156)+INDEX(SV_cpfSA,Q156)+INDEX(SV_cpfMA,Q156))*INDEX(SV_cpfEmp,Q156)*R156)</f>
        <v/>
      </c>
      <c r="W156" s="29">
        <f>IF(A156&gt;=SV_sIdx,0,S156)</f>
        <v/>
      </c>
      <c r="X156" s="29">
        <f>IF(A156&gt;=SV_sIdx,0,T156)</f>
        <v/>
      </c>
      <c r="Y156" s="29">
        <f>IF(A156&gt;=SV_sIdx,MIN(U156,SV_maCap),U156)</f>
        <v/>
      </c>
      <c r="Z156" s="29">
        <f>IF(AND(SV_cpfOn,A156&gt;=SV_pIdx,A156&lt;=SV_T),12*SV_pay,0)</f>
        <v/>
      </c>
      <c r="AA156" s="29">
        <f>IF(A156&gt;SV_T,0,IF(SV_sp&gt;=0,IF(A156&lt;SV_sIdx,0,IF(A156=SV_sIdx,SV_R0,SV_lifeGrowth*AA155)),SV_lifeGrowth*AA155))</f>
        <v/>
      </c>
      <c r="AB156" s="29">
        <f>IF(A156&gt;SV_T,0,IF(AND(SV_sp&gt;=0,A156&lt;SV_sIdx),0,IF(AND(SV_sp&gt;=0,A156=SV_sIdx),SV_L0,SV_lifeGrowth*(AB155-Z156))))</f>
        <v/>
      </c>
      <c r="AC156" s="29">
        <f>W156+X156+AA156+Y156+IF(AA156&lt;0,0,AB156)</f>
        <v/>
      </c>
      <c r="AD156" s="29">
        <f>Z156+V156</f>
        <v/>
      </c>
      <c r="AE156" s="29">
        <f>IF(OR(A156&gt;SV_T,A156&gt;=SV_loanYears),0,MAX(0,AE155*(1+loanRate)-SV_inst))</f>
        <v/>
      </c>
      <c r="AF156" s="29">
        <f>IF(A156&gt;SV_T,0,AF155*(1+SV_savRate)+H156+I156+J156+K156+AD156)</f>
        <v/>
      </c>
      <c r="AG156" s="29">
        <f>IF(A156&gt;SV_T,0,MAX(0,N156+O156+P156+AC156+AF156-AE156))</f>
        <v/>
      </c>
      <c r="AH156" s="29">
        <f>IF(A156&gt;SV_T,0,N156+O156+AF156-MAX(0,AE156-(P156+AC156)))</f>
        <v/>
      </c>
      <c r="AI156" s="29">
        <f>IF(OR(OR(A156&lt;1,A156&gt;SV_T),A156-1&gt;=SV_retPay),0,SV_retMth*12+IF(A156=1,SV_retLump,0))</f>
        <v/>
      </c>
      <c r="AJ156" s="29">
        <f>IF(A156&gt;SV_T,0,(AJ155+AI156)*(1+investmentReturn))</f>
        <v/>
      </c>
      <c r="AK156" s="29">
        <f>IF(OR(OR(A156&lt;1,A156&gt;SV_T),A156-1&gt;=SV_goalPay),0,SV_goalMth*12+IF(A156=1,SV_goalLump,0))</f>
        <v/>
      </c>
      <c r="AL156" s="29">
        <f>IF(A156&gt;SV_T,0,(AL155+AK156)*(1+investmentReturn))</f>
        <v/>
      </c>
      <c r="AM156" s="29">
        <f>IF(OR(OR(A156&lt;1,A156&gt;SV_T),A156-1&gt;=SV_protPay),0,SV_protPrem)</f>
        <v/>
      </c>
      <c r="AN156" s="29">
        <f>IF(OR(A156=0,A156&gt;=SV_T),0,ROUND(MAX(0,AJ156),2)+ROUND(MAX(0,AL156),2))</f>
        <v/>
      </c>
      <c r="AO156" s="29">
        <f>IF(OR(A156&lt;1,A156&gt;SV_T),0,-(AI156+AK156+AM156)+IF(A156=SV_T,ROUND(MAX(0,AJ156),2)+ROUND(MAX(0,AL156),2),0))</f>
        <v/>
      </c>
      <c r="AP156" s="29">
        <f>IF(A156&gt;SV_T,0,AP155*(1+SV_savRate)+H156+I156+J156+K156+AD156+AO156)</f>
        <v/>
      </c>
      <c r="AQ156" s="29">
        <f>IF(A156&gt;SV_T,0,MAX(0,N156+O156+P156+AC156+AP156+AN156-AE156))</f>
        <v/>
      </c>
      <c r="AR156" s="29">
        <f>IF(A156&gt;SV_T,0,N156+O156+AP156+AN156-MAX(0,AE156-(P156+AC156)))</f>
        <v/>
      </c>
    </row>
    <row r="157">
      <c r="A157" s="61" t="n">
        <v>34</v>
      </c>
      <c r="B157" s="61">
        <f>SV_age+A157</f>
        <v/>
      </c>
      <c r="C157" s="61">
        <f>currentYear+A157</f>
        <v/>
      </c>
      <c r="D157" s="52">
        <f>A157&lt;=SV_T</f>
        <v/>
      </c>
      <c r="E157" s="60">
        <f>IF(AND(SV_inflOn,A157&gt;=SV_inflS,A157&lt;=SV_inflE),1+SV_inflRate,1+inflationRate)</f>
        <v/>
      </c>
      <c r="F157" s="60">
        <f>IF(A157&lt;=1,1,F156*E157)</f>
        <v/>
      </c>
      <c r="G157" s="60">
        <f>IF(AND(SV_incOn,A157&gt;=SV_incS,A157&lt;=SV_incE),1+SV_incImp,1)</f>
        <v/>
      </c>
      <c r="H157" s="29">
        <f>IF(OR(OR(A157&lt;1,A157&gt;SV_T),A157-1&gt;=SV_salCut),0,SV_sal0*(1+incomeGrowthRate)^(A157-1)*G157)</f>
        <v/>
      </c>
      <c r="I157" s="29">
        <f>IF(OR(A157&lt;1,A157&gt;SV_T),0,(-SV_exp0*F157-IF(A157&lt;=SV_loanYears,SV_inst,0)-IF(AND(SV_wdAmt&gt;0,A157=SV_wdYear),SV_wdAmt,0))*IF(AND(SV_expOn,A157&gt;=SV_expS,A157&lt;=SV_expE),1+SV_expImp,1))</f>
        <v/>
      </c>
      <c r="J157" s="29">
        <f>IF(OR(OR(A157&lt;1,A157&gt;SV_T),A157&gt;SV_loanYears),0,-SV_lifePremYr)</f>
        <v/>
      </c>
      <c r="K157" s="29">
        <f>IF(OR(A157&lt;1,A157&gt;SV_T),0,-SV_contrib)</f>
        <v/>
      </c>
      <c r="L157" s="60">
        <f>IF(AND(SV_crashOn,A157=SV_crashYr),SV_crashF,1)</f>
        <v/>
      </c>
      <c r="M157" s="60">
        <f>IF(AND(SV_ccyOn,A157=SV_ccyYr),SV_ccyF,1)</f>
        <v/>
      </c>
      <c r="N157" s="29">
        <f>IF(A157&gt;SV_T,0,N156*(1+interestRate)*L157*M157)</f>
        <v/>
      </c>
      <c r="O157" s="29">
        <f>IF(A157&gt;SV_T,0,(O156+SV_contrib)*(1+investmentReturn)*L157*M157)</f>
        <v/>
      </c>
      <c r="P157" s="29">
        <f>IF(A157&gt;SV_T,0,P156*(1+SV_propRate)*L157)</f>
        <v/>
      </c>
      <c r="Q157" s="46">
        <f>MATCH(SV_age+A157-1,SV_cpfLower,1)</f>
        <v/>
      </c>
      <c r="R157" s="29">
        <f>IF(OR(OR(A157&lt;1,A157&gt;SV_T),NOT(SV_cpfOn)),0,MIN(SV_sal0*(1+incomeGrowthRate)^(A157-1)*G157,SV_owCap))</f>
        <v/>
      </c>
      <c r="S157" s="29">
        <f>IF(A157&gt;SV_T,0,S156*(1+SV_oaRate)+IF(A157&gt;=SV_effStop,0,INDEX(SV_cpfOA,Q157)*INDEX(SV_cpfTot,Q157)*R157))</f>
        <v/>
      </c>
      <c r="T157" s="29">
        <f>IF(A157&gt;SV_T,0,T156*(1+SV_saRate)+IF(A157&gt;=SV_effStop,0,INDEX(SV_cpfSA,Q157)*INDEX(SV_cpfTot,Q157)*R157))</f>
        <v/>
      </c>
      <c r="U157" s="29">
        <f>IF(A157&gt;SV_T,0,U156*(1+SV_saRate)+IF(A157&gt;=SV_effStop,0,INDEX(SV_cpfMA,Q157)*INDEX(SV_cpfTot,Q157)*R157))</f>
        <v/>
      </c>
      <c r="V157" s="29">
        <f>IF(OR(OR(A157&lt;1,A157&gt;SV_T),A157&gt;=SV_effNeg),0,-(INDEX(SV_cpfOA,Q157)+INDEX(SV_cpfSA,Q157)+INDEX(SV_cpfMA,Q157))*INDEX(SV_cpfEmp,Q157)*R157)</f>
        <v/>
      </c>
      <c r="W157" s="29">
        <f>IF(A157&gt;=SV_sIdx,0,S157)</f>
        <v/>
      </c>
      <c r="X157" s="29">
        <f>IF(A157&gt;=SV_sIdx,0,T157)</f>
        <v/>
      </c>
      <c r="Y157" s="29">
        <f>IF(A157&gt;=SV_sIdx,MIN(U157,SV_maCap),U157)</f>
        <v/>
      </c>
      <c r="Z157" s="29">
        <f>IF(AND(SV_cpfOn,A157&gt;=SV_pIdx,A157&lt;=SV_T),12*SV_pay,0)</f>
        <v/>
      </c>
      <c r="AA157" s="29">
        <f>IF(A157&gt;SV_T,0,IF(SV_sp&gt;=0,IF(A157&lt;SV_sIdx,0,IF(A157=SV_sIdx,SV_R0,SV_lifeGrowth*AA156)),SV_lifeGrowth*AA156))</f>
        <v/>
      </c>
      <c r="AB157" s="29">
        <f>IF(A157&gt;SV_T,0,IF(AND(SV_sp&gt;=0,A157&lt;SV_sIdx),0,IF(AND(SV_sp&gt;=0,A157=SV_sIdx),SV_L0,SV_lifeGrowth*(AB156-Z157))))</f>
        <v/>
      </c>
      <c r="AC157" s="29">
        <f>W157+X157+AA157+Y157+IF(AA157&lt;0,0,AB157)</f>
        <v/>
      </c>
      <c r="AD157" s="29">
        <f>Z157+V157</f>
        <v/>
      </c>
      <c r="AE157" s="29">
        <f>IF(OR(A157&gt;SV_T,A157&gt;=SV_loanYears),0,MAX(0,AE156*(1+loanRate)-SV_inst))</f>
        <v/>
      </c>
      <c r="AF157" s="29">
        <f>IF(A157&gt;SV_T,0,AF156*(1+SV_savRate)+H157+I157+J157+K157+AD157)</f>
        <v/>
      </c>
      <c r="AG157" s="29">
        <f>IF(A157&gt;SV_T,0,MAX(0,N157+O157+P157+AC157+AF157-AE157))</f>
        <v/>
      </c>
      <c r="AH157" s="29">
        <f>IF(A157&gt;SV_T,0,N157+O157+AF157-MAX(0,AE157-(P157+AC157)))</f>
        <v/>
      </c>
      <c r="AI157" s="29">
        <f>IF(OR(OR(A157&lt;1,A157&gt;SV_T),A157-1&gt;=SV_retPay),0,SV_retMth*12+IF(A157=1,SV_retLump,0))</f>
        <v/>
      </c>
      <c r="AJ157" s="29">
        <f>IF(A157&gt;SV_T,0,(AJ156+AI157)*(1+investmentReturn))</f>
        <v/>
      </c>
      <c r="AK157" s="29">
        <f>IF(OR(OR(A157&lt;1,A157&gt;SV_T),A157-1&gt;=SV_goalPay),0,SV_goalMth*12+IF(A157=1,SV_goalLump,0))</f>
        <v/>
      </c>
      <c r="AL157" s="29">
        <f>IF(A157&gt;SV_T,0,(AL156+AK157)*(1+investmentReturn))</f>
        <v/>
      </c>
      <c r="AM157" s="29">
        <f>IF(OR(OR(A157&lt;1,A157&gt;SV_T),A157-1&gt;=SV_protPay),0,SV_protPrem)</f>
        <v/>
      </c>
      <c r="AN157" s="29">
        <f>IF(OR(A157=0,A157&gt;=SV_T),0,ROUND(MAX(0,AJ157),2)+ROUND(MAX(0,AL157),2))</f>
        <v/>
      </c>
      <c r="AO157" s="29">
        <f>IF(OR(A157&lt;1,A157&gt;SV_T),0,-(AI157+AK157+AM157)+IF(A157=SV_T,ROUND(MAX(0,AJ157),2)+ROUND(MAX(0,AL157),2),0))</f>
        <v/>
      </c>
      <c r="AP157" s="29">
        <f>IF(A157&gt;SV_T,0,AP156*(1+SV_savRate)+H157+I157+J157+K157+AD157+AO157)</f>
        <v/>
      </c>
      <c r="AQ157" s="29">
        <f>IF(A157&gt;SV_T,0,MAX(0,N157+O157+P157+AC157+AP157+AN157-AE157))</f>
        <v/>
      </c>
      <c r="AR157" s="29">
        <f>IF(A157&gt;SV_T,0,N157+O157+AP157+AN157-MAX(0,AE157-(P157+AC157)))</f>
        <v/>
      </c>
    </row>
    <row r="158">
      <c r="A158" s="61" t="n">
        <v>35</v>
      </c>
      <c r="B158" s="61">
        <f>SV_age+A158</f>
        <v/>
      </c>
      <c r="C158" s="61">
        <f>currentYear+A158</f>
        <v/>
      </c>
      <c r="D158" s="52">
        <f>A158&lt;=SV_T</f>
        <v/>
      </c>
      <c r="E158" s="60">
        <f>IF(AND(SV_inflOn,A158&gt;=SV_inflS,A158&lt;=SV_inflE),1+SV_inflRate,1+inflationRate)</f>
        <v/>
      </c>
      <c r="F158" s="60">
        <f>IF(A158&lt;=1,1,F157*E158)</f>
        <v/>
      </c>
      <c r="G158" s="60">
        <f>IF(AND(SV_incOn,A158&gt;=SV_incS,A158&lt;=SV_incE),1+SV_incImp,1)</f>
        <v/>
      </c>
      <c r="H158" s="29">
        <f>IF(OR(OR(A158&lt;1,A158&gt;SV_T),A158-1&gt;=SV_salCut),0,SV_sal0*(1+incomeGrowthRate)^(A158-1)*G158)</f>
        <v/>
      </c>
      <c r="I158" s="29">
        <f>IF(OR(A158&lt;1,A158&gt;SV_T),0,(-SV_exp0*F158-IF(A158&lt;=SV_loanYears,SV_inst,0)-IF(AND(SV_wdAmt&gt;0,A158=SV_wdYear),SV_wdAmt,0))*IF(AND(SV_expOn,A158&gt;=SV_expS,A158&lt;=SV_expE),1+SV_expImp,1))</f>
        <v/>
      </c>
      <c r="J158" s="29">
        <f>IF(OR(OR(A158&lt;1,A158&gt;SV_T),A158&gt;SV_loanYears),0,-SV_lifePremYr)</f>
        <v/>
      </c>
      <c r="K158" s="29">
        <f>IF(OR(A158&lt;1,A158&gt;SV_T),0,-SV_contrib)</f>
        <v/>
      </c>
      <c r="L158" s="60">
        <f>IF(AND(SV_crashOn,A158=SV_crashYr),SV_crashF,1)</f>
        <v/>
      </c>
      <c r="M158" s="60">
        <f>IF(AND(SV_ccyOn,A158=SV_ccyYr),SV_ccyF,1)</f>
        <v/>
      </c>
      <c r="N158" s="29">
        <f>IF(A158&gt;SV_T,0,N157*(1+interestRate)*L158*M158)</f>
        <v/>
      </c>
      <c r="O158" s="29">
        <f>IF(A158&gt;SV_T,0,(O157+SV_contrib)*(1+investmentReturn)*L158*M158)</f>
        <v/>
      </c>
      <c r="P158" s="29">
        <f>IF(A158&gt;SV_T,0,P157*(1+SV_propRate)*L158)</f>
        <v/>
      </c>
      <c r="Q158" s="46">
        <f>MATCH(SV_age+A158-1,SV_cpfLower,1)</f>
        <v/>
      </c>
      <c r="R158" s="29">
        <f>IF(OR(OR(A158&lt;1,A158&gt;SV_T),NOT(SV_cpfOn)),0,MIN(SV_sal0*(1+incomeGrowthRate)^(A158-1)*G158,SV_owCap))</f>
        <v/>
      </c>
      <c r="S158" s="29">
        <f>IF(A158&gt;SV_T,0,S157*(1+SV_oaRate)+IF(A158&gt;=SV_effStop,0,INDEX(SV_cpfOA,Q158)*INDEX(SV_cpfTot,Q158)*R158))</f>
        <v/>
      </c>
      <c r="T158" s="29">
        <f>IF(A158&gt;SV_T,0,T157*(1+SV_saRate)+IF(A158&gt;=SV_effStop,0,INDEX(SV_cpfSA,Q158)*INDEX(SV_cpfTot,Q158)*R158))</f>
        <v/>
      </c>
      <c r="U158" s="29">
        <f>IF(A158&gt;SV_T,0,U157*(1+SV_saRate)+IF(A158&gt;=SV_effStop,0,INDEX(SV_cpfMA,Q158)*INDEX(SV_cpfTot,Q158)*R158))</f>
        <v/>
      </c>
      <c r="V158" s="29">
        <f>IF(OR(OR(A158&lt;1,A158&gt;SV_T),A158&gt;=SV_effNeg),0,-(INDEX(SV_cpfOA,Q158)+INDEX(SV_cpfSA,Q158)+INDEX(SV_cpfMA,Q158))*INDEX(SV_cpfEmp,Q158)*R158)</f>
        <v/>
      </c>
      <c r="W158" s="29">
        <f>IF(A158&gt;=SV_sIdx,0,S158)</f>
        <v/>
      </c>
      <c r="X158" s="29">
        <f>IF(A158&gt;=SV_sIdx,0,T158)</f>
        <v/>
      </c>
      <c r="Y158" s="29">
        <f>IF(A158&gt;=SV_sIdx,MIN(U158,SV_maCap),U158)</f>
        <v/>
      </c>
      <c r="Z158" s="29">
        <f>IF(AND(SV_cpfOn,A158&gt;=SV_pIdx,A158&lt;=SV_T),12*SV_pay,0)</f>
        <v/>
      </c>
      <c r="AA158" s="29">
        <f>IF(A158&gt;SV_T,0,IF(SV_sp&gt;=0,IF(A158&lt;SV_sIdx,0,IF(A158=SV_sIdx,SV_R0,SV_lifeGrowth*AA157)),SV_lifeGrowth*AA157))</f>
        <v/>
      </c>
      <c r="AB158" s="29">
        <f>IF(A158&gt;SV_T,0,IF(AND(SV_sp&gt;=0,A158&lt;SV_sIdx),0,IF(AND(SV_sp&gt;=0,A158=SV_sIdx),SV_L0,SV_lifeGrowth*(AB157-Z158))))</f>
        <v/>
      </c>
      <c r="AC158" s="29">
        <f>W158+X158+AA158+Y158+IF(AA158&lt;0,0,AB158)</f>
        <v/>
      </c>
      <c r="AD158" s="29">
        <f>Z158+V158</f>
        <v/>
      </c>
      <c r="AE158" s="29">
        <f>IF(OR(A158&gt;SV_T,A158&gt;=SV_loanYears),0,MAX(0,AE157*(1+loanRate)-SV_inst))</f>
        <v/>
      </c>
      <c r="AF158" s="29">
        <f>IF(A158&gt;SV_T,0,AF157*(1+SV_savRate)+H158+I158+J158+K158+AD158)</f>
        <v/>
      </c>
      <c r="AG158" s="29">
        <f>IF(A158&gt;SV_T,0,MAX(0,N158+O158+P158+AC158+AF158-AE158))</f>
        <v/>
      </c>
      <c r="AH158" s="29">
        <f>IF(A158&gt;SV_T,0,N158+O158+AF158-MAX(0,AE158-(P158+AC158)))</f>
        <v/>
      </c>
      <c r="AI158" s="29">
        <f>IF(OR(OR(A158&lt;1,A158&gt;SV_T),A158-1&gt;=SV_retPay),0,SV_retMth*12+IF(A158=1,SV_retLump,0))</f>
        <v/>
      </c>
      <c r="AJ158" s="29">
        <f>IF(A158&gt;SV_T,0,(AJ157+AI158)*(1+investmentReturn))</f>
        <v/>
      </c>
      <c r="AK158" s="29">
        <f>IF(OR(OR(A158&lt;1,A158&gt;SV_T),A158-1&gt;=SV_goalPay),0,SV_goalMth*12+IF(A158=1,SV_goalLump,0))</f>
        <v/>
      </c>
      <c r="AL158" s="29">
        <f>IF(A158&gt;SV_T,0,(AL157+AK158)*(1+investmentReturn))</f>
        <v/>
      </c>
      <c r="AM158" s="29">
        <f>IF(OR(OR(A158&lt;1,A158&gt;SV_T),A158-1&gt;=SV_protPay),0,SV_protPrem)</f>
        <v/>
      </c>
      <c r="AN158" s="29">
        <f>IF(OR(A158=0,A158&gt;=SV_T),0,ROUND(MAX(0,AJ158),2)+ROUND(MAX(0,AL158),2))</f>
        <v/>
      </c>
      <c r="AO158" s="29">
        <f>IF(OR(A158&lt;1,A158&gt;SV_T),0,-(AI158+AK158+AM158)+IF(A158=SV_T,ROUND(MAX(0,AJ158),2)+ROUND(MAX(0,AL158),2),0))</f>
        <v/>
      </c>
      <c r="AP158" s="29">
        <f>IF(A158&gt;SV_T,0,AP157*(1+SV_savRate)+H158+I158+J158+K158+AD158+AO158)</f>
        <v/>
      </c>
      <c r="AQ158" s="29">
        <f>IF(A158&gt;SV_T,0,MAX(0,N158+O158+P158+AC158+AP158+AN158-AE158))</f>
        <v/>
      </c>
      <c r="AR158" s="29">
        <f>IF(A158&gt;SV_T,0,N158+O158+AP158+AN158-MAX(0,AE158-(P158+AC158)))</f>
        <v/>
      </c>
    </row>
    <row r="159">
      <c r="A159" s="61" t="n">
        <v>36</v>
      </c>
      <c r="B159" s="61">
        <f>SV_age+A159</f>
        <v/>
      </c>
      <c r="C159" s="61">
        <f>currentYear+A159</f>
        <v/>
      </c>
      <c r="D159" s="52">
        <f>A159&lt;=SV_T</f>
        <v/>
      </c>
      <c r="E159" s="60">
        <f>IF(AND(SV_inflOn,A159&gt;=SV_inflS,A159&lt;=SV_inflE),1+SV_inflRate,1+inflationRate)</f>
        <v/>
      </c>
      <c r="F159" s="60">
        <f>IF(A159&lt;=1,1,F158*E159)</f>
        <v/>
      </c>
      <c r="G159" s="60">
        <f>IF(AND(SV_incOn,A159&gt;=SV_incS,A159&lt;=SV_incE),1+SV_incImp,1)</f>
        <v/>
      </c>
      <c r="H159" s="29">
        <f>IF(OR(OR(A159&lt;1,A159&gt;SV_T),A159-1&gt;=SV_salCut),0,SV_sal0*(1+incomeGrowthRate)^(A159-1)*G159)</f>
        <v/>
      </c>
      <c r="I159" s="29">
        <f>IF(OR(A159&lt;1,A159&gt;SV_T),0,(-SV_exp0*F159-IF(A159&lt;=SV_loanYears,SV_inst,0)-IF(AND(SV_wdAmt&gt;0,A159=SV_wdYear),SV_wdAmt,0))*IF(AND(SV_expOn,A159&gt;=SV_expS,A159&lt;=SV_expE),1+SV_expImp,1))</f>
        <v/>
      </c>
      <c r="J159" s="29">
        <f>IF(OR(OR(A159&lt;1,A159&gt;SV_T),A159&gt;SV_loanYears),0,-SV_lifePremYr)</f>
        <v/>
      </c>
      <c r="K159" s="29">
        <f>IF(OR(A159&lt;1,A159&gt;SV_T),0,-SV_contrib)</f>
        <v/>
      </c>
      <c r="L159" s="60">
        <f>IF(AND(SV_crashOn,A159=SV_crashYr),SV_crashF,1)</f>
        <v/>
      </c>
      <c r="M159" s="60">
        <f>IF(AND(SV_ccyOn,A159=SV_ccyYr),SV_ccyF,1)</f>
        <v/>
      </c>
      <c r="N159" s="29">
        <f>IF(A159&gt;SV_T,0,N158*(1+interestRate)*L159*M159)</f>
        <v/>
      </c>
      <c r="O159" s="29">
        <f>IF(A159&gt;SV_T,0,(O158+SV_contrib)*(1+investmentReturn)*L159*M159)</f>
        <v/>
      </c>
      <c r="P159" s="29">
        <f>IF(A159&gt;SV_T,0,P158*(1+SV_propRate)*L159)</f>
        <v/>
      </c>
      <c r="Q159" s="46">
        <f>MATCH(SV_age+A159-1,SV_cpfLower,1)</f>
        <v/>
      </c>
      <c r="R159" s="29">
        <f>IF(OR(OR(A159&lt;1,A159&gt;SV_T),NOT(SV_cpfOn)),0,MIN(SV_sal0*(1+incomeGrowthRate)^(A159-1)*G159,SV_owCap))</f>
        <v/>
      </c>
      <c r="S159" s="29">
        <f>IF(A159&gt;SV_T,0,S158*(1+SV_oaRate)+IF(A159&gt;=SV_effStop,0,INDEX(SV_cpfOA,Q159)*INDEX(SV_cpfTot,Q159)*R159))</f>
        <v/>
      </c>
      <c r="T159" s="29">
        <f>IF(A159&gt;SV_T,0,T158*(1+SV_saRate)+IF(A159&gt;=SV_effStop,0,INDEX(SV_cpfSA,Q159)*INDEX(SV_cpfTot,Q159)*R159))</f>
        <v/>
      </c>
      <c r="U159" s="29">
        <f>IF(A159&gt;SV_T,0,U158*(1+SV_saRate)+IF(A159&gt;=SV_effStop,0,INDEX(SV_cpfMA,Q159)*INDEX(SV_cpfTot,Q159)*R159))</f>
        <v/>
      </c>
      <c r="V159" s="29">
        <f>IF(OR(OR(A159&lt;1,A159&gt;SV_T),A159&gt;=SV_effNeg),0,-(INDEX(SV_cpfOA,Q159)+INDEX(SV_cpfSA,Q159)+INDEX(SV_cpfMA,Q159))*INDEX(SV_cpfEmp,Q159)*R159)</f>
        <v/>
      </c>
      <c r="W159" s="29">
        <f>IF(A159&gt;=SV_sIdx,0,S159)</f>
        <v/>
      </c>
      <c r="X159" s="29">
        <f>IF(A159&gt;=SV_sIdx,0,T159)</f>
        <v/>
      </c>
      <c r="Y159" s="29">
        <f>IF(A159&gt;=SV_sIdx,MIN(U159,SV_maCap),U159)</f>
        <v/>
      </c>
      <c r="Z159" s="29">
        <f>IF(AND(SV_cpfOn,A159&gt;=SV_pIdx,A159&lt;=SV_T),12*SV_pay,0)</f>
        <v/>
      </c>
      <c r="AA159" s="29">
        <f>IF(A159&gt;SV_T,0,IF(SV_sp&gt;=0,IF(A159&lt;SV_sIdx,0,IF(A159=SV_sIdx,SV_R0,SV_lifeGrowth*AA158)),SV_lifeGrowth*AA158))</f>
        <v/>
      </c>
      <c r="AB159" s="29">
        <f>IF(A159&gt;SV_T,0,IF(AND(SV_sp&gt;=0,A159&lt;SV_sIdx),0,IF(AND(SV_sp&gt;=0,A159=SV_sIdx),SV_L0,SV_lifeGrowth*(AB158-Z159))))</f>
        <v/>
      </c>
      <c r="AC159" s="29">
        <f>W159+X159+AA159+Y159+IF(AA159&lt;0,0,AB159)</f>
        <v/>
      </c>
      <c r="AD159" s="29">
        <f>Z159+V159</f>
        <v/>
      </c>
      <c r="AE159" s="29">
        <f>IF(OR(A159&gt;SV_T,A159&gt;=SV_loanYears),0,MAX(0,AE158*(1+loanRate)-SV_inst))</f>
        <v/>
      </c>
      <c r="AF159" s="29">
        <f>IF(A159&gt;SV_T,0,AF158*(1+SV_savRate)+H159+I159+J159+K159+AD159)</f>
        <v/>
      </c>
      <c r="AG159" s="29">
        <f>IF(A159&gt;SV_T,0,MAX(0,N159+O159+P159+AC159+AF159-AE159))</f>
        <v/>
      </c>
      <c r="AH159" s="29">
        <f>IF(A159&gt;SV_T,0,N159+O159+AF159-MAX(0,AE159-(P159+AC159)))</f>
        <v/>
      </c>
      <c r="AI159" s="29">
        <f>IF(OR(OR(A159&lt;1,A159&gt;SV_T),A159-1&gt;=SV_retPay),0,SV_retMth*12+IF(A159=1,SV_retLump,0))</f>
        <v/>
      </c>
      <c r="AJ159" s="29">
        <f>IF(A159&gt;SV_T,0,(AJ158+AI159)*(1+investmentReturn))</f>
        <v/>
      </c>
      <c r="AK159" s="29">
        <f>IF(OR(OR(A159&lt;1,A159&gt;SV_T),A159-1&gt;=SV_goalPay),0,SV_goalMth*12+IF(A159=1,SV_goalLump,0))</f>
        <v/>
      </c>
      <c r="AL159" s="29">
        <f>IF(A159&gt;SV_T,0,(AL158+AK159)*(1+investmentReturn))</f>
        <v/>
      </c>
      <c r="AM159" s="29">
        <f>IF(OR(OR(A159&lt;1,A159&gt;SV_T),A159-1&gt;=SV_protPay),0,SV_protPrem)</f>
        <v/>
      </c>
      <c r="AN159" s="29">
        <f>IF(OR(A159=0,A159&gt;=SV_T),0,ROUND(MAX(0,AJ159),2)+ROUND(MAX(0,AL159),2))</f>
        <v/>
      </c>
      <c r="AO159" s="29">
        <f>IF(OR(A159&lt;1,A159&gt;SV_T),0,-(AI159+AK159+AM159)+IF(A159=SV_T,ROUND(MAX(0,AJ159),2)+ROUND(MAX(0,AL159),2),0))</f>
        <v/>
      </c>
      <c r="AP159" s="29">
        <f>IF(A159&gt;SV_T,0,AP158*(1+SV_savRate)+H159+I159+J159+K159+AD159+AO159)</f>
        <v/>
      </c>
      <c r="AQ159" s="29">
        <f>IF(A159&gt;SV_T,0,MAX(0,N159+O159+P159+AC159+AP159+AN159-AE159))</f>
        <v/>
      </c>
      <c r="AR159" s="29">
        <f>IF(A159&gt;SV_T,0,N159+O159+AP159+AN159-MAX(0,AE159-(P159+AC159)))</f>
        <v/>
      </c>
    </row>
    <row r="160">
      <c r="A160" s="61" t="n">
        <v>37</v>
      </c>
      <c r="B160" s="61">
        <f>SV_age+A160</f>
        <v/>
      </c>
      <c r="C160" s="61">
        <f>currentYear+A160</f>
        <v/>
      </c>
      <c r="D160" s="52">
        <f>A160&lt;=SV_T</f>
        <v/>
      </c>
      <c r="E160" s="60">
        <f>IF(AND(SV_inflOn,A160&gt;=SV_inflS,A160&lt;=SV_inflE),1+SV_inflRate,1+inflationRate)</f>
        <v/>
      </c>
      <c r="F160" s="60">
        <f>IF(A160&lt;=1,1,F159*E160)</f>
        <v/>
      </c>
      <c r="G160" s="60">
        <f>IF(AND(SV_incOn,A160&gt;=SV_incS,A160&lt;=SV_incE),1+SV_incImp,1)</f>
        <v/>
      </c>
      <c r="H160" s="29">
        <f>IF(OR(OR(A160&lt;1,A160&gt;SV_T),A160-1&gt;=SV_salCut),0,SV_sal0*(1+incomeGrowthRate)^(A160-1)*G160)</f>
        <v/>
      </c>
      <c r="I160" s="29">
        <f>IF(OR(A160&lt;1,A160&gt;SV_T),0,(-SV_exp0*F160-IF(A160&lt;=SV_loanYears,SV_inst,0)-IF(AND(SV_wdAmt&gt;0,A160=SV_wdYear),SV_wdAmt,0))*IF(AND(SV_expOn,A160&gt;=SV_expS,A160&lt;=SV_expE),1+SV_expImp,1))</f>
        <v/>
      </c>
      <c r="J160" s="29">
        <f>IF(OR(OR(A160&lt;1,A160&gt;SV_T),A160&gt;SV_loanYears),0,-SV_lifePremYr)</f>
        <v/>
      </c>
      <c r="K160" s="29">
        <f>IF(OR(A160&lt;1,A160&gt;SV_T),0,-SV_contrib)</f>
        <v/>
      </c>
      <c r="L160" s="60">
        <f>IF(AND(SV_crashOn,A160=SV_crashYr),SV_crashF,1)</f>
        <v/>
      </c>
      <c r="M160" s="60">
        <f>IF(AND(SV_ccyOn,A160=SV_ccyYr),SV_ccyF,1)</f>
        <v/>
      </c>
      <c r="N160" s="29">
        <f>IF(A160&gt;SV_T,0,N159*(1+interestRate)*L160*M160)</f>
        <v/>
      </c>
      <c r="O160" s="29">
        <f>IF(A160&gt;SV_T,0,(O159+SV_contrib)*(1+investmentReturn)*L160*M160)</f>
        <v/>
      </c>
      <c r="P160" s="29">
        <f>IF(A160&gt;SV_T,0,P159*(1+SV_propRate)*L160)</f>
        <v/>
      </c>
      <c r="Q160" s="46">
        <f>MATCH(SV_age+A160-1,SV_cpfLower,1)</f>
        <v/>
      </c>
      <c r="R160" s="29">
        <f>IF(OR(OR(A160&lt;1,A160&gt;SV_T),NOT(SV_cpfOn)),0,MIN(SV_sal0*(1+incomeGrowthRate)^(A160-1)*G160,SV_owCap))</f>
        <v/>
      </c>
      <c r="S160" s="29">
        <f>IF(A160&gt;SV_T,0,S159*(1+SV_oaRate)+IF(A160&gt;=SV_effStop,0,INDEX(SV_cpfOA,Q160)*INDEX(SV_cpfTot,Q160)*R160))</f>
        <v/>
      </c>
      <c r="T160" s="29">
        <f>IF(A160&gt;SV_T,0,T159*(1+SV_saRate)+IF(A160&gt;=SV_effStop,0,INDEX(SV_cpfSA,Q160)*INDEX(SV_cpfTot,Q160)*R160))</f>
        <v/>
      </c>
      <c r="U160" s="29">
        <f>IF(A160&gt;SV_T,0,U159*(1+SV_saRate)+IF(A160&gt;=SV_effStop,0,INDEX(SV_cpfMA,Q160)*INDEX(SV_cpfTot,Q160)*R160))</f>
        <v/>
      </c>
      <c r="V160" s="29">
        <f>IF(OR(OR(A160&lt;1,A160&gt;SV_T),A160&gt;=SV_effNeg),0,-(INDEX(SV_cpfOA,Q160)+INDEX(SV_cpfSA,Q160)+INDEX(SV_cpfMA,Q160))*INDEX(SV_cpfEmp,Q160)*R160)</f>
        <v/>
      </c>
      <c r="W160" s="29">
        <f>IF(A160&gt;=SV_sIdx,0,S160)</f>
        <v/>
      </c>
      <c r="X160" s="29">
        <f>IF(A160&gt;=SV_sIdx,0,T160)</f>
        <v/>
      </c>
      <c r="Y160" s="29">
        <f>IF(A160&gt;=SV_sIdx,MIN(U160,SV_maCap),U160)</f>
        <v/>
      </c>
      <c r="Z160" s="29">
        <f>IF(AND(SV_cpfOn,A160&gt;=SV_pIdx,A160&lt;=SV_T),12*SV_pay,0)</f>
        <v/>
      </c>
      <c r="AA160" s="29">
        <f>IF(A160&gt;SV_T,0,IF(SV_sp&gt;=0,IF(A160&lt;SV_sIdx,0,IF(A160=SV_sIdx,SV_R0,SV_lifeGrowth*AA159)),SV_lifeGrowth*AA159))</f>
        <v/>
      </c>
      <c r="AB160" s="29">
        <f>IF(A160&gt;SV_T,0,IF(AND(SV_sp&gt;=0,A160&lt;SV_sIdx),0,IF(AND(SV_sp&gt;=0,A160=SV_sIdx),SV_L0,SV_lifeGrowth*(AB159-Z160))))</f>
        <v/>
      </c>
      <c r="AC160" s="29">
        <f>W160+X160+AA160+Y160+IF(AA160&lt;0,0,AB160)</f>
        <v/>
      </c>
      <c r="AD160" s="29">
        <f>Z160+V160</f>
        <v/>
      </c>
      <c r="AE160" s="29">
        <f>IF(OR(A160&gt;SV_T,A160&gt;=SV_loanYears),0,MAX(0,AE159*(1+loanRate)-SV_inst))</f>
        <v/>
      </c>
      <c r="AF160" s="29">
        <f>IF(A160&gt;SV_T,0,AF159*(1+SV_savRate)+H160+I160+J160+K160+AD160)</f>
        <v/>
      </c>
      <c r="AG160" s="29">
        <f>IF(A160&gt;SV_T,0,MAX(0,N160+O160+P160+AC160+AF160-AE160))</f>
        <v/>
      </c>
      <c r="AH160" s="29">
        <f>IF(A160&gt;SV_T,0,N160+O160+AF160-MAX(0,AE160-(P160+AC160)))</f>
        <v/>
      </c>
      <c r="AI160" s="29">
        <f>IF(OR(OR(A160&lt;1,A160&gt;SV_T),A160-1&gt;=SV_retPay),0,SV_retMth*12+IF(A160=1,SV_retLump,0))</f>
        <v/>
      </c>
      <c r="AJ160" s="29">
        <f>IF(A160&gt;SV_T,0,(AJ159+AI160)*(1+investmentReturn))</f>
        <v/>
      </c>
      <c r="AK160" s="29">
        <f>IF(OR(OR(A160&lt;1,A160&gt;SV_T),A160-1&gt;=SV_goalPay),0,SV_goalMth*12+IF(A160=1,SV_goalLump,0))</f>
        <v/>
      </c>
      <c r="AL160" s="29">
        <f>IF(A160&gt;SV_T,0,(AL159+AK160)*(1+investmentReturn))</f>
        <v/>
      </c>
      <c r="AM160" s="29">
        <f>IF(OR(OR(A160&lt;1,A160&gt;SV_T),A160-1&gt;=SV_protPay),0,SV_protPrem)</f>
        <v/>
      </c>
      <c r="AN160" s="29">
        <f>IF(OR(A160=0,A160&gt;=SV_T),0,ROUND(MAX(0,AJ160),2)+ROUND(MAX(0,AL160),2))</f>
        <v/>
      </c>
      <c r="AO160" s="29">
        <f>IF(OR(A160&lt;1,A160&gt;SV_T),0,-(AI160+AK160+AM160)+IF(A160=SV_T,ROUND(MAX(0,AJ160),2)+ROUND(MAX(0,AL160),2),0))</f>
        <v/>
      </c>
      <c r="AP160" s="29">
        <f>IF(A160&gt;SV_T,0,AP159*(1+SV_savRate)+H160+I160+J160+K160+AD160+AO160)</f>
        <v/>
      </c>
      <c r="AQ160" s="29">
        <f>IF(A160&gt;SV_T,0,MAX(0,N160+O160+P160+AC160+AP160+AN160-AE160))</f>
        <v/>
      </c>
      <c r="AR160" s="29">
        <f>IF(A160&gt;SV_T,0,N160+O160+AP160+AN160-MAX(0,AE160-(P160+AC160)))</f>
        <v/>
      </c>
    </row>
    <row r="161">
      <c r="A161" s="61" t="n">
        <v>38</v>
      </c>
      <c r="B161" s="61">
        <f>SV_age+A161</f>
        <v/>
      </c>
      <c r="C161" s="61">
        <f>currentYear+A161</f>
        <v/>
      </c>
      <c r="D161" s="52">
        <f>A161&lt;=SV_T</f>
        <v/>
      </c>
      <c r="E161" s="60">
        <f>IF(AND(SV_inflOn,A161&gt;=SV_inflS,A161&lt;=SV_inflE),1+SV_inflRate,1+inflationRate)</f>
        <v/>
      </c>
      <c r="F161" s="60">
        <f>IF(A161&lt;=1,1,F160*E161)</f>
        <v/>
      </c>
      <c r="G161" s="60">
        <f>IF(AND(SV_incOn,A161&gt;=SV_incS,A161&lt;=SV_incE),1+SV_incImp,1)</f>
        <v/>
      </c>
      <c r="H161" s="29">
        <f>IF(OR(OR(A161&lt;1,A161&gt;SV_T),A161-1&gt;=SV_salCut),0,SV_sal0*(1+incomeGrowthRate)^(A161-1)*G161)</f>
        <v/>
      </c>
      <c r="I161" s="29">
        <f>IF(OR(A161&lt;1,A161&gt;SV_T),0,(-SV_exp0*F161-IF(A161&lt;=SV_loanYears,SV_inst,0)-IF(AND(SV_wdAmt&gt;0,A161=SV_wdYear),SV_wdAmt,0))*IF(AND(SV_expOn,A161&gt;=SV_expS,A161&lt;=SV_expE),1+SV_expImp,1))</f>
        <v/>
      </c>
      <c r="J161" s="29">
        <f>IF(OR(OR(A161&lt;1,A161&gt;SV_T),A161&gt;SV_loanYears),0,-SV_lifePremYr)</f>
        <v/>
      </c>
      <c r="K161" s="29">
        <f>IF(OR(A161&lt;1,A161&gt;SV_T),0,-SV_contrib)</f>
        <v/>
      </c>
      <c r="L161" s="60">
        <f>IF(AND(SV_crashOn,A161=SV_crashYr),SV_crashF,1)</f>
        <v/>
      </c>
      <c r="M161" s="60">
        <f>IF(AND(SV_ccyOn,A161=SV_ccyYr),SV_ccyF,1)</f>
        <v/>
      </c>
      <c r="N161" s="29">
        <f>IF(A161&gt;SV_T,0,N160*(1+interestRate)*L161*M161)</f>
        <v/>
      </c>
      <c r="O161" s="29">
        <f>IF(A161&gt;SV_T,0,(O160+SV_contrib)*(1+investmentReturn)*L161*M161)</f>
        <v/>
      </c>
      <c r="P161" s="29">
        <f>IF(A161&gt;SV_T,0,P160*(1+SV_propRate)*L161)</f>
        <v/>
      </c>
      <c r="Q161" s="46">
        <f>MATCH(SV_age+A161-1,SV_cpfLower,1)</f>
        <v/>
      </c>
      <c r="R161" s="29">
        <f>IF(OR(OR(A161&lt;1,A161&gt;SV_T),NOT(SV_cpfOn)),0,MIN(SV_sal0*(1+incomeGrowthRate)^(A161-1)*G161,SV_owCap))</f>
        <v/>
      </c>
      <c r="S161" s="29">
        <f>IF(A161&gt;SV_T,0,S160*(1+SV_oaRate)+IF(A161&gt;=SV_effStop,0,INDEX(SV_cpfOA,Q161)*INDEX(SV_cpfTot,Q161)*R161))</f>
        <v/>
      </c>
      <c r="T161" s="29">
        <f>IF(A161&gt;SV_T,0,T160*(1+SV_saRate)+IF(A161&gt;=SV_effStop,0,INDEX(SV_cpfSA,Q161)*INDEX(SV_cpfTot,Q161)*R161))</f>
        <v/>
      </c>
      <c r="U161" s="29">
        <f>IF(A161&gt;SV_T,0,U160*(1+SV_saRate)+IF(A161&gt;=SV_effStop,0,INDEX(SV_cpfMA,Q161)*INDEX(SV_cpfTot,Q161)*R161))</f>
        <v/>
      </c>
      <c r="V161" s="29">
        <f>IF(OR(OR(A161&lt;1,A161&gt;SV_T),A161&gt;=SV_effNeg),0,-(INDEX(SV_cpfOA,Q161)+INDEX(SV_cpfSA,Q161)+INDEX(SV_cpfMA,Q161))*INDEX(SV_cpfEmp,Q161)*R161)</f>
        <v/>
      </c>
      <c r="W161" s="29">
        <f>IF(A161&gt;=SV_sIdx,0,S161)</f>
        <v/>
      </c>
      <c r="X161" s="29">
        <f>IF(A161&gt;=SV_sIdx,0,T161)</f>
        <v/>
      </c>
      <c r="Y161" s="29">
        <f>IF(A161&gt;=SV_sIdx,MIN(U161,SV_maCap),U161)</f>
        <v/>
      </c>
      <c r="Z161" s="29">
        <f>IF(AND(SV_cpfOn,A161&gt;=SV_pIdx,A161&lt;=SV_T),12*SV_pay,0)</f>
        <v/>
      </c>
      <c r="AA161" s="29">
        <f>IF(A161&gt;SV_T,0,IF(SV_sp&gt;=0,IF(A161&lt;SV_sIdx,0,IF(A161=SV_sIdx,SV_R0,SV_lifeGrowth*AA160)),SV_lifeGrowth*AA160))</f>
        <v/>
      </c>
      <c r="AB161" s="29">
        <f>IF(A161&gt;SV_T,0,IF(AND(SV_sp&gt;=0,A161&lt;SV_sIdx),0,IF(AND(SV_sp&gt;=0,A161=SV_sIdx),SV_L0,SV_lifeGrowth*(AB160-Z161))))</f>
        <v/>
      </c>
      <c r="AC161" s="29">
        <f>W161+X161+AA161+Y161+IF(AA161&lt;0,0,AB161)</f>
        <v/>
      </c>
      <c r="AD161" s="29">
        <f>Z161+V161</f>
        <v/>
      </c>
      <c r="AE161" s="29">
        <f>IF(OR(A161&gt;SV_T,A161&gt;=SV_loanYears),0,MAX(0,AE160*(1+loanRate)-SV_inst))</f>
        <v/>
      </c>
      <c r="AF161" s="29">
        <f>IF(A161&gt;SV_T,0,AF160*(1+SV_savRate)+H161+I161+J161+K161+AD161)</f>
        <v/>
      </c>
      <c r="AG161" s="29">
        <f>IF(A161&gt;SV_T,0,MAX(0,N161+O161+P161+AC161+AF161-AE161))</f>
        <v/>
      </c>
      <c r="AH161" s="29">
        <f>IF(A161&gt;SV_T,0,N161+O161+AF161-MAX(0,AE161-(P161+AC161)))</f>
        <v/>
      </c>
      <c r="AI161" s="29">
        <f>IF(OR(OR(A161&lt;1,A161&gt;SV_T),A161-1&gt;=SV_retPay),0,SV_retMth*12+IF(A161=1,SV_retLump,0))</f>
        <v/>
      </c>
      <c r="AJ161" s="29">
        <f>IF(A161&gt;SV_T,0,(AJ160+AI161)*(1+investmentReturn))</f>
        <v/>
      </c>
      <c r="AK161" s="29">
        <f>IF(OR(OR(A161&lt;1,A161&gt;SV_T),A161-1&gt;=SV_goalPay),0,SV_goalMth*12+IF(A161=1,SV_goalLump,0))</f>
        <v/>
      </c>
      <c r="AL161" s="29">
        <f>IF(A161&gt;SV_T,0,(AL160+AK161)*(1+investmentReturn))</f>
        <v/>
      </c>
      <c r="AM161" s="29">
        <f>IF(OR(OR(A161&lt;1,A161&gt;SV_T),A161-1&gt;=SV_protPay),0,SV_protPrem)</f>
        <v/>
      </c>
      <c r="AN161" s="29">
        <f>IF(OR(A161=0,A161&gt;=SV_T),0,ROUND(MAX(0,AJ161),2)+ROUND(MAX(0,AL161),2))</f>
        <v/>
      </c>
      <c r="AO161" s="29">
        <f>IF(OR(A161&lt;1,A161&gt;SV_T),0,-(AI161+AK161+AM161)+IF(A161=SV_T,ROUND(MAX(0,AJ161),2)+ROUND(MAX(0,AL161),2),0))</f>
        <v/>
      </c>
      <c r="AP161" s="29">
        <f>IF(A161&gt;SV_T,0,AP160*(1+SV_savRate)+H161+I161+J161+K161+AD161+AO161)</f>
        <v/>
      </c>
      <c r="AQ161" s="29">
        <f>IF(A161&gt;SV_T,0,MAX(0,N161+O161+P161+AC161+AP161+AN161-AE161))</f>
        <v/>
      </c>
      <c r="AR161" s="29">
        <f>IF(A161&gt;SV_T,0,N161+O161+AP161+AN161-MAX(0,AE161-(P161+AC161)))</f>
        <v/>
      </c>
    </row>
    <row r="162">
      <c r="A162" s="61" t="n">
        <v>39</v>
      </c>
      <c r="B162" s="61">
        <f>SV_age+A162</f>
        <v/>
      </c>
      <c r="C162" s="61">
        <f>currentYear+A162</f>
        <v/>
      </c>
      <c r="D162" s="52">
        <f>A162&lt;=SV_T</f>
        <v/>
      </c>
      <c r="E162" s="60">
        <f>IF(AND(SV_inflOn,A162&gt;=SV_inflS,A162&lt;=SV_inflE),1+SV_inflRate,1+inflationRate)</f>
        <v/>
      </c>
      <c r="F162" s="60">
        <f>IF(A162&lt;=1,1,F161*E162)</f>
        <v/>
      </c>
      <c r="G162" s="60">
        <f>IF(AND(SV_incOn,A162&gt;=SV_incS,A162&lt;=SV_incE),1+SV_incImp,1)</f>
        <v/>
      </c>
      <c r="H162" s="29">
        <f>IF(OR(OR(A162&lt;1,A162&gt;SV_T),A162-1&gt;=SV_salCut),0,SV_sal0*(1+incomeGrowthRate)^(A162-1)*G162)</f>
        <v/>
      </c>
      <c r="I162" s="29">
        <f>IF(OR(A162&lt;1,A162&gt;SV_T),0,(-SV_exp0*F162-IF(A162&lt;=SV_loanYears,SV_inst,0)-IF(AND(SV_wdAmt&gt;0,A162=SV_wdYear),SV_wdAmt,0))*IF(AND(SV_expOn,A162&gt;=SV_expS,A162&lt;=SV_expE),1+SV_expImp,1))</f>
        <v/>
      </c>
      <c r="J162" s="29">
        <f>IF(OR(OR(A162&lt;1,A162&gt;SV_T),A162&gt;SV_loanYears),0,-SV_lifePremYr)</f>
        <v/>
      </c>
      <c r="K162" s="29">
        <f>IF(OR(A162&lt;1,A162&gt;SV_T),0,-SV_contrib)</f>
        <v/>
      </c>
      <c r="L162" s="60">
        <f>IF(AND(SV_crashOn,A162=SV_crashYr),SV_crashF,1)</f>
        <v/>
      </c>
      <c r="M162" s="60">
        <f>IF(AND(SV_ccyOn,A162=SV_ccyYr),SV_ccyF,1)</f>
        <v/>
      </c>
      <c r="N162" s="29">
        <f>IF(A162&gt;SV_T,0,N161*(1+interestRate)*L162*M162)</f>
        <v/>
      </c>
      <c r="O162" s="29">
        <f>IF(A162&gt;SV_T,0,(O161+SV_contrib)*(1+investmentReturn)*L162*M162)</f>
        <v/>
      </c>
      <c r="P162" s="29">
        <f>IF(A162&gt;SV_T,0,P161*(1+SV_propRate)*L162)</f>
        <v/>
      </c>
      <c r="Q162" s="46">
        <f>MATCH(SV_age+A162-1,SV_cpfLower,1)</f>
        <v/>
      </c>
      <c r="R162" s="29">
        <f>IF(OR(OR(A162&lt;1,A162&gt;SV_T),NOT(SV_cpfOn)),0,MIN(SV_sal0*(1+incomeGrowthRate)^(A162-1)*G162,SV_owCap))</f>
        <v/>
      </c>
      <c r="S162" s="29">
        <f>IF(A162&gt;SV_T,0,S161*(1+SV_oaRate)+IF(A162&gt;=SV_effStop,0,INDEX(SV_cpfOA,Q162)*INDEX(SV_cpfTot,Q162)*R162))</f>
        <v/>
      </c>
      <c r="T162" s="29">
        <f>IF(A162&gt;SV_T,0,T161*(1+SV_saRate)+IF(A162&gt;=SV_effStop,0,INDEX(SV_cpfSA,Q162)*INDEX(SV_cpfTot,Q162)*R162))</f>
        <v/>
      </c>
      <c r="U162" s="29">
        <f>IF(A162&gt;SV_T,0,U161*(1+SV_saRate)+IF(A162&gt;=SV_effStop,0,INDEX(SV_cpfMA,Q162)*INDEX(SV_cpfTot,Q162)*R162))</f>
        <v/>
      </c>
      <c r="V162" s="29">
        <f>IF(OR(OR(A162&lt;1,A162&gt;SV_T),A162&gt;=SV_effNeg),0,-(INDEX(SV_cpfOA,Q162)+INDEX(SV_cpfSA,Q162)+INDEX(SV_cpfMA,Q162))*INDEX(SV_cpfEmp,Q162)*R162)</f>
        <v/>
      </c>
      <c r="W162" s="29">
        <f>IF(A162&gt;=SV_sIdx,0,S162)</f>
        <v/>
      </c>
      <c r="X162" s="29">
        <f>IF(A162&gt;=SV_sIdx,0,T162)</f>
        <v/>
      </c>
      <c r="Y162" s="29">
        <f>IF(A162&gt;=SV_sIdx,MIN(U162,SV_maCap),U162)</f>
        <v/>
      </c>
      <c r="Z162" s="29">
        <f>IF(AND(SV_cpfOn,A162&gt;=SV_pIdx,A162&lt;=SV_T),12*SV_pay,0)</f>
        <v/>
      </c>
      <c r="AA162" s="29">
        <f>IF(A162&gt;SV_T,0,IF(SV_sp&gt;=0,IF(A162&lt;SV_sIdx,0,IF(A162=SV_sIdx,SV_R0,SV_lifeGrowth*AA161)),SV_lifeGrowth*AA161))</f>
        <v/>
      </c>
      <c r="AB162" s="29">
        <f>IF(A162&gt;SV_T,0,IF(AND(SV_sp&gt;=0,A162&lt;SV_sIdx),0,IF(AND(SV_sp&gt;=0,A162=SV_sIdx),SV_L0,SV_lifeGrowth*(AB161-Z162))))</f>
        <v/>
      </c>
      <c r="AC162" s="29">
        <f>W162+X162+AA162+Y162+IF(AA162&lt;0,0,AB162)</f>
        <v/>
      </c>
      <c r="AD162" s="29">
        <f>Z162+V162</f>
        <v/>
      </c>
      <c r="AE162" s="29">
        <f>IF(OR(A162&gt;SV_T,A162&gt;=SV_loanYears),0,MAX(0,AE161*(1+loanRate)-SV_inst))</f>
        <v/>
      </c>
      <c r="AF162" s="29">
        <f>IF(A162&gt;SV_T,0,AF161*(1+SV_savRate)+H162+I162+J162+K162+AD162)</f>
        <v/>
      </c>
      <c r="AG162" s="29">
        <f>IF(A162&gt;SV_T,0,MAX(0,N162+O162+P162+AC162+AF162-AE162))</f>
        <v/>
      </c>
      <c r="AH162" s="29">
        <f>IF(A162&gt;SV_T,0,N162+O162+AF162-MAX(0,AE162-(P162+AC162)))</f>
        <v/>
      </c>
      <c r="AI162" s="29">
        <f>IF(OR(OR(A162&lt;1,A162&gt;SV_T),A162-1&gt;=SV_retPay),0,SV_retMth*12+IF(A162=1,SV_retLump,0))</f>
        <v/>
      </c>
      <c r="AJ162" s="29">
        <f>IF(A162&gt;SV_T,0,(AJ161+AI162)*(1+investmentReturn))</f>
        <v/>
      </c>
      <c r="AK162" s="29">
        <f>IF(OR(OR(A162&lt;1,A162&gt;SV_T),A162-1&gt;=SV_goalPay),0,SV_goalMth*12+IF(A162=1,SV_goalLump,0))</f>
        <v/>
      </c>
      <c r="AL162" s="29">
        <f>IF(A162&gt;SV_T,0,(AL161+AK162)*(1+investmentReturn))</f>
        <v/>
      </c>
      <c r="AM162" s="29">
        <f>IF(OR(OR(A162&lt;1,A162&gt;SV_T),A162-1&gt;=SV_protPay),0,SV_protPrem)</f>
        <v/>
      </c>
      <c r="AN162" s="29">
        <f>IF(OR(A162=0,A162&gt;=SV_T),0,ROUND(MAX(0,AJ162),2)+ROUND(MAX(0,AL162),2))</f>
        <v/>
      </c>
      <c r="AO162" s="29">
        <f>IF(OR(A162&lt;1,A162&gt;SV_T),0,-(AI162+AK162+AM162)+IF(A162=SV_T,ROUND(MAX(0,AJ162),2)+ROUND(MAX(0,AL162),2),0))</f>
        <v/>
      </c>
      <c r="AP162" s="29">
        <f>IF(A162&gt;SV_T,0,AP161*(1+SV_savRate)+H162+I162+J162+K162+AD162+AO162)</f>
        <v/>
      </c>
      <c r="AQ162" s="29">
        <f>IF(A162&gt;SV_T,0,MAX(0,N162+O162+P162+AC162+AP162+AN162-AE162))</f>
        <v/>
      </c>
      <c r="AR162" s="29">
        <f>IF(A162&gt;SV_T,0,N162+O162+AP162+AN162-MAX(0,AE162-(P162+AC162)))</f>
        <v/>
      </c>
    </row>
    <row r="163">
      <c r="A163" s="61" t="n">
        <v>40</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IF(OR(OR(A163&lt;1,A163&gt;SV_T),A163-1&gt;=SV_salCut),0,SV_sal0*(1+incomeGrowthRate)^(A163-1)*G163)</f>
        <v/>
      </c>
      <c r="I163" s="29">
        <f>IF(OR(A163&lt;1,A163&gt;SV_T),0,(-SV_exp0*F163-IF(A163&lt;=SV_loanYears,SV_inst,0)-IF(AND(SV_wdAmt&gt;0,A163=SV_wdYear),SV_wdAmt,0))*IF(AND(SV_expOn,A163&gt;=SV_expS,A163&lt;=SV_expE),1+SV_expImp,1))</f>
        <v/>
      </c>
      <c r="J163" s="29">
        <f>IF(OR(OR(A163&lt;1,A163&gt;SV_T),A163&gt;SV_loanYears),0,-SV_lifePremYr)</f>
        <v/>
      </c>
      <c r="K163" s="29">
        <f>IF(OR(A163&lt;1,A163&gt;SV_T),0,-SV_contrib)</f>
        <v/>
      </c>
      <c r="L163" s="60">
        <f>IF(AND(SV_crashOn,A163=SV_crashYr),SV_crashF,1)</f>
        <v/>
      </c>
      <c r="M163" s="60">
        <f>IF(AND(SV_ccyOn,A163=SV_ccyYr),SV_ccyF,1)</f>
        <v/>
      </c>
      <c r="N163" s="29">
        <f>IF(A163&gt;SV_T,0,N162*(1+interestRate)*L163*M163)</f>
        <v/>
      </c>
      <c r="O163" s="29">
        <f>IF(A163&gt;SV_T,0,(O162+SV_contrib)*(1+investmentReturn)*L163*M163)</f>
        <v/>
      </c>
      <c r="P163" s="29">
        <f>IF(A163&gt;SV_T,0,P162*(1+SV_propRate)*L163)</f>
        <v/>
      </c>
      <c r="Q163" s="46">
        <f>MATCH(SV_age+A163-1,SV_cpfLower,1)</f>
        <v/>
      </c>
      <c r="R163" s="29">
        <f>IF(OR(OR(A163&lt;1,A163&gt;SV_T),NOT(SV_cpfOn)),0,MIN(SV_sal0*(1+incomeGrowthRate)^(A163-1)*G163,SV_owCap))</f>
        <v/>
      </c>
      <c r="S163" s="29">
        <f>IF(A163&gt;SV_T,0,S162*(1+SV_oaRate)+IF(A163&gt;=SV_effStop,0,INDEX(SV_cpfOA,Q163)*INDEX(SV_cpfTot,Q163)*R163))</f>
        <v/>
      </c>
      <c r="T163" s="29">
        <f>IF(A163&gt;SV_T,0,T162*(1+SV_saRate)+IF(A163&gt;=SV_effStop,0,INDEX(SV_cpfSA,Q163)*INDEX(SV_cpfTot,Q163)*R163))</f>
        <v/>
      </c>
      <c r="U163" s="29">
        <f>IF(A163&gt;SV_T,0,U162*(1+SV_saRate)+IF(A163&gt;=SV_effStop,0,INDEX(SV_cpfMA,Q163)*INDEX(SV_cpfTot,Q163)*R163))</f>
        <v/>
      </c>
      <c r="V163" s="29">
        <f>IF(OR(OR(A163&lt;1,A163&gt;SV_T),A163&gt;=SV_effNeg),0,-(INDEX(SV_cpfOA,Q163)+INDEX(SV_cpfSA,Q163)+INDEX(SV_cpfMA,Q163))*INDEX(SV_cpfEmp,Q163)*R163)</f>
        <v/>
      </c>
      <c r="W163" s="29">
        <f>IF(A163&gt;=SV_sIdx,0,S163)</f>
        <v/>
      </c>
      <c r="X163" s="29">
        <f>IF(A163&gt;=SV_sIdx,0,T163)</f>
        <v/>
      </c>
      <c r="Y163" s="29">
        <f>IF(A163&gt;=SV_sIdx,MIN(U163,SV_maCap),U163)</f>
        <v/>
      </c>
      <c r="Z163" s="29">
        <f>IF(AND(SV_cpfOn,A163&gt;=SV_pIdx,A163&lt;=SV_T),12*SV_pay,0)</f>
        <v/>
      </c>
      <c r="AA163" s="29">
        <f>IF(A163&gt;SV_T,0,IF(SV_sp&gt;=0,IF(A163&lt;SV_sIdx,0,IF(A163=SV_sIdx,SV_R0,SV_lifeGrowth*AA162)),SV_lifeGrowth*AA162))</f>
        <v/>
      </c>
      <c r="AB163" s="29">
        <f>IF(A163&gt;SV_T,0,IF(AND(SV_sp&gt;=0,A163&lt;SV_sIdx),0,IF(AND(SV_sp&gt;=0,A163=SV_sIdx),SV_L0,SV_lifeGrowth*(AB162-Z163))))</f>
        <v/>
      </c>
      <c r="AC163" s="29">
        <f>W163+X163+AA163+Y163+IF(AA163&lt;0,0,AB163)</f>
        <v/>
      </c>
      <c r="AD163" s="29">
        <f>Z163+V163</f>
        <v/>
      </c>
      <c r="AE163" s="29">
        <f>IF(OR(A163&gt;SV_T,A163&gt;=SV_loanYears),0,MAX(0,AE162*(1+loanRate)-SV_inst))</f>
        <v/>
      </c>
      <c r="AF163" s="29">
        <f>IF(A163&gt;SV_T,0,AF162*(1+SV_savRate)+H163+I163+J163+K163+AD163)</f>
        <v/>
      </c>
      <c r="AG163" s="29">
        <f>IF(A163&gt;SV_T,0,MAX(0,N163+O163+P163+AC163+AF163-AE163))</f>
        <v/>
      </c>
      <c r="AH163" s="29">
        <f>IF(A163&gt;SV_T,0,N163+O163+AF163-MAX(0,AE163-(P163+AC163)))</f>
        <v/>
      </c>
      <c r="AI163" s="29">
        <f>IF(OR(OR(A163&lt;1,A163&gt;SV_T),A163-1&gt;=SV_retPay),0,SV_retMth*12+IF(A163=1,SV_retLump,0))</f>
        <v/>
      </c>
      <c r="AJ163" s="29">
        <f>IF(A163&gt;SV_T,0,(AJ162+AI163)*(1+investmentReturn))</f>
        <v/>
      </c>
      <c r="AK163" s="29">
        <f>IF(OR(OR(A163&lt;1,A163&gt;SV_T),A163-1&gt;=SV_goalPay),0,SV_goalMth*12+IF(A163=1,SV_goalLump,0))</f>
        <v/>
      </c>
      <c r="AL163" s="29">
        <f>IF(A163&gt;SV_T,0,(AL162+AK163)*(1+investmentReturn))</f>
        <v/>
      </c>
      <c r="AM163" s="29">
        <f>IF(OR(OR(A163&lt;1,A163&gt;SV_T),A163-1&gt;=SV_protPay),0,SV_protPrem)</f>
        <v/>
      </c>
      <c r="AN163" s="29">
        <f>IF(OR(A163=0,A163&gt;=SV_T),0,ROUND(MAX(0,AJ163),2)+ROUND(MAX(0,AL163),2))</f>
        <v/>
      </c>
      <c r="AO163" s="29">
        <f>IF(OR(A163&lt;1,A163&gt;SV_T),0,-(AI163+AK163+AM163)+IF(A163=SV_T,ROUND(MAX(0,AJ163),2)+ROUND(MAX(0,AL163),2),0))</f>
        <v/>
      </c>
      <c r="AP163" s="29">
        <f>IF(A163&gt;SV_T,0,AP162*(1+SV_savRate)+H163+I163+J163+K163+AD163+AO163)</f>
        <v/>
      </c>
      <c r="AQ163" s="29">
        <f>IF(A163&gt;SV_T,0,MAX(0,N163+O163+P163+AC163+AP163+AN163-AE163))</f>
        <v/>
      </c>
      <c r="AR163" s="29">
        <f>IF(A163&gt;SV_T,0,N163+O163+AP163+AN163-MAX(0,AE163-(P163+AC163)))</f>
        <v/>
      </c>
    </row>
    <row r="164">
      <c r="A164" s="61" t="n">
        <v>41</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IF(OR(OR(A164&lt;1,A164&gt;SV_T),A164-1&gt;=SV_salCut),0,SV_sal0*(1+incomeGrowthRate)^(A164-1)*G164)</f>
        <v/>
      </c>
      <c r="I164" s="29">
        <f>IF(OR(A164&lt;1,A164&gt;SV_T),0,(-SV_exp0*F164-IF(A164&lt;=SV_loanYears,SV_inst,0)-IF(AND(SV_wdAmt&gt;0,A164=SV_wdYear),SV_wdAmt,0))*IF(AND(SV_expOn,A164&gt;=SV_expS,A164&lt;=SV_expE),1+SV_expImp,1))</f>
        <v/>
      </c>
      <c r="J164" s="29">
        <f>IF(OR(OR(A164&lt;1,A164&gt;SV_T),A164&gt;SV_loanYears),0,-SV_lifePremYr)</f>
        <v/>
      </c>
      <c r="K164" s="29">
        <f>IF(OR(A164&lt;1,A164&gt;SV_T),0,-SV_contrib)</f>
        <v/>
      </c>
      <c r="L164" s="60">
        <f>IF(AND(SV_crashOn,A164=SV_crashYr),SV_crashF,1)</f>
        <v/>
      </c>
      <c r="M164" s="60">
        <f>IF(AND(SV_ccyOn,A164=SV_ccyYr),SV_ccyF,1)</f>
        <v/>
      </c>
      <c r="N164" s="29">
        <f>IF(A164&gt;SV_T,0,N163*(1+interestRate)*L164*M164)</f>
        <v/>
      </c>
      <c r="O164" s="29">
        <f>IF(A164&gt;SV_T,0,(O163+SV_contrib)*(1+investmentReturn)*L164*M164)</f>
        <v/>
      </c>
      <c r="P164" s="29">
        <f>IF(A164&gt;SV_T,0,P163*(1+SV_propRate)*L164)</f>
        <v/>
      </c>
      <c r="Q164" s="46">
        <f>MATCH(SV_age+A164-1,SV_cpfLower,1)</f>
        <v/>
      </c>
      <c r="R164" s="29">
        <f>IF(OR(OR(A164&lt;1,A164&gt;SV_T),NOT(SV_cpfOn)),0,MIN(SV_sal0*(1+incomeGrowthRate)^(A164-1)*G164,SV_owCap))</f>
        <v/>
      </c>
      <c r="S164" s="29">
        <f>IF(A164&gt;SV_T,0,S163*(1+SV_oaRate)+IF(A164&gt;=SV_effStop,0,INDEX(SV_cpfOA,Q164)*INDEX(SV_cpfTot,Q164)*R164))</f>
        <v/>
      </c>
      <c r="T164" s="29">
        <f>IF(A164&gt;SV_T,0,T163*(1+SV_saRate)+IF(A164&gt;=SV_effStop,0,INDEX(SV_cpfSA,Q164)*INDEX(SV_cpfTot,Q164)*R164))</f>
        <v/>
      </c>
      <c r="U164" s="29">
        <f>IF(A164&gt;SV_T,0,U163*(1+SV_saRate)+IF(A164&gt;=SV_effStop,0,INDEX(SV_cpfMA,Q164)*INDEX(SV_cpfTot,Q164)*R164))</f>
        <v/>
      </c>
      <c r="V164" s="29">
        <f>IF(OR(OR(A164&lt;1,A164&gt;SV_T),A164&gt;=SV_effNeg),0,-(INDEX(SV_cpfOA,Q164)+INDEX(SV_cpfSA,Q164)+INDEX(SV_cpfMA,Q164))*INDEX(SV_cpfEmp,Q164)*R164)</f>
        <v/>
      </c>
      <c r="W164" s="29">
        <f>IF(A164&gt;=SV_sIdx,0,S164)</f>
        <v/>
      </c>
      <c r="X164" s="29">
        <f>IF(A164&gt;=SV_sIdx,0,T164)</f>
        <v/>
      </c>
      <c r="Y164" s="29">
        <f>IF(A164&gt;=SV_sIdx,MIN(U164,SV_maCap),U164)</f>
        <v/>
      </c>
      <c r="Z164" s="29">
        <f>IF(AND(SV_cpfOn,A164&gt;=SV_pIdx,A164&lt;=SV_T),12*SV_pay,0)</f>
        <v/>
      </c>
      <c r="AA164" s="29">
        <f>IF(A164&gt;SV_T,0,IF(SV_sp&gt;=0,IF(A164&lt;SV_sIdx,0,IF(A164=SV_sIdx,SV_R0,SV_lifeGrowth*AA163)),SV_lifeGrowth*AA163))</f>
        <v/>
      </c>
      <c r="AB164" s="29">
        <f>IF(A164&gt;SV_T,0,IF(AND(SV_sp&gt;=0,A164&lt;SV_sIdx),0,IF(AND(SV_sp&gt;=0,A164=SV_sIdx),SV_L0,SV_lifeGrowth*(AB163-Z164))))</f>
        <v/>
      </c>
      <c r="AC164" s="29">
        <f>W164+X164+AA164+Y164+IF(AA164&lt;0,0,AB164)</f>
        <v/>
      </c>
      <c r="AD164" s="29">
        <f>Z164+V164</f>
        <v/>
      </c>
      <c r="AE164" s="29">
        <f>IF(OR(A164&gt;SV_T,A164&gt;=SV_loanYears),0,MAX(0,AE163*(1+loanRate)-SV_inst))</f>
        <v/>
      </c>
      <c r="AF164" s="29">
        <f>IF(A164&gt;SV_T,0,AF163*(1+SV_savRate)+H164+I164+J164+K164+AD164)</f>
        <v/>
      </c>
      <c r="AG164" s="29">
        <f>IF(A164&gt;SV_T,0,MAX(0,N164+O164+P164+AC164+AF164-AE164))</f>
        <v/>
      </c>
      <c r="AH164" s="29">
        <f>IF(A164&gt;SV_T,0,N164+O164+AF164-MAX(0,AE164-(P164+AC164)))</f>
        <v/>
      </c>
      <c r="AI164" s="29">
        <f>IF(OR(OR(A164&lt;1,A164&gt;SV_T),A164-1&gt;=SV_retPay),0,SV_retMth*12+IF(A164=1,SV_retLump,0))</f>
        <v/>
      </c>
      <c r="AJ164" s="29">
        <f>IF(A164&gt;SV_T,0,(AJ163+AI164)*(1+investmentReturn))</f>
        <v/>
      </c>
      <c r="AK164" s="29">
        <f>IF(OR(OR(A164&lt;1,A164&gt;SV_T),A164-1&gt;=SV_goalPay),0,SV_goalMth*12+IF(A164=1,SV_goalLump,0))</f>
        <v/>
      </c>
      <c r="AL164" s="29">
        <f>IF(A164&gt;SV_T,0,(AL163+AK164)*(1+investmentReturn))</f>
        <v/>
      </c>
      <c r="AM164" s="29">
        <f>IF(OR(OR(A164&lt;1,A164&gt;SV_T),A164-1&gt;=SV_protPay),0,SV_protPrem)</f>
        <v/>
      </c>
      <c r="AN164" s="29">
        <f>IF(OR(A164=0,A164&gt;=SV_T),0,ROUND(MAX(0,AJ164),2)+ROUND(MAX(0,AL164),2))</f>
        <v/>
      </c>
      <c r="AO164" s="29">
        <f>IF(OR(A164&lt;1,A164&gt;SV_T),0,-(AI164+AK164+AM164)+IF(A164=SV_T,ROUND(MAX(0,AJ164),2)+ROUND(MAX(0,AL164),2),0))</f>
        <v/>
      </c>
      <c r="AP164" s="29">
        <f>IF(A164&gt;SV_T,0,AP163*(1+SV_savRate)+H164+I164+J164+K164+AD164+AO164)</f>
        <v/>
      </c>
      <c r="AQ164" s="29">
        <f>IF(A164&gt;SV_T,0,MAX(0,N164+O164+P164+AC164+AP164+AN164-AE164))</f>
        <v/>
      </c>
      <c r="AR164" s="29">
        <f>IF(A164&gt;SV_T,0,N164+O164+AP164+AN164-MAX(0,AE164-(P164+AC164)))</f>
        <v/>
      </c>
    </row>
    <row r="165">
      <c r="A165" s="61" t="n">
        <v>42</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IF(OR(OR(A165&lt;1,A165&gt;SV_T),A165-1&gt;=SV_salCut),0,SV_sal0*(1+incomeGrowthRate)^(A165-1)*G165)</f>
        <v/>
      </c>
      <c r="I165" s="29">
        <f>IF(OR(A165&lt;1,A165&gt;SV_T),0,(-SV_exp0*F165-IF(A165&lt;=SV_loanYears,SV_inst,0)-IF(AND(SV_wdAmt&gt;0,A165=SV_wdYear),SV_wdAmt,0))*IF(AND(SV_expOn,A165&gt;=SV_expS,A165&lt;=SV_expE),1+SV_expImp,1))</f>
        <v/>
      </c>
      <c r="J165" s="29">
        <f>IF(OR(OR(A165&lt;1,A165&gt;SV_T),A165&gt;SV_loanYears),0,-SV_lifePremYr)</f>
        <v/>
      </c>
      <c r="K165" s="29">
        <f>IF(OR(A165&lt;1,A165&gt;SV_T),0,-SV_contrib)</f>
        <v/>
      </c>
      <c r="L165" s="60">
        <f>IF(AND(SV_crashOn,A165=SV_crashYr),SV_crashF,1)</f>
        <v/>
      </c>
      <c r="M165" s="60">
        <f>IF(AND(SV_ccyOn,A165=SV_ccyYr),SV_ccyF,1)</f>
        <v/>
      </c>
      <c r="N165" s="29">
        <f>IF(A165&gt;SV_T,0,N164*(1+interestRate)*L165*M165)</f>
        <v/>
      </c>
      <c r="O165" s="29">
        <f>IF(A165&gt;SV_T,0,(O164+SV_contrib)*(1+investmentReturn)*L165*M165)</f>
        <v/>
      </c>
      <c r="P165" s="29">
        <f>IF(A165&gt;SV_T,0,P164*(1+SV_propRate)*L165)</f>
        <v/>
      </c>
      <c r="Q165" s="46">
        <f>MATCH(SV_age+A165-1,SV_cpfLower,1)</f>
        <v/>
      </c>
      <c r="R165" s="29">
        <f>IF(OR(OR(A165&lt;1,A165&gt;SV_T),NOT(SV_cpfOn)),0,MIN(SV_sal0*(1+incomeGrowthRate)^(A165-1)*G165,SV_owCap))</f>
        <v/>
      </c>
      <c r="S165" s="29">
        <f>IF(A165&gt;SV_T,0,S164*(1+SV_oaRate)+IF(A165&gt;=SV_effStop,0,INDEX(SV_cpfOA,Q165)*INDEX(SV_cpfTot,Q165)*R165))</f>
        <v/>
      </c>
      <c r="T165" s="29">
        <f>IF(A165&gt;SV_T,0,T164*(1+SV_saRate)+IF(A165&gt;=SV_effStop,0,INDEX(SV_cpfSA,Q165)*INDEX(SV_cpfTot,Q165)*R165))</f>
        <v/>
      </c>
      <c r="U165" s="29">
        <f>IF(A165&gt;SV_T,0,U164*(1+SV_saRate)+IF(A165&gt;=SV_effStop,0,INDEX(SV_cpfMA,Q165)*INDEX(SV_cpfTot,Q165)*R165))</f>
        <v/>
      </c>
      <c r="V165" s="29">
        <f>IF(OR(OR(A165&lt;1,A165&gt;SV_T),A165&gt;=SV_effNeg),0,-(INDEX(SV_cpfOA,Q165)+INDEX(SV_cpfSA,Q165)+INDEX(SV_cpfMA,Q165))*INDEX(SV_cpfEmp,Q165)*R165)</f>
        <v/>
      </c>
      <c r="W165" s="29">
        <f>IF(A165&gt;=SV_sIdx,0,S165)</f>
        <v/>
      </c>
      <c r="X165" s="29">
        <f>IF(A165&gt;=SV_sIdx,0,T165)</f>
        <v/>
      </c>
      <c r="Y165" s="29">
        <f>IF(A165&gt;=SV_sIdx,MIN(U165,SV_maCap),U165)</f>
        <v/>
      </c>
      <c r="Z165" s="29">
        <f>IF(AND(SV_cpfOn,A165&gt;=SV_pIdx,A165&lt;=SV_T),12*SV_pay,0)</f>
        <v/>
      </c>
      <c r="AA165" s="29">
        <f>IF(A165&gt;SV_T,0,IF(SV_sp&gt;=0,IF(A165&lt;SV_sIdx,0,IF(A165=SV_sIdx,SV_R0,SV_lifeGrowth*AA164)),SV_lifeGrowth*AA164))</f>
        <v/>
      </c>
      <c r="AB165" s="29">
        <f>IF(A165&gt;SV_T,0,IF(AND(SV_sp&gt;=0,A165&lt;SV_sIdx),0,IF(AND(SV_sp&gt;=0,A165=SV_sIdx),SV_L0,SV_lifeGrowth*(AB164-Z165))))</f>
        <v/>
      </c>
      <c r="AC165" s="29">
        <f>W165+X165+AA165+Y165+IF(AA165&lt;0,0,AB165)</f>
        <v/>
      </c>
      <c r="AD165" s="29">
        <f>Z165+V165</f>
        <v/>
      </c>
      <c r="AE165" s="29">
        <f>IF(OR(A165&gt;SV_T,A165&gt;=SV_loanYears),0,MAX(0,AE164*(1+loanRate)-SV_inst))</f>
        <v/>
      </c>
      <c r="AF165" s="29">
        <f>IF(A165&gt;SV_T,0,AF164*(1+SV_savRate)+H165+I165+J165+K165+AD165)</f>
        <v/>
      </c>
      <c r="AG165" s="29">
        <f>IF(A165&gt;SV_T,0,MAX(0,N165+O165+P165+AC165+AF165-AE165))</f>
        <v/>
      </c>
      <c r="AH165" s="29">
        <f>IF(A165&gt;SV_T,0,N165+O165+AF165-MAX(0,AE165-(P165+AC165)))</f>
        <v/>
      </c>
      <c r="AI165" s="29">
        <f>IF(OR(OR(A165&lt;1,A165&gt;SV_T),A165-1&gt;=SV_retPay),0,SV_retMth*12+IF(A165=1,SV_retLump,0))</f>
        <v/>
      </c>
      <c r="AJ165" s="29">
        <f>IF(A165&gt;SV_T,0,(AJ164+AI165)*(1+investmentReturn))</f>
        <v/>
      </c>
      <c r="AK165" s="29">
        <f>IF(OR(OR(A165&lt;1,A165&gt;SV_T),A165-1&gt;=SV_goalPay),0,SV_goalMth*12+IF(A165=1,SV_goalLump,0))</f>
        <v/>
      </c>
      <c r="AL165" s="29">
        <f>IF(A165&gt;SV_T,0,(AL164+AK165)*(1+investmentReturn))</f>
        <v/>
      </c>
      <c r="AM165" s="29">
        <f>IF(OR(OR(A165&lt;1,A165&gt;SV_T),A165-1&gt;=SV_protPay),0,SV_protPrem)</f>
        <v/>
      </c>
      <c r="AN165" s="29">
        <f>IF(OR(A165=0,A165&gt;=SV_T),0,ROUND(MAX(0,AJ165),2)+ROUND(MAX(0,AL165),2))</f>
        <v/>
      </c>
      <c r="AO165" s="29">
        <f>IF(OR(A165&lt;1,A165&gt;SV_T),0,-(AI165+AK165+AM165)+IF(A165=SV_T,ROUND(MAX(0,AJ165),2)+ROUND(MAX(0,AL165),2),0))</f>
        <v/>
      </c>
      <c r="AP165" s="29">
        <f>IF(A165&gt;SV_T,0,AP164*(1+SV_savRate)+H165+I165+J165+K165+AD165+AO165)</f>
        <v/>
      </c>
      <c r="AQ165" s="29">
        <f>IF(A165&gt;SV_T,0,MAX(0,N165+O165+P165+AC165+AP165+AN165-AE165))</f>
        <v/>
      </c>
      <c r="AR165" s="29">
        <f>IF(A165&gt;SV_T,0,N165+O165+AP165+AN165-MAX(0,AE165-(P165+AC165)))</f>
        <v/>
      </c>
    </row>
    <row r="166">
      <c r="A166" s="61" t="n">
        <v>43</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IF(OR(OR(A166&lt;1,A166&gt;SV_T),A166-1&gt;=SV_salCut),0,SV_sal0*(1+incomeGrowthRate)^(A166-1)*G166)</f>
        <v/>
      </c>
      <c r="I166" s="29">
        <f>IF(OR(A166&lt;1,A166&gt;SV_T),0,(-SV_exp0*F166-IF(A166&lt;=SV_loanYears,SV_inst,0)-IF(AND(SV_wdAmt&gt;0,A166=SV_wdYear),SV_wdAmt,0))*IF(AND(SV_expOn,A166&gt;=SV_expS,A166&lt;=SV_expE),1+SV_expImp,1))</f>
        <v/>
      </c>
      <c r="J166" s="29">
        <f>IF(OR(OR(A166&lt;1,A166&gt;SV_T),A166&gt;SV_loanYears),0,-SV_lifePremYr)</f>
        <v/>
      </c>
      <c r="K166" s="29">
        <f>IF(OR(A166&lt;1,A166&gt;SV_T),0,-SV_contrib)</f>
        <v/>
      </c>
      <c r="L166" s="60">
        <f>IF(AND(SV_crashOn,A166=SV_crashYr),SV_crashF,1)</f>
        <v/>
      </c>
      <c r="M166" s="60">
        <f>IF(AND(SV_ccyOn,A166=SV_ccyYr),SV_ccyF,1)</f>
        <v/>
      </c>
      <c r="N166" s="29">
        <f>IF(A166&gt;SV_T,0,N165*(1+interestRate)*L166*M166)</f>
        <v/>
      </c>
      <c r="O166" s="29">
        <f>IF(A166&gt;SV_T,0,(O165+SV_contrib)*(1+investmentReturn)*L166*M166)</f>
        <v/>
      </c>
      <c r="P166" s="29">
        <f>IF(A166&gt;SV_T,0,P165*(1+SV_propRate)*L166)</f>
        <v/>
      </c>
      <c r="Q166" s="46">
        <f>MATCH(SV_age+A166-1,SV_cpfLower,1)</f>
        <v/>
      </c>
      <c r="R166" s="29">
        <f>IF(OR(OR(A166&lt;1,A166&gt;SV_T),NOT(SV_cpfOn)),0,MIN(SV_sal0*(1+incomeGrowthRate)^(A166-1)*G166,SV_owCap))</f>
        <v/>
      </c>
      <c r="S166" s="29">
        <f>IF(A166&gt;SV_T,0,S165*(1+SV_oaRate)+IF(A166&gt;=SV_effStop,0,INDEX(SV_cpfOA,Q166)*INDEX(SV_cpfTot,Q166)*R166))</f>
        <v/>
      </c>
      <c r="T166" s="29">
        <f>IF(A166&gt;SV_T,0,T165*(1+SV_saRate)+IF(A166&gt;=SV_effStop,0,INDEX(SV_cpfSA,Q166)*INDEX(SV_cpfTot,Q166)*R166))</f>
        <v/>
      </c>
      <c r="U166" s="29">
        <f>IF(A166&gt;SV_T,0,U165*(1+SV_saRate)+IF(A166&gt;=SV_effStop,0,INDEX(SV_cpfMA,Q166)*INDEX(SV_cpfTot,Q166)*R166))</f>
        <v/>
      </c>
      <c r="V166" s="29">
        <f>IF(OR(OR(A166&lt;1,A166&gt;SV_T),A166&gt;=SV_effNeg),0,-(INDEX(SV_cpfOA,Q166)+INDEX(SV_cpfSA,Q166)+INDEX(SV_cpfMA,Q166))*INDEX(SV_cpfEmp,Q166)*R166)</f>
        <v/>
      </c>
      <c r="W166" s="29">
        <f>IF(A166&gt;=SV_sIdx,0,S166)</f>
        <v/>
      </c>
      <c r="X166" s="29">
        <f>IF(A166&gt;=SV_sIdx,0,T166)</f>
        <v/>
      </c>
      <c r="Y166" s="29">
        <f>IF(A166&gt;=SV_sIdx,MIN(U166,SV_maCap),U166)</f>
        <v/>
      </c>
      <c r="Z166" s="29">
        <f>IF(AND(SV_cpfOn,A166&gt;=SV_pIdx,A166&lt;=SV_T),12*SV_pay,0)</f>
        <v/>
      </c>
      <c r="AA166" s="29">
        <f>IF(A166&gt;SV_T,0,IF(SV_sp&gt;=0,IF(A166&lt;SV_sIdx,0,IF(A166=SV_sIdx,SV_R0,SV_lifeGrowth*AA165)),SV_lifeGrowth*AA165))</f>
        <v/>
      </c>
      <c r="AB166" s="29">
        <f>IF(A166&gt;SV_T,0,IF(AND(SV_sp&gt;=0,A166&lt;SV_sIdx),0,IF(AND(SV_sp&gt;=0,A166=SV_sIdx),SV_L0,SV_lifeGrowth*(AB165-Z166))))</f>
        <v/>
      </c>
      <c r="AC166" s="29">
        <f>W166+X166+AA166+Y166+IF(AA166&lt;0,0,AB166)</f>
        <v/>
      </c>
      <c r="AD166" s="29">
        <f>Z166+V166</f>
        <v/>
      </c>
      <c r="AE166" s="29">
        <f>IF(OR(A166&gt;SV_T,A166&gt;=SV_loanYears),0,MAX(0,AE165*(1+loanRate)-SV_inst))</f>
        <v/>
      </c>
      <c r="AF166" s="29">
        <f>IF(A166&gt;SV_T,0,AF165*(1+SV_savRate)+H166+I166+J166+K166+AD166)</f>
        <v/>
      </c>
      <c r="AG166" s="29">
        <f>IF(A166&gt;SV_T,0,MAX(0,N166+O166+P166+AC166+AF166-AE166))</f>
        <v/>
      </c>
      <c r="AH166" s="29">
        <f>IF(A166&gt;SV_T,0,N166+O166+AF166-MAX(0,AE166-(P166+AC166)))</f>
        <v/>
      </c>
      <c r="AI166" s="29">
        <f>IF(OR(OR(A166&lt;1,A166&gt;SV_T),A166-1&gt;=SV_retPay),0,SV_retMth*12+IF(A166=1,SV_retLump,0))</f>
        <v/>
      </c>
      <c r="AJ166" s="29">
        <f>IF(A166&gt;SV_T,0,(AJ165+AI166)*(1+investmentReturn))</f>
        <v/>
      </c>
      <c r="AK166" s="29">
        <f>IF(OR(OR(A166&lt;1,A166&gt;SV_T),A166-1&gt;=SV_goalPay),0,SV_goalMth*12+IF(A166=1,SV_goalLump,0))</f>
        <v/>
      </c>
      <c r="AL166" s="29">
        <f>IF(A166&gt;SV_T,0,(AL165+AK166)*(1+investmentReturn))</f>
        <v/>
      </c>
      <c r="AM166" s="29">
        <f>IF(OR(OR(A166&lt;1,A166&gt;SV_T),A166-1&gt;=SV_protPay),0,SV_protPrem)</f>
        <v/>
      </c>
      <c r="AN166" s="29">
        <f>IF(OR(A166=0,A166&gt;=SV_T),0,ROUND(MAX(0,AJ166),2)+ROUND(MAX(0,AL166),2))</f>
        <v/>
      </c>
      <c r="AO166" s="29">
        <f>IF(OR(A166&lt;1,A166&gt;SV_T),0,-(AI166+AK166+AM166)+IF(A166=SV_T,ROUND(MAX(0,AJ166),2)+ROUND(MAX(0,AL166),2),0))</f>
        <v/>
      </c>
      <c r="AP166" s="29">
        <f>IF(A166&gt;SV_T,0,AP165*(1+SV_savRate)+H166+I166+J166+K166+AD166+AO166)</f>
        <v/>
      </c>
      <c r="AQ166" s="29">
        <f>IF(A166&gt;SV_T,0,MAX(0,N166+O166+P166+AC166+AP166+AN166-AE166))</f>
        <v/>
      </c>
      <c r="AR166" s="29">
        <f>IF(A166&gt;SV_T,0,N166+O166+AP166+AN166-MAX(0,AE166-(P166+AC166)))</f>
        <v/>
      </c>
    </row>
    <row r="167">
      <c r="A167" s="61" t="n">
        <v>44</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IF(OR(OR(A167&lt;1,A167&gt;SV_T),A167-1&gt;=SV_salCut),0,SV_sal0*(1+incomeGrowthRate)^(A167-1)*G167)</f>
        <v/>
      </c>
      <c r="I167" s="29">
        <f>IF(OR(A167&lt;1,A167&gt;SV_T),0,(-SV_exp0*F167-IF(A167&lt;=SV_loanYears,SV_inst,0)-IF(AND(SV_wdAmt&gt;0,A167=SV_wdYear),SV_wdAmt,0))*IF(AND(SV_expOn,A167&gt;=SV_expS,A167&lt;=SV_expE),1+SV_expImp,1))</f>
        <v/>
      </c>
      <c r="J167" s="29">
        <f>IF(OR(OR(A167&lt;1,A167&gt;SV_T),A167&gt;SV_loanYears),0,-SV_lifePremYr)</f>
        <v/>
      </c>
      <c r="K167" s="29">
        <f>IF(OR(A167&lt;1,A167&gt;SV_T),0,-SV_contrib)</f>
        <v/>
      </c>
      <c r="L167" s="60">
        <f>IF(AND(SV_crashOn,A167=SV_crashYr),SV_crashF,1)</f>
        <v/>
      </c>
      <c r="M167" s="60">
        <f>IF(AND(SV_ccyOn,A167=SV_ccyYr),SV_ccyF,1)</f>
        <v/>
      </c>
      <c r="N167" s="29">
        <f>IF(A167&gt;SV_T,0,N166*(1+interestRate)*L167*M167)</f>
        <v/>
      </c>
      <c r="O167" s="29">
        <f>IF(A167&gt;SV_T,0,(O166+SV_contrib)*(1+investmentReturn)*L167*M167)</f>
        <v/>
      </c>
      <c r="P167" s="29">
        <f>IF(A167&gt;SV_T,0,P166*(1+SV_propRate)*L167)</f>
        <v/>
      </c>
      <c r="Q167" s="46">
        <f>MATCH(SV_age+A167-1,SV_cpfLower,1)</f>
        <v/>
      </c>
      <c r="R167" s="29">
        <f>IF(OR(OR(A167&lt;1,A167&gt;SV_T),NOT(SV_cpfOn)),0,MIN(SV_sal0*(1+incomeGrowthRate)^(A167-1)*G167,SV_owCap))</f>
        <v/>
      </c>
      <c r="S167" s="29">
        <f>IF(A167&gt;SV_T,0,S166*(1+SV_oaRate)+IF(A167&gt;=SV_effStop,0,INDEX(SV_cpfOA,Q167)*INDEX(SV_cpfTot,Q167)*R167))</f>
        <v/>
      </c>
      <c r="T167" s="29">
        <f>IF(A167&gt;SV_T,0,T166*(1+SV_saRate)+IF(A167&gt;=SV_effStop,0,INDEX(SV_cpfSA,Q167)*INDEX(SV_cpfTot,Q167)*R167))</f>
        <v/>
      </c>
      <c r="U167" s="29">
        <f>IF(A167&gt;SV_T,0,U166*(1+SV_saRate)+IF(A167&gt;=SV_effStop,0,INDEX(SV_cpfMA,Q167)*INDEX(SV_cpfTot,Q167)*R167))</f>
        <v/>
      </c>
      <c r="V167" s="29">
        <f>IF(OR(OR(A167&lt;1,A167&gt;SV_T),A167&gt;=SV_effNeg),0,-(INDEX(SV_cpfOA,Q167)+INDEX(SV_cpfSA,Q167)+INDEX(SV_cpfMA,Q167))*INDEX(SV_cpfEmp,Q167)*R167)</f>
        <v/>
      </c>
      <c r="W167" s="29">
        <f>IF(A167&gt;=SV_sIdx,0,S167)</f>
        <v/>
      </c>
      <c r="X167" s="29">
        <f>IF(A167&gt;=SV_sIdx,0,T167)</f>
        <v/>
      </c>
      <c r="Y167" s="29">
        <f>IF(A167&gt;=SV_sIdx,MIN(U167,SV_maCap),U167)</f>
        <v/>
      </c>
      <c r="Z167" s="29">
        <f>IF(AND(SV_cpfOn,A167&gt;=SV_pIdx,A167&lt;=SV_T),12*SV_pay,0)</f>
        <v/>
      </c>
      <c r="AA167" s="29">
        <f>IF(A167&gt;SV_T,0,IF(SV_sp&gt;=0,IF(A167&lt;SV_sIdx,0,IF(A167=SV_sIdx,SV_R0,SV_lifeGrowth*AA166)),SV_lifeGrowth*AA166))</f>
        <v/>
      </c>
      <c r="AB167" s="29">
        <f>IF(A167&gt;SV_T,0,IF(AND(SV_sp&gt;=0,A167&lt;SV_sIdx),0,IF(AND(SV_sp&gt;=0,A167=SV_sIdx),SV_L0,SV_lifeGrowth*(AB166-Z167))))</f>
        <v/>
      </c>
      <c r="AC167" s="29">
        <f>W167+X167+AA167+Y167+IF(AA167&lt;0,0,AB167)</f>
        <v/>
      </c>
      <c r="AD167" s="29">
        <f>Z167+V167</f>
        <v/>
      </c>
      <c r="AE167" s="29">
        <f>IF(OR(A167&gt;SV_T,A167&gt;=SV_loanYears),0,MAX(0,AE166*(1+loanRate)-SV_inst))</f>
        <v/>
      </c>
      <c r="AF167" s="29">
        <f>IF(A167&gt;SV_T,0,AF166*(1+SV_savRate)+H167+I167+J167+K167+AD167)</f>
        <v/>
      </c>
      <c r="AG167" s="29">
        <f>IF(A167&gt;SV_T,0,MAX(0,N167+O167+P167+AC167+AF167-AE167))</f>
        <v/>
      </c>
      <c r="AH167" s="29">
        <f>IF(A167&gt;SV_T,0,N167+O167+AF167-MAX(0,AE167-(P167+AC167)))</f>
        <v/>
      </c>
      <c r="AI167" s="29">
        <f>IF(OR(OR(A167&lt;1,A167&gt;SV_T),A167-1&gt;=SV_retPay),0,SV_retMth*12+IF(A167=1,SV_retLump,0))</f>
        <v/>
      </c>
      <c r="AJ167" s="29">
        <f>IF(A167&gt;SV_T,0,(AJ166+AI167)*(1+investmentReturn))</f>
        <v/>
      </c>
      <c r="AK167" s="29">
        <f>IF(OR(OR(A167&lt;1,A167&gt;SV_T),A167-1&gt;=SV_goalPay),0,SV_goalMth*12+IF(A167=1,SV_goalLump,0))</f>
        <v/>
      </c>
      <c r="AL167" s="29">
        <f>IF(A167&gt;SV_T,0,(AL166+AK167)*(1+investmentReturn))</f>
        <v/>
      </c>
      <c r="AM167" s="29">
        <f>IF(OR(OR(A167&lt;1,A167&gt;SV_T),A167-1&gt;=SV_protPay),0,SV_protPrem)</f>
        <v/>
      </c>
      <c r="AN167" s="29">
        <f>IF(OR(A167=0,A167&gt;=SV_T),0,ROUND(MAX(0,AJ167),2)+ROUND(MAX(0,AL167),2))</f>
        <v/>
      </c>
      <c r="AO167" s="29">
        <f>IF(OR(A167&lt;1,A167&gt;SV_T),0,-(AI167+AK167+AM167)+IF(A167=SV_T,ROUND(MAX(0,AJ167),2)+ROUND(MAX(0,AL167),2),0))</f>
        <v/>
      </c>
      <c r="AP167" s="29">
        <f>IF(A167&gt;SV_T,0,AP166*(1+SV_savRate)+H167+I167+J167+K167+AD167+AO167)</f>
        <v/>
      </c>
      <c r="AQ167" s="29">
        <f>IF(A167&gt;SV_T,0,MAX(0,N167+O167+P167+AC167+AP167+AN167-AE167))</f>
        <v/>
      </c>
      <c r="AR167" s="29">
        <f>IF(A167&gt;SV_T,0,N167+O167+AP167+AN167-MAX(0,AE167-(P167+AC167)))</f>
        <v/>
      </c>
    </row>
    <row r="168">
      <c r="A168" s="61" t="n">
        <v>45</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IF(OR(OR(A168&lt;1,A168&gt;SV_T),A168-1&gt;=SV_salCut),0,SV_sal0*(1+incomeGrowthRate)^(A168-1)*G168)</f>
        <v/>
      </c>
      <c r="I168" s="29">
        <f>IF(OR(A168&lt;1,A168&gt;SV_T),0,(-SV_exp0*F168-IF(A168&lt;=SV_loanYears,SV_inst,0)-IF(AND(SV_wdAmt&gt;0,A168=SV_wdYear),SV_wdAmt,0))*IF(AND(SV_expOn,A168&gt;=SV_expS,A168&lt;=SV_expE),1+SV_expImp,1))</f>
        <v/>
      </c>
      <c r="J168" s="29">
        <f>IF(OR(OR(A168&lt;1,A168&gt;SV_T),A168&gt;SV_loanYears),0,-SV_lifePremYr)</f>
        <v/>
      </c>
      <c r="K168" s="29">
        <f>IF(OR(A168&lt;1,A168&gt;SV_T),0,-SV_contrib)</f>
        <v/>
      </c>
      <c r="L168" s="60">
        <f>IF(AND(SV_crashOn,A168=SV_crashYr),SV_crashF,1)</f>
        <v/>
      </c>
      <c r="M168" s="60">
        <f>IF(AND(SV_ccyOn,A168=SV_ccyYr),SV_ccyF,1)</f>
        <v/>
      </c>
      <c r="N168" s="29">
        <f>IF(A168&gt;SV_T,0,N167*(1+interestRate)*L168*M168)</f>
        <v/>
      </c>
      <c r="O168" s="29">
        <f>IF(A168&gt;SV_T,0,(O167+SV_contrib)*(1+investmentReturn)*L168*M168)</f>
        <v/>
      </c>
      <c r="P168" s="29">
        <f>IF(A168&gt;SV_T,0,P167*(1+SV_propRate)*L168)</f>
        <v/>
      </c>
      <c r="Q168" s="46">
        <f>MATCH(SV_age+A168-1,SV_cpfLower,1)</f>
        <v/>
      </c>
      <c r="R168" s="29">
        <f>IF(OR(OR(A168&lt;1,A168&gt;SV_T),NOT(SV_cpfOn)),0,MIN(SV_sal0*(1+incomeGrowthRate)^(A168-1)*G168,SV_owCap))</f>
        <v/>
      </c>
      <c r="S168" s="29">
        <f>IF(A168&gt;SV_T,0,S167*(1+SV_oaRate)+IF(A168&gt;=SV_effStop,0,INDEX(SV_cpfOA,Q168)*INDEX(SV_cpfTot,Q168)*R168))</f>
        <v/>
      </c>
      <c r="T168" s="29">
        <f>IF(A168&gt;SV_T,0,T167*(1+SV_saRate)+IF(A168&gt;=SV_effStop,0,INDEX(SV_cpfSA,Q168)*INDEX(SV_cpfTot,Q168)*R168))</f>
        <v/>
      </c>
      <c r="U168" s="29">
        <f>IF(A168&gt;SV_T,0,U167*(1+SV_saRate)+IF(A168&gt;=SV_effStop,0,INDEX(SV_cpfMA,Q168)*INDEX(SV_cpfTot,Q168)*R168))</f>
        <v/>
      </c>
      <c r="V168" s="29">
        <f>IF(OR(OR(A168&lt;1,A168&gt;SV_T),A168&gt;=SV_effNeg),0,-(INDEX(SV_cpfOA,Q168)+INDEX(SV_cpfSA,Q168)+INDEX(SV_cpfMA,Q168))*INDEX(SV_cpfEmp,Q168)*R168)</f>
        <v/>
      </c>
      <c r="W168" s="29">
        <f>IF(A168&gt;=SV_sIdx,0,S168)</f>
        <v/>
      </c>
      <c r="X168" s="29">
        <f>IF(A168&gt;=SV_sIdx,0,T168)</f>
        <v/>
      </c>
      <c r="Y168" s="29">
        <f>IF(A168&gt;=SV_sIdx,MIN(U168,SV_maCap),U168)</f>
        <v/>
      </c>
      <c r="Z168" s="29">
        <f>IF(AND(SV_cpfOn,A168&gt;=SV_pIdx,A168&lt;=SV_T),12*SV_pay,0)</f>
        <v/>
      </c>
      <c r="AA168" s="29">
        <f>IF(A168&gt;SV_T,0,IF(SV_sp&gt;=0,IF(A168&lt;SV_sIdx,0,IF(A168=SV_sIdx,SV_R0,SV_lifeGrowth*AA167)),SV_lifeGrowth*AA167))</f>
        <v/>
      </c>
      <c r="AB168" s="29">
        <f>IF(A168&gt;SV_T,0,IF(AND(SV_sp&gt;=0,A168&lt;SV_sIdx),0,IF(AND(SV_sp&gt;=0,A168=SV_sIdx),SV_L0,SV_lifeGrowth*(AB167-Z168))))</f>
        <v/>
      </c>
      <c r="AC168" s="29">
        <f>W168+X168+AA168+Y168+IF(AA168&lt;0,0,AB168)</f>
        <v/>
      </c>
      <c r="AD168" s="29">
        <f>Z168+V168</f>
        <v/>
      </c>
      <c r="AE168" s="29">
        <f>IF(OR(A168&gt;SV_T,A168&gt;=SV_loanYears),0,MAX(0,AE167*(1+loanRate)-SV_inst))</f>
        <v/>
      </c>
      <c r="AF168" s="29">
        <f>IF(A168&gt;SV_T,0,AF167*(1+SV_savRate)+H168+I168+J168+K168+AD168)</f>
        <v/>
      </c>
      <c r="AG168" s="29">
        <f>IF(A168&gt;SV_T,0,MAX(0,N168+O168+P168+AC168+AF168-AE168))</f>
        <v/>
      </c>
      <c r="AH168" s="29">
        <f>IF(A168&gt;SV_T,0,N168+O168+AF168-MAX(0,AE168-(P168+AC168)))</f>
        <v/>
      </c>
      <c r="AI168" s="29">
        <f>IF(OR(OR(A168&lt;1,A168&gt;SV_T),A168-1&gt;=SV_retPay),0,SV_retMth*12+IF(A168=1,SV_retLump,0))</f>
        <v/>
      </c>
      <c r="AJ168" s="29">
        <f>IF(A168&gt;SV_T,0,(AJ167+AI168)*(1+investmentReturn))</f>
        <v/>
      </c>
      <c r="AK168" s="29">
        <f>IF(OR(OR(A168&lt;1,A168&gt;SV_T),A168-1&gt;=SV_goalPay),0,SV_goalMth*12+IF(A168=1,SV_goalLump,0))</f>
        <v/>
      </c>
      <c r="AL168" s="29">
        <f>IF(A168&gt;SV_T,0,(AL167+AK168)*(1+investmentReturn))</f>
        <v/>
      </c>
      <c r="AM168" s="29">
        <f>IF(OR(OR(A168&lt;1,A168&gt;SV_T),A168-1&gt;=SV_protPay),0,SV_protPrem)</f>
        <v/>
      </c>
      <c r="AN168" s="29">
        <f>IF(OR(A168=0,A168&gt;=SV_T),0,ROUND(MAX(0,AJ168),2)+ROUND(MAX(0,AL168),2))</f>
        <v/>
      </c>
      <c r="AO168" s="29">
        <f>IF(OR(A168&lt;1,A168&gt;SV_T),0,-(AI168+AK168+AM168)+IF(A168=SV_T,ROUND(MAX(0,AJ168),2)+ROUND(MAX(0,AL168),2),0))</f>
        <v/>
      </c>
      <c r="AP168" s="29">
        <f>IF(A168&gt;SV_T,0,AP167*(1+SV_savRate)+H168+I168+J168+K168+AD168+AO168)</f>
        <v/>
      </c>
      <c r="AQ168" s="29">
        <f>IF(A168&gt;SV_T,0,MAX(0,N168+O168+P168+AC168+AP168+AN168-AE168))</f>
        <v/>
      </c>
      <c r="AR168" s="29">
        <f>IF(A168&gt;SV_T,0,N168+O168+AP168+AN168-MAX(0,AE168-(P168+AC168)))</f>
        <v/>
      </c>
    </row>
    <row r="169">
      <c r="A169" s="61" t="n">
        <v>46</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IF(OR(OR(A169&lt;1,A169&gt;SV_T),A169-1&gt;=SV_salCut),0,SV_sal0*(1+incomeGrowthRate)^(A169-1)*G169)</f>
        <v/>
      </c>
      <c r="I169" s="29">
        <f>IF(OR(A169&lt;1,A169&gt;SV_T),0,(-SV_exp0*F169-IF(A169&lt;=SV_loanYears,SV_inst,0)-IF(AND(SV_wdAmt&gt;0,A169=SV_wdYear),SV_wdAmt,0))*IF(AND(SV_expOn,A169&gt;=SV_expS,A169&lt;=SV_expE),1+SV_expImp,1))</f>
        <v/>
      </c>
      <c r="J169" s="29">
        <f>IF(OR(OR(A169&lt;1,A169&gt;SV_T),A169&gt;SV_loanYears),0,-SV_lifePremYr)</f>
        <v/>
      </c>
      <c r="K169" s="29">
        <f>IF(OR(A169&lt;1,A169&gt;SV_T),0,-SV_contrib)</f>
        <v/>
      </c>
      <c r="L169" s="60">
        <f>IF(AND(SV_crashOn,A169=SV_crashYr),SV_crashF,1)</f>
        <v/>
      </c>
      <c r="M169" s="60">
        <f>IF(AND(SV_ccyOn,A169=SV_ccyYr),SV_ccyF,1)</f>
        <v/>
      </c>
      <c r="N169" s="29">
        <f>IF(A169&gt;SV_T,0,N168*(1+interestRate)*L169*M169)</f>
        <v/>
      </c>
      <c r="O169" s="29">
        <f>IF(A169&gt;SV_T,0,(O168+SV_contrib)*(1+investmentReturn)*L169*M169)</f>
        <v/>
      </c>
      <c r="P169" s="29">
        <f>IF(A169&gt;SV_T,0,P168*(1+SV_propRate)*L169)</f>
        <v/>
      </c>
      <c r="Q169" s="46">
        <f>MATCH(SV_age+A169-1,SV_cpfLower,1)</f>
        <v/>
      </c>
      <c r="R169" s="29">
        <f>IF(OR(OR(A169&lt;1,A169&gt;SV_T),NOT(SV_cpfOn)),0,MIN(SV_sal0*(1+incomeGrowthRate)^(A169-1)*G169,SV_owCap))</f>
        <v/>
      </c>
      <c r="S169" s="29">
        <f>IF(A169&gt;SV_T,0,S168*(1+SV_oaRate)+IF(A169&gt;=SV_effStop,0,INDEX(SV_cpfOA,Q169)*INDEX(SV_cpfTot,Q169)*R169))</f>
        <v/>
      </c>
      <c r="T169" s="29">
        <f>IF(A169&gt;SV_T,0,T168*(1+SV_saRate)+IF(A169&gt;=SV_effStop,0,INDEX(SV_cpfSA,Q169)*INDEX(SV_cpfTot,Q169)*R169))</f>
        <v/>
      </c>
      <c r="U169" s="29">
        <f>IF(A169&gt;SV_T,0,U168*(1+SV_saRate)+IF(A169&gt;=SV_effStop,0,INDEX(SV_cpfMA,Q169)*INDEX(SV_cpfTot,Q169)*R169))</f>
        <v/>
      </c>
      <c r="V169" s="29">
        <f>IF(OR(OR(A169&lt;1,A169&gt;SV_T),A169&gt;=SV_effNeg),0,-(INDEX(SV_cpfOA,Q169)+INDEX(SV_cpfSA,Q169)+INDEX(SV_cpfMA,Q169))*INDEX(SV_cpfEmp,Q169)*R169)</f>
        <v/>
      </c>
      <c r="W169" s="29">
        <f>IF(A169&gt;=SV_sIdx,0,S169)</f>
        <v/>
      </c>
      <c r="X169" s="29">
        <f>IF(A169&gt;=SV_sIdx,0,T169)</f>
        <v/>
      </c>
      <c r="Y169" s="29">
        <f>IF(A169&gt;=SV_sIdx,MIN(U169,SV_maCap),U169)</f>
        <v/>
      </c>
      <c r="Z169" s="29">
        <f>IF(AND(SV_cpfOn,A169&gt;=SV_pIdx,A169&lt;=SV_T),12*SV_pay,0)</f>
        <v/>
      </c>
      <c r="AA169" s="29">
        <f>IF(A169&gt;SV_T,0,IF(SV_sp&gt;=0,IF(A169&lt;SV_sIdx,0,IF(A169=SV_sIdx,SV_R0,SV_lifeGrowth*AA168)),SV_lifeGrowth*AA168))</f>
        <v/>
      </c>
      <c r="AB169" s="29">
        <f>IF(A169&gt;SV_T,0,IF(AND(SV_sp&gt;=0,A169&lt;SV_sIdx),0,IF(AND(SV_sp&gt;=0,A169=SV_sIdx),SV_L0,SV_lifeGrowth*(AB168-Z169))))</f>
        <v/>
      </c>
      <c r="AC169" s="29">
        <f>W169+X169+AA169+Y169+IF(AA169&lt;0,0,AB169)</f>
        <v/>
      </c>
      <c r="AD169" s="29">
        <f>Z169+V169</f>
        <v/>
      </c>
      <c r="AE169" s="29">
        <f>IF(OR(A169&gt;SV_T,A169&gt;=SV_loanYears),0,MAX(0,AE168*(1+loanRate)-SV_inst))</f>
        <v/>
      </c>
      <c r="AF169" s="29">
        <f>IF(A169&gt;SV_T,0,AF168*(1+SV_savRate)+H169+I169+J169+K169+AD169)</f>
        <v/>
      </c>
      <c r="AG169" s="29">
        <f>IF(A169&gt;SV_T,0,MAX(0,N169+O169+P169+AC169+AF169-AE169))</f>
        <v/>
      </c>
      <c r="AH169" s="29">
        <f>IF(A169&gt;SV_T,0,N169+O169+AF169-MAX(0,AE169-(P169+AC169)))</f>
        <v/>
      </c>
      <c r="AI169" s="29">
        <f>IF(OR(OR(A169&lt;1,A169&gt;SV_T),A169-1&gt;=SV_retPay),0,SV_retMth*12+IF(A169=1,SV_retLump,0))</f>
        <v/>
      </c>
      <c r="AJ169" s="29">
        <f>IF(A169&gt;SV_T,0,(AJ168+AI169)*(1+investmentReturn))</f>
        <v/>
      </c>
      <c r="AK169" s="29">
        <f>IF(OR(OR(A169&lt;1,A169&gt;SV_T),A169-1&gt;=SV_goalPay),0,SV_goalMth*12+IF(A169=1,SV_goalLump,0))</f>
        <v/>
      </c>
      <c r="AL169" s="29">
        <f>IF(A169&gt;SV_T,0,(AL168+AK169)*(1+investmentReturn))</f>
        <v/>
      </c>
      <c r="AM169" s="29">
        <f>IF(OR(OR(A169&lt;1,A169&gt;SV_T),A169-1&gt;=SV_protPay),0,SV_protPrem)</f>
        <v/>
      </c>
      <c r="AN169" s="29">
        <f>IF(OR(A169=0,A169&gt;=SV_T),0,ROUND(MAX(0,AJ169),2)+ROUND(MAX(0,AL169),2))</f>
        <v/>
      </c>
      <c r="AO169" s="29">
        <f>IF(OR(A169&lt;1,A169&gt;SV_T),0,-(AI169+AK169+AM169)+IF(A169=SV_T,ROUND(MAX(0,AJ169),2)+ROUND(MAX(0,AL169),2),0))</f>
        <v/>
      </c>
      <c r="AP169" s="29">
        <f>IF(A169&gt;SV_T,0,AP168*(1+SV_savRate)+H169+I169+J169+K169+AD169+AO169)</f>
        <v/>
      </c>
      <c r="AQ169" s="29">
        <f>IF(A169&gt;SV_T,0,MAX(0,N169+O169+P169+AC169+AP169+AN169-AE169))</f>
        <v/>
      </c>
      <c r="AR169" s="29">
        <f>IF(A169&gt;SV_T,0,N169+O169+AP169+AN169-MAX(0,AE169-(P169+AC169)))</f>
        <v/>
      </c>
    </row>
    <row r="170">
      <c r="A170" s="61" t="n">
        <v>47</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IF(OR(OR(A170&lt;1,A170&gt;SV_T),A170-1&gt;=SV_salCut),0,SV_sal0*(1+incomeGrowthRate)^(A170-1)*G170)</f>
        <v/>
      </c>
      <c r="I170" s="29">
        <f>IF(OR(A170&lt;1,A170&gt;SV_T),0,(-SV_exp0*F170-IF(A170&lt;=SV_loanYears,SV_inst,0)-IF(AND(SV_wdAmt&gt;0,A170=SV_wdYear),SV_wdAmt,0))*IF(AND(SV_expOn,A170&gt;=SV_expS,A170&lt;=SV_expE),1+SV_expImp,1))</f>
        <v/>
      </c>
      <c r="J170" s="29">
        <f>IF(OR(OR(A170&lt;1,A170&gt;SV_T),A170&gt;SV_loanYears),0,-SV_lifePremYr)</f>
        <v/>
      </c>
      <c r="K170" s="29">
        <f>IF(OR(A170&lt;1,A170&gt;SV_T),0,-SV_contrib)</f>
        <v/>
      </c>
      <c r="L170" s="60">
        <f>IF(AND(SV_crashOn,A170=SV_crashYr),SV_crashF,1)</f>
        <v/>
      </c>
      <c r="M170" s="60">
        <f>IF(AND(SV_ccyOn,A170=SV_ccyYr),SV_ccyF,1)</f>
        <v/>
      </c>
      <c r="N170" s="29">
        <f>IF(A170&gt;SV_T,0,N169*(1+interestRate)*L170*M170)</f>
        <v/>
      </c>
      <c r="O170" s="29">
        <f>IF(A170&gt;SV_T,0,(O169+SV_contrib)*(1+investmentReturn)*L170*M170)</f>
        <v/>
      </c>
      <c r="P170" s="29">
        <f>IF(A170&gt;SV_T,0,P169*(1+SV_propRate)*L170)</f>
        <v/>
      </c>
      <c r="Q170" s="46">
        <f>MATCH(SV_age+A170-1,SV_cpfLower,1)</f>
        <v/>
      </c>
      <c r="R170" s="29">
        <f>IF(OR(OR(A170&lt;1,A170&gt;SV_T),NOT(SV_cpfOn)),0,MIN(SV_sal0*(1+incomeGrowthRate)^(A170-1)*G170,SV_owCap))</f>
        <v/>
      </c>
      <c r="S170" s="29">
        <f>IF(A170&gt;SV_T,0,S169*(1+SV_oaRate)+IF(A170&gt;=SV_effStop,0,INDEX(SV_cpfOA,Q170)*INDEX(SV_cpfTot,Q170)*R170))</f>
        <v/>
      </c>
      <c r="T170" s="29">
        <f>IF(A170&gt;SV_T,0,T169*(1+SV_saRate)+IF(A170&gt;=SV_effStop,0,INDEX(SV_cpfSA,Q170)*INDEX(SV_cpfTot,Q170)*R170))</f>
        <v/>
      </c>
      <c r="U170" s="29">
        <f>IF(A170&gt;SV_T,0,U169*(1+SV_saRate)+IF(A170&gt;=SV_effStop,0,INDEX(SV_cpfMA,Q170)*INDEX(SV_cpfTot,Q170)*R170))</f>
        <v/>
      </c>
      <c r="V170" s="29">
        <f>IF(OR(OR(A170&lt;1,A170&gt;SV_T),A170&gt;=SV_effNeg),0,-(INDEX(SV_cpfOA,Q170)+INDEX(SV_cpfSA,Q170)+INDEX(SV_cpfMA,Q170))*INDEX(SV_cpfEmp,Q170)*R170)</f>
        <v/>
      </c>
      <c r="W170" s="29">
        <f>IF(A170&gt;=SV_sIdx,0,S170)</f>
        <v/>
      </c>
      <c r="X170" s="29">
        <f>IF(A170&gt;=SV_sIdx,0,T170)</f>
        <v/>
      </c>
      <c r="Y170" s="29">
        <f>IF(A170&gt;=SV_sIdx,MIN(U170,SV_maCap),U170)</f>
        <v/>
      </c>
      <c r="Z170" s="29">
        <f>IF(AND(SV_cpfOn,A170&gt;=SV_pIdx,A170&lt;=SV_T),12*SV_pay,0)</f>
        <v/>
      </c>
      <c r="AA170" s="29">
        <f>IF(A170&gt;SV_T,0,IF(SV_sp&gt;=0,IF(A170&lt;SV_sIdx,0,IF(A170=SV_sIdx,SV_R0,SV_lifeGrowth*AA169)),SV_lifeGrowth*AA169))</f>
        <v/>
      </c>
      <c r="AB170" s="29">
        <f>IF(A170&gt;SV_T,0,IF(AND(SV_sp&gt;=0,A170&lt;SV_sIdx),0,IF(AND(SV_sp&gt;=0,A170=SV_sIdx),SV_L0,SV_lifeGrowth*(AB169-Z170))))</f>
        <v/>
      </c>
      <c r="AC170" s="29">
        <f>W170+X170+AA170+Y170+IF(AA170&lt;0,0,AB170)</f>
        <v/>
      </c>
      <c r="AD170" s="29">
        <f>Z170+V170</f>
        <v/>
      </c>
      <c r="AE170" s="29">
        <f>IF(OR(A170&gt;SV_T,A170&gt;=SV_loanYears),0,MAX(0,AE169*(1+loanRate)-SV_inst))</f>
        <v/>
      </c>
      <c r="AF170" s="29">
        <f>IF(A170&gt;SV_T,0,AF169*(1+SV_savRate)+H170+I170+J170+K170+AD170)</f>
        <v/>
      </c>
      <c r="AG170" s="29">
        <f>IF(A170&gt;SV_T,0,MAX(0,N170+O170+P170+AC170+AF170-AE170))</f>
        <v/>
      </c>
      <c r="AH170" s="29">
        <f>IF(A170&gt;SV_T,0,N170+O170+AF170-MAX(0,AE170-(P170+AC170)))</f>
        <v/>
      </c>
      <c r="AI170" s="29">
        <f>IF(OR(OR(A170&lt;1,A170&gt;SV_T),A170-1&gt;=SV_retPay),0,SV_retMth*12+IF(A170=1,SV_retLump,0))</f>
        <v/>
      </c>
      <c r="AJ170" s="29">
        <f>IF(A170&gt;SV_T,0,(AJ169+AI170)*(1+investmentReturn))</f>
        <v/>
      </c>
      <c r="AK170" s="29">
        <f>IF(OR(OR(A170&lt;1,A170&gt;SV_T),A170-1&gt;=SV_goalPay),0,SV_goalMth*12+IF(A170=1,SV_goalLump,0))</f>
        <v/>
      </c>
      <c r="AL170" s="29">
        <f>IF(A170&gt;SV_T,0,(AL169+AK170)*(1+investmentReturn))</f>
        <v/>
      </c>
      <c r="AM170" s="29">
        <f>IF(OR(OR(A170&lt;1,A170&gt;SV_T),A170-1&gt;=SV_protPay),0,SV_protPrem)</f>
        <v/>
      </c>
      <c r="AN170" s="29">
        <f>IF(OR(A170=0,A170&gt;=SV_T),0,ROUND(MAX(0,AJ170),2)+ROUND(MAX(0,AL170),2))</f>
        <v/>
      </c>
      <c r="AO170" s="29">
        <f>IF(OR(A170&lt;1,A170&gt;SV_T),0,-(AI170+AK170+AM170)+IF(A170=SV_T,ROUND(MAX(0,AJ170),2)+ROUND(MAX(0,AL170),2),0))</f>
        <v/>
      </c>
      <c r="AP170" s="29">
        <f>IF(A170&gt;SV_T,0,AP169*(1+SV_savRate)+H170+I170+J170+K170+AD170+AO170)</f>
        <v/>
      </c>
      <c r="AQ170" s="29">
        <f>IF(A170&gt;SV_T,0,MAX(0,N170+O170+P170+AC170+AP170+AN170-AE170))</f>
        <v/>
      </c>
      <c r="AR170" s="29">
        <f>IF(A170&gt;SV_T,0,N170+O170+AP170+AN170-MAX(0,AE170-(P170+AC170)))</f>
        <v/>
      </c>
    </row>
    <row r="171">
      <c r="A171" s="61" t="n">
        <v>48</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IF(OR(OR(A171&lt;1,A171&gt;SV_T),A171-1&gt;=SV_salCut),0,SV_sal0*(1+incomeGrowthRate)^(A171-1)*G171)</f>
        <v/>
      </c>
      <c r="I171" s="29">
        <f>IF(OR(A171&lt;1,A171&gt;SV_T),0,(-SV_exp0*F171-IF(A171&lt;=SV_loanYears,SV_inst,0)-IF(AND(SV_wdAmt&gt;0,A171=SV_wdYear),SV_wdAmt,0))*IF(AND(SV_expOn,A171&gt;=SV_expS,A171&lt;=SV_expE),1+SV_expImp,1))</f>
        <v/>
      </c>
      <c r="J171" s="29">
        <f>IF(OR(OR(A171&lt;1,A171&gt;SV_T),A171&gt;SV_loanYears),0,-SV_lifePremYr)</f>
        <v/>
      </c>
      <c r="K171" s="29">
        <f>IF(OR(A171&lt;1,A171&gt;SV_T),0,-SV_contrib)</f>
        <v/>
      </c>
      <c r="L171" s="60">
        <f>IF(AND(SV_crashOn,A171=SV_crashYr),SV_crashF,1)</f>
        <v/>
      </c>
      <c r="M171" s="60">
        <f>IF(AND(SV_ccyOn,A171=SV_ccyYr),SV_ccyF,1)</f>
        <v/>
      </c>
      <c r="N171" s="29">
        <f>IF(A171&gt;SV_T,0,N170*(1+interestRate)*L171*M171)</f>
        <v/>
      </c>
      <c r="O171" s="29">
        <f>IF(A171&gt;SV_T,0,(O170+SV_contrib)*(1+investmentReturn)*L171*M171)</f>
        <v/>
      </c>
      <c r="P171" s="29">
        <f>IF(A171&gt;SV_T,0,P170*(1+SV_propRate)*L171)</f>
        <v/>
      </c>
      <c r="Q171" s="46">
        <f>MATCH(SV_age+A171-1,SV_cpfLower,1)</f>
        <v/>
      </c>
      <c r="R171" s="29">
        <f>IF(OR(OR(A171&lt;1,A171&gt;SV_T),NOT(SV_cpfOn)),0,MIN(SV_sal0*(1+incomeGrowthRate)^(A171-1)*G171,SV_owCap))</f>
        <v/>
      </c>
      <c r="S171" s="29">
        <f>IF(A171&gt;SV_T,0,S170*(1+SV_oaRate)+IF(A171&gt;=SV_effStop,0,INDEX(SV_cpfOA,Q171)*INDEX(SV_cpfTot,Q171)*R171))</f>
        <v/>
      </c>
      <c r="T171" s="29">
        <f>IF(A171&gt;SV_T,0,T170*(1+SV_saRate)+IF(A171&gt;=SV_effStop,0,INDEX(SV_cpfSA,Q171)*INDEX(SV_cpfTot,Q171)*R171))</f>
        <v/>
      </c>
      <c r="U171" s="29">
        <f>IF(A171&gt;SV_T,0,U170*(1+SV_saRate)+IF(A171&gt;=SV_effStop,0,INDEX(SV_cpfMA,Q171)*INDEX(SV_cpfTot,Q171)*R171))</f>
        <v/>
      </c>
      <c r="V171" s="29">
        <f>IF(OR(OR(A171&lt;1,A171&gt;SV_T),A171&gt;=SV_effNeg),0,-(INDEX(SV_cpfOA,Q171)+INDEX(SV_cpfSA,Q171)+INDEX(SV_cpfMA,Q171))*INDEX(SV_cpfEmp,Q171)*R171)</f>
        <v/>
      </c>
      <c r="W171" s="29">
        <f>IF(A171&gt;=SV_sIdx,0,S171)</f>
        <v/>
      </c>
      <c r="X171" s="29">
        <f>IF(A171&gt;=SV_sIdx,0,T171)</f>
        <v/>
      </c>
      <c r="Y171" s="29">
        <f>IF(A171&gt;=SV_sIdx,MIN(U171,SV_maCap),U171)</f>
        <v/>
      </c>
      <c r="Z171" s="29">
        <f>IF(AND(SV_cpfOn,A171&gt;=SV_pIdx,A171&lt;=SV_T),12*SV_pay,0)</f>
        <v/>
      </c>
      <c r="AA171" s="29">
        <f>IF(A171&gt;SV_T,0,IF(SV_sp&gt;=0,IF(A171&lt;SV_sIdx,0,IF(A171=SV_sIdx,SV_R0,SV_lifeGrowth*AA170)),SV_lifeGrowth*AA170))</f>
        <v/>
      </c>
      <c r="AB171" s="29">
        <f>IF(A171&gt;SV_T,0,IF(AND(SV_sp&gt;=0,A171&lt;SV_sIdx),0,IF(AND(SV_sp&gt;=0,A171=SV_sIdx),SV_L0,SV_lifeGrowth*(AB170-Z171))))</f>
        <v/>
      </c>
      <c r="AC171" s="29">
        <f>W171+X171+AA171+Y171+IF(AA171&lt;0,0,AB171)</f>
        <v/>
      </c>
      <c r="AD171" s="29">
        <f>Z171+V171</f>
        <v/>
      </c>
      <c r="AE171" s="29">
        <f>IF(OR(A171&gt;SV_T,A171&gt;=SV_loanYears),0,MAX(0,AE170*(1+loanRate)-SV_inst))</f>
        <v/>
      </c>
      <c r="AF171" s="29">
        <f>IF(A171&gt;SV_T,0,AF170*(1+SV_savRate)+H171+I171+J171+K171+AD171)</f>
        <v/>
      </c>
      <c r="AG171" s="29">
        <f>IF(A171&gt;SV_T,0,MAX(0,N171+O171+P171+AC171+AF171-AE171))</f>
        <v/>
      </c>
      <c r="AH171" s="29">
        <f>IF(A171&gt;SV_T,0,N171+O171+AF171-MAX(0,AE171-(P171+AC171)))</f>
        <v/>
      </c>
      <c r="AI171" s="29">
        <f>IF(OR(OR(A171&lt;1,A171&gt;SV_T),A171-1&gt;=SV_retPay),0,SV_retMth*12+IF(A171=1,SV_retLump,0))</f>
        <v/>
      </c>
      <c r="AJ171" s="29">
        <f>IF(A171&gt;SV_T,0,(AJ170+AI171)*(1+investmentReturn))</f>
        <v/>
      </c>
      <c r="AK171" s="29">
        <f>IF(OR(OR(A171&lt;1,A171&gt;SV_T),A171-1&gt;=SV_goalPay),0,SV_goalMth*12+IF(A171=1,SV_goalLump,0))</f>
        <v/>
      </c>
      <c r="AL171" s="29">
        <f>IF(A171&gt;SV_T,0,(AL170+AK171)*(1+investmentReturn))</f>
        <v/>
      </c>
      <c r="AM171" s="29">
        <f>IF(OR(OR(A171&lt;1,A171&gt;SV_T),A171-1&gt;=SV_protPay),0,SV_protPrem)</f>
        <v/>
      </c>
      <c r="AN171" s="29">
        <f>IF(OR(A171=0,A171&gt;=SV_T),0,ROUND(MAX(0,AJ171),2)+ROUND(MAX(0,AL171),2))</f>
        <v/>
      </c>
      <c r="AO171" s="29">
        <f>IF(OR(A171&lt;1,A171&gt;SV_T),0,-(AI171+AK171+AM171)+IF(A171=SV_T,ROUND(MAX(0,AJ171),2)+ROUND(MAX(0,AL171),2),0))</f>
        <v/>
      </c>
      <c r="AP171" s="29">
        <f>IF(A171&gt;SV_T,0,AP170*(1+SV_savRate)+H171+I171+J171+K171+AD171+AO171)</f>
        <v/>
      </c>
      <c r="AQ171" s="29">
        <f>IF(A171&gt;SV_T,0,MAX(0,N171+O171+P171+AC171+AP171+AN171-AE171))</f>
        <v/>
      </c>
      <c r="AR171" s="29">
        <f>IF(A171&gt;SV_T,0,N171+O171+AP171+AN171-MAX(0,AE171-(P171+AC171)))</f>
        <v/>
      </c>
    </row>
    <row r="172">
      <c r="A172" s="61" t="n">
        <v>49</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IF(OR(OR(A172&lt;1,A172&gt;SV_T),A172-1&gt;=SV_salCut),0,SV_sal0*(1+incomeGrowthRate)^(A172-1)*G172)</f>
        <v/>
      </c>
      <c r="I172" s="29">
        <f>IF(OR(A172&lt;1,A172&gt;SV_T),0,(-SV_exp0*F172-IF(A172&lt;=SV_loanYears,SV_inst,0)-IF(AND(SV_wdAmt&gt;0,A172=SV_wdYear),SV_wdAmt,0))*IF(AND(SV_expOn,A172&gt;=SV_expS,A172&lt;=SV_expE),1+SV_expImp,1))</f>
        <v/>
      </c>
      <c r="J172" s="29">
        <f>IF(OR(OR(A172&lt;1,A172&gt;SV_T),A172&gt;SV_loanYears),0,-SV_lifePremYr)</f>
        <v/>
      </c>
      <c r="K172" s="29">
        <f>IF(OR(A172&lt;1,A172&gt;SV_T),0,-SV_contrib)</f>
        <v/>
      </c>
      <c r="L172" s="60">
        <f>IF(AND(SV_crashOn,A172=SV_crashYr),SV_crashF,1)</f>
        <v/>
      </c>
      <c r="M172" s="60">
        <f>IF(AND(SV_ccyOn,A172=SV_ccyYr),SV_ccyF,1)</f>
        <v/>
      </c>
      <c r="N172" s="29">
        <f>IF(A172&gt;SV_T,0,N171*(1+interestRate)*L172*M172)</f>
        <v/>
      </c>
      <c r="O172" s="29">
        <f>IF(A172&gt;SV_T,0,(O171+SV_contrib)*(1+investmentReturn)*L172*M172)</f>
        <v/>
      </c>
      <c r="P172" s="29">
        <f>IF(A172&gt;SV_T,0,P171*(1+SV_propRate)*L172)</f>
        <v/>
      </c>
      <c r="Q172" s="46">
        <f>MATCH(SV_age+A172-1,SV_cpfLower,1)</f>
        <v/>
      </c>
      <c r="R172" s="29">
        <f>IF(OR(OR(A172&lt;1,A172&gt;SV_T),NOT(SV_cpfOn)),0,MIN(SV_sal0*(1+incomeGrowthRate)^(A172-1)*G172,SV_owCap))</f>
        <v/>
      </c>
      <c r="S172" s="29">
        <f>IF(A172&gt;SV_T,0,S171*(1+SV_oaRate)+IF(A172&gt;=SV_effStop,0,INDEX(SV_cpfOA,Q172)*INDEX(SV_cpfTot,Q172)*R172))</f>
        <v/>
      </c>
      <c r="T172" s="29">
        <f>IF(A172&gt;SV_T,0,T171*(1+SV_saRate)+IF(A172&gt;=SV_effStop,0,INDEX(SV_cpfSA,Q172)*INDEX(SV_cpfTot,Q172)*R172))</f>
        <v/>
      </c>
      <c r="U172" s="29">
        <f>IF(A172&gt;SV_T,0,U171*(1+SV_saRate)+IF(A172&gt;=SV_effStop,0,INDEX(SV_cpfMA,Q172)*INDEX(SV_cpfTot,Q172)*R172))</f>
        <v/>
      </c>
      <c r="V172" s="29">
        <f>IF(OR(OR(A172&lt;1,A172&gt;SV_T),A172&gt;=SV_effNeg),0,-(INDEX(SV_cpfOA,Q172)+INDEX(SV_cpfSA,Q172)+INDEX(SV_cpfMA,Q172))*INDEX(SV_cpfEmp,Q172)*R172)</f>
        <v/>
      </c>
      <c r="W172" s="29">
        <f>IF(A172&gt;=SV_sIdx,0,S172)</f>
        <v/>
      </c>
      <c r="X172" s="29">
        <f>IF(A172&gt;=SV_sIdx,0,T172)</f>
        <v/>
      </c>
      <c r="Y172" s="29">
        <f>IF(A172&gt;=SV_sIdx,MIN(U172,SV_maCap),U172)</f>
        <v/>
      </c>
      <c r="Z172" s="29">
        <f>IF(AND(SV_cpfOn,A172&gt;=SV_pIdx,A172&lt;=SV_T),12*SV_pay,0)</f>
        <v/>
      </c>
      <c r="AA172" s="29">
        <f>IF(A172&gt;SV_T,0,IF(SV_sp&gt;=0,IF(A172&lt;SV_sIdx,0,IF(A172=SV_sIdx,SV_R0,SV_lifeGrowth*AA171)),SV_lifeGrowth*AA171))</f>
        <v/>
      </c>
      <c r="AB172" s="29">
        <f>IF(A172&gt;SV_T,0,IF(AND(SV_sp&gt;=0,A172&lt;SV_sIdx),0,IF(AND(SV_sp&gt;=0,A172=SV_sIdx),SV_L0,SV_lifeGrowth*(AB171-Z172))))</f>
        <v/>
      </c>
      <c r="AC172" s="29">
        <f>W172+X172+AA172+Y172+IF(AA172&lt;0,0,AB172)</f>
        <v/>
      </c>
      <c r="AD172" s="29">
        <f>Z172+V172</f>
        <v/>
      </c>
      <c r="AE172" s="29">
        <f>IF(OR(A172&gt;SV_T,A172&gt;=SV_loanYears),0,MAX(0,AE171*(1+loanRate)-SV_inst))</f>
        <v/>
      </c>
      <c r="AF172" s="29">
        <f>IF(A172&gt;SV_T,0,AF171*(1+SV_savRate)+H172+I172+J172+K172+AD172)</f>
        <v/>
      </c>
      <c r="AG172" s="29">
        <f>IF(A172&gt;SV_T,0,MAX(0,N172+O172+P172+AC172+AF172-AE172))</f>
        <v/>
      </c>
      <c r="AH172" s="29">
        <f>IF(A172&gt;SV_T,0,N172+O172+AF172-MAX(0,AE172-(P172+AC172)))</f>
        <v/>
      </c>
      <c r="AI172" s="29">
        <f>IF(OR(OR(A172&lt;1,A172&gt;SV_T),A172-1&gt;=SV_retPay),0,SV_retMth*12+IF(A172=1,SV_retLump,0))</f>
        <v/>
      </c>
      <c r="AJ172" s="29">
        <f>IF(A172&gt;SV_T,0,(AJ171+AI172)*(1+investmentReturn))</f>
        <v/>
      </c>
      <c r="AK172" s="29">
        <f>IF(OR(OR(A172&lt;1,A172&gt;SV_T),A172-1&gt;=SV_goalPay),0,SV_goalMth*12+IF(A172=1,SV_goalLump,0))</f>
        <v/>
      </c>
      <c r="AL172" s="29">
        <f>IF(A172&gt;SV_T,0,(AL171+AK172)*(1+investmentReturn))</f>
        <v/>
      </c>
      <c r="AM172" s="29">
        <f>IF(OR(OR(A172&lt;1,A172&gt;SV_T),A172-1&gt;=SV_protPay),0,SV_protPrem)</f>
        <v/>
      </c>
      <c r="AN172" s="29">
        <f>IF(OR(A172=0,A172&gt;=SV_T),0,ROUND(MAX(0,AJ172),2)+ROUND(MAX(0,AL172),2))</f>
        <v/>
      </c>
      <c r="AO172" s="29">
        <f>IF(OR(A172&lt;1,A172&gt;SV_T),0,-(AI172+AK172+AM172)+IF(A172=SV_T,ROUND(MAX(0,AJ172),2)+ROUND(MAX(0,AL172),2),0))</f>
        <v/>
      </c>
      <c r="AP172" s="29">
        <f>IF(A172&gt;SV_T,0,AP171*(1+SV_savRate)+H172+I172+J172+K172+AD172+AO172)</f>
        <v/>
      </c>
      <c r="AQ172" s="29">
        <f>IF(A172&gt;SV_T,0,MAX(0,N172+O172+P172+AC172+AP172+AN172-AE172))</f>
        <v/>
      </c>
      <c r="AR172" s="29">
        <f>IF(A172&gt;SV_T,0,N172+O172+AP172+AN172-MAX(0,AE172-(P172+AC172)))</f>
        <v/>
      </c>
    </row>
    <row r="173">
      <c r="A173" s="61" t="n">
        <v>50</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IF(OR(OR(A173&lt;1,A173&gt;SV_T),A173-1&gt;=SV_salCut),0,SV_sal0*(1+incomeGrowthRate)^(A173-1)*G173)</f>
        <v/>
      </c>
      <c r="I173" s="29">
        <f>IF(OR(A173&lt;1,A173&gt;SV_T),0,(-SV_exp0*F173-IF(A173&lt;=SV_loanYears,SV_inst,0)-IF(AND(SV_wdAmt&gt;0,A173=SV_wdYear),SV_wdAmt,0))*IF(AND(SV_expOn,A173&gt;=SV_expS,A173&lt;=SV_expE),1+SV_expImp,1))</f>
        <v/>
      </c>
      <c r="J173" s="29">
        <f>IF(OR(OR(A173&lt;1,A173&gt;SV_T),A173&gt;SV_loanYears),0,-SV_lifePremYr)</f>
        <v/>
      </c>
      <c r="K173" s="29">
        <f>IF(OR(A173&lt;1,A173&gt;SV_T),0,-SV_contrib)</f>
        <v/>
      </c>
      <c r="L173" s="60">
        <f>IF(AND(SV_crashOn,A173=SV_crashYr),SV_crashF,1)</f>
        <v/>
      </c>
      <c r="M173" s="60">
        <f>IF(AND(SV_ccyOn,A173=SV_ccyYr),SV_ccyF,1)</f>
        <v/>
      </c>
      <c r="N173" s="29">
        <f>IF(A173&gt;SV_T,0,N172*(1+interestRate)*L173*M173)</f>
        <v/>
      </c>
      <c r="O173" s="29">
        <f>IF(A173&gt;SV_T,0,(O172+SV_contrib)*(1+investmentReturn)*L173*M173)</f>
        <v/>
      </c>
      <c r="P173" s="29">
        <f>IF(A173&gt;SV_T,0,P172*(1+SV_propRate)*L173)</f>
        <v/>
      </c>
      <c r="Q173" s="46">
        <f>MATCH(SV_age+A173-1,SV_cpfLower,1)</f>
        <v/>
      </c>
      <c r="R173" s="29">
        <f>IF(OR(OR(A173&lt;1,A173&gt;SV_T),NOT(SV_cpfOn)),0,MIN(SV_sal0*(1+incomeGrowthRate)^(A173-1)*G173,SV_owCap))</f>
        <v/>
      </c>
      <c r="S173" s="29">
        <f>IF(A173&gt;SV_T,0,S172*(1+SV_oaRate)+IF(A173&gt;=SV_effStop,0,INDEX(SV_cpfOA,Q173)*INDEX(SV_cpfTot,Q173)*R173))</f>
        <v/>
      </c>
      <c r="T173" s="29">
        <f>IF(A173&gt;SV_T,0,T172*(1+SV_saRate)+IF(A173&gt;=SV_effStop,0,INDEX(SV_cpfSA,Q173)*INDEX(SV_cpfTot,Q173)*R173))</f>
        <v/>
      </c>
      <c r="U173" s="29">
        <f>IF(A173&gt;SV_T,0,U172*(1+SV_saRate)+IF(A173&gt;=SV_effStop,0,INDEX(SV_cpfMA,Q173)*INDEX(SV_cpfTot,Q173)*R173))</f>
        <v/>
      </c>
      <c r="V173" s="29">
        <f>IF(OR(OR(A173&lt;1,A173&gt;SV_T),A173&gt;=SV_effNeg),0,-(INDEX(SV_cpfOA,Q173)+INDEX(SV_cpfSA,Q173)+INDEX(SV_cpfMA,Q173))*INDEX(SV_cpfEmp,Q173)*R173)</f>
        <v/>
      </c>
      <c r="W173" s="29">
        <f>IF(A173&gt;=SV_sIdx,0,S173)</f>
        <v/>
      </c>
      <c r="X173" s="29">
        <f>IF(A173&gt;=SV_sIdx,0,T173)</f>
        <v/>
      </c>
      <c r="Y173" s="29">
        <f>IF(A173&gt;=SV_sIdx,MIN(U173,SV_maCap),U173)</f>
        <v/>
      </c>
      <c r="Z173" s="29">
        <f>IF(AND(SV_cpfOn,A173&gt;=SV_pIdx,A173&lt;=SV_T),12*SV_pay,0)</f>
        <v/>
      </c>
      <c r="AA173" s="29">
        <f>IF(A173&gt;SV_T,0,IF(SV_sp&gt;=0,IF(A173&lt;SV_sIdx,0,IF(A173=SV_sIdx,SV_R0,SV_lifeGrowth*AA172)),SV_lifeGrowth*AA172))</f>
        <v/>
      </c>
      <c r="AB173" s="29">
        <f>IF(A173&gt;SV_T,0,IF(AND(SV_sp&gt;=0,A173&lt;SV_sIdx),0,IF(AND(SV_sp&gt;=0,A173=SV_sIdx),SV_L0,SV_lifeGrowth*(AB172-Z173))))</f>
        <v/>
      </c>
      <c r="AC173" s="29">
        <f>W173+X173+AA173+Y173+IF(AA173&lt;0,0,AB173)</f>
        <v/>
      </c>
      <c r="AD173" s="29">
        <f>Z173+V173</f>
        <v/>
      </c>
      <c r="AE173" s="29">
        <f>IF(OR(A173&gt;SV_T,A173&gt;=SV_loanYears),0,MAX(0,AE172*(1+loanRate)-SV_inst))</f>
        <v/>
      </c>
      <c r="AF173" s="29">
        <f>IF(A173&gt;SV_T,0,AF172*(1+SV_savRate)+H173+I173+J173+K173+AD173)</f>
        <v/>
      </c>
      <c r="AG173" s="29">
        <f>IF(A173&gt;SV_T,0,MAX(0,N173+O173+P173+AC173+AF173-AE173))</f>
        <v/>
      </c>
      <c r="AH173" s="29">
        <f>IF(A173&gt;SV_T,0,N173+O173+AF173-MAX(0,AE173-(P173+AC173)))</f>
        <v/>
      </c>
      <c r="AI173" s="29">
        <f>IF(OR(OR(A173&lt;1,A173&gt;SV_T),A173-1&gt;=SV_retPay),0,SV_retMth*12+IF(A173=1,SV_retLump,0))</f>
        <v/>
      </c>
      <c r="AJ173" s="29">
        <f>IF(A173&gt;SV_T,0,(AJ172+AI173)*(1+investmentReturn))</f>
        <v/>
      </c>
      <c r="AK173" s="29">
        <f>IF(OR(OR(A173&lt;1,A173&gt;SV_T),A173-1&gt;=SV_goalPay),0,SV_goalMth*12+IF(A173=1,SV_goalLump,0))</f>
        <v/>
      </c>
      <c r="AL173" s="29">
        <f>IF(A173&gt;SV_T,0,(AL172+AK173)*(1+investmentReturn))</f>
        <v/>
      </c>
      <c r="AM173" s="29">
        <f>IF(OR(OR(A173&lt;1,A173&gt;SV_T),A173-1&gt;=SV_protPay),0,SV_protPrem)</f>
        <v/>
      </c>
      <c r="AN173" s="29">
        <f>IF(OR(A173=0,A173&gt;=SV_T),0,ROUND(MAX(0,AJ173),2)+ROUND(MAX(0,AL173),2))</f>
        <v/>
      </c>
      <c r="AO173" s="29">
        <f>IF(OR(A173&lt;1,A173&gt;SV_T),0,-(AI173+AK173+AM173)+IF(A173=SV_T,ROUND(MAX(0,AJ173),2)+ROUND(MAX(0,AL173),2),0))</f>
        <v/>
      </c>
      <c r="AP173" s="29">
        <f>IF(A173&gt;SV_T,0,AP172*(1+SV_savRate)+H173+I173+J173+K173+AD173+AO173)</f>
        <v/>
      </c>
      <c r="AQ173" s="29">
        <f>IF(A173&gt;SV_T,0,MAX(0,N173+O173+P173+AC173+AP173+AN173-AE173))</f>
        <v/>
      </c>
      <c r="AR173" s="29">
        <f>IF(A173&gt;SV_T,0,N173+O173+AP173+AN173-MAX(0,AE173-(P173+AC173)))</f>
        <v/>
      </c>
    </row>
    <row r="174">
      <c r="A174" s="61" t="n">
        <v>51</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IF(OR(OR(A174&lt;1,A174&gt;SV_T),A174-1&gt;=SV_salCut),0,SV_sal0*(1+incomeGrowthRate)^(A174-1)*G174)</f>
        <v/>
      </c>
      <c r="I174" s="29">
        <f>IF(OR(A174&lt;1,A174&gt;SV_T),0,(-SV_exp0*F174-IF(A174&lt;=SV_loanYears,SV_inst,0)-IF(AND(SV_wdAmt&gt;0,A174=SV_wdYear),SV_wdAmt,0))*IF(AND(SV_expOn,A174&gt;=SV_expS,A174&lt;=SV_expE),1+SV_expImp,1))</f>
        <v/>
      </c>
      <c r="J174" s="29">
        <f>IF(OR(OR(A174&lt;1,A174&gt;SV_T),A174&gt;SV_loanYears),0,-SV_lifePremYr)</f>
        <v/>
      </c>
      <c r="K174" s="29">
        <f>IF(OR(A174&lt;1,A174&gt;SV_T),0,-SV_contrib)</f>
        <v/>
      </c>
      <c r="L174" s="60">
        <f>IF(AND(SV_crashOn,A174=SV_crashYr),SV_crashF,1)</f>
        <v/>
      </c>
      <c r="M174" s="60">
        <f>IF(AND(SV_ccyOn,A174=SV_ccyYr),SV_ccyF,1)</f>
        <v/>
      </c>
      <c r="N174" s="29">
        <f>IF(A174&gt;SV_T,0,N173*(1+interestRate)*L174*M174)</f>
        <v/>
      </c>
      <c r="O174" s="29">
        <f>IF(A174&gt;SV_T,0,(O173+SV_contrib)*(1+investmentReturn)*L174*M174)</f>
        <v/>
      </c>
      <c r="P174" s="29">
        <f>IF(A174&gt;SV_T,0,P173*(1+SV_propRate)*L174)</f>
        <v/>
      </c>
      <c r="Q174" s="46">
        <f>MATCH(SV_age+A174-1,SV_cpfLower,1)</f>
        <v/>
      </c>
      <c r="R174" s="29">
        <f>IF(OR(OR(A174&lt;1,A174&gt;SV_T),NOT(SV_cpfOn)),0,MIN(SV_sal0*(1+incomeGrowthRate)^(A174-1)*G174,SV_owCap))</f>
        <v/>
      </c>
      <c r="S174" s="29">
        <f>IF(A174&gt;SV_T,0,S173*(1+SV_oaRate)+IF(A174&gt;=SV_effStop,0,INDEX(SV_cpfOA,Q174)*INDEX(SV_cpfTot,Q174)*R174))</f>
        <v/>
      </c>
      <c r="T174" s="29">
        <f>IF(A174&gt;SV_T,0,T173*(1+SV_saRate)+IF(A174&gt;=SV_effStop,0,INDEX(SV_cpfSA,Q174)*INDEX(SV_cpfTot,Q174)*R174))</f>
        <v/>
      </c>
      <c r="U174" s="29">
        <f>IF(A174&gt;SV_T,0,U173*(1+SV_saRate)+IF(A174&gt;=SV_effStop,0,INDEX(SV_cpfMA,Q174)*INDEX(SV_cpfTot,Q174)*R174))</f>
        <v/>
      </c>
      <c r="V174" s="29">
        <f>IF(OR(OR(A174&lt;1,A174&gt;SV_T),A174&gt;=SV_effNeg),0,-(INDEX(SV_cpfOA,Q174)+INDEX(SV_cpfSA,Q174)+INDEX(SV_cpfMA,Q174))*INDEX(SV_cpfEmp,Q174)*R174)</f>
        <v/>
      </c>
      <c r="W174" s="29">
        <f>IF(A174&gt;=SV_sIdx,0,S174)</f>
        <v/>
      </c>
      <c r="X174" s="29">
        <f>IF(A174&gt;=SV_sIdx,0,T174)</f>
        <v/>
      </c>
      <c r="Y174" s="29">
        <f>IF(A174&gt;=SV_sIdx,MIN(U174,SV_maCap),U174)</f>
        <v/>
      </c>
      <c r="Z174" s="29">
        <f>IF(AND(SV_cpfOn,A174&gt;=SV_pIdx,A174&lt;=SV_T),12*SV_pay,0)</f>
        <v/>
      </c>
      <c r="AA174" s="29">
        <f>IF(A174&gt;SV_T,0,IF(SV_sp&gt;=0,IF(A174&lt;SV_sIdx,0,IF(A174=SV_sIdx,SV_R0,SV_lifeGrowth*AA173)),SV_lifeGrowth*AA173))</f>
        <v/>
      </c>
      <c r="AB174" s="29">
        <f>IF(A174&gt;SV_T,0,IF(AND(SV_sp&gt;=0,A174&lt;SV_sIdx),0,IF(AND(SV_sp&gt;=0,A174=SV_sIdx),SV_L0,SV_lifeGrowth*(AB173-Z174))))</f>
        <v/>
      </c>
      <c r="AC174" s="29">
        <f>W174+X174+AA174+Y174+IF(AA174&lt;0,0,AB174)</f>
        <v/>
      </c>
      <c r="AD174" s="29">
        <f>Z174+V174</f>
        <v/>
      </c>
      <c r="AE174" s="29">
        <f>IF(OR(A174&gt;SV_T,A174&gt;=SV_loanYears),0,MAX(0,AE173*(1+loanRate)-SV_inst))</f>
        <v/>
      </c>
      <c r="AF174" s="29">
        <f>IF(A174&gt;SV_T,0,AF173*(1+SV_savRate)+H174+I174+J174+K174+AD174)</f>
        <v/>
      </c>
      <c r="AG174" s="29">
        <f>IF(A174&gt;SV_T,0,MAX(0,N174+O174+P174+AC174+AF174-AE174))</f>
        <v/>
      </c>
      <c r="AH174" s="29">
        <f>IF(A174&gt;SV_T,0,N174+O174+AF174-MAX(0,AE174-(P174+AC174)))</f>
        <v/>
      </c>
      <c r="AI174" s="29">
        <f>IF(OR(OR(A174&lt;1,A174&gt;SV_T),A174-1&gt;=SV_retPay),0,SV_retMth*12+IF(A174=1,SV_retLump,0))</f>
        <v/>
      </c>
      <c r="AJ174" s="29">
        <f>IF(A174&gt;SV_T,0,(AJ173+AI174)*(1+investmentReturn))</f>
        <v/>
      </c>
      <c r="AK174" s="29">
        <f>IF(OR(OR(A174&lt;1,A174&gt;SV_T),A174-1&gt;=SV_goalPay),0,SV_goalMth*12+IF(A174=1,SV_goalLump,0))</f>
        <v/>
      </c>
      <c r="AL174" s="29">
        <f>IF(A174&gt;SV_T,0,(AL173+AK174)*(1+investmentReturn))</f>
        <v/>
      </c>
      <c r="AM174" s="29">
        <f>IF(OR(OR(A174&lt;1,A174&gt;SV_T),A174-1&gt;=SV_protPay),0,SV_protPrem)</f>
        <v/>
      </c>
      <c r="AN174" s="29">
        <f>IF(OR(A174=0,A174&gt;=SV_T),0,ROUND(MAX(0,AJ174),2)+ROUND(MAX(0,AL174),2))</f>
        <v/>
      </c>
      <c r="AO174" s="29">
        <f>IF(OR(A174&lt;1,A174&gt;SV_T),0,-(AI174+AK174+AM174)+IF(A174=SV_T,ROUND(MAX(0,AJ174),2)+ROUND(MAX(0,AL174),2),0))</f>
        <v/>
      </c>
      <c r="AP174" s="29">
        <f>IF(A174&gt;SV_T,0,AP173*(1+SV_savRate)+H174+I174+J174+K174+AD174+AO174)</f>
        <v/>
      </c>
      <c r="AQ174" s="29">
        <f>IF(A174&gt;SV_T,0,MAX(0,N174+O174+P174+AC174+AP174+AN174-AE174))</f>
        <v/>
      </c>
      <c r="AR174" s="29">
        <f>IF(A174&gt;SV_T,0,N174+O174+AP174+AN174-MAX(0,AE174-(P174+AC174)))</f>
        <v/>
      </c>
    </row>
    <row r="175">
      <c r="A175" s="61" t="n">
        <v>52</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IF(OR(OR(A175&lt;1,A175&gt;SV_T),A175-1&gt;=SV_salCut),0,SV_sal0*(1+incomeGrowthRate)^(A175-1)*G175)</f>
        <v/>
      </c>
      <c r="I175" s="29">
        <f>IF(OR(A175&lt;1,A175&gt;SV_T),0,(-SV_exp0*F175-IF(A175&lt;=SV_loanYears,SV_inst,0)-IF(AND(SV_wdAmt&gt;0,A175=SV_wdYear),SV_wdAmt,0))*IF(AND(SV_expOn,A175&gt;=SV_expS,A175&lt;=SV_expE),1+SV_expImp,1))</f>
        <v/>
      </c>
      <c r="J175" s="29">
        <f>IF(OR(OR(A175&lt;1,A175&gt;SV_T),A175&gt;SV_loanYears),0,-SV_lifePremYr)</f>
        <v/>
      </c>
      <c r="K175" s="29">
        <f>IF(OR(A175&lt;1,A175&gt;SV_T),0,-SV_contrib)</f>
        <v/>
      </c>
      <c r="L175" s="60">
        <f>IF(AND(SV_crashOn,A175=SV_crashYr),SV_crashF,1)</f>
        <v/>
      </c>
      <c r="M175" s="60">
        <f>IF(AND(SV_ccyOn,A175=SV_ccyYr),SV_ccyF,1)</f>
        <v/>
      </c>
      <c r="N175" s="29">
        <f>IF(A175&gt;SV_T,0,N174*(1+interestRate)*L175*M175)</f>
        <v/>
      </c>
      <c r="O175" s="29">
        <f>IF(A175&gt;SV_T,0,(O174+SV_contrib)*(1+investmentReturn)*L175*M175)</f>
        <v/>
      </c>
      <c r="P175" s="29">
        <f>IF(A175&gt;SV_T,0,P174*(1+SV_propRate)*L175)</f>
        <v/>
      </c>
      <c r="Q175" s="46">
        <f>MATCH(SV_age+A175-1,SV_cpfLower,1)</f>
        <v/>
      </c>
      <c r="R175" s="29">
        <f>IF(OR(OR(A175&lt;1,A175&gt;SV_T),NOT(SV_cpfOn)),0,MIN(SV_sal0*(1+incomeGrowthRate)^(A175-1)*G175,SV_owCap))</f>
        <v/>
      </c>
      <c r="S175" s="29">
        <f>IF(A175&gt;SV_T,0,S174*(1+SV_oaRate)+IF(A175&gt;=SV_effStop,0,INDEX(SV_cpfOA,Q175)*INDEX(SV_cpfTot,Q175)*R175))</f>
        <v/>
      </c>
      <c r="T175" s="29">
        <f>IF(A175&gt;SV_T,0,T174*(1+SV_saRate)+IF(A175&gt;=SV_effStop,0,INDEX(SV_cpfSA,Q175)*INDEX(SV_cpfTot,Q175)*R175))</f>
        <v/>
      </c>
      <c r="U175" s="29">
        <f>IF(A175&gt;SV_T,0,U174*(1+SV_saRate)+IF(A175&gt;=SV_effStop,0,INDEX(SV_cpfMA,Q175)*INDEX(SV_cpfTot,Q175)*R175))</f>
        <v/>
      </c>
      <c r="V175" s="29">
        <f>IF(OR(OR(A175&lt;1,A175&gt;SV_T),A175&gt;=SV_effNeg),0,-(INDEX(SV_cpfOA,Q175)+INDEX(SV_cpfSA,Q175)+INDEX(SV_cpfMA,Q175))*INDEX(SV_cpfEmp,Q175)*R175)</f>
        <v/>
      </c>
      <c r="W175" s="29">
        <f>IF(A175&gt;=SV_sIdx,0,S175)</f>
        <v/>
      </c>
      <c r="X175" s="29">
        <f>IF(A175&gt;=SV_sIdx,0,T175)</f>
        <v/>
      </c>
      <c r="Y175" s="29">
        <f>IF(A175&gt;=SV_sIdx,MIN(U175,SV_maCap),U175)</f>
        <v/>
      </c>
      <c r="Z175" s="29">
        <f>IF(AND(SV_cpfOn,A175&gt;=SV_pIdx,A175&lt;=SV_T),12*SV_pay,0)</f>
        <v/>
      </c>
      <c r="AA175" s="29">
        <f>IF(A175&gt;SV_T,0,IF(SV_sp&gt;=0,IF(A175&lt;SV_sIdx,0,IF(A175=SV_sIdx,SV_R0,SV_lifeGrowth*AA174)),SV_lifeGrowth*AA174))</f>
        <v/>
      </c>
      <c r="AB175" s="29">
        <f>IF(A175&gt;SV_T,0,IF(AND(SV_sp&gt;=0,A175&lt;SV_sIdx),0,IF(AND(SV_sp&gt;=0,A175=SV_sIdx),SV_L0,SV_lifeGrowth*(AB174-Z175))))</f>
        <v/>
      </c>
      <c r="AC175" s="29">
        <f>W175+X175+AA175+Y175+IF(AA175&lt;0,0,AB175)</f>
        <v/>
      </c>
      <c r="AD175" s="29">
        <f>Z175+V175</f>
        <v/>
      </c>
      <c r="AE175" s="29">
        <f>IF(OR(A175&gt;SV_T,A175&gt;=SV_loanYears),0,MAX(0,AE174*(1+loanRate)-SV_inst))</f>
        <v/>
      </c>
      <c r="AF175" s="29">
        <f>IF(A175&gt;SV_T,0,AF174*(1+SV_savRate)+H175+I175+J175+K175+AD175)</f>
        <v/>
      </c>
      <c r="AG175" s="29">
        <f>IF(A175&gt;SV_T,0,MAX(0,N175+O175+P175+AC175+AF175-AE175))</f>
        <v/>
      </c>
      <c r="AH175" s="29">
        <f>IF(A175&gt;SV_T,0,N175+O175+AF175-MAX(0,AE175-(P175+AC175)))</f>
        <v/>
      </c>
      <c r="AI175" s="29">
        <f>IF(OR(OR(A175&lt;1,A175&gt;SV_T),A175-1&gt;=SV_retPay),0,SV_retMth*12+IF(A175=1,SV_retLump,0))</f>
        <v/>
      </c>
      <c r="AJ175" s="29">
        <f>IF(A175&gt;SV_T,0,(AJ174+AI175)*(1+investmentReturn))</f>
        <v/>
      </c>
      <c r="AK175" s="29">
        <f>IF(OR(OR(A175&lt;1,A175&gt;SV_T),A175-1&gt;=SV_goalPay),0,SV_goalMth*12+IF(A175=1,SV_goalLump,0))</f>
        <v/>
      </c>
      <c r="AL175" s="29">
        <f>IF(A175&gt;SV_T,0,(AL174+AK175)*(1+investmentReturn))</f>
        <v/>
      </c>
      <c r="AM175" s="29">
        <f>IF(OR(OR(A175&lt;1,A175&gt;SV_T),A175-1&gt;=SV_protPay),0,SV_protPrem)</f>
        <v/>
      </c>
      <c r="AN175" s="29">
        <f>IF(OR(A175=0,A175&gt;=SV_T),0,ROUND(MAX(0,AJ175),2)+ROUND(MAX(0,AL175),2))</f>
        <v/>
      </c>
      <c r="AO175" s="29">
        <f>IF(OR(A175&lt;1,A175&gt;SV_T),0,-(AI175+AK175+AM175)+IF(A175=SV_T,ROUND(MAX(0,AJ175),2)+ROUND(MAX(0,AL175),2),0))</f>
        <v/>
      </c>
      <c r="AP175" s="29">
        <f>IF(A175&gt;SV_T,0,AP174*(1+SV_savRate)+H175+I175+J175+K175+AD175+AO175)</f>
        <v/>
      </c>
      <c r="AQ175" s="29">
        <f>IF(A175&gt;SV_T,0,MAX(0,N175+O175+P175+AC175+AP175+AN175-AE175))</f>
        <v/>
      </c>
      <c r="AR175" s="29">
        <f>IF(A175&gt;SV_T,0,N175+O175+AP175+AN175-MAX(0,AE175-(P175+AC175)))</f>
        <v/>
      </c>
    </row>
    <row r="176">
      <c r="A176" s="61" t="n">
        <v>53</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IF(OR(OR(A176&lt;1,A176&gt;SV_T),A176-1&gt;=SV_salCut),0,SV_sal0*(1+incomeGrowthRate)^(A176-1)*G176)</f>
        <v/>
      </c>
      <c r="I176" s="29">
        <f>IF(OR(A176&lt;1,A176&gt;SV_T),0,(-SV_exp0*F176-IF(A176&lt;=SV_loanYears,SV_inst,0)-IF(AND(SV_wdAmt&gt;0,A176=SV_wdYear),SV_wdAmt,0))*IF(AND(SV_expOn,A176&gt;=SV_expS,A176&lt;=SV_expE),1+SV_expImp,1))</f>
        <v/>
      </c>
      <c r="J176" s="29">
        <f>IF(OR(OR(A176&lt;1,A176&gt;SV_T),A176&gt;SV_loanYears),0,-SV_lifePremYr)</f>
        <v/>
      </c>
      <c r="K176" s="29">
        <f>IF(OR(A176&lt;1,A176&gt;SV_T),0,-SV_contrib)</f>
        <v/>
      </c>
      <c r="L176" s="60">
        <f>IF(AND(SV_crashOn,A176=SV_crashYr),SV_crashF,1)</f>
        <v/>
      </c>
      <c r="M176" s="60">
        <f>IF(AND(SV_ccyOn,A176=SV_ccyYr),SV_ccyF,1)</f>
        <v/>
      </c>
      <c r="N176" s="29">
        <f>IF(A176&gt;SV_T,0,N175*(1+interestRate)*L176*M176)</f>
        <v/>
      </c>
      <c r="O176" s="29">
        <f>IF(A176&gt;SV_T,0,(O175+SV_contrib)*(1+investmentReturn)*L176*M176)</f>
        <v/>
      </c>
      <c r="P176" s="29">
        <f>IF(A176&gt;SV_T,0,P175*(1+SV_propRate)*L176)</f>
        <v/>
      </c>
      <c r="Q176" s="46">
        <f>MATCH(SV_age+A176-1,SV_cpfLower,1)</f>
        <v/>
      </c>
      <c r="R176" s="29">
        <f>IF(OR(OR(A176&lt;1,A176&gt;SV_T),NOT(SV_cpfOn)),0,MIN(SV_sal0*(1+incomeGrowthRate)^(A176-1)*G176,SV_owCap))</f>
        <v/>
      </c>
      <c r="S176" s="29">
        <f>IF(A176&gt;SV_T,0,S175*(1+SV_oaRate)+IF(A176&gt;=SV_effStop,0,INDEX(SV_cpfOA,Q176)*INDEX(SV_cpfTot,Q176)*R176))</f>
        <v/>
      </c>
      <c r="T176" s="29">
        <f>IF(A176&gt;SV_T,0,T175*(1+SV_saRate)+IF(A176&gt;=SV_effStop,0,INDEX(SV_cpfSA,Q176)*INDEX(SV_cpfTot,Q176)*R176))</f>
        <v/>
      </c>
      <c r="U176" s="29">
        <f>IF(A176&gt;SV_T,0,U175*(1+SV_saRate)+IF(A176&gt;=SV_effStop,0,INDEX(SV_cpfMA,Q176)*INDEX(SV_cpfTot,Q176)*R176))</f>
        <v/>
      </c>
      <c r="V176" s="29">
        <f>IF(OR(OR(A176&lt;1,A176&gt;SV_T),A176&gt;=SV_effNeg),0,-(INDEX(SV_cpfOA,Q176)+INDEX(SV_cpfSA,Q176)+INDEX(SV_cpfMA,Q176))*INDEX(SV_cpfEmp,Q176)*R176)</f>
        <v/>
      </c>
      <c r="W176" s="29">
        <f>IF(A176&gt;=SV_sIdx,0,S176)</f>
        <v/>
      </c>
      <c r="X176" s="29">
        <f>IF(A176&gt;=SV_sIdx,0,T176)</f>
        <v/>
      </c>
      <c r="Y176" s="29">
        <f>IF(A176&gt;=SV_sIdx,MIN(U176,SV_maCap),U176)</f>
        <v/>
      </c>
      <c r="Z176" s="29">
        <f>IF(AND(SV_cpfOn,A176&gt;=SV_pIdx,A176&lt;=SV_T),12*SV_pay,0)</f>
        <v/>
      </c>
      <c r="AA176" s="29">
        <f>IF(A176&gt;SV_T,0,IF(SV_sp&gt;=0,IF(A176&lt;SV_sIdx,0,IF(A176=SV_sIdx,SV_R0,SV_lifeGrowth*AA175)),SV_lifeGrowth*AA175))</f>
        <v/>
      </c>
      <c r="AB176" s="29">
        <f>IF(A176&gt;SV_T,0,IF(AND(SV_sp&gt;=0,A176&lt;SV_sIdx),0,IF(AND(SV_sp&gt;=0,A176=SV_sIdx),SV_L0,SV_lifeGrowth*(AB175-Z176))))</f>
        <v/>
      </c>
      <c r="AC176" s="29">
        <f>W176+X176+AA176+Y176+IF(AA176&lt;0,0,AB176)</f>
        <v/>
      </c>
      <c r="AD176" s="29">
        <f>Z176+V176</f>
        <v/>
      </c>
      <c r="AE176" s="29">
        <f>IF(OR(A176&gt;SV_T,A176&gt;=SV_loanYears),0,MAX(0,AE175*(1+loanRate)-SV_inst))</f>
        <v/>
      </c>
      <c r="AF176" s="29">
        <f>IF(A176&gt;SV_T,0,AF175*(1+SV_savRate)+H176+I176+J176+K176+AD176)</f>
        <v/>
      </c>
      <c r="AG176" s="29">
        <f>IF(A176&gt;SV_T,0,MAX(0,N176+O176+P176+AC176+AF176-AE176))</f>
        <v/>
      </c>
      <c r="AH176" s="29">
        <f>IF(A176&gt;SV_T,0,N176+O176+AF176-MAX(0,AE176-(P176+AC176)))</f>
        <v/>
      </c>
      <c r="AI176" s="29">
        <f>IF(OR(OR(A176&lt;1,A176&gt;SV_T),A176-1&gt;=SV_retPay),0,SV_retMth*12+IF(A176=1,SV_retLump,0))</f>
        <v/>
      </c>
      <c r="AJ176" s="29">
        <f>IF(A176&gt;SV_T,0,(AJ175+AI176)*(1+investmentReturn))</f>
        <v/>
      </c>
      <c r="AK176" s="29">
        <f>IF(OR(OR(A176&lt;1,A176&gt;SV_T),A176-1&gt;=SV_goalPay),0,SV_goalMth*12+IF(A176=1,SV_goalLump,0))</f>
        <v/>
      </c>
      <c r="AL176" s="29">
        <f>IF(A176&gt;SV_T,0,(AL175+AK176)*(1+investmentReturn))</f>
        <v/>
      </c>
      <c r="AM176" s="29">
        <f>IF(OR(OR(A176&lt;1,A176&gt;SV_T),A176-1&gt;=SV_protPay),0,SV_protPrem)</f>
        <v/>
      </c>
      <c r="AN176" s="29">
        <f>IF(OR(A176=0,A176&gt;=SV_T),0,ROUND(MAX(0,AJ176),2)+ROUND(MAX(0,AL176),2))</f>
        <v/>
      </c>
      <c r="AO176" s="29">
        <f>IF(OR(A176&lt;1,A176&gt;SV_T),0,-(AI176+AK176+AM176)+IF(A176=SV_T,ROUND(MAX(0,AJ176),2)+ROUND(MAX(0,AL176),2),0))</f>
        <v/>
      </c>
      <c r="AP176" s="29">
        <f>IF(A176&gt;SV_T,0,AP175*(1+SV_savRate)+H176+I176+J176+K176+AD176+AO176)</f>
        <v/>
      </c>
      <c r="AQ176" s="29">
        <f>IF(A176&gt;SV_T,0,MAX(0,N176+O176+P176+AC176+AP176+AN176-AE176))</f>
        <v/>
      </c>
      <c r="AR176" s="29">
        <f>IF(A176&gt;SV_T,0,N176+O176+AP176+AN176-MAX(0,AE176-(P176+AC176)))</f>
        <v/>
      </c>
    </row>
    <row r="177">
      <c r="A177" s="61" t="n">
        <v>54</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IF(OR(OR(A177&lt;1,A177&gt;SV_T),A177-1&gt;=SV_salCut),0,SV_sal0*(1+incomeGrowthRate)^(A177-1)*G177)</f>
        <v/>
      </c>
      <c r="I177" s="29">
        <f>IF(OR(A177&lt;1,A177&gt;SV_T),0,(-SV_exp0*F177-IF(A177&lt;=SV_loanYears,SV_inst,0)-IF(AND(SV_wdAmt&gt;0,A177=SV_wdYear),SV_wdAmt,0))*IF(AND(SV_expOn,A177&gt;=SV_expS,A177&lt;=SV_expE),1+SV_expImp,1))</f>
        <v/>
      </c>
      <c r="J177" s="29">
        <f>IF(OR(OR(A177&lt;1,A177&gt;SV_T),A177&gt;SV_loanYears),0,-SV_lifePremYr)</f>
        <v/>
      </c>
      <c r="K177" s="29">
        <f>IF(OR(A177&lt;1,A177&gt;SV_T),0,-SV_contrib)</f>
        <v/>
      </c>
      <c r="L177" s="60">
        <f>IF(AND(SV_crashOn,A177=SV_crashYr),SV_crashF,1)</f>
        <v/>
      </c>
      <c r="M177" s="60">
        <f>IF(AND(SV_ccyOn,A177=SV_ccyYr),SV_ccyF,1)</f>
        <v/>
      </c>
      <c r="N177" s="29">
        <f>IF(A177&gt;SV_T,0,N176*(1+interestRate)*L177*M177)</f>
        <v/>
      </c>
      <c r="O177" s="29">
        <f>IF(A177&gt;SV_T,0,(O176+SV_contrib)*(1+investmentReturn)*L177*M177)</f>
        <v/>
      </c>
      <c r="P177" s="29">
        <f>IF(A177&gt;SV_T,0,P176*(1+SV_propRate)*L177)</f>
        <v/>
      </c>
      <c r="Q177" s="46">
        <f>MATCH(SV_age+A177-1,SV_cpfLower,1)</f>
        <v/>
      </c>
      <c r="R177" s="29">
        <f>IF(OR(OR(A177&lt;1,A177&gt;SV_T),NOT(SV_cpfOn)),0,MIN(SV_sal0*(1+incomeGrowthRate)^(A177-1)*G177,SV_owCap))</f>
        <v/>
      </c>
      <c r="S177" s="29">
        <f>IF(A177&gt;SV_T,0,S176*(1+SV_oaRate)+IF(A177&gt;=SV_effStop,0,INDEX(SV_cpfOA,Q177)*INDEX(SV_cpfTot,Q177)*R177))</f>
        <v/>
      </c>
      <c r="T177" s="29">
        <f>IF(A177&gt;SV_T,0,T176*(1+SV_saRate)+IF(A177&gt;=SV_effStop,0,INDEX(SV_cpfSA,Q177)*INDEX(SV_cpfTot,Q177)*R177))</f>
        <v/>
      </c>
      <c r="U177" s="29">
        <f>IF(A177&gt;SV_T,0,U176*(1+SV_saRate)+IF(A177&gt;=SV_effStop,0,INDEX(SV_cpfMA,Q177)*INDEX(SV_cpfTot,Q177)*R177))</f>
        <v/>
      </c>
      <c r="V177" s="29">
        <f>IF(OR(OR(A177&lt;1,A177&gt;SV_T),A177&gt;=SV_effNeg),0,-(INDEX(SV_cpfOA,Q177)+INDEX(SV_cpfSA,Q177)+INDEX(SV_cpfMA,Q177))*INDEX(SV_cpfEmp,Q177)*R177)</f>
        <v/>
      </c>
      <c r="W177" s="29">
        <f>IF(A177&gt;=SV_sIdx,0,S177)</f>
        <v/>
      </c>
      <c r="X177" s="29">
        <f>IF(A177&gt;=SV_sIdx,0,T177)</f>
        <v/>
      </c>
      <c r="Y177" s="29">
        <f>IF(A177&gt;=SV_sIdx,MIN(U177,SV_maCap),U177)</f>
        <v/>
      </c>
      <c r="Z177" s="29">
        <f>IF(AND(SV_cpfOn,A177&gt;=SV_pIdx,A177&lt;=SV_T),12*SV_pay,0)</f>
        <v/>
      </c>
      <c r="AA177" s="29">
        <f>IF(A177&gt;SV_T,0,IF(SV_sp&gt;=0,IF(A177&lt;SV_sIdx,0,IF(A177=SV_sIdx,SV_R0,SV_lifeGrowth*AA176)),SV_lifeGrowth*AA176))</f>
        <v/>
      </c>
      <c r="AB177" s="29">
        <f>IF(A177&gt;SV_T,0,IF(AND(SV_sp&gt;=0,A177&lt;SV_sIdx),0,IF(AND(SV_sp&gt;=0,A177=SV_sIdx),SV_L0,SV_lifeGrowth*(AB176-Z177))))</f>
        <v/>
      </c>
      <c r="AC177" s="29">
        <f>W177+X177+AA177+Y177+IF(AA177&lt;0,0,AB177)</f>
        <v/>
      </c>
      <c r="AD177" s="29">
        <f>Z177+V177</f>
        <v/>
      </c>
      <c r="AE177" s="29">
        <f>IF(OR(A177&gt;SV_T,A177&gt;=SV_loanYears),0,MAX(0,AE176*(1+loanRate)-SV_inst))</f>
        <v/>
      </c>
      <c r="AF177" s="29">
        <f>IF(A177&gt;SV_T,0,AF176*(1+SV_savRate)+H177+I177+J177+K177+AD177)</f>
        <v/>
      </c>
      <c r="AG177" s="29">
        <f>IF(A177&gt;SV_T,0,MAX(0,N177+O177+P177+AC177+AF177-AE177))</f>
        <v/>
      </c>
      <c r="AH177" s="29">
        <f>IF(A177&gt;SV_T,0,N177+O177+AF177-MAX(0,AE177-(P177+AC177)))</f>
        <v/>
      </c>
      <c r="AI177" s="29">
        <f>IF(OR(OR(A177&lt;1,A177&gt;SV_T),A177-1&gt;=SV_retPay),0,SV_retMth*12+IF(A177=1,SV_retLump,0))</f>
        <v/>
      </c>
      <c r="AJ177" s="29">
        <f>IF(A177&gt;SV_T,0,(AJ176+AI177)*(1+investmentReturn))</f>
        <v/>
      </c>
      <c r="AK177" s="29">
        <f>IF(OR(OR(A177&lt;1,A177&gt;SV_T),A177-1&gt;=SV_goalPay),0,SV_goalMth*12+IF(A177=1,SV_goalLump,0))</f>
        <v/>
      </c>
      <c r="AL177" s="29">
        <f>IF(A177&gt;SV_T,0,(AL176+AK177)*(1+investmentReturn))</f>
        <v/>
      </c>
      <c r="AM177" s="29">
        <f>IF(OR(OR(A177&lt;1,A177&gt;SV_T),A177-1&gt;=SV_protPay),0,SV_protPrem)</f>
        <v/>
      </c>
      <c r="AN177" s="29">
        <f>IF(OR(A177=0,A177&gt;=SV_T),0,ROUND(MAX(0,AJ177),2)+ROUND(MAX(0,AL177),2))</f>
        <v/>
      </c>
      <c r="AO177" s="29">
        <f>IF(OR(A177&lt;1,A177&gt;SV_T),0,-(AI177+AK177+AM177)+IF(A177=SV_T,ROUND(MAX(0,AJ177),2)+ROUND(MAX(0,AL177),2),0))</f>
        <v/>
      </c>
      <c r="AP177" s="29">
        <f>IF(A177&gt;SV_T,0,AP176*(1+SV_savRate)+H177+I177+J177+K177+AD177+AO177)</f>
        <v/>
      </c>
      <c r="AQ177" s="29">
        <f>IF(A177&gt;SV_T,0,MAX(0,N177+O177+P177+AC177+AP177+AN177-AE177))</f>
        <v/>
      </c>
      <c r="AR177" s="29">
        <f>IF(A177&gt;SV_T,0,N177+O177+AP177+AN177-MAX(0,AE177-(P177+AC177)))</f>
        <v/>
      </c>
    </row>
    <row r="178">
      <c r="A178" s="61" t="n">
        <v>55</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IF(OR(OR(A178&lt;1,A178&gt;SV_T),A178-1&gt;=SV_salCut),0,SV_sal0*(1+incomeGrowthRate)^(A178-1)*G178)</f>
        <v/>
      </c>
      <c r="I178" s="29">
        <f>IF(OR(A178&lt;1,A178&gt;SV_T),0,(-SV_exp0*F178-IF(A178&lt;=SV_loanYears,SV_inst,0)-IF(AND(SV_wdAmt&gt;0,A178=SV_wdYear),SV_wdAmt,0))*IF(AND(SV_expOn,A178&gt;=SV_expS,A178&lt;=SV_expE),1+SV_expImp,1))</f>
        <v/>
      </c>
      <c r="J178" s="29">
        <f>IF(OR(OR(A178&lt;1,A178&gt;SV_T),A178&gt;SV_loanYears),0,-SV_lifePremYr)</f>
        <v/>
      </c>
      <c r="K178" s="29">
        <f>IF(OR(A178&lt;1,A178&gt;SV_T),0,-SV_contrib)</f>
        <v/>
      </c>
      <c r="L178" s="60">
        <f>IF(AND(SV_crashOn,A178=SV_crashYr),SV_crashF,1)</f>
        <v/>
      </c>
      <c r="M178" s="60">
        <f>IF(AND(SV_ccyOn,A178=SV_ccyYr),SV_ccyF,1)</f>
        <v/>
      </c>
      <c r="N178" s="29">
        <f>IF(A178&gt;SV_T,0,N177*(1+interestRate)*L178*M178)</f>
        <v/>
      </c>
      <c r="O178" s="29">
        <f>IF(A178&gt;SV_T,0,(O177+SV_contrib)*(1+investmentReturn)*L178*M178)</f>
        <v/>
      </c>
      <c r="P178" s="29">
        <f>IF(A178&gt;SV_T,0,P177*(1+SV_propRate)*L178)</f>
        <v/>
      </c>
      <c r="Q178" s="46">
        <f>MATCH(SV_age+A178-1,SV_cpfLower,1)</f>
        <v/>
      </c>
      <c r="R178" s="29">
        <f>IF(OR(OR(A178&lt;1,A178&gt;SV_T),NOT(SV_cpfOn)),0,MIN(SV_sal0*(1+incomeGrowthRate)^(A178-1)*G178,SV_owCap))</f>
        <v/>
      </c>
      <c r="S178" s="29">
        <f>IF(A178&gt;SV_T,0,S177*(1+SV_oaRate)+IF(A178&gt;=SV_effStop,0,INDEX(SV_cpfOA,Q178)*INDEX(SV_cpfTot,Q178)*R178))</f>
        <v/>
      </c>
      <c r="T178" s="29">
        <f>IF(A178&gt;SV_T,0,T177*(1+SV_saRate)+IF(A178&gt;=SV_effStop,0,INDEX(SV_cpfSA,Q178)*INDEX(SV_cpfTot,Q178)*R178))</f>
        <v/>
      </c>
      <c r="U178" s="29">
        <f>IF(A178&gt;SV_T,0,U177*(1+SV_saRate)+IF(A178&gt;=SV_effStop,0,INDEX(SV_cpfMA,Q178)*INDEX(SV_cpfTot,Q178)*R178))</f>
        <v/>
      </c>
      <c r="V178" s="29">
        <f>IF(OR(OR(A178&lt;1,A178&gt;SV_T),A178&gt;=SV_effNeg),0,-(INDEX(SV_cpfOA,Q178)+INDEX(SV_cpfSA,Q178)+INDEX(SV_cpfMA,Q178))*INDEX(SV_cpfEmp,Q178)*R178)</f>
        <v/>
      </c>
      <c r="W178" s="29">
        <f>IF(A178&gt;=SV_sIdx,0,S178)</f>
        <v/>
      </c>
      <c r="X178" s="29">
        <f>IF(A178&gt;=SV_sIdx,0,T178)</f>
        <v/>
      </c>
      <c r="Y178" s="29">
        <f>IF(A178&gt;=SV_sIdx,MIN(U178,SV_maCap),U178)</f>
        <v/>
      </c>
      <c r="Z178" s="29">
        <f>IF(AND(SV_cpfOn,A178&gt;=SV_pIdx,A178&lt;=SV_T),12*SV_pay,0)</f>
        <v/>
      </c>
      <c r="AA178" s="29">
        <f>IF(A178&gt;SV_T,0,IF(SV_sp&gt;=0,IF(A178&lt;SV_sIdx,0,IF(A178=SV_sIdx,SV_R0,SV_lifeGrowth*AA177)),SV_lifeGrowth*AA177))</f>
        <v/>
      </c>
      <c r="AB178" s="29">
        <f>IF(A178&gt;SV_T,0,IF(AND(SV_sp&gt;=0,A178&lt;SV_sIdx),0,IF(AND(SV_sp&gt;=0,A178=SV_sIdx),SV_L0,SV_lifeGrowth*(AB177-Z178))))</f>
        <v/>
      </c>
      <c r="AC178" s="29">
        <f>W178+X178+AA178+Y178+IF(AA178&lt;0,0,AB178)</f>
        <v/>
      </c>
      <c r="AD178" s="29">
        <f>Z178+V178</f>
        <v/>
      </c>
      <c r="AE178" s="29">
        <f>IF(OR(A178&gt;SV_T,A178&gt;=SV_loanYears),0,MAX(0,AE177*(1+loanRate)-SV_inst))</f>
        <v/>
      </c>
      <c r="AF178" s="29">
        <f>IF(A178&gt;SV_T,0,AF177*(1+SV_savRate)+H178+I178+J178+K178+AD178)</f>
        <v/>
      </c>
      <c r="AG178" s="29">
        <f>IF(A178&gt;SV_T,0,MAX(0,N178+O178+P178+AC178+AF178-AE178))</f>
        <v/>
      </c>
      <c r="AH178" s="29">
        <f>IF(A178&gt;SV_T,0,N178+O178+AF178-MAX(0,AE178-(P178+AC178)))</f>
        <v/>
      </c>
      <c r="AI178" s="29">
        <f>IF(OR(OR(A178&lt;1,A178&gt;SV_T),A178-1&gt;=SV_retPay),0,SV_retMth*12+IF(A178=1,SV_retLump,0))</f>
        <v/>
      </c>
      <c r="AJ178" s="29">
        <f>IF(A178&gt;SV_T,0,(AJ177+AI178)*(1+investmentReturn))</f>
        <v/>
      </c>
      <c r="AK178" s="29">
        <f>IF(OR(OR(A178&lt;1,A178&gt;SV_T),A178-1&gt;=SV_goalPay),0,SV_goalMth*12+IF(A178=1,SV_goalLump,0))</f>
        <v/>
      </c>
      <c r="AL178" s="29">
        <f>IF(A178&gt;SV_T,0,(AL177+AK178)*(1+investmentReturn))</f>
        <v/>
      </c>
      <c r="AM178" s="29">
        <f>IF(OR(OR(A178&lt;1,A178&gt;SV_T),A178-1&gt;=SV_protPay),0,SV_protPrem)</f>
        <v/>
      </c>
      <c r="AN178" s="29">
        <f>IF(OR(A178=0,A178&gt;=SV_T),0,ROUND(MAX(0,AJ178),2)+ROUND(MAX(0,AL178),2))</f>
        <v/>
      </c>
      <c r="AO178" s="29">
        <f>IF(OR(A178&lt;1,A178&gt;SV_T),0,-(AI178+AK178+AM178)+IF(A178=SV_T,ROUND(MAX(0,AJ178),2)+ROUND(MAX(0,AL178),2),0))</f>
        <v/>
      </c>
      <c r="AP178" s="29">
        <f>IF(A178&gt;SV_T,0,AP177*(1+SV_savRate)+H178+I178+J178+K178+AD178+AO178)</f>
        <v/>
      </c>
      <c r="AQ178" s="29">
        <f>IF(A178&gt;SV_T,0,MAX(0,N178+O178+P178+AC178+AP178+AN178-AE178))</f>
        <v/>
      </c>
      <c r="AR178" s="29">
        <f>IF(A178&gt;SV_T,0,N178+O178+AP178+AN178-MAX(0,AE178-(P178+AC178)))</f>
        <v/>
      </c>
    </row>
    <row r="179">
      <c r="A179" s="61" t="n">
        <v>56</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IF(OR(OR(A179&lt;1,A179&gt;SV_T),A179-1&gt;=SV_salCut),0,SV_sal0*(1+incomeGrowthRate)^(A179-1)*G179)</f>
        <v/>
      </c>
      <c r="I179" s="29">
        <f>IF(OR(A179&lt;1,A179&gt;SV_T),0,(-SV_exp0*F179-IF(A179&lt;=SV_loanYears,SV_inst,0)-IF(AND(SV_wdAmt&gt;0,A179=SV_wdYear),SV_wdAmt,0))*IF(AND(SV_expOn,A179&gt;=SV_expS,A179&lt;=SV_expE),1+SV_expImp,1))</f>
        <v/>
      </c>
      <c r="J179" s="29">
        <f>IF(OR(OR(A179&lt;1,A179&gt;SV_T),A179&gt;SV_loanYears),0,-SV_lifePremYr)</f>
        <v/>
      </c>
      <c r="K179" s="29">
        <f>IF(OR(A179&lt;1,A179&gt;SV_T),0,-SV_contrib)</f>
        <v/>
      </c>
      <c r="L179" s="60">
        <f>IF(AND(SV_crashOn,A179=SV_crashYr),SV_crashF,1)</f>
        <v/>
      </c>
      <c r="M179" s="60">
        <f>IF(AND(SV_ccyOn,A179=SV_ccyYr),SV_ccyF,1)</f>
        <v/>
      </c>
      <c r="N179" s="29">
        <f>IF(A179&gt;SV_T,0,N178*(1+interestRate)*L179*M179)</f>
        <v/>
      </c>
      <c r="O179" s="29">
        <f>IF(A179&gt;SV_T,0,(O178+SV_contrib)*(1+investmentReturn)*L179*M179)</f>
        <v/>
      </c>
      <c r="P179" s="29">
        <f>IF(A179&gt;SV_T,0,P178*(1+SV_propRate)*L179)</f>
        <v/>
      </c>
      <c r="Q179" s="46">
        <f>MATCH(SV_age+A179-1,SV_cpfLower,1)</f>
        <v/>
      </c>
      <c r="R179" s="29">
        <f>IF(OR(OR(A179&lt;1,A179&gt;SV_T),NOT(SV_cpfOn)),0,MIN(SV_sal0*(1+incomeGrowthRate)^(A179-1)*G179,SV_owCap))</f>
        <v/>
      </c>
      <c r="S179" s="29">
        <f>IF(A179&gt;SV_T,0,S178*(1+SV_oaRate)+IF(A179&gt;=SV_effStop,0,INDEX(SV_cpfOA,Q179)*INDEX(SV_cpfTot,Q179)*R179))</f>
        <v/>
      </c>
      <c r="T179" s="29">
        <f>IF(A179&gt;SV_T,0,T178*(1+SV_saRate)+IF(A179&gt;=SV_effStop,0,INDEX(SV_cpfSA,Q179)*INDEX(SV_cpfTot,Q179)*R179))</f>
        <v/>
      </c>
      <c r="U179" s="29">
        <f>IF(A179&gt;SV_T,0,U178*(1+SV_saRate)+IF(A179&gt;=SV_effStop,0,INDEX(SV_cpfMA,Q179)*INDEX(SV_cpfTot,Q179)*R179))</f>
        <v/>
      </c>
      <c r="V179" s="29">
        <f>IF(OR(OR(A179&lt;1,A179&gt;SV_T),A179&gt;=SV_effNeg),0,-(INDEX(SV_cpfOA,Q179)+INDEX(SV_cpfSA,Q179)+INDEX(SV_cpfMA,Q179))*INDEX(SV_cpfEmp,Q179)*R179)</f>
        <v/>
      </c>
      <c r="W179" s="29">
        <f>IF(A179&gt;=SV_sIdx,0,S179)</f>
        <v/>
      </c>
      <c r="X179" s="29">
        <f>IF(A179&gt;=SV_sIdx,0,T179)</f>
        <v/>
      </c>
      <c r="Y179" s="29">
        <f>IF(A179&gt;=SV_sIdx,MIN(U179,SV_maCap),U179)</f>
        <v/>
      </c>
      <c r="Z179" s="29">
        <f>IF(AND(SV_cpfOn,A179&gt;=SV_pIdx,A179&lt;=SV_T),12*SV_pay,0)</f>
        <v/>
      </c>
      <c r="AA179" s="29">
        <f>IF(A179&gt;SV_T,0,IF(SV_sp&gt;=0,IF(A179&lt;SV_sIdx,0,IF(A179=SV_sIdx,SV_R0,SV_lifeGrowth*AA178)),SV_lifeGrowth*AA178))</f>
        <v/>
      </c>
      <c r="AB179" s="29">
        <f>IF(A179&gt;SV_T,0,IF(AND(SV_sp&gt;=0,A179&lt;SV_sIdx),0,IF(AND(SV_sp&gt;=0,A179=SV_sIdx),SV_L0,SV_lifeGrowth*(AB178-Z179))))</f>
        <v/>
      </c>
      <c r="AC179" s="29">
        <f>W179+X179+AA179+Y179+IF(AA179&lt;0,0,AB179)</f>
        <v/>
      </c>
      <c r="AD179" s="29">
        <f>Z179+V179</f>
        <v/>
      </c>
      <c r="AE179" s="29">
        <f>IF(OR(A179&gt;SV_T,A179&gt;=SV_loanYears),0,MAX(0,AE178*(1+loanRate)-SV_inst))</f>
        <v/>
      </c>
      <c r="AF179" s="29">
        <f>IF(A179&gt;SV_T,0,AF178*(1+SV_savRate)+H179+I179+J179+K179+AD179)</f>
        <v/>
      </c>
      <c r="AG179" s="29">
        <f>IF(A179&gt;SV_T,0,MAX(0,N179+O179+P179+AC179+AF179-AE179))</f>
        <v/>
      </c>
      <c r="AH179" s="29">
        <f>IF(A179&gt;SV_T,0,N179+O179+AF179-MAX(0,AE179-(P179+AC179)))</f>
        <v/>
      </c>
      <c r="AI179" s="29">
        <f>IF(OR(OR(A179&lt;1,A179&gt;SV_T),A179-1&gt;=SV_retPay),0,SV_retMth*12+IF(A179=1,SV_retLump,0))</f>
        <v/>
      </c>
      <c r="AJ179" s="29">
        <f>IF(A179&gt;SV_T,0,(AJ178+AI179)*(1+investmentReturn))</f>
        <v/>
      </c>
      <c r="AK179" s="29">
        <f>IF(OR(OR(A179&lt;1,A179&gt;SV_T),A179-1&gt;=SV_goalPay),0,SV_goalMth*12+IF(A179=1,SV_goalLump,0))</f>
        <v/>
      </c>
      <c r="AL179" s="29">
        <f>IF(A179&gt;SV_T,0,(AL178+AK179)*(1+investmentReturn))</f>
        <v/>
      </c>
      <c r="AM179" s="29">
        <f>IF(OR(OR(A179&lt;1,A179&gt;SV_T),A179-1&gt;=SV_protPay),0,SV_protPrem)</f>
        <v/>
      </c>
      <c r="AN179" s="29">
        <f>IF(OR(A179=0,A179&gt;=SV_T),0,ROUND(MAX(0,AJ179),2)+ROUND(MAX(0,AL179),2))</f>
        <v/>
      </c>
      <c r="AO179" s="29">
        <f>IF(OR(A179&lt;1,A179&gt;SV_T),0,-(AI179+AK179+AM179)+IF(A179=SV_T,ROUND(MAX(0,AJ179),2)+ROUND(MAX(0,AL179),2),0))</f>
        <v/>
      </c>
      <c r="AP179" s="29">
        <f>IF(A179&gt;SV_T,0,AP178*(1+SV_savRate)+H179+I179+J179+K179+AD179+AO179)</f>
        <v/>
      </c>
      <c r="AQ179" s="29">
        <f>IF(A179&gt;SV_T,0,MAX(0,N179+O179+P179+AC179+AP179+AN179-AE179))</f>
        <v/>
      </c>
      <c r="AR179" s="29">
        <f>IF(A179&gt;SV_T,0,N179+O179+AP179+AN179-MAX(0,AE179-(P179+AC179)))</f>
        <v/>
      </c>
    </row>
    <row r="180">
      <c r="A180" s="61" t="n">
        <v>57</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IF(OR(OR(A180&lt;1,A180&gt;SV_T),A180-1&gt;=SV_salCut),0,SV_sal0*(1+incomeGrowthRate)^(A180-1)*G180)</f>
        <v/>
      </c>
      <c r="I180" s="29">
        <f>IF(OR(A180&lt;1,A180&gt;SV_T),0,(-SV_exp0*F180-IF(A180&lt;=SV_loanYears,SV_inst,0)-IF(AND(SV_wdAmt&gt;0,A180=SV_wdYear),SV_wdAmt,0))*IF(AND(SV_expOn,A180&gt;=SV_expS,A180&lt;=SV_expE),1+SV_expImp,1))</f>
        <v/>
      </c>
      <c r="J180" s="29">
        <f>IF(OR(OR(A180&lt;1,A180&gt;SV_T),A180&gt;SV_loanYears),0,-SV_lifePremYr)</f>
        <v/>
      </c>
      <c r="K180" s="29">
        <f>IF(OR(A180&lt;1,A180&gt;SV_T),0,-SV_contrib)</f>
        <v/>
      </c>
      <c r="L180" s="60">
        <f>IF(AND(SV_crashOn,A180=SV_crashYr),SV_crashF,1)</f>
        <v/>
      </c>
      <c r="M180" s="60">
        <f>IF(AND(SV_ccyOn,A180=SV_ccyYr),SV_ccyF,1)</f>
        <v/>
      </c>
      <c r="N180" s="29">
        <f>IF(A180&gt;SV_T,0,N179*(1+interestRate)*L180*M180)</f>
        <v/>
      </c>
      <c r="O180" s="29">
        <f>IF(A180&gt;SV_T,0,(O179+SV_contrib)*(1+investmentReturn)*L180*M180)</f>
        <v/>
      </c>
      <c r="P180" s="29">
        <f>IF(A180&gt;SV_T,0,P179*(1+SV_propRate)*L180)</f>
        <v/>
      </c>
      <c r="Q180" s="46">
        <f>MATCH(SV_age+A180-1,SV_cpfLower,1)</f>
        <v/>
      </c>
      <c r="R180" s="29">
        <f>IF(OR(OR(A180&lt;1,A180&gt;SV_T),NOT(SV_cpfOn)),0,MIN(SV_sal0*(1+incomeGrowthRate)^(A180-1)*G180,SV_owCap))</f>
        <v/>
      </c>
      <c r="S180" s="29">
        <f>IF(A180&gt;SV_T,0,S179*(1+SV_oaRate)+IF(A180&gt;=SV_effStop,0,INDEX(SV_cpfOA,Q180)*INDEX(SV_cpfTot,Q180)*R180))</f>
        <v/>
      </c>
      <c r="T180" s="29">
        <f>IF(A180&gt;SV_T,0,T179*(1+SV_saRate)+IF(A180&gt;=SV_effStop,0,INDEX(SV_cpfSA,Q180)*INDEX(SV_cpfTot,Q180)*R180))</f>
        <v/>
      </c>
      <c r="U180" s="29">
        <f>IF(A180&gt;SV_T,0,U179*(1+SV_saRate)+IF(A180&gt;=SV_effStop,0,INDEX(SV_cpfMA,Q180)*INDEX(SV_cpfTot,Q180)*R180))</f>
        <v/>
      </c>
      <c r="V180" s="29">
        <f>IF(OR(OR(A180&lt;1,A180&gt;SV_T),A180&gt;=SV_effNeg),0,-(INDEX(SV_cpfOA,Q180)+INDEX(SV_cpfSA,Q180)+INDEX(SV_cpfMA,Q180))*INDEX(SV_cpfEmp,Q180)*R180)</f>
        <v/>
      </c>
      <c r="W180" s="29">
        <f>IF(A180&gt;=SV_sIdx,0,S180)</f>
        <v/>
      </c>
      <c r="X180" s="29">
        <f>IF(A180&gt;=SV_sIdx,0,T180)</f>
        <v/>
      </c>
      <c r="Y180" s="29">
        <f>IF(A180&gt;=SV_sIdx,MIN(U180,SV_maCap),U180)</f>
        <v/>
      </c>
      <c r="Z180" s="29">
        <f>IF(AND(SV_cpfOn,A180&gt;=SV_pIdx,A180&lt;=SV_T),12*SV_pay,0)</f>
        <v/>
      </c>
      <c r="AA180" s="29">
        <f>IF(A180&gt;SV_T,0,IF(SV_sp&gt;=0,IF(A180&lt;SV_sIdx,0,IF(A180=SV_sIdx,SV_R0,SV_lifeGrowth*AA179)),SV_lifeGrowth*AA179))</f>
        <v/>
      </c>
      <c r="AB180" s="29">
        <f>IF(A180&gt;SV_T,0,IF(AND(SV_sp&gt;=0,A180&lt;SV_sIdx),0,IF(AND(SV_sp&gt;=0,A180=SV_sIdx),SV_L0,SV_lifeGrowth*(AB179-Z180))))</f>
        <v/>
      </c>
      <c r="AC180" s="29">
        <f>W180+X180+AA180+Y180+IF(AA180&lt;0,0,AB180)</f>
        <v/>
      </c>
      <c r="AD180" s="29">
        <f>Z180+V180</f>
        <v/>
      </c>
      <c r="AE180" s="29">
        <f>IF(OR(A180&gt;SV_T,A180&gt;=SV_loanYears),0,MAX(0,AE179*(1+loanRate)-SV_inst))</f>
        <v/>
      </c>
      <c r="AF180" s="29">
        <f>IF(A180&gt;SV_T,0,AF179*(1+SV_savRate)+H180+I180+J180+K180+AD180)</f>
        <v/>
      </c>
      <c r="AG180" s="29">
        <f>IF(A180&gt;SV_T,0,MAX(0,N180+O180+P180+AC180+AF180-AE180))</f>
        <v/>
      </c>
      <c r="AH180" s="29">
        <f>IF(A180&gt;SV_T,0,N180+O180+AF180-MAX(0,AE180-(P180+AC180)))</f>
        <v/>
      </c>
      <c r="AI180" s="29">
        <f>IF(OR(OR(A180&lt;1,A180&gt;SV_T),A180-1&gt;=SV_retPay),0,SV_retMth*12+IF(A180=1,SV_retLump,0))</f>
        <v/>
      </c>
      <c r="AJ180" s="29">
        <f>IF(A180&gt;SV_T,0,(AJ179+AI180)*(1+investmentReturn))</f>
        <v/>
      </c>
      <c r="AK180" s="29">
        <f>IF(OR(OR(A180&lt;1,A180&gt;SV_T),A180-1&gt;=SV_goalPay),0,SV_goalMth*12+IF(A180=1,SV_goalLump,0))</f>
        <v/>
      </c>
      <c r="AL180" s="29">
        <f>IF(A180&gt;SV_T,0,(AL179+AK180)*(1+investmentReturn))</f>
        <v/>
      </c>
      <c r="AM180" s="29">
        <f>IF(OR(OR(A180&lt;1,A180&gt;SV_T),A180-1&gt;=SV_protPay),0,SV_protPrem)</f>
        <v/>
      </c>
      <c r="AN180" s="29">
        <f>IF(OR(A180=0,A180&gt;=SV_T),0,ROUND(MAX(0,AJ180),2)+ROUND(MAX(0,AL180),2))</f>
        <v/>
      </c>
      <c r="AO180" s="29">
        <f>IF(OR(A180&lt;1,A180&gt;SV_T),0,-(AI180+AK180+AM180)+IF(A180=SV_T,ROUND(MAX(0,AJ180),2)+ROUND(MAX(0,AL180),2),0))</f>
        <v/>
      </c>
      <c r="AP180" s="29">
        <f>IF(A180&gt;SV_T,0,AP179*(1+SV_savRate)+H180+I180+J180+K180+AD180+AO180)</f>
        <v/>
      </c>
      <c r="AQ180" s="29">
        <f>IF(A180&gt;SV_T,0,MAX(0,N180+O180+P180+AC180+AP180+AN180-AE180))</f>
        <v/>
      </c>
      <c r="AR180" s="29">
        <f>IF(A180&gt;SV_T,0,N180+O180+AP180+AN180-MAX(0,AE180-(P180+AC180)))</f>
        <v/>
      </c>
    </row>
    <row r="181">
      <c r="A181" s="61" t="n">
        <v>58</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IF(OR(OR(A181&lt;1,A181&gt;SV_T),A181-1&gt;=SV_salCut),0,SV_sal0*(1+incomeGrowthRate)^(A181-1)*G181)</f>
        <v/>
      </c>
      <c r="I181" s="29">
        <f>IF(OR(A181&lt;1,A181&gt;SV_T),0,(-SV_exp0*F181-IF(A181&lt;=SV_loanYears,SV_inst,0)-IF(AND(SV_wdAmt&gt;0,A181=SV_wdYear),SV_wdAmt,0))*IF(AND(SV_expOn,A181&gt;=SV_expS,A181&lt;=SV_expE),1+SV_expImp,1))</f>
        <v/>
      </c>
      <c r="J181" s="29">
        <f>IF(OR(OR(A181&lt;1,A181&gt;SV_T),A181&gt;SV_loanYears),0,-SV_lifePremYr)</f>
        <v/>
      </c>
      <c r="K181" s="29">
        <f>IF(OR(A181&lt;1,A181&gt;SV_T),0,-SV_contrib)</f>
        <v/>
      </c>
      <c r="L181" s="60">
        <f>IF(AND(SV_crashOn,A181=SV_crashYr),SV_crashF,1)</f>
        <v/>
      </c>
      <c r="M181" s="60">
        <f>IF(AND(SV_ccyOn,A181=SV_ccyYr),SV_ccyF,1)</f>
        <v/>
      </c>
      <c r="N181" s="29">
        <f>IF(A181&gt;SV_T,0,N180*(1+interestRate)*L181*M181)</f>
        <v/>
      </c>
      <c r="O181" s="29">
        <f>IF(A181&gt;SV_T,0,(O180+SV_contrib)*(1+investmentReturn)*L181*M181)</f>
        <v/>
      </c>
      <c r="P181" s="29">
        <f>IF(A181&gt;SV_T,0,P180*(1+SV_propRate)*L181)</f>
        <v/>
      </c>
      <c r="Q181" s="46">
        <f>MATCH(SV_age+A181-1,SV_cpfLower,1)</f>
        <v/>
      </c>
      <c r="R181" s="29">
        <f>IF(OR(OR(A181&lt;1,A181&gt;SV_T),NOT(SV_cpfOn)),0,MIN(SV_sal0*(1+incomeGrowthRate)^(A181-1)*G181,SV_owCap))</f>
        <v/>
      </c>
      <c r="S181" s="29">
        <f>IF(A181&gt;SV_T,0,S180*(1+SV_oaRate)+IF(A181&gt;=SV_effStop,0,INDEX(SV_cpfOA,Q181)*INDEX(SV_cpfTot,Q181)*R181))</f>
        <v/>
      </c>
      <c r="T181" s="29">
        <f>IF(A181&gt;SV_T,0,T180*(1+SV_saRate)+IF(A181&gt;=SV_effStop,0,INDEX(SV_cpfSA,Q181)*INDEX(SV_cpfTot,Q181)*R181))</f>
        <v/>
      </c>
      <c r="U181" s="29">
        <f>IF(A181&gt;SV_T,0,U180*(1+SV_saRate)+IF(A181&gt;=SV_effStop,0,INDEX(SV_cpfMA,Q181)*INDEX(SV_cpfTot,Q181)*R181))</f>
        <v/>
      </c>
      <c r="V181" s="29">
        <f>IF(OR(OR(A181&lt;1,A181&gt;SV_T),A181&gt;=SV_effNeg),0,-(INDEX(SV_cpfOA,Q181)+INDEX(SV_cpfSA,Q181)+INDEX(SV_cpfMA,Q181))*INDEX(SV_cpfEmp,Q181)*R181)</f>
        <v/>
      </c>
      <c r="W181" s="29">
        <f>IF(A181&gt;=SV_sIdx,0,S181)</f>
        <v/>
      </c>
      <c r="X181" s="29">
        <f>IF(A181&gt;=SV_sIdx,0,T181)</f>
        <v/>
      </c>
      <c r="Y181" s="29">
        <f>IF(A181&gt;=SV_sIdx,MIN(U181,SV_maCap),U181)</f>
        <v/>
      </c>
      <c r="Z181" s="29">
        <f>IF(AND(SV_cpfOn,A181&gt;=SV_pIdx,A181&lt;=SV_T),12*SV_pay,0)</f>
        <v/>
      </c>
      <c r="AA181" s="29">
        <f>IF(A181&gt;SV_T,0,IF(SV_sp&gt;=0,IF(A181&lt;SV_sIdx,0,IF(A181=SV_sIdx,SV_R0,SV_lifeGrowth*AA180)),SV_lifeGrowth*AA180))</f>
        <v/>
      </c>
      <c r="AB181" s="29">
        <f>IF(A181&gt;SV_T,0,IF(AND(SV_sp&gt;=0,A181&lt;SV_sIdx),0,IF(AND(SV_sp&gt;=0,A181=SV_sIdx),SV_L0,SV_lifeGrowth*(AB180-Z181))))</f>
        <v/>
      </c>
      <c r="AC181" s="29">
        <f>W181+X181+AA181+Y181+IF(AA181&lt;0,0,AB181)</f>
        <v/>
      </c>
      <c r="AD181" s="29">
        <f>Z181+V181</f>
        <v/>
      </c>
      <c r="AE181" s="29">
        <f>IF(OR(A181&gt;SV_T,A181&gt;=SV_loanYears),0,MAX(0,AE180*(1+loanRate)-SV_inst))</f>
        <v/>
      </c>
      <c r="AF181" s="29">
        <f>IF(A181&gt;SV_T,0,AF180*(1+SV_savRate)+H181+I181+J181+K181+AD181)</f>
        <v/>
      </c>
      <c r="AG181" s="29">
        <f>IF(A181&gt;SV_T,0,MAX(0,N181+O181+P181+AC181+AF181-AE181))</f>
        <v/>
      </c>
      <c r="AH181" s="29">
        <f>IF(A181&gt;SV_T,0,N181+O181+AF181-MAX(0,AE181-(P181+AC181)))</f>
        <v/>
      </c>
      <c r="AI181" s="29">
        <f>IF(OR(OR(A181&lt;1,A181&gt;SV_T),A181-1&gt;=SV_retPay),0,SV_retMth*12+IF(A181=1,SV_retLump,0))</f>
        <v/>
      </c>
      <c r="AJ181" s="29">
        <f>IF(A181&gt;SV_T,0,(AJ180+AI181)*(1+investmentReturn))</f>
        <v/>
      </c>
      <c r="AK181" s="29">
        <f>IF(OR(OR(A181&lt;1,A181&gt;SV_T),A181-1&gt;=SV_goalPay),0,SV_goalMth*12+IF(A181=1,SV_goalLump,0))</f>
        <v/>
      </c>
      <c r="AL181" s="29">
        <f>IF(A181&gt;SV_T,0,(AL180+AK181)*(1+investmentReturn))</f>
        <v/>
      </c>
      <c r="AM181" s="29">
        <f>IF(OR(OR(A181&lt;1,A181&gt;SV_T),A181-1&gt;=SV_protPay),0,SV_protPrem)</f>
        <v/>
      </c>
      <c r="AN181" s="29">
        <f>IF(OR(A181=0,A181&gt;=SV_T),0,ROUND(MAX(0,AJ181),2)+ROUND(MAX(0,AL181),2))</f>
        <v/>
      </c>
      <c r="AO181" s="29">
        <f>IF(OR(A181&lt;1,A181&gt;SV_T),0,-(AI181+AK181+AM181)+IF(A181=SV_T,ROUND(MAX(0,AJ181),2)+ROUND(MAX(0,AL181),2),0))</f>
        <v/>
      </c>
      <c r="AP181" s="29">
        <f>IF(A181&gt;SV_T,0,AP180*(1+SV_savRate)+H181+I181+J181+K181+AD181+AO181)</f>
        <v/>
      </c>
      <c r="AQ181" s="29">
        <f>IF(A181&gt;SV_T,0,MAX(0,N181+O181+P181+AC181+AP181+AN181-AE181))</f>
        <v/>
      </c>
      <c r="AR181" s="29">
        <f>IF(A181&gt;SV_T,0,N181+O181+AP181+AN181-MAX(0,AE181-(P181+AC181)))</f>
        <v/>
      </c>
    </row>
    <row r="182">
      <c r="A182" s="61" t="n">
        <v>59</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IF(OR(OR(A182&lt;1,A182&gt;SV_T),A182-1&gt;=SV_salCut),0,SV_sal0*(1+incomeGrowthRate)^(A182-1)*G182)</f>
        <v/>
      </c>
      <c r="I182" s="29">
        <f>IF(OR(A182&lt;1,A182&gt;SV_T),0,(-SV_exp0*F182-IF(A182&lt;=SV_loanYears,SV_inst,0)-IF(AND(SV_wdAmt&gt;0,A182=SV_wdYear),SV_wdAmt,0))*IF(AND(SV_expOn,A182&gt;=SV_expS,A182&lt;=SV_expE),1+SV_expImp,1))</f>
        <v/>
      </c>
      <c r="J182" s="29">
        <f>IF(OR(OR(A182&lt;1,A182&gt;SV_T),A182&gt;SV_loanYears),0,-SV_lifePremYr)</f>
        <v/>
      </c>
      <c r="K182" s="29">
        <f>IF(OR(A182&lt;1,A182&gt;SV_T),0,-SV_contrib)</f>
        <v/>
      </c>
      <c r="L182" s="60">
        <f>IF(AND(SV_crashOn,A182=SV_crashYr),SV_crashF,1)</f>
        <v/>
      </c>
      <c r="M182" s="60">
        <f>IF(AND(SV_ccyOn,A182=SV_ccyYr),SV_ccyF,1)</f>
        <v/>
      </c>
      <c r="N182" s="29">
        <f>IF(A182&gt;SV_T,0,N181*(1+interestRate)*L182*M182)</f>
        <v/>
      </c>
      <c r="O182" s="29">
        <f>IF(A182&gt;SV_T,0,(O181+SV_contrib)*(1+investmentReturn)*L182*M182)</f>
        <v/>
      </c>
      <c r="P182" s="29">
        <f>IF(A182&gt;SV_T,0,P181*(1+SV_propRate)*L182)</f>
        <v/>
      </c>
      <c r="Q182" s="46">
        <f>MATCH(SV_age+A182-1,SV_cpfLower,1)</f>
        <v/>
      </c>
      <c r="R182" s="29">
        <f>IF(OR(OR(A182&lt;1,A182&gt;SV_T),NOT(SV_cpfOn)),0,MIN(SV_sal0*(1+incomeGrowthRate)^(A182-1)*G182,SV_owCap))</f>
        <v/>
      </c>
      <c r="S182" s="29">
        <f>IF(A182&gt;SV_T,0,S181*(1+SV_oaRate)+IF(A182&gt;=SV_effStop,0,INDEX(SV_cpfOA,Q182)*INDEX(SV_cpfTot,Q182)*R182))</f>
        <v/>
      </c>
      <c r="T182" s="29">
        <f>IF(A182&gt;SV_T,0,T181*(1+SV_saRate)+IF(A182&gt;=SV_effStop,0,INDEX(SV_cpfSA,Q182)*INDEX(SV_cpfTot,Q182)*R182))</f>
        <v/>
      </c>
      <c r="U182" s="29">
        <f>IF(A182&gt;SV_T,0,U181*(1+SV_saRate)+IF(A182&gt;=SV_effStop,0,INDEX(SV_cpfMA,Q182)*INDEX(SV_cpfTot,Q182)*R182))</f>
        <v/>
      </c>
      <c r="V182" s="29">
        <f>IF(OR(OR(A182&lt;1,A182&gt;SV_T),A182&gt;=SV_effNeg),0,-(INDEX(SV_cpfOA,Q182)+INDEX(SV_cpfSA,Q182)+INDEX(SV_cpfMA,Q182))*INDEX(SV_cpfEmp,Q182)*R182)</f>
        <v/>
      </c>
      <c r="W182" s="29">
        <f>IF(A182&gt;=SV_sIdx,0,S182)</f>
        <v/>
      </c>
      <c r="X182" s="29">
        <f>IF(A182&gt;=SV_sIdx,0,T182)</f>
        <v/>
      </c>
      <c r="Y182" s="29">
        <f>IF(A182&gt;=SV_sIdx,MIN(U182,SV_maCap),U182)</f>
        <v/>
      </c>
      <c r="Z182" s="29">
        <f>IF(AND(SV_cpfOn,A182&gt;=SV_pIdx,A182&lt;=SV_T),12*SV_pay,0)</f>
        <v/>
      </c>
      <c r="AA182" s="29">
        <f>IF(A182&gt;SV_T,0,IF(SV_sp&gt;=0,IF(A182&lt;SV_sIdx,0,IF(A182=SV_sIdx,SV_R0,SV_lifeGrowth*AA181)),SV_lifeGrowth*AA181))</f>
        <v/>
      </c>
      <c r="AB182" s="29">
        <f>IF(A182&gt;SV_T,0,IF(AND(SV_sp&gt;=0,A182&lt;SV_sIdx),0,IF(AND(SV_sp&gt;=0,A182=SV_sIdx),SV_L0,SV_lifeGrowth*(AB181-Z182))))</f>
        <v/>
      </c>
      <c r="AC182" s="29">
        <f>W182+X182+AA182+Y182+IF(AA182&lt;0,0,AB182)</f>
        <v/>
      </c>
      <c r="AD182" s="29">
        <f>Z182+V182</f>
        <v/>
      </c>
      <c r="AE182" s="29">
        <f>IF(OR(A182&gt;SV_T,A182&gt;=SV_loanYears),0,MAX(0,AE181*(1+loanRate)-SV_inst))</f>
        <v/>
      </c>
      <c r="AF182" s="29">
        <f>IF(A182&gt;SV_T,0,AF181*(1+SV_savRate)+H182+I182+J182+K182+AD182)</f>
        <v/>
      </c>
      <c r="AG182" s="29">
        <f>IF(A182&gt;SV_T,0,MAX(0,N182+O182+P182+AC182+AF182-AE182))</f>
        <v/>
      </c>
      <c r="AH182" s="29">
        <f>IF(A182&gt;SV_T,0,N182+O182+AF182-MAX(0,AE182-(P182+AC182)))</f>
        <v/>
      </c>
      <c r="AI182" s="29">
        <f>IF(OR(OR(A182&lt;1,A182&gt;SV_T),A182-1&gt;=SV_retPay),0,SV_retMth*12+IF(A182=1,SV_retLump,0))</f>
        <v/>
      </c>
      <c r="AJ182" s="29">
        <f>IF(A182&gt;SV_T,0,(AJ181+AI182)*(1+investmentReturn))</f>
        <v/>
      </c>
      <c r="AK182" s="29">
        <f>IF(OR(OR(A182&lt;1,A182&gt;SV_T),A182-1&gt;=SV_goalPay),0,SV_goalMth*12+IF(A182=1,SV_goalLump,0))</f>
        <v/>
      </c>
      <c r="AL182" s="29">
        <f>IF(A182&gt;SV_T,0,(AL181+AK182)*(1+investmentReturn))</f>
        <v/>
      </c>
      <c r="AM182" s="29">
        <f>IF(OR(OR(A182&lt;1,A182&gt;SV_T),A182-1&gt;=SV_protPay),0,SV_protPrem)</f>
        <v/>
      </c>
      <c r="AN182" s="29">
        <f>IF(OR(A182=0,A182&gt;=SV_T),0,ROUND(MAX(0,AJ182),2)+ROUND(MAX(0,AL182),2))</f>
        <v/>
      </c>
      <c r="AO182" s="29">
        <f>IF(OR(A182&lt;1,A182&gt;SV_T),0,-(AI182+AK182+AM182)+IF(A182=SV_T,ROUND(MAX(0,AJ182),2)+ROUND(MAX(0,AL182),2),0))</f>
        <v/>
      </c>
      <c r="AP182" s="29">
        <f>IF(A182&gt;SV_T,0,AP181*(1+SV_savRate)+H182+I182+J182+K182+AD182+AO182)</f>
        <v/>
      </c>
      <c r="AQ182" s="29">
        <f>IF(A182&gt;SV_T,0,MAX(0,N182+O182+P182+AC182+AP182+AN182-AE182))</f>
        <v/>
      </c>
      <c r="AR182" s="29">
        <f>IF(A182&gt;SV_T,0,N182+O182+AP182+AN182-MAX(0,AE182-(P182+AC182)))</f>
        <v/>
      </c>
    </row>
    <row r="183">
      <c r="A183" s="61" t="n">
        <v>60</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IF(OR(OR(A183&lt;1,A183&gt;SV_T),A183-1&gt;=SV_salCut),0,SV_sal0*(1+incomeGrowthRate)^(A183-1)*G183)</f>
        <v/>
      </c>
      <c r="I183" s="29">
        <f>IF(OR(A183&lt;1,A183&gt;SV_T),0,(-SV_exp0*F183-IF(A183&lt;=SV_loanYears,SV_inst,0)-IF(AND(SV_wdAmt&gt;0,A183=SV_wdYear),SV_wdAmt,0))*IF(AND(SV_expOn,A183&gt;=SV_expS,A183&lt;=SV_expE),1+SV_expImp,1))</f>
        <v/>
      </c>
      <c r="J183" s="29">
        <f>IF(OR(OR(A183&lt;1,A183&gt;SV_T),A183&gt;SV_loanYears),0,-SV_lifePremYr)</f>
        <v/>
      </c>
      <c r="K183" s="29">
        <f>IF(OR(A183&lt;1,A183&gt;SV_T),0,-SV_contrib)</f>
        <v/>
      </c>
      <c r="L183" s="60">
        <f>IF(AND(SV_crashOn,A183=SV_crashYr),SV_crashF,1)</f>
        <v/>
      </c>
      <c r="M183" s="60">
        <f>IF(AND(SV_ccyOn,A183=SV_ccyYr),SV_ccyF,1)</f>
        <v/>
      </c>
      <c r="N183" s="29">
        <f>IF(A183&gt;SV_T,0,N182*(1+interestRate)*L183*M183)</f>
        <v/>
      </c>
      <c r="O183" s="29">
        <f>IF(A183&gt;SV_T,0,(O182+SV_contrib)*(1+investmentReturn)*L183*M183)</f>
        <v/>
      </c>
      <c r="P183" s="29">
        <f>IF(A183&gt;SV_T,0,P182*(1+SV_propRate)*L183)</f>
        <v/>
      </c>
      <c r="Q183" s="46">
        <f>MATCH(SV_age+A183-1,SV_cpfLower,1)</f>
        <v/>
      </c>
      <c r="R183" s="29">
        <f>IF(OR(OR(A183&lt;1,A183&gt;SV_T),NOT(SV_cpfOn)),0,MIN(SV_sal0*(1+incomeGrowthRate)^(A183-1)*G183,SV_owCap))</f>
        <v/>
      </c>
      <c r="S183" s="29">
        <f>IF(A183&gt;SV_T,0,S182*(1+SV_oaRate)+IF(A183&gt;=SV_effStop,0,INDEX(SV_cpfOA,Q183)*INDEX(SV_cpfTot,Q183)*R183))</f>
        <v/>
      </c>
      <c r="T183" s="29">
        <f>IF(A183&gt;SV_T,0,T182*(1+SV_saRate)+IF(A183&gt;=SV_effStop,0,INDEX(SV_cpfSA,Q183)*INDEX(SV_cpfTot,Q183)*R183))</f>
        <v/>
      </c>
      <c r="U183" s="29">
        <f>IF(A183&gt;SV_T,0,U182*(1+SV_saRate)+IF(A183&gt;=SV_effStop,0,INDEX(SV_cpfMA,Q183)*INDEX(SV_cpfTot,Q183)*R183))</f>
        <v/>
      </c>
      <c r="V183" s="29">
        <f>IF(OR(OR(A183&lt;1,A183&gt;SV_T),A183&gt;=SV_effNeg),0,-(INDEX(SV_cpfOA,Q183)+INDEX(SV_cpfSA,Q183)+INDEX(SV_cpfMA,Q183))*INDEX(SV_cpfEmp,Q183)*R183)</f>
        <v/>
      </c>
      <c r="W183" s="29">
        <f>IF(A183&gt;=SV_sIdx,0,S183)</f>
        <v/>
      </c>
      <c r="X183" s="29">
        <f>IF(A183&gt;=SV_sIdx,0,T183)</f>
        <v/>
      </c>
      <c r="Y183" s="29">
        <f>IF(A183&gt;=SV_sIdx,MIN(U183,SV_maCap),U183)</f>
        <v/>
      </c>
      <c r="Z183" s="29">
        <f>IF(AND(SV_cpfOn,A183&gt;=SV_pIdx,A183&lt;=SV_T),12*SV_pay,0)</f>
        <v/>
      </c>
      <c r="AA183" s="29">
        <f>IF(A183&gt;SV_T,0,IF(SV_sp&gt;=0,IF(A183&lt;SV_sIdx,0,IF(A183=SV_sIdx,SV_R0,SV_lifeGrowth*AA182)),SV_lifeGrowth*AA182))</f>
        <v/>
      </c>
      <c r="AB183" s="29">
        <f>IF(A183&gt;SV_T,0,IF(AND(SV_sp&gt;=0,A183&lt;SV_sIdx),0,IF(AND(SV_sp&gt;=0,A183=SV_sIdx),SV_L0,SV_lifeGrowth*(AB182-Z183))))</f>
        <v/>
      </c>
      <c r="AC183" s="29">
        <f>W183+X183+AA183+Y183+IF(AA183&lt;0,0,AB183)</f>
        <v/>
      </c>
      <c r="AD183" s="29">
        <f>Z183+V183</f>
        <v/>
      </c>
      <c r="AE183" s="29">
        <f>IF(OR(A183&gt;SV_T,A183&gt;=SV_loanYears),0,MAX(0,AE182*(1+loanRate)-SV_inst))</f>
        <v/>
      </c>
      <c r="AF183" s="29">
        <f>IF(A183&gt;SV_T,0,AF182*(1+SV_savRate)+H183+I183+J183+K183+AD183)</f>
        <v/>
      </c>
      <c r="AG183" s="29">
        <f>IF(A183&gt;SV_T,0,MAX(0,N183+O183+P183+AC183+AF183-AE183))</f>
        <v/>
      </c>
      <c r="AH183" s="29">
        <f>IF(A183&gt;SV_T,0,N183+O183+AF183-MAX(0,AE183-(P183+AC183)))</f>
        <v/>
      </c>
      <c r="AI183" s="29">
        <f>IF(OR(OR(A183&lt;1,A183&gt;SV_T),A183-1&gt;=SV_retPay),0,SV_retMth*12+IF(A183=1,SV_retLump,0))</f>
        <v/>
      </c>
      <c r="AJ183" s="29">
        <f>IF(A183&gt;SV_T,0,(AJ182+AI183)*(1+investmentReturn))</f>
        <v/>
      </c>
      <c r="AK183" s="29">
        <f>IF(OR(OR(A183&lt;1,A183&gt;SV_T),A183-1&gt;=SV_goalPay),0,SV_goalMth*12+IF(A183=1,SV_goalLump,0))</f>
        <v/>
      </c>
      <c r="AL183" s="29">
        <f>IF(A183&gt;SV_T,0,(AL182+AK183)*(1+investmentReturn))</f>
        <v/>
      </c>
      <c r="AM183" s="29">
        <f>IF(OR(OR(A183&lt;1,A183&gt;SV_T),A183-1&gt;=SV_protPay),0,SV_protPrem)</f>
        <v/>
      </c>
      <c r="AN183" s="29">
        <f>IF(OR(A183=0,A183&gt;=SV_T),0,ROUND(MAX(0,AJ183),2)+ROUND(MAX(0,AL183),2))</f>
        <v/>
      </c>
      <c r="AO183" s="29">
        <f>IF(OR(A183&lt;1,A183&gt;SV_T),0,-(AI183+AK183+AM183)+IF(A183=SV_T,ROUND(MAX(0,AJ183),2)+ROUND(MAX(0,AL183),2),0))</f>
        <v/>
      </c>
      <c r="AP183" s="29">
        <f>IF(A183&gt;SV_T,0,AP182*(1+SV_savRate)+H183+I183+J183+K183+AD183+AO183)</f>
        <v/>
      </c>
      <c r="AQ183" s="29">
        <f>IF(A183&gt;SV_T,0,MAX(0,N183+O183+P183+AC183+AP183+AN183-AE183))</f>
        <v/>
      </c>
      <c r="AR183" s="29">
        <f>IF(A183&gt;SV_T,0,N183+O183+AP183+AN183-MAX(0,AE183-(P183+AC183)))</f>
        <v/>
      </c>
    </row>
    <row r="184">
      <c r="A184" s="61" t="n">
        <v>61</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IF(OR(OR(A184&lt;1,A184&gt;SV_T),A184-1&gt;=SV_salCut),0,SV_sal0*(1+incomeGrowthRate)^(A184-1)*G184)</f>
        <v/>
      </c>
      <c r="I184" s="29">
        <f>IF(OR(A184&lt;1,A184&gt;SV_T),0,(-SV_exp0*F184-IF(A184&lt;=SV_loanYears,SV_inst,0)-IF(AND(SV_wdAmt&gt;0,A184=SV_wdYear),SV_wdAmt,0))*IF(AND(SV_expOn,A184&gt;=SV_expS,A184&lt;=SV_expE),1+SV_expImp,1))</f>
        <v/>
      </c>
      <c r="J184" s="29">
        <f>IF(OR(OR(A184&lt;1,A184&gt;SV_T),A184&gt;SV_loanYears),0,-SV_lifePremYr)</f>
        <v/>
      </c>
      <c r="K184" s="29">
        <f>IF(OR(A184&lt;1,A184&gt;SV_T),0,-SV_contrib)</f>
        <v/>
      </c>
      <c r="L184" s="60">
        <f>IF(AND(SV_crashOn,A184=SV_crashYr),SV_crashF,1)</f>
        <v/>
      </c>
      <c r="M184" s="60">
        <f>IF(AND(SV_ccyOn,A184=SV_ccyYr),SV_ccyF,1)</f>
        <v/>
      </c>
      <c r="N184" s="29">
        <f>IF(A184&gt;SV_T,0,N183*(1+interestRate)*L184*M184)</f>
        <v/>
      </c>
      <c r="O184" s="29">
        <f>IF(A184&gt;SV_T,0,(O183+SV_contrib)*(1+investmentReturn)*L184*M184)</f>
        <v/>
      </c>
      <c r="P184" s="29">
        <f>IF(A184&gt;SV_T,0,P183*(1+SV_propRate)*L184)</f>
        <v/>
      </c>
      <c r="Q184" s="46">
        <f>MATCH(SV_age+A184-1,SV_cpfLower,1)</f>
        <v/>
      </c>
      <c r="R184" s="29">
        <f>IF(OR(OR(A184&lt;1,A184&gt;SV_T),NOT(SV_cpfOn)),0,MIN(SV_sal0*(1+incomeGrowthRate)^(A184-1)*G184,SV_owCap))</f>
        <v/>
      </c>
      <c r="S184" s="29">
        <f>IF(A184&gt;SV_T,0,S183*(1+SV_oaRate)+IF(A184&gt;=SV_effStop,0,INDEX(SV_cpfOA,Q184)*INDEX(SV_cpfTot,Q184)*R184))</f>
        <v/>
      </c>
      <c r="T184" s="29">
        <f>IF(A184&gt;SV_T,0,T183*(1+SV_saRate)+IF(A184&gt;=SV_effStop,0,INDEX(SV_cpfSA,Q184)*INDEX(SV_cpfTot,Q184)*R184))</f>
        <v/>
      </c>
      <c r="U184" s="29">
        <f>IF(A184&gt;SV_T,0,U183*(1+SV_saRate)+IF(A184&gt;=SV_effStop,0,INDEX(SV_cpfMA,Q184)*INDEX(SV_cpfTot,Q184)*R184))</f>
        <v/>
      </c>
      <c r="V184" s="29">
        <f>IF(OR(OR(A184&lt;1,A184&gt;SV_T),A184&gt;=SV_effNeg),0,-(INDEX(SV_cpfOA,Q184)+INDEX(SV_cpfSA,Q184)+INDEX(SV_cpfMA,Q184))*INDEX(SV_cpfEmp,Q184)*R184)</f>
        <v/>
      </c>
      <c r="W184" s="29">
        <f>IF(A184&gt;=SV_sIdx,0,S184)</f>
        <v/>
      </c>
      <c r="X184" s="29">
        <f>IF(A184&gt;=SV_sIdx,0,T184)</f>
        <v/>
      </c>
      <c r="Y184" s="29">
        <f>IF(A184&gt;=SV_sIdx,MIN(U184,SV_maCap),U184)</f>
        <v/>
      </c>
      <c r="Z184" s="29">
        <f>IF(AND(SV_cpfOn,A184&gt;=SV_pIdx,A184&lt;=SV_T),12*SV_pay,0)</f>
        <v/>
      </c>
      <c r="AA184" s="29">
        <f>IF(A184&gt;SV_T,0,IF(SV_sp&gt;=0,IF(A184&lt;SV_sIdx,0,IF(A184=SV_sIdx,SV_R0,SV_lifeGrowth*AA183)),SV_lifeGrowth*AA183))</f>
        <v/>
      </c>
      <c r="AB184" s="29">
        <f>IF(A184&gt;SV_T,0,IF(AND(SV_sp&gt;=0,A184&lt;SV_sIdx),0,IF(AND(SV_sp&gt;=0,A184=SV_sIdx),SV_L0,SV_lifeGrowth*(AB183-Z184))))</f>
        <v/>
      </c>
      <c r="AC184" s="29">
        <f>W184+X184+AA184+Y184+IF(AA184&lt;0,0,AB184)</f>
        <v/>
      </c>
      <c r="AD184" s="29">
        <f>Z184+V184</f>
        <v/>
      </c>
      <c r="AE184" s="29">
        <f>IF(OR(A184&gt;SV_T,A184&gt;=SV_loanYears),0,MAX(0,AE183*(1+loanRate)-SV_inst))</f>
        <v/>
      </c>
      <c r="AF184" s="29">
        <f>IF(A184&gt;SV_T,0,AF183*(1+SV_savRate)+H184+I184+J184+K184+AD184)</f>
        <v/>
      </c>
      <c r="AG184" s="29">
        <f>IF(A184&gt;SV_T,0,MAX(0,N184+O184+P184+AC184+AF184-AE184))</f>
        <v/>
      </c>
      <c r="AH184" s="29">
        <f>IF(A184&gt;SV_T,0,N184+O184+AF184-MAX(0,AE184-(P184+AC184)))</f>
        <v/>
      </c>
      <c r="AI184" s="29">
        <f>IF(OR(OR(A184&lt;1,A184&gt;SV_T),A184-1&gt;=SV_retPay),0,SV_retMth*12+IF(A184=1,SV_retLump,0))</f>
        <v/>
      </c>
      <c r="AJ184" s="29">
        <f>IF(A184&gt;SV_T,0,(AJ183+AI184)*(1+investmentReturn))</f>
        <v/>
      </c>
      <c r="AK184" s="29">
        <f>IF(OR(OR(A184&lt;1,A184&gt;SV_T),A184-1&gt;=SV_goalPay),0,SV_goalMth*12+IF(A184=1,SV_goalLump,0))</f>
        <v/>
      </c>
      <c r="AL184" s="29">
        <f>IF(A184&gt;SV_T,0,(AL183+AK184)*(1+investmentReturn))</f>
        <v/>
      </c>
      <c r="AM184" s="29">
        <f>IF(OR(OR(A184&lt;1,A184&gt;SV_T),A184-1&gt;=SV_protPay),0,SV_protPrem)</f>
        <v/>
      </c>
      <c r="AN184" s="29">
        <f>IF(OR(A184=0,A184&gt;=SV_T),0,ROUND(MAX(0,AJ184),2)+ROUND(MAX(0,AL184),2))</f>
        <v/>
      </c>
      <c r="AO184" s="29">
        <f>IF(OR(A184&lt;1,A184&gt;SV_T),0,-(AI184+AK184+AM184)+IF(A184=SV_T,ROUND(MAX(0,AJ184),2)+ROUND(MAX(0,AL184),2),0))</f>
        <v/>
      </c>
      <c r="AP184" s="29">
        <f>IF(A184&gt;SV_T,0,AP183*(1+SV_savRate)+H184+I184+J184+K184+AD184+AO184)</f>
        <v/>
      </c>
      <c r="AQ184" s="29">
        <f>IF(A184&gt;SV_T,0,MAX(0,N184+O184+P184+AC184+AP184+AN184-AE184))</f>
        <v/>
      </c>
      <c r="AR184" s="29">
        <f>IF(A184&gt;SV_T,0,N184+O184+AP184+AN184-MAX(0,AE184-(P184+AC184)))</f>
        <v/>
      </c>
    </row>
    <row r="185">
      <c r="A185" s="61" t="n">
        <v>62</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IF(OR(OR(A185&lt;1,A185&gt;SV_T),A185-1&gt;=SV_salCut),0,SV_sal0*(1+incomeGrowthRate)^(A185-1)*G185)</f>
        <v/>
      </c>
      <c r="I185" s="29">
        <f>IF(OR(A185&lt;1,A185&gt;SV_T),0,(-SV_exp0*F185-IF(A185&lt;=SV_loanYears,SV_inst,0)-IF(AND(SV_wdAmt&gt;0,A185=SV_wdYear),SV_wdAmt,0))*IF(AND(SV_expOn,A185&gt;=SV_expS,A185&lt;=SV_expE),1+SV_expImp,1))</f>
        <v/>
      </c>
      <c r="J185" s="29">
        <f>IF(OR(OR(A185&lt;1,A185&gt;SV_T),A185&gt;SV_loanYears),0,-SV_lifePremYr)</f>
        <v/>
      </c>
      <c r="K185" s="29">
        <f>IF(OR(A185&lt;1,A185&gt;SV_T),0,-SV_contrib)</f>
        <v/>
      </c>
      <c r="L185" s="60">
        <f>IF(AND(SV_crashOn,A185=SV_crashYr),SV_crashF,1)</f>
        <v/>
      </c>
      <c r="M185" s="60">
        <f>IF(AND(SV_ccyOn,A185=SV_ccyYr),SV_ccyF,1)</f>
        <v/>
      </c>
      <c r="N185" s="29">
        <f>IF(A185&gt;SV_T,0,N184*(1+interestRate)*L185*M185)</f>
        <v/>
      </c>
      <c r="O185" s="29">
        <f>IF(A185&gt;SV_T,0,(O184+SV_contrib)*(1+investmentReturn)*L185*M185)</f>
        <v/>
      </c>
      <c r="P185" s="29">
        <f>IF(A185&gt;SV_T,0,P184*(1+SV_propRate)*L185)</f>
        <v/>
      </c>
      <c r="Q185" s="46">
        <f>MATCH(SV_age+A185-1,SV_cpfLower,1)</f>
        <v/>
      </c>
      <c r="R185" s="29">
        <f>IF(OR(OR(A185&lt;1,A185&gt;SV_T),NOT(SV_cpfOn)),0,MIN(SV_sal0*(1+incomeGrowthRate)^(A185-1)*G185,SV_owCap))</f>
        <v/>
      </c>
      <c r="S185" s="29">
        <f>IF(A185&gt;SV_T,0,S184*(1+SV_oaRate)+IF(A185&gt;=SV_effStop,0,INDEX(SV_cpfOA,Q185)*INDEX(SV_cpfTot,Q185)*R185))</f>
        <v/>
      </c>
      <c r="T185" s="29">
        <f>IF(A185&gt;SV_T,0,T184*(1+SV_saRate)+IF(A185&gt;=SV_effStop,0,INDEX(SV_cpfSA,Q185)*INDEX(SV_cpfTot,Q185)*R185))</f>
        <v/>
      </c>
      <c r="U185" s="29">
        <f>IF(A185&gt;SV_T,0,U184*(1+SV_saRate)+IF(A185&gt;=SV_effStop,0,INDEX(SV_cpfMA,Q185)*INDEX(SV_cpfTot,Q185)*R185))</f>
        <v/>
      </c>
      <c r="V185" s="29">
        <f>IF(OR(OR(A185&lt;1,A185&gt;SV_T),A185&gt;=SV_effNeg),0,-(INDEX(SV_cpfOA,Q185)+INDEX(SV_cpfSA,Q185)+INDEX(SV_cpfMA,Q185))*INDEX(SV_cpfEmp,Q185)*R185)</f>
        <v/>
      </c>
      <c r="W185" s="29">
        <f>IF(A185&gt;=SV_sIdx,0,S185)</f>
        <v/>
      </c>
      <c r="X185" s="29">
        <f>IF(A185&gt;=SV_sIdx,0,T185)</f>
        <v/>
      </c>
      <c r="Y185" s="29">
        <f>IF(A185&gt;=SV_sIdx,MIN(U185,SV_maCap),U185)</f>
        <v/>
      </c>
      <c r="Z185" s="29">
        <f>IF(AND(SV_cpfOn,A185&gt;=SV_pIdx,A185&lt;=SV_T),12*SV_pay,0)</f>
        <v/>
      </c>
      <c r="AA185" s="29">
        <f>IF(A185&gt;SV_T,0,IF(SV_sp&gt;=0,IF(A185&lt;SV_sIdx,0,IF(A185=SV_sIdx,SV_R0,SV_lifeGrowth*AA184)),SV_lifeGrowth*AA184))</f>
        <v/>
      </c>
      <c r="AB185" s="29">
        <f>IF(A185&gt;SV_T,0,IF(AND(SV_sp&gt;=0,A185&lt;SV_sIdx),0,IF(AND(SV_sp&gt;=0,A185=SV_sIdx),SV_L0,SV_lifeGrowth*(AB184-Z185))))</f>
        <v/>
      </c>
      <c r="AC185" s="29">
        <f>W185+X185+AA185+Y185+IF(AA185&lt;0,0,AB185)</f>
        <v/>
      </c>
      <c r="AD185" s="29">
        <f>Z185+V185</f>
        <v/>
      </c>
      <c r="AE185" s="29">
        <f>IF(OR(A185&gt;SV_T,A185&gt;=SV_loanYears),0,MAX(0,AE184*(1+loanRate)-SV_inst))</f>
        <v/>
      </c>
      <c r="AF185" s="29">
        <f>IF(A185&gt;SV_T,0,AF184*(1+SV_savRate)+H185+I185+J185+K185+AD185)</f>
        <v/>
      </c>
      <c r="AG185" s="29">
        <f>IF(A185&gt;SV_T,0,MAX(0,N185+O185+P185+AC185+AF185-AE185))</f>
        <v/>
      </c>
      <c r="AH185" s="29">
        <f>IF(A185&gt;SV_T,0,N185+O185+AF185-MAX(0,AE185-(P185+AC185)))</f>
        <v/>
      </c>
      <c r="AI185" s="29">
        <f>IF(OR(OR(A185&lt;1,A185&gt;SV_T),A185-1&gt;=SV_retPay),0,SV_retMth*12+IF(A185=1,SV_retLump,0))</f>
        <v/>
      </c>
      <c r="AJ185" s="29">
        <f>IF(A185&gt;SV_T,0,(AJ184+AI185)*(1+investmentReturn))</f>
        <v/>
      </c>
      <c r="AK185" s="29">
        <f>IF(OR(OR(A185&lt;1,A185&gt;SV_T),A185-1&gt;=SV_goalPay),0,SV_goalMth*12+IF(A185=1,SV_goalLump,0))</f>
        <v/>
      </c>
      <c r="AL185" s="29">
        <f>IF(A185&gt;SV_T,0,(AL184+AK185)*(1+investmentReturn))</f>
        <v/>
      </c>
      <c r="AM185" s="29">
        <f>IF(OR(OR(A185&lt;1,A185&gt;SV_T),A185-1&gt;=SV_protPay),0,SV_protPrem)</f>
        <v/>
      </c>
      <c r="AN185" s="29">
        <f>IF(OR(A185=0,A185&gt;=SV_T),0,ROUND(MAX(0,AJ185),2)+ROUND(MAX(0,AL185),2))</f>
        <v/>
      </c>
      <c r="AO185" s="29">
        <f>IF(OR(A185&lt;1,A185&gt;SV_T),0,-(AI185+AK185+AM185)+IF(A185=SV_T,ROUND(MAX(0,AJ185),2)+ROUND(MAX(0,AL185),2),0))</f>
        <v/>
      </c>
      <c r="AP185" s="29">
        <f>IF(A185&gt;SV_T,0,AP184*(1+SV_savRate)+H185+I185+J185+K185+AD185+AO185)</f>
        <v/>
      </c>
      <c r="AQ185" s="29">
        <f>IF(A185&gt;SV_T,0,MAX(0,N185+O185+P185+AC185+AP185+AN185-AE185))</f>
        <v/>
      </c>
      <c r="AR185" s="29">
        <f>IF(A185&gt;SV_T,0,N185+O185+AP185+AN185-MAX(0,AE185-(P185+AC185)))</f>
        <v/>
      </c>
    </row>
    <row r="186">
      <c r="A186" s="61" t="n">
        <v>63</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IF(OR(OR(A186&lt;1,A186&gt;SV_T),A186-1&gt;=SV_salCut),0,SV_sal0*(1+incomeGrowthRate)^(A186-1)*G186)</f>
        <v/>
      </c>
      <c r="I186" s="29">
        <f>IF(OR(A186&lt;1,A186&gt;SV_T),0,(-SV_exp0*F186-IF(A186&lt;=SV_loanYears,SV_inst,0)-IF(AND(SV_wdAmt&gt;0,A186=SV_wdYear),SV_wdAmt,0))*IF(AND(SV_expOn,A186&gt;=SV_expS,A186&lt;=SV_expE),1+SV_expImp,1))</f>
        <v/>
      </c>
      <c r="J186" s="29">
        <f>IF(OR(OR(A186&lt;1,A186&gt;SV_T),A186&gt;SV_loanYears),0,-SV_lifePremYr)</f>
        <v/>
      </c>
      <c r="K186" s="29">
        <f>IF(OR(A186&lt;1,A186&gt;SV_T),0,-SV_contrib)</f>
        <v/>
      </c>
      <c r="L186" s="60">
        <f>IF(AND(SV_crashOn,A186=SV_crashYr),SV_crashF,1)</f>
        <v/>
      </c>
      <c r="M186" s="60">
        <f>IF(AND(SV_ccyOn,A186=SV_ccyYr),SV_ccyF,1)</f>
        <v/>
      </c>
      <c r="N186" s="29">
        <f>IF(A186&gt;SV_T,0,N185*(1+interestRate)*L186*M186)</f>
        <v/>
      </c>
      <c r="O186" s="29">
        <f>IF(A186&gt;SV_T,0,(O185+SV_contrib)*(1+investmentReturn)*L186*M186)</f>
        <v/>
      </c>
      <c r="P186" s="29">
        <f>IF(A186&gt;SV_T,0,P185*(1+SV_propRate)*L186)</f>
        <v/>
      </c>
      <c r="Q186" s="46">
        <f>MATCH(SV_age+A186-1,SV_cpfLower,1)</f>
        <v/>
      </c>
      <c r="R186" s="29">
        <f>IF(OR(OR(A186&lt;1,A186&gt;SV_T),NOT(SV_cpfOn)),0,MIN(SV_sal0*(1+incomeGrowthRate)^(A186-1)*G186,SV_owCap))</f>
        <v/>
      </c>
      <c r="S186" s="29">
        <f>IF(A186&gt;SV_T,0,S185*(1+SV_oaRate)+IF(A186&gt;=SV_effStop,0,INDEX(SV_cpfOA,Q186)*INDEX(SV_cpfTot,Q186)*R186))</f>
        <v/>
      </c>
      <c r="T186" s="29">
        <f>IF(A186&gt;SV_T,0,T185*(1+SV_saRate)+IF(A186&gt;=SV_effStop,0,INDEX(SV_cpfSA,Q186)*INDEX(SV_cpfTot,Q186)*R186))</f>
        <v/>
      </c>
      <c r="U186" s="29">
        <f>IF(A186&gt;SV_T,0,U185*(1+SV_saRate)+IF(A186&gt;=SV_effStop,0,INDEX(SV_cpfMA,Q186)*INDEX(SV_cpfTot,Q186)*R186))</f>
        <v/>
      </c>
      <c r="V186" s="29">
        <f>IF(OR(OR(A186&lt;1,A186&gt;SV_T),A186&gt;=SV_effNeg),0,-(INDEX(SV_cpfOA,Q186)+INDEX(SV_cpfSA,Q186)+INDEX(SV_cpfMA,Q186))*INDEX(SV_cpfEmp,Q186)*R186)</f>
        <v/>
      </c>
      <c r="W186" s="29">
        <f>IF(A186&gt;=SV_sIdx,0,S186)</f>
        <v/>
      </c>
      <c r="X186" s="29">
        <f>IF(A186&gt;=SV_sIdx,0,T186)</f>
        <v/>
      </c>
      <c r="Y186" s="29">
        <f>IF(A186&gt;=SV_sIdx,MIN(U186,SV_maCap),U186)</f>
        <v/>
      </c>
      <c r="Z186" s="29">
        <f>IF(AND(SV_cpfOn,A186&gt;=SV_pIdx,A186&lt;=SV_T),12*SV_pay,0)</f>
        <v/>
      </c>
      <c r="AA186" s="29">
        <f>IF(A186&gt;SV_T,0,IF(SV_sp&gt;=0,IF(A186&lt;SV_sIdx,0,IF(A186=SV_sIdx,SV_R0,SV_lifeGrowth*AA185)),SV_lifeGrowth*AA185))</f>
        <v/>
      </c>
      <c r="AB186" s="29">
        <f>IF(A186&gt;SV_T,0,IF(AND(SV_sp&gt;=0,A186&lt;SV_sIdx),0,IF(AND(SV_sp&gt;=0,A186=SV_sIdx),SV_L0,SV_lifeGrowth*(AB185-Z186))))</f>
        <v/>
      </c>
      <c r="AC186" s="29">
        <f>W186+X186+AA186+Y186+IF(AA186&lt;0,0,AB186)</f>
        <v/>
      </c>
      <c r="AD186" s="29">
        <f>Z186+V186</f>
        <v/>
      </c>
      <c r="AE186" s="29">
        <f>IF(OR(A186&gt;SV_T,A186&gt;=SV_loanYears),0,MAX(0,AE185*(1+loanRate)-SV_inst))</f>
        <v/>
      </c>
      <c r="AF186" s="29">
        <f>IF(A186&gt;SV_T,0,AF185*(1+SV_savRate)+H186+I186+J186+K186+AD186)</f>
        <v/>
      </c>
      <c r="AG186" s="29">
        <f>IF(A186&gt;SV_T,0,MAX(0,N186+O186+P186+AC186+AF186-AE186))</f>
        <v/>
      </c>
      <c r="AH186" s="29">
        <f>IF(A186&gt;SV_T,0,N186+O186+AF186-MAX(0,AE186-(P186+AC186)))</f>
        <v/>
      </c>
      <c r="AI186" s="29">
        <f>IF(OR(OR(A186&lt;1,A186&gt;SV_T),A186-1&gt;=SV_retPay),0,SV_retMth*12+IF(A186=1,SV_retLump,0))</f>
        <v/>
      </c>
      <c r="AJ186" s="29">
        <f>IF(A186&gt;SV_T,0,(AJ185+AI186)*(1+investmentReturn))</f>
        <v/>
      </c>
      <c r="AK186" s="29">
        <f>IF(OR(OR(A186&lt;1,A186&gt;SV_T),A186-1&gt;=SV_goalPay),0,SV_goalMth*12+IF(A186=1,SV_goalLump,0))</f>
        <v/>
      </c>
      <c r="AL186" s="29">
        <f>IF(A186&gt;SV_T,0,(AL185+AK186)*(1+investmentReturn))</f>
        <v/>
      </c>
      <c r="AM186" s="29">
        <f>IF(OR(OR(A186&lt;1,A186&gt;SV_T),A186-1&gt;=SV_protPay),0,SV_protPrem)</f>
        <v/>
      </c>
      <c r="AN186" s="29">
        <f>IF(OR(A186=0,A186&gt;=SV_T),0,ROUND(MAX(0,AJ186),2)+ROUND(MAX(0,AL186),2))</f>
        <v/>
      </c>
      <c r="AO186" s="29">
        <f>IF(OR(A186&lt;1,A186&gt;SV_T),0,-(AI186+AK186+AM186)+IF(A186=SV_T,ROUND(MAX(0,AJ186),2)+ROUND(MAX(0,AL186),2),0))</f>
        <v/>
      </c>
      <c r="AP186" s="29">
        <f>IF(A186&gt;SV_T,0,AP185*(1+SV_savRate)+H186+I186+J186+K186+AD186+AO186)</f>
        <v/>
      </c>
      <c r="AQ186" s="29">
        <f>IF(A186&gt;SV_T,0,MAX(0,N186+O186+P186+AC186+AP186+AN186-AE186))</f>
        <v/>
      </c>
      <c r="AR186" s="29">
        <f>IF(A186&gt;SV_T,0,N186+O186+AP186+AN186-MAX(0,AE186-(P186+AC186)))</f>
        <v/>
      </c>
    </row>
    <row r="187">
      <c r="A187" s="61" t="n">
        <v>64</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IF(OR(OR(A187&lt;1,A187&gt;SV_T),A187-1&gt;=SV_salCut),0,SV_sal0*(1+incomeGrowthRate)^(A187-1)*G187)</f>
        <v/>
      </c>
      <c r="I187" s="29">
        <f>IF(OR(A187&lt;1,A187&gt;SV_T),0,(-SV_exp0*F187-IF(A187&lt;=SV_loanYears,SV_inst,0)-IF(AND(SV_wdAmt&gt;0,A187=SV_wdYear),SV_wdAmt,0))*IF(AND(SV_expOn,A187&gt;=SV_expS,A187&lt;=SV_expE),1+SV_expImp,1))</f>
        <v/>
      </c>
      <c r="J187" s="29">
        <f>IF(OR(OR(A187&lt;1,A187&gt;SV_T),A187&gt;SV_loanYears),0,-SV_lifePremYr)</f>
        <v/>
      </c>
      <c r="K187" s="29">
        <f>IF(OR(A187&lt;1,A187&gt;SV_T),0,-SV_contrib)</f>
        <v/>
      </c>
      <c r="L187" s="60">
        <f>IF(AND(SV_crashOn,A187=SV_crashYr),SV_crashF,1)</f>
        <v/>
      </c>
      <c r="M187" s="60">
        <f>IF(AND(SV_ccyOn,A187=SV_ccyYr),SV_ccyF,1)</f>
        <v/>
      </c>
      <c r="N187" s="29">
        <f>IF(A187&gt;SV_T,0,N186*(1+interestRate)*L187*M187)</f>
        <v/>
      </c>
      <c r="O187" s="29">
        <f>IF(A187&gt;SV_T,0,(O186+SV_contrib)*(1+investmentReturn)*L187*M187)</f>
        <v/>
      </c>
      <c r="P187" s="29">
        <f>IF(A187&gt;SV_T,0,P186*(1+SV_propRate)*L187)</f>
        <v/>
      </c>
      <c r="Q187" s="46">
        <f>MATCH(SV_age+A187-1,SV_cpfLower,1)</f>
        <v/>
      </c>
      <c r="R187" s="29">
        <f>IF(OR(OR(A187&lt;1,A187&gt;SV_T),NOT(SV_cpfOn)),0,MIN(SV_sal0*(1+incomeGrowthRate)^(A187-1)*G187,SV_owCap))</f>
        <v/>
      </c>
      <c r="S187" s="29">
        <f>IF(A187&gt;SV_T,0,S186*(1+SV_oaRate)+IF(A187&gt;=SV_effStop,0,INDEX(SV_cpfOA,Q187)*INDEX(SV_cpfTot,Q187)*R187))</f>
        <v/>
      </c>
      <c r="T187" s="29">
        <f>IF(A187&gt;SV_T,0,T186*(1+SV_saRate)+IF(A187&gt;=SV_effStop,0,INDEX(SV_cpfSA,Q187)*INDEX(SV_cpfTot,Q187)*R187))</f>
        <v/>
      </c>
      <c r="U187" s="29">
        <f>IF(A187&gt;SV_T,0,U186*(1+SV_saRate)+IF(A187&gt;=SV_effStop,0,INDEX(SV_cpfMA,Q187)*INDEX(SV_cpfTot,Q187)*R187))</f>
        <v/>
      </c>
      <c r="V187" s="29">
        <f>IF(OR(OR(A187&lt;1,A187&gt;SV_T),A187&gt;=SV_effNeg),0,-(INDEX(SV_cpfOA,Q187)+INDEX(SV_cpfSA,Q187)+INDEX(SV_cpfMA,Q187))*INDEX(SV_cpfEmp,Q187)*R187)</f>
        <v/>
      </c>
      <c r="W187" s="29">
        <f>IF(A187&gt;=SV_sIdx,0,S187)</f>
        <v/>
      </c>
      <c r="X187" s="29">
        <f>IF(A187&gt;=SV_sIdx,0,T187)</f>
        <v/>
      </c>
      <c r="Y187" s="29">
        <f>IF(A187&gt;=SV_sIdx,MIN(U187,SV_maCap),U187)</f>
        <v/>
      </c>
      <c r="Z187" s="29">
        <f>IF(AND(SV_cpfOn,A187&gt;=SV_pIdx,A187&lt;=SV_T),12*SV_pay,0)</f>
        <v/>
      </c>
      <c r="AA187" s="29">
        <f>IF(A187&gt;SV_T,0,IF(SV_sp&gt;=0,IF(A187&lt;SV_sIdx,0,IF(A187=SV_sIdx,SV_R0,SV_lifeGrowth*AA186)),SV_lifeGrowth*AA186))</f>
        <v/>
      </c>
      <c r="AB187" s="29">
        <f>IF(A187&gt;SV_T,0,IF(AND(SV_sp&gt;=0,A187&lt;SV_sIdx),0,IF(AND(SV_sp&gt;=0,A187=SV_sIdx),SV_L0,SV_lifeGrowth*(AB186-Z187))))</f>
        <v/>
      </c>
      <c r="AC187" s="29">
        <f>W187+X187+AA187+Y187+IF(AA187&lt;0,0,AB187)</f>
        <v/>
      </c>
      <c r="AD187" s="29">
        <f>Z187+V187</f>
        <v/>
      </c>
      <c r="AE187" s="29">
        <f>IF(OR(A187&gt;SV_T,A187&gt;=SV_loanYears),0,MAX(0,AE186*(1+loanRate)-SV_inst))</f>
        <v/>
      </c>
      <c r="AF187" s="29">
        <f>IF(A187&gt;SV_T,0,AF186*(1+SV_savRate)+H187+I187+J187+K187+AD187)</f>
        <v/>
      </c>
      <c r="AG187" s="29">
        <f>IF(A187&gt;SV_T,0,MAX(0,N187+O187+P187+AC187+AF187-AE187))</f>
        <v/>
      </c>
      <c r="AH187" s="29">
        <f>IF(A187&gt;SV_T,0,N187+O187+AF187-MAX(0,AE187-(P187+AC187)))</f>
        <v/>
      </c>
      <c r="AI187" s="29">
        <f>IF(OR(OR(A187&lt;1,A187&gt;SV_T),A187-1&gt;=SV_retPay),0,SV_retMth*12+IF(A187=1,SV_retLump,0))</f>
        <v/>
      </c>
      <c r="AJ187" s="29">
        <f>IF(A187&gt;SV_T,0,(AJ186+AI187)*(1+investmentReturn))</f>
        <v/>
      </c>
      <c r="AK187" s="29">
        <f>IF(OR(OR(A187&lt;1,A187&gt;SV_T),A187-1&gt;=SV_goalPay),0,SV_goalMth*12+IF(A187=1,SV_goalLump,0))</f>
        <v/>
      </c>
      <c r="AL187" s="29">
        <f>IF(A187&gt;SV_T,0,(AL186+AK187)*(1+investmentReturn))</f>
        <v/>
      </c>
      <c r="AM187" s="29">
        <f>IF(OR(OR(A187&lt;1,A187&gt;SV_T),A187-1&gt;=SV_protPay),0,SV_protPrem)</f>
        <v/>
      </c>
      <c r="AN187" s="29">
        <f>IF(OR(A187=0,A187&gt;=SV_T),0,ROUND(MAX(0,AJ187),2)+ROUND(MAX(0,AL187),2))</f>
        <v/>
      </c>
      <c r="AO187" s="29">
        <f>IF(OR(A187&lt;1,A187&gt;SV_T),0,-(AI187+AK187+AM187)+IF(A187=SV_T,ROUND(MAX(0,AJ187),2)+ROUND(MAX(0,AL187),2),0))</f>
        <v/>
      </c>
      <c r="AP187" s="29">
        <f>IF(A187&gt;SV_T,0,AP186*(1+SV_savRate)+H187+I187+J187+K187+AD187+AO187)</f>
        <v/>
      </c>
      <c r="AQ187" s="29">
        <f>IF(A187&gt;SV_T,0,MAX(0,N187+O187+P187+AC187+AP187+AN187-AE187))</f>
        <v/>
      </c>
      <c r="AR187" s="29">
        <f>IF(A187&gt;SV_T,0,N187+O187+AP187+AN187-MAX(0,AE187-(P187+AC187)))</f>
        <v/>
      </c>
    </row>
    <row r="188">
      <c r="A188" s="61" t="n">
        <v>65</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IF(OR(OR(A188&lt;1,A188&gt;SV_T),A188-1&gt;=SV_salCut),0,SV_sal0*(1+incomeGrowthRate)^(A188-1)*G188)</f>
        <v/>
      </c>
      <c r="I188" s="29">
        <f>IF(OR(A188&lt;1,A188&gt;SV_T),0,(-SV_exp0*F188-IF(A188&lt;=SV_loanYears,SV_inst,0)-IF(AND(SV_wdAmt&gt;0,A188=SV_wdYear),SV_wdAmt,0))*IF(AND(SV_expOn,A188&gt;=SV_expS,A188&lt;=SV_expE),1+SV_expImp,1))</f>
        <v/>
      </c>
      <c r="J188" s="29">
        <f>IF(OR(OR(A188&lt;1,A188&gt;SV_T),A188&gt;SV_loanYears),0,-SV_lifePremYr)</f>
        <v/>
      </c>
      <c r="K188" s="29">
        <f>IF(OR(A188&lt;1,A188&gt;SV_T),0,-SV_contrib)</f>
        <v/>
      </c>
      <c r="L188" s="60">
        <f>IF(AND(SV_crashOn,A188=SV_crashYr),SV_crashF,1)</f>
        <v/>
      </c>
      <c r="M188" s="60">
        <f>IF(AND(SV_ccyOn,A188=SV_ccyYr),SV_ccyF,1)</f>
        <v/>
      </c>
      <c r="N188" s="29">
        <f>IF(A188&gt;SV_T,0,N187*(1+interestRate)*L188*M188)</f>
        <v/>
      </c>
      <c r="O188" s="29">
        <f>IF(A188&gt;SV_T,0,(O187+SV_contrib)*(1+investmentReturn)*L188*M188)</f>
        <v/>
      </c>
      <c r="P188" s="29">
        <f>IF(A188&gt;SV_T,0,P187*(1+SV_propRate)*L188)</f>
        <v/>
      </c>
      <c r="Q188" s="46">
        <f>MATCH(SV_age+A188-1,SV_cpfLower,1)</f>
        <v/>
      </c>
      <c r="R188" s="29">
        <f>IF(OR(OR(A188&lt;1,A188&gt;SV_T),NOT(SV_cpfOn)),0,MIN(SV_sal0*(1+incomeGrowthRate)^(A188-1)*G188,SV_owCap))</f>
        <v/>
      </c>
      <c r="S188" s="29">
        <f>IF(A188&gt;SV_T,0,S187*(1+SV_oaRate)+IF(A188&gt;=SV_effStop,0,INDEX(SV_cpfOA,Q188)*INDEX(SV_cpfTot,Q188)*R188))</f>
        <v/>
      </c>
      <c r="T188" s="29">
        <f>IF(A188&gt;SV_T,0,T187*(1+SV_saRate)+IF(A188&gt;=SV_effStop,0,INDEX(SV_cpfSA,Q188)*INDEX(SV_cpfTot,Q188)*R188))</f>
        <v/>
      </c>
      <c r="U188" s="29">
        <f>IF(A188&gt;SV_T,0,U187*(1+SV_saRate)+IF(A188&gt;=SV_effStop,0,INDEX(SV_cpfMA,Q188)*INDEX(SV_cpfTot,Q188)*R188))</f>
        <v/>
      </c>
      <c r="V188" s="29">
        <f>IF(OR(OR(A188&lt;1,A188&gt;SV_T),A188&gt;=SV_effNeg),0,-(INDEX(SV_cpfOA,Q188)+INDEX(SV_cpfSA,Q188)+INDEX(SV_cpfMA,Q188))*INDEX(SV_cpfEmp,Q188)*R188)</f>
        <v/>
      </c>
      <c r="W188" s="29">
        <f>IF(A188&gt;=SV_sIdx,0,S188)</f>
        <v/>
      </c>
      <c r="X188" s="29">
        <f>IF(A188&gt;=SV_sIdx,0,T188)</f>
        <v/>
      </c>
      <c r="Y188" s="29">
        <f>IF(A188&gt;=SV_sIdx,MIN(U188,SV_maCap),U188)</f>
        <v/>
      </c>
      <c r="Z188" s="29">
        <f>IF(AND(SV_cpfOn,A188&gt;=SV_pIdx,A188&lt;=SV_T),12*SV_pay,0)</f>
        <v/>
      </c>
      <c r="AA188" s="29">
        <f>IF(A188&gt;SV_T,0,IF(SV_sp&gt;=0,IF(A188&lt;SV_sIdx,0,IF(A188=SV_sIdx,SV_R0,SV_lifeGrowth*AA187)),SV_lifeGrowth*AA187))</f>
        <v/>
      </c>
      <c r="AB188" s="29">
        <f>IF(A188&gt;SV_T,0,IF(AND(SV_sp&gt;=0,A188&lt;SV_sIdx),0,IF(AND(SV_sp&gt;=0,A188=SV_sIdx),SV_L0,SV_lifeGrowth*(AB187-Z188))))</f>
        <v/>
      </c>
      <c r="AC188" s="29">
        <f>W188+X188+AA188+Y188+IF(AA188&lt;0,0,AB188)</f>
        <v/>
      </c>
      <c r="AD188" s="29">
        <f>Z188+V188</f>
        <v/>
      </c>
      <c r="AE188" s="29">
        <f>IF(OR(A188&gt;SV_T,A188&gt;=SV_loanYears),0,MAX(0,AE187*(1+loanRate)-SV_inst))</f>
        <v/>
      </c>
      <c r="AF188" s="29">
        <f>IF(A188&gt;SV_T,0,AF187*(1+SV_savRate)+H188+I188+J188+K188+AD188)</f>
        <v/>
      </c>
      <c r="AG188" s="29">
        <f>IF(A188&gt;SV_T,0,MAX(0,N188+O188+P188+AC188+AF188-AE188))</f>
        <v/>
      </c>
      <c r="AH188" s="29">
        <f>IF(A188&gt;SV_T,0,N188+O188+AF188-MAX(0,AE188-(P188+AC188)))</f>
        <v/>
      </c>
      <c r="AI188" s="29">
        <f>IF(OR(OR(A188&lt;1,A188&gt;SV_T),A188-1&gt;=SV_retPay),0,SV_retMth*12+IF(A188=1,SV_retLump,0))</f>
        <v/>
      </c>
      <c r="AJ188" s="29">
        <f>IF(A188&gt;SV_T,0,(AJ187+AI188)*(1+investmentReturn))</f>
        <v/>
      </c>
      <c r="AK188" s="29">
        <f>IF(OR(OR(A188&lt;1,A188&gt;SV_T),A188-1&gt;=SV_goalPay),0,SV_goalMth*12+IF(A188=1,SV_goalLump,0))</f>
        <v/>
      </c>
      <c r="AL188" s="29">
        <f>IF(A188&gt;SV_T,0,(AL187+AK188)*(1+investmentReturn))</f>
        <v/>
      </c>
      <c r="AM188" s="29">
        <f>IF(OR(OR(A188&lt;1,A188&gt;SV_T),A188-1&gt;=SV_protPay),0,SV_protPrem)</f>
        <v/>
      </c>
      <c r="AN188" s="29">
        <f>IF(OR(A188=0,A188&gt;=SV_T),0,ROUND(MAX(0,AJ188),2)+ROUND(MAX(0,AL188),2))</f>
        <v/>
      </c>
      <c r="AO188" s="29">
        <f>IF(OR(A188&lt;1,A188&gt;SV_T),0,-(AI188+AK188+AM188)+IF(A188=SV_T,ROUND(MAX(0,AJ188),2)+ROUND(MAX(0,AL188),2),0))</f>
        <v/>
      </c>
      <c r="AP188" s="29">
        <f>IF(A188&gt;SV_T,0,AP187*(1+SV_savRate)+H188+I188+J188+K188+AD188+AO188)</f>
        <v/>
      </c>
      <c r="AQ188" s="29">
        <f>IF(A188&gt;SV_T,0,MAX(0,N188+O188+P188+AC188+AP188+AN188-AE188))</f>
        <v/>
      </c>
      <c r="AR188" s="29">
        <f>IF(A188&gt;SV_T,0,N188+O188+AP188+AN188-MAX(0,AE188-(P188+AC188)))</f>
        <v/>
      </c>
    </row>
    <row r="189">
      <c r="A189" s="61" t="n">
        <v>66</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IF(OR(OR(A189&lt;1,A189&gt;SV_T),A189-1&gt;=SV_salCut),0,SV_sal0*(1+incomeGrowthRate)^(A189-1)*G189)</f>
        <v/>
      </c>
      <c r="I189" s="29">
        <f>IF(OR(A189&lt;1,A189&gt;SV_T),0,(-SV_exp0*F189-IF(A189&lt;=SV_loanYears,SV_inst,0)-IF(AND(SV_wdAmt&gt;0,A189=SV_wdYear),SV_wdAmt,0))*IF(AND(SV_expOn,A189&gt;=SV_expS,A189&lt;=SV_expE),1+SV_expImp,1))</f>
        <v/>
      </c>
      <c r="J189" s="29">
        <f>IF(OR(OR(A189&lt;1,A189&gt;SV_T),A189&gt;SV_loanYears),0,-SV_lifePremYr)</f>
        <v/>
      </c>
      <c r="K189" s="29">
        <f>IF(OR(A189&lt;1,A189&gt;SV_T),0,-SV_contrib)</f>
        <v/>
      </c>
      <c r="L189" s="60">
        <f>IF(AND(SV_crashOn,A189=SV_crashYr),SV_crashF,1)</f>
        <v/>
      </c>
      <c r="M189" s="60">
        <f>IF(AND(SV_ccyOn,A189=SV_ccyYr),SV_ccyF,1)</f>
        <v/>
      </c>
      <c r="N189" s="29">
        <f>IF(A189&gt;SV_T,0,N188*(1+interestRate)*L189*M189)</f>
        <v/>
      </c>
      <c r="O189" s="29">
        <f>IF(A189&gt;SV_T,0,(O188+SV_contrib)*(1+investmentReturn)*L189*M189)</f>
        <v/>
      </c>
      <c r="P189" s="29">
        <f>IF(A189&gt;SV_T,0,P188*(1+SV_propRate)*L189)</f>
        <v/>
      </c>
      <c r="Q189" s="46">
        <f>MATCH(SV_age+A189-1,SV_cpfLower,1)</f>
        <v/>
      </c>
      <c r="R189" s="29">
        <f>IF(OR(OR(A189&lt;1,A189&gt;SV_T),NOT(SV_cpfOn)),0,MIN(SV_sal0*(1+incomeGrowthRate)^(A189-1)*G189,SV_owCap))</f>
        <v/>
      </c>
      <c r="S189" s="29">
        <f>IF(A189&gt;SV_T,0,S188*(1+SV_oaRate)+IF(A189&gt;=SV_effStop,0,INDEX(SV_cpfOA,Q189)*INDEX(SV_cpfTot,Q189)*R189))</f>
        <v/>
      </c>
      <c r="T189" s="29">
        <f>IF(A189&gt;SV_T,0,T188*(1+SV_saRate)+IF(A189&gt;=SV_effStop,0,INDEX(SV_cpfSA,Q189)*INDEX(SV_cpfTot,Q189)*R189))</f>
        <v/>
      </c>
      <c r="U189" s="29">
        <f>IF(A189&gt;SV_T,0,U188*(1+SV_saRate)+IF(A189&gt;=SV_effStop,0,INDEX(SV_cpfMA,Q189)*INDEX(SV_cpfTot,Q189)*R189))</f>
        <v/>
      </c>
      <c r="V189" s="29">
        <f>IF(OR(OR(A189&lt;1,A189&gt;SV_T),A189&gt;=SV_effNeg),0,-(INDEX(SV_cpfOA,Q189)+INDEX(SV_cpfSA,Q189)+INDEX(SV_cpfMA,Q189))*INDEX(SV_cpfEmp,Q189)*R189)</f>
        <v/>
      </c>
      <c r="W189" s="29">
        <f>IF(A189&gt;=SV_sIdx,0,S189)</f>
        <v/>
      </c>
      <c r="X189" s="29">
        <f>IF(A189&gt;=SV_sIdx,0,T189)</f>
        <v/>
      </c>
      <c r="Y189" s="29">
        <f>IF(A189&gt;=SV_sIdx,MIN(U189,SV_maCap),U189)</f>
        <v/>
      </c>
      <c r="Z189" s="29">
        <f>IF(AND(SV_cpfOn,A189&gt;=SV_pIdx,A189&lt;=SV_T),12*SV_pay,0)</f>
        <v/>
      </c>
      <c r="AA189" s="29">
        <f>IF(A189&gt;SV_T,0,IF(SV_sp&gt;=0,IF(A189&lt;SV_sIdx,0,IF(A189=SV_sIdx,SV_R0,SV_lifeGrowth*AA188)),SV_lifeGrowth*AA188))</f>
        <v/>
      </c>
      <c r="AB189" s="29">
        <f>IF(A189&gt;SV_T,0,IF(AND(SV_sp&gt;=0,A189&lt;SV_sIdx),0,IF(AND(SV_sp&gt;=0,A189=SV_sIdx),SV_L0,SV_lifeGrowth*(AB188-Z189))))</f>
        <v/>
      </c>
      <c r="AC189" s="29">
        <f>W189+X189+AA189+Y189+IF(AA189&lt;0,0,AB189)</f>
        <v/>
      </c>
      <c r="AD189" s="29">
        <f>Z189+V189</f>
        <v/>
      </c>
      <c r="AE189" s="29">
        <f>IF(OR(A189&gt;SV_T,A189&gt;=SV_loanYears),0,MAX(0,AE188*(1+loanRate)-SV_inst))</f>
        <v/>
      </c>
      <c r="AF189" s="29">
        <f>IF(A189&gt;SV_T,0,AF188*(1+SV_savRate)+H189+I189+J189+K189+AD189)</f>
        <v/>
      </c>
      <c r="AG189" s="29">
        <f>IF(A189&gt;SV_T,0,MAX(0,N189+O189+P189+AC189+AF189-AE189))</f>
        <v/>
      </c>
      <c r="AH189" s="29">
        <f>IF(A189&gt;SV_T,0,N189+O189+AF189-MAX(0,AE189-(P189+AC189)))</f>
        <v/>
      </c>
      <c r="AI189" s="29">
        <f>IF(OR(OR(A189&lt;1,A189&gt;SV_T),A189-1&gt;=SV_retPay),0,SV_retMth*12+IF(A189=1,SV_retLump,0))</f>
        <v/>
      </c>
      <c r="AJ189" s="29">
        <f>IF(A189&gt;SV_T,0,(AJ188+AI189)*(1+investmentReturn))</f>
        <v/>
      </c>
      <c r="AK189" s="29">
        <f>IF(OR(OR(A189&lt;1,A189&gt;SV_T),A189-1&gt;=SV_goalPay),0,SV_goalMth*12+IF(A189=1,SV_goalLump,0))</f>
        <v/>
      </c>
      <c r="AL189" s="29">
        <f>IF(A189&gt;SV_T,0,(AL188+AK189)*(1+investmentReturn))</f>
        <v/>
      </c>
      <c r="AM189" s="29">
        <f>IF(OR(OR(A189&lt;1,A189&gt;SV_T),A189-1&gt;=SV_protPay),0,SV_protPrem)</f>
        <v/>
      </c>
      <c r="AN189" s="29">
        <f>IF(OR(A189=0,A189&gt;=SV_T),0,ROUND(MAX(0,AJ189),2)+ROUND(MAX(0,AL189),2))</f>
        <v/>
      </c>
      <c r="AO189" s="29">
        <f>IF(OR(A189&lt;1,A189&gt;SV_T),0,-(AI189+AK189+AM189)+IF(A189=SV_T,ROUND(MAX(0,AJ189),2)+ROUND(MAX(0,AL189),2),0))</f>
        <v/>
      </c>
      <c r="AP189" s="29">
        <f>IF(A189&gt;SV_T,0,AP188*(1+SV_savRate)+H189+I189+J189+K189+AD189+AO189)</f>
        <v/>
      </c>
      <c r="AQ189" s="29">
        <f>IF(A189&gt;SV_T,0,MAX(0,N189+O189+P189+AC189+AP189+AN189-AE189))</f>
        <v/>
      </c>
      <c r="AR189" s="29">
        <f>IF(A189&gt;SV_T,0,N189+O189+AP189+AN189-MAX(0,AE189-(P189+AC189)))</f>
        <v/>
      </c>
    </row>
    <row r="190">
      <c r="A190" s="61" t="n">
        <v>67</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IF(OR(OR(A190&lt;1,A190&gt;SV_T),A190-1&gt;=SV_salCut),0,SV_sal0*(1+incomeGrowthRate)^(A190-1)*G190)</f>
        <v/>
      </c>
      <c r="I190" s="29">
        <f>IF(OR(A190&lt;1,A190&gt;SV_T),0,(-SV_exp0*F190-IF(A190&lt;=SV_loanYears,SV_inst,0)-IF(AND(SV_wdAmt&gt;0,A190=SV_wdYear),SV_wdAmt,0))*IF(AND(SV_expOn,A190&gt;=SV_expS,A190&lt;=SV_expE),1+SV_expImp,1))</f>
        <v/>
      </c>
      <c r="J190" s="29">
        <f>IF(OR(OR(A190&lt;1,A190&gt;SV_T),A190&gt;SV_loanYears),0,-SV_lifePremYr)</f>
        <v/>
      </c>
      <c r="K190" s="29">
        <f>IF(OR(A190&lt;1,A190&gt;SV_T),0,-SV_contrib)</f>
        <v/>
      </c>
      <c r="L190" s="60">
        <f>IF(AND(SV_crashOn,A190=SV_crashYr),SV_crashF,1)</f>
        <v/>
      </c>
      <c r="M190" s="60">
        <f>IF(AND(SV_ccyOn,A190=SV_ccyYr),SV_ccyF,1)</f>
        <v/>
      </c>
      <c r="N190" s="29">
        <f>IF(A190&gt;SV_T,0,N189*(1+interestRate)*L190*M190)</f>
        <v/>
      </c>
      <c r="O190" s="29">
        <f>IF(A190&gt;SV_T,0,(O189+SV_contrib)*(1+investmentReturn)*L190*M190)</f>
        <v/>
      </c>
      <c r="P190" s="29">
        <f>IF(A190&gt;SV_T,0,P189*(1+SV_propRate)*L190)</f>
        <v/>
      </c>
      <c r="Q190" s="46">
        <f>MATCH(SV_age+A190-1,SV_cpfLower,1)</f>
        <v/>
      </c>
      <c r="R190" s="29">
        <f>IF(OR(OR(A190&lt;1,A190&gt;SV_T),NOT(SV_cpfOn)),0,MIN(SV_sal0*(1+incomeGrowthRate)^(A190-1)*G190,SV_owCap))</f>
        <v/>
      </c>
      <c r="S190" s="29">
        <f>IF(A190&gt;SV_T,0,S189*(1+SV_oaRate)+IF(A190&gt;=SV_effStop,0,INDEX(SV_cpfOA,Q190)*INDEX(SV_cpfTot,Q190)*R190))</f>
        <v/>
      </c>
      <c r="T190" s="29">
        <f>IF(A190&gt;SV_T,0,T189*(1+SV_saRate)+IF(A190&gt;=SV_effStop,0,INDEX(SV_cpfSA,Q190)*INDEX(SV_cpfTot,Q190)*R190))</f>
        <v/>
      </c>
      <c r="U190" s="29">
        <f>IF(A190&gt;SV_T,0,U189*(1+SV_saRate)+IF(A190&gt;=SV_effStop,0,INDEX(SV_cpfMA,Q190)*INDEX(SV_cpfTot,Q190)*R190))</f>
        <v/>
      </c>
      <c r="V190" s="29">
        <f>IF(OR(OR(A190&lt;1,A190&gt;SV_T),A190&gt;=SV_effNeg),0,-(INDEX(SV_cpfOA,Q190)+INDEX(SV_cpfSA,Q190)+INDEX(SV_cpfMA,Q190))*INDEX(SV_cpfEmp,Q190)*R190)</f>
        <v/>
      </c>
      <c r="W190" s="29">
        <f>IF(A190&gt;=SV_sIdx,0,S190)</f>
        <v/>
      </c>
      <c r="X190" s="29">
        <f>IF(A190&gt;=SV_sIdx,0,T190)</f>
        <v/>
      </c>
      <c r="Y190" s="29">
        <f>IF(A190&gt;=SV_sIdx,MIN(U190,SV_maCap),U190)</f>
        <v/>
      </c>
      <c r="Z190" s="29">
        <f>IF(AND(SV_cpfOn,A190&gt;=SV_pIdx,A190&lt;=SV_T),12*SV_pay,0)</f>
        <v/>
      </c>
      <c r="AA190" s="29">
        <f>IF(A190&gt;SV_T,0,IF(SV_sp&gt;=0,IF(A190&lt;SV_sIdx,0,IF(A190=SV_sIdx,SV_R0,SV_lifeGrowth*AA189)),SV_lifeGrowth*AA189))</f>
        <v/>
      </c>
      <c r="AB190" s="29">
        <f>IF(A190&gt;SV_T,0,IF(AND(SV_sp&gt;=0,A190&lt;SV_sIdx),0,IF(AND(SV_sp&gt;=0,A190=SV_sIdx),SV_L0,SV_lifeGrowth*(AB189-Z190))))</f>
        <v/>
      </c>
      <c r="AC190" s="29">
        <f>W190+X190+AA190+Y190+IF(AA190&lt;0,0,AB190)</f>
        <v/>
      </c>
      <c r="AD190" s="29">
        <f>Z190+V190</f>
        <v/>
      </c>
      <c r="AE190" s="29">
        <f>IF(OR(A190&gt;SV_T,A190&gt;=SV_loanYears),0,MAX(0,AE189*(1+loanRate)-SV_inst))</f>
        <v/>
      </c>
      <c r="AF190" s="29">
        <f>IF(A190&gt;SV_T,0,AF189*(1+SV_savRate)+H190+I190+J190+K190+AD190)</f>
        <v/>
      </c>
      <c r="AG190" s="29">
        <f>IF(A190&gt;SV_T,0,MAX(0,N190+O190+P190+AC190+AF190-AE190))</f>
        <v/>
      </c>
      <c r="AH190" s="29">
        <f>IF(A190&gt;SV_T,0,N190+O190+AF190-MAX(0,AE190-(P190+AC190)))</f>
        <v/>
      </c>
      <c r="AI190" s="29">
        <f>IF(OR(OR(A190&lt;1,A190&gt;SV_T),A190-1&gt;=SV_retPay),0,SV_retMth*12+IF(A190=1,SV_retLump,0))</f>
        <v/>
      </c>
      <c r="AJ190" s="29">
        <f>IF(A190&gt;SV_T,0,(AJ189+AI190)*(1+investmentReturn))</f>
        <v/>
      </c>
      <c r="AK190" s="29">
        <f>IF(OR(OR(A190&lt;1,A190&gt;SV_T),A190-1&gt;=SV_goalPay),0,SV_goalMth*12+IF(A190=1,SV_goalLump,0))</f>
        <v/>
      </c>
      <c r="AL190" s="29">
        <f>IF(A190&gt;SV_T,0,(AL189+AK190)*(1+investmentReturn))</f>
        <v/>
      </c>
      <c r="AM190" s="29">
        <f>IF(OR(OR(A190&lt;1,A190&gt;SV_T),A190-1&gt;=SV_protPay),0,SV_protPrem)</f>
        <v/>
      </c>
      <c r="AN190" s="29">
        <f>IF(OR(A190=0,A190&gt;=SV_T),0,ROUND(MAX(0,AJ190),2)+ROUND(MAX(0,AL190),2))</f>
        <v/>
      </c>
      <c r="AO190" s="29">
        <f>IF(OR(A190&lt;1,A190&gt;SV_T),0,-(AI190+AK190+AM190)+IF(A190=SV_T,ROUND(MAX(0,AJ190),2)+ROUND(MAX(0,AL190),2),0))</f>
        <v/>
      </c>
      <c r="AP190" s="29">
        <f>IF(A190&gt;SV_T,0,AP189*(1+SV_savRate)+H190+I190+J190+K190+AD190+AO190)</f>
        <v/>
      </c>
      <c r="AQ190" s="29">
        <f>IF(A190&gt;SV_T,0,MAX(0,N190+O190+P190+AC190+AP190+AN190-AE190))</f>
        <v/>
      </c>
      <c r="AR190" s="29">
        <f>IF(A190&gt;SV_T,0,N190+O190+AP190+AN190-MAX(0,AE190-(P190+AC190)))</f>
        <v/>
      </c>
    </row>
    <row r="191">
      <c r="A191" s="61" t="n">
        <v>68</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IF(OR(OR(A191&lt;1,A191&gt;SV_T),A191-1&gt;=SV_salCut),0,SV_sal0*(1+incomeGrowthRate)^(A191-1)*G191)</f>
        <v/>
      </c>
      <c r="I191" s="29">
        <f>IF(OR(A191&lt;1,A191&gt;SV_T),0,(-SV_exp0*F191-IF(A191&lt;=SV_loanYears,SV_inst,0)-IF(AND(SV_wdAmt&gt;0,A191=SV_wdYear),SV_wdAmt,0))*IF(AND(SV_expOn,A191&gt;=SV_expS,A191&lt;=SV_expE),1+SV_expImp,1))</f>
        <v/>
      </c>
      <c r="J191" s="29">
        <f>IF(OR(OR(A191&lt;1,A191&gt;SV_T),A191&gt;SV_loanYears),0,-SV_lifePremYr)</f>
        <v/>
      </c>
      <c r="K191" s="29">
        <f>IF(OR(A191&lt;1,A191&gt;SV_T),0,-SV_contrib)</f>
        <v/>
      </c>
      <c r="L191" s="60">
        <f>IF(AND(SV_crashOn,A191=SV_crashYr),SV_crashF,1)</f>
        <v/>
      </c>
      <c r="M191" s="60">
        <f>IF(AND(SV_ccyOn,A191=SV_ccyYr),SV_ccyF,1)</f>
        <v/>
      </c>
      <c r="N191" s="29">
        <f>IF(A191&gt;SV_T,0,N190*(1+interestRate)*L191*M191)</f>
        <v/>
      </c>
      <c r="O191" s="29">
        <f>IF(A191&gt;SV_T,0,(O190+SV_contrib)*(1+investmentReturn)*L191*M191)</f>
        <v/>
      </c>
      <c r="P191" s="29">
        <f>IF(A191&gt;SV_T,0,P190*(1+SV_propRate)*L191)</f>
        <v/>
      </c>
      <c r="Q191" s="46">
        <f>MATCH(SV_age+A191-1,SV_cpfLower,1)</f>
        <v/>
      </c>
      <c r="R191" s="29">
        <f>IF(OR(OR(A191&lt;1,A191&gt;SV_T),NOT(SV_cpfOn)),0,MIN(SV_sal0*(1+incomeGrowthRate)^(A191-1)*G191,SV_owCap))</f>
        <v/>
      </c>
      <c r="S191" s="29">
        <f>IF(A191&gt;SV_T,0,S190*(1+SV_oaRate)+IF(A191&gt;=SV_effStop,0,INDEX(SV_cpfOA,Q191)*INDEX(SV_cpfTot,Q191)*R191))</f>
        <v/>
      </c>
      <c r="T191" s="29">
        <f>IF(A191&gt;SV_T,0,T190*(1+SV_saRate)+IF(A191&gt;=SV_effStop,0,INDEX(SV_cpfSA,Q191)*INDEX(SV_cpfTot,Q191)*R191))</f>
        <v/>
      </c>
      <c r="U191" s="29">
        <f>IF(A191&gt;SV_T,0,U190*(1+SV_saRate)+IF(A191&gt;=SV_effStop,0,INDEX(SV_cpfMA,Q191)*INDEX(SV_cpfTot,Q191)*R191))</f>
        <v/>
      </c>
      <c r="V191" s="29">
        <f>IF(OR(OR(A191&lt;1,A191&gt;SV_T),A191&gt;=SV_effNeg),0,-(INDEX(SV_cpfOA,Q191)+INDEX(SV_cpfSA,Q191)+INDEX(SV_cpfMA,Q191))*INDEX(SV_cpfEmp,Q191)*R191)</f>
        <v/>
      </c>
      <c r="W191" s="29">
        <f>IF(A191&gt;=SV_sIdx,0,S191)</f>
        <v/>
      </c>
      <c r="X191" s="29">
        <f>IF(A191&gt;=SV_sIdx,0,T191)</f>
        <v/>
      </c>
      <c r="Y191" s="29">
        <f>IF(A191&gt;=SV_sIdx,MIN(U191,SV_maCap),U191)</f>
        <v/>
      </c>
      <c r="Z191" s="29">
        <f>IF(AND(SV_cpfOn,A191&gt;=SV_pIdx,A191&lt;=SV_T),12*SV_pay,0)</f>
        <v/>
      </c>
      <c r="AA191" s="29">
        <f>IF(A191&gt;SV_T,0,IF(SV_sp&gt;=0,IF(A191&lt;SV_sIdx,0,IF(A191=SV_sIdx,SV_R0,SV_lifeGrowth*AA190)),SV_lifeGrowth*AA190))</f>
        <v/>
      </c>
      <c r="AB191" s="29">
        <f>IF(A191&gt;SV_T,0,IF(AND(SV_sp&gt;=0,A191&lt;SV_sIdx),0,IF(AND(SV_sp&gt;=0,A191=SV_sIdx),SV_L0,SV_lifeGrowth*(AB190-Z191))))</f>
        <v/>
      </c>
      <c r="AC191" s="29">
        <f>W191+X191+AA191+Y191+IF(AA191&lt;0,0,AB191)</f>
        <v/>
      </c>
      <c r="AD191" s="29">
        <f>Z191+V191</f>
        <v/>
      </c>
      <c r="AE191" s="29">
        <f>IF(OR(A191&gt;SV_T,A191&gt;=SV_loanYears),0,MAX(0,AE190*(1+loanRate)-SV_inst))</f>
        <v/>
      </c>
      <c r="AF191" s="29">
        <f>IF(A191&gt;SV_T,0,AF190*(1+SV_savRate)+H191+I191+J191+K191+AD191)</f>
        <v/>
      </c>
      <c r="AG191" s="29">
        <f>IF(A191&gt;SV_T,0,MAX(0,N191+O191+P191+AC191+AF191-AE191))</f>
        <v/>
      </c>
      <c r="AH191" s="29">
        <f>IF(A191&gt;SV_T,0,N191+O191+AF191-MAX(0,AE191-(P191+AC191)))</f>
        <v/>
      </c>
      <c r="AI191" s="29">
        <f>IF(OR(OR(A191&lt;1,A191&gt;SV_T),A191-1&gt;=SV_retPay),0,SV_retMth*12+IF(A191=1,SV_retLump,0))</f>
        <v/>
      </c>
      <c r="AJ191" s="29">
        <f>IF(A191&gt;SV_T,0,(AJ190+AI191)*(1+investmentReturn))</f>
        <v/>
      </c>
      <c r="AK191" s="29">
        <f>IF(OR(OR(A191&lt;1,A191&gt;SV_T),A191-1&gt;=SV_goalPay),0,SV_goalMth*12+IF(A191=1,SV_goalLump,0))</f>
        <v/>
      </c>
      <c r="AL191" s="29">
        <f>IF(A191&gt;SV_T,0,(AL190+AK191)*(1+investmentReturn))</f>
        <v/>
      </c>
      <c r="AM191" s="29">
        <f>IF(OR(OR(A191&lt;1,A191&gt;SV_T),A191-1&gt;=SV_protPay),0,SV_protPrem)</f>
        <v/>
      </c>
      <c r="AN191" s="29">
        <f>IF(OR(A191=0,A191&gt;=SV_T),0,ROUND(MAX(0,AJ191),2)+ROUND(MAX(0,AL191),2))</f>
        <v/>
      </c>
      <c r="AO191" s="29">
        <f>IF(OR(A191&lt;1,A191&gt;SV_T),0,-(AI191+AK191+AM191)+IF(A191=SV_T,ROUND(MAX(0,AJ191),2)+ROUND(MAX(0,AL191),2),0))</f>
        <v/>
      </c>
      <c r="AP191" s="29">
        <f>IF(A191&gt;SV_T,0,AP190*(1+SV_savRate)+H191+I191+J191+K191+AD191+AO191)</f>
        <v/>
      </c>
      <c r="AQ191" s="29">
        <f>IF(A191&gt;SV_T,0,MAX(0,N191+O191+P191+AC191+AP191+AN191-AE191))</f>
        <v/>
      </c>
      <c r="AR191" s="29">
        <f>IF(A191&gt;SV_T,0,N191+O191+AP191+AN191-MAX(0,AE191-(P191+AC191)))</f>
        <v/>
      </c>
    </row>
    <row r="192">
      <c r="A192" s="61" t="n">
        <v>69</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IF(OR(OR(A192&lt;1,A192&gt;SV_T),A192-1&gt;=SV_salCut),0,SV_sal0*(1+incomeGrowthRate)^(A192-1)*G192)</f>
        <v/>
      </c>
      <c r="I192" s="29">
        <f>IF(OR(A192&lt;1,A192&gt;SV_T),0,(-SV_exp0*F192-IF(A192&lt;=SV_loanYears,SV_inst,0)-IF(AND(SV_wdAmt&gt;0,A192=SV_wdYear),SV_wdAmt,0))*IF(AND(SV_expOn,A192&gt;=SV_expS,A192&lt;=SV_expE),1+SV_expImp,1))</f>
        <v/>
      </c>
      <c r="J192" s="29">
        <f>IF(OR(OR(A192&lt;1,A192&gt;SV_T),A192&gt;SV_loanYears),0,-SV_lifePremYr)</f>
        <v/>
      </c>
      <c r="K192" s="29">
        <f>IF(OR(A192&lt;1,A192&gt;SV_T),0,-SV_contrib)</f>
        <v/>
      </c>
      <c r="L192" s="60">
        <f>IF(AND(SV_crashOn,A192=SV_crashYr),SV_crashF,1)</f>
        <v/>
      </c>
      <c r="M192" s="60">
        <f>IF(AND(SV_ccyOn,A192=SV_ccyYr),SV_ccyF,1)</f>
        <v/>
      </c>
      <c r="N192" s="29">
        <f>IF(A192&gt;SV_T,0,N191*(1+interestRate)*L192*M192)</f>
        <v/>
      </c>
      <c r="O192" s="29">
        <f>IF(A192&gt;SV_T,0,(O191+SV_contrib)*(1+investmentReturn)*L192*M192)</f>
        <v/>
      </c>
      <c r="P192" s="29">
        <f>IF(A192&gt;SV_T,0,P191*(1+SV_propRate)*L192)</f>
        <v/>
      </c>
      <c r="Q192" s="46">
        <f>MATCH(SV_age+A192-1,SV_cpfLower,1)</f>
        <v/>
      </c>
      <c r="R192" s="29">
        <f>IF(OR(OR(A192&lt;1,A192&gt;SV_T),NOT(SV_cpfOn)),0,MIN(SV_sal0*(1+incomeGrowthRate)^(A192-1)*G192,SV_owCap))</f>
        <v/>
      </c>
      <c r="S192" s="29">
        <f>IF(A192&gt;SV_T,0,S191*(1+SV_oaRate)+IF(A192&gt;=SV_effStop,0,INDEX(SV_cpfOA,Q192)*INDEX(SV_cpfTot,Q192)*R192))</f>
        <v/>
      </c>
      <c r="T192" s="29">
        <f>IF(A192&gt;SV_T,0,T191*(1+SV_saRate)+IF(A192&gt;=SV_effStop,0,INDEX(SV_cpfSA,Q192)*INDEX(SV_cpfTot,Q192)*R192))</f>
        <v/>
      </c>
      <c r="U192" s="29">
        <f>IF(A192&gt;SV_T,0,U191*(1+SV_saRate)+IF(A192&gt;=SV_effStop,0,INDEX(SV_cpfMA,Q192)*INDEX(SV_cpfTot,Q192)*R192))</f>
        <v/>
      </c>
      <c r="V192" s="29">
        <f>IF(OR(OR(A192&lt;1,A192&gt;SV_T),A192&gt;=SV_effNeg),0,-(INDEX(SV_cpfOA,Q192)+INDEX(SV_cpfSA,Q192)+INDEX(SV_cpfMA,Q192))*INDEX(SV_cpfEmp,Q192)*R192)</f>
        <v/>
      </c>
      <c r="W192" s="29">
        <f>IF(A192&gt;=SV_sIdx,0,S192)</f>
        <v/>
      </c>
      <c r="X192" s="29">
        <f>IF(A192&gt;=SV_sIdx,0,T192)</f>
        <v/>
      </c>
      <c r="Y192" s="29">
        <f>IF(A192&gt;=SV_sIdx,MIN(U192,SV_maCap),U192)</f>
        <v/>
      </c>
      <c r="Z192" s="29">
        <f>IF(AND(SV_cpfOn,A192&gt;=SV_pIdx,A192&lt;=SV_T),12*SV_pay,0)</f>
        <v/>
      </c>
      <c r="AA192" s="29">
        <f>IF(A192&gt;SV_T,0,IF(SV_sp&gt;=0,IF(A192&lt;SV_sIdx,0,IF(A192=SV_sIdx,SV_R0,SV_lifeGrowth*AA191)),SV_lifeGrowth*AA191))</f>
        <v/>
      </c>
      <c r="AB192" s="29">
        <f>IF(A192&gt;SV_T,0,IF(AND(SV_sp&gt;=0,A192&lt;SV_sIdx),0,IF(AND(SV_sp&gt;=0,A192=SV_sIdx),SV_L0,SV_lifeGrowth*(AB191-Z192))))</f>
        <v/>
      </c>
      <c r="AC192" s="29">
        <f>W192+X192+AA192+Y192+IF(AA192&lt;0,0,AB192)</f>
        <v/>
      </c>
      <c r="AD192" s="29">
        <f>Z192+V192</f>
        <v/>
      </c>
      <c r="AE192" s="29">
        <f>IF(OR(A192&gt;SV_T,A192&gt;=SV_loanYears),0,MAX(0,AE191*(1+loanRate)-SV_inst))</f>
        <v/>
      </c>
      <c r="AF192" s="29">
        <f>IF(A192&gt;SV_T,0,AF191*(1+SV_savRate)+H192+I192+J192+K192+AD192)</f>
        <v/>
      </c>
      <c r="AG192" s="29">
        <f>IF(A192&gt;SV_T,0,MAX(0,N192+O192+P192+AC192+AF192-AE192))</f>
        <v/>
      </c>
      <c r="AH192" s="29">
        <f>IF(A192&gt;SV_T,0,N192+O192+AF192-MAX(0,AE192-(P192+AC192)))</f>
        <v/>
      </c>
      <c r="AI192" s="29">
        <f>IF(OR(OR(A192&lt;1,A192&gt;SV_T),A192-1&gt;=SV_retPay),0,SV_retMth*12+IF(A192=1,SV_retLump,0))</f>
        <v/>
      </c>
      <c r="AJ192" s="29">
        <f>IF(A192&gt;SV_T,0,(AJ191+AI192)*(1+investmentReturn))</f>
        <v/>
      </c>
      <c r="AK192" s="29">
        <f>IF(OR(OR(A192&lt;1,A192&gt;SV_T),A192-1&gt;=SV_goalPay),0,SV_goalMth*12+IF(A192=1,SV_goalLump,0))</f>
        <v/>
      </c>
      <c r="AL192" s="29">
        <f>IF(A192&gt;SV_T,0,(AL191+AK192)*(1+investmentReturn))</f>
        <v/>
      </c>
      <c r="AM192" s="29">
        <f>IF(OR(OR(A192&lt;1,A192&gt;SV_T),A192-1&gt;=SV_protPay),0,SV_protPrem)</f>
        <v/>
      </c>
      <c r="AN192" s="29">
        <f>IF(OR(A192=0,A192&gt;=SV_T),0,ROUND(MAX(0,AJ192),2)+ROUND(MAX(0,AL192),2))</f>
        <v/>
      </c>
      <c r="AO192" s="29">
        <f>IF(OR(A192&lt;1,A192&gt;SV_T),0,-(AI192+AK192+AM192)+IF(A192=SV_T,ROUND(MAX(0,AJ192),2)+ROUND(MAX(0,AL192),2),0))</f>
        <v/>
      </c>
      <c r="AP192" s="29">
        <f>IF(A192&gt;SV_T,0,AP191*(1+SV_savRate)+H192+I192+J192+K192+AD192+AO192)</f>
        <v/>
      </c>
      <c r="AQ192" s="29">
        <f>IF(A192&gt;SV_T,0,MAX(0,N192+O192+P192+AC192+AP192+AN192-AE192))</f>
        <v/>
      </c>
      <c r="AR192" s="29">
        <f>IF(A192&gt;SV_T,0,N192+O192+AP192+AN192-MAX(0,AE192-(P192+AC192)))</f>
        <v/>
      </c>
    </row>
    <row r="193">
      <c r="A193" s="61" t="n">
        <v>70</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IF(OR(OR(A193&lt;1,A193&gt;SV_T),A193-1&gt;=SV_salCut),0,SV_sal0*(1+incomeGrowthRate)^(A193-1)*G193)</f>
        <v/>
      </c>
      <c r="I193" s="29">
        <f>IF(OR(A193&lt;1,A193&gt;SV_T),0,(-SV_exp0*F193-IF(A193&lt;=SV_loanYears,SV_inst,0)-IF(AND(SV_wdAmt&gt;0,A193=SV_wdYear),SV_wdAmt,0))*IF(AND(SV_expOn,A193&gt;=SV_expS,A193&lt;=SV_expE),1+SV_expImp,1))</f>
        <v/>
      </c>
      <c r="J193" s="29">
        <f>IF(OR(OR(A193&lt;1,A193&gt;SV_T),A193&gt;SV_loanYears),0,-SV_lifePremYr)</f>
        <v/>
      </c>
      <c r="K193" s="29">
        <f>IF(OR(A193&lt;1,A193&gt;SV_T),0,-SV_contrib)</f>
        <v/>
      </c>
      <c r="L193" s="60">
        <f>IF(AND(SV_crashOn,A193=SV_crashYr),SV_crashF,1)</f>
        <v/>
      </c>
      <c r="M193" s="60">
        <f>IF(AND(SV_ccyOn,A193=SV_ccyYr),SV_ccyF,1)</f>
        <v/>
      </c>
      <c r="N193" s="29">
        <f>IF(A193&gt;SV_T,0,N192*(1+interestRate)*L193*M193)</f>
        <v/>
      </c>
      <c r="O193" s="29">
        <f>IF(A193&gt;SV_T,0,(O192+SV_contrib)*(1+investmentReturn)*L193*M193)</f>
        <v/>
      </c>
      <c r="P193" s="29">
        <f>IF(A193&gt;SV_T,0,P192*(1+SV_propRate)*L193)</f>
        <v/>
      </c>
      <c r="Q193" s="46">
        <f>MATCH(SV_age+A193-1,SV_cpfLower,1)</f>
        <v/>
      </c>
      <c r="R193" s="29">
        <f>IF(OR(OR(A193&lt;1,A193&gt;SV_T),NOT(SV_cpfOn)),0,MIN(SV_sal0*(1+incomeGrowthRate)^(A193-1)*G193,SV_owCap))</f>
        <v/>
      </c>
      <c r="S193" s="29">
        <f>IF(A193&gt;SV_T,0,S192*(1+SV_oaRate)+IF(A193&gt;=SV_effStop,0,INDEX(SV_cpfOA,Q193)*INDEX(SV_cpfTot,Q193)*R193))</f>
        <v/>
      </c>
      <c r="T193" s="29">
        <f>IF(A193&gt;SV_T,0,T192*(1+SV_saRate)+IF(A193&gt;=SV_effStop,0,INDEX(SV_cpfSA,Q193)*INDEX(SV_cpfTot,Q193)*R193))</f>
        <v/>
      </c>
      <c r="U193" s="29">
        <f>IF(A193&gt;SV_T,0,U192*(1+SV_saRate)+IF(A193&gt;=SV_effStop,0,INDEX(SV_cpfMA,Q193)*INDEX(SV_cpfTot,Q193)*R193))</f>
        <v/>
      </c>
      <c r="V193" s="29">
        <f>IF(OR(OR(A193&lt;1,A193&gt;SV_T),A193&gt;=SV_effNeg),0,-(INDEX(SV_cpfOA,Q193)+INDEX(SV_cpfSA,Q193)+INDEX(SV_cpfMA,Q193))*INDEX(SV_cpfEmp,Q193)*R193)</f>
        <v/>
      </c>
      <c r="W193" s="29">
        <f>IF(A193&gt;=SV_sIdx,0,S193)</f>
        <v/>
      </c>
      <c r="X193" s="29">
        <f>IF(A193&gt;=SV_sIdx,0,T193)</f>
        <v/>
      </c>
      <c r="Y193" s="29">
        <f>IF(A193&gt;=SV_sIdx,MIN(U193,SV_maCap),U193)</f>
        <v/>
      </c>
      <c r="Z193" s="29">
        <f>IF(AND(SV_cpfOn,A193&gt;=SV_pIdx,A193&lt;=SV_T),12*SV_pay,0)</f>
        <v/>
      </c>
      <c r="AA193" s="29">
        <f>IF(A193&gt;SV_T,0,IF(SV_sp&gt;=0,IF(A193&lt;SV_sIdx,0,IF(A193=SV_sIdx,SV_R0,SV_lifeGrowth*AA192)),SV_lifeGrowth*AA192))</f>
        <v/>
      </c>
      <c r="AB193" s="29">
        <f>IF(A193&gt;SV_T,0,IF(AND(SV_sp&gt;=0,A193&lt;SV_sIdx),0,IF(AND(SV_sp&gt;=0,A193=SV_sIdx),SV_L0,SV_lifeGrowth*(AB192-Z193))))</f>
        <v/>
      </c>
      <c r="AC193" s="29">
        <f>W193+X193+AA193+Y193+IF(AA193&lt;0,0,AB193)</f>
        <v/>
      </c>
      <c r="AD193" s="29">
        <f>Z193+V193</f>
        <v/>
      </c>
      <c r="AE193" s="29">
        <f>IF(OR(A193&gt;SV_T,A193&gt;=SV_loanYears),0,MAX(0,AE192*(1+loanRate)-SV_inst))</f>
        <v/>
      </c>
      <c r="AF193" s="29">
        <f>IF(A193&gt;SV_T,0,AF192*(1+SV_savRate)+H193+I193+J193+K193+AD193)</f>
        <v/>
      </c>
      <c r="AG193" s="29">
        <f>IF(A193&gt;SV_T,0,MAX(0,N193+O193+P193+AC193+AF193-AE193))</f>
        <v/>
      </c>
      <c r="AH193" s="29">
        <f>IF(A193&gt;SV_T,0,N193+O193+AF193-MAX(0,AE193-(P193+AC193)))</f>
        <v/>
      </c>
      <c r="AI193" s="29">
        <f>IF(OR(OR(A193&lt;1,A193&gt;SV_T),A193-1&gt;=SV_retPay),0,SV_retMth*12+IF(A193=1,SV_retLump,0))</f>
        <v/>
      </c>
      <c r="AJ193" s="29">
        <f>IF(A193&gt;SV_T,0,(AJ192+AI193)*(1+investmentReturn))</f>
        <v/>
      </c>
      <c r="AK193" s="29">
        <f>IF(OR(OR(A193&lt;1,A193&gt;SV_T),A193-1&gt;=SV_goalPay),0,SV_goalMth*12+IF(A193=1,SV_goalLump,0))</f>
        <v/>
      </c>
      <c r="AL193" s="29">
        <f>IF(A193&gt;SV_T,0,(AL192+AK193)*(1+investmentReturn))</f>
        <v/>
      </c>
      <c r="AM193" s="29">
        <f>IF(OR(OR(A193&lt;1,A193&gt;SV_T),A193-1&gt;=SV_protPay),0,SV_protPrem)</f>
        <v/>
      </c>
      <c r="AN193" s="29">
        <f>IF(OR(A193=0,A193&gt;=SV_T),0,ROUND(MAX(0,AJ193),2)+ROUND(MAX(0,AL193),2))</f>
        <v/>
      </c>
      <c r="AO193" s="29">
        <f>IF(OR(A193&lt;1,A193&gt;SV_T),0,-(AI193+AK193+AM193)+IF(A193=SV_T,ROUND(MAX(0,AJ193),2)+ROUND(MAX(0,AL193),2),0))</f>
        <v/>
      </c>
      <c r="AP193" s="29">
        <f>IF(A193&gt;SV_T,0,AP192*(1+SV_savRate)+H193+I193+J193+K193+AD193+AO193)</f>
        <v/>
      </c>
      <c r="AQ193" s="29">
        <f>IF(A193&gt;SV_T,0,MAX(0,N193+O193+P193+AC193+AP193+AN193-AE193))</f>
        <v/>
      </c>
      <c r="AR193" s="29">
        <f>IF(A193&gt;SV_T,0,N193+O193+AP193+AN193-MAX(0,AE193-(P193+AC193)))</f>
        <v/>
      </c>
    </row>
    <row r="194">
      <c r="A194" s="61" t="n">
        <v>71</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IF(OR(OR(A194&lt;1,A194&gt;SV_T),A194-1&gt;=SV_salCut),0,SV_sal0*(1+incomeGrowthRate)^(A194-1)*G194)</f>
        <v/>
      </c>
      <c r="I194" s="29">
        <f>IF(OR(A194&lt;1,A194&gt;SV_T),0,(-SV_exp0*F194-IF(A194&lt;=SV_loanYears,SV_inst,0)-IF(AND(SV_wdAmt&gt;0,A194=SV_wdYear),SV_wdAmt,0))*IF(AND(SV_expOn,A194&gt;=SV_expS,A194&lt;=SV_expE),1+SV_expImp,1))</f>
        <v/>
      </c>
      <c r="J194" s="29">
        <f>IF(OR(OR(A194&lt;1,A194&gt;SV_T),A194&gt;SV_loanYears),0,-SV_lifePremYr)</f>
        <v/>
      </c>
      <c r="K194" s="29">
        <f>IF(OR(A194&lt;1,A194&gt;SV_T),0,-SV_contrib)</f>
        <v/>
      </c>
      <c r="L194" s="60">
        <f>IF(AND(SV_crashOn,A194=SV_crashYr),SV_crashF,1)</f>
        <v/>
      </c>
      <c r="M194" s="60">
        <f>IF(AND(SV_ccyOn,A194=SV_ccyYr),SV_ccyF,1)</f>
        <v/>
      </c>
      <c r="N194" s="29">
        <f>IF(A194&gt;SV_T,0,N193*(1+interestRate)*L194*M194)</f>
        <v/>
      </c>
      <c r="O194" s="29">
        <f>IF(A194&gt;SV_T,0,(O193+SV_contrib)*(1+investmentReturn)*L194*M194)</f>
        <v/>
      </c>
      <c r="P194" s="29">
        <f>IF(A194&gt;SV_T,0,P193*(1+SV_propRate)*L194)</f>
        <v/>
      </c>
      <c r="Q194" s="46">
        <f>MATCH(SV_age+A194-1,SV_cpfLower,1)</f>
        <v/>
      </c>
      <c r="R194" s="29">
        <f>IF(OR(OR(A194&lt;1,A194&gt;SV_T),NOT(SV_cpfOn)),0,MIN(SV_sal0*(1+incomeGrowthRate)^(A194-1)*G194,SV_owCap))</f>
        <v/>
      </c>
      <c r="S194" s="29">
        <f>IF(A194&gt;SV_T,0,S193*(1+SV_oaRate)+IF(A194&gt;=SV_effStop,0,INDEX(SV_cpfOA,Q194)*INDEX(SV_cpfTot,Q194)*R194))</f>
        <v/>
      </c>
      <c r="T194" s="29">
        <f>IF(A194&gt;SV_T,0,T193*(1+SV_saRate)+IF(A194&gt;=SV_effStop,0,INDEX(SV_cpfSA,Q194)*INDEX(SV_cpfTot,Q194)*R194))</f>
        <v/>
      </c>
      <c r="U194" s="29">
        <f>IF(A194&gt;SV_T,0,U193*(1+SV_saRate)+IF(A194&gt;=SV_effStop,0,INDEX(SV_cpfMA,Q194)*INDEX(SV_cpfTot,Q194)*R194))</f>
        <v/>
      </c>
      <c r="V194" s="29">
        <f>IF(OR(OR(A194&lt;1,A194&gt;SV_T),A194&gt;=SV_effNeg),0,-(INDEX(SV_cpfOA,Q194)+INDEX(SV_cpfSA,Q194)+INDEX(SV_cpfMA,Q194))*INDEX(SV_cpfEmp,Q194)*R194)</f>
        <v/>
      </c>
      <c r="W194" s="29">
        <f>IF(A194&gt;=SV_sIdx,0,S194)</f>
        <v/>
      </c>
      <c r="X194" s="29">
        <f>IF(A194&gt;=SV_sIdx,0,T194)</f>
        <v/>
      </c>
      <c r="Y194" s="29">
        <f>IF(A194&gt;=SV_sIdx,MIN(U194,SV_maCap),U194)</f>
        <v/>
      </c>
      <c r="Z194" s="29">
        <f>IF(AND(SV_cpfOn,A194&gt;=SV_pIdx,A194&lt;=SV_T),12*SV_pay,0)</f>
        <v/>
      </c>
      <c r="AA194" s="29">
        <f>IF(A194&gt;SV_T,0,IF(SV_sp&gt;=0,IF(A194&lt;SV_sIdx,0,IF(A194=SV_sIdx,SV_R0,SV_lifeGrowth*AA193)),SV_lifeGrowth*AA193))</f>
        <v/>
      </c>
      <c r="AB194" s="29">
        <f>IF(A194&gt;SV_T,0,IF(AND(SV_sp&gt;=0,A194&lt;SV_sIdx),0,IF(AND(SV_sp&gt;=0,A194=SV_sIdx),SV_L0,SV_lifeGrowth*(AB193-Z194))))</f>
        <v/>
      </c>
      <c r="AC194" s="29">
        <f>W194+X194+AA194+Y194+IF(AA194&lt;0,0,AB194)</f>
        <v/>
      </c>
      <c r="AD194" s="29">
        <f>Z194+V194</f>
        <v/>
      </c>
      <c r="AE194" s="29">
        <f>IF(OR(A194&gt;SV_T,A194&gt;=SV_loanYears),0,MAX(0,AE193*(1+loanRate)-SV_inst))</f>
        <v/>
      </c>
      <c r="AF194" s="29">
        <f>IF(A194&gt;SV_T,0,AF193*(1+SV_savRate)+H194+I194+J194+K194+AD194)</f>
        <v/>
      </c>
      <c r="AG194" s="29">
        <f>IF(A194&gt;SV_T,0,MAX(0,N194+O194+P194+AC194+AF194-AE194))</f>
        <v/>
      </c>
      <c r="AH194" s="29">
        <f>IF(A194&gt;SV_T,0,N194+O194+AF194-MAX(0,AE194-(P194+AC194)))</f>
        <v/>
      </c>
      <c r="AI194" s="29">
        <f>IF(OR(OR(A194&lt;1,A194&gt;SV_T),A194-1&gt;=SV_retPay),0,SV_retMth*12+IF(A194=1,SV_retLump,0))</f>
        <v/>
      </c>
      <c r="AJ194" s="29">
        <f>IF(A194&gt;SV_T,0,(AJ193+AI194)*(1+investmentReturn))</f>
        <v/>
      </c>
      <c r="AK194" s="29">
        <f>IF(OR(OR(A194&lt;1,A194&gt;SV_T),A194-1&gt;=SV_goalPay),0,SV_goalMth*12+IF(A194=1,SV_goalLump,0))</f>
        <v/>
      </c>
      <c r="AL194" s="29">
        <f>IF(A194&gt;SV_T,0,(AL193+AK194)*(1+investmentReturn))</f>
        <v/>
      </c>
      <c r="AM194" s="29">
        <f>IF(OR(OR(A194&lt;1,A194&gt;SV_T),A194-1&gt;=SV_protPay),0,SV_protPrem)</f>
        <v/>
      </c>
      <c r="AN194" s="29">
        <f>IF(OR(A194=0,A194&gt;=SV_T),0,ROUND(MAX(0,AJ194),2)+ROUND(MAX(0,AL194),2))</f>
        <v/>
      </c>
      <c r="AO194" s="29">
        <f>IF(OR(A194&lt;1,A194&gt;SV_T),0,-(AI194+AK194+AM194)+IF(A194=SV_T,ROUND(MAX(0,AJ194),2)+ROUND(MAX(0,AL194),2),0))</f>
        <v/>
      </c>
      <c r="AP194" s="29">
        <f>IF(A194&gt;SV_T,0,AP193*(1+SV_savRate)+H194+I194+J194+K194+AD194+AO194)</f>
        <v/>
      </c>
      <c r="AQ194" s="29">
        <f>IF(A194&gt;SV_T,0,MAX(0,N194+O194+P194+AC194+AP194+AN194-AE194))</f>
        <v/>
      </c>
      <c r="AR194" s="29">
        <f>IF(A194&gt;SV_T,0,N194+O194+AP194+AN194-MAX(0,AE194-(P194+AC194)))</f>
        <v/>
      </c>
    </row>
    <row r="195">
      <c r="A195" s="61" t="n">
        <v>72</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IF(OR(OR(A195&lt;1,A195&gt;SV_T),A195-1&gt;=SV_salCut),0,SV_sal0*(1+incomeGrowthRate)^(A195-1)*G195)</f>
        <v/>
      </c>
      <c r="I195" s="29">
        <f>IF(OR(A195&lt;1,A195&gt;SV_T),0,(-SV_exp0*F195-IF(A195&lt;=SV_loanYears,SV_inst,0)-IF(AND(SV_wdAmt&gt;0,A195=SV_wdYear),SV_wdAmt,0))*IF(AND(SV_expOn,A195&gt;=SV_expS,A195&lt;=SV_expE),1+SV_expImp,1))</f>
        <v/>
      </c>
      <c r="J195" s="29">
        <f>IF(OR(OR(A195&lt;1,A195&gt;SV_T),A195&gt;SV_loanYears),0,-SV_lifePremYr)</f>
        <v/>
      </c>
      <c r="K195" s="29">
        <f>IF(OR(A195&lt;1,A195&gt;SV_T),0,-SV_contrib)</f>
        <v/>
      </c>
      <c r="L195" s="60">
        <f>IF(AND(SV_crashOn,A195=SV_crashYr),SV_crashF,1)</f>
        <v/>
      </c>
      <c r="M195" s="60">
        <f>IF(AND(SV_ccyOn,A195=SV_ccyYr),SV_ccyF,1)</f>
        <v/>
      </c>
      <c r="N195" s="29">
        <f>IF(A195&gt;SV_T,0,N194*(1+interestRate)*L195*M195)</f>
        <v/>
      </c>
      <c r="O195" s="29">
        <f>IF(A195&gt;SV_T,0,(O194+SV_contrib)*(1+investmentReturn)*L195*M195)</f>
        <v/>
      </c>
      <c r="P195" s="29">
        <f>IF(A195&gt;SV_T,0,P194*(1+SV_propRate)*L195)</f>
        <v/>
      </c>
      <c r="Q195" s="46">
        <f>MATCH(SV_age+A195-1,SV_cpfLower,1)</f>
        <v/>
      </c>
      <c r="R195" s="29">
        <f>IF(OR(OR(A195&lt;1,A195&gt;SV_T),NOT(SV_cpfOn)),0,MIN(SV_sal0*(1+incomeGrowthRate)^(A195-1)*G195,SV_owCap))</f>
        <v/>
      </c>
      <c r="S195" s="29">
        <f>IF(A195&gt;SV_T,0,S194*(1+SV_oaRate)+IF(A195&gt;=SV_effStop,0,INDEX(SV_cpfOA,Q195)*INDEX(SV_cpfTot,Q195)*R195))</f>
        <v/>
      </c>
      <c r="T195" s="29">
        <f>IF(A195&gt;SV_T,0,T194*(1+SV_saRate)+IF(A195&gt;=SV_effStop,0,INDEX(SV_cpfSA,Q195)*INDEX(SV_cpfTot,Q195)*R195))</f>
        <v/>
      </c>
      <c r="U195" s="29">
        <f>IF(A195&gt;SV_T,0,U194*(1+SV_saRate)+IF(A195&gt;=SV_effStop,0,INDEX(SV_cpfMA,Q195)*INDEX(SV_cpfTot,Q195)*R195))</f>
        <v/>
      </c>
      <c r="V195" s="29">
        <f>IF(OR(OR(A195&lt;1,A195&gt;SV_T),A195&gt;=SV_effNeg),0,-(INDEX(SV_cpfOA,Q195)+INDEX(SV_cpfSA,Q195)+INDEX(SV_cpfMA,Q195))*INDEX(SV_cpfEmp,Q195)*R195)</f>
        <v/>
      </c>
      <c r="W195" s="29">
        <f>IF(A195&gt;=SV_sIdx,0,S195)</f>
        <v/>
      </c>
      <c r="X195" s="29">
        <f>IF(A195&gt;=SV_sIdx,0,T195)</f>
        <v/>
      </c>
      <c r="Y195" s="29">
        <f>IF(A195&gt;=SV_sIdx,MIN(U195,SV_maCap),U195)</f>
        <v/>
      </c>
      <c r="Z195" s="29">
        <f>IF(AND(SV_cpfOn,A195&gt;=SV_pIdx,A195&lt;=SV_T),12*SV_pay,0)</f>
        <v/>
      </c>
      <c r="AA195" s="29">
        <f>IF(A195&gt;SV_T,0,IF(SV_sp&gt;=0,IF(A195&lt;SV_sIdx,0,IF(A195=SV_sIdx,SV_R0,SV_lifeGrowth*AA194)),SV_lifeGrowth*AA194))</f>
        <v/>
      </c>
      <c r="AB195" s="29">
        <f>IF(A195&gt;SV_T,0,IF(AND(SV_sp&gt;=0,A195&lt;SV_sIdx),0,IF(AND(SV_sp&gt;=0,A195=SV_sIdx),SV_L0,SV_lifeGrowth*(AB194-Z195))))</f>
        <v/>
      </c>
      <c r="AC195" s="29">
        <f>W195+X195+AA195+Y195+IF(AA195&lt;0,0,AB195)</f>
        <v/>
      </c>
      <c r="AD195" s="29">
        <f>Z195+V195</f>
        <v/>
      </c>
      <c r="AE195" s="29">
        <f>IF(OR(A195&gt;SV_T,A195&gt;=SV_loanYears),0,MAX(0,AE194*(1+loanRate)-SV_inst))</f>
        <v/>
      </c>
      <c r="AF195" s="29">
        <f>IF(A195&gt;SV_T,0,AF194*(1+SV_savRate)+H195+I195+J195+K195+AD195)</f>
        <v/>
      </c>
      <c r="AG195" s="29">
        <f>IF(A195&gt;SV_T,0,MAX(0,N195+O195+P195+AC195+AF195-AE195))</f>
        <v/>
      </c>
      <c r="AH195" s="29">
        <f>IF(A195&gt;SV_T,0,N195+O195+AF195-MAX(0,AE195-(P195+AC195)))</f>
        <v/>
      </c>
      <c r="AI195" s="29">
        <f>IF(OR(OR(A195&lt;1,A195&gt;SV_T),A195-1&gt;=SV_retPay),0,SV_retMth*12+IF(A195=1,SV_retLump,0))</f>
        <v/>
      </c>
      <c r="AJ195" s="29">
        <f>IF(A195&gt;SV_T,0,(AJ194+AI195)*(1+investmentReturn))</f>
        <v/>
      </c>
      <c r="AK195" s="29">
        <f>IF(OR(OR(A195&lt;1,A195&gt;SV_T),A195-1&gt;=SV_goalPay),0,SV_goalMth*12+IF(A195=1,SV_goalLump,0))</f>
        <v/>
      </c>
      <c r="AL195" s="29">
        <f>IF(A195&gt;SV_T,0,(AL194+AK195)*(1+investmentReturn))</f>
        <v/>
      </c>
      <c r="AM195" s="29">
        <f>IF(OR(OR(A195&lt;1,A195&gt;SV_T),A195-1&gt;=SV_protPay),0,SV_protPrem)</f>
        <v/>
      </c>
      <c r="AN195" s="29">
        <f>IF(OR(A195=0,A195&gt;=SV_T),0,ROUND(MAX(0,AJ195),2)+ROUND(MAX(0,AL195),2))</f>
        <v/>
      </c>
      <c r="AO195" s="29">
        <f>IF(OR(A195&lt;1,A195&gt;SV_T),0,-(AI195+AK195+AM195)+IF(A195=SV_T,ROUND(MAX(0,AJ195),2)+ROUND(MAX(0,AL195),2),0))</f>
        <v/>
      </c>
      <c r="AP195" s="29">
        <f>IF(A195&gt;SV_T,0,AP194*(1+SV_savRate)+H195+I195+J195+K195+AD195+AO195)</f>
        <v/>
      </c>
      <c r="AQ195" s="29">
        <f>IF(A195&gt;SV_T,0,MAX(0,N195+O195+P195+AC195+AP195+AN195-AE195))</f>
        <v/>
      </c>
      <c r="AR195" s="29">
        <f>IF(A195&gt;SV_T,0,N195+O195+AP195+AN195-MAX(0,AE195-(P195+AC195)))</f>
        <v/>
      </c>
    </row>
    <row r="196">
      <c r="A196" s="61" t="n">
        <v>73</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IF(OR(OR(A196&lt;1,A196&gt;SV_T),A196-1&gt;=SV_salCut),0,SV_sal0*(1+incomeGrowthRate)^(A196-1)*G196)</f>
        <v/>
      </c>
      <c r="I196" s="29">
        <f>IF(OR(A196&lt;1,A196&gt;SV_T),0,(-SV_exp0*F196-IF(A196&lt;=SV_loanYears,SV_inst,0)-IF(AND(SV_wdAmt&gt;0,A196=SV_wdYear),SV_wdAmt,0))*IF(AND(SV_expOn,A196&gt;=SV_expS,A196&lt;=SV_expE),1+SV_expImp,1))</f>
        <v/>
      </c>
      <c r="J196" s="29">
        <f>IF(OR(OR(A196&lt;1,A196&gt;SV_T),A196&gt;SV_loanYears),0,-SV_lifePremYr)</f>
        <v/>
      </c>
      <c r="K196" s="29">
        <f>IF(OR(A196&lt;1,A196&gt;SV_T),0,-SV_contrib)</f>
        <v/>
      </c>
      <c r="L196" s="60">
        <f>IF(AND(SV_crashOn,A196=SV_crashYr),SV_crashF,1)</f>
        <v/>
      </c>
      <c r="M196" s="60">
        <f>IF(AND(SV_ccyOn,A196=SV_ccyYr),SV_ccyF,1)</f>
        <v/>
      </c>
      <c r="N196" s="29">
        <f>IF(A196&gt;SV_T,0,N195*(1+interestRate)*L196*M196)</f>
        <v/>
      </c>
      <c r="O196" s="29">
        <f>IF(A196&gt;SV_T,0,(O195+SV_contrib)*(1+investmentReturn)*L196*M196)</f>
        <v/>
      </c>
      <c r="P196" s="29">
        <f>IF(A196&gt;SV_T,0,P195*(1+SV_propRate)*L196)</f>
        <v/>
      </c>
      <c r="Q196" s="46">
        <f>MATCH(SV_age+A196-1,SV_cpfLower,1)</f>
        <v/>
      </c>
      <c r="R196" s="29">
        <f>IF(OR(OR(A196&lt;1,A196&gt;SV_T),NOT(SV_cpfOn)),0,MIN(SV_sal0*(1+incomeGrowthRate)^(A196-1)*G196,SV_owCap))</f>
        <v/>
      </c>
      <c r="S196" s="29">
        <f>IF(A196&gt;SV_T,0,S195*(1+SV_oaRate)+IF(A196&gt;=SV_effStop,0,INDEX(SV_cpfOA,Q196)*INDEX(SV_cpfTot,Q196)*R196))</f>
        <v/>
      </c>
      <c r="T196" s="29">
        <f>IF(A196&gt;SV_T,0,T195*(1+SV_saRate)+IF(A196&gt;=SV_effStop,0,INDEX(SV_cpfSA,Q196)*INDEX(SV_cpfTot,Q196)*R196))</f>
        <v/>
      </c>
      <c r="U196" s="29">
        <f>IF(A196&gt;SV_T,0,U195*(1+SV_saRate)+IF(A196&gt;=SV_effStop,0,INDEX(SV_cpfMA,Q196)*INDEX(SV_cpfTot,Q196)*R196))</f>
        <v/>
      </c>
      <c r="V196" s="29">
        <f>IF(OR(OR(A196&lt;1,A196&gt;SV_T),A196&gt;=SV_effNeg),0,-(INDEX(SV_cpfOA,Q196)+INDEX(SV_cpfSA,Q196)+INDEX(SV_cpfMA,Q196))*INDEX(SV_cpfEmp,Q196)*R196)</f>
        <v/>
      </c>
      <c r="W196" s="29">
        <f>IF(A196&gt;=SV_sIdx,0,S196)</f>
        <v/>
      </c>
      <c r="X196" s="29">
        <f>IF(A196&gt;=SV_sIdx,0,T196)</f>
        <v/>
      </c>
      <c r="Y196" s="29">
        <f>IF(A196&gt;=SV_sIdx,MIN(U196,SV_maCap),U196)</f>
        <v/>
      </c>
      <c r="Z196" s="29">
        <f>IF(AND(SV_cpfOn,A196&gt;=SV_pIdx,A196&lt;=SV_T),12*SV_pay,0)</f>
        <v/>
      </c>
      <c r="AA196" s="29">
        <f>IF(A196&gt;SV_T,0,IF(SV_sp&gt;=0,IF(A196&lt;SV_sIdx,0,IF(A196=SV_sIdx,SV_R0,SV_lifeGrowth*AA195)),SV_lifeGrowth*AA195))</f>
        <v/>
      </c>
      <c r="AB196" s="29">
        <f>IF(A196&gt;SV_T,0,IF(AND(SV_sp&gt;=0,A196&lt;SV_sIdx),0,IF(AND(SV_sp&gt;=0,A196=SV_sIdx),SV_L0,SV_lifeGrowth*(AB195-Z196))))</f>
        <v/>
      </c>
      <c r="AC196" s="29">
        <f>W196+X196+AA196+Y196+IF(AA196&lt;0,0,AB196)</f>
        <v/>
      </c>
      <c r="AD196" s="29">
        <f>Z196+V196</f>
        <v/>
      </c>
      <c r="AE196" s="29">
        <f>IF(OR(A196&gt;SV_T,A196&gt;=SV_loanYears),0,MAX(0,AE195*(1+loanRate)-SV_inst))</f>
        <v/>
      </c>
      <c r="AF196" s="29">
        <f>IF(A196&gt;SV_T,0,AF195*(1+SV_savRate)+H196+I196+J196+K196+AD196)</f>
        <v/>
      </c>
      <c r="AG196" s="29">
        <f>IF(A196&gt;SV_T,0,MAX(0,N196+O196+P196+AC196+AF196-AE196))</f>
        <v/>
      </c>
      <c r="AH196" s="29">
        <f>IF(A196&gt;SV_T,0,N196+O196+AF196-MAX(0,AE196-(P196+AC196)))</f>
        <v/>
      </c>
      <c r="AI196" s="29">
        <f>IF(OR(OR(A196&lt;1,A196&gt;SV_T),A196-1&gt;=SV_retPay),0,SV_retMth*12+IF(A196=1,SV_retLump,0))</f>
        <v/>
      </c>
      <c r="AJ196" s="29">
        <f>IF(A196&gt;SV_T,0,(AJ195+AI196)*(1+investmentReturn))</f>
        <v/>
      </c>
      <c r="AK196" s="29">
        <f>IF(OR(OR(A196&lt;1,A196&gt;SV_T),A196-1&gt;=SV_goalPay),0,SV_goalMth*12+IF(A196=1,SV_goalLump,0))</f>
        <v/>
      </c>
      <c r="AL196" s="29">
        <f>IF(A196&gt;SV_T,0,(AL195+AK196)*(1+investmentReturn))</f>
        <v/>
      </c>
      <c r="AM196" s="29">
        <f>IF(OR(OR(A196&lt;1,A196&gt;SV_T),A196-1&gt;=SV_protPay),0,SV_protPrem)</f>
        <v/>
      </c>
      <c r="AN196" s="29">
        <f>IF(OR(A196=0,A196&gt;=SV_T),0,ROUND(MAX(0,AJ196),2)+ROUND(MAX(0,AL196),2))</f>
        <v/>
      </c>
      <c r="AO196" s="29">
        <f>IF(OR(A196&lt;1,A196&gt;SV_T),0,-(AI196+AK196+AM196)+IF(A196=SV_T,ROUND(MAX(0,AJ196),2)+ROUND(MAX(0,AL196),2),0))</f>
        <v/>
      </c>
      <c r="AP196" s="29">
        <f>IF(A196&gt;SV_T,0,AP195*(1+SV_savRate)+H196+I196+J196+K196+AD196+AO196)</f>
        <v/>
      </c>
      <c r="AQ196" s="29">
        <f>IF(A196&gt;SV_T,0,MAX(0,N196+O196+P196+AC196+AP196+AN196-AE196))</f>
        <v/>
      </c>
      <c r="AR196" s="29">
        <f>IF(A196&gt;SV_T,0,N196+O196+AP196+AN196-MAX(0,AE196-(P196+AC196)))</f>
        <v/>
      </c>
    </row>
    <row r="197">
      <c r="A197" s="61" t="n">
        <v>74</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IF(OR(OR(A197&lt;1,A197&gt;SV_T),A197-1&gt;=SV_salCut),0,SV_sal0*(1+incomeGrowthRate)^(A197-1)*G197)</f>
        <v/>
      </c>
      <c r="I197" s="29">
        <f>IF(OR(A197&lt;1,A197&gt;SV_T),0,(-SV_exp0*F197-IF(A197&lt;=SV_loanYears,SV_inst,0)-IF(AND(SV_wdAmt&gt;0,A197=SV_wdYear),SV_wdAmt,0))*IF(AND(SV_expOn,A197&gt;=SV_expS,A197&lt;=SV_expE),1+SV_expImp,1))</f>
        <v/>
      </c>
      <c r="J197" s="29">
        <f>IF(OR(OR(A197&lt;1,A197&gt;SV_T),A197&gt;SV_loanYears),0,-SV_lifePremYr)</f>
        <v/>
      </c>
      <c r="K197" s="29">
        <f>IF(OR(A197&lt;1,A197&gt;SV_T),0,-SV_contrib)</f>
        <v/>
      </c>
      <c r="L197" s="60">
        <f>IF(AND(SV_crashOn,A197=SV_crashYr),SV_crashF,1)</f>
        <v/>
      </c>
      <c r="M197" s="60">
        <f>IF(AND(SV_ccyOn,A197=SV_ccyYr),SV_ccyF,1)</f>
        <v/>
      </c>
      <c r="N197" s="29">
        <f>IF(A197&gt;SV_T,0,N196*(1+interestRate)*L197*M197)</f>
        <v/>
      </c>
      <c r="O197" s="29">
        <f>IF(A197&gt;SV_T,0,(O196+SV_contrib)*(1+investmentReturn)*L197*M197)</f>
        <v/>
      </c>
      <c r="P197" s="29">
        <f>IF(A197&gt;SV_T,0,P196*(1+SV_propRate)*L197)</f>
        <v/>
      </c>
      <c r="Q197" s="46">
        <f>MATCH(SV_age+A197-1,SV_cpfLower,1)</f>
        <v/>
      </c>
      <c r="R197" s="29">
        <f>IF(OR(OR(A197&lt;1,A197&gt;SV_T),NOT(SV_cpfOn)),0,MIN(SV_sal0*(1+incomeGrowthRate)^(A197-1)*G197,SV_owCap))</f>
        <v/>
      </c>
      <c r="S197" s="29">
        <f>IF(A197&gt;SV_T,0,S196*(1+SV_oaRate)+IF(A197&gt;=SV_effStop,0,INDEX(SV_cpfOA,Q197)*INDEX(SV_cpfTot,Q197)*R197))</f>
        <v/>
      </c>
      <c r="T197" s="29">
        <f>IF(A197&gt;SV_T,0,T196*(1+SV_saRate)+IF(A197&gt;=SV_effStop,0,INDEX(SV_cpfSA,Q197)*INDEX(SV_cpfTot,Q197)*R197))</f>
        <v/>
      </c>
      <c r="U197" s="29">
        <f>IF(A197&gt;SV_T,0,U196*(1+SV_saRate)+IF(A197&gt;=SV_effStop,0,INDEX(SV_cpfMA,Q197)*INDEX(SV_cpfTot,Q197)*R197))</f>
        <v/>
      </c>
      <c r="V197" s="29">
        <f>IF(OR(OR(A197&lt;1,A197&gt;SV_T),A197&gt;=SV_effNeg),0,-(INDEX(SV_cpfOA,Q197)+INDEX(SV_cpfSA,Q197)+INDEX(SV_cpfMA,Q197))*INDEX(SV_cpfEmp,Q197)*R197)</f>
        <v/>
      </c>
      <c r="W197" s="29">
        <f>IF(A197&gt;=SV_sIdx,0,S197)</f>
        <v/>
      </c>
      <c r="X197" s="29">
        <f>IF(A197&gt;=SV_sIdx,0,T197)</f>
        <v/>
      </c>
      <c r="Y197" s="29">
        <f>IF(A197&gt;=SV_sIdx,MIN(U197,SV_maCap),U197)</f>
        <v/>
      </c>
      <c r="Z197" s="29">
        <f>IF(AND(SV_cpfOn,A197&gt;=SV_pIdx,A197&lt;=SV_T),12*SV_pay,0)</f>
        <v/>
      </c>
      <c r="AA197" s="29">
        <f>IF(A197&gt;SV_T,0,IF(SV_sp&gt;=0,IF(A197&lt;SV_sIdx,0,IF(A197=SV_sIdx,SV_R0,SV_lifeGrowth*AA196)),SV_lifeGrowth*AA196))</f>
        <v/>
      </c>
      <c r="AB197" s="29">
        <f>IF(A197&gt;SV_T,0,IF(AND(SV_sp&gt;=0,A197&lt;SV_sIdx),0,IF(AND(SV_sp&gt;=0,A197=SV_sIdx),SV_L0,SV_lifeGrowth*(AB196-Z197))))</f>
        <v/>
      </c>
      <c r="AC197" s="29">
        <f>W197+X197+AA197+Y197+IF(AA197&lt;0,0,AB197)</f>
        <v/>
      </c>
      <c r="AD197" s="29">
        <f>Z197+V197</f>
        <v/>
      </c>
      <c r="AE197" s="29">
        <f>IF(OR(A197&gt;SV_T,A197&gt;=SV_loanYears),0,MAX(0,AE196*(1+loanRate)-SV_inst))</f>
        <v/>
      </c>
      <c r="AF197" s="29">
        <f>IF(A197&gt;SV_T,0,AF196*(1+SV_savRate)+H197+I197+J197+K197+AD197)</f>
        <v/>
      </c>
      <c r="AG197" s="29">
        <f>IF(A197&gt;SV_T,0,MAX(0,N197+O197+P197+AC197+AF197-AE197))</f>
        <v/>
      </c>
      <c r="AH197" s="29">
        <f>IF(A197&gt;SV_T,0,N197+O197+AF197-MAX(0,AE197-(P197+AC197)))</f>
        <v/>
      </c>
      <c r="AI197" s="29">
        <f>IF(OR(OR(A197&lt;1,A197&gt;SV_T),A197-1&gt;=SV_retPay),0,SV_retMth*12+IF(A197=1,SV_retLump,0))</f>
        <v/>
      </c>
      <c r="AJ197" s="29">
        <f>IF(A197&gt;SV_T,0,(AJ196+AI197)*(1+investmentReturn))</f>
        <v/>
      </c>
      <c r="AK197" s="29">
        <f>IF(OR(OR(A197&lt;1,A197&gt;SV_T),A197-1&gt;=SV_goalPay),0,SV_goalMth*12+IF(A197=1,SV_goalLump,0))</f>
        <v/>
      </c>
      <c r="AL197" s="29">
        <f>IF(A197&gt;SV_T,0,(AL196+AK197)*(1+investmentReturn))</f>
        <v/>
      </c>
      <c r="AM197" s="29">
        <f>IF(OR(OR(A197&lt;1,A197&gt;SV_T),A197-1&gt;=SV_protPay),0,SV_protPrem)</f>
        <v/>
      </c>
      <c r="AN197" s="29">
        <f>IF(OR(A197=0,A197&gt;=SV_T),0,ROUND(MAX(0,AJ197),2)+ROUND(MAX(0,AL197),2))</f>
        <v/>
      </c>
      <c r="AO197" s="29">
        <f>IF(OR(A197&lt;1,A197&gt;SV_T),0,-(AI197+AK197+AM197)+IF(A197=SV_T,ROUND(MAX(0,AJ197),2)+ROUND(MAX(0,AL197),2),0))</f>
        <v/>
      </c>
      <c r="AP197" s="29">
        <f>IF(A197&gt;SV_T,0,AP196*(1+SV_savRate)+H197+I197+J197+K197+AD197+AO197)</f>
        <v/>
      </c>
      <c r="AQ197" s="29">
        <f>IF(A197&gt;SV_T,0,MAX(0,N197+O197+P197+AC197+AP197+AN197-AE197))</f>
        <v/>
      </c>
      <c r="AR197" s="29">
        <f>IF(A197&gt;SV_T,0,N197+O197+AP197+AN197-MAX(0,AE197-(P197+AC197)))</f>
        <v/>
      </c>
    </row>
    <row r="198">
      <c r="A198" s="61" t="n">
        <v>75</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IF(OR(OR(A198&lt;1,A198&gt;SV_T),A198-1&gt;=SV_salCut),0,SV_sal0*(1+incomeGrowthRate)^(A198-1)*G198)</f>
        <v/>
      </c>
      <c r="I198" s="29">
        <f>IF(OR(A198&lt;1,A198&gt;SV_T),0,(-SV_exp0*F198-IF(A198&lt;=SV_loanYears,SV_inst,0)-IF(AND(SV_wdAmt&gt;0,A198=SV_wdYear),SV_wdAmt,0))*IF(AND(SV_expOn,A198&gt;=SV_expS,A198&lt;=SV_expE),1+SV_expImp,1))</f>
        <v/>
      </c>
      <c r="J198" s="29">
        <f>IF(OR(OR(A198&lt;1,A198&gt;SV_T),A198&gt;SV_loanYears),0,-SV_lifePremYr)</f>
        <v/>
      </c>
      <c r="K198" s="29">
        <f>IF(OR(A198&lt;1,A198&gt;SV_T),0,-SV_contrib)</f>
        <v/>
      </c>
      <c r="L198" s="60">
        <f>IF(AND(SV_crashOn,A198=SV_crashYr),SV_crashF,1)</f>
        <v/>
      </c>
      <c r="M198" s="60">
        <f>IF(AND(SV_ccyOn,A198=SV_ccyYr),SV_ccyF,1)</f>
        <v/>
      </c>
      <c r="N198" s="29">
        <f>IF(A198&gt;SV_T,0,N197*(1+interestRate)*L198*M198)</f>
        <v/>
      </c>
      <c r="O198" s="29">
        <f>IF(A198&gt;SV_T,0,(O197+SV_contrib)*(1+investmentReturn)*L198*M198)</f>
        <v/>
      </c>
      <c r="P198" s="29">
        <f>IF(A198&gt;SV_T,0,P197*(1+SV_propRate)*L198)</f>
        <v/>
      </c>
      <c r="Q198" s="46">
        <f>MATCH(SV_age+A198-1,SV_cpfLower,1)</f>
        <v/>
      </c>
      <c r="R198" s="29">
        <f>IF(OR(OR(A198&lt;1,A198&gt;SV_T),NOT(SV_cpfOn)),0,MIN(SV_sal0*(1+incomeGrowthRate)^(A198-1)*G198,SV_owCap))</f>
        <v/>
      </c>
      <c r="S198" s="29">
        <f>IF(A198&gt;SV_T,0,S197*(1+SV_oaRate)+IF(A198&gt;=SV_effStop,0,INDEX(SV_cpfOA,Q198)*INDEX(SV_cpfTot,Q198)*R198))</f>
        <v/>
      </c>
      <c r="T198" s="29">
        <f>IF(A198&gt;SV_T,0,T197*(1+SV_saRate)+IF(A198&gt;=SV_effStop,0,INDEX(SV_cpfSA,Q198)*INDEX(SV_cpfTot,Q198)*R198))</f>
        <v/>
      </c>
      <c r="U198" s="29">
        <f>IF(A198&gt;SV_T,0,U197*(1+SV_saRate)+IF(A198&gt;=SV_effStop,0,INDEX(SV_cpfMA,Q198)*INDEX(SV_cpfTot,Q198)*R198))</f>
        <v/>
      </c>
      <c r="V198" s="29">
        <f>IF(OR(OR(A198&lt;1,A198&gt;SV_T),A198&gt;=SV_effNeg),0,-(INDEX(SV_cpfOA,Q198)+INDEX(SV_cpfSA,Q198)+INDEX(SV_cpfMA,Q198))*INDEX(SV_cpfEmp,Q198)*R198)</f>
        <v/>
      </c>
      <c r="W198" s="29">
        <f>IF(A198&gt;=SV_sIdx,0,S198)</f>
        <v/>
      </c>
      <c r="X198" s="29">
        <f>IF(A198&gt;=SV_sIdx,0,T198)</f>
        <v/>
      </c>
      <c r="Y198" s="29">
        <f>IF(A198&gt;=SV_sIdx,MIN(U198,SV_maCap),U198)</f>
        <v/>
      </c>
      <c r="Z198" s="29">
        <f>IF(AND(SV_cpfOn,A198&gt;=SV_pIdx,A198&lt;=SV_T),12*SV_pay,0)</f>
        <v/>
      </c>
      <c r="AA198" s="29">
        <f>IF(A198&gt;SV_T,0,IF(SV_sp&gt;=0,IF(A198&lt;SV_sIdx,0,IF(A198=SV_sIdx,SV_R0,SV_lifeGrowth*AA197)),SV_lifeGrowth*AA197))</f>
        <v/>
      </c>
      <c r="AB198" s="29">
        <f>IF(A198&gt;SV_T,0,IF(AND(SV_sp&gt;=0,A198&lt;SV_sIdx),0,IF(AND(SV_sp&gt;=0,A198=SV_sIdx),SV_L0,SV_lifeGrowth*(AB197-Z198))))</f>
        <v/>
      </c>
      <c r="AC198" s="29">
        <f>W198+X198+AA198+Y198+IF(AA198&lt;0,0,AB198)</f>
        <v/>
      </c>
      <c r="AD198" s="29">
        <f>Z198+V198</f>
        <v/>
      </c>
      <c r="AE198" s="29">
        <f>IF(OR(A198&gt;SV_T,A198&gt;=SV_loanYears),0,MAX(0,AE197*(1+loanRate)-SV_inst))</f>
        <v/>
      </c>
      <c r="AF198" s="29">
        <f>IF(A198&gt;SV_T,0,AF197*(1+SV_savRate)+H198+I198+J198+K198+AD198)</f>
        <v/>
      </c>
      <c r="AG198" s="29">
        <f>IF(A198&gt;SV_T,0,MAX(0,N198+O198+P198+AC198+AF198-AE198))</f>
        <v/>
      </c>
      <c r="AH198" s="29">
        <f>IF(A198&gt;SV_T,0,N198+O198+AF198-MAX(0,AE198-(P198+AC198)))</f>
        <v/>
      </c>
      <c r="AI198" s="29">
        <f>IF(OR(OR(A198&lt;1,A198&gt;SV_T),A198-1&gt;=SV_retPay),0,SV_retMth*12+IF(A198=1,SV_retLump,0))</f>
        <v/>
      </c>
      <c r="AJ198" s="29">
        <f>IF(A198&gt;SV_T,0,(AJ197+AI198)*(1+investmentReturn))</f>
        <v/>
      </c>
      <c r="AK198" s="29">
        <f>IF(OR(OR(A198&lt;1,A198&gt;SV_T),A198-1&gt;=SV_goalPay),0,SV_goalMth*12+IF(A198=1,SV_goalLump,0))</f>
        <v/>
      </c>
      <c r="AL198" s="29">
        <f>IF(A198&gt;SV_T,0,(AL197+AK198)*(1+investmentReturn))</f>
        <v/>
      </c>
      <c r="AM198" s="29">
        <f>IF(OR(OR(A198&lt;1,A198&gt;SV_T),A198-1&gt;=SV_protPay),0,SV_protPrem)</f>
        <v/>
      </c>
      <c r="AN198" s="29">
        <f>IF(OR(A198=0,A198&gt;=SV_T),0,ROUND(MAX(0,AJ198),2)+ROUND(MAX(0,AL198),2))</f>
        <v/>
      </c>
      <c r="AO198" s="29">
        <f>IF(OR(A198&lt;1,A198&gt;SV_T),0,-(AI198+AK198+AM198)+IF(A198=SV_T,ROUND(MAX(0,AJ198),2)+ROUND(MAX(0,AL198),2),0))</f>
        <v/>
      </c>
      <c r="AP198" s="29">
        <f>IF(A198&gt;SV_T,0,AP197*(1+SV_savRate)+H198+I198+J198+K198+AD198+AO198)</f>
        <v/>
      </c>
      <c r="AQ198" s="29">
        <f>IF(A198&gt;SV_T,0,MAX(0,N198+O198+P198+AC198+AP198+AN198-AE198))</f>
        <v/>
      </c>
      <c r="AR198" s="29">
        <f>IF(A198&gt;SV_T,0,N198+O198+AP198+AN198-MAX(0,AE198-(P198+AC198)))</f>
        <v/>
      </c>
    </row>
    <row r="199">
      <c r="A199" s="61" t="n">
        <v>76</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IF(OR(OR(A199&lt;1,A199&gt;SV_T),A199-1&gt;=SV_salCut),0,SV_sal0*(1+incomeGrowthRate)^(A199-1)*G199)</f>
        <v/>
      </c>
      <c r="I199" s="29">
        <f>IF(OR(A199&lt;1,A199&gt;SV_T),0,(-SV_exp0*F199-IF(A199&lt;=SV_loanYears,SV_inst,0)-IF(AND(SV_wdAmt&gt;0,A199=SV_wdYear),SV_wdAmt,0))*IF(AND(SV_expOn,A199&gt;=SV_expS,A199&lt;=SV_expE),1+SV_expImp,1))</f>
        <v/>
      </c>
      <c r="J199" s="29">
        <f>IF(OR(OR(A199&lt;1,A199&gt;SV_T),A199&gt;SV_loanYears),0,-SV_lifePremYr)</f>
        <v/>
      </c>
      <c r="K199" s="29">
        <f>IF(OR(A199&lt;1,A199&gt;SV_T),0,-SV_contrib)</f>
        <v/>
      </c>
      <c r="L199" s="60">
        <f>IF(AND(SV_crashOn,A199=SV_crashYr),SV_crashF,1)</f>
        <v/>
      </c>
      <c r="M199" s="60">
        <f>IF(AND(SV_ccyOn,A199=SV_ccyYr),SV_ccyF,1)</f>
        <v/>
      </c>
      <c r="N199" s="29">
        <f>IF(A199&gt;SV_T,0,N198*(1+interestRate)*L199*M199)</f>
        <v/>
      </c>
      <c r="O199" s="29">
        <f>IF(A199&gt;SV_T,0,(O198+SV_contrib)*(1+investmentReturn)*L199*M199)</f>
        <v/>
      </c>
      <c r="P199" s="29">
        <f>IF(A199&gt;SV_T,0,P198*(1+SV_propRate)*L199)</f>
        <v/>
      </c>
      <c r="Q199" s="46">
        <f>MATCH(SV_age+A199-1,SV_cpfLower,1)</f>
        <v/>
      </c>
      <c r="R199" s="29">
        <f>IF(OR(OR(A199&lt;1,A199&gt;SV_T),NOT(SV_cpfOn)),0,MIN(SV_sal0*(1+incomeGrowthRate)^(A199-1)*G199,SV_owCap))</f>
        <v/>
      </c>
      <c r="S199" s="29">
        <f>IF(A199&gt;SV_T,0,S198*(1+SV_oaRate)+IF(A199&gt;=SV_effStop,0,INDEX(SV_cpfOA,Q199)*INDEX(SV_cpfTot,Q199)*R199))</f>
        <v/>
      </c>
      <c r="T199" s="29">
        <f>IF(A199&gt;SV_T,0,T198*(1+SV_saRate)+IF(A199&gt;=SV_effStop,0,INDEX(SV_cpfSA,Q199)*INDEX(SV_cpfTot,Q199)*R199))</f>
        <v/>
      </c>
      <c r="U199" s="29">
        <f>IF(A199&gt;SV_T,0,U198*(1+SV_saRate)+IF(A199&gt;=SV_effStop,0,INDEX(SV_cpfMA,Q199)*INDEX(SV_cpfTot,Q199)*R199))</f>
        <v/>
      </c>
      <c r="V199" s="29">
        <f>IF(OR(OR(A199&lt;1,A199&gt;SV_T),A199&gt;=SV_effNeg),0,-(INDEX(SV_cpfOA,Q199)+INDEX(SV_cpfSA,Q199)+INDEX(SV_cpfMA,Q199))*INDEX(SV_cpfEmp,Q199)*R199)</f>
        <v/>
      </c>
      <c r="W199" s="29">
        <f>IF(A199&gt;=SV_sIdx,0,S199)</f>
        <v/>
      </c>
      <c r="X199" s="29">
        <f>IF(A199&gt;=SV_sIdx,0,T199)</f>
        <v/>
      </c>
      <c r="Y199" s="29">
        <f>IF(A199&gt;=SV_sIdx,MIN(U199,SV_maCap),U199)</f>
        <v/>
      </c>
      <c r="Z199" s="29">
        <f>IF(AND(SV_cpfOn,A199&gt;=SV_pIdx,A199&lt;=SV_T),12*SV_pay,0)</f>
        <v/>
      </c>
      <c r="AA199" s="29">
        <f>IF(A199&gt;SV_T,0,IF(SV_sp&gt;=0,IF(A199&lt;SV_sIdx,0,IF(A199=SV_sIdx,SV_R0,SV_lifeGrowth*AA198)),SV_lifeGrowth*AA198))</f>
        <v/>
      </c>
      <c r="AB199" s="29">
        <f>IF(A199&gt;SV_T,0,IF(AND(SV_sp&gt;=0,A199&lt;SV_sIdx),0,IF(AND(SV_sp&gt;=0,A199=SV_sIdx),SV_L0,SV_lifeGrowth*(AB198-Z199))))</f>
        <v/>
      </c>
      <c r="AC199" s="29">
        <f>W199+X199+AA199+Y199+IF(AA199&lt;0,0,AB199)</f>
        <v/>
      </c>
      <c r="AD199" s="29">
        <f>Z199+V199</f>
        <v/>
      </c>
      <c r="AE199" s="29">
        <f>IF(OR(A199&gt;SV_T,A199&gt;=SV_loanYears),0,MAX(0,AE198*(1+loanRate)-SV_inst))</f>
        <v/>
      </c>
      <c r="AF199" s="29">
        <f>IF(A199&gt;SV_T,0,AF198*(1+SV_savRate)+H199+I199+J199+K199+AD199)</f>
        <v/>
      </c>
      <c r="AG199" s="29">
        <f>IF(A199&gt;SV_T,0,MAX(0,N199+O199+P199+AC199+AF199-AE199))</f>
        <v/>
      </c>
      <c r="AH199" s="29">
        <f>IF(A199&gt;SV_T,0,N199+O199+AF199-MAX(0,AE199-(P199+AC199)))</f>
        <v/>
      </c>
      <c r="AI199" s="29">
        <f>IF(OR(OR(A199&lt;1,A199&gt;SV_T),A199-1&gt;=SV_retPay),0,SV_retMth*12+IF(A199=1,SV_retLump,0))</f>
        <v/>
      </c>
      <c r="AJ199" s="29">
        <f>IF(A199&gt;SV_T,0,(AJ198+AI199)*(1+investmentReturn))</f>
        <v/>
      </c>
      <c r="AK199" s="29">
        <f>IF(OR(OR(A199&lt;1,A199&gt;SV_T),A199-1&gt;=SV_goalPay),0,SV_goalMth*12+IF(A199=1,SV_goalLump,0))</f>
        <v/>
      </c>
      <c r="AL199" s="29">
        <f>IF(A199&gt;SV_T,0,(AL198+AK199)*(1+investmentReturn))</f>
        <v/>
      </c>
      <c r="AM199" s="29">
        <f>IF(OR(OR(A199&lt;1,A199&gt;SV_T),A199-1&gt;=SV_protPay),0,SV_protPrem)</f>
        <v/>
      </c>
      <c r="AN199" s="29">
        <f>IF(OR(A199=0,A199&gt;=SV_T),0,ROUND(MAX(0,AJ199),2)+ROUND(MAX(0,AL199),2))</f>
        <v/>
      </c>
      <c r="AO199" s="29">
        <f>IF(OR(A199&lt;1,A199&gt;SV_T),0,-(AI199+AK199+AM199)+IF(A199=SV_T,ROUND(MAX(0,AJ199),2)+ROUND(MAX(0,AL199),2),0))</f>
        <v/>
      </c>
      <c r="AP199" s="29">
        <f>IF(A199&gt;SV_T,0,AP198*(1+SV_savRate)+H199+I199+J199+K199+AD199+AO199)</f>
        <v/>
      </c>
      <c r="AQ199" s="29">
        <f>IF(A199&gt;SV_T,0,MAX(0,N199+O199+P199+AC199+AP199+AN199-AE199))</f>
        <v/>
      </c>
      <c r="AR199" s="29">
        <f>IF(A199&gt;SV_T,0,N199+O199+AP199+AN199-MAX(0,AE199-(P199+AC199)))</f>
        <v/>
      </c>
    </row>
    <row r="200">
      <c r="A200" s="61" t="n">
        <v>77</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IF(OR(OR(A200&lt;1,A200&gt;SV_T),A200-1&gt;=SV_salCut),0,SV_sal0*(1+incomeGrowthRate)^(A200-1)*G200)</f>
        <v/>
      </c>
      <c r="I200" s="29">
        <f>IF(OR(A200&lt;1,A200&gt;SV_T),0,(-SV_exp0*F200-IF(A200&lt;=SV_loanYears,SV_inst,0)-IF(AND(SV_wdAmt&gt;0,A200=SV_wdYear),SV_wdAmt,0))*IF(AND(SV_expOn,A200&gt;=SV_expS,A200&lt;=SV_expE),1+SV_expImp,1))</f>
        <v/>
      </c>
      <c r="J200" s="29">
        <f>IF(OR(OR(A200&lt;1,A200&gt;SV_T),A200&gt;SV_loanYears),0,-SV_lifePremYr)</f>
        <v/>
      </c>
      <c r="K200" s="29">
        <f>IF(OR(A200&lt;1,A200&gt;SV_T),0,-SV_contrib)</f>
        <v/>
      </c>
      <c r="L200" s="60">
        <f>IF(AND(SV_crashOn,A200=SV_crashYr),SV_crashF,1)</f>
        <v/>
      </c>
      <c r="M200" s="60">
        <f>IF(AND(SV_ccyOn,A200=SV_ccyYr),SV_ccyF,1)</f>
        <v/>
      </c>
      <c r="N200" s="29">
        <f>IF(A200&gt;SV_T,0,N199*(1+interestRate)*L200*M200)</f>
        <v/>
      </c>
      <c r="O200" s="29">
        <f>IF(A200&gt;SV_T,0,(O199+SV_contrib)*(1+investmentReturn)*L200*M200)</f>
        <v/>
      </c>
      <c r="P200" s="29">
        <f>IF(A200&gt;SV_T,0,P199*(1+SV_propRate)*L200)</f>
        <v/>
      </c>
      <c r="Q200" s="46">
        <f>MATCH(SV_age+A200-1,SV_cpfLower,1)</f>
        <v/>
      </c>
      <c r="R200" s="29">
        <f>IF(OR(OR(A200&lt;1,A200&gt;SV_T),NOT(SV_cpfOn)),0,MIN(SV_sal0*(1+incomeGrowthRate)^(A200-1)*G200,SV_owCap))</f>
        <v/>
      </c>
      <c r="S200" s="29">
        <f>IF(A200&gt;SV_T,0,S199*(1+SV_oaRate)+IF(A200&gt;=SV_effStop,0,INDEX(SV_cpfOA,Q200)*INDEX(SV_cpfTot,Q200)*R200))</f>
        <v/>
      </c>
      <c r="T200" s="29">
        <f>IF(A200&gt;SV_T,0,T199*(1+SV_saRate)+IF(A200&gt;=SV_effStop,0,INDEX(SV_cpfSA,Q200)*INDEX(SV_cpfTot,Q200)*R200))</f>
        <v/>
      </c>
      <c r="U200" s="29">
        <f>IF(A200&gt;SV_T,0,U199*(1+SV_saRate)+IF(A200&gt;=SV_effStop,0,INDEX(SV_cpfMA,Q200)*INDEX(SV_cpfTot,Q200)*R200))</f>
        <v/>
      </c>
      <c r="V200" s="29">
        <f>IF(OR(OR(A200&lt;1,A200&gt;SV_T),A200&gt;=SV_effNeg),0,-(INDEX(SV_cpfOA,Q200)+INDEX(SV_cpfSA,Q200)+INDEX(SV_cpfMA,Q200))*INDEX(SV_cpfEmp,Q200)*R200)</f>
        <v/>
      </c>
      <c r="W200" s="29">
        <f>IF(A200&gt;=SV_sIdx,0,S200)</f>
        <v/>
      </c>
      <c r="X200" s="29">
        <f>IF(A200&gt;=SV_sIdx,0,T200)</f>
        <v/>
      </c>
      <c r="Y200" s="29">
        <f>IF(A200&gt;=SV_sIdx,MIN(U200,SV_maCap),U200)</f>
        <v/>
      </c>
      <c r="Z200" s="29">
        <f>IF(AND(SV_cpfOn,A200&gt;=SV_pIdx,A200&lt;=SV_T),12*SV_pay,0)</f>
        <v/>
      </c>
      <c r="AA200" s="29">
        <f>IF(A200&gt;SV_T,0,IF(SV_sp&gt;=0,IF(A200&lt;SV_sIdx,0,IF(A200=SV_sIdx,SV_R0,SV_lifeGrowth*AA199)),SV_lifeGrowth*AA199))</f>
        <v/>
      </c>
      <c r="AB200" s="29">
        <f>IF(A200&gt;SV_T,0,IF(AND(SV_sp&gt;=0,A200&lt;SV_sIdx),0,IF(AND(SV_sp&gt;=0,A200=SV_sIdx),SV_L0,SV_lifeGrowth*(AB199-Z200))))</f>
        <v/>
      </c>
      <c r="AC200" s="29">
        <f>W200+X200+AA200+Y200+IF(AA200&lt;0,0,AB200)</f>
        <v/>
      </c>
      <c r="AD200" s="29">
        <f>Z200+V200</f>
        <v/>
      </c>
      <c r="AE200" s="29">
        <f>IF(OR(A200&gt;SV_T,A200&gt;=SV_loanYears),0,MAX(0,AE199*(1+loanRate)-SV_inst))</f>
        <v/>
      </c>
      <c r="AF200" s="29">
        <f>IF(A200&gt;SV_T,0,AF199*(1+SV_savRate)+H200+I200+J200+K200+AD200)</f>
        <v/>
      </c>
      <c r="AG200" s="29">
        <f>IF(A200&gt;SV_T,0,MAX(0,N200+O200+P200+AC200+AF200-AE200))</f>
        <v/>
      </c>
      <c r="AH200" s="29">
        <f>IF(A200&gt;SV_T,0,N200+O200+AF200-MAX(0,AE200-(P200+AC200)))</f>
        <v/>
      </c>
      <c r="AI200" s="29">
        <f>IF(OR(OR(A200&lt;1,A200&gt;SV_T),A200-1&gt;=SV_retPay),0,SV_retMth*12+IF(A200=1,SV_retLump,0))</f>
        <v/>
      </c>
      <c r="AJ200" s="29">
        <f>IF(A200&gt;SV_T,0,(AJ199+AI200)*(1+investmentReturn))</f>
        <v/>
      </c>
      <c r="AK200" s="29">
        <f>IF(OR(OR(A200&lt;1,A200&gt;SV_T),A200-1&gt;=SV_goalPay),0,SV_goalMth*12+IF(A200=1,SV_goalLump,0))</f>
        <v/>
      </c>
      <c r="AL200" s="29">
        <f>IF(A200&gt;SV_T,0,(AL199+AK200)*(1+investmentReturn))</f>
        <v/>
      </c>
      <c r="AM200" s="29">
        <f>IF(OR(OR(A200&lt;1,A200&gt;SV_T),A200-1&gt;=SV_protPay),0,SV_protPrem)</f>
        <v/>
      </c>
      <c r="AN200" s="29">
        <f>IF(OR(A200=0,A200&gt;=SV_T),0,ROUND(MAX(0,AJ200),2)+ROUND(MAX(0,AL200),2))</f>
        <v/>
      </c>
      <c r="AO200" s="29">
        <f>IF(OR(A200&lt;1,A200&gt;SV_T),0,-(AI200+AK200+AM200)+IF(A200=SV_T,ROUND(MAX(0,AJ200),2)+ROUND(MAX(0,AL200),2),0))</f>
        <v/>
      </c>
      <c r="AP200" s="29">
        <f>IF(A200&gt;SV_T,0,AP199*(1+SV_savRate)+H200+I200+J200+K200+AD200+AO200)</f>
        <v/>
      </c>
      <c r="AQ200" s="29">
        <f>IF(A200&gt;SV_T,0,MAX(0,N200+O200+P200+AC200+AP200+AN200-AE200))</f>
        <v/>
      </c>
      <c r="AR200" s="29">
        <f>IF(A200&gt;SV_T,0,N200+O200+AP200+AN200-MAX(0,AE200-(P200+AC200)))</f>
        <v/>
      </c>
    </row>
    <row r="201">
      <c r="A201" s="61" t="n">
        <v>78</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IF(OR(OR(A201&lt;1,A201&gt;SV_T),A201-1&gt;=SV_salCut),0,SV_sal0*(1+incomeGrowthRate)^(A201-1)*G201)</f>
        <v/>
      </c>
      <c r="I201" s="29">
        <f>IF(OR(A201&lt;1,A201&gt;SV_T),0,(-SV_exp0*F201-IF(A201&lt;=SV_loanYears,SV_inst,0)-IF(AND(SV_wdAmt&gt;0,A201=SV_wdYear),SV_wdAmt,0))*IF(AND(SV_expOn,A201&gt;=SV_expS,A201&lt;=SV_expE),1+SV_expImp,1))</f>
        <v/>
      </c>
      <c r="J201" s="29">
        <f>IF(OR(OR(A201&lt;1,A201&gt;SV_T),A201&gt;SV_loanYears),0,-SV_lifePremYr)</f>
        <v/>
      </c>
      <c r="K201" s="29">
        <f>IF(OR(A201&lt;1,A201&gt;SV_T),0,-SV_contrib)</f>
        <v/>
      </c>
      <c r="L201" s="60">
        <f>IF(AND(SV_crashOn,A201=SV_crashYr),SV_crashF,1)</f>
        <v/>
      </c>
      <c r="M201" s="60">
        <f>IF(AND(SV_ccyOn,A201=SV_ccyYr),SV_ccyF,1)</f>
        <v/>
      </c>
      <c r="N201" s="29">
        <f>IF(A201&gt;SV_T,0,N200*(1+interestRate)*L201*M201)</f>
        <v/>
      </c>
      <c r="O201" s="29">
        <f>IF(A201&gt;SV_T,0,(O200+SV_contrib)*(1+investmentReturn)*L201*M201)</f>
        <v/>
      </c>
      <c r="P201" s="29">
        <f>IF(A201&gt;SV_T,0,P200*(1+SV_propRate)*L201)</f>
        <v/>
      </c>
      <c r="Q201" s="46">
        <f>MATCH(SV_age+A201-1,SV_cpfLower,1)</f>
        <v/>
      </c>
      <c r="R201" s="29">
        <f>IF(OR(OR(A201&lt;1,A201&gt;SV_T),NOT(SV_cpfOn)),0,MIN(SV_sal0*(1+incomeGrowthRate)^(A201-1)*G201,SV_owCap))</f>
        <v/>
      </c>
      <c r="S201" s="29">
        <f>IF(A201&gt;SV_T,0,S200*(1+SV_oaRate)+IF(A201&gt;=SV_effStop,0,INDEX(SV_cpfOA,Q201)*INDEX(SV_cpfTot,Q201)*R201))</f>
        <v/>
      </c>
      <c r="T201" s="29">
        <f>IF(A201&gt;SV_T,0,T200*(1+SV_saRate)+IF(A201&gt;=SV_effStop,0,INDEX(SV_cpfSA,Q201)*INDEX(SV_cpfTot,Q201)*R201))</f>
        <v/>
      </c>
      <c r="U201" s="29">
        <f>IF(A201&gt;SV_T,0,U200*(1+SV_saRate)+IF(A201&gt;=SV_effStop,0,INDEX(SV_cpfMA,Q201)*INDEX(SV_cpfTot,Q201)*R201))</f>
        <v/>
      </c>
      <c r="V201" s="29">
        <f>IF(OR(OR(A201&lt;1,A201&gt;SV_T),A201&gt;=SV_effNeg),0,-(INDEX(SV_cpfOA,Q201)+INDEX(SV_cpfSA,Q201)+INDEX(SV_cpfMA,Q201))*INDEX(SV_cpfEmp,Q201)*R201)</f>
        <v/>
      </c>
      <c r="W201" s="29">
        <f>IF(A201&gt;=SV_sIdx,0,S201)</f>
        <v/>
      </c>
      <c r="X201" s="29">
        <f>IF(A201&gt;=SV_sIdx,0,T201)</f>
        <v/>
      </c>
      <c r="Y201" s="29">
        <f>IF(A201&gt;=SV_sIdx,MIN(U201,SV_maCap),U201)</f>
        <v/>
      </c>
      <c r="Z201" s="29">
        <f>IF(AND(SV_cpfOn,A201&gt;=SV_pIdx,A201&lt;=SV_T),12*SV_pay,0)</f>
        <v/>
      </c>
      <c r="AA201" s="29">
        <f>IF(A201&gt;SV_T,0,IF(SV_sp&gt;=0,IF(A201&lt;SV_sIdx,0,IF(A201=SV_sIdx,SV_R0,SV_lifeGrowth*AA200)),SV_lifeGrowth*AA200))</f>
        <v/>
      </c>
      <c r="AB201" s="29">
        <f>IF(A201&gt;SV_T,0,IF(AND(SV_sp&gt;=0,A201&lt;SV_sIdx),0,IF(AND(SV_sp&gt;=0,A201=SV_sIdx),SV_L0,SV_lifeGrowth*(AB200-Z201))))</f>
        <v/>
      </c>
      <c r="AC201" s="29">
        <f>W201+X201+AA201+Y201+IF(AA201&lt;0,0,AB201)</f>
        <v/>
      </c>
      <c r="AD201" s="29">
        <f>Z201+V201</f>
        <v/>
      </c>
      <c r="AE201" s="29">
        <f>IF(OR(A201&gt;SV_T,A201&gt;=SV_loanYears),0,MAX(0,AE200*(1+loanRate)-SV_inst))</f>
        <v/>
      </c>
      <c r="AF201" s="29">
        <f>IF(A201&gt;SV_T,0,AF200*(1+SV_savRate)+H201+I201+J201+K201+AD201)</f>
        <v/>
      </c>
      <c r="AG201" s="29">
        <f>IF(A201&gt;SV_T,0,MAX(0,N201+O201+P201+AC201+AF201-AE201))</f>
        <v/>
      </c>
      <c r="AH201" s="29">
        <f>IF(A201&gt;SV_T,0,N201+O201+AF201-MAX(0,AE201-(P201+AC201)))</f>
        <v/>
      </c>
      <c r="AI201" s="29">
        <f>IF(OR(OR(A201&lt;1,A201&gt;SV_T),A201-1&gt;=SV_retPay),0,SV_retMth*12+IF(A201=1,SV_retLump,0))</f>
        <v/>
      </c>
      <c r="AJ201" s="29">
        <f>IF(A201&gt;SV_T,0,(AJ200+AI201)*(1+investmentReturn))</f>
        <v/>
      </c>
      <c r="AK201" s="29">
        <f>IF(OR(OR(A201&lt;1,A201&gt;SV_T),A201-1&gt;=SV_goalPay),0,SV_goalMth*12+IF(A201=1,SV_goalLump,0))</f>
        <v/>
      </c>
      <c r="AL201" s="29">
        <f>IF(A201&gt;SV_T,0,(AL200+AK201)*(1+investmentReturn))</f>
        <v/>
      </c>
      <c r="AM201" s="29">
        <f>IF(OR(OR(A201&lt;1,A201&gt;SV_T),A201-1&gt;=SV_protPay),0,SV_protPrem)</f>
        <v/>
      </c>
      <c r="AN201" s="29">
        <f>IF(OR(A201=0,A201&gt;=SV_T),0,ROUND(MAX(0,AJ201),2)+ROUND(MAX(0,AL201),2))</f>
        <v/>
      </c>
      <c r="AO201" s="29">
        <f>IF(OR(A201&lt;1,A201&gt;SV_T),0,-(AI201+AK201+AM201)+IF(A201=SV_T,ROUND(MAX(0,AJ201),2)+ROUND(MAX(0,AL201),2),0))</f>
        <v/>
      </c>
      <c r="AP201" s="29">
        <f>IF(A201&gt;SV_T,0,AP200*(1+SV_savRate)+H201+I201+J201+K201+AD201+AO201)</f>
        <v/>
      </c>
      <c r="AQ201" s="29">
        <f>IF(A201&gt;SV_T,0,MAX(0,N201+O201+P201+AC201+AP201+AN201-AE201))</f>
        <v/>
      </c>
      <c r="AR201" s="29">
        <f>IF(A201&gt;SV_T,0,N201+O201+AP201+AN201-MAX(0,AE201-(P201+AC201)))</f>
        <v/>
      </c>
    </row>
    <row r="202">
      <c r="A202" s="61" t="n">
        <v>79</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IF(OR(OR(A202&lt;1,A202&gt;SV_T),A202-1&gt;=SV_salCut),0,SV_sal0*(1+incomeGrowthRate)^(A202-1)*G202)</f>
        <v/>
      </c>
      <c r="I202" s="29">
        <f>IF(OR(A202&lt;1,A202&gt;SV_T),0,(-SV_exp0*F202-IF(A202&lt;=SV_loanYears,SV_inst,0)-IF(AND(SV_wdAmt&gt;0,A202=SV_wdYear),SV_wdAmt,0))*IF(AND(SV_expOn,A202&gt;=SV_expS,A202&lt;=SV_expE),1+SV_expImp,1))</f>
        <v/>
      </c>
      <c r="J202" s="29">
        <f>IF(OR(OR(A202&lt;1,A202&gt;SV_T),A202&gt;SV_loanYears),0,-SV_lifePremYr)</f>
        <v/>
      </c>
      <c r="K202" s="29">
        <f>IF(OR(A202&lt;1,A202&gt;SV_T),0,-SV_contrib)</f>
        <v/>
      </c>
      <c r="L202" s="60">
        <f>IF(AND(SV_crashOn,A202=SV_crashYr),SV_crashF,1)</f>
        <v/>
      </c>
      <c r="M202" s="60">
        <f>IF(AND(SV_ccyOn,A202=SV_ccyYr),SV_ccyF,1)</f>
        <v/>
      </c>
      <c r="N202" s="29">
        <f>IF(A202&gt;SV_T,0,N201*(1+interestRate)*L202*M202)</f>
        <v/>
      </c>
      <c r="O202" s="29">
        <f>IF(A202&gt;SV_T,0,(O201+SV_contrib)*(1+investmentReturn)*L202*M202)</f>
        <v/>
      </c>
      <c r="P202" s="29">
        <f>IF(A202&gt;SV_T,0,P201*(1+SV_propRate)*L202)</f>
        <v/>
      </c>
      <c r="Q202" s="46">
        <f>MATCH(SV_age+A202-1,SV_cpfLower,1)</f>
        <v/>
      </c>
      <c r="R202" s="29">
        <f>IF(OR(OR(A202&lt;1,A202&gt;SV_T),NOT(SV_cpfOn)),0,MIN(SV_sal0*(1+incomeGrowthRate)^(A202-1)*G202,SV_owCap))</f>
        <v/>
      </c>
      <c r="S202" s="29">
        <f>IF(A202&gt;SV_T,0,S201*(1+SV_oaRate)+IF(A202&gt;=SV_effStop,0,INDEX(SV_cpfOA,Q202)*INDEX(SV_cpfTot,Q202)*R202))</f>
        <v/>
      </c>
      <c r="T202" s="29">
        <f>IF(A202&gt;SV_T,0,T201*(1+SV_saRate)+IF(A202&gt;=SV_effStop,0,INDEX(SV_cpfSA,Q202)*INDEX(SV_cpfTot,Q202)*R202))</f>
        <v/>
      </c>
      <c r="U202" s="29">
        <f>IF(A202&gt;SV_T,0,U201*(1+SV_saRate)+IF(A202&gt;=SV_effStop,0,INDEX(SV_cpfMA,Q202)*INDEX(SV_cpfTot,Q202)*R202))</f>
        <v/>
      </c>
      <c r="V202" s="29">
        <f>IF(OR(OR(A202&lt;1,A202&gt;SV_T),A202&gt;=SV_effNeg),0,-(INDEX(SV_cpfOA,Q202)+INDEX(SV_cpfSA,Q202)+INDEX(SV_cpfMA,Q202))*INDEX(SV_cpfEmp,Q202)*R202)</f>
        <v/>
      </c>
      <c r="W202" s="29">
        <f>IF(A202&gt;=SV_sIdx,0,S202)</f>
        <v/>
      </c>
      <c r="X202" s="29">
        <f>IF(A202&gt;=SV_sIdx,0,T202)</f>
        <v/>
      </c>
      <c r="Y202" s="29">
        <f>IF(A202&gt;=SV_sIdx,MIN(U202,SV_maCap),U202)</f>
        <v/>
      </c>
      <c r="Z202" s="29">
        <f>IF(AND(SV_cpfOn,A202&gt;=SV_pIdx,A202&lt;=SV_T),12*SV_pay,0)</f>
        <v/>
      </c>
      <c r="AA202" s="29">
        <f>IF(A202&gt;SV_T,0,IF(SV_sp&gt;=0,IF(A202&lt;SV_sIdx,0,IF(A202=SV_sIdx,SV_R0,SV_lifeGrowth*AA201)),SV_lifeGrowth*AA201))</f>
        <v/>
      </c>
      <c r="AB202" s="29">
        <f>IF(A202&gt;SV_T,0,IF(AND(SV_sp&gt;=0,A202&lt;SV_sIdx),0,IF(AND(SV_sp&gt;=0,A202=SV_sIdx),SV_L0,SV_lifeGrowth*(AB201-Z202))))</f>
        <v/>
      </c>
      <c r="AC202" s="29">
        <f>W202+X202+AA202+Y202+IF(AA202&lt;0,0,AB202)</f>
        <v/>
      </c>
      <c r="AD202" s="29">
        <f>Z202+V202</f>
        <v/>
      </c>
      <c r="AE202" s="29">
        <f>IF(OR(A202&gt;SV_T,A202&gt;=SV_loanYears),0,MAX(0,AE201*(1+loanRate)-SV_inst))</f>
        <v/>
      </c>
      <c r="AF202" s="29">
        <f>IF(A202&gt;SV_T,0,AF201*(1+SV_savRate)+H202+I202+J202+K202+AD202)</f>
        <v/>
      </c>
      <c r="AG202" s="29">
        <f>IF(A202&gt;SV_T,0,MAX(0,N202+O202+P202+AC202+AF202-AE202))</f>
        <v/>
      </c>
      <c r="AH202" s="29">
        <f>IF(A202&gt;SV_T,0,N202+O202+AF202-MAX(0,AE202-(P202+AC202)))</f>
        <v/>
      </c>
      <c r="AI202" s="29">
        <f>IF(OR(OR(A202&lt;1,A202&gt;SV_T),A202-1&gt;=SV_retPay),0,SV_retMth*12+IF(A202=1,SV_retLump,0))</f>
        <v/>
      </c>
      <c r="AJ202" s="29">
        <f>IF(A202&gt;SV_T,0,(AJ201+AI202)*(1+investmentReturn))</f>
        <v/>
      </c>
      <c r="AK202" s="29">
        <f>IF(OR(OR(A202&lt;1,A202&gt;SV_T),A202-1&gt;=SV_goalPay),0,SV_goalMth*12+IF(A202=1,SV_goalLump,0))</f>
        <v/>
      </c>
      <c r="AL202" s="29">
        <f>IF(A202&gt;SV_T,0,(AL201+AK202)*(1+investmentReturn))</f>
        <v/>
      </c>
      <c r="AM202" s="29">
        <f>IF(OR(OR(A202&lt;1,A202&gt;SV_T),A202-1&gt;=SV_protPay),0,SV_protPrem)</f>
        <v/>
      </c>
      <c r="AN202" s="29">
        <f>IF(OR(A202=0,A202&gt;=SV_T),0,ROUND(MAX(0,AJ202),2)+ROUND(MAX(0,AL202),2))</f>
        <v/>
      </c>
      <c r="AO202" s="29">
        <f>IF(OR(A202&lt;1,A202&gt;SV_T),0,-(AI202+AK202+AM202)+IF(A202=SV_T,ROUND(MAX(0,AJ202),2)+ROUND(MAX(0,AL202),2),0))</f>
        <v/>
      </c>
      <c r="AP202" s="29">
        <f>IF(A202&gt;SV_T,0,AP201*(1+SV_savRate)+H202+I202+J202+K202+AD202+AO202)</f>
        <v/>
      </c>
      <c r="AQ202" s="29">
        <f>IF(A202&gt;SV_T,0,MAX(0,N202+O202+P202+AC202+AP202+AN202-AE202))</f>
        <v/>
      </c>
      <c r="AR202" s="29">
        <f>IF(A202&gt;SV_T,0,N202+O202+AP202+AN202-MAX(0,AE202-(P202+AC202)))</f>
        <v/>
      </c>
    </row>
    <row r="203">
      <c r="A203" s="61" t="n">
        <v>80</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IF(OR(OR(A203&lt;1,A203&gt;SV_T),A203-1&gt;=SV_salCut),0,SV_sal0*(1+incomeGrowthRate)^(A203-1)*G203)</f>
        <v/>
      </c>
      <c r="I203" s="29">
        <f>IF(OR(A203&lt;1,A203&gt;SV_T),0,(-SV_exp0*F203-IF(A203&lt;=SV_loanYears,SV_inst,0)-IF(AND(SV_wdAmt&gt;0,A203=SV_wdYear),SV_wdAmt,0))*IF(AND(SV_expOn,A203&gt;=SV_expS,A203&lt;=SV_expE),1+SV_expImp,1))</f>
        <v/>
      </c>
      <c r="J203" s="29">
        <f>IF(OR(OR(A203&lt;1,A203&gt;SV_T),A203&gt;SV_loanYears),0,-SV_lifePremYr)</f>
        <v/>
      </c>
      <c r="K203" s="29">
        <f>IF(OR(A203&lt;1,A203&gt;SV_T),0,-SV_contrib)</f>
        <v/>
      </c>
      <c r="L203" s="60">
        <f>IF(AND(SV_crashOn,A203=SV_crashYr),SV_crashF,1)</f>
        <v/>
      </c>
      <c r="M203" s="60">
        <f>IF(AND(SV_ccyOn,A203=SV_ccyYr),SV_ccyF,1)</f>
        <v/>
      </c>
      <c r="N203" s="29">
        <f>IF(A203&gt;SV_T,0,N202*(1+interestRate)*L203*M203)</f>
        <v/>
      </c>
      <c r="O203" s="29">
        <f>IF(A203&gt;SV_T,0,(O202+SV_contrib)*(1+investmentReturn)*L203*M203)</f>
        <v/>
      </c>
      <c r="P203" s="29">
        <f>IF(A203&gt;SV_T,0,P202*(1+SV_propRate)*L203)</f>
        <v/>
      </c>
      <c r="Q203" s="46">
        <f>MATCH(SV_age+A203-1,SV_cpfLower,1)</f>
        <v/>
      </c>
      <c r="R203" s="29">
        <f>IF(OR(OR(A203&lt;1,A203&gt;SV_T),NOT(SV_cpfOn)),0,MIN(SV_sal0*(1+incomeGrowthRate)^(A203-1)*G203,SV_owCap))</f>
        <v/>
      </c>
      <c r="S203" s="29">
        <f>IF(A203&gt;SV_T,0,S202*(1+SV_oaRate)+IF(A203&gt;=SV_effStop,0,INDEX(SV_cpfOA,Q203)*INDEX(SV_cpfTot,Q203)*R203))</f>
        <v/>
      </c>
      <c r="T203" s="29">
        <f>IF(A203&gt;SV_T,0,T202*(1+SV_saRate)+IF(A203&gt;=SV_effStop,0,INDEX(SV_cpfSA,Q203)*INDEX(SV_cpfTot,Q203)*R203))</f>
        <v/>
      </c>
      <c r="U203" s="29">
        <f>IF(A203&gt;SV_T,0,U202*(1+SV_saRate)+IF(A203&gt;=SV_effStop,0,INDEX(SV_cpfMA,Q203)*INDEX(SV_cpfTot,Q203)*R203))</f>
        <v/>
      </c>
      <c r="V203" s="29">
        <f>IF(OR(OR(A203&lt;1,A203&gt;SV_T),A203&gt;=SV_effNeg),0,-(INDEX(SV_cpfOA,Q203)+INDEX(SV_cpfSA,Q203)+INDEX(SV_cpfMA,Q203))*INDEX(SV_cpfEmp,Q203)*R203)</f>
        <v/>
      </c>
      <c r="W203" s="29">
        <f>IF(A203&gt;=SV_sIdx,0,S203)</f>
        <v/>
      </c>
      <c r="X203" s="29">
        <f>IF(A203&gt;=SV_sIdx,0,T203)</f>
        <v/>
      </c>
      <c r="Y203" s="29">
        <f>IF(A203&gt;=SV_sIdx,MIN(U203,SV_maCap),U203)</f>
        <v/>
      </c>
      <c r="Z203" s="29">
        <f>IF(AND(SV_cpfOn,A203&gt;=SV_pIdx,A203&lt;=SV_T),12*SV_pay,0)</f>
        <v/>
      </c>
      <c r="AA203" s="29">
        <f>IF(A203&gt;SV_T,0,IF(SV_sp&gt;=0,IF(A203&lt;SV_sIdx,0,IF(A203=SV_sIdx,SV_R0,SV_lifeGrowth*AA202)),SV_lifeGrowth*AA202))</f>
        <v/>
      </c>
      <c r="AB203" s="29">
        <f>IF(A203&gt;SV_T,0,IF(AND(SV_sp&gt;=0,A203&lt;SV_sIdx),0,IF(AND(SV_sp&gt;=0,A203=SV_sIdx),SV_L0,SV_lifeGrowth*(AB202-Z203))))</f>
        <v/>
      </c>
      <c r="AC203" s="29">
        <f>W203+X203+AA203+Y203+IF(AA203&lt;0,0,AB203)</f>
        <v/>
      </c>
      <c r="AD203" s="29">
        <f>Z203+V203</f>
        <v/>
      </c>
      <c r="AE203" s="29">
        <f>IF(OR(A203&gt;SV_T,A203&gt;=SV_loanYears),0,MAX(0,AE202*(1+loanRate)-SV_inst))</f>
        <v/>
      </c>
      <c r="AF203" s="29">
        <f>IF(A203&gt;SV_T,0,AF202*(1+SV_savRate)+H203+I203+J203+K203+AD203)</f>
        <v/>
      </c>
      <c r="AG203" s="29">
        <f>IF(A203&gt;SV_T,0,MAX(0,N203+O203+P203+AC203+AF203-AE203))</f>
        <v/>
      </c>
      <c r="AH203" s="29">
        <f>IF(A203&gt;SV_T,0,N203+O203+AF203-MAX(0,AE203-(P203+AC203)))</f>
        <v/>
      </c>
      <c r="AI203" s="29">
        <f>IF(OR(OR(A203&lt;1,A203&gt;SV_T),A203-1&gt;=SV_retPay),0,SV_retMth*12+IF(A203=1,SV_retLump,0))</f>
        <v/>
      </c>
      <c r="AJ203" s="29">
        <f>IF(A203&gt;SV_T,0,(AJ202+AI203)*(1+investmentReturn))</f>
        <v/>
      </c>
      <c r="AK203" s="29">
        <f>IF(OR(OR(A203&lt;1,A203&gt;SV_T),A203-1&gt;=SV_goalPay),0,SV_goalMth*12+IF(A203=1,SV_goalLump,0))</f>
        <v/>
      </c>
      <c r="AL203" s="29">
        <f>IF(A203&gt;SV_T,0,(AL202+AK203)*(1+investmentReturn))</f>
        <v/>
      </c>
      <c r="AM203" s="29">
        <f>IF(OR(OR(A203&lt;1,A203&gt;SV_T),A203-1&gt;=SV_protPay),0,SV_protPrem)</f>
        <v/>
      </c>
      <c r="AN203" s="29">
        <f>IF(OR(A203=0,A203&gt;=SV_T),0,ROUND(MAX(0,AJ203),2)+ROUND(MAX(0,AL203),2))</f>
        <v/>
      </c>
      <c r="AO203" s="29">
        <f>IF(OR(A203&lt;1,A203&gt;SV_T),0,-(AI203+AK203+AM203)+IF(A203=SV_T,ROUND(MAX(0,AJ203),2)+ROUND(MAX(0,AL203),2),0))</f>
        <v/>
      </c>
      <c r="AP203" s="29">
        <f>IF(A203&gt;SV_T,0,AP202*(1+SV_savRate)+H203+I203+J203+K203+AD203+AO203)</f>
        <v/>
      </c>
      <c r="AQ203" s="29">
        <f>IF(A203&gt;SV_T,0,MAX(0,N203+O203+P203+AC203+AP203+AN203-AE203))</f>
        <v/>
      </c>
      <c r="AR203" s="29">
        <f>IF(A203&gt;SV_T,0,N203+O203+AP203+AN203-MAX(0,AE203-(P203+AC203)))</f>
        <v/>
      </c>
    </row>
    <row r="204">
      <c r="A204" s="61" t="n">
        <v>81</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IF(OR(OR(A204&lt;1,A204&gt;SV_T),A204-1&gt;=SV_salCut),0,SV_sal0*(1+incomeGrowthRate)^(A204-1)*G204)</f>
        <v/>
      </c>
      <c r="I204" s="29">
        <f>IF(OR(A204&lt;1,A204&gt;SV_T),0,(-SV_exp0*F204-IF(A204&lt;=SV_loanYears,SV_inst,0)-IF(AND(SV_wdAmt&gt;0,A204=SV_wdYear),SV_wdAmt,0))*IF(AND(SV_expOn,A204&gt;=SV_expS,A204&lt;=SV_expE),1+SV_expImp,1))</f>
        <v/>
      </c>
      <c r="J204" s="29">
        <f>IF(OR(OR(A204&lt;1,A204&gt;SV_T),A204&gt;SV_loanYears),0,-SV_lifePremYr)</f>
        <v/>
      </c>
      <c r="K204" s="29">
        <f>IF(OR(A204&lt;1,A204&gt;SV_T),0,-SV_contrib)</f>
        <v/>
      </c>
      <c r="L204" s="60">
        <f>IF(AND(SV_crashOn,A204=SV_crashYr),SV_crashF,1)</f>
        <v/>
      </c>
      <c r="M204" s="60">
        <f>IF(AND(SV_ccyOn,A204=SV_ccyYr),SV_ccyF,1)</f>
        <v/>
      </c>
      <c r="N204" s="29">
        <f>IF(A204&gt;SV_T,0,N203*(1+interestRate)*L204*M204)</f>
        <v/>
      </c>
      <c r="O204" s="29">
        <f>IF(A204&gt;SV_T,0,(O203+SV_contrib)*(1+investmentReturn)*L204*M204)</f>
        <v/>
      </c>
      <c r="P204" s="29">
        <f>IF(A204&gt;SV_T,0,P203*(1+SV_propRate)*L204)</f>
        <v/>
      </c>
      <c r="Q204" s="46">
        <f>MATCH(SV_age+A204-1,SV_cpfLower,1)</f>
        <v/>
      </c>
      <c r="R204" s="29">
        <f>IF(OR(OR(A204&lt;1,A204&gt;SV_T),NOT(SV_cpfOn)),0,MIN(SV_sal0*(1+incomeGrowthRate)^(A204-1)*G204,SV_owCap))</f>
        <v/>
      </c>
      <c r="S204" s="29">
        <f>IF(A204&gt;SV_T,0,S203*(1+SV_oaRate)+IF(A204&gt;=SV_effStop,0,INDEX(SV_cpfOA,Q204)*INDEX(SV_cpfTot,Q204)*R204))</f>
        <v/>
      </c>
      <c r="T204" s="29">
        <f>IF(A204&gt;SV_T,0,T203*(1+SV_saRate)+IF(A204&gt;=SV_effStop,0,INDEX(SV_cpfSA,Q204)*INDEX(SV_cpfTot,Q204)*R204))</f>
        <v/>
      </c>
      <c r="U204" s="29">
        <f>IF(A204&gt;SV_T,0,U203*(1+SV_saRate)+IF(A204&gt;=SV_effStop,0,INDEX(SV_cpfMA,Q204)*INDEX(SV_cpfTot,Q204)*R204))</f>
        <v/>
      </c>
      <c r="V204" s="29">
        <f>IF(OR(OR(A204&lt;1,A204&gt;SV_T),A204&gt;=SV_effNeg),0,-(INDEX(SV_cpfOA,Q204)+INDEX(SV_cpfSA,Q204)+INDEX(SV_cpfMA,Q204))*INDEX(SV_cpfEmp,Q204)*R204)</f>
        <v/>
      </c>
      <c r="W204" s="29">
        <f>IF(A204&gt;=SV_sIdx,0,S204)</f>
        <v/>
      </c>
      <c r="X204" s="29">
        <f>IF(A204&gt;=SV_sIdx,0,T204)</f>
        <v/>
      </c>
      <c r="Y204" s="29">
        <f>IF(A204&gt;=SV_sIdx,MIN(U204,SV_maCap),U204)</f>
        <v/>
      </c>
      <c r="Z204" s="29">
        <f>IF(AND(SV_cpfOn,A204&gt;=SV_pIdx,A204&lt;=SV_T),12*SV_pay,0)</f>
        <v/>
      </c>
      <c r="AA204" s="29">
        <f>IF(A204&gt;SV_T,0,IF(SV_sp&gt;=0,IF(A204&lt;SV_sIdx,0,IF(A204=SV_sIdx,SV_R0,SV_lifeGrowth*AA203)),SV_lifeGrowth*AA203))</f>
        <v/>
      </c>
      <c r="AB204" s="29">
        <f>IF(A204&gt;SV_T,0,IF(AND(SV_sp&gt;=0,A204&lt;SV_sIdx),0,IF(AND(SV_sp&gt;=0,A204=SV_sIdx),SV_L0,SV_lifeGrowth*(AB203-Z204))))</f>
        <v/>
      </c>
      <c r="AC204" s="29">
        <f>W204+X204+AA204+Y204+IF(AA204&lt;0,0,AB204)</f>
        <v/>
      </c>
      <c r="AD204" s="29">
        <f>Z204+V204</f>
        <v/>
      </c>
      <c r="AE204" s="29">
        <f>IF(OR(A204&gt;SV_T,A204&gt;=SV_loanYears),0,MAX(0,AE203*(1+loanRate)-SV_inst))</f>
        <v/>
      </c>
      <c r="AF204" s="29">
        <f>IF(A204&gt;SV_T,0,AF203*(1+SV_savRate)+H204+I204+J204+K204+AD204)</f>
        <v/>
      </c>
      <c r="AG204" s="29">
        <f>IF(A204&gt;SV_T,0,MAX(0,N204+O204+P204+AC204+AF204-AE204))</f>
        <v/>
      </c>
      <c r="AH204" s="29">
        <f>IF(A204&gt;SV_T,0,N204+O204+AF204-MAX(0,AE204-(P204+AC204)))</f>
        <v/>
      </c>
      <c r="AI204" s="29">
        <f>IF(OR(OR(A204&lt;1,A204&gt;SV_T),A204-1&gt;=SV_retPay),0,SV_retMth*12+IF(A204=1,SV_retLump,0))</f>
        <v/>
      </c>
      <c r="AJ204" s="29">
        <f>IF(A204&gt;SV_T,0,(AJ203+AI204)*(1+investmentReturn))</f>
        <v/>
      </c>
      <c r="AK204" s="29">
        <f>IF(OR(OR(A204&lt;1,A204&gt;SV_T),A204-1&gt;=SV_goalPay),0,SV_goalMth*12+IF(A204=1,SV_goalLump,0))</f>
        <v/>
      </c>
      <c r="AL204" s="29">
        <f>IF(A204&gt;SV_T,0,(AL203+AK204)*(1+investmentReturn))</f>
        <v/>
      </c>
      <c r="AM204" s="29">
        <f>IF(OR(OR(A204&lt;1,A204&gt;SV_T),A204-1&gt;=SV_protPay),0,SV_protPrem)</f>
        <v/>
      </c>
      <c r="AN204" s="29">
        <f>IF(OR(A204=0,A204&gt;=SV_T),0,ROUND(MAX(0,AJ204),2)+ROUND(MAX(0,AL204),2))</f>
        <v/>
      </c>
      <c r="AO204" s="29">
        <f>IF(OR(A204&lt;1,A204&gt;SV_T),0,-(AI204+AK204+AM204)+IF(A204=SV_T,ROUND(MAX(0,AJ204),2)+ROUND(MAX(0,AL204),2),0))</f>
        <v/>
      </c>
      <c r="AP204" s="29">
        <f>IF(A204&gt;SV_T,0,AP203*(1+SV_savRate)+H204+I204+J204+K204+AD204+AO204)</f>
        <v/>
      </c>
      <c r="AQ204" s="29">
        <f>IF(A204&gt;SV_T,0,MAX(0,N204+O204+P204+AC204+AP204+AN204-AE204))</f>
        <v/>
      </c>
      <c r="AR204" s="29">
        <f>IF(A204&gt;SV_T,0,N204+O204+AP204+AN204-MAX(0,AE204-(P204+AC204)))</f>
        <v/>
      </c>
    </row>
    <row r="205">
      <c r="A205" s="61" t="n">
        <v>82</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IF(OR(OR(A205&lt;1,A205&gt;SV_T),A205-1&gt;=SV_salCut),0,SV_sal0*(1+incomeGrowthRate)^(A205-1)*G205)</f>
        <v/>
      </c>
      <c r="I205" s="29">
        <f>IF(OR(A205&lt;1,A205&gt;SV_T),0,(-SV_exp0*F205-IF(A205&lt;=SV_loanYears,SV_inst,0)-IF(AND(SV_wdAmt&gt;0,A205=SV_wdYear),SV_wdAmt,0))*IF(AND(SV_expOn,A205&gt;=SV_expS,A205&lt;=SV_expE),1+SV_expImp,1))</f>
        <v/>
      </c>
      <c r="J205" s="29">
        <f>IF(OR(OR(A205&lt;1,A205&gt;SV_T),A205&gt;SV_loanYears),0,-SV_lifePremYr)</f>
        <v/>
      </c>
      <c r="K205" s="29">
        <f>IF(OR(A205&lt;1,A205&gt;SV_T),0,-SV_contrib)</f>
        <v/>
      </c>
      <c r="L205" s="60">
        <f>IF(AND(SV_crashOn,A205=SV_crashYr),SV_crashF,1)</f>
        <v/>
      </c>
      <c r="M205" s="60">
        <f>IF(AND(SV_ccyOn,A205=SV_ccyYr),SV_ccyF,1)</f>
        <v/>
      </c>
      <c r="N205" s="29">
        <f>IF(A205&gt;SV_T,0,N204*(1+interestRate)*L205*M205)</f>
        <v/>
      </c>
      <c r="O205" s="29">
        <f>IF(A205&gt;SV_T,0,(O204+SV_contrib)*(1+investmentReturn)*L205*M205)</f>
        <v/>
      </c>
      <c r="P205" s="29">
        <f>IF(A205&gt;SV_T,0,P204*(1+SV_propRate)*L205)</f>
        <v/>
      </c>
      <c r="Q205" s="46">
        <f>MATCH(SV_age+A205-1,SV_cpfLower,1)</f>
        <v/>
      </c>
      <c r="R205" s="29">
        <f>IF(OR(OR(A205&lt;1,A205&gt;SV_T),NOT(SV_cpfOn)),0,MIN(SV_sal0*(1+incomeGrowthRate)^(A205-1)*G205,SV_owCap))</f>
        <v/>
      </c>
      <c r="S205" s="29">
        <f>IF(A205&gt;SV_T,0,S204*(1+SV_oaRate)+IF(A205&gt;=SV_effStop,0,INDEX(SV_cpfOA,Q205)*INDEX(SV_cpfTot,Q205)*R205))</f>
        <v/>
      </c>
      <c r="T205" s="29">
        <f>IF(A205&gt;SV_T,0,T204*(1+SV_saRate)+IF(A205&gt;=SV_effStop,0,INDEX(SV_cpfSA,Q205)*INDEX(SV_cpfTot,Q205)*R205))</f>
        <v/>
      </c>
      <c r="U205" s="29">
        <f>IF(A205&gt;SV_T,0,U204*(1+SV_saRate)+IF(A205&gt;=SV_effStop,0,INDEX(SV_cpfMA,Q205)*INDEX(SV_cpfTot,Q205)*R205))</f>
        <v/>
      </c>
      <c r="V205" s="29">
        <f>IF(OR(OR(A205&lt;1,A205&gt;SV_T),A205&gt;=SV_effNeg),0,-(INDEX(SV_cpfOA,Q205)+INDEX(SV_cpfSA,Q205)+INDEX(SV_cpfMA,Q205))*INDEX(SV_cpfEmp,Q205)*R205)</f>
        <v/>
      </c>
      <c r="W205" s="29">
        <f>IF(A205&gt;=SV_sIdx,0,S205)</f>
        <v/>
      </c>
      <c r="X205" s="29">
        <f>IF(A205&gt;=SV_sIdx,0,T205)</f>
        <v/>
      </c>
      <c r="Y205" s="29">
        <f>IF(A205&gt;=SV_sIdx,MIN(U205,SV_maCap),U205)</f>
        <v/>
      </c>
      <c r="Z205" s="29">
        <f>IF(AND(SV_cpfOn,A205&gt;=SV_pIdx,A205&lt;=SV_T),12*SV_pay,0)</f>
        <v/>
      </c>
      <c r="AA205" s="29">
        <f>IF(A205&gt;SV_T,0,IF(SV_sp&gt;=0,IF(A205&lt;SV_sIdx,0,IF(A205=SV_sIdx,SV_R0,SV_lifeGrowth*AA204)),SV_lifeGrowth*AA204))</f>
        <v/>
      </c>
      <c r="AB205" s="29">
        <f>IF(A205&gt;SV_T,0,IF(AND(SV_sp&gt;=0,A205&lt;SV_sIdx),0,IF(AND(SV_sp&gt;=0,A205=SV_sIdx),SV_L0,SV_lifeGrowth*(AB204-Z205))))</f>
        <v/>
      </c>
      <c r="AC205" s="29">
        <f>W205+X205+AA205+Y205+IF(AA205&lt;0,0,AB205)</f>
        <v/>
      </c>
      <c r="AD205" s="29">
        <f>Z205+V205</f>
        <v/>
      </c>
      <c r="AE205" s="29">
        <f>IF(OR(A205&gt;SV_T,A205&gt;=SV_loanYears),0,MAX(0,AE204*(1+loanRate)-SV_inst))</f>
        <v/>
      </c>
      <c r="AF205" s="29">
        <f>IF(A205&gt;SV_T,0,AF204*(1+SV_savRate)+H205+I205+J205+K205+AD205)</f>
        <v/>
      </c>
      <c r="AG205" s="29">
        <f>IF(A205&gt;SV_T,0,MAX(0,N205+O205+P205+AC205+AF205-AE205))</f>
        <v/>
      </c>
      <c r="AH205" s="29">
        <f>IF(A205&gt;SV_T,0,N205+O205+AF205-MAX(0,AE205-(P205+AC205)))</f>
        <v/>
      </c>
      <c r="AI205" s="29">
        <f>IF(OR(OR(A205&lt;1,A205&gt;SV_T),A205-1&gt;=SV_retPay),0,SV_retMth*12+IF(A205=1,SV_retLump,0))</f>
        <v/>
      </c>
      <c r="AJ205" s="29">
        <f>IF(A205&gt;SV_T,0,(AJ204+AI205)*(1+investmentReturn))</f>
        <v/>
      </c>
      <c r="AK205" s="29">
        <f>IF(OR(OR(A205&lt;1,A205&gt;SV_T),A205-1&gt;=SV_goalPay),0,SV_goalMth*12+IF(A205=1,SV_goalLump,0))</f>
        <v/>
      </c>
      <c r="AL205" s="29">
        <f>IF(A205&gt;SV_T,0,(AL204+AK205)*(1+investmentReturn))</f>
        <v/>
      </c>
      <c r="AM205" s="29">
        <f>IF(OR(OR(A205&lt;1,A205&gt;SV_T),A205-1&gt;=SV_protPay),0,SV_protPrem)</f>
        <v/>
      </c>
      <c r="AN205" s="29">
        <f>IF(OR(A205=0,A205&gt;=SV_T),0,ROUND(MAX(0,AJ205),2)+ROUND(MAX(0,AL205),2))</f>
        <v/>
      </c>
      <c r="AO205" s="29">
        <f>IF(OR(A205&lt;1,A205&gt;SV_T),0,-(AI205+AK205+AM205)+IF(A205=SV_T,ROUND(MAX(0,AJ205),2)+ROUND(MAX(0,AL205),2),0))</f>
        <v/>
      </c>
      <c r="AP205" s="29">
        <f>IF(A205&gt;SV_T,0,AP204*(1+SV_savRate)+H205+I205+J205+K205+AD205+AO205)</f>
        <v/>
      </c>
      <c r="AQ205" s="29">
        <f>IF(A205&gt;SV_T,0,MAX(0,N205+O205+P205+AC205+AP205+AN205-AE205))</f>
        <v/>
      </c>
      <c r="AR205" s="29">
        <f>IF(A205&gt;SV_T,0,N205+O205+AP205+AN205-MAX(0,AE205-(P205+AC205)))</f>
        <v/>
      </c>
    </row>
  </sheetData>
  <mergeCells count="15">
    <mergeCell ref="A1:D1"/>
    <mergeCell ref="A17:D17"/>
    <mergeCell ref="H4:N4"/>
    <mergeCell ref="AI121:AR121"/>
    <mergeCell ref="Q121:AD121"/>
    <mergeCell ref="A88:D88"/>
    <mergeCell ref="A4:D4"/>
    <mergeCell ref="H15:L15"/>
    <mergeCell ref="L121:P121"/>
    <mergeCell ref="A55:D55"/>
    <mergeCell ref="A109:D109"/>
    <mergeCell ref="E121:K121"/>
    <mergeCell ref="AE121:AH121"/>
    <mergeCell ref="A121:D121"/>
    <mergeCell ref="A32:D32"/>
  </mergeCells>
  <conditionalFormatting sqref="A123:AR205">
    <cfRule type="expression" priority="1" dxfId="2">
      <formula>OR($D123=FALSE,$B123&gt;endAge)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MIN(PLU_leUsed,99)</f>
        <v/>
      </c>
      <c r="C13" s="13" t="inlineStr">
        <is>
          <t>A · input</t>
        </is>
      </c>
      <c r="D13" s="18" t="inlineStr">
        <is>
          <t>durationOfRetirement = LE − retirement age.</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t="n">
        <v>83</v>
      </c>
      <c r="C17" s="36" t="inlineStr">
        <is>
          <t>D · assumption / shared</t>
        </is>
      </c>
      <c r="D17" s="18" t="inlineStr">
        <is>
          <t>HU uses 83 when durationOfRetirement is 0.</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t>
        </is>
      </c>
      <c r="B20" s="39" t="n">
        <v>200000</v>
      </c>
      <c r="C20" s="36" t="inlineStr">
        <is>
          <t>D · assumption / shared</t>
        </is>
      </c>
      <c r="D20" s="18" t="inlineStr">
        <is>
          <t>HU ciAssumptions medicalCost, × inflation.</t>
        </is>
      </c>
    </row>
    <row r="21">
      <c r="A21" s="38" t="inlineStr">
        <is>
          <t>PTD medical cost</t>
        </is>
      </c>
      <c r="B21" s="39" t="n">
        <v>444000</v>
      </c>
      <c r="C21" s="36" t="inlineStr">
        <is>
          <t>D · assumption / shared</t>
        </is>
      </c>
      <c r="D21" s="18" t="inlineStr">
        <is>
          <t>ProductPTD, × inflation, first PTD only.</t>
        </is>
      </c>
    </row>
    <row r="22">
      <c r="A22" s="38" t="inlineStr">
        <is>
          <t>PTD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83.</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PTD</t>
        </is>
      </c>
      <c r="H67" s="3" t="inlineStr">
        <is>
          <t>q dismemberment</t>
        </is>
      </c>
      <c r="I67" s="3" t="inlineStr">
        <is>
          <t>alive</t>
        </is>
      </c>
      <c r="J67" s="3" t="inlineStr">
        <is>
          <t>score weight</t>
        </is>
      </c>
      <c r="K67" s="3" t="inlineStr">
        <is>
          <t>no PTD yet</t>
        </is>
      </c>
      <c r="L67" s="3" t="inlineStr">
        <is>
          <t>P(PTD so far)</t>
        </is>
      </c>
      <c r="M67" s="3" t="inlineStr">
        <is>
          <t>P(first PTD)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HU_ciProp*Q69+HU_ptdCut*L69+HU_disCut*O69</f>
        <v/>
      </c>
      <c r="X69" s="29">
        <f>IF(OR(A69&lt;1,A69&gt;HU_T),0,V69*(1-W69))</f>
        <v/>
      </c>
      <c r="Y69" s="29">
        <f>IF(OR(A69&lt;1,A69&gt;HU_T),0,IF(AND(HU_retExp&gt;0,A69-1&gt;=HU_dtr),HU_retExp,HU_exp0)*R69)</f>
        <v/>
      </c>
      <c r="Z69" s="29">
        <f>-Y69-IF(AND(HU_wdOn,A69=HU_wdYear),HU_wdOut,0)</f>
        <v/>
      </c>
      <c r="AA69" s="29">
        <f>IF(OR(A69&lt;1,A69&gt;HU_T),0,-HU_medCost*R69*F69-HU_ptdCost*R69*M69)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HU_ciProp*Q70+HU_ptdCut*L70+HU_disCut*O70</f>
        <v/>
      </c>
      <c r="X70" s="29">
        <f>IF(OR(A70&lt;1,A70&gt;HU_T),0,V70*(1-W70))</f>
        <v/>
      </c>
      <c r="Y70" s="29">
        <f>IF(OR(A70&lt;1,A70&gt;HU_T),0,IF(AND(HU_retExp&gt;0,A70-1&gt;=HU_dtr),HU_retExp,HU_exp0)*R70)</f>
        <v/>
      </c>
      <c r="Z70" s="29">
        <f>-Y70-IF(AND(HU_wdOn,A70=HU_wdYear),HU_wdOut,0)</f>
        <v/>
      </c>
      <c r="AA70" s="29">
        <f>IF(OR(A70&lt;1,A70&gt;HU_T),0,-HU_medCost*R70*F70-HU_ptdCost*R70*M70)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HU_ciProp*Q71+HU_ptdCut*L71+HU_disCut*O71</f>
        <v/>
      </c>
      <c r="X71" s="29">
        <f>IF(OR(A71&lt;1,A71&gt;HU_T),0,V71*(1-W71))</f>
        <v/>
      </c>
      <c r="Y71" s="29">
        <f>IF(OR(A71&lt;1,A71&gt;HU_T),0,IF(AND(HU_retExp&gt;0,A71-1&gt;=HU_dtr),HU_retExp,HU_exp0)*R71)</f>
        <v/>
      </c>
      <c r="Z71" s="29">
        <f>-Y71-IF(AND(HU_wdOn,A71=HU_wdYear),HU_wdOut,0)</f>
        <v/>
      </c>
      <c r="AA71" s="29">
        <f>IF(OR(A71&lt;1,A71&gt;HU_T),0,-HU_medCost*R71*F71-HU_ptdCost*R71*M71)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HU_ciProp*Q72+HU_ptdCut*L72+HU_disCut*O72</f>
        <v/>
      </c>
      <c r="X72" s="29">
        <f>IF(OR(A72&lt;1,A72&gt;HU_T),0,V72*(1-W72))</f>
        <v/>
      </c>
      <c r="Y72" s="29">
        <f>IF(OR(A72&lt;1,A72&gt;HU_T),0,IF(AND(HU_retExp&gt;0,A72-1&gt;=HU_dtr),HU_retExp,HU_exp0)*R72)</f>
        <v/>
      </c>
      <c r="Z72" s="29">
        <f>-Y72-IF(AND(HU_wdOn,A72=HU_wdYear),HU_wdOut,0)</f>
        <v/>
      </c>
      <c r="AA72" s="29">
        <f>IF(OR(A72&lt;1,A72&gt;HU_T),0,-HU_medCost*R72*F72-HU_ptdCost*R72*M72)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HU_ciProp*Q73+HU_ptdCut*L73+HU_disCut*O73</f>
        <v/>
      </c>
      <c r="X73" s="29">
        <f>IF(OR(A73&lt;1,A73&gt;HU_T),0,V73*(1-W73))</f>
        <v/>
      </c>
      <c r="Y73" s="29">
        <f>IF(OR(A73&lt;1,A73&gt;HU_T),0,IF(AND(HU_retExp&gt;0,A73-1&gt;=HU_dtr),HU_retExp,HU_exp0)*R73)</f>
        <v/>
      </c>
      <c r="Z73" s="29">
        <f>-Y73-IF(AND(HU_wdOn,A73=HU_wdYear),HU_wdOut,0)</f>
        <v/>
      </c>
      <c r="AA73" s="29">
        <f>IF(OR(A73&lt;1,A73&gt;HU_T),0,-HU_medCost*R73*F73-HU_ptdCost*R73*M73)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HU_ciProp*Q74+HU_ptdCut*L74+HU_disCut*O74</f>
        <v/>
      </c>
      <c r="X74" s="29">
        <f>IF(OR(A74&lt;1,A74&gt;HU_T),0,V74*(1-W74))</f>
        <v/>
      </c>
      <c r="Y74" s="29">
        <f>IF(OR(A74&lt;1,A74&gt;HU_T),0,IF(AND(HU_retExp&gt;0,A74-1&gt;=HU_dtr),HU_retExp,HU_exp0)*R74)</f>
        <v/>
      </c>
      <c r="Z74" s="29">
        <f>-Y74-IF(AND(HU_wdOn,A74=HU_wdYear),HU_wdOut,0)</f>
        <v/>
      </c>
      <c r="AA74" s="29">
        <f>IF(OR(A74&lt;1,A74&gt;HU_T),0,-HU_medCost*R74*F74-HU_ptdCost*R74*M74)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HU_ciProp*Q75+HU_ptdCut*L75+HU_disCut*O75</f>
        <v/>
      </c>
      <c r="X75" s="29">
        <f>IF(OR(A75&lt;1,A75&gt;HU_T),0,V75*(1-W75))</f>
        <v/>
      </c>
      <c r="Y75" s="29">
        <f>IF(OR(A75&lt;1,A75&gt;HU_T),0,IF(AND(HU_retExp&gt;0,A75-1&gt;=HU_dtr),HU_retExp,HU_exp0)*R75)</f>
        <v/>
      </c>
      <c r="Z75" s="29">
        <f>-Y75-IF(AND(HU_wdOn,A75=HU_wdYear),HU_wdOut,0)</f>
        <v/>
      </c>
      <c r="AA75" s="29">
        <f>IF(OR(A75&lt;1,A75&gt;HU_T),0,-HU_medCost*R75*F75-HU_ptdCost*R75*M75)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HU_ciProp*Q76+HU_ptdCut*L76+HU_disCut*O76</f>
        <v/>
      </c>
      <c r="X76" s="29">
        <f>IF(OR(A76&lt;1,A76&gt;HU_T),0,V76*(1-W76))</f>
        <v/>
      </c>
      <c r="Y76" s="29">
        <f>IF(OR(A76&lt;1,A76&gt;HU_T),0,IF(AND(HU_retExp&gt;0,A76-1&gt;=HU_dtr),HU_retExp,HU_exp0)*R76)</f>
        <v/>
      </c>
      <c r="Z76" s="29">
        <f>-Y76-IF(AND(HU_wdOn,A76=HU_wdYear),HU_wdOut,0)</f>
        <v/>
      </c>
      <c r="AA76" s="29">
        <f>IF(OR(A76&lt;1,A76&gt;HU_T),0,-HU_medCost*R76*F76-HU_ptdCost*R76*M76)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HU_ciProp*Q77+HU_ptdCut*L77+HU_disCut*O77</f>
        <v/>
      </c>
      <c r="X77" s="29">
        <f>IF(OR(A77&lt;1,A77&gt;HU_T),0,V77*(1-W77))</f>
        <v/>
      </c>
      <c r="Y77" s="29">
        <f>IF(OR(A77&lt;1,A77&gt;HU_T),0,IF(AND(HU_retExp&gt;0,A77-1&gt;=HU_dtr),HU_retExp,HU_exp0)*R77)</f>
        <v/>
      </c>
      <c r="Z77" s="29">
        <f>-Y77-IF(AND(HU_wdOn,A77=HU_wdYear),HU_wdOut,0)</f>
        <v/>
      </c>
      <c r="AA77" s="29">
        <f>IF(OR(A77&lt;1,A77&gt;HU_T),0,-HU_medCost*R77*F77-HU_ptdCost*R77*M77)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HU_ciProp*Q78+HU_ptdCut*L78+HU_disCut*O78</f>
        <v/>
      </c>
      <c r="X78" s="29">
        <f>IF(OR(A78&lt;1,A78&gt;HU_T),0,V78*(1-W78))</f>
        <v/>
      </c>
      <c r="Y78" s="29">
        <f>IF(OR(A78&lt;1,A78&gt;HU_T),0,IF(AND(HU_retExp&gt;0,A78-1&gt;=HU_dtr),HU_retExp,HU_exp0)*R78)</f>
        <v/>
      </c>
      <c r="Z78" s="29">
        <f>-Y78-IF(AND(HU_wdOn,A78=HU_wdYear),HU_wdOut,0)</f>
        <v/>
      </c>
      <c r="AA78" s="29">
        <f>IF(OR(A78&lt;1,A78&gt;HU_T),0,-HU_medCost*R78*F78-HU_ptdCost*R78*M78)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HU_ciProp*Q79+HU_ptdCut*L79+HU_disCut*O79</f>
        <v/>
      </c>
      <c r="X79" s="29">
        <f>IF(OR(A79&lt;1,A79&gt;HU_T),0,V79*(1-W79))</f>
        <v/>
      </c>
      <c r="Y79" s="29">
        <f>IF(OR(A79&lt;1,A79&gt;HU_T),0,IF(AND(HU_retExp&gt;0,A79-1&gt;=HU_dtr),HU_retExp,HU_exp0)*R79)</f>
        <v/>
      </c>
      <c r="Z79" s="29">
        <f>-Y79-IF(AND(HU_wdOn,A79=HU_wdYear),HU_wdOut,0)</f>
        <v/>
      </c>
      <c r="AA79" s="29">
        <f>IF(OR(A79&lt;1,A79&gt;HU_T),0,-HU_medCost*R79*F79-HU_ptdCost*R79*M79)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HU_ciProp*Q80+HU_ptdCut*L80+HU_disCut*O80</f>
        <v/>
      </c>
      <c r="X80" s="29">
        <f>IF(OR(A80&lt;1,A80&gt;HU_T),0,V80*(1-W80))</f>
        <v/>
      </c>
      <c r="Y80" s="29">
        <f>IF(OR(A80&lt;1,A80&gt;HU_T),0,IF(AND(HU_retExp&gt;0,A80-1&gt;=HU_dtr),HU_retExp,HU_exp0)*R80)</f>
        <v/>
      </c>
      <c r="Z80" s="29">
        <f>-Y80-IF(AND(HU_wdOn,A80=HU_wdYear),HU_wdOut,0)</f>
        <v/>
      </c>
      <c r="AA80" s="29">
        <f>IF(OR(A80&lt;1,A80&gt;HU_T),0,-HU_medCost*R80*F80-HU_ptdCost*R80*M80)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HU_ciProp*Q81+HU_ptdCut*L81+HU_disCut*O81</f>
        <v/>
      </c>
      <c r="X81" s="29">
        <f>IF(OR(A81&lt;1,A81&gt;HU_T),0,V81*(1-W81))</f>
        <v/>
      </c>
      <c r="Y81" s="29">
        <f>IF(OR(A81&lt;1,A81&gt;HU_T),0,IF(AND(HU_retExp&gt;0,A81-1&gt;=HU_dtr),HU_retExp,HU_exp0)*R81)</f>
        <v/>
      </c>
      <c r="Z81" s="29">
        <f>-Y81-IF(AND(HU_wdOn,A81=HU_wdYear),HU_wdOut,0)</f>
        <v/>
      </c>
      <c r="AA81" s="29">
        <f>IF(OR(A81&lt;1,A81&gt;HU_T),0,-HU_medCost*R81*F81-HU_ptdCost*R81*M81)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HU_ciProp*Q82+HU_ptdCut*L82+HU_disCut*O82</f>
        <v/>
      </c>
      <c r="X82" s="29">
        <f>IF(OR(A82&lt;1,A82&gt;HU_T),0,V82*(1-W82))</f>
        <v/>
      </c>
      <c r="Y82" s="29">
        <f>IF(OR(A82&lt;1,A82&gt;HU_T),0,IF(AND(HU_retExp&gt;0,A82-1&gt;=HU_dtr),HU_retExp,HU_exp0)*R82)</f>
        <v/>
      </c>
      <c r="Z82" s="29">
        <f>-Y82-IF(AND(HU_wdOn,A82=HU_wdYear),HU_wdOut,0)</f>
        <v/>
      </c>
      <c r="AA82" s="29">
        <f>IF(OR(A82&lt;1,A82&gt;HU_T),0,-HU_medCost*R82*F82-HU_ptdCost*R82*M82)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HU_ciProp*Q83+HU_ptdCut*L83+HU_disCut*O83</f>
        <v/>
      </c>
      <c r="X83" s="29">
        <f>IF(OR(A83&lt;1,A83&gt;HU_T),0,V83*(1-W83))</f>
        <v/>
      </c>
      <c r="Y83" s="29">
        <f>IF(OR(A83&lt;1,A83&gt;HU_T),0,IF(AND(HU_retExp&gt;0,A83-1&gt;=HU_dtr),HU_retExp,HU_exp0)*R83)</f>
        <v/>
      </c>
      <c r="Z83" s="29">
        <f>-Y83-IF(AND(HU_wdOn,A83=HU_wdYear),HU_wdOut,0)</f>
        <v/>
      </c>
      <c r="AA83" s="29">
        <f>IF(OR(A83&lt;1,A83&gt;HU_T),0,-HU_medCost*R83*F83-HU_ptdCost*R83*M83)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HU_ciProp*Q84+HU_ptdCut*L84+HU_disCut*O84</f>
        <v/>
      </c>
      <c r="X84" s="29">
        <f>IF(OR(A84&lt;1,A84&gt;HU_T),0,V84*(1-W84))</f>
        <v/>
      </c>
      <c r="Y84" s="29">
        <f>IF(OR(A84&lt;1,A84&gt;HU_T),0,IF(AND(HU_retExp&gt;0,A84-1&gt;=HU_dtr),HU_retExp,HU_exp0)*R84)</f>
        <v/>
      </c>
      <c r="Z84" s="29">
        <f>-Y84-IF(AND(HU_wdOn,A84=HU_wdYear),HU_wdOut,0)</f>
        <v/>
      </c>
      <c r="AA84" s="29">
        <f>IF(OR(A84&lt;1,A84&gt;HU_T),0,-HU_medCost*R84*F84-HU_ptdCost*R84*M84)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HU_ciProp*Q85+HU_ptdCut*L85+HU_disCut*O85</f>
        <v/>
      </c>
      <c r="X85" s="29">
        <f>IF(OR(A85&lt;1,A85&gt;HU_T),0,V85*(1-W85))</f>
        <v/>
      </c>
      <c r="Y85" s="29">
        <f>IF(OR(A85&lt;1,A85&gt;HU_T),0,IF(AND(HU_retExp&gt;0,A85-1&gt;=HU_dtr),HU_retExp,HU_exp0)*R85)</f>
        <v/>
      </c>
      <c r="Z85" s="29">
        <f>-Y85-IF(AND(HU_wdOn,A85=HU_wdYear),HU_wdOut,0)</f>
        <v/>
      </c>
      <c r="AA85" s="29">
        <f>IF(OR(A85&lt;1,A85&gt;HU_T),0,-HU_medCost*R85*F85-HU_ptdCost*R85*M85)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HU_ciProp*Q86+HU_ptdCut*L86+HU_disCut*O86</f>
        <v/>
      </c>
      <c r="X86" s="29">
        <f>IF(OR(A86&lt;1,A86&gt;HU_T),0,V86*(1-W86))</f>
        <v/>
      </c>
      <c r="Y86" s="29">
        <f>IF(OR(A86&lt;1,A86&gt;HU_T),0,IF(AND(HU_retExp&gt;0,A86-1&gt;=HU_dtr),HU_retExp,HU_exp0)*R86)</f>
        <v/>
      </c>
      <c r="Z86" s="29">
        <f>-Y86-IF(AND(HU_wdOn,A86=HU_wdYear),HU_wdOut,0)</f>
        <v/>
      </c>
      <c r="AA86" s="29">
        <f>IF(OR(A86&lt;1,A86&gt;HU_T),0,-HU_medCost*R86*F86-HU_ptdCost*R86*M86)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HU_ciProp*Q87+HU_ptdCut*L87+HU_disCut*O87</f>
        <v/>
      </c>
      <c r="X87" s="29">
        <f>IF(OR(A87&lt;1,A87&gt;HU_T),0,V87*(1-W87))</f>
        <v/>
      </c>
      <c r="Y87" s="29">
        <f>IF(OR(A87&lt;1,A87&gt;HU_T),0,IF(AND(HU_retExp&gt;0,A87-1&gt;=HU_dtr),HU_retExp,HU_exp0)*R87)</f>
        <v/>
      </c>
      <c r="Z87" s="29">
        <f>-Y87-IF(AND(HU_wdOn,A87=HU_wdYear),HU_wdOut,0)</f>
        <v/>
      </c>
      <c r="AA87" s="29">
        <f>IF(OR(A87&lt;1,A87&gt;HU_T),0,-HU_medCost*R87*F87-HU_ptdCost*R87*M87)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HU_ciProp*Q88+HU_ptdCut*L88+HU_disCut*O88</f>
        <v/>
      </c>
      <c r="X88" s="29">
        <f>IF(OR(A88&lt;1,A88&gt;HU_T),0,V88*(1-W88))</f>
        <v/>
      </c>
      <c r="Y88" s="29">
        <f>IF(OR(A88&lt;1,A88&gt;HU_T),0,IF(AND(HU_retExp&gt;0,A88-1&gt;=HU_dtr),HU_retExp,HU_exp0)*R88)</f>
        <v/>
      </c>
      <c r="Z88" s="29">
        <f>-Y88-IF(AND(HU_wdOn,A88=HU_wdYear),HU_wdOut,0)</f>
        <v/>
      </c>
      <c r="AA88" s="29">
        <f>IF(OR(A88&lt;1,A88&gt;HU_T),0,-HU_medCost*R88*F88-HU_ptdCost*R88*M88)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HU_ciProp*Q89+HU_ptdCut*L89+HU_disCut*O89</f>
        <v/>
      </c>
      <c r="X89" s="29">
        <f>IF(OR(A89&lt;1,A89&gt;HU_T),0,V89*(1-W89))</f>
        <v/>
      </c>
      <c r="Y89" s="29">
        <f>IF(OR(A89&lt;1,A89&gt;HU_T),0,IF(AND(HU_retExp&gt;0,A89-1&gt;=HU_dtr),HU_retExp,HU_exp0)*R89)</f>
        <v/>
      </c>
      <c r="Z89" s="29">
        <f>-Y89-IF(AND(HU_wdOn,A89=HU_wdYear),HU_wdOut,0)</f>
        <v/>
      </c>
      <c r="AA89" s="29">
        <f>IF(OR(A89&lt;1,A89&gt;HU_T),0,-HU_medCost*R89*F89-HU_ptdCost*R89*M89)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HU_ciProp*Q90+HU_ptdCut*L90+HU_disCut*O90</f>
        <v/>
      </c>
      <c r="X90" s="29">
        <f>IF(OR(A90&lt;1,A90&gt;HU_T),0,V90*(1-W90))</f>
        <v/>
      </c>
      <c r="Y90" s="29">
        <f>IF(OR(A90&lt;1,A90&gt;HU_T),0,IF(AND(HU_retExp&gt;0,A90-1&gt;=HU_dtr),HU_retExp,HU_exp0)*R90)</f>
        <v/>
      </c>
      <c r="Z90" s="29">
        <f>-Y90-IF(AND(HU_wdOn,A90=HU_wdYear),HU_wdOut,0)</f>
        <v/>
      </c>
      <c r="AA90" s="29">
        <f>IF(OR(A90&lt;1,A90&gt;HU_T),0,-HU_medCost*R90*F90-HU_ptdCost*R90*M90)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HU_ciProp*Q91+HU_ptdCut*L91+HU_disCut*O91</f>
        <v/>
      </c>
      <c r="X91" s="29">
        <f>IF(OR(A91&lt;1,A91&gt;HU_T),0,V91*(1-W91))</f>
        <v/>
      </c>
      <c r="Y91" s="29">
        <f>IF(OR(A91&lt;1,A91&gt;HU_T),0,IF(AND(HU_retExp&gt;0,A91-1&gt;=HU_dtr),HU_retExp,HU_exp0)*R91)</f>
        <v/>
      </c>
      <c r="Z91" s="29">
        <f>-Y91-IF(AND(HU_wdOn,A91=HU_wdYear),HU_wdOut,0)</f>
        <v/>
      </c>
      <c r="AA91" s="29">
        <f>IF(OR(A91&lt;1,A91&gt;HU_T),0,-HU_medCost*R91*F91-HU_ptdCost*R91*M91)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HU_ciProp*Q92+HU_ptdCut*L92+HU_disCut*O92</f>
        <v/>
      </c>
      <c r="X92" s="29">
        <f>IF(OR(A92&lt;1,A92&gt;HU_T),0,V92*(1-W92))</f>
        <v/>
      </c>
      <c r="Y92" s="29">
        <f>IF(OR(A92&lt;1,A92&gt;HU_T),0,IF(AND(HU_retExp&gt;0,A92-1&gt;=HU_dtr),HU_retExp,HU_exp0)*R92)</f>
        <v/>
      </c>
      <c r="Z92" s="29">
        <f>-Y92-IF(AND(HU_wdOn,A92=HU_wdYear),HU_wdOut,0)</f>
        <v/>
      </c>
      <c r="AA92" s="29">
        <f>IF(OR(A92&lt;1,A92&gt;HU_T),0,-HU_medCost*R92*F92-HU_ptdCost*R92*M92)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HU_ciProp*Q93+HU_ptdCut*L93+HU_disCut*O93</f>
        <v/>
      </c>
      <c r="X93" s="29">
        <f>IF(OR(A93&lt;1,A93&gt;HU_T),0,V93*(1-W93))</f>
        <v/>
      </c>
      <c r="Y93" s="29">
        <f>IF(OR(A93&lt;1,A93&gt;HU_T),0,IF(AND(HU_retExp&gt;0,A93-1&gt;=HU_dtr),HU_retExp,HU_exp0)*R93)</f>
        <v/>
      </c>
      <c r="Z93" s="29">
        <f>-Y93-IF(AND(HU_wdOn,A93=HU_wdYear),HU_wdOut,0)</f>
        <v/>
      </c>
      <c r="AA93" s="29">
        <f>IF(OR(A93&lt;1,A93&gt;HU_T),0,-HU_medCost*R93*F93-HU_ptdCost*R93*M93)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HU_ciProp*Q94+HU_ptdCut*L94+HU_disCut*O94</f>
        <v/>
      </c>
      <c r="X94" s="29">
        <f>IF(OR(A94&lt;1,A94&gt;HU_T),0,V94*(1-W94))</f>
        <v/>
      </c>
      <c r="Y94" s="29">
        <f>IF(OR(A94&lt;1,A94&gt;HU_T),0,IF(AND(HU_retExp&gt;0,A94-1&gt;=HU_dtr),HU_retExp,HU_exp0)*R94)</f>
        <v/>
      </c>
      <c r="Z94" s="29">
        <f>-Y94-IF(AND(HU_wdOn,A94=HU_wdYear),HU_wdOut,0)</f>
        <v/>
      </c>
      <c r="AA94" s="29">
        <f>IF(OR(A94&lt;1,A94&gt;HU_T),0,-HU_medCost*R94*F94-HU_ptdCost*R94*M94)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HU_ciProp*Q95+HU_ptdCut*L95+HU_disCut*O95</f>
        <v/>
      </c>
      <c r="X95" s="29">
        <f>IF(OR(A95&lt;1,A95&gt;HU_T),0,V95*(1-W95))</f>
        <v/>
      </c>
      <c r="Y95" s="29">
        <f>IF(OR(A95&lt;1,A95&gt;HU_T),0,IF(AND(HU_retExp&gt;0,A95-1&gt;=HU_dtr),HU_retExp,HU_exp0)*R95)</f>
        <v/>
      </c>
      <c r="Z95" s="29">
        <f>-Y95-IF(AND(HU_wdOn,A95=HU_wdYear),HU_wdOut,0)</f>
        <v/>
      </c>
      <c r="AA95" s="29">
        <f>IF(OR(A95&lt;1,A95&gt;HU_T),0,-HU_medCost*R95*F95-HU_ptdCost*R95*M95)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HU_ciProp*Q96+HU_ptdCut*L96+HU_disCut*O96</f>
        <v/>
      </c>
      <c r="X96" s="29">
        <f>IF(OR(A96&lt;1,A96&gt;HU_T),0,V96*(1-W96))</f>
        <v/>
      </c>
      <c r="Y96" s="29">
        <f>IF(OR(A96&lt;1,A96&gt;HU_T),0,IF(AND(HU_retExp&gt;0,A96-1&gt;=HU_dtr),HU_retExp,HU_exp0)*R96)</f>
        <v/>
      </c>
      <c r="Z96" s="29">
        <f>-Y96-IF(AND(HU_wdOn,A96=HU_wdYear),HU_wdOut,0)</f>
        <v/>
      </c>
      <c r="AA96" s="29">
        <f>IF(OR(A96&lt;1,A96&gt;HU_T),0,-HU_medCost*R96*F96-HU_ptdCost*R96*M96)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HU_ciProp*Q97+HU_ptdCut*L97+HU_disCut*O97</f>
        <v/>
      </c>
      <c r="X97" s="29">
        <f>IF(OR(A97&lt;1,A97&gt;HU_T),0,V97*(1-W97))</f>
        <v/>
      </c>
      <c r="Y97" s="29">
        <f>IF(OR(A97&lt;1,A97&gt;HU_T),0,IF(AND(HU_retExp&gt;0,A97-1&gt;=HU_dtr),HU_retExp,HU_exp0)*R97)</f>
        <v/>
      </c>
      <c r="Z97" s="29">
        <f>-Y97-IF(AND(HU_wdOn,A97=HU_wdYear),HU_wdOut,0)</f>
        <v/>
      </c>
      <c r="AA97" s="29">
        <f>IF(OR(A97&lt;1,A97&gt;HU_T),0,-HU_medCost*R97*F97-HU_ptdCost*R97*M97)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HU_ciProp*Q98+HU_ptdCut*L98+HU_disCut*O98</f>
        <v/>
      </c>
      <c r="X98" s="29">
        <f>IF(OR(A98&lt;1,A98&gt;HU_T),0,V98*(1-W98))</f>
        <v/>
      </c>
      <c r="Y98" s="29">
        <f>IF(OR(A98&lt;1,A98&gt;HU_T),0,IF(AND(HU_retExp&gt;0,A98-1&gt;=HU_dtr),HU_retExp,HU_exp0)*R98)</f>
        <v/>
      </c>
      <c r="Z98" s="29">
        <f>-Y98-IF(AND(HU_wdOn,A98=HU_wdYear),HU_wdOut,0)</f>
        <v/>
      </c>
      <c r="AA98" s="29">
        <f>IF(OR(A98&lt;1,A98&gt;HU_T),0,-HU_medCost*R98*F98-HU_ptdCost*R98*M98)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HU_ciProp*Q99+HU_ptdCut*L99+HU_disCut*O99</f>
        <v/>
      </c>
      <c r="X99" s="29">
        <f>IF(OR(A99&lt;1,A99&gt;HU_T),0,V99*(1-W99))</f>
        <v/>
      </c>
      <c r="Y99" s="29">
        <f>IF(OR(A99&lt;1,A99&gt;HU_T),0,IF(AND(HU_retExp&gt;0,A99-1&gt;=HU_dtr),HU_retExp,HU_exp0)*R99)</f>
        <v/>
      </c>
      <c r="Z99" s="29">
        <f>-Y99-IF(AND(HU_wdOn,A99=HU_wdYear),HU_wdOut,0)</f>
        <v/>
      </c>
      <c r="AA99" s="29">
        <f>IF(OR(A99&lt;1,A99&gt;HU_T),0,-HU_medCost*R99*F99-HU_ptdCost*R99*M99)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HU_ciProp*Q100+HU_ptdCut*L100+HU_disCut*O100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IF(OR(A100&lt;1,A100&gt;HU_T),0,-HU_medCost*R100*F100-HU_ptdCost*R100*M100)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HU_ciProp*Q101+HU_ptdCut*L101+HU_disCut*O101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IF(OR(A101&lt;1,A101&gt;HU_T),0,-HU_medCost*R101*F101-HU_ptdCost*R101*M101)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HU_ciProp*Q102+HU_ptdCut*L102+HU_disCut*O102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IF(OR(A102&lt;1,A102&gt;HU_T),0,-HU_medCost*R102*F102-HU_ptdCost*R102*M102)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HU_ciProp*Q103+HU_ptdCut*L103+HU_disCut*O103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IF(OR(A103&lt;1,A103&gt;HU_T),0,-HU_medCost*R103*F103-HU_ptdCost*R103*M103)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HU_ciProp*Q104+HU_ptdCut*L104+HU_disCut*O104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IF(OR(A104&lt;1,A104&gt;HU_T),0,-HU_medCost*R104*F104-HU_ptdCost*R104*M104)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HU_ciProp*Q105+HU_ptdCut*L105+HU_disCut*O105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IF(OR(A105&lt;1,A105&gt;HU_T),0,-HU_medCost*R105*F105-HU_ptdCost*R105*M105)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HU_ciProp*Q106+HU_ptdCut*L106+HU_disCut*O106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IF(OR(A106&lt;1,A106&gt;HU_T),0,-HU_medCost*R106*F106-HU_ptdCost*R106*M106)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HU_ciProp*Q107+HU_ptdCut*L107+HU_disCut*O107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IF(OR(A107&lt;1,A107&gt;HU_T),0,-HU_medCost*R107*F107-HU_ptdCost*R107*M107)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HU_ciProp*Q108+HU_ptdCut*L108+HU_disCut*O108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IF(OR(A108&lt;1,A108&gt;HU_T),0,-HU_medCost*R108*F108-HU_ptdCost*R108*M108)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HU_ciProp*Q109+HU_ptdCut*L109+HU_disCut*O109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IF(OR(A109&lt;1,A109&gt;HU_T),0,-HU_medCost*R109*F109-HU_ptdCost*R109*M109)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HU_ciProp*Q110+HU_ptdCut*L110+HU_disCut*O110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IF(OR(A110&lt;1,A110&gt;HU_T),0,-HU_medCost*R110*F110-HU_ptdCost*R110*M110)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HU_ciProp*Q111+HU_ptdCut*L111+HU_disCut*O111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IF(OR(A111&lt;1,A111&gt;HU_T),0,-HU_medCost*R111*F111-HU_ptdCost*R111*M111)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HU_ciProp*Q112+HU_ptdCut*L112+HU_disCut*O112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IF(OR(A112&lt;1,A112&gt;HU_T),0,-HU_medCost*R112*F112-HU_ptdCost*R112*M112)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HU_ciProp*Q113+HU_ptdCut*L113+HU_disCut*O113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IF(OR(A113&lt;1,A113&gt;HU_T),0,-HU_medCost*R113*F113-HU_ptdCost*R113*M113)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HU_ciProp*Q114+HU_ptdCut*L114+HU_disCut*O114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IF(OR(A114&lt;1,A114&gt;HU_T),0,-HU_medCost*R114*F114-HU_ptdCost*R114*M114)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HU_ciProp*Q115+HU_ptdCut*L115+HU_disCut*O115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IF(OR(A115&lt;1,A115&gt;HU_T),0,-HU_medCost*R115*F115-HU_ptdCost*R115*M115)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HU_ciProp*Q116+HU_ptdCut*L116+HU_disCut*O116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IF(OR(A116&lt;1,A116&gt;HU_T),0,-HU_medCost*R116*F116-HU_ptdCost*R116*M116)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HU_ciProp*Q117+HU_ptdCut*L117+HU_disCut*O117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IF(OR(A117&lt;1,A117&gt;HU_T),0,-HU_medCost*R117*F117-HU_ptdCost*R117*M117)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HU_ciProp*Q118+HU_ptdCut*L118+HU_disCut*O118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IF(OR(A118&lt;1,A118&gt;HU_T),0,-HU_medCost*R118*F118-HU_ptdCost*R118*M118)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HU_ciProp*Q119+HU_ptdCut*L119+HU_disCut*O119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IF(OR(A119&lt;1,A119&gt;HU_T),0,-HU_medCost*R119*F119-HU_ptdCost*R119*M119)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HU_ciProp*Q120+HU_ptdCut*L120+HU_disCut*O120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IF(OR(A120&lt;1,A120&gt;HU_T),0,-HU_medCost*R120*F120-HU_ptdCost*R120*M120)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HU_ciProp*Q121+HU_ptdCut*L121+HU_disCut*O121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IF(OR(A121&lt;1,A121&gt;HU_T),0,-HU_medCost*R121*F121-HU_ptdCost*R121*M121)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HU_ciProp*Q122+HU_ptdCut*L122+HU_disCut*O122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IF(OR(A122&lt;1,A122&gt;HU_T),0,-HU_medCost*R122*F122-HU_ptdCost*R122*M122)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HU_ciProp*Q123+HU_ptdCut*L123+HU_disCut*O123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IF(OR(A123&lt;1,A123&gt;HU_T),0,-HU_medCost*R123*F123-HU_ptdCost*R123*M123)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HU_ciProp*Q124+HU_ptdCut*L124+HU_disCut*O124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IF(OR(A124&lt;1,A124&gt;HU_T),0,-HU_medCost*R124*F124-HU_ptdCost*R124*M124)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HU_ciProp*Q125+HU_ptdCut*L125+HU_disCut*O125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IF(OR(A125&lt;1,A125&gt;HU_T),0,-HU_medCost*R125*F125-HU_ptdCost*R125*M125)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HU_ciProp*Q126+HU_ptdCut*L126+HU_disCut*O126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IF(OR(A126&lt;1,A126&gt;HU_T),0,-HU_medCost*R126*F126-HU_ptdCost*R126*M126)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HU_ciProp*Q127+HU_ptdCut*L127+HU_disCut*O127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IF(OR(A127&lt;1,A127&gt;HU_T),0,-HU_medCost*R127*F127-HU_ptdCost*R127*M127)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HU_ciProp*Q128+HU_ptdCut*L128+HU_disCut*O128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IF(OR(A128&lt;1,A128&gt;HU_T),0,-HU_medCost*R128*F128-HU_ptdCost*R128*M128)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HU_ciProp*Q129+HU_ptdCut*L129+HU_disCut*O129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IF(OR(A129&lt;1,A129&gt;HU_T),0,-HU_medCost*R129*F129-HU_ptdCost*R129*M129)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HU_ciProp*Q130+HU_ptdCut*L130+HU_disCut*O130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IF(OR(A130&lt;1,A130&gt;HU_T),0,-HU_medCost*R130*F130-HU_ptdCost*R130*M130)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HU_ciProp*Q131+HU_ptdCut*L131+HU_disCut*O131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IF(OR(A131&lt;1,A131&gt;HU_T),0,-HU_medCost*R131*F131-HU_ptdCost*R131*M131)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HU_ciProp*Q132+HU_ptdCut*L132+HU_disCut*O132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IF(OR(A132&lt;1,A132&gt;HU_T),0,-HU_medCost*R132*F132-HU_ptdCost*R132*M132)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HU_ciProp*Q133+HU_ptdCut*L133+HU_disCut*O133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IF(OR(A133&lt;1,A133&gt;HU_T),0,-HU_medCost*R133*F133-HU_ptdCost*R133*M133)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HU_ciProp*Q134+HU_ptdCut*L134+HU_disCut*O134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IF(OR(A134&lt;1,A134&gt;HU_T),0,-HU_medCost*R134*F134-HU_ptdCost*R134*M134)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HU_ciProp*Q135+HU_ptdCut*L135+HU_disCut*O135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IF(OR(A135&lt;1,A135&gt;HU_T),0,-HU_medCost*R135*F135-HU_ptdCost*R135*M135)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HU_ciProp*Q136+HU_ptdCut*L136+HU_disCut*O136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IF(OR(A136&lt;1,A136&gt;HU_T),0,-HU_medCost*R136*F136-HU_ptdCost*R136*M136)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HU_ciProp*Q137+HU_ptdCut*L137+HU_disCut*O137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IF(OR(A137&lt;1,A137&gt;HU_T),0,-HU_medCost*R137*F137-HU_ptdCost*R137*M137)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HU_ciProp*Q138+HU_ptdCut*L138+HU_disCut*O138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IF(OR(A138&lt;1,A138&gt;HU_T),0,-HU_medCost*R138*F138-HU_ptdCost*R138*M138)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HU_ciProp*Q139+HU_ptdCut*L139+HU_disCut*O139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IF(OR(A139&lt;1,A139&gt;HU_T),0,-HU_medCost*R139*F139-HU_ptdCost*R139*M139)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HU_ciProp*Q140+HU_ptdCut*L140+HU_disCut*O140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IF(OR(A140&lt;1,A140&gt;HU_T),0,-HU_medCost*R140*F140-HU_ptdCost*R140*M140)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HU_ciProp*Q141+HU_ptdCut*L141+HU_disCut*O141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IF(OR(A141&lt;1,A141&gt;HU_T),0,-HU_medCost*R141*F141-HU_ptdCost*R141*M141)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HU_ciProp*Q142+HU_ptdCut*L142+HU_disCut*O142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IF(OR(A142&lt;1,A142&gt;HU_T),0,-HU_medCost*R142*F142-HU_ptdCost*R142*M142)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HU_ciProp*Q143+HU_ptdCut*L143+HU_disCut*O143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IF(OR(A143&lt;1,A143&gt;HU_T),0,-HU_medCost*R143*F143-HU_ptdCost*R143*M143)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HU_ciProp*Q144+HU_ptdCut*L144+HU_disCut*O144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IF(OR(A144&lt;1,A144&gt;HU_T),0,-HU_medCost*R144*F144-HU_ptdCost*R144*M144)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HU_ciProp*Q145+HU_ptdCut*L145+HU_disCut*O145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IF(OR(A145&lt;1,A145&gt;HU_T),0,-HU_medCost*R145*F145-HU_ptdCost*R145*M145)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HU_ciProp*Q146+HU_ptdCut*L146+HU_disCut*O146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IF(OR(A146&lt;1,A146&gt;HU_T),0,-HU_medCost*R146*F146-HU_ptdCost*R146*M146)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HU_ciProp*Q147+HU_ptdCut*L147+HU_disCut*O147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IF(OR(A147&lt;1,A147&gt;HU_T),0,-HU_medCost*R147*F147-HU_ptdCost*R147*M147)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HU_ciProp*Q148+HU_ptdCut*L148+HU_disCut*O148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IF(OR(A148&lt;1,A148&gt;HU_T),0,-HU_medCost*R148*F148-HU_ptdCost*R148*M148)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HU_ciProp*Q149+HU_ptdCut*L149+HU_disCut*O149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IF(OR(A149&lt;1,A149&gt;HU_T),0,-HU_medCost*R149*F149-HU_ptdCost*R149*M149)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HU_ciProp*Q150+HU_ptdCut*L150+HU_disCut*O150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IF(OR(A150&lt;1,A150&gt;HU_T),0,-HU_medCost*R150*F150-HU_ptdCost*R150*M150)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19" t="inlineStr">
        <is>
          <t>D · RATE TABLE  —  USD per 1 user-currency unit. In the app: a live feed, locked on the session</t>
        </is>
      </c>
      <c r="J4" s="34" t="n"/>
      <c r="K4" s="34" t="n"/>
      <c r="L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price level (option B)</t>
        </is>
      </c>
      <c r="L5" s="3" t="inlineStr">
        <is>
          <t>note</t>
        </is>
      </c>
    </row>
    <row r="6">
      <c r="A6" s="17" t="inlineStr">
        <is>
          <t>incomeMonthly (local)</t>
        </is>
      </c>
      <c r="B6" s="37">
        <f>PLU_incomeMonthly</f>
        <v/>
      </c>
      <c r="C6" s="13" t="inlineStr">
        <is>
          <t>A · input</t>
        </is>
      </c>
      <c r="D6" s="18" t="inlineStr">
        <is>
          <t>Effective session.</t>
        </is>
      </c>
      <c r="F6" s="21" t="inlineStr">
        <is>
          <t>E · USER / FRONTEND OVERRIDE</t>
        </is>
      </c>
      <c r="I6" s="13" t="inlineStr">
        <is>
          <t>USD</t>
        </is>
      </c>
      <c r="J6" s="64" t="n">
        <v>1</v>
      </c>
      <c r="K6" s="65" t="n">
        <v>1</v>
      </c>
      <c r="L6" s="18" t="inlineStr">
        <is>
          <t>Identity. 5,000 USD = 5,000 USD.</t>
        </is>
      </c>
    </row>
    <row r="7">
      <c r="A7" s="17" t="inlineStr">
        <is>
          <t>expenseMonthly (local)</t>
        </is>
      </c>
      <c r="B7" s="37">
        <f>PLU_expenseMonthly</f>
        <v/>
      </c>
      <c r="C7" s="13" t="inlineStr">
        <is>
          <t>A · input</t>
        </is>
      </c>
      <c r="D7" s="18" t="inlineStr"/>
      <c r="I7" s="13" t="inlineStr">
        <is>
          <t>SGD</t>
        </is>
      </c>
      <c r="J7" s="64" t="n">
        <v>0.74</v>
      </c>
      <c r="K7" s="65" t="n">
        <v>1</v>
      </c>
      <c r="L7" s="18" t="inlineStr">
        <is>
          <t>5,000 SGD × 0.74 = 3,700 USD.</t>
        </is>
      </c>
    </row>
    <row r="8">
      <c r="A8" s="17" t="inlineStr">
        <is>
          <t>cash (local)</t>
        </is>
      </c>
      <c r="B8" s="37">
        <f>PLU_cash</f>
        <v/>
      </c>
      <c r="C8" s="13" t="inlineStr">
        <is>
          <t>A · input</t>
        </is>
      </c>
      <c r="D8" s="18" t="inlineStr"/>
      <c r="I8" s="13" t="inlineStr">
        <is>
          <t>VND</t>
        </is>
      </c>
      <c r="J8" s="64" t="n">
        <v>3.8e-05</v>
      </c>
      <c r="K8" s="65" t="n">
        <v>1</v>
      </c>
      <c r="L8" s="18" t="inlineStr">
        <is>
          <t>5,000 VND × 0.000038 = 0.19 USD.</t>
        </is>
      </c>
    </row>
    <row r="9">
      <c r="A9" s="17" t="inlineStr">
        <is>
          <t>investments (local)</t>
        </is>
      </c>
      <c r="B9" s="47">
        <f>PLU_investments</f>
        <v/>
      </c>
      <c r="C9" s="13" t="inlineStr">
        <is>
          <t>A · input</t>
        </is>
      </c>
      <c r="D9" s="18" t="inlineStr"/>
      <c r="I9" s="13" t="inlineStr">
        <is>
          <t>MYR</t>
        </is>
      </c>
      <c r="J9" s="64" t="n">
        <v>0.225</v>
      </c>
      <c r="K9" s="65" t="n">
        <v>1</v>
      </c>
      <c r="L9" s="18" t="inlineStr"/>
    </row>
    <row r="10">
      <c r="A10" s="17" t="inlineStr">
        <is>
          <t>property (local)</t>
        </is>
      </c>
      <c r="B10" s="47">
        <f>PLU_property</f>
        <v/>
      </c>
      <c r="C10" s="13" t="inlineStr">
        <is>
          <t>A · input</t>
        </is>
      </c>
      <c r="D10" s="18" t="inlineStr"/>
      <c r="I10" s="13" t="inlineStr">
        <is>
          <t>THB</t>
        </is>
      </c>
      <c r="J10" s="64" t="n">
        <v>0.029</v>
      </c>
      <c r="K10" s="65" t="n">
        <v>1</v>
      </c>
      <c r="L10" s="18" t="inlineStr"/>
    </row>
    <row r="11">
      <c r="A11" s="17" t="inlineStr">
        <is>
          <t>mortgage (local)</t>
        </is>
      </c>
      <c r="B11" s="47">
        <f>PLU_mortgage</f>
        <v/>
      </c>
      <c r="C11" s="13" t="inlineStr">
        <is>
          <t>A · input</t>
        </is>
      </c>
      <c r="D11" s="18" t="inlineStr"/>
      <c r="I11" s="13" t="inlineStr">
        <is>
          <t>PHP</t>
        </is>
      </c>
      <c r="J11" s="64" t="n">
        <v>0.0175</v>
      </c>
      <c r="K11" s="65" t="n">
        <v>1</v>
      </c>
      <c r="L11" s="18" t="inlineStr"/>
    </row>
    <row r="12">
      <c r="A12" s="17" t="inlineStr">
        <is>
          <t>PLU liabilities (local)</t>
        </is>
      </c>
      <c r="B12" s="37">
        <f>PLU_liabilities</f>
        <v/>
      </c>
      <c r="C12" s="13" t="inlineStr">
        <is>
          <t>A · input</t>
        </is>
      </c>
      <c r="D12" s="18" t="inlineStr"/>
      <c r="I12" s="13" t="inlineStr">
        <is>
          <t>AUD</t>
        </is>
      </c>
      <c r="J12" s="64" t="n">
        <v>0.66</v>
      </c>
      <c r="K12" s="65" t="n">
        <v>1</v>
      </c>
      <c r="L12" s="18" t="inlineStr"/>
    </row>
    <row r="13">
      <c r="A13" s="17" t="inlineStr">
        <is>
          <t>life sum assured (local)</t>
        </is>
      </c>
      <c r="B13" s="47">
        <f>PLU_lifeSum</f>
        <v/>
      </c>
      <c r="C13" s="13" t="inlineStr">
        <is>
          <t>A · input</t>
        </is>
      </c>
      <c r="D13" s="18" t="inlineStr"/>
      <c r="I13" s="13" t="inlineStr">
        <is>
          <t>EUR</t>
        </is>
      </c>
      <c r="J13" s="64" t="n">
        <v>1.09</v>
      </c>
      <c r="K13" s="65" t="n">
        <v>1</v>
      </c>
      <c r="L13" s="18" t="inlineStr"/>
    </row>
    <row r="14">
      <c r="I14" s="13" t="inlineStr">
        <is>
          <t>HKD</t>
        </is>
      </c>
      <c r="J14" s="64" t="n">
        <v>0.128</v>
      </c>
      <c r="K14" s="65" t="n">
        <v>1</v>
      </c>
      <c r="L14" s="18" t="inlineStr"/>
    </row>
    <row r="15">
      <c r="A15" s="19" t="inlineStr">
        <is>
          <t>D · ASSUMPTIONS  —  rate from the table on the right</t>
        </is>
      </c>
      <c r="B15" s="19" t="n"/>
      <c r="C15" s="19" t="n"/>
      <c r="D15" s="19" t="n"/>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row>
    <row r="17">
      <c r="A17" s="38" t="inlineStr">
        <is>
          <t>price level (effective)</t>
        </is>
      </c>
      <c r="B17" s="54">
        <f>IF(priceLevelOn=TRUE,IFERROR(VLOOKUP(PLU_currency,FxTable,3,FALSE),NA()),1)</f>
        <v/>
      </c>
      <c r="C17" s="36" t="inlineStr">
        <is>
          <t>D · assumption / shared</t>
        </is>
      </c>
      <c r="D17" s="18" t="inlineStr">
        <is>
          <t>Option B only. 1 when priceLevelOn is FALSE (option A). Multiplies the USD fixed amounts.</t>
        </is>
      </c>
    </row>
    <row r="19">
      <c r="A19" s="16" t="inlineStr">
        <is>
          <t>C · DETERMINISTICALLY CALCULATED  —  local × USD per 1</t>
        </is>
      </c>
      <c r="B19" s="16" t="n"/>
      <c r="C19" s="16" t="n"/>
      <c r="D19" s="16" t="n"/>
    </row>
    <row r="20">
      <c r="A20" s="26" t="inlineStr">
        <is>
          <t>incomeMonthly USD</t>
        </is>
      </c>
      <c r="B20" s="28">
        <f>B6*$B$16</f>
        <v/>
      </c>
      <c r="C20" s="27" t="inlineStr">
        <is>
          <t>C · calculated</t>
        </is>
      </c>
      <c r="D20" s="18" t="inlineStr">
        <is>
          <t>5,000 SGD → 3,700. 5,000 VND → 0.19.</t>
        </is>
      </c>
    </row>
    <row r="21">
      <c r="A21" s="26" t="inlineStr">
        <is>
          <t>expenseMonthly USD</t>
        </is>
      </c>
      <c r="B21" s="28">
        <f>B7*$B$16</f>
        <v/>
      </c>
      <c r="C21" s="27" t="inlineStr">
        <is>
          <t>C · calculated</t>
        </is>
      </c>
      <c r="D21" s="18" t="inlineStr"/>
    </row>
    <row r="22">
      <c r="A22" s="26" t="inlineStr">
        <is>
          <t>cash USD</t>
        </is>
      </c>
      <c r="B22" s="28">
        <f>B8*$B$16</f>
        <v/>
      </c>
      <c r="C22" s="27" t="inlineStr">
        <is>
          <t>C · calculated</t>
        </is>
      </c>
      <c r="D22" s="18" t="inlineStr"/>
    </row>
    <row r="23">
      <c r="A23" s="26" t="inlineStr">
        <is>
          <t>investments USD</t>
        </is>
      </c>
      <c r="B23" s="28">
        <f>B9*$B$16</f>
        <v/>
      </c>
      <c r="C23" s="27" t="inlineStr">
        <is>
          <t>C · calculated</t>
        </is>
      </c>
      <c r="D23" s="18" t="inlineStr"/>
    </row>
    <row r="24">
      <c r="A24" s="26" t="inlineStr">
        <is>
          <t>property USD</t>
        </is>
      </c>
      <c r="B24" s="28">
        <f>B10*$B$16</f>
        <v/>
      </c>
      <c r="C24" s="27" t="inlineStr">
        <is>
          <t>C · calculated</t>
        </is>
      </c>
      <c r="D24" s="18" t="inlineStr"/>
    </row>
    <row r="25">
      <c r="A25" s="26" t="inlineStr">
        <is>
          <t>mortgage USD</t>
        </is>
      </c>
      <c r="B25" s="28">
        <f>B11*$B$16</f>
        <v/>
      </c>
      <c r="C25" s="27" t="inlineStr">
        <is>
          <t>C · calculated</t>
        </is>
      </c>
      <c r="D25" s="18" t="inlineStr"/>
    </row>
    <row r="26">
      <c r="A26" s="26" t="inlineStr">
        <is>
          <t>PLU liabilities USD</t>
        </is>
      </c>
      <c r="B26" s="28">
        <f>B12*$B$16</f>
        <v/>
      </c>
      <c r="C26" s="27" t="inlineStr">
        <is>
          <t>C · calculated</t>
        </is>
      </c>
      <c r="D26" s="18" t="inlineStr"/>
    </row>
    <row r="27">
      <c r="A27" s="26" t="inlineStr">
        <is>
          <t>life sum assured USD</t>
        </is>
      </c>
      <c r="B27" s="28">
        <f>B13*$B$16</f>
        <v/>
      </c>
      <c r="C27" s="27" t="inlineStr">
        <is>
          <t>C · calculated</t>
        </is>
      </c>
      <c r="D27" s="18" t="inlineStr"/>
    </row>
    <row r="29">
      <c r="A29" s="16" t="inlineStr">
        <is>
          <t>C · ROUNDING STEPS IN USER CURRENCY  —  USD step ÷ rate, then the nearest 1 / 2 / 5 × 10^k</t>
        </is>
      </c>
      <c r="B29" s="16" t="n"/>
      <c r="C29" s="16" t="n"/>
      <c r="D29" s="16" t="n"/>
    </row>
    <row r="30">
      <c r="A30" s="26" t="inlineStr">
        <is>
          <t>lump step</t>
        </is>
      </c>
      <c r="B30" s="66">
        <f>IF(((lumpRoundStep/$B$16))&lt;=0,0,10^INT(LOG10((lumpRoundStep/$B$16)))*IF(((lumpRoundStep/$B$16))/10^INT(LOG10((lumpRoundStep/$B$16)))&lt;1.5,1,IF(((lumpRoundStep/$B$16))/10^INT(LOG10((lumpRoundStep/$B$16)))&lt;3.5,2,IF(((lumpRoundStep/$B$16))/10^INT(LOG10((lumpRoundStep/$B$16)))&lt;7.5,5,10))))</f>
        <v/>
      </c>
      <c r="C30" s="27" t="inlineStr">
        <is>
          <t>C · calculated</t>
        </is>
      </c>
      <c r="D30" s="18" t="inlineStr">
        <is>
          <t>lumpRoundStep (USD) in user currency. SGD gives the V0-14 step.</t>
        </is>
      </c>
    </row>
    <row r="31">
      <c r="A31" s="26" t="inlineStr">
        <is>
          <t>monthly step</t>
        </is>
      </c>
      <c r="B31" s="66">
        <f>IF(((monthlyRoundStep/$B$16))&lt;=0,0,10^INT(LOG10((monthlyRoundStep/$B$16)))*IF(((monthlyRoundStep/$B$16))/10^INT(LOG10((monthlyRoundStep/$B$16)))&lt;1.5,1,IF(((monthlyRoundStep/$B$16))/10^INT(LOG10((monthlyRoundStep/$B$16)))&lt;3.5,2,IF(((monthlyRoundStep/$B$16))/10^INT(LOG10((monthlyRoundStep/$B$16)))&lt;7.5,5,10))))</f>
        <v/>
      </c>
      <c r="C31" s="27" t="inlineStr">
        <is>
          <t>C · calculated</t>
        </is>
      </c>
      <c r="D31" s="18" t="inlineStr">
        <is>
          <t>monthlyRoundStep (USD) in user currency. SGD gives the V0-14 step.</t>
        </is>
      </c>
    </row>
    <row r="32">
      <c r="A32" s="26" t="inlineStr">
        <is>
          <t>premium step</t>
        </is>
      </c>
      <c r="B32" s="66">
        <f>IF(((coverPremRoundStep/$B$16))&lt;=0,0,10^INT(LOG10((coverPremRoundStep/$B$16)))*IF(((coverPremRoundStep/$B$16))/10^INT(LOG10((coverPremRoundStep/$B$16)))&lt;1.5,1,IF(((coverPremRoundStep/$B$16))/10^INT(LOG10((coverPremRoundStep/$B$16)))&lt;3.5,2,IF(((coverPremRoundStep/$B$16))/10^INT(LOG10((coverPremRoundStep/$B$16)))&lt;7.5,5,10))))</f>
        <v/>
      </c>
      <c r="C32" s="27" t="inlineStr">
        <is>
          <t>C · calculated</t>
        </is>
      </c>
      <c r="D32" s="18" t="inlineStr">
        <is>
          <t>coverPremRoundStep (USD) in user currency. SGD gives the V0-14 step.</t>
        </is>
      </c>
    </row>
    <row r="33">
      <c r="A33" s="26" t="inlineStr">
        <is>
          <t>life cover step</t>
        </is>
      </c>
      <c r="B33" s="66">
        <f>IF(((lifeRoundUnit/$B$16))&lt;=0,0,10^INT(LOG10((lifeRoundUnit/$B$16)))*IF(((lifeRoundUnit/$B$16))/10^INT(LOG10((lifeRoundUnit/$B$16)))&lt;1.5,1,IF(((lifeRoundUnit/$B$16))/10^INT(LOG10((lifeRoundUnit/$B$16)))&lt;3.5,2,IF(((lifeRoundUnit/$B$16))/10^INT(LOG10((lifeRoundUnit/$B$16)))&lt;7.5,5,10))))</f>
        <v/>
      </c>
      <c r="C33" s="27" t="inlineStr">
        <is>
          <t>C · calculated</t>
        </is>
      </c>
      <c r="D33" s="18" t="inlineStr">
        <is>
          <t>lifeRoundUnit (USD) in user currency. SGD gives the V0-14 step.</t>
        </is>
      </c>
    </row>
    <row r="34">
      <c r="A34" s="26" t="inlineStr">
        <is>
          <t>HappiU benefit step</t>
        </is>
      </c>
      <c r="B34" s="66">
        <f>IF(((benefitRound/$B$16))&lt;=0,0,10^INT(LOG10((benefitRound/$B$16)))*IF(((benefitRound/$B$16))/10^INT(LOG10((benefitRound/$B$16)))&lt;1.5,1,IF(((benefitRound/$B$16))/10^INT(LOG10((benefitRound/$B$16)))&lt;3.5,2,IF(((benefitRound/$B$16))/10^INT(LOG10((benefitRound/$B$16)))&lt;7.5,5,10))))</f>
        <v/>
      </c>
      <c r="C34" s="27" t="inlineStr">
        <is>
          <t>C · calculated</t>
        </is>
      </c>
      <c r="D34" s="18"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67"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8" t="n">
        <v>0.023</v>
      </c>
      <c r="E5" s="3" t="inlineStr">
        <is>
          <t>occupation</t>
        </is>
      </c>
      <c r="F5" s="3" t="inlineStr">
        <is>
          <t>min</t>
        </is>
      </c>
      <c r="G5" s="3" t="inlineStr">
        <is>
          <t>max</t>
        </is>
      </c>
    </row>
    <row r="6">
      <c r="A6" s="4" t="inlineStr">
        <is>
          <t>interestRate</t>
        </is>
      </c>
      <c r="B6" s="68" t="n">
        <v>0.012</v>
      </c>
      <c r="E6" s="4" t="inlineStr">
        <is>
          <t>Teacher</t>
        </is>
      </c>
      <c r="F6" s="69" t="n">
        <v>5600</v>
      </c>
      <c r="G6" s="69" t="n">
        <v>9800</v>
      </c>
      <c r="H6" s="70" t="inlineStr">
        <is>
          <t>Teacher / educator</t>
        </is>
      </c>
    </row>
    <row r="7">
      <c r="A7" s="4" t="inlineStr">
        <is>
          <t>loanRate</t>
        </is>
      </c>
      <c r="B7" s="68" t="n">
        <v>0.035</v>
      </c>
      <c r="E7" s="4" t="inlineStr">
        <is>
          <t>Software Engineer</t>
        </is>
      </c>
      <c r="F7" s="69" t="n">
        <v>7500</v>
      </c>
      <c r="G7" s="69" t="n">
        <v>18000</v>
      </c>
      <c r="H7" s="70" t="inlineStr">
        <is>
          <t>Software engineer</t>
        </is>
      </c>
    </row>
    <row r="8">
      <c r="A8" s="4" t="inlineStr">
        <is>
          <t>incomeGrowthRate</t>
        </is>
      </c>
      <c r="B8" s="68" t="n">
        <v>0.028</v>
      </c>
      <c r="E8" s="4" t="inlineStr">
        <is>
          <t>Investment Banker</t>
        </is>
      </c>
      <c r="F8" s="69" t="n">
        <v>11200</v>
      </c>
      <c r="G8" s="69" t="n">
        <v>28000</v>
      </c>
      <c r="H8" s="70" t="inlineStr">
        <is>
          <t>Investment banker / finance director</t>
        </is>
      </c>
    </row>
    <row r="9">
      <c r="A9" s="4" t="inlineStr">
        <is>
          <t>investmentReturn</t>
        </is>
      </c>
      <c r="B9" s="68" t="n">
        <v>0.042</v>
      </c>
      <c r="E9" s="4" t="inlineStr">
        <is>
          <t>Marketing Manager</t>
        </is>
      </c>
      <c r="F9" s="69" t="n">
        <v>7000</v>
      </c>
      <c r="G9" s="69" t="n">
        <v>14000</v>
      </c>
      <c r="H9" s="70" t="inlineStr">
        <is>
          <t>Marketing manager</t>
        </is>
      </c>
    </row>
    <row r="10">
      <c r="A10" s="4" t="inlineStr">
        <is>
          <t>assetReturn</t>
        </is>
      </c>
      <c r="B10" s="68" t="n">
        <v>0.03</v>
      </c>
      <c r="E10" s="4" t="inlineStr">
        <is>
          <t>Doctor</t>
        </is>
      </c>
      <c r="F10" s="69" t="n">
        <v>10400</v>
      </c>
      <c r="G10" s="69" t="n">
        <v>26000</v>
      </c>
      <c r="H10" s="70" t="inlineStr">
        <is>
          <t>Doctor / physician</t>
        </is>
      </c>
    </row>
    <row r="11">
      <c r="A11" s="4" t="inlineStr">
        <is>
          <t>realReturn (derived)</t>
        </is>
      </c>
      <c r="B11" s="71">
        <f>MAX(0,(1+investmentReturn)/(1+inflationRate)-1)</f>
        <v/>
      </c>
      <c r="C11" s="72" t="inlineStr">
        <is>
          <t>Need Calculator and Plan Calculator discount at this rate</t>
        </is>
      </c>
      <c r="E11" s="4" t="inlineStr">
        <is>
          <t>Nurse</t>
        </is>
      </c>
      <c r="F11" s="69" t="n">
        <v>4200</v>
      </c>
      <c r="G11" s="69" t="n">
        <v>8400</v>
      </c>
      <c r="H11" s="70" t="inlineStr">
        <is>
          <t>Nurse</t>
        </is>
      </c>
    </row>
    <row r="12">
      <c r="E12" s="4" t="inlineStr">
        <is>
          <t>Accountant</t>
        </is>
      </c>
      <c r="F12" s="69" t="n">
        <v>5600</v>
      </c>
      <c r="G12" s="69" t="n">
        <v>11200</v>
      </c>
      <c r="H12" s="70" t="inlineStr">
        <is>
          <t>Accountant</t>
        </is>
      </c>
    </row>
    <row r="13">
      <c r="A13" s="5" t="inlineStr">
        <is>
          <t>Life-cycle</t>
        </is>
      </c>
      <c r="E13" s="4" t="inlineStr">
        <is>
          <t>CEO</t>
        </is>
      </c>
      <c r="F13" s="69" t="n">
        <v>16800</v>
      </c>
      <c r="G13" s="69" t="n">
        <v>42000</v>
      </c>
      <c r="H13" s="70" t="inlineStr">
        <is>
          <t>CEO / managing director of a typical firm</t>
        </is>
      </c>
    </row>
    <row r="14">
      <c r="A14" s="4" t="inlineStr">
        <is>
          <t>ageOfRetirement</t>
        </is>
      </c>
      <c r="B14" s="47" t="n">
        <v>65</v>
      </c>
    </row>
    <row r="15">
      <c r="A15" s="4" t="inlineStr">
        <is>
          <t>lifeExpectancyDefault</t>
        </is>
      </c>
      <c r="B15" s="47" t="n">
        <v>85</v>
      </c>
    </row>
    <row r="16">
      <c r="A16" s="4" t="inlineStr">
        <is>
          <t>currentYear</t>
        </is>
      </c>
      <c r="B16" s="47" t="n">
        <v>2026</v>
      </c>
    </row>
    <row r="17">
      <c r="A17" s="4" t="inlineStr">
        <is>
          <t>endAge (chart horizon)</t>
        </is>
      </c>
      <c r="B17" s="47" t="n">
        <v>85</v>
      </c>
    </row>
    <row r="19">
      <c r="A19" s="5" t="inlineStr">
        <is>
          <t>CPF rates and formulas live on the CPF tab (country on / off)</t>
        </is>
      </c>
    </row>
    <row r="20">
      <c r="E20" s="5" t="inlineStr">
        <is>
          <t>Stress events (frontend/src/lib/stressEvents.ts) — Scenario Visualizer only</t>
        </is>
      </c>
    </row>
    <row r="21">
      <c r="A21" s="5" t="inlineStr">
        <is>
          <t>System currency (V0-15) — every calculator runs in USD; fixed amounts below are USD</t>
        </is>
      </c>
      <c r="E21" s="3" t="inlineStr">
        <is>
          <t>risk code (was id)</t>
        </is>
      </c>
      <c r="F21" s="3" t="inlineStr">
        <is>
          <t>label</t>
        </is>
      </c>
      <c r="G21" s="3" t="inlineStr">
        <is>
          <t>default size</t>
        </is>
      </c>
      <c r="H21" s="3" t="inlineStr">
        <is>
          <t>default year</t>
        </is>
      </c>
      <c r="I21" s="3" t="inlineStr">
        <is>
          <t>what SV applies</t>
        </is>
      </c>
    </row>
    <row r="22">
      <c r="A22" s="4" t="inlineStr">
        <is>
          <t>systemCurrency</t>
        </is>
      </c>
      <c r="B22" s="69" t="inlineStr">
        <is>
          <t>USD</t>
        </is>
      </c>
      <c r="E22" s="4" t="inlineStr">
        <is>
          <t>R_MKT (crash)</t>
        </is>
      </c>
      <c r="F22" s="4" t="inlineStr">
        <is>
          <t>Market crash</t>
        </is>
      </c>
      <c r="G22" s="4" t="inlineStr">
        <is>
          <t>35%</t>
        </is>
      </c>
      <c r="H22" s="4" t="inlineStr">
        <is>
          <t>year 8</t>
        </is>
      </c>
      <c r="I22" s="4" t="inlineStr">
        <is>
          <t>Haircut on invested assets</t>
        </is>
      </c>
    </row>
    <row r="23">
      <c r="A23" s="4" t="inlineStr">
        <is>
          <t>fxMode (A = market rate; B = market rate × price level)</t>
        </is>
      </c>
      <c r="B23" s="47" t="inlineStr">
        <is>
          <t>A</t>
        </is>
      </c>
      <c r="E23" s="4" t="inlineStr">
        <is>
          <t>R_CCY (ccy)</t>
        </is>
      </c>
      <c r="F23" s="4" t="inlineStr">
        <is>
          <t>Currency shock</t>
        </is>
      </c>
      <c r="G23" s="4" t="inlineStr">
        <is>
          <t>14%</t>
        </is>
      </c>
      <c r="H23" s="4" t="inlineStr">
        <is>
          <t>year 6</t>
        </is>
      </c>
      <c r="I23" s="4" t="inlineStr">
        <is>
          <t>Haircut on liquid assets at 2/3 of slider</t>
        </is>
      </c>
    </row>
    <row r="24">
      <c r="A24" s="4" t="inlineStr">
        <is>
          <t>priceLevelOn (option B)</t>
        </is>
      </c>
      <c r="B24" s="47" t="b">
        <v>0</v>
      </c>
      <c r="E24" s="4" t="inlineStr">
        <is>
          <t>R_INF (infl)</t>
        </is>
      </c>
      <c r="F24" s="4" t="inlineStr">
        <is>
          <t>Inflation shock</t>
        </is>
      </c>
      <c r="G24" s="4" t="inlineStr">
        <is>
          <t>+3 pp</t>
        </is>
      </c>
      <c r="H24" s="4" t="inlineStr">
        <is>
          <t>years 4–9</t>
        </is>
      </c>
      <c r="I24" s="4" t="inlineStr">
        <is>
          <t>Session inflationRate plus extra</t>
        </is>
      </c>
    </row>
    <row r="25">
      <c r="E25" s="4" t="inlineStr">
        <is>
          <t>R_ICT (inc)</t>
        </is>
      </c>
      <c r="F25" s="4" t="inlineStr">
        <is>
          <t>Impact on income</t>
        </is>
      </c>
      <c r="G25" s="4" t="inlineStr">
        <is>
          <t>−20%</t>
        </is>
      </c>
      <c r="H25" s="4" t="inlineStr">
        <is>
          <t>years 5–10</t>
        </is>
      </c>
      <c r="I25" s="4" t="inlineStr">
        <is>
          <t>Salary reduced for that span</t>
        </is>
      </c>
    </row>
    <row r="26">
      <c r="E26" s="4" t="inlineStr">
        <is>
          <t>R_DEA (death)</t>
        </is>
      </c>
      <c r="F26" s="4" t="inlineStr">
        <is>
          <t>Death</t>
        </is>
      </c>
      <c r="G26" s="4" t="inlineStr">
        <is>
          <t>S$20,000</t>
        </is>
      </c>
      <c r="H26" s="4" t="inlineStr">
        <is>
          <t>year 17</t>
        </is>
      </c>
      <c r="I26" s="4" t="inlineStr">
        <is>
          <t>One-time cost; salary → 0</t>
        </is>
      </c>
    </row>
    <row r="27">
      <c r="A27" s="5" t="inlineStr">
        <is>
          <t>Need parameters (src/pipeline/goal_math.py) — money in USD</t>
        </is>
      </c>
      <c r="E27" s="4" t="inlineStr">
        <is>
          <t>R_CRI (ci)</t>
        </is>
      </c>
      <c r="F27" s="4" t="inlineStr">
        <is>
          <t>Critical illness</t>
        </is>
      </c>
      <c r="G27" s="4" t="inlineStr">
        <is>
          <t>S$150,000</t>
        </is>
      </c>
      <c r="H27" s="4" t="inlineStr">
        <is>
          <t>year 12</t>
        </is>
      </c>
      <c r="I27" s="4" t="inlineStr">
        <is>
          <t>One-time medical cost</t>
        </is>
      </c>
    </row>
    <row r="28">
      <c r="A28" s="4" t="inlineStr">
        <is>
          <t>RET_LIFESTYLE_FRUGAL</t>
        </is>
      </c>
      <c r="B28" s="68" t="n">
        <v>0.75</v>
      </c>
      <c r="E28" s="4" t="inlineStr">
        <is>
          <t>R_TPD (tpd)</t>
        </is>
      </c>
      <c r="F28" s="4" t="inlineStr">
        <is>
          <t>Total &amp; permanent disability</t>
        </is>
      </c>
      <c r="G28" s="4" t="inlineStr">
        <is>
          <t>S$200,000</t>
        </is>
      </c>
      <c r="H28" s="4" t="inlineStr">
        <is>
          <t>year 15</t>
        </is>
      </c>
      <c r="I28" s="4" t="inlineStr">
        <is>
          <t>One-time medical cost</t>
        </is>
      </c>
    </row>
    <row r="29">
      <c r="A29" s="4" t="inlineStr">
        <is>
          <t>RET_LIFESTYLE_STRESSFREE</t>
        </is>
      </c>
      <c r="B29" s="68" t="n">
        <v>1</v>
      </c>
      <c r="E29" s="4" t="inlineStr">
        <is>
          <t>R_PAC (pa)</t>
        </is>
      </c>
      <c r="F29" s="4" t="inlineStr">
        <is>
          <t>Personal accident</t>
        </is>
      </c>
      <c r="G29" s="4" t="inlineStr">
        <is>
          <t>S$80,000</t>
        </is>
      </c>
      <c r="H29" s="4" t="inlineStr">
        <is>
          <t>year 10</t>
        </is>
      </c>
      <c r="I29" s="4" t="inlineStr">
        <is>
          <t>One-time medical cost</t>
        </is>
      </c>
    </row>
    <row r="30">
      <c r="A30" s="4" t="inlineStr">
        <is>
          <t>RET_LIFESTYLE_ONLYTHEBEST</t>
        </is>
      </c>
      <c r="B30" s="68" t="n">
        <v>1.25</v>
      </c>
      <c r="E30" s="4" t="inlineStr">
        <is>
          <t>R_HOS (hosp)</t>
        </is>
      </c>
      <c r="F30" s="4" t="inlineStr">
        <is>
          <t>Hospitalisation</t>
        </is>
      </c>
      <c r="G30" s="4" t="inlineStr">
        <is>
          <t>S$120,000</t>
        </is>
      </c>
      <c r="H30" s="4" t="inlineStr">
        <is>
          <t>year 9</t>
        </is>
      </c>
      <c r="I30" s="4" t="inlineStr">
        <is>
          <t>One-time hospital bill</t>
        </is>
      </c>
    </row>
    <row r="31">
      <c r="A31" s="4" t="inlineStr">
        <is>
          <t>INC_SUPPORT_MIN</t>
        </is>
      </c>
      <c r="B31" s="47" t="n">
        <v>10</v>
      </c>
      <c r="E31" s="4" t="inlineStr">
        <is>
          <t>R_LTC (care)</t>
        </is>
      </c>
      <c r="F31" s="4" t="inlineStr">
        <is>
          <t>Long-term care years</t>
        </is>
      </c>
      <c r="G31" s="4" t="inlineStr">
        <is>
          <t>S$90,000 / yr</t>
        </is>
      </c>
      <c r="H31" s="4" t="inlineStr">
        <is>
          <t>years 30–35</t>
        </is>
      </c>
      <c r="I31" s="4" t="inlineStr">
        <is>
          <t>Extra annual spend</t>
        </is>
      </c>
    </row>
    <row r="32">
      <c r="A32" s="4" t="inlineStr">
        <is>
          <t>INC_SUPPORT_MAX</t>
        </is>
      </c>
      <c r="B32" s="47" t="n">
        <v>25</v>
      </c>
      <c r="E32" s="4" t="inlineStr">
        <is>
          <t>R_WED (wed)</t>
        </is>
      </c>
      <c r="F32" s="4" t="inlineStr">
        <is>
          <t>Wedding / marriage</t>
        </is>
      </c>
      <c r="G32" s="4" t="inlineStr">
        <is>
          <t>S$60,000</t>
        </is>
      </c>
      <c r="H32" s="4" t="inlineStr">
        <is>
          <t>year 5</t>
        </is>
      </c>
      <c r="I32" s="4" t="inlineStr">
        <is>
          <t>One-time cost</t>
        </is>
      </c>
    </row>
    <row r="33">
      <c r="A33" s="4" t="inlineStr">
        <is>
          <t>INC_SUPPORT_PIVOT_AGE</t>
        </is>
      </c>
      <c r="B33" s="47" t="n">
        <v>50</v>
      </c>
      <c r="E33" s="4" t="inlineStr">
        <is>
          <t>R_BAB (baby)</t>
        </is>
      </c>
      <c r="F33" s="4" t="inlineStr">
        <is>
          <t>Newborn</t>
        </is>
      </c>
      <c r="G33" s="4" t="inlineStr">
        <is>
          <t>S$35,000</t>
        </is>
      </c>
      <c r="H33" s="4" t="inlineStr">
        <is>
          <t>year 3</t>
        </is>
      </c>
      <c r="I33" s="4" t="inlineStr">
        <is>
          <t>One-time cost</t>
        </is>
      </c>
    </row>
    <row r="34">
      <c r="A34" s="4" t="inlineStr">
        <is>
          <t>CRI_YEARS</t>
        </is>
      </c>
      <c r="B34" s="47" t="n">
        <v>3</v>
      </c>
      <c r="E34" s="4" t="inlineStr">
        <is>
          <t>R_EXP (exp)</t>
        </is>
      </c>
      <c r="F34" s="4" t="inlineStr">
        <is>
          <t>Impact on expenses</t>
        </is>
      </c>
      <c r="G34" s="4" t="inlineStr">
        <is>
          <t>+15%</t>
        </is>
      </c>
      <c r="H34" s="4" t="inlineStr">
        <is>
          <t>years 6–12</t>
        </is>
      </c>
      <c r="I34" s="4" t="inlineStr">
        <is>
          <t>Living spend raised</t>
        </is>
      </c>
    </row>
    <row r="35">
      <c r="A35" s="4" t="inlineStr">
        <is>
          <t>CRI_COST (USD)</t>
        </is>
      </c>
      <c r="B35" s="47" t="n">
        <v>148000</v>
      </c>
    </row>
    <row r="36">
      <c r="A36" s="4" t="inlineStr">
        <is>
          <t>TPD_YEARS</t>
        </is>
      </c>
      <c r="B36" s="47" t="n">
        <v>5</v>
      </c>
    </row>
    <row r="37">
      <c r="A37" s="4" t="inlineStr">
        <is>
          <t>TPD_COST (USD)</t>
        </is>
      </c>
      <c r="B37" s="47" t="n">
        <v>148000</v>
      </c>
    </row>
    <row r="38">
      <c r="A38" s="4" t="inlineStr">
        <is>
          <t>HOS_MONTHS</t>
        </is>
      </c>
      <c r="B38" s="47" t="n">
        <v>6</v>
      </c>
    </row>
    <row r="39">
      <c r="A39" s="4" t="inlineStr">
        <is>
          <t>EDU_COST (USD)</t>
        </is>
      </c>
      <c r="B39" s="47" t="n">
        <v>55500</v>
      </c>
    </row>
    <row r="40">
      <c r="A40" s="4" t="inlineStr">
        <is>
          <t>EDU_YEARS_DEFAULT</t>
        </is>
      </c>
      <c r="B40" s="47" t="n">
        <v>10</v>
      </c>
    </row>
    <row r="41">
      <c r="A41" s="4" t="inlineStr">
        <is>
          <t>SAV_INCOME_MULT</t>
        </is>
      </c>
      <c r="B41" s="47" t="n">
        <v>1</v>
      </c>
    </row>
    <row r="42">
      <c r="A42" s="4" t="inlineStr">
        <is>
          <t>PRP_INCOME_MULT</t>
        </is>
      </c>
      <c r="B42" s="47" t="n">
        <v>5</v>
      </c>
    </row>
    <row r="43">
      <c r="A43" s="4" t="inlineStr">
        <is>
          <t>PAC_YEARS (proposal)</t>
        </is>
      </c>
      <c r="B43" s="47" t="n">
        <v>1</v>
      </c>
    </row>
    <row r="44">
      <c r="A44" s="4" t="inlineStr">
        <is>
          <t>PAC_COST (USD, proposal = S$80,000 stress event × 0.74)</t>
        </is>
      </c>
      <c r="B44" s="47" t="n">
        <v>59200</v>
      </c>
    </row>
    <row r="46">
      <c r="A46" s="5" t="inlineStr">
        <is>
          <t>Household seeding (src/predict.py spend / assets; CPF is on the CPF tab)</t>
        </is>
      </c>
    </row>
    <row r="47">
      <c r="A47" s="4" t="inlineStr">
        <is>
          <t>spendShareBase</t>
        </is>
      </c>
      <c r="B47" s="68" t="n">
        <v>0.675</v>
      </c>
    </row>
    <row r="48">
      <c r="A48" s="4" t="inlineStr">
        <is>
          <t>spendSharePerDependant</t>
        </is>
      </c>
      <c r="B48" s="68" t="n">
        <v>0.05</v>
      </c>
    </row>
    <row r="49">
      <c r="A49" s="4" t="inlineStr">
        <is>
          <t>spendShareCap</t>
        </is>
      </c>
      <c r="B49" s="68" t="n">
        <v>0.9</v>
      </c>
    </row>
    <row r="50">
      <c r="A50" s="4" t="inlineStr">
        <is>
          <t>assetsSaveShare</t>
        </is>
      </c>
      <c r="B50" s="68" t="n">
        <v>0.5</v>
      </c>
    </row>
    <row r="51">
      <c r="A51" s="4" t="inlineStr">
        <is>
          <t>workStartAge</t>
        </is>
      </c>
      <c r="B51" s="47" t="n">
        <v>21</v>
      </c>
    </row>
    <row r="52">
      <c r="A52" s="4" t="inlineStr">
        <is>
          <t>liabilityRatio (PLU only; not the mortgage)</t>
        </is>
      </c>
      <c r="B52" s="68" t="n">
        <v>0.7</v>
      </c>
    </row>
    <row r="53">
      <c r="A53" s="4" t="inlineStr">
        <is>
          <t>CASH_SAVINGS_SHARE</t>
        </is>
      </c>
      <c r="B53" s="68" t="n">
        <v>0.15</v>
      </c>
    </row>
    <row r="54">
      <c r="A54" s="4" t="inlineStr">
        <is>
          <t>INVESTMENTS_SHARE</t>
        </is>
      </c>
      <c r="B54" s="68" t="n">
        <v>0.85</v>
      </c>
    </row>
    <row r="55">
      <c r="A55" s="4" t="inlineStr">
        <is>
          <t>propertyLow (USD)</t>
        </is>
      </c>
      <c r="B55" s="47" t="n">
        <v>259000</v>
      </c>
    </row>
    <row r="56">
      <c r="A56" s="4" t="inlineStr">
        <is>
          <t>propertyMid (USD)</t>
        </is>
      </c>
      <c r="B56" s="47" t="n">
        <v>481000</v>
      </c>
    </row>
    <row r="57">
      <c r="A57" s="4" t="inlineStr">
        <is>
          <t>propertyHigh (USD)</t>
        </is>
      </c>
      <c r="B57" s="47" t="n">
        <v>629000</v>
      </c>
    </row>
    <row r="58">
      <c r="A58" s="4" t="inlineStr">
        <is>
          <t>propertyIncomeLow (USD / month)</t>
        </is>
      </c>
      <c r="B58" s="47" t="n">
        <v>7400</v>
      </c>
    </row>
    <row r="59">
      <c r="A59" s="4" t="inlineStr">
        <is>
          <t>propertyIncomeHigh (USD / month)</t>
        </is>
      </c>
      <c r="B59" s="47" t="n">
        <v>14800</v>
      </c>
    </row>
    <row r="60">
      <c r="A60" s="4" t="inlineStr">
        <is>
          <t>PROPERTY_LTV</t>
        </is>
      </c>
      <c r="B60" s="68" t="n">
        <v>0.55</v>
      </c>
    </row>
    <row r="61">
      <c r="A61" s="4" t="inlineStr">
        <is>
          <t>lifePremiumRate</t>
        </is>
      </c>
      <c r="B61" s="73" t="n">
        <v>0.0031</v>
      </c>
    </row>
    <row r="62">
      <c r="A62" s="4" t="inlineStr">
        <is>
          <t>lifeRoundUnit (USD, before nice step)</t>
        </is>
      </c>
      <c r="B62" s="47" t="n">
        <v>74000</v>
      </c>
    </row>
    <row r="64">
      <c r="A64" s="5" t="inlineStr">
        <is>
          <t>Plan and budget (frontend/src/lib/planProducts.ts)</t>
        </is>
      </c>
    </row>
    <row r="65">
      <c r="A65" s="4" t="inlineStr">
        <is>
          <t>protectionPremiumRate</t>
        </is>
      </c>
      <c r="B65" s="73" t="n">
        <v>0.00078</v>
      </c>
    </row>
    <row r="66">
      <c r="A66" s="4" t="inlineStr">
        <is>
          <t>FREE_BUDGET_SHARE</t>
        </is>
      </c>
      <c r="B66" s="68" t="n">
        <v>0.5</v>
      </c>
    </row>
    <row r="67">
      <c r="A67" s="4" t="inlineStr">
        <is>
          <t>lumpRoundStep (USD, before nice step)</t>
        </is>
      </c>
      <c r="B67" s="47" t="n">
        <v>740</v>
      </c>
    </row>
    <row r="68">
      <c r="A68" s="4" t="inlineStr">
        <is>
          <t>monthlyRoundStep (USD, before nice step)</t>
        </is>
      </c>
      <c r="B68" s="47" t="n">
        <v>37</v>
      </c>
    </row>
    <row r="69">
      <c r="A69" s="4" t="inlineStr">
        <is>
          <t>coverPremRoundStep (USD, before nice step)</t>
        </is>
      </c>
      <c r="B69" s="74" t="n">
        <v>7.4</v>
      </c>
    </row>
    <row r="70">
      <c r="A70" s="4" t="inlineStr">
        <is>
          <t>coverSliderPremFloor (USD)</t>
        </is>
      </c>
      <c r="B70" s="47" t="n">
        <v>148</v>
      </c>
    </row>
    <row r="72">
      <c r="A72" s="5" t="inlineStr">
        <is>
          <t>HappiU budget envelope (src/hu_payload.py) — not Budget Calculator</t>
        </is>
      </c>
    </row>
    <row r="73">
      <c r="A73" s="4" t="inlineStr">
        <is>
          <t>annualBudget (USD)</t>
        </is>
      </c>
      <c r="B73" s="47" t="n">
        <v>1110</v>
      </c>
    </row>
    <row r="74">
      <c r="A74" s="4" t="inlineStr">
        <is>
          <t>placeholderNeedBudget (USD)</t>
        </is>
      </c>
      <c r="B74" s="47" t="n">
        <v>148</v>
      </c>
    </row>
    <row r="75">
      <c r="A75" s="4" t="inlineStr">
        <is>
          <t>gfr</t>
        </is>
      </c>
      <c r="B75" s="68" t="n">
        <v>0.05</v>
      </c>
    </row>
    <row r="76">
      <c r="A76" s="4" t="inlineStr">
        <is>
          <t>benefitRound (USD, before nice step)</t>
        </is>
      </c>
      <c r="B76" s="47" t="n">
        <v>37000</v>
      </c>
    </row>
    <row r="77">
      <c r="A77" s="4" t="inlineStr">
        <is>
          <t>huNumSims</t>
        </is>
      </c>
      <c r="B77" s="47" t="n">
        <v>200</v>
      </c>
    </row>
    <row r="79">
      <c r="A79" s="4" t="inlineStr">
        <is>
          <t>CRI_MEDICAL_HU (USD)</t>
        </is>
      </c>
      <c r="B79" s="47" t="n">
        <v>148000</v>
      </c>
    </row>
    <row r="81">
      <c r="A81" s="5" t="inlineStr">
        <is>
          <t>Risk → investmentReturn seed (frontend/src/lib/riskCapacity.ts)</t>
        </is>
      </c>
    </row>
    <row r="82">
      <c r="A82" s="4" t="inlineStr">
        <is>
          <t>suggestBand1</t>
        </is>
      </c>
      <c r="B82" s="68" t="n">
        <v>0.03</v>
      </c>
    </row>
    <row r="83">
      <c r="A83" s="4" t="inlineStr">
        <is>
          <t>suggestBand2</t>
        </is>
      </c>
      <c r="B83" s="68" t="n">
        <v>0.035</v>
      </c>
    </row>
    <row r="84">
      <c r="A84" s="4" t="inlineStr">
        <is>
          <t>suggestBand3</t>
        </is>
      </c>
      <c r="B84" s="68" t="n">
        <v>0.042</v>
      </c>
    </row>
    <row r="85">
      <c r="A85" s="4" t="inlineStr">
        <is>
          <t>suggestBand4</t>
        </is>
      </c>
      <c r="B85" s="68" t="n">
        <v>0.05</v>
      </c>
    </row>
    <row r="86">
      <c r="A86" s="4" t="inlineStr">
        <is>
          <t>suggestBand5</t>
        </is>
      </c>
      <c r="B86" s="68" t="n">
        <v>0.055</v>
      </c>
    </row>
    <row r="87">
      <c r="A87" s="4" t="inlineStr">
        <is>
          <t>defaultRiskTolerance</t>
        </is>
      </c>
      <c r="B87" s="47"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Disability</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5" t="n">
        <v>0</v>
      </c>
      <c r="C90" s="75" t="n">
        <v>0</v>
      </c>
      <c r="D90" s="75" t="n">
        <v>0</v>
      </c>
      <c r="E90" s="75" t="n">
        <v>2</v>
      </c>
      <c r="F90" s="75" t="n">
        <v>0</v>
      </c>
      <c r="G90" s="75" t="n">
        <v>0</v>
      </c>
      <c r="H90" s="75" t="n">
        <v>0</v>
      </c>
      <c r="I90" s="75" t="n">
        <v>0</v>
      </c>
      <c r="J90" s="75" t="n">
        <v>1</v>
      </c>
      <c r="K90" s="75" t="n">
        <v>1</v>
      </c>
      <c r="L90" s="75" t="n">
        <v>0</v>
      </c>
    </row>
    <row r="91">
      <c r="A91" s="4" t="inlineStr">
        <is>
          <t>Gender</t>
        </is>
      </c>
      <c r="B91" s="75" t="n">
        <v>0</v>
      </c>
      <c r="C91" s="75" t="n">
        <v>0</v>
      </c>
      <c r="D91" s="75" t="n">
        <v>0</v>
      </c>
      <c r="E91" s="75" t="n">
        <v>2</v>
      </c>
      <c r="F91" s="75" t="n">
        <v>0</v>
      </c>
      <c r="G91" s="75" t="n">
        <v>0</v>
      </c>
      <c r="H91" s="75" t="n">
        <v>2</v>
      </c>
      <c r="I91" s="75" t="n">
        <v>0</v>
      </c>
      <c r="J91" s="75" t="n">
        <v>2</v>
      </c>
      <c r="K91" s="75" t="n">
        <v>1</v>
      </c>
      <c r="L91" s="75" t="n">
        <v>2</v>
      </c>
    </row>
    <row r="92">
      <c r="A92" s="4" t="inlineStr">
        <is>
          <t>Dependants</t>
        </is>
      </c>
      <c r="B92" s="75" t="n">
        <v>4</v>
      </c>
      <c r="C92" s="75" t="n">
        <v>1</v>
      </c>
      <c r="D92" s="75" t="n">
        <v>0</v>
      </c>
      <c r="E92" s="75" t="n">
        <v>1</v>
      </c>
      <c r="F92" s="75" t="n">
        <v>0</v>
      </c>
      <c r="G92" s="75" t="n">
        <v>0</v>
      </c>
      <c r="H92" s="75" t="n">
        <v>3</v>
      </c>
      <c r="I92" s="75" t="n">
        <v>0</v>
      </c>
      <c r="J92" s="75" t="n">
        <v>2</v>
      </c>
      <c r="K92" s="75" t="n">
        <v>2</v>
      </c>
      <c r="L92" s="75" t="n">
        <v>2</v>
      </c>
    </row>
    <row r="93">
      <c r="A93" s="4" t="inlineStr">
        <is>
          <t>Occupation</t>
        </is>
      </c>
      <c r="B93" s="75" t="n">
        <v>1</v>
      </c>
      <c r="C93" s="75" t="n">
        <v>1</v>
      </c>
      <c r="D93" s="75" t="n">
        <v>0</v>
      </c>
      <c r="E93" s="75" t="n">
        <v>1</v>
      </c>
      <c r="F93" s="75" t="n">
        <v>0</v>
      </c>
      <c r="G93" s="75" t="n">
        <v>0</v>
      </c>
      <c r="H93" s="75" t="n">
        <v>1</v>
      </c>
      <c r="I93" s="75" t="n">
        <v>0</v>
      </c>
      <c r="J93" s="75" t="n">
        <v>1</v>
      </c>
      <c r="K93" s="75" t="n">
        <v>2</v>
      </c>
      <c r="L93" s="75" t="n">
        <v>2</v>
      </c>
    </row>
    <row r="94">
      <c r="A94" s="4" t="inlineStr">
        <is>
          <t>Smoking</t>
        </is>
      </c>
      <c r="B94" s="75" t="n">
        <v>4</v>
      </c>
      <c r="C94" s="75" t="n">
        <v>4</v>
      </c>
      <c r="D94" s="75" t="n">
        <v>2</v>
      </c>
      <c r="E94" s="75" t="n">
        <v>1</v>
      </c>
      <c r="F94" s="75" t="n">
        <v>0</v>
      </c>
      <c r="G94" s="75" t="n">
        <v>3</v>
      </c>
      <c r="H94" s="75" t="n">
        <v>0</v>
      </c>
      <c r="I94" s="75" t="n">
        <v>0</v>
      </c>
      <c r="J94" s="75" t="n">
        <v>2</v>
      </c>
      <c r="K94" s="75" t="n">
        <v>2</v>
      </c>
      <c r="L94" s="75" t="n">
        <v>2</v>
      </c>
    </row>
    <row r="95">
      <c r="A95" s="4" t="inlineStr">
        <is>
          <t>Income</t>
        </is>
      </c>
      <c r="B95" s="75" t="n">
        <v>4</v>
      </c>
      <c r="C95" s="75" t="n">
        <v>1</v>
      </c>
      <c r="D95" s="75" t="n">
        <v>2</v>
      </c>
      <c r="E95" s="75" t="n">
        <v>1</v>
      </c>
      <c r="F95" s="75" t="n">
        <v>0</v>
      </c>
      <c r="G95" s="75" t="n">
        <v>3</v>
      </c>
      <c r="H95" s="75" t="n">
        <v>1</v>
      </c>
      <c r="I95" s="75" t="n">
        <v>0</v>
      </c>
      <c r="J95" s="75" t="n">
        <v>2</v>
      </c>
      <c r="K95" s="75" t="n">
        <v>2</v>
      </c>
      <c r="L95" s="75" t="n">
        <v>2</v>
      </c>
    </row>
    <row r="96">
      <c r="A96" s="4" t="inlineStr">
        <is>
          <t>Expense</t>
        </is>
      </c>
      <c r="B96" s="75" t="n">
        <v>4</v>
      </c>
      <c r="C96" s="75" t="n">
        <v>2</v>
      </c>
      <c r="D96" s="75" t="n">
        <v>2</v>
      </c>
      <c r="E96" s="75" t="n">
        <v>1</v>
      </c>
      <c r="F96" s="75" t="n">
        <v>0</v>
      </c>
      <c r="G96" s="75" t="n">
        <v>3</v>
      </c>
      <c r="H96" s="75" t="n">
        <v>3</v>
      </c>
      <c r="I96" s="75" t="n">
        <v>0</v>
      </c>
      <c r="J96" s="75" t="n">
        <v>2</v>
      </c>
      <c r="K96" s="75" t="n">
        <v>1</v>
      </c>
      <c r="L96" s="75" t="n">
        <v>1</v>
      </c>
    </row>
    <row r="97">
      <c r="A97" s="4" t="inlineStr">
        <is>
          <t>Assets</t>
        </is>
      </c>
      <c r="B97" s="75" t="n">
        <v>4</v>
      </c>
      <c r="C97" s="75" t="n">
        <v>1</v>
      </c>
      <c r="D97" s="75" t="n">
        <v>2</v>
      </c>
      <c r="E97" s="75" t="n">
        <v>1</v>
      </c>
      <c r="F97" s="75" t="n">
        <v>0</v>
      </c>
      <c r="G97" s="75" t="n">
        <v>3</v>
      </c>
      <c r="H97" s="75" t="n">
        <v>2</v>
      </c>
      <c r="I97" s="75" t="n">
        <v>0</v>
      </c>
      <c r="J97" s="75" t="n">
        <v>2</v>
      </c>
      <c r="K97" s="75" t="n">
        <v>1</v>
      </c>
      <c r="L97" s="75" t="n">
        <v>1</v>
      </c>
    </row>
    <row r="98">
      <c r="A98" s="4" t="inlineStr">
        <is>
          <t>Liabilities</t>
        </is>
      </c>
      <c r="B98" s="75" t="n">
        <v>3</v>
      </c>
      <c r="C98" s="75" t="n">
        <v>1</v>
      </c>
      <c r="D98" s="75" t="n">
        <v>2</v>
      </c>
      <c r="E98" s="75" t="n">
        <v>1</v>
      </c>
      <c r="F98" s="75" t="n">
        <v>0</v>
      </c>
      <c r="G98" s="75" t="n">
        <v>3</v>
      </c>
      <c r="H98" s="75" t="n">
        <v>2</v>
      </c>
      <c r="I98" s="75" t="n">
        <v>0</v>
      </c>
      <c r="J98" s="75" t="n">
        <v>1</v>
      </c>
      <c r="K98" s="75" t="n">
        <v>2</v>
      </c>
      <c r="L98" s="75" t="n">
        <v>1</v>
      </c>
    </row>
    <row r="99">
      <c r="A99" s="4" t="inlineStr">
        <is>
          <t>Hospitalization</t>
        </is>
      </c>
      <c r="B99" s="75" t="n">
        <v>3</v>
      </c>
      <c r="C99" s="75" t="n">
        <v>3</v>
      </c>
      <c r="D99" s="75" t="n">
        <v>0</v>
      </c>
      <c r="E99" s="75" t="n">
        <v>0</v>
      </c>
      <c r="F99" s="75" t="n">
        <v>0</v>
      </c>
      <c r="G99" s="75" t="n">
        <v>4</v>
      </c>
      <c r="H99" s="75" t="n">
        <v>0</v>
      </c>
      <c r="I99" s="75" t="n">
        <v>0</v>
      </c>
      <c r="J99" s="75" t="n">
        <v>0</v>
      </c>
      <c r="K99" s="75" t="n">
        <v>0</v>
      </c>
      <c r="L99" s="75" t="n">
        <v>0</v>
      </c>
    </row>
    <row r="100">
      <c r="A100" s="4" t="inlineStr">
        <is>
          <t>Disability</t>
        </is>
      </c>
      <c r="B100" s="75" t="n">
        <v>3</v>
      </c>
      <c r="C100" s="75" t="n">
        <v>3</v>
      </c>
      <c r="D100" s="75" t="n">
        <v>4</v>
      </c>
      <c r="E100" s="75" t="n">
        <v>0</v>
      </c>
      <c r="F100" s="75" t="n">
        <v>0</v>
      </c>
      <c r="G100" s="75" t="n">
        <v>3</v>
      </c>
      <c r="H100" s="75" t="n">
        <v>0</v>
      </c>
      <c r="I100" s="75" t="n">
        <v>0</v>
      </c>
      <c r="J100" s="75" t="n">
        <v>0</v>
      </c>
      <c r="K100" s="75" t="n">
        <v>0</v>
      </c>
      <c r="L100" s="75" t="n">
        <v>0</v>
      </c>
    </row>
    <row r="101">
      <c r="A101" s="4" t="inlineStr">
        <is>
          <t>Hospital Type</t>
        </is>
      </c>
      <c r="B101" s="75" t="n">
        <v>2</v>
      </c>
      <c r="C101" s="75" t="n">
        <v>3</v>
      </c>
      <c r="D101" s="75" t="n">
        <v>2</v>
      </c>
      <c r="E101" s="75" t="n">
        <v>1</v>
      </c>
      <c r="F101" s="75" t="n">
        <v>0</v>
      </c>
      <c r="G101" s="75" t="n">
        <v>3</v>
      </c>
      <c r="H101" s="75" t="n">
        <v>2</v>
      </c>
      <c r="I101" s="75" t="n">
        <v>0</v>
      </c>
      <c r="J101" s="75" t="n">
        <v>2</v>
      </c>
      <c r="K101" s="75" t="n">
        <v>1</v>
      </c>
      <c r="L101" s="75" t="n">
        <v>2</v>
      </c>
    </row>
    <row r="102">
      <c r="A102" s="4" t="inlineStr">
        <is>
          <t>Ward Type</t>
        </is>
      </c>
      <c r="B102" s="75" t="n">
        <v>1</v>
      </c>
      <c r="C102" s="75" t="n">
        <v>4</v>
      </c>
      <c r="D102" s="75" t="n">
        <v>2</v>
      </c>
      <c r="E102" s="75" t="n">
        <v>1</v>
      </c>
      <c r="F102" s="75" t="n">
        <v>0</v>
      </c>
      <c r="G102" s="75" t="n">
        <v>3</v>
      </c>
      <c r="H102" s="75" t="n">
        <v>1</v>
      </c>
      <c r="I102" s="75" t="n">
        <v>0</v>
      </c>
      <c r="J102" s="75" t="n">
        <v>2</v>
      </c>
      <c r="K102" s="75" t="n">
        <v>1</v>
      </c>
      <c r="L102" s="75" t="n">
        <v>2</v>
      </c>
    </row>
    <row r="103">
      <c r="A103" s="4" t="inlineStr">
        <is>
          <t>Lifestyle</t>
        </is>
      </c>
      <c r="B103" s="75" t="n">
        <v>0</v>
      </c>
      <c r="C103" s="75" t="n">
        <v>0</v>
      </c>
      <c r="D103" s="75" t="n">
        <v>0</v>
      </c>
      <c r="E103" s="75" t="n">
        <v>1</v>
      </c>
      <c r="F103" s="75" t="n">
        <v>0</v>
      </c>
      <c r="G103" s="75" t="n">
        <v>0</v>
      </c>
      <c r="H103" s="75" t="n">
        <v>2</v>
      </c>
      <c r="I103" s="75" t="n">
        <v>0</v>
      </c>
      <c r="J103" s="75" t="n">
        <v>2</v>
      </c>
      <c r="K103" s="75" t="n">
        <v>2</v>
      </c>
      <c r="L103" s="75" t="n">
        <v>1</v>
      </c>
    </row>
    <row r="104">
      <c r="A104" s="4" t="inlineStr">
        <is>
          <t>Sports</t>
        </is>
      </c>
      <c r="B104" s="75" t="n">
        <v>1</v>
      </c>
      <c r="C104" s="75" t="n">
        <v>0</v>
      </c>
      <c r="D104" s="75" t="n">
        <v>2</v>
      </c>
      <c r="E104" s="75" t="n">
        <v>0</v>
      </c>
      <c r="F104" s="75" t="n">
        <v>0</v>
      </c>
      <c r="G104" s="75" t="n">
        <v>1</v>
      </c>
      <c r="H104" s="75" t="n">
        <v>0</v>
      </c>
      <c r="I104" s="75" t="n">
        <v>0</v>
      </c>
      <c r="J104" s="75" t="n">
        <v>0</v>
      </c>
      <c r="K104" s="75" t="n">
        <v>0</v>
      </c>
      <c r="L104" s="75" t="n">
        <v>2</v>
      </c>
    </row>
    <row r="108">
      <c r="A108" s="5" t="inlineStr">
        <is>
          <t>HappiU rate tables (HU/src/CashflowHandler/Tables/*.csv) — q at age, read at age + 1 + year. Columns per rate: Male, Male smoker, Female, Female smoker.</t>
        </is>
      </c>
    </row>
    <row r="109">
      <c r="A109" s="76"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permanent total disability</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78" t="n">
        <v>0.37</v>
      </c>
      <c r="AA111" s="39" t="n">
        <v>2220</v>
      </c>
      <c r="AB111" s="56" t="n">
        <v>0.0307</v>
      </c>
    </row>
    <row r="112">
      <c r="A112" s="7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78" t="n">
        <v>0.37</v>
      </c>
      <c r="AA112" s="39" t="n">
        <v>2220</v>
      </c>
      <c r="AB112" s="56" t="n">
        <v>0.0307</v>
      </c>
    </row>
    <row r="113">
      <c r="A113" s="7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78" t="n">
        <v>0.37</v>
      </c>
      <c r="AA113" s="39" t="n">
        <v>2220</v>
      </c>
      <c r="AB113" s="56" t="n">
        <v>0.0307</v>
      </c>
    </row>
    <row r="114">
      <c r="A114" s="7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78" t="n">
        <v>0.37</v>
      </c>
      <c r="AA114" s="39" t="n">
        <v>2220</v>
      </c>
      <c r="AB114" s="56" t="n">
        <v>0.0307</v>
      </c>
    </row>
    <row r="115">
      <c r="A115" s="7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78" t="n">
        <v>0.37</v>
      </c>
      <c r="AA115" s="39" t="n">
        <v>2220</v>
      </c>
      <c r="AB115" s="56" t="n">
        <v>0.0307</v>
      </c>
    </row>
    <row r="116">
      <c r="A116" s="7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78" t="n">
        <v>0.37</v>
      </c>
      <c r="AA116" s="39" t="n">
        <v>2220</v>
      </c>
      <c r="AB116" s="56" t="n">
        <v>0.0307</v>
      </c>
    </row>
    <row r="117">
      <c r="A117" s="7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78" t="n">
        <v>0.37</v>
      </c>
      <c r="AA117" s="39" t="n">
        <v>2220</v>
      </c>
      <c r="AB117" s="56" t="n">
        <v>0.0307</v>
      </c>
    </row>
    <row r="118">
      <c r="A118" s="7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78" t="n">
        <v>0.37</v>
      </c>
      <c r="AA118" s="39" t="n">
        <v>2220</v>
      </c>
      <c r="AB118" s="56" t="n">
        <v>0.0307</v>
      </c>
    </row>
    <row r="119">
      <c r="A119" s="7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78" t="n">
        <v>0.37</v>
      </c>
      <c r="AA119" s="39" t="n">
        <v>2220</v>
      </c>
      <c r="AB119" s="56" t="n">
        <v>0.0307</v>
      </c>
    </row>
    <row r="120">
      <c r="A120" s="7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78" t="n">
        <v>0.37</v>
      </c>
      <c r="AA120" s="39" t="n">
        <v>2220</v>
      </c>
      <c r="AB120" s="56" t="n">
        <v>0.0307</v>
      </c>
    </row>
    <row r="121">
      <c r="A121" s="7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78" t="n">
        <v>0.37</v>
      </c>
      <c r="AA121" s="39" t="n">
        <v>2220</v>
      </c>
      <c r="AB121" s="56" t="n">
        <v>0.0307</v>
      </c>
    </row>
    <row r="122">
      <c r="A122" s="7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78" t="n">
        <v>0.37</v>
      </c>
      <c r="AA122" s="39" t="n">
        <v>2220</v>
      </c>
      <c r="AB122" s="56" t="n">
        <v>0.0307</v>
      </c>
    </row>
    <row r="123">
      <c r="A123" s="7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78" t="n">
        <v>0.37</v>
      </c>
      <c r="AA123" s="39" t="n">
        <v>2220</v>
      </c>
      <c r="AB123" s="56" t="n">
        <v>0.0307</v>
      </c>
    </row>
    <row r="124">
      <c r="A124" s="7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78" t="n">
        <v>0.37</v>
      </c>
      <c r="AA124" s="39" t="n">
        <v>2220</v>
      </c>
      <c r="AB124" s="56" t="n">
        <v>0.0307</v>
      </c>
    </row>
    <row r="125">
      <c r="A125" s="7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78" t="n">
        <v>0.37</v>
      </c>
      <c r="AA125" s="39" t="n">
        <v>2220</v>
      </c>
      <c r="AB125" s="56" t="n">
        <v>0.0307</v>
      </c>
    </row>
    <row r="126">
      <c r="A126" s="7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78" t="n">
        <v>0.37</v>
      </c>
      <c r="AA126" s="39" t="n">
        <v>2220</v>
      </c>
      <c r="AB126" s="56" t="n">
        <v>0.0307</v>
      </c>
    </row>
    <row r="127">
      <c r="A127" s="7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78" t="n">
        <v>0.37</v>
      </c>
      <c r="AA127" s="39" t="n">
        <v>2220</v>
      </c>
      <c r="AB127" s="56" t="n">
        <v>0.0307</v>
      </c>
    </row>
    <row r="128">
      <c r="A128" s="7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78" t="n">
        <v>0.37</v>
      </c>
      <c r="AA128" s="39" t="n">
        <v>2220</v>
      </c>
      <c r="AB128" s="56" t="n">
        <v>0.0307</v>
      </c>
    </row>
    <row r="129">
      <c r="A129" s="7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78" t="n">
        <v>0.37</v>
      </c>
      <c r="AA129" s="39" t="n">
        <v>2220</v>
      </c>
      <c r="AB129" s="56" t="n">
        <v>0.0315</v>
      </c>
    </row>
    <row r="130">
      <c r="A130" s="7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78" t="n">
        <v>0.37</v>
      </c>
      <c r="AA130" s="39" t="n">
        <v>2220</v>
      </c>
      <c r="AB130" s="56" t="n">
        <v>0.0315</v>
      </c>
    </row>
    <row r="131">
      <c r="A131" s="7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78" t="n">
        <v>0.37</v>
      </c>
      <c r="AA131" s="39" t="n">
        <v>2220</v>
      </c>
      <c r="AB131" s="56" t="n">
        <v>0.0315</v>
      </c>
    </row>
    <row r="132">
      <c r="A132" s="7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78" t="n">
        <v>0.37</v>
      </c>
      <c r="AA132" s="39" t="n">
        <v>2220</v>
      </c>
      <c r="AB132" s="56" t="n">
        <v>0.0315</v>
      </c>
    </row>
    <row r="133">
      <c r="A133" s="7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78" t="n">
        <v>0.37</v>
      </c>
      <c r="AA133" s="39" t="n">
        <v>2220</v>
      </c>
      <c r="AB133" s="56" t="n">
        <v>0.0315</v>
      </c>
    </row>
    <row r="134">
      <c r="A134" s="7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78" t="n">
        <v>0.37</v>
      </c>
      <c r="AA134" s="39" t="n">
        <v>2220</v>
      </c>
      <c r="AB134" s="56" t="n">
        <v>0.0315</v>
      </c>
    </row>
    <row r="135">
      <c r="A135" s="7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78" t="n">
        <v>0.37</v>
      </c>
      <c r="AA135" s="39" t="n">
        <v>2220</v>
      </c>
      <c r="AB135" s="56" t="n">
        <v>0.0315</v>
      </c>
    </row>
    <row r="136">
      <c r="A136" s="7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78" t="n">
        <v>0.37</v>
      </c>
      <c r="AA136" s="39" t="n">
        <v>2220</v>
      </c>
      <c r="AB136" s="56" t="n">
        <v>0.0315</v>
      </c>
    </row>
    <row r="137">
      <c r="A137" s="7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78" t="n">
        <v>0.37</v>
      </c>
      <c r="AA137" s="39" t="n">
        <v>2220</v>
      </c>
      <c r="AB137" s="56" t="n">
        <v>0.0315</v>
      </c>
    </row>
    <row r="138">
      <c r="A138" s="7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78" t="n">
        <v>0.37</v>
      </c>
      <c r="AA138" s="39" t="n">
        <v>2220</v>
      </c>
      <c r="AB138" s="56" t="n">
        <v>0.0315</v>
      </c>
    </row>
    <row r="139">
      <c r="A139" s="7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78" t="n">
        <v>0.37</v>
      </c>
      <c r="AA139" s="39" t="n">
        <v>2220</v>
      </c>
      <c r="AB139" s="56" t="n">
        <v>0.0323</v>
      </c>
    </row>
    <row r="140">
      <c r="A140" s="7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78" t="n">
        <v>0.37</v>
      </c>
      <c r="AA140" s="39" t="n">
        <v>2220</v>
      </c>
      <c r="AB140" s="56" t="n">
        <v>0.0323</v>
      </c>
    </row>
    <row r="141">
      <c r="A141" s="7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78" t="n">
        <v>0.37</v>
      </c>
      <c r="AA141" s="39" t="n">
        <v>2220</v>
      </c>
      <c r="AB141" s="56" t="n">
        <v>0.0323</v>
      </c>
    </row>
    <row r="142">
      <c r="A142" s="7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78" t="n">
        <v>0.37</v>
      </c>
      <c r="AA142" s="39" t="n">
        <v>2220</v>
      </c>
      <c r="AB142" s="56" t="n">
        <v>0.0323</v>
      </c>
    </row>
    <row r="143">
      <c r="A143" s="7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78" t="n">
        <v>0.37</v>
      </c>
      <c r="AA143" s="39" t="n">
        <v>2220</v>
      </c>
      <c r="AB143" s="56" t="n">
        <v>0.0323</v>
      </c>
    </row>
    <row r="144">
      <c r="A144" s="7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78" t="n">
        <v>0.37</v>
      </c>
      <c r="AA144" s="39" t="n">
        <v>2220</v>
      </c>
      <c r="AB144" s="56" t="n">
        <v>0.0339</v>
      </c>
    </row>
    <row r="145">
      <c r="A145" s="7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78" t="n">
        <v>0.37</v>
      </c>
      <c r="AA145" s="39" t="n">
        <v>2220</v>
      </c>
      <c r="AB145" s="56" t="n">
        <v>0.0339</v>
      </c>
    </row>
    <row r="146">
      <c r="A146" s="7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78" t="n">
        <v>0.37</v>
      </c>
      <c r="AA146" s="39" t="n">
        <v>2220</v>
      </c>
      <c r="AB146" s="56" t="n">
        <v>0.0339</v>
      </c>
    </row>
    <row r="147">
      <c r="A147" s="7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78" t="n">
        <v>0.37</v>
      </c>
      <c r="AA147" s="39" t="n">
        <v>2220</v>
      </c>
      <c r="AB147" s="56" t="n">
        <v>0.0339</v>
      </c>
    </row>
    <row r="148">
      <c r="A148" s="7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78" t="n">
        <v>0.37</v>
      </c>
      <c r="AA148" s="39" t="n">
        <v>2220</v>
      </c>
      <c r="AB148" s="56" t="n">
        <v>0.0339</v>
      </c>
    </row>
    <row r="149">
      <c r="A149" s="7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78" t="n">
        <v>0.26</v>
      </c>
      <c r="AA149" s="39" t="n">
        <v>1560</v>
      </c>
      <c r="AB149" s="56" t="n">
        <v>0.0331</v>
      </c>
    </row>
    <row r="150">
      <c r="A150" s="7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78" t="n">
        <v>0.26</v>
      </c>
      <c r="AA150" s="39" t="n">
        <v>1560</v>
      </c>
      <c r="AB150" s="56" t="n">
        <v>0.0331</v>
      </c>
    </row>
    <row r="151">
      <c r="A151" s="7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78" t="n">
        <v>0.26</v>
      </c>
      <c r="AA151" s="39" t="n">
        <v>1560</v>
      </c>
      <c r="AB151" s="56" t="n">
        <v>0.0331</v>
      </c>
    </row>
    <row r="152">
      <c r="A152" s="7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78" t="n">
        <v>0.26</v>
      </c>
      <c r="AA152" s="39" t="n">
        <v>1560</v>
      </c>
      <c r="AB152" s="56" t="n">
        <v>0.0331</v>
      </c>
    </row>
    <row r="153">
      <c r="A153" s="7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78" t="n">
        <v>0.26</v>
      </c>
      <c r="AA153" s="39" t="n">
        <v>1560</v>
      </c>
      <c r="AB153" s="56" t="n">
        <v>0.0331</v>
      </c>
    </row>
    <row r="154">
      <c r="A154" s="7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78" t="n">
        <v>0.165</v>
      </c>
      <c r="AA154" s="39" t="n">
        <v>990</v>
      </c>
      <c r="AB154" s="56" t="n">
        <v>0.0368</v>
      </c>
    </row>
    <row r="155">
      <c r="A155" s="7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78" t="n">
        <v>0.165</v>
      </c>
      <c r="AA155" s="39" t="n">
        <v>990</v>
      </c>
      <c r="AB155" s="56" t="n">
        <v>0.0368</v>
      </c>
    </row>
    <row r="156">
      <c r="A156" s="7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78" t="n">
        <v>0.165</v>
      </c>
      <c r="AA156" s="39" t="n">
        <v>990</v>
      </c>
      <c r="AB156" s="56" t="n">
        <v>0.0368</v>
      </c>
    </row>
    <row r="157">
      <c r="A157" s="7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78" t="n">
        <v>0.165</v>
      </c>
      <c r="AA157" s="39" t="n">
        <v>990</v>
      </c>
      <c r="AB157" s="56" t="n">
        <v>0.0368</v>
      </c>
    </row>
    <row r="158">
      <c r="A158" s="7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78" t="n">
        <v>0.165</v>
      </c>
      <c r="AA158" s="39" t="n">
        <v>990</v>
      </c>
      <c r="AB158" s="56" t="n">
        <v>0.0368</v>
      </c>
    </row>
    <row r="159">
      <c r="A159" s="7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78" t="n">
        <v>0.125</v>
      </c>
      <c r="AA159" s="39" t="n">
        <v>750</v>
      </c>
      <c r="AB159" s="56" t="n">
        <v>0.0368</v>
      </c>
    </row>
    <row r="160">
      <c r="A160" s="7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78" t="n">
        <v>0.125</v>
      </c>
      <c r="AA160" s="39" t="n">
        <v>750</v>
      </c>
      <c r="AB160" s="56" t="n">
        <v>0.0368</v>
      </c>
    </row>
    <row r="161">
      <c r="A161" s="7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78" t="n">
        <v>0.125</v>
      </c>
      <c r="AA161" s="39" t="n">
        <v>750</v>
      </c>
      <c r="AB161" s="56" t="n">
        <v>0.0368</v>
      </c>
    </row>
    <row r="162">
      <c r="A162" s="7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78" t="n">
        <v>0.125</v>
      </c>
      <c r="AA162" s="39" t="n">
        <v>750</v>
      </c>
      <c r="AB162" s="56" t="n">
        <v>0.0368</v>
      </c>
    </row>
    <row r="163">
      <c r="A163" s="7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78" t="n">
        <v>0.125</v>
      </c>
      <c r="AA163" s="39" t="n">
        <v>750</v>
      </c>
      <c r="AB163" s="56" t="n">
        <v>0.0338</v>
      </c>
    </row>
    <row r="164">
      <c r="A164" s="7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78" t="n">
        <v>0.125</v>
      </c>
      <c r="AA164" s="39" t="n">
        <v>750</v>
      </c>
      <c r="AB164" s="56" t="n">
        <v>0.0338</v>
      </c>
    </row>
    <row r="165">
      <c r="A165" s="7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78" t="n">
        <v>0.125</v>
      </c>
      <c r="AA165" s="39" t="n">
        <v>750</v>
      </c>
      <c r="AB165" s="56" t="n">
        <v>0.0338</v>
      </c>
    </row>
    <row r="166">
      <c r="A166" s="7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78" t="n">
        <v>0.125</v>
      </c>
      <c r="AA166" s="39" t="n">
        <v>750</v>
      </c>
      <c r="AB166" s="56" t="n">
        <v>0.0338</v>
      </c>
    </row>
    <row r="167">
      <c r="A167" s="7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78" t="n">
        <v>0.125</v>
      </c>
      <c r="AA167" s="39" t="n">
        <v>750</v>
      </c>
      <c r="AB167" s="56" t="n">
        <v>0.0338</v>
      </c>
    </row>
    <row r="168">
      <c r="A168" s="7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78" t="n">
        <v>0.125</v>
      </c>
      <c r="AA168" s="39" t="n">
        <v>750</v>
      </c>
      <c r="AB168" s="56" t="n">
        <v>0.0338</v>
      </c>
    </row>
    <row r="169">
      <c r="A169" s="7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78" t="n">
        <v>0.125</v>
      </c>
      <c r="AA169" s="39" t="n">
        <v>750</v>
      </c>
      <c r="AB169" s="56" t="n">
        <v>0.0338</v>
      </c>
    </row>
    <row r="170">
      <c r="A170" s="7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78" t="n">
        <v>0.125</v>
      </c>
      <c r="AA170" s="39" t="n">
        <v>750</v>
      </c>
      <c r="AB170" s="56" t="n">
        <v>0.0338</v>
      </c>
    </row>
    <row r="171">
      <c r="A171" s="7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78" t="n">
        <v>0.125</v>
      </c>
      <c r="AA171" s="39" t="n">
        <v>750</v>
      </c>
      <c r="AB171" s="56" t="n">
        <v>0.0338</v>
      </c>
    </row>
    <row r="172">
      <c r="A172" s="7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78" t="n">
        <v>0.125</v>
      </c>
      <c r="AA172" s="39" t="n">
        <v>750</v>
      </c>
      <c r="AB172" s="56" t="n">
        <v>0.0338</v>
      </c>
    </row>
    <row r="173">
      <c r="A173" s="7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78" t="n">
        <v>0.125</v>
      </c>
      <c r="AA173" s="39" t="n">
        <v>750</v>
      </c>
      <c r="AB173" s="56" t="n">
        <v>0.0338</v>
      </c>
    </row>
    <row r="174">
      <c r="A174" s="7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78" t="n">
        <v>0.125</v>
      </c>
      <c r="AA174" s="39" t="n">
        <v>750</v>
      </c>
      <c r="AB174" s="56" t="n">
        <v>0.0338</v>
      </c>
    </row>
    <row r="175">
      <c r="A175" s="7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78" t="n">
        <v>0.125</v>
      </c>
      <c r="AA175" s="39" t="n">
        <v>750</v>
      </c>
      <c r="AB175" s="56" t="n">
        <v>0.0338</v>
      </c>
    </row>
    <row r="176">
      <c r="A176" s="7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78" t="n">
        <v>0.125</v>
      </c>
      <c r="AA176" s="39" t="n">
        <v>750</v>
      </c>
      <c r="AB176" s="56" t="n">
        <v>0.0338</v>
      </c>
    </row>
    <row r="177">
      <c r="A177" s="7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78" t="n">
        <v>0.125</v>
      </c>
      <c r="AA177" s="39" t="n">
        <v>750</v>
      </c>
      <c r="AB177" s="56" t="n">
        <v>0.0338</v>
      </c>
    </row>
    <row r="178">
      <c r="A178" s="7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78" t="n">
        <v>0.125</v>
      </c>
      <c r="AA178" s="39" t="n">
        <v>750</v>
      </c>
      <c r="AB178" s="56" t="n">
        <v>0.0338</v>
      </c>
    </row>
    <row r="179">
      <c r="A179" s="7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78" t="n">
        <v>0.125</v>
      </c>
      <c r="AA179" s="39" t="n">
        <v>750</v>
      </c>
      <c r="AB179" s="56" t="n">
        <v>0.0338</v>
      </c>
    </row>
    <row r="180">
      <c r="A180" s="7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78" t="n">
        <v>0.125</v>
      </c>
      <c r="AA180" s="39" t="n">
        <v>750</v>
      </c>
      <c r="AB180" s="56" t="n">
        <v>0.0338</v>
      </c>
    </row>
    <row r="181">
      <c r="A181" s="7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78" t="n">
        <v>0.125</v>
      </c>
      <c r="AA181" s="39" t="n">
        <v>750</v>
      </c>
      <c r="AB181" s="56" t="n">
        <v>0.0338</v>
      </c>
    </row>
    <row r="182">
      <c r="A182" s="7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78" t="n">
        <v>0.125</v>
      </c>
      <c r="AA182" s="39" t="n">
        <v>750</v>
      </c>
      <c r="AB182" s="56" t="n">
        <v>0.0338</v>
      </c>
    </row>
    <row r="183">
      <c r="A183" s="7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78" t="n">
        <v>0.125</v>
      </c>
      <c r="AA183" s="39" t="n">
        <v>750</v>
      </c>
      <c r="AB183" s="56" t="n">
        <v>0.0338</v>
      </c>
    </row>
    <row r="184">
      <c r="A184" s="7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78" t="n">
        <v>0.125</v>
      </c>
      <c r="AA184" s="39" t="n">
        <v>750</v>
      </c>
      <c r="AB184" s="56" t="n">
        <v>0.0338</v>
      </c>
    </row>
    <row r="185">
      <c r="A185" s="7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78" t="n">
        <v>0.125</v>
      </c>
      <c r="AA185" s="39" t="n">
        <v>750</v>
      </c>
      <c r="AB185" s="56" t="n">
        <v>0.0338</v>
      </c>
    </row>
    <row r="186">
      <c r="A186" s="7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78" t="n">
        <v>0.125</v>
      </c>
      <c r="AA186" s="39" t="n">
        <v>750</v>
      </c>
      <c r="AB186" s="56" t="n">
        <v>0.0338</v>
      </c>
    </row>
    <row r="187">
      <c r="A187" s="7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78" t="n">
        <v>0.125</v>
      </c>
      <c r="AA187" s="39" t="n">
        <v>750</v>
      </c>
      <c r="AB187" s="56" t="n">
        <v>0.0338</v>
      </c>
    </row>
    <row r="188">
      <c r="A188" s="7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78" t="n">
        <v>0.125</v>
      </c>
      <c r="AA188" s="39" t="n">
        <v>750</v>
      </c>
      <c r="AB188" s="56" t="n">
        <v>0.0338</v>
      </c>
    </row>
    <row r="189">
      <c r="A189" s="7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78" t="n">
        <v>0.125</v>
      </c>
      <c r="AA189" s="39" t="n">
        <v>750</v>
      </c>
      <c r="AB189" s="56" t="n">
        <v>0.0338</v>
      </c>
    </row>
    <row r="190">
      <c r="A190" s="7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78" t="n">
        <v>0.125</v>
      </c>
      <c r="AA190" s="39" t="n">
        <v>750</v>
      </c>
      <c r="AB190" s="56" t="n">
        <v>0.0338</v>
      </c>
    </row>
    <row r="191">
      <c r="A191" s="7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78" t="n">
        <v>0.125</v>
      </c>
      <c r="AA191" s="39" t="n">
        <v>750</v>
      </c>
      <c r="AB191" s="56" t="n">
        <v>0.0338</v>
      </c>
    </row>
    <row r="192">
      <c r="A192" s="7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78" t="n">
        <v>0.125</v>
      </c>
      <c r="AA192" s="39" t="n">
        <v>750</v>
      </c>
      <c r="AB192" s="56" t="n">
        <v>0.0338</v>
      </c>
    </row>
    <row r="193">
      <c r="A193" s="7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78" t="n">
        <v>0.125</v>
      </c>
      <c r="AA193" s="39" t="n">
        <v>750</v>
      </c>
      <c r="AB193" s="56" t="n">
        <v>0.0338</v>
      </c>
    </row>
  </sheetData>
  <autoFilter ref="A5:B10"/>
  <mergeCells count="23">
    <mergeCell ref="A46:C46"/>
    <mergeCell ref="J109:M109"/>
    <mergeCell ref="Z109:AB109"/>
    <mergeCell ref="A27:C27"/>
    <mergeCell ref="A21:C21"/>
    <mergeCell ref="I4:L6"/>
    <mergeCell ref="V109:Y109"/>
    <mergeCell ref="E20:I20"/>
    <mergeCell ref="B109:E109"/>
    <mergeCell ref="N109:Q109"/>
    <mergeCell ref="A4:C4"/>
    <mergeCell ref="A81:C81"/>
    <mergeCell ref="A72:C72"/>
    <mergeCell ref="A19:C19"/>
    <mergeCell ref="A13:C13"/>
    <mergeCell ref="A1:G1"/>
    <mergeCell ref="A88:M88"/>
    <mergeCell ref="A64:C64"/>
    <mergeCell ref="F109:I109"/>
    <mergeCell ref="A108:AB108"/>
    <mergeCell ref="A2:G2"/>
    <mergeCell ref="E4:G4"/>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HU and SV hold their own money constants (HU CI medical 200,000 and PTD 444,000; SV stress-event sizes S$20k–150k; SV CPF tables).</t>
        </is>
      </c>
      <c r="D11" s="4" t="inlineStr">
        <is>
          <t>Workbook copies them unchanged on the HappiU and SV tabs (user currency = SGD for all personas).</t>
        </is>
      </c>
      <c r="E11" s="4" t="inlineStr">
        <is>
          <t>Move them to USD (or take them from GP's payload) so the engines follow the system currency too.</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calculator is a proposal</t>
        </is>
      </c>
      <c r="C13" s="4" t="inlineStr">
        <is>
          <t>Personal accident became a calculator in V0-16: annuity-due of income for PAC_YEARS (1) + PAC_COST (USD 59,200 = the S$80,000 stress event). Values need sign-off.</t>
        </is>
      </c>
      <c r="D13" s="4" t="inlineStr">
        <is>
          <t>Excel only. Not in the code, not sent to HappiU; premium flows to Scenario Visualizer.</t>
        </is>
      </c>
      <c r="E13" s="4" t="inlineStr">
        <is>
          <t>Confirm PAC_YEARS / PAC_COST; add N_PAC to goal_math.py, need_profiler.py, planProducts.ts, hu_payload.py.</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12</t>
        </is>
      </c>
      <c r="B15" s="4" t="inlineStr">
        <is>
          <t>Code still uses the old names</t>
        </is>
      </c>
      <c r="C15" s="4" t="inlineStr">
        <is>
          <t>Parameters were renamed to the N_ / R_ / prefix convention (Dictionary tab). Farewell dropped; N_HOM / N_CAR / N_TRV parked.</t>
        </is>
      </c>
      <c r="D15" s="4" t="inlineStr">
        <is>
          <t>Excel and docs only.</t>
        </is>
      </c>
      <c r="E15" s="4" t="inlineStr">
        <is>
          <t>Rename in goal_math.py, stressEvents.ts, need_profiler.py; drop farewell label and funeral lump.</t>
        </is>
      </c>
      <c r="F15" s="4" t="inlineStr">
        <is>
          <t>Dictionary tab; Dictionary.md</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79" t="inlineStr">
        <is>
          <t>V0-16</t>
        </is>
      </c>
      <c r="B4" s="79" t="inlineStr">
        <is>
          <t>2026-09-26</t>
        </is>
      </c>
      <c r="C4" s="79" t="inlineStr">
        <is>
          <t>Dictionary</t>
        </is>
      </c>
      <c r="D4" s="79"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4" s="79" t="inlineStr">
        <is>
          <t>Dictionary; Assumptions named cells and stress-event table; Scenario Visualizer event labels.</t>
        </is>
      </c>
      <c r="F4" s="79" t="inlineStr">
        <is>
          <t>Not in code.</t>
        </is>
      </c>
    </row>
    <row r="5">
      <c r="A5" s="79" t="inlineStr">
        <is>
          <t>V0-16</t>
        </is>
      </c>
      <c r="B5" s="79" t="inlineStr">
        <is>
          <t>2026-09-26</t>
        </is>
      </c>
      <c r="C5" s="79" t="inlineStr">
        <is>
          <t>Need Profiler</t>
        </is>
      </c>
      <c r="D5" s="79"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5" s="79" t="inlineStr">
        <is>
          <t>Need Profiler; Assumptions weight matrix (column Farewell removed).</t>
        </is>
      </c>
      <c r="F5" s="79" t="inlineStr">
        <is>
          <t>Not in code: need_profiler.py still scores Farewell and maps Home Protection to N_PRP.</t>
        </is>
      </c>
    </row>
    <row r="6">
      <c r="A6" s="79" t="inlineStr">
        <is>
          <t>V0-16</t>
        </is>
      </c>
      <c r="B6" s="79" t="inlineStr">
        <is>
          <t>2026-09-26</t>
        </is>
      </c>
      <c r="C6" s="79" t="inlineStr">
        <is>
          <t>Need Calculator / Plan / Budget</t>
        </is>
      </c>
      <c r="D6" s="79" t="inlineStr">
        <is>
          <t>New calculator N_PAC: annuity-due of income for PAC_YEARS + PAC_COST (proposal: 1 year, USD 59,200). Plan sizes it like other protection; Budget and SV include its premium. HappiU does not receive it. Farewell funeral lump removed from Assumptions.</t>
        </is>
      </c>
      <c r="E6" s="79" t="inlineStr">
        <is>
          <t>Need Calculator row N_PAC; Plan Calculator; Budget Calculator; Scenario Visualizer SV_protPrem.</t>
        </is>
      </c>
      <c r="F6" s="79" t="inlineStr">
        <is>
          <t>Not in code.</t>
        </is>
      </c>
    </row>
    <row r="7">
      <c r="A7" s="79" t="inlineStr">
        <is>
          <t>V0-15</t>
        </is>
      </c>
      <c r="B7" s="79" t="inlineStr">
        <is>
          <t>2026-09-25</t>
        </is>
      </c>
      <c r="C7" s="79" t="inlineStr">
        <is>
          <t>All components</t>
        </is>
      </c>
      <c r="D7" s="79"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7" s="79" t="inlineStr">
        <is>
          <t>Assumptions rows 21–24 (systemCurrency, fxMode, priceLevelOn) and the USD rows.</t>
        </is>
      </c>
      <c r="F7" s="79" t="inlineStr">
        <is>
          <t>Not in code: goal_math.py, predict.py, planProducts.ts, hu_payload.py still SGD.</t>
        </is>
      </c>
    </row>
    <row r="8">
      <c r="A8" s="79" t="inlineStr">
        <is>
          <t>V0-15</t>
        </is>
      </c>
      <c r="B8" s="79" t="inlineStr">
        <is>
          <t>2026-09-25</t>
        </is>
      </c>
      <c r="C8" s="79" t="inlineStr">
        <is>
          <t>FX</t>
        </is>
      </c>
      <c r="D8" s="79" t="inlineStr">
        <is>
          <t>Unknown currency → #N/A (no SGD fallback). Price-level column for option B (default 1, switch off). Rounding steps derived in user currency: USD step ÷ rate, then the nearest 1 / 2 / 5 × 10^k.</t>
        </is>
      </c>
      <c r="E8" s="79" t="inlineStr">
        <is>
          <t>FX tab: rate, price level, FX_lumpStep, FX_monthlyStep, FX_coverPremStep, FX_lifeRound, FX_benefitRound.</t>
        </is>
      </c>
      <c r="F8" s="79" t="inlineStr">
        <is>
          <t>Not in code: src/fx.py falls back to SGD; no session lock.</t>
        </is>
      </c>
    </row>
    <row r="9">
      <c r="A9" s="79" t="inlineStr">
        <is>
          <t>V0-15</t>
        </is>
      </c>
      <c r="B9" s="79" t="inlineStr">
        <is>
          <t>2026-09-25</t>
        </is>
      </c>
      <c r="C9" s="79" t="inlineStr">
        <is>
          <t>Need Calculator</t>
        </is>
      </c>
      <c r="D9" s="79" t="inlineStr">
        <is>
          <t>Runs in USD: an S-block converts every money input (session and sliders) to USD; amount / have / gap are calculated in USD (columns H–J), then converted back and rounded to whole units in user currency (B–D).</t>
        </is>
      </c>
      <c r="E9" s="79" t="inlineStr">
        <is>
          <t>Need Calculator S-block and results H–J; names NC_amountUSD_*, NC_gapUSD_*.</t>
        </is>
      </c>
      <c r="F9" s="79" t="inlineStr">
        <is>
          <t>Not in code: evaluate_session computes in session currency with SGD lumps.</t>
        </is>
      </c>
    </row>
    <row r="10">
      <c r="A10" s="79" t="inlineStr">
        <is>
          <t>V0-15</t>
        </is>
      </c>
      <c r="B10" s="79" t="inlineStr">
        <is>
          <t>2026-09-25</t>
        </is>
      </c>
      <c r="C10" s="79" t="inlineStr">
        <is>
          <t>People Like You</t>
        </is>
      </c>
      <c r="D10" s="79" t="inlineStr">
        <is>
          <t>Home seed in USD: income converted to USD, compared with USD bands, USD home value converted back. Life cover rounds to the life-cover step in user currency.</t>
        </is>
      </c>
      <c r="E10" s="79" t="inlineStr">
        <is>
          <t>People Like You: income USD, property USD, property, life sum assured.</t>
        </is>
      </c>
      <c r="F10" s="79" t="inlineStr">
        <is>
          <t>Not in code: seed_property_value and _assumed_life_policy use SGD.</t>
        </is>
      </c>
    </row>
    <row r="11">
      <c r="A11" s="79" t="inlineStr">
        <is>
          <t>V0-15</t>
        </is>
      </c>
      <c r="B11" s="79" t="inlineStr">
        <is>
          <t>2026-09-25</t>
        </is>
      </c>
      <c r="C11" s="79" t="inlineStr">
        <is>
          <t>Plan / HappiU</t>
        </is>
      </c>
      <c r="D11" s="79" t="inlineStr">
        <is>
          <t>Plan contributions and premiums round to steps in user currency (SGD: 50 and 10). HappiU benefit rounding in user currency (SGD: 50,000). Budget Calculator is ratios only; unchanged.</t>
        </is>
      </c>
      <c r="E11" s="79" t="inlineStr">
        <is>
          <t>Plan Calculator D-block; HappiU HU_benefitRound.</t>
        </is>
      </c>
      <c r="F11" s="79" t="inlineStr">
        <is>
          <t>Not in code: planProducts.ts and hu_payload.py use SGD steps.</t>
        </is>
      </c>
    </row>
    <row r="12">
      <c r="A12" s="79" t="inlineStr">
        <is>
          <t>V0-15</t>
        </is>
      </c>
      <c r="B12" s="79" t="inlineStr">
        <is>
          <t>2026-09-25</t>
        </is>
      </c>
      <c r="C12" s="79" t="inlineStr">
        <is>
          <t>CPF</t>
        </is>
      </c>
      <c r="D12" s="79" t="inlineStr">
        <is>
          <t>CPF tab framed as a social-security plug-in: SG-CPF module or the default module (no contribution). Runs in user currency.</t>
        </is>
      </c>
      <c r="E12" s="79" t="inlineStr">
        <is>
          <t>CPF tab: module per country, module used.</t>
        </is>
      </c>
      <c r="F12" s="79" t="inlineStr">
        <is>
          <t>Code has only src/cpf.py; HappiU and SV run their own CPF.</t>
        </is>
      </c>
    </row>
    <row r="13">
      <c r="A13" s="79" t="inlineStr">
        <is>
          <t>V0-14</t>
        </is>
      </c>
      <c r="B13" s="79" t="inlineStr">
        <is>
          <t>2026-09-25</t>
        </is>
      </c>
      <c r="C13" s="79" t="inlineStr">
        <is>
          <t>Scenario Visualizer</t>
        </is>
      </c>
      <c r="D13" s="79" t="inlineStr">
        <is>
          <t>Mortgage instalment is a level 20-year annuity at loanRate (mortgage × r / (1 − (1 + r)^−20); rate 0 → mortgage / 20), replacing round(mortgage / 20). The balance now runs smoothly to 0 in year 20 (no step at the end of the term).</t>
        </is>
      </c>
      <c r="E13" s="79" t="inlineStr">
        <is>
          <t>SV tab: SV_inst, mortgage balance column. deterministic_engines.twin_sv / sv_loans.</t>
        </is>
      </c>
      <c r="F13" s="79" t="inlineStr">
        <is>
          <t>In code (goal_math.annual_loan_payment, sv_payload.py). Workbook catches up.</t>
        </is>
      </c>
    </row>
    <row r="14">
      <c r="A14" s="79" t="inlineStr">
        <is>
          <t>V0-14</t>
        </is>
      </c>
      <c r="B14" s="79" t="inlineStr">
        <is>
          <t>2026-09-25</t>
        </is>
      </c>
      <c r="C14" s="79" t="inlineStr">
        <is>
          <t>Scenario Visualizer</t>
        </is>
      </c>
      <c r="D14" s="79" t="inlineStr">
        <is>
          <t>New SPENDABLE pre / post columns for the expense-funding panel: cash + investments + savings (+ plan pots on post) − max(0, remaining mortgage − (home + CPF)). Not floored at 0. New results: first age spendable wealth &lt; 0 (pre / post).</t>
        </is>
      </c>
      <c r="E14" s="79" t="inlineStr">
        <is>
          <t>SV tab: spPre, spPost, SV_spOutPre, SV_spOutPost. twin_sv spendable. excel_check SV_COLS.</t>
        </is>
      </c>
      <c r="F14" s="79" t="inlineStr">
        <is>
          <t>SV engine (CashFlowGeneratorV2 spendableWealth). Earmarked goal pots funded from assets = 0 in the workbook: open question.</t>
        </is>
      </c>
    </row>
    <row r="15">
      <c r="A15" s="79" t="inlineStr">
        <is>
          <t>V0-14</t>
        </is>
      </c>
      <c r="B15" s="79" t="inlineStr">
        <is>
          <t>2026-09-25</t>
        </is>
      </c>
      <c r="C15" s="79" t="inlineStr">
        <is>
          <t>Folder</t>
        </is>
      </c>
      <c r="D15" s="79" t="inlineStr">
        <is>
          <t>New tree docs/calculations_clone (first named calculations-V0-14) cloned from docs/calculations (V0-13). Older trees stay as snapshots.</t>
        </is>
      </c>
      <c r="E15" s="79" t="inlineStr">
        <is>
          <t>Whole folder.</t>
        </is>
      </c>
      <c r="F15" s="79"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0" t="n">
        <v>4200</v>
      </c>
      <c r="C3" s="80" t="n">
        <v>2268</v>
      </c>
      <c r="D3" s="69" t="n">
        <v>983</v>
      </c>
      <c r="E3" s="69" t="n">
        <v>5569</v>
      </c>
      <c r="F3" s="69" t="n">
        <v>0</v>
      </c>
      <c r="G3" s="69" t="n">
        <v>0</v>
      </c>
      <c r="H3" s="69" t="n">
        <v>0</v>
      </c>
      <c r="I3" s="77" t="b">
        <v>1</v>
      </c>
      <c r="J3" s="77" t="b">
        <v>0</v>
      </c>
      <c r="K3" s="77" t="b">
        <v>0</v>
      </c>
      <c r="L3" s="77" t="b">
        <v>1</v>
      </c>
      <c r="M3" s="77" t="b">
        <v>1</v>
      </c>
      <c r="N3" s="77" t="b">
        <v>0</v>
      </c>
      <c r="O3" s="77" t="b">
        <v>1</v>
      </c>
      <c r="P3" s="77" t="b">
        <v>0</v>
      </c>
      <c r="Q3" s="69" t="n">
        <v>540361</v>
      </c>
      <c r="R3" s="69" t="n">
        <v>1036295</v>
      </c>
    </row>
    <row r="4">
      <c r="A4" s="4" t="inlineStr">
        <is>
          <t>P02</t>
        </is>
      </c>
      <c r="B4" s="80" t="n">
        <v>6020</v>
      </c>
      <c r="C4" s="80" t="n">
        <v>3250.8</v>
      </c>
      <c r="D4" s="69" t="n">
        <v>8452</v>
      </c>
      <c r="E4" s="69" t="n">
        <v>47895</v>
      </c>
      <c r="F4" s="69" t="n">
        <v>0</v>
      </c>
      <c r="G4" s="69" t="n">
        <v>0</v>
      </c>
      <c r="H4" s="69" t="n">
        <v>0</v>
      </c>
      <c r="I4" s="77" t="b">
        <v>1</v>
      </c>
      <c r="J4" s="77" t="b">
        <v>0</v>
      </c>
      <c r="K4" s="77" t="b">
        <v>0</v>
      </c>
      <c r="L4" s="77" t="b">
        <v>1</v>
      </c>
      <c r="M4" s="77" t="b">
        <v>1</v>
      </c>
      <c r="N4" s="77" t="b">
        <v>0</v>
      </c>
      <c r="O4" s="77" t="b">
        <v>1</v>
      </c>
      <c r="P4" s="77" t="b">
        <v>0</v>
      </c>
      <c r="Q4" s="69" t="n">
        <v>724812</v>
      </c>
      <c r="R4" s="69" t="n">
        <v>1078002</v>
      </c>
    </row>
    <row r="5">
      <c r="A5" s="4" t="inlineStr">
        <is>
          <t>P03</t>
        </is>
      </c>
      <c r="B5" s="80" t="n">
        <v>7140</v>
      </c>
      <c r="C5" s="80" t="n">
        <v>4141.2</v>
      </c>
      <c r="D5" s="69" t="n">
        <v>18378</v>
      </c>
      <c r="E5" s="69" t="n">
        <v>104144</v>
      </c>
      <c r="F5" s="69" t="n">
        <v>350000</v>
      </c>
      <c r="G5" s="69" t="n">
        <v>192500</v>
      </c>
      <c r="H5" s="69" t="n">
        <v>428400</v>
      </c>
      <c r="I5" s="77" t="b">
        <v>1</v>
      </c>
      <c r="J5" s="77" t="b">
        <v>0</v>
      </c>
      <c r="K5" s="77" t="b">
        <v>0</v>
      </c>
      <c r="L5" s="77" t="b">
        <v>1</v>
      </c>
      <c r="M5" s="77" t="b">
        <v>1</v>
      </c>
      <c r="N5" s="77" t="b">
        <v>0</v>
      </c>
      <c r="O5" s="77" t="b">
        <v>0</v>
      </c>
      <c r="P5" s="77" t="b">
        <v>1</v>
      </c>
      <c r="Q5" s="69" t="n">
        <v>874927</v>
      </c>
      <c r="R5" s="69" t="n">
        <v>1633487</v>
      </c>
    </row>
    <row r="6">
      <c r="A6" s="4" t="inlineStr">
        <is>
          <t>P04</t>
        </is>
      </c>
      <c r="B6" s="80" t="n">
        <v>4550</v>
      </c>
      <c r="C6" s="80" t="n">
        <v>2821</v>
      </c>
      <c r="D6" s="69" t="n">
        <v>14742</v>
      </c>
      <c r="E6" s="69" t="n">
        <v>83538</v>
      </c>
      <c r="F6" s="69" t="n">
        <v>350000</v>
      </c>
      <c r="G6" s="69" t="n">
        <v>192500</v>
      </c>
      <c r="H6" s="69" t="n">
        <v>273000</v>
      </c>
      <c r="I6" s="77" t="b">
        <v>1</v>
      </c>
      <c r="J6" s="77" t="b">
        <v>0</v>
      </c>
      <c r="K6" s="77" t="b">
        <v>0</v>
      </c>
      <c r="L6" s="77" t="b">
        <v>1</v>
      </c>
      <c r="M6" s="77" t="b">
        <v>1</v>
      </c>
      <c r="N6" s="77" t="b">
        <v>0</v>
      </c>
      <c r="O6" s="77" t="b">
        <v>0</v>
      </c>
      <c r="P6" s="77" t="b">
        <v>1</v>
      </c>
      <c r="Q6" s="69" t="n">
        <v>498862</v>
      </c>
      <c r="R6" s="69" t="n">
        <v>603146</v>
      </c>
    </row>
    <row r="7">
      <c r="A7" s="4" t="inlineStr">
        <is>
          <t>P05</t>
        </is>
      </c>
      <c r="B7" s="80" t="n">
        <v>5000</v>
      </c>
      <c r="C7" s="80" t="n">
        <v>3875</v>
      </c>
      <c r="D7" s="69" t="n">
        <v>26325</v>
      </c>
      <c r="E7" s="69" t="n">
        <v>149175</v>
      </c>
      <c r="F7" s="69" t="n">
        <v>350000</v>
      </c>
      <c r="G7" s="69" t="n">
        <v>192500</v>
      </c>
      <c r="H7" s="69" t="n">
        <v>300000</v>
      </c>
      <c r="I7" s="77" t="b">
        <v>1</v>
      </c>
      <c r="J7" s="77" t="b">
        <v>0</v>
      </c>
      <c r="K7" s="77" t="b">
        <v>0</v>
      </c>
      <c r="L7" s="77" t="b">
        <v>1</v>
      </c>
      <c r="M7" s="77" t="b">
        <v>1</v>
      </c>
      <c r="N7" s="77" t="b">
        <v>0</v>
      </c>
      <c r="O7" s="77" t="b">
        <v>0</v>
      </c>
      <c r="P7" s="77" t="b">
        <v>1</v>
      </c>
      <c r="Q7" s="69" t="n">
        <v>613326</v>
      </c>
      <c r="R7" s="69" t="n">
        <v>1285792</v>
      </c>
    </row>
    <row r="8">
      <c r="A8" s="4" t="inlineStr">
        <is>
          <t>P06</t>
        </is>
      </c>
      <c r="B8" s="80" t="n">
        <v>13910</v>
      </c>
      <c r="C8" s="80" t="n">
        <v>8924.75</v>
      </c>
      <c r="D8" s="69" t="n">
        <v>33514</v>
      </c>
      <c r="E8" s="69" t="n">
        <v>189913</v>
      </c>
      <c r="F8" s="69" t="n">
        <v>650000</v>
      </c>
      <c r="G8" s="69" t="n">
        <v>357500</v>
      </c>
      <c r="H8" s="69" t="n">
        <v>834600</v>
      </c>
      <c r="I8" s="77" t="b">
        <v>1</v>
      </c>
      <c r="J8" s="77" t="b">
        <v>1</v>
      </c>
      <c r="K8" s="77" t="b">
        <v>0</v>
      </c>
      <c r="L8" s="77" t="b">
        <v>0</v>
      </c>
      <c r="M8" s="77" t="b">
        <v>1</v>
      </c>
      <c r="N8" s="77" t="b">
        <v>0</v>
      </c>
      <c r="O8" s="77" t="b">
        <v>0</v>
      </c>
      <c r="P8" s="77" t="b">
        <v>1</v>
      </c>
      <c r="Q8" s="69" t="n">
        <v>1983433</v>
      </c>
      <c r="R8" s="69" t="n">
        <v>2984292</v>
      </c>
    </row>
    <row r="9">
      <c r="A9" s="4" t="inlineStr">
        <is>
          <t>P07</t>
        </is>
      </c>
      <c r="B9" s="80" t="n">
        <v>5525</v>
      </c>
      <c r="C9" s="80" t="n">
        <v>2983.5</v>
      </c>
      <c r="D9" s="69" t="n">
        <v>42664</v>
      </c>
      <c r="E9" s="69" t="n">
        <v>241763</v>
      </c>
      <c r="F9" s="69" t="n">
        <v>350000</v>
      </c>
      <c r="G9" s="69" t="n">
        <v>192500</v>
      </c>
      <c r="H9" s="69" t="n">
        <v>200000</v>
      </c>
      <c r="I9" s="77" t="b">
        <v>1</v>
      </c>
      <c r="J9" s="77" t="b">
        <v>0</v>
      </c>
      <c r="K9" s="77" t="b">
        <v>0</v>
      </c>
      <c r="L9" s="77" t="b">
        <v>1</v>
      </c>
      <c r="M9" s="77" t="b">
        <v>1</v>
      </c>
      <c r="N9" s="77" t="b">
        <v>0</v>
      </c>
      <c r="O9" s="77" t="b">
        <v>0</v>
      </c>
      <c r="P9" s="77" t="b">
        <v>1</v>
      </c>
      <c r="Q9" s="69" t="n">
        <v>516509</v>
      </c>
      <c r="R9" s="69" t="n">
        <v>842652</v>
      </c>
    </row>
    <row r="10">
      <c r="A10" s="4" t="inlineStr">
        <is>
          <t>P08</t>
        </is>
      </c>
      <c r="B10" s="80" t="n">
        <v>5975</v>
      </c>
      <c r="C10" s="80" t="n">
        <v>4042.5</v>
      </c>
      <c r="D10" s="69" t="n">
        <v>30098</v>
      </c>
      <c r="E10" s="69" t="n">
        <v>170557</v>
      </c>
      <c r="F10" s="69" t="n">
        <v>350000</v>
      </c>
      <c r="G10" s="69" t="n">
        <v>192500</v>
      </c>
      <c r="H10" s="69" t="n">
        <v>358500</v>
      </c>
      <c r="I10" s="77" t="b">
        <v>1</v>
      </c>
      <c r="J10" s="77" t="b">
        <v>0</v>
      </c>
      <c r="K10" s="77" t="b">
        <v>0</v>
      </c>
      <c r="L10" s="77" t="b">
        <v>1</v>
      </c>
      <c r="M10" s="77" t="b">
        <v>1</v>
      </c>
      <c r="N10" s="77" t="b">
        <v>0</v>
      </c>
      <c r="O10" s="77" t="b">
        <v>0</v>
      </c>
      <c r="P10" s="77" t="b">
        <v>1</v>
      </c>
      <c r="Q10" s="69" t="n">
        <v>631517</v>
      </c>
      <c r="R10" s="69" t="n">
        <v>524768</v>
      </c>
    </row>
    <row r="11">
      <c r="A11" s="4" t="inlineStr">
        <is>
          <t>P09</t>
        </is>
      </c>
      <c r="B11" s="80" t="n">
        <v>3350</v>
      </c>
      <c r="C11" s="80" t="n">
        <v>1809</v>
      </c>
      <c r="D11" s="69" t="n">
        <v>3136</v>
      </c>
      <c r="E11" s="69" t="n">
        <v>17768</v>
      </c>
      <c r="F11" s="69" t="n">
        <v>0</v>
      </c>
      <c r="G11" s="69" t="n">
        <v>0</v>
      </c>
      <c r="H11" s="69" t="n">
        <v>0</v>
      </c>
      <c r="I11" s="77" t="b">
        <v>1</v>
      </c>
      <c r="J11" s="77" t="b">
        <v>0</v>
      </c>
      <c r="K11" s="77" t="b">
        <v>0</v>
      </c>
      <c r="L11" s="77" t="b">
        <v>1</v>
      </c>
      <c r="M11" s="77" t="b">
        <v>1</v>
      </c>
      <c r="N11" s="77" t="b">
        <v>0</v>
      </c>
      <c r="O11" s="77" t="b">
        <v>1</v>
      </c>
      <c r="P11" s="77" t="b">
        <v>0</v>
      </c>
      <c r="Q11" s="69" t="n">
        <v>431003</v>
      </c>
      <c r="R11" s="69" t="n">
        <v>812405</v>
      </c>
    </row>
    <row r="12">
      <c r="A12" s="4" t="inlineStr">
        <is>
          <t>P10</t>
        </is>
      </c>
      <c r="B12" s="80" t="n">
        <v>4250</v>
      </c>
      <c r="C12" s="80" t="n">
        <v>3293.75</v>
      </c>
      <c r="D12" s="69" t="n">
        <v>13770</v>
      </c>
      <c r="E12" s="69" t="n">
        <v>78030</v>
      </c>
      <c r="F12" s="69" t="n">
        <v>0</v>
      </c>
      <c r="G12" s="69" t="n">
        <v>0</v>
      </c>
      <c r="H12" s="69" t="n">
        <v>255000</v>
      </c>
      <c r="I12" s="77" t="b">
        <v>1</v>
      </c>
      <c r="J12" s="77" t="b">
        <v>0</v>
      </c>
      <c r="K12" s="77" t="b">
        <v>0</v>
      </c>
      <c r="L12" s="77" t="b">
        <v>1</v>
      </c>
      <c r="M12" s="77" t="b">
        <v>1</v>
      </c>
      <c r="N12" s="77" t="b">
        <v>0</v>
      </c>
      <c r="O12" s="77" t="b">
        <v>1</v>
      </c>
      <c r="P12" s="77" t="b">
        <v>0</v>
      </c>
      <c r="Q12" s="69" t="n">
        <v>452793</v>
      </c>
      <c r="R12" s="69" t="n">
        <v>859363</v>
      </c>
    </row>
    <row r="13">
      <c r="A13" s="4" t="inlineStr">
        <is>
          <t>P11</t>
        </is>
      </c>
      <c r="B13" s="80" t="n">
        <v>7140</v>
      </c>
      <c r="C13" s="80" t="n">
        <v>4141.2</v>
      </c>
      <c r="D13" s="69" t="n">
        <v>42412</v>
      </c>
      <c r="E13" s="69" t="n">
        <v>240332</v>
      </c>
      <c r="F13" s="69" t="n">
        <v>350000</v>
      </c>
      <c r="G13" s="69" t="n">
        <v>192500</v>
      </c>
      <c r="H13" s="69" t="n">
        <v>428400</v>
      </c>
      <c r="I13" s="77" t="b">
        <v>1</v>
      </c>
      <c r="J13" s="77" t="b">
        <v>0</v>
      </c>
      <c r="K13" s="77" t="b">
        <v>0</v>
      </c>
      <c r="L13" s="77" t="b">
        <v>1</v>
      </c>
      <c r="M13" s="77" t="b">
        <v>1</v>
      </c>
      <c r="N13" s="77" t="b">
        <v>0</v>
      </c>
      <c r="O13" s="77" t="b">
        <v>0</v>
      </c>
      <c r="P13" s="77" t="b">
        <v>1</v>
      </c>
      <c r="Q13" s="69" t="n">
        <v>642236</v>
      </c>
      <c r="R13" s="69" t="n">
        <v>1316453</v>
      </c>
    </row>
    <row r="14">
      <c r="A14" s="4" t="inlineStr">
        <is>
          <t>P12</t>
        </is>
      </c>
      <c r="B14" s="80" t="n">
        <v>9800</v>
      </c>
      <c r="C14" s="80" t="n">
        <v>6210</v>
      </c>
      <c r="D14" s="69" t="n">
        <v>121095</v>
      </c>
      <c r="E14" s="69" t="n">
        <v>686205</v>
      </c>
      <c r="F14" s="69" t="n">
        <v>350000</v>
      </c>
      <c r="G14" s="69" t="n">
        <v>192500</v>
      </c>
      <c r="H14" s="69" t="n">
        <v>200000</v>
      </c>
      <c r="I14" s="77" t="b">
        <v>1</v>
      </c>
      <c r="J14" s="77" t="b">
        <v>0</v>
      </c>
      <c r="K14" s="77" t="b">
        <v>0</v>
      </c>
      <c r="L14" s="77" t="b">
        <v>1</v>
      </c>
      <c r="M14" s="77" t="b">
        <v>1</v>
      </c>
      <c r="N14" s="77" t="b">
        <v>0</v>
      </c>
      <c r="O14" s="77" t="b">
        <v>0</v>
      </c>
      <c r="P14" s="77" t="b">
        <v>1</v>
      </c>
      <c r="Q14" s="69" t="n">
        <v>866908</v>
      </c>
      <c r="R14" s="69" t="n">
        <v>1235459</v>
      </c>
    </row>
    <row r="15">
      <c r="A15" s="4" t="inlineStr">
        <is>
          <t>P13</t>
        </is>
      </c>
      <c r="B15" s="80" t="n">
        <v>6580</v>
      </c>
      <c r="C15" s="80" t="n">
        <v>3816.4</v>
      </c>
      <c r="D15" s="69" t="n">
        <v>11726</v>
      </c>
      <c r="E15" s="69" t="n">
        <v>66445</v>
      </c>
      <c r="F15" s="69" t="n">
        <v>0</v>
      </c>
      <c r="G15" s="69" t="n">
        <v>0</v>
      </c>
      <c r="H15" s="69" t="n">
        <v>394800</v>
      </c>
      <c r="I15" s="77" t="b">
        <v>1</v>
      </c>
      <c r="J15" s="77" t="b">
        <v>0</v>
      </c>
      <c r="K15" s="77" t="b">
        <v>0</v>
      </c>
      <c r="L15" s="77" t="b">
        <v>1</v>
      </c>
      <c r="M15" s="77" t="b">
        <v>1</v>
      </c>
      <c r="N15" s="77" t="b">
        <v>0</v>
      </c>
      <c r="O15" s="77" t="b">
        <v>1</v>
      </c>
      <c r="P15" s="77" t="b">
        <v>0</v>
      </c>
      <c r="Q15" s="69" t="n">
        <v>759260</v>
      </c>
      <c r="R15" s="69" t="n">
        <v>1066448</v>
      </c>
    </row>
    <row r="16">
      <c r="A16" s="4" t="inlineStr">
        <is>
          <t>P14</t>
        </is>
      </c>
      <c r="B16" s="80" t="n">
        <v>4775</v>
      </c>
      <c r="C16" s="80" t="n">
        <v>3342.5</v>
      </c>
      <c r="D16" s="69" t="n">
        <v>9884</v>
      </c>
      <c r="E16" s="69" t="n">
        <v>56011</v>
      </c>
      <c r="F16" s="69" t="n">
        <v>350000</v>
      </c>
      <c r="G16" s="69" t="n">
        <v>192500</v>
      </c>
      <c r="H16" s="69" t="n">
        <v>286500</v>
      </c>
      <c r="I16" s="77" t="b">
        <v>1</v>
      </c>
      <c r="J16" s="77" t="b">
        <v>0</v>
      </c>
      <c r="K16" s="77" t="b">
        <v>0</v>
      </c>
      <c r="L16" s="77" t="b">
        <v>1</v>
      </c>
      <c r="M16" s="77" t="b">
        <v>1</v>
      </c>
      <c r="N16" s="77" t="b">
        <v>0</v>
      </c>
      <c r="O16" s="77" t="b">
        <v>0</v>
      </c>
      <c r="P16" s="77" t="b">
        <v>1</v>
      </c>
      <c r="Q16" s="69" t="n">
        <v>555497</v>
      </c>
      <c r="R16" s="69" t="n">
        <v>937828</v>
      </c>
    </row>
    <row r="17">
      <c r="A17" s="4" t="inlineStr">
        <is>
          <t>P15</t>
        </is>
      </c>
      <c r="B17" s="80" t="n">
        <v>5750</v>
      </c>
      <c r="C17" s="80" t="n">
        <v>3654.12</v>
      </c>
      <c r="D17" s="69" t="n">
        <v>34373</v>
      </c>
      <c r="E17" s="69" t="n">
        <v>194778</v>
      </c>
      <c r="F17" s="69" t="n">
        <v>350000</v>
      </c>
      <c r="G17" s="69" t="n">
        <v>192500</v>
      </c>
      <c r="H17" s="69" t="n">
        <v>345000</v>
      </c>
      <c r="I17" s="77" t="b">
        <v>1</v>
      </c>
      <c r="J17" s="77" t="b">
        <v>0</v>
      </c>
      <c r="K17" s="77" t="b">
        <v>0</v>
      </c>
      <c r="L17" s="77" t="b">
        <v>1</v>
      </c>
      <c r="M17" s="77" t="b">
        <v>1</v>
      </c>
      <c r="N17" s="77" t="b">
        <v>0</v>
      </c>
      <c r="O17" s="77" t="b">
        <v>0</v>
      </c>
      <c r="P17" s="77" t="b">
        <v>1</v>
      </c>
      <c r="Q17" s="69" t="n">
        <v>589339</v>
      </c>
      <c r="R17" s="69" t="n">
        <v>1071094</v>
      </c>
    </row>
    <row r="18">
      <c r="A18" s="4" t="inlineStr">
        <is>
          <t>P16</t>
        </is>
      </c>
      <c r="B18" s="80" t="n">
        <v>10400</v>
      </c>
      <c r="C18" s="80" t="n">
        <v>5940</v>
      </c>
      <c r="D18" s="69" t="n">
        <v>5148</v>
      </c>
      <c r="E18" s="69" t="n">
        <v>29172</v>
      </c>
      <c r="F18" s="69" t="n">
        <v>0</v>
      </c>
      <c r="G18" s="69" t="n">
        <v>0</v>
      </c>
      <c r="H18" s="69" t="n">
        <v>0</v>
      </c>
      <c r="I18" s="77" t="b">
        <v>1</v>
      </c>
      <c r="J18" s="77" t="b">
        <v>0</v>
      </c>
      <c r="K18" s="77" t="b">
        <v>0</v>
      </c>
      <c r="L18" s="77" t="b">
        <v>1</v>
      </c>
      <c r="M18" s="77" t="b">
        <v>1</v>
      </c>
      <c r="N18" s="77" t="b">
        <v>0</v>
      </c>
      <c r="O18" s="77" t="b">
        <v>1</v>
      </c>
      <c r="P18" s="77" t="b">
        <v>0</v>
      </c>
      <c r="Q18" s="69" t="n">
        <v>1415232</v>
      </c>
      <c r="R18" s="69" t="n">
        <v>2664616</v>
      </c>
    </row>
    <row r="19">
      <c r="A19" s="4" t="inlineStr">
        <is>
          <t>P17</t>
        </is>
      </c>
      <c r="B19" s="80" t="n">
        <v>3575</v>
      </c>
      <c r="C19" s="80" t="n">
        <v>1930.5</v>
      </c>
      <c r="D19" s="69" t="n">
        <v>5856</v>
      </c>
      <c r="E19" s="69" t="n">
        <v>33183</v>
      </c>
      <c r="F19" s="69" t="n">
        <v>0</v>
      </c>
      <c r="G19" s="69" t="n">
        <v>0</v>
      </c>
      <c r="H19" s="69" t="n">
        <v>0</v>
      </c>
      <c r="I19" s="77" t="b">
        <v>1</v>
      </c>
      <c r="J19" s="77" t="b">
        <v>0</v>
      </c>
      <c r="K19" s="77" t="b">
        <v>0</v>
      </c>
      <c r="L19" s="77" t="b">
        <v>1</v>
      </c>
      <c r="M19" s="77" t="b">
        <v>1</v>
      </c>
      <c r="N19" s="77" t="b">
        <v>0</v>
      </c>
      <c r="O19" s="77" t="b">
        <v>1</v>
      </c>
      <c r="P19" s="77" t="b">
        <v>0</v>
      </c>
      <c r="Q19" s="69" t="n">
        <v>415260</v>
      </c>
      <c r="R19" s="69" t="n">
        <v>628502</v>
      </c>
    </row>
    <row r="20">
      <c r="A20" s="4" t="inlineStr">
        <is>
          <t>P18</t>
        </is>
      </c>
      <c r="B20" s="80" t="n">
        <v>4100</v>
      </c>
      <c r="C20" s="80" t="n">
        <v>2378</v>
      </c>
      <c r="D20" s="69" t="n">
        <v>11365</v>
      </c>
      <c r="E20" s="69" t="n">
        <v>64403</v>
      </c>
      <c r="F20" s="69" t="n">
        <v>350000</v>
      </c>
      <c r="G20" s="69" t="n">
        <v>192500</v>
      </c>
      <c r="H20" s="69" t="n">
        <v>246000</v>
      </c>
      <c r="I20" s="77" t="b">
        <v>1</v>
      </c>
      <c r="J20" s="77" t="b">
        <v>0</v>
      </c>
      <c r="K20" s="77" t="b">
        <v>0</v>
      </c>
      <c r="L20" s="77" t="b">
        <v>1</v>
      </c>
      <c r="M20" s="77" t="b">
        <v>1</v>
      </c>
      <c r="N20" s="77" t="b">
        <v>0</v>
      </c>
      <c r="O20" s="77" t="b">
        <v>0</v>
      </c>
      <c r="P20" s="77" t="b">
        <v>1</v>
      </c>
      <c r="Q20" s="69" t="n">
        <v>563112</v>
      </c>
      <c r="R20" s="69" t="n">
        <v>920893</v>
      </c>
    </row>
    <row r="21">
      <c r="A21" s="4" t="inlineStr">
        <is>
          <t>P19</t>
        </is>
      </c>
      <c r="B21" s="80" t="n">
        <v>4625</v>
      </c>
      <c r="C21" s="80" t="n">
        <v>2867.5</v>
      </c>
      <c r="D21" s="69" t="n">
        <v>15734</v>
      </c>
      <c r="E21" s="69" t="n">
        <v>89161</v>
      </c>
      <c r="F21" s="69" t="n">
        <v>350000</v>
      </c>
      <c r="G21" s="69" t="n">
        <v>192500</v>
      </c>
      <c r="H21" s="69" t="n">
        <v>277500</v>
      </c>
      <c r="I21" s="77" t="b">
        <v>1</v>
      </c>
      <c r="J21" s="77" t="b">
        <v>0</v>
      </c>
      <c r="K21" s="77" t="b">
        <v>0</v>
      </c>
      <c r="L21" s="77" t="b">
        <v>1</v>
      </c>
      <c r="M21" s="77" t="b">
        <v>1</v>
      </c>
      <c r="N21" s="77" t="b">
        <v>0</v>
      </c>
      <c r="O21" s="77" t="b">
        <v>0</v>
      </c>
      <c r="P21" s="77" t="b">
        <v>1</v>
      </c>
      <c r="Q21" s="69" t="n">
        <v>503912</v>
      </c>
      <c r="R21" s="69" t="n">
        <v>601908</v>
      </c>
    </row>
    <row r="22">
      <c r="A22" s="4" t="inlineStr">
        <is>
          <t>P20</t>
        </is>
      </c>
      <c r="B22" s="80" t="n">
        <v>5075</v>
      </c>
      <c r="C22" s="80" t="n">
        <v>3933.12</v>
      </c>
      <c r="D22" s="69" t="n">
        <v>27748</v>
      </c>
      <c r="E22" s="69" t="n">
        <v>157237</v>
      </c>
      <c r="F22" s="69" t="n">
        <v>350000</v>
      </c>
      <c r="G22" s="69" t="n">
        <v>192500</v>
      </c>
      <c r="H22" s="69" t="n">
        <v>304500</v>
      </c>
      <c r="I22" s="77" t="b">
        <v>1</v>
      </c>
      <c r="J22" s="77" t="b">
        <v>0</v>
      </c>
      <c r="K22" s="77" t="b">
        <v>0</v>
      </c>
      <c r="L22" s="77" t="b">
        <v>1</v>
      </c>
      <c r="M22" s="77" t="b">
        <v>1</v>
      </c>
      <c r="N22" s="77" t="b">
        <v>0</v>
      </c>
      <c r="O22" s="77" t="b">
        <v>0</v>
      </c>
      <c r="P22" s="77" t="b">
        <v>1</v>
      </c>
      <c r="Q22" s="69" t="n">
        <v>619638</v>
      </c>
      <c r="R22" s="69" t="n">
        <v>1281280</v>
      </c>
    </row>
    <row r="23">
      <c r="A23" s="4" t="inlineStr">
        <is>
          <t>P21</t>
        </is>
      </c>
      <c r="B23" s="80" t="n">
        <v>5250</v>
      </c>
      <c r="C23" s="80" t="n">
        <v>3045</v>
      </c>
      <c r="D23" s="69" t="n">
        <v>12474</v>
      </c>
      <c r="E23" s="69" t="n">
        <v>70686</v>
      </c>
      <c r="F23" s="69" t="n">
        <v>350000</v>
      </c>
      <c r="G23" s="69" t="n">
        <v>192500</v>
      </c>
      <c r="H23" s="69" t="n">
        <v>315000</v>
      </c>
      <c r="I23" s="77" t="b">
        <v>1</v>
      </c>
      <c r="J23" s="77" t="b">
        <v>0</v>
      </c>
      <c r="K23" s="77" t="b">
        <v>0</v>
      </c>
      <c r="L23" s="77" t="b">
        <v>1</v>
      </c>
      <c r="M23" s="77" t="b">
        <v>1</v>
      </c>
      <c r="N23" s="77" t="b">
        <v>0</v>
      </c>
      <c r="O23" s="77" t="b">
        <v>0</v>
      </c>
      <c r="P23" s="77" t="b">
        <v>1</v>
      </c>
      <c r="Q23" s="69" t="n">
        <v>721009</v>
      </c>
      <c r="R23" s="69" t="n">
        <v>999633</v>
      </c>
    </row>
    <row r="24">
      <c r="A24" s="4" t="inlineStr">
        <is>
          <t>P22</t>
        </is>
      </c>
      <c r="B24" s="80" t="n">
        <v>8960</v>
      </c>
      <c r="C24" s="80" t="n">
        <v>4968</v>
      </c>
      <c r="D24" s="69" t="n">
        <v>73195</v>
      </c>
      <c r="E24" s="69" t="n">
        <v>414773</v>
      </c>
      <c r="F24" s="69" t="n">
        <v>350000</v>
      </c>
      <c r="G24" s="69" t="n">
        <v>192500</v>
      </c>
      <c r="H24" s="69" t="n">
        <v>200000</v>
      </c>
      <c r="I24" s="77" t="b">
        <v>1</v>
      </c>
      <c r="J24" s="77" t="b">
        <v>0</v>
      </c>
      <c r="K24" s="77" t="b">
        <v>0</v>
      </c>
      <c r="L24" s="77" t="b">
        <v>1</v>
      </c>
      <c r="M24" s="77" t="b">
        <v>1</v>
      </c>
      <c r="N24" s="77" t="b">
        <v>0</v>
      </c>
      <c r="O24" s="77" t="b">
        <v>0</v>
      </c>
      <c r="P24" s="77" t="b">
        <v>1</v>
      </c>
      <c r="Q24" s="69" t="n">
        <v>732027</v>
      </c>
      <c r="R24" s="69" t="n">
        <v>1377564</v>
      </c>
    </row>
    <row r="25">
      <c r="A25" s="4" t="inlineStr">
        <is>
          <t>P23</t>
        </is>
      </c>
      <c r="B25" s="80" t="n">
        <v>10920</v>
      </c>
      <c r="C25" s="80" t="n">
        <v>8184</v>
      </c>
      <c r="D25" s="69" t="n">
        <v>62496</v>
      </c>
      <c r="E25" s="69" t="n">
        <v>354144</v>
      </c>
      <c r="F25" s="69" t="n">
        <v>650000</v>
      </c>
      <c r="G25" s="69" t="n">
        <v>357500</v>
      </c>
      <c r="H25" s="69" t="n">
        <v>655200</v>
      </c>
      <c r="I25" s="77" t="b">
        <v>1</v>
      </c>
      <c r="J25" s="77" t="b">
        <v>1</v>
      </c>
      <c r="K25" s="77" t="b">
        <v>0</v>
      </c>
      <c r="L25" s="77" t="b">
        <v>0</v>
      </c>
      <c r="M25" s="77" t="b">
        <v>1</v>
      </c>
      <c r="N25" s="77" t="b">
        <v>0</v>
      </c>
      <c r="O25" s="77" t="b">
        <v>0</v>
      </c>
      <c r="P25" s="77" t="b">
        <v>1</v>
      </c>
      <c r="Q25" s="69" t="n">
        <v>1246285</v>
      </c>
      <c r="R25" s="69" t="n">
        <v>1043015</v>
      </c>
    </row>
    <row r="26">
      <c r="A26" s="4" t="inlineStr">
        <is>
          <t>P24</t>
        </is>
      </c>
      <c r="B26" s="80" t="n">
        <v>3425</v>
      </c>
      <c r="C26" s="80" t="n">
        <v>1849.5</v>
      </c>
      <c r="D26" s="69" t="n">
        <v>4007</v>
      </c>
      <c r="E26" s="69" t="n">
        <v>22708</v>
      </c>
      <c r="F26" s="69" t="n">
        <v>0</v>
      </c>
      <c r="G26" s="69" t="n">
        <v>0</v>
      </c>
      <c r="H26" s="69" t="n">
        <v>0</v>
      </c>
      <c r="I26" s="77" t="b">
        <v>1</v>
      </c>
      <c r="J26" s="77" t="b">
        <v>0</v>
      </c>
      <c r="K26" s="77" t="b">
        <v>0</v>
      </c>
      <c r="L26" s="77" t="b">
        <v>1</v>
      </c>
      <c r="M26" s="77" t="b">
        <v>1</v>
      </c>
      <c r="N26" s="77" t="b">
        <v>0</v>
      </c>
      <c r="O26" s="77" t="b">
        <v>1</v>
      </c>
      <c r="P26" s="77" t="b">
        <v>0</v>
      </c>
      <c r="Q26" s="69" t="n">
        <v>426642</v>
      </c>
      <c r="R26" s="69" t="n">
        <v>815448</v>
      </c>
    </row>
    <row r="27">
      <c r="A27" s="4" t="inlineStr">
        <is>
          <t>P25</t>
        </is>
      </c>
      <c r="B27" s="80" t="n">
        <v>4325</v>
      </c>
      <c r="C27" s="80" t="n">
        <v>3351.88</v>
      </c>
      <c r="D27" s="69" t="n">
        <v>14889</v>
      </c>
      <c r="E27" s="69" t="n">
        <v>84370</v>
      </c>
      <c r="F27" s="69" t="n">
        <v>0</v>
      </c>
      <c r="G27" s="69" t="n">
        <v>0</v>
      </c>
      <c r="H27" s="69" t="n">
        <v>259500</v>
      </c>
      <c r="I27" s="77" t="b">
        <v>1</v>
      </c>
      <c r="J27" s="77" t="b">
        <v>0</v>
      </c>
      <c r="K27" s="77" t="b">
        <v>0</v>
      </c>
      <c r="L27" s="77" t="b">
        <v>1</v>
      </c>
      <c r="M27" s="77" t="b">
        <v>1</v>
      </c>
      <c r="N27" s="77" t="b">
        <v>0</v>
      </c>
      <c r="O27" s="77" t="b">
        <v>1</v>
      </c>
      <c r="P27" s="77" t="b">
        <v>0</v>
      </c>
      <c r="Q27" s="69" t="n">
        <v>429120</v>
      </c>
      <c r="R27" s="69" t="n">
        <v>858583</v>
      </c>
    </row>
    <row r="28">
      <c r="A28" s="4" t="inlineStr">
        <is>
          <t>P26</t>
        </is>
      </c>
      <c r="B28" s="80" t="n">
        <v>21710</v>
      </c>
      <c r="C28" s="80" t="n">
        <v>14579.75</v>
      </c>
      <c r="D28" s="69" t="n">
        <v>154294</v>
      </c>
      <c r="E28" s="69" t="n">
        <v>874333</v>
      </c>
      <c r="F28" s="69" t="n">
        <v>850000</v>
      </c>
      <c r="G28" s="69" t="n">
        <v>467500</v>
      </c>
      <c r="H28" s="69" t="n">
        <v>1302600</v>
      </c>
      <c r="I28" s="77" t="b">
        <v>0</v>
      </c>
      <c r="J28" s="77" t="b">
        <v>1</v>
      </c>
      <c r="K28" s="77" t="b">
        <v>0</v>
      </c>
      <c r="L28" s="77" t="b">
        <v>1</v>
      </c>
      <c r="M28" s="77" t="b">
        <v>1</v>
      </c>
      <c r="N28" s="77" t="b">
        <v>0</v>
      </c>
      <c r="O28" s="77" t="b">
        <v>0</v>
      </c>
      <c r="P28" s="77" t="b">
        <v>1</v>
      </c>
      <c r="Q28" s="69" t="n">
        <v>2050866</v>
      </c>
      <c r="R28" s="69" t="n">
        <v>4550270</v>
      </c>
    </row>
    <row r="29">
      <c r="A29" s="4" t="inlineStr">
        <is>
          <t>P27</t>
        </is>
      </c>
      <c r="B29" s="80" t="n">
        <v>6200</v>
      </c>
      <c r="C29" s="80" t="n">
        <v>3871.13</v>
      </c>
      <c r="D29" s="69" t="n">
        <v>77164</v>
      </c>
      <c r="E29" s="69" t="n">
        <v>437264</v>
      </c>
      <c r="F29" s="69" t="n">
        <v>350000</v>
      </c>
      <c r="G29" s="69" t="n">
        <v>192500</v>
      </c>
      <c r="H29" s="69" t="n">
        <v>200000</v>
      </c>
      <c r="I29" s="77" t="b">
        <v>1</v>
      </c>
      <c r="J29" s="77" t="b">
        <v>0</v>
      </c>
      <c r="K29" s="77" t="b">
        <v>0</v>
      </c>
      <c r="L29" s="77" t="b">
        <v>1</v>
      </c>
      <c r="M29" s="77" t="b">
        <v>1</v>
      </c>
      <c r="N29" s="77" t="b">
        <v>0</v>
      </c>
      <c r="O29" s="77" t="b">
        <v>0</v>
      </c>
      <c r="P29" s="77" t="b">
        <v>1</v>
      </c>
      <c r="Q29" s="69" t="n">
        <v>612906</v>
      </c>
      <c r="R29" s="69" t="n">
        <v>770148</v>
      </c>
    </row>
    <row r="30">
      <c r="A30" s="4" t="inlineStr">
        <is>
          <t>P28</t>
        </is>
      </c>
      <c r="B30" s="80" t="n">
        <v>3800</v>
      </c>
      <c r="C30" s="80" t="n">
        <v>2204</v>
      </c>
      <c r="D30" s="69" t="n">
        <v>7524</v>
      </c>
      <c r="E30" s="69" t="n">
        <v>42636</v>
      </c>
      <c r="F30" s="69" t="n">
        <v>0</v>
      </c>
      <c r="G30" s="69" t="n">
        <v>0</v>
      </c>
      <c r="H30" s="69" t="n">
        <v>228000</v>
      </c>
      <c r="I30" s="77" t="b">
        <v>1</v>
      </c>
      <c r="J30" s="77" t="b">
        <v>0</v>
      </c>
      <c r="K30" s="77" t="b">
        <v>0</v>
      </c>
      <c r="L30" s="77" t="b">
        <v>1</v>
      </c>
      <c r="M30" s="77" t="b">
        <v>1</v>
      </c>
      <c r="N30" s="77" t="b">
        <v>0</v>
      </c>
      <c r="O30" s="77" t="b">
        <v>1</v>
      </c>
      <c r="P30" s="77" t="b">
        <v>0</v>
      </c>
      <c r="Q30" s="69" t="n">
        <v>420174</v>
      </c>
      <c r="R30" s="69" t="n">
        <v>604652</v>
      </c>
    </row>
    <row r="31">
      <c r="A31" s="4" t="inlineStr">
        <is>
          <t>P29</t>
        </is>
      </c>
      <c r="B31" s="80" t="n">
        <v>4850</v>
      </c>
      <c r="C31" s="80" t="n">
        <v>3395</v>
      </c>
      <c r="D31" s="69" t="n">
        <v>10476</v>
      </c>
      <c r="E31" s="69" t="n">
        <v>59364</v>
      </c>
      <c r="F31" s="69" t="n">
        <v>350000</v>
      </c>
      <c r="G31" s="69" t="n">
        <v>192500</v>
      </c>
      <c r="H31" s="69" t="n">
        <v>291000</v>
      </c>
      <c r="I31" s="77" t="b">
        <v>1</v>
      </c>
      <c r="J31" s="77" t="b">
        <v>0</v>
      </c>
      <c r="K31" s="77" t="b">
        <v>0</v>
      </c>
      <c r="L31" s="77" t="b">
        <v>1</v>
      </c>
      <c r="M31" s="77" t="b">
        <v>1</v>
      </c>
      <c r="N31" s="77" t="b">
        <v>0</v>
      </c>
      <c r="O31" s="77" t="b">
        <v>0</v>
      </c>
      <c r="P31" s="77" t="b">
        <v>1</v>
      </c>
      <c r="Q31" s="69" t="n">
        <v>561198</v>
      </c>
      <c r="R31" s="69" t="n">
        <v>935189</v>
      </c>
    </row>
    <row r="32">
      <c r="A32" s="4" t="inlineStr">
        <is>
          <t>P30</t>
        </is>
      </c>
      <c r="B32" s="80" t="n">
        <v>5825</v>
      </c>
      <c r="C32" s="80" t="n">
        <v>3702.18</v>
      </c>
      <c r="D32" s="69" t="n">
        <v>35792</v>
      </c>
      <c r="E32" s="69" t="n">
        <v>202819</v>
      </c>
      <c r="F32" s="69" t="n">
        <v>350000</v>
      </c>
      <c r="G32" s="69" t="n">
        <v>192500</v>
      </c>
      <c r="H32" s="69" t="n">
        <v>349500</v>
      </c>
      <c r="I32" s="77" t="b">
        <v>1</v>
      </c>
      <c r="J32" s="77" t="b">
        <v>0</v>
      </c>
      <c r="K32" s="77" t="b">
        <v>0</v>
      </c>
      <c r="L32" s="77" t="b">
        <v>1</v>
      </c>
      <c r="M32" s="77" t="b">
        <v>1</v>
      </c>
      <c r="N32" s="77" t="b">
        <v>0</v>
      </c>
      <c r="O32" s="77" t="b">
        <v>0</v>
      </c>
      <c r="P32" s="77" t="b">
        <v>1</v>
      </c>
      <c r="Q32" s="69" t="n">
        <v>594558</v>
      </c>
      <c r="R32" s="69" t="n">
        <v>1065393</v>
      </c>
    </row>
    <row r="33">
      <c r="A33" s="4" t="inlineStr">
        <is>
          <t>P31</t>
        </is>
      </c>
      <c r="B33" s="80" t="n">
        <v>4305</v>
      </c>
      <c r="C33" s="80" t="n">
        <v>2324.7</v>
      </c>
      <c r="D33" s="69" t="n">
        <v>3022</v>
      </c>
      <c r="E33" s="69" t="n">
        <v>17125</v>
      </c>
      <c r="F33" s="69" t="n">
        <v>0</v>
      </c>
      <c r="G33" s="69" t="n">
        <v>0</v>
      </c>
      <c r="H33" s="69" t="n">
        <v>0</v>
      </c>
      <c r="I33" s="77" t="b">
        <v>1</v>
      </c>
      <c r="J33" s="77" t="b">
        <v>0</v>
      </c>
      <c r="K33" s="77" t="b">
        <v>0</v>
      </c>
      <c r="L33" s="77" t="b">
        <v>1</v>
      </c>
      <c r="M33" s="77" t="b">
        <v>1</v>
      </c>
      <c r="N33" s="77" t="b">
        <v>0</v>
      </c>
      <c r="O33" s="77" t="b">
        <v>1</v>
      </c>
      <c r="P33" s="77" t="b">
        <v>0</v>
      </c>
      <c r="Q33" s="69" t="n">
        <v>553871</v>
      </c>
      <c r="R33" s="69" t="n">
        <v>1023819</v>
      </c>
    </row>
    <row r="34">
      <c r="A34" s="4" t="inlineStr">
        <is>
          <t>P32</t>
        </is>
      </c>
      <c r="B34" s="80" t="n">
        <v>6230</v>
      </c>
      <c r="C34" s="80" t="n">
        <v>3364.2</v>
      </c>
      <c r="D34" s="69" t="n">
        <v>11663</v>
      </c>
      <c r="E34" s="69" t="n">
        <v>66088</v>
      </c>
      <c r="F34" s="69" t="n">
        <v>0</v>
      </c>
      <c r="G34" s="69" t="n">
        <v>0</v>
      </c>
      <c r="H34" s="69" t="n">
        <v>0</v>
      </c>
      <c r="I34" s="77" t="b">
        <v>1</v>
      </c>
      <c r="J34" s="77" t="b">
        <v>0</v>
      </c>
      <c r="K34" s="77" t="b">
        <v>0</v>
      </c>
      <c r="L34" s="77" t="b">
        <v>1</v>
      </c>
      <c r="M34" s="77" t="b">
        <v>1</v>
      </c>
      <c r="N34" s="77" t="b">
        <v>0</v>
      </c>
      <c r="O34" s="77" t="b">
        <v>1</v>
      </c>
      <c r="P34" s="77" t="b">
        <v>0</v>
      </c>
      <c r="Q34" s="69" t="n">
        <v>696727</v>
      </c>
      <c r="R34" s="69" t="n">
        <v>1075293</v>
      </c>
    </row>
    <row r="35">
      <c r="A35" s="4" t="inlineStr">
        <is>
          <t>P33</t>
        </is>
      </c>
      <c r="B35" s="80" t="n">
        <v>7420</v>
      </c>
      <c r="C35" s="80" t="n">
        <v>4303.6</v>
      </c>
      <c r="D35" s="69" t="n">
        <v>22037</v>
      </c>
      <c r="E35" s="69" t="n">
        <v>124879</v>
      </c>
      <c r="F35" s="69" t="n">
        <v>350000</v>
      </c>
      <c r="G35" s="69" t="n">
        <v>192500</v>
      </c>
      <c r="H35" s="69" t="n">
        <v>445200</v>
      </c>
      <c r="I35" s="77" t="b">
        <v>1</v>
      </c>
      <c r="J35" s="77" t="b">
        <v>0</v>
      </c>
      <c r="K35" s="77" t="b">
        <v>0</v>
      </c>
      <c r="L35" s="77" t="b">
        <v>1</v>
      </c>
      <c r="M35" s="77" t="b">
        <v>1</v>
      </c>
      <c r="N35" s="77" t="b">
        <v>0</v>
      </c>
      <c r="O35" s="77" t="b">
        <v>0</v>
      </c>
      <c r="P35" s="77" t="b">
        <v>1</v>
      </c>
      <c r="Q35" s="69" t="n">
        <v>824031</v>
      </c>
      <c r="R35" s="69" t="n">
        <v>1636203</v>
      </c>
    </row>
    <row r="36">
      <c r="A36" s="4" t="inlineStr">
        <is>
          <t>P34</t>
        </is>
      </c>
      <c r="B36" s="80" t="n">
        <v>4700</v>
      </c>
      <c r="C36" s="80" t="n">
        <v>2914</v>
      </c>
      <c r="D36" s="69" t="n">
        <v>16751</v>
      </c>
      <c r="E36" s="69" t="n">
        <v>94921</v>
      </c>
      <c r="F36" s="69" t="n">
        <v>350000</v>
      </c>
      <c r="G36" s="69" t="n">
        <v>192500</v>
      </c>
      <c r="H36" s="69" t="n">
        <v>282000</v>
      </c>
      <c r="I36" s="77" t="b">
        <v>1</v>
      </c>
      <c r="J36" s="77" t="b">
        <v>0</v>
      </c>
      <c r="K36" s="77" t="b">
        <v>0</v>
      </c>
      <c r="L36" s="77" t="b">
        <v>1</v>
      </c>
      <c r="M36" s="77" t="b">
        <v>1</v>
      </c>
      <c r="N36" s="77" t="b">
        <v>0</v>
      </c>
      <c r="O36" s="77" t="b">
        <v>0</v>
      </c>
      <c r="P36" s="77" t="b">
        <v>1</v>
      </c>
      <c r="Q36" s="69" t="n">
        <v>508961</v>
      </c>
      <c r="R36" s="69" t="n">
        <v>600516</v>
      </c>
    </row>
    <row r="37">
      <c r="A37" s="4" t="inlineStr">
        <is>
          <t>P35</t>
        </is>
      </c>
      <c r="B37" s="80" t="n">
        <v>5150</v>
      </c>
      <c r="C37" s="80" t="n">
        <v>3991.25</v>
      </c>
      <c r="D37" s="69" t="n">
        <v>29200</v>
      </c>
      <c r="E37" s="69" t="n">
        <v>165470</v>
      </c>
      <c r="F37" s="69" t="n">
        <v>350000</v>
      </c>
      <c r="G37" s="69" t="n">
        <v>192500</v>
      </c>
      <c r="H37" s="69" t="n">
        <v>309000</v>
      </c>
      <c r="I37" s="77" t="b">
        <v>1</v>
      </c>
      <c r="J37" s="77" t="b">
        <v>0</v>
      </c>
      <c r="K37" s="77" t="b">
        <v>0</v>
      </c>
      <c r="L37" s="77" t="b">
        <v>1</v>
      </c>
      <c r="M37" s="77" t="b">
        <v>1</v>
      </c>
      <c r="N37" s="77" t="b">
        <v>0</v>
      </c>
      <c r="O37" s="77" t="b">
        <v>0</v>
      </c>
      <c r="P37" s="77" t="b">
        <v>1</v>
      </c>
      <c r="Q37" s="69" t="n">
        <v>625951</v>
      </c>
      <c r="R37" s="69" t="n">
        <v>1276508</v>
      </c>
    </row>
    <row r="38">
      <c r="A38" s="4" t="inlineStr">
        <is>
          <t>P36</t>
        </is>
      </c>
      <c r="B38" s="80" t="n">
        <v>14690</v>
      </c>
      <c r="C38" s="80" t="n">
        <v>9490.25</v>
      </c>
      <c r="D38" s="69" t="n">
        <v>42117</v>
      </c>
      <c r="E38" s="69" t="n">
        <v>238663</v>
      </c>
      <c r="F38" s="69" t="n">
        <v>650000</v>
      </c>
      <c r="G38" s="69" t="n">
        <v>357500</v>
      </c>
      <c r="H38" s="69" t="n">
        <v>881400</v>
      </c>
      <c r="I38" s="77" t="b">
        <v>1</v>
      </c>
      <c r="J38" s="77" t="b">
        <v>1</v>
      </c>
      <c r="K38" s="77" t="b">
        <v>0</v>
      </c>
      <c r="L38" s="77" t="b">
        <v>0</v>
      </c>
      <c r="M38" s="77" t="b">
        <v>1</v>
      </c>
      <c r="N38" s="77" t="b">
        <v>0</v>
      </c>
      <c r="O38" s="77" t="b">
        <v>0</v>
      </c>
      <c r="P38" s="77" t="b">
        <v>1</v>
      </c>
      <c r="Q38" s="69" t="n">
        <v>1921395</v>
      </c>
      <c r="R38" s="69" t="n">
        <v>3058713</v>
      </c>
    </row>
    <row r="39">
      <c r="A39" s="4" t="inlineStr">
        <is>
          <t>P37</t>
        </is>
      </c>
      <c r="B39" s="80" t="n">
        <v>5675</v>
      </c>
      <c r="C39" s="80" t="n">
        <v>3141.45</v>
      </c>
      <c r="D39" s="69" t="n">
        <v>47645</v>
      </c>
      <c r="E39" s="69" t="n">
        <v>269990</v>
      </c>
      <c r="F39" s="69" t="n">
        <v>350000</v>
      </c>
      <c r="G39" s="69" t="n">
        <v>192500</v>
      </c>
      <c r="H39" s="69" t="n">
        <v>200000</v>
      </c>
      <c r="I39" s="77" t="b">
        <v>1</v>
      </c>
      <c r="J39" s="77" t="b">
        <v>0</v>
      </c>
      <c r="K39" s="77" t="b">
        <v>0</v>
      </c>
      <c r="L39" s="77" t="b">
        <v>1</v>
      </c>
      <c r="M39" s="77" t="b">
        <v>1</v>
      </c>
      <c r="N39" s="77" t="b">
        <v>0</v>
      </c>
      <c r="O39" s="77" t="b">
        <v>0</v>
      </c>
      <c r="P39" s="77" t="b">
        <v>1</v>
      </c>
      <c r="Q39" s="69" t="n">
        <v>533663</v>
      </c>
      <c r="R39" s="69" t="n">
        <v>855201</v>
      </c>
    </row>
    <row r="40">
      <c r="A40" s="4" t="inlineStr">
        <is>
          <t>P38</t>
        </is>
      </c>
      <c r="B40" s="80" t="n">
        <v>6125</v>
      </c>
      <c r="C40" s="80" t="n">
        <v>4422</v>
      </c>
      <c r="D40" s="69" t="n">
        <v>34612</v>
      </c>
      <c r="E40" s="69" t="n">
        <v>196136</v>
      </c>
      <c r="F40" s="69" t="n">
        <v>350000</v>
      </c>
      <c r="G40" s="69" t="n">
        <v>192500</v>
      </c>
      <c r="H40" s="69" t="n">
        <v>367500</v>
      </c>
      <c r="I40" s="77" t="b">
        <v>1</v>
      </c>
      <c r="J40" s="77" t="b">
        <v>0</v>
      </c>
      <c r="K40" s="77" t="b">
        <v>0</v>
      </c>
      <c r="L40" s="77" t="b">
        <v>1</v>
      </c>
      <c r="M40" s="77" t="b">
        <v>1</v>
      </c>
      <c r="N40" s="77" t="b">
        <v>0</v>
      </c>
      <c r="O40" s="77" t="b">
        <v>0</v>
      </c>
      <c r="P40" s="77" t="b">
        <v>1</v>
      </c>
      <c r="Q40" s="69" t="n">
        <v>672731</v>
      </c>
      <c r="R40" s="69" t="n">
        <v>553288</v>
      </c>
    </row>
    <row r="41">
      <c r="A41" s="4" t="inlineStr">
        <is>
          <t>P39</t>
        </is>
      </c>
      <c r="B41" s="80" t="n">
        <v>3500</v>
      </c>
      <c r="C41" s="80" t="n">
        <v>1890</v>
      </c>
      <c r="D41" s="69" t="n">
        <v>4914</v>
      </c>
      <c r="E41" s="69" t="n">
        <v>27846</v>
      </c>
      <c r="F41" s="69" t="n">
        <v>0</v>
      </c>
      <c r="G41" s="69" t="n">
        <v>0</v>
      </c>
      <c r="H41" s="69" t="n">
        <v>0</v>
      </c>
      <c r="I41" s="77" t="b">
        <v>1</v>
      </c>
      <c r="J41" s="77" t="b">
        <v>0</v>
      </c>
      <c r="K41" s="77" t="b">
        <v>0</v>
      </c>
      <c r="L41" s="77" t="b">
        <v>1</v>
      </c>
      <c r="M41" s="77" t="b">
        <v>1</v>
      </c>
      <c r="N41" s="77" t="b">
        <v>0</v>
      </c>
      <c r="O41" s="77" t="b">
        <v>1</v>
      </c>
      <c r="P41" s="77" t="b">
        <v>0</v>
      </c>
      <c r="Q41" s="69" t="n">
        <v>421402</v>
      </c>
      <c r="R41" s="69" t="n">
        <v>818110</v>
      </c>
    </row>
    <row r="42">
      <c r="A42" s="4" t="inlineStr">
        <is>
          <t>P40</t>
        </is>
      </c>
      <c r="B42" s="80" t="n">
        <v>4400</v>
      </c>
      <c r="C42" s="80" t="n">
        <v>3410</v>
      </c>
      <c r="D42" s="69" t="n">
        <v>16038</v>
      </c>
      <c r="E42" s="69" t="n">
        <v>90882</v>
      </c>
      <c r="F42" s="69" t="n">
        <v>0</v>
      </c>
      <c r="G42" s="69" t="n">
        <v>0</v>
      </c>
      <c r="H42" s="69" t="n">
        <v>264000</v>
      </c>
      <c r="I42" s="77" t="b">
        <v>1</v>
      </c>
      <c r="J42" s="77" t="b">
        <v>0</v>
      </c>
      <c r="K42" s="77" t="b">
        <v>0</v>
      </c>
      <c r="L42" s="77" t="b">
        <v>1</v>
      </c>
      <c r="M42" s="77" t="b">
        <v>1</v>
      </c>
      <c r="N42" s="77" t="b">
        <v>0</v>
      </c>
      <c r="O42" s="77" t="b">
        <v>1</v>
      </c>
      <c r="P42" s="77" t="b">
        <v>0</v>
      </c>
      <c r="Q42" s="69" t="n">
        <v>403748</v>
      </c>
      <c r="R42" s="69" t="n">
        <v>857544</v>
      </c>
    </row>
    <row r="43">
      <c r="A43" s="4" t="inlineStr">
        <is>
          <t>P41</t>
        </is>
      </c>
      <c r="B43" s="80" t="n">
        <v>7350</v>
      </c>
      <c r="C43" s="80" t="n">
        <v>4263</v>
      </c>
      <c r="D43" s="69" t="n">
        <v>46570</v>
      </c>
      <c r="E43" s="69" t="n">
        <v>263894</v>
      </c>
      <c r="F43" s="69" t="n">
        <v>350000</v>
      </c>
      <c r="G43" s="69" t="n">
        <v>192500</v>
      </c>
      <c r="H43" s="69" t="n">
        <v>441000</v>
      </c>
      <c r="I43" s="77" t="b">
        <v>1</v>
      </c>
      <c r="J43" s="77" t="b">
        <v>0</v>
      </c>
      <c r="K43" s="77" t="b">
        <v>0</v>
      </c>
      <c r="L43" s="77" t="b">
        <v>1</v>
      </c>
      <c r="M43" s="77" t="b">
        <v>1</v>
      </c>
      <c r="N43" s="77" t="b">
        <v>0</v>
      </c>
      <c r="O43" s="77" t="b">
        <v>0</v>
      </c>
      <c r="P43" s="77" t="b">
        <v>1</v>
      </c>
      <c r="Q43" s="69" t="n">
        <v>655463</v>
      </c>
      <c r="R43" s="69" t="n">
        <v>1306202</v>
      </c>
    </row>
    <row r="44">
      <c r="A44" s="4" t="inlineStr">
        <is>
          <t>P42</t>
        </is>
      </c>
      <c r="B44" s="80" t="n">
        <v>9800</v>
      </c>
      <c r="C44" s="80" t="n">
        <v>6210</v>
      </c>
      <c r="D44" s="69" t="n">
        <v>126477</v>
      </c>
      <c r="E44" s="69" t="n">
        <v>716703</v>
      </c>
      <c r="F44" s="69" t="n">
        <v>350000</v>
      </c>
      <c r="G44" s="69" t="n">
        <v>192500</v>
      </c>
      <c r="H44" s="69" t="n">
        <v>200000</v>
      </c>
      <c r="I44" s="77" t="b">
        <v>1</v>
      </c>
      <c r="J44" s="77" t="b">
        <v>0</v>
      </c>
      <c r="K44" s="77" t="b">
        <v>0</v>
      </c>
      <c r="L44" s="77" t="b">
        <v>1</v>
      </c>
      <c r="M44" s="77" t="b">
        <v>1</v>
      </c>
      <c r="N44" s="77" t="b">
        <v>0</v>
      </c>
      <c r="O44" s="77" t="b">
        <v>0</v>
      </c>
      <c r="P44" s="77" t="b">
        <v>1</v>
      </c>
      <c r="Q44" s="69" t="n">
        <v>866908</v>
      </c>
      <c r="R44" s="69" t="n">
        <v>1235459</v>
      </c>
    </row>
    <row r="45">
      <c r="A45" s="4" t="inlineStr">
        <is>
          <t>P43</t>
        </is>
      </c>
      <c r="B45" s="80" t="n">
        <v>6860</v>
      </c>
      <c r="C45" s="80" t="n">
        <v>3978.8</v>
      </c>
      <c r="D45" s="69" t="n">
        <v>14941</v>
      </c>
      <c r="E45" s="69" t="n">
        <v>84666</v>
      </c>
      <c r="F45" s="69" t="n">
        <v>0</v>
      </c>
      <c r="G45" s="69" t="n">
        <v>0</v>
      </c>
      <c r="H45" s="69" t="n">
        <v>411600</v>
      </c>
      <c r="I45" s="77" t="b">
        <v>1</v>
      </c>
      <c r="J45" s="77" t="b">
        <v>0</v>
      </c>
      <c r="K45" s="77" t="b">
        <v>0</v>
      </c>
      <c r="L45" s="77" t="b">
        <v>1</v>
      </c>
      <c r="M45" s="77" t="b">
        <v>1</v>
      </c>
      <c r="N45" s="77" t="b">
        <v>0</v>
      </c>
      <c r="O45" s="77" t="b">
        <v>1</v>
      </c>
      <c r="P45" s="77" t="b">
        <v>0</v>
      </c>
      <c r="Q45" s="69" t="n">
        <v>724867</v>
      </c>
      <c r="R45" s="69" t="n">
        <v>1071652</v>
      </c>
    </row>
    <row r="46">
      <c r="A46" s="4" t="inlineStr">
        <is>
          <t>P44</t>
        </is>
      </c>
      <c r="B46" s="80" t="n">
        <v>4925</v>
      </c>
      <c r="C46" s="80" t="n">
        <v>3447.5</v>
      </c>
      <c r="D46" s="69" t="n">
        <v>11081</v>
      </c>
      <c r="E46" s="69" t="n">
        <v>62794</v>
      </c>
      <c r="F46" s="69" t="n">
        <v>350000</v>
      </c>
      <c r="G46" s="69" t="n">
        <v>192500</v>
      </c>
      <c r="H46" s="69" t="n">
        <v>295500</v>
      </c>
      <c r="I46" s="77" t="b">
        <v>1</v>
      </c>
      <c r="J46" s="77" t="b">
        <v>0</v>
      </c>
      <c r="K46" s="77" t="b">
        <v>0</v>
      </c>
      <c r="L46" s="77" t="b">
        <v>1</v>
      </c>
      <c r="M46" s="77" t="b">
        <v>1</v>
      </c>
      <c r="N46" s="77" t="b">
        <v>0</v>
      </c>
      <c r="O46" s="77" t="b">
        <v>0</v>
      </c>
      <c r="P46" s="77" t="b">
        <v>1</v>
      </c>
      <c r="Q46" s="69" t="n">
        <v>566900</v>
      </c>
      <c r="R46" s="69" t="n">
        <v>932334</v>
      </c>
    </row>
    <row r="47">
      <c r="A47" s="4" t="inlineStr">
        <is>
          <t>P45</t>
        </is>
      </c>
      <c r="B47" s="80" t="n">
        <v>5900</v>
      </c>
      <c r="C47" s="80" t="n">
        <v>3749.45</v>
      </c>
      <c r="D47" s="69" t="n">
        <v>37228</v>
      </c>
      <c r="E47" s="69" t="n">
        <v>210961</v>
      </c>
      <c r="F47" s="69" t="n">
        <v>350000</v>
      </c>
      <c r="G47" s="69" t="n">
        <v>192500</v>
      </c>
      <c r="H47" s="69" t="n">
        <v>354000</v>
      </c>
      <c r="I47" s="77" t="b">
        <v>1</v>
      </c>
      <c r="J47" s="77" t="b">
        <v>0</v>
      </c>
      <c r="K47" s="77" t="b">
        <v>0</v>
      </c>
      <c r="L47" s="77" t="b">
        <v>1</v>
      </c>
      <c r="M47" s="77" t="b">
        <v>1</v>
      </c>
      <c r="N47" s="77" t="b">
        <v>0</v>
      </c>
      <c r="O47" s="77" t="b">
        <v>0</v>
      </c>
      <c r="P47" s="77" t="b">
        <v>1</v>
      </c>
      <c r="Q47" s="69" t="n">
        <v>599692</v>
      </c>
      <c r="R47" s="69" t="n">
        <v>1059322</v>
      </c>
    </row>
    <row r="48">
      <c r="A48" s="4" t="inlineStr">
        <is>
          <t>P46</t>
        </is>
      </c>
      <c r="B48" s="80" t="n">
        <v>10400</v>
      </c>
      <c r="C48" s="80" t="n">
        <v>5940</v>
      </c>
      <c r="D48" s="69" t="n">
        <v>2574</v>
      </c>
      <c r="E48" s="69" t="n">
        <v>14586</v>
      </c>
      <c r="F48" s="69" t="n">
        <v>0</v>
      </c>
      <c r="G48" s="69" t="n">
        <v>0</v>
      </c>
      <c r="H48" s="69" t="n">
        <v>0</v>
      </c>
      <c r="I48" s="77" t="b">
        <v>1</v>
      </c>
      <c r="J48" s="77" t="b">
        <v>0</v>
      </c>
      <c r="K48" s="77" t="b">
        <v>0</v>
      </c>
      <c r="L48" s="77" t="b">
        <v>1</v>
      </c>
      <c r="M48" s="77" t="b">
        <v>1</v>
      </c>
      <c r="N48" s="77" t="b">
        <v>0</v>
      </c>
      <c r="O48" s="77" t="b">
        <v>1</v>
      </c>
      <c r="P48" s="77" t="b">
        <v>0</v>
      </c>
      <c r="Q48" s="69" t="n">
        <v>1415232</v>
      </c>
      <c r="R48" s="69" t="n">
        <v>2714105</v>
      </c>
    </row>
    <row r="49">
      <c r="A49" s="4" t="inlineStr">
        <is>
          <t>P47</t>
        </is>
      </c>
      <c r="B49" s="80" t="n">
        <v>3500</v>
      </c>
      <c r="C49" s="80" t="n">
        <v>1890</v>
      </c>
      <c r="D49" s="69" t="n">
        <v>4914</v>
      </c>
      <c r="E49" s="69" t="n">
        <v>27846</v>
      </c>
      <c r="F49" s="69" t="n">
        <v>0</v>
      </c>
      <c r="G49" s="69" t="n">
        <v>0</v>
      </c>
      <c r="H49" s="69" t="n">
        <v>0</v>
      </c>
      <c r="I49" s="77" t="b">
        <v>1</v>
      </c>
      <c r="J49" s="77" t="b">
        <v>0</v>
      </c>
      <c r="K49" s="77" t="b">
        <v>0</v>
      </c>
      <c r="L49" s="77" t="b">
        <v>1</v>
      </c>
      <c r="M49" s="77" t="b">
        <v>1</v>
      </c>
      <c r="N49" s="77" t="b">
        <v>0</v>
      </c>
      <c r="O49" s="77" t="b">
        <v>1</v>
      </c>
      <c r="P49" s="77" t="b">
        <v>0</v>
      </c>
      <c r="Q49" s="69" t="n">
        <v>421402</v>
      </c>
      <c r="R49" s="69" t="n">
        <v>626745</v>
      </c>
    </row>
    <row r="50">
      <c r="A50" s="4" t="inlineStr">
        <is>
          <t>P48</t>
        </is>
      </c>
      <c r="B50" s="80" t="n">
        <v>4025</v>
      </c>
      <c r="C50" s="80" t="n">
        <v>2334.5</v>
      </c>
      <c r="D50" s="69" t="n">
        <v>10360</v>
      </c>
      <c r="E50" s="69" t="n">
        <v>58709</v>
      </c>
      <c r="F50" s="69" t="n">
        <v>350000</v>
      </c>
      <c r="G50" s="69" t="n">
        <v>192500</v>
      </c>
      <c r="H50" s="69" t="n">
        <v>241500</v>
      </c>
      <c r="I50" s="77" t="b">
        <v>1</v>
      </c>
      <c r="J50" s="77" t="b">
        <v>0</v>
      </c>
      <c r="K50" s="77" t="b">
        <v>0</v>
      </c>
      <c r="L50" s="77" t="b">
        <v>1</v>
      </c>
      <c r="M50" s="77" t="b">
        <v>1</v>
      </c>
      <c r="N50" s="77" t="b">
        <v>0</v>
      </c>
      <c r="O50" s="77" t="b">
        <v>0</v>
      </c>
      <c r="P50" s="77" t="b">
        <v>1</v>
      </c>
      <c r="Q50" s="69" t="n">
        <v>577202</v>
      </c>
      <c r="R50" s="69" t="n">
        <v>920838</v>
      </c>
    </row>
    <row r="51">
      <c r="A51" s="4" t="inlineStr">
        <is>
          <t>P49</t>
        </is>
      </c>
      <c r="B51" s="80" t="n">
        <v>4550</v>
      </c>
      <c r="C51" s="80" t="n">
        <v>2821</v>
      </c>
      <c r="D51" s="69" t="n">
        <v>14742</v>
      </c>
      <c r="E51" s="69" t="n">
        <v>83538</v>
      </c>
      <c r="F51" s="69" t="n">
        <v>350000</v>
      </c>
      <c r="G51" s="69" t="n">
        <v>192500</v>
      </c>
      <c r="H51" s="69" t="n">
        <v>273000</v>
      </c>
      <c r="I51" s="77" t="b">
        <v>1</v>
      </c>
      <c r="J51" s="77" t="b">
        <v>0</v>
      </c>
      <c r="K51" s="77" t="b">
        <v>0</v>
      </c>
      <c r="L51" s="77" t="b">
        <v>1</v>
      </c>
      <c r="M51" s="77" t="b">
        <v>1</v>
      </c>
      <c r="N51" s="77" t="b">
        <v>0</v>
      </c>
      <c r="O51" s="77" t="b">
        <v>0</v>
      </c>
      <c r="P51" s="77" t="b">
        <v>1</v>
      </c>
      <c r="Q51" s="69" t="n">
        <v>498862</v>
      </c>
      <c r="R51" s="69" t="n">
        <v>603146</v>
      </c>
    </row>
    <row r="52">
      <c r="A52" s="4" t="inlineStr">
        <is>
          <t>P50</t>
        </is>
      </c>
      <c r="B52" s="80" t="n">
        <v>5000</v>
      </c>
      <c r="C52" s="80" t="n">
        <v>3875</v>
      </c>
      <c r="D52" s="69" t="n">
        <v>26325</v>
      </c>
      <c r="E52" s="69" t="n">
        <v>149175</v>
      </c>
      <c r="F52" s="69" t="n">
        <v>350000</v>
      </c>
      <c r="G52" s="69" t="n">
        <v>192500</v>
      </c>
      <c r="H52" s="69" t="n">
        <v>300000</v>
      </c>
      <c r="I52" s="77" t="b">
        <v>1</v>
      </c>
      <c r="J52" s="77" t="b">
        <v>0</v>
      </c>
      <c r="K52" s="77" t="b">
        <v>0</v>
      </c>
      <c r="L52" s="77" t="b">
        <v>1</v>
      </c>
      <c r="M52" s="77" t="b">
        <v>1</v>
      </c>
      <c r="N52" s="77" t="b">
        <v>0</v>
      </c>
      <c r="O52" s="77" t="b">
        <v>0</v>
      </c>
      <c r="P52" s="77" t="b">
        <v>1</v>
      </c>
      <c r="Q52" s="69" t="n">
        <v>613326</v>
      </c>
      <c r="R52" s="69"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2026-09-26T07:33:08Z</dcterms:created>
  <dcterms:modified xmlns:dcterms="http://purl.org/dc/terms/" xmlns:xsi="http://www.w3.org/2001/XMLSchema-instance" xsi:type="dcterms:W3CDTF">2026-09-26T07:33:09Z</dcterms:modified>
</cp:coreProperties>
</file>