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ictionary" sheetId="2" state="visible" r:id="rId2"/>
    <sheet xmlns:r="http://schemas.openxmlformats.org/officeDocument/2006/relationships" name="Selected persona" sheetId="3" state="visible" r:id="rId3"/>
    <sheet xmlns:r="http://schemas.openxmlformats.org/officeDocument/2006/relationships" name="Personas" sheetId="4" state="visible" r:id="rId4"/>
    <sheet xmlns:r="http://schemas.openxmlformats.org/officeDocument/2006/relationships" name="CPF" sheetId="5" state="visible" r:id="rId5"/>
    <sheet xmlns:r="http://schemas.openxmlformats.org/officeDocument/2006/relationships" name="People Like You" sheetId="6" state="visible" r:id="rId6"/>
    <sheet xmlns:r="http://schemas.openxmlformats.org/officeDocument/2006/relationships" name="Need Profiler" sheetId="7" state="visible" r:id="rId7"/>
    <sheet xmlns:r="http://schemas.openxmlformats.org/officeDocument/2006/relationships" name="Need Calculator" sheetId="8" state="visible" r:id="rId8"/>
    <sheet xmlns:r="http://schemas.openxmlformats.org/officeDocument/2006/relationships" name="Plan Calculator" sheetId="9" state="visible" r:id="rId9"/>
    <sheet xmlns:r="http://schemas.openxmlformats.org/officeDocument/2006/relationships" name="Budget Calculator" sheetId="10" state="visible" r:id="rId10"/>
    <sheet xmlns:r="http://schemas.openxmlformats.org/officeDocument/2006/relationships" name="Scenario Visualizer" sheetId="11" state="visible" r:id="rId11"/>
    <sheet xmlns:r="http://schemas.openxmlformats.org/officeDocument/2006/relationships" name="HappiU" sheetId="12" state="visible" r:id="rId12"/>
    <sheet xmlns:r="http://schemas.openxmlformats.org/officeDocument/2006/relationships" name="FX" sheetId="13" state="visible" r:id="rId13"/>
    <sheet xmlns:r="http://schemas.openxmlformats.org/officeDocument/2006/relationships" name="Validation" sheetId="14" state="visible" r:id="rId14"/>
    <sheet xmlns:r="http://schemas.openxmlformats.org/officeDocument/2006/relationships" name="Assumptions" sheetId="15" state="visible" r:id="rId15"/>
    <sheet xmlns:r="http://schemas.openxmlformats.org/officeDocument/2006/relationships" name="Discrepancies" sheetId="16" state="visible" r:id="rId16"/>
    <sheet xmlns:r="http://schemas.openxmlformats.org/officeDocument/2006/relationships" name="Change log" sheetId="17" state="visible" r:id="rId17"/>
    <sheet xmlns:r="http://schemas.openxmlformats.org/officeDocument/2006/relationships" name="Code check" sheetId="18" state="visible" r:id="rId18"/>
  </sheets>
  <definedNames>
    <definedName name="inflationRate">Assumptions!$B$5</definedName>
    <definedName name="systemCurrency">Assumptions!$B$22</definedName>
    <definedName name="fxMode">Assumptions!$B$23</definedName>
    <definedName name="priceLevelOn">Assumptions!$B$24</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RET_LIFESTYLE_FRUGAL">Assumptions!$B$28</definedName>
    <definedName name="RET_LIFESTYLE_STRESSFREE">Assumptions!$B$29</definedName>
    <definedName name="RET_LIFESTYLE_ONLYTHEBEST">Assumptions!$B$30</definedName>
    <definedName name="INC_SUPPORT_MIN">Assumptions!$B$31</definedName>
    <definedName name="INC_SUPPORT_MAX">Assumptions!$B$32</definedName>
    <definedName name="INC_SUPPORT_PIVOT_AGE">Assumptions!$B$33</definedName>
    <definedName name="CRI_YEARS">Assumptions!$B$34</definedName>
    <definedName name="CRI_COST">Assumptions!$B$35</definedName>
    <definedName name="TPD_YEARS">Assumptions!$B$36</definedName>
    <definedName name="TPD_COST">Assumptions!$B$37</definedName>
    <definedName name="HOS_MONTHS">Assumptions!$B$38</definedName>
    <definedName name="EDU_COST">Assumptions!$B$39</definedName>
    <definedName name="EDU_YEARS_DEFAULT">Assumptions!$B$40</definedName>
    <definedName name="SAV_INCOME_MULT">Assumptions!$B$41</definedName>
    <definedName name="PRP_INCOME_MULT">Assumptions!$B$42</definedName>
    <definedName name="PAC_YEARS">Assumptions!$B$43</definedName>
    <definedName name="PAC_COST">Assumptions!$B$44</definedName>
    <definedName name="LON_AGE">Assumptions!$B$45</definedName>
    <definedName name="spendShareBase">Assumptions!$B$47</definedName>
    <definedName name="spendSharePerDependant">Assumptions!$B$48</definedName>
    <definedName name="spendShareCap">Assumptions!$B$49</definedName>
    <definedName name="assetsSaveShare">Assumptions!$B$50</definedName>
    <definedName name="workStartAge">Assumptions!$B$51</definedName>
    <definedName name="liabilityRatio">Assumptions!$B$52</definedName>
    <definedName name="CASH_SAVINGS_SHARE">Assumptions!$B$53</definedName>
    <definedName name="INVESTMENTS_SHARE">Assumptions!$B$54</definedName>
    <definedName name="propertyLow">Assumptions!$B$55</definedName>
    <definedName name="propertyMid">Assumptions!$B$56</definedName>
    <definedName name="propertyHigh">Assumptions!$B$57</definedName>
    <definedName name="propertyIncomeLow">Assumptions!$B$58</definedName>
    <definedName name="propertyIncomeHigh">Assumptions!$B$59</definedName>
    <definedName name="PROPERTY_LTV">Assumptions!$B$60</definedName>
    <definedName name="lifePremiumRate">Assumptions!$B$61</definedName>
    <definedName name="lifeRoundUnit">Assumptions!$B$62</definedName>
    <definedName name="protectionPremiumRate">Assumptions!$B$65</definedName>
    <definedName name="FREE_BUDGET_SHARE">Assumptions!$B$66</definedName>
    <definedName name="lumpRoundStep">Assumptions!$B$67</definedName>
    <definedName name="monthlyRoundStep">Assumptions!$B$68</definedName>
    <definedName name="coverPremRoundStep">Assumptions!$B$69</definedName>
    <definedName name="coverSliderPremFloor">Assumptions!$B$70</definedName>
    <definedName name="annualBudget">Assumptions!$B$73</definedName>
    <definedName name="placeholderNeedBudget">Assumptions!$B$74</definedName>
    <definedName name="gfr">Assumptions!$B$75</definedName>
    <definedName name="benefitRound">Assumptions!$B$76</definedName>
    <definedName name="huNumSims">Assumptions!$B$77</definedName>
    <definedName name="CRI_MEDICAL_HU">Assumptions!$B$79</definedName>
    <definedName name="IncomeBands">Assumptions!$E$6:$G$13</definedName>
    <definedName name="ProfilerWeights">Assumptions!$B$90:$L$104</definedName>
    <definedName name="PW_1">Assumptions!$B$90:$L$90</definedName>
    <definedName name="PW_2">Assumptions!$B$91:$L$91</definedName>
    <definedName name="PW_3">Assumptions!$B$92:$L$92</definedName>
    <definedName name="PW_4">Assumptions!$B$93:$L$93</definedName>
    <definedName name="PW_5">Assumptions!$B$94:$L$94</definedName>
    <definedName name="PW_6">Assumptions!$B$95:$L$95</definedName>
    <definedName name="PW_7">Assumptions!$B$96:$L$96</definedName>
    <definedName name="PW_8">Assumptions!$B$97:$L$97</definedName>
    <definedName name="PW_9">Assumptions!$B$98:$L$98</definedName>
    <definedName name="PW_10">Assumptions!$B$99:$L$99</definedName>
    <definedName name="PW_11">Assumptions!$B$100:$L$100</definedName>
    <definedName name="PW_12">Assumptions!$B$101:$L$101</definedName>
    <definedName name="PW_13">Assumptions!$B$102:$L$102</definedName>
    <definedName name="PW_14">Assumptions!$B$103:$L$103</definedName>
    <definedName name="PW_15">Assumptions!$B$104:$L$104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CPF!$B$25</definedName>
    <definedName name="CPF_employee">CPF!$B$26</definedName>
    <definedName name="CPF_takeHome">CPF!$B$27</definedName>
    <definedName name="CPF_income">CPF!$B$8</definedName>
    <definedName name="PLU_age">'People Like You'!$B$5</definedName>
    <definedName name="PLU_incomeMonthly">'People Like You'!$B$73</definedName>
    <definedName name="PLU_takeHome">'People Like You'!$B$75</definedName>
    <definedName name="PLU_expenseMonthly">'People Like You'!$B$74</definedName>
    <definedName name="PLU_surplus">'People Like You'!$B$48</definedName>
    <definedName name="PLU_liabilities">'People Like You'!$B$82</definedName>
    <definedName name="PLU_cash">'People Like You'!$B$77</definedName>
    <definedName name="PLU_investments">'People Like You'!$B$78</definedName>
    <definedName name="PLU_property">'People Like You'!$B$80</definedName>
    <definedName name="PLU_mortgage">'People Like You'!$B$81</definedName>
    <definedName name="PLU_lifeSum">'People Like You'!$B$83</definedName>
    <definedName name="PLU_lifePrem">'People Like You'!$B$84</definedName>
    <definedName name="PLU_leUsed">'People Like You'!$B$60</definedName>
    <definedName name="PLU_marital">'People Like You'!$B$61</definedName>
    <definedName name="PLU_dependents">'People Like You'!$B$10</definedName>
    <definedName name="PLU_ownsProperty">'People Like You'!$B$16</definedName>
    <definedName name="PLU_currency">'People Like You'!$B$85</definedName>
    <definedName name="NP_prot1">'Need Profiler'!$B$81</definedName>
    <definedName name="NP_prot2">'Need Profiler'!$B$87</definedName>
    <definedName name="NP_grow2">'Need Profiler'!$B$90</definedName>
    <definedName name="NP_on_N_INC">'Need Profiler'!$D$94</definedName>
    <definedName name="NP_priority_N_INC">'Need Profiler'!$E$94</definedName>
    <definedName name="NP_on_N_CRI">'Need Profiler'!$D$95</definedName>
    <definedName name="NP_priority_N_CRI">'Need Profiler'!$E$95</definedName>
    <definedName name="NP_on_N_TPD">'Need Profiler'!$D$96</definedName>
    <definedName name="NP_priority_N_TPD">'Need Profiler'!$E$96</definedName>
    <definedName name="NP_on_N_HOS">'Need Profiler'!$D$97</definedName>
    <definedName name="NP_priority_N_HOS">'Need Profiler'!$E$97</definedName>
    <definedName name="NP_on_N_PAC">'Need Profiler'!$D$98</definedName>
    <definedName name="NP_priority_N_PAC">'Need Profiler'!$E$98</definedName>
    <definedName name="NP_on_N_RET">'Need Profiler'!$D$99</definedName>
    <definedName name="NP_priority_N_RET">'Need Profiler'!$E$99</definedName>
    <definedName name="NP_on_N_EDU">'Need Profiler'!$D$100</definedName>
    <definedName name="NP_priority_N_EDU">'Need Profiler'!$E$100</definedName>
    <definedName name="NP_on_N_SAV">'Need Profiler'!$D$101</definedName>
    <definedName name="NP_priority_N_SAV">'Need Profiler'!$E$101</definedName>
    <definedName name="NP_on_N_PRP">'Need Profiler'!$D$102</definedName>
    <definedName name="NP_priority_N_PRP">'Need Profiler'!$E$102</definedName>
    <definedName name="NP_priority_N_HOM">'Need Profiler'!$E$103</definedName>
    <definedName name="NP_score_N_HOM">'Need Profiler'!$F$103</definedName>
    <definedName name="NP_priority_N_CAR">'Need Profiler'!$E$104</definedName>
    <definedName name="NP_score_N_CAR">'Need Profiler'!$F$104</definedName>
    <definedName name="NP_priority_N_TRV">'Need Profiler'!$E$105</definedName>
    <definedName name="NP_score_N_TRV">'Need Profiler'!$F$105</definedName>
    <definedName name="NC_age">'Need Calculator'!$B$5</definedName>
    <definedName name="NC_yearsToRet">'Need Calculator'!$B$67</definedName>
    <definedName name="NC_eduYears">'Need Calculator'!$B$69</definedName>
    <definedName name="NC_yearsInRet">'Need Calculator'!$B$68</definedName>
    <definedName name="NC_lonYearsInRet">'Need Calculator'!$B$85</definedName>
    <definedName name="NC_lonAmount_N_RET">'Need Calculator'!$B$87</definedName>
    <definedName name="NC_lonGap_N_RET">'Need Calculator'!$B$88</definedName>
    <definedName name="NC_lonExtra_N_RET">'Need Calculator'!$B$89</definedName>
    <definedName name="NC_amount_N_INC">'Need Calculator'!$B$73</definedName>
    <definedName name="NC_have_N_INC">'Need Calculator'!$C$73</definedName>
    <definedName name="NC_gap_N_INC">'Need Calculator'!$D$73</definedName>
    <definedName name="NC_on_N_INC">'Need Calculator'!$F$73</definedName>
    <definedName name="NC_amountUSD_N_INC">'Need Calculator'!$H$73</definedName>
    <definedName name="NC_gapUSD_N_INC">'Need Calculator'!$J$73</definedName>
    <definedName name="NC_amount_N_CRI">'Need Calculator'!$B$74</definedName>
    <definedName name="NC_have_N_CRI">'Need Calculator'!$C$74</definedName>
    <definedName name="NC_gap_N_CRI">'Need Calculator'!$D$74</definedName>
    <definedName name="NC_on_N_CRI">'Need Calculator'!$F$74</definedName>
    <definedName name="NC_amountUSD_N_CRI">'Need Calculator'!$H$74</definedName>
    <definedName name="NC_gapUSD_N_CRI">'Need Calculator'!$J$74</definedName>
    <definedName name="NC_amount_N_TPD">'Need Calculator'!$B$75</definedName>
    <definedName name="NC_have_N_TPD">'Need Calculator'!$C$75</definedName>
    <definedName name="NC_gap_N_TPD">'Need Calculator'!$D$75</definedName>
    <definedName name="NC_on_N_TPD">'Need Calculator'!$F$75</definedName>
    <definedName name="NC_amountUSD_N_TPD">'Need Calculator'!$H$75</definedName>
    <definedName name="NC_gapUSD_N_TPD">'Need Calculator'!$J$75</definedName>
    <definedName name="NC_amount_N_HOS">'Need Calculator'!$B$76</definedName>
    <definedName name="NC_have_N_HOS">'Need Calculator'!$C$76</definedName>
    <definedName name="NC_gap_N_HOS">'Need Calculator'!$D$76</definedName>
    <definedName name="NC_on_N_HOS">'Need Calculator'!$F$76</definedName>
    <definedName name="NC_amountUSD_N_HOS">'Need Calculator'!$H$76</definedName>
    <definedName name="NC_gapUSD_N_HOS">'Need Calculator'!$J$76</definedName>
    <definedName name="NC_amount_N_PAC">'Need Calculator'!$B$77</definedName>
    <definedName name="NC_have_N_PAC">'Need Calculator'!$C$77</definedName>
    <definedName name="NC_gap_N_PAC">'Need Calculator'!$D$77</definedName>
    <definedName name="NC_on_N_PAC">'Need Calculator'!$F$77</definedName>
    <definedName name="NC_amountUSD_N_PAC">'Need Calculator'!$H$77</definedName>
    <definedName name="NC_gapUSD_N_PAC">'Need Calculator'!$J$77</definedName>
    <definedName name="NC_amount_N_RET">'Need Calculator'!$B$78</definedName>
    <definedName name="NC_have_N_RET">'Need Calculator'!$C$78</definedName>
    <definedName name="NC_gap_N_RET">'Need Calculator'!$D$78</definedName>
    <definedName name="NC_on_N_RET">'Need Calculator'!$F$78</definedName>
    <definedName name="NC_amountUSD_N_RET">'Need Calculator'!$H$78</definedName>
    <definedName name="NC_gapUSD_N_RET">'Need Calculator'!$J$78</definedName>
    <definedName name="NC_amount_N_EDU">'Need Calculator'!$B$79</definedName>
    <definedName name="NC_have_N_EDU">'Need Calculator'!$C$79</definedName>
    <definedName name="NC_gap_N_EDU">'Need Calculator'!$D$79</definedName>
    <definedName name="NC_on_N_EDU">'Need Calculator'!$F$79</definedName>
    <definedName name="NC_amountUSD_N_EDU">'Need Calculator'!$H$79</definedName>
    <definedName name="NC_gapUSD_N_EDU">'Need Calculator'!$J$79</definedName>
    <definedName name="NC_amount_N_SAV">'Need Calculator'!$B$80</definedName>
    <definedName name="NC_have_N_SAV">'Need Calculator'!$C$80</definedName>
    <definedName name="NC_gap_N_SAV">'Need Calculator'!$D$80</definedName>
    <definedName name="NC_on_N_SAV">'Need Calculator'!$F$80</definedName>
    <definedName name="NC_amountUSD_N_SAV">'Need Calculator'!$H$80</definedName>
    <definedName name="NC_gapUSD_N_SAV">'Need Calculator'!$J$80</definedName>
    <definedName name="NC_amount_N_PRP">'Need Calculator'!$B$81</definedName>
    <definedName name="NC_have_N_PRP">'Need Calculator'!$C$81</definedName>
    <definedName name="NC_gap_N_PRP">'Need Calculator'!$D$81</definedName>
    <definedName name="NC_on_N_PRP">'Need Calculator'!$F$81</definedName>
    <definedName name="NC_amountUSD_N_PRP">'Need Calculator'!$H$81</definedName>
    <definedName name="NC_gapUSD_N_PRP">'Need Calculator'!$J$81</definedName>
    <definedName name="PLAN_nWealth">'Plan Calculator'!$B$45</definedName>
    <definedName name="PLAN_protPremYr">'Plan Calculator'!$B$56</definedName>
    <definedName name="PLAN_wealthShare">'Plan Calculator'!$B$57</definedName>
    <definedName name="PLAN_investMth">'Plan Calculator'!$B$83</definedName>
    <definedName name="PLAN_investLump">'Plan Calculator'!$B$84</definedName>
    <definedName name="PLAN_prem_N_INC">'Plan Calculator'!$B$47</definedName>
    <definedName name="PLAN_prem_N_CRI">'Plan Calculator'!$B$49</definedName>
    <definedName name="PLAN_prem_N_TPD">'Plan Calculator'!$B$51</definedName>
    <definedName name="PLAN_prem_N_HOS">'Plan Calculator'!$B$53</definedName>
    <definedName name="PLAN_prem_N_PAC">'Plan Calculator'!$B$55</definedName>
    <definedName name="PLAN_included_N_INC">'Plan Calculator'!$D$73</definedName>
    <definedName name="PLAN_sug_N_INC">'Plan Calculator'!$B$73</definedName>
    <definedName name="PLAN_included_N_CRI">'Plan Calculator'!$D$74</definedName>
    <definedName name="PLAN_sug_N_CRI">'Plan Calculator'!$B$74</definedName>
    <definedName name="PLAN_included_N_TPD">'Plan Calculator'!$D$75</definedName>
    <definedName name="PLAN_sug_N_TPD">'Plan Calculator'!$B$75</definedName>
    <definedName name="PLAN_included_N_HOS">'Plan Calculator'!$D$76</definedName>
    <definedName name="PLAN_sug_N_HOS">'Plan Calculator'!$B$76</definedName>
    <definedName name="PLAN_included_N_PAC">'Plan Calculator'!$D$77</definedName>
    <definedName name="PLAN_sug_N_PAC">'Plan Calculator'!$B$77</definedName>
    <definedName name="PLAN_included_N_RET">'Plan Calculator'!$D$78</definedName>
    <definedName name="PLAN_sug_N_RET">'Plan Calculator'!$B$78</definedName>
    <definedName name="PLAN_included_N_EDU">'Plan Calculator'!$D$79</definedName>
    <definedName name="PLAN_sug_N_EDU">'Plan Calculator'!$B$79</definedName>
    <definedName name="PLAN_included_N_SAV">'Plan Calculator'!$D$80</definedName>
    <definedName name="PLAN_sug_N_SAV">'Plan Calculator'!$B$80</definedName>
    <definedName name="PLAN_included_N_PRP">'Plan Calculator'!$D$81</definedName>
    <definedName name="PLAN_sug_N_PRP">'Plan Calculator'!$B$81</definedName>
    <definedName name="PLAN_sum_N_INC">'Plan Calculator'!$B$46</definedName>
    <definedName name="PLAN_sum_N_CRI">'Plan Calculator'!$B$48</definedName>
    <definedName name="PLAN_sum_N_TPD">'Plan Calculator'!$B$50</definedName>
    <definedName name="PLAN_sum_N_HOS">'Plan Calculator'!$B$52</definedName>
    <definedName name="PLAN_sum_N_PAC">'Plan Calculator'!$B$54</definedName>
    <definedName name="PLAN_mth_N_RET">'Plan Calculator'!$B$59</definedName>
    <definedName name="PLAN_lump_N_RET">'Plan Calculator'!$B$60</definedName>
    <definedName name="PLAN_mth_N_EDU">'Plan Calculator'!$B$62</definedName>
    <definedName name="PLAN_lump_N_EDU">'Plan Calculator'!$B$63</definedName>
    <definedName name="PLAN_mth_N_SAV">'Plan Calculator'!$B$65</definedName>
    <definedName name="PLAN_lump_N_SAV">'Plan Calculator'!$B$66</definedName>
    <definedName name="PLAN_mth_N_PRP">'Plan Calculator'!$B$68</definedName>
    <definedName name="PLAN_lump_N_PRP">'Plan Calculator'!$B$69</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Year">'Scenario Visualizer'!$B$44</definedName>
    <definedName name="SV_wdAmt">'Scenario Visualizer'!$B$45</definedName>
    <definedName name="SV_retMth">'Scenario Visualizer'!$B$46</definedName>
    <definedName name="SV_retLump">'Scenario Visualizer'!$B$47</definedName>
    <definedName name="SV_retPay">'Scenario Visualizer'!$B$48</definedName>
    <definedName name="SV_goalMth">'Scenario Visualizer'!$B$49</definedName>
    <definedName name="SV_goalLump">'Scenario Visualizer'!$B$50</definedName>
    <definedName name="SV_goalPay">'Scenario Visualizer'!$B$51</definedName>
    <definedName name="SV_protPrem">'Scenario Visualizer'!$B$52</definedName>
    <definedName name="SV_protPay">'Scenario Visualizer'!$B$53</definedName>
    <definedName name="SV_crashY">'Scenario Visualizer'!$B$56</definedName>
    <definedName name="SV_crashV">'Scenario Visualizer'!$B$57</definedName>
    <definedName name="SV_ccyY">'Scenario Visualizer'!$B$58</definedName>
    <definedName name="SV_ccyV">'Scenario Visualizer'!$B$59</definedName>
    <definedName name="SV_inflFrom">'Scenario Visualizer'!$B$60</definedName>
    <definedName name="SV_inflTo">'Scenario Visualizer'!$B$61</definedName>
    <definedName name="SV_inflV">'Scenario Visualizer'!$B$62</definedName>
    <definedName name="SV_incFrom">'Scenario Visualizer'!$B$63</definedName>
    <definedName name="SV_incTo">'Scenario Visualizer'!$B$64</definedName>
    <definedName name="SV_incV">'Scenario Visualizer'!$B$65</definedName>
    <definedName name="SV_expFrom">'Scenario Visualizer'!$B$66</definedName>
    <definedName name="SV_expTo">'Scenario Visualizer'!$B$67</definedName>
    <definedName name="SV_expV">'Scenario Visualizer'!$B$68</definedName>
    <definedName name="SV_crashOn">'Scenario Visualizer'!$B$69</definedName>
    <definedName name="SV_crashYr">'Scenario Visualizer'!$B$70</definedName>
    <definedName name="SV_crashF">'Scenario Visualizer'!$B$71</definedName>
    <definedName name="SV_ccyOn">'Scenario Visualizer'!$B$72</definedName>
    <definedName name="SV_ccyYr">'Scenario Visualizer'!$B$73</definedName>
    <definedName name="SV_ccyF">'Scenario Visualizer'!$B$74</definedName>
    <definedName name="SV_inflOn">'Scenario Visualizer'!$B$75</definedName>
    <definedName name="SV_inflS">'Scenario Visualizer'!$B$76</definedName>
    <definedName name="SV_inflE">'Scenario Visualizer'!$B$77</definedName>
    <definedName name="SV_incOn">'Scenario Visualizer'!$B$78</definedName>
    <definedName name="SV_incS">'Scenario Visualizer'!$B$79</definedName>
    <definedName name="SV_incE">'Scenario Visualizer'!$B$80</definedName>
    <definedName name="SV_expOn">'Scenario Visualizer'!$B$81</definedName>
    <definedName name="SV_expS">'Scenario Visualizer'!$B$82</definedName>
    <definedName name="SV_expE">'Scenario Visualizer'!$B$83</definedName>
    <definedName name="SV_inflRate">'Scenario Visualizer'!$B$84</definedName>
    <definedName name="SV_incImp">'Scenario Visualizer'!$B$85</definedName>
    <definedName name="SV_expImp">'Scenario Visualizer'!$B$86</definedName>
    <definedName name="SV_lonV">'Scenario Visualizer'!$B$87</definedName>
    <definedName name="SV_lonOn">'Scenario Visualizer'!$B$88</definedName>
    <definedName name="SV_end">'Scenario Visualizer'!$B$89</definedName>
    <definedName name="SV_cpfOn">'Scenario Visualizer'!$B$92</definedName>
    <definedName name="SV_asp">'Scenario Visualizer'!$B$93</definedName>
    <definedName name="SV_stop">'Scenario Visualizer'!$B$94</definedName>
    <definedName name="SV_sp">'Scenario Visualizer'!$B$95</definedName>
    <definedName name="SV_effStop">'Scenario Visualizer'!$B$96</definedName>
    <definedName name="SV_effNeg">'Scenario Visualizer'!$B$97</definedName>
    <definedName name="SV_sIdx">'Scenario Visualizer'!$B$98</definedName>
    <definedName name="SV_pIdx">'Scenario Visualizer'!$B$99</definedName>
    <definedName name="SV_brsIdx">'Scenario Visualizer'!$B$100</definedName>
    <definedName name="SV_brs">'Scenario Visualizer'!$B$101</definedName>
    <definedName name="SV_raS">'Scenario Visualizer'!$B$102</definedName>
    <definedName name="SV_mult">'Scenario Visualizer'!$B$103</definedName>
    <definedName name="SV_wd">'Scenario Visualizer'!$B$104</definedName>
    <definedName name="SV_pay">'Scenario Visualizer'!$B$105</definedName>
    <definedName name="SV_L0">'Scenario Visualizer'!$B$106</definedName>
    <definedName name="SV_R0">'Scenario Visualizer'!$B$107</definedName>
    <definedName name="SV_n1">'Scenario Visualizer'!$B$108</definedName>
    <definedName name="SV_seedLife">'Scenario Visualizer'!$B$109</definedName>
    <definedName name="SV_seedRA">'Scenario Visualizer'!$B$110</definedName>
    <definedName name="SV_wPre65">'Scenario Visualizer'!$B$113</definedName>
    <definedName name="SV_wPre85">'Scenario Visualizer'!$B$114</definedName>
    <definedName name="SV_wPost65">'Scenario Visualizer'!$B$115</definedName>
    <definedName name="SV_wPost85">'Scenario Visualizer'!$B$116</definedName>
    <definedName name="SV_wPreEnd">'Scenario Visualizer'!$B$117</definedName>
    <definedName name="SV_wPostEnd">'Scenario Visualizer'!$B$118</definedName>
    <definedName name="SV_spPostEnd">'Scenario Visualizer'!$B$119</definedName>
    <definedName name="SV_spOutPre">'Scenario Visualizer'!$B$120</definedName>
    <definedName name="SV_spOutPost">'Scenario Visualizer'!$B$121</definedName>
    <definedName name="SV_Y_wPre">'Scenario Visualizer'!$AG$129:$AG$211</definedName>
    <definedName name="SV_Y_wPost">'Scenario Visualizer'!$AQ$129:$AQ$211</definedName>
    <definedName name="SV_Y_spPre">'Scenario Visualizer'!$AH$129:$AH$211</definedName>
    <definedName name="SV_Y_spPost">'Scenario Visualizer'!$AR$129:$AR$211</definedName>
    <definedName name="SV_Y_cpf">'Scenario Visualizer'!$AC$129:$AC$211</definedName>
    <definedName name="SV_Y_savPre">'Scenario Visualizer'!$AF$129:$AF$211</definedName>
    <definedName name="SV_Y_savPost">'Scenario Visualizer'!$AP$129:$AP$211</definedName>
    <definedName name="SV_Y_sal">'Scenario Visualizer'!$H$129:$H$211</definedName>
    <definedName name="SV_Y_spend">'Scenario Visualizer'!$I$129:$I$211</definedName>
    <definedName name="SV_Y_cash">'Scenario Visualizer'!$N$129:$N$211</definedName>
    <definedName name="SV_Y_inv">'Scenario Visualizer'!$O$129:$O$211</definedName>
    <definedName name="SV_Y_home">'Scenario Visualizer'!$P$129:$P$211</definedName>
    <definedName name="SV_Y_loan">'Scenario Visualizer'!$AE$129:$AE$211</definedName>
    <definedName name="SV_Y_pot">'Scenario Visualizer'!$AN$129:$AN$211</definedName>
    <definedName name="SV_Y_insCf">'Scenario Visualizer'!$AO$129:$AO$211</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tpdCost">HappiU!$B$21</definedName>
    <definedName name="HU_tp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On">HappiU!$B$50</definedName>
    <definedName name="HU_wdYear">HappiU!$B$51</definedName>
    <definedName name="HU_wdIncome">HappiU!$B$52</definedName>
    <definedName name="HU_wdOut">HappiU!$B$53</definedName>
    <definedName name="HU_nGoals">HappiU!$B$56</definedName>
    <definedName name="HU_nCons">HappiU!$B$57</definedName>
    <definedName name="HU_sig">HappiU!$B$58</definedName>
    <definedName name="HU_preRaw">HappiU!$B$59</definedName>
    <definedName name="HU_postRaw">HappiU!$B$60</definedName>
    <definedName name="HU_preHappiU">HappiU!$B$61</definedName>
    <definedName name="HU_postHappiU">HappiU!$B$62</definedName>
    <definedName name="HU_Y_W">'HappiU'!$AD$68:$AD$150</definedName>
    <definedName name="HU_Y_Cw">'HappiU'!$AE$68:$AE$150</definedName>
    <definedName name="HU_Y_sav">'HappiU'!$AB$68:$AB$150</definedName>
    <definedName name="HU_Y_S">'HappiU'!$I$68:$I$150</definedName>
    <definedName name="HU_Y_pos">'HappiU'!$X$68:$X$150</definedName>
    <definedName name="HU_Y_spend">'HappiU'!$Y$68:$Y$150</definedName>
    <definedName name="FxTable">FX!$I$6:$K$14</definedName>
    <definedName name="FX_lumpStep">FX!$B$30</definedName>
    <definedName name="FX_monthlyStep">FX!$B$31</definedName>
    <definedName name="FX_coverPremStep">FX!$B$32</definedName>
    <definedName name="FX_lifeRound">FX!$B$33</definedName>
    <definedName name="FX_benefitRound">FX!$B$34</definedName>
    <definedName name="FX_priceLevel">FX!$B$17</definedName>
    <definedName name="FX_usdPerLocal">FX!$B$16</definedName>
    <definedName name="FX_incomeMonthly">FX!$B$20</definedName>
    <definedName name="FX_expenseMonthly">FX!$B$21</definedName>
    <definedName name="FX_cash">FX!$B$22</definedName>
    <definedName name="FX_investments">FX!$B$23</definedName>
    <definedName name="FX_property">FX!$B$24</definedName>
    <definedName name="FX_mortgage">FX!$B$25</definedName>
    <definedName name="FX_liabilities">FX!$B$26</definedName>
    <definedName name="FX_lifeSum">FX!$B$27</definedName>
    <definedName name="UsdRules">Validation!$A$6:$C$13</definedName>
    <definedName name="_xlnm._FilterDatabase" localSheetId="3" hidden="1">'Personas'!$A$2:$AD$52</definedName>
    <definedName name="_xlnm._FilterDatabase" localSheetId="14" hidden="1">'Assumptions'!$A$5:$B$10</definedName>
    <definedName name="_xlnm._FilterDatabase" localSheetId="17" hidden="1">'Code check'!$A$2:$R$52</definedName>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0.0000%"/>
    <numFmt numFmtId="167" formatCode="0.000000"/>
    <numFmt numFmtId="168" formatCode="0.0000"/>
    <numFmt numFmtId="169" formatCode="0.0"/>
    <numFmt numFmtId="170" formatCode="#,##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6">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D7E6F5"/>
      </patternFill>
    </fill>
    <fill>
      <patternFill patternType="solid">
        <fgColor rgb="00FFE0C2"/>
      </patternFill>
    </fill>
    <fill>
      <patternFill patternType="solid">
        <fgColor rgb="00D3F0E2"/>
      </patternFill>
    </fill>
    <fill>
      <patternFill patternType="solid">
        <fgColor rgb="00F8D0D0"/>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81">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4" fillId="14" borderId="1" applyAlignment="1" pivotButton="0" quotePrefix="0" xfId="0">
      <alignment vertical="center" wrapText="1"/>
    </xf>
    <xf numFmtId="0" fontId="4" fillId="12" borderId="1" applyAlignment="1" pivotButton="0" quotePrefix="0" xfId="0">
      <alignment vertical="center" wrapText="1"/>
    </xf>
    <xf numFmtId="0" fontId="4" fillId="7" borderId="1" applyAlignment="1" pivotButton="0" quotePrefix="0" xfId="0">
      <alignment vertical="center" wrapText="1"/>
    </xf>
    <xf numFmtId="0" fontId="4" fillId="15" borderId="1" applyAlignment="1" pivotButton="0" quotePrefix="0" xfId="0">
      <alignment vertical="center" wrapText="1"/>
    </xf>
    <xf numFmtId="0" fontId="5"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9"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8" borderId="1" applyAlignment="1" pivotButton="0" quotePrefix="0" xfId="0">
      <alignment vertical="center" wrapText="1"/>
    </xf>
    <xf numFmtId="0" fontId="2" fillId="2" borderId="1" applyAlignment="1" pivotButton="0" quotePrefix="0" xfId="0">
      <alignment vertical="center" wrapText="1"/>
    </xf>
    <xf numFmtId="0" fontId="5" fillId="6"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9" borderId="1" applyAlignment="1" pivotButton="0" quotePrefix="0" xfId="0">
      <alignment vertical="center" wrapText="1"/>
    </xf>
    <xf numFmtId="4" fontId="4" fillId="12" borderId="1" applyAlignment="1" pivotButton="0" quotePrefix="0" xfId="0">
      <alignment horizontal="center" vertical="center" wrapText="1"/>
    </xf>
    <xf numFmtId="0" fontId="4" fillId="12" borderId="1" applyAlignment="1" pivotButton="0" quotePrefix="0" xfId="0">
      <alignment horizontal="center" vertical="center" wrapText="1"/>
    </xf>
    <xf numFmtId="1" fontId="4" fillId="12" borderId="1" applyAlignment="1" pivotButton="0" quotePrefix="0" xfId="0">
      <alignment horizontal="center" vertical="center" wrapText="1"/>
    </xf>
    <xf numFmtId="0" fontId="5" fillId="11" borderId="1" applyAlignment="1" pivotButton="0" quotePrefix="0" xfId="0">
      <alignment vertical="center" wrapText="1"/>
    </xf>
    <xf numFmtId="0" fontId="4" fillId="14" borderId="1" applyAlignment="1" pivotButton="0" quotePrefix="0" xfId="0">
      <alignment horizontal="center" vertical="center" wrapText="1"/>
    </xf>
    <xf numFmtId="4" fontId="4" fillId="14" borderId="1" applyAlignment="1" pivotButton="0" quotePrefix="0" xfId="0">
      <alignment horizontal="center" vertical="center" wrapText="1"/>
    </xf>
    <xf numFmtId="3" fontId="4" fillId="14" borderId="1" applyAlignment="1" pivotButton="0" quotePrefix="0" xfId="0">
      <alignment horizontal="center" vertical="center" wrapText="1"/>
    </xf>
    <xf numFmtId="3" fontId="4" fillId="12" borderId="1" applyAlignment="1" pivotButton="0" quotePrefix="0" xfId="0">
      <alignment horizontal="center" vertical="center" wrapText="1"/>
    </xf>
    <xf numFmtId="4" fontId="4" fillId="13" borderId="1" applyAlignment="1" pivotButton="0" quotePrefix="0" xfId="0">
      <alignment horizontal="center" vertical="center" wrapText="1"/>
    </xf>
    <xf numFmtId="3" fontId="4" fillId="13"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7"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6" borderId="1" applyAlignment="1" pivotButton="0" quotePrefix="0" xfId="0">
      <alignment vertical="center" wrapText="1"/>
    </xf>
    <xf numFmtId="3"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5" fillId="10" borderId="1" applyAlignment="1" pivotButton="0" quotePrefix="0" xfId="0">
      <alignment vertical="center" wrapText="1"/>
    </xf>
    <xf numFmtId="0" fontId="4" fillId="13" borderId="1" applyAlignment="1" pivotButton="0" quotePrefix="0" xfId="0">
      <alignment horizontal="center" vertical="center" wrapText="1"/>
    </xf>
    <xf numFmtId="164" fontId="4" fillId="14" borderId="1" applyAlignment="1" pivotButton="0" quotePrefix="0" xfId="0">
      <alignment horizontal="center" vertical="center" wrapText="1"/>
    </xf>
    <xf numFmtId="1" fontId="4" fillId="7" borderId="1" applyAlignment="1" pivotButton="0" quotePrefix="0" xfId="0">
      <alignment horizontal="center" vertical="center" wrapText="1"/>
    </xf>
    <xf numFmtId="10" fontId="4" fillId="7" borderId="1" applyAlignment="1" pivotButton="0" quotePrefix="0" xfId="0">
      <alignment horizontal="center" vertical="center" wrapText="1"/>
    </xf>
    <xf numFmtId="1" fontId="4" fillId="14" borderId="1" applyAlignment="1" pivotButton="0" quotePrefix="0" xfId="0">
      <alignment horizontal="center" vertical="center" wrapText="1"/>
    </xf>
    <xf numFmtId="3" fontId="4" fillId="4" borderId="1" applyAlignment="1" pivotButton="0" quotePrefix="0" xfId="0">
      <alignment horizontal="center" vertical="center" wrapText="1"/>
    </xf>
    <xf numFmtId="167" fontId="4" fillId="7" borderId="1" applyAlignment="1" pivotButton="0" quotePrefix="0" xfId="0">
      <alignment horizontal="center" vertical="center" wrapText="1"/>
    </xf>
    <xf numFmtId="2" fontId="4" fillId="14" borderId="1" applyAlignment="1" pivotButton="0" quotePrefix="0" xfId="0">
      <alignment horizontal="center" vertical="center" wrapText="1"/>
    </xf>
    <xf numFmtId="169" fontId="4" fillId="14" borderId="1" applyAlignment="1" pivotButton="0" quotePrefix="0" xfId="0">
      <alignment horizontal="center" vertical="center" wrapText="1"/>
    </xf>
    <xf numFmtId="165" fontId="4" fillId="14" borderId="1" applyAlignment="1" pivotButton="0" quotePrefix="0" xfId="0">
      <alignment horizontal="center" vertical="center" wrapText="1"/>
    </xf>
    <xf numFmtId="0" fontId="4" fillId="2" borderId="1" applyAlignment="1" pivotButton="0" quotePrefix="0" xfId="0">
      <alignment horizontal="center" vertical="center" wrapText="1"/>
    </xf>
    <xf numFmtId="1" fontId="4" fillId="13" borderId="1" applyAlignment="1" pivotButton="0" quotePrefix="0" xfId="0">
      <alignment horizontal="center" vertical="center" wrapText="1"/>
    </xf>
    <xf numFmtId="2" fontId="4" fillId="7" borderId="1" applyAlignment="1" pivotButton="0" quotePrefix="0" xfId="0">
      <alignment horizontal="center" vertical="center" wrapText="1"/>
    </xf>
    <xf numFmtId="170" fontId="4" fillId="7" borderId="1" applyAlignment="1" pivotButton="0" quotePrefix="0" xfId="0">
      <alignment horizontal="center" vertical="center" wrapText="1"/>
    </xf>
    <xf numFmtId="168" fontId="4" fillId="7" borderId="1" applyAlignment="1" pivotButton="0" quotePrefix="0" xfId="0">
      <alignment horizontal="center" vertical="center" wrapText="1"/>
    </xf>
    <xf numFmtId="10" fontId="4" fillId="14" borderId="1" applyAlignment="1" pivotButton="0" quotePrefix="0" xfId="0">
      <alignment horizontal="center" vertical="center" wrapText="1"/>
    </xf>
    <xf numFmtId="9" fontId="4" fillId="13" borderId="1" applyAlignment="1" pivotButton="0" quotePrefix="0" xfId="0">
      <alignment horizontal="center" vertical="center" wrapText="1"/>
    </xf>
    <xf numFmtId="164" fontId="4" fillId="13" borderId="1" applyAlignment="1" pivotButton="0" quotePrefix="0" xfId="0">
      <alignment horizontal="center" vertical="center" wrapText="1"/>
    </xf>
    <xf numFmtId="168" fontId="4" fillId="14" borderId="1" applyAlignment="1" pivotButton="0" quotePrefix="0" xfId="0">
      <alignment horizontal="center" vertical="center" wrapText="1"/>
    </xf>
    <xf numFmtId="1" fontId="4" fillId="2" borderId="1" applyAlignment="1" pivotButton="0" quotePrefix="0" xfId="0">
      <alignment horizontal="center" vertical="center" wrapText="1"/>
    </xf>
    <xf numFmtId="9" fontId="4" fillId="7" borderId="1" applyAlignment="1" pivotButton="0" quotePrefix="0" xfId="0">
      <alignment horizontal="center" vertical="center" wrapText="1"/>
    </xf>
    <xf numFmtId="167" fontId="4" fillId="14" borderId="1" applyAlignment="1" pivotButton="0" quotePrefix="0" xfId="0">
      <alignment horizontal="center" vertical="center" wrapText="1"/>
    </xf>
    <xf numFmtId="167" fontId="4" fillId="4" borderId="1" applyAlignment="1" pivotButton="0" quotePrefix="0" xfId="0">
      <alignment horizontal="center" vertical="center" wrapText="1"/>
    </xf>
    <xf numFmtId="2" fontId="4" fillId="4" borderId="1" applyAlignment="1" pivotButton="0" quotePrefix="0" xfId="0">
      <alignment horizontal="center" vertical="center" wrapText="1"/>
    </xf>
    <xf numFmtId="170" fontId="4" fillId="14" borderId="1" applyAlignment="1" pivotButton="0" quotePrefix="0" xfId="0">
      <alignment horizontal="center"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3" fontId="4" fillId="0" borderId="1" applyAlignment="1" pivotButton="0" quotePrefix="0" xfId="0">
      <alignment horizontal="center" vertical="center" wrapText="1"/>
    </xf>
    <xf numFmtId="0" fontId="2" fillId="0" borderId="1" applyAlignment="1" pivotButton="0" quotePrefix="0" xfId="0">
      <alignment vertical="center" wrapText="1"/>
    </xf>
    <xf numFmtId="166" fontId="4" fillId="0" borderId="1" applyAlignment="1" pivotButton="0" quotePrefix="0" xfId="0">
      <alignment horizontal="center" vertical="center" wrapText="1"/>
    </xf>
    <xf numFmtId="0" fontId="2" fillId="0" borderId="0" pivotButton="0" quotePrefix="0" xfId="0"/>
    <xf numFmtId="10" fontId="4" fillId="4" borderId="1" applyAlignment="1" pivotButton="0" quotePrefix="0" xfId="0">
      <alignment horizontal="center" vertical="center" wrapText="1"/>
    </xf>
    <xf numFmtId="165"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6" borderId="1" applyAlignment="1" pivotButton="0" quotePrefix="0" xfId="0">
      <alignment vertical="center" wrapText="1"/>
    </xf>
    <xf numFmtId="0" fontId="4" fillId="0" borderId="1" applyAlignment="1" pivotButton="0" quotePrefix="0" xfId="0">
      <alignment horizontal="center" vertical="center" wrapText="1"/>
    </xf>
    <xf numFmtId="165" fontId="4" fillId="7" borderId="1" applyAlignment="1" pivotButton="0" quotePrefix="0" xfId="0">
      <alignment horizontal="center" vertical="center" wrapText="1"/>
    </xf>
    <xf numFmtId="0" fontId="0" fillId="0" borderId="0" applyAlignment="1" pivotButton="0" quotePrefix="0" xfId="0">
      <alignment vertical="top"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K60"/>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26" customWidth="1" min="3" max="3"/>
    <col width="22" customWidth="1" min="4" max="4"/>
    <col width="26" customWidth="1" min="5" max="5"/>
    <col width="30" customWidth="1" min="6" max="6"/>
    <col width="20" customWidth="1" min="7" max="7"/>
    <col width="16" customWidth="1" min="8" max="8"/>
    <col width="44" customWidth="1" min="9" max="9"/>
    <col width="34" customWidth="1" min="10" max="10"/>
    <col width="40" customWidth="1" min="11" max="11"/>
  </cols>
  <sheetData>
    <row r="1">
      <c r="A1" s="1" t="inlineStr">
        <is>
          <t>Dictionary — needs (N_), risks (R_) and parameter prefixes</t>
        </is>
      </c>
    </row>
    <row r="2" ht="48" customHeight="1">
      <c r="A2" s="2" t="inlineStr">
        <is>
          <t>N_xxx = need. R_xxx = the risk or event that triggers it (N_CRI ↔ R_CRI; N_INC ↔ R_DEA). · Parameters are named &lt;PREFIX&gt;_&lt;WHAT&gt; in upper case, with the need's 3-letter prefix (CRI_COST, HOS_MONTHS). · Protection · calculator and Wealth · calculator needs get amount / have / gap. Coverage · parked needs are scored only. · One name per need in every component (e.g. TPD, never Disability or PTD). Where an engine still differs (HU: N_HSP, PTD) it is listed as open. · Code (src/, frontend/) still uses the old parameter names and 8 needs until the code follows V0-16.</t>
        </is>
      </c>
    </row>
    <row r="4">
      <c r="A4" s="5" t="inlineStr">
        <is>
          <t>NEEDS</t>
        </is>
      </c>
    </row>
    <row r="5">
      <c r="A5" s="3" t="inlineStr">
        <is>
          <t>Code</t>
        </is>
      </c>
      <c r="B5" s="3" t="inlineStr">
        <is>
          <t>Risk</t>
        </is>
      </c>
      <c r="C5" s="3" t="inlineStr">
        <is>
          <t>Prefix</t>
        </is>
      </c>
      <c r="D5" s="3" t="inlineStr">
        <is>
          <t>Category</t>
        </is>
      </c>
      <c r="E5" s="3" t="inlineStr">
        <is>
          <t>App label</t>
        </is>
      </c>
      <c r="F5" s="3" t="inlineStr">
        <is>
          <t>Profiler label (key)</t>
        </is>
      </c>
      <c r="G5" s="3" t="inlineStr">
        <is>
          <t>HappiU</t>
        </is>
      </c>
      <c r="H5" s="3" t="inlineStr">
        <is>
          <t>Scenario Visualizer</t>
        </is>
      </c>
      <c r="I5" s="3" t="inlineStr">
        <is>
          <t>Calculator</t>
        </is>
      </c>
      <c r="J5" s="3" t="inlineStr">
        <is>
          <t>Parameters</t>
        </is>
      </c>
      <c r="K5" s="3" t="inlineStr">
        <is>
          <t>Status</t>
        </is>
      </c>
    </row>
    <row r="6">
      <c r="A6" s="8" t="inlineStr">
        <is>
          <t>N_INC</t>
        </is>
      </c>
      <c r="B6" s="8" t="inlineStr">
        <is>
          <t>R_DEA</t>
        </is>
      </c>
      <c r="C6" s="8" t="inlineStr">
        <is>
          <t>INC</t>
        </is>
      </c>
      <c r="D6" s="8" t="inlineStr">
        <is>
          <t>Protection · calculator</t>
        </is>
      </c>
      <c r="E6" s="4" t="inlineStr">
        <is>
          <t>Income &amp; family protection</t>
        </is>
      </c>
      <c r="F6" s="4" t="inlineStr">
        <is>
          <t>Life Protection (life_protection)</t>
        </is>
      </c>
      <c r="G6" s="4" t="inlineStr">
        <is>
          <t>N_INC</t>
        </is>
      </c>
      <c r="H6" s="4" t="inlineStr">
        <is>
          <t>premium</t>
        </is>
      </c>
      <c r="I6" s="4" t="inlineStr">
        <is>
          <t>bequest + mortgage + PV of annual spend over support years</t>
        </is>
      </c>
      <c r="J6" s="4" t="inlineStr">
        <is>
          <t>INC_SUPPORT_MIN / MAX / PIVOT_AGE</t>
        </is>
      </c>
      <c r="K6" s="4" t="inlineStr">
        <is>
          <t>Live</t>
        </is>
      </c>
    </row>
    <row r="7">
      <c r="A7" s="8" t="inlineStr">
        <is>
          <t>N_CRI</t>
        </is>
      </c>
      <c r="B7" s="8" t="inlineStr">
        <is>
          <t>R_CRI</t>
        </is>
      </c>
      <c r="C7" s="8" t="inlineStr">
        <is>
          <t>CRI</t>
        </is>
      </c>
      <c r="D7" s="8" t="inlineStr">
        <is>
          <t>Protection · calculator</t>
        </is>
      </c>
      <c r="E7" s="4" t="inlineStr">
        <is>
          <t>Critical illness</t>
        </is>
      </c>
      <c r="F7" s="4" t="inlineStr">
        <is>
          <t>Critical Illness (critical_illness)</t>
        </is>
      </c>
      <c r="G7" s="4" t="inlineStr">
        <is>
          <t>N_CRI</t>
        </is>
      </c>
      <c r="H7" s="4" t="inlineStr">
        <is>
          <t>premium</t>
        </is>
      </c>
      <c r="I7" s="4" t="inlineStr">
        <is>
          <t>annuity-due of income for CRI_YEARS + CRI_COST</t>
        </is>
      </c>
      <c r="J7" s="4" t="inlineStr">
        <is>
          <t>CRI_YEARS, CRI_COST</t>
        </is>
      </c>
      <c r="K7" s="4" t="inlineStr">
        <is>
          <t>Live</t>
        </is>
      </c>
    </row>
    <row r="8">
      <c r="A8" s="8" t="inlineStr">
        <is>
          <t>N_TPD</t>
        </is>
      </c>
      <c r="B8" s="8" t="inlineStr">
        <is>
          <t>R_TPD</t>
        </is>
      </c>
      <c r="C8" s="8" t="inlineStr">
        <is>
          <t>TPD</t>
        </is>
      </c>
      <c r="D8" s="8" t="inlineStr">
        <is>
          <t>Protection · calculator</t>
        </is>
      </c>
      <c r="E8" s="4" t="inlineStr">
        <is>
          <t>Total &amp; permanent disability (TPD)</t>
        </is>
      </c>
      <c r="F8" s="4" t="inlineStr">
        <is>
          <t>TPD (JSON key: disability)</t>
        </is>
      </c>
      <c r="G8" s="4" t="inlineStr">
        <is>
          <t>N_TPD (HU engine internals still say PTD: rename there)</t>
        </is>
      </c>
      <c r="H8" s="4" t="inlineStr">
        <is>
          <t>premium</t>
        </is>
      </c>
      <c r="I8" s="4" t="inlineStr">
        <is>
          <t>annuity-due of income for TPD_YEARS + TPD_COST</t>
        </is>
      </c>
      <c r="J8" s="4" t="inlineStr">
        <is>
          <t>TPD_YEARS, TPD_COST</t>
        </is>
      </c>
      <c r="K8" s="4" t="inlineStr">
        <is>
          <t>Live</t>
        </is>
      </c>
    </row>
    <row r="9">
      <c r="A9" s="8" t="inlineStr">
        <is>
          <t>N_HOS</t>
        </is>
      </c>
      <c r="B9" s="8" t="inlineStr">
        <is>
          <t>R_HOS</t>
        </is>
      </c>
      <c r="C9" s="8" t="inlineStr">
        <is>
          <t>HOS</t>
        </is>
      </c>
      <c r="D9" s="8" t="inlineStr">
        <is>
          <t>Protection · calculator</t>
        </is>
      </c>
      <c r="E9" s="4" t="inlineStr">
        <is>
          <t>Hospitalisation</t>
        </is>
      </c>
      <c r="F9" s="4" t="inlineStr">
        <is>
          <t>Hospitalization (hospitalization)</t>
        </is>
      </c>
      <c r="G9" s="4" t="inlineStr">
        <is>
          <t>N_HSP: GP renames N_HOS → N_HSP in hu_payload.py because the HU engine only knows N_HSP</t>
        </is>
      </c>
      <c r="H9" s="4" t="inlineStr">
        <is>
          <t>premium</t>
        </is>
      </c>
      <c r="I9" s="4" t="inlineStr">
        <is>
          <t>incomeMonthly × HOS_MONTHS</t>
        </is>
      </c>
      <c r="J9" s="4" t="inlineStr">
        <is>
          <t>HOS_MONTHS</t>
        </is>
      </c>
      <c r="K9" s="4" t="inlineStr">
        <is>
          <t>Live. Open: one code (N_HOS) in GP and HU</t>
        </is>
      </c>
    </row>
    <row r="10">
      <c r="A10" s="8" t="inlineStr">
        <is>
          <t>N_PAC</t>
        </is>
      </c>
      <c r="B10" s="8" t="inlineStr">
        <is>
          <t>R_PAC</t>
        </is>
      </c>
      <c r="C10" s="8" t="inlineStr">
        <is>
          <t>PAC</t>
        </is>
      </c>
      <c r="D10" s="8" t="inlineStr">
        <is>
          <t>Protection · calculator</t>
        </is>
      </c>
      <c r="E10" s="4" t="inlineStr">
        <is>
          <t>Personal accident (new)</t>
        </is>
      </c>
      <c r="F10" s="4" t="inlineStr">
        <is>
          <t>Personal Accident (personal_accident)</t>
        </is>
      </c>
      <c r="G10" s="4" t="inlineStr">
        <is>
          <t>N_PAC (HU engine supports it; GP does not send it yet)</t>
        </is>
      </c>
      <c r="H10" s="4" t="inlineStr">
        <is>
          <t>premium</t>
        </is>
      </c>
      <c r="I10" s="4" t="inlineStr">
        <is>
          <t>annuity-due of income for PAC_YEARS + PAC_COST</t>
        </is>
      </c>
      <c r="J10" s="4" t="inlineStr">
        <is>
          <t>PAC_YEARS, PAC_COST</t>
        </is>
      </c>
      <c r="K10" s="4" t="inlineStr">
        <is>
          <t>Agreed V0-18 (Excel). Code and HappiU payload to follow</t>
        </is>
      </c>
    </row>
    <row r="11">
      <c r="A11" s="8" t="inlineStr">
        <is>
          <t>N_ADB</t>
        </is>
      </c>
      <c r="B11" s="8" t="inlineStr">
        <is>
          <t>R_ADB</t>
        </is>
      </c>
      <c r="C11" s="8" t="inlineStr">
        <is>
          <t>ADB</t>
        </is>
      </c>
      <c r="D11" s="8" t="inlineStr">
        <is>
          <t>Protection · candidate</t>
        </is>
      </c>
      <c r="E11" s="4" t="inlineStr">
        <is>
          <t>Accidental death</t>
        </is>
      </c>
      <c r="F11" s="4" t="inlineStr">
        <is>
          <t>none (no profiler label)</t>
        </is>
      </c>
      <c r="G11" s="4" t="inlineStr">
        <is>
          <t>N_ADB (HU engine supports it, death-type goal like N_INC)</t>
        </is>
      </c>
      <c r="H11" s="4" t="inlineStr">
        <is>
          <t>—</t>
        </is>
      </c>
      <c r="I11" s="4" t="inlineStr">
        <is>
          <t>not defined yet (proposal: lump like N_INC, paid only on accidental death)</t>
        </is>
      </c>
      <c r="J11" s="4" t="inlineStr">
        <is>
          <t>ADB_* (to define)</t>
        </is>
      </c>
      <c r="K11" s="4" t="inlineStr">
        <is>
          <t>Added V0-17 to the dictionary. No calculator, not scored</t>
        </is>
      </c>
    </row>
    <row r="12">
      <c r="A12" s="9" t="inlineStr">
        <is>
          <t>N_RET</t>
        </is>
      </c>
      <c r="B12" s="9" t="inlineStr">
        <is>
          <t>R_LON</t>
        </is>
      </c>
      <c r="C12" s="9" t="inlineStr">
        <is>
          <t>RET</t>
        </is>
      </c>
      <c r="D12" s="9" t="inlineStr">
        <is>
          <t>Wealth · calculator</t>
        </is>
      </c>
      <c r="E12" s="4" t="inlineStr">
        <is>
          <t>Private retirement</t>
        </is>
      </c>
      <c r="F12" s="4" t="inlineStr">
        <is>
          <t>Retirement (retirement)</t>
        </is>
      </c>
      <c r="G12" s="4" t="inlineStr">
        <is>
          <t>N_RET</t>
        </is>
      </c>
      <c r="H12" s="4" t="inlineStr">
        <is>
          <t>RET pot</t>
        </is>
      </c>
      <c r="I12" s="4" t="inlineStr">
        <is>
          <t>annual spend × lifestyle, grown to retirement, × annuity over years in retirement</t>
        </is>
      </c>
      <c r="J12" s="4" t="inlineStr">
        <is>
          <t>RET_LIFESTYLE_FRUGAL / STRESSFREE / ONLYTHEBEST; LON_AGE (R_LON)</t>
        </is>
      </c>
      <c r="K12" s="4" t="inlineStr">
        <is>
          <t>Live. R_LON stress: need re-sized to LON_AGE 99</t>
        </is>
      </c>
    </row>
    <row r="13">
      <c r="A13" s="9" t="inlineStr">
        <is>
          <t>N_EDU</t>
        </is>
      </c>
      <c r="B13" s="9" t="inlineStr">
        <is>
          <t>—</t>
        </is>
      </c>
      <c r="C13" s="9" t="inlineStr">
        <is>
          <t>EDU</t>
        </is>
      </c>
      <c r="D13" s="9" t="inlineStr">
        <is>
          <t>Wealth · calculator</t>
        </is>
      </c>
      <c r="E13" s="4" t="inlineStr">
        <is>
          <t>Child's university education</t>
        </is>
      </c>
      <c r="F13" s="4" t="inlineStr">
        <is>
          <t>Education (education)</t>
        </is>
      </c>
      <c r="G13" s="4" t="inlineStr">
        <is>
          <t>N_EDU</t>
        </is>
      </c>
      <c r="H13" s="4" t="inlineStr">
        <is>
          <t>goal pot</t>
        </is>
      </c>
      <c r="I13" s="4" t="inlineStr">
        <is>
          <t>EDU_COST grown at inflation to target year</t>
        </is>
      </c>
      <c r="J13" s="4" t="inlineStr">
        <is>
          <t>EDU_COST, EDU_YEARS_DEFAULT</t>
        </is>
      </c>
      <c r="K13" s="4" t="inlineStr">
        <is>
          <t>Live</t>
        </is>
      </c>
    </row>
    <row r="14">
      <c r="A14" s="9" t="inlineStr">
        <is>
          <t>N_SAV</t>
        </is>
      </c>
      <c r="B14" s="9" t="inlineStr">
        <is>
          <t>—</t>
        </is>
      </c>
      <c r="C14" s="9" t="inlineStr">
        <is>
          <t>SAV</t>
        </is>
      </c>
      <c r="D14" s="9" t="inlineStr">
        <is>
          <t>Wealth · calculator</t>
        </is>
      </c>
      <c r="E14" s="4" t="inlineStr">
        <is>
          <t>Savings goal</t>
        </is>
      </c>
      <c r="F14" s="4" t="inlineStr">
        <is>
          <t>General Savings (general_savings)</t>
        </is>
      </c>
      <c r="G14" s="4" t="inlineStr">
        <is>
          <t>N_SAV</t>
        </is>
      </c>
      <c r="H14" s="4" t="inlineStr">
        <is>
          <t>goal pot</t>
        </is>
      </c>
      <c r="I14" s="4" t="inlineStr">
        <is>
          <t>stored amount, else SAV_INCOME_MULT × annual income</t>
        </is>
      </c>
      <c r="J14" s="4" t="inlineStr">
        <is>
          <t>SAV_INCOME_MULT</t>
        </is>
      </c>
      <c r="K14" s="4" t="inlineStr">
        <is>
          <t>Live. No longer swapped with N_PRP</t>
        </is>
      </c>
    </row>
    <row r="15">
      <c r="A15" s="9" t="inlineStr">
        <is>
          <t>N_PRP</t>
        </is>
      </c>
      <c r="B15" s="9" t="inlineStr">
        <is>
          <t>—</t>
        </is>
      </c>
      <c r="C15" s="9" t="inlineStr">
        <is>
          <t>PRP</t>
        </is>
      </c>
      <c r="D15" s="9" t="inlineStr">
        <is>
          <t>Wealth · calculator</t>
        </is>
      </c>
      <c r="E15" s="4" t="inlineStr">
        <is>
          <t>Home purchase</t>
        </is>
      </c>
      <c r="F15" s="4" t="inlineStr">
        <is>
          <t>none (no home-purchase label)</t>
        </is>
      </c>
      <c r="G15" s="4" t="inlineStr">
        <is>
          <t>N_PRP</t>
        </is>
      </c>
      <c r="H15" s="4" t="inlineStr">
        <is>
          <t>goal pot</t>
        </is>
      </c>
      <c r="I15" s="4" t="inlineStr">
        <is>
          <t>stored amount, else PRP_INCOME_MULT × annual income</t>
        </is>
      </c>
      <c r="J15" s="4" t="inlineStr">
        <is>
          <t>PRP_INCOME_MULT</t>
        </is>
      </c>
      <c r="K15" s="4" t="inlineStr">
        <is>
          <t>Separated from Home Protection. Off unless the customer switches it on</t>
        </is>
      </c>
    </row>
    <row r="16">
      <c r="A16" s="10" t="inlineStr">
        <is>
          <t>N_HOM</t>
        </is>
      </c>
      <c r="B16" s="10" t="inlineStr">
        <is>
          <t>—</t>
        </is>
      </c>
      <c r="C16" s="10" t="inlineStr">
        <is>
          <t>HOM</t>
        </is>
      </c>
      <c r="D16" s="10" t="inlineStr">
        <is>
          <t>Coverage · parked</t>
        </is>
      </c>
      <c r="E16" s="4" t="inlineStr">
        <is>
          <t>Home protection</t>
        </is>
      </c>
      <c r="F16" s="4" t="inlineStr">
        <is>
          <t>Home Protection (home)</t>
        </is>
      </c>
      <c r="G16" s="4" t="inlineStr">
        <is>
          <t>—</t>
        </is>
      </c>
      <c r="H16" s="4" t="inlineStr">
        <is>
          <t>—</t>
        </is>
      </c>
      <c r="I16" s="4" t="inlineStr">
        <is>
          <t>no calculator</t>
        </is>
      </c>
      <c r="J16" s="4" t="inlineStr">
        <is>
          <t>—</t>
        </is>
      </c>
      <c r="K16" s="4" t="inlineStr">
        <is>
          <t>Scored and prioritised only</t>
        </is>
      </c>
    </row>
    <row r="17">
      <c r="A17" s="10" t="inlineStr">
        <is>
          <t>N_CAR</t>
        </is>
      </c>
      <c r="B17" s="10" t="inlineStr">
        <is>
          <t>—</t>
        </is>
      </c>
      <c r="C17" s="10" t="inlineStr">
        <is>
          <t>CAR</t>
        </is>
      </c>
      <c r="D17" s="10" t="inlineStr">
        <is>
          <t>Coverage · parked</t>
        </is>
      </c>
      <c r="E17" s="4" t="inlineStr">
        <is>
          <t>Car protection</t>
        </is>
      </c>
      <c r="F17" s="4" t="inlineStr">
        <is>
          <t>Car Protection (motor)</t>
        </is>
      </c>
      <c r="G17" s="4" t="inlineStr">
        <is>
          <t>—</t>
        </is>
      </c>
      <c r="H17" s="4" t="inlineStr">
        <is>
          <t>—</t>
        </is>
      </c>
      <c r="I17" s="4" t="inlineStr">
        <is>
          <t>no calculator</t>
        </is>
      </c>
      <c r="J17" s="4" t="inlineStr">
        <is>
          <t>—</t>
        </is>
      </c>
      <c r="K17" s="4" t="inlineStr">
        <is>
          <t>Scored and prioritised only</t>
        </is>
      </c>
    </row>
    <row r="18">
      <c r="A18" s="10" t="inlineStr">
        <is>
          <t>N_TRV</t>
        </is>
      </c>
      <c r="B18" s="10" t="inlineStr">
        <is>
          <t>—</t>
        </is>
      </c>
      <c r="C18" s="10" t="inlineStr">
        <is>
          <t>TRV</t>
        </is>
      </c>
      <c r="D18" s="10" t="inlineStr">
        <is>
          <t>Coverage · parked</t>
        </is>
      </c>
      <c r="E18" s="4" t="inlineStr">
        <is>
          <t>Travel protection</t>
        </is>
      </c>
      <c r="F18" s="4" t="inlineStr">
        <is>
          <t>Travel Protection (travel)</t>
        </is>
      </c>
      <c r="G18" s="4" t="inlineStr">
        <is>
          <t>—</t>
        </is>
      </c>
      <c r="H18" s="4" t="inlineStr">
        <is>
          <t>—</t>
        </is>
      </c>
      <c r="I18" s="4" t="inlineStr">
        <is>
          <t>no calculator</t>
        </is>
      </c>
      <c r="J18" s="4" t="inlineStr">
        <is>
          <t>—</t>
        </is>
      </c>
      <c r="K18" s="4" t="inlineStr">
        <is>
          <t>Scored and prioritised only</t>
        </is>
      </c>
    </row>
    <row r="19">
      <c r="A19" s="11" t="inlineStr">
        <is>
          <t>—</t>
        </is>
      </c>
      <c r="B19" s="11" t="inlineStr">
        <is>
          <t>—</t>
        </is>
      </c>
      <c r="C19" s="11" t="inlineStr">
        <is>
          <t>—</t>
        </is>
      </c>
      <c r="D19" s="11" t="inlineStr">
        <is>
          <t>Dropped</t>
        </is>
      </c>
      <c r="E19" s="4" t="inlineStr">
        <is>
          <t>Farewell</t>
        </is>
      </c>
      <c r="F19" s="4" t="inlineStr">
        <is>
          <t>Farewell (farewell)</t>
        </is>
      </c>
      <c r="G19" s="4" t="inlineStr">
        <is>
          <t>funeral lump dropped</t>
        </is>
      </c>
      <c r="H19" s="4" t="inlineStr">
        <is>
          <t>—</t>
        </is>
      </c>
      <c r="I19" s="4" t="inlineStr">
        <is>
          <t>—</t>
        </is>
      </c>
      <c r="J19" s="4" t="inlineStr">
        <is>
          <t>funeralLump removed</t>
        </is>
      </c>
      <c r="K19" s="4" t="inlineStr">
        <is>
          <t>Dropped V0-16</t>
        </is>
      </c>
    </row>
    <row r="21">
      <c r="A21" s="5" t="inlineStr">
        <is>
          <t>RISKS AND STRESS EVENTS</t>
        </is>
      </c>
    </row>
    <row r="22">
      <c r="A22" s="3" t="inlineStr">
        <is>
          <t>Code</t>
        </is>
      </c>
      <c r="B22" s="3" t="inlineStr">
        <is>
          <t>Was (id)</t>
        </is>
      </c>
      <c r="C22" s="3" t="inlineStr">
        <is>
          <t>Label</t>
        </is>
      </c>
      <c r="D22" s="3" t="inlineStr">
        <is>
          <t>Need</t>
        </is>
      </c>
      <c r="E22" s="3" t="inlineStr">
        <is>
          <t>Kind</t>
        </is>
      </c>
    </row>
    <row r="23">
      <c r="A23" s="4" t="inlineStr">
        <is>
          <t>R_DEA</t>
        </is>
      </c>
      <c r="B23" s="4" t="inlineStr">
        <is>
          <t>death</t>
        </is>
      </c>
      <c r="C23" s="4" t="inlineStr">
        <is>
          <t>Death</t>
        </is>
      </c>
      <c r="D23" s="4" t="inlineStr">
        <is>
          <t>N_INC</t>
        </is>
      </c>
      <c r="E23" s="4" t="inlineStr">
        <is>
          <t>Need risk</t>
        </is>
      </c>
    </row>
    <row r="24">
      <c r="A24" s="4" t="inlineStr">
        <is>
          <t>R_CRI</t>
        </is>
      </c>
      <c r="B24" s="4" t="inlineStr">
        <is>
          <t>ci</t>
        </is>
      </c>
      <c r="C24" s="4" t="inlineStr">
        <is>
          <t>Critical illness</t>
        </is>
      </c>
      <c r="D24" s="4" t="inlineStr">
        <is>
          <t>N_CRI</t>
        </is>
      </c>
      <c r="E24" s="4" t="inlineStr">
        <is>
          <t>Need risk</t>
        </is>
      </c>
    </row>
    <row r="25">
      <c r="A25" s="4" t="inlineStr">
        <is>
          <t>R_TPD</t>
        </is>
      </c>
      <c r="B25" s="4" t="inlineStr">
        <is>
          <t>tpd</t>
        </is>
      </c>
      <c r="C25" s="4" t="inlineStr">
        <is>
          <t>Total &amp; permanent disability</t>
        </is>
      </c>
      <c r="D25" s="4" t="inlineStr">
        <is>
          <t>N_TPD</t>
        </is>
      </c>
      <c r="E25" s="4" t="inlineStr">
        <is>
          <t>Need risk</t>
        </is>
      </c>
    </row>
    <row r="26">
      <c r="A26" s="4" t="inlineStr">
        <is>
          <t>R_HOS</t>
        </is>
      </c>
      <c r="B26" s="4" t="inlineStr">
        <is>
          <t>hosp</t>
        </is>
      </c>
      <c r="C26" s="4" t="inlineStr">
        <is>
          <t>Hospitalisation</t>
        </is>
      </c>
      <c r="D26" s="4" t="inlineStr">
        <is>
          <t>N_HOS</t>
        </is>
      </c>
      <c r="E26" s="4" t="inlineStr">
        <is>
          <t>Need risk</t>
        </is>
      </c>
    </row>
    <row r="27">
      <c r="A27" s="4" t="inlineStr">
        <is>
          <t>R_PAC</t>
        </is>
      </c>
      <c r="B27" s="4" t="inlineStr">
        <is>
          <t>pa</t>
        </is>
      </c>
      <c r="C27" s="4" t="inlineStr">
        <is>
          <t>Personal accident</t>
        </is>
      </c>
      <c r="D27" s="4" t="inlineStr">
        <is>
          <t>N_PAC</t>
        </is>
      </c>
      <c r="E27" s="4" t="inlineStr">
        <is>
          <t>Need risk</t>
        </is>
      </c>
    </row>
    <row r="28">
      <c r="A28" s="4" t="inlineStr">
        <is>
          <t>R_ADB</t>
        </is>
      </c>
      <c r="B28" s="4" t="inlineStr">
        <is>
          <t>—</t>
        </is>
      </c>
      <c r="C28" s="4" t="inlineStr">
        <is>
          <t>Accidental death</t>
        </is>
      </c>
      <c r="D28" s="4" t="inlineStr">
        <is>
          <t>N_ADB</t>
        </is>
      </c>
      <c r="E28" s="4" t="inlineStr">
        <is>
          <t>Need risk (no stress event yet)</t>
        </is>
      </c>
    </row>
    <row r="29">
      <c r="A29" s="4" t="inlineStr">
        <is>
          <t>R_LON</t>
        </is>
      </c>
      <c r="B29" s="4" t="inlineStr">
        <is>
          <t>— (new V0-18)</t>
        </is>
      </c>
      <c r="C29" s="4" t="inlineStr">
        <is>
          <t>Longevity: live until LON_AGE (99)</t>
        </is>
      </c>
      <c r="D29" s="4" t="inlineStr">
        <is>
          <t>N_RET</t>
        </is>
      </c>
      <c r="E29" s="4" t="inlineStr">
        <is>
          <t>Need risk · stress event</t>
        </is>
      </c>
    </row>
    <row r="30">
      <c r="A30" s="4" t="inlineStr">
        <is>
          <t>R_LTC</t>
        </is>
      </c>
      <c r="B30" s="4" t="inlineStr">
        <is>
          <t>care</t>
        </is>
      </c>
      <c r="C30" s="4" t="inlineStr">
        <is>
          <t>Long-term care</t>
        </is>
      </c>
      <c r="D30" s="4" t="inlineStr">
        <is>
          <t>—</t>
        </is>
      </c>
      <c r="E30" s="4" t="inlineStr">
        <is>
          <t>Stress event (no need yet)</t>
        </is>
      </c>
    </row>
    <row r="31">
      <c r="A31" s="4" t="inlineStr">
        <is>
          <t>R_MKT</t>
        </is>
      </c>
      <c r="B31" s="4" t="inlineStr">
        <is>
          <t>crash</t>
        </is>
      </c>
      <c r="C31" s="4" t="inlineStr">
        <is>
          <t>Market crash</t>
        </is>
      </c>
      <c r="D31" s="4" t="inlineStr">
        <is>
          <t>—</t>
        </is>
      </c>
      <c r="E31" s="4" t="inlineStr">
        <is>
          <t>Market event</t>
        </is>
      </c>
    </row>
    <row r="32">
      <c r="A32" s="4" t="inlineStr">
        <is>
          <t>R_CCY</t>
        </is>
      </c>
      <c r="B32" s="4" t="inlineStr">
        <is>
          <t>ccy</t>
        </is>
      </c>
      <c r="C32" s="4" t="inlineStr">
        <is>
          <t>Currency shock</t>
        </is>
      </c>
      <c r="D32" s="4" t="inlineStr">
        <is>
          <t>—</t>
        </is>
      </c>
      <c r="E32" s="4" t="inlineStr">
        <is>
          <t>Market event</t>
        </is>
      </c>
    </row>
    <row r="33">
      <c r="A33" s="4" t="inlineStr">
        <is>
          <t>R_INF</t>
        </is>
      </c>
      <c r="B33" s="4" t="inlineStr">
        <is>
          <t>infl</t>
        </is>
      </c>
      <c r="C33" s="4" t="inlineStr">
        <is>
          <t>Inflation shock</t>
        </is>
      </c>
      <c r="D33" s="4" t="inlineStr">
        <is>
          <t>—</t>
        </is>
      </c>
      <c r="E33" s="4" t="inlineStr">
        <is>
          <t>Market event</t>
        </is>
      </c>
    </row>
    <row r="34">
      <c r="A34" s="4" t="inlineStr">
        <is>
          <t>R_ICT</t>
        </is>
      </c>
      <c r="B34" s="4" t="inlineStr">
        <is>
          <t>inc</t>
        </is>
      </c>
      <c r="C34" s="4" t="inlineStr">
        <is>
          <t>Income cut</t>
        </is>
      </c>
      <c r="D34" s="4" t="inlineStr">
        <is>
          <t>—</t>
        </is>
      </c>
      <c r="E34" s="4" t="inlineStr">
        <is>
          <t>Household event</t>
        </is>
      </c>
    </row>
    <row r="35">
      <c r="A35" s="4" t="inlineStr">
        <is>
          <t>R_EXP</t>
        </is>
      </c>
      <c r="B35" s="4" t="inlineStr">
        <is>
          <t>exp</t>
        </is>
      </c>
      <c r="C35" s="4" t="inlineStr">
        <is>
          <t>Expense shock</t>
        </is>
      </c>
      <c r="D35" s="4" t="inlineStr">
        <is>
          <t>—</t>
        </is>
      </c>
      <c r="E35" s="4" t="inlineStr">
        <is>
          <t>Household event</t>
        </is>
      </c>
    </row>
    <row r="36">
      <c r="A36" s="4" t="inlineStr">
        <is>
          <t>R_WED</t>
        </is>
      </c>
      <c r="B36" s="4" t="inlineStr">
        <is>
          <t>wed</t>
        </is>
      </c>
      <c r="C36" s="4" t="inlineStr">
        <is>
          <t>Wedding / marriage</t>
        </is>
      </c>
      <c r="D36" s="4" t="inlineStr">
        <is>
          <t>—</t>
        </is>
      </c>
      <c r="E36" s="4" t="inlineStr">
        <is>
          <t>Life event</t>
        </is>
      </c>
    </row>
    <row r="37">
      <c r="A37" s="4" t="inlineStr">
        <is>
          <t>R_BAB</t>
        </is>
      </c>
      <c r="B37" s="4" t="inlineStr">
        <is>
          <t>baby</t>
        </is>
      </c>
      <c r="C37" s="4" t="inlineStr">
        <is>
          <t>Newborn</t>
        </is>
      </c>
      <c r="D37" s="4" t="inlineStr">
        <is>
          <t>—</t>
        </is>
      </c>
      <c r="E37" s="4" t="inlineStr">
        <is>
          <t>Life event</t>
        </is>
      </c>
    </row>
    <row r="39">
      <c r="A39" s="5" t="inlineStr">
        <is>
          <t>PARAMETER NAMES (Assumptions named cells)</t>
        </is>
      </c>
    </row>
    <row r="40">
      <c r="A40" s="3" t="inlineStr">
        <is>
          <t>New name</t>
        </is>
      </c>
      <c r="B40" s="3" t="inlineStr">
        <is>
          <t>Was</t>
        </is>
      </c>
      <c r="C40" s="3" t="inlineStr">
        <is>
          <t>Need</t>
        </is>
      </c>
    </row>
    <row r="41">
      <c r="A41" s="4" t="inlineStr">
        <is>
          <t>INC_SUPPORT_MIN</t>
        </is>
      </c>
      <c r="B41" s="4" t="inlineStr">
        <is>
          <t>lifeSupportMin</t>
        </is>
      </c>
      <c r="C41" s="4" t="inlineStr">
        <is>
          <t>N_INC</t>
        </is>
      </c>
    </row>
    <row r="42">
      <c r="A42" s="4" t="inlineStr">
        <is>
          <t>INC_SUPPORT_MAX</t>
        </is>
      </c>
      <c r="B42" s="4" t="inlineStr">
        <is>
          <t>lifeSupportMax</t>
        </is>
      </c>
      <c r="C42" s="4" t="inlineStr">
        <is>
          <t>N_INC</t>
        </is>
      </c>
    </row>
    <row r="43">
      <c r="A43" s="4" t="inlineStr">
        <is>
          <t>INC_SUPPORT_PIVOT_AGE</t>
        </is>
      </c>
      <c r="B43" s="4" t="inlineStr">
        <is>
          <t>lifeSupportPivotAge</t>
        </is>
      </c>
      <c r="C43" s="4" t="inlineStr">
        <is>
          <t>N_INC</t>
        </is>
      </c>
    </row>
    <row r="44">
      <c r="A44" s="4" t="inlineStr">
        <is>
          <t>CRI_YEARS</t>
        </is>
      </c>
      <c r="B44" s="4" t="inlineStr">
        <is>
          <t>CI_YEARS</t>
        </is>
      </c>
      <c r="C44" s="4" t="inlineStr">
        <is>
          <t>N_CRI</t>
        </is>
      </c>
    </row>
    <row r="45">
      <c r="A45" s="4" t="inlineStr">
        <is>
          <t>CRI_COST</t>
        </is>
      </c>
      <c r="B45" s="4" t="inlineStr">
        <is>
          <t>CI_COST</t>
        </is>
      </c>
      <c r="C45" s="4" t="inlineStr">
        <is>
          <t>N_CRI</t>
        </is>
      </c>
    </row>
    <row r="46">
      <c r="A46" s="4" t="inlineStr">
        <is>
          <t>TPD_YEARS</t>
        </is>
      </c>
      <c r="B46" s="4" t="inlineStr">
        <is>
          <t>TPD_YEARS</t>
        </is>
      </c>
      <c r="C46" s="4" t="inlineStr">
        <is>
          <t>N_TPD</t>
        </is>
      </c>
    </row>
    <row r="47">
      <c r="A47" s="4" t="inlineStr">
        <is>
          <t>TPD_COST</t>
        </is>
      </c>
      <c r="B47" s="4" t="inlineStr">
        <is>
          <t>TPD_COST</t>
        </is>
      </c>
      <c r="C47" s="4" t="inlineStr">
        <is>
          <t>N_TPD</t>
        </is>
      </c>
    </row>
    <row r="48">
      <c r="A48" s="4" t="inlineStr">
        <is>
          <t>HOS_MONTHS</t>
        </is>
      </c>
      <c r="B48" s="4" t="inlineStr">
        <is>
          <t>HOSP_MONTHS</t>
        </is>
      </c>
      <c r="C48" s="4" t="inlineStr">
        <is>
          <t>N_HOS</t>
        </is>
      </c>
    </row>
    <row r="49">
      <c r="A49" s="4" t="inlineStr">
        <is>
          <t>PAC_YEARS</t>
        </is>
      </c>
      <c r="B49" s="4" t="inlineStr">
        <is>
          <t>(new)</t>
        </is>
      </c>
      <c r="C49" s="4" t="inlineStr">
        <is>
          <t>N_PAC</t>
        </is>
      </c>
    </row>
    <row r="50">
      <c r="A50" s="4" t="inlineStr">
        <is>
          <t>PAC_COST</t>
        </is>
      </c>
      <c r="B50" s="4" t="inlineStr">
        <is>
          <t>(new)</t>
        </is>
      </c>
      <c r="C50" s="4" t="inlineStr">
        <is>
          <t>N_PAC</t>
        </is>
      </c>
    </row>
    <row r="51">
      <c r="A51" s="4" t="inlineStr">
        <is>
          <t>LON_AGE</t>
        </is>
      </c>
      <c r="B51" s="4" t="inlineStr">
        <is>
          <t>(new)</t>
        </is>
      </c>
      <c r="C51" s="4" t="inlineStr">
        <is>
          <t>N_RET · R_LON</t>
        </is>
      </c>
    </row>
    <row r="52">
      <c r="A52" s="4" t="inlineStr">
        <is>
          <t>RET_LIFESTYLE_FRUGAL</t>
        </is>
      </c>
      <c r="B52" s="4" t="inlineStr">
        <is>
          <t>lifestyleFrugal</t>
        </is>
      </c>
      <c r="C52" s="4" t="inlineStr">
        <is>
          <t>N_RET</t>
        </is>
      </c>
    </row>
    <row r="53">
      <c r="A53" s="4" t="inlineStr">
        <is>
          <t>RET_LIFESTYLE_STRESSFREE</t>
        </is>
      </c>
      <c r="B53" s="4" t="inlineStr">
        <is>
          <t>lifestyleStressFree</t>
        </is>
      </c>
      <c r="C53" s="4" t="inlineStr">
        <is>
          <t>N_RET</t>
        </is>
      </c>
    </row>
    <row r="54">
      <c r="A54" s="4" t="inlineStr">
        <is>
          <t>RET_LIFESTYLE_ONLYTHEBEST</t>
        </is>
      </c>
      <c r="B54" s="4" t="inlineStr">
        <is>
          <t>lifestyleOnlyTheBest</t>
        </is>
      </c>
      <c r="C54" s="4" t="inlineStr">
        <is>
          <t>N_RET</t>
        </is>
      </c>
    </row>
    <row r="55">
      <c r="A55" s="4" t="inlineStr">
        <is>
          <t>EDU_COST</t>
        </is>
      </c>
      <c r="B55" s="4" t="inlineStr">
        <is>
          <t>EDU_TOTAL_COST</t>
        </is>
      </c>
      <c r="C55" s="4" t="inlineStr">
        <is>
          <t>N_EDU</t>
        </is>
      </c>
    </row>
    <row r="56">
      <c r="A56" s="4" t="inlineStr">
        <is>
          <t>EDU_YEARS_DEFAULT</t>
        </is>
      </c>
      <c r="B56" s="4" t="inlineStr">
        <is>
          <t>eduYearsDefault</t>
        </is>
      </c>
      <c r="C56" s="4" t="inlineStr">
        <is>
          <t>N_EDU</t>
        </is>
      </c>
    </row>
    <row r="57">
      <c r="A57" s="4" t="inlineStr">
        <is>
          <t>SAV_INCOME_MULT</t>
        </is>
      </c>
      <c r="B57" s="4" t="inlineStr">
        <is>
          <t>savIncomeMultiple</t>
        </is>
      </c>
      <c r="C57" s="4" t="inlineStr">
        <is>
          <t>N_SAV</t>
        </is>
      </c>
    </row>
    <row r="58">
      <c r="A58" s="4" t="inlineStr">
        <is>
          <t>PRP_INCOME_MULT</t>
        </is>
      </c>
      <c r="B58" s="4" t="inlineStr">
        <is>
          <t>prpIncomeMultiple</t>
        </is>
      </c>
      <c r="C58" s="4" t="inlineStr">
        <is>
          <t>N_PRP</t>
        </is>
      </c>
    </row>
    <row r="59">
      <c r="A59" s="4" t="inlineStr">
        <is>
          <t>CRI_MEDICAL_HU</t>
        </is>
      </c>
      <c r="B59" s="4" t="inlineStr">
        <is>
          <t>criMedicalPlaceholder</t>
        </is>
      </c>
      <c r="C59" s="4" t="inlineStr">
        <is>
          <t>N_CRI (HappiU payload)</t>
        </is>
      </c>
    </row>
    <row r="60">
      <c r="A60" s="4" t="inlineStr">
        <is>
          <t>(removed)</t>
        </is>
      </c>
      <c r="B60" s="4" t="inlineStr">
        <is>
          <t>funeralLump</t>
        </is>
      </c>
      <c r="C60" s="4" t="inlineStr">
        <is>
          <t>Farewell (dropped)</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12" t="inlineStr">
        <is>
          <t>Selected persona</t>
        </is>
      </c>
      <c r="B2" s="13" t="inlineStr">
        <is>
          <t>P01</t>
        </is>
      </c>
      <c r="C2" s="14">
        <f>IFERROR(INDEX(Personas!B$3:B$52,MATCH($B$2,Personas!$A$3:$A$52,0)),"")</f>
        <v/>
      </c>
      <c r="D2" s="2" t="inlineStr">
        <is>
          <t>This is the only picker. CPF, People Like You, Need Profiler, Need Calculator, Plan, Budget, FX, and Validation follow this cell.</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ABOUT YOU  —  from the Personas row (edit there)</t>
        </is>
      </c>
      <c r="B4" s="12" t="n"/>
      <c r="C4" s="12" t="n"/>
      <c r="D4" s="12" t="n"/>
      <c r="F4" s="16" t="inlineStr">
        <is>
          <t>C · DETERMINISTICALLY CALCULATED</t>
        </is>
      </c>
    </row>
    <row r="5">
      <c r="A5" s="17" t="inlineStr">
        <is>
          <t>name</t>
        </is>
      </c>
      <c r="B5" s="13">
        <f>IFERROR(INDEX(Personas!B$3:B$52,MATCH($B$2,Personas!$A$3:$A$52,0)),"")</f>
        <v/>
      </c>
      <c r="C5" s="13" t="inlineStr">
        <is>
          <t>A · input</t>
        </is>
      </c>
      <c r="D5" s="18" t="inlineStr">
        <is>
          <t>Personas B.</t>
        </is>
      </c>
      <c r="F5" s="19" t="inlineStr">
        <is>
          <t>D · ASSUMPTIONS / SHARED DATA</t>
        </is>
      </c>
    </row>
    <row r="6">
      <c r="A6" s="17" t="inlineStr">
        <is>
          <t>age</t>
        </is>
      </c>
      <c r="B6" s="20">
        <f>IFERROR(INDEX(Personas!C$3:C$52,MATCH($B$2,Personas!$A$3:$A$52,0)),"")</f>
        <v/>
      </c>
      <c r="C6" s="13" t="inlineStr">
        <is>
          <t>A · input</t>
        </is>
      </c>
      <c r="D6" s="18" t="inlineStr">
        <is>
          <t>Personas C.</t>
        </is>
      </c>
      <c r="F6" s="21" t="inlineStr">
        <is>
          <t>E · USER / FRONTEND OVERRIDE</t>
        </is>
      </c>
    </row>
    <row r="7">
      <c r="A7" s="17" t="inlineStr">
        <is>
          <t>gender</t>
        </is>
      </c>
      <c r="B7" s="13">
        <f>IFERROR(INDEX(Personas!D$3:D$52,MATCH($B$2,Personas!$A$3:$A$52,0)),"")</f>
        <v/>
      </c>
      <c r="C7" s="13" t="inlineStr">
        <is>
          <t>A · input</t>
        </is>
      </c>
      <c r="D7" s="18" t="inlineStr">
        <is>
          <t>Personas D.</t>
        </is>
      </c>
    </row>
    <row r="8">
      <c r="A8" s="17" t="inlineStr">
        <is>
          <t>residency</t>
        </is>
      </c>
      <c r="B8" s="13">
        <f>IFERROR(INDEX(Personas!E$3:E$52,MATCH($B$2,Personas!$A$3:$A$52,0)),"")</f>
        <v/>
      </c>
      <c r="C8" s="13" t="inlineStr">
        <is>
          <t>A · input</t>
        </is>
      </c>
      <c r="D8" s="18" t="inlineStr">
        <is>
          <t>Personas E.</t>
        </is>
      </c>
    </row>
    <row r="9">
      <c r="A9" s="17" t="inlineStr">
        <is>
          <t>country</t>
        </is>
      </c>
      <c r="B9" s="13">
        <f>IFERROR(INDEX(Personas!F$3:F$52,MATCH($B$2,Personas!$A$3:$A$52,0)),"")</f>
        <v/>
      </c>
      <c r="C9" s="13" t="inlineStr">
        <is>
          <t>A · input</t>
        </is>
      </c>
      <c r="D9" s="18" t="inlineStr">
        <is>
          <t>Personas F. CPF on/off uses this.</t>
        </is>
      </c>
    </row>
    <row r="10">
      <c r="A10" s="17" t="inlineStr">
        <is>
          <t>occupation</t>
        </is>
      </c>
      <c r="B10" s="13">
        <f>IFERROR(INDEX(Personas!G$3:G$52,MATCH($B$2,Personas!$A$3:$A$52,0)),"")</f>
        <v/>
      </c>
      <c r="C10" s="13" t="inlineStr">
        <is>
          <t>A · input</t>
        </is>
      </c>
      <c r="D10" s="18" t="inlineStr">
        <is>
          <t>Personas G. Income clamp band.</t>
        </is>
      </c>
    </row>
    <row r="11">
      <c r="A11" s="17" t="inlineStr">
        <is>
          <t>dependents</t>
        </is>
      </c>
      <c r="B11" s="20">
        <f>IFERROR(INDEX(Personas!H$3:H$52,MATCH($B$2,Personas!$A$3:$A$52,0)),"")</f>
        <v/>
      </c>
      <c r="C11" s="13" t="inlineStr">
        <is>
          <t>A · input</t>
        </is>
      </c>
      <c r="D11" s="18" t="inlineStr">
        <is>
          <t>Personas H.</t>
        </is>
      </c>
    </row>
    <row r="12">
      <c r="A12" s="17" t="inlineStr">
        <is>
          <t>maritalStatus</t>
        </is>
      </c>
      <c r="B12" s="13">
        <f>IFERROR(INDEX(Personas!I$3:I$52,MATCH($B$2,Personas!$A$3:$A$52,0)),"")</f>
        <v/>
      </c>
      <c r="C12" s="13" t="inlineStr">
        <is>
          <t>A · input</t>
        </is>
      </c>
      <c r="D12" s="18" t="inlineStr">
        <is>
          <t>Personas I. Blank = infer on People Like You.</t>
        </is>
      </c>
    </row>
    <row r="13">
      <c r="A13" s="17" t="inlineStr">
        <is>
          <t>what this row varies</t>
        </is>
      </c>
      <c r="B13" s="13">
        <f>IFERROR(INDEX(Personas!AD$3:AD$52,MATCH($B$2,Personas!$A$3:$A$52,0)),"")</f>
        <v/>
      </c>
      <c r="C13" s="13" t="inlineStr">
        <is>
          <t>A · input</t>
        </is>
      </c>
      <c r="D13" s="18" t="inlineStr">
        <is>
          <t>Personas AD. Why this persona exists.</t>
        </is>
      </c>
    </row>
    <row r="15">
      <c r="A15" s="15" t="inlineStr">
        <is>
          <t>B · LLM PREDICTED  —  from the Personas row (edit there)</t>
        </is>
      </c>
      <c r="B15" s="15" t="n"/>
      <c r="C15" s="15" t="n"/>
      <c r="D15" s="15" t="n"/>
    </row>
    <row r="16">
      <c r="A16" s="22" t="inlineStr">
        <is>
          <t>incomeMonthly (LLM)</t>
        </is>
      </c>
      <c r="B16" s="23">
        <f>IFERROR(INDEX(Personas!J$3:J$52,MATCH($B$2,Personas!$A$3:$A$52,0)),"")</f>
        <v/>
      </c>
      <c r="C16" s="24" t="inlineStr">
        <is>
          <t>B · LLM predicted</t>
        </is>
      </c>
      <c r="D16" s="18" t="inlineStr">
        <is>
          <t>Personas J. Before clamp and CPF.</t>
        </is>
      </c>
    </row>
    <row r="17">
      <c r="A17" s="22" t="inlineStr">
        <is>
          <t>currency</t>
        </is>
      </c>
      <c r="B17" s="24">
        <f>IFERROR(INDEX(Personas!K$3:K$52,MATCH($B$2,Personas!$A$3:$A$52,0)),"")</f>
        <v/>
      </c>
      <c r="C17" s="24" t="inlineStr">
        <is>
          <t>B · LLM predicted</t>
        </is>
      </c>
      <c r="D17" s="18" t="inlineStr">
        <is>
          <t>Personas K. FX looks this up.</t>
        </is>
      </c>
    </row>
    <row r="18">
      <c r="A18" s="22" t="inlineStr">
        <is>
          <t>risk ability</t>
        </is>
      </c>
      <c r="B18" s="24">
        <f>IFERROR(INDEX(Personas!L$3:L$52,MATCH($B$2,Personas!$A$3:$A$52,0)),"")</f>
        <v/>
      </c>
      <c r="C18" s="24" t="inlineStr">
        <is>
          <t>B · LLM predicted</t>
        </is>
      </c>
      <c r="D18" s="18" t="inlineStr">
        <is>
          <t>Personas L.</t>
        </is>
      </c>
    </row>
    <row r="19">
      <c r="A19" s="22" t="inlineStr">
        <is>
          <t>price sensitivity</t>
        </is>
      </c>
      <c r="B19" s="24">
        <f>IFERROR(INDEX(Personas!M$3:M$52,MATCH($B$2,Personas!$A$3:$A$52,0)),"")</f>
        <v/>
      </c>
      <c r="C19" s="24" t="inlineStr">
        <is>
          <t>B · LLM predicted</t>
        </is>
      </c>
      <c r="D19" s="18" t="inlineStr">
        <is>
          <t>Personas M.</t>
        </is>
      </c>
    </row>
    <row r="20">
      <c r="A20" s="22" t="inlineStr">
        <is>
          <t>owns property</t>
        </is>
      </c>
      <c r="B20" s="24">
        <f>IFERROR(INDEX(Personas!N$3:N$52,MATCH($B$2,Personas!$A$3:$A$52,0)),"")</f>
        <v/>
      </c>
      <c r="C20" s="24" t="inlineStr">
        <is>
          <t>B · LLM predicted</t>
        </is>
      </c>
      <c r="D20" s="18" t="inlineStr">
        <is>
          <t>Personas N.</t>
        </is>
      </c>
    </row>
    <row r="21">
      <c r="A21" s="22" t="inlineStr">
        <is>
          <t>owns car</t>
        </is>
      </c>
      <c r="B21" s="24">
        <f>IFERROR(INDEX(Personas!O$3:O$52,MATCH($B$2,Personas!$A$3:$A$52,0)),"")</f>
        <v/>
      </c>
      <c r="C21" s="24" t="inlineStr">
        <is>
          <t>B · LLM predicted</t>
        </is>
      </c>
      <c r="D21" s="18" t="inlineStr">
        <is>
          <t>Personas O.</t>
        </is>
      </c>
    </row>
    <row r="22">
      <c r="A22" s="22" t="inlineStr">
        <is>
          <t>is smoker</t>
        </is>
      </c>
      <c r="B22" s="24">
        <f>IFERROR(INDEX(Personas!U$3:U$52,MATCH($B$2,Personas!$A$3:$A$52,0)),"")</f>
        <v/>
      </c>
      <c r="C22" s="24" t="inlineStr">
        <is>
          <t>B · LLM predicted</t>
        </is>
      </c>
      <c r="D22" s="18" t="inlineStr">
        <is>
          <t>Personas U.</t>
        </is>
      </c>
    </row>
    <row r="23">
      <c r="A23" s="22" t="inlineStr">
        <is>
          <t>life expectancy</t>
        </is>
      </c>
      <c r="B23" s="25">
        <f>IFERROR(INDEX(Personas!V$3:V$52,MATCH($B$2,Personas!$A$3:$A$52,0)),"")</f>
        <v/>
      </c>
      <c r="C23" s="24" t="inlineStr">
        <is>
          <t>B · LLM predicted</t>
        </is>
      </c>
      <c r="D23" s="18" t="inlineStr">
        <is>
          <t>Personas V.</t>
        </is>
      </c>
    </row>
    <row r="24">
      <c r="A24" s="22" t="inlineStr">
        <is>
          <t>retirement lifestyle</t>
        </is>
      </c>
      <c r="B24" s="24">
        <f>IFERROR(INDEX(Personas!T$3:T$52,MATCH($B$2,Personas!$A$3:$A$52,0)),"")</f>
        <v/>
      </c>
      <c r="C24" s="24" t="inlineStr">
        <is>
          <t>B · LLM predicted</t>
        </is>
      </c>
      <c r="D24" s="18" t="inlineStr">
        <is>
          <t>Personas T.</t>
        </is>
      </c>
    </row>
    <row r="26">
      <c r="A26" s="16" t="inlineStr">
        <is>
          <t>C · EFFECTIVE SESSION  —  after CPF, People Like You, and Money-page overrides</t>
        </is>
      </c>
      <c r="B26" s="16" t="n"/>
      <c r="C26" s="16" t="n"/>
      <c r="D26" s="16" t="n"/>
    </row>
    <row r="27">
      <c r="A27" s="26" t="inlineStr">
        <is>
          <t>CPF on</t>
        </is>
      </c>
      <c r="B27" s="27">
        <f>CPF_on</f>
        <v/>
      </c>
      <c r="C27" s="27" t="inlineStr">
        <is>
          <t>C · calculated</t>
        </is>
      </c>
      <c r="D27" s="18" t="inlineStr">
        <is>
          <t>From the CPF tab.</t>
        </is>
      </c>
    </row>
    <row r="28">
      <c r="A28" s="26" t="inlineStr">
        <is>
          <t>incomeMonthly</t>
        </is>
      </c>
      <c r="B28" s="28">
        <f>PLU_incomeMonthly</f>
        <v/>
      </c>
      <c r="C28" s="27" t="inlineStr">
        <is>
          <t>C · calculated</t>
        </is>
      </c>
      <c r="D28" s="18" t="inlineStr">
        <is>
          <t>Clamped LLM income.</t>
        </is>
      </c>
    </row>
    <row r="29">
      <c r="A29" s="26" t="inlineStr">
        <is>
          <t>take-home</t>
        </is>
      </c>
      <c r="B29" s="28">
        <f>PLU_takeHome</f>
        <v/>
      </c>
      <c r="C29" s="27" t="inlineStr">
        <is>
          <t>C · calculated</t>
        </is>
      </c>
      <c r="D29" s="18" t="inlineStr">
        <is>
          <t>Gross minus employee CPF when CPF is on.</t>
        </is>
      </c>
    </row>
    <row r="30">
      <c r="A30" s="26" t="inlineStr">
        <is>
          <t>expenseMonthly</t>
        </is>
      </c>
      <c r="B30" s="28">
        <f>PLU_expenseMonthly</f>
        <v/>
      </c>
      <c r="C30" s="27" t="inlineStr">
        <is>
          <t>C · calculated</t>
        </is>
      </c>
      <c r="D30" s="18" t="inlineStr">
        <is>
          <t>Override if Personas W is set.</t>
        </is>
      </c>
    </row>
    <row r="31">
      <c r="A31" s="26" t="inlineStr">
        <is>
          <t>cash</t>
        </is>
      </c>
      <c r="B31" s="29">
        <f>PLU_cash</f>
        <v/>
      </c>
      <c r="C31" s="27" t="inlineStr">
        <is>
          <t>C · calculated</t>
        </is>
      </c>
      <c r="D31" s="18" t="inlineStr">
        <is>
          <t>Cash &amp; Savings.</t>
        </is>
      </c>
    </row>
    <row r="32">
      <c r="A32" s="26" t="inlineStr">
        <is>
          <t>investments</t>
        </is>
      </c>
      <c r="B32" s="29">
        <f>PLU_investments</f>
        <v/>
      </c>
      <c r="C32" s="27" t="inlineStr">
        <is>
          <t>C · calculated</t>
        </is>
      </c>
      <c r="D32" s="18" t="inlineStr"/>
    </row>
    <row r="33">
      <c r="A33" s="26" t="inlineStr">
        <is>
          <t>property</t>
        </is>
      </c>
      <c r="B33" s="29">
        <f>PLU_property</f>
        <v/>
      </c>
      <c r="C33" s="27" t="inlineStr">
        <is>
          <t>C · calculated</t>
        </is>
      </c>
      <c r="D33" s="18" t="inlineStr">
        <is>
          <t>0 if renter.</t>
        </is>
      </c>
    </row>
    <row r="34">
      <c r="A34" s="26" t="inlineStr">
        <is>
          <t>mortgage</t>
        </is>
      </c>
      <c r="B34" s="29">
        <f>PLU_mortgage</f>
        <v/>
      </c>
      <c r="C34" s="27" t="inlineStr">
        <is>
          <t>C · calculated</t>
        </is>
      </c>
      <c r="D34" s="18" t="inlineStr"/>
    </row>
    <row r="35">
      <c r="A35" s="26" t="inlineStr">
        <is>
          <t>PLU liabilities</t>
        </is>
      </c>
      <c r="B35" s="28">
        <f>PLU_liabilities</f>
        <v/>
      </c>
      <c r="C35" s="27" t="inlineStr">
        <is>
          <t>C · calculated</t>
        </is>
      </c>
      <c r="D35" s="18" t="inlineStr">
        <is>
          <t>Not the mortgage.</t>
        </is>
      </c>
    </row>
    <row r="36">
      <c r="A36" s="26" t="inlineStr">
        <is>
          <t>life sum assured</t>
        </is>
      </c>
      <c r="B36" s="29">
        <f>PLU_lifeSum</f>
        <v/>
      </c>
      <c r="C36" s="27" t="inlineStr">
        <is>
          <t>C · calculated</t>
        </is>
      </c>
      <c r="D36" s="18"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4.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12" t="inlineStr">
        <is>
          <t>A · INPUT DATA  —  About you (typed / session)</t>
        </is>
      </c>
      <c r="B1" s="12" t="n"/>
      <c r="C1" s="12" t="n"/>
      <c r="D1" s="12" t="n"/>
      <c r="E1" s="12" t="n"/>
      <c r="F1" s="12" t="n"/>
      <c r="G1" s="12" t="n"/>
      <c r="H1" s="12" t="n"/>
      <c r="I1" s="12" t="n"/>
      <c r="J1" s="15" t="inlineStr">
        <is>
          <t>B · LLM PREDICTED DATA  —  13 fields from people_like_you_all_fields.json</t>
        </is>
      </c>
      <c r="K1" s="15" t="n"/>
      <c r="L1" s="15" t="n"/>
      <c r="M1" s="15" t="n"/>
      <c r="N1" s="15" t="n"/>
      <c r="O1" s="15" t="n"/>
      <c r="P1" s="15" t="n"/>
      <c r="Q1" s="15" t="n"/>
      <c r="R1" s="15" t="n"/>
      <c r="S1" s="15" t="n"/>
      <c r="T1" s="15" t="n"/>
      <c r="U1" s="15" t="n"/>
      <c r="V1" s="15" t="n"/>
      <c r="W1" s="21" t="inlineStr">
        <is>
          <t>E · USER / FRONTEND OVERRIDE  —  Money page (blank = keep People Like You calculated)</t>
        </is>
      </c>
      <c r="X1" s="21" t="n"/>
      <c r="Y1" s="21" t="n"/>
      <c r="Z1" s="21" t="n"/>
      <c r="AA1" s="21" t="n"/>
      <c r="AB1" s="21" t="n"/>
      <c r="AC1" s="21" t="n"/>
      <c r="AD1" s="3" t="inlineStr">
        <is>
          <t>notes</t>
        </is>
      </c>
      <c r="AF1" s="12" t="inlineStr">
        <is>
          <t>A · INPUT DATA</t>
        </is>
      </c>
    </row>
    <row r="2">
      <c r="A2" s="12" t="inlineStr">
        <is>
          <t>id</t>
        </is>
      </c>
      <c r="B2" s="12" t="inlineStr">
        <is>
          <t>name</t>
        </is>
      </c>
      <c r="C2" s="12" t="inlineStr">
        <is>
          <t>age</t>
        </is>
      </c>
      <c r="D2" s="12" t="inlineStr">
        <is>
          <t>gender</t>
        </is>
      </c>
      <c r="E2" s="12" t="inlineStr">
        <is>
          <t>residency</t>
        </is>
      </c>
      <c r="F2" s="12" t="inlineStr">
        <is>
          <t>country</t>
        </is>
      </c>
      <c r="G2" s="12" t="inlineStr">
        <is>
          <t>occupation</t>
        </is>
      </c>
      <c r="H2" s="12" t="inlineStr">
        <is>
          <t>dependents</t>
        </is>
      </c>
      <c r="I2" s="12" t="inlineStr">
        <is>
          <t>maritalStatus (blank = infer)</t>
        </is>
      </c>
      <c r="J2" s="15" t="inlineStr">
        <is>
          <t>income</t>
        </is>
      </c>
      <c r="K2" s="15" t="inlineStr">
        <is>
          <t>currency</t>
        </is>
      </c>
      <c r="L2" s="15" t="inlineStr">
        <is>
          <t>risk_ability</t>
        </is>
      </c>
      <c r="M2" s="15" t="inlineStr">
        <is>
          <t>price_sensitivity</t>
        </is>
      </c>
      <c r="N2" s="15" t="inlineStr">
        <is>
          <t>property</t>
        </is>
      </c>
      <c r="O2" s="15" t="inlineStr">
        <is>
          <t>car</t>
        </is>
      </c>
      <c r="P2" s="15" t="inlineStr">
        <is>
          <t>ward_type</t>
        </is>
      </c>
      <c r="Q2" s="15" t="inlineStr">
        <is>
          <t>hospitalization_type</t>
        </is>
      </c>
      <c r="R2" s="15" t="inlineStr">
        <is>
          <t>travelling</t>
        </is>
      </c>
      <c r="S2" s="15" t="inlineStr">
        <is>
          <t>sports</t>
        </is>
      </c>
      <c r="T2" s="15" t="inlineStr">
        <is>
          <t>retirement_lifestyle</t>
        </is>
      </c>
      <c r="U2" s="15" t="inlineStr">
        <is>
          <t>is_smoker</t>
        </is>
      </c>
      <c r="V2" s="15" t="inlineStr">
        <is>
          <t>life_expectancy</t>
        </is>
      </c>
      <c r="W2" s="21" t="inlineStr">
        <is>
          <t>expenseMonthly</t>
        </is>
      </c>
      <c r="X2" s="21" t="inlineStr">
        <is>
          <t>cash (Cash &amp; Savings)</t>
        </is>
      </c>
      <c r="Y2" s="21" t="inlineStr">
        <is>
          <t>investments</t>
        </is>
      </c>
      <c r="Z2" s="21" t="inlineStr">
        <is>
          <t>property value</t>
        </is>
      </c>
      <c r="AA2" s="21" t="inlineStr">
        <is>
          <t>mortgage (loans)</t>
        </is>
      </c>
      <c r="AB2" s="21" t="inlineStr">
        <is>
          <t>PLU liabilities</t>
        </is>
      </c>
      <c r="AC2" s="21" t="inlineStr">
        <is>
          <t>life sum assured</t>
        </is>
      </c>
      <c r="AD2" s="3" t="inlineStr">
        <is>
          <t>What this row varies</t>
        </is>
      </c>
      <c r="AF2" s="15" t="inlineStr">
        <is>
          <t>B · LLM PREDICTED DATA</t>
        </is>
      </c>
    </row>
    <row r="3">
      <c r="A3" s="13" t="inlineStr">
        <is>
          <t>P01</t>
        </is>
      </c>
      <c r="B3" s="14" t="inlineStr">
        <is>
          <t>Aisha Rahman</t>
        </is>
      </c>
      <c r="C3" s="13" t="n">
        <v>22</v>
      </c>
      <c r="D3" s="13" t="inlineStr">
        <is>
          <t>Female</t>
        </is>
      </c>
      <c r="E3" s="13" t="inlineStr">
        <is>
          <t>Citizen</t>
        </is>
      </c>
      <c r="F3" s="13" t="inlineStr">
        <is>
          <t>Singapore</t>
        </is>
      </c>
      <c r="G3" s="14" t="inlineStr">
        <is>
          <t>Nurse</t>
        </is>
      </c>
      <c r="H3" s="13" t="n">
        <v>0</v>
      </c>
      <c r="I3" s="13" t="inlineStr"/>
      <c r="J3" s="30" t="n">
        <v>4200</v>
      </c>
      <c r="K3" s="24" t="inlineStr">
        <is>
          <t>SGD</t>
        </is>
      </c>
      <c r="L3" s="24" t="inlineStr">
        <is>
          <t>conservative</t>
        </is>
      </c>
      <c r="M3" s="24" t="inlineStr">
        <is>
          <t>high</t>
        </is>
      </c>
      <c r="N3" s="24" t="b">
        <v>0</v>
      </c>
      <c r="O3" s="24" t="b">
        <v>0</v>
      </c>
      <c r="P3" s="24" t="inlineStr">
        <is>
          <t>Ward</t>
        </is>
      </c>
      <c r="Q3" s="24" t="inlineStr">
        <is>
          <t>Public</t>
        </is>
      </c>
      <c r="R3" s="24" t="b">
        <v>0</v>
      </c>
      <c r="S3" s="9" t="inlineStr">
        <is>
          <t>Yoga</t>
        </is>
      </c>
      <c r="T3" s="24" t="inlineStr">
        <is>
          <t>Basic</t>
        </is>
      </c>
      <c r="U3" s="24" t="b">
        <v>0</v>
      </c>
      <c r="V3" s="24" t="n">
        <v>86</v>
      </c>
      <c r="W3" s="31" t="n">
        <v>2268</v>
      </c>
      <c r="X3" s="32" t="n">
        <v>983</v>
      </c>
      <c r="Y3" s="32" t="n">
        <v>5569</v>
      </c>
      <c r="Z3" s="32" t="n">
        <v>0</v>
      </c>
      <c r="AA3" s="32" t="n">
        <v>0</v>
      </c>
      <c r="AB3" s="32" t="n">
        <v>4586.4</v>
      </c>
      <c r="AC3" s="32" t="n">
        <v>0</v>
      </c>
      <c r="AD3" s="33" t="inlineStr">
        <is>
          <t>Nurse; age 22; Citizen; 0 dep; rent; non-smoker</t>
        </is>
      </c>
      <c r="AF3" s="16" t="inlineStr">
        <is>
          <t>C · DETERMINISTICALLY CALCULATED</t>
        </is>
      </c>
    </row>
    <row r="4">
      <c r="A4" s="13" t="inlineStr">
        <is>
          <t>P02</t>
        </is>
      </c>
      <c r="B4" s="14" t="inlineStr">
        <is>
          <t>Wei Ling Tan</t>
        </is>
      </c>
      <c r="C4" s="13" t="n">
        <v>27</v>
      </c>
      <c r="D4" s="13" t="inlineStr">
        <is>
          <t>Male</t>
        </is>
      </c>
      <c r="E4" s="13" t="inlineStr">
        <is>
          <t>PR</t>
        </is>
      </c>
      <c r="F4" s="13" t="inlineStr">
        <is>
          <t>Singapore</t>
        </is>
      </c>
      <c r="G4" s="14" t="inlineStr">
        <is>
          <t>Teacher</t>
        </is>
      </c>
      <c r="H4" s="13" t="n">
        <v>0</v>
      </c>
      <c r="I4" s="13" t="inlineStr"/>
      <c r="J4" s="30" t="n">
        <v>6020</v>
      </c>
      <c r="K4" s="24" t="inlineStr">
        <is>
          <t>SGD</t>
        </is>
      </c>
      <c r="L4" s="24" t="inlineStr">
        <is>
          <t>moderate</t>
        </is>
      </c>
      <c r="M4" s="24" t="inlineStr">
        <is>
          <t>medium</t>
        </is>
      </c>
      <c r="N4" s="24" t="b">
        <v>0</v>
      </c>
      <c r="O4" s="24" t="b">
        <v>1</v>
      </c>
      <c r="P4" s="24" t="inlineStr">
        <is>
          <t>Double</t>
        </is>
      </c>
      <c r="Q4" s="24" t="inlineStr">
        <is>
          <t>Private</t>
        </is>
      </c>
      <c r="R4" s="24" t="b">
        <v>1</v>
      </c>
      <c r="S4" s="9" t="inlineStr">
        <is>
          <t>Running</t>
        </is>
      </c>
      <c r="T4" s="24" t="inlineStr">
        <is>
          <t>Comfortable</t>
        </is>
      </c>
      <c r="U4" s="24" t="b">
        <v>0</v>
      </c>
      <c r="V4" s="24" t="n">
        <v>81</v>
      </c>
      <c r="W4" s="31" t="n">
        <v>3250.8</v>
      </c>
      <c r="X4" s="32" t="n">
        <v>8452</v>
      </c>
      <c r="Y4" s="32" t="n">
        <v>47895</v>
      </c>
      <c r="Z4" s="32" t="n">
        <v>0</v>
      </c>
      <c r="AA4" s="32" t="n">
        <v>0</v>
      </c>
      <c r="AB4" s="32" t="n">
        <v>39443.03999999999</v>
      </c>
      <c r="AC4" s="32" t="n">
        <v>0</v>
      </c>
      <c r="AD4" s="33" t="inlineStr">
        <is>
          <t>Teacher; age 27; PR; 0 dep; rent; non-smoker</t>
        </is>
      </c>
      <c r="AF4" s="19" t="inlineStr">
        <is>
          <t>D · ASSUMPTIONS / SHARED DATA</t>
        </is>
      </c>
    </row>
    <row r="5">
      <c r="A5" s="13" t="inlineStr">
        <is>
          <t>P03</t>
        </is>
      </c>
      <c r="B5" s="14" t="inlineStr">
        <is>
          <t>Daniel Koh</t>
        </is>
      </c>
      <c r="C5" s="13" t="n">
        <v>34</v>
      </c>
      <c r="D5" s="13" t="inlineStr">
        <is>
          <t>Female</t>
        </is>
      </c>
      <c r="E5" s="13" t="inlineStr">
        <is>
          <t>Citizen</t>
        </is>
      </c>
      <c r="F5" s="13" t="inlineStr">
        <is>
          <t>Singapore</t>
        </is>
      </c>
      <c r="G5" s="14" t="inlineStr">
        <is>
          <t>Accountant</t>
        </is>
      </c>
      <c r="H5" s="13" t="n">
        <v>1</v>
      </c>
      <c r="I5" s="13" t="inlineStr"/>
      <c r="J5" s="30" t="n">
        <v>7140</v>
      </c>
      <c r="K5" s="24" t="inlineStr">
        <is>
          <t>SGD</t>
        </is>
      </c>
      <c r="L5" s="24" t="inlineStr">
        <is>
          <t>moderate</t>
        </is>
      </c>
      <c r="M5" s="24" t="inlineStr">
        <is>
          <t>medium</t>
        </is>
      </c>
      <c r="N5" s="24" t="b">
        <v>1</v>
      </c>
      <c r="O5" s="24" t="b">
        <v>1</v>
      </c>
      <c r="P5" s="24" t="inlineStr">
        <is>
          <t>Single</t>
        </is>
      </c>
      <c r="Q5" s="24" t="inlineStr">
        <is>
          <t>Private</t>
        </is>
      </c>
      <c r="R5" s="24" t="b">
        <v>1</v>
      </c>
      <c r="S5" s="9" t="inlineStr">
        <is>
          <t>Swimming</t>
        </is>
      </c>
      <c r="T5" s="24" t="inlineStr">
        <is>
          <t>Comfortable</t>
        </is>
      </c>
      <c r="U5" s="24" t="b">
        <v>0</v>
      </c>
      <c r="V5" s="24" t="n">
        <v>88</v>
      </c>
      <c r="W5" s="31" t="n">
        <v>4141.2</v>
      </c>
      <c r="X5" s="32" t="n">
        <v>18378</v>
      </c>
      <c r="Y5" s="32" t="n">
        <v>104144</v>
      </c>
      <c r="Z5" s="32" t="n">
        <v>350000</v>
      </c>
      <c r="AA5" s="32" t="n">
        <v>192500</v>
      </c>
      <c r="AB5" s="32" t="n">
        <v>85765.68000000001</v>
      </c>
      <c r="AC5" s="32" t="n">
        <v>428400</v>
      </c>
      <c r="AD5" s="33" t="inlineStr">
        <is>
          <t>Accountant; age 34; Citizen; 1 dep; home; non-smoker</t>
        </is>
      </c>
      <c r="AF5" s="21" t="inlineStr">
        <is>
          <t>E · USER / FRONTEND OVERRIDE</t>
        </is>
      </c>
    </row>
    <row r="6">
      <c r="A6" s="13" t="inlineStr">
        <is>
          <t>P04</t>
        </is>
      </c>
      <c r="B6" s="14" t="inlineStr">
        <is>
          <t>Priya Nair</t>
        </is>
      </c>
      <c r="C6" s="13" t="n">
        <v>41</v>
      </c>
      <c r="D6" s="13" t="inlineStr">
        <is>
          <t>Male</t>
        </is>
      </c>
      <c r="E6" s="13" t="inlineStr">
        <is>
          <t>Citizen</t>
        </is>
      </c>
      <c r="F6" s="13" t="inlineStr">
        <is>
          <t>Singapore</t>
        </is>
      </c>
      <c r="G6" s="14" t="inlineStr">
        <is>
          <t>Marketing Manager</t>
        </is>
      </c>
      <c r="H6" s="13" t="n">
        <v>2</v>
      </c>
      <c r="I6" s="13" t="inlineStr"/>
      <c r="J6" s="30" t="n">
        <v>4550</v>
      </c>
      <c r="K6" s="24" t="inlineStr">
        <is>
          <t>SGD</t>
        </is>
      </c>
      <c r="L6" s="24" t="inlineStr">
        <is>
          <t>conservative</t>
        </is>
      </c>
      <c r="M6" s="24" t="inlineStr">
        <is>
          <t>high</t>
        </is>
      </c>
      <c r="N6" s="24" t="b">
        <v>1</v>
      </c>
      <c r="O6" s="24" t="b">
        <v>1</v>
      </c>
      <c r="P6" s="24" t="inlineStr">
        <is>
          <t>Ward</t>
        </is>
      </c>
      <c r="Q6" s="24" t="inlineStr">
        <is>
          <t>Public</t>
        </is>
      </c>
      <c r="R6" s="24" t="b">
        <v>0</v>
      </c>
      <c r="S6" s="9" t="inlineStr">
        <is>
          <t>I dont do sports</t>
        </is>
      </c>
      <c r="T6" s="24" t="inlineStr">
        <is>
          <t>frugal</t>
        </is>
      </c>
      <c r="U6" s="24" t="b">
        <v>1</v>
      </c>
      <c r="V6" s="24" t="n">
        <v>78</v>
      </c>
      <c r="W6" s="31" t="n">
        <v>2821</v>
      </c>
      <c r="X6" s="32" t="n">
        <v>14742</v>
      </c>
      <c r="Y6" s="32" t="n">
        <v>83538</v>
      </c>
      <c r="Z6" s="32" t="n">
        <v>350000</v>
      </c>
      <c r="AA6" s="32" t="n">
        <v>192500</v>
      </c>
      <c r="AB6" s="32" t="n">
        <v>68796</v>
      </c>
      <c r="AC6" s="32" t="n">
        <v>273000</v>
      </c>
      <c r="AD6" s="33" t="inlineStr">
        <is>
          <t>Marketing Manager; age 41; Citizen; 2 dep; home; smoker</t>
        </is>
      </c>
    </row>
    <row r="7">
      <c r="A7" s="13" t="inlineStr">
        <is>
          <t>P05</t>
        </is>
      </c>
      <c r="B7" s="14" t="inlineStr">
        <is>
          <t>Marcus Lim</t>
        </is>
      </c>
      <c r="C7" s="13" t="n">
        <v>47</v>
      </c>
      <c r="D7" s="13" t="inlineStr">
        <is>
          <t>Female</t>
        </is>
      </c>
      <c r="E7" s="13" t="inlineStr">
        <is>
          <t>Foreigner</t>
        </is>
      </c>
      <c r="F7" s="13" t="inlineStr">
        <is>
          <t>Singapore</t>
        </is>
      </c>
      <c r="G7" s="14" t="inlineStr">
        <is>
          <t>Software Engineer</t>
        </is>
      </c>
      <c r="H7" s="13" t="n">
        <v>2</v>
      </c>
      <c r="I7" s="13" t="inlineStr"/>
      <c r="J7" s="30" t="n">
        <v>5000</v>
      </c>
      <c r="K7" s="24" t="inlineStr">
        <is>
          <t>SGD</t>
        </is>
      </c>
      <c r="L7" s="24" t="inlineStr">
        <is>
          <t>aggressive</t>
        </is>
      </c>
      <c r="M7" s="24" t="inlineStr">
        <is>
          <t>high</t>
        </is>
      </c>
      <c r="N7" s="24" t="b">
        <v>1</v>
      </c>
      <c r="O7" s="24" t="b">
        <v>0</v>
      </c>
      <c r="P7" s="24" t="inlineStr">
        <is>
          <t>A</t>
        </is>
      </c>
      <c r="Q7" s="24" t="inlineStr">
        <is>
          <t>Private</t>
        </is>
      </c>
      <c r="R7" s="24" t="b">
        <v>1</v>
      </c>
      <c r="S7" s="9" t="inlineStr">
        <is>
          <t>Adventurous Sports</t>
        </is>
      </c>
      <c r="T7" s="24" t="inlineStr">
        <is>
          <t>only the best</t>
        </is>
      </c>
      <c r="U7" s="24" t="b">
        <v>0</v>
      </c>
      <c r="V7" s="24" t="n">
        <v>90</v>
      </c>
      <c r="W7" s="31" t="n">
        <v>3875</v>
      </c>
      <c r="X7" s="32" t="n">
        <v>26325</v>
      </c>
      <c r="Y7" s="32" t="n">
        <v>149175</v>
      </c>
      <c r="Z7" s="32" t="n">
        <v>350000</v>
      </c>
      <c r="AA7" s="32" t="n">
        <v>192500</v>
      </c>
      <c r="AB7" s="32" t="n">
        <v>122850</v>
      </c>
      <c r="AC7" s="32" t="n">
        <v>300000</v>
      </c>
      <c r="AD7" s="33" t="inlineStr">
        <is>
          <t>Software Engineer; age 47; Foreigner; 2 dep; home; non-smoker</t>
        </is>
      </c>
    </row>
    <row r="8">
      <c r="A8" s="13" t="inlineStr">
        <is>
          <t>P06</t>
        </is>
      </c>
      <c r="B8" s="14" t="inlineStr">
        <is>
          <t>Hannah Wong</t>
        </is>
      </c>
      <c r="C8" s="13" t="n">
        <v>32</v>
      </c>
      <c r="D8" s="13" t="inlineStr">
        <is>
          <t>Male</t>
        </is>
      </c>
      <c r="E8" s="13" t="inlineStr">
        <is>
          <t>Citizen</t>
        </is>
      </c>
      <c r="F8" s="13" t="inlineStr">
        <is>
          <t>Singapore</t>
        </is>
      </c>
      <c r="G8" s="14" t="inlineStr">
        <is>
          <t>Doctor</t>
        </is>
      </c>
      <c r="H8" s="13" t="n">
        <v>1</v>
      </c>
      <c r="I8" s="13" t="inlineStr"/>
      <c r="J8" s="30" t="n">
        <v>13910</v>
      </c>
      <c r="K8" s="24" t="inlineStr">
        <is>
          <t>SGD</t>
        </is>
      </c>
      <c r="L8" s="24" t="inlineStr">
        <is>
          <t>moderate</t>
        </is>
      </c>
      <c r="M8" s="24" t="inlineStr">
        <is>
          <t>medium</t>
        </is>
      </c>
      <c r="N8" s="24" t="b">
        <v>1</v>
      </c>
      <c r="O8" s="24" t="b">
        <v>1</v>
      </c>
      <c r="P8" s="24" t="inlineStr">
        <is>
          <t>B</t>
        </is>
      </c>
      <c r="Q8" s="24" t="inlineStr">
        <is>
          <t>Public</t>
        </is>
      </c>
      <c r="R8" s="24" t="b">
        <v>1</v>
      </c>
      <c r="S8" s="9" t="inlineStr">
        <is>
          <t>Life style activities</t>
        </is>
      </c>
      <c r="T8" s="24" t="inlineStr">
        <is>
          <t>stress-free</t>
        </is>
      </c>
      <c r="U8" s="24" t="b">
        <v>0</v>
      </c>
      <c r="V8" s="24" t="n">
        <v>83</v>
      </c>
      <c r="W8" s="31" t="n">
        <v>8924.75</v>
      </c>
      <c r="X8" s="32" t="n">
        <v>33514</v>
      </c>
      <c r="Y8" s="32" t="n">
        <v>189913</v>
      </c>
      <c r="Z8" s="32" t="n">
        <v>650000</v>
      </c>
      <c r="AA8" s="32" t="n">
        <v>357500</v>
      </c>
      <c r="AB8" s="32" t="n">
        <v>156398.55</v>
      </c>
      <c r="AC8" s="32" t="n">
        <v>834600</v>
      </c>
      <c r="AD8" s="33" t="inlineStr">
        <is>
          <t>Doctor; age 32; Citizen; 1 dep; home; non-smoker</t>
        </is>
      </c>
    </row>
    <row r="9">
      <c r="A9" s="13" t="inlineStr">
        <is>
          <t>P07</t>
        </is>
      </c>
      <c r="B9" s="14" t="inlineStr">
        <is>
          <t>Julian Chee</t>
        </is>
      </c>
      <c r="C9" s="13" t="n">
        <v>54</v>
      </c>
      <c r="D9" s="13" t="inlineStr">
        <is>
          <t>Female</t>
        </is>
      </c>
      <c r="E9" s="13" t="inlineStr">
        <is>
          <t>PR</t>
        </is>
      </c>
      <c r="F9" s="13" t="inlineStr">
        <is>
          <t>Singapore</t>
        </is>
      </c>
      <c r="G9" s="14" t="inlineStr">
        <is>
          <t>Investment Banker</t>
        </is>
      </c>
      <c r="H9" s="13" t="n">
        <v>0</v>
      </c>
      <c r="I9" s="13" t="inlineStr"/>
      <c r="J9" s="30" t="n">
        <v>5525</v>
      </c>
      <c r="K9" s="24" t="inlineStr">
        <is>
          <t>SGD</t>
        </is>
      </c>
      <c r="L9" s="24" t="inlineStr">
        <is>
          <t>conservative</t>
        </is>
      </c>
      <c r="M9" s="24" t="inlineStr">
        <is>
          <t>high</t>
        </is>
      </c>
      <c r="N9" s="24" t="b">
        <v>1</v>
      </c>
      <c r="O9" s="24" t="b">
        <v>1</v>
      </c>
      <c r="P9" s="24" t="inlineStr">
        <is>
          <t>Single</t>
        </is>
      </c>
      <c r="Q9" s="24" t="inlineStr">
        <is>
          <t>Private</t>
        </is>
      </c>
      <c r="R9" s="24" t="b">
        <v>0</v>
      </c>
      <c r="S9" s="9" t="inlineStr">
        <is>
          <t>Walking</t>
        </is>
      </c>
      <c r="T9" s="24" t="inlineStr">
        <is>
          <t>Basic</t>
        </is>
      </c>
      <c r="U9" s="24" t="b">
        <v>0</v>
      </c>
      <c r="V9" s="24" t="n">
        <v>89</v>
      </c>
      <c r="W9" s="31" t="n">
        <v>2983.5</v>
      </c>
      <c r="X9" s="32" t="n">
        <v>42664</v>
      </c>
      <c r="Y9" s="32" t="n">
        <v>241763</v>
      </c>
      <c r="Z9" s="32" t="n">
        <v>350000</v>
      </c>
      <c r="AA9" s="32" t="n">
        <v>192500</v>
      </c>
      <c r="AB9" s="32" t="n">
        <v>199098.9</v>
      </c>
      <c r="AC9" s="32" t="n">
        <v>200000</v>
      </c>
      <c r="AD9" s="33" t="inlineStr">
        <is>
          <t>Investment Banker; age 54; PR; 0 dep; home; non-smoker</t>
        </is>
      </c>
    </row>
    <row r="10">
      <c r="A10" s="13" t="inlineStr">
        <is>
          <t>P08</t>
        </is>
      </c>
      <c r="B10" s="14" t="inlineStr">
        <is>
          <t>Mei Fen Ong</t>
        </is>
      </c>
      <c r="C10" s="13" t="n">
        <v>60</v>
      </c>
      <c r="D10" s="13" t="inlineStr">
        <is>
          <t>Male</t>
        </is>
      </c>
      <c r="E10" s="13" t="inlineStr">
        <is>
          <t>Citizen</t>
        </is>
      </c>
      <c r="F10" s="13" t="inlineStr">
        <is>
          <t>Singapore</t>
        </is>
      </c>
      <c r="G10" s="14" t="inlineStr">
        <is>
          <t>CEO</t>
        </is>
      </c>
      <c r="H10" s="13" t="n">
        <v>3</v>
      </c>
      <c r="I10" s="13" t="inlineStr"/>
      <c r="J10" s="30" t="n">
        <v>5975</v>
      </c>
      <c r="K10" s="24" t="inlineStr">
        <is>
          <t>SGD</t>
        </is>
      </c>
      <c r="L10" s="24" t="inlineStr">
        <is>
          <t>conservative</t>
        </is>
      </c>
      <c r="M10" s="24" t="inlineStr">
        <is>
          <t>high</t>
        </is>
      </c>
      <c r="N10" s="24" t="b">
        <v>1</v>
      </c>
      <c r="O10" s="24" t="b">
        <v>1</v>
      </c>
      <c r="P10" s="24" t="inlineStr">
        <is>
          <t>Ward</t>
        </is>
      </c>
      <c r="Q10" s="24" t="inlineStr">
        <is>
          <t>Public</t>
        </is>
      </c>
      <c r="R10" s="24" t="b">
        <v>0</v>
      </c>
      <c r="S10" s="9" t="inlineStr">
        <is>
          <t>I dont do sports</t>
        </is>
      </c>
      <c r="T10" s="24" t="inlineStr">
        <is>
          <t>frugal</t>
        </is>
      </c>
      <c r="U10" s="24" t="b">
        <v>1</v>
      </c>
      <c r="V10" s="24" t="n">
        <v>76</v>
      </c>
      <c r="W10" s="31" t="n">
        <v>4042.5</v>
      </c>
      <c r="X10" s="32" t="n">
        <v>30098</v>
      </c>
      <c r="Y10" s="32" t="n">
        <v>170557</v>
      </c>
      <c r="Z10" s="32" t="n">
        <v>350000</v>
      </c>
      <c r="AA10" s="32" t="n">
        <v>192500</v>
      </c>
      <c r="AB10" s="32" t="n">
        <v>140458.5</v>
      </c>
      <c r="AC10" s="32" t="n">
        <v>358500</v>
      </c>
      <c r="AD10" s="33" t="inlineStr">
        <is>
          <t>CEO; age 60; Citizen; 3 dep; home; smoker</t>
        </is>
      </c>
    </row>
    <row r="11">
      <c r="A11" s="13" t="inlineStr">
        <is>
          <t>P09</t>
        </is>
      </c>
      <c r="B11" s="14" t="inlineStr">
        <is>
          <t>Hafiz Abdullah</t>
        </is>
      </c>
      <c r="C11" s="13" t="n">
        <v>25</v>
      </c>
      <c r="D11" s="13" t="inlineStr">
        <is>
          <t>Female</t>
        </is>
      </c>
      <c r="E11" s="13" t="inlineStr">
        <is>
          <t>Citizen</t>
        </is>
      </c>
      <c r="F11" s="13" t="inlineStr">
        <is>
          <t>Singapore</t>
        </is>
      </c>
      <c r="G11" s="14" t="inlineStr">
        <is>
          <t>Baker</t>
        </is>
      </c>
      <c r="H11" s="13" t="n">
        <v>0</v>
      </c>
      <c r="I11" s="13" t="inlineStr"/>
      <c r="J11" s="30" t="n">
        <v>3350</v>
      </c>
      <c r="K11" s="24" t="inlineStr">
        <is>
          <t>SGD</t>
        </is>
      </c>
      <c r="L11" s="24" t="inlineStr">
        <is>
          <t>moderate</t>
        </is>
      </c>
      <c r="M11" s="24" t="inlineStr">
        <is>
          <t>high</t>
        </is>
      </c>
      <c r="N11" s="24" t="b">
        <v>0</v>
      </c>
      <c r="O11" s="24" t="b">
        <v>0</v>
      </c>
      <c r="P11" s="24" t="inlineStr">
        <is>
          <t>Ward</t>
        </is>
      </c>
      <c r="Q11" s="24" t="inlineStr">
        <is>
          <t>Public</t>
        </is>
      </c>
      <c r="R11" s="24" t="b">
        <v>1</v>
      </c>
      <c r="S11" s="9" t="inlineStr">
        <is>
          <t>HIIT</t>
        </is>
      </c>
      <c r="T11" s="24" t="inlineStr">
        <is>
          <t>Comfortable</t>
        </is>
      </c>
      <c r="U11" s="24" t="b">
        <v>0</v>
      </c>
      <c r="V11" s="24" t="n">
        <v>87</v>
      </c>
      <c r="W11" s="31" t="n">
        <v>1809</v>
      </c>
      <c r="X11" s="32" t="n">
        <v>3136</v>
      </c>
      <c r="Y11" s="32" t="n">
        <v>17768</v>
      </c>
      <c r="Z11" s="32" t="n">
        <v>0</v>
      </c>
      <c r="AA11" s="32" t="n">
        <v>0</v>
      </c>
      <c r="AB11" s="32" t="n">
        <v>14632.8</v>
      </c>
      <c r="AC11" s="32" t="n">
        <v>0</v>
      </c>
      <c r="AD11" s="33" t="inlineStr">
        <is>
          <t>Baker; age 25; Citizen; 0 dep; rent; non-smoker</t>
        </is>
      </c>
    </row>
    <row r="12">
      <c r="A12" s="13" t="inlineStr">
        <is>
          <t>P10</t>
        </is>
      </c>
      <c r="B12" s="14" t="inlineStr">
        <is>
          <t>Siti Hassan</t>
        </is>
      </c>
      <c r="C12" s="13" t="n">
        <v>37</v>
      </c>
      <c r="D12" s="13" t="inlineStr">
        <is>
          <t>Male</t>
        </is>
      </c>
      <c r="E12" s="13" t="inlineStr">
        <is>
          <t>Foreigner</t>
        </is>
      </c>
      <c r="F12" s="13" t="inlineStr">
        <is>
          <t>Singapore</t>
        </is>
      </c>
      <c r="G12" s="14" t="inlineStr">
        <is>
          <t>Driver</t>
        </is>
      </c>
      <c r="H12" s="13" t="n">
        <v>2</v>
      </c>
      <c r="I12" s="13" t="inlineStr"/>
      <c r="J12" s="30" t="n">
        <v>4250</v>
      </c>
      <c r="K12" s="24" t="inlineStr">
        <is>
          <t>SGD</t>
        </is>
      </c>
      <c r="L12" s="24" t="inlineStr">
        <is>
          <t>aggressive</t>
        </is>
      </c>
      <c r="M12" s="24" t="inlineStr">
        <is>
          <t>high</t>
        </is>
      </c>
      <c r="N12" s="24" t="b">
        <v>0</v>
      </c>
      <c r="O12" s="24" t="b">
        <v>1</v>
      </c>
      <c r="P12" s="24" t="inlineStr">
        <is>
          <t>Double</t>
        </is>
      </c>
      <c r="Q12" s="24" t="inlineStr">
        <is>
          <t>Private</t>
        </is>
      </c>
      <c r="R12" s="24" t="b">
        <v>1</v>
      </c>
      <c r="S12" s="9" t="inlineStr">
        <is>
          <t>Football</t>
        </is>
      </c>
      <c r="T12" s="24" t="inlineStr">
        <is>
          <t>Luxurious</t>
        </is>
      </c>
      <c r="U12" s="24" t="b">
        <v>0</v>
      </c>
      <c r="V12" s="24" t="n">
        <v>80</v>
      </c>
      <c r="W12" s="31" t="n">
        <v>3293.75</v>
      </c>
      <c r="X12" s="32" t="n">
        <v>13770</v>
      </c>
      <c r="Y12" s="32" t="n">
        <v>78030</v>
      </c>
      <c r="Z12" s="32" t="n">
        <v>0</v>
      </c>
      <c r="AA12" s="32" t="n">
        <v>0</v>
      </c>
      <c r="AB12" s="32" t="n">
        <v>64259.99999999999</v>
      </c>
      <c r="AC12" s="32" t="n">
        <v>255000</v>
      </c>
      <c r="AD12" s="33" t="inlineStr">
        <is>
          <t>Driver; age 37; Foreigner; 2 dep; rent; non-smoker</t>
        </is>
      </c>
    </row>
    <row r="13">
      <c r="A13" s="13" t="inlineStr">
        <is>
          <t>P11</t>
        </is>
      </c>
      <c r="B13" s="14" t="inlineStr">
        <is>
          <t>Aisha Ng</t>
        </is>
      </c>
      <c r="C13" s="13" t="n">
        <v>51</v>
      </c>
      <c r="D13" s="13" t="inlineStr">
        <is>
          <t>Female</t>
        </is>
      </c>
      <c r="E13" s="13" t="inlineStr">
        <is>
          <t>Citizen</t>
        </is>
      </c>
      <c r="F13" s="13" t="inlineStr">
        <is>
          <t>Singapore</t>
        </is>
      </c>
      <c r="G13" s="14" t="inlineStr">
        <is>
          <t>Nurse</t>
        </is>
      </c>
      <c r="H13" s="13" t="n">
        <v>1</v>
      </c>
      <c r="I13" s="13" t="inlineStr"/>
      <c r="J13" s="30" t="n">
        <v>7140</v>
      </c>
      <c r="K13" s="24" t="inlineStr">
        <is>
          <t>SGD</t>
        </is>
      </c>
      <c r="L13" s="24" t="inlineStr">
        <is>
          <t>moderate</t>
        </is>
      </c>
      <c r="M13" s="24" t="inlineStr">
        <is>
          <t>medium</t>
        </is>
      </c>
      <c r="N13" s="24" t="b">
        <v>1</v>
      </c>
      <c r="O13" s="24" t="b">
        <v>1</v>
      </c>
      <c r="P13" s="24" t="inlineStr">
        <is>
          <t>A</t>
        </is>
      </c>
      <c r="Q13" s="24" t="inlineStr">
        <is>
          <t>Private</t>
        </is>
      </c>
      <c r="R13" s="24" t="b">
        <v>1</v>
      </c>
      <c r="S13" s="9" t="inlineStr">
        <is>
          <t>Pilates</t>
        </is>
      </c>
      <c r="T13" s="24" t="inlineStr">
        <is>
          <t>only the best</t>
        </is>
      </c>
      <c r="U13" s="24" t="b">
        <v>0</v>
      </c>
      <c r="V13" s="24" t="n">
        <v>91</v>
      </c>
      <c r="W13" s="31" t="n">
        <v>4141.2</v>
      </c>
      <c r="X13" s="32" t="n">
        <v>42412</v>
      </c>
      <c r="Y13" s="32" t="n">
        <v>240332</v>
      </c>
      <c r="Z13" s="32" t="n">
        <v>350000</v>
      </c>
      <c r="AA13" s="32" t="n">
        <v>192500</v>
      </c>
      <c r="AB13" s="32" t="n">
        <v>197920.8</v>
      </c>
      <c r="AC13" s="32" t="n">
        <v>428400</v>
      </c>
      <c r="AD13" s="33" t="inlineStr">
        <is>
          <t>Nurse; age 51; Citizen; 1 dep; home; non-smoker</t>
        </is>
      </c>
    </row>
    <row r="14">
      <c r="A14" s="13" t="inlineStr">
        <is>
          <t>P12</t>
        </is>
      </c>
      <c r="B14" s="14" t="inlineStr">
        <is>
          <t>Wei Ling Chua</t>
        </is>
      </c>
      <c r="C14" s="13" t="n">
        <v>66</v>
      </c>
      <c r="D14" s="13" t="inlineStr">
        <is>
          <t>Male</t>
        </is>
      </c>
      <c r="E14" s="13" t="inlineStr">
        <is>
          <t>Citizen</t>
        </is>
      </c>
      <c r="F14" s="13" t="inlineStr">
        <is>
          <t>Singapore</t>
        </is>
      </c>
      <c r="G14" s="14" t="inlineStr">
        <is>
          <t>Teacher</t>
        </is>
      </c>
      <c r="H14" s="13" t="n">
        <v>0</v>
      </c>
      <c r="I14" s="13" t="inlineStr"/>
      <c r="J14" s="30" t="n">
        <v>9800</v>
      </c>
      <c r="K14" s="24" t="inlineStr">
        <is>
          <t>SGD</t>
        </is>
      </c>
      <c r="L14" s="24" t="inlineStr">
        <is>
          <t>conservative</t>
        </is>
      </c>
      <c r="M14" s="24" t="inlineStr">
        <is>
          <t>medium</t>
        </is>
      </c>
      <c r="N14" s="24" t="b">
        <v>1</v>
      </c>
      <c r="O14" s="24" t="b">
        <v>0</v>
      </c>
      <c r="P14" s="24" t="inlineStr">
        <is>
          <t>Ward</t>
        </is>
      </c>
      <c r="Q14" s="24" t="inlineStr">
        <is>
          <t>Public</t>
        </is>
      </c>
      <c r="R14" s="24" t="b">
        <v>0</v>
      </c>
      <c r="S14" s="9" t="inlineStr">
        <is>
          <t>I dont do sports</t>
        </is>
      </c>
      <c r="T14" s="24" t="inlineStr">
        <is>
          <t>Basic</t>
        </is>
      </c>
      <c r="U14" s="24" t="b">
        <v>0</v>
      </c>
      <c r="V14" s="24" t="n">
        <v>85</v>
      </c>
      <c r="W14" s="31" t="n">
        <v>6210</v>
      </c>
      <c r="X14" s="32" t="n">
        <v>121095</v>
      </c>
      <c r="Y14" s="32" t="n">
        <v>686205</v>
      </c>
      <c r="Z14" s="32" t="n">
        <v>350000</v>
      </c>
      <c r="AA14" s="32" t="n">
        <v>192500</v>
      </c>
      <c r="AB14" s="32" t="n">
        <v>565110</v>
      </c>
      <c r="AC14" s="32" t="n">
        <v>200000</v>
      </c>
      <c r="AD14" s="33" t="inlineStr">
        <is>
          <t>Teacher; age 66; Citizen; 0 dep; home; non-smoker</t>
        </is>
      </c>
    </row>
    <row r="15">
      <c r="A15" s="13" t="inlineStr">
        <is>
          <t>P13</t>
        </is>
      </c>
      <c r="B15" s="14" t="inlineStr">
        <is>
          <t>Daniel Lee</t>
        </is>
      </c>
      <c r="C15" s="13" t="n">
        <v>30</v>
      </c>
      <c r="D15" s="13" t="inlineStr">
        <is>
          <t>Female</t>
        </is>
      </c>
      <c r="E15" s="13" t="inlineStr">
        <is>
          <t>PR</t>
        </is>
      </c>
      <c r="F15" s="13" t="inlineStr">
        <is>
          <t>Singapore</t>
        </is>
      </c>
      <c r="G15" s="14" t="inlineStr">
        <is>
          <t>Accountant</t>
        </is>
      </c>
      <c r="H15" s="13" t="n">
        <v>1</v>
      </c>
      <c r="I15" s="13" t="inlineStr"/>
      <c r="J15" s="30" t="n">
        <v>6580</v>
      </c>
      <c r="K15" s="24" t="inlineStr">
        <is>
          <t>SGD</t>
        </is>
      </c>
      <c r="L15" s="24" t="inlineStr">
        <is>
          <t>moderate</t>
        </is>
      </c>
      <c r="M15" s="24" t="inlineStr">
        <is>
          <t>medium</t>
        </is>
      </c>
      <c r="N15" s="24" t="b">
        <v>0</v>
      </c>
      <c r="O15" s="24" t="b">
        <v>1</v>
      </c>
      <c r="P15" s="24" t="inlineStr">
        <is>
          <t>Double</t>
        </is>
      </c>
      <c r="Q15" s="24" t="inlineStr">
        <is>
          <t>Public</t>
        </is>
      </c>
      <c r="R15" s="24" t="b">
        <v>0</v>
      </c>
      <c r="S15" s="9" t="inlineStr">
        <is>
          <t>Running</t>
        </is>
      </c>
      <c r="T15" s="24" t="inlineStr">
        <is>
          <t>Comfortable</t>
        </is>
      </c>
      <c r="U15" s="24" t="b">
        <v>1</v>
      </c>
      <c r="V15" s="24" t="n">
        <v>79</v>
      </c>
      <c r="W15" s="31" t="n">
        <v>3816.4</v>
      </c>
      <c r="X15" s="32" t="n">
        <v>11726</v>
      </c>
      <c r="Y15" s="32" t="n">
        <v>66445</v>
      </c>
      <c r="Z15" s="32" t="n">
        <v>0</v>
      </c>
      <c r="AA15" s="32" t="n">
        <v>0</v>
      </c>
      <c r="AB15" s="32" t="n">
        <v>54719.27999999999</v>
      </c>
      <c r="AC15" s="32" t="n">
        <v>394800</v>
      </c>
      <c r="AD15" s="33" t="inlineStr">
        <is>
          <t>Accountant; age 30; PR; 1 dep; rent; smoker</t>
        </is>
      </c>
    </row>
    <row r="16">
      <c r="A16" s="13" t="inlineStr">
        <is>
          <t>P14</t>
        </is>
      </c>
      <c r="B16" s="14" t="inlineStr">
        <is>
          <t>Priya Goh</t>
        </is>
      </c>
      <c r="C16" s="13" t="n">
        <v>44</v>
      </c>
      <c r="D16" s="13" t="inlineStr">
        <is>
          <t>Male</t>
        </is>
      </c>
      <c r="E16" s="13" t="inlineStr">
        <is>
          <t>Citizen</t>
        </is>
      </c>
      <c r="F16" s="13" t="inlineStr">
        <is>
          <t>Singapore</t>
        </is>
      </c>
      <c r="G16" s="14" t="inlineStr">
        <is>
          <t>Marketing Manager</t>
        </is>
      </c>
      <c r="H16" s="13" t="n">
        <v>4</v>
      </c>
      <c r="I16" s="13" t="inlineStr"/>
      <c r="J16" s="30" t="n">
        <v>4775</v>
      </c>
      <c r="K16" s="24" t="inlineStr">
        <is>
          <t>SGD</t>
        </is>
      </c>
      <c r="L16" s="24" t="inlineStr">
        <is>
          <t>aggressive</t>
        </is>
      </c>
      <c r="M16" s="24" t="inlineStr">
        <is>
          <t>high</t>
        </is>
      </c>
      <c r="N16" s="24" t="b">
        <v>1</v>
      </c>
      <c r="O16" s="24" t="b">
        <v>1</v>
      </c>
      <c r="P16" s="24" t="inlineStr">
        <is>
          <t>Single</t>
        </is>
      </c>
      <c r="Q16" s="24" t="inlineStr">
        <is>
          <t>Private</t>
        </is>
      </c>
      <c r="R16" s="24" t="b">
        <v>1</v>
      </c>
      <c r="S16" s="9" t="inlineStr">
        <is>
          <t>Golf</t>
        </is>
      </c>
      <c r="T16" s="24" t="inlineStr">
        <is>
          <t>Luxurious</t>
        </is>
      </c>
      <c r="U16" s="24" t="b">
        <v>0</v>
      </c>
      <c r="V16" s="24" t="n">
        <v>84</v>
      </c>
      <c r="W16" s="31" t="n">
        <v>3342.5</v>
      </c>
      <c r="X16" s="32" t="n">
        <v>9884</v>
      </c>
      <c r="Y16" s="32" t="n">
        <v>56011</v>
      </c>
      <c r="Z16" s="32" t="n">
        <v>350000</v>
      </c>
      <c r="AA16" s="32" t="n">
        <v>192500</v>
      </c>
      <c r="AB16" s="32" t="n">
        <v>46126.5</v>
      </c>
      <c r="AC16" s="32" t="n">
        <v>286500</v>
      </c>
      <c r="AD16" s="33" t="inlineStr">
        <is>
          <t>Marketing Manager; age 44; Citizen; 4 dep; home; non-smoker</t>
        </is>
      </c>
    </row>
    <row r="17">
      <c r="A17" s="13" t="inlineStr">
        <is>
          <t>P15</t>
        </is>
      </c>
      <c r="B17" s="14" t="inlineStr">
        <is>
          <t>Marcus Teo</t>
        </is>
      </c>
      <c r="C17" s="13" t="n">
        <v>57</v>
      </c>
      <c r="D17" s="13" t="inlineStr">
        <is>
          <t>Female</t>
        </is>
      </c>
      <c r="E17" s="13" t="inlineStr">
        <is>
          <t>Citizen</t>
        </is>
      </c>
      <c r="F17" s="13" t="inlineStr">
        <is>
          <t>Singapore</t>
        </is>
      </c>
      <c r="G17" s="14" t="inlineStr">
        <is>
          <t>Software Engineer</t>
        </is>
      </c>
      <c r="H17" s="13" t="n">
        <v>2</v>
      </c>
      <c r="I17" s="13" t="inlineStr"/>
      <c r="J17" s="30" t="n">
        <v>5750</v>
      </c>
      <c r="K17" s="24" t="inlineStr">
        <is>
          <t>SGD</t>
        </is>
      </c>
      <c r="L17" s="24" t="inlineStr">
        <is>
          <t>conservative</t>
        </is>
      </c>
      <c r="M17" s="24" t="inlineStr">
        <is>
          <t>high</t>
        </is>
      </c>
      <c r="N17" s="24" t="b">
        <v>1</v>
      </c>
      <c r="O17" s="24" t="b">
        <v>1</v>
      </c>
      <c r="P17" s="24" t="inlineStr">
        <is>
          <t>B</t>
        </is>
      </c>
      <c r="Q17" s="24" t="inlineStr">
        <is>
          <t>Private</t>
        </is>
      </c>
      <c r="R17" s="24" t="b">
        <v>0</v>
      </c>
      <c r="S17" s="9" t="inlineStr">
        <is>
          <t>Life style activities</t>
        </is>
      </c>
      <c r="T17" s="24" t="inlineStr">
        <is>
          <t>stress-free</t>
        </is>
      </c>
      <c r="U17" s="24" t="b">
        <v>0</v>
      </c>
      <c r="V17" s="24" t="n">
        <v>92</v>
      </c>
      <c r="W17" s="31" t="n">
        <v>3654.12</v>
      </c>
      <c r="X17" s="32" t="n">
        <v>34373</v>
      </c>
      <c r="Y17" s="32" t="n">
        <v>194778</v>
      </c>
      <c r="Z17" s="32" t="n">
        <v>350000</v>
      </c>
      <c r="AA17" s="32" t="n">
        <v>192500</v>
      </c>
      <c r="AB17" s="32" t="n">
        <v>160405.056</v>
      </c>
      <c r="AC17" s="32" t="n">
        <v>345000</v>
      </c>
      <c r="AD17" s="33" t="inlineStr">
        <is>
          <t>Software Engineer; age 57; Citizen; 2 dep; home; non-smoker</t>
        </is>
      </c>
    </row>
    <row r="18">
      <c r="A18" s="13" t="inlineStr">
        <is>
          <t>P16</t>
        </is>
      </c>
      <c r="B18" s="14" t="inlineStr">
        <is>
          <t>Hannah Rahman</t>
        </is>
      </c>
      <c r="C18" s="13" t="n">
        <v>23</v>
      </c>
      <c r="D18" s="13" t="inlineStr">
        <is>
          <t>Female</t>
        </is>
      </c>
      <c r="E18" s="13" t="inlineStr">
        <is>
          <t>Citizen</t>
        </is>
      </c>
      <c r="F18" s="13" t="inlineStr">
        <is>
          <t>Singapore</t>
        </is>
      </c>
      <c r="G18" s="14" t="inlineStr">
        <is>
          <t>Doctor</t>
        </is>
      </c>
      <c r="H18" s="13" t="n">
        <v>0</v>
      </c>
      <c r="I18" s="13" t="inlineStr"/>
      <c r="J18" s="30" t="n">
        <v>10400</v>
      </c>
      <c r="K18" s="24" t="inlineStr">
        <is>
          <t>SGD</t>
        </is>
      </c>
      <c r="L18" s="24" t="inlineStr">
        <is>
          <t>conservative</t>
        </is>
      </c>
      <c r="M18" s="24" t="inlineStr">
        <is>
          <t>medium</t>
        </is>
      </c>
      <c r="N18" s="24" t="b">
        <v>0</v>
      </c>
      <c r="O18" s="24" t="b">
        <v>0</v>
      </c>
      <c r="P18" s="24" t="inlineStr">
        <is>
          <t>Ward</t>
        </is>
      </c>
      <c r="Q18" s="24" t="inlineStr">
        <is>
          <t>Public</t>
        </is>
      </c>
      <c r="R18" s="24" t="b">
        <v>0</v>
      </c>
      <c r="S18" s="9" t="inlineStr">
        <is>
          <t>Yoga</t>
        </is>
      </c>
      <c r="T18" s="24" t="inlineStr">
        <is>
          <t>Basic</t>
        </is>
      </c>
      <c r="U18" s="24" t="b">
        <v>0</v>
      </c>
      <c r="V18" s="24" t="n">
        <v>86</v>
      </c>
      <c r="W18" s="31" t="n">
        <v>5940</v>
      </c>
      <c r="X18" s="32" t="n">
        <v>5148</v>
      </c>
      <c r="Y18" s="32" t="n">
        <v>29172</v>
      </c>
      <c r="Z18" s="32" t="n">
        <v>0</v>
      </c>
      <c r="AA18" s="32" t="n">
        <v>0</v>
      </c>
      <c r="AB18" s="32" t="n">
        <v>24024</v>
      </c>
      <c r="AC18" s="32" t="n">
        <v>0</v>
      </c>
      <c r="AD18" s="33" t="inlineStr">
        <is>
          <t>Doctor; age 23; Citizen; 0 dep; rent; non-smoker</t>
        </is>
      </c>
    </row>
    <row r="19">
      <c r="A19" s="13" t="inlineStr">
        <is>
          <t>P17</t>
        </is>
      </c>
      <c r="B19" s="14" t="inlineStr">
        <is>
          <t>Julian Tan</t>
        </is>
      </c>
      <c r="C19" s="13" t="n">
        <v>28</v>
      </c>
      <c r="D19" s="13" t="inlineStr">
        <is>
          <t>Male</t>
        </is>
      </c>
      <c r="E19" s="13" t="inlineStr">
        <is>
          <t>PR</t>
        </is>
      </c>
      <c r="F19" s="13" t="inlineStr">
        <is>
          <t>Singapore</t>
        </is>
      </c>
      <c r="G19" s="14" t="inlineStr">
        <is>
          <t>Investment Banker</t>
        </is>
      </c>
      <c r="H19" s="13" t="n">
        <v>0</v>
      </c>
      <c r="I19" s="13" t="inlineStr"/>
      <c r="J19" s="30" t="n">
        <v>3575</v>
      </c>
      <c r="K19" s="24" t="inlineStr">
        <is>
          <t>SGD</t>
        </is>
      </c>
      <c r="L19" s="24" t="inlineStr">
        <is>
          <t>moderate</t>
        </is>
      </c>
      <c r="M19" s="24" t="inlineStr">
        <is>
          <t>high</t>
        </is>
      </c>
      <c r="N19" s="24" t="b">
        <v>0</v>
      </c>
      <c r="O19" s="24" t="b">
        <v>1</v>
      </c>
      <c r="P19" s="24" t="inlineStr">
        <is>
          <t>Double</t>
        </is>
      </c>
      <c r="Q19" s="24" t="inlineStr">
        <is>
          <t>Private</t>
        </is>
      </c>
      <c r="R19" s="24" t="b">
        <v>1</v>
      </c>
      <c r="S19" s="9" t="inlineStr">
        <is>
          <t>Running</t>
        </is>
      </c>
      <c r="T19" s="24" t="inlineStr">
        <is>
          <t>Comfortable</t>
        </is>
      </c>
      <c r="U19" s="24" t="b">
        <v>0</v>
      </c>
      <c r="V19" s="24" t="n">
        <v>81</v>
      </c>
      <c r="W19" s="31" t="n">
        <v>1930.5</v>
      </c>
      <c r="X19" s="32" t="n">
        <v>5856</v>
      </c>
      <c r="Y19" s="32" t="n">
        <v>33183</v>
      </c>
      <c r="Z19" s="32" t="n">
        <v>0</v>
      </c>
      <c r="AA19" s="32" t="n">
        <v>0</v>
      </c>
      <c r="AB19" s="32" t="n">
        <v>27327.3</v>
      </c>
      <c r="AC19" s="32" t="n">
        <v>0</v>
      </c>
      <c r="AD19" s="33" t="inlineStr">
        <is>
          <t>Investment Banker; age 28; PR; 0 dep; rent; non-smoker</t>
        </is>
      </c>
    </row>
    <row r="20">
      <c r="A20" s="13" t="inlineStr">
        <is>
          <t>P18</t>
        </is>
      </c>
      <c r="B20" s="14" t="inlineStr">
        <is>
          <t>Mei Fen Koh</t>
        </is>
      </c>
      <c r="C20" s="13" t="n">
        <v>35</v>
      </c>
      <c r="D20" s="13" t="inlineStr">
        <is>
          <t>Female</t>
        </is>
      </c>
      <c r="E20" s="13" t="inlineStr">
        <is>
          <t>Citizen</t>
        </is>
      </c>
      <c r="F20" s="13" t="inlineStr">
        <is>
          <t>Singapore</t>
        </is>
      </c>
      <c r="G20" s="14" t="inlineStr">
        <is>
          <t>CEO</t>
        </is>
      </c>
      <c r="H20" s="13" t="n">
        <v>1</v>
      </c>
      <c r="I20" s="13" t="inlineStr"/>
      <c r="J20" s="30" t="n">
        <v>4100</v>
      </c>
      <c r="K20" s="24" t="inlineStr">
        <is>
          <t>SGD</t>
        </is>
      </c>
      <c r="L20" s="24" t="inlineStr">
        <is>
          <t>moderate</t>
        </is>
      </c>
      <c r="M20" s="24" t="inlineStr">
        <is>
          <t>high</t>
        </is>
      </c>
      <c r="N20" s="24" t="b">
        <v>1</v>
      </c>
      <c r="O20" s="24" t="b">
        <v>1</v>
      </c>
      <c r="P20" s="24" t="inlineStr">
        <is>
          <t>Single</t>
        </is>
      </c>
      <c r="Q20" s="24" t="inlineStr">
        <is>
          <t>Private</t>
        </is>
      </c>
      <c r="R20" s="24" t="b">
        <v>1</v>
      </c>
      <c r="S20" s="9" t="inlineStr">
        <is>
          <t>Swimming</t>
        </is>
      </c>
      <c r="T20" s="24" t="inlineStr">
        <is>
          <t>Comfortable</t>
        </is>
      </c>
      <c r="U20" s="24" t="b">
        <v>0</v>
      </c>
      <c r="V20" s="24" t="n">
        <v>88</v>
      </c>
      <c r="W20" s="31" t="n">
        <v>2378</v>
      </c>
      <c r="X20" s="32" t="n">
        <v>11365</v>
      </c>
      <c r="Y20" s="32" t="n">
        <v>64403</v>
      </c>
      <c r="Z20" s="32" t="n">
        <v>350000</v>
      </c>
      <c r="AA20" s="32" t="n">
        <v>192500</v>
      </c>
      <c r="AB20" s="32" t="n">
        <v>53037.6</v>
      </c>
      <c r="AC20" s="32" t="n">
        <v>246000</v>
      </c>
      <c r="AD20" s="33" t="inlineStr">
        <is>
          <t>CEO; age 35; Citizen; 1 dep; home; non-smoker</t>
        </is>
      </c>
    </row>
    <row r="21">
      <c r="A21" s="13" t="inlineStr">
        <is>
          <t>P19</t>
        </is>
      </c>
      <c r="B21" s="14" t="inlineStr">
        <is>
          <t>Hafiz Nair</t>
        </is>
      </c>
      <c r="C21" s="13" t="n">
        <v>42</v>
      </c>
      <c r="D21" s="13" t="inlineStr">
        <is>
          <t>Male</t>
        </is>
      </c>
      <c r="E21" s="13" t="inlineStr">
        <is>
          <t>Citizen</t>
        </is>
      </c>
      <c r="F21" s="13" t="inlineStr">
        <is>
          <t>Singapore</t>
        </is>
      </c>
      <c r="G21" s="14" t="inlineStr">
        <is>
          <t>Baker</t>
        </is>
      </c>
      <c r="H21" s="13" t="n">
        <v>2</v>
      </c>
      <c r="I21" s="13" t="inlineStr"/>
      <c r="J21" s="30" t="n">
        <v>4625</v>
      </c>
      <c r="K21" s="24" t="inlineStr">
        <is>
          <t>SGD</t>
        </is>
      </c>
      <c r="L21" s="24" t="inlineStr">
        <is>
          <t>conservative</t>
        </is>
      </c>
      <c r="M21" s="24" t="inlineStr">
        <is>
          <t>high</t>
        </is>
      </c>
      <c r="N21" s="24" t="b">
        <v>1</v>
      </c>
      <c r="O21" s="24" t="b">
        <v>1</v>
      </c>
      <c r="P21" s="24" t="inlineStr">
        <is>
          <t>Ward</t>
        </is>
      </c>
      <c r="Q21" s="24" t="inlineStr">
        <is>
          <t>Public</t>
        </is>
      </c>
      <c r="R21" s="24" t="b">
        <v>0</v>
      </c>
      <c r="S21" s="9" t="inlineStr">
        <is>
          <t>I dont do sports</t>
        </is>
      </c>
      <c r="T21" s="24" t="inlineStr">
        <is>
          <t>frugal</t>
        </is>
      </c>
      <c r="U21" s="24" t="b">
        <v>1</v>
      </c>
      <c r="V21" s="24" t="n">
        <v>78</v>
      </c>
      <c r="W21" s="31" t="n">
        <v>2867.5</v>
      </c>
      <c r="X21" s="32" t="n">
        <v>15734</v>
      </c>
      <c r="Y21" s="32" t="n">
        <v>89161</v>
      </c>
      <c r="Z21" s="32" t="n">
        <v>350000</v>
      </c>
      <c r="AA21" s="32" t="n">
        <v>192500</v>
      </c>
      <c r="AB21" s="32" t="n">
        <v>73426.5</v>
      </c>
      <c r="AC21" s="32" t="n">
        <v>277500</v>
      </c>
      <c r="AD21" s="33" t="inlineStr">
        <is>
          <t>Baker; age 42; Citizen; 2 dep; home; smoker</t>
        </is>
      </c>
    </row>
    <row r="22">
      <c r="A22" s="13" t="inlineStr">
        <is>
          <t>P20</t>
        </is>
      </c>
      <c r="B22" s="14" t="inlineStr">
        <is>
          <t>Siti Lim</t>
        </is>
      </c>
      <c r="C22" s="13" t="n">
        <v>48</v>
      </c>
      <c r="D22" s="13" t="inlineStr">
        <is>
          <t>Female</t>
        </is>
      </c>
      <c r="E22" s="13" t="inlineStr">
        <is>
          <t>Foreigner</t>
        </is>
      </c>
      <c r="F22" s="13" t="inlineStr">
        <is>
          <t>Singapore</t>
        </is>
      </c>
      <c r="G22" s="14" t="inlineStr">
        <is>
          <t>Driver</t>
        </is>
      </c>
      <c r="H22" s="13" t="n">
        <v>2</v>
      </c>
      <c r="I22" s="13" t="inlineStr"/>
      <c r="J22" s="30" t="n">
        <v>5075</v>
      </c>
      <c r="K22" s="24" t="inlineStr">
        <is>
          <t>SGD</t>
        </is>
      </c>
      <c r="L22" s="24" t="inlineStr">
        <is>
          <t>aggressive</t>
        </is>
      </c>
      <c r="M22" s="24" t="inlineStr">
        <is>
          <t>high</t>
        </is>
      </c>
      <c r="N22" s="24" t="b">
        <v>1</v>
      </c>
      <c r="O22" s="24" t="b">
        <v>0</v>
      </c>
      <c r="P22" s="24" t="inlineStr">
        <is>
          <t>A</t>
        </is>
      </c>
      <c r="Q22" s="24" t="inlineStr">
        <is>
          <t>Private</t>
        </is>
      </c>
      <c r="R22" s="24" t="b">
        <v>1</v>
      </c>
      <c r="S22" s="9" t="inlineStr">
        <is>
          <t>Adventurous Sports</t>
        </is>
      </c>
      <c r="T22" s="24" t="inlineStr">
        <is>
          <t>only the best</t>
        </is>
      </c>
      <c r="U22" s="24" t="b">
        <v>0</v>
      </c>
      <c r="V22" s="24" t="n">
        <v>90</v>
      </c>
      <c r="W22" s="31" t="n">
        <v>3933.12</v>
      </c>
      <c r="X22" s="32" t="n">
        <v>27748</v>
      </c>
      <c r="Y22" s="32" t="n">
        <v>157237</v>
      </c>
      <c r="Z22" s="32" t="n">
        <v>350000</v>
      </c>
      <c r="AA22" s="32" t="n">
        <v>192500</v>
      </c>
      <c r="AB22" s="32" t="n">
        <v>129489.192</v>
      </c>
      <c r="AC22" s="32" t="n">
        <v>304500</v>
      </c>
      <c r="AD22" s="33" t="inlineStr">
        <is>
          <t>Driver; age 48; Foreigner; 2 dep; home; non-smoker</t>
        </is>
      </c>
    </row>
    <row r="23">
      <c r="A23" s="13" t="inlineStr">
        <is>
          <t>P21</t>
        </is>
      </c>
      <c r="B23" s="14" t="inlineStr">
        <is>
          <t>Aisha Wong</t>
        </is>
      </c>
      <c r="C23" s="13" t="n">
        <v>33</v>
      </c>
      <c r="D23" s="13" t="inlineStr">
        <is>
          <t>Male</t>
        </is>
      </c>
      <c r="E23" s="13" t="inlineStr">
        <is>
          <t>Citizen</t>
        </is>
      </c>
      <c r="F23" s="13" t="inlineStr">
        <is>
          <t>Singapore</t>
        </is>
      </c>
      <c r="G23" s="14" t="inlineStr">
        <is>
          <t>Nurse</t>
        </is>
      </c>
      <c r="H23" s="13" t="n">
        <v>1</v>
      </c>
      <c r="I23" s="13" t="inlineStr"/>
      <c r="J23" s="30" t="n">
        <v>5250</v>
      </c>
      <c r="K23" s="24" t="inlineStr">
        <is>
          <t>SGD</t>
        </is>
      </c>
      <c r="L23" s="24" t="inlineStr">
        <is>
          <t>moderate</t>
        </is>
      </c>
      <c r="M23" s="24" t="inlineStr">
        <is>
          <t>high</t>
        </is>
      </c>
      <c r="N23" s="24" t="b">
        <v>1</v>
      </c>
      <c r="O23" s="24" t="b">
        <v>1</v>
      </c>
      <c r="P23" s="24" t="inlineStr">
        <is>
          <t>B</t>
        </is>
      </c>
      <c r="Q23" s="24" t="inlineStr">
        <is>
          <t>Public</t>
        </is>
      </c>
      <c r="R23" s="24" t="b">
        <v>1</v>
      </c>
      <c r="S23" s="9" t="inlineStr">
        <is>
          <t>Life style activities</t>
        </is>
      </c>
      <c r="T23" s="24" t="inlineStr">
        <is>
          <t>stress-free</t>
        </is>
      </c>
      <c r="U23" s="24" t="b">
        <v>0</v>
      </c>
      <c r="V23" s="24" t="n">
        <v>83</v>
      </c>
      <c r="W23" s="31" t="n">
        <v>3045</v>
      </c>
      <c r="X23" s="32" t="n">
        <v>12474</v>
      </c>
      <c r="Y23" s="32" t="n">
        <v>70686</v>
      </c>
      <c r="Z23" s="32" t="n">
        <v>350000</v>
      </c>
      <c r="AA23" s="32" t="n">
        <v>192500</v>
      </c>
      <c r="AB23" s="32" t="n">
        <v>58211.99999999999</v>
      </c>
      <c r="AC23" s="32" t="n">
        <v>315000</v>
      </c>
      <c r="AD23" s="33" t="inlineStr">
        <is>
          <t>Nurse; age 33; Citizen; 1 dep; home; non-smoker</t>
        </is>
      </c>
    </row>
    <row r="24">
      <c r="A24" s="13" t="inlineStr">
        <is>
          <t>P22</t>
        </is>
      </c>
      <c r="B24" s="14" t="inlineStr">
        <is>
          <t>Wei Ling Chee</t>
        </is>
      </c>
      <c r="C24" s="13" t="n">
        <v>55</v>
      </c>
      <c r="D24" s="13" t="inlineStr">
        <is>
          <t>Female</t>
        </is>
      </c>
      <c r="E24" s="13" t="inlineStr">
        <is>
          <t>PR</t>
        </is>
      </c>
      <c r="F24" s="13" t="inlineStr">
        <is>
          <t>Singapore</t>
        </is>
      </c>
      <c r="G24" s="14" t="inlineStr">
        <is>
          <t>Teacher</t>
        </is>
      </c>
      <c r="H24" s="13" t="n">
        <v>0</v>
      </c>
      <c r="I24" s="13" t="inlineStr"/>
      <c r="J24" s="30" t="n">
        <v>8960</v>
      </c>
      <c r="K24" s="24" t="inlineStr">
        <is>
          <t>SGD</t>
        </is>
      </c>
      <c r="L24" s="24" t="inlineStr">
        <is>
          <t>conservative</t>
        </is>
      </c>
      <c r="M24" s="24" t="inlineStr">
        <is>
          <t>medium</t>
        </is>
      </c>
      <c r="N24" s="24" t="b">
        <v>1</v>
      </c>
      <c r="O24" s="24" t="b">
        <v>1</v>
      </c>
      <c r="P24" s="24" t="inlineStr">
        <is>
          <t>Single</t>
        </is>
      </c>
      <c r="Q24" s="24" t="inlineStr">
        <is>
          <t>Private</t>
        </is>
      </c>
      <c r="R24" s="24" t="b">
        <v>0</v>
      </c>
      <c r="S24" s="9" t="inlineStr">
        <is>
          <t>Walking</t>
        </is>
      </c>
      <c r="T24" s="24" t="inlineStr">
        <is>
          <t>Basic</t>
        </is>
      </c>
      <c r="U24" s="24" t="b">
        <v>0</v>
      </c>
      <c r="V24" s="24" t="n">
        <v>89</v>
      </c>
      <c r="W24" s="31" t="n">
        <v>4968</v>
      </c>
      <c r="X24" s="32" t="n">
        <v>73195</v>
      </c>
      <c r="Y24" s="32" t="n">
        <v>414773</v>
      </c>
      <c r="Z24" s="32" t="n">
        <v>350000</v>
      </c>
      <c r="AA24" s="32" t="n">
        <v>192500</v>
      </c>
      <c r="AB24" s="32" t="n">
        <v>341577.6</v>
      </c>
      <c r="AC24" s="32" t="n">
        <v>200000</v>
      </c>
      <c r="AD24" s="33" t="inlineStr">
        <is>
          <t>Teacher; age 55; PR; 0 dep; home; non-smoker</t>
        </is>
      </c>
    </row>
    <row r="25">
      <c r="A25" s="13" t="inlineStr">
        <is>
          <t>P23</t>
        </is>
      </c>
      <c r="B25" s="14" t="inlineStr">
        <is>
          <t>Daniel Ong</t>
        </is>
      </c>
      <c r="C25" s="13" t="n">
        <v>61</v>
      </c>
      <c r="D25" s="13" t="inlineStr">
        <is>
          <t>Male</t>
        </is>
      </c>
      <c r="E25" s="13" t="inlineStr">
        <is>
          <t>Citizen</t>
        </is>
      </c>
      <c r="F25" s="13" t="inlineStr">
        <is>
          <t>Singapore</t>
        </is>
      </c>
      <c r="G25" s="14" t="inlineStr">
        <is>
          <t>Accountant</t>
        </is>
      </c>
      <c r="H25" s="13" t="n">
        <v>3</v>
      </c>
      <c r="I25" s="13" t="inlineStr"/>
      <c r="J25" s="30" t="n">
        <v>10920</v>
      </c>
      <c r="K25" s="24" t="inlineStr">
        <is>
          <t>SGD</t>
        </is>
      </c>
      <c r="L25" s="24" t="inlineStr">
        <is>
          <t>conservative</t>
        </is>
      </c>
      <c r="M25" s="24" t="inlineStr">
        <is>
          <t>medium</t>
        </is>
      </c>
      <c r="N25" s="24" t="b">
        <v>1</v>
      </c>
      <c r="O25" s="24" t="b">
        <v>1</v>
      </c>
      <c r="P25" s="24" t="inlineStr">
        <is>
          <t>Ward</t>
        </is>
      </c>
      <c r="Q25" s="24" t="inlineStr">
        <is>
          <t>Public</t>
        </is>
      </c>
      <c r="R25" s="24" t="b">
        <v>0</v>
      </c>
      <c r="S25" s="9" t="inlineStr">
        <is>
          <t>I dont do sports</t>
        </is>
      </c>
      <c r="T25" s="24" t="inlineStr">
        <is>
          <t>frugal</t>
        </is>
      </c>
      <c r="U25" s="24" t="b">
        <v>1</v>
      </c>
      <c r="V25" s="24" t="n">
        <v>76</v>
      </c>
      <c r="W25" s="31" t="n">
        <v>8184</v>
      </c>
      <c r="X25" s="32" t="n">
        <v>62496</v>
      </c>
      <c r="Y25" s="32" t="n">
        <v>354144</v>
      </c>
      <c r="Z25" s="32" t="n">
        <v>650000</v>
      </c>
      <c r="AA25" s="32" t="n">
        <v>357500</v>
      </c>
      <c r="AB25" s="32" t="n">
        <v>291648</v>
      </c>
      <c r="AC25" s="32" t="n">
        <v>655200</v>
      </c>
      <c r="AD25" s="33" t="inlineStr">
        <is>
          <t>Accountant; age 61; Citizen; 3 dep; home; smoker</t>
        </is>
      </c>
    </row>
    <row r="26">
      <c r="A26" s="13" t="inlineStr">
        <is>
          <t>P24</t>
        </is>
      </c>
      <c r="B26" s="14" t="inlineStr">
        <is>
          <t>Priya Abdullah</t>
        </is>
      </c>
      <c r="C26" s="13" t="n">
        <v>26</v>
      </c>
      <c r="D26" s="13" t="inlineStr">
        <is>
          <t>Female</t>
        </is>
      </c>
      <c r="E26" s="13" t="inlineStr">
        <is>
          <t>Citizen</t>
        </is>
      </c>
      <c r="F26" s="13" t="inlineStr">
        <is>
          <t>Singapore</t>
        </is>
      </c>
      <c r="G26" s="14" t="inlineStr">
        <is>
          <t>Marketing Manager</t>
        </is>
      </c>
      <c r="H26" s="13" t="n">
        <v>0</v>
      </c>
      <c r="I26" s="13" t="inlineStr"/>
      <c r="J26" s="30" t="n">
        <v>3425</v>
      </c>
      <c r="K26" s="24" t="inlineStr">
        <is>
          <t>SGD</t>
        </is>
      </c>
      <c r="L26" s="24" t="inlineStr">
        <is>
          <t>moderate</t>
        </is>
      </c>
      <c r="M26" s="24" t="inlineStr">
        <is>
          <t>high</t>
        </is>
      </c>
      <c r="N26" s="24" t="b">
        <v>0</v>
      </c>
      <c r="O26" s="24" t="b">
        <v>0</v>
      </c>
      <c r="P26" s="24" t="inlineStr">
        <is>
          <t>Ward</t>
        </is>
      </c>
      <c r="Q26" s="24" t="inlineStr">
        <is>
          <t>Public</t>
        </is>
      </c>
      <c r="R26" s="24" t="b">
        <v>1</v>
      </c>
      <c r="S26" s="9" t="inlineStr">
        <is>
          <t>HIIT</t>
        </is>
      </c>
      <c r="T26" s="24" t="inlineStr">
        <is>
          <t>Comfortable</t>
        </is>
      </c>
      <c r="U26" s="24" t="b">
        <v>0</v>
      </c>
      <c r="V26" s="24" t="n">
        <v>87</v>
      </c>
      <c r="W26" s="31" t="n">
        <v>1849.5</v>
      </c>
      <c r="X26" s="32" t="n">
        <v>4007</v>
      </c>
      <c r="Y26" s="32" t="n">
        <v>22708</v>
      </c>
      <c r="Z26" s="32" t="n">
        <v>0</v>
      </c>
      <c r="AA26" s="32" t="n">
        <v>0</v>
      </c>
      <c r="AB26" s="32" t="n">
        <v>18700.5</v>
      </c>
      <c r="AC26" s="32" t="n">
        <v>0</v>
      </c>
      <c r="AD26" s="33" t="inlineStr">
        <is>
          <t>Marketing Manager; age 26; Citizen; 0 dep; rent; non-smoker</t>
        </is>
      </c>
    </row>
    <row r="27">
      <c r="A27" s="13" t="inlineStr">
        <is>
          <t>P25</t>
        </is>
      </c>
      <c r="B27" s="14" t="inlineStr">
        <is>
          <t>Marcus Hassan</t>
        </is>
      </c>
      <c r="C27" s="13" t="n">
        <v>38</v>
      </c>
      <c r="D27" s="13" t="inlineStr">
        <is>
          <t>Male</t>
        </is>
      </c>
      <c r="E27" s="13" t="inlineStr">
        <is>
          <t>Foreigner</t>
        </is>
      </c>
      <c r="F27" s="13" t="inlineStr">
        <is>
          <t>Singapore</t>
        </is>
      </c>
      <c r="G27" s="14" t="inlineStr">
        <is>
          <t>Software Engineer</t>
        </is>
      </c>
      <c r="H27" s="13" t="n">
        <v>2</v>
      </c>
      <c r="I27" s="13" t="inlineStr"/>
      <c r="J27" s="30" t="n">
        <v>4325</v>
      </c>
      <c r="K27" s="24" t="inlineStr">
        <is>
          <t>SGD</t>
        </is>
      </c>
      <c r="L27" s="24" t="inlineStr">
        <is>
          <t>aggressive</t>
        </is>
      </c>
      <c r="M27" s="24" t="inlineStr">
        <is>
          <t>high</t>
        </is>
      </c>
      <c r="N27" s="24" t="b">
        <v>0</v>
      </c>
      <c r="O27" s="24" t="b">
        <v>1</v>
      </c>
      <c r="P27" s="24" t="inlineStr">
        <is>
          <t>Double</t>
        </is>
      </c>
      <c r="Q27" s="24" t="inlineStr">
        <is>
          <t>Private</t>
        </is>
      </c>
      <c r="R27" s="24" t="b">
        <v>1</v>
      </c>
      <c r="S27" s="9" t="inlineStr">
        <is>
          <t>Football</t>
        </is>
      </c>
      <c r="T27" s="24" t="inlineStr">
        <is>
          <t>Luxurious</t>
        </is>
      </c>
      <c r="U27" s="24" t="b">
        <v>0</v>
      </c>
      <c r="V27" s="24" t="n">
        <v>80</v>
      </c>
      <c r="W27" s="31" t="n">
        <v>3351.88</v>
      </c>
      <c r="X27" s="32" t="n">
        <v>14889</v>
      </c>
      <c r="Y27" s="32" t="n">
        <v>84370</v>
      </c>
      <c r="Z27" s="32" t="n">
        <v>0</v>
      </c>
      <c r="AA27" s="32" t="n">
        <v>0</v>
      </c>
      <c r="AB27" s="32" t="n">
        <v>69480.76799999998</v>
      </c>
      <c r="AC27" s="32" t="n">
        <v>259500</v>
      </c>
      <c r="AD27" s="33" t="inlineStr">
        <is>
          <t>Software Engineer; age 38; Foreigner; 2 dep; rent; non-smoker</t>
        </is>
      </c>
    </row>
    <row r="28">
      <c r="A28" s="13" t="inlineStr">
        <is>
          <t>P26</t>
        </is>
      </c>
      <c r="B28" s="14" t="inlineStr">
        <is>
          <t>Hannah Ng</t>
        </is>
      </c>
      <c r="C28" s="13" t="n">
        <v>52</v>
      </c>
      <c r="D28" s="13" t="inlineStr">
        <is>
          <t>Female</t>
        </is>
      </c>
      <c r="E28" s="13" t="inlineStr">
        <is>
          <t>Citizen</t>
        </is>
      </c>
      <c r="F28" s="13" t="inlineStr">
        <is>
          <t>Singapore</t>
        </is>
      </c>
      <c r="G28" s="14" t="inlineStr">
        <is>
          <t>Doctor</t>
        </is>
      </c>
      <c r="H28" s="13" t="n">
        <v>1</v>
      </c>
      <c r="I28" s="13" t="inlineStr"/>
      <c r="J28" s="30" t="n">
        <v>21710</v>
      </c>
      <c r="K28" s="24" t="inlineStr">
        <is>
          <t>SGD</t>
        </is>
      </c>
      <c r="L28" s="24" t="inlineStr">
        <is>
          <t>moderate</t>
        </is>
      </c>
      <c r="M28" s="24" t="inlineStr">
        <is>
          <t>low</t>
        </is>
      </c>
      <c r="N28" s="24" t="b">
        <v>1</v>
      </c>
      <c r="O28" s="24" t="b">
        <v>1</v>
      </c>
      <c r="P28" s="24" t="inlineStr">
        <is>
          <t>A</t>
        </is>
      </c>
      <c r="Q28" s="24" t="inlineStr">
        <is>
          <t>Private</t>
        </is>
      </c>
      <c r="R28" s="24" t="b">
        <v>1</v>
      </c>
      <c r="S28" s="9" t="inlineStr">
        <is>
          <t>Pilates</t>
        </is>
      </c>
      <c r="T28" s="24" t="inlineStr">
        <is>
          <t>only the best</t>
        </is>
      </c>
      <c r="U28" s="24" t="b">
        <v>0</v>
      </c>
      <c r="V28" s="24" t="n">
        <v>91</v>
      </c>
      <c r="W28" s="31" t="n">
        <v>14579.75</v>
      </c>
      <c r="X28" s="32" t="n">
        <v>154294</v>
      </c>
      <c r="Y28" s="32" t="n">
        <v>874333</v>
      </c>
      <c r="Z28" s="32" t="n">
        <v>850000</v>
      </c>
      <c r="AA28" s="32" t="n">
        <v>467500</v>
      </c>
      <c r="AB28" s="32" t="n">
        <v>720038.5499999999</v>
      </c>
      <c r="AC28" s="32" t="n">
        <v>1302600</v>
      </c>
      <c r="AD28" s="33" t="inlineStr">
        <is>
          <t>Doctor; age 52; Citizen; 1 dep; home; non-smoker</t>
        </is>
      </c>
    </row>
    <row r="29">
      <c r="A29" s="13" t="inlineStr">
        <is>
          <t>P27</t>
        </is>
      </c>
      <c r="B29" s="14" t="inlineStr">
        <is>
          <t>Julian Chua</t>
        </is>
      </c>
      <c r="C29" s="13" t="n">
        <v>67</v>
      </c>
      <c r="D29" s="13" t="inlineStr">
        <is>
          <t>Male</t>
        </is>
      </c>
      <c r="E29" s="13" t="inlineStr">
        <is>
          <t>Citizen</t>
        </is>
      </c>
      <c r="F29" s="13" t="inlineStr">
        <is>
          <t>Singapore</t>
        </is>
      </c>
      <c r="G29" s="14" t="inlineStr">
        <is>
          <t>Investment Banker</t>
        </is>
      </c>
      <c r="H29" s="13" t="n">
        <v>0</v>
      </c>
      <c r="I29" s="13" t="inlineStr"/>
      <c r="J29" s="30" t="n">
        <v>6200</v>
      </c>
      <c r="K29" s="24" t="inlineStr">
        <is>
          <t>SGD</t>
        </is>
      </c>
      <c r="L29" s="24" t="inlineStr">
        <is>
          <t>conservative</t>
        </is>
      </c>
      <c r="M29" s="24" t="inlineStr">
        <is>
          <t>medium</t>
        </is>
      </c>
      <c r="N29" s="24" t="b">
        <v>1</v>
      </c>
      <c r="O29" s="24" t="b">
        <v>0</v>
      </c>
      <c r="P29" s="24" t="inlineStr">
        <is>
          <t>Ward</t>
        </is>
      </c>
      <c r="Q29" s="24" t="inlineStr">
        <is>
          <t>Public</t>
        </is>
      </c>
      <c r="R29" s="24" t="b">
        <v>0</v>
      </c>
      <c r="S29" s="9" t="inlineStr">
        <is>
          <t>I dont do sports</t>
        </is>
      </c>
      <c r="T29" s="24" t="inlineStr">
        <is>
          <t>Basic</t>
        </is>
      </c>
      <c r="U29" s="24" t="b">
        <v>0</v>
      </c>
      <c r="V29" s="24" t="n">
        <v>85</v>
      </c>
      <c r="W29" s="31" t="n">
        <v>3871.13</v>
      </c>
      <c r="X29" s="32" t="n">
        <v>77164</v>
      </c>
      <c r="Y29" s="32" t="n">
        <v>437264</v>
      </c>
      <c r="Z29" s="32" t="n">
        <v>350000</v>
      </c>
      <c r="AA29" s="32" t="n">
        <v>192500</v>
      </c>
      <c r="AB29" s="32" t="n">
        <v>360099.684</v>
      </c>
      <c r="AC29" s="32" t="n">
        <v>200000</v>
      </c>
      <c r="AD29" s="33" t="inlineStr">
        <is>
          <t>Investment Banker; age 67; Citizen; 0 dep; home; non-smoker</t>
        </is>
      </c>
    </row>
    <row r="30">
      <c r="A30" s="13" t="inlineStr">
        <is>
          <t>P28</t>
        </is>
      </c>
      <c r="B30" s="14" t="inlineStr">
        <is>
          <t>Mei Fen Lee</t>
        </is>
      </c>
      <c r="C30" s="13" t="n">
        <v>31</v>
      </c>
      <c r="D30" s="13" t="inlineStr">
        <is>
          <t>Female</t>
        </is>
      </c>
      <c r="E30" s="13" t="inlineStr">
        <is>
          <t>PR</t>
        </is>
      </c>
      <c r="F30" s="13" t="inlineStr">
        <is>
          <t>Singapore</t>
        </is>
      </c>
      <c r="G30" s="14" t="inlineStr">
        <is>
          <t>CEO</t>
        </is>
      </c>
      <c r="H30" s="13" t="n">
        <v>1</v>
      </c>
      <c r="I30" s="13" t="inlineStr"/>
      <c r="J30" s="30" t="n">
        <v>3800</v>
      </c>
      <c r="K30" s="24" t="inlineStr">
        <is>
          <t>SGD</t>
        </is>
      </c>
      <c r="L30" s="24" t="inlineStr">
        <is>
          <t>moderate</t>
        </is>
      </c>
      <c r="M30" s="24" t="inlineStr">
        <is>
          <t>high</t>
        </is>
      </c>
      <c r="N30" s="24" t="b">
        <v>0</v>
      </c>
      <c r="O30" s="24" t="b">
        <v>1</v>
      </c>
      <c r="P30" s="24" t="inlineStr">
        <is>
          <t>Double</t>
        </is>
      </c>
      <c r="Q30" s="24" t="inlineStr">
        <is>
          <t>Public</t>
        </is>
      </c>
      <c r="R30" s="24" t="b">
        <v>0</v>
      </c>
      <c r="S30" s="9" t="inlineStr">
        <is>
          <t>Running</t>
        </is>
      </c>
      <c r="T30" s="24" t="inlineStr">
        <is>
          <t>Comfortable</t>
        </is>
      </c>
      <c r="U30" s="24" t="b">
        <v>1</v>
      </c>
      <c r="V30" s="24" t="n">
        <v>79</v>
      </c>
      <c r="W30" s="31" t="n">
        <v>2204</v>
      </c>
      <c r="X30" s="32" t="n">
        <v>7524</v>
      </c>
      <c r="Y30" s="32" t="n">
        <v>42636</v>
      </c>
      <c r="Z30" s="32" t="n">
        <v>0</v>
      </c>
      <c r="AA30" s="32" t="n">
        <v>0</v>
      </c>
      <c r="AB30" s="32" t="n">
        <v>35112</v>
      </c>
      <c r="AC30" s="32" t="n">
        <v>228000</v>
      </c>
      <c r="AD30" s="33" t="inlineStr">
        <is>
          <t>CEO; age 31; PR; 1 dep; rent; smoker</t>
        </is>
      </c>
    </row>
    <row r="31">
      <c r="A31" s="13" t="inlineStr">
        <is>
          <t>P29</t>
        </is>
      </c>
      <c r="B31" s="14" t="inlineStr">
        <is>
          <t>Hafiz Goh</t>
        </is>
      </c>
      <c r="C31" s="13" t="n">
        <v>45</v>
      </c>
      <c r="D31" s="13" t="inlineStr">
        <is>
          <t>Male</t>
        </is>
      </c>
      <c r="E31" s="13" t="inlineStr">
        <is>
          <t>Citizen</t>
        </is>
      </c>
      <c r="F31" s="13" t="inlineStr">
        <is>
          <t>Singapore</t>
        </is>
      </c>
      <c r="G31" s="14" t="inlineStr">
        <is>
          <t>Baker</t>
        </is>
      </c>
      <c r="H31" s="13" t="n">
        <v>4</v>
      </c>
      <c r="I31" s="13" t="inlineStr"/>
      <c r="J31" s="30" t="n">
        <v>4850</v>
      </c>
      <c r="K31" s="24" t="inlineStr">
        <is>
          <t>SGD</t>
        </is>
      </c>
      <c r="L31" s="24" t="inlineStr">
        <is>
          <t>aggressive</t>
        </is>
      </c>
      <c r="M31" s="24" t="inlineStr">
        <is>
          <t>high</t>
        </is>
      </c>
      <c r="N31" s="24" t="b">
        <v>1</v>
      </c>
      <c r="O31" s="24" t="b">
        <v>1</v>
      </c>
      <c r="P31" s="24" t="inlineStr">
        <is>
          <t>Single</t>
        </is>
      </c>
      <c r="Q31" s="24" t="inlineStr">
        <is>
          <t>Private</t>
        </is>
      </c>
      <c r="R31" s="24" t="b">
        <v>1</v>
      </c>
      <c r="S31" s="9" t="inlineStr">
        <is>
          <t>Golf</t>
        </is>
      </c>
      <c r="T31" s="24" t="inlineStr">
        <is>
          <t>Luxurious</t>
        </is>
      </c>
      <c r="U31" s="24" t="b">
        <v>0</v>
      </c>
      <c r="V31" s="24" t="n">
        <v>84</v>
      </c>
      <c r="W31" s="31" t="n">
        <v>3395</v>
      </c>
      <c r="X31" s="32" t="n">
        <v>10476</v>
      </c>
      <c r="Y31" s="32" t="n">
        <v>59364</v>
      </c>
      <c r="Z31" s="32" t="n">
        <v>350000</v>
      </c>
      <c r="AA31" s="32" t="n">
        <v>192500</v>
      </c>
      <c r="AB31" s="32" t="n">
        <v>48888</v>
      </c>
      <c r="AC31" s="32" t="n">
        <v>291000</v>
      </c>
      <c r="AD31" s="33" t="inlineStr">
        <is>
          <t>Baker; age 45; Citizen; 4 dep; home; non-smoker</t>
        </is>
      </c>
    </row>
    <row r="32">
      <c r="A32" s="13" t="inlineStr">
        <is>
          <t>P30</t>
        </is>
      </c>
      <c r="B32" s="14" t="inlineStr">
        <is>
          <t>Siti Teo</t>
        </is>
      </c>
      <c r="C32" s="13" t="n">
        <v>58</v>
      </c>
      <c r="D32" s="13" t="inlineStr">
        <is>
          <t>Female</t>
        </is>
      </c>
      <c r="E32" s="13" t="inlineStr">
        <is>
          <t>Citizen</t>
        </is>
      </c>
      <c r="F32" s="13" t="inlineStr">
        <is>
          <t>Singapore</t>
        </is>
      </c>
      <c r="G32" s="14" t="inlineStr">
        <is>
          <t>Driver</t>
        </is>
      </c>
      <c r="H32" s="13" t="n">
        <v>2</v>
      </c>
      <c r="I32" s="13" t="inlineStr"/>
      <c r="J32" s="30" t="n">
        <v>5825</v>
      </c>
      <c r="K32" s="24" t="inlineStr">
        <is>
          <t>SGD</t>
        </is>
      </c>
      <c r="L32" s="24" t="inlineStr">
        <is>
          <t>conservative</t>
        </is>
      </c>
      <c r="M32" s="24" t="inlineStr">
        <is>
          <t>high</t>
        </is>
      </c>
      <c r="N32" s="24" t="b">
        <v>1</v>
      </c>
      <c r="O32" s="24" t="b">
        <v>1</v>
      </c>
      <c r="P32" s="24" t="inlineStr">
        <is>
          <t>B</t>
        </is>
      </c>
      <c r="Q32" s="24" t="inlineStr">
        <is>
          <t>Private</t>
        </is>
      </c>
      <c r="R32" s="24" t="b">
        <v>0</v>
      </c>
      <c r="S32" s="9" t="inlineStr">
        <is>
          <t>Life style activities</t>
        </is>
      </c>
      <c r="T32" s="24" t="inlineStr">
        <is>
          <t>stress-free</t>
        </is>
      </c>
      <c r="U32" s="24" t="b">
        <v>0</v>
      </c>
      <c r="V32" s="24" t="n">
        <v>92</v>
      </c>
      <c r="W32" s="31" t="n">
        <v>3702.18</v>
      </c>
      <c r="X32" s="32" t="n">
        <v>35792</v>
      </c>
      <c r="Y32" s="32" t="n">
        <v>202819</v>
      </c>
      <c r="Z32" s="32" t="n">
        <v>350000</v>
      </c>
      <c r="AA32" s="32" t="n">
        <v>192500</v>
      </c>
      <c r="AB32" s="32" t="n">
        <v>167027.028</v>
      </c>
      <c r="AC32" s="32" t="n">
        <v>349500</v>
      </c>
      <c r="AD32" s="33" t="inlineStr">
        <is>
          <t>Driver; age 58; Citizen; 2 dep; home; non-smoker</t>
        </is>
      </c>
    </row>
    <row r="33">
      <c r="A33" s="13" t="inlineStr">
        <is>
          <t>P31</t>
        </is>
      </c>
      <c r="B33" s="14" t="inlineStr">
        <is>
          <t>Aisha Rahman</t>
        </is>
      </c>
      <c r="C33" s="13" t="n">
        <v>24</v>
      </c>
      <c r="D33" s="13" t="inlineStr">
        <is>
          <t>Female</t>
        </is>
      </c>
      <c r="E33" s="13" t="inlineStr">
        <is>
          <t>Citizen</t>
        </is>
      </c>
      <c r="F33" s="13" t="inlineStr">
        <is>
          <t>Singapore</t>
        </is>
      </c>
      <c r="G33" s="14" t="inlineStr">
        <is>
          <t>Nurse</t>
        </is>
      </c>
      <c r="H33" s="13" t="n">
        <v>0</v>
      </c>
      <c r="I33" s="13" t="inlineStr"/>
      <c r="J33" s="30" t="n">
        <v>4305</v>
      </c>
      <c r="K33" s="24" t="inlineStr">
        <is>
          <t>SGD</t>
        </is>
      </c>
      <c r="L33" s="24" t="inlineStr">
        <is>
          <t>conservative</t>
        </is>
      </c>
      <c r="M33" s="24" t="inlineStr">
        <is>
          <t>high</t>
        </is>
      </c>
      <c r="N33" s="24" t="b">
        <v>0</v>
      </c>
      <c r="O33" s="24" t="b">
        <v>0</v>
      </c>
      <c r="P33" s="24" t="inlineStr">
        <is>
          <t>Ward</t>
        </is>
      </c>
      <c r="Q33" s="24" t="inlineStr">
        <is>
          <t>Public</t>
        </is>
      </c>
      <c r="R33" s="24" t="b">
        <v>0</v>
      </c>
      <c r="S33" s="9" t="inlineStr">
        <is>
          <t>Yoga</t>
        </is>
      </c>
      <c r="T33" s="24" t="inlineStr">
        <is>
          <t>Basic</t>
        </is>
      </c>
      <c r="U33" s="24" t="b">
        <v>0</v>
      </c>
      <c r="V33" s="24" t="n">
        <v>86</v>
      </c>
      <c r="W33" s="31" t="n">
        <v>2324.7</v>
      </c>
      <c r="X33" s="32" t="n">
        <v>3022</v>
      </c>
      <c r="Y33" s="32" t="n">
        <v>17125</v>
      </c>
      <c r="Z33" s="32" t="n">
        <v>0</v>
      </c>
      <c r="AA33" s="32" t="n">
        <v>0</v>
      </c>
      <c r="AB33" s="32" t="n">
        <v>14103.18</v>
      </c>
      <c r="AC33" s="32" t="n">
        <v>0</v>
      </c>
      <c r="AD33" s="33" t="inlineStr">
        <is>
          <t>Nurse; age 24; Citizen; 0 dep; rent; non-smoker</t>
        </is>
      </c>
    </row>
    <row r="34">
      <c r="A34" s="13" t="inlineStr">
        <is>
          <t>P32</t>
        </is>
      </c>
      <c r="B34" s="14" t="inlineStr">
        <is>
          <t>Wei Ling Tan</t>
        </is>
      </c>
      <c r="C34" s="13" t="n">
        <v>29</v>
      </c>
      <c r="D34" s="13" t="inlineStr">
        <is>
          <t>Male</t>
        </is>
      </c>
      <c r="E34" s="13" t="inlineStr">
        <is>
          <t>PR</t>
        </is>
      </c>
      <c r="F34" s="13" t="inlineStr">
        <is>
          <t>Singapore</t>
        </is>
      </c>
      <c r="G34" s="14" t="inlineStr">
        <is>
          <t>Teacher</t>
        </is>
      </c>
      <c r="H34" s="13" t="n">
        <v>0</v>
      </c>
      <c r="I34" s="13" t="inlineStr"/>
      <c r="J34" s="30" t="n">
        <v>6230</v>
      </c>
      <c r="K34" s="24" t="inlineStr">
        <is>
          <t>SGD</t>
        </is>
      </c>
      <c r="L34" s="24" t="inlineStr">
        <is>
          <t>moderate</t>
        </is>
      </c>
      <c r="M34" s="24" t="inlineStr">
        <is>
          <t>medium</t>
        </is>
      </c>
      <c r="N34" s="24" t="b">
        <v>0</v>
      </c>
      <c r="O34" s="24" t="b">
        <v>1</v>
      </c>
      <c r="P34" s="24" t="inlineStr">
        <is>
          <t>Double</t>
        </is>
      </c>
      <c r="Q34" s="24" t="inlineStr">
        <is>
          <t>Private</t>
        </is>
      </c>
      <c r="R34" s="24" t="b">
        <v>1</v>
      </c>
      <c r="S34" s="9" t="inlineStr">
        <is>
          <t>Running</t>
        </is>
      </c>
      <c r="T34" s="24" t="inlineStr">
        <is>
          <t>Comfortable</t>
        </is>
      </c>
      <c r="U34" s="24" t="b">
        <v>0</v>
      </c>
      <c r="V34" s="24" t="n">
        <v>81</v>
      </c>
      <c r="W34" s="31" t="n">
        <v>3364.2</v>
      </c>
      <c r="X34" s="32" t="n">
        <v>11663</v>
      </c>
      <c r="Y34" s="32" t="n">
        <v>66088</v>
      </c>
      <c r="Z34" s="32" t="n">
        <v>0</v>
      </c>
      <c r="AA34" s="32" t="n">
        <v>0</v>
      </c>
      <c r="AB34" s="32" t="n">
        <v>54425.28000000001</v>
      </c>
      <c r="AC34" s="32" t="n">
        <v>0</v>
      </c>
      <c r="AD34" s="33" t="inlineStr">
        <is>
          <t>Teacher; age 29; PR; 0 dep; rent; non-smoker</t>
        </is>
      </c>
    </row>
    <row r="35">
      <c r="A35" s="13" t="inlineStr">
        <is>
          <t>P33</t>
        </is>
      </c>
      <c r="B35" s="14" t="inlineStr">
        <is>
          <t>Daniel Koh</t>
        </is>
      </c>
      <c r="C35" s="13" t="n">
        <v>36</v>
      </c>
      <c r="D35" s="13" t="inlineStr">
        <is>
          <t>Female</t>
        </is>
      </c>
      <c r="E35" s="13" t="inlineStr">
        <is>
          <t>Citizen</t>
        </is>
      </c>
      <c r="F35" s="13" t="inlineStr">
        <is>
          <t>Singapore</t>
        </is>
      </c>
      <c r="G35" s="14" t="inlineStr">
        <is>
          <t>Accountant</t>
        </is>
      </c>
      <c r="H35" s="13" t="n">
        <v>1</v>
      </c>
      <c r="I35" s="13" t="inlineStr"/>
      <c r="J35" s="30" t="n">
        <v>7420</v>
      </c>
      <c r="K35" s="24" t="inlineStr">
        <is>
          <t>SGD</t>
        </is>
      </c>
      <c r="L35" s="24" t="inlineStr">
        <is>
          <t>moderate</t>
        </is>
      </c>
      <c r="M35" s="24" t="inlineStr">
        <is>
          <t>medium</t>
        </is>
      </c>
      <c r="N35" s="24" t="b">
        <v>1</v>
      </c>
      <c r="O35" s="24" t="b">
        <v>1</v>
      </c>
      <c r="P35" s="24" t="inlineStr">
        <is>
          <t>Single</t>
        </is>
      </c>
      <c r="Q35" s="24" t="inlineStr">
        <is>
          <t>Private</t>
        </is>
      </c>
      <c r="R35" s="24" t="b">
        <v>1</v>
      </c>
      <c r="S35" s="9" t="inlineStr">
        <is>
          <t>Swimming</t>
        </is>
      </c>
      <c r="T35" s="24" t="inlineStr">
        <is>
          <t>Comfortable</t>
        </is>
      </c>
      <c r="U35" s="24" t="b">
        <v>0</v>
      </c>
      <c r="V35" s="24" t="n">
        <v>88</v>
      </c>
      <c r="W35" s="31" t="n">
        <v>4303.6</v>
      </c>
      <c r="X35" s="32" t="n">
        <v>22037</v>
      </c>
      <c r="Y35" s="32" t="n">
        <v>124879</v>
      </c>
      <c r="Z35" s="32" t="n">
        <v>350000</v>
      </c>
      <c r="AA35" s="32" t="n">
        <v>192500</v>
      </c>
      <c r="AB35" s="32" t="n">
        <v>102841.2</v>
      </c>
      <c r="AC35" s="32" t="n">
        <v>445200</v>
      </c>
      <c r="AD35" s="33" t="inlineStr">
        <is>
          <t>Accountant; age 36; Citizen; 1 dep; home; non-smoker</t>
        </is>
      </c>
    </row>
    <row r="36">
      <c r="A36" s="13" t="inlineStr">
        <is>
          <t>P34</t>
        </is>
      </c>
      <c r="B36" s="14" t="inlineStr">
        <is>
          <t>Priya Nair</t>
        </is>
      </c>
      <c r="C36" s="13" t="n">
        <v>43</v>
      </c>
      <c r="D36" s="13" t="inlineStr">
        <is>
          <t>Male</t>
        </is>
      </c>
      <c r="E36" s="13" t="inlineStr">
        <is>
          <t>Citizen</t>
        </is>
      </c>
      <c r="F36" s="13" t="inlineStr">
        <is>
          <t>Singapore</t>
        </is>
      </c>
      <c r="G36" s="14" t="inlineStr">
        <is>
          <t>Marketing Manager</t>
        </is>
      </c>
      <c r="H36" s="13" t="n">
        <v>2</v>
      </c>
      <c r="I36" s="13" t="inlineStr"/>
      <c r="J36" s="30" t="n">
        <v>4700</v>
      </c>
      <c r="K36" s="24" t="inlineStr">
        <is>
          <t>SGD</t>
        </is>
      </c>
      <c r="L36" s="24" t="inlineStr">
        <is>
          <t>conservative</t>
        </is>
      </c>
      <c r="M36" s="24" t="inlineStr">
        <is>
          <t>high</t>
        </is>
      </c>
      <c r="N36" s="24" t="b">
        <v>1</v>
      </c>
      <c r="O36" s="24" t="b">
        <v>1</v>
      </c>
      <c r="P36" s="24" t="inlineStr">
        <is>
          <t>Ward</t>
        </is>
      </c>
      <c r="Q36" s="24" t="inlineStr">
        <is>
          <t>Public</t>
        </is>
      </c>
      <c r="R36" s="24" t="b">
        <v>0</v>
      </c>
      <c r="S36" s="9" t="inlineStr">
        <is>
          <t>I dont do sports</t>
        </is>
      </c>
      <c r="T36" s="24" t="inlineStr">
        <is>
          <t>frugal</t>
        </is>
      </c>
      <c r="U36" s="24" t="b">
        <v>1</v>
      </c>
      <c r="V36" s="24" t="n">
        <v>78</v>
      </c>
      <c r="W36" s="31" t="n">
        <v>2914</v>
      </c>
      <c r="X36" s="32" t="n">
        <v>16751</v>
      </c>
      <c r="Y36" s="32" t="n">
        <v>94921</v>
      </c>
      <c r="Z36" s="32" t="n">
        <v>350000</v>
      </c>
      <c r="AA36" s="32" t="n">
        <v>192500</v>
      </c>
      <c r="AB36" s="32" t="n">
        <v>78170.39999999999</v>
      </c>
      <c r="AC36" s="32" t="n">
        <v>282000</v>
      </c>
      <c r="AD36" s="33" t="inlineStr">
        <is>
          <t>Marketing Manager; age 43; Citizen; 2 dep; home; smoker</t>
        </is>
      </c>
    </row>
    <row r="37">
      <c r="A37" s="13" t="inlineStr">
        <is>
          <t>P35</t>
        </is>
      </c>
      <c r="B37" s="14" t="inlineStr">
        <is>
          <t>Marcus Lim</t>
        </is>
      </c>
      <c r="C37" s="13" t="n">
        <v>49</v>
      </c>
      <c r="D37" s="13" t="inlineStr">
        <is>
          <t>Female</t>
        </is>
      </c>
      <c r="E37" s="13" t="inlineStr">
        <is>
          <t>Foreigner</t>
        </is>
      </c>
      <c r="F37" s="13" t="inlineStr">
        <is>
          <t>Singapore</t>
        </is>
      </c>
      <c r="G37" s="14" t="inlineStr">
        <is>
          <t>Software Engineer</t>
        </is>
      </c>
      <c r="H37" s="13" t="n">
        <v>2</v>
      </c>
      <c r="I37" s="13" t="inlineStr"/>
      <c r="J37" s="30" t="n">
        <v>5150</v>
      </c>
      <c r="K37" s="24" t="inlineStr">
        <is>
          <t>SGD</t>
        </is>
      </c>
      <c r="L37" s="24" t="inlineStr">
        <is>
          <t>aggressive</t>
        </is>
      </c>
      <c r="M37" s="24" t="inlineStr">
        <is>
          <t>high</t>
        </is>
      </c>
      <c r="N37" s="24" t="b">
        <v>1</v>
      </c>
      <c r="O37" s="24" t="b">
        <v>0</v>
      </c>
      <c r="P37" s="24" t="inlineStr">
        <is>
          <t>A</t>
        </is>
      </c>
      <c r="Q37" s="24" t="inlineStr">
        <is>
          <t>Private</t>
        </is>
      </c>
      <c r="R37" s="24" t="b">
        <v>1</v>
      </c>
      <c r="S37" s="9" t="inlineStr">
        <is>
          <t>Adventurous Sports</t>
        </is>
      </c>
      <c r="T37" s="24" t="inlineStr">
        <is>
          <t>only the best</t>
        </is>
      </c>
      <c r="U37" s="24" t="b">
        <v>0</v>
      </c>
      <c r="V37" s="24" t="n">
        <v>90</v>
      </c>
      <c r="W37" s="31" t="n">
        <v>3991.25</v>
      </c>
      <c r="X37" s="32" t="n">
        <v>29200</v>
      </c>
      <c r="Y37" s="32" t="n">
        <v>165470</v>
      </c>
      <c r="Z37" s="32" t="n">
        <v>350000</v>
      </c>
      <c r="AA37" s="32" t="n">
        <v>192500</v>
      </c>
      <c r="AB37" s="32" t="n">
        <v>136269</v>
      </c>
      <c r="AC37" s="32" t="n">
        <v>309000</v>
      </c>
      <c r="AD37" s="33" t="inlineStr">
        <is>
          <t>Software Engineer; age 49; Foreigner; 2 dep; home; non-smoker</t>
        </is>
      </c>
    </row>
    <row r="38">
      <c r="A38" s="13" t="inlineStr">
        <is>
          <t>P36</t>
        </is>
      </c>
      <c r="B38" s="14" t="inlineStr">
        <is>
          <t>Hannah Wong</t>
        </is>
      </c>
      <c r="C38" s="13" t="n">
        <v>34</v>
      </c>
      <c r="D38" s="13" t="inlineStr">
        <is>
          <t>Male</t>
        </is>
      </c>
      <c r="E38" s="13" t="inlineStr">
        <is>
          <t>Citizen</t>
        </is>
      </c>
      <c r="F38" s="13" t="inlineStr">
        <is>
          <t>Singapore</t>
        </is>
      </c>
      <c r="G38" s="14" t="inlineStr">
        <is>
          <t>Doctor</t>
        </is>
      </c>
      <c r="H38" s="13" t="n">
        <v>1</v>
      </c>
      <c r="I38" s="13" t="inlineStr"/>
      <c r="J38" s="30" t="n">
        <v>14690</v>
      </c>
      <c r="K38" s="24" t="inlineStr">
        <is>
          <t>SGD</t>
        </is>
      </c>
      <c r="L38" s="24" t="inlineStr">
        <is>
          <t>moderate</t>
        </is>
      </c>
      <c r="M38" s="24" t="inlineStr">
        <is>
          <t>medium</t>
        </is>
      </c>
      <c r="N38" s="24" t="b">
        <v>1</v>
      </c>
      <c r="O38" s="24" t="b">
        <v>1</v>
      </c>
      <c r="P38" s="24" t="inlineStr">
        <is>
          <t>B</t>
        </is>
      </c>
      <c r="Q38" s="24" t="inlineStr">
        <is>
          <t>Public</t>
        </is>
      </c>
      <c r="R38" s="24" t="b">
        <v>1</v>
      </c>
      <c r="S38" s="9" t="inlineStr">
        <is>
          <t>Life style activities</t>
        </is>
      </c>
      <c r="T38" s="24" t="inlineStr">
        <is>
          <t>stress-free</t>
        </is>
      </c>
      <c r="U38" s="24" t="b">
        <v>0</v>
      </c>
      <c r="V38" s="24" t="n">
        <v>83</v>
      </c>
      <c r="W38" s="31" t="n">
        <v>9490.25</v>
      </c>
      <c r="X38" s="32" t="n">
        <v>42117</v>
      </c>
      <c r="Y38" s="32" t="n">
        <v>238663</v>
      </c>
      <c r="Z38" s="32" t="n">
        <v>650000</v>
      </c>
      <c r="AA38" s="32" t="n">
        <v>357500</v>
      </c>
      <c r="AB38" s="32" t="n">
        <v>196546.35</v>
      </c>
      <c r="AC38" s="32" t="n">
        <v>881400</v>
      </c>
      <c r="AD38" s="33" t="inlineStr">
        <is>
          <t>Doctor; age 34; Citizen; 1 dep; home; non-smoker</t>
        </is>
      </c>
    </row>
    <row r="39">
      <c r="A39" s="13" t="inlineStr">
        <is>
          <t>P37</t>
        </is>
      </c>
      <c r="B39" s="14" t="inlineStr">
        <is>
          <t>Julian Chee</t>
        </is>
      </c>
      <c r="C39" s="13" t="n">
        <v>56</v>
      </c>
      <c r="D39" s="13" t="inlineStr">
        <is>
          <t>Female</t>
        </is>
      </c>
      <c r="E39" s="13" t="inlineStr">
        <is>
          <t>PR</t>
        </is>
      </c>
      <c r="F39" s="13" t="inlineStr">
        <is>
          <t>Singapore</t>
        </is>
      </c>
      <c r="G39" s="14" t="inlineStr">
        <is>
          <t>Investment Banker</t>
        </is>
      </c>
      <c r="H39" s="13" t="n">
        <v>0</v>
      </c>
      <c r="I39" s="13" t="inlineStr"/>
      <c r="J39" s="30" t="n">
        <v>5675</v>
      </c>
      <c r="K39" s="24" t="inlineStr">
        <is>
          <t>SGD</t>
        </is>
      </c>
      <c r="L39" s="24" t="inlineStr">
        <is>
          <t>conservative</t>
        </is>
      </c>
      <c r="M39" s="24" t="inlineStr">
        <is>
          <t>high</t>
        </is>
      </c>
      <c r="N39" s="24" t="b">
        <v>1</v>
      </c>
      <c r="O39" s="24" t="b">
        <v>1</v>
      </c>
      <c r="P39" s="24" t="inlineStr">
        <is>
          <t>Single</t>
        </is>
      </c>
      <c r="Q39" s="24" t="inlineStr">
        <is>
          <t>Private</t>
        </is>
      </c>
      <c r="R39" s="24" t="b">
        <v>0</v>
      </c>
      <c r="S39" s="9" t="inlineStr">
        <is>
          <t>Walking</t>
        </is>
      </c>
      <c r="T39" s="24" t="inlineStr">
        <is>
          <t>Basic</t>
        </is>
      </c>
      <c r="U39" s="24" t="b">
        <v>0</v>
      </c>
      <c r="V39" s="24" t="n">
        <v>89</v>
      </c>
      <c r="W39" s="31" t="n">
        <v>3141.45</v>
      </c>
      <c r="X39" s="32" t="n">
        <v>47645</v>
      </c>
      <c r="Y39" s="32" t="n">
        <v>269990</v>
      </c>
      <c r="Z39" s="32" t="n">
        <v>350000</v>
      </c>
      <c r="AA39" s="32" t="n">
        <v>192500</v>
      </c>
      <c r="AB39" s="32" t="n">
        <v>222344.85</v>
      </c>
      <c r="AC39" s="32" t="n">
        <v>200000</v>
      </c>
      <c r="AD39" s="33" t="inlineStr">
        <is>
          <t>Investment Banker; age 56; PR; 0 dep; home; non-smoker</t>
        </is>
      </c>
    </row>
    <row r="40">
      <c r="A40" s="13" t="inlineStr">
        <is>
          <t>P38</t>
        </is>
      </c>
      <c r="B40" s="14" t="inlineStr">
        <is>
          <t>Mei Fen Ong</t>
        </is>
      </c>
      <c r="C40" s="13" t="n">
        <v>62</v>
      </c>
      <c r="D40" s="13" t="inlineStr">
        <is>
          <t>Male</t>
        </is>
      </c>
      <c r="E40" s="13" t="inlineStr">
        <is>
          <t>Citizen</t>
        </is>
      </c>
      <c r="F40" s="13" t="inlineStr">
        <is>
          <t>Singapore</t>
        </is>
      </c>
      <c r="G40" s="14" t="inlineStr">
        <is>
          <t>CEO</t>
        </is>
      </c>
      <c r="H40" s="13" t="n">
        <v>3</v>
      </c>
      <c r="I40" s="13" t="inlineStr"/>
      <c r="J40" s="30" t="n">
        <v>6125</v>
      </c>
      <c r="K40" s="24" t="inlineStr">
        <is>
          <t>SGD</t>
        </is>
      </c>
      <c r="L40" s="24" t="inlineStr">
        <is>
          <t>conservative</t>
        </is>
      </c>
      <c r="M40" s="24" t="inlineStr">
        <is>
          <t>medium</t>
        </is>
      </c>
      <c r="N40" s="24" t="b">
        <v>1</v>
      </c>
      <c r="O40" s="24" t="b">
        <v>1</v>
      </c>
      <c r="P40" s="24" t="inlineStr">
        <is>
          <t>Ward</t>
        </is>
      </c>
      <c r="Q40" s="24" t="inlineStr">
        <is>
          <t>Public</t>
        </is>
      </c>
      <c r="R40" s="24" t="b">
        <v>0</v>
      </c>
      <c r="S40" s="9" t="inlineStr">
        <is>
          <t>I dont do sports</t>
        </is>
      </c>
      <c r="T40" s="24" t="inlineStr">
        <is>
          <t>frugal</t>
        </is>
      </c>
      <c r="U40" s="24" t="b">
        <v>1</v>
      </c>
      <c r="V40" s="24" t="n">
        <v>76</v>
      </c>
      <c r="W40" s="31" t="n">
        <v>4422</v>
      </c>
      <c r="X40" s="32" t="n">
        <v>34612</v>
      </c>
      <c r="Y40" s="32" t="n">
        <v>196136</v>
      </c>
      <c r="Z40" s="32" t="n">
        <v>350000</v>
      </c>
      <c r="AA40" s="32" t="n">
        <v>192500</v>
      </c>
      <c r="AB40" s="32" t="n">
        <v>161523.6</v>
      </c>
      <c r="AC40" s="32" t="n">
        <v>367500</v>
      </c>
      <c r="AD40" s="33" t="inlineStr">
        <is>
          <t>CEO; age 62; Citizen; 3 dep; home; smoker</t>
        </is>
      </c>
    </row>
    <row r="41">
      <c r="A41" s="13" t="inlineStr">
        <is>
          <t>P39</t>
        </is>
      </c>
      <c r="B41" s="14" t="inlineStr">
        <is>
          <t>Hafiz Abdullah</t>
        </is>
      </c>
      <c r="C41" s="13" t="n">
        <v>27</v>
      </c>
      <c r="D41" s="13" t="inlineStr">
        <is>
          <t>Female</t>
        </is>
      </c>
      <c r="E41" s="13" t="inlineStr">
        <is>
          <t>Citizen</t>
        </is>
      </c>
      <c r="F41" s="13" t="inlineStr">
        <is>
          <t>Singapore</t>
        </is>
      </c>
      <c r="G41" s="14" t="inlineStr">
        <is>
          <t>Baker</t>
        </is>
      </c>
      <c r="H41" s="13" t="n">
        <v>0</v>
      </c>
      <c r="I41" s="13" t="inlineStr"/>
      <c r="J41" s="30" t="n">
        <v>3500</v>
      </c>
      <c r="K41" s="24" t="inlineStr">
        <is>
          <t>SGD</t>
        </is>
      </c>
      <c r="L41" s="24" t="inlineStr">
        <is>
          <t>moderate</t>
        </is>
      </c>
      <c r="M41" s="24" t="inlineStr">
        <is>
          <t>high</t>
        </is>
      </c>
      <c r="N41" s="24" t="b">
        <v>0</v>
      </c>
      <c r="O41" s="24" t="b">
        <v>0</v>
      </c>
      <c r="P41" s="24" t="inlineStr">
        <is>
          <t>Ward</t>
        </is>
      </c>
      <c r="Q41" s="24" t="inlineStr">
        <is>
          <t>Public</t>
        </is>
      </c>
      <c r="R41" s="24" t="b">
        <v>1</v>
      </c>
      <c r="S41" s="9" t="inlineStr">
        <is>
          <t>HIIT</t>
        </is>
      </c>
      <c r="T41" s="24" t="inlineStr">
        <is>
          <t>Comfortable</t>
        </is>
      </c>
      <c r="U41" s="24" t="b">
        <v>0</v>
      </c>
      <c r="V41" s="24" t="n">
        <v>87</v>
      </c>
      <c r="W41" s="31" t="n">
        <v>1890</v>
      </c>
      <c r="X41" s="32" t="n">
        <v>4914</v>
      </c>
      <c r="Y41" s="32" t="n">
        <v>27846</v>
      </c>
      <c r="Z41" s="32" t="n">
        <v>0</v>
      </c>
      <c r="AA41" s="32" t="n">
        <v>0</v>
      </c>
      <c r="AB41" s="32" t="n">
        <v>22932</v>
      </c>
      <c r="AC41" s="32" t="n">
        <v>0</v>
      </c>
      <c r="AD41" s="33" t="inlineStr">
        <is>
          <t>Baker; age 27; Citizen; 0 dep; rent; non-smoker</t>
        </is>
      </c>
    </row>
    <row r="42">
      <c r="A42" s="13" t="inlineStr">
        <is>
          <t>P40</t>
        </is>
      </c>
      <c r="B42" s="14" t="inlineStr">
        <is>
          <t>Siti Hassan</t>
        </is>
      </c>
      <c r="C42" s="13" t="n">
        <v>39</v>
      </c>
      <c r="D42" s="13" t="inlineStr">
        <is>
          <t>Male</t>
        </is>
      </c>
      <c r="E42" s="13" t="inlineStr">
        <is>
          <t>Foreigner</t>
        </is>
      </c>
      <c r="F42" s="13" t="inlineStr">
        <is>
          <t>Singapore</t>
        </is>
      </c>
      <c r="G42" s="14" t="inlineStr">
        <is>
          <t>Driver</t>
        </is>
      </c>
      <c r="H42" s="13" t="n">
        <v>2</v>
      </c>
      <c r="I42" s="13" t="inlineStr"/>
      <c r="J42" s="30" t="n">
        <v>4400</v>
      </c>
      <c r="K42" s="24" t="inlineStr">
        <is>
          <t>SGD</t>
        </is>
      </c>
      <c r="L42" s="24" t="inlineStr">
        <is>
          <t>aggressive</t>
        </is>
      </c>
      <c r="M42" s="24" t="inlineStr">
        <is>
          <t>high</t>
        </is>
      </c>
      <c r="N42" s="24" t="b">
        <v>0</v>
      </c>
      <c r="O42" s="24" t="b">
        <v>1</v>
      </c>
      <c r="P42" s="24" t="inlineStr">
        <is>
          <t>Double</t>
        </is>
      </c>
      <c r="Q42" s="24" t="inlineStr">
        <is>
          <t>Private</t>
        </is>
      </c>
      <c r="R42" s="24" t="b">
        <v>1</v>
      </c>
      <c r="S42" s="9" t="inlineStr">
        <is>
          <t>Football</t>
        </is>
      </c>
      <c r="T42" s="24" t="inlineStr">
        <is>
          <t>Luxurious</t>
        </is>
      </c>
      <c r="U42" s="24" t="b">
        <v>0</v>
      </c>
      <c r="V42" s="24" t="n">
        <v>80</v>
      </c>
      <c r="W42" s="31" t="n">
        <v>3410</v>
      </c>
      <c r="X42" s="32" t="n">
        <v>16038</v>
      </c>
      <c r="Y42" s="32" t="n">
        <v>90882</v>
      </c>
      <c r="Z42" s="32" t="n">
        <v>0</v>
      </c>
      <c r="AA42" s="32" t="n">
        <v>0</v>
      </c>
      <c r="AB42" s="32" t="n">
        <v>74844</v>
      </c>
      <c r="AC42" s="32" t="n">
        <v>264000</v>
      </c>
      <c r="AD42" s="33" t="inlineStr">
        <is>
          <t>Driver; age 39; Foreigner; 2 dep; rent; non-smoker</t>
        </is>
      </c>
    </row>
    <row r="43">
      <c r="A43" s="13" t="inlineStr">
        <is>
          <t>P41</t>
        </is>
      </c>
      <c r="B43" s="14" t="inlineStr">
        <is>
          <t>Aisha Ng</t>
        </is>
      </c>
      <c r="C43" s="13" t="n">
        <v>53</v>
      </c>
      <c r="D43" s="13" t="inlineStr">
        <is>
          <t>Female</t>
        </is>
      </c>
      <c r="E43" s="13" t="inlineStr">
        <is>
          <t>Citizen</t>
        </is>
      </c>
      <c r="F43" s="13" t="inlineStr">
        <is>
          <t>Singapore</t>
        </is>
      </c>
      <c r="G43" s="14" t="inlineStr">
        <is>
          <t>Nurse</t>
        </is>
      </c>
      <c r="H43" s="13" t="n">
        <v>1</v>
      </c>
      <c r="I43" s="13" t="inlineStr"/>
      <c r="J43" s="30" t="n">
        <v>7350</v>
      </c>
      <c r="K43" s="24" t="inlineStr">
        <is>
          <t>SGD</t>
        </is>
      </c>
      <c r="L43" s="24" t="inlineStr">
        <is>
          <t>moderate</t>
        </is>
      </c>
      <c r="M43" s="24" t="inlineStr">
        <is>
          <t>medium</t>
        </is>
      </c>
      <c r="N43" s="24" t="b">
        <v>1</v>
      </c>
      <c r="O43" s="24" t="b">
        <v>1</v>
      </c>
      <c r="P43" s="24" t="inlineStr">
        <is>
          <t>A</t>
        </is>
      </c>
      <c r="Q43" s="24" t="inlineStr">
        <is>
          <t>Private</t>
        </is>
      </c>
      <c r="R43" s="24" t="b">
        <v>1</v>
      </c>
      <c r="S43" s="9" t="inlineStr">
        <is>
          <t>Pilates</t>
        </is>
      </c>
      <c r="T43" s="24" t="inlineStr">
        <is>
          <t>only the best</t>
        </is>
      </c>
      <c r="U43" s="24" t="b">
        <v>0</v>
      </c>
      <c r="V43" s="24" t="n">
        <v>91</v>
      </c>
      <c r="W43" s="31" t="n">
        <v>4263</v>
      </c>
      <c r="X43" s="32" t="n">
        <v>46570</v>
      </c>
      <c r="Y43" s="32" t="n">
        <v>263894</v>
      </c>
      <c r="Z43" s="32" t="n">
        <v>350000</v>
      </c>
      <c r="AA43" s="32" t="n">
        <v>192500</v>
      </c>
      <c r="AB43" s="32" t="n">
        <v>217324.8</v>
      </c>
      <c r="AC43" s="32" t="n">
        <v>441000</v>
      </c>
      <c r="AD43" s="33" t="inlineStr">
        <is>
          <t>Nurse; age 53; Citizen; 1 dep; home; non-smoker</t>
        </is>
      </c>
    </row>
    <row r="44">
      <c r="A44" s="13" t="inlineStr">
        <is>
          <t>P42</t>
        </is>
      </c>
      <c r="B44" s="14" t="inlineStr">
        <is>
          <t>Wei Ling Chua</t>
        </is>
      </c>
      <c r="C44" s="13" t="n">
        <v>68</v>
      </c>
      <c r="D44" s="13" t="inlineStr">
        <is>
          <t>Male</t>
        </is>
      </c>
      <c r="E44" s="13" t="inlineStr">
        <is>
          <t>Citizen</t>
        </is>
      </c>
      <c r="F44" s="13" t="inlineStr">
        <is>
          <t>Singapore</t>
        </is>
      </c>
      <c r="G44" s="14" t="inlineStr">
        <is>
          <t>Teacher</t>
        </is>
      </c>
      <c r="H44" s="13" t="n">
        <v>0</v>
      </c>
      <c r="I44" s="13" t="inlineStr"/>
      <c r="J44" s="30" t="n">
        <v>9800</v>
      </c>
      <c r="K44" s="24" t="inlineStr">
        <is>
          <t>SGD</t>
        </is>
      </c>
      <c r="L44" s="24" t="inlineStr">
        <is>
          <t>conservative</t>
        </is>
      </c>
      <c r="M44" s="24" t="inlineStr">
        <is>
          <t>medium</t>
        </is>
      </c>
      <c r="N44" s="24" t="b">
        <v>1</v>
      </c>
      <c r="O44" s="24" t="b">
        <v>0</v>
      </c>
      <c r="P44" s="24" t="inlineStr">
        <is>
          <t>Ward</t>
        </is>
      </c>
      <c r="Q44" s="24" t="inlineStr">
        <is>
          <t>Public</t>
        </is>
      </c>
      <c r="R44" s="24" t="b">
        <v>0</v>
      </c>
      <c r="S44" s="9" t="inlineStr">
        <is>
          <t>I dont do sports</t>
        </is>
      </c>
      <c r="T44" s="24" t="inlineStr">
        <is>
          <t>Basic</t>
        </is>
      </c>
      <c r="U44" s="24" t="b">
        <v>0</v>
      </c>
      <c r="V44" s="24" t="n">
        <v>85</v>
      </c>
      <c r="W44" s="31" t="n">
        <v>6210</v>
      </c>
      <c r="X44" s="32" t="n">
        <v>126477</v>
      </c>
      <c r="Y44" s="32" t="n">
        <v>716703</v>
      </c>
      <c r="Z44" s="32" t="n">
        <v>350000</v>
      </c>
      <c r="AA44" s="32" t="n">
        <v>192500</v>
      </c>
      <c r="AB44" s="32" t="n">
        <v>590226</v>
      </c>
      <c r="AC44" s="32" t="n">
        <v>200000</v>
      </c>
      <c r="AD44" s="33" t="inlineStr">
        <is>
          <t>Teacher; age 68; Citizen; 0 dep; home; non-smoker</t>
        </is>
      </c>
    </row>
    <row r="45">
      <c r="A45" s="13" t="inlineStr">
        <is>
          <t>P43</t>
        </is>
      </c>
      <c r="B45" s="14" t="inlineStr">
        <is>
          <t>Daniel Lee</t>
        </is>
      </c>
      <c r="C45" s="13" t="n">
        <v>32</v>
      </c>
      <c r="D45" s="13" t="inlineStr">
        <is>
          <t>Female</t>
        </is>
      </c>
      <c r="E45" s="13" t="inlineStr">
        <is>
          <t>PR</t>
        </is>
      </c>
      <c r="F45" s="13" t="inlineStr">
        <is>
          <t>Singapore</t>
        </is>
      </c>
      <c r="G45" s="14" t="inlineStr">
        <is>
          <t>Accountant</t>
        </is>
      </c>
      <c r="H45" s="13" t="n">
        <v>1</v>
      </c>
      <c r="I45" s="13" t="inlineStr"/>
      <c r="J45" s="30" t="n">
        <v>6860</v>
      </c>
      <c r="K45" s="24" t="inlineStr">
        <is>
          <t>SGD</t>
        </is>
      </c>
      <c r="L45" s="24" t="inlineStr">
        <is>
          <t>moderate</t>
        </is>
      </c>
      <c r="M45" s="24" t="inlineStr">
        <is>
          <t>medium</t>
        </is>
      </c>
      <c r="N45" s="24" t="b">
        <v>0</v>
      </c>
      <c r="O45" s="24" t="b">
        <v>1</v>
      </c>
      <c r="P45" s="24" t="inlineStr">
        <is>
          <t>Double</t>
        </is>
      </c>
      <c r="Q45" s="24" t="inlineStr">
        <is>
          <t>Public</t>
        </is>
      </c>
      <c r="R45" s="24" t="b">
        <v>0</v>
      </c>
      <c r="S45" s="9" t="inlineStr">
        <is>
          <t>Running</t>
        </is>
      </c>
      <c r="T45" s="24" t="inlineStr">
        <is>
          <t>Comfortable</t>
        </is>
      </c>
      <c r="U45" s="24" t="b">
        <v>1</v>
      </c>
      <c r="V45" s="24" t="n">
        <v>79</v>
      </c>
      <c r="W45" s="31" t="n">
        <v>3978.8</v>
      </c>
      <c r="X45" s="32" t="n">
        <v>14941</v>
      </c>
      <c r="Y45" s="32" t="n">
        <v>84666</v>
      </c>
      <c r="Z45" s="32" t="n">
        <v>0</v>
      </c>
      <c r="AA45" s="32" t="n">
        <v>0</v>
      </c>
      <c r="AB45" s="32" t="n">
        <v>69725.03999999998</v>
      </c>
      <c r="AC45" s="32" t="n">
        <v>411600</v>
      </c>
      <c r="AD45" s="33" t="inlineStr">
        <is>
          <t>Accountant; age 32; PR; 1 dep; rent; smoker</t>
        </is>
      </c>
    </row>
    <row r="46">
      <c r="A46" s="13" t="inlineStr">
        <is>
          <t>P44</t>
        </is>
      </c>
      <c r="B46" s="14" t="inlineStr">
        <is>
          <t>Priya Goh</t>
        </is>
      </c>
      <c r="C46" s="13" t="n">
        <v>46</v>
      </c>
      <c r="D46" s="13" t="inlineStr">
        <is>
          <t>Male</t>
        </is>
      </c>
      <c r="E46" s="13" t="inlineStr">
        <is>
          <t>Citizen</t>
        </is>
      </c>
      <c r="F46" s="13" t="inlineStr">
        <is>
          <t>Singapore</t>
        </is>
      </c>
      <c r="G46" s="14" t="inlineStr">
        <is>
          <t>Marketing Manager</t>
        </is>
      </c>
      <c r="H46" s="13" t="n">
        <v>4</v>
      </c>
      <c r="I46" s="13" t="inlineStr"/>
      <c r="J46" s="30" t="n">
        <v>4925</v>
      </c>
      <c r="K46" s="24" t="inlineStr">
        <is>
          <t>SGD</t>
        </is>
      </c>
      <c r="L46" s="24" t="inlineStr">
        <is>
          <t>aggressive</t>
        </is>
      </c>
      <c r="M46" s="24" t="inlineStr">
        <is>
          <t>high</t>
        </is>
      </c>
      <c r="N46" s="24" t="b">
        <v>1</v>
      </c>
      <c r="O46" s="24" t="b">
        <v>1</v>
      </c>
      <c r="P46" s="24" t="inlineStr">
        <is>
          <t>Single</t>
        </is>
      </c>
      <c r="Q46" s="24" t="inlineStr">
        <is>
          <t>Private</t>
        </is>
      </c>
      <c r="R46" s="24" t="b">
        <v>1</v>
      </c>
      <c r="S46" s="9" t="inlineStr">
        <is>
          <t>Golf</t>
        </is>
      </c>
      <c r="T46" s="24" t="inlineStr">
        <is>
          <t>Luxurious</t>
        </is>
      </c>
      <c r="U46" s="24" t="b">
        <v>0</v>
      </c>
      <c r="V46" s="24" t="n">
        <v>84</v>
      </c>
      <c r="W46" s="31" t="n">
        <v>3447.5</v>
      </c>
      <c r="X46" s="32" t="n">
        <v>11081</v>
      </c>
      <c r="Y46" s="32" t="n">
        <v>62794</v>
      </c>
      <c r="Z46" s="32" t="n">
        <v>350000</v>
      </c>
      <c r="AA46" s="32" t="n">
        <v>192500</v>
      </c>
      <c r="AB46" s="32" t="n">
        <v>51712.5</v>
      </c>
      <c r="AC46" s="32" t="n">
        <v>295500</v>
      </c>
      <c r="AD46" s="33" t="inlineStr">
        <is>
          <t>Marketing Manager; age 46; Citizen; 4 dep; home; non-smoker</t>
        </is>
      </c>
    </row>
    <row r="47">
      <c r="A47" s="13" t="inlineStr">
        <is>
          <t>P45</t>
        </is>
      </c>
      <c r="B47" s="14" t="inlineStr">
        <is>
          <t>Marcus Teo</t>
        </is>
      </c>
      <c r="C47" s="13" t="n">
        <v>59</v>
      </c>
      <c r="D47" s="13" t="inlineStr">
        <is>
          <t>Female</t>
        </is>
      </c>
      <c r="E47" s="13" t="inlineStr">
        <is>
          <t>Citizen</t>
        </is>
      </c>
      <c r="F47" s="13" t="inlineStr">
        <is>
          <t>Singapore</t>
        </is>
      </c>
      <c r="G47" s="14" t="inlineStr">
        <is>
          <t>Software Engineer</t>
        </is>
      </c>
      <c r="H47" s="13" t="n">
        <v>2</v>
      </c>
      <c r="I47" s="13" t="inlineStr"/>
      <c r="J47" s="30" t="n">
        <v>5900</v>
      </c>
      <c r="K47" s="24" t="inlineStr">
        <is>
          <t>SGD</t>
        </is>
      </c>
      <c r="L47" s="24" t="inlineStr">
        <is>
          <t>conservative</t>
        </is>
      </c>
      <c r="M47" s="24" t="inlineStr">
        <is>
          <t>high</t>
        </is>
      </c>
      <c r="N47" s="24" t="b">
        <v>1</v>
      </c>
      <c r="O47" s="24" t="b">
        <v>1</v>
      </c>
      <c r="P47" s="24" t="inlineStr">
        <is>
          <t>B</t>
        </is>
      </c>
      <c r="Q47" s="24" t="inlineStr">
        <is>
          <t>Private</t>
        </is>
      </c>
      <c r="R47" s="24" t="b">
        <v>0</v>
      </c>
      <c r="S47" s="9" t="inlineStr">
        <is>
          <t>Life style activities</t>
        </is>
      </c>
      <c r="T47" s="24" t="inlineStr">
        <is>
          <t>stress-free</t>
        </is>
      </c>
      <c r="U47" s="24" t="b">
        <v>0</v>
      </c>
      <c r="V47" s="24" t="n">
        <v>92</v>
      </c>
      <c r="W47" s="31" t="n">
        <v>3749.45</v>
      </c>
      <c r="X47" s="32" t="n">
        <v>37228</v>
      </c>
      <c r="Y47" s="32" t="n">
        <v>210961</v>
      </c>
      <c r="Z47" s="32" t="n">
        <v>350000</v>
      </c>
      <c r="AA47" s="32" t="n">
        <v>192500</v>
      </c>
      <c r="AB47" s="32" t="n">
        <v>173732.58</v>
      </c>
      <c r="AC47" s="32" t="n">
        <v>354000</v>
      </c>
      <c r="AD47" s="33" t="inlineStr">
        <is>
          <t>Software Engineer; age 59; Citizen; 2 dep; home; non-smoker</t>
        </is>
      </c>
    </row>
    <row r="48">
      <c r="A48" s="13" t="inlineStr">
        <is>
          <t>P46</t>
        </is>
      </c>
      <c r="B48" s="14" t="inlineStr">
        <is>
          <t>Hannah Rahman</t>
        </is>
      </c>
      <c r="C48" s="13" t="n">
        <v>22</v>
      </c>
      <c r="D48" s="13" t="inlineStr">
        <is>
          <t>Female</t>
        </is>
      </c>
      <c r="E48" s="13" t="inlineStr">
        <is>
          <t>Citizen</t>
        </is>
      </c>
      <c r="F48" s="13" t="inlineStr">
        <is>
          <t>Singapore</t>
        </is>
      </c>
      <c r="G48" s="14" t="inlineStr">
        <is>
          <t>Doctor</t>
        </is>
      </c>
      <c r="H48" s="13" t="n">
        <v>0</v>
      </c>
      <c r="I48" s="13" t="inlineStr"/>
      <c r="J48" s="30" t="n">
        <v>10400</v>
      </c>
      <c r="K48" s="24" t="inlineStr">
        <is>
          <t>SGD</t>
        </is>
      </c>
      <c r="L48" s="24" t="inlineStr">
        <is>
          <t>conservative</t>
        </is>
      </c>
      <c r="M48" s="24" t="inlineStr">
        <is>
          <t>medium</t>
        </is>
      </c>
      <c r="N48" s="24" t="b">
        <v>0</v>
      </c>
      <c r="O48" s="24" t="b">
        <v>0</v>
      </c>
      <c r="P48" s="24" t="inlineStr">
        <is>
          <t>Ward</t>
        </is>
      </c>
      <c r="Q48" s="24" t="inlineStr">
        <is>
          <t>Public</t>
        </is>
      </c>
      <c r="R48" s="24" t="b">
        <v>0</v>
      </c>
      <c r="S48" s="9" t="inlineStr">
        <is>
          <t>Yoga</t>
        </is>
      </c>
      <c r="T48" s="24" t="inlineStr">
        <is>
          <t>Basic</t>
        </is>
      </c>
      <c r="U48" s="24" t="b">
        <v>0</v>
      </c>
      <c r="V48" s="24" t="n">
        <v>86</v>
      </c>
      <c r="W48" s="31" t="n">
        <v>5940</v>
      </c>
      <c r="X48" s="32" t="n">
        <v>2574</v>
      </c>
      <c r="Y48" s="32" t="n">
        <v>14586</v>
      </c>
      <c r="Z48" s="32" t="n">
        <v>0</v>
      </c>
      <c r="AA48" s="32" t="n">
        <v>0</v>
      </c>
      <c r="AB48" s="32" t="n">
        <v>12012</v>
      </c>
      <c r="AC48" s="32" t="n">
        <v>0</v>
      </c>
      <c r="AD48" s="33" t="inlineStr">
        <is>
          <t>Doctor; age 22; Citizen; 0 dep; rent; non-smoker</t>
        </is>
      </c>
    </row>
    <row r="49">
      <c r="A49" s="13" t="inlineStr">
        <is>
          <t>P47</t>
        </is>
      </c>
      <c r="B49" s="14" t="inlineStr">
        <is>
          <t>Julian Tan</t>
        </is>
      </c>
      <c r="C49" s="13" t="n">
        <v>27</v>
      </c>
      <c r="D49" s="13" t="inlineStr">
        <is>
          <t>Male</t>
        </is>
      </c>
      <c r="E49" s="13" t="inlineStr">
        <is>
          <t>PR</t>
        </is>
      </c>
      <c r="F49" s="13" t="inlineStr">
        <is>
          <t>Singapore</t>
        </is>
      </c>
      <c r="G49" s="14" t="inlineStr">
        <is>
          <t>Investment Banker</t>
        </is>
      </c>
      <c r="H49" s="13" t="n">
        <v>0</v>
      </c>
      <c r="I49" s="13" t="inlineStr"/>
      <c r="J49" s="30" t="n">
        <v>3500</v>
      </c>
      <c r="K49" s="24" t="inlineStr">
        <is>
          <t>SGD</t>
        </is>
      </c>
      <c r="L49" s="24" t="inlineStr">
        <is>
          <t>moderate</t>
        </is>
      </c>
      <c r="M49" s="24" t="inlineStr">
        <is>
          <t>high</t>
        </is>
      </c>
      <c r="N49" s="24" t="b">
        <v>0</v>
      </c>
      <c r="O49" s="24" t="b">
        <v>1</v>
      </c>
      <c r="P49" s="24" t="inlineStr">
        <is>
          <t>Double</t>
        </is>
      </c>
      <c r="Q49" s="24" t="inlineStr">
        <is>
          <t>Private</t>
        </is>
      </c>
      <c r="R49" s="24" t="b">
        <v>1</v>
      </c>
      <c r="S49" s="9" t="inlineStr">
        <is>
          <t>Running</t>
        </is>
      </c>
      <c r="T49" s="24" t="inlineStr">
        <is>
          <t>Comfortable</t>
        </is>
      </c>
      <c r="U49" s="24" t="b">
        <v>0</v>
      </c>
      <c r="V49" s="24" t="n">
        <v>81</v>
      </c>
      <c r="W49" s="31" t="n">
        <v>1890</v>
      </c>
      <c r="X49" s="32" t="n">
        <v>4914</v>
      </c>
      <c r="Y49" s="32" t="n">
        <v>27846</v>
      </c>
      <c r="Z49" s="32" t="n">
        <v>0</v>
      </c>
      <c r="AA49" s="32" t="n">
        <v>0</v>
      </c>
      <c r="AB49" s="32" t="n">
        <v>22932</v>
      </c>
      <c r="AC49" s="32" t="n">
        <v>0</v>
      </c>
      <c r="AD49" s="33" t="inlineStr">
        <is>
          <t>Investment Banker; age 27; PR; 0 dep; rent; non-smoker</t>
        </is>
      </c>
    </row>
    <row r="50">
      <c r="A50" s="13" t="inlineStr">
        <is>
          <t>P48</t>
        </is>
      </c>
      <c r="B50" s="14" t="inlineStr">
        <is>
          <t>Mei Fen Koh</t>
        </is>
      </c>
      <c r="C50" s="13" t="n">
        <v>34</v>
      </c>
      <c r="D50" s="13" t="inlineStr">
        <is>
          <t>Female</t>
        </is>
      </c>
      <c r="E50" s="13" t="inlineStr">
        <is>
          <t>Citizen</t>
        </is>
      </c>
      <c r="F50" s="13" t="inlineStr">
        <is>
          <t>Singapore</t>
        </is>
      </c>
      <c r="G50" s="14" t="inlineStr">
        <is>
          <t>CEO</t>
        </is>
      </c>
      <c r="H50" s="13" t="n">
        <v>1</v>
      </c>
      <c r="I50" s="13" t="inlineStr"/>
      <c r="J50" s="30" t="n">
        <v>4025</v>
      </c>
      <c r="K50" s="24" t="inlineStr">
        <is>
          <t>SGD</t>
        </is>
      </c>
      <c r="L50" s="24" t="inlineStr">
        <is>
          <t>moderate</t>
        </is>
      </c>
      <c r="M50" s="24" t="inlineStr">
        <is>
          <t>high</t>
        </is>
      </c>
      <c r="N50" s="24" t="b">
        <v>1</v>
      </c>
      <c r="O50" s="24" t="b">
        <v>1</v>
      </c>
      <c r="P50" s="24" t="inlineStr">
        <is>
          <t>Single</t>
        </is>
      </c>
      <c r="Q50" s="24" t="inlineStr">
        <is>
          <t>Private</t>
        </is>
      </c>
      <c r="R50" s="24" t="b">
        <v>1</v>
      </c>
      <c r="S50" s="9" t="inlineStr">
        <is>
          <t>Swimming</t>
        </is>
      </c>
      <c r="T50" s="24" t="inlineStr">
        <is>
          <t>Comfortable</t>
        </is>
      </c>
      <c r="U50" s="24" t="b">
        <v>0</v>
      </c>
      <c r="V50" s="24" t="n">
        <v>88</v>
      </c>
      <c r="W50" s="31" t="n">
        <v>2334.5</v>
      </c>
      <c r="X50" s="32" t="n">
        <v>10360</v>
      </c>
      <c r="Y50" s="32" t="n">
        <v>58709</v>
      </c>
      <c r="Z50" s="32" t="n">
        <v>350000</v>
      </c>
      <c r="AA50" s="32" t="n">
        <v>192500</v>
      </c>
      <c r="AB50" s="32" t="n">
        <v>48348.3</v>
      </c>
      <c r="AC50" s="32" t="n">
        <v>241500</v>
      </c>
      <c r="AD50" s="33" t="inlineStr">
        <is>
          <t>CEO; age 34; Citizen; 1 dep; home; non-smoker</t>
        </is>
      </c>
    </row>
    <row r="51">
      <c r="A51" s="13" t="inlineStr">
        <is>
          <t>P49</t>
        </is>
      </c>
      <c r="B51" s="14" t="inlineStr">
        <is>
          <t>Hafiz Nair</t>
        </is>
      </c>
      <c r="C51" s="13" t="n">
        <v>41</v>
      </c>
      <c r="D51" s="13" t="inlineStr">
        <is>
          <t>Male</t>
        </is>
      </c>
      <c r="E51" s="13" t="inlineStr">
        <is>
          <t>Citizen</t>
        </is>
      </c>
      <c r="F51" s="13" t="inlineStr">
        <is>
          <t>Singapore</t>
        </is>
      </c>
      <c r="G51" s="14" t="inlineStr">
        <is>
          <t>Baker</t>
        </is>
      </c>
      <c r="H51" s="13" t="n">
        <v>2</v>
      </c>
      <c r="I51" s="13" t="inlineStr"/>
      <c r="J51" s="30" t="n">
        <v>4550</v>
      </c>
      <c r="K51" s="24" t="inlineStr">
        <is>
          <t>SGD</t>
        </is>
      </c>
      <c r="L51" s="24" t="inlineStr">
        <is>
          <t>conservative</t>
        </is>
      </c>
      <c r="M51" s="24" t="inlineStr">
        <is>
          <t>high</t>
        </is>
      </c>
      <c r="N51" s="24" t="b">
        <v>1</v>
      </c>
      <c r="O51" s="24" t="b">
        <v>1</v>
      </c>
      <c r="P51" s="24" t="inlineStr">
        <is>
          <t>Ward</t>
        </is>
      </c>
      <c r="Q51" s="24" t="inlineStr">
        <is>
          <t>Public</t>
        </is>
      </c>
      <c r="R51" s="24" t="b">
        <v>0</v>
      </c>
      <c r="S51" s="9" t="inlineStr">
        <is>
          <t>I dont do sports</t>
        </is>
      </c>
      <c r="T51" s="24" t="inlineStr">
        <is>
          <t>frugal</t>
        </is>
      </c>
      <c r="U51" s="24" t="b">
        <v>1</v>
      </c>
      <c r="V51" s="24" t="n">
        <v>78</v>
      </c>
      <c r="W51" s="31" t="n">
        <v>2821</v>
      </c>
      <c r="X51" s="32" t="n">
        <v>14742</v>
      </c>
      <c r="Y51" s="32" t="n">
        <v>83538</v>
      </c>
      <c r="Z51" s="32" t="n">
        <v>350000</v>
      </c>
      <c r="AA51" s="32" t="n">
        <v>192500</v>
      </c>
      <c r="AB51" s="32" t="n">
        <v>68796</v>
      </c>
      <c r="AC51" s="32" t="n">
        <v>273000</v>
      </c>
      <c r="AD51" s="33" t="inlineStr">
        <is>
          <t>Baker; age 41; Citizen; 2 dep; home; smoker</t>
        </is>
      </c>
    </row>
    <row r="52">
      <c r="A52" s="13" t="inlineStr">
        <is>
          <t>P50</t>
        </is>
      </c>
      <c r="B52" s="14" t="inlineStr">
        <is>
          <t>Siti Lim</t>
        </is>
      </c>
      <c r="C52" s="13" t="n">
        <v>47</v>
      </c>
      <c r="D52" s="13" t="inlineStr">
        <is>
          <t>Female</t>
        </is>
      </c>
      <c r="E52" s="13" t="inlineStr">
        <is>
          <t>Foreigner</t>
        </is>
      </c>
      <c r="F52" s="13" t="inlineStr">
        <is>
          <t>Singapore</t>
        </is>
      </c>
      <c r="G52" s="14" t="inlineStr">
        <is>
          <t>Driver</t>
        </is>
      </c>
      <c r="H52" s="13" t="n">
        <v>2</v>
      </c>
      <c r="I52" s="13" t="inlineStr"/>
      <c r="J52" s="30" t="n">
        <v>5000</v>
      </c>
      <c r="K52" s="24" t="inlineStr">
        <is>
          <t>SGD</t>
        </is>
      </c>
      <c r="L52" s="24" t="inlineStr">
        <is>
          <t>aggressive</t>
        </is>
      </c>
      <c r="M52" s="24" t="inlineStr">
        <is>
          <t>high</t>
        </is>
      </c>
      <c r="N52" s="24" t="b">
        <v>1</v>
      </c>
      <c r="O52" s="24" t="b">
        <v>0</v>
      </c>
      <c r="P52" s="24" t="inlineStr">
        <is>
          <t>A</t>
        </is>
      </c>
      <c r="Q52" s="24" t="inlineStr">
        <is>
          <t>Private</t>
        </is>
      </c>
      <c r="R52" s="24" t="b">
        <v>1</v>
      </c>
      <c r="S52" s="9" t="inlineStr">
        <is>
          <t>Adventurous Sports</t>
        </is>
      </c>
      <c r="T52" s="24" t="inlineStr">
        <is>
          <t>only the best</t>
        </is>
      </c>
      <c r="U52" s="24" t="b">
        <v>0</v>
      </c>
      <c r="V52" s="24" t="n">
        <v>90</v>
      </c>
      <c r="W52" s="31" t="n">
        <v>3875</v>
      </c>
      <c r="X52" s="32" t="n">
        <v>26325</v>
      </c>
      <c r="Y52" s="32" t="n">
        <v>149175</v>
      </c>
      <c r="Z52" s="32" t="n">
        <v>350000</v>
      </c>
      <c r="AA52" s="32" t="n">
        <v>192500</v>
      </c>
      <c r="AB52" s="32" t="n">
        <v>122850</v>
      </c>
      <c r="AC52" s="32" t="n">
        <v>300000</v>
      </c>
      <c r="AD52" s="33"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5.xml><?xml version="1.0" encoding="utf-8"?>
<worksheet xmlns="http://schemas.openxmlformats.org/spreadsheetml/2006/main">
  <sheetPr>
    <tabColor rgb="00C45C26"/>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social-security plug-in. In: gross, age, residency, country. Out: employee contribution, take-home. Runs in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the selected Personas row</t>
        </is>
      </c>
      <c r="B4" s="12" t="n"/>
      <c r="C4" s="12" t="n"/>
      <c r="D4" s="12" t="n"/>
      <c r="F4" s="16" t="inlineStr">
        <is>
          <t>C · DETERMINISTICALLY CALCULATED</t>
        </is>
      </c>
      <c r="I4" s="19" t="inlineStr">
        <is>
          <t>D · MODULE PER COUNTRY  —  TRUE = SG-CPF module; FALSE = default module (no contribution)</t>
        </is>
      </c>
      <c r="J4" s="34" t="n"/>
      <c r="K4" s="35" t="n"/>
    </row>
    <row r="5">
      <c r="A5" s="17" t="inlineStr">
        <is>
          <t>country</t>
        </is>
      </c>
      <c r="B5" s="13">
        <f>IFERROR(INDEX(Personas!F$3:F$52,MATCH($B$2,Personas!$A$3:$A$52,0)),"")</f>
        <v/>
      </c>
      <c r="C5" s="13" t="inlineStr">
        <is>
          <t>A · input</t>
        </is>
      </c>
      <c r="D5" s="18" t="inlineStr">
        <is>
          <t>Personas F. Looks up the country switch.</t>
        </is>
      </c>
      <c r="F5" s="19" t="inlineStr">
        <is>
          <t>D · ASSUMPTIONS / SHARED DATA</t>
        </is>
      </c>
      <c r="I5" s="3" t="inlineStr">
        <is>
          <t>country</t>
        </is>
      </c>
      <c r="J5" s="3" t="inlineStr">
        <is>
          <t>CPF on?</t>
        </is>
      </c>
      <c r="K5" s="3" t="inlineStr">
        <is>
          <t>note</t>
        </is>
      </c>
    </row>
    <row r="6">
      <c r="A6" s="17" t="inlineStr">
        <is>
          <t>residency</t>
        </is>
      </c>
      <c r="B6" s="13">
        <f>IFERROR(INDEX(Personas!E$3:E$52,MATCH($B$2,Personas!$A$3:$A$52,0)),"")</f>
        <v/>
      </c>
      <c r="C6" s="13" t="inlineStr">
        <is>
          <t>A · input</t>
        </is>
      </c>
      <c r="D6" s="18" t="inlineStr">
        <is>
          <t>Personas E. When CPF is on, Foreigner → rate 0.</t>
        </is>
      </c>
      <c r="F6" s="21" t="inlineStr">
        <is>
          <t>E · USER / FRONTEND OVERRIDE</t>
        </is>
      </c>
      <c r="I6" s="36" t="inlineStr">
        <is>
          <t>Singapore</t>
        </is>
      </c>
      <c r="J6" s="13" t="b">
        <v>1</v>
      </c>
      <c r="K6" s="18" t="inlineStr">
        <is>
          <t>src/cpf.py applies. Citizen / PR contribute; Foreigner rate 0.</t>
        </is>
      </c>
    </row>
    <row r="7">
      <c r="A7" s="17" t="inlineStr">
        <is>
          <t>age</t>
        </is>
      </c>
      <c r="B7" s="20">
        <f>IFERROR(INDEX(Personas!C$3:C$52,MATCH($B$2,Personas!$A$3:$A$52,0)),"")</f>
        <v/>
      </c>
      <c r="C7" s="13" t="inlineStr">
        <is>
          <t>A · input</t>
        </is>
      </c>
      <c r="D7" s="18" t="inlineStr">
        <is>
          <t>Personas C. Age-band rate when CPF is on.</t>
        </is>
      </c>
      <c r="I7" s="36" t="inlineStr">
        <is>
          <t>Vietnam</t>
        </is>
      </c>
      <c r="J7" s="13" t="b">
        <v>0</v>
      </c>
      <c r="K7" s="18" t="inlineStr">
        <is>
          <t>No CPF. Take-home = gross.</t>
        </is>
      </c>
    </row>
    <row r="8">
      <c r="A8" s="17" t="inlineStr">
        <is>
          <t>incomeMonthly</t>
        </is>
      </c>
      <c r="B8" s="37">
        <f>IFERROR(INDEX(Personas!J$3:J$52,MATCH($B$2,Personas!$A$3:$A$52,0)),"")</f>
        <v/>
      </c>
      <c r="C8" s="13" t="inlineStr">
        <is>
          <t>A · input</t>
        </is>
      </c>
      <c r="D8" s="18" t="inlineStr">
        <is>
          <t>Personas J (LLM or user overwrite).</t>
        </is>
      </c>
      <c r="I8" s="36" t="inlineStr">
        <is>
          <t>Malaysia</t>
        </is>
      </c>
      <c r="J8" s="13" t="b">
        <v>0</v>
      </c>
      <c r="K8" s="18" t="inlineStr">
        <is>
          <t>No CPF. Take-home = gross.</t>
        </is>
      </c>
    </row>
    <row r="9">
      <c r="I9" s="36" t="inlineStr">
        <is>
          <t>Thailand</t>
        </is>
      </c>
      <c r="J9" s="13" t="b">
        <v>0</v>
      </c>
      <c r="K9" s="18" t="inlineStr">
        <is>
          <t>No CPF. Take-home = gross.</t>
        </is>
      </c>
    </row>
    <row r="10">
      <c r="A10" s="19" t="inlineStr">
        <is>
          <t>D · ASSUMPTIONS  —  src/cpf.py (used only when CPF is on)</t>
        </is>
      </c>
      <c r="B10" s="19" t="n"/>
      <c r="C10" s="19" t="n"/>
      <c r="D10" s="19" t="n"/>
      <c r="I10" s="36" t="inlineStr">
        <is>
          <t>Philippines</t>
        </is>
      </c>
      <c r="J10" s="13" t="b">
        <v>0</v>
      </c>
      <c r="K10" s="18" t="inlineStr">
        <is>
          <t>No CPF. Take-home = gross.</t>
        </is>
      </c>
    </row>
    <row r="11">
      <c r="A11" s="38" t="inlineStr">
        <is>
          <t>OW_CEILING</t>
        </is>
      </c>
      <c r="B11" s="39" t="n">
        <v>8000</v>
      </c>
      <c r="C11" s="36" t="inlineStr">
        <is>
          <t>D · assumption / shared</t>
        </is>
      </c>
      <c r="D11" s="18" t="inlineStr">
        <is>
          <t>Ordinary-wage ceiling. Employee CPF is on min(gross, this).</t>
        </is>
      </c>
      <c r="I11" s="36" t="inlineStr">
        <is>
          <t>Australia</t>
        </is>
      </c>
      <c r="J11" s="13" t="b">
        <v>0</v>
      </c>
      <c r="K11" s="18" t="inlineStr">
        <is>
          <t>No CPF. Take-home = gross.</t>
        </is>
      </c>
    </row>
    <row r="12">
      <c r="A12" s="38" t="inlineStr">
        <is>
          <t>cpfRate_to55</t>
        </is>
      </c>
      <c r="B12" s="40" t="n">
        <v>0.2</v>
      </c>
      <c r="C12" s="36" t="inlineStr">
        <is>
          <t>D · assumption / shared</t>
        </is>
      </c>
      <c r="D12" s="18" t="inlineStr">
        <is>
          <t>Employee rate age ≤ 55.</t>
        </is>
      </c>
      <c r="I12" s="36" t="inlineStr">
        <is>
          <t>Germany</t>
        </is>
      </c>
      <c r="J12" s="13" t="b">
        <v>0</v>
      </c>
      <c r="K12" s="18" t="inlineStr">
        <is>
          <t>No CPF. Take-home = gross.</t>
        </is>
      </c>
    </row>
    <row r="13">
      <c r="A13" s="38" t="inlineStr">
        <is>
          <t>cpfRate_to60</t>
        </is>
      </c>
      <c r="B13" s="40" t="n">
        <v>0.18</v>
      </c>
      <c r="C13" s="36" t="inlineStr">
        <is>
          <t>D · assumption / shared</t>
        </is>
      </c>
      <c r="D13" s="18" t="inlineStr">
        <is>
          <t>Age 56–60.</t>
        </is>
      </c>
      <c r="I13" s="36" t="inlineStr">
        <is>
          <t>Hong Kong</t>
        </is>
      </c>
      <c r="J13" s="13" t="b">
        <v>0</v>
      </c>
      <c r="K13" s="18" t="inlineStr">
        <is>
          <t>No CPF. Take-home = gross.</t>
        </is>
      </c>
    </row>
    <row r="14">
      <c r="A14" s="38" t="inlineStr">
        <is>
          <t>cpfRate_to65</t>
        </is>
      </c>
      <c r="B14" s="40" t="n">
        <v>0.125</v>
      </c>
      <c r="C14" s="36" t="inlineStr">
        <is>
          <t>D · assumption / shared</t>
        </is>
      </c>
      <c r="D14" s="18" t="inlineStr">
        <is>
          <t>Age 61–65.</t>
        </is>
      </c>
      <c r="I14" s="36" t="inlineStr">
        <is>
          <t>United States</t>
        </is>
      </c>
      <c r="J14" s="13" t="b">
        <v>0</v>
      </c>
      <c r="K14" s="18" t="inlineStr">
        <is>
          <t>No CPF. Take-home = gross.</t>
        </is>
      </c>
    </row>
    <row r="15">
      <c r="A15" s="38" t="inlineStr">
        <is>
          <t>cpfRate_to70</t>
        </is>
      </c>
      <c r="B15" s="40" t="n">
        <v>0.075</v>
      </c>
      <c r="C15" s="36" t="inlineStr">
        <is>
          <t>D · assumption / shared</t>
        </is>
      </c>
      <c r="D15" s="18" t="inlineStr">
        <is>
          <t>Age 66–70.</t>
        </is>
      </c>
    </row>
    <row r="16">
      <c r="A16" s="38" t="inlineStr">
        <is>
          <t>cpfRate_over70</t>
        </is>
      </c>
      <c r="B16" s="40" t="n">
        <v>0.05</v>
      </c>
      <c r="C16" s="36" t="inlineStr">
        <is>
          <t>D · assumption / shared</t>
        </is>
      </c>
      <c r="D16" s="18" t="inlineStr">
        <is>
          <t>Age &gt; 70.</t>
        </is>
      </c>
    </row>
    <row r="18">
      <c r="A18" s="21" t="inlineStr">
        <is>
          <t>E · OVERRIDE  —  blank = country switch. TRUE / FALSE forces CPF on or off</t>
        </is>
      </c>
      <c r="B18" s="21" t="n"/>
      <c r="C18" s="21" t="n"/>
      <c r="D18" s="21" t="n"/>
    </row>
    <row r="19">
      <c r="A19" s="41" t="inlineStr">
        <is>
          <t>CPF on? (override)</t>
        </is>
      </c>
      <c r="B19" s="42" t="inlineStr"/>
      <c r="C19" s="42" t="inlineStr">
        <is>
          <t>E · user / frontend override</t>
        </is>
      </c>
      <c r="D19" s="18" t="inlineStr">
        <is>
          <t>TRUE / FALSE / blank. Blank uses the country table.</t>
        </is>
      </c>
    </row>
    <row r="21">
      <c r="A21" s="16" t="inlineStr">
        <is>
          <t>C · DETERMINISTICALLY CALCULATED  —  src/cpf.py when on; identity when off</t>
        </is>
      </c>
      <c r="B21" s="16" t="n"/>
      <c r="C21" s="16" t="n"/>
      <c r="D21" s="16" t="n"/>
    </row>
    <row r="22">
      <c r="A22" s="26" t="inlineStr">
        <is>
          <t>CPF on (effective)</t>
        </is>
      </c>
      <c r="B22" s="27">
        <f>IF(B19="",IFERROR(VLOOKUP(B5,CpfCountrySwitch,2,FALSE),FALSE),B19)</f>
        <v/>
      </c>
      <c r="C22" s="27" t="inlineStr">
        <is>
          <t>C · calculated</t>
        </is>
      </c>
      <c r="D22" s="18" t="inlineStr">
        <is>
          <t>Country table, unless the orange override is set.</t>
        </is>
      </c>
    </row>
    <row r="23">
      <c r="A23" s="26" t="inlineStr">
        <is>
          <t>module used</t>
        </is>
      </c>
      <c r="B23" s="27">
        <f>IF(B22=TRUE,"SG-CPF (src/cpf.py)","default: no contribution, take-home = gross")</f>
        <v/>
      </c>
      <c r="C23" s="27" t="inlineStr">
        <is>
          <t>C · calculated</t>
        </is>
      </c>
      <c r="D23" s="18" t="inlineStr">
        <is>
          <t>Plug-in interface. Other countries get their own module later; the rest of the model does not change.</t>
        </is>
      </c>
    </row>
    <row r="24">
      <c r="A24" s="26" t="inlineStr">
        <is>
          <t>Singapore age-band rate</t>
        </is>
      </c>
      <c r="B24" s="43">
        <f>IF(LOWER(B6)="foreigner",0,IF(B7&lt;=55,cpfRate_to55,IF(B7&lt;=60,cpfRate_to60,IF(B7&lt;=65,cpfRate_to65,IF(B7&lt;=70,cpfRate_to70,cpfRate_over70)))))</f>
        <v/>
      </c>
      <c r="C24" s="27" t="inlineStr">
        <is>
          <t>C · calculated</t>
        </is>
      </c>
      <c r="D24" s="18" t="inlineStr">
        <is>
          <t>employee_cpf_rate. Ignored when CPF is off.</t>
        </is>
      </c>
    </row>
    <row r="25">
      <c r="A25" s="26" t="inlineStr">
        <is>
          <t>CPF rate used</t>
        </is>
      </c>
      <c r="B25" s="43">
        <f>IF(B22=TRUE,B24,0)</f>
        <v/>
      </c>
      <c r="C25" s="27" t="inlineStr">
        <is>
          <t>C · calculated</t>
        </is>
      </c>
      <c r="D25" s="18" t="inlineStr">
        <is>
          <t>0 when CPF is off for this country.</t>
        </is>
      </c>
    </row>
    <row r="26">
      <c r="A26" s="26" t="inlineStr">
        <is>
          <t>employee CPF</t>
        </is>
      </c>
      <c r="B26" s="29">
        <f>IF(OR(B22&lt;&gt;TRUE,B8&lt;=0,B25&lt;=0),0,FLOOR(MIN(B8,OW_CEILING)*B25,1))</f>
        <v/>
      </c>
      <c r="C26" s="27" t="inlineStr">
        <is>
          <t>C · calculated</t>
        </is>
      </c>
      <c r="D26" s="18" t="inlineStr">
        <is>
          <t>floor(min(gross, ceiling) × rate). 0 if CPF off.</t>
        </is>
      </c>
    </row>
    <row r="27">
      <c r="A27" s="26" t="inlineStr">
        <is>
          <t>take-home</t>
        </is>
      </c>
      <c r="B27" s="28">
        <f>IF(B8&lt;=0,0,ROUND(MAX(0,B8-B26),2))</f>
        <v/>
      </c>
      <c r="C27" s="27" t="inlineStr">
        <is>
          <t>C · calculated</t>
        </is>
      </c>
      <c r="D27" s="18"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tabColor rgb="002E7D4F"/>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About you from the selected Personas row</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Working years = age − 21.</t>
        </is>
      </c>
      <c r="F5" s="19" t="inlineStr">
        <is>
          <t>D · ASSUMPTIONS / SHARED DATA</t>
        </is>
      </c>
    </row>
    <row r="6">
      <c r="A6" s="17" t="inlineStr">
        <is>
          <t>gender</t>
        </is>
      </c>
      <c r="B6" s="13">
        <f>IFERROR(INDEX(Personas!D$3:D$52,MATCH($B$2,Personas!$A$3:$A$52,0)),"")</f>
        <v/>
      </c>
      <c r="C6" s="13" t="inlineStr">
        <is>
          <t>A · input</t>
        </is>
      </c>
      <c r="D6" s="18" t="inlineStr">
        <is>
          <t>Personas D. Not used by this component.</t>
        </is>
      </c>
      <c r="F6" s="21" t="inlineStr">
        <is>
          <t>E · USER / FRONTEND OVERRIDE</t>
        </is>
      </c>
    </row>
    <row r="7">
      <c r="A7" s="17" t="inlineStr">
        <is>
          <t>residency</t>
        </is>
      </c>
      <c r="B7" s="13">
        <f>IFERROR(INDEX(Personas!E$3:E$52,MATCH($B$2,Personas!$A$3:$A$52,0)),"")</f>
        <v/>
      </c>
      <c r="C7" s="13" t="inlineStr">
        <is>
          <t>A · input</t>
        </is>
      </c>
      <c r="D7" s="18" t="inlineStr">
        <is>
          <t>Personas E. Passed to the CPF tab (Foreigner → 0 when CPF is on).</t>
        </is>
      </c>
    </row>
    <row r="8">
      <c r="A8" s="17" t="inlineStr">
        <is>
          <t>country</t>
        </is>
      </c>
      <c r="B8" s="13">
        <f>IFERROR(INDEX(Personas!F$3:F$52,MATCH($B$2,Personas!$A$3:$A$52,0)),"")</f>
        <v/>
      </c>
      <c r="C8" s="13" t="inlineStr">
        <is>
          <t>A · input</t>
        </is>
      </c>
      <c r="D8" s="18" t="inlineStr">
        <is>
          <t>Personas F. CPF on/off is decided on the CPF tab.</t>
        </is>
      </c>
    </row>
    <row r="9">
      <c r="A9" s="17" t="inlineStr">
        <is>
          <t>occupation</t>
        </is>
      </c>
      <c r="B9" s="13">
        <f>IFERROR(INDEX(Personas!G$3:G$52,MATCH($B$2,Personas!$A$3:$A$52,0)),"")</f>
        <v/>
      </c>
      <c r="C9" s="13" t="inlineStr">
        <is>
          <t>A · input</t>
        </is>
      </c>
      <c r="D9" s="18" t="inlineStr">
        <is>
          <t>Personas G. Looks up income_anchors.json Singapore band.</t>
        </is>
      </c>
    </row>
    <row r="10">
      <c r="A10" s="17" t="inlineStr">
        <is>
          <t>dependents</t>
        </is>
      </c>
      <c r="B10" s="20">
        <f>IFERROR(INDEX(Personas!H$3:H$52,MATCH($B$2,Personas!$A$3:$A$52,0)),"")</f>
        <v/>
      </c>
      <c r="C10" s="13" t="inlineStr">
        <is>
          <t>A · input</t>
        </is>
      </c>
      <c r="D10" s="18" t="inlineStr">
        <is>
          <t>Personas H. Spend-share +5 pp each; 5× income life cover if &gt; 0.</t>
        </is>
      </c>
    </row>
    <row r="11">
      <c r="A11" s="17" t="inlineStr">
        <is>
          <t>maritalStatus (typed)</t>
        </is>
      </c>
      <c r="B11" s="13">
        <f>IFERROR(INDEX(Personas!I$3:I$52,MATCH($B$2,Personas!$A$3:$A$52,0)),"")</f>
        <v/>
      </c>
      <c r="C11" s="13" t="inlineStr">
        <is>
          <t>A · input</t>
        </is>
      </c>
      <c r="D11" s="18" t="inlineStr">
        <is>
          <t>Personas I. Blank → infer below.</t>
        </is>
      </c>
    </row>
    <row r="13">
      <c r="A13" s="15" t="inlineStr">
        <is>
          <t>B · LLM PREDICTED DATA  —  fields this component reads from Personas</t>
        </is>
      </c>
      <c r="B13" s="15" t="n"/>
      <c r="C13" s="15" t="n"/>
      <c r="D13" s="15" t="n"/>
    </row>
    <row r="14">
      <c r="A14" s="22" t="inlineStr">
        <is>
          <t>income (LLM gross monthly)</t>
        </is>
      </c>
      <c r="B14" s="30">
        <f>IFERROR(INDEX(Personas!J$3:J$52,MATCH($B$2,Personas!$A$3:$A$52,0)),"")</f>
        <v/>
      </c>
      <c r="C14" s="24" t="inlineStr">
        <is>
          <t>B · LLM predicted</t>
        </is>
      </c>
      <c r="D14" s="18" t="inlineStr">
        <is>
          <t>Personas J. people_like_you_all_fields.json income.</t>
        </is>
      </c>
    </row>
    <row r="15">
      <c r="A15" s="22" t="inlineStr">
        <is>
          <t>currency</t>
        </is>
      </c>
      <c r="B15" s="24">
        <f>IFERROR(INDEX(Personas!K$3:K$52,MATCH($B$2,Personas!$A$3:$A$52,0)),"")</f>
        <v/>
      </c>
      <c r="C15" s="24" t="inlineStr">
        <is>
          <t>B · LLM predicted</t>
        </is>
      </c>
      <c r="D15" s="18" t="inlineStr">
        <is>
          <t>Personas K. SGD in this workbook.</t>
        </is>
      </c>
    </row>
    <row r="16">
      <c r="A16" s="22" t="inlineStr">
        <is>
          <t>property (owns home)</t>
        </is>
      </c>
      <c r="B16" s="24">
        <f>IFERROR(INDEX(Personas!N$3:N$52,MATCH($B$2,Personas!$A$3:$A$52,0)),"")</f>
        <v/>
      </c>
      <c r="C16" s="24" t="inlineStr">
        <is>
          <t>B · LLM predicted</t>
        </is>
      </c>
      <c r="D16" s="18" t="inlineStr">
        <is>
          <t>Personas N. seed_property_value if TRUE.</t>
        </is>
      </c>
    </row>
    <row r="17">
      <c r="A17" s="22" t="inlineStr">
        <is>
          <t>life_expectancy (raw)</t>
        </is>
      </c>
      <c r="B17" s="25">
        <f>IFERROR(INDEX(Personas!V$3:V$52,MATCH($B$2,Personas!$A$3:$A$52,0)),"")</f>
        <v/>
      </c>
      <c r="C17" s="24" t="inlineStr">
        <is>
          <t>B · LLM predicted</t>
        </is>
      </c>
      <c r="D17" s="18" t="inlineStr">
        <is>
          <t>Personas V. Capped at 99. Missing or ≤ 0 → 85.</t>
        </is>
      </c>
    </row>
    <row r="19">
      <c r="A19" s="19" t="inlineStr">
        <is>
          <t>D · ASSUMPTIONS / SHARED DATA  —  named cells on Assumptions (CPF is on the CPF tab)</t>
        </is>
      </c>
      <c r="B19" s="19" t="n"/>
      <c r="C19" s="19" t="n"/>
      <c r="D19" s="19" t="n"/>
    </row>
    <row r="20">
      <c r="A20" s="38" t="inlineStr">
        <is>
          <t>spendShareBase</t>
        </is>
      </c>
      <c r="B20" s="40">
        <f>spendShareBase</f>
        <v/>
      </c>
      <c r="C20" s="36" t="inlineStr">
        <is>
          <t>D · assumption / shared</t>
        </is>
      </c>
      <c r="D20" s="18" t="inlineStr">
        <is>
          <t>67.5% of take-home.</t>
        </is>
      </c>
    </row>
    <row r="21">
      <c r="A21" s="38" t="inlineStr">
        <is>
          <t>spendSharePerDependant</t>
        </is>
      </c>
      <c r="B21" s="40">
        <f>spendSharePerDependant</f>
        <v/>
      </c>
      <c r="C21" s="36" t="inlineStr">
        <is>
          <t>D · assumption / shared</t>
        </is>
      </c>
      <c r="D21" s="18" t="inlineStr">
        <is>
          <t>+5 pp per dependant.</t>
        </is>
      </c>
    </row>
    <row r="22">
      <c r="A22" s="38" t="inlineStr">
        <is>
          <t>spendShareCap</t>
        </is>
      </c>
      <c r="B22" s="40">
        <f>spendShareCap</f>
        <v/>
      </c>
      <c r="C22" s="36" t="inlineStr">
        <is>
          <t>D · assumption / shared</t>
        </is>
      </c>
      <c r="D22" s="18" t="inlineStr">
        <is>
          <t>90% cap.</t>
        </is>
      </c>
    </row>
    <row r="23">
      <c r="A23" s="38" t="inlineStr">
        <is>
          <t>assetsSaveShare</t>
        </is>
      </c>
      <c r="B23" s="40">
        <f>assetsSaveShare</f>
        <v/>
      </c>
      <c r="C23" s="36" t="inlineStr">
        <is>
          <t>D · assumption / shared</t>
        </is>
      </c>
      <c r="D23" s="18" t="inlineStr">
        <is>
          <t>50% of annual surplus saved.</t>
        </is>
      </c>
    </row>
    <row r="24">
      <c r="A24" s="38" t="inlineStr">
        <is>
          <t>workStartAge</t>
        </is>
      </c>
      <c r="B24" s="44">
        <f>workStartAge</f>
        <v/>
      </c>
      <c r="C24" s="36" t="inlineStr">
        <is>
          <t>D · assumption / shared</t>
        </is>
      </c>
      <c r="D24" s="18" t="inlineStr">
        <is>
          <t>21. Working years = max(0, age − 21).</t>
        </is>
      </c>
    </row>
    <row r="25">
      <c r="A25" s="38" t="inlineStr">
        <is>
          <t>CASH_SAVINGS_SHARE</t>
        </is>
      </c>
      <c r="B25" s="40">
        <f>CASH_SAVINGS_SHARE</f>
        <v/>
      </c>
      <c r="C25" s="36" t="inlineStr">
        <is>
          <t>D · assumption / shared</t>
        </is>
      </c>
      <c r="D25" s="18" t="inlineStr">
        <is>
          <t>src/predict.py 15% cash.</t>
        </is>
      </c>
    </row>
    <row r="26">
      <c r="A26" s="38" t="inlineStr">
        <is>
          <t>INVESTMENTS_SHARE</t>
        </is>
      </c>
      <c r="B26" s="40">
        <f>INVESTMENTS_SHARE</f>
        <v/>
      </c>
      <c r="C26" s="36" t="inlineStr">
        <is>
          <t>D · assumption / shared</t>
        </is>
      </c>
      <c r="D26" s="18" t="inlineStr">
        <is>
          <t>src/predict.py 85%.</t>
        </is>
      </c>
    </row>
    <row r="27">
      <c r="A27" s="38" t="inlineStr">
        <is>
          <t>liabilityRatio</t>
        </is>
      </c>
      <c r="B27" s="40">
        <f>liabilityRatio</f>
        <v/>
      </c>
      <c r="C27" s="36" t="inlineStr">
        <is>
          <t>D · assumption / shared</t>
        </is>
      </c>
      <c r="D27" s="18" t="inlineStr">
        <is>
          <t>PLU liabilities = liquid assets × 0.7 (not the mortgage).</t>
        </is>
      </c>
    </row>
    <row r="28">
      <c r="A28" s="38" t="inlineStr">
        <is>
          <t>propertyLow (USD)</t>
        </is>
      </c>
      <c r="B28" s="39">
        <f>propertyLow</f>
        <v/>
      </c>
      <c r="C28" s="36" t="inlineStr">
        <is>
          <t>D · assumption / shared</t>
        </is>
      </c>
      <c r="D28" s="18" t="inlineStr">
        <is>
          <t>income &lt; propertyIncomeLow (USD).</t>
        </is>
      </c>
    </row>
    <row r="29">
      <c r="A29" s="38" t="inlineStr">
        <is>
          <t>propertyMid (USD)</t>
        </is>
      </c>
      <c r="B29" s="39">
        <f>propertyMid</f>
        <v/>
      </c>
      <c r="C29" s="36" t="inlineStr">
        <is>
          <t>D · assumption / shared</t>
        </is>
      </c>
      <c r="D29" s="18" t="inlineStr">
        <is>
          <t>income between the two USD bands.</t>
        </is>
      </c>
    </row>
    <row r="30">
      <c r="A30" s="38" t="inlineStr">
        <is>
          <t>propertyHigh (USD)</t>
        </is>
      </c>
      <c r="B30" s="39">
        <f>propertyHigh</f>
        <v/>
      </c>
      <c r="C30" s="36" t="inlineStr">
        <is>
          <t>D · assumption / shared</t>
        </is>
      </c>
      <c r="D30" s="18" t="inlineStr">
        <is>
          <t>income &gt; propertyIncomeHigh (USD).</t>
        </is>
      </c>
    </row>
    <row r="31">
      <c r="A31" s="38" t="inlineStr">
        <is>
          <t>propertyIncomeLow (USD)</t>
        </is>
      </c>
      <c r="B31" s="39">
        <f>propertyIncomeLow</f>
        <v/>
      </c>
      <c r="C31" s="36" t="inlineStr">
        <is>
          <t>D · assumption / shared</t>
        </is>
      </c>
      <c r="D31" s="18" t="inlineStr">
        <is>
          <t>Monthly gross income in USD.</t>
        </is>
      </c>
    </row>
    <row r="32">
      <c r="A32" s="38" t="inlineStr">
        <is>
          <t>propertyIncomeHigh (USD)</t>
        </is>
      </c>
      <c r="B32" s="39">
        <f>propertyIncomeHigh</f>
        <v/>
      </c>
      <c r="C32" s="36" t="inlineStr">
        <is>
          <t>D · assumption / shared</t>
        </is>
      </c>
      <c r="D32" s="18" t="inlineStr">
        <is>
          <t>Monthly gross income in USD.</t>
        </is>
      </c>
    </row>
    <row r="33">
      <c r="A33" s="38" t="inlineStr">
        <is>
          <t>PROPERTY_LTV</t>
        </is>
      </c>
      <c r="B33" s="40">
        <f>PROPERTY_LTV</f>
        <v/>
      </c>
      <c r="C33" s="36" t="inlineStr">
        <is>
          <t>D · assumption / shared</t>
        </is>
      </c>
      <c r="D33" s="18" t="inlineStr">
        <is>
          <t>Mortgage = round(property × 55%).</t>
        </is>
      </c>
    </row>
    <row r="34">
      <c r="A34" s="38" t="inlineStr">
        <is>
          <t>lifePremiumRate</t>
        </is>
      </c>
      <c r="B34" s="45">
        <f>lifePremiumRate</f>
        <v/>
      </c>
      <c r="C34" s="36" t="inlineStr">
        <is>
          <t>D · assumption / shared</t>
        </is>
      </c>
      <c r="D34" s="18" t="inlineStr">
        <is>
          <t>0.31% of sum assured.</t>
        </is>
      </c>
    </row>
    <row r="35">
      <c r="A35" s="38" t="inlineStr">
        <is>
          <t>life cover step (user currency)</t>
        </is>
      </c>
      <c r="B35" s="39">
        <f>FX_lifeRound</f>
        <v/>
      </c>
      <c r="C35" s="36" t="inlineStr">
        <is>
          <t>D · assumption / shared</t>
        </is>
      </c>
      <c r="D35" s="18" t="inlineStr">
        <is>
          <t>lifeRoundUnit (USD) as a nice step in user currency (FX tab).</t>
        </is>
      </c>
    </row>
    <row r="36">
      <c r="A36" s="38" t="inlineStr">
        <is>
          <t>lifeExpectancyDefault</t>
        </is>
      </c>
      <c r="B36" s="44">
        <f>lifeExpectancyDefault</f>
        <v/>
      </c>
      <c r="C36" s="36" t="inlineStr">
        <is>
          <t>D · assumption / shared</t>
        </is>
      </c>
      <c r="D36" s="18" t="inlineStr">
        <is>
          <t>Used when raw LE is missing or ≤ 0.</t>
        </is>
      </c>
    </row>
    <row r="38">
      <c r="A38" s="16" t="inlineStr">
        <is>
          <t>C · DETERMINISTICALLY CALCULATED  —  _apply_plu. Take-home is read from the CPF tab.</t>
        </is>
      </c>
      <c r="B38" s="16" t="n"/>
      <c r="C38" s="16" t="n"/>
      <c r="D38" s="16" t="n"/>
    </row>
    <row r="39">
      <c r="A39" s="26" t="inlineStr">
        <is>
          <t>band min</t>
        </is>
      </c>
      <c r="B39" s="29">
        <f>IFERROR(INDEX(Assumptions!$F$6:$F$13,MATCH(B9,Assumptions!$E$6:$E$13,0)),"")</f>
        <v/>
      </c>
      <c r="C39" s="27" t="inlineStr">
        <is>
          <t>C · calculated</t>
        </is>
      </c>
      <c r="D39" s="18" t="inlineStr">
        <is>
          <t>income_anchors.json Singapore min for occupation.</t>
        </is>
      </c>
    </row>
    <row r="40">
      <c r="A40" s="26" t="inlineStr">
        <is>
          <t>band max</t>
        </is>
      </c>
      <c r="B40" s="29">
        <f>IFERROR(INDEX(Assumptions!$G$6:$G$13,MATCH(B9,Assumptions!$E$6:$E$13,0)),"")</f>
        <v/>
      </c>
      <c r="C40" s="27" t="inlineStr">
        <is>
          <t>C · calculated</t>
        </is>
      </c>
      <c r="D40" s="18" t="inlineStr">
        <is>
          <t>income_anchors.json Singapore max.</t>
        </is>
      </c>
    </row>
    <row r="41">
      <c r="A41" s="26" t="inlineStr">
        <is>
          <t>incomeMonthly (clamped)</t>
        </is>
      </c>
      <c r="B41" s="28">
        <f>IF(OR(B39="",B14=0),B14,MIN(MAX(B14,B39),B40))</f>
        <v/>
      </c>
      <c r="C41" s="27" t="inlineStr">
        <is>
          <t>C · calculated</t>
        </is>
      </c>
      <c r="D41" s="18" t="inlineStr">
        <is>
          <t>Clamp LLM income into the occupation band. 0 stays 0.</t>
        </is>
      </c>
    </row>
    <row r="42">
      <c r="A42" s="17" t="inlineStr">
        <is>
          <t>CPF on (from CPF tab)</t>
        </is>
      </c>
      <c r="B42" s="13">
        <f>CPF_on</f>
        <v/>
      </c>
      <c r="C42" s="13" t="inlineStr">
        <is>
          <t>A · input</t>
        </is>
      </c>
      <c r="D42" s="18" t="inlineStr">
        <is>
          <t>Country switch or orange override on the CPF tab.</t>
        </is>
      </c>
    </row>
    <row r="43">
      <c r="A43" s="26" t="inlineStr">
        <is>
          <t>CPF rate</t>
        </is>
      </c>
      <c r="B43" s="43">
        <f>CPF_rate</f>
        <v/>
      </c>
      <c r="C43" s="27" t="inlineStr">
        <is>
          <t>C · calculated</t>
        </is>
      </c>
      <c r="D43" s="18" t="inlineStr">
        <is>
          <t>0 when CPF is off for this country.</t>
        </is>
      </c>
    </row>
    <row r="44">
      <c r="A44" s="26" t="inlineStr">
        <is>
          <t>employee CPF</t>
        </is>
      </c>
      <c r="B44" s="29">
        <f>CPF_employee</f>
        <v/>
      </c>
      <c r="C44" s="27" t="inlineStr">
        <is>
          <t>C · calculated</t>
        </is>
      </c>
      <c r="D44" s="18" t="inlineStr">
        <is>
          <t>0 when CPF is off.</t>
        </is>
      </c>
    </row>
    <row r="45">
      <c r="A45" s="26" t="inlineStr">
        <is>
          <t>take-home</t>
        </is>
      </c>
      <c r="B45" s="28">
        <f>CPF_takeHome</f>
        <v/>
      </c>
      <c r="C45" s="27" t="inlineStr">
        <is>
          <t>C · calculated</t>
        </is>
      </c>
      <c r="D45" s="18" t="inlineStr">
        <is>
          <t>Gross minus employee CPF. Equals income when CPF is off.</t>
        </is>
      </c>
    </row>
    <row r="46">
      <c r="A46" s="26" t="inlineStr">
        <is>
          <t>spend share</t>
        </is>
      </c>
      <c r="B46" s="43">
        <f>MIN(spendShareBase+spendSharePerDependant*MAX(0,B10),spendShareCap)</f>
        <v/>
      </c>
      <c r="C46" s="27" t="inlineStr">
        <is>
          <t>C · calculated</t>
        </is>
      </c>
      <c r="D46" s="18" t="inlineStr">
        <is>
          <t>min(67.5% + 5pp × dependents, 90%).</t>
        </is>
      </c>
    </row>
    <row r="47">
      <c r="A47" s="26" t="inlineStr">
        <is>
          <t>expenseMonthly</t>
        </is>
      </c>
      <c r="B47" s="28">
        <f>IF(B45&lt;=0,0,ROUND(B45*B46,2))</f>
        <v/>
      </c>
      <c r="C47" s="27" t="inlineStr">
        <is>
          <t>C · calculated</t>
        </is>
      </c>
      <c r="D47" s="18" t="inlineStr">
        <is>
          <t>expenses_from_gross / spend of take-home.</t>
        </is>
      </c>
    </row>
    <row r="48">
      <c r="A48" s="26" t="inlineStr">
        <is>
          <t>surplus / mo</t>
        </is>
      </c>
      <c r="B48" s="28">
        <f>B45-B47</f>
        <v/>
      </c>
      <c r="C48" s="27" t="inlineStr">
        <is>
          <t>C · calculated</t>
        </is>
      </c>
      <c r="D48" s="18" t="inlineStr">
        <is>
          <t>take-home − expense.</t>
        </is>
      </c>
    </row>
    <row r="49">
      <c r="A49" s="26" t="inlineStr">
        <is>
          <t>working years</t>
        </is>
      </c>
      <c r="B49" s="46">
        <f>MAX(0,B5-workStartAge)</f>
        <v/>
      </c>
      <c r="C49" s="27" t="inlineStr">
        <is>
          <t>C · calculated</t>
        </is>
      </c>
      <c r="D49" s="18" t="inlineStr">
        <is>
          <t>max(0, age − 21).</t>
        </is>
      </c>
    </row>
    <row r="50">
      <c r="A50" s="26" t="inlineStr">
        <is>
          <t>liquid assets</t>
        </is>
      </c>
      <c r="B50" s="28">
        <f>IF(AND(B14&gt;0,B47&gt;0,B5&gt;workStartAge),MAX(0,B48*12*assetsSaveShare*B49),0)</f>
        <v/>
      </c>
      <c r="C50" s="27" t="inlineStr">
        <is>
          <t>C · calculated</t>
        </is>
      </c>
      <c r="D50" s="18" t="inlineStr">
        <is>
          <t>surplus × 12 × 0.5 × working years.</t>
        </is>
      </c>
    </row>
    <row r="51">
      <c r="A51" s="26" t="inlineStr">
        <is>
          <t>PLU liabilities</t>
        </is>
      </c>
      <c r="B51" s="28">
        <f>B50*liabilityRatio</f>
        <v/>
      </c>
      <c r="C51" s="27" t="inlineStr">
        <is>
          <t>C · calculated</t>
        </is>
      </c>
      <c r="D51" s="18" t="inlineStr">
        <is>
          <t>liquid × 0.7. Not the mortgage.</t>
        </is>
      </c>
    </row>
    <row r="52">
      <c r="A52" s="26" t="inlineStr">
        <is>
          <t>cash (15%)</t>
        </is>
      </c>
      <c r="B52" s="29">
        <f>IF(MOD(B50*CASH_SAVINGS_SHARE,1)=0.5,2*ROUND((B50*CASH_SAVINGS_SHARE)/2,0),ROUND(B50*CASH_SAVINGS_SHARE,0))</f>
        <v/>
      </c>
      <c r="C52" s="27" t="inlineStr">
        <is>
          <t>C · calculated</t>
        </is>
      </c>
      <c r="D52" s="18" t="inlineStr">
        <is>
          <t>CASH_SAVINGS_SHARE. Python round (half to even).</t>
        </is>
      </c>
    </row>
    <row r="53">
      <c r="A53" s="26" t="inlineStr">
        <is>
          <t>investments (85%)</t>
        </is>
      </c>
      <c r="B53" s="29">
        <f>IF(MOD(B50*INVESTMENTS_SHARE,1)=0.5,2*ROUND((B50*INVESTMENTS_SHARE)/2,0),ROUND(B50*INVESTMENTS_SHARE,0))</f>
        <v/>
      </c>
      <c r="C53" s="27" t="inlineStr">
        <is>
          <t>C · calculated</t>
        </is>
      </c>
      <c r="D53" s="18" t="inlineStr">
        <is>
          <t>INVESTMENTS_SHARE. Python round (half to even).</t>
        </is>
      </c>
    </row>
    <row r="54">
      <c r="A54" s="26" t="inlineStr">
        <is>
          <t>income USD (home seed)</t>
        </is>
      </c>
      <c r="B54" s="28">
        <f>B14*FX_usdPerLocal</f>
        <v/>
      </c>
      <c r="C54" s="27" t="inlineStr">
        <is>
          <t>C · calculated</t>
        </is>
      </c>
      <c r="D54" s="18" t="inlineStr">
        <is>
          <t>System currency: user currency × USD per 1.</t>
        </is>
      </c>
    </row>
    <row r="55">
      <c r="A55" s="26" t="inlineStr">
        <is>
          <t>property USD</t>
        </is>
      </c>
      <c r="B55" s="28">
        <f>IF(B16=FALSE,0,IF(B54&lt;propertyIncomeLow*FX_priceLevel,propertyLow,IF(B54&lt;=propertyIncomeHigh*FX_priceLevel,propertyMid,propertyHigh))*FX_priceLevel)</f>
        <v/>
      </c>
      <c r="C55" s="27" t="inlineStr">
        <is>
          <t>C · calculated</t>
        </is>
      </c>
      <c r="D55" s="18" t="inlineStr">
        <is>
          <t>seed_property_value on USD bands.</t>
        </is>
      </c>
    </row>
    <row r="56">
      <c r="A56" s="26" t="inlineStr">
        <is>
          <t>property</t>
        </is>
      </c>
      <c r="B56" s="29">
        <f>ROUND(B55/FX_usdPerLocal,0)</f>
        <v/>
      </c>
      <c r="C56" s="27" t="inlineStr">
        <is>
          <t>C · calculated</t>
        </is>
      </c>
      <c r="D56" s="18" t="inlineStr">
        <is>
          <t>Back to user currency.</t>
        </is>
      </c>
    </row>
    <row r="57">
      <c r="A57" s="26" t="inlineStr">
        <is>
          <t>mortgage</t>
        </is>
      </c>
      <c r="B57" s="29">
        <f>IF(B56=0,0,IF(MOD(B56*PROPERTY_LTV,1)=0.5,2*ROUND((B56*PROPERTY_LTV)/2,0),ROUND(B56*PROPERTY_LTV,0)))</f>
        <v/>
      </c>
      <c r="C57" s="27" t="inlineStr">
        <is>
          <t>C · calculated</t>
        </is>
      </c>
      <c r="D57" s="18" t="inlineStr">
        <is>
          <t>round(property × 55%).</t>
        </is>
      </c>
    </row>
    <row r="58">
      <c r="A58" s="26" t="inlineStr">
        <is>
          <t>life sum assured</t>
        </is>
      </c>
      <c r="B58" s="29">
        <f>MAX(IF(B56&gt;0,INT((B57+FX_lifeRound/2)/FX_lifeRound)*FX_lifeRound,0),IF(B10&gt;0,IF(MOD(B14*12*5,1)=0.5,2*ROUND((B14*12*5)/2,0),ROUND(B14*12*5,0)),0))</f>
        <v/>
      </c>
      <c r="C58" s="27" t="inlineStr">
        <is>
          <t>C · calculated</t>
        </is>
      </c>
      <c r="D58" s="18" t="inlineStr">
        <is>
          <t>_assumed_life_policy: max(mortgage rounded to the life cover step, 5 × annual income if dependents).</t>
        </is>
      </c>
    </row>
    <row r="59">
      <c r="A59" s="26" t="inlineStr">
        <is>
          <t>life premium</t>
        </is>
      </c>
      <c r="B59" s="29">
        <f>IF(B58&lt;=0,0,IF(MOD(B58*lifePremiumRate,1)=0.5,2*ROUND((B58*lifePremiumRate)/2,0),ROUND(B58*lifePremiumRate,0)))</f>
        <v/>
      </c>
      <c r="C59" s="27" t="inlineStr">
        <is>
          <t>C · calculated</t>
        </is>
      </c>
      <c r="D59" s="18" t="inlineStr">
        <is>
          <t>round(sum × 0.31%), half to even like Python (790.5 → 790).</t>
        </is>
      </c>
    </row>
    <row r="60">
      <c r="A60" s="26" t="inlineStr">
        <is>
          <t>lifeExpectancy used</t>
        </is>
      </c>
      <c r="B60" s="46">
        <f>MIN(99,IF(B17&gt;0,B17,lifeExpectancyDefault))</f>
        <v/>
      </c>
      <c r="C60" s="27" t="inlineStr">
        <is>
          <t>C · calculated</t>
        </is>
      </c>
      <c r="D60" s="18" t="inlineStr">
        <is>
          <t>min(raw, 99). Missing or ≤ 0 → 85.</t>
        </is>
      </c>
    </row>
    <row r="61">
      <c r="A61" s="26" t="inlineStr">
        <is>
          <t>marital (inferred)</t>
        </is>
      </c>
      <c r="B61" s="27">
        <f>IF(IFERROR(INDEX(Personas!I$3:I$52,MATCH($B$2,Personas!$A$3:$A$52,0)),"")&lt;&gt;"",LOWER(IFERROR(INDEX(Personas!I$3:I$52,MATCH($B$2,Personas!$A$3:$A$52,0)),"")),IF(B5&lt;30,"single","married"))</f>
        <v/>
      </c>
      <c r="C61" s="27" t="inlineStr">
        <is>
          <t>C · calculated</t>
        </is>
      </c>
      <c r="D61" s="18" t="inlineStr">
        <is>
          <t>Typed maritalStatus, else age &lt; 30 → single.</t>
        </is>
      </c>
    </row>
    <row r="63">
      <c r="A63" s="21" t="inlineStr">
        <is>
          <t>E · USER / FRONTEND OVERRIDE  —  Personas W–AC (Money page). Blank keeps the green calculated value.</t>
        </is>
      </c>
      <c r="B63" s="21" t="n"/>
      <c r="C63" s="21" t="n"/>
      <c r="D63" s="21" t="n"/>
    </row>
    <row r="64">
      <c r="A64" s="41" t="inlineStr">
        <is>
          <t>override expenseMonthly</t>
        </is>
      </c>
      <c r="B64" s="31">
        <f>IFERROR(INDEX(Personas!W$3:W$52,MATCH($B$2,Personas!$A$3:$A$52,0)),"")</f>
        <v/>
      </c>
      <c r="C64" s="42" t="inlineStr">
        <is>
          <t>E · user / frontend override</t>
        </is>
      </c>
      <c r="D64" s="18" t="inlineStr">
        <is>
          <t>Money page spend. Frontend MIN_EXPENSE_MONTHLY = 100 SGD.</t>
        </is>
      </c>
    </row>
    <row r="65">
      <c r="A65" s="41" t="inlineStr">
        <is>
          <t>override cash</t>
        </is>
      </c>
      <c r="B65" s="32">
        <f>IFERROR(INDEX(Personas!X$3:X$52,MATCH($B$2,Personas!$A$3:$A$52,0)),"")</f>
        <v/>
      </c>
      <c r="C65" s="42" t="inlineStr">
        <is>
          <t>E · user / frontend override</t>
        </is>
      </c>
      <c r="D65" s="18" t="inlineStr">
        <is>
          <t>Cash &amp; Savings. Provenance key cash / savings.</t>
        </is>
      </c>
    </row>
    <row r="66">
      <c r="A66" s="41" t="inlineStr">
        <is>
          <t>override investments</t>
        </is>
      </c>
      <c r="B66" s="32">
        <f>IFERROR(INDEX(Personas!Y$3:Y$52,MATCH($B$2,Personas!$A$3:$A$52,0)),"")</f>
        <v/>
      </c>
      <c r="C66" s="42" t="inlineStr">
        <is>
          <t>E · user / frontend override</t>
        </is>
      </c>
      <c r="D66" s="18" t="inlineStr">
        <is>
          <t>Investments.</t>
        </is>
      </c>
    </row>
    <row r="67">
      <c r="A67" s="41" t="inlineStr">
        <is>
          <t>override property value</t>
        </is>
      </c>
      <c r="B67" s="32">
        <f>IFERROR(INDEX(Personas!Z$3:Z$52,MATCH($B$2,Personas!$A$3:$A$52,0)),"")</f>
        <v/>
      </c>
      <c r="C67" s="42" t="inlineStr">
        <is>
          <t>E · user / frontend override</t>
        </is>
      </c>
      <c r="D67" s="18" t="inlineStr">
        <is>
          <t>Home value. Distinct from owns-home flag N.</t>
        </is>
      </c>
    </row>
    <row r="68">
      <c r="A68" s="41" t="inlineStr">
        <is>
          <t>override mortgage</t>
        </is>
      </c>
      <c r="B68" s="32">
        <f>IFERROR(INDEX(Personas!AA$3:AA$52,MATCH($B$2,Personas!$A$3:$A$52,0)),"")</f>
        <v/>
      </c>
      <c r="C68" s="42" t="inlineStr">
        <is>
          <t>E · user / frontend override</t>
        </is>
      </c>
      <c r="D68" s="18" t="inlineStr">
        <is>
          <t>Money page loans.</t>
        </is>
      </c>
    </row>
    <row r="69">
      <c r="A69" s="41" t="inlineStr">
        <is>
          <t>override PLU liabilities</t>
        </is>
      </c>
      <c r="B69" s="31">
        <f>IFERROR(INDEX(Personas!AB$3:AB$52,MATCH($B$2,Personas!$A$3:$A$52,0)),"")</f>
        <v/>
      </c>
      <c r="C69" s="42" t="inlineStr">
        <is>
          <t>E · user / frontend override</t>
        </is>
      </c>
      <c r="D69" s="18" t="inlineStr">
        <is>
          <t>Need Profiler TotalLiabilities. Not the mortgage.</t>
        </is>
      </c>
    </row>
    <row r="70">
      <c r="A70" s="41" t="inlineStr">
        <is>
          <t>override life sum assured</t>
        </is>
      </c>
      <c r="B70" s="32">
        <f>IFERROR(INDEX(Personas!AC$3:AC$52,MATCH($B$2,Personas!$A$3:$A$52,0)),"")</f>
        <v/>
      </c>
      <c r="C70" s="42" t="inlineStr">
        <is>
          <t>E · user / frontend override</t>
        </is>
      </c>
      <c r="D70" s="18" t="inlineStr">
        <is>
          <t>Existing Life Protection cover.</t>
        </is>
      </c>
    </row>
    <row r="72">
      <c r="A72" s="16" t="inlineStr">
        <is>
          <t>C · EFFECTIVE SESSION  —  override if set, else calculated. Downstream and Validation read these.</t>
        </is>
      </c>
      <c r="B72" s="16" t="n"/>
      <c r="C72" s="16" t="n"/>
      <c r="D72" s="16" t="n"/>
    </row>
    <row r="73">
      <c r="A73" s="26" t="inlineStr">
        <is>
          <t>incomeMonthly</t>
        </is>
      </c>
      <c r="B73" s="28">
        <f>B14</f>
        <v/>
      </c>
      <c r="C73" s="27" t="inlineStr">
        <is>
          <t>C · calculated</t>
        </is>
      </c>
      <c r="D73" s="18" t="inlineStr">
        <is>
          <t>Personas J (LLM or user). The clamp row above is what /predict would force.</t>
        </is>
      </c>
    </row>
    <row r="74">
      <c r="A74" s="26" t="inlineStr">
        <is>
          <t>expenseMonthly</t>
        </is>
      </c>
      <c r="B74" s="28">
        <f>IF(IFERROR(INDEX(Personas!W$3:W$52,MATCH($B$2,Personas!$A$3:$A$52,0)),"")="",B47,IFERROR(INDEX(Personas!W$3:W$52,MATCH($B$2,Personas!$A$3:$A$52,0)),""))</f>
        <v/>
      </c>
      <c r="C74" s="27" t="inlineStr">
        <is>
          <t>C · calculated</t>
        </is>
      </c>
      <c r="D74" s="18" t="inlineStr"/>
    </row>
    <row r="75">
      <c r="A75" s="26" t="inlineStr">
        <is>
          <t>take-home</t>
        </is>
      </c>
      <c r="B75" s="28">
        <f>B45</f>
        <v/>
      </c>
      <c r="C75" s="27" t="inlineStr">
        <is>
          <t>C · calculated</t>
        </is>
      </c>
      <c r="D75" s="18" t="inlineStr">
        <is>
          <t>From Personas J and CPF.</t>
        </is>
      </c>
    </row>
    <row r="76">
      <c r="A76" s="26" t="inlineStr">
        <is>
          <t>surplus / mo</t>
        </is>
      </c>
      <c r="B76" s="28">
        <f>B75-B74</f>
        <v/>
      </c>
      <c r="C76" s="27" t="inlineStr">
        <is>
          <t>C · calculated</t>
        </is>
      </c>
      <c r="D76" s="18" t="inlineStr"/>
    </row>
    <row r="77">
      <c r="A77" s="26" t="inlineStr">
        <is>
          <t>cash</t>
        </is>
      </c>
      <c r="B77" s="29">
        <f>IF(IFERROR(INDEX(Personas!X$3:X$52,MATCH($B$2,Personas!$A$3:$A$52,0)),"")="",B52,IFERROR(INDEX(Personas!X$3:X$52,MATCH($B$2,Personas!$A$3:$A$52,0)),""))</f>
        <v/>
      </c>
      <c r="C77" s="27" t="inlineStr">
        <is>
          <t>C · calculated</t>
        </is>
      </c>
      <c r="D77" s="18" t="inlineStr"/>
    </row>
    <row r="78">
      <c r="A78" s="26" t="inlineStr">
        <is>
          <t>investments</t>
        </is>
      </c>
      <c r="B78" s="29">
        <f>IF(IFERROR(INDEX(Personas!Y$3:Y$52,MATCH($B$2,Personas!$A$3:$A$52,0)),"")="",B53,IFERROR(INDEX(Personas!Y$3:Y$52,MATCH($B$2,Personas!$A$3:$A$52,0)),""))</f>
        <v/>
      </c>
      <c r="C78" s="27" t="inlineStr">
        <is>
          <t>C · calculated</t>
        </is>
      </c>
      <c r="D78" s="18" t="inlineStr"/>
    </row>
    <row r="79">
      <c r="A79" s="26" t="inlineStr">
        <is>
          <t>liquid assets</t>
        </is>
      </c>
      <c r="B79" s="29">
        <f>B77+B78</f>
        <v/>
      </c>
      <c r="C79" s="27" t="inlineStr">
        <is>
          <t>C · calculated</t>
        </is>
      </c>
      <c r="D79" s="18" t="inlineStr">
        <is>
          <t>cash + investments.</t>
        </is>
      </c>
    </row>
    <row r="80">
      <c r="A80" s="26" t="inlineStr">
        <is>
          <t>property</t>
        </is>
      </c>
      <c r="B80" s="29">
        <f>IF(IFERROR(INDEX(Personas!Z$3:Z$52,MATCH($B$2,Personas!$A$3:$A$52,0)),"")="",B56,IFERROR(INDEX(Personas!Z$3:Z$52,MATCH($B$2,Personas!$A$3:$A$52,0)),""))</f>
        <v/>
      </c>
      <c r="C80" s="27" t="inlineStr">
        <is>
          <t>C · calculated</t>
        </is>
      </c>
      <c r="D80" s="18" t="inlineStr"/>
    </row>
    <row r="81">
      <c r="A81" s="26" t="inlineStr">
        <is>
          <t>mortgage</t>
        </is>
      </c>
      <c r="B81" s="29">
        <f>IF(IFERROR(INDEX(Personas!AA$3:AA$52,MATCH($B$2,Personas!$A$3:$A$52,0)),"")="",B57,IFERROR(INDEX(Personas!AA$3:AA$52,MATCH($B$2,Personas!$A$3:$A$52,0)),""))</f>
        <v/>
      </c>
      <c r="C81" s="27" t="inlineStr">
        <is>
          <t>C · calculated</t>
        </is>
      </c>
      <c r="D81" s="18" t="inlineStr"/>
    </row>
    <row r="82">
      <c r="A82" s="26" t="inlineStr">
        <is>
          <t>PLU liabilities</t>
        </is>
      </c>
      <c r="B82" s="28">
        <f>IF(IFERROR(INDEX(Personas!AB$3:AB$52,MATCH($B$2,Personas!$A$3:$A$52,0)),"")="",B51,IFERROR(INDEX(Personas!AB$3:AB$52,MATCH($B$2,Personas!$A$3:$A$52,0)),""))</f>
        <v/>
      </c>
      <c r="C82" s="27" t="inlineStr">
        <is>
          <t>C · calculated</t>
        </is>
      </c>
      <c r="D82" s="18" t="inlineStr"/>
    </row>
    <row r="83">
      <c r="A83" s="26" t="inlineStr">
        <is>
          <t>life sum assured</t>
        </is>
      </c>
      <c r="B83" s="29">
        <f>IF(IFERROR(INDEX(Personas!AC$3:AC$52,MATCH($B$2,Personas!$A$3:$A$52,0)),"")="",B58,IFERROR(INDEX(Personas!AC$3:AC$52,MATCH($B$2,Personas!$A$3:$A$52,0)),""))</f>
        <v/>
      </c>
      <c r="C83" s="27" t="inlineStr">
        <is>
          <t>C · calculated</t>
        </is>
      </c>
      <c r="D83" s="18" t="inlineStr"/>
    </row>
    <row r="84">
      <c r="A84" s="26" t="inlineStr">
        <is>
          <t>life premium</t>
        </is>
      </c>
      <c r="B84" s="29">
        <f>IF(B83&lt;=0,0,IF(MOD(B83*lifePremiumRate,1)=0.5,2*ROUND((B83*lifePremiumRate)/2,0),ROUND(B83*lifePremiumRate,0)))</f>
        <v/>
      </c>
      <c r="C84" s="27" t="inlineStr">
        <is>
          <t>C · calculated</t>
        </is>
      </c>
      <c r="D84" s="18" t="inlineStr">
        <is>
          <t>Recomputed from effective sum.</t>
        </is>
      </c>
    </row>
    <row r="85">
      <c r="A85" s="22" t="inlineStr">
        <is>
          <t>currency</t>
        </is>
      </c>
      <c r="B85" s="24">
        <f>IFERROR(INDEX(Personas!K$3:K$52,MATCH($B$2,Personas!$A$3:$A$52,0)),"")</f>
        <v/>
      </c>
      <c r="C85" s="24" t="inlineStr">
        <is>
          <t>B · LLM predicted</t>
        </is>
      </c>
      <c r="D85" s="18" t="inlineStr">
        <is>
          <t>Personas K. FX converts with this ISO code.</t>
        </is>
      </c>
    </row>
  </sheetData>
  <mergeCells count="7">
    <mergeCell ref="A1:D1"/>
    <mergeCell ref="A4:D4"/>
    <mergeCell ref="A38:D38"/>
    <mergeCell ref="A72:D72"/>
    <mergeCell ref="A19:D19"/>
    <mergeCell ref="A63:D63"/>
    <mergeCell ref="A13:D13"/>
  </mergeCells>
  <pageMargins left="0.75" right="0.75" top="1" bottom="1" header="0.5" footer="0.5"/>
</worksheet>
</file>

<file path=xl/worksheets/sheet7.xml><?xml version="1.0" encoding="utf-8"?>
<worksheet xmlns="http://schemas.openxmlformats.org/spreadsheetml/2006/main">
  <sheetPr>
    <tabColor rgb="006B3FA0"/>
    <outlinePr summaryBelow="1" summaryRight="1"/>
    <pageSetUpPr/>
  </sheetPr>
  <dimension ref="A1:F10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16" customWidth="1" min="4" max="4"/>
    <col width="12" customWidth="1" min="5" max="5"/>
    <col width="14" customWidth="1" min="6" max="6"/>
  </cols>
  <sheetData>
    <row r="1" ht="28" customHeight="1">
      <c r="A1" s="1" t="inlineStr">
        <is>
          <t>Need Profiler — selected persona. Weighted scores → two protection + N_RET + one growth. Parked coverage needs are scored only.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selected Personas + People Like You results</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Bucket &lt;21 / ≤30 / ≤40 / else.</t>
        </is>
      </c>
      <c r="F5" s="19" t="inlineStr">
        <is>
          <t>D · ASSUMPTIONS / SHARED DATA</t>
        </is>
      </c>
    </row>
    <row r="6">
      <c r="A6" s="17" t="inlineStr">
        <is>
          <t>gender</t>
        </is>
      </c>
      <c r="B6" s="13">
        <f>IFERROR(INDEX(Personas!D$3:D$52,MATCH($B$2,Personas!$A$3:$A$52,0)),"")</f>
        <v/>
      </c>
      <c r="C6" s="13" t="inlineStr">
        <is>
          <t>A · input</t>
        </is>
      </c>
      <c r="D6" s="18" t="inlineStr">
        <is>
          <t>Personas D. male=3, female=2.</t>
        </is>
      </c>
      <c r="F6" s="21" t="inlineStr">
        <is>
          <t>E · USER / FRONTEND OVERRIDE</t>
        </is>
      </c>
    </row>
    <row r="7">
      <c r="A7" s="17" t="inlineStr">
        <is>
          <t>dependents</t>
        </is>
      </c>
      <c r="B7" s="20">
        <f>IFERROR(INDEX(Personas!H$3:H$52,MATCH($B$2,Personas!$A$3:$A$52,0)),"")</f>
        <v/>
      </c>
      <c r="C7" s="13" t="inlineStr">
        <is>
          <t>A · input</t>
        </is>
      </c>
      <c r="D7" s="18" t="inlineStr">
        <is>
          <t>Personas H. 0 / 1 / ≥2 → 0 / 2 / 4.</t>
        </is>
      </c>
    </row>
    <row r="8">
      <c r="A8" s="17" t="inlineStr">
        <is>
          <t>occupation</t>
        </is>
      </c>
      <c r="B8" s="13">
        <f>IFERROR(INDEX(Personas!G$3:G$52,MATCH($B$2,Personas!$A$3:$A$52,0)),"")</f>
        <v/>
      </c>
      <c r="C8" s="13" t="inlineStr">
        <is>
          <t>A · input</t>
        </is>
      </c>
      <c r="D8" s="18" t="inlineStr">
        <is>
          <t>Personas G. Self-employed tokens → 2, else 1.</t>
        </is>
      </c>
    </row>
    <row r="9">
      <c r="A9" s="17" t="inlineStr">
        <is>
          <t>incomeMonthly (from PLU)</t>
        </is>
      </c>
      <c r="B9" s="37">
        <f>PLU_incomeMonthly</f>
        <v/>
      </c>
      <c r="C9" s="13" t="inlineStr">
        <is>
          <t>A · input</t>
        </is>
      </c>
      <c r="D9" s="18" t="inlineStr">
        <is>
          <t>People Like You calculated income, used as profiler Income.</t>
        </is>
      </c>
    </row>
    <row r="10">
      <c r="A10" s="17" t="inlineStr">
        <is>
          <t>expenseMonthly (from PLU)</t>
        </is>
      </c>
      <c r="B10" s="37">
        <f>PLU_expenseMonthly</f>
        <v/>
      </c>
      <c r="C10" s="13" t="inlineStr">
        <is>
          <t>A · input</t>
        </is>
      </c>
      <c r="D10" s="18" t="inlineStr">
        <is>
          <t>People Like You calculated spend.</t>
        </is>
      </c>
    </row>
    <row r="11">
      <c r="A11" s="17" t="inlineStr">
        <is>
          <t>liquid assets (from PLU)</t>
        </is>
      </c>
      <c r="B11" s="47">
        <f>PLU_cash+PLU_investments</f>
        <v/>
      </c>
      <c r="C11" s="13" t="inlineStr">
        <is>
          <t>A · input</t>
        </is>
      </c>
      <c r="D11" s="18" t="inlineStr">
        <is>
          <t>cash + investments.</t>
        </is>
      </c>
    </row>
    <row r="12">
      <c r="A12" s="17" t="inlineStr">
        <is>
          <t>PLU liabilities (from PLU)</t>
        </is>
      </c>
      <c r="B12" s="37">
        <f>PLU_liabilities</f>
        <v/>
      </c>
      <c r="C12" s="13" t="inlineStr">
        <is>
          <t>A · input</t>
        </is>
      </c>
      <c r="D12" s="18" t="inlineStr">
        <is>
          <t>Not the mortgage.</t>
        </is>
      </c>
    </row>
    <row r="14">
      <c r="A14" s="15" t="inlineStr">
        <is>
          <t>B · LLM PREDICTED DATA  —  lifestyle flags this component reads</t>
        </is>
      </c>
      <c r="B14" s="15" t="n"/>
      <c r="C14" s="15" t="n"/>
      <c r="D14" s="15" t="n"/>
    </row>
    <row r="15">
      <c r="A15" s="22" t="inlineStr">
        <is>
          <t>is_smoker</t>
        </is>
      </c>
      <c r="B15" s="24">
        <f>IFERROR(INDEX(Personas!U$3:U$52,MATCH($B$2,Personas!$A$3:$A$52,0)),"")</f>
        <v/>
      </c>
      <c r="C15" s="24" t="inlineStr">
        <is>
          <t>B · LLM predicted</t>
        </is>
      </c>
      <c r="D15" s="18" t="inlineStr">
        <is>
          <t>Personas U. TRUE→3, else 1 (JSON has no Smoking options).</t>
        </is>
      </c>
    </row>
    <row r="16">
      <c r="A16" s="22" t="inlineStr">
        <is>
          <t>hospitalization_type</t>
        </is>
      </c>
      <c r="B16" s="24">
        <f>IFERROR(INDEX(Personas!Q$3:Q$52,MATCH($B$2,Personas!$A$3:$A$52,0)),"")</f>
        <v/>
      </c>
      <c r="C16" s="24" t="inlineStr">
        <is>
          <t>B · LLM predicted</t>
        </is>
      </c>
      <c r="D16" s="18" t="inlineStr">
        <is>
          <t>Personas Q. private=4, public=2.</t>
        </is>
      </c>
    </row>
    <row r="17">
      <c r="A17" s="22" t="inlineStr">
        <is>
          <t>ward_type</t>
        </is>
      </c>
      <c r="B17" s="24">
        <f>IFERROR(INDEX(Personas!P$3:P$52,MATCH($B$2,Personas!$A$3:$A$52,0)),"")</f>
        <v/>
      </c>
      <c r="C17" s="24" t="inlineStr">
        <is>
          <t>B · LLM predicted</t>
        </is>
      </c>
      <c r="D17" s="18" t="inlineStr">
        <is>
          <t>Personas P. A=3, B=2. Single/Double/Ward score 0.</t>
        </is>
      </c>
    </row>
    <row r="18">
      <c r="A18" s="22" t="inlineStr">
        <is>
          <t>retirement_lifestyle</t>
        </is>
      </c>
      <c r="B18" s="24">
        <f>IFERROR(INDEX(Personas!T$3:T$52,MATCH($B$2,Personas!$A$3:$A$52,0)),"")</f>
        <v/>
      </c>
      <c r="C18" s="24" t="inlineStr">
        <is>
          <t>B · LLM predicted</t>
        </is>
      </c>
      <c r="D18" s="18" t="inlineStr">
        <is>
          <t>Personas T. frugal / stress-free / only the best.</t>
        </is>
      </c>
    </row>
    <row r="19">
      <c r="A19" s="22" t="inlineStr">
        <is>
          <t>sports</t>
        </is>
      </c>
      <c r="B19" s="24">
        <f>IFERROR(INDEX(Personas!S$3:S$52,MATCH($B$2,Personas!$A$3:$A$52,0)),"")</f>
        <v/>
      </c>
      <c r="C19" s="24" t="inlineStr">
        <is>
          <t>B · LLM predicted</t>
        </is>
      </c>
      <c r="D19" s="18" t="inlineStr">
        <is>
          <t>Personas S. Adventurous / I dont do sports / Life style.</t>
        </is>
      </c>
    </row>
    <row r="20">
      <c r="A20" s="22" t="inlineStr">
        <is>
          <t>property (owns home)</t>
        </is>
      </c>
      <c r="B20" s="24">
        <f>IFERROR(INDEX(Personas!N$3:N$52,MATCH($B$2,Personas!$A$3:$A$52,0)),"")</f>
        <v/>
      </c>
      <c r="C20" s="24" t="inlineStr">
        <is>
          <t>B · LLM predicted</t>
        </is>
      </c>
      <c r="D20" s="18" t="inlineStr">
        <is>
          <t>Personas N. V0-16: no longer swaps N_SAV / N_PRP (not used for selection).</t>
        </is>
      </c>
    </row>
    <row r="22">
      <c r="A22" s="19" t="inlineStr">
        <is>
          <t>D · ASSUMPTIONS / SHARED DATA  —  used by this component</t>
        </is>
      </c>
      <c r="B22" s="19" t="n"/>
      <c r="C22" s="19" t="n"/>
      <c r="D22" s="19" t="n"/>
    </row>
    <row r="23">
      <c r="A23" s="38" t="inlineStr">
        <is>
          <t>Existing hospital cover</t>
        </is>
      </c>
      <c r="B23" s="36" t="n">
        <v>0</v>
      </c>
      <c r="C23" s="36" t="inlineStr">
        <is>
          <t>D · assumption / shared</t>
        </is>
      </c>
      <c r="D23" s="18" t="inlineStr">
        <is>
          <t>build_profiler_profile hard-codes Existing*Coverage = False → option weight 1.</t>
        </is>
      </c>
    </row>
    <row r="24">
      <c r="A24" s="38" t="inlineStr">
        <is>
          <t>Existing disability cover</t>
        </is>
      </c>
      <c r="B24" s="36" t="n">
        <v>0</v>
      </c>
      <c r="C24" s="36" t="inlineStr">
        <is>
          <t>D · assumption / shared</t>
        </is>
      </c>
      <c r="D24" s="18" t="inlineStr">
        <is>
          <t>Same. Stored as 0 here; option weight of False is 1.</t>
        </is>
      </c>
    </row>
    <row r="25">
      <c r="A25" s="38" t="inlineStr">
        <is>
          <t>USD per 1 local</t>
        </is>
      </c>
      <c r="B25" s="48">
        <f>FX_usdPerLocal</f>
        <v/>
      </c>
      <c r="C25" s="36" t="inlineStr">
        <is>
          <t>D · assumption / shared</t>
        </is>
      </c>
      <c r="D25" s="18" t="inlineStr">
        <is>
          <t>From the FX tab. Income / expense / assets / liabilities convert local × this rate.</t>
        </is>
      </c>
    </row>
    <row r="26">
      <c r="A26" s="38" t="inlineStr">
        <is>
          <t>Selection rule</t>
        </is>
      </c>
      <c r="B26" s="36" t="inlineStr">
        <is>
          <t>2 prot + N_RET + 1 growth</t>
        </is>
      </c>
      <c r="C26" s="36" t="inlineStr">
        <is>
          <t>D · assumption / shared</t>
        </is>
      </c>
      <c r="D26" s="18" t="inlineStr">
        <is>
          <t>V0-16: protection from N_INC/N_CRI/N_TPD/N_HOS/N_PAC; growth N_EDU vs N_SAV. N_PRP is never auto-picked (no profiler label).</t>
        </is>
      </c>
    </row>
    <row r="27">
      <c r="A27" s="38" t="inlineStr">
        <is>
          <t>Profiler weight matrix</t>
        </is>
      </c>
      <c r="B27" s="36" t="inlineStr">
        <is>
          <t>Assumptions!B90:L104</t>
        </is>
      </c>
      <c r="C27" s="36" t="inlineStr">
        <is>
          <t>D · assumption / shared</t>
        </is>
      </c>
      <c r="D27" s="18" t="inlineStr">
        <is>
          <t>Need_profiler.json needs_factor_weights. SUMPRODUCT with option weights.</t>
        </is>
      </c>
    </row>
    <row r="29">
      <c r="A29" s="16" t="inlineStr">
        <is>
          <t>C · DETERMINISTICALLY CALCULATED  —  local × FX → USD, then 15 option weights</t>
        </is>
      </c>
      <c r="B29" s="16" t="n"/>
      <c r="C29" s="16" t="n"/>
      <c r="D29" s="16" t="n"/>
    </row>
    <row r="30">
      <c r="A30" s="26" t="inlineStr">
        <is>
          <t>usd Income</t>
        </is>
      </c>
      <c r="B30" s="49">
        <f>IF(FX_usdPerLocal="","",PLU_incomeMonthly*FX_usdPerLocal)</f>
        <v/>
      </c>
      <c r="C30" s="27" t="inlineStr">
        <is>
          <t>C · calculated</t>
        </is>
      </c>
      <c r="D30" s="18" t="inlineStr">
        <is>
          <t>local income × FX. S$5,000 × 0.74 ≈ 3,700 USD → Income weight 2.</t>
        </is>
      </c>
    </row>
    <row r="31">
      <c r="A31" s="26" t="inlineStr">
        <is>
          <t>usd Expense</t>
        </is>
      </c>
      <c r="B31" s="49">
        <f>IF(FX_usdPerLocal="","",PLU_expenseMonthly*FX_usdPerLocal)</f>
        <v/>
      </c>
      <c r="C31" s="27" t="inlineStr">
        <is>
          <t>C · calculated</t>
        </is>
      </c>
      <c r="D31" s="18" t="inlineStr">
        <is>
          <t>local expense × FX.</t>
        </is>
      </c>
    </row>
    <row r="32">
      <c r="A32" s="26" t="inlineStr">
        <is>
          <t>usd Assets</t>
        </is>
      </c>
      <c r="B32" s="49">
        <f>IF(FX_usdPerLocal="","",(PLU_cash+PLU_investments)*FX_usdPerLocal)</f>
        <v/>
      </c>
      <c r="C32" s="27" t="inlineStr">
        <is>
          <t>C · calculated</t>
        </is>
      </c>
      <c r="D32" s="18" t="inlineStr">
        <is>
          <t>cash + investments × FX.</t>
        </is>
      </c>
    </row>
    <row r="33">
      <c r="A33" s="26" t="inlineStr">
        <is>
          <t>usd Liab</t>
        </is>
      </c>
      <c r="B33" s="49">
        <f>IF(FX_usdPerLocal="","",PLU_liabilities*FX_usdPerLocal)</f>
        <v/>
      </c>
      <c r="C33" s="27" t="inlineStr">
        <is>
          <t>C · calculated</t>
        </is>
      </c>
      <c r="D33" s="18" t="inlineStr">
        <is>
          <t>PLU liabilities × FX.</t>
        </is>
      </c>
    </row>
    <row r="34">
      <c r="A34" s="26" t="inlineStr">
        <is>
          <t>ow Age</t>
        </is>
      </c>
      <c r="B34" s="46">
        <f>IF(B5&lt;21,1,IF(B5&lt;=30,2,IF(B5&lt;=40,3,4)))</f>
        <v/>
      </c>
      <c r="C34" s="27" t="inlineStr">
        <is>
          <t>C · calculated</t>
        </is>
      </c>
      <c r="D34" s="18" t="inlineStr">
        <is>
          <t>_get_option_weight Date of Birth.</t>
        </is>
      </c>
    </row>
    <row r="35">
      <c r="A35" s="26" t="inlineStr">
        <is>
          <t>ow Gender</t>
        </is>
      </c>
      <c r="B35" s="46">
        <f>IF(LOWER(B6)="male",3,IF(LOWER(B6)="female",2,0))</f>
        <v/>
      </c>
      <c r="C35" s="27" t="inlineStr">
        <is>
          <t>C · calculated</t>
        </is>
      </c>
      <c r="D35" s="18" t="inlineStr">
        <is>
          <t>male=3, female=2.</t>
        </is>
      </c>
    </row>
    <row r="36">
      <c r="A36" s="26" t="inlineStr">
        <is>
          <t>ow Deps</t>
        </is>
      </c>
      <c r="B36" s="46">
        <f>IF(B7=0,0,IF(B7=1,2,4))</f>
        <v/>
      </c>
      <c r="C36" s="27" t="inlineStr">
        <is>
          <t>C · calculated</t>
        </is>
      </c>
      <c r="D36" s="18" t="inlineStr">
        <is>
          <t>0 / 1 / else.</t>
        </is>
      </c>
    </row>
    <row r="37">
      <c r="A37" s="26" t="inlineStr">
        <is>
          <t>ow Occ</t>
        </is>
      </c>
      <c r="B37" s="46">
        <f>IF(OR(ISNUMBER(SEARCH("self",B8)),ISNUMBER(SEARCH("entrepreneur",B8)),ISNUMBER(SEARCH("own business",B8)),ISNUMBER(SEARCH("freelance",B8))),2,1)</f>
        <v/>
      </c>
      <c r="C37" s="27" t="inlineStr">
        <is>
          <t>C · calculated</t>
        </is>
      </c>
      <c r="D37" s="18" t="inlineStr">
        <is>
          <t>Self-employed tokens.</t>
        </is>
      </c>
    </row>
    <row r="38">
      <c r="A38" s="26" t="inlineStr">
        <is>
          <t>ow Smoke</t>
        </is>
      </c>
      <c r="B38" s="46">
        <f>IF(B15=TRUE,3,1)</f>
        <v/>
      </c>
      <c r="C38" s="27" t="inlineStr">
        <is>
          <t>C · calculated</t>
        </is>
      </c>
      <c r="D38" s="18" t="inlineStr">
        <is>
          <t>No Smoking options in JSON.</t>
        </is>
      </c>
    </row>
    <row r="39">
      <c r="A39" s="26" t="inlineStr">
        <is>
          <t>ow Income</t>
        </is>
      </c>
      <c r="B39" s="46">
        <f>IF(B30&lt;1000,4,IF(B30&lt;2500,3,IF(B30&lt;5000,2,IF(B30&lt;10000,1,0))))</f>
        <v/>
      </c>
      <c r="C39" s="27" t="inlineStr">
        <is>
          <t>C · calculated</t>
        </is>
      </c>
      <c r="D39" s="18" t="inlineStr">
        <is>
          <t>Need_profiler.json Income lt bands (USD after FX).</t>
        </is>
      </c>
    </row>
    <row r="40">
      <c r="A40" s="26" t="inlineStr">
        <is>
          <t>ow Expense</t>
        </is>
      </c>
      <c r="B40" s="46">
        <f>IF(B31&lt;600,4,IF(B31&lt;1500,3,IF(B31&lt;3000,2,IF(B31&lt;6000,1,0))))</f>
        <v/>
      </c>
      <c r="C40" s="27" t="inlineStr">
        <is>
          <t>C · calculated</t>
        </is>
      </c>
      <c r="D40" s="18" t="inlineStr">
        <is>
          <t>Expense USD bands (~0.6× income).</t>
        </is>
      </c>
    </row>
    <row r="41">
      <c r="A41" s="26" t="inlineStr">
        <is>
          <t>ow Assets</t>
        </is>
      </c>
      <c r="B41" s="46">
        <f>IF(B32&lt;10000,4,IF(B32&lt;50000,3,IF(B32&lt;150000,2,IF(B32&lt;500000,1,0))))</f>
        <v/>
      </c>
      <c r="C41" s="27" t="inlineStr">
        <is>
          <t>C · calculated</t>
        </is>
      </c>
      <c r="D41" s="18" t="inlineStr">
        <is>
          <t>Assets USD bands (stock).</t>
        </is>
      </c>
    </row>
    <row r="42">
      <c r="A42" s="26" t="inlineStr">
        <is>
          <t>ow Liab</t>
        </is>
      </c>
      <c r="B42" s="46">
        <f>IF(B33&lt;5000,4,IF(B33&lt;25000,3,IF(B33&lt;100000,2,IF(B33&lt;250000,1,0))))</f>
        <v/>
      </c>
      <c r="C42" s="27" t="inlineStr">
        <is>
          <t>C · calculated</t>
        </is>
      </c>
      <c r="D42" s="18" t="inlineStr">
        <is>
          <t>Liabilities USD bands (stock).</t>
        </is>
      </c>
    </row>
    <row r="43">
      <c r="A43" s="26" t="inlineStr">
        <is>
          <t>ow HospExist</t>
        </is>
      </c>
      <c r="B43" s="46" t="n">
        <v>1</v>
      </c>
      <c r="C43" s="27" t="inlineStr">
        <is>
          <t>C · calculated</t>
        </is>
      </c>
      <c r="D43" s="18" t="inlineStr">
        <is>
          <t>Existing hospital coverage always False → 1.</t>
        </is>
      </c>
    </row>
    <row r="44">
      <c r="A44" s="26" t="inlineStr">
        <is>
          <t>ow DisExist</t>
        </is>
      </c>
      <c r="B44" s="46" t="n">
        <v>1</v>
      </c>
      <c r="C44" s="27" t="inlineStr">
        <is>
          <t>C · calculated</t>
        </is>
      </c>
      <c r="D44" s="18" t="inlineStr">
        <is>
          <t>Existing disability coverage always False → 1.</t>
        </is>
      </c>
    </row>
    <row r="45">
      <c r="A45" s="26" t="inlineStr">
        <is>
          <t>ow HospType</t>
        </is>
      </c>
      <c r="B45" s="46">
        <f>IF(LOWER(B16)="private",4,IF(LOWER(B16)="public",2,0))</f>
        <v/>
      </c>
      <c r="C45" s="27" t="inlineStr">
        <is>
          <t>C · calculated</t>
        </is>
      </c>
      <c r="D45" s="18" t="inlineStr">
        <is>
          <t>Hospital Type.</t>
        </is>
      </c>
    </row>
    <row r="46">
      <c r="A46" s="26" t="inlineStr">
        <is>
          <t>ow Ward</t>
        </is>
      </c>
      <c r="B46" s="46">
        <f>IF(UPPER(B17)="A",3,IF(UPPER(B17)="B",2,0))</f>
        <v/>
      </c>
      <c r="C46" s="27" t="inlineStr">
        <is>
          <t>C · calculated</t>
        </is>
      </c>
      <c r="D46" s="18" t="inlineStr">
        <is>
          <t>Ward Type.</t>
        </is>
      </c>
    </row>
    <row r="47">
      <c r="A47" s="26" t="inlineStr">
        <is>
          <t>ow Lifestyle</t>
        </is>
      </c>
      <c r="B47" s="46">
        <f>IF(LOWER(B18)="frugal",1,IF(OR(LOWER(B18)="stress-free",LOWER(B18)="stress free"),2,IF(LOWER(B18)="only the best",4,0)))</f>
        <v/>
      </c>
      <c r="C47" s="27" t="inlineStr">
        <is>
          <t>C · calculated</t>
        </is>
      </c>
      <c r="D47" s="18" t="inlineStr">
        <is>
          <t>Basic/Comfortable/Luxurious score 0.</t>
        </is>
      </c>
    </row>
    <row r="48">
      <c r="A48" s="26" t="inlineStr">
        <is>
          <t>ow Sports</t>
        </is>
      </c>
      <c r="B48" s="46">
        <f>IF(ISNUMBER(SEARCH("adventurous",B19)),4,IF(ISNUMBER(SEARCH("dont do sports",B19)),0,IF(ISNUMBER(SEARCH("life style",B19)),1,0)))</f>
        <v/>
      </c>
      <c r="C48" s="27" t="inlineStr">
        <is>
          <t>C · calculated</t>
        </is>
      </c>
      <c r="D48" s="18" t="inlineStr">
        <is>
          <t>Free-text sports.</t>
        </is>
      </c>
    </row>
    <row r="50">
      <c r="A50" s="16" t="inlineStr">
        <is>
          <t>C · RESULTS  —  raw Σ (factor × option), then min–max scale 0–10</t>
        </is>
      </c>
      <c r="B50" s="16" t="n"/>
      <c r="C50" s="16" t="n"/>
      <c r="D50" s="16" t="n"/>
    </row>
    <row r="51">
      <c r="A51" s="26" t="inlineStr">
        <is>
          <t>raw Life Protection</t>
        </is>
      </c>
      <c r="B51" s="49">
        <f>ROUND(SUMPRODUCT($B$34:$B$48,Assumptions!B$90:B$104),2)</f>
        <v/>
      </c>
      <c r="C51" s="27" t="inlineStr">
        <is>
          <t>C · calculated</t>
        </is>
      </c>
      <c r="D51" s="18" t="inlineStr">
        <is>
          <t>Need_profiler.json column Life Protection.</t>
        </is>
      </c>
    </row>
    <row r="52">
      <c r="A52" s="26" t="inlineStr">
        <is>
          <t>raw Critical Illness</t>
        </is>
      </c>
      <c r="B52" s="49">
        <f>ROUND(SUMPRODUCT($B$34:$B$48,Assumptions!C$90:C$104),2)</f>
        <v/>
      </c>
      <c r="C52" s="27" t="inlineStr">
        <is>
          <t>C · calculated</t>
        </is>
      </c>
      <c r="D52" s="18" t="inlineStr">
        <is>
          <t>Need_profiler.json column Critical Illness.</t>
        </is>
      </c>
    </row>
    <row r="53">
      <c r="A53" s="26" t="inlineStr">
        <is>
          <t>raw TPD</t>
        </is>
      </c>
      <c r="B53" s="49">
        <f>ROUND(SUMPRODUCT($B$34:$B$48,Assumptions!D$90:D$104),2)</f>
        <v/>
      </c>
      <c r="C53" s="27" t="inlineStr">
        <is>
          <t>C · calculated</t>
        </is>
      </c>
      <c r="D53" s="18" t="inlineStr">
        <is>
          <t>Need_profiler.json column Disability. Shown as TPD.</t>
        </is>
      </c>
    </row>
    <row r="54">
      <c r="A54" s="26" t="inlineStr">
        <is>
          <t>raw Retirement</t>
        </is>
      </c>
      <c r="B54" s="49">
        <f>ROUND(SUMPRODUCT($B$34:$B$48,Assumptions!E$90:E$104),2)</f>
        <v/>
      </c>
      <c r="C54" s="27" t="inlineStr">
        <is>
          <t>C · calculated</t>
        </is>
      </c>
      <c r="D54" s="18" t="inlineStr">
        <is>
          <t>Need_profiler.json column Retirement.</t>
        </is>
      </c>
    </row>
    <row r="55">
      <c r="A55" s="26" t="inlineStr">
        <is>
          <t>raw Education</t>
        </is>
      </c>
      <c r="B55" s="49">
        <f>ROUND(SUMPRODUCT($B$34:$B$48,Assumptions!F$90:F$104),2)</f>
        <v/>
      </c>
      <c r="C55" s="27" t="inlineStr">
        <is>
          <t>C · calculated</t>
        </is>
      </c>
      <c r="D55" s="18" t="inlineStr">
        <is>
          <t>Need_profiler.json column Education.</t>
        </is>
      </c>
    </row>
    <row r="56">
      <c r="A56" s="26" t="inlineStr">
        <is>
          <t>raw Hospitalization</t>
        </is>
      </c>
      <c r="B56" s="49">
        <f>ROUND(SUMPRODUCT($B$34:$B$48,Assumptions!G$90:G$104),2)</f>
        <v/>
      </c>
      <c r="C56" s="27" t="inlineStr">
        <is>
          <t>C · calculated</t>
        </is>
      </c>
      <c r="D56" s="18" t="inlineStr">
        <is>
          <t>Need_profiler.json column Hospitalization.</t>
        </is>
      </c>
    </row>
    <row r="57">
      <c r="A57" s="26" t="inlineStr">
        <is>
          <t>raw General Savings</t>
        </is>
      </c>
      <c r="B57" s="49">
        <f>ROUND(SUMPRODUCT($B$34:$B$48,Assumptions!H$90:H$104),2)</f>
        <v/>
      </c>
      <c r="C57" s="27" t="inlineStr">
        <is>
          <t>C · calculated</t>
        </is>
      </c>
      <c r="D57" s="18" t="inlineStr">
        <is>
          <t>Need_profiler.json column General Savings.</t>
        </is>
      </c>
    </row>
    <row r="58">
      <c r="A58" s="26" t="inlineStr">
        <is>
          <t>raw Personal Accident</t>
        </is>
      </c>
      <c r="B58" s="49">
        <f>ROUND(SUMPRODUCT($B$34:$B$48,Assumptions!I$90:I$104),2)</f>
        <v/>
      </c>
      <c r="C58" s="27" t="inlineStr">
        <is>
          <t>C · calculated</t>
        </is>
      </c>
      <c r="D58" s="18" t="inlineStr">
        <is>
          <t>Need_profiler.json column Personal Accident.</t>
        </is>
      </c>
    </row>
    <row r="59">
      <c r="A59" s="26" t="inlineStr">
        <is>
          <t>raw Car Protection</t>
        </is>
      </c>
      <c r="B59" s="49">
        <f>ROUND(SUMPRODUCT($B$34:$B$48,Assumptions!J$90:J$104),2)</f>
        <v/>
      </c>
      <c r="C59" s="27" t="inlineStr">
        <is>
          <t>C · calculated</t>
        </is>
      </c>
      <c r="D59" s="18" t="inlineStr">
        <is>
          <t>Need_profiler.json column Car Protection.</t>
        </is>
      </c>
    </row>
    <row r="60">
      <c r="A60" s="26" t="inlineStr">
        <is>
          <t>raw Home Protection</t>
        </is>
      </c>
      <c r="B60" s="49">
        <f>ROUND(SUMPRODUCT($B$34:$B$48,Assumptions!K$90:K$104),2)</f>
        <v/>
      </c>
      <c r="C60" s="27" t="inlineStr">
        <is>
          <t>C · calculated</t>
        </is>
      </c>
      <c r="D60" s="18" t="inlineStr">
        <is>
          <t>Need_profiler.json column Home Protection.</t>
        </is>
      </c>
    </row>
    <row r="61">
      <c r="A61" s="26" t="inlineStr">
        <is>
          <t>raw Travel Protection</t>
        </is>
      </c>
      <c r="B61" s="49">
        <f>ROUND(SUMPRODUCT($B$34:$B$48,Assumptions!L$90:L$104),2)</f>
        <v/>
      </c>
      <c r="C61" s="27" t="inlineStr">
        <is>
          <t>C · calculated</t>
        </is>
      </c>
      <c r="D61" s="18" t="inlineStr">
        <is>
          <t>Need_profiler.json column Travel Protection.</t>
        </is>
      </c>
    </row>
    <row r="62">
      <c r="A62" s="26" t="inlineStr">
        <is>
          <t>min raw</t>
        </is>
      </c>
      <c r="B62" s="49">
        <f>MIN(B51:B61)</f>
        <v/>
      </c>
      <c r="C62" s="27" t="inlineStr">
        <is>
          <t>C · calculated</t>
        </is>
      </c>
      <c r="D62" s="18" t="inlineStr">
        <is>
          <t>scale_scores min.</t>
        </is>
      </c>
    </row>
    <row r="63">
      <c r="A63" s="26" t="inlineStr">
        <is>
          <t>max raw</t>
        </is>
      </c>
      <c r="B63" s="49">
        <f>MAX(B51:B61)</f>
        <v/>
      </c>
      <c r="C63" s="27" t="inlineStr">
        <is>
          <t>C · calculated</t>
        </is>
      </c>
      <c r="D63" s="18" t="inlineStr">
        <is>
          <t>If max=min, divisor is forced to 1 so every scaled value is 0.</t>
        </is>
      </c>
    </row>
    <row r="64">
      <c r="A64" s="26" t="inlineStr">
        <is>
          <t>scaled Life Protection</t>
        </is>
      </c>
      <c r="B64" s="50">
        <f>ROUND(((B51-B62)/IF(B63&gt;B62,B63-B62,1))*10,1)</f>
        <v/>
      </c>
      <c r="C64" s="27" t="inlineStr">
        <is>
          <t>C · calculated</t>
        </is>
      </c>
      <c r="D64" s="18" t="inlineStr">
        <is>
          <t>0–10, 1 decimal.</t>
        </is>
      </c>
    </row>
    <row r="65">
      <c r="A65" s="26" t="inlineStr">
        <is>
          <t>scaled Critical Illness</t>
        </is>
      </c>
      <c r="B65" s="50">
        <f>ROUND(((B52-B62)/IF(B63&gt;B62,B63-B62,1))*10,1)</f>
        <v/>
      </c>
      <c r="C65" s="27" t="inlineStr">
        <is>
          <t>C · calculated</t>
        </is>
      </c>
      <c r="D65" s="18" t="inlineStr">
        <is>
          <t>0–10, 1 decimal.</t>
        </is>
      </c>
    </row>
    <row r="66">
      <c r="A66" s="26" t="inlineStr">
        <is>
          <t>scaled TPD</t>
        </is>
      </c>
      <c r="B66" s="50">
        <f>ROUND(((B53-B62)/IF(B63&gt;B62,B63-B62,1))*10,1)</f>
        <v/>
      </c>
      <c r="C66" s="27" t="inlineStr">
        <is>
          <t>C · calculated</t>
        </is>
      </c>
      <c r="D66" s="18" t="inlineStr">
        <is>
          <t>0–10, 1 decimal.</t>
        </is>
      </c>
    </row>
    <row r="67">
      <c r="A67" s="26" t="inlineStr">
        <is>
          <t>scaled Retirement</t>
        </is>
      </c>
      <c r="B67" s="50">
        <f>ROUND(((B54-B62)/IF(B63&gt;B62,B63-B62,1))*10,1)</f>
        <v/>
      </c>
      <c r="C67" s="27" t="inlineStr">
        <is>
          <t>C · calculated</t>
        </is>
      </c>
      <c r="D67" s="18" t="inlineStr">
        <is>
          <t>0–10, 1 decimal.</t>
        </is>
      </c>
    </row>
    <row r="68">
      <c r="A68" s="26" t="inlineStr">
        <is>
          <t>scaled Education</t>
        </is>
      </c>
      <c r="B68" s="50">
        <f>ROUND(((B55-B62)/IF(B63&gt;B62,B63-B62,1))*10,1)</f>
        <v/>
      </c>
      <c r="C68" s="27" t="inlineStr">
        <is>
          <t>C · calculated</t>
        </is>
      </c>
      <c r="D68" s="18" t="inlineStr">
        <is>
          <t>0–10, 1 decimal.</t>
        </is>
      </c>
    </row>
    <row r="69">
      <c r="A69" s="26" t="inlineStr">
        <is>
          <t>scaled Hospitalization</t>
        </is>
      </c>
      <c r="B69" s="50">
        <f>ROUND(((B56-B62)/IF(B63&gt;B62,B63-B62,1))*10,1)</f>
        <v/>
      </c>
      <c r="C69" s="27" t="inlineStr">
        <is>
          <t>C · calculated</t>
        </is>
      </c>
      <c r="D69" s="18" t="inlineStr">
        <is>
          <t>0–10, 1 decimal.</t>
        </is>
      </c>
    </row>
    <row r="70">
      <c r="A70" s="26" t="inlineStr">
        <is>
          <t>scaled General Savings</t>
        </is>
      </c>
      <c r="B70" s="50">
        <f>ROUND(((B57-B62)/IF(B63&gt;B62,B63-B62,1))*10,1)</f>
        <v/>
      </c>
      <c r="C70" s="27" t="inlineStr">
        <is>
          <t>C · calculated</t>
        </is>
      </c>
      <c r="D70" s="18" t="inlineStr">
        <is>
          <t>0–10, 1 decimal.</t>
        </is>
      </c>
    </row>
    <row r="71">
      <c r="A71" s="26" t="inlineStr">
        <is>
          <t>scaled Personal Accident</t>
        </is>
      </c>
      <c r="B71" s="50">
        <f>ROUND(((B58-B62)/IF(B63&gt;B62,B63-B62,1))*10,1)</f>
        <v/>
      </c>
      <c r="C71" s="27" t="inlineStr">
        <is>
          <t>C · calculated</t>
        </is>
      </c>
      <c r="D71" s="18" t="inlineStr">
        <is>
          <t>0–10, 1 decimal.</t>
        </is>
      </c>
    </row>
    <row r="72">
      <c r="A72" s="26" t="inlineStr">
        <is>
          <t>scaled Car Protection</t>
        </is>
      </c>
      <c r="B72" s="50">
        <f>ROUND(((B59-B62)/IF(B63&gt;B62,B63-B62,1))*10,1)</f>
        <v/>
      </c>
      <c r="C72" s="27" t="inlineStr">
        <is>
          <t>C · calculated</t>
        </is>
      </c>
      <c r="D72" s="18" t="inlineStr">
        <is>
          <t>0–10, 1 decimal.</t>
        </is>
      </c>
    </row>
    <row r="73">
      <c r="A73" s="26" t="inlineStr">
        <is>
          <t>scaled Home Protection</t>
        </is>
      </c>
      <c r="B73" s="50">
        <f>ROUND(((B60-B62)/IF(B63&gt;B62,B63-B62,1))*10,1)</f>
        <v/>
      </c>
      <c r="C73" s="27" t="inlineStr">
        <is>
          <t>C · calculated</t>
        </is>
      </c>
      <c r="D73" s="18" t="inlineStr">
        <is>
          <t>0–10, 1 decimal.</t>
        </is>
      </c>
    </row>
    <row r="74">
      <c r="A74" s="26" t="inlineStr">
        <is>
          <t>scaled Travel Protection</t>
        </is>
      </c>
      <c r="B74" s="50">
        <f>ROUND(((B61-B62)/IF(B63&gt;B62,B63-B62,1))*10,1)</f>
        <v/>
      </c>
      <c r="C74" s="27" t="inlineStr">
        <is>
          <t>C · calculated</t>
        </is>
      </c>
      <c r="D74" s="18" t="inlineStr">
        <is>
          <t>0–10, 1 decimal.</t>
        </is>
      </c>
    </row>
    <row r="76">
      <c r="A76" s="26" t="inlineStr">
        <is>
          <t>tb N_INC</t>
        </is>
      </c>
      <c r="B76" s="51">
        <f>B64+0.005</f>
        <v/>
      </c>
      <c r="C76" s="27" t="inlineStr">
        <is>
          <t>C · calculated</t>
        </is>
      </c>
      <c r="D76" s="18" t="inlineStr">
        <is>
          <t>Tie-break bonus. Life Protection first in label order.</t>
        </is>
      </c>
    </row>
    <row r="77">
      <c r="A77" s="26" t="inlineStr">
        <is>
          <t>tb N_CRI</t>
        </is>
      </c>
      <c r="B77" s="51">
        <f>B65+0.004</f>
        <v/>
      </c>
      <c r="C77" s="27" t="inlineStr">
        <is>
          <t>C · calculated</t>
        </is>
      </c>
      <c r="D77" s="18" t="inlineStr">
        <is>
          <t>Tie-break bonus. Critical Illness second.</t>
        </is>
      </c>
    </row>
    <row r="78">
      <c r="A78" s="26" t="inlineStr">
        <is>
          <t>tb N_TPD</t>
        </is>
      </c>
      <c r="B78" s="51">
        <f>B66+0.003</f>
        <v/>
      </c>
      <c r="C78" s="27" t="inlineStr">
        <is>
          <t>C · calculated</t>
        </is>
      </c>
      <c r="D78" s="18" t="inlineStr">
        <is>
          <t>Tie-break bonus. TPD third.</t>
        </is>
      </c>
    </row>
    <row r="79">
      <c r="A79" s="26" t="inlineStr">
        <is>
          <t>tb N_HOS</t>
        </is>
      </c>
      <c r="B79" s="51">
        <f>B69+0.002</f>
        <v/>
      </c>
      <c r="C79" s="27" t="inlineStr">
        <is>
          <t>C · calculated</t>
        </is>
      </c>
      <c r="D79" s="18" t="inlineStr">
        <is>
          <t>Tie-break bonus. Hospitalization fourth.</t>
        </is>
      </c>
    </row>
    <row r="80">
      <c r="A80" s="26" t="inlineStr">
        <is>
          <t>tb N_PAC</t>
        </is>
      </c>
      <c r="B80" s="51">
        <f>B71+0.001</f>
        <v/>
      </c>
      <c r="C80" s="27" t="inlineStr">
        <is>
          <t>C · calculated</t>
        </is>
      </c>
      <c r="D80" s="18" t="inlineStr">
        <is>
          <t>Tie-break bonus. Personal Accident last (V0-16).</t>
        </is>
      </c>
    </row>
    <row r="81">
      <c r="A81" s="26" t="inlineStr">
        <is>
          <t>prot1</t>
        </is>
      </c>
      <c r="B81" s="27">
        <f>IF(B76=MAX(B76,B77,B78,B79,B80),"N_INC",IF(B77=MAX(B76,B77,B78,B79,B80),"N_CRI",IF(B78=MAX(B76,B77,B78,B79,B80),"N_TPD",IF(B79=MAX(B76,B77,B78,B79,B80),"N_HOS","N_PAC"))))</f>
        <v/>
      </c>
      <c r="C81" s="27" t="inlineStr">
        <is>
          <t>C · calculated</t>
        </is>
      </c>
      <c r="D81" s="18" t="inlineStr">
        <is>
          <t>Highest protection score after the order bonus.</t>
        </is>
      </c>
    </row>
    <row r="82">
      <c r="A82" s="26" t="inlineStr">
        <is>
          <t>tb2 N_INC</t>
        </is>
      </c>
      <c r="B82" s="51">
        <f>IF(B81="N_INC",-1,B64+0.005)</f>
        <v/>
      </c>
      <c r="C82" s="27" t="inlineStr">
        <is>
          <t>C · calculated</t>
        </is>
      </c>
      <c r="D82" s="18" t="inlineStr">
        <is>
          <t>Winner of prot1 is excluded.</t>
        </is>
      </c>
    </row>
    <row r="83">
      <c r="A83" s="26" t="inlineStr">
        <is>
          <t>tb2 N_CRI</t>
        </is>
      </c>
      <c r="B83" s="51">
        <f>IF(B81="N_CRI",-1,B65+0.004)</f>
        <v/>
      </c>
      <c r="C83" s="27" t="inlineStr">
        <is>
          <t>C · calculated</t>
        </is>
      </c>
      <c r="D83" s="18" t="inlineStr">
        <is>
          <t>Winner of prot1 is excluded.</t>
        </is>
      </c>
    </row>
    <row r="84">
      <c r="A84" s="26" t="inlineStr">
        <is>
          <t>tb2 N_TPD</t>
        </is>
      </c>
      <c r="B84" s="51">
        <f>IF(B81="N_TPD",-1,B66+0.003)</f>
        <v/>
      </c>
      <c r="C84" s="27" t="inlineStr">
        <is>
          <t>C · calculated</t>
        </is>
      </c>
      <c r="D84" s="18" t="inlineStr">
        <is>
          <t>Winner of prot1 is excluded.</t>
        </is>
      </c>
    </row>
    <row r="85">
      <c r="A85" s="26" t="inlineStr">
        <is>
          <t>tb2 N_HOS</t>
        </is>
      </c>
      <c r="B85" s="51">
        <f>IF(B81="N_HOS",-1,B69+0.002)</f>
        <v/>
      </c>
      <c r="C85" s="27" t="inlineStr">
        <is>
          <t>C · calculated</t>
        </is>
      </c>
      <c r="D85" s="18" t="inlineStr">
        <is>
          <t>Winner of prot1 is excluded.</t>
        </is>
      </c>
    </row>
    <row r="86">
      <c r="A86" s="26" t="inlineStr">
        <is>
          <t>tb2 N_PAC</t>
        </is>
      </c>
      <c r="B86" s="51">
        <f>IF(B81="N_PAC",-1,B71+0.001)</f>
        <v/>
      </c>
      <c r="C86" s="27" t="inlineStr">
        <is>
          <t>C · calculated</t>
        </is>
      </c>
      <c r="D86" s="18" t="inlineStr">
        <is>
          <t>Winner of prot1 is excluded.</t>
        </is>
      </c>
    </row>
    <row r="87">
      <c r="A87" s="26" t="inlineStr">
        <is>
          <t>prot2</t>
        </is>
      </c>
      <c r="B87" s="27">
        <f>IF(B82=MAX(B82,B83,B84,B85,B86),"N_INC",IF(B83=MAX(B82,B83,B84,B85,B86),"N_CRI",IF(B84=MAX(B82,B83,B84,B85,B86),"N_TPD",IF(B85=MAX(B82,B83,B84,B85,B86),"N_HOS","N_PAC"))))</f>
        <v/>
      </c>
      <c r="C87" s="27" t="inlineStr">
        <is>
          <t>C · calculated</t>
        </is>
      </c>
      <c r="D87" s="18" t="inlineStr">
        <is>
          <t>Second protection.</t>
        </is>
      </c>
    </row>
    <row r="88">
      <c r="A88" s="26" t="inlineStr">
        <is>
          <t>tb N_EDU</t>
        </is>
      </c>
      <c r="B88" s="51">
        <f>B68+0.002</f>
        <v/>
      </c>
      <c r="C88" s="27" t="inlineStr">
        <is>
          <t>C · calculated</t>
        </is>
      </c>
      <c r="D88" s="18" t="inlineStr">
        <is>
          <t>Education first on a tie.</t>
        </is>
      </c>
    </row>
    <row r="89">
      <c r="A89" s="26" t="inlineStr">
        <is>
          <t>tb N_SAV</t>
        </is>
      </c>
      <c r="B89" s="51">
        <f>B70+0.001</f>
        <v/>
      </c>
      <c r="C89" s="27" t="inlineStr">
        <is>
          <t>C · calculated</t>
        </is>
      </c>
      <c r="D89" s="18" t="inlineStr">
        <is>
          <t>General Savings second.</t>
        </is>
      </c>
    </row>
    <row r="90">
      <c r="A90" s="26" t="inlineStr">
        <is>
          <t>grow2</t>
        </is>
      </c>
      <c r="B90" s="27">
        <f>IF(B88&gt;=B89,"N_EDU","N_SAV")</f>
        <v/>
      </c>
      <c r="C90" s="27" t="inlineStr">
        <is>
          <t>C · calculated</t>
        </is>
      </c>
      <c r="D90" s="18" t="inlineStr">
        <is>
          <t>Second growth after forced N_RET. V0-16: N_EDU vs N_SAV only; no home-ownership swap; N_PRP never auto-picked.</t>
        </is>
      </c>
    </row>
    <row r="92">
      <c r="A92" s="16" t="inlineStr">
        <is>
          <t>C · RESULTS  —  nine calculator needs, then three parked coverage needs (scored, no calculator)</t>
        </is>
      </c>
      <c r="B92" s="16" t="n"/>
      <c r="C92" s="16" t="n"/>
      <c r="D92" s="16" t="n"/>
    </row>
    <row r="93">
      <c r="A93" s="3" t="inlineStr">
        <is>
          <t>type</t>
        </is>
      </c>
      <c r="B93" s="16" t="inlineStr">
        <is>
          <t>calc on</t>
        </is>
      </c>
      <c r="C93" s="21" t="inlineStr">
        <is>
          <t>Enable?</t>
        </is>
      </c>
      <c r="D93" s="16" t="inlineStr">
        <is>
          <t>on (effective)</t>
        </is>
      </c>
      <c r="E93" s="16" t="inlineStr">
        <is>
          <t>priority</t>
        </is>
      </c>
      <c r="F93" s="16" t="inlineStr">
        <is>
          <t>scaled score</t>
        </is>
      </c>
    </row>
    <row r="94">
      <c r="A94" s="16" t="inlineStr">
        <is>
          <t>N_INC</t>
        </is>
      </c>
      <c r="B94" s="27">
        <f>OR($B$81="N_INC",$B$87="N_INC")</f>
        <v/>
      </c>
      <c r="C94" s="42" t="inlineStr"/>
      <c r="D94" s="27">
        <f>IF(C94="",B94,C94)</f>
        <v/>
      </c>
      <c r="E94" s="27">
        <f>IF(B64&gt;7,5,3)</f>
        <v/>
      </c>
      <c r="F94" s="50">
        <f>B64</f>
        <v/>
      </c>
    </row>
    <row r="95">
      <c r="A95" s="16" t="inlineStr">
        <is>
          <t>N_CRI</t>
        </is>
      </c>
      <c r="B95" s="27">
        <f>OR($B$81="N_CRI",$B$87="N_CRI")</f>
        <v/>
      </c>
      <c r="C95" s="42" t="inlineStr"/>
      <c r="D95" s="27">
        <f>IF(C95="",B95,C95)</f>
        <v/>
      </c>
      <c r="E95" s="27">
        <f>IF(B65&gt;7,5,3)</f>
        <v/>
      </c>
      <c r="F95" s="50">
        <f>B65</f>
        <v/>
      </c>
    </row>
    <row r="96">
      <c r="A96" s="16" t="inlineStr">
        <is>
          <t>N_TPD</t>
        </is>
      </c>
      <c r="B96" s="27">
        <f>OR($B$81="N_TPD",$B$87="N_TPD")</f>
        <v/>
      </c>
      <c r="C96" s="42" t="inlineStr"/>
      <c r="D96" s="27">
        <f>IF(C96="",B96,C96)</f>
        <v/>
      </c>
      <c r="E96" s="27">
        <f>IF(B66&gt;7,5,3)</f>
        <v/>
      </c>
      <c r="F96" s="50">
        <f>B66</f>
        <v/>
      </c>
    </row>
    <row r="97">
      <c r="A97" s="16" t="inlineStr">
        <is>
          <t>N_HOS</t>
        </is>
      </c>
      <c r="B97" s="27">
        <f>OR($B$81="N_HOS",$B$87="N_HOS")</f>
        <v/>
      </c>
      <c r="C97" s="42" t="inlineStr"/>
      <c r="D97" s="27">
        <f>IF(C97="",B97,C97)</f>
        <v/>
      </c>
      <c r="E97" s="27">
        <f>IF(B69&gt;7,5,3)</f>
        <v/>
      </c>
      <c r="F97" s="50">
        <f>B69</f>
        <v/>
      </c>
    </row>
    <row r="98">
      <c r="A98" s="16" t="inlineStr">
        <is>
          <t>N_PAC</t>
        </is>
      </c>
      <c r="B98" s="27">
        <f>OR($B$81="N_PAC",$B$87="N_PAC")</f>
        <v/>
      </c>
      <c r="C98" s="42" t="inlineStr"/>
      <c r="D98" s="27">
        <f>IF(C98="",B98,C98)</f>
        <v/>
      </c>
      <c r="E98" s="27">
        <f>IF(B71&gt;7,5,3)</f>
        <v/>
      </c>
      <c r="F98" s="50">
        <f>B71</f>
        <v/>
      </c>
    </row>
    <row r="99">
      <c r="A99" s="16" t="inlineStr">
        <is>
          <t>N_RET</t>
        </is>
      </c>
      <c r="B99" s="27">
        <f>TRUE()</f>
        <v/>
      </c>
      <c r="C99" s="42" t="inlineStr"/>
      <c r="D99" s="27">
        <f>IF(C99="",B99,C99)</f>
        <v/>
      </c>
      <c r="E99" s="27">
        <f>IF(B67&gt;7,5,3)</f>
        <v/>
      </c>
      <c r="F99" s="50">
        <f>B67</f>
        <v/>
      </c>
    </row>
    <row r="100">
      <c r="A100" s="16" t="inlineStr">
        <is>
          <t>N_EDU</t>
        </is>
      </c>
      <c r="B100" s="27">
        <f>$B$90="N_EDU"</f>
        <v/>
      </c>
      <c r="C100" s="42" t="inlineStr"/>
      <c r="D100" s="27">
        <f>IF(C100="",B100,C100)</f>
        <v/>
      </c>
      <c r="E100" s="27">
        <f>IF(B68&gt;7,5,3)</f>
        <v/>
      </c>
      <c r="F100" s="50">
        <f>B68</f>
        <v/>
      </c>
    </row>
    <row r="101">
      <c r="A101" s="16" t="inlineStr">
        <is>
          <t>N_SAV</t>
        </is>
      </c>
      <c r="B101" s="27">
        <f>$B$90="N_SAV"</f>
        <v/>
      </c>
      <c r="C101" s="42" t="inlineStr"/>
      <c r="D101" s="27">
        <f>IF(C101="",B101,C101)</f>
        <v/>
      </c>
      <c r="E101" s="27">
        <f>IF(B70&gt;7,5,3)</f>
        <v/>
      </c>
      <c r="F101" s="50">
        <f>B70</f>
        <v/>
      </c>
    </row>
    <row r="102">
      <c r="A102" s="16" t="inlineStr">
        <is>
          <t>N_PRP</t>
        </is>
      </c>
      <c r="B102" s="27">
        <f>FALSE()</f>
        <v/>
      </c>
      <c r="C102" s="42" t="inlineStr"/>
      <c r="D102" s="27">
        <f>IF(C102="",B102,C102)</f>
        <v/>
      </c>
      <c r="E102" s="27" t="n">
        <v>3</v>
      </c>
      <c r="F102" s="50" t="inlineStr">
        <is>
          <t>no label</t>
        </is>
      </c>
    </row>
    <row r="103">
      <c r="A103" s="19" t="inlineStr">
        <is>
          <t>N_HOM</t>
        </is>
      </c>
      <c r="B103" s="52" t="inlineStr">
        <is>
          <t>parked</t>
        </is>
      </c>
      <c r="C103" s="52" t="inlineStr"/>
      <c r="D103" s="52" t="inlineStr">
        <is>
          <t>coverage need</t>
        </is>
      </c>
      <c r="E103" s="27">
        <f>IF(B73&gt;7,5,3)</f>
        <v/>
      </c>
      <c r="F103" s="50">
        <f>B73</f>
        <v/>
      </c>
    </row>
    <row r="104">
      <c r="A104" s="19" t="inlineStr">
        <is>
          <t>N_CAR</t>
        </is>
      </c>
      <c r="B104" s="52" t="inlineStr">
        <is>
          <t>parked</t>
        </is>
      </c>
      <c r="C104" s="52" t="inlineStr"/>
      <c r="D104" s="52" t="inlineStr">
        <is>
          <t>coverage need</t>
        </is>
      </c>
      <c r="E104" s="27">
        <f>IF(B72&gt;7,5,3)</f>
        <v/>
      </c>
      <c r="F104" s="50">
        <f>B72</f>
        <v/>
      </c>
    </row>
    <row r="105">
      <c r="A105" s="19" t="inlineStr">
        <is>
          <t>N_TRV</t>
        </is>
      </c>
      <c r="B105" s="52" t="inlineStr">
        <is>
          <t>parked</t>
        </is>
      </c>
      <c r="C105" s="52" t="inlineStr"/>
      <c r="D105" s="52" t="inlineStr">
        <is>
          <t>coverage need</t>
        </is>
      </c>
      <c r="E105" s="27">
        <f>IF(B74&gt;7,5,3)</f>
        <v/>
      </c>
      <c r="F105" s="50">
        <f>B74</f>
        <v/>
      </c>
    </row>
    <row r="106">
      <c r="A106" s="2" t="inlineStr">
        <is>
          <t>N_PRP (home purchase) is never switched on by the profiler: there is no home-purchase label. Enable? = TRUE switches it on.</t>
        </is>
      </c>
    </row>
  </sheetData>
  <mergeCells count="7">
    <mergeCell ref="A1:D1"/>
    <mergeCell ref="A22:D22"/>
    <mergeCell ref="A50:D50"/>
    <mergeCell ref="A4:D4"/>
    <mergeCell ref="A92:D92"/>
    <mergeCell ref="A29:D29"/>
    <mergeCell ref="A14:D14"/>
  </mergeCells>
  <dataValidations count="1">
    <dataValidation sqref="C94:C102"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C45C26"/>
    <outlinePr summaryBelow="1" summaryRight="1"/>
    <pageSetUpPr/>
  </sheetPr>
  <dimension ref="A1:J89"/>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 width="16" customWidth="1" min="8" max="8"/>
    <col width="16" customWidth="1" min="9" max="9"/>
    <col width="16" customWidth="1" min="10" max="10"/>
  </cols>
  <sheetData>
    <row r="1" ht="28" customHeight="1">
      <c r="A1" s="1" t="inlineStr">
        <is>
          <t>Need Calculator — selected persona. Runs in USD (S-block), results back in user currency. Orange cells are goal-card sliders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Personas, People Like You, and Need Profiler</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t>
        </is>
      </c>
      <c r="F5" s="19" t="inlineStr">
        <is>
          <t>D · ASSUMPTIONS / SHARED DATA</t>
        </is>
      </c>
    </row>
    <row r="6">
      <c r="A6" s="17" t="inlineStr">
        <is>
          <t>incomeMonthly (from PLU)</t>
        </is>
      </c>
      <c r="B6" s="37">
        <f>PLU_incomeMonthly</f>
        <v/>
      </c>
      <c r="C6" s="13" t="inlineStr">
        <is>
          <t>A · input</t>
        </is>
      </c>
      <c r="D6" s="18" t="inlineStr">
        <is>
          <t>Clamped gross monthly.</t>
        </is>
      </c>
      <c r="F6" s="21" t="inlineStr">
        <is>
          <t>E · USER / FRONTEND OVERRIDE</t>
        </is>
      </c>
    </row>
    <row r="7">
      <c r="A7" s="17" t="inlineStr">
        <is>
          <t>expenseMonthly (from PLU)</t>
        </is>
      </c>
      <c r="B7" s="37">
        <f>PLU_expenseMonthly</f>
        <v/>
      </c>
      <c r="C7" s="13" t="inlineStr">
        <is>
          <t>A · input</t>
        </is>
      </c>
      <c r="D7" s="18" t="inlineStr">
        <is>
          <t>Annual spend = this × 12.</t>
        </is>
      </c>
    </row>
    <row r="8">
      <c r="A8" s="17" t="inlineStr">
        <is>
          <t>mortgage (from PLU)</t>
        </is>
      </c>
      <c r="B8" s="47">
        <f>PLU_mortgage</f>
        <v/>
      </c>
      <c r="C8" s="13" t="inlineStr">
        <is>
          <t>A · input</t>
        </is>
      </c>
      <c r="D8" s="18" t="inlineStr">
        <is>
          <t>Added to N_INC amount.</t>
        </is>
      </c>
    </row>
    <row r="9">
      <c r="A9" s="17" t="inlineStr">
        <is>
          <t>life sum (from PLU)</t>
        </is>
      </c>
      <c r="B9" s="47">
        <f>PLU_lifeSum</f>
        <v/>
      </c>
      <c r="C9" s="13" t="inlineStr">
        <is>
          <t>A · input</t>
        </is>
      </c>
      <c r="D9" s="18" t="inlineStr">
        <is>
          <t>N_INC have.</t>
        </is>
      </c>
    </row>
    <row r="10">
      <c r="A10" s="17" t="inlineStr">
        <is>
          <t>investments (from PLU)</t>
        </is>
      </c>
      <c r="B10" s="47">
        <f>PLU_investments</f>
        <v/>
      </c>
      <c r="C10" s="13" t="inlineStr">
        <is>
          <t>A · input</t>
        </is>
      </c>
      <c r="D10" s="18" t="inlineStr">
        <is>
          <t>Tagged wealth pot only. Cash is never allocated.</t>
        </is>
      </c>
    </row>
    <row r="11">
      <c r="A11" s="17" t="inlineStr">
        <is>
          <t>lifeExpectancy used (from PLU)</t>
        </is>
      </c>
      <c r="B11" s="20">
        <f>PLU_leUsed</f>
        <v/>
      </c>
      <c r="C11" s="13" t="inlineStr">
        <is>
          <t>A · input</t>
        </is>
      </c>
      <c r="D11" s="18" t="inlineStr">
        <is>
          <t>yearsInRet = max(0, LE − retAge).</t>
        </is>
      </c>
    </row>
    <row r="13">
      <c r="A13" s="21" t="inlineStr">
        <is>
          <t>O · GOAL-CARD SLIDERS / OVERRIDES  —  orange. Blank years keep the age rule</t>
        </is>
      </c>
      <c r="B13" s="21" t="n"/>
      <c r="C13" s="21" t="n"/>
      <c r="D13" s="21" t="n"/>
    </row>
    <row r="14">
      <c r="A14" s="41" t="inlineStr">
        <is>
          <t>lifestyle (1/2/3)</t>
        </is>
      </c>
      <c r="B14" s="53" t="n">
        <v>2</v>
      </c>
      <c r="C14" s="42" t="inlineStr">
        <is>
          <t>E · user / frontend override</t>
        </is>
      </c>
      <c r="D14" s="18" t="inlineStr">
        <is>
          <t>1=frugal, 2=stress-free, 3=only the best. Default 2.</t>
        </is>
      </c>
    </row>
    <row r="15">
      <c r="A15" s="41" t="inlineStr">
        <is>
          <t>retAge</t>
        </is>
      </c>
      <c r="B15" s="53">
        <f>ageOfRetirement</f>
        <v/>
      </c>
      <c r="C15" s="42" t="inlineStr">
        <is>
          <t>E · user / frontend override</t>
        </is>
      </c>
      <c r="D15" s="18" t="inlineStr">
        <is>
          <t>Default from Assumptions (65).</t>
        </is>
      </c>
    </row>
    <row r="16">
      <c r="A16" s="41" t="inlineStr">
        <is>
          <t>targetYear</t>
        </is>
      </c>
      <c r="B16" s="53">
        <f>currentYear+EDU_YEARS_DEFAULT</f>
        <v/>
      </c>
      <c r="C16" s="42" t="inlineStr">
        <is>
          <t>E · user / frontend override</t>
        </is>
      </c>
      <c r="D16" s="18" t="inlineStr">
        <is>
          <t>Education horizon year.</t>
        </is>
      </c>
    </row>
    <row r="17">
      <c r="A17" s="41" t="inlineStr">
        <is>
          <t>bequest</t>
        </is>
      </c>
      <c r="B17" s="32" t="n">
        <v>0</v>
      </c>
      <c r="C17" s="42" t="inlineStr">
        <is>
          <t>E · user / frontend override</t>
        </is>
      </c>
      <c r="D17" s="18" t="inlineStr">
        <is>
          <t>Added to N_INC amount.</t>
        </is>
      </c>
    </row>
    <row r="18">
      <c r="A18" s="41" t="inlineStr">
        <is>
          <t>dependYears (blank = age rule)</t>
        </is>
      </c>
      <c r="B18" s="42" t="inlineStr"/>
      <c r="C18" s="42" t="inlineStr">
        <is>
          <t>E · user / frontend override</t>
        </is>
      </c>
      <c r="D18" s="18" t="inlineStr">
        <is>
          <t>Blank or ≤0 → supportYears.</t>
        </is>
      </c>
    </row>
    <row r="19">
      <c r="A19" s="41" t="inlineStr">
        <is>
          <t>incomeReplace (blank = income)</t>
        </is>
      </c>
      <c r="B19" s="32" t="inlineStr"/>
      <c r="C19" s="42" t="inlineStr">
        <is>
          <t>E · user / frontend override</t>
        </is>
      </c>
      <c r="D19" s="18" t="inlineStr">
        <is>
          <t>Blank → incomeMonthly for CI / TPD.</t>
        </is>
      </c>
    </row>
    <row r="20">
      <c r="A20" s="41" t="inlineStr">
        <is>
          <t>N_SAV stored</t>
        </is>
      </c>
      <c r="B20" s="32" t="n">
        <v>0</v>
      </c>
      <c r="C20" s="42" t="inlineStr">
        <is>
          <t>E · user / frontend override</t>
        </is>
      </c>
      <c r="D20" s="18" t="inlineStr">
        <is>
          <t>If &gt; 0, this is N_SAV amount; else 1× annual income.</t>
        </is>
      </c>
    </row>
    <row r="21">
      <c r="A21" s="41" t="inlineStr">
        <is>
          <t>N_PRP stored</t>
        </is>
      </c>
      <c r="B21" s="32" t="n">
        <v>0</v>
      </c>
      <c r="C21" s="42" t="inlineStr">
        <is>
          <t>E · user / frontend override</t>
        </is>
      </c>
      <c r="D21" s="18" t="inlineStr">
        <is>
          <t>If &gt; 0, this is N_PRP amount; else 5× annual income.</t>
        </is>
      </c>
    </row>
    <row r="22">
      <c r="A22" s="41" t="inlineStr">
        <is>
          <t>tag N_RET</t>
        </is>
      </c>
      <c r="B22" s="32" t="n">
        <v>0</v>
      </c>
      <c r="C22" s="42" t="inlineStr">
        <is>
          <t>E · user / frontend override</t>
        </is>
      </c>
      <c r="D22" s="18" t="inlineStr">
        <is>
          <t>Investments tagged to retirement, then grown at realReturn.</t>
        </is>
      </c>
    </row>
    <row r="23">
      <c r="A23" s="41" t="inlineStr">
        <is>
          <t>tag N_EDU</t>
        </is>
      </c>
      <c r="B23" s="32" t="n">
        <v>0</v>
      </c>
      <c r="C23" s="42" t="inlineStr">
        <is>
          <t>E · user / frontend override</t>
        </is>
      </c>
      <c r="D23" s="18" t="inlineStr">
        <is>
          <t>apply_investment_pot walk order: RET, EDU, SAV, PRP.</t>
        </is>
      </c>
    </row>
    <row r="24">
      <c r="A24" s="41" t="inlineStr">
        <is>
          <t>tag N_SAV</t>
        </is>
      </c>
      <c r="B24" s="32" t="n">
        <v>0</v>
      </c>
      <c r="C24" s="42" t="inlineStr">
        <is>
          <t>E · user / frontend override</t>
        </is>
      </c>
      <c r="D24" s="18" t="inlineStr">
        <is>
          <t>Takes from remaining investments after RET and EDU.</t>
        </is>
      </c>
    </row>
    <row r="25">
      <c r="A25" s="41" t="inlineStr">
        <is>
          <t>tag N_PRP</t>
        </is>
      </c>
      <c r="B25" s="32" t="n">
        <v>0</v>
      </c>
      <c r="C25" s="42" t="inlineStr">
        <is>
          <t>E · user / frontend override</t>
        </is>
      </c>
      <c r="D25" s="18" t="inlineStr">
        <is>
          <t>Last in the walk.</t>
        </is>
      </c>
    </row>
    <row r="27">
      <c r="A27" s="15" t="inlineStr">
        <is>
          <t>S · SYSTEM CURRENCY (USD)  —  user-currency inputs × USD per 1. The calculator below runs on these</t>
        </is>
      </c>
      <c r="B27" s="15" t="n"/>
      <c r="C27" s="15" t="n"/>
      <c r="D27" s="15" t="n"/>
    </row>
    <row r="28">
      <c r="A28" s="38" t="inlineStr">
        <is>
          <t>USD per 1 user-currency unit</t>
        </is>
      </c>
      <c r="B28" s="48">
        <f>FX_usdPerLocal</f>
        <v/>
      </c>
      <c r="C28" s="36" t="inlineStr">
        <is>
          <t>D · assumption / shared</t>
        </is>
      </c>
      <c r="D28" s="18" t="inlineStr">
        <is>
          <t>FX tab. #N/A if the currency is unknown.</t>
        </is>
      </c>
    </row>
    <row r="29">
      <c r="A29" s="38" t="inlineStr">
        <is>
          <t>price level (option B)</t>
        </is>
      </c>
      <c r="B29" s="54">
        <f>FX_priceLevel</f>
        <v/>
      </c>
      <c r="C29" s="36" t="inlineStr">
        <is>
          <t>D · assumption / shared</t>
        </is>
      </c>
      <c r="D29" s="18" t="inlineStr">
        <is>
          <t>1 under option A. Scales the USD fixed amounts.</t>
        </is>
      </c>
    </row>
    <row r="30">
      <c r="A30" s="26" t="inlineStr">
        <is>
          <t>incomeMonthly USD</t>
        </is>
      </c>
      <c r="B30" s="28">
        <f>PLU_incomeMonthly*B28</f>
        <v/>
      </c>
      <c r="C30" s="27" t="inlineStr">
        <is>
          <t>C · calculated</t>
        </is>
      </c>
      <c r="D30" s="18" t="inlineStr"/>
    </row>
    <row r="31">
      <c r="A31" s="26" t="inlineStr">
        <is>
          <t>expenseMonthly USD</t>
        </is>
      </c>
      <c r="B31" s="28">
        <f>PLU_expenseMonthly*B28</f>
        <v/>
      </c>
      <c r="C31" s="27" t="inlineStr">
        <is>
          <t>C · calculated</t>
        </is>
      </c>
      <c r="D31" s="18" t="inlineStr"/>
    </row>
    <row r="32">
      <c r="A32" s="26" t="inlineStr">
        <is>
          <t>mortgage USD</t>
        </is>
      </c>
      <c r="B32" s="28">
        <f>PLU_mortgage*B28</f>
        <v/>
      </c>
      <c r="C32" s="27" t="inlineStr">
        <is>
          <t>C · calculated</t>
        </is>
      </c>
      <c r="D32" s="18" t="inlineStr"/>
    </row>
    <row r="33">
      <c r="A33" s="26" t="inlineStr">
        <is>
          <t>life sum USD</t>
        </is>
      </c>
      <c r="B33" s="28">
        <f>PLU_lifeSum*B28</f>
        <v/>
      </c>
      <c r="C33" s="27" t="inlineStr">
        <is>
          <t>C · calculated</t>
        </is>
      </c>
      <c r="D33" s="18" t="inlineStr"/>
    </row>
    <row r="34">
      <c r="A34" s="26" t="inlineStr">
        <is>
          <t>investments USD</t>
        </is>
      </c>
      <c r="B34" s="28">
        <f>PLU_investments*B28</f>
        <v/>
      </c>
      <c r="C34" s="27" t="inlineStr">
        <is>
          <t>C · calculated</t>
        </is>
      </c>
      <c r="D34" s="18" t="inlineStr"/>
    </row>
    <row r="35">
      <c r="A35" s="26" t="inlineStr">
        <is>
          <t>bequest USD</t>
        </is>
      </c>
      <c r="B35" s="28">
        <f>B17*B28</f>
        <v/>
      </c>
      <c r="C35" s="27" t="inlineStr">
        <is>
          <t>C · calculated</t>
        </is>
      </c>
      <c r="D35" s="18" t="inlineStr"/>
    </row>
    <row r="36">
      <c r="A36" s="26" t="inlineStr">
        <is>
          <t>N_SAV stored USD</t>
        </is>
      </c>
      <c r="B36" s="28">
        <f>B20*B28</f>
        <v/>
      </c>
      <c r="C36" s="27" t="inlineStr">
        <is>
          <t>C · calculated</t>
        </is>
      </c>
      <c r="D36" s="18" t="inlineStr"/>
    </row>
    <row r="37">
      <c r="A37" s="26" t="inlineStr">
        <is>
          <t>N_PRP stored USD</t>
        </is>
      </c>
      <c r="B37" s="28">
        <f>B21*B28</f>
        <v/>
      </c>
      <c r="C37" s="27" t="inlineStr">
        <is>
          <t>C · calculated</t>
        </is>
      </c>
      <c r="D37" s="18" t="inlineStr"/>
    </row>
    <row r="38">
      <c r="A38" s="26" t="inlineStr">
        <is>
          <t>tag N_RET USD</t>
        </is>
      </c>
      <c r="B38" s="28">
        <f>B22*B28</f>
        <v/>
      </c>
      <c r="C38" s="27" t="inlineStr">
        <is>
          <t>C · calculated</t>
        </is>
      </c>
      <c r="D38" s="18" t="inlineStr"/>
    </row>
    <row r="39">
      <c r="A39" s="26" t="inlineStr">
        <is>
          <t>tag N_EDU USD</t>
        </is>
      </c>
      <c r="B39" s="28">
        <f>B23*B28</f>
        <v/>
      </c>
      <c r="C39" s="27" t="inlineStr">
        <is>
          <t>C · calculated</t>
        </is>
      </c>
      <c r="D39" s="18" t="inlineStr"/>
    </row>
    <row r="40">
      <c r="A40" s="26" t="inlineStr">
        <is>
          <t>tag N_SAV USD</t>
        </is>
      </c>
      <c r="B40" s="28">
        <f>B24*B28</f>
        <v/>
      </c>
      <c r="C40" s="27" t="inlineStr">
        <is>
          <t>C · calculated</t>
        </is>
      </c>
      <c r="D40" s="18" t="inlineStr"/>
    </row>
    <row r="41">
      <c r="A41" s="26" t="inlineStr">
        <is>
          <t>tag N_PRP USD</t>
        </is>
      </c>
      <c r="B41" s="28">
        <f>B25*B28</f>
        <v/>
      </c>
      <c r="C41" s="27" t="inlineStr">
        <is>
          <t>C · calculated</t>
        </is>
      </c>
      <c r="D41" s="18" t="inlineStr"/>
    </row>
    <row r="42">
      <c r="A42" s="26" t="inlineStr">
        <is>
          <t>incomeReplace USD</t>
        </is>
      </c>
      <c r="B42" s="28">
        <f>IF(B19="","",B19*B28)</f>
        <v/>
      </c>
      <c r="C42" s="27" t="inlineStr">
        <is>
          <t>C · calculated</t>
        </is>
      </c>
      <c r="D42" s="18" t="inlineStr">
        <is>
          <t>Blank → income.</t>
        </is>
      </c>
    </row>
    <row r="43">
      <c r="A43" s="26" t="inlineStr">
        <is>
          <t>CRI_COST USD (× price level)</t>
        </is>
      </c>
      <c r="B43" s="29">
        <f>CRI_COST*B29</f>
        <v/>
      </c>
      <c r="C43" s="27" t="inlineStr">
        <is>
          <t>C · calculated</t>
        </is>
      </c>
      <c r="D43" s="18" t="inlineStr">
        <is>
          <t>Fixed amount, USD.</t>
        </is>
      </c>
    </row>
    <row r="44">
      <c r="A44" s="26" t="inlineStr">
        <is>
          <t>TPD_COST USD (× price level)</t>
        </is>
      </c>
      <c r="B44" s="29">
        <f>TPD_COST*B29</f>
        <v/>
      </c>
      <c r="C44" s="27" t="inlineStr">
        <is>
          <t>C · calculated</t>
        </is>
      </c>
      <c r="D44" s="18" t="inlineStr">
        <is>
          <t>Fixed amount, USD.</t>
        </is>
      </c>
    </row>
    <row r="45">
      <c r="A45" s="26" t="inlineStr">
        <is>
          <t>EDU_COST USD (× price level)</t>
        </is>
      </c>
      <c r="B45" s="29">
        <f>EDU_COST*B29</f>
        <v/>
      </c>
      <c r="C45" s="27" t="inlineStr">
        <is>
          <t>C · calculated</t>
        </is>
      </c>
      <c r="D45" s="18" t="inlineStr">
        <is>
          <t>Fixed amount, USD.</t>
        </is>
      </c>
    </row>
    <row r="46">
      <c r="A46" s="26" t="inlineStr">
        <is>
          <t>PAC_COST USD (× price level)</t>
        </is>
      </c>
      <c r="B46" s="29">
        <f>PAC_COST*B29</f>
        <v/>
      </c>
      <c r="C46" s="27" t="inlineStr">
        <is>
          <t>C · calculated</t>
        </is>
      </c>
      <c r="D46" s="18" t="inlineStr">
        <is>
          <t>Fixed amount, USD.</t>
        </is>
      </c>
    </row>
    <row r="48">
      <c r="A48" s="19" t="inlineStr">
        <is>
          <t>D · ASSUMPTIONS / SHARED DATA  —  rates and need parameters</t>
        </is>
      </c>
      <c r="B48" s="19" t="n"/>
      <c r="C48" s="19" t="n"/>
      <c r="D48" s="19" t="n"/>
    </row>
    <row r="49">
      <c r="A49" s="38" t="inlineStr">
        <is>
          <t>inflationRate</t>
        </is>
      </c>
      <c r="B49" s="45">
        <f>inflationRate</f>
        <v/>
      </c>
      <c r="C49" s="36" t="inlineStr">
        <is>
          <t>D · assumption / shared</t>
        </is>
      </c>
      <c r="D49" s="18" t="inlineStr">
        <is>
          <t>Grows EDU cost. N_RET grows at realReturn, not inflation.</t>
        </is>
      </c>
    </row>
    <row r="50">
      <c r="A50" s="38" t="inlineStr">
        <is>
          <t>investmentReturn</t>
        </is>
      </c>
      <c r="B50" s="45">
        <f>investmentReturn</f>
        <v/>
      </c>
      <c r="C50" s="36" t="inlineStr">
        <is>
          <t>D · assumption / shared</t>
        </is>
      </c>
      <c r="D50" s="18" t="inlineStr">
        <is>
          <t>Used to form realReturn.</t>
        </is>
      </c>
    </row>
    <row r="51">
      <c r="A51" s="38" t="inlineStr">
        <is>
          <t>realReturn</t>
        </is>
      </c>
      <c r="B51" s="45">
        <f>realReturn</f>
        <v/>
      </c>
      <c r="C51" s="36" t="inlineStr">
        <is>
          <t>D · assumption / shared</t>
        </is>
      </c>
      <c r="D51" s="18" t="inlineStr">
        <is>
          <t>max(0, (1+i)/(1+π) − 1). Discount rate.</t>
        </is>
      </c>
    </row>
    <row r="52">
      <c r="A52" s="38" t="inlineStr">
        <is>
          <t>RET_LIFESTYLE_FRUGAL</t>
        </is>
      </c>
      <c r="B52" s="40">
        <f>RET_LIFESTYLE_FRUGAL</f>
        <v/>
      </c>
      <c r="C52" s="36" t="inlineStr">
        <is>
          <t>D · assumption / shared</t>
        </is>
      </c>
      <c r="D52" s="18" t="inlineStr">
        <is>
          <t>N_RET spend multiple when lifestyle=1.</t>
        </is>
      </c>
    </row>
    <row r="53">
      <c r="A53" s="38" t="inlineStr">
        <is>
          <t>RET_LIFESTYLE_STRESSFREE</t>
        </is>
      </c>
      <c r="B53" s="40">
        <f>RET_LIFESTYLE_STRESSFREE</f>
        <v/>
      </c>
      <c r="C53" s="36" t="inlineStr">
        <is>
          <t>D · assumption / shared</t>
        </is>
      </c>
      <c r="D53" s="18" t="inlineStr">
        <is>
          <t>Default lifestyle=2.</t>
        </is>
      </c>
    </row>
    <row r="54">
      <c r="A54" s="38" t="inlineStr">
        <is>
          <t>RET_LIFESTYLE_ONLYTHEBEST</t>
        </is>
      </c>
      <c r="B54" s="40">
        <f>RET_LIFESTYLE_ONLYTHEBEST</f>
        <v/>
      </c>
      <c r="C54" s="36" t="inlineStr">
        <is>
          <t>D · assumption / shared</t>
        </is>
      </c>
      <c r="D54" s="18" t="inlineStr">
        <is>
          <t>lifestyle=3.</t>
        </is>
      </c>
    </row>
    <row r="55">
      <c r="A55" s="38" t="inlineStr">
        <is>
          <t>INC_SUPPORT_MIN / Max / Pivot</t>
        </is>
      </c>
      <c r="B55" s="44">
        <f>INC_SUPPORT_MIN</f>
        <v/>
      </c>
      <c r="C55" s="36" t="inlineStr">
        <is>
          <t>D · assumption / shared</t>
        </is>
      </c>
      <c r="D55" s="18" t="inlineStr">
        <is>
          <t>supportYears = min(max(10, 50 − age), 25).</t>
        </is>
      </c>
    </row>
    <row r="56">
      <c r="A56" s="38" t="inlineStr">
        <is>
          <t>CRI_YEARS / CRI_COST</t>
        </is>
      </c>
      <c r="B56" s="44">
        <f>CRI_YEARS</f>
        <v/>
      </c>
      <c r="C56" s="36" t="inlineStr">
        <is>
          <t>D · assumption / shared</t>
        </is>
      </c>
      <c r="D56" s="18" t="inlineStr">
        <is>
          <t>3 years annuity-due + CRI_COST (USD, S-block).</t>
        </is>
      </c>
    </row>
    <row r="57">
      <c r="A57" s="38" t="inlineStr">
        <is>
          <t>TPD_YEARS / TPD_COST</t>
        </is>
      </c>
      <c r="B57" s="44">
        <f>TPD_YEARS</f>
        <v/>
      </c>
      <c r="C57" s="36" t="inlineStr">
        <is>
          <t>D · assumption / shared</t>
        </is>
      </c>
      <c r="D57" s="18" t="inlineStr">
        <is>
          <t>5 years annuity-due + TPD_COST (USD, S-block).</t>
        </is>
      </c>
    </row>
    <row r="58">
      <c r="A58" s="38" t="inlineStr">
        <is>
          <t>PAC_YEARS / PAC_COST</t>
        </is>
      </c>
      <c r="B58" s="44">
        <f>PAC_YEARS</f>
        <v/>
      </c>
      <c r="C58" s="36" t="inlineStr">
        <is>
          <t>D · assumption / shared</t>
        </is>
      </c>
      <c r="D58" s="18" t="inlineStr">
        <is>
          <t>1 year annuity-due + PAC_COST (USD, S-block). Agreed V0-18.</t>
        </is>
      </c>
    </row>
    <row r="59">
      <c r="A59" s="38" t="inlineStr">
        <is>
          <t>HOS_MONTHS</t>
        </is>
      </c>
      <c r="B59" s="44">
        <f>HOS_MONTHS</f>
        <v/>
      </c>
      <c r="C59" s="36" t="inlineStr">
        <is>
          <t>D · assumption / shared</t>
        </is>
      </c>
      <c r="D59" s="18" t="inlineStr">
        <is>
          <t>N_HOS = income × 6.</t>
        </is>
      </c>
    </row>
    <row r="60">
      <c r="A60" s="38" t="inlineStr">
        <is>
          <t>EDU_COST (USD)</t>
        </is>
      </c>
      <c r="B60" s="39">
        <f>EDU_COST</f>
        <v/>
      </c>
      <c r="C60" s="36" t="inlineStr">
        <is>
          <t>D · assumption / shared</t>
        </is>
      </c>
      <c r="D60" s="18" t="inlineStr">
        <is>
          <t>USD course cost, grown at inflation.</t>
        </is>
      </c>
    </row>
    <row r="61">
      <c r="A61" s="38" t="inlineStr">
        <is>
          <t>SAV_INCOME_MULT</t>
        </is>
      </c>
      <c r="B61" s="44">
        <f>SAV_INCOME_MULT</f>
        <v/>
      </c>
      <c r="C61" s="36" t="inlineStr">
        <is>
          <t>D · assumption / shared</t>
        </is>
      </c>
      <c r="D61" s="18" t="inlineStr">
        <is>
          <t>1 × annual income if stored is 0.</t>
        </is>
      </c>
    </row>
    <row r="62">
      <c r="A62" s="38" t="inlineStr">
        <is>
          <t>PRP_INCOME_MULT</t>
        </is>
      </c>
      <c r="B62" s="44">
        <f>PRP_INCOME_MULT</f>
        <v/>
      </c>
      <c r="C62" s="36" t="inlineStr">
        <is>
          <t>D · assumption / shared</t>
        </is>
      </c>
      <c r="D62" s="18" t="inlineStr">
        <is>
          <t>5 × annual income if stored is 0.</t>
        </is>
      </c>
    </row>
    <row r="63">
      <c r="A63" s="38" t="inlineStr">
        <is>
          <t>currentYear / ageOfRetirement</t>
        </is>
      </c>
      <c r="B63" s="44">
        <f>currentYear</f>
        <v/>
      </c>
      <c r="C63" s="36" t="inlineStr">
        <is>
          <t>D · assumption / shared</t>
        </is>
      </c>
      <c r="D63" s="18" t="inlineStr">
        <is>
          <t>2026 / 65 in this workbook.</t>
        </is>
      </c>
    </row>
    <row r="65">
      <c r="A65" s="16" t="inlineStr">
        <is>
          <t>C · DETERMINISTICALLY CALCULATED  —  horizons</t>
        </is>
      </c>
      <c r="B65" s="16" t="n"/>
      <c r="C65" s="16" t="n"/>
      <c r="D65" s="16" t="n"/>
    </row>
    <row r="66">
      <c r="A66" s="26" t="inlineStr">
        <is>
          <t>supportYears</t>
        </is>
      </c>
      <c r="B66" s="46">
        <f>MIN(MAX(INC_SUPPORT_MIN,INC_SUPPORT_PIVOT_AGE-B5),INC_SUPPORT_MAX)</f>
        <v/>
      </c>
      <c r="C66" s="27" t="inlineStr">
        <is>
          <t>C · calculated</t>
        </is>
      </c>
      <c r="D66" s="18" t="inlineStr">
        <is>
          <t>life_support_years(age).</t>
        </is>
      </c>
    </row>
    <row r="67">
      <c r="A67" s="26" t="inlineStr">
        <is>
          <t>yearsToRet</t>
        </is>
      </c>
      <c r="B67" s="46">
        <f>MAX(0,B15-B5)</f>
        <v/>
      </c>
      <c r="C67" s="27" t="inlineStr">
        <is>
          <t>C · calculated</t>
        </is>
      </c>
      <c r="D67" s="18" t="inlineStr">
        <is>
          <t>years_to_retirement.</t>
        </is>
      </c>
    </row>
    <row r="68">
      <c r="A68" s="26" t="inlineStr">
        <is>
          <t>yearsInRet</t>
        </is>
      </c>
      <c r="B68" s="46">
        <f>MAX(0,PLU_leUsed-B15)</f>
        <v/>
      </c>
      <c r="C68" s="27" t="inlineStr">
        <is>
          <t>C · calculated</t>
        </is>
      </c>
      <c r="D68" s="18" t="inlineStr">
        <is>
          <t>years_in_retirement(retAge, session LE).</t>
        </is>
      </c>
    </row>
    <row r="69">
      <c r="A69" s="26" t="inlineStr">
        <is>
          <t>eduYears</t>
        </is>
      </c>
      <c r="B69" s="46">
        <f>MAX(0,B16-currentYear)</f>
        <v/>
      </c>
      <c r="C69" s="27" t="inlineStr">
        <is>
          <t>C · calculated</t>
        </is>
      </c>
      <c r="D69" s="18" t="inlineStr">
        <is>
          <t>max(0, targetYear − thisYear).</t>
        </is>
      </c>
    </row>
    <row r="71">
      <c r="A71" s="16" t="inlineStr">
        <is>
          <t>C · RESULTS  —  amount / have / gap for every UNIFIED type (even when off)</t>
        </is>
      </c>
      <c r="B71" s="16" t="n"/>
      <c r="C71" s="16" t="n"/>
      <c r="D71" s="16" t="n"/>
    </row>
    <row r="72">
      <c r="A72" s="3" t="inlineStr">
        <is>
          <t>type</t>
        </is>
      </c>
      <c r="B72" s="16" t="inlineStr">
        <is>
          <t>needAmount</t>
        </is>
      </c>
      <c r="C72" s="16" t="inlineStr">
        <is>
          <t>have</t>
        </is>
      </c>
      <c r="D72" s="16" t="inlineStr">
        <is>
          <t>gap</t>
        </is>
      </c>
      <c r="E72" s="21" t="inlineStr">
        <is>
          <t>Enable?</t>
        </is>
      </c>
      <c r="F72" s="16" t="inlineStr">
        <is>
          <t>on (effective)</t>
        </is>
      </c>
      <c r="H72" s="15" t="inlineStr">
        <is>
          <t>needAmount USD</t>
        </is>
      </c>
      <c r="I72" s="15" t="inlineStr">
        <is>
          <t>have USD</t>
        </is>
      </c>
      <c r="J72" s="15" t="inlineStr">
        <is>
          <t>gap USD</t>
        </is>
      </c>
    </row>
    <row r="73">
      <c r="A73" s="16" t="inlineStr">
        <is>
          <t>N_INC</t>
        </is>
      </c>
      <c r="B73" s="29">
        <f>ROUND(H73/$B$28,0)</f>
        <v/>
      </c>
      <c r="C73" s="29">
        <f>ROUND(I73/$B$28,0)</f>
        <v/>
      </c>
      <c r="D73" s="29">
        <f>MAX(0,B73-C73)</f>
        <v/>
      </c>
      <c r="E73" s="42" t="inlineStr"/>
      <c r="F73" s="27">
        <f>IF(E73="",NP_on_N_INC,E73)</f>
        <v/>
      </c>
      <c r="G73" s="18" t="inlineStr">
        <is>
          <t>bequest + mortgage + PV of annual spend over dependYears.</t>
        </is>
      </c>
      <c r="H73" s="23">
        <f>MAX(0,B35+B32+IF(OR((IF(OR(B18="",B18&lt;=0),B66,B18))&lt;=0,(B31*12)&lt;=0),0,IF(ABS(realReturn)&lt;1E-12,(B31*12)*(IF(OR(B18="",B18&lt;=0),B66,B18)),(B31*12)*(1-(1+realReturn)^(-(IF(OR(B18="",B18&lt;=0),B66,B18))))/(realReturn))))</f>
        <v/>
      </c>
      <c r="I73" s="23">
        <f>B33</f>
        <v/>
      </c>
      <c r="J73" s="23">
        <f>MAX(0,H73-I73)</f>
        <v/>
      </c>
    </row>
    <row r="74">
      <c r="A74" s="16" t="inlineStr">
        <is>
          <t>N_CRI</t>
        </is>
      </c>
      <c r="B74" s="29">
        <f>ROUND(H74/$B$28,0)</f>
        <v/>
      </c>
      <c r="C74" s="29">
        <f>ROUND(I74/$B$28,0)</f>
        <v/>
      </c>
      <c r="D74" s="29">
        <f>MAX(0,B74-C74)</f>
        <v/>
      </c>
      <c r="E74" s="42" t="inlineStr"/>
      <c r="F74" s="27">
        <f>IF(E74="",NP_on_N_CRI,E74)</f>
        <v/>
      </c>
      <c r="G74" s="18" t="inlineStr">
        <is>
          <t>Annuity-due of replacement income for CRI_YEARS + CRI_COST.</t>
        </is>
      </c>
      <c r="H74" s="23">
        <f>MAX(0,IF(OR((CRI_YEARS)&lt;=0,((IF(B42="",B30,B42))*12)&lt;=0),0,IF(ABS(realReturn)&lt;1E-12,((IF(B42="",B30,B42))*12)*(CRI_YEARS),((IF(B42="",B30,B42))*12)*(1-(1/((1+realReturn)))^(CRI_YEARS))/(1-(1/((1+realReturn))))))+B43)</f>
        <v/>
      </c>
      <c r="I74" s="23">
        <f>0</f>
        <v/>
      </c>
      <c r="J74" s="23">
        <f>MAX(0,H74-I74)</f>
        <v/>
      </c>
    </row>
    <row r="75">
      <c r="A75" s="16" t="inlineStr">
        <is>
          <t>N_TPD</t>
        </is>
      </c>
      <c r="B75" s="29">
        <f>ROUND(H75/$B$28,0)</f>
        <v/>
      </c>
      <c r="C75" s="29">
        <f>ROUND(I75/$B$28,0)</f>
        <v/>
      </c>
      <c r="D75" s="29">
        <f>MAX(0,B75-C75)</f>
        <v/>
      </c>
      <c r="E75" s="42" t="inlineStr"/>
      <c r="F75" s="27">
        <f>IF(E75="",NP_on_N_TPD,E75)</f>
        <v/>
      </c>
      <c r="G75" s="18" t="inlineStr">
        <is>
          <t>Annuity-due of replacement income for TPD_YEARS + TPD_COST.</t>
        </is>
      </c>
      <c r="H75" s="23">
        <f>MAX(0,IF(OR((TPD_YEARS)&lt;=0,((IF(B42="",B30,B42))*12)&lt;=0),0,IF(ABS(realReturn)&lt;1E-12,((IF(B42="",B30,B42))*12)*(TPD_YEARS),((IF(B42="",B30,B42))*12)*(1-(1/((1+realReturn)))^(TPD_YEARS))/(1-(1/((1+realReturn))))))+B44)</f>
        <v/>
      </c>
      <c r="I75" s="23">
        <f>0</f>
        <v/>
      </c>
      <c r="J75" s="23">
        <f>MAX(0,H75-I75)</f>
        <v/>
      </c>
    </row>
    <row r="76">
      <c r="A76" s="16" t="inlineStr">
        <is>
          <t>N_HOS</t>
        </is>
      </c>
      <c r="B76" s="29">
        <f>ROUND(H76/$B$28,0)</f>
        <v/>
      </c>
      <c r="C76" s="29">
        <f>ROUND(I76/$B$28,0)</f>
        <v/>
      </c>
      <c r="D76" s="29">
        <f>MAX(0,B76-C76)</f>
        <v/>
      </c>
      <c r="E76" s="42" t="inlineStr"/>
      <c r="F76" s="27">
        <f>IF(E76="",NP_on_N_HOS,E76)</f>
        <v/>
      </c>
      <c r="G76" s="18" t="inlineStr">
        <is>
          <t>incomeMonthly × HOS_MONTHS.</t>
        </is>
      </c>
      <c r="H76" s="23">
        <f>MAX(0,B30*HOS_MONTHS)</f>
        <v/>
      </c>
      <c r="I76" s="23">
        <f>0</f>
        <v/>
      </c>
      <c r="J76" s="23">
        <f>MAX(0,H76-I76)</f>
        <v/>
      </c>
    </row>
    <row r="77">
      <c r="A77" s="16" t="inlineStr">
        <is>
          <t>N_PAC</t>
        </is>
      </c>
      <c r="B77" s="29">
        <f>ROUND(H77/$B$28,0)</f>
        <v/>
      </c>
      <c r="C77" s="29">
        <f>ROUND(I77/$B$28,0)</f>
        <v/>
      </c>
      <c r="D77" s="29">
        <f>MAX(0,B77-C77)</f>
        <v/>
      </c>
      <c r="E77" s="42" t="inlineStr"/>
      <c r="F77" s="27">
        <f>IF(E77="",NP_on_N_PAC,E77)</f>
        <v/>
      </c>
      <c r="G77" s="18" t="inlineStr">
        <is>
          <t>Annuity-due of replacement income for PAC_YEARS + PAC_COST.</t>
        </is>
      </c>
      <c r="H77" s="23">
        <f>MAX(0,IF(OR((PAC_YEARS)&lt;=0,((IF(B42="",B30,B42))*12)&lt;=0),0,IF(ABS(realReturn)&lt;1E-12,((IF(B42="",B30,B42))*12)*(PAC_YEARS),((IF(B42="",B30,B42))*12)*(1-(1/((1+realReturn)))^(PAC_YEARS))/(1-(1/((1+realReturn))))))+B46)</f>
        <v/>
      </c>
      <c r="I77" s="23">
        <f>0</f>
        <v/>
      </c>
      <c r="J77" s="23">
        <f>MAX(0,H77-I77)</f>
        <v/>
      </c>
    </row>
    <row r="78">
      <c r="A78" s="16" t="inlineStr">
        <is>
          <t>N_RET</t>
        </is>
      </c>
      <c r="B78" s="29">
        <f>ROUND(H78/$B$28,0)</f>
        <v/>
      </c>
      <c r="C78" s="29">
        <f>ROUND(I78/$B$28,0)</f>
        <v/>
      </c>
      <c r="D78" s="29">
        <f>MAX(0,B78-C78)</f>
        <v/>
      </c>
      <c r="E78" s="42" t="inlineStr"/>
      <c r="F78" s="27">
        <f>IF(E78="",NP_on_N_RET,E78)</f>
        <v/>
      </c>
      <c r="G78" s="18" t="inlineStr">
        <is>
          <t>annualSpend × (1+realReturn)^T × a(realReturn, yearsInRet).</t>
        </is>
      </c>
      <c r="H78" s="23">
        <f>MAX(0,IF(OR((B68)&lt;=0,(IF((B67)&lt;=0,MAX(0,B31*12*(IF(B14=1,RET_LIFESTYLE_FRUGAL,IF(B14=3,RET_LIFESTYLE_ONLYTHEBEST,RET_LIFESTYLE_STRESSFREE)))),(B31*12*(IF(B14=1,RET_LIFESTYLE_FRUGAL,IF(B14=3,RET_LIFESTYLE_ONLYTHEBEST,RET_LIFESTYLE_STRESSFREE))))*(1+realReturn)^(B67)))&lt;=0),0,IF(ABS(realReturn)&lt;1E-12,(IF((B67)&lt;=0,MAX(0,B31*12*(IF(B14=1,RET_LIFESTYLE_FRUGAL,IF(B14=3,RET_LIFESTYLE_ONLYTHEBEST,RET_LIFESTYLE_STRESSFREE)))),(B31*12*(IF(B14=1,RET_LIFESTYLE_FRUGAL,IF(B14=3,RET_LIFESTYLE_ONLYTHEBEST,RET_LIFESTYLE_STRESSFREE))))*(1+realReturn)^(B67)))*(B68),(IF((B67)&lt;=0,MAX(0,B31*12*(IF(B14=1,RET_LIFESTYLE_FRUGAL,IF(B14=3,RET_LIFESTYLE_ONLYTHEBEST,RET_LIFESTYLE_STRESSFREE)))),(B31*12*(IF(B14=1,RET_LIFESTYLE_FRUGAL,IF(B14=3,RET_LIFESTYLE_ONLYTHEBEST,RET_LIFESTYLE_STRESSFREE))))*(1+realReturn)^(B67)))*(1-(1+realReturn)^(-(B68)))/(realReturn))))</f>
        <v/>
      </c>
      <c r="I78" s="23">
        <f>IF((B67)&lt;=0,MAX(0,MIN(MAX(0,B38),MAX(0,B34))),(MIN(MAX(0,B38),MAX(0,B34)))*(1+realReturn)^(B67))</f>
        <v/>
      </c>
      <c r="J78" s="23">
        <f>MAX(0,H78-I78)</f>
        <v/>
      </c>
    </row>
    <row r="79">
      <c r="A79" s="16" t="inlineStr">
        <is>
          <t>N_EDU</t>
        </is>
      </c>
      <c r="B79" s="29">
        <f>ROUND(H79/$B$28,0)</f>
        <v/>
      </c>
      <c r="C79" s="29">
        <f>ROUND(I79/$B$28,0)</f>
        <v/>
      </c>
      <c r="D79" s="29">
        <f>MAX(0,B79-C79)</f>
        <v/>
      </c>
      <c r="E79" s="42" t="inlineStr"/>
      <c r="F79" s="27">
        <f>IF(E79="",NP_on_N_EDU,E79)</f>
        <v/>
      </c>
      <c r="G79" s="18" t="inlineStr">
        <is>
          <t>EDU_COST (USD) × (1+inflation)^eduYears.</t>
        </is>
      </c>
      <c r="H79" s="23">
        <f>MAX(0,B45*(1+inflationRate)^B69)</f>
        <v/>
      </c>
      <c r="I79" s="23">
        <f>IF((B69)&lt;=0,MAX(0,MIN(MAX(0,B39),MAX(0,B34-MIN(MAX(0,B38),MAX(0,B34))))),(MIN(MAX(0,B39),MAX(0,B34-MIN(MAX(0,B38),MAX(0,B34)))))*(1+realReturn)^(B69))</f>
        <v/>
      </c>
      <c r="J79" s="23">
        <f>MAX(0,H79-I79)</f>
        <v/>
      </c>
    </row>
    <row r="80">
      <c r="A80" s="16" t="inlineStr">
        <is>
          <t>N_SAV</t>
        </is>
      </c>
      <c r="B80" s="29">
        <f>ROUND(H80/$B$28,0)</f>
        <v/>
      </c>
      <c r="C80" s="29">
        <f>ROUND(I80/$B$28,0)</f>
        <v/>
      </c>
      <c r="D80" s="29">
        <f>MAX(0,B80-C80)</f>
        <v/>
      </c>
      <c r="E80" s="42" t="inlineStr"/>
      <c r="F80" s="27">
        <f>IF(E80="",NP_on_N_SAV,E80)</f>
        <v/>
      </c>
      <c r="G80" s="18" t="inlineStr">
        <is>
          <t>Stored or 1× annual income.</t>
        </is>
      </c>
      <c r="H80" s="23">
        <f>IF(B20&gt;0,B36,B30*12*SAV_INCOME_MULT)</f>
        <v/>
      </c>
      <c r="I80" s="23">
        <f>IF((B69)&lt;=0,MAX(0,MIN(MAX(0,B40),MAX(0,MAX(0,B34-MIN(MAX(0,B38),MAX(0,B34)))-MIN(MAX(0,B39),MAX(0,B34-MIN(MAX(0,B38),MAX(0,B34))))))),(MIN(MAX(0,B40),MAX(0,MAX(0,B34-MIN(MAX(0,B38),MAX(0,B34)))-MIN(MAX(0,B39),MAX(0,B34-MIN(MAX(0,B38),MAX(0,B34)))))))*(1+realReturn)^(B69))</f>
        <v/>
      </c>
      <c r="J80" s="23">
        <f>MAX(0,H80-I80)</f>
        <v/>
      </c>
    </row>
    <row r="81">
      <c r="A81" s="16" t="inlineStr">
        <is>
          <t>N_PRP</t>
        </is>
      </c>
      <c r="B81" s="29">
        <f>ROUND(H81/$B$28,0)</f>
        <v/>
      </c>
      <c r="C81" s="29">
        <f>ROUND(I81/$B$28,0)</f>
        <v/>
      </c>
      <c r="D81" s="29">
        <f>MAX(0,B81-C81)</f>
        <v/>
      </c>
      <c r="E81" s="42" t="inlineStr"/>
      <c r="F81" s="27">
        <f>IF(E81="",NP_on_N_PRP,E81)</f>
        <v/>
      </c>
      <c r="G81" s="18" t="inlineStr">
        <is>
          <t>Stored or 5× annual income.</t>
        </is>
      </c>
      <c r="H81" s="23">
        <f>IF(B21&gt;0,B37,B30*12*PRP_INCOME_MULT)</f>
        <v/>
      </c>
      <c r="I81" s="23">
        <f>IF((B69)&lt;=0,MAX(0,MIN(MAX(0,B41),MAX(0,MAX(0,MAX(0,B34-MIN(MAX(0,B38),MAX(0,B34)))-MIN(MAX(0,B39),MAX(0,B34-MIN(MAX(0,B38),MAX(0,B34)))))-MIN(MAX(0,B40),MAX(0,MAX(0,B34-MIN(MAX(0,B38),MAX(0,B34)))-MIN(MAX(0,B39),MAX(0,B34-MIN(MAX(0,B38),MAX(0,B34))))))))),(MIN(MAX(0,B41),MAX(0,MAX(0,MAX(0,B34-MIN(MAX(0,B38),MAX(0,B34)))-MIN(MAX(0,B39),MAX(0,B34-MIN(MAX(0,B38),MAX(0,B34)))))-MIN(MAX(0,B40),MAX(0,MAX(0,B34-MIN(MAX(0,B38),MAX(0,B34)))-MIN(MAX(0,B39),MAX(0,B34-MIN(MAX(0,B38),MAX(0,B34)))))))))*(1+realReturn)^(B69))</f>
        <v/>
      </c>
      <c r="J81" s="23">
        <f>MAX(0,H81-I81)</f>
        <v/>
      </c>
    </row>
    <row r="83">
      <c r="A83" s="16" t="inlineStr">
        <is>
          <t>C · STRESS R_LON  —  longevity: N_RET if the customer lives until LON_AGE (99). Does not change the plan</t>
        </is>
      </c>
      <c r="B83" s="16" t="n"/>
      <c r="C83" s="16" t="n"/>
      <c r="D83" s="16" t="n"/>
    </row>
    <row r="84">
      <c r="A84" s="38" t="inlineStr">
        <is>
          <t>LON_AGE</t>
        </is>
      </c>
      <c r="B84" s="44">
        <f>LON_AGE</f>
        <v/>
      </c>
      <c r="C84" s="36" t="inlineStr">
        <is>
          <t>D · assumption / shared</t>
        </is>
      </c>
      <c r="D84" s="18" t="inlineStr">
        <is>
          <t>Assumptions. Life expectancy under R_LON.</t>
        </is>
      </c>
    </row>
    <row r="85">
      <c r="A85" s="26" t="inlineStr">
        <is>
          <t>yearsInRet at LON_AGE</t>
        </is>
      </c>
      <c r="B85" s="46">
        <f>MAX(0,LON_AGE-B15)</f>
        <v/>
      </c>
      <c r="C85" s="27" t="inlineStr">
        <is>
          <t>C · calculated</t>
        </is>
      </c>
      <c r="D85" s="18" t="inlineStr">
        <is>
          <t>LON_AGE − retAge.</t>
        </is>
      </c>
    </row>
    <row r="86">
      <c r="A86" s="26" t="inlineStr">
        <is>
          <t>N_RET need at LON_AGE USD</t>
        </is>
      </c>
      <c r="B86" s="28">
        <f>MAX(0,IF(OR((B85)&lt;=0,(IF((B67)&lt;=0,MAX(0,B31*12*(IF(B14=1,RET_LIFESTYLE_FRUGAL,IF(B14=3,RET_LIFESTYLE_ONLYTHEBEST,RET_LIFESTYLE_STRESSFREE)))),(B31*12*(IF(B14=1,RET_LIFESTYLE_FRUGAL,IF(B14=3,RET_LIFESTYLE_ONLYTHEBEST,RET_LIFESTYLE_STRESSFREE))))*(1+realReturn)^(B67)))&lt;=0),0,IF(ABS(realReturn)&lt;1E-12,(IF((B67)&lt;=0,MAX(0,B31*12*(IF(B14=1,RET_LIFESTYLE_FRUGAL,IF(B14=3,RET_LIFESTYLE_ONLYTHEBEST,RET_LIFESTYLE_STRESSFREE)))),(B31*12*(IF(B14=1,RET_LIFESTYLE_FRUGAL,IF(B14=3,RET_LIFESTYLE_ONLYTHEBEST,RET_LIFESTYLE_STRESSFREE))))*(1+realReturn)^(B67)))*(B85),(IF((B67)&lt;=0,MAX(0,B31*12*(IF(B14=1,RET_LIFESTYLE_FRUGAL,IF(B14=3,RET_LIFESTYLE_ONLYTHEBEST,RET_LIFESTYLE_STRESSFREE)))),(B31*12*(IF(B14=1,RET_LIFESTYLE_FRUGAL,IF(B14=3,RET_LIFESTYLE_ONLYTHEBEST,RET_LIFESTYLE_STRESSFREE))))*(1+realReturn)^(B67)))*(1-(1+realReturn)^(-(B85)))/(realReturn))))</f>
        <v/>
      </c>
      <c r="C86" s="27" t="inlineStr">
        <is>
          <t>C · calculated</t>
        </is>
      </c>
      <c r="D86" s="18" t="inlineStr">
        <is>
          <t>Same formula as N_RET, years to LON_AGE.</t>
        </is>
      </c>
    </row>
    <row r="87">
      <c r="A87" s="26" t="inlineStr">
        <is>
          <t>N_RET need at LON_AGE</t>
        </is>
      </c>
      <c r="B87" s="29">
        <f>ROUND(B86/$B$28,0)</f>
        <v/>
      </c>
      <c r="C87" s="27" t="inlineStr">
        <is>
          <t>C · calculated</t>
        </is>
      </c>
      <c r="D87" s="18" t="inlineStr">
        <is>
          <t>User currency.</t>
        </is>
      </c>
    </row>
    <row r="88">
      <c r="A88" s="26" t="inlineStr">
        <is>
          <t>N_RET gap at LON_AGE</t>
        </is>
      </c>
      <c r="B88" s="29">
        <f>MAX(0,B87-C78)</f>
        <v/>
      </c>
      <c r="C88" s="27" t="inlineStr">
        <is>
          <t>C · calculated</t>
        </is>
      </c>
      <c r="D88" s="18" t="inlineStr">
        <is>
          <t>Need at 99 − have.</t>
        </is>
      </c>
    </row>
    <row r="89">
      <c r="A89" s="26" t="inlineStr">
        <is>
          <t>extra need from longevity</t>
        </is>
      </c>
      <c r="B89" s="29">
        <f>MAX(0,B87-B78)</f>
        <v/>
      </c>
      <c r="C89" s="27" t="inlineStr">
        <is>
          <t>C · calculated</t>
        </is>
      </c>
      <c r="D89" s="18" t="inlineStr">
        <is>
          <t>Need at 99 − base need.</t>
        </is>
      </c>
    </row>
  </sheetData>
  <mergeCells count="8">
    <mergeCell ref="A1:D1"/>
    <mergeCell ref="A27:D27"/>
    <mergeCell ref="A83:D83"/>
    <mergeCell ref="A4:D4"/>
    <mergeCell ref="A48:D48"/>
    <mergeCell ref="A65:D65"/>
    <mergeCell ref="A71:D71"/>
    <mergeCell ref="A13:D13"/>
  </mergeCells>
  <dataValidations count="1">
    <dataValidation sqref="E73:E81"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1D4E89"/>
    <outlinePr summaryBelow="1" summaryRight="1"/>
    <pageSetUpPr/>
  </sheetPr>
  <dimension ref="A1:F8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Need Calculator</t>
        </is>
      </c>
      <c r="B4" s="12" t="n"/>
      <c r="C4" s="12" t="n"/>
      <c r="D4" s="12" t="n"/>
      <c r="F4" s="16" t="inlineStr">
        <is>
          <t>C · DETERMINISTICALLY CALCULATED</t>
        </is>
      </c>
    </row>
    <row r="5">
      <c r="A5" s="17" t="inlineStr">
        <is>
          <t>take-home (from PLU)</t>
        </is>
      </c>
      <c r="B5" s="37">
        <f>PLU_takeHome</f>
        <v/>
      </c>
      <c r="C5" s="13" t="inlineStr">
        <is>
          <t>A · input</t>
        </is>
      </c>
      <c r="D5" s="18" t="inlineStr">
        <is>
          <t>Surplus uses take-home, not gross income.</t>
        </is>
      </c>
      <c r="F5" s="19" t="inlineStr">
        <is>
          <t>D · ASSUMPTIONS / SHARED DATA</t>
        </is>
      </c>
    </row>
    <row r="6">
      <c r="A6" s="17" t="inlineStr">
        <is>
          <t>expenseMonthly (from PLU)</t>
        </is>
      </c>
      <c r="B6" s="37">
        <f>PLU_expenseMonthly</f>
        <v/>
      </c>
      <c r="C6" s="13" t="inlineStr">
        <is>
          <t>A · input</t>
        </is>
      </c>
      <c r="D6" s="18" t="inlineStr">
        <is>
          <t>types.ts availableBudget.</t>
        </is>
      </c>
      <c r="F6" s="21" t="inlineStr">
        <is>
          <t>E · USER / FRONTEND OVERRIDE</t>
        </is>
      </c>
    </row>
    <row r="7">
      <c r="A7" s="17" t="inlineStr">
        <is>
          <t>N_INC on (from Need Calculator)</t>
        </is>
      </c>
      <c r="B7" s="13">
        <f>NC_on_N_INC</f>
        <v/>
      </c>
      <c r="C7" s="13" t="inlineStr">
        <is>
          <t>A · input</t>
        </is>
      </c>
      <c r="D7" s="18" t="inlineStr">
        <is>
          <t>Effective enable after Need Calculator override.</t>
        </is>
      </c>
    </row>
    <row r="8">
      <c r="A8" s="17" t="inlineStr">
        <is>
          <t>N_INC gap (from Need Calculator)</t>
        </is>
      </c>
      <c r="B8" s="47">
        <f>NC_gap_N_INC</f>
        <v/>
      </c>
      <c r="C8" s="13" t="inlineStr">
        <is>
          <t>A · input</t>
        </is>
      </c>
      <c r="D8" s="18" t="inlineStr">
        <is>
          <t>remaining_gap.</t>
        </is>
      </c>
    </row>
    <row r="9">
      <c r="A9" s="17" t="inlineStr">
        <is>
          <t>N_CRI on (from Need Calculator)</t>
        </is>
      </c>
      <c r="B9" s="13">
        <f>NC_on_N_CRI</f>
        <v/>
      </c>
      <c r="C9" s="13" t="inlineStr">
        <is>
          <t>A · input</t>
        </is>
      </c>
      <c r="D9" s="18" t="inlineStr">
        <is>
          <t>Effective enable after Need Calculator override.</t>
        </is>
      </c>
    </row>
    <row r="10">
      <c r="A10" s="17" t="inlineStr">
        <is>
          <t>N_CRI gap (from Need Calculator)</t>
        </is>
      </c>
      <c r="B10" s="47">
        <f>NC_gap_N_CRI</f>
        <v/>
      </c>
      <c r="C10" s="13" t="inlineStr">
        <is>
          <t>A · input</t>
        </is>
      </c>
      <c r="D10" s="18" t="inlineStr">
        <is>
          <t>remaining_gap.</t>
        </is>
      </c>
    </row>
    <row r="11">
      <c r="A11" s="17" t="inlineStr">
        <is>
          <t>N_TPD on (from Need Calculator)</t>
        </is>
      </c>
      <c r="B11" s="13">
        <f>NC_on_N_TPD</f>
        <v/>
      </c>
      <c r="C11" s="13" t="inlineStr">
        <is>
          <t>A · input</t>
        </is>
      </c>
      <c r="D11" s="18" t="inlineStr">
        <is>
          <t>Effective enable after Need Calculator override.</t>
        </is>
      </c>
    </row>
    <row r="12">
      <c r="A12" s="17" t="inlineStr">
        <is>
          <t>N_TPD gap (from Need Calculator)</t>
        </is>
      </c>
      <c r="B12" s="47">
        <f>NC_gap_N_TPD</f>
        <v/>
      </c>
      <c r="C12" s="13" t="inlineStr">
        <is>
          <t>A · input</t>
        </is>
      </c>
      <c r="D12" s="18" t="inlineStr">
        <is>
          <t>remaining_gap.</t>
        </is>
      </c>
    </row>
    <row r="13">
      <c r="A13" s="17" t="inlineStr">
        <is>
          <t>N_HOS on (from Need Calculator)</t>
        </is>
      </c>
      <c r="B13" s="13">
        <f>NC_on_N_HOS</f>
        <v/>
      </c>
      <c r="C13" s="13" t="inlineStr">
        <is>
          <t>A · input</t>
        </is>
      </c>
      <c r="D13" s="18" t="inlineStr">
        <is>
          <t>Effective enable after Need Calculator override.</t>
        </is>
      </c>
    </row>
    <row r="14">
      <c r="A14" s="17" t="inlineStr">
        <is>
          <t>N_HOS gap (from Need Calculator)</t>
        </is>
      </c>
      <c r="B14" s="47">
        <f>NC_gap_N_HOS</f>
        <v/>
      </c>
      <c r="C14" s="13" t="inlineStr">
        <is>
          <t>A · input</t>
        </is>
      </c>
      <c r="D14" s="18" t="inlineStr">
        <is>
          <t>remaining_gap.</t>
        </is>
      </c>
    </row>
    <row r="15">
      <c r="A15" s="17" t="inlineStr">
        <is>
          <t>N_PAC on (from Need Calculator)</t>
        </is>
      </c>
      <c r="B15" s="13">
        <f>NC_on_N_PAC</f>
        <v/>
      </c>
      <c r="C15" s="13" t="inlineStr">
        <is>
          <t>A · input</t>
        </is>
      </c>
      <c r="D15" s="18" t="inlineStr">
        <is>
          <t>Effective enable after Need Calculator override.</t>
        </is>
      </c>
    </row>
    <row r="16">
      <c r="A16" s="17" t="inlineStr">
        <is>
          <t>N_PAC gap (from Need Calculator)</t>
        </is>
      </c>
      <c r="B16" s="47">
        <f>NC_gap_N_PAC</f>
        <v/>
      </c>
      <c r="C16" s="13" t="inlineStr">
        <is>
          <t>A · input</t>
        </is>
      </c>
      <c r="D16" s="18" t="inlineStr">
        <is>
          <t>remaining_gap.</t>
        </is>
      </c>
    </row>
    <row r="17">
      <c r="A17" s="17" t="inlineStr">
        <is>
          <t>N_RET on (from Need Calculator)</t>
        </is>
      </c>
      <c r="B17" s="13">
        <f>NC_on_N_RET</f>
        <v/>
      </c>
      <c r="C17" s="13" t="inlineStr">
        <is>
          <t>A · input</t>
        </is>
      </c>
      <c r="D17" s="18" t="inlineStr">
        <is>
          <t>Effective enable after Need Calculator override.</t>
        </is>
      </c>
    </row>
    <row r="18">
      <c r="A18" s="17" t="inlineStr">
        <is>
          <t>N_RET gap (from Need Calculator)</t>
        </is>
      </c>
      <c r="B18" s="47">
        <f>NC_gap_N_RET</f>
        <v/>
      </c>
      <c r="C18" s="13" t="inlineStr">
        <is>
          <t>A · input</t>
        </is>
      </c>
      <c r="D18" s="18" t="inlineStr">
        <is>
          <t>remaining_gap.</t>
        </is>
      </c>
    </row>
    <row r="19">
      <c r="A19" s="17" t="inlineStr">
        <is>
          <t>N_EDU on (from Need Calculator)</t>
        </is>
      </c>
      <c r="B19" s="13">
        <f>NC_on_N_EDU</f>
        <v/>
      </c>
      <c r="C19" s="13" t="inlineStr">
        <is>
          <t>A · input</t>
        </is>
      </c>
      <c r="D19" s="18" t="inlineStr">
        <is>
          <t>Effective enable after Need Calculator override.</t>
        </is>
      </c>
    </row>
    <row r="20">
      <c r="A20" s="17" t="inlineStr">
        <is>
          <t>N_EDU gap (from Need Calculator)</t>
        </is>
      </c>
      <c r="B20" s="47">
        <f>NC_gap_N_EDU</f>
        <v/>
      </c>
      <c r="C20" s="13" t="inlineStr">
        <is>
          <t>A · input</t>
        </is>
      </c>
      <c r="D20" s="18" t="inlineStr">
        <is>
          <t>remaining_gap.</t>
        </is>
      </c>
    </row>
    <row r="21">
      <c r="A21" s="17" t="inlineStr">
        <is>
          <t>N_SAV on (from Need Calculator)</t>
        </is>
      </c>
      <c r="B21" s="13">
        <f>NC_on_N_SAV</f>
        <v/>
      </c>
      <c r="C21" s="13" t="inlineStr">
        <is>
          <t>A · input</t>
        </is>
      </c>
      <c r="D21" s="18" t="inlineStr">
        <is>
          <t>Effective enable after Need Calculator override.</t>
        </is>
      </c>
    </row>
    <row r="22">
      <c r="A22" s="17" t="inlineStr">
        <is>
          <t>N_SAV gap (from Need Calculator)</t>
        </is>
      </c>
      <c r="B22" s="47">
        <f>NC_gap_N_SAV</f>
        <v/>
      </c>
      <c r="C22" s="13" t="inlineStr">
        <is>
          <t>A · input</t>
        </is>
      </c>
      <c r="D22" s="18" t="inlineStr">
        <is>
          <t>remaining_gap.</t>
        </is>
      </c>
    </row>
    <row r="23">
      <c r="A23" s="17" t="inlineStr">
        <is>
          <t>N_PRP on (from Need Calculator)</t>
        </is>
      </c>
      <c r="B23" s="13">
        <f>NC_on_N_PRP</f>
        <v/>
      </c>
      <c r="C23" s="13" t="inlineStr">
        <is>
          <t>A · input</t>
        </is>
      </c>
      <c r="D23" s="18" t="inlineStr">
        <is>
          <t>Effective enable after Need Calculator override.</t>
        </is>
      </c>
    </row>
    <row r="24">
      <c r="A24" s="17" t="inlineStr">
        <is>
          <t>N_PRP gap (from Need Calculator)</t>
        </is>
      </c>
      <c r="B24" s="47">
        <f>NC_gap_N_PRP</f>
        <v/>
      </c>
      <c r="C24" s="13" t="inlineStr">
        <is>
          <t>A · input</t>
        </is>
      </c>
      <c r="D24" s="18" t="inlineStr">
        <is>
          <t>remaining_gap.</t>
        </is>
      </c>
    </row>
    <row r="25">
      <c r="A25" s="17" t="inlineStr">
        <is>
          <t>yearsToRet (from Need Calculator)</t>
        </is>
      </c>
      <c r="B25" s="20">
        <f>NC_yearsToRet</f>
        <v/>
      </c>
      <c r="C25" s="13" t="inlineStr">
        <is>
          <t>A · input</t>
        </is>
      </c>
      <c r="D25" s="18" t="inlineStr">
        <is>
          <t>Retirement contribution horizon.</t>
        </is>
      </c>
    </row>
    <row r="26">
      <c r="A26" s="17" t="inlineStr">
        <is>
          <t>eduYears (from Need Calculator)</t>
        </is>
      </c>
      <c r="B26" s="20">
        <f>NC_eduYears</f>
        <v/>
      </c>
      <c r="C26" s="13" t="inlineStr">
        <is>
          <t>A · input</t>
        </is>
      </c>
      <c r="D26" s="18" t="inlineStr">
        <is>
          <t>EDU / SAV / PRP contribution horizon.</t>
        </is>
      </c>
    </row>
    <row r="28">
      <c r="A28" s="19" t="inlineStr">
        <is>
          <t>D · ASSUMPTIONS / SHARED DATA</t>
        </is>
      </c>
      <c r="B28" s="19" t="n"/>
      <c r="C28" s="19" t="n"/>
      <c r="D28" s="19" t="n"/>
    </row>
    <row r="29">
      <c r="A29" s="38" t="inlineStr">
        <is>
          <t>protectionPremiumRate</t>
        </is>
      </c>
      <c r="B29" s="45">
        <f>protectionPremiumRate</f>
        <v/>
      </c>
      <c r="C29" s="36" t="inlineStr">
        <is>
          <t>D · assumption / shared</t>
        </is>
      </c>
      <c r="D29" s="18" t="inlineStr">
        <is>
          <t>Dummy 0.00078. Future: premium-quote calculator API.</t>
        </is>
      </c>
    </row>
    <row r="30">
      <c r="A30" s="38" t="inlineStr">
        <is>
          <t>FREE_BUDGET_SHARE</t>
        </is>
      </c>
      <c r="B30" s="40">
        <f>FREE_BUDGET_SHARE</f>
        <v/>
      </c>
      <c r="C30" s="36" t="inlineStr">
        <is>
          <t>D · assumption / shared</t>
        </is>
      </c>
      <c r="D30" s="18" t="inlineStr">
        <is>
          <t>Half of leftover surplus split across wealth needs.</t>
        </is>
      </c>
    </row>
    <row r="31">
      <c r="A31" s="38" t="inlineStr">
        <is>
          <t>monthly step (user currency)</t>
        </is>
      </c>
      <c r="B31" s="55">
        <f>FX_monthlyStep</f>
        <v/>
      </c>
      <c r="C31" s="36" t="inlineStr">
        <is>
          <t>D · assumption / shared</t>
        </is>
      </c>
      <c r="D31" s="18" t="inlineStr">
        <is>
          <t>monthlyRoundStep (USD) as a nice step in user currency. SGD: 50.</t>
        </is>
      </c>
    </row>
    <row r="32">
      <c r="A32" s="38" t="inlineStr">
        <is>
          <t>premium step (user currency)</t>
        </is>
      </c>
      <c r="B32" s="55">
        <f>FX_coverPremStep</f>
        <v/>
      </c>
      <c r="C32" s="36" t="inlineStr">
        <is>
          <t>D · assumption / shared</t>
        </is>
      </c>
      <c r="D32" s="18" t="inlineStr">
        <is>
          <t>coverPremRoundStep (USD) as a nice step in user currency. SGD: 10.</t>
        </is>
      </c>
    </row>
    <row r="33">
      <c r="A33" s="38" t="inlineStr">
        <is>
          <t>realReturn</t>
        </is>
      </c>
      <c r="B33" s="45">
        <f>realReturn</f>
        <v/>
      </c>
      <c r="C33" s="36" t="inlineStr">
        <is>
          <t>D · assumption / shared</t>
        </is>
      </c>
      <c r="D33" s="18" t="inlineStr">
        <is>
          <t>annualPmtToHitFv for the wealth cap.</t>
        </is>
      </c>
    </row>
    <row r="35">
      <c r="A35" s="16" t="inlineStr">
        <is>
          <t>C · DETERMINISTICALLY CALCULATED  —  suggested flags and protection sizing</t>
        </is>
      </c>
      <c r="B35" s="16" t="n"/>
      <c r="C35" s="16" t="n"/>
      <c r="D35" s="16" t="n"/>
    </row>
    <row r="36">
      <c r="A36" s="26" t="inlineStr">
        <is>
          <t>sug N_INC</t>
        </is>
      </c>
      <c r="B36" s="27">
        <f>AND(NC_on_N_INC,NC_gap_N_INC&gt;0)</f>
        <v/>
      </c>
      <c r="C36" s="27" t="inlineStr">
        <is>
          <t>C · calculated</t>
        </is>
      </c>
      <c r="D36" s="18" t="inlineStr">
        <is>
          <t>enabled AND gap &gt; 0.</t>
        </is>
      </c>
    </row>
    <row r="37">
      <c r="A37" s="26" t="inlineStr">
        <is>
          <t>sug N_CRI</t>
        </is>
      </c>
      <c r="B37" s="27">
        <f>AND(NC_on_N_CRI,NC_gap_N_CRI&gt;0)</f>
        <v/>
      </c>
      <c r="C37" s="27" t="inlineStr">
        <is>
          <t>C · calculated</t>
        </is>
      </c>
      <c r="D37" s="18" t="inlineStr">
        <is>
          <t>enabled AND gap &gt; 0.</t>
        </is>
      </c>
    </row>
    <row r="38">
      <c r="A38" s="26" t="inlineStr">
        <is>
          <t>sug N_TPD</t>
        </is>
      </c>
      <c r="B38" s="27">
        <f>AND(NC_on_N_TPD,NC_gap_N_TPD&gt;0)</f>
        <v/>
      </c>
      <c r="C38" s="27" t="inlineStr">
        <is>
          <t>C · calculated</t>
        </is>
      </c>
      <c r="D38" s="18" t="inlineStr">
        <is>
          <t>enabled AND gap &gt; 0.</t>
        </is>
      </c>
    </row>
    <row r="39">
      <c r="A39" s="26" t="inlineStr">
        <is>
          <t>sug N_HOS</t>
        </is>
      </c>
      <c r="B39" s="27">
        <f>AND(NC_on_N_HOS,NC_gap_N_HOS&gt;0)</f>
        <v/>
      </c>
      <c r="C39" s="27" t="inlineStr">
        <is>
          <t>C · calculated</t>
        </is>
      </c>
      <c r="D39" s="18" t="inlineStr">
        <is>
          <t>enabled AND gap &gt; 0.</t>
        </is>
      </c>
    </row>
    <row r="40">
      <c r="A40" s="26" t="inlineStr">
        <is>
          <t>sug N_PAC</t>
        </is>
      </c>
      <c r="B40" s="27">
        <f>AND(NC_on_N_PAC,NC_gap_N_PAC&gt;0)</f>
        <v/>
      </c>
      <c r="C40" s="27" t="inlineStr">
        <is>
          <t>C · calculated</t>
        </is>
      </c>
      <c r="D40" s="18" t="inlineStr">
        <is>
          <t>enabled AND gap &gt; 0.</t>
        </is>
      </c>
    </row>
    <row r="41">
      <c r="A41" s="26" t="inlineStr">
        <is>
          <t>sug N_RET</t>
        </is>
      </c>
      <c r="B41" s="27">
        <f>AND(NC_on_N_RET,NC_gap_N_RET&gt;0)</f>
        <v/>
      </c>
      <c r="C41" s="27" t="inlineStr">
        <is>
          <t>C · calculated</t>
        </is>
      </c>
      <c r="D41" s="18" t="inlineStr">
        <is>
          <t>enabled AND gap &gt; 0.</t>
        </is>
      </c>
    </row>
    <row r="42">
      <c r="A42" s="26" t="inlineStr">
        <is>
          <t>sug N_EDU</t>
        </is>
      </c>
      <c r="B42" s="27">
        <f>AND(NC_on_N_EDU,NC_gap_N_EDU&gt;0)</f>
        <v/>
      </c>
      <c r="C42" s="27" t="inlineStr">
        <is>
          <t>C · calculated</t>
        </is>
      </c>
      <c r="D42" s="18" t="inlineStr">
        <is>
          <t>enabled AND gap &gt; 0.</t>
        </is>
      </c>
    </row>
    <row r="43">
      <c r="A43" s="26" t="inlineStr">
        <is>
          <t>sug N_SAV</t>
        </is>
      </c>
      <c r="B43" s="27">
        <f>AND(NC_on_N_SAV,NC_gap_N_SAV&gt;0)</f>
        <v/>
      </c>
      <c r="C43" s="27" t="inlineStr">
        <is>
          <t>C · calculated</t>
        </is>
      </c>
      <c r="D43" s="18" t="inlineStr">
        <is>
          <t>enabled AND gap &gt; 0.</t>
        </is>
      </c>
    </row>
    <row r="44">
      <c r="A44" s="26" t="inlineStr">
        <is>
          <t>sug N_PRP</t>
        </is>
      </c>
      <c r="B44" s="27">
        <f>AND(NC_on_N_PRP,NC_gap_N_PRP&gt;0)</f>
        <v/>
      </c>
      <c r="C44" s="27" t="inlineStr">
        <is>
          <t>C · calculated</t>
        </is>
      </c>
      <c r="D44" s="18" t="inlineStr">
        <is>
          <t>enabled AND gap &gt; 0.</t>
        </is>
      </c>
    </row>
    <row r="45">
      <c r="A45" s="26" t="inlineStr">
        <is>
          <t>n wealth suggested</t>
        </is>
      </c>
      <c r="B45" s="46">
        <f>(B41*1)+(B42*1)+(B43*1)+(B44*1)</f>
        <v/>
      </c>
      <c r="C45" s="27" t="inlineStr">
        <is>
          <t>C · calculated</t>
        </is>
      </c>
      <c r="D45" s="18" t="inlineStr">
        <is>
          <t>Count of suggested wealth needs.</t>
        </is>
      </c>
    </row>
    <row r="46">
      <c r="A46" s="26" t="inlineStr">
        <is>
          <t>planSum N_INC</t>
        </is>
      </c>
      <c r="B46" s="29">
        <f>IF(B36,MAX(0,ROUND(NC_gap_N_INC,0)),0)</f>
        <v/>
      </c>
      <c r="C46" s="27" t="inlineStr">
        <is>
          <t>C · calculated</t>
        </is>
      </c>
      <c r="D46" s="18" t="inlineStr">
        <is>
          <t>Suggested protection sum = gap.</t>
        </is>
      </c>
    </row>
    <row r="47">
      <c r="A47" s="26" t="inlineStr">
        <is>
          <t>planPrem N_INC</t>
        </is>
      </c>
      <c r="B47" s="29">
        <f>IF(B46&lt;=0,0,MAX(0,ROUND((B46*protectionPremiumRate)/FX_coverPremStep,0)*FX_coverPremStep))</f>
        <v/>
      </c>
      <c r="C47" s="27" t="inlineStr">
        <is>
          <t>C · calculated</t>
        </is>
      </c>
      <c r="D47" s="18" t="inlineStr">
        <is>
          <t>coverPremiumFor(sum). Indicative, not half of slider max.</t>
        </is>
      </c>
    </row>
    <row r="48">
      <c r="A48" s="26" t="inlineStr">
        <is>
          <t>planSum N_CRI</t>
        </is>
      </c>
      <c r="B48" s="29">
        <f>IF(B37,MAX(0,ROUND(NC_gap_N_CRI,0)),0)</f>
        <v/>
      </c>
      <c r="C48" s="27" t="inlineStr">
        <is>
          <t>C · calculated</t>
        </is>
      </c>
      <c r="D48" s="18" t="inlineStr">
        <is>
          <t>Suggested protection sum = gap.</t>
        </is>
      </c>
    </row>
    <row r="49">
      <c r="A49" s="26" t="inlineStr">
        <is>
          <t>planPrem N_CRI</t>
        </is>
      </c>
      <c r="B49" s="29">
        <f>IF(B48&lt;=0,0,MAX(0,ROUND((B48*protectionPremiumRate)/FX_coverPremStep,0)*FX_coverPremStep))</f>
        <v/>
      </c>
      <c r="C49" s="27" t="inlineStr">
        <is>
          <t>C · calculated</t>
        </is>
      </c>
      <c r="D49" s="18" t="inlineStr">
        <is>
          <t>coverPremiumFor(sum). Indicative, not half of slider max.</t>
        </is>
      </c>
    </row>
    <row r="50">
      <c r="A50" s="26" t="inlineStr">
        <is>
          <t>planSum N_TPD</t>
        </is>
      </c>
      <c r="B50" s="29">
        <f>IF(B38,MAX(0,ROUND(NC_gap_N_TPD,0)),0)</f>
        <v/>
      </c>
      <c r="C50" s="27" t="inlineStr">
        <is>
          <t>C · calculated</t>
        </is>
      </c>
      <c r="D50" s="18" t="inlineStr">
        <is>
          <t>Suggested protection sum = gap.</t>
        </is>
      </c>
    </row>
    <row r="51">
      <c r="A51" s="26" t="inlineStr">
        <is>
          <t>planPrem N_TPD</t>
        </is>
      </c>
      <c r="B51" s="29">
        <f>IF(B50&lt;=0,0,MAX(0,ROUND((B50*protectionPremiumRate)/FX_coverPremStep,0)*FX_coverPremStep))</f>
        <v/>
      </c>
      <c r="C51" s="27" t="inlineStr">
        <is>
          <t>C · calculated</t>
        </is>
      </c>
      <c r="D51" s="18" t="inlineStr">
        <is>
          <t>coverPremiumFor(sum). Indicative, not half of slider max.</t>
        </is>
      </c>
    </row>
    <row r="52">
      <c r="A52" s="26" t="inlineStr">
        <is>
          <t>planSum N_HOS</t>
        </is>
      </c>
      <c r="B52" s="29">
        <f>IF(B39,MAX(0,ROUND(NC_gap_N_HOS,0)),0)</f>
        <v/>
      </c>
      <c r="C52" s="27" t="inlineStr">
        <is>
          <t>C · calculated</t>
        </is>
      </c>
      <c r="D52" s="18" t="inlineStr">
        <is>
          <t>Suggested protection sum = gap.</t>
        </is>
      </c>
    </row>
    <row r="53">
      <c r="A53" s="26" t="inlineStr">
        <is>
          <t>planPrem N_HOS</t>
        </is>
      </c>
      <c r="B53" s="29">
        <f>IF(B52&lt;=0,0,MAX(0,ROUND((B52*protectionPremiumRate)/FX_coverPremStep,0)*FX_coverPremStep))</f>
        <v/>
      </c>
      <c r="C53" s="27" t="inlineStr">
        <is>
          <t>C · calculated</t>
        </is>
      </c>
      <c r="D53" s="18" t="inlineStr">
        <is>
          <t>coverPremiumFor(sum). Indicative, not half of slider max.</t>
        </is>
      </c>
    </row>
    <row r="54">
      <c r="A54" s="26" t="inlineStr">
        <is>
          <t>planSum N_PAC</t>
        </is>
      </c>
      <c r="B54" s="29">
        <f>IF(B40,MAX(0,ROUND(NC_gap_N_PAC,0)),0)</f>
        <v/>
      </c>
      <c r="C54" s="27" t="inlineStr">
        <is>
          <t>C · calculated</t>
        </is>
      </c>
      <c r="D54" s="18" t="inlineStr">
        <is>
          <t>Suggested protection sum = gap.</t>
        </is>
      </c>
    </row>
    <row r="55">
      <c r="A55" s="26" t="inlineStr">
        <is>
          <t>planPrem N_PAC</t>
        </is>
      </c>
      <c r="B55" s="29">
        <f>IF(B54&lt;=0,0,MAX(0,ROUND((B54*protectionPremiumRate)/FX_coverPremStep,0)*FX_coverPremStep))</f>
        <v/>
      </c>
      <c r="C55" s="27" t="inlineStr">
        <is>
          <t>C · calculated</t>
        </is>
      </c>
      <c r="D55" s="18" t="inlineStr">
        <is>
          <t>coverPremiumFor(sum). Indicative, not half of slider max.</t>
        </is>
      </c>
    </row>
    <row r="56">
      <c r="A56" s="26" t="inlineStr">
        <is>
          <t>prot prem / yr</t>
        </is>
      </c>
      <c r="B56" s="29">
        <f>B47+B49+B51+B53+B55</f>
        <v/>
      </c>
      <c r="C56" s="27" t="inlineStr">
        <is>
          <t>C · calculated</t>
        </is>
      </c>
      <c r="D56" s="18" t="inlineStr">
        <is>
          <t>Sum of suggested protection premiums (before Include?).</t>
        </is>
      </c>
    </row>
    <row r="57">
      <c r="A57" s="26" t="inlineStr">
        <is>
          <t>default wealth mth share</t>
        </is>
      </c>
      <c r="B57" s="29">
        <f>IF(B45=0,0,MAX(0,ROUND((MAX(0,(PLU_takeHome-PLU_expenseMonthly)*12-B56)*FREE_BUDGET_SHARE)/12/B45/FX_monthlyStep,0)*FX_monthlyStep))</f>
        <v/>
      </c>
      <c r="C57" s="27" t="inlineStr">
        <is>
          <t>C · calculated</t>
        </is>
      </c>
      <c r="D57" s="18" t="inlineStr">
        <is>
          <t>Leftover surplus × 50% / 12 / n wealth, rounded to the monthly step.</t>
        </is>
      </c>
    </row>
    <row r="58">
      <c r="A58" s="26" t="inlineStr">
        <is>
          <t>cap mth N_RET</t>
        </is>
      </c>
      <c r="B58" s="29">
        <f>IF((IF(OR((NC_gap_N_RET)&lt;=0,(NC_yearsToRet)&lt;=0),0,IF(ABS(realReturn)&lt;1E-12,(NC_gap_N_RET)/(NC_yearsToRet),(NC_gap_N_RET)*realReturn/((1+realReturn)^(NC_yearsToRet)-1))))&lt;=0,0,ROUNDUP((IF(OR((NC_gap_N_RET)&lt;=0,(NC_yearsToRet)&lt;=0),0,IF(ABS(realReturn)&lt;1E-12,(NC_gap_N_RET)/(NC_yearsToRet),(NC_gap_N_RET)*realReturn/((1+realReturn)^(NC_yearsToRet)-1))))/12/FX_monthlyStep,0)*FX_monthlyStep)</f>
        <v/>
      </c>
      <c r="C58" s="27" t="inlineStr">
        <is>
          <t>C · calculated</t>
        </is>
      </c>
      <c r="D58" s="18" t="inlineStr">
        <is>
          <t>annualPmtToHitFv / 12, rounded up to the monthly step.</t>
        </is>
      </c>
    </row>
    <row r="59">
      <c r="A59" s="26" t="inlineStr">
        <is>
          <t>planMth N_RET</t>
        </is>
      </c>
      <c r="B59" s="29">
        <f>IF(B41,MIN(B57,B58),0)</f>
        <v/>
      </c>
      <c r="C59" s="27" t="inlineStr">
        <is>
          <t>C · calculated</t>
        </is>
      </c>
      <c r="D59" s="18" t="inlineStr">
        <is>
          <t>min(default share, cap).</t>
        </is>
      </c>
    </row>
    <row r="60">
      <c r="A60" s="26" t="inlineStr">
        <is>
          <t>planLump N_RET</t>
        </is>
      </c>
      <c r="B60" s="29" t="n">
        <v>0</v>
      </c>
      <c r="C60" s="27" t="inlineStr">
        <is>
          <t>C · calculated</t>
        </is>
      </c>
      <c r="D60" s="18" t="inlineStr">
        <is>
          <t>Default lump is 0.</t>
        </is>
      </c>
    </row>
    <row r="61">
      <c r="A61" s="26" t="inlineStr">
        <is>
          <t>cap mth N_EDU</t>
        </is>
      </c>
      <c r="B61" s="29">
        <f>IF((IF(OR((NC_gap_N_EDU)&lt;=0,(NC_eduYears)&lt;=0),0,IF(ABS(realReturn)&lt;1E-12,(NC_gap_N_EDU)/(NC_eduYears),(NC_gap_N_EDU)*realReturn/((1+realReturn)^(NC_eduYears)-1))))&lt;=0,0,ROUNDUP((IF(OR((NC_gap_N_EDU)&lt;=0,(NC_eduYears)&lt;=0),0,IF(ABS(realReturn)&lt;1E-12,(NC_gap_N_EDU)/(NC_eduYears),(NC_gap_N_EDU)*realReturn/((1+realReturn)^(NC_eduYears)-1))))/12/FX_monthlyStep,0)*FX_monthlyStep)</f>
        <v/>
      </c>
      <c r="C61" s="27" t="inlineStr">
        <is>
          <t>C · calculated</t>
        </is>
      </c>
      <c r="D61" s="18" t="inlineStr">
        <is>
          <t>annualPmtToHitFv / 12, rounded up to the monthly step.</t>
        </is>
      </c>
    </row>
    <row r="62">
      <c r="A62" s="26" t="inlineStr">
        <is>
          <t>planMth N_EDU</t>
        </is>
      </c>
      <c r="B62" s="29">
        <f>IF(B42,MIN(B57,B61),0)</f>
        <v/>
      </c>
      <c r="C62" s="27" t="inlineStr">
        <is>
          <t>C · calculated</t>
        </is>
      </c>
      <c r="D62" s="18" t="inlineStr">
        <is>
          <t>min(default share, cap).</t>
        </is>
      </c>
    </row>
    <row r="63">
      <c r="A63" s="26" t="inlineStr">
        <is>
          <t>planLump N_EDU</t>
        </is>
      </c>
      <c r="B63" s="29" t="n">
        <v>0</v>
      </c>
      <c r="C63" s="27" t="inlineStr">
        <is>
          <t>C · calculated</t>
        </is>
      </c>
      <c r="D63" s="18" t="inlineStr">
        <is>
          <t>Default lump is 0.</t>
        </is>
      </c>
    </row>
    <row r="64">
      <c r="A64" s="26" t="inlineStr">
        <is>
          <t>cap mth N_SAV</t>
        </is>
      </c>
      <c r="B64" s="29">
        <f>IF((IF(OR((NC_gap_N_SAV)&lt;=0,(NC_eduYears)&lt;=0),0,IF(ABS(realReturn)&lt;1E-12,(NC_gap_N_SAV)/(NC_eduYears),(NC_gap_N_SAV)*realReturn/((1+realReturn)^(NC_eduYears)-1))))&lt;=0,0,ROUNDUP((IF(OR((NC_gap_N_SAV)&lt;=0,(NC_eduYears)&lt;=0),0,IF(ABS(realReturn)&lt;1E-12,(NC_gap_N_SAV)/(NC_eduYears),(NC_gap_N_SAV)*realReturn/((1+realReturn)^(NC_eduYears)-1))))/12/FX_monthlyStep,0)*FX_monthlyStep)</f>
        <v/>
      </c>
      <c r="C64" s="27" t="inlineStr">
        <is>
          <t>C · calculated</t>
        </is>
      </c>
      <c r="D64" s="18" t="inlineStr">
        <is>
          <t>annualPmtToHitFv / 12, rounded up to the monthly step.</t>
        </is>
      </c>
    </row>
    <row r="65">
      <c r="A65" s="26" t="inlineStr">
        <is>
          <t>planMth N_SAV</t>
        </is>
      </c>
      <c r="B65" s="29">
        <f>IF(B43,MIN(B57,B64),0)</f>
        <v/>
      </c>
      <c r="C65" s="27" t="inlineStr">
        <is>
          <t>C · calculated</t>
        </is>
      </c>
      <c r="D65" s="18" t="inlineStr">
        <is>
          <t>min(default share, cap).</t>
        </is>
      </c>
    </row>
    <row r="66">
      <c r="A66" s="26" t="inlineStr">
        <is>
          <t>planLump N_SAV</t>
        </is>
      </c>
      <c r="B66" s="29" t="n">
        <v>0</v>
      </c>
      <c r="C66" s="27" t="inlineStr">
        <is>
          <t>C · calculated</t>
        </is>
      </c>
      <c r="D66" s="18" t="inlineStr">
        <is>
          <t>Default lump is 0.</t>
        </is>
      </c>
    </row>
    <row r="67">
      <c r="A67" s="26" t="inlineStr">
        <is>
          <t>cap mth N_PRP</t>
        </is>
      </c>
      <c r="B67" s="29">
        <f>IF((IF(OR((NC_gap_N_PRP)&lt;=0,(NC_eduYears)&lt;=0),0,IF(ABS(realReturn)&lt;1E-12,(NC_gap_N_PRP)/(NC_eduYears),(NC_gap_N_PRP)*realReturn/((1+realReturn)^(NC_eduYears)-1))))&lt;=0,0,ROUNDUP((IF(OR((NC_gap_N_PRP)&lt;=0,(NC_eduYears)&lt;=0),0,IF(ABS(realReturn)&lt;1E-12,(NC_gap_N_PRP)/(NC_eduYears),(NC_gap_N_PRP)*realReturn/((1+realReturn)^(NC_eduYears)-1))))/12/FX_monthlyStep,0)*FX_monthlyStep)</f>
        <v/>
      </c>
      <c r="C67" s="27" t="inlineStr">
        <is>
          <t>C · calculated</t>
        </is>
      </c>
      <c r="D67" s="18" t="inlineStr">
        <is>
          <t>annualPmtToHitFv / 12, rounded up to the monthly step.</t>
        </is>
      </c>
    </row>
    <row r="68">
      <c r="A68" s="26" t="inlineStr">
        <is>
          <t>planMth N_PRP</t>
        </is>
      </c>
      <c r="B68" s="29">
        <f>IF(B44,MIN(B57,B67),0)</f>
        <v/>
      </c>
      <c r="C68" s="27" t="inlineStr">
        <is>
          <t>C · calculated</t>
        </is>
      </c>
      <c r="D68" s="18" t="inlineStr">
        <is>
          <t>min(default share, cap).</t>
        </is>
      </c>
    </row>
    <row r="69">
      <c r="A69" s="26" t="inlineStr">
        <is>
          <t>planLump N_PRP</t>
        </is>
      </c>
      <c r="B69" s="29" t="n">
        <v>0</v>
      </c>
      <c r="C69" s="27" t="inlineStr">
        <is>
          <t>C · calculated</t>
        </is>
      </c>
      <c r="D69" s="18" t="inlineStr">
        <is>
          <t>Default lump is 0.</t>
        </is>
      </c>
    </row>
    <row r="71">
      <c r="A71" s="16" t="inlineStr">
        <is>
          <t>C · RESULTS  —  Include? blank keeps the suggested product</t>
        </is>
      </c>
      <c r="B71" s="16" t="n"/>
      <c r="C71" s="16" t="n"/>
      <c r="D71" s="16" t="n"/>
    </row>
    <row r="72">
      <c r="A72" s="3" t="inlineStr">
        <is>
          <t>type</t>
        </is>
      </c>
      <c r="B72" s="16" t="inlineStr">
        <is>
          <t>suggested</t>
        </is>
      </c>
      <c r="C72" s="21" t="inlineStr">
        <is>
          <t>Include?</t>
        </is>
      </c>
      <c r="D72" s="16" t="inlineStr">
        <is>
          <t>included</t>
        </is>
      </c>
    </row>
    <row r="73">
      <c r="A73" s="16" t="inlineStr">
        <is>
          <t>N_INC</t>
        </is>
      </c>
      <c r="B73" s="27">
        <f>B36</f>
        <v/>
      </c>
      <c r="C73" s="42" t="inlineStr"/>
      <c r="D73" s="27">
        <f>AND(B73,IF(C73="",TRUE,C73))</f>
        <v/>
      </c>
    </row>
    <row r="74">
      <c r="A74" s="16" t="inlineStr">
        <is>
          <t>N_CRI</t>
        </is>
      </c>
      <c r="B74" s="27">
        <f>B37</f>
        <v/>
      </c>
      <c r="C74" s="42" t="inlineStr"/>
      <c r="D74" s="27">
        <f>AND(B74,IF(C74="",TRUE,C74))</f>
        <v/>
      </c>
    </row>
    <row r="75">
      <c r="A75" s="16" t="inlineStr">
        <is>
          <t>N_TPD</t>
        </is>
      </c>
      <c r="B75" s="27">
        <f>B38</f>
        <v/>
      </c>
      <c r="C75" s="42" t="inlineStr"/>
      <c r="D75" s="27">
        <f>AND(B75,IF(C75="",TRUE,C75))</f>
        <v/>
      </c>
    </row>
    <row r="76">
      <c r="A76" s="16" t="inlineStr">
        <is>
          <t>N_HOS</t>
        </is>
      </c>
      <c r="B76" s="27">
        <f>B39</f>
        <v/>
      </c>
      <c r="C76" s="42" t="inlineStr"/>
      <c r="D76" s="27">
        <f>AND(B76,IF(C76="",TRUE,C76))</f>
        <v/>
      </c>
    </row>
    <row r="77">
      <c r="A77" s="16" t="inlineStr">
        <is>
          <t>N_PAC</t>
        </is>
      </c>
      <c r="B77" s="27">
        <f>B40</f>
        <v/>
      </c>
      <c r="C77" s="42" t="inlineStr"/>
      <c r="D77" s="27">
        <f>AND(B77,IF(C77="",TRUE,C77))</f>
        <v/>
      </c>
    </row>
    <row r="78">
      <c r="A78" s="16" t="inlineStr">
        <is>
          <t>N_RET</t>
        </is>
      </c>
      <c r="B78" s="27">
        <f>B41</f>
        <v/>
      </c>
      <c r="C78" s="42" t="inlineStr"/>
      <c r="D78" s="27">
        <f>AND(B78,IF(C78="",TRUE,C78))</f>
        <v/>
      </c>
    </row>
    <row r="79">
      <c r="A79" s="16" t="inlineStr">
        <is>
          <t>N_EDU</t>
        </is>
      </c>
      <c r="B79" s="27">
        <f>B42</f>
        <v/>
      </c>
      <c r="C79" s="42" t="inlineStr"/>
      <c r="D79" s="27">
        <f>AND(B79,IF(C79="",TRUE,C79))</f>
        <v/>
      </c>
    </row>
    <row r="80">
      <c r="A80" s="16" t="inlineStr">
        <is>
          <t>N_SAV</t>
        </is>
      </c>
      <c r="B80" s="27">
        <f>B43</f>
        <v/>
      </c>
      <c r="C80" s="42" t="inlineStr"/>
      <c r="D80" s="27">
        <f>AND(B80,IF(C80="",TRUE,C80))</f>
        <v/>
      </c>
    </row>
    <row r="81">
      <c r="A81" s="16" t="inlineStr">
        <is>
          <t>N_PRP</t>
        </is>
      </c>
      <c r="B81" s="27">
        <f>B44</f>
        <v/>
      </c>
      <c r="C81" s="42" t="inlineStr"/>
      <c r="D81" s="27">
        <f>AND(B81,IF(C81="",TRUE,C81))</f>
        <v/>
      </c>
    </row>
    <row r="83">
      <c r="A83" s="26" t="inlineStr">
        <is>
          <t>investMth</t>
        </is>
      </c>
      <c r="B83" s="29">
        <f>(D78*B59)+(D79*B62)+(D80*B65)+(D81*B68)</f>
        <v/>
      </c>
      <c r="C83" s="27" t="inlineStr">
        <is>
          <t>C · calculated</t>
        </is>
      </c>
      <c r="D83" s="18" t="inlineStr">
        <is>
          <t>Sum of included wealth monthly contributions.</t>
        </is>
      </c>
    </row>
    <row r="84">
      <c r="A84" s="26" t="inlineStr">
        <is>
          <t>investLump</t>
        </is>
      </c>
      <c r="B84" s="29">
        <f>(D78*B60)+(D79*B63)+(D80*B66)+(D81*B69)</f>
        <v/>
      </c>
      <c r="C84" s="27" t="inlineStr">
        <is>
          <t>C · calculated</t>
        </is>
      </c>
      <c r="D84" s="18" t="inlineStr">
        <is>
          <t>Sum of included wealth lumps (default 0).</t>
        </is>
      </c>
    </row>
  </sheetData>
  <mergeCells count="5">
    <mergeCell ref="A1:D1"/>
    <mergeCell ref="A35:D35"/>
    <mergeCell ref="A4:D4"/>
    <mergeCell ref="A71:D71"/>
    <mergeCell ref="A28:D28"/>
  </mergeCells>
  <dataValidations count="1">
    <dataValidation sqref="C73:C81" showDropDown="0" showInputMessage="0" showErrorMessage="0" allowBlank="1" type="list">
      <formula1>"TRUE,FALSE,"</formula1>
    </dataValidation>
  </dataValidations>
  <pageMargins left="0.75" right="0.75" top="1" bottom="1" header="0.5" footer="0.5"/>
</worksheet>
</file>

<file path=xl/worksheets/sheet10.xml><?xml version="1.0" encoding="utf-8"?>
<worksheet xmlns="http://schemas.openxmlformats.org/spreadsheetml/2006/main">
  <sheetPr>
    <tabColor rgb="008A1C1C"/>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Plan Calculator</t>
        </is>
      </c>
      <c r="B4" s="12" t="n"/>
      <c r="C4" s="12" t="n"/>
      <c r="D4" s="12" t="n"/>
      <c r="F4" s="16" t="inlineStr">
        <is>
          <t>C · DETERMINISTICALLY CALCULATED</t>
        </is>
      </c>
    </row>
    <row r="5">
      <c r="A5" s="17" t="inlineStr">
        <is>
          <t>take-home (from PLU)</t>
        </is>
      </c>
      <c r="B5" s="37">
        <f>PLU_takeHome</f>
        <v/>
      </c>
      <c r="C5" s="13" t="inlineStr">
        <is>
          <t>A · input</t>
        </is>
      </c>
      <c r="D5" s="18" t="inlineStr">
        <is>
          <t>types.ts availableBudget uses take-home.</t>
        </is>
      </c>
      <c r="F5" s="19" t="inlineStr">
        <is>
          <t>D · ASSUMPTIONS / SHARED DATA</t>
        </is>
      </c>
    </row>
    <row r="6">
      <c r="A6" s="17" t="inlineStr">
        <is>
          <t>expenseMonthly (from PLU)</t>
        </is>
      </c>
      <c r="B6" s="37">
        <f>PLU_expenseMonthly</f>
        <v/>
      </c>
      <c r="C6" s="13" t="inlineStr">
        <is>
          <t>A · input</t>
        </is>
      </c>
      <c r="D6" s="18" t="inlineStr">
        <is>
          <t>Not gross income.</t>
        </is>
      </c>
      <c r="F6" s="21" t="inlineStr">
        <is>
          <t>E · USER / FRONTEND OVERRIDE</t>
        </is>
      </c>
    </row>
    <row r="7">
      <c r="A7" s="17" t="inlineStr">
        <is>
          <t>investments (from PLU)</t>
        </is>
      </c>
      <c r="B7" s="47">
        <f>PLU_investments</f>
        <v/>
      </c>
      <c r="C7" s="13" t="inlineStr">
        <is>
          <t>A · input</t>
        </is>
      </c>
      <c r="D7" s="18" t="inlineStr">
        <is>
          <t>Cap for lumps.</t>
        </is>
      </c>
    </row>
    <row r="8">
      <c r="A8" s="17" t="inlineStr">
        <is>
          <t>included N_INC premium</t>
        </is>
      </c>
      <c r="B8" s="47">
        <f>IF(PLAN_included_N_INC,PLAN_prem_N_INC,0)</f>
        <v/>
      </c>
      <c r="C8" s="13" t="inlineStr">
        <is>
          <t>A · input</t>
        </is>
      </c>
      <c r="D8" s="18" t="inlineStr">
        <is>
          <t>Only included protection.</t>
        </is>
      </c>
    </row>
    <row r="9">
      <c r="A9" s="17" t="inlineStr">
        <is>
          <t>included N_CRI premium</t>
        </is>
      </c>
      <c r="B9" s="47">
        <f>IF(PLAN_included_N_CRI,PLAN_prem_N_CRI,0)</f>
        <v/>
      </c>
      <c r="C9" s="13" t="inlineStr">
        <is>
          <t>A · input</t>
        </is>
      </c>
      <c r="D9" s="18" t="inlineStr"/>
    </row>
    <row r="10">
      <c r="A10" s="17" t="inlineStr">
        <is>
          <t>included N_TPD premium</t>
        </is>
      </c>
      <c r="B10" s="47">
        <f>IF(PLAN_included_N_TPD,PLAN_prem_N_TPD,0)</f>
        <v/>
      </c>
      <c r="C10" s="13" t="inlineStr">
        <is>
          <t>A · input</t>
        </is>
      </c>
      <c r="D10" s="18" t="inlineStr"/>
    </row>
    <row r="11">
      <c r="A11" s="17" t="inlineStr">
        <is>
          <t>included N_HOS premium</t>
        </is>
      </c>
      <c r="B11" s="47">
        <f>IF(PLAN_included_N_HOS,PLAN_prem_N_HOS,0)</f>
        <v/>
      </c>
      <c r="C11" s="13" t="inlineStr">
        <is>
          <t>A · input</t>
        </is>
      </c>
      <c r="D11" s="18" t="inlineStr"/>
    </row>
    <row r="12">
      <c r="A12" s="17" t="inlineStr">
        <is>
          <t>included N_PAC premium</t>
        </is>
      </c>
      <c r="B12" s="47">
        <f>IF(PLAN_included_N_PAC,PLAN_prem_N_PAC,0)</f>
        <v/>
      </c>
      <c r="C12" s="13" t="inlineStr">
        <is>
          <t>A · input</t>
        </is>
      </c>
      <c r="D12" s="18" t="inlineStr">
        <is>
          <t>V0-16.</t>
        </is>
      </c>
    </row>
    <row r="13">
      <c r="A13" s="17" t="inlineStr">
        <is>
          <t>investMth (from Plan)</t>
        </is>
      </c>
      <c r="B13" s="47">
        <f>PLAN_investMth</f>
        <v/>
      </c>
      <c r="C13" s="13" t="inlineStr">
        <is>
          <t>A · input</t>
        </is>
      </c>
      <c r="D13" s="18" t="inlineStr">
        <is>
          <t>Included wealth contributions.</t>
        </is>
      </c>
    </row>
    <row r="14">
      <c r="A14" s="17" t="inlineStr">
        <is>
          <t>investLump (from Plan)</t>
        </is>
      </c>
      <c r="B14" s="47">
        <f>PLAN_investLump</f>
        <v/>
      </c>
      <c r="C14" s="13" t="inlineStr">
        <is>
          <t>A · input</t>
        </is>
      </c>
      <c r="D14" s="18" t="inlineStr">
        <is>
          <t>Included wealth lumps.</t>
        </is>
      </c>
    </row>
    <row r="16">
      <c r="A16" s="19" t="inlineStr">
        <is>
          <t>D · ASSUMPTIONS / SHARED DATA</t>
        </is>
      </c>
      <c r="B16" s="19" t="n"/>
      <c r="C16" s="19" t="n"/>
      <c r="D16" s="19" t="n"/>
    </row>
    <row r="17">
      <c r="A17" s="38" t="inlineStr">
        <is>
          <t>FREE_BUDGET_SHARE</t>
        </is>
      </c>
      <c r="B17" s="40">
        <f>FREE_BUDGET_SHARE</f>
        <v/>
      </c>
      <c r="C17" s="36" t="inlineStr">
        <is>
          <t>D · assumption / shared</t>
        </is>
      </c>
      <c r="D17" s="18" t="inlineStr">
        <is>
          <t>Half of monthly surplus is the free budget.</t>
        </is>
      </c>
    </row>
    <row r="19">
      <c r="A19" s="16" t="inlineStr">
        <is>
          <t>C · DETERMINISTICALLY CALCULATED  —  planAfford</t>
        </is>
      </c>
      <c r="B19" s="16" t="n"/>
      <c r="C19" s="16" t="n"/>
      <c r="D19" s="16" t="n"/>
    </row>
    <row r="20">
      <c r="A20" s="26" t="inlineStr">
        <is>
          <t>available</t>
        </is>
      </c>
      <c r="B20" s="28">
        <f>MAX(0,PLU_takeHome-PLU_expenseMonthly)</f>
        <v/>
      </c>
      <c r="C20" s="27" t="inlineStr">
        <is>
          <t>C · calculated</t>
        </is>
      </c>
      <c r="D20" s="18" t="inlineStr">
        <is>
          <t>max(0, take-home − expense).</t>
        </is>
      </c>
    </row>
    <row r="21">
      <c r="A21" s="26" t="inlineStr">
        <is>
          <t>free (50%)</t>
        </is>
      </c>
      <c r="B21" s="29">
        <f>ROUND(B20*FREE_BUDGET_SHARE,0)</f>
        <v/>
      </c>
      <c r="C21" s="27" t="inlineStr">
        <is>
          <t>C · calculated</t>
        </is>
      </c>
      <c r="D21" s="18" t="inlineStr">
        <is>
          <t>available × 50%, rounded.</t>
        </is>
      </c>
    </row>
    <row r="22">
      <c r="A22" s="26" t="inlineStr">
        <is>
          <t>included prot prem / yr</t>
        </is>
      </c>
      <c r="B22" s="29">
        <f>IF(PLAN_included_N_INC,PLAN_prem_N_INC,0)+IF(PLAN_included_N_CRI,PLAN_prem_N_CRI,0)+IF(PLAN_included_N_TPD,PLAN_prem_N_TPD,0)+IF(PLAN_included_N_HOS,PLAN_prem_N_HOS,0)+IF(PLAN_included_N_PAC,PLAN_prem_N_PAC,0)</f>
        <v/>
      </c>
      <c r="C22" s="27" t="inlineStr">
        <is>
          <t>C · calculated</t>
        </is>
      </c>
      <c r="D22" s="18" t="inlineStr">
        <is>
          <t>Sum of included protection premiums.</t>
        </is>
      </c>
    </row>
    <row r="23">
      <c r="A23" s="26" t="inlineStr">
        <is>
          <t>premMth (display)</t>
        </is>
      </c>
      <c r="B23" s="29">
        <f>ROUND(B22/12,0)</f>
        <v/>
      </c>
      <c r="C23" s="27" t="inlineStr">
        <is>
          <t>C · calculated</t>
        </is>
      </c>
      <c r="D23" s="18" t="inlineStr">
        <is>
          <t>Annual premiums / 12.</t>
        </is>
      </c>
    </row>
    <row r="24">
      <c r="A24" s="26" t="inlineStr">
        <is>
          <t>contribMth</t>
        </is>
      </c>
      <c r="B24" s="29">
        <f>PLAN_investMth</f>
        <v/>
      </c>
      <c r="C24" s="27" t="inlineStr">
        <is>
          <t>C · calculated</t>
        </is>
      </c>
      <c r="D24" s="18" t="inlineStr">
        <is>
          <t>Same as investMth.</t>
        </is>
      </c>
    </row>
    <row r="25">
      <c r="A25" s="26" t="inlineStr">
        <is>
          <t>monthly</t>
        </is>
      </c>
      <c r="B25" s="29">
        <f>ROUND(PLAN_investMth+B22/12,0)</f>
        <v/>
      </c>
      <c r="C25" s="27" t="inlineStr">
        <is>
          <t>C · calculated</t>
        </is>
      </c>
      <c r="D25" s="18" t="inlineStr">
        <is>
          <t>contrib + prem/12.</t>
        </is>
      </c>
    </row>
    <row r="26">
      <c r="A26" s="26" t="inlineStr">
        <is>
          <t>monthlyOver</t>
        </is>
      </c>
      <c r="B26" s="29">
        <f>B25-B21</f>
        <v/>
      </c>
      <c r="C26" s="27" t="inlineStr">
        <is>
          <t>C · calculated</t>
        </is>
      </c>
      <c r="D26" s="18" t="inlineStr">
        <is>
          <t>&gt; 0 means the plan exceeds the free budget.</t>
        </is>
      </c>
    </row>
    <row r="27">
      <c r="A27" s="26" t="inlineStr">
        <is>
          <t>lumps</t>
        </is>
      </c>
      <c r="B27" s="29">
        <f>PLAN_investLump</f>
        <v/>
      </c>
      <c r="C27" s="27" t="inlineStr">
        <is>
          <t>C · calculated</t>
        </is>
      </c>
      <c r="D27" s="18" t="inlineStr">
        <is>
          <t>Included lumps.</t>
        </is>
      </c>
    </row>
    <row r="28">
      <c r="A28" s="26" t="inlineStr">
        <is>
          <t>lumpOver</t>
        </is>
      </c>
      <c r="B28" s="29">
        <f>B27-PLU_investments</f>
        <v/>
      </c>
      <c r="C28" s="27" t="inlineStr">
        <is>
          <t>C · calculated</t>
        </is>
      </c>
      <c r="D28" s="18" t="inlineStr">
        <is>
          <t>&gt; 0 means lumps exceed current investments.</t>
        </is>
      </c>
    </row>
  </sheetData>
  <mergeCells count="4">
    <mergeCell ref="A19:D19"/>
    <mergeCell ref="A1:D1"/>
    <mergeCell ref="A4:D4"/>
    <mergeCell ref="A16:D16"/>
  </mergeCells>
  <conditionalFormatting sqref="B26">
    <cfRule type="expression" priority="1" dxfId="0">
      <formula>B26&gt;0</formula>
    </cfRule>
    <cfRule type="expression" priority="2" dxfId="1">
      <formula>B26&lt;=0</formula>
    </cfRule>
  </conditionalFormatting>
  <conditionalFormatting sqref="B28">
    <cfRule type="expression" priority="3" dxfId="0">
      <formula>B28&gt;0</formula>
    </cfRule>
    <cfRule type="expression" priority="4" dxfId="1">
      <formula>B28&lt;=0</formula>
    </cfRule>
  </conditionalFormatting>
  <pageMargins left="0.75" right="0.75" top="1" bottom="1" header="0.5" footer="0.5"/>
</worksheet>
</file>

<file path=xl/worksheets/sheet11.xml><?xml version="1.0" encoding="utf-8"?>
<worksheet xmlns="http://schemas.openxmlformats.org/spreadsheetml/2006/main">
  <sheetPr>
    <tabColor rgb="002F5597"/>
    <outlinePr summaryBelow="1" summaryRight="1"/>
    <pageSetUpPr/>
  </sheetPr>
  <dimension ref="A1:AR211"/>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s>
  <sheetData>
    <row r="1" ht="28" customHeight="1">
      <c r="A1" s="1" t="inlineStr">
        <is>
          <t>Scenario Visualizer — selected persona. One deterministic path of SV CashFlowGeneratorV2 on GP's payload.</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(People Like You, Need Calculator, Plan Calculator)</t>
        </is>
      </c>
      <c r="B4" s="12" t="n"/>
      <c r="C4" s="12" t="n"/>
      <c r="D4" s="12" t="n"/>
      <c r="F4" s="16" t="inlineStr">
        <is>
          <t>C · DETERMINISTICALLY CALCULATED</t>
        </is>
      </c>
      <c r="H4" s="19" t="inlineStr">
        <is>
          <t>D · SV CPF TABLES  —  SocialSecurityR_SGP (by age at contribution)</t>
        </is>
      </c>
      <c r="I4" s="34" t="n"/>
      <c r="J4" s="34" t="n"/>
      <c r="K4" s="34" t="n"/>
      <c r="L4" s="34" t="n"/>
      <c r="M4" s="34" t="n"/>
      <c r="N4" s="35" t="n"/>
    </row>
    <row r="5">
      <c r="A5" s="17" t="inlineStr">
        <is>
          <t>age</t>
        </is>
      </c>
      <c r="B5" s="20">
        <f>IFERROR(INDEX(Personas!C$3:C$52,MATCH($B$2,Personas!$A$3:$A$52,0)),"")</f>
        <v/>
      </c>
      <c r="C5" s="13" t="inlineStr">
        <is>
          <t>A · input</t>
        </is>
      </c>
      <c r="D5" s="18" t="inlineStr">
        <is>
          <t>Personas C.</t>
        </is>
      </c>
      <c r="F5" s="19"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7" t="inlineStr">
        <is>
          <t>residency</t>
        </is>
      </c>
      <c r="B6" s="13">
        <f>IFERROR(INDEX(Personas!E$3:E$52,MATCH($B$2,Personas!$A$3:$A$52,0)),"")</f>
        <v/>
      </c>
      <c r="C6" s="13" t="inlineStr">
        <is>
          <t>A · input</t>
        </is>
      </c>
      <c r="D6" s="18" t="inlineStr">
        <is>
          <t>Personas E. sv_payload.py sends CPF region R_SGP unless Foreigner.</t>
        </is>
      </c>
      <c r="F6" s="21" t="inlineStr">
        <is>
          <t>E · USER / FRONTEND OVERRIDE</t>
        </is>
      </c>
      <c r="H6" s="44" t="n">
        <v>0</v>
      </c>
      <c r="I6" s="44" t="n">
        <v>35</v>
      </c>
      <c r="J6" s="45" t="n">
        <v>0.37</v>
      </c>
      <c r="K6" s="45" t="n">
        <v>0.2</v>
      </c>
      <c r="L6" s="45" t="n">
        <v>0.6217</v>
      </c>
      <c r="M6" s="45" t="n">
        <v>0.1621</v>
      </c>
      <c r="N6" s="45" t="n">
        <v>0.2162</v>
      </c>
    </row>
    <row r="7">
      <c r="A7" s="17" t="inlineStr">
        <is>
          <t>incomeMonthly</t>
        </is>
      </c>
      <c r="B7" s="37">
        <f>PLU_incomeMonthly</f>
        <v/>
      </c>
      <c r="C7" s="13" t="inlineStr">
        <is>
          <t>A · input</t>
        </is>
      </c>
      <c r="D7" s="18" t="inlineStr">
        <is>
          <t>Salary I_SAL = round(× 12).</t>
        </is>
      </c>
      <c r="H7" s="44" t="n">
        <v>36</v>
      </c>
      <c r="I7" s="44" t="n">
        <v>45</v>
      </c>
      <c r="J7" s="45" t="n">
        <v>0.37</v>
      </c>
      <c r="K7" s="45" t="n">
        <v>0.2</v>
      </c>
      <c r="L7" s="45" t="n">
        <v>0.5677</v>
      </c>
      <c r="M7" s="45" t="n">
        <v>0.1891</v>
      </c>
      <c r="N7" s="45" t="n">
        <v>0.2432</v>
      </c>
    </row>
    <row r="8">
      <c r="A8" s="17" t="inlineStr">
        <is>
          <t>take-home</t>
        </is>
      </c>
      <c r="B8" s="37">
        <f>PLU_takeHome</f>
        <v/>
      </c>
      <c r="C8" s="13" t="inlineStr">
        <is>
          <t>A · input</t>
        </is>
      </c>
      <c r="D8" s="18" t="inlineStr">
        <is>
          <t>Investment contribution = take-home − spend.</t>
        </is>
      </c>
      <c r="H8" s="44" t="n">
        <v>46</v>
      </c>
      <c r="I8" s="44" t="n">
        <v>50</v>
      </c>
      <c r="J8" s="45" t="n">
        <v>0.37</v>
      </c>
      <c r="K8" s="45" t="n">
        <v>0.2</v>
      </c>
      <c r="L8" s="45" t="n">
        <v>0.5135999999999999</v>
      </c>
      <c r="M8" s="45" t="n">
        <v>0.2162</v>
      </c>
      <c r="N8" s="45" t="n">
        <v>0.2702</v>
      </c>
    </row>
    <row r="9">
      <c r="A9" s="17" t="inlineStr">
        <is>
          <t>expenseMonthly</t>
        </is>
      </c>
      <c r="B9" s="37">
        <f>PLU_expenseMonthly</f>
        <v/>
      </c>
      <c r="C9" s="13" t="inlineStr">
        <is>
          <t>A · input</t>
        </is>
      </c>
      <c r="D9" s="18" t="inlineStr">
        <is>
          <t>PERSONAL_EXPENSE = round(× 12).</t>
        </is>
      </c>
      <c r="H9" s="44" t="n">
        <v>51</v>
      </c>
      <c r="I9" s="44" t="n">
        <v>55</v>
      </c>
      <c r="J9" s="45" t="n">
        <v>0.37</v>
      </c>
      <c r="K9" s="45" t="n">
        <v>0.2</v>
      </c>
      <c r="L9" s="45" t="n">
        <v>0.4055</v>
      </c>
      <c r="M9" s="45" t="n">
        <v>0.3108</v>
      </c>
      <c r="N9" s="45" t="n">
        <v>0.2837</v>
      </c>
    </row>
    <row r="10">
      <c r="A10" s="17" t="inlineStr">
        <is>
          <t>cash</t>
        </is>
      </c>
      <c r="B10" s="47">
        <f>PLU_cash</f>
        <v/>
      </c>
      <c r="C10" s="13" t="inlineStr">
        <is>
          <t>A · input</t>
        </is>
      </c>
      <c r="D10" s="18" t="inlineStr">
        <is>
          <t>A_SAV, grows at interestRate.</t>
        </is>
      </c>
      <c r="H10" s="44" t="n">
        <v>56</v>
      </c>
      <c r="I10" s="44" t="n">
        <v>60</v>
      </c>
      <c r="J10" s="45" t="n">
        <v>0.325</v>
      </c>
      <c r="K10" s="45" t="n">
        <v>0.17</v>
      </c>
      <c r="L10" s="45" t="n">
        <v>0.4069</v>
      </c>
      <c r="M10" s="45" t="n">
        <v>0.2372</v>
      </c>
      <c r="N10" s="45" t="n">
        <v>0.3559</v>
      </c>
    </row>
    <row r="11">
      <c r="A11" s="17" t="inlineStr">
        <is>
          <t>investments</t>
        </is>
      </c>
      <c r="B11" s="47">
        <f>PLU_investments</f>
        <v/>
      </c>
      <c r="C11" s="13" t="inlineStr">
        <is>
          <t>A · input</t>
        </is>
      </c>
      <c r="D11" s="18" t="inlineStr">
        <is>
          <t>INVESTMENT_PORTFOLIO, grows at investmentReturn.</t>
        </is>
      </c>
      <c r="H11" s="44" t="n">
        <v>61</v>
      </c>
      <c r="I11" s="44" t="n">
        <v>65</v>
      </c>
      <c r="J11" s="45" t="n">
        <v>0.235</v>
      </c>
      <c r="K11" s="45" t="n">
        <v>0.115</v>
      </c>
      <c r="L11" s="45" t="n">
        <v>0.1709</v>
      </c>
      <c r="M11" s="45" t="n">
        <v>0.317</v>
      </c>
      <c r="N11" s="45" t="n">
        <v>0.5121</v>
      </c>
    </row>
    <row r="12">
      <c r="A12" s="17" t="inlineStr">
        <is>
          <t>property</t>
        </is>
      </c>
      <c r="B12" s="47">
        <f>PLU_property</f>
        <v/>
      </c>
      <c r="C12" s="13" t="inlineStr">
        <is>
          <t>A · input</t>
        </is>
      </c>
      <c r="D12" s="18" t="inlineStr">
        <is>
          <t>RESIDENTIAL_PROPERTY (illiquid).</t>
        </is>
      </c>
      <c r="H12" s="44" t="n">
        <v>66</v>
      </c>
      <c r="I12" s="44" t="n">
        <v>70</v>
      </c>
      <c r="J12" s="45" t="n">
        <v>0.165</v>
      </c>
      <c r="K12" s="45" t="n">
        <v>0.075</v>
      </c>
      <c r="L12" s="45" t="n">
        <v>0.0646</v>
      </c>
      <c r="M12" s="45" t="n">
        <v>0.258</v>
      </c>
      <c r="N12" s="45" t="n">
        <v>0.6774</v>
      </c>
    </row>
    <row r="13">
      <c r="A13" s="17" t="inlineStr">
        <is>
          <t>mortgage</t>
        </is>
      </c>
      <c r="B13" s="47">
        <f>PLU_mortgage</f>
        <v/>
      </c>
      <c r="C13" s="13" t="inlineStr">
        <is>
          <t>A · input</t>
        </is>
      </c>
      <c r="D13" s="18" t="inlineStr">
        <is>
          <t>Mortgage loan, 20-year annuity at loanRate.</t>
        </is>
      </c>
      <c r="H13" s="44" t="n">
        <v>71</v>
      </c>
      <c r="I13" s="44" t="n">
        <v>999</v>
      </c>
      <c r="J13" s="45" t="n">
        <v>0.125</v>
      </c>
      <c r="K13" s="45" t="n">
        <v>0.05</v>
      </c>
      <c r="L13" s="45" t="n">
        <v>0.08</v>
      </c>
      <c r="M13" s="45" t="n">
        <v>0.08</v>
      </c>
      <c r="N13" s="45" t="n">
        <v>0.84</v>
      </c>
    </row>
    <row r="14">
      <c r="A14" s="17" t="inlineStr">
        <is>
          <t>life sum assured</t>
        </is>
      </c>
      <c r="B14" s="47">
        <f>PLU_lifeSum</f>
        <v/>
      </c>
      <c r="C14" s="13" t="inlineStr">
        <is>
          <t>A · input</t>
        </is>
      </c>
      <c r="D14" s="18" t="inlineStr">
        <is>
          <t>Existing life policy (only when &gt; 0).</t>
        </is>
      </c>
    </row>
    <row r="15">
      <c r="A15" s="17" t="inlineStr">
        <is>
          <t>life premium / yr</t>
        </is>
      </c>
      <c r="B15" s="47">
        <f>PLU_lifePrem</f>
        <v/>
      </c>
      <c r="C15" s="13" t="inlineStr">
        <is>
          <t>A · input</t>
        </is>
      </c>
      <c r="D15" s="18" t="inlineStr">
        <is>
          <t>regularPremium of the existing policy.</t>
        </is>
      </c>
      <c r="H15" s="19" t="inlineStr">
        <is>
          <t>D · CPF LIFE  —  BRS and monthly payout by (55 − age)+ + year − 2023</t>
        </is>
      </c>
      <c r="I15" s="34" t="n"/>
      <c r="J15" s="34" t="n"/>
      <c r="K15" s="34" t="n"/>
      <c r="L15" s="35" t="n"/>
    </row>
    <row r="16">
      <c r="H16" s="3" t="inlineStr">
        <is>
          <t>row</t>
        </is>
      </c>
      <c r="I16" s="3" t="inlineStr">
        <is>
          <t>BRS</t>
        </is>
      </c>
      <c r="J16" s="3" t="inlineStr">
        <is>
          <t>payout × 1</t>
        </is>
      </c>
      <c r="K16" s="3" t="inlineStr">
        <is>
          <t>payout × 2</t>
        </is>
      </c>
      <c r="L16" s="3" t="inlineStr">
        <is>
          <t>payout × 3</t>
        </is>
      </c>
    </row>
    <row r="17">
      <c r="A17" s="19" t="inlineStr">
        <is>
          <t>D · ASSUMPTIONS  —  SV helium tenant conf.ini and SocialSecurityR_SGP</t>
        </is>
      </c>
      <c r="B17" s="19" t="n"/>
      <c r="C17" s="19" t="n"/>
      <c r="D17" s="19" t="n"/>
      <c r="H17" s="39" t="n">
        <v>0</v>
      </c>
      <c r="I17" s="39" t="n">
        <v>99400</v>
      </c>
      <c r="J17" s="39" t="n">
        <v>870</v>
      </c>
      <c r="K17" s="39" t="n">
        <v>1620</v>
      </c>
      <c r="L17" s="39" t="n">
        <v>2370</v>
      </c>
    </row>
    <row r="18">
      <c r="A18" s="38" t="inlineStr">
        <is>
          <t>lifeExpectancy (SV tenant)</t>
        </is>
      </c>
      <c r="B18" s="44" t="n">
        <v>100</v>
      </c>
      <c r="C18" s="36" t="inlineStr">
        <is>
          <t>D · assumption / shared</t>
        </is>
      </c>
      <c r="D18" s="18" t="inlineStr">
        <is>
          <t>helium conf.ini. The path runs to age 100, not the session LE.</t>
        </is>
      </c>
      <c r="H18" s="39" t="n">
        <v>1</v>
      </c>
      <c r="I18" s="39" t="n">
        <v>102900</v>
      </c>
      <c r="J18" s="39" t="n">
        <v>900</v>
      </c>
      <c r="K18" s="39" t="n">
        <v>1640</v>
      </c>
      <c r="L18" s="39" t="n">
        <v>2350</v>
      </c>
    </row>
    <row r="19">
      <c r="A19" s="38" t="inlineStr">
        <is>
          <t>savingsRate</t>
        </is>
      </c>
      <c r="B19" s="45" t="n">
        <v>0.01</v>
      </c>
      <c r="C19" s="36" t="inlineStr">
        <is>
          <t>D · assumption / shared</t>
        </is>
      </c>
      <c r="D19" s="18" t="inlineStr">
        <is>
          <t>helium conf.ini. Savings account growth; also the premium load (× 1.01).</t>
        </is>
      </c>
      <c r="H19" s="39" t="n">
        <v>2</v>
      </c>
      <c r="I19" s="39" t="n">
        <v>106500</v>
      </c>
      <c r="J19" s="39" t="n">
        <v>930</v>
      </c>
      <c r="K19" s="39" t="n">
        <v>1730</v>
      </c>
      <c r="L19" s="39" t="n">
        <v>2530</v>
      </c>
    </row>
    <row r="20">
      <c r="A20" s="38" t="inlineStr">
        <is>
          <t>ageOfRetirement</t>
        </is>
      </c>
      <c r="B20" s="44">
        <f>ageOfRetirement</f>
        <v/>
      </c>
      <c r="C20" s="36" t="inlineStr">
        <is>
          <t>D · assumption / shared</t>
        </is>
      </c>
      <c r="D20" s="18" t="inlineStr">
        <is>
          <t>Assumptions.</t>
        </is>
      </c>
      <c r="H20" s="39" t="n">
        <v>3</v>
      </c>
      <c r="I20" s="39" t="n">
        <v>110200</v>
      </c>
      <c r="J20" s="39" t="n">
        <v>950</v>
      </c>
      <c r="K20" s="39" t="n">
        <v>1780</v>
      </c>
      <c r="L20" s="39" t="n">
        <v>2610</v>
      </c>
    </row>
    <row r="21">
      <c r="A21" s="38" t="inlineStr">
        <is>
          <t>loan / premium term (years)</t>
        </is>
      </c>
      <c r="B21" s="44" t="n">
        <v>20</v>
      </c>
      <c r="C21" s="36" t="inlineStr">
        <is>
          <t>D · assumption / shared</t>
        </is>
      </c>
      <c r="D21" s="18" t="inlineStr">
        <is>
          <t>Mortgage remainingYears and existing policyTerm in sv_payload.py.</t>
        </is>
      </c>
      <c r="H21" s="39" t="n">
        <v>4</v>
      </c>
      <c r="I21" s="39" t="n">
        <v>114100</v>
      </c>
      <c r="J21" s="39" t="n">
        <v>980</v>
      </c>
      <c r="K21" s="39" t="n">
        <v>1840</v>
      </c>
      <c r="L21" s="39" t="n">
        <v>2690</v>
      </c>
    </row>
    <row r="22">
      <c r="A22" s="38" t="inlineStr">
        <is>
          <t>property rate premium</t>
        </is>
      </c>
      <c r="B22" s="45" t="n">
        <v>0.004</v>
      </c>
      <c r="C22" s="36" t="inlineStr">
        <is>
          <t>D · assumption / shared</t>
        </is>
      </c>
      <c r="D22" s="18" t="inlineStr">
        <is>
          <t>Property grows at max(0, assetReturn + 0.4%).</t>
        </is>
      </c>
    </row>
    <row r="23">
      <c r="A23" s="38" t="inlineStr">
        <is>
          <t>currency shock share</t>
        </is>
      </c>
      <c r="B23" s="56" t="n">
        <v>0.6666666666666666</v>
      </c>
      <c r="C23" s="36" t="inlineStr">
        <is>
          <t>D · assumption / shared</t>
        </is>
      </c>
      <c r="D23" s="18" t="inlineStr">
        <is>
          <t>Liquid assets fall by 2/3 of the slider.</t>
        </is>
      </c>
    </row>
    <row r="24">
      <c r="A24" s="38" t="inlineStr">
        <is>
          <t>CPF ordinary-wage cap / yr</t>
        </is>
      </c>
      <c r="B24" s="39" t="n">
        <v>96000</v>
      </c>
      <c r="C24" s="36" t="inlineStr">
        <is>
          <t>D · assumption / shared</t>
        </is>
      </c>
      <c r="D24" s="18" t="inlineStr">
        <is>
          <t>SocialSecurityR_SGP.</t>
        </is>
      </c>
    </row>
    <row r="25">
      <c r="A25" s="38" t="inlineStr">
        <is>
          <t>CPF MA cap</t>
        </is>
      </c>
      <c r="B25" s="39" t="n">
        <v>63000</v>
      </c>
      <c r="C25" s="36" t="inlineStr">
        <is>
          <t>D · assumption / shared</t>
        </is>
      </c>
      <c r="D25" s="18" t="inlineStr">
        <is>
          <t>Medisave excess moves to RA at payout age; MA is capped from then.</t>
        </is>
      </c>
    </row>
    <row r="26">
      <c r="A26" s="38" t="inlineStr">
        <is>
          <t>CPF OA rate</t>
        </is>
      </c>
      <c r="B26" s="40" t="n">
        <v>0.025</v>
      </c>
      <c r="C26" s="36" t="inlineStr">
        <is>
          <t>D · assumption / shared</t>
        </is>
      </c>
      <c r="D26" s="18" t="inlineStr"/>
    </row>
    <row r="27">
      <c r="A27" s="38" t="inlineStr">
        <is>
          <t>CPF SA / MA rate</t>
        </is>
      </c>
      <c r="B27" s="40" t="n">
        <v>0.04</v>
      </c>
      <c r="C27" s="36" t="inlineStr">
        <is>
          <t>D · assumption / shared</t>
        </is>
      </c>
      <c r="D27" s="18" t="inlineStr"/>
    </row>
    <row r="28">
      <c r="A28" s="38" t="inlineStr">
        <is>
          <t>CPF RA / LIFE growth factor</t>
        </is>
      </c>
      <c r="B28" s="54" t="n">
        <v>1.04</v>
      </c>
      <c r="C28" s="36" t="inlineStr">
        <is>
          <t>D · assumption / shared</t>
        </is>
      </c>
      <c r="D28" s="18" t="inlineStr">
        <is>
          <t>RA and the CPF LIFE pot grow × 1.04 a year.</t>
        </is>
      </c>
    </row>
    <row r="29">
      <c r="A29" s="38" t="inlineStr">
        <is>
          <t>BRS / payout growth</t>
        </is>
      </c>
      <c r="B29" s="40" t="n">
        <v>0.03</v>
      </c>
      <c r="C29" s="36" t="inlineStr">
        <is>
          <t>D · assumption / shared</t>
        </is>
      </c>
      <c r="D29" s="18" t="inlineStr">
        <is>
          <t>Past the 2027 row, and per year of payout age past 55.</t>
        </is>
      </c>
    </row>
    <row r="30">
      <c r="A30" s="38" t="inlineStr">
        <is>
          <t>payout bonus per deferral year</t>
        </is>
      </c>
      <c r="B30" s="40" t="n">
        <v>0.07000000000000001</v>
      </c>
      <c r="C30" s="36" t="inlineStr">
        <is>
          <t>D · assumption / shared</t>
        </is>
      </c>
      <c r="D30" s="18" t="inlineStr">
        <is>
          <t>× (1 + 7% × (payout age − 65)).</t>
        </is>
      </c>
    </row>
    <row r="32">
      <c r="A32" s="16" t="inlineStr">
        <is>
          <t>C · DETERMINISTICALLY CALCULATED  —  sv_payload.py values as SV reads them</t>
        </is>
      </c>
      <c r="B32" s="16" t="n"/>
      <c r="C32" s="16" t="n"/>
      <c r="D32" s="16" t="n"/>
    </row>
    <row r="33">
      <c r="A33" s="26" t="inlineStr">
        <is>
          <t>years on the path (T)</t>
        </is>
      </c>
      <c r="B33" s="46">
        <f>MAX(SV_LE-SV_age,0)</f>
        <v/>
      </c>
      <c r="C33" s="27" t="inlineStr">
        <is>
          <t>C · calculated</t>
        </is>
      </c>
      <c r="D33" s="18" t="inlineStr">
        <is>
          <t>SV numYears = 100 − age.</t>
        </is>
      </c>
    </row>
    <row r="34">
      <c r="A34" s="26" t="inlineStr">
        <is>
          <t>array length (T + 1)</t>
        </is>
      </c>
      <c r="B34" s="46">
        <f>SV_T+1</f>
        <v/>
      </c>
      <c r="C34" s="27" t="inlineStr">
        <is>
          <t>C · calculated</t>
        </is>
      </c>
      <c r="D34" s="18" t="inlineStr">
        <is>
          <t>Asset / CPF columns run 0..T.</t>
        </is>
      </c>
    </row>
    <row r="35">
      <c r="A35" s="26" t="inlineStr">
        <is>
          <t>years to retirement</t>
        </is>
      </c>
      <c r="B35" s="46">
        <f>MAX(SV_ret-SV_age,0)</f>
        <v/>
      </c>
      <c r="C35" s="27" t="inlineStr">
        <is>
          <t>C · calculated</t>
        </is>
      </c>
      <c r="D35" s="18" t="inlineStr"/>
    </row>
    <row r="36">
      <c r="A36" s="26" t="inlineStr">
        <is>
          <t>salary zero from index</t>
        </is>
      </c>
      <c r="B36" s="46">
        <f>IF(SV_dtr&gt;=1,SV_dtr-1,SV_T-1)</f>
        <v/>
      </c>
      <c r="C36" s="27" t="inlineStr">
        <is>
          <t>C · calculated</t>
        </is>
      </c>
      <c r="D36" s="18" t="inlineStr">
        <is>
          <t>numpy arr[dtr−1:] = 0. When dtr = 0 only the last year is zeroed (SV keeps salary for retirees).</t>
        </is>
      </c>
    </row>
    <row r="37">
      <c r="A37" s="26" t="inlineStr">
        <is>
          <t>salary / yr</t>
        </is>
      </c>
      <c r="B37" s="29">
        <f>IF(MOD(SV_income*12,1)=0.5,2*ROUND((SV_income*12)/2,0),ROUND(SV_income*12,0))</f>
        <v/>
      </c>
      <c r="C37" s="27" t="inlineStr">
        <is>
          <t>C · calculated</t>
        </is>
      </c>
      <c r="D37" s="18" t="inlineStr">
        <is>
          <t>I_SAL absoluteValue. Python round (half to even).</t>
        </is>
      </c>
    </row>
    <row r="38">
      <c r="A38" s="26" t="inlineStr">
        <is>
          <t>spend / yr</t>
        </is>
      </c>
      <c r="B38" s="29">
        <f>IF(MOD(SV_expense*12,1)=0.5,2*ROUND((SV_expense*12)/2,0),ROUND(SV_expense*12,0))</f>
        <v/>
      </c>
      <c r="C38" s="27" t="inlineStr">
        <is>
          <t>C · calculated</t>
        </is>
      </c>
      <c r="D38" s="18" t="inlineStr">
        <is>
          <t>PERSONAL_EXPENSE absoluteValue. Python round (half to even).</t>
        </is>
      </c>
    </row>
    <row r="39">
      <c r="A39" s="26" t="inlineStr">
        <is>
          <t>mortgage principal</t>
        </is>
      </c>
      <c r="B39" s="29">
        <f>INT(SV_mortgage)</f>
        <v/>
      </c>
      <c r="C39" s="27" t="inlineStr">
        <is>
          <t>C · calculated</t>
        </is>
      </c>
      <c r="D39" s="18" t="inlineStr">
        <is>
          <t>int(mortgage).</t>
        </is>
      </c>
    </row>
    <row r="40">
      <c r="A40" s="26" t="inlineStr">
        <is>
          <t>mortgage instalment / yr</t>
        </is>
      </c>
      <c r="B40" s="29">
        <f>IF(SV_mortgage&gt;0,IF(MOD(IF(loanRate=0,SV_mortgage/SV_loanYears,SV_mortgage*loanRate/(1-(1+loanRate)^(-SV_loanYears))),1)=0.5,2*ROUND((IF(loanRate=0,SV_mortgage/SV_loanYears,SV_mortgage*loanRate/(1-(1+loanRate)^(-SV_loanYears))))/2,0),ROUND(IF(loanRate=0,SV_mortgage/SV_loanYears,SV_mortgage*loanRate/(1-(1+loanRate)^(-SV_loanYears))),0)),0)</f>
        <v/>
      </c>
      <c r="C40" s="27" t="inlineStr">
        <is>
          <t>C · calculated</t>
        </is>
      </c>
      <c r="D40" s="18" t="inlineStr">
        <is>
          <t>Level annual annuity that clears the loan in 20 years, interest included (goal_math.annual_loan_payment). rate 0 → mortgage / 20. Paid from spend for 20 years. Python round (half to even).</t>
        </is>
      </c>
    </row>
    <row r="41">
      <c r="A41" s="26" t="inlineStr">
        <is>
          <t>investment contribution / yr</t>
        </is>
      </c>
      <c r="B41" s="29">
        <f>IF(MOD(MAX(0,SV_takeHome-SV_expense),1)=0.5,2*ROUND((MAX(0,SV_takeHome-SV_expense))/2,0),ROUND(MAX(0,SV_takeHome-SV_expense),0))</f>
        <v/>
      </c>
      <c r="C41" s="27" t="inlineStr">
        <is>
          <t>C · calculated</t>
        </is>
      </c>
      <c r="D41" s="18" t="inlineStr">
        <is>
          <t>sv_payload.py sends the MONTHLY surplus; SV adds it once a year. Python round (half to even).</t>
        </is>
      </c>
    </row>
    <row r="42">
      <c r="A42" s="26" t="inlineStr">
        <is>
          <t>existing life premium / yr</t>
        </is>
      </c>
      <c r="B42" s="28">
        <f>IF(SV_lifeSum&gt;0,SV_lifePrem,0)*(1+SV_savRate)</f>
        <v/>
      </c>
      <c r="C42" s="27" t="inlineStr">
        <is>
          <t>C · calculated</t>
        </is>
      </c>
      <c r="D42" s="18" t="inlineStr">
        <is>
          <t>InsuranceBaseClass premium × (1 + savingsRate), first 20 years.</t>
        </is>
      </c>
    </row>
    <row r="43">
      <c r="A43" s="26" t="inlineStr">
        <is>
          <t>property growth</t>
        </is>
      </c>
      <c r="B43" s="57">
        <f>MAX(0,assetReturn+SV_propPremium)</f>
        <v/>
      </c>
      <c r="C43" s="27" t="inlineStr">
        <is>
          <t>C · calculated</t>
        </is>
      </c>
      <c r="D43" s="18" t="inlineStr"/>
    </row>
    <row r="44">
      <c r="A44" s="26" t="inlineStr">
        <is>
          <t>goal withdrawal year</t>
        </is>
      </c>
      <c r="B44" s="46">
        <f>IF(NC_eduYears&gt;=1,NC_eduYears,SV_T)</f>
        <v/>
      </c>
      <c r="C44" s="27" t="inlineStr">
        <is>
          <t>C · calculated</t>
        </is>
      </c>
      <c r="D44" s="18" t="inlineStr">
        <is>
          <t>EDU / SAV / PRP fundsNeededYear − now (default 10).</t>
        </is>
      </c>
    </row>
    <row r="45">
      <c r="A45" s="26" t="inlineStr">
        <is>
          <t>goal withdrawal amount</t>
        </is>
      </c>
      <c r="B45" s="29">
        <f>IF(NC_eduYears&lt;=SV_T,NC_on_N_EDU*NC_amount_N_EDU+NC_on_N_SAV*NC_amount_N_SAV+NC_on_N_PRP*NC_amount_N_PRP,0)</f>
        <v/>
      </c>
      <c r="C45" s="27" t="inlineStr">
        <is>
          <t>C · calculated</t>
        </is>
      </c>
      <c r="D45" s="18" t="inlineStr">
        <is>
          <t>capitalSumRequired of each enabled goal, not inflated. Leaves savings in that year.</t>
        </is>
      </c>
    </row>
    <row r="46">
      <c r="A46" s="26" t="inlineStr">
        <is>
          <t>plan RET monthly</t>
        </is>
      </c>
      <c r="B46" s="29">
        <f>IF(PLAN_included_N_RET,PLAN_mth_N_RET,0)</f>
        <v/>
      </c>
      <c r="C46" s="27" t="inlineStr">
        <is>
          <t>C · calculated</t>
        </is>
      </c>
      <c r="D46" s="18" t="inlineStr">
        <is>
          <t>plan_benefit_visualizer pot.</t>
        </is>
      </c>
    </row>
    <row r="47">
      <c r="A47" s="26" t="inlineStr">
        <is>
          <t>plan RET lump</t>
        </is>
      </c>
      <c r="B47" s="29">
        <f>IF(PLAN_included_N_RET,PLAN_lump_N_RET,0)</f>
        <v/>
      </c>
      <c r="C47" s="27" t="inlineStr">
        <is>
          <t>C · calculated</t>
        </is>
      </c>
      <c r="D47" s="18" t="inlineStr"/>
    </row>
    <row r="48">
      <c r="A48" s="26" t="inlineStr">
        <is>
          <t>plan RET pay years</t>
        </is>
      </c>
      <c r="B48" s="46">
        <f>MAX(1,SV_ret-SV_age)</f>
        <v/>
      </c>
      <c r="C48" s="27" t="inlineStr">
        <is>
          <t>C · calculated</t>
        </is>
      </c>
      <c r="D48" s="18" t="inlineStr"/>
    </row>
    <row r="49">
      <c r="A49" s="26" t="inlineStr">
        <is>
          <t>plan EDU + SAV + PRP monthly</t>
        </is>
      </c>
      <c r="B49" s="29">
        <f>IF(PLAN_included_N_EDU,PLAN_mth_N_EDU,0)+IF(PLAN_included_N_SAV,PLAN_mth_N_SAV,0)+IF(PLAN_included_N_PRP,PLAN_mth_N_PRP,0)</f>
        <v/>
      </c>
      <c r="C49" s="27" t="inlineStr">
        <is>
          <t>C · calculated</t>
        </is>
      </c>
      <c r="D49" s="18" t="inlineStr">
        <is>
          <t>Same pay years and rate, so one pot column.</t>
        </is>
      </c>
    </row>
    <row r="50">
      <c r="A50" s="26" t="inlineStr">
        <is>
          <t>plan EDU + SAV + PRP lump</t>
        </is>
      </c>
      <c r="B50" s="29">
        <f>IF(PLAN_included_N_EDU,PLAN_lump_N_EDU,0)+IF(PLAN_included_N_SAV,PLAN_lump_N_SAV,0)+IF(PLAN_included_N_PRP,PLAN_lump_N_PRP,0)</f>
        <v/>
      </c>
      <c r="C50" s="27" t="inlineStr">
        <is>
          <t>C · calculated</t>
        </is>
      </c>
      <c r="D50" s="18" t="inlineStr"/>
    </row>
    <row r="51">
      <c r="A51" s="26" t="inlineStr">
        <is>
          <t>plan goal pay years</t>
        </is>
      </c>
      <c r="B51" s="46">
        <f>MAX(1,NC_eduYears)</f>
        <v/>
      </c>
      <c r="C51" s="27" t="inlineStr">
        <is>
          <t>C · calculated</t>
        </is>
      </c>
      <c r="D51" s="18" t="inlineStr"/>
    </row>
    <row r="52">
      <c r="A52" s="26" t="inlineStr">
        <is>
          <t>plan protection premium / yr</t>
        </is>
      </c>
      <c r="B52" s="29">
        <f>IF(PLAN_included_N_INC,PLAN_prem_N_INC,0)+IF(PLAN_included_N_CRI,PLAN_prem_N_CRI,0)+IF(PLAN_included_N_TPD,PLAN_prem_N_TPD,0)+IF(PLAN_included_N_HOS,PLAN_prem_N_HOS,0)+IF(PLAN_included_N_PAC,PLAN_prem_N_PAC,0)</f>
        <v/>
      </c>
      <c r="C52" s="27" t="inlineStr">
        <is>
          <t>C · calculated</t>
        </is>
      </c>
      <c r="D52" s="18" t="inlineStr">
        <is>
          <t>Premiums only: protection pots have no account value on SV's no-death path. Includes N_PAC (V0-16).</t>
        </is>
      </c>
    </row>
    <row r="53">
      <c r="A53" s="26" t="inlineStr">
        <is>
          <t>plan protection pay years</t>
        </is>
      </c>
      <c r="B53" s="46">
        <f>MAX(1,SV_ret-SV_age)</f>
        <v/>
      </c>
      <c r="C53" s="27" t="inlineStr">
        <is>
          <t>C · calculated</t>
        </is>
      </c>
      <c r="D53" s="18" t="inlineStr"/>
    </row>
    <row r="55">
      <c r="A55" s="21" t="inlineStr">
        <is>
          <t>E · OVERRIDE  —  stress events (blank size = off). Slider years as on the SV screen</t>
        </is>
      </c>
      <c r="B55" s="21" t="n"/>
      <c r="C55" s="21" t="n"/>
      <c r="D55" s="21" t="n"/>
    </row>
    <row r="56">
      <c r="A56" s="41" t="inlineStr">
        <is>
          <t>R_MKT market crash: year</t>
        </is>
      </c>
      <c r="B56" s="53" t="inlineStr"/>
      <c r="C56" s="42" t="inlineStr">
        <is>
          <t>E · user / frontend override</t>
        </is>
      </c>
      <c r="D56" s="18" t="inlineStr">
        <is>
          <t>Slider year; SV applies it at year + 1.</t>
        </is>
      </c>
    </row>
    <row r="57">
      <c r="A57" s="41" t="inlineStr">
        <is>
          <t>R_MKT market crash: size</t>
        </is>
      </c>
      <c r="B57" s="58" t="inlineStr"/>
      <c r="C57" s="42" t="inlineStr">
        <is>
          <t>E · user / frontend override</t>
        </is>
      </c>
      <c r="D57" s="18" t="inlineStr">
        <is>
          <t>e.g. 0.35. Every asset × (1 − size).</t>
        </is>
      </c>
    </row>
    <row r="58">
      <c r="A58" s="41" t="inlineStr">
        <is>
          <t>R_CCY currency shock: year</t>
        </is>
      </c>
      <c r="B58" s="53" t="inlineStr"/>
      <c r="C58" s="42" t="inlineStr">
        <is>
          <t>E · user / frontend override</t>
        </is>
      </c>
      <c r="D58" s="18" t="inlineStr"/>
    </row>
    <row r="59">
      <c r="A59" s="41" t="inlineStr">
        <is>
          <t>R_CCY currency shock: size</t>
        </is>
      </c>
      <c r="B59" s="58" t="inlineStr"/>
      <c r="C59" s="42" t="inlineStr">
        <is>
          <t>E · user / frontend override</t>
        </is>
      </c>
      <c r="D59" s="18" t="inlineStr">
        <is>
          <t>Liquid assets × (1 − size × 2/3).</t>
        </is>
      </c>
    </row>
    <row r="60">
      <c r="A60" s="41" t="inlineStr">
        <is>
          <t>R_INF inflation shock: from</t>
        </is>
      </c>
      <c r="B60" s="53" t="inlineStr"/>
      <c r="C60" s="42" t="inlineStr">
        <is>
          <t>E · user / frontend override</t>
        </is>
      </c>
      <c r="D60" s="18" t="inlineStr"/>
    </row>
    <row r="61">
      <c r="A61" s="41" t="inlineStr">
        <is>
          <t>R_INF inflation shock: to</t>
        </is>
      </c>
      <c r="B61" s="53" t="inlineStr"/>
      <c r="C61" s="42" t="inlineStr">
        <is>
          <t>E · user / frontend override</t>
        </is>
      </c>
      <c r="D61" s="18" t="inlineStr"/>
    </row>
    <row r="62">
      <c r="A62" s="41" t="inlineStr">
        <is>
          <t>R_INF inflation shock: extra</t>
        </is>
      </c>
      <c r="B62" s="59" t="inlineStr"/>
      <c r="C62" s="42" t="inlineStr">
        <is>
          <t>E · user / frontend override</t>
        </is>
      </c>
      <c r="D62" s="18" t="inlineStr">
        <is>
          <t>Added to inflationRate for the window.</t>
        </is>
      </c>
    </row>
    <row r="63">
      <c r="A63" s="41" t="inlineStr">
        <is>
          <t>R_ICT income impact: from</t>
        </is>
      </c>
      <c r="B63" s="53" t="inlineStr"/>
      <c r="C63" s="42" t="inlineStr">
        <is>
          <t>E · user / frontend override</t>
        </is>
      </c>
      <c r="D63" s="18" t="inlineStr"/>
    </row>
    <row r="64">
      <c r="A64" s="41" t="inlineStr">
        <is>
          <t>R_ICT income impact: to</t>
        </is>
      </c>
      <c r="B64" s="53" t="inlineStr"/>
      <c r="C64" s="42" t="inlineStr">
        <is>
          <t>E · user / frontend override</t>
        </is>
      </c>
      <c r="D64" s="18" t="inlineStr"/>
    </row>
    <row r="65">
      <c r="A65" s="41" t="inlineStr">
        <is>
          <t>R_ICT income impact: size</t>
        </is>
      </c>
      <c r="B65" s="58" t="inlineStr"/>
      <c r="C65" s="42" t="inlineStr">
        <is>
          <t>E · user / frontend override</t>
        </is>
      </c>
      <c r="D65" s="18" t="inlineStr">
        <is>
          <t>−0.2 = salary × 0.8 (also the CPF wage).</t>
        </is>
      </c>
    </row>
    <row r="66">
      <c r="A66" s="41" t="inlineStr">
        <is>
          <t>R_EXP expense impact: from</t>
        </is>
      </c>
      <c r="B66" s="53" t="inlineStr"/>
      <c r="C66" s="42" t="inlineStr">
        <is>
          <t>E · user / frontend override</t>
        </is>
      </c>
      <c r="D66" s="18" t="inlineStr"/>
    </row>
    <row r="67">
      <c r="A67" s="41" t="inlineStr">
        <is>
          <t>R_EXP expense impact: to</t>
        </is>
      </c>
      <c r="B67" s="53" t="inlineStr"/>
      <c r="C67" s="42" t="inlineStr">
        <is>
          <t>E · user / frontend override</t>
        </is>
      </c>
      <c r="D67" s="18" t="inlineStr"/>
    </row>
    <row r="68">
      <c r="A68" s="41" t="inlineStr">
        <is>
          <t>R_EXP expense impact: size</t>
        </is>
      </c>
      <c r="B68" s="58" t="inlineStr"/>
      <c r="C68" s="42" t="inlineStr">
        <is>
          <t>E · user / frontend override</t>
        </is>
      </c>
      <c r="D68" s="18" t="inlineStr">
        <is>
          <t>Scales spend, instalment and goal withdrawals.</t>
        </is>
      </c>
    </row>
    <row r="69">
      <c r="A69" s="26" t="inlineStr">
        <is>
          <t>crash on</t>
        </is>
      </c>
      <c r="B69" s="27">
        <f>SV_crashV&lt;&gt;""</f>
        <v/>
      </c>
      <c r="C69" s="27" t="inlineStr">
        <is>
          <t>C · calculated</t>
        </is>
      </c>
      <c r="D69" s="18" t="inlineStr"/>
    </row>
    <row r="70">
      <c r="A70" s="26" t="inlineStr">
        <is>
          <t>crash year (SV)</t>
        </is>
      </c>
      <c r="B70" s="46">
        <f>MAX(1,N(SV_crashY)+1)</f>
        <v/>
      </c>
      <c r="C70" s="27" t="inlineStr">
        <is>
          <t>C · calculated</t>
        </is>
      </c>
      <c r="D70" s="18" t="inlineStr"/>
    </row>
    <row r="71">
      <c r="A71" s="26" t="inlineStr">
        <is>
          <t>crash factor</t>
        </is>
      </c>
      <c r="B71" s="60">
        <f>1-ABS(N(SV_crashV))</f>
        <v/>
      </c>
      <c r="C71" s="27" t="inlineStr">
        <is>
          <t>C · calculated</t>
        </is>
      </c>
      <c r="D71" s="18" t="inlineStr"/>
    </row>
    <row r="72">
      <c r="A72" s="26" t="inlineStr">
        <is>
          <t>currency on</t>
        </is>
      </c>
      <c r="B72" s="27">
        <f>SV_ccyV&lt;&gt;""</f>
        <v/>
      </c>
      <c r="C72" s="27" t="inlineStr">
        <is>
          <t>C · calculated</t>
        </is>
      </c>
      <c r="D72" s="18" t="inlineStr"/>
    </row>
    <row r="73">
      <c r="A73" s="26" t="inlineStr">
        <is>
          <t>currency year (SV)</t>
        </is>
      </c>
      <c r="B73" s="46">
        <f>MAX(1,N(SV_ccyY)+1)</f>
        <v/>
      </c>
      <c r="C73" s="27" t="inlineStr">
        <is>
          <t>C · calculated</t>
        </is>
      </c>
      <c r="D73" s="18" t="inlineStr"/>
    </row>
    <row r="74">
      <c r="A74" s="26" t="inlineStr">
        <is>
          <t>currency factor</t>
        </is>
      </c>
      <c r="B74" s="60">
        <f>1-ABS(N(SV_ccyV))*SV_fxShare</f>
        <v/>
      </c>
      <c r="C74" s="27" t="inlineStr">
        <is>
          <t>C · calculated</t>
        </is>
      </c>
      <c r="D74" s="18" t="inlineStr"/>
    </row>
    <row r="75">
      <c r="A75" s="26" t="inlineStr">
        <is>
          <t>inflation on</t>
        </is>
      </c>
      <c r="B75" s="27">
        <f>SV_inflV&lt;&gt;""</f>
        <v/>
      </c>
      <c r="C75" s="27" t="inlineStr">
        <is>
          <t>C · calculated</t>
        </is>
      </c>
      <c r="D75" s="18" t="inlineStr"/>
    </row>
    <row r="76">
      <c r="A76" s="26" t="inlineStr">
        <is>
          <t>inflation first year (SV)</t>
        </is>
      </c>
      <c r="B76" s="46">
        <f>MAX(1,N(SV_inflFrom)+1)</f>
        <v/>
      </c>
      <c r="C76" s="27" t="inlineStr">
        <is>
          <t>C · calculated</t>
        </is>
      </c>
      <c r="D76" s="18" t="inlineStr"/>
    </row>
    <row r="77">
      <c r="A77" s="26" t="inlineStr">
        <is>
          <t>inflation last year (SV)</t>
        </is>
      </c>
      <c r="B77" s="46">
        <f>MAX(SV_inflS,N(SV_inflTo)+1)</f>
        <v/>
      </c>
      <c r="C77" s="27" t="inlineStr">
        <is>
          <t>C · calculated</t>
        </is>
      </c>
      <c r="D77" s="18" t="inlineStr"/>
    </row>
    <row r="78">
      <c r="A78" s="26" t="inlineStr">
        <is>
          <t>income on</t>
        </is>
      </c>
      <c r="B78" s="27">
        <f>SV_incV&lt;&gt;""</f>
        <v/>
      </c>
      <c r="C78" s="27" t="inlineStr">
        <is>
          <t>C · calculated</t>
        </is>
      </c>
      <c r="D78" s="18" t="inlineStr"/>
    </row>
    <row r="79">
      <c r="A79" s="26" t="inlineStr">
        <is>
          <t>income first year (SV)</t>
        </is>
      </c>
      <c r="B79" s="46">
        <f>MAX(1,N(SV_incFrom)+1)</f>
        <v/>
      </c>
      <c r="C79" s="27" t="inlineStr">
        <is>
          <t>C · calculated</t>
        </is>
      </c>
      <c r="D79" s="18" t="inlineStr"/>
    </row>
    <row r="80">
      <c r="A80" s="26" t="inlineStr">
        <is>
          <t>income last year (SV)</t>
        </is>
      </c>
      <c r="B80" s="46">
        <f>MAX(SV_incS,N(SV_incTo)+1)</f>
        <v/>
      </c>
      <c r="C80" s="27" t="inlineStr">
        <is>
          <t>C · calculated</t>
        </is>
      </c>
      <c r="D80" s="18" t="inlineStr"/>
    </row>
    <row r="81">
      <c r="A81" s="26" t="inlineStr">
        <is>
          <t>expense on</t>
        </is>
      </c>
      <c r="B81" s="27">
        <f>SV_expV&lt;&gt;""</f>
        <v/>
      </c>
      <c r="C81" s="27" t="inlineStr">
        <is>
          <t>C · calculated</t>
        </is>
      </c>
      <c r="D81" s="18" t="inlineStr"/>
    </row>
    <row r="82">
      <c r="A82" s="26" t="inlineStr">
        <is>
          <t>expense first year (SV)</t>
        </is>
      </c>
      <c r="B82" s="46">
        <f>MAX(1,N(SV_expFrom)+1)</f>
        <v/>
      </c>
      <c r="C82" s="27" t="inlineStr">
        <is>
          <t>C · calculated</t>
        </is>
      </c>
      <c r="D82" s="18" t="inlineStr"/>
    </row>
    <row r="83">
      <c r="A83" s="26" t="inlineStr">
        <is>
          <t>expense last year (SV)</t>
        </is>
      </c>
      <c r="B83" s="46">
        <f>MAX(SV_expS,N(SV_expTo)+1)</f>
        <v/>
      </c>
      <c r="C83" s="27" t="inlineStr">
        <is>
          <t>C · calculated</t>
        </is>
      </c>
      <c r="D83" s="18" t="inlineStr"/>
    </row>
    <row r="84">
      <c r="A84" s="26" t="inlineStr">
        <is>
          <t>shock inflation rate</t>
        </is>
      </c>
      <c r="B84" s="57">
        <f>inflationRate+ABS(N(SV_inflV))</f>
        <v/>
      </c>
      <c r="C84" s="27" t="inlineStr">
        <is>
          <t>C · calculated</t>
        </is>
      </c>
      <c r="D84" s="18" t="inlineStr"/>
    </row>
    <row r="85">
      <c r="A85" s="26" t="inlineStr">
        <is>
          <t>income impact</t>
        </is>
      </c>
      <c r="B85" s="43">
        <f>IF(N(SV_incV)&lt;=0,N(SV_incV),-ABS(N(SV_incV)))</f>
        <v/>
      </c>
      <c r="C85" s="27" t="inlineStr">
        <is>
          <t>C · calculated</t>
        </is>
      </c>
      <c r="D85" s="18" t="inlineStr"/>
    </row>
    <row r="86">
      <c r="A86" s="26" t="inlineStr">
        <is>
          <t>expense impact</t>
        </is>
      </c>
      <c r="B86" s="43">
        <f>ABS(N(SV_expV))</f>
        <v/>
      </c>
      <c r="C86" s="27" t="inlineStr">
        <is>
          <t>C · calculated</t>
        </is>
      </c>
      <c r="D86" s="18" t="inlineStr"/>
    </row>
    <row r="87">
      <c r="A87" s="41" t="inlineStr">
        <is>
          <t>R_LON longevity: on (TRUE / blank)</t>
        </is>
      </c>
      <c r="B87" s="42" t="inlineStr"/>
      <c r="C87" s="42" t="inlineStr">
        <is>
          <t>E · user / frontend override</t>
        </is>
      </c>
      <c r="D87" s="18" t="inlineStr">
        <is>
          <t>Chart horizon to LON_AGE (99). SV already runs the path to 100.</t>
        </is>
      </c>
    </row>
    <row r="88">
      <c r="A88" s="26" t="inlineStr">
        <is>
          <t>R_LON on</t>
        </is>
      </c>
      <c r="B88" s="27">
        <f>SV_lonV=TRUE</f>
        <v/>
      </c>
      <c r="C88" s="27" t="inlineStr">
        <is>
          <t>C · calculated</t>
        </is>
      </c>
      <c r="D88" s="18" t="inlineStr"/>
    </row>
    <row r="89">
      <c r="A89" s="26" t="inlineStr">
        <is>
          <t>chart horizon (age)</t>
        </is>
      </c>
      <c r="B89" s="46">
        <f>IF(SV_lonOn,LON_AGE,endAge)</f>
        <v/>
      </c>
      <c r="C89" s="27" t="inlineStr">
        <is>
          <t>C · calculated</t>
        </is>
      </c>
      <c r="D89" s="18" t="inlineStr">
        <is>
          <t>endAge (85), or LON_AGE under R_LON.</t>
        </is>
      </c>
    </row>
    <row r="91">
      <c r="A91" s="16" t="inlineStr">
        <is>
          <t>C · CPF AT PAYOUT AGE  —  numpy indexing as SV runs it (negative index counts from the end)</t>
        </is>
      </c>
      <c r="B91" s="16" t="n"/>
      <c r="C91" s="16" t="n"/>
      <c r="D91" s="16" t="n"/>
    </row>
    <row r="92">
      <c r="A92" s="26" t="inlineStr">
        <is>
          <t>CPF on</t>
        </is>
      </c>
      <c r="B92" s="27">
        <f>SV_residency&lt;&gt;"Foreigner"</f>
        <v/>
      </c>
      <c r="C92" s="27" t="inlineStr">
        <is>
          <t>C · calculated</t>
        </is>
      </c>
      <c r="D92" s="18" t="inlineStr">
        <is>
          <t>sv_payload.py: region R_SGP unless Foreigner (not the CPF tab country switch).</t>
        </is>
      </c>
    </row>
    <row r="93">
      <c r="A93" s="26" t="inlineStr">
        <is>
          <t>payout age</t>
        </is>
      </c>
      <c r="B93" s="46">
        <f>MAX(65,SV_ret)</f>
        <v/>
      </c>
      <c r="C93" s="27" t="inlineStr">
        <is>
          <t>C · calculated</t>
        </is>
      </c>
      <c r="D93" s="18" t="inlineStr">
        <is>
          <t>ageStartPayout.</t>
        </is>
      </c>
    </row>
    <row r="94">
      <c r="A94" s="26" t="inlineStr">
        <is>
          <t>contribution stop index</t>
        </is>
      </c>
      <c r="B94" s="46">
        <f>MIN(70,SV_ret)-SV_age+1</f>
        <v/>
      </c>
      <c r="C94" s="27" t="inlineStr">
        <is>
          <t>C · calculated</t>
        </is>
      </c>
      <c r="D94" s="18" t="inlineStr">
        <is>
          <t>Contributions zero from here.</t>
        </is>
      </c>
    </row>
    <row r="95">
      <c r="A95" s="26" t="inlineStr">
        <is>
          <t>payout index</t>
        </is>
      </c>
      <c r="B95" s="46">
        <f>SV_asp-SV_age+1</f>
        <v/>
      </c>
      <c r="C95" s="27" t="inlineStr">
        <is>
          <t>C · calculated</t>
        </is>
      </c>
      <c r="D95" s="18" t="inlineStr">
        <is>
          <t>Past age 66 the payout index is negative, so SV wraps RA into year 0 (Discrepancies).</t>
        </is>
      </c>
    </row>
    <row r="96">
      <c r="A96" s="26" t="inlineStr">
        <is>
          <t>contributions zero from (effective)</t>
        </is>
      </c>
      <c r="B96" s="46">
        <f>IF(SV_stop&gt;=0,MIN(SV_stop,SV_L),MAX(0,SV_L+(SV_stop)))</f>
        <v/>
      </c>
      <c r="C96" s="27" t="inlineStr">
        <is>
          <t>C · calculated</t>
        </is>
      </c>
      <c r="D96" s="18" t="inlineStr"/>
    </row>
    <row r="97">
      <c r="A97" s="26" t="inlineStr">
        <is>
          <t>employee CPF zero from (effective)</t>
        </is>
      </c>
      <c r="B97" s="46">
        <f>IF(SV_stop-1&gt;=0,MIN(SV_stop-1,SV_L),MAX(0,SV_L+(SV_stop-1)))</f>
        <v/>
      </c>
      <c r="C97" s="27" t="inlineStr">
        <is>
          <t>C · calculated</t>
        </is>
      </c>
      <c r="D97" s="18" t="inlineStr"/>
    </row>
    <row r="98">
      <c r="A98" s="26" t="inlineStr">
        <is>
          <t>payout column (effective)</t>
        </is>
      </c>
      <c r="B98" s="46">
        <f>IF(SV_sp&gt;=0,MIN(SV_sp,SV_L),MAX(0,SV_L+(SV_sp)))</f>
        <v/>
      </c>
      <c r="C98" s="27" t="inlineStr">
        <is>
          <t>C · calculated</t>
        </is>
      </c>
      <c r="D98" s="18" t="inlineStr"/>
    </row>
    <row r="99">
      <c r="A99" s="26" t="inlineStr">
        <is>
          <t>column before payout (effective)</t>
        </is>
      </c>
      <c r="B99" s="46">
        <f>IF(SV_sp-1&gt;=0,MIN(SV_sp-1,SV_L),MAX(0,SV_L+(SV_sp-1)))</f>
        <v/>
      </c>
      <c r="C99" s="27" t="inlineStr">
        <is>
          <t>C · calculated</t>
        </is>
      </c>
      <c r="D99" s="18" t="inlineStr"/>
    </row>
    <row r="100">
      <c r="A100" s="26" t="inlineStr">
        <is>
          <t>BRS row</t>
        </is>
      </c>
      <c r="B100" s="46">
        <f>MAX(55-SV_age,0)+currentYear-2023</f>
        <v/>
      </c>
      <c r="C100" s="27" t="inlineStr">
        <is>
          <t>C · calculated</t>
        </is>
      </c>
      <c r="D100" s="18" t="inlineStr"/>
    </row>
    <row r="101">
      <c r="A101" s="26" t="inlineStr">
        <is>
          <t>BRS at payout age</t>
        </is>
      </c>
      <c r="B101" s="29">
        <f>IF(SV_brsIdx&lt;5,INDEX(SV_brsTbl,SV_brsIdx+1),INDEX(SV_brsTbl,5)*(1+SV_brsGrowth)^(SV_brsIdx-4))*(1+SV_brsGrowth)^(SV_asp-55)</f>
        <v/>
      </c>
      <c r="C101" s="27" t="inlineStr">
        <is>
          <t>C · calculated</t>
        </is>
      </c>
      <c r="D101" s="18" t="inlineStr"/>
    </row>
    <row r="102">
      <c r="A102" s="26" t="inlineStr">
        <is>
          <t>RA at payout (before CPF LIFE)</t>
        </is>
      </c>
      <c r="B102" s="29">
        <f>INDEX($W$129:$W$211,SV_pIdx+1)+INDEX($X$129:$X$211,SV_pIdx+1)+MAX(INDEX($U$129:$U$211,SV_pIdx+1)-SV_maCap,0)</f>
        <v/>
      </c>
      <c r="C102" s="27" t="inlineStr">
        <is>
          <t>C · calculated</t>
        </is>
      </c>
      <c r="D102" s="18" t="inlineStr">
        <is>
          <t>OA + SA + MA above the cap, one column before payout.</t>
        </is>
      </c>
    </row>
    <row r="103">
      <c r="A103" s="26" t="inlineStr">
        <is>
          <t>BRS multiple (max 3)</t>
        </is>
      </c>
      <c r="B103" s="46">
        <f>IF(SV_brs&gt;0,MIN(3,INT(SV_raS/SV_brs)),0)</f>
        <v/>
      </c>
      <c r="C103" s="27" t="inlineStr">
        <is>
          <t>C · calculated</t>
        </is>
      </c>
      <c r="D103" s="18" t="inlineStr"/>
    </row>
    <row r="104">
      <c r="A104" s="26" t="inlineStr">
        <is>
          <t>CPF LIFE premium (withdrawn from RA)</t>
        </is>
      </c>
      <c r="B104" s="29">
        <f>IF(SV_mult&lt;=0,0,SV_brs*SV_mult)</f>
        <v/>
      </c>
      <c r="C104" s="27" t="inlineStr">
        <is>
          <t>C · calculated</t>
        </is>
      </c>
      <c r="D104" s="18" t="inlineStr"/>
    </row>
    <row r="105">
      <c r="A105" s="26" t="inlineStr">
        <is>
          <t>CPF LIFE monthly payout</t>
        </is>
      </c>
      <c r="B105" s="28">
        <f>IF(SV_mult&lt;=0,0,IF(SV_brsIdx&lt;5,INDEX(SV_payTbl,SV_brsIdx+1,SV_mult),INDEX(SV_payTbl,5,SV_mult)*(1+SV_brsGrowth)^(SV_brsIdx-4))*(1+SV_deferBonus*(SV_asp-65)))</f>
        <v/>
      </c>
      <c r="C105" s="27" t="inlineStr">
        <is>
          <t>C · calculated</t>
        </is>
      </c>
      <c r="D105" s="18" t="inlineStr"/>
    </row>
    <row r="106">
      <c r="A106" s="26" t="inlineStr">
        <is>
          <t>CPF LIFE pot at payout column</t>
        </is>
      </c>
      <c r="B106" s="29">
        <f>SV_lifeGrowth*(SV_wd-12*SV_pay)</f>
        <v/>
      </c>
      <c r="C106" s="27" t="inlineStr">
        <is>
          <t>C · calculated</t>
        </is>
      </c>
      <c r="D106" s="18" t="inlineStr"/>
    </row>
    <row r="107">
      <c r="A107" s="26" t="inlineStr">
        <is>
          <t>RA at payout column</t>
        </is>
      </c>
      <c r="B107" s="29">
        <f>SV_lifeGrowth*(SV_raS-SV_wd)</f>
        <v/>
      </c>
      <c r="C107" s="27" t="inlineStr">
        <is>
          <t>C · calculated</t>
        </is>
      </c>
      <c r="D107" s="18" t="inlineStr"/>
    </row>
    <row r="108">
      <c r="A108" s="26" t="inlineStr">
        <is>
          <t>wrap steps (payout index &lt; 0)</t>
        </is>
      </c>
      <c r="B108" s="46">
        <f>MAX(0,-SV_sp-1)</f>
        <v/>
      </c>
      <c r="C108" s="27" t="inlineStr">
        <is>
          <t>C · calculated</t>
        </is>
      </c>
      <c r="D108" s="18" t="inlineStr">
        <is>
          <t>SV's loop starts at a negative year.</t>
        </is>
      </c>
    </row>
    <row r="109">
      <c r="A109" s="26" t="inlineStr">
        <is>
          <t>CPF LIFE carried into year 0 (wrap)</t>
        </is>
      </c>
      <c r="B109" s="29">
        <f>SV_L0*SV_lifeGrowth^SV_n1-12*SV_pay*SV_lifeGrowth*(SV_lifeGrowth^SV_n1-1)/(SV_lifeGrowth-1)</f>
        <v/>
      </c>
      <c r="C109" s="27" t="inlineStr">
        <is>
          <t>C · calculated</t>
        </is>
      </c>
      <c r="D109" s="18" t="inlineStr"/>
    </row>
    <row r="110">
      <c r="A110" s="26" t="inlineStr">
        <is>
          <t>RA carried into year 0 (wrap)</t>
        </is>
      </c>
      <c r="B110" s="29">
        <f>SV_R0*SV_lifeGrowth^SV_n1</f>
        <v/>
      </c>
      <c r="C110" s="27" t="inlineStr">
        <is>
          <t>C · calculated</t>
        </is>
      </c>
      <c r="D110" s="18" t="inlineStr"/>
    </row>
    <row r="112">
      <c r="A112" s="16" t="inlineStr">
        <is>
          <t>C · RESULTS  —  wealth (pre = today, post = with the plan)</t>
        </is>
      </c>
      <c r="B112" s="16" t="n"/>
      <c r="C112" s="16" t="n"/>
      <c r="D112" s="16" t="n"/>
    </row>
    <row r="113">
      <c r="A113" s="26" t="inlineStr">
        <is>
          <t>pre wealth at age 65</t>
        </is>
      </c>
      <c r="B113" s="29">
        <f>IF(AND(65-SV_age&gt;=0,65-SV_age&lt;=SV_T),INDEX($AG$129:$AG$211,65-SV_age+1),"")</f>
        <v/>
      </c>
      <c r="C113" s="27" t="inlineStr">
        <is>
          <t>C · calculated</t>
        </is>
      </c>
      <c r="D113" s="18" t="inlineStr"/>
    </row>
    <row r="114">
      <c r="A114" s="26" t="inlineStr">
        <is>
          <t>pre wealth at age 85</t>
        </is>
      </c>
      <c r="B114" s="29">
        <f>IF(AND(85-SV_age&gt;=0,85-SV_age&lt;=SV_T),INDEX($AG$129:$AG$211,85-SV_age+1),"")</f>
        <v/>
      </c>
      <c r="C114" s="27" t="inlineStr">
        <is>
          <t>C · calculated</t>
        </is>
      </c>
      <c r="D114" s="18" t="inlineStr"/>
    </row>
    <row r="115">
      <c r="A115" s="26" t="inlineStr">
        <is>
          <t>post wealth at age 65</t>
        </is>
      </c>
      <c r="B115" s="29">
        <f>IF(AND(65-SV_age&gt;=0,65-SV_age&lt;=SV_T),INDEX($AQ$129:$AQ$211,65-SV_age+1),"")</f>
        <v/>
      </c>
      <c r="C115" s="27" t="inlineStr">
        <is>
          <t>C · calculated</t>
        </is>
      </c>
      <c r="D115" s="18" t="inlineStr"/>
    </row>
    <row r="116">
      <c r="A116" s="26" t="inlineStr">
        <is>
          <t>post wealth at age 85</t>
        </is>
      </c>
      <c r="B116" s="29">
        <f>IF(AND(85-SV_age&gt;=0,85-SV_age&lt;=SV_T),INDEX($AQ$129:$AQ$211,85-SV_age+1),"")</f>
        <v/>
      </c>
      <c r="C116" s="27" t="inlineStr">
        <is>
          <t>C · calculated</t>
        </is>
      </c>
      <c r="D116" s="18" t="inlineStr"/>
    </row>
    <row r="117">
      <c r="A117" s="26" t="inlineStr">
        <is>
          <t>pre wealth at horizon</t>
        </is>
      </c>
      <c r="B117" s="29">
        <f>IF(SV_end-SV_age&lt;=SV_T,INDEX($AG$129:$AG$211,MAX(0,SV_end-SV_age)+1),"")</f>
        <v/>
      </c>
      <c r="C117" s="27" t="inlineStr">
        <is>
          <t>C · calculated</t>
        </is>
      </c>
      <c r="D117" s="18" t="inlineStr">
        <is>
          <t>endAge, or 99 under R_LON.</t>
        </is>
      </c>
    </row>
    <row r="118">
      <c r="A118" s="26" t="inlineStr">
        <is>
          <t>post wealth at horizon</t>
        </is>
      </c>
      <c r="B118" s="29">
        <f>IF(SV_end-SV_age&lt;=SV_T,INDEX($AQ$129:$AQ$211,MAX(0,SV_end-SV_age)+1),"")</f>
        <v/>
      </c>
      <c r="C118" s="27" t="inlineStr">
        <is>
          <t>C · calculated</t>
        </is>
      </c>
      <c r="D118" s="18" t="inlineStr"/>
    </row>
    <row r="119">
      <c r="A119" s="26" t="inlineStr">
        <is>
          <t>post spendable at horizon</t>
        </is>
      </c>
      <c r="B119" s="29">
        <f>IF(SV_end-SV_age&lt;=SV_T,INDEX($AR$129:$AR$211,MAX(0,SV_end-SV_age)+1),"")</f>
        <v/>
      </c>
      <c r="C119" s="27" t="inlineStr">
        <is>
          <t>C · calculated</t>
        </is>
      </c>
      <c r="D119" s="18" t="inlineStr">
        <is>
          <t>Below 0 = liquid money runs out before the horizon.</t>
        </is>
      </c>
    </row>
    <row r="120">
      <c r="A120" s="26" t="inlineStr">
        <is>
          <t>pre: first age spendable wealth &lt; 0</t>
        </is>
      </c>
      <c r="B120" s="46">
        <f>IFERROR(SV_age+MATCH(1,INDEX(--($AH$129:$AH$211&lt;0),0),0)-1,"never")</f>
        <v/>
      </c>
      <c r="C120" s="27" t="inlineStr">
        <is>
          <t>C · calculated</t>
        </is>
      </c>
      <c r="D120" s="18" t="inlineStr">
        <is>
          <t>Expense-funding panel: shortfall starts here even if the chart line is above 0.</t>
        </is>
      </c>
    </row>
    <row r="121">
      <c r="A121" s="26" t="inlineStr">
        <is>
          <t>post: first age spendable wealth &lt; 0</t>
        </is>
      </c>
      <c r="B121" s="46">
        <f>IFERROR(SV_age+MATCH(1,INDEX(--($AR$129:$AR$211&lt;0),0),0)-1,"never")</f>
        <v/>
      </c>
      <c r="C121" s="27" t="inlineStr">
        <is>
          <t>C · calculated</t>
        </is>
      </c>
      <c r="D121" s="18" t="inlineStr">
        <is>
          <t>Expense-funding panel: shortfall starts here even if the chart line is above 0.</t>
        </is>
      </c>
    </row>
    <row r="127">
      <c r="A127" s="3" t="inlineStr">
        <is>
          <t>year</t>
        </is>
      </c>
      <c r="B127" s="3" t="n"/>
      <c r="C127" s="3" t="n"/>
      <c r="D127" s="3" t="n"/>
      <c r="E127" s="16" t="inlineStr">
        <is>
          <t>C · HUMAN CAPITAL  —  salary, spend, premiums (flows land in the year shown)</t>
        </is>
      </c>
      <c r="F127" s="16" t="n"/>
      <c r="G127" s="16" t="n"/>
      <c r="H127" s="16" t="n"/>
      <c r="I127" s="16" t="n"/>
      <c r="J127" s="16" t="n"/>
      <c r="K127" s="16" t="n"/>
      <c r="L127" s="16" t="inlineStr">
        <is>
          <t>C · ASSETS</t>
        </is>
      </c>
      <c r="M127" s="16" t="n"/>
      <c r="N127" s="16" t="n"/>
      <c r="O127" s="16" t="n"/>
      <c r="P127" s="16" t="n"/>
      <c r="Q127" s="16" t="inlineStr">
        <is>
          <t>C · CPF  —  SocialSecurityR_SGP</t>
        </is>
      </c>
      <c r="R127" s="16" t="n"/>
      <c r="S127" s="16" t="n"/>
      <c r="T127" s="16" t="n"/>
      <c r="U127" s="16" t="n"/>
      <c r="V127" s="16" t="n"/>
      <c r="W127" s="16" t="n"/>
      <c r="X127" s="16" t="n"/>
      <c r="Y127" s="16" t="n"/>
      <c r="Z127" s="16" t="n"/>
      <c r="AA127" s="16" t="n"/>
      <c r="AB127" s="16" t="n"/>
      <c r="AC127" s="16" t="n"/>
      <c r="AD127" s="16" t="n"/>
      <c r="AE127" s="16" t="inlineStr">
        <is>
          <t>C · PRE (today)</t>
        </is>
      </c>
      <c r="AF127" s="16" t="n"/>
      <c r="AG127" s="16" t="n"/>
      <c r="AH127" s="16" t="n"/>
      <c r="AI127" s="16" t="inlineStr">
        <is>
          <t>C · POST (with the plan)  —  plan_benefit_visualizer pots</t>
        </is>
      </c>
      <c r="AJ127" s="16" t="n"/>
      <c r="AK127" s="16" t="n"/>
      <c r="AL127" s="16" t="n"/>
      <c r="AM127" s="16" t="n"/>
      <c r="AN127" s="16" t="n"/>
      <c r="AO127" s="16" t="n"/>
      <c r="AP127" s="16" t="n"/>
      <c r="AQ127" s="16" t="n"/>
      <c r="AR127" s="16" t="n"/>
    </row>
    <row r="128">
      <c r="A128" s="3" t="inlineStr">
        <is>
          <t>year</t>
        </is>
      </c>
      <c r="B128" s="3" t="inlineStr">
        <is>
          <t>age</t>
        </is>
      </c>
      <c r="C128" s="3" t="inlineStr">
        <is>
          <t>calendar</t>
        </is>
      </c>
      <c r="D128" s="3" t="inlineStr">
        <is>
          <t>on path</t>
        </is>
      </c>
      <c r="E128" s="3" t="inlineStr">
        <is>
          <t>inflation factor</t>
        </is>
      </c>
      <c r="F128" s="3" t="inlineStr">
        <is>
          <t>spend index</t>
        </is>
      </c>
      <c r="G128" s="3" t="inlineStr">
        <is>
          <t>income factor</t>
        </is>
      </c>
      <c r="H128" s="3" t="inlineStr">
        <is>
          <t>salary</t>
        </is>
      </c>
      <c r="I128" s="3" t="inlineStr">
        <is>
          <t>spend + instalment + goals</t>
        </is>
      </c>
      <c r="J128" s="3" t="inlineStr">
        <is>
          <t>existing life premium</t>
        </is>
      </c>
      <c r="K128" s="3" t="inlineStr">
        <is>
          <t>to investments</t>
        </is>
      </c>
      <c r="L128" s="3" t="inlineStr">
        <is>
          <t>crash</t>
        </is>
      </c>
      <c r="M128" s="3" t="inlineStr">
        <is>
          <t>currency</t>
        </is>
      </c>
      <c r="N128" s="3" t="inlineStr">
        <is>
          <t>cash</t>
        </is>
      </c>
      <c r="O128" s="3" t="inlineStr">
        <is>
          <t>investments</t>
        </is>
      </c>
      <c r="P128" s="3" t="inlineStr">
        <is>
          <t>home</t>
        </is>
      </c>
      <c r="Q128" s="3" t="inlineStr">
        <is>
          <t>CPF band</t>
        </is>
      </c>
      <c r="R128" s="3" t="inlineStr">
        <is>
          <t>CPF wage</t>
        </is>
      </c>
      <c r="S128" s="3" t="inlineStr">
        <is>
          <t>OA (running)</t>
        </is>
      </c>
      <c r="T128" s="3" t="inlineStr">
        <is>
          <t>SA (running)</t>
        </is>
      </c>
      <c r="U128" s="3" t="inlineStr">
        <is>
          <t>MA (running)</t>
        </is>
      </c>
      <c r="V128" s="3" t="inlineStr">
        <is>
          <t>employee CPF</t>
        </is>
      </c>
      <c r="W128" s="3" t="inlineStr">
        <is>
          <t>OA</t>
        </is>
      </c>
      <c r="X128" s="3" t="inlineStr">
        <is>
          <t>SA</t>
        </is>
      </c>
      <c r="Y128" s="3" t="inlineStr">
        <is>
          <t>MA</t>
        </is>
      </c>
      <c r="Z128" s="3" t="inlineStr">
        <is>
          <t>CPF LIFE payout</t>
        </is>
      </c>
      <c r="AA128" s="3" t="inlineStr">
        <is>
          <t>RA</t>
        </is>
      </c>
      <c r="AB128" s="3" t="inlineStr">
        <is>
          <t>CPF LIFE pot</t>
        </is>
      </c>
      <c r="AC128" s="3" t="inlineStr">
        <is>
          <t>CPF total</t>
        </is>
      </c>
      <c r="AD128" s="3" t="inlineStr">
        <is>
          <t>CPF cash flow</t>
        </is>
      </c>
      <c r="AE128" s="3" t="inlineStr">
        <is>
          <t>mortgage balance (annuity → 0 at year 20)</t>
        </is>
      </c>
      <c r="AF128" s="3" t="inlineStr">
        <is>
          <t>savings (pre)</t>
        </is>
      </c>
      <c r="AG128" s="3" t="inlineStr">
        <is>
          <t>WEALTH pre</t>
        </is>
      </c>
      <c r="AH128" s="3" t="inlineStr">
        <is>
          <t>SPENDABLE pre</t>
        </is>
      </c>
      <c r="AI128" s="3" t="inlineStr">
        <is>
          <t>RET paid in</t>
        </is>
      </c>
      <c r="AJ128" s="3" t="inlineStr">
        <is>
          <t>RET pot</t>
        </is>
      </c>
      <c r="AK128" s="3" t="inlineStr">
        <is>
          <t>goal pots paid in</t>
        </is>
      </c>
      <c r="AL128" s="3" t="inlineStr">
        <is>
          <t>goal pots</t>
        </is>
      </c>
      <c r="AM128" s="3" t="inlineStr">
        <is>
          <t>protection premium</t>
        </is>
      </c>
      <c r="AN128" s="3" t="inlineStr">
        <is>
          <t>plan account value</t>
        </is>
      </c>
      <c r="AO128" s="3" t="inlineStr">
        <is>
          <t>plan cash flow</t>
        </is>
      </c>
      <c r="AP128" s="3" t="inlineStr">
        <is>
          <t>savings (post)</t>
        </is>
      </c>
      <c r="AQ128" s="3" t="inlineStr">
        <is>
          <t>WEALTH post</t>
        </is>
      </c>
      <c r="AR128" s="3" t="inlineStr">
        <is>
          <t>SPENDABLE post</t>
        </is>
      </c>
    </row>
    <row r="129">
      <c r="A129" s="61" t="n">
        <v>0</v>
      </c>
      <c r="B129" s="61">
        <f>SV_age+A129</f>
        <v/>
      </c>
      <c r="C129" s="61">
        <f>currentYear+A129</f>
        <v/>
      </c>
      <c r="D129" s="52">
        <f>A129&lt;=SV_T</f>
        <v/>
      </c>
      <c r="E129" s="60" t="n">
        <v>1</v>
      </c>
      <c r="F129" s="60" t="n">
        <v>1</v>
      </c>
      <c r="G129" s="60" t="n">
        <v>1</v>
      </c>
      <c r="H129" s="29" t="n">
        <v>0</v>
      </c>
      <c r="I129" s="29" t="n">
        <v>0</v>
      </c>
      <c r="J129" s="29" t="n">
        <v>0</v>
      </c>
      <c r="K129" s="29" t="n">
        <v>0</v>
      </c>
      <c r="L129" s="60" t="n">
        <v>1</v>
      </c>
      <c r="M129" s="60" t="n">
        <v>1</v>
      </c>
      <c r="N129" s="29">
        <f>IF(MOD(SV_cash,1)=0.5,2*ROUND((SV_cash)/2,0),ROUND(SV_cash,0))</f>
        <v/>
      </c>
      <c r="O129" s="29">
        <f>IF(MOD(SV_investments,1)=0.5,2*ROUND((SV_investments)/2,0),ROUND(SV_investments,0))</f>
        <v/>
      </c>
      <c r="P129" s="29">
        <f>IF(MOD(SV_property,1)=0.5,2*ROUND((SV_property)/2,0),ROUND(SV_property,0))</f>
        <v/>
      </c>
      <c r="Q129" s="46" t="inlineStr"/>
      <c r="R129" s="29" t="n">
        <v>0</v>
      </c>
      <c r="S129" s="29" t="n">
        <v>0</v>
      </c>
      <c r="T129" s="29" t="n">
        <v>0</v>
      </c>
      <c r="U129" s="29" t="n">
        <v>0</v>
      </c>
      <c r="V129" s="29" t="n">
        <v>0</v>
      </c>
      <c r="W129" s="29">
        <f>IF(A129&gt;=SV_sIdx,0,S129)</f>
        <v/>
      </c>
      <c r="X129" s="29">
        <f>IF(A129&gt;=SV_sIdx,0,T129)</f>
        <v/>
      </c>
      <c r="Y129" s="29">
        <f>IF(A129&gt;=SV_sIdx,MIN(U129,SV_maCap),U129)</f>
        <v/>
      </c>
      <c r="Z129" s="29">
        <f>IF(AND(SV_cpfOn,A129&gt;=SV_pIdx,A129&lt;=SV_T),12*SV_pay,0)</f>
        <v/>
      </c>
      <c r="AA129" s="29">
        <f>IF(SV_sp&gt;=0,IF(SV_sIdx=0,SV_R0,0),SV_lifeGrowth*SV_seedRA)</f>
        <v/>
      </c>
      <c r="AB129" s="29">
        <f>IF(A129&gt;SV_T,0,IF(AND(SV_sp&gt;=0,A129&lt;SV_sIdx),0,IF(AND(SV_sp&gt;=0,A129=SV_sIdx),SV_L0,SV_lifeGrowth*(SV_seedLife-Z129))))</f>
        <v/>
      </c>
      <c r="AC129" s="29">
        <f>W129+X129+AA129+Y129+IF(AA129&lt;0,0,AB129)</f>
        <v/>
      </c>
      <c r="AD129" s="29">
        <f>Z129+V129</f>
        <v/>
      </c>
      <c r="AE129" s="29">
        <f>IF(SV_mortP&gt;0,SV_mortP,0)</f>
        <v/>
      </c>
      <c r="AF129" s="29" t="n">
        <v>0</v>
      </c>
      <c r="AG129" s="29">
        <f>IF(A129&gt;SV_T,0,MAX(0,N129+O129+P129+AC129+AF129-AE129))</f>
        <v/>
      </c>
      <c r="AH129" s="29">
        <f>IF(A129&gt;SV_T,0,N129+O129+AF129-MAX(0,AE129-(P129+AC129)))</f>
        <v/>
      </c>
      <c r="AI129" s="29" t="n">
        <v>0</v>
      </c>
      <c r="AJ129" s="29" t="n">
        <v>0</v>
      </c>
      <c r="AK129" s="29" t="n">
        <v>0</v>
      </c>
      <c r="AL129" s="29" t="n">
        <v>0</v>
      </c>
      <c r="AM129" s="29" t="n">
        <v>0</v>
      </c>
      <c r="AN129" s="29">
        <f>IF(OR(A129=0,A129&gt;=SV_T),0,ROUND(MAX(0,AJ129),2)+ROUND(MAX(0,AL129),2))</f>
        <v/>
      </c>
      <c r="AO129" s="29" t="n">
        <v>0</v>
      </c>
      <c r="AP129" s="29" t="n">
        <v>0</v>
      </c>
      <c r="AQ129" s="29">
        <f>IF(A129&gt;SV_T,0,MAX(0,N129+O129+P129+AC129+AP129+AN129-AE129))</f>
        <v/>
      </c>
      <c r="AR129" s="29">
        <f>IF(A129&gt;SV_T,0,N129+O129+AP129+AN129-MAX(0,AE129-(P129+AC129)))</f>
        <v/>
      </c>
    </row>
    <row r="130">
      <c r="A130" s="61" t="n">
        <v>1</v>
      </c>
      <c r="B130" s="61">
        <f>SV_age+A130</f>
        <v/>
      </c>
      <c r="C130" s="61">
        <f>currentYear+A130</f>
        <v/>
      </c>
      <c r="D130" s="52">
        <f>A130&lt;=SV_T</f>
        <v/>
      </c>
      <c r="E130" s="60">
        <f>IF(AND(SV_inflOn,A130&gt;=SV_inflS,A130&lt;=SV_inflE),1+SV_inflRate,1+inflationRate)</f>
        <v/>
      </c>
      <c r="F130" s="60">
        <f>IF(A130&lt;=1,1,F129*E130)</f>
        <v/>
      </c>
      <c r="G130" s="60">
        <f>IF(AND(SV_incOn,A130&gt;=SV_incS,A130&lt;=SV_incE),1+SV_incImp,1)</f>
        <v/>
      </c>
      <c r="H130" s="29">
        <f>IF(OR(OR(A130&lt;1,A130&gt;SV_T),A130-1&gt;=SV_salCut),0,SV_sal0*(1+incomeGrowthRate)^(A130-1)*G130)</f>
        <v/>
      </c>
      <c r="I130" s="29">
        <f>IF(OR(A130&lt;1,A130&gt;SV_T),0,(-SV_exp0*F130-IF(A130&lt;=SV_loanYears,SV_inst,0)-IF(AND(SV_wdAmt&gt;0,A130=SV_wdYear),SV_wdAmt,0))*IF(AND(SV_expOn,A130&gt;=SV_expS,A130&lt;=SV_expE),1+SV_expImp,1))</f>
        <v/>
      </c>
      <c r="J130" s="29">
        <f>IF(OR(OR(A130&lt;1,A130&gt;SV_T),A130&gt;SV_loanYears),0,-SV_lifePremYr)</f>
        <v/>
      </c>
      <c r="K130" s="29">
        <f>IF(OR(A130&lt;1,A130&gt;SV_T),0,-SV_contrib)</f>
        <v/>
      </c>
      <c r="L130" s="60">
        <f>IF(AND(SV_crashOn,A130=SV_crashYr),SV_crashF,1)</f>
        <v/>
      </c>
      <c r="M130" s="60">
        <f>IF(AND(SV_ccyOn,A130=SV_ccyYr),SV_ccyF,1)</f>
        <v/>
      </c>
      <c r="N130" s="29">
        <f>IF(A130&gt;SV_T,0,N129*(1+interestRate)*L130*M130)</f>
        <v/>
      </c>
      <c r="O130" s="29">
        <f>IF(A130&gt;SV_T,0,(O129+SV_contrib)*(1+investmentReturn)*L130*M130)</f>
        <v/>
      </c>
      <c r="P130" s="29">
        <f>IF(A130&gt;SV_T,0,P129*(1+SV_propRate)*L130)</f>
        <v/>
      </c>
      <c r="Q130" s="46">
        <f>MATCH(SV_age+A130-1,SV_cpfLower,1)</f>
        <v/>
      </c>
      <c r="R130" s="29">
        <f>IF(OR(OR(A130&lt;1,A130&gt;SV_T),NOT(SV_cpfOn)),0,MIN(SV_sal0*(1+incomeGrowthRate)^(A130-1)*G130,SV_owCap))</f>
        <v/>
      </c>
      <c r="S130" s="29">
        <f>IF(A130&gt;SV_T,0,S129*(1+SV_oaRate)+IF(A130&gt;=SV_effStop,0,INDEX(SV_cpfOA,Q130)*INDEX(SV_cpfTot,Q130)*R130))</f>
        <v/>
      </c>
      <c r="T130" s="29">
        <f>IF(A130&gt;SV_T,0,T129*(1+SV_saRate)+IF(A130&gt;=SV_effStop,0,INDEX(SV_cpfSA,Q130)*INDEX(SV_cpfTot,Q130)*R130))</f>
        <v/>
      </c>
      <c r="U130" s="29">
        <f>IF(A130&gt;SV_T,0,U129*(1+SV_saRate)+IF(A130&gt;=SV_effStop,0,INDEX(SV_cpfMA,Q130)*INDEX(SV_cpfTot,Q130)*R130))</f>
        <v/>
      </c>
      <c r="V130" s="29">
        <f>IF(OR(OR(A130&lt;1,A130&gt;SV_T),A130&gt;=SV_effNeg),0,-(INDEX(SV_cpfOA,Q130)+INDEX(SV_cpfSA,Q130)+INDEX(SV_cpfMA,Q130))*INDEX(SV_cpfEmp,Q130)*R130)</f>
        <v/>
      </c>
      <c r="W130" s="29">
        <f>IF(A130&gt;=SV_sIdx,0,S130)</f>
        <v/>
      </c>
      <c r="X130" s="29">
        <f>IF(A130&gt;=SV_sIdx,0,T130)</f>
        <v/>
      </c>
      <c r="Y130" s="29">
        <f>IF(A130&gt;=SV_sIdx,MIN(U130,SV_maCap),U130)</f>
        <v/>
      </c>
      <c r="Z130" s="29">
        <f>IF(AND(SV_cpfOn,A130&gt;=SV_pIdx,A130&lt;=SV_T),12*SV_pay,0)</f>
        <v/>
      </c>
      <c r="AA130" s="29">
        <f>IF(A130&gt;SV_T,0,IF(SV_sp&gt;=0,IF(A130&lt;SV_sIdx,0,IF(A130=SV_sIdx,SV_R0,SV_lifeGrowth*AA129)),SV_lifeGrowth*AA129))</f>
        <v/>
      </c>
      <c r="AB130" s="29">
        <f>IF(A130&gt;SV_T,0,IF(AND(SV_sp&gt;=0,A130&lt;SV_sIdx),0,IF(AND(SV_sp&gt;=0,A130=SV_sIdx),SV_L0,SV_lifeGrowth*(AB129-Z130))))</f>
        <v/>
      </c>
      <c r="AC130" s="29">
        <f>W130+X130+AA130+Y130+IF(AA130&lt;0,0,AB130)</f>
        <v/>
      </c>
      <c r="AD130" s="29">
        <f>Z130+V130</f>
        <v/>
      </c>
      <c r="AE130" s="29">
        <f>IF(OR(A130&gt;SV_T,A130&gt;=SV_loanYears),0,MAX(0,AE129*(1+loanRate)-SV_inst))</f>
        <v/>
      </c>
      <c r="AF130" s="29">
        <f>IF(A130&gt;SV_T,0,AF129*(1+SV_savRate)+H130+I130+J130+K130+AD130)</f>
        <v/>
      </c>
      <c r="AG130" s="29">
        <f>IF(A130&gt;SV_T,0,MAX(0,N130+O130+P130+AC130+AF130-AE130))</f>
        <v/>
      </c>
      <c r="AH130" s="29">
        <f>IF(A130&gt;SV_T,0,N130+O130+AF130-MAX(0,AE130-(P130+AC130)))</f>
        <v/>
      </c>
      <c r="AI130" s="29">
        <f>IF(OR(OR(A130&lt;1,A130&gt;SV_T),A130-1&gt;=SV_retPay),0,SV_retMth*12+IF(A130=1,SV_retLump,0))</f>
        <v/>
      </c>
      <c r="AJ130" s="29">
        <f>IF(A130&gt;SV_T,0,(AJ129+AI130)*(1+investmentReturn))</f>
        <v/>
      </c>
      <c r="AK130" s="29">
        <f>IF(OR(OR(A130&lt;1,A130&gt;SV_T),A130-1&gt;=SV_goalPay),0,SV_goalMth*12+IF(A130=1,SV_goalLump,0))</f>
        <v/>
      </c>
      <c r="AL130" s="29">
        <f>IF(A130&gt;SV_T,0,(AL129+AK130)*(1+investmentReturn))</f>
        <v/>
      </c>
      <c r="AM130" s="29">
        <f>IF(OR(OR(A130&lt;1,A130&gt;SV_T),A130-1&gt;=SV_protPay),0,SV_protPrem)</f>
        <v/>
      </c>
      <c r="AN130" s="29">
        <f>IF(OR(A130=0,A130&gt;=SV_T),0,ROUND(MAX(0,AJ130),2)+ROUND(MAX(0,AL130),2))</f>
        <v/>
      </c>
      <c r="AO130" s="29">
        <f>IF(OR(A130&lt;1,A130&gt;SV_T),0,-(AI130+AK130+AM130)+IF(A130=SV_T,ROUND(MAX(0,AJ130),2)+ROUND(MAX(0,AL130),2),0))</f>
        <v/>
      </c>
      <c r="AP130" s="29">
        <f>IF(A130&gt;SV_T,0,AP129*(1+SV_savRate)+H130+I130+J130+K130+AD130+AO130)</f>
        <v/>
      </c>
      <c r="AQ130" s="29">
        <f>IF(A130&gt;SV_T,0,MAX(0,N130+O130+P130+AC130+AP130+AN130-AE130))</f>
        <v/>
      </c>
      <c r="AR130" s="29">
        <f>IF(A130&gt;SV_T,0,N130+O130+AP130+AN130-MAX(0,AE130-(P130+AC130)))</f>
        <v/>
      </c>
    </row>
    <row r="131">
      <c r="A131" s="61" t="n">
        <v>2</v>
      </c>
      <c r="B131" s="61">
        <f>SV_age+A131</f>
        <v/>
      </c>
      <c r="C131" s="61">
        <f>currentYear+A131</f>
        <v/>
      </c>
      <c r="D131" s="52">
        <f>A131&lt;=SV_T</f>
        <v/>
      </c>
      <c r="E131" s="60">
        <f>IF(AND(SV_inflOn,A131&gt;=SV_inflS,A131&lt;=SV_inflE),1+SV_inflRate,1+inflationRate)</f>
        <v/>
      </c>
      <c r="F131" s="60">
        <f>IF(A131&lt;=1,1,F130*E131)</f>
        <v/>
      </c>
      <c r="G131" s="60">
        <f>IF(AND(SV_incOn,A131&gt;=SV_incS,A131&lt;=SV_incE),1+SV_incImp,1)</f>
        <v/>
      </c>
      <c r="H131" s="29">
        <f>IF(OR(OR(A131&lt;1,A131&gt;SV_T),A131-1&gt;=SV_salCut),0,SV_sal0*(1+incomeGrowthRate)^(A131-1)*G131)</f>
        <v/>
      </c>
      <c r="I131" s="29">
        <f>IF(OR(A131&lt;1,A131&gt;SV_T),0,(-SV_exp0*F131-IF(A131&lt;=SV_loanYears,SV_inst,0)-IF(AND(SV_wdAmt&gt;0,A131=SV_wdYear),SV_wdAmt,0))*IF(AND(SV_expOn,A131&gt;=SV_expS,A131&lt;=SV_expE),1+SV_expImp,1))</f>
        <v/>
      </c>
      <c r="J131" s="29">
        <f>IF(OR(OR(A131&lt;1,A131&gt;SV_T),A131&gt;SV_loanYears),0,-SV_lifePremYr)</f>
        <v/>
      </c>
      <c r="K131" s="29">
        <f>IF(OR(A131&lt;1,A131&gt;SV_T),0,-SV_contrib)</f>
        <v/>
      </c>
      <c r="L131" s="60">
        <f>IF(AND(SV_crashOn,A131=SV_crashYr),SV_crashF,1)</f>
        <v/>
      </c>
      <c r="M131" s="60">
        <f>IF(AND(SV_ccyOn,A131=SV_ccyYr),SV_ccyF,1)</f>
        <v/>
      </c>
      <c r="N131" s="29">
        <f>IF(A131&gt;SV_T,0,N130*(1+interestRate)*L131*M131)</f>
        <v/>
      </c>
      <c r="O131" s="29">
        <f>IF(A131&gt;SV_T,0,(O130+SV_contrib)*(1+investmentReturn)*L131*M131)</f>
        <v/>
      </c>
      <c r="P131" s="29">
        <f>IF(A131&gt;SV_T,0,P130*(1+SV_propRate)*L131)</f>
        <v/>
      </c>
      <c r="Q131" s="46">
        <f>MATCH(SV_age+A131-1,SV_cpfLower,1)</f>
        <v/>
      </c>
      <c r="R131" s="29">
        <f>IF(OR(OR(A131&lt;1,A131&gt;SV_T),NOT(SV_cpfOn)),0,MIN(SV_sal0*(1+incomeGrowthRate)^(A131-1)*G131,SV_owCap))</f>
        <v/>
      </c>
      <c r="S131" s="29">
        <f>IF(A131&gt;SV_T,0,S130*(1+SV_oaRate)+IF(A131&gt;=SV_effStop,0,INDEX(SV_cpfOA,Q131)*INDEX(SV_cpfTot,Q131)*R131))</f>
        <v/>
      </c>
      <c r="T131" s="29">
        <f>IF(A131&gt;SV_T,0,T130*(1+SV_saRate)+IF(A131&gt;=SV_effStop,0,INDEX(SV_cpfSA,Q131)*INDEX(SV_cpfTot,Q131)*R131))</f>
        <v/>
      </c>
      <c r="U131" s="29">
        <f>IF(A131&gt;SV_T,0,U130*(1+SV_saRate)+IF(A131&gt;=SV_effStop,0,INDEX(SV_cpfMA,Q131)*INDEX(SV_cpfTot,Q131)*R131))</f>
        <v/>
      </c>
      <c r="V131" s="29">
        <f>IF(OR(OR(A131&lt;1,A131&gt;SV_T),A131&gt;=SV_effNeg),0,-(INDEX(SV_cpfOA,Q131)+INDEX(SV_cpfSA,Q131)+INDEX(SV_cpfMA,Q131))*INDEX(SV_cpfEmp,Q131)*R131)</f>
        <v/>
      </c>
      <c r="W131" s="29">
        <f>IF(A131&gt;=SV_sIdx,0,S131)</f>
        <v/>
      </c>
      <c r="X131" s="29">
        <f>IF(A131&gt;=SV_sIdx,0,T131)</f>
        <v/>
      </c>
      <c r="Y131" s="29">
        <f>IF(A131&gt;=SV_sIdx,MIN(U131,SV_maCap),U131)</f>
        <v/>
      </c>
      <c r="Z131" s="29">
        <f>IF(AND(SV_cpfOn,A131&gt;=SV_pIdx,A131&lt;=SV_T),12*SV_pay,0)</f>
        <v/>
      </c>
      <c r="AA131" s="29">
        <f>IF(A131&gt;SV_T,0,IF(SV_sp&gt;=0,IF(A131&lt;SV_sIdx,0,IF(A131=SV_sIdx,SV_R0,SV_lifeGrowth*AA130)),SV_lifeGrowth*AA130))</f>
        <v/>
      </c>
      <c r="AB131" s="29">
        <f>IF(A131&gt;SV_T,0,IF(AND(SV_sp&gt;=0,A131&lt;SV_sIdx),0,IF(AND(SV_sp&gt;=0,A131=SV_sIdx),SV_L0,SV_lifeGrowth*(AB130-Z131))))</f>
        <v/>
      </c>
      <c r="AC131" s="29">
        <f>W131+X131+AA131+Y131+IF(AA131&lt;0,0,AB131)</f>
        <v/>
      </c>
      <c r="AD131" s="29">
        <f>Z131+V131</f>
        <v/>
      </c>
      <c r="AE131" s="29">
        <f>IF(OR(A131&gt;SV_T,A131&gt;=SV_loanYears),0,MAX(0,AE130*(1+loanRate)-SV_inst))</f>
        <v/>
      </c>
      <c r="AF131" s="29">
        <f>IF(A131&gt;SV_T,0,AF130*(1+SV_savRate)+H131+I131+J131+K131+AD131)</f>
        <v/>
      </c>
      <c r="AG131" s="29">
        <f>IF(A131&gt;SV_T,0,MAX(0,N131+O131+P131+AC131+AF131-AE131))</f>
        <v/>
      </c>
      <c r="AH131" s="29">
        <f>IF(A131&gt;SV_T,0,N131+O131+AF131-MAX(0,AE131-(P131+AC131)))</f>
        <v/>
      </c>
      <c r="AI131" s="29">
        <f>IF(OR(OR(A131&lt;1,A131&gt;SV_T),A131-1&gt;=SV_retPay),0,SV_retMth*12+IF(A131=1,SV_retLump,0))</f>
        <v/>
      </c>
      <c r="AJ131" s="29">
        <f>IF(A131&gt;SV_T,0,(AJ130+AI131)*(1+investmentReturn))</f>
        <v/>
      </c>
      <c r="AK131" s="29">
        <f>IF(OR(OR(A131&lt;1,A131&gt;SV_T),A131-1&gt;=SV_goalPay),0,SV_goalMth*12+IF(A131=1,SV_goalLump,0))</f>
        <v/>
      </c>
      <c r="AL131" s="29">
        <f>IF(A131&gt;SV_T,0,(AL130+AK131)*(1+investmentReturn))</f>
        <v/>
      </c>
      <c r="AM131" s="29">
        <f>IF(OR(OR(A131&lt;1,A131&gt;SV_T),A131-1&gt;=SV_protPay),0,SV_protPrem)</f>
        <v/>
      </c>
      <c r="AN131" s="29">
        <f>IF(OR(A131=0,A131&gt;=SV_T),0,ROUND(MAX(0,AJ131),2)+ROUND(MAX(0,AL131),2))</f>
        <v/>
      </c>
      <c r="AO131" s="29">
        <f>IF(OR(A131&lt;1,A131&gt;SV_T),0,-(AI131+AK131+AM131)+IF(A131=SV_T,ROUND(MAX(0,AJ131),2)+ROUND(MAX(0,AL131),2),0))</f>
        <v/>
      </c>
      <c r="AP131" s="29">
        <f>IF(A131&gt;SV_T,0,AP130*(1+SV_savRate)+H131+I131+J131+K131+AD131+AO131)</f>
        <v/>
      </c>
      <c r="AQ131" s="29">
        <f>IF(A131&gt;SV_T,0,MAX(0,N131+O131+P131+AC131+AP131+AN131-AE131))</f>
        <v/>
      </c>
      <c r="AR131" s="29">
        <f>IF(A131&gt;SV_T,0,N131+O131+AP131+AN131-MAX(0,AE131-(P131+AC131)))</f>
        <v/>
      </c>
    </row>
    <row r="132">
      <c r="A132" s="61" t="n">
        <v>3</v>
      </c>
      <c r="B132" s="61">
        <f>SV_age+A132</f>
        <v/>
      </c>
      <c r="C132" s="61">
        <f>currentYear+A132</f>
        <v/>
      </c>
      <c r="D132" s="52">
        <f>A132&lt;=SV_T</f>
        <v/>
      </c>
      <c r="E132" s="60">
        <f>IF(AND(SV_inflOn,A132&gt;=SV_inflS,A132&lt;=SV_inflE),1+SV_inflRate,1+inflationRate)</f>
        <v/>
      </c>
      <c r="F132" s="60">
        <f>IF(A132&lt;=1,1,F131*E132)</f>
        <v/>
      </c>
      <c r="G132" s="60">
        <f>IF(AND(SV_incOn,A132&gt;=SV_incS,A132&lt;=SV_incE),1+SV_incImp,1)</f>
        <v/>
      </c>
      <c r="H132" s="29">
        <f>IF(OR(OR(A132&lt;1,A132&gt;SV_T),A132-1&gt;=SV_salCut),0,SV_sal0*(1+incomeGrowthRate)^(A132-1)*G132)</f>
        <v/>
      </c>
      <c r="I132" s="29">
        <f>IF(OR(A132&lt;1,A132&gt;SV_T),0,(-SV_exp0*F132-IF(A132&lt;=SV_loanYears,SV_inst,0)-IF(AND(SV_wdAmt&gt;0,A132=SV_wdYear),SV_wdAmt,0))*IF(AND(SV_expOn,A132&gt;=SV_expS,A132&lt;=SV_expE),1+SV_expImp,1))</f>
        <v/>
      </c>
      <c r="J132" s="29">
        <f>IF(OR(OR(A132&lt;1,A132&gt;SV_T),A132&gt;SV_loanYears),0,-SV_lifePremYr)</f>
        <v/>
      </c>
      <c r="K132" s="29">
        <f>IF(OR(A132&lt;1,A132&gt;SV_T),0,-SV_contrib)</f>
        <v/>
      </c>
      <c r="L132" s="60">
        <f>IF(AND(SV_crashOn,A132=SV_crashYr),SV_crashF,1)</f>
        <v/>
      </c>
      <c r="M132" s="60">
        <f>IF(AND(SV_ccyOn,A132=SV_ccyYr),SV_ccyF,1)</f>
        <v/>
      </c>
      <c r="N132" s="29">
        <f>IF(A132&gt;SV_T,0,N131*(1+interestRate)*L132*M132)</f>
        <v/>
      </c>
      <c r="O132" s="29">
        <f>IF(A132&gt;SV_T,0,(O131+SV_contrib)*(1+investmentReturn)*L132*M132)</f>
        <v/>
      </c>
      <c r="P132" s="29">
        <f>IF(A132&gt;SV_T,0,P131*(1+SV_propRate)*L132)</f>
        <v/>
      </c>
      <c r="Q132" s="46">
        <f>MATCH(SV_age+A132-1,SV_cpfLower,1)</f>
        <v/>
      </c>
      <c r="R132" s="29">
        <f>IF(OR(OR(A132&lt;1,A132&gt;SV_T),NOT(SV_cpfOn)),0,MIN(SV_sal0*(1+incomeGrowthRate)^(A132-1)*G132,SV_owCap))</f>
        <v/>
      </c>
      <c r="S132" s="29">
        <f>IF(A132&gt;SV_T,0,S131*(1+SV_oaRate)+IF(A132&gt;=SV_effStop,0,INDEX(SV_cpfOA,Q132)*INDEX(SV_cpfTot,Q132)*R132))</f>
        <v/>
      </c>
      <c r="T132" s="29">
        <f>IF(A132&gt;SV_T,0,T131*(1+SV_saRate)+IF(A132&gt;=SV_effStop,0,INDEX(SV_cpfSA,Q132)*INDEX(SV_cpfTot,Q132)*R132))</f>
        <v/>
      </c>
      <c r="U132" s="29">
        <f>IF(A132&gt;SV_T,0,U131*(1+SV_saRate)+IF(A132&gt;=SV_effStop,0,INDEX(SV_cpfMA,Q132)*INDEX(SV_cpfTot,Q132)*R132))</f>
        <v/>
      </c>
      <c r="V132" s="29">
        <f>IF(OR(OR(A132&lt;1,A132&gt;SV_T),A132&gt;=SV_effNeg),0,-(INDEX(SV_cpfOA,Q132)+INDEX(SV_cpfSA,Q132)+INDEX(SV_cpfMA,Q132))*INDEX(SV_cpfEmp,Q132)*R132)</f>
        <v/>
      </c>
      <c r="W132" s="29">
        <f>IF(A132&gt;=SV_sIdx,0,S132)</f>
        <v/>
      </c>
      <c r="X132" s="29">
        <f>IF(A132&gt;=SV_sIdx,0,T132)</f>
        <v/>
      </c>
      <c r="Y132" s="29">
        <f>IF(A132&gt;=SV_sIdx,MIN(U132,SV_maCap),U132)</f>
        <v/>
      </c>
      <c r="Z132" s="29">
        <f>IF(AND(SV_cpfOn,A132&gt;=SV_pIdx,A132&lt;=SV_T),12*SV_pay,0)</f>
        <v/>
      </c>
      <c r="AA132" s="29">
        <f>IF(A132&gt;SV_T,0,IF(SV_sp&gt;=0,IF(A132&lt;SV_sIdx,0,IF(A132=SV_sIdx,SV_R0,SV_lifeGrowth*AA131)),SV_lifeGrowth*AA131))</f>
        <v/>
      </c>
      <c r="AB132" s="29">
        <f>IF(A132&gt;SV_T,0,IF(AND(SV_sp&gt;=0,A132&lt;SV_sIdx),0,IF(AND(SV_sp&gt;=0,A132=SV_sIdx),SV_L0,SV_lifeGrowth*(AB131-Z132))))</f>
        <v/>
      </c>
      <c r="AC132" s="29">
        <f>W132+X132+AA132+Y132+IF(AA132&lt;0,0,AB132)</f>
        <v/>
      </c>
      <c r="AD132" s="29">
        <f>Z132+V132</f>
        <v/>
      </c>
      <c r="AE132" s="29">
        <f>IF(OR(A132&gt;SV_T,A132&gt;=SV_loanYears),0,MAX(0,AE131*(1+loanRate)-SV_inst))</f>
        <v/>
      </c>
      <c r="AF132" s="29">
        <f>IF(A132&gt;SV_T,0,AF131*(1+SV_savRate)+H132+I132+J132+K132+AD132)</f>
        <v/>
      </c>
      <c r="AG132" s="29">
        <f>IF(A132&gt;SV_T,0,MAX(0,N132+O132+P132+AC132+AF132-AE132))</f>
        <v/>
      </c>
      <c r="AH132" s="29">
        <f>IF(A132&gt;SV_T,0,N132+O132+AF132-MAX(0,AE132-(P132+AC132)))</f>
        <v/>
      </c>
      <c r="AI132" s="29">
        <f>IF(OR(OR(A132&lt;1,A132&gt;SV_T),A132-1&gt;=SV_retPay),0,SV_retMth*12+IF(A132=1,SV_retLump,0))</f>
        <v/>
      </c>
      <c r="AJ132" s="29">
        <f>IF(A132&gt;SV_T,0,(AJ131+AI132)*(1+investmentReturn))</f>
        <v/>
      </c>
      <c r="AK132" s="29">
        <f>IF(OR(OR(A132&lt;1,A132&gt;SV_T),A132-1&gt;=SV_goalPay),0,SV_goalMth*12+IF(A132=1,SV_goalLump,0))</f>
        <v/>
      </c>
      <c r="AL132" s="29">
        <f>IF(A132&gt;SV_T,0,(AL131+AK132)*(1+investmentReturn))</f>
        <v/>
      </c>
      <c r="AM132" s="29">
        <f>IF(OR(OR(A132&lt;1,A132&gt;SV_T),A132-1&gt;=SV_protPay),0,SV_protPrem)</f>
        <v/>
      </c>
      <c r="AN132" s="29">
        <f>IF(OR(A132=0,A132&gt;=SV_T),0,ROUND(MAX(0,AJ132),2)+ROUND(MAX(0,AL132),2))</f>
        <v/>
      </c>
      <c r="AO132" s="29">
        <f>IF(OR(A132&lt;1,A132&gt;SV_T),0,-(AI132+AK132+AM132)+IF(A132=SV_T,ROUND(MAX(0,AJ132),2)+ROUND(MAX(0,AL132),2),0))</f>
        <v/>
      </c>
      <c r="AP132" s="29">
        <f>IF(A132&gt;SV_T,0,AP131*(1+SV_savRate)+H132+I132+J132+K132+AD132+AO132)</f>
        <v/>
      </c>
      <c r="AQ132" s="29">
        <f>IF(A132&gt;SV_T,0,MAX(0,N132+O132+P132+AC132+AP132+AN132-AE132))</f>
        <v/>
      </c>
      <c r="AR132" s="29">
        <f>IF(A132&gt;SV_T,0,N132+O132+AP132+AN132-MAX(0,AE132-(P132+AC132)))</f>
        <v/>
      </c>
    </row>
    <row r="133">
      <c r="A133" s="61" t="n">
        <v>4</v>
      </c>
      <c r="B133" s="61">
        <f>SV_age+A133</f>
        <v/>
      </c>
      <c r="C133" s="61">
        <f>currentYear+A133</f>
        <v/>
      </c>
      <c r="D133" s="52">
        <f>A133&lt;=SV_T</f>
        <v/>
      </c>
      <c r="E133" s="60">
        <f>IF(AND(SV_inflOn,A133&gt;=SV_inflS,A133&lt;=SV_inflE),1+SV_inflRate,1+inflationRate)</f>
        <v/>
      </c>
      <c r="F133" s="60">
        <f>IF(A133&lt;=1,1,F132*E133)</f>
        <v/>
      </c>
      <c r="G133" s="60">
        <f>IF(AND(SV_incOn,A133&gt;=SV_incS,A133&lt;=SV_incE),1+SV_incImp,1)</f>
        <v/>
      </c>
      <c r="H133" s="29">
        <f>IF(OR(OR(A133&lt;1,A133&gt;SV_T),A133-1&gt;=SV_salCut),0,SV_sal0*(1+incomeGrowthRate)^(A133-1)*G133)</f>
        <v/>
      </c>
      <c r="I133" s="29">
        <f>IF(OR(A133&lt;1,A133&gt;SV_T),0,(-SV_exp0*F133-IF(A133&lt;=SV_loanYears,SV_inst,0)-IF(AND(SV_wdAmt&gt;0,A133=SV_wdYear),SV_wdAmt,0))*IF(AND(SV_expOn,A133&gt;=SV_expS,A133&lt;=SV_expE),1+SV_expImp,1))</f>
        <v/>
      </c>
      <c r="J133" s="29">
        <f>IF(OR(OR(A133&lt;1,A133&gt;SV_T),A133&gt;SV_loanYears),0,-SV_lifePremYr)</f>
        <v/>
      </c>
      <c r="K133" s="29">
        <f>IF(OR(A133&lt;1,A133&gt;SV_T),0,-SV_contrib)</f>
        <v/>
      </c>
      <c r="L133" s="60">
        <f>IF(AND(SV_crashOn,A133=SV_crashYr),SV_crashF,1)</f>
        <v/>
      </c>
      <c r="M133" s="60">
        <f>IF(AND(SV_ccyOn,A133=SV_ccyYr),SV_ccyF,1)</f>
        <v/>
      </c>
      <c r="N133" s="29">
        <f>IF(A133&gt;SV_T,0,N132*(1+interestRate)*L133*M133)</f>
        <v/>
      </c>
      <c r="O133" s="29">
        <f>IF(A133&gt;SV_T,0,(O132+SV_contrib)*(1+investmentReturn)*L133*M133)</f>
        <v/>
      </c>
      <c r="P133" s="29">
        <f>IF(A133&gt;SV_T,0,P132*(1+SV_propRate)*L133)</f>
        <v/>
      </c>
      <c r="Q133" s="46">
        <f>MATCH(SV_age+A133-1,SV_cpfLower,1)</f>
        <v/>
      </c>
      <c r="R133" s="29">
        <f>IF(OR(OR(A133&lt;1,A133&gt;SV_T),NOT(SV_cpfOn)),0,MIN(SV_sal0*(1+incomeGrowthRate)^(A133-1)*G133,SV_owCap))</f>
        <v/>
      </c>
      <c r="S133" s="29">
        <f>IF(A133&gt;SV_T,0,S132*(1+SV_oaRate)+IF(A133&gt;=SV_effStop,0,INDEX(SV_cpfOA,Q133)*INDEX(SV_cpfTot,Q133)*R133))</f>
        <v/>
      </c>
      <c r="T133" s="29">
        <f>IF(A133&gt;SV_T,0,T132*(1+SV_saRate)+IF(A133&gt;=SV_effStop,0,INDEX(SV_cpfSA,Q133)*INDEX(SV_cpfTot,Q133)*R133))</f>
        <v/>
      </c>
      <c r="U133" s="29">
        <f>IF(A133&gt;SV_T,0,U132*(1+SV_saRate)+IF(A133&gt;=SV_effStop,0,INDEX(SV_cpfMA,Q133)*INDEX(SV_cpfTot,Q133)*R133))</f>
        <v/>
      </c>
      <c r="V133" s="29">
        <f>IF(OR(OR(A133&lt;1,A133&gt;SV_T),A133&gt;=SV_effNeg),0,-(INDEX(SV_cpfOA,Q133)+INDEX(SV_cpfSA,Q133)+INDEX(SV_cpfMA,Q133))*INDEX(SV_cpfEmp,Q133)*R133)</f>
        <v/>
      </c>
      <c r="W133" s="29">
        <f>IF(A133&gt;=SV_sIdx,0,S133)</f>
        <v/>
      </c>
      <c r="X133" s="29">
        <f>IF(A133&gt;=SV_sIdx,0,T133)</f>
        <v/>
      </c>
      <c r="Y133" s="29">
        <f>IF(A133&gt;=SV_sIdx,MIN(U133,SV_maCap),U133)</f>
        <v/>
      </c>
      <c r="Z133" s="29">
        <f>IF(AND(SV_cpfOn,A133&gt;=SV_pIdx,A133&lt;=SV_T),12*SV_pay,0)</f>
        <v/>
      </c>
      <c r="AA133" s="29">
        <f>IF(A133&gt;SV_T,0,IF(SV_sp&gt;=0,IF(A133&lt;SV_sIdx,0,IF(A133=SV_sIdx,SV_R0,SV_lifeGrowth*AA132)),SV_lifeGrowth*AA132))</f>
        <v/>
      </c>
      <c r="AB133" s="29">
        <f>IF(A133&gt;SV_T,0,IF(AND(SV_sp&gt;=0,A133&lt;SV_sIdx),0,IF(AND(SV_sp&gt;=0,A133=SV_sIdx),SV_L0,SV_lifeGrowth*(AB132-Z133))))</f>
        <v/>
      </c>
      <c r="AC133" s="29">
        <f>W133+X133+AA133+Y133+IF(AA133&lt;0,0,AB133)</f>
        <v/>
      </c>
      <c r="AD133" s="29">
        <f>Z133+V133</f>
        <v/>
      </c>
      <c r="AE133" s="29">
        <f>IF(OR(A133&gt;SV_T,A133&gt;=SV_loanYears),0,MAX(0,AE132*(1+loanRate)-SV_inst))</f>
        <v/>
      </c>
      <c r="AF133" s="29">
        <f>IF(A133&gt;SV_T,0,AF132*(1+SV_savRate)+H133+I133+J133+K133+AD133)</f>
        <v/>
      </c>
      <c r="AG133" s="29">
        <f>IF(A133&gt;SV_T,0,MAX(0,N133+O133+P133+AC133+AF133-AE133))</f>
        <v/>
      </c>
      <c r="AH133" s="29">
        <f>IF(A133&gt;SV_T,0,N133+O133+AF133-MAX(0,AE133-(P133+AC133)))</f>
        <v/>
      </c>
      <c r="AI133" s="29">
        <f>IF(OR(OR(A133&lt;1,A133&gt;SV_T),A133-1&gt;=SV_retPay),0,SV_retMth*12+IF(A133=1,SV_retLump,0))</f>
        <v/>
      </c>
      <c r="AJ133" s="29">
        <f>IF(A133&gt;SV_T,0,(AJ132+AI133)*(1+investmentReturn))</f>
        <v/>
      </c>
      <c r="AK133" s="29">
        <f>IF(OR(OR(A133&lt;1,A133&gt;SV_T),A133-1&gt;=SV_goalPay),0,SV_goalMth*12+IF(A133=1,SV_goalLump,0))</f>
        <v/>
      </c>
      <c r="AL133" s="29">
        <f>IF(A133&gt;SV_T,0,(AL132+AK133)*(1+investmentReturn))</f>
        <v/>
      </c>
      <c r="AM133" s="29">
        <f>IF(OR(OR(A133&lt;1,A133&gt;SV_T),A133-1&gt;=SV_protPay),0,SV_protPrem)</f>
        <v/>
      </c>
      <c r="AN133" s="29">
        <f>IF(OR(A133=0,A133&gt;=SV_T),0,ROUND(MAX(0,AJ133),2)+ROUND(MAX(0,AL133),2))</f>
        <v/>
      </c>
      <c r="AO133" s="29">
        <f>IF(OR(A133&lt;1,A133&gt;SV_T),0,-(AI133+AK133+AM133)+IF(A133=SV_T,ROUND(MAX(0,AJ133),2)+ROUND(MAX(0,AL133),2),0))</f>
        <v/>
      </c>
      <c r="AP133" s="29">
        <f>IF(A133&gt;SV_T,0,AP132*(1+SV_savRate)+H133+I133+J133+K133+AD133+AO133)</f>
        <v/>
      </c>
      <c r="AQ133" s="29">
        <f>IF(A133&gt;SV_T,0,MAX(0,N133+O133+P133+AC133+AP133+AN133-AE133))</f>
        <v/>
      </c>
      <c r="AR133" s="29">
        <f>IF(A133&gt;SV_T,0,N133+O133+AP133+AN133-MAX(0,AE133-(P133+AC133)))</f>
        <v/>
      </c>
    </row>
    <row r="134">
      <c r="A134" s="61" t="n">
        <v>5</v>
      </c>
      <c r="B134" s="61">
        <f>SV_age+A134</f>
        <v/>
      </c>
      <c r="C134" s="61">
        <f>currentYear+A134</f>
        <v/>
      </c>
      <c r="D134" s="52">
        <f>A134&lt;=SV_T</f>
        <v/>
      </c>
      <c r="E134" s="60">
        <f>IF(AND(SV_inflOn,A134&gt;=SV_inflS,A134&lt;=SV_inflE),1+SV_inflRate,1+inflationRate)</f>
        <v/>
      </c>
      <c r="F134" s="60">
        <f>IF(A134&lt;=1,1,F133*E134)</f>
        <v/>
      </c>
      <c r="G134" s="60">
        <f>IF(AND(SV_incOn,A134&gt;=SV_incS,A134&lt;=SV_incE),1+SV_incImp,1)</f>
        <v/>
      </c>
      <c r="H134" s="29">
        <f>IF(OR(OR(A134&lt;1,A134&gt;SV_T),A134-1&gt;=SV_salCut),0,SV_sal0*(1+incomeGrowthRate)^(A134-1)*G134)</f>
        <v/>
      </c>
      <c r="I134" s="29">
        <f>IF(OR(A134&lt;1,A134&gt;SV_T),0,(-SV_exp0*F134-IF(A134&lt;=SV_loanYears,SV_inst,0)-IF(AND(SV_wdAmt&gt;0,A134=SV_wdYear),SV_wdAmt,0))*IF(AND(SV_expOn,A134&gt;=SV_expS,A134&lt;=SV_expE),1+SV_expImp,1))</f>
        <v/>
      </c>
      <c r="J134" s="29">
        <f>IF(OR(OR(A134&lt;1,A134&gt;SV_T),A134&gt;SV_loanYears),0,-SV_lifePremYr)</f>
        <v/>
      </c>
      <c r="K134" s="29">
        <f>IF(OR(A134&lt;1,A134&gt;SV_T),0,-SV_contrib)</f>
        <v/>
      </c>
      <c r="L134" s="60">
        <f>IF(AND(SV_crashOn,A134=SV_crashYr),SV_crashF,1)</f>
        <v/>
      </c>
      <c r="M134" s="60">
        <f>IF(AND(SV_ccyOn,A134=SV_ccyYr),SV_ccyF,1)</f>
        <v/>
      </c>
      <c r="N134" s="29">
        <f>IF(A134&gt;SV_T,0,N133*(1+interestRate)*L134*M134)</f>
        <v/>
      </c>
      <c r="O134" s="29">
        <f>IF(A134&gt;SV_T,0,(O133+SV_contrib)*(1+investmentReturn)*L134*M134)</f>
        <v/>
      </c>
      <c r="P134" s="29">
        <f>IF(A134&gt;SV_T,0,P133*(1+SV_propRate)*L134)</f>
        <v/>
      </c>
      <c r="Q134" s="46">
        <f>MATCH(SV_age+A134-1,SV_cpfLower,1)</f>
        <v/>
      </c>
      <c r="R134" s="29">
        <f>IF(OR(OR(A134&lt;1,A134&gt;SV_T),NOT(SV_cpfOn)),0,MIN(SV_sal0*(1+incomeGrowthRate)^(A134-1)*G134,SV_owCap))</f>
        <v/>
      </c>
      <c r="S134" s="29">
        <f>IF(A134&gt;SV_T,0,S133*(1+SV_oaRate)+IF(A134&gt;=SV_effStop,0,INDEX(SV_cpfOA,Q134)*INDEX(SV_cpfTot,Q134)*R134))</f>
        <v/>
      </c>
      <c r="T134" s="29">
        <f>IF(A134&gt;SV_T,0,T133*(1+SV_saRate)+IF(A134&gt;=SV_effStop,0,INDEX(SV_cpfSA,Q134)*INDEX(SV_cpfTot,Q134)*R134))</f>
        <v/>
      </c>
      <c r="U134" s="29">
        <f>IF(A134&gt;SV_T,0,U133*(1+SV_saRate)+IF(A134&gt;=SV_effStop,0,INDEX(SV_cpfMA,Q134)*INDEX(SV_cpfTot,Q134)*R134))</f>
        <v/>
      </c>
      <c r="V134" s="29">
        <f>IF(OR(OR(A134&lt;1,A134&gt;SV_T),A134&gt;=SV_effNeg),0,-(INDEX(SV_cpfOA,Q134)+INDEX(SV_cpfSA,Q134)+INDEX(SV_cpfMA,Q134))*INDEX(SV_cpfEmp,Q134)*R134)</f>
        <v/>
      </c>
      <c r="W134" s="29">
        <f>IF(A134&gt;=SV_sIdx,0,S134)</f>
        <v/>
      </c>
      <c r="X134" s="29">
        <f>IF(A134&gt;=SV_sIdx,0,T134)</f>
        <v/>
      </c>
      <c r="Y134" s="29">
        <f>IF(A134&gt;=SV_sIdx,MIN(U134,SV_maCap),U134)</f>
        <v/>
      </c>
      <c r="Z134" s="29">
        <f>IF(AND(SV_cpfOn,A134&gt;=SV_pIdx,A134&lt;=SV_T),12*SV_pay,0)</f>
        <v/>
      </c>
      <c r="AA134" s="29">
        <f>IF(A134&gt;SV_T,0,IF(SV_sp&gt;=0,IF(A134&lt;SV_sIdx,0,IF(A134=SV_sIdx,SV_R0,SV_lifeGrowth*AA133)),SV_lifeGrowth*AA133))</f>
        <v/>
      </c>
      <c r="AB134" s="29">
        <f>IF(A134&gt;SV_T,0,IF(AND(SV_sp&gt;=0,A134&lt;SV_sIdx),0,IF(AND(SV_sp&gt;=0,A134=SV_sIdx),SV_L0,SV_lifeGrowth*(AB133-Z134))))</f>
        <v/>
      </c>
      <c r="AC134" s="29">
        <f>W134+X134+AA134+Y134+IF(AA134&lt;0,0,AB134)</f>
        <v/>
      </c>
      <c r="AD134" s="29">
        <f>Z134+V134</f>
        <v/>
      </c>
      <c r="AE134" s="29">
        <f>IF(OR(A134&gt;SV_T,A134&gt;=SV_loanYears),0,MAX(0,AE133*(1+loanRate)-SV_inst))</f>
        <v/>
      </c>
      <c r="AF134" s="29">
        <f>IF(A134&gt;SV_T,0,AF133*(1+SV_savRate)+H134+I134+J134+K134+AD134)</f>
        <v/>
      </c>
      <c r="AG134" s="29">
        <f>IF(A134&gt;SV_T,0,MAX(0,N134+O134+P134+AC134+AF134-AE134))</f>
        <v/>
      </c>
      <c r="AH134" s="29">
        <f>IF(A134&gt;SV_T,0,N134+O134+AF134-MAX(0,AE134-(P134+AC134)))</f>
        <v/>
      </c>
      <c r="AI134" s="29">
        <f>IF(OR(OR(A134&lt;1,A134&gt;SV_T),A134-1&gt;=SV_retPay),0,SV_retMth*12+IF(A134=1,SV_retLump,0))</f>
        <v/>
      </c>
      <c r="AJ134" s="29">
        <f>IF(A134&gt;SV_T,0,(AJ133+AI134)*(1+investmentReturn))</f>
        <v/>
      </c>
      <c r="AK134" s="29">
        <f>IF(OR(OR(A134&lt;1,A134&gt;SV_T),A134-1&gt;=SV_goalPay),0,SV_goalMth*12+IF(A134=1,SV_goalLump,0))</f>
        <v/>
      </c>
      <c r="AL134" s="29">
        <f>IF(A134&gt;SV_T,0,(AL133+AK134)*(1+investmentReturn))</f>
        <v/>
      </c>
      <c r="AM134" s="29">
        <f>IF(OR(OR(A134&lt;1,A134&gt;SV_T),A134-1&gt;=SV_protPay),0,SV_protPrem)</f>
        <v/>
      </c>
      <c r="AN134" s="29">
        <f>IF(OR(A134=0,A134&gt;=SV_T),0,ROUND(MAX(0,AJ134),2)+ROUND(MAX(0,AL134),2))</f>
        <v/>
      </c>
      <c r="AO134" s="29">
        <f>IF(OR(A134&lt;1,A134&gt;SV_T),0,-(AI134+AK134+AM134)+IF(A134=SV_T,ROUND(MAX(0,AJ134),2)+ROUND(MAX(0,AL134),2),0))</f>
        <v/>
      </c>
      <c r="AP134" s="29">
        <f>IF(A134&gt;SV_T,0,AP133*(1+SV_savRate)+H134+I134+J134+K134+AD134+AO134)</f>
        <v/>
      </c>
      <c r="AQ134" s="29">
        <f>IF(A134&gt;SV_T,0,MAX(0,N134+O134+P134+AC134+AP134+AN134-AE134))</f>
        <v/>
      </c>
      <c r="AR134" s="29">
        <f>IF(A134&gt;SV_T,0,N134+O134+AP134+AN134-MAX(0,AE134-(P134+AC134)))</f>
        <v/>
      </c>
    </row>
    <row r="135">
      <c r="A135" s="61" t="n">
        <v>6</v>
      </c>
      <c r="B135" s="61">
        <f>SV_age+A135</f>
        <v/>
      </c>
      <c r="C135" s="61">
        <f>currentYear+A135</f>
        <v/>
      </c>
      <c r="D135" s="52">
        <f>A135&lt;=SV_T</f>
        <v/>
      </c>
      <c r="E135" s="60">
        <f>IF(AND(SV_inflOn,A135&gt;=SV_inflS,A135&lt;=SV_inflE),1+SV_inflRate,1+inflationRate)</f>
        <v/>
      </c>
      <c r="F135" s="60">
        <f>IF(A135&lt;=1,1,F134*E135)</f>
        <v/>
      </c>
      <c r="G135" s="60">
        <f>IF(AND(SV_incOn,A135&gt;=SV_incS,A135&lt;=SV_incE),1+SV_incImp,1)</f>
        <v/>
      </c>
      <c r="H135" s="29">
        <f>IF(OR(OR(A135&lt;1,A135&gt;SV_T),A135-1&gt;=SV_salCut),0,SV_sal0*(1+incomeGrowthRate)^(A135-1)*G135)</f>
        <v/>
      </c>
      <c r="I135" s="29">
        <f>IF(OR(A135&lt;1,A135&gt;SV_T),0,(-SV_exp0*F135-IF(A135&lt;=SV_loanYears,SV_inst,0)-IF(AND(SV_wdAmt&gt;0,A135=SV_wdYear),SV_wdAmt,0))*IF(AND(SV_expOn,A135&gt;=SV_expS,A135&lt;=SV_expE),1+SV_expImp,1))</f>
        <v/>
      </c>
      <c r="J135" s="29">
        <f>IF(OR(OR(A135&lt;1,A135&gt;SV_T),A135&gt;SV_loanYears),0,-SV_lifePremYr)</f>
        <v/>
      </c>
      <c r="K135" s="29">
        <f>IF(OR(A135&lt;1,A135&gt;SV_T),0,-SV_contrib)</f>
        <v/>
      </c>
      <c r="L135" s="60">
        <f>IF(AND(SV_crashOn,A135=SV_crashYr),SV_crashF,1)</f>
        <v/>
      </c>
      <c r="M135" s="60">
        <f>IF(AND(SV_ccyOn,A135=SV_ccyYr),SV_ccyF,1)</f>
        <v/>
      </c>
      <c r="N135" s="29">
        <f>IF(A135&gt;SV_T,0,N134*(1+interestRate)*L135*M135)</f>
        <v/>
      </c>
      <c r="O135" s="29">
        <f>IF(A135&gt;SV_T,0,(O134+SV_contrib)*(1+investmentReturn)*L135*M135)</f>
        <v/>
      </c>
      <c r="P135" s="29">
        <f>IF(A135&gt;SV_T,0,P134*(1+SV_propRate)*L135)</f>
        <v/>
      </c>
      <c r="Q135" s="46">
        <f>MATCH(SV_age+A135-1,SV_cpfLower,1)</f>
        <v/>
      </c>
      <c r="R135" s="29">
        <f>IF(OR(OR(A135&lt;1,A135&gt;SV_T),NOT(SV_cpfOn)),0,MIN(SV_sal0*(1+incomeGrowthRate)^(A135-1)*G135,SV_owCap))</f>
        <v/>
      </c>
      <c r="S135" s="29">
        <f>IF(A135&gt;SV_T,0,S134*(1+SV_oaRate)+IF(A135&gt;=SV_effStop,0,INDEX(SV_cpfOA,Q135)*INDEX(SV_cpfTot,Q135)*R135))</f>
        <v/>
      </c>
      <c r="T135" s="29">
        <f>IF(A135&gt;SV_T,0,T134*(1+SV_saRate)+IF(A135&gt;=SV_effStop,0,INDEX(SV_cpfSA,Q135)*INDEX(SV_cpfTot,Q135)*R135))</f>
        <v/>
      </c>
      <c r="U135" s="29">
        <f>IF(A135&gt;SV_T,0,U134*(1+SV_saRate)+IF(A135&gt;=SV_effStop,0,INDEX(SV_cpfMA,Q135)*INDEX(SV_cpfTot,Q135)*R135))</f>
        <v/>
      </c>
      <c r="V135" s="29">
        <f>IF(OR(OR(A135&lt;1,A135&gt;SV_T),A135&gt;=SV_effNeg),0,-(INDEX(SV_cpfOA,Q135)+INDEX(SV_cpfSA,Q135)+INDEX(SV_cpfMA,Q135))*INDEX(SV_cpfEmp,Q135)*R135)</f>
        <v/>
      </c>
      <c r="W135" s="29">
        <f>IF(A135&gt;=SV_sIdx,0,S135)</f>
        <v/>
      </c>
      <c r="X135" s="29">
        <f>IF(A135&gt;=SV_sIdx,0,T135)</f>
        <v/>
      </c>
      <c r="Y135" s="29">
        <f>IF(A135&gt;=SV_sIdx,MIN(U135,SV_maCap),U135)</f>
        <v/>
      </c>
      <c r="Z135" s="29">
        <f>IF(AND(SV_cpfOn,A135&gt;=SV_pIdx,A135&lt;=SV_T),12*SV_pay,0)</f>
        <v/>
      </c>
      <c r="AA135" s="29">
        <f>IF(A135&gt;SV_T,0,IF(SV_sp&gt;=0,IF(A135&lt;SV_sIdx,0,IF(A135=SV_sIdx,SV_R0,SV_lifeGrowth*AA134)),SV_lifeGrowth*AA134))</f>
        <v/>
      </c>
      <c r="AB135" s="29">
        <f>IF(A135&gt;SV_T,0,IF(AND(SV_sp&gt;=0,A135&lt;SV_sIdx),0,IF(AND(SV_sp&gt;=0,A135=SV_sIdx),SV_L0,SV_lifeGrowth*(AB134-Z135))))</f>
        <v/>
      </c>
      <c r="AC135" s="29">
        <f>W135+X135+AA135+Y135+IF(AA135&lt;0,0,AB135)</f>
        <v/>
      </c>
      <c r="AD135" s="29">
        <f>Z135+V135</f>
        <v/>
      </c>
      <c r="AE135" s="29">
        <f>IF(OR(A135&gt;SV_T,A135&gt;=SV_loanYears),0,MAX(0,AE134*(1+loanRate)-SV_inst))</f>
        <v/>
      </c>
      <c r="AF135" s="29">
        <f>IF(A135&gt;SV_T,0,AF134*(1+SV_savRate)+H135+I135+J135+K135+AD135)</f>
        <v/>
      </c>
      <c r="AG135" s="29">
        <f>IF(A135&gt;SV_T,0,MAX(0,N135+O135+P135+AC135+AF135-AE135))</f>
        <v/>
      </c>
      <c r="AH135" s="29">
        <f>IF(A135&gt;SV_T,0,N135+O135+AF135-MAX(0,AE135-(P135+AC135)))</f>
        <v/>
      </c>
      <c r="AI135" s="29">
        <f>IF(OR(OR(A135&lt;1,A135&gt;SV_T),A135-1&gt;=SV_retPay),0,SV_retMth*12+IF(A135=1,SV_retLump,0))</f>
        <v/>
      </c>
      <c r="AJ135" s="29">
        <f>IF(A135&gt;SV_T,0,(AJ134+AI135)*(1+investmentReturn))</f>
        <v/>
      </c>
      <c r="AK135" s="29">
        <f>IF(OR(OR(A135&lt;1,A135&gt;SV_T),A135-1&gt;=SV_goalPay),0,SV_goalMth*12+IF(A135=1,SV_goalLump,0))</f>
        <v/>
      </c>
      <c r="AL135" s="29">
        <f>IF(A135&gt;SV_T,0,(AL134+AK135)*(1+investmentReturn))</f>
        <v/>
      </c>
      <c r="AM135" s="29">
        <f>IF(OR(OR(A135&lt;1,A135&gt;SV_T),A135-1&gt;=SV_protPay),0,SV_protPrem)</f>
        <v/>
      </c>
      <c r="AN135" s="29">
        <f>IF(OR(A135=0,A135&gt;=SV_T),0,ROUND(MAX(0,AJ135),2)+ROUND(MAX(0,AL135),2))</f>
        <v/>
      </c>
      <c r="AO135" s="29">
        <f>IF(OR(A135&lt;1,A135&gt;SV_T),0,-(AI135+AK135+AM135)+IF(A135=SV_T,ROUND(MAX(0,AJ135),2)+ROUND(MAX(0,AL135),2),0))</f>
        <v/>
      </c>
      <c r="AP135" s="29">
        <f>IF(A135&gt;SV_T,0,AP134*(1+SV_savRate)+H135+I135+J135+K135+AD135+AO135)</f>
        <v/>
      </c>
      <c r="AQ135" s="29">
        <f>IF(A135&gt;SV_T,0,MAX(0,N135+O135+P135+AC135+AP135+AN135-AE135))</f>
        <v/>
      </c>
      <c r="AR135" s="29">
        <f>IF(A135&gt;SV_T,0,N135+O135+AP135+AN135-MAX(0,AE135-(P135+AC135)))</f>
        <v/>
      </c>
    </row>
    <row r="136">
      <c r="A136" s="61" t="n">
        <v>7</v>
      </c>
      <c r="B136" s="61">
        <f>SV_age+A136</f>
        <v/>
      </c>
      <c r="C136" s="61">
        <f>currentYear+A136</f>
        <v/>
      </c>
      <c r="D136" s="52">
        <f>A136&lt;=SV_T</f>
        <v/>
      </c>
      <c r="E136" s="60">
        <f>IF(AND(SV_inflOn,A136&gt;=SV_inflS,A136&lt;=SV_inflE),1+SV_inflRate,1+inflationRate)</f>
        <v/>
      </c>
      <c r="F136" s="60">
        <f>IF(A136&lt;=1,1,F135*E136)</f>
        <v/>
      </c>
      <c r="G136" s="60">
        <f>IF(AND(SV_incOn,A136&gt;=SV_incS,A136&lt;=SV_incE),1+SV_incImp,1)</f>
        <v/>
      </c>
      <c r="H136" s="29">
        <f>IF(OR(OR(A136&lt;1,A136&gt;SV_T),A136-1&gt;=SV_salCut),0,SV_sal0*(1+incomeGrowthRate)^(A136-1)*G136)</f>
        <v/>
      </c>
      <c r="I136" s="29">
        <f>IF(OR(A136&lt;1,A136&gt;SV_T),0,(-SV_exp0*F136-IF(A136&lt;=SV_loanYears,SV_inst,0)-IF(AND(SV_wdAmt&gt;0,A136=SV_wdYear),SV_wdAmt,0))*IF(AND(SV_expOn,A136&gt;=SV_expS,A136&lt;=SV_expE),1+SV_expImp,1))</f>
        <v/>
      </c>
      <c r="J136" s="29">
        <f>IF(OR(OR(A136&lt;1,A136&gt;SV_T),A136&gt;SV_loanYears),0,-SV_lifePremYr)</f>
        <v/>
      </c>
      <c r="K136" s="29">
        <f>IF(OR(A136&lt;1,A136&gt;SV_T),0,-SV_contrib)</f>
        <v/>
      </c>
      <c r="L136" s="60">
        <f>IF(AND(SV_crashOn,A136=SV_crashYr),SV_crashF,1)</f>
        <v/>
      </c>
      <c r="M136" s="60">
        <f>IF(AND(SV_ccyOn,A136=SV_ccyYr),SV_ccyF,1)</f>
        <v/>
      </c>
      <c r="N136" s="29">
        <f>IF(A136&gt;SV_T,0,N135*(1+interestRate)*L136*M136)</f>
        <v/>
      </c>
      <c r="O136" s="29">
        <f>IF(A136&gt;SV_T,0,(O135+SV_contrib)*(1+investmentReturn)*L136*M136)</f>
        <v/>
      </c>
      <c r="P136" s="29">
        <f>IF(A136&gt;SV_T,0,P135*(1+SV_propRate)*L136)</f>
        <v/>
      </c>
      <c r="Q136" s="46">
        <f>MATCH(SV_age+A136-1,SV_cpfLower,1)</f>
        <v/>
      </c>
      <c r="R136" s="29">
        <f>IF(OR(OR(A136&lt;1,A136&gt;SV_T),NOT(SV_cpfOn)),0,MIN(SV_sal0*(1+incomeGrowthRate)^(A136-1)*G136,SV_owCap))</f>
        <v/>
      </c>
      <c r="S136" s="29">
        <f>IF(A136&gt;SV_T,0,S135*(1+SV_oaRate)+IF(A136&gt;=SV_effStop,0,INDEX(SV_cpfOA,Q136)*INDEX(SV_cpfTot,Q136)*R136))</f>
        <v/>
      </c>
      <c r="T136" s="29">
        <f>IF(A136&gt;SV_T,0,T135*(1+SV_saRate)+IF(A136&gt;=SV_effStop,0,INDEX(SV_cpfSA,Q136)*INDEX(SV_cpfTot,Q136)*R136))</f>
        <v/>
      </c>
      <c r="U136" s="29">
        <f>IF(A136&gt;SV_T,0,U135*(1+SV_saRate)+IF(A136&gt;=SV_effStop,0,INDEX(SV_cpfMA,Q136)*INDEX(SV_cpfTot,Q136)*R136))</f>
        <v/>
      </c>
      <c r="V136" s="29">
        <f>IF(OR(OR(A136&lt;1,A136&gt;SV_T),A136&gt;=SV_effNeg),0,-(INDEX(SV_cpfOA,Q136)+INDEX(SV_cpfSA,Q136)+INDEX(SV_cpfMA,Q136))*INDEX(SV_cpfEmp,Q136)*R136)</f>
        <v/>
      </c>
      <c r="W136" s="29">
        <f>IF(A136&gt;=SV_sIdx,0,S136)</f>
        <v/>
      </c>
      <c r="X136" s="29">
        <f>IF(A136&gt;=SV_sIdx,0,T136)</f>
        <v/>
      </c>
      <c r="Y136" s="29">
        <f>IF(A136&gt;=SV_sIdx,MIN(U136,SV_maCap),U136)</f>
        <v/>
      </c>
      <c r="Z136" s="29">
        <f>IF(AND(SV_cpfOn,A136&gt;=SV_pIdx,A136&lt;=SV_T),12*SV_pay,0)</f>
        <v/>
      </c>
      <c r="AA136" s="29">
        <f>IF(A136&gt;SV_T,0,IF(SV_sp&gt;=0,IF(A136&lt;SV_sIdx,0,IF(A136=SV_sIdx,SV_R0,SV_lifeGrowth*AA135)),SV_lifeGrowth*AA135))</f>
        <v/>
      </c>
      <c r="AB136" s="29">
        <f>IF(A136&gt;SV_T,0,IF(AND(SV_sp&gt;=0,A136&lt;SV_sIdx),0,IF(AND(SV_sp&gt;=0,A136=SV_sIdx),SV_L0,SV_lifeGrowth*(AB135-Z136))))</f>
        <v/>
      </c>
      <c r="AC136" s="29">
        <f>W136+X136+AA136+Y136+IF(AA136&lt;0,0,AB136)</f>
        <v/>
      </c>
      <c r="AD136" s="29">
        <f>Z136+V136</f>
        <v/>
      </c>
      <c r="AE136" s="29">
        <f>IF(OR(A136&gt;SV_T,A136&gt;=SV_loanYears),0,MAX(0,AE135*(1+loanRate)-SV_inst))</f>
        <v/>
      </c>
      <c r="AF136" s="29">
        <f>IF(A136&gt;SV_T,0,AF135*(1+SV_savRate)+H136+I136+J136+K136+AD136)</f>
        <v/>
      </c>
      <c r="AG136" s="29">
        <f>IF(A136&gt;SV_T,0,MAX(0,N136+O136+P136+AC136+AF136-AE136))</f>
        <v/>
      </c>
      <c r="AH136" s="29">
        <f>IF(A136&gt;SV_T,0,N136+O136+AF136-MAX(0,AE136-(P136+AC136)))</f>
        <v/>
      </c>
      <c r="AI136" s="29">
        <f>IF(OR(OR(A136&lt;1,A136&gt;SV_T),A136-1&gt;=SV_retPay),0,SV_retMth*12+IF(A136=1,SV_retLump,0))</f>
        <v/>
      </c>
      <c r="AJ136" s="29">
        <f>IF(A136&gt;SV_T,0,(AJ135+AI136)*(1+investmentReturn))</f>
        <v/>
      </c>
      <c r="AK136" s="29">
        <f>IF(OR(OR(A136&lt;1,A136&gt;SV_T),A136-1&gt;=SV_goalPay),0,SV_goalMth*12+IF(A136=1,SV_goalLump,0))</f>
        <v/>
      </c>
      <c r="AL136" s="29">
        <f>IF(A136&gt;SV_T,0,(AL135+AK136)*(1+investmentReturn))</f>
        <v/>
      </c>
      <c r="AM136" s="29">
        <f>IF(OR(OR(A136&lt;1,A136&gt;SV_T),A136-1&gt;=SV_protPay),0,SV_protPrem)</f>
        <v/>
      </c>
      <c r="AN136" s="29">
        <f>IF(OR(A136=0,A136&gt;=SV_T),0,ROUND(MAX(0,AJ136),2)+ROUND(MAX(0,AL136),2))</f>
        <v/>
      </c>
      <c r="AO136" s="29">
        <f>IF(OR(A136&lt;1,A136&gt;SV_T),0,-(AI136+AK136+AM136)+IF(A136=SV_T,ROUND(MAX(0,AJ136),2)+ROUND(MAX(0,AL136),2),0))</f>
        <v/>
      </c>
      <c r="AP136" s="29">
        <f>IF(A136&gt;SV_T,0,AP135*(1+SV_savRate)+H136+I136+J136+K136+AD136+AO136)</f>
        <v/>
      </c>
      <c r="AQ136" s="29">
        <f>IF(A136&gt;SV_T,0,MAX(0,N136+O136+P136+AC136+AP136+AN136-AE136))</f>
        <v/>
      </c>
      <c r="AR136" s="29">
        <f>IF(A136&gt;SV_T,0,N136+O136+AP136+AN136-MAX(0,AE136-(P136+AC136)))</f>
        <v/>
      </c>
    </row>
    <row r="137">
      <c r="A137" s="61" t="n">
        <v>8</v>
      </c>
      <c r="B137" s="61">
        <f>SV_age+A137</f>
        <v/>
      </c>
      <c r="C137" s="61">
        <f>currentYear+A137</f>
        <v/>
      </c>
      <c r="D137" s="52">
        <f>A137&lt;=SV_T</f>
        <v/>
      </c>
      <c r="E137" s="60">
        <f>IF(AND(SV_inflOn,A137&gt;=SV_inflS,A137&lt;=SV_inflE),1+SV_inflRate,1+inflationRate)</f>
        <v/>
      </c>
      <c r="F137" s="60">
        <f>IF(A137&lt;=1,1,F136*E137)</f>
        <v/>
      </c>
      <c r="G137" s="60">
        <f>IF(AND(SV_incOn,A137&gt;=SV_incS,A137&lt;=SV_incE),1+SV_incImp,1)</f>
        <v/>
      </c>
      <c r="H137" s="29">
        <f>IF(OR(OR(A137&lt;1,A137&gt;SV_T),A137-1&gt;=SV_salCut),0,SV_sal0*(1+incomeGrowthRate)^(A137-1)*G137)</f>
        <v/>
      </c>
      <c r="I137" s="29">
        <f>IF(OR(A137&lt;1,A137&gt;SV_T),0,(-SV_exp0*F137-IF(A137&lt;=SV_loanYears,SV_inst,0)-IF(AND(SV_wdAmt&gt;0,A137=SV_wdYear),SV_wdAmt,0))*IF(AND(SV_expOn,A137&gt;=SV_expS,A137&lt;=SV_expE),1+SV_expImp,1))</f>
        <v/>
      </c>
      <c r="J137" s="29">
        <f>IF(OR(OR(A137&lt;1,A137&gt;SV_T),A137&gt;SV_loanYears),0,-SV_lifePremYr)</f>
        <v/>
      </c>
      <c r="K137" s="29">
        <f>IF(OR(A137&lt;1,A137&gt;SV_T),0,-SV_contrib)</f>
        <v/>
      </c>
      <c r="L137" s="60">
        <f>IF(AND(SV_crashOn,A137=SV_crashYr),SV_crashF,1)</f>
        <v/>
      </c>
      <c r="M137" s="60">
        <f>IF(AND(SV_ccyOn,A137=SV_ccyYr),SV_ccyF,1)</f>
        <v/>
      </c>
      <c r="N137" s="29">
        <f>IF(A137&gt;SV_T,0,N136*(1+interestRate)*L137*M137)</f>
        <v/>
      </c>
      <c r="O137" s="29">
        <f>IF(A137&gt;SV_T,0,(O136+SV_contrib)*(1+investmentReturn)*L137*M137)</f>
        <v/>
      </c>
      <c r="P137" s="29">
        <f>IF(A137&gt;SV_T,0,P136*(1+SV_propRate)*L137)</f>
        <v/>
      </c>
      <c r="Q137" s="46">
        <f>MATCH(SV_age+A137-1,SV_cpfLower,1)</f>
        <v/>
      </c>
      <c r="R137" s="29">
        <f>IF(OR(OR(A137&lt;1,A137&gt;SV_T),NOT(SV_cpfOn)),0,MIN(SV_sal0*(1+incomeGrowthRate)^(A137-1)*G137,SV_owCap))</f>
        <v/>
      </c>
      <c r="S137" s="29">
        <f>IF(A137&gt;SV_T,0,S136*(1+SV_oaRate)+IF(A137&gt;=SV_effStop,0,INDEX(SV_cpfOA,Q137)*INDEX(SV_cpfTot,Q137)*R137))</f>
        <v/>
      </c>
      <c r="T137" s="29">
        <f>IF(A137&gt;SV_T,0,T136*(1+SV_saRate)+IF(A137&gt;=SV_effStop,0,INDEX(SV_cpfSA,Q137)*INDEX(SV_cpfTot,Q137)*R137))</f>
        <v/>
      </c>
      <c r="U137" s="29">
        <f>IF(A137&gt;SV_T,0,U136*(1+SV_saRate)+IF(A137&gt;=SV_effStop,0,INDEX(SV_cpfMA,Q137)*INDEX(SV_cpfTot,Q137)*R137))</f>
        <v/>
      </c>
      <c r="V137" s="29">
        <f>IF(OR(OR(A137&lt;1,A137&gt;SV_T),A137&gt;=SV_effNeg),0,-(INDEX(SV_cpfOA,Q137)+INDEX(SV_cpfSA,Q137)+INDEX(SV_cpfMA,Q137))*INDEX(SV_cpfEmp,Q137)*R137)</f>
        <v/>
      </c>
      <c r="W137" s="29">
        <f>IF(A137&gt;=SV_sIdx,0,S137)</f>
        <v/>
      </c>
      <c r="X137" s="29">
        <f>IF(A137&gt;=SV_sIdx,0,T137)</f>
        <v/>
      </c>
      <c r="Y137" s="29">
        <f>IF(A137&gt;=SV_sIdx,MIN(U137,SV_maCap),U137)</f>
        <v/>
      </c>
      <c r="Z137" s="29">
        <f>IF(AND(SV_cpfOn,A137&gt;=SV_pIdx,A137&lt;=SV_T),12*SV_pay,0)</f>
        <v/>
      </c>
      <c r="AA137" s="29">
        <f>IF(A137&gt;SV_T,0,IF(SV_sp&gt;=0,IF(A137&lt;SV_sIdx,0,IF(A137=SV_sIdx,SV_R0,SV_lifeGrowth*AA136)),SV_lifeGrowth*AA136))</f>
        <v/>
      </c>
      <c r="AB137" s="29">
        <f>IF(A137&gt;SV_T,0,IF(AND(SV_sp&gt;=0,A137&lt;SV_sIdx),0,IF(AND(SV_sp&gt;=0,A137=SV_sIdx),SV_L0,SV_lifeGrowth*(AB136-Z137))))</f>
        <v/>
      </c>
      <c r="AC137" s="29">
        <f>W137+X137+AA137+Y137+IF(AA137&lt;0,0,AB137)</f>
        <v/>
      </c>
      <c r="AD137" s="29">
        <f>Z137+V137</f>
        <v/>
      </c>
      <c r="AE137" s="29">
        <f>IF(OR(A137&gt;SV_T,A137&gt;=SV_loanYears),0,MAX(0,AE136*(1+loanRate)-SV_inst))</f>
        <v/>
      </c>
      <c r="AF137" s="29">
        <f>IF(A137&gt;SV_T,0,AF136*(1+SV_savRate)+H137+I137+J137+K137+AD137)</f>
        <v/>
      </c>
      <c r="AG137" s="29">
        <f>IF(A137&gt;SV_T,0,MAX(0,N137+O137+P137+AC137+AF137-AE137))</f>
        <v/>
      </c>
      <c r="AH137" s="29">
        <f>IF(A137&gt;SV_T,0,N137+O137+AF137-MAX(0,AE137-(P137+AC137)))</f>
        <v/>
      </c>
      <c r="AI137" s="29">
        <f>IF(OR(OR(A137&lt;1,A137&gt;SV_T),A137-1&gt;=SV_retPay),0,SV_retMth*12+IF(A137=1,SV_retLump,0))</f>
        <v/>
      </c>
      <c r="AJ137" s="29">
        <f>IF(A137&gt;SV_T,0,(AJ136+AI137)*(1+investmentReturn))</f>
        <v/>
      </c>
      <c r="AK137" s="29">
        <f>IF(OR(OR(A137&lt;1,A137&gt;SV_T),A137-1&gt;=SV_goalPay),0,SV_goalMth*12+IF(A137=1,SV_goalLump,0))</f>
        <v/>
      </c>
      <c r="AL137" s="29">
        <f>IF(A137&gt;SV_T,0,(AL136+AK137)*(1+investmentReturn))</f>
        <v/>
      </c>
      <c r="AM137" s="29">
        <f>IF(OR(OR(A137&lt;1,A137&gt;SV_T),A137-1&gt;=SV_protPay),0,SV_protPrem)</f>
        <v/>
      </c>
      <c r="AN137" s="29">
        <f>IF(OR(A137=0,A137&gt;=SV_T),0,ROUND(MAX(0,AJ137),2)+ROUND(MAX(0,AL137),2))</f>
        <v/>
      </c>
      <c r="AO137" s="29">
        <f>IF(OR(A137&lt;1,A137&gt;SV_T),0,-(AI137+AK137+AM137)+IF(A137=SV_T,ROUND(MAX(0,AJ137),2)+ROUND(MAX(0,AL137),2),0))</f>
        <v/>
      </c>
      <c r="AP137" s="29">
        <f>IF(A137&gt;SV_T,0,AP136*(1+SV_savRate)+H137+I137+J137+K137+AD137+AO137)</f>
        <v/>
      </c>
      <c r="AQ137" s="29">
        <f>IF(A137&gt;SV_T,0,MAX(0,N137+O137+P137+AC137+AP137+AN137-AE137))</f>
        <v/>
      </c>
      <c r="AR137" s="29">
        <f>IF(A137&gt;SV_T,0,N137+O137+AP137+AN137-MAX(0,AE137-(P137+AC137)))</f>
        <v/>
      </c>
    </row>
    <row r="138">
      <c r="A138" s="61" t="n">
        <v>9</v>
      </c>
      <c r="B138" s="61">
        <f>SV_age+A138</f>
        <v/>
      </c>
      <c r="C138" s="61">
        <f>currentYear+A138</f>
        <v/>
      </c>
      <c r="D138" s="52">
        <f>A138&lt;=SV_T</f>
        <v/>
      </c>
      <c r="E138" s="60">
        <f>IF(AND(SV_inflOn,A138&gt;=SV_inflS,A138&lt;=SV_inflE),1+SV_inflRate,1+inflationRate)</f>
        <v/>
      </c>
      <c r="F138" s="60">
        <f>IF(A138&lt;=1,1,F137*E138)</f>
        <v/>
      </c>
      <c r="G138" s="60">
        <f>IF(AND(SV_incOn,A138&gt;=SV_incS,A138&lt;=SV_incE),1+SV_incImp,1)</f>
        <v/>
      </c>
      <c r="H138" s="29">
        <f>IF(OR(OR(A138&lt;1,A138&gt;SV_T),A138-1&gt;=SV_salCut),0,SV_sal0*(1+incomeGrowthRate)^(A138-1)*G138)</f>
        <v/>
      </c>
      <c r="I138" s="29">
        <f>IF(OR(A138&lt;1,A138&gt;SV_T),0,(-SV_exp0*F138-IF(A138&lt;=SV_loanYears,SV_inst,0)-IF(AND(SV_wdAmt&gt;0,A138=SV_wdYear),SV_wdAmt,0))*IF(AND(SV_expOn,A138&gt;=SV_expS,A138&lt;=SV_expE),1+SV_expImp,1))</f>
        <v/>
      </c>
      <c r="J138" s="29">
        <f>IF(OR(OR(A138&lt;1,A138&gt;SV_T),A138&gt;SV_loanYears),0,-SV_lifePremYr)</f>
        <v/>
      </c>
      <c r="K138" s="29">
        <f>IF(OR(A138&lt;1,A138&gt;SV_T),0,-SV_contrib)</f>
        <v/>
      </c>
      <c r="L138" s="60">
        <f>IF(AND(SV_crashOn,A138=SV_crashYr),SV_crashF,1)</f>
        <v/>
      </c>
      <c r="M138" s="60">
        <f>IF(AND(SV_ccyOn,A138=SV_ccyYr),SV_ccyF,1)</f>
        <v/>
      </c>
      <c r="N138" s="29">
        <f>IF(A138&gt;SV_T,0,N137*(1+interestRate)*L138*M138)</f>
        <v/>
      </c>
      <c r="O138" s="29">
        <f>IF(A138&gt;SV_T,0,(O137+SV_contrib)*(1+investmentReturn)*L138*M138)</f>
        <v/>
      </c>
      <c r="P138" s="29">
        <f>IF(A138&gt;SV_T,0,P137*(1+SV_propRate)*L138)</f>
        <v/>
      </c>
      <c r="Q138" s="46">
        <f>MATCH(SV_age+A138-1,SV_cpfLower,1)</f>
        <v/>
      </c>
      <c r="R138" s="29">
        <f>IF(OR(OR(A138&lt;1,A138&gt;SV_T),NOT(SV_cpfOn)),0,MIN(SV_sal0*(1+incomeGrowthRate)^(A138-1)*G138,SV_owCap))</f>
        <v/>
      </c>
      <c r="S138" s="29">
        <f>IF(A138&gt;SV_T,0,S137*(1+SV_oaRate)+IF(A138&gt;=SV_effStop,0,INDEX(SV_cpfOA,Q138)*INDEX(SV_cpfTot,Q138)*R138))</f>
        <v/>
      </c>
      <c r="T138" s="29">
        <f>IF(A138&gt;SV_T,0,T137*(1+SV_saRate)+IF(A138&gt;=SV_effStop,0,INDEX(SV_cpfSA,Q138)*INDEX(SV_cpfTot,Q138)*R138))</f>
        <v/>
      </c>
      <c r="U138" s="29">
        <f>IF(A138&gt;SV_T,0,U137*(1+SV_saRate)+IF(A138&gt;=SV_effStop,0,INDEX(SV_cpfMA,Q138)*INDEX(SV_cpfTot,Q138)*R138))</f>
        <v/>
      </c>
      <c r="V138" s="29">
        <f>IF(OR(OR(A138&lt;1,A138&gt;SV_T),A138&gt;=SV_effNeg),0,-(INDEX(SV_cpfOA,Q138)+INDEX(SV_cpfSA,Q138)+INDEX(SV_cpfMA,Q138))*INDEX(SV_cpfEmp,Q138)*R138)</f>
        <v/>
      </c>
      <c r="W138" s="29">
        <f>IF(A138&gt;=SV_sIdx,0,S138)</f>
        <v/>
      </c>
      <c r="X138" s="29">
        <f>IF(A138&gt;=SV_sIdx,0,T138)</f>
        <v/>
      </c>
      <c r="Y138" s="29">
        <f>IF(A138&gt;=SV_sIdx,MIN(U138,SV_maCap),U138)</f>
        <v/>
      </c>
      <c r="Z138" s="29">
        <f>IF(AND(SV_cpfOn,A138&gt;=SV_pIdx,A138&lt;=SV_T),12*SV_pay,0)</f>
        <v/>
      </c>
      <c r="AA138" s="29">
        <f>IF(A138&gt;SV_T,0,IF(SV_sp&gt;=0,IF(A138&lt;SV_sIdx,0,IF(A138=SV_sIdx,SV_R0,SV_lifeGrowth*AA137)),SV_lifeGrowth*AA137))</f>
        <v/>
      </c>
      <c r="AB138" s="29">
        <f>IF(A138&gt;SV_T,0,IF(AND(SV_sp&gt;=0,A138&lt;SV_sIdx),0,IF(AND(SV_sp&gt;=0,A138=SV_sIdx),SV_L0,SV_lifeGrowth*(AB137-Z138))))</f>
        <v/>
      </c>
      <c r="AC138" s="29">
        <f>W138+X138+AA138+Y138+IF(AA138&lt;0,0,AB138)</f>
        <v/>
      </c>
      <c r="AD138" s="29">
        <f>Z138+V138</f>
        <v/>
      </c>
      <c r="AE138" s="29">
        <f>IF(OR(A138&gt;SV_T,A138&gt;=SV_loanYears),0,MAX(0,AE137*(1+loanRate)-SV_inst))</f>
        <v/>
      </c>
      <c r="AF138" s="29">
        <f>IF(A138&gt;SV_T,0,AF137*(1+SV_savRate)+H138+I138+J138+K138+AD138)</f>
        <v/>
      </c>
      <c r="AG138" s="29">
        <f>IF(A138&gt;SV_T,0,MAX(0,N138+O138+P138+AC138+AF138-AE138))</f>
        <v/>
      </c>
      <c r="AH138" s="29">
        <f>IF(A138&gt;SV_T,0,N138+O138+AF138-MAX(0,AE138-(P138+AC138)))</f>
        <v/>
      </c>
      <c r="AI138" s="29">
        <f>IF(OR(OR(A138&lt;1,A138&gt;SV_T),A138-1&gt;=SV_retPay),0,SV_retMth*12+IF(A138=1,SV_retLump,0))</f>
        <v/>
      </c>
      <c r="AJ138" s="29">
        <f>IF(A138&gt;SV_T,0,(AJ137+AI138)*(1+investmentReturn))</f>
        <v/>
      </c>
      <c r="AK138" s="29">
        <f>IF(OR(OR(A138&lt;1,A138&gt;SV_T),A138-1&gt;=SV_goalPay),0,SV_goalMth*12+IF(A138=1,SV_goalLump,0))</f>
        <v/>
      </c>
      <c r="AL138" s="29">
        <f>IF(A138&gt;SV_T,0,(AL137+AK138)*(1+investmentReturn))</f>
        <v/>
      </c>
      <c r="AM138" s="29">
        <f>IF(OR(OR(A138&lt;1,A138&gt;SV_T),A138-1&gt;=SV_protPay),0,SV_protPrem)</f>
        <v/>
      </c>
      <c r="AN138" s="29">
        <f>IF(OR(A138=0,A138&gt;=SV_T),0,ROUND(MAX(0,AJ138),2)+ROUND(MAX(0,AL138),2))</f>
        <v/>
      </c>
      <c r="AO138" s="29">
        <f>IF(OR(A138&lt;1,A138&gt;SV_T),0,-(AI138+AK138+AM138)+IF(A138=SV_T,ROUND(MAX(0,AJ138),2)+ROUND(MAX(0,AL138),2),0))</f>
        <v/>
      </c>
      <c r="AP138" s="29">
        <f>IF(A138&gt;SV_T,0,AP137*(1+SV_savRate)+H138+I138+J138+K138+AD138+AO138)</f>
        <v/>
      </c>
      <c r="AQ138" s="29">
        <f>IF(A138&gt;SV_T,0,MAX(0,N138+O138+P138+AC138+AP138+AN138-AE138))</f>
        <v/>
      </c>
      <c r="AR138" s="29">
        <f>IF(A138&gt;SV_T,0,N138+O138+AP138+AN138-MAX(0,AE138-(P138+AC138)))</f>
        <v/>
      </c>
    </row>
    <row r="139">
      <c r="A139" s="61" t="n">
        <v>10</v>
      </c>
      <c r="B139" s="61">
        <f>SV_age+A139</f>
        <v/>
      </c>
      <c r="C139" s="61">
        <f>currentYear+A139</f>
        <v/>
      </c>
      <c r="D139" s="52">
        <f>A139&lt;=SV_T</f>
        <v/>
      </c>
      <c r="E139" s="60">
        <f>IF(AND(SV_inflOn,A139&gt;=SV_inflS,A139&lt;=SV_inflE),1+SV_inflRate,1+inflationRate)</f>
        <v/>
      </c>
      <c r="F139" s="60">
        <f>IF(A139&lt;=1,1,F138*E139)</f>
        <v/>
      </c>
      <c r="G139" s="60">
        <f>IF(AND(SV_incOn,A139&gt;=SV_incS,A139&lt;=SV_incE),1+SV_incImp,1)</f>
        <v/>
      </c>
      <c r="H139" s="29">
        <f>IF(OR(OR(A139&lt;1,A139&gt;SV_T),A139-1&gt;=SV_salCut),0,SV_sal0*(1+incomeGrowthRate)^(A139-1)*G139)</f>
        <v/>
      </c>
      <c r="I139" s="29">
        <f>IF(OR(A139&lt;1,A139&gt;SV_T),0,(-SV_exp0*F139-IF(A139&lt;=SV_loanYears,SV_inst,0)-IF(AND(SV_wdAmt&gt;0,A139=SV_wdYear),SV_wdAmt,0))*IF(AND(SV_expOn,A139&gt;=SV_expS,A139&lt;=SV_expE),1+SV_expImp,1))</f>
        <v/>
      </c>
      <c r="J139" s="29">
        <f>IF(OR(OR(A139&lt;1,A139&gt;SV_T),A139&gt;SV_loanYears),0,-SV_lifePremYr)</f>
        <v/>
      </c>
      <c r="K139" s="29">
        <f>IF(OR(A139&lt;1,A139&gt;SV_T),0,-SV_contrib)</f>
        <v/>
      </c>
      <c r="L139" s="60">
        <f>IF(AND(SV_crashOn,A139=SV_crashYr),SV_crashF,1)</f>
        <v/>
      </c>
      <c r="M139" s="60">
        <f>IF(AND(SV_ccyOn,A139=SV_ccyYr),SV_ccyF,1)</f>
        <v/>
      </c>
      <c r="N139" s="29">
        <f>IF(A139&gt;SV_T,0,N138*(1+interestRate)*L139*M139)</f>
        <v/>
      </c>
      <c r="O139" s="29">
        <f>IF(A139&gt;SV_T,0,(O138+SV_contrib)*(1+investmentReturn)*L139*M139)</f>
        <v/>
      </c>
      <c r="P139" s="29">
        <f>IF(A139&gt;SV_T,0,P138*(1+SV_propRate)*L139)</f>
        <v/>
      </c>
      <c r="Q139" s="46">
        <f>MATCH(SV_age+A139-1,SV_cpfLower,1)</f>
        <v/>
      </c>
      <c r="R139" s="29">
        <f>IF(OR(OR(A139&lt;1,A139&gt;SV_T),NOT(SV_cpfOn)),0,MIN(SV_sal0*(1+incomeGrowthRate)^(A139-1)*G139,SV_owCap))</f>
        <v/>
      </c>
      <c r="S139" s="29">
        <f>IF(A139&gt;SV_T,0,S138*(1+SV_oaRate)+IF(A139&gt;=SV_effStop,0,INDEX(SV_cpfOA,Q139)*INDEX(SV_cpfTot,Q139)*R139))</f>
        <v/>
      </c>
      <c r="T139" s="29">
        <f>IF(A139&gt;SV_T,0,T138*(1+SV_saRate)+IF(A139&gt;=SV_effStop,0,INDEX(SV_cpfSA,Q139)*INDEX(SV_cpfTot,Q139)*R139))</f>
        <v/>
      </c>
      <c r="U139" s="29">
        <f>IF(A139&gt;SV_T,0,U138*(1+SV_saRate)+IF(A139&gt;=SV_effStop,0,INDEX(SV_cpfMA,Q139)*INDEX(SV_cpfTot,Q139)*R139))</f>
        <v/>
      </c>
      <c r="V139" s="29">
        <f>IF(OR(OR(A139&lt;1,A139&gt;SV_T),A139&gt;=SV_effNeg),0,-(INDEX(SV_cpfOA,Q139)+INDEX(SV_cpfSA,Q139)+INDEX(SV_cpfMA,Q139))*INDEX(SV_cpfEmp,Q139)*R139)</f>
        <v/>
      </c>
      <c r="W139" s="29">
        <f>IF(A139&gt;=SV_sIdx,0,S139)</f>
        <v/>
      </c>
      <c r="X139" s="29">
        <f>IF(A139&gt;=SV_sIdx,0,T139)</f>
        <v/>
      </c>
      <c r="Y139" s="29">
        <f>IF(A139&gt;=SV_sIdx,MIN(U139,SV_maCap),U139)</f>
        <v/>
      </c>
      <c r="Z139" s="29">
        <f>IF(AND(SV_cpfOn,A139&gt;=SV_pIdx,A139&lt;=SV_T),12*SV_pay,0)</f>
        <v/>
      </c>
      <c r="AA139" s="29">
        <f>IF(A139&gt;SV_T,0,IF(SV_sp&gt;=0,IF(A139&lt;SV_sIdx,0,IF(A139=SV_sIdx,SV_R0,SV_lifeGrowth*AA138)),SV_lifeGrowth*AA138))</f>
        <v/>
      </c>
      <c r="AB139" s="29">
        <f>IF(A139&gt;SV_T,0,IF(AND(SV_sp&gt;=0,A139&lt;SV_sIdx),0,IF(AND(SV_sp&gt;=0,A139=SV_sIdx),SV_L0,SV_lifeGrowth*(AB138-Z139))))</f>
        <v/>
      </c>
      <c r="AC139" s="29">
        <f>W139+X139+AA139+Y139+IF(AA139&lt;0,0,AB139)</f>
        <v/>
      </c>
      <c r="AD139" s="29">
        <f>Z139+V139</f>
        <v/>
      </c>
      <c r="AE139" s="29">
        <f>IF(OR(A139&gt;SV_T,A139&gt;=SV_loanYears),0,MAX(0,AE138*(1+loanRate)-SV_inst))</f>
        <v/>
      </c>
      <c r="AF139" s="29">
        <f>IF(A139&gt;SV_T,0,AF138*(1+SV_savRate)+H139+I139+J139+K139+AD139)</f>
        <v/>
      </c>
      <c r="AG139" s="29">
        <f>IF(A139&gt;SV_T,0,MAX(0,N139+O139+P139+AC139+AF139-AE139))</f>
        <v/>
      </c>
      <c r="AH139" s="29">
        <f>IF(A139&gt;SV_T,0,N139+O139+AF139-MAX(0,AE139-(P139+AC139)))</f>
        <v/>
      </c>
      <c r="AI139" s="29">
        <f>IF(OR(OR(A139&lt;1,A139&gt;SV_T),A139-1&gt;=SV_retPay),0,SV_retMth*12+IF(A139=1,SV_retLump,0))</f>
        <v/>
      </c>
      <c r="AJ139" s="29">
        <f>IF(A139&gt;SV_T,0,(AJ138+AI139)*(1+investmentReturn))</f>
        <v/>
      </c>
      <c r="AK139" s="29">
        <f>IF(OR(OR(A139&lt;1,A139&gt;SV_T),A139-1&gt;=SV_goalPay),0,SV_goalMth*12+IF(A139=1,SV_goalLump,0))</f>
        <v/>
      </c>
      <c r="AL139" s="29">
        <f>IF(A139&gt;SV_T,0,(AL138+AK139)*(1+investmentReturn))</f>
        <v/>
      </c>
      <c r="AM139" s="29">
        <f>IF(OR(OR(A139&lt;1,A139&gt;SV_T),A139-1&gt;=SV_protPay),0,SV_protPrem)</f>
        <v/>
      </c>
      <c r="AN139" s="29">
        <f>IF(OR(A139=0,A139&gt;=SV_T),0,ROUND(MAX(0,AJ139),2)+ROUND(MAX(0,AL139),2))</f>
        <v/>
      </c>
      <c r="AO139" s="29">
        <f>IF(OR(A139&lt;1,A139&gt;SV_T),0,-(AI139+AK139+AM139)+IF(A139=SV_T,ROUND(MAX(0,AJ139),2)+ROUND(MAX(0,AL139),2),0))</f>
        <v/>
      </c>
      <c r="AP139" s="29">
        <f>IF(A139&gt;SV_T,0,AP138*(1+SV_savRate)+H139+I139+J139+K139+AD139+AO139)</f>
        <v/>
      </c>
      <c r="AQ139" s="29">
        <f>IF(A139&gt;SV_T,0,MAX(0,N139+O139+P139+AC139+AP139+AN139-AE139))</f>
        <v/>
      </c>
      <c r="AR139" s="29">
        <f>IF(A139&gt;SV_T,0,N139+O139+AP139+AN139-MAX(0,AE139-(P139+AC139)))</f>
        <v/>
      </c>
    </row>
    <row r="140">
      <c r="A140" s="61" t="n">
        <v>11</v>
      </c>
      <c r="B140" s="61">
        <f>SV_age+A140</f>
        <v/>
      </c>
      <c r="C140" s="61">
        <f>currentYear+A140</f>
        <v/>
      </c>
      <c r="D140" s="52">
        <f>A140&lt;=SV_T</f>
        <v/>
      </c>
      <c r="E140" s="60">
        <f>IF(AND(SV_inflOn,A140&gt;=SV_inflS,A140&lt;=SV_inflE),1+SV_inflRate,1+inflationRate)</f>
        <v/>
      </c>
      <c r="F140" s="60">
        <f>IF(A140&lt;=1,1,F139*E140)</f>
        <v/>
      </c>
      <c r="G140" s="60">
        <f>IF(AND(SV_incOn,A140&gt;=SV_incS,A140&lt;=SV_incE),1+SV_incImp,1)</f>
        <v/>
      </c>
      <c r="H140" s="29">
        <f>IF(OR(OR(A140&lt;1,A140&gt;SV_T),A140-1&gt;=SV_salCut),0,SV_sal0*(1+incomeGrowthRate)^(A140-1)*G140)</f>
        <v/>
      </c>
      <c r="I140" s="29">
        <f>IF(OR(A140&lt;1,A140&gt;SV_T),0,(-SV_exp0*F140-IF(A140&lt;=SV_loanYears,SV_inst,0)-IF(AND(SV_wdAmt&gt;0,A140=SV_wdYear),SV_wdAmt,0))*IF(AND(SV_expOn,A140&gt;=SV_expS,A140&lt;=SV_expE),1+SV_expImp,1))</f>
        <v/>
      </c>
      <c r="J140" s="29">
        <f>IF(OR(OR(A140&lt;1,A140&gt;SV_T),A140&gt;SV_loanYears),0,-SV_lifePremYr)</f>
        <v/>
      </c>
      <c r="K140" s="29">
        <f>IF(OR(A140&lt;1,A140&gt;SV_T),0,-SV_contrib)</f>
        <v/>
      </c>
      <c r="L140" s="60">
        <f>IF(AND(SV_crashOn,A140=SV_crashYr),SV_crashF,1)</f>
        <v/>
      </c>
      <c r="M140" s="60">
        <f>IF(AND(SV_ccyOn,A140=SV_ccyYr),SV_ccyF,1)</f>
        <v/>
      </c>
      <c r="N140" s="29">
        <f>IF(A140&gt;SV_T,0,N139*(1+interestRate)*L140*M140)</f>
        <v/>
      </c>
      <c r="O140" s="29">
        <f>IF(A140&gt;SV_T,0,(O139+SV_contrib)*(1+investmentReturn)*L140*M140)</f>
        <v/>
      </c>
      <c r="P140" s="29">
        <f>IF(A140&gt;SV_T,0,P139*(1+SV_propRate)*L140)</f>
        <v/>
      </c>
      <c r="Q140" s="46">
        <f>MATCH(SV_age+A140-1,SV_cpfLower,1)</f>
        <v/>
      </c>
      <c r="R140" s="29">
        <f>IF(OR(OR(A140&lt;1,A140&gt;SV_T),NOT(SV_cpfOn)),0,MIN(SV_sal0*(1+incomeGrowthRate)^(A140-1)*G140,SV_owCap))</f>
        <v/>
      </c>
      <c r="S140" s="29">
        <f>IF(A140&gt;SV_T,0,S139*(1+SV_oaRate)+IF(A140&gt;=SV_effStop,0,INDEX(SV_cpfOA,Q140)*INDEX(SV_cpfTot,Q140)*R140))</f>
        <v/>
      </c>
      <c r="T140" s="29">
        <f>IF(A140&gt;SV_T,0,T139*(1+SV_saRate)+IF(A140&gt;=SV_effStop,0,INDEX(SV_cpfSA,Q140)*INDEX(SV_cpfTot,Q140)*R140))</f>
        <v/>
      </c>
      <c r="U140" s="29">
        <f>IF(A140&gt;SV_T,0,U139*(1+SV_saRate)+IF(A140&gt;=SV_effStop,0,INDEX(SV_cpfMA,Q140)*INDEX(SV_cpfTot,Q140)*R140))</f>
        <v/>
      </c>
      <c r="V140" s="29">
        <f>IF(OR(OR(A140&lt;1,A140&gt;SV_T),A140&gt;=SV_effNeg),0,-(INDEX(SV_cpfOA,Q140)+INDEX(SV_cpfSA,Q140)+INDEX(SV_cpfMA,Q140))*INDEX(SV_cpfEmp,Q140)*R140)</f>
        <v/>
      </c>
      <c r="W140" s="29">
        <f>IF(A140&gt;=SV_sIdx,0,S140)</f>
        <v/>
      </c>
      <c r="X140" s="29">
        <f>IF(A140&gt;=SV_sIdx,0,T140)</f>
        <v/>
      </c>
      <c r="Y140" s="29">
        <f>IF(A140&gt;=SV_sIdx,MIN(U140,SV_maCap),U140)</f>
        <v/>
      </c>
      <c r="Z140" s="29">
        <f>IF(AND(SV_cpfOn,A140&gt;=SV_pIdx,A140&lt;=SV_T),12*SV_pay,0)</f>
        <v/>
      </c>
      <c r="AA140" s="29">
        <f>IF(A140&gt;SV_T,0,IF(SV_sp&gt;=0,IF(A140&lt;SV_sIdx,0,IF(A140=SV_sIdx,SV_R0,SV_lifeGrowth*AA139)),SV_lifeGrowth*AA139))</f>
        <v/>
      </c>
      <c r="AB140" s="29">
        <f>IF(A140&gt;SV_T,0,IF(AND(SV_sp&gt;=0,A140&lt;SV_sIdx),0,IF(AND(SV_sp&gt;=0,A140=SV_sIdx),SV_L0,SV_lifeGrowth*(AB139-Z140))))</f>
        <v/>
      </c>
      <c r="AC140" s="29">
        <f>W140+X140+AA140+Y140+IF(AA140&lt;0,0,AB140)</f>
        <v/>
      </c>
      <c r="AD140" s="29">
        <f>Z140+V140</f>
        <v/>
      </c>
      <c r="AE140" s="29">
        <f>IF(OR(A140&gt;SV_T,A140&gt;=SV_loanYears),0,MAX(0,AE139*(1+loanRate)-SV_inst))</f>
        <v/>
      </c>
      <c r="AF140" s="29">
        <f>IF(A140&gt;SV_T,0,AF139*(1+SV_savRate)+H140+I140+J140+K140+AD140)</f>
        <v/>
      </c>
      <c r="AG140" s="29">
        <f>IF(A140&gt;SV_T,0,MAX(0,N140+O140+P140+AC140+AF140-AE140))</f>
        <v/>
      </c>
      <c r="AH140" s="29">
        <f>IF(A140&gt;SV_T,0,N140+O140+AF140-MAX(0,AE140-(P140+AC140)))</f>
        <v/>
      </c>
      <c r="AI140" s="29">
        <f>IF(OR(OR(A140&lt;1,A140&gt;SV_T),A140-1&gt;=SV_retPay),0,SV_retMth*12+IF(A140=1,SV_retLump,0))</f>
        <v/>
      </c>
      <c r="AJ140" s="29">
        <f>IF(A140&gt;SV_T,0,(AJ139+AI140)*(1+investmentReturn))</f>
        <v/>
      </c>
      <c r="AK140" s="29">
        <f>IF(OR(OR(A140&lt;1,A140&gt;SV_T),A140-1&gt;=SV_goalPay),0,SV_goalMth*12+IF(A140=1,SV_goalLump,0))</f>
        <v/>
      </c>
      <c r="AL140" s="29">
        <f>IF(A140&gt;SV_T,0,(AL139+AK140)*(1+investmentReturn))</f>
        <v/>
      </c>
      <c r="AM140" s="29">
        <f>IF(OR(OR(A140&lt;1,A140&gt;SV_T),A140-1&gt;=SV_protPay),0,SV_protPrem)</f>
        <v/>
      </c>
      <c r="AN140" s="29">
        <f>IF(OR(A140=0,A140&gt;=SV_T),0,ROUND(MAX(0,AJ140),2)+ROUND(MAX(0,AL140),2))</f>
        <v/>
      </c>
      <c r="AO140" s="29">
        <f>IF(OR(A140&lt;1,A140&gt;SV_T),0,-(AI140+AK140+AM140)+IF(A140=SV_T,ROUND(MAX(0,AJ140),2)+ROUND(MAX(0,AL140),2),0))</f>
        <v/>
      </c>
      <c r="AP140" s="29">
        <f>IF(A140&gt;SV_T,0,AP139*(1+SV_savRate)+H140+I140+J140+K140+AD140+AO140)</f>
        <v/>
      </c>
      <c r="AQ140" s="29">
        <f>IF(A140&gt;SV_T,0,MAX(0,N140+O140+P140+AC140+AP140+AN140-AE140))</f>
        <v/>
      </c>
      <c r="AR140" s="29">
        <f>IF(A140&gt;SV_T,0,N140+O140+AP140+AN140-MAX(0,AE140-(P140+AC140)))</f>
        <v/>
      </c>
    </row>
    <row r="141">
      <c r="A141" s="61" t="n">
        <v>12</v>
      </c>
      <c r="B141" s="61">
        <f>SV_age+A141</f>
        <v/>
      </c>
      <c r="C141" s="61">
        <f>currentYear+A141</f>
        <v/>
      </c>
      <c r="D141" s="52">
        <f>A141&lt;=SV_T</f>
        <v/>
      </c>
      <c r="E141" s="60">
        <f>IF(AND(SV_inflOn,A141&gt;=SV_inflS,A141&lt;=SV_inflE),1+SV_inflRate,1+inflationRate)</f>
        <v/>
      </c>
      <c r="F141" s="60">
        <f>IF(A141&lt;=1,1,F140*E141)</f>
        <v/>
      </c>
      <c r="G141" s="60">
        <f>IF(AND(SV_incOn,A141&gt;=SV_incS,A141&lt;=SV_incE),1+SV_incImp,1)</f>
        <v/>
      </c>
      <c r="H141" s="29">
        <f>IF(OR(OR(A141&lt;1,A141&gt;SV_T),A141-1&gt;=SV_salCut),0,SV_sal0*(1+incomeGrowthRate)^(A141-1)*G141)</f>
        <v/>
      </c>
      <c r="I141" s="29">
        <f>IF(OR(A141&lt;1,A141&gt;SV_T),0,(-SV_exp0*F141-IF(A141&lt;=SV_loanYears,SV_inst,0)-IF(AND(SV_wdAmt&gt;0,A141=SV_wdYear),SV_wdAmt,0))*IF(AND(SV_expOn,A141&gt;=SV_expS,A141&lt;=SV_expE),1+SV_expImp,1))</f>
        <v/>
      </c>
      <c r="J141" s="29">
        <f>IF(OR(OR(A141&lt;1,A141&gt;SV_T),A141&gt;SV_loanYears),0,-SV_lifePremYr)</f>
        <v/>
      </c>
      <c r="K141" s="29">
        <f>IF(OR(A141&lt;1,A141&gt;SV_T),0,-SV_contrib)</f>
        <v/>
      </c>
      <c r="L141" s="60">
        <f>IF(AND(SV_crashOn,A141=SV_crashYr),SV_crashF,1)</f>
        <v/>
      </c>
      <c r="M141" s="60">
        <f>IF(AND(SV_ccyOn,A141=SV_ccyYr),SV_ccyF,1)</f>
        <v/>
      </c>
      <c r="N141" s="29">
        <f>IF(A141&gt;SV_T,0,N140*(1+interestRate)*L141*M141)</f>
        <v/>
      </c>
      <c r="O141" s="29">
        <f>IF(A141&gt;SV_T,0,(O140+SV_contrib)*(1+investmentReturn)*L141*M141)</f>
        <v/>
      </c>
      <c r="P141" s="29">
        <f>IF(A141&gt;SV_T,0,P140*(1+SV_propRate)*L141)</f>
        <v/>
      </c>
      <c r="Q141" s="46">
        <f>MATCH(SV_age+A141-1,SV_cpfLower,1)</f>
        <v/>
      </c>
      <c r="R141" s="29">
        <f>IF(OR(OR(A141&lt;1,A141&gt;SV_T),NOT(SV_cpfOn)),0,MIN(SV_sal0*(1+incomeGrowthRate)^(A141-1)*G141,SV_owCap))</f>
        <v/>
      </c>
      <c r="S141" s="29">
        <f>IF(A141&gt;SV_T,0,S140*(1+SV_oaRate)+IF(A141&gt;=SV_effStop,0,INDEX(SV_cpfOA,Q141)*INDEX(SV_cpfTot,Q141)*R141))</f>
        <v/>
      </c>
      <c r="T141" s="29">
        <f>IF(A141&gt;SV_T,0,T140*(1+SV_saRate)+IF(A141&gt;=SV_effStop,0,INDEX(SV_cpfSA,Q141)*INDEX(SV_cpfTot,Q141)*R141))</f>
        <v/>
      </c>
      <c r="U141" s="29">
        <f>IF(A141&gt;SV_T,0,U140*(1+SV_saRate)+IF(A141&gt;=SV_effStop,0,INDEX(SV_cpfMA,Q141)*INDEX(SV_cpfTot,Q141)*R141))</f>
        <v/>
      </c>
      <c r="V141" s="29">
        <f>IF(OR(OR(A141&lt;1,A141&gt;SV_T),A141&gt;=SV_effNeg),0,-(INDEX(SV_cpfOA,Q141)+INDEX(SV_cpfSA,Q141)+INDEX(SV_cpfMA,Q141))*INDEX(SV_cpfEmp,Q141)*R141)</f>
        <v/>
      </c>
      <c r="W141" s="29">
        <f>IF(A141&gt;=SV_sIdx,0,S141)</f>
        <v/>
      </c>
      <c r="X141" s="29">
        <f>IF(A141&gt;=SV_sIdx,0,T141)</f>
        <v/>
      </c>
      <c r="Y141" s="29">
        <f>IF(A141&gt;=SV_sIdx,MIN(U141,SV_maCap),U141)</f>
        <v/>
      </c>
      <c r="Z141" s="29">
        <f>IF(AND(SV_cpfOn,A141&gt;=SV_pIdx,A141&lt;=SV_T),12*SV_pay,0)</f>
        <v/>
      </c>
      <c r="AA141" s="29">
        <f>IF(A141&gt;SV_T,0,IF(SV_sp&gt;=0,IF(A141&lt;SV_sIdx,0,IF(A141=SV_sIdx,SV_R0,SV_lifeGrowth*AA140)),SV_lifeGrowth*AA140))</f>
        <v/>
      </c>
      <c r="AB141" s="29">
        <f>IF(A141&gt;SV_T,0,IF(AND(SV_sp&gt;=0,A141&lt;SV_sIdx),0,IF(AND(SV_sp&gt;=0,A141=SV_sIdx),SV_L0,SV_lifeGrowth*(AB140-Z141))))</f>
        <v/>
      </c>
      <c r="AC141" s="29">
        <f>W141+X141+AA141+Y141+IF(AA141&lt;0,0,AB141)</f>
        <v/>
      </c>
      <c r="AD141" s="29">
        <f>Z141+V141</f>
        <v/>
      </c>
      <c r="AE141" s="29">
        <f>IF(OR(A141&gt;SV_T,A141&gt;=SV_loanYears),0,MAX(0,AE140*(1+loanRate)-SV_inst))</f>
        <v/>
      </c>
      <c r="AF141" s="29">
        <f>IF(A141&gt;SV_T,0,AF140*(1+SV_savRate)+H141+I141+J141+K141+AD141)</f>
        <v/>
      </c>
      <c r="AG141" s="29">
        <f>IF(A141&gt;SV_T,0,MAX(0,N141+O141+P141+AC141+AF141-AE141))</f>
        <v/>
      </c>
      <c r="AH141" s="29">
        <f>IF(A141&gt;SV_T,0,N141+O141+AF141-MAX(0,AE141-(P141+AC141)))</f>
        <v/>
      </c>
      <c r="AI141" s="29">
        <f>IF(OR(OR(A141&lt;1,A141&gt;SV_T),A141-1&gt;=SV_retPay),0,SV_retMth*12+IF(A141=1,SV_retLump,0))</f>
        <v/>
      </c>
      <c r="AJ141" s="29">
        <f>IF(A141&gt;SV_T,0,(AJ140+AI141)*(1+investmentReturn))</f>
        <v/>
      </c>
      <c r="AK141" s="29">
        <f>IF(OR(OR(A141&lt;1,A141&gt;SV_T),A141-1&gt;=SV_goalPay),0,SV_goalMth*12+IF(A141=1,SV_goalLump,0))</f>
        <v/>
      </c>
      <c r="AL141" s="29">
        <f>IF(A141&gt;SV_T,0,(AL140+AK141)*(1+investmentReturn))</f>
        <v/>
      </c>
      <c r="AM141" s="29">
        <f>IF(OR(OR(A141&lt;1,A141&gt;SV_T),A141-1&gt;=SV_protPay),0,SV_protPrem)</f>
        <v/>
      </c>
      <c r="AN141" s="29">
        <f>IF(OR(A141=0,A141&gt;=SV_T),0,ROUND(MAX(0,AJ141),2)+ROUND(MAX(0,AL141),2))</f>
        <v/>
      </c>
      <c r="AO141" s="29">
        <f>IF(OR(A141&lt;1,A141&gt;SV_T),0,-(AI141+AK141+AM141)+IF(A141=SV_T,ROUND(MAX(0,AJ141),2)+ROUND(MAX(0,AL141),2),0))</f>
        <v/>
      </c>
      <c r="AP141" s="29">
        <f>IF(A141&gt;SV_T,0,AP140*(1+SV_savRate)+H141+I141+J141+K141+AD141+AO141)</f>
        <v/>
      </c>
      <c r="AQ141" s="29">
        <f>IF(A141&gt;SV_T,0,MAX(0,N141+O141+P141+AC141+AP141+AN141-AE141))</f>
        <v/>
      </c>
      <c r="AR141" s="29">
        <f>IF(A141&gt;SV_T,0,N141+O141+AP141+AN141-MAX(0,AE141-(P141+AC141)))</f>
        <v/>
      </c>
    </row>
    <row r="142">
      <c r="A142" s="61" t="n">
        <v>13</v>
      </c>
      <c r="B142" s="61">
        <f>SV_age+A142</f>
        <v/>
      </c>
      <c r="C142" s="61">
        <f>currentYear+A142</f>
        <v/>
      </c>
      <c r="D142" s="52">
        <f>A142&lt;=SV_T</f>
        <v/>
      </c>
      <c r="E142" s="60">
        <f>IF(AND(SV_inflOn,A142&gt;=SV_inflS,A142&lt;=SV_inflE),1+SV_inflRate,1+inflationRate)</f>
        <v/>
      </c>
      <c r="F142" s="60">
        <f>IF(A142&lt;=1,1,F141*E142)</f>
        <v/>
      </c>
      <c r="G142" s="60">
        <f>IF(AND(SV_incOn,A142&gt;=SV_incS,A142&lt;=SV_incE),1+SV_incImp,1)</f>
        <v/>
      </c>
      <c r="H142" s="29">
        <f>IF(OR(OR(A142&lt;1,A142&gt;SV_T),A142-1&gt;=SV_salCut),0,SV_sal0*(1+incomeGrowthRate)^(A142-1)*G142)</f>
        <v/>
      </c>
      <c r="I142" s="29">
        <f>IF(OR(A142&lt;1,A142&gt;SV_T),0,(-SV_exp0*F142-IF(A142&lt;=SV_loanYears,SV_inst,0)-IF(AND(SV_wdAmt&gt;0,A142=SV_wdYear),SV_wdAmt,0))*IF(AND(SV_expOn,A142&gt;=SV_expS,A142&lt;=SV_expE),1+SV_expImp,1))</f>
        <v/>
      </c>
      <c r="J142" s="29">
        <f>IF(OR(OR(A142&lt;1,A142&gt;SV_T),A142&gt;SV_loanYears),0,-SV_lifePremYr)</f>
        <v/>
      </c>
      <c r="K142" s="29">
        <f>IF(OR(A142&lt;1,A142&gt;SV_T),0,-SV_contrib)</f>
        <v/>
      </c>
      <c r="L142" s="60">
        <f>IF(AND(SV_crashOn,A142=SV_crashYr),SV_crashF,1)</f>
        <v/>
      </c>
      <c r="M142" s="60">
        <f>IF(AND(SV_ccyOn,A142=SV_ccyYr),SV_ccyF,1)</f>
        <v/>
      </c>
      <c r="N142" s="29">
        <f>IF(A142&gt;SV_T,0,N141*(1+interestRate)*L142*M142)</f>
        <v/>
      </c>
      <c r="O142" s="29">
        <f>IF(A142&gt;SV_T,0,(O141+SV_contrib)*(1+investmentReturn)*L142*M142)</f>
        <v/>
      </c>
      <c r="P142" s="29">
        <f>IF(A142&gt;SV_T,0,P141*(1+SV_propRate)*L142)</f>
        <v/>
      </c>
      <c r="Q142" s="46">
        <f>MATCH(SV_age+A142-1,SV_cpfLower,1)</f>
        <v/>
      </c>
      <c r="R142" s="29">
        <f>IF(OR(OR(A142&lt;1,A142&gt;SV_T),NOT(SV_cpfOn)),0,MIN(SV_sal0*(1+incomeGrowthRate)^(A142-1)*G142,SV_owCap))</f>
        <v/>
      </c>
      <c r="S142" s="29">
        <f>IF(A142&gt;SV_T,0,S141*(1+SV_oaRate)+IF(A142&gt;=SV_effStop,0,INDEX(SV_cpfOA,Q142)*INDEX(SV_cpfTot,Q142)*R142))</f>
        <v/>
      </c>
      <c r="T142" s="29">
        <f>IF(A142&gt;SV_T,0,T141*(1+SV_saRate)+IF(A142&gt;=SV_effStop,0,INDEX(SV_cpfSA,Q142)*INDEX(SV_cpfTot,Q142)*R142))</f>
        <v/>
      </c>
      <c r="U142" s="29">
        <f>IF(A142&gt;SV_T,0,U141*(1+SV_saRate)+IF(A142&gt;=SV_effStop,0,INDEX(SV_cpfMA,Q142)*INDEX(SV_cpfTot,Q142)*R142))</f>
        <v/>
      </c>
      <c r="V142" s="29">
        <f>IF(OR(OR(A142&lt;1,A142&gt;SV_T),A142&gt;=SV_effNeg),0,-(INDEX(SV_cpfOA,Q142)+INDEX(SV_cpfSA,Q142)+INDEX(SV_cpfMA,Q142))*INDEX(SV_cpfEmp,Q142)*R142)</f>
        <v/>
      </c>
      <c r="W142" s="29">
        <f>IF(A142&gt;=SV_sIdx,0,S142)</f>
        <v/>
      </c>
      <c r="X142" s="29">
        <f>IF(A142&gt;=SV_sIdx,0,T142)</f>
        <v/>
      </c>
      <c r="Y142" s="29">
        <f>IF(A142&gt;=SV_sIdx,MIN(U142,SV_maCap),U142)</f>
        <v/>
      </c>
      <c r="Z142" s="29">
        <f>IF(AND(SV_cpfOn,A142&gt;=SV_pIdx,A142&lt;=SV_T),12*SV_pay,0)</f>
        <v/>
      </c>
      <c r="AA142" s="29">
        <f>IF(A142&gt;SV_T,0,IF(SV_sp&gt;=0,IF(A142&lt;SV_sIdx,0,IF(A142=SV_sIdx,SV_R0,SV_lifeGrowth*AA141)),SV_lifeGrowth*AA141))</f>
        <v/>
      </c>
      <c r="AB142" s="29">
        <f>IF(A142&gt;SV_T,0,IF(AND(SV_sp&gt;=0,A142&lt;SV_sIdx),0,IF(AND(SV_sp&gt;=0,A142=SV_sIdx),SV_L0,SV_lifeGrowth*(AB141-Z142))))</f>
        <v/>
      </c>
      <c r="AC142" s="29">
        <f>W142+X142+AA142+Y142+IF(AA142&lt;0,0,AB142)</f>
        <v/>
      </c>
      <c r="AD142" s="29">
        <f>Z142+V142</f>
        <v/>
      </c>
      <c r="AE142" s="29">
        <f>IF(OR(A142&gt;SV_T,A142&gt;=SV_loanYears),0,MAX(0,AE141*(1+loanRate)-SV_inst))</f>
        <v/>
      </c>
      <c r="AF142" s="29">
        <f>IF(A142&gt;SV_T,0,AF141*(1+SV_savRate)+H142+I142+J142+K142+AD142)</f>
        <v/>
      </c>
      <c r="AG142" s="29">
        <f>IF(A142&gt;SV_T,0,MAX(0,N142+O142+P142+AC142+AF142-AE142))</f>
        <v/>
      </c>
      <c r="AH142" s="29">
        <f>IF(A142&gt;SV_T,0,N142+O142+AF142-MAX(0,AE142-(P142+AC142)))</f>
        <v/>
      </c>
      <c r="AI142" s="29">
        <f>IF(OR(OR(A142&lt;1,A142&gt;SV_T),A142-1&gt;=SV_retPay),0,SV_retMth*12+IF(A142=1,SV_retLump,0))</f>
        <v/>
      </c>
      <c r="AJ142" s="29">
        <f>IF(A142&gt;SV_T,0,(AJ141+AI142)*(1+investmentReturn))</f>
        <v/>
      </c>
      <c r="AK142" s="29">
        <f>IF(OR(OR(A142&lt;1,A142&gt;SV_T),A142-1&gt;=SV_goalPay),0,SV_goalMth*12+IF(A142=1,SV_goalLump,0))</f>
        <v/>
      </c>
      <c r="AL142" s="29">
        <f>IF(A142&gt;SV_T,0,(AL141+AK142)*(1+investmentReturn))</f>
        <v/>
      </c>
      <c r="AM142" s="29">
        <f>IF(OR(OR(A142&lt;1,A142&gt;SV_T),A142-1&gt;=SV_protPay),0,SV_protPrem)</f>
        <v/>
      </c>
      <c r="AN142" s="29">
        <f>IF(OR(A142=0,A142&gt;=SV_T),0,ROUND(MAX(0,AJ142),2)+ROUND(MAX(0,AL142),2))</f>
        <v/>
      </c>
      <c r="AO142" s="29">
        <f>IF(OR(A142&lt;1,A142&gt;SV_T),0,-(AI142+AK142+AM142)+IF(A142=SV_T,ROUND(MAX(0,AJ142),2)+ROUND(MAX(0,AL142),2),0))</f>
        <v/>
      </c>
      <c r="AP142" s="29">
        <f>IF(A142&gt;SV_T,0,AP141*(1+SV_savRate)+H142+I142+J142+K142+AD142+AO142)</f>
        <v/>
      </c>
      <c r="AQ142" s="29">
        <f>IF(A142&gt;SV_T,0,MAX(0,N142+O142+P142+AC142+AP142+AN142-AE142))</f>
        <v/>
      </c>
      <c r="AR142" s="29">
        <f>IF(A142&gt;SV_T,0,N142+O142+AP142+AN142-MAX(0,AE142-(P142+AC142)))</f>
        <v/>
      </c>
    </row>
    <row r="143">
      <c r="A143" s="61" t="n">
        <v>14</v>
      </c>
      <c r="B143" s="61">
        <f>SV_age+A143</f>
        <v/>
      </c>
      <c r="C143" s="61">
        <f>currentYear+A143</f>
        <v/>
      </c>
      <c r="D143" s="52">
        <f>A143&lt;=SV_T</f>
        <v/>
      </c>
      <c r="E143" s="60">
        <f>IF(AND(SV_inflOn,A143&gt;=SV_inflS,A143&lt;=SV_inflE),1+SV_inflRate,1+inflationRate)</f>
        <v/>
      </c>
      <c r="F143" s="60">
        <f>IF(A143&lt;=1,1,F142*E143)</f>
        <v/>
      </c>
      <c r="G143" s="60">
        <f>IF(AND(SV_incOn,A143&gt;=SV_incS,A143&lt;=SV_incE),1+SV_incImp,1)</f>
        <v/>
      </c>
      <c r="H143" s="29">
        <f>IF(OR(OR(A143&lt;1,A143&gt;SV_T),A143-1&gt;=SV_salCut),0,SV_sal0*(1+incomeGrowthRate)^(A143-1)*G143)</f>
        <v/>
      </c>
      <c r="I143" s="29">
        <f>IF(OR(A143&lt;1,A143&gt;SV_T),0,(-SV_exp0*F143-IF(A143&lt;=SV_loanYears,SV_inst,0)-IF(AND(SV_wdAmt&gt;0,A143=SV_wdYear),SV_wdAmt,0))*IF(AND(SV_expOn,A143&gt;=SV_expS,A143&lt;=SV_expE),1+SV_expImp,1))</f>
        <v/>
      </c>
      <c r="J143" s="29">
        <f>IF(OR(OR(A143&lt;1,A143&gt;SV_T),A143&gt;SV_loanYears),0,-SV_lifePremYr)</f>
        <v/>
      </c>
      <c r="K143" s="29">
        <f>IF(OR(A143&lt;1,A143&gt;SV_T),0,-SV_contrib)</f>
        <v/>
      </c>
      <c r="L143" s="60">
        <f>IF(AND(SV_crashOn,A143=SV_crashYr),SV_crashF,1)</f>
        <v/>
      </c>
      <c r="M143" s="60">
        <f>IF(AND(SV_ccyOn,A143=SV_ccyYr),SV_ccyF,1)</f>
        <v/>
      </c>
      <c r="N143" s="29">
        <f>IF(A143&gt;SV_T,0,N142*(1+interestRate)*L143*M143)</f>
        <v/>
      </c>
      <c r="O143" s="29">
        <f>IF(A143&gt;SV_T,0,(O142+SV_contrib)*(1+investmentReturn)*L143*M143)</f>
        <v/>
      </c>
      <c r="P143" s="29">
        <f>IF(A143&gt;SV_T,0,P142*(1+SV_propRate)*L143)</f>
        <v/>
      </c>
      <c r="Q143" s="46">
        <f>MATCH(SV_age+A143-1,SV_cpfLower,1)</f>
        <v/>
      </c>
      <c r="R143" s="29">
        <f>IF(OR(OR(A143&lt;1,A143&gt;SV_T),NOT(SV_cpfOn)),0,MIN(SV_sal0*(1+incomeGrowthRate)^(A143-1)*G143,SV_owCap))</f>
        <v/>
      </c>
      <c r="S143" s="29">
        <f>IF(A143&gt;SV_T,0,S142*(1+SV_oaRate)+IF(A143&gt;=SV_effStop,0,INDEX(SV_cpfOA,Q143)*INDEX(SV_cpfTot,Q143)*R143))</f>
        <v/>
      </c>
      <c r="T143" s="29">
        <f>IF(A143&gt;SV_T,0,T142*(1+SV_saRate)+IF(A143&gt;=SV_effStop,0,INDEX(SV_cpfSA,Q143)*INDEX(SV_cpfTot,Q143)*R143))</f>
        <v/>
      </c>
      <c r="U143" s="29">
        <f>IF(A143&gt;SV_T,0,U142*(1+SV_saRate)+IF(A143&gt;=SV_effStop,0,INDEX(SV_cpfMA,Q143)*INDEX(SV_cpfTot,Q143)*R143))</f>
        <v/>
      </c>
      <c r="V143" s="29">
        <f>IF(OR(OR(A143&lt;1,A143&gt;SV_T),A143&gt;=SV_effNeg),0,-(INDEX(SV_cpfOA,Q143)+INDEX(SV_cpfSA,Q143)+INDEX(SV_cpfMA,Q143))*INDEX(SV_cpfEmp,Q143)*R143)</f>
        <v/>
      </c>
      <c r="W143" s="29">
        <f>IF(A143&gt;=SV_sIdx,0,S143)</f>
        <v/>
      </c>
      <c r="X143" s="29">
        <f>IF(A143&gt;=SV_sIdx,0,T143)</f>
        <v/>
      </c>
      <c r="Y143" s="29">
        <f>IF(A143&gt;=SV_sIdx,MIN(U143,SV_maCap),U143)</f>
        <v/>
      </c>
      <c r="Z143" s="29">
        <f>IF(AND(SV_cpfOn,A143&gt;=SV_pIdx,A143&lt;=SV_T),12*SV_pay,0)</f>
        <v/>
      </c>
      <c r="AA143" s="29">
        <f>IF(A143&gt;SV_T,0,IF(SV_sp&gt;=0,IF(A143&lt;SV_sIdx,0,IF(A143=SV_sIdx,SV_R0,SV_lifeGrowth*AA142)),SV_lifeGrowth*AA142))</f>
        <v/>
      </c>
      <c r="AB143" s="29">
        <f>IF(A143&gt;SV_T,0,IF(AND(SV_sp&gt;=0,A143&lt;SV_sIdx),0,IF(AND(SV_sp&gt;=0,A143=SV_sIdx),SV_L0,SV_lifeGrowth*(AB142-Z143))))</f>
        <v/>
      </c>
      <c r="AC143" s="29">
        <f>W143+X143+AA143+Y143+IF(AA143&lt;0,0,AB143)</f>
        <v/>
      </c>
      <c r="AD143" s="29">
        <f>Z143+V143</f>
        <v/>
      </c>
      <c r="AE143" s="29">
        <f>IF(OR(A143&gt;SV_T,A143&gt;=SV_loanYears),0,MAX(0,AE142*(1+loanRate)-SV_inst))</f>
        <v/>
      </c>
      <c r="AF143" s="29">
        <f>IF(A143&gt;SV_T,0,AF142*(1+SV_savRate)+H143+I143+J143+K143+AD143)</f>
        <v/>
      </c>
      <c r="AG143" s="29">
        <f>IF(A143&gt;SV_T,0,MAX(0,N143+O143+P143+AC143+AF143-AE143))</f>
        <v/>
      </c>
      <c r="AH143" s="29">
        <f>IF(A143&gt;SV_T,0,N143+O143+AF143-MAX(0,AE143-(P143+AC143)))</f>
        <v/>
      </c>
      <c r="AI143" s="29">
        <f>IF(OR(OR(A143&lt;1,A143&gt;SV_T),A143-1&gt;=SV_retPay),0,SV_retMth*12+IF(A143=1,SV_retLump,0))</f>
        <v/>
      </c>
      <c r="AJ143" s="29">
        <f>IF(A143&gt;SV_T,0,(AJ142+AI143)*(1+investmentReturn))</f>
        <v/>
      </c>
      <c r="AK143" s="29">
        <f>IF(OR(OR(A143&lt;1,A143&gt;SV_T),A143-1&gt;=SV_goalPay),0,SV_goalMth*12+IF(A143=1,SV_goalLump,0))</f>
        <v/>
      </c>
      <c r="AL143" s="29">
        <f>IF(A143&gt;SV_T,0,(AL142+AK143)*(1+investmentReturn))</f>
        <v/>
      </c>
      <c r="AM143" s="29">
        <f>IF(OR(OR(A143&lt;1,A143&gt;SV_T),A143-1&gt;=SV_protPay),0,SV_protPrem)</f>
        <v/>
      </c>
      <c r="AN143" s="29">
        <f>IF(OR(A143=0,A143&gt;=SV_T),0,ROUND(MAX(0,AJ143),2)+ROUND(MAX(0,AL143),2))</f>
        <v/>
      </c>
      <c r="AO143" s="29">
        <f>IF(OR(A143&lt;1,A143&gt;SV_T),0,-(AI143+AK143+AM143)+IF(A143=SV_T,ROUND(MAX(0,AJ143),2)+ROUND(MAX(0,AL143),2),0))</f>
        <v/>
      </c>
      <c r="AP143" s="29">
        <f>IF(A143&gt;SV_T,0,AP142*(1+SV_savRate)+H143+I143+J143+K143+AD143+AO143)</f>
        <v/>
      </c>
      <c r="AQ143" s="29">
        <f>IF(A143&gt;SV_T,0,MAX(0,N143+O143+P143+AC143+AP143+AN143-AE143))</f>
        <v/>
      </c>
      <c r="AR143" s="29">
        <f>IF(A143&gt;SV_T,0,N143+O143+AP143+AN143-MAX(0,AE143-(P143+AC143)))</f>
        <v/>
      </c>
    </row>
    <row r="144">
      <c r="A144" s="61" t="n">
        <v>15</v>
      </c>
      <c r="B144" s="61">
        <f>SV_age+A144</f>
        <v/>
      </c>
      <c r="C144" s="61">
        <f>currentYear+A144</f>
        <v/>
      </c>
      <c r="D144" s="52">
        <f>A144&lt;=SV_T</f>
        <v/>
      </c>
      <c r="E144" s="60">
        <f>IF(AND(SV_inflOn,A144&gt;=SV_inflS,A144&lt;=SV_inflE),1+SV_inflRate,1+inflationRate)</f>
        <v/>
      </c>
      <c r="F144" s="60">
        <f>IF(A144&lt;=1,1,F143*E144)</f>
        <v/>
      </c>
      <c r="G144" s="60">
        <f>IF(AND(SV_incOn,A144&gt;=SV_incS,A144&lt;=SV_incE),1+SV_incImp,1)</f>
        <v/>
      </c>
      <c r="H144" s="29">
        <f>IF(OR(OR(A144&lt;1,A144&gt;SV_T),A144-1&gt;=SV_salCut),0,SV_sal0*(1+incomeGrowthRate)^(A144-1)*G144)</f>
        <v/>
      </c>
      <c r="I144" s="29">
        <f>IF(OR(A144&lt;1,A144&gt;SV_T),0,(-SV_exp0*F144-IF(A144&lt;=SV_loanYears,SV_inst,0)-IF(AND(SV_wdAmt&gt;0,A144=SV_wdYear),SV_wdAmt,0))*IF(AND(SV_expOn,A144&gt;=SV_expS,A144&lt;=SV_expE),1+SV_expImp,1))</f>
        <v/>
      </c>
      <c r="J144" s="29">
        <f>IF(OR(OR(A144&lt;1,A144&gt;SV_T),A144&gt;SV_loanYears),0,-SV_lifePremYr)</f>
        <v/>
      </c>
      <c r="K144" s="29">
        <f>IF(OR(A144&lt;1,A144&gt;SV_T),0,-SV_contrib)</f>
        <v/>
      </c>
      <c r="L144" s="60">
        <f>IF(AND(SV_crashOn,A144=SV_crashYr),SV_crashF,1)</f>
        <v/>
      </c>
      <c r="M144" s="60">
        <f>IF(AND(SV_ccyOn,A144=SV_ccyYr),SV_ccyF,1)</f>
        <v/>
      </c>
      <c r="N144" s="29">
        <f>IF(A144&gt;SV_T,0,N143*(1+interestRate)*L144*M144)</f>
        <v/>
      </c>
      <c r="O144" s="29">
        <f>IF(A144&gt;SV_T,0,(O143+SV_contrib)*(1+investmentReturn)*L144*M144)</f>
        <v/>
      </c>
      <c r="P144" s="29">
        <f>IF(A144&gt;SV_T,0,P143*(1+SV_propRate)*L144)</f>
        <v/>
      </c>
      <c r="Q144" s="46">
        <f>MATCH(SV_age+A144-1,SV_cpfLower,1)</f>
        <v/>
      </c>
      <c r="R144" s="29">
        <f>IF(OR(OR(A144&lt;1,A144&gt;SV_T),NOT(SV_cpfOn)),0,MIN(SV_sal0*(1+incomeGrowthRate)^(A144-1)*G144,SV_owCap))</f>
        <v/>
      </c>
      <c r="S144" s="29">
        <f>IF(A144&gt;SV_T,0,S143*(1+SV_oaRate)+IF(A144&gt;=SV_effStop,0,INDEX(SV_cpfOA,Q144)*INDEX(SV_cpfTot,Q144)*R144))</f>
        <v/>
      </c>
      <c r="T144" s="29">
        <f>IF(A144&gt;SV_T,0,T143*(1+SV_saRate)+IF(A144&gt;=SV_effStop,0,INDEX(SV_cpfSA,Q144)*INDEX(SV_cpfTot,Q144)*R144))</f>
        <v/>
      </c>
      <c r="U144" s="29">
        <f>IF(A144&gt;SV_T,0,U143*(1+SV_saRate)+IF(A144&gt;=SV_effStop,0,INDEX(SV_cpfMA,Q144)*INDEX(SV_cpfTot,Q144)*R144))</f>
        <v/>
      </c>
      <c r="V144" s="29">
        <f>IF(OR(OR(A144&lt;1,A144&gt;SV_T),A144&gt;=SV_effNeg),0,-(INDEX(SV_cpfOA,Q144)+INDEX(SV_cpfSA,Q144)+INDEX(SV_cpfMA,Q144))*INDEX(SV_cpfEmp,Q144)*R144)</f>
        <v/>
      </c>
      <c r="W144" s="29">
        <f>IF(A144&gt;=SV_sIdx,0,S144)</f>
        <v/>
      </c>
      <c r="X144" s="29">
        <f>IF(A144&gt;=SV_sIdx,0,T144)</f>
        <v/>
      </c>
      <c r="Y144" s="29">
        <f>IF(A144&gt;=SV_sIdx,MIN(U144,SV_maCap),U144)</f>
        <v/>
      </c>
      <c r="Z144" s="29">
        <f>IF(AND(SV_cpfOn,A144&gt;=SV_pIdx,A144&lt;=SV_T),12*SV_pay,0)</f>
        <v/>
      </c>
      <c r="AA144" s="29">
        <f>IF(A144&gt;SV_T,0,IF(SV_sp&gt;=0,IF(A144&lt;SV_sIdx,0,IF(A144=SV_sIdx,SV_R0,SV_lifeGrowth*AA143)),SV_lifeGrowth*AA143))</f>
        <v/>
      </c>
      <c r="AB144" s="29">
        <f>IF(A144&gt;SV_T,0,IF(AND(SV_sp&gt;=0,A144&lt;SV_sIdx),0,IF(AND(SV_sp&gt;=0,A144=SV_sIdx),SV_L0,SV_lifeGrowth*(AB143-Z144))))</f>
        <v/>
      </c>
      <c r="AC144" s="29">
        <f>W144+X144+AA144+Y144+IF(AA144&lt;0,0,AB144)</f>
        <v/>
      </c>
      <c r="AD144" s="29">
        <f>Z144+V144</f>
        <v/>
      </c>
      <c r="AE144" s="29">
        <f>IF(OR(A144&gt;SV_T,A144&gt;=SV_loanYears),0,MAX(0,AE143*(1+loanRate)-SV_inst))</f>
        <v/>
      </c>
      <c r="AF144" s="29">
        <f>IF(A144&gt;SV_T,0,AF143*(1+SV_savRate)+H144+I144+J144+K144+AD144)</f>
        <v/>
      </c>
      <c r="AG144" s="29">
        <f>IF(A144&gt;SV_T,0,MAX(0,N144+O144+P144+AC144+AF144-AE144))</f>
        <v/>
      </c>
      <c r="AH144" s="29">
        <f>IF(A144&gt;SV_T,0,N144+O144+AF144-MAX(0,AE144-(P144+AC144)))</f>
        <v/>
      </c>
      <c r="AI144" s="29">
        <f>IF(OR(OR(A144&lt;1,A144&gt;SV_T),A144-1&gt;=SV_retPay),0,SV_retMth*12+IF(A144=1,SV_retLump,0))</f>
        <v/>
      </c>
      <c r="AJ144" s="29">
        <f>IF(A144&gt;SV_T,0,(AJ143+AI144)*(1+investmentReturn))</f>
        <v/>
      </c>
      <c r="AK144" s="29">
        <f>IF(OR(OR(A144&lt;1,A144&gt;SV_T),A144-1&gt;=SV_goalPay),0,SV_goalMth*12+IF(A144=1,SV_goalLump,0))</f>
        <v/>
      </c>
      <c r="AL144" s="29">
        <f>IF(A144&gt;SV_T,0,(AL143+AK144)*(1+investmentReturn))</f>
        <v/>
      </c>
      <c r="AM144" s="29">
        <f>IF(OR(OR(A144&lt;1,A144&gt;SV_T),A144-1&gt;=SV_protPay),0,SV_protPrem)</f>
        <v/>
      </c>
      <c r="AN144" s="29">
        <f>IF(OR(A144=0,A144&gt;=SV_T),0,ROUND(MAX(0,AJ144),2)+ROUND(MAX(0,AL144),2))</f>
        <v/>
      </c>
      <c r="AO144" s="29">
        <f>IF(OR(A144&lt;1,A144&gt;SV_T),0,-(AI144+AK144+AM144)+IF(A144=SV_T,ROUND(MAX(0,AJ144),2)+ROUND(MAX(0,AL144),2),0))</f>
        <v/>
      </c>
      <c r="AP144" s="29">
        <f>IF(A144&gt;SV_T,0,AP143*(1+SV_savRate)+H144+I144+J144+K144+AD144+AO144)</f>
        <v/>
      </c>
      <c r="AQ144" s="29">
        <f>IF(A144&gt;SV_T,0,MAX(0,N144+O144+P144+AC144+AP144+AN144-AE144))</f>
        <v/>
      </c>
      <c r="AR144" s="29">
        <f>IF(A144&gt;SV_T,0,N144+O144+AP144+AN144-MAX(0,AE144-(P144+AC144)))</f>
        <v/>
      </c>
    </row>
    <row r="145">
      <c r="A145" s="61" t="n">
        <v>16</v>
      </c>
      <c r="B145" s="61">
        <f>SV_age+A145</f>
        <v/>
      </c>
      <c r="C145" s="61">
        <f>currentYear+A145</f>
        <v/>
      </c>
      <c r="D145" s="52">
        <f>A145&lt;=SV_T</f>
        <v/>
      </c>
      <c r="E145" s="60">
        <f>IF(AND(SV_inflOn,A145&gt;=SV_inflS,A145&lt;=SV_inflE),1+SV_inflRate,1+inflationRate)</f>
        <v/>
      </c>
      <c r="F145" s="60">
        <f>IF(A145&lt;=1,1,F144*E145)</f>
        <v/>
      </c>
      <c r="G145" s="60">
        <f>IF(AND(SV_incOn,A145&gt;=SV_incS,A145&lt;=SV_incE),1+SV_incImp,1)</f>
        <v/>
      </c>
      <c r="H145" s="29">
        <f>IF(OR(OR(A145&lt;1,A145&gt;SV_T),A145-1&gt;=SV_salCut),0,SV_sal0*(1+incomeGrowthRate)^(A145-1)*G145)</f>
        <v/>
      </c>
      <c r="I145" s="29">
        <f>IF(OR(A145&lt;1,A145&gt;SV_T),0,(-SV_exp0*F145-IF(A145&lt;=SV_loanYears,SV_inst,0)-IF(AND(SV_wdAmt&gt;0,A145=SV_wdYear),SV_wdAmt,0))*IF(AND(SV_expOn,A145&gt;=SV_expS,A145&lt;=SV_expE),1+SV_expImp,1))</f>
        <v/>
      </c>
      <c r="J145" s="29">
        <f>IF(OR(OR(A145&lt;1,A145&gt;SV_T),A145&gt;SV_loanYears),0,-SV_lifePremYr)</f>
        <v/>
      </c>
      <c r="K145" s="29">
        <f>IF(OR(A145&lt;1,A145&gt;SV_T),0,-SV_contrib)</f>
        <v/>
      </c>
      <c r="L145" s="60">
        <f>IF(AND(SV_crashOn,A145=SV_crashYr),SV_crashF,1)</f>
        <v/>
      </c>
      <c r="M145" s="60">
        <f>IF(AND(SV_ccyOn,A145=SV_ccyYr),SV_ccyF,1)</f>
        <v/>
      </c>
      <c r="N145" s="29">
        <f>IF(A145&gt;SV_T,0,N144*(1+interestRate)*L145*M145)</f>
        <v/>
      </c>
      <c r="O145" s="29">
        <f>IF(A145&gt;SV_T,0,(O144+SV_contrib)*(1+investmentReturn)*L145*M145)</f>
        <v/>
      </c>
      <c r="P145" s="29">
        <f>IF(A145&gt;SV_T,0,P144*(1+SV_propRate)*L145)</f>
        <v/>
      </c>
      <c r="Q145" s="46">
        <f>MATCH(SV_age+A145-1,SV_cpfLower,1)</f>
        <v/>
      </c>
      <c r="R145" s="29">
        <f>IF(OR(OR(A145&lt;1,A145&gt;SV_T),NOT(SV_cpfOn)),0,MIN(SV_sal0*(1+incomeGrowthRate)^(A145-1)*G145,SV_owCap))</f>
        <v/>
      </c>
      <c r="S145" s="29">
        <f>IF(A145&gt;SV_T,0,S144*(1+SV_oaRate)+IF(A145&gt;=SV_effStop,0,INDEX(SV_cpfOA,Q145)*INDEX(SV_cpfTot,Q145)*R145))</f>
        <v/>
      </c>
      <c r="T145" s="29">
        <f>IF(A145&gt;SV_T,0,T144*(1+SV_saRate)+IF(A145&gt;=SV_effStop,0,INDEX(SV_cpfSA,Q145)*INDEX(SV_cpfTot,Q145)*R145))</f>
        <v/>
      </c>
      <c r="U145" s="29">
        <f>IF(A145&gt;SV_T,0,U144*(1+SV_saRate)+IF(A145&gt;=SV_effStop,0,INDEX(SV_cpfMA,Q145)*INDEX(SV_cpfTot,Q145)*R145))</f>
        <v/>
      </c>
      <c r="V145" s="29">
        <f>IF(OR(OR(A145&lt;1,A145&gt;SV_T),A145&gt;=SV_effNeg),0,-(INDEX(SV_cpfOA,Q145)+INDEX(SV_cpfSA,Q145)+INDEX(SV_cpfMA,Q145))*INDEX(SV_cpfEmp,Q145)*R145)</f>
        <v/>
      </c>
      <c r="W145" s="29">
        <f>IF(A145&gt;=SV_sIdx,0,S145)</f>
        <v/>
      </c>
      <c r="X145" s="29">
        <f>IF(A145&gt;=SV_sIdx,0,T145)</f>
        <v/>
      </c>
      <c r="Y145" s="29">
        <f>IF(A145&gt;=SV_sIdx,MIN(U145,SV_maCap),U145)</f>
        <v/>
      </c>
      <c r="Z145" s="29">
        <f>IF(AND(SV_cpfOn,A145&gt;=SV_pIdx,A145&lt;=SV_T),12*SV_pay,0)</f>
        <v/>
      </c>
      <c r="AA145" s="29">
        <f>IF(A145&gt;SV_T,0,IF(SV_sp&gt;=0,IF(A145&lt;SV_sIdx,0,IF(A145=SV_sIdx,SV_R0,SV_lifeGrowth*AA144)),SV_lifeGrowth*AA144))</f>
        <v/>
      </c>
      <c r="AB145" s="29">
        <f>IF(A145&gt;SV_T,0,IF(AND(SV_sp&gt;=0,A145&lt;SV_sIdx),0,IF(AND(SV_sp&gt;=0,A145=SV_sIdx),SV_L0,SV_lifeGrowth*(AB144-Z145))))</f>
        <v/>
      </c>
      <c r="AC145" s="29">
        <f>W145+X145+AA145+Y145+IF(AA145&lt;0,0,AB145)</f>
        <v/>
      </c>
      <c r="AD145" s="29">
        <f>Z145+V145</f>
        <v/>
      </c>
      <c r="AE145" s="29">
        <f>IF(OR(A145&gt;SV_T,A145&gt;=SV_loanYears),0,MAX(0,AE144*(1+loanRate)-SV_inst))</f>
        <v/>
      </c>
      <c r="AF145" s="29">
        <f>IF(A145&gt;SV_T,0,AF144*(1+SV_savRate)+H145+I145+J145+K145+AD145)</f>
        <v/>
      </c>
      <c r="AG145" s="29">
        <f>IF(A145&gt;SV_T,0,MAX(0,N145+O145+P145+AC145+AF145-AE145))</f>
        <v/>
      </c>
      <c r="AH145" s="29">
        <f>IF(A145&gt;SV_T,0,N145+O145+AF145-MAX(0,AE145-(P145+AC145)))</f>
        <v/>
      </c>
      <c r="AI145" s="29">
        <f>IF(OR(OR(A145&lt;1,A145&gt;SV_T),A145-1&gt;=SV_retPay),0,SV_retMth*12+IF(A145=1,SV_retLump,0))</f>
        <v/>
      </c>
      <c r="AJ145" s="29">
        <f>IF(A145&gt;SV_T,0,(AJ144+AI145)*(1+investmentReturn))</f>
        <v/>
      </c>
      <c r="AK145" s="29">
        <f>IF(OR(OR(A145&lt;1,A145&gt;SV_T),A145-1&gt;=SV_goalPay),0,SV_goalMth*12+IF(A145=1,SV_goalLump,0))</f>
        <v/>
      </c>
      <c r="AL145" s="29">
        <f>IF(A145&gt;SV_T,0,(AL144+AK145)*(1+investmentReturn))</f>
        <v/>
      </c>
      <c r="AM145" s="29">
        <f>IF(OR(OR(A145&lt;1,A145&gt;SV_T),A145-1&gt;=SV_protPay),0,SV_protPrem)</f>
        <v/>
      </c>
      <c r="AN145" s="29">
        <f>IF(OR(A145=0,A145&gt;=SV_T),0,ROUND(MAX(0,AJ145),2)+ROUND(MAX(0,AL145),2))</f>
        <v/>
      </c>
      <c r="AO145" s="29">
        <f>IF(OR(A145&lt;1,A145&gt;SV_T),0,-(AI145+AK145+AM145)+IF(A145=SV_T,ROUND(MAX(0,AJ145),2)+ROUND(MAX(0,AL145),2),0))</f>
        <v/>
      </c>
      <c r="AP145" s="29">
        <f>IF(A145&gt;SV_T,0,AP144*(1+SV_savRate)+H145+I145+J145+K145+AD145+AO145)</f>
        <v/>
      </c>
      <c r="AQ145" s="29">
        <f>IF(A145&gt;SV_T,0,MAX(0,N145+O145+P145+AC145+AP145+AN145-AE145))</f>
        <v/>
      </c>
      <c r="AR145" s="29">
        <f>IF(A145&gt;SV_T,0,N145+O145+AP145+AN145-MAX(0,AE145-(P145+AC145)))</f>
        <v/>
      </c>
    </row>
    <row r="146">
      <c r="A146" s="61" t="n">
        <v>17</v>
      </c>
      <c r="B146" s="61">
        <f>SV_age+A146</f>
        <v/>
      </c>
      <c r="C146" s="61">
        <f>currentYear+A146</f>
        <v/>
      </c>
      <c r="D146" s="52">
        <f>A146&lt;=SV_T</f>
        <v/>
      </c>
      <c r="E146" s="60">
        <f>IF(AND(SV_inflOn,A146&gt;=SV_inflS,A146&lt;=SV_inflE),1+SV_inflRate,1+inflationRate)</f>
        <v/>
      </c>
      <c r="F146" s="60">
        <f>IF(A146&lt;=1,1,F145*E146)</f>
        <v/>
      </c>
      <c r="G146" s="60">
        <f>IF(AND(SV_incOn,A146&gt;=SV_incS,A146&lt;=SV_incE),1+SV_incImp,1)</f>
        <v/>
      </c>
      <c r="H146" s="29">
        <f>IF(OR(OR(A146&lt;1,A146&gt;SV_T),A146-1&gt;=SV_salCut),0,SV_sal0*(1+incomeGrowthRate)^(A146-1)*G146)</f>
        <v/>
      </c>
      <c r="I146" s="29">
        <f>IF(OR(A146&lt;1,A146&gt;SV_T),0,(-SV_exp0*F146-IF(A146&lt;=SV_loanYears,SV_inst,0)-IF(AND(SV_wdAmt&gt;0,A146=SV_wdYear),SV_wdAmt,0))*IF(AND(SV_expOn,A146&gt;=SV_expS,A146&lt;=SV_expE),1+SV_expImp,1))</f>
        <v/>
      </c>
      <c r="J146" s="29">
        <f>IF(OR(OR(A146&lt;1,A146&gt;SV_T),A146&gt;SV_loanYears),0,-SV_lifePremYr)</f>
        <v/>
      </c>
      <c r="K146" s="29">
        <f>IF(OR(A146&lt;1,A146&gt;SV_T),0,-SV_contrib)</f>
        <v/>
      </c>
      <c r="L146" s="60">
        <f>IF(AND(SV_crashOn,A146=SV_crashYr),SV_crashF,1)</f>
        <v/>
      </c>
      <c r="M146" s="60">
        <f>IF(AND(SV_ccyOn,A146=SV_ccyYr),SV_ccyF,1)</f>
        <v/>
      </c>
      <c r="N146" s="29">
        <f>IF(A146&gt;SV_T,0,N145*(1+interestRate)*L146*M146)</f>
        <v/>
      </c>
      <c r="O146" s="29">
        <f>IF(A146&gt;SV_T,0,(O145+SV_contrib)*(1+investmentReturn)*L146*M146)</f>
        <v/>
      </c>
      <c r="P146" s="29">
        <f>IF(A146&gt;SV_T,0,P145*(1+SV_propRate)*L146)</f>
        <v/>
      </c>
      <c r="Q146" s="46">
        <f>MATCH(SV_age+A146-1,SV_cpfLower,1)</f>
        <v/>
      </c>
      <c r="R146" s="29">
        <f>IF(OR(OR(A146&lt;1,A146&gt;SV_T),NOT(SV_cpfOn)),0,MIN(SV_sal0*(1+incomeGrowthRate)^(A146-1)*G146,SV_owCap))</f>
        <v/>
      </c>
      <c r="S146" s="29">
        <f>IF(A146&gt;SV_T,0,S145*(1+SV_oaRate)+IF(A146&gt;=SV_effStop,0,INDEX(SV_cpfOA,Q146)*INDEX(SV_cpfTot,Q146)*R146))</f>
        <v/>
      </c>
      <c r="T146" s="29">
        <f>IF(A146&gt;SV_T,0,T145*(1+SV_saRate)+IF(A146&gt;=SV_effStop,0,INDEX(SV_cpfSA,Q146)*INDEX(SV_cpfTot,Q146)*R146))</f>
        <v/>
      </c>
      <c r="U146" s="29">
        <f>IF(A146&gt;SV_T,0,U145*(1+SV_saRate)+IF(A146&gt;=SV_effStop,0,INDEX(SV_cpfMA,Q146)*INDEX(SV_cpfTot,Q146)*R146))</f>
        <v/>
      </c>
      <c r="V146" s="29">
        <f>IF(OR(OR(A146&lt;1,A146&gt;SV_T),A146&gt;=SV_effNeg),0,-(INDEX(SV_cpfOA,Q146)+INDEX(SV_cpfSA,Q146)+INDEX(SV_cpfMA,Q146))*INDEX(SV_cpfEmp,Q146)*R146)</f>
        <v/>
      </c>
      <c r="W146" s="29">
        <f>IF(A146&gt;=SV_sIdx,0,S146)</f>
        <v/>
      </c>
      <c r="X146" s="29">
        <f>IF(A146&gt;=SV_sIdx,0,T146)</f>
        <v/>
      </c>
      <c r="Y146" s="29">
        <f>IF(A146&gt;=SV_sIdx,MIN(U146,SV_maCap),U146)</f>
        <v/>
      </c>
      <c r="Z146" s="29">
        <f>IF(AND(SV_cpfOn,A146&gt;=SV_pIdx,A146&lt;=SV_T),12*SV_pay,0)</f>
        <v/>
      </c>
      <c r="AA146" s="29">
        <f>IF(A146&gt;SV_T,0,IF(SV_sp&gt;=0,IF(A146&lt;SV_sIdx,0,IF(A146=SV_sIdx,SV_R0,SV_lifeGrowth*AA145)),SV_lifeGrowth*AA145))</f>
        <v/>
      </c>
      <c r="AB146" s="29">
        <f>IF(A146&gt;SV_T,0,IF(AND(SV_sp&gt;=0,A146&lt;SV_sIdx),0,IF(AND(SV_sp&gt;=0,A146=SV_sIdx),SV_L0,SV_lifeGrowth*(AB145-Z146))))</f>
        <v/>
      </c>
      <c r="AC146" s="29">
        <f>W146+X146+AA146+Y146+IF(AA146&lt;0,0,AB146)</f>
        <v/>
      </c>
      <c r="AD146" s="29">
        <f>Z146+V146</f>
        <v/>
      </c>
      <c r="AE146" s="29">
        <f>IF(OR(A146&gt;SV_T,A146&gt;=SV_loanYears),0,MAX(0,AE145*(1+loanRate)-SV_inst))</f>
        <v/>
      </c>
      <c r="AF146" s="29">
        <f>IF(A146&gt;SV_T,0,AF145*(1+SV_savRate)+H146+I146+J146+K146+AD146)</f>
        <v/>
      </c>
      <c r="AG146" s="29">
        <f>IF(A146&gt;SV_T,0,MAX(0,N146+O146+P146+AC146+AF146-AE146))</f>
        <v/>
      </c>
      <c r="AH146" s="29">
        <f>IF(A146&gt;SV_T,0,N146+O146+AF146-MAX(0,AE146-(P146+AC146)))</f>
        <v/>
      </c>
      <c r="AI146" s="29">
        <f>IF(OR(OR(A146&lt;1,A146&gt;SV_T),A146-1&gt;=SV_retPay),0,SV_retMth*12+IF(A146=1,SV_retLump,0))</f>
        <v/>
      </c>
      <c r="AJ146" s="29">
        <f>IF(A146&gt;SV_T,0,(AJ145+AI146)*(1+investmentReturn))</f>
        <v/>
      </c>
      <c r="AK146" s="29">
        <f>IF(OR(OR(A146&lt;1,A146&gt;SV_T),A146-1&gt;=SV_goalPay),0,SV_goalMth*12+IF(A146=1,SV_goalLump,0))</f>
        <v/>
      </c>
      <c r="AL146" s="29">
        <f>IF(A146&gt;SV_T,0,(AL145+AK146)*(1+investmentReturn))</f>
        <v/>
      </c>
      <c r="AM146" s="29">
        <f>IF(OR(OR(A146&lt;1,A146&gt;SV_T),A146-1&gt;=SV_protPay),0,SV_protPrem)</f>
        <v/>
      </c>
      <c r="AN146" s="29">
        <f>IF(OR(A146=0,A146&gt;=SV_T),0,ROUND(MAX(0,AJ146),2)+ROUND(MAX(0,AL146),2))</f>
        <v/>
      </c>
      <c r="AO146" s="29">
        <f>IF(OR(A146&lt;1,A146&gt;SV_T),0,-(AI146+AK146+AM146)+IF(A146=SV_T,ROUND(MAX(0,AJ146),2)+ROUND(MAX(0,AL146),2),0))</f>
        <v/>
      </c>
      <c r="AP146" s="29">
        <f>IF(A146&gt;SV_T,0,AP145*(1+SV_savRate)+H146+I146+J146+K146+AD146+AO146)</f>
        <v/>
      </c>
      <c r="AQ146" s="29">
        <f>IF(A146&gt;SV_T,0,MAX(0,N146+O146+P146+AC146+AP146+AN146-AE146))</f>
        <v/>
      </c>
      <c r="AR146" s="29">
        <f>IF(A146&gt;SV_T,0,N146+O146+AP146+AN146-MAX(0,AE146-(P146+AC146)))</f>
        <v/>
      </c>
    </row>
    <row r="147">
      <c r="A147" s="61" t="n">
        <v>18</v>
      </c>
      <c r="B147" s="61">
        <f>SV_age+A147</f>
        <v/>
      </c>
      <c r="C147" s="61">
        <f>currentYear+A147</f>
        <v/>
      </c>
      <c r="D147" s="52">
        <f>A147&lt;=SV_T</f>
        <v/>
      </c>
      <c r="E147" s="60">
        <f>IF(AND(SV_inflOn,A147&gt;=SV_inflS,A147&lt;=SV_inflE),1+SV_inflRate,1+inflationRate)</f>
        <v/>
      </c>
      <c r="F147" s="60">
        <f>IF(A147&lt;=1,1,F146*E147)</f>
        <v/>
      </c>
      <c r="G147" s="60">
        <f>IF(AND(SV_incOn,A147&gt;=SV_incS,A147&lt;=SV_incE),1+SV_incImp,1)</f>
        <v/>
      </c>
      <c r="H147" s="29">
        <f>IF(OR(OR(A147&lt;1,A147&gt;SV_T),A147-1&gt;=SV_salCut),0,SV_sal0*(1+incomeGrowthRate)^(A147-1)*G147)</f>
        <v/>
      </c>
      <c r="I147" s="29">
        <f>IF(OR(A147&lt;1,A147&gt;SV_T),0,(-SV_exp0*F147-IF(A147&lt;=SV_loanYears,SV_inst,0)-IF(AND(SV_wdAmt&gt;0,A147=SV_wdYear),SV_wdAmt,0))*IF(AND(SV_expOn,A147&gt;=SV_expS,A147&lt;=SV_expE),1+SV_expImp,1))</f>
        <v/>
      </c>
      <c r="J147" s="29">
        <f>IF(OR(OR(A147&lt;1,A147&gt;SV_T),A147&gt;SV_loanYears),0,-SV_lifePremYr)</f>
        <v/>
      </c>
      <c r="K147" s="29">
        <f>IF(OR(A147&lt;1,A147&gt;SV_T),0,-SV_contrib)</f>
        <v/>
      </c>
      <c r="L147" s="60">
        <f>IF(AND(SV_crashOn,A147=SV_crashYr),SV_crashF,1)</f>
        <v/>
      </c>
      <c r="M147" s="60">
        <f>IF(AND(SV_ccyOn,A147=SV_ccyYr),SV_ccyF,1)</f>
        <v/>
      </c>
      <c r="N147" s="29">
        <f>IF(A147&gt;SV_T,0,N146*(1+interestRate)*L147*M147)</f>
        <v/>
      </c>
      <c r="O147" s="29">
        <f>IF(A147&gt;SV_T,0,(O146+SV_contrib)*(1+investmentReturn)*L147*M147)</f>
        <v/>
      </c>
      <c r="P147" s="29">
        <f>IF(A147&gt;SV_T,0,P146*(1+SV_propRate)*L147)</f>
        <v/>
      </c>
      <c r="Q147" s="46">
        <f>MATCH(SV_age+A147-1,SV_cpfLower,1)</f>
        <v/>
      </c>
      <c r="R147" s="29">
        <f>IF(OR(OR(A147&lt;1,A147&gt;SV_T),NOT(SV_cpfOn)),0,MIN(SV_sal0*(1+incomeGrowthRate)^(A147-1)*G147,SV_owCap))</f>
        <v/>
      </c>
      <c r="S147" s="29">
        <f>IF(A147&gt;SV_T,0,S146*(1+SV_oaRate)+IF(A147&gt;=SV_effStop,0,INDEX(SV_cpfOA,Q147)*INDEX(SV_cpfTot,Q147)*R147))</f>
        <v/>
      </c>
      <c r="T147" s="29">
        <f>IF(A147&gt;SV_T,0,T146*(1+SV_saRate)+IF(A147&gt;=SV_effStop,0,INDEX(SV_cpfSA,Q147)*INDEX(SV_cpfTot,Q147)*R147))</f>
        <v/>
      </c>
      <c r="U147" s="29">
        <f>IF(A147&gt;SV_T,0,U146*(1+SV_saRate)+IF(A147&gt;=SV_effStop,0,INDEX(SV_cpfMA,Q147)*INDEX(SV_cpfTot,Q147)*R147))</f>
        <v/>
      </c>
      <c r="V147" s="29">
        <f>IF(OR(OR(A147&lt;1,A147&gt;SV_T),A147&gt;=SV_effNeg),0,-(INDEX(SV_cpfOA,Q147)+INDEX(SV_cpfSA,Q147)+INDEX(SV_cpfMA,Q147))*INDEX(SV_cpfEmp,Q147)*R147)</f>
        <v/>
      </c>
      <c r="W147" s="29">
        <f>IF(A147&gt;=SV_sIdx,0,S147)</f>
        <v/>
      </c>
      <c r="X147" s="29">
        <f>IF(A147&gt;=SV_sIdx,0,T147)</f>
        <v/>
      </c>
      <c r="Y147" s="29">
        <f>IF(A147&gt;=SV_sIdx,MIN(U147,SV_maCap),U147)</f>
        <v/>
      </c>
      <c r="Z147" s="29">
        <f>IF(AND(SV_cpfOn,A147&gt;=SV_pIdx,A147&lt;=SV_T),12*SV_pay,0)</f>
        <v/>
      </c>
      <c r="AA147" s="29">
        <f>IF(A147&gt;SV_T,0,IF(SV_sp&gt;=0,IF(A147&lt;SV_sIdx,0,IF(A147=SV_sIdx,SV_R0,SV_lifeGrowth*AA146)),SV_lifeGrowth*AA146))</f>
        <v/>
      </c>
      <c r="AB147" s="29">
        <f>IF(A147&gt;SV_T,0,IF(AND(SV_sp&gt;=0,A147&lt;SV_sIdx),0,IF(AND(SV_sp&gt;=0,A147=SV_sIdx),SV_L0,SV_lifeGrowth*(AB146-Z147))))</f>
        <v/>
      </c>
      <c r="AC147" s="29">
        <f>W147+X147+AA147+Y147+IF(AA147&lt;0,0,AB147)</f>
        <v/>
      </c>
      <c r="AD147" s="29">
        <f>Z147+V147</f>
        <v/>
      </c>
      <c r="AE147" s="29">
        <f>IF(OR(A147&gt;SV_T,A147&gt;=SV_loanYears),0,MAX(0,AE146*(1+loanRate)-SV_inst))</f>
        <v/>
      </c>
      <c r="AF147" s="29">
        <f>IF(A147&gt;SV_T,0,AF146*(1+SV_savRate)+H147+I147+J147+K147+AD147)</f>
        <v/>
      </c>
      <c r="AG147" s="29">
        <f>IF(A147&gt;SV_T,0,MAX(0,N147+O147+P147+AC147+AF147-AE147))</f>
        <v/>
      </c>
      <c r="AH147" s="29">
        <f>IF(A147&gt;SV_T,0,N147+O147+AF147-MAX(0,AE147-(P147+AC147)))</f>
        <v/>
      </c>
      <c r="AI147" s="29">
        <f>IF(OR(OR(A147&lt;1,A147&gt;SV_T),A147-1&gt;=SV_retPay),0,SV_retMth*12+IF(A147=1,SV_retLump,0))</f>
        <v/>
      </c>
      <c r="AJ147" s="29">
        <f>IF(A147&gt;SV_T,0,(AJ146+AI147)*(1+investmentReturn))</f>
        <v/>
      </c>
      <c r="AK147" s="29">
        <f>IF(OR(OR(A147&lt;1,A147&gt;SV_T),A147-1&gt;=SV_goalPay),0,SV_goalMth*12+IF(A147=1,SV_goalLump,0))</f>
        <v/>
      </c>
      <c r="AL147" s="29">
        <f>IF(A147&gt;SV_T,0,(AL146+AK147)*(1+investmentReturn))</f>
        <v/>
      </c>
      <c r="AM147" s="29">
        <f>IF(OR(OR(A147&lt;1,A147&gt;SV_T),A147-1&gt;=SV_protPay),0,SV_protPrem)</f>
        <v/>
      </c>
      <c r="AN147" s="29">
        <f>IF(OR(A147=0,A147&gt;=SV_T),0,ROUND(MAX(0,AJ147),2)+ROUND(MAX(0,AL147),2))</f>
        <v/>
      </c>
      <c r="AO147" s="29">
        <f>IF(OR(A147&lt;1,A147&gt;SV_T),0,-(AI147+AK147+AM147)+IF(A147=SV_T,ROUND(MAX(0,AJ147),2)+ROUND(MAX(0,AL147),2),0))</f>
        <v/>
      </c>
      <c r="AP147" s="29">
        <f>IF(A147&gt;SV_T,0,AP146*(1+SV_savRate)+H147+I147+J147+K147+AD147+AO147)</f>
        <v/>
      </c>
      <c r="AQ147" s="29">
        <f>IF(A147&gt;SV_T,0,MAX(0,N147+O147+P147+AC147+AP147+AN147-AE147))</f>
        <v/>
      </c>
      <c r="AR147" s="29">
        <f>IF(A147&gt;SV_T,0,N147+O147+AP147+AN147-MAX(0,AE147-(P147+AC147)))</f>
        <v/>
      </c>
    </row>
    <row r="148">
      <c r="A148" s="61" t="n">
        <v>19</v>
      </c>
      <c r="B148" s="61">
        <f>SV_age+A148</f>
        <v/>
      </c>
      <c r="C148" s="61">
        <f>currentYear+A148</f>
        <v/>
      </c>
      <c r="D148" s="52">
        <f>A148&lt;=SV_T</f>
        <v/>
      </c>
      <c r="E148" s="60">
        <f>IF(AND(SV_inflOn,A148&gt;=SV_inflS,A148&lt;=SV_inflE),1+SV_inflRate,1+inflationRate)</f>
        <v/>
      </c>
      <c r="F148" s="60">
        <f>IF(A148&lt;=1,1,F147*E148)</f>
        <v/>
      </c>
      <c r="G148" s="60">
        <f>IF(AND(SV_incOn,A148&gt;=SV_incS,A148&lt;=SV_incE),1+SV_incImp,1)</f>
        <v/>
      </c>
      <c r="H148" s="29">
        <f>IF(OR(OR(A148&lt;1,A148&gt;SV_T),A148-1&gt;=SV_salCut),0,SV_sal0*(1+incomeGrowthRate)^(A148-1)*G148)</f>
        <v/>
      </c>
      <c r="I148" s="29">
        <f>IF(OR(A148&lt;1,A148&gt;SV_T),0,(-SV_exp0*F148-IF(A148&lt;=SV_loanYears,SV_inst,0)-IF(AND(SV_wdAmt&gt;0,A148=SV_wdYear),SV_wdAmt,0))*IF(AND(SV_expOn,A148&gt;=SV_expS,A148&lt;=SV_expE),1+SV_expImp,1))</f>
        <v/>
      </c>
      <c r="J148" s="29">
        <f>IF(OR(OR(A148&lt;1,A148&gt;SV_T),A148&gt;SV_loanYears),0,-SV_lifePremYr)</f>
        <v/>
      </c>
      <c r="K148" s="29">
        <f>IF(OR(A148&lt;1,A148&gt;SV_T),0,-SV_contrib)</f>
        <v/>
      </c>
      <c r="L148" s="60">
        <f>IF(AND(SV_crashOn,A148=SV_crashYr),SV_crashF,1)</f>
        <v/>
      </c>
      <c r="M148" s="60">
        <f>IF(AND(SV_ccyOn,A148=SV_ccyYr),SV_ccyF,1)</f>
        <v/>
      </c>
      <c r="N148" s="29">
        <f>IF(A148&gt;SV_T,0,N147*(1+interestRate)*L148*M148)</f>
        <v/>
      </c>
      <c r="O148" s="29">
        <f>IF(A148&gt;SV_T,0,(O147+SV_contrib)*(1+investmentReturn)*L148*M148)</f>
        <v/>
      </c>
      <c r="P148" s="29">
        <f>IF(A148&gt;SV_T,0,P147*(1+SV_propRate)*L148)</f>
        <v/>
      </c>
      <c r="Q148" s="46">
        <f>MATCH(SV_age+A148-1,SV_cpfLower,1)</f>
        <v/>
      </c>
      <c r="R148" s="29">
        <f>IF(OR(OR(A148&lt;1,A148&gt;SV_T),NOT(SV_cpfOn)),0,MIN(SV_sal0*(1+incomeGrowthRate)^(A148-1)*G148,SV_owCap))</f>
        <v/>
      </c>
      <c r="S148" s="29">
        <f>IF(A148&gt;SV_T,0,S147*(1+SV_oaRate)+IF(A148&gt;=SV_effStop,0,INDEX(SV_cpfOA,Q148)*INDEX(SV_cpfTot,Q148)*R148))</f>
        <v/>
      </c>
      <c r="T148" s="29">
        <f>IF(A148&gt;SV_T,0,T147*(1+SV_saRate)+IF(A148&gt;=SV_effStop,0,INDEX(SV_cpfSA,Q148)*INDEX(SV_cpfTot,Q148)*R148))</f>
        <v/>
      </c>
      <c r="U148" s="29">
        <f>IF(A148&gt;SV_T,0,U147*(1+SV_saRate)+IF(A148&gt;=SV_effStop,0,INDEX(SV_cpfMA,Q148)*INDEX(SV_cpfTot,Q148)*R148))</f>
        <v/>
      </c>
      <c r="V148" s="29">
        <f>IF(OR(OR(A148&lt;1,A148&gt;SV_T),A148&gt;=SV_effNeg),0,-(INDEX(SV_cpfOA,Q148)+INDEX(SV_cpfSA,Q148)+INDEX(SV_cpfMA,Q148))*INDEX(SV_cpfEmp,Q148)*R148)</f>
        <v/>
      </c>
      <c r="W148" s="29">
        <f>IF(A148&gt;=SV_sIdx,0,S148)</f>
        <v/>
      </c>
      <c r="X148" s="29">
        <f>IF(A148&gt;=SV_sIdx,0,T148)</f>
        <v/>
      </c>
      <c r="Y148" s="29">
        <f>IF(A148&gt;=SV_sIdx,MIN(U148,SV_maCap),U148)</f>
        <v/>
      </c>
      <c r="Z148" s="29">
        <f>IF(AND(SV_cpfOn,A148&gt;=SV_pIdx,A148&lt;=SV_T),12*SV_pay,0)</f>
        <v/>
      </c>
      <c r="AA148" s="29">
        <f>IF(A148&gt;SV_T,0,IF(SV_sp&gt;=0,IF(A148&lt;SV_sIdx,0,IF(A148=SV_sIdx,SV_R0,SV_lifeGrowth*AA147)),SV_lifeGrowth*AA147))</f>
        <v/>
      </c>
      <c r="AB148" s="29">
        <f>IF(A148&gt;SV_T,0,IF(AND(SV_sp&gt;=0,A148&lt;SV_sIdx),0,IF(AND(SV_sp&gt;=0,A148=SV_sIdx),SV_L0,SV_lifeGrowth*(AB147-Z148))))</f>
        <v/>
      </c>
      <c r="AC148" s="29">
        <f>W148+X148+AA148+Y148+IF(AA148&lt;0,0,AB148)</f>
        <v/>
      </c>
      <c r="AD148" s="29">
        <f>Z148+V148</f>
        <v/>
      </c>
      <c r="AE148" s="29">
        <f>IF(OR(A148&gt;SV_T,A148&gt;=SV_loanYears),0,MAX(0,AE147*(1+loanRate)-SV_inst))</f>
        <v/>
      </c>
      <c r="AF148" s="29">
        <f>IF(A148&gt;SV_T,0,AF147*(1+SV_savRate)+H148+I148+J148+K148+AD148)</f>
        <v/>
      </c>
      <c r="AG148" s="29">
        <f>IF(A148&gt;SV_T,0,MAX(0,N148+O148+P148+AC148+AF148-AE148))</f>
        <v/>
      </c>
      <c r="AH148" s="29">
        <f>IF(A148&gt;SV_T,0,N148+O148+AF148-MAX(0,AE148-(P148+AC148)))</f>
        <v/>
      </c>
      <c r="AI148" s="29">
        <f>IF(OR(OR(A148&lt;1,A148&gt;SV_T),A148-1&gt;=SV_retPay),0,SV_retMth*12+IF(A148=1,SV_retLump,0))</f>
        <v/>
      </c>
      <c r="AJ148" s="29">
        <f>IF(A148&gt;SV_T,0,(AJ147+AI148)*(1+investmentReturn))</f>
        <v/>
      </c>
      <c r="AK148" s="29">
        <f>IF(OR(OR(A148&lt;1,A148&gt;SV_T),A148-1&gt;=SV_goalPay),0,SV_goalMth*12+IF(A148=1,SV_goalLump,0))</f>
        <v/>
      </c>
      <c r="AL148" s="29">
        <f>IF(A148&gt;SV_T,0,(AL147+AK148)*(1+investmentReturn))</f>
        <v/>
      </c>
      <c r="AM148" s="29">
        <f>IF(OR(OR(A148&lt;1,A148&gt;SV_T),A148-1&gt;=SV_protPay),0,SV_protPrem)</f>
        <v/>
      </c>
      <c r="AN148" s="29">
        <f>IF(OR(A148=0,A148&gt;=SV_T),0,ROUND(MAX(0,AJ148),2)+ROUND(MAX(0,AL148),2))</f>
        <v/>
      </c>
      <c r="AO148" s="29">
        <f>IF(OR(A148&lt;1,A148&gt;SV_T),0,-(AI148+AK148+AM148)+IF(A148=SV_T,ROUND(MAX(0,AJ148),2)+ROUND(MAX(0,AL148),2),0))</f>
        <v/>
      </c>
      <c r="AP148" s="29">
        <f>IF(A148&gt;SV_T,0,AP147*(1+SV_savRate)+H148+I148+J148+K148+AD148+AO148)</f>
        <v/>
      </c>
      <c r="AQ148" s="29">
        <f>IF(A148&gt;SV_T,0,MAX(0,N148+O148+P148+AC148+AP148+AN148-AE148))</f>
        <v/>
      </c>
      <c r="AR148" s="29">
        <f>IF(A148&gt;SV_T,0,N148+O148+AP148+AN148-MAX(0,AE148-(P148+AC148)))</f>
        <v/>
      </c>
    </row>
    <row r="149">
      <c r="A149" s="61" t="n">
        <v>20</v>
      </c>
      <c r="B149" s="61">
        <f>SV_age+A149</f>
        <v/>
      </c>
      <c r="C149" s="61">
        <f>currentYear+A149</f>
        <v/>
      </c>
      <c r="D149" s="52">
        <f>A149&lt;=SV_T</f>
        <v/>
      </c>
      <c r="E149" s="60">
        <f>IF(AND(SV_inflOn,A149&gt;=SV_inflS,A149&lt;=SV_inflE),1+SV_inflRate,1+inflationRate)</f>
        <v/>
      </c>
      <c r="F149" s="60">
        <f>IF(A149&lt;=1,1,F148*E149)</f>
        <v/>
      </c>
      <c r="G149" s="60">
        <f>IF(AND(SV_incOn,A149&gt;=SV_incS,A149&lt;=SV_incE),1+SV_incImp,1)</f>
        <v/>
      </c>
      <c r="H149" s="29">
        <f>IF(OR(OR(A149&lt;1,A149&gt;SV_T),A149-1&gt;=SV_salCut),0,SV_sal0*(1+incomeGrowthRate)^(A149-1)*G149)</f>
        <v/>
      </c>
      <c r="I149" s="29">
        <f>IF(OR(A149&lt;1,A149&gt;SV_T),0,(-SV_exp0*F149-IF(A149&lt;=SV_loanYears,SV_inst,0)-IF(AND(SV_wdAmt&gt;0,A149=SV_wdYear),SV_wdAmt,0))*IF(AND(SV_expOn,A149&gt;=SV_expS,A149&lt;=SV_expE),1+SV_expImp,1))</f>
        <v/>
      </c>
      <c r="J149" s="29">
        <f>IF(OR(OR(A149&lt;1,A149&gt;SV_T),A149&gt;SV_loanYears),0,-SV_lifePremYr)</f>
        <v/>
      </c>
      <c r="K149" s="29">
        <f>IF(OR(A149&lt;1,A149&gt;SV_T),0,-SV_contrib)</f>
        <v/>
      </c>
      <c r="L149" s="60">
        <f>IF(AND(SV_crashOn,A149=SV_crashYr),SV_crashF,1)</f>
        <v/>
      </c>
      <c r="M149" s="60">
        <f>IF(AND(SV_ccyOn,A149=SV_ccyYr),SV_ccyF,1)</f>
        <v/>
      </c>
      <c r="N149" s="29">
        <f>IF(A149&gt;SV_T,0,N148*(1+interestRate)*L149*M149)</f>
        <v/>
      </c>
      <c r="O149" s="29">
        <f>IF(A149&gt;SV_T,0,(O148+SV_contrib)*(1+investmentReturn)*L149*M149)</f>
        <v/>
      </c>
      <c r="P149" s="29">
        <f>IF(A149&gt;SV_T,0,P148*(1+SV_propRate)*L149)</f>
        <v/>
      </c>
      <c r="Q149" s="46">
        <f>MATCH(SV_age+A149-1,SV_cpfLower,1)</f>
        <v/>
      </c>
      <c r="R149" s="29">
        <f>IF(OR(OR(A149&lt;1,A149&gt;SV_T),NOT(SV_cpfOn)),0,MIN(SV_sal0*(1+incomeGrowthRate)^(A149-1)*G149,SV_owCap))</f>
        <v/>
      </c>
      <c r="S149" s="29">
        <f>IF(A149&gt;SV_T,0,S148*(1+SV_oaRate)+IF(A149&gt;=SV_effStop,0,INDEX(SV_cpfOA,Q149)*INDEX(SV_cpfTot,Q149)*R149))</f>
        <v/>
      </c>
      <c r="T149" s="29">
        <f>IF(A149&gt;SV_T,0,T148*(1+SV_saRate)+IF(A149&gt;=SV_effStop,0,INDEX(SV_cpfSA,Q149)*INDEX(SV_cpfTot,Q149)*R149))</f>
        <v/>
      </c>
      <c r="U149" s="29">
        <f>IF(A149&gt;SV_T,0,U148*(1+SV_saRate)+IF(A149&gt;=SV_effStop,0,INDEX(SV_cpfMA,Q149)*INDEX(SV_cpfTot,Q149)*R149))</f>
        <v/>
      </c>
      <c r="V149" s="29">
        <f>IF(OR(OR(A149&lt;1,A149&gt;SV_T),A149&gt;=SV_effNeg),0,-(INDEX(SV_cpfOA,Q149)+INDEX(SV_cpfSA,Q149)+INDEX(SV_cpfMA,Q149))*INDEX(SV_cpfEmp,Q149)*R149)</f>
        <v/>
      </c>
      <c r="W149" s="29">
        <f>IF(A149&gt;=SV_sIdx,0,S149)</f>
        <v/>
      </c>
      <c r="X149" s="29">
        <f>IF(A149&gt;=SV_sIdx,0,T149)</f>
        <v/>
      </c>
      <c r="Y149" s="29">
        <f>IF(A149&gt;=SV_sIdx,MIN(U149,SV_maCap),U149)</f>
        <v/>
      </c>
      <c r="Z149" s="29">
        <f>IF(AND(SV_cpfOn,A149&gt;=SV_pIdx,A149&lt;=SV_T),12*SV_pay,0)</f>
        <v/>
      </c>
      <c r="AA149" s="29">
        <f>IF(A149&gt;SV_T,0,IF(SV_sp&gt;=0,IF(A149&lt;SV_sIdx,0,IF(A149=SV_sIdx,SV_R0,SV_lifeGrowth*AA148)),SV_lifeGrowth*AA148))</f>
        <v/>
      </c>
      <c r="AB149" s="29">
        <f>IF(A149&gt;SV_T,0,IF(AND(SV_sp&gt;=0,A149&lt;SV_sIdx),0,IF(AND(SV_sp&gt;=0,A149=SV_sIdx),SV_L0,SV_lifeGrowth*(AB148-Z149))))</f>
        <v/>
      </c>
      <c r="AC149" s="29">
        <f>W149+X149+AA149+Y149+IF(AA149&lt;0,0,AB149)</f>
        <v/>
      </c>
      <c r="AD149" s="29">
        <f>Z149+V149</f>
        <v/>
      </c>
      <c r="AE149" s="29">
        <f>IF(OR(A149&gt;SV_T,A149&gt;=SV_loanYears),0,MAX(0,AE148*(1+loanRate)-SV_inst))</f>
        <v/>
      </c>
      <c r="AF149" s="29">
        <f>IF(A149&gt;SV_T,0,AF148*(1+SV_savRate)+H149+I149+J149+K149+AD149)</f>
        <v/>
      </c>
      <c r="AG149" s="29">
        <f>IF(A149&gt;SV_T,0,MAX(0,N149+O149+P149+AC149+AF149-AE149))</f>
        <v/>
      </c>
      <c r="AH149" s="29">
        <f>IF(A149&gt;SV_T,0,N149+O149+AF149-MAX(0,AE149-(P149+AC149)))</f>
        <v/>
      </c>
      <c r="AI149" s="29">
        <f>IF(OR(OR(A149&lt;1,A149&gt;SV_T),A149-1&gt;=SV_retPay),0,SV_retMth*12+IF(A149=1,SV_retLump,0))</f>
        <v/>
      </c>
      <c r="AJ149" s="29">
        <f>IF(A149&gt;SV_T,0,(AJ148+AI149)*(1+investmentReturn))</f>
        <v/>
      </c>
      <c r="AK149" s="29">
        <f>IF(OR(OR(A149&lt;1,A149&gt;SV_T),A149-1&gt;=SV_goalPay),0,SV_goalMth*12+IF(A149=1,SV_goalLump,0))</f>
        <v/>
      </c>
      <c r="AL149" s="29">
        <f>IF(A149&gt;SV_T,0,(AL148+AK149)*(1+investmentReturn))</f>
        <v/>
      </c>
      <c r="AM149" s="29">
        <f>IF(OR(OR(A149&lt;1,A149&gt;SV_T),A149-1&gt;=SV_protPay),0,SV_protPrem)</f>
        <v/>
      </c>
      <c r="AN149" s="29">
        <f>IF(OR(A149=0,A149&gt;=SV_T),0,ROUND(MAX(0,AJ149),2)+ROUND(MAX(0,AL149),2))</f>
        <v/>
      </c>
      <c r="AO149" s="29">
        <f>IF(OR(A149&lt;1,A149&gt;SV_T),0,-(AI149+AK149+AM149)+IF(A149=SV_T,ROUND(MAX(0,AJ149),2)+ROUND(MAX(0,AL149),2),0))</f>
        <v/>
      </c>
      <c r="AP149" s="29">
        <f>IF(A149&gt;SV_T,0,AP148*(1+SV_savRate)+H149+I149+J149+K149+AD149+AO149)</f>
        <v/>
      </c>
      <c r="AQ149" s="29">
        <f>IF(A149&gt;SV_T,0,MAX(0,N149+O149+P149+AC149+AP149+AN149-AE149))</f>
        <v/>
      </c>
      <c r="AR149" s="29">
        <f>IF(A149&gt;SV_T,0,N149+O149+AP149+AN149-MAX(0,AE149-(P149+AC149)))</f>
        <v/>
      </c>
    </row>
    <row r="150">
      <c r="A150" s="61" t="n">
        <v>21</v>
      </c>
      <c r="B150" s="61">
        <f>SV_age+A150</f>
        <v/>
      </c>
      <c r="C150" s="61">
        <f>currentYear+A150</f>
        <v/>
      </c>
      <c r="D150" s="52">
        <f>A150&lt;=SV_T</f>
        <v/>
      </c>
      <c r="E150" s="60">
        <f>IF(AND(SV_inflOn,A150&gt;=SV_inflS,A150&lt;=SV_inflE),1+SV_inflRate,1+inflationRate)</f>
        <v/>
      </c>
      <c r="F150" s="60">
        <f>IF(A150&lt;=1,1,F149*E150)</f>
        <v/>
      </c>
      <c r="G150" s="60">
        <f>IF(AND(SV_incOn,A150&gt;=SV_incS,A150&lt;=SV_incE),1+SV_incImp,1)</f>
        <v/>
      </c>
      <c r="H150" s="29">
        <f>IF(OR(OR(A150&lt;1,A150&gt;SV_T),A150-1&gt;=SV_salCut),0,SV_sal0*(1+incomeGrowthRate)^(A150-1)*G150)</f>
        <v/>
      </c>
      <c r="I150" s="29">
        <f>IF(OR(A150&lt;1,A150&gt;SV_T),0,(-SV_exp0*F150-IF(A150&lt;=SV_loanYears,SV_inst,0)-IF(AND(SV_wdAmt&gt;0,A150=SV_wdYear),SV_wdAmt,0))*IF(AND(SV_expOn,A150&gt;=SV_expS,A150&lt;=SV_expE),1+SV_expImp,1))</f>
        <v/>
      </c>
      <c r="J150" s="29">
        <f>IF(OR(OR(A150&lt;1,A150&gt;SV_T),A150&gt;SV_loanYears),0,-SV_lifePremYr)</f>
        <v/>
      </c>
      <c r="K150" s="29">
        <f>IF(OR(A150&lt;1,A150&gt;SV_T),0,-SV_contrib)</f>
        <v/>
      </c>
      <c r="L150" s="60">
        <f>IF(AND(SV_crashOn,A150=SV_crashYr),SV_crashF,1)</f>
        <v/>
      </c>
      <c r="M150" s="60">
        <f>IF(AND(SV_ccyOn,A150=SV_ccyYr),SV_ccyF,1)</f>
        <v/>
      </c>
      <c r="N150" s="29">
        <f>IF(A150&gt;SV_T,0,N149*(1+interestRate)*L150*M150)</f>
        <v/>
      </c>
      <c r="O150" s="29">
        <f>IF(A150&gt;SV_T,0,(O149+SV_contrib)*(1+investmentReturn)*L150*M150)</f>
        <v/>
      </c>
      <c r="P150" s="29">
        <f>IF(A150&gt;SV_T,0,P149*(1+SV_propRate)*L150)</f>
        <v/>
      </c>
      <c r="Q150" s="46">
        <f>MATCH(SV_age+A150-1,SV_cpfLower,1)</f>
        <v/>
      </c>
      <c r="R150" s="29">
        <f>IF(OR(OR(A150&lt;1,A150&gt;SV_T),NOT(SV_cpfOn)),0,MIN(SV_sal0*(1+incomeGrowthRate)^(A150-1)*G150,SV_owCap))</f>
        <v/>
      </c>
      <c r="S150" s="29">
        <f>IF(A150&gt;SV_T,0,S149*(1+SV_oaRate)+IF(A150&gt;=SV_effStop,0,INDEX(SV_cpfOA,Q150)*INDEX(SV_cpfTot,Q150)*R150))</f>
        <v/>
      </c>
      <c r="T150" s="29">
        <f>IF(A150&gt;SV_T,0,T149*(1+SV_saRate)+IF(A150&gt;=SV_effStop,0,INDEX(SV_cpfSA,Q150)*INDEX(SV_cpfTot,Q150)*R150))</f>
        <v/>
      </c>
      <c r="U150" s="29">
        <f>IF(A150&gt;SV_T,0,U149*(1+SV_saRate)+IF(A150&gt;=SV_effStop,0,INDEX(SV_cpfMA,Q150)*INDEX(SV_cpfTot,Q150)*R150))</f>
        <v/>
      </c>
      <c r="V150" s="29">
        <f>IF(OR(OR(A150&lt;1,A150&gt;SV_T),A150&gt;=SV_effNeg),0,-(INDEX(SV_cpfOA,Q150)+INDEX(SV_cpfSA,Q150)+INDEX(SV_cpfMA,Q150))*INDEX(SV_cpfEmp,Q150)*R150)</f>
        <v/>
      </c>
      <c r="W150" s="29">
        <f>IF(A150&gt;=SV_sIdx,0,S150)</f>
        <v/>
      </c>
      <c r="X150" s="29">
        <f>IF(A150&gt;=SV_sIdx,0,T150)</f>
        <v/>
      </c>
      <c r="Y150" s="29">
        <f>IF(A150&gt;=SV_sIdx,MIN(U150,SV_maCap),U150)</f>
        <v/>
      </c>
      <c r="Z150" s="29">
        <f>IF(AND(SV_cpfOn,A150&gt;=SV_pIdx,A150&lt;=SV_T),12*SV_pay,0)</f>
        <v/>
      </c>
      <c r="AA150" s="29">
        <f>IF(A150&gt;SV_T,0,IF(SV_sp&gt;=0,IF(A150&lt;SV_sIdx,0,IF(A150=SV_sIdx,SV_R0,SV_lifeGrowth*AA149)),SV_lifeGrowth*AA149))</f>
        <v/>
      </c>
      <c r="AB150" s="29">
        <f>IF(A150&gt;SV_T,0,IF(AND(SV_sp&gt;=0,A150&lt;SV_sIdx),0,IF(AND(SV_sp&gt;=0,A150=SV_sIdx),SV_L0,SV_lifeGrowth*(AB149-Z150))))</f>
        <v/>
      </c>
      <c r="AC150" s="29">
        <f>W150+X150+AA150+Y150+IF(AA150&lt;0,0,AB150)</f>
        <v/>
      </c>
      <c r="AD150" s="29">
        <f>Z150+V150</f>
        <v/>
      </c>
      <c r="AE150" s="29">
        <f>IF(OR(A150&gt;SV_T,A150&gt;=SV_loanYears),0,MAX(0,AE149*(1+loanRate)-SV_inst))</f>
        <v/>
      </c>
      <c r="AF150" s="29">
        <f>IF(A150&gt;SV_T,0,AF149*(1+SV_savRate)+H150+I150+J150+K150+AD150)</f>
        <v/>
      </c>
      <c r="AG150" s="29">
        <f>IF(A150&gt;SV_T,0,MAX(0,N150+O150+P150+AC150+AF150-AE150))</f>
        <v/>
      </c>
      <c r="AH150" s="29">
        <f>IF(A150&gt;SV_T,0,N150+O150+AF150-MAX(0,AE150-(P150+AC150)))</f>
        <v/>
      </c>
      <c r="AI150" s="29">
        <f>IF(OR(OR(A150&lt;1,A150&gt;SV_T),A150-1&gt;=SV_retPay),0,SV_retMth*12+IF(A150=1,SV_retLump,0))</f>
        <v/>
      </c>
      <c r="AJ150" s="29">
        <f>IF(A150&gt;SV_T,0,(AJ149+AI150)*(1+investmentReturn))</f>
        <v/>
      </c>
      <c r="AK150" s="29">
        <f>IF(OR(OR(A150&lt;1,A150&gt;SV_T),A150-1&gt;=SV_goalPay),0,SV_goalMth*12+IF(A150=1,SV_goalLump,0))</f>
        <v/>
      </c>
      <c r="AL150" s="29">
        <f>IF(A150&gt;SV_T,0,(AL149+AK150)*(1+investmentReturn))</f>
        <v/>
      </c>
      <c r="AM150" s="29">
        <f>IF(OR(OR(A150&lt;1,A150&gt;SV_T),A150-1&gt;=SV_protPay),0,SV_protPrem)</f>
        <v/>
      </c>
      <c r="AN150" s="29">
        <f>IF(OR(A150=0,A150&gt;=SV_T),0,ROUND(MAX(0,AJ150),2)+ROUND(MAX(0,AL150),2))</f>
        <v/>
      </c>
      <c r="AO150" s="29">
        <f>IF(OR(A150&lt;1,A150&gt;SV_T),0,-(AI150+AK150+AM150)+IF(A150=SV_T,ROUND(MAX(0,AJ150),2)+ROUND(MAX(0,AL150),2),0))</f>
        <v/>
      </c>
      <c r="AP150" s="29">
        <f>IF(A150&gt;SV_T,0,AP149*(1+SV_savRate)+H150+I150+J150+K150+AD150+AO150)</f>
        <v/>
      </c>
      <c r="AQ150" s="29">
        <f>IF(A150&gt;SV_T,0,MAX(0,N150+O150+P150+AC150+AP150+AN150-AE150))</f>
        <v/>
      </c>
      <c r="AR150" s="29">
        <f>IF(A150&gt;SV_T,0,N150+O150+AP150+AN150-MAX(0,AE150-(P150+AC150)))</f>
        <v/>
      </c>
    </row>
    <row r="151">
      <c r="A151" s="61" t="n">
        <v>22</v>
      </c>
      <c r="B151" s="61">
        <f>SV_age+A151</f>
        <v/>
      </c>
      <c r="C151" s="61">
        <f>currentYear+A151</f>
        <v/>
      </c>
      <c r="D151" s="52">
        <f>A151&lt;=SV_T</f>
        <v/>
      </c>
      <c r="E151" s="60">
        <f>IF(AND(SV_inflOn,A151&gt;=SV_inflS,A151&lt;=SV_inflE),1+SV_inflRate,1+inflationRate)</f>
        <v/>
      </c>
      <c r="F151" s="60">
        <f>IF(A151&lt;=1,1,F150*E151)</f>
        <v/>
      </c>
      <c r="G151" s="60">
        <f>IF(AND(SV_incOn,A151&gt;=SV_incS,A151&lt;=SV_incE),1+SV_incImp,1)</f>
        <v/>
      </c>
      <c r="H151" s="29">
        <f>IF(OR(OR(A151&lt;1,A151&gt;SV_T),A151-1&gt;=SV_salCut),0,SV_sal0*(1+incomeGrowthRate)^(A151-1)*G151)</f>
        <v/>
      </c>
      <c r="I151" s="29">
        <f>IF(OR(A151&lt;1,A151&gt;SV_T),0,(-SV_exp0*F151-IF(A151&lt;=SV_loanYears,SV_inst,0)-IF(AND(SV_wdAmt&gt;0,A151=SV_wdYear),SV_wdAmt,0))*IF(AND(SV_expOn,A151&gt;=SV_expS,A151&lt;=SV_expE),1+SV_expImp,1))</f>
        <v/>
      </c>
      <c r="J151" s="29">
        <f>IF(OR(OR(A151&lt;1,A151&gt;SV_T),A151&gt;SV_loanYears),0,-SV_lifePremYr)</f>
        <v/>
      </c>
      <c r="K151" s="29">
        <f>IF(OR(A151&lt;1,A151&gt;SV_T),0,-SV_contrib)</f>
        <v/>
      </c>
      <c r="L151" s="60">
        <f>IF(AND(SV_crashOn,A151=SV_crashYr),SV_crashF,1)</f>
        <v/>
      </c>
      <c r="M151" s="60">
        <f>IF(AND(SV_ccyOn,A151=SV_ccyYr),SV_ccyF,1)</f>
        <v/>
      </c>
      <c r="N151" s="29">
        <f>IF(A151&gt;SV_T,0,N150*(1+interestRate)*L151*M151)</f>
        <v/>
      </c>
      <c r="O151" s="29">
        <f>IF(A151&gt;SV_T,0,(O150+SV_contrib)*(1+investmentReturn)*L151*M151)</f>
        <v/>
      </c>
      <c r="P151" s="29">
        <f>IF(A151&gt;SV_T,0,P150*(1+SV_propRate)*L151)</f>
        <v/>
      </c>
      <c r="Q151" s="46">
        <f>MATCH(SV_age+A151-1,SV_cpfLower,1)</f>
        <v/>
      </c>
      <c r="R151" s="29">
        <f>IF(OR(OR(A151&lt;1,A151&gt;SV_T),NOT(SV_cpfOn)),0,MIN(SV_sal0*(1+incomeGrowthRate)^(A151-1)*G151,SV_owCap))</f>
        <v/>
      </c>
      <c r="S151" s="29">
        <f>IF(A151&gt;SV_T,0,S150*(1+SV_oaRate)+IF(A151&gt;=SV_effStop,0,INDEX(SV_cpfOA,Q151)*INDEX(SV_cpfTot,Q151)*R151))</f>
        <v/>
      </c>
      <c r="T151" s="29">
        <f>IF(A151&gt;SV_T,0,T150*(1+SV_saRate)+IF(A151&gt;=SV_effStop,0,INDEX(SV_cpfSA,Q151)*INDEX(SV_cpfTot,Q151)*R151))</f>
        <v/>
      </c>
      <c r="U151" s="29">
        <f>IF(A151&gt;SV_T,0,U150*(1+SV_saRate)+IF(A151&gt;=SV_effStop,0,INDEX(SV_cpfMA,Q151)*INDEX(SV_cpfTot,Q151)*R151))</f>
        <v/>
      </c>
      <c r="V151" s="29">
        <f>IF(OR(OR(A151&lt;1,A151&gt;SV_T),A151&gt;=SV_effNeg),0,-(INDEX(SV_cpfOA,Q151)+INDEX(SV_cpfSA,Q151)+INDEX(SV_cpfMA,Q151))*INDEX(SV_cpfEmp,Q151)*R151)</f>
        <v/>
      </c>
      <c r="W151" s="29">
        <f>IF(A151&gt;=SV_sIdx,0,S151)</f>
        <v/>
      </c>
      <c r="X151" s="29">
        <f>IF(A151&gt;=SV_sIdx,0,T151)</f>
        <v/>
      </c>
      <c r="Y151" s="29">
        <f>IF(A151&gt;=SV_sIdx,MIN(U151,SV_maCap),U151)</f>
        <v/>
      </c>
      <c r="Z151" s="29">
        <f>IF(AND(SV_cpfOn,A151&gt;=SV_pIdx,A151&lt;=SV_T),12*SV_pay,0)</f>
        <v/>
      </c>
      <c r="AA151" s="29">
        <f>IF(A151&gt;SV_T,0,IF(SV_sp&gt;=0,IF(A151&lt;SV_sIdx,0,IF(A151=SV_sIdx,SV_R0,SV_lifeGrowth*AA150)),SV_lifeGrowth*AA150))</f>
        <v/>
      </c>
      <c r="AB151" s="29">
        <f>IF(A151&gt;SV_T,0,IF(AND(SV_sp&gt;=0,A151&lt;SV_sIdx),0,IF(AND(SV_sp&gt;=0,A151=SV_sIdx),SV_L0,SV_lifeGrowth*(AB150-Z151))))</f>
        <v/>
      </c>
      <c r="AC151" s="29">
        <f>W151+X151+AA151+Y151+IF(AA151&lt;0,0,AB151)</f>
        <v/>
      </c>
      <c r="AD151" s="29">
        <f>Z151+V151</f>
        <v/>
      </c>
      <c r="AE151" s="29">
        <f>IF(OR(A151&gt;SV_T,A151&gt;=SV_loanYears),0,MAX(0,AE150*(1+loanRate)-SV_inst))</f>
        <v/>
      </c>
      <c r="AF151" s="29">
        <f>IF(A151&gt;SV_T,0,AF150*(1+SV_savRate)+H151+I151+J151+K151+AD151)</f>
        <v/>
      </c>
      <c r="AG151" s="29">
        <f>IF(A151&gt;SV_T,0,MAX(0,N151+O151+P151+AC151+AF151-AE151))</f>
        <v/>
      </c>
      <c r="AH151" s="29">
        <f>IF(A151&gt;SV_T,0,N151+O151+AF151-MAX(0,AE151-(P151+AC151)))</f>
        <v/>
      </c>
      <c r="AI151" s="29">
        <f>IF(OR(OR(A151&lt;1,A151&gt;SV_T),A151-1&gt;=SV_retPay),0,SV_retMth*12+IF(A151=1,SV_retLump,0))</f>
        <v/>
      </c>
      <c r="AJ151" s="29">
        <f>IF(A151&gt;SV_T,0,(AJ150+AI151)*(1+investmentReturn))</f>
        <v/>
      </c>
      <c r="AK151" s="29">
        <f>IF(OR(OR(A151&lt;1,A151&gt;SV_T),A151-1&gt;=SV_goalPay),0,SV_goalMth*12+IF(A151=1,SV_goalLump,0))</f>
        <v/>
      </c>
      <c r="AL151" s="29">
        <f>IF(A151&gt;SV_T,0,(AL150+AK151)*(1+investmentReturn))</f>
        <v/>
      </c>
      <c r="AM151" s="29">
        <f>IF(OR(OR(A151&lt;1,A151&gt;SV_T),A151-1&gt;=SV_protPay),0,SV_protPrem)</f>
        <v/>
      </c>
      <c r="AN151" s="29">
        <f>IF(OR(A151=0,A151&gt;=SV_T),0,ROUND(MAX(0,AJ151),2)+ROUND(MAX(0,AL151),2))</f>
        <v/>
      </c>
      <c r="AO151" s="29">
        <f>IF(OR(A151&lt;1,A151&gt;SV_T),0,-(AI151+AK151+AM151)+IF(A151=SV_T,ROUND(MAX(0,AJ151),2)+ROUND(MAX(0,AL151),2),0))</f>
        <v/>
      </c>
      <c r="AP151" s="29">
        <f>IF(A151&gt;SV_T,0,AP150*(1+SV_savRate)+H151+I151+J151+K151+AD151+AO151)</f>
        <v/>
      </c>
      <c r="AQ151" s="29">
        <f>IF(A151&gt;SV_T,0,MAX(0,N151+O151+P151+AC151+AP151+AN151-AE151))</f>
        <v/>
      </c>
      <c r="AR151" s="29">
        <f>IF(A151&gt;SV_T,0,N151+O151+AP151+AN151-MAX(0,AE151-(P151+AC151)))</f>
        <v/>
      </c>
    </row>
    <row r="152">
      <c r="A152" s="61" t="n">
        <v>23</v>
      </c>
      <c r="B152" s="61">
        <f>SV_age+A152</f>
        <v/>
      </c>
      <c r="C152" s="61">
        <f>currentYear+A152</f>
        <v/>
      </c>
      <c r="D152" s="52">
        <f>A152&lt;=SV_T</f>
        <v/>
      </c>
      <c r="E152" s="60">
        <f>IF(AND(SV_inflOn,A152&gt;=SV_inflS,A152&lt;=SV_inflE),1+SV_inflRate,1+inflationRate)</f>
        <v/>
      </c>
      <c r="F152" s="60">
        <f>IF(A152&lt;=1,1,F151*E152)</f>
        <v/>
      </c>
      <c r="G152" s="60">
        <f>IF(AND(SV_incOn,A152&gt;=SV_incS,A152&lt;=SV_incE),1+SV_incImp,1)</f>
        <v/>
      </c>
      <c r="H152" s="29">
        <f>IF(OR(OR(A152&lt;1,A152&gt;SV_T),A152-1&gt;=SV_salCut),0,SV_sal0*(1+incomeGrowthRate)^(A152-1)*G152)</f>
        <v/>
      </c>
      <c r="I152" s="29">
        <f>IF(OR(A152&lt;1,A152&gt;SV_T),0,(-SV_exp0*F152-IF(A152&lt;=SV_loanYears,SV_inst,0)-IF(AND(SV_wdAmt&gt;0,A152=SV_wdYear),SV_wdAmt,0))*IF(AND(SV_expOn,A152&gt;=SV_expS,A152&lt;=SV_expE),1+SV_expImp,1))</f>
        <v/>
      </c>
      <c r="J152" s="29">
        <f>IF(OR(OR(A152&lt;1,A152&gt;SV_T),A152&gt;SV_loanYears),0,-SV_lifePremYr)</f>
        <v/>
      </c>
      <c r="K152" s="29">
        <f>IF(OR(A152&lt;1,A152&gt;SV_T),0,-SV_contrib)</f>
        <v/>
      </c>
      <c r="L152" s="60">
        <f>IF(AND(SV_crashOn,A152=SV_crashYr),SV_crashF,1)</f>
        <v/>
      </c>
      <c r="M152" s="60">
        <f>IF(AND(SV_ccyOn,A152=SV_ccyYr),SV_ccyF,1)</f>
        <v/>
      </c>
      <c r="N152" s="29">
        <f>IF(A152&gt;SV_T,0,N151*(1+interestRate)*L152*M152)</f>
        <v/>
      </c>
      <c r="O152" s="29">
        <f>IF(A152&gt;SV_T,0,(O151+SV_contrib)*(1+investmentReturn)*L152*M152)</f>
        <v/>
      </c>
      <c r="P152" s="29">
        <f>IF(A152&gt;SV_T,0,P151*(1+SV_propRate)*L152)</f>
        <v/>
      </c>
      <c r="Q152" s="46">
        <f>MATCH(SV_age+A152-1,SV_cpfLower,1)</f>
        <v/>
      </c>
      <c r="R152" s="29">
        <f>IF(OR(OR(A152&lt;1,A152&gt;SV_T),NOT(SV_cpfOn)),0,MIN(SV_sal0*(1+incomeGrowthRate)^(A152-1)*G152,SV_owCap))</f>
        <v/>
      </c>
      <c r="S152" s="29">
        <f>IF(A152&gt;SV_T,0,S151*(1+SV_oaRate)+IF(A152&gt;=SV_effStop,0,INDEX(SV_cpfOA,Q152)*INDEX(SV_cpfTot,Q152)*R152))</f>
        <v/>
      </c>
      <c r="T152" s="29">
        <f>IF(A152&gt;SV_T,0,T151*(1+SV_saRate)+IF(A152&gt;=SV_effStop,0,INDEX(SV_cpfSA,Q152)*INDEX(SV_cpfTot,Q152)*R152))</f>
        <v/>
      </c>
      <c r="U152" s="29">
        <f>IF(A152&gt;SV_T,0,U151*(1+SV_saRate)+IF(A152&gt;=SV_effStop,0,INDEX(SV_cpfMA,Q152)*INDEX(SV_cpfTot,Q152)*R152))</f>
        <v/>
      </c>
      <c r="V152" s="29">
        <f>IF(OR(OR(A152&lt;1,A152&gt;SV_T),A152&gt;=SV_effNeg),0,-(INDEX(SV_cpfOA,Q152)+INDEX(SV_cpfSA,Q152)+INDEX(SV_cpfMA,Q152))*INDEX(SV_cpfEmp,Q152)*R152)</f>
        <v/>
      </c>
      <c r="W152" s="29">
        <f>IF(A152&gt;=SV_sIdx,0,S152)</f>
        <v/>
      </c>
      <c r="X152" s="29">
        <f>IF(A152&gt;=SV_sIdx,0,T152)</f>
        <v/>
      </c>
      <c r="Y152" s="29">
        <f>IF(A152&gt;=SV_sIdx,MIN(U152,SV_maCap),U152)</f>
        <v/>
      </c>
      <c r="Z152" s="29">
        <f>IF(AND(SV_cpfOn,A152&gt;=SV_pIdx,A152&lt;=SV_T),12*SV_pay,0)</f>
        <v/>
      </c>
      <c r="AA152" s="29">
        <f>IF(A152&gt;SV_T,0,IF(SV_sp&gt;=0,IF(A152&lt;SV_sIdx,0,IF(A152=SV_sIdx,SV_R0,SV_lifeGrowth*AA151)),SV_lifeGrowth*AA151))</f>
        <v/>
      </c>
      <c r="AB152" s="29">
        <f>IF(A152&gt;SV_T,0,IF(AND(SV_sp&gt;=0,A152&lt;SV_sIdx),0,IF(AND(SV_sp&gt;=0,A152=SV_sIdx),SV_L0,SV_lifeGrowth*(AB151-Z152))))</f>
        <v/>
      </c>
      <c r="AC152" s="29">
        <f>W152+X152+AA152+Y152+IF(AA152&lt;0,0,AB152)</f>
        <v/>
      </c>
      <c r="AD152" s="29">
        <f>Z152+V152</f>
        <v/>
      </c>
      <c r="AE152" s="29">
        <f>IF(OR(A152&gt;SV_T,A152&gt;=SV_loanYears),0,MAX(0,AE151*(1+loanRate)-SV_inst))</f>
        <v/>
      </c>
      <c r="AF152" s="29">
        <f>IF(A152&gt;SV_T,0,AF151*(1+SV_savRate)+H152+I152+J152+K152+AD152)</f>
        <v/>
      </c>
      <c r="AG152" s="29">
        <f>IF(A152&gt;SV_T,0,MAX(0,N152+O152+P152+AC152+AF152-AE152))</f>
        <v/>
      </c>
      <c r="AH152" s="29">
        <f>IF(A152&gt;SV_T,0,N152+O152+AF152-MAX(0,AE152-(P152+AC152)))</f>
        <v/>
      </c>
      <c r="AI152" s="29">
        <f>IF(OR(OR(A152&lt;1,A152&gt;SV_T),A152-1&gt;=SV_retPay),0,SV_retMth*12+IF(A152=1,SV_retLump,0))</f>
        <v/>
      </c>
      <c r="AJ152" s="29">
        <f>IF(A152&gt;SV_T,0,(AJ151+AI152)*(1+investmentReturn))</f>
        <v/>
      </c>
      <c r="AK152" s="29">
        <f>IF(OR(OR(A152&lt;1,A152&gt;SV_T),A152-1&gt;=SV_goalPay),0,SV_goalMth*12+IF(A152=1,SV_goalLump,0))</f>
        <v/>
      </c>
      <c r="AL152" s="29">
        <f>IF(A152&gt;SV_T,0,(AL151+AK152)*(1+investmentReturn))</f>
        <v/>
      </c>
      <c r="AM152" s="29">
        <f>IF(OR(OR(A152&lt;1,A152&gt;SV_T),A152-1&gt;=SV_protPay),0,SV_protPrem)</f>
        <v/>
      </c>
      <c r="AN152" s="29">
        <f>IF(OR(A152=0,A152&gt;=SV_T),0,ROUND(MAX(0,AJ152),2)+ROUND(MAX(0,AL152),2))</f>
        <v/>
      </c>
      <c r="AO152" s="29">
        <f>IF(OR(A152&lt;1,A152&gt;SV_T),0,-(AI152+AK152+AM152)+IF(A152=SV_T,ROUND(MAX(0,AJ152),2)+ROUND(MAX(0,AL152),2),0))</f>
        <v/>
      </c>
      <c r="AP152" s="29">
        <f>IF(A152&gt;SV_T,0,AP151*(1+SV_savRate)+H152+I152+J152+K152+AD152+AO152)</f>
        <v/>
      </c>
      <c r="AQ152" s="29">
        <f>IF(A152&gt;SV_T,0,MAX(0,N152+O152+P152+AC152+AP152+AN152-AE152))</f>
        <v/>
      </c>
      <c r="AR152" s="29">
        <f>IF(A152&gt;SV_T,0,N152+O152+AP152+AN152-MAX(0,AE152-(P152+AC152)))</f>
        <v/>
      </c>
    </row>
    <row r="153">
      <c r="A153" s="61" t="n">
        <v>24</v>
      </c>
      <c r="B153" s="61">
        <f>SV_age+A153</f>
        <v/>
      </c>
      <c r="C153" s="61">
        <f>currentYear+A153</f>
        <v/>
      </c>
      <c r="D153" s="52">
        <f>A153&lt;=SV_T</f>
        <v/>
      </c>
      <c r="E153" s="60">
        <f>IF(AND(SV_inflOn,A153&gt;=SV_inflS,A153&lt;=SV_inflE),1+SV_inflRate,1+inflationRate)</f>
        <v/>
      </c>
      <c r="F153" s="60">
        <f>IF(A153&lt;=1,1,F152*E153)</f>
        <v/>
      </c>
      <c r="G153" s="60">
        <f>IF(AND(SV_incOn,A153&gt;=SV_incS,A153&lt;=SV_incE),1+SV_incImp,1)</f>
        <v/>
      </c>
      <c r="H153" s="29">
        <f>IF(OR(OR(A153&lt;1,A153&gt;SV_T),A153-1&gt;=SV_salCut),0,SV_sal0*(1+incomeGrowthRate)^(A153-1)*G153)</f>
        <v/>
      </c>
      <c r="I153" s="29">
        <f>IF(OR(A153&lt;1,A153&gt;SV_T),0,(-SV_exp0*F153-IF(A153&lt;=SV_loanYears,SV_inst,0)-IF(AND(SV_wdAmt&gt;0,A153=SV_wdYear),SV_wdAmt,0))*IF(AND(SV_expOn,A153&gt;=SV_expS,A153&lt;=SV_expE),1+SV_expImp,1))</f>
        <v/>
      </c>
      <c r="J153" s="29">
        <f>IF(OR(OR(A153&lt;1,A153&gt;SV_T),A153&gt;SV_loanYears),0,-SV_lifePremYr)</f>
        <v/>
      </c>
      <c r="K153" s="29">
        <f>IF(OR(A153&lt;1,A153&gt;SV_T),0,-SV_contrib)</f>
        <v/>
      </c>
      <c r="L153" s="60">
        <f>IF(AND(SV_crashOn,A153=SV_crashYr),SV_crashF,1)</f>
        <v/>
      </c>
      <c r="M153" s="60">
        <f>IF(AND(SV_ccyOn,A153=SV_ccyYr),SV_ccyF,1)</f>
        <v/>
      </c>
      <c r="N153" s="29">
        <f>IF(A153&gt;SV_T,0,N152*(1+interestRate)*L153*M153)</f>
        <v/>
      </c>
      <c r="O153" s="29">
        <f>IF(A153&gt;SV_T,0,(O152+SV_contrib)*(1+investmentReturn)*L153*M153)</f>
        <v/>
      </c>
      <c r="P153" s="29">
        <f>IF(A153&gt;SV_T,0,P152*(1+SV_propRate)*L153)</f>
        <v/>
      </c>
      <c r="Q153" s="46">
        <f>MATCH(SV_age+A153-1,SV_cpfLower,1)</f>
        <v/>
      </c>
      <c r="R153" s="29">
        <f>IF(OR(OR(A153&lt;1,A153&gt;SV_T),NOT(SV_cpfOn)),0,MIN(SV_sal0*(1+incomeGrowthRate)^(A153-1)*G153,SV_owCap))</f>
        <v/>
      </c>
      <c r="S153" s="29">
        <f>IF(A153&gt;SV_T,0,S152*(1+SV_oaRate)+IF(A153&gt;=SV_effStop,0,INDEX(SV_cpfOA,Q153)*INDEX(SV_cpfTot,Q153)*R153))</f>
        <v/>
      </c>
      <c r="T153" s="29">
        <f>IF(A153&gt;SV_T,0,T152*(1+SV_saRate)+IF(A153&gt;=SV_effStop,0,INDEX(SV_cpfSA,Q153)*INDEX(SV_cpfTot,Q153)*R153))</f>
        <v/>
      </c>
      <c r="U153" s="29">
        <f>IF(A153&gt;SV_T,0,U152*(1+SV_saRate)+IF(A153&gt;=SV_effStop,0,INDEX(SV_cpfMA,Q153)*INDEX(SV_cpfTot,Q153)*R153))</f>
        <v/>
      </c>
      <c r="V153" s="29">
        <f>IF(OR(OR(A153&lt;1,A153&gt;SV_T),A153&gt;=SV_effNeg),0,-(INDEX(SV_cpfOA,Q153)+INDEX(SV_cpfSA,Q153)+INDEX(SV_cpfMA,Q153))*INDEX(SV_cpfEmp,Q153)*R153)</f>
        <v/>
      </c>
      <c r="W153" s="29">
        <f>IF(A153&gt;=SV_sIdx,0,S153)</f>
        <v/>
      </c>
      <c r="X153" s="29">
        <f>IF(A153&gt;=SV_sIdx,0,T153)</f>
        <v/>
      </c>
      <c r="Y153" s="29">
        <f>IF(A153&gt;=SV_sIdx,MIN(U153,SV_maCap),U153)</f>
        <v/>
      </c>
      <c r="Z153" s="29">
        <f>IF(AND(SV_cpfOn,A153&gt;=SV_pIdx,A153&lt;=SV_T),12*SV_pay,0)</f>
        <v/>
      </c>
      <c r="AA153" s="29">
        <f>IF(A153&gt;SV_T,0,IF(SV_sp&gt;=0,IF(A153&lt;SV_sIdx,0,IF(A153=SV_sIdx,SV_R0,SV_lifeGrowth*AA152)),SV_lifeGrowth*AA152))</f>
        <v/>
      </c>
      <c r="AB153" s="29">
        <f>IF(A153&gt;SV_T,0,IF(AND(SV_sp&gt;=0,A153&lt;SV_sIdx),0,IF(AND(SV_sp&gt;=0,A153=SV_sIdx),SV_L0,SV_lifeGrowth*(AB152-Z153))))</f>
        <v/>
      </c>
      <c r="AC153" s="29">
        <f>W153+X153+AA153+Y153+IF(AA153&lt;0,0,AB153)</f>
        <v/>
      </c>
      <c r="AD153" s="29">
        <f>Z153+V153</f>
        <v/>
      </c>
      <c r="AE153" s="29">
        <f>IF(OR(A153&gt;SV_T,A153&gt;=SV_loanYears),0,MAX(0,AE152*(1+loanRate)-SV_inst))</f>
        <v/>
      </c>
      <c r="AF153" s="29">
        <f>IF(A153&gt;SV_T,0,AF152*(1+SV_savRate)+H153+I153+J153+K153+AD153)</f>
        <v/>
      </c>
      <c r="AG153" s="29">
        <f>IF(A153&gt;SV_T,0,MAX(0,N153+O153+P153+AC153+AF153-AE153))</f>
        <v/>
      </c>
      <c r="AH153" s="29">
        <f>IF(A153&gt;SV_T,0,N153+O153+AF153-MAX(0,AE153-(P153+AC153)))</f>
        <v/>
      </c>
      <c r="AI153" s="29">
        <f>IF(OR(OR(A153&lt;1,A153&gt;SV_T),A153-1&gt;=SV_retPay),0,SV_retMth*12+IF(A153=1,SV_retLump,0))</f>
        <v/>
      </c>
      <c r="AJ153" s="29">
        <f>IF(A153&gt;SV_T,0,(AJ152+AI153)*(1+investmentReturn))</f>
        <v/>
      </c>
      <c r="AK153" s="29">
        <f>IF(OR(OR(A153&lt;1,A153&gt;SV_T),A153-1&gt;=SV_goalPay),0,SV_goalMth*12+IF(A153=1,SV_goalLump,0))</f>
        <v/>
      </c>
      <c r="AL153" s="29">
        <f>IF(A153&gt;SV_T,0,(AL152+AK153)*(1+investmentReturn))</f>
        <v/>
      </c>
      <c r="AM153" s="29">
        <f>IF(OR(OR(A153&lt;1,A153&gt;SV_T),A153-1&gt;=SV_protPay),0,SV_protPrem)</f>
        <v/>
      </c>
      <c r="AN153" s="29">
        <f>IF(OR(A153=0,A153&gt;=SV_T),0,ROUND(MAX(0,AJ153),2)+ROUND(MAX(0,AL153),2))</f>
        <v/>
      </c>
      <c r="AO153" s="29">
        <f>IF(OR(A153&lt;1,A153&gt;SV_T),0,-(AI153+AK153+AM153)+IF(A153=SV_T,ROUND(MAX(0,AJ153),2)+ROUND(MAX(0,AL153),2),0))</f>
        <v/>
      </c>
      <c r="AP153" s="29">
        <f>IF(A153&gt;SV_T,0,AP152*(1+SV_savRate)+H153+I153+J153+K153+AD153+AO153)</f>
        <v/>
      </c>
      <c r="AQ153" s="29">
        <f>IF(A153&gt;SV_T,0,MAX(0,N153+O153+P153+AC153+AP153+AN153-AE153))</f>
        <v/>
      </c>
      <c r="AR153" s="29">
        <f>IF(A153&gt;SV_T,0,N153+O153+AP153+AN153-MAX(0,AE153-(P153+AC153)))</f>
        <v/>
      </c>
    </row>
    <row r="154">
      <c r="A154" s="61" t="n">
        <v>25</v>
      </c>
      <c r="B154" s="61">
        <f>SV_age+A154</f>
        <v/>
      </c>
      <c r="C154" s="61">
        <f>currentYear+A154</f>
        <v/>
      </c>
      <c r="D154" s="52">
        <f>A154&lt;=SV_T</f>
        <v/>
      </c>
      <c r="E154" s="60">
        <f>IF(AND(SV_inflOn,A154&gt;=SV_inflS,A154&lt;=SV_inflE),1+SV_inflRate,1+inflationRate)</f>
        <v/>
      </c>
      <c r="F154" s="60">
        <f>IF(A154&lt;=1,1,F153*E154)</f>
        <v/>
      </c>
      <c r="G154" s="60">
        <f>IF(AND(SV_incOn,A154&gt;=SV_incS,A154&lt;=SV_incE),1+SV_incImp,1)</f>
        <v/>
      </c>
      <c r="H154" s="29">
        <f>IF(OR(OR(A154&lt;1,A154&gt;SV_T),A154-1&gt;=SV_salCut),0,SV_sal0*(1+incomeGrowthRate)^(A154-1)*G154)</f>
        <v/>
      </c>
      <c r="I154" s="29">
        <f>IF(OR(A154&lt;1,A154&gt;SV_T),0,(-SV_exp0*F154-IF(A154&lt;=SV_loanYears,SV_inst,0)-IF(AND(SV_wdAmt&gt;0,A154=SV_wdYear),SV_wdAmt,0))*IF(AND(SV_expOn,A154&gt;=SV_expS,A154&lt;=SV_expE),1+SV_expImp,1))</f>
        <v/>
      </c>
      <c r="J154" s="29">
        <f>IF(OR(OR(A154&lt;1,A154&gt;SV_T),A154&gt;SV_loanYears),0,-SV_lifePremYr)</f>
        <v/>
      </c>
      <c r="K154" s="29">
        <f>IF(OR(A154&lt;1,A154&gt;SV_T),0,-SV_contrib)</f>
        <v/>
      </c>
      <c r="L154" s="60">
        <f>IF(AND(SV_crashOn,A154=SV_crashYr),SV_crashF,1)</f>
        <v/>
      </c>
      <c r="M154" s="60">
        <f>IF(AND(SV_ccyOn,A154=SV_ccyYr),SV_ccyF,1)</f>
        <v/>
      </c>
      <c r="N154" s="29">
        <f>IF(A154&gt;SV_T,0,N153*(1+interestRate)*L154*M154)</f>
        <v/>
      </c>
      <c r="O154" s="29">
        <f>IF(A154&gt;SV_T,0,(O153+SV_contrib)*(1+investmentReturn)*L154*M154)</f>
        <v/>
      </c>
      <c r="P154" s="29">
        <f>IF(A154&gt;SV_T,0,P153*(1+SV_propRate)*L154)</f>
        <v/>
      </c>
      <c r="Q154" s="46">
        <f>MATCH(SV_age+A154-1,SV_cpfLower,1)</f>
        <v/>
      </c>
      <c r="R154" s="29">
        <f>IF(OR(OR(A154&lt;1,A154&gt;SV_T),NOT(SV_cpfOn)),0,MIN(SV_sal0*(1+incomeGrowthRate)^(A154-1)*G154,SV_owCap))</f>
        <v/>
      </c>
      <c r="S154" s="29">
        <f>IF(A154&gt;SV_T,0,S153*(1+SV_oaRate)+IF(A154&gt;=SV_effStop,0,INDEX(SV_cpfOA,Q154)*INDEX(SV_cpfTot,Q154)*R154))</f>
        <v/>
      </c>
      <c r="T154" s="29">
        <f>IF(A154&gt;SV_T,0,T153*(1+SV_saRate)+IF(A154&gt;=SV_effStop,0,INDEX(SV_cpfSA,Q154)*INDEX(SV_cpfTot,Q154)*R154))</f>
        <v/>
      </c>
      <c r="U154" s="29">
        <f>IF(A154&gt;SV_T,0,U153*(1+SV_saRate)+IF(A154&gt;=SV_effStop,0,INDEX(SV_cpfMA,Q154)*INDEX(SV_cpfTot,Q154)*R154))</f>
        <v/>
      </c>
      <c r="V154" s="29">
        <f>IF(OR(OR(A154&lt;1,A154&gt;SV_T),A154&gt;=SV_effNeg),0,-(INDEX(SV_cpfOA,Q154)+INDEX(SV_cpfSA,Q154)+INDEX(SV_cpfMA,Q154))*INDEX(SV_cpfEmp,Q154)*R154)</f>
        <v/>
      </c>
      <c r="W154" s="29">
        <f>IF(A154&gt;=SV_sIdx,0,S154)</f>
        <v/>
      </c>
      <c r="X154" s="29">
        <f>IF(A154&gt;=SV_sIdx,0,T154)</f>
        <v/>
      </c>
      <c r="Y154" s="29">
        <f>IF(A154&gt;=SV_sIdx,MIN(U154,SV_maCap),U154)</f>
        <v/>
      </c>
      <c r="Z154" s="29">
        <f>IF(AND(SV_cpfOn,A154&gt;=SV_pIdx,A154&lt;=SV_T),12*SV_pay,0)</f>
        <v/>
      </c>
      <c r="AA154" s="29">
        <f>IF(A154&gt;SV_T,0,IF(SV_sp&gt;=0,IF(A154&lt;SV_sIdx,0,IF(A154=SV_sIdx,SV_R0,SV_lifeGrowth*AA153)),SV_lifeGrowth*AA153))</f>
        <v/>
      </c>
      <c r="AB154" s="29">
        <f>IF(A154&gt;SV_T,0,IF(AND(SV_sp&gt;=0,A154&lt;SV_sIdx),0,IF(AND(SV_sp&gt;=0,A154=SV_sIdx),SV_L0,SV_lifeGrowth*(AB153-Z154))))</f>
        <v/>
      </c>
      <c r="AC154" s="29">
        <f>W154+X154+AA154+Y154+IF(AA154&lt;0,0,AB154)</f>
        <v/>
      </c>
      <c r="AD154" s="29">
        <f>Z154+V154</f>
        <v/>
      </c>
      <c r="AE154" s="29">
        <f>IF(OR(A154&gt;SV_T,A154&gt;=SV_loanYears),0,MAX(0,AE153*(1+loanRate)-SV_inst))</f>
        <v/>
      </c>
      <c r="AF154" s="29">
        <f>IF(A154&gt;SV_T,0,AF153*(1+SV_savRate)+H154+I154+J154+K154+AD154)</f>
        <v/>
      </c>
      <c r="AG154" s="29">
        <f>IF(A154&gt;SV_T,0,MAX(0,N154+O154+P154+AC154+AF154-AE154))</f>
        <v/>
      </c>
      <c r="AH154" s="29">
        <f>IF(A154&gt;SV_T,0,N154+O154+AF154-MAX(0,AE154-(P154+AC154)))</f>
        <v/>
      </c>
      <c r="AI154" s="29">
        <f>IF(OR(OR(A154&lt;1,A154&gt;SV_T),A154-1&gt;=SV_retPay),0,SV_retMth*12+IF(A154=1,SV_retLump,0))</f>
        <v/>
      </c>
      <c r="AJ154" s="29">
        <f>IF(A154&gt;SV_T,0,(AJ153+AI154)*(1+investmentReturn))</f>
        <v/>
      </c>
      <c r="AK154" s="29">
        <f>IF(OR(OR(A154&lt;1,A154&gt;SV_T),A154-1&gt;=SV_goalPay),0,SV_goalMth*12+IF(A154=1,SV_goalLump,0))</f>
        <v/>
      </c>
      <c r="AL154" s="29">
        <f>IF(A154&gt;SV_T,0,(AL153+AK154)*(1+investmentReturn))</f>
        <v/>
      </c>
      <c r="AM154" s="29">
        <f>IF(OR(OR(A154&lt;1,A154&gt;SV_T),A154-1&gt;=SV_protPay),0,SV_protPrem)</f>
        <v/>
      </c>
      <c r="AN154" s="29">
        <f>IF(OR(A154=0,A154&gt;=SV_T),0,ROUND(MAX(0,AJ154),2)+ROUND(MAX(0,AL154),2))</f>
        <v/>
      </c>
      <c r="AO154" s="29">
        <f>IF(OR(A154&lt;1,A154&gt;SV_T),0,-(AI154+AK154+AM154)+IF(A154=SV_T,ROUND(MAX(0,AJ154),2)+ROUND(MAX(0,AL154),2),0))</f>
        <v/>
      </c>
      <c r="AP154" s="29">
        <f>IF(A154&gt;SV_T,0,AP153*(1+SV_savRate)+H154+I154+J154+K154+AD154+AO154)</f>
        <v/>
      </c>
      <c r="AQ154" s="29">
        <f>IF(A154&gt;SV_T,0,MAX(0,N154+O154+P154+AC154+AP154+AN154-AE154))</f>
        <v/>
      </c>
      <c r="AR154" s="29">
        <f>IF(A154&gt;SV_T,0,N154+O154+AP154+AN154-MAX(0,AE154-(P154+AC154)))</f>
        <v/>
      </c>
    </row>
    <row r="155">
      <c r="A155" s="61" t="n">
        <v>26</v>
      </c>
      <c r="B155" s="61">
        <f>SV_age+A155</f>
        <v/>
      </c>
      <c r="C155" s="61">
        <f>currentYear+A155</f>
        <v/>
      </c>
      <c r="D155" s="52">
        <f>A155&lt;=SV_T</f>
        <v/>
      </c>
      <c r="E155" s="60">
        <f>IF(AND(SV_inflOn,A155&gt;=SV_inflS,A155&lt;=SV_inflE),1+SV_inflRate,1+inflationRate)</f>
        <v/>
      </c>
      <c r="F155" s="60">
        <f>IF(A155&lt;=1,1,F154*E155)</f>
        <v/>
      </c>
      <c r="G155" s="60">
        <f>IF(AND(SV_incOn,A155&gt;=SV_incS,A155&lt;=SV_incE),1+SV_incImp,1)</f>
        <v/>
      </c>
      <c r="H155" s="29">
        <f>IF(OR(OR(A155&lt;1,A155&gt;SV_T),A155-1&gt;=SV_salCut),0,SV_sal0*(1+incomeGrowthRate)^(A155-1)*G155)</f>
        <v/>
      </c>
      <c r="I155" s="29">
        <f>IF(OR(A155&lt;1,A155&gt;SV_T),0,(-SV_exp0*F155-IF(A155&lt;=SV_loanYears,SV_inst,0)-IF(AND(SV_wdAmt&gt;0,A155=SV_wdYear),SV_wdAmt,0))*IF(AND(SV_expOn,A155&gt;=SV_expS,A155&lt;=SV_expE),1+SV_expImp,1))</f>
        <v/>
      </c>
      <c r="J155" s="29">
        <f>IF(OR(OR(A155&lt;1,A155&gt;SV_T),A155&gt;SV_loanYears),0,-SV_lifePremYr)</f>
        <v/>
      </c>
      <c r="K155" s="29">
        <f>IF(OR(A155&lt;1,A155&gt;SV_T),0,-SV_contrib)</f>
        <v/>
      </c>
      <c r="L155" s="60">
        <f>IF(AND(SV_crashOn,A155=SV_crashYr),SV_crashF,1)</f>
        <v/>
      </c>
      <c r="M155" s="60">
        <f>IF(AND(SV_ccyOn,A155=SV_ccyYr),SV_ccyF,1)</f>
        <v/>
      </c>
      <c r="N155" s="29">
        <f>IF(A155&gt;SV_T,0,N154*(1+interestRate)*L155*M155)</f>
        <v/>
      </c>
      <c r="O155" s="29">
        <f>IF(A155&gt;SV_T,0,(O154+SV_contrib)*(1+investmentReturn)*L155*M155)</f>
        <v/>
      </c>
      <c r="P155" s="29">
        <f>IF(A155&gt;SV_T,0,P154*(1+SV_propRate)*L155)</f>
        <v/>
      </c>
      <c r="Q155" s="46">
        <f>MATCH(SV_age+A155-1,SV_cpfLower,1)</f>
        <v/>
      </c>
      <c r="R155" s="29">
        <f>IF(OR(OR(A155&lt;1,A155&gt;SV_T),NOT(SV_cpfOn)),0,MIN(SV_sal0*(1+incomeGrowthRate)^(A155-1)*G155,SV_owCap))</f>
        <v/>
      </c>
      <c r="S155" s="29">
        <f>IF(A155&gt;SV_T,0,S154*(1+SV_oaRate)+IF(A155&gt;=SV_effStop,0,INDEX(SV_cpfOA,Q155)*INDEX(SV_cpfTot,Q155)*R155))</f>
        <v/>
      </c>
      <c r="T155" s="29">
        <f>IF(A155&gt;SV_T,0,T154*(1+SV_saRate)+IF(A155&gt;=SV_effStop,0,INDEX(SV_cpfSA,Q155)*INDEX(SV_cpfTot,Q155)*R155))</f>
        <v/>
      </c>
      <c r="U155" s="29">
        <f>IF(A155&gt;SV_T,0,U154*(1+SV_saRate)+IF(A155&gt;=SV_effStop,0,INDEX(SV_cpfMA,Q155)*INDEX(SV_cpfTot,Q155)*R155))</f>
        <v/>
      </c>
      <c r="V155" s="29">
        <f>IF(OR(OR(A155&lt;1,A155&gt;SV_T),A155&gt;=SV_effNeg),0,-(INDEX(SV_cpfOA,Q155)+INDEX(SV_cpfSA,Q155)+INDEX(SV_cpfMA,Q155))*INDEX(SV_cpfEmp,Q155)*R155)</f>
        <v/>
      </c>
      <c r="W155" s="29">
        <f>IF(A155&gt;=SV_sIdx,0,S155)</f>
        <v/>
      </c>
      <c r="X155" s="29">
        <f>IF(A155&gt;=SV_sIdx,0,T155)</f>
        <v/>
      </c>
      <c r="Y155" s="29">
        <f>IF(A155&gt;=SV_sIdx,MIN(U155,SV_maCap),U155)</f>
        <v/>
      </c>
      <c r="Z155" s="29">
        <f>IF(AND(SV_cpfOn,A155&gt;=SV_pIdx,A155&lt;=SV_T),12*SV_pay,0)</f>
        <v/>
      </c>
      <c r="AA155" s="29">
        <f>IF(A155&gt;SV_T,0,IF(SV_sp&gt;=0,IF(A155&lt;SV_sIdx,0,IF(A155=SV_sIdx,SV_R0,SV_lifeGrowth*AA154)),SV_lifeGrowth*AA154))</f>
        <v/>
      </c>
      <c r="AB155" s="29">
        <f>IF(A155&gt;SV_T,0,IF(AND(SV_sp&gt;=0,A155&lt;SV_sIdx),0,IF(AND(SV_sp&gt;=0,A155=SV_sIdx),SV_L0,SV_lifeGrowth*(AB154-Z155))))</f>
        <v/>
      </c>
      <c r="AC155" s="29">
        <f>W155+X155+AA155+Y155+IF(AA155&lt;0,0,AB155)</f>
        <v/>
      </c>
      <c r="AD155" s="29">
        <f>Z155+V155</f>
        <v/>
      </c>
      <c r="AE155" s="29">
        <f>IF(OR(A155&gt;SV_T,A155&gt;=SV_loanYears),0,MAX(0,AE154*(1+loanRate)-SV_inst))</f>
        <v/>
      </c>
      <c r="AF155" s="29">
        <f>IF(A155&gt;SV_T,0,AF154*(1+SV_savRate)+H155+I155+J155+K155+AD155)</f>
        <v/>
      </c>
      <c r="AG155" s="29">
        <f>IF(A155&gt;SV_T,0,MAX(0,N155+O155+P155+AC155+AF155-AE155))</f>
        <v/>
      </c>
      <c r="AH155" s="29">
        <f>IF(A155&gt;SV_T,0,N155+O155+AF155-MAX(0,AE155-(P155+AC155)))</f>
        <v/>
      </c>
      <c r="AI155" s="29">
        <f>IF(OR(OR(A155&lt;1,A155&gt;SV_T),A155-1&gt;=SV_retPay),0,SV_retMth*12+IF(A155=1,SV_retLump,0))</f>
        <v/>
      </c>
      <c r="AJ155" s="29">
        <f>IF(A155&gt;SV_T,0,(AJ154+AI155)*(1+investmentReturn))</f>
        <v/>
      </c>
      <c r="AK155" s="29">
        <f>IF(OR(OR(A155&lt;1,A155&gt;SV_T),A155-1&gt;=SV_goalPay),0,SV_goalMth*12+IF(A155=1,SV_goalLump,0))</f>
        <v/>
      </c>
      <c r="AL155" s="29">
        <f>IF(A155&gt;SV_T,0,(AL154+AK155)*(1+investmentReturn))</f>
        <v/>
      </c>
      <c r="AM155" s="29">
        <f>IF(OR(OR(A155&lt;1,A155&gt;SV_T),A155-1&gt;=SV_protPay),0,SV_protPrem)</f>
        <v/>
      </c>
      <c r="AN155" s="29">
        <f>IF(OR(A155=0,A155&gt;=SV_T),0,ROUND(MAX(0,AJ155),2)+ROUND(MAX(0,AL155),2))</f>
        <v/>
      </c>
      <c r="AO155" s="29">
        <f>IF(OR(A155&lt;1,A155&gt;SV_T),0,-(AI155+AK155+AM155)+IF(A155=SV_T,ROUND(MAX(0,AJ155),2)+ROUND(MAX(0,AL155),2),0))</f>
        <v/>
      </c>
      <c r="AP155" s="29">
        <f>IF(A155&gt;SV_T,0,AP154*(1+SV_savRate)+H155+I155+J155+K155+AD155+AO155)</f>
        <v/>
      </c>
      <c r="AQ155" s="29">
        <f>IF(A155&gt;SV_T,0,MAX(0,N155+O155+P155+AC155+AP155+AN155-AE155))</f>
        <v/>
      </c>
      <c r="AR155" s="29">
        <f>IF(A155&gt;SV_T,0,N155+O155+AP155+AN155-MAX(0,AE155-(P155+AC155)))</f>
        <v/>
      </c>
    </row>
    <row r="156">
      <c r="A156" s="61" t="n">
        <v>27</v>
      </c>
      <c r="B156" s="61">
        <f>SV_age+A156</f>
        <v/>
      </c>
      <c r="C156" s="61">
        <f>currentYear+A156</f>
        <v/>
      </c>
      <c r="D156" s="52">
        <f>A156&lt;=SV_T</f>
        <v/>
      </c>
      <c r="E156" s="60">
        <f>IF(AND(SV_inflOn,A156&gt;=SV_inflS,A156&lt;=SV_inflE),1+SV_inflRate,1+inflationRate)</f>
        <v/>
      </c>
      <c r="F156" s="60">
        <f>IF(A156&lt;=1,1,F155*E156)</f>
        <v/>
      </c>
      <c r="G156" s="60">
        <f>IF(AND(SV_incOn,A156&gt;=SV_incS,A156&lt;=SV_incE),1+SV_incImp,1)</f>
        <v/>
      </c>
      <c r="H156" s="29">
        <f>IF(OR(OR(A156&lt;1,A156&gt;SV_T),A156-1&gt;=SV_salCut),0,SV_sal0*(1+incomeGrowthRate)^(A156-1)*G156)</f>
        <v/>
      </c>
      <c r="I156" s="29">
        <f>IF(OR(A156&lt;1,A156&gt;SV_T),0,(-SV_exp0*F156-IF(A156&lt;=SV_loanYears,SV_inst,0)-IF(AND(SV_wdAmt&gt;0,A156=SV_wdYear),SV_wdAmt,0))*IF(AND(SV_expOn,A156&gt;=SV_expS,A156&lt;=SV_expE),1+SV_expImp,1))</f>
        <v/>
      </c>
      <c r="J156" s="29">
        <f>IF(OR(OR(A156&lt;1,A156&gt;SV_T),A156&gt;SV_loanYears),0,-SV_lifePremYr)</f>
        <v/>
      </c>
      <c r="K156" s="29">
        <f>IF(OR(A156&lt;1,A156&gt;SV_T),0,-SV_contrib)</f>
        <v/>
      </c>
      <c r="L156" s="60">
        <f>IF(AND(SV_crashOn,A156=SV_crashYr),SV_crashF,1)</f>
        <v/>
      </c>
      <c r="M156" s="60">
        <f>IF(AND(SV_ccyOn,A156=SV_ccyYr),SV_ccyF,1)</f>
        <v/>
      </c>
      <c r="N156" s="29">
        <f>IF(A156&gt;SV_T,0,N155*(1+interestRate)*L156*M156)</f>
        <v/>
      </c>
      <c r="O156" s="29">
        <f>IF(A156&gt;SV_T,0,(O155+SV_contrib)*(1+investmentReturn)*L156*M156)</f>
        <v/>
      </c>
      <c r="P156" s="29">
        <f>IF(A156&gt;SV_T,0,P155*(1+SV_propRate)*L156)</f>
        <v/>
      </c>
      <c r="Q156" s="46">
        <f>MATCH(SV_age+A156-1,SV_cpfLower,1)</f>
        <v/>
      </c>
      <c r="R156" s="29">
        <f>IF(OR(OR(A156&lt;1,A156&gt;SV_T),NOT(SV_cpfOn)),0,MIN(SV_sal0*(1+incomeGrowthRate)^(A156-1)*G156,SV_owCap))</f>
        <v/>
      </c>
      <c r="S156" s="29">
        <f>IF(A156&gt;SV_T,0,S155*(1+SV_oaRate)+IF(A156&gt;=SV_effStop,0,INDEX(SV_cpfOA,Q156)*INDEX(SV_cpfTot,Q156)*R156))</f>
        <v/>
      </c>
      <c r="T156" s="29">
        <f>IF(A156&gt;SV_T,0,T155*(1+SV_saRate)+IF(A156&gt;=SV_effStop,0,INDEX(SV_cpfSA,Q156)*INDEX(SV_cpfTot,Q156)*R156))</f>
        <v/>
      </c>
      <c r="U156" s="29">
        <f>IF(A156&gt;SV_T,0,U155*(1+SV_saRate)+IF(A156&gt;=SV_effStop,0,INDEX(SV_cpfMA,Q156)*INDEX(SV_cpfTot,Q156)*R156))</f>
        <v/>
      </c>
      <c r="V156" s="29">
        <f>IF(OR(OR(A156&lt;1,A156&gt;SV_T),A156&gt;=SV_effNeg),0,-(INDEX(SV_cpfOA,Q156)+INDEX(SV_cpfSA,Q156)+INDEX(SV_cpfMA,Q156))*INDEX(SV_cpfEmp,Q156)*R156)</f>
        <v/>
      </c>
      <c r="W156" s="29">
        <f>IF(A156&gt;=SV_sIdx,0,S156)</f>
        <v/>
      </c>
      <c r="X156" s="29">
        <f>IF(A156&gt;=SV_sIdx,0,T156)</f>
        <v/>
      </c>
      <c r="Y156" s="29">
        <f>IF(A156&gt;=SV_sIdx,MIN(U156,SV_maCap),U156)</f>
        <v/>
      </c>
      <c r="Z156" s="29">
        <f>IF(AND(SV_cpfOn,A156&gt;=SV_pIdx,A156&lt;=SV_T),12*SV_pay,0)</f>
        <v/>
      </c>
      <c r="AA156" s="29">
        <f>IF(A156&gt;SV_T,0,IF(SV_sp&gt;=0,IF(A156&lt;SV_sIdx,0,IF(A156=SV_sIdx,SV_R0,SV_lifeGrowth*AA155)),SV_lifeGrowth*AA155))</f>
        <v/>
      </c>
      <c r="AB156" s="29">
        <f>IF(A156&gt;SV_T,0,IF(AND(SV_sp&gt;=0,A156&lt;SV_sIdx),0,IF(AND(SV_sp&gt;=0,A156=SV_sIdx),SV_L0,SV_lifeGrowth*(AB155-Z156))))</f>
        <v/>
      </c>
      <c r="AC156" s="29">
        <f>W156+X156+AA156+Y156+IF(AA156&lt;0,0,AB156)</f>
        <v/>
      </c>
      <c r="AD156" s="29">
        <f>Z156+V156</f>
        <v/>
      </c>
      <c r="AE156" s="29">
        <f>IF(OR(A156&gt;SV_T,A156&gt;=SV_loanYears),0,MAX(0,AE155*(1+loanRate)-SV_inst))</f>
        <v/>
      </c>
      <c r="AF156" s="29">
        <f>IF(A156&gt;SV_T,0,AF155*(1+SV_savRate)+H156+I156+J156+K156+AD156)</f>
        <v/>
      </c>
      <c r="AG156" s="29">
        <f>IF(A156&gt;SV_T,0,MAX(0,N156+O156+P156+AC156+AF156-AE156))</f>
        <v/>
      </c>
      <c r="AH156" s="29">
        <f>IF(A156&gt;SV_T,0,N156+O156+AF156-MAX(0,AE156-(P156+AC156)))</f>
        <v/>
      </c>
      <c r="AI156" s="29">
        <f>IF(OR(OR(A156&lt;1,A156&gt;SV_T),A156-1&gt;=SV_retPay),0,SV_retMth*12+IF(A156=1,SV_retLump,0))</f>
        <v/>
      </c>
      <c r="AJ156" s="29">
        <f>IF(A156&gt;SV_T,0,(AJ155+AI156)*(1+investmentReturn))</f>
        <v/>
      </c>
      <c r="AK156" s="29">
        <f>IF(OR(OR(A156&lt;1,A156&gt;SV_T),A156-1&gt;=SV_goalPay),0,SV_goalMth*12+IF(A156=1,SV_goalLump,0))</f>
        <v/>
      </c>
      <c r="AL156" s="29">
        <f>IF(A156&gt;SV_T,0,(AL155+AK156)*(1+investmentReturn))</f>
        <v/>
      </c>
      <c r="AM156" s="29">
        <f>IF(OR(OR(A156&lt;1,A156&gt;SV_T),A156-1&gt;=SV_protPay),0,SV_protPrem)</f>
        <v/>
      </c>
      <c r="AN156" s="29">
        <f>IF(OR(A156=0,A156&gt;=SV_T),0,ROUND(MAX(0,AJ156),2)+ROUND(MAX(0,AL156),2))</f>
        <v/>
      </c>
      <c r="AO156" s="29">
        <f>IF(OR(A156&lt;1,A156&gt;SV_T),0,-(AI156+AK156+AM156)+IF(A156=SV_T,ROUND(MAX(0,AJ156),2)+ROUND(MAX(0,AL156),2),0))</f>
        <v/>
      </c>
      <c r="AP156" s="29">
        <f>IF(A156&gt;SV_T,0,AP155*(1+SV_savRate)+H156+I156+J156+K156+AD156+AO156)</f>
        <v/>
      </c>
      <c r="AQ156" s="29">
        <f>IF(A156&gt;SV_T,0,MAX(0,N156+O156+P156+AC156+AP156+AN156-AE156))</f>
        <v/>
      </c>
      <c r="AR156" s="29">
        <f>IF(A156&gt;SV_T,0,N156+O156+AP156+AN156-MAX(0,AE156-(P156+AC156)))</f>
        <v/>
      </c>
    </row>
    <row r="157">
      <c r="A157" s="61" t="n">
        <v>28</v>
      </c>
      <c r="B157" s="61">
        <f>SV_age+A157</f>
        <v/>
      </c>
      <c r="C157" s="61">
        <f>currentYear+A157</f>
        <v/>
      </c>
      <c r="D157" s="52">
        <f>A157&lt;=SV_T</f>
        <v/>
      </c>
      <c r="E157" s="60">
        <f>IF(AND(SV_inflOn,A157&gt;=SV_inflS,A157&lt;=SV_inflE),1+SV_inflRate,1+inflationRate)</f>
        <v/>
      </c>
      <c r="F157" s="60">
        <f>IF(A157&lt;=1,1,F156*E157)</f>
        <v/>
      </c>
      <c r="G157" s="60">
        <f>IF(AND(SV_incOn,A157&gt;=SV_incS,A157&lt;=SV_incE),1+SV_incImp,1)</f>
        <v/>
      </c>
      <c r="H157" s="29">
        <f>IF(OR(OR(A157&lt;1,A157&gt;SV_T),A157-1&gt;=SV_salCut),0,SV_sal0*(1+incomeGrowthRate)^(A157-1)*G157)</f>
        <v/>
      </c>
      <c r="I157" s="29">
        <f>IF(OR(A157&lt;1,A157&gt;SV_T),0,(-SV_exp0*F157-IF(A157&lt;=SV_loanYears,SV_inst,0)-IF(AND(SV_wdAmt&gt;0,A157=SV_wdYear),SV_wdAmt,0))*IF(AND(SV_expOn,A157&gt;=SV_expS,A157&lt;=SV_expE),1+SV_expImp,1))</f>
        <v/>
      </c>
      <c r="J157" s="29">
        <f>IF(OR(OR(A157&lt;1,A157&gt;SV_T),A157&gt;SV_loanYears),0,-SV_lifePremYr)</f>
        <v/>
      </c>
      <c r="K157" s="29">
        <f>IF(OR(A157&lt;1,A157&gt;SV_T),0,-SV_contrib)</f>
        <v/>
      </c>
      <c r="L157" s="60">
        <f>IF(AND(SV_crashOn,A157=SV_crashYr),SV_crashF,1)</f>
        <v/>
      </c>
      <c r="M157" s="60">
        <f>IF(AND(SV_ccyOn,A157=SV_ccyYr),SV_ccyF,1)</f>
        <v/>
      </c>
      <c r="N157" s="29">
        <f>IF(A157&gt;SV_T,0,N156*(1+interestRate)*L157*M157)</f>
        <v/>
      </c>
      <c r="O157" s="29">
        <f>IF(A157&gt;SV_T,0,(O156+SV_contrib)*(1+investmentReturn)*L157*M157)</f>
        <v/>
      </c>
      <c r="P157" s="29">
        <f>IF(A157&gt;SV_T,0,P156*(1+SV_propRate)*L157)</f>
        <v/>
      </c>
      <c r="Q157" s="46">
        <f>MATCH(SV_age+A157-1,SV_cpfLower,1)</f>
        <v/>
      </c>
      <c r="R157" s="29">
        <f>IF(OR(OR(A157&lt;1,A157&gt;SV_T),NOT(SV_cpfOn)),0,MIN(SV_sal0*(1+incomeGrowthRate)^(A157-1)*G157,SV_owCap))</f>
        <v/>
      </c>
      <c r="S157" s="29">
        <f>IF(A157&gt;SV_T,0,S156*(1+SV_oaRate)+IF(A157&gt;=SV_effStop,0,INDEX(SV_cpfOA,Q157)*INDEX(SV_cpfTot,Q157)*R157))</f>
        <v/>
      </c>
      <c r="T157" s="29">
        <f>IF(A157&gt;SV_T,0,T156*(1+SV_saRate)+IF(A157&gt;=SV_effStop,0,INDEX(SV_cpfSA,Q157)*INDEX(SV_cpfTot,Q157)*R157))</f>
        <v/>
      </c>
      <c r="U157" s="29">
        <f>IF(A157&gt;SV_T,0,U156*(1+SV_saRate)+IF(A157&gt;=SV_effStop,0,INDEX(SV_cpfMA,Q157)*INDEX(SV_cpfTot,Q157)*R157))</f>
        <v/>
      </c>
      <c r="V157" s="29">
        <f>IF(OR(OR(A157&lt;1,A157&gt;SV_T),A157&gt;=SV_effNeg),0,-(INDEX(SV_cpfOA,Q157)+INDEX(SV_cpfSA,Q157)+INDEX(SV_cpfMA,Q157))*INDEX(SV_cpfEmp,Q157)*R157)</f>
        <v/>
      </c>
      <c r="W157" s="29">
        <f>IF(A157&gt;=SV_sIdx,0,S157)</f>
        <v/>
      </c>
      <c r="X157" s="29">
        <f>IF(A157&gt;=SV_sIdx,0,T157)</f>
        <v/>
      </c>
      <c r="Y157" s="29">
        <f>IF(A157&gt;=SV_sIdx,MIN(U157,SV_maCap),U157)</f>
        <v/>
      </c>
      <c r="Z157" s="29">
        <f>IF(AND(SV_cpfOn,A157&gt;=SV_pIdx,A157&lt;=SV_T),12*SV_pay,0)</f>
        <v/>
      </c>
      <c r="AA157" s="29">
        <f>IF(A157&gt;SV_T,0,IF(SV_sp&gt;=0,IF(A157&lt;SV_sIdx,0,IF(A157=SV_sIdx,SV_R0,SV_lifeGrowth*AA156)),SV_lifeGrowth*AA156))</f>
        <v/>
      </c>
      <c r="AB157" s="29">
        <f>IF(A157&gt;SV_T,0,IF(AND(SV_sp&gt;=0,A157&lt;SV_sIdx),0,IF(AND(SV_sp&gt;=0,A157=SV_sIdx),SV_L0,SV_lifeGrowth*(AB156-Z157))))</f>
        <v/>
      </c>
      <c r="AC157" s="29">
        <f>W157+X157+AA157+Y157+IF(AA157&lt;0,0,AB157)</f>
        <v/>
      </c>
      <c r="AD157" s="29">
        <f>Z157+V157</f>
        <v/>
      </c>
      <c r="AE157" s="29">
        <f>IF(OR(A157&gt;SV_T,A157&gt;=SV_loanYears),0,MAX(0,AE156*(1+loanRate)-SV_inst))</f>
        <v/>
      </c>
      <c r="AF157" s="29">
        <f>IF(A157&gt;SV_T,0,AF156*(1+SV_savRate)+H157+I157+J157+K157+AD157)</f>
        <v/>
      </c>
      <c r="AG157" s="29">
        <f>IF(A157&gt;SV_T,0,MAX(0,N157+O157+P157+AC157+AF157-AE157))</f>
        <v/>
      </c>
      <c r="AH157" s="29">
        <f>IF(A157&gt;SV_T,0,N157+O157+AF157-MAX(0,AE157-(P157+AC157)))</f>
        <v/>
      </c>
      <c r="AI157" s="29">
        <f>IF(OR(OR(A157&lt;1,A157&gt;SV_T),A157-1&gt;=SV_retPay),0,SV_retMth*12+IF(A157=1,SV_retLump,0))</f>
        <v/>
      </c>
      <c r="AJ157" s="29">
        <f>IF(A157&gt;SV_T,0,(AJ156+AI157)*(1+investmentReturn))</f>
        <v/>
      </c>
      <c r="AK157" s="29">
        <f>IF(OR(OR(A157&lt;1,A157&gt;SV_T),A157-1&gt;=SV_goalPay),0,SV_goalMth*12+IF(A157=1,SV_goalLump,0))</f>
        <v/>
      </c>
      <c r="AL157" s="29">
        <f>IF(A157&gt;SV_T,0,(AL156+AK157)*(1+investmentReturn))</f>
        <v/>
      </c>
      <c r="AM157" s="29">
        <f>IF(OR(OR(A157&lt;1,A157&gt;SV_T),A157-1&gt;=SV_protPay),0,SV_protPrem)</f>
        <v/>
      </c>
      <c r="AN157" s="29">
        <f>IF(OR(A157=0,A157&gt;=SV_T),0,ROUND(MAX(0,AJ157),2)+ROUND(MAX(0,AL157),2))</f>
        <v/>
      </c>
      <c r="AO157" s="29">
        <f>IF(OR(A157&lt;1,A157&gt;SV_T),0,-(AI157+AK157+AM157)+IF(A157=SV_T,ROUND(MAX(0,AJ157),2)+ROUND(MAX(0,AL157),2),0))</f>
        <v/>
      </c>
      <c r="AP157" s="29">
        <f>IF(A157&gt;SV_T,0,AP156*(1+SV_savRate)+H157+I157+J157+K157+AD157+AO157)</f>
        <v/>
      </c>
      <c r="AQ157" s="29">
        <f>IF(A157&gt;SV_T,0,MAX(0,N157+O157+P157+AC157+AP157+AN157-AE157))</f>
        <v/>
      </c>
      <c r="AR157" s="29">
        <f>IF(A157&gt;SV_T,0,N157+O157+AP157+AN157-MAX(0,AE157-(P157+AC157)))</f>
        <v/>
      </c>
    </row>
    <row r="158">
      <c r="A158" s="61" t="n">
        <v>29</v>
      </c>
      <c r="B158" s="61">
        <f>SV_age+A158</f>
        <v/>
      </c>
      <c r="C158" s="61">
        <f>currentYear+A158</f>
        <v/>
      </c>
      <c r="D158" s="52">
        <f>A158&lt;=SV_T</f>
        <v/>
      </c>
      <c r="E158" s="60">
        <f>IF(AND(SV_inflOn,A158&gt;=SV_inflS,A158&lt;=SV_inflE),1+SV_inflRate,1+inflationRate)</f>
        <v/>
      </c>
      <c r="F158" s="60">
        <f>IF(A158&lt;=1,1,F157*E158)</f>
        <v/>
      </c>
      <c r="G158" s="60">
        <f>IF(AND(SV_incOn,A158&gt;=SV_incS,A158&lt;=SV_incE),1+SV_incImp,1)</f>
        <v/>
      </c>
      <c r="H158" s="29">
        <f>IF(OR(OR(A158&lt;1,A158&gt;SV_T),A158-1&gt;=SV_salCut),0,SV_sal0*(1+incomeGrowthRate)^(A158-1)*G158)</f>
        <v/>
      </c>
      <c r="I158" s="29">
        <f>IF(OR(A158&lt;1,A158&gt;SV_T),0,(-SV_exp0*F158-IF(A158&lt;=SV_loanYears,SV_inst,0)-IF(AND(SV_wdAmt&gt;0,A158=SV_wdYear),SV_wdAmt,0))*IF(AND(SV_expOn,A158&gt;=SV_expS,A158&lt;=SV_expE),1+SV_expImp,1))</f>
        <v/>
      </c>
      <c r="J158" s="29">
        <f>IF(OR(OR(A158&lt;1,A158&gt;SV_T),A158&gt;SV_loanYears),0,-SV_lifePremYr)</f>
        <v/>
      </c>
      <c r="K158" s="29">
        <f>IF(OR(A158&lt;1,A158&gt;SV_T),0,-SV_contrib)</f>
        <v/>
      </c>
      <c r="L158" s="60">
        <f>IF(AND(SV_crashOn,A158=SV_crashYr),SV_crashF,1)</f>
        <v/>
      </c>
      <c r="M158" s="60">
        <f>IF(AND(SV_ccyOn,A158=SV_ccyYr),SV_ccyF,1)</f>
        <v/>
      </c>
      <c r="N158" s="29">
        <f>IF(A158&gt;SV_T,0,N157*(1+interestRate)*L158*M158)</f>
        <v/>
      </c>
      <c r="O158" s="29">
        <f>IF(A158&gt;SV_T,0,(O157+SV_contrib)*(1+investmentReturn)*L158*M158)</f>
        <v/>
      </c>
      <c r="P158" s="29">
        <f>IF(A158&gt;SV_T,0,P157*(1+SV_propRate)*L158)</f>
        <v/>
      </c>
      <c r="Q158" s="46">
        <f>MATCH(SV_age+A158-1,SV_cpfLower,1)</f>
        <v/>
      </c>
      <c r="R158" s="29">
        <f>IF(OR(OR(A158&lt;1,A158&gt;SV_T),NOT(SV_cpfOn)),0,MIN(SV_sal0*(1+incomeGrowthRate)^(A158-1)*G158,SV_owCap))</f>
        <v/>
      </c>
      <c r="S158" s="29">
        <f>IF(A158&gt;SV_T,0,S157*(1+SV_oaRate)+IF(A158&gt;=SV_effStop,0,INDEX(SV_cpfOA,Q158)*INDEX(SV_cpfTot,Q158)*R158))</f>
        <v/>
      </c>
      <c r="T158" s="29">
        <f>IF(A158&gt;SV_T,0,T157*(1+SV_saRate)+IF(A158&gt;=SV_effStop,0,INDEX(SV_cpfSA,Q158)*INDEX(SV_cpfTot,Q158)*R158))</f>
        <v/>
      </c>
      <c r="U158" s="29">
        <f>IF(A158&gt;SV_T,0,U157*(1+SV_saRate)+IF(A158&gt;=SV_effStop,0,INDEX(SV_cpfMA,Q158)*INDEX(SV_cpfTot,Q158)*R158))</f>
        <v/>
      </c>
      <c r="V158" s="29">
        <f>IF(OR(OR(A158&lt;1,A158&gt;SV_T),A158&gt;=SV_effNeg),0,-(INDEX(SV_cpfOA,Q158)+INDEX(SV_cpfSA,Q158)+INDEX(SV_cpfMA,Q158))*INDEX(SV_cpfEmp,Q158)*R158)</f>
        <v/>
      </c>
      <c r="W158" s="29">
        <f>IF(A158&gt;=SV_sIdx,0,S158)</f>
        <v/>
      </c>
      <c r="X158" s="29">
        <f>IF(A158&gt;=SV_sIdx,0,T158)</f>
        <v/>
      </c>
      <c r="Y158" s="29">
        <f>IF(A158&gt;=SV_sIdx,MIN(U158,SV_maCap),U158)</f>
        <v/>
      </c>
      <c r="Z158" s="29">
        <f>IF(AND(SV_cpfOn,A158&gt;=SV_pIdx,A158&lt;=SV_T),12*SV_pay,0)</f>
        <v/>
      </c>
      <c r="AA158" s="29">
        <f>IF(A158&gt;SV_T,0,IF(SV_sp&gt;=0,IF(A158&lt;SV_sIdx,0,IF(A158=SV_sIdx,SV_R0,SV_lifeGrowth*AA157)),SV_lifeGrowth*AA157))</f>
        <v/>
      </c>
      <c r="AB158" s="29">
        <f>IF(A158&gt;SV_T,0,IF(AND(SV_sp&gt;=0,A158&lt;SV_sIdx),0,IF(AND(SV_sp&gt;=0,A158=SV_sIdx),SV_L0,SV_lifeGrowth*(AB157-Z158))))</f>
        <v/>
      </c>
      <c r="AC158" s="29">
        <f>W158+X158+AA158+Y158+IF(AA158&lt;0,0,AB158)</f>
        <v/>
      </c>
      <c r="AD158" s="29">
        <f>Z158+V158</f>
        <v/>
      </c>
      <c r="AE158" s="29">
        <f>IF(OR(A158&gt;SV_T,A158&gt;=SV_loanYears),0,MAX(0,AE157*(1+loanRate)-SV_inst))</f>
        <v/>
      </c>
      <c r="AF158" s="29">
        <f>IF(A158&gt;SV_T,0,AF157*(1+SV_savRate)+H158+I158+J158+K158+AD158)</f>
        <v/>
      </c>
      <c r="AG158" s="29">
        <f>IF(A158&gt;SV_T,0,MAX(0,N158+O158+P158+AC158+AF158-AE158))</f>
        <v/>
      </c>
      <c r="AH158" s="29">
        <f>IF(A158&gt;SV_T,0,N158+O158+AF158-MAX(0,AE158-(P158+AC158)))</f>
        <v/>
      </c>
      <c r="AI158" s="29">
        <f>IF(OR(OR(A158&lt;1,A158&gt;SV_T),A158-1&gt;=SV_retPay),0,SV_retMth*12+IF(A158=1,SV_retLump,0))</f>
        <v/>
      </c>
      <c r="AJ158" s="29">
        <f>IF(A158&gt;SV_T,0,(AJ157+AI158)*(1+investmentReturn))</f>
        <v/>
      </c>
      <c r="AK158" s="29">
        <f>IF(OR(OR(A158&lt;1,A158&gt;SV_T),A158-1&gt;=SV_goalPay),0,SV_goalMth*12+IF(A158=1,SV_goalLump,0))</f>
        <v/>
      </c>
      <c r="AL158" s="29">
        <f>IF(A158&gt;SV_T,0,(AL157+AK158)*(1+investmentReturn))</f>
        <v/>
      </c>
      <c r="AM158" s="29">
        <f>IF(OR(OR(A158&lt;1,A158&gt;SV_T),A158-1&gt;=SV_protPay),0,SV_protPrem)</f>
        <v/>
      </c>
      <c r="AN158" s="29">
        <f>IF(OR(A158=0,A158&gt;=SV_T),0,ROUND(MAX(0,AJ158),2)+ROUND(MAX(0,AL158),2))</f>
        <v/>
      </c>
      <c r="AO158" s="29">
        <f>IF(OR(A158&lt;1,A158&gt;SV_T),0,-(AI158+AK158+AM158)+IF(A158=SV_T,ROUND(MAX(0,AJ158),2)+ROUND(MAX(0,AL158),2),0))</f>
        <v/>
      </c>
      <c r="AP158" s="29">
        <f>IF(A158&gt;SV_T,0,AP157*(1+SV_savRate)+H158+I158+J158+K158+AD158+AO158)</f>
        <v/>
      </c>
      <c r="AQ158" s="29">
        <f>IF(A158&gt;SV_T,0,MAX(0,N158+O158+P158+AC158+AP158+AN158-AE158))</f>
        <v/>
      </c>
      <c r="AR158" s="29">
        <f>IF(A158&gt;SV_T,0,N158+O158+AP158+AN158-MAX(0,AE158-(P158+AC158)))</f>
        <v/>
      </c>
    </row>
    <row r="159">
      <c r="A159" s="61" t="n">
        <v>30</v>
      </c>
      <c r="B159" s="61">
        <f>SV_age+A159</f>
        <v/>
      </c>
      <c r="C159" s="61">
        <f>currentYear+A159</f>
        <v/>
      </c>
      <c r="D159" s="52">
        <f>A159&lt;=SV_T</f>
        <v/>
      </c>
      <c r="E159" s="60">
        <f>IF(AND(SV_inflOn,A159&gt;=SV_inflS,A159&lt;=SV_inflE),1+SV_inflRate,1+inflationRate)</f>
        <v/>
      </c>
      <c r="F159" s="60">
        <f>IF(A159&lt;=1,1,F158*E159)</f>
        <v/>
      </c>
      <c r="G159" s="60">
        <f>IF(AND(SV_incOn,A159&gt;=SV_incS,A159&lt;=SV_incE),1+SV_incImp,1)</f>
        <v/>
      </c>
      <c r="H159" s="29">
        <f>IF(OR(OR(A159&lt;1,A159&gt;SV_T),A159-1&gt;=SV_salCut),0,SV_sal0*(1+incomeGrowthRate)^(A159-1)*G159)</f>
        <v/>
      </c>
      <c r="I159" s="29">
        <f>IF(OR(A159&lt;1,A159&gt;SV_T),0,(-SV_exp0*F159-IF(A159&lt;=SV_loanYears,SV_inst,0)-IF(AND(SV_wdAmt&gt;0,A159=SV_wdYear),SV_wdAmt,0))*IF(AND(SV_expOn,A159&gt;=SV_expS,A159&lt;=SV_expE),1+SV_expImp,1))</f>
        <v/>
      </c>
      <c r="J159" s="29">
        <f>IF(OR(OR(A159&lt;1,A159&gt;SV_T),A159&gt;SV_loanYears),0,-SV_lifePremYr)</f>
        <v/>
      </c>
      <c r="K159" s="29">
        <f>IF(OR(A159&lt;1,A159&gt;SV_T),0,-SV_contrib)</f>
        <v/>
      </c>
      <c r="L159" s="60">
        <f>IF(AND(SV_crashOn,A159=SV_crashYr),SV_crashF,1)</f>
        <v/>
      </c>
      <c r="M159" s="60">
        <f>IF(AND(SV_ccyOn,A159=SV_ccyYr),SV_ccyF,1)</f>
        <v/>
      </c>
      <c r="N159" s="29">
        <f>IF(A159&gt;SV_T,0,N158*(1+interestRate)*L159*M159)</f>
        <v/>
      </c>
      <c r="O159" s="29">
        <f>IF(A159&gt;SV_T,0,(O158+SV_contrib)*(1+investmentReturn)*L159*M159)</f>
        <v/>
      </c>
      <c r="P159" s="29">
        <f>IF(A159&gt;SV_T,0,P158*(1+SV_propRate)*L159)</f>
        <v/>
      </c>
      <c r="Q159" s="46">
        <f>MATCH(SV_age+A159-1,SV_cpfLower,1)</f>
        <v/>
      </c>
      <c r="R159" s="29">
        <f>IF(OR(OR(A159&lt;1,A159&gt;SV_T),NOT(SV_cpfOn)),0,MIN(SV_sal0*(1+incomeGrowthRate)^(A159-1)*G159,SV_owCap))</f>
        <v/>
      </c>
      <c r="S159" s="29">
        <f>IF(A159&gt;SV_T,0,S158*(1+SV_oaRate)+IF(A159&gt;=SV_effStop,0,INDEX(SV_cpfOA,Q159)*INDEX(SV_cpfTot,Q159)*R159))</f>
        <v/>
      </c>
      <c r="T159" s="29">
        <f>IF(A159&gt;SV_T,0,T158*(1+SV_saRate)+IF(A159&gt;=SV_effStop,0,INDEX(SV_cpfSA,Q159)*INDEX(SV_cpfTot,Q159)*R159))</f>
        <v/>
      </c>
      <c r="U159" s="29">
        <f>IF(A159&gt;SV_T,0,U158*(1+SV_saRate)+IF(A159&gt;=SV_effStop,0,INDEX(SV_cpfMA,Q159)*INDEX(SV_cpfTot,Q159)*R159))</f>
        <v/>
      </c>
      <c r="V159" s="29">
        <f>IF(OR(OR(A159&lt;1,A159&gt;SV_T),A159&gt;=SV_effNeg),0,-(INDEX(SV_cpfOA,Q159)+INDEX(SV_cpfSA,Q159)+INDEX(SV_cpfMA,Q159))*INDEX(SV_cpfEmp,Q159)*R159)</f>
        <v/>
      </c>
      <c r="W159" s="29">
        <f>IF(A159&gt;=SV_sIdx,0,S159)</f>
        <v/>
      </c>
      <c r="X159" s="29">
        <f>IF(A159&gt;=SV_sIdx,0,T159)</f>
        <v/>
      </c>
      <c r="Y159" s="29">
        <f>IF(A159&gt;=SV_sIdx,MIN(U159,SV_maCap),U159)</f>
        <v/>
      </c>
      <c r="Z159" s="29">
        <f>IF(AND(SV_cpfOn,A159&gt;=SV_pIdx,A159&lt;=SV_T),12*SV_pay,0)</f>
        <v/>
      </c>
      <c r="AA159" s="29">
        <f>IF(A159&gt;SV_T,0,IF(SV_sp&gt;=0,IF(A159&lt;SV_sIdx,0,IF(A159=SV_sIdx,SV_R0,SV_lifeGrowth*AA158)),SV_lifeGrowth*AA158))</f>
        <v/>
      </c>
      <c r="AB159" s="29">
        <f>IF(A159&gt;SV_T,0,IF(AND(SV_sp&gt;=0,A159&lt;SV_sIdx),0,IF(AND(SV_sp&gt;=0,A159=SV_sIdx),SV_L0,SV_lifeGrowth*(AB158-Z159))))</f>
        <v/>
      </c>
      <c r="AC159" s="29">
        <f>W159+X159+AA159+Y159+IF(AA159&lt;0,0,AB159)</f>
        <v/>
      </c>
      <c r="AD159" s="29">
        <f>Z159+V159</f>
        <v/>
      </c>
      <c r="AE159" s="29">
        <f>IF(OR(A159&gt;SV_T,A159&gt;=SV_loanYears),0,MAX(0,AE158*(1+loanRate)-SV_inst))</f>
        <v/>
      </c>
      <c r="AF159" s="29">
        <f>IF(A159&gt;SV_T,0,AF158*(1+SV_savRate)+H159+I159+J159+K159+AD159)</f>
        <v/>
      </c>
      <c r="AG159" s="29">
        <f>IF(A159&gt;SV_T,0,MAX(0,N159+O159+P159+AC159+AF159-AE159))</f>
        <v/>
      </c>
      <c r="AH159" s="29">
        <f>IF(A159&gt;SV_T,0,N159+O159+AF159-MAX(0,AE159-(P159+AC159)))</f>
        <v/>
      </c>
      <c r="AI159" s="29">
        <f>IF(OR(OR(A159&lt;1,A159&gt;SV_T),A159-1&gt;=SV_retPay),0,SV_retMth*12+IF(A159=1,SV_retLump,0))</f>
        <v/>
      </c>
      <c r="AJ159" s="29">
        <f>IF(A159&gt;SV_T,0,(AJ158+AI159)*(1+investmentReturn))</f>
        <v/>
      </c>
      <c r="AK159" s="29">
        <f>IF(OR(OR(A159&lt;1,A159&gt;SV_T),A159-1&gt;=SV_goalPay),0,SV_goalMth*12+IF(A159=1,SV_goalLump,0))</f>
        <v/>
      </c>
      <c r="AL159" s="29">
        <f>IF(A159&gt;SV_T,0,(AL158+AK159)*(1+investmentReturn))</f>
        <v/>
      </c>
      <c r="AM159" s="29">
        <f>IF(OR(OR(A159&lt;1,A159&gt;SV_T),A159-1&gt;=SV_protPay),0,SV_protPrem)</f>
        <v/>
      </c>
      <c r="AN159" s="29">
        <f>IF(OR(A159=0,A159&gt;=SV_T),0,ROUND(MAX(0,AJ159),2)+ROUND(MAX(0,AL159),2))</f>
        <v/>
      </c>
      <c r="AO159" s="29">
        <f>IF(OR(A159&lt;1,A159&gt;SV_T),0,-(AI159+AK159+AM159)+IF(A159=SV_T,ROUND(MAX(0,AJ159),2)+ROUND(MAX(0,AL159),2),0))</f>
        <v/>
      </c>
      <c r="AP159" s="29">
        <f>IF(A159&gt;SV_T,0,AP158*(1+SV_savRate)+H159+I159+J159+K159+AD159+AO159)</f>
        <v/>
      </c>
      <c r="AQ159" s="29">
        <f>IF(A159&gt;SV_T,0,MAX(0,N159+O159+P159+AC159+AP159+AN159-AE159))</f>
        <v/>
      </c>
      <c r="AR159" s="29">
        <f>IF(A159&gt;SV_T,0,N159+O159+AP159+AN159-MAX(0,AE159-(P159+AC159)))</f>
        <v/>
      </c>
    </row>
    <row r="160">
      <c r="A160" s="61" t="n">
        <v>31</v>
      </c>
      <c r="B160" s="61">
        <f>SV_age+A160</f>
        <v/>
      </c>
      <c r="C160" s="61">
        <f>currentYear+A160</f>
        <v/>
      </c>
      <c r="D160" s="52">
        <f>A160&lt;=SV_T</f>
        <v/>
      </c>
      <c r="E160" s="60">
        <f>IF(AND(SV_inflOn,A160&gt;=SV_inflS,A160&lt;=SV_inflE),1+SV_inflRate,1+inflationRate)</f>
        <v/>
      </c>
      <c r="F160" s="60">
        <f>IF(A160&lt;=1,1,F159*E160)</f>
        <v/>
      </c>
      <c r="G160" s="60">
        <f>IF(AND(SV_incOn,A160&gt;=SV_incS,A160&lt;=SV_incE),1+SV_incImp,1)</f>
        <v/>
      </c>
      <c r="H160" s="29">
        <f>IF(OR(OR(A160&lt;1,A160&gt;SV_T),A160-1&gt;=SV_salCut),0,SV_sal0*(1+incomeGrowthRate)^(A160-1)*G160)</f>
        <v/>
      </c>
      <c r="I160" s="29">
        <f>IF(OR(A160&lt;1,A160&gt;SV_T),0,(-SV_exp0*F160-IF(A160&lt;=SV_loanYears,SV_inst,0)-IF(AND(SV_wdAmt&gt;0,A160=SV_wdYear),SV_wdAmt,0))*IF(AND(SV_expOn,A160&gt;=SV_expS,A160&lt;=SV_expE),1+SV_expImp,1))</f>
        <v/>
      </c>
      <c r="J160" s="29">
        <f>IF(OR(OR(A160&lt;1,A160&gt;SV_T),A160&gt;SV_loanYears),0,-SV_lifePremYr)</f>
        <v/>
      </c>
      <c r="K160" s="29">
        <f>IF(OR(A160&lt;1,A160&gt;SV_T),0,-SV_contrib)</f>
        <v/>
      </c>
      <c r="L160" s="60">
        <f>IF(AND(SV_crashOn,A160=SV_crashYr),SV_crashF,1)</f>
        <v/>
      </c>
      <c r="M160" s="60">
        <f>IF(AND(SV_ccyOn,A160=SV_ccyYr),SV_ccyF,1)</f>
        <v/>
      </c>
      <c r="N160" s="29">
        <f>IF(A160&gt;SV_T,0,N159*(1+interestRate)*L160*M160)</f>
        <v/>
      </c>
      <c r="O160" s="29">
        <f>IF(A160&gt;SV_T,0,(O159+SV_contrib)*(1+investmentReturn)*L160*M160)</f>
        <v/>
      </c>
      <c r="P160" s="29">
        <f>IF(A160&gt;SV_T,0,P159*(1+SV_propRate)*L160)</f>
        <v/>
      </c>
      <c r="Q160" s="46">
        <f>MATCH(SV_age+A160-1,SV_cpfLower,1)</f>
        <v/>
      </c>
      <c r="R160" s="29">
        <f>IF(OR(OR(A160&lt;1,A160&gt;SV_T),NOT(SV_cpfOn)),0,MIN(SV_sal0*(1+incomeGrowthRate)^(A160-1)*G160,SV_owCap))</f>
        <v/>
      </c>
      <c r="S160" s="29">
        <f>IF(A160&gt;SV_T,0,S159*(1+SV_oaRate)+IF(A160&gt;=SV_effStop,0,INDEX(SV_cpfOA,Q160)*INDEX(SV_cpfTot,Q160)*R160))</f>
        <v/>
      </c>
      <c r="T160" s="29">
        <f>IF(A160&gt;SV_T,0,T159*(1+SV_saRate)+IF(A160&gt;=SV_effStop,0,INDEX(SV_cpfSA,Q160)*INDEX(SV_cpfTot,Q160)*R160))</f>
        <v/>
      </c>
      <c r="U160" s="29">
        <f>IF(A160&gt;SV_T,0,U159*(1+SV_saRate)+IF(A160&gt;=SV_effStop,0,INDEX(SV_cpfMA,Q160)*INDEX(SV_cpfTot,Q160)*R160))</f>
        <v/>
      </c>
      <c r="V160" s="29">
        <f>IF(OR(OR(A160&lt;1,A160&gt;SV_T),A160&gt;=SV_effNeg),0,-(INDEX(SV_cpfOA,Q160)+INDEX(SV_cpfSA,Q160)+INDEX(SV_cpfMA,Q160))*INDEX(SV_cpfEmp,Q160)*R160)</f>
        <v/>
      </c>
      <c r="W160" s="29">
        <f>IF(A160&gt;=SV_sIdx,0,S160)</f>
        <v/>
      </c>
      <c r="X160" s="29">
        <f>IF(A160&gt;=SV_sIdx,0,T160)</f>
        <v/>
      </c>
      <c r="Y160" s="29">
        <f>IF(A160&gt;=SV_sIdx,MIN(U160,SV_maCap),U160)</f>
        <v/>
      </c>
      <c r="Z160" s="29">
        <f>IF(AND(SV_cpfOn,A160&gt;=SV_pIdx,A160&lt;=SV_T),12*SV_pay,0)</f>
        <v/>
      </c>
      <c r="AA160" s="29">
        <f>IF(A160&gt;SV_T,0,IF(SV_sp&gt;=0,IF(A160&lt;SV_sIdx,0,IF(A160=SV_sIdx,SV_R0,SV_lifeGrowth*AA159)),SV_lifeGrowth*AA159))</f>
        <v/>
      </c>
      <c r="AB160" s="29">
        <f>IF(A160&gt;SV_T,0,IF(AND(SV_sp&gt;=0,A160&lt;SV_sIdx),0,IF(AND(SV_sp&gt;=0,A160=SV_sIdx),SV_L0,SV_lifeGrowth*(AB159-Z160))))</f>
        <v/>
      </c>
      <c r="AC160" s="29">
        <f>W160+X160+AA160+Y160+IF(AA160&lt;0,0,AB160)</f>
        <v/>
      </c>
      <c r="AD160" s="29">
        <f>Z160+V160</f>
        <v/>
      </c>
      <c r="AE160" s="29">
        <f>IF(OR(A160&gt;SV_T,A160&gt;=SV_loanYears),0,MAX(0,AE159*(1+loanRate)-SV_inst))</f>
        <v/>
      </c>
      <c r="AF160" s="29">
        <f>IF(A160&gt;SV_T,0,AF159*(1+SV_savRate)+H160+I160+J160+K160+AD160)</f>
        <v/>
      </c>
      <c r="AG160" s="29">
        <f>IF(A160&gt;SV_T,0,MAX(0,N160+O160+P160+AC160+AF160-AE160))</f>
        <v/>
      </c>
      <c r="AH160" s="29">
        <f>IF(A160&gt;SV_T,0,N160+O160+AF160-MAX(0,AE160-(P160+AC160)))</f>
        <v/>
      </c>
      <c r="AI160" s="29">
        <f>IF(OR(OR(A160&lt;1,A160&gt;SV_T),A160-1&gt;=SV_retPay),0,SV_retMth*12+IF(A160=1,SV_retLump,0))</f>
        <v/>
      </c>
      <c r="AJ160" s="29">
        <f>IF(A160&gt;SV_T,0,(AJ159+AI160)*(1+investmentReturn))</f>
        <v/>
      </c>
      <c r="AK160" s="29">
        <f>IF(OR(OR(A160&lt;1,A160&gt;SV_T),A160-1&gt;=SV_goalPay),0,SV_goalMth*12+IF(A160=1,SV_goalLump,0))</f>
        <v/>
      </c>
      <c r="AL160" s="29">
        <f>IF(A160&gt;SV_T,0,(AL159+AK160)*(1+investmentReturn))</f>
        <v/>
      </c>
      <c r="AM160" s="29">
        <f>IF(OR(OR(A160&lt;1,A160&gt;SV_T),A160-1&gt;=SV_protPay),0,SV_protPrem)</f>
        <v/>
      </c>
      <c r="AN160" s="29">
        <f>IF(OR(A160=0,A160&gt;=SV_T),0,ROUND(MAX(0,AJ160),2)+ROUND(MAX(0,AL160),2))</f>
        <v/>
      </c>
      <c r="AO160" s="29">
        <f>IF(OR(A160&lt;1,A160&gt;SV_T),0,-(AI160+AK160+AM160)+IF(A160=SV_T,ROUND(MAX(0,AJ160),2)+ROUND(MAX(0,AL160),2),0))</f>
        <v/>
      </c>
      <c r="AP160" s="29">
        <f>IF(A160&gt;SV_T,0,AP159*(1+SV_savRate)+H160+I160+J160+K160+AD160+AO160)</f>
        <v/>
      </c>
      <c r="AQ160" s="29">
        <f>IF(A160&gt;SV_T,0,MAX(0,N160+O160+P160+AC160+AP160+AN160-AE160))</f>
        <v/>
      </c>
      <c r="AR160" s="29">
        <f>IF(A160&gt;SV_T,0,N160+O160+AP160+AN160-MAX(0,AE160-(P160+AC160)))</f>
        <v/>
      </c>
    </row>
    <row r="161">
      <c r="A161" s="61" t="n">
        <v>32</v>
      </c>
      <c r="B161" s="61">
        <f>SV_age+A161</f>
        <v/>
      </c>
      <c r="C161" s="61">
        <f>currentYear+A161</f>
        <v/>
      </c>
      <c r="D161" s="52">
        <f>A161&lt;=SV_T</f>
        <v/>
      </c>
      <c r="E161" s="60">
        <f>IF(AND(SV_inflOn,A161&gt;=SV_inflS,A161&lt;=SV_inflE),1+SV_inflRate,1+inflationRate)</f>
        <v/>
      </c>
      <c r="F161" s="60">
        <f>IF(A161&lt;=1,1,F160*E161)</f>
        <v/>
      </c>
      <c r="G161" s="60">
        <f>IF(AND(SV_incOn,A161&gt;=SV_incS,A161&lt;=SV_incE),1+SV_incImp,1)</f>
        <v/>
      </c>
      <c r="H161" s="29">
        <f>IF(OR(OR(A161&lt;1,A161&gt;SV_T),A161-1&gt;=SV_salCut),0,SV_sal0*(1+incomeGrowthRate)^(A161-1)*G161)</f>
        <v/>
      </c>
      <c r="I161" s="29">
        <f>IF(OR(A161&lt;1,A161&gt;SV_T),0,(-SV_exp0*F161-IF(A161&lt;=SV_loanYears,SV_inst,0)-IF(AND(SV_wdAmt&gt;0,A161=SV_wdYear),SV_wdAmt,0))*IF(AND(SV_expOn,A161&gt;=SV_expS,A161&lt;=SV_expE),1+SV_expImp,1))</f>
        <v/>
      </c>
      <c r="J161" s="29">
        <f>IF(OR(OR(A161&lt;1,A161&gt;SV_T),A161&gt;SV_loanYears),0,-SV_lifePremYr)</f>
        <v/>
      </c>
      <c r="K161" s="29">
        <f>IF(OR(A161&lt;1,A161&gt;SV_T),0,-SV_contrib)</f>
        <v/>
      </c>
      <c r="L161" s="60">
        <f>IF(AND(SV_crashOn,A161=SV_crashYr),SV_crashF,1)</f>
        <v/>
      </c>
      <c r="M161" s="60">
        <f>IF(AND(SV_ccyOn,A161=SV_ccyYr),SV_ccyF,1)</f>
        <v/>
      </c>
      <c r="N161" s="29">
        <f>IF(A161&gt;SV_T,0,N160*(1+interestRate)*L161*M161)</f>
        <v/>
      </c>
      <c r="O161" s="29">
        <f>IF(A161&gt;SV_T,0,(O160+SV_contrib)*(1+investmentReturn)*L161*M161)</f>
        <v/>
      </c>
      <c r="P161" s="29">
        <f>IF(A161&gt;SV_T,0,P160*(1+SV_propRate)*L161)</f>
        <v/>
      </c>
      <c r="Q161" s="46">
        <f>MATCH(SV_age+A161-1,SV_cpfLower,1)</f>
        <v/>
      </c>
      <c r="R161" s="29">
        <f>IF(OR(OR(A161&lt;1,A161&gt;SV_T),NOT(SV_cpfOn)),0,MIN(SV_sal0*(1+incomeGrowthRate)^(A161-1)*G161,SV_owCap))</f>
        <v/>
      </c>
      <c r="S161" s="29">
        <f>IF(A161&gt;SV_T,0,S160*(1+SV_oaRate)+IF(A161&gt;=SV_effStop,0,INDEX(SV_cpfOA,Q161)*INDEX(SV_cpfTot,Q161)*R161))</f>
        <v/>
      </c>
      <c r="T161" s="29">
        <f>IF(A161&gt;SV_T,0,T160*(1+SV_saRate)+IF(A161&gt;=SV_effStop,0,INDEX(SV_cpfSA,Q161)*INDEX(SV_cpfTot,Q161)*R161))</f>
        <v/>
      </c>
      <c r="U161" s="29">
        <f>IF(A161&gt;SV_T,0,U160*(1+SV_saRate)+IF(A161&gt;=SV_effStop,0,INDEX(SV_cpfMA,Q161)*INDEX(SV_cpfTot,Q161)*R161))</f>
        <v/>
      </c>
      <c r="V161" s="29">
        <f>IF(OR(OR(A161&lt;1,A161&gt;SV_T),A161&gt;=SV_effNeg),0,-(INDEX(SV_cpfOA,Q161)+INDEX(SV_cpfSA,Q161)+INDEX(SV_cpfMA,Q161))*INDEX(SV_cpfEmp,Q161)*R161)</f>
        <v/>
      </c>
      <c r="W161" s="29">
        <f>IF(A161&gt;=SV_sIdx,0,S161)</f>
        <v/>
      </c>
      <c r="X161" s="29">
        <f>IF(A161&gt;=SV_sIdx,0,T161)</f>
        <v/>
      </c>
      <c r="Y161" s="29">
        <f>IF(A161&gt;=SV_sIdx,MIN(U161,SV_maCap),U161)</f>
        <v/>
      </c>
      <c r="Z161" s="29">
        <f>IF(AND(SV_cpfOn,A161&gt;=SV_pIdx,A161&lt;=SV_T),12*SV_pay,0)</f>
        <v/>
      </c>
      <c r="AA161" s="29">
        <f>IF(A161&gt;SV_T,0,IF(SV_sp&gt;=0,IF(A161&lt;SV_sIdx,0,IF(A161=SV_sIdx,SV_R0,SV_lifeGrowth*AA160)),SV_lifeGrowth*AA160))</f>
        <v/>
      </c>
      <c r="AB161" s="29">
        <f>IF(A161&gt;SV_T,0,IF(AND(SV_sp&gt;=0,A161&lt;SV_sIdx),0,IF(AND(SV_sp&gt;=0,A161=SV_sIdx),SV_L0,SV_lifeGrowth*(AB160-Z161))))</f>
        <v/>
      </c>
      <c r="AC161" s="29">
        <f>W161+X161+AA161+Y161+IF(AA161&lt;0,0,AB161)</f>
        <v/>
      </c>
      <c r="AD161" s="29">
        <f>Z161+V161</f>
        <v/>
      </c>
      <c r="AE161" s="29">
        <f>IF(OR(A161&gt;SV_T,A161&gt;=SV_loanYears),0,MAX(0,AE160*(1+loanRate)-SV_inst))</f>
        <v/>
      </c>
      <c r="AF161" s="29">
        <f>IF(A161&gt;SV_T,0,AF160*(1+SV_savRate)+H161+I161+J161+K161+AD161)</f>
        <v/>
      </c>
      <c r="AG161" s="29">
        <f>IF(A161&gt;SV_T,0,MAX(0,N161+O161+P161+AC161+AF161-AE161))</f>
        <v/>
      </c>
      <c r="AH161" s="29">
        <f>IF(A161&gt;SV_T,0,N161+O161+AF161-MAX(0,AE161-(P161+AC161)))</f>
        <v/>
      </c>
      <c r="AI161" s="29">
        <f>IF(OR(OR(A161&lt;1,A161&gt;SV_T),A161-1&gt;=SV_retPay),0,SV_retMth*12+IF(A161=1,SV_retLump,0))</f>
        <v/>
      </c>
      <c r="AJ161" s="29">
        <f>IF(A161&gt;SV_T,0,(AJ160+AI161)*(1+investmentReturn))</f>
        <v/>
      </c>
      <c r="AK161" s="29">
        <f>IF(OR(OR(A161&lt;1,A161&gt;SV_T),A161-1&gt;=SV_goalPay),0,SV_goalMth*12+IF(A161=1,SV_goalLump,0))</f>
        <v/>
      </c>
      <c r="AL161" s="29">
        <f>IF(A161&gt;SV_T,0,(AL160+AK161)*(1+investmentReturn))</f>
        <v/>
      </c>
      <c r="AM161" s="29">
        <f>IF(OR(OR(A161&lt;1,A161&gt;SV_T),A161-1&gt;=SV_protPay),0,SV_protPrem)</f>
        <v/>
      </c>
      <c r="AN161" s="29">
        <f>IF(OR(A161=0,A161&gt;=SV_T),0,ROUND(MAX(0,AJ161),2)+ROUND(MAX(0,AL161),2))</f>
        <v/>
      </c>
      <c r="AO161" s="29">
        <f>IF(OR(A161&lt;1,A161&gt;SV_T),0,-(AI161+AK161+AM161)+IF(A161=SV_T,ROUND(MAX(0,AJ161),2)+ROUND(MAX(0,AL161),2),0))</f>
        <v/>
      </c>
      <c r="AP161" s="29">
        <f>IF(A161&gt;SV_T,0,AP160*(1+SV_savRate)+H161+I161+J161+K161+AD161+AO161)</f>
        <v/>
      </c>
      <c r="AQ161" s="29">
        <f>IF(A161&gt;SV_T,0,MAX(0,N161+O161+P161+AC161+AP161+AN161-AE161))</f>
        <v/>
      </c>
      <c r="AR161" s="29">
        <f>IF(A161&gt;SV_T,0,N161+O161+AP161+AN161-MAX(0,AE161-(P161+AC161)))</f>
        <v/>
      </c>
    </row>
    <row r="162">
      <c r="A162" s="61" t="n">
        <v>33</v>
      </c>
      <c r="B162" s="61">
        <f>SV_age+A162</f>
        <v/>
      </c>
      <c r="C162" s="61">
        <f>currentYear+A162</f>
        <v/>
      </c>
      <c r="D162" s="52">
        <f>A162&lt;=SV_T</f>
        <v/>
      </c>
      <c r="E162" s="60">
        <f>IF(AND(SV_inflOn,A162&gt;=SV_inflS,A162&lt;=SV_inflE),1+SV_inflRate,1+inflationRate)</f>
        <v/>
      </c>
      <c r="F162" s="60">
        <f>IF(A162&lt;=1,1,F161*E162)</f>
        <v/>
      </c>
      <c r="G162" s="60">
        <f>IF(AND(SV_incOn,A162&gt;=SV_incS,A162&lt;=SV_incE),1+SV_incImp,1)</f>
        <v/>
      </c>
      <c r="H162" s="29">
        <f>IF(OR(OR(A162&lt;1,A162&gt;SV_T),A162-1&gt;=SV_salCut),0,SV_sal0*(1+incomeGrowthRate)^(A162-1)*G162)</f>
        <v/>
      </c>
      <c r="I162" s="29">
        <f>IF(OR(A162&lt;1,A162&gt;SV_T),0,(-SV_exp0*F162-IF(A162&lt;=SV_loanYears,SV_inst,0)-IF(AND(SV_wdAmt&gt;0,A162=SV_wdYear),SV_wdAmt,0))*IF(AND(SV_expOn,A162&gt;=SV_expS,A162&lt;=SV_expE),1+SV_expImp,1))</f>
        <v/>
      </c>
      <c r="J162" s="29">
        <f>IF(OR(OR(A162&lt;1,A162&gt;SV_T),A162&gt;SV_loanYears),0,-SV_lifePremYr)</f>
        <v/>
      </c>
      <c r="K162" s="29">
        <f>IF(OR(A162&lt;1,A162&gt;SV_T),0,-SV_contrib)</f>
        <v/>
      </c>
      <c r="L162" s="60">
        <f>IF(AND(SV_crashOn,A162=SV_crashYr),SV_crashF,1)</f>
        <v/>
      </c>
      <c r="M162" s="60">
        <f>IF(AND(SV_ccyOn,A162=SV_ccyYr),SV_ccyF,1)</f>
        <v/>
      </c>
      <c r="N162" s="29">
        <f>IF(A162&gt;SV_T,0,N161*(1+interestRate)*L162*M162)</f>
        <v/>
      </c>
      <c r="O162" s="29">
        <f>IF(A162&gt;SV_T,0,(O161+SV_contrib)*(1+investmentReturn)*L162*M162)</f>
        <v/>
      </c>
      <c r="P162" s="29">
        <f>IF(A162&gt;SV_T,0,P161*(1+SV_propRate)*L162)</f>
        <v/>
      </c>
      <c r="Q162" s="46">
        <f>MATCH(SV_age+A162-1,SV_cpfLower,1)</f>
        <v/>
      </c>
      <c r="R162" s="29">
        <f>IF(OR(OR(A162&lt;1,A162&gt;SV_T),NOT(SV_cpfOn)),0,MIN(SV_sal0*(1+incomeGrowthRate)^(A162-1)*G162,SV_owCap))</f>
        <v/>
      </c>
      <c r="S162" s="29">
        <f>IF(A162&gt;SV_T,0,S161*(1+SV_oaRate)+IF(A162&gt;=SV_effStop,0,INDEX(SV_cpfOA,Q162)*INDEX(SV_cpfTot,Q162)*R162))</f>
        <v/>
      </c>
      <c r="T162" s="29">
        <f>IF(A162&gt;SV_T,0,T161*(1+SV_saRate)+IF(A162&gt;=SV_effStop,0,INDEX(SV_cpfSA,Q162)*INDEX(SV_cpfTot,Q162)*R162))</f>
        <v/>
      </c>
      <c r="U162" s="29">
        <f>IF(A162&gt;SV_T,0,U161*(1+SV_saRate)+IF(A162&gt;=SV_effStop,0,INDEX(SV_cpfMA,Q162)*INDEX(SV_cpfTot,Q162)*R162))</f>
        <v/>
      </c>
      <c r="V162" s="29">
        <f>IF(OR(OR(A162&lt;1,A162&gt;SV_T),A162&gt;=SV_effNeg),0,-(INDEX(SV_cpfOA,Q162)+INDEX(SV_cpfSA,Q162)+INDEX(SV_cpfMA,Q162))*INDEX(SV_cpfEmp,Q162)*R162)</f>
        <v/>
      </c>
      <c r="W162" s="29">
        <f>IF(A162&gt;=SV_sIdx,0,S162)</f>
        <v/>
      </c>
      <c r="X162" s="29">
        <f>IF(A162&gt;=SV_sIdx,0,T162)</f>
        <v/>
      </c>
      <c r="Y162" s="29">
        <f>IF(A162&gt;=SV_sIdx,MIN(U162,SV_maCap),U162)</f>
        <v/>
      </c>
      <c r="Z162" s="29">
        <f>IF(AND(SV_cpfOn,A162&gt;=SV_pIdx,A162&lt;=SV_T),12*SV_pay,0)</f>
        <v/>
      </c>
      <c r="AA162" s="29">
        <f>IF(A162&gt;SV_T,0,IF(SV_sp&gt;=0,IF(A162&lt;SV_sIdx,0,IF(A162=SV_sIdx,SV_R0,SV_lifeGrowth*AA161)),SV_lifeGrowth*AA161))</f>
        <v/>
      </c>
      <c r="AB162" s="29">
        <f>IF(A162&gt;SV_T,0,IF(AND(SV_sp&gt;=0,A162&lt;SV_sIdx),0,IF(AND(SV_sp&gt;=0,A162=SV_sIdx),SV_L0,SV_lifeGrowth*(AB161-Z162))))</f>
        <v/>
      </c>
      <c r="AC162" s="29">
        <f>W162+X162+AA162+Y162+IF(AA162&lt;0,0,AB162)</f>
        <v/>
      </c>
      <c r="AD162" s="29">
        <f>Z162+V162</f>
        <v/>
      </c>
      <c r="AE162" s="29">
        <f>IF(OR(A162&gt;SV_T,A162&gt;=SV_loanYears),0,MAX(0,AE161*(1+loanRate)-SV_inst))</f>
        <v/>
      </c>
      <c r="AF162" s="29">
        <f>IF(A162&gt;SV_T,0,AF161*(1+SV_savRate)+H162+I162+J162+K162+AD162)</f>
        <v/>
      </c>
      <c r="AG162" s="29">
        <f>IF(A162&gt;SV_T,0,MAX(0,N162+O162+P162+AC162+AF162-AE162))</f>
        <v/>
      </c>
      <c r="AH162" s="29">
        <f>IF(A162&gt;SV_T,0,N162+O162+AF162-MAX(0,AE162-(P162+AC162)))</f>
        <v/>
      </c>
      <c r="AI162" s="29">
        <f>IF(OR(OR(A162&lt;1,A162&gt;SV_T),A162-1&gt;=SV_retPay),0,SV_retMth*12+IF(A162=1,SV_retLump,0))</f>
        <v/>
      </c>
      <c r="AJ162" s="29">
        <f>IF(A162&gt;SV_T,0,(AJ161+AI162)*(1+investmentReturn))</f>
        <v/>
      </c>
      <c r="AK162" s="29">
        <f>IF(OR(OR(A162&lt;1,A162&gt;SV_T),A162-1&gt;=SV_goalPay),0,SV_goalMth*12+IF(A162=1,SV_goalLump,0))</f>
        <v/>
      </c>
      <c r="AL162" s="29">
        <f>IF(A162&gt;SV_T,0,(AL161+AK162)*(1+investmentReturn))</f>
        <v/>
      </c>
      <c r="AM162" s="29">
        <f>IF(OR(OR(A162&lt;1,A162&gt;SV_T),A162-1&gt;=SV_protPay),0,SV_protPrem)</f>
        <v/>
      </c>
      <c r="AN162" s="29">
        <f>IF(OR(A162=0,A162&gt;=SV_T),0,ROUND(MAX(0,AJ162),2)+ROUND(MAX(0,AL162),2))</f>
        <v/>
      </c>
      <c r="AO162" s="29">
        <f>IF(OR(A162&lt;1,A162&gt;SV_T),0,-(AI162+AK162+AM162)+IF(A162=SV_T,ROUND(MAX(0,AJ162),2)+ROUND(MAX(0,AL162),2),0))</f>
        <v/>
      </c>
      <c r="AP162" s="29">
        <f>IF(A162&gt;SV_T,0,AP161*(1+SV_savRate)+H162+I162+J162+K162+AD162+AO162)</f>
        <v/>
      </c>
      <c r="AQ162" s="29">
        <f>IF(A162&gt;SV_T,0,MAX(0,N162+O162+P162+AC162+AP162+AN162-AE162))</f>
        <v/>
      </c>
      <c r="AR162" s="29">
        <f>IF(A162&gt;SV_T,0,N162+O162+AP162+AN162-MAX(0,AE162-(P162+AC162)))</f>
        <v/>
      </c>
    </row>
    <row r="163">
      <c r="A163" s="61" t="n">
        <v>34</v>
      </c>
      <c r="B163" s="61">
        <f>SV_age+A163</f>
        <v/>
      </c>
      <c r="C163" s="61">
        <f>currentYear+A163</f>
        <v/>
      </c>
      <c r="D163" s="52">
        <f>A163&lt;=SV_T</f>
        <v/>
      </c>
      <c r="E163" s="60">
        <f>IF(AND(SV_inflOn,A163&gt;=SV_inflS,A163&lt;=SV_inflE),1+SV_inflRate,1+inflationRate)</f>
        <v/>
      </c>
      <c r="F163" s="60">
        <f>IF(A163&lt;=1,1,F162*E163)</f>
        <v/>
      </c>
      <c r="G163" s="60">
        <f>IF(AND(SV_incOn,A163&gt;=SV_incS,A163&lt;=SV_incE),1+SV_incImp,1)</f>
        <v/>
      </c>
      <c r="H163" s="29">
        <f>IF(OR(OR(A163&lt;1,A163&gt;SV_T),A163-1&gt;=SV_salCut),0,SV_sal0*(1+incomeGrowthRate)^(A163-1)*G163)</f>
        <v/>
      </c>
      <c r="I163" s="29">
        <f>IF(OR(A163&lt;1,A163&gt;SV_T),0,(-SV_exp0*F163-IF(A163&lt;=SV_loanYears,SV_inst,0)-IF(AND(SV_wdAmt&gt;0,A163=SV_wdYear),SV_wdAmt,0))*IF(AND(SV_expOn,A163&gt;=SV_expS,A163&lt;=SV_expE),1+SV_expImp,1))</f>
        <v/>
      </c>
      <c r="J163" s="29">
        <f>IF(OR(OR(A163&lt;1,A163&gt;SV_T),A163&gt;SV_loanYears),0,-SV_lifePremYr)</f>
        <v/>
      </c>
      <c r="K163" s="29">
        <f>IF(OR(A163&lt;1,A163&gt;SV_T),0,-SV_contrib)</f>
        <v/>
      </c>
      <c r="L163" s="60">
        <f>IF(AND(SV_crashOn,A163=SV_crashYr),SV_crashF,1)</f>
        <v/>
      </c>
      <c r="M163" s="60">
        <f>IF(AND(SV_ccyOn,A163=SV_ccyYr),SV_ccyF,1)</f>
        <v/>
      </c>
      <c r="N163" s="29">
        <f>IF(A163&gt;SV_T,0,N162*(1+interestRate)*L163*M163)</f>
        <v/>
      </c>
      <c r="O163" s="29">
        <f>IF(A163&gt;SV_T,0,(O162+SV_contrib)*(1+investmentReturn)*L163*M163)</f>
        <v/>
      </c>
      <c r="P163" s="29">
        <f>IF(A163&gt;SV_T,0,P162*(1+SV_propRate)*L163)</f>
        <v/>
      </c>
      <c r="Q163" s="46">
        <f>MATCH(SV_age+A163-1,SV_cpfLower,1)</f>
        <v/>
      </c>
      <c r="R163" s="29">
        <f>IF(OR(OR(A163&lt;1,A163&gt;SV_T),NOT(SV_cpfOn)),0,MIN(SV_sal0*(1+incomeGrowthRate)^(A163-1)*G163,SV_owCap))</f>
        <v/>
      </c>
      <c r="S163" s="29">
        <f>IF(A163&gt;SV_T,0,S162*(1+SV_oaRate)+IF(A163&gt;=SV_effStop,0,INDEX(SV_cpfOA,Q163)*INDEX(SV_cpfTot,Q163)*R163))</f>
        <v/>
      </c>
      <c r="T163" s="29">
        <f>IF(A163&gt;SV_T,0,T162*(1+SV_saRate)+IF(A163&gt;=SV_effStop,0,INDEX(SV_cpfSA,Q163)*INDEX(SV_cpfTot,Q163)*R163))</f>
        <v/>
      </c>
      <c r="U163" s="29">
        <f>IF(A163&gt;SV_T,0,U162*(1+SV_saRate)+IF(A163&gt;=SV_effStop,0,INDEX(SV_cpfMA,Q163)*INDEX(SV_cpfTot,Q163)*R163))</f>
        <v/>
      </c>
      <c r="V163" s="29">
        <f>IF(OR(OR(A163&lt;1,A163&gt;SV_T),A163&gt;=SV_effNeg),0,-(INDEX(SV_cpfOA,Q163)+INDEX(SV_cpfSA,Q163)+INDEX(SV_cpfMA,Q163))*INDEX(SV_cpfEmp,Q163)*R163)</f>
        <v/>
      </c>
      <c r="W163" s="29">
        <f>IF(A163&gt;=SV_sIdx,0,S163)</f>
        <v/>
      </c>
      <c r="X163" s="29">
        <f>IF(A163&gt;=SV_sIdx,0,T163)</f>
        <v/>
      </c>
      <c r="Y163" s="29">
        <f>IF(A163&gt;=SV_sIdx,MIN(U163,SV_maCap),U163)</f>
        <v/>
      </c>
      <c r="Z163" s="29">
        <f>IF(AND(SV_cpfOn,A163&gt;=SV_pIdx,A163&lt;=SV_T),12*SV_pay,0)</f>
        <v/>
      </c>
      <c r="AA163" s="29">
        <f>IF(A163&gt;SV_T,0,IF(SV_sp&gt;=0,IF(A163&lt;SV_sIdx,0,IF(A163=SV_sIdx,SV_R0,SV_lifeGrowth*AA162)),SV_lifeGrowth*AA162))</f>
        <v/>
      </c>
      <c r="AB163" s="29">
        <f>IF(A163&gt;SV_T,0,IF(AND(SV_sp&gt;=0,A163&lt;SV_sIdx),0,IF(AND(SV_sp&gt;=0,A163=SV_sIdx),SV_L0,SV_lifeGrowth*(AB162-Z163))))</f>
        <v/>
      </c>
      <c r="AC163" s="29">
        <f>W163+X163+AA163+Y163+IF(AA163&lt;0,0,AB163)</f>
        <v/>
      </c>
      <c r="AD163" s="29">
        <f>Z163+V163</f>
        <v/>
      </c>
      <c r="AE163" s="29">
        <f>IF(OR(A163&gt;SV_T,A163&gt;=SV_loanYears),0,MAX(0,AE162*(1+loanRate)-SV_inst))</f>
        <v/>
      </c>
      <c r="AF163" s="29">
        <f>IF(A163&gt;SV_T,0,AF162*(1+SV_savRate)+H163+I163+J163+K163+AD163)</f>
        <v/>
      </c>
      <c r="AG163" s="29">
        <f>IF(A163&gt;SV_T,0,MAX(0,N163+O163+P163+AC163+AF163-AE163))</f>
        <v/>
      </c>
      <c r="AH163" s="29">
        <f>IF(A163&gt;SV_T,0,N163+O163+AF163-MAX(0,AE163-(P163+AC163)))</f>
        <v/>
      </c>
      <c r="AI163" s="29">
        <f>IF(OR(OR(A163&lt;1,A163&gt;SV_T),A163-1&gt;=SV_retPay),0,SV_retMth*12+IF(A163=1,SV_retLump,0))</f>
        <v/>
      </c>
      <c r="AJ163" s="29">
        <f>IF(A163&gt;SV_T,0,(AJ162+AI163)*(1+investmentReturn))</f>
        <v/>
      </c>
      <c r="AK163" s="29">
        <f>IF(OR(OR(A163&lt;1,A163&gt;SV_T),A163-1&gt;=SV_goalPay),0,SV_goalMth*12+IF(A163=1,SV_goalLump,0))</f>
        <v/>
      </c>
      <c r="AL163" s="29">
        <f>IF(A163&gt;SV_T,0,(AL162+AK163)*(1+investmentReturn))</f>
        <v/>
      </c>
      <c r="AM163" s="29">
        <f>IF(OR(OR(A163&lt;1,A163&gt;SV_T),A163-1&gt;=SV_protPay),0,SV_protPrem)</f>
        <v/>
      </c>
      <c r="AN163" s="29">
        <f>IF(OR(A163=0,A163&gt;=SV_T),0,ROUND(MAX(0,AJ163),2)+ROUND(MAX(0,AL163),2))</f>
        <v/>
      </c>
      <c r="AO163" s="29">
        <f>IF(OR(A163&lt;1,A163&gt;SV_T),0,-(AI163+AK163+AM163)+IF(A163=SV_T,ROUND(MAX(0,AJ163),2)+ROUND(MAX(0,AL163),2),0))</f>
        <v/>
      </c>
      <c r="AP163" s="29">
        <f>IF(A163&gt;SV_T,0,AP162*(1+SV_savRate)+H163+I163+J163+K163+AD163+AO163)</f>
        <v/>
      </c>
      <c r="AQ163" s="29">
        <f>IF(A163&gt;SV_T,0,MAX(0,N163+O163+P163+AC163+AP163+AN163-AE163))</f>
        <v/>
      </c>
      <c r="AR163" s="29">
        <f>IF(A163&gt;SV_T,0,N163+O163+AP163+AN163-MAX(0,AE163-(P163+AC163)))</f>
        <v/>
      </c>
    </row>
    <row r="164">
      <c r="A164" s="61" t="n">
        <v>35</v>
      </c>
      <c r="B164" s="61">
        <f>SV_age+A164</f>
        <v/>
      </c>
      <c r="C164" s="61">
        <f>currentYear+A164</f>
        <v/>
      </c>
      <c r="D164" s="52">
        <f>A164&lt;=SV_T</f>
        <v/>
      </c>
      <c r="E164" s="60">
        <f>IF(AND(SV_inflOn,A164&gt;=SV_inflS,A164&lt;=SV_inflE),1+SV_inflRate,1+inflationRate)</f>
        <v/>
      </c>
      <c r="F164" s="60">
        <f>IF(A164&lt;=1,1,F163*E164)</f>
        <v/>
      </c>
      <c r="G164" s="60">
        <f>IF(AND(SV_incOn,A164&gt;=SV_incS,A164&lt;=SV_incE),1+SV_incImp,1)</f>
        <v/>
      </c>
      <c r="H164" s="29">
        <f>IF(OR(OR(A164&lt;1,A164&gt;SV_T),A164-1&gt;=SV_salCut),0,SV_sal0*(1+incomeGrowthRate)^(A164-1)*G164)</f>
        <v/>
      </c>
      <c r="I164" s="29">
        <f>IF(OR(A164&lt;1,A164&gt;SV_T),0,(-SV_exp0*F164-IF(A164&lt;=SV_loanYears,SV_inst,0)-IF(AND(SV_wdAmt&gt;0,A164=SV_wdYear),SV_wdAmt,0))*IF(AND(SV_expOn,A164&gt;=SV_expS,A164&lt;=SV_expE),1+SV_expImp,1))</f>
        <v/>
      </c>
      <c r="J164" s="29">
        <f>IF(OR(OR(A164&lt;1,A164&gt;SV_T),A164&gt;SV_loanYears),0,-SV_lifePremYr)</f>
        <v/>
      </c>
      <c r="K164" s="29">
        <f>IF(OR(A164&lt;1,A164&gt;SV_T),0,-SV_contrib)</f>
        <v/>
      </c>
      <c r="L164" s="60">
        <f>IF(AND(SV_crashOn,A164=SV_crashYr),SV_crashF,1)</f>
        <v/>
      </c>
      <c r="M164" s="60">
        <f>IF(AND(SV_ccyOn,A164=SV_ccyYr),SV_ccyF,1)</f>
        <v/>
      </c>
      <c r="N164" s="29">
        <f>IF(A164&gt;SV_T,0,N163*(1+interestRate)*L164*M164)</f>
        <v/>
      </c>
      <c r="O164" s="29">
        <f>IF(A164&gt;SV_T,0,(O163+SV_contrib)*(1+investmentReturn)*L164*M164)</f>
        <v/>
      </c>
      <c r="P164" s="29">
        <f>IF(A164&gt;SV_T,0,P163*(1+SV_propRate)*L164)</f>
        <v/>
      </c>
      <c r="Q164" s="46">
        <f>MATCH(SV_age+A164-1,SV_cpfLower,1)</f>
        <v/>
      </c>
      <c r="R164" s="29">
        <f>IF(OR(OR(A164&lt;1,A164&gt;SV_T),NOT(SV_cpfOn)),0,MIN(SV_sal0*(1+incomeGrowthRate)^(A164-1)*G164,SV_owCap))</f>
        <v/>
      </c>
      <c r="S164" s="29">
        <f>IF(A164&gt;SV_T,0,S163*(1+SV_oaRate)+IF(A164&gt;=SV_effStop,0,INDEX(SV_cpfOA,Q164)*INDEX(SV_cpfTot,Q164)*R164))</f>
        <v/>
      </c>
      <c r="T164" s="29">
        <f>IF(A164&gt;SV_T,0,T163*(1+SV_saRate)+IF(A164&gt;=SV_effStop,0,INDEX(SV_cpfSA,Q164)*INDEX(SV_cpfTot,Q164)*R164))</f>
        <v/>
      </c>
      <c r="U164" s="29">
        <f>IF(A164&gt;SV_T,0,U163*(1+SV_saRate)+IF(A164&gt;=SV_effStop,0,INDEX(SV_cpfMA,Q164)*INDEX(SV_cpfTot,Q164)*R164))</f>
        <v/>
      </c>
      <c r="V164" s="29">
        <f>IF(OR(OR(A164&lt;1,A164&gt;SV_T),A164&gt;=SV_effNeg),0,-(INDEX(SV_cpfOA,Q164)+INDEX(SV_cpfSA,Q164)+INDEX(SV_cpfMA,Q164))*INDEX(SV_cpfEmp,Q164)*R164)</f>
        <v/>
      </c>
      <c r="W164" s="29">
        <f>IF(A164&gt;=SV_sIdx,0,S164)</f>
        <v/>
      </c>
      <c r="X164" s="29">
        <f>IF(A164&gt;=SV_sIdx,0,T164)</f>
        <v/>
      </c>
      <c r="Y164" s="29">
        <f>IF(A164&gt;=SV_sIdx,MIN(U164,SV_maCap),U164)</f>
        <v/>
      </c>
      <c r="Z164" s="29">
        <f>IF(AND(SV_cpfOn,A164&gt;=SV_pIdx,A164&lt;=SV_T),12*SV_pay,0)</f>
        <v/>
      </c>
      <c r="AA164" s="29">
        <f>IF(A164&gt;SV_T,0,IF(SV_sp&gt;=0,IF(A164&lt;SV_sIdx,0,IF(A164=SV_sIdx,SV_R0,SV_lifeGrowth*AA163)),SV_lifeGrowth*AA163))</f>
        <v/>
      </c>
      <c r="AB164" s="29">
        <f>IF(A164&gt;SV_T,0,IF(AND(SV_sp&gt;=0,A164&lt;SV_sIdx),0,IF(AND(SV_sp&gt;=0,A164=SV_sIdx),SV_L0,SV_lifeGrowth*(AB163-Z164))))</f>
        <v/>
      </c>
      <c r="AC164" s="29">
        <f>W164+X164+AA164+Y164+IF(AA164&lt;0,0,AB164)</f>
        <v/>
      </c>
      <c r="AD164" s="29">
        <f>Z164+V164</f>
        <v/>
      </c>
      <c r="AE164" s="29">
        <f>IF(OR(A164&gt;SV_T,A164&gt;=SV_loanYears),0,MAX(0,AE163*(1+loanRate)-SV_inst))</f>
        <v/>
      </c>
      <c r="AF164" s="29">
        <f>IF(A164&gt;SV_T,0,AF163*(1+SV_savRate)+H164+I164+J164+K164+AD164)</f>
        <v/>
      </c>
      <c r="AG164" s="29">
        <f>IF(A164&gt;SV_T,0,MAX(0,N164+O164+P164+AC164+AF164-AE164))</f>
        <v/>
      </c>
      <c r="AH164" s="29">
        <f>IF(A164&gt;SV_T,0,N164+O164+AF164-MAX(0,AE164-(P164+AC164)))</f>
        <v/>
      </c>
      <c r="AI164" s="29">
        <f>IF(OR(OR(A164&lt;1,A164&gt;SV_T),A164-1&gt;=SV_retPay),0,SV_retMth*12+IF(A164=1,SV_retLump,0))</f>
        <v/>
      </c>
      <c r="AJ164" s="29">
        <f>IF(A164&gt;SV_T,0,(AJ163+AI164)*(1+investmentReturn))</f>
        <v/>
      </c>
      <c r="AK164" s="29">
        <f>IF(OR(OR(A164&lt;1,A164&gt;SV_T),A164-1&gt;=SV_goalPay),0,SV_goalMth*12+IF(A164=1,SV_goalLump,0))</f>
        <v/>
      </c>
      <c r="AL164" s="29">
        <f>IF(A164&gt;SV_T,0,(AL163+AK164)*(1+investmentReturn))</f>
        <v/>
      </c>
      <c r="AM164" s="29">
        <f>IF(OR(OR(A164&lt;1,A164&gt;SV_T),A164-1&gt;=SV_protPay),0,SV_protPrem)</f>
        <v/>
      </c>
      <c r="AN164" s="29">
        <f>IF(OR(A164=0,A164&gt;=SV_T),0,ROUND(MAX(0,AJ164),2)+ROUND(MAX(0,AL164),2))</f>
        <v/>
      </c>
      <c r="AO164" s="29">
        <f>IF(OR(A164&lt;1,A164&gt;SV_T),0,-(AI164+AK164+AM164)+IF(A164=SV_T,ROUND(MAX(0,AJ164),2)+ROUND(MAX(0,AL164),2),0))</f>
        <v/>
      </c>
      <c r="AP164" s="29">
        <f>IF(A164&gt;SV_T,0,AP163*(1+SV_savRate)+H164+I164+J164+K164+AD164+AO164)</f>
        <v/>
      </c>
      <c r="AQ164" s="29">
        <f>IF(A164&gt;SV_T,0,MAX(0,N164+O164+P164+AC164+AP164+AN164-AE164))</f>
        <v/>
      </c>
      <c r="AR164" s="29">
        <f>IF(A164&gt;SV_T,0,N164+O164+AP164+AN164-MAX(0,AE164-(P164+AC164)))</f>
        <v/>
      </c>
    </row>
    <row r="165">
      <c r="A165" s="61" t="n">
        <v>36</v>
      </c>
      <c r="B165" s="61">
        <f>SV_age+A165</f>
        <v/>
      </c>
      <c r="C165" s="61">
        <f>currentYear+A165</f>
        <v/>
      </c>
      <c r="D165" s="52">
        <f>A165&lt;=SV_T</f>
        <v/>
      </c>
      <c r="E165" s="60">
        <f>IF(AND(SV_inflOn,A165&gt;=SV_inflS,A165&lt;=SV_inflE),1+SV_inflRate,1+inflationRate)</f>
        <v/>
      </c>
      <c r="F165" s="60">
        <f>IF(A165&lt;=1,1,F164*E165)</f>
        <v/>
      </c>
      <c r="G165" s="60">
        <f>IF(AND(SV_incOn,A165&gt;=SV_incS,A165&lt;=SV_incE),1+SV_incImp,1)</f>
        <v/>
      </c>
      <c r="H165" s="29">
        <f>IF(OR(OR(A165&lt;1,A165&gt;SV_T),A165-1&gt;=SV_salCut),0,SV_sal0*(1+incomeGrowthRate)^(A165-1)*G165)</f>
        <v/>
      </c>
      <c r="I165" s="29">
        <f>IF(OR(A165&lt;1,A165&gt;SV_T),0,(-SV_exp0*F165-IF(A165&lt;=SV_loanYears,SV_inst,0)-IF(AND(SV_wdAmt&gt;0,A165=SV_wdYear),SV_wdAmt,0))*IF(AND(SV_expOn,A165&gt;=SV_expS,A165&lt;=SV_expE),1+SV_expImp,1))</f>
        <v/>
      </c>
      <c r="J165" s="29">
        <f>IF(OR(OR(A165&lt;1,A165&gt;SV_T),A165&gt;SV_loanYears),0,-SV_lifePremYr)</f>
        <v/>
      </c>
      <c r="K165" s="29">
        <f>IF(OR(A165&lt;1,A165&gt;SV_T),0,-SV_contrib)</f>
        <v/>
      </c>
      <c r="L165" s="60">
        <f>IF(AND(SV_crashOn,A165=SV_crashYr),SV_crashF,1)</f>
        <v/>
      </c>
      <c r="M165" s="60">
        <f>IF(AND(SV_ccyOn,A165=SV_ccyYr),SV_ccyF,1)</f>
        <v/>
      </c>
      <c r="N165" s="29">
        <f>IF(A165&gt;SV_T,0,N164*(1+interestRate)*L165*M165)</f>
        <v/>
      </c>
      <c r="O165" s="29">
        <f>IF(A165&gt;SV_T,0,(O164+SV_contrib)*(1+investmentReturn)*L165*M165)</f>
        <v/>
      </c>
      <c r="P165" s="29">
        <f>IF(A165&gt;SV_T,0,P164*(1+SV_propRate)*L165)</f>
        <v/>
      </c>
      <c r="Q165" s="46">
        <f>MATCH(SV_age+A165-1,SV_cpfLower,1)</f>
        <v/>
      </c>
      <c r="R165" s="29">
        <f>IF(OR(OR(A165&lt;1,A165&gt;SV_T),NOT(SV_cpfOn)),0,MIN(SV_sal0*(1+incomeGrowthRate)^(A165-1)*G165,SV_owCap))</f>
        <v/>
      </c>
      <c r="S165" s="29">
        <f>IF(A165&gt;SV_T,0,S164*(1+SV_oaRate)+IF(A165&gt;=SV_effStop,0,INDEX(SV_cpfOA,Q165)*INDEX(SV_cpfTot,Q165)*R165))</f>
        <v/>
      </c>
      <c r="T165" s="29">
        <f>IF(A165&gt;SV_T,0,T164*(1+SV_saRate)+IF(A165&gt;=SV_effStop,0,INDEX(SV_cpfSA,Q165)*INDEX(SV_cpfTot,Q165)*R165))</f>
        <v/>
      </c>
      <c r="U165" s="29">
        <f>IF(A165&gt;SV_T,0,U164*(1+SV_saRate)+IF(A165&gt;=SV_effStop,0,INDEX(SV_cpfMA,Q165)*INDEX(SV_cpfTot,Q165)*R165))</f>
        <v/>
      </c>
      <c r="V165" s="29">
        <f>IF(OR(OR(A165&lt;1,A165&gt;SV_T),A165&gt;=SV_effNeg),0,-(INDEX(SV_cpfOA,Q165)+INDEX(SV_cpfSA,Q165)+INDEX(SV_cpfMA,Q165))*INDEX(SV_cpfEmp,Q165)*R165)</f>
        <v/>
      </c>
      <c r="W165" s="29">
        <f>IF(A165&gt;=SV_sIdx,0,S165)</f>
        <v/>
      </c>
      <c r="X165" s="29">
        <f>IF(A165&gt;=SV_sIdx,0,T165)</f>
        <v/>
      </c>
      <c r="Y165" s="29">
        <f>IF(A165&gt;=SV_sIdx,MIN(U165,SV_maCap),U165)</f>
        <v/>
      </c>
      <c r="Z165" s="29">
        <f>IF(AND(SV_cpfOn,A165&gt;=SV_pIdx,A165&lt;=SV_T),12*SV_pay,0)</f>
        <v/>
      </c>
      <c r="AA165" s="29">
        <f>IF(A165&gt;SV_T,0,IF(SV_sp&gt;=0,IF(A165&lt;SV_sIdx,0,IF(A165=SV_sIdx,SV_R0,SV_lifeGrowth*AA164)),SV_lifeGrowth*AA164))</f>
        <v/>
      </c>
      <c r="AB165" s="29">
        <f>IF(A165&gt;SV_T,0,IF(AND(SV_sp&gt;=0,A165&lt;SV_sIdx),0,IF(AND(SV_sp&gt;=0,A165=SV_sIdx),SV_L0,SV_lifeGrowth*(AB164-Z165))))</f>
        <v/>
      </c>
      <c r="AC165" s="29">
        <f>W165+X165+AA165+Y165+IF(AA165&lt;0,0,AB165)</f>
        <v/>
      </c>
      <c r="AD165" s="29">
        <f>Z165+V165</f>
        <v/>
      </c>
      <c r="AE165" s="29">
        <f>IF(OR(A165&gt;SV_T,A165&gt;=SV_loanYears),0,MAX(0,AE164*(1+loanRate)-SV_inst))</f>
        <v/>
      </c>
      <c r="AF165" s="29">
        <f>IF(A165&gt;SV_T,0,AF164*(1+SV_savRate)+H165+I165+J165+K165+AD165)</f>
        <v/>
      </c>
      <c r="AG165" s="29">
        <f>IF(A165&gt;SV_T,0,MAX(0,N165+O165+P165+AC165+AF165-AE165))</f>
        <v/>
      </c>
      <c r="AH165" s="29">
        <f>IF(A165&gt;SV_T,0,N165+O165+AF165-MAX(0,AE165-(P165+AC165)))</f>
        <v/>
      </c>
      <c r="AI165" s="29">
        <f>IF(OR(OR(A165&lt;1,A165&gt;SV_T),A165-1&gt;=SV_retPay),0,SV_retMth*12+IF(A165=1,SV_retLump,0))</f>
        <v/>
      </c>
      <c r="AJ165" s="29">
        <f>IF(A165&gt;SV_T,0,(AJ164+AI165)*(1+investmentReturn))</f>
        <v/>
      </c>
      <c r="AK165" s="29">
        <f>IF(OR(OR(A165&lt;1,A165&gt;SV_T),A165-1&gt;=SV_goalPay),0,SV_goalMth*12+IF(A165=1,SV_goalLump,0))</f>
        <v/>
      </c>
      <c r="AL165" s="29">
        <f>IF(A165&gt;SV_T,0,(AL164+AK165)*(1+investmentReturn))</f>
        <v/>
      </c>
      <c r="AM165" s="29">
        <f>IF(OR(OR(A165&lt;1,A165&gt;SV_T),A165-1&gt;=SV_protPay),0,SV_protPrem)</f>
        <v/>
      </c>
      <c r="AN165" s="29">
        <f>IF(OR(A165=0,A165&gt;=SV_T),0,ROUND(MAX(0,AJ165),2)+ROUND(MAX(0,AL165),2))</f>
        <v/>
      </c>
      <c r="AO165" s="29">
        <f>IF(OR(A165&lt;1,A165&gt;SV_T),0,-(AI165+AK165+AM165)+IF(A165=SV_T,ROUND(MAX(0,AJ165),2)+ROUND(MAX(0,AL165),2),0))</f>
        <v/>
      </c>
      <c r="AP165" s="29">
        <f>IF(A165&gt;SV_T,0,AP164*(1+SV_savRate)+H165+I165+J165+K165+AD165+AO165)</f>
        <v/>
      </c>
      <c r="AQ165" s="29">
        <f>IF(A165&gt;SV_T,0,MAX(0,N165+O165+P165+AC165+AP165+AN165-AE165))</f>
        <v/>
      </c>
      <c r="AR165" s="29">
        <f>IF(A165&gt;SV_T,0,N165+O165+AP165+AN165-MAX(0,AE165-(P165+AC165)))</f>
        <v/>
      </c>
    </row>
    <row r="166">
      <c r="A166" s="61" t="n">
        <v>37</v>
      </c>
      <c r="B166" s="61">
        <f>SV_age+A166</f>
        <v/>
      </c>
      <c r="C166" s="61">
        <f>currentYear+A166</f>
        <v/>
      </c>
      <c r="D166" s="52">
        <f>A166&lt;=SV_T</f>
        <v/>
      </c>
      <c r="E166" s="60">
        <f>IF(AND(SV_inflOn,A166&gt;=SV_inflS,A166&lt;=SV_inflE),1+SV_inflRate,1+inflationRate)</f>
        <v/>
      </c>
      <c r="F166" s="60">
        <f>IF(A166&lt;=1,1,F165*E166)</f>
        <v/>
      </c>
      <c r="G166" s="60">
        <f>IF(AND(SV_incOn,A166&gt;=SV_incS,A166&lt;=SV_incE),1+SV_incImp,1)</f>
        <v/>
      </c>
      <c r="H166" s="29">
        <f>IF(OR(OR(A166&lt;1,A166&gt;SV_T),A166-1&gt;=SV_salCut),0,SV_sal0*(1+incomeGrowthRate)^(A166-1)*G166)</f>
        <v/>
      </c>
      <c r="I166" s="29">
        <f>IF(OR(A166&lt;1,A166&gt;SV_T),0,(-SV_exp0*F166-IF(A166&lt;=SV_loanYears,SV_inst,0)-IF(AND(SV_wdAmt&gt;0,A166=SV_wdYear),SV_wdAmt,0))*IF(AND(SV_expOn,A166&gt;=SV_expS,A166&lt;=SV_expE),1+SV_expImp,1))</f>
        <v/>
      </c>
      <c r="J166" s="29">
        <f>IF(OR(OR(A166&lt;1,A166&gt;SV_T),A166&gt;SV_loanYears),0,-SV_lifePremYr)</f>
        <v/>
      </c>
      <c r="K166" s="29">
        <f>IF(OR(A166&lt;1,A166&gt;SV_T),0,-SV_contrib)</f>
        <v/>
      </c>
      <c r="L166" s="60">
        <f>IF(AND(SV_crashOn,A166=SV_crashYr),SV_crashF,1)</f>
        <v/>
      </c>
      <c r="M166" s="60">
        <f>IF(AND(SV_ccyOn,A166=SV_ccyYr),SV_ccyF,1)</f>
        <v/>
      </c>
      <c r="N166" s="29">
        <f>IF(A166&gt;SV_T,0,N165*(1+interestRate)*L166*M166)</f>
        <v/>
      </c>
      <c r="O166" s="29">
        <f>IF(A166&gt;SV_T,0,(O165+SV_contrib)*(1+investmentReturn)*L166*M166)</f>
        <v/>
      </c>
      <c r="P166" s="29">
        <f>IF(A166&gt;SV_T,0,P165*(1+SV_propRate)*L166)</f>
        <v/>
      </c>
      <c r="Q166" s="46">
        <f>MATCH(SV_age+A166-1,SV_cpfLower,1)</f>
        <v/>
      </c>
      <c r="R166" s="29">
        <f>IF(OR(OR(A166&lt;1,A166&gt;SV_T),NOT(SV_cpfOn)),0,MIN(SV_sal0*(1+incomeGrowthRate)^(A166-1)*G166,SV_owCap))</f>
        <v/>
      </c>
      <c r="S166" s="29">
        <f>IF(A166&gt;SV_T,0,S165*(1+SV_oaRate)+IF(A166&gt;=SV_effStop,0,INDEX(SV_cpfOA,Q166)*INDEX(SV_cpfTot,Q166)*R166))</f>
        <v/>
      </c>
      <c r="T166" s="29">
        <f>IF(A166&gt;SV_T,0,T165*(1+SV_saRate)+IF(A166&gt;=SV_effStop,0,INDEX(SV_cpfSA,Q166)*INDEX(SV_cpfTot,Q166)*R166))</f>
        <v/>
      </c>
      <c r="U166" s="29">
        <f>IF(A166&gt;SV_T,0,U165*(1+SV_saRate)+IF(A166&gt;=SV_effStop,0,INDEX(SV_cpfMA,Q166)*INDEX(SV_cpfTot,Q166)*R166))</f>
        <v/>
      </c>
      <c r="V166" s="29">
        <f>IF(OR(OR(A166&lt;1,A166&gt;SV_T),A166&gt;=SV_effNeg),0,-(INDEX(SV_cpfOA,Q166)+INDEX(SV_cpfSA,Q166)+INDEX(SV_cpfMA,Q166))*INDEX(SV_cpfEmp,Q166)*R166)</f>
        <v/>
      </c>
      <c r="W166" s="29">
        <f>IF(A166&gt;=SV_sIdx,0,S166)</f>
        <v/>
      </c>
      <c r="X166" s="29">
        <f>IF(A166&gt;=SV_sIdx,0,T166)</f>
        <v/>
      </c>
      <c r="Y166" s="29">
        <f>IF(A166&gt;=SV_sIdx,MIN(U166,SV_maCap),U166)</f>
        <v/>
      </c>
      <c r="Z166" s="29">
        <f>IF(AND(SV_cpfOn,A166&gt;=SV_pIdx,A166&lt;=SV_T),12*SV_pay,0)</f>
        <v/>
      </c>
      <c r="AA166" s="29">
        <f>IF(A166&gt;SV_T,0,IF(SV_sp&gt;=0,IF(A166&lt;SV_sIdx,0,IF(A166=SV_sIdx,SV_R0,SV_lifeGrowth*AA165)),SV_lifeGrowth*AA165))</f>
        <v/>
      </c>
      <c r="AB166" s="29">
        <f>IF(A166&gt;SV_T,0,IF(AND(SV_sp&gt;=0,A166&lt;SV_sIdx),0,IF(AND(SV_sp&gt;=0,A166=SV_sIdx),SV_L0,SV_lifeGrowth*(AB165-Z166))))</f>
        <v/>
      </c>
      <c r="AC166" s="29">
        <f>W166+X166+AA166+Y166+IF(AA166&lt;0,0,AB166)</f>
        <v/>
      </c>
      <c r="AD166" s="29">
        <f>Z166+V166</f>
        <v/>
      </c>
      <c r="AE166" s="29">
        <f>IF(OR(A166&gt;SV_T,A166&gt;=SV_loanYears),0,MAX(0,AE165*(1+loanRate)-SV_inst))</f>
        <v/>
      </c>
      <c r="AF166" s="29">
        <f>IF(A166&gt;SV_T,0,AF165*(1+SV_savRate)+H166+I166+J166+K166+AD166)</f>
        <v/>
      </c>
      <c r="AG166" s="29">
        <f>IF(A166&gt;SV_T,0,MAX(0,N166+O166+P166+AC166+AF166-AE166))</f>
        <v/>
      </c>
      <c r="AH166" s="29">
        <f>IF(A166&gt;SV_T,0,N166+O166+AF166-MAX(0,AE166-(P166+AC166)))</f>
        <v/>
      </c>
      <c r="AI166" s="29">
        <f>IF(OR(OR(A166&lt;1,A166&gt;SV_T),A166-1&gt;=SV_retPay),0,SV_retMth*12+IF(A166=1,SV_retLump,0))</f>
        <v/>
      </c>
      <c r="AJ166" s="29">
        <f>IF(A166&gt;SV_T,0,(AJ165+AI166)*(1+investmentReturn))</f>
        <v/>
      </c>
      <c r="AK166" s="29">
        <f>IF(OR(OR(A166&lt;1,A166&gt;SV_T),A166-1&gt;=SV_goalPay),0,SV_goalMth*12+IF(A166=1,SV_goalLump,0))</f>
        <v/>
      </c>
      <c r="AL166" s="29">
        <f>IF(A166&gt;SV_T,0,(AL165+AK166)*(1+investmentReturn))</f>
        <v/>
      </c>
      <c r="AM166" s="29">
        <f>IF(OR(OR(A166&lt;1,A166&gt;SV_T),A166-1&gt;=SV_protPay),0,SV_protPrem)</f>
        <v/>
      </c>
      <c r="AN166" s="29">
        <f>IF(OR(A166=0,A166&gt;=SV_T),0,ROUND(MAX(0,AJ166),2)+ROUND(MAX(0,AL166),2))</f>
        <v/>
      </c>
      <c r="AO166" s="29">
        <f>IF(OR(A166&lt;1,A166&gt;SV_T),0,-(AI166+AK166+AM166)+IF(A166=SV_T,ROUND(MAX(0,AJ166),2)+ROUND(MAX(0,AL166),2),0))</f>
        <v/>
      </c>
      <c r="AP166" s="29">
        <f>IF(A166&gt;SV_T,0,AP165*(1+SV_savRate)+H166+I166+J166+K166+AD166+AO166)</f>
        <v/>
      </c>
      <c r="AQ166" s="29">
        <f>IF(A166&gt;SV_T,0,MAX(0,N166+O166+P166+AC166+AP166+AN166-AE166))</f>
        <v/>
      </c>
      <c r="AR166" s="29">
        <f>IF(A166&gt;SV_T,0,N166+O166+AP166+AN166-MAX(0,AE166-(P166+AC166)))</f>
        <v/>
      </c>
    </row>
    <row r="167">
      <c r="A167" s="61" t="n">
        <v>38</v>
      </c>
      <c r="B167" s="61">
        <f>SV_age+A167</f>
        <v/>
      </c>
      <c r="C167" s="61">
        <f>currentYear+A167</f>
        <v/>
      </c>
      <c r="D167" s="52">
        <f>A167&lt;=SV_T</f>
        <v/>
      </c>
      <c r="E167" s="60">
        <f>IF(AND(SV_inflOn,A167&gt;=SV_inflS,A167&lt;=SV_inflE),1+SV_inflRate,1+inflationRate)</f>
        <v/>
      </c>
      <c r="F167" s="60">
        <f>IF(A167&lt;=1,1,F166*E167)</f>
        <v/>
      </c>
      <c r="G167" s="60">
        <f>IF(AND(SV_incOn,A167&gt;=SV_incS,A167&lt;=SV_incE),1+SV_incImp,1)</f>
        <v/>
      </c>
      <c r="H167" s="29">
        <f>IF(OR(OR(A167&lt;1,A167&gt;SV_T),A167-1&gt;=SV_salCut),0,SV_sal0*(1+incomeGrowthRate)^(A167-1)*G167)</f>
        <v/>
      </c>
      <c r="I167" s="29">
        <f>IF(OR(A167&lt;1,A167&gt;SV_T),0,(-SV_exp0*F167-IF(A167&lt;=SV_loanYears,SV_inst,0)-IF(AND(SV_wdAmt&gt;0,A167=SV_wdYear),SV_wdAmt,0))*IF(AND(SV_expOn,A167&gt;=SV_expS,A167&lt;=SV_expE),1+SV_expImp,1))</f>
        <v/>
      </c>
      <c r="J167" s="29">
        <f>IF(OR(OR(A167&lt;1,A167&gt;SV_T),A167&gt;SV_loanYears),0,-SV_lifePremYr)</f>
        <v/>
      </c>
      <c r="K167" s="29">
        <f>IF(OR(A167&lt;1,A167&gt;SV_T),0,-SV_contrib)</f>
        <v/>
      </c>
      <c r="L167" s="60">
        <f>IF(AND(SV_crashOn,A167=SV_crashYr),SV_crashF,1)</f>
        <v/>
      </c>
      <c r="M167" s="60">
        <f>IF(AND(SV_ccyOn,A167=SV_ccyYr),SV_ccyF,1)</f>
        <v/>
      </c>
      <c r="N167" s="29">
        <f>IF(A167&gt;SV_T,0,N166*(1+interestRate)*L167*M167)</f>
        <v/>
      </c>
      <c r="O167" s="29">
        <f>IF(A167&gt;SV_T,0,(O166+SV_contrib)*(1+investmentReturn)*L167*M167)</f>
        <v/>
      </c>
      <c r="P167" s="29">
        <f>IF(A167&gt;SV_T,0,P166*(1+SV_propRate)*L167)</f>
        <v/>
      </c>
      <c r="Q167" s="46">
        <f>MATCH(SV_age+A167-1,SV_cpfLower,1)</f>
        <v/>
      </c>
      <c r="R167" s="29">
        <f>IF(OR(OR(A167&lt;1,A167&gt;SV_T),NOT(SV_cpfOn)),0,MIN(SV_sal0*(1+incomeGrowthRate)^(A167-1)*G167,SV_owCap))</f>
        <v/>
      </c>
      <c r="S167" s="29">
        <f>IF(A167&gt;SV_T,0,S166*(1+SV_oaRate)+IF(A167&gt;=SV_effStop,0,INDEX(SV_cpfOA,Q167)*INDEX(SV_cpfTot,Q167)*R167))</f>
        <v/>
      </c>
      <c r="T167" s="29">
        <f>IF(A167&gt;SV_T,0,T166*(1+SV_saRate)+IF(A167&gt;=SV_effStop,0,INDEX(SV_cpfSA,Q167)*INDEX(SV_cpfTot,Q167)*R167))</f>
        <v/>
      </c>
      <c r="U167" s="29">
        <f>IF(A167&gt;SV_T,0,U166*(1+SV_saRate)+IF(A167&gt;=SV_effStop,0,INDEX(SV_cpfMA,Q167)*INDEX(SV_cpfTot,Q167)*R167))</f>
        <v/>
      </c>
      <c r="V167" s="29">
        <f>IF(OR(OR(A167&lt;1,A167&gt;SV_T),A167&gt;=SV_effNeg),0,-(INDEX(SV_cpfOA,Q167)+INDEX(SV_cpfSA,Q167)+INDEX(SV_cpfMA,Q167))*INDEX(SV_cpfEmp,Q167)*R167)</f>
        <v/>
      </c>
      <c r="W167" s="29">
        <f>IF(A167&gt;=SV_sIdx,0,S167)</f>
        <v/>
      </c>
      <c r="X167" s="29">
        <f>IF(A167&gt;=SV_sIdx,0,T167)</f>
        <v/>
      </c>
      <c r="Y167" s="29">
        <f>IF(A167&gt;=SV_sIdx,MIN(U167,SV_maCap),U167)</f>
        <v/>
      </c>
      <c r="Z167" s="29">
        <f>IF(AND(SV_cpfOn,A167&gt;=SV_pIdx,A167&lt;=SV_T),12*SV_pay,0)</f>
        <v/>
      </c>
      <c r="AA167" s="29">
        <f>IF(A167&gt;SV_T,0,IF(SV_sp&gt;=0,IF(A167&lt;SV_sIdx,0,IF(A167=SV_sIdx,SV_R0,SV_lifeGrowth*AA166)),SV_lifeGrowth*AA166))</f>
        <v/>
      </c>
      <c r="AB167" s="29">
        <f>IF(A167&gt;SV_T,0,IF(AND(SV_sp&gt;=0,A167&lt;SV_sIdx),0,IF(AND(SV_sp&gt;=0,A167=SV_sIdx),SV_L0,SV_lifeGrowth*(AB166-Z167))))</f>
        <v/>
      </c>
      <c r="AC167" s="29">
        <f>W167+X167+AA167+Y167+IF(AA167&lt;0,0,AB167)</f>
        <v/>
      </c>
      <c r="AD167" s="29">
        <f>Z167+V167</f>
        <v/>
      </c>
      <c r="AE167" s="29">
        <f>IF(OR(A167&gt;SV_T,A167&gt;=SV_loanYears),0,MAX(0,AE166*(1+loanRate)-SV_inst))</f>
        <v/>
      </c>
      <c r="AF167" s="29">
        <f>IF(A167&gt;SV_T,0,AF166*(1+SV_savRate)+H167+I167+J167+K167+AD167)</f>
        <v/>
      </c>
      <c r="AG167" s="29">
        <f>IF(A167&gt;SV_T,0,MAX(0,N167+O167+P167+AC167+AF167-AE167))</f>
        <v/>
      </c>
      <c r="AH167" s="29">
        <f>IF(A167&gt;SV_T,0,N167+O167+AF167-MAX(0,AE167-(P167+AC167)))</f>
        <v/>
      </c>
      <c r="AI167" s="29">
        <f>IF(OR(OR(A167&lt;1,A167&gt;SV_T),A167-1&gt;=SV_retPay),0,SV_retMth*12+IF(A167=1,SV_retLump,0))</f>
        <v/>
      </c>
      <c r="AJ167" s="29">
        <f>IF(A167&gt;SV_T,0,(AJ166+AI167)*(1+investmentReturn))</f>
        <v/>
      </c>
      <c r="AK167" s="29">
        <f>IF(OR(OR(A167&lt;1,A167&gt;SV_T),A167-1&gt;=SV_goalPay),0,SV_goalMth*12+IF(A167=1,SV_goalLump,0))</f>
        <v/>
      </c>
      <c r="AL167" s="29">
        <f>IF(A167&gt;SV_T,0,(AL166+AK167)*(1+investmentReturn))</f>
        <v/>
      </c>
      <c r="AM167" s="29">
        <f>IF(OR(OR(A167&lt;1,A167&gt;SV_T),A167-1&gt;=SV_protPay),0,SV_protPrem)</f>
        <v/>
      </c>
      <c r="AN167" s="29">
        <f>IF(OR(A167=0,A167&gt;=SV_T),0,ROUND(MAX(0,AJ167),2)+ROUND(MAX(0,AL167),2))</f>
        <v/>
      </c>
      <c r="AO167" s="29">
        <f>IF(OR(A167&lt;1,A167&gt;SV_T),0,-(AI167+AK167+AM167)+IF(A167=SV_T,ROUND(MAX(0,AJ167),2)+ROUND(MAX(0,AL167),2),0))</f>
        <v/>
      </c>
      <c r="AP167" s="29">
        <f>IF(A167&gt;SV_T,0,AP166*(1+SV_savRate)+H167+I167+J167+K167+AD167+AO167)</f>
        <v/>
      </c>
      <c r="AQ167" s="29">
        <f>IF(A167&gt;SV_T,0,MAX(0,N167+O167+P167+AC167+AP167+AN167-AE167))</f>
        <v/>
      </c>
      <c r="AR167" s="29">
        <f>IF(A167&gt;SV_T,0,N167+O167+AP167+AN167-MAX(0,AE167-(P167+AC167)))</f>
        <v/>
      </c>
    </row>
    <row r="168">
      <c r="A168" s="61" t="n">
        <v>39</v>
      </c>
      <c r="B168" s="61">
        <f>SV_age+A168</f>
        <v/>
      </c>
      <c r="C168" s="61">
        <f>currentYear+A168</f>
        <v/>
      </c>
      <c r="D168" s="52">
        <f>A168&lt;=SV_T</f>
        <v/>
      </c>
      <c r="E168" s="60">
        <f>IF(AND(SV_inflOn,A168&gt;=SV_inflS,A168&lt;=SV_inflE),1+SV_inflRate,1+inflationRate)</f>
        <v/>
      </c>
      <c r="F168" s="60">
        <f>IF(A168&lt;=1,1,F167*E168)</f>
        <v/>
      </c>
      <c r="G168" s="60">
        <f>IF(AND(SV_incOn,A168&gt;=SV_incS,A168&lt;=SV_incE),1+SV_incImp,1)</f>
        <v/>
      </c>
      <c r="H168" s="29">
        <f>IF(OR(OR(A168&lt;1,A168&gt;SV_T),A168-1&gt;=SV_salCut),0,SV_sal0*(1+incomeGrowthRate)^(A168-1)*G168)</f>
        <v/>
      </c>
      <c r="I168" s="29">
        <f>IF(OR(A168&lt;1,A168&gt;SV_T),0,(-SV_exp0*F168-IF(A168&lt;=SV_loanYears,SV_inst,0)-IF(AND(SV_wdAmt&gt;0,A168=SV_wdYear),SV_wdAmt,0))*IF(AND(SV_expOn,A168&gt;=SV_expS,A168&lt;=SV_expE),1+SV_expImp,1))</f>
        <v/>
      </c>
      <c r="J168" s="29">
        <f>IF(OR(OR(A168&lt;1,A168&gt;SV_T),A168&gt;SV_loanYears),0,-SV_lifePremYr)</f>
        <v/>
      </c>
      <c r="K168" s="29">
        <f>IF(OR(A168&lt;1,A168&gt;SV_T),0,-SV_contrib)</f>
        <v/>
      </c>
      <c r="L168" s="60">
        <f>IF(AND(SV_crashOn,A168=SV_crashYr),SV_crashF,1)</f>
        <v/>
      </c>
      <c r="M168" s="60">
        <f>IF(AND(SV_ccyOn,A168=SV_ccyYr),SV_ccyF,1)</f>
        <v/>
      </c>
      <c r="N168" s="29">
        <f>IF(A168&gt;SV_T,0,N167*(1+interestRate)*L168*M168)</f>
        <v/>
      </c>
      <c r="O168" s="29">
        <f>IF(A168&gt;SV_T,0,(O167+SV_contrib)*(1+investmentReturn)*L168*M168)</f>
        <v/>
      </c>
      <c r="P168" s="29">
        <f>IF(A168&gt;SV_T,0,P167*(1+SV_propRate)*L168)</f>
        <v/>
      </c>
      <c r="Q168" s="46">
        <f>MATCH(SV_age+A168-1,SV_cpfLower,1)</f>
        <v/>
      </c>
      <c r="R168" s="29">
        <f>IF(OR(OR(A168&lt;1,A168&gt;SV_T),NOT(SV_cpfOn)),0,MIN(SV_sal0*(1+incomeGrowthRate)^(A168-1)*G168,SV_owCap))</f>
        <v/>
      </c>
      <c r="S168" s="29">
        <f>IF(A168&gt;SV_T,0,S167*(1+SV_oaRate)+IF(A168&gt;=SV_effStop,0,INDEX(SV_cpfOA,Q168)*INDEX(SV_cpfTot,Q168)*R168))</f>
        <v/>
      </c>
      <c r="T168" s="29">
        <f>IF(A168&gt;SV_T,0,T167*(1+SV_saRate)+IF(A168&gt;=SV_effStop,0,INDEX(SV_cpfSA,Q168)*INDEX(SV_cpfTot,Q168)*R168))</f>
        <v/>
      </c>
      <c r="U168" s="29">
        <f>IF(A168&gt;SV_T,0,U167*(1+SV_saRate)+IF(A168&gt;=SV_effStop,0,INDEX(SV_cpfMA,Q168)*INDEX(SV_cpfTot,Q168)*R168))</f>
        <v/>
      </c>
      <c r="V168" s="29">
        <f>IF(OR(OR(A168&lt;1,A168&gt;SV_T),A168&gt;=SV_effNeg),0,-(INDEX(SV_cpfOA,Q168)+INDEX(SV_cpfSA,Q168)+INDEX(SV_cpfMA,Q168))*INDEX(SV_cpfEmp,Q168)*R168)</f>
        <v/>
      </c>
      <c r="W168" s="29">
        <f>IF(A168&gt;=SV_sIdx,0,S168)</f>
        <v/>
      </c>
      <c r="X168" s="29">
        <f>IF(A168&gt;=SV_sIdx,0,T168)</f>
        <v/>
      </c>
      <c r="Y168" s="29">
        <f>IF(A168&gt;=SV_sIdx,MIN(U168,SV_maCap),U168)</f>
        <v/>
      </c>
      <c r="Z168" s="29">
        <f>IF(AND(SV_cpfOn,A168&gt;=SV_pIdx,A168&lt;=SV_T),12*SV_pay,0)</f>
        <v/>
      </c>
      <c r="AA168" s="29">
        <f>IF(A168&gt;SV_T,0,IF(SV_sp&gt;=0,IF(A168&lt;SV_sIdx,0,IF(A168=SV_sIdx,SV_R0,SV_lifeGrowth*AA167)),SV_lifeGrowth*AA167))</f>
        <v/>
      </c>
      <c r="AB168" s="29">
        <f>IF(A168&gt;SV_T,0,IF(AND(SV_sp&gt;=0,A168&lt;SV_sIdx),0,IF(AND(SV_sp&gt;=0,A168=SV_sIdx),SV_L0,SV_lifeGrowth*(AB167-Z168))))</f>
        <v/>
      </c>
      <c r="AC168" s="29">
        <f>W168+X168+AA168+Y168+IF(AA168&lt;0,0,AB168)</f>
        <v/>
      </c>
      <c r="AD168" s="29">
        <f>Z168+V168</f>
        <v/>
      </c>
      <c r="AE168" s="29">
        <f>IF(OR(A168&gt;SV_T,A168&gt;=SV_loanYears),0,MAX(0,AE167*(1+loanRate)-SV_inst))</f>
        <v/>
      </c>
      <c r="AF168" s="29">
        <f>IF(A168&gt;SV_T,0,AF167*(1+SV_savRate)+H168+I168+J168+K168+AD168)</f>
        <v/>
      </c>
      <c r="AG168" s="29">
        <f>IF(A168&gt;SV_T,0,MAX(0,N168+O168+P168+AC168+AF168-AE168))</f>
        <v/>
      </c>
      <c r="AH168" s="29">
        <f>IF(A168&gt;SV_T,0,N168+O168+AF168-MAX(0,AE168-(P168+AC168)))</f>
        <v/>
      </c>
      <c r="AI168" s="29">
        <f>IF(OR(OR(A168&lt;1,A168&gt;SV_T),A168-1&gt;=SV_retPay),0,SV_retMth*12+IF(A168=1,SV_retLump,0))</f>
        <v/>
      </c>
      <c r="AJ168" s="29">
        <f>IF(A168&gt;SV_T,0,(AJ167+AI168)*(1+investmentReturn))</f>
        <v/>
      </c>
      <c r="AK168" s="29">
        <f>IF(OR(OR(A168&lt;1,A168&gt;SV_T),A168-1&gt;=SV_goalPay),0,SV_goalMth*12+IF(A168=1,SV_goalLump,0))</f>
        <v/>
      </c>
      <c r="AL168" s="29">
        <f>IF(A168&gt;SV_T,0,(AL167+AK168)*(1+investmentReturn))</f>
        <v/>
      </c>
      <c r="AM168" s="29">
        <f>IF(OR(OR(A168&lt;1,A168&gt;SV_T),A168-1&gt;=SV_protPay),0,SV_protPrem)</f>
        <v/>
      </c>
      <c r="AN168" s="29">
        <f>IF(OR(A168=0,A168&gt;=SV_T),0,ROUND(MAX(0,AJ168),2)+ROUND(MAX(0,AL168),2))</f>
        <v/>
      </c>
      <c r="AO168" s="29">
        <f>IF(OR(A168&lt;1,A168&gt;SV_T),0,-(AI168+AK168+AM168)+IF(A168=SV_T,ROUND(MAX(0,AJ168),2)+ROUND(MAX(0,AL168),2),0))</f>
        <v/>
      </c>
      <c r="AP168" s="29">
        <f>IF(A168&gt;SV_T,0,AP167*(1+SV_savRate)+H168+I168+J168+K168+AD168+AO168)</f>
        <v/>
      </c>
      <c r="AQ168" s="29">
        <f>IF(A168&gt;SV_T,0,MAX(0,N168+O168+P168+AC168+AP168+AN168-AE168))</f>
        <v/>
      </c>
      <c r="AR168" s="29">
        <f>IF(A168&gt;SV_T,0,N168+O168+AP168+AN168-MAX(0,AE168-(P168+AC168)))</f>
        <v/>
      </c>
    </row>
    <row r="169">
      <c r="A169" s="61" t="n">
        <v>40</v>
      </c>
      <c r="B169" s="61">
        <f>SV_age+A169</f>
        <v/>
      </c>
      <c r="C169" s="61">
        <f>currentYear+A169</f>
        <v/>
      </c>
      <c r="D169" s="52">
        <f>A169&lt;=SV_T</f>
        <v/>
      </c>
      <c r="E169" s="60">
        <f>IF(AND(SV_inflOn,A169&gt;=SV_inflS,A169&lt;=SV_inflE),1+SV_inflRate,1+inflationRate)</f>
        <v/>
      </c>
      <c r="F169" s="60">
        <f>IF(A169&lt;=1,1,F168*E169)</f>
        <v/>
      </c>
      <c r="G169" s="60">
        <f>IF(AND(SV_incOn,A169&gt;=SV_incS,A169&lt;=SV_incE),1+SV_incImp,1)</f>
        <v/>
      </c>
      <c r="H169" s="29">
        <f>IF(OR(OR(A169&lt;1,A169&gt;SV_T),A169-1&gt;=SV_salCut),0,SV_sal0*(1+incomeGrowthRate)^(A169-1)*G169)</f>
        <v/>
      </c>
      <c r="I169" s="29">
        <f>IF(OR(A169&lt;1,A169&gt;SV_T),0,(-SV_exp0*F169-IF(A169&lt;=SV_loanYears,SV_inst,0)-IF(AND(SV_wdAmt&gt;0,A169=SV_wdYear),SV_wdAmt,0))*IF(AND(SV_expOn,A169&gt;=SV_expS,A169&lt;=SV_expE),1+SV_expImp,1))</f>
        <v/>
      </c>
      <c r="J169" s="29">
        <f>IF(OR(OR(A169&lt;1,A169&gt;SV_T),A169&gt;SV_loanYears),0,-SV_lifePremYr)</f>
        <v/>
      </c>
      <c r="K169" s="29">
        <f>IF(OR(A169&lt;1,A169&gt;SV_T),0,-SV_contrib)</f>
        <v/>
      </c>
      <c r="L169" s="60">
        <f>IF(AND(SV_crashOn,A169=SV_crashYr),SV_crashF,1)</f>
        <v/>
      </c>
      <c r="M169" s="60">
        <f>IF(AND(SV_ccyOn,A169=SV_ccyYr),SV_ccyF,1)</f>
        <v/>
      </c>
      <c r="N169" s="29">
        <f>IF(A169&gt;SV_T,0,N168*(1+interestRate)*L169*M169)</f>
        <v/>
      </c>
      <c r="O169" s="29">
        <f>IF(A169&gt;SV_T,0,(O168+SV_contrib)*(1+investmentReturn)*L169*M169)</f>
        <v/>
      </c>
      <c r="P169" s="29">
        <f>IF(A169&gt;SV_T,0,P168*(1+SV_propRate)*L169)</f>
        <v/>
      </c>
      <c r="Q169" s="46">
        <f>MATCH(SV_age+A169-1,SV_cpfLower,1)</f>
        <v/>
      </c>
      <c r="R169" s="29">
        <f>IF(OR(OR(A169&lt;1,A169&gt;SV_T),NOT(SV_cpfOn)),0,MIN(SV_sal0*(1+incomeGrowthRate)^(A169-1)*G169,SV_owCap))</f>
        <v/>
      </c>
      <c r="S169" s="29">
        <f>IF(A169&gt;SV_T,0,S168*(1+SV_oaRate)+IF(A169&gt;=SV_effStop,0,INDEX(SV_cpfOA,Q169)*INDEX(SV_cpfTot,Q169)*R169))</f>
        <v/>
      </c>
      <c r="T169" s="29">
        <f>IF(A169&gt;SV_T,0,T168*(1+SV_saRate)+IF(A169&gt;=SV_effStop,0,INDEX(SV_cpfSA,Q169)*INDEX(SV_cpfTot,Q169)*R169))</f>
        <v/>
      </c>
      <c r="U169" s="29">
        <f>IF(A169&gt;SV_T,0,U168*(1+SV_saRate)+IF(A169&gt;=SV_effStop,0,INDEX(SV_cpfMA,Q169)*INDEX(SV_cpfTot,Q169)*R169))</f>
        <v/>
      </c>
      <c r="V169" s="29">
        <f>IF(OR(OR(A169&lt;1,A169&gt;SV_T),A169&gt;=SV_effNeg),0,-(INDEX(SV_cpfOA,Q169)+INDEX(SV_cpfSA,Q169)+INDEX(SV_cpfMA,Q169))*INDEX(SV_cpfEmp,Q169)*R169)</f>
        <v/>
      </c>
      <c r="W169" s="29">
        <f>IF(A169&gt;=SV_sIdx,0,S169)</f>
        <v/>
      </c>
      <c r="X169" s="29">
        <f>IF(A169&gt;=SV_sIdx,0,T169)</f>
        <v/>
      </c>
      <c r="Y169" s="29">
        <f>IF(A169&gt;=SV_sIdx,MIN(U169,SV_maCap),U169)</f>
        <v/>
      </c>
      <c r="Z169" s="29">
        <f>IF(AND(SV_cpfOn,A169&gt;=SV_pIdx,A169&lt;=SV_T),12*SV_pay,0)</f>
        <v/>
      </c>
      <c r="AA169" s="29">
        <f>IF(A169&gt;SV_T,0,IF(SV_sp&gt;=0,IF(A169&lt;SV_sIdx,0,IF(A169=SV_sIdx,SV_R0,SV_lifeGrowth*AA168)),SV_lifeGrowth*AA168))</f>
        <v/>
      </c>
      <c r="AB169" s="29">
        <f>IF(A169&gt;SV_T,0,IF(AND(SV_sp&gt;=0,A169&lt;SV_sIdx),0,IF(AND(SV_sp&gt;=0,A169=SV_sIdx),SV_L0,SV_lifeGrowth*(AB168-Z169))))</f>
        <v/>
      </c>
      <c r="AC169" s="29">
        <f>W169+X169+AA169+Y169+IF(AA169&lt;0,0,AB169)</f>
        <v/>
      </c>
      <c r="AD169" s="29">
        <f>Z169+V169</f>
        <v/>
      </c>
      <c r="AE169" s="29">
        <f>IF(OR(A169&gt;SV_T,A169&gt;=SV_loanYears),0,MAX(0,AE168*(1+loanRate)-SV_inst))</f>
        <v/>
      </c>
      <c r="AF169" s="29">
        <f>IF(A169&gt;SV_T,0,AF168*(1+SV_savRate)+H169+I169+J169+K169+AD169)</f>
        <v/>
      </c>
      <c r="AG169" s="29">
        <f>IF(A169&gt;SV_T,0,MAX(0,N169+O169+P169+AC169+AF169-AE169))</f>
        <v/>
      </c>
      <c r="AH169" s="29">
        <f>IF(A169&gt;SV_T,0,N169+O169+AF169-MAX(0,AE169-(P169+AC169)))</f>
        <v/>
      </c>
      <c r="AI169" s="29">
        <f>IF(OR(OR(A169&lt;1,A169&gt;SV_T),A169-1&gt;=SV_retPay),0,SV_retMth*12+IF(A169=1,SV_retLump,0))</f>
        <v/>
      </c>
      <c r="AJ169" s="29">
        <f>IF(A169&gt;SV_T,0,(AJ168+AI169)*(1+investmentReturn))</f>
        <v/>
      </c>
      <c r="AK169" s="29">
        <f>IF(OR(OR(A169&lt;1,A169&gt;SV_T),A169-1&gt;=SV_goalPay),0,SV_goalMth*12+IF(A169=1,SV_goalLump,0))</f>
        <v/>
      </c>
      <c r="AL169" s="29">
        <f>IF(A169&gt;SV_T,0,(AL168+AK169)*(1+investmentReturn))</f>
        <v/>
      </c>
      <c r="AM169" s="29">
        <f>IF(OR(OR(A169&lt;1,A169&gt;SV_T),A169-1&gt;=SV_protPay),0,SV_protPrem)</f>
        <v/>
      </c>
      <c r="AN169" s="29">
        <f>IF(OR(A169=0,A169&gt;=SV_T),0,ROUND(MAX(0,AJ169),2)+ROUND(MAX(0,AL169),2))</f>
        <v/>
      </c>
      <c r="AO169" s="29">
        <f>IF(OR(A169&lt;1,A169&gt;SV_T),0,-(AI169+AK169+AM169)+IF(A169=SV_T,ROUND(MAX(0,AJ169),2)+ROUND(MAX(0,AL169),2),0))</f>
        <v/>
      </c>
      <c r="AP169" s="29">
        <f>IF(A169&gt;SV_T,0,AP168*(1+SV_savRate)+H169+I169+J169+K169+AD169+AO169)</f>
        <v/>
      </c>
      <c r="AQ169" s="29">
        <f>IF(A169&gt;SV_T,0,MAX(0,N169+O169+P169+AC169+AP169+AN169-AE169))</f>
        <v/>
      </c>
      <c r="AR169" s="29">
        <f>IF(A169&gt;SV_T,0,N169+O169+AP169+AN169-MAX(0,AE169-(P169+AC169)))</f>
        <v/>
      </c>
    </row>
    <row r="170">
      <c r="A170" s="61" t="n">
        <v>41</v>
      </c>
      <c r="B170" s="61">
        <f>SV_age+A170</f>
        <v/>
      </c>
      <c r="C170" s="61">
        <f>currentYear+A170</f>
        <v/>
      </c>
      <c r="D170" s="52">
        <f>A170&lt;=SV_T</f>
        <v/>
      </c>
      <c r="E170" s="60">
        <f>IF(AND(SV_inflOn,A170&gt;=SV_inflS,A170&lt;=SV_inflE),1+SV_inflRate,1+inflationRate)</f>
        <v/>
      </c>
      <c r="F170" s="60">
        <f>IF(A170&lt;=1,1,F169*E170)</f>
        <v/>
      </c>
      <c r="G170" s="60">
        <f>IF(AND(SV_incOn,A170&gt;=SV_incS,A170&lt;=SV_incE),1+SV_incImp,1)</f>
        <v/>
      </c>
      <c r="H170" s="29">
        <f>IF(OR(OR(A170&lt;1,A170&gt;SV_T),A170-1&gt;=SV_salCut),0,SV_sal0*(1+incomeGrowthRate)^(A170-1)*G170)</f>
        <v/>
      </c>
      <c r="I170" s="29">
        <f>IF(OR(A170&lt;1,A170&gt;SV_T),0,(-SV_exp0*F170-IF(A170&lt;=SV_loanYears,SV_inst,0)-IF(AND(SV_wdAmt&gt;0,A170=SV_wdYear),SV_wdAmt,0))*IF(AND(SV_expOn,A170&gt;=SV_expS,A170&lt;=SV_expE),1+SV_expImp,1))</f>
        <v/>
      </c>
      <c r="J170" s="29">
        <f>IF(OR(OR(A170&lt;1,A170&gt;SV_T),A170&gt;SV_loanYears),0,-SV_lifePremYr)</f>
        <v/>
      </c>
      <c r="K170" s="29">
        <f>IF(OR(A170&lt;1,A170&gt;SV_T),0,-SV_contrib)</f>
        <v/>
      </c>
      <c r="L170" s="60">
        <f>IF(AND(SV_crashOn,A170=SV_crashYr),SV_crashF,1)</f>
        <v/>
      </c>
      <c r="M170" s="60">
        <f>IF(AND(SV_ccyOn,A170=SV_ccyYr),SV_ccyF,1)</f>
        <v/>
      </c>
      <c r="N170" s="29">
        <f>IF(A170&gt;SV_T,0,N169*(1+interestRate)*L170*M170)</f>
        <v/>
      </c>
      <c r="O170" s="29">
        <f>IF(A170&gt;SV_T,0,(O169+SV_contrib)*(1+investmentReturn)*L170*M170)</f>
        <v/>
      </c>
      <c r="P170" s="29">
        <f>IF(A170&gt;SV_T,0,P169*(1+SV_propRate)*L170)</f>
        <v/>
      </c>
      <c r="Q170" s="46">
        <f>MATCH(SV_age+A170-1,SV_cpfLower,1)</f>
        <v/>
      </c>
      <c r="R170" s="29">
        <f>IF(OR(OR(A170&lt;1,A170&gt;SV_T),NOT(SV_cpfOn)),0,MIN(SV_sal0*(1+incomeGrowthRate)^(A170-1)*G170,SV_owCap))</f>
        <v/>
      </c>
      <c r="S170" s="29">
        <f>IF(A170&gt;SV_T,0,S169*(1+SV_oaRate)+IF(A170&gt;=SV_effStop,0,INDEX(SV_cpfOA,Q170)*INDEX(SV_cpfTot,Q170)*R170))</f>
        <v/>
      </c>
      <c r="T170" s="29">
        <f>IF(A170&gt;SV_T,0,T169*(1+SV_saRate)+IF(A170&gt;=SV_effStop,0,INDEX(SV_cpfSA,Q170)*INDEX(SV_cpfTot,Q170)*R170))</f>
        <v/>
      </c>
      <c r="U170" s="29">
        <f>IF(A170&gt;SV_T,0,U169*(1+SV_saRate)+IF(A170&gt;=SV_effStop,0,INDEX(SV_cpfMA,Q170)*INDEX(SV_cpfTot,Q170)*R170))</f>
        <v/>
      </c>
      <c r="V170" s="29">
        <f>IF(OR(OR(A170&lt;1,A170&gt;SV_T),A170&gt;=SV_effNeg),0,-(INDEX(SV_cpfOA,Q170)+INDEX(SV_cpfSA,Q170)+INDEX(SV_cpfMA,Q170))*INDEX(SV_cpfEmp,Q170)*R170)</f>
        <v/>
      </c>
      <c r="W170" s="29">
        <f>IF(A170&gt;=SV_sIdx,0,S170)</f>
        <v/>
      </c>
      <c r="X170" s="29">
        <f>IF(A170&gt;=SV_sIdx,0,T170)</f>
        <v/>
      </c>
      <c r="Y170" s="29">
        <f>IF(A170&gt;=SV_sIdx,MIN(U170,SV_maCap),U170)</f>
        <v/>
      </c>
      <c r="Z170" s="29">
        <f>IF(AND(SV_cpfOn,A170&gt;=SV_pIdx,A170&lt;=SV_T),12*SV_pay,0)</f>
        <v/>
      </c>
      <c r="AA170" s="29">
        <f>IF(A170&gt;SV_T,0,IF(SV_sp&gt;=0,IF(A170&lt;SV_sIdx,0,IF(A170=SV_sIdx,SV_R0,SV_lifeGrowth*AA169)),SV_lifeGrowth*AA169))</f>
        <v/>
      </c>
      <c r="AB170" s="29">
        <f>IF(A170&gt;SV_T,0,IF(AND(SV_sp&gt;=0,A170&lt;SV_sIdx),0,IF(AND(SV_sp&gt;=0,A170=SV_sIdx),SV_L0,SV_lifeGrowth*(AB169-Z170))))</f>
        <v/>
      </c>
      <c r="AC170" s="29">
        <f>W170+X170+AA170+Y170+IF(AA170&lt;0,0,AB170)</f>
        <v/>
      </c>
      <c r="AD170" s="29">
        <f>Z170+V170</f>
        <v/>
      </c>
      <c r="AE170" s="29">
        <f>IF(OR(A170&gt;SV_T,A170&gt;=SV_loanYears),0,MAX(0,AE169*(1+loanRate)-SV_inst))</f>
        <v/>
      </c>
      <c r="AF170" s="29">
        <f>IF(A170&gt;SV_T,0,AF169*(1+SV_savRate)+H170+I170+J170+K170+AD170)</f>
        <v/>
      </c>
      <c r="AG170" s="29">
        <f>IF(A170&gt;SV_T,0,MAX(0,N170+O170+P170+AC170+AF170-AE170))</f>
        <v/>
      </c>
      <c r="AH170" s="29">
        <f>IF(A170&gt;SV_T,0,N170+O170+AF170-MAX(0,AE170-(P170+AC170)))</f>
        <v/>
      </c>
      <c r="AI170" s="29">
        <f>IF(OR(OR(A170&lt;1,A170&gt;SV_T),A170-1&gt;=SV_retPay),0,SV_retMth*12+IF(A170=1,SV_retLump,0))</f>
        <v/>
      </c>
      <c r="AJ170" s="29">
        <f>IF(A170&gt;SV_T,0,(AJ169+AI170)*(1+investmentReturn))</f>
        <v/>
      </c>
      <c r="AK170" s="29">
        <f>IF(OR(OR(A170&lt;1,A170&gt;SV_T),A170-1&gt;=SV_goalPay),0,SV_goalMth*12+IF(A170=1,SV_goalLump,0))</f>
        <v/>
      </c>
      <c r="AL170" s="29">
        <f>IF(A170&gt;SV_T,0,(AL169+AK170)*(1+investmentReturn))</f>
        <v/>
      </c>
      <c r="AM170" s="29">
        <f>IF(OR(OR(A170&lt;1,A170&gt;SV_T),A170-1&gt;=SV_protPay),0,SV_protPrem)</f>
        <v/>
      </c>
      <c r="AN170" s="29">
        <f>IF(OR(A170=0,A170&gt;=SV_T),0,ROUND(MAX(0,AJ170),2)+ROUND(MAX(0,AL170),2))</f>
        <v/>
      </c>
      <c r="AO170" s="29">
        <f>IF(OR(A170&lt;1,A170&gt;SV_T),0,-(AI170+AK170+AM170)+IF(A170=SV_T,ROUND(MAX(0,AJ170),2)+ROUND(MAX(0,AL170),2),0))</f>
        <v/>
      </c>
      <c r="AP170" s="29">
        <f>IF(A170&gt;SV_T,0,AP169*(1+SV_savRate)+H170+I170+J170+K170+AD170+AO170)</f>
        <v/>
      </c>
      <c r="AQ170" s="29">
        <f>IF(A170&gt;SV_T,0,MAX(0,N170+O170+P170+AC170+AP170+AN170-AE170))</f>
        <v/>
      </c>
      <c r="AR170" s="29">
        <f>IF(A170&gt;SV_T,0,N170+O170+AP170+AN170-MAX(0,AE170-(P170+AC170)))</f>
        <v/>
      </c>
    </row>
    <row r="171">
      <c r="A171" s="61" t="n">
        <v>42</v>
      </c>
      <c r="B171" s="61">
        <f>SV_age+A171</f>
        <v/>
      </c>
      <c r="C171" s="61">
        <f>currentYear+A171</f>
        <v/>
      </c>
      <c r="D171" s="52">
        <f>A171&lt;=SV_T</f>
        <v/>
      </c>
      <c r="E171" s="60">
        <f>IF(AND(SV_inflOn,A171&gt;=SV_inflS,A171&lt;=SV_inflE),1+SV_inflRate,1+inflationRate)</f>
        <v/>
      </c>
      <c r="F171" s="60">
        <f>IF(A171&lt;=1,1,F170*E171)</f>
        <v/>
      </c>
      <c r="G171" s="60">
        <f>IF(AND(SV_incOn,A171&gt;=SV_incS,A171&lt;=SV_incE),1+SV_incImp,1)</f>
        <v/>
      </c>
      <c r="H171" s="29">
        <f>IF(OR(OR(A171&lt;1,A171&gt;SV_T),A171-1&gt;=SV_salCut),0,SV_sal0*(1+incomeGrowthRate)^(A171-1)*G171)</f>
        <v/>
      </c>
      <c r="I171" s="29">
        <f>IF(OR(A171&lt;1,A171&gt;SV_T),0,(-SV_exp0*F171-IF(A171&lt;=SV_loanYears,SV_inst,0)-IF(AND(SV_wdAmt&gt;0,A171=SV_wdYear),SV_wdAmt,0))*IF(AND(SV_expOn,A171&gt;=SV_expS,A171&lt;=SV_expE),1+SV_expImp,1))</f>
        <v/>
      </c>
      <c r="J171" s="29">
        <f>IF(OR(OR(A171&lt;1,A171&gt;SV_T),A171&gt;SV_loanYears),0,-SV_lifePremYr)</f>
        <v/>
      </c>
      <c r="K171" s="29">
        <f>IF(OR(A171&lt;1,A171&gt;SV_T),0,-SV_contrib)</f>
        <v/>
      </c>
      <c r="L171" s="60">
        <f>IF(AND(SV_crashOn,A171=SV_crashYr),SV_crashF,1)</f>
        <v/>
      </c>
      <c r="M171" s="60">
        <f>IF(AND(SV_ccyOn,A171=SV_ccyYr),SV_ccyF,1)</f>
        <v/>
      </c>
      <c r="N171" s="29">
        <f>IF(A171&gt;SV_T,0,N170*(1+interestRate)*L171*M171)</f>
        <v/>
      </c>
      <c r="O171" s="29">
        <f>IF(A171&gt;SV_T,0,(O170+SV_contrib)*(1+investmentReturn)*L171*M171)</f>
        <v/>
      </c>
      <c r="P171" s="29">
        <f>IF(A171&gt;SV_T,0,P170*(1+SV_propRate)*L171)</f>
        <v/>
      </c>
      <c r="Q171" s="46">
        <f>MATCH(SV_age+A171-1,SV_cpfLower,1)</f>
        <v/>
      </c>
      <c r="R171" s="29">
        <f>IF(OR(OR(A171&lt;1,A171&gt;SV_T),NOT(SV_cpfOn)),0,MIN(SV_sal0*(1+incomeGrowthRate)^(A171-1)*G171,SV_owCap))</f>
        <v/>
      </c>
      <c r="S171" s="29">
        <f>IF(A171&gt;SV_T,0,S170*(1+SV_oaRate)+IF(A171&gt;=SV_effStop,0,INDEX(SV_cpfOA,Q171)*INDEX(SV_cpfTot,Q171)*R171))</f>
        <v/>
      </c>
      <c r="T171" s="29">
        <f>IF(A171&gt;SV_T,0,T170*(1+SV_saRate)+IF(A171&gt;=SV_effStop,0,INDEX(SV_cpfSA,Q171)*INDEX(SV_cpfTot,Q171)*R171))</f>
        <v/>
      </c>
      <c r="U171" s="29">
        <f>IF(A171&gt;SV_T,0,U170*(1+SV_saRate)+IF(A171&gt;=SV_effStop,0,INDEX(SV_cpfMA,Q171)*INDEX(SV_cpfTot,Q171)*R171))</f>
        <v/>
      </c>
      <c r="V171" s="29">
        <f>IF(OR(OR(A171&lt;1,A171&gt;SV_T),A171&gt;=SV_effNeg),0,-(INDEX(SV_cpfOA,Q171)+INDEX(SV_cpfSA,Q171)+INDEX(SV_cpfMA,Q171))*INDEX(SV_cpfEmp,Q171)*R171)</f>
        <v/>
      </c>
      <c r="W171" s="29">
        <f>IF(A171&gt;=SV_sIdx,0,S171)</f>
        <v/>
      </c>
      <c r="X171" s="29">
        <f>IF(A171&gt;=SV_sIdx,0,T171)</f>
        <v/>
      </c>
      <c r="Y171" s="29">
        <f>IF(A171&gt;=SV_sIdx,MIN(U171,SV_maCap),U171)</f>
        <v/>
      </c>
      <c r="Z171" s="29">
        <f>IF(AND(SV_cpfOn,A171&gt;=SV_pIdx,A171&lt;=SV_T),12*SV_pay,0)</f>
        <v/>
      </c>
      <c r="AA171" s="29">
        <f>IF(A171&gt;SV_T,0,IF(SV_sp&gt;=0,IF(A171&lt;SV_sIdx,0,IF(A171=SV_sIdx,SV_R0,SV_lifeGrowth*AA170)),SV_lifeGrowth*AA170))</f>
        <v/>
      </c>
      <c r="AB171" s="29">
        <f>IF(A171&gt;SV_T,0,IF(AND(SV_sp&gt;=0,A171&lt;SV_sIdx),0,IF(AND(SV_sp&gt;=0,A171=SV_sIdx),SV_L0,SV_lifeGrowth*(AB170-Z171))))</f>
        <v/>
      </c>
      <c r="AC171" s="29">
        <f>W171+X171+AA171+Y171+IF(AA171&lt;0,0,AB171)</f>
        <v/>
      </c>
      <c r="AD171" s="29">
        <f>Z171+V171</f>
        <v/>
      </c>
      <c r="AE171" s="29">
        <f>IF(OR(A171&gt;SV_T,A171&gt;=SV_loanYears),0,MAX(0,AE170*(1+loanRate)-SV_inst))</f>
        <v/>
      </c>
      <c r="AF171" s="29">
        <f>IF(A171&gt;SV_T,0,AF170*(1+SV_savRate)+H171+I171+J171+K171+AD171)</f>
        <v/>
      </c>
      <c r="AG171" s="29">
        <f>IF(A171&gt;SV_T,0,MAX(0,N171+O171+P171+AC171+AF171-AE171))</f>
        <v/>
      </c>
      <c r="AH171" s="29">
        <f>IF(A171&gt;SV_T,0,N171+O171+AF171-MAX(0,AE171-(P171+AC171)))</f>
        <v/>
      </c>
      <c r="AI171" s="29">
        <f>IF(OR(OR(A171&lt;1,A171&gt;SV_T),A171-1&gt;=SV_retPay),0,SV_retMth*12+IF(A171=1,SV_retLump,0))</f>
        <v/>
      </c>
      <c r="AJ171" s="29">
        <f>IF(A171&gt;SV_T,0,(AJ170+AI171)*(1+investmentReturn))</f>
        <v/>
      </c>
      <c r="AK171" s="29">
        <f>IF(OR(OR(A171&lt;1,A171&gt;SV_T),A171-1&gt;=SV_goalPay),0,SV_goalMth*12+IF(A171=1,SV_goalLump,0))</f>
        <v/>
      </c>
      <c r="AL171" s="29">
        <f>IF(A171&gt;SV_T,0,(AL170+AK171)*(1+investmentReturn))</f>
        <v/>
      </c>
      <c r="AM171" s="29">
        <f>IF(OR(OR(A171&lt;1,A171&gt;SV_T),A171-1&gt;=SV_protPay),0,SV_protPrem)</f>
        <v/>
      </c>
      <c r="AN171" s="29">
        <f>IF(OR(A171=0,A171&gt;=SV_T),0,ROUND(MAX(0,AJ171),2)+ROUND(MAX(0,AL171),2))</f>
        <v/>
      </c>
      <c r="AO171" s="29">
        <f>IF(OR(A171&lt;1,A171&gt;SV_T),0,-(AI171+AK171+AM171)+IF(A171=SV_T,ROUND(MAX(0,AJ171),2)+ROUND(MAX(0,AL171),2),0))</f>
        <v/>
      </c>
      <c r="AP171" s="29">
        <f>IF(A171&gt;SV_T,0,AP170*(1+SV_savRate)+H171+I171+J171+K171+AD171+AO171)</f>
        <v/>
      </c>
      <c r="AQ171" s="29">
        <f>IF(A171&gt;SV_T,0,MAX(0,N171+O171+P171+AC171+AP171+AN171-AE171))</f>
        <v/>
      </c>
      <c r="AR171" s="29">
        <f>IF(A171&gt;SV_T,0,N171+O171+AP171+AN171-MAX(0,AE171-(P171+AC171)))</f>
        <v/>
      </c>
    </row>
    <row r="172">
      <c r="A172" s="61" t="n">
        <v>43</v>
      </c>
      <c r="B172" s="61">
        <f>SV_age+A172</f>
        <v/>
      </c>
      <c r="C172" s="61">
        <f>currentYear+A172</f>
        <v/>
      </c>
      <c r="D172" s="52">
        <f>A172&lt;=SV_T</f>
        <v/>
      </c>
      <c r="E172" s="60">
        <f>IF(AND(SV_inflOn,A172&gt;=SV_inflS,A172&lt;=SV_inflE),1+SV_inflRate,1+inflationRate)</f>
        <v/>
      </c>
      <c r="F172" s="60">
        <f>IF(A172&lt;=1,1,F171*E172)</f>
        <v/>
      </c>
      <c r="G172" s="60">
        <f>IF(AND(SV_incOn,A172&gt;=SV_incS,A172&lt;=SV_incE),1+SV_incImp,1)</f>
        <v/>
      </c>
      <c r="H172" s="29">
        <f>IF(OR(OR(A172&lt;1,A172&gt;SV_T),A172-1&gt;=SV_salCut),0,SV_sal0*(1+incomeGrowthRate)^(A172-1)*G172)</f>
        <v/>
      </c>
      <c r="I172" s="29">
        <f>IF(OR(A172&lt;1,A172&gt;SV_T),0,(-SV_exp0*F172-IF(A172&lt;=SV_loanYears,SV_inst,0)-IF(AND(SV_wdAmt&gt;0,A172=SV_wdYear),SV_wdAmt,0))*IF(AND(SV_expOn,A172&gt;=SV_expS,A172&lt;=SV_expE),1+SV_expImp,1))</f>
        <v/>
      </c>
      <c r="J172" s="29">
        <f>IF(OR(OR(A172&lt;1,A172&gt;SV_T),A172&gt;SV_loanYears),0,-SV_lifePremYr)</f>
        <v/>
      </c>
      <c r="K172" s="29">
        <f>IF(OR(A172&lt;1,A172&gt;SV_T),0,-SV_contrib)</f>
        <v/>
      </c>
      <c r="L172" s="60">
        <f>IF(AND(SV_crashOn,A172=SV_crashYr),SV_crashF,1)</f>
        <v/>
      </c>
      <c r="M172" s="60">
        <f>IF(AND(SV_ccyOn,A172=SV_ccyYr),SV_ccyF,1)</f>
        <v/>
      </c>
      <c r="N172" s="29">
        <f>IF(A172&gt;SV_T,0,N171*(1+interestRate)*L172*M172)</f>
        <v/>
      </c>
      <c r="O172" s="29">
        <f>IF(A172&gt;SV_T,0,(O171+SV_contrib)*(1+investmentReturn)*L172*M172)</f>
        <v/>
      </c>
      <c r="P172" s="29">
        <f>IF(A172&gt;SV_T,0,P171*(1+SV_propRate)*L172)</f>
        <v/>
      </c>
      <c r="Q172" s="46">
        <f>MATCH(SV_age+A172-1,SV_cpfLower,1)</f>
        <v/>
      </c>
      <c r="R172" s="29">
        <f>IF(OR(OR(A172&lt;1,A172&gt;SV_T),NOT(SV_cpfOn)),0,MIN(SV_sal0*(1+incomeGrowthRate)^(A172-1)*G172,SV_owCap))</f>
        <v/>
      </c>
      <c r="S172" s="29">
        <f>IF(A172&gt;SV_T,0,S171*(1+SV_oaRate)+IF(A172&gt;=SV_effStop,0,INDEX(SV_cpfOA,Q172)*INDEX(SV_cpfTot,Q172)*R172))</f>
        <v/>
      </c>
      <c r="T172" s="29">
        <f>IF(A172&gt;SV_T,0,T171*(1+SV_saRate)+IF(A172&gt;=SV_effStop,0,INDEX(SV_cpfSA,Q172)*INDEX(SV_cpfTot,Q172)*R172))</f>
        <v/>
      </c>
      <c r="U172" s="29">
        <f>IF(A172&gt;SV_T,0,U171*(1+SV_saRate)+IF(A172&gt;=SV_effStop,0,INDEX(SV_cpfMA,Q172)*INDEX(SV_cpfTot,Q172)*R172))</f>
        <v/>
      </c>
      <c r="V172" s="29">
        <f>IF(OR(OR(A172&lt;1,A172&gt;SV_T),A172&gt;=SV_effNeg),0,-(INDEX(SV_cpfOA,Q172)+INDEX(SV_cpfSA,Q172)+INDEX(SV_cpfMA,Q172))*INDEX(SV_cpfEmp,Q172)*R172)</f>
        <v/>
      </c>
      <c r="W172" s="29">
        <f>IF(A172&gt;=SV_sIdx,0,S172)</f>
        <v/>
      </c>
      <c r="X172" s="29">
        <f>IF(A172&gt;=SV_sIdx,0,T172)</f>
        <v/>
      </c>
      <c r="Y172" s="29">
        <f>IF(A172&gt;=SV_sIdx,MIN(U172,SV_maCap),U172)</f>
        <v/>
      </c>
      <c r="Z172" s="29">
        <f>IF(AND(SV_cpfOn,A172&gt;=SV_pIdx,A172&lt;=SV_T),12*SV_pay,0)</f>
        <v/>
      </c>
      <c r="AA172" s="29">
        <f>IF(A172&gt;SV_T,0,IF(SV_sp&gt;=0,IF(A172&lt;SV_sIdx,0,IF(A172=SV_sIdx,SV_R0,SV_lifeGrowth*AA171)),SV_lifeGrowth*AA171))</f>
        <v/>
      </c>
      <c r="AB172" s="29">
        <f>IF(A172&gt;SV_T,0,IF(AND(SV_sp&gt;=0,A172&lt;SV_sIdx),0,IF(AND(SV_sp&gt;=0,A172=SV_sIdx),SV_L0,SV_lifeGrowth*(AB171-Z172))))</f>
        <v/>
      </c>
      <c r="AC172" s="29">
        <f>W172+X172+AA172+Y172+IF(AA172&lt;0,0,AB172)</f>
        <v/>
      </c>
      <c r="AD172" s="29">
        <f>Z172+V172</f>
        <v/>
      </c>
      <c r="AE172" s="29">
        <f>IF(OR(A172&gt;SV_T,A172&gt;=SV_loanYears),0,MAX(0,AE171*(1+loanRate)-SV_inst))</f>
        <v/>
      </c>
      <c r="AF172" s="29">
        <f>IF(A172&gt;SV_T,0,AF171*(1+SV_savRate)+H172+I172+J172+K172+AD172)</f>
        <v/>
      </c>
      <c r="AG172" s="29">
        <f>IF(A172&gt;SV_T,0,MAX(0,N172+O172+P172+AC172+AF172-AE172))</f>
        <v/>
      </c>
      <c r="AH172" s="29">
        <f>IF(A172&gt;SV_T,0,N172+O172+AF172-MAX(0,AE172-(P172+AC172)))</f>
        <v/>
      </c>
      <c r="AI172" s="29">
        <f>IF(OR(OR(A172&lt;1,A172&gt;SV_T),A172-1&gt;=SV_retPay),0,SV_retMth*12+IF(A172=1,SV_retLump,0))</f>
        <v/>
      </c>
      <c r="AJ172" s="29">
        <f>IF(A172&gt;SV_T,0,(AJ171+AI172)*(1+investmentReturn))</f>
        <v/>
      </c>
      <c r="AK172" s="29">
        <f>IF(OR(OR(A172&lt;1,A172&gt;SV_T),A172-1&gt;=SV_goalPay),0,SV_goalMth*12+IF(A172=1,SV_goalLump,0))</f>
        <v/>
      </c>
      <c r="AL172" s="29">
        <f>IF(A172&gt;SV_T,0,(AL171+AK172)*(1+investmentReturn))</f>
        <v/>
      </c>
      <c r="AM172" s="29">
        <f>IF(OR(OR(A172&lt;1,A172&gt;SV_T),A172-1&gt;=SV_protPay),0,SV_protPrem)</f>
        <v/>
      </c>
      <c r="AN172" s="29">
        <f>IF(OR(A172=0,A172&gt;=SV_T),0,ROUND(MAX(0,AJ172),2)+ROUND(MAX(0,AL172),2))</f>
        <v/>
      </c>
      <c r="AO172" s="29">
        <f>IF(OR(A172&lt;1,A172&gt;SV_T),0,-(AI172+AK172+AM172)+IF(A172=SV_T,ROUND(MAX(0,AJ172),2)+ROUND(MAX(0,AL172),2),0))</f>
        <v/>
      </c>
      <c r="AP172" s="29">
        <f>IF(A172&gt;SV_T,0,AP171*(1+SV_savRate)+H172+I172+J172+K172+AD172+AO172)</f>
        <v/>
      </c>
      <c r="AQ172" s="29">
        <f>IF(A172&gt;SV_T,0,MAX(0,N172+O172+P172+AC172+AP172+AN172-AE172))</f>
        <v/>
      </c>
      <c r="AR172" s="29">
        <f>IF(A172&gt;SV_T,0,N172+O172+AP172+AN172-MAX(0,AE172-(P172+AC172)))</f>
        <v/>
      </c>
    </row>
    <row r="173">
      <c r="A173" s="61" t="n">
        <v>44</v>
      </c>
      <c r="B173" s="61">
        <f>SV_age+A173</f>
        <v/>
      </c>
      <c r="C173" s="61">
        <f>currentYear+A173</f>
        <v/>
      </c>
      <c r="D173" s="52">
        <f>A173&lt;=SV_T</f>
        <v/>
      </c>
      <c r="E173" s="60">
        <f>IF(AND(SV_inflOn,A173&gt;=SV_inflS,A173&lt;=SV_inflE),1+SV_inflRate,1+inflationRate)</f>
        <v/>
      </c>
      <c r="F173" s="60">
        <f>IF(A173&lt;=1,1,F172*E173)</f>
        <v/>
      </c>
      <c r="G173" s="60">
        <f>IF(AND(SV_incOn,A173&gt;=SV_incS,A173&lt;=SV_incE),1+SV_incImp,1)</f>
        <v/>
      </c>
      <c r="H173" s="29">
        <f>IF(OR(OR(A173&lt;1,A173&gt;SV_T),A173-1&gt;=SV_salCut),0,SV_sal0*(1+incomeGrowthRate)^(A173-1)*G173)</f>
        <v/>
      </c>
      <c r="I173" s="29">
        <f>IF(OR(A173&lt;1,A173&gt;SV_T),0,(-SV_exp0*F173-IF(A173&lt;=SV_loanYears,SV_inst,0)-IF(AND(SV_wdAmt&gt;0,A173=SV_wdYear),SV_wdAmt,0))*IF(AND(SV_expOn,A173&gt;=SV_expS,A173&lt;=SV_expE),1+SV_expImp,1))</f>
        <v/>
      </c>
      <c r="J173" s="29">
        <f>IF(OR(OR(A173&lt;1,A173&gt;SV_T),A173&gt;SV_loanYears),0,-SV_lifePremYr)</f>
        <v/>
      </c>
      <c r="K173" s="29">
        <f>IF(OR(A173&lt;1,A173&gt;SV_T),0,-SV_contrib)</f>
        <v/>
      </c>
      <c r="L173" s="60">
        <f>IF(AND(SV_crashOn,A173=SV_crashYr),SV_crashF,1)</f>
        <v/>
      </c>
      <c r="M173" s="60">
        <f>IF(AND(SV_ccyOn,A173=SV_ccyYr),SV_ccyF,1)</f>
        <v/>
      </c>
      <c r="N173" s="29">
        <f>IF(A173&gt;SV_T,0,N172*(1+interestRate)*L173*M173)</f>
        <v/>
      </c>
      <c r="O173" s="29">
        <f>IF(A173&gt;SV_T,0,(O172+SV_contrib)*(1+investmentReturn)*L173*M173)</f>
        <v/>
      </c>
      <c r="P173" s="29">
        <f>IF(A173&gt;SV_T,0,P172*(1+SV_propRate)*L173)</f>
        <v/>
      </c>
      <c r="Q173" s="46">
        <f>MATCH(SV_age+A173-1,SV_cpfLower,1)</f>
        <v/>
      </c>
      <c r="R173" s="29">
        <f>IF(OR(OR(A173&lt;1,A173&gt;SV_T),NOT(SV_cpfOn)),0,MIN(SV_sal0*(1+incomeGrowthRate)^(A173-1)*G173,SV_owCap))</f>
        <v/>
      </c>
      <c r="S173" s="29">
        <f>IF(A173&gt;SV_T,0,S172*(1+SV_oaRate)+IF(A173&gt;=SV_effStop,0,INDEX(SV_cpfOA,Q173)*INDEX(SV_cpfTot,Q173)*R173))</f>
        <v/>
      </c>
      <c r="T173" s="29">
        <f>IF(A173&gt;SV_T,0,T172*(1+SV_saRate)+IF(A173&gt;=SV_effStop,0,INDEX(SV_cpfSA,Q173)*INDEX(SV_cpfTot,Q173)*R173))</f>
        <v/>
      </c>
      <c r="U173" s="29">
        <f>IF(A173&gt;SV_T,0,U172*(1+SV_saRate)+IF(A173&gt;=SV_effStop,0,INDEX(SV_cpfMA,Q173)*INDEX(SV_cpfTot,Q173)*R173))</f>
        <v/>
      </c>
      <c r="V173" s="29">
        <f>IF(OR(OR(A173&lt;1,A173&gt;SV_T),A173&gt;=SV_effNeg),0,-(INDEX(SV_cpfOA,Q173)+INDEX(SV_cpfSA,Q173)+INDEX(SV_cpfMA,Q173))*INDEX(SV_cpfEmp,Q173)*R173)</f>
        <v/>
      </c>
      <c r="W173" s="29">
        <f>IF(A173&gt;=SV_sIdx,0,S173)</f>
        <v/>
      </c>
      <c r="X173" s="29">
        <f>IF(A173&gt;=SV_sIdx,0,T173)</f>
        <v/>
      </c>
      <c r="Y173" s="29">
        <f>IF(A173&gt;=SV_sIdx,MIN(U173,SV_maCap),U173)</f>
        <v/>
      </c>
      <c r="Z173" s="29">
        <f>IF(AND(SV_cpfOn,A173&gt;=SV_pIdx,A173&lt;=SV_T),12*SV_pay,0)</f>
        <v/>
      </c>
      <c r="AA173" s="29">
        <f>IF(A173&gt;SV_T,0,IF(SV_sp&gt;=0,IF(A173&lt;SV_sIdx,0,IF(A173=SV_sIdx,SV_R0,SV_lifeGrowth*AA172)),SV_lifeGrowth*AA172))</f>
        <v/>
      </c>
      <c r="AB173" s="29">
        <f>IF(A173&gt;SV_T,0,IF(AND(SV_sp&gt;=0,A173&lt;SV_sIdx),0,IF(AND(SV_sp&gt;=0,A173=SV_sIdx),SV_L0,SV_lifeGrowth*(AB172-Z173))))</f>
        <v/>
      </c>
      <c r="AC173" s="29">
        <f>W173+X173+AA173+Y173+IF(AA173&lt;0,0,AB173)</f>
        <v/>
      </c>
      <c r="AD173" s="29">
        <f>Z173+V173</f>
        <v/>
      </c>
      <c r="AE173" s="29">
        <f>IF(OR(A173&gt;SV_T,A173&gt;=SV_loanYears),0,MAX(0,AE172*(1+loanRate)-SV_inst))</f>
        <v/>
      </c>
      <c r="AF173" s="29">
        <f>IF(A173&gt;SV_T,0,AF172*(1+SV_savRate)+H173+I173+J173+K173+AD173)</f>
        <v/>
      </c>
      <c r="AG173" s="29">
        <f>IF(A173&gt;SV_T,0,MAX(0,N173+O173+P173+AC173+AF173-AE173))</f>
        <v/>
      </c>
      <c r="AH173" s="29">
        <f>IF(A173&gt;SV_T,0,N173+O173+AF173-MAX(0,AE173-(P173+AC173)))</f>
        <v/>
      </c>
      <c r="AI173" s="29">
        <f>IF(OR(OR(A173&lt;1,A173&gt;SV_T),A173-1&gt;=SV_retPay),0,SV_retMth*12+IF(A173=1,SV_retLump,0))</f>
        <v/>
      </c>
      <c r="AJ173" s="29">
        <f>IF(A173&gt;SV_T,0,(AJ172+AI173)*(1+investmentReturn))</f>
        <v/>
      </c>
      <c r="AK173" s="29">
        <f>IF(OR(OR(A173&lt;1,A173&gt;SV_T),A173-1&gt;=SV_goalPay),0,SV_goalMth*12+IF(A173=1,SV_goalLump,0))</f>
        <v/>
      </c>
      <c r="AL173" s="29">
        <f>IF(A173&gt;SV_T,0,(AL172+AK173)*(1+investmentReturn))</f>
        <v/>
      </c>
      <c r="AM173" s="29">
        <f>IF(OR(OR(A173&lt;1,A173&gt;SV_T),A173-1&gt;=SV_protPay),0,SV_protPrem)</f>
        <v/>
      </c>
      <c r="AN173" s="29">
        <f>IF(OR(A173=0,A173&gt;=SV_T),0,ROUND(MAX(0,AJ173),2)+ROUND(MAX(0,AL173),2))</f>
        <v/>
      </c>
      <c r="AO173" s="29">
        <f>IF(OR(A173&lt;1,A173&gt;SV_T),0,-(AI173+AK173+AM173)+IF(A173=SV_T,ROUND(MAX(0,AJ173),2)+ROUND(MAX(0,AL173),2),0))</f>
        <v/>
      </c>
      <c r="AP173" s="29">
        <f>IF(A173&gt;SV_T,0,AP172*(1+SV_savRate)+H173+I173+J173+K173+AD173+AO173)</f>
        <v/>
      </c>
      <c r="AQ173" s="29">
        <f>IF(A173&gt;SV_T,0,MAX(0,N173+O173+P173+AC173+AP173+AN173-AE173))</f>
        <v/>
      </c>
      <c r="AR173" s="29">
        <f>IF(A173&gt;SV_T,0,N173+O173+AP173+AN173-MAX(0,AE173-(P173+AC173)))</f>
        <v/>
      </c>
    </row>
    <row r="174">
      <c r="A174" s="61" t="n">
        <v>45</v>
      </c>
      <c r="B174" s="61">
        <f>SV_age+A174</f>
        <v/>
      </c>
      <c r="C174" s="61">
        <f>currentYear+A174</f>
        <v/>
      </c>
      <c r="D174" s="52">
        <f>A174&lt;=SV_T</f>
        <v/>
      </c>
      <c r="E174" s="60">
        <f>IF(AND(SV_inflOn,A174&gt;=SV_inflS,A174&lt;=SV_inflE),1+SV_inflRate,1+inflationRate)</f>
        <v/>
      </c>
      <c r="F174" s="60">
        <f>IF(A174&lt;=1,1,F173*E174)</f>
        <v/>
      </c>
      <c r="G174" s="60">
        <f>IF(AND(SV_incOn,A174&gt;=SV_incS,A174&lt;=SV_incE),1+SV_incImp,1)</f>
        <v/>
      </c>
      <c r="H174" s="29">
        <f>IF(OR(OR(A174&lt;1,A174&gt;SV_T),A174-1&gt;=SV_salCut),0,SV_sal0*(1+incomeGrowthRate)^(A174-1)*G174)</f>
        <v/>
      </c>
      <c r="I174" s="29">
        <f>IF(OR(A174&lt;1,A174&gt;SV_T),0,(-SV_exp0*F174-IF(A174&lt;=SV_loanYears,SV_inst,0)-IF(AND(SV_wdAmt&gt;0,A174=SV_wdYear),SV_wdAmt,0))*IF(AND(SV_expOn,A174&gt;=SV_expS,A174&lt;=SV_expE),1+SV_expImp,1))</f>
        <v/>
      </c>
      <c r="J174" s="29">
        <f>IF(OR(OR(A174&lt;1,A174&gt;SV_T),A174&gt;SV_loanYears),0,-SV_lifePremYr)</f>
        <v/>
      </c>
      <c r="K174" s="29">
        <f>IF(OR(A174&lt;1,A174&gt;SV_T),0,-SV_contrib)</f>
        <v/>
      </c>
      <c r="L174" s="60">
        <f>IF(AND(SV_crashOn,A174=SV_crashYr),SV_crashF,1)</f>
        <v/>
      </c>
      <c r="M174" s="60">
        <f>IF(AND(SV_ccyOn,A174=SV_ccyYr),SV_ccyF,1)</f>
        <v/>
      </c>
      <c r="N174" s="29">
        <f>IF(A174&gt;SV_T,0,N173*(1+interestRate)*L174*M174)</f>
        <v/>
      </c>
      <c r="O174" s="29">
        <f>IF(A174&gt;SV_T,0,(O173+SV_contrib)*(1+investmentReturn)*L174*M174)</f>
        <v/>
      </c>
      <c r="P174" s="29">
        <f>IF(A174&gt;SV_T,0,P173*(1+SV_propRate)*L174)</f>
        <v/>
      </c>
      <c r="Q174" s="46">
        <f>MATCH(SV_age+A174-1,SV_cpfLower,1)</f>
        <v/>
      </c>
      <c r="R174" s="29">
        <f>IF(OR(OR(A174&lt;1,A174&gt;SV_T),NOT(SV_cpfOn)),0,MIN(SV_sal0*(1+incomeGrowthRate)^(A174-1)*G174,SV_owCap))</f>
        <v/>
      </c>
      <c r="S174" s="29">
        <f>IF(A174&gt;SV_T,0,S173*(1+SV_oaRate)+IF(A174&gt;=SV_effStop,0,INDEX(SV_cpfOA,Q174)*INDEX(SV_cpfTot,Q174)*R174))</f>
        <v/>
      </c>
      <c r="T174" s="29">
        <f>IF(A174&gt;SV_T,0,T173*(1+SV_saRate)+IF(A174&gt;=SV_effStop,0,INDEX(SV_cpfSA,Q174)*INDEX(SV_cpfTot,Q174)*R174))</f>
        <v/>
      </c>
      <c r="U174" s="29">
        <f>IF(A174&gt;SV_T,0,U173*(1+SV_saRate)+IF(A174&gt;=SV_effStop,0,INDEX(SV_cpfMA,Q174)*INDEX(SV_cpfTot,Q174)*R174))</f>
        <v/>
      </c>
      <c r="V174" s="29">
        <f>IF(OR(OR(A174&lt;1,A174&gt;SV_T),A174&gt;=SV_effNeg),0,-(INDEX(SV_cpfOA,Q174)+INDEX(SV_cpfSA,Q174)+INDEX(SV_cpfMA,Q174))*INDEX(SV_cpfEmp,Q174)*R174)</f>
        <v/>
      </c>
      <c r="W174" s="29">
        <f>IF(A174&gt;=SV_sIdx,0,S174)</f>
        <v/>
      </c>
      <c r="X174" s="29">
        <f>IF(A174&gt;=SV_sIdx,0,T174)</f>
        <v/>
      </c>
      <c r="Y174" s="29">
        <f>IF(A174&gt;=SV_sIdx,MIN(U174,SV_maCap),U174)</f>
        <v/>
      </c>
      <c r="Z174" s="29">
        <f>IF(AND(SV_cpfOn,A174&gt;=SV_pIdx,A174&lt;=SV_T),12*SV_pay,0)</f>
        <v/>
      </c>
      <c r="AA174" s="29">
        <f>IF(A174&gt;SV_T,0,IF(SV_sp&gt;=0,IF(A174&lt;SV_sIdx,0,IF(A174=SV_sIdx,SV_R0,SV_lifeGrowth*AA173)),SV_lifeGrowth*AA173))</f>
        <v/>
      </c>
      <c r="AB174" s="29">
        <f>IF(A174&gt;SV_T,0,IF(AND(SV_sp&gt;=0,A174&lt;SV_sIdx),0,IF(AND(SV_sp&gt;=0,A174=SV_sIdx),SV_L0,SV_lifeGrowth*(AB173-Z174))))</f>
        <v/>
      </c>
      <c r="AC174" s="29">
        <f>W174+X174+AA174+Y174+IF(AA174&lt;0,0,AB174)</f>
        <v/>
      </c>
      <c r="AD174" s="29">
        <f>Z174+V174</f>
        <v/>
      </c>
      <c r="AE174" s="29">
        <f>IF(OR(A174&gt;SV_T,A174&gt;=SV_loanYears),0,MAX(0,AE173*(1+loanRate)-SV_inst))</f>
        <v/>
      </c>
      <c r="AF174" s="29">
        <f>IF(A174&gt;SV_T,0,AF173*(1+SV_savRate)+H174+I174+J174+K174+AD174)</f>
        <v/>
      </c>
      <c r="AG174" s="29">
        <f>IF(A174&gt;SV_T,0,MAX(0,N174+O174+P174+AC174+AF174-AE174))</f>
        <v/>
      </c>
      <c r="AH174" s="29">
        <f>IF(A174&gt;SV_T,0,N174+O174+AF174-MAX(0,AE174-(P174+AC174)))</f>
        <v/>
      </c>
      <c r="AI174" s="29">
        <f>IF(OR(OR(A174&lt;1,A174&gt;SV_T),A174-1&gt;=SV_retPay),0,SV_retMth*12+IF(A174=1,SV_retLump,0))</f>
        <v/>
      </c>
      <c r="AJ174" s="29">
        <f>IF(A174&gt;SV_T,0,(AJ173+AI174)*(1+investmentReturn))</f>
        <v/>
      </c>
      <c r="AK174" s="29">
        <f>IF(OR(OR(A174&lt;1,A174&gt;SV_T),A174-1&gt;=SV_goalPay),0,SV_goalMth*12+IF(A174=1,SV_goalLump,0))</f>
        <v/>
      </c>
      <c r="AL174" s="29">
        <f>IF(A174&gt;SV_T,0,(AL173+AK174)*(1+investmentReturn))</f>
        <v/>
      </c>
      <c r="AM174" s="29">
        <f>IF(OR(OR(A174&lt;1,A174&gt;SV_T),A174-1&gt;=SV_protPay),0,SV_protPrem)</f>
        <v/>
      </c>
      <c r="AN174" s="29">
        <f>IF(OR(A174=0,A174&gt;=SV_T),0,ROUND(MAX(0,AJ174),2)+ROUND(MAX(0,AL174),2))</f>
        <v/>
      </c>
      <c r="AO174" s="29">
        <f>IF(OR(A174&lt;1,A174&gt;SV_T),0,-(AI174+AK174+AM174)+IF(A174=SV_T,ROUND(MAX(0,AJ174),2)+ROUND(MAX(0,AL174),2),0))</f>
        <v/>
      </c>
      <c r="AP174" s="29">
        <f>IF(A174&gt;SV_T,0,AP173*(1+SV_savRate)+H174+I174+J174+K174+AD174+AO174)</f>
        <v/>
      </c>
      <c r="AQ174" s="29">
        <f>IF(A174&gt;SV_T,0,MAX(0,N174+O174+P174+AC174+AP174+AN174-AE174))</f>
        <v/>
      </c>
      <c r="AR174" s="29">
        <f>IF(A174&gt;SV_T,0,N174+O174+AP174+AN174-MAX(0,AE174-(P174+AC174)))</f>
        <v/>
      </c>
    </row>
    <row r="175">
      <c r="A175" s="61" t="n">
        <v>46</v>
      </c>
      <c r="B175" s="61">
        <f>SV_age+A175</f>
        <v/>
      </c>
      <c r="C175" s="61">
        <f>currentYear+A175</f>
        <v/>
      </c>
      <c r="D175" s="52">
        <f>A175&lt;=SV_T</f>
        <v/>
      </c>
      <c r="E175" s="60">
        <f>IF(AND(SV_inflOn,A175&gt;=SV_inflS,A175&lt;=SV_inflE),1+SV_inflRate,1+inflationRate)</f>
        <v/>
      </c>
      <c r="F175" s="60">
        <f>IF(A175&lt;=1,1,F174*E175)</f>
        <v/>
      </c>
      <c r="G175" s="60">
        <f>IF(AND(SV_incOn,A175&gt;=SV_incS,A175&lt;=SV_incE),1+SV_incImp,1)</f>
        <v/>
      </c>
      <c r="H175" s="29">
        <f>IF(OR(OR(A175&lt;1,A175&gt;SV_T),A175-1&gt;=SV_salCut),0,SV_sal0*(1+incomeGrowthRate)^(A175-1)*G175)</f>
        <v/>
      </c>
      <c r="I175" s="29">
        <f>IF(OR(A175&lt;1,A175&gt;SV_T),0,(-SV_exp0*F175-IF(A175&lt;=SV_loanYears,SV_inst,0)-IF(AND(SV_wdAmt&gt;0,A175=SV_wdYear),SV_wdAmt,0))*IF(AND(SV_expOn,A175&gt;=SV_expS,A175&lt;=SV_expE),1+SV_expImp,1))</f>
        <v/>
      </c>
      <c r="J175" s="29">
        <f>IF(OR(OR(A175&lt;1,A175&gt;SV_T),A175&gt;SV_loanYears),0,-SV_lifePremYr)</f>
        <v/>
      </c>
      <c r="K175" s="29">
        <f>IF(OR(A175&lt;1,A175&gt;SV_T),0,-SV_contrib)</f>
        <v/>
      </c>
      <c r="L175" s="60">
        <f>IF(AND(SV_crashOn,A175=SV_crashYr),SV_crashF,1)</f>
        <v/>
      </c>
      <c r="M175" s="60">
        <f>IF(AND(SV_ccyOn,A175=SV_ccyYr),SV_ccyF,1)</f>
        <v/>
      </c>
      <c r="N175" s="29">
        <f>IF(A175&gt;SV_T,0,N174*(1+interestRate)*L175*M175)</f>
        <v/>
      </c>
      <c r="O175" s="29">
        <f>IF(A175&gt;SV_T,0,(O174+SV_contrib)*(1+investmentReturn)*L175*M175)</f>
        <v/>
      </c>
      <c r="P175" s="29">
        <f>IF(A175&gt;SV_T,0,P174*(1+SV_propRate)*L175)</f>
        <v/>
      </c>
      <c r="Q175" s="46">
        <f>MATCH(SV_age+A175-1,SV_cpfLower,1)</f>
        <v/>
      </c>
      <c r="R175" s="29">
        <f>IF(OR(OR(A175&lt;1,A175&gt;SV_T),NOT(SV_cpfOn)),0,MIN(SV_sal0*(1+incomeGrowthRate)^(A175-1)*G175,SV_owCap))</f>
        <v/>
      </c>
      <c r="S175" s="29">
        <f>IF(A175&gt;SV_T,0,S174*(1+SV_oaRate)+IF(A175&gt;=SV_effStop,0,INDEX(SV_cpfOA,Q175)*INDEX(SV_cpfTot,Q175)*R175))</f>
        <v/>
      </c>
      <c r="T175" s="29">
        <f>IF(A175&gt;SV_T,0,T174*(1+SV_saRate)+IF(A175&gt;=SV_effStop,0,INDEX(SV_cpfSA,Q175)*INDEX(SV_cpfTot,Q175)*R175))</f>
        <v/>
      </c>
      <c r="U175" s="29">
        <f>IF(A175&gt;SV_T,0,U174*(1+SV_saRate)+IF(A175&gt;=SV_effStop,0,INDEX(SV_cpfMA,Q175)*INDEX(SV_cpfTot,Q175)*R175))</f>
        <v/>
      </c>
      <c r="V175" s="29">
        <f>IF(OR(OR(A175&lt;1,A175&gt;SV_T),A175&gt;=SV_effNeg),0,-(INDEX(SV_cpfOA,Q175)+INDEX(SV_cpfSA,Q175)+INDEX(SV_cpfMA,Q175))*INDEX(SV_cpfEmp,Q175)*R175)</f>
        <v/>
      </c>
      <c r="W175" s="29">
        <f>IF(A175&gt;=SV_sIdx,0,S175)</f>
        <v/>
      </c>
      <c r="X175" s="29">
        <f>IF(A175&gt;=SV_sIdx,0,T175)</f>
        <v/>
      </c>
      <c r="Y175" s="29">
        <f>IF(A175&gt;=SV_sIdx,MIN(U175,SV_maCap),U175)</f>
        <v/>
      </c>
      <c r="Z175" s="29">
        <f>IF(AND(SV_cpfOn,A175&gt;=SV_pIdx,A175&lt;=SV_T),12*SV_pay,0)</f>
        <v/>
      </c>
      <c r="AA175" s="29">
        <f>IF(A175&gt;SV_T,0,IF(SV_sp&gt;=0,IF(A175&lt;SV_sIdx,0,IF(A175=SV_sIdx,SV_R0,SV_lifeGrowth*AA174)),SV_lifeGrowth*AA174))</f>
        <v/>
      </c>
      <c r="AB175" s="29">
        <f>IF(A175&gt;SV_T,0,IF(AND(SV_sp&gt;=0,A175&lt;SV_sIdx),0,IF(AND(SV_sp&gt;=0,A175=SV_sIdx),SV_L0,SV_lifeGrowth*(AB174-Z175))))</f>
        <v/>
      </c>
      <c r="AC175" s="29">
        <f>W175+X175+AA175+Y175+IF(AA175&lt;0,0,AB175)</f>
        <v/>
      </c>
      <c r="AD175" s="29">
        <f>Z175+V175</f>
        <v/>
      </c>
      <c r="AE175" s="29">
        <f>IF(OR(A175&gt;SV_T,A175&gt;=SV_loanYears),0,MAX(0,AE174*(1+loanRate)-SV_inst))</f>
        <v/>
      </c>
      <c r="AF175" s="29">
        <f>IF(A175&gt;SV_T,0,AF174*(1+SV_savRate)+H175+I175+J175+K175+AD175)</f>
        <v/>
      </c>
      <c r="AG175" s="29">
        <f>IF(A175&gt;SV_T,0,MAX(0,N175+O175+P175+AC175+AF175-AE175))</f>
        <v/>
      </c>
      <c r="AH175" s="29">
        <f>IF(A175&gt;SV_T,0,N175+O175+AF175-MAX(0,AE175-(P175+AC175)))</f>
        <v/>
      </c>
      <c r="AI175" s="29">
        <f>IF(OR(OR(A175&lt;1,A175&gt;SV_T),A175-1&gt;=SV_retPay),0,SV_retMth*12+IF(A175=1,SV_retLump,0))</f>
        <v/>
      </c>
      <c r="AJ175" s="29">
        <f>IF(A175&gt;SV_T,0,(AJ174+AI175)*(1+investmentReturn))</f>
        <v/>
      </c>
      <c r="AK175" s="29">
        <f>IF(OR(OR(A175&lt;1,A175&gt;SV_T),A175-1&gt;=SV_goalPay),0,SV_goalMth*12+IF(A175=1,SV_goalLump,0))</f>
        <v/>
      </c>
      <c r="AL175" s="29">
        <f>IF(A175&gt;SV_T,0,(AL174+AK175)*(1+investmentReturn))</f>
        <v/>
      </c>
      <c r="AM175" s="29">
        <f>IF(OR(OR(A175&lt;1,A175&gt;SV_T),A175-1&gt;=SV_protPay),0,SV_protPrem)</f>
        <v/>
      </c>
      <c r="AN175" s="29">
        <f>IF(OR(A175=0,A175&gt;=SV_T),0,ROUND(MAX(0,AJ175),2)+ROUND(MAX(0,AL175),2))</f>
        <v/>
      </c>
      <c r="AO175" s="29">
        <f>IF(OR(A175&lt;1,A175&gt;SV_T),0,-(AI175+AK175+AM175)+IF(A175=SV_T,ROUND(MAX(0,AJ175),2)+ROUND(MAX(0,AL175),2),0))</f>
        <v/>
      </c>
      <c r="AP175" s="29">
        <f>IF(A175&gt;SV_T,0,AP174*(1+SV_savRate)+H175+I175+J175+K175+AD175+AO175)</f>
        <v/>
      </c>
      <c r="AQ175" s="29">
        <f>IF(A175&gt;SV_T,0,MAX(0,N175+O175+P175+AC175+AP175+AN175-AE175))</f>
        <v/>
      </c>
      <c r="AR175" s="29">
        <f>IF(A175&gt;SV_T,0,N175+O175+AP175+AN175-MAX(0,AE175-(P175+AC175)))</f>
        <v/>
      </c>
    </row>
    <row r="176">
      <c r="A176" s="61" t="n">
        <v>47</v>
      </c>
      <c r="B176" s="61">
        <f>SV_age+A176</f>
        <v/>
      </c>
      <c r="C176" s="61">
        <f>currentYear+A176</f>
        <v/>
      </c>
      <c r="D176" s="52">
        <f>A176&lt;=SV_T</f>
        <v/>
      </c>
      <c r="E176" s="60">
        <f>IF(AND(SV_inflOn,A176&gt;=SV_inflS,A176&lt;=SV_inflE),1+SV_inflRate,1+inflationRate)</f>
        <v/>
      </c>
      <c r="F176" s="60">
        <f>IF(A176&lt;=1,1,F175*E176)</f>
        <v/>
      </c>
      <c r="G176" s="60">
        <f>IF(AND(SV_incOn,A176&gt;=SV_incS,A176&lt;=SV_incE),1+SV_incImp,1)</f>
        <v/>
      </c>
      <c r="H176" s="29">
        <f>IF(OR(OR(A176&lt;1,A176&gt;SV_T),A176-1&gt;=SV_salCut),0,SV_sal0*(1+incomeGrowthRate)^(A176-1)*G176)</f>
        <v/>
      </c>
      <c r="I176" s="29">
        <f>IF(OR(A176&lt;1,A176&gt;SV_T),0,(-SV_exp0*F176-IF(A176&lt;=SV_loanYears,SV_inst,0)-IF(AND(SV_wdAmt&gt;0,A176=SV_wdYear),SV_wdAmt,0))*IF(AND(SV_expOn,A176&gt;=SV_expS,A176&lt;=SV_expE),1+SV_expImp,1))</f>
        <v/>
      </c>
      <c r="J176" s="29">
        <f>IF(OR(OR(A176&lt;1,A176&gt;SV_T),A176&gt;SV_loanYears),0,-SV_lifePremYr)</f>
        <v/>
      </c>
      <c r="K176" s="29">
        <f>IF(OR(A176&lt;1,A176&gt;SV_T),0,-SV_contrib)</f>
        <v/>
      </c>
      <c r="L176" s="60">
        <f>IF(AND(SV_crashOn,A176=SV_crashYr),SV_crashF,1)</f>
        <v/>
      </c>
      <c r="M176" s="60">
        <f>IF(AND(SV_ccyOn,A176=SV_ccyYr),SV_ccyF,1)</f>
        <v/>
      </c>
      <c r="N176" s="29">
        <f>IF(A176&gt;SV_T,0,N175*(1+interestRate)*L176*M176)</f>
        <v/>
      </c>
      <c r="O176" s="29">
        <f>IF(A176&gt;SV_T,0,(O175+SV_contrib)*(1+investmentReturn)*L176*M176)</f>
        <v/>
      </c>
      <c r="P176" s="29">
        <f>IF(A176&gt;SV_T,0,P175*(1+SV_propRate)*L176)</f>
        <v/>
      </c>
      <c r="Q176" s="46">
        <f>MATCH(SV_age+A176-1,SV_cpfLower,1)</f>
        <v/>
      </c>
      <c r="R176" s="29">
        <f>IF(OR(OR(A176&lt;1,A176&gt;SV_T),NOT(SV_cpfOn)),0,MIN(SV_sal0*(1+incomeGrowthRate)^(A176-1)*G176,SV_owCap))</f>
        <v/>
      </c>
      <c r="S176" s="29">
        <f>IF(A176&gt;SV_T,0,S175*(1+SV_oaRate)+IF(A176&gt;=SV_effStop,0,INDEX(SV_cpfOA,Q176)*INDEX(SV_cpfTot,Q176)*R176))</f>
        <v/>
      </c>
      <c r="T176" s="29">
        <f>IF(A176&gt;SV_T,0,T175*(1+SV_saRate)+IF(A176&gt;=SV_effStop,0,INDEX(SV_cpfSA,Q176)*INDEX(SV_cpfTot,Q176)*R176))</f>
        <v/>
      </c>
      <c r="U176" s="29">
        <f>IF(A176&gt;SV_T,0,U175*(1+SV_saRate)+IF(A176&gt;=SV_effStop,0,INDEX(SV_cpfMA,Q176)*INDEX(SV_cpfTot,Q176)*R176))</f>
        <v/>
      </c>
      <c r="V176" s="29">
        <f>IF(OR(OR(A176&lt;1,A176&gt;SV_T),A176&gt;=SV_effNeg),0,-(INDEX(SV_cpfOA,Q176)+INDEX(SV_cpfSA,Q176)+INDEX(SV_cpfMA,Q176))*INDEX(SV_cpfEmp,Q176)*R176)</f>
        <v/>
      </c>
      <c r="W176" s="29">
        <f>IF(A176&gt;=SV_sIdx,0,S176)</f>
        <v/>
      </c>
      <c r="X176" s="29">
        <f>IF(A176&gt;=SV_sIdx,0,T176)</f>
        <v/>
      </c>
      <c r="Y176" s="29">
        <f>IF(A176&gt;=SV_sIdx,MIN(U176,SV_maCap),U176)</f>
        <v/>
      </c>
      <c r="Z176" s="29">
        <f>IF(AND(SV_cpfOn,A176&gt;=SV_pIdx,A176&lt;=SV_T),12*SV_pay,0)</f>
        <v/>
      </c>
      <c r="AA176" s="29">
        <f>IF(A176&gt;SV_T,0,IF(SV_sp&gt;=0,IF(A176&lt;SV_sIdx,0,IF(A176=SV_sIdx,SV_R0,SV_lifeGrowth*AA175)),SV_lifeGrowth*AA175))</f>
        <v/>
      </c>
      <c r="AB176" s="29">
        <f>IF(A176&gt;SV_T,0,IF(AND(SV_sp&gt;=0,A176&lt;SV_sIdx),0,IF(AND(SV_sp&gt;=0,A176=SV_sIdx),SV_L0,SV_lifeGrowth*(AB175-Z176))))</f>
        <v/>
      </c>
      <c r="AC176" s="29">
        <f>W176+X176+AA176+Y176+IF(AA176&lt;0,0,AB176)</f>
        <v/>
      </c>
      <c r="AD176" s="29">
        <f>Z176+V176</f>
        <v/>
      </c>
      <c r="AE176" s="29">
        <f>IF(OR(A176&gt;SV_T,A176&gt;=SV_loanYears),0,MAX(0,AE175*(1+loanRate)-SV_inst))</f>
        <v/>
      </c>
      <c r="AF176" s="29">
        <f>IF(A176&gt;SV_T,0,AF175*(1+SV_savRate)+H176+I176+J176+K176+AD176)</f>
        <v/>
      </c>
      <c r="AG176" s="29">
        <f>IF(A176&gt;SV_T,0,MAX(0,N176+O176+P176+AC176+AF176-AE176))</f>
        <v/>
      </c>
      <c r="AH176" s="29">
        <f>IF(A176&gt;SV_T,0,N176+O176+AF176-MAX(0,AE176-(P176+AC176)))</f>
        <v/>
      </c>
      <c r="AI176" s="29">
        <f>IF(OR(OR(A176&lt;1,A176&gt;SV_T),A176-1&gt;=SV_retPay),0,SV_retMth*12+IF(A176=1,SV_retLump,0))</f>
        <v/>
      </c>
      <c r="AJ176" s="29">
        <f>IF(A176&gt;SV_T,0,(AJ175+AI176)*(1+investmentReturn))</f>
        <v/>
      </c>
      <c r="AK176" s="29">
        <f>IF(OR(OR(A176&lt;1,A176&gt;SV_T),A176-1&gt;=SV_goalPay),0,SV_goalMth*12+IF(A176=1,SV_goalLump,0))</f>
        <v/>
      </c>
      <c r="AL176" s="29">
        <f>IF(A176&gt;SV_T,0,(AL175+AK176)*(1+investmentReturn))</f>
        <v/>
      </c>
      <c r="AM176" s="29">
        <f>IF(OR(OR(A176&lt;1,A176&gt;SV_T),A176-1&gt;=SV_protPay),0,SV_protPrem)</f>
        <v/>
      </c>
      <c r="AN176" s="29">
        <f>IF(OR(A176=0,A176&gt;=SV_T),0,ROUND(MAX(0,AJ176),2)+ROUND(MAX(0,AL176),2))</f>
        <v/>
      </c>
      <c r="AO176" s="29">
        <f>IF(OR(A176&lt;1,A176&gt;SV_T),0,-(AI176+AK176+AM176)+IF(A176=SV_T,ROUND(MAX(0,AJ176),2)+ROUND(MAX(0,AL176),2),0))</f>
        <v/>
      </c>
      <c r="AP176" s="29">
        <f>IF(A176&gt;SV_T,0,AP175*(1+SV_savRate)+H176+I176+J176+K176+AD176+AO176)</f>
        <v/>
      </c>
      <c r="AQ176" s="29">
        <f>IF(A176&gt;SV_T,0,MAX(0,N176+O176+P176+AC176+AP176+AN176-AE176))</f>
        <v/>
      </c>
      <c r="AR176" s="29">
        <f>IF(A176&gt;SV_T,0,N176+O176+AP176+AN176-MAX(0,AE176-(P176+AC176)))</f>
        <v/>
      </c>
    </row>
    <row r="177">
      <c r="A177" s="61" t="n">
        <v>48</v>
      </c>
      <c r="B177" s="61">
        <f>SV_age+A177</f>
        <v/>
      </c>
      <c r="C177" s="61">
        <f>currentYear+A177</f>
        <v/>
      </c>
      <c r="D177" s="52">
        <f>A177&lt;=SV_T</f>
        <v/>
      </c>
      <c r="E177" s="60">
        <f>IF(AND(SV_inflOn,A177&gt;=SV_inflS,A177&lt;=SV_inflE),1+SV_inflRate,1+inflationRate)</f>
        <v/>
      </c>
      <c r="F177" s="60">
        <f>IF(A177&lt;=1,1,F176*E177)</f>
        <v/>
      </c>
      <c r="G177" s="60">
        <f>IF(AND(SV_incOn,A177&gt;=SV_incS,A177&lt;=SV_incE),1+SV_incImp,1)</f>
        <v/>
      </c>
      <c r="H177" s="29">
        <f>IF(OR(OR(A177&lt;1,A177&gt;SV_T),A177-1&gt;=SV_salCut),0,SV_sal0*(1+incomeGrowthRate)^(A177-1)*G177)</f>
        <v/>
      </c>
      <c r="I177" s="29">
        <f>IF(OR(A177&lt;1,A177&gt;SV_T),0,(-SV_exp0*F177-IF(A177&lt;=SV_loanYears,SV_inst,0)-IF(AND(SV_wdAmt&gt;0,A177=SV_wdYear),SV_wdAmt,0))*IF(AND(SV_expOn,A177&gt;=SV_expS,A177&lt;=SV_expE),1+SV_expImp,1))</f>
        <v/>
      </c>
      <c r="J177" s="29">
        <f>IF(OR(OR(A177&lt;1,A177&gt;SV_T),A177&gt;SV_loanYears),0,-SV_lifePremYr)</f>
        <v/>
      </c>
      <c r="K177" s="29">
        <f>IF(OR(A177&lt;1,A177&gt;SV_T),0,-SV_contrib)</f>
        <v/>
      </c>
      <c r="L177" s="60">
        <f>IF(AND(SV_crashOn,A177=SV_crashYr),SV_crashF,1)</f>
        <v/>
      </c>
      <c r="M177" s="60">
        <f>IF(AND(SV_ccyOn,A177=SV_ccyYr),SV_ccyF,1)</f>
        <v/>
      </c>
      <c r="N177" s="29">
        <f>IF(A177&gt;SV_T,0,N176*(1+interestRate)*L177*M177)</f>
        <v/>
      </c>
      <c r="O177" s="29">
        <f>IF(A177&gt;SV_T,0,(O176+SV_contrib)*(1+investmentReturn)*L177*M177)</f>
        <v/>
      </c>
      <c r="P177" s="29">
        <f>IF(A177&gt;SV_T,0,P176*(1+SV_propRate)*L177)</f>
        <v/>
      </c>
      <c r="Q177" s="46">
        <f>MATCH(SV_age+A177-1,SV_cpfLower,1)</f>
        <v/>
      </c>
      <c r="R177" s="29">
        <f>IF(OR(OR(A177&lt;1,A177&gt;SV_T),NOT(SV_cpfOn)),0,MIN(SV_sal0*(1+incomeGrowthRate)^(A177-1)*G177,SV_owCap))</f>
        <v/>
      </c>
      <c r="S177" s="29">
        <f>IF(A177&gt;SV_T,0,S176*(1+SV_oaRate)+IF(A177&gt;=SV_effStop,0,INDEX(SV_cpfOA,Q177)*INDEX(SV_cpfTot,Q177)*R177))</f>
        <v/>
      </c>
      <c r="T177" s="29">
        <f>IF(A177&gt;SV_T,0,T176*(1+SV_saRate)+IF(A177&gt;=SV_effStop,0,INDEX(SV_cpfSA,Q177)*INDEX(SV_cpfTot,Q177)*R177))</f>
        <v/>
      </c>
      <c r="U177" s="29">
        <f>IF(A177&gt;SV_T,0,U176*(1+SV_saRate)+IF(A177&gt;=SV_effStop,0,INDEX(SV_cpfMA,Q177)*INDEX(SV_cpfTot,Q177)*R177))</f>
        <v/>
      </c>
      <c r="V177" s="29">
        <f>IF(OR(OR(A177&lt;1,A177&gt;SV_T),A177&gt;=SV_effNeg),0,-(INDEX(SV_cpfOA,Q177)+INDEX(SV_cpfSA,Q177)+INDEX(SV_cpfMA,Q177))*INDEX(SV_cpfEmp,Q177)*R177)</f>
        <v/>
      </c>
      <c r="W177" s="29">
        <f>IF(A177&gt;=SV_sIdx,0,S177)</f>
        <v/>
      </c>
      <c r="X177" s="29">
        <f>IF(A177&gt;=SV_sIdx,0,T177)</f>
        <v/>
      </c>
      <c r="Y177" s="29">
        <f>IF(A177&gt;=SV_sIdx,MIN(U177,SV_maCap),U177)</f>
        <v/>
      </c>
      <c r="Z177" s="29">
        <f>IF(AND(SV_cpfOn,A177&gt;=SV_pIdx,A177&lt;=SV_T),12*SV_pay,0)</f>
        <v/>
      </c>
      <c r="AA177" s="29">
        <f>IF(A177&gt;SV_T,0,IF(SV_sp&gt;=0,IF(A177&lt;SV_sIdx,0,IF(A177=SV_sIdx,SV_R0,SV_lifeGrowth*AA176)),SV_lifeGrowth*AA176))</f>
        <v/>
      </c>
      <c r="AB177" s="29">
        <f>IF(A177&gt;SV_T,0,IF(AND(SV_sp&gt;=0,A177&lt;SV_sIdx),0,IF(AND(SV_sp&gt;=0,A177=SV_sIdx),SV_L0,SV_lifeGrowth*(AB176-Z177))))</f>
        <v/>
      </c>
      <c r="AC177" s="29">
        <f>W177+X177+AA177+Y177+IF(AA177&lt;0,0,AB177)</f>
        <v/>
      </c>
      <c r="AD177" s="29">
        <f>Z177+V177</f>
        <v/>
      </c>
      <c r="AE177" s="29">
        <f>IF(OR(A177&gt;SV_T,A177&gt;=SV_loanYears),0,MAX(0,AE176*(1+loanRate)-SV_inst))</f>
        <v/>
      </c>
      <c r="AF177" s="29">
        <f>IF(A177&gt;SV_T,0,AF176*(1+SV_savRate)+H177+I177+J177+K177+AD177)</f>
        <v/>
      </c>
      <c r="AG177" s="29">
        <f>IF(A177&gt;SV_T,0,MAX(0,N177+O177+P177+AC177+AF177-AE177))</f>
        <v/>
      </c>
      <c r="AH177" s="29">
        <f>IF(A177&gt;SV_T,0,N177+O177+AF177-MAX(0,AE177-(P177+AC177)))</f>
        <v/>
      </c>
      <c r="AI177" s="29">
        <f>IF(OR(OR(A177&lt;1,A177&gt;SV_T),A177-1&gt;=SV_retPay),0,SV_retMth*12+IF(A177=1,SV_retLump,0))</f>
        <v/>
      </c>
      <c r="AJ177" s="29">
        <f>IF(A177&gt;SV_T,0,(AJ176+AI177)*(1+investmentReturn))</f>
        <v/>
      </c>
      <c r="AK177" s="29">
        <f>IF(OR(OR(A177&lt;1,A177&gt;SV_T),A177-1&gt;=SV_goalPay),0,SV_goalMth*12+IF(A177=1,SV_goalLump,0))</f>
        <v/>
      </c>
      <c r="AL177" s="29">
        <f>IF(A177&gt;SV_T,0,(AL176+AK177)*(1+investmentReturn))</f>
        <v/>
      </c>
      <c r="AM177" s="29">
        <f>IF(OR(OR(A177&lt;1,A177&gt;SV_T),A177-1&gt;=SV_protPay),0,SV_protPrem)</f>
        <v/>
      </c>
      <c r="AN177" s="29">
        <f>IF(OR(A177=0,A177&gt;=SV_T),0,ROUND(MAX(0,AJ177),2)+ROUND(MAX(0,AL177),2))</f>
        <v/>
      </c>
      <c r="AO177" s="29">
        <f>IF(OR(A177&lt;1,A177&gt;SV_T),0,-(AI177+AK177+AM177)+IF(A177=SV_T,ROUND(MAX(0,AJ177),2)+ROUND(MAX(0,AL177),2),0))</f>
        <v/>
      </c>
      <c r="AP177" s="29">
        <f>IF(A177&gt;SV_T,0,AP176*(1+SV_savRate)+H177+I177+J177+K177+AD177+AO177)</f>
        <v/>
      </c>
      <c r="AQ177" s="29">
        <f>IF(A177&gt;SV_T,0,MAX(0,N177+O177+P177+AC177+AP177+AN177-AE177))</f>
        <v/>
      </c>
      <c r="AR177" s="29">
        <f>IF(A177&gt;SV_T,0,N177+O177+AP177+AN177-MAX(0,AE177-(P177+AC177)))</f>
        <v/>
      </c>
    </row>
    <row r="178">
      <c r="A178" s="61" t="n">
        <v>49</v>
      </c>
      <c r="B178" s="61">
        <f>SV_age+A178</f>
        <v/>
      </c>
      <c r="C178" s="61">
        <f>currentYear+A178</f>
        <v/>
      </c>
      <c r="D178" s="52">
        <f>A178&lt;=SV_T</f>
        <v/>
      </c>
      <c r="E178" s="60">
        <f>IF(AND(SV_inflOn,A178&gt;=SV_inflS,A178&lt;=SV_inflE),1+SV_inflRate,1+inflationRate)</f>
        <v/>
      </c>
      <c r="F178" s="60">
        <f>IF(A178&lt;=1,1,F177*E178)</f>
        <v/>
      </c>
      <c r="G178" s="60">
        <f>IF(AND(SV_incOn,A178&gt;=SV_incS,A178&lt;=SV_incE),1+SV_incImp,1)</f>
        <v/>
      </c>
      <c r="H178" s="29">
        <f>IF(OR(OR(A178&lt;1,A178&gt;SV_T),A178-1&gt;=SV_salCut),0,SV_sal0*(1+incomeGrowthRate)^(A178-1)*G178)</f>
        <v/>
      </c>
      <c r="I178" s="29">
        <f>IF(OR(A178&lt;1,A178&gt;SV_T),0,(-SV_exp0*F178-IF(A178&lt;=SV_loanYears,SV_inst,0)-IF(AND(SV_wdAmt&gt;0,A178=SV_wdYear),SV_wdAmt,0))*IF(AND(SV_expOn,A178&gt;=SV_expS,A178&lt;=SV_expE),1+SV_expImp,1))</f>
        <v/>
      </c>
      <c r="J178" s="29">
        <f>IF(OR(OR(A178&lt;1,A178&gt;SV_T),A178&gt;SV_loanYears),0,-SV_lifePremYr)</f>
        <v/>
      </c>
      <c r="K178" s="29">
        <f>IF(OR(A178&lt;1,A178&gt;SV_T),0,-SV_contrib)</f>
        <v/>
      </c>
      <c r="L178" s="60">
        <f>IF(AND(SV_crashOn,A178=SV_crashYr),SV_crashF,1)</f>
        <v/>
      </c>
      <c r="M178" s="60">
        <f>IF(AND(SV_ccyOn,A178=SV_ccyYr),SV_ccyF,1)</f>
        <v/>
      </c>
      <c r="N178" s="29">
        <f>IF(A178&gt;SV_T,0,N177*(1+interestRate)*L178*M178)</f>
        <v/>
      </c>
      <c r="O178" s="29">
        <f>IF(A178&gt;SV_T,0,(O177+SV_contrib)*(1+investmentReturn)*L178*M178)</f>
        <v/>
      </c>
      <c r="P178" s="29">
        <f>IF(A178&gt;SV_T,0,P177*(1+SV_propRate)*L178)</f>
        <v/>
      </c>
      <c r="Q178" s="46">
        <f>MATCH(SV_age+A178-1,SV_cpfLower,1)</f>
        <v/>
      </c>
      <c r="R178" s="29">
        <f>IF(OR(OR(A178&lt;1,A178&gt;SV_T),NOT(SV_cpfOn)),0,MIN(SV_sal0*(1+incomeGrowthRate)^(A178-1)*G178,SV_owCap))</f>
        <v/>
      </c>
      <c r="S178" s="29">
        <f>IF(A178&gt;SV_T,0,S177*(1+SV_oaRate)+IF(A178&gt;=SV_effStop,0,INDEX(SV_cpfOA,Q178)*INDEX(SV_cpfTot,Q178)*R178))</f>
        <v/>
      </c>
      <c r="T178" s="29">
        <f>IF(A178&gt;SV_T,0,T177*(1+SV_saRate)+IF(A178&gt;=SV_effStop,0,INDEX(SV_cpfSA,Q178)*INDEX(SV_cpfTot,Q178)*R178))</f>
        <v/>
      </c>
      <c r="U178" s="29">
        <f>IF(A178&gt;SV_T,0,U177*(1+SV_saRate)+IF(A178&gt;=SV_effStop,0,INDEX(SV_cpfMA,Q178)*INDEX(SV_cpfTot,Q178)*R178))</f>
        <v/>
      </c>
      <c r="V178" s="29">
        <f>IF(OR(OR(A178&lt;1,A178&gt;SV_T),A178&gt;=SV_effNeg),0,-(INDEX(SV_cpfOA,Q178)+INDEX(SV_cpfSA,Q178)+INDEX(SV_cpfMA,Q178))*INDEX(SV_cpfEmp,Q178)*R178)</f>
        <v/>
      </c>
      <c r="W178" s="29">
        <f>IF(A178&gt;=SV_sIdx,0,S178)</f>
        <v/>
      </c>
      <c r="X178" s="29">
        <f>IF(A178&gt;=SV_sIdx,0,T178)</f>
        <v/>
      </c>
      <c r="Y178" s="29">
        <f>IF(A178&gt;=SV_sIdx,MIN(U178,SV_maCap),U178)</f>
        <v/>
      </c>
      <c r="Z178" s="29">
        <f>IF(AND(SV_cpfOn,A178&gt;=SV_pIdx,A178&lt;=SV_T),12*SV_pay,0)</f>
        <v/>
      </c>
      <c r="AA178" s="29">
        <f>IF(A178&gt;SV_T,0,IF(SV_sp&gt;=0,IF(A178&lt;SV_sIdx,0,IF(A178=SV_sIdx,SV_R0,SV_lifeGrowth*AA177)),SV_lifeGrowth*AA177))</f>
        <v/>
      </c>
      <c r="AB178" s="29">
        <f>IF(A178&gt;SV_T,0,IF(AND(SV_sp&gt;=0,A178&lt;SV_sIdx),0,IF(AND(SV_sp&gt;=0,A178=SV_sIdx),SV_L0,SV_lifeGrowth*(AB177-Z178))))</f>
        <v/>
      </c>
      <c r="AC178" s="29">
        <f>W178+X178+AA178+Y178+IF(AA178&lt;0,0,AB178)</f>
        <v/>
      </c>
      <c r="AD178" s="29">
        <f>Z178+V178</f>
        <v/>
      </c>
      <c r="AE178" s="29">
        <f>IF(OR(A178&gt;SV_T,A178&gt;=SV_loanYears),0,MAX(0,AE177*(1+loanRate)-SV_inst))</f>
        <v/>
      </c>
      <c r="AF178" s="29">
        <f>IF(A178&gt;SV_T,0,AF177*(1+SV_savRate)+H178+I178+J178+K178+AD178)</f>
        <v/>
      </c>
      <c r="AG178" s="29">
        <f>IF(A178&gt;SV_T,0,MAX(0,N178+O178+P178+AC178+AF178-AE178))</f>
        <v/>
      </c>
      <c r="AH178" s="29">
        <f>IF(A178&gt;SV_T,0,N178+O178+AF178-MAX(0,AE178-(P178+AC178)))</f>
        <v/>
      </c>
      <c r="AI178" s="29">
        <f>IF(OR(OR(A178&lt;1,A178&gt;SV_T),A178-1&gt;=SV_retPay),0,SV_retMth*12+IF(A178=1,SV_retLump,0))</f>
        <v/>
      </c>
      <c r="AJ178" s="29">
        <f>IF(A178&gt;SV_T,0,(AJ177+AI178)*(1+investmentReturn))</f>
        <v/>
      </c>
      <c r="AK178" s="29">
        <f>IF(OR(OR(A178&lt;1,A178&gt;SV_T),A178-1&gt;=SV_goalPay),0,SV_goalMth*12+IF(A178=1,SV_goalLump,0))</f>
        <v/>
      </c>
      <c r="AL178" s="29">
        <f>IF(A178&gt;SV_T,0,(AL177+AK178)*(1+investmentReturn))</f>
        <v/>
      </c>
      <c r="AM178" s="29">
        <f>IF(OR(OR(A178&lt;1,A178&gt;SV_T),A178-1&gt;=SV_protPay),0,SV_protPrem)</f>
        <v/>
      </c>
      <c r="AN178" s="29">
        <f>IF(OR(A178=0,A178&gt;=SV_T),0,ROUND(MAX(0,AJ178),2)+ROUND(MAX(0,AL178),2))</f>
        <v/>
      </c>
      <c r="AO178" s="29">
        <f>IF(OR(A178&lt;1,A178&gt;SV_T),0,-(AI178+AK178+AM178)+IF(A178=SV_T,ROUND(MAX(0,AJ178),2)+ROUND(MAX(0,AL178),2),0))</f>
        <v/>
      </c>
      <c r="AP178" s="29">
        <f>IF(A178&gt;SV_T,0,AP177*(1+SV_savRate)+H178+I178+J178+K178+AD178+AO178)</f>
        <v/>
      </c>
      <c r="AQ178" s="29">
        <f>IF(A178&gt;SV_T,0,MAX(0,N178+O178+P178+AC178+AP178+AN178-AE178))</f>
        <v/>
      </c>
      <c r="AR178" s="29">
        <f>IF(A178&gt;SV_T,0,N178+O178+AP178+AN178-MAX(0,AE178-(P178+AC178)))</f>
        <v/>
      </c>
    </row>
    <row r="179">
      <c r="A179" s="61" t="n">
        <v>50</v>
      </c>
      <c r="B179" s="61">
        <f>SV_age+A179</f>
        <v/>
      </c>
      <c r="C179" s="61">
        <f>currentYear+A179</f>
        <v/>
      </c>
      <c r="D179" s="52">
        <f>A179&lt;=SV_T</f>
        <v/>
      </c>
      <c r="E179" s="60">
        <f>IF(AND(SV_inflOn,A179&gt;=SV_inflS,A179&lt;=SV_inflE),1+SV_inflRate,1+inflationRate)</f>
        <v/>
      </c>
      <c r="F179" s="60">
        <f>IF(A179&lt;=1,1,F178*E179)</f>
        <v/>
      </c>
      <c r="G179" s="60">
        <f>IF(AND(SV_incOn,A179&gt;=SV_incS,A179&lt;=SV_incE),1+SV_incImp,1)</f>
        <v/>
      </c>
      <c r="H179" s="29">
        <f>IF(OR(OR(A179&lt;1,A179&gt;SV_T),A179-1&gt;=SV_salCut),0,SV_sal0*(1+incomeGrowthRate)^(A179-1)*G179)</f>
        <v/>
      </c>
      <c r="I179" s="29">
        <f>IF(OR(A179&lt;1,A179&gt;SV_T),0,(-SV_exp0*F179-IF(A179&lt;=SV_loanYears,SV_inst,0)-IF(AND(SV_wdAmt&gt;0,A179=SV_wdYear),SV_wdAmt,0))*IF(AND(SV_expOn,A179&gt;=SV_expS,A179&lt;=SV_expE),1+SV_expImp,1))</f>
        <v/>
      </c>
      <c r="J179" s="29">
        <f>IF(OR(OR(A179&lt;1,A179&gt;SV_T),A179&gt;SV_loanYears),0,-SV_lifePremYr)</f>
        <v/>
      </c>
      <c r="K179" s="29">
        <f>IF(OR(A179&lt;1,A179&gt;SV_T),0,-SV_contrib)</f>
        <v/>
      </c>
      <c r="L179" s="60">
        <f>IF(AND(SV_crashOn,A179=SV_crashYr),SV_crashF,1)</f>
        <v/>
      </c>
      <c r="M179" s="60">
        <f>IF(AND(SV_ccyOn,A179=SV_ccyYr),SV_ccyF,1)</f>
        <v/>
      </c>
      <c r="N179" s="29">
        <f>IF(A179&gt;SV_T,0,N178*(1+interestRate)*L179*M179)</f>
        <v/>
      </c>
      <c r="O179" s="29">
        <f>IF(A179&gt;SV_T,0,(O178+SV_contrib)*(1+investmentReturn)*L179*M179)</f>
        <v/>
      </c>
      <c r="P179" s="29">
        <f>IF(A179&gt;SV_T,0,P178*(1+SV_propRate)*L179)</f>
        <v/>
      </c>
      <c r="Q179" s="46">
        <f>MATCH(SV_age+A179-1,SV_cpfLower,1)</f>
        <v/>
      </c>
      <c r="R179" s="29">
        <f>IF(OR(OR(A179&lt;1,A179&gt;SV_T),NOT(SV_cpfOn)),0,MIN(SV_sal0*(1+incomeGrowthRate)^(A179-1)*G179,SV_owCap))</f>
        <v/>
      </c>
      <c r="S179" s="29">
        <f>IF(A179&gt;SV_T,0,S178*(1+SV_oaRate)+IF(A179&gt;=SV_effStop,0,INDEX(SV_cpfOA,Q179)*INDEX(SV_cpfTot,Q179)*R179))</f>
        <v/>
      </c>
      <c r="T179" s="29">
        <f>IF(A179&gt;SV_T,0,T178*(1+SV_saRate)+IF(A179&gt;=SV_effStop,0,INDEX(SV_cpfSA,Q179)*INDEX(SV_cpfTot,Q179)*R179))</f>
        <v/>
      </c>
      <c r="U179" s="29">
        <f>IF(A179&gt;SV_T,0,U178*(1+SV_saRate)+IF(A179&gt;=SV_effStop,0,INDEX(SV_cpfMA,Q179)*INDEX(SV_cpfTot,Q179)*R179))</f>
        <v/>
      </c>
      <c r="V179" s="29">
        <f>IF(OR(OR(A179&lt;1,A179&gt;SV_T),A179&gt;=SV_effNeg),0,-(INDEX(SV_cpfOA,Q179)+INDEX(SV_cpfSA,Q179)+INDEX(SV_cpfMA,Q179))*INDEX(SV_cpfEmp,Q179)*R179)</f>
        <v/>
      </c>
      <c r="W179" s="29">
        <f>IF(A179&gt;=SV_sIdx,0,S179)</f>
        <v/>
      </c>
      <c r="X179" s="29">
        <f>IF(A179&gt;=SV_sIdx,0,T179)</f>
        <v/>
      </c>
      <c r="Y179" s="29">
        <f>IF(A179&gt;=SV_sIdx,MIN(U179,SV_maCap),U179)</f>
        <v/>
      </c>
      <c r="Z179" s="29">
        <f>IF(AND(SV_cpfOn,A179&gt;=SV_pIdx,A179&lt;=SV_T),12*SV_pay,0)</f>
        <v/>
      </c>
      <c r="AA179" s="29">
        <f>IF(A179&gt;SV_T,0,IF(SV_sp&gt;=0,IF(A179&lt;SV_sIdx,0,IF(A179=SV_sIdx,SV_R0,SV_lifeGrowth*AA178)),SV_lifeGrowth*AA178))</f>
        <v/>
      </c>
      <c r="AB179" s="29">
        <f>IF(A179&gt;SV_T,0,IF(AND(SV_sp&gt;=0,A179&lt;SV_sIdx),0,IF(AND(SV_sp&gt;=0,A179=SV_sIdx),SV_L0,SV_lifeGrowth*(AB178-Z179))))</f>
        <v/>
      </c>
      <c r="AC179" s="29">
        <f>W179+X179+AA179+Y179+IF(AA179&lt;0,0,AB179)</f>
        <v/>
      </c>
      <c r="AD179" s="29">
        <f>Z179+V179</f>
        <v/>
      </c>
      <c r="AE179" s="29">
        <f>IF(OR(A179&gt;SV_T,A179&gt;=SV_loanYears),0,MAX(0,AE178*(1+loanRate)-SV_inst))</f>
        <v/>
      </c>
      <c r="AF179" s="29">
        <f>IF(A179&gt;SV_T,0,AF178*(1+SV_savRate)+H179+I179+J179+K179+AD179)</f>
        <v/>
      </c>
      <c r="AG179" s="29">
        <f>IF(A179&gt;SV_T,0,MAX(0,N179+O179+P179+AC179+AF179-AE179))</f>
        <v/>
      </c>
      <c r="AH179" s="29">
        <f>IF(A179&gt;SV_T,0,N179+O179+AF179-MAX(0,AE179-(P179+AC179)))</f>
        <v/>
      </c>
      <c r="AI179" s="29">
        <f>IF(OR(OR(A179&lt;1,A179&gt;SV_T),A179-1&gt;=SV_retPay),0,SV_retMth*12+IF(A179=1,SV_retLump,0))</f>
        <v/>
      </c>
      <c r="AJ179" s="29">
        <f>IF(A179&gt;SV_T,0,(AJ178+AI179)*(1+investmentReturn))</f>
        <v/>
      </c>
      <c r="AK179" s="29">
        <f>IF(OR(OR(A179&lt;1,A179&gt;SV_T),A179-1&gt;=SV_goalPay),0,SV_goalMth*12+IF(A179=1,SV_goalLump,0))</f>
        <v/>
      </c>
      <c r="AL179" s="29">
        <f>IF(A179&gt;SV_T,0,(AL178+AK179)*(1+investmentReturn))</f>
        <v/>
      </c>
      <c r="AM179" s="29">
        <f>IF(OR(OR(A179&lt;1,A179&gt;SV_T),A179-1&gt;=SV_protPay),0,SV_protPrem)</f>
        <v/>
      </c>
      <c r="AN179" s="29">
        <f>IF(OR(A179=0,A179&gt;=SV_T),0,ROUND(MAX(0,AJ179),2)+ROUND(MAX(0,AL179),2))</f>
        <v/>
      </c>
      <c r="AO179" s="29">
        <f>IF(OR(A179&lt;1,A179&gt;SV_T),0,-(AI179+AK179+AM179)+IF(A179=SV_T,ROUND(MAX(0,AJ179),2)+ROUND(MAX(0,AL179),2),0))</f>
        <v/>
      </c>
      <c r="AP179" s="29">
        <f>IF(A179&gt;SV_T,0,AP178*(1+SV_savRate)+H179+I179+J179+K179+AD179+AO179)</f>
        <v/>
      </c>
      <c r="AQ179" s="29">
        <f>IF(A179&gt;SV_T,0,MAX(0,N179+O179+P179+AC179+AP179+AN179-AE179))</f>
        <v/>
      </c>
      <c r="AR179" s="29">
        <f>IF(A179&gt;SV_T,0,N179+O179+AP179+AN179-MAX(0,AE179-(P179+AC179)))</f>
        <v/>
      </c>
    </row>
    <row r="180">
      <c r="A180" s="61" t="n">
        <v>51</v>
      </c>
      <c r="B180" s="61">
        <f>SV_age+A180</f>
        <v/>
      </c>
      <c r="C180" s="61">
        <f>currentYear+A180</f>
        <v/>
      </c>
      <c r="D180" s="52">
        <f>A180&lt;=SV_T</f>
        <v/>
      </c>
      <c r="E180" s="60">
        <f>IF(AND(SV_inflOn,A180&gt;=SV_inflS,A180&lt;=SV_inflE),1+SV_inflRate,1+inflationRate)</f>
        <v/>
      </c>
      <c r="F180" s="60">
        <f>IF(A180&lt;=1,1,F179*E180)</f>
        <v/>
      </c>
      <c r="G180" s="60">
        <f>IF(AND(SV_incOn,A180&gt;=SV_incS,A180&lt;=SV_incE),1+SV_incImp,1)</f>
        <v/>
      </c>
      <c r="H180" s="29">
        <f>IF(OR(OR(A180&lt;1,A180&gt;SV_T),A180-1&gt;=SV_salCut),0,SV_sal0*(1+incomeGrowthRate)^(A180-1)*G180)</f>
        <v/>
      </c>
      <c r="I180" s="29">
        <f>IF(OR(A180&lt;1,A180&gt;SV_T),0,(-SV_exp0*F180-IF(A180&lt;=SV_loanYears,SV_inst,0)-IF(AND(SV_wdAmt&gt;0,A180=SV_wdYear),SV_wdAmt,0))*IF(AND(SV_expOn,A180&gt;=SV_expS,A180&lt;=SV_expE),1+SV_expImp,1))</f>
        <v/>
      </c>
      <c r="J180" s="29">
        <f>IF(OR(OR(A180&lt;1,A180&gt;SV_T),A180&gt;SV_loanYears),0,-SV_lifePremYr)</f>
        <v/>
      </c>
      <c r="K180" s="29">
        <f>IF(OR(A180&lt;1,A180&gt;SV_T),0,-SV_contrib)</f>
        <v/>
      </c>
      <c r="L180" s="60">
        <f>IF(AND(SV_crashOn,A180=SV_crashYr),SV_crashF,1)</f>
        <v/>
      </c>
      <c r="M180" s="60">
        <f>IF(AND(SV_ccyOn,A180=SV_ccyYr),SV_ccyF,1)</f>
        <v/>
      </c>
      <c r="N180" s="29">
        <f>IF(A180&gt;SV_T,0,N179*(1+interestRate)*L180*M180)</f>
        <v/>
      </c>
      <c r="O180" s="29">
        <f>IF(A180&gt;SV_T,0,(O179+SV_contrib)*(1+investmentReturn)*L180*M180)</f>
        <v/>
      </c>
      <c r="P180" s="29">
        <f>IF(A180&gt;SV_T,0,P179*(1+SV_propRate)*L180)</f>
        <v/>
      </c>
      <c r="Q180" s="46">
        <f>MATCH(SV_age+A180-1,SV_cpfLower,1)</f>
        <v/>
      </c>
      <c r="R180" s="29">
        <f>IF(OR(OR(A180&lt;1,A180&gt;SV_T),NOT(SV_cpfOn)),0,MIN(SV_sal0*(1+incomeGrowthRate)^(A180-1)*G180,SV_owCap))</f>
        <v/>
      </c>
      <c r="S180" s="29">
        <f>IF(A180&gt;SV_T,0,S179*(1+SV_oaRate)+IF(A180&gt;=SV_effStop,0,INDEX(SV_cpfOA,Q180)*INDEX(SV_cpfTot,Q180)*R180))</f>
        <v/>
      </c>
      <c r="T180" s="29">
        <f>IF(A180&gt;SV_T,0,T179*(1+SV_saRate)+IF(A180&gt;=SV_effStop,0,INDEX(SV_cpfSA,Q180)*INDEX(SV_cpfTot,Q180)*R180))</f>
        <v/>
      </c>
      <c r="U180" s="29">
        <f>IF(A180&gt;SV_T,0,U179*(1+SV_saRate)+IF(A180&gt;=SV_effStop,0,INDEX(SV_cpfMA,Q180)*INDEX(SV_cpfTot,Q180)*R180))</f>
        <v/>
      </c>
      <c r="V180" s="29">
        <f>IF(OR(OR(A180&lt;1,A180&gt;SV_T),A180&gt;=SV_effNeg),0,-(INDEX(SV_cpfOA,Q180)+INDEX(SV_cpfSA,Q180)+INDEX(SV_cpfMA,Q180))*INDEX(SV_cpfEmp,Q180)*R180)</f>
        <v/>
      </c>
      <c r="W180" s="29">
        <f>IF(A180&gt;=SV_sIdx,0,S180)</f>
        <v/>
      </c>
      <c r="X180" s="29">
        <f>IF(A180&gt;=SV_sIdx,0,T180)</f>
        <v/>
      </c>
      <c r="Y180" s="29">
        <f>IF(A180&gt;=SV_sIdx,MIN(U180,SV_maCap),U180)</f>
        <v/>
      </c>
      <c r="Z180" s="29">
        <f>IF(AND(SV_cpfOn,A180&gt;=SV_pIdx,A180&lt;=SV_T),12*SV_pay,0)</f>
        <v/>
      </c>
      <c r="AA180" s="29">
        <f>IF(A180&gt;SV_T,0,IF(SV_sp&gt;=0,IF(A180&lt;SV_sIdx,0,IF(A180=SV_sIdx,SV_R0,SV_lifeGrowth*AA179)),SV_lifeGrowth*AA179))</f>
        <v/>
      </c>
      <c r="AB180" s="29">
        <f>IF(A180&gt;SV_T,0,IF(AND(SV_sp&gt;=0,A180&lt;SV_sIdx),0,IF(AND(SV_sp&gt;=0,A180=SV_sIdx),SV_L0,SV_lifeGrowth*(AB179-Z180))))</f>
        <v/>
      </c>
      <c r="AC180" s="29">
        <f>W180+X180+AA180+Y180+IF(AA180&lt;0,0,AB180)</f>
        <v/>
      </c>
      <c r="AD180" s="29">
        <f>Z180+V180</f>
        <v/>
      </c>
      <c r="AE180" s="29">
        <f>IF(OR(A180&gt;SV_T,A180&gt;=SV_loanYears),0,MAX(0,AE179*(1+loanRate)-SV_inst))</f>
        <v/>
      </c>
      <c r="AF180" s="29">
        <f>IF(A180&gt;SV_T,0,AF179*(1+SV_savRate)+H180+I180+J180+K180+AD180)</f>
        <v/>
      </c>
      <c r="AG180" s="29">
        <f>IF(A180&gt;SV_T,0,MAX(0,N180+O180+P180+AC180+AF180-AE180))</f>
        <v/>
      </c>
      <c r="AH180" s="29">
        <f>IF(A180&gt;SV_T,0,N180+O180+AF180-MAX(0,AE180-(P180+AC180)))</f>
        <v/>
      </c>
      <c r="AI180" s="29">
        <f>IF(OR(OR(A180&lt;1,A180&gt;SV_T),A180-1&gt;=SV_retPay),0,SV_retMth*12+IF(A180=1,SV_retLump,0))</f>
        <v/>
      </c>
      <c r="AJ180" s="29">
        <f>IF(A180&gt;SV_T,0,(AJ179+AI180)*(1+investmentReturn))</f>
        <v/>
      </c>
      <c r="AK180" s="29">
        <f>IF(OR(OR(A180&lt;1,A180&gt;SV_T),A180-1&gt;=SV_goalPay),0,SV_goalMth*12+IF(A180=1,SV_goalLump,0))</f>
        <v/>
      </c>
      <c r="AL180" s="29">
        <f>IF(A180&gt;SV_T,0,(AL179+AK180)*(1+investmentReturn))</f>
        <v/>
      </c>
      <c r="AM180" s="29">
        <f>IF(OR(OR(A180&lt;1,A180&gt;SV_T),A180-1&gt;=SV_protPay),0,SV_protPrem)</f>
        <v/>
      </c>
      <c r="AN180" s="29">
        <f>IF(OR(A180=0,A180&gt;=SV_T),0,ROUND(MAX(0,AJ180),2)+ROUND(MAX(0,AL180),2))</f>
        <v/>
      </c>
      <c r="AO180" s="29">
        <f>IF(OR(A180&lt;1,A180&gt;SV_T),0,-(AI180+AK180+AM180)+IF(A180=SV_T,ROUND(MAX(0,AJ180),2)+ROUND(MAX(0,AL180),2),0))</f>
        <v/>
      </c>
      <c r="AP180" s="29">
        <f>IF(A180&gt;SV_T,0,AP179*(1+SV_savRate)+H180+I180+J180+K180+AD180+AO180)</f>
        <v/>
      </c>
      <c r="AQ180" s="29">
        <f>IF(A180&gt;SV_T,0,MAX(0,N180+O180+P180+AC180+AP180+AN180-AE180))</f>
        <v/>
      </c>
      <c r="AR180" s="29">
        <f>IF(A180&gt;SV_T,0,N180+O180+AP180+AN180-MAX(0,AE180-(P180+AC180)))</f>
        <v/>
      </c>
    </row>
    <row r="181">
      <c r="A181" s="61" t="n">
        <v>52</v>
      </c>
      <c r="B181" s="61">
        <f>SV_age+A181</f>
        <v/>
      </c>
      <c r="C181" s="61">
        <f>currentYear+A181</f>
        <v/>
      </c>
      <c r="D181" s="52">
        <f>A181&lt;=SV_T</f>
        <v/>
      </c>
      <c r="E181" s="60">
        <f>IF(AND(SV_inflOn,A181&gt;=SV_inflS,A181&lt;=SV_inflE),1+SV_inflRate,1+inflationRate)</f>
        <v/>
      </c>
      <c r="F181" s="60">
        <f>IF(A181&lt;=1,1,F180*E181)</f>
        <v/>
      </c>
      <c r="G181" s="60">
        <f>IF(AND(SV_incOn,A181&gt;=SV_incS,A181&lt;=SV_incE),1+SV_incImp,1)</f>
        <v/>
      </c>
      <c r="H181" s="29">
        <f>IF(OR(OR(A181&lt;1,A181&gt;SV_T),A181-1&gt;=SV_salCut),0,SV_sal0*(1+incomeGrowthRate)^(A181-1)*G181)</f>
        <v/>
      </c>
      <c r="I181" s="29">
        <f>IF(OR(A181&lt;1,A181&gt;SV_T),0,(-SV_exp0*F181-IF(A181&lt;=SV_loanYears,SV_inst,0)-IF(AND(SV_wdAmt&gt;0,A181=SV_wdYear),SV_wdAmt,0))*IF(AND(SV_expOn,A181&gt;=SV_expS,A181&lt;=SV_expE),1+SV_expImp,1))</f>
        <v/>
      </c>
      <c r="J181" s="29">
        <f>IF(OR(OR(A181&lt;1,A181&gt;SV_T),A181&gt;SV_loanYears),0,-SV_lifePremYr)</f>
        <v/>
      </c>
      <c r="K181" s="29">
        <f>IF(OR(A181&lt;1,A181&gt;SV_T),0,-SV_contrib)</f>
        <v/>
      </c>
      <c r="L181" s="60">
        <f>IF(AND(SV_crashOn,A181=SV_crashYr),SV_crashF,1)</f>
        <v/>
      </c>
      <c r="M181" s="60">
        <f>IF(AND(SV_ccyOn,A181=SV_ccyYr),SV_ccyF,1)</f>
        <v/>
      </c>
      <c r="N181" s="29">
        <f>IF(A181&gt;SV_T,0,N180*(1+interestRate)*L181*M181)</f>
        <v/>
      </c>
      <c r="O181" s="29">
        <f>IF(A181&gt;SV_T,0,(O180+SV_contrib)*(1+investmentReturn)*L181*M181)</f>
        <v/>
      </c>
      <c r="P181" s="29">
        <f>IF(A181&gt;SV_T,0,P180*(1+SV_propRate)*L181)</f>
        <v/>
      </c>
      <c r="Q181" s="46">
        <f>MATCH(SV_age+A181-1,SV_cpfLower,1)</f>
        <v/>
      </c>
      <c r="R181" s="29">
        <f>IF(OR(OR(A181&lt;1,A181&gt;SV_T),NOT(SV_cpfOn)),0,MIN(SV_sal0*(1+incomeGrowthRate)^(A181-1)*G181,SV_owCap))</f>
        <v/>
      </c>
      <c r="S181" s="29">
        <f>IF(A181&gt;SV_T,0,S180*(1+SV_oaRate)+IF(A181&gt;=SV_effStop,0,INDEX(SV_cpfOA,Q181)*INDEX(SV_cpfTot,Q181)*R181))</f>
        <v/>
      </c>
      <c r="T181" s="29">
        <f>IF(A181&gt;SV_T,0,T180*(1+SV_saRate)+IF(A181&gt;=SV_effStop,0,INDEX(SV_cpfSA,Q181)*INDEX(SV_cpfTot,Q181)*R181))</f>
        <v/>
      </c>
      <c r="U181" s="29">
        <f>IF(A181&gt;SV_T,0,U180*(1+SV_saRate)+IF(A181&gt;=SV_effStop,0,INDEX(SV_cpfMA,Q181)*INDEX(SV_cpfTot,Q181)*R181))</f>
        <v/>
      </c>
      <c r="V181" s="29">
        <f>IF(OR(OR(A181&lt;1,A181&gt;SV_T),A181&gt;=SV_effNeg),0,-(INDEX(SV_cpfOA,Q181)+INDEX(SV_cpfSA,Q181)+INDEX(SV_cpfMA,Q181))*INDEX(SV_cpfEmp,Q181)*R181)</f>
        <v/>
      </c>
      <c r="W181" s="29">
        <f>IF(A181&gt;=SV_sIdx,0,S181)</f>
        <v/>
      </c>
      <c r="X181" s="29">
        <f>IF(A181&gt;=SV_sIdx,0,T181)</f>
        <v/>
      </c>
      <c r="Y181" s="29">
        <f>IF(A181&gt;=SV_sIdx,MIN(U181,SV_maCap),U181)</f>
        <v/>
      </c>
      <c r="Z181" s="29">
        <f>IF(AND(SV_cpfOn,A181&gt;=SV_pIdx,A181&lt;=SV_T),12*SV_pay,0)</f>
        <v/>
      </c>
      <c r="AA181" s="29">
        <f>IF(A181&gt;SV_T,0,IF(SV_sp&gt;=0,IF(A181&lt;SV_sIdx,0,IF(A181=SV_sIdx,SV_R0,SV_lifeGrowth*AA180)),SV_lifeGrowth*AA180))</f>
        <v/>
      </c>
      <c r="AB181" s="29">
        <f>IF(A181&gt;SV_T,0,IF(AND(SV_sp&gt;=0,A181&lt;SV_sIdx),0,IF(AND(SV_sp&gt;=0,A181=SV_sIdx),SV_L0,SV_lifeGrowth*(AB180-Z181))))</f>
        <v/>
      </c>
      <c r="AC181" s="29">
        <f>W181+X181+AA181+Y181+IF(AA181&lt;0,0,AB181)</f>
        <v/>
      </c>
      <c r="AD181" s="29">
        <f>Z181+V181</f>
        <v/>
      </c>
      <c r="AE181" s="29">
        <f>IF(OR(A181&gt;SV_T,A181&gt;=SV_loanYears),0,MAX(0,AE180*(1+loanRate)-SV_inst))</f>
        <v/>
      </c>
      <c r="AF181" s="29">
        <f>IF(A181&gt;SV_T,0,AF180*(1+SV_savRate)+H181+I181+J181+K181+AD181)</f>
        <v/>
      </c>
      <c r="AG181" s="29">
        <f>IF(A181&gt;SV_T,0,MAX(0,N181+O181+P181+AC181+AF181-AE181))</f>
        <v/>
      </c>
      <c r="AH181" s="29">
        <f>IF(A181&gt;SV_T,0,N181+O181+AF181-MAX(0,AE181-(P181+AC181)))</f>
        <v/>
      </c>
      <c r="AI181" s="29">
        <f>IF(OR(OR(A181&lt;1,A181&gt;SV_T),A181-1&gt;=SV_retPay),0,SV_retMth*12+IF(A181=1,SV_retLump,0))</f>
        <v/>
      </c>
      <c r="AJ181" s="29">
        <f>IF(A181&gt;SV_T,0,(AJ180+AI181)*(1+investmentReturn))</f>
        <v/>
      </c>
      <c r="AK181" s="29">
        <f>IF(OR(OR(A181&lt;1,A181&gt;SV_T),A181-1&gt;=SV_goalPay),0,SV_goalMth*12+IF(A181=1,SV_goalLump,0))</f>
        <v/>
      </c>
      <c r="AL181" s="29">
        <f>IF(A181&gt;SV_T,0,(AL180+AK181)*(1+investmentReturn))</f>
        <v/>
      </c>
      <c r="AM181" s="29">
        <f>IF(OR(OR(A181&lt;1,A181&gt;SV_T),A181-1&gt;=SV_protPay),0,SV_protPrem)</f>
        <v/>
      </c>
      <c r="AN181" s="29">
        <f>IF(OR(A181=0,A181&gt;=SV_T),0,ROUND(MAX(0,AJ181),2)+ROUND(MAX(0,AL181),2))</f>
        <v/>
      </c>
      <c r="AO181" s="29">
        <f>IF(OR(A181&lt;1,A181&gt;SV_T),0,-(AI181+AK181+AM181)+IF(A181=SV_T,ROUND(MAX(0,AJ181),2)+ROUND(MAX(0,AL181),2),0))</f>
        <v/>
      </c>
      <c r="AP181" s="29">
        <f>IF(A181&gt;SV_T,0,AP180*(1+SV_savRate)+H181+I181+J181+K181+AD181+AO181)</f>
        <v/>
      </c>
      <c r="AQ181" s="29">
        <f>IF(A181&gt;SV_T,0,MAX(0,N181+O181+P181+AC181+AP181+AN181-AE181))</f>
        <v/>
      </c>
      <c r="AR181" s="29">
        <f>IF(A181&gt;SV_T,0,N181+O181+AP181+AN181-MAX(0,AE181-(P181+AC181)))</f>
        <v/>
      </c>
    </row>
    <row r="182">
      <c r="A182" s="61" t="n">
        <v>53</v>
      </c>
      <c r="B182" s="61">
        <f>SV_age+A182</f>
        <v/>
      </c>
      <c r="C182" s="61">
        <f>currentYear+A182</f>
        <v/>
      </c>
      <c r="D182" s="52">
        <f>A182&lt;=SV_T</f>
        <v/>
      </c>
      <c r="E182" s="60">
        <f>IF(AND(SV_inflOn,A182&gt;=SV_inflS,A182&lt;=SV_inflE),1+SV_inflRate,1+inflationRate)</f>
        <v/>
      </c>
      <c r="F182" s="60">
        <f>IF(A182&lt;=1,1,F181*E182)</f>
        <v/>
      </c>
      <c r="G182" s="60">
        <f>IF(AND(SV_incOn,A182&gt;=SV_incS,A182&lt;=SV_incE),1+SV_incImp,1)</f>
        <v/>
      </c>
      <c r="H182" s="29">
        <f>IF(OR(OR(A182&lt;1,A182&gt;SV_T),A182-1&gt;=SV_salCut),0,SV_sal0*(1+incomeGrowthRate)^(A182-1)*G182)</f>
        <v/>
      </c>
      <c r="I182" s="29">
        <f>IF(OR(A182&lt;1,A182&gt;SV_T),0,(-SV_exp0*F182-IF(A182&lt;=SV_loanYears,SV_inst,0)-IF(AND(SV_wdAmt&gt;0,A182=SV_wdYear),SV_wdAmt,0))*IF(AND(SV_expOn,A182&gt;=SV_expS,A182&lt;=SV_expE),1+SV_expImp,1))</f>
        <v/>
      </c>
      <c r="J182" s="29">
        <f>IF(OR(OR(A182&lt;1,A182&gt;SV_T),A182&gt;SV_loanYears),0,-SV_lifePremYr)</f>
        <v/>
      </c>
      <c r="K182" s="29">
        <f>IF(OR(A182&lt;1,A182&gt;SV_T),0,-SV_contrib)</f>
        <v/>
      </c>
      <c r="L182" s="60">
        <f>IF(AND(SV_crashOn,A182=SV_crashYr),SV_crashF,1)</f>
        <v/>
      </c>
      <c r="M182" s="60">
        <f>IF(AND(SV_ccyOn,A182=SV_ccyYr),SV_ccyF,1)</f>
        <v/>
      </c>
      <c r="N182" s="29">
        <f>IF(A182&gt;SV_T,0,N181*(1+interestRate)*L182*M182)</f>
        <v/>
      </c>
      <c r="O182" s="29">
        <f>IF(A182&gt;SV_T,0,(O181+SV_contrib)*(1+investmentReturn)*L182*M182)</f>
        <v/>
      </c>
      <c r="P182" s="29">
        <f>IF(A182&gt;SV_T,0,P181*(1+SV_propRate)*L182)</f>
        <v/>
      </c>
      <c r="Q182" s="46">
        <f>MATCH(SV_age+A182-1,SV_cpfLower,1)</f>
        <v/>
      </c>
      <c r="R182" s="29">
        <f>IF(OR(OR(A182&lt;1,A182&gt;SV_T),NOT(SV_cpfOn)),0,MIN(SV_sal0*(1+incomeGrowthRate)^(A182-1)*G182,SV_owCap))</f>
        <v/>
      </c>
      <c r="S182" s="29">
        <f>IF(A182&gt;SV_T,0,S181*(1+SV_oaRate)+IF(A182&gt;=SV_effStop,0,INDEX(SV_cpfOA,Q182)*INDEX(SV_cpfTot,Q182)*R182))</f>
        <v/>
      </c>
      <c r="T182" s="29">
        <f>IF(A182&gt;SV_T,0,T181*(1+SV_saRate)+IF(A182&gt;=SV_effStop,0,INDEX(SV_cpfSA,Q182)*INDEX(SV_cpfTot,Q182)*R182))</f>
        <v/>
      </c>
      <c r="U182" s="29">
        <f>IF(A182&gt;SV_T,0,U181*(1+SV_saRate)+IF(A182&gt;=SV_effStop,0,INDEX(SV_cpfMA,Q182)*INDEX(SV_cpfTot,Q182)*R182))</f>
        <v/>
      </c>
      <c r="V182" s="29">
        <f>IF(OR(OR(A182&lt;1,A182&gt;SV_T),A182&gt;=SV_effNeg),0,-(INDEX(SV_cpfOA,Q182)+INDEX(SV_cpfSA,Q182)+INDEX(SV_cpfMA,Q182))*INDEX(SV_cpfEmp,Q182)*R182)</f>
        <v/>
      </c>
      <c r="W182" s="29">
        <f>IF(A182&gt;=SV_sIdx,0,S182)</f>
        <v/>
      </c>
      <c r="X182" s="29">
        <f>IF(A182&gt;=SV_sIdx,0,T182)</f>
        <v/>
      </c>
      <c r="Y182" s="29">
        <f>IF(A182&gt;=SV_sIdx,MIN(U182,SV_maCap),U182)</f>
        <v/>
      </c>
      <c r="Z182" s="29">
        <f>IF(AND(SV_cpfOn,A182&gt;=SV_pIdx,A182&lt;=SV_T),12*SV_pay,0)</f>
        <v/>
      </c>
      <c r="AA182" s="29">
        <f>IF(A182&gt;SV_T,0,IF(SV_sp&gt;=0,IF(A182&lt;SV_sIdx,0,IF(A182=SV_sIdx,SV_R0,SV_lifeGrowth*AA181)),SV_lifeGrowth*AA181))</f>
        <v/>
      </c>
      <c r="AB182" s="29">
        <f>IF(A182&gt;SV_T,0,IF(AND(SV_sp&gt;=0,A182&lt;SV_sIdx),0,IF(AND(SV_sp&gt;=0,A182=SV_sIdx),SV_L0,SV_lifeGrowth*(AB181-Z182))))</f>
        <v/>
      </c>
      <c r="AC182" s="29">
        <f>W182+X182+AA182+Y182+IF(AA182&lt;0,0,AB182)</f>
        <v/>
      </c>
      <c r="AD182" s="29">
        <f>Z182+V182</f>
        <v/>
      </c>
      <c r="AE182" s="29">
        <f>IF(OR(A182&gt;SV_T,A182&gt;=SV_loanYears),0,MAX(0,AE181*(1+loanRate)-SV_inst))</f>
        <v/>
      </c>
      <c r="AF182" s="29">
        <f>IF(A182&gt;SV_T,0,AF181*(1+SV_savRate)+H182+I182+J182+K182+AD182)</f>
        <v/>
      </c>
      <c r="AG182" s="29">
        <f>IF(A182&gt;SV_T,0,MAX(0,N182+O182+P182+AC182+AF182-AE182))</f>
        <v/>
      </c>
      <c r="AH182" s="29">
        <f>IF(A182&gt;SV_T,0,N182+O182+AF182-MAX(0,AE182-(P182+AC182)))</f>
        <v/>
      </c>
      <c r="AI182" s="29">
        <f>IF(OR(OR(A182&lt;1,A182&gt;SV_T),A182-1&gt;=SV_retPay),0,SV_retMth*12+IF(A182=1,SV_retLump,0))</f>
        <v/>
      </c>
      <c r="AJ182" s="29">
        <f>IF(A182&gt;SV_T,0,(AJ181+AI182)*(1+investmentReturn))</f>
        <v/>
      </c>
      <c r="AK182" s="29">
        <f>IF(OR(OR(A182&lt;1,A182&gt;SV_T),A182-1&gt;=SV_goalPay),0,SV_goalMth*12+IF(A182=1,SV_goalLump,0))</f>
        <v/>
      </c>
      <c r="AL182" s="29">
        <f>IF(A182&gt;SV_T,0,(AL181+AK182)*(1+investmentReturn))</f>
        <v/>
      </c>
      <c r="AM182" s="29">
        <f>IF(OR(OR(A182&lt;1,A182&gt;SV_T),A182-1&gt;=SV_protPay),0,SV_protPrem)</f>
        <v/>
      </c>
      <c r="AN182" s="29">
        <f>IF(OR(A182=0,A182&gt;=SV_T),0,ROUND(MAX(0,AJ182),2)+ROUND(MAX(0,AL182),2))</f>
        <v/>
      </c>
      <c r="AO182" s="29">
        <f>IF(OR(A182&lt;1,A182&gt;SV_T),0,-(AI182+AK182+AM182)+IF(A182=SV_T,ROUND(MAX(0,AJ182),2)+ROUND(MAX(0,AL182),2),0))</f>
        <v/>
      </c>
      <c r="AP182" s="29">
        <f>IF(A182&gt;SV_T,0,AP181*(1+SV_savRate)+H182+I182+J182+K182+AD182+AO182)</f>
        <v/>
      </c>
      <c r="AQ182" s="29">
        <f>IF(A182&gt;SV_T,0,MAX(0,N182+O182+P182+AC182+AP182+AN182-AE182))</f>
        <v/>
      </c>
      <c r="AR182" s="29">
        <f>IF(A182&gt;SV_T,0,N182+O182+AP182+AN182-MAX(0,AE182-(P182+AC182)))</f>
        <v/>
      </c>
    </row>
    <row r="183">
      <c r="A183" s="61" t="n">
        <v>54</v>
      </c>
      <c r="B183" s="61">
        <f>SV_age+A183</f>
        <v/>
      </c>
      <c r="C183" s="61">
        <f>currentYear+A183</f>
        <v/>
      </c>
      <c r="D183" s="52">
        <f>A183&lt;=SV_T</f>
        <v/>
      </c>
      <c r="E183" s="60">
        <f>IF(AND(SV_inflOn,A183&gt;=SV_inflS,A183&lt;=SV_inflE),1+SV_inflRate,1+inflationRate)</f>
        <v/>
      </c>
      <c r="F183" s="60">
        <f>IF(A183&lt;=1,1,F182*E183)</f>
        <v/>
      </c>
      <c r="G183" s="60">
        <f>IF(AND(SV_incOn,A183&gt;=SV_incS,A183&lt;=SV_incE),1+SV_incImp,1)</f>
        <v/>
      </c>
      <c r="H183" s="29">
        <f>IF(OR(OR(A183&lt;1,A183&gt;SV_T),A183-1&gt;=SV_salCut),0,SV_sal0*(1+incomeGrowthRate)^(A183-1)*G183)</f>
        <v/>
      </c>
      <c r="I183" s="29">
        <f>IF(OR(A183&lt;1,A183&gt;SV_T),0,(-SV_exp0*F183-IF(A183&lt;=SV_loanYears,SV_inst,0)-IF(AND(SV_wdAmt&gt;0,A183=SV_wdYear),SV_wdAmt,0))*IF(AND(SV_expOn,A183&gt;=SV_expS,A183&lt;=SV_expE),1+SV_expImp,1))</f>
        <v/>
      </c>
      <c r="J183" s="29">
        <f>IF(OR(OR(A183&lt;1,A183&gt;SV_T),A183&gt;SV_loanYears),0,-SV_lifePremYr)</f>
        <v/>
      </c>
      <c r="K183" s="29">
        <f>IF(OR(A183&lt;1,A183&gt;SV_T),0,-SV_contrib)</f>
        <v/>
      </c>
      <c r="L183" s="60">
        <f>IF(AND(SV_crashOn,A183=SV_crashYr),SV_crashF,1)</f>
        <v/>
      </c>
      <c r="M183" s="60">
        <f>IF(AND(SV_ccyOn,A183=SV_ccyYr),SV_ccyF,1)</f>
        <v/>
      </c>
      <c r="N183" s="29">
        <f>IF(A183&gt;SV_T,0,N182*(1+interestRate)*L183*M183)</f>
        <v/>
      </c>
      <c r="O183" s="29">
        <f>IF(A183&gt;SV_T,0,(O182+SV_contrib)*(1+investmentReturn)*L183*M183)</f>
        <v/>
      </c>
      <c r="P183" s="29">
        <f>IF(A183&gt;SV_T,0,P182*(1+SV_propRate)*L183)</f>
        <v/>
      </c>
      <c r="Q183" s="46">
        <f>MATCH(SV_age+A183-1,SV_cpfLower,1)</f>
        <v/>
      </c>
      <c r="R183" s="29">
        <f>IF(OR(OR(A183&lt;1,A183&gt;SV_T),NOT(SV_cpfOn)),0,MIN(SV_sal0*(1+incomeGrowthRate)^(A183-1)*G183,SV_owCap))</f>
        <v/>
      </c>
      <c r="S183" s="29">
        <f>IF(A183&gt;SV_T,0,S182*(1+SV_oaRate)+IF(A183&gt;=SV_effStop,0,INDEX(SV_cpfOA,Q183)*INDEX(SV_cpfTot,Q183)*R183))</f>
        <v/>
      </c>
      <c r="T183" s="29">
        <f>IF(A183&gt;SV_T,0,T182*(1+SV_saRate)+IF(A183&gt;=SV_effStop,0,INDEX(SV_cpfSA,Q183)*INDEX(SV_cpfTot,Q183)*R183))</f>
        <v/>
      </c>
      <c r="U183" s="29">
        <f>IF(A183&gt;SV_T,0,U182*(1+SV_saRate)+IF(A183&gt;=SV_effStop,0,INDEX(SV_cpfMA,Q183)*INDEX(SV_cpfTot,Q183)*R183))</f>
        <v/>
      </c>
      <c r="V183" s="29">
        <f>IF(OR(OR(A183&lt;1,A183&gt;SV_T),A183&gt;=SV_effNeg),0,-(INDEX(SV_cpfOA,Q183)+INDEX(SV_cpfSA,Q183)+INDEX(SV_cpfMA,Q183))*INDEX(SV_cpfEmp,Q183)*R183)</f>
        <v/>
      </c>
      <c r="W183" s="29">
        <f>IF(A183&gt;=SV_sIdx,0,S183)</f>
        <v/>
      </c>
      <c r="X183" s="29">
        <f>IF(A183&gt;=SV_sIdx,0,T183)</f>
        <v/>
      </c>
      <c r="Y183" s="29">
        <f>IF(A183&gt;=SV_sIdx,MIN(U183,SV_maCap),U183)</f>
        <v/>
      </c>
      <c r="Z183" s="29">
        <f>IF(AND(SV_cpfOn,A183&gt;=SV_pIdx,A183&lt;=SV_T),12*SV_pay,0)</f>
        <v/>
      </c>
      <c r="AA183" s="29">
        <f>IF(A183&gt;SV_T,0,IF(SV_sp&gt;=0,IF(A183&lt;SV_sIdx,0,IF(A183=SV_sIdx,SV_R0,SV_lifeGrowth*AA182)),SV_lifeGrowth*AA182))</f>
        <v/>
      </c>
      <c r="AB183" s="29">
        <f>IF(A183&gt;SV_T,0,IF(AND(SV_sp&gt;=0,A183&lt;SV_sIdx),0,IF(AND(SV_sp&gt;=0,A183=SV_sIdx),SV_L0,SV_lifeGrowth*(AB182-Z183))))</f>
        <v/>
      </c>
      <c r="AC183" s="29">
        <f>W183+X183+AA183+Y183+IF(AA183&lt;0,0,AB183)</f>
        <v/>
      </c>
      <c r="AD183" s="29">
        <f>Z183+V183</f>
        <v/>
      </c>
      <c r="AE183" s="29">
        <f>IF(OR(A183&gt;SV_T,A183&gt;=SV_loanYears),0,MAX(0,AE182*(1+loanRate)-SV_inst))</f>
        <v/>
      </c>
      <c r="AF183" s="29">
        <f>IF(A183&gt;SV_T,0,AF182*(1+SV_savRate)+H183+I183+J183+K183+AD183)</f>
        <v/>
      </c>
      <c r="AG183" s="29">
        <f>IF(A183&gt;SV_T,0,MAX(0,N183+O183+P183+AC183+AF183-AE183))</f>
        <v/>
      </c>
      <c r="AH183" s="29">
        <f>IF(A183&gt;SV_T,0,N183+O183+AF183-MAX(0,AE183-(P183+AC183)))</f>
        <v/>
      </c>
      <c r="AI183" s="29">
        <f>IF(OR(OR(A183&lt;1,A183&gt;SV_T),A183-1&gt;=SV_retPay),0,SV_retMth*12+IF(A183=1,SV_retLump,0))</f>
        <v/>
      </c>
      <c r="AJ183" s="29">
        <f>IF(A183&gt;SV_T,0,(AJ182+AI183)*(1+investmentReturn))</f>
        <v/>
      </c>
      <c r="AK183" s="29">
        <f>IF(OR(OR(A183&lt;1,A183&gt;SV_T),A183-1&gt;=SV_goalPay),0,SV_goalMth*12+IF(A183=1,SV_goalLump,0))</f>
        <v/>
      </c>
      <c r="AL183" s="29">
        <f>IF(A183&gt;SV_T,0,(AL182+AK183)*(1+investmentReturn))</f>
        <v/>
      </c>
      <c r="AM183" s="29">
        <f>IF(OR(OR(A183&lt;1,A183&gt;SV_T),A183-1&gt;=SV_protPay),0,SV_protPrem)</f>
        <v/>
      </c>
      <c r="AN183" s="29">
        <f>IF(OR(A183=0,A183&gt;=SV_T),0,ROUND(MAX(0,AJ183),2)+ROUND(MAX(0,AL183),2))</f>
        <v/>
      </c>
      <c r="AO183" s="29">
        <f>IF(OR(A183&lt;1,A183&gt;SV_T),0,-(AI183+AK183+AM183)+IF(A183=SV_T,ROUND(MAX(0,AJ183),2)+ROUND(MAX(0,AL183),2),0))</f>
        <v/>
      </c>
      <c r="AP183" s="29">
        <f>IF(A183&gt;SV_T,0,AP182*(1+SV_savRate)+H183+I183+J183+K183+AD183+AO183)</f>
        <v/>
      </c>
      <c r="AQ183" s="29">
        <f>IF(A183&gt;SV_T,0,MAX(0,N183+O183+P183+AC183+AP183+AN183-AE183))</f>
        <v/>
      </c>
      <c r="AR183" s="29">
        <f>IF(A183&gt;SV_T,0,N183+O183+AP183+AN183-MAX(0,AE183-(P183+AC183)))</f>
        <v/>
      </c>
    </row>
    <row r="184">
      <c r="A184" s="61" t="n">
        <v>55</v>
      </c>
      <c r="B184" s="61">
        <f>SV_age+A184</f>
        <v/>
      </c>
      <c r="C184" s="61">
        <f>currentYear+A184</f>
        <v/>
      </c>
      <c r="D184" s="52">
        <f>A184&lt;=SV_T</f>
        <v/>
      </c>
      <c r="E184" s="60">
        <f>IF(AND(SV_inflOn,A184&gt;=SV_inflS,A184&lt;=SV_inflE),1+SV_inflRate,1+inflationRate)</f>
        <v/>
      </c>
      <c r="F184" s="60">
        <f>IF(A184&lt;=1,1,F183*E184)</f>
        <v/>
      </c>
      <c r="G184" s="60">
        <f>IF(AND(SV_incOn,A184&gt;=SV_incS,A184&lt;=SV_incE),1+SV_incImp,1)</f>
        <v/>
      </c>
      <c r="H184" s="29">
        <f>IF(OR(OR(A184&lt;1,A184&gt;SV_T),A184-1&gt;=SV_salCut),0,SV_sal0*(1+incomeGrowthRate)^(A184-1)*G184)</f>
        <v/>
      </c>
      <c r="I184" s="29">
        <f>IF(OR(A184&lt;1,A184&gt;SV_T),0,(-SV_exp0*F184-IF(A184&lt;=SV_loanYears,SV_inst,0)-IF(AND(SV_wdAmt&gt;0,A184=SV_wdYear),SV_wdAmt,0))*IF(AND(SV_expOn,A184&gt;=SV_expS,A184&lt;=SV_expE),1+SV_expImp,1))</f>
        <v/>
      </c>
      <c r="J184" s="29">
        <f>IF(OR(OR(A184&lt;1,A184&gt;SV_T),A184&gt;SV_loanYears),0,-SV_lifePremYr)</f>
        <v/>
      </c>
      <c r="K184" s="29">
        <f>IF(OR(A184&lt;1,A184&gt;SV_T),0,-SV_contrib)</f>
        <v/>
      </c>
      <c r="L184" s="60">
        <f>IF(AND(SV_crashOn,A184=SV_crashYr),SV_crashF,1)</f>
        <v/>
      </c>
      <c r="M184" s="60">
        <f>IF(AND(SV_ccyOn,A184=SV_ccyYr),SV_ccyF,1)</f>
        <v/>
      </c>
      <c r="N184" s="29">
        <f>IF(A184&gt;SV_T,0,N183*(1+interestRate)*L184*M184)</f>
        <v/>
      </c>
      <c r="O184" s="29">
        <f>IF(A184&gt;SV_T,0,(O183+SV_contrib)*(1+investmentReturn)*L184*M184)</f>
        <v/>
      </c>
      <c r="P184" s="29">
        <f>IF(A184&gt;SV_T,0,P183*(1+SV_propRate)*L184)</f>
        <v/>
      </c>
      <c r="Q184" s="46">
        <f>MATCH(SV_age+A184-1,SV_cpfLower,1)</f>
        <v/>
      </c>
      <c r="R184" s="29">
        <f>IF(OR(OR(A184&lt;1,A184&gt;SV_T),NOT(SV_cpfOn)),0,MIN(SV_sal0*(1+incomeGrowthRate)^(A184-1)*G184,SV_owCap))</f>
        <v/>
      </c>
      <c r="S184" s="29">
        <f>IF(A184&gt;SV_T,0,S183*(1+SV_oaRate)+IF(A184&gt;=SV_effStop,0,INDEX(SV_cpfOA,Q184)*INDEX(SV_cpfTot,Q184)*R184))</f>
        <v/>
      </c>
      <c r="T184" s="29">
        <f>IF(A184&gt;SV_T,0,T183*(1+SV_saRate)+IF(A184&gt;=SV_effStop,0,INDEX(SV_cpfSA,Q184)*INDEX(SV_cpfTot,Q184)*R184))</f>
        <v/>
      </c>
      <c r="U184" s="29">
        <f>IF(A184&gt;SV_T,0,U183*(1+SV_saRate)+IF(A184&gt;=SV_effStop,0,INDEX(SV_cpfMA,Q184)*INDEX(SV_cpfTot,Q184)*R184))</f>
        <v/>
      </c>
      <c r="V184" s="29">
        <f>IF(OR(OR(A184&lt;1,A184&gt;SV_T),A184&gt;=SV_effNeg),0,-(INDEX(SV_cpfOA,Q184)+INDEX(SV_cpfSA,Q184)+INDEX(SV_cpfMA,Q184))*INDEX(SV_cpfEmp,Q184)*R184)</f>
        <v/>
      </c>
      <c r="W184" s="29">
        <f>IF(A184&gt;=SV_sIdx,0,S184)</f>
        <v/>
      </c>
      <c r="X184" s="29">
        <f>IF(A184&gt;=SV_sIdx,0,T184)</f>
        <v/>
      </c>
      <c r="Y184" s="29">
        <f>IF(A184&gt;=SV_sIdx,MIN(U184,SV_maCap),U184)</f>
        <v/>
      </c>
      <c r="Z184" s="29">
        <f>IF(AND(SV_cpfOn,A184&gt;=SV_pIdx,A184&lt;=SV_T),12*SV_pay,0)</f>
        <v/>
      </c>
      <c r="AA184" s="29">
        <f>IF(A184&gt;SV_T,0,IF(SV_sp&gt;=0,IF(A184&lt;SV_sIdx,0,IF(A184=SV_sIdx,SV_R0,SV_lifeGrowth*AA183)),SV_lifeGrowth*AA183))</f>
        <v/>
      </c>
      <c r="AB184" s="29">
        <f>IF(A184&gt;SV_T,0,IF(AND(SV_sp&gt;=0,A184&lt;SV_sIdx),0,IF(AND(SV_sp&gt;=0,A184=SV_sIdx),SV_L0,SV_lifeGrowth*(AB183-Z184))))</f>
        <v/>
      </c>
      <c r="AC184" s="29">
        <f>W184+X184+AA184+Y184+IF(AA184&lt;0,0,AB184)</f>
        <v/>
      </c>
      <c r="AD184" s="29">
        <f>Z184+V184</f>
        <v/>
      </c>
      <c r="AE184" s="29">
        <f>IF(OR(A184&gt;SV_T,A184&gt;=SV_loanYears),0,MAX(0,AE183*(1+loanRate)-SV_inst))</f>
        <v/>
      </c>
      <c r="AF184" s="29">
        <f>IF(A184&gt;SV_T,0,AF183*(1+SV_savRate)+H184+I184+J184+K184+AD184)</f>
        <v/>
      </c>
      <c r="AG184" s="29">
        <f>IF(A184&gt;SV_T,0,MAX(0,N184+O184+P184+AC184+AF184-AE184))</f>
        <v/>
      </c>
      <c r="AH184" s="29">
        <f>IF(A184&gt;SV_T,0,N184+O184+AF184-MAX(0,AE184-(P184+AC184)))</f>
        <v/>
      </c>
      <c r="AI184" s="29">
        <f>IF(OR(OR(A184&lt;1,A184&gt;SV_T),A184-1&gt;=SV_retPay),0,SV_retMth*12+IF(A184=1,SV_retLump,0))</f>
        <v/>
      </c>
      <c r="AJ184" s="29">
        <f>IF(A184&gt;SV_T,0,(AJ183+AI184)*(1+investmentReturn))</f>
        <v/>
      </c>
      <c r="AK184" s="29">
        <f>IF(OR(OR(A184&lt;1,A184&gt;SV_T),A184-1&gt;=SV_goalPay),0,SV_goalMth*12+IF(A184=1,SV_goalLump,0))</f>
        <v/>
      </c>
      <c r="AL184" s="29">
        <f>IF(A184&gt;SV_T,0,(AL183+AK184)*(1+investmentReturn))</f>
        <v/>
      </c>
      <c r="AM184" s="29">
        <f>IF(OR(OR(A184&lt;1,A184&gt;SV_T),A184-1&gt;=SV_protPay),0,SV_protPrem)</f>
        <v/>
      </c>
      <c r="AN184" s="29">
        <f>IF(OR(A184=0,A184&gt;=SV_T),0,ROUND(MAX(0,AJ184),2)+ROUND(MAX(0,AL184),2))</f>
        <v/>
      </c>
      <c r="AO184" s="29">
        <f>IF(OR(A184&lt;1,A184&gt;SV_T),0,-(AI184+AK184+AM184)+IF(A184=SV_T,ROUND(MAX(0,AJ184),2)+ROUND(MAX(0,AL184),2),0))</f>
        <v/>
      </c>
      <c r="AP184" s="29">
        <f>IF(A184&gt;SV_T,0,AP183*(1+SV_savRate)+H184+I184+J184+K184+AD184+AO184)</f>
        <v/>
      </c>
      <c r="AQ184" s="29">
        <f>IF(A184&gt;SV_T,0,MAX(0,N184+O184+P184+AC184+AP184+AN184-AE184))</f>
        <v/>
      </c>
      <c r="AR184" s="29">
        <f>IF(A184&gt;SV_T,0,N184+O184+AP184+AN184-MAX(0,AE184-(P184+AC184)))</f>
        <v/>
      </c>
    </row>
    <row r="185">
      <c r="A185" s="61" t="n">
        <v>56</v>
      </c>
      <c r="B185" s="61">
        <f>SV_age+A185</f>
        <v/>
      </c>
      <c r="C185" s="61">
        <f>currentYear+A185</f>
        <v/>
      </c>
      <c r="D185" s="52">
        <f>A185&lt;=SV_T</f>
        <v/>
      </c>
      <c r="E185" s="60">
        <f>IF(AND(SV_inflOn,A185&gt;=SV_inflS,A185&lt;=SV_inflE),1+SV_inflRate,1+inflationRate)</f>
        <v/>
      </c>
      <c r="F185" s="60">
        <f>IF(A185&lt;=1,1,F184*E185)</f>
        <v/>
      </c>
      <c r="G185" s="60">
        <f>IF(AND(SV_incOn,A185&gt;=SV_incS,A185&lt;=SV_incE),1+SV_incImp,1)</f>
        <v/>
      </c>
      <c r="H185" s="29">
        <f>IF(OR(OR(A185&lt;1,A185&gt;SV_T),A185-1&gt;=SV_salCut),0,SV_sal0*(1+incomeGrowthRate)^(A185-1)*G185)</f>
        <v/>
      </c>
      <c r="I185" s="29">
        <f>IF(OR(A185&lt;1,A185&gt;SV_T),0,(-SV_exp0*F185-IF(A185&lt;=SV_loanYears,SV_inst,0)-IF(AND(SV_wdAmt&gt;0,A185=SV_wdYear),SV_wdAmt,0))*IF(AND(SV_expOn,A185&gt;=SV_expS,A185&lt;=SV_expE),1+SV_expImp,1))</f>
        <v/>
      </c>
      <c r="J185" s="29">
        <f>IF(OR(OR(A185&lt;1,A185&gt;SV_T),A185&gt;SV_loanYears),0,-SV_lifePremYr)</f>
        <v/>
      </c>
      <c r="K185" s="29">
        <f>IF(OR(A185&lt;1,A185&gt;SV_T),0,-SV_contrib)</f>
        <v/>
      </c>
      <c r="L185" s="60">
        <f>IF(AND(SV_crashOn,A185=SV_crashYr),SV_crashF,1)</f>
        <v/>
      </c>
      <c r="M185" s="60">
        <f>IF(AND(SV_ccyOn,A185=SV_ccyYr),SV_ccyF,1)</f>
        <v/>
      </c>
      <c r="N185" s="29">
        <f>IF(A185&gt;SV_T,0,N184*(1+interestRate)*L185*M185)</f>
        <v/>
      </c>
      <c r="O185" s="29">
        <f>IF(A185&gt;SV_T,0,(O184+SV_contrib)*(1+investmentReturn)*L185*M185)</f>
        <v/>
      </c>
      <c r="P185" s="29">
        <f>IF(A185&gt;SV_T,0,P184*(1+SV_propRate)*L185)</f>
        <v/>
      </c>
      <c r="Q185" s="46">
        <f>MATCH(SV_age+A185-1,SV_cpfLower,1)</f>
        <v/>
      </c>
      <c r="R185" s="29">
        <f>IF(OR(OR(A185&lt;1,A185&gt;SV_T),NOT(SV_cpfOn)),0,MIN(SV_sal0*(1+incomeGrowthRate)^(A185-1)*G185,SV_owCap))</f>
        <v/>
      </c>
      <c r="S185" s="29">
        <f>IF(A185&gt;SV_T,0,S184*(1+SV_oaRate)+IF(A185&gt;=SV_effStop,0,INDEX(SV_cpfOA,Q185)*INDEX(SV_cpfTot,Q185)*R185))</f>
        <v/>
      </c>
      <c r="T185" s="29">
        <f>IF(A185&gt;SV_T,0,T184*(1+SV_saRate)+IF(A185&gt;=SV_effStop,0,INDEX(SV_cpfSA,Q185)*INDEX(SV_cpfTot,Q185)*R185))</f>
        <v/>
      </c>
      <c r="U185" s="29">
        <f>IF(A185&gt;SV_T,0,U184*(1+SV_saRate)+IF(A185&gt;=SV_effStop,0,INDEX(SV_cpfMA,Q185)*INDEX(SV_cpfTot,Q185)*R185))</f>
        <v/>
      </c>
      <c r="V185" s="29">
        <f>IF(OR(OR(A185&lt;1,A185&gt;SV_T),A185&gt;=SV_effNeg),0,-(INDEX(SV_cpfOA,Q185)+INDEX(SV_cpfSA,Q185)+INDEX(SV_cpfMA,Q185))*INDEX(SV_cpfEmp,Q185)*R185)</f>
        <v/>
      </c>
      <c r="W185" s="29">
        <f>IF(A185&gt;=SV_sIdx,0,S185)</f>
        <v/>
      </c>
      <c r="X185" s="29">
        <f>IF(A185&gt;=SV_sIdx,0,T185)</f>
        <v/>
      </c>
      <c r="Y185" s="29">
        <f>IF(A185&gt;=SV_sIdx,MIN(U185,SV_maCap),U185)</f>
        <v/>
      </c>
      <c r="Z185" s="29">
        <f>IF(AND(SV_cpfOn,A185&gt;=SV_pIdx,A185&lt;=SV_T),12*SV_pay,0)</f>
        <v/>
      </c>
      <c r="AA185" s="29">
        <f>IF(A185&gt;SV_T,0,IF(SV_sp&gt;=0,IF(A185&lt;SV_sIdx,0,IF(A185=SV_sIdx,SV_R0,SV_lifeGrowth*AA184)),SV_lifeGrowth*AA184))</f>
        <v/>
      </c>
      <c r="AB185" s="29">
        <f>IF(A185&gt;SV_T,0,IF(AND(SV_sp&gt;=0,A185&lt;SV_sIdx),0,IF(AND(SV_sp&gt;=0,A185=SV_sIdx),SV_L0,SV_lifeGrowth*(AB184-Z185))))</f>
        <v/>
      </c>
      <c r="AC185" s="29">
        <f>W185+X185+AA185+Y185+IF(AA185&lt;0,0,AB185)</f>
        <v/>
      </c>
      <c r="AD185" s="29">
        <f>Z185+V185</f>
        <v/>
      </c>
      <c r="AE185" s="29">
        <f>IF(OR(A185&gt;SV_T,A185&gt;=SV_loanYears),0,MAX(0,AE184*(1+loanRate)-SV_inst))</f>
        <v/>
      </c>
      <c r="AF185" s="29">
        <f>IF(A185&gt;SV_T,0,AF184*(1+SV_savRate)+H185+I185+J185+K185+AD185)</f>
        <v/>
      </c>
      <c r="AG185" s="29">
        <f>IF(A185&gt;SV_T,0,MAX(0,N185+O185+P185+AC185+AF185-AE185))</f>
        <v/>
      </c>
      <c r="AH185" s="29">
        <f>IF(A185&gt;SV_T,0,N185+O185+AF185-MAX(0,AE185-(P185+AC185)))</f>
        <v/>
      </c>
      <c r="AI185" s="29">
        <f>IF(OR(OR(A185&lt;1,A185&gt;SV_T),A185-1&gt;=SV_retPay),0,SV_retMth*12+IF(A185=1,SV_retLump,0))</f>
        <v/>
      </c>
      <c r="AJ185" s="29">
        <f>IF(A185&gt;SV_T,0,(AJ184+AI185)*(1+investmentReturn))</f>
        <v/>
      </c>
      <c r="AK185" s="29">
        <f>IF(OR(OR(A185&lt;1,A185&gt;SV_T),A185-1&gt;=SV_goalPay),0,SV_goalMth*12+IF(A185=1,SV_goalLump,0))</f>
        <v/>
      </c>
      <c r="AL185" s="29">
        <f>IF(A185&gt;SV_T,0,(AL184+AK185)*(1+investmentReturn))</f>
        <v/>
      </c>
      <c r="AM185" s="29">
        <f>IF(OR(OR(A185&lt;1,A185&gt;SV_T),A185-1&gt;=SV_protPay),0,SV_protPrem)</f>
        <v/>
      </c>
      <c r="AN185" s="29">
        <f>IF(OR(A185=0,A185&gt;=SV_T),0,ROUND(MAX(0,AJ185),2)+ROUND(MAX(0,AL185),2))</f>
        <v/>
      </c>
      <c r="AO185" s="29">
        <f>IF(OR(A185&lt;1,A185&gt;SV_T),0,-(AI185+AK185+AM185)+IF(A185=SV_T,ROUND(MAX(0,AJ185),2)+ROUND(MAX(0,AL185),2),0))</f>
        <v/>
      </c>
      <c r="AP185" s="29">
        <f>IF(A185&gt;SV_T,0,AP184*(1+SV_savRate)+H185+I185+J185+K185+AD185+AO185)</f>
        <v/>
      </c>
      <c r="AQ185" s="29">
        <f>IF(A185&gt;SV_T,0,MAX(0,N185+O185+P185+AC185+AP185+AN185-AE185))</f>
        <v/>
      </c>
      <c r="AR185" s="29">
        <f>IF(A185&gt;SV_T,0,N185+O185+AP185+AN185-MAX(0,AE185-(P185+AC185)))</f>
        <v/>
      </c>
    </row>
    <row r="186">
      <c r="A186" s="61" t="n">
        <v>57</v>
      </c>
      <c r="B186" s="61">
        <f>SV_age+A186</f>
        <v/>
      </c>
      <c r="C186" s="61">
        <f>currentYear+A186</f>
        <v/>
      </c>
      <c r="D186" s="52">
        <f>A186&lt;=SV_T</f>
        <v/>
      </c>
      <c r="E186" s="60">
        <f>IF(AND(SV_inflOn,A186&gt;=SV_inflS,A186&lt;=SV_inflE),1+SV_inflRate,1+inflationRate)</f>
        <v/>
      </c>
      <c r="F186" s="60">
        <f>IF(A186&lt;=1,1,F185*E186)</f>
        <v/>
      </c>
      <c r="G186" s="60">
        <f>IF(AND(SV_incOn,A186&gt;=SV_incS,A186&lt;=SV_incE),1+SV_incImp,1)</f>
        <v/>
      </c>
      <c r="H186" s="29">
        <f>IF(OR(OR(A186&lt;1,A186&gt;SV_T),A186-1&gt;=SV_salCut),0,SV_sal0*(1+incomeGrowthRate)^(A186-1)*G186)</f>
        <v/>
      </c>
      <c r="I186" s="29">
        <f>IF(OR(A186&lt;1,A186&gt;SV_T),0,(-SV_exp0*F186-IF(A186&lt;=SV_loanYears,SV_inst,0)-IF(AND(SV_wdAmt&gt;0,A186=SV_wdYear),SV_wdAmt,0))*IF(AND(SV_expOn,A186&gt;=SV_expS,A186&lt;=SV_expE),1+SV_expImp,1))</f>
        <v/>
      </c>
      <c r="J186" s="29">
        <f>IF(OR(OR(A186&lt;1,A186&gt;SV_T),A186&gt;SV_loanYears),0,-SV_lifePremYr)</f>
        <v/>
      </c>
      <c r="K186" s="29">
        <f>IF(OR(A186&lt;1,A186&gt;SV_T),0,-SV_contrib)</f>
        <v/>
      </c>
      <c r="L186" s="60">
        <f>IF(AND(SV_crashOn,A186=SV_crashYr),SV_crashF,1)</f>
        <v/>
      </c>
      <c r="M186" s="60">
        <f>IF(AND(SV_ccyOn,A186=SV_ccyYr),SV_ccyF,1)</f>
        <v/>
      </c>
      <c r="N186" s="29">
        <f>IF(A186&gt;SV_T,0,N185*(1+interestRate)*L186*M186)</f>
        <v/>
      </c>
      <c r="O186" s="29">
        <f>IF(A186&gt;SV_T,0,(O185+SV_contrib)*(1+investmentReturn)*L186*M186)</f>
        <v/>
      </c>
      <c r="P186" s="29">
        <f>IF(A186&gt;SV_T,0,P185*(1+SV_propRate)*L186)</f>
        <v/>
      </c>
      <c r="Q186" s="46">
        <f>MATCH(SV_age+A186-1,SV_cpfLower,1)</f>
        <v/>
      </c>
      <c r="R186" s="29">
        <f>IF(OR(OR(A186&lt;1,A186&gt;SV_T),NOT(SV_cpfOn)),0,MIN(SV_sal0*(1+incomeGrowthRate)^(A186-1)*G186,SV_owCap))</f>
        <v/>
      </c>
      <c r="S186" s="29">
        <f>IF(A186&gt;SV_T,0,S185*(1+SV_oaRate)+IF(A186&gt;=SV_effStop,0,INDEX(SV_cpfOA,Q186)*INDEX(SV_cpfTot,Q186)*R186))</f>
        <v/>
      </c>
      <c r="T186" s="29">
        <f>IF(A186&gt;SV_T,0,T185*(1+SV_saRate)+IF(A186&gt;=SV_effStop,0,INDEX(SV_cpfSA,Q186)*INDEX(SV_cpfTot,Q186)*R186))</f>
        <v/>
      </c>
      <c r="U186" s="29">
        <f>IF(A186&gt;SV_T,0,U185*(1+SV_saRate)+IF(A186&gt;=SV_effStop,0,INDEX(SV_cpfMA,Q186)*INDEX(SV_cpfTot,Q186)*R186))</f>
        <v/>
      </c>
      <c r="V186" s="29">
        <f>IF(OR(OR(A186&lt;1,A186&gt;SV_T),A186&gt;=SV_effNeg),0,-(INDEX(SV_cpfOA,Q186)+INDEX(SV_cpfSA,Q186)+INDEX(SV_cpfMA,Q186))*INDEX(SV_cpfEmp,Q186)*R186)</f>
        <v/>
      </c>
      <c r="W186" s="29">
        <f>IF(A186&gt;=SV_sIdx,0,S186)</f>
        <v/>
      </c>
      <c r="X186" s="29">
        <f>IF(A186&gt;=SV_sIdx,0,T186)</f>
        <v/>
      </c>
      <c r="Y186" s="29">
        <f>IF(A186&gt;=SV_sIdx,MIN(U186,SV_maCap),U186)</f>
        <v/>
      </c>
      <c r="Z186" s="29">
        <f>IF(AND(SV_cpfOn,A186&gt;=SV_pIdx,A186&lt;=SV_T),12*SV_pay,0)</f>
        <v/>
      </c>
      <c r="AA186" s="29">
        <f>IF(A186&gt;SV_T,0,IF(SV_sp&gt;=0,IF(A186&lt;SV_sIdx,0,IF(A186=SV_sIdx,SV_R0,SV_lifeGrowth*AA185)),SV_lifeGrowth*AA185))</f>
        <v/>
      </c>
      <c r="AB186" s="29">
        <f>IF(A186&gt;SV_T,0,IF(AND(SV_sp&gt;=0,A186&lt;SV_sIdx),0,IF(AND(SV_sp&gt;=0,A186=SV_sIdx),SV_L0,SV_lifeGrowth*(AB185-Z186))))</f>
        <v/>
      </c>
      <c r="AC186" s="29">
        <f>W186+X186+AA186+Y186+IF(AA186&lt;0,0,AB186)</f>
        <v/>
      </c>
      <c r="AD186" s="29">
        <f>Z186+V186</f>
        <v/>
      </c>
      <c r="AE186" s="29">
        <f>IF(OR(A186&gt;SV_T,A186&gt;=SV_loanYears),0,MAX(0,AE185*(1+loanRate)-SV_inst))</f>
        <v/>
      </c>
      <c r="AF186" s="29">
        <f>IF(A186&gt;SV_T,0,AF185*(1+SV_savRate)+H186+I186+J186+K186+AD186)</f>
        <v/>
      </c>
      <c r="AG186" s="29">
        <f>IF(A186&gt;SV_T,0,MAX(0,N186+O186+P186+AC186+AF186-AE186))</f>
        <v/>
      </c>
      <c r="AH186" s="29">
        <f>IF(A186&gt;SV_T,0,N186+O186+AF186-MAX(0,AE186-(P186+AC186)))</f>
        <v/>
      </c>
      <c r="AI186" s="29">
        <f>IF(OR(OR(A186&lt;1,A186&gt;SV_T),A186-1&gt;=SV_retPay),0,SV_retMth*12+IF(A186=1,SV_retLump,0))</f>
        <v/>
      </c>
      <c r="AJ186" s="29">
        <f>IF(A186&gt;SV_T,0,(AJ185+AI186)*(1+investmentReturn))</f>
        <v/>
      </c>
      <c r="AK186" s="29">
        <f>IF(OR(OR(A186&lt;1,A186&gt;SV_T),A186-1&gt;=SV_goalPay),0,SV_goalMth*12+IF(A186=1,SV_goalLump,0))</f>
        <v/>
      </c>
      <c r="AL186" s="29">
        <f>IF(A186&gt;SV_T,0,(AL185+AK186)*(1+investmentReturn))</f>
        <v/>
      </c>
      <c r="AM186" s="29">
        <f>IF(OR(OR(A186&lt;1,A186&gt;SV_T),A186-1&gt;=SV_protPay),0,SV_protPrem)</f>
        <v/>
      </c>
      <c r="AN186" s="29">
        <f>IF(OR(A186=0,A186&gt;=SV_T),0,ROUND(MAX(0,AJ186),2)+ROUND(MAX(0,AL186),2))</f>
        <v/>
      </c>
      <c r="AO186" s="29">
        <f>IF(OR(A186&lt;1,A186&gt;SV_T),0,-(AI186+AK186+AM186)+IF(A186=SV_T,ROUND(MAX(0,AJ186),2)+ROUND(MAX(0,AL186),2),0))</f>
        <v/>
      </c>
      <c r="AP186" s="29">
        <f>IF(A186&gt;SV_T,0,AP185*(1+SV_savRate)+H186+I186+J186+K186+AD186+AO186)</f>
        <v/>
      </c>
      <c r="AQ186" s="29">
        <f>IF(A186&gt;SV_T,0,MAX(0,N186+O186+P186+AC186+AP186+AN186-AE186))</f>
        <v/>
      </c>
      <c r="AR186" s="29">
        <f>IF(A186&gt;SV_T,0,N186+O186+AP186+AN186-MAX(0,AE186-(P186+AC186)))</f>
        <v/>
      </c>
    </row>
    <row r="187">
      <c r="A187" s="61" t="n">
        <v>58</v>
      </c>
      <c r="B187" s="61">
        <f>SV_age+A187</f>
        <v/>
      </c>
      <c r="C187" s="61">
        <f>currentYear+A187</f>
        <v/>
      </c>
      <c r="D187" s="52">
        <f>A187&lt;=SV_T</f>
        <v/>
      </c>
      <c r="E187" s="60">
        <f>IF(AND(SV_inflOn,A187&gt;=SV_inflS,A187&lt;=SV_inflE),1+SV_inflRate,1+inflationRate)</f>
        <v/>
      </c>
      <c r="F187" s="60">
        <f>IF(A187&lt;=1,1,F186*E187)</f>
        <v/>
      </c>
      <c r="G187" s="60">
        <f>IF(AND(SV_incOn,A187&gt;=SV_incS,A187&lt;=SV_incE),1+SV_incImp,1)</f>
        <v/>
      </c>
      <c r="H187" s="29">
        <f>IF(OR(OR(A187&lt;1,A187&gt;SV_T),A187-1&gt;=SV_salCut),0,SV_sal0*(1+incomeGrowthRate)^(A187-1)*G187)</f>
        <v/>
      </c>
      <c r="I187" s="29">
        <f>IF(OR(A187&lt;1,A187&gt;SV_T),0,(-SV_exp0*F187-IF(A187&lt;=SV_loanYears,SV_inst,0)-IF(AND(SV_wdAmt&gt;0,A187=SV_wdYear),SV_wdAmt,0))*IF(AND(SV_expOn,A187&gt;=SV_expS,A187&lt;=SV_expE),1+SV_expImp,1))</f>
        <v/>
      </c>
      <c r="J187" s="29">
        <f>IF(OR(OR(A187&lt;1,A187&gt;SV_T),A187&gt;SV_loanYears),0,-SV_lifePremYr)</f>
        <v/>
      </c>
      <c r="K187" s="29">
        <f>IF(OR(A187&lt;1,A187&gt;SV_T),0,-SV_contrib)</f>
        <v/>
      </c>
      <c r="L187" s="60">
        <f>IF(AND(SV_crashOn,A187=SV_crashYr),SV_crashF,1)</f>
        <v/>
      </c>
      <c r="M187" s="60">
        <f>IF(AND(SV_ccyOn,A187=SV_ccyYr),SV_ccyF,1)</f>
        <v/>
      </c>
      <c r="N187" s="29">
        <f>IF(A187&gt;SV_T,0,N186*(1+interestRate)*L187*M187)</f>
        <v/>
      </c>
      <c r="O187" s="29">
        <f>IF(A187&gt;SV_T,0,(O186+SV_contrib)*(1+investmentReturn)*L187*M187)</f>
        <v/>
      </c>
      <c r="P187" s="29">
        <f>IF(A187&gt;SV_T,0,P186*(1+SV_propRate)*L187)</f>
        <v/>
      </c>
      <c r="Q187" s="46">
        <f>MATCH(SV_age+A187-1,SV_cpfLower,1)</f>
        <v/>
      </c>
      <c r="R187" s="29">
        <f>IF(OR(OR(A187&lt;1,A187&gt;SV_T),NOT(SV_cpfOn)),0,MIN(SV_sal0*(1+incomeGrowthRate)^(A187-1)*G187,SV_owCap))</f>
        <v/>
      </c>
      <c r="S187" s="29">
        <f>IF(A187&gt;SV_T,0,S186*(1+SV_oaRate)+IF(A187&gt;=SV_effStop,0,INDEX(SV_cpfOA,Q187)*INDEX(SV_cpfTot,Q187)*R187))</f>
        <v/>
      </c>
      <c r="T187" s="29">
        <f>IF(A187&gt;SV_T,0,T186*(1+SV_saRate)+IF(A187&gt;=SV_effStop,0,INDEX(SV_cpfSA,Q187)*INDEX(SV_cpfTot,Q187)*R187))</f>
        <v/>
      </c>
      <c r="U187" s="29">
        <f>IF(A187&gt;SV_T,0,U186*(1+SV_saRate)+IF(A187&gt;=SV_effStop,0,INDEX(SV_cpfMA,Q187)*INDEX(SV_cpfTot,Q187)*R187))</f>
        <v/>
      </c>
      <c r="V187" s="29">
        <f>IF(OR(OR(A187&lt;1,A187&gt;SV_T),A187&gt;=SV_effNeg),0,-(INDEX(SV_cpfOA,Q187)+INDEX(SV_cpfSA,Q187)+INDEX(SV_cpfMA,Q187))*INDEX(SV_cpfEmp,Q187)*R187)</f>
        <v/>
      </c>
      <c r="W187" s="29">
        <f>IF(A187&gt;=SV_sIdx,0,S187)</f>
        <v/>
      </c>
      <c r="X187" s="29">
        <f>IF(A187&gt;=SV_sIdx,0,T187)</f>
        <v/>
      </c>
      <c r="Y187" s="29">
        <f>IF(A187&gt;=SV_sIdx,MIN(U187,SV_maCap),U187)</f>
        <v/>
      </c>
      <c r="Z187" s="29">
        <f>IF(AND(SV_cpfOn,A187&gt;=SV_pIdx,A187&lt;=SV_T),12*SV_pay,0)</f>
        <v/>
      </c>
      <c r="AA187" s="29">
        <f>IF(A187&gt;SV_T,0,IF(SV_sp&gt;=0,IF(A187&lt;SV_sIdx,0,IF(A187=SV_sIdx,SV_R0,SV_lifeGrowth*AA186)),SV_lifeGrowth*AA186))</f>
        <v/>
      </c>
      <c r="AB187" s="29">
        <f>IF(A187&gt;SV_T,0,IF(AND(SV_sp&gt;=0,A187&lt;SV_sIdx),0,IF(AND(SV_sp&gt;=0,A187=SV_sIdx),SV_L0,SV_lifeGrowth*(AB186-Z187))))</f>
        <v/>
      </c>
      <c r="AC187" s="29">
        <f>W187+X187+AA187+Y187+IF(AA187&lt;0,0,AB187)</f>
        <v/>
      </c>
      <c r="AD187" s="29">
        <f>Z187+V187</f>
        <v/>
      </c>
      <c r="AE187" s="29">
        <f>IF(OR(A187&gt;SV_T,A187&gt;=SV_loanYears),0,MAX(0,AE186*(1+loanRate)-SV_inst))</f>
        <v/>
      </c>
      <c r="AF187" s="29">
        <f>IF(A187&gt;SV_T,0,AF186*(1+SV_savRate)+H187+I187+J187+K187+AD187)</f>
        <v/>
      </c>
      <c r="AG187" s="29">
        <f>IF(A187&gt;SV_T,0,MAX(0,N187+O187+P187+AC187+AF187-AE187))</f>
        <v/>
      </c>
      <c r="AH187" s="29">
        <f>IF(A187&gt;SV_T,0,N187+O187+AF187-MAX(0,AE187-(P187+AC187)))</f>
        <v/>
      </c>
      <c r="AI187" s="29">
        <f>IF(OR(OR(A187&lt;1,A187&gt;SV_T),A187-1&gt;=SV_retPay),0,SV_retMth*12+IF(A187=1,SV_retLump,0))</f>
        <v/>
      </c>
      <c r="AJ187" s="29">
        <f>IF(A187&gt;SV_T,0,(AJ186+AI187)*(1+investmentReturn))</f>
        <v/>
      </c>
      <c r="AK187" s="29">
        <f>IF(OR(OR(A187&lt;1,A187&gt;SV_T),A187-1&gt;=SV_goalPay),0,SV_goalMth*12+IF(A187=1,SV_goalLump,0))</f>
        <v/>
      </c>
      <c r="AL187" s="29">
        <f>IF(A187&gt;SV_T,0,(AL186+AK187)*(1+investmentReturn))</f>
        <v/>
      </c>
      <c r="AM187" s="29">
        <f>IF(OR(OR(A187&lt;1,A187&gt;SV_T),A187-1&gt;=SV_protPay),0,SV_protPrem)</f>
        <v/>
      </c>
      <c r="AN187" s="29">
        <f>IF(OR(A187=0,A187&gt;=SV_T),0,ROUND(MAX(0,AJ187),2)+ROUND(MAX(0,AL187),2))</f>
        <v/>
      </c>
      <c r="AO187" s="29">
        <f>IF(OR(A187&lt;1,A187&gt;SV_T),0,-(AI187+AK187+AM187)+IF(A187=SV_T,ROUND(MAX(0,AJ187),2)+ROUND(MAX(0,AL187),2),0))</f>
        <v/>
      </c>
      <c r="AP187" s="29">
        <f>IF(A187&gt;SV_T,0,AP186*(1+SV_savRate)+H187+I187+J187+K187+AD187+AO187)</f>
        <v/>
      </c>
      <c r="AQ187" s="29">
        <f>IF(A187&gt;SV_T,0,MAX(0,N187+O187+P187+AC187+AP187+AN187-AE187))</f>
        <v/>
      </c>
      <c r="AR187" s="29">
        <f>IF(A187&gt;SV_T,0,N187+O187+AP187+AN187-MAX(0,AE187-(P187+AC187)))</f>
        <v/>
      </c>
    </row>
    <row r="188">
      <c r="A188" s="61" t="n">
        <v>59</v>
      </c>
      <c r="B188" s="61">
        <f>SV_age+A188</f>
        <v/>
      </c>
      <c r="C188" s="61">
        <f>currentYear+A188</f>
        <v/>
      </c>
      <c r="D188" s="52">
        <f>A188&lt;=SV_T</f>
        <v/>
      </c>
      <c r="E188" s="60">
        <f>IF(AND(SV_inflOn,A188&gt;=SV_inflS,A188&lt;=SV_inflE),1+SV_inflRate,1+inflationRate)</f>
        <v/>
      </c>
      <c r="F188" s="60">
        <f>IF(A188&lt;=1,1,F187*E188)</f>
        <v/>
      </c>
      <c r="G188" s="60">
        <f>IF(AND(SV_incOn,A188&gt;=SV_incS,A188&lt;=SV_incE),1+SV_incImp,1)</f>
        <v/>
      </c>
      <c r="H188" s="29">
        <f>IF(OR(OR(A188&lt;1,A188&gt;SV_T),A188-1&gt;=SV_salCut),0,SV_sal0*(1+incomeGrowthRate)^(A188-1)*G188)</f>
        <v/>
      </c>
      <c r="I188" s="29">
        <f>IF(OR(A188&lt;1,A188&gt;SV_T),0,(-SV_exp0*F188-IF(A188&lt;=SV_loanYears,SV_inst,0)-IF(AND(SV_wdAmt&gt;0,A188=SV_wdYear),SV_wdAmt,0))*IF(AND(SV_expOn,A188&gt;=SV_expS,A188&lt;=SV_expE),1+SV_expImp,1))</f>
        <v/>
      </c>
      <c r="J188" s="29">
        <f>IF(OR(OR(A188&lt;1,A188&gt;SV_T),A188&gt;SV_loanYears),0,-SV_lifePremYr)</f>
        <v/>
      </c>
      <c r="K188" s="29">
        <f>IF(OR(A188&lt;1,A188&gt;SV_T),0,-SV_contrib)</f>
        <v/>
      </c>
      <c r="L188" s="60">
        <f>IF(AND(SV_crashOn,A188=SV_crashYr),SV_crashF,1)</f>
        <v/>
      </c>
      <c r="M188" s="60">
        <f>IF(AND(SV_ccyOn,A188=SV_ccyYr),SV_ccyF,1)</f>
        <v/>
      </c>
      <c r="N188" s="29">
        <f>IF(A188&gt;SV_T,0,N187*(1+interestRate)*L188*M188)</f>
        <v/>
      </c>
      <c r="O188" s="29">
        <f>IF(A188&gt;SV_T,0,(O187+SV_contrib)*(1+investmentReturn)*L188*M188)</f>
        <v/>
      </c>
      <c r="P188" s="29">
        <f>IF(A188&gt;SV_T,0,P187*(1+SV_propRate)*L188)</f>
        <v/>
      </c>
      <c r="Q188" s="46">
        <f>MATCH(SV_age+A188-1,SV_cpfLower,1)</f>
        <v/>
      </c>
      <c r="R188" s="29">
        <f>IF(OR(OR(A188&lt;1,A188&gt;SV_T),NOT(SV_cpfOn)),0,MIN(SV_sal0*(1+incomeGrowthRate)^(A188-1)*G188,SV_owCap))</f>
        <v/>
      </c>
      <c r="S188" s="29">
        <f>IF(A188&gt;SV_T,0,S187*(1+SV_oaRate)+IF(A188&gt;=SV_effStop,0,INDEX(SV_cpfOA,Q188)*INDEX(SV_cpfTot,Q188)*R188))</f>
        <v/>
      </c>
      <c r="T188" s="29">
        <f>IF(A188&gt;SV_T,0,T187*(1+SV_saRate)+IF(A188&gt;=SV_effStop,0,INDEX(SV_cpfSA,Q188)*INDEX(SV_cpfTot,Q188)*R188))</f>
        <v/>
      </c>
      <c r="U188" s="29">
        <f>IF(A188&gt;SV_T,0,U187*(1+SV_saRate)+IF(A188&gt;=SV_effStop,0,INDEX(SV_cpfMA,Q188)*INDEX(SV_cpfTot,Q188)*R188))</f>
        <v/>
      </c>
      <c r="V188" s="29">
        <f>IF(OR(OR(A188&lt;1,A188&gt;SV_T),A188&gt;=SV_effNeg),0,-(INDEX(SV_cpfOA,Q188)+INDEX(SV_cpfSA,Q188)+INDEX(SV_cpfMA,Q188))*INDEX(SV_cpfEmp,Q188)*R188)</f>
        <v/>
      </c>
      <c r="W188" s="29">
        <f>IF(A188&gt;=SV_sIdx,0,S188)</f>
        <v/>
      </c>
      <c r="X188" s="29">
        <f>IF(A188&gt;=SV_sIdx,0,T188)</f>
        <v/>
      </c>
      <c r="Y188" s="29">
        <f>IF(A188&gt;=SV_sIdx,MIN(U188,SV_maCap),U188)</f>
        <v/>
      </c>
      <c r="Z188" s="29">
        <f>IF(AND(SV_cpfOn,A188&gt;=SV_pIdx,A188&lt;=SV_T),12*SV_pay,0)</f>
        <v/>
      </c>
      <c r="AA188" s="29">
        <f>IF(A188&gt;SV_T,0,IF(SV_sp&gt;=0,IF(A188&lt;SV_sIdx,0,IF(A188=SV_sIdx,SV_R0,SV_lifeGrowth*AA187)),SV_lifeGrowth*AA187))</f>
        <v/>
      </c>
      <c r="AB188" s="29">
        <f>IF(A188&gt;SV_T,0,IF(AND(SV_sp&gt;=0,A188&lt;SV_sIdx),0,IF(AND(SV_sp&gt;=0,A188=SV_sIdx),SV_L0,SV_lifeGrowth*(AB187-Z188))))</f>
        <v/>
      </c>
      <c r="AC188" s="29">
        <f>W188+X188+AA188+Y188+IF(AA188&lt;0,0,AB188)</f>
        <v/>
      </c>
      <c r="AD188" s="29">
        <f>Z188+V188</f>
        <v/>
      </c>
      <c r="AE188" s="29">
        <f>IF(OR(A188&gt;SV_T,A188&gt;=SV_loanYears),0,MAX(0,AE187*(1+loanRate)-SV_inst))</f>
        <v/>
      </c>
      <c r="AF188" s="29">
        <f>IF(A188&gt;SV_T,0,AF187*(1+SV_savRate)+H188+I188+J188+K188+AD188)</f>
        <v/>
      </c>
      <c r="AG188" s="29">
        <f>IF(A188&gt;SV_T,0,MAX(0,N188+O188+P188+AC188+AF188-AE188))</f>
        <v/>
      </c>
      <c r="AH188" s="29">
        <f>IF(A188&gt;SV_T,0,N188+O188+AF188-MAX(0,AE188-(P188+AC188)))</f>
        <v/>
      </c>
      <c r="AI188" s="29">
        <f>IF(OR(OR(A188&lt;1,A188&gt;SV_T),A188-1&gt;=SV_retPay),0,SV_retMth*12+IF(A188=1,SV_retLump,0))</f>
        <v/>
      </c>
      <c r="AJ188" s="29">
        <f>IF(A188&gt;SV_T,0,(AJ187+AI188)*(1+investmentReturn))</f>
        <v/>
      </c>
      <c r="AK188" s="29">
        <f>IF(OR(OR(A188&lt;1,A188&gt;SV_T),A188-1&gt;=SV_goalPay),0,SV_goalMth*12+IF(A188=1,SV_goalLump,0))</f>
        <v/>
      </c>
      <c r="AL188" s="29">
        <f>IF(A188&gt;SV_T,0,(AL187+AK188)*(1+investmentReturn))</f>
        <v/>
      </c>
      <c r="AM188" s="29">
        <f>IF(OR(OR(A188&lt;1,A188&gt;SV_T),A188-1&gt;=SV_protPay),0,SV_protPrem)</f>
        <v/>
      </c>
      <c r="AN188" s="29">
        <f>IF(OR(A188=0,A188&gt;=SV_T),0,ROUND(MAX(0,AJ188),2)+ROUND(MAX(0,AL188),2))</f>
        <v/>
      </c>
      <c r="AO188" s="29">
        <f>IF(OR(A188&lt;1,A188&gt;SV_T),0,-(AI188+AK188+AM188)+IF(A188=SV_T,ROUND(MAX(0,AJ188),2)+ROUND(MAX(0,AL188),2),0))</f>
        <v/>
      </c>
      <c r="AP188" s="29">
        <f>IF(A188&gt;SV_T,0,AP187*(1+SV_savRate)+H188+I188+J188+K188+AD188+AO188)</f>
        <v/>
      </c>
      <c r="AQ188" s="29">
        <f>IF(A188&gt;SV_T,0,MAX(0,N188+O188+P188+AC188+AP188+AN188-AE188))</f>
        <v/>
      </c>
      <c r="AR188" s="29">
        <f>IF(A188&gt;SV_T,0,N188+O188+AP188+AN188-MAX(0,AE188-(P188+AC188)))</f>
        <v/>
      </c>
    </row>
    <row r="189">
      <c r="A189" s="61" t="n">
        <v>60</v>
      </c>
      <c r="B189" s="61">
        <f>SV_age+A189</f>
        <v/>
      </c>
      <c r="C189" s="61">
        <f>currentYear+A189</f>
        <v/>
      </c>
      <c r="D189" s="52">
        <f>A189&lt;=SV_T</f>
        <v/>
      </c>
      <c r="E189" s="60">
        <f>IF(AND(SV_inflOn,A189&gt;=SV_inflS,A189&lt;=SV_inflE),1+SV_inflRate,1+inflationRate)</f>
        <v/>
      </c>
      <c r="F189" s="60">
        <f>IF(A189&lt;=1,1,F188*E189)</f>
        <v/>
      </c>
      <c r="G189" s="60">
        <f>IF(AND(SV_incOn,A189&gt;=SV_incS,A189&lt;=SV_incE),1+SV_incImp,1)</f>
        <v/>
      </c>
      <c r="H189" s="29">
        <f>IF(OR(OR(A189&lt;1,A189&gt;SV_T),A189-1&gt;=SV_salCut),0,SV_sal0*(1+incomeGrowthRate)^(A189-1)*G189)</f>
        <v/>
      </c>
      <c r="I189" s="29">
        <f>IF(OR(A189&lt;1,A189&gt;SV_T),0,(-SV_exp0*F189-IF(A189&lt;=SV_loanYears,SV_inst,0)-IF(AND(SV_wdAmt&gt;0,A189=SV_wdYear),SV_wdAmt,0))*IF(AND(SV_expOn,A189&gt;=SV_expS,A189&lt;=SV_expE),1+SV_expImp,1))</f>
        <v/>
      </c>
      <c r="J189" s="29">
        <f>IF(OR(OR(A189&lt;1,A189&gt;SV_T),A189&gt;SV_loanYears),0,-SV_lifePremYr)</f>
        <v/>
      </c>
      <c r="K189" s="29">
        <f>IF(OR(A189&lt;1,A189&gt;SV_T),0,-SV_contrib)</f>
        <v/>
      </c>
      <c r="L189" s="60">
        <f>IF(AND(SV_crashOn,A189=SV_crashYr),SV_crashF,1)</f>
        <v/>
      </c>
      <c r="M189" s="60">
        <f>IF(AND(SV_ccyOn,A189=SV_ccyYr),SV_ccyF,1)</f>
        <v/>
      </c>
      <c r="N189" s="29">
        <f>IF(A189&gt;SV_T,0,N188*(1+interestRate)*L189*M189)</f>
        <v/>
      </c>
      <c r="O189" s="29">
        <f>IF(A189&gt;SV_T,0,(O188+SV_contrib)*(1+investmentReturn)*L189*M189)</f>
        <v/>
      </c>
      <c r="P189" s="29">
        <f>IF(A189&gt;SV_T,0,P188*(1+SV_propRate)*L189)</f>
        <v/>
      </c>
      <c r="Q189" s="46">
        <f>MATCH(SV_age+A189-1,SV_cpfLower,1)</f>
        <v/>
      </c>
      <c r="R189" s="29">
        <f>IF(OR(OR(A189&lt;1,A189&gt;SV_T),NOT(SV_cpfOn)),0,MIN(SV_sal0*(1+incomeGrowthRate)^(A189-1)*G189,SV_owCap))</f>
        <v/>
      </c>
      <c r="S189" s="29">
        <f>IF(A189&gt;SV_T,0,S188*(1+SV_oaRate)+IF(A189&gt;=SV_effStop,0,INDEX(SV_cpfOA,Q189)*INDEX(SV_cpfTot,Q189)*R189))</f>
        <v/>
      </c>
      <c r="T189" s="29">
        <f>IF(A189&gt;SV_T,0,T188*(1+SV_saRate)+IF(A189&gt;=SV_effStop,0,INDEX(SV_cpfSA,Q189)*INDEX(SV_cpfTot,Q189)*R189))</f>
        <v/>
      </c>
      <c r="U189" s="29">
        <f>IF(A189&gt;SV_T,0,U188*(1+SV_saRate)+IF(A189&gt;=SV_effStop,0,INDEX(SV_cpfMA,Q189)*INDEX(SV_cpfTot,Q189)*R189))</f>
        <v/>
      </c>
      <c r="V189" s="29">
        <f>IF(OR(OR(A189&lt;1,A189&gt;SV_T),A189&gt;=SV_effNeg),0,-(INDEX(SV_cpfOA,Q189)+INDEX(SV_cpfSA,Q189)+INDEX(SV_cpfMA,Q189))*INDEX(SV_cpfEmp,Q189)*R189)</f>
        <v/>
      </c>
      <c r="W189" s="29">
        <f>IF(A189&gt;=SV_sIdx,0,S189)</f>
        <v/>
      </c>
      <c r="X189" s="29">
        <f>IF(A189&gt;=SV_sIdx,0,T189)</f>
        <v/>
      </c>
      <c r="Y189" s="29">
        <f>IF(A189&gt;=SV_sIdx,MIN(U189,SV_maCap),U189)</f>
        <v/>
      </c>
      <c r="Z189" s="29">
        <f>IF(AND(SV_cpfOn,A189&gt;=SV_pIdx,A189&lt;=SV_T),12*SV_pay,0)</f>
        <v/>
      </c>
      <c r="AA189" s="29">
        <f>IF(A189&gt;SV_T,0,IF(SV_sp&gt;=0,IF(A189&lt;SV_sIdx,0,IF(A189=SV_sIdx,SV_R0,SV_lifeGrowth*AA188)),SV_lifeGrowth*AA188))</f>
        <v/>
      </c>
      <c r="AB189" s="29">
        <f>IF(A189&gt;SV_T,0,IF(AND(SV_sp&gt;=0,A189&lt;SV_sIdx),0,IF(AND(SV_sp&gt;=0,A189=SV_sIdx),SV_L0,SV_lifeGrowth*(AB188-Z189))))</f>
        <v/>
      </c>
      <c r="AC189" s="29">
        <f>W189+X189+AA189+Y189+IF(AA189&lt;0,0,AB189)</f>
        <v/>
      </c>
      <c r="AD189" s="29">
        <f>Z189+V189</f>
        <v/>
      </c>
      <c r="AE189" s="29">
        <f>IF(OR(A189&gt;SV_T,A189&gt;=SV_loanYears),0,MAX(0,AE188*(1+loanRate)-SV_inst))</f>
        <v/>
      </c>
      <c r="AF189" s="29">
        <f>IF(A189&gt;SV_T,0,AF188*(1+SV_savRate)+H189+I189+J189+K189+AD189)</f>
        <v/>
      </c>
      <c r="AG189" s="29">
        <f>IF(A189&gt;SV_T,0,MAX(0,N189+O189+P189+AC189+AF189-AE189))</f>
        <v/>
      </c>
      <c r="AH189" s="29">
        <f>IF(A189&gt;SV_T,0,N189+O189+AF189-MAX(0,AE189-(P189+AC189)))</f>
        <v/>
      </c>
      <c r="AI189" s="29">
        <f>IF(OR(OR(A189&lt;1,A189&gt;SV_T),A189-1&gt;=SV_retPay),0,SV_retMth*12+IF(A189=1,SV_retLump,0))</f>
        <v/>
      </c>
      <c r="AJ189" s="29">
        <f>IF(A189&gt;SV_T,0,(AJ188+AI189)*(1+investmentReturn))</f>
        <v/>
      </c>
      <c r="AK189" s="29">
        <f>IF(OR(OR(A189&lt;1,A189&gt;SV_T),A189-1&gt;=SV_goalPay),0,SV_goalMth*12+IF(A189=1,SV_goalLump,0))</f>
        <v/>
      </c>
      <c r="AL189" s="29">
        <f>IF(A189&gt;SV_T,0,(AL188+AK189)*(1+investmentReturn))</f>
        <v/>
      </c>
      <c r="AM189" s="29">
        <f>IF(OR(OR(A189&lt;1,A189&gt;SV_T),A189-1&gt;=SV_protPay),0,SV_protPrem)</f>
        <v/>
      </c>
      <c r="AN189" s="29">
        <f>IF(OR(A189=0,A189&gt;=SV_T),0,ROUND(MAX(0,AJ189),2)+ROUND(MAX(0,AL189),2))</f>
        <v/>
      </c>
      <c r="AO189" s="29">
        <f>IF(OR(A189&lt;1,A189&gt;SV_T),0,-(AI189+AK189+AM189)+IF(A189=SV_T,ROUND(MAX(0,AJ189),2)+ROUND(MAX(0,AL189),2),0))</f>
        <v/>
      </c>
      <c r="AP189" s="29">
        <f>IF(A189&gt;SV_T,0,AP188*(1+SV_savRate)+H189+I189+J189+K189+AD189+AO189)</f>
        <v/>
      </c>
      <c r="AQ189" s="29">
        <f>IF(A189&gt;SV_T,0,MAX(0,N189+O189+P189+AC189+AP189+AN189-AE189))</f>
        <v/>
      </c>
      <c r="AR189" s="29">
        <f>IF(A189&gt;SV_T,0,N189+O189+AP189+AN189-MAX(0,AE189-(P189+AC189)))</f>
        <v/>
      </c>
    </row>
    <row r="190">
      <c r="A190" s="61" t="n">
        <v>61</v>
      </c>
      <c r="B190" s="61">
        <f>SV_age+A190</f>
        <v/>
      </c>
      <c r="C190" s="61">
        <f>currentYear+A190</f>
        <v/>
      </c>
      <c r="D190" s="52">
        <f>A190&lt;=SV_T</f>
        <v/>
      </c>
      <c r="E190" s="60">
        <f>IF(AND(SV_inflOn,A190&gt;=SV_inflS,A190&lt;=SV_inflE),1+SV_inflRate,1+inflationRate)</f>
        <v/>
      </c>
      <c r="F190" s="60">
        <f>IF(A190&lt;=1,1,F189*E190)</f>
        <v/>
      </c>
      <c r="G190" s="60">
        <f>IF(AND(SV_incOn,A190&gt;=SV_incS,A190&lt;=SV_incE),1+SV_incImp,1)</f>
        <v/>
      </c>
      <c r="H190" s="29">
        <f>IF(OR(OR(A190&lt;1,A190&gt;SV_T),A190-1&gt;=SV_salCut),0,SV_sal0*(1+incomeGrowthRate)^(A190-1)*G190)</f>
        <v/>
      </c>
      <c r="I190" s="29">
        <f>IF(OR(A190&lt;1,A190&gt;SV_T),0,(-SV_exp0*F190-IF(A190&lt;=SV_loanYears,SV_inst,0)-IF(AND(SV_wdAmt&gt;0,A190=SV_wdYear),SV_wdAmt,0))*IF(AND(SV_expOn,A190&gt;=SV_expS,A190&lt;=SV_expE),1+SV_expImp,1))</f>
        <v/>
      </c>
      <c r="J190" s="29">
        <f>IF(OR(OR(A190&lt;1,A190&gt;SV_T),A190&gt;SV_loanYears),0,-SV_lifePremYr)</f>
        <v/>
      </c>
      <c r="K190" s="29">
        <f>IF(OR(A190&lt;1,A190&gt;SV_T),0,-SV_contrib)</f>
        <v/>
      </c>
      <c r="L190" s="60">
        <f>IF(AND(SV_crashOn,A190=SV_crashYr),SV_crashF,1)</f>
        <v/>
      </c>
      <c r="M190" s="60">
        <f>IF(AND(SV_ccyOn,A190=SV_ccyYr),SV_ccyF,1)</f>
        <v/>
      </c>
      <c r="N190" s="29">
        <f>IF(A190&gt;SV_T,0,N189*(1+interestRate)*L190*M190)</f>
        <v/>
      </c>
      <c r="O190" s="29">
        <f>IF(A190&gt;SV_T,0,(O189+SV_contrib)*(1+investmentReturn)*L190*M190)</f>
        <v/>
      </c>
      <c r="P190" s="29">
        <f>IF(A190&gt;SV_T,0,P189*(1+SV_propRate)*L190)</f>
        <v/>
      </c>
      <c r="Q190" s="46">
        <f>MATCH(SV_age+A190-1,SV_cpfLower,1)</f>
        <v/>
      </c>
      <c r="R190" s="29">
        <f>IF(OR(OR(A190&lt;1,A190&gt;SV_T),NOT(SV_cpfOn)),0,MIN(SV_sal0*(1+incomeGrowthRate)^(A190-1)*G190,SV_owCap))</f>
        <v/>
      </c>
      <c r="S190" s="29">
        <f>IF(A190&gt;SV_T,0,S189*(1+SV_oaRate)+IF(A190&gt;=SV_effStop,0,INDEX(SV_cpfOA,Q190)*INDEX(SV_cpfTot,Q190)*R190))</f>
        <v/>
      </c>
      <c r="T190" s="29">
        <f>IF(A190&gt;SV_T,0,T189*(1+SV_saRate)+IF(A190&gt;=SV_effStop,0,INDEX(SV_cpfSA,Q190)*INDEX(SV_cpfTot,Q190)*R190))</f>
        <v/>
      </c>
      <c r="U190" s="29">
        <f>IF(A190&gt;SV_T,0,U189*(1+SV_saRate)+IF(A190&gt;=SV_effStop,0,INDEX(SV_cpfMA,Q190)*INDEX(SV_cpfTot,Q190)*R190))</f>
        <v/>
      </c>
      <c r="V190" s="29">
        <f>IF(OR(OR(A190&lt;1,A190&gt;SV_T),A190&gt;=SV_effNeg),0,-(INDEX(SV_cpfOA,Q190)+INDEX(SV_cpfSA,Q190)+INDEX(SV_cpfMA,Q190))*INDEX(SV_cpfEmp,Q190)*R190)</f>
        <v/>
      </c>
      <c r="W190" s="29">
        <f>IF(A190&gt;=SV_sIdx,0,S190)</f>
        <v/>
      </c>
      <c r="X190" s="29">
        <f>IF(A190&gt;=SV_sIdx,0,T190)</f>
        <v/>
      </c>
      <c r="Y190" s="29">
        <f>IF(A190&gt;=SV_sIdx,MIN(U190,SV_maCap),U190)</f>
        <v/>
      </c>
      <c r="Z190" s="29">
        <f>IF(AND(SV_cpfOn,A190&gt;=SV_pIdx,A190&lt;=SV_T),12*SV_pay,0)</f>
        <v/>
      </c>
      <c r="AA190" s="29">
        <f>IF(A190&gt;SV_T,0,IF(SV_sp&gt;=0,IF(A190&lt;SV_sIdx,0,IF(A190=SV_sIdx,SV_R0,SV_lifeGrowth*AA189)),SV_lifeGrowth*AA189))</f>
        <v/>
      </c>
      <c r="AB190" s="29">
        <f>IF(A190&gt;SV_T,0,IF(AND(SV_sp&gt;=0,A190&lt;SV_sIdx),0,IF(AND(SV_sp&gt;=0,A190=SV_sIdx),SV_L0,SV_lifeGrowth*(AB189-Z190))))</f>
        <v/>
      </c>
      <c r="AC190" s="29">
        <f>W190+X190+AA190+Y190+IF(AA190&lt;0,0,AB190)</f>
        <v/>
      </c>
      <c r="AD190" s="29">
        <f>Z190+V190</f>
        <v/>
      </c>
      <c r="AE190" s="29">
        <f>IF(OR(A190&gt;SV_T,A190&gt;=SV_loanYears),0,MAX(0,AE189*(1+loanRate)-SV_inst))</f>
        <v/>
      </c>
      <c r="AF190" s="29">
        <f>IF(A190&gt;SV_T,0,AF189*(1+SV_savRate)+H190+I190+J190+K190+AD190)</f>
        <v/>
      </c>
      <c r="AG190" s="29">
        <f>IF(A190&gt;SV_T,0,MAX(0,N190+O190+P190+AC190+AF190-AE190))</f>
        <v/>
      </c>
      <c r="AH190" s="29">
        <f>IF(A190&gt;SV_T,0,N190+O190+AF190-MAX(0,AE190-(P190+AC190)))</f>
        <v/>
      </c>
      <c r="AI190" s="29">
        <f>IF(OR(OR(A190&lt;1,A190&gt;SV_T),A190-1&gt;=SV_retPay),0,SV_retMth*12+IF(A190=1,SV_retLump,0))</f>
        <v/>
      </c>
      <c r="AJ190" s="29">
        <f>IF(A190&gt;SV_T,0,(AJ189+AI190)*(1+investmentReturn))</f>
        <v/>
      </c>
      <c r="AK190" s="29">
        <f>IF(OR(OR(A190&lt;1,A190&gt;SV_T),A190-1&gt;=SV_goalPay),0,SV_goalMth*12+IF(A190=1,SV_goalLump,0))</f>
        <v/>
      </c>
      <c r="AL190" s="29">
        <f>IF(A190&gt;SV_T,0,(AL189+AK190)*(1+investmentReturn))</f>
        <v/>
      </c>
      <c r="AM190" s="29">
        <f>IF(OR(OR(A190&lt;1,A190&gt;SV_T),A190-1&gt;=SV_protPay),0,SV_protPrem)</f>
        <v/>
      </c>
      <c r="AN190" s="29">
        <f>IF(OR(A190=0,A190&gt;=SV_T),0,ROUND(MAX(0,AJ190),2)+ROUND(MAX(0,AL190),2))</f>
        <v/>
      </c>
      <c r="AO190" s="29">
        <f>IF(OR(A190&lt;1,A190&gt;SV_T),0,-(AI190+AK190+AM190)+IF(A190=SV_T,ROUND(MAX(0,AJ190),2)+ROUND(MAX(0,AL190),2),0))</f>
        <v/>
      </c>
      <c r="AP190" s="29">
        <f>IF(A190&gt;SV_T,0,AP189*(1+SV_savRate)+H190+I190+J190+K190+AD190+AO190)</f>
        <v/>
      </c>
      <c r="AQ190" s="29">
        <f>IF(A190&gt;SV_T,0,MAX(0,N190+O190+P190+AC190+AP190+AN190-AE190))</f>
        <v/>
      </c>
      <c r="AR190" s="29">
        <f>IF(A190&gt;SV_T,0,N190+O190+AP190+AN190-MAX(0,AE190-(P190+AC190)))</f>
        <v/>
      </c>
    </row>
    <row r="191">
      <c r="A191" s="61" t="n">
        <v>62</v>
      </c>
      <c r="B191" s="61">
        <f>SV_age+A191</f>
        <v/>
      </c>
      <c r="C191" s="61">
        <f>currentYear+A191</f>
        <v/>
      </c>
      <c r="D191" s="52">
        <f>A191&lt;=SV_T</f>
        <v/>
      </c>
      <c r="E191" s="60">
        <f>IF(AND(SV_inflOn,A191&gt;=SV_inflS,A191&lt;=SV_inflE),1+SV_inflRate,1+inflationRate)</f>
        <v/>
      </c>
      <c r="F191" s="60">
        <f>IF(A191&lt;=1,1,F190*E191)</f>
        <v/>
      </c>
      <c r="G191" s="60">
        <f>IF(AND(SV_incOn,A191&gt;=SV_incS,A191&lt;=SV_incE),1+SV_incImp,1)</f>
        <v/>
      </c>
      <c r="H191" s="29">
        <f>IF(OR(OR(A191&lt;1,A191&gt;SV_T),A191-1&gt;=SV_salCut),0,SV_sal0*(1+incomeGrowthRate)^(A191-1)*G191)</f>
        <v/>
      </c>
      <c r="I191" s="29">
        <f>IF(OR(A191&lt;1,A191&gt;SV_T),0,(-SV_exp0*F191-IF(A191&lt;=SV_loanYears,SV_inst,0)-IF(AND(SV_wdAmt&gt;0,A191=SV_wdYear),SV_wdAmt,0))*IF(AND(SV_expOn,A191&gt;=SV_expS,A191&lt;=SV_expE),1+SV_expImp,1))</f>
        <v/>
      </c>
      <c r="J191" s="29">
        <f>IF(OR(OR(A191&lt;1,A191&gt;SV_T),A191&gt;SV_loanYears),0,-SV_lifePremYr)</f>
        <v/>
      </c>
      <c r="K191" s="29">
        <f>IF(OR(A191&lt;1,A191&gt;SV_T),0,-SV_contrib)</f>
        <v/>
      </c>
      <c r="L191" s="60">
        <f>IF(AND(SV_crashOn,A191=SV_crashYr),SV_crashF,1)</f>
        <v/>
      </c>
      <c r="M191" s="60">
        <f>IF(AND(SV_ccyOn,A191=SV_ccyYr),SV_ccyF,1)</f>
        <v/>
      </c>
      <c r="N191" s="29">
        <f>IF(A191&gt;SV_T,0,N190*(1+interestRate)*L191*M191)</f>
        <v/>
      </c>
      <c r="O191" s="29">
        <f>IF(A191&gt;SV_T,0,(O190+SV_contrib)*(1+investmentReturn)*L191*M191)</f>
        <v/>
      </c>
      <c r="P191" s="29">
        <f>IF(A191&gt;SV_T,0,P190*(1+SV_propRate)*L191)</f>
        <v/>
      </c>
      <c r="Q191" s="46">
        <f>MATCH(SV_age+A191-1,SV_cpfLower,1)</f>
        <v/>
      </c>
      <c r="R191" s="29">
        <f>IF(OR(OR(A191&lt;1,A191&gt;SV_T),NOT(SV_cpfOn)),0,MIN(SV_sal0*(1+incomeGrowthRate)^(A191-1)*G191,SV_owCap))</f>
        <v/>
      </c>
      <c r="S191" s="29">
        <f>IF(A191&gt;SV_T,0,S190*(1+SV_oaRate)+IF(A191&gt;=SV_effStop,0,INDEX(SV_cpfOA,Q191)*INDEX(SV_cpfTot,Q191)*R191))</f>
        <v/>
      </c>
      <c r="T191" s="29">
        <f>IF(A191&gt;SV_T,0,T190*(1+SV_saRate)+IF(A191&gt;=SV_effStop,0,INDEX(SV_cpfSA,Q191)*INDEX(SV_cpfTot,Q191)*R191))</f>
        <v/>
      </c>
      <c r="U191" s="29">
        <f>IF(A191&gt;SV_T,0,U190*(1+SV_saRate)+IF(A191&gt;=SV_effStop,0,INDEX(SV_cpfMA,Q191)*INDEX(SV_cpfTot,Q191)*R191))</f>
        <v/>
      </c>
      <c r="V191" s="29">
        <f>IF(OR(OR(A191&lt;1,A191&gt;SV_T),A191&gt;=SV_effNeg),0,-(INDEX(SV_cpfOA,Q191)+INDEX(SV_cpfSA,Q191)+INDEX(SV_cpfMA,Q191))*INDEX(SV_cpfEmp,Q191)*R191)</f>
        <v/>
      </c>
      <c r="W191" s="29">
        <f>IF(A191&gt;=SV_sIdx,0,S191)</f>
        <v/>
      </c>
      <c r="X191" s="29">
        <f>IF(A191&gt;=SV_sIdx,0,T191)</f>
        <v/>
      </c>
      <c r="Y191" s="29">
        <f>IF(A191&gt;=SV_sIdx,MIN(U191,SV_maCap),U191)</f>
        <v/>
      </c>
      <c r="Z191" s="29">
        <f>IF(AND(SV_cpfOn,A191&gt;=SV_pIdx,A191&lt;=SV_T),12*SV_pay,0)</f>
        <v/>
      </c>
      <c r="AA191" s="29">
        <f>IF(A191&gt;SV_T,0,IF(SV_sp&gt;=0,IF(A191&lt;SV_sIdx,0,IF(A191=SV_sIdx,SV_R0,SV_lifeGrowth*AA190)),SV_lifeGrowth*AA190))</f>
        <v/>
      </c>
      <c r="AB191" s="29">
        <f>IF(A191&gt;SV_T,0,IF(AND(SV_sp&gt;=0,A191&lt;SV_sIdx),0,IF(AND(SV_sp&gt;=0,A191=SV_sIdx),SV_L0,SV_lifeGrowth*(AB190-Z191))))</f>
        <v/>
      </c>
      <c r="AC191" s="29">
        <f>W191+X191+AA191+Y191+IF(AA191&lt;0,0,AB191)</f>
        <v/>
      </c>
      <c r="AD191" s="29">
        <f>Z191+V191</f>
        <v/>
      </c>
      <c r="AE191" s="29">
        <f>IF(OR(A191&gt;SV_T,A191&gt;=SV_loanYears),0,MAX(0,AE190*(1+loanRate)-SV_inst))</f>
        <v/>
      </c>
      <c r="AF191" s="29">
        <f>IF(A191&gt;SV_T,0,AF190*(1+SV_savRate)+H191+I191+J191+K191+AD191)</f>
        <v/>
      </c>
      <c r="AG191" s="29">
        <f>IF(A191&gt;SV_T,0,MAX(0,N191+O191+P191+AC191+AF191-AE191))</f>
        <v/>
      </c>
      <c r="AH191" s="29">
        <f>IF(A191&gt;SV_T,0,N191+O191+AF191-MAX(0,AE191-(P191+AC191)))</f>
        <v/>
      </c>
      <c r="AI191" s="29">
        <f>IF(OR(OR(A191&lt;1,A191&gt;SV_T),A191-1&gt;=SV_retPay),0,SV_retMth*12+IF(A191=1,SV_retLump,0))</f>
        <v/>
      </c>
      <c r="AJ191" s="29">
        <f>IF(A191&gt;SV_T,0,(AJ190+AI191)*(1+investmentReturn))</f>
        <v/>
      </c>
      <c r="AK191" s="29">
        <f>IF(OR(OR(A191&lt;1,A191&gt;SV_T),A191-1&gt;=SV_goalPay),0,SV_goalMth*12+IF(A191=1,SV_goalLump,0))</f>
        <v/>
      </c>
      <c r="AL191" s="29">
        <f>IF(A191&gt;SV_T,0,(AL190+AK191)*(1+investmentReturn))</f>
        <v/>
      </c>
      <c r="AM191" s="29">
        <f>IF(OR(OR(A191&lt;1,A191&gt;SV_T),A191-1&gt;=SV_protPay),0,SV_protPrem)</f>
        <v/>
      </c>
      <c r="AN191" s="29">
        <f>IF(OR(A191=0,A191&gt;=SV_T),0,ROUND(MAX(0,AJ191),2)+ROUND(MAX(0,AL191),2))</f>
        <v/>
      </c>
      <c r="AO191" s="29">
        <f>IF(OR(A191&lt;1,A191&gt;SV_T),0,-(AI191+AK191+AM191)+IF(A191=SV_T,ROUND(MAX(0,AJ191),2)+ROUND(MAX(0,AL191),2),0))</f>
        <v/>
      </c>
      <c r="AP191" s="29">
        <f>IF(A191&gt;SV_T,0,AP190*(1+SV_savRate)+H191+I191+J191+K191+AD191+AO191)</f>
        <v/>
      </c>
      <c r="AQ191" s="29">
        <f>IF(A191&gt;SV_T,0,MAX(0,N191+O191+P191+AC191+AP191+AN191-AE191))</f>
        <v/>
      </c>
      <c r="AR191" s="29">
        <f>IF(A191&gt;SV_T,0,N191+O191+AP191+AN191-MAX(0,AE191-(P191+AC191)))</f>
        <v/>
      </c>
    </row>
    <row r="192">
      <c r="A192" s="61" t="n">
        <v>63</v>
      </c>
      <c r="B192" s="61">
        <f>SV_age+A192</f>
        <v/>
      </c>
      <c r="C192" s="61">
        <f>currentYear+A192</f>
        <v/>
      </c>
      <c r="D192" s="52">
        <f>A192&lt;=SV_T</f>
        <v/>
      </c>
      <c r="E192" s="60">
        <f>IF(AND(SV_inflOn,A192&gt;=SV_inflS,A192&lt;=SV_inflE),1+SV_inflRate,1+inflationRate)</f>
        <v/>
      </c>
      <c r="F192" s="60">
        <f>IF(A192&lt;=1,1,F191*E192)</f>
        <v/>
      </c>
      <c r="G192" s="60">
        <f>IF(AND(SV_incOn,A192&gt;=SV_incS,A192&lt;=SV_incE),1+SV_incImp,1)</f>
        <v/>
      </c>
      <c r="H192" s="29">
        <f>IF(OR(OR(A192&lt;1,A192&gt;SV_T),A192-1&gt;=SV_salCut),0,SV_sal0*(1+incomeGrowthRate)^(A192-1)*G192)</f>
        <v/>
      </c>
      <c r="I192" s="29">
        <f>IF(OR(A192&lt;1,A192&gt;SV_T),0,(-SV_exp0*F192-IF(A192&lt;=SV_loanYears,SV_inst,0)-IF(AND(SV_wdAmt&gt;0,A192=SV_wdYear),SV_wdAmt,0))*IF(AND(SV_expOn,A192&gt;=SV_expS,A192&lt;=SV_expE),1+SV_expImp,1))</f>
        <v/>
      </c>
      <c r="J192" s="29">
        <f>IF(OR(OR(A192&lt;1,A192&gt;SV_T),A192&gt;SV_loanYears),0,-SV_lifePremYr)</f>
        <v/>
      </c>
      <c r="K192" s="29">
        <f>IF(OR(A192&lt;1,A192&gt;SV_T),0,-SV_contrib)</f>
        <v/>
      </c>
      <c r="L192" s="60">
        <f>IF(AND(SV_crashOn,A192=SV_crashYr),SV_crashF,1)</f>
        <v/>
      </c>
      <c r="M192" s="60">
        <f>IF(AND(SV_ccyOn,A192=SV_ccyYr),SV_ccyF,1)</f>
        <v/>
      </c>
      <c r="N192" s="29">
        <f>IF(A192&gt;SV_T,0,N191*(1+interestRate)*L192*M192)</f>
        <v/>
      </c>
      <c r="O192" s="29">
        <f>IF(A192&gt;SV_T,0,(O191+SV_contrib)*(1+investmentReturn)*L192*M192)</f>
        <v/>
      </c>
      <c r="P192" s="29">
        <f>IF(A192&gt;SV_T,0,P191*(1+SV_propRate)*L192)</f>
        <v/>
      </c>
      <c r="Q192" s="46">
        <f>MATCH(SV_age+A192-1,SV_cpfLower,1)</f>
        <v/>
      </c>
      <c r="R192" s="29">
        <f>IF(OR(OR(A192&lt;1,A192&gt;SV_T),NOT(SV_cpfOn)),0,MIN(SV_sal0*(1+incomeGrowthRate)^(A192-1)*G192,SV_owCap))</f>
        <v/>
      </c>
      <c r="S192" s="29">
        <f>IF(A192&gt;SV_T,0,S191*(1+SV_oaRate)+IF(A192&gt;=SV_effStop,0,INDEX(SV_cpfOA,Q192)*INDEX(SV_cpfTot,Q192)*R192))</f>
        <v/>
      </c>
      <c r="T192" s="29">
        <f>IF(A192&gt;SV_T,0,T191*(1+SV_saRate)+IF(A192&gt;=SV_effStop,0,INDEX(SV_cpfSA,Q192)*INDEX(SV_cpfTot,Q192)*R192))</f>
        <v/>
      </c>
      <c r="U192" s="29">
        <f>IF(A192&gt;SV_T,0,U191*(1+SV_saRate)+IF(A192&gt;=SV_effStop,0,INDEX(SV_cpfMA,Q192)*INDEX(SV_cpfTot,Q192)*R192))</f>
        <v/>
      </c>
      <c r="V192" s="29">
        <f>IF(OR(OR(A192&lt;1,A192&gt;SV_T),A192&gt;=SV_effNeg),0,-(INDEX(SV_cpfOA,Q192)+INDEX(SV_cpfSA,Q192)+INDEX(SV_cpfMA,Q192))*INDEX(SV_cpfEmp,Q192)*R192)</f>
        <v/>
      </c>
      <c r="W192" s="29">
        <f>IF(A192&gt;=SV_sIdx,0,S192)</f>
        <v/>
      </c>
      <c r="X192" s="29">
        <f>IF(A192&gt;=SV_sIdx,0,T192)</f>
        <v/>
      </c>
      <c r="Y192" s="29">
        <f>IF(A192&gt;=SV_sIdx,MIN(U192,SV_maCap),U192)</f>
        <v/>
      </c>
      <c r="Z192" s="29">
        <f>IF(AND(SV_cpfOn,A192&gt;=SV_pIdx,A192&lt;=SV_T),12*SV_pay,0)</f>
        <v/>
      </c>
      <c r="AA192" s="29">
        <f>IF(A192&gt;SV_T,0,IF(SV_sp&gt;=0,IF(A192&lt;SV_sIdx,0,IF(A192=SV_sIdx,SV_R0,SV_lifeGrowth*AA191)),SV_lifeGrowth*AA191))</f>
        <v/>
      </c>
      <c r="AB192" s="29">
        <f>IF(A192&gt;SV_T,0,IF(AND(SV_sp&gt;=0,A192&lt;SV_sIdx),0,IF(AND(SV_sp&gt;=0,A192=SV_sIdx),SV_L0,SV_lifeGrowth*(AB191-Z192))))</f>
        <v/>
      </c>
      <c r="AC192" s="29">
        <f>W192+X192+AA192+Y192+IF(AA192&lt;0,0,AB192)</f>
        <v/>
      </c>
      <c r="AD192" s="29">
        <f>Z192+V192</f>
        <v/>
      </c>
      <c r="AE192" s="29">
        <f>IF(OR(A192&gt;SV_T,A192&gt;=SV_loanYears),0,MAX(0,AE191*(1+loanRate)-SV_inst))</f>
        <v/>
      </c>
      <c r="AF192" s="29">
        <f>IF(A192&gt;SV_T,0,AF191*(1+SV_savRate)+H192+I192+J192+K192+AD192)</f>
        <v/>
      </c>
      <c r="AG192" s="29">
        <f>IF(A192&gt;SV_T,0,MAX(0,N192+O192+P192+AC192+AF192-AE192))</f>
        <v/>
      </c>
      <c r="AH192" s="29">
        <f>IF(A192&gt;SV_T,0,N192+O192+AF192-MAX(0,AE192-(P192+AC192)))</f>
        <v/>
      </c>
      <c r="AI192" s="29">
        <f>IF(OR(OR(A192&lt;1,A192&gt;SV_T),A192-1&gt;=SV_retPay),0,SV_retMth*12+IF(A192=1,SV_retLump,0))</f>
        <v/>
      </c>
      <c r="AJ192" s="29">
        <f>IF(A192&gt;SV_T,0,(AJ191+AI192)*(1+investmentReturn))</f>
        <v/>
      </c>
      <c r="AK192" s="29">
        <f>IF(OR(OR(A192&lt;1,A192&gt;SV_T),A192-1&gt;=SV_goalPay),0,SV_goalMth*12+IF(A192=1,SV_goalLump,0))</f>
        <v/>
      </c>
      <c r="AL192" s="29">
        <f>IF(A192&gt;SV_T,0,(AL191+AK192)*(1+investmentReturn))</f>
        <v/>
      </c>
      <c r="AM192" s="29">
        <f>IF(OR(OR(A192&lt;1,A192&gt;SV_T),A192-1&gt;=SV_protPay),0,SV_protPrem)</f>
        <v/>
      </c>
      <c r="AN192" s="29">
        <f>IF(OR(A192=0,A192&gt;=SV_T),0,ROUND(MAX(0,AJ192),2)+ROUND(MAX(0,AL192),2))</f>
        <v/>
      </c>
      <c r="AO192" s="29">
        <f>IF(OR(A192&lt;1,A192&gt;SV_T),0,-(AI192+AK192+AM192)+IF(A192=SV_T,ROUND(MAX(0,AJ192),2)+ROUND(MAX(0,AL192),2),0))</f>
        <v/>
      </c>
      <c r="AP192" s="29">
        <f>IF(A192&gt;SV_T,0,AP191*(1+SV_savRate)+H192+I192+J192+K192+AD192+AO192)</f>
        <v/>
      </c>
      <c r="AQ192" s="29">
        <f>IF(A192&gt;SV_T,0,MAX(0,N192+O192+P192+AC192+AP192+AN192-AE192))</f>
        <v/>
      </c>
      <c r="AR192" s="29">
        <f>IF(A192&gt;SV_T,0,N192+O192+AP192+AN192-MAX(0,AE192-(P192+AC192)))</f>
        <v/>
      </c>
    </row>
    <row r="193">
      <c r="A193" s="61" t="n">
        <v>64</v>
      </c>
      <c r="B193" s="61">
        <f>SV_age+A193</f>
        <v/>
      </c>
      <c r="C193" s="61">
        <f>currentYear+A193</f>
        <v/>
      </c>
      <c r="D193" s="52">
        <f>A193&lt;=SV_T</f>
        <v/>
      </c>
      <c r="E193" s="60">
        <f>IF(AND(SV_inflOn,A193&gt;=SV_inflS,A193&lt;=SV_inflE),1+SV_inflRate,1+inflationRate)</f>
        <v/>
      </c>
      <c r="F193" s="60">
        <f>IF(A193&lt;=1,1,F192*E193)</f>
        <v/>
      </c>
      <c r="G193" s="60">
        <f>IF(AND(SV_incOn,A193&gt;=SV_incS,A193&lt;=SV_incE),1+SV_incImp,1)</f>
        <v/>
      </c>
      <c r="H193" s="29">
        <f>IF(OR(OR(A193&lt;1,A193&gt;SV_T),A193-1&gt;=SV_salCut),0,SV_sal0*(1+incomeGrowthRate)^(A193-1)*G193)</f>
        <v/>
      </c>
      <c r="I193" s="29">
        <f>IF(OR(A193&lt;1,A193&gt;SV_T),0,(-SV_exp0*F193-IF(A193&lt;=SV_loanYears,SV_inst,0)-IF(AND(SV_wdAmt&gt;0,A193=SV_wdYear),SV_wdAmt,0))*IF(AND(SV_expOn,A193&gt;=SV_expS,A193&lt;=SV_expE),1+SV_expImp,1))</f>
        <v/>
      </c>
      <c r="J193" s="29">
        <f>IF(OR(OR(A193&lt;1,A193&gt;SV_T),A193&gt;SV_loanYears),0,-SV_lifePremYr)</f>
        <v/>
      </c>
      <c r="K193" s="29">
        <f>IF(OR(A193&lt;1,A193&gt;SV_T),0,-SV_contrib)</f>
        <v/>
      </c>
      <c r="L193" s="60">
        <f>IF(AND(SV_crashOn,A193=SV_crashYr),SV_crashF,1)</f>
        <v/>
      </c>
      <c r="M193" s="60">
        <f>IF(AND(SV_ccyOn,A193=SV_ccyYr),SV_ccyF,1)</f>
        <v/>
      </c>
      <c r="N193" s="29">
        <f>IF(A193&gt;SV_T,0,N192*(1+interestRate)*L193*M193)</f>
        <v/>
      </c>
      <c r="O193" s="29">
        <f>IF(A193&gt;SV_T,0,(O192+SV_contrib)*(1+investmentReturn)*L193*M193)</f>
        <v/>
      </c>
      <c r="P193" s="29">
        <f>IF(A193&gt;SV_T,0,P192*(1+SV_propRate)*L193)</f>
        <v/>
      </c>
      <c r="Q193" s="46">
        <f>MATCH(SV_age+A193-1,SV_cpfLower,1)</f>
        <v/>
      </c>
      <c r="R193" s="29">
        <f>IF(OR(OR(A193&lt;1,A193&gt;SV_T),NOT(SV_cpfOn)),0,MIN(SV_sal0*(1+incomeGrowthRate)^(A193-1)*G193,SV_owCap))</f>
        <v/>
      </c>
      <c r="S193" s="29">
        <f>IF(A193&gt;SV_T,0,S192*(1+SV_oaRate)+IF(A193&gt;=SV_effStop,0,INDEX(SV_cpfOA,Q193)*INDEX(SV_cpfTot,Q193)*R193))</f>
        <v/>
      </c>
      <c r="T193" s="29">
        <f>IF(A193&gt;SV_T,0,T192*(1+SV_saRate)+IF(A193&gt;=SV_effStop,0,INDEX(SV_cpfSA,Q193)*INDEX(SV_cpfTot,Q193)*R193))</f>
        <v/>
      </c>
      <c r="U193" s="29">
        <f>IF(A193&gt;SV_T,0,U192*(1+SV_saRate)+IF(A193&gt;=SV_effStop,0,INDEX(SV_cpfMA,Q193)*INDEX(SV_cpfTot,Q193)*R193))</f>
        <v/>
      </c>
      <c r="V193" s="29">
        <f>IF(OR(OR(A193&lt;1,A193&gt;SV_T),A193&gt;=SV_effNeg),0,-(INDEX(SV_cpfOA,Q193)+INDEX(SV_cpfSA,Q193)+INDEX(SV_cpfMA,Q193))*INDEX(SV_cpfEmp,Q193)*R193)</f>
        <v/>
      </c>
      <c r="W193" s="29">
        <f>IF(A193&gt;=SV_sIdx,0,S193)</f>
        <v/>
      </c>
      <c r="X193" s="29">
        <f>IF(A193&gt;=SV_sIdx,0,T193)</f>
        <v/>
      </c>
      <c r="Y193" s="29">
        <f>IF(A193&gt;=SV_sIdx,MIN(U193,SV_maCap),U193)</f>
        <v/>
      </c>
      <c r="Z193" s="29">
        <f>IF(AND(SV_cpfOn,A193&gt;=SV_pIdx,A193&lt;=SV_T),12*SV_pay,0)</f>
        <v/>
      </c>
      <c r="AA193" s="29">
        <f>IF(A193&gt;SV_T,0,IF(SV_sp&gt;=0,IF(A193&lt;SV_sIdx,0,IF(A193=SV_sIdx,SV_R0,SV_lifeGrowth*AA192)),SV_lifeGrowth*AA192))</f>
        <v/>
      </c>
      <c r="AB193" s="29">
        <f>IF(A193&gt;SV_T,0,IF(AND(SV_sp&gt;=0,A193&lt;SV_sIdx),0,IF(AND(SV_sp&gt;=0,A193=SV_sIdx),SV_L0,SV_lifeGrowth*(AB192-Z193))))</f>
        <v/>
      </c>
      <c r="AC193" s="29">
        <f>W193+X193+AA193+Y193+IF(AA193&lt;0,0,AB193)</f>
        <v/>
      </c>
      <c r="AD193" s="29">
        <f>Z193+V193</f>
        <v/>
      </c>
      <c r="AE193" s="29">
        <f>IF(OR(A193&gt;SV_T,A193&gt;=SV_loanYears),0,MAX(0,AE192*(1+loanRate)-SV_inst))</f>
        <v/>
      </c>
      <c r="AF193" s="29">
        <f>IF(A193&gt;SV_T,0,AF192*(1+SV_savRate)+H193+I193+J193+K193+AD193)</f>
        <v/>
      </c>
      <c r="AG193" s="29">
        <f>IF(A193&gt;SV_T,0,MAX(0,N193+O193+P193+AC193+AF193-AE193))</f>
        <v/>
      </c>
      <c r="AH193" s="29">
        <f>IF(A193&gt;SV_T,0,N193+O193+AF193-MAX(0,AE193-(P193+AC193)))</f>
        <v/>
      </c>
      <c r="AI193" s="29">
        <f>IF(OR(OR(A193&lt;1,A193&gt;SV_T),A193-1&gt;=SV_retPay),0,SV_retMth*12+IF(A193=1,SV_retLump,0))</f>
        <v/>
      </c>
      <c r="AJ193" s="29">
        <f>IF(A193&gt;SV_T,0,(AJ192+AI193)*(1+investmentReturn))</f>
        <v/>
      </c>
      <c r="AK193" s="29">
        <f>IF(OR(OR(A193&lt;1,A193&gt;SV_T),A193-1&gt;=SV_goalPay),0,SV_goalMth*12+IF(A193=1,SV_goalLump,0))</f>
        <v/>
      </c>
      <c r="AL193" s="29">
        <f>IF(A193&gt;SV_T,0,(AL192+AK193)*(1+investmentReturn))</f>
        <v/>
      </c>
      <c r="AM193" s="29">
        <f>IF(OR(OR(A193&lt;1,A193&gt;SV_T),A193-1&gt;=SV_protPay),0,SV_protPrem)</f>
        <v/>
      </c>
      <c r="AN193" s="29">
        <f>IF(OR(A193=0,A193&gt;=SV_T),0,ROUND(MAX(0,AJ193),2)+ROUND(MAX(0,AL193),2))</f>
        <v/>
      </c>
      <c r="AO193" s="29">
        <f>IF(OR(A193&lt;1,A193&gt;SV_T),0,-(AI193+AK193+AM193)+IF(A193=SV_T,ROUND(MAX(0,AJ193),2)+ROUND(MAX(0,AL193),2),0))</f>
        <v/>
      </c>
      <c r="AP193" s="29">
        <f>IF(A193&gt;SV_T,0,AP192*(1+SV_savRate)+H193+I193+J193+K193+AD193+AO193)</f>
        <v/>
      </c>
      <c r="AQ193" s="29">
        <f>IF(A193&gt;SV_T,0,MAX(0,N193+O193+P193+AC193+AP193+AN193-AE193))</f>
        <v/>
      </c>
      <c r="AR193" s="29">
        <f>IF(A193&gt;SV_T,0,N193+O193+AP193+AN193-MAX(0,AE193-(P193+AC193)))</f>
        <v/>
      </c>
    </row>
    <row r="194">
      <c r="A194" s="61" t="n">
        <v>65</v>
      </c>
      <c r="B194" s="61">
        <f>SV_age+A194</f>
        <v/>
      </c>
      <c r="C194" s="61">
        <f>currentYear+A194</f>
        <v/>
      </c>
      <c r="D194" s="52">
        <f>A194&lt;=SV_T</f>
        <v/>
      </c>
      <c r="E194" s="60">
        <f>IF(AND(SV_inflOn,A194&gt;=SV_inflS,A194&lt;=SV_inflE),1+SV_inflRate,1+inflationRate)</f>
        <v/>
      </c>
      <c r="F194" s="60">
        <f>IF(A194&lt;=1,1,F193*E194)</f>
        <v/>
      </c>
      <c r="G194" s="60">
        <f>IF(AND(SV_incOn,A194&gt;=SV_incS,A194&lt;=SV_incE),1+SV_incImp,1)</f>
        <v/>
      </c>
      <c r="H194" s="29">
        <f>IF(OR(OR(A194&lt;1,A194&gt;SV_T),A194-1&gt;=SV_salCut),0,SV_sal0*(1+incomeGrowthRate)^(A194-1)*G194)</f>
        <v/>
      </c>
      <c r="I194" s="29">
        <f>IF(OR(A194&lt;1,A194&gt;SV_T),0,(-SV_exp0*F194-IF(A194&lt;=SV_loanYears,SV_inst,0)-IF(AND(SV_wdAmt&gt;0,A194=SV_wdYear),SV_wdAmt,0))*IF(AND(SV_expOn,A194&gt;=SV_expS,A194&lt;=SV_expE),1+SV_expImp,1))</f>
        <v/>
      </c>
      <c r="J194" s="29">
        <f>IF(OR(OR(A194&lt;1,A194&gt;SV_T),A194&gt;SV_loanYears),0,-SV_lifePremYr)</f>
        <v/>
      </c>
      <c r="K194" s="29">
        <f>IF(OR(A194&lt;1,A194&gt;SV_T),0,-SV_contrib)</f>
        <v/>
      </c>
      <c r="L194" s="60">
        <f>IF(AND(SV_crashOn,A194=SV_crashYr),SV_crashF,1)</f>
        <v/>
      </c>
      <c r="M194" s="60">
        <f>IF(AND(SV_ccyOn,A194=SV_ccyYr),SV_ccyF,1)</f>
        <v/>
      </c>
      <c r="N194" s="29">
        <f>IF(A194&gt;SV_T,0,N193*(1+interestRate)*L194*M194)</f>
        <v/>
      </c>
      <c r="O194" s="29">
        <f>IF(A194&gt;SV_T,0,(O193+SV_contrib)*(1+investmentReturn)*L194*M194)</f>
        <v/>
      </c>
      <c r="P194" s="29">
        <f>IF(A194&gt;SV_T,0,P193*(1+SV_propRate)*L194)</f>
        <v/>
      </c>
      <c r="Q194" s="46">
        <f>MATCH(SV_age+A194-1,SV_cpfLower,1)</f>
        <v/>
      </c>
      <c r="R194" s="29">
        <f>IF(OR(OR(A194&lt;1,A194&gt;SV_T),NOT(SV_cpfOn)),0,MIN(SV_sal0*(1+incomeGrowthRate)^(A194-1)*G194,SV_owCap))</f>
        <v/>
      </c>
      <c r="S194" s="29">
        <f>IF(A194&gt;SV_T,0,S193*(1+SV_oaRate)+IF(A194&gt;=SV_effStop,0,INDEX(SV_cpfOA,Q194)*INDEX(SV_cpfTot,Q194)*R194))</f>
        <v/>
      </c>
      <c r="T194" s="29">
        <f>IF(A194&gt;SV_T,0,T193*(1+SV_saRate)+IF(A194&gt;=SV_effStop,0,INDEX(SV_cpfSA,Q194)*INDEX(SV_cpfTot,Q194)*R194))</f>
        <v/>
      </c>
      <c r="U194" s="29">
        <f>IF(A194&gt;SV_T,0,U193*(1+SV_saRate)+IF(A194&gt;=SV_effStop,0,INDEX(SV_cpfMA,Q194)*INDEX(SV_cpfTot,Q194)*R194))</f>
        <v/>
      </c>
      <c r="V194" s="29">
        <f>IF(OR(OR(A194&lt;1,A194&gt;SV_T),A194&gt;=SV_effNeg),0,-(INDEX(SV_cpfOA,Q194)+INDEX(SV_cpfSA,Q194)+INDEX(SV_cpfMA,Q194))*INDEX(SV_cpfEmp,Q194)*R194)</f>
        <v/>
      </c>
      <c r="W194" s="29">
        <f>IF(A194&gt;=SV_sIdx,0,S194)</f>
        <v/>
      </c>
      <c r="X194" s="29">
        <f>IF(A194&gt;=SV_sIdx,0,T194)</f>
        <v/>
      </c>
      <c r="Y194" s="29">
        <f>IF(A194&gt;=SV_sIdx,MIN(U194,SV_maCap),U194)</f>
        <v/>
      </c>
      <c r="Z194" s="29">
        <f>IF(AND(SV_cpfOn,A194&gt;=SV_pIdx,A194&lt;=SV_T),12*SV_pay,0)</f>
        <v/>
      </c>
      <c r="AA194" s="29">
        <f>IF(A194&gt;SV_T,0,IF(SV_sp&gt;=0,IF(A194&lt;SV_sIdx,0,IF(A194=SV_sIdx,SV_R0,SV_lifeGrowth*AA193)),SV_lifeGrowth*AA193))</f>
        <v/>
      </c>
      <c r="AB194" s="29">
        <f>IF(A194&gt;SV_T,0,IF(AND(SV_sp&gt;=0,A194&lt;SV_sIdx),0,IF(AND(SV_sp&gt;=0,A194=SV_sIdx),SV_L0,SV_lifeGrowth*(AB193-Z194))))</f>
        <v/>
      </c>
      <c r="AC194" s="29">
        <f>W194+X194+AA194+Y194+IF(AA194&lt;0,0,AB194)</f>
        <v/>
      </c>
      <c r="AD194" s="29">
        <f>Z194+V194</f>
        <v/>
      </c>
      <c r="AE194" s="29">
        <f>IF(OR(A194&gt;SV_T,A194&gt;=SV_loanYears),0,MAX(0,AE193*(1+loanRate)-SV_inst))</f>
        <v/>
      </c>
      <c r="AF194" s="29">
        <f>IF(A194&gt;SV_T,0,AF193*(1+SV_savRate)+H194+I194+J194+K194+AD194)</f>
        <v/>
      </c>
      <c r="AG194" s="29">
        <f>IF(A194&gt;SV_T,0,MAX(0,N194+O194+P194+AC194+AF194-AE194))</f>
        <v/>
      </c>
      <c r="AH194" s="29">
        <f>IF(A194&gt;SV_T,0,N194+O194+AF194-MAX(0,AE194-(P194+AC194)))</f>
        <v/>
      </c>
      <c r="AI194" s="29">
        <f>IF(OR(OR(A194&lt;1,A194&gt;SV_T),A194-1&gt;=SV_retPay),0,SV_retMth*12+IF(A194=1,SV_retLump,0))</f>
        <v/>
      </c>
      <c r="AJ194" s="29">
        <f>IF(A194&gt;SV_T,0,(AJ193+AI194)*(1+investmentReturn))</f>
        <v/>
      </c>
      <c r="AK194" s="29">
        <f>IF(OR(OR(A194&lt;1,A194&gt;SV_T),A194-1&gt;=SV_goalPay),0,SV_goalMth*12+IF(A194=1,SV_goalLump,0))</f>
        <v/>
      </c>
      <c r="AL194" s="29">
        <f>IF(A194&gt;SV_T,0,(AL193+AK194)*(1+investmentReturn))</f>
        <v/>
      </c>
      <c r="AM194" s="29">
        <f>IF(OR(OR(A194&lt;1,A194&gt;SV_T),A194-1&gt;=SV_protPay),0,SV_protPrem)</f>
        <v/>
      </c>
      <c r="AN194" s="29">
        <f>IF(OR(A194=0,A194&gt;=SV_T),0,ROUND(MAX(0,AJ194),2)+ROUND(MAX(0,AL194),2))</f>
        <v/>
      </c>
      <c r="AO194" s="29">
        <f>IF(OR(A194&lt;1,A194&gt;SV_T),0,-(AI194+AK194+AM194)+IF(A194=SV_T,ROUND(MAX(0,AJ194),2)+ROUND(MAX(0,AL194),2),0))</f>
        <v/>
      </c>
      <c r="AP194" s="29">
        <f>IF(A194&gt;SV_T,0,AP193*(1+SV_savRate)+H194+I194+J194+K194+AD194+AO194)</f>
        <v/>
      </c>
      <c r="AQ194" s="29">
        <f>IF(A194&gt;SV_T,0,MAX(0,N194+O194+P194+AC194+AP194+AN194-AE194))</f>
        <v/>
      </c>
      <c r="AR194" s="29">
        <f>IF(A194&gt;SV_T,0,N194+O194+AP194+AN194-MAX(0,AE194-(P194+AC194)))</f>
        <v/>
      </c>
    </row>
    <row r="195">
      <c r="A195" s="61" t="n">
        <v>66</v>
      </c>
      <c r="B195" s="61">
        <f>SV_age+A195</f>
        <v/>
      </c>
      <c r="C195" s="61">
        <f>currentYear+A195</f>
        <v/>
      </c>
      <c r="D195" s="52">
        <f>A195&lt;=SV_T</f>
        <v/>
      </c>
      <c r="E195" s="60">
        <f>IF(AND(SV_inflOn,A195&gt;=SV_inflS,A195&lt;=SV_inflE),1+SV_inflRate,1+inflationRate)</f>
        <v/>
      </c>
      <c r="F195" s="60">
        <f>IF(A195&lt;=1,1,F194*E195)</f>
        <v/>
      </c>
      <c r="G195" s="60">
        <f>IF(AND(SV_incOn,A195&gt;=SV_incS,A195&lt;=SV_incE),1+SV_incImp,1)</f>
        <v/>
      </c>
      <c r="H195" s="29">
        <f>IF(OR(OR(A195&lt;1,A195&gt;SV_T),A195-1&gt;=SV_salCut),0,SV_sal0*(1+incomeGrowthRate)^(A195-1)*G195)</f>
        <v/>
      </c>
      <c r="I195" s="29">
        <f>IF(OR(A195&lt;1,A195&gt;SV_T),0,(-SV_exp0*F195-IF(A195&lt;=SV_loanYears,SV_inst,0)-IF(AND(SV_wdAmt&gt;0,A195=SV_wdYear),SV_wdAmt,0))*IF(AND(SV_expOn,A195&gt;=SV_expS,A195&lt;=SV_expE),1+SV_expImp,1))</f>
        <v/>
      </c>
      <c r="J195" s="29">
        <f>IF(OR(OR(A195&lt;1,A195&gt;SV_T),A195&gt;SV_loanYears),0,-SV_lifePremYr)</f>
        <v/>
      </c>
      <c r="K195" s="29">
        <f>IF(OR(A195&lt;1,A195&gt;SV_T),0,-SV_contrib)</f>
        <v/>
      </c>
      <c r="L195" s="60">
        <f>IF(AND(SV_crashOn,A195=SV_crashYr),SV_crashF,1)</f>
        <v/>
      </c>
      <c r="M195" s="60">
        <f>IF(AND(SV_ccyOn,A195=SV_ccyYr),SV_ccyF,1)</f>
        <v/>
      </c>
      <c r="N195" s="29">
        <f>IF(A195&gt;SV_T,0,N194*(1+interestRate)*L195*M195)</f>
        <v/>
      </c>
      <c r="O195" s="29">
        <f>IF(A195&gt;SV_T,0,(O194+SV_contrib)*(1+investmentReturn)*L195*M195)</f>
        <v/>
      </c>
      <c r="P195" s="29">
        <f>IF(A195&gt;SV_T,0,P194*(1+SV_propRate)*L195)</f>
        <v/>
      </c>
      <c r="Q195" s="46">
        <f>MATCH(SV_age+A195-1,SV_cpfLower,1)</f>
        <v/>
      </c>
      <c r="R195" s="29">
        <f>IF(OR(OR(A195&lt;1,A195&gt;SV_T),NOT(SV_cpfOn)),0,MIN(SV_sal0*(1+incomeGrowthRate)^(A195-1)*G195,SV_owCap))</f>
        <v/>
      </c>
      <c r="S195" s="29">
        <f>IF(A195&gt;SV_T,0,S194*(1+SV_oaRate)+IF(A195&gt;=SV_effStop,0,INDEX(SV_cpfOA,Q195)*INDEX(SV_cpfTot,Q195)*R195))</f>
        <v/>
      </c>
      <c r="T195" s="29">
        <f>IF(A195&gt;SV_T,0,T194*(1+SV_saRate)+IF(A195&gt;=SV_effStop,0,INDEX(SV_cpfSA,Q195)*INDEX(SV_cpfTot,Q195)*R195))</f>
        <v/>
      </c>
      <c r="U195" s="29">
        <f>IF(A195&gt;SV_T,0,U194*(1+SV_saRate)+IF(A195&gt;=SV_effStop,0,INDEX(SV_cpfMA,Q195)*INDEX(SV_cpfTot,Q195)*R195))</f>
        <v/>
      </c>
      <c r="V195" s="29">
        <f>IF(OR(OR(A195&lt;1,A195&gt;SV_T),A195&gt;=SV_effNeg),0,-(INDEX(SV_cpfOA,Q195)+INDEX(SV_cpfSA,Q195)+INDEX(SV_cpfMA,Q195))*INDEX(SV_cpfEmp,Q195)*R195)</f>
        <v/>
      </c>
      <c r="W195" s="29">
        <f>IF(A195&gt;=SV_sIdx,0,S195)</f>
        <v/>
      </c>
      <c r="X195" s="29">
        <f>IF(A195&gt;=SV_sIdx,0,T195)</f>
        <v/>
      </c>
      <c r="Y195" s="29">
        <f>IF(A195&gt;=SV_sIdx,MIN(U195,SV_maCap),U195)</f>
        <v/>
      </c>
      <c r="Z195" s="29">
        <f>IF(AND(SV_cpfOn,A195&gt;=SV_pIdx,A195&lt;=SV_T),12*SV_pay,0)</f>
        <v/>
      </c>
      <c r="AA195" s="29">
        <f>IF(A195&gt;SV_T,0,IF(SV_sp&gt;=0,IF(A195&lt;SV_sIdx,0,IF(A195=SV_sIdx,SV_R0,SV_lifeGrowth*AA194)),SV_lifeGrowth*AA194))</f>
        <v/>
      </c>
      <c r="AB195" s="29">
        <f>IF(A195&gt;SV_T,0,IF(AND(SV_sp&gt;=0,A195&lt;SV_sIdx),0,IF(AND(SV_sp&gt;=0,A195=SV_sIdx),SV_L0,SV_lifeGrowth*(AB194-Z195))))</f>
        <v/>
      </c>
      <c r="AC195" s="29">
        <f>W195+X195+AA195+Y195+IF(AA195&lt;0,0,AB195)</f>
        <v/>
      </c>
      <c r="AD195" s="29">
        <f>Z195+V195</f>
        <v/>
      </c>
      <c r="AE195" s="29">
        <f>IF(OR(A195&gt;SV_T,A195&gt;=SV_loanYears),0,MAX(0,AE194*(1+loanRate)-SV_inst))</f>
        <v/>
      </c>
      <c r="AF195" s="29">
        <f>IF(A195&gt;SV_T,0,AF194*(1+SV_savRate)+H195+I195+J195+K195+AD195)</f>
        <v/>
      </c>
      <c r="AG195" s="29">
        <f>IF(A195&gt;SV_T,0,MAX(0,N195+O195+P195+AC195+AF195-AE195))</f>
        <v/>
      </c>
      <c r="AH195" s="29">
        <f>IF(A195&gt;SV_T,0,N195+O195+AF195-MAX(0,AE195-(P195+AC195)))</f>
        <v/>
      </c>
      <c r="AI195" s="29">
        <f>IF(OR(OR(A195&lt;1,A195&gt;SV_T),A195-1&gt;=SV_retPay),0,SV_retMth*12+IF(A195=1,SV_retLump,0))</f>
        <v/>
      </c>
      <c r="AJ195" s="29">
        <f>IF(A195&gt;SV_T,0,(AJ194+AI195)*(1+investmentReturn))</f>
        <v/>
      </c>
      <c r="AK195" s="29">
        <f>IF(OR(OR(A195&lt;1,A195&gt;SV_T),A195-1&gt;=SV_goalPay),0,SV_goalMth*12+IF(A195=1,SV_goalLump,0))</f>
        <v/>
      </c>
      <c r="AL195" s="29">
        <f>IF(A195&gt;SV_T,0,(AL194+AK195)*(1+investmentReturn))</f>
        <v/>
      </c>
      <c r="AM195" s="29">
        <f>IF(OR(OR(A195&lt;1,A195&gt;SV_T),A195-1&gt;=SV_protPay),0,SV_protPrem)</f>
        <v/>
      </c>
      <c r="AN195" s="29">
        <f>IF(OR(A195=0,A195&gt;=SV_T),0,ROUND(MAX(0,AJ195),2)+ROUND(MAX(0,AL195),2))</f>
        <v/>
      </c>
      <c r="AO195" s="29">
        <f>IF(OR(A195&lt;1,A195&gt;SV_T),0,-(AI195+AK195+AM195)+IF(A195=SV_T,ROUND(MAX(0,AJ195),2)+ROUND(MAX(0,AL195),2),0))</f>
        <v/>
      </c>
      <c r="AP195" s="29">
        <f>IF(A195&gt;SV_T,0,AP194*(1+SV_savRate)+H195+I195+J195+K195+AD195+AO195)</f>
        <v/>
      </c>
      <c r="AQ195" s="29">
        <f>IF(A195&gt;SV_T,0,MAX(0,N195+O195+P195+AC195+AP195+AN195-AE195))</f>
        <v/>
      </c>
      <c r="AR195" s="29">
        <f>IF(A195&gt;SV_T,0,N195+O195+AP195+AN195-MAX(0,AE195-(P195+AC195)))</f>
        <v/>
      </c>
    </row>
    <row r="196">
      <c r="A196" s="61" t="n">
        <v>67</v>
      </c>
      <c r="B196" s="61">
        <f>SV_age+A196</f>
        <v/>
      </c>
      <c r="C196" s="61">
        <f>currentYear+A196</f>
        <v/>
      </c>
      <c r="D196" s="52">
        <f>A196&lt;=SV_T</f>
        <v/>
      </c>
      <c r="E196" s="60">
        <f>IF(AND(SV_inflOn,A196&gt;=SV_inflS,A196&lt;=SV_inflE),1+SV_inflRate,1+inflationRate)</f>
        <v/>
      </c>
      <c r="F196" s="60">
        <f>IF(A196&lt;=1,1,F195*E196)</f>
        <v/>
      </c>
      <c r="G196" s="60">
        <f>IF(AND(SV_incOn,A196&gt;=SV_incS,A196&lt;=SV_incE),1+SV_incImp,1)</f>
        <v/>
      </c>
      <c r="H196" s="29">
        <f>IF(OR(OR(A196&lt;1,A196&gt;SV_T),A196-1&gt;=SV_salCut),0,SV_sal0*(1+incomeGrowthRate)^(A196-1)*G196)</f>
        <v/>
      </c>
      <c r="I196" s="29">
        <f>IF(OR(A196&lt;1,A196&gt;SV_T),0,(-SV_exp0*F196-IF(A196&lt;=SV_loanYears,SV_inst,0)-IF(AND(SV_wdAmt&gt;0,A196=SV_wdYear),SV_wdAmt,0))*IF(AND(SV_expOn,A196&gt;=SV_expS,A196&lt;=SV_expE),1+SV_expImp,1))</f>
        <v/>
      </c>
      <c r="J196" s="29">
        <f>IF(OR(OR(A196&lt;1,A196&gt;SV_T),A196&gt;SV_loanYears),0,-SV_lifePremYr)</f>
        <v/>
      </c>
      <c r="K196" s="29">
        <f>IF(OR(A196&lt;1,A196&gt;SV_T),0,-SV_contrib)</f>
        <v/>
      </c>
      <c r="L196" s="60">
        <f>IF(AND(SV_crashOn,A196=SV_crashYr),SV_crashF,1)</f>
        <v/>
      </c>
      <c r="M196" s="60">
        <f>IF(AND(SV_ccyOn,A196=SV_ccyYr),SV_ccyF,1)</f>
        <v/>
      </c>
      <c r="N196" s="29">
        <f>IF(A196&gt;SV_T,0,N195*(1+interestRate)*L196*M196)</f>
        <v/>
      </c>
      <c r="O196" s="29">
        <f>IF(A196&gt;SV_T,0,(O195+SV_contrib)*(1+investmentReturn)*L196*M196)</f>
        <v/>
      </c>
      <c r="P196" s="29">
        <f>IF(A196&gt;SV_T,0,P195*(1+SV_propRate)*L196)</f>
        <v/>
      </c>
      <c r="Q196" s="46">
        <f>MATCH(SV_age+A196-1,SV_cpfLower,1)</f>
        <v/>
      </c>
      <c r="R196" s="29">
        <f>IF(OR(OR(A196&lt;1,A196&gt;SV_T),NOT(SV_cpfOn)),0,MIN(SV_sal0*(1+incomeGrowthRate)^(A196-1)*G196,SV_owCap))</f>
        <v/>
      </c>
      <c r="S196" s="29">
        <f>IF(A196&gt;SV_T,0,S195*(1+SV_oaRate)+IF(A196&gt;=SV_effStop,0,INDEX(SV_cpfOA,Q196)*INDEX(SV_cpfTot,Q196)*R196))</f>
        <v/>
      </c>
      <c r="T196" s="29">
        <f>IF(A196&gt;SV_T,0,T195*(1+SV_saRate)+IF(A196&gt;=SV_effStop,0,INDEX(SV_cpfSA,Q196)*INDEX(SV_cpfTot,Q196)*R196))</f>
        <v/>
      </c>
      <c r="U196" s="29">
        <f>IF(A196&gt;SV_T,0,U195*(1+SV_saRate)+IF(A196&gt;=SV_effStop,0,INDEX(SV_cpfMA,Q196)*INDEX(SV_cpfTot,Q196)*R196))</f>
        <v/>
      </c>
      <c r="V196" s="29">
        <f>IF(OR(OR(A196&lt;1,A196&gt;SV_T),A196&gt;=SV_effNeg),0,-(INDEX(SV_cpfOA,Q196)+INDEX(SV_cpfSA,Q196)+INDEX(SV_cpfMA,Q196))*INDEX(SV_cpfEmp,Q196)*R196)</f>
        <v/>
      </c>
      <c r="W196" s="29">
        <f>IF(A196&gt;=SV_sIdx,0,S196)</f>
        <v/>
      </c>
      <c r="X196" s="29">
        <f>IF(A196&gt;=SV_sIdx,0,T196)</f>
        <v/>
      </c>
      <c r="Y196" s="29">
        <f>IF(A196&gt;=SV_sIdx,MIN(U196,SV_maCap),U196)</f>
        <v/>
      </c>
      <c r="Z196" s="29">
        <f>IF(AND(SV_cpfOn,A196&gt;=SV_pIdx,A196&lt;=SV_T),12*SV_pay,0)</f>
        <v/>
      </c>
      <c r="AA196" s="29">
        <f>IF(A196&gt;SV_T,0,IF(SV_sp&gt;=0,IF(A196&lt;SV_sIdx,0,IF(A196=SV_sIdx,SV_R0,SV_lifeGrowth*AA195)),SV_lifeGrowth*AA195))</f>
        <v/>
      </c>
      <c r="AB196" s="29">
        <f>IF(A196&gt;SV_T,0,IF(AND(SV_sp&gt;=0,A196&lt;SV_sIdx),0,IF(AND(SV_sp&gt;=0,A196=SV_sIdx),SV_L0,SV_lifeGrowth*(AB195-Z196))))</f>
        <v/>
      </c>
      <c r="AC196" s="29">
        <f>W196+X196+AA196+Y196+IF(AA196&lt;0,0,AB196)</f>
        <v/>
      </c>
      <c r="AD196" s="29">
        <f>Z196+V196</f>
        <v/>
      </c>
      <c r="AE196" s="29">
        <f>IF(OR(A196&gt;SV_T,A196&gt;=SV_loanYears),0,MAX(0,AE195*(1+loanRate)-SV_inst))</f>
        <v/>
      </c>
      <c r="AF196" s="29">
        <f>IF(A196&gt;SV_T,0,AF195*(1+SV_savRate)+H196+I196+J196+K196+AD196)</f>
        <v/>
      </c>
      <c r="AG196" s="29">
        <f>IF(A196&gt;SV_T,0,MAX(0,N196+O196+P196+AC196+AF196-AE196))</f>
        <v/>
      </c>
      <c r="AH196" s="29">
        <f>IF(A196&gt;SV_T,0,N196+O196+AF196-MAX(0,AE196-(P196+AC196)))</f>
        <v/>
      </c>
      <c r="AI196" s="29">
        <f>IF(OR(OR(A196&lt;1,A196&gt;SV_T),A196-1&gt;=SV_retPay),0,SV_retMth*12+IF(A196=1,SV_retLump,0))</f>
        <v/>
      </c>
      <c r="AJ196" s="29">
        <f>IF(A196&gt;SV_T,0,(AJ195+AI196)*(1+investmentReturn))</f>
        <v/>
      </c>
      <c r="AK196" s="29">
        <f>IF(OR(OR(A196&lt;1,A196&gt;SV_T),A196-1&gt;=SV_goalPay),0,SV_goalMth*12+IF(A196=1,SV_goalLump,0))</f>
        <v/>
      </c>
      <c r="AL196" s="29">
        <f>IF(A196&gt;SV_T,0,(AL195+AK196)*(1+investmentReturn))</f>
        <v/>
      </c>
      <c r="AM196" s="29">
        <f>IF(OR(OR(A196&lt;1,A196&gt;SV_T),A196-1&gt;=SV_protPay),0,SV_protPrem)</f>
        <v/>
      </c>
      <c r="AN196" s="29">
        <f>IF(OR(A196=0,A196&gt;=SV_T),0,ROUND(MAX(0,AJ196),2)+ROUND(MAX(0,AL196),2))</f>
        <v/>
      </c>
      <c r="AO196" s="29">
        <f>IF(OR(A196&lt;1,A196&gt;SV_T),0,-(AI196+AK196+AM196)+IF(A196=SV_T,ROUND(MAX(0,AJ196),2)+ROUND(MAX(0,AL196),2),0))</f>
        <v/>
      </c>
      <c r="AP196" s="29">
        <f>IF(A196&gt;SV_T,0,AP195*(1+SV_savRate)+H196+I196+J196+K196+AD196+AO196)</f>
        <v/>
      </c>
      <c r="AQ196" s="29">
        <f>IF(A196&gt;SV_T,0,MAX(0,N196+O196+P196+AC196+AP196+AN196-AE196))</f>
        <v/>
      </c>
      <c r="AR196" s="29">
        <f>IF(A196&gt;SV_T,0,N196+O196+AP196+AN196-MAX(0,AE196-(P196+AC196)))</f>
        <v/>
      </c>
    </row>
    <row r="197">
      <c r="A197" s="61" t="n">
        <v>68</v>
      </c>
      <c r="B197" s="61">
        <f>SV_age+A197</f>
        <v/>
      </c>
      <c r="C197" s="61">
        <f>currentYear+A197</f>
        <v/>
      </c>
      <c r="D197" s="52">
        <f>A197&lt;=SV_T</f>
        <v/>
      </c>
      <c r="E197" s="60">
        <f>IF(AND(SV_inflOn,A197&gt;=SV_inflS,A197&lt;=SV_inflE),1+SV_inflRate,1+inflationRate)</f>
        <v/>
      </c>
      <c r="F197" s="60">
        <f>IF(A197&lt;=1,1,F196*E197)</f>
        <v/>
      </c>
      <c r="G197" s="60">
        <f>IF(AND(SV_incOn,A197&gt;=SV_incS,A197&lt;=SV_incE),1+SV_incImp,1)</f>
        <v/>
      </c>
      <c r="H197" s="29">
        <f>IF(OR(OR(A197&lt;1,A197&gt;SV_T),A197-1&gt;=SV_salCut),0,SV_sal0*(1+incomeGrowthRate)^(A197-1)*G197)</f>
        <v/>
      </c>
      <c r="I197" s="29">
        <f>IF(OR(A197&lt;1,A197&gt;SV_T),0,(-SV_exp0*F197-IF(A197&lt;=SV_loanYears,SV_inst,0)-IF(AND(SV_wdAmt&gt;0,A197=SV_wdYear),SV_wdAmt,0))*IF(AND(SV_expOn,A197&gt;=SV_expS,A197&lt;=SV_expE),1+SV_expImp,1))</f>
        <v/>
      </c>
      <c r="J197" s="29">
        <f>IF(OR(OR(A197&lt;1,A197&gt;SV_T),A197&gt;SV_loanYears),0,-SV_lifePremYr)</f>
        <v/>
      </c>
      <c r="K197" s="29">
        <f>IF(OR(A197&lt;1,A197&gt;SV_T),0,-SV_contrib)</f>
        <v/>
      </c>
      <c r="L197" s="60">
        <f>IF(AND(SV_crashOn,A197=SV_crashYr),SV_crashF,1)</f>
        <v/>
      </c>
      <c r="M197" s="60">
        <f>IF(AND(SV_ccyOn,A197=SV_ccyYr),SV_ccyF,1)</f>
        <v/>
      </c>
      <c r="N197" s="29">
        <f>IF(A197&gt;SV_T,0,N196*(1+interestRate)*L197*M197)</f>
        <v/>
      </c>
      <c r="O197" s="29">
        <f>IF(A197&gt;SV_T,0,(O196+SV_contrib)*(1+investmentReturn)*L197*M197)</f>
        <v/>
      </c>
      <c r="P197" s="29">
        <f>IF(A197&gt;SV_T,0,P196*(1+SV_propRate)*L197)</f>
        <v/>
      </c>
      <c r="Q197" s="46">
        <f>MATCH(SV_age+A197-1,SV_cpfLower,1)</f>
        <v/>
      </c>
      <c r="R197" s="29">
        <f>IF(OR(OR(A197&lt;1,A197&gt;SV_T),NOT(SV_cpfOn)),0,MIN(SV_sal0*(1+incomeGrowthRate)^(A197-1)*G197,SV_owCap))</f>
        <v/>
      </c>
      <c r="S197" s="29">
        <f>IF(A197&gt;SV_T,0,S196*(1+SV_oaRate)+IF(A197&gt;=SV_effStop,0,INDEX(SV_cpfOA,Q197)*INDEX(SV_cpfTot,Q197)*R197))</f>
        <v/>
      </c>
      <c r="T197" s="29">
        <f>IF(A197&gt;SV_T,0,T196*(1+SV_saRate)+IF(A197&gt;=SV_effStop,0,INDEX(SV_cpfSA,Q197)*INDEX(SV_cpfTot,Q197)*R197))</f>
        <v/>
      </c>
      <c r="U197" s="29">
        <f>IF(A197&gt;SV_T,0,U196*(1+SV_saRate)+IF(A197&gt;=SV_effStop,0,INDEX(SV_cpfMA,Q197)*INDEX(SV_cpfTot,Q197)*R197))</f>
        <v/>
      </c>
      <c r="V197" s="29">
        <f>IF(OR(OR(A197&lt;1,A197&gt;SV_T),A197&gt;=SV_effNeg),0,-(INDEX(SV_cpfOA,Q197)+INDEX(SV_cpfSA,Q197)+INDEX(SV_cpfMA,Q197))*INDEX(SV_cpfEmp,Q197)*R197)</f>
        <v/>
      </c>
      <c r="W197" s="29">
        <f>IF(A197&gt;=SV_sIdx,0,S197)</f>
        <v/>
      </c>
      <c r="X197" s="29">
        <f>IF(A197&gt;=SV_sIdx,0,T197)</f>
        <v/>
      </c>
      <c r="Y197" s="29">
        <f>IF(A197&gt;=SV_sIdx,MIN(U197,SV_maCap),U197)</f>
        <v/>
      </c>
      <c r="Z197" s="29">
        <f>IF(AND(SV_cpfOn,A197&gt;=SV_pIdx,A197&lt;=SV_T),12*SV_pay,0)</f>
        <v/>
      </c>
      <c r="AA197" s="29">
        <f>IF(A197&gt;SV_T,0,IF(SV_sp&gt;=0,IF(A197&lt;SV_sIdx,0,IF(A197=SV_sIdx,SV_R0,SV_lifeGrowth*AA196)),SV_lifeGrowth*AA196))</f>
        <v/>
      </c>
      <c r="AB197" s="29">
        <f>IF(A197&gt;SV_T,0,IF(AND(SV_sp&gt;=0,A197&lt;SV_sIdx),0,IF(AND(SV_sp&gt;=0,A197=SV_sIdx),SV_L0,SV_lifeGrowth*(AB196-Z197))))</f>
        <v/>
      </c>
      <c r="AC197" s="29">
        <f>W197+X197+AA197+Y197+IF(AA197&lt;0,0,AB197)</f>
        <v/>
      </c>
      <c r="AD197" s="29">
        <f>Z197+V197</f>
        <v/>
      </c>
      <c r="AE197" s="29">
        <f>IF(OR(A197&gt;SV_T,A197&gt;=SV_loanYears),0,MAX(0,AE196*(1+loanRate)-SV_inst))</f>
        <v/>
      </c>
      <c r="AF197" s="29">
        <f>IF(A197&gt;SV_T,0,AF196*(1+SV_savRate)+H197+I197+J197+K197+AD197)</f>
        <v/>
      </c>
      <c r="AG197" s="29">
        <f>IF(A197&gt;SV_T,0,MAX(0,N197+O197+P197+AC197+AF197-AE197))</f>
        <v/>
      </c>
      <c r="AH197" s="29">
        <f>IF(A197&gt;SV_T,0,N197+O197+AF197-MAX(0,AE197-(P197+AC197)))</f>
        <v/>
      </c>
      <c r="AI197" s="29">
        <f>IF(OR(OR(A197&lt;1,A197&gt;SV_T),A197-1&gt;=SV_retPay),0,SV_retMth*12+IF(A197=1,SV_retLump,0))</f>
        <v/>
      </c>
      <c r="AJ197" s="29">
        <f>IF(A197&gt;SV_T,0,(AJ196+AI197)*(1+investmentReturn))</f>
        <v/>
      </c>
      <c r="AK197" s="29">
        <f>IF(OR(OR(A197&lt;1,A197&gt;SV_T),A197-1&gt;=SV_goalPay),0,SV_goalMth*12+IF(A197=1,SV_goalLump,0))</f>
        <v/>
      </c>
      <c r="AL197" s="29">
        <f>IF(A197&gt;SV_T,0,(AL196+AK197)*(1+investmentReturn))</f>
        <v/>
      </c>
      <c r="AM197" s="29">
        <f>IF(OR(OR(A197&lt;1,A197&gt;SV_T),A197-1&gt;=SV_protPay),0,SV_protPrem)</f>
        <v/>
      </c>
      <c r="AN197" s="29">
        <f>IF(OR(A197=0,A197&gt;=SV_T),0,ROUND(MAX(0,AJ197),2)+ROUND(MAX(0,AL197),2))</f>
        <v/>
      </c>
      <c r="AO197" s="29">
        <f>IF(OR(A197&lt;1,A197&gt;SV_T),0,-(AI197+AK197+AM197)+IF(A197=SV_T,ROUND(MAX(0,AJ197),2)+ROUND(MAX(0,AL197),2),0))</f>
        <v/>
      </c>
      <c r="AP197" s="29">
        <f>IF(A197&gt;SV_T,0,AP196*(1+SV_savRate)+H197+I197+J197+K197+AD197+AO197)</f>
        <v/>
      </c>
      <c r="AQ197" s="29">
        <f>IF(A197&gt;SV_T,0,MAX(0,N197+O197+P197+AC197+AP197+AN197-AE197))</f>
        <v/>
      </c>
      <c r="AR197" s="29">
        <f>IF(A197&gt;SV_T,0,N197+O197+AP197+AN197-MAX(0,AE197-(P197+AC197)))</f>
        <v/>
      </c>
    </row>
    <row r="198">
      <c r="A198" s="61" t="n">
        <v>69</v>
      </c>
      <c r="B198" s="61">
        <f>SV_age+A198</f>
        <v/>
      </c>
      <c r="C198" s="61">
        <f>currentYear+A198</f>
        <v/>
      </c>
      <c r="D198" s="52">
        <f>A198&lt;=SV_T</f>
        <v/>
      </c>
      <c r="E198" s="60">
        <f>IF(AND(SV_inflOn,A198&gt;=SV_inflS,A198&lt;=SV_inflE),1+SV_inflRate,1+inflationRate)</f>
        <v/>
      </c>
      <c r="F198" s="60">
        <f>IF(A198&lt;=1,1,F197*E198)</f>
        <v/>
      </c>
      <c r="G198" s="60">
        <f>IF(AND(SV_incOn,A198&gt;=SV_incS,A198&lt;=SV_incE),1+SV_incImp,1)</f>
        <v/>
      </c>
      <c r="H198" s="29">
        <f>IF(OR(OR(A198&lt;1,A198&gt;SV_T),A198-1&gt;=SV_salCut),0,SV_sal0*(1+incomeGrowthRate)^(A198-1)*G198)</f>
        <v/>
      </c>
      <c r="I198" s="29">
        <f>IF(OR(A198&lt;1,A198&gt;SV_T),0,(-SV_exp0*F198-IF(A198&lt;=SV_loanYears,SV_inst,0)-IF(AND(SV_wdAmt&gt;0,A198=SV_wdYear),SV_wdAmt,0))*IF(AND(SV_expOn,A198&gt;=SV_expS,A198&lt;=SV_expE),1+SV_expImp,1))</f>
        <v/>
      </c>
      <c r="J198" s="29">
        <f>IF(OR(OR(A198&lt;1,A198&gt;SV_T),A198&gt;SV_loanYears),0,-SV_lifePremYr)</f>
        <v/>
      </c>
      <c r="K198" s="29">
        <f>IF(OR(A198&lt;1,A198&gt;SV_T),0,-SV_contrib)</f>
        <v/>
      </c>
      <c r="L198" s="60">
        <f>IF(AND(SV_crashOn,A198=SV_crashYr),SV_crashF,1)</f>
        <v/>
      </c>
      <c r="M198" s="60">
        <f>IF(AND(SV_ccyOn,A198=SV_ccyYr),SV_ccyF,1)</f>
        <v/>
      </c>
      <c r="N198" s="29">
        <f>IF(A198&gt;SV_T,0,N197*(1+interestRate)*L198*M198)</f>
        <v/>
      </c>
      <c r="O198" s="29">
        <f>IF(A198&gt;SV_T,0,(O197+SV_contrib)*(1+investmentReturn)*L198*M198)</f>
        <v/>
      </c>
      <c r="P198" s="29">
        <f>IF(A198&gt;SV_T,0,P197*(1+SV_propRate)*L198)</f>
        <v/>
      </c>
      <c r="Q198" s="46">
        <f>MATCH(SV_age+A198-1,SV_cpfLower,1)</f>
        <v/>
      </c>
      <c r="R198" s="29">
        <f>IF(OR(OR(A198&lt;1,A198&gt;SV_T),NOT(SV_cpfOn)),0,MIN(SV_sal0*(1+incomeGrowthRate)^(A198-1)*G198,SV_owCap))</f>
        <v/>
      </c>
      <c r="S198" s="29">
        <f>IF(A198&gt;SV_T,0,S197*(1+SV_oaRate)+IF(A198&gt;=SV_effStop,0,INDEX(SV_cpfOA,Q198)*INDEX(SV_cpfTot,Q198)*R198))</f>
        <v/>
      </c>
      <c r="T198" s="29">
        <f>IF(A198&gt;SV_T,0,T197*(1+SV_saRate)+IF(A198&gt;=SV_effStop,0,INDEX(SV_cpfSA,Q198)*INDEX(SV_cpfTot,Q198)*R198))</f>
        <v/>
      </c>
      <c r="U198" s="29">
        <f>IF(A198&gt;SV_T,0,U197*(1+SV_saRate)+IF(A198&gt;=SV_effStop,0,INDEX(SV_cpfMA,Q198)*INDEX(SV_cpfTot,Q198)*R198))</f>
        <v/>
      </c>
      <c r="V198" s="29">
        <f>IF(OR(OR(A198&lt;1,A198&gt;SV_T),A198&gt;=SV_effNeg),0,-(INDEX(SV_cpfOA,Q198)+INDEX(SV_cpfSA,Q198)+INDEX(SV_cpfMA,Q198))*INDEX(SV_cpfEmp,Q198)*R198)</f>
        <v/>
      </c>
      <c r="W198" s="29">
        <f>IF(A198&gt;=SV_sIdx,0,S198)</f>
        <v/>
      </c>
      <c r="X198" s="29">
        <f>IF(A198&gt;=SV_sIdx,0,T198)</f>
        <v/>
      </c>
      <c r="Y198" s="29">
        <f>IF(A198&gt;=SV_sIdx,MIN(U198,SV_maCap),U198)</f>
        <v/>
      </c>
      <c r="Z198" s="29">
        <f>IF(AND(SV_cpfOn,A198&gt;=SV_pIdx,A198&lt;=SV_T),12*SV_pay,0)</f>
        <v/>
      </c>
      <c r="AA198" s="29">
        <f>IF(A198&gt;SV_T,0,IF(SV_sp&gt;=0,IF(A198&lt;SV_sIdx,0,IF(A198=SV_sIdx,SV_R0,SV_lifeGrowth*AA197)),SV_lifeGrowth*AA197))</f>
        <v/>
      </c>
      <c r="AB198" s="29">
        <f>IF(A198&gt;SV_T,0,IF(AND(SV_sp&gt;=0,A198&lt;SV_sIdx),0,IF(AND(SV_sp&gt;=0,A198=SV_sIdx),SV_L0,SV_lifeGrowth*(AB197-Z198))))</f>
        <v/>
      </c>
      <c r="AC198" s="29">
        <f>W198+X198+AA198+Y198+IF(AA198&lt;0,0,AB198)</f>
        <v/>
      </c>
      <c r="AD198" s="29">
        <f>Z198+V198</f>
        <v/>
      </c>
      <c r="AE198" s="29">
        <f>IF(OR(A198&gt;SV_T,A198&gt;=SV_loanYears),0,MAX(0,AE197*(1+loanRate)-SV_inst))</f>
        <v/>
      </c>
      <c r="AF198" s="29">
        <f>IF(A198&gt;SV_T,0,AF197*(1+SV_savRate)+H198+I198+J198+K198+AD198)</f>
        <v/>
      </c>
      <c r="AG198" s="29">
        <f>IF(A198&gt;SV_T,0,MAX(0,N198+O198+P198+AC198+AF198-AE198))</f>
        <v/>
      </c>
      <c r="AH198" s="29">
        <f>IF(A198&gt;SV_T,0,N198+O198+AF198-MAX(0,AE198-(P198+AC198)))</f>
        <v/>
      </c>
      <c r="AI198" s="29">
        <f>IF(OR(OR(A198&lt;1,A198&gt;SV_T),A198-1&gt;=SV_retPay),0,SV_retMth*12+IF(A198=1,SV_retLump,0))</f>
        <v/>
      </c>
      <c r="AJ198" s="29">
        <f>IF(A198&gt;SV_T,0,(AJ197+AI198)*(1+investmentReturn))</f>
        <v/>
      </c>
      <c r="AK198" s="29">
        <f>IF(OR(OR(A198&lt;1,A198&gt;SV_T),A198-1&gt;=SV_goalPay),0,SV_goalMth*12+IF(A198=1,SV_goalLump,0))</f>
        <v/>
      </c>
      <c r="AL198" s="29">
        <f>IF(A198&gt;SV_T,0,(AL197+AK198)*(1+investmentReturn))</f>
        <v/>
      </c>
      <c r="AM198" s="29">
        <f>IF(OR(OR(A198&lt;1,A198&gt;SV_T),A198-1&gt;=SV_protPay),0,SV_protPrem)</f>
        <v/>
      </c>
      <c r="AN198" s="29">
        <f>IF(OR(A198=0,A198&gt;=SV_T),0,ROUND(MAX(0,AJ198),2)+ROUND(MAX(0,AL198),2))</f>
        <v/>
      </c>
      <c r="AO198" s="29">
        <f>IF(OR(A198&lt;1,A198&gt;SV_T),0,-(AI198+AK198+AM198)+IF(A198=SV_T,ROUND(MAX(0,AJ198),2)+ROUND(MAX(0,AL198),2),0))</f>
        <v/>
      </c>
      <c r="AP198" s="29">
        <f>IF(A198&gt;SV_T,0,AP197*(1+SV_savRate)+H198+I198+J198+K198+AD198+AO198)</f>
        <v/>
      </c>
      <c r="AQ198" s="29">
        <f>IF(A198&gt;SV_T,0,MAX(0,N198+O198+P198+AC198+AP198+AN198-AE198))</f>
        <v/>
      </c>
      <c r="AR198" s="29">
        <f>IF(A198&gt;SV_T,0,N198+O198+AP198+AN198-MAX(0,AE198-(P198+AC198)))</f>
        <v/>
      </c>
    </row>
    <row r="199">
      <c r="A199" s="61" t="n">
        <v>70</v>
      </c>
      <c r="B199" s="61">
        <f>SV_age+A199</f>
        <v/>
      </c>
      <c r="C199" s="61">
        <f>currentYear+A199</f>
        <v/>
      </c>
      <c r="D199" s="52">
        <f>A199&lt;=SV_T</f>
        <v/>
      </c>
      <c r="E199" s="60">
        <f>IF(AND(SV_inflOn,A199&gt;=SV_inflS,A199&lt;=SV_inflE),1+SV_inflRate,1+inflationRate)</f>
        <v/>
      </c>
      <c r="F199" s="60">
        <f>IF(A199&lt;=1,1,F198*E199)</f>
        <v/>
      </c>
      <c r="G199" s="60">
        <f>IF(AND(SV_incOn,A199&gt;=SV_incS,A199&lt;=SV_incE),1+SV_incImp,1)</f>
        <v/>
      </c>
      <c r="H199" s="29">
        <f>IF(OR(OR(A199&lt;1,A199&gt;SV_T),A199-1&gt;=SV_salCut),0,SV_sal0*(1+incomeGrowthRate)^(A199-1)*G199)</f>
        <v/>
      </c>
      <c r="I199" s="29">
        <f>IF(OR(A199&lt;1,A199&gt;SV_T),0,(-SV_exp0*F199-IF(A199&lt;=SV_loanYears,SV_inst,0)-IF(AND(SV_wdAmt&gt;0,A199=SV_wdYear),SV_wdAmt,0))*IF(AND(SV_expOn,A199&gt;=SV_expS,A199&lt;=SV_expE),1+SV_expImp,1))</f>
        <v/>
      </c>
      <c r="J199" s="29">
        <f>IF(OR(OR(A199&lt;1,A199&gt;SV_T),A199&gt;SV_loanYears),0,-SV_lifePremYr)</f>
        <v/>
      </c>
      <c r="K199" s="29">
        <f>IF(OR(A199&lt;1,A199&gt;SV_T),0,-SV_contrib)</f>
        <v/>
      </c>
      <c r="L199" s="60">
        <f>IF(AND(SV_crashOn,A199=SV_crashYr),SV_crashF,1)</f>
        <v/>
      </c>
      <c r="M199" s="60">
        <f>IF(AND(SV_ccyOn,A199=SV_ccyYr),SV_ccyF,1)</f>
        <v/>
      </c>
      <c r="N199" s="29">
        <f>IF(A199&gt;SV_T,0,N198*(1+interestRate)*L199*M199)</f>
        <v/>
      </c>
      <c r="O199" s="29">
        <f>IF(A199&gt;SV_T,0,(O198+SV_contrib)*(1+investmentReturn)*L199*M199)</f>
        <v/>
      </c>
      <c r="P199" s="29">
        <f>IF(A199&gt;SV_T,0,P198*(1+SV_propRate)*L199)</f>
        <v/>
      </c>
      <c r="Q199" s="46">
        <f>MATCH(SV_age+A199-1,SV_cpfLower,1)</f>
        <v/>
      </c>
      <c r="R199" s="29">
        <f>IF(OR(OR(A199&lt;1,A199&gt;SV_T),NOT(SV_cpfOn)),0,MIN(SV_sal0*(1+incomeGrowthRate)^(A199-1)*G199,SV_owCap))</f>
        <v/>
      </c>
      <c r="S199" s="29">
        <f>IF(A199&gt;SV_T,0,S198*(1+SV_oaRate)+IF(A199&gt;=SV_effStop,0,INDEX(SV_cpfOA,Q199)*INDEX(SV_cpfTot,Q199)*R199))</f>
        <v/>
      </c>
      <c r="T199" s="29">
        <f>IF(A199&gt;SV_T,0,T198*(1+SV_saRate)+IF(A199&gt;=SV_effStop,0,INDEX(SV_cpfSA,Q199)*INDEX(SV_cpfTot,Q199)*R199))</f>
        <v/>
      </c>
      <c r="U199" s="29">
        <f>IF(A199&gt;SV_T,0,U198*(1+SV_saRate)+IF(A199&gt;=SV_effStop,0,INDEX(SV_cpfMA,Q199)*INDEX(SV_cpfTot,Q199)*R199))</f>
        <v/>
      </c>
      <c r="V199" s="29">
        <f>IF(OR(OR(A199&lt;1,A199&gt;SV_T),A199&gt;=SV_effNeg),0,-(INDEX(SV_cpfOA,Q199)+INDEX(SV_cpfSA,Q199)+INDEX(SV_cpfMA,Q199))*INDEX(SV_cpfEmp,Q199)*R199)</f>
        <v/>
      </c>
      <c r="W199" s="29">
        <f>IF(A199&gt;=SV_sIdx,0,S199)</f>
        <v/>
      </c>
      <c r="X199" s="29">
        <f>IF(A199&gt;=SV_sIdx,0,T199)</f>
        <v/>
      </c>
      <c r="Y199" s="29">
        <f>IF(A199&gt;=SV_sIdx,MIN(U199,SV_maCap),U199)</f>
        <v/>
      </c>
      <c r="Z199" s="29">
        <f>IF(AND(SV_cpfOn,A199&gt;=SV_pIdx,A199&lt;=SV_T),12*SV_pay,0)</f>
        <v/>
      </c>
      <c r="AA199" s="29">
        <f>IF(A199&gt;SV_T,0,IF(SV_sp&gt;=0,IF(A199&lt;SV_sIdx,0,IF(A199=SV_sIdx,SV_R0,SV_lifeGrowth*AA198)),SV_lifeGrowth*AA198))</f>
        <v/>
      </c>
      <c r="AB199" s="29">
        <f>IF(A199&gt;SV_T,0,IF(AND(SV_sp&gt;=0,A199&lt;SV_sIdx),0,IF(AND(SV_sp&gt;=0,A199=SV_sIdx),SV_L0,SV_lifeGrowth*(AB198-Z199))))</f>
        <v/>
      </c>
      <c r="AC199" s="29">
        <f>W199+X199+AA199+Y199+IF(AA199&lt;0,0,AB199)</f>
        <v/>
      </c>
      <c r="AD199" s="29">
        <f>Z199+V199</f>
        <v/>
      </c>
      <c r="AE199" s="29">
        <f>IF(OR(A199&gt;SV_T,A199&gt;=SV_loanYears),0,MAX(0,AE198*(1+loanRate)-SV_inst))</f>
        <v/>
      </c>
      <c r="AF199" s="29">
        <f>IF(A199&gt;SV_T,0,AF198*(1+SV_savRate)+H199+I199+J199+K199+AD199)</f>
        <v/>
      </c>
      <c r="AG199" s="29">
        <f>IF(A199&gt;SV_T,0,MAX(0,N199+O199+P199+AC199+AF199-AE199))</f>
        <v/>
      </c>
      <c r="AH199" s="29">
        <f>IF(A199&gt;SV_T,0,N199+O199+AF199-MAX(0,AE199-(P199+AC199)))</f>
        <v/>
      </c>
      <c r="AI199" s="29">
        <f>IF(OR(OR(A199&lt;1,A199&gt;SV_T),A199-1&gt;=SV_retPay),0,SV_retMth*12+IF(A199=1,SV_retLump,0))</f>
        <v/>
      </c>
      <c r="AJ199" s="29">
        <f>IF(A199&gt;SV_T,0,(AJ198+AI199)*(1+investmentReturn))</f>
        <v/>
      </c>
      <c r="AK199" s="29">
        <f>IF(OR(OR(A199&lt;1,A199&gt;SV_T),A199-1&gt;=SV_goalPay),0,SV_goalMth*12+IF(A199=1,SV_goalLump,0))</f>
        <v/>
      </c>
      <c r="AL199" s="29">
        <f>IF(A199&gt;SV_T,0,(AL198+AK199)*(1+investmentReturn))</f>
        <v/>
      </c>
      <c r="AM199" s="29">
        <f>IF(OR(OR(A199&lt;1,A199&gt;SV_T),A199-1&gt;=SV_protPay),0,SV_protPrem)</f>
        <v/>
      </c>
      <c r="AN199" s="29">
        <f>IF(OR(A199=0,A199&gt;=SV_T),0,ROUND(MAX(0,AJ199),2)+ROUND(MAX(0,AL199),2))</f>
        <v/>
      </c>
      <c r="AO199" s="29">
        <f>IF(OR(A199&lt;1,A199&gt;SV_T),0,-(AI199+AK199+AM199)+IF(A199=SV_T,ROUND(MAX(0,AJ199),2)+ROUND(MAX(0,AL199),2),0))</f>
        <v/>
      </c>
      <c r="AP199" s="29">
        <f>IF(A199&gt;SV_T,0,AP198*(1+SV_savRate)+H199+I199+J199+K199+AD199+AO199)</f>
        <v/>
      </c>
      <c r="AQ199" s="29">
        <f>IF(A199&gt;SV_T,0,MAX(0,N199+O199+P199+AC199+AP199+AN199-AE199))</f>
        <v/>
      </c>
      <c r="AR199" s="29">
        <f>IF(A199&gt;SV_T,0,N199+O199+AP199+AN199-MAX(0,AE199-(P199+AC199)))</f>
        <v/>
      </c>
    </row>
    <row r="200">
      <c r="A200" s="61" t="n">
        <v>71</v>
      </c>
      <c r="B200" s="61">
        <f>SV_age+A200</f>
        <v/>
      </c>
      <c r="C200" s="61">
        <f>currentYear+A200</f>
        <v/>
      </c>
      <c r="D200" s="52">
        <f>A200&lt;=SV_T</f>
        <v/>
      </c>
      <c r="E200" s="60">
        <f>IF(AND(SV_inflOn,A200&gt;=SV_inflS,A200&lt;=SV_inflE),1+SV_inflRate,1+inflationRate)</f>
        <v/>
      </c>
      <c r="F200" s="60">
        <f>IF(A200&lt;=1,1,F199*E200)</f>
        <v/>
      </c>
      <c r="G200" s="60">
        <f>IF(AND(SV_incOn,A200&gt;=SV_incS,A200&lt;=SV_incE),1+SV_incImp,1)</f>
        <v/>
      </c>
      <c r="H200" s="29">
        <f>IF(OR(OR(A200&lt;1,A200&gt;SV_T),A200-1&gt;=SV_salCut),0,SV_sal0*(1+incomeGrowthRate)^(A200-1)*G200)</f>
        <v/>
      </c>
      <c r="I200" s="29">
        <f>IF(OR(A200&lt;1,A200&gt;SV_T),0,(-SV_exp0*F200-IF(A200&lt;=SV_loanYears,SV_inst,0)-IF(AND(SV_wdAmt&gt;0,A200=SV_wdYear),SV_wdAmt,0))*IF(AND(SV_expOn,A200&gt;=SV_expS,A200&lt;=SV_expE),1+SV_expImp,1))</f>
        <v/>
      </c>
      <c r="J200" s="29">
        <f>IF(OR(OR(A200&lt;1,A200&gt;SV_T),A200&gt;SV_loanYears),0,-SV_lifePremYr)</f>
        <v/>
      </c>
      <c r="K200" s="29">
        <f>IF(OR(A200&lt;1,A200&gt;SV_T),0,-SV_contrib)</f>
        <v/>
      </c>
      <c r="L200" s="60">
        <f>IF(AND(SV_crashOn,A200=SV_crashYr),SV_crashF,1)</f>
        <v/>
      </c>
      <c r="M200" s="60">
        <f>IF(AND(SV_ccyOn,A200=SV_ccyYr),SV_ccyF,1)</f>
        <v/>
      </c>
      <c r="N200" s="29">
        <f>IF(A200&gt;SV_T,0,N199*(1+interestRate)*L200*M200)</f>
        <v/>
      </c>
      <c r="O200" s="29">
        <f>IF(A200&gt;SV_T,0,(O199+SV_contrib)*(1+investmentReturn)*L200*M200)</f>
        <v/>
      </c>
      <c r="P200" s="29">
        <f>IF(A200&gt;SV_T,0,P199*(1+SV_propRate)*L200)</f>
        <v/>
      </c>
      <c r="Q200" s="46">
        <f>MATCH(SV_age+A200-1,SV_cpfLower,1)</f>
        <v/>
      </c>
      <c r="R200" s="29">
        <f>IF(OR(OR(A200&lt;1,A200&gt;SV_T),NOT(SV_cpfOn)),0,MIN(SV_sal0*(1+incomeGrowthRate)^(A200-1)*G200,SV_owCap))</f>
        <v/>
      </c>
      <c r="S200" s="29">
        <f>IF(A200&gt;SV_T,0,S199*(1+SV_oaRate)+IF(A200&gt;=SV_effStop,0,INDEX(SV_cpfOA,Q200)*INDEX(SV_cpfTot,Q200)*R200))</f>
        <v/>
      </c>
      <c r="T200" s="29">
        <f>IF(A200&gt;SV_T,0,T199*(1+SV_saRate)+IF(A200&gt;=SV_effStop,0,INDEX(SV_cpfSA,Q200)*INDEX(SV_cpfTot,Q200)*R200))</f>
        <v/>
      </c>
      <c r="U200" s="29">
        <f>IF(A200&gt;SV_T,0,U199*(1+SV_saRate)+IF(A200&gt;=SV_effStop,0,INDEX(SV_cpfMA,Q200)*INDEX(SV_cpfTot,Q200)*R200))</f>
        <v/>
      </c>
      <c r="V200" s="29">
        <f>IF(OR(OR(A200&lt;1,A200&gt;SV_T),A200&gt;=SV_effNeg),0,-(INDEX(SV_cpfOA,Q200)+INDEX(SV_cpfSA,Q200)+INDEX(SV_cpfMA,Q200))*INDEX(SV_cpfEmp,Q200)*R200)</f>
        <v/>
      </c>
      <c r="W200" s="29">
        <f>IF(A200&gt;=SV_sIdx,0,S200)</f>
        <v/>
      </c>
      <c r="X200" s="29">
        <f>IF(A200&gt;=SV_sIdx,0,T200)</f>
        <v/>
      </c>
      <c r="Y200" s="29">
        <f>IF(A200&gt;=SV_sIdx,MIN(U200,SV_maCap),U200)</f>
        <v/>
      </c>
      <c r="Z200" s="29">
        <f>IF(AND(SV_cpfOn,A200&gt;=SV_pIdx,A200&lt;=SV_T),12*SV_pay,0)</f>
        <v/>
      </c>
      <c r="AA200" s="29">
        <f>IF(A200&gt;SV_T,0,IF(SV_sp&gt;=0,IF(A200&lt;SV_sIdx,0,IF(A200=SV_sIdx,SV_R0,SV_lifeGrowth*AA199)),SV_lifeGrowth*AA199))</f>
        <v/>
      </c>
      <c r="AB200" s="29">
        <f>IF(A200&gt;SV_T,0,IF(AND(SV_sp&gt;=0,A200&lt;SV_sIdx),0,IF(AND(SV_sp&gt;=0,A200=SV_sIdx),SV_L0,SV_lifeGrowth*(AB199-Z200))))</f>
        <v/>
      </c>
      <c r="AC200" s="29">
        <f>W200+X200+AA200+Y200+IF(AA200&lt;0,0,AB200)</f>
        <v/>
      </c>
      <c r="AD200" s="29">
        <f>Z200+V200</f>
        <v/>
      </c>
      <c r="AE200" s="29">
        <f>IF(OR(A200&gt;SV_T,A200&gt;=SV_loanYears),0,MAX(0,AE199*(1+loanRate)-SV_inst))</f>
        <v/>
      </c>
      <c r="AF200" s="29">
        <f>IF(A200&gt;SV_T,0,AF199*(1+SV_savRate)+H200+I200+J200+K200+AD200)</f>
        <v/>
      </c>
      <c r="AG200" s="29">
        <f>IF(A200&gt;SV_T,0,MAX(0,N200+O200+P200+AC200+AF200-AE200))</f>
        <v/>
      </c>
      <c r="AH200" s="29">
        <f>IF(A200&gt;SV_T,0,N200+O200+AF200-MAX(0,AE200-(P200+AC200)))</f>
        <v/>
      </c>
      <c r="AI200" s="29">
        <f>IF(OR(OR(A200&lt;1,A200&gt;SV_T),A200-1&gt;=SV_retPay),0,SV_retMth*12+IF(A200=1,SV_retLump,0))</f>
        <v/>
      </c>
      <c r="AJ200" s="29">
        <f>IF(A200&gt;SV_T,0,(AJ199+AI200)*(1+investmentReturn))</f>
        <v/>
      </c>
      <c r="AK200" s="29">
        <f>IF(OR(OR(A200&lt;1,A200&gt;SV_T),A200-1&gt;=SV_goalPay),0,SV_goalMth*12+IF(A200=1,SV_goalLump,0))</f>
        <v/>
      </c>
      <c r="AL200" s="29">
        <f>IF(A200&gt;SV_T,0,(AL199+AK200)*(1+investmentReturn))</f>
        <v/>
      </c>
      <c r="AM200" s="29">
        <f>IF(OR(OR(A200&lt;1,A200&gt;SV_T),A200-1&gt;=SV_protPay),0,SV_protPrem)</f>
        <v/>
      </c>
      <c r="AN200" s="29">
        <f>IF(OR(A200=0,A200&gt;=SV_T),0,ROUND(MAX(0,AJ200),2)+ROUND(MAX(0,AL200),2))</f>
        <v/>
      </c>
      <c r="AO200" s="29">
        <f>IF(OR(A200&lt;1,A200&gt;SV_T),0,-(AI200+AK200+AM200)+IF(A200=SV_T,ROUND(MAX(0,AJ200),2)+ROUND(MAX(0,AL200),2),0))</f>
        <v/>
      </c>
      <c r="AP200" s="29">
        <f>IF(A200&gt;SV_T,0,AP199*(1+SV_savRate)+H200+I200+J200+K200+AD200+AO200)</f>
        <v/>
      </c>
      <c r="AQ200" s="29">
        <f>IF(A200&gt;SV_T,0,MAX(0,N200+O200+P200+AC200+AP200+AN200-AE200))</f>
        <v/>
      </c>
      <c r="AR200" s="29">
        <f>IF(A200&gt;SV_T,0,N200+O200+AP200+AN200-MAX(0,AE200-(P200+AC200)))</f>
        <v/>
      </c>
    </row>
    <row r="201">
      <c r="A201" s="61" t="n">
        <v>72</v>
      </c>
      <c r="B201" s="61">
        <f>SV_age+A201</f>
        <v/>
      </c>
      <c r="C201" s="61">
        <f>currentYear+A201</f>
        <v/>
      </c>
      <c r="D201" s="52">
        <f>A201&lt;=SV_T</f>
        <v/>
      </c>
      <c r="E201" s="60">
        <f>IF(AND(SV_inflOn,A201&gt;=SV_inflS,A201&lt;=SV_inflE),1+SV_inflRate,1+inflationRate)</f>
        <v/>
      </c>
      <c r="F201" s="60">
        <f>IF(A201&lt;=1,1,F200*E201)</f>
        <v/>
      </c>
      <c r="G201" s="60">
        <f>IF(AND(SV_incOn,A201&gt;=SV_incS,A201&lt;=SV_incE),1+SV_incImp,1)</f>
        <v/>
      </c>
      <c r="H201" s="29">
        <f>IF(OR(OR(A201&lt;1,A201&gt;SV_T),A201-1&gt;=SV_salCut),0,SV_sal0*(1+incomeGrowthRate)^(A201-1)*G201)</f>
        <v/>
      </c>
      <c r="I201" s="29">
        <f>IF(OR(A201&lt;1,A201&gt;SV_T),0,(-SV_exp0*F201-IF(A201&lt;=SV_loanYears,SV_inst,0)-IF(AND(SV_wdAmt&gt;0,A201=SV_wdYear),SV_wdAmt,0))*IF(AND(SV_expOn,A201&gt;=SV_expS,A201&lt;=SV_expE),1+SV_expImp,1))</f>
        <v/>
      </c>
      <c r="J201" s="29">
        <f>IF(OR(OR(A201&lt;1,A201&gt;SV_T),A201&gt;SV_loanYears),0,-SV_lifePremYr)</f>
        <v/>
      </c>
      <c r="K201" s="29">
        <f>IF(OR(A201&lt;1,A201&gt;SV_T),0,-SV_contrib)</f>
        <v/>
      </c>
      <c r="L201" s="60">
        <f>IF(AND(SV_crashOn,A201=SV_crashYr),SV_crashF,1)</f>
        <v/>
      </c>
      <c r="M201" s="60">
        <f>IF(AND(SV_ccyOn,A201=SV_ccyYr),SV_ccyF,1)</f>
        <v/>
      </c>
      <c r="N201" s="29">
        <f>IF(A201&gt;SV_T,0,N200*(1+interestRate)*L201*M201)</f>
        <v/>
      </c>
      <c r="O201" s="29">
        <f>IF(A201&gt;SV_T,0,(O200+SV_contrib)*(1+investmentReturn)*L201*M201)</f>
        <v/>
      </c>
      <c r="P201" s="29">
        <f>IF(A201&gt;SV_T,0,P200*(1+SV_propRate)*L201)</f>
        <v/>
      </c>
      <c r="Q201" s="46">
        <f>MATCH(SV_age+A201-1,SV_cpfLower,1)</f>
        <v/>
      </c>
      <c r="R201" s="29">
        <f>IF(OR(OR(A201&lt;1,A201&gt;SV_T),NOT(SV_cpfOn)),0,MIN(SV_sal0*(1+incomeGrowthRate)^(A201-1)*G201,SV_owCap))</f>
        <v/>
      </c>
      <c r="S201" s="29">
        <f>IF(A201&gt;SV_T,0,S200*(1+SV_oaRate)+IF(A201&gt;=SV_effStop,0,INDEX(SV_cpfOA,Q201)*INDEX(SV_cpfTot,Q201)*R201))</f>
        <v/>
      </c>
      <c r="T201" s="29">
        <f>IF(A201&gt;SV_T,0,T200*(1+SV_saRate)+IF(A201&gt;=SV_effStop,0,INDEX(SV_cpfSA,Q201)*INDEX(SV_cpfTot,Q201)*R201))</f>
        <v/>
      </c>
      <c r="U201" s="29">
        <f>IF(A201&gt;SV_T,0,U200*(1+SV_saRate)+IF(A201&gt;=SV_effStop,0,INDEX(SV_cpfMA,Q201)*INDEX(SV_cpfTot,Q201)*R201))</f>
        <v/>
      </c>
      <c r="V201" s="29">
        <f>IF(OR(OR(A201&lt;1,A201&gt;SV_T),A201&gt;=SV_effNeg),0,-(INDEX(SV_cpfOA,Q201)+INDEX(SV_cpfSA,Q201)+INDEX(SV_cpfMA,Q201))*INDEX(SV_cpfEmp,Q201)*R201)</f>
        <v/>
      </c>
      <c r="W201" s="29">
        <f>IF(A201&gt;=SV_sIdx,0,S201)</f>
        <v/>
      </c>
      <c r="X201" s="29">
        <f>IF(A201&gt;=SV_sIdx,0,T201)</f>
        <v/>
      </c>
      <c r="Y201" s="29">
        <f>IF(A201&gt;=SV_sIdx,MIN(U201,SV_maCap),U201)</f>
        <v/>
      </c>
      <c r="Z201" s="29">
        <f>IF(AND(SV_cpfOn,A201&gt;=SV_pIdx,A201&lt;=SV_T),12*SV_pay,0)</f>
        <v/>
      </c>
      <c r="AA201" s="29">
        <f>IF(A201&gt;SV_T,0,IF(SV_sp&gt;=0,IF(A201&lt;SV_sIdx,0,IF(A201=SV_sIdx,SV_R0,SV_lifeGrowth*AA200)),SV_lifeGrowth*AA200))</f>
        <v/>
      </c>
      <c r="AB201" s="29">
        <f>IF(A201&gt;SV_T,0,IF(AND(SV_sp&gt;=0,A201&lt;SV_sIdx),0,IF(AND(SV_sp&gt;=0,A201=SV_sIdx),SV_L0,SV_lifeGrowth*(AB200-Z201))))</f>
        <v/>
      </c>
      <c r="AC201" s="29">
        <f>W201+X201+AA201+Y201+IF(AA201&lt;0,0,AB201)</f>
        <v/>
      </c>
      <c r="AD201" s="29">
        <f>Z201+V201</f>
        <v/>
      </c>
      <c r="AE201" s="29">
        <f>IF(OR(A201&gt;SV_T,A201&gt;=SV_loanYears),0,MAX(0,AE200*(1+loanRate)-SV_inst))</f>
        <v/>
      </c>
      <c r="AF201" s="29">
        <f>IF(A201&gt;SV_T,0,AF200*(1+SV_savRate)+H201+I201+J201+K201+AD201)</f>
        <v/>
      </c>
      <c r="AG201" s="29">
        <f>IF(A201&gt;SV_T,0,MAX(0,N201+O201+P201+AC201+AF201-AE201))</f>
        <v/>
      </c>
      <c r="AH201" s="29">
        <f>IF(A201&gt;SV_T,0,N201+O201+AF201-MAX(0,AE201-(P201+AC201)))</f>
        <v/>
      </c>
      <c r="AI201" s="29">
        <f>IF(OR(OR(A201&lt;1,A201&gt;SV_T),A201-1&gt;=SV_retPay),0,SV_retMth*12+IF(A201=1,SV_retLump,0))</f>
        <v/>
      </c>
      <c r="AJ201" s="29">
        <f>IF(A201&gt;SV_T,0,(AJ200+AI201)*(1+investmentReturn))</f>
        <v/>
      </c>
      <c r="AK201" s="29">
        <f>IF(OR(OR(A201&lt;1,A201&gt;SV_T),A201-1&gt;=SV_goalPay),0,SV_goalMth*12+IF(A201=1,SV_goalLump,0))</f>
        <v/>
      </c>
      <c r="AL201" s="29">
        <f>IF(A201&gt;SV_T,0,(AL200+AK201)*(1+investmentReturn))</f>
        <v/>
      </c>
      <c r="AM201" s="29">
        <f>IF(OR(OR(A201&lt;1,A201&gt;SV_T),A201-1&gt;=SV_protPay),0,SV_protPrem)</f>
        <v/>
      </c>
      <c r="AN201" s="29">
        <f>IF(OR(A201=0,A201&gt;=SV_T),0,ROUND(MAX(0,AJ201),2)+ROUND(MAX(0,AL201),2))</f>
        <v/>
      </c>
      <c r="AO201" s="29">
        <f>IF(OR(A201&lt;1,A201&gt;SV_T),0,-(AI201+AK201+AM201)+IF(A201=SV_T,ROUND(MAX(0,AJ201),2)+ROUND(MAX(0,AL201),2),0))</f>
        <v/>
      </c>
      <c r="AP201" s="29">
        <f>IF(A201&gt;SV_T,0,AP200*(1+SV_savRate)+H201+I201+J201+K201+AD201+AO201)</f>
        <v/>
      </c>
      <c r="AQ201" s="29">
        <f>IF(A201&gt;SV_T,0,MAX(0,N201+O201+P201+AC201+AP201+AN201-AE201))</f>
        <v/>
      </c>
      <c r="AR201" s="29">
        <f>IF(A201&gt;SV_T,0,N201+O201+AP201+AN201-MAX(0,AE201-(P201+AC201)))</f>
        <v/>
      </c>
    </row>
    <row r="202">
      <c r="A202" s="61" t="n">
        <v>73</v>
      </c>
      <c r="B202" s="61">
        <f>SV_age+A202</f>
        <v/>
      </c>
      <c r="C202" s="61">
        <f>currentYear+A202</f>
        <v/>
      </c>
      <c r="D202" s="52">
        <f>A202&lt;=SV_T</f>
        <v/>
      </c>
      <c r="E202" s="60">
        <f>IF(AND(SV_inflOn,A202&gt;=SV_inflS,A202&lt;=SV_inflE),1+SV_inflRate,1+inflationRate)</f>
        <v/>
      </c>
      <c r="F202" s="60">
        <f>IF(A202&lt;=1,1,F201*E202)</f>
        <v/>
      </c>
      <c r="G202" s="60">
        <f>IF(AND(SV_incOn,A202&gt;=SV_incS,A202&lt;=SV_incE),1+SV_incImp,1)</f>
        <v/>
      </c>
      <c r="H202" s="29">
        <f>IF(OR(OR(A202&lt;1,A202&gt;SV_T),A202-1&gt;=SV_salCut),0,SV_sal0*(1+incomeGrowthRate)^(A202-1)*G202)</f>
        <v/>
      </c>
      <c r="I202" s="29">
        <f>IF(OR(A202&lt;1,A202&gt;SV_T),0,(-SV_exp0*F202-IF(A202&lt;=SV_loanYears,SV_inst,0)-IF(AND(SV_wdAmt&gt;0,A202=SV_wdYear),SV_wdAmt,0))*IF(AND(SV_expOn,A202&gt;=SV_expS,A202&lt;=SV_expE),1+SV_expImp,1))</f>
        <v/>
      </c>
      <c r="J202" s="29">
        <f>IF(OR(OR(A202&lt;1,A202&gt;SV_T),A202&gt;SV_loanYears),0,-SV_lifePremYr)</f>
        <v/>
      </c>
      <c r="K202" s="29">
        <f>IF(OR(A202&lt;1,A202&gt;SV_T),0,-SV_contrib)</f>
        <v/>
      </c>
      <c r="L202" s="60">
        <f>IF(AND(SV_crashOn,A202=SV_crashYr),SV_crashF,1)</f>
        <v/>
      </c>
      <c r="M202" s="60">
        <f>IF(AND(SV_ccyOn,A202=SV_ccyYr),SV_ccyF,1)</f>
        <v/>
      </c>
      <c r="N202" s="29">
        <f>IF(A202&gt;SV_T,0,N201*(1+interestRate)*L202*M202)</f>
        <v/>
      </c>
      <c r="O202" s="29">
        <f>IF(A202&gt;SV_T,0,(O201+SV_contrib)*(1+investmentReturn)*L202*M202)</f>
        <v/>
      </c>
      <c r="P202" s="29">
        <f>IF(A202&gt;SV_T,0,P201*(1+SV_propRate)*L202)</f>
        <v/>
      </c>
      <c r="Q202" s="46">
        <f>MATCH(SV_age+A202-1,SV_cpfLower,1)</f>
        <v/>
      </c>
      <c r="R202" s="29">
        <f>IF(OR(OR(A202&lt;1,A202&gt;SV_T),NOT(SV_cpfOn)),0,MIN(SV_sal0*(1+incomeGrowthRate)^(A202-1)*G202,SV_owCap))</f>
        <v/>
      </c>
      <c r="S202" s="29">
        <f>IF(A202&gt;SV_T,0,S201*(1+SV_oaRate)+IF(A202&gt;=SV_effStop,0,INDEX(SV_cpfOA,Q202)*INDEX(SV_cpfTot,Q202)*R202))</f>
        <v/>
      </c>
      <c r="T202" s="29">
        <f>IF(A202&gt;SV_T,0,T201*(1+SV_saRate)+IF(A202&gt;=SV_effStop,0,INDEX(SV_cpfSA,Q202)*INDEX(SV_cpfTot,Q202)*R202))</f>
        <v/>
      </c>
      <c r="U202" s="29">
        <f>IF(A202&gt;SV_T,0,U201*(1+SV_saRate)+IF(A202&gt;=SV_effStop,0,INDEX(SV_cpfMA,Q202)*INDEX(SV_cpfTot,Q202)*R202))</f>
        <v/>
      </c>
      <c r="V202" s="29">
        <f>IF(OR(OR(A202&lt;1,A202&gt;SV_T),A202&gt;=SV_effNeg),0,-(INDEX(SV_cpfOA,Q202)+INDEX(SV_cpfSA,Q202)+INDEX(SV_cpfMA,Q202))*INDEX(SV_cpfEmp,Q202)*R202)</f>
        <v/>
      </c>
      <c r="W202" s="29">
        <f>IF(A202&gt;=SV_sIdx,0,S202)</f>
        <v/>
      </c>
      <c r="X202" s="29">
        <f>IF(A202&gt;=SV_sIdx,0,T202)</f>
        <v/>
      </c>
      <c r="Y202" s="29">
        <f>IF(A202&gt;=SV_sIdx,MIN(U202,SV_maCap),U202)</f>
        <v/>
      </c>
      <c r="Z202" s="29">
        <f>IF(AND(SV_cpfOn,A202&gt;=SV_pIdx,A202&lt;=SV_T),12*SV_pay,0)</f>
        <v/>
      </c>
      <c r="AA202" s="29">
        <f>IF(A202&gt;SV_T,0,IF(SV_sp&gt;=0,IF(A202&lt;SV_sIdx,0,IF(A202=SV_sIdx,SV_R0,SV_lifeGrowth*AA201)),SV_lifeGrowth*AA201))</f>
        <v/>
      </c>
      <c r="AB202" s="29">
        <f>IF(A202&gt;SV_T,0,IF(AND(SV_sp&gt;=0,A202&lt;SV_sIdx),0,IF(AND(SV_sp&gt;=0,A202=SV_sIdx),SV_L0,SV_lifeGrowth*(AB201-Z202))))</f>
        <v/>
      </c>
      <c r="AC202" s="29">
        <f>W202+X202+AA202+Y202+IF(AA202&lt;0,0,AB202)</f>
        <v/>
      </c>
      <c r="AD202" s="29">
        <f>Z202+V202</f>
        <v/>
      </c>
      <c r="AE202" s="29">
        <f>IF(OR(A202&gt;SV_T,A202&gt;=SV_loanYears),0,MAX(0,AE201*(1+loanRate)-SV_inst))</f>
        <v/>
      </c>
      <c r="AF202" s="29">
        <f>IF(A202&gt;SV_T,0,AF201*(1+SV_savRate)+H202+I202+J202+K202+AD202)</f>
        <v/>
      </c>
      <c r="AG202" s="29">
        <f>IF(A202&gt;SV_T,0,MAX(0,N202+O202+P202+AC202+AF202-AE202))</f>
        <v/>
      </c>
      <c r="AH202" s="29">
        <f>IF(A202&gt;SV_T,0,N202+O202+AF202-MAX(0,AE202-(P202+AC202)))</f>
        <v/>
      </c>
      <c r="AI202" s="29">
        <f>IF(OR(OR(A202&lt;1,A202&gt;SV_T),A202-1&gt;=SV_retPay),0,SV_retMth*12+IF(A202=1,SV_retLump,0))</f>
        <v/>
      </c>
      <c r="AJ202" s="29">
        <f>IF(A202&gt;SV_T,0,(AJ201+AI202)*(1+investmentReturn))</f>
        <v/>
      </c>
      <c r="AK202" s="29">
        <f>IF(OR(OR(A202&lt;1,A202&gt;SV_T),A202-1&gt;=SV_goalPay),0,SV_goalMth*12+IF(A202=1,SV_goalLump,0))</f>
        <v/>
      </c>
      <c r="AL202" s="29">
        <f>IF(A202&gt;SV_T,0,(AL201+AK202)*(1+investmentReturn))</f>
        <v/>
      </c>
      <c r="AM202" s="29">
        <f>IF(OR(OR(A202&lt;1,A202&gt;SV_T),A202-1&gt;=SV_protPay),0,SV_protPrem)</f>
        <v/>
      </c>
      <c r="AN202" s="29">
        <f>IF(OR(A202=0,A202&gt;=SV_T),0,ROUND(MAX(0,AJ202),2)+ROUND(MAX(0,AL202),2))</f>
        <v/>
      </c>
      <c r="AO202" s="29">
        <f>IF(OR(A202&lt;1,A202&gt;SV_T),0,-(AI202+AK202+AM202)+IF(A202=SV_T,ROUND(MAX(0,AJ202),2)+ROUND(MAX(0,AL202),2),0))</f>
        <v/>
      </c>
      <c r="AP202" s="29">
        <f>IF(A202&gt;SV_T,0,AP201*(1+SV_savRate)+H202+I202+J202+K202+AD202+AO202)</f>
        <v/>
      </c>
      <c r="AQ202" s="29">
        <f>IF(A202&gt;SV_T,0,MAX(0,N202+O202+P202+AC202+AP202+AN202-AE202))</f>
        <v/>
      </c>
      <c r="AR202" s="29">
        <f>IF(A202&gt;SV_T,0,N202+O202+AP202+AN202-MAX(0,AE202-(P202+AC202)))</f>
        <v/>
      </c>
    </row>
    <row r="203">
      <c r="A203" s="61" t="n">
        <v>74</v>
      </c>
      <c r="B203" s="61">
        <f>SV_age+A203</f>
        <v/>
      </c>
      <c r="C203" s="61">
        <f>currentYear+A203</f>
        <v/>
      </c>
      <c r="D203" s="52">
        <f>A203&lt;=SV_T</f>
        <v/>
      </c>
      <c r="E203" s="60">
        <f>IF(AND(SV_inflOn,A203&gt;=SV_inflS,A203&lt;=SV_inflE),1+SV_inflRate,1+inflationRate)</f>
        <v/>
      </c>
      <c r="F203" s="60">
        <f>IF(A203&lt;=1,1,F202*E203)</f>
        <v/>
      </c>
      <c r="G203" s="60">
        <f>IF(AND(SV_incOn,A203&gt;=SV_incS,A203&lt;=SV_incE),1+SV_incImp,1)</f>
        <v/>
      </c>
      <c r="H203" s="29">
        <f>IF(OR(OR(A203&lt;1,A203&gt;SV_T),A203-1&gt;=SV_salCut),0,SV_sal0*(1+incomeGrowthRate)^(A203-1)*G203)</f>
        <v/>
      </c>
      <c r="I203" s="29">
        <f>IF(OR(A203&lt;1,A203&gt;SV_T),0,(-SV_exp0*F203-IF(A203&lt;=SV_loanYears,SV_inst,0)-IF(AND(SV_wdAmt&gt;0,A203=SV_wdYear),SV_wdAmt,0))*IF(AND(SV_expOn,A203&gt;=SV_expS,A203&lt;=SV_expE),1+SV_expImp,1))</f>
        <v/>
      </c>
      <c r="J203" s="29">
        <f>IF(OR(OR(A203&lt;1,A203&gt;SV_T),A203&gt;SV_loanYears),0,-SV_lifePremYr)</f>
        <v/>
      </c>
      <c r="K203" s="29">
        <f>IF(OR(A203&lt;1,A203&gt;SV_T),0,-SV_contrib)</f>
        <v/>
      </c>
      <c r="L203" s="60">
        <f>IF(AND(SV_crashOn,A203=SV_crashYr),SV_crashF,1)</f>
        <v/>
      </c>
      <c r="M203" s="60">
        <f>IF(AND(SV_ccyOn,A203=SV_ccyYr),SV_ccyF,1)</f>
        <v/>
      </c>
      <c r="N203" s="29">
        <f>IF(A203&gt;SV_T,0,N202*(1+interestRate)*L203*M203)</f>
        <v/>
      </c>
      <c r="O203" s="29">
        <f>IF(A203&gt;SV_T,0,(O202+SV_contrib)*(1+investmentReturn)*L203*M203)</f>
        <v/>
      </c>
      <c r="P203" s="29">
        <f>IF(A203&gt;SV_T,0,P202*(1+SV_propRate)*L203)</f>
        <v/>
      </c>
      <c r="Q203" s="46">
        <f>MATCH(SV_age+A203-1,SV_cpfLower,1)</f>
        <v/>
      </c>
      <c r="R203" s="29">
        <f>IF(OR(OR(A203&lt;1,A203&gt;SV_T),NOT(SV_cpfOn)),0,MIN(SV_sal0*(1+incomeGrowthRate)^(A203-1)*G203,SV_owCap))</f>
        <v/>
      </c>
      <c r="S203" s="29">
        <f>IF(A203&gt;SV_T,0,S202*(1+SV_oaRate)+IF(A203&gt;=SV_effStop,0,INDEX(SV_cpfOA,Q203)*INDEX(SV_cpfTot,Q203)*R203))</f>
        <v/>
      </c>
      <c r="T203" s="29">
        <f>IF(A203&gt;SV_T,0,T202*(1+SV_saRate)+IF(A203&gt;=SV_effStop,0,INDEX(SV_cpfSA,Q203)*INDEX(SV_cpfTot,Q203)*R203))</f>
        <v/>
      </c>
      <c r="U203" s="29">
        <f>IF(A203&gt;SV_T,0,U202*(1+SV_saRate)+IF(A203&gt;=SV_effStop,0,INDEX(SV_cpfMA,Q203)*INDEX(SV_cpfTot,Q203)*R203))</f>
        <v/>
      </c>
      <c r="V203" s="29">
        <f>IF(OR(OR(A203&lt;1,A203&gt;SV_T),A203&gt;=SV_effNeg),0,-(INDEX(SV_cpfOA,Q203)+INDEX(SV_cpfSA,Q203)+INDEX(SV_cpfMA,Q203))*INDEX(SV_cpfEmp,Q203)*R203)</f>
        <v/>
      </c>
      <c r="W203" s="29">
        <f>IF(A203&gt;=SV_sIdx,0,S203)</f>
        <v/>
      </c>
      <c r="X203" s="29">
        <f>IF(A203&gt;=SV_sIdx,0,T203)</f>
        <v/>
      </c>
      <c r="Y203" s="29">
        <f>IF(A203&gt;=SV_sIdx,MIN(U203,SV_maCap),U203)</f>
        <v/>
      </c>
      <c r="Z203" s="29">
        <f>IF(AND(SV_cpfOn,A203&gt;=SV_pIdx,A203&lt;=SV_T),12*SV_pay,0)</f>
        <v/>
      </c>
      <c r="AA203" s="29">
        <f>IF(A203&gt;SV_T,0,IF(SV_sp&gt;=0,IF(A203&lt;SV_sIdx,0,IF(A203=SV_sIdx,SV_R0,SV_lifeGrowth*AA202)),SV_lifeGrowth*AA202))</f>
        <v/>
      </c>
      <c r="AB203" s="29">
        <f>IF(A203&gt;SV_T,0,IF(AND(SV_sp&gt;=0,A203&lt;SV_sIdx),0,IF(AND(SV_sp&gt;=0,A203=SV_sIdx),SV_L0,SV_lifeGrowth*(AB202-Z203))))</f>
        <v/>
      </c>
      <c r="AC203" s="29">
        <f>W203+X203+AA203+Y203+IF(AA203&lt;0,0,AB203)</f>
        <v/>
      </c>
      <c r="AD203" s="29">
        <f>Z203+V203</f>
        <v/>
      </c>
      <c r="AE203" s="29">
        <f>IF(OR(A203&gt;SV_T,A203&gt;=SV_loanYears),0,MAX(0,AE202*(1+loanRate)-SV_inst))</f>
        <v/>
      </c>
      <c r="AF203" s="29">
        <f>IF(A203&gt;SV_T,0,AF202*(1+SV_savRate)+H203+I203+J203+K203+AD203)</f>
        <v/>
      </c>
      <c r="AG203" s="29">
        <f>IF(A203&gt;SV_T,0,MAX(0,N203+O203+P203+AC203+AF203-AE203))</f>
        <v/>
      </c>
      <c r="AH203" s="29">
        <f>IF(A203&gt;SV_T,0,N203+O203+AF203-MAX(0,AE203-(P203+AC203)))</f>
        <v/>
      </c>
      <c r="AI203" s="29">
        <f>IF(OR(OR(A203&lt;1,A203&gt;SV_T),A203-1&gt;=SV_retPay),0,SV_retMth*12+IF(A203=1,SV_retLump,0))</f>
        <v/>
      </c>
      <c r="AJ203" s="29">
        <f>IF(A203&gt;SV_T,0,(AJ202+AI203)*(1+investmentReturn))</f>
        <v/>
      </c>
      <c r="AK203" s="29">
        <f>IF(OR(OR(A203&lt;1,A203&gt;SV_T),A203-1&gt;=SV_goalPay),0,SV_goalMth*12+IF(A203=1,SV_goalLump,0))</f>
        <v/>
      </c>
      <c r="AL203" s="29">
        <f>IF(A203&gt;SV_T,0,(AL202+AK203)*(1+investmentReturn))</f>
        <v/>
      </c>
      <c r="AM203" s="29">
        <f>IF(OR(OR(A203&lt;1,A203&gt;SV_T),A203-1&gt;=SV_protPay),0,SV_protPrem)</f>
        <v/>
      </c>
      <c r="AN203" s="29">
        <f>IF(OR(A203=0,A203&gt;=SV_T),0,ROUND(MAX(0,AJ203),2)+ROUND(MAX(0,AL203),2))</f>
        <v/>
      </c>
      <c r="AO203" s="29">
        <f>IF(OR(A203&lt;1,A203&gt;SV_T),0,-(AI203+AK203+AM203)+IF(A203=SV_T,ROUND(MAX(0,AJ203),2)+ROUND(MAX(0,AL203),2),0))</f>
        <v/>
      </c>
      <c r="AP203" s="29">
        <f>IF(A203&gt;SV_T,0,AP202*(1+SV_savRate)+H203+I203+J203+K203+AD203+AO203)</f>
        <v/>
      </c>
      <c r="AQ203" s="29">
        <f>IF(A203&gt;SV_T,0,MAX(0,N203+O203+P203+AC203+AP203+AN203-AE203))</f>
        <v/>
      </c>
      <c r="AR203" s="29">
        <f>IF(A203&gt;SV_T,0,N203+O203+AP203+AN203-MAX(0,AE203-(P203+AC203)))</f>
        <v/>
      </c>
    </row>
    <row r="204">
      <c r="A204" s="61" t="n">
        <v>75</v>
      </c>
      <c r="B204" s="61">
        <f>SV_age+A204</f>
        <v/>
      </c>
      <c r="C204" s="61">
        <f>currentYear+A204</f>
        <v/>
      </c>
      <c r="D204" s="52">
        <f>A204&lt;=SV_T</f>
        <v/>
      </c>
      <c r="E204" s="60">
        <f>IF(AND(SV_inflOn,A204&gt;=SV_inflS,A204&lt;=SV_inflE),1+SV_inflRate,1+inflationRate)</f>
        <v/>
      </c>
      <c r="F204" s="60">
        <f>IF(A204&lt;=1,1,F203*E204)</f>
        <v/>
      </c>
      <c r="G204" s="60">
        <f>IF(AND(SV_incOn,A204&gt;=SV_incS,A204&lt;=SV_incE),1+SV_incImp,1)</f>
        <v/>
      </c>
      <c r="H204" s="29">
        <f>IF(OR(OR(A204&lt;1,A204&gt;SV_T),A204-1&gt;=SV_salCut),0,SV_sal0*(1+incomeGrowthRate)^(A204-1)*G204)</f>
        <v/>
      </c>
      <c r="I204" s="29">
        <f>IF(OR(A204&lt;1,A204&gt;SV_T),0,(-SV_exp0*F204-IF(A204&lt;=SV_loanYears,SV_inst,0)-IF(AND(SV_wdAmt&gt;0,A204=SV_wdYear),SV_wdAmt,0))*IF(AND(SV_expOn,A204&gt;=SV_expS,A204&lt;=SV_expE),1+SV_expImp,1))</f>
        <v/>
      </c>
      <c r="J204" s="29">
        <f>IF(OR(OR(A204&lt;1,A204&gt;SV_T),A204&gt;SV_loanYears),0,-SV_lifePremYr)</f>
        <v/>
      </c>
      <c r="K204" s="29">
        <f>IF(OR(A204&lt;1,A204&gt;SV_T),0,-SV_contrib)</f>
        <v/>
      </c>
      <c r="L204" s="60">
        <f>IF(AND(SV_crashOn,A204=SV_crashYr),SV_crashF,1)</f>
        <v/>
      </c>
      <c r="M204" s="60">
        <f>IF(AND(SV_ccyOn,A204=SV_ccyYr),SV_ccyF,1)</f>
        <v/>
      </c>
      <c r="N204" s="29">
        <f>IF(A204&gt;SV_T,0,N203*(1+interestRate)*L204*M204)</f>
        <v/>
      </c>
      <c r="O204" s="29">
        <f>IF(A204&gt;SV_T,0,(O203+SV_contrib)*(1+investmentReturn)*L204*M204)</f>
        <v/>
      </c>
      <c r="P204" s="29">
        <f>IF(A204&gt;SV_T,0,P203*(1+SV_propRate)*L204)</f>
        <v/>
      </c>
      <c r="Q204" s="46">
        <f>MATCH(SV_age+A204-1,SV_cpfLower,1)</f>
        <v/>
      </c>
      <c r="R204" s="29">
        <f>IF(OR(OR(A204&lt;1,A204&gt;SV_T),NOT(SV_cpfOn)),0,MIN(SV_sal0*(1+incomeGrowthRate)^(A204-1)*G204,SV_owCap))</f>
        <v/>
      </c>
      <c r="S204" s="29">
        <f>IF(A204&gt;SV_T,0,S203*(1+SV_oaRate)+IF(A204&gt;=SV_effStop,0,INDEX(SV_cpfOA,Q204)*INDEX(SV_cpfTot,Q204)*R204))</f>
        <v/>
      </c>
      <c r="T204" s="29">
        <f>IF(A204&gt;SV_T,0,T203*(1+SV_saRate)+IF(A204&gt;=SV_effStop,0,INDEX(SV_cpfSA,Q204)*INDEX(SV_cpfTot,Q204)*R204))</f>
        <v/>
      </c>
      <c r="U204" s="29">
        <f>IF(A204&gt;SV_T,0,U203*(1+SV_saRate)+IF(A204&gt;=SV_effStop,0,INDEX(SV_cpfMA,Q204)*INDEX(SV_cpfTot,Q204)*R204))</f>
        <v/>
      </c>
      <c r="V204" s="29">
        <f>IF(OR(OR(A204&lt;1,A204&gt;SV_T),A204&gt;=SV_effNeg),0,-(INDEX(SV_cpfOA,Q204)+INDEX(SV_cpfSA,Q204)+INDEX(SV_cpfMA,Q204))*INDEX(SV_cpfEmp,Q204)*R204)</f>
        <v/>
      </c>
      <c r="W204" s="29">
        <f>IF(A204&gt;=SV_sIdx,0,S204)</f>
        <v/>
      </c>
      <c r="X204" s="29">
        <f>IF(A204&gt;=SV_sIdx,0,T204)</f>
        <v/>
      </c>
      <c r="Y204" s="29">
        <f>IF(A204&gt;=SV_sIdx,MIN(U204,SV_maCap),U204)</f>
        <v/>
      </c>
      <c r="Z204" s="29">
        <f>IF(AND(SV_cpfOn,A204&gt;=SV_pIdx,A204&lt;=SV_T),12*SV_pay,0)</f>
        <v/>
      </c>
      <c r="AA204" s="29">
        <f>IF(A204&gt;SV_T,0,IF(SV_sp&gt;=0,IF(A204&lt;SV_sIdx,0,IF(A204=SV_sIdx,SV_R0,SV_lifeGrowth*AA203)),SV_lifeGrowth*AA203))</f>
        <v/>
      </c>
      <c r="AB204" s="29">
        <f>IF(A204&gt;SV_T,0,IF(AND(SV_sp&gt;=0,A204&lt;SV_sIdx),0,IF(AND(SV_sp&gt;=0,A204=SV_sIdx),SV_L0,SV_lifeGrowth*(AB203-Z204))))</f>
        <v/>
      </c>
      <c r="AC204" s="29">
        <f>W204+X204+AA204+Y204+IF(AA204&lt;0,0,AB204)</f>
        <v/>
      </c>
      <c r="AD204" s="29">
        <f>Z204+V204</f>
        <v/>
      </c>
      <c r="AE204" s="29">
        <f>IF(OR(A204&gt;SV_T,A204&gt;=SV_loanYears),0,MAX(0,AE203*(1+loanRate)-SV_inst))</f>
        <v/>
      </c>
      <c r="AF204" s="29">
        <f>IF(A204&gt;SV_T,0,AF203*(1+SV_savRate)+H204+I204+J204+K204+AD204)</f>
        <v/>
      </c>
      <c r="AG204" s="29">
        <f>IF(A204&gt;SV_T,0,MAX(0,N204+O204+P204+AC204+AF204-AE204))</f>
        <v/>
      </c>
      <c r="AH204" s="29">
        <f>IF(A204&gt;SV_T,0,N204+O204+AF204-MAX(0,AE204-(P204+AC204)))</f>
        <v/>
      </c>
      <c r="AI204" s="29">
        <f>IF(OR(OR(A204&lt;1,A204&gt;SV_T),A204-1&gt;=SV_retPay),0,SV_retMth*12+IF(A204=1,SV_retLump,0))</f>
        <v/>
      </c>
      <c r="AJ204" s="29">
        <f>IF(A204&gt;SV_T,0,(AJ203+AI204)*(1+investmentReturn))</f>
        <v/>
      </c>
      <c r="AK204" s="29">
        <f>IF(OR(OR(A204&lt;1,A204&gt;SV_T),A204-1&gt;=SV_goalPay),0,SV_goalMth*12+IF(A204=1,SV_goalLump,0))</f>
        <v/>
      </c>
      <c r="AL204" s="29">
        <f>IF(A204&gt;SV_T,0,(AL203+AK204)*(1+investmentReturn))</f>
        <v/>
      </c>
      <c r="AM204" s="29">
        <f>IF(OR(OR(A204&lt;1,A204&gt;SV_T),A204-1&gt;=SV_protPay),0,SV_protPrem)</f>
        <v/>
      </c>
      <c r="AN204" s="29">
        <f>IF(OR(A204=0,A204&gt;=SV_T),0,ROUND(MAX(0,AJ204),2)+ROUND(MAX(0,AL204),2))</f>
        <v/>
      </c>
      <c r="AO204" s="29">
        <f>IF(OR(A204&lt;1,A204&gt;SV_T),0,-(AI204+AK204+AM204)+IF(A204=SV_T,ROUND(MAX(0,AJ204),2)+ROUND(MAX(0,AL204),2),0))</f>
        <v/>
      </c>
      <c r="AP204" s="29">
        <f>IF(A204&gt;SV_T,0,AP203*(1+SV_savRate)+H204+I204+J204+K204+AD204+AO204)</f>
        <v/>
      </c>
      <c r="AQ204" s="29">
        <f>IF(A204&gt;SV_T,0,MAX(0,N204+O204+P204+AC204+AP204+AN204-AE204))</f>
        <v/>
      </c>
      <c r="AR204" s="29">
        <f>IF(A204&gt;SV_T,0,N204+O204+AP204+AN204-MAX(0,AE204-(P204+AC204)))</f>
        <v/>
      </c>
    </row>
    <row r="205">
      <c r="A205" s="61" t="n">
        <v>76</v>
      </c>
      <c r="B205" s="61">
        <f>SV_age+A205</f>
        <v/>
      </c>
      <c r="C205" s="61">
        <f>currentYear+A205</f>
        <v/>
      </c>
      <c r="D205" s="52">
        <f>A205&lt;=SV_T</f>
        <v/>
      </c>
      <c r="E205" s="60">
        <f>IF(AND(SV_inflOn,A205&gt;=SV_inflS,A205&lt;=SV_inflE),1+SV_inflRate,1+inflationRate)</f>
        <v/>
      </c>
      <c r="F205" s="60">
        <f>IF(A205&lt;=1,1,F204*E205)</f>
        <v/>
      </c>
      <c r="G205" s="60">
        <f>IF(AND(SV_incOn,A205&gt;=SV_incS,A205&lt;=SV_incE),1+SV_incImp,1)</f>
        <v/>
      </c>
      <c r="H205" s="29">
        <f>IF(OR(OR(A205&lt;1,A205&gt;SV_T),A205-1&gt;=SV_salCut),0,SV_sal0*(1+incomeGrowthRate)^(A205-1)*G205)</f>
        <v/>
      </c>
      <c r="I205" s="29">
        <f>IF(OR(A205&lt;1,A205&gt;SV_T),0,(-SV_exp0*F205-IF(A205&lt;=SV_loanYears,SV_inst,0)-IF(AND(SV_wdAmt&gt;0,A205=SV_wdYear),SV_wdAmt,0))*IF(AND(SV_expOn,A205&gt;=SV_expS,A205&lt;=SV_expE),1+SV_expImp,1))</f>
        <v/>
      </c>
      <c r="J205" s="29">
        <f>IF(OR(OR(A205&lt;1,A205&gt;SV_T),A205&gt;SV_loanYears),0,-SV_lifePremYr)</f>
        <v/>
      </c>
      <c r="K205" s="29">
        <f>IF(OR(A205&lt;1,A205&gt;SV_T),0,-SV_contrib)</f>
        <v/>
      </c>
      <c r="L205" s="60">
        <f>IF(AND(SV_crashOn,A205=SV_crashYr),SV_crashF,1)</f>
        <v/>
      </c>
      <c r="M205" s="60">
        <f>IF(AND(SV_ccyOn,A205=SV_ccyYr),SV_ccyF,1)</f>
        <v/>
      </c>
      <c r="N205" s="29">
        <f>IF(A205&gt;SV_T,0,N204*(1+interestRate)*L205*M205)</f>
        <v/>
      </c>
      <c r="O205" s="29">
        <f>IF(A205&gt;SV_T,0,(O204+SV_contrib)*(1+investmentReturn)*L205*M205)</f>
        <v/>
      </c>
      <c r="P205" s="29">
        <f>IF(A205&gt;SV_T,0,P204*(1+SV_propRate)*L205)</f>
        <v/>
      </c>
      <c r="Q205" s="46">
        <f>MATCH(SV_age+A205-1,SV_cpfLower,1)</f>
        <v/>
      </c>
      <c r="R205" s="29">
        <f>IF(OR(OR(A205&lt;1,A205&gt;SV_T),NOT(SV_cpfOn)),0,MIN(SV_sal0*(1+incomeGrowthRate)^(A205-1)*G205,SV_owCap))</f>
        <v/>
      </c>
      <c r="S205" s="29">
        <f>IF(A205&gt;SV_T,0,S204*(1+SV_oaRate)+IF(A205&gt;=SV_effStop,0,INDEX(SV_cpfOA,Q205)*INDEX(SV_cpfTot,Q205)*R205))</f>
        <v/>
      </c>
      <c r="T205" s="29">
        <f>IF(A205&gt;SV_T,0,T204*(1+SV_saRate)+IF(A205&gt;=SV_effStop,0,INDEX(SV_cpfSA,Q205)*INDEX(SV_cpfTot,Q205)*R205))</f>
        <v/>
      </c>
      <c r="U205" s="29">
        <f>IF(A205&gt;SV_T,0,U204*(1+SV_saRate)+IF(A205&gt;=SV_effStop,0,INDEX(SV_cpfMA,Q205)*INDEX(SV_cpfTot,Q205)*R205))</f>
        <v/>
      </c>
      <c r="V205" s="29">
        <f>IF(OR(OR(A205&lt;1,A205&gt;SV_T),A205&gt;=SV_effNeg),0,-(INDEX(SV_cpfOA,Q205)+INDEX(SV_cpfSA,Q205)+INDEX(SV_cpfMA,Q205))*INDEX(SV_cpfEmp,Q205)*R205)</f>
        <v/>
      </c>
      <c r="W205" s="29">
        <f>IF(A205&gt;=SV_sIdx,0,S205)</f>
        <v/>
      </c>
      <c r="X205" s="29">
        <f>IF(A205&gt;=SV_sIdx,0,T205)</f>
        <v/>
      </c>
      <c r="Y205" s="29">
        <f>IF(A205&gt;=SV_sIdx,MIN(U205,SV_maCap),U205)</f>
        <v/>
      </c>
      <c r="Z205" s="29">
        <f>IF(AND(SV_cpfOn,A205&gt;=SV_pIdx,A205&lt;=SV_T),12*SV_pay,0)</f>
        <v/>
      </c>
      <c r="AA205" s="29">
        <f>IF(A205&gt;SV_T,0,IF(SV_sp&gt;=0,IF(A205&lt;SV_sIdx,0,IF(A205=SV_sIdx,SV_R0,SV_lifeGrowth*AA204)),SV_lifeGrowth*AA204))</f>
        <v/>
      </c>
      <c r="AB205" s="29">
        <f>IF(A205&gt;SV_T,0,IF(AND(SV_sp&gt;=0,A205&lt;SV_sIdx),0,IF(AND(SV_sp&gt;=0,A205=SV_sIdx),SV_L0,SV_lifeGrowth*(AB204-Z205))))</f>
        <v/>
      </c>
      <c r="AC205" s="29">
        <f>W205+X205+AA205+Y205+IF(AA205&lt;0,0,AB205)</f>
        <v/>
      </c>
      <c r="AD205" s="29">
        <f>Z205+V205</f>
        <v/>
      </c>
      <c r="AE205" s="29">
        <f>IF(OR(A205&gt;SV_T,A205&gt;=SV_loanYears),0,MAX(0,AE204*(1+loanRate)-SV_inst))</f>
        <v/>
      </c>
      <c r="AF205" s="29">
        <f>IF(A205&gt;SV_T,0,AF204*(1+SV_savRate)+H205+I205+J205+K205+AD205)</f>
        <v/>
      </c>
      <c r="AG205" s="29">
        <f>IF(A205&gt;SV_T,0,MAX(0,N205+O205+P205+AC205+AF205-AE205))</f>
        <v/>
      </c>
      <c r="AH205" s="29">
        <f>IF(A205&gt;SV_T,0,N205+O205+AF205-MAX(0,AE205-(P205+AC205)))</f>
        <v/>
      </c>
      <c r="AI205" s="29">
        <f>IF(OR(OR(A205&lt;1,A205&gt;SV_T),A205-1&gt;=SV_retPay),0,SV_retMth*12+IF(A205=1,SV_retLump,0))</f>
        <v/>
      </c>
      <c r="AJ205" s="29">
        <f>IF(A205&gt;SV_T,0,(AJ204+AI205)*(1+investmentReturn))</f>
        <v/>
      </c>
      <c r="AK205" s="29">
        <f>IF(OR(OR(A205&lt;1,A205&gt;SV_T),A205-1&gt;=SV_goalPay),0,SV_goalMth*12+IF(A205=1,SV_goalLump,0))</f>
        <v/>
      </c>
      <c r="AL205" s="29">
        <f>IF(A205&gt;SV_T,0,(AL204+AK205)*(1+investmentReturn))</f>
        <v/>
      </c>
      <c r="AM205" s="29">
        <f>IF(OR(OR(A205&lt;1,A205&gt;SV_T),A205-1&gt;=SV_protPay),0,SV_protPrem)</f>
        <v/>
      </c>
      <c r="AN205" s="29">
        <f>IF(OR(A205=0,A205&gt;=SV_T),0,ROUND(MAX(0,AJ205),2)+ROUND(MAX(0,AL205),2))</f>
        <v/>
      </c>
      <c r="AO205" s="29">
        <f>IF(OR(A205&lt;1,A205&gt;SV_T),0,-(AI205+AK205+AM205)+IF(A205=SV_T,ROUND(MAX(0,AJ205),2)+ROUND(MAX(0,AL205),2),0))</f>
        <v/>
      </c>
      <c r="AP205" s="29">
        <f>IF(A205&gt;SV_T,0,AP204*(1+SV_savRate)+H205+I205+J205+K205+AD205+AO205)</f>
        <v/>
      </c>
      <c r="AQ205" s="29">
        <f>IF(A205&gt;SV_T,0,MAX(0,N205+O205+P205+AC205+AP205+AN205-AE205))</f>
        <v/>
      </c>
      <c r="AR205" s="29">
        <f>IF(A205&gt;SV_T,0,N205+O205+AP205+AN205-MAX(0,AE205-(P205+AC205)))</f>
        <v/>
      </c>
    </row>
    <row r="206">
      <c r="A206" s="61" t="n">
        <v>77</v>
      </c>
      <c r="B206" s="61">
        <f>SV_age+A206</f>
        <v/>
      </c>
      <c r="C206" s="61">
        <f>currentYear+A206</f>
        <v/>
      </c>
      <c r="D206" s="52">
        <f>A206&lt;=SV_T</f>
        <v/>
      </c>
      <c r="E206" s="60">
        <f>IF(AND(SV_inflOn,A206&gt;=SV_inflS,A206&lt;=SV_inflE),1+SV_inflRate,1+inflationRate)</f>
        <v/>
      </c>
      <c r="F206" s="60">
        <f>IF(A206&lt;=1,1,F205*E206)</f>
        <v/>
      </c>
      <c r="G206" s="60">
        <f>IF(AND(SV_incOn,A206&gt;=SV_incS,A206&lt;=SV_incE),1+SV_incImp,1)</f>
        <v/>
      </c>
      <c r="H206" s="29">
        <f>IF(OR(OR(A206&lt;1,A206&gt;SV_T),A206-1&gt;=SV_salCut),0,SV_sal0*(1+incomeGrowthRate)^(A206-1)*G206)</f>
        <v/>
      </c>
      <c r="I206" s="29">
        <f>IF(OR(A206&lt;1,A206&gt;SV_T),0,(-SV_exp0*F206-IF(A206&lt;=SV_loanYears,SV_inst,0)-IF(AND(SV_wdAmt&gt;0,A206=SV_wdYear),SV_wdAmt,0))*IF(AND(SV_expOn,A206&gt;=SV_expS,A206&lt;=SV_expE),1+SV_expImp,1))</f>
        <v/>
      </c>
      <c r="J206" s="29">
        <f>IF(OR(OR(A206&lt;1,A206&gt;SV_T),A206&gt;SV_loanYears),0,-SV_lifePremYr)</f>
        <v/>
      </c>
      <c r="K206" s="29">
        <f>IF(OR(A206&lt;1,A206&gt;SV_T),0,-SV_contrib)</f>
        <v/>
      </c>
      <c r="L206" s="60">
        <f>IF(AND(SV_crashOn,A206=SV_crashYr),SV_crashF,1)</f>
        <v/>
      </c>
      <c r="M206" s="60">
        <f>IF(AND(SV_ccyOn,A206=SV_ccyYr),SV_ccyF,1)</f>
        <v/>
      </c>
      <c r="N206" s="29">
        <f>IF(A206&gt;SV_T,0,N205*(1+interestRate)*L206*M206)</f>
        <v/>
      </c>
      <c r="O206" s="29">
        <f>IF(A206&gt;SV_T,0,(O205+SV_contrib)*(1+investmentReturn)*L206*M206)</f>
        <v/>
      </c>
      <c r="P206" s="29">
        <f>IF(A206&gt;SV_T,0,P205*(1+SV_propRate)*L206)</f>
        <v/>
      </c>
      <c r="Q206" s="46">
        <f>MATCH(SV_age+A206-1,SV_cpfLower,1)</f>
        <v/>
      </c>
      <c r="R206" s="29">
        <f>IF(OR(OR(A206&lt;1,A206&gt;SV_T),NOT(SV_cpfOn)),0,MIN(SV_sal0*(1+incomeGrowthRate)^(A206-1)*G206,SV_owCap))</f>
        <v/>
      </c>
      <c r="S206" s="29">
        <f>IF(A206&gt;SV_T,0,S205*(1+SV_oaRate)+IF(A206&gt;=SV_effStop,0,INDEX(SV_cpfOA,Q206)*INDEX(SV_cpfTot,Q206)*R206))</f>
        <v/>
      </c>
      <c r="T206" s="29">
        <f>IF(A206&gt;SV_T,0,T205*(1+SV_saRate)+IF(A206&gt;=SV_effStop,0,INDEX(SV_cpfSA,Q206)*INDEX(SV_cpfTot,Q206)*R206))</f>
        <v/>
      </c>
      <c r="U206" s="29">
        <f>IF(A206&gt;SV_T,0,U205*(1+SV_saRate)+IF(A206&gt;=SV_effStop,0,INDEX(SV_cpfMA,Q206)*INDEX(SV_cpfTot,Q206)*R206))</f>
        <v/>
      </c>
      <c r="V206" s="29">
        <f>IF(OR(OR(A206&lt;1,A206&gt;SV_T),A206&gt;=SV_effNeg),0,-(INDEX(SV_cpfOA,Q206)+INDEX(SV_cpfSA,Q206)+INDEX(SV_cpfMA,Q206))*INDEX(SV_cpfEmp,Q206)*R206)</f>
        <v/>
      </c>
      <c r="W206" s="29">
        <f>IF(A206&gt;=SV_sIdx,0,S206)</f>
        <v/>
      </c>
      <c r="X206" s="29">
        <f>IF(A206&gt;=SV_sIdx,0,T206)</f>
        <v/>
      </c>
      <c r="Y206" s="29">
        <f>IF(A206&gt;=SV_sIdx,MIN(U206,SV_maCap),U206)</f>
        <v/>
      </c>
      <c r="Z206" s="29">
        <f>IF(AND(SV_cpfOn,A206&gt;=SV_pIdx,A206&lt;=SV_T),12*SV_pay,0)</f>
        <v/>
      </c>
      <c r="AA206" s="29">
        <f>IF(A206&gt;SV_T,0,IF(SV_sp&gt;=0,IF(A206&lt;SV_sIdx,0,IF(A206=SV_sIdx,SV_R0,SV_lifeGrowth*AA205)),SV_lifeGrowth*AA205))</f>
        <v/>
      </c>
      <c r="AB206" s="29">
        <f>IF(A206&gt;SV_T,0,IF(AND(SV_sp&gt;=0,A206&lt;SV_sIdx),0,IF(AND(SV_sp&gt;=0,A206=SV_sIdx),SV_L0,SV_lifeGrowth*(AB205-Z206))))</f>
        <v/>
      </c>
      <c r="AC206" s="29">
        <f>W206+X206+AA206+Y206+IF(AA206&lt;0,0,AB206)</f>
        <v/>
      </c>
      <c r="AD206" s="29">
        <f>Z206+V206</f>
        <v/>
      </c>
      <c r="AE206" s="29">
        <f>IF(OR(A206&gt;SV_T,A206&gt;=SV_loanYears),0,MAX(0,AE205*(1+loanRate)-SV_inst))</f>
        <v/>
      </c>
      <c r="AF206" s="29">
        <f>IF(A206&gt;SV_T,0,AF205*(1+SV_savRate)+H206+I206+J206+K206+AD206)</f>
        <v/>
      </c>
      <c r="AG206" s="29">
        <f>IF(A206&gt;SV_T,0,MAX(0,N206+O206+P206+AC206+AF206-AE206))</f>
        <v/>
      </c>
      <c r="AH206" s="29">
        <f>IF(A206&gt;SV_T,0,N206+O206+AF206-MAX(0,AE206-(P206+AC206)))</f>
        <v/>
      </c>
      <c r="AI206" s="29">
        <f>IF(OR(OR(A206&lt;1,A206&gt;SV_T),A206-1&gt;=SV_retPay),0,SV_retMth*12+IF(A206=1,SV_retLump,0))</f>
        <v/>
      </c>
      <c r="AJ206" s="29">
        <f>IF(A206&gt;SV_T,0,(AJ205+AI206)*(1+investmentReturn))</f>
        <v/>
      </c>
      <c r="AK206" s="29">
        <f>IF(OR(OR(A206&lt;1,A206&gt;SV_T),A206-1&gt;=SV_goalPay),0,SV_goalMth*12+IF(A206=1,SV_goalLump,0))</f>
        <v/>
      </c>
      <c r="AL206" s="29">
        <f>IF(A206&gt;SV_T,0,(AL205+AK206)*(1+investmentReturn))</f>
        <v/>
      </c>
      <c r="AM206" s="29">
        <f>IF(OR(OR(A206&lt;1,A206&gt;SV_T),A206-1&gt;=SV_protPay),0,SV_protPrem)</f>
        <v/>
      </c>
      <c r="AN206" s="29">
        <f>IF(OR(A206=0,A206&gt;=SV_T),0,ROUND(MAX(0,AJ206),2)+ROUND(MAX(0,AL206),2))</f>
        <v/>
      </c>
      <c r="AO206" s="29">
        <f>IF(OR(A206&lt;1,A206&gt;SV_T),0,-(AI206+AK206+AM206)+IF(A206=SV_T,ROUND(MAX(0,AJ206),2)+ROUND(MAX(0,AL206),2),0))</f>
        <v/>
      </c>
      <c r="AP206" s="29">
        <f>IF(A206&gt;SV_T,0,AP205*(1+SV_savRate)+H206+I206+J206+K206+AD206+AO206)</f>
        <v/>
      </c>
      <c r="AQ206" s="29">
        <f>IF(A206&gt;SV_T,0,MAX(0,N206+O206+P206+AC206+AP206+AN206-AE206))</f>
        <v/>
      </c>
      <c r="AR206" s="29">
        <f>IF(A206&gt;SV_T,0,N206+O206+AP206+AN206-MAX(0,AE206-(P206+AC206)))</f>
        <v/>
      </c>
    </row>
    <row r="207">
      <c r="A207" s="61" t="n">
        <v>78</v>
      </c>
      <c r="B207" s="61">
        <f>SV_age+A207</f>
        <v/>
      </c>
      <c r="C207" s="61">
        <f>currentYear+A207</f>
        <v/>
      </c>
      <c r="D207" s="52">
        <f>A207&lt;=SV_T</f>
        <v/>
      </c>
      <c r="E207" s="60">
        <f>IF(AND(SV_inflOn,A207&gt;=SV_inflS,A207&lt;=SV_inflE),1+SV_inflRate,1+inflationRate)</f>
        <v/>
      </c>
      <c r="F207" s="60">
        <f>IF(A207&lt;=1,1,F206*E207)</f>
        <v/>
      </c>
      <c r="G207" s="60">
        <f>IF(AND(SV_incOn,A207&gt;=SV_incS,A207&lt;=SV_incE),1+SV_incImp,1)</f>
        <v/>
      </c>
      <c r="H207" s="29">
        <f>IF(OR(OR(A207&lt;1,A207&gt;SV_T),A207-1&gt;=SV_salCut),0,SV_sal0*(1+incomeGrowthRate)^(A207-1)*G207)</f>
        <v/>
      </c>
      <c r="I207" s="29">
        <f>IF(OR(A207&lt;1,A207&gt;SV_T),0,(-SV_exp0*F207-IF(A207&lt;=SV_loanYears,SV_inst,0)-IF(AND(SV_wdAmt&gt;0,A207=SV_wdYear),SV_wdAmt,0))*IF(AND(SV_expOn,A207&gt;=SV_expS,A207&lt;=SV_expE),1+SV_expImp,1))</f>
        <v/>
      </c>
      <c r="J207" s="29">
        <f>IF(OR(OR(A207&lt;1,A207&gt;SV_T),A207&gt;SV_loanYears),0,-SV_lifePremYr)</f>
        <v/>
      </c>
      <c r="K207" s="29">
        <f>IF(OR(A207&lt;1,A207&gt;SV_T),0,-SV_contrib)</f>
        <v/>
      </c>
      <c r="L207" s="60">
        <f>IF(AND(SV_crashOn,A207=SV_crashYr),SV_crashF,1)</f>
        <v/>
      </c>
      <c r="M207" s="60">
        <f>IF(AND(SV_ccyOn,A207=SV_ccyYr),SV_ccyF,1)</f>
        <v/>
      </c>
      <c r="N207" s="29">
        <f>IF(A207&gt;SV_T,0,N206*(1+interestRate)*L207*M207)</f>
        <v/>
      </c>
      <c r="O207" s="29">
        <f>IF(A207&gt;SV_T,0,(O206+SV_contrib)*(1+investmentReturn)*L207*M207)</f>
        <v/>
      </c>
      <c r="P207" s="29">
        <f>IF(A207&gt;SV_T,0,P206*(1+SV_propRate)*L207)</f>
        <v/>
      </c>
      <c r="Q207" s="46">
        <f>MATCH(SV_age+A207-1,SV_cpfLower,1)</f>
        <v/>
      </c>
      <c r="R207" s="29">
        <f>IF(OR(OR(A207&lt;1,A207&gt;SV_T),NOT(SV_cpfOn)),0,MIN(SV_sal0*(1+incomeGrowthRate)^(A207-1)*G207,SV_owCap))</f>
        <v/>
      </c>
      <c r="S207" s="29">
        <f>IF(A207&gt;SV_T,0,S206*(1+SV_oaRate)+IF(A207&gt;=SV_effStop,0,INDEX(SV_cpfOA,Q207)*INDEX(SV_cpfTot,Q207)*R207))</f>
        <v/>
      </c>
      <c r="T207" s="29">
        <f>IF(A207&gt;SV_T,0,T206*(1+SV_saRate)+IF(A207&gt;=SV_effStop,0,INDEX(SV_cpfSA,Q207)*INDEX(SV_cpfTot,Q207)*R207))</f>
        <v/>
      </c>
      <c r="U207" s="29">
        <f>IF(A207&gt;SV_T,0,U206*(1+SV_saRate)+IF(A207&gt;=SV_effStop,0,INDEX(SV_cpfMA,Q207)*INDEX(SV_cpfTot,Q207)*R207))</f>
        <v/>
      </c>
      <c r="V207" s="29">
        <f>IF(OR(OR(A207&lt;1,A207&gt;SV_T),A207&gt;=SV_effNeg),0,-(INDEX(SV_cpfOA,Q207)+INDEX(SV_cpfSA,Q207)+INDEX(SV_cpfMA,Q207))*INDEX(SV_cpfEmp,Q207)*R207)</f>
        <v/>
      </c>
      <c r="W207" s="29">
        <f>IF(A207&gt;=SV_sIdx,0,S207)</f>
        <v/>
      </c>
      <c r="X207" s="29">
        <f>IF(A207&gt;=SV_sIdx,0,T207)</f>
        <v/>
      </c>
      <c r="Y207" s="29">
        <f>IF(A207&gt;=SV_sIdx,MIN(U207,SV_maCap),U207)</f>
        <v/>
      </c>
      <c r="Z207" s="29">
        <f>IF(AND(SV_cpfOn,A207&gt;=SV_pIdx,A207&lt;=SV_T),12*SV_pay,0)</f>
        <v/>
      </c>
      <c r="AA207" s="29">
        <f>IF(A207&gt;SV_T,0,IF(SV_sp&gt;=0,IF(A207&lt;SV_sIdx,0,IF(A207=SV_sIdx,SV_R0,SV_lifeGrowth*AA206)),SV_lifeGrowth*AA206))</f>
        <v/>
      </c>
      <c r="AB207" s="29">
        <f>IF(A207&gt;SV_T,0,IF(AND(SV_sp&gt;=0,A207&lt;SV_sIdx),0,IF(AND(SV_sp&gt;=0,A207=SV_sIdx),SV_L0,SV_lifeGrowth*(AB206-Z207))))</f>
        <v/>
      </c>
      <c r="AC207" s="29">
        <f>W207+X207+AA207+Y207+IF(AA207&lt;0,0,AB207)</f>
        <v/>
      </c>
      <c r="AD207" s="29">
        <f>Z207+V207</f>
        <v/>
      </c>
      <c r="AE207" s="29">
        <f>IF(OR(A207&gt;SV_T,A207&gt;=SV_loanYears),0,MAX(0,AE206*(1+loanRate)-SV_inst))</f>
        <v/>
      </c>
      <c r="AF207" s="29">
        <f>IF(A207&gt;SV_T,0,AF206*(1+SV_savRate)+H207+I207+J207+K207+AD207)</f>
        <v/>
      </c>
      <c r="AG207" s="29">
        <f>IF(A207&gt;SV_T,0,MAX(0,N207+O207+P207+AC207+AF207-AE207))</f>
        <v/>
      </c>
      <c r="AH207" s="29">
        <f>IF(A207&gt;SV_T,0,N207+O207+AF207-MAX(0,AE207-(P207+AC207)))</f>
        <v/>
      </c>
      <c r="AI207" s="29">
        <f>IF(OR(OR(A207&lt;1,A207&gt;SV_T),A207-1&gt;=SV_retPay),0,SV_retMth*12+IF(A207=1,SV_retLump,0))</f>
        <v/>
      </c>
      <c r="AJ207" s="29">
        <f>IF(A207&gt;SV_T,0,(AJ206+AI207)*(1+investmentReturn))</f>
        <v/>
      </c>
      <c r="AK207" s="29">
        <f>IF(OR(OR(A207&lt;1,A207&gt;SV_T),A207-1&gt;=SV_goalPay),0,SV_goalMth*12+IF(A207=1,SV_goalLump,0))</f>
        <v/>
      </c>
      <c r="AL207" s="29">
        <f>IF(A207&gt;SV_T,0,(AL206+AK207)*(1+investmentReturn))</f>
        <v/>
      </c>
      <c r="AM207" s="29">
        <f>IF(OR(OR(A207&lt;1,A207&gt;SV_T),A207-1&gt;=SV_protPay),0,SV_protPrem)</f>
        <v/>
      </c>
      <c r="AN207" s="29">
        <f>IF(OR(A207=0,A207&gt;=SV_T),0,ROUND(MAX(0,AJ207),2)+ROUND(MAX(0,AL207),2))</f>
        <v/>
      </c>
      <c r="AO207" s="29">
        <f>IF(OR(A207&lt;1,A207&gt;SV_T),0,-(AI207+AK207+AM207)+IF(A207=SV_T,ROUND(MAX(0,AJ207),2)+ROUND(MAX(0,AL207),2),0))</f>
        <v/>
      </c>
      <c r="AP207" s="29">
        <f>IF(A207&gt;SV_T,0,AP206*(1+SV_savRate)+H207+I207+J207+K207+AD207+AO207)</f>
        <v/>
      </c>
      <c r="AQ207" s="29">
        <f>IF(A207&gt;SV_T,0,MAX(0,N207+O207+P207+AC207+AP207+AN207-AE207))</f>
        <v/>
      </c>
      <c r="AR207" s="29">
        <f>IF(A207&gt;SV_T,0,N207+O207+AP207+AN207-MAX(0,AE207-(P207+AC207)))</f>
        <v/>
      </c>
    </row>
    <row r="208">
      <c r="A208" s="61" t="n">
        <v>79</v>
      </c>
      <c r="B208" s="61">
        <f>SV_age+A208</f>
        <v/>
      </c>
      <c r="C208" s="61">
        <f>currentYear+A208</f>
        <v/>
      </c>
      <c r="D208" s="52">
        <f>A208&lt;=SV_T</f>
        <v/>
      </c>
      <c r="E208" s="60">
        <f>IF(AND(SV_inflOn,A208&gt;=SV_inflS,A208&lt;=SV_inflE),1+SV_inflRate,1+inflationRate)</f>
        <v/>
      </c>
      <c r="F208" s="60">
        <f>IF(A208&lt;=1,1,F207*E208)</f>
        <v/>
      </c>
      <c r="G208" s="60">
        <f>IF(AND(SV_incOn,A208&gt;=SV_incS,A208&lt;=SV_incE),1+SV_incImp,1)</f>
        <v/>
      </c>
      <c r="H208" s="29">
        <f>IF(OR(OR(A208&lt;1,A208&gt;SV_T),A208-1&gt;=SV_salCut),0,SV_sal0*(1+incomeGrowthRate)^(A208-1)*G208)</f>
        <v/>
      </c>
      <c r="I208" s="29">
        <f>IF(OR(A208&lt;1,A208&gt;SV_T),0,(-SV_exp0*F208-IF(A208&lt;=SV_loanYears,SV_inst,0)-IF(AND(SV_wdAmt&gt;0,A208=SV_wdYear),SV_wdAmt,0))*IF(AND(SV_expOn,A208&gt;=SV_expS,A208&lt;=SV_expE),1+SV_expImp,1))</f>
        <v/>
      </c>
      <c r="J208" s="29">
        <f>IF(OR(OR(A208&lt;1,A208&gt;SV_T),A208&gt;SV_loanYears),0,-SV_lifePremYr)</f>
        <v/>
      </c>
      <c r="K208" s="29">
        <f>IF(OR(A208&lt;1,A208&gt;SV_T),0,-SV_contrib)</f>
        <v/>
      </c>
      <c r="L208" s="60">
        <f>IF(AND(SV_crashOn,A208=SV_crashYr),SV_crashF,1)</f>
        <v/>
      </c>
      <c r="M208" s="60">
        <f>IF(AND(SV_ccyOn,A208=SV_ccyYr),SV_ccyF,1)</f>
        <v/>
      </c>
      <c r="N208" s="29">
        <f>IF(A208&gt;SV_T,0,N207*(1+interestRate)*L208*M208)</f>
        <v/>
      </c>
      <c r="O208" s="29">
        <f>IF(A208&gt;SV_T,0,(O207+SV_contrib)*(1+investmentReturn)*L208*M208)</f>
        <v/>
      </c>
      <c r="P208" s="29">
        <f>IF(A208&gt;SV_T,0,P207*(1+SV_propRate)*L208)</f>
        <v/>
      </c>
      <c r="Q208" s="46">
        <f>MATCH(SV_age+A208-1,SV_cpfLower,1)</f>
        <v/>
      </c>
      <c r="R208" s="29">
        <f>IF(OR(OR(A208&lt;1,A208&gt;SV_T),NOT(SV_cpfOn)),0,MIN(SV_sal0*(1+incomeGrowthRate)^(A208-1)*G208,SV_owCap))</f>
        <v/>
      </c>
      <c r="S208" s="29">
        <f>IF(A208&gt;SV_T,0,S207*(1+SV_oaRate)+IF(A208&gt;=SV_effStop,0,INDEX(SV_cpfOA,Q208)*INDEX(SV_cpfTot,Q208)*R208))</f>
        <v/>
      </c>
      <c r="T208" s="29">
        <f>IF(A208&gt;SV_T,0,T207*(1+SV_saRate)+IF(A208&gt;=SV_effStop,0,INDEX(SV_cpfSA,Q208)*INDEX(SV_cpfTot,Q208)*R208))</f>
        <v/>
      </c>
      <c r="U208" s="29">
        <f>IF(A208&gt;SV_T,0,U207*(1+SV_saRate)+IF(A208&gt;=SV_effStop,0,INDEX(SV_cpfMA,Q208)*INDEX(SV_cpfTot,Q208)*R208))</f>
        <v/>
      </c>
      <c r="V208" s="29">
        <f>IF(OR(OR(A208&lt;1,A208&gt;SV_T),A208&gt;=SV_effNeg),0,-(INDEX(SV_cpfOA,Q208)+INDEX(SV_cpfSA,Q208)+INDEX(SV_cpfMA,Q208))*INDEX(SV_cpfEmp,Q208)*R208)</f>
        <v/>
      </c>
      <c r="W208" s="29">
        <f>IF(A208&gt;=SV_sIdx,0,S208)</f>
        <v/>
      </c>
      <c r="X208" s="29">
        <f>IF(A208&gt;=SV_sIdx,0,T208)</f>
        <v/>
      </c>
      <c r="Y208" s="29">
        <f>IF(A208&gt;=SV_sIdx,MIN(U208,SV_maCap),U208)</f>
        <v/>
      </c>
      <c r="Z208" s="29">
        <f>IF(AND(SV_cpfOn,A208&gt;=SV_pIdx,A208&lt;=SV_T),12*SV_pay,0)</f>
        <v/>
      </c>
      <c r="AA208" s="29">
        <f>IF(A208&gt;SV_T,0,IF(SV_sp&gt;=0,IF(A208&lt;SV_sIdx,0,IF(A208=SV_sIdx,SV_R0,SV_lifeGrowth*AA207)),SV_lifeGrowth*AA207))</f>
        <v/>
      </c>
      <c r="AB208" s="29">
        <f>IF(A208&gt;SV_T,0,IF(AND(SV_sp&gt;=0,A208&lt;SV_sIdx),0,IF(AND(SV_sp&gt;=0,A208=SV_sIdx),SV_L0,SV_lifeGrowth*(AB207-Z208))))</f>
        <v/>
      </c>
      <c r="AC208" s="29">
        <f>W208+X208+AA208+Y208+IF(AA208&lt;0,0,AB208)</f>
        <v/>
      </c>
      <c r="AD208" s="29">
        <f>Z208+V208</f>
        <v/>
      </c>
      <c r="AE208" s="29">
        <f>IF(OR(A208&gt;SV_T,A208&gt;=SV_loanYears),0,MAX(0,AE207*(1+loanRate)-SV_inst))</f>
        <v/>
      </c>
      <c r="AF208" s="29">
        <f>IF(A208&gt;SV_T,0,AF207*(1+SV_savRate)+H208+I208+J208+K208+AD208)</f>
        <v/>
      </c>
      <c r="AG208" s="29">
        <f>IF(A208&gt;SV_T,0,MAX(0,N208+O208+P208+AC208+AF208-AE208))</f>
        <v/>
      </c>
      <c r="AH208" s="29">
        <f>IF(A208&gt;SV_T,0,N208+O208+AF208-MAX(0,AE208-(P208+AC208)))</f>
        <v/>
      </c>
      <c r="AI208" s="29">
        <f>IF(OR(OR(A208&lt;1,A208&gt;SV_T),A208-1&gt;=SV_retPay),0,SV_retMth*12+IF(A208=1,SV_retLump,0))</f>
        <v/>
      </c>
      <c r="AJ208" s="29">
        <f>IF(A208&gt;SV_T,0,(AJ207+AI208)*(1+investmentReturn))</f>
        <v/>
      </c>
      <c r="AK208" s="29">
        <f>IF(OR(OR(A208&lt;1,A208&gt;SV_T),A208-1&gt;=SV_goalPay),0,SV_goalMth*12+IF(A208=1,SV_goalLump,0))</f>
        <v/>
      </c>
      <c r="AL208" s="29">
        <f>IF(A208&gt;SV_T,0,(AL207+AK208)*(1+investmentReturn))</f>
        <v/>
      </c>
      <c r="AM208" s="29">
        <f>IF(OR(OR(A208&lt;1,A208&gt;SV_T),A208-1&gt;=SV_protPay),0,SV_protPrem)</f>
        <v/>
      </c>
      <c r="AN208" s="29">
        <f>IF(OR(A208=0,A208&gt;=SV_T),0,ROUND(MAX(0,AJ208),2)+ROUND(MAX(0,AL208),2))</f>
        <v/>
      </c>
      <c r="AO208" s="29">
        <f>IF(OR(A208&lt;1,A208&gt;SV_T),0,-(AI208+AK208+AM208)+IF(A208=SV_T,ROUND(MAX(0,AJ208),2)+ROUND(MAX(0,AL208),2),0))</f>
        <v/>
      </c>
      <c r="AP208" s="29">
        <f>IF(A208&gt;SV_T,0,AP207*(1+SV_savRate)+H208+I208+J208+K208+AD208+AO208)</f>
        <v/>
      </c>
      <c r="AQ208" s="29">
        <f>IF(A208&gt;SV_T,0,MAX(0,N208+O208+P208+AC208+AP208+AN208-AE208))</f>
        <v/>
      </c>
      <c r="AR208" s="29">
        <f>IF(A208&gt;SV_T,0,N208+O208+AP208+AN208-MAX(0,AE208-(P208+AC208)))</f>
        <v/>
      </c>
    </row>
    <row r="209">
      <c r="A209" s="61" t="n">
        <v>80</v>
      </c>
      <c r="B209" s="61">
        <f>SV_age+A209</f>
        <v/>
      </c>
      <c r="C209" s="61">
        <f>currentYear+A209</f>
        <v/>
      </c>
      <c r="D209" s="52">
        <f>A209&lt;=SV_T</f>
        <v/>
      </c>
      <c r="E209" s="60">
        <f>IF(AND(SV_inflOn,A209&gt;=SV_inflS,A209&lt;=SV_inflE),1+SV_inflRate,1+inflationRate)</f>
        <v/>
      </c>
      <c r="F209" s="60">
        <f>IF(A209&lt;=1,1,F208*E209)</f>
        <v/>
      </c>
      <c r="G209" s="60">
        <f>IF(AND(SV_incOn,A209&gt;=SV_incS,A209&lt;=SV_incE),1+SV_incImp,1)</f>
        <v/>
      </c>
      <c r="H209" s="29">
        <f>IF(OR(OR(A209&lt;1,A209&gt;SV_T),A209-1&gt;=SV_salCut),0,SV_sal0*(1+incomeGrowthRate)^(A209-1)*G209)</f>
        <v/>
      </c>
      <c r="I209" s="29">
        <f>IF(OR(A209&lt;1,A209&gt;SV_T),0,(-SV_exp0*F209-IF(A209&lt;=SV_loanYears,SV_inst,0)-IF(AND(SV_wdAmt&gt;0,A209=SV_wdYear),SV_wdAmt,0))*IF(AND(SV_expOn,A209&gt;=SV_expS,A209&lt;=SV_expE),1+SV_expImp,1))</f>
        <v/>
      </c>
      <c r="J209" s="29">
        <f>IF(OR(OR(A209&lt;1,A209&gt;SV_T),A209&gt;SV_loanYears),0,-SV_lifePremYr)</f>
        <v/>
      </c>
      <c r="K209" s="29">
        <f>IF(OR(A209&lt;1,A209&gt;SV_T),0,-SV_contrib)</f>
        <v/>
      </c>
      <c r="L209" s="60">
        <f>IF(AND(SV_crashOn,A209=SV_crashYr),SV_crashF,1)</f>
        <v/>
      </c>
      <c r="M209" s="60">
        <f>IF(AND(SV_ccyOn,A209=SV_ccyYr),SV_ccyF,1)</f>
        <v/>
      </c>
      <c r="N209" s="29">
        <f>IF(A209&gt;SV_T,0,N208*(1+interestRate)*L209*M209)</f>
        <v/>
      </c>
      <c r="O209" s="29">
        <f>IF(A209&gt;SV_T,0,(O208+SV_contrib)*(1+investmentReturn)*L209*M209)</f>
        <v/>
      </c>
      <c r="P209" s="29">
        <f>IF(A209&gt;SV_T,0,P208*(1+SV_propRate)*L209)</f>
        <v/>
      </c>
      <c r="Q209" s="46">
        <f>MATCH(SV_age+A209-1,SV_cpfLower,1)</f>
        <v/>
      </c>
      <c r="R209" s="29">
        <f>IF(OR(OR(A209&lt;1,A209&gt;SV_T),NOT(SV_cpfOn)),0,MIN(SV_sal0*(1+incomeGrowthRate)^(A209-1)*G209,SV_owCap))</f>
        <v/>
      </c>
      <c r="S209" s="29">
        <f>IF(A209&gt;SV_T,0,S208*(1+SV_oaRate)+IF(A209&gt;=SV_effStop,0,INDEX(SV_cpfOA,Q209)*INDEX(SV_cpfTot,Q209)*R209))</f>
        <v/>
      </c>
      <c r="T209" s="29">
        <f>IF(A209&gt;SV_T,0,T208*(1+SV_saRate)+IF(A209&gt;=SV_effStop,0,INDEX(SV_cpfSA,Q209)*INDEX(SV_cpfTot,Q209)*R209))</f>
        <v/>
      </c>
      <c r="U209" s="29">
        <f>IF(A209&gt;SV_T,0,U208*(1+SV_saRate)+IF(A209&gt;=SV_effStop,0,INDEX(SV_cpfMA,Q209)*INDEX(SV_cpfTot,Q209)*R209))</f>
        <v/>
      </c>
      <c r="V209" s="29">
        <f>IF(OR(OR(A209&lt;1,A209&gt;SV_T),A209&gt;=SV_effNeg),0,-(INDEX(SV_cpfOA,Q209)+INDEX(SV_cpfSA,Q209)+INDEX(SV_cpfMA,Q209))*INDEX(SV_cpfEmp,Q209)*R209)</f>
        <v/>
      </c>
      <c r="W209" s="29">
        <f>IF(A209&gt;=SV_sIdx,0,S209)</f>
        <v/>
      </c>
      <c r="X209" s="29">
        <f>IF(A209&gt;=SV_sIdx,0,T209)</f>
        <v/>
      </c>
      <c r="Y209" s="29">
        <f>IF(A209&gt;=SV_sIdx,MIN(U209,SV_maCap),U209)</f>
        <v/>
      </c>
      <c r="Z209" s="29">
        <f>IF(AND(SV_cpfOn,A209&gt;=SV_pIdx,A209&lt;=SV_T),12*SV_pay,0)</f>
        <v/>
      </c>
      <c r="AA209" s="29">
        <f>IF(A209&gt;SV_T,0,IF(SV_sp&gt;=0,IF(A209&lt;SV_sIdx,0,IF(A209=SV_sIdx,SV_R0,SV_lifeGrowth*AA208)),SV_lifeGrowth*AA208))</f>
        <v/>
      </c>
      <c r="AB209" s="29">
        <f>IF(A209&gt;SV_T,0,IF(AND(SV_sp&gt;=0,A209&lt;SV_sIdx),0,IF(AND(SV_sp&gt;=0,A209=SV_sIdx),SV_L0,SV_lifeGrowth*(AB208-Z209))))</f>
        <v/>
      </c>
      <c r="AC209" s="29">
        <f>W209+X209+AA209+Y209+IF(AA209&lt;0,0,AB209)</f>
        <v/>
      </c>
      <c r="AD209" s="29">
        <f>Z209+V209</f>
        <v/>
      </c>
      <c r="AE209" s="29">
        <f>IF(OR(A209&gt;SV_T,A209&gt;=SV_loanYears),0,MAX(0,AE208*(1+loanRate)-SV_inst))</f>
        <v/>
      </c>
      <c r="AF209" s="29">
        <f>IF(A209&gt;SV_T,0,AF208*(1+SV_savRate)+H209+I209+J209+K209+AD209)</f>
        <v/>
      </c>
      <c r="AG209" s="29">
        <f>IF(A209&gt;SV_T,0,MAX(0,N209+O209+P209+AC209+AF209-AE209))</f>
        <v/>
      </c>
      <c r="AH209" s="29">
        <f>IF(A209&gt;SV_T,0,N209+O209+AF209-MAX(0,AE209-(P209+AC209)))</f>
        <v/>
      </c>
      <c r="AI209" s="29">
        <f>IF(OR(OR(A209&lt;1,A209&gt;SV_T),A209-1&gt;=SV_retPay),0,SV_retMth*12+IF(A209=1,SV_retLump,0))</f>
        <v/>
      </c>
      <c r="AJ209" s="29">
        <f>IF(A209&gt;SV_T,0,(AJ208+AI209)*(1+investmentReturn))</f>
        <v/>
      </c>
      <c r="AK209" s="29">
        <f>IF(OR(OR(A209&lt;1,A209&gt;SV_T),A209-1&gt;=SV_goalPay),0,SV_goalMth*12+IF(A209=1,SV_goalLump,0))</f>
        <v/>
      </c>
      <c r="AL209" s="29">
        <f>IF(A209&gt;SV_T,0,(AL208+AK209)*(1+investmentReturn))</f>
        <v/>
      </c>
      <c r="AM209" s="29">
        <f>IF(OR(OR(A209&lt;1,A209&gt;SV_T),A209-1&gt;=SV_protPay),0,SV_protPrem)</f>
        <v/>
      </c>
      <c r="AN209" s="29">
        <f>IF(OR(A209=0,A209&gt;=SV_T),0,ROUND(MAX(0,AJ209),2)+ROUND(MAX(0,AL209),2))</f>
        <v/>
      </c>
      <c r="AO209" s="29">
        <f>IF(OR(A209&lt;1,A209&gt;SV_T),0,-(AI209+AK209+AM209)+IF(A209=SV_T,ROUND(MAX(0,AJ209),2)+ROUND(MAX(0,AL209),2),0))</f>
        <v/>
      </c>
      <c r="AP209" s="29">
        <f>IF(A209&gt;SV_T,0,AP208*(1+SV_savRate)+H209+I209+J209+K209+AD209+AO209)</f>
        <v/>
      </c>
      <c r="AQ209" s="29">
        <f>IF(A209&gt;SV_T,0,MAX(0,N209+O209+P209+AC209+AP209+AN209-AE209))</f>
        <v/>
      </c>
      <c r="AR209" s="29">
        <f>IF(A209&gt;SV_T,0,N209+O209+AP209+AN209-MAX(0,AE209-(P209+AC209)))</f>
        <v/>
      </c>
    </row>
    <row r="210">
      <c r="A210" s="61" t="n">
        <v>81</v>
      </c>
      <c r="B210" s="61">
        <f>SV_age+A210</f>
        <v/>
      </c>
      <c r="C210" s="61">
        <f>currentYear+A210</f>
        <v/>
      </c>
      <c r="D210" s="52">
        <f>A210&lt;=SV_T</f>
        <v/>
      </c>
      <c r="E210" s="60">
        <f>IF(AND(SV_inflOn,A210&gt;=SV_inflS,A210&lt;=SV_inflE),1+SV_inflRate,1+inflationRate)</f>
        <v/>
      </c>
      <c r="F210" s="60">
        <f>IF(A210&lt;=1,1,F209*E210)</f>
        <v/>
      </c>
      <c r="G210" s="60">
        <f>IF(AND(SV_incOn,A210&gt;=SV_incS,A210&lt;=SV_incE),1+SV_incImp,1)</f>
        <v/>
      </c>
      <c r="H210" s="29">
        <f>IF(OR(OR(A210&lt;1,A210&gt;SV_T),A210-1&gt;=SV_salCut),0,SV_sal0*(1+incomeGrowthRate)^(A210-1)*G210)</f>
        <v/>
      </c>
      <c r="I210" s="29">
        <f>IF(OR(A210&lt;1,A210&gt;SV_T),0,(-SV_exp0*F210-IF(A210&lt;=SV_loanYears,SV_inst,0)-IF(AND(SV_wdAmt&gt;0,A210=SV_wdYear),SV_wdAmt,0))*IF(AND(SV_expOn,A210&gt;=SV_expS,A210&lt;=SV_expE),1+SV_expImp,1))</f>
        <v/>
      </c>
      <c r="J210" s="29">
        <f>IF(OR(OR(A210&lt;1,A210&gt;SV_T),A210&gt;SV_loanYears),0,-SV_lifePremYr)</f>
        <v/>
      </c>
      <c r="K210" s="29">
        <f>IF(OR(A210&lt;1,A210&gt;SV_T),0,-SV_contrib)</f>
        <v/>
      </c>
      <c r="L210" s="60">
        <f>IF(AND(SV_crashOn,A210=SV_crashYr),SV_crashF,1)</f>
        <v/>
      </c>
      <c r="M210" s="60">
        <f>IF(AND(SV_ccyOn,A210=SV_ccyYr),SV_ccyF,1)</f>
        <v/>
      </c>
      <c r="N210" s="29">
        <f>IF(A210&gt;SV_T,0,N209*(1+interestRate)*L210*M210)</f>
        <v/>
      </c>
      <c r="O210" s="29">
        <f>IF(A210&gt;SV_T,0,(O209+SV_contrib)*(1+investmentReturn)*L210*M210)</f>
        <v/>
      </c>
      <c r="P210" s="29">
        <f>IF(A210&gt;SV_T,0,P209*(1+SV_propRate)*L210)</f>
        <v/>
      </c>
      <c r="Q210" s="46">
        <f>MATCH(SV_age+A210-1,SV_cpfLower,1)</f>
        <v/>
      </c>
      <c r="R210" s="29">
        <f>IF(OR(OR(A210&lt;1,A210&gt;SV_T),NOT(SV_cpfOn)),0,MIN(SV_sal0*(1+incomeGrowthRate)^(A210-1)*G210,SV_owCap))</f>
        <v/>
      </c>
      <c r="S210" s="29">
        <f>IF(A210&gt;SV_T,0,S209*(1+SV_oaRate)+IF(A210&gt;=SV_effStop,0,INDEX(SV_cpfOA,Q210)*INDEX(SV_cpfTot,Q210)*R210))</f>
        <v/>
      </c>
      <c r="T210" s="29">
        <f>IF(A210&gt;SV_T,0,T209*(1+SV_saRate)+IF(A210&gt;=SV_effStop,0,INDEX(SV_cpfSA,Q210)*INDEX(SV_cpfTot,Q210)*R210))</f>
        <v/>
      </c>
      <c r="U210" s="29">
        <f>IF(A210&gt;SV_T,0,U209*(1+SV_saRate)+IF(A210&gt;=SV_effStop,0,INDEX(SV_cpfMA,Q210)*INDEX(SV_cpfTot,Q210)*R210))</f>
        <v/>
      </c>
      <c r="V210" s="29">
        <f>IF(OR(OR(A210&lt;1,A210&gt;SV_T),A210&gt;=SV_effNeg),0,-(INDEX(SV_cpfOA,Q210)+INDEX(SV_cpfSA,Q210)+INDEX(SV_cpfMA,Q210))*INDEX(SV_cpfEmp,Q210)*R210)</f>
        <v/>
      </c>
      <c r="W210" s="29">
        <f>IF(A210&gt;=SV_sIdx,0,S210)</f>
        <v/>
      </c>
      <c r="X210" s="29">
        <f>IF(A210&gt;=SV_sIdx,0,T210)</f>
        <v/>
      </c>
      <c r="Y210" s="29">
        <f>IF(A210&gt;=SV_sIdx,MIN(U210,SV_maCap),U210)</f>
        <v/>
      </c>
      <c r="Z210" s="29">
        <f>IF(AND(SV_cpfOn,A210&gt;=SV_pIdx,A210&lt;=SV_T),12*SV_pay,0)</f>
        <v/>
      </c>
      <c r="AA210" s="29">
        <f>IF(A210&gt;SV_T,0,IF(SV_sp&gt;=0,IF(A210&lt;SV_sIdx,0,IF(A210=SV_sIdx,SV_R0,SV_lifeGrowth*AA209)),SV_lifeGrowth*AA209))</f>
        <v/>
      </c>
      <c r="AB210" s="29">
        <f>IF(A210&gt;SV_T,0,IF(AND(SV_sp&gt;=0,A210&lt;SV_sIdx),0,IF(AND(SV_sp&gt;=0,A210=SV_sIdx),SV_L0,SV_lifeGrowth*(AB209-Z210))))</f>
        <v/>
      </c>
      <c r="AC210" s="29">
        <f>W210+X210+AA210+Y210+IF(AA210&lt;0,0,AB210)</f>
        <v/>
      </c>
      <c r="AD210" s="29">
        <f>Z210+V210</f>
        <v/>
      </c>
      <c r="AE210" s="29">
        <f>IF(OR(A210&gt;SV_T,A210&gt;=SV_loanYears),0,MAX(0,AE209*(1+loanRate)-SV_inst))</f>
        <v/>
      </c>
      <c r="AF210" s="29">
        <f>IF(A210&gt;SV_T,0,AF209*(1+SV_savRate)+H210+I210+J210+K210+AD210)</f>
        <v/>
      </c>
      <c r="AG210" s="29">
        <f>IF(A210&gt;SV_T,0,MAX(0,N210+O210+P210+AC210+AF210-AE210))</f>
        <v/>
      </c>
      <c r="AH210" s="29">
        <f>IF(A210&gt;SV_T,0,N210+O210+AF210-MAX(0,AE210-(P210+AC210)))</f>
        <v/>
      </c>
      <c r="AI210" s="29">
        <f>IF(OR(OR(A210&lt;1,A210&gt;SV_T),A210-1&gt;=SV_retPay),0,SV_retMth*12+IF(A210=1,SV_retLump,0))</f>
        <v/>
      </c>
      <c r="AJ210" s="29">
        <f>IF(A210&gt;SV_T,0,(AJ209+AI210)*(1+investmentReturn))</f>
        <v/>
      </c>
      <c r="AK210" s="29">
        <f>IF(OR(OR(A210&lt;1,A210&gt;SV_T),A210-1&gt;=SV_goalPay),0,SV_goalMth*12+IF(A210=1,SV_goalLump,0))</f>
        <v/>
      </c>
      <c r="AL210" s="29">
        <f>IF(A210&gt;SV_T,0,(AL209+AK210)*(1+investmentReturn))</f>
        <v/>
      </c>
      <c r="AM210" s="29">
        <f>IF(OR(OR(A210&lt;1,A210&gt;SV_T),A210-1&gt;=SV_protPay),0,SV_protPrem)</f>
        <v/>
      </c>
      <c r="AN210" s="29">
        <f>IF(OR(A210=0,A210&gt;=SV_T),0,ROUND(MAX(0,AJ210),2)+ROUND(MAX(0,AL210),2))</f>
        <v/>
      </c>
      <c r="AO210" s="29">
        <f>IF(OR(A210&lt;1,A210&gt;SV_T),0,-(AI210+AK210+AM210)+IF(A210=SV_T,ROUND(MAX(0,AJ210),2)+ROUND(MAX(0,AL210),2),0))</f>
        <v/>
      </c>
      <c r="AP210" s="29">
        <f>IF(A210&gt;SV_T,0,AP209*(1+SV_savRate)+H210+I210+J210+K210+AD210+AO210)</f>
        <v/>
      </c>
      <c r="AQ210" s="29">
        <f>IF(A210&gt;SV_T,0,MAX(0,N210+O210+P210+AC210+AP210+AN210-AE210))</f>
        <v/>
      </c>
      <c r="AR210" s="29">
        <f>IF(A210&gt;SV_T,0,N210+O210+AP210+AN210-MAX(0,AE210-(P210+AC210)))</f>
        <v/>
      </c>
    </row>
    <row r="211">
      <c r="A211" s="61" t="n">
        <v>82</v>
      </c>
      <c r="B211" s="61">
        <f>SV_age+A211</f>
        <v/>
      </c>
      <c r="C211" s="61">
        <f>currentYear+A211</f>
        <v/>
      </c>
      <c r="D211" s="52">
        <f>A211&lt;=SV_T</f>
        <v/>
      </c>
      <c r="E211" s="60">
        <f>IF(AND(SV_inflOn,A211&gt;=SV_inflS,A211&lt;=SV_inflE),1+SV_inflRate,1+inflationRate)</f>
        <v/>
      </c>
      <c r="F211" s="60">
        <f>IF(A211&lt;=1,1,F210*E211)</f>
        <v/>
      </c>
      <c r="G211" s="60">
        <f>IF(AND(SV_incOn,A211&gt;=SV_incS,A211&lt;=SV_incE),1+SV_incImp,1)</f>
        <v/>
      </c>
      <c r="H211" s="29">
        <f>IF(OR(OR(A211&lt;1,A211&gt;SV_T),A211-1&gt;=SV_salCut),0,SV_sal0*(1+incomeGrowthRate)^(A211-1)*G211)</f>
        <v/>
      </c>
      <c r="I211" s="29">
        <f>IF(OR(A211&lt;1,A211&gt;SV_T),0,(-SV_exp0*F211-IF(A211&lt;=SV_loanYears,SV_inst,0)-IF(AND(SV_wdAmt&gt;0,A211=SV_wdYear),SV_wdAmt,0))*IF(AND(SV_expOn,A211&gt;=SV_expS,A211&lt;=SV_expE),1+SV_expImp,1))</f>
        <v/>
      </c>
      <c r="J211" s="29">
        <f>IF(OR(OR(A211&lt;1,A211&gt;SV_T),A211&gt;SV_loanYears),0,-SV_lifePremYr)</f>
        <v/>
      </c>
      <c r="K211" s="29">
        <f>IF(OR(A211&lt;1,A211&gt;SV_T),0,-SV_contrib)</f>
        <v/>
      </c>
      <c r="L211" s="60">
        <f>IF(AND(SV_crashOn,A211=SV_crashYr),SV_crashF,1)</f>
        <v/>
      </c>
      <c r="M211" s="60">
        <f>IF(AND(SV_ccyOn,A211=SV_ccyYr),SV_ccyF,1)</f>
        <v/>
      </c>
      <c r="N211" s="29">
        <f>IF(A211&gt;SV_T,0,N210*(1+interestRate)*L211*M211)</f>
        <v/>
      </c>
      <c r="O211" s="29">
        <f>IF(A211&gt;SV_T,0,(O210+SV_contrib)*(1+investmentReturn)*L211*M211)</f>
        <v/>
      </c>
      <c r="P211" s="29">
        <f>IF(A211&gt;SV_T,0,P210*(1+SV_propRate)*L211)</f>
        <v/>
      </c>
      <c r="Q211" s="46">
        <f>MATCH(SV_age+A211-1,SV_cpfLower,1)</f>
        <v/>
      </c>
      <c r="R211" s="29">
        <f>IF(OR(OR(A211&lt;1,A211&gt;SV_T),NOT(SV_cpfOn)),0,MIN(SV_sal0*(1+incomeGrowthRate)^(A211-1)*G211,SV_owCap))</f>
        <v/>
      </c>
      <c r="S211" s="29">
        <f>IF(A211&gt;SV_T,0,S210*(1+SV_oaRate)+IF(A211&gt;=SV_effStop,0,INDEX(SV_cpfOA,Q211)*INDEX(SV_cpfTot,Q211)*R211))</f>
        <v/>
      </c>
      <c r="T211" s="29">
        <f>IF(A211&gt;SV_T,0,T210*(1+SV_saRate)+IF(A211&gt;=SV_effStop,0,INDEX(SV_cpfSA,Q211)*INDEX(SV_cpfTot,Q211)*R211))</f>
        <v/>
      </c>
      <c r="U211" s="29">
        <f>IF(A211&gt;SV_T,0,U210*(1+SV_saRate)+IF(A211&gt;=SV_effStop,0,INDEX(SV_cpfMA,Q211)*INDEX(SV_cpfTot,Q211)*R211))</f>
        <v/>
      </c>
      <c r="V211" s="29">
        <f>IF(OR(OR(A211&lt;1,A211&gt;SV_T),A211&gt;=SV_effNeg),0,-(INDEX(SV_cpfOA,Q211)+INDEX(SV_cpfSA,Q211)+INDEX(SV_cpfMA,Q211))*INDEX(SV_cpfEmp,Q211)*R211)</f>
        <v/>
      </c>
      <c r="W211" s="29">
        <f>IF(A211&gt;=SV_sIdx,0,S211)</f>
        <v/>
      </c>
      <c r="X211" s="29">
        <f>IF(A211&gt;=SV_sIdx,0,T211)</f>
        <v/>
      </c>
      <c r="Y211" s="29">
        <f>IF(A211&gt;=SV_sIdx,MIN(U211,SV_maCap),U211)</f>
        <v/>
      </c>
      <c r="Z211" s="29">
        <f>IF(AND(SV_cpfOn,A211&gt;=SV_pIdx,A211&lt;=SV_T),12*SV_pay,0)</f>
        <v/>
      </c>
      <c r="AA211" s="29">
        <f>IF(A211&gt;SV_T,0,IF(SV_sp&gt;=0,IF(A211&lt;SV_sIdx,0,IF(A211=SV_sIdx,SV_R0,SV_lifeGrowth*AA210)),SV_lifeGrowth*AA210))</f>
        <v/>
      </c>
      <c r="AB211" s="29">
        <f>IF(A211&gt;SV_T,0,IF(AND(SV_sp&gt;=0,A211&lt;SV_sIdx),0,IF(AND(SV_sp&gt;=0,A211=SV_sIdx),SV_L0,SV_lifeGrowth*(AB210-Z211))))</f>
        <v/>
      </c>
      <c r="AC211" s="29">
        <f>W211+X211+AA211+Y211+IF(AA211&lt;0,0,AB211)</f>
        <v/>
      </c>
      <c r="AD211" s="29">
        <f>Z211+V211</f>
        <v/>
      </c>
      <c r="AE211" s="29">
        <f>IF(OR(A211&gt;SV_T,A211&gt;=SV_loanYears),0,MAX(0,AE210*(1+loanRate)-SV_inst))</f>
        <v/>
      </c>
      <c r="AF211" s="29">
        <f>IF(A211&gt;SV_T,0,AF210*(1+SV_savRate)+H211+I211+J211+K211+AD211)</f>
        <v/>
      </c>
      <c r="AG211" s="29">
        <f>IF(A211&gt;SV_T,0,MAX(0,N211+O211+P211+AC211+AF211-AE211))</f>
        <v/>
      </c>
      <c r="AH211" s="29">
        <f>IF(A211&gt;SV_T,0,N211+O211+AF211-MAX(0,AE211-(P211+AC211)))</f>
        <v/>
      </c>
      <c r="AI211" s="29">
        <f>IF(OR(OR(A211&lt;1,A211&gt;SV_T),A211-1&gt;=SV_retPay),0,SV_retMth*12+IF(A211=1,SV_retLump,0))</f>
        <v/>
      </c>
      <c r="AJ211" s="29">
        <f>IF(A211&gt;SV_T,0,(AJ210+AI211)*(1+investmentReturn))</f>
        <v/>
      </c>
      <c r="AK211" s="29">
        <f>IF(OR(OR(A211&lt;1,A211&gt;SV_T),A211-1&gt;=SV_goalPay),0,SV_goalMth*12+IF(A211=1,SV_goalLump,0))</f>
        <v/>
      </c>
      <c r="AL211" s="29">
        <f>IF(A211&gt;SV_T,0,(AL210+AK211)*(1+investmentReturn))</f>
        <v/>
      </c>
      <c r="AM211" s="29">
        <f>IF(OR(OR(A211&lt;1,A211&gt;SV_T),A211-1&gt;=SV_protPay),0,SV_protPrem)</f>
        <v/>
      </c>
      <c r="AN211" s="29">
        <f>IF(OR(A211=0,A211&gt;=SV_T),0,ROUND(MAX(0,AJ211),2)+ROUND(MAX(0,AL211),2))</f>
        <v/>
      </c>
      <c r="AO211" s="29">
        <f>IF(OR(A211&lt;1,A211&gt;SV_T),0,-(AI211+AK211+AM211)+IF(A211=SV_T,ROUND(MAX(0,AJ211),2)+ROUND(MAX(0,AL211),2),0))</f>
        <v/>
      </c>
      <c r="AP211" s="29">
        <f>IF(A211&gt;SV_T,0,AP210*(1+SV_savRate)+H211+I211+J211+K211+AD211+AO211)</f>
        <v/>
      </c>
      <c r="AQ211" s="29">
        <f>IF(A211&gt;SV_T,0,MAX(0,N211+O211+P211+AC211+AP211+AN211-AE211))</f>
        <v/>
      </c>
      <c r="AR211" s="29">
        <f>IF(A211&gt;SV_T,0,N211+O211+AP211+AN211-MAX(0,AE211-(P211+AC211)))</f>
        <v/>
      </c>
    </row>
  </sheetData>
  <mergeCells count="15">
    <mergeCell ref="Q127:AD127"/>
    <mergeCell ref="A1:D1"/>
    <mergeCell ref="A17:D17"/>
    <mergeCell ref="E127:K127"/>
    <mergeCell ref="H4:N4"/>
    <mergeCell ref="A91:D91"/>
    <mergeCell ref="A127:D127"/>
    <mergeCell ref="AE127:AH127"/>
    <mergeCell ref="A4:D4"/>
    <mergeCell ref="H15:L15"/>
    <mergeCell ref="A55:D55"/>
    <mergeCell ref="AI127:AR127"/>
    <mergeCell ref="A112:D112"/>
    <mergeCell ref="L127:P127"/>
    <mergeCell ref="A32:D32"/>
  </mergeCells>
  <conditionalFormatting sqref="A129:AR211">
    <cfRule type="expression" priority="1" dxfId="2">
      <formula>OR($D129=FALSE,$B129&gt;IFERROR(SV_end,endAge))</formula>
    </cfRule>
  </conditionalFormatting>
  <pageMargins left="0.75" right="0.75" top="1" bottom="1" header="0.5" footer="0.5"/>
</worksheet>
</file>

<file path=xl/worksheets/sheet12.xml><?xml version="1.0" encoding="utf-8"?>
<worksheet xmlns="http://schemas.openxmlformats.org/spreadsheetml/2006/main">
  <sheetPr>
    <tabColor rgb="007A3E9D"/>
    <outlinePr summaryBelow="1" summaryRight="1"/>
    <pageSetUpPr/>
  </sheetPr>
  <dimension ref="A1:BK1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(what hu_payload.py sends)</t>
        </is>
      </c>
      <c r="B4" s="12" t="n"/>
      <c r="C4" s="12" t="n"/>
      <c r="D4" s="12" t="n"/>
      <c r="F4" s="16" t="inlineStr">
        <is>
          <t>C · DETERMINISTICALLY CALCULATED</t>
        </is>
      </c>
      <c r="H4" s="16" t="inlineStr">
        <is>
          <t>C · GOALS  —  enabled needs plus N_RET (GP always sends it)</t>
        </is>
      </c>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5" t="n"/>
    </row>
    <row r="5">
      <c r="A5" s="17" t="inlineStr">
        <is>
          <t>age</t>
        </is>
      </c>
      <c r="B5" s="20">
        <f>IFERROR(INDEX(Personas!C$3:C$52,MATCH($B$2,Personas!$A$3:$A$52,0)),"")</f>
        <v/>
      </c>
      <c r="C5" s="13" t="inlineStr">
        <is>
          <t>A · input</t>
        </is>
      </c>
      <c r="D5" s="18" t="inlineStr">
        <is>
          <t>Personas C. HU needs 18–83.</t>
        </is>
      </c>
      <c r="F5" s="19"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7" t="inlineStr">
        <is>
          <t>gender</t>
        </is>
      </c>
      <c r="B6" s="13">
        <f>IFERROR(INDEX(Personas!D$3:D$52,MATCH($B$2,Personas!$A$3:$A$52,0)),"")</f>
        <v/>
      </c>
      <c r="C6" s="13" t="inlineStr">
        <is>
          <t>A · input</t>
        </is>
      </c>
      <c r="D6" s="18" t="inlineStr">
        <is>
          <t>Personas D. Picks the q(age) column.</t>
        </is>
      </c>
      <c r="F6" s="21" t="inlineStr">
        <is>
          <t>E · USER / FRONTEND OVERRIDE</t>
        </is>
      </c>
      <c r="H6" s="3" t="inlineStr">
        <is>
          <t>N_INC</t>
        </is>
      </c>
      <c r="I6" s="27" t="inlineStr">
        <is>
          <t>N_INC</t>
        </is>
      </c>
      <c r="J6" s="27">
        <f>NC_on_N_INC</f>
        <v/>
      </c>
      <c r="K6" s="29">
        <f>NC_amount_N_INC</f>
        <v/>
      </c>
      <c r="L6" s="29">
        <f>HU_lifeSum</f>
        <v/>
      </c>
      <c r="M6" s="27">
        <f>NOT(AND(PLAN_sug_N_INC,NOT(PLAN_included_N_INC)))</f>
        <v/>
      </c>
      <c r="N6" s="29">
        <f>IF(NOT($M$6),0,IF(PLAN_sug_N_INC,MAX(0,PLAN_sum_N_INC),MAX(0,ROUND($K$6/HU_benefitRound,0)*HU_benefitRound)))</f>
        <v/>
      </c>
      <c r="O6" s="46">
        <f>NP_priority_N_INC</f>
        <v/>
      </c>
      <c r="P6" s="46">
        <f>IF($M$6,MIN(HU_term,HU_depYears),HU_depYears)+1</f>
        <v/>
      </c>
      <c r="Q6" s="46">
        <f>MIN($P$6,HU_T)</f>
        <v/>
      </c>
      <c r="R6" s="27" t="inlineStr">
        <is>
          <t>W</t>
        </is>
      </c>
      <c r="S6" s="29">
        <f>INDEX($AD$68:$AD$150,IF(HU_T&gt;=1,2,1))+$K$6</f>
        <v/>
      </c>
      <c r="T6" s="29">
        <f>HU_whl*$K$6</f>
        <v/>
      </c>
      <c r="U6" s="29">
        <f>IF($S$6=0,0,IF(0&gt;$S$6/HU_alpha+$K$6,0.5*$S$6/HU_alpha,IF(0&gt;=$K$6,(0-$K$6)-0.5*HU_alpha/$S$6*(0-$K$6)^2,IF(0&gt;=$T$6,HU_beta*(0-$K$6),HU_beta*($T$6-$K$6)))))</f>
        <v/>
      </c>
      <c r="V6" s="29">
        <f>$U$6*SUM($AF$68:$AF$150)</f>
        <v/>
      </c>
      <c r="W6" s="29">
        <f>SUMPRODUCT($AF$68:$AF$150,$AG$68:$AG$150)</f>
        <v/>
      </c>
      <c r="X6" s="29">
        <f>SUMPRODUCT($AF$68:$AF$150,$AH$68:$AH$150)</f>
        <v/>
      </c>
      <c r="Y6" s="29">
        <f>SUMPRODUCT($AF$68:$AF$150,$AI$68:$AI$150)</f>
        <v/>
      </c>
      <c r="Z6" s="29">
        <f>$Y$6-$V$6</f>
        <v/>
      </c>
      <c r="AA6" s="60">
        <f>IF(NOT($J$6),"",IF($S$6=0,1,IF($Z$6=0,1,IF(AND($Z$6=$W$6-$V$6,$W$6&gt;0),1,MAX(0,MIN(1,($W$6-$V$6)/$Z$6))))))</f>
        <v/>
      </c>
      <c r="AB6" s="60">
        <f>IF(NOT($J$6),"",IF($S$6=0,1,IF($Z$6=0,1,IF(AND($Z$6=$X$6-$V$6,$X$6&gt;0),1,MAX(0,MIN(1,($X$6-$V$6)/$Z$6))))))</f>
        <v/>
      </c>
      <c r="AC6" s="27">
        <f>IF(NOT($J$6),"",IF($S$6=0,"w0 = 0 (HU raises an error)",IF($Z$6=0,"denominator 0","")))</f>
        <v/>
      </c>
      <c r="AD6" s="60">
        <f>IF($J$6,MAX(LN($O$6+1),LN(1+1)),0)</f>
        <v/>
      </c>
      <c r="AE6" s="60">
        <f>IF($J$6,1,0)</f>
        <v/>
      </c>
      <c r="AF6" s="60">
        <f>IF($J$6,$AD$6*$AE$6/SUMPRODUCT($AD$6:$AD$13,$AE$6:$AE$13),0)</f>
        <v/>
      </c>
    </row>
    <row r="7">
      <c r="A7" s="17" t="inlineStr">
        <is>
          <t>is smoker</t>
        </is>
      </c>
      <c r="B7" s="13">
        <f>IFERROR(INDEX(Personas!U$3:U$52,MATCH($B$2,Personas!$A$3:$A$52,0)),"")</f>
        <v/>
      </c>
      <c r="C7" s="13" t="inlineStr">
        <is>
          <t>A · input</t>
        </is>
      </c>
      <c r="D7" s="18" t="inlineStr">
        <is>
          <t>Personas U.</t>
        </is>
      </c>
      <c r="H7" s="3" t="inlineStr">
        <is>
          <t>N_CRI</t>
        </is>
      </c>
      <c r="I7" s="27" t="inlineStr">
        <is>
          <t>N_CRI</t>
        </is>
      </c>
      <c r="J7" s="27">
        <f>NC_on_N_CRI</f>
        <v/>
      </c>
      <c r="K7" s="29">
        <f>NC_amount_N_CRI</f>
        <v/>
      </c>
      <c r="L7" s="29" t="n">
        <v>0</v>
      </c>
      <c r="M7" s="27">
        <f>NOT(AND(PLAN_sug_N_CRI,NOT(PLAN_included_N_CRI)))</f>
        <v/>
      </c>
      <c r="N7" s="29">
        <f>IF(NOT($M$7),0,IF(PLAN_sug_N_CRI,MAX(0,PLAN_sum_N_CRI),MAX(0,ROUND($K$7/HU_benefitRound,0)*HU_benefitRound)))</f>
        <v/>
      </c>
      <c r="O7" s="46">
        <f>NP_priority_N_CRI</f>
        <v/>
      </c>
      <c r="P7" s="46">
        <f>IF($M$7,HU_term,HU_ciMaxAge-HU_age)+1</f>
        <v/>
      </c>
      <c r="Q7" s="46">
        <f>MIN($P$7,HU_T)</f>
        <v/>
      </c>
      <c r="R7" s="27" t="inlineStr">
        <is>
          <t>C</t>
        </is>
      </c>
      <c r="S7" s="29">
        <f>$K$7</f>
        <v/>
      </c>
      <c r="T7" s="29">
        <f>HU_whl*$K$7</f>
        <v/>
      </c>
      <c r="U7" s="29">
        <f>IF($S$7=0,0,IF(0&gt;$S$7/HU_alpha+$K$7,0.5*$S$7/HU_alpha,IF(0&gt;=$K$7,(0-$K$7)-0.5*HU_alpha/$S$7*(0-$K$7)^2,IF(0&gt;=$T$7,HU_beta*(0-$K$7),HU_beta*($T$7-$K$7)))))</f>
        <v/>
      </c>
      <c r="V7" s="29">
        <f>$U$7*SUM($AJ$68:$AJ$150)</f>
        <v/>
      </c>
      <c r="W7" s="29">
        <f>SUMPRODUCT($AJ$68:$AJ$150,$AK$68:$AK$150)</f>
        <v/>
      </c>
      <c r="X7" s="29">
        <f>SUMPRODUCT($AJ$68:$AJ$150,$AL$68:$AL$150)</f>
        <v/>
      </c>
      <c r="Y7" s="29">
        <f>SUMPRODUCT($AJ$68:$AJ$150,$AM$68:$AM$150)</f>
        <v/>
      </c>
      <c r="Z7" s="29">
        <f>$Y$7-$V$7</f>
        <v/>
      </c>
      <c r="AA7" s="60">
        <f>IF(NOT($J$7),"",IF($S$7=0,1,IF($Z$7=0,1,IF(AND($Z$7=$W$7-$V$7,$W$7&gt;0),1,MAX(0,MIN(1,($W$7-$V$7)/$Z$7))))))</f>
        <v/>
      </c>
      <c r="AB7" s="60">
        <f>IF(NOT($J$7),"",IF($S$7=0,1,IF($Z$7=0,1,IF(AND($Z$7=$X$7-$V$7,$X$7&gt;0),1,MAX(0,MIN(1,($X$7-$V$7)/$Z$7))))))</f>
        <v/>
      </c>
      <c r="AC7" s="27">
        <f>IF(NOT($J$7),"",IF($S$7=0,"w0 = 0 (HU raises an error)",IF($Z$7=0,"denominator 0","")))</f>
        <v/>
      </c>
      <c r="AD7" s="60">
        <f>IF($J$7,MAX(LN($O$7+1),LN(1+1)),0)</f>
        <v/>
      </c>
      <c r="AE7" s="60">
        <f>IF($J$7,1/HU_nCons,0)</f>
        <v/>
      </c>
      <c r="AF7" s="60">
        <f>IF($J$7,$AD$7*$AE$7/SUMPRODUCT($AD$6:$AD$13,$AE$6:$AE$13),0)</f>
        <v/>
      </c>
    </row>
    <row r="8">
      <c r="A8" s="17" t="inlineStr">
        <is>
          <t>incomeMonthly</t>
        </is>
      </c>
      <c r="B8" s="37">
        <f>PLU_incomeMonthly</f>
        <v/>
      </c>
      <c r="C8" s="13" t="inlineStr">
        <is>
          <t>A · input</t>
        </is>
      </c>
      <c r="D8" s="18" t="inlineStr"/>
      <c r="H8" s="3" t="inlineStr">
        <is>
          <t>N_TPD</t>
        </is>
      </c>
      <c r="I8" s="27" t="inlineStr">
        <is>
          <t>N_TPD</t>
        </is>
      </c>
      <c r="J8" s="27">
        <f>NC_on_N_TPD</f>
        <v/>
      </c>
      <c r="K8" s="29">
        <f>NC_amount_N_TPD</f>
        <v/>
      </c>
      <c r="L8" s="29" t="n">
        <v>0</v>
      </c>
      <c r="M8" s="27">
        <f>NOT(AND(PLAN_sug_N_TPD,NOT(PLAN_included_N_TPD)))</f>
        <v/>
      </c>
      <c r="N8" s="29">
        <f>IF(NOT($M$8),0,IF(PLAN_sug_N_TPD,MAX(0,PLAN_sum_N_TPD),MAX(0,ROUND($K$8/HU_benefitRound,0)*HU_benefitRound)))</f>
        <v/>
      </c>
      <c r="O8" s="46">
        <f>NP_priority_N_TPD</f>
        <v/>
      </c>
      <c r="P8" s="46">
        <f>IF($M$8,HU_term,HU_ciMaxAge-HU_age)+1</f>
        <v/>
      </c>
      <c r="Q8" s="46">
        <f>MIN($P$8,HU_T)</f>
        <v/>
      </c>
      <c r="R8" s="27" t="inlineStr">
        <is>
          <t>C</t>
        </is>
      </c>
      <c r="S8" s="29">
        <f>$K$8</f>
        <v/>
      </c>
      <c r="T8" s="29">
        <f>HU_whl*$K$8</f>
        <v/>
      </c>
      <c r="U8" s="29">
        <f>IF($S$8=0,0,IF(0&gt;$S$8/HU_alpha+$K$8,0.5*$S$8/HU_alpha,IF(0&gt;=$K$8,(0-$K$8)-0.5*HU_alpha/$S$8*(0-$K$8)^2,IF(0&gt;=$T$8,HU_beta*(0-$K$8),HU_beta*($T$8-$K$8)))))</f>
        <v/>
      </c>
      <c r="V8" s="29">
        <f>$U$8*SUM($AN$68:$AN$150)</f>
        <v/>
      </c>
      <c r="W8" s="29">
        <f>SUMPRODUCT($AN$68:$AN$150,$AO$68:$AO$150)</f>
        <v/>
      </c>
      <c r="X8" s="29">
        <f>SUMPRODUCT($AN$68:$AN$150,$AP$68:$AP$150)</f>
        <v/>
      </c>
      <c r="Y8" s="29">
        <f>SUMPRODUCT($AN$68:$AN$150,$AQ$68:$AQ$150)</f>
        <v/>
      </c>
      <c r="Z8" s="29">
        <f>$Y$8-$V$8</f>
        <v/>
      </c>
      <c r="AA8" s="60">
        <f>IF(NOT($J$8),"",IF($S$8=0,1,IF($Z$8=0,1,IF(AND($Z$8=$W$8-$V$8,$W$8&gt;0),1,MAX(0,MIN(1,($W$8-$V$8)/$Z$8))))))</f>
        <v/>
      </c>
      <c r="AB8" s="60">
        <f>IF(NOT($J$8),"",IF($S$8=0,1,IF($Z$8=0,1,IF(AND($Z$8=$X$8-$V$8,$X$8&gt;0),1,MAX(0,MIN(1,($X$8-$V$8)/$Z$8))))))</f>
        <v/>
      </c>
      <c r="AC8" s="27">
        <f>IF(NOT($J$8),"",IF($S$8=0,"w0 = 0 (HU raises an error)",IF($Z$8=0,"denominator 0","")))</f>
        <v/>
      </c>
      <c r="AD8" s="60">
        <f>IF($J$8,MAX(LN($O$8+1),LN(0+1)),0)</f>
        <v/>
      </c>
      <c r="AE8" s="60">
        <f>IF($J$8,1/HU_nCons,0)</f>
        <v/>
      </c>
      <c r="AF8" s="60">
        <f>IF($J$8,$AD$8*$AE$8/SUMPRODUCT($AD$6:$AD$13,$AE$6:$AE$13),0)</f>
        <v/>
      </c>
    </row>
    <row r="9">
      <c r="A9" s="17" t="inlineStr">
        <is>
          <t>expenseMonthly</t>
        </is>
      </c>
      <c r="B9" s="37">
        <f>PLU_expenseMonthly</f>
        <v/>
      </c>
      <c r="C9" s="13" t="inlineStr">
        <is>
          <t>A · input</t>
        </is>
      </c>
      <c r="D9" s="18" t="inlineStr"/>
      <c r="H9" s="3" t="inlineStr">
        <is>
          <t>N_HOS</t>
        </is>
      </c>
      <c r="I9" s="27" t="inlineStr">
        <is>
          <t>N_HSP</t>
        </is>
      </c>
      <c r="J9" s="27">
        <f>NC_on_N_HOS</f>
        <v/>
      </c>
      <c r="K9" s="29">
        <f>NC_amount_N_HOS</f>
        <v/>
      </c>
      <c r="L9" s="29" t="n">
        <v>0</v>
      </c>
      <c r="M9" s="27">
        <f>NOT(AND(PLAN_sug_N_HOS,NOT(PLAN_included_N_HOS)))</f>
        <v/>
      </c>
      <c r="N9" s="29">
        <f>IF(NOT($M$9),0,IF(PLAN_sug_N_HOS,MAX(0,PLAN_sum_N_HOS),MAX(0,ROUND($K$9/HU_benefitRound,0)*HU_benefitRound)))</f>
        <v/>
      </c>
      <c r="O9" s="46">
        <f>NP_priority_N_HOS</f>
        <v/>
      </c>
      <c r="P9" s="46">
        <f>IF($M$9,HU_term,HU_ciMaxAge-HU_age)+1</f>
        <v/>
      </c>
      <c r="Q9" s="46">
        <f>MIN($P$9,HU_T)</f>
        <v/>
      </c>
      <c r="R9" s="27" t="inlineStr">
        <is>
          <t>C</t>
        </is>
      </c>
      <c r="S9" s="29">
        <f>$K$9</f>
        <v/>
      </c>
      <c r="T9" s="29">
        <f>HU_whl*$K$9</f>
        <v/>
      </c>
      <c r="U9" s="29">
        <f>IF($S$9=0,0,IF(0&gt;$S$9/HU_alpha+$K$9,0.5*$S$9/HU_alpha,IF(0&gt;=$K$9,(0-$K$9)-0.5*HU_alpha/$S$9*(0-$K$9)^2,IF(0&gt;=$T$9,HU_beta*(0-$K$9),HU_beta*($T$9-$K$9)))))</f>
        <v/>
      </c>
      <c r="V9" s="29">
        <f>$U$9*SUM($AR$68:$AR$150)</f>
        <v/>
      </c>
      <c r="W9" s="29">
        <f>SUMPRODUCT($AR$68:$AR$150,$AS$68:$AS$150)</f>
        <v/>
      </c>
      <c r="X9" s="29">
        <f>SUMPRODUCT($AR$68:$AR$150,$AT$68:$AT$150)</f>
        <v/>
      </c>
      <c r="Y9" s="29">
        <f>SUMPRODUCT($AR$68:$AR$150,$AU$68:$AU$150)</f>
        <v/>
      </c>
      <c r="Z9" s="29">
        <f>$Y$9-$V$9</f>
        <v/>
      </c>
      <c r="AA9" s="60">
        <f>IF(NOT($J$9),"",IF($S$9=0,1,IF($Z$9=0,1,IF(AND($Z$9=$W$9-$V$9,$W$9&gt;0),1,MAX(0,MIN(1,($W$9-$V$9)/$Z$9))))))</f>
        <v/>
      </c>
      <c r="AB9" s="60">
        <f>IF(NOT($J$9),"",IF($S$9=0,1,IF($Z$9=0,1,IF(AND($Z$9=$X$9-$V$9,$X$9&gt;0),1,MAX(0,MIN(1,($X$9-$V$9)/$Z$9))))))</f>
        <v/>
      </c>
      <c r="AC9" s="27">
        <f>IF(NOT($J$9),"",IF($S$9=0,"w0 = 0 (HU raises an error)",IF($Z$9=0,"denominator 0","")))</f>
        <v/>
      </c>
      <c r="AD9" s="60">
        <f>IF($J$9,MAX(LN($O$9+1),LN(0+1)),0)</f>
        <v/>
      </c>
      <c r="AE9" s="60">
        <f>IF($J$9,1/HU_nCons,0)</f>
        <v/>
      </c>
      <c r="AF9" s="60">
        <f>IF($J$9,$AD$9*$AE$9/SUMPRODUCT($AD$6:$AD$13,$AE$6:$AE$13),0)</f>
        <v/>
      </c>
    </row>
    <row r="10">
      <c r="A10" s="17" t="inlineStr">
        <is>
          <t>cash</t>
        </is>
      </c>
      <c r="B10" s="47">
        <f>PLU_cash</f>
        <v/>
      </c>
      <c r="C10" s="13" t="inlineStr">
        <is>
          <t>A · input</t>
        </is>
      </c>
      <c r="D10" s="18" t="inlineStr">
        <is>
          <t>A_SAV. HU starts savings at 1 when cash is 0.</t>
        </is>
      </c>
      <c r="H10" s="3" t="inlineStr">
        <is>
          <t>N_RET</t>
        </is>
      </c>
      <c r="I10" s="27" t="inlineStr">
        <is>
          <t>N_RET</t>
        </is>
      </c>
      <c r="J10" s="27">
        <f>TRUE</f>
        <v/>
      </c>
      <c r="K10" s="29">
        <f>IF(NC_on_N_RET,NC_amount_N_RET,HU_expense*12*MAX(0,HU_leS-HU_ret))</f>
        <v/>
      </c>
      <c r="L10" s="29" t="n">
        <v>0</v>
      </c>
      <c r="M10" s="27">
        <f>NOT(AND(PLAN_sug_N_RET,NOT(PLAN_included_N_RET)))</f>
        <v/>
      </c>
      <c r="N10" s="29">
        <f>IF(NOT($M$10),0,MAX(0,ROUND($K$10/HU_benefitRound,0)*HU_benefitRound))</f>
        <v/>
      </c>
      <c r="O10" s="46">
        <f>IF(NC_on_N_RET,NP_priority_N_RET,5)</f>
        <v/>
      </c>
      <c r="P10" s="46">
        <f>MAX(0,HU_ret-HU_age)</f>
        <v/>
      </c>
      <c r="Q10" s="46">
        <f>MIN($P$10,HU_T)</f>
        <v/>
      </c>
      <c r="R10" s="27" t="inlineStr">
        <is>
          <t>W</t>
        </is>
      </c>
      <c r="S10" s="29">
        <f>INDEX($AD$68:$AD$150,IF(HU_T&gt;=1,2,1))+$K$10</f>
        <v/>
      </c>
      <c r="T10" s="29">
        <f>HU_whl*$K$10</f>
        <v/>
      </c>
      <c r="U10" s="29">
        <f>IF($S$10=0,0,IF(0&gt;$S$10/HU_alpha+$K$10,0.5*$S$10/HU_alpha,IF(0&gt;=$K$10,(0-$K$10)-0.5*HU_alpha/$S$10*(0-$K$10)^2,IF(0&gt;=$T$10,HU_beta*(0-$K$10),HU_beta*($T$10-$K$10)))))</f>
        <v/>
      </c>
      <c r="V10" s="29">
        <f>$U$10*SUM($AV$68:$AV$150)</f>
        <v/>
      </c>
      <c r="W10" s="29">
        <f>SUMPRODUCT($AV$68:$AV$150,$AW$68:$AW$150)</f>
        <v/>
      </c>
      <c r="X10" s="29">
        <f>SUMPRODUCT($AV$68:$AV$150,$AX$68:$AX$150)</f>
        <v/>
      </c>
      <c r="Y10" s="29">
        <f>SUMPRODUCT($AV$68:$AV$150,$AY$68:$AY$150)</f>
        <v/>
      </c>
      <c r="Z10" s="29">
        <f>$Y$10-$V$10</f>
        <v/>
      </c>
      <c r="AA10" s="60">
        <f>IF(NOT($J$10),"",IF($S$10=0,1,IF($Z$10=0,1,IF(AND($Z$10=$W$10-$V$10,$W$10&gt;0),1,MAX(0,MIN(1,($W$10-$V$10)/$Z$10))))))</f>
        <v/>
      </c>
      <c r="AB10" s="60">
        <f>IF(NOT($J$10),"",IF($S$10=0,1,IF($Z$10=0,1,IF(AND($Z$10=$X$10-$V$10,$X$10&gt;0),1,MAX(0,MIN(1,($X$10-$V$10)/$Z$10))))))</f>
        <v/>
      </c>
      <c r="AC10" s="27">
        <f>IF(NOT($J$10),"",IF($S$10=0,"w0 = 0 (HU raises an error)",IF($Z$10=0,"denominator 0","")))</f>
        <v/>
      </c>
      <c r="AD10" s="60">
        <f>IF($J$10,MAX(LN($O$10+1),LN(1+1)),0)</f>
        <v/>
      </c>
      <c r="AE10" s="60">
        <f>IF($J$10,HU_calRet,0)</f>
        <v/>
      </c>
      <c r="AF10" s="60">
        <f>IF($J$10,$AD$10*$AE$10/SUMPRODUCT($AD$6:$AD$13,$AE$6:$AE$13),0)</f>
        <v/>
      </c>
    </row>
    <row r="11">
      <c r="A11" s="17" t="inlineStr">
        <is>
          <t>investments</t>
        </is>
      </c>
      <c r="B11" s="47">
        <f>PLU_investments</f>
        <v/>
      </c>
      <c r="C11" s="13" t="inlineStr">
        <is>
          <t>A · input</t>
        </is>
      </c>
      <c r="D11" s="18" t="inlineStr">
        <is>
          <t>A_INV. Deterministic growth e^(mu·t).</t>
        </is>
      </c>
      <c r="H11" s="3" t="inlineStr">
        <is>
          <t>N_EDU</t>
        </is>
      </c>
      <c r="I11" s="27" t="inlineStr">
        <is>
          <t>N_EDU</t>
        </is>
      </c>
      <c r="J11" s="27">
        <f>NC_on_N_EDU</f>
        <v/>
      </c>
      <c r="K11" s="29">
        <f>NC_amount_N_EDU</f>
        <v/>
      </c>
      <c r="L11" s="29" t="n">
        <v>0</v>
      </c>
      <c r="M11" s="27">
        <f>NOT(AND(PLAN_sug_N_EDU,NOT(PLAN_included_N_EDU)))</f>
        <v/>
      </c>
      <c r="N11" s="29">
        <f>IF(NOT($M$11),0,MAX(0,ROUND($K$11/HU_benefitRound,0)*HU_benefitRound))</f>
        <v/>
      </c>
      <c r="O11" s="46">
        <f>NP_priority_N_EDU</f>
        <v/>
      </c>
      <c r="P11" s="46">
        <f>MAX(0,NC_eduYears)</f>
        <v/>
      </c>
      <c r="Q11" s="46">
        <f>MIN($P$11,HU_T)</f>
        <v/>
      </c>
      <c r="R11" s="27" t="inlineStr">
        <is>
          <t>C</t>
        </is>
      </c>
      <c r="S11" s="29">
        <f>$K$11</f>
        <v/>
      </c>
      <c r="T11" s="29">
        <f>HU_whl*$K$11</f>
        <v/>
      </c>
      <c r="U11" s="29">
        <f>IF($S$11=0,0,IF(0&gt;$S$11/HU_alpha+$K$11,0.5*$S$11/HU_alpha,IF(0&gt;=$K$11,(0-$K$11)-0.5*HU_alpha/$S$11*(0-$K$11)^2,IF(0&gt;=$T$11,HU_beta*(0-$K$11),HU_beta*($T$11-$K$11)))))</f>
        <v/>
      </c>
      <c r="V11" s="29">
        <f>$U$11*SUM($AZ$68:$AZ$150)</f>
        <v/>
      </c>
      <c r="W11" s="29">
        <f>SUMPRODUCT($AZ$68:$AZ$150,$BA$68:$BA$150)</f>
        <v/>
      </c>
      <c r="X11" s="29">
        <f>SUMPRODUCT($AZ$68:$AZ$150,$BB$68:$BB$150)</f>
        <v/>
      </c>
      <c r="Y11" s="29">
        <f>SUMPRODUCT($AZ$68:$AZ$150,$BC$68:$BC$150)</f>
        <v/>
      </c>
      <c r="Z11" s="29">
        <f>$Y$11-$V$11</f>
        <v/>
      </c>
      <c r="AA11" s="60">
        <f>IF(NOT($J$11),"",IF($S$11=0,1,IF($Z$11=0,1,IF(AND($Z$11=$W$11-$V$11,$W$11&gt;0),1,MAX(0,MIN(1,($W$11-$V$11)/$Z$11))))))</f>
        <v/>
      </c>
      <c r="AB11" s="60">
        <f>IF(NOT($J$11),"",IF($S$11=0,1,IF($Z$11=0,1,IF(AND($Z$11=$X$11-$V$11,$X$11&gt;0),1,MAX(0,MIN(1,($X$11-$V$11)/$Z$11))))))</f>
        <v/>
      </c>
      <c r="AC11" s="27">
        <f>IF(NOT($J$11),"",IF($S$11=0,"w0 = 0 (HU raises an error)",IF($Z$11=0,"denominator 0","")))</f>
        <v/>
      </c>
      <c r="AD11" s="60">
        <f>IF($J$11,MAX(LN($O$11+1),LN(0+1)),0)</f>
        <v/>
      </c>
      <c r="AE11" s="60">
        <f>IF($J$11,1/HU_nCons,0)</f>
        <v/>
      </c>
      <c r="AF11" s="60">
        <f>IF($J$11,$AD$11*$AE$11/SUMPRODUCT($AD$6:$AD$13,$AE$6:$AE$13),0)</f>
        <v/>
      </c>
    </row>
    <row r="12">
      <c r="A12" s="17" t="inlineStr">
        <is>
          <t>life sum assured</t>
        </is>
      </c>
      <c r="B12" s="47">
        <f>PLU_lifeSum</f>
        <v/>
      </c>
      <c r="C12" s="13" t="inlineStr">
        <is>
          <t>A · input</t>
        </is>
      </c>
      <c r="D12" s="18" t="inlineStr">
        <is>
          <t>N_INC existing cover.</t>
        </is>
      </c>
      <c r="H12" s="3" t="inlineStr">
        <is>
          <t>N_SAV</t>
        </is>
      </c>
      <c r="I12" s="27" t="inlineStr">
        <is>
          <t>N_SAV</t>
        </is>
      </c>
      <c r="J12" s="27">
        <f>NC_on_N_SAV</f>
        <v/>
      </c>
      <c r="K12" s="29">
        <f>NC_amount_N_SAV</f>
        <v/>
      </c>
      <c r="L12" s="29" t="n">
        <v>0</v>
      </c>
      <c r="M12" s="27">
        <f>NOT(AND(PLAN_sug_N_SAV,NOT(PLAN_included_N_SAV)))</f>
        <v/>
      </c>
      <c r="N12" s="29">
        <f>IF(NOT($M$12),0,MAX(0,ROUND($K$12/HU_benefitRound,0)*HU_benefitRound))</f>
        <v/>
      </c>
      <c r="O12" s="46">
        <f>NP_priority_N_SAV</f>
        <v/>
      </c>
      <c r="P12" s="46">
        <f>MAX(0,NC_eduYears)</f>
        <v/>
      </c>
      <c r="Q12" s="46">
        <f>MIN($P$12,HU_T)</f>
        <v/>
      </c>
      <c r="R12" s="27" t="inlineStr">
        <is>
          <t>C</t>
        </is>
      </c>
      <c r="S12" s="29">
        <f>$K$12</f>
        <v/>
      </c>
      <c r="T12" s="29">
        <f>HU_whl*$K$12</f>
        <v/>
      </c>
      <c r="U12" s="29">
        <f>IF($S$12=0,0,IF(0&gt;$S$12/HU_alpha+$K$12,0.5*$S$12/HU_alpha,IF(0&gt;=$K$12,(0-$K$12)-0.5*HU_alpha/$S$12*(0-$K$12)^2,IF(0&gt;=$T$12,HU_beta*(0-$K$12),HU_beta*($T$12-$K$12)))))</f>
        <v/>
      </c>
      <c r="V12" s="29">
        <f>$U$12*SUM($BD$68:$BD$150)</f>
        <v/>
      </c>
      <c r="W12" s="29">
        <f>SUMPRODUCT($BD$68:$BD$150,$BE$68:$BE$150)</f>
        <v/>
      </c>
      <c r="X12" s="29">
        <f>SUMPRODUCT($BD$68:$BD$150,$BF$68:$BF$150)</f>
        <v/>
      </c>
      <c r="Y12" s="29">
        <f>SUMPRODUCT($BD$68:$BD$150,$BG$68:$BG$150)</f>
        <v/>
      </c>
      <c r="Z12" s="29">
        <f>$Y$12-$V$12</f>
        <v/>
      </c>
      <c r="AA12" s="60">
        <f>IF(NOT($J$12),"",IF($S$12=0,1,IF($Z$12=0,1,IF(AND($Z$12=$W$12-$V$12,$W$12&gt;0),1,MAX(0,MIN(1,($W$12-$V$12)/$Z$12))))))</f>
        <v/>
      </c>
      <c r="AB12" s="60">
        <f>IF(NOT($J$12),"",IF($S$12=0,1,IF($Z$12=0,1,IF(AND($Z$12=$X$12-$V$12,$X$12&gt;0),1,MAX(0,MIN(1,($X$12-$V$12)/$Z$12))))))</f>
        <v/>
      </c>
      <c r="AC12" s="27">
        <f>IF(NOT($J$12),"",IF($S$12=0,"w0 = 0 (HU raises an error)",IF($Z$12=0,"denominator 0","")))</f>
        <v/>
      </c>
      <c r="AD12" s="60">
        <f>IF($J$12,MAX(LN($O$12+1),LN(0+1)),0)</f>
        <v/>
      </c>
      <c r="AE12" s="60">
        <f>IF($J$12,1/HU_nCons,0)</f>
        <v/>
      </c>
      <c r="AF12" s="60">
        <f>IF($J$12,$AD$12*$AE$12/SUMPRODUCT($AD$6:$AD$13,$AE$6:$AE$13),0)</f>
        <v/>
      </c>
    </row>
    <row r="13">
      <c r="A13" s="17" t="inlineStr">
        <is>
          <t>session life expectancy</t>
        </is>
      </c>
      <c r="B13" s="20">
        <f>MIN(PLU_leUsed,99)</f>
        <v/>
      </c>
      <c r="C13" s="13" t="inlineStr">
        <is>
          <t>A · input</t>
        </is>
      </c>
      <c r="D13" s="18" t="inlineStr">
        <is>
          <t>durationOfRetirement = LE − retirement age.</t>
        </is>
      </c>
      <c r="H13" s="3" t="inlineStr">
        <is>
          <t>N_PRP</t>
        </is>
      </c>
      <c r="I13" s="27" t="inlineStr">
        <is>
          <t>N_PRP</t>
        </is>
      </c>
      <c r="J13" s="27">
        <f>NC_on_N_PRP</f>
        <v/>
      </c>
      <c r="K13" s="29">
        <f>NC_amount_N_PRP</f>
        <v/>
      </c>
      <c r="L13" s="29" t="n">
        <v>0</v>
      </c>
      <c r="M13" s="27">
        <f>NOT(AND(PLAN_sug_N_PRP,NOT(PLAN_included_N_PRP)))</f>
        <v/>
      </c>
      <c r="N13" s="29">
        <f>IF(NOT($M$13),0,MAX(0,ROUND($K$13/HU_benefitRound,0)*HU_benefitRound))</f>
        <v/>
      </c>
      <c r="O13" s="46">
        <f>NP_priority_N_PRP</f>
        <v/>
      </c>
      <c r="P13" s="46">
        <f>MAX(0,NC_eduYears)</f>
        <v/>
      </c>
      <c r="Q13" s="46">
        <f>MIN($P$13,HU_T)</f>
        <v/>
      </c>
      <c r="R13" s="27" t="inlineStr">
        <is>
          <t>C</t>
        </is>
      </c>
      <c r="S13" s="29">
        <f>$K$13</f>
        <v/>
      </c>
      <c r="T13" s="29">
        <f>HU_whl*$K$13</f>
        <v/>
      </c>
      <c r="U13" s="29">
        <f>IF($S$13=0,0,IF(0&gt;$S$13/HU_alpha+$K$13,0.5*$S$13/HU_alpha,IF(0&gt;=$K$13,(0-$K$13)-0.5*HU_alpha/$S$13*(0-$K$13)^2,IF(0&gt;=$T$13,HU_beta*(0-$K$13),HU_beta*($T$13-$K$13)))))</f>
        <v/>
      </c>
      <c r="V13" s="29">
        <f>$U$13*SUM($BH$68:$BH$150)</f>
        <v/>
      </c>
      <c r="W13" s="29">
        <f>SUMPRODUCT($BH$68:$BH$150,$BI$68:$BI$150)</f>
        <v/>
      </c>
      <c r="X13" s="29">
        <f>SUMPRODUCT($BH$68:$BH$150,$BJ$68:$BJ$150)</f>
        <v/>
      </c>
      <c r="Y13" s="29">
        <f>SUMPRODUCT($BH$68:$BH$150,$BK$68:$BK$150)</f>
        <v/>
      </c>
      <c r="Z13" s="29">
        <f>$Y$13-$V$13</f>
        <v/>
      </c>
      <c r="AA13" s="60">
        <f>IF(NOT($J$13),"",IF($S$13=0,1,IF($Z$13=0,1,IF(AND($Z$13=$W$13-$V$13,$W$13&gt;0),1,MAX(0,MIN(1,($W$13-$V$13)/$Z$13))))))</f>
        <v/>
      </c>
      <c r="AB13" s="60">
        <f>IF(NOT($J$13),"",IF($S$13=0,1,IF($Z$13=0,1,IF(AND($Z$13=$X$13-$V$13,$X$13&gt;0),1,MAX(0,MIN(1,($X$13-$V$13)/$Z$13))))))</f>
        <v/>
      </c>
      <c r="AC13" s="27">
        <f>IF(NOT($J$13),"",IF($S$13=0,"w0 = 0 (HU raises an error)",IF($Z$13=0,"denominator 0","")))</f>
        <v/>
      </c>
      <c r="AD13" s="60">
        <f>IF($J$13,MAX(LN($O$13+1),LN(0+1)),0)</f>
        <v/>
      </c>
      <c r="AE13" s="60">
        <f>IF($J$13,1/HU_nCons,0)</f>
        <v/>
      </c>
      <c r="AF13" s="60">
        <f>IF($J$13,$AD$13*$AE$13/SUMPRODUCT($AD$6:$AD$13,$AE$6:$AE$13),0)</f>
        <v/>
      </c>
    </row>
    <row r="15">
      <c r="A15" s="19" t="inlineStr">
        <is>
          <t>D · ASSUMPTIONS  —  HU conf.json / config/default/conf.ini / hu_payload.py</t>
        </is>
      </c>
      <c r="B15" s="19" t="n"/>
      <c r="C15" s="19" t="n"/>
      <c r="D15" s="19" t="n"/>
    </row>
    <row r="16">
      <c r="A16" s="38" t="inlineStr">
        <is>
          <t>ageOfRetirement</t>
        </is>
      </c>
      <c r="B16" s="44">
        <f>ageOfRetirement</f>
        <v/>
      </c>
      <c r="C16" s="36" t="inlineStr">
        <is>
          <t>D · assumption / shared</t>
        </is>
      </c>
      <c r="D16" s="18" t="inlineStr"/>
    </row>
    <row r="17">
      <c r="A17" s="38" t="inlineStr">
        <is>
          <t>default life expectancy</t>
        </is>
      </c>
      <c r="B17" s="44" t="n">
        <v>83</v>
      </c>
      <c r="C17" s="36" t="inlineStr">
        <is>
          <t>D · assumption / shared</t>
        </is>
      </c>
      <c r="D17" s="18" t="inlineStr">
        <is>
          <t>HU uses 83 when durationOfRetirement is 0.</t>
        </is>
      </c>
    </row>
    <row r="18">
      <c r="A18" s="38" t="inlineStr">
        <is>
          <t>CI income years (N_CRI on)</t>
        </is>
      </c>
      <c r="B18" s="44">
        <f>CRI_YEARS</f>
        <v/>
      </c>
      <c r="C18" s="36" t="inlineStr">
        <is>
          <t>D · assumption / shared</t>
        </is>
      </c>
      <c r="D18" s="18" t="inlineStr">
        <is>
          <t>numYearsIncomeNeeded from GP.</t>
        </is>
      </c>
    </row>
    <row r="19">
      <c r="A19" s="38" t="inlineStr">
        <is>
          <t>CI income years (N_CRI off)</t>
        </is>
      </c>
      <c r="B19" s="44" t="n">
        <v>5</v>
      </c>
      <c r="C19" s="36" t="inlineStr">
        <is>
          <t>D · assumption / shared</t>
        </is>
      </c>
      <c r="D19" s="18" t="inlineStr">
        <is>
          <t>HU ciAssumptions default.</t>
        </is>
      </c>
    </row>
    <row r="20">
      <c r="A20" s="38" t="inlineStr">
        <is>
          <t>CI medical cost</t>
        </is>
      </c>
      <c r="B20" s="39" t="n">
        <v>200000</v>
      </c>
      <c r="C20" s="36" t="inlineStr">
        <is>
          <t>D · assumption / shared</t>
        </is>
      </c>
      <c r="D20" s="18" t="inlineStr">
        <is>
          <t>HU ciAssumptions medicalCost, × inflation.</t>
        </is>
      </c>
    </row>
    <row r="21">
      <c r="A21" s="38" t="inlineStr">
        <is>
          <t>TPD medical cost</t>
        </is>
      </c>
      <c r="B21" s="39" t="n">
        <v>444000</v>
      </c>
      <c r="C21" s="36" t="inlineStr">
        <is>
          <t>D · assumption / shared</t>
        </is>
      </c>
      <c r="D21" s="18" t="inlineStr">
        <is>
          <t>HU ProductPTD (engine still says PTD), × inflation, first TPD only.</t>
        </is>
      </c>
    </row>
    <row r="22">
      <c r="A22" s="38" t="inlineStr">
        <is>
          <t>TPD income cut</t>
        </is>
      </c>
      <c r="B22" s="62" t="n">
        <v>0.5</v>
      </c>
      <c r="C22" s="36" t="inlineStr">
        <is>
          <t>D · assumption / shared</t>
        </is>
      </c>
      <c r="D22" s="18" t="inlineStr"/>
    </row>
    <row r="23">
      <c r="A23" s="38" t="inlineStr">
        <is>
          <t>dismemberment income cut</t>
        </is>
      </c>
      <c r="B23" s="62" t="n">
        <v>1</v>
      </c>
      <c r="C23" s="36" t="inlineStr">
        <is>
          <t>D · assumption / shared</t>
        </is>
      </c>
      <c r="D23" s="18" t="inlineStr">
        <is>
          <t>From the year after.</t>
        </is>
      </c>
    </row>
    <row r="24">
      <c r="A24" s="38" t="inlineStr">
        <is>
          <t>cover age (off-plan CI / TPD / HSP)</t>
        </is>
      </c>
      <c r="B24" s="44" t="n">
        <v>75</v>
      </c>
      <c r="C24" s="36" t="inlineStr">
        <is>
          <t>D · assumption / shared</t>
        </is>
      </c>
      <c r="D24" s="18" t="inlineStr">
        <is>
          <t>Off-plan protection runs to age 75.</t>
        </is>
      </c>
    </row>
    <row r="25">
      <c r="A25" s="38" t="inlineStr">
        <is>
          <t>dependent years (N_INC)</t>
        </is>
      </c>
      <c r="B25" s="44" t="n">
        <v>10</v>
      </c>
      <c r="C25" s="36" t="inlineStr">
        <is>
          <t>D · assumption / shared</t>
        </is>
      </c>
      <c r="D25" s="18" t="inlineStr">
        <is>
          <t>numYearDependents default.</t>
        </is>
      </c>
    </row>
    <row r="26">
      <c r="A26" s="38" t="inlineStr">
        <is>
          <t>plan policy term</t>
        </is>
      </c>
      <c r="B26" s="44" t="n">
        <v>10</v>
      </c>
      <c r="C26" s="36" t="inlineStr">
        <is>
          <t>D · assumption / shared</t>
        </is>
      </c>
      <c r="D26" s="18" t="inlineStr">
        <is>
          <t>segregatedBudget policyTerm in hu_payload.py.</t>
        </is>
      </c>
    </row>
    <row r="27">
      <c r="A27" s="38" t="inlineStr">
        <is>
          <t>wealth high-loss factor</t>
        </is>
      </c>
      <c r="B27" s="54" t="n">
        <v>0.25</v>
      </c>
      <c r="C27" s="36" t="inlineStr">
        <is>
          <t>D · assumption / shared</t>
        </is>
      </c>
      <c r="D27" s="18" t="inlineStr">
        <is>
          <t>conf.ini wealth_hight_loss_factor.</t>
        </is>
      </c>
    </row>
    <row r="28">
      <c r="A28" s="38" t="inlineStr">
        <is>
          <t>beta</t>
        </is>
      </c>
      <c r="B28" s="54" t="n">
        <v>1</v>
      </c>
      <c r="C28" s="36" t="inlineStr">
        <is>
          <t>D · assumption / shared</t>
        </is>
      </c>
      <c r="D28" s="18" t="inlineStr">
        <is>
          <t>conf.ini beta.</t>
        </is>
      </c>
    </row>
    <row r="29">
      <c r="A29" s="38" t="inlineStr">
        <is>
          <t>minimum equity drift</t>
        </is>
      </c>
      <c r="B29" s="45" t="n">
        <v>0.01</v>
      </c>
      <c r="C29" s="36" t="inlineStr">
        <is>
          <t>D · assumption / shared</t>
        </is>
      </c>
      <c r="D29" s="18" t="inlineStr">
        <is>
          <t>ProductEquity mu floor.</t>
        </is>
      </c>
    </row>
    <row r="30">
      <c r="A30" s="38" t="inlineStr">
        <is>
          <t>riskProfile</t>
        </is>
      </c>
      <c r="B30" s="44" t="n">
        <v>4</v>
      </c>
      <c r="C30" s="36" t="inlineStr">
        <is>
          <t>D · assumption / shared</t>
        </is>
      </c>
      <c r="D30" s="18" t="inlineStr">
        <is>
          <t>hu_payload.py default.</t>
        </is>
      </c>
    </row>
    <row r="31">
      <c r="A31" s="38" t="inlineStr">
        <is>
          <t>retirement lifestyle rate</t>
        </is>
      </c>
      <c r="B31" s="54">
        <f>RET_LIFESTYLE_STRESSFREE</f>
        <v/>
      </c>
      <c r="C31" s="36" t="inlineStr">
        <is>
          <t>D · assumption / shared</t>
        </is>
      </c>
      <c r="D31" s="18" t="inlineStr">
        <is>
          <t>N_RET lifestyle 2.</t>
        </is>
      </c>
    </row>
    <row r="32">
      <c r="A32" s="38" t="inlineStr">
        <is>
          <t>retirement spend share</t>
        </is>
      </c>
      <c r="B32" s="54" t="n">
        <v>0.75</v>
      </c>
      <c r="C32" s="36" t="inlineStr">
        <is>
          <t>D · assumption / shared</t>
        </is>
      </c>
      <c r="D32" s="18" t="inlineStr">
        <is>
          <t>expectedLivingExpenseInTheCountry = living × 0.75.</t>
        </is>
      </c>
    </row>
    <row r="33">
      <c r="A33" s="38" t="inlineStr">
        <is>
          <t>benefit round (user currency)</t>
        </is>
      </c>
      <c r="B33" s="39">
        <f>FX_benefitRound</f>
        <v/>
      </c>
      <c r="C33" s="36" t="inlineStr">
        <is>
          <t>D · assumption / shared</t>
        </is>
      </c>
      <c r="D33" s="18" t="inlineStr">
        <is>
          <t>benefitRound (USD) as a nice step in user currency. SGD: 50,000.</t>
        </is>
      </c>
    </row>
    <row r="34">
      <c r="A34" s="38" t="inlineStr">
        <is>
          <t>N_RET calibration</t>
        </is>
      </c>
      <c r="B34" s="44" t="n">
        <v>2</v>
      </c>
      <c r="C34" s="36" t="inlineStr">
        <is>
          <t>D · assumption / shared</t>
        </is>
      </c>
      <c r="D34" s="18" t="inlineStr">
        <is>
          <t>N_INC 1, N_RET 2, consumption goals 1 / count.</t>
        </is>
      </c>
    </row>
    <row r="36">
      <c r="A36" s="16" t="inlineStr">
        <is>
          <t>C · DETERMINISTICALLY CALCULATED  —  HU input mapping</t>
        </is>
      </c>
      <c r="B36" s="16" t="n"/>
      <c r="C36" s="16" t="n"/>
      <c r="D36" s="16" t="n"/>
    </row>
    <row r="37">
      <c r="A37" s="26" t="inlineStr">
        <is>
          <t>life expectancy (HU)</t>
        </is>
      </c>
      <c r="B37" s="46">
        <f>IF(HU_leS&gt;HU_ret,HU_leS,HU_defaultLE)</f>
        <v/>
      </c>
      <c r="C37" s="27" t="inlineStr">
        <is>
          <t>C · calculated</t>
        </is>
      </c>
      <c r="D37" s="18" t="inlineStr">
        <is>
          <t>durationOfRetirement + 65, or 83.</t>
        </is>
      </c>
    </row>
    <row r="38">
      <c r="A38" s="26" t="inlineStr">
        <is>
          <t>years on the path (T)</t>
        </is>
      </c>
      <c r="B38" s="46">
        <f>MAX(HU_le-HU_age,0)</f>
        <v/>
      </c>
      <c r="C38" s="27" t="inlineStr">
        <is>
          <t>C · calculated</t>
        </is>
      </c>
      <c r="D38" s="18" t="inlineStr"/>
    </row>
    <row r="39">
      <c r="A39" s="26" t="inlineStr">
        <is>
          <t>years to retirement</t>
        </is>
      </c>
      <c r="B39" s="46">
        <f>MAX(HU_ret-HU_age,0)</f>
        <v/>
      </c>
      <c r="C39" s="27" t="inlineStr">
        <is>
          <t>C · calculated</t>
        </is>
      </c>
      <c r="D39" s="18" t="inlineStr"/>
    </row>
    <row r="40">
      <c r="A40" s="26" t="inlineStr">
        <is>
          <t>q(age) column</t>
        </is>
      </c>
      <c r="B40" s="46">
        <f>IF(HU_gender="Male",1,3)+IF(HU_smoker=TRUE,1,0)</f>
        <v/>
      </c>
      <c r="C40" s="27" t="inlineStr">
        <is>
          <t>C · calculated</t>
        </is>
      </c>
      <c r="D40" s="18" t="inlineStr">
        <is>
          <t>1 Male, 2 Male smoker, 3 Female, 4 Female smoker.</t>
        </is>
      </c>
    </row>
    <row r="41">
      <c r="A41" s="26" t="inlineStr">
        <is>
          <t>income / yr (HU)</t>
        </is>
      </c>
      <c r="B41" s="29">
        <f>1+HU_income*12</f>
        <v/>
      </c>
      <c r="C41" s="27" t="inlineStr">
        <is>
          <t>C · calculated</t>
        </is>
      </c>
      <c r="D41" s="18" t="inlineStr">
        <is>
          <t>HU adds 1 to the salary.</t>
        </is>
      </c>
    </row>
    <row r="42">
      <c r="A42" s="26" t="inlineStr">
        <is>
          <t>spend / yr</t>
        </is>
      </c>
      <c r="B42" s="29">
        <f>HU_expense*12</f>
        <v/>
      </c>
      <c r="C42" s="27" t="inlineStr">
        <is>
          <t>C · calculated</t>
        </is>
      </c>
      <c r="D42" s="18" t="inlineStr"/>
    </row>
    <row r="43">
      <c r="A43" s="26" t="inlineStr">
        <is>
          <t>retirement spend / yr</t>
        </is>
      </c>
      <c r="B43" s="29">
        <f>HU_exp0*HU_retLifestyle*HU_retShare</f>
        <v/>
      </c>
      <c r="C43" s="27" t="inlineStr">
        <is>
          <t>C · calculated</t>
        </is>
      </c>
      <c r="D43" s="18" t="inlineStr">
        <is>
          <t>Replaces spend after retirement.</t>
        </is>
      </c>
    </row>
    <row r="44">
      <c r="A44" s="26" t="inlineStr">
        <is>
          <t>CI income years</t>
        </is>
      </c>
      <c r="B44" s="46">
        <f>IF(NC_on_N_CRI,HU_ciYearsGP,HU_ciDefaultYears)</f>
        <v/>
      </c>
      <c r="C44" s="27" t="inlineStr">
        <is>
          <t>C · calculated</t>
        </is>
      </c>
      <c r="D44" s="18" t="inlineStr"/>
    </row>
    <row r="45">
      <c r="A45" s="26" t="inlineStr">
        <is>
          <t>CI income share</t>
        </is>
      </c>
      <c r="B45" s="60">
        <f>MAX(0,MIN(1,HU_exp0/HU_inc0))</f>
        <v/>
      </c>
      <c r="C45" s="27" t="inlineStr">
        <is>
          <t>C · calculated</t>
        </is>
      </c>
      <c r="D45" s="18" t="inlineStr">
        <is>
          <t>Share of income lost while ill.</t>
        </is>
      </c>
    </row>
    <row r="46">
      <c r="A46" s="26" t="inlineStr">
        <is>
          <t>savings at t = 0</t>
        </is>
      </c>
      <c r="B46" s="29">
        <f>IF(N(HU_cash)=0,1,HU_cash)</f>
        <v/>
      </c>
      <c r="C46" s="27" t="inlineStr">
        <is>
          <t>C · calculated</t>
        </is>
      </c>
      <c r="D46" s="18" t="inlineStr"/>
    </row>
    <row r="47">
      <c r="A47" s="26" t="inlineStr">
        <is>
          <t>equity drift</t>
        </is>
      </c>
      <c r="B47" s="57">
        <f>IF(HU_inv&gt;0,MAX(HU_minMu,investmentReturn),0)</f>
        <v/>
      </c>
      <c r="C47" s="27" t="inlineStr">
        <is>
          <t>C · calculated</t>
        </is>
      </c>
      <c r="D47" s="18" t="inlineStr"/>
    </row>
    <row r="48">
      <c r="A48" s="26" t="inlineStr">
        <is>
          <t>HU errors (retiree with investments)</t>
        </is>
      </c>
      <c r="B48" s="27">
        <f>AND(HU_inv&gt;0,HU_dtr=0)</f>
        <v/>
      </c>
      <c r="C48" s="27" t="inlineStr">
        <is>
          <t>C · calculated</t>
        </is>
      </c>
      <c r="D48" s="18" t="inlineStr">
        <is>
          <t>Live HU returns NaN here; this tab still scores (Discrepancies).</t>
        </is>
      </c>
    </row>
    <row r="49">
      <c r="A49" s="26" t="inlineStr">
        <is>
          <t>alpha</t>
        </is>
      </c>
      <c r="B49" s="49">
        <f>1+(HU_riskProfile-1)*0.5</f>
        <v/>
      </c>
      <c r="C49" s="27" t="inlineStr">
        <is>
          <t>C · calculated</t>
        </is>
      </c>
      <c r="D49" s="18" t="inlineStr">
        <is>
          <t>Value-function curvature from riskProfile.</t>
        </is>
      </c>
    </row>
    <row r="50">
      <c r="A50" s="26" t="inlineStr">
        <is>
          <t>goal withdrawals on the path</t>
        </is>
      </c>
      <c r="B50" s="27">
        <f>AND(HU_T&gt;0,NC_eduYears&lt;=HU_T)</f>
        <v/>
      </c>
      <c r="C50" s="27" t="inlineStr">
        <is>
          <t>C · calculated</t>
        </is>
      </c>
      <c r="D50" s="18" t="inlineStr"/>
    </row>
    <row r="51">
      <c r="A51" s="26" t="inlineStr">
        <is>
          <t>goal withdrawal year</t>
        </is>
      </c>
      <c r="B51" s="46">
        <f>IF(HU_T&gt;0,MOD(NC_eduYears-1,HU_T)+1,0)</f>
        <v/>
      </c>
      <c r="C51" s="27" t="inlineStr">
        <is>
          <t>C · calculated</t>
        </is>
      </c>
      <c r="D51" s="18" t="inlineStr">
        <is>
          <t>fundsNeededYear − now.</t>
        </is>
      </c>
    </row>
    <row r="52">
      <c r="A52" s="26" t="inlineStr">
        <is>
          <t>SAV + PRP booked as income</t>
        </is>
      </c>
      <c r="B52" s="29">
        <f>NC_on_N_SAV*NC_amount_N_SAV+NC_on_N_PRP*NC_amount_N_PRP</f>
        <v/>
      </c>
      <c r="C52" s="27" t="inlineStr">
        <is>
          <t>C · calculated</t>
        </is>
      </c>
      <c r="D52" s="18" t="inlineStr">
        <is>
          <t>HU adds the SAV / PRP amount as income in the target year and spends it again (net 0).</t>
        </is>
      </c>
    </row>
    <row r="53">
      <c r="A53" s="26" t="inlineStr">
        <is>
          <t>EDU + SAV + PRP spent</t>
        </is>
      </c>
      <c r="B53" s="29">
        <f>NC_on_N_EDU*NC_amount_N_EDU+NC_on_N_SAV*NC_amount_N_SAV+NC_on_N_PRP*NC_amount_N_PRP</f>
        <v/>
      </c>
      <c r="C53" s="27" t="inlineStr">
        <is>
          <t>C · calculated</t>
        </is>
      </c>
      <c r="D53" s="18" t="inlineStr"/>
    </row>
    <row r="55">
      <c r="A55" s="16" t="inlineStr">
        <is>
          <t>C · RESULTS  —  weights, sigmoid, HappiU (0–100)</t>
        </is>
      </c>
      <c r="B55" s="16" t="n"/>
      <c r="C55" s="16" t="n"/>
      <c r="D55" s="16" t="n"/>
    </row>
    <row r="56">
      <c r="A56" s="26" t="inlineStr">
        <is>
          <t>goals scored</t>
        </is>
      </c>
      <c r="B56" s="46">
        <f>COUNTIF($J$6:$J$13,TRUE)</f>
        <v/>
      </c>
      <c r="C56" s="27" t="inlineStr">
        <is>
          <t>C · calculated</t>
        </is>
      </c>
      <c r="D56" s="18" t="inlineStr"/>
    </row>
    <row r="57">
      <c r="A57" s="26" t="inlineStr">
        <is>
          <t>consumption goals</t>
        </is>
      </c>
      <c r="B57" s="46">
        <f>COUNTIFS($J$6:$J$13,TRUE,$R$6:$R$13,"C")</f>
        <v/>
      </c>
      <c r="C57" s="27" t="inlineStr">
        <is>
          <t>C · calculated</t>
        </is>
      </c>
      <c r="D57" s="18" t="inlineStr">
        <is>
          <t>Everything except N_INC / N_ADB / N_RET.</t>
        </is>
      </c>
    </row>
    <row r="58">
      <c r="A58" s="26" t="inlineStr">
        <is>
          <t>sigmoid divisor</t>
        </is>
      </c>
      <c r="B58" s="60">
        <f>1+EXP(-HU_nGoals)</f>
        <v/>
      </c>
      <c r="C58" s="27" t="inlineStr">
        <is>
          <t>C · calculated</t>
        </is>
      </c>
      <c r="D58" s="18" t="inlineStr">
        <is>
          <t>Weighted sum ÷ (1 + e^(−number of goals)).</t>
        </is>
      </c>
    </row>
    <row r="59">
      <c r="A59" s="26" t="inlineStr">
        <is>
          <t>pre (0–1)</t>
        </is>
      </c>
      <c r="B59" s="60">
        <f>SUMPRODUCT($AA$6:$AA$13,$AF$6:$AF$13)/HU_sig</f>
        <v/>
      </c>
      <c r="C59" s="27" t="inlineStr">
        <is>
          <t>C · calculated</t>
        </is>
      </c>
      <c r="D59" s="18" t="inlineStr"/>
    </row>
    <row r="60">
      <c r="A60" s="26" t="inlineStr">
        <is>
          <t>post (0–1)</t>
        </is>
      </c>
      <c r="B60" s="60">
        <f>SUMPRODUCT($AB$6:$AB$13,$AF$6:$AF$13)/HU_sig</f>
        <v/>
      </c>
      <c r="C60" s="27" t="inlineStr">
        <is>
          <t>C · calculated</t>
        </is>
      </c>
      <c r="D60" s="18" t="inlineStr"/>
    </row>
    <row r="61">
      <c r="A61" s="26" t="inlineStr">
        <is>
          <t>preHappiU</t>
        </is>
      </c>
      <c r="B61" s="46">
        <f>ROUND(HU_preRaw*100,0)</f>
        <v/>
      </c>
      <c r="C61" s="27" t="inlineStr">
        <is>
          <t>C · calculated</t>
        </is>
      </c>
      <c r="D61" s="18" t="inlineStr">
        <is>
          <t>Today's cover.</t>
        </is>
      </c>
    </row>
    <row r="62">
      <c r="A62" s="26" t="inlineStr">
        <is>
          <t>postHappiU</t>
        </is>
      </c>
      <c r="B62" s="46">
        <f>ROUND(HU_postRaw*100,0)</f>
        <v/>
      </c>
      <c r="C62" s="27" t="inlineStr">
        <is>
          <t>C · calculated</t>
        </is>
      </c>
      <c r="D62" s="18" t="inlineStr">
        <is>
          <t>With the plan's benefits.</t>
        </is>
      </c>
    </row>
    <row r="66">
      <c r="A66" s="3" t="inlineStr">
        <is>
          <t>year</t>
        </is>
      </c>
      <c r="B66" s="3" t="n"/>
      <c r="C66" s="3" t="n"/>
      <c r="D66" s="19" t="inlineStr">
        <is>
          <t>D · q(age + year) from Assumptions</t>
        </is>
      </c>
      <c r="E66" s="19" t="n"/>
      <c r="F66" s="19" t="n"/>
      <c r="G66" s="19" t="n"/>
      <c r="H66" s="19" t="n"/>
      <c r="I66" s="16" t="inlineStr">
        <is>
          <t>C · PROBABILITIES</t>
        </is>
      </c>
      <c r="J66" s="16" t="n"/>
      <c r="K66" s="16" t="n"/>
      <c r="L66" s="16" t="n"/>
      <c r="M66" s="16" t="n"/>
      <c r="N66" s="16" t="n"/>
      <c r="O66" s="16" t="n"/>
      <c r="P66" s="16" t="n"/>
      <c r="Q66" s="16" t="n"/>
      <c r="R66" s="16" t="inlineStr">
        <is>
          <t>C · EXPECTED CASH FLOWS AND PATHS (alive)</t>
        </is>
      </c>
      <c r="S66" s="16" t="n"/>
      <c r="T66" s="16" t="n"/>
      <c r="U66" s="16" t="n"/>
      <c r="V66" s="16" t="n"/>
      <c r="W66" s="16" t="n"/>
      <c r="X66" s="16" t="n"/>
      <c r="Y66" s="16" t="n"/>
      <c r="Z66" s="16" t="n"/>
      <c r="AA66" s="16" t="n"/>
      <c r="AB66" s="16" t="n"/>
      <c r="AC66" s="16" t="n"/>
      <c r="AD66" s="16" t="n"/>
      <c r="AE66" s="16" t="n"/>
      <c r="AF66" s="16" t="inlineStr">
        <is>
          <t>C · N_INC  (W path)</t>
        </is>
      </c>
      <c r="AG66" s="16" t="n"/>
      <c r="AH66" s="16" t="n"/>
      <c r="AI66" s="16" t="n"/>
      <c r="AJ66" s="16" t="inlineStr">
        <is>
          <t>C · N_CRI  (consumption path)</t>
        </is>
      </c>
      <c r="AK66" s="16" t="n"/>
      <c r="AL66" s="16" t="n"/>
      <c r="AM66" s="16" t="n"/>
      <c r="AN66" s="16" t="inlineStr">
        <is>
          <t>C · N_TPD  (consumption path)</t>
        </is>
      </c>
      <c r="AO66" s="16" t="n"/>
      <c r="AP66" s="16" t="n"/>
      <c r="AQ66" s="16" t="n"/>
      <c r="AR66" s="16" t="inlineStr">
        <is>
          <t>C · N_HOS  (consumption path)</t>
        </is>
      </c>
      <c r="AS66" s="16" t="n"/>
      <c r="AT66" s="16" t="n"/>
      <c r="AU66" s="16" t="n"/>
      <c r="AV66" s="16" t="inlineStr">
        <is>
          <t>C · N_RET  (W path)</t>
        </is>
      </c>
      <c r="AW66" s="16" t="n"/>
      <c r="AX66" s="16" t="n"/>
      <c r="AY66" s="16" t="n"/>
      <c r="AZ66" s="16" t="inlineStr">
        <is>
          <t>C · N_EDU  (consumption path)</t>
        </is>
      </c>
      <c r="BA66" s="16" t="n"/>
      <c r="BB66" s="16" t="n"/>
      <c r="BC66" s="16" t="n"/>
      <c r="BD66" s="16" t="inlineStr">
        <is>
          <t>C · N_SAV  (consumption path)</t>
        </is>
      </c>
      <c r="BE66" s="16" t="n"/>
      <c r="BF66" s="16" t="n"/>
      <c r="BG66" s="16" t="n"/>
      <c r="BH66" s="16" t="inlineStr">
        <is>
          <t>C · N_PRP  (consumption path)</t>
        </is>
      </c>
      <c r="BI66" s="16" t="n"/>
      <c r="BJ66" s="16" t="n"/>
      <c r="BK66" s="16" t="n"/>
    </row>
    <row r="67">
      <c r="A67" s="3" t="inlineStr">
        <is>
          <t>year</t>
        </is>
      </c>
      <c r="B67" s="3" t="inlineStr">
        <is>
          <t>age</t>
        </is>
      </c>
      <c r="C67" s="3" t="inlineStr">
        <is>
          <t>on path</t>
        </is>
      </c>
      <c r="D67" s="3" t="inlineStr">
        <is>
          <t>q mortality</t>
        </is>
      </c>
      <c r="E67" s="3" t="inlineStr">
        <is>
          <t>q accidental death</t>
        </is>
      </c>
      <c r="F67" s="3" t="inlineStr">
        <is>
          <t>q critical illness</t>
        </is>
      </c>
      <c r="G67" s="3" t="inlineStr">
        <is>
          <t>q TPD</t>
        </is>
      </c>
      <c r="H67" s="3" t="inlineStr">
        <is>
          <t>q dismemberment</t>
        </is>
      </c>
      <c r="I67" s="3" t="inlineStr">
        <is>
          <t>alive</t>
        </is>
      </c>
      <c r="J67" s="3" t="inlineStr">
        <is>
          <t>score weight</t>
        </is>
      </c>
      <c r="K67" s="3" t="inlineStr">
        <is>
          <t>no TPD yet</t>
        </is>
      </c>
      <c r="L67" s="3" t="inlineStr">
        <is>
          <t>P(TPD so far)</t>
        </is>
      </c>
      <c r="M67" s="3" t="inlineStr">
        <is>
          <t>P(first TPD)</t>
        </is>
      </c>
      <c r="N67" s="3" t="inlineStr">
        <is>
          <t>no dismemberment</t>
        </is>
      </c>
      <c r="O67" s="3" t="inlineStr">
        <is>
          <t>P(dismembered before)</t>
        </is>
      </c>
      <c r="P67" s="3" t="inlineStr">
        <is>
          <t>no CI (running)</t>
        </is>
      </c>
      <c r="Q67" s="3" t="inlineStr">
        <is>
          <t>P(CI in window)</t>
        </is>
      </c>
      <c r="R67" s="3" t="inlineStr">
        <is>
          <t>inflation index</t>
        </is>
      </c>
      <c r="S67" s="3" t="inlineStr">
        <is>
          <t>salary</t>
        </is>
      </c>
      <c r="T67" s="3" t="inlineStr">
        <is>
          <t>ss growth index</t>
        </is>
      </c>
      <c r="U67" s="3" t="inlineStr">
        <is>
          <t>social-security lump</t>
        </is>
      </c>
      <c r="V67" s="3" t="inlineStr">
        <is>
          <t>income + lump + SAV/PRP</t>
        </is>
      </c>
      <c r="W67" s="3" t="inlineStr">
        <is>
          <t>expected income cut</t>
        </is>
      </c>
      <c r="X67" s="3" t="inlineStr">
        <is>
          <t>income after cut</t>
        </is>
      </c>
      <c r="Y67" s="3" t="inlineStr">
        <is>
          <t>spend</t>
        </is>
      </c>
      <c r="Z67" s="3" t="inlineStr">
        <is>
          <t>spend + goals</t>
        </is>
      </c>
      <c r="AA67" s="3" t="inlineStr">
        <is>
          <t>expected medical</t>
        </is>
      </c>
      <c r="AB67" s="3" t="inlineStr">
        <is>
          <t>savings</t>
        </is>
      </c>
      <c r="AC67" s="3" t="inlineStr">
        <is>
          <t>equity</t>
        </is>
      </c>
      <c r="AD67" s="3" t="inlineStr">
        <is>
          <t>WEALTH</t>
        </is>
      </c>
      <c r="AE67" s="3" t="inlineStr">
        <is>
          <t>CONSUMPTION WEALTH</t>
        </is>
      </c>
      <c r="AF67" s="3" t="inlineStr">
        <is>
          <t>N_INC weight</t>
        </is>
      </c>
      <c r="AG67" s="3" t="inlineStr">
        <is>
          <t>N_INC v pre</t>
        </is>
      </c>
      <c r="AH67" s="3" t="inlineStr">
        <is>
          <t>N_INC v rec</t>
        </is>
      </c>
      <c r="AI67" s="3" t="inlineStr">
        <is>
          <t>N_INC v full</t>
        </is>
      </c>
      <c r="AJ67" s="3" t="inlineStr">
        <is>
          <t>N_CRI weight</t>
        </is>
      </c>
      <c r="AK67" s="3" t="inlineStr">
        <is>
          <t>N_CRI v pre</t>
        </is>
      </c>
      <c r="AL67" s="3" t="inlineStr">
        <is>
          <t>N_CRI v rec</t>
        </is>
      </c>
      <c r="AM67" s="3" t="inlineStr">
        <is>
          <t>N_CRI v full</t>
        </is>
      </c>
      <c r="AN67" s="3" t="inlineStr">
        <is>
          <t>N_TPD weight</t>
        </is>
      </c>
      <c r="AO67" s="3" t="inlineStr">
        <is>
          <t>N_TPD v pre</t>
        </is>
      </c>
      <c r="AP67" s="3" t="inlineStr">
        <is>
          <t>N_TPD v rec</t>
        </is>
      </c>
      <c r="AQ67" s="3" t="inlineStr">
        <is>
          <t>N_TPD v full</t>
        </is>
      </c>
      <c r="AR67" s="3" t="inlineStr">
        <is>
          <t>N_HOS weight</t>
        </is>
      </c>
      <c r="AS67" s="3" t="inlineStr">
        <is>
          <t>N_HOS v pre</t>
        </is>
      </c>
      <c r="AT67" s="3" t="inlineStr">
        <is>
          <t>N_HOS v rec</t>
        </is>
      </c>
      <c r="AU67" s="3" t="inlineStr">
        <is>
          <t>N_HOS v full</t>
        </is>
      </c>
      <c r="AV67" s="3" t="inlineStr">
        <is>
          <t>N_RET weight</t>
        </is>
      </c>
      <c r="AW67" s="3" t="inlineStr">
        <is>
          <t>N_RET v pre</t>
        </is>
      </c>
      <c r="AX67" s="3" t="inlineStr">
        <is>
          <t>N_RET v rec</t>
        </is>
      </c>
      <c r="AY67" s="3" t="inlineStr">
        <is>
          <t>N_RET v full</t>
        </is>
      </c>
      <c r="AZ67" s="3" t="inlineStr">
        <is>
          <t>N_EDU weight</t>
        </is>
      </c>
      <c r="BA67" s="3" t="inlineStr">
        <is>
          <t>N_EDU v pre</t>
        </is>
      </c>
      <c r="BB67" s="3" t="inlineStr">
        <is>
          <t>N_EDU v rec</t>
        </is>
      </c>
      <c r="BC67" s="3" t="inlineStr">
        <is>
          <t>N_EDU v full</t>
        </is>
      </c>
      <c r="BD67" s="3" t="inlineStr">
        <is>
          <t>N_SAV weight</t>
        </is>
      </c>
      <c r="BE67" s="3" t="inlineStr">
        <is>
          <t>N_SAV v pre</t>
        </is>
      </c>
      <c r="BF67" s="3" t="inlineStr">
        <is>
          <t>N_SAV v rec</t>
        </is>
      </c>
      <c r="BG67" s="3" t="inlineStr">
        <is>
          <t>N_SAV v full</t>
        </is>
      </c>
      <c r="BH67" s="3" t="inlineStr">
        <is>
          <t>N_PRP weight</t>
        </is>
      </c>
      <c r="BI67" s="3" t="inlineStr">
        <is>
          <t>N_PRP v pre</t>
        </is>
      </c>
      <c r="BJ67" s="3" t="inlineStr">
        <is>
          <t>N_PRP v rec</t>
        </is>
      </c>
      <c r="BK67" s="3" t="inlineStr">
        <is>
          <t>N_PRP v full</t>
        </is>
      </c>
    </row>
    <row r="68">
      <c r="A68" s="61" t="n">
        <v>0</v>
      </c>
      <c r="B68" s="61">
        <f>HU_age+A68</f>
        <v/>
      </c>
      <c r="C68" s="52">
        <f>A68&lt;=HU_T</f>
        <v/>
      </c>
      <c r="D68" s="63">
        <f>IF(OR(A68&lt;1,A68&gt;HU_T),0,INDEX(HU_q_mort,HU_age+A68-17,HU_col))</f>
        <v/>
      </c>
      <c r="E68" s="63">
        <f>IF(OR(A68&lt;1,A68&gt;HU_T),0,INDEX(HU_q_adb,HU_age+A68-17,HU_col))</f>
        <v/>
      </c>
      <c r="F68" s="63">
        <f>IF(OR(A68&lt;1,A68&gt;HU_T),0,INDEX(HU_q_morb,HU_age+A68-17,HU_col))</f>
        <v/>
      </c>
      <c r="G68" s="63">
        <f>IF(OR(A68&lt;1,A68&gt;HU_T),0,INDEX(HU_q_ptd,HU_age+A68-17,HU_col))</f>
        <v/>
      </c>
      <c r="H68" s="63">
        <f>IF(OR(A68&lt;1,A68&gt;HU_T),0,INDEX(HU_q_dis,HU_age+A68-17,HU_col))</f>
        <v/>
      </c>
      <c r="I68" s="63" t="n">
        <v>1</v>
      </c>
      <c r="J68" s="63">
        <f>IF(A68&gt;=HU_T,0,N(I69))</f>
        <v/>
      </c>
      <c r="K68" s="63" t="n">
        <v>1</v>
      </c>
      <c r="L68" s="63" t="n">
        <v>0</v>
      </c>
      <c r="M68" s="63" t="n">
        <v>0</v>
      </c>
      <c r="N68" s="63" t="n">
        <v>1</v>
      </c>
      <c r="O68" s="63" t="n">
        <v>0</v>
      </c>
      <c r="P68" s="63" t="n">
        <v>1</v>
      </c>
      <c r="Q68" s="63" t="n">
        <v>0</v>
      </c>
      <c r="R68" s="60">
        <f>(1+inflationRate)^A68</f>
        <v/>
      </c>
      <c r="S68" s="29" t="n">
        <v>0</v>
      </c>
      <c r="T68" s="60" t="n">
        <v>1</v>
      </c>
      <c r="U68" s="29" t="n">
        <v>0</v>
      </c>
      <c r="V68" s="29" t="n">
        <v>0</v>
      </c>
      <c r="W68" s="60" t="n">
        <v>0</v>
      </c>
      <c r="X68" s="29" t="n">
        <v>0</v>
      </c>
      <c r="Y68" s="29" t="n">
        <v>0</v>
      </c>
      <c r="Z68" s="29" t="n">
        <v>0</v>
      </c>
      <c r="AA68" s="29" t="n">
        <v>0</v>
      </c>
      <c r="AB68" s="29">
        <f>HU_cash0</f>
        <v/>
      </c>
      <c r="AC68" s="29">
        <f>IF(A68&gt;HU_T,0,HU_inv*EXP(HU_mu*A68))</f>
        <v/>
      </c>
      <c r="AD68" s="29">
        <f>IF(A68&gt;HU_T,0,MAX(0,AC68+AB68))</f>
        <v/>
      </c>
      <c r="AE68" s="29" t="n">
        <v>0</v>
      </c>
      <c r="AF68" s="63">
        <f>IF(AND($J$6,A68&gt;=1,A68&lt;=$Q$6-1),J68,0)</f>
        <v/>
      </c>
      <c r="AG68" s="29">
        <f>IF(OR(AF68=0,$S$6=0),0,IF((AD68+$L$6)&gt;$S$6/HU_alpha+$K$6,0.5*$S$6/HU_alpha,IF((AD68+$L$6)&gt;=$K$6,((AD68+$L$6)-$K$6)-0.5*HU_alpha/$S$6*((AD68+$L$6)-$K$6)^2,IF((AD68+$L$6)&gt;=$T$6,HU_beta*((AD68+$L$6)-$K$6),HU_beta*($T$6-$K$6)))))</f>
        <v/>
      </c>
      <c r="AH68" s="29">
        <f>IF(OR(AF68=0,$S$6=0),0,IF((AD68+$L$6+$N$6)&gt;$S$6/HU_alpha+$K$6,0.5*$S$6/HU_alpha,IF((AD68+$L$6+$N$6)&gt;=$K$6,((AD68+$L$6+$N$6)-$K$6)-0.5*HU_alpha/$S$6*((AD68+$L$6+$N$6)-$K$6)^2,IF((AD68+$L$6+$N$6)&gt;=$T$6,HU_beta*((AD68+$L$6+$N$6)-$K$6),HU_beta*($T$6-$K$6)))))</f>
        <v/>
      </c>
      <c r="AI68" s="29">
        <f>IF(OR(AF68=0,$S$6=0),0,IF((AD68+$K$6)&gt;$S$6/HU_alpha+$K$6,0.5*$S$6/HU_alpha,IF((AD68+$K$6)&gt;=$K$6,((AD68+$K$6)-$K$6)-0.5*HU_alpha/$S$6*((AD68+$K$6)-$K$6)^2,IF((AD68+$K$6)&gt;=$T$6,HU_beta*((AD68+$K$6)-$K$6),HU_beta*($T$6-$K$6)))))</f>
        <v/>
      </c>
      <c r="AJ68" s="63">
        <f>IF(AND($J$7,A68&gt;=1,A68&lt;=$Q$7-1),J68,0)</f>
        <v/>
      </c>
      <c r="AK68" s="29">
        <f>IF(OR(AJ68=0,$S$7=0),0,IF((AE68+$L$7)&gt;$S$7/HU_alpha+$K$7,0.5*$S$7/HU_alpha,IF((AE68+$L$7)&gt;=$K$7,((AE68+$L$7)-$K$7)-0.5*HU_alpha/$S$7*((AE68+$L$7)-$K$7)^2,IF((AE68+$L$7)&gt;=$T$7,HU_beta*((AE68+$L$7)-$K$7),HU_beta*($T$7-$K$7)))))</f>
        <v/>
      </c>
      <c r="AL68" s="29">
        <f>IF(OR(AJ68=0,$S$7=0),0,IF((AE68+$L$7+$N$7)&gt;$S$7/HU_alpha+$K$7,0.5*$S$7/HU_alpha,IF((AE68+$L$7+$N$7)&gt;=$K$7,((AE68+$L$7+$N$7)-$K$7)-0.5*HU_alpha/$S$7*((AE68+$L$7+$N$7)-$K$7)^2,IF((AE68+$L$7+$N$7)&gt;=$T$7,HU_beta*((AE68+$L$7+$N$7)-$K$7),HU_beta*($T$7-$K$7)))))</f>
        <v/>
      </c>
      <c r="AM68" s="29">
        <f>IF(OR(AJ68=0,$S$7=0),0,IF((AE68+$K$7)&gt;$S$7/HU_alpha+$K$7,0.5*$S$7/HU_alpha,IF((AE68+$K$7)&gt;=$K$7,((AE68+$K$7)-$K$7)-0.5*HU_alpha/$S$7*((AE68+$K$7)-$K$7)^2,IF((AE68+$K$7)&gt;=$T$7,HU_beta*((AE68+$K$7)-$K$7),HU_beta*($T$7-$K$7)))))</f>
        <v/>
      </c>
      <c r="AN68" s="63">
        <f>IF(AND($J$8,A68&gt;=1,A68&lt;=$Q$8-1),J68,0)</f>
        <v/>
      </c>
      <c r="AO68" s="29">
        <f>IF(OR(AN68=0,$S$8=0),0,IF((AE68+$L$8)&gt;$S$8/HU_alpha+$K$8,0.5*$S$8/HU_alpha,IF((AE68+$L$8)&gt;=$K$8,((AE68+$L$8)-$K$8)-0.5*HU_alpha/$S$8*((AE68+$L$8)-$K$8)^2,IF((AE68+$L$8)&gt;=$T$8,HU_beta*((AE68+$L$8)-$K$8),HU_beta*($T$8-$K$8)))))</f>
        <v/>
      </c>
      <c r="AP68" s="29">
        <f>IF(OR(AN68=0,$S$8=0),0,IF((AE68+$L$8+$N$8)&gt;$S$8/HU_alpha+$K$8,0.5*$S$8/HU_alpha,IF((AE68+$L$8+$N$8)&gt;=$K$8,((AE68+$L$8+$N$8)-$K$8)-0.5*HU_alpha/$S$8*((AE68+$L$8+$N$8)-$K$8)^2,IF((AE68+$L$8+$N$8)&gt;=$T$8,HU_beta*((AE68+$L$8+$N$8)-$K$8),HU_beta*($T$8-$K$8)))))</f>
        <v/>
      </c>
      <c r="AQ68" s="29">
        <f>IF(OR(AN68=0,$S$8=0),0,IF((AE68+$K$8)&gt;$S$8/HU_alpha+$K$8,0.5*$S$8/HU_alpha,IF((AE68+$K$8)&gt;=$K$8,((AE68+$K$8)-$K$8)-0.5*HU_alpha/$S$8*((AE68+$K$8)-$K$8)^2,IF((AE68+$K$8)&gt;=$T$8,HU_beta*((AE68+$K$8)-$K$8),HU_beta*($T$8-$K$8)))))</f>
        <v/>
      </c>
      <c r="AR68" s="63">
        <f>IF(AND($J$9,A68&gt;=1,A68&lt;=$Q$9-1),J68,0)</f>
        <v/>
      </c>
      <c r="AS68" s="29">
        <f>IF(OR(AR68=0,$S$9=0),0,IF((AE68+$L$9)&gt;$S$9/HU_alpha+$K$9,0.5*$S$9/HU_alpha,IF((AE68+$L$9)&gt;=$K$9,((AE68+$L$9)-$K$9)-0.5*HU_alpha/$S$9*((AE68+$L$9)-$K$9)^2,IF((AE68+$L$9)&gt;=$T$9,HU_beta*((AE68+$L$9)-$K$9),HU_beta*($T$9-$K$9)))))</f>
        <v/>
      </c>
      <c r="AT68" s="29">
        <f>IF(OR(AR68=0,$S$9=0),0,IF((AE68+$L$9+$N$9)&gt;$S$9/HU_alpha+$K$9,0.5*$S$9/HU_alpha,IF((AE68+$L$9+$N$9)&gt;=$K$9,((AE68+$L$9+$N$9)-$K$9)-0.5*HU_alpha/$S$9*((AE68+$L$9+$N$9)-$K$9)^2,IF((AE68+$L$9+$N$9)&gt;=$T$9,HU_beta*((AE68+$L$9+$N$9)-$K$9),HU_beta*($T$9-$K$9)))))</f>
        <v/>
      </c>
      <c r="AU68" s="29">
        <f>IF(OR(AR68=0,$S$9=0),0,IF((AE68+$K$9)&gt;$S$9/HU_alpha+$K$9,0.5*$S$9/HU_alpha,IF((AE68+$K$9)&gt;=$K$9,((AE68+$K$9)-$K$9)-0.5*HU_alpha/$S$9*((AE68+$K$9)-$K$9)^2,IF((AE68+$K$9)&gt;=$T$9,HU_beta*((AE68+$K$9)-$K$9),HU_beta*($T$9-$K$9)))))</f>
        <v/>
      </c>
      <c r="AV68" s="63">
        <f>IF(AND($J$10,A68=$Q$10),J68,0)</f>
        <v/>
      </c>
      <c r="AW68" s="29">
        <f>IF(OR(AV68=0,$S$10=0),0,IF((AD68+$L$10)&gt;$S$10/HU_alpha+$K$10,0.5*$S$10/HU_alpha,IF((AD68+$L$10)&gt;=$K$10,((AD68+$L$10)-$K$10)-0.5*HU_alpha/$S$10*((AD68+$L$10)-$K$10)^2,IF((AD68+$L$10)&gt;=$T$10,HU_beta*((AD68+$L$10)-$K$10),HU_beta*($T$10-$K$10)))))</f>
        <v/>
      </c>
      <c r="AX68" s="29">
        <f>IF(OR(AV68=0,$S$10=0),0,IF((AD68+$L$10+$N$10)&gt;$S$10/HU_alpha+$K$10,0.5*$S$10/HU_alpha,IF((AD68+$L$10+$N$10)&gt;=$K$10,((AD68+$L$10+$N$10)-$K$10)-0.5*HU_alpha/$S$10*((AD68+$L$10+$N$10)-$K$10)^2,IF((AD68+$L$10+$N$10)&gt;=$T$10,HU_beta*((AD68+$L$10+$N$10)-$K$10),HU_beta*($T$10-$K$10)))))</f>
        <v/>
      </c>
      <c r="AY68" s="29">
        <f>IF(OR(AV68=0,$S$10=0),0,IF((AD68+$K$10)&gt;$S$10/HU_alpha+$K$10,0.5*$S$10/HU_alpha,IF((AD68+$K$10)&gt;=$K$10,((AD68+$K$10)-$K$10)-0.5*HU_alpha/$S$10*((AD68+$K$10)-$K$10)^2,IF((AD68+$K$10)&gt;=$T$10,HU_beta*((AD68+$K$10)-$K$10),HU_beta*($T$10-$K$10)))))</f>
        <v/>
      </c>
      <c r="AZ68" s="63">
        <f>IF(AND($J$11,A68=$Q$11),J68,0)</f>
        <v/>
      </c>
      <c r="BA68" s="29">
        <f>IF(OR(AZ68=0,$S$11=0),0,IF((AE68+$L$11)&gt;$S$11/HU_alpha+$K$11,0.5*$S$11/HU_alpha,IF((AE68+$L$11)&gt;=$K$11,((AE68+$L$11)-$K$11)-0.5*HU_alpha/$S$11*((AE68+$L$11)-$K$11)^2,IF((AE68+$L$11)&gt;=$T$11,HU_beta*((AE68+$L$11)-$K$11),HU_beta*($T$11-$K$11)))))</f>
        <v/>
      </c>
      <c r="BB68" s="29">
        <f>IF(OR(AZ68=0,$S$11=0),0,IF((AE68+$L$11+$N$11)&gt;$S$11/HU_alpha+$K$11,0.5*$S$11/HU_alpha,IF((AE68+$L$11+$N$11)&gt;=$K$11,((AE68+$L$11+$N$11)-$K$11)-0.5*HU_alpha/$S$11*((AE68+$L$11+$N$11)-$K$11)^2,IF((AE68+$L$11+$N$11)&gt;=$T$11,HU_beta*((AE68+$L$11+$N$11)-$K$11),HU_beta*($T$11-$K$11)))))</f>
        <v/>
      </c>
      <c r="BC68" s="29">
        <f>IF(OR(AZ68=0,$S$11=0),0,IF((AE68+$K$11)&gt;$S$11/HU_alpha+$K$11,0.5*$S$11/HU_alpha,IF((AE68+$K$11)&gt;=$K$11,((AE68+$K$11)-$K$11)-0.5*HU_alpha/$S$11*((AE68+$K$11)-$K$11)^2,IF((AE68+$K$11)&gt;=$T$11,HU_beta*((AE68+$K$11)-$K$11),HU_beta*($T$11-$K$11)))))</f>
        <v/>
      </c>
      <c r="BD68" s="63">
        <f>IF(AND($J$12,A68=$Q$12),J68,0)</f>
        <v/>
      </c>
      <c r="BE68" s="29">
        <f>IF(OR(BD68=0,$S$12=0),0,IF((AE68+$L$12)&gt;$S$12/HU_alpha+$K$12,0.5*$S$12/HU_alpha,IF((AE68+$L$12)&gt;=$K$12,((AE68+$L$12)-$K$12)-0.5*HU_alpha/$S$12*((AE68+$L$12)-$K$12)^2,IF((AE68+$L$12)&gt;=$T$12,HU_beta*((AE68+$L$12)-$K$12),HU_beta*($T$12-$K$12)))))</f>
        <v/>
      </c>
      <c r="BF68" s="29">
        <f>IF(OR(BD68=0,$S$12=0),0,IF((AE68+$L$12+$N$12)&gt;$S$12/HU_alpha+$K$12,0.5*$S$12/HU_alpha,IF((AE68+$L$12+$N$12)&gt;=$K$12,((AE68+$L$12+$N$12)-$K$12)-0.5*HU_alpha/$S$12*((AE68+$L$12+$N$12)-$K$12)^2,IF((AE68+$L$12+$N$12)&gt;=$T$12,HU_beta*((AE68+$L$12+$N$12)-$K$12),HU_beta*($T$12-$K$12)))))</f>
        <v/>
      </c>
      <c r="BG68" s="29">
        <f>IF(OR(BD68=0,$S$12=0),0,IF((AE68+$K$12)&gt;$S$12/HU_alpha+$K$12,0.5*$S$12/HU_alpha,IF((AE68+$K$12)&gt;=$K$12,((AE68+$K$12)-$K$12)-0.5*HU_alpha/$S$12*((AE68+$K$12)-$K$12)^2,IF((AE68+$K$12)&gt;=$T$12,HU_beta*((AE68+$K$12)-$K$12),HU_beta*($T$12-$K$12)))))</f>
        <v/>
      </c>
      <c r="BH68" s="63">
        <f>IF(AND($J$13,A68=$Q$13),J68,0)</f>
        <v/>
      </c>
      <c r="BI68" s="29">
        <f>IF(OR(BH68=0,$S$13=0),0,IF((AE68+$L$13)&gt;$S$13/HU_alpha+$K$13,0.5*$S$13/HU_alpha,IF((AE68+$L$13)&gt;=$K$13,((AE68+$L$13)-$K$13)-0.5*HU_alpha/$S$13*((AE68+$L$13)-$K$13)^2,IF((AE68+$L$13)&gt;=$T$13,HU_beta*((AE68+$L$13)-$K$13),HU_beta*($T$13-$K$13)))))</f>
        <v/>
      </c>
      <c r="BJ68" s="29">
        <f>IF(OR(BH68=0,$S$13=0),0,IF((AE68+$L$13+$N$13)&gt;$S$13/HU_alpha+$K$13,0.5*$S$13/HU_alpha,IF((AE68+$L$13+$N$13)&gt;=$K$13,((AE68+$L$13+$N$13)-$K$13)-0.5*HU_alpha/$S$13*((AE68+$L$13+$N$13)-$K$13)^2,IF((AE68+$L$13+$N$13)&gt;=$T$13,HU_beta*((AE68+$L$13+$N$13)-$K$13),HU_beta*($T$13-$K$13)))))</f>
        <v/>
      </c>
      <c r="BK68" s="29">
        <f>IF(OR(BH68=0,$S$13=0),0,IF((AE68+$K$13)&gt;$S$13/HU_alpha+$K$13,0.5*$S$13/HU_alpha,IF((AE68+$K$13)&gt;=$K$13,((AE68+$K$13)-$K$13)-0.5*HU_alpha/$S$13*((AE68+$K$13)-$K$13)^2,IF((AE68+$K$13)&gt;=$T$13,HU_beta*((AE68+$K$13)-$K$13),HU_beta*($T$13-$K$13)))))</f>
        <v/>
      </c>
    </row>
    <row r="69">
      <c r="A69" s="61" t="n">
        <v>1</v>
      </c>
      <c r="B69" s="61">
        <f>HU_age+A69</f>
        <v/>
      </c>
      <c r="C69" s="52">
        <f>A69&lt;=HU_T</f>
        <v/>
      </c>
      <c r="D69" s="63">
        <f>IF(OR(A69&lt;1,A69&gt;HU_T),0,INDEX(HU_q_mort,HU_age+A69-17,HU_col))</f>
        <v/>
      </c>
      <c r="E69" s="63">
        <f>IF(OR(A69&lt;1,A69&gt;HU_T),0,INDEX(HU_q_adb,HU_age+A69-17,HU_col))</f>
        <v/>
      </c>
      <c r="F69" s="63">
        <f>IF(OR(A69&lt;1,A69&gt;HU_T),0,INDEX(HU_q_morb,HU_age+A69-17,HU_col))</f>
        <v/>
      </c>
      <c r="G69" s="63">
        <f>IF(OR(A69&lt;1,A69&gt;HU_T),0,INDEX(HU_q_ptd,HU_age+A69-17,HU_col))</f>
        <v/>
      </c>
      <c r="H69" s="63">
        <f>IF(OR(A69&lt;1,A69&gt;HU_T),0,INDEX(HU_q_dis,HU_age+A69-17,HU_col))</f>
        <v/>
      </c>
      <c r="I69" s="63">
        <f>IF(A69&gt;HU_T,0,I68*(1-D69)*(1-E69))</f>
        <v/>
      </c>
      <c r="J69" s="63">
        <f>IF(A69&gt;=HU_T,0,N(I70))</f>
        <v/>
      </c>
      <c r="K69" s="63">
        <f>K68*(1-G69)</f>
        <v/>
      </c>
      <c r="L69" s="63">
        <f>1-K69</f>
        <v/>
      </c>
      <c r="M69" s="63">
        <f>K68*G69</f>
        <v/>
      </c>
      <c r="N69" s="63">
        <f>N68*(1-H69)</f>
        <v/>
      </c>
      <c r="O69" s="63">
        <f>1-N68</f>
        <v/>
      </c>
      <c r="P69" s="63">
        <f>P68*(1-F69)</f>
        <v/>
      </c>
      <c r="Q69" s="63">
        <f>1-P68/INDEX($P$68:$P$150,MAX(1,A69-HU_ciYears))</f>
        <v/>
      </c>
      <c r="R69" s="60">
        <f>(1+inflationRate)^A69</f>
        <v/>
      </c>
      <c r="S69" s="29">
        <f>IF(OR(OR(A69&lt;1,A69&gt;HU_T),A69-1&gt;=HU_dtr),0,HU_inc0*(1+incomeGrowthRate)^A69)</f>
        <v/>
      </c>
      <c r="T69" s="60">
        <f>IF(A69&gt;HU_T,T68,T68*(1+INDEX(HU_ssG,HU_age+A69-17)))</f>
        <v/>
      </c>
      <c r="U69" s="29">
        <f>IF(AND(HU_dtr&gt;=1,A69=HU_dtr,A69&lt;=HU_T),MIN(S69*INDEX(HU_ssC,HU_age+A69-17)/(1-INDEX(HU_ssC,HU_age+A69-17)),INDEX(HU_ssCap,HU_age+A69-17))*T69,0)</f>
        <v/>
      </c>
      <c r="V69" s="29">
        <f>S69+U69+IF(AND(HU_wdOn,A69=HU_wdYear),HU_wdIncome,0)</f>
        <v/>
      </c>
      <c r="W69" s="60">
        <f>HU_ciProp*Q69+HU_tpdCut*L69+HU_disCut*O69</f>
        <v/>
      </c>
      <c r="X69" s="29">
        <f>IF(OR(A69&lt;1,A69&gt;HU_T),0,V69*(1-W69))</f>
        <v/>
      </c>
      <c r="Y69" s="29">
        <f>IF(OR(A69&lt;1,A69&gt;HU_T),0,IF(AND(HU_retExp&gt;0,A69-1&gt;=HU_dtr),HU_retExp,HU_exp0)*R69)</f>
        <v/>
      </c>
      <c r="Z69" s="29">
        <f>-Y69-IF(AND(HU_wdOn,A69=HU_wdYear),HU_wdOut,0)</f>
        <v/>
      </c>
      <c r="AA69" s="29">
        <f>IF(OR(A69&lt;1,A69&gt;HU_T),0,-HU_medCost*R69*F69-HU_tpdCost*R69*M69)</f>
        <v/>
      </c>
      <c r="AB69" s="29">
        <f>IF(A69&gt;HU_T,0,AB68*(1+interestRate)+X69+Z69+AA69)</f>
        <v/>
      </c>
      <c r="AC69" s="29">
        <f>IF(A69&gt;HU_T,0,HU_inv*EXP(HU_mu*A69))</f>
        <v/>
      </c>
      <c r="AD69" s="29">
        <f>IF(A69&gt;HU_T,0,MAX(0,AC69+AB69))</f>
        <v/>
      </c>
      <c r="AE69" s="29">
        <f>IF(A69&gt;HU_T,0,MAX(0,X69-Y69))</f>
        <v/>
      </c>
      <c r="AF69" s="63">
        <f>IF(AND($J$6,A69&gt;=1,A69&lt;=$Q$6-1),J69,0)</f>
        <v/>
      </c>
      <c r="AG69" s="29">
        <f>IF(OR(AF69=0,$S$6=0),0,IF((AD69+$L$6)&gt;$S$6/HU_alpha+$K$6,0.5*$S$6/HU_alpha,IF((AD69+$L$6)&gt;=$K$6,((AD69+$L$6)-$K$6)-0.5*HU_alpha/$S$6*((AD69+$L$6)-$K$6)^2,IF((AD69+$L$6)&gt;=$T$6,HU_beta*((AD69+$L$6)-$K$6),HU_beta*($T$6-$K$6)))))</f>
        <v/>
      </c>
      <c r="AH69" s="29">
        <f>IF(OR(AF69=0,$S$6=0),0,IF((AD69+$L$6+$N$6)&gt;$S$6/HU_alpha+$K$6,0.5*$S$6/HU_alpha,IF((AD69+$L$6+$N$6)&gt;=$K$6,((AD69+$L$6+$N$6)-$K$6)-0.5*HU_alpha/$S$6*((AD69+$L$6+$N$6)-$K$6)^2,IF((AD69+$L$6+$N$6)&gt;=$T$6,HU_beta*((AD69+$L$6+$N$6)-$K$6),HU_beta*($T$6-$K$6)))))</f>
        <v/>
      </c>
      <c r="AI69" s="29">
        <f>IF(OR(AF69=0,$S$6=0),0,IF((AD69+$K$6)&gt;$S$6/HU_alpha+$K$6,0.5*$S$6/HU_alpha,IF((AD69+$K$6)&gt;=$K$6,((AD69+$K$6)-$K$6)-0.5*HU_alpha/$S$6*((AD69+$K$6)-$K$6)^2,IF((AD69+$K$6)&gt;=$T$6,HU_beta*((AD69+$K$6)-$K$6),HU_beta*($T$6-$K$6)))))</f>
        <v/>
      </c>
      <c r="AJ69" s="63">
        <f>IF(AND($J$7,A69&gt;=1,A69&lt;=$Q$7-1),J69,0)</f>
        <v/>
      </c>
      <c r="AK69" s="29">
        <f>IF(OR(AJ69=0,$S$7=0),0,IF((AE69+$L$7)&gt;$S$7/HU_alpha+$K$7,0.5*$S$7/HU_alpha,IF((AE69+$L$7)&gt;=$K$7,((AE69+$L$7)-$K$7)-0.5*HU_alpha/$S$7*((AE69+$L$7)-$K$7)^2,IF((AE69+$L$7)&gt;=$T$7,HU_beta*((AE69+$L$7)-$K$7),HU_beta*($T$7-$K$7)))))</f>
        <v/>
      </c>
      <c r="AL69" s="29">
        <f>IF(OR(AJ69=0,$S$7=0),0,IF((AE69+$L$7+$N$7)&gt;$S$7/HU_alpha+$K$7,0.5*$S$7/HU_alpha,IF((AE69+$L$7+$N$7)&gt;=$K$7,((AE69+$L$7+$N$7)-$K$7)-0.5*HU_alpha/$S$7*((AE69+$L$7+$N$7)-$K$7)^2,IF((AE69+$L$7+$N$7)&gt;=$T$7,HU_beta*((AE69+$L$7+$N$7)-$K$7),HU_beta*($T$7-$K$7)))))</f>
        <v/>
      </c>
      <c r="AM69" s="29">
        <f>IF(OR(AJ69=0,$S$7=0),0,IF((AE69+$K$7)&gt;$S$7/HU_alpha+$K$7,0.5*$S$7/HU_alpha,IF((AE69+$K$7)&gt;=$K$7,((AE69+$K$7)-$K$7)-0.5*HU_alpha/$S$7*((AE69+$K$7)-$K$7)^2,IF((AE69+$K$7)&gt;=$T$7,HU_beta*((AE69+$K$7)-$K$7),HU_beta*($T$7-$K$7)))))</f>
        <v/>
      </c>
      <c r="AN69" s="63">
        <f>IF(AND($J$8,A69&gt;=1,A69&lt;=$Q$8-1),J69,0)</f>
        <v/>
      </c>
      <c r="AO69" s="29">
        <f>IF(OR(AN69=0,$S$8=0),0,IF((AE69+$L$8)&gt;$S$8/HU_alpha+$K$8,0.5*$S$8/HU_alpha,IF((AE69+$L$8)&gt;=$K$8,((AE69+$L$8)-$K$8)-0.5*HU_alpha/$S$8*((AE69+$L$8)-$K$8)^2,IF((AE69+$L$8)&gt;=$T$8,HU_beta*((AE69+$L$8)-$K$8),HU_beta*($T$8-$K$8)))))</f>
        <v/>
      </c>
      <c r="AP69" s="29">
        <f>IF(OR(AN69=0,$S$8=0),0,IF((AE69+$L$8+$N$8)&gt;$S$8/HU_alpha+$K$8,0.5*$S$8/HU_alpha,IF((AE69+$L$8+$N$8)&gt;=$K$8,((AE69+$L$8+$N$8)-$K$8)-0.5*HU_alpha/$S$8*((AE69+$L$8+$N$8)-$K$8)^2,IF((AE69+$L$8+$N$8)&gt;=$T$8,HU_beta*((AE69+$L$8+$N$8)-$K$8),HU_beta*($T$8-$K$8)))))</f>
        <v/>
      </c>
      <c r="AQ69" s="29">
        <f>IF(OR(AN69=0,$S$8=0),0,IF((AE69+$K$8)&gt;$S$8/HU_alpha+$K$8,0.5*$S$8/HU_alpha,IF((AE69+$K$8)&gt;=$K$8,((AE69+$K$8)-$K$8)-0.5*HU_alpha/$S$8*((AE69+$K$8)-$K$8)^2,IF((AE69+$K$8)&gt;=$T$8,HU_beta*((AE69+$K$8)-$K$8),HU_beta*($T$8-$K$8)))))</f>
        <v/>
      </c>
      <c r="AR69" s="63">
        <f>IF(AND($J$9,A69&gt;=1,A69&lt;=$Q$9-1),J69,0)</f>
        <v/>
      </c>
      <c r="AS69" s="29">
        <f>IF(OR(AR69=0,$S$9=0),0,IF((AE69+$L$9)&gt;$S$9/HU_alpha+$K$9,0.5*$S$9/HU_alpha,IF((AE69+$L$9)&gt;=$K$9,((AE69+$L$9)-$K$9)-0.5*HU_alpha/$S$9*((AE69+$L$9)-$K$9)^2,IF((AE69+$L$9)&gt;=$T$9,HU_beta*((AE69+$L$9)-$K$9),HU_beta*($T$9-$K$9)))))</f>
        <v/>
      </c>
      <c r="AT69" s="29">
        <f>IF(OR(AR69=0,$S$9=0),0,IF((AE69+$L$9+$N$9)&gt;$S$9/HU_alpha+$K$9,0.5*$S$9/HU_alpha,IF((AE69+$L$9+$N$9)&gt;=$K$9,((AE69+$L$9+$N$9)-$K$9)-0.5*HU_alpha/$S$9*((AE69+$L$9+$N$9)-$K$9)^2,IF((AE69+$L$9+$N$9)&gt;=$T$9,HU_beta*((AE69+$L$9+$N$9)-$K$9),HU_beta*($T$9-$K$9)))))</f>
        <v/>
      </c>
      <c r="AU69" s="29">
        <f>IF(OR(AR69=0,$S$9=0),0,IF((AE69+$K$9)&gt;$S$9/HU_alpha+$K$9,0.5*$S$9/HU_alpha,IF((AE69+$K$9)&gt;=$K$9,((AE69+$K$9)-$K$9)-0.5*HU_alpha/$S$9*((AE69+$K$9)-$K$9)^2,IF((AE69+$K$9)&gt;=$T$9,HU_beta*((AE69+$K$9)-$K$9),HU_beta*($T$9-$K$9)))))</f>
        <v/>
      </c>
      <c r="AV69" s="63">
        <f>IF(AND($J$10,A69=$Q$10),J69,0)</f>
        <v/>
      </c>
      <c r="AW69" s="29">
        <f>IF(OR(AV69=0,$S$10=0),0,IF((AD69+$L$10)&gt;$S$10/HU_alpha+$K$10,0.5*$S$10/HU_alpha,IF((AD69+$L$10)&gt;=$K$10,((AD69+$L$10)-$K$10)-0.5*HU_alpha/$S$10*((AD69+$L$10)-$K$10)^2,IF((AD69+$L$10)&gt;=$T$10,HU_beta*((AD69+$L$10)-$K$10),HU_beta*($T$10-$K$10)))))</f>
        <v/>
      </c>
      <c r="AX69" s="29">
        <f>IF(OR(AV69=0,$S$10=0),0,IF((AD69+$L$10+$N$10)&gt;$S$10/HU_alpha+$K$10,0.5*$S$10/HU_alpha,IF((AD69+$L$10+$N$10)&gt;=$K$10,((AD69+$L$10+$N$10)-$K$10)-0.5*HU_alpha/$S$10*((AD69+$L$10+$N$10)-$K$10)^2,IF((AD69+$L$10+$N$10)&gt;=$T$10,HU_beta*((AD69+$L$10+$N$10)-$K$10),HU_beta*($T$10-$K$10)))))</f>
        <v/>
      </c>
      <c r="AY69" s="29">
        <f>IF(OR(AV69=0,$S$10=0),0,IF((AD69+$K$10)&gt;$S$10/HU_alpha+$K$10,0.5*$S$10/HU_alpha,IF((AD69+$K$10)&gt;=$K$10,((AD69+$K$10)-$K$10)-0.5*HU_alpha/$S$10*((AD69+$K$10)-$K$10)^2,IF((AD69+$K$10)&gt;=$T$10,HU_beta*((AD69+$K$10)-$K$10),HU_beta*($T$10-$K$10)))))</f>
        <v/>
      </c>
      <c r="AZ69" s="63">
        <f>IF(AND($J$11,A69=$Q$11),J69,0)</f>
        <v/>
      </c>
      <c r="BA69" s="29">
        <f>IF(OR(AZ69=0,$S$11=0),0,IF((AE69+$L$11)&gt;$S$11/HU_alpha+$K$11,0.5*$S$11/HU_alpha,IF((AE69+$L$11)&gt;=$K$11,((AE69+$L$11)-$K$11)-0.5*HU_alpha/$S$11*((AE69+$L$11)-$K$11)^2,IF((AE69+$L$11)&gt;=$T$11,HU_beta*((AE69+$L$11)-$K$11),HU_beta*($T$11-$K$11)))))</f>
        <v/>
      </c>
      <c r="BB69" s="29">
        <f>IF(OR(AZ69=0,$S$11=0),0,IF((AE69+$L$11+$N$11)&gt;$S$11/HU_alpha+$K$11,0.5*$S$11/HU_alpha,IF((AE69+$L$11+$N$11)&gt;=$K$11,((AE69+$L$11+$N$11)-$K$11)-0.5*HU_alpha/$S$11*((AE69+$L$11+$N$11)-$K$11)^2,IF((AE69+$L$11+$N$11)&gt;=$T$11,HU_beta*((AE69+$L$11+$N$11)-$K$11),HU_beta*($T$11-$K$11)))))</f>
        <v/>
      </c>
      <c r="BC69" s="29">
        <f>IF(OR(AZ69=0,$S$11=0),0,IF((AE69+$K$11)&gt;$S$11/HU_alpha+$K$11,0.5*$S$11/HU_alpha,IF((AE69+$K$11)&gt;=$K$11,((AE69+$K$11)-$K$11)-0.5*HU_alpha/$S$11*((AE69+$K$11)-$K$11)^2,IF((AE69+$K$11)&gt;=$T$11,HU_beta*((AE69+$K$11)-$K$11),HU_beta*($T$11-$K$11)))))</f>
        <v/>
      </c>
      <c r="BD69" s="63">
        <f>IF(AND($J$12,A69=$Q$12),J69,0)</f>
        <v/>
      </c>
      <c r="BE69" s="29">
        <f>IF(OR(BD69=0,$S$12=0),0,IF((AE69+$L$12)&gt;$S$12/HU_alpha+$K$12,0.5*$S$12/HU_alpha,IF((AE69+$L$12)&gt;=$K$12,((AE69+$L$12)-$K$12)-0.5*HU_alpha/$S$12*((AE69+$L$12)-$K$12)^2,IF((AE69+$L$12)&gt;=$T$12,HU_beta*((AE69+$L$12)-$K$12),HU_beta*($T$12-$K$12)))))</f>
        <v/>
      </c>
      <c r="BF69" s="29">
        <f>IF(OR(BD69=0,$S$12=0),0,IF((AE69+$L$12+$N$12)&gt;$S$12/HU_alpha+$K$12,0.5*$S$12/HU_alpha,IF((AE69+$L$12+$N$12)&gt;=$K$12,((AE69+$L$12+$N$12)-$K$12)-0.5*HU_alpha/$S$12*((AE69+$L$12+$N$12)-$K$12)^2,IF((AE69+$L$12+$N$12)&gt;=$T$12,HU_beta*((AE69+$L$12+$N$12)-$K$12),HU_beta*($T$12-$K$12)))))</f>
        <v/>
      </c>
      <c r="BG69" s="29">
        <f>IF(OR(BD69=0,$S$12=0),0,IF((AE69+$K$12)&gt;$S$12/HU_alpha+$K$12,0.5*$S$12/HU_alpha,IF((AE69+$K$12)&gt;=$K$12,((AE69+$K$12)-$K$12)-0.5*HU_alpha/$S$12*((AE69+$K$12)-$K$12)^2,IF((AE69+$K$12)&gt;=$T$12,HU_beta*((AE69+$K$12)-$K$12),HU_beta*($T$12-$K$12)))))</f>
        <v/>
      </c>
      <c r="BH69" s="63">
        <f>IF(AND($J$13,A69=$Q$13),J69,0)</f>
        <v/>
      </c>
      <c r="BI69" s="29">
        <f>IF(OR(BH69=0,$S$13=0),0,IF((AE69+$L$13)&gt;$S$13/HU_alpha+$K$13,0.5*$S$13/HU_alpha,IF((AE69+$L$13)&gt;=$K$13,((AE69+$L$13)-$K$13)-0.5*HU_alpha/$S$13*((AE69+$L$13)-$K$13)^2,IF((AE69+$L$13)&gt;=$T$13,HU_beta*((AE69+$L$13)-$K$13),HU_beta*($T$13-$K$13)))))</f>
        <v/>
      </c>
      <c r="BJ69" s="29">
        <f>IF(OR(BH69=0,$S$13=0),0,IF((AE69+$L$13+$N$13)&gt;$S$13/HU_alpha+$K$13,0.5*$S$13/HU_alpha,IF((AE69+$L$13+$N$13)&gt;=$K$13,((AE69+$L$13+$N$13)-$K$13)-0.5*HU_alpha/$S$13*((AE69+$L$13+$N$13)-$K$13)^2,IF((AE69+$L$13+$N$13)&gt;=$T$13,HU_beta*((AE69+$L$13+$N$13)-$K$13),HU_beta*($T$13-$K$13)))))</f>
        <v/>
      </c>
      <c r="BK69" s="29">
        <f>IF(OR(BH69=0,$S$13=0),0,IF((AE69+$K$13)&gt;$S$13/HU_alpha+$K$13,0.5*$S$13/HU_alpha,IF((AE69+$K$13)&gt;=$K$13,((AE69+$K$13)-$K$13)-0.5*HU_alpha/$S$13*((AE69+$K$13)-$K$13)^2,IF((AE69+$K$13)&gt;=$T$13,HU_beta*((AE69+$K$13)-$K$13),HU_beta*($T$13-$K$13)))))</f>
        <v/>
      </c>
    </row>
    <row r="70">
      <c r="A70" s="61" t="n">
        <v>2</v>
      </c>
      <c r="B70" s="61">
        <f>HU_age+A70</f>
        <v/>
      </c>
      <c r="C70" s="52">
        <f>A70&lt;=HU_T</f>
        <v/>
      </c>
      <c r="D70" s="63">
        <f>IF(OR(A70&lt;1,A70&gt;HU_T),0,INDEX(HU_q_mort,HU_age+A70-17,HU_col))</f>
        <v/>
      </c>
      <c r="E70" s="63">
        <f>IF(OR(A70&lt;1,A70&gt;HU_T),0,INDEX(HU_q_adb,HU_age+A70-17,HU_col))</f>
        <v/>
      </c>
      <c r="F70" s="63">
        <f>IF(OR(A70&lt;1,A70&gt;HU_T),0,INDEX(HU_q_morb,HU_age+A70-17,HU_col))</f>
        <v/>
      </c>
      <c r="G70" s="63">
        <f>IF(OR(A70&lt;1,A70&gt;HU_T),0,INDEX(HU_q_ptd,HU_age+A70-17,HU_col))</f>
        <v/>
      </c>
      <c r="H70" s="63">
        <f>IF(OR(A70&lt;1,A70&gt;HU_T),0,INDEX(HU_q_dis,HU_age+A70-17,HU_col))</f>
        <v/>
      </c>
      <c r="I70" s="63">
        <f>IF(A70&gt;HU_T,0,I69*(1-D70)*(1-E70))</f>
        <v/>
      </c>
      <c r="J70" s="63">
        <f>IF(A70&gt;=HU_T,0,N(I71))</f>
        <v/>
      </c>
      <c r="K70" s="63">
        <f>K69*(1-G70)</f>
        <v/>
      </c>
      <c r="L70" s="63">
        <f>1-K70</f>
        <v/>
      </c>
      <c r="M70" s="63">
        <f>K69*G70</f>
        <v/>
      </c>
      <c r="N70" s="63">
        <f>N69*(1-H70)</f>
        <v/>
      </c>
      <c r="O70" s="63">
        <f>1-N69</f>
        <v/>
      </c>
      <c r="P70" s="63">
        <f>P69*(1-F70)</f>
        <v/>
      </c>
      <c r="Q70" s="63">
        <f>1-P69/INDEX($P$68:$P$150,MAX(1,A70-HU_ciYears))</f>
        <v/>
      </c>
      <c r="R70" s="60">
        <f>(1+inflationRate)^A70</f>
        <v/>
      </c>
      <c r="S70" s="29">
        <f>IF(OR(OR(A70&lt;1,A70&gt;HU_T),A70-1&gt;=HU_dtr),0,HU_inc0*(1+incomeGrowthRate)^A70)</f>
        <v/>
      </c>
      <c r="T70" s="60">
        <f>IF(A70&gt;HU_T,T69,T69*(1+INDEX(HU_ssG,HU_age+A70-17)))</f>
        <v/>
      </c>
      <c r="U70" s="29">
        <f>IF(AND(HU_dtr&gt;=1,A70=HU_dtr,A70&lt;=HU_T),MIN(S70*INDEX(HU_ssC,HU_age+A70-17)/(1-INDEX(HU_ssC,HU_age+A70-17)),INDEX(HU_ssCap,HU_age+A70-17))*T70,0)</f>
        <v/>
      </c>
      <c r="V70" s="29">
        <f>S70+U70+IF(AND(HU_wdOn,A70=HU_wdYear),HU_wdIncome,0)</f>
        <v/>
      </c>
      <c r="W70" s="60">
        <f>HU_ciProp*Q70+HU_tpdCut*L70+HU_disCut*O70</f>
        <v/>
      </c>
      <c r="X70" s="29">
        <f>IF(OR(A70&lt;1,A70&gt;HU_T),0,V70*(1-W70))</f>
        <v/>
      </c>
      <c r="Y70" s="29">
        <f>IF(OR(A70&lt;1,A70&gt;HU_T),0,IF(AND(HU_retExp&gt;0,A70-1&gt;=HU_dtr),HU_retExp,HU_exp0)*R70)</f>
        <v/>
      </c>
      <c r="Z70" s="29">
        <f>-Y70-IF(AND(HU_wdOn,A70=HU_wdYear),HU_wdOut,0)</f>
        <v/>
      </c>
      <c r="AA70" s="29">
        <f>IF(OR(A70&lt;1,A70&gt;HU_T),0,-HU_medCost*R70*F70-HU_tpdCost*R70*M70)</f>
        <v/>
      </c>
      <c r="AB70" s="29">
        <f>IF(A70&gt;HU_T,0,AB69*(1+interestRate)+X70+Z70+AA70)</f>
        <v/>
      </c>
      <c r="AC70" s="29">
        <f>IF(A70&gt;HU_T,0,HU_inv*EXP(HU_mu*A70))</f>
        <v/>
      </c>
      <c r="AD70" s="29">
        <f>IF(A70&gt;HU_T,0,MAX(0,AC70+AB70))</f>
        <v/>
      </c>
      <c r="AE70" s="29">
        <f>IF(A70&gt;HU_T,0,MAX(0,X70-Y70))</f>
        <v/>
      </c>
      <c r="AF70" s="63">
        <f>IF(AND($J$6,A70&gt;=1,A70&lt;=$Q$6-1),J70,0)</f>
        <v/>
      </c>
      <c r="AG70" s="29">
        <f>IF(OR(AF70=0,$S$6=0),0,IF((AD70+$L$6)&gt;$S$6/HU_alpha+$K$6,0.5*$S$6/HU_alpha,IF((AD70+$L$6)&gt;=$K$6,((AD70+$L$6)-$K$6)-0.5*HU_alpha/$S$6*((AD70+$L$6)-$K$6)^2,IF((AD70+$L$6)&gt;=$T$6,HU_beta*((AD70+$L$6)-$K$6),HU_beta*($T$6-$K$6)))))</f>
        <v/>
      </c>
      <c r="AH70" s="29">
        <f>IF(OR(AF70=0,$S$6=0),0,IF((AD70+$L$6+$N$6)&gt;$S$6/HU_alpha+$K$6,0.5*$S$6/HU_alpha,IF((AD70+$L$6+$N$6)&gt;=$K$6,((AD70+$L$6+$N$6)-$K$6)-0.5*HU_alpha/$S$6*((AD70+$L$6+$N$6)-$K$6)^2,IF((AD70+$L$6+$N$6)&gt;=$T$6,HU_beta*((AD70+$L$6+$N$6)-$K$6),HU_beta*($T$6-$K$6)))))</f>
        <v/>
      </c>
      <c r="AI70" s="29">
        <f>IF(OR(AF70=0,$S$6=0),0,IF((AD70+$K$6)&gt;$S$6/HU_alpha+$K$6,0.5*$S$6/HU_alpha,IF((AD70+$K$6)&gt;=$K$6,((AD70+$K$6)-$K$6)-0.5*HU_alpha/$S$6*((AD70+$K$6)-$K$6)^2,IF((AD70+$K$6)&gt;=$T$6,HU_beta*((AD70+$K$6)-$K$6),HU_beta*($T$6-$K$6)))))</f>
        <v/>
      </c>
      <c r="AJ70" s="63">
        <f>IF(AND($J$7,A70&gt;=1,A70&lt;=$Q$7-1),J70,0)</f>
        <v/>
      </c>
      <c r="AK70" s="29">
        <f>IF(OR(AJ70=0,$S$7=0),0,IF((AE70+$L$7)&gt;$S$7/HU_alpha+$K$7,0.5*$S$7/HU_alpha,IF((AE70+$L$7)&gt;=$K$7,((AE70+$L$7)-$K$7)-0.5*HU_alpha/$S$7*((AE70+$L$7)-$K$7)^2,IF((AE70+$L$7)&gt;=$T$7,HU_beta*((AE70+$L$7)-$K$7),HU_beta*($T$7-$K$7)))))</f>
        <v/>
      </c>
      <c r="AL70" s="29">
        <f>IF(OR(AJ70=0,$S$7=0),0,IF((AE70+$L$7+$N$7)&gt;$S$7/HU_alpha+$K$7,0.5*$S$7/HU_alpha,IF((AE70+$L$7+$N$7)&gt;=$K$7,((AE70+$L$7+$N$7)-$K$7)-0.5*HU_alpha/$S$7*((AE70+$L$7+$N$7)-$K$7)^2,IF((AE70+$L$7+$N$7)&gt;=$T$7,HU_beta*((AE70+$L$7+$N$7)-$K$7),HU_beta*($T$7-$K$7)))))</f>
        <v/>
      </c>
      <c r="AM70" s="29">
        <f>IF(OR(AJ70=0,$S$7=0),0,IF((AE70+$K$7)&gt;$S$7/HU_alpha+$K$7,0.5*$S$7/HU_alpha,IF((AE70+$K$7)&gt;=$K$7,((AE70+$K$7)-$K$7)-0.5*HU_alpha/$S$7*((AE70+$K$7)-$K$7)^2,IF((AE70+$K$7)&gt;=$T$7,HU_beta*((AE70+$K$7)-$K$7),HU_beta*($T$7-$K$7)))))</f>
        <v/>
      </c>
      <c r="AN70" s="63">
        <f>IF(AND($J$8,A70&gt;=1,A70&lt;=$Q$8-1),J70,0)</f>
        <v/>
      </c>
      <c r="AO70" s="29">
        <f>IF(OR(AN70=0,$S$8=0),0,IF((AE70+$L$8)&gt;$S$8/HU_alpha+$K$8,0.5*$S$8/HU_alpha,IF((AE70+$L$8)&gt;=$K$8,((AE70+$L$8)-$K$8)-0.5*HU_alpha/$S$8*((AE70+$L$8)-$K$8)^2,IF((AE70+$L$8)&gt;=$T$8,HU_beta*((AE70+$L$8)-$K$8),HU_beta*($T$8-$K$8)))))</f>
        <v/>
      </c>
      <c r="AP70" s="29">
        <f>IF(OR(AN70=0,$S$8=0),0,IF((AE70+$L$8+$N$8)&gt;$S$8/HU_alpha+$K$8,0.5*$S$8/HU_alpha,IF((AE70+$L$8+$N$8)&gt;=$K$8,((AE70+$L$8+$N$8)-$K$8)-0.5*HU_alpha/$S$8*((AE70+$L$8+$N$8)-$K$8)^2,IF((AE70+$L$8+$N$8)&gt;=$T$8,HU_beta*((AE70+$L$8+$N$8)-$K$8),HU_beta*($T$8-$K$8)))))</f>
        <v/>
      </c>
      <c r="AQ70" s="29">
        <f>IF(OR(AN70=0,$S$8=0),0,IF((AE70+$K$8)&gt;$S$8/HU_alpha+$K$8,0.5*$S$8/HU_alpha,IF((AE70+$K$8)&gt;=$K$8,((AE70+$K$8)-$K$8)-0.5*HU_alpha/$S$8*((AE70+$K$8)-$K$8)^2,IF((AE70+$K$8)&gt;=$T$8,HU_beta*((AE70+$K$8)-$K$8),HU_beta*($T$8-$K$8)))))</f>
        <v/>
      </c>
      <c r="AR70" s="63">
        <f>IF(AND($J$9,A70&gt;=1,A70&lt;=$Q$9-1),J70,0)</f>
        <v/>
      </c>
      <c r="AS70" s="29">
        <f>IF(OR(AR70=0,$S$9=0),0,IF((AE70+$L$9)&gt;$S$9/HU_alpha+$K$9,0.5*$S$9/HU_alpha,IF((AE70+$L$9)&gt;=$K$9,((AE70+$L$9)-$K$9)-0.5*HU_alpha/$S$9*((AE70+$L$9)-$K$9)^2,IF((AE70+$L$9)&gt;=$T$9,HU_beta*((AE70+$L$9)-$K$9),HU_beta*($T$9-$K$9)))))</f>
        <v/>
      </c>
      <c r="AT70" s="29">
        <f>IF(OR(AR70=0,$S$9=0),0,IF((AE70+$L$9+$N$9)&gt;$S$9/HU_alpha+$K$9,0.5*$S$9/HU_alpha,IF((AE70+$L$9+$N$9)&gt;=$K$9,((AE70+$L$9+$N$9)-$K$9)-0.5*HU_alpha/$S$9*((AE70+$L$9+$N$9)-$K$9)^2,IF((AE70+$L$9+$N$9)&gt;=$T$9,HU_beta*((AE70+$L$9+$N$9)-$K$9),HU_beta*($T$9-$K$9)))))</f>
        <v/>
      </c>
      <c r="AU70" s="29">
        <f>IF(OR(AR70=0,$S$9=0),0,IF((AE70+$K$9)&gt;$S$9/HU_alpha+$K$9,0.5*$S$9/HU_alpha,IF((AE70+$K$9)&gt;=$K$9,((AE70+$K$9)-$K$9)-0.5*HU_alpha/$S$9*((AE70+$K$9)-$K$9)^2,IF((AE70+$K$9)&gt;=$T$9,HU_beta*((AE70+$K$9)-$K$9),HU_beta*($T$9-$K$9)))))</f>
        <v/>
      </c>
      <c r="AV70" s="63">
        <f>IF(AND($J$10,A70=$Q$10),J70,0)</f>
        <v/>
      </c>
      <c r="AW70" s="29">
        <f>IF(OR(AV70=0,$S$10=0),0,IF((AD70+$L$10)&gt;$S$10/HU_alpha+$K$10,0.5*$S$10/HU_alpha,IF((AD70+$L$10)&gt;=$K$10,((AD70+$L$10)-$K$10)-0.5*HU_alpha/$S$10*((AD70+$L$10)-$K$10)^2,IF((AD70+$L$10)&gt;=$T$10,HU_beta*((AD70+$L$10)-$K$10),HU_beta*($T$10-$K$10)))))</f>
        <v/>
      </c>
      <c r="AX70" s="29">
        <f>IF(OR(AV70=0,$S$10=0),0,IF((AD70+$L$10+$N$10)&gt;$S$10/HU_alpha+$K$10,0.5*$S$10/HU_alpha,IF((AD70+$L$10+$N$10)&gt;=$K$10,((AD70+$L$10+$N$10)-$K$10)-0.5*HU_alpha/$S$10*((AD70+$L$10+$N$10)-$K$10)^2,IF((AD70+$L$10+$N$10)&gt;=$T$10,HU_beta*((AD70+$L$10+$N$10)-$K$10),HU_beta*($T$10-$K$10)))))</f>
        <v/>
      </c>
      <c r="AY70" s="29">
        <f>IF(OR(AV70=0,$S$10=0),0,IF((AD70+$K$10)&gt;$S$10/HU_alpha+$K$10,0.5*$S$10/HU_alpha,IF((AD70+$K$10)&gt;=$K$10,((AD70+$K$10)-$K$10)-0.5*HU_alpha/$S$10*((AD70+$K$10)-$K$10)^2,IF((AD70+$K$10)&gt;=$T$10,HU_beta*((AD70+$K$10)-$K$10),HU_beta*($T$10-$K$10)))))</f>
        <v/>
      </c>
      <c r="AZ70" s="63">
        <f>IF(AND($J$11,A70=$Q$11),J70,0)</f>
        <v/>
      </c>
      <c r="BA70" s="29">
        <f>IF(OR(AZ70=0,$S$11=0),0,IF((AE70+$L$11)&gt;$S$11/HU_alpha+$K$11,0.5*$S$11/HU_alpha,IF((AE70+$L$11)&gt;=$K$11,((AE70+$L$11)-$K$11)-0.5*HU_alpha/$S$11*((AE70+$L$11)-$K$11)^2,IF((AE70+$L$11)&gt;=$T$11,HU_beta*((AE70+$L$11)-$K$11),HU_beta*($T$11-$K$11)))))</f>
        <v/>
      </c>
      <c r="BB70" s="29">
        <f>IF(OR(AZ70=0,$S$11=0),0,IF((AE70+$L$11+$N$11)&gt;$S$11/HU_alpha+$K$11,0.5*$S$11/HU_alpha,IF((AE70+$L$11+$N$11)&gt;=$K$11,((AE70+$L$11+$N$11)-$K$11)-0.5*HU_alpha/$S$11*((AE70+$L$11+$N$11)-$K$11)^2,IF((AE70+$L$11+$N$11)&gt;=$T$11,HU_beta*((AE70+$L$11+$N$11)-$K$11),HU_beta*($T$11-$K$11)))))</f>
        <v/>
      </c>
      <c r="BC70" s="29">
        <f>IF(OR(AZ70=0,$S$11=0),0,IF((AE70+$K$11)&gt;$S$11/HU_alpha+$K$11,0.5*$S$11/HU_alpha,IF((AE70+$K$11)&gt;=$K$11,((AE70+$K$11)-$K$11)-0.5*HU_alpha/$S$11*((AE70+$K$11)-$K$11)^2,IF((AE70+$K$11)&gt;=$T$11,HU_beta*((AE70+$K$11)-$K$11),HU_beta*($T$11-$K$11)))))</f>
        <v/>
      </c>
      <c r="BD70" s="63">
        <f>IF(AND($J$12,A70=$Q$12),J70,0)</f>
        <v/>
      </c>
      <c r="BE70" s="29">
        <f>IF(OR(BD70=0,$S$12=0),0,IF((AE70+$L$12)&gt;$S$12/HU_alpha+$K$12,0.5*$S$12/HU_alpha,IF((AE70+$L$12)&gt;=$K$12,((AE70+$L$12)-$K$12)-0.5*HU_alpha/$S$12*((AE70+$L$12)-$K$12)^2,IF((AE70+$L$12)&gt;=$T$12,HU_beta*((AE70+$L$12)-$K$12),HU_beta*($T$12-$K$12)))))</f>
        <v/>
      </c>
      <c r="BF70" s="29">
        <f>IF(OR(BD70=0,$S$12=0),0,IF((AE70+$L$12+$N$12)&gt;$S$12/HU_alpha+$K$12,0.5*$S$12/HU_alpha,IF((AE70+$L$12+$N$12)&gt;=$K$12,((AE70+$L$12+$N$12)-$K$12)-0.5*HU_alpha/$S$12*((AE70+$L$12+$N$12)-$K$12)^2,IF((AE70+$L$12+$N$12)&gt;=$T$12,HU_beta*((AE70+$L$12+$N$12)-$K$12),HU_beta*($T$12-$K$12)))))</f>
        <v/>
      </c>
      <c r="BG70" s="29">
        <f>IF(OR(BD70=0,$S$12=0),0,IF((AE70+$K$12)&gt;$S$12/HU_alpha+$K$12,0.5*$S$12/HU_alpha,IF((AE70+$K$12)&gt;=$K$12,((AE70+$K$12)-$K$12)-0.5*HU_alpha/$S$12*((AE70+$K$12)-$K$12)^2,IF((AE70+$K$12)&gt;=$T$12,HU_beta*((AE70+$K$12)-$K$12),HU_beta*($T$12-$K$12)))))</f>
        <v/>
      </c>
      <c r="BH70" s="63">
        <f>IF(AND($J$13,A70=$Q$13),J70,0)</f>
        <v/>
      </c>
      <c r="BI70" s="29">
        <f>IF(OR(BH70=0,$S$13=0),0,IF((AE70+$L$13)&gt;$S$13/HU_alpha+$K$13,0.5*$S$13/HU_alpha,IF((AE70+$L$13)&gt;=$K$13,((AE70+$L$13)-$K$13)-0.5*HU_alpha/$S$13*((AE70+$L$13)-$K$13)^2,IF((AE70+$L$13)&gt;=$T$13,HU_beta*((AE70+$L$13)-$K$13),HU_beta*($T$13-$K$13)))))</f>
        <v/>
      </c>
      <c r="BJ70" s="29">
        <f>IF(OR(BH70=0,$S$13=0),0,IF((AE70+$L$13+$N$13)&gt;$S$13/HU_alpha+$K$13,0.5*$S$13/HU_alpha,IF((AE70+$L$13+$N$13)&gt;=$K$13,((AE70+$L$13+$N$13)-$K$13)-0.5*HU_alpha/$S$13*((AE70+$L$13+$N$13)-$K$13)^2,IF((AE70+$L$13+$N$13)&gt;=$T$13,HU_beta*((AE70+$L$13+$N$13)-$K$13),HU_beta*($T$13-$K$13)))))</f>
        <v/>
      </c>
      <c r="BK70" s="29">
        <f>IF(OR(BH70=0,$S$13=0),0,IF((AE70+$K$13)&gt;$S$13/HU_alpha+$K$13,0.5*$S$13/HU_alpha,IF((AE70+$K$13)&gt;=$K$13,((AE70+$K$13)-$K$13)-0.5*HU_alpha/$S$13*((AE70+$K$13)-$K$13)^2,IF((AE70+$K$13)&gt;=$T$13,HU_beta*((AE70+$K$13)-$K$13),HU_beta*($T$13-$K$13)))))</f>
        <v/>
      </c>
    </row>
    <row r="71">
      <c r="A71" s="61" t="n">
        <v>3</v>
      </c>
      <c r="B71" s="61">
        <f>HU_age+A71</f>
        <v/>
      </c>
      <c r="C71" s="52">
        <f>A71&lt;=HU_T</f>
        <v/>
      </c>
      <c r="D71" s="63">
        <f>IF(OR(A71&lt;1,A71&gt;HU_T),0,INDEX(HU_q_mort,HU_age+A71-17,HU_col))</f>
        <v/>
      </c>
      <c r="E71" s="63">
        <f>IF(OR(A71&lt;1,A71&gt;HU_T),0,INDEX(HU_q_adb,HU_age+A71-17,HU_col))</f>
        <v/>
      </c>
      <c r="F71" s="63">
        <f>IF(OR(A71&lt;1,A71&gt;HU_T),0,INDEX(HU_q_morb,HU_age+A71-17,HU_col))</f>
        <v/>
      </c>
      <c r="G71" s="63">
        <f>IF(OR(A71&lt;1,A71&gt;HU_T),0,INDEX(HU_q_ptd,HU_age+A71-17,HU_col))</f>
        <v/>
      </c>
      <c r="H71" s="63">
        <f>IF(OR(A71&lt;1,A71&gt;HU_T),0,INDEX(HU_q_dis,HU_age+A71-17,HU_col))</f>
        <v/>
      </c>
      <c r="I71" s="63">
        <f>IF(A71&gt;HU_T,0,I70*(1-D71)*(1-E71))</f>
        <v/>
      </c>
      <c r="J71" s="63">
        <f>IF(A71&gt;=HU_T,0,N(I72))</f>
        <v/>
      </c>
      <c r="K71" s="63">
        <f>K70*(1-G71)</f>
        <v/>
      </c>
      <c r="L71" s="63">
        <f>1-K71</f>
        <v/>
      </c>
      <c r="M71" s="63">
        <f>K70*G71</f>
        <v/>
      </c>
      <c r="N71" s="63">
        <f>N70*(1-H71)</f>
        <v/>
      </c>
      <c r="O71" s="63">
        <f>1-N70</f>
        <v/>
      </c>
      <c r="P71" s="63">
        <f>P70*(1-F71)</f>
        <v/>
      </c>
      <c r="Q71" s="63">
        <f>1-P70/INDEX($P$68:$P$150,MAX(1,A71-HU_ciYears))</f>
        <v/>
      </c>
      <c r="R71" s="60">
        <f>(1+inflationRate)^A71</f>
        <v/>
      </c>
      <c r="S71" s="29">
        <f>IF(OR(OR(A71&lt;1,A71&gt;HU_T),A71-1&gt;=HU_dtr),0,HU_inc0*(1+incomeGrowthRate)^A71)</f>
        <v/>
      </c>
      <c r="T71" s="60">
        <f>IF(A71&gt;HU_T,T70,T70*(1+INDEX(HU_ssG,HU_age+A71-17)))</f>
        <v/>
      </c>
      <c r="U71" s="29">
        <f>IF(AND(HU_dtr&gt;=1,A71=HU_dtr,A71&lt;=HU_T),MIN(S71*INDEX(HU_ssC,HU_age+A71-17)/(1-INDEX(HU_ssC,HU_age+A71-17)),INDEX(HU_ssCap,HU_age+A71-17))*T71,0)</f>
        <v/>
      </c>
      <c r="V71" s="29">
        <f>S71+U71+IF(AND(HU_wdOn,A71=HU_wdYear),HU_wdIncome,0)</f>
        <v/>
      </c>
      <c r="W71" s="60">
        <f>HU_ciProp*Q71+HU_tpdCut*L71+HU_disCut*O71</f>
        <v/>
      </c>
      <c r="X71" s="29">
        <f>IF(OR(A71&lt;1,A71&gt;HU_T),0,V71*(1-W71))</f>
        <v/>
      </c>
      <c r="Y71" s="29">
        <f>IF(OR(A71&lt;1,A71&gt;HU_T),0,IF(AND(HU_retExp&gt;0,A71-1&gt;=HU_dtr),HU_retExp,HU_exp0)*R71)</f>
        <v/>
      </c>
      <c r="Z71" s="29">
        <f>-Y71-IF(AND(HU_wdOn,A71=HU_wdYear),HU_wdOut,0)</f>
        <v/>
      </c>
      <c r="AA71" s="29">
        <f>IF(OR(A71&lt;1,A71&gt;HU_T),0,-HU_medCost*R71*F71-HU_tpdCost*R71*M71)</f>
        <v/>
      </c>
      <c r="AB71" s="29">
        <f>IF(A71&gt;HU_T,0,AB70*(1+interestRate)+X71+Z71+AA71)</f>
        <v/>
      </c>
      <c r="AC71" s="29">
        <f>IF(A71&gt;HU_T,0,HU_inv*EXP(HU_mu*A71))</f>
        <v/>
      </c>
      <c r="AD71" s="29">
        <f>IF(A71&gt;HU_T,0,MAX(0,AC71+AB71))</f>
        <v/>
      </c>
      <c r="AE71" s="29">
        <f>IF(A71&gt;HU_T,0,MAX(0,X71-Y71))</f>
        <v/>
      </c>
      <c r="AF71" s="63">
        <f>IF(AND($J$6,A71&gt;=1,A71&lt;=$Q$6-1),J71,0)</f>
        <v/>
      </c>
      <c r="AG71" s="29">
        <f>IF(OR(AF71=0,$S$6=0),0,IF((AD71+$L$6)&gt;$S$6/HU_alpha+$K$6,0.5*$S$6/HU_alpha,IF((AD71+$L$6)&gt;=$K$6,((AD71+$L$6)-$K$6)-0.5*HU_alpha/$S$6*((AD71+$L$6)-$K$6)^2,IF((AD71+$L$6)&gt;=$T$6,HU_beta*((AD71+$L$6)-$K$6),HU_beta*($T$6-$K$6)))))</f>
        <v/>
      </c>
      <c r="AH71" s="29">
        <f>IF(OR(AF71=0,$S$6=0),0,IF((AD71+$L$6+$N$6)&gt;$S$6/HU_alpha+$K$6,0.5*$S$6/HU_alpha,IF((AD71+$L$6+$N$6)&gt;=$K$6,((AD71+$L$6+$N$6)-$K$6)-0.5*HU_alpha/$S$6*((AD71+$L$6+$N$6)-$K$6)^2,IF((AD71+$L$6+$N$6)&gt;=$T$6,HU_beta*((AD71+$L$6+$N$6)-$K$6),HU_beta*($T$6-$K$6)))))</f>
        <v/>
      </c>
      <c r="AI71" s="29">
        <f>IF(OR(AF71=0,$S$6=0),0,IF((AD71+$K$6)&gt;$S$6/HU_alpha+$K$6,0.5*$S$6/HU_alpha,IF((AD71+$K$6)&gt;=$K$6,((AD71+$K$6)-$K$6)-0.5*HU_alpha/$S$6*((AD71+$K$6)-$K$6)^2,IF((AD71+$K$6)&gt;=$T$6,HU_beta*((AD71+$K$6)-$K$6),HU_beta*($T$6-$K$6)))))</f>
        <v/>
      </c>
      <c r="AJ71" s="63">
        <f>IF(AND($J$7,A71&gt;=1,A71&lt;=$Q$7-1),J71,0)</f>
        <v/>
      </c>
      <c r="AK71" s="29">
        <f>IF(OR(AJ71=0,$S$7=0),0,IF((AE71+$L$7)&gt;$S$7/HU_alpha+$K$7,0.5*$S$7/HU_alpha,IF((AE71+$L$7)&gt;=$K$7,((AE71+$L$7)-$K$7)-0.5*HU_alpha/$S$7*((AE71+$L$7)-$K$7)^2,IF((AE71+$L$7)&gt;=$T$7,HU_beta*((AE71+$L$7)-$K$7),HU_beta*($T$7-$K$7)))))</f>
        <v/>
      </c>
      <c r="AL71" s="29">
        <f>IF(OR(AJ71=0,$S$7=0),0,IF((AE71+$L$7+$N$7)&gt;$S$7/HU_alpha+$K$7,0.5*$S$7/HU_alpha,IF((AE71+$L$7+$N$7)&gt;=$K$7,((AE71+$L$7+$N$7)-$K$7)-0.5*HU_alpha/$S$7*((AE71+$L$7+$N$7)-$K$7)^2,IF((AE71+$L$7+$N$7)&gt;=$T$7,HU_beta*((AE71+$L$7+$N$7)-$K$7),HU_beta*($T$7-$K$7)))))</f>
        <v/>
      </c>
      <c r="AM71" s="29">
        <f>IF(OR(AJ71=0,$S$7=0),0,IF((AE71+$K$7)&gt;$S$7/HU_alpha+$K$7,0.5*$S$7/HU_alpha,IF((AE71+$K$7)&gt;=$K$7,((AE71+$K$7)-$K$7)-0.5*HU_alpha/$S$7*((AE71+$K$7)-$K$7)^2,IF((AE71+$K$7)&gt;=$T$7,HU_beta*((AE71+$K$7)-$K$7),HU_beta*($T$7-$K$7)))))</f>
        <v/>
      </c>
      <c r="AN71" s="63">
        <f>IF(AND($J$8,A71&gt;=1,A71&lt;=$Q$8-1),J71,0)</f>
        <v/>
      </c>
      <c r="AO71" s="29">
        <f>IF(OR(AN71=0,$S$8=0),0,IF((AE71+$L$8)&gt;$S$8/HU_alpha+$K$8,0.5*$S$8/HU_alpha,IF((AE71+$L$8)&gt;=$K$8,((AE71+$L$8)-$K$8)-0.5*HU_alpha/$S$8*((AE71+$L$8)-$K$8)^2,IF((AE71+$L$8)&gt;=$T$8,HU_beta*((AE71+$L$8)-$K$8),HU_beta*($T$8-$K$8)))))</f>
        <v/>
      </c>
      <c r="AP71" s="29">
        <f>IF(OR(AN71=0,$S$8=0),0,IF((AE71+$L$8+$N$8)&gt;$S$8/HU_alpha+$K$8,0.5*$S$8/HU_alpha,IF((AE71+$L$8+$N$8)&gt;=$K$8,((AE71+$L$8+$N$8)-$K$8)-0.5*HU_alpha/$S$8*((AE71+$L$8+$N$8)-$K$8)^2,IF((AE71+$L$8+$N$8)&gt;=$T$8,HU_beta*((AE71+$L$8+$N$8)-$K$8),HU_beta*($T$8-$K$8)))))</f>
        <v/>
      </c>
      <c r="AQ71" s="29">
        <f>IF(OR(AN71=0,$S$8=0),0,IF((AE71+$K$8)&gt;$S$8/HU_alpha+$K$8,0.5*$S$8/HU_alpha,IF((AE71+$K$8)&gt;=$K$8,((AE71+$K$8)-$K$8)-0.5*HU_alpha/$S$8*((AE71+$K$8)-$K$8)^2,IF((AE71+$K$8)&gt;=$T$8,HU_beta*((AE71+$K$8)-$K$8),HU_beta*($T$8-$K$8)))))</f>
        <v/>
      </c>
      <c r="AR71" s="63">
        <f>IF(AND($J$9,A71&gt;=1,A71&lt;=$Q$9-1),J71,0)</f>
        <v/>
      </c>
      <c r="AS71" s="29">
        <f>IF(OR(AR71=0,$S$9=0),0,IF((AE71+$L$9)&gt;$S$9/HU_alpha+$K$9,0.5*$S$9/HU_alpha,IF((AE71+$L$9)&gt;=$K$9,((AE71+$L$9)-$K$9)-0.5*HU_alpha/$S$9*((AE71+$L$9)-$K$9)^2,IF((AE71+$L$9)&gt;=$T$9,HU_beta*((AE71+$L$9)-$K$9),HU_beta*($T$9-$K$9)))))</f>
        <v/>
      </c>
      <c r="AT71" s="29">
        <f>IF(OR(AR71=0,$S$9=0),0,IF((AE71+$L$9+$N$9)&gt;$S$9/HU_alpha+$K$9,0.5*$S$9/HU_alpha,IF((AE71+$L$9+$N$9)&gt;=$K$9,((AE71+$L$9+$N$9)-$K$9)-0.5*HU_alpha/$S$9*((AE71+$L$9+$N$9)-$K$9)^2,IF((AE71+$L$9+$N$9)&gt;=$T$9,HU_beta*((AE71+$L$9+$N$9)-$K$9),HU_beta*($T$9-$K$9)))))</f>
        <v/>
      </c>
      <c r="AU71" s="29">
        <f>IF(OR(AR71=0,$S$9=0),0,IF((AE71+$K$9)&gt;$S$9/HU_alpha+$K$9,0.5*$S$9/HU_alpha,IF((AE71+$K$9)&gt;=$K$9,((AE71+$K$9)-$K$9)-0.5*HU_alpha/$S$9*((AE71+$K$9)-$K$9)^2,IF((AE71+$K$9)&gt;=$T$9,HU_beta*((AE71+$K$9)-$K$9),HU_beta*($T$9-$K$9)))))</f>
        <v/>
      </c>
      <c r="AV71" s="63">
        <f>IF(AND($J$10,A71=$Q$10),J71,0)</f>
        <v/>
      </c>
      <c r="AW71" s="29">
        <f>IF(OR(AV71=0,$S$10=0),0,IF((AD71+$L$10)&gt;$S$10/HU_alpha+$K$10,0.5*$S$10/HU_alpha,IF((AD71+$L$10)&gt;=$K$10,((AD71+$L$10)-$K$10)-0.5*HU_alpha/$S$10*((AD71+$L$10)-$K$10)^2,IF((AD71+$L$10)&gt;=$T$10,HU_beta*((AD71+$L$10)-$K$10),HU_beta*($T$10-$K$10)))))</f>
        <v/>
      </c>
      <c r="AX71" s="29">
        <f>IF(OR(AV71=0,$S$10=0),0,IF((AD71+$L$10+$N$10)&gt;$S$10/HU_alpha+$K$10,0.5*$S$10/HU_alpha,IF((AD71+$L$10+$N$10)&gt;=$K$10,((AD71+$L$10+$N$10)-$K$10)-0.5*HU_alpha/$S$10*((AD71+$L$10+$N$10)-$K$10)^2,IF((AD71+$L$10+$N$10)&gt;=$T$10,HU_beta*((AD71+$L$10+$N$10)-$K$10),HU_beta*($T$10-$K$10)))))</f>
        <v/>
      </c>
      <c r="AY71" s="29">
        <f>IF(OR(AV71=0,$S$10=0),0,IF((AD71+$K$10)&gt;$S$10/HU_alpha+$K$10,0.5*$S$10/HU_alpha,IF((AD71+$K$10)&gt;=$K$10,((AD71+$K$10)-$K$10)-0.5*HU_alpha/$S$10*((AD71+$K$10)-$K$10)^2,IF((AD71+$K$10)&gt;=$T$10,HU_beta*((AD71+$K$10)-$K$10),HU_beta*($T$10-$K$10)))))</f>
        <v/>
      </c>
      <c r="AZ71" s="63">
        <f>IF(AND($J$11,A71=$Q$11),J71,0)</f>
        <v/>
      </c>
      <c r="BA71" s="29">
        <f>IF(OR(AZ71=0,$S$11=0),0,IF((AE71+$L$11)&gt;$S$11/HU_alpha+$K$11,0.5*$S$11/HU_alpha,IF((AE71+$L$11)&gt;=$K$11,((AE71+$L$11)-$K$11)-0.5*HU_alpha/$S$11*((AE71+$L$11)-$K$11)^2,IF((AE71+$L$11)&gt;=$T$11,HU_beta*((AE71+$L$11)-$K$11),HU_beta*($T$11-$K$11)))))</f>
        <v/>
      </c>
      <c r="BB71" s="29">
        <f>IF(OR(AZ71=0,$S$11=0),0,IF((AE71+$L$11+$N$11)&gt;$S$11/HU_alpha+$K$11,0.5*$S$11/HU_alpha,IF((AE71+$L$11+$N$11)&gt;=$K$11,((AE71+$L$11+$N$11)-$K$11)-0.5*HU_alpha/$S$11*((AE71+$L$11+$N$11)-$K$11)^2,IF((AE71+$L$11+$N$11)&gt;=$T$11,HU_beta*((AE71+$L$11+$N$11)-$K$11),HU_beta*($T$11-$K$11)))))</f>
        <v/>
      </c>
      <c r="BC71" s="29">
        <f>IF(OR(AZ71=0,$S$11=0),0,IF((AE71+$K$11)&gt;$S$11/HU_alpha+$K$11,0.5*$S$11/HU_alpha,IF((AE71+$K$11)&gt;=$K$11,((AE71+$K$11)-$K$11)-0.5*HU_alpha/$S$11*((AE71+$K$11)-$K$11)^2,IF((AE71+$K$11)&gt;=$T$11,HU_beta*((AE71+$K$11)-$K$11),HU_beta*($T$11-$K$11)))))</f>
        <v/>
      </c>
      <c r="BD71" s="63">
        <f>IF(AND($J$12,A71=$Q$12),J71,0)</f>
        <v/>
      </c>
      <c r="BE71" s="29">
        <f>IF(OR(BD71=0,$S$12=0),0,IF((AE71+$L$12)&gt;$S$12/HU_alpha+$K$12,0.5*$S$12/HU_alpha,IF((AE71+$L$12)&gt;=$K$12,((AE71+$L$12)-$K$12)-0.5*HU_alpha/$S$12*((AE71+$L$12)-$K$12)^2,IF((AE71+$L$12)&gt;=$T$12,HU_beta*((AE71+$L$12)-$K$12),HU_beta*($T$12-$K$12)))))</f>
        <v/>
      </c>
      <c r="BF71" s="29">
        <f>IF(OR(BD71=0,$S$12=0),0,IF((AE71+$L$12+$N$12)&gt;$S$12/HU_alpha+$K$12,0.5*$S$12/HU_alpha,IF((AE71+$L$12+$N$12)&gt;=$K$12,((AE71+$L$12+$N$12)-$K$12)-0.5*HU_alpha/$S$12*((AE71+$L$12+$N$12)-$K$12)^2,IF((AE71+$L$12+$N$12)&gt;=$T$12,HU_beta*((AE71+$L$12+$N$12)-$K$12),HU_beta*($T$12-$K$12)))))</f>
        <v/>
      </c>
      <c r="BG71" s="29">
        <f>IF(OR(BD71=0,$S$12=0),0,IF((AE71+$K$12)&gt;$S$12/HU_alpha+$K$12,0.5*$S$12/HU_alpha,IF((AE71+$K$12)&gt;=$K$12,((AE71+$K$12)-$K$12)-0.5*HU_alpha/$S$12*((AE71+$K$12)-$K$12)^2,IF((AE71+$K$12)&gt;=$T$12,HU_beta*((AE71+$K$12)-$K$12),HU_beta*($T$12-$K$12)))))</f>
        <v/>
      </c>
      <c r="BH71" s="63">
        <f>IF(AND($J$13,A71=$Q$13),J71,0)</f>
        <v/>
      </c>
      <c r="BI71" s="29">
        <f>IF(OR(BH71=0,$S$13=0),0,IF((AE71+$L$13)&gt;$S$13/HU_alpha+$K$13,0.5*$S$13/HU_alpha,IF((AE71+$L$13)&gt;=$K$13,((AE71+$L$13)-$K$13)-0.5*HU_alpha/$S$13*((AE71+$L$13)-$K$13)^2,IF((AE71+$L$13)&gt;=$T$13,HU_beta*((AE71+$L$13)-$K$13),HU_beta*($T$13-$K$13)))))</f>
        <v/>
      </c>
      <c r="BJ71" s="29">
        <f>IF(OR(BH71=0,$S$13=0),0,IF((AE71+$L$13+$N$13)&gt;$S$13/HU_alpha+$K$13,0.5*$S$13/HU_alpha,IF((AE71+$L$13+$N$13)&gt;=$K$13,((AE71+$L$13+$N$13)-$K$13)-0.5*HU_alpha/$S$13*((AE71+$L$13+$N$13)-$K$13)^2,IF((AE71+$L$13+$N$13)&gt;=$T$13,HU_beta*((AE71+$L$13+$N$13)-$K$13),HU_beta*($T$13-$K$13)))))</f>
        <v/>
      </c>
      <c r="BK71" s="29">
        <f>IF(OR(BH71=0,$S$13=0),0,IF((AE71+$K$13)&gt;$S$13/HU_alpha+$K$13,0.5*$S$13/HU_alpha,IF((AE71+$K$13)&gt;=$K$13,((AE71+$K$13)-$K$13)-0.5*HU_alpha/$S$13*((AE71+$K$13)-$K$13)^2,IF((AE71+$K$13)&gt;=$T$13,HU_beta*((AE71+$K$13)-$K$13),HU_beta*($T$13-$K$13)))))</f>
        <v/>
      </c>
    </row>
    <row r="72">
      <c r="A72" s="61" t="n">
        <v>4</v>
      </c>
      <c r="B72" s="61">
        <f>HU_age+A72</f>
        <v/>
      </c>
      <c r="C72" s="52">
        <f>A72&lt;=HU_T</f>
        <v/>
      </c>
      <c r="D72" s="63">
        <f>IF(OR(A72&lt;1,A72&gt;HU_T),0,INDEX(HU_q_mort,HU_age+A72-17,HU_col))</f>
        <v/>
      </c>
      <c r="E72" s="63">
        <f>IF(OR(A72&lt;1,A72&gt;HU_T),0,INDEX(HU_q_adb,HU_age+A72-17,HU_col))</f>
        <v/>
      </c>
      <c r="F72" s="63">
        <f>IF(OR(A72&lt;1,A72&gt;HU_T),0,INDEX(HU_q_morb,HU_age+A72-17,HU_col))</f>
        <v/>
      </c>
      <c r="G72" s="63">
        <f>IF(OR(A72&lt;1,A72&gt;HU_T),0,INDEX(HU_q_ptd,HU_age+A72-17,HU_col))</f>
        <v/>
      </c>
      <c r="H72" s="63">
        <f>IF(OR(A72&lt;1,A72&gt;HU_T),0,INDEX(HU_q_dis,HU_age+A72-17,HU_col))</f>
        <v/>
      </c>
      <c r="I72" s="63">
        <f>IF(A72&gt;HU_T,0,I71*(1-D72)*(1-E72))</f>
        <v/>
      </c>
      <c r="J72" s="63">
        <f>IF(A72&gt;=HU_T,0,N(I73))</f>
        <v/>
      </c>
      <c r="K72" s="63">
        <f>K71*(1-G72)</f>
        <v/>
      </c>
      <c r="L72" s="63">
        <f>1-K72</f>
        <v/>
      </c>
      <c r="M72" s="63">
        <f>K71*G72</f>
        <v/>
      </c>
      <c r="N72" s="63">
        <f>N71*(1-H72)</f>
        <v/>
      </c>
      <c r="O72" s="63">
        <f>1-N71</f>
        <v/>
      </c>
      <c r="P72" s="63">
        <f>P71*(1-F72)</f>
        <v/>
      </c>
      <c r="Q72" s="63">
        <f>1-P71/INDEX($P$68:$P$150,MAX(1,A72-HU_ciYears))</f>
        <v/>
      </c>
      <c r="R72" s="60">
        <f>(1+inflationRate)^A72</f>
        <v/>
      </c>
      <c r="S72" s="29">
        <f>IF(OR(OR(A72&lt;1,A72&gt;HU_T),A72-1&gt;=HU_dtr),0,HU_inc0*(1+incomeGrowthRate)^A72)</f>
        <v/>
      </c>
      <c r="T72" s="60">
        <f>IF(A72&gt;HU_T,T71,T71*(1+INDEX(HU_ssG,HU_age+A72-17)))</f>
        <v/>
      </c>
      <c r="U72" s="29">
        <f>IF(AND(HU_dtr&gt;=1,A72=HU_dtr,A72&lt;=HU_T),MIN(S72*INDEX(HU_ssC,HU_age+A72-17)/(1-INDEX(HU_ssC,HU_age+A72-17)),INDEX(HU_ssCap,HU_age+A72-17))*T72,0)</f>
        <v/>
      </c>
      <c r="V72" s="29">
        <f>S72+U72+IF(AND(HU_wdOn,A72=HU_wdYear),HU_wdIncome,0)</f>
        <v/>
      </c>
      <c r="W72" s="60">
        <f>HU_ciProp*Q72+HU_tpdCut*L72+HU_disCut*O72</f>
        <v/>
      </c>
      <c r="X72" s="29">
        <f>IF(OR(A72&lt;1,A72&gt;HU_T),0,V72*(1-W72))</f>
        <v/>
      </c>
      <c r="Y72" s="29">
        <f>IF(OR(A72&lt;1,A72&gt;HU_T),0,IF(AND(HU_retExp&gt;0,A72-1&gt;=HU_dtr),HU_retExp,HU_exp0)*R72)</f>
        <v/>
      </c>
      <c r="Z72" s="29">
        <f>-Y72-IF(AND(HU_wdOn,A72=HU_wdYear),HU_wdOut,0)</f>
        <v/>
      </c>
      <c r="AA72" s="29">
        <f>IF(OR(A72&lt;1,A72&gt;HU_T),0,-HU_medCost*R72*F72-HU_tpdCost*R72*M72)</f>
        <v/>
      </c>
      <c r="AB72" s="29">
        <f>IF(A72&gt;HU_T,0,AB71*(1+interestRate)+X72+Z72+AA72)</f>
        <v/>
      </c>
      <c r="AC72" s="29">
        <f>IF(A72&gt;HU_T,0,HU_inv*EXP(HU_mu*A72))</f>
        <v/>
      </c>
      <c r="AD72" s="29">
        <f>IF(A72&gt;HU_T,0,MAX(0,AC72+AB72))</f>
        <v/>
      </c>
      <c r="AE72" s="29">
        <f>IF(A72&gt;HU_T,0,MAX(0,X72-Y72))</f>
        <v/>
      </c>
      <c r="AF72" s="63">
        <f>IF(AND($J$6,A72&gt;=1,A72&lt;=$Q$6-1),J72,0)</f>
        <v/>
      </c>
      <c r="AG72" s="29">
        <f>IF(OR(AF72=0,$S$6=0),0,IF((AD72+$L$6)&gt;$S$6/HU_alpha+$K$6,0.5*$S$6/HU_alpha,IF((AD72+$L$6)&gt;=$K$6,((AD72+$L$6)-$K$6)-0.5*HU_alpha/$S$6*((AD72+$L$6)-$K$6)^2,IF((AD72+$L$6)&gt;=$T$6,HU_beta*((AD72+$L$6)-$K$6),HU_beta*($T$6-$K$6)))))</f>
        <v/>
      </c>
      <c r="AH72" s="29">
        <f>IF(OR(AF72=0,$S$6=0),0,IF((AD72+$L$6+$N$6)&gt;$S$6/HU_alpha+$K$6,0.5*$S$6/HU_alpha,IF((AD72+$L$6+$N$6)&gt;=$K$6,((AD72+$L$6+$N$6)-$K$6)-0.5*HU_alpha/$S$6*((AD72+$L$6+$N$6)-$K$6)^2,IF((AD72+$L$6+$N$6)&gt;=$T$6,HU_beta*((AD72+$L$6+$N$6)-$K$6),HU_beta*($T$6-$K$6)))))</f>
        <v/>
      </c>
      <c r="AI72" s="29">
        <f>IF(OR(AF72=0,$S$6=0),0,IF((AD72+$K$6)&gt;$S$6/HU_alpha+$K$6,0.5*$S$6/HU_alpha,IF((AD72+$K$6)&gt;=$K$6,((AD72+$K$6)-$K$6)-0.5*HU_alpha/$S$6*((AD72+$K$6)-$K$6)^2,IF((AD72+$K$6)&gt;=$T$6,HU_beta*((AD72+$K$6)-$K$6),HU_beta*($T$6-$K$6)))))</f>
        <v/>
      </c>
      <c r="AJ72" s="63">
        <f>IF(AND($J$7,A72&gt;=1,A72&lt;=$Q$7-1),J72,0)</f>
        <v/>
      </c>
      <c r="AK72" s="29">
        <f>IF(OR(AJ72=0,$S$7=0),0,IF((AE72+$L$7)&gt;$S$7/HU_alpha+$K$7,0.5*$S$7/HU_alpha,IF((AE72+$L$7)&gt;=$K$7,((AE72+$L$7)-$K$7)-0.5*HU_alpha/$S$7*((AE72+$L$7)-$K$7)^2,IF((AE72+$L$7)&gt;=$T$7,HU_beta*((AE72+$L$7)-$K$7),HU_beta*($T$7-$K$7)))))</f>
        <v/>
      </c>
      <c r="AL72" s="29">
        <f>IF(OR(AJ72=0,$S$7=0),0,IF((AE72+$L$7+$N$7)&gt;$S$7/HU_alpha+$K$7,0.5*$S$7/HU_alpha,IF((AE72+$L$7+$N$7)&gt;=$K$7,((AE72+$L$7+$N$7)-$K$7)-0.5*HU_alpha/$S$7*((AE72+$L$7+$N$7)-$K$7)^2,IF((AE72+$L$7+$N$7)&gt;=$T$7,HU_beta*((AE72+$L$7+$N$7)-$K$7),HU_beta*($T$7-$K$7)))))</f>
        <v/>
      </c>
      <c r="AM72" s="29">
        <f>IF(OR(AJ72=0,$S$7=0),0,IF((AE72+$K$7)&gt;$S$7/HU_alpha+$K$7,0.5*$S$7/HU_alpha,IF((AE72+$K$7)&gt;=$K$7,((AE72+$K$7)-$K$7)-0.5*HU_alpha/$S$7*((AE72+$K$7)-$K$7)^2,IF((AE72+$K$7)&gt;=$T$7,HU_beta*((AE72+$K$7)-$K$7),HU_beta*($T$7-$K$7)))))</f>
        <v/>
      </c>
      <c r="AN72" s="63">
        <f>IF(AND($J$8,A72&gt;=1,A72&lt;=$Q$8-1),J72,0)</f>
        <v/>
      </c>
      <c r="AO72" s="29">
        <f>IF(OR(AN72=0,$S$8=0),0,IF((AE72+$L$8)&gt;$S$8/HU_alpha+$K$8,0.5*$S$8/HU_alpha,IF((AE72+$L$8)&gt;=$K$8,((AE72+$L$8)-$K$8)-0.5*HU_alpha/$S$8*((AE72+$L$8)-$K$8)^2,IF((AE72+$L$8)&gt;=$T$8,HU_beta*((AE72+$L$8)-$K$8),HU_beta*($T$8-$K$8)))))</f>
        <v/>
      </c>
      <c r="AP72" s="29">
        <f>IF(OR(AN72=0,$S$8=0),0,IF((AE72+$L$8+$N$8)&gt;$S$8/HU_alpha+$K$8,0.5*$S$8/HU_alpha,IF((AE72+$L$8+$N$8)&gt;=$K$8,((AE72+$L$8+$N$8)-$K$8)-0.5*HU_alpha/$S$8*((AE72+$L$8+$N$8)-$K$8)^2,IF((AE72+$L$8+$N$8)&gt;=$T$8,HU_beta*((AE72+$L$8+$N$8)-$K$8),HU_beta*($T$8-$K$8)))))</f>
        <v/>
      </c>
      <c r="AQ72" s="29">
        <f>IF(OR(AN72=0,$S$8=0),0,IF((AE72+$K$8)&gt;$S$8/HU_alpha+$K$8,0.5*$S$8/HU_alpha,IF((AE72+$K$8)&gt;=$K$8,((AE72+$K$8)-$K$8)-0.5*HU_alpha/$S$8*((AE72+$K$8)-$K$8)^2,IF((AE72+$K$8)&gt;=$T$8,HU_beta*((AE72+$K$8)-$K$8),HU_beta*($T$8-$K$8)))))</f>
        <v/>
      </c>
      <c r="AR72" s="63">
        <f>IF(AND($J$9,A72&gt;=1,A72&lt;=$Q$9-1),J72,0)</f>
        <v/>
      </c>
      <c r="AS72" s="29">
        <f>IF(OR(AR72=0,$S$9=0),0,IF((AE72+$L$9)&gt;$S$9/HU_alpha+$K$9,0.5*$S$9/HU_alpha,IF((AE72+$L$9)&gt;=$K$9,((AE72+$L$9)-$K$9)-0.5*HU_alpha/$S$9*((AE72+$L$9)-$K$9)^2,IF((AE72+$L$9)&gt;=$T$9,HU_beta*((AE72+$L$9)-$K$9),HU_beta*($T$9-$K$9)))))</f>
        <v/>
      </c>
      <c r="AT72" s="29">
        <f>IF(OR(AR72=0,$S$9=0),0,IF((AE72+$L$9+$N$9)&gt;$S$9/HU_alpha+$K$9,0.5*$S$9/HU_alpha,IF((AE72+$L$9+$N$9)&gt;=$K$9,((AE72+$L$9+$N$9)-$K$9)-0.5*HU_alpha/$S$9*((AE72+$L$9+$N$9)-$K$9)^2,IF((AE72+$L$9+$N$9)&gt;=$T$9,HU_beta*((AE72+$L$9+$N$9)-$K$9),HU_beta*($T$9-$K$9)))))</f>
        <v/>
      </c>
      <c r="AU72" s="29">
        <f>IF(OR(AR72=0,$S$9=0),0,IF((AE72+$K$9)&gt;$S$9/HU_alpha+$K$9,0.5*$S$9/HU_alpha,IF((AE72+$K$9)&gt;=$K$9,((AE72+$K$9)-$K$9)-0.5*HU_alpha/$S$9*((AE72+$K$9)-$K$9)^2,IF((AE72+$K$9)&gt;=$T$9,HU_beta*((AE72+$K$9)-$K$9),HU_beta*($T$9-$K$9)))))</f>
        <v/>
      </c>
      <c r="AV72" s="63">
        <f>IF(AND($J$10,A72=$Q$10),J72,0)</f>
        <v/>
      </c>
      <c r="AW72" s="29">
        <f>IF(OR(AV72=0,$S$10=0),0,IF((AD72+$L$10)&gt;$S$10/HU_alpha+$K$10,0.5*$S$10/HU_alpha,IF((AD72+$L$10)&gt;=$K$10,((AD72+$L$10)-$K$10)-0.5*HU_alpha/$S$10*((AD72+$L$10)-$K$10)^2,IF((AD72+$L$10)&gt;=$T$10,HU_beta*((AD72+$L$10)-$K$10),HU_beta*($T$10-$K$10)))))</f>
        <v/>
      </c>
      <c r="AX72" s="29">
        <f>IF(OR(AV72=0,$S$10=0),0,IF((AD72+$L$10+$N$10)&gt;$S$10/HU_alpha+$K$10,0.5*$S$10/HU_alpha,IF((AD72+$L$10+$N$10)&gt;=$K$10,((AD72+$L$10+$N$10)-$K$10)-0.5*HU_alpha/$S$10*((AD72+$L$10+$N$10)-$K$10)^2,IF((AD72+$L$10+$N$10)&gt;=$T$10,HU_beta*((AD72+$L$10+$N$10)-$K$10),HU_beta*($T$10-$K$10)))))</f>
        <v/>
      </c>
      <c r="AY72" s="29">
        <f>IF(OR(AV72=0,$S$10=0),0,IF((AD72+$K$10)&gt;$S$10/HU_alpha+$K$10,0.5*$S$10/HU_alpha,IF((AD72+$K$10)&gt;=$K$10,((AD72+$K$10)-$K$10)-0.5*HU_alpha/$S$10*((AD72+$K$10)-$K$10)^2,IF((AD72+$K$10)&gt;=$T$10,HU_beta*((AD72+$K$10)-$K$10),HU_beta*($T$10-$K$10)))))</f>
        <v/>
      </c>
      <c r="AZ72" s="63">
        <f>IF(AND($J$11,A72=$Q$11),J72,0)</f>
        <v/>
      </c>
      <c r="BA72" s="29">
        <f>IF(OR(AZ72=0,$S$11=0),0,IF((AE72+$L$11)&gt;$S$11/HU_alpha+$K$11,0.5*$S$11/HU_alpha,IF((AE72+$L$11)&gt;=$K$11,((AE72+$L$11)-$K$11)-0.5*HU_alpha/$S$11*((AE72+$L$11)-$K$11)^2,IF((AE72+$L$11)&gt;=$T$11,HU_beta*((AE72+$L$11)-$K$11),HU_beta*($T$11-$K$11)))))</f>
        <v/>
      </c>
      <c r="BB72" s="29">
        <f>IF(OR(AZ72=0,$S$11=0),0,IF((AE72+$L$11+$N$11)&gt;$S$11/HU_alpha+$K$11,0.5*$S$11/HU_alpha,IF((AE72+$L$11+$N$11)&gt;=$K$11,((AE72+$L$11+$N$11)-$K$11)-0.5*HU_alpha/$S$11*((AE72+$L$11+$N$11)-$K$11)^2,IF((AE72+$L$11+$N$11)&gt;=$T$11,HU_beta*((AE72+$L$11+$N$11)-$K$11),HU_beta*($T$11-$K$11)))))</f>
        <v/>
      </c>
      <c r="BC72" s="29">
        <f>IF(OR(AZ72=0,$S$11=0),0,IF((AE72+$K$11)&gt;$S$11/HU_alpha+$K$11,0.5*$S$11/HU_alpha,IF((AE72+$K$11)&gt;=$K$11,((AE72+$K$11)-$K$11)-0.5*HU_alpha/$S$11*((AE72+$K$11)-$K$11)^2,IF((AE72+$K$11)&gt;=$T$11,HU_beta*((AE72+$K$11)-$K$11),HU_beta*($T$11-$K$11)))))</f>
        <v/>
      </c>
      <c r="BD72" s="63">
        <f>IF(AND($J$12,A72=$Q$12),J72,0)</f>
        <v/>
      </c>
      <c r="BE72" s="29">
        <f>IF(OR(BD72=0,$S$12=0),0,IF((AE72+$L$12)&gt;$S$12/HU_alpha+$K$12,0.5*$S$12/HU_alpha,IF((AE72+$L$12)&gt;=$K$12,((AE72+$L$12)-$K$12)-0.5*HU_alpha/$S$12*((AE72+$L$12)-$K$12)^2,IF((AE72+$L$12)&gt;=$T$12,HU_beta*((AE72+$L$12)-$K$12),HU_beta*($T$12-$K$12)))))</f>
        <v/>
      </c>
      <c r="BF72" s="29">
        <f>IF(OR(BD72=0,$S$12=0),0,IF((AE72+$L$12+$N$12)&gt;$S$12/HU_alpha+$K$12,0.5*$S$12/HU_alpha,IF((AE72+$L$12+$N$12)&gt;=$K$12,((AE72+$L$12+$N$12)-$K$12)-0.5*HU_alpha/$S$12*((AE72+$L$12+$N$12)-$K$12)^2,IF((AE72+$L$12+$N$12)&gt;=$T$12,HU_beta*((AE72+$L$12+$N$12)-$K$12),HU_beta*($T$12-$K$12)))))</f>
        <v/>
      </c>
      <c r="BG72" s="29">
        <f>IF(OR(BD72=0,$S$12=0),0,IF((AE72+$K$12)&gt;$S$12/HU_alpha+$K$12,0.5*$S$12/HU_alpha,IF((AE72+$K$12)&gt;=$K$12,((AE72+$K$12)-$K$12)-0.5*HU_alpha/$S$12*((AE72+$K$12)-$K$12)^2,IF((AE72+$K$12)&gt;=$T$12,HU_beta*((AE72+$K$12)-$K$12),HU_beta*($T$12-$K$12)))))</f>
        <v/>
      </c>
      <c r="BH72" s="63">
        <f>IF(AND($J$13,A72=$Q$13),J72,0)</f>
        <v/>
      </c>
      <c r="BI72" s="29">
        <f>IF(OR(BH72=0,$S$13=0),0,IF((AE72+$L$13)&gt;$S$13/HU_alpha+$K$13,0.5*$S$13/HU_alpha,IF((AE72+$L$13)&gt;=$K$13,((AE72+$L$13)-$K$13)-0.5*HU_alpha/$S$13*((AE72+$L$13)-$K$13)^2,IF((AE72+$L$13)&gt;=$T$13,HU_beta*((AE72+$L$13)-$K$13),HU_beta*($T$13-$K$13)))))</f>
        <v/>
      </c>
      <c r="BJ72" s="29">
        <f>IF(OR(BH72=0,$S$13=0),0,IF((AE72+$L$13+$N$13)&gt;$S$13/HU_alpha+$K$13,0.5*$S$13/HU_alpha,IF((AE72+$L$13+$N$13)&gt;=$K$13,((AE72+$L$13+$N$13)-$K$13)-0.5*HU_alpha/$S$13*((AE72+$L$13+$N$13)-$K$13)^2,IF((AE72+$L$13+$N$13)&gt;=$T$13,HU_beta*((AE72+$L$13+$N$13)-$K$13),HU_beta*($T$13-$K$13)))))</f>
        <v/>
      </c>
      <c r="BK72" s="29">
        <f>IF(OR(BH72=0,$S$13=0),0,IF((AE72+$K$13)&gt;$S$13/HU_alpha+$K$13,0.5*$S$13/HU_alpha,IF((AE72+$K$13)&gt;=$K$13,((AE72+$K$13)-$K$13)-0.5*HU_alpha/$S$13*((AE72+$K$13)-$K$13)^2,IF((AE72+$K$13)&gt;=$T$13,HU_beta*((AE72+$K$13)-$K$13),HU_beta*($T$13-$K$13)))))</f>
        <v/>
      </c>
    </row>
    <row r="73">
      <c r="A73" s="61" t="n">
        <v>5</v>
      </c>
      <c r="B73" s="61">
        <f>HU_age+A73</f>
        <v/>
      </c>
      <c r="C73" s="52">
        <f>A73&lt;=HU_T</f>
        <v/>
      </c>
      <c r="D73" s="63">
        <f>IF(OR(A73&lt;1,A73&gt;HU_T),0,INDEX(HU_q_mort,HU_age+A73-17,HU_col))</f>
        <v/>
      </c>
      <c r="E73" s="63">
        <f>IF(OR(A73&lt;1,A73&gt;HU_T),0,INDEX(HU_q_adb,HU_age+A73-17,HU_col))</f>
        <v/>
      </c>
      <c r="F73" s="63">
        <f>IF(OR(A73&lt;1,A73&gt;HU_T),0,INDEX(HU_q_morb,HU_age+A73-17,HU_col))</f>
        <v/>
      </c>
      <c r="G73" s="63">
        <f>IF(OR(A73&lt;1,A73&gt;HU_T),0,INDEX(HU_q_ptd,HU_age+A73-17,HU_col))</f>
        <v/>
      </c>
      <c r="H73" s="63">
        <f>IF(OR(A73&lt;1,A73&gt;HU_T),0,INDEX(HU_q_dis,HU_age+A73-17,HU_col))</f>
        <v/>
      </c>
      <c r="I73" s="63">
        <f>IF(A73&gt;HU_T,0,I72*(1-D73)*(1-E73))</f>
        <v/>
      </c>
      <c r="J73" s="63">
        <f>IF(A73&gt;=HU_T,0,N(I74))</f>
        <v/>
      </c>
      <c r="K73" s="63">
        <f>K72*(1-G73)</f>
        <v/>
      </c>
      <c r="L73" s="63">
        <f>1-K73</f>
        <v/>
      </c>
      <c r="M73" s="63">
        <f>K72*G73</f>
        <v/>
      </c>
      <c r="N73" s="63">
        <f>N72*(1-H73)</f>
        <v/>
      </c>
      <c r="O73" s="63">
        <f>1-N72</f>
        <v/>
      </c>
      <c r="P73" s="63">
        <f>P72*(1-F73)</f>
        <v/>
      </c>
      <c r="Q73" s="63">
        <f>1-P72/INDEX($P$68:$P$150,MAX(1,A73-HU_ciYears))</f>
        <v/>
      </c>
      <c r="R73" s="60">
        <f>(1+inflationRate)^A73</f>
        <v/>
      </c>
      <c r="S73" s="29">
        <f>IF(OR(OR(A73&lt;1,A73&gt;HU_T),A73-1&gt;=HU_dtr),0,HU_inc0*(1+incomeGrowthRate)^A73)</f>
        <v/>
      </c>
      <c r="T73" s="60">
        <f>IF(A73&gt;HU_T,T72,T72*(1+INDEX(HU_ssG,HU_age+A73-17)))</f>
        <v/>
      </c>
      <c r="U73" s="29">
        <f>IF(AND(HU_dtr&gt;=1,A73=HU_dtr,A73&lt;=HU_T),MIN(S73*INDEX(HU_ssC,HU_age+A73-17)/(1-INDEX(HU_ssC,HU_age+A73-17)),INDEX(HU_ssCap,HU_age+A73-17))*T73,0)</f>
        <v/>
      </c>
      <c r="V73" s="29">
        <f>S73+U73+IF(AND(HU_wdOn,A73=HU_wdYear),HU_wdIncome,0)</f>
        <v/>
      </c>
      <c r="W73" s="60">
        <f>HU_ciProp*Q73+HU_tpdCut*L73+HU_disCut*O73</f>
        <v/>
      </c>
      <c r="X73" s="29">
        <f>IF(OR(A73&lt;1,A73&gt;HU_T),0,V73*(1-W73))</f>
        <v/>
      </c>
      <c r="Y73" s="29">
        <f>IF(OR(A73&lt;1,A73&gt;HU_T),0,IF(AND(HU_retExp&gt;0,A73-1&gt;=HU_dtr),HU_retExp,HU_exp0)*R73)</f>
        <v/>
      </c>
      <c r="Z73" s="29">
        <f>-Y73-IF(AND(HU_wdOn,A73=HU_wdYear),HU_wdOut,0)</f>
        <v/>
      </c>
      <c r="AA73" s="29">
        <f>IF(OR(A73&lt;1,A73&gt;HU_T),0,-HU_medCost*R73*F73-HU_tpdCost*R73*M73)</f>
        <v/>
      </c>
      <c r="AB73" s="29">
        <f>IF(A73&gt;HU_T,0,AB72*(1+interestRate)+X73+Z73+AA73)</f>
        <v/>
      </c>
      <c r="AC73" s="29">
        <f>IF(A73&gt;HU_T,0,HU_inv*EXP(HU_mu*A73))</f>
        <v/>
      </c>
      <c r="AD73" s="29">
        <f>IF(A73&gt;HU_T,0,MAX(0,AC73+AB73))</f>
        <v/>
      </c>
      <c r="AE73" s="29">
        <f>IF(A73&gt;HU_T,0,MAX(0,X73-Y73))</f>
        <v/>
      </c>
      <c r="AF73" s="63">
        <f>IF(AND($J$6,A73&gt;=1,A73&lt;=$Q$6-1),J73,0)</f>
        <v/>
      </c>
      <c r="AG73" s="29">
        <f>IF(OR(AF73=0,$S$6=0),0,IF((AD73+$L$6)&gt;$S$6/HU_alpha+$K$6,0.5*$S$6/HU_alpha,IF((AD73+$L$6)&gt;=$K$6,((AD73+$L$6)-$K$6)-0.5*HU_alpha/$S$6*((AD73+$L$6)-$K$6)^2,IF((AD73+$L$6)&gt;=$T$6,HU_beta*((AD73+$L$6)-$K$6),HU_beta*($T$6-$K$6)))))</f>
        <v/>
      </c>
      <c r="AH73" s="29">
        <f>IF(OR(AF73=0,$S$6=0),0,IF((AD73+$L$6+$N$6)&gt;$S$6/HU_alpha+$K$6,0.5*$S$6/HU_alpha,IF((AD73+$L$6+$N$6)&gt;=$K$6,((AD73+$L$6+$N$6)-$K$6)-0.5*HU_alpha/$S$6*((AD73+$L$6+$N$6)-$K$6)^2,IF((AD73+$L$6+$N$6)&gt;=$T$6,HU_beta*((AD73+$L$6+$N$6)-$K$6),HU_beta*($T$6-$K$6)))))</f>
        <v/>
      </c>
      <c r="AI73" s="29">
        <f>IF(OR(AF73=0,$S$6=0),0,IF((AD73+$K$6)&gt;$S$6/HU_alpha+$K$6,0.5*$S$6/HU_alpha,IF((AD73+$K$6)&gt;=$K$6,((AD73+$K$6)-$K$6)-0.5*HU_alpha/$S$6*((AD73+$K$6)-$K$6)^2,IF((AD73+$K$6)&gt;=$T$6,HU_beta*((AD73+$K$6)-$K$6),HU_beta*($T$6-$K$6)))))</f>
        <v/>
      </c>
      <c r="AJ73" s="63">
        <f>IF(AND($J$7,A73&gt;=1,A73&lt;=$Q$7-1),J73,0)</f>
        <v/>
      </c>
      <c r="AK73" s="29">
        <f>IF(OR(AJ73=0,$S$7=0),0,IF((AE73+$L$7)&gt;$S$7/HU_alpha+$K$7,0.5*$S$7/HU_alpha,IF((AE73+$L$7)&gt;=$K$7,((AE73+$L$7)-$K$7)-0.5*HU_alpha/$S$7*((AE73+$L$7)-$K$7)^2,IF((AE73+$L$7)&gt;=$T$7,HU_beta*((AE73+$L$7)-$K$7),HU_beta*($T$7-$K$7)))))</f>
        <v/>
      </c>
      <c r="AL73" s="29">
        <f>IF(OR(AJ73=0,$S$7=0),0,IF((AE73+$L$7+$N$7)&gt;$S$7/HU_alpha+$K$7,0.5*$S$7/HU_alpha,IF((AE73+$L$7+$N$7)&gt;=$K$7,((AE73+$L$7+$N$7)-$K$7)-0.5*HU_alpha/$S$7*((AE73+$L$7+$N$7)-$K$7)^2,IF((AE73+$L$7+$N$7)&gt;=$T$7,HU_beta*((AE73+$L$7+$N$7)-$K$7),HU_beta*($T$7-$K$7)))))</f>
        <v/>
      </c>
      <c r="AM73" s="29">
        <f>IF(OR(AJ73=0,$S$7=0),0,IF((AE73+$K$7)&gt;$S$7/HU_alpha+$K$7,0.5*$S$7/HU_alpha,IF((AE73+$K$7)&gt;=$K$7,((AE73+$K$7)-$K$7)-0.5*HU_alpha/$S$7*((AE73+$K$7)-$K$7)^2,IF((AE73+$K$7)&gt;=$T$7,HU_beta*((AE73+$K$7)-$K$7),HU_beta*($T$7-$K$7)))))</f>
        <v/>
      </c>
      <c r="AN73" s="63">
        <f>IF(AND($J$8,A73&gt;=1,A73&lt;=$Q$8-1),J73,0)</f>
        <v/>
      </c>
      <c r="AO73" s="29">
        <f>IF(OR(AN73=0,$S$8=0),0,IF((AE73+$L$8)&gt;$S$8/HU_alpha+$K$8,0.5*$S$8/HU_alpha,IF((AE73+$L$8)&gt;=$K$8,((AE73+$L$8)-$K$8)-0.5*HU_alpha/$S$8*((AE73+$L$8)-$K$8)^2,IF((AE73+$L$8)&gt;=$T$8,HU_beta*((AE73+$L$8)-$K$8),HU_beta*($T$8-$K$8)))))</f>
        <v/>
      </c>
      <c r="AP73" s="29">
        <f>IF(OR(AN73=0,$S$8=0),0,IF((AE73+$L$8+$N$8)&gt;$S$8/HU_alpha+$K$8,0.5*$S$8/HU_alpha,IF((AE73+$L$8+$N$8)&gt;=$K$8,((AE73+$L$8+$N$8)-$K$8)-0.5*HU_alpha/$S$8*((AE73+$L$8+$N$8)-$K$8)^2,IF((AE73+$L$8+$N$8)&gt;=$T$8,HU_beta*((AE73+$L$8+$N$8)-$K$8),HU_beta*($T$8-$K$8)))))</f>
        <v/>
      </c>
      <c r="AQ73" s="29">
        <f>IF(OR(AN73=0,$S$8=0),0,IF((AE73+$K$8)&gt;$S$8/HU_alpha+$K$8,0.5*$S$8/HU_alpha,IF((AE73+$K$8)&gt;=$K$8,((AE73+$K$8)-$K$8)-0.5*HU_alpha/$S$8*((AE73+$K$8)-$K$8)^2,IF((AE73+$K$8)&gt;=$T$8,HU_beta*((AE73+$K$8)-$K$8),HU_beta*($T$8-$K$8)))))</f>
        <v/>
      </c>
      <c r="AR73" s="63">
        <f>IF(AND($J$9,A73&gt;=1,A73&lt;=$Q$9-1),J73,0)</f>
        <v/>
      </c>
      <c r="AS73" s="29">
        <f>IF(OR(AR73=0,$S$9=0),0,IF((AE73+$L$9)&gt;$S$9/HU_alpha+$K$9,0.5*$S$9/HU_alpha,IF((AE73+$L$9)&gt;=$K$9,((AE73+$L$9)-$K$9)-0.5*HU_alpha/$S$9*((AE73+$L$9)-$K$9)^2,IF((AE73+$L$9)&gt;=$T$9,HU_beta*((AE73+$L$9)-$K$9),HU_beta*($T$9-$K$9)))))</f>
        <v/>
      </c>
      <c r="AT73" s="29">
        <f>IF(OR(AR73=0,$S$9=0),0,IF((AE73+$L$9+$N$9)&gt;$S$9/HU_alpha+$K$9,0.5*$S$9/HU_alpha,IF((AE73+$L$9+$N$9)&gt;=$K$9,((AE73+$L$9+$N$9)-$K$9)-0.5*HU_alpha/$S$9*((AE73+$L$9+$N$9)-$K$9)^2,IF((AE73+$L$9+$N$9)&gt;=$T$9,HU_beta*((AE73+$L$9+$N$9)-$K$9),HU_beta*($T$9-$K$9)))))</f>
        <v/>
      </c>
      <c r="AU73" s="29">
        <f>IF(OR(AR73=0,$S$9=0),0,IF((AE73+$K$9)&gt;$S$9/HU_alpha+$K$9,0.5*$S$9/HU_alpha,IF((AE73+$K$9)&gt;=$K$9,((AE73+$K$9)-$K$9)-0.5*HU_alpha/$S$9*((AE73+$K$9)-$K$9)^2,IF((AE73+$K$9)&gt;=$T$9,HU_beta*((AE73+$K$9)-$K$9),HU_beta*($T$9-$K$9)))))</f>
        <v/>
      </c>
      <c r="AV73" s="63">
        <f>IF(AND($J$10,A73=$Q$10),J73,0)</f>
        <v/>
      </c>
      <c r="AW73" s="29">
        <f>IF(OR(AV73=0,$S$10=0),0,IF((AD73+$L$10)&gt;$S$10/HU_alpha+$K$10,0.5*$S$10/HU_alpha,IF((AD73+$L$10)&gt;=$K$10,((AD73+$L$10)-$K$10)-0.5*HU_alpha/$S$10*((AD73+$L$10)-$K$10)^2,IF((AD73+$L$10)&gt;=$T$10,HU_beta*((AD73+$L$10)-$K$10),HU_beta*($T$10-$K$10)))))</f>
        <v/>
      </c>
      <c r="AX73" s="29">
        <f>IF(OR(AV73=0,$S$10=0),0,IF((AD73+$L$10+$N$10)&gt;$S$10/HU_alpha+$K$10,0.5*$S$10/HU_alpha,IF((AD73+$L$10+$N$10)&gt;=$K$10,((AD73+$L$10+$N$10)-$K$10)-0.5*HU_alpha/$S$10*((AD73+$L$10+$N$10)-$K$10)^2,IF((AD73+$L$10+$N$10)&gt;=$T$10,HU_beta*((AD73+$L$10+$N$10)-$K$10),HU_beta*($T$10-$K$10)))))</f>
        <v/>
      </c>
      <c r="AY73" s="29">
        <f>IF(OR(AV73=0,$S$10=0),0,IF((AD73+$K$10)&gt;$S$10/HU_alpha+$K$10,0.5*$S$10/HU_alpha,IF((AD73+$K$10)&gt;=$K$10,((AD73+$K$10)-$K$10)-0.5*HU_alpha/$S$10*((AD73+$K$10)-$K$10)^2,IF((AD73+$K$10)&gt;=$T$10,HU_beta*((AD73+$K$10)-$K$10),HU_beta*($T$10-$K$10)))))</f>
        <v/>
      </c>
      <c r="AZ73" s="63">
        <f>IF(AND($J$11,A73=$Q$11),J73,0)</f>
        <v/>
      </c>
      <c r="BA73" s="29">
        <f>IF(OR(AZ73=0,$S$11=0),0,IF((AE73+$L$11)&gt;$S$11/HU_alpha+$K$11,0.5*$S$11/HU_alpha,IF((AE73+$L$11)&gt;=$K$11,((AE73+$L$11)-$K$11)-0.5*HU_alpha/$S$11*((AE73+$L$11)-$K$11)^2,IF((AE73+$L$11)&gt;=$T$11,HU_beta*((AE73+$L$11)-$K$11),HU_beta*($T$11-$K$11)))))</f>
        <v/>
      </c>
      <c r="BB73" s="29">
        <f>IF(OR(AZ73=0,$S$11=0),0,IF((AE73+$L$11+$N$11)&gt;$S$11/HU_alpha+$K$11,0.5*$S$11/HU_alpha,IF((AE73+$L$11+$N$11)&gt;=$K$11,((AE73+$L$11+$N$11)-$K$11)-0.5*HU_alpha/$S$11*((AE73+$L$11+$N$11)-$K$11)^2,IF((AE73+$L$11+$N$11)&gt;=$T$11,HU_beta*((AE73+$L$11+$N$11)-$K$11),HU_beta*($T$11-$K$11)))))</f>
        <v/>
      </c>
      <c r="BC73" s="29">
        <f>IF(OR(AZ73=0,$S$11=0),0,IF((AE73+$K$11)&gt;$S$11/HU_alpha+$K$11,0.5*$S$11/HU_alpha,IF((AE73+$K$11)&gt;=$K$11,((AE73+$K$11)-$K$11)-0.5*HU_alpha/$S$11*((AE73+$K$11)-$K$11)^2,IF((AE73+$K$11)&gt;=$T$11,HU_beta*((AE73+$K$11)-$K$11),HU_beta*($T$11-$K$11)))))</f>
        <v/>
      </c>
      <c r="BD73" s="63">
        <f>IF(AND($J$12,A73=$Q$12),J73,0)</f>
        <v/>
      </c>
      <c r="BE73" s="29">
        <f>IF(OR(BD73=0,$S$12=0),0,IF((AE73+$L$12)&gt;$S$12/HU_alpha+$K$12,0.5*$S$12/HU_alpha,IF((AE73+$L$12)&gt;=$K$12,((AE73+$L$12)-$K$12)-0.5*HU_alpha/$S$12*((AE73+$L$12)-$K$12)^2,IF((AE73+$L$12)&gt;=$T$12,HU_beta*((AE73+$L$12)-$K$12),HU_beta*($T$12-$K$12)))))</f>
        <v/>
      </c>
      <c r="BF73" s="29">
        <f>IF(OR(BD73=0,$S$12=0),0,IF((AE73+$L$12+$N$12)&gt;$S$12/HU_alpha+$K$12,0.5*$S$12/HU_alpha,IF((AE73+$L$12+$N$12)&gt;=$K$12,((AE73+$L$12+$N$12)-$K$12)-0.5*HU_alpha/$S$12*((AE73+$L$12+$N$12)-$K$12)^2,IF((AE73+$L$12+$N$12)&gt;=$T$12,HU_beta*((AE73+$L$12+$N$12)-$K$12),HU_beta*($T$12-$K$12)))))</f>
        <v/>
      </c>
      <c r="BG73" s="29">
        <f>IF(OR(BD73=0,$S$12=0),0,IF((AE73+$K$12)&gt;$S$12/HU_alpha+$K$12,0.5*$S$12/HU_alpha,IF((AE73+$K$12)&gt;=$K$12,((AE73+$K$12)-$K$12)-0.5*HU_alpha/$S$12*((AE73+$K$12)-$K$12)^2,IF((AE73+$K$12)&gt;=$T$12,HU_beta*((AE73+$K$12)-$K$12),HU_beta*($T$12-$K$12)))))</f>
        <v/>
      </c>
      <c r="BH73" s="63">
        <f>IF(AND($J$13,A73=$Q$13),J73,0)</f>
        <v/>
      </c>
      <c r="BI73" s="29">
        <f>IF(OR(BH73=0,$S$13=0),0,IF((AE73+$L$13)&gt;$S$13/HU_alpha+$K$13,0.5*$S$13/HU_alpha,IF((AE73+$L$13)&gt;=$K$13,((AE73+$L$13)-$K$13)-0.5*HU_alpha/$S$13*((AE73+$L$13)-$K$13)^2,IF((AE73+$L$13)&gt;=$T$13,HU_beta*((AE73+$L$13)-$K$13),HU_beta*($T$13-$K$13)))))</f>
        <v/>
      </c>
      <c r="BJ73" s="29">
        <f>IF(OR(BH73=0,$S$13=0),0,IF((AE73+$L$13+$N$13)&gt;$S$13/HU_alpha+$K$13,0.5*$S$13/HU_alpha,IF((AE73+$L$13+$N$13)&gt;=$K$13,((AE73+$L$13+$N$13)-$K$13)-0.5*HU_alpha/$S$13*((AE73+$L$13+$N$13)-$K$13)^2,IF((AE73+$L$13+$N$13)&gt;=$T$13,HU_beta*((AE73+$L$13+$N$13)-$K$13),HU_beta*($T$13-$K$13)))))</f>
        <v/>
      </c>
      <c r="BK73" s="29">
        <f>IF(OR(BH73=0,$S$13=0),0,IF((AE73+$K$13)&gt;$S$13/HU_alpha+$K$13,0.5*$S$13/HU_alpha,IF((AE73+$K$13)&gt;=$K$13,((AE73+$K$13)-$K$13)-0.5*HU_alpha/$S$13*((AE73+$K$13)-$K$13)^2,IF((AE73+$K$13)&gt;=$T$13,HU_beta*((AE73+$K$13)-$K$13),HU_beta*($T$13-$K$13)))))</f>
        <v/>
      </c>
    </row>
    <row r="74">
      <c r="A74" s="61" t="n">
        <v>6</v>
      </c>
      <c r="B74" s="61">
        <f>HU_age+A74</f>
        <v/>
      </c>
      <c r="C74" s="52">
        <f>A74&lt;=HU_T</f>
        <v/>
      </c>
      <c r="D74" s="63">
        <f>IF(OR(A74&lt;1,A74&gt;HU_T),0,INDEX(HU_q_mort,HU_age+A74-17,HU_col))</f>
        <v/>
      </c>
      <c r="E74" s="63">
        <f>IF(OR(A74&lt;1,A74&gt;HU_T),0,INDEX(HU_q_adb,HU_age+A74-17,HU_col))</f>
        <v/>
      </c>
      <c r="F74" s="63">
        <f>IF(OR(A74&lt;1,A74&gt;HU_T),0,INDEX(HU_q_morb,HU_age+A74-17,HU_col))</f>
        <v/>
      </c>
      <c r="G74" s="63">
        <f>IF(OR(A74&lt;1,A74&gt;HU_T),0,INDEX(HU_q_ptd,HU_age+A74-17,HU_col))</f>
        <v/>
      </c>
      <c r="H74" s="63">
        <f>IF(OR(A74&lt;1,A74&gt;HU_T),0,INDEX(HU_q_dis,HU_age+A74-17,HU_col))</f>
        <v/>
      </c>
      <c r="I74" s="63">
        <f>IF(A74&gt;HU_T,0,I73*(1-D74)*(1-E74))</f>
        <v/>
      </c>
      <c r="J74" s="63">
        <f>IF(A74&gt;=HU_T,0,N(I75))</f>
        <v/>
      </c>
      <c r="K74" s="63">
        <f>K73*(1-G74)</f>
        <v/>
      </c>
      <c r="L74" s="63">
        <f>1-K74</f>
        <v/>
      </c>
      <c r="M74" s="63">
        <f>K73*G74</f>
        <v/>
      </c>
      <c r="N74" s="63">
        <f>N73*(1-H74)</f>
        <v/>
      </c>
      <c r="O74" s="63">
        <f>1-N73</f>
        <v/>
      </c>
      <c r="P74" s="63">
        <f>P73*(1-F74)</f>
        <v/>
      </c>
      <c r="Q74" s="63">
        <f>1-P73/INDEX($P$68:$P$150,MAX(1,A74-HU_ciYears))</f>
        <v/>
      </c>
      <c r="R74" s="60">
        <f>(1+inflationRate)^A74</f>
        <v/>
      </c>
      <c r="S74" s="29">
        <f>IF(OR(OR(A74&lt;1,A74&gt;HU_T),A74-1&gt;=HU_dtr),0,HU_inc0*(1+incomeGrowthRate)^A74)</f>
        <v/>
      </c>
      <c r="T74" s="60">
        <f>IF(A74&gt;HU_T,T73,T73*(1+INDEX(HU_ssG,HU_age+A74-17)))</f>
        <v/>
      </c>
      <c r="U74" s="29">
        <f>IF(AND(HU_dtr&gt;=1,A74=HU_dtr,A74&lt;=HU_T),MIN(S74*INDEX(HU_ssC,HU_age+A74-17)/(1-INDEX(HU_ssC,HU_age+A74-17)),INDEX(HU_ssCap,HU_age+A74-17))*T74,0)</f>
        <v/>
      </c>
      <c r="V74" s="29">
        <f>S74+U74+IF(AND(HU_wdOn,A74=HU_wdYear),HU_wdIncome,0)</f>
        <v/>
      </c>
      <c r="W74" s="60">
        <f>HU_ciProp*Q74+HU_tpdCut*L74+HU_disCut*O74</f>
        <v/>
      </c>
      <c r="X74" s="29">
        <f>IF(OR(A74&lt;1,A74&gt;HU_T),0,V74*(1-W74))</f>
        <v/>
      </c>
      <c r="Y74" s="29">
        <f>IF(OR(A74&lt;1,A74&gt;HU_T),0,IF(AND(HU_retExp&gt;0,A74-1&gt;=HU_dtr),HU_retExp,HU_exp0)*R74)</f>
        <v/>
      </c>
      <c r="Z74" s="29">
        <f>-Y74-IF(AND(HU_wdOn,A74=HU_wdYear),HU_wdOut,0)</f>
        <v/>
      </c>
      <c r="AA74" s="29">
        <f>IF(OR(A74&lt;1,A74&gt;HU_T),0,-HU_medCost*R74*F74-HU_tpdCost*R74*M74)</f>
        <v/>
      </c>
      <c r="AB74" s="29">
        <f>IF(A74&gt;HU_T,0,AB73*(1+interestRate)+X74+Z74+AA74)</f>
        <v/>
      </c>
      <c r="AC74" s="29">
        <f>IF(A74&gt;HU_T,0,HU_inv*EXP(HU_mu*A74))</f>
        <v/>
      </c>
      <c r="AD74" s="29">
        <f>IF(A74&gt;HU_T,0,MAX(0,AC74+AB74))</f>
        <v/>
      </c>
      <c r="AE74" s="29">
        <f>IF(A74&gt;HU_T,0,MAX(0,X74-Y74))</f>
        <v/>
      </c>
      <c r="AF74" s="63">
        <f>IF(AND($J$6,A74&gt;=1,A74&lt;=$Q$6-1),J74,0)</f>
        <v/>
      </c>
      <c r="AG74" s="29">
        <f>IF(OR(AF74=0,$S$6=0),0,IF((AD74+$L$6)&gt;$S$6/HU_alpha+$K$6,0.5*$S$6/HU_alpha,IF((AD74+$L$6)&gt;=$K$6,((AD74+$L$6)-$K$6)-0.5*HU_alpha/$S$6*((AD74+$L$6)-$K$6)^2,IF((AD74+$L$6)&gt;=$T$6,HU_beta*((AD74+$L$6)-$K$6),HU_beta*($T$6-$K$6)))))</f>
        <v/>
      </c>
      <c r="AH74" s="29">
        <f>IF(OR(AF74=0,$S$6=0),0,IF((AD74+$L$6+$N$6)&gt;$S$6/HU_alpha+$K$6,0.5*$S$6/HU_alpha,IF((AD74+$L$6+$N$6)&gt;=$K$6,((AD74+$L$6+$N$6)-$K$6)-0.5*HU_alpha/$S$6*((AD74+$L$6+$N$6)-$K$6)^2,IF((AD74+$L$6+$N$6)&gt;=$T$6,HU_beta*((AD74+$L$6+$N$6)-$K$6),HU_beta*($T$6-$K$6)))))</f>
        <v/>
      </c>
      <c r="AI74" s="29">
        <f>IF(OR(AF74=0,$S$6=0),0,IF((AD74+$K$6)&gt;$S$6/HU_alpha+$K$6,0.5*$S$6/HU_alpha,IF((AD74+$K$6)&gt;=$K$6,((AD74+$K$6)-$K$6)-0.5*HU_alpha/$S$6*((AD74+$K$6)-$K$6)^2,IF((AD74+$K$6)&gt;=$T$6,HU_beta*((AD74+$K$6)-$K$6),HU_beta*($T$6-$K$6)))))</f>
        <v/>
      </c>
      <c r="AJ74" s="63">
        <f>IF(AND($J$7,A74&gt;=1,A74&lt;=$Q$7-1),J74,0)</f>
        <v/>
      </c>
      <c r="AK74" s="29">
        <f>IF(OR(AJ74=0,$S$7=0),0,IF((AE74+$L$7)&gt;$S$7/HU_alpha+$K$7,0.5*$S$7/HU_alpha,IF((AE74+$L$7)&gt;=$K$7,((AE74+$L$7)-$K$7)-0.5*HU_alpha/$S$7*((AE74+$L$7)-$K$7)^2,IF((AE74+$L$7)&gt;=$T$7,HU_beta*((AE74+$L$7)-$K$7),HU_beta*($T$7-$K$7)))))</f>
        <v/>
      </c>
      <c r="AL74" s="29">
        <f>IF(OR(AJ74=0,$S$7=0),0,IF((AE74+$L$7+$N$7)&gt;$S$7/HU_alpha+$K$7,0.5*$S$7/HU_alpha,IF((AE74+$L$7+$N$7)&gt;=$K$7,((AE74+$L$7+$N$7)-$K$7)-0.5*HU_alpha/$S$7*((AE74+$L$7+$N$7)-$K$7)^2,IF((AE74+$L$7+$N$7)&gt;=$T$7,HU_beta*((AE74+$L$7+$N$7)-$K$7),HU_beta*($T$7-$K$7)))))</f>
        <v/>
      </c>
      <c r="AM74" s="29">
        <f>IF(OR(AJ74=0,$S$7=0),0,IF((AE74+$K$7)&gt;$S$7/HU_alpha+$K$7,0.5*$S$7/HU_alpha,IF((AE74+$K$7)&gt;=$K$7,((AE74+$K$7)-$K$7)-0.5*HU_alpha/$S$7*((AE74+$K$7)-$K$7)^2,IF((AE74+$K$7)&gt;=$T$7,HU_beta*((AE74+$K$7)-$K$7),HU_beta*($T$7-$K$7)))))</f>
        <v/>
      </c>
      <c r="AN74" s="63">
        <f>IF(AND($J$8,A74&gt;=1,A74&lt;=$Q$8-1),J74,0)</f>
        <v/>
      </c>
      <c r="AO74" s="29">
        <f>IF(OR(AN74=0,$S$8=0),0,IF((AE74+$L$8)&gt;$S$8/HU_alpha+$K$8,0.5*$S$8/HU_alpha,IF((AE74+$L$8)&gt;=$K$8,((AE74+$L$8)-$K$8)-0.5*HU_alpha/$S$8*((AE74+$L$8)-$K$8)^2,IF((AE74+$L$8)&gt;=$T$8,HU_beta*((AE74+$L$8)-$K$8),HU_beta*($T$8-$K$8)))))</f>
        <v/>
      </c>
      <c r="AP74" s="29">
        <f>IF(OR(AN74=0,$S$8=0),0,IF((AE74+$L$8+$N$8)&gt;$S$8/HU_alpha+$K$8,0.5*$S$8/HU_alpha,IF((AE74+$L$8+$N$8)&gt;=$K$8,((AE74+$L$8+$N$8)-$K$8)-0.5*HU_alpha/$S$8*((AE74+$L$8+$N$8)-$K$8)^2,IF((AE74+$L$8+$N$8)&gt;=$T$8,HU_beta*((AE74+$L$8+$N$8)-$K$8),HU_beta*($T$8-$K$8)))))</f>
        <v/>
      </c>
      <c r="AQ74" s="29">
        <f>IF(OR(AN74=0,$S$8=0),0,IF((AE74+$K$8)&gt;$S$8/HU_alpha+$K$8,0.5*$S$8/HU_alpha,IF((AE74+$K$8)&gt;=$K$8,((AE74+$K$8)-$K$8)-0.5*HU_alpha/$S$8*((AE74+$K$8)-$K$8)^2,IF((AE74+$K$8)&gt;=$T$8,HU_beta*((AE74+$K$8)-$K$8),HU_beta*($T$8-$K$8)))))</f>
        <v/>
      </c>
      <c r="AR74" s="63">
        <f>IF(AND($J$9,A74&gt;=1,A74&lt;=$Q$9-1),J74,0)</f>
        <v/>
      </c>
      <c r="AS74" s="29">
        <f>IF(OR(AR74=0,$S$9=0),0,IF((AE74+$L$9)&gt;$S$9/HU_alpha+$K$9,0.5*$S$9/HU_alpha,IF((AE74+$L$9)&gt;=$K$9,((AE74+$L$9)-$K$9)-0.5*HU_alpha/$S$9*((AE74+$L$9)-$K$9)^2,IF((AE74+$L$9)&gt;=$T$9,HU_beta*((AE74+$L$9)-$K$9),HU_beta*($T$9-$K$9)))))</f>
        <v/>
      </c>
      <c r="AT74" s="29">
        <f>IF(OR(AR74=0,$S$9=0),0,IF((AE74+$L$9+$N$9)&gt;$S$9/HU_alpha+$K$9,0.5*$S$9/HU_alpha,IF((AE74+$L$9+$N$9)&gt;=$K$9,((AE74+$L$9+$N$9)-$K$9)-0.5*HU_alpha/$S$9*((AE74+$L$9+$N$9)-$K$9)^2,IF((AE74+$L$9+$N$9)&gt;=$T$9,HU_beta*((AE74+$L$9+$N$9)-$K$9),HU_beta*($T$9-$K$9)))))</f>
        <v/>
      </c>
      <c r="AU74" s="29">
        <f>IF(OR(AR74=0,$S$9=0),0,IF((AE74+$K$9)&gt;$S$9/HU_alpha+$K$9,0.5*$S$9/HU_alpha,IF((AE74+$K$9)&gt;=$K$9,((AE74+$K$9)-$K$9)-0.5*HU_alpha/$S$9*((AE74+$K$9)-$K$9)^2,IF((AE74+$K$9)&gt;=$T$9,HU_beta*((AE74+$K$9)-$K$9),HU_beta*($T$9-$K$9)))))</f>
        <v/>
      </c>
      <c r="AV74" s="63">
        <f>IF(AND($J$10,A74=$Q$10),J74,0)</f>
        <v/>
      </c>
      <c r="AW74" s="29">
        <f>IF(OR(AV74=0,$S$10=0),0,IF((AD74+$L$10)&gt;$S$10/HU_alpha+$K$10,0.5*$S$10/HU_alpha,IF((AD74+$L$10)&gt;=$K$10,((AD74+$L$10)-$K$10)-0.5*HU_alpha/$S$10*((AD74+$L$10)-$K$10)^2,IF((AD74+$L$10)&gt;=$T$10,HU_beta*((AD74+$L$10)-$K$10),HU_beta*($T$10-$K$10)))))</f>
        <v/>
      </c>
      <c r="AX74" s="29">
        <f>IF(OR(AV74=0,$S$10=0),0,IF((AD74+$L$10+$N$10)&gt;$S$10/HU_alpha+$K$10,0.5*$S$10/HU_alpha,IF((AD74+$L$10+$N$10)&gt;=$K$10,((AD74+$L$10+$N$10)-$K$10)-0.5*HU_alpha/$S$10*((AD74+$L$10+$N$10)-$K$10)^2,IF((AD74+$L$10+$N$10)&gt;=$T$10,HU_beta*((AD74+$L$10+$N$10)-$K$10),HU_beta*($T$10-$K$10)))))</f>
        <v/>
      </c>
      <c r="AY74" s="29">
        <f>IF(OR(AV74=0,$S$10=0),0,IF((AD74+$K$10)&gt;$S$10/HU_alpha+$K$10,0.5*$S$10/HU_alpha,IF((AD74+$K$10)&gt;=$K$10,((AD74+$K$10)-$K$10)-0.5*HU_alpha/$S$10*((AD74+$K$10)-$K$10)^2,IF((AD74+$K$10)&gt;=$T$10,HU_beta*((AD74+$K$10)-$K$10),HU_beta*($T$10-$K$10)))))</f>
        <v/>
      </c>
      <c r="AZ74" s="63">
        <f>IF(AND($J$11,A74=$Q$11),J74,0)</f>
        <v/>
      </c>
      <c r="BA74" s="29">
        <f>IF(OR(AZ74=0,$S$11=0),0,IF((AE74+$L$11)&gt;$S$11/HU_alpha+$K$11,0.5*$S$11/HU_alpha,IF((AE74+$L$11)&gt;=$K$11,((AE74+$L$11)-$K$11)-0.5*HU_alpha/$S$11*((AE74+$L$11)-$K$11)^2,IF((AE74+$L$11)&gt;=$T$11,HU_beta*((AE74+$L$11)-$K$11),HU_beta*($T$11-$K$11)))))</f>
        <v/>
      </c>
      <c r="BB74" s="29">
        <f>IF(OR(AZ74=0,$S$11=0),0,IF((AE74+$L$11+$N$11)&gt;$S$11/HU_alpha+$K$11,0.5*$S$11/HU_alpha,IF((AE74+$L$11+$N$11)&gt;=$K$11,((AE74+$L$11+$N$11)-$K$11)-0.5*HU_alpha/$S$11*((AE74+$L$11+$N$11)-$K$11)^2,IF((AE74+$L$11+$N$11)&gt;=$T$11,HU_beta*((AE74+$L$11+$N$11)-$K$11),HU_beta*($T$11-$K$11)))))</f>
        <v/>
      </c>
      <c r="BC74" s="29">
        <f>IF(OR(AZ74=0,$S$11=0),0,IF((AE74+$K$11)&gt;$S$11/HU_alpha+$K$11,0.5*$S$11/HU_alpha,IF((AE74+$K$11)&gt;=$K$11,((AE74+$K$11)-$K$11)-0.5*HU_alpha/$S$11*((AE74+$K$11)-$K$11)^2,IF((AE74+$K$11)&gt;=$T$11,HU_beta*((AE74+$K$11)-$K$11),HU_beta*($T$11-$K$11)))))</f>
        <v/>
      </c>
      <c r="BD74" s="63">
        <f>IF(AND($J$12,A74=$Q$12),J74,0)</f>
        <v/>
      </c>
      <c r="BE74" s="29">
        <f>IF(OR(BD74=0,$S$12=0),0,IF((AE74+$L$12)&gt;$S$12/HU_alpha+$K$12,0.5*$S$12/HU_alpha,IF((AE74+$L$12)&gt;=$K$12,((AE74+$L$12)-$K$12)-0.5*HU_alpha/$S$12*((AE74+$L$12)-$K$12)^2,IF((AE74+$L$12)&gt;=$T$12,HU_beta*((AE74+$L$12)-$K$12),HU_beta*($T$12-$K$12)))))</f>
        <v/>
      </c>
      <c r="BF74" s="29">
        <f>IF(OR(BD74=0,$S$12=0),0,IF((AE74+$L$12+$N$12)&gt;$S$12/HU_alpha+$K$12,0.5*$S$12/HU_alpha,IF((AE74+$L$12+$N$12)&gt;=$K$12,((AE74+$L$12+$N$12)-$K$12)-0.5*HU_alpha/$S$12*((AE74+$L$12+$N$12)-$K$12)^2,IF((AE74+$L$12+$N$12)&gt;=$T$12,HU_beta*((AE74+$L$12+$N$12)-$K$12),HU_beta*($T$12-$K$12)))))</f>
        <v/>
      </c>
      <c r="BG74" s="29">
        <f>IF(OR(BD74=0,$S$12=0),0,IF((AE74+$K$12)&gt;$S$12/HU_alpha+$K$12,0.5*$S$12/HU_alpha,IF((AE74+$K$12)&gt;=$K$12,((AE74+$K$12)-$K$12)-0.5*HU_alpha/$S$12*((AE74+$K$12)-$K$12)^2,IF((AE74+$K$12)&gt;=$T$12,HU_beta*((AE74+$K$12)-$K$12),HU_beta*($T$12-$K$12)))))</f>
        <v/>
      </c>
      <c r="BH74" s="63">
        <f>IF(AND($J$13,A74=$Q$13),J74,0)</f>
        <v/>
      </c>
      <c r="BI74" s="29">
        <f>IF(OR(BH74=0,$S$13=0),0,IF((AE74+$L$13)&gt;$S$13/HU_alpha+$K$13,0.5*$S$13/HU_alpha,IF((AE74+$L$13)&gt;=$K$13,((AE74+$L$13)-$K$13)-0.5*HU_alpha/$S$13*((AE74+$L$13)-$K$13)^2,IF((AE74+$L$13)&gt;=$T$13,HU_beta*((AE74+$L$13)-$K$13),HU_beta*($T$13-$K$13)))))</f>
        <v/>
      </c>
      <c r="BJ74" s="29">
        <f>IF(OR(BH74=0,$S$13=0),0,IF((AE74+$L$13+$N$13)&gt;$S$13/HU_alpha+$K$13,0.5*$S$13/HU_alpha,IF((AE74+$L$13+$N$13)&gt;=$K$13,((AE74+$L$13+$N$13)-$K$13)-0.5*HU_alpha/$S$13*((AE74+$L$13+$N$13)-$K$13)^2,IF((AE74+$L$13+$N$13)&gt;=$T$13,HU_beta*((AE74+$L$13+$N$13)-$K$13),HU_beta*($T$13-$K$13)))))</f>
        <v/>
      </c>
      <c r="BK74" s="29">
        <f>IF(OR(BH74=0,$S$13=0),0,IF((AE74+$K$13)&gt;$S$13/HU_alpha+$K$13,0.5*$S$13/HU_alpha,IF((AE74+$K$13)&gt;=$K$13,((AE74+$K$13)-$K$13)-0.5*HU_alpha/$S$13*((AE74+$K$13)-$K$13)^2,IF((AE74+$K$13)&gt;=$T$13,HU_beta*((AE74+$K$13)-$K$13),HU_beta*($T$13-$K$13)))))</f>
        <v/>
      </c>
    </row>
    <row r="75">
      <c r="A75" s="61" t="n">
        <v>7</v>
      </c>
      <c r="B75" s="61">
        <f>HU_age+A75</f>
        <v/>
      </c>
      <c r="C75" s="52">
        <f>A75&lt;=HU_T</f>
        <v/>
      </c>
      <c r="D75" s="63">
        <f>IF(OR(A75&lt;1,A75&gt;HU_T),0,INDEX(HU_q_mort,HU_age+A75-17,HU_col))</f>
        <v/>
      </c>
      <c r="E75" s="63">
        <f>IF(OR(A75&lt;1,A75&gt;HU_T),0,INDEX(HU_q_adb,HU_age+A75-17,HU_col))</f>
        <v/>
      </c>
      <c r="F75" s="63">
        <f>IF(OR(A75&lt;1,A75&gt;HU_T),0,INDEX(HU_q_morb,HU_age+A75-17,HU_col))</f>
        <v/>
      </c>
      <c r="G75" s="63">
        <f>IF(OR(A75&lt;1,A75&gt;HU_T),0,INDEX(HU_q_ptd,HU_age+A75-17,HU_col))</f>
        <v/>
      </c>
      <c r="H75" s="63">
        <f>IF(OR(A75&lt;1,A75&gt;HU_T),0,INDEX(HU_q_dis,HU_age+A75-17,HU_col))</f>
        <v/>
      </c>
      <c r="I75" s="63">
        <f>IF(A75&gt;HU_T,0,I74*(1-D75)*(1-E75))</f>
        <v/>
      </c>
      <c r="J75" s="63">
        <f>IF(A75&gt;=HU_T,0,N(I76))</f>
        <v/>
      </c>
      <c r="K75" s="63">
        <f>K74*(1-G75)</f>
        <v/>
      </c>
      <c r="L75" s="63">
        <f>1-K75</f>
        <v/>
      </c>
      <c r="M75" s="63">
        <f>K74*G75</f>
        <v/>
      </c>
      <c r="N75" s="63">
        <f>N74*(1-H75)</f>
        <v/>
      </c>
      <c r="O75" s="63">
        <f>1-N74</f>
        <v/>
      </c>
      <c r="P75" s="63">
        <f>P74*(1-F75)</f>
        <v/>
      </c>
      <c r="Q75" s="63">
        <f>1-P74/INDEX($P$68:$P$150,MAX(1,A75-HU_ciYears))</f>
        <v/>
      </c>
      <c r="R75" s="60">
        <f>(1+inflationRate)^A75</f>
        <v/>
      </c>
      <c r="S75" s="29">
        <f>IF(OR(OR(A75&lt;1,A75&gt;HU_T),A75-1&gt;=HU_dtr),0,HU_inc0*(1+incomeGrowthRate)^A75)</f>
        <v/>
      </c>
      <c r="T75" s="60">
        <f>IF(A75&gt;HU_T,T74,T74*(1+INDEX(HU_ssG,HU_age+A75-17)))</f>
        <v/>
      </c>
      <c r="U75" s="29">
        <f>IF(AND(HU_dtr&gt;=1,A75=HU_dtr,A75&lt;=HU_T),MIN(S75*INDEX(HU_ssC,HU_age+A75-17)/(1-INDEX(HU_ssC,HU_age+A75-17)),INDEX(HU_ssCap,HU_age+A75-17))*T75,0)</f>
        <v/>
      </c>
      <c r="V75" s="29">
        <f>S75+U75+IF(AND(HU_wdOn,A75=HU_wdYear),HU_wdIncome,0)</f>
        <v/>
      </c>
      <c r="W75" s="60">
        <f>HU_ciProp*Q75+HU_tpdCut*L75+HU_disCut*O75</f>
        <v/>
      </c>
      <c r="X75" s="29">
        <f>IF(OR(A75&lt;1,A75&gt;HU_T),0,V75*(1-W75))</f>
        <v/>
      </c>
      <c r="Y75" s="29">
        <f>IF(OR(A75&lt;1,A75&gt;HU_T),0,IF(AND(HU_retExp&gt;0,A75-1&gt;=HU_dtr),HU_retExp,HU_exp0)*R75)</f>
        <v/>
      </c>
      <c r="Z75" s="29">
        <f>-Y75-IF(AND(HU_wdOn,A75=HU_wdYear),HU_wdOut,0)</f>
        <v/>
      </c>
      <c r="AA75" s="29">
        <f>IF(OR(A75&lt;1,A75&gt;HU_T),0,-HU_medCost*R75*F75-HU_tpdCost*R75*M75)</f>
        <v/>
      </c>
      <c r="AB75" s="29">
        <f>IF(A75&gt;HU_T,0,AB74*(1+interestRate)+X75+Z75+AA75)</f>
        <v/>
      </c>
      <c r="AC75" s="29">
        <f>IF(A75&gt;HU_T,0,HU_inv*EXP(HU_mu*A75))</f>
        <v/>
      </c>
      <c r="AD75" s="29">
        <f>IF(A75&gt;HU_T,0,MAX(0,AC75+AB75))</f>
        <v/>
      </c>
      <c r="AE75" s="29">
        <f>IF(A75&gt;HU_T,0,MAX(0,X75-Y75))</f>
        <v/>
      </c>
      <c r="AF75" s="63">
        <f>IF(AND($J$6,A75&gt;=1,A75&lt;=$Q$6-1),J75,0)</f>
        <v/>
      </c>
      <c r="AG75" s="29">
        <f>IF(OR(AF75=0,$S$6=0),0,IF((AD75+$L$6)&gt;$S$6/HU_alpha+$K$6,0.5*$S$6/HU_alpha,IF((AD75+$L$6)&gt;=$K$6,((AD75+$L$6)-$K$6)-0.5*HU_alpha/$S$6*((AD75+$L$6)-$K$6)^2,IF((AD75+$L$6)&gt;=$T$6,HU_beta*((AD75+$L$6)-$K$6),HU_beta*($T$6-$K$6)))))</f>
        <v/>
      </c>
      <c r="AH75" s="29">
        <f>IF(OR(AF75=0,$S$6=0),0,IF((AD75+$L$6+$N$6)&gt;$S$6/HU_alpha+$K$6,0.5*$S$6/HU_alpha,IF((AD75+$L$6+$N$6)&gt;=$K$6,((AD75+$L$6+$N$6)-$K$6)-0.5*HU_alpha/$S$6*((AD75+$L$6+$N$6)-$K$6)^2,IF((AD75+$L$6+$N$6)&gt;=$T$6,HU_beta*((AD75+$L$6+$N$6)-$K$6),HU_beta*($T$6-$K$6)))))</f>
        <v/>
      </c>
      <c r="AI75" s="29">
        <f>IF(OR(AF75=0,$S$6=0),0,IF((AD75+$K$6)&gt;$S$6/HU_alpha+$K$6,0.5*$S$6/HU_alpha,IF((AD75+$K$6)&gt;=$K$6,((AD75+$K$6)-$K$6)-0.5*HU_alpha/$S$6*((AD75+$K$6)-$K$6)^2,IF((AD75+$K$6)&gt;=$T$6,HU_beta*((AD75+$K$6)-$K$6),HU_beta*($T$6-$K$6)))))</f>
        <v/>
      </c>
      <c r="AJ75" s="63">
        <f>IF(AND($J$7,A75&gt;=1,A75&lt;=$Q$7-1),J75,0)</f>
        <v/>
      </c>
      <c r="AK75" s="29">
        <f>IF(OR(AJ75=0,$S$7=0),0,IF((AE75+$L$7)&gt;$S$7/HU_alpha+$K$7,0.5*$S$7/HU_alpha,IF((AE75+$L$7)&gt;=$K$7,((AE75+$L$7)-$K$7)-0.5*HU_alpha/$S$7*((AE75+$L$7)-$K$7)^2,IF((AE75+$L$7)&gt;=$T$7,HU_beta*((AE75+$L$7)-$K$7),HU_beta*($T$7-$K$7)))))</f>
        <v/>
      </c>
      <c r="AL75" s="29">
        <f>IF(OR(AJ75=0,$S$7=0),0,IF((AE75+$L$7+$N$7)&gt;$S$7/HU_alpha+$K$7,0.5*$S$7/HU_alpha,IF((AE75+$L$7+$N$7)&gt;=$K$7,((AE75+$L$7+$N$7)-$K$7)-0.5*HU_alpha/$S$7*((AE75+$L$7+$N$7)-$K$7)^2,IF((AE75+$L$7+$N$7)&gt;=$T$7,HU_beta*((AE75+$L$7+$N$7)-$K$7),HU_beta*($T$7-$K$7)))))</f>
        <v/>
      </c>
      <c r="AM75" s="29">
        <f>IF(OR(AJ75=0,$S$7=0),0,IF((AE75+$K$7)&gt;$S$7/HU_alpha+$K$7,0.5*$S$7/HU_alpha,IF((AE75+$K$7)&gt;=$K$7,((AE75+$K$7)-$K$7)-0.5*HU_alpha/$S$7*((AE75+$K$7)-$K$7)^2,IF((AE75+$K$7)&gt;=$T$7,HU_beta*((AE75+$K$7)-$K$7),HU_beta*($T$7-$K$7)))))</f>
        <v/>
      </c>
      <c r="AN75" s="63">
        <f>IF(AND($J$8,A75&gt;=1,A75&lt;=$Q$8-1),J75,0)</f>
        <v/>
      </c>
      <c r="AO75" s="29">
        <f>IF(OR(AN75=0,$S$8=0),0,IF((AE75+$L$8)&gt;$S$8/HU_alpha+$K$8,0.5*$S$8/HU_alpha,IF((AE75+$L$8)&gt;=$K$8,((AE75+$L$8)-$K$8)-0.5*HU_alpha/$S$8*((AE75+$L$8)-$K$8)^2,IF((AE75+$L$8)&gt;=$T$8,HU_beta*((AE75+$L$8)-$K$8),HU_beta*($T$8-$K$8)))))</f>
        <v/>
      </c>
      <c r="AP75" s="29">
        <f>IF(OR(AN75=0,$S$8=0),0,IF((AE75+$L$8+$N$8)&gt;$S$8/HU_alpha+$K$8,0.5*$S$8/HU_alpha,IF((AE75+$L$8+$N$8)&gt;=$K$8,((AE75+$L$8+$N$8)-$K$8)-0.5*HU_alpha/$S$8*((AE75+$L$8+$N$8)-$K$8)^2,IF((AE75+$L$8+$N$8)&gt;=$T$8,HU_beta*((AE75+$L$8+$N$8)-$K$8),HU_beta*($T$8-$K$8)))))</f>
        <v/>
      </c>
      <c r="AQ75" s="29">
        <f>IF(OR(AN75=0,$S$8=0),0,IF((AE75+$K$8)&gt;$S$8/HU_alpha+$K$8,0.5*$S$8/HU_alpha,IF((AE75+$K$8)&gt;=$K$8,((AE75+$K$8)-$K$8)-0.5*HU_alpha/$S$8*((AE75+$K$8)-$K$8)^2,IF((AE75+$K$8)&gt;=$T$8,HU_beta*((AE75+$K$8)-$K$8),HU_beta*($T$8-$K$8)))))</f>
        <v/>
      </c>
      <c r="AR75" s="63">
        <f>IF(AND($J$9,A75&gt;=1,A75&lt;=$Q$9-1),J75,0)</f>
        <v/>
      </c>
      <c r="AS75" s="29">
        <f>IF(OR(AR75=0,$S$9=0),0,IF((AE75+$L$9)&gt;$S$9/HU_alpha+$K$9,0.5*$S$9/HU_alpha,IF((AE75+$L$9)&gt;=$K$9,((AE75+$L$9)-$K$9)-0.5*HU_alpha/$S$9*((AE75+$L$9)-$K$9)^2,IF((AE75+$L$9)&gt;=$T$9,HU_beta*((AE75+$L$9)-$K$9),HU_beta*($T$9-$K$9)))))</f>
        <v/>
      </c>
      <c r="AT75" s="29">
        <f>IF(OR(AR75=0,$S$9=0),0,IF((AE75+$L$9+$N$9)&gt;$S$9/HU_alpha+$K$9,0.5*$S$9/HU_alpha,IF((AE75+$L$9+$N$9)&gt;=$K$9,((AE75+$L$9+$N$9)-$K$9)-0.5*HU_alpha/$S$9*((AE75+$L$9+$N$9)-$K$9)^2,IF((AE75+$L$9+$N$9)&gt;=$T$9,HU_beta*((AE75+$L$9+$N$9)-$K$9),HU_beta*($T$9-$K$9)))))</f>
        <v/>
      </c>
      <c r="AU75" s="29">
        <f>IF(OR(AR75=0,$S$9=0),0,IF((AE75+$K$9)&gt;$S$9/HU_alpha+$K$9,0.5*$S$9/HU_alpha,IF((AE75+$K$9)&gt;=$K$9,((AE75+$K$9)-$K$9)-0.5*HU_alpha/$S$9*((AE75+$K$9)-$K$9)^2,IF((AE75+$K$9)&gt;=$T$9,HU_beta*((AE75+$K$9)-$K$9),HU_beta*($T$9-$K$9)))))</f>
        <v/>
      </c>
      <c r="AV75" s="63">
        <f>IF(AND($J$10,A75=$Q$10),J75,0)</f>
        <v/>
      </c>
      <c r="AW75" s="29">
        <f>IF(OR(AV75=0,$S$10=0),0,IF((AD75+$L$10)&gt;$S$10/HU_alpha+$K$10,0.5*$S$10/HU_alpha,IF((AD75+$L$10)&gt;=$K$10,((AD75+$L$10)-$K$10)-0.5*HU_alpha/$S$10*((AD75+$L$10)-$K$10)^2,IF((AD75+$L$10)&gt;=$T$10,HU_beta*((AD75+$L$10)-$K$10),HU_beta*($T$10-$K$10)))))</f>
        <v/>
      </c>
      <c r="AX75" s="29">
        <f>IF(OR(AV75=0,$S$10=0),0,IF((AD75+$L$10+$N$10)&gt;$S$10/HU_alpha+$K$10,0.5*$S$10/HU_alpha,IF((AD75+$L$10+$N$10)&gt;=$K$10,((AD75+$L$10+$N$10)-$K$10)-0.5*HU_alpha/$S$10*((AD75+$L$10+$N$10)-$K$10)^2,IF((AD75+$L$10+$N$10)&gt;=$T$10,HU_beta*((AD75+$L$10+$N$10)-$K$10),HU_beta*($T$10-$K$10)))))</f>
        <v/>
      </c>
      <c r="AY75" s="29">
        <f>IF(OR(AV75=0,$S$10=0),0,IF((AD75+$K$10)&gt;$S$10/HU_alpha+$K$10,0.5*$S$10/HU_alpha,IF((AD75+$K$10)&gt;=$K$10,((AD75+$K$10)-$K$10)-0.5*HU_alpha/$S$10*((AD75+$K$10)-$K$10)^2,IF((AD75+$K$10)&gt;=$T$10,HU_beta*((AD75+$K$10)-$K$10),HU_beta*($T$10-$K$10)))))</f>
        <v/>
      </c>
      <c r="AZ75" s="63">
        <f>IF(AND($J$11,A75=$Q$11),J75,0)</f>
        <v/>
      </c>
      <c r="BA75" s="29">
        <f>IF(OR(AZ75=0,$S$11=0),0,IF((AE75+$L$11)&gt;$S$11/HU_alpha+$K$11,0.5*$S$11/HU_alpha,IF((AE75+$L$11)&gt;=$K$11,((AE75+$L$11)-$K$11)-0.5*HU_alpha/$S$11*((AE75+$L$11)-$K$11)^2,IF((AE75+$L$11)&gt;=$T$11,HU_beta*((AE75+$L$11)-$K$11),HU_beta*($T$11-$K$11)))))</f>
        <v/>
      </c>
      <c r="BB75" s="29">
        <f>IF(OR(AZ75=0,$S$11=0),0,IF((AE75+$L$11+$N$11)&gt;$S$11/HU_alpha+$K$11,0.5*$S$11/HU_alpha,IF((AE75+$L$11+$N$11)&gt;=$K$11,((AE75+$L$11+$N$11)-$K$11)-0.5*HU_alpha/$S$11*((AE75+$L$11+$N$11)-$K$11)^2,IF((AE75+$L$11+$N$11)&gt;=$T$11,HU_beta*((AE75+$L$11+$N$11)-$K$11),HU_beta*($T$11-$K$11)))))</f>
        <v/>
      </c>
      <c r="BC75" s="29">
        <f>IF(OR(AZ75=0,$S$11=0),0,IF((AE75+$K$11)&gt;$S$11/HU_alpha+$K$11,0.5*$S$11/HU_alpha,IF((AE75+$K$11)&gt;=$K$11,((AE75+$K$11)-$K$11)-0.5*HU_alpha/$S$11*((AE75+$K$11)-$K$11)^2,IF((AE75+$K$11)&gt;=$T$11,HU_beta*((AE75+$K$11)-$K$11),HU_beta*($T$11-$K$11)))))</f>
        <v/>
      </c>
      <c r="BD75" s="63">
        <f>IF(AND($J$12,A75=$Q$12),J75,0)</f>
        <v/>
      </c>
      <c r="BE75" s="29">
        <f>IF(OR(BD75=0,$S$12=0),0,IF((AE75+$L$12)&gt;$S$12/HU_alpha+$K$12,0.5*$S$12/HU_alpha,IF((AE75+$L$12)&gt;=$K$12,((AE75+$L$12)-$K$12)-0.5*HU_alpha/$S$12*((AE75+$L$12)-$K$12)^2,IF((AE75+$L$12)&gt;=$T$12,HU_beta*((AE75+$L$12)-$K$12),HU_beta*($T$12-$K$12)))))</f>
        <v/>
      </c>
      <c r="BF75" s="29">
        <f>IF(OR(BD75=0,$S$12=0),0,IF((AE75+$L$12+$N$12)&gt;$S$12/HU_alpha+$K$12,0.5*$S$12/HU_alpha,IF((AE75+$L$12+$N$12)&gt;=$K$12,((AE75+$L$12+$N$12)-$K$12)-0.5*HU_alpha/$S$12*((AE75+$L$12+$N$12)-$K$12)^2,IF((AE75+$L$12+$N$12)&gt;=$T$12,HU_beta*((AE75+$L$12+$N$12)-$K$12),HU_beta*($T$12-$K$12)))))</f>
        <v/>
      </c>
      <c r="BG75" s="29">
        <f>IF(OR(BD75=0,$S$12=0),0,IF((AE75+$K$12)&gt;$S$12/HU_alpha+$K$12,0.5*$S$12/HU_alpha,IF((AE75+$K$12)&gt;=$K$12,((AE75+$K$12)-$K$12)-0.5*HU_alpha/$S$12*((AE75+$K$12)-$K$12)^2,IF((AE75+$K$12)&gt;=$T$12,HU_beta*((AE75+$K$12)-$K$12),HU_beta*($T$12-$K$12)))))</f>
        <v/>
      </c>
      <c r="BH75" s="63">
        <f>IF(AND($J$13,A75=$Q$13),J75,0)</f>
        <v/>
      </c>
      <c r="BI75" s="29">
        <f>IF(OR(BH75=0,$S$13=0),0,IF((AE75+$L$13)&gt;$S$13/HU_alpha+$K$13,0.5*$S$13/HU_alpha,IF((AE75+$L$13)&gt;=$K$13,((AE75+$L$13)-$K$13)-0.5*HU_alpha/$S$13*((AE75+$L$13)-$K$13)^2,IF((AE75+$L$13)&gt;=$T$13,HU_beta*((AE75+$L$13)-$K$13),HU_beta*($T$13-$K$13)))))</f>
        <v/>
      </c>
      <c r="BJ75" s="29">
        <f>IF(OR(BH75=0,$S$13=0),0,IF((AE75+$L$13+$N$13)&gt;$S$13/HU_alpha+$K$13,0.5*$S$13/HU_alpha,IF((AE75+$L$13+$N$13)&gt;=$K$13,((AE75+$L$13+$N$13)-$K$13)-0.5*HU_alpha/$S$13*((AE75+$L$13+$N$13)-$K$13)^2,IF((AE75+$L$13+$N$13)&gt;=$T$13,HU_beta*((AE75+$L$13+$N$13)-$K$13),HU_beta*($T$13-$K$13)))))</f>
        <v/>
      </c>
      <c r="BK75" s="29">
        <f>IF(OR(BH75=0,$S$13=0),0,IF((AE75+$K$13)&gt;$S$13/HU_alpha+$K$13,0.5*$S$13/HU_alpha,IF((AE75+$K$13)&gt;=$K$13,((AE75+$K$13)-$K$13)-0.5*HU_alpha/$S$13*((AE75+$K$13)-$K$13)^2,IF((AE75+$K$13)&gt;=$T$13,HU_beta*((AE75+$K$13)-$K$13),HU_beta*($T$13-$K$13)))))</f>
        <v/>
      </c>
    </row>
    <row r="76">
      <c r="A76" s="61" t="n">
        <v>8</v>
      </c>
      <c r="B76" s="61">
        <f>HU_age+A76</f>
        <v/>
      </c>
      <c r="C76" s="52">
        <f>A76&lt;=HU_T</f>
        <v/>
      </c>
      <c r="D76" s="63">
        <f>IF(OR(A76&lt;1,A76&gt;HU_T),0,INDEX(HU_q_mort,HU_age+A76-17,HU_col))</f>
        <v/>
      </c>
      <c r="E76" s="63">
        <f>IF(OR(A76&lt;1,A76&gt;HU_T),0,INDEX(HU_q_adb,HU_age+A76-17,HU_col))</f>
        <v/>
      </c>
      <c r="F76" s="63">
        <f>IF(OR(A76&lt;1,A76&gt;HU_T),0,INDEX(HU_q_morb,HU_age+A76-17,HU_col))</f>
        <v/>
      </c>
      <c r="G76" s="63">
        <f>IF(OR(A76&lt;1,A76&gt;HU_T),0,INDEX(HU_q_ptd,HU_age+A76-17,HU_col))</f>
        <v/>
      </c>
      <c r="H76" s="63">
        <f>IF(OR(A76&lt;1,A76&gt;HU_T),0,INDEX(HU_q_dis,HU_age+A76-17,HU_col))</f>
        <v/>
      </c>
      <c r="I76" s="63">
        <f>IF(A76&gt;HU_T,0,I75*(1-D76)*(1-E76))</f>
        <v/>
      </c>
      <c r="J76" s="63">
        <f>IF(A76&gt;=HU_T,0,N(I77))</f>
        <v/>
      </c>
      <c r="K76" s="63">
        <f>K75*(1-G76)</f>
        <v/>
      </c>
      <c r="L76" s="63">
        <f>1-K76</f>
        <v/>
      </c>
      <c r="M76" s="63">
        <f>K75*G76</f>
        <v/>
      </c>
      <c r="N76" s="63">
        <f>N75*(1-H76)</f>
        <v/>
      </c>
      <c r="O76" s="63">
        <f>1-N75</f>
        <v/>
      </c>
      <c r="P76" s="63">
        <f>P75*(1-F76)</f>
        <v/>
      </c>
      <c r="Q76" s="63">
        <f>1-P75/INDEX($P$68:$P$150,MAX(1,A76-HU_ciYears))</f>
        <v/>
      </c>
      <c r="R76" s="60">
        <f>(1+inflationRate)^A76</f>
        <v/>
      </c>
      <c r="S76" s="29">
        <f>IF(OR(OR(A76&lt;1,A76&gt;HU_T),A76-1&gt;=HU_dtr),0,HU_inc0*(1+incomeGrowthRate)^A76)</f>
        <v/>
      </c>
      <c r="T76" s="60">
        <f>IF(A76&gt;HU_T,T75,T75*(1+INDEX(HU_ssG,HU_age+A76-17)))</f>
        <v/>
      </c>
      <c r="U76" s="29">
        <f>IF(AND(HU_dtr&gt;=1,A76=HU_dtr,A76&lt;=HU_T),MIN(S76*INDEX(HU_ssC,HU_age+A76-17)/(1-INDEX(HU_ssC,HU_age+A76-17)),INDEX(HU_ssCap,HU_age+A76-17))*T76,0)</f>
        <v/>
      </c>
      <c r="V76" s="29">
        <f>S76+U76+IF(AND(HU_wdOn,A76=HU_wdYear),HU_wdIncome,0)</f>
        <v/>
      </c>
      <c r="W76" s="60">
        <f>HU_ciProp*Q76+HU_tpdCut*L76+HU_disCut*O76</f>
        <v/>
      </c>
      <c r="X76" s="29">
        <f>IF(OR(A76&lt;1,A76&gt;HU_T),0,V76*(1-W76))</f>
        <v/>
      </c>
      <c r="Y76" s="29">
        <f>IF(OR(A76&lt;1,A76&gt;HU_T),0,IF(AND(HU_retExp&gt;0,A76-1&gt;=HU_dtr),HU_retExp,HU_exp0)*R76)</f>
        <v/>
      </c>
      <c r="Z76" s="29">
        <f>-Y76-IF(AND(HU_wdOn,A76=HU_wdYear),HU_wdOut,0)</f>
        <v/>
      </c>
      <c r="AA76" s="29">
        <f>IF(OR(A76&lt;1,A76&gt;HU_T),0,-HU_medCost*R76*F76-HU_tpdCost*R76*M76)</f>
        <v/>
      </c>
      <c r="AB76" s="29">
        <f>IF(A76&gt;HU_T,0,AB75*(1+interestRate)+X76+Z76+AA76)</f>
        <v/>
      </c>
      <c r="AC76" s="29">
        <f>IF(A76&gt;HU_T,0,HU_inv*EXP(HU_mu*A76))</f>
        <v/>
      </c>
      <c r="AD76" s="29">
        <f>IF(A76&gt;HU_T,0,MAX(0,AC76+AB76))</f>
        <v/>
      </c>
      <c r="AE76" s="29">
        <f>IF(A76&gt;HU_T,0,MAX(0,X76-Y76))</f>
        <v/>
      </c>
      <c r="AF76" s="63">
        <f>IF(AND($J$6,A76&gt;=1,A76&lt;=$Q$6-1),J76,0)</f>
        <v/>
      </c>
      <c r="AG76" s="29">
        <f>IF(OR(AF76=0,$S$6=0),0,IF((AD76+$L$6)&gt;$S$6/HU_alpha+$K$6,0.5*$S$6/HU_alpha,IF((AD76+$L$6)&gt;=$K$6,((AD76+$L$6)-$K$6)-0.5*HU_alpha/$S$6*((AD76+$L$6)-$K$6)^2,IF((AD76+$L$6)&gt;=$T$6,HU_beta*((AD76+$L$6)-$K$6),HU_beta*($T$6-$K$6)))))</f>
        <v/>
      </c>
      <c r="AH76" s="29">
        <f>IF(OR(AF76=0,$S$6=0),0,IF((AD76+$L$6+$N$6)&gt;$S$6/HU_alpha+$K$6,0.5*$S$6/HU_alpha,IF((AD76+$L$6+$N$6)&gt;=$K$6,((AD76+$L$6+$N$6)-$K$6)-0.5*HU_alpha/$S$6*((AD76+$L$6+$N$6)-$K$6)^2,IF((AD76+$L$6+$N$6)&gt;=$T$6,HU_beta*((AD76+$L$6+$N$6)-$K$6),HU_beta*($T$6-$K$6)))))</f>
        <v/>
      </c>
      <c r="AI76" s="29">
        <f>IF(OR(AF76=0,$S$6=0),0,IF((AD76+$K$6)&gt;$S$6/HU_alpha+$K$6,0.5*$S$6/HU_alpha,IF((AD76+$K$6)&gt;=$K$6,((AD76+$K$6)-$K$6)-0.5*HU_alpha/$S$6*((AD76+$K$6)-$K$6)^2,IF((AD76+$K$6)&gt;=$T$6,HU_beta*((AD76+$K$6)-$K$6),HU_beta*($T$6-$K$6)))))</f>
        <v/>
      </c>
      <c r="AJ76" s="63">
        <f>IF(AND($J$7,A76&gt;=1,A76&lt;=$Q$7-1),J76,0)</f>
        <v/>
      </c>
      <c r="AK76" s="29">
        <f>IF(OR(AJ76=0,$S$7=0),0,IF((AE76+$L$7)&gt;$S$7/HU_alpha+$K$7,0.5*$S$7/HU_alpha,IF((AE76+$L$7)&gt;=$K$7,((AE76+$L$7)-$K$7)-0.5*HU_alpha/$S$7*((AE76+$L$7)-$K$7)^2,IF((AE76+$L$7)&gt;=$T$7,HU_beta*((AE76+$L$7)-$K$7),HU_beta*($T$7-$K$7)))))</f>
        <v/>
      </c>
      <c r="AL76" s="29">
        <f>IF(OR(AJ76=0,$S$7=0),0,IF((AE76+$L$7+$N$7)&gt;$S$7/HU_alpha+$K$7,0.5*$S$7/HU_alpha,IF((AE76+$L$7+$N$7)&gt;=$K$7,((AE76+$L$7+$N$7)-$K$7)-0.5*HU_alpha/$S$7*((AE76+$L$7+$N$7)-$K$7)^2,IF((AE76+$L$7+$N$7)&gt;=$T$7,HU_beta*((AE76+$L$7+$N$7)-$K$7),HU_beta*($T$7-$K$7)))))</f>
        <v/>
      </c>
      <c r="AM76" s="29">
        <f>IF(OR(AJ76=0,$S$7=0),0,IF((AE76+$K$7)&gt;$S$7/HU_alpha+$K$7,0.5*$S$7/HU_alpha,IF((AE76+$K$7)&gt;=$K$7,((AE76+$K$7)-$K$7)-0.5*HU_alpha/$S$7*((AE76+$K$7)-$K$7)^2,IF((AE76+$K$7)&gt;=$T$7,HU_beta*((AE76+$K$7)-$K$7),HU_beta*($T$7-$K$7)))))</f>
        <v/>
      </c>
      <c r="AN76" s="63">
        <f>IF(AND($J$8,A76&gt;=1,A76&lt;=$Q$8-1),J76,0)</f>
        <v/>
      </c>
      <c r="AO76" s="29">
        <f>IF(OR(AN76=0,$S$8=0),0,IF((AE76+$L$8)&gt;$S$8/HU_alpha+$K$8,0.5*$S$8/HU_alpha,IF((AE76+$L$8)&gt;=$K$8,((AE76+$L$8)-$K$8)-0.5*HU_alpha/$S$8*((AE76+$L$8)-$K$8)^2,IF((AE76+$L$8)&gt;=$T$8,HU_beta*((AE76+$L$8)-$K$8),HU_beta*($T$8-$K$8)))))</f>
        <v/>
      </c>
      <c r="AP76" s="29">
        <f>IF(OR(AN76=0,$S$8=0),0,IF((AE76+$L$8+$N$8)&gt;$S$8/HU_alpha+$K$8,0.5*$S$8/HU_alpha,IF((AE76+$L$8+$N$8)&gt;=$K$8,((AE76+$L$8+$N$8)-$K$8)-0.5*HU_alpha/$S$8*((AE76+$L$8+$N$8)-$K$8)^2,IF((AE76+$L$8+$N$8)&gt;=$T$8,HU_beta*((AE76+$L$8+$N$8)-$K$8),HU_beta*($T$8-$K$8)))))</f>
        <v/>
      </c>
      <c r="AQ76" s="29">
        <f>IF(OR(AN76=0,$S$8=0),0,IF((AE76+$K$8)&gt;$S$8/HU_alpha+$K$8,0.5*$S$8/HU_alpha,IF((AE76+$K$8)&gt;=$K$8,((AE76+$K$8)-$K$8)-0.5*HU_alpha/$S$8*((AE76+$K$8)-$K$8)^2,IF((AE76+$K$8)&gt;=$T$8,HU_beta*((AE76+$K$8)-$K$8),HU_beta*($T$8-$K$8)))))</f>
        <v/>
      </c>
      <c r="AR76" s="63">
        <f>IF(AND($J$9,A76&gt;=1,A76&lt;=$Q$9-1),J76,0)</f>
        <v/>
      </c>
      <c r="AS76" s="29">
        <f>IF(OR(AR76=0,$S$9=0),0,IF((AE76+$L$9)&gt;$S$9/HU_alpha+$K$9,0.5*$S$9/HU_alpha,IF((AE76+$L$9)&gt;=$K$9,((AE76+$L$9)-$K$9)-0.5*HU_alpha/$S$9*((AE76+$L$9)-$K$9)^2,IF((AE76+$L$9)&gt;=$T$9,HU_beta*((AE76+$L$9)-$K$9),HU_beta*($T$9-$K$9)))))</f>
        <v/>
      </c>
      <c r="AT76" s="29">
        <f>IF(OR(AR76=0,$S$9=0),0,IF((AE76+$L$9+$N$9)&gt;$S$9/HU_alpha+$K$9,0.5*$S$9/HU_alpha,IF((AE76+$L$9+$N$9)&gt;=$K$9,((AE76+$L$9+$N$9)-$K$9)-0.5*HU_alpha/$S$9*((AE76+$L$9+$N$9)-$K$9)^2,IF((AE76+$L$9+$N$9)&gt;=$T$9,HU_beta*((AE76+$L$9+$N$9)-$K$9),HU_beta*($T$9-$K$9)))))</f>
        <v/>
      </c>
      <c r="AU76" s="29">
        <f>IF(OR(AR76=0,$S$9=0),0,IF((AE76+$K$9)&gt;$S$9/HU_alpha+$K$9,0.5*$S$9/HU_alpha,IF((AE76+$K$9)&gt;=$K$9,((AE76+$K$9)-$K$9)-0.5*HU_alpha/$S$9*((AE76+$K$9)-$K$9)^2,IF((AE76+$K$9)&gt;=$T$9,HU_beta*((AE76+$K$9)-$K$9),HU_beta*($T$9-$K$9)))))</f>
        <v/>
      </c>
      <c r="AV76" s="63">
        <f>IF(AND($J$10,A76=$Q$10),J76,0)</f>
        <v/>
      </c>
      <c r="AW76" s="29">
        <f>IF(OR(AV76=0,$S$10=0),0,IF((AD76+$L$10)&gt;$S$10/HU_alpha+$K$10,0.5*$S$10/HU_alpha,IF((AD76+$L$10)&gt;=$K$10,((AD76+$L$10)-$K$10)-0.5*HU_alpha/$S$10*((AD76+$L$10)-$K$10)^2,IF((AD76+$L$10)&gt;=$T$10,HU_beta*((AD76+$L$10)-$K$10),HU_beta*($T$10-$K$10)))))</f>
        <v/>
      </c>
      <c r="AX76" s="29">
        <f>IF(OR(AV76=0,$S$10=0),0,IF((AD76+$L$10+$N$10)&gt;$S$10/HU_alpha+$K$10,0.5*$S$10/HU_alpha,IF((AD76+$L$10+$N$10)&gt;=$K$10,((AD76+$L$10+$N$10)-$K$10)-0.5*HU_alpha/$S$10*((AD76+$L$10+$N$10)-$K$10)^2,IF((AD76+$L$10+$N$10)&gt;=$T$10,HU_beta*((AD76+$L$10+$N$10)-$K$10),HU_beta*($T$10-$K$10)))))</f>
        <v/>
      </c>
      <c r="AY76" s="29">
        <f>IF(OR(AV76=0,$S$10=0),0,IF((AD76+$K$10)&gt;$S$10/HU_alpha+$K$10,0.5*$S$10/HU_alpha,IF((AD76+$K$10)&gt;=$K$10,((AD76+$K$10)-$K$10)-0.5*HU_alpha/$S$10*((AD76+$K$10)-$K$10)^2,IF((AD76+$K$10)&gt;=$T$10,HU_beta*((AD76+$K$10)-$K$10),HU_beta*($T$10-$K$10)))))</f>
        <v/>
      </c>
      <c r="AZ76" s="63">
        <f>IF(AND($J$11,A76=$Q$11),J76,0)</f>
        <v/>
      </c>
      <c r="BA76" s="29">
        <f>IF(OR(AZ76=0,$S$11=0),0,IF((AE76+$L$11)&gt;$S$11/HU_alpha+$K$11,0.5*$S$11/HU_alpha,IF((AE76+$L$11)&gt;=$K$11,((AE76+$L$11)-$K$11)-0.5*HU_alpha/$S$11*((AE76+$L$11)-$K$11)^2,IF((AE76+$L$11)&gt;=$T$11,HU_beta*((AE76+$L$11)-$K$11),HU_beta*($T$11-$K$11)))))</f>
        <v/>
      </c>
      <c r="BB76" s="29">
        <f>IF(OR(AZ76=0,$S$11=0),0,IF((AE76+$L$11+$N$11)&gt;$S$11/HU_alpha+$K$11,0.5*$S$11/HU_alpha,IF((AE76+$L$11+$N$11)&gt;=$K$11,((AE76+$L$11+$N$11)-$K$11)-0.5*HU_alpha/$S$11*((AE76+$L$11+$N$11)-$K$11)^2,IF((AE76+$L$11+$N$11)&gt;=$T$11,HU_beta*((AE76+$L$11+$N$11)-$K$11),HU_beta*($T$11-$K$11)))))</f>
        <v/>
      </c>
      <c r="BC76" s="29">
        <f>IF(OR(AZ76=0,$S$11=0),0,IF((AE76+$K$11)&gt;$S$11/HU_alpha+$K$11,0.5*$S$11/HU_alpha,IF((AE76+$K$11)&gt;=$K$11,((AE76+$K$11)-$K$11)-0.5*HU_alpha/$S$11*((AE76+$K$11)-$K$11)^2,IF((AE76+$K$11)&gt;=$T$11,HU_beta*((AE76+$K$11)-$K$11),HU_beta*($T$11-$K$11)))))</f>
        <v/>
      </c>
      <c r="BD76" s="63">
        <f>IF(AND($J$12,A76=$Q$12),J76,0)</f>
        <v/>
      </c>
      <c r="BE76" s="29">
        <f>IF(OR(BD76=0,$S$12=0),0,IF((AE76+$L$12)&gt;$S$12/HU_alpha+$K$12,0.5*$S$12/HU_alpha,IF((AE76+$L$12)&gt;=$K$12,((AE76+$L$12)-$K$12)-0.5*HU_alpha/$S$12*((AE76+$L$12)-$K$12)^2,IF((AE76+$L$12)&gt;=$T$12,HU_beta*((AE76+$L$12)-$K$12),HU_beta*($T$12-$K$12)))))</f>
        <v/>
      </c>
      <c r="BF76" s="29">
        <f>IF(OR(BD76=0,$S$12=0),0,IF((AE76+$L$12+$N$12)&gt;$S$12/HU_alpha+$K$12,0.5*$S$12/HU_alpha,IF((AE76+$L$12+$N$12)&gt;=$K$12,((AE76+$L$12+$N$12)-$K$12)-0.5*HU_alpha/$S$12*((AE76+$L$12+$N$12)-$K$12)^2,IF((AE76+$L$12+$N$12)&gt;=$T$12,HU_beta*((AE76+$L$12+$N$12)-$K$12),HU_beta*($T$12-$K$12)))))</f>
        <v/>
      </c>
      <c r="BG76" s="29">
        <f>IF(OR(BD76=0,$S$12=0),0,IF((AE76+$K$12)&gt;$S$12/HU_alpha+$K$12,0.5*$S$12/HU_alpha,IF((AE76+$K$12)&gt;=$K$12,((AE76+$K$12)-$K$12)-0.5*HU_alpha/$S$12*((AE76+$K$12)-$K$12)^2,IF((AE76+$K$12)&gt;=$T$12,HU_beta*((AE76+$K$12)-$K$12),HU_beta*($T$12-$K$12)))))</f>
        <v/>
      </c>
      <c r="BH76" s="63">
        <f>IF(AND($J$13,A76=$Q$13),J76,0)</f>
        <v/>
      </c>
      <c r="BI76" s="29">
        <f>IF(OR(BH76=0,$S$13=0),0,IF((AE76+$L$13)&gt;$S$13/HU_alpha+$K$13,0.5*$S$13/HU_alpha,IF((AE76+$L$13)&gt;=$K$13,((AE76+$L$13)-$K$13)-0.5*HU_alpha/$S$13*((AE76+$L$13)-$K$13)^2,IF((AE76+$L$13)&gt;=$T$13,HU_beta*((AE76+$L$13)-$K$13),HU_beta*($T$13-$K$13)))))</f>
        <v/>
      </c>
      <c r="BJ76" s="29">
        <f>IF(OR(BH76=0,$S$13=0),0,IF((AE76+$L$13+$N$13)&gt;$S$13/HU_alpha+$K$13,0.5*$S$13/HU_alpha,IF((AE76+$L$13+$N$13)&gt;=$K$13,((AE76+$L$13+$N$13)-$K$13)-0.5*HU_alpha/$S$13*((AE76+$L$13+$N$13)-$K$13)^2,IF((AE76+$L$13+$N$13)&gt;=$T$13,HU_beta*((AE76+$L$13+$N$13)-$K$13),HU_beta*($T$13-$K$13)))))</f>
        <v/>
      </c>
      <c r="BK76" s="29">
        <f>IF(OR(BH76=0,$S$13=0),0,IF((AE76+$K$13)&gt;$S$13/HU_alpha+$K$13,0.5*$S$13/HU_alpha,IF((AE76+$K$13)&gt;=$K$13,((AE76+$K$13)-$K$13)-0.5*HU_alpha/$S$13*((AE76+$K$13)-$K$13)^2,IF((AE76+$K$13)&gt;=$T$13,HU_beta*((AE76+$K$13)-$K$13),HU_beta*($T$13-$K$13)))))</f>
        <v/>
      </c>
    </row>
    <row r="77">
      <c r="A77" s="61" t="n">
        <v>9</v>
      </c>
      <c r="B77" s="61">
        <f>HU_age+A77</f>
        <v/>
      </c>
      <c r="C77" s="52">
        <f>A77&lt;=HU_T</f>
        <v/>
      </c>
      <c r="D77" s="63">
        <f>IF(OR(A77&lt;1,A77&gt;HU_T),0,INDEX(HU_q_mort,HU_age+A77-17,HU_col))</f>
        <v/>
      </c>
      <c r="E77" s="63">
        <f>IF(OR(A77&lt;1,A77&gt;HU_T),0,INDEX(HU_q_adb,HU_age+A77-17,HU_col))</f>
        <v/>
      </c>
      <c r="F77" s="63">
        <f>IF(OR(A77&lt;1,A77&gt;HU_T),0,INDEX(HU_q_morb,HU_age+A77-17,HU_col))</f>
        <v/>
      </c>
      <c r="G77" s="63">
        <f>IF(OR(A77&lt;1,A77&gt;HU_T),0,INDEX(HU_q_ptd,HU_age+A77-17,HU_col))</f>
        <v/>
      </c>
      <c r="H77" s="63">
        <f>IF(OR(A77&lt;1,A77&gt;HU_T),0,INDEX(HU_q_dis,HU_age+A77-17,HU_col))</f>
        <v/>
      </c>
      <c r="I77" s="63">
        <f>IF(A77&gt;HU_T,0,I76*(1-D77)*(1-E77))</f>
        <v/>
      </c>
      <c r="J77" s="63">
        <f>IF(A77&gt;=HU_T,0,N(I78))</f>
        <v/>
      </c>
      <c r="K77" s="63">
        <f>K76*(1-G77)</f>
        <v/>
      </c>
      <c r="L77" s="63">
        <f>1-K77</f>
        <v/>
      </c>
      <c r="M77" s="63">
        <f>K76*G77</f>
        <v/>
      </c>
      <c r="N77" s="63">
        <f>N76*(1-H77)</f>
        <v/>
      </c>
      <c r="O77" s="63">
        <f>1-N76</f>
        <v/>
      </c>
      <c r="P77" s="63">
        <f>P76*(1-F77)</f>
        <v/>
      </c>
      <c r="Q77" s="63">
        <f>1-P76/INDEX($P$68:$P$150,MAX(1,A77-HU_ciYears))</f>
        <v/>
      </c>
      <c r="R77" s="60">
        <f>(1+inflationRate)^A77</f>
        <v/>
      </c>
      <c r="S77" s="29">
        <f>IF(OR(OR(A77&lt;1,A77&gt;HU_T),A77-1&gt;=HU_dtr),0,HU_inc0*(1+incomeGrowthRate)^A77)</f>
        <v/>
      </c>
      <c r="T77" s="60">
        <f>IF(A77&gt;HU_T,T76,T76*(1+INDEX(HU_ssG,HU_age+A77-17)))</f>
        <v/>
      </c>
      <c r="U77" s="29">
        <f>IF(AND(HU_dtr&gt;=1,A77=HU_dtr,A77&lt;=HU_T),MIN(S77*INDEX(HU_ssC,HU_age+A77-17)/(1-INDEX(HU_ssC,HU_age+A77-17)),INDEX(HU_ssCap,HU_age+A77-17))*T77,0)</f>
        <v/>
      </c>
      <c r="V77" s="29">
        <f>S77+U77+IF(AND(HU_wdOn,A77=HU_wdYear),HU_wdIncome,0)</f>
        <v/>
      </c>
      <c r="W77" s="60">
        <f>HU_ciProp*Q77+HU_tpdCut*L77+HU_disCut*O77</f>
        <v/>
      </c>
      <c r="X77" s="29">
        <f>IF(OR(A77&lt;1,A77&gt;HU_T),0,V77*(1-W77))</f>
        <v/>
      </c>
      <c r="Y77" s="29">
        <f>IF(OR(A77&lt;1,A77&gt;HU_T),0,IF(AND(HU_retExp&gt;0,A77-1&gt;=HU_dtr),HU_retExp,HU_exp0)*R77)</f>
        <v/>
      </c>
      <c r="Z77" s="29">
        <f>-Y77-IF(AND(HU_wdOn,A77=HU_wdYear),HU_wdOut,0)</f>
        <v/>
      </c>
      <c r="AA77" s="29">
        <f>IF(OR(A77&lt;1,A77&gt;HU_T),0,-HU_medCost*R77*F77-HU_tpdCost*R77*M77)</f>
        <v/>
      </c>
      <c r="AB77" s="29">
        <f>IF(A77&gt;HU_T,0,AB76*(1+interestRate)+X77+Z77+AA77)</f>
        <v/>
      </c>
      <c r="AC77" s="29">
        <f>IF(A77&gt;HU_T,0,HU_inv*EXP(HU_mu*A77))</f>
        <v/>
      </c>
      <c r="AD77" s="29">
        <f>IF(A77&gt;HU_T,0,MAX(0,AC77+AB77))</f>
        <v/>
      </c>
      <c r="AE77" s="29">
        <f>IF(A77&gt;HU_T,0,MAX(0,X77-Y77))</f>
        <v/>
      </c>
      <c r="AF77" s="63">
        <f>IF(AND($J$6,A77&gt;=1,A77&lt;=$Q$6-1),J77,0)</f>
        <v/>
      </c>
      <c r="AG77" s="29">
        <f>IF(OR(AF77=0,$S$6=0),0,IF((AD77+$L$6)&gt;$S$6/HU_alpha+$K$6,0.5*$S$6/HU_alpha,IF((AD77+$L$6)&gt;=$K$6,((AD77+$L$6)-$K$6)-0.5*HU_alpha/$S$6*((AD77+$L$6)-$K$6)^2,IF((AD77+$L$6)&gt;=$T$6,HU_beta*((AD77+$L$6)-$K$6),HU_beta*($T$6-$K$6)))))</f>
        <v/>
      </c>
      <c r="AH77" s="29">
        <f>IF(OR(AF77=0,$S$6=0),0,IF((AD77+$L$6+$N$6)&gt;$S$6/HU_alpha+$K$6,0.5*$S$6/HU_alpha,IF((AD77+$L$6+$N$6)&gt;=$K$6,((AD77+$L$6+$N$6)-$K$6)-0.5*HU_alpha/$S$6*((AD77+$L$6+$N$6)-$K$6)^2,IF((AD77+$L$6+$N$6)&gt;=$T$6,HU_beta*((AD77+$L$6+$N$6)-$K$6),HU_beta*($T$6-$K$6)))))</f>
        <v/>
      </c>
      <c r="AI77" s="29">
        <f>IF(OR(AF77=0,$S$6=0),0,IF((AD77+$K$6)&gt;$S$6/HU_alpha+$K$6,0.5*$S$6/HU_alpha,IF((AD77+$K$6)&gt;=$K$6,((AD77+$K$6)-$K$6)-0.5*HU_alpha/$S$6*((AD77+$K$6)-$K$6)^2,IF((AD77+$K$6)&gt;=$T$6,HU_beta*((AD77+$K$6)-$K$6),HU_beta*($T$6-$K$6)))))</f>
        <v/>
      </c>
      <c r="AJ77" s="63">
        <f>IF(AND($J$7,A77&gt;=1,A77&lt;=$Q$7-1),J77,0)</f>
        <v/>
      </c>
      <c r="AK77" s="29">
        <f>IF(OR(AJ77=0,$S$7=0),0,IF((AE77+$L$7)&gt;$S$7/HU_alpha+$K$7,0.5*$S$7/HU_alpha,IF((AE77+$L$7)&gt;=$K$7,((AE77+$L$7)-$K$7)-0.5*HU_alpha/$S$7*((AE77+$L$7)-$K$7)^2,IF((AE77+$L$7)&gt;=$T$7,HU_beta*((AE77+$L$7)-$K$7),HU_beta*($T$7-$K$7)))))</f>
        <v/>
      </c>
      <c r="AL77" s="29">
        <f>IF(OR(AJ77=0,$S$7=0),0,IF((AE77+$L$7+$N$7)&gt;$S$7/HU_alpha+$K$7,0.5*$S$7/HU_alpha,IF((AE77+$L$7+$N$7)&gt;=$K$7,((AE77+$L$7+$N$7)-$K$7)-0.5*HU_alpha/$S$7*((AE77+$L$7+$N$7)-$K$7)^2,IF((AE77+$L$7+$N$7)&gt;=$T$7,HU_beta*((AE77+$L$7+$N$7)-$K$7),HU_beta*($T$7-$K$7)))))</f>
        <v/>
      </c>
      <c r="AM77" s="29">
        <f>IF(OR(AJ77=0,$S$7=0),0,IF((AE77+$K$7)&gt;$S$7/HU_alpha+$K$7,0.5*$S$7/HU_alpha,IF((AE77+$K$7)&gt;=$K$7,((AE77+$K$7)-$K$7)-0.5*HU_alpha/$S$7*((AE77+$K$7)-$K$7)^2,IF((AE77+$K$7)&gt;=$T$7,HU_beta*((AE77+$K$7)-$K$7),HU_beta*($T$7-$K$7)))))</f>
        <v/>
      </c>
      <c r="AN77" s="63">
        <f>IF(AND($J$8,A77&gt;=1,A77&lt;=$Q$8-1),J77,0)</f>
        <v/>
      </c>
      <c r="AO77" s="29">
        <f>IF(OR(AN77=0,$S$8=0),0,IF((AE77+$L$8)&gt;$S$8/HU_alpha+$K$8,0.5*$S$8/HU_alpha,IF((AE77+$L$8)&gt;=$K$8,((AE77+$L$8)-$K$8)-0.5*HU_alpha/$S$8*((AE77+$L$8)-$K$8)^2,IF((AE77+$L$8)&gt;=$T$8,HU_beta*((AE77+$L$8)-$K$8),HU_beta*($T$8-$K$8)))))</f>
        <v/>
      </c>
      <c r="AP77" s="29">
        <f>IF(OR(AN77=0,$S$8=0),0,IF((AE77+$L$8+$N$8)&gt;$S$8/HU_alpha+$K$8,0.5*$S$8/HU_alpha,IF((AE77+$L$8+$N$8)&gt;=$K$8,((AE77+$L$8+$N$8)-$K$8)-0.5*HU_alpha/$S$8*((AE77+$L$8+$N$8)-$K$8)^2,IF((AE77+$L$8+$N$8)&gt;=$T$8,HU_beta*((AE77+$L$8+$N$8)-$K$8),HU_beta*($T$8-$K$8)))))</f>
        <v/>
      </c>
      <c r="AQ77" s="29">
        <f>IF(OR(AN77=0,$S$8=0),0,IF((AE77+$K$8)&gt;$S$8/HU_alpha+$K$8,0.5*$S$8/HU_alpha,IF((AE77+$K$8)&gt;=$K$8,((AE77+$K$8)-$K$8)-0.5*HU_alpha/$S$8*((AE77+$K$8)-$K$8)^2,IF((AE77+$K$8)&gt;=$T$8,HU_beta*((AE77+$K$8)-$K$8),HU_beta*($T$8-$K$8)))))</f>
        <v/>
      </c>
      <c r="AR77" s="63">
        <f>IF(AND($J$9,A77&gt;=1,A77&lt;=$Q$9-1),J77,0)</f>
        <v/>
      </c>
      <c r="AS77" s="29">
        <f>IF(OR(AR77=0,$S$9=0),0,IF((AE77+$L$9)&gt;$S$9/HU_alpha+$K$9,0.5*$S$9/HU_alpha,IF((AE77+$L$9)&gt;=$K$9,((AE77+$L$9)-$K$9)-0.5*HU_alpha/$S$9*((AE77+$L$9)-$K$9)^2,IF((AE77+$L$9)&gt;=$T$9,HU_beta*((AE77+$L$9)-$K$9),HU_beta*($T$9-$K$9)))))</f>
        <v/>
      </c>
      <c r="AT77" s="29">
        <f>IF(OR(AR77=0,$S$9=0),0,IF((AE77+$L$9+$N$9)&gt;$S$9/HU_alpha+$K$9,0.5*$S$9/HU_alpha,IF((AE77+$L$9+$N$9)&gt;=$K$9,((AE77+$L$9+$N$9)-$K$9)-0.5*HU_alpha/$S$9*((AE77+$L$9+$N$9)-$K$9)^2,IF((AE77+$L$9+$N$9)&gt;=$T$9,HU_beta*((AE77+$L$9+$N$9)-$K$9),HU_beta*($T$9-$K$9)))))</f>
        <v/>
      </c>
      <c r="AU77" s="29">
        <f>IF(OR(AR77=0,$S$9=0),0,IF((AE77+$K$9)&gt;$S$9/HU_alpha+$K$9,0.5*$S$9/HU_alpha,IF((AE77+$K$9)&gt;=$K$9,((AE77+$K$9)-$K$9)-0.5*HU_alpha/$S$9*((AE77+$K$9)-$K$9)^2,IF((AE77+$K$9)&gt;=$T$9,HU_beta*((AE77+$K$9)-$K$9),HU_beta*($T$9-$K$9)))))</f>
        <v/>
      </c>
      <c r="AV77" s="63">
        <f>IF(AND($J$10,A77=$Q$10),J77,0)</f>
        <v/>
      </c>
      <c r="AW77" s="29">
        <f>IF(OR(AV77=0,$S$10=0),0,IF((AD77+$L$10)&gt;$S$10/HU_alpha+$K$10,0.5*$S$10/HU_alpha,IF((AD77+$L$10)&gt;=$K$10,((AD77+$L$10)-$K$10)-0.5*HU_alpha/$S$10*((AD77+$L$10)-$K$10)^2,IF((AD77+$L$10)&gt;=$T$10,HU_beta*((AD77+$L$10)-$K$10),HU_beta*($T$10-$K$10)))))</f>
        <v/>
      </c>
      <c r="AX77" s="29">
        <f>IF(OR(AV77=0,$S$10=0),0,IF((AD77+$L$10+$N$10)&gt;$S$10/HU_alpha+$K$10,0.5*$S$10/HU_alpha,IF((AD77+$L$10+$N$10)&gt;=$K$10,((AD77+$L$10+$N$10)-$K$10)-0.5*HU_alpha/$S$10*((AD77+$L$10+$N$10)-$K$10)^2,IF((AD77+$L$10+$N$10)&gt;=$T$10,HU_beta*((AD77+$L$10+$N$10)-$K$10),HU_beta*($T$10-$K$10)))))</f>
        <v/>
      </c>
      <c r="AY77" s="29">
        <f>IF(OR(AV77=0,$S$10=0),0,IF((AD77+$K$10)&gt;$S$10/HU_alpha+$K$10,0.5*$S$10/HU_alpha,IF((AD77+$K$10)&gt;=$K$10,((AD77+$K$10)-$K$10)-0.5*HU_alpha/$S$10*((AD77+$K$10)-$K$10)^2,IF((AD77+$K$10)&gt;=$T$10,HU_beta*((AD77+$K$10)-$K$10),HU_beta*($T$10-$K$10)))))</f>
        <v/>
      </c>
      <c r="AZ77" s="63">
        <f>IF(AND($J$11,A77=$Q$11),J77,0)</f>
        <v/>
      </c>
      <c r="BA77" s="29">
        <f>IF(OR(AZ77=0,$S$11=0),0,IF((AE77+$L$11)&gt;$S$11/HU_alpha+$K$11,0.5*$S$11/HU_alpha,IF((AE77+$L$11)&gt;=$K$11,((AE77+$L$11)-$K$11)-0.5*HU_alpha/$S$11*((AE77+$L$11)-$K$11)^2,IF((AE77+$L$11)&gt;=$T$11,HU_beta*((AE77+$L$11)-$K$11),HU_beta*($T$11-$K$11)))))</f>
        <v/>
      </c>
      <c r="BB77" s="29">
        <f>IF(OR(AZ77=0,$S$11=0),0,IF((AE77+$L$11+$N$11)&gt;$S$11/HU_alpha+$K$11,0.5*$S$11/HU_alpha,IF((AE77+$L$11+$N$11)&gt;=$K$11,((AE77+$L$11+$N$11)-$K$11)-0.5*HU_alpha/$S$11*((AE77+$L$11+$N$11)-$K$11)^2,IF((AE77+$L$11+$N$11)&gt;=$T$11,HU_beta*((AE77+$L$11+$N$11)-$K$11),HU_beta*($T$11-$K$11)))))</f>
        <v/>
      </c>
      <c r="BC77" s="29">
        <f>IF(OR(AZ77=0,$S$11=0),0,IF((AE77+$K$11)&gt;$S$11/HU_alpha+$K$11,0.5*$S$11/HU_alpha,IF((AE77+$K$11)&gt;=$K$11,((AE77+$K$11)-$K$11)-0.5*HU_alpha/$S$11*((AE77+$K$11)-$K$11)^2,IF((AE77+$K$11)&gt;=$T$11,HU_beta*((AE77+$K$11)-$K$11),HU_beta*($T$11-$K$11)))))</f>
        <v/>
      </c>
      <c r="BD77" s="63">
        <f>IF(AND($J$12,A77=$Q$12),J77,0)</f>
        <v/>
      </c>
      <c r="BE77" s="29">
        <f>IF(OR(BD77=0,$S$12=0),0,IF((AE77+$L$12)&gt;$S$12/HU_alpha+$K$12,0.5*$S$12/HU_alpha,IF((AE77+$L$12)&gt;=$K$12,((AE77+$L$12)-$K$12)-0.5*HU_alpha/$S$12*((AE77+$L$12)-$K$12)^2,IF((AE77+$L$12)&gt;=$T$12,HU_beta*((AE77+$L$12)-$K$12),HU_beta*($T$12-$K$12)))))</f>
        <v/>
      </c>
      <c r="BF77" s="29">
        <f>IF(OR(BD77=0,$S$12=0),0,IF((AE77+$L$12+$N$12)&gt;$S$12/HU_alpha+$K$12,0.5*$S$12/HU_alpha,IF((AE77+$L$12+$N$12)&gt;=$K$12,((AE77+$L$12+$N$12)-$K$12)-0.5*HU_alpha/$S$12*((AE77+$L$12+$N$12)-$K$12)^2,IF((AE77+$L$12+$N$12)&gt;=$T$12,HU_beta*((AE77+$L$12+$N$12)-$K$12),HU_beta*($T$12-$K$12)))))</f>
        <v/>
      </c>
      <c r="BG77" s="29">
        <f>IF(OR(BD77=0,$S$12=0),0,IF((AE77+$K$12)&gt;$S$12/HU_alpha+$K$12,0.5*$S$12/HU_alpha,IF((AE77+$K$12)&gt;=$K$12,((AE77+$K$12)-$K$12)-0.5*HU_alpha/$S$12*((AE77+$K$12)-$K$12)^2,IF((AE77+$K$12)&gt;=$T$12,HU_beta*((AE77+$K$12)-$K$12),HU_beta*($T$12-$K$12)))))</f>
        <v/>
      </c>
      <c r="BH77" s="63">
        <f>IF(AND($J$13,A77=$Q$13),J77,0)</f>
        <v/>
      </c>
      <c r="BI77" s="29">
        <f>IF(OR(BH77=0,$S$13=0),0,IF((AE77+$L$13)&gt;$S$13/HU_alpha+$K$13,0.5*$S$13/HU_alpha,IF((AE77+$L$13)&gt;=$K$13,((AE77+$L$13)-$K$13)-0.5*HU_alpha/$S$13*((AE77+$L$13)-$K$13)^2,IF((AE77+$L$13)&gt;=$T$13,HU_beta*((AE77+$L$13)-$K$13),HU_beta*($T$13-$K$13)))))</f>
        <v/>
      </c>
      <c r="BJ77" s="29">
        <f>IF(OR(BH77=0,$S$13=0),0,IF((AE77+$L$13+$N$13)&gt;$S$13/HU_alpha+$K$13,0.5*$S$13/HU_alpha,IF((AE77+$L$13+$N$13)&gt;=$K$13,((AE77+$L$13+$N$13)-$K$13)-0.5*HU_alpha/$S$13*((AE77+$L$13+$N$13)-$K$13)^2,IF((AE77+$L$13+$N$13)&gt;=$T$13,HU_beta*((AE77+$L$13+$N$13)-$K$13),HU_beta*($T$13-$K$13)))))</f>
        <v/>
      </c>
      <c r="BK77" s="29">
        <f>IF(OR(BH77=0,$S$13=0),0,IF((AE77+$K$13)&gt;$S$13/HU_alpha+$K$13,0.5*$S$13/HU_alpha,IF((AE77+$K$13)&gt;=$K$13,((AE77+$K$13)-$K$13)-0.5*HU_alpha/$S$13*((AE77+$K$13)-$K$13)^2,IF((AE77+$K$13)&gt;=$T$13,HU_beta*((AE77+$K$13)-$K$13),HU_beta*($T$13-$K$13)))))</f>
        <v/>
      </c>
    </row>
    <row r="78">
      <c r="A78" s="61" t="n">
        <v>10</v>
      </c>
      <c r="B78" s="61">
        <f>HU_age+A78</f>
        <v/>
      </c>
      <c r="C78" s="52">
        <f>A78&lt;=HU_T</f>
        <v/>
      </c>
      <c r="D78" s="63">
        <f>IF(OR(A78&lt;1,A78&gt;HU_T),0,INDEX(HU_q_mort,HU_age+A78-17,HU_col))</f>
        <v/>
      </c>
      <c r="E78" s="63">
        <f>IF(OR(A78&lt;1,A78&gt;HU_T),0,INDEX(HU_q_adb,HU_age+A78-17,HU_col))</f>
        <v/>
      </c>
      <c r="F78" s="63">
        <f>IF(OR(A78&lt;1,A78&gt;HU_T),0,INDEX(HU_q_morb,HU_age+A78-17,HU_col))</f>
        <v/>
      </c>
      <c r="G78" s="63">
        <f>IF(OR(A78&lt;1,A78&gt;HU_T),0,INDEX(HU_q_ptd,HU_age+A78-17,HU_col))</f>
        <v/>
      </c>
      <c r="H78" s="63">
        <f>IF(OR(A78&lt;1,A78&gt;HU_T),0,INDEX(HU_q_dis,HU_age+A78-17,HU_col))</f>
        <v/>
      </c>
      <c r="I78" s="63">
        <f>IF(A78&gt;HU_T,0,I77*(1-D78)*(1-E78))</f>
        <v/>
      </c>
      <c r="J78" s="63">
        <f>IF(A78&gt;=HU_T,0,N(I79))</f>
        <v/>
      </c>
      <c r="K78" s="63">
        <f>K77*(1-G78)</f>
        <v/>
      </c>
      <c r="L78" s="63">
        <f>1-K78</f>
        <v/>
      </c>
      <c r="M78" s="63">
        <f>K77*G78</f>
        <v/>
      </c>
      <c r="N78" s="63">
        <f>N77*(1-H78)</f>
        <v/>
      </c>
      <c r="O78" s="63">
        <f>1-N77</f>
        <v/>
      </c>
      <c r="P78" s="63">
        <f>P77*(1-F78)</f>
        <v/>
      </c>
      <c r="Q78" s="63">
        <f>1-P77/INDEX($P$68:$P$150,MAX(1,A78-HU_ciYears))</f>
        <v/>
      </c>
      <c r="R78" s="60">
        <f>(1+inflationRate)^A78</f>
        <v/>
      </c>
      <c r="S78" s="29">
        <f>IF(OR(OR(A78&lt;1,A78&gt;HU_T),A78-1&gt;=HU_dtr),0,HU_inc0*(1+incomeGrowthRate)^A78)</f>
        <v/>
      </c>
      <c r="T78" s="60">
        <f>IF(A78&gt;HU_T,T77,T77*(1+INDEX(HU_ssG,HU_age+A78-17)))</f>
        <v/>
      </c>
      <c r="U78" s="29">
        <f>IF(AND(HU_dtr&gt;=1,A78=HU_dtr,A78&lt;=HU_T),MIN(S78*INDEX(HU_ssC,HU_age+A78-17)/(1-INDEX(HU_ssC,HU_age+A78-17)),INDEX(HU_ssCap,HU_age+A78-17))*T78,0)</f>
        <v/>
      </c>
      <c r="V78" s="29">
        <f>S78+U78+IF(AND(HU_wdOn,A78=HU_wdYear),HU_wdIncome,0)</f>
        <v/>
      </c>
      <c r="W78" s="60">
        <f>HU_ciProp*Q78+HU_tpdCut*L78+HU_disCut*O78</f>
        <v/>
      </c>
      <c r="X78" s="29">
        <f>IF(OR(A78&lt;1,A78&gt;HU_T),0,V78*(1-W78))</f>
        <v/>
      </c>
      <c r="Y78" s="29">
        <f>IF(OR(A78&lt;1,A78&gt;HU_T),0,IF(AND(HU_retExp&gt;0,A78-1&gt;=HU_dtr),HU_retExp,HU_exp0)*R78)</f>
        <v/>
      </c>
      <c r="Z78" s="29">
        <f>-Y78-IF(AND(HU_wdOn,A78=HU_wdYear),HU_wdOut,0)</f>
        <v/>
      </c>
      <c r="AA78" s="29">
        <f>IF(OR(A78&lt;1,A78&gt;HU_T),0,-HU_medCost*R78*F78-HU_tpdCost*R78*M78)</f>
        <v/>
      </c>
      <c r="AB78" s="29">
        <f>IF(A78&gt;HU_T,0,AB77*(1+interestRate)+X78+Z78+AA78)</f>
        <v/>
      </c>
      <c r="AC78" s="29">
        <f>IF(A78&gt;HU_T,0,HU_inv*EXP(HU_mu*A78))</f>
        <v/>
      </c>
      <c r="AD78" s="29">
        <f>IF(A78&gt;HU_T,0,MAX(0,AC78+AB78))</f>
        <v/>
      </c>
      <c r="AE78" s="29">
        <f>IF(A78&gt;HU_T,0,MAX(0,X78-Y78))</f>
        <v/>
      </c>
      <c r="AF78" s="63">
        <f>IF(AND($J$6,A78&gt;=1,A78&lt;=$Q$6-1),J78,0)</f>
        <v/>
      </c>
      <c r="AG78" s="29">
        <f>IF(OR(AF78=0,$S$6=0),0,IF((AD78+$L$6)&gt;$S$6/HU_alpha+$K$6,0.5*$S$6/HU_alpha,IF((AD78+$L$6)&gt;=$K$6,((AD78+$L$6)-$K$6)-0.5*HU_alpha/$S$6*((AD78+$L$6)-$K$6)^2,IF((AD78+$L$6)&gt;=$T$6,HU_beta*((AD78+$L$6)-$K$6),HU_beta*($T$6-$K$6)))))</f>
        <v/>
      </c>
      <c r="AH78" s="29">
        <f>IF(OR(AF78=0,$S$6=0),0,IF((AD78+$L$6+$N$6)&gt;$S$6/HU_alpha+$K$6,0.5*$S$6/HU_alpha,IF((AD78+$L$6+$N$6)&gt;=$K$6,((AD78+$L$6+$N$6)-$K$6)-0.5*HU_alpha/$S$6*((AD78+$L$6+$N$6)-$K$6)^2,IF((AD78+$L$6+$N$6)&gt;=$T$6,HU_beta*((AD78+$L$6+$N$6)-$K$6),HU_beta*($T$6-$K$6)))))</f>
        <v/>
      </c>
      <c r="AI78" s="29">
        <f>IF(OR(AF78=0,$S$6=0),0,IF((AD78+$K$6)&gt;$S$6/HU_alpha+$K$6,0.5*$S$6/HU_alpha,IF((AD78+$K$6)&gt;=$K$6,((AD78+$K$6)-$K$6)-0.5*HU_alpha/$S$6*((AD78+$K$6)-$K$6)^2,IF((AD78+$K$6)&gt;=$T$6,HU_beta*((AD78+$K$6)-$K$6),HU_beta*($T$6-$K$6)))))</f>
        <v/>
      </c>
      <c r="AJ78" s="63">
        <f>IF(AND($J$7,A78&gt;=1,A78&lt;=$Q$7-1),J78,0)</f>
        <v/>
      </c>
      <c r="AK78" s="29">
        <f>IF(OR(AJ78=0,$S$7=0),0,IF((AE78+$L$7)&gt;$S$7/HU_alpha+$K$7,0.5*$S$7/HU_alpha,IF((AE78+$L$7)&gt;=$K$7,((AE78+$L$7)-$K$7)-0.5*HU_alpha/$S$7*((AE78+$L$7)-$K$7)^2,IF((AE78+$L$7)&gt;=$T$7,HU_beta*((AE78+$L$7)-$K$7),HU_beta*($T$7-$K$7)))))</f>
        <v/>
      </c>
      <c r="AL78" s="29">
        <f>IF(OR(AJ78=0,$S$7=0),0,IF((AE78+$L$7+$N$7)&gt;$S$7/HU_alpha+$K$7,0.5*$S$7/HU_alpha,IF((AE78+$L$7+$N$7)&gt;=$K$7,((AE78+$L$7+$N$7)-$K$7)-0.5*HU_alpha/$S$7*((AE78+$L$7+$N$7)-$K$7)^2,IF((AE78+$L$7+$N$7)&gt;=$T$7,HU_beta*((AE78+$L$7+$N$7)-$K$7),HU_beta*($T$7-$K$7)))))</f>
        <v/>
      </c>
      <c r="AM78" s="29">
        <f>IF(OR(AJ78=0,$S$7=0),0,IF((AE78+$K$7)&gt;$S$7/HU_alpha+$K$7,0.5*$S$7/HU_alpha,IF((AE78+$K$7)&gt;=$K$7,((AE78+$K$7)-$K$7)-0.5*HU_alpha/$S$7*((AE78+$K$7)-$K$7)^2,IF((AE78+$K$7)&gt;=$T$7,HU_beta*((AE78+$K$7)-$K$7),HU_beta*($T$7-$K$7)))))</f>
        <v/>
      </c>
      <c r="AN78" s="63">
        <f>IF(AND($J$8,A78&gt;=1,A78&lt;=$Q$8-1),J78,0)</f>
        <v/>
      </c>
      <c r="AO78" s="29">
        <f>IF(OR(AN78=0,$S$8=0),0,IF((AE78+$L$8)&gt;$S$8/HU_alpha+$K$8,0.5*$S$8/HU_alpha,IF((AE78+$L$8)&gt;=$K$8,((AE78+$L$8)-$K$8)-0.5*HU_alpha/$S$8*((AE78+$L$8)-$K$8)^2,IF((AE78+$L$8)&gt;=$T$8,HU_beta*((AE78+$L$8)-$K$8),HU_beta*($T$8-$K$8)))))</f>
        <v/>
      </c>
      <c r="AP78" s="29">
        <f>IF(OR(AN78=0,$S$8=0),0,IF((AE78+$L$8+$N$8)&gt;$S$8/HU_alpha+$K$8,0.5*$S$8/HU_alpha,IF((AE78+$L$8+$N$8)&gt;=$K$8,((AE78+$L$8+$N$8)-$K$8)-0.5*HU_alpha/$S$8*((AE78+$L$8+$N$8)-$K$8)^2,IF((AE78+$L$8+$N$8)&gt;=$T$8,HU_beta*((AE78+$L$8+$N$8)-$K$8),HU_beta*($T$8-$K$8)))))</f>
        <v/>
      </c>
      <c r="AQ78" s="29">
        <f>IF(OR(AN78=0,$S$8=0),0,IF((AE78+$K$8)&gt;$S$8/HU_alpha+$K$8,0.5*$S$8/HU_alpha,IF((AE78+$K$8)&gt;=$K$8,((AE78+$K$8)-$K$8)-0.5*HU_alpha/$S$8*((AE78+$K$8)-$K$8)^2,IF((AE78+$K$8)&gt;=$T$8,HU_beta*((AE78+$K$8)-$K$8),HU_beta*($T$8-$K$8)))))</f>
        <v/>
      </c>
      <c r="AR78" s="63">
        <f>IF(AND($J$9,A78&gt;=1,A78&lt;=$Q$9-1),J78,0)</f>
        <v/>
      </c>
      <c r="AS78" s="29">
        <f>IF(OR(AR78=0,$S$9=0),0,IF((AE78+$L$9)&gt;$S$9/HU_alpha+$K$9,0.5*$S$9/HU_alpha,IF((AE78+$L$9)&gt;=$K$9,((AE78+$L$9)-$K$9)-0.5*HU_alpha/$S$9*((AE78+$L$9)-$K$9)^2,IF((AE78+$L$9)&gt;=$T$9,HU_beta*((AE78+$L$9)-$K$9),HU_beta*($T$9-$K$9)))))</f>
        <v/>
      </c>
      <c r="AT78" s="29">
        <f>IF(OR(AR78=0,$S$9=0),0,IF((AE78+$L$9+$N$9)&gt;$S$9/HU_alpha+$K$9,0.5*$S$9/HU_alpha,IF((AE78+$L$9+$N$9)&gt;=$K$9,((AE78+$L$9+$N$9)-$K$9)-0.5*HU_alpha/$S$9*((AE78+$L$9+$N$9)-$K$9)^2,IF((AE78+$L$9+$N$9)&gt;=$T$9,HU_beta*((AE78+$L$9+$N$9)-$K$9),HU_beta*($T$9-$K$9)))))</f>
        <v/>
      </c>
      <c r="AU78" s="29">
        <f>IF(OR(AR78=0,$S$9=0),0,IF((AE78+$K$9)&gt;$S$9/HU_alpha+$K$9,0.5*$S$9/HU_alpha,IF((AE78+$K$9)&gt;=$K$9,((AE78+$K$9)-$K$9)-0.5*HU_alpha/$S$9*((AE78+$K$9)-$K$9)^2,IF((AE78+$K$9)&gt;=$T$9,HU_beta*((AE78+$K$9)-$K$9),HU_beta*($T$9-$K$9)))))</f>
        <v/>
      </c>
      <c r="AV78" s="63">
        <f>IF(AND($J$10,A78=$Q$10),J78,0)</f>
        <v/>
      </c>
      <c r="AW78" s="29">
        <f>IF(OR(AV78=0,$S$10=0),0,IF((AD78+$L$10)&gt;$S$10/HU_alpha+$K$10,0.5*$S$10/HU_alpha,IF((AD78+$L$10)&gt;=$K$10,((AD78+$L$10)-$K$10)-0.5*HU_alpha/$S$10*((AD78+$L$10)-$K$10)^2,IF((AD78+$L$10)&gt;=$T$10,HU_beta*((AD78+$L$10)-$K$10),HU_beta*($T$10-$K$10)))))</f>
        <v/>
      </c>
      <c r="AX78" s="29">
        <f>IF(OR(AV78=0,$S$10=0),0,IF((AD78+$L$10+$N$10)&gt;$S$10/HU_alpha+$K$10,0.5*$S$10/HU_alpha,IF((AD78+$L$10+$N$10)&gt;=$K$10,((AD78+$L$10+$N$10)-$K$10)-0.5*HU_alpha/$S$10*((AD78+$L$10+$N$10)-$K$10)^2,IF((AD78+$L$10+$N$10)&gt;=$T$10,HU_beta*((AD78+$L$10+$N$10)-$K$10),HU_beta*($T$10-$K$10)))))</f>
        <v/>
      </c>
      <c r="AY78" s="29">
        <f>IF(OR(AV78=0,$S$10=0),0,IF((AD78+$K$10)&gt;$S$10/HU_alpha+$K$10,0.5*$S$10/HU_alpha,IF((AD78+$K$10)&gt;=$K$10,((AD78+$K$10)-$K$10)-0.5*HU_alpha/$S$10*((AD78+$K$10)-$K$10)^2,IF((AD78+$K$10)&gt;=$T$10,HU_beta*((AD78+$K$10)-$K$10),HU_beta*($T$10-$K$10)))))</f>
        <v/>
      </c>
      <c r="AZ78" s="63">
        <f>IF(AND($J$11,A78=$Q$11),J78,0)</f>
        <v/>
      </c>
      <c r="BA78" s="29">
        <f>IF(OR(AZ78=0,$S$11=0),0,IF((AE78+$L$11)&gt;$S$11/HU_alpha+$K$11,0.5*$S$11/HU_alpha,IF((AE78+$L$11)&gt;=$K$11,((AE78+$L$11)-$K$11)-0.5*HU_alpha/$S$11*((AE78+$L$11)-$K$11)^2,IF((AE78+$L$11)&gt;=$T$11,HU_beta*((AE78+$L$11)-$K$11),HU_beta*($T$11-$K$11)))))</f>
        <v/>
      </c>
      <c r="BB78" s="29">
        <f>IF(OR(AZ78=0,$S$11=0),0,IF((AE78+$L$11+$N$11)&gt;$S$11/HU_alpha+$K$11,0.5*$S$11/HU_alpha,IF((AE78+$L$11+$N$11)&gt;=$K$11,((AE78+$L$11+$N$11)-$K$11)-0.5*HU_alpha/$S$11*((AE78+$L$11+$N$11)-$K$11)^2,IF((AE78+$L$11+$N$11)&gt;=$T$11,HU_beta*((AE78+$L$11+$N$11)-$K$11),HU_beta*($T$11-$K$11)))))</f>
        <v/>
      </c>
      <c r="BC78" s="29">
        <f>IF(OR(AZ78=0,$S$11=0),0,IF((AE78+$K$11)&gt;$S$11/HU_alpha+$K$11,0.5*$S$11/HU_alpha,IF((AE78+$K$11)&gt;=$K$11,((AE78+$K$11)-$K$11)-0.5*HU_alpha/$S$11*((AE78+$K$11)-$K$11)^2,IF((AE78+$K$11)&gt;=$T$11,HU_beta*((AE78+$K$11)-$K$11),HU_beta*($T$11-$K$11)))))</f>
        <v/>
      </c>
      <c r="BD78" s="63">
        <f>IF(AND($J$12,A78=$Q$12),J78,0)</f>
        <v/>
      </c>
      <c r="BE78" s="29">
        <f>IF(OR(BD78=0,$S$12=0),0,IF((AE78+$L$12)&gt;$S$12/HU_alpha+$K$12,0.5*$S$12/HU_alpha,IF((AE78+$L$12)&gt;=$K$12,((AE78+$L$12)-$K$12)-0.5*HU_alpha/$S$12*((AE78+$L$12)-$K$12)^2,IF((AE78+$L$12)&gt;=$T$12,HU_beta*((AE78+$L$12)-$K$12),HU_beta*($T$12-$K$12)))))</f>
        <v/>
      </c>
      <c r="BF78" s="29">
        <f>IF(OR(BD78=0,$S$12=0),0,IF((AE78+$L$12+$N$12)&gt;$S$12/HU_alpha+$K$12,0.5*$S$12/HU_alpha,IF((AE78+$L$12+$N$12)&gt;=$K$12,((AE78+$L$12+$N$12)-$K$12)-0.5*HU_alpha/$S$12*((AE78+$L$12+$N$12)-$K$12)^2,IF((AE78+$L$12+$N$12)&gt;=$T$12,HU_beta*((AE78+$L$12+$N$12)-$K$12),HU_beta*($T$12-$K$12)))))</f>
        <v/>
      </c>
      <c r="BG78" s="29">
        <f>IF(OR(BD78=0,$S$12=0),0,IF((AE78+$K$12)&gt;$S$12/HU_alpha+$K$12,0.5*$S$12/HU_alpha,IF((AE78+$K$12)&gt;=$K$12,((AE78+$K$12)-$K$12)-0.5*HU_alpha/$S$12*((AE78+$K$12)-$K$12)^2,IF((AE78+$K$12)&gt;=$T$12,HU_beta*((AE78+$K$12)-$K$12),HU_beta*($T$12-$K$12)))))</f>
        <v/>
      </c>
      <c r="BH78" s="63">
        <f>IF(AND($J$13,A78=$Q$13),J78,0)</f>
        <v/>
      </c>
      <c r="BI78" s="29">
        <f>IF(OR(BH78=0,$S$13=0),0,IF((AE78+$L$13)&gt;$S$13/HU_alpha+$K$13,0.5*$S$13/HU_alpha,IF((AE78+$L$13)&gt;=$K$13,((AE78+$L$13)-$K$13)-0.5*HU_alpha/$S$13*((AE78+$L$13)-$K$13)^2,IF((AE78+$L$13)&gt;=$T$13,HU_beta*((AE78+$L$13)-$K$13),HU_beta*($T$13-$K$13)))))</f>
        <v/>
      </c>
      <c r="BJ78" s="29">
        <f>IF(OR(BH78=0,$S$13=0),0,IF((AE78+$L$13+$N$13)&gt;$S$13/HU_alpha+$K$13,0.5*$S$13/HU_alpha,IF((AE78+$L$13+$N$13)&gt;=$K$13,((AE78+$L$13+$N$13)-$K$13)-0.5*HU_alpha/$S$13*((AE78+$L$13+$N$13)-$K$13)^2,IF((AE78+$L$13+$N$13)&gt;=$T$13,HU_beta*((AE78+$L$13+$N$13)-$K$13),HU_beta*($T$13-$K$13)))))</f>
        <v/>
      </c>
      <c r="BK78" s="29">
        <f>IF(OR(BH78=0,$S$13=0),0,IF((AE78+$K$13)&gt;$S$13/HU_alpha+$K$13,0.5*$S$13/HU_alpha,IF((AE78+$K$13)&gt;=$K$13,((AE78+$K$13)-$K$13)-0.5*HU_alpha/$S$13*((AE78+$K$13)-$K$13)^2,IF((AE78+$K$13)&gt;=$T$13,HU_beta*((AE78+$K$13)-$K$13),HU_beta*($T$13-$K$13)))))</f>
        <v/>
      </c>
    </row>
    <row r="79">
      <c r="A79" s="61" t="n">
        <v>11</v>
      </c>
      <c r="B79" s="61">
        <f>HU_age+A79</f>
        <v/>
      </c>
      <c r="C79" s="52">
        <f>A79&lt;=HU_T</f>
        <v/>
      </c>
      <c r="D79" s="63">
        <f>IF(OR(A79&lt;1,A79&gt;HU_T),0,INDEX(HU_q_mort,HU_age+A79-17,HU_col))</f>
        <v/>
      </c>
      <c r="E79" s="63">
        <f>IF(OR(A79&lt;1,A79&gt;HU_T),0,INDEX(HU_q_adb,HU_age+A79-17,HU_col))</f>
        <v/>
      </c>
      <c r="F79" s="63">
        <f>IF(OR(A79&lt;1,A79&gt;HU_T),0,INDEX(HU_q_morb,HU_age+A79-17,HU_col))</f>
        <v/>
      </c>
      <c r="G79" s="63">
        <f>IF(OR(A79&lt;1,A79&gt;HU_T),0,INDEX(HU_q_ptd,HU_age+A79-17,HU_col))</f>
        <v/>
      </c>
      <c r="H79" s="63">
        <f>IF(OR(A79&lt;1,A79&gt;HU_T),0,INDEX(HU_q_dis,HU_age+A79-17,HU_col))</f>
        <v/>
      </c>
      <c r="I79" s="63">
        <f>IF(A79&gt;HU_T,0,I78*(1-D79)*(1-E79))</f>
        <v/>
      </c>
      <c r="J79" s="63">
        <f>IF(A79&gt;=HU_T,0,N(I80))</f>
        <v/>
      </c>
      <c r="K79" s="63">
        <f>K78*(1-G79)</f>
        <v/>
      </c>
      <c r="L79" s="63">
        <f>1-K79</f>
        <v/>
      </c>
      <c r="M79" s="63">
        <f>K78*G79</f>
        <v/>
      </c>
      <c r="N79" s="63">
        <f>N78*(1-H79)</f>
        <v/>
      </c>
      <c r="O79" s="63">
        <f>1-N78</f>
        <v/>
      </c>
      <c r="P79" s="63">
        <f>P78*(1-F79)</f>
        <v/>
      </c>
      <c r="Q79" s="63">
        <f>1-P78/INDEX($P$68:$P$150,MAX(1,A79-HU_ciYears))</f>
        <v/>
      </c>
      <c r="R79" s="60">
        <f>(1+inflationRate)^A79</f>
        <v/>
      </c>
      <c r="S79" s="29">
        <f>IF(OR(OR(A79&lt;1,A79&gt;HU_T),A79-1&gt;=HU_dtr),0,HU_inc0*(1+incomeGrowthRate)^A79)</f>
        <v/>
      </c>
      <c r="T79" s="60">
        <f>IF(A79&gt;HU_T,T78,T78*(1+INDEX(HU_ssG,HU_age+A79-17)))</f>
        <v/>
      </c>
      <c r="U79" s="29">
        <f>IF(AND(HU_dtr&gt;=1,A79=HU_dtr,A79&lt;=HU_T),MIN(S79*INDEX(HU_ssC,HU_age+A79-17)/(1-INDEX(HU_ssC,HU_age+A79-17)),INDEX(HU_ssCap,HU_age+A79-17))*T79,0)</f>
        <v/>
      </c>
      <c r="V79" s="29">
        <f>S79+U79+IF(AND(HU_wdOn,A79=HU_wdYear),HU_wdIncome,0)</f>
        <v/>
      </c>
      <c r="W79" s="60">
        <f>HU_ciProp*Q79+HU_tpdCut*L79+HU_disCut*O79</f>
        <v/>
      </c>
      <c r="X79" s="29">
        <f>IF(OR(A79&lt;1,A79&gt;HU_T),0,V79*(1-W79))</f>
        <v/>
      </c>
      <c r="Y79" s="29">
        <f>IF(OR(A79&lt;1,A79&gt;HU_T),0,IF(AND(HU_retExp&gt;0,A79-1&gt;=HU_dtr),HU_retExp,HU_exp0)*R79)</f>
        <v/>
      </c>
      <c r="Z79" s="29">
        <f>-Y79-IF(AND(HU_wdOn,A79=HU_wdYear),HU_wdOut,0)</f>
        <v/>
      </c>
      <c r="AA79" s="29">
        <f>IF(OR(A79&lt;1,A79&gt;HU_T),0,-HU_medCost*R79*F79-HU_tpdCost*R79*M79)</f>
        <v/>
      </c>
      <c r="AB79" s="29">
        <f>IF(A79&gt;HU_T,0,AB78*(1+interestRate)+X79+Z79+AA79)</f>
        <v/>
      </c>
      <c r="AC79" s="29">
        <f>IF(A79&gt;HU_T,0,HU_inv*EXP(HU_mu*A79))</f>
        <v/>
      </c>
      <c r="AD79" s="29">
        <f>IF(A79&gt;HU_T,0,MAX(0,AC79+AB79))</f>
        <v/>
      </c>
      <c r="AE79" s="29">
        <f>IF(A79&gt;HU_T,0,MAX(0,X79-Y79))</f>
        <v/>
      </c>
      <c r="AF79" s="63">
        <f>IF(AND($J$6,A79&gt;=1,A79&lt;=$Q$6-1),J79,0)</f>
        <v/>
      </c>
      <c r="AG79" s="29">
        <f>IF(OR(AF79=0,$S$6=0),0,IF((AD79+$L$6)&gt;$S$6/HU_alpha+$K$6,0.5*$S$6/HU_alpha,IF((AD79+$L$6)&gt;=$K$6,((AD79+$L$6)-$K$6)-0.5*HU_alpha/$S$6*((AD79+$L$6)-$K$6)^2,IF((AD79+$L$6)&gt;=$T$6,HU_beta*((AD79+$L$6)-$K$6),HU_beta*($T$6-$K$6)))))</f>
        <v/>
      </c>
      <c r="AH79" s="29">
        <f>IF(OR(AF79=0,$S$6=0),0,IF((AD79+$L$6+$N$6)&gt;$S$6/HU_alpha+$K$6,0.5*$S$6/HU_alpha,IF((AD79+$L$6+$N$6)&gt;=$K$6,((AD79+$L$6+$N$6)-$K$6)-0.5*HU_alpha/$S$6*((AD79+$L$6+$N$6)-$K$6)^2,IF((AD79+$L$6+$N$6)&gt;=$T$6,HU_beta*((AD79+$L$6+$N$6)-$K$6),HU_beta*($T$6-$K$6)))))</f>
        <v/>
      </c>
      <c r="AI79" s="29">
        <f>IF(OR(AF79=0,$S$6=0),0,IF((AD79+$K$6)&gt;$S$6/HU_alpha+$K$6,0.5*$S$6/HU_alpha,IF((AD79+$K$6)&gt;=$K$6,((AD79+$K$6)-$K$6)-0.5*HU_alpha/$S$6*((AD79+$K$6)-$K$6)^2,IF((AD79+$K$6)&gt;=$T$6,HU_beta*((AD79+$K$6)-$K$6),HU_beta*($T$6-$K$6)))))</f>
        <v/>
      </c>
      <c r="AJ79" s="63">
        <f>IF(AND($J$7,A79&gt;=1,A79&lt;=$Q$7-1),J79,0)</f>
        <v/>
      </c>
      <c r="AK79" s="29">
        <f>IF(OR(AJ79=0,$S$7=0),0,IF((AE79+$L$7)&gt;$S$7/HU_alpha+$K$7,0.5*$S$7/HU_alpha,IF((AE79+$L$7)&gt;=$K$7,((AE79+$L$7)-$K$7)-0.5*HU_alpha/$S$7*((AE79+$L$7)-$K$7)^2,IF((AE79+$L$7)&gt;=$T$7,HU_beta*((AE79+$L$7)-$K$7),HU_beta*($T$7-$K$7)))))</f>
        <v/>
      </c>
      <c r="AL79" s="29">
        <f>IF(OR(AJ79=0,$S$7=0),0,IF((AE79+$L$7+$N$7)&gt;$S$7/HU_alpha+$K$7,0.5*$S$7/HU_alpha,IF((AE79+$L$7+$N$7)&gt;=$K$7,((AE79+$L$7+$N$7)-$K$7)-0.5*HU_alpha/$S$7*((AE79+$L$7+$N$7)-$K$7)^2,IF((AE79+$L$7+$N$7)&gt;=$T$7,HU_beta*((AE79+$L$7+$N$7)-$K$7),HU_beta*($T$7-$K$7)))))</f>
        <v/>
      </c>
      <c r="AM79" s="29">
        <f>IF(OR(AJ79=0,$S$7=0),0,IF((AE79+$K$7)&gt;$S$7/HU_alpha+$K$7,0.5*$S$7/HU_alpha,IF((AE79+$K$7)&gt;=$K$7,((AE79+$K$7)-$K$7)-0.5*HU_alpha/$S$7*((AE79+$K$7)-$K$7)^2,IF((AE79+$K$7)&gt;=$T$7,HU_beta*((AE79+$K$7)-$K$7),HU_beta*($T$7-$K$7)))))</f>
        <v/>
      </c>
      <c r="AN79" s="63">
        <f>IF(AND($J$8,A79&gt;=1,A79&lt;=$Q$8-1),J79,0)</f>
        <v/>
      </c>
      <c r="AO79" s="29">
        <f>IF(OR(AN79=0,$S$8=0),0,IF((AE79+$L$8)&gt;$S$8/HU_alpha+$K$8,0.5*$S$8/HU_alpha,IF((AE79+$L$8)&gt;=$K$8,((AE79+$L$8)-$K$8)-0.5*HU_alpha/$S$8*((AE79+$L$8)-$K$8)^2,IF((AE79+$L$8)&gt;=$T$8,HU_beta*((AE79+$L$8)-$K$8),HU_beta*($T$8-$K$8)))))</f>
        <v/>
      </c>
      <c r="AP79" s="29">
        <f>IF(OR(AN79=0,$S$8=0),0,IF((AE79+$L$8+$N$8)&gt;$S$8/HU_alpha+$K$8,0.5*$S$8/HU_alpha,IF((AE79+$L$8+$N$8)&gt;=$K$8,((AE79+$L$8+$N$8)-$K$8)-0.5*HU_alpha/$S$8*((AE79+$L$8+$N$8)-$K$8)^2,IF((AE79+$L$8+$N$8)&gt;=$T$8,HU_beta*((AE79+$L$8+$N$8)-$K$8),HU_beta*($T$8-$K$8)))))</f>
        <v/>
      </c>
      <c r="AQ79" s="29">
        <f>IF(OR(AN79=0,$S$8=0),0,IF((AE79+$K$8)&gt;$S$8/HU_alpha+$K$8,0.5*$S$8/HU_alpha,IF((AE79+$K$8)&gt;=$K$8,((AE79+$K$8)-$K$8)-0.5*HU_alpha/$S$8*((AE79+$K$8)-$K$8)^2,IF((AE79+$K$8)&gt;=$T$8,HU_beta*((AE79+$K$8)-$K$8),HU_beta*($T$8-$K$8)))))</f>
        <v/>
      </c>
      <c r="AR79" s="63">
        <f>IF(AND($J$9,A79&gt;=1,A79&lt;=$Q$9-1),J79,0)</f>
        <v/>
      </c>
      <c r="AS79" s="29">
        <f>IF(OR(AR79=0,$S$9=0),0,IF((AE79+$L$9)&gt;$S$9/HU_alpha+$K$9,0.5*$S$9/HU_alpha,IF((AE79+$L$9)&gt;=$K$9,((AE79+$L$9)-$K$9)-0.5*HU_alpha/$S$9*((AE79+$L$9)-$K$9)^2,IF((AE79+$L$9)&gt;=$T$9,HU_beta*((AE79+$L$9)-$K$9),HU_beta*($T$9-$K$9)))))</f>
        <v/>
      </c>
      <c r="AT79" s="29">
        <f>IF(OR(AR79=0,$S$9=0),0,IF((AE79+$L$9+$N$9)&gt;$S$9/HU_alpha+$K$9,0.5*$S$9/HU_alpha,IF((AE79+$L$9+$N$9)&gt;=$K$9,((AE79+$L$9+$N$9)-$K$9)-0.5*HU_alpha/$S$9*((AE79+$L$9+$N$9)-$K$9)^2,IF((AE79+$L$9+$N$9)&gt;=$T$9,HU_beta*((AE79+$L$9+$N$9)-$K$9),HU_beta*($T$9-$K$9)))))</f>
        <v/>
      </c>
      <c r="AU79" s="29">
        <f>IF(OR(AR79=0,$S$9=0),0,IF((AE79+$K$9)&gt;$S$9/HU_alpha+$K$9,0.5*$S$9/HU_alpha,IF((AE79+$K$9)&gt;=$K$9,((AE79+$K$9)-$K$9)-0.5*HU_alpha/$S$9*((AE79+$K$9)-$K$9)^2,IF((AE79+$K$9)&gt;=$T$9,HU_beta*((AE79+$K$9)-$K$9),HU_beta*($T$9-$K$9)))))</f>
        <v/>
      </c>
      <c r="AV79" s="63">
        <f>IF(AND($J$10,A79=$Q$10),J79,0)</f>
        <v/>
      </c>
      <c r="AW79" s="29">
        <f>IF(OR(AV79=0,$S$10=0),0,IF((AD79+$L$10)&gt;$S$10/HU_alpha+$K$10,0.5*$S$10/HU_alpha,IF((AD79+$L$10)&gt;=$K$10,((AD79+$L$10)-$K$10)-0.5*HU_alpha/$S$10*((AD79+$L$10)-$K$10)^2,IF((AD79+$L$10)&gt;=$T$10,HU_beta*((AD79+$L$10)-$K$10),HU_beta*($T$10-$K$10)))))</f>
        <v/>
      </c>
      <c r="AX79" s="29">
        <f>IF(OR(AV79=0,$S$10=0),0,IF((AD79+$L$10+$N$10)&gt;$S$10/HU_alpha+$K$10,0.5*$S$10/HU_alpha,IF((AD79+$L$10+$N$10)&gt;=$K$10,((AD79+$L$10+$N$10)-$K$10)-0.5*HU_alpha/$S$10*((AD79+$L$10+$N$10)-$K$10)^2,IF((AD79+$L$10+$N$10)&gt;=$T$10,HU_beta*((AD79+$L$10+$N$10)-$K$10),HU_beta*($T$10-$K$10)))))</f>
        <v/>
      </c>
      <c r="AY79" s="29">
        <f>IF(OR(AV79=0,$S$10=0),0,IF((AD79+$K$10)&gt;$S$10/HU_alpha+$K$10,0.5*$S$10/HU_alpha,IF((AD79+$K$10)&gt;=$K$10,((AD79+$K$10)-$K$10)-0.5*HU_alpha/$S$10*((AD79+$K$10)-$K$10)^2,IF((AD79+$K$10)&gt;=$T$10,HU_beta*((AD79+$K$10)-$K$10),HU_beta*($T$10-$K$10)))))</f>
        <v/>
      </c>
      <c r="AZ79" s="63">
        <f>IF(AND($J$11,A79=$Q$11),J79,0)</f>
        <v/>
      </c>
      <c r="BA79" s="29">
        <f>IF(OR(AZ79=0,$S$11=0),0,IF((AE79+$L$11)&gt;$S$11/HU_alpha+$K$11,0.5*$S$11/HU_alpha,IF((AE79+$L$11)&gt;=$K$11,((AE79+$L$11)-$K$11)-0.5*HU_alpha/$S$11*((AE79+$L$11)-$K$11)^2,IF((AE79+$L$11)&gt;=$T$11,HU_beta*((AE79+$L$11)-$K$11),HU_beta*($T$11-$K$11)))))</f>
        <v/>
      </c>
      <c r="BB79" s="29">
        <f>IF(OR(AZ79=0,$S$11=0),0,IF((AE79+$L$11+$N$11)&gt;$S$11/HU_alpha+$K$11,0.5*$S$11/HU_alpha,IF((AE79+$L$11+$N$11)&gt;=$K$11,((AE79+$L$11+$N$11)-$K$11)-0.5*HU_alpha/$S$11*((AE79+$L$11+$N$11)-$K$11)^2,IF((AE79+$L$11+$N$11)&gt;=$T$11,HU_beta*((AE79+$L$11+$N$11)-$K$11),HU_beta*($T$11-$K$11)))))</f>
        <v/>
      </c>
      <c r="BC79" s="29">
        <f>IF(OR(AZ79=0,$S$11=0),0,IF((AE79+$K$11)&gt;$S$11/HU_alpha+$K$11,0.5*$S$11/HU_alpha,IF((AE79+$K$11)&gt;=$K$11,((AE79+$K$11)-$K$11)-0.5*HU_alpha/$S$11*((AE79+$K$11)-$K$11)^2,IF((AE79+$K$11)&gt;=$T$11,HU_beta*((AE79+$K$11)-$K$11),HU_beta*($T$11-$K$11)))))</f>
        <v/>
      </c>
      <c r="BD79" s="63">
        <f>IF(AND($J$12,A79=$Q$12),J79,0)</f>
        <v/>
      </c>
      <c r="BE79" s="29">
        <f>IF(OR(BD79=0,$S$12=0),0,IF((AE79+$L$12)&gt;$S$12/HU_alpha+$K$12,0.5*$S$12/HU_alpha,IF((AE79+$L$12)&gt;=$K$12,((AE79+$L$12)-$K$12)-0.5*HU_alpha/$S$12*((AE79+$L$12)-$K$12)^2,IF((AE79+$L$12)&gt;=$T$12,HU_beta*((AE79+$L$12)-$K$12),HU_beta*($T$12-$K$12)))))</f>
        <v/>
      </c>
      <c r="BF79" s="29">
        <f>IF(OR(BD79=0,$S$12=0),0,IF((AE79+$L$12+$N$12)&gt;$S$12/HU_alpha+$K$12,0.5*$S$12/HU_alpha,IF((AE79+$L$12+$N$12)&gt;=$K$12,((AE79+$L$12+$N$12)-$K$12)-0.5*HU_alpha/$S$12*((AE79+$L$12+$N$12)-$K$12)^2,IF((AE79+$L$12+$N$12)&gt;=$T$12,HU_beta*((AE79+$L$12+$N$12)-$K$12),HU_beta*($T$12-$K$12)))))</f>
        <v/>
      </c>
      <c r="BG79" s="29">
        <f>IF(OR(BD79=0,$S$12=0),0,IF((AE79+$K$12)&gt;$S$12/HU_alpha+$K$12,0.5*$S$12/HU_alpha,IF((AE79+$K$12)&gt;=$K$12,((AE79+$K$12)-$K$12)-0.5*HU_alpha/$S$12*((AE79+$K$12)-$K$12)^2,IF((AE79+$K$12)&gt;=$T$12,HU_beta*((AE79+$K$12)-$K$12),HU_beta*($T$12-$K$12)))))</f>
        <v/>
      </c>
      <c r="BH79" s="63">
        <f>IF(AND($J$13,A79=$Q$13),J79,0)</f>
        <v/>
      </c>
      <c r="BI79" s="29">
        <f>IF(OR(BH79=0,$S$13=0),0,IF((AE79+$L$13)&gt;$S$13/HU_alpha+$K$13,0.5*$S$13/HU_alpha,IF((AE79+$L$13)&gt;=$K$13,((AE79+$L$13)-$K$13)-0.5*HU_alpha/$S$13*((AE79+$L$13)-$K$13)^2,IF((AE79+$L$13)&gt;=$T$13,HU_beta*((AE79+$L$13)-$K$13),HU_beta*($T$13-$K$13)))))</f>
        <v/>
      </c>
      <c r="BJ79" s="29">
        <f>IF(OR(BH79=0,$S$13=0),0,IF((AE79+$L$13+$N$13)&gt;$S$13/HU_alpha+$K$13,0.5*$S$13/HU_alpha,IF((AE79+$L$13+$N$13)&gt;=$K$13,((AE79+$L$13+$N$13)-$K$13)-0.5*HU_alpha/$S$13*((AE79+$L$13+$N$13)-$K$13)^2,IF((AE79+$L$13+$N$13)&gt;=$T$13,HU_beta*((AE79+$L$13+$N$13)-$K$13),HU_beta*($T$13-$K$13)))))</f>
        <v/>
      </c>
      <c r="BK79" s="29">
        <f>IF(OR(BH79=0,$S$13=0),0,IF((AE79+$K$13)&gt;$S$13/HU_alpha+$K$13,0.5*$S$13/HU_alpha,IF((AE79+$K$13)&gt;=$K$13,((AE79+$K$13)-$K$13)-0.5*HU_alpha/$S$13*((AE79+$K$13)-$K$13)^2,IF((AE79+$K$13)&gt;=$T$13,HU_beta*((AE79+$K$13)-$K$13),HU_beta*($T$13-$K$13)))))</f>
        <v/>
      </c>
    </row>
    <row r="80">
      <c r="A80" s="61" t="n">
        <v>12</v>
      </c>
      <c r="B80" s="61">
        <f>HU_age+A80</f>
        <v/>
      </c>
      <c r="C80" s="52">
        <f>A80&lt;=HU_T</f>
        <v/>
      </c>
      <c r="D80" s="63">
        <f>IF(OR(A80&lt;1,A80&gt;HU_T),0,INDEX(HU_q_mort,HU_age+A80-17,HU_col))</f>
        <v/>
      </c>
      <c r="E80" s="63">
        <f>IF(OR(A80&lt;1,A80&gt;HU_T),0,INDEX(HU_q_adb,HU_age+A80-17,HU_col))</f>
        <v/>
      </c>
      <c r="F80" s="63">
        <f>IF(OR(A80&lt;1,A80&gt;HU_T),0,INDEX(HU_q_morb,HU_age+A80-17,HU_col))</f>
        <v/>
      </c>
      <c r="G80" s="63">
        <f>IF(OR(A80&lt;1,A80&gt;HU_T),0,INDEX(HU_q_ptd,HU_age+A80-17,HU_col))</f>
        <v/>
      </c>
      <c r="H80" s="63">
        <f>IF(OR(A80&lt;1,A80&gt;HU_T),0,INDEX(HU_q_dis,HU_age+A80-17,HU_col))</f>
        <v/>
      </c>
      <c r="I80" s="63">
        <f>IF(A80&gt;HU_T,0,I79*(1-D80)*(1-E80))</f>
        <v/>
      </c>
      <c r="J80" s="63">
        <f>IF(A80&gt;=HU_T,0,N(I81))</f>
        <v/>
      </c>
      <c r="K80" s="63">
        <f>K79*(1-G80)</f>
        <v/>
      </c>
      <c r="L80" s="63">
        <f>1-K80</f>
        <v/>
      </c>
      <c r="M80" s="63">
        <f>K79*G80</f>
        <v/>
      </c>
      <c r="N80" s="63">
        <f>N79*(1-H80)</f>
        <v/>
      </c>
      <c r="O80" s="63">
        <f>1-N79</f>
        <v/>
      </c>
      <c r="P80" s="63">
        <f>P79*(1-F80)</f>
        <v/>
      </c>
      <c r="Q80" s="63">
        <f>1-P79/INDEX($P$68:$P$150,MAX(1,A80-HU_ciYears))</f>
        <v/>
      </c>
      <c r="R80" s="60">
        <f>(1+inflationRate)^A80</f>
        <v/>
      </c>
      <c r="S80" s="29">
        <f>IF(OR(OR(A80&lt;1,A80&gt;HU_T),A80-1&gt;=HU_dtr),0,HU_inc0*(1+incomeGrowthRate)^A80)</f>
        <v/>
      </c>
      <c r="T80" s="60">
        <f>IF(A80&gt;HU_T,T79,T79*(1+INDEX(HU_ssG,HU_age+A80-17)))</f>
        <v/>
      </c>
      <c r="U80" s="29">
        <f>IF(AND(HU_dtr&gt;=1,A80=HU_dtr,A80&lt;=HU_T),MIN(S80*INDEX(HU_ssC,HU_age+A80-17)/(1-INDEX(HU_ssC,HU_age+A80-17)),INDEX(HU_ssCap,HU_age+A80-17))*T80,0)</f>
        <v/>
      </c>
      <c r="V80" s="29">
        <f>S80+U80+IF(AND(HU_wdOn,A80=HU_wdYear),HU_wdIncome,0)</f>
        <v/>
      </c>
      <c r="W80" s="60">
        <f>HU_ciProp*Q80+HU_tpdCut*L80+HU_disCut*O80</f>
        <v/>
      </c>
      <c r="X80" s="29">
        <f>IF(OR(A80&lt;1,A80&gt;HU_T),0,V80*(1-W80))</f>
        <v/>
      </c>
      <c r="Y80" s="29">
        <f>IF(OR(A80&lt;1,A80&gt;HU_T),0,IF(AND(HU_retExp&gt;0,A80-1&gt;=HU_dtr),HU_retExp,HU_exp0)*R80)</f>
        <v/>
      </c>
      <c r="Z80" s="29">
        <f>-Y80-IF(AND(HU_wdOn,A80=HU_wdYear),HU_wdOut,0)</f>
        <v/>
      </c>
      <c r="AA80" s="29">
        <f>IF(OR(A80&lt;1,A80&gt;HU_T),0,-HU_medCost*R80*F80-HU_tpdCost*R80*M80)</f>
        <v/>
      </c>
      <c r="AB80" s="29">
        <f>IF(A80&gt;HU_T,0,AB79*(1+interestRate)+X80+Z80+AA80)</f>
        <v/>
      </c>
      <c r="AC80" s="29">
        <f>IF(A80&gt;HU_T,0,HU_inv*EXP(HU_mu*A80))</f>
        <v/>
      </c>
      <c r="AD80" s="29">
        <f>IF(A80&gt;HU_T,0,MAX(0,AC80+AB80))</f>
        <v/>
      </c>
      <c r="AE80" s="29">
        <f>IF(A80&gt;HU_T,0,MAX(0,X80-Y80))</f>
        <v/>
      </c>
      <c r="AF80" s="63">
        <f>IF(AND($J$6,A80&gt;=1,A80&lt;=$Q$6-1),J80,0)</f>
        <v/>
      </c>
      <c r="AG80" s="29">
        <f>IF(OR(AF80=0,$S$6=0),0,IF((AD80+$L$6)&gt;$S$6/HU_alpha+$K$6,0.5*$S$6/HU_alpha,IF((AD80+$L$6)&gt;=$K$6,((AD80+$L$6)-$K$6)-0.5*HU_alpha/$S$6*((AD80+$L$6)-$K$6)^2,IF((AD80+$L$6)&gt;=$T$6,HU_beta*((AD80+$L$6)-$K$6),HU_beta*($T$6-$K$6)))))</f>
        <v/>
      </c>
      <c r="AH80" s="29">
        <f>IF(OR(AF80=0,$S$6=0),0,IF((AD80+$L$6+$N$6)&gt;$S$6/HU_alpha+$K$6,0.5*$S$6/HU_alpha,IF((AD80+$L$6+$N$6)&gt;=$K$6,((AD80+$L$6+$N$6)-$K$6)-0.5*HU_alpha/$S$6*((AD80+$L$6+$N$6)-$K$6)^2,IF((AD80+$L$6+$N$6)&gt;=$T$6,HU_beta*((AD80+$L$6+$N$6)-$K$6),HU_beta*($T$6-$K$6)))))</f>
        <v/>
      </c>
      <c r="AI80" s="29">
        <f>IF(OR(AF80=0,$S$6=0),0,IF((AD80+$K$6)&gt;$S$6/HU_alpha+$K$6,0.5*$S$6/HU_alpha,IF((AD80+$K$6)&gt;=$K$6,((AD80+$K$6)-$K$6)-0.5*HU_alpha/$S$6*((AD80+$K$6)-$K$6)^2,IF((AD80+$K$6)&gt;=$T$6,HU_beta*((AD80+$K$6)-$K$6),HU_beta*($T$6-$K$6)))))</f>
        <v/>
      </c>
      <c r="AJ80" s="63">
        <f>IF(AND($J$7,A80&gt;=1,A80&lt;=$Q$7-1),J80,0)</f>
        <v/>
      </c>
      <c r="AK80" s="29">
        <f>IF(OR(AJ80=0,$S$7=0),0,IF((AE80+$L$7)&gt;$S$7/HU_alpha+$K$7,0.5*$S$7/HU_alpha,IF((AE80+$L$7)&gt;=$K$7,((AE80+$L$7)-$K$7)-0.5*HU_alpha/$S$7*((AE80+$L$7)-$K$7)^2,IF((AE80+$L$7)&gt;=$T$7,HU_beta*((AE80+$L$7)-$K$7),HU_beta*($T$7-$K$7)))))</f>
        <v/>
      </c>
      <c r="AL80" s="29">
        <f>IF(OR(AJ80=0,$S$7=0),0,IF((AE80+$L$7+$N$7)&gt;$S$7/HU_alpha+$K$7,0.5*$S$7/HU_alpha,IF((AE80+$L$7+$N$7)&gt;=$K$7,((AE80+$L$7+$N$7)-$K$7)-0.5*HU_alpha/$S$7*((AE80+$L$7+$N$7)-$K$7)^2,IF((AE80+$L$7+$N$7)&gt;=$T$7,HU_beta*((AE80+$L$7+$N$7)-$K$7),HU_beta*($T$7-$K$7)))))</f>
        <v/>
      </c>
      <c r="AM80" s="29">
        <f>IF(OR(AJ80=0,$S$7=0),0,IF((AE80+$K$7)&gt;$S$7/HU_alpha+$K$7,0.5*$S$7/HU_alpha,IF((AE80+$K$7)&gt;=$K$7,((AE80+$K$7)-$K$7)-0.5*HU_alpha/$S$7*((AE80+$K$7)-$K$7)^2,IF((AE80+$K$7)&gt;=$T$7,HU_beta*((AE80+$K$7)-$K$7),HU_beta*($T$7-$K$7)))))</f>
        <v/>
      </c>
      <c r="AN80" s="63">
        <f>IF(AND($J$8,A80&gt;=1,A80&lt;=$Q$8-1),J80,0)</f>
        <v/>
      </c>
      <c r="AO80" s="29">
        <f>IF(OR(AN80=0,$S$8=0),0,IF((AE80+$L$8)&gt;$S$8/HU_alpha+$K$8,0.5*$S$8/HU_alpha,IF((AE80+$L$8)&gt;=$K$8,((AE80+$L$8)-$K$8)-0.5*HU_alpha/$S$8*((AE80+$L$8)-$K$8)^2,IF((AE80+$L$8)&gt;=$T$8,HU_beta*((AE80+$L$8)-$K$8),HU_beta*($T$8-$K$8)))))</f>
        <v/>
      </c>
      <c r="AP80" s="29">
        <f>IF(OR(AN80=0,$S$8=0),0,IF((AE80+$L$8+$N$8)&gt;$S$8/HU_alpha+$K$8,0.5*$S$8/HU_alpha,IF((AE80+$L$8+$N$8)&gt;=$K$8,((AE80+$L$8+$N$8)-$K$8)-0.5*HU_alpha/$S$8*((AE80+$L$8+$N$8)-$K$8)^2,IF((AE80+$L$8+$N$8)&gt;=$T$8,HU_beta*((AE80+$L$8+$N$8)-$K$8),HU_beta*($T$8-$K$8)))))</f>
        <v/>
      </c>
      <c r="AQ80" s="29">
        <f>IF(OR(AN80=0,$S$8=0),0,IF((AE80+$K$8)&gt;$S$8/HU_alpha+$K$8,0.5*$S$8/HU_alpha,IF((AE80+$K$8)&gt;=$K$8,((AE80+$K$8)-$K$8)-0.5*HU_alpha/$S$8*((AE80+$K$8)-$K$8)^2,IF((AE80+$K$8)&gt;=$T$8,HU_beta*((AE80+$K$8)-$K$8),HU_beta*($T$8-$K$8)))))</f>
        <v/>
      </c>
      <c r="AR80" s="63">
        <f>IF(AND($J$9,A80&gt;=1,A80&lt;=$Q$9-1),J80,0)</f>
        <v/>
      </c>
      <c r="AS80" s="29">
        <f>IF(OR(AR80=0,$S$9=0),0,IF((AE80+$L$9)&gt;$S$9/HU_alpha+$K$9,0.5*$S$9/HU_alpha,IF((AE80+$L$9)&gt;=$K$9,((AE80+$L$9)-$K$9)-0.5*HU_alpha/$S$9*((AE80+$L$9)-$K$9)^2,IF((AE80+$L$9)&gt;=$T$9,HU_beta*((AE80+$L$9)-$K$9),HU_beta*($T$9-$K$9)))))</f>
        <v/>
      </c>
      <c r="AT80" s="29">
        <f>IF(OR(AR80=0,$S$9=0),0,IF((AE80+$L$9+$N$9)&gt;$S$9/HU_alpha+$K$9,0.5*$S$9/HU_alpha,IF((AE80+$L$9+$N$9)&gt;=$K$9,((AE80+$L$9+$N$9)-$K$9)-0.5*HU_alpha/$S$9*((AE80+$L$9+$N$9)-$K$9)^2,IF((AE80+$L$9+$N$9)&gt;=$T$9,HU_beta*((AE80+$L$9+$N$9)-$K$9),HU_beta*($T$9-$K$9)))))</f>
        <v/>
      </c>
      <c r="AU80" s="29">
        <f>IF(OR(AR80=0,$S$9=0),0,IF((AE80+$K$9)&gt;$S$9/HU_alpha+$K$9,0.5*$S$9/HU_alpha,IF((AE80+$K$9)&gt;=$K$9,((AE80+$K$9)-$K$9)-0.5*HU_alpha/$S$9*((AE80+$K$9)-$K$9)^2,IF((AE80+$K$9)&gt;=$T$9,HU_beta*((AE80+$K$9)-$K$9),HU_beta*($T$9-$K$9)))))</f>
        <v/>
      </c>
      <c r="AV80" s="63">
        <f>IF(AND($J$10,A80=$Q$10),J80,0)</f>
        <v/>
      </c>
      <c r="AW80" s="29">
        <f>IF(OR(AV80=0,$S$10=0),0,IF((AD80+$L$10)&gt;$S$10/HU_alpha+$K$10,0.5*$S$10/HU_alpha,IF((AD80+$L$10)&gt;=$K$10,((AD80+$L$10)-$K$10)-0.5*HU_alpha/$S$10*((AD80+$L$10)-$K$10)^2,IF((AD80+$L$10)&gt;=$T$10,HU_beta*((AD80+$L$10)-$K$10),HU_beta*($T$10-$K$10)))))</f>
        <v/>
      </c>
      <c r="AX80" s="29">
        <f>IF(OR(AV80=0,$S$10=0),0,IF((AD80+$L$10+$N$10)&gt;$S$10/HU_alpha+$K$10,0.5*$S$10/HU_alpha,IF((AD80+$L$10+$N$10)&gt;=$K$10,((AD80+$L$10+$N$10)-$K$10)-0.5*HU_alpha/$S$10*((AD80+$L$10+$N$10)-$K$10)^2,IF((AD80+$L$10+$N$10)&gt;=$T$10,HU_beta*((AD80+$L$10+$N$10)-$K$10),HU_beta*($T$10-$K$10)))))</f>
        <v/>
      </c>
      <c r="AY80" s="29">
        <f>IF(OR(AV80=0,$S$10=0),0,IF((AD80+$K$10)&gt;$S$10/HU_alpha+$K$10,0.5*$S$10/HU_alpha,IF((AD80+$K$10)&gt;=$K$10,((AD80+$K$10)-$K$10)-0.5*HU_alpha/$S$10*((AD80+$K$10)-$K$10)^2,IF((AD80+$K$10)&gt;=$T$10,HU_beta*((AD80+$K$10)-$K$10),HU_beta*($T$10-$K$10)))))</f>
        <v/>
      </c>
      <c r="AZ80" s="63">
        <f>IF(AND($J$11,A80=$Q$11),J80,0)</f>
        <v/>
      </c>
      <c r="BA80" s="29">
        <f>IF(OR(AZ80=0,$S$11=0),0,IF((AE80+$L$11)&gt;$S$11/HU_alpha+$K$11,0.5*$S$11/HU_alpha,IF((AE80+$L$11)&gt;=$K$11,((AE80+$L$11)-$K$11)-0.5*HU_alpha/$S$11*((AE80+$L$11)-$K$11)^2,IF((AE80+$L$11)&gt;=$T$11,HU_beta*((AE80+$L$11)-$K$11),HU_beta*($T$11-$K$11)))))</f>
        <v/>
      </c>
      <c r="BB80" s="29">
        <f>IF(OR(AZ80=0,$S$11=0),0,IF((AE80+$L$11+$N$11)&gt;$S$11/HU_alpha+$K$11,0.5*$S$11/HU_alpha,IF((AE80+$L$11+$N$11)&gt;=$K$11,((AE80+$L$11+$N$11)-$K$11)-0.5*HU_alpha/$S$11*((AE80+$L$11+$N$11)-$K$11)^2,IF((AE80+$L$11+$N$11)&gt;=$T$11,HU_beta*((AE80+$L$11+$N$11)-$K$11),HU_beta*($T$11-$K$11)))))</f>
        <v/>
      </c>
      <c r="BC80" s="29">
        <f>IF(OR(AZ80=0,$S$11=0),0,IF((AE80+$K$11)&gt;$S$11/HU_alpha+$K$11,0.5*$S$11/HU_alpha,IF((AE80+$K$11)&gt;=$K$11,((AE80+$K$11)-$K$11)-0.5*HU_alpha/$S$11*((AE80+$K$11)-$K$11)^2,IF((AE80+$K$11)&gt;=$T$11,HU_beta*((AE80+$K$11)-$K$11),HU_beta*($T$11-$K$11)))))</f>
        <v/>
      </c>
      <c r="BD80" s="63">
        <f>IF(AND($J$12,A80=$Q$12),J80,0)</f>
        <v/>
      </c>
      <c r="BE80" s="29">
        <f>IF(OR(BD80=0,$S$12=0),0,IF((AE80+$L$12)&gt;$S$12/HU_alpha+$K$12,0.5*$S$12/HU_alpha,IF((AE80+$L$12)&gt;=$K$12,((AE80+$L$12)-$K$12)-0.5*HU_alpha/$S$12*((AE80+$L$12)-$K$12)^2,IF((AE80+$L$12)&gt;=$T$12,HU_beta*((AE80+$L$12)-$K$12),HU_beta*($T$12-$K$12)))))</f>
        <v/>
      </c>
      <c r="BF80" s="29">
        <f>IF(OR(BD80=0,$S$12=0),0,IF((AE80+$L$12+$N$12)&gt;$S$12/HU_alpha+$K$12,0.5*$S$12/HU_alpha,IF((AE80+$L$12+$N$12)&gt;=$K$12,((AE80+$L$12+$N$12)-$K$12)-0.5*HU_alpha/$S$12*((AE80+$L$12+$N$12)-$K$12)^2,IF((AE80+$L$12+$N$12)&gt;=$T$12,HU_beta*((AE80+$L$12+$N$12)-$K$12),HU_beta*($T$12-$K$12)))))</f>
        <v/>
      </c>
      <c r="BG80" s="29">
        <f>IF(OR(BD80=0,$S$12=0),0,IF((AE80+$K$12)&gt;$S$12/HU_alpha+$K$12,0.5*$S$12/HU_alpha,IF((AE80+$K$12)&gt;=$K$12,((AE80+$K$12)-$K$12)-0.5*HU_alpha/$S$12*((AE80+$K$12)-$K$12)^2,IF((AE80+$K$12)&gt;=$T$12,HU_beta*((AE80+$K$12)-$K$12),HU_beta*($T$12-$K$12)))))</f>
        <v/>
      </c>
      <c r="BH80" s="63">
        <f>IF(AND($J$13,A80=$Q$13),J80,0)</f>
        <v/>
      </c>
      <c r="BI80" s="29">
        <f>IF(OR(BH80=0,$S$13=0),0,IF((AE80+$L$13)&gt;$S$13/HU_alpha+$K$13,0.5*$S$13/HU_alpha,IF((AE80+$L$13)&gt;=$K$13,((AE80+$L$13)-$K$13)-0.5*HU_alpha/$S$13*((AE80+$L$13)-$K$13)^2,IF((AE80+$L$13)&gt;=$T$13,HU_beta*((AE80+$L$13)-$K$13),HU_beta*($T$13-$K$13)))))</f>
        <v/>
      </c>
      <c r="BJ80" s="29">
        <f>IF(OR(BH80=0,$S$13=0),0,IF((AE80+$L$13+$N$13)&gt;$S$13/HU_alpha+$K$13,0.5*$S$13/HU_alpha,IF((AE80+$L$13+$N$13)&gt;=$K$13,((AE80+$L$13+$N$13)-$K$13)-0.5*HU_alpha/$S$13*((AE80+$L$13+$N$13)-$K$13)^2,IF((AE80+$L$13+$N$13)&gt;=$T$13,HU_beta*((AE80+$L$13+$N$13)-$K$13),HU_beta*($T$13-$K$13)))))</f>
        <v/>
      </c>
      <c r="BK80" s="29">
        <f>IF(OR(BH80=0,$S$13=0),0,IF((AE80+$K$13)&gt;$S$13/HU_alpha+$K$13,0.5*$S$13/HU_alpha,IF((AE80+$K$13)&gt;=$K$13,((AE80+$K$13)-$K$13)-0.5*HU_alpha/$S$13*((AE80+$K$13)-$K$13)^2,IF((AE80+$K$13)&gt;=$T$13,HU_beta*((AE80+$K$13)-$K$13),HU_beta*($T$13-$K$13)))))</f>
        <v/>
      </c>
    </row>
    <row r="81">
      <c r="A81" s="61" t="n">
        <v>13</v>
      </c>
      <c r="B81" s="61">
        <f>HU_age+A81</f>
        <v/>
      </c>
      <c r="C81" s="52">
        <f>A81&lt;=HU_T</f>
        <v/>
      </c>
      <c r="D81" s="63">
        <f>IF(OR(A81&lt;1,A81&gt;HU_T),0,INDEX(HU_q_mort,HU_age+A81-17,HU_col))</f>
        <v/>
      </c>
      <c r="E81" s="63">
        <f>IF(OR(A81&lt;1,A81&gt;HU_T),0,INDEX(HU_q_adb,HU_age+A81-17,HU_col))</f>
        <v/>
      </c>
      <c r="F81" s="63">
        <f>IF(OR(A81&lt;1,A81&gt;HU_T),0,INDEX(HU_q_morb,HU_age+A81-17,HU_col))</f>
        <v/>
      </c>
      <c r="G81" s="63">
        <f>IF(OR(A81&lt;1,A81&gt;HU_T),0,INDEX(HU_q_ptd,HU_age+A81-17,HU_col))</f>
        <v/>
      </c>
      <c r="H81" s="63">
        <f>IF(OR(A81&lt;1,A81&gt;HU_T),0,INDEX(HU_q_dis,HU_age+A81-17,HU_col))</f>
        <v/>
      </c>
      <c r="I81" s="63">
        <f>IF(A81&gt;HU_T,0,I80*(1-D81)*(1-E81))</f>
        <v/>
      </c>
      <c r="J81" s="63">
        <f>IF(A81&gt;=HU_T,0,N(I82))</f>
        <v/>
      </c>
      <c r="K81" s="63">
        <f>K80*(1-G81)</f>
        <v/>
      </c>
      <c r="L81" s="63">
        <f>1-K81</f>
        <v/>
      </c>
      <c r="M81" s="63">
        <f>K80*G81</f>
        <v/>
      </c>
      <c r="N81" s="63">
        <f>N80*(1-H81)</f>
        <v/>
      </c>
      <c r="O81" s="63">
        <f>1-N80</f>
        <v/>
      </c>
      <c r="P81" s="63">
        <f>P80*(1-F81)</f>
        <v/>
      </c>
      <c r="Q81" s="63">
        <f>1-P80/INDEX($P$68:$P$150,MAX(1,A81-HU_ciYears))</f>
        <v/>
      </c>
      <c r="R81" s="60">
        <f>(1+inflationRate)^A81</f>
        <v/>
      </c>
      <c r="S81" s="29">
        <f>IF(OR(OR(A81&lt;1,A81&gt;HU_T),A81-1&gt;=HU_dtr),0,HU_inc0*(1+incomeGrowthRate)^A81)</f>
        <v/>
      </c>
      <c r="T81" s="60">
        <f>IF(A81&gt;HU_T,T80,T80*(1+INDEX(HU_ssG,HU_age+A81-17)))</f>
        <v/>
      </c>
      <c r="U81" s="29">
        <f>IF(AND(HU_dtr&gt;=1,A81=HU_dtr,A81&lt;=HU_T),MIN(S81*INDEX(HU_ssC,HU_age+A81-17)/(1-INDEX(HU_ssC,HU_age+A81-17)),INDEX(HU_ssCap,HU_age+A81-17))*T81,0)</f>
        <v/>
      </c>
      <c r="V81" s="29">
        <f>S81+U81+IF(AND(HU_wdOn,A81=HU_wdYear),HU_wdIncome,0)</f>
        <v/>
      </c>
      <c r="W81" s="60">
        <f>HU_ciProp*Q81+HU_tpdCut*L81+HU_disCut*O81</f>
        <v/>
      </c>
      <c r="X81" s="29">
        <f>IF(OR(A81&lt;1,A81&gt;HU_T),0,V81*(1-W81))</f>
        <v/>
      </c>
      <c r="Y81" s="29">
        <f>IF(OR(A81&lt;1,A81&gt;HU_T),0,IF(AND(HU_retExp&gt;0,A81-1&gt;=HU_dtr),HU_retExp,HU_exp0)*R81)</f>
        <v/>
      </c>
      <c r="Z81" s="29">
        <f>-Y81-IF(AND(HU_wdOn,A81=HU_wdYear),HU_wdOut,0)</f>
        <v/>
      </c>
      <c r="AA81" s="29">
        <f>IF(OR(A81&lt;1,A81&gt;HU_T),0,-HU_medCost*R81*F81-HU_tpdCost*R81*M81)</f>
        <v/>
      </c>
      <c r="AB81" s="29">
        <f>IF(A81&gt;HU_T,0,AB80*(1+interestRate)+X81+Z81+AA81)</f>
        <v/>
      </c>
      <c r="AC81" s="29">
        <f>IF(A81&gt;HU_T,0,HU_inv*EXP(HU_mu*A81))</f>
        <v/>
      </c>
      <c r="AD81" s="29">
        <f>IF(A81&gt;HU_T,0,MAX(0,AC81+AB81))</f>
        <v/>
      </c>
      <c r="AE81" s="29">
        <f>IF(A81&gt;HU_T,0,MAX(0,X81-Y81))</f>
        <v/>
      </c>
      <c r="AF81" s="63">
        <f>IF(AND($J$6,A81&gt;=1,A81&lt;=$Q$6-1),J81,0)</f>
        <v/>
      </c>
      <c r="AG81" s="29">
        <f>IF(OR(AF81=0,$S$6=0),0,IF((AD81+$L$6)&gt;$S$6/HU_alpha+$K$6,0.5*$S$6/HU_alpha,IF((AD81+$L$6)&gt;=$K$6,((AD81+$L$6)-$K$6)-0.5*HU_alpha/$S$6*((AD81+$L$6)-$K$6)^2,IF((AD81+$L$6)&gt;=$T$6,HU_beta*((AD81+$L$6)-$K$6),HU_beta*($T$6-$K$6)))))</f>
        <v/>
      </c>
      <c r="AH81" s="29">
        <f>IF(OR(AF81=0,$S$6=0),0,IF((AD81+$L$6+$N$6)&gt;$S$6/HU_alpha+$K$6,0.5*$S$6/HU_alpha,IF((AD81+$L$6+$N$6)&gt;=$K$6,((AD81+$L$6+$N$6)-$K$6)-0.5*HU_alpha/$S$6*((AD81+$L$6+$N$6)-$K$6)^2,IF((AD81+$L$6+$N$6)&gt;=$T$6,HU_beta*((AD81+$L$6+$N$6)-$K$6),HU_beta*($T$6-$K$6)))))</f>
        <v/>
      </c>
      <c r="AI81" s="29">
        <f>IF(OR(AF81=0,$S$6=0),0,IF((AD81+$K$6)&gt;$S$6/HU_alpha+$K$6,0.5*$S$6/HU_alpha,IF((AD81+$K$6)&gt;=$K$6,((AD81+$K$6)-$K$6)-0.5*HU_alpha/$S$6*((AD81+$K$6)-$K$6)^2,IF((AD81+$K$6)&gt;=$T$6,HU_beta*((AD81+$K$6)-$K$6),HU_beta*($T$6-$K$6)))))</f>
        <v/>
      </c>
      <c r="AJ81" s="63">
        <f>IF(AND($J$7,A81&gt;=1,A81&lt;=$Q$7-1),J81,0)</f>
        <v/>
      </c>
      <c r="AK81" s="29">
        <f>IF(OR(AJ81=0,$S$7=0),0,IF((AE81+$L$7)&gt;$S$7/HU_alpha+$K$7,0.5*$S$7/HU_alpha,IF((AE81+$L$7)&gt;=$K$7,((AE81+$L$7)-$K$7)-0.5*HU_alpha/$S$7*((AE81+$L$7)-$K$7)^2,IF((AE81+$L$7)&gt;=$T$7,HU_beta*((AE81+$L$7)-$K$7),HU_beta*($T$7-$K$7)))))</f>
        <v/>
      </c>
      <c r="AL81" s="29">
        <f>IF(OR(AJ81=0,$S$7=0),0,IF((AE81+$L$7+$N$7)&gt;$S$7/HU_alpha+$K$7,0.5*$S$7/HU_alpha,IF((AE81+$L$7+$N$7)&gt;=$K$7,((AE81+$L$7+$N$7)-$K$7)-0.5*HU_alpha/$S$7*((AE81+$L$7+$N$7)-$K$7)^2,IF((AE81+$L$7+$N$7)&gt;=$T$7,HU_beta*((AE81+$L$7+$N$7)-$K$7),HU_beta*($T$7-$K$7)))))</f>
        <v/>
      </c>
      <c r="AM81" s="29">
        <f>IF(OR(AJ81=0,$S$7=0),0,IF((AE81+$K$7)&gt;$S$7/HU_alpha+$K$7,0.5*$S$7/HU_alpha,IF((AE81+$K$7)&gt;=$K$7,((AE81+$K$7)-$K$7)-0.5*HU_alpha/$S$7*((AE81+$K$7)-$K$7)^2,IF((AE81+$K$7)&gt;=$T$7,HU_beta*((AE81+$K$7)-$K$7),HU_beta*($T$7-$K$7)))))</f>
        <v/>
      </c>
      <c r="AN81" s="63">
        <f>IF(AND($J$8,A81&gt;=1,A81&lt;=$Q$8-1),J81,0)</f>
        <v/>
      </c>
      <c r="AO81" s="29">
        <f>IF(OR(AN81=0,$S$8=0),0,IF((AE81+$L$8)&gt;$S$8/HU_alpha+$K$8,0.5*$S$8/HU_alpha,IF((AE81+$L$8)&gt;=$K$8,((AE81+$L$8)-$K$8)-0.5*HU_alpha/$S$8*((AE81+$L$8)-$K$8)^2,IF((AE81+$L$8)&gt;=$T$8,HU_beta*((AE81+$L$8)-$K$8),HU_beta*($T$8-$K$8)))))</f>
        <v/>
      </c>
      <c r="AP81" s="29">
        <f>IF(OR(AN81=0,$S$8=0),0,IF((AE81+$L$8+$N$8)&gt;$S$8/HU_alpha+$K$8,0.5*$S$8/HU_alpha,IF((AE81+$L$8+$N$8)&gt;=$K$8,((AE81+$L$8+$N$8)-$K$8)-0.5*HU_alpha/$S$8*((AE81+$L$8+$N$8)-$K$8)^2,IF((AE81+$L$8+$N$8)&gt;=$T$8,HU_beta*((AE81+$L$8+$N$8)-$K$8),HU_beta*($T$8-$K$8)))))</f>
        <v/>
      </c>
      <c r="AQ81" s="29">
        <f>IF(OR(AN81=0,$S$8=0),0,IF((AE81+$K$8)&gt;$S$8/HU_alpha+$K$8,0.5*$S$8/HU_alpha,IF((AE81+$K$8)&gt;=$K$8,((AE81+$K$8)-$K$8)-0.5*HU_alpha/$S$8*((AE81+$K$8)-$K$8)^2,IF((AE81+$K$8)&gt;=$T$8,HU_beta*((AE81+$K$8)-$K$8),HU_beta*($T$8-$K$8)))))</f>
        <v/>
      </c>
      <c r="AR81" s="63">
        <f>IF(AND($J$9,A81&gt;=1,A81&lt;=$Q$9-1),J81,0)</f>
        <v/>
      </c>
      <c r="AS81" s="29">
        <f>IF(OR(AR81=0,$S$9=0),0,IF((AE81+$L$9)&gt;$S$9/HU_alpha+$K$9,0.5*$S$9/HU_alpha,IF((AE81+$L$9)&gt;=$K$9,((AE81+$L$9)-$K$9)-0.5*HU_alpha/$S$9*((AE81+$L$9)-$K$9)^2,IF((AE81+$L$9)&gt;=$T$9,HU_beta*((AE81+$L$9)-$K$9),HU_beta*($T$9-$K$9)))))</f>
        <v/>
      </c>
      <c r="AT81" s="29">
        <f>IF(OR(AR81=0,$S$9=0),0,IF((AE81+$L$9+$N$9)&gt;$S$9/HU_alpha+$K$9,0.5*$S$9/HU_alpha,IF((AE81+$L$9+$N$9)&gt;=$K$9,((AE81+$L$9+$N$9)-$K$9)-0.5*HU_alpha/$S$9*((AE81+$L$9+$N$9)-$K$9)^2,IF((AE81+$L$9+$N$9)&gt;=$T$9,HU_beta*((AE81+$L$9+$N$9)-$K$9),HU_beta*($T$9-$K$9)))))</f>
        <v/>
      </c>
      <c r="AU81" s="29">
        <f>IF(OR(AR81=0,$S$9=0),0,IF((AE81+$K$9)&gt;$S$9/HU_alpha+$K$9,0.5*$S$9/HU_alpha,IF((AE81+$K$9)&gt;=$K$9,((AE81+$K$9)-$K$9)-0.5*HU_alpha/$S$9*((AE81+$K$9)-$K$9)^2,IF((AE81+$K$9)&gt;=$T$9,HU_beta*((AE81+$K$9)-$K$9),HU_beta*($T$9-$K$9)))))</f>
        <v/>
      </c>
      <c r="AV81" s="63">
        <f>IF(AND($J$10,A81=$Q$10),J81,0)</f>
        <v/>
      </c>
      <c r="AW81" s="29">
        <f>IF(OR(AV81=0,$S$10=0),0,IF((AD81+$L$10)&gt;$S$10/HU_alpha+$K$10,0.5*$S$10/HU_alpha,IF((AD81+$L$10)&gt;=$K$10,((AD81+$L$10)-$K$10)-0.5*HU_alpha/$S$10*((AD81+$L$10)-$K$10)^2,IF((AD81+$L$10)&gt;=$T$10,HU_beta*((AD81+$L$10)-$K$10),HU_beta*($T$10-$K$10)))))</f>
        <v/>
      </c>
      <c r="AX81" s="29">
        <f>IF(OR(AV81=0,$S$10=0),0,IF((AD81+$L$10+$N$10)&gt;$S$10/HU_alpha+$K$10,0.5*$S$10/HU_alpha,IF((AD81+$L$10+$N$10)&gt;=$K$10,((AD81+$L$10+$N$10)-$K$10)-0.5*HU_alpha/$S$10*((AD81+$L$10+$N$10)-$K$10)^2,IF((AD81+$L$10+$N$10)&gt;=$T$10,HU_beta*((AD81+$L$10+$N$10)-$K$10),HU_beta*($T$10-$K$10)))))</f>
        <v/>
      </c>
      <c r="AY81" s="29">
        <f>IF(OR(AV81=0,$S$10=0),0,IF((AD81+$K$10)&gt;$S$10/HU_alpha+$K$10,0.5*$S$10/HU_alpha,IF((AD81+$K$10)&gt;=$K$10,((AD81+$K$10)-$K$10)-0.5*HU_alpha/$S$10*((AD81+$K$10)-$K$10)^2,IF((AD81+$K$10)&gt;=$T$10,HU_beta*((AD81+$K$10)-$K$10),HU_beta*($T$10-$K$10)))))</f>
        <v/>
      </c>
      <c r="AZ81" s="63">
        <f>IF(AND($J$11,A81=$Q$11),J81,0)</f>
        <v/>
      </c>
      <c r="BA81" s="29">
        <f>IF(OR(AZ81=0,$S$11=0),0,IF((AE81+$L$11)&gt;$S$11/HU_alpha+$K$11,0.5*$S$11/HU_alpha,IF((AE81+$L$11)&gt;=$K$11,((AE81+$L$11)-$K$11)-0.5*HU_alpha/$S$11*((AE81+$L$11)-$K$11)^2,IF((AE81+$L$11)&gt;=$T$11,HU_beta*((AE81+$L$11)-$K$11),HU_beta*($T$11-$K$11)))))</f>
        <v/>
      </c>
      <c r="BB81" s="29">
        <f>IF(OR(AZ81=0,$S$11=0),0,IF((AE81+$L$11+$N$11)&gt;$S$11/HU_alpha+$K$11,0.5*$S$11/HU_alpha,IF((AE81+$L$11+$N$11)&gt;=$K$11,((AE81+$L$11+$N$11)-$K$11)-0.5*HU_alpha/$S$11*((AE81+$L$11+$N$11)-$K$11)^2,IF((AE81+$L$11+$N$11)&gt;=$T$11,HU_beta*((AE81+$L$11+$N$11)-$K$11),HU_beta*($T$11-$K$11)))))</f>
        <v/>
      </c>
      <c r="BC81" s="29">
        <f>IF(OR(AZ81=0,$S$11=0),0,IF((AE81+$K$11)&gt;$S$11/HU_alpha+$K$11,0.5*$S$11/HU_alpha,IF((AE81+$K$11)&gt;=$K$11,((AE81+$K$11)-$K$11)-0.5*HU_alpha/$S$11*((AE81+$K$11)-$K$11)^2,IF((AE81+$K$11)&gt;=$T$11,HU_beta*((AE81+$K$11)-$K$11),HU_beta*($T$11-$K$11)))))</f>
        <v/>
      </c>
      <c r="BD81" s="63">
        <f>IF(AND($J$12,A81=$Q$12),J81,0)</f>
        <v/>
      </c>
      <c r="BE81" s="29">
        <f>IF(OR(BD81=0,$S$12=0),0,IF((AE81+$L$12)&gt;$S$12/HU_alpha+$K$12,0.5*$S$12/HU_alpha,IF((AE81+$L$12)&gt;=$K$12,((AE81+$L$12)-$K$12)-0.5*HU_alpha/$S$12*((AE81+$L$12)-$K$12)^2,IF((AE81+$L$12)&gt;=$T$12,HU_beta*((AE81+$L$12)-$K$12),HU_beta*($T$12-$K$12)))))</f>
        <v/>
      </c>
      <c r="BF81" s="29">
        <f>IF(OR(BD81=0,$S$12=0),0,IF((AE81+$L$12+$N$12)&gt;$S$12/HU_alpha+$K$12,0.5*$S$12/HU_alpha,IF((AE81+$L$12+$N$12)&gt;=$K$12,((AE81+$L$12+$N$12)-$K$12)-0.5*HU_alpha/$S$12*((AE81+$L$12+$N$12)-$K$12)^2,IF((AE81+$L$12+$N$12)&gt;=$T$12,HU_beta*((AE81+$L$12+$N$12)-$K$12),HU_beta*($T$12-$K$12)))))</f>
        <v/>
      </c>
      <c r="BG81" s="29">
        <f>IF(OR(BD81=0,$S$12=0),0,IF((AE81+$K$12)&gt;$S$12/HU_alpha+$K$12,0.5*$S$12/HU_alpha,IF((AE81+$K$12)&gt;=$K$12,((AE81+$K$12)-$K$12)-0.5*HU_alpha/$S$12*((AE81+$K$12)-$K$12)^2,IF((AE81+$K$12)&gt;=$T$12,HU_beta*((AE81+$K$12)-$K$12),HU_beta*($T$12-$K$12)))))</f>
        <v/>
      </c>
      <c r="BH81" s="63">
        <f>IF(AND($J$13,A81=$Q$13),J81,0)</f>
        <v/>
      </c>
      <c r="BI81" s="29">
        <f>IF(OR(BH81=0,$S$13=0),0,IF((AE81+$L$13)&gt;$S$13/HU_alpha+$K$13,0.5*$S$13/HU_alpha,IF((AE81+$L$13)&gt;=$K$13,((AE81+$L$13)-$K$13)-0.5*HU_alpha/$S$13*((AE81+$L$13)-$K$13)^2,IF((AE81+$L$13)&gt;=$T$13,HU_beta*((AE81+$L$13)-$K$13),HU_beta*($T$13-$K$13)))))</f>
        <v/>
      </c>
      <c r="BJ81" s="29">
        <f>IF(OR(BH81=0,$S$13=0),0,IF((AE81+$L$13+$N$13)&gt;$S$13/HU_alpha+$K$13,0.5*$S$13/HU_alpha,IF((AE81+$L$13+$N$13)&gt;=$K$13,((AE81+$L$13+$N$13)-$K$13)-0.5*HU_alpha/$S$13*((AE81+$L$13+$N$13)-$K$13)^2,IF((AE81+$L$13+$N$13)&gt;=$T$13,HU_beta*((AE81+$L$13+$N$13)-$K$13),HU_beta*($T$13-$K$13)))))</f>
        <v/>
      </c>
      <c r="BK81" s="29">
        <f>IF(OR(BH81=0,$S$13=0),0,IF((AE81+$K$13)&gt;$S$13/HU_alpha+$K$13,0.5*$S$13/HU_alpha,IF((AE81+$K$13)&gt;=$K$13,((AE81+$K$13)-$K$13)-0.5*HU_alpha/$S$13*((AE81+$K$13)-$K$13)^2,IF((AE81+$K$13)&gt;=$T$13,HU_beta*((AE81+$K$13)-$K$13),HU_beta*($T$13-$K$13)))))</f>
        <v/>
      </c>
    </row>
    <row r="82">
      <c r="A82" s="61" t="n">
        <v>14</v>
      </c>
      <c r="B82" s="61">
        <f>HU_age+A82</f>
        <v/>
      </c>
      <c r="C82" s="52">
        <f>A82&lt;=HU_T</f>
        <v/>
      </c>
      <c r="D82" s="63">
        <f>IF(OR(A82&lt;1,A82&gt;HU_T),0,INDEX(HU_q_mort,HU_age+A82-17,HU_col))</f>
        <v/>
      </c>
      <c r="E82" s="63">
        <f>IF(OR(A82&lt;1,A82&gt;HU_T),0,INDEX(HU_q_adb,HU_age+A82-17,HU_col))</f>
        <v/>
      </c>
      <c r="F82" s="63">
        <f>IF(OR(A82&lt;1,A82&gt;HU_T),0,INDEX(HU_q_morb,HU_age+A82-17,HU_col))</f>
        <v/>
      </c>
      <c r="G82" s="63">
        <f>IF(OR(A82&lt;1,A82&gt;HU_T),0,INDEX(HU_q_ptd,HU_age+A82-17,HU_col))</f>
        <v/>
      </c>
      <c r="H82" s="63">
        <f>IF(OR(A82&lt;1,A82&gt;HU_T),0,INDEX(HU_q_dis,HU_age+A82-17,HU_col))</f>
        <v/>
      </c>
      <c r="I82" s="63">
        <f>IF(A82&gt;HU_T,0,I81*(1-D82)*(1-E82))</f>
        <v/>
      </c>
      <c r="J82" s="63">
        <f>IF(A82&gt;=HU_T,0,N(I83))</f>
        <v/>
      </c>
      <c r="K82" s="63">
        <f>K81*(1-G82)</f>
        <v/>
      </c>
      <c r="L82" s="63">
        <f>1-K82</f>
        <v/>
      </c>
      <c r="M82" s="63">
        <f>K81*G82</f>
        <v/>
      </c>
      <c r="N82" s="63">
        <f>N81*(1-H82)</f>
        <v/>
      </c>
      <c r="O82" s="63">
        <f>1-N81</f>
        <v/>
      </c>
      <c r="P82" s="63">
        <f>P81*(1-F82)</f>
        <v/>
      </c>
      <c r="Q82" s="63">
        <f>1-P81/INDEX($P$68:$P$150,MAX(1,A82-HU_ciYears))</f>
        <v/>
      </c>
      <c r="R82" s="60">
        <f>(1+inflationRate)^A82</f>
        <v/>
      </c>
      <c r="S82" s="29">
        <f>IF(OR(OR(A82&lt;1,A82&gt;HU_T),A82-1&gt;=HU_dtr),0,HU_inc0*(1+incomeGrowthRate)^A82)</f>
        <v/>
      </c>
      <c r="T82" s="60">
        <f>IF(A82&gt;HU_T,T81,T81*(1+INDEX(HU_ssG,HU_age+A82-17)))</f>
        <v/>
      </c>
      <c r="U82" s="29">
        <f>IF(AND(HU_dtr&gt;=1,A82=HU_dtr,A82&lt;=HU_T),MIN(S82*INDEX(HU_ssC,HU_age+A82-17)/(1-INDEX(HU_ssC,HU_age+A82-17)),INDEX(HU_ssCap,HU_age+A82-17))*T82,0)</f>
        <v/>
      </c>
      <c r="V82" s="29">
        <f>S82+U82+IF(AND(HU_wdOn,A82=HU_wdYear),HU_wdIncome,0)</f>
        <v/>
      </c>
      <c r="W82" s="60">
        <f>HU_ciProp*Q82+HU_tpdCut*L82+HU_disCut*O82</f>
        <v/>
      </c>
      <c r="X82" s="29">
        <f>IF(OR(A82&lt;1,A82&gt;HU_T),0,V82*(1-W82))</f>
        <v/>
      </c>
      <c r="Y82" s="29">
        <f>IF(OR(A82&lt;1,A82&gt;HU_T),0,IF(AND(HU_retExp&gt;0,A82-1&gt;=HU_dtr),HU_retExp,HU_exp0)*R82)</f>
        <v/>
      </c>
      <c r="Z82" s="29">
        <f>-Y82-IF(AND(HU_wdOn,A82=HU_wdYear),HU_wdOut,0)</f>
        <v/>
      </c>
      <c r="AA82" s="29">
        <f>IF(OR(A82&lt;1,A82&gt;HU_T),0,-HU_medCost*R82*F82-HU_tpdCost*R82*M82)</f>
        <v/>
      </c>
      <c r="AB82" s="29">
        <f>IF(A82&gt;HU_T,0,AB81*(1+interestRate)+X82+Z82+AA82)</f>
        <v/>
      </c>
      <c r="AC82" s="29">
        <f>IF(A82&gt;HU_T,0,HU_inv*EXP(HU_mu*A82))</f>
        <v/>
      </c>
      <c r="AD82" s="29">
        <f>IF(A82&gt;HU_T,0,MAX(0,AC82+AB82))</f>
        <v/>
      </c>
      <c r="AE82" s="29">
        <f>IF(A82&gt;HU_T,0,MAX(0,X82-Y82))</f>
        <v/>
      </c>
      <c r="AF82" s="63">
        <f>IF(AND($J$6,A82&gt;=1,A82&lt;=$Q$6-1),J82,0)</f>
        <v/>
      </c>
      <c r="AG82" s="29">
        <f>IF(OR(AF82=0,$S$6=0),0,IF((AD82+$L$6)&gt;$S$6/HU_alpha+$K$6,0.5*$S$6/HU_alpha,IF((AD82+$L$6)&gt;=$K$6,((AD82+$L$6)-$K$6)-0.5*HU_alpha/$S$6*((AD82+$L$6)-$K$6)^2,IF((AD82+$L$6)&gt;=$T$6,HU_beta*((AD82+$L$6)-$K$6),HU_beta*($T$6-$K$6)))))</f>
        <v/>
      </c>
      <c r="AH82" s="29">
        <f>IF(OR(AF82=0,$S$6=0),0,IF((AD82+$L$6+$N$6)&gt;$S$6/HU_alpha+$K$6,0.5*$S$6/HU_alpha,IF((AD82+$L$6+$N$6)&gt;=$K$6,((AD82+$L$6+$N$6)-$K$6)-0.5*HU_alpha/$S$6*((AD82+$L$6+$N$6)-$K$6)^2,IF((AD82+$L$6+$N$6)&gt;=$T$6,HU_beta*((AD82+$L$6+$N$6)-$K$6),HU_beta*($T$6-$K$6)))))</f>
        <v/>
      </c>
      <c r="AI82" s="29">
        <f>IF(OR(AF82=0,$S$6=0),0,IF((AD82+$K$6)&gt;$S$6/HU_alpha+$K$6,0.5*$S$6/HU_alpha,IF((AD82+$K$6)&gt;=$K$6,((AD82+$K$6)-$K$6)-0.5*HU_alpha/$S$6*((AD82+$K$6)-$K$6)^2,IF((AD82+$K$6)&gt;=$T$6,HU_beta*((AD82+$K$6)-$K$6),HU_beta*($T$6-$K$6)))))</f>
        <v/>
      </c>
      <c r="AJ82" s="63">
        <f>IF(AND($J$7,A82&gt;=1,A82&lt;=$Q$7-1),J82,0)</f>
        <v/>
      </c>
      <c r="AK82" s="29">
        <f>IF(OR(AJ82=0,$S$7=0),0,IF((AE82+$L$7)&gt;$S$7/HU_alpha+$K$7,0.5*$S$7/HU_alpha,IF((AE82+$L$7)&gt;=$K$7,((AE82+$L$7)-$K$7)-0.5*HU_alpha/$S$7*((AE82+$L$7)-$K$7)^2,IF((AE82+$L$7)&gt;=$T$7,HU_beta*((AE82+$L$7)-$K$7),HU_beta*($T$7-$K$7)))))</f>
        <v/>
      </c>
      <c r="AL82" s="29">
        <f>IF(OR(AJ82=0,$S$7=0),0,IF((AE82+$L$7+$N$7)&gt;$S$7/HU_alpha+$K$7,0.5*$S$7/HU_alpha,IF((AE82+$L$7+$N$7)&gt;=$K$7,((AE82+$L$7+$N$7)-$K$7)-0.5*HU_alpha/$S$7*((AE82+$L$7+$N$7)-$K$7)^2,IF((AE82+$L$7+$N$7)&gt;=$T$7,HU_beta*((AE82+$L$7+$N$7)-$K$7),HU_beta*($T$7-$K$7)))))</f>
        <v/>
      </c>
      <c r="AM82" s="29">
        <f>IF(OR(AJ82=0,$S$7=0),0,IF((AE82+$K$7)&gt;$S$7/HU_alpha+$K$7,0.5*$S$7/HU_alpha,IF((AE82+$K$7)&gt;=$K$7,((AE82+$K$7)-$K$7)-0.5*HU_alpha/$S$7*((AE82+$K$7)-$K$7)^2,IF((AE82+$K$7)&gt;=$T$7,HU_beta*((AE82+$K$7)-$K$7),HU_beta*($T$7-$K$7)))))</f>
        <v/>
      </c>
      <c r="AN82" s="63">
        <f>IF(AND($J$8,A82&gt;=1,A82&lt;=$Q$8-1),J82,0)</f>
        <v/>
      </c>
      <c r="AO82" s="29">
        <f>IF(OR(AN82=0,$S$8=0),0,IF((AE82+$L$8)&gt;$S$8/HU_alpha+$K$8,0.5*$S$8/HU_alpha,IF((AE82+$L$8)&gt;=$K$8,((AE82+$L$8)-$K$8)-0.5*HU_alpha/$S$8*((AE82+$L$8)-$K$8)^2,IF((AE82+$L$8)&gt;=$T$8,HU_beta*((AE82+$L$8)-$K$8),HU_beta*($T$8-$K$8)))))</f>
        <v/>
      </c>
      <c r="AP82" s="29">
        <f>IF(OR(AN82=0,$S$8=0),0,IF((AE82+$L$8+$N$8)&gt;$S$8/HU_alpha+$K$8,0.5*$S$8/HU_alpha,IF((AE82+$L$8+$N$8)&gt;=$K$8,((AE82+$L$8+$N$8)-$K$8)-0.5*HU_alpha/$S$8*((AE82+$L$8+$N$8)-$K$8)^2,IF((AE82+$L$8+$N$8)&gt;=$T$8,HU_beta*((AE82+$L$8+$N$8)-$K$8),HU_beta*($T$8-$K$8)))))</f>
        <v/>
      </c>
      <c r="AQ82" s="29">
        <f>IF(OR(AN82=0,$S$8=0),0,IF((AE82+$K$8)&gt;$S$8/HU_alpha+$K$8,0.5*$S$8/HU_alpha,IF((AE82+$K$8)&gt;=$K$8,((AE82+$K$8)-$K$8)-0.5*HU_alpha/$S$8*((AE82+$K$8)-$K$8)^2,IF((AE82+$K$8)&gt;=$T$8,HU_beta*((AE82+$K$8)-$K$8),HU_beta*($T$8-$K$8)))))</f>
        <v/>
      </c>
      <c r="AR82" s="63">
        <f>IF(AND($J$9,A82&gt;=1,A82&lt;=$Q$9-1),J82,0)</f>
        <v/>
      </c>
      <c r="AS82" s="29">
        <f>IF(OR(AR82=0,$S$9=0),0,IF((AE82+$L$9)&gt;$S$9/HU_alpha+$K$9,0.5*$S$9/HU_alpha,IF((AE82+$L$9)&gt;=$K$9,((AE82+$L$9)-$K$9)-0.5*HU_alpha/$S$9*((AE82+$L$9)-$K$9)^2,IF((AE82+$L$9)&gt;=$T$9,HU_beta*((AE82+$L$9)-$K$9),HU_beta*($T$9-$K$9)))))</f>
        <v/>
      </c>
      <c r="AT82" s="29">
        <f>IF(OR(AR82=0,$S$9=0),0,IF((AE82+$L$9+$N$9)&gt;$S$9/HU_alpha+$K$9,0.5*$S$9/HU_alpha,IF((AE82+$L$9+$N$9)&gt;=$K$9,((AE82+$L$9+$N$9)-$K$9)-0.5*HU_alpha/$S$9*((AE82+$L$9+$N$9)-$K$9)^2,IF((AE82+$L$9+$N$9)&gt;=$T$9,HU_beta*((AE82+$L$9+$N$9)-$K$9),HU_beta*($T$9-$K$9)))))</f>
        <v/>
      </c>
      <c r="AU82" s="29">
        <f>IF(OR(AR82=0,$S$9=0),0,IF((AE82+$K$9)&gt;$S$9/HU_alpha+$K$9,0.5*$S$9/HU_alpha,IF((AE82+$K$9)&gt;=$K$9,((AE82+$K$9)-$K$9)-0.5*HU_alpha/$S$9*((AE82+$K$9)-$K$9)^2,IF((AE82+$K$9)&gt;=$T$9,HU_beta*((AE82+$K$9)-$K$9),HU_beta*($T$9-$K$9)))))</f>
        <v/>
      </c>
      <c r="AV82" s="63">
        <f>IF(AND($J$10,A82=$Q$10),J82,0)</f>
        <v/>
      </c>
      <c r="AW82" s="29">
        <f>IF(OR(AV82=0,$S$10=0),0,IF((AD82+$L$10)&gt;$S$10/HU_alpha+$K$10,0.5*$S$10/HU_alpha,IF((AD82+$L$10)&gt;=$K$10,((AD82+$L$10)-$K$10)-0.5*HU_alpha/$S$10*((AD82+$L$10)-$K$10)^2,IF((AD82+$L$10)&gt;=$T$10,HU_beta*((AD82+$L$10)-$K$10),HU_beta*($T$10-$K$10)))))</f>
        <v/>
      </c>
      <c r="AX82" s="29">
        <f>IF(OR(AV82=0,$S$10=0),0,IF((AD82+$L$10+$N$10)&gt;$S$10/HU_alpha+$K$10,0.5*$S$10/HU_alpha,IF((AD82+$L$10+$N$10)&gt;=$K$10,((AD82+$L$10+$N$10)-$K$10)-0.5*HU_alpha/$S$10*((AD82+$L$10+$N$10)-$K$10)^2,IF((AD82+$L$10+$N$10)&gt;=$T$10,HU_beta*((AD82+$L$10+$N$10)-$K$10),HU_beta*($T$10-$K$10)))))</f>
        <v/>
      </c>
      <c r="AY82" s="29">
        <f>IF(OR(AV82=0,$S$10=0),0,IF((AD82+$K$10)&gt;$S$10/HU_alpha+$K$10,0.5*$S$10/HU_alpha,IF((AD82+$K$10)&gt;=$K$10,((AD82+$K$10)-$K$10)-0.5*HU_alpha/$S$10*((AD82+$K$10)-$K$10)^2,IF((AD82+$K$10)&gt;=$T$10,HU_beta*((AD82+$K$10)-$K$10),HU_beta*($T$10-$K$10)))))</f>
        <v/>
      </c>
      <c r="AZ82" s="63">
        <f>IF(AND($J$11,A82=$Q$11),J82,0)</f>
        <v/>
      </c>
      <c r="BA82" s="29">
        <f>IF(OR(AZ82=0,$S$11=0),0,IF((AE82+$L$11)&gt;$S$11/HU_alpha+$K$11,0.5*$S$11/HU_alpha,IF((AE82+$L$11)&gt;=$K$11,((AE82+$L$11)-$K$11)-0.5*HU_alpha/$S$11*((AE82+$L$11)-$K$11)^2,IF((AE82+$L$11)&gt;=$T$11,HU_beta*((AE82+$L$11)-$K$11),HU_beta*($T$11-$K$11)))))</f>
        <v/>
      </c>
      <c r="BB82" s="29">
        <f>IF(OR(AZ82=0,$S$11=0),0,IF((AE82+$L$11+$N$11)&gt;$S$11/HU_alpha+$K$11,0.5*$S$11/HU_alpha,IF((AE82+$L$11+$N$11)&gt;=$K$11,((AE82+$L$11+$N$11)-$K$11)-0.5*HU_alpha/$S$11*((AE82+$L$11+$N$11)-$K$11)^2,IF((AE82+$L$11+$N$11)&gt;=$T$11,HU_beta*((AE82+$L$11+$N$11)-$K$11),HU_beta*($T$11-$K$11)))))</f>
        <v/>
      </c>
      <c r="BC82" s="29">
        <f>IF(OR(AZ82=0,$S$11=0),0,IF((AE82+$K$11)&gt;$S$11/HU_alpha+$K$11,0.5*$S$11/HU_alpha,IF((AE82+$K$11)&gt;=$K$11,((AE82+$K$11)-$K$11)-0.5*HU_alpha/$S$11*((AE82+$K$11)-$K$11)^2,IF((AE82+$K$11)&gt;=$T$11,HU_beta*((AE82+$K$11)-$K$11),HU_beta*($T$11-$K$11)))))</f>
        <v/>
      </c>
      <c r="BD82" s="63">
        <f>IF(AND($J$12,A82=$Q$12),J82,0)</f>
        <v/>
      </c>
      <c r="BE82" s="29">
        <f>IF(OR(BD82=0,$S$12=0),0,IF((AE82+$L$12)&gt;$S$12/HU_alpha+$K$12,0.5*$S$12/HU_alpha,IF((AE82+$L$12)&gt;=$K$12,((AE82+$L$12)-$K$12)-0.5*HU_alpha/$S$12*((AE82+$L$12)-$K$12)^2,IF((AE82+$L$12)&gt;=$T$12,HU_beta*((AE82+$L$12)-$K$12),HU_beta*($T$12-$K$12)))))</f>
        <v/>
      </c>
      <c r="BF82" s="29">
        <f>IF(OR(BD82=0,$S$12=0),0,IF((AE82+$L$12+$N$12)&gt;$S$12/HU_alpha+$K$12,0.5*$S$12/HU_alpha,IF((AE82+$L$12+$N$12)&gt;=$K$12,((AE82+$L$12+$N$12)-$K$12)-0.5*HU_alpha/$S$12*((AE82+$L$12+$N$12)-$K$12)^2,IF((AE82+$L$12+$N$12)&gt;=$T$12,HU_beta*((AE82+$L$12+$N$12)-$K$12),HU_beta*($T$12-$K$12)))))</f>
        <v/>
      </c>
      <c r="BG82" s="29">
        <f>IF(OR(BD82=0,$S$12=0),0,IF((AE82+$K$12)&gt;$S$12/HU_alpha+$K$12,0.5*$S$12/HU_alpha,IF((AE82+$K$12)&gt;=$K$12,((AE82+$K$12)-$K$12)-0.5*HU_alpha/$S$12*((AE82+$K$12)-$K$12)^2,IF((AE82+$K$12)&gt;=$T$12,HU_beta*((AE82+$K$12)-$K$12),HU_beta*($T$12-$K$12)))))</f>
        <v/>
      </c>
      <c r="BH82" s="63">
        <f>IF(AND($J$13,A82=$Q$13),J82,0)</f>
        <v/>
      </c>
      <c r="BI82" s="29">
        <f>IF(OR(BH82=0,$S$13=0),0,IF((AE82+$L$13)&gt;$S$13/HU_alpha+$K$13,0.5*$S$13/HU_alpha,IF((AE82+$L$13)&gt;=$K$13,((AE82+$L$13)-$K$13)-0.5*HU_alpha/$S$13*((AE82+$L$13)-$K$13)^2,IF((AE82+$L$13)&gt;=$T$13,HU_beta*((AE82+$L$13)-$K$13),HU_beta*($T$13-$K$13)))))</f>
        <v/>
      </c>
      <c r="BJ82" s="29">
        <f>IF(OR(BH82=0,$S$13=0),0,IF((AE82+$L$13+$N$13)&gt;$S$13/HU_alpha+$K$13,0.5*$S$13/HU_alpha,IF((AE82+$L$13+$N$13)&gt;=$K$13,((AE82+$L$13+$N$13)-$K$13)-0.5*HU_alpha/$S$13*((AE82+$L$13+$N$13)-$K$13)^2,IF((AE82+$L$13+$N$13)&gt;=$T$13,HU_beta*((AE82+$L$13+$N$13)-$K$13),HU_beta*($T$13-$K$13)))))</f>
        <v/>
      </c>
      <c r="BK82" s="29">
        <f>IF(OR(BH82=0,$S$13=0),0,IF((AE82+$K$13)&gt;$S$13/HU_alpha+$K$13,0.5*$S$13/HU_alpha,IF((AE82+$K$13)&gt;=$K$13,((AE82+$K$13)-$K$13)-0.5*HU_alpha/$S$13*((AE82+$K$13)-$K$13)^2,IF((AE82+$K$13)&gt;=$T$13,HU_beta*((AE82+$K$13)-$K$13),HU_beta*($T$13-$K$13)))))</f>
        <v/>
      </c>
    </row>
    <row r="83">
      <c r="A83" s="61" t="n">
        <v>15</v>
      </c>
      <c r="B83" s="61">
        <f>HU_age+A83</f>
        <v/>
      </c>
      <c r="C83" s="52">
        <f>A83&lt;=HU_T</f>
        <v/>
      </c>
      <c r="D83" s="63">
        <f>IF(OR(A83&lt;1,A83&gt;HU_T),0,INDEX(HU_q_mort,HU_age+A83-17,HU_col))</f>
        <v/>
      </c>
      <c r="E83" s="63">
        <f>IF(OR(A83&lt;1,A83&gt;HU_T),0,INDEX(HU_q_adb,HU_age+A83-17,HU_col))</f>
        <v/>
      </c>
      <c r="F83" s="63">
        <f>IF(OR(A83&lt;1,A83&gt;HU_T),0,INDEX(HU_q_morb,HU_age+A83-17,HU_col))</f>
        <v/>
      </c>
      <c r="G83" s="63">
        <f>IF(OR(A83&lt;1,A83&gt;HU_T),0,INDEX(HU_q_ptd,HU_age+A83-17,HU_col))</f>
        <v/>
      </c>
      <c r="H83" s="63">
        <f>IF(OR(A83&lt;1,A83&gt;HU_T),0,INDEX(HU_q_dis,HU_age+A83-17,HU_col))</f>
        <v/>
      </c>
      <c r="I83" s="63">
        <f>IF(A83&gt;HU_T,0,I82*(1-D83)*(1-E83))</f>
        <v/>
      </c>
      <c r="J83" s="63">
        <f>IF(A83&gt;=HU_T,0,N(I84))</f>
        <v/>
      </c>
      <c r="K83" s="63">
        <f>K82*(1-G83)</f>
        <v/>
      </c>
      <c r="L83" s="63">
        <f>1-K83</f>
        <v/>
      </c>
      <c r="M83" s="63">
        <f>K82*G83</f>
        <v/>
      </c>
      <c r="N83" s="63">
        <f>N82*(1-H83)</f>
        <v/>
      </c>
      <c r="O83" s="63">
        <f>1-N82</f>
        <v/>
      </c>
      <c r="P83" s="63">
        <f>P82*(1-F83)</f>
        <v/>
      </c>
      <c r="Q83" s="63">
        <f>1-P82/INDEX($P$68:$P$150,MAX(1,A83-HU_ciYears))</f>
        <v/>
      </c>
      <c r="R83" s="60">
        <f>(1+inflationRate)^A83</f>
        <v/>
      </c>
      <c r="S83" s="29">
        <f>IF(OR(OR(A83&lt;1,A83&gt;HU_T),A83-1&gt;=HU_dtr),0,HU_inc0*(1+incomeGrowthRate)^A83)</f>
        <v/>
      </c>
      <c r="T83" s="60">
        <f>IF(A83&gt;HU_T,T82,T82*(1+INDEX(HU_ssG,HU_age+A83-17)))</f>
        <v/>
      </c>
      <c r="U83" s="29">
        <f>IF(AND(HU_dtr&gt;=1,A83=HU_dtr,A83&lt;=HU_T),MIN(S83*INDEX(HU_ssC,HU_age+A83-17)/(1-INDEX(HU_ssC,HU_age+A83-17)),INDEX(HU_ssCap,HU_age+A83-17))*T83,0)</f>
        <v/>
      </c>
      <c r="V83" s="29">
        <f>S83+U83+IF(AND(HU_wdOn,A83=HU_wdYear),HU_wdIncome,0)</f>
        <v/>
      </c>
      <c r="W83" s="60">
        <f>HU_ciProp*Q83+HU_tpdCut*L83+HU_disCut*O83</f>
        <v/>
      </c>
      <c r="X83" s="29">
        <f>IF(OR(A83&lt;1,A83&gt;HU_T),0,V83*(1-W83))</f>
        <v/>
      </c>
      <c r="Y83" s="29">
        <f>IF(OR(A83&lt;1,A83&gt;HU_T),0,IF(AND(HU_retExp&gt;0,A83-1&gt;=HU_dtr),HU_retExp,HU_exp0)*R83)</f>
        <v/>
      </c>
      <c r="Z83" s="29">
        <f>-Y83-IF(AND(HU_wdOn,A83=HU_wdYear),HU_wdOut,0)</f>
        <v/>
      </c>
      <c r="AA83" s="29">
        <f>IF(OR(A83&lt;1,A83&gt;HU_T),0,-HU_medCost*R83*F83-HU_tpdCost*R83*M83)</f>
        <v/>
      </c>
      <c r="AB83" s="29">
        <f>IF(A83&gt;HU_T,0,AB82*(1+interestRate)+X83+Z83+AA83)</f>
        <v/>
      </c>
      <c r="AC83" s="29">
        <f>IF(A83&gt;HU_T,0,HU_inv*EXP(HU_mu*A83))</f>
        <v/>
      </c>
      <c r="AD83" s="29">
        <f>IF(A83&gt;HU_T,0,MAX(0,AC83+AB83))</f>
        <v/>
      </c>
      <c r="AE83" s="29">
        <f>IF(A83&gt;HU_T,0,MAX(0,X83-Y83))</f>
        <v/>
      </c>
      <c r="AF83" s="63">
        <f>IF(AND($J$6,A83&gt;=1,A83&lt;=$Q$6-1),J83,0)</f>
        <v/>
      </c>
      <c r="AG83" s="29">
        <f>IF(OR(AF83=0,$S$6=0),0,IF((AD83+$L$6)&gt;$S$6/HU_alpha+$K$6,0.5*$S$6/HU_alpha,IF((AD83+$L$6)&gt;=$K$6,((AD83+$L$6)-$K$6)-0.5*HU_alpha/$S$6*((AD83+$L$6)-$K$6)^2,IF((AD83+$L$6)&gt;=$T$6,HU_beta*((AD83+$L$6)-$K$6),HU_beta*($T$6-$K$6)))))</f>
        <v/>
      </c>
      <c r="AH83" s="29">
        <f>IF(OR(AF83=0,$S$6=0),0,IF((AD83+$L$6+$N$6)&gt;$S$6/HU_alpha+$K$6,0.5*$S$6/HU_alpha,IF((AD83+$L$6+$N$6)&gt;=$K$6,((AD83+$L$6+$N$6)-$K$6)-0.5*HU_alpha/$S$6*((AD83+$L$6+$N$6)-$K$6)^2,IF((AD83+$L$6+$N$6)&gt;=$T$6,HU_beta*((AD83+$L$6+$N$6)-$K$6),HU_beta*($T$6-$K$6)))))</f>
        <v/>
      </c>
      <c r="AI83" s="29">
        <f>IF(OR(AF83=0,$S$6=0),0,IF((AD83+$K$6)&gt;$S$6/HU_alpha+$K$6,0.5*$S$6/HU_alpha,IF((AD83+$K$6)&gt;=$K$6,((AD83+$K$6)-$K$6)-0.5*HU_alpha/$S$6*((AD83+$K$6)-$K$6)^2,IF((AD83+$K$6)&gt;=$T$6,HU_beta*((AD83+$K$6)-$K$6),HU_beta*($T$6-$K$6)))))</f>
        <v/>
      </c>
      <c r="AJ83" s="63">
        <f>IF(AND($J$7,A83&gt;=1,A83&lt;=$Q$7-1),J83,0)</f>
        <v/>
      </c>
      <c r="AK83" s="29">
        <f>IF(OR(AJ83=0,$S$7=0),0,IF((AE83+$L$7)&gt;$S$7/HU_alpha+$K$7,0.5*$S$7/HU_alpha,IF((AE83+$L$7)&gt;=$K$7,((AE83+$L$7)-$K$7)-0.5*HU_alpha/$S$7*((AE83+$L$7)-$K$7)^2,IF((AE83+$L$7)&gt;=$T$7,HU_beta*((AE83+$L$7)-$K$7),HU_beta*($T$7-$K$7)))))</f>
        <v/>
      </c>
      <c r="AL83" s="29">
        <f>IF(OR(AJ83=0,$S$7=0),0,IF((AE83+$L$7+$N$7)&gt;$S$7/HU_alpha+$K$7,0.5*$S$7/HU_alpha,IF((AE83+$L$7+$N$7)&gt;=$K$7,((AE83+$L$7+$N$7)-$K$7)-0.5*HU_alpha/$S$7*((AE83+$L$7+$N$7)-$K$7)^2,IF((AE83+$L$7+$N$7)&gt;=$T$7,HU_beta*((AE83+$L$7+$N$7)-$K$7),HU_beta*($T$7-$K$7)))))</f>
        <v/>
      </c>
      <c r="AM83" s="29">
        <f>IF(OR(AJ83=0,$S$7=0),0,IF((AE83+$K$7)&gt;$S$7/HU_alpha+$K$7,0.5*$S$7/HU_alpha,IF((AE83+$K$7)&gt;=$K$7,((AE83+$K$7)-$K$7)-0.5*HU_alpha/$S$7*((AE83+$K$7)-$K$7)^2,IF((AE83+$K$7)&gt;=$T$7,HU_beta*((AE83+$K$7)-$K$7),HU_beta*($T$7-$K$7)))))</f>
        <v/>
      </c>
      <c r="AN83" s="63">
        <f>IF(AND($J$8,A83&gt;=1,A83&lt;=$Q$8-1),J83,0)</f>
        <v/>
      </c>
      <c r="AO83" s="29">
        <f>IF(OR(AN83=0,$S$8=0),0,IF((AE83+$L$8)&gt;$S$8/HU_alpha+$K$8,0.5*$S$8/HU_alpha,IF((AE83+$L$8)&gt;=$K$8,((AE83+$L$8)-$K$8)-0.5*HU_alpha/$S$8*((AE83+$L$8)-$K$8)^2,IF((AE83+$L$8)&gt;=$T$8,HU_beta*((AE83+$L$8)-$K$8),HU_beta*($T$8-$K$8)))))</f>
        <v/>
      </c>
      <c r="AP83" s="29">
        <f>IF(OR(AN83=0,$S$8=0),0,IF((AE83+$L$8+$N$8)&gt;$S$8/HU_alpha+$K$8,0.5*$S$8/HU_alpha,IF((AE83+$L$8+$N$8)&gt;=$K$8,((AE83+$L$8+$N$8)-$K$8)-0.5*HU_alpha/$S$8*((AE83+$L$8+$N$8)-$K$8)^2,IF((AE83+$L$8+$N$8)&gt;=$T$8,HU_beta*((AE83+$L$8+$N$8)-$K$8),HU_beta*($T$8-$K$8)))))</f>
        <v/>
      </c>
      <c r="AQ83" s="29">
        <f>IF(OR(AN83=0,$S$8=0),0,IF((AE83+$K$8)&gt;$S$8/HU_alpha+$K$8,0.5*$S$8/HU_alpha,IF((AE83+$K$8)&gt;=$K$8,((AE83+$K$8)-$K$8)-0.5*HU_alpha/$S$8*((AE83+$K$8)-$K$8)^2,IF((AE83+$K$8)&gt;=$T$8,HU_beta*((AE83+$K$8)-$K$8),HU_beta*($T$8-$K$8)))))</f>
        <v/>
      </c>
      <c r="AR83" s="63">
        <f>IF(AND($J$9,A83&gt;=1,A83&lt;=$Q$9-1),J83,0)</f>
        <v/>
      </c>
      <c r="AS83" s="29">
        <f>IF(OR(AR83=0,$S$9=0),0,IF((AE83+$L$9)&gt;$S$9/HU_alpha+$K$9,0.5*$S$9/HU_alpha,IF((AE83+$L$9)&gt;=$K$9,((AE83+$L$9)-$K$9)-0.5*HU_alpha/$S$9*((AE83+$L$9)-$K$9)^2,IF((AE83+$L$9)&gt;=$T$9,HU_beta*((AE83+$L$9)-$K$9),HU_beta*($T$9-$K$9)))))</f>
        <v/>
      </c>
      <c r="AT83" s="29">
        <f>IF(OR(AR83=0,$S$9=0),0,IF((AE83+$L$9+$N$9)&gt;$S$9/HU_alpha+$K$9,0.5*$S$9/HU_alpha,IF((AE83+$L$9+$N$9)&gt;=$K$9,((AE83+$L$9+$N$9)-$K$9)-0.5*HU_alpha/$S$9*((AE83+$L$9+$N$9)-$K$9)^2,IF((AE83+$L$9+$N$9)&gt;=$T$9,HU_beta*((AE83+$L$9+$N$9)-$K$9),HU_beta*($T$9-$K$9)))))</f>
        <v/>
      </c>
      <c r="AU83" s="29">
        <f>IF(OR(AR83=0,$S$9=0),0,IF((AE83+$K$9)&gt;$S$9/HU_alpha+$K$9,0.5*$S$9/HU_alpha,IF((AE83+$K$9)&gt;=$K$9,((AE83+$K$9)-$K$9)-0.5*HU_alpha/$S$9*((AE83+$K$9)-$K$9)^2,IF((AE83+$K$9)&gt;=$T$9,HU_beta*((AE83+$K$9)-$K$9),HU_beta*($T$9-$K$9)))))</f>
        <v/>
      </c>
      <c r="AV83" s="63">
        <f>IF(AND($J$10,A83=$Q$10),J83,0)</f>
        <v/>
      </c>
      <c r="AW83" s="29">
        <f>IF(OR(AV83=0,$S$10=0),0,IF((AD83+$L$10)&gt;$S$10/HU_alpha+$K$10,0.5*$S$10/HU_alpha,IF((AD83+$L$10)&gt;=$K$10,((AD83+$L$10)-$K$10)-0.5*HU_alpha/$S$10*((AD83+$L$10)-$K$10)^2,IF((AD83+$L$10)&gt;=$T$10,HU_beta*((AD83+$L$10)-$K$10),HU_beta*($T$10-$K$10)))))</f>
        <v/>
      </c>
      <c r="AX83" s="29">
        <f>IF(OR(AV83=0,$S$10=0),0,IF((AD83+$L$10+$N$10)&gt;$S$10/HU_alpha+$K$10,0.5*$S$10/HU_alpha,IF((AD83+$L$10+$N$10)&gt;=$K$10,((AD83+$L$10+$N$10)-$K$10)-0.5*HU_alpha/$S$10*((AD83+$L$10+$N$10)-$K$10)^2,IF((AD83+$L$10+$N$10)&gt;=$T$10,HU_beta*((AD83+$L$10+$N$10)-$K$10),HU_beta*($T$10-$K$10)))))</f>
        <v/>
      </c>
      <c r="AY83" s="29">
        <f>IF(OR(AV83=0,$S$10=0),0,IF((AD83+$K$10)&gt;$S$10/HU_alpha+$K$10,0.5*$S$10/HU_alpha,IF((AD83+$K$10)&gt;=$K$10,((AD83+$K$10)-$K$10)-0.5*HU_alpha/$S$10*((AD83+$K$10)-$K$10)^2,IF((AD83+$K$10)&gt;=$T$10,HU_beta*((AD83+$K$10)-$K$10),HU_beta*($T$10-$K$10)))))</f>
        <v/>
      </c>
      <c r="AZ83" s="63">
        <f>IF(AND($J$11,A83=$Q$11),J83,0)</f>
        <v/>
      </c>
      <c r="BA83" s="29">
        <f>IF(OR(AZ83=0,$S$11=0),0,IF((AE83+$L$11)&gt;$S$11/HU_alpha+$K$11,0.5*$S$11/HU_alpha,IF((AE83+$L$11)&gt;=$K$11,((AE83+$L$11)-$K$11)-0.5*HU_alpha/$S$11*((AE83+$L$11)-$K$11)^2,IF((AE83+$L$11)&gt;=$T$11,HU_beta*((AE83+$L$11)-$K$11),HU_beta*($T$11-$K$11)))))</f>
        <v/>
      </c>
      <c r="BB83" s="29">
        <f>IF(OR(AZ83=0,$S$11=0),0,IF((AE83+$L$11+$N$11)&gt;$S$11/HU_alpha+$K$11,0.5*$S$11/HU_alpha,IF((AE83+$L$11+$N$11)&gt;=$K$11,((AE83+$L$11+$N$11)-$K$11)-0.5*HU_alpha/$S$11*((AE83+$L$11+$N$11)-$K$11)^2,IF((AE83+$L$11+$N$11)&gt;=$T$11,HU_beta*((AE83+$L$11+$N$11)-$K$11),HU_beta*($T$11-$K$11)))))</f>
        <v/>
      </c>
      <c r="BC83" s="29">
        <f>IF(OR(AZ83=0,$S$11=0),0,IF((AE83+$K$11)&gt;$S$11/HU_alpha+$K$11,0.5*$S$11/HU_alpha,IF((AE83+$K$11)&gt;=$K$11,((AE83+$K$11)-$K$11)-0.5*HU_alpha/$S$11*((AE83+$K$11)-$K$11)^2,IF((AE83+$K$11)&gt;=$T$11,HU_beta*((AE83+$K$11)-$K$11),HU_beta*($T$11-$K$11)))))</f>
        <v/>
      </c>
      <c r="BD83" s="63">
        <f>IF(AND($J$12,A83=$Q$12),J83,0)</f>
        <v/>
      </c>
      <c r="BE83" s="29">
        <f>IF(OR(BD83=0,$S$12=0),0,IF((AE83+$L$12)&gt;$S$12/HU_alpha+$K$12,0.5*$S$12/HU_alpha,IF((AE83+$L$12)&gt;=$K$12,((AE83+$L$12)-$K$12)-0.5*HU_alpha/$S$12*((AE83+$L$12)-$K$12)^2,IF((AE83+$L$12)&gt;=$T$12,HU_beta*((AE83+$L$12)-$K$12),HU_beta*($T$12-$K$12)))))</f>
        <v/>
      </c>
      <c r="BF83" s="29">
        <f>IF(OR(BD83=0,$S$12=0),0,IF((AE83+$L$12+$N$12)&gt;$S$12/HU_alpha+$K$12,0.5*$S$12/HU_alpha,IF((AE83+$L$12+$N$12)&gt;=$K$12,((AE83+$L$12+$N$12)-$K$12)-0.5*HU_alpha/$S$12*((AE83+$L$12+$N$12)-$K$12)^2,IF((AE83+$L$12+$N$12)&gt;=$T$12,HU_beta*((AE83+$L$12+$N$12)-$K$12),HU_beta*($T$12-$K$12)))))</f>
        <v/>
      </c>
      <c r="BG83" s="29">
        <f>IF(OR(BD83=0,$S$12=0),0,IF((AE83+$K$12)&gt;$S$12/HU_alpha+$K$12,0.5*$S$12/HU_alpha,IF((AE83+$K$12)&gt;=$K$12,((AE83+$K$12)-$K$12)-0.5*HU_alpha/$S$12*((AE83+$K$12)-$K$12)^2,IF((AE83+$K$12)&gt;=$T$12,HU_beta*((AE83+$K$12)-$K$12),HU_beta*($T$12-$K$12)))))</f>
        <v/>
      </c>
      <c r="BH83" s="63">
        <f>IF(AND($J$13,A83=$Q$13),J83,0)</f>
        <v/>
      </c>
      <c r="BI83" s="29">
        <f>IF(OR(BH83=0,$S$13=0),0,IF((AE83+$L$13)&gt;$S$13/HU_alpha+$K$13,0.5*$S$13/HU_alpha,IF((AE83+$L$13)&gt;=$K$13,((AE83+$L$13)-$K$13)-0.5*HU_alpha/$S$13*((AE83+$L$13)-$K$13)^2,IF((AE83+$L$13)&gt;=$T$13,HU_beta*((AE83+$L$13)-$K$13),HU_beta*($T$13-$K$13)))))</f>
        <v/>
      </c>
      <c r="BJ83" s="29">
        <f>IF(OR(BH83=0,$S$13=0),0,IF((AE83+$L$13+$N$13)&gt;$S$13/HU_alpha+$K$13,0.5*$S$13/HU_alpha,IF((AE83+$L$13+$N$13)&gt;=$K$13,((AE83+$L$13+$N$13)-$K$13)-0.5*HU_alpha/$S$13*((AE83+$L$13+$N$13)-$K$13)^2,IF((AE83+$L$13+$N$13)&gt;=$T$13,HU_beta*((AE83+$L$13+$N$13)-$K$13),HU_beta*($T$13-$K$13)))))</f>
        <v/>
      </c>
      <c r="BK83" s="29">
        <f>IF(OR(BH83=0,$S$13=0),0,IF((AE83+$K$13)&gt;$S$13/HU_alpha+$K$13,0.5*$S$13/HU_alpha,IF((AE83+$K$13)&gt;=$K$13,((AE83+$K$13)-$K$13)-0.5*HU_alpha/$S$13*((AE83+$K$13)-$K$13)^2,IF((AE83+$K$13)&gt;=$T$13,HU_beta*((AE83+$K$13)-$K$13),HU_beta*($T$13-$K$13)))))</f>
        <v/>
      </c>
    </row>
    <row r="84">
      <c r="A84" s="61" t="n">
        <v>16</v>
      </c>
      <c r="B84" s="61">
        <f>HU_age+A84</f>
        <v/>
      </c>
      <c r="C84" s="52">
        <f>A84&lt;=HU_T</f>
        <v/>
      </c>
      <c r="D84" s="63">
        <f>IF(OR(A84&lt;1,A84&gt;HU_T),0,INDEX(HU_q_mort,HU_age+A84-17,HU_col))</f>
        <v/>
      </c>
      <c r="E84" s="63">
        <f>IF(OR(A84&lt;1,A84&gt;HU_T),0,INDEX(HU_q_adb,HU_age+A84-17,HU_col))</f>
        <v/>
      </c>
      <c r="F84" s="63">
        <f>IF(OR(A84&lt;1,A84&gt;HU_T),0,INDEX(HU_q_morb,HU_age+A84-17,HU_col))</f>
        <v/>
      </c>
      <c r="G84" s="63">
        <f>IF(OR(A84&lt;1,A84&gt;HU_T),0,INDEX(HU_q_ptd,HU_age+A84-17,HU_col))</f>
        <v/>
      </c>
      <c r="H84" s="63">
        <f>IF(OR(A84&lt;1,A84&gt;HU_T),0,INDEX(HU_q_dis,HU_age+A84-17,HU_col))</f>
        <v/>
      </c>
      <c r="I84" s="63">
        <f>IF(A84&gt;HU_T,0,I83*(1-D84)*(1-E84))</f>
        <v/>
      </c>
      <c r="J84" s="63">
        <f>IF(A84&gt;=HU_T,0,N(I85))</f>
        <v/>
      </c>
      <c r="K84" s="63">
        <f>K83*(1-G84)</f>
        <v/>
      </c>
      <c r="L84" s="63">
        <f>1-K84</f>
        <v/>
      </c>
      <c r="M84" s="63">
        <f>K83*G84</f>
        <v/>
      </c>
      <c r="N84" s="63">
        <f>N83*(1-H84)</f>
        <v/>
      </c>
      <c r="O84" s="63">
        <f>1-N83</f>
        <v/>
      </c>
      <c r="P84" s="63">
        <f>P83*(1-F84)</f>
        <v/>
      </c>
      <c r="Q84" s="63">
        <f>1-P83/INDEX($P$68:$P$150,MAX(1,A84-HU_ciYears))</f>
        <v/>
      </c>
      <c r="R84" s="60">
        <f>(1+inflationRate)^A84</f>
        <v/>
      </c>
      <c r="S84" s="29">
        <f>IF(OR(OR(A84&lt;1,A84&gt;HU_T),A84-1&gt;=HU_dtr),0,HU_inc0*(1+incomeGrowthRate)^A84)</f>
        <v/>
      </c>
      <c r="T84" s="60">
        <f>IF(A84&gt;HU_T,T83,T83*(1+INDEX(HU_ssG,HU_age+A84-17)))</f>
        <v/>
      </c>
      <c r="U84" s="29">
        <f>IF(AND(HU_dtr&gt;=1,A84=HU_dtr,A84&lt;=HU_T),MIN(S84*INDEX(HU_ssC,HU_age+A84-17)/(1-INDEX(HU_ssC,HU_age+A84-17)),INDEX(HU_ssCap,HU_age+A84-17))*T84,0)</f>
        <v/>
      </c>
      <c r="V84" s="29">
        <f>S84+U84+IF(AND(HU_wdOn,A84=HU_wdYear),HU_wdIncome,0)</f>
        <v/>
      </c>
      <c r="W84" s="60">
        <f>HU_ciProp*Q84+HU_tpdCut*L84+HU_disCut*O84</f>
        <v/>
      </c>
      <c r="X84" s="29">
        <f>IF(OR(A84&lt;1,A84&gt;HU_T),0,V84*(1-W84))</f>
        <v/>
      </c>
      <c r="Y84" s="29">
        <f>IF(OR(A84&lt;1,A84&gt;HU_T),0,IF(AND(HU_retExp&gt;0,A84-1&gt;=HU_dtr),HU_retExp,HU_exp0)*R84)</f>
        <v/>
      </c>
      <c r="Z84" s="29">
        <f>-Y84-IF(AND(HU_wdOn,A84=HU_wdYear),HU_wdOut,0)</f>
        <v/>
      </c>
      <c r="AA84" s="29">
        <f>IF(OR(A84&lt;1,A84&gt;HU_T),0,-HU_medCost*R84*F84-HU_tpdCost*R84*M84)</f>
        <v/>
      </c>
      <c r="AB84" s="29">
        <f>IF(A84&gt;HU_T,0,AB83*(1+interestRate)+X84+Z84+AA84)</f>
        <v/>
      </c>
      <c r="AC84" s="29">
        <f>IF(A84&gt;HU_T,0,HU_inv*EXP(HU_mu*A84))</f>
        <v/>
      </c>
      <c r="AD84" s="29">
        <f>IF(A84&gt;HU_T,0,MAX(0,AC84+AB84))</f>
        <v/>
      </c>
      <c r="AE84" s="29">
        <f>IF(A84&gt;HU_T,0,MAX(0,X84-Y84))</f>
        <v/>
      </c>
      <c r="AF84" s="63">
        <f>IF(AND($J$6,A84&gt;=1,A84&lt;=$Q$6-1),J84,0)</f>
        <v/>
      </c>
      <c r="AG84" s="29">
        <f>IF(OR(AF84=0,$S$6=0),0,IF((AD84+$L$6)&gt;$S$6/HU_alpha+$K$6,0.5*$S$6/HU_alpha,IF((AD84+$L$6)&gt;=$K$6,((AD84+$L$6)-$K$6)-0.5*HU_alpha/$S$6*((AD84+$L$6)-$K$6)^2,IF((AD84+$L$6)&gt;=$T$6,HU_beta*((AD84+$L$6)-$K$6),HU_beta*($T$6-$K$6)))))</f>
        <v/>
      </c>
      <c r="AH84" s="29">
        <f>IF(OR(AF84=0,$S$6=0),0,IF((AD84+$L$6+$N$6)&gt;$S$6/HU_alpha+$K$6,0.5*$S$6/HU_alpha,IF((AD84+$L$6+$N$6)&gt;=$K$6,((AD84+$L$6+$N$6)-$K$6)-0.5*HU_alpha/$S$6*((AD84+$L$6+$N$6)-$K$6)^2,IF((AD84+$L$6+$N$6)&gt;=$T$6,HU_beta*((AD84+$L$6+$N$6)-$K$6),HU_beta*($T$6-$K$6)))))</f>
        <v/>
      </c>
      <c r="AI84" s="29">
        <f>IF(OR(AF84=0,$S$6=0),0,IF((AD84+$K$6)&gt;$S$6/HU_alpha+$K$6,0.5*$S$6/HU_alpha,IF((AD84+$K$6)&gt;=$K$6,((AD84+$K$6)-$K$6)-0.5*HU_alpha/$S$6*((AD84+$K$6)-$K$6)^2,IF((AD84+$K$6)&gt;=$T$6,HU_beta*((AD84+$K$6)-$K$6),HU_beta*($T$6-$K$6)))))</f>
        <v/>
      </c>
      <c r="AJ84" s="63">
        <f>IF(AND($J$7,A84&gt;=1,A84&lt;=$Q$7-1),J84,0)</f>
        <v/>
      </c>
      <c r="AK84" s="29">
        <f>IF(OR(AJ84=0,$S$7=0),0,IF((AE84+$L$7)&gt;$S$7/HU_alpha+$K$7,0.5*$S$7/HU_alpha,IF((AE84+$L$7)&gt;=$K$7,((AE84+$L$7)-$K$7)-0.5*HU_alpha/$S$7*((AE84+$L$7)-$K$7)^2,IF((AE84+$L$7)&gt;=$T$7,HU_beta*((AE84+$L$7)-$K$7),HU_beta*($T$7-$K$7)))))</f>
        <v/>
      </c>
      <c r="AL84" s="29">
        <f>IF(OR(AJ84=0,$S$7=0),0,IF((AE84+$L$7+$N$7)&gt;$S$7/HU_alpha+$K$7,0.5*$S$7/HU_alpha,IF((AE84+$L$7+$N$7)&gt;=$K$7,((AE84+$L$7+$N$7)-$K$7)-0.5*HU_alpha/$S$7*((AE84+$L$7+$N$7)-$K$7)^2,IF((AE84+$L$7+$N$7)&gt;=$T$7,HU_beta*((AE84+$L$7+$N$7)-$K$7),HU_beta*($T$7-$K$7)))))</f>
        <v/>
      </c>
      <c r="AM84" s="29">
        <f>IF(OR(AJ84=0,$S$7=0),0,IF((AE84+$K$7)&gt;$S$7/HU_alpha+$K$7,0.5*$S$7/HU_alpha,IF((AE84+$K$7)&gt;=$K$7,((AE84+$K$7)-$K$7)-0.5*HU_alpha/$S$7*((AE84+$K$7)-$K$7)^2,IF((AE84+$K$7)&gt;=$T$7,HU_beta*((AE84+$K$7)-$K$7),HU_beta*($T$7-$K$7)))))</f>
        <v/>
      </c>
      <c r="AN84" s="63">
        <f>IF(AND($J$8,A84&gt;=1,A84&lt;=$Q$8-1),J84,0)</f>
        <v/>
      </c>
      <c r="AO84" s="29">
        <f>IF(OR(AN84=0,$S$8=0),0,IF((AE84+$L$8)&gt;$S$8/HU_alpha+$K$8,0.5*$S$8/HU_alpha,IF((AE84+$L$8)&gt;=$K$8,((AE84+$L$8)-$K$8)-0.5*HU_alpha/$S$8*((AE84+$L$8)-$K$8)^2,IF((AE84+$L$8)&gt;=$T$8,HU_beta*((AE84+$L$8)-$K$8),HU_beta*($T$8-$K$8)))))</f>
        <v/>
      </c>
      <c r="AP84" s="29">
        <f>IF(OR(AN84=0,$S$8=0),0,IF((AE84+$L$8+$N$8)&gt;$S$8/HU_alpha+$K$8,0.5*$S$8/HU_alpha,IF((AE84+$L$8+$N$8)&gt;=$K$8,((AE84+$L$8+$N$8)-$K$8)-0.5*HU_alpha/$S$8*((AE84+$L$8+$N$8)-$K$8)^2,IF((AE84+$L$8+$N$8)&gt;=$T$8,HU_beta*((AE84+$L$8+$N$8)-$K$8),HU_beta*($T$8-$K$8)))))</f>
        <v/>
      </c>
      <c r="AQ84" s="29">
        <f>IF(OR(AN84=0,$S$8=0),0,IF((AE84+$K$8)&gt;$S$8/HU_alpha+$K$8,0.5*$S$8/HU_alpha,IF((AE84+$K$8)&gt;=$K$8,((AE84+$K$8)-$K$8)-0.5*HU_alpha/$S$8*((AE84+$K$8)-$K$8)^2,IF((AE84+$K$8)&gt;=$T$8,HU_beta*((AE84+$K$8)-$K$8),HU_beta*($T$8-$K$8)))))</f>
        <v/>
      </c>
      <c r="AR84" s="63">
        <f>IF(AND($J$9,A84&gt;=1,A84&lt;=$Q$9-1),J84,0)</f>
        <v/>
      </c>
      <c r="AS84" s="29">
        <f>IF(OR(AR84=0,$S$9=0),0,IF((AE84+$L$9)&gt;$S$9/HU_alpha+$K$9,0.5*$S$9/HU_alpha,IF((AE84+$L$9)&gt;=$K$9,((AE84+$L$9)-$K$9)-0.5*HU_alpha/$S$9*((AE84+$L$9)-$K$9)^2,IF((AE84+$L$9)&gt;=$T$9,HU_beta*((AE84+$L$9)-$K$9),HU_beta*($T$9-$K$9)))))</f>
        <v/>
      </c>
      <c r="AT84" s="29">
        <f>IF(OR(AR84=0,$S$9=0),0,IF((AE84+$L$9+$N$9)&gt;$S$9/HU_alpha+$K$9,0.5*$S$9/HU_alpha,IF((AE84+$L$9+$N$9)&gt;=$K$9,((AE84+$L$9+$N$9)-$K$9)-0.5*HU_alpha/$S$9*((AE84+$L$9+$N$9)-$K$9)^2,IF((AE84+$L$9+$N$9)&gt;=$T$9,HU_beta*((AE84+$L$9+$N$9)-$K$9),HU_beta*($T$9-$K$9)))))</f>
        <v/>
      </c>
      <c r="AU84" s="29">
        <f>IF(OR(AR84=0,$S$9=0),0,IF((AE84+$K$9)&gt;$S$9/HU_alpha+$K$9,0.5*$S$9/HU_alpha,IF((AE84+$K$9)&gt;=$K$9,((AE84+$K$9)-$K$9)-0.5*HU_alpha/$S$9*((AE84+$K$9)-$K$9)^2,IF((AE84+$K$9)&gt;=$T$9,HU_beta*((AE84+$K$9)-$K$9),HU_beta*($T$9-$K$9)))))</f>
        <v/>
      </c>
      <c r="AV84" s="63">
        <f>IF(AND($J$10,A84=$Q$10),J84,0)</f>
        <v/>
      </c>
      <c r="AW84" s="29">
        <f>IF(OR(AV84=0,$S$10=0),0,IF((AD84+$L$10)&gt;$S$10/HU_alpha+$K$10,0.5*$S$10/HU_alpha,IF((AD84+$L$10)&gt;=$K$10,((AD84+$L$10)-$K$10)-0.5*HU_alpha/$S$10*((AD84+$L$10)-$K$10)^2,IF((AD84+$L$10)&gt;=$T$10,HU_beta*((AD84+$L$10)-$K$10),HU_beta*($T$10-$K$10)))))</f>
        <v/>
      </c>
      <c r="AX84" s="29">
        <f>IF(OR(AV84=0,$S$10=0),0,IF((AD84+$L$10+$N$10)&gt;$S$10/HU_alpha+$K$10,0.5*$S$10/HU_alpha,IF((AD84+$L$10+$N$10)&gt;=$K$10,((AD84+$L$10+$N$10)-$K$10)-0.5*HU_alpha/$S$10*((AD84+$L$10+$N$10)-$K$10)^2,IF((AD84+$L$10+$N$10)&gt;=$T$10,HU_beta*((AD84+$L$10+$N$10)-$K$10),HU_beta*($T$10-$K$10)))))</f>
        <v/>
      </c>
      <c r="AY84" s="29">
        <f>IF(OR(AV84=0,$S$10=0),0,IF((AD84+$K$10)&gt;$S$10/HU_alpha+$K$10,0.5*$S$10/HU_alpha,IF((AD84+$K$10)&gt;=$K$10,((AD84+$K$10)-$K$10)-0.5*HU_alpha/$S$10*((AD84+$K$10)-$K$10)^2,IF((AD84+$K$10)&gt;=$T$10,HU_beta*((AD84+$K$10)-$K$10),HU_beta*($T$10-$K$10)))))</f>
        <v/>
      </c>
      <c r="AZ84" s="63">
        <f>IF(AND($J$11,A84=$Q$11),J84,0)</f>
        <v/>
      </c>
      <c r="BA84" s="29">
        <f>IF(OR(AZ84=0,$S$11=0),0,IF((AE84+$L$11)&gt;$S$11/HU_alpha+$K$11,0.5*$S$11/HU_alpha,IF((AE84+$L$11)&gt;=$K$11,((AE84+$L$11)-$K$11)-0.5*HU_alpha/$S$11*((AE84+$L$11)-$K$11)^2,IF((AE84+$L$11)&gt;=$T$11,HU_beta*((AE84+$L$11)-$K$11),HU_beta*($T$11-$K$11)))))</f>
        <v/>
      </c>
      <c r="BB84" s="29">
        <f>IF(OR(AZ84=0,$S$11=0),0,IF((AE84+$L$11+$N$11)&gt;$S$11/HU_alpha+$K$11,0.5*$S$11/HU_alpha,IF((AE84+$L$11+$N$11)&gt;=$K$11,((AE84+$L$11+$N$11)-$K$11)-0.5*HU_alpha/$S$11*((AE84+$L$11+$N$11)-$K$11)^2,IF((AE84+$L$11+$N$11)&gt;=$T$11,HU_beta*((AE84+$L$11+$N$11)-$K$11),HU_beta*($T$11-$K$11)))))</f>
        <v/>
      </c>
      <c r="BC84" s="29">
        <f>IF(OR(AZ84=0,$S$11=0),0,IF((AE84+$K$11)&gt;$S$11/HU_alpha+$K$11,0.5*$S$11/HU_alpha,IF((AE84+$K$11)&gt;=$K$11,((AE84+$K$11)-$K$11)-0.5*HU_alpha/$S$11*((AE84+$K$11)-$K$11)^2,IF((AE84+$K$11)&gt;=$T$11,HU_beta*((AE84+$K$11)-$K$11),HU_beta*($T$11-$K$11)))))</f>
        <v/>
      </c>
      <c r="BD84" s="63">
        <f>IF(AND($J$12,A84=$Q$12),J84,0)</f>
        <v/>
      </c>
      <c r="BE84" s="29">
        <f>IF(OR(BD84=0,$S$12=0),0,IF((AE84+$L$12)&gt;$S$12/HU_alpha+$K$12,0.5*$S$12/HU_alpha,IF((AE84+$L$12)&gt;=$K$12,((AE84+$L$12)-$K$12)-0.5*HU_alpha/$S$12*((AE84+$L$12)-$K$12)^2,IF((AE84+$L$12)&gt;=$T$12,HU_beta*((AE84+$L$12)-$K$12),HU_beta*($T$12-$K$12)))))</f>
        <v/>
      </c>
      <c r="BF84" s="29">
        <f>IF(OR(BD84=0,$S$12=0),0,IF((AE84+$L$12+$N$12)&gt;$S$12/HU_alpha+$K$12,0.5*$S$12/HU_alpha,IF((AE84+$L$12+$N$12)&gt;=$K$12,((AE84+$L$12+$N$12)-$K$12)-0.5*HU_alpha/$S$12*((AE84+$L$12+$N$12)-$K$12)^2,IF((AE84+$L$12+$N$12)&gt;=$T$12,HU_beta*((AE84+$L$12+$N$12)-$K$12),HU_beta*($T$12-$K$12)))))</f>
        <v/>
      </c>
      <c r="BG84" s="29">
        <f>IF(OR(BD84=0,$S$12=0),0,IF((AE84+$K$12)&gt;$S$12/HU_alpha+$K$12,0.5*$S$12/HU_alpha,IF((AE84+$K$12)&gt;=$K$12,((AE84+$K$12)-$K$12)-0.5*HU_alpha/$S$12*((AE84+$K$12)-$K$12)^2,IF((AE84+$K$12)&gt;=$T$12,HU_beta*((AE84+$K$12)-$K$12),HU_beta*($T$12-$K$12)))))</f>
        <v/>
      </c>
      <c r="BH84" s="63">
        <f>IF(AND($J$13,A84=$Q$13),J84,0)</f>
        <v/>
      </c>
      <c r="BI84" s="29">
        <f>IF(OR(BH84=0,$S$13=0),0,IF((AE84+$L$13)&gt;$S$13/HU_alpha+$K$13,0.5*$S$13/HU_alpha,IF((AE84+$L$13)&gt;=$K$13,((AE84+$L$13)-$K$13)-0.5*HU_alpha/$S$13*((AE84+$L$13)-$K$13)^2,IF((AE84+$L$13)&gt;=$T$13,HU_beta*((AE84+$L$13)-$K$13),HU_beta*($T$13-$K$13)))))</f>
        <v/>
      </c>
      <c r="BJ84" s="29">
        <f>IF(OR(BH84=0,$S$13=0),0,IF((AE84+$L$13+$N$13)&gt;$S$13/HU_alpha+$K$13,0.5*$S$13/HU_alpha,IF((AE84+$L$13+$N$13)&gt;=$K$13,((AE84+$L$13+$N$13)-$K$13)-0.5*HU_alpha/$S$13*((AE84+$L$13+$N$13)-$K$13)^2,IF((AE84+$L$13+$N$13)&gt;=$T$13,HU_beta*((AE84+$L$13+$N$13)-$K$13),HU_beta*($T$13-$K$13)))))</f>
        <v/>
      </c>
      <c r="BK84" s="29">
        <f>IF(OR(BH84=0,$S$13=0),0,IF((AE84+$K$13)&gt;$S$13/HU_alpha+$K$13,0.5*$S$13/HU_alpha,IF((AE84+$K$13)&gt;=$K$13,((AE84+$K$13)-$K$13)-0.5*HU_alpha/$S$13*((AE84+$K$13)-$K$13)^2,IF((AE84+$K$13)&gt;=$T$13,HU_beta*((AE84+$K$13)-$K$13),HU_beta*($T$13-$K$13)))))</f>
        <v/>
      </c>
    </row>
    <row r="85">
      <c r="A85" s="61" t="n">
        <v>17</v>
      </c>
      <c r="B85" s="61">
        <f>HU_age+A85</f>
        <v/>
      </c>
      <c r="C85" s="52">
        <f>A85&lt;=HU_T</f>
        <v/>
      </c>
      <c r="D85" s="63">
        <f>IF(OR(A85&lt;1,A85&gt;HU_T),0,INDEX(HU_q_mort,HU_age+A85-17,HU_col))</f>
        <v/>
      </c>
      <c r="E85" s="63">
        <f>IF(OR(A85&lt;1,A85&gt;HU_T),0,INDEX(HU_q_adb,HU_age+A85-17,HU_col))</f>
        <v/>
      </c>
      <c r="F85" s="63">
        <f>IF(OR(A85&lt;1,A85&gt;HU_T),0,INDEX(HU_q_morb,HU_age+A85-17,HU_col))</f>
        <v/>
      </c>
      <c r="G85" s="63">
        <f>IF(OR(A85&lt;1,A85&gt;HU_T),0,INDEX(HU_q_ptd,HU_age+A85-17,HU_col))</f>
        <v/>
      </c>
      <c r="H85" s="63">
        <f>IF(OR(A85&lt;1,A85&gt;HU_T),0,INDEX(HU_q_dis,HU_age+A85-17,HU_col))</f>
        <v/>
      </c>
      <c r="I85" s="63">
        <f>IF(A85&gt;HU_T,0,I84*(1-D85)*(1-E85))</f>
        <v/>
      </c>
      <c r="J85" s="63">
        <f>IF(A85&gt;=HU_T,0,N(I86))</f>
        <v/>
      </c>
      <c r="K85" s="63">
        <f>K84*(1-G85)</f>
        <v/>
      </c>
      <c r="L85" s="63">
        <f>1-K85</f>
        <v/>
      </c>
      <c r="M85" s="63">
        <f>K84*G85</f>
        <v/>
      </c>
      <c r="N85" s="63">
        <f>N84*(1-H85)</f>
        <v/>
      </c>
      <c r="O85" s="63">
        <f>1-N84</f>
        <v/>
      </c>
      <c r="P85" s="63">
        <f>P84*(1-F85)</f>
        <v/>
      </c>
      <c r="Q85" s="63">
        <f>1-P84/INDEX($P$68:$P$150,MAX(1,A85-HU_ciYears))</f>
        <v/>
      </c>
      <c r="R85" s="60">
        <f>(1+inflationRate)^A85</f>
        <v/>
      </c>
      <c r="S85" s="29">
        <f>IF(OR(OR(A85&lt;1,A85&gt;HU_T),A85-1&gt;=HU_dtr),0,HU_inc0*(1+incomeGrowthRate)^A85)</f>
        <v/>
      </c>
      <c r="T85" s="60">
        <f>IF(A85&gt;HU_T,T84,T84*(1+INDEX(HU_ssG,HU_age+A85-17)))</f>
        <v/>
      </c>
      <c r="U85" s="29">
        <f>IF(AND(HU_dtr&gt;=1,A85=HU_dtr,A85&lt;=HU_T),MIN(S85*INDEX(HU_ssC,HU_age+A85-17)/(1-INDEX(HU_ssC,HU_age+A85-17)),INDEX(HU_ssCap,HU_age+A85-17))*T85,0)</f>
        <v/>
      </c>
      <c r="V85" s="29">
        <f>S85+U85+IF(AND(HU_wdOn,A85=HU_wdYear),HU_wdIncome,0)</f>
        <v/>
      </c>
      <c r="W85" s="60">
        <f>HU_ciProp*Q85+HU_tpdCut*L85+HU_disCut*O85</f>
        <v/>
      </c>
      <c r="X85" s="29">
        <f>IF(OR(A85&lt;1,A85&gt;HU_T),0,V85*(1-W85))</f>
        <v/>
      </c>
      <c r="Y85" s="29">
        <f>IF(OR(A85&lt;1,A85&gt;HU_T),0,IF(AND(HU_retExp&gt;0,A85-1&gt;=HU_dtr),HU_retExp,HU_exp0)*R85)</f>
        <v/>
      </c>
      <c r="Z85" s="29">
        <f>-Y85-IF(AND(HU_wdOn,A85=HU_wdYear),HU_wdOut,0)</f>
        <v/>
      </c>
      <c r="AA85" s="29">
        <f>IF(OR(A85&lt;1,A85&gt;HU_T),0,-HU_medCost*R85*F85-HU_tpdCost*R85*M85)</f>
        <v/>
      </c>
      <c r="AB85" s="29">
        <f>IF(A85&gt;HU_T,0,AB84*(1+interestRate)+X85+Z85+AA85)</f>
        <v/>
      </c>
      <c r="AC85" s="29">
        <f>IF(A85&gt;HU_T,0,HU_inv*EXP(HU_mu*A85))</f>
        <v/>
      </c>
      <c r="AD85" s="29">
        <f>IF(A85&gt;HU_T,0,MAX(0,AC85+AB85))</f>
        <v/>
      </c>
      <c r="AE85" s="29">
        <f>IF(A85&gt;HU_T,0,MAX(0,X85-Y85))</f>
        <v/>
      </c>
      <c r="AF85" s="63">
        <f>IF(AND($J$6,A85&gt;=1,A85&lt;=$Q$6-1),J85,0)</f>
        <v/>
      </c>
      <c r="AG85" s="29">
        <f>IF(OR(AF85=0,$S$6=0),0,IF((AD85+$L$6)&gt;$S$6/HU_alpha+$K$6,0.5*$S$6/HU_alpha,IF((AD85+$L$6)&gt;=$K$6,((AD85+$L$6)-$K$6)-0.5*HU_alpha/$S$6*((AD85+$L$6)-$K$6)^2,IF((AD85+$L$6)&gt;=$T$6,HU_beta*((AD85+$L$6)-$K$6),HU_beta*($T$6-$K$6)))))</f>
        <v/>
      </c>
      <c r="AH85" s="29">
        <f>IF(OR(AF85=0,$S$6=0),0,IF((AD85+$L$6+$N$6)&gt;$S$6/HU_alpha+$K$6,0.5*$S$6/HU_alpha,IF((AD85+$L$6+$N$6)&gt;=$K$6,((AD85+$L$6+$N$6)-$K$6)-0.5*HU_alpha/$S$6*((AD85+$L$6+$N$6)-$K$6)^2,IF((AD85+$L$6+$N$6)&gt;=$T$6,HU_beta*((AD85+$L$6+$N$6)-$K$6),HU_beta*($T$6-$K$6)))))</f>
        <v/>
      </c>
      <c r="AI85" s="29">
        <f>IF(OR(AF85=0,$S$6=0),0,IF((AD85+$K$6)&gt;$S$6/HU_alpha+$K$6,0.5*$S$6/HU_alpha,IF((AD85+$K$6)&gt;=$K$6,((AD85+$K$6)-$K$6)-0.5*HU_alpha/$S$6*((AD85+$K$6)-$K$6)^2,IF((AD85+$K$6)&gt;=$T$6,HU_beta*((AD85+$K$6)-$K$6),HU_beta*($T$6-$K$6)))))</f>
        <v/>
      </c>
      <c r="AJ85" s="63">
        <f>IF(AND($J$7,A85&gt;=1,A85&lt;=$Q$7-1),J85,0)</f>
        <v/>
      </c>
      <c r="AK85" s="29">
        <f>IF(OR(AJ85=0,$S$7=0),0,IF((AE85+$L$7)&gt;$S$7/HU_alpha+$K$7,0.5*$S$7/HU_alpha,IF((AE85+$L$7)&gt;=$K$7,((AE85+$L$7)-$K$7)-0.5*HU_alpha/$S$7*((AE85+$L$7)-$K$7)^2,IF((AE85+$L$7)&gt;=$T$7,HU_beta*((AE85+$L$7)-$K$7),HU_beta*($T$7-$K$7)))))</f>
        <v/>
      </c>
      <c r="AL85" s="29">
        <f>IF(OR(AJ85=0,$S$7=0),0,IF((AE85+$L$7+$N$7)&gt;$S$7/HU_alpha+$K$7,0.5*$S$7/HU_alpha,IF((AE85+$L$7+$N$7)&gt;=$K$7,((AE85+$L$7+$N$7)-$K$7)-0.5*HU_alpha/$S$7*((AE85+$L$7+$N$7)-$K$7)^2,IF((AE85+$L$7+$N$7)&gt;=$T$7,HU_beta*((AE85+$L$7+$N$7)-$K$7),HU_beta*($T$7-$K$7)))))</f>
        <v/>
      </c>
      <c r="AM85" s="29">
        <f>IF(OR(AJ85=0,$S$7=0),0,IF((AE85+$K$7)&gt;$S$7/HU_alpha+$K$7,0.5*$S$7/HU_alpha,IF((AE85+$K$7)&gt;=$K$7,((AE85+$K$7)-$K$7)-0.5*HU_alpha/$S$7*((AE85+$K$7)-$K$7)^2,IF((AE85+$K$7)&gt;=$T$7,HU_beta*((AE85+$K$7)-$K$7),HU_beta*($T$7-$K$7)))))</f>
        <v/>
      </c>
      <c r="AN85" s="63">
        <f>IF(AND($J$8,A85&gt;=1,A85&lt;=$Q$8-1),J85,0)</f>
        <v/>
      </c>
      <c r="AO85" s="29">
        <f>IF(OR(AN85=0,$S$8=0),0,IF((AE85+$L$8)&gt;$S$8/HU_alpha+$K$8,0.5*$S$8/HU_alpha,IF((AE85+$L$8)&gt;=$K$8,((AE85+$L$8)-$K$8)-0.5*HU_alpha/$S$8*((AE85+$L$8)-$K$8)^2,IF((AE85+$L$8)&gt;=$T$8,HU_beta*((AE85+$L$8)-$K$8),HU_beta*($T$8-$K$8)))))</f>
        <v/>
      </c>
      <c r="AP85" s="29">
        <f>IF(OR(AN85=0,$S$8=0),0,IF((AE85+$L$8+$N$8)&gt;$S$8/HU_alpha+$K$8,0.5*$S$8/HU_alpha,IF((AE85+$L$8+$N$8)&gt;=$K$8,((AE85+$L$8+$N$8)-$K$8)-0.5*HU_alpha/$S$8*((AE85+$L$8+$N$8)-$K$8)^2,IF((AE85+$L$8+$N$8)&gt;=$T$8,HU_beta*((AE85+$L$8+$N$8)-$K$8),HU_beta*($T$8-$K$8)))))</f>
        <v/>
      </c>
      <c r="AQ85" s="29">
        <f>IF(OR(AN85=0,$S$8=0),0,IF((AE85+$K$8)&gt;$S$8/HU_alpha+$K$8,0.5*$S$8/HU_alpha,IF((AE85+$K$8)&gt;=$K$8,((AE85+$K$8)-$K$8)-0.5*HU_alpha/$S$8*((AE85+$K$8)-$K$8)^2,IF((AE85+$K$8)&gt;=$T$8,HU_beta*((AE85+$K$8)-$K$8),HU_beta*($T$8-$K$8)))))</f>
        <v/>
      </c>
      <c r="AR85" s="63">
        <f>IF(AND($J$9,A85&gt;=1,A85&lt;=$Q$9-1),J85,0)</f>
        <v/>
      </c>
      <c r="AS85" s="29">
        <f>IF(OR(AR85=0,$S$9=0),0,IF((AE85+$L$9)&gt;$S$9/HU_alpha+$K$9,0.5*$S$9/HU_alpha,IF((AE85+$L$9)&gt;=$K$9,((AE85+$L$9)-$K$9)-0.5*HU_alpha/$S$9*((AE85+$L$9)-$K$9)^2,IF((AE85+$L$9)&gt;=$T$9,HU_beta*((AE85+$L$9)-$K$9),HU_beta*($T$9-$K$9)))))</f>
        <v/>
      </c>
      <c r="AT85" s="29">
        <f>IF(OR(AR85=0,$S$9=0),0,IF((AE85+$L$9+$N$9)&gt;$S$9/HU_alpha+$K$9,0.5*$S$9/HU_alpha,IF((AE85+$L$9+$N$9)&gt;=$K$9,((AE85+$L$9+$N$9)-$K$9)-0.5*HU_alpha/$S$9*((AE85+$L$9+$N$9)-$K$9)^2,IF((AE85+$L$9+$N$9)&gt;=$T$9,HU_beta*((AE85+$L$9+$N$9)-$K$9),HU_beta*($T$9-$K$9)))))</f>
        <v/>
      </c>
      <c r="AU85" s="29">
        <f>IF(OR(AR85=0,$S$9=0),0,IF((AE85+$K$9)&gt;$S$9/HU_alpha+$K$9,0.5*$S$9/HU_alpha,IF((AE85+$K$9)&gt;=$K$9,((AE85+$K$9)-$K$9)-0.5*HU_alpha/$S$9*((AE85+$K$9)-$K$9)^2,IF((AE85+$K$9)&gt;=$T$9,HU_beta*((AE85+$K$9)-$K$9),HU_beta*($T$9-$K$9)))))</f>
        <v/>
      </c>
      <c r="AV85" s="63">
        <f>IF(AND($J$10,A85=$Q$10),J85,0)</f>
        <v/>
      </c>
      <c r="AW85" s="29">
        <f>IF(OR(AV85=0,$S$10=0),0,IF((AD85+$L$10)&gt;$S$10/HU_alpha+$K$10,0.5*$S$10/HU_alpha,IF((AD85+$L$10)&gt;=$K$10,((AD85+$L$10)-$K$10)-0.5*HU_alpha/$S$10*((AD85+$L$10)-$K$10)^2,IF((AD85+$L$10)&gt;=$T$10,HU_beta*((AD85+$L$10)-$K$10),HU_beta*($T$10-$K$10)))))</f>
        <v/>
      </c>
      <c r="AX85" s="29">
        <f>IF(OR(AV85=0,$S$10=0),0,IF((AD85+$L$10+$N$10)&gt;$S$10/HU_alpha+$K$10,0.5*$S$10/HU_alpha,IF((AD85+$L$10+$N$10)&gt;=$K$10,((AD85+$L$10+$N$10)-$K$10)-0.5*HU_alpha/$S$10*((AD85+$L$10+$N$10)-$K$10)^2,IF((AD85+$L$10+$N$10)&gt;=$T$10,HU_beta*((AD85+$L$10+$N$10)-$K$10),HU_beta*($T$10-$K$10)))))</f>
        <v/>
      </c>
      <c r="AY85" s="29">
        <f>IF(OR(AV85=0,$S$10=0),0,IF((AD85+$K$10)&gt;$S$10/HU_alpha+$K$10,0.5*$S$10/HU_alpha,IF((AD85+$K$10)&gt;=$K$10,((AD85+$K$10)-$K$10)-0.5*HU_alpha/$S$10*((AD85+$K$10)-$K$10)^2,IF((AD85+$K$10)&gt;=$T$10,HU_beta*((AD85+$K$10)-$K$10),HU_beta*($T$10-$K$10)))))</f>
        <v/>
      </c>
      <c r="AZ85" s="63">
        <f>IF(AND($J$11,A85=$Q$11),J85,0)</f>
        <v/>
      </c>
      <c r="BA85" s="29">
        <f>IF(OR(AZ85=0,$S$11=0),0,IF((AE85+$L$11)&gt;$S$11/HU_alpha+$K$11,0.5*$S$11/HU_alpha,IF((AE85+$L$11)&gt;=$K$11,((AE85+$L$11)-$K$11)-0.5*HU_alpha/$S$11*((AE85+$L$11)-$K$11)^2,IF((AE85+$L$11)&gt;=$T$11,HU_beta*((AE85+$L$11)-$K$11),HU_beta*($T$11-$K$11)))))</f>
        <v/>
      </c>
      <c r="BB85" s="29">
        <f>IF(OR(AZ85=0,$S$11=0),0,IF((AE85+$L$11+$N$11)&gt;$S$11/HU_alpha+$K$11,0.5*$S$11/HU_alpha,IF((AE85+$L$11+$N$11)&gt;=$K$11,((AE85+$L$11+$N$11)-$K$11)-0.5*HU_alpha/$S$11*((AE85+$L$11+$N$11)-$K$11)^2,IF((AE85+$L$11+$N$11)&gt;=$T$11,HU_beta*((AE85+$L$11+$N$11)-$K$11),HU_beta*($T$11-$K$11)))))</f>
        <v/>
      </c>
      <c r="BC85" s="29">
        <f>IF(OR(AZ85=0,$S$11=0),0,IF((AE85+$K$11)&gt;$S$11/HU_alpha+$K$11,0.5*$S$11/HU_alpha,IF((AE85+$K$11)&gt;=$K$11,((AE85+$K$11)-$K$11)-0.5*HU_alpha/$S$11*((AE85+$K$11)-$K$11)^2,IF((AE85+$K$11)&gt;=$T$11,HU_beta*((AE85+$K$11)-$K$11),HU_beta*($T$11-$K$11)))))</f>
        <v/>
      </c>
      <c r="BD85" s="63">
        <f>IF(AND($J$12,A85=$Q$12),J85,0)</f>
        <v/>
      </c>
      <c r="BE85" s="29">
        <f>IF(OR(BD85=0,$S$12=0),0,IF((AE85+$L$12)&gt;$S$12/HU_alpha+$K$12,0.5*$S$12/HU_alpha,IF((AE85+$L$12)&gt;=$K$12,((AE85+$L$12)-$K$12)-0.5*HU_alpha/$S$12*((AE85+$L$12)-$K$12)^2,IF((AE85+$L$12)&gt;=$T$12,HU_beta*((AE85+$L$12)-$K$12),HU_beta*($T$12-$K$12)))))</f>
        <v/>
      </c>
      <c r="BF85" s="29">
        <f>IF(OR(BD85=0,$S$12=0),0,IF((AE85+$L$12+$N$12)&gt;$S$12/HU_alpha+$K$12,0.5*$S$12/HU_alpha,IF((AE85+$L$12+$N$12)&gt;=$K$12,((AE85+$L$12+$N$12)-$K$12)-0.5*HU_alpha/$S$12*((AE85+$L$12+$N$12)-$K$12)^2,IF((AE85+$L$12+$N$12)&gt;=$T$12,HU_beta*((AE85+$L$12+$N$12)-$K$12),HU_beta*($T$12-$K$12)))))</f>
        <v/>
      </c>
      <c r="BG85" s="29">
        <f>IF(OR(BD85=0,$S$12=0),0,IF((AE85+$K$12)&gt;$S$12/HU_alpha+$K$12,0.5*$S$12/HU_alpha,IF((AE85+$K$12)&gt;=$K$12,((AE85+$K$12)-$K$12)-0.5*HU_alpha/$S$12*((AE85+$K$12)-$K$12)^2,IF((AE85+$K$12)&gt;=$T$12,HU_beta*((AE85+$K$12)-$K$12),HU_beta*($T$12-$K$12)))))</f>
        <v/>
      </c>
      <c r="BH85" s="63">
        <f>IF(AND($J$13,A85=$Q$13),J85,0)</f>
        <v/>
      </c>
      <c r="BI85" s="29">
        <f>IF(OR(BH85=0,$S$13=0),0,IF((AE85+$L$13)&gt;$S$13/HU_alpha+$K$13,0.5*$S$13/HU_alpha,IF((AE85+$L$13)&gt;=$K$13,((AE85+$L$13)-$K$13)-0.5*HU_alpha/$S$13*((AE85+$L$13)-$K$13)^2,IF((AE85+$L$13)&gt;=$T$13,HU_beta*((AE85+$L$13)-$K$13),HU_beta*($T$13-$K$13)))))</f>
        <v/>
      </c>
      <c r="BJ85" s="29">
        <f>IF(OR(BH85=0,$S$13=0),0,IF((AE85+$L$13+$N$13)&gt;$S$13/HU_alpha+$K$13,0.5*$S$13/HU_alpha,IF((AE85+$L$13+$N$13)&gt;=$K$13,((AE85+$L$13+$N$13)-$K$13)-0.5*HU_alpha/$S$13*((AE85+$L$13+$N$13)-$K$13)^2,IF((AE85+$L$13+$N$13)&gt;=$T$13,HU_beta*((AE85+$L$13+$N$13)-$K$13),HU_beta*($T$13-$K$13)))))</f>
        <v/>
      </c>
      <c r="BK85" s="29">
        <f>IF(OR(BH85=0,$S$13=0),0,IF((AE85+$K$13)&gt;$S$13/HU_alpha+$K$13,0.5*$S$13/HU_alpha,IF((AE85+$K$13)&gt;=$K$13,((AE85+$K$13)-$K$13)-0.5*HU_alpha/$S$13*((AE85+$K$13)-$K$13)^2,IF((AE85+$K$13)&gt;=$T$13,HU_beta*((AE85+$K$13)-$K$13),HU_beta*($T$13-$K$13)))))</f>
        <v/>
      </c>
    </row>
    <row r="86">
      <c r="A86" s="61" t="n">
        <v>18</v>
      </c>
      <c r="B86" s="61">
        <f>HU_age+A86</f>
        <v/>
      </c>
      <c r="C86" s="52">
        <f>A86&lt;=HU_T</f>
        <v/>
      </c>
      <c r="D86" s="63">
        <f>IF(OR(A86&lt;1,A86&gt;HU_T),0,INDEX(HU_q_mort,HU_age+A86-17,HU_col))</f>
        <v/>
      </c>
      <c r="E86" s="63">
        <f>IF(OR(A86&lt;1,A86&gt;HU_T),0,INDEX(HU_q_adb,HU_age+A86-17,HU_col))</f>
        <v/>
      </c>
      <c r="F86" s="63">
        <f>IF(OR(A86&lt;1,A86&gt;HU_T),0,INDEX(HU_q_morb,HU_age+A86-17,HU_col))</f>
        <v/>
      </c>
      <c r="G86" s="63">
        <f>IF(OR(A86&lt;1,A86&gt;HU_T),0,INDEX(HU_q_ptd,HU_age+A86-17,HU_col))</f>
        <v/>
      </c>
      <c r="H86" s="63">
        <f>IF(OR(A86&lt;1,A86&gt;HU_T),0,INDEX(HU_q_dis,HU_age+A86-17,HU_col))</f>
        <v/>
      </c>
      <c r="I86" s="63">
        <f>IF(A86&gt;HU_T,0,I85*(1-D86)*(1-E86))</f>
        <v/>
      </c>
      <c r="J86" s="63">
        <f>IF(A86&gt;=HU_T,0,N(I87))</f>
        <v/>
      </c>
      <c r="K86" s="63">
        <f>K85*(1-G86)</f>
        <v/>
      </c>
      <c r="L86" s="63">
        <f>1-K86</f>
        <v/>
      </c>
      <c r="M86" s="63">
        <f>K85*G86</f>
        <v/>
      </c>
      <c r="N86" s="63">
        <f>N85*(1-H86)</f>
        <v/>
      </c>
      <c r="O86" s="63">
        <f>1-N85</f>
        <v/>
      </c>
      <c r="P86" s="63">
        <f>P85*(1-F86)</f>
        <v/>
      </c>
      <c r="Q86" s="63">
        <f>1-P85/INDEX($P$68:$P$150,MAX(1,A86-HU_ciYears))</f>
        <v/>
      </c>
      <c r="R86" s="60">
        <f>(1+inflationRate)^A86</f>
        <v/>
      </c>
      <c r="S86" s="29">
        <f>IF(OR(OR(A86&lt;1,A86&gt;HU_T),A86-1&gt;=HU_dtr),0,HU_inc0*(1+incomeGrowthRate)^A86)</f>
        <v/>
      </c>
      <c r="T86" s="60">
        <f>IF(A86&gt;HU_T,T85,T85*(1+INDEX(HU_ssG,HU_age+A86-17)))</f>
        <v/>
      </c>
      <c r="U86" s="29">
        <f>IF(AND(HU_dtr&gt;=1,A86=HU_dtr,A86&lt;=HU_T),MIN(S86*INDEX(HU_ssC,HU_age+A86-17)/(1-INDEX(HU_ssC,HU_age+A86-17)),INDEX(HU_ssCap,HU_age+A86-17))*T86,0)</f>
        <v/>
      </c>
      <c r="V86" s="29">
        <f>S86+U86+IF(AND(HU_wdOn,A86=HU_wdYear),HU_wdIncome,0)</f>
        <v/>
      </c>
      <c r="W86" s="60">
        <f>HU_ciProp*Q86+HU_tpdCut*L86+HU_disCut*O86</f>
        <v/>
      </c>
      <c r="X86" s="29">
        <f>IF(OR(A86&lt;1,A86&gt;HU_T),0,V86*(1-W86))</f>
        <v/>
      </c>
      <c r="Y86" s="29">
        <f>IF(OR(A86&lt;1,A86&gt;HU_T),0,IF(AND(HU_retExp&gt;0,A86-1&gt;=HU_dtr),HU_retExp,HU_exp0)*R86)</f>
        <v/>
      </c>
      <c r="Z86" s="29">
        <f>-Y86-IF(AND(HU_wdOn,A86=HU_wdYear),HU_wdOut,0)</f>
        <v/>
      </c>
      <c r="AA86" s="29">
        <f>IF(OR(A86&lt;1,A86&gt;HU_T),0,-HU_medCost*R86*F86-HU_tpdCost*R86*M86)</f>
        <v/>
      </c>
      <c r="AB86" s="29">
        <f>IF(A86&gt;HU_T,0,AB85*(1+interestRate)+X86+Z86+AA86)</f>
        <v/>
      </c>
      <c r="AC86" s="29">
        <f>IF(A86&gt;HU_T,0,HU_inv*EXP(HU_mu*A86))</f>
        <v/>
      </c>
      <c r="AD86" s="29">
        <f>IF(A86&gt;HU_T,0,MAX(0,AC86+AB86))</f>
        <v/>
      </c>
      <c r="AE86" s="29">
        <f>IF(A86&gt;HU_T,0,MAX(0,X86-Y86))</f>
        <v/>
      </c>
      <c r="AF86" s="63">
        <f>IF(AND($J$6,A86&gt;=1,A86&lt;=$Q$6-1),J86,0)</f>
        <v/>
      </c>
      <c r="AG86" s="29">
        <f>IF(OR(AF86=0,$S$6=0),0,IF((AD86+$L$6)&gt;$S$6/HU_alpha+$K$6,0.5*$S$6/HU_alpha,IF((AD86+$L$6)&gt;=$K$6,((AD86+$L$6)-$K$6)-0.5*HU_alpha/$S$6*((AD86+$L$6)-$K$6)^2,IF((AD86+$L$6)&gt;=$T$6,HU_beta*((AD86+$L$6)-$K$6),HU_beta*($T$6-$K$6)))))</f>
        <v/>
      </c>
      <c r="AH86" s="29">
        <f>IF(OR(AF86=0,$S$6=0),0,IF((AD86+$L$6+$N$6)&gt;$S$6/HU_alpha+$K$6,0.5*$S$6/HU_alpha,IF((AD86+$L$6+$N$6)&gt;=$K$6,((AD86+$L$6+$N$6)-$K$6)-0.5*HU_alpha/$S$6*((AD86+$L$6+$N$6)-$K$6)^2,IF((AD86+$L$6+$N$6)&gt;=$T$6,HU_beta*((AD86+$L$6+$N$6)-$K$6),HU_beta*($T$6-$K$6)))))</f>
        <v/>
      </c>
      <c r="AI86" s="29">
        <f>IF(OR(AF86=0,$S$6=0),0,IF((AD86+$K$6)&gt;$S$6/HU_alpha+$K$6,0.5*$S$6/HU_alpha,IF((AD86+$K$6)&gt;=$K$6,((AD86+$K$6)-$K$6)-0.5*HU_alpha/$S$6*((AD86+$K$6)-$K$6)^2,IF((AD86+$K$6)&gt;=$T$6,HU_beta*((AD86+$K$6)-$K$6),HU_beta*($T$6-$K$6)))))</f>
        <v/>
      </c>
      <c r="AJ86" s="63">
        <f>IF(AND($J$7,A86&gt;=1,A86&lt;=$Q$7-1),J86,0)</f>
        <v/>
      </c>
      <c r="AK86" s="29">
        <f>IF(OR(AJ86=0,$S$7=0),0,IF((AE86+$L$7)&gt;$S$7/HU_alpha+$K$7,0.5*$S$7/HU_alpha,IF((AE86+$L$7)&gt;=$K$7,((AE86+$L$7)-$K$7)-0.5*HU_alpha/$S$7*((AE86+$L$7)-$K$7)^2,IF((AE86+$L$7)&gt;=$T$7,HU_beta*((AE86+$L$7)-$K$7),HU_beta*($T$7-$K$7)))))</f>
        <v/>
      </c>
      <c r="AL86" s="29">
        <f>IF(OR(AJ86=0,$S$7=0),0,IF((AE86+$L$7+$N$7)&gt;$S$7/HU_alpha+$K$7,0.5*$S$7/HU_alpha,IF((AE86+$L$7+$N$7)&gt;=$K$7,((AE86+$L$7+$N$7)-$K$7)-0.5*HU_alpha/$S$7*((AE86+$L$7+$N$7)-$K$7)^2,IF((AE86+$L$7+$N$7)&gt;=$T$7,HU_beta*((AE86+$L$7+$N$7)-$K$7),HU_beta*($T$7-$K$7)))))</f>
        <v/>
      </c>
      <c r="AM86" s="29">
        <f>IF(OR(AJ86=0,$S$7=0),0,IF((AE86+$K$7)&gt;$S$7/HU_alpha+$K$7,0.5*$S$7/HU_alpha,IF((AE86+$K$7)&gt;=$K$7,((AE86+$K$7)-$K$7)-0.5*HU_alpha/$S$7*((AE86+$K$7)-$K$7)^2,IF((AE86+$K$7)&gt;=$T$7,HU_beta*((AE86+$K$7)-$K$7),HU_beta*($T$7-$K$7)))))</f>
        <v/>
      </c>
      <c r="AN86" s="63">
        <f>IF(AND($J$8,A86&gt;=1,A86&lt;=$Q$8-1),J86,0)</f>
        <v/>
      </c>
      <c r="AO86" s="29">
        <f>IF(OR(AN86=0,$S$8=0),0,IF((AE86+$L$8)&gt;$S$8/HU_alpha+$K$8,0.5*$S$8/HU_alpha,IF((AE86+$L$8)&gt;=$K$8,((AE86+$L$8)-$K$8)-0.5*HU_alpha/$S$8*((AE86+$L$8)-$K$8)^2,IF((AE86+$L$8)&gt;=$T$8,HU_beta*((AE86+$L$8)-$K$8),HU_beta*($T$8-$K$8)))))</f>
        <v/>
      </c>
      <c r="AP86" s="29">
        <f>IF(OR(AN86=0,$S$8=0),0,IF((AE86+$L$8+$N$8)&gt;$S$8/HU_alpha+$K$8,0.5*$S$8/HU_alpha,IF((AE86+$L$8+$N$8)&gt;=$K$8,((AE86+$L$8+$N$8)-$K$8)-0.5*HU_alpha/$S$8*((AE86+$L$8+$N$8)-$K$8)^2,IF((AE86+$L$8+$N$8)&gt;=$T$8,HU_beta*((AE86+$L$8+$N$8)-$K$8),HU_beta*($T$8-$K$8)))))</f>
        <v/>
      </c>
      <c r="AQ86" s="29">
        <f>IF(OR(AN86=0,$S$8=0),0,IF((AE86+$K$8)&gt;$S$8/HU_alpha+$K$8,0.5*$S$8/HU_alpha,IF((AE86+$K$8)&gt;=$K$8,((AE86+$K$8)-$K$8)-0.5*HU_alpha/$S$8*((AE86+$K$8)-$K$8)^2,IF((AE86+$K$8)&gt;=$T$8,HU_beta*((AE86+$K$8)-$K$8),HU_beta*($T$8-$K$8)))))</f>
        <v/>
      </c>
      <c r="AR86" s="63">
        <f>IF(AND($J$9,A86&gt;=1,A86&lt;=$Q$9-1),J86,0)</f>
        <v/>
      </c>
      <c r="AS86" s="29">
        <f>IF(OR(AR86=0,$S$9=0),0,IF((AE86+$L$9)&gt;$S$9/HU_alpha+$K$9,0.5*$S$9/HU_alpha,IF((AE86+$L$9)&gt;=$K$9,((AE86+$L$9)-$K$9)-0.5*HU_alpha/$S$9*((AE86+$L$9)-$K$9)^2,IF((AE86+$L$9)&gt;=$T$9,HU_beta*((AE86+$L$9)-$K$9),HU_beta*($T$9-$K$9)))))</f>
        <v/>
      </c>
      <c r="AT86" s="29">
        <f>IF(OR(AR86=0,$S$9=0),0,IF((AE86+$L$9+$N$9)&gt;$S$9/HU_alpha+$K$9,0.5*$S$9/HU_alpha,IF((AE86+$L$9+$N$9)&gt;=$K$9,((AE86+$L$9+$N$9)-$K$9)-0.5*HU_alpha/$S$9*((AE86+$L$9+$N$9)-$K$9)^2,IF((AE86+$L$9+$N$9)&gt;=$T$9,HU_beta*((AE86+$L$9+$N$9)-$K$9),HU_beta*($T$9-$K$9)))))</f>
        <v/>
      </c>
      <c r="AU86" s="29">
        <f>IF(OR(AR86=0,$S$9=0),0,IF((AE86+$K$9)&gt;$S$9/HU_alpha+$K$9,0.5*$S$9/HU_alpha,IF((AE86+$K$9)&gt;=$K$9,((AE86+$K$9)-$K$9)-0.5*HU_alpha/$S$9*((AE86+$K$9)-$K$9)^2,IF((AE86+$K$9)&gt;=$T$9,HU_beta*((AE86+$K$9)-$K$9),HU_beta*($T$9-$K$9)))))</f>
        <v/>
      </c>
      <c r="AV86" s="63">
        <f>IF(AND($J$10,A86=$Q$10),J86,0)</f>
        <v/>
      </c>
      <c r="AW86" s="29">
        <f>IF(OR(AV86=0,$S$10=0),0,IF((AD86+$L$10)&gt;$S$10/HU_alpha+$K$10,0.5*$S$10/HU_alpha,IF((AD86+$L$10)&gt;=$K$10,((AD86+$L$10)-$K$10)-0.5*HU_alpha/$S$10*((AD86+$L$10)-$K$10)^2,IF((AD86+$L$10)&gt;=$T$10,HU_beta*((AD86+$L$10)-$K$10),HU_beta*($T$10-$K$10)))))</f>
        <v/>
      </c>
      <c r="AX86" s="29">
        <f>IF(OR(AV86=0,$S$10=0),0,IF((AD86+$L$10+$N$10)&gt;$S$10/HU_alpha+$K$10,0.5*$S$10/HU_alpha,IF((AD86+$L$10+$N$10)&gt;=$K$10,((AD86+$L$10+$N$10)-$K$10)-0.5*HU_alpha/$S$10*((AD86+$L$10+$N$10)-$K$10)^2,IF((AD86+$L$10+$N$10)&gt;=$T$10,HU_beta*((AD86+$L$10+$N$10)-$K$10),HU_beta*($T$10-$K$10)))))</f>
        <v/>
      </c>
      <c r="AY86" s="29">
        <f>IF(OR(AV86=0,$S$10=0),0,IF((AD86+$K$10)&gt;$S$10/HU_alpha+$K$10,0.5*$S$10/HU_alpha,IF((AD86+$K$10)&gt;=$K$10,((AD86+$K$10)-$K$10)-0.5*HU_alpha/$S$10*((AD86+$K$10)-$K$10)^2,IF((AD86+$K$10)&gt;=$T$10,HU_beta*((AD86+$K$10)-$K$10),HU_beta*($T$10-$K$10)))))</f>
        <v/>
      </c>
      <c r="AZ86" s="63">
        <f>IF(AND($J$11,A86=$Q$11),J86,0)</f>
        <v/>
      </c>
      <c r="BA86" s="29">
        <f>IF(OR(AZ86=0,$S$11=0),0,IF((AE86+$L$11)&gt;$S$11/HU_alpha+$K$11,0.5*$S$11/HU_alpha,IF((AE86+$L$11)&gt;=$K$11,((AE86+$L$11)-$K$11)-0.5*HU_alpha/$S$11*((AE86+$L$11)-$K$11)^2,IF((AE86+$L$11)&gt;=$T$11,HU_beta*((AE86+$L$11)-$K$11),HU_beta*($T$11-$K$11)))))</f>
        <v/>
      </c>
      <c r="BB86" s="29">
        <f>IF(OR(AZ86=0,$S$11=0),0,IF((AE86+$L$11+$N$11)&gt;$S$11/HU_alpha+$K$11,0.5*$S$11/HU_alpha,IF((AE86+$L$11+$N$11)&gt;=$K$11,((AE86+$L$11+$N$11)-$K$11)-0.5*HU_alpha/$S$11*((AE86+$L$11+$N$11)-$K$11)^2,IF((AE86+$L$11+$N$11)&gt;=$T$11,HU_beta*((AE86+$L$11+$N$11)-$K$11),HU_beta*($T$11-$K$11)))))</f>
        <v/>
      </c>
      <c r="BC86" s="29">
        <f>IF(OR(AZ86=0,$S$11=0),0,IF((AE86+$K$11)&gt;$S$11/HU_alpha+$K$11,0.5*$S$11/HU_alpha,IF((AE86+$K$11)&gt;=$K$11,((AE86+$K$11)-$K$11)-0.5*HU_alpha/$S$11*((AE86+$K$11)-$K$11)^2,IF((AE86+$K$11)&gt;=$T$11,HU_beta*((AE86+$K$11)-$K$11),HU_beta*($T$11-$K$11)))))</f>
        <v/>
      </c>
      <c r="BD86" s="63">
        <f>IF(AND($J$12,A86=$Q$12),J86,0)</f>
        <v/>
      </c>
      <c r="BE86" s="29">
        <f>IF(OR(BD86=0,$S$12=0),0,IF((AE86+$L$12)&gt;$S$12/HU_alpha+$K$12,0.5*$S$12/HU_alpha,IF((AE86+$L$12)&gt;=$K$12,((AE86+$L$12)-$K$12)-0.5*HU_alpha/$S$12*((AE86+$L$12)-$K$12)^2,IF((AE86+$L$12)&gt;=$T$12,HU_beta*((AE86+$L$12)-$K$12),HU_beta*($T$12-$K$12)))))</f>
        <v/>
      </c>
      <c r="BF86" s="29">
        <f>IF(OR(BD86=0,$S$12=0),0,IF((AE86+$L$12+$N$12)&gt;$S$12/HU_alpha+$K$12,0.5*$S$12/HU_alpha,IF((AE86+$L$12+$N$12)&gt;=$K$12,((AE86+$L$12+$N$12)-$K$12)-0.5*HU_alpha/$S$12*((AE86+$L$12+$N$12)-$K$12)^2,IF((AE86+$L$12+$N$12)&gt;=$T$12,HU_beta*((AE86+$L$12+$N$12)-$K$12),HU_beta*($T$12-$K$12)))))</f>
        <v/>
      </c>
      <c r="BG86" s="29">
        <f>IF(OR(BD86=0,$S$12=0),0,IF((AE86+$K$12)&gt;$S$12/HU_alpha+$K$12,0.5*$S$12/HU_alpha,IF((AE86+$K$12)&gt;=$K$12,((AE86+$K$12)-$K$12)-0.5*HU_alpha/$S$12*((AE86+$K$12)-$K$12)^2,IF((AE86+$K$12)&gt;=$T$12,HU_beta*((AE86+$K$12)-$K$12),HU_beta*($T$12-$K$12)))))</f>
        <v/>
      </c>
      <c r="BH86" s="63">
        <f>IF(AND($J$13,A86=$Q$13),J86,0)</f>
        <v/>
      </c>
      <c r="BI86" s="29">
        <f>IF(OR(BH86=0,$S$13=0),0,IF((AE86+$L$13)&gt;$S$13/HU_alpha+$K$13,0.5*$S$13/HU_alpha,IF((AE86+$L$13)&gt;=$K$13,((AE86+$L$13)-$K$13)-0.5*HU_alpha/$S$13*((AE86+$L$13)-$K$13)^2,IF((AE86+$L$13)&gt;=$T$13,HU_beta*((AE86+$L$13)-$K$13),HU_beta*($T$13-$K$13)))))</f>
        <v/>
      </c>
      <c r="BJ86" s="29">
        <f>IF(OR(BH86=0,$S$13=0),0,IF((AE86+$L$13+$N$13)&gt;$S$13/HU_alpha+$K$13,0.5*$S$13/HU_alpha,IF((AE86+$L$13+$N$13)&gt;=$K$13,((AE86+$L$13+$N$13)-$K$13)-0.5*HU_alpha/$S$13*((AE86+$L$13+$N$13)-$K$13)^2,IF((AE86+$L$13+$N$13)&gt;=$T$13,HU_beta*((AE86+$L$13+$N$13)-$K$13),HU_beta*($T$13-$K$13)))))</f>
        <v/>
      </c>
      <c r="BK86" s="29">
        <f>IF(OR(BH86=0,$S$13=0),0,IF((AE86+$K$13)&gt;$S$13/HU_alpha+$K$13,0.5*$S$13/HU_alpha,IF((AE86+$K$13)&gt;=$K$13,((AE86+$K$13)-$K$13)-0.5*HU_alpha/$S$13*((AE86+$K$13)-$K$13)^2,IF((AE86+$K$13)&gt;=$T$13,HU_beta*((AE86+$K$13)-$K$13),HU_beta*($T$13-$K$13)))))</f>
        <v/>
      </c>
    </row>
    <row r="87">
      <c r="A87" s="61" t="n">
        <v>19</v>
      </c>
      <c r="B87" s="61">
        <f>HU_age+A87</f>
        <v/>
      </c>
      <c r="C87" s="52">
        <f>A87&lt;=HU_T</f>
        <v/>
      </c>
      <c r="D87" s="63">
        <f>IF(OR(A87&lt;1,A87&gt;HU_T),0,INDEX(HU_q_mort,HU_age+A87-17,HU_col))</f>
        <v/>
      </c>
      <c r="E87" s="63">
        <f>IF(OR(A87&lt;1,A87&gt;HU_T),0,INDEX(HU_q_adb,HU_age+A87-17,HU_col))</f>
        <v/>
      </c>
      <c r="F87" s="63">
        <f>IF(OR(A87&lt;1,A87&gt;HU_T),0,INDEX(HU_q_morb,HU_age+A87-17,HU_col))</f>
        <v/>
      </c>
      <c r="G87" s="63">
        <f>IF(OR(A87&lt;1,A87&gt;HU_T),0,INDEX(HU_q_ptd,HU_age+A87-17,HU_col))</f>
        <v/>
      </c>
      <c r="H87" s="63">
        <f>IF(OR(A87&lt;1,A87&gt;HU_T),0,INDEX(HU_q_dis,HU_age+A87-17,HU_col))</f>
        <v/>
      </c>
      <c r="I87" s="63">
        <f>IF(A87&gt;HU_T,0,I86*(1-D87)*(1-E87))</f>
        <v/>
      </c>
      <c r="J87" s="63">
        <f>IF(A87&gt;=HU_T,0,N(I88))</f>
        <v/>
      </c>
      <c r="K87" s="63">
        <f>K86*(1-G87)</f>
        <v/>
      </c>
      <c r="L87" s="63">
        <f>1-K87</f>
        <v/>
      </c>
      <c r="M87" s="63">
        <f>K86*G87</f>
        <v/>
      </c>
      <c r="N87" s="63">
        <f>N86*(1-H87)</f>
        <v/>
      </c>
      <c r="O87" s="63">
        <f>1-N86</f>
        <v/>
      </c>
      <c r="P87" s="63">
        <f>P86*(1-F87)</f>
        <v/>
      </c>
      <c r="Q87" s="63">
        <f>1-P86/INDEX($P$68:$P$150,MAX(1,A87-HU_ciYears))</f>
        <v/>
      </c>
      <c r="R87" s="60">
        <f>(1+inflationRate)^A87</f>
        <v/>
      </c>
      <c r="S87" s="29">
        <f>IF(OR(OR(A87&lt;1,A87&gt;HU_T),A87-1&gt;=HU_dtr),0,HU_inc0*(1+incomeGrowthRate)^A87)</f>
        <v/>
      </c>
      <c r="T87" s="60">
        <f>IF(A87&gt;HU_T,T86,T86*(1+INDEX(HU_ssG,HU_age+A87-17)))</f>
        <v/>
      </c>
      <c r="U87" s="29">
        <f>IF(AND(HU_dtr&gt;=1,A87=HU_dtr,A87&lt;=HU_T),MIN(S87*INDEX(HU_ssC,HU_age+A87-17)/(1-INDEX(HU_ssC,HU_age+A87-17)),INDEX(HU_ssCap,HU_age+A87-17))*T87,0)</f>
        <v/>
      </c>
      <c r="V87" s="29">
        <f>S87+U87+IF(AND(HU_wdOn,A87=HU_wdYear),HU_wdIncome,0)</f>
        <v/>
      </c>
      <c r="W87" s="60">
        <f>HU_ciProp*Q87+HU_tpdCut*L87+HU_disCut*O87</f>
        <v/>
      </c>
      <c r="X87" s="29">
        <f>IF(OR(A87&lt;1,A87&gt;HU_T),0,V87*(1-W87))</f>
        <v/>
      </c>
      <c r="Y87" s="29">
        <f>IF(OR(A87&lt;1,A87&gt;HU_T),0,IF(AND(HU_retExp&gt;0,A87-1&gt;=HU_dtr),HU_retExp,HU_exp0)*R87)</f>
        <v/>
      </c>
      <c r="Z87" s="29">
        <f>-Y87-IF(AND(HU_wdOn,A87=HU_wdYear),HU_wdOut,0)</f>
        <v/>
      </c>
      <c r="AA87" s="29">
        <f>IF(OR(A87&lt;1,A87&gt;HU_T),0,-HU_medCost*R87*F87-HU_tpdCost*R87*M87)</f>
        <v/>
      </c>
      <c r="AB87" s="29">
        <f>IF(A87&gt;HU_T,0,AB86*(1+interestRate)+X87+Z87+AA87)</f>
        <v/>
      </c>
      <c r="AC87" s="29">
        <f>IF(A87&gt;HU_T,0,HU_inv*EXP(HU_mu*A87))</f>
        <v/>
      </c>
      <c r="AD87" s="29">
        <f>IF(A87&gt;HU_T,0,MAX(0,AC87+AB87))</f>
        <v/>
      </c>
      <c r="AE87" s="29">
        <f>IF(A87&gt;HU_T,0,MAX(0,X87-Y87))</f>
        <v/>
      </c>
      <c r="AF87" s="63">
        <f>IF(AND($J$6,A87&gt;=1,A87&lt;=$Q$6-1),J87,0)</f>
        <v/>
      </c>
      <c r="AG87" s="29">
        <f>IF(OR(AF87=0,$S$6=0),0,IF((AD87+$L$6)&gt;$S$6/HU_alpha+$K$6,0.5*$S$6/HU_alpha,IF((AD87+$L$6)&gt;=$K$6,((AD87+$L$6)-$K$6)-0.5*HU_alpha/$S$6*((AD87+$L$6)-$K$6)^2,IF((AD87+$L$6)&gt;=$T$6,HU_beta*((AD87+$L$6)-$K$6),HU_beta*($T$6-$K$6)))))</f>
        <v/>
      </c>
      <c r="AH87" s="29">
        <f>IF(OR(AF87=0,$S$6=0),0,IF((AD87+$L$6+$N$6)&gt;$S$6/HU_alpha+$K$6,0.5*$S$6/HU_alpha,IF((AD87+$L$6+$N$6)&gt;=$K$6,((AD87+$L$6+$N$6)-$K$6)-0.5*HU_alpha/$S$6*((AD87+$L$6+$N$6)-$K$6)^2,IF((AD87+$L$6+$N$6)&gt;=$T$6,HU_beta*((AD87+$L$6+$N$6)-$K$6),HU_beta*($T$6-$K$6)))))</f>
        <v/>
      </c>
      <c r="AI87" s="29">
        <f>IF(OR(AF87=0,$S$6=0),0,IF((AD87+$K$6)&gt;$S$6/HU_alpha+$K$6,0.5*$S$6/HU_alpha,IF((AD87+$K$6)&gt;=$K$6,((AD87+$K$6)-$K$6)-0.5*HU_alpha/$S$6*((AD87+$K$6)-$K$6)^2,IF((AD87+$K$6)&gt;=$T$6,HU_beta*((AD87+$K$6)-$K$6),HU_beta*($T$6-$K$6)))))</f>
        <v/>
      </c>
      <c r="AJ87" s="63">
        <f>IF(AND($J$7,A87&gt;=1,A87&lt;=$Q$7-1),J87,0)</f>
        <v/>
      </c>
      <c r="AK87" s="29">
        <f>IF(OR(AJ87=0,$S$7=0),0,IF((AE87+$L$7)&gt;$S$7/HU_alpha+$K$7,0.5*$S$7/HU_alpha,IF((AE87+$L$7)&gt;=$K$7,((AE87+$L$7)-$K$7)-0.5*HU_alpha/$S$7*((AE87+$L$7)-$K$7)^2,IF((AE87+$L$7)&gt;=$T$7,HU_beta*((AE87+$L$7)-$K$7),HU_beta*($T$7-$K$7)))))</f>
        <v/>
      </c>
      <c r="AL87" s="29">
        <f>IF(OR(AJ87=0,$S$7=0),0,IF((AE87+$L$7+$N$7)&gt;$S$7/HU_alpha+$K$7,0.5*$S$7/HU_alpha,IF((AE87+$L$7+$N$7)&gt;=$K$7,((AE87+$L$7+$N$7)-$K$7)-0.5*HU_alpha/$S$7*((AE87+$L$7+$N$7)-$K$7)^2,IF((AE87+$L$7+$N$7)&gt;=$T$7,HU_beta*((AE87+$L$7+$N$7)-$K$7),HU_beta*($T$7-$K$7)))))</f>
        <v/>
      </c>
      <c r="AM87" s="29">
        <f>IF(OR(AJ87=0,$S$7=0),0,IF((AE87+$K$7)&gt;$S$7/HU_alpha+$K$7,0.5*$S$7/HU_alpha,IF((AE87+$K$7)&gt;=$K$7,((AE87+$K$7)-$K$7)-0.5*HU_alpha/$S$7*((AE87+$K$7)-$K$7)^2,IF((AE87+$K$7)&gt;=$T$7,HU_beta*((AE87+$K$7)-$K$7),HU_beta*($T$7-$K$7)))))</f>
        <v/>
      </c>
      <c r="AN87" s="63">
        <f>IF(AND($J$8,A87&gt;=1,A87&lt;=$Q$8-1),J87,0)</f>
        <v/>
      </c>
      <c r="AO87" s="29">
        <f>IF(OR(AN87=0,$S$8=0),0,IF((AE87+$L$8)&gt;$S$8/HU_alpha+$K$8,0.5*$S$8/HU_alpha,IF((AE87+$L$8)&gt;=$K$8,((AE87+$L$8)-$K$8)-0.5*HU_alpha/$S$8*((AE87+$L$8)-$K$8)^2,IF((AE87+$L$8)&gt;=$T$8,HU_beta*((AE87+$L$8)-$K$8),HU_beta*($T$8-$K$8)))))</f>
        <v/>
      </c>
      <c r="AP87" s="29">
        <f>IF(OR(AN87=0,$S$8=0),0,IF((AE87+$L$8+$N$8)&gt;$S$8/HU_alpha+$K$8,0.5*$S$8/HU_alpha,IF((AE87+$L$8+$N$8)&gt;=$K$8,((AE87+$L$8+$N$8)-$K$8)-0.5*HU_alpha/$S$8*((AE87+$L$8+$N$8)-$K$8)^2,IF((AE87+$L$8+$N$8)&gt;=$T$8,HU_beta*((AE87+$L$8+$N$8)-$K$8),HU_beta*($T$8-$K$8)))))</f>
        <v/>
      </c>
      <c r="AQ87" s="29">
        <f>IF(OR(AN87=0,$S$8=0),0,IF((AE87+$K$8)&gt;$S$8/HU_alpha+$K$8,0.5*$S$8/HU_alpha,IF((AE87+$K$8)&gt;=$K$8,((AE87+$K$8)-$K$8)-0.5*HU_alpha/$S$8*((AE87+$K$8)-$K$8)^2,IF((AE87+$K$8)&gt;=$T$8,HU_beta*((AE87+$K$8)-$K$8),HU_beta*($T$8-$K$8)))))</f>
        <v/>
      </c>
      <c r="AR87" s="63">
        <f>IF(AND($J$9,A87&gt;=1,A87&lt;=$Q$9-1),J87,0)</f>
        <v/>
      </c>
      <c r="AS87" s="29">
        <f>IF(OR(AR87=0,$S$9=0),0,IF((AE87+$L$9)&gt;$S$9/HU_alpha+$K$9,0.5*$S$9/HU_alpha,IF((AE87+$L$9)&gt;=$K$9,((AE87+$L$9)-$K$9)-0.5*HU_alpha/$S$9*((AE87+$L$9)-$K$9)^2,IF((AE87+$L$9)&gt;=$T$9,HU_beta*((AE87+$L$9)-$K$9),HU_beta*($T$9-$K$9)))))</f>
        <v/>
      </c>
      <c r="AT87" s="29">
        <f>IF(OR(AR87=0,$S$9=0),0,IF((AE87+$L$9+$N$9)&gt;$S$9/HU_alpha+$K$9,0.5*$S$9/HU_alpha,IF((AE87+$L$9+$N$9)&gt;=$K$9,((AE87+$L$9+$N$9)-$K$9)-0.5*HU_alpha/$S$9*((AE87+$L$9+$N$9)-$K$9)^2,IF((AE87+$L$9+$N$9)&gt;=$T$9,HU_beta*((AE87+$L$9+$N$9)-$K$9),HU_beta*($T$9-$K$9)))))</f>
        <v/>
      </c>
      <c r="AU87" s="29">
        <f>IF(OR(AR87=0,$S$9=0),0,IF((AE87+$K$9)&gt;$S$9/HU_alpha+$K$9,0.5*$S$9/HU_alpha,IF((AE87+$K$9)&gt;=$K$9,((AE87+$K$9)-$K$9)-0.5*HU_alpha/$S$9*((AE87+$K$9)-$K$9)^2,IF((AE87+$K$9)&gt;=$T$9,HU_beta*((AE87+$K$9)-$K$9),HU_beta*($T$9-$K$9)))))</f>
        <v/>
      </c>
      <c r="AV87" s="63">
        <f>IF(AND($J$10,A87=$Q$10),J87,0)</f>
        <v/>
      </c>
      <c r="AW87" s="29">
        <f>IF(OR(AV87=0,$S$10=0),0,IF((AD87+$L$10)&gt;$S$10/HU_alpha+$K$10,0.5*$S$10/HU_alpha,IF((AD87+$L$10)&gt;=$K$10,((AD87+$L$10)-$K$10)-0.5*HU_alpha/$S$10*((AD87+$L$10)-$K$10)^2,IF((AD87+$L$10)&gt;=$T$10,HU_beta*((AD87+$L$10)-$K$10),HU_beta*($T$10-$K$10)))))</f>
        <v/>
      </c>
      <c r="AX87" s="29">
        <f>IF(OR(AV87=0,$S$10=0),0,IF((AD87+$L$10+$N$10)&gt;$S$10/HU_alpha+$K$10,0.5*$S$10/HU_alpha,IF((AD87+$L$10+$N$10)&gt;=$K$10,((AD87+$L$10+$N$10)-$K$10)-0.5*HU_alpha/$S$10*((AD87+$L$10+$N$10)-$K$10)^2,IF((AD87+$L$10+$N$10)&gt;=$T$10,HU_beta*((AD87+$L$10+$N$10)-$K$10),HU_beta*($T$10-$K$10)))))</f>
        <v/>
      </c>
      <c r="AY87" s="29">
        <f>IF(OR(AV87=0,$S$10=0),0,IF((AD87+$K$10)&gt;$S$10/HU_alpha+$K$10,0.5*$S$10/HU_alpha,IF((AD87+$K$10)&gt;=$K$10,((AD87+$K$10)-$K$10)-0.5*HU_alpha/$S$10*((AD87+$K$10)-$K$10)^2,IF((AD87+$K$10)&gt;=$T$10,HU_beta*((AD87+$K$10)-$K$10),HU_beta*($T$10-$K$10)))))</f>
        <v/>
      </c>
      <c r="AZ87" s="63">
        <f>IF(AND($J$11,A87=$Q$11),J87,0)</f>
        <v/>
      </c>
      <c r="BA87" s="29">
        <f>IF(OR(AZ87=0,$S$11=0),0,IF((AE87+$L$11)&gt;$S$11/HU_alpha+$K$11,0.5*$S$11/HU_alpha,IF((AE87+$L$11)&gt;=$K$11,((AE87+$L$11)-$K$11)-0.5*HU_alpha/$S$11*((AE87+$L$11)-$K$11)^2,IF((AE87+$L$11)&gt;=$T$11,HU_beta*((AE87+$L$11)-$K$11),HU_beta*($T$11-$K$11)))))</f>
        <v/>
      </c>
      <c r="BB87" s="29">
        <f>IF(OR(AZ87=0,$S$11=0),0,IF((AE87+$L$11+$N$11)&gt;$S$11/HU_alpha+$K$11,0.5*$S$11/HU_alpha,IF((AE87+$L$11+$N$11)&gt;=$K$11,((AE87+$L$11+$N$11)-$K$11)-0.5*HU_alpha/$S$11*((AE87+$L$11+$N$11)-$K$11)^2,IF((AE87+$L$11+$N$11)&gt;=$T$11,HU_beta*((AE87+$L$11+$N$11)-$K$11),HU_beta*($T$11-$K$11)))))</f>
        <v/>
      </c>
      <c r="BC87" s="29">
        <f>IF(OR(AZ87=0,$S$11=0),0,IF((AE87+$K$11)&gt;$S$11/HU_alpha+$K$11,0.5*$S$11/HU_alpha,IF((AE87+$K$11)&gt;=$K$11,((AE87+$K$11)-$K$11)-0.5*HU_alpha/$S$11*((AE87+$K$11)-$K$11)^2,IF((AE87+$K$11)&gt;=$T$11,HU_beta*((AE87+$K$11)-$K$11),HU_beta*($T$11-$K$11)))))</f>
        <v/>
      </c>
      <c r="BD87" s="63">
        <f>IF(AND($J$12,A87=$Q$12),J87,0)</f>
        <v/>
      </c>
      <c r="BE87" s="29">
        <f>IF(OR(BD87=0,$S$12=0),0,IF((AE87+$L$12)&gt;$S$12/HU_alpha+$K$12,0.5*$S$12/HU_alpha,IF((AE87+$L$12)&gt;=$K$12,((AE87+$L$12)-$K$12)-0.5*HU_alpha/$S$12*((AE87+$L$12)-$K$12)^2,IF((AE87+$L$12)&gt;=$T$12,HU_beta*((AE87+$L$12)-$K$12),HU_beta*($T$12-$K$12)))))</f>
        <v/>
      </c>
      <c r="BF87" s="29">
        <f>IF(OR(BD87=0,$S$12=0),0,IF((AE87+$L$12+$N$12)&gt;$S$12/HU_alpha+$K$12,0.5*$S$12/HU_alpha,IF((AE87+$L$12+$N$12)&gt;=$K$12,((AE87+$L$12+$N$12)-$K$12)-0.5*HU_alpha/$S$12*((AE87+$L$12+$N$12)-$K$12)^2,IF((AE87+$L$12+$N$12)&gt;=$T$12,HU_beta*((AE87+$L$12+$N$12)-$K$12),HU_beta*($T$12-$K$12)))))</f>
        <v/>
      </c>
      <c r="BG87" s="29">
        <f>IF(OR(BD87=0,$S$12=0),0,IF((AE87+$K$12)&gt;$S$12/HU_alpha+$K$12,0.5*$S$12/HU_alpha,IF((AE87+$K$12)&gt;=$K$12,((AE87+$K$12)-$K$12)-0.5*HU_alpha/$S$12*((AE87+$K$12)-$K$12)^2,IF((AE87+$K$12)&gt;=$T$12,HU_beta*((AE87+$K$12)-$K$12),HU_beta*($T$12-$K$12)))))</f>
        <v/>
      </c>
      <c r="BH87" s="63">
        <f>IF(AND($J$13,A87=$Q$13),J87,0)</f>
        <v/>
      </c>
      <c r="BI87" s="29">
        <f>IF(OR(BH87=0,$S$13=0),0,IF((AE87+$L$13)&gt;$S$13/HU_alpha+$K$13,0.5*$S$13/HU_alpha,IF((AE87+$L$13)&gt;=$K$13,((AE87+$L$13)-$K$13)-0.5*HU_alpha/$S$13*((AE87+$L$13)-$K$13)^2,IF((AE87+$L$13)&gt;=$T$13,HU_beta*((AE87+$L$13)-$K$13),HU_beta*($T$13-$K$13)))))</f>
        <v/>
      </c>
      <c r="BJ87" s="29">
        <f>IF(OR(BH87=0,$S$13=0),0,IF((AE87+$L$13+$N$13)&gt;$S$13/HU_alpha+$K$13,0.5*$S$13/HU_alpha,IF((AE87+$L$13+$N$13)&gt;=$K$13,((AE87+$L$13+$N$13)-$K$13)-0.5*HU_alpha/$S$13*((AE87+$L$13+$N$13)-$K$13)^2,IF((AE87+$L$13+$N$13)&gt;=$T$13,HU_beta*((AE87+$L$13+$N$13)-$K$13),HU_beta*($T$13-$K$13)))))</f>
        <v/>
      </c>
      <c r="BK87" s="29">
        <f>IF(OR(BH87=0,$S$13=0),0,IF((AE87+$K$13)&gt;$S$13/HU_alpha+$K$13,0.5*$S$13/HU_alpha,IF((AE87+$K$13)&gt;=$K$13,((AE87+$K$13)-$K$13)-0.5*HU_alpha/$S$13*((AE87+$K$13)-$K$13)^2,IF((AE87+$K$13)&gt;=$T$13,HU_beta*((AE87+$K$13)-$K$13),HU_beta*($T$13-$K$13)))))</f>
        <v/>
      </c>
    </row>
    <row r="88">
      <c r="A88" s="61" t="n">
        <v>20</v>
      </c>
      <c r="B88" s="61">
        <f>HU_age+A88</f>
        <v/>
      </c>
      <c r="C88" s="52">
        <f>A88&lt;=HU_T</f>
        <v/>
      </c>
      <c r="D88" s="63">
        <f>IF(OR(A88&lt;1,A88&gt;HU_T),0,INDEX(HU_q_mort,HU_age+A88-17,HU_col))</f>
        <v/>
      </c>
      <c r="E88" s="63">
        <f>IF(OR(A88&lt;1,A88&gt;HU_T),0,INDEX(HU_q_adb,HU_age+A88-17,HU_col))</f>
        <v/>
      </c>
      <c r="F88" s="63">
        <f>IF(OR(A88&lt;1,A88&gt;HU_T),0,INDEX(HU_q_morb,HU_age+A88-17,HU_col))</f>
        <v/>
      </c>
      <c r="G88" s="63">
        <f>IF(OR(A88&lt;1,A88&gt;HU_T),0,INDEX(HU_q_ptd,HU_age+A88-17,HU_col))</f>
        <v/>
      </c>
      <c r="H88" s="63">
        <f>IF(OR(A88&lt;1,A88&gt;HU_T),0,INDEX(HU_q_dis,HU_age+A88-17,HU_col))</f>
        <v/>
      </c>
      <c r="I88" s="63">
        <f>IF(A88&gt;HU_T,0,I87*(1-D88)*(1-E88))</f>
        <v/>
      </c>
      <c r="J88" s="63">
        <f>IF(A88&gt;=HU_T,0,N(I89))</f>
        <v/>
      </c>
      <c r="K88" s="63">
        <f>K87*(1-G88)</f>
        <v/>
      </c>
      <c r="L88" s="63">
        <f>1-K88</f>
        <v/>
      </c>
      <c r="M88" s="63">
        <f>K87*G88</f>
        <v/>
      </c>
      <c r="N88" s="63">
        <f>N87*(1-H88)</f>
        <v/>
      </c>
      <c r="O88" s="63">
        <f>1-N87</f>
        <v/>
      </c>
      <c r="P88" s="63">
        <f>P87*(1-F88)</f>
        <v/>
      </c>
      <c r="Q88" s="63">
        <f>1-P87/INDEX($P$68:$P$150,MAX(1,A88-HU_ciYears))</f>
        <v/>
      </c>
      <c r="R88" s="60">
        <f>(1+inflationRate)^A88</f>
        <v/>
      </c>
      <c r="S88" s="29">
        <f>IF(OR(OR(A88&lt;1,A88&gt;HU_T),A88-1&gt;=HU_dtr),0,HU_inc0*(1+incomeGrowthRate)^A88)</f>
        <v/>
      </c>
      <c r="T88" s="60">
        <f>IF(A88&gt;HU_T,T87,T87*(1+INDEX(HU_ssG,HU_age+A88-17)))</f>
        <v/>
      </c>
      <c r="U88" s="29">
        <f>IF(AND(HU_dtr&gt;=1,A88=HU_dtr,A88&lt;=HU_T),MIN(S88*INDEX(HU_ssC,HU_age+A88-17)/(1-INDEX(HU_ssC,HU_age+A88-17)),INDEX(HU_ssCap,HU_age+A88-17))*T88,0)</f>
        <v/>
      </c>
      <c r="V88" s="29">
        <f>S88+U88+IF(AND(HU_wdOn,A88=HU_wdYear),HU_wdIncome,0)</f>
        <v/>
      </c>
      <c r="W88" s="60">
        <f>HU_ciProp*Q88+HU_tpdCut*L88+HU_disCut*O88</f>
        <v/>
      </c>
      <c r="X88" s="29">
        <f>IF(OR(A88&lt;1,A88&gt;HU_T),0,V88*(1-W88))</f>
        <v/>
      </c>
      <c r="Y88" s="29">
        <f>IF(OR(A88&lt;1,A88&gt;HU_T),0,IF(AND(HU_retExp&gt;0,A88-1&gt;=HU_dtr),HU_retExp,HU_exp0)*R88)</f>
        <v/>
      </c>
      <c r="Z88" s="29">
        <f>-Y88-IF(AND(HU_wdOn,A88=HU_wdYear),HU_wdOut,0)</f>
        <v/>
      </c>
      <c r="AA88" s="29">
        <f>IF(OR(A88&lt;1,A88&gt;HU_T),0,-HU_medCost*R88*F88-HU_tpdCost*R88*M88)</f>
        <v/>
      </c>
      <c r="AB88" s="29">
        <f>IF(A88&gt;HU_T,0,AB87*(1+interestRate)+X88+Z88+AA88)</f>
        <v/>
      </c>
      <c r="AC88" s="29">
        <f>IF(A88&gt;HU_T,0,HU_inv*EXP(HU_mu*A88))</f>
        <v/>
      </c>
      <c r="AD88" s="29">
        <f>IF(A88&gt;HU_T,0,MAX(0,AC88+AB88))</f>
        <v/>
      </c>
      <c r="AE88" s="29">
        <f>IF(A88&gt;HU_T,0,MAX(0,X88-Y88))</f>
        <v/>
      </c>
      <c r="AF88" s="63">
        <f>IF(AND($J$6,A88&gt;=1,A88&lt;=$Q$6-1),J88,0)</f>
        <v/>
      </c>
      <c r="AG88" s="29">
        <f>IF(OR(AF88=0,$S$6=0),0,IF((AD88+$L$6)&gt;$S$6/HU_alpha+$K$6,0.5*$S$6/HU_alpha,IF((AD88+$L$6)&gt;=$K$6,((AD88+$L$6)-$K$6)-0.5*HU_alpha/$S$6*((AD88+$L$6)-$K$6)^2,IF((AD88+$L$6)&gt;=$T$6,HU_beta*((AD88+$L$6)-$K$6),HU_beta*($T$6-$K$6)))))</f>
        <v/>
      </c>
      <c r="AH88" s="29">
        <f>IF(OR(AF88=0,$S$6=0),0,IF((AD88+$L$6+$N$6)&gt;$S$6/HU_alpha+$K$6,0.5*$S$6/HU_alpha,IF((AD88+$L$6+$N$6)&gt;=$K$6,((AD88+$L$6+$N$6)-$K$6)-0.5*HU_alpha/$S$6*((AD88+$L$6+$N$6)-$K$6)^2,IF((AD88+$L$6+$N$6)&gt;=$T$6,HU_beta*((AD88+$L$6+$N$6)-$K$6),HU_beta*($T$6-$K$6)))))</f>
        <v/>
      </c>
      <c r="AI88" s="29">
        <f>IF(OR(AF88=0,$S$6=0),0,IF((AD88+$K$6)&gt;$S$6/HU_alpha+$K$6,0.5*$S$6/HU_alpha,IF((AD88+$K$6)&gt;=$K$6,((AD88+$K$6)-$K$6)-0.5*HU_alpha/$S$6*((AD88+$K$6)-$K$6)^2,IF((AD88+$K$6)&gt;=$T$6,HU_beta*((AD88+$K$6)-$K$6),HU_beta*($T$6-$K$6)))))</f>
        <v/>
      </c>
      <c r="AJ88" s="63">
        <f>IF(AND($J$7,A88&gt;=1,A88&lt;=$Q$7-1),J88,0)</f>
        <v/>
      </c>
      <c r="AK88" s="29">
        <f>IF(OR(AJ88=0,$S$7=0),0,IF((AE88+$L$7)&gt;$S$7/HU_alpha+$K$7,0.5*$S$7/HU_alpha,IF((AE88+$L$7)&gt;=$K$7,((AE88+$L$7)-$K$7)-0.5*HU_alpha/$S$7*((AE88+$L$7)-$K$7)^2,IF((AE88+$L$7)&gt;=$T$7,HU_beta*((AE88+$L$7)-$K$7),HU_beta*($T$7-$K$7)))))</f>
        <v/>
      </c>
      <c r="AL88" s="29">
        <f>IF(OR(AJ88=0,$S$7=0),0,IF((AE88+$L$7+$N$7)&gt;$S$7/HU_alpha+$K$7,0.5*$S$7/HU_alpha,IF((AE88+$L$7+$N$7)&gt;=$K$7,((AE88+$L$7+$N$7)-$K$7)-0.5*HU_alpha/$S$7*((AE88+$L$7+$N$7)-$K$7)^2,IF((AE88+$L$7+$N$7)&gt;=$T$7,HU_beta*((AE88+$L$7+$N$7)-$K$7),HU_beta*($T$7-$K$7)))))</f>
        <v/>
      </c>
      <c r="AM88" s="29">
        <f>IF(OR(AJ88=0,$S$7=0),0,IF((AE88+$K$7)&gt;$S$7/HU_alpha+$K$7,0.5*$S$7/HU_alpha,IF((AE88+$K$7)&gt;=$K$7,((AE88+$K$7)-$K$7)-0.5*HU_alpha/$S$7*((AE88+$K$7)-$K$7)^2,IF((AE88+$K$7)&gt;=$T$7,HU_beta*((AE88+$K$7)-$K$7),HU_beta*($T$7-$K$7)))))</f>
        <v/>
      </c>
      <c r="AN88" s="63">
        <f>IF(AND($J$8,A88&gt;=1,A88&lt;=$Q$8-1),J88,0)</f>
        <v/>
      </c>
      <c r="AO88" s="29">
        <f>IF(OR(AN88=0,$S$8=0),0,IF((AE88+$L$8)&gt;$S$8/HU_alpha+$K$8,0.5*$S$8/HU_alpha,IF((AE88+$L$8)&gt;=$K$8,((AE88+$L$8)-$K$8)-0.5*HU_alpha/$S$8*((AE88+$L$8)-$K$8)^2,IF((AE88+$L$8)&gt;=$T$8,HU_beta*((AE88+$L$8)-$K$8),HU_beta*($T$8-$K$8)))))</f>
        <v/>
      </c>
      <c r="AP88" s="29">
        <f>IF(OR(AN88=0,$S$8=0),0,IF((AE88+$L$8+$N$8)&gt;$S$8/HU_alpha+$K$8,0.5*$S$8/HU_alpha,IF((AE88+$L$8+$N$8)&gt;=$K$8,((AE88+$L$8+$N$8)-$K$8)-0.5*HU_alpha/$S$8*((AE88+$L$8+$N$8)-$K$8)^2,IF((AE88+$L$8+$N$8)&gt;=$T$8,HU_beta*((AE88+$L$8+$N$8)-$K$8),HU_beta*($T$8-$K$8)))))</f>
        <v/>
      </c>
      <c r="AQ88" s="29">
        <f>IF(OR(AN88=0,$S$8=0),0,IF((AE88+$K$8)&gt;$S$8/HU_alpha+$K$8,0.5*$S$8/HU_alpha,IF((AE88+$K$8)&gt;=$K$8,((AE88+$K$8)-$K$8)-0.5*HU_alpha/$S$8*((AE88+$K$8)-$K$8)^2,IF((AE88+$K$8)&gt;=$T$8,HU_beta*((AE88+$K$8)-$K$8),HU_beta*($T$8-$K$8)))))</f>
        <v/>
      </c>
      <c r="AR88" s="63">
        <f>IF(AND($J$9,A88&gt;=1,A88&lt;=$Q$9-1),J88,0)</f>
        <v/>
      </c>
      <c r="AS88" s="29">
        <f>IF(OR(AR88=0,$S$9=0),0,IF((AE88+$L$9)&gt;$S$9/HU_alpha+$K$9,0.5*$S$9/HU_alpha,IF((AE88+$L$9)&gt;=$K$9,((AE88+$L$9)-$K$9)-0.5*HU_alpha/$S$9*((AE88+$L$9)-$K$9)^2,IF((AE88+$L$9)&gt;=$T$9,HU_beta*((AE88+$L$9)-$K$9),HU_beta*($T$9-$K$9)))))</f>
        <v/>
      </c>
      <c r="AT88" s="29">
        <f>IF(OR(AR88=0,$S$9=0),0,IF((AE88+$L$9+$N$9)&gt;$S$9/HU_alpha+$K$9,0.5*$S$9/HU_alpha,IF((AE88+$L$9+$N$9)&gt;=$K$9,((AE88+$L$9+$N$9)-$K$9)-0.5*HU_alpha/$S$9*((AE88+$L$9+$N$9)-$K$9)^2,IF((AE88+$L$9+$N$9)&gt;=$T$9,HU_beta*((AE88+$L$9+$N$9)-$K$9),HU_beta*($T$9-$K$9)))))</f>
        <v/>
      </c>
      <c r="AU88" s="29">
        <f>IF(OR(AR88=0,$S$9=0),0,IF((AE88+$K$9)&gt;$S$9/HU_alpha+$K$9,0.5*$S$9/HU_alpha,IF((AE88+$K$9)&gt;=$K$9,((AE88+$K$9)-$K$9)-0.5*HU_alpha/$S$9*((AE88+$K$9)-$K$9)^2,IF((AE88+$K$9)&gt;=$T$9,HU_beta*((AE88+$K$9)-$K$9),HU_beta*($T$9-$K$9)))))</f>
        <v/>
      </c>
      <c r="AV88" s="63">
        <f>IF(AND($J$10,A88=$Q$10),J88,0)</f>
        <v/>
      </c>
      <c r="AW88" s="29">
        <f>IF(OR(AV88=0,$S$10=0),0,IF((AD88+$L$10)&gt;$S$10/HU_alpha+$K$10,0.5*$S$10/HU_alpha,IF((AD88+$L$10)&gt;=$K$10,((AD88+$L$10)-$K$10)-0.5*HU_alpha/$S$10*((AD88+$L$10)-$K$10)^2,IF((AD88+$L$10)&gt;=$T$10,HU_beta*((AD88+$L$10)-$K$10),HU_beta*($T$10-$K$10)))))</f>
        <v/>
      </c>
      <c r="AX88" s="29">
        <f>IF(OR(AV88=0,$S$10=0),0,IF((AD88+$L$10+$N$10)&gt;$S$10/HU_alpha+$K$10,0.5*$S$10/HU_alpha,IF((AD88+$L$10+$N$10)&gt;=$K$10,((AD88+$L$10+$N$10)-$K$10)-0.5*HU_alpha/$S$10*((AD88+$L$10+$N$10)-$K$10)^2,IF((AD88+$L$10+$N$10)&gt;=$T$10,HU_beta*((AD88+$L$10+$N$10)-$K$10),HU_beta*($T$10-$K$10)))))</f>
        <v/>
      </c>
      <c r="AY88" s="29">
        <f>IF(OR(AV88=0,$S$10=0),0,IF((AD88+$K$10)&gt;$S$10/HU_alpha+$K$10,0.5*$S$10/HU_alpha,IF((AD88+$K$10)&gt;=$K$10,((AD88+$K$10)-$K$10)-0.5*HU_alpha/$S$10*((AD88+$K$10)-$K$10)^2,IF((AD88+$K$10)&gt;=$T$10,HU_beta*((AD88+$K$10)-$K$10),HU_beta*($T$10-$K$10)))))</f>
        <v/>
      </c>
      <c r="AZ88" s="63">
        <f>IF(AND($J$11,A88=$Q$11),J88,0)</f>
        <v/>
      </c>
      <c r="BA88" s="29">
        <f>IF(OR(AZ88=0,$S$11=0),0,IF((AE88+$L$11)&gt;$S$11/HU_alpha+$K$11,0.5*$S$11/HU_alpha,IF((AE88+$L$11)&gt;=$K$11,((AE88+$L$11)-$K$11)-0.5*HU_alpha/$S$11*((AE88+$L$11)-$K$11)^2,IF((AE88+$L$11)&gt;=$T$11,HU_beta*((AE88+$L$11)-$K$11),HU_beta*($T$11-$K$11)))))</f>
        <v/>
      </c>
      <c r="BB88" s="29">
        <f>IF(OR(AZ88=0,$S$11=0),0,IF((AE88+$L$11+$N$11)&gt;$S$11/HU_alpha+$K$11,0.5*$S$11/HU_alpha,IF((AE88+$L$11+$N$11)&gt;=$K$11,((AE88+$L$11+$N$11)-$K$11)-0.5*HU_alpha/$S$11*((AE88+$L$11+$N$11)-$K$11)^2,IF((AE88+$L$11+$N$11)&gt;=$T$11,HU_beta*((AE88+$L$11+$N$11)-$K$11),HU_beta*($T$11-$K$11)))))</f>
        <v/>
      </c>
      <c r="BC88" s="29">
        <f>IF(OR(AZ88=0,$S$11=0),0,IF((AE88+$K$11)&gt;$S$11/HU_alpha+$K$11,0.5*$S$11/HU_alpha,IF((AE88+$K$11)&gt;=$K$11,((AE88+$K$11)-$K$11)-0.5*HU_alpha/$S$11*((AE88+$K$11)-$K$11)^2,IF((AE88+$K$11)&gt;=$T$11,HU_beta*((AE88+$K$11)-$K$11),HU_beta*($T$11-$K$11)))))</f>
        <v/>
      </c>
      <c r="BD88" s="63">
        <f>IF(AND($J$12,A88=$Q$12),J88,0)</f>
        <v/>
      </c>
      <c r="BE88" s="29">
        <f>IF(OR(BD88=0,$S$12=0),0,IF((AE88+$L$12)&gt;$S$12/HU_alpha+$K$12,0.5*$S$12/HU_alpha,IF((AE88+$L$12)&gt;=$K$12,((AE88+$L$12)-$K$12)-0.5*HU_alpha/$S$12*((AE88+$L$12)-$K$12)^2,IF((AE88+$L$12)&gt;=$T$12,HU_beta*((AE88+$L$12)-$K$12),HU_beta*($T$12-$K$12)))))</f>
        <v/>
      </c>
      <c r="BF88" s="29">
        <f>IF(OR(BD88=0,$S$12=0),0,IF((AE88+$L$12+$N$12)&gt;$S$12/HU_alpha+$K$12,0.5*$S$12/HU_alpha,IF((AE88+$L$12+$N$12)&gt;=$K$12,((AE88+$L$12+$N$12)-$K$12)-0.5*HU_alpha/$S$12*((AE88+$L$12+$N$12)-$K$12)^2,IF((AE88+$L$12+$N$12)&gt;=$T$12,HU_beta*((AE88+$L$12+$N$12)-$K$12),HU_beta*($T$12-$K$12)))))</f>
        <v/>
      </c>
      <c r="BG88" s="29">
        <f>IF(OR(BD88=0,$S$12=0),0,IF((AE88+$K$12)&gt;$S$12/HU_alpha+$K$12,0.5*$S$12/HU_alpha,IF((AE88+$K$12)&gt;=$K$12,((AE88+$K$12)-$K$12)-0.5*HU_alpha/$S$12*((AE88+$K$12)-$K$12)^2,IF((AE88+$K$12)&gt;=$T$12,HU_beta*((AE88+$K$12)-$K$12),HU_beta*($T$12-$K$12)))))</f>
        <v/>
      </c>
      <c r="BH88" s="63">
        <f>IF(AND($J$13,A88=$Q$13),J88,0)</f>
        <v/>
      </c>
      <c r="BI88" s="29">
        <f>IF(OR(BH88=0,$S$13=0),0,IF((AE88+$L$13)&gt;$S$13/HU_alpha+$K$13,0.5*$S$13/HU_alpha,IF((AE88+$L$13)&gt;=$K$13,((AE88+$L$13)-$K$13)-0.5*HU_alpha/$S$13*((AE88+$L$13)-$K$13)^2,IF((AE88+$L$13)&gt;=$T$13,HU_beta*((AE88+$L$13)-$K$13),HU_beta*($T$13-$K$13)))))</f>
        <v/>
      </c>
      <c r="BJ88" s="29">
        <f>IF(OR(BH88=0,$S$13=0),0,IF((AE88+$L$13+$N$13)&gt;$S$13/HU_alpha+$K$13,0.5*$S$13/HU_alpha,IF((AE88+$L$13+$N$13)&gt;=$K$13,((AE88+$L$13+$N$13)-$K$13)-0.5*HU_alpha/$S$13*((AE88+$L$13+$N$13)-$K$13)^2,IF((AE88+$L$13+$N$13)&gt;=$T$13,HU_beta*((AE88+$L$13+$N$13)-$K$13),HU_beta*($T$13-$K$13)))))</f>
        <v/>
      </c>
      <c r="BK88" s="29">
        <f>IF(OR(BH88=0,$S$13=0),0,IF((AE88+$K$13)&gt;$S$13/HU_alpha+$K$13,0.5*$S$13/HU_alpha,IF((AE88+$K$13)&gt;=$K$13,((AE88+$K$13)-$K$13)-0.5*HU_alpha/$S$13*((AE88+$K$13)-$K$13)^2,IF((AE88+$K$13)&gt;=$T$13,HU_beta*((AE88+$K$13)-$K$13),HU_beta*($T$13-$K$13)))))</f>
        <v/>
      </c>
    </row>
    <row r="89">
      <c r="A89" s="61" t="n">
        <v>21</v>
      </c>
      <c r="B89" s="61">
        <f>HU_age+A89</f>
        <v/>
      </c>
      <c r="C89" s="52">
        <f>A89&lt;=HU_T</f>
        <v/>
      </c>
      <c r="D89" s="63">
        <f>IF(OR(A89&lt;1,A89&gt;HU_T),0,INDEX(HU_q_mort,HU_age+A89-17,HU_col))</f>
        <v/>
      </c>
      <c r="E89" s="63">
        <f>IF(OR(A89&lt;1,A89&gt;HU_T),0,INDEX(HU_q_adb,HU_age+A89-17,HU_col))</f>
        <v/>
      </c>
      <c r="F89" s="63">
        <f>IF(OR(A89&lt;1,A89&gt;HU_T),0,INDEX(HU_q_morb,HU_age+A89-17,HU_col))</f>
        <v/>
      </c>
      <c r="G89" s="63">
        <f>IF(OR(A89&lt;1,A89&gt;HU_T),0,INDEX(HU_q_ptd,HU_age+A89-17,HU_col))</f>
        <v/>
      </c>
      <c r="H89" s="63">
        <f>IF(OR(A89&lt;1,A89&gt;HU_T),0,INDEX(HU_q_dis,HU_age+A89-17,HU_col))</f>
        <v/>
      </c>
      <c r="I89" s="63">
        <f>IF(A89&gt;HU_T,0,I88*(1-D89)*(1-E89))</f>
        <v/>
      </c>
      <c r="J89" s="63">
        <f>IF(A89&gt;=HU_T,0,N(I90))</f>
        <v/>
      </c>
      <c r="K89" s="63">
        <f>K88*(1-G89)</f>
        <v/>
      </c>
      <c r="L89" s="63">
        <f>1-K89</f>
        <v/>
      </c>
      <c r="M89" s="63">
        <f>K88*G89</f>
        <v/>
      </c>
      <c r="N89" s="63">
        <f>N88*(1-H89)</f>
        <v/>
      </c>
      <c r="O89" s="63">
        <f>1-N88</f>
        <v/>
      </c>
      <c r="P89" s="63">
        <f>P88*(1-F89)</f>
        <v/>
      </c>
      <c r="Q89" s="63">
        <f>1-P88/INDEX($P$68:$P$150,MAX(1,A89-HU_ciYears))</f>
        <v/>
      </c>
      <c r="R89" s="60">
        <f>(1+inflationRate)^A89</f>
        <v/>
      </c>
      <c r="S89" s="29">
        <f>IF(OR(OR(A89&lt;1,A89&gt;HU_T),A89-1&gt;=HU_dtr),0,HU_inc0*(1+incomeGrowthRate)^A89)</f>
        <v/>
      </c>
      <c r="T89" s="60">
        <f>IF(A89&gt;HU_T,T88,T88*(1+INDEX(HU_ssG,HU_age+A89-17)))</f>
        <v/>
      </c>
      <c r="U89" s="29">
        <f>IF(AND(HU_dtr&gt;=1,A89=HU_dtr,A89&lt;=HU_T),MIN(S89*INDEX(HU_ssC,HU_age+A89-17)/(1-INDEX(HU_ssC,HU_age+A89-17)),INDEX(HU_ssCap,HU_age+A89-17))*T89,0)</f>
        <v/>
      </c>
      <c r="V89" s="29">
        <f>S89+U89+IF(AND(HU_wdOn,A89=HU_wdYear),HU_wdIncome,0)</f>
        <v/>
      </c>
      <c r="W89" s="60">
        <f>HU_ciProp*Q89+HU_tpdCut*L89+HU_disCut*O89</f>
        <v/>
      </c>
      <c r="X89" s="29">
        <f>IF(OR(A89&lt;1,A89&gt;HU_T),0,V89*(1-W89))</f>
        <v/>
      </c>
      <c r="Y89" s="29">
        <f>IF(OR(A89&lt;1,A89&gt;HU_T),0,IF(AND(HU_retExp&gt;0,A89-1&gt;=HU_dtr),HU_retExp,HU_exp0)*R89)</f>
        <v/>
      </c>
      <c r="Z89" s="29">
        <f>-Y89-IF(AND(HU_wdOn,A89=HU_wdYear),HU_wdOut,0)</f>
        <v/>
      </c>
      <c r="AA89" s="29">
        <f>IF(OR(A89&lt;1,A89&gt;HU_T),0,-HU_medCost*R89*F89-HU_tpdCost*R89*M89)</f>
        <v/>
      </c>
      <c r="AB89" s="29">
        <f>IF(A89&gt;HU_T,0,AB88*(1+interestRate)+X89+Z89+AA89)</f>
        <v/>
      </c>
      <c r="AC89" s="29">
        <f>IF(A89&gt;HU_T,0,HU_inv*EXP(HU_mu*A89))</f>
        <v/>
      </c>
      <c r="AD89" s="29">
        <f>IF(A89&gt;HU_T,0,MAX(0,AC89+AB89))</f>
        <v/>
      </c>
      <c r="AE89" s="29">
        <f>IF(A89&gt;HU_T,0,MAX(0,X89-Y89))</f>
        <v/>
      </c>
      <c r="AF89" s="63">
        <f>IF(AND($J$6,A89&gt;=1,A89&lt;=$Q$6-1),J89,0)</f>
        <v/>
      </c>
      <c r="AG89" s="29">
        <f>IF(OR(AF89=0,$S$6=0),0,IF((AD89+$L$6)&gt;$S$6/HU_alpha+$K$6,0.5*$S$6/HU_alpha,IF((AD89+$L$6)&gt;=$K$6,((AD89+$L$6)-$K$6)-0.5*HU_alpha/$S$6*((AD89+$L$6)-$K$6)^2,IF((AD89+$L$6)&gt;=$T$6,HU_beta*((AD89+$L$6)-$K$6),HU_beta*($T$6-$K$6)))))</f>
        <v/>
      </c>
      <c r="AH89" s="29">
        <f>IF(OR(AF89=0,$S$6=0),0,IF((AD89+$L$6+$N$6)&gt;$S$6/HU_alpha+$K$6,0.5*$S$6/HU_alpha,IF((AD89+$L$6+$N$6)&gt;=$K$6,((AD89+$L$6+$N$6)-$K$6)-0.5*HU_alpha/$S$6*((AD89+$L$6+$N$6)-$K$6)^2,IF((AD89+$L$6+$N$6)&gt;=$T$6,HU_beta*((AD89+$L$6+$N$6)-$K$6),HU_beta*($T$6-$K$6)))))</f>
        <v/>
      </c>
      <c r="AI89" s="29">
        <f>IF(OR(AF89=0,$S$6=0),0,IF((AD89+$K$6)&gt;$S$6/HU_alpha+$K$6,0.5*$S$6/HU_alpha,IF((AD89+$K$6)&gt;=$K$6,((AD89+$K$6)-$K$6)-0.5*HU_alpha/$S$6*((AD89+$K$6)-$K$6)^2,IF((AD89+$K$6)&gt;=$T$6,HU_beta*((AD89+$K$6)-$K$6),HU_beta*($T$6-$K$6)))))</f>
        <v/>
      </c>
      <c r="AJ89" s="63">
        <f>IF(AND($J$7,A89&gt;=1,A89&lt;=$Q$7-1),J89,0)</f>
        <v/>
      </c>
      <c r="AK89" s="29">
        <f>IF(OR(AJ89=0,$S$7=0),0,IF((AE89+$L$7)&gt;$S$7/HU_alpha+$K$7,0.5*$S$7/HU_alpha,IF((AE89+$L$7)&gt;=$K$7,((AE89+$L$7)-$K$7)-0.5*HU_alpha/$S$7*((AE89+$L$7)-$K$7)^2,IF((AE89+$L$7)&gt;=$T$7,HU_beta*((AE89+$L$7)-$K$7),HU_beta*($T$7-$K$7)))))</f>
        <v/>
      </c>
      <c r="AL89" s="29">
        <f>IF(OR(AJ89=0,$S$7=0),0,IF((AE89+$L$7+$N$7)&gt;$S$7/HU_alpha+$K$7,0.5*$S$7/HU_alpha,IF((AE89+$L$7+$N$7)&gt;=$K$7,((AE89+$L$7+$N$7)-$K$7)-0.5*HU_alpha/$S$7*((AE89+$L$7+$N$7)-$K$7)^2,IF((AE89+$L$7+$N$7)&gt;=$T$7,HU_beta*((AE89+$L$7+$N$7)-$K$7),HU_beta*($T$7-$K$7)))))</f>
        <v/>
      </c>
      <c r="AM89" s="29">
        <f>IF(OR(AJ89=0,$S$7=0),0,IF((AE89+$K$7)&gt;$S$7/HU_alpha+$K$7,0.5*$S$7/HU_alpha,IF((AE89+$K$7)&gt;=$K$7,((AE89+$K$7)-$K$7)-0.5*HU_alpha/$S$7*((AE89+$K$7)-$K$7)^2,IF((AE89+$K$7)&gt;=$T$7,HU_beta*((AE89+$K$7)-$K$7),HU_beta*($T$7-$K$7)))))</f>
        <v/>
      </c>
      <c r="AN89" s="63">
        <f>IF(AND($J$8,A89&gt;=1,A89&lt;=$Q$8-1),J89,0)</f>
        <v/>
      </c>
      <c r="AO89" s="29">
        <f>IF(OR(AN89=0,$S$8=0),0,IF((AE89+$L$8)&gt;$S$8/HU_alpha+$K$8,0.5*$S$8/HU_alpha,IF((AE89+$L$8)&gt;=$K$8,((AE89+$L$8)-$K$8)-0.5*HU_alpha/$S$8*((AE89+$L$8)-$K$8)^2,IF((AE89+$L$8)&gt;=$T$8,HU_beta*((AE89+$L$8)-$K$8),HU_beta*($T$8-$K$8)))))</f>
        <v/>
      </c>
      <c r="AP89" s="29">
        <f>IF(OR(AN89=0,$S$8=0),0,IF((AE89+$L$8+$N$8)&gt;$S$8/HU_alpha+$K$8,0.5*$S$8/HU_alpha,IF((AE89+$L$8+$N$8)&gt;=$K$8,((AE89+$L$8+$N$8)-$K$8)-0.5*HU_alpha/$S$8*((AE89+$L$8+$N$8)-$K$8)^2,IF((AE89+$L$8+$N$8)&gt;=$T$8,HU_beta*((AE89+$L$8+$N$8)-$K$8),HU_beta*($T$8-$K$8)))))</f>
        <v/>
      </c>
      <c r="AQ89" s="29">
        <f>IF(OR(AN89=0,$S$8=0),0,IF((AE89+$K$8)&gt;$S$8/HU_alpha+$K$8,0.5*$S$8/HU_alpha,IF((AE89+$K$8)&gt;=$K$8,((AE89+$K$8)-$K$8)-0.5*HU_alpha/$S$8*((AE89+$K$8)-$K$8)^2,IF((AE89+$K$8)&gt;=$T$8,HU_beta*((AE89+$K$8)-$K$8),HU_beta*($T$8-$K$8)))))</f>
        <v/>
      </c>
      <c r="AR89" s="63">
        <f>IF(AND($J$9,A89&gt;=1,A89&lt;=$Q$9-1),J89,0)</f>
        <v/>
      </c>
      <c r="AS89" s="29">
        <f>IF(OR(AR89=0,$S$9=0),0,IF((AE89+$L$9)&gt;$S$9/HU_alpha+$K$9,0.5*$S$9/HU_alpha,IF((AE89+$L$9)&gt;=$K$9,((AE89+$L$9)-$K$9)-0.5*HU_alpha/$S$9*((AE89+$L$9)-$K$9)^2,IF((AE89+$L$9)&gt;=$T$9,HU_beta*((AE89+$L$9)-$K$9),HU_beta*($T$9-$K$9)))))</f>
        <v/>
      </c>
      <c r="AT89" s="29">
        <f>IF(OR(AR89=0,$S$9=0),0,IF((AE89+$L$9+$N$9)&gt;$S$9/HU_alpha+$K$9,0.5*$S$9/HU_alpha,IF((AE89+$L$9+$N$9)&gt;=$K$9,((AE89+$L$9+$N$9)-$K$9)-0.5*HU_alpha/$S$9*((AE89+$L$9+$N$9)-$K$9)^2,IF((AE89+$L$9+$N$9)&gt;=$T$9,HU_beta*((AE89+$L$9+$N$9)-$K$9),HU_beta*($T$9-$K$9)))))</f>
        <v/>
      </c>
      <c r="AU89" s="29">
        <f>IF(OR(AR89=0,$S$9=0),0,IF((AE89+$K$9)&gt;$S$9/HU_alpha+$K$9,0.5*$S$9/HU_alpha,IF((AE89+$K$9)&gt;=$K$9,((AE89+$K$9)-$K$9)-0.5*HU_alpha/$S$9*((AE89+$K$9)-$K$9)^2,IF((AE89+$K$9)&gt;=$T$9,HU_beta*((AE89+$K$9)-$K$9),HU_beta*($T$9-$K$9)))))</f>
        <v/>
      </c>
      <c r="AV89" s="63">
        <f>IF(AND($J$10,A89=$Q$10),J89,0)</f>
        <v/>
      </c>
      <c r="AW89" s="29">
        <f>IF(OR(AV89=0,$S$10=0),0,IF((AD89+$L$10)&gt;$S$10/HU_alpha+$K$10,0.5*$S$10/HU_alpha,IF((AD89+$L$10)&gt;=$K$10,((AD89+$L$10)-$K$10)-0.5*HU_alpha/$S$10*((AD89+$L$10)-$K$10)^2,IF((AD89+$L$10)&gt;=$T$10,HU_beta*((AD89+$L$10)-$K$10),HU_beta*($T$10-$K$10)))))</f>
        <v/>
      </c>
      <c r="AX89" s="29">
        <f>IF(OR(AV89=0,$S$10=0),0,IF((AD89+$L$10+$N$10)&gt;$S$10/HU_alpha+$K$10,0.5*$S$10/HU_alpha,IF((AD89+$L$10+$N$10)&gt;=$K$10,((AD89+$L$10+$N$10)-$K$10)-0.5*HU_alpha/$S$10*((AD89+$L$10+$N$10)-$K$10)^2,IF((AD89+$L$10+$N$10)&gt;=$T$10,HU_beta*((AD89+$L$10+$N$10)-$K$10),HU_beta*($T$10-$K$10)))))</f>
        <v/>
      </c>
      <c r="AY89" s="29">
        <f>IF(OR(AV89=0,$S$10=0),0,IF((AD89+$K$10)&gt;$S$10/HU_alpha+$K$10,0.5*$S$10/HU_alpha,IF((AD89+$K$10)&gt;=$K$10,((AD89+$K$10)-$K$10)-0.5*HU_alpha/$S$10*((AD89+$K$10)-$K$10)^2,IF((AD89+$K$10)&gt;=$T$10,HU_beta*((AD89+$K$10)-$K$10),HU_beta*($T$10-$K$10)))))</f>
        <v/>
      </c>
      <c r="AZ89" s="63">
        <f>IF(AND($J$11,A89=$Q$11),J89,0)</f>
        <v/>
      </c>
      <c r="BA89" s="29">
        <f>IF(OR(AZ89=0,$S$11=0),0,IF((AE89+$L$11)&gt;$S$11/HU_alpha+$K$11,0.5*$S$11/HU_alpha,IF((AE89+$L$11)&gt;=$K$11,((AE89+$L$11)-$K$11)-0.5*HU_alpha/$S$11*((AE89+$L$11)-$K$11)^2,IF((AE89+$L$11)&gt;=$T$11,HU_beta*((AE89+$L$11)-$K$11),HU_beta*($T$11-$K$11)))))</f>
        <v/>
      </c>
      <c r="BB89" s="29">
        <f>IF(OR(AZ89=0,$S$11=0),0,IF((AE89+$L$11+$N$11)&gt;$S$11/HU_alpha+$K$11,0.5*$S$11/HU_alpha,IF((AE89+$L$11+$N$11)&gt;=$K$11,((AE89+$L$11+$N$11)-$K$11)-0.5*HU_alpha/$S$11*((AE89+$L$11+$N$11)-$K$11)^2,IF((AE89+$L$11+$N$11)&gt;=$T$11,HU_beta*((AE89+$L$11+$N$11)-$K$11),HU_beta*($T$11-$K$11)))))</f>
        <v/>
      </c>
      <c r="BC89" s="29">
        <f>IF(OR(AZ89=0,$S$11=0),0,IF((AE89+$K$11)&gt;$S$11/HU_alpha+$K$11,0.5*$S$11/HU_alpha,IF((AE89+$K$11)&gt;=$K$11,((AE89+$K$11)-$K$11)-0.5*HU_alpha/$S$11*((AE89+$K$11)-$K$11)^2,IF((AE89+$K$11)&gt;=$T$11,HU_beta*((AE89+$K$11)-$K$11),HU_beta*($T$11-$K$11)))))</f>
        <v/>
      </c>
      <c r="BD89" s="63">
        <f>IF(AND($J$12,A89=$Q$12),J89,0)</f>
        <v/>
      </c>
      <c r="BE89" s="29">
        <f>IF(OR(BD89=0,$S$12=0),0,IF((AE89+$L$12)&gt;$S$12/HU_alpha+$K$12,0.5*$S$12/HU_alpha,IF((AE89+$L$12)&gt;=$K$12,((AE89+$L$12)-$K$12)-0.5*HU_alpha/$S$12*((AE89+$L$12)-$K$12)^2,IF((AE89+$L$12)&gt;=$T$12,HU_beta*((AE89+$L$12)-$K$12),HU_beta*($T$12-$K$12)))))</f>
        <v/>
      </c>
      <c r="BF89" s="29">
        <f>IF(OR(BD89=0,$S$12=0),0,IF((AE89+$L$12+$N$12)&gt;$S$12/HU_alpha+$K$12,0.5*$S$12/HU_alpha,IF((AE89+$L$12+$N$12)&gt;=$K$12,((AE89+$L$12+$N$12)-$K$12)-0.5*HU_alpha/$S$12*((AE89+$L$12+$N$12)-$K$12)^2,IF((AE89+$L$12+$N$12)&gt;=$T$12,HU_beta*((AE89+$L$12+$N$12)-$K$12),HU_beta*($T$12-$K$12)))))</f>
        <v/>
      </c>
      <c r="BG89" s="29">
        <f>IF(OR(BD89=0,$S$12=0),0,IF((AE89+$K$12)&gt;$S$12/HU_alpha+$K$12,0.5*$S$12/HU_alpha,IF((AE89+$K$12)&gt;=$K$12,((AE89+$K$12)-$K$12)-0.5*HU_alpha/$S$12*((AE89+$K$12)-$K$12)^2,IF((AE89+$K$12)&gt;=$T$12,HU_beta*((AE89+$K$12)-$K$12),HU_beta*($T$12-$K$12)))))</f>
        <v/>
      </c>
      <c r="BH89" s="63">
        <f>IF(AND($J$13,A89=$Q$13),J89,0)</f>
        <v/>
      </c>
      <c r="BI89" s="29">
        <f>IF(OR(BH89=0,$S$13=0),0,IF((AE89+$L$13)&gt;$S$13/HU_alpha+$K$13,0.5*$S$13/HU_alpha,IF((AE89+$L$13)&gt;=$K$13,((AE89+$L$13)-$K$13)-0.5*HU_alpha/$S$13*((AE89+$L$13)-$K$13)^2,IF((AE89+$L$13)&gt;=$T$13,HU_beta*((AE89+$L$13)-$K$13),HU_beta*($T$13-$K$13)))))</f>
        <v/>
      </c>
      <c r="BJ89" s="29">
        <f>IF(OR(BH89=0,$S$13=0),0,IF((AE89+$L$13+$N$13)&gt;$S$13/HU_alpha+$K$13,0.5*$S$13/HU_alpha,IF((AE89+$L$13+$N$13)&gt;=$K$13,((AE89+$L$13+$N$13)-$K$13)-0.5*HU_alpha/$S$13*((AE89+$L$13+$N$13)-$K$13)^2,IF((AE89+$L$13+$N$13)&gt;=$T$13,HU_beta*((AE89+$L$13+$N$13)-$K$13),HU_beta*($T$13-$K$13)))))</f>
        <v/>
      </c>
      <c r="BK89" s="29">
        <f>IF(OR(BH89=0,$S$13=0),0,IF((AE89+$K$13)&gt;$S$13/HU_alpha+$K$13,0.5*$S$13/HU_alpha,IF((AE89+$K$13)&gt;=$K$13,((AE89+$K$13)-$K$13)-0.5*HU_alpha/$S$13*((AE89+$K$13)-$K$13)^2,IF((AE89+$K$13)&gt;=$T$13,HU_beta*((AE89+$K$13)-$K$13),HU_beta*($T$13-$K$13)))))</f>
        <v/>
      </c>
    </row>
    <row r="90">
      <c r="A90" s="61" t="n">
        <v>22</v>
      </c>
      <c r="B90" s="61">
        <f>HU_age+A90</f>
        <v/>
      </c>
      <c r="C90" s="52">
        <f>A90&lt;=HU_T</f>
        <v/>
      </c>
      <c r="D90" s="63">
        <f>IF(OR(A90&lt;1,A90&gt;HU_T),0,INDEX(HU_q_mort,HU_age+A90-17,HU_col))</f>
        <v/>
      </c>
      <c r="E90" s="63">
        <f>IF(OR(A90&lt;1,A90&gt;HU_T),0,INDEX(HU_q_adb,HU_age+A90-17,HU_col))</f>
        <v/>
      </c>
      <c r="F90" s="63">
        <f>IF(OR(A90&lt;1,A90&gt;HU_T),0,INDEX(HU_q_morb,HU_age+A90-17,HU_col))</f>
        <v/>
      </c>
      <c r="G90" s="63">
        <f>IF(OR(A90&lt;1,A90&gt;HU_T),0,INDEX(HU_q_ptd,HU_age+A90-17,HU_col))</f>
        <v/>
      </c>
      <c r="H90" s="63">
        <f>IF(OR(A90&lt;1,A90&gt;HU_T),0,INDEX(HU_q_dis,HU_age+A90-17,HU_col))</f>
        <v/>
      </c>
      <c r="I90" s="63">
        <f>IF(A90&gt;HU_T,0,I89*(1-D90)*(1-E90))</f>
        <v/>
      </c>
      <c r="J90" s="63">
        <f>IF(A90&gt;=HU_T,0,N(I91))</f>
        <v/>
      </c>
      <c r="K90" s="63">
        <f>K89*(1-G90)</f>
        <v/>
      </c>
      <c r="L90" s="63">
        <f>1-K90</f>
        <v/>
      </c>
      <c r="M90" s="63">
        <f>K89*G90</f>
        <v/>
      </c>
      <c r="N90" s="63">
        <f>N89*(1-H90)</f>
        <v/>
      </c>
      <c r="O90" s="63">
        <f>1-N89</f>
        <v/>
      </c>
      <c r="P90" s="63">
        <f>P89*(1-F90)</f>
        <v/>
      </c>
      <c r="Q90" s="63">
        <f>1-P89/INDEX($P$68:$P$150,MAX(1,A90-HU_ciYears))</f>
        <v/>
      </c>
      <c r="R90" s="60">
        <f>(1+inflationRate)^A90</f>
        <v/>
      </c>
      <c r="S90" s="29">
        <f>IF(OR(OR(A90&lt;1,A90&gt;HU_T),A90-1&gt;=HU_dtr),0,HU_inc0*(1+incomeGrowthRate)^A90)</f>
        <v/>
      </c>
      <c r="T90" s="60">
        <f>IF(A90&gt;HU_T,T89,T89*(1+INDEX(HU_ssG,HU_age+A90-17)))</f>
        <v/>
      </c>
      <c r="U90" s="29">
        <f>IF(AND(HU_dtr&gt;=1,A90=HU_dtr,A90&lt;=HU_T),MIN(S90*INDEX(HU_ssC,HU_age+A90-17)/(1-INDEX(HU_ssC,HU_age+A90-17)),INDEX(HU_ssCap,HU_age+A90-17))*T90,0)</f>
        <v/>
      </c>
      <c r="V90" s="29">
        <f>S90+U90+IF(AND(HU_wdOn,A90=HU_wdYear),HU_wdIncome,0)</f>
        <v/>
      </c>
      <c r="W90" s="60">
        <f>HU_ciProp*Q90+HU_tpdCut*L90+HU_disCut*O90</f>
        <v/>
      </c>
      <c r="X90" s="29">
        <f>IF(OR(A90&lt;1,A90&gt;HU_T),0,V90*(1-W90))</f>
        <v/>
      </c>
      <c r="Y90" s="29">
        <f>IF(OR(A90&lt;1,A90&gt;HU_T),0,IF(AND(HU_retExp&gt;0,A90-1&gt;=HU_dtr),HU_retExp,HU_exp0)*R90)</f>
        <v/>
      </c>
      <c r="Z90" s="29">
        <f>-Y90-IF(AND(HU_wdOn,A90=HU_wdYear),HU_wdOut,0)</f>
        <v/>
      </c>
      <c r="AA90" s="29">
        <f>IF(OR(A90&lt;1,A90&gt;HU_T),0,-HU_medCost*R90*F90-HU_tpdCost*R90*M90)</f>
        <v/>
      </c>
      <c r="AB90" s="29">
        <f>IF(A90&gt;HU_T,0,AB89*(1+interestRate)+X90+Z90+AA90)</f>
        <v/>
      </c>
      <c r="AC90" s="29">
        <f>IF(A90&gt;HU_T,0,HU_inv*EXP(HU_mu*A90))</f>
        <v/>
      </c>
      <c r="AD90" s="29">
        <f>IF(A90&gt;HU_T,0,MAX(0,AC90+AB90))</f>
        <v/>
      </c>
      <c r="AE90" s="29">
        <f>IF(A90&gt;HU_T,0,MAX(0,X90-Y90))</f>
        <v/>
      </c>
      <c r="AF90" s="63">
        <f>IF(AND($J$6,A90&gt;=1,A90&lt;=$Q$6-1),J90,0)</f>
        <v/>
      </c>
      <c r="AG90" s="29">
        <f>IF(OR(AF90=0,$S$6=0),0,IF((AD90+$L$6)&gt;$S$6/HU_alpha+$K$6,0.5*$S$6/HU_alpha,IF((AD90+$L$6)&gt;=$K$6,((AD90+$L$6)-$K$6)-0.5*HU_alpha/$S$6*((AD90+$L$6)-$K$6)^2,IF((AD90+$L$6)&gt;=$T$6,HU_beta*((AD90+$L$6)-$K$6),HU_beta*($T$6-$K$6)))))</f>
        <v/>
      </c>
      <c r="AH90" s="29">
        <f>IF(OR(AF90=0,$S$6=0),0,IF((AD90+$L$6+$N$6)&gt;$S$6/HU_alpha+$K$6,0.5*$S$6/HU_alpha,IF((AD90+$L$6+$N$6)&gt;=$K$6,((AD90+$L$6+$N$6)-$K$6)-0.5*HU_alpha/$S$6*((AD90+$L$6+$N$6)-$K$6)^2,IF((AD90+$L$6+$N$6)&gt;=$T$6,HU_beta*((AD90+$L$6+$N$6)-$K$6),HU_beta*($T$6-$K$6)))))</f>
        <v/>
      </c>
      <c r="AI90" s="29">
        <f>IF(OR(AF90=0,$S$6=0),0,IF((AD90+$K$6)&gt;$S$6/HU_alpha+$K$6,0.5*$S$6/HU_alpha,IF((AD90+$K$6)&gt;=$K$6,((AD90+$K$6)-$K$6)-0.5*HU_alpha/$S$6*((AD90+$K$6)-$K$6)^2,IF((AD90+$K$6)&gt;=$T$6,HU_beta*((AD90+$K$6)-$K$6),HU_beta*($T$6-$K$6)))))</f>
        <v/>
      </c>
      <c r="AJ90" s="63">
        <f>IF(AND($J$7,A90&gt;=1,A90&lt;=$Q$7-1),J90,0)</f>
        <v/>
      </c>
      <c r="AK90" s="29">
        <f>IF(OR(AJ90=0,$S$7=0),0,IF((AE90+$L$7)&gt;$S$7/HU_alpha+$K$7,0.5*$S$7/HU_alpha,IF((AE90+$L$7)&gt;=$K$7,((AE90+$L$7)-$K$7)-0.5*HU_alpha/$S$7*((AE90+$L$7)-$K$7)^2,IF((AE90+$L$7)&gt;=$T$7,HU_beta*((AE90+$L$7)-$K$7),HU_beta*($T$7-$K$7)))))</f>
        <v/>
      </c>
      <c r="AL90" s="29">
        <f>IF(OR(AJ90=0,$S$7=0),0,IF((AE90+$L$7+$N$7)&gt;$S$7/HU_alpha+$K$7,0.5*$S$7/HU_alpha,IF((AE90+$L$7+$N$7)&gt;=$K$7,((AE90+$L$7+$N$7)-$K$7)-0.5*HU_alpha/$S$7*((AE90+$L$7+$N$7)-$K$7)^2,IF((AE90+$L$7+$N$7)&gt;=$T$7,HU_beta*((AE90+$L$7+$N$7)-$K$7),HU_beta*($T$7-$K$7)))))</f>
        <v/>
      </c>
      <c r="AM90" s="29">
        <f>IF(OR(AJ90=0,$S$7=0),0,IF((AE90+$K$7)&gt;$S$7/HU_alpha+$K$7,0.5*$S$7/HU_alpha,IF((AE90+$K$7)&gt;=$K$7,((AE90+$K$7)-$K$7)-0.5*HU_alpha/$S$7*((AE90+$K$7)-$K$7)^2,IF((AE90+$K$7)&gt;=$T$7,HU_beta*((AE90+$K$7)-$K$7),HU_beta*($T$7-$K$7)))))</f>
        <v/>
      </c>
      <c r="AN90" s="63">
        <f>IF(AND($J$8,A90&gt;=1,A90&lt;=$Q$8-1),J90,0)</f>
        <v/>
      </c>
      <c r="AO90" s="29">
        <f>IF(OR(AN90=0,$S$8=0),0,IF((AE90+$L$8)&gt;$S$8/HU_alpha+$K$8,0.5*$S$8/HU_alpha,IF((AE90+$L$8)&gt;=$K$8,((AE90+$L$8)-$K$8)-0.5*HU_alpha/$S$8*((AE90+$L$8)-$K$8)^2,IF((AE90+$L$8)&gt;=$T$8,HU_beta*((AE90+$L$8)-$K$8),HU_beta*($T$8-$K$8)))))</f>
        <v/>
      </c>
      <c r="AP90" s="29">
        <f>IF(OR(AN90=0,$S$8=0),0,IF((AE90+$L$8+$N$8)&gt;$S$8/HU_alpha+$K$8,0.5*$S$8/HU_alpha,IF((AE90+$L$8+$N$8)&gt;=$K$8,((AE90+$L$8+$N$8)-$K$8)-0.5*HU_alpha/$S$8*((AE90+$L$8+$N$8)-$K$8)^2,IF((AE90+$L$8+$N$8)&gt;=$T$8,HU_beta*((AE90+$L$8+$N$8)-$K$8),HU_beta*($T$8-$K$8)))))</f>
        <v/>
      </c>
      <c r="AQ90" s="29">
        <f>IF(OR(AN90=0,$S$8=0),0,IF((AE90+$K$8)&gt;$S$8/HU_alpha+$K$8,0.5*$S$8/HU_alpha,IF((AE90+$K$8)&gt;=$K$8,((AE90+$K$8)-$K$8)-0.5*HU_alpha/$S$8*((AE90+$K$8)-$K$8)^2,IF((AE90+$K$8)&gt;=$T$8,HU_beta*((AE90+$K$8)-$K$8),HU_beta*($T$8-$K$8)))))</f>
        <v/>
      </c>
      <c r="AR90" s="63">
        <f>IF(AND($J$9,A90&gt;=1,A90&lt;=$Q$9-1),J90,0)</f>
        <v/>
      </c>
      <c r="AS90" s="29">
        <f>IF(OR(AR90=0,$S$9=0),0,IF((AE90+$L$9)&gt;$S$9/HU_alpha+$K$9,0.5*$S$9/HU_alpha,IF((AE90+$L$9)&gt;=$K$9,((AE90+$L$9)-$K$9)-0.5*HU_alpha/$S$9*((AE90+$L$9)-$K$9)^2,IF((AE90+$L$9)&gt;=$T$9,HU_beta*((AE90+$L$9)-$K$9),HU_beta*($T$9-$K$9)))))</f>
        <v/>
      </c>
      <c r="AT90" s="29">
        <f>IF(OR(AR90=0,$S$9=0),0,IF((AE90+$L$9+$N$9)&gt;$S$9/HU_alpha+$K$9,0.5*$S$9/HU_alpha,IF((AE90+$L$9+$N$9)&gt;=$K$9,((AE90+$L$9+$N$9)-$K$9)-0.5*HU_alpha/$S$9*((AE90+$L$9+$N$9)-$K$9)^2,IF((AE90+$L$9+$N$9)&gt;=$T$9,HU_beta*((AE90+$L$9+$N$9)-$K$9),HU_beta*($T$9-$K$9)))))</f>
        <v/>
      </c>
      <c r="AU90" s="29">
        <f>IF(OR(AR90=0,$S$9=0),0,IF((AE90+$K$9)&gt;$S$9/HU_alpha+$K$9,0.5*$S$9/HU_alpha,IF((AE90+$K$9)&gt;=$K$9,((AE90+$K$9)-$K$9)-0.5*HU_alpha/$S$9*((AE90+$K$9)-$K$9)^2,IF((AE90+$K$9)&gt;=$T$9,HU_beta*((AE90+$K$9)-$K$9),HU_beta*($T$9-$K$9)))))</f>
        <v/>
      </c>
      <c r="AV90" s="63">
        <f>IF(AND($J$10,A90=$Q$10),J90,0)</f>
        <v/>
      </c>
      <c r="AW90" s="29">
        <f>IF(OR(AV90=0,$S$10=0),0,IF((AD90+$L$10)&gt;$S$10/HU_alpha+$K$10,0.5*$S$10/HU_alpha,IF((AD90+$L$10)&gt;=$K$10,((AD90+$L$10)-$K$10)-0.5*HU_alpha/$S$10*((AD90+$L$10)-$K$10)^2,IF((AD90+$L$10)&gt;=$T$10,HU_beta*((AD90+$L$10)-$K$10),HU_beta*($T$10-$K$10)))))</f>
        <v/>
      </c>
      <c r="AX90" s="29">
        <f>IF(OR(AV90=0,$S$10=0),0,IF((AD90+$L$10+$N$10)&gt;$S$10/HU_alpha+$K$10,0.5*$S$10/HU_alpha,IF((AD90+$L$10+$N$10)&gt;=$K$10,((AD90+$L$10+$N$10)-$K$10)-0.5*HU_alpha/$S$10*((AD90+$L$10+$N$10)-$K$10)^2,IF((AD90+$L$10+$N$10)&gt;=$T$10,HU_beta*((AD90+$L$10+$N$10)-$K$10),HU_beta*($T$10-$K$10)))))</f>
        <v/>
      </c>
      <c r="AY90" s="29">
        <f>IF(OR(AV90=0,$S$10=0),0,IF((AD90+$K$10)&gt;$S$10/HU_alpha+$K$10,0.5*$S$10/HU_alpha,IF((AD90+$K$10)&gt;=$K$10,((AD90+$K$10)-$K$10)-0.5*HU_alpha/$S$10*((AD90+$K$10)-$K$10)^2,IF((AD90+$K$10)&gt;=$T$10,HU_beta*((AD90+$K$10)-$K$10),HU_beta*($T$10-$K$10)))))</f>
        <v/>
      </c>
      <c r="AZ90" s="63">
        <f>IF(AND($J$11,A90=$Q$11),J90,0)</f>
        <v/>
      </c>
      <c r="BA90" s="29">
        <f>IF(OR(AZ90=0,$S$11=0),0,IF((AE90+$L$11)&gt;$S$11/HU_alpha+$K$11,0.5*$S$11/HU_alpha,IF((AE90+$L$11)&gt;=$K$11,((AE90+$L$11)-$K$11)-0.5*HU_alpha/$S$11*((AE90+$L$11)-$K$11)^2,IF((AE90+$L$11)&gt;=$T$11,HU_beta*((AE90+$L$11)-$K$11),HU_beta*($T$11-$K$11)))))</f>
        <v/>
      </c>
      <c r="BB90" s="29">
        <f>IF(OR(AZ90=0,$S$11=0),0,IF((AE90+$L$11+$N$11)&gt;$S$11/HU_alpha+$K$11,0.5*$S$11/HU_alpha,IF((AE90+$L$11+$N$11)&gt;=$K$11,((AE90+$L$11+$N$11)-$K$11)-0.5*HU_alpha/$S$11*((AE90+$L$11+$N$11)-$K$11)^2,IF((AE90+$L$11+$N$11)&gt;=$T$11,HU_beta*((AE90+$L$11+$N$11)-$K$11),HU_beta*($T$11-$K$11)))))</f>
        <v/>
      </c>
      <c r="BC90" s="29">
        <f>IF(OR(AZ90=0,$S$11=0),0,IF((AE90+$K$11)&gt;$S$11/HU_alpha+$K$11,0.5*$S$11/HU_alpha,IF((AE90+$K$11)&gt;=$K$11,((AE90+$K$11)-$K$11)-0.5*HU_alpha/$S$11*((AE90+$K$11)-$K$11)^2,IF((AE90+$K$11)&gt;=$T$11,HU_beta*((AE90+$K$11)-$K$11),HU_beta*($T$11-$K$11)))))</f>
        <v/>
      </c>
      <c r="BD90" s="63">
        <f>IF(AND($J$12,A90=$Q$12),J90,0)</f>
        <v/>
      </c>
      <c r="BE90" s="29">
        <f>IF(OR(BD90=0,$S$12=0),0,IF((AE90+$L$12)&gt;$S$12/HU_alpha+$K$12,0.5*$S$12/HU_alpha,IF((AE90+$L$12)&gt;=$K$12,((AE90+$L$12)-$K$12)-0.5*HU_alpha/$S$12*((AE90+$L$12)-$K$12)^2,IF((AE90+$L$12)&gt;=$T$12,HU_beta*((AE90+$L$12)-$K$12),HU_beta*($T$12-$K$12)))))</f>
        <v/>
      </c>
      <c r="BF90" s="29">
        <f>IF(OR(BD90=0,$S$12=0),0,IF((AE90+$L$12+$N$12)&gt;$S$12/HU_alpha+$K$12,0.5*$S$12/HU_alpha,IF((AE90+$L$12+$N$12)&gt;=$K$12,((AE90+$L$12+$N$12)-$K$12)-0.5*HU_alpha/$S$12*((AE90+$L$12+$N$12)-$K$12)^2,IF((AE90+$L$12+$N$12)&gt;=$T$12,HU_beta*((AE90+$L$12+$N$12)-$K$12),HU_beta*($T$12-$K$12)))))</f>
        <v/>
      </c>
      <c r="BG90" s="29">
        <f>IF(OR(BD90=0,$S$12=0),0,IF((AE90+$K$12)&gt;$S$12/HU_alpha+$K$12,0.5*$S$12/HU_alpha,IF((AE90+$K$12)&gt;=$K$12,((AE90+$K$12)-$K$12)-0.5*HU_alpha/$S$12*((AE90+$K$12)-$K$12)^2,IF((AE90+$K$12)&gt;=$T$12,HU_beta*((AE90+$K$12)-$K$12),HU_beta*($T$12-$K$12)))))</f>
        <v/>
      </c>
      <c r="BH90" s="63">
        <f>IF(AND($J$13,A90=$Q$13),J90,0)</f>
        <v/>
      </c>
      <c r="BI90" s="29">
        <f>IF(OR(BH90=0,$S$13=0),0,IF((AE90+$L$13)&gt;$S$13/HU_alpha+$K$13,0.5*$S$13/HU_alpha,IF((AE90+$L$13)&gt;=$K$13,((AE90+$L$13)-$K$13)-0.5*HU_alpha/$S$13*((AE90+$L$13)-$K$13)^2,IF((AE90+$L$13)&gt;=$T$13,HU_beta*((AE90+$L$13)-$K$13),HU_beta*($T$13-$K$13)))))</f>
        <v/>
      </c>
      <c r="BJ90" s="29">
        <f>IF(OR(BH90=0,$S$13=0),0,IF((AE90+$L$13+$N$13)&gt;$S$13/HU_alpha+$K$13,0.5*$S$13/HU_alpha,IF((AE90+$L$13+$N$13)&gt;=$K$13,((AE90+$L$13+$N$13)-$K$13)-0.5*HU_alpha/$S$13*((AE90+$L$13+$N$13)-$K$13)^2,IF((AE90+$L$13+$N$13)&gt;=$T$13,HU_beta*((AE90+$L$13+$N$13)-$K$13),HU_beta*($T$13-$K$13)))))</f>
        <v/>
      </c>
      <c r="BK90" s="29">
        <f>IF(OR(BH90=0,$S$13=0),0,IF((AE90+$K$13)&gt;$S$13/HU_alpha+$K$13,0.5*$S$13/HU_alpha,IF((AE90+$K$13)&gt;=$K$13,((AE90+$K$13)-$K$13)-0.5*HU_alpha/$S$13*((AE90+$K$13)-$K$13)^2,IF((AE90+$K$13)&gt;=$T$13,HU_beta*((AE90+$K$13)-$K$13),HU_beta*($T$13-$K$13)))))</f>
        <v/>
      </c>
    </row>
    <row r="91">
      <c r="A91" s="61" t="n">
        <v>23</v>
      </c>
      <c r="B91" s="61">
        <f>HU_age+A91</f>
        <v/>
      </c>
      <c r="C91" s="52">
        <f>A91&lt;=HU_T</f>
        <v/>
      </c>
      <c r="D91" s="63">
        <f>IF(OR(A91&lt;1,A91&gt;HU_T),0,INDEX(HU_q_mort,HU_age+A91-17,HU_col))</f>
        <v/>
      </c>
      <c r="E91" s="63">
        <f>IF(OR(A91&lt;1,A91&gt;HU_T),0,INDEX(HU_q_adb,HU_age+A91-17,HU_col))</f>
        <v/>
      </c>
      <c r="F91" s="63">
        <f>IF(OR(A91&lt;1,A91&gt;HU_T),0,INDEX(HU_q_morb,HU_age+A91-17,HU_col))</f>
        <v/>
      </c>
      <c r="G91" s="63">
        <f>IF(OR(A91&lt;1,A91&gt;HU_T),0,INDEX(HU_q_ptd,HU_age+A91-17,HU_col))</f>
        <v/>
      </c>
      <c r="H91" s="63">
        <f>IF(OR(A91&lt;1,A91&gt;HU_T),0,INDEX(HU_q_dis,HU_age+A91-17,HU_col))</f>
        <v/>
      </c>
      <c r="I91" s="63">
        <f>IF(A91&gt;HU_T,0,I90*(1-D91)*(1-E91))</f>
        <v/>
      </c>
      <c r="J91" s="63">
        <f>IF(A91&gt;=HU_T,0,N(I92))</f>
        <v/>
      </c>
      <c r="K91" s="63">
        <f>K90*(1-G91)</f>
        <v/>
      </c>
      <c r="L91" s="63">
        <f>1-K91</f>
        <v/>
      </c>
      <c r="M91" s="63">
        <f>K90*G91</f>
        <v/>
      </c>
      <c r="N91" s="63">
        <f>N90*(1-H91)</f>
        <v/>
      </c>
      <c r="O91" s="63">
        <f>1-N90</f>
        <v/>
      </c>
      <c r="P91" s="63">
        <f>P90*(1-F91)</f>
        <v/>
      </c>
      <c r="Q91" s="63">
        <f>1-P90/INDEX($P$68:$P$150,MAX(1,A91-HU_ciYears))</f>
        <v/>
      </c>
      <c r="R91" s="60">
        <f>(1+inflationRate)^A91</f>
        <v/>
      </c>
      <c r="S91" s="29">
        <f>IF(OR(OR(A91&lt;1,A91&gt;HU_T),A91-1&gt;=HU_dtr),0,HU_inc0*(1+incomeGrowthRate)^A91)</f>
        <v/>
      </c>
      <c r="T91" s="60">
        <f>IF(A91&gt;HU_T,T90,T90*(1+INDEX(HU_ssG,HU_age+A91-17)))</f>
        <v/>
      </c>
      <c r="U91" s="29">
        <f>IF(AND(HU_dtr&gt;=1,A91=HU_dtr,A91&lt;=HU_T),MIN(S91*INDEX(HU_ssC,HU_age+A91-17)/(1-INDEX(HU_ssC,HU_age+A91-17)),INDEX(HU_ssCap,HU_age+A91-17))*T91,0)</f>
        <v/>
      </c>
      <c r="V91" s="29">
        <f>S91+U91+IF(AND(HU_wdOn,A91=HU_wdYear),HU_wdIncome,0)</f>
        <v/>
      </c>
      <c r="W91" s="60">
        <f>HU_ciProp*Q91+HU_tpdCut*L91+HU_disCut*O91</f>
        <v/>
      </c>
      <c r="X91" s="29">
        <f>IF(OR(A91&lt;1,A91&gt;HU_T),0,V91*(1-W91))</f>
        <v/>
      </c>
      <c r="Y91" s="29">
        <f>IF(OR(A91&lt;1,A91&gt;HU_T),0,IF(AND(HU_retExp&gt;0,A91-1&gt;=HU_dtr),HU_retExp,HU_exp0)*R91)</f>
        <v/>
      </c>
      <c r="Z91" s="29">
        <f>-Y91-IF(AND(HU_wdOn,A91=HU_wdYear),HU_wdOut,0)</f>
        <v/>
      </c>
      <c r="AA91" s="29">
        <f>IF(OR(A91&lt;1,A91&gt;HU_T),0,-HU_medCost*R91*F91-HU_tpdCost*R91*M91)</f>
        <v/>
      </c>
      <c r="AB91" s="29">
        <f>IF(A91&gt;HU_T,0,AB90*(1+interestRate)+X91+Z91+AA91)</f>
        <v/>
      </c>
      <c r="AC91" s="29">
        <f>IF(A91&gt;HU_T,0,HU_inv*EXP(HU_mu*A91))</f>
        <v/>
      </c>
      <c r="AD91" s="29">
        <f>IF(A91&gt;HU_T,0,MAX(0,AC91+AB91))</f>
        <v/>
      </c>
      <c r="AE91" s="29">
        <f>IF(A91&gt;HU_T,0,MAX(0,X91-Y91))</f>
        <v/>
      </c>
      <c r="AF91" s="63">
        <f>IF(AND($J$6,A91&gt;=1,A91&lt;=$Q$6-1),J91,0)</f>
        <v/>
      </c>
      <c r="AG91" s="29">
        <f>IF(OR(AF91=0,$S$6=0),0,IF((AD91+$L$6)&gt;$S$6/HU_alpha+$K$6,0.5*$S$6/HU_alpha,IF((AD91+$L$6)&gt;=$K$6,((AD91+$L$6)-$K$6)-0.5*HU_alpha/$S$6*((AD91+$L$6)-$K$6)^2,IF((AD91+$L$6)&gt;=$T$6,HU_beta*((AD91+$L$6)-$K$6),HU_beta*($T$6-$K$6)))))</f>
        <v/>
      </c>
      <c r="AH91" s="29">
        <f>IF(OR(AF91=0,$S$6=0),0,IF((AD91+$L$6+$N$6)&gt;$S$6/HU_alpha+$K$6,0.5*$S$6/HU_alpha,IF((AD91+$L$6+$N$6)&gt;=$K$6,((AD91+$L$6+$N$6)-$K$6)-0.5*HU_alpha/$S$6*((AD91+$L$6+$N$6)-$K$6)^2,IF((AD91+$L$6+$N$6)&gt;=$T$6,HU_beta*((AD91+$L$6+$N$6)-$K$6),HU_beta*($T$6-$K$6)))))</f>
        <v/>
      </c>
      <c r="AI91" s="29">
        <f>IF(OR(AF91=0,$S$6=0),0,IF((AD91+$K$6)&gt;$S$6/HU_alpha+$K$6,0.5*$S$6/HU_alpha,IF((AD91+$K$6)&gt;=$K$6,((AD91+$K$6)-$K$6)-0.5*HU_alpha/$S$6*((AD91+$K$6)-$K$6)^2,IF((AD91+$K$6)&gt;=$T$6,HU_beta*((AD91+$K$6)-$K$6),HU_beta*($T$6-$K$6)))))</f>
        <v/>
      </c>
      <c r="AJ91" s="63">
        <f>IF(AND($J$7,A91&gt;=1,A91&lt;=$Q$7-1),J91,0)</f>
        <v/>
      </c>
      <c r="AK91" s="29">
        <f>IF(OR(AJ91=0,$S$7=0),0,IF((AE91+$L$7)&gt;$S$7/HU_alpha+$K$7,0.5*$S$7/HU_alpha,IF((AE91+$L$7)&gt;=$K$7,((AE91+$L$7)-$K$7)-0.5*HU_alpha/$S$7*((AE91+$L$7)-$K$7)^2,IF((AE91+$L$7)&gt;=$T$7,HU_beta*((AE91+$L$7)-$K$7),HU_beta*($T$7-$K$7)))))</f>
        <v/>
      </c>
      <c r="AL91" s="29">
        <f>IF(OR(AJ91=0,$S$7=0),0,IF((AE91+$L$7+$N$7)&gt;$S$7/HU_alpha+$K$7,0.5*$S$7/HU_alpha,IF((AE91+$L$7+$N$7)&gt;=$K$7,((AE91+$L$7+$N$7)-$K$7)-0.5*HU_alpha/$S$7*((AE91+$L$7+$N$7)-$K$7)^2,IF((AE91+$L$7+$N$7)&gt;=$T$7,HU_beta*((AE91+$L$7+$N$7)-$K$7),HU_beta*($T$7-$K$7)))))</f>
        <v/>
      </c>
      <c r="AM91" s="29">
        <f>IF(OR(AJ91=0,$S$7=0),0,IF((AE91+$K$7)&gt;$S$7/HU_alpha+$K$7,0.5*$S$7/HU_alpha,IF((AE91+$K$7)&gt;=$K$7,((AE91+$K$7)-$K$7)-0.5*HU_alpha/$S$7*((AE91+$K$7)-$K$7)^2,IF((AE91+$K$7)&gt;=$T$7,HU_beta*((AE91+$K$7)-$K$7),HU_beta*($T$7-$K$7)))))</f>
        <v/>
      </c>
      <c r="AN91" s="63">
        <f>IF(AND($J$8,A91&gt;=1,A91&lt;=$Q$8-1),J91,0)</f>
        <v/>
      </c>
      <c r="AO91" s="29">
        <f>IF(OR(AN91=0,$S$8=0),0,IF((AE91+$L$8)&gt;$S$8/HU_alpha+$K$8,0.5*$S$8/HU_alpha,IF((AE91+$L$8)&gt;=$K$8,((AE91+$L$8)-$K$8)-0.5*HU_alpha/$S$8*((AE91+$L$8)-$K$8)^2,IF((AE91+$L$8)&gt;=$T$8,HU_beta*((AE91+$L$8)-$K$8),HU_beta*($T$8-$K$8)))))</f>
        <v/>
      </c>
      <c r="AP91" s="29">
        <f>IF(OR(AN91=0,$S$8=0),0,IF((AE91+$L$8+$N$8)&gt;$S$8/HU_alpha+$K$8,0.5*$S$8/HU_alpha,IF((AE91+$L$8+$N$8)&gt;=$K$8,((AE91+$L$8+$N$8)-$K$8)-0.5*HU_alpha/$S$8*((AE91+$L$8+$N$8)-$K$8)^2,IF((AE91+$L$8+$N$8)&gt;=$T$8,HU_beta*((AE91+$L$8+$N$8)-$K$8),HU_beta*($T$8-$K$8)))))</f>
        <v/>
      </c>
      <c r="AQ91" s="29">
        <f>IF(OR(AN91=0,$S$8=0),0,IF((AE91+$K$8)&gt;$S$8/HU_alpha+$K$8,0.5*$S$8/HU_alpha,IF((AE91+$K$8)&gt;=$K$8,((AE91+$K$8)-$K$8)-0.5*HU_alpha/$S$8*((AE91+$K$8)-$K$8)^2,IF((AE91+$K$8)&gt;=$T$8,HU_beta*((AE91+$K$8)-$K$8),HU_beta*($T$8-$K$8)))))</f>
        <v/>
      </c>
      <c r="AR91" s="63">
        <f>IF(AND($J$9,A91&gt;=1,A91&lt;=$Q$9-1),J91,0)</f>
        <v/>
      </c>
      <c r="AS91" s="29">
        <f>IF(OR(AR91=0,$S$9=0),0,IF((AE91+$L$9)&gt;$S$9/HU_alpha+$K$9,0.5*$S$9/HU_alpha,IF((AE91+$L$9)&gt;=$K$9,((AE91+$L$9)-$K$9)-0.5*HU_alpha/$S$9*((AE91+$L$9)-$K$9)^2,IF((AE91+$L$9)&gt;=$T$9,HU_beta*((AE91+$L$9)-$K$9),HU_beta*($T$9-$K$9)))))</f>
        <v/>
      </c>
      <c r="AT91" s="29">
        <f>IF(OR(AR91=0,$S$9=0),0,IF((AE91+$L$9+$N$9)&gt;$S$9/HU_alpha+$K$9,0.5*$S$9/HU_alpha,IF((AE91+$L$9+$N$9)&gt;=$K$9,((AE91+$L$9+$N$9)-$K$9)-0.5*HU_alpha/$S$9*((AE91+$L$9+$N$9)-$K$9)^2,IF((AE91+$L$9+$N$9)&gt;=$T$9,HU_beta*((AE91+$L$9+$N$9)-$K$9),HU_beta*($T$9-$K$9)))))</f>
        <v/>
      </c>
      <c r="AU91" s="29">
        <f>IF(OR(AR91=0,$S$9=0),0,IF((AE91+$K$9)&gt;$S$9/HU_alpha+$K$9,0.5*$S$9/HU_alpha,IF((AE91+$K$9)&gt;=$K$9,((AE91+$K$9)-$K$9)-0.5*HU_alpha/$S$9*((AE91+$K$9)-$K$9)^2,IF((AE91+$K$9)&gt;=$T$9,HU_beta*((AE91+$K$9)-$K$9),HU_beta*($T$9-$K$9)))))</f>
        <v/>
      </c>
      <c r="AV91" s="63">
        <f>IF(AND($J$10,A91=$Q$10),J91,0)</f>
        <v/>
      </c>
      <c r="AW91" s="29">
        <f>IF(OR(AV91=0,$S$10=0),0,IF((AD91+$L$10)&gt;$S$10/HU_alpha+$K$10,0.5*$S$10/HU_alpha,IF((AD91+$L$10)&gt;=$K$10,((AD91+$L$10)-$K$10)-0.5*HU_alpha/$S$10*((AD91+$L$10)-$K$10)^2,IF((AD91+$L$10)&gt;=$T$10,HU_beta*((AD91+$L$10)-$K$10),HU_beta*($T$10-$K$10)))))</f>
        <v/>
      </c>
      <c r="AX91" s="29">
        <f>IF(OR(AV91=0,$S$10=0),0,IF((AD91+$L$10+$N$10)&gt;$S$10/HU_alpha+$K$10,0.5*$S$10/HU_alpha,IF((AD91+$L$10+$N$10)&gt;=$K$10,((AD91+$L$10+$N$10)-$K$10)-0.5*HU_alpha/$S$10*((AD91+$L$10+$N$10)-$K$10)^2,IF((AD91+$L$10+$N$10)&gt;=$T$10,HU_beta*((AD91+$L$10+$N$10)-$K$10),HU_beta*($T$10-$K$10)))))</f>
        <v/>
      </c>
      <c r="AY91" s="29">
        <f>IF(OR(AV91=0,$S$10=0),0,IF((AD91+$K$10)&gt;$S$10/HU_alpha+$K$10,0.5*$S$10/HU_alpha,IF((AD91+$K$10)&gt;=$K$10,((AD91+$K$10)-$K$10)-0.5*HU_alpha/$S$10*((AD91+$K$10)-$K$10)^2,IF((AD91+$K$10)&gt;=$T$10,HU_beta*((AD91+$K$10)-$K$10),HU_beta*($T$10-$K$10)))))</f>
        <v/>
      </c>
      <c r="AZ91" s="63">
        <f>IF(AND($J$11,A91=$Q$11),J91,0)</f>
        <v/>
      </c>
      <c r="BA91" s="29">
        <f>IF(OR(AZ91=0,$S$11=0),0,IF((AE91+$L$11)&gt;$S$11/HU_alpha+$K$11,0.5*$S$11/HU_alpha,IF((AE91+$L$11)&gt;=$K$11,((AE91+$L$11)-$K$11)-0.5*HU_alpha/$S$11*((AE91+$L$11)-$K$11)^2,IF((AE91+$L$11)&gt;=$T$11,HU_beta*((AE91+$L$11)-$K$11),HU_beta*($T$11-$K$11)))))</f>
        <v/>
      </c>
      <c r="BB91" s="29">
        <f>IF(OR(AZ91=0,$S$11=0),0,IF((AE91+$L$11+$N$11)&gt;$S$11/HU_alpha+$K$11,0.5*$S$11/HU_alpha,IF((AE91+$L$11+$N$11)&gt;=$K$11,((AE91+$L$11+$N$11)-$K$11)-0.5*HU_alpha/$S$11*((AE91+$L$11+$N$11)-$K$11)^2,IF((AE91+$L$11+$N$11)&gt;=$T$11,HU_beta*((AE91+$L$11+$N$11)-$K$11),HU_beta*($T$11-$K$11)))))</f>
        <v/>
      </c>
      <c r="BC91" s="29">
        <f>IF(OR(AZ91=0,$S$11=0),0,IF((AE91+$K$11)&gt;$S$11/HU_alpha+$K$11,0.5*$S$11/HU_alpha,IF((AE91+$K$11)&gt;=$K$11,((AE91+$K$11)-$K$11)-0.5*HU_alpha/$S$11*((AE91+$K$11)-$K$11)^2,IF((AE91+$K$11)&gt;=$T$11,HU_beta*((AE91+$K$11)-$K$11),HU_beta*($T$11-$K$11)))))</f>
        <v/>
      </c>
      <c r="BD91" s="63">
        <f>IF(AND($J$12,A91=$Q$12),J91,0)</f>
        <v/>
      </c>
      <c r="BE91" s="29">
        <f>IF(OR(BD91=0,$S$12=0),0,IF((AE91+$L$12)&gt;$S$12/HU_alpha+$K$12,0.5*$S$12/HU_alpha,IF((AE91+$L$12)&gt;=$K$12,((AE91+$L$12)-$K$12)-0.5*HU_alpha/$S$12*((AE91+$L$12)-$K$12)^2,IF((AE91+$L$12)&gt;=$T$12,HU_beta*((AE91+$L$12)-$K$12),HU_beta*($T$12-$K$12)))))</f>
        <v/>
      </c>
      <c r="BF91" s="29">
        <f>IF(OR(BD91=0,$S$12=0),0,IF((AE91+$L$12+$N$12)&gt;$S$12/HU_alpha+$K$12,0.5*$S$12/HU_alpha,IF((AE91+$L$12+$N$12)&gt;=$K$12,((AE91+$L$12+$N$12)-$K$12)-0.5*HU_alpha/$S$12*((AE91+$L$12+$N$12)-$K$12)^2,IF((AE91+$L$12+$N$12)&gt;=$T$12,HU_beta*((AE91+$L$12+$N$12)-$K$12),HU_beta*($T$12-$K$12)))))</f>
        <v/>
      </c>
      <c r="BG91" s="29">
        <f>IF(OR(BD91=0,$S$12=0),0,IF((AE91+$K$12)&gt;$S$12/HU_alpha+$K$12,0.5*$S$12/HU_alpha,IF((AE91+$K$12)&gt;=$K$12,((AE91+$K$12)-$K$12)-0.5*HU_alpha/$S$12*((AE91+$K$12)-$K$12)^2,IF((AE91+$K$12)&gt;=$T$12,HU_beta*((AE91+$K$12)-$K$12),HU_beta*($T$12-$K$12)))))</f>
        <v/>
      </c>
      <c r="BH91" s="63">
        <f>IF(AND($J$13,A91=$Q$13),J91,0)</f>
        <v/>
      </c>
      <c r="BI91" s="29">
        <f>IF(OR(BH91=0,$S$13=0),0,IF((AE91+$L$13)&gt;$S$13/HU_alpha+$K$13,0.5*$S$13/HU_alpha,IF((AE91+$L$13)&gt;=$K$13,((AE91+$L$13)-$K$13)-0.5*HU_alpha/$S$13*((AE91+$L$13)-$K$13)^2,IF((AE91+$L$13)&gt;=$T$13,HU_beta*((AE91+$L$13)-$K$13),HU_beta*($T$13-$K$13)))))</f>
        <v/>
      </c>
      <c r="BJ91" s="29">
        <f>IF(OR(BH91=0,$S$13=0),0,IF((AE91+$L$13+$N$13)&gt;$S$13/HU_alpha+$K$13,0.5*$S$13/HU_alpha,IF((AE91+$L$13+$N$13)&gt;=$K$13,((AE91+$L$13+$N$13)-$K$13)-0.5*HU_alpha/$S$13*((AE91+$L$13+$N$13)-$K$13)^2,IF((AE91+$L$13+$N$13)&gt;=$T$13,HU_beta*((AE91+$L$13+$N$13)-$K$13),HU_beta*($T$13-$K$13)))))</f>
        <v/>
      </c>
      <c r="BK91" s="29">
        <f>IF(OR(BH91=0,$S$13=0),0,IF((AE91+$K$13)&gt;$S$13/HU_alpha+$K$13,0.5*$S$13/HU_alpha,IF((AE91+$K$13)&gt;=$K$13,((AE91+$K$13)-$K$13)-0.5*HU_alpha/$S$13*((AE91+$K$13)-$K$13)^2,IF((AE91+$K$13)&gt;=$T$13,HU_beta*((AE91+$K$13)-$K$13),HU_beta*($T$13-$K$13)))))</f>
        <v/>
      </c>
    </row>
    <row r="92">
      <c r="A92" s="61" t="n">
        <v>24</v>
      </c>
      <c r="B92" s="61">
        <f>HU_age+A92</f>
        <v/>
      </c>
      <c r="C92" s="52">
        <f>A92&lt;=HU_T</f>
        <v/>
      </c>
      <c r="D92" s="63">
        <f>IF(OR(A92&lt;1,A92&gt;HU_T),0,INDEX(HU_q_mort,HU_age+A92-17,HU_col))</f>
        <v/>
      </c>
      <c r="E92" s="63">
        <f>IF(OR(A92&lt;1,A92&gt;HU_T),0,INDEX(HU_q_adb,HU_age+A92-17,HU_col))</f>
        <v/>
      </c>
      <c r="F92" s="63">
        <f>IF(OR(A92&lt;1,A92&gt;HU_T),0,INDEX(HU_q_morb,HU_age+A92-17,HU_col))</f>
        <v/>
      </c>
      <c r="G92" s="63">
        <f>IF(OR(A92&lt;1,A92&gt;HU_T),0,INDEX(HU_q_ptd,HU_age+A92-17,HU_col))</f>
        <v/>
      </c>
      <c r="H92" s="63">
        <f>IF(OR(A92&lt;1,A92&gt;HU_T),0,INDEX(HU_q_dis,HU_age+A92-17,HU_col))</f>
        <v/>
      </c>
      <c r="I92" s="63">
        <f>IF(A92&gt;HU_T,0,I91*(1-D92)*(1-E92))</f>
        <v/>
      </c>
      <c r="J92" s="63">
        <f>IF(A92&gt;=HU_T,0,N(I93))</f>
        <v/>
      </c>
      <c r="K92" s="63">
        <f>K91*(1-G92)</f>
        <v/>
      </c>
      <c r="L92" s="63">
        <f>1-K92</f>
        <v/>
      </c>
      <c r="M92" s="63">
        <f>K91*G92</f>
        <v/>
      </c>
      <c r="N92" s="63">
        <f>N91*(1-H92)</f>
        <v/>
      </c>
      <c r="O92" s="63">
        <f>1-N91</f>
        <v/>
      </c>
      <c r="P92" s="63">
        <f>P91*(1-F92)</f>
        <v/>
      </c>
      <c r="Q92" s="63">
        <f>1-P91/INDEX($P$68:$P$150,MAX(1,A92-HU_ciYears))</f>
        <v/>
      </c>
      <c r="R92" s="60">
        <f>(1+inflationRate)^A92</f>
        <v/>
      </c>
      <c r="S92" s="29">
        <f>IF(OR(OR(A92&lt;1,A92&gt;HU_T),A92-1&gt;=HU_dtr),0,HU_inc0*(1+incomeGrowthRate)^A92)</f>
        <v/>
      </c>
      <c r="T92" s="60">
        <f>IF(A92&gt;HU_T,T91,T91*(1+INDEX(HU_ssG,HU_age+A92-17)))</f>
        <v/>
      </c>
      <c r="U92" s="29">
        <f>IF(AND(HU_dtr&gt;=1,A92=HU_dtr,A92&lt;=HU_T),MIN(S92*INDEX(HU_ssC,HU_age+A92-17)/(1-INDEX(HU_ssC,HU_age+A92-17)),INDEX(HU_ssCap,HU_age+A92-17))*T92,0)</f>
        <v/>
      </c>
      <c r="V92" s="29">
        <f>S92+U92+IF(AND(HU_wdOn,A92=HU_wdYear),HU_wdIncome,0)</f>
        <v/>
      </c>
      <c r="W92" s="60">
        <f>HU_ciProp*Q92+HU_tpdCut*L92+HU_disCut*O92</f>
        <v/>
      </c>
      <c r="X92" s="29">
        <f>IF(OR(A92&lt;1,A92&gt;HU_T),0,V92*(1-W92))</f>
        <v/>
      </c>
      <c r="Y92" s="29">
        <f>IF(OR(A92&lt;1,A92&gt;HU_T),0,IF(AND(HU_retExp&gt;0,A92-1&gt;=HU_dtr),HU_retExp,HU_exp0)*R92)</f>
        <v/>
      </c>
      <c r="Z92" s="29">
        <f>-Y92-IF(AND(HU_wdOn,A92=HU_wdYear),HU_wdOut,0)</f>
        <v/>
      </c>
      <c r="AA92" s="29">
        <f>IF(OR(A92&lt;1,A92&gt;HU_T),0,-HU_medCost*R92*F92-HU_tpdCost*R92*M92)</f>
        <v/>
      </c>
      <c r="AB92" s="29">
        <f>IF(A92&gt;HU_T,0,AB91*(1+interestRate)+X92+Z92+AA92)</f>
        <v/>
      </c>
      <c r="AC92" s="29">
        <f>IF(A92&gt;HU_T,0,HU_inv*EXP(HU_mu*A92))</f>
        <v/>
      </c>
      <c r="AD92" s="29">
        <f>IF(A92&gt;HU_T,0,MAX(0,AC92+AB92))</f>
        <v/>
      </c>
      <c r="AE92" s="29">
        <f>IF(A92&gt;HU_T,0,MAX(0,X92-Y92))</f>
        <v/>
      </c>
      <c r="AF92" s="63">
        <f>IF(AND($J$6,A92&gt;=1,A92&lt;=$Q$6-1),J92,0)</f>
        <v/>
      </c>
      <c r="AG92" s="29">
        <f>IF(OR(AF92=0,$S$6=0),0,IF((AD92+$L$6)&gt;$S$6/HU_alpha+$K$6,0.5*$S$6/HU_alpha,IF((AD92+$L$6)&gt;=$K$6,((AD92+$L$6)-$K$6)-0.5*HU_alpha/$S$6*((AD92+$L$6)-$K$6)^2,IF((AD92+$L$6)&gt;=$T$6,HU_beta*((AD92+$L$6)-$K$6),HU_beta*($T$6-$K$6)))))</f>
        <v/>
      </c>
      <c r="AH92" s="29">
        <f>IF(OR(AF92=0,$S$6=0),0,IF((AD92+$L$6+$N$6)&gt;$S$6/HU_alpha+$K$6,0.5*$S$6/HU_alpha,IF((AD92+$L$6+$N$6)&gt;=$K$6,((AD92+$L$6+$N$6)-$K$6)-0.5*HU_alpha/$S$6*((AD92+$L$6+$N$6)-$K$6)^2,IF((AD92+$L$6+$N$6)&gt;=$T$6,HU_beta*((AD92+$L$6+$N$6)-$K$6),HU_beta*($T$6-$K$6)))))</f>
        <v/>
      </c>
      <c r="AI92" s="29">
        <f>IF(OR(AF92=0,$S$6=0),0,IF((AD92+$K$6)&gt;$S$6/HU_alpha+$K$6,0.5*$S$6/HU_alpha,IF((AD92+$K$6)&gt;=$K$6,((AD92+$K$6)-$K$6)-0.5*HU_alpha/$S$6*((AD92+$K$6)-$K$6)^2,IF((AD92+$K$6)&gt;=$T$6,HU_beta*((AD92+$K$6)-$K$6),HU_beta*($T$6-$K$6)))))</f>
        <v/>
      </c>
      <c r="AJ92" s="63">
        <f>IF(AND($J$7,A92&gt;=1,A92&lt;=$Q$7-1),J92,0)</f>
        <v/>
      </c>
      <c r="AK92" s="29">
        <f>IF(OR(AJ92=0,$S$7=0),0,IF((AE92+$L$7)&gt;$S$7/HU_alpha+$K$7,0.5*$S$7/HU_alpha,IF((AE92+$L$7)&gt;=$K$7,((AE92+$L$7)-$K$7)-0.5*HU_alpha/$S$7*((AE92+$L$7)-$K$7)^2,IF((AE92+$L$7)&gt;=$T$7,HU_beta*((AE92+$L$7)-$K$7),HU_beta*($T$7-$K$7)))))</f>
        <v/>
      </c>
      <c r="AL92" s="29">
        <f>IF(OR(AJ92=0,$S$7=0),0,IF((AE92+$L$7+$N$7)&gt;$S$7/HU_alpha+$K$7,0.5*$S$7/HU_alpha,IF((AE92+$L$7+$N$7)&gt;=$K$7,((AE92+$L$7+$N$7)-$K$7)-0.5*HU_alpha/$S$7*((AE92+$L$7+$N$7)-$K$7)^2,IF((AE92+$L$7+$N$7)&gt;=$T$7,HU_beta*((AE92+$L$7+$N$7)-$K$7),HU_beta*($T$7-$K$7)))))</f>
        <v/>
      </c>
      <c r="AM92" s="29">
        <f>IF(OR(AJ92=0,$S$7=0),0,IF((AE92+$K$7)&gt;$S$7/HU_alpha+$K$7,0.5*$S$7/HU_alpha,IF((AE92+$K$7)&gt;=$K$7,((AE92+$K$7)-$K$7)-0.5*HU_alpha/$S$7*((AE92+$K$7)-$K$7)^2,IF((AE92+$K$7)&gt;=$T$7,HU_beta*((AE92+$K$7)-$K$7),HU_beta*($T$7-$K$7)))))</f>
        <v/>
      </c>
      <c r="AN92" s="63">
        <f>IF(AND($J$8,A92&gt;=1,A92&lt;=$Q$8-1),J92,0)</f>
        <v/>
      </c>
      <c r="AO92" s="29">
        <f>IF(OR(AN92=0,$S$8=0),0,IF((AE92+$L$8)&gt;$S$8/HU_alpha+$K$8,0.5*$S$8/HU_alpha,IF((AE92+$L$8)&gt;=$K$8,((AE92+$L$8)-$K$8)-0.5*HU_alpha/$S$8*((AE92+$L$8)-$K$8)^2,IF((AE92+$L$8)&gt;=$T$8,HU_beta*((AE92+$L$8)-$K$8),HU_beta*($T$8-$K$8)))))</f>
        <v/>
      </c>
      <c r="AP92" s="29">
        <f>IF(OR(AN92=0,$S$8=0),0,IF((AE92+$L$8+$N$8)&gt;$S$8/HU_alpha+$K$8,0.5*$S$8/HU_alpha,IF((AE92+$L$8+$N$8)&gt;=$K$8,((AE92+$L$8+$N$8)-$K$8)-0.5*HU_alpha/$S$8*((AE92+$L$8+$N$8)-$K$8)^2,IF((AE92+$L$8+$N$8)&gt;=$T$8,HU_beta*((AE92+$L$8+$N$8)-$K$8),HU_beta*($T$8-$K$8)))))</f>
        <v/>
      </c>
      <c r="AQ92" s="29">
        <f>IF(OR(AN92=0,$S$8=0),0,IF((AE92+$K$8)&gt;$S$8/HU_alpha+$K$8,0.5*$S$8/HU_alpha,IF((AE92+$K$8)&gt;=$K$8,((AE92+$K$8)-$K$8)-0.5*HU_alpha/$S$8*((AE92+$K$8)-$K$8)^2,IF((AE92+$K$8)&gt;=$T$8,HU_beta*((AE92+$K$8)-$K$8),HU_beta*($T$8-$K$8)))))</f>
        <v/>
      </c>
      <c r="AR92" s="63">
        <f>IF(AND($J$9,A92&gt;=1,A92&lt;=$Q$9-1),J92,0)</f>
        <v/>
      </c>
      <c r="AS92" s="29">
        <f>IF(OR(AR92=0,$S$9=0),0,IF((AE92+$L$9)&gt;$S$9/HU_alpha+$K$9,0.5*$S$9/HU_alpha,IF((AE92+$L$9)&gt;=$K$9,((AE92+$L$9)-$K$9)-0.5*HU_alpha/$S$9*((AE92+$L$9)-$K$9)^2,IF((AE92+$L$9)&gt;=$T$9,HU_beta*((AE92+$L$9)-$K$9),HU_beta*($T$9-$K$9)))))</f>
        <v/>
      </c>
      <c r="AT92" s="29">
        <f>IF(OR(AR92=0,$S$9=0),0,IF((AE92+$L$9+$N$9)&gt;$S$9/HU_alpha+$K$9,0.5*$S$9/HU_alpha,IF((AE92+$L$9+$N$9)&gt;=$K$9,((AE92+$L$9+$N$9)-$K$9)-0.5*HU_alpha/$S$9*((AE92+$L$9+$N$9)-$K$9)^2,IF((AE92+$L$9+$N$9)&gt;=$T$9,HU_beta*((AE92+$L$9+$N$9)-$K$9),HU_beta*($T$9-$K$9)))))</f>
        <v/>
      </c>
      <c r="AU92" s="29">
        <f>IF(OR(AR92=0,$S$9=0),0,IF((AE92+$K$9)&gt;$S$9/HU_alpha+$K$9,0.5*$S$9/HU_alpha,IF((AE92+$K$9)&gt;=$K$9,((AE92+$K$9)-$K$9)-0.5*HU_alpha/$S$9*((AE92+$K$9)-$K$9)^2,IF((AE92+$K$9)&gt;=$T$9,HU_beta*((AE92+$K$9)-$K$9),HU_beta*($T$9-$K$9)))))</f>
        <v/>
      </c>
      <c r="AV92" s="63">
        <f>IF(AND($J$10,A92=$Q$10),J92,0)</f>
        <v/>
      </c>
      <c r="AW92" s="29">
        <f>IF(OR(AV92=0,$S$10=0),0,IF((AD92+$L$10)&gt;$S$10/HU_alpha+$K$10,0.5*$S$10/HU_alpha,IF((AD92+$L$10)&gt;=$K$10,((AD92+$L$10)-$K$10)-0.5*HU_alpha/$S$10*((AD92+$L$10)-$K$10)^2,IF((AD92+$L$10)&gt;=$T$10,HU_beta*((AD92+$L$10)-$K$10),HU_beta*($T$10-$K$10)))))</f>
        <v/>
      </c>
      <c r="AX92" s="29">
        <f>IF(OR(AV92=0,$S$10=0),0,IF((AD92+$L$10+$N$10)&gt;$S$10/HU_alpha+$K$10,0.5*$S$10/HU_alpha,IF((AD92+$L$10+$N$10)&gt;=$K$10,((AD92+$L$10+$N$10)-$K$10)-0.5*HU_alpha/$S$10*((AD92+$L$10+$N$10)-$K$10)^2,IF((AD92+$L$10+$N$10)&gt;=$T$10,HU_beta*((AD92+$L$10+$N$10)-$K$10),HU_beta*($T$10-$K$10)))))</f>
        <v/>
      </c>
      <c r="AY92" s="29">
        <f>IF(OR(AV92=0,$S$10=0),0,IF((AD92+$K$10)&gt;$S$10/HU_alpha+$K$10,0.5*$S$10/HU_alpha,IF((AD92+$K$10)&gt;=$K$10,((AD92+$K$10)-$K$10)-0.5*HU_alpha/$S$10*((AD92+$K$10)-$K$10)^2,IF((AD92+$K$10)&gt;=$T$10,HU_beta*((AD92+$K$10)-$K$10),HU_beta*($T$10-$K$10)))))</f>
        <v/>
      </c>
      <c r="AZ92" s="63">
        <f>IF(AND($J$11,A92=$Q$11),J92,0)</f>
        <v/>
      </c>
      <c r="BA92" s="29">
        <f>IF(OR(AZ92=0,$S$11=0),0,IF((AE92+$L$11)&gt;$S$11/HU_alpha+$K$11,0.5*$S$11/HU_alpha,IF((AE92+$L$11)&gt;=$K$11,((AE92+$L$11)-$K$11)-0.5*HU_alpha/$S$11*((AE92+$L$11)-$K$11)^2,IF((AE92+$L$11)&gt;=$T$11,HU_beta*((AE92+$L$11)-$K$11),HU_beta*($T$11-$K$11)))))</f>
        <v/>
      </c>
      <c r="BB92" s="29">
        <f>IF(OR(AZ92=0,$S$11=0),0,IF((AE92+$L$11+$N$11)&gt;$S$11/HU_alpha+$K$11,0.5*$S$11/HU_alpha,IF((AE92+$L$11+$N$11)&gt;=$K$11,((AE92+$L$11+$N$11)-$K$11)-0.5*HU_alpha/$S$11*((AE92+$L$11+$N$11)-$K$11)^2,IF((AE92+$L$11+$N$11)&gt;=$T$11,HU_beta*((AE92+$L$11+$N$11)-$K$11),HU_beta*($T$11-$K$11)))))</f>
        <v/>
      </c>
      <c r="BC92" s="29">
        <f>IF(OR(AZ92=0,$S$11=0),0,IF((AE92+$K$11)&gt;$S$11/HU_alpha+$K$11,0.5*$S$11/HU_alpha,IF((AE92+$K$11)&gt;=$K$11,((AE92+$K$11)-$K$11)-0.5*HU_alpha/$S$11*((AE92+$K$11)-$K$11)^2,IF((AE92+$K$11)&gt;=$T$11,HU_beta*((AE92+$K$11)-$K$11),HU_beta*($T$11-$K$11)))))</f>
        <v/>
      </c>
      <c r="BD92" s="63">
        <f>IF(AND($J$12,A92=$Q$12),J92,0)</f>
        <v/>
      </c>
      <c r="BE92" s="29">
        <f>IF(OR(BD92=0,$S$12=0),0,IF((AE92+$L$12)&gt;$S$12/HU_alpha+$K$12,0.5*$S$12/HU_alpha,IF((AE92+$L$12)&gt;=$K$12,((AE92+$L$12)-$K$12)-0.5*HU_alpha/$S$12*((AE92+$L$12)-$K$12)^2,IF((AE92+$L$12)&gt;=$T$12,HU_beta*((AE92+$L$12)-$K$12),HU_beta*($T$12-$K$12)))))</f>
        <v/>
      </c>
      <c r="BF92" s="29">
        <f>IF(OR(BD92=0,$S$12=0),0,IF((AE92+$L$12+$N$12)&gt;$S$12/HU_alpha+$K$12,0.5*$S$12/HU_alpha,IF((AE92+$L$12+$N$12)&gt;=$K$12,((AE92+$L$12+$N$12)-$K$12)-0.5*HU_alpha/$S$12*((AE92+$L$12+$N$12)-$K$12)^2,IF((AE92+$L$12+$N$12)&gt;=$T$12,HU_beta*((AE92+$L$12+$N$12)-$K$12),HU_beta*($T$12-$K$12)))))</f>
        <v/>
      </c>
      <c r="BG92" s="29">
        <f>IF(OR(BD92=0,$S$12=0),0,IF((AE92+$K$12)&gt;$S$12/HU_alpha+$K$12,0.5*$S$12/HU_alpha,IF((AE92+$K$12)&gt;=$K$12,((AE92+$K$12)-$K$12)-0.5*HU_alpha/$S$12*((AE92+$K$12)-$K$12)^2,IF((AE92+$K$12)&gt;=$T$12,HU_beta*((AE92+$K$12)-$K$12),HU_beta*($T$12-$K$12)))))</f>
        <v/>
      </c>
      <c r="BH92" s="63">
        <f>IF(AND($J$13,A92=$Q$13),J92,0)</f>
        <v/>
      </c>
      <c r="BI92" s="29">
        <f>IF(OR(BH92=0,$S$13=0),0,IF((AE92+$L$13)&gt;$S$13/HU_alpha+$K$13,0.5*$S$13/HU_alpha,IF((AE92+$L$13)&gt;=$K$13,((AE92+$L$13)-$K$13)-0.5*HU_alpha/$S$13*((AE92+$L$13)-$K$13)^2,IF((AE92+$L$13)&gt;=$T$13,HU_beta*((AE92+$L$13)-$K$13),HU_beta*($T$13-$K$13)))))</f>
        <v/>
      </c>
      <c r="BJ92" s="29">
        <f>IF(OR(BH92=0,$S$13=0),0,IF((AE92+$L$13+$N$13)&gt;$S$13/HU_alpha+$K$13,0.5*$S$13/HU_alpha,IF((AE92+$L$13+$N$13)&gt;=$K$13,((AE92+$L$13+$N$13)-$K$13)-0.5*HU_alpha/$S$13*((AE92+$L$13+$N$13)-$K$13)^2,IF((AE92+$L$13+$N$13)&gt;=$T$13,HU_beta*((AE92+$L$13+$N$13)-$K$13),HU_beta*($T$13-$K$13)))))</f>
        <v/>
      </c>
      <c r="BK92" s="29">
        <f>IF(OR(BH92=0,$S$13=0),0,IF((AE92+$K$13)&gt;$S$13/HU_alpha+$K$13,0.5*$S$13/HU_alpha,IF((AE92+$K$13)&gt;=$K$13,((AE92+$K$13)-$K$13)-0.5*HU_alpha/$S$13*((AE92+$K$13)-$K$13)^2,IF((AE92+$K$13)&gt;=$T$13,HU_beta*((AE92+$K$13)-$K$13),HU_beta*($T$13-$K$13)))))</f>
        <v/>
      </c>
    </row>
    <row r="93">
      <c r="A93" s="61" t="n">
        <v>25</v>
      </c>
      <c r="B93" s="61">
        <f>HU_age+A93</f>
        <v/>
      </c>
      <c r="C93" s="52">
        <f>A93&lt;=HU_T</f>
        <v/>
      </c>
      <c r="D93" s="63">
        <f>IF(OR(A93&lt;1,A93&gt;HU_T),0,INDEX(HU_q_mort,HU_age+A93-17,HU_col))</f>
        <v/>
      </c>
      <c r="E93" s="63">
        <f>IF(OR(A93&lt;1,A93&gt;HU_T),0,INDEX(HU_q_adb,HU_age+A93-17,HU_col))</f>
        <v/>
      </c>
      <c r="F93" s="63">
        <f>IF(OR(A93&lt;1,A93&gt;HU_T),0,INDEX(HU_q_morb,HU_age+A93-17,HU_col))</f>
        <v/>
      </c>
      <c r="G93" s="63">
        <f>IF(OR(A93&lt;1,A93&gt;HU_T),0,INDEX(HU_q_ptd,HU_age+A93-17,HU_col))</f>
        <v/>
      </c>
      <c r="H93" s="63">
        <f>IF(OR(A93&lt;1,A93&gt;HU_T),0,INDEX(HU_q_dis,HU_age+A93-17,HU_col))</f>
        <v/>
      </c>
      <c r="I93" s="63">
        <f>IF(A93&gt;HU_T,0,I92*(1-D93)*(1-E93))</f>
        <v/>
      </c>
      <c r="J93" s="63">
        <f>IF(A93&gt;=HU_T,0,N(I94))</f>
        <v/>
      </c>
      <c r="K93" s="63">
        <f>K92*(1-G93)</f>
        <v/>
      </c>
      <c r="L93" s="63">
        <f>1-K93</f>
        <v/>
      </c>
      <c r="M93" s="63">
        <f>K92*G93</f>
        <v/>
      </c>
      <c r="N93" s="63">
        <f>N92*(1-H93)</f>
        <v/>
      </c>
      <c r="O93" s="63">
        <f>1-N92</f>
        <v/>
      </c>
      <c r="P93" s="63">
        <f>P92*(1-F93)</f>
        <v/>
      </c>
      <c r="Q93" s="63">
        <f>1-P92/INDEX($P$68:$P$150,MAX(1,A93-HU_ciYears))</f>
        <v/>
      </c>
      <c r="R93" s="60">
        <f>(1+inflationRate)^A93</f>
        <v/>
      </c>
      <c r="S93" s="29">
        <f>IF(OR(OR(A93&lt;1,A93&gt;HU_T),A93-1&gt;=HU_dtr),0,HU_inc0*(1+incomeGrowthRate)^A93)</f>
        <v/>
      </c>
      <c r="T93" s="60">
        <f>IF(A93&gt;HU_T,T92,T92*(1+INDEX(HU_ssG,HU_age+A93-17)))</f>
        <v/>
      </c>
      <c r="U93" s="29">
        <f>IF(AND(HU_dtr&gt;=1,A93=HU_dtr,A93&lt;=HU_T),MIN(S93*INDEX(HU_ssC,HU_age+A93-17)/(1-INDEX(HU_ssC,HU_age+A93-17)),INDEX(HU_ssCap,HU_age+A93-17))*T93,0)</f>
        <v/>
      </c>
      <c r="V93" s="29">
        <f>S93+U93+IF(AND(HU_wdOn,A93=HU_wdYear),HU_wdIncome,0)</f>
        <v/>
      </c>
      <c r="W93" s="60">
        <f>HU_ciProp*Q93+HU_tpdCut*L93+HU_disCut*O93</f>
        <v/>
      </c>
      <c r="X93" s="29">
        <f>IF(OR(A93&lt;1,A93&gt;HU_T),0,V93*(1-W93))</f>
        <v/>
      </c>
      <c r="Y93" s="29">
        <f>IF(OR(A93&lt;1,A93&gt;HU_T),0,IF(AND(HU_retExp&gt;0,A93-1&gt;=HU_dtr),HU_retExp,HU_exp0)*R93)</f>
        <v/>
      </c>
      <c r="Z93" s="29">
        <f>-Y93-IF(AND(HU_wdOn,A93=HU_wdYear),HU_wdOut,0)</f>
        <v/>
      </c>
      <c r="AA93" s="29">
        <f>IF(OR(A93&lt;1,A93&gt;HU_T),0,-HU_medCost*R93*F93-HU_tpdCost*R93*M93)</f>
        <v/>
      </c>
      <c r="AB93" s="29">
        <f>IF(A93&gt;HU_T,0,AB92*(1+interestRate)+X93+Z93+AA93)</f>
        <v/>
      </c>
      <c r="AC93" s="29">
        <f>IF(A93&gt;HU_T,0,HU_inv*EXP(HU_mu*A93))</f>
        <v/>
      </c>
      <c r="AD93" s="29">
        <f>IF(A93&gt;HU_T,0,MAX(0,AC93+AB93))</f>
        <v/>
      </c>
      <c r="AE93" s="29">
        <f>IF(A93&gt;HU_T,0,MAX(0,X93-Y93))</f>
        <v/>
      </c>
      <c r="AF93" s="63">
        <f>IF(AND($J$6,A93&gt;=1,A93&lt;=$Q$6-1),J93,0)</f>
        <v/>
      </c>
      <c r="AG93" s="29">
        <f>IF(OR(AF93=0,$S$6=0),0,IF((AD93+$L$6)&gt;$S$6/HU_alpha+$K$6,0.5*$S$6/HU_alpha,IF((AD93+$L$6)&gt;=$K$6,((AD93+$L$6)-$K$6)-0.5*HU_alpha/$S$6*((AD93+$L$6)-$K$6)^2,IF((AD93+$L$6)&gt;=$T$6,HU_beta*((AD93+$L$6)-$K$6),HU_beta*($T$6-$K$6)))))</f>
        <v/>
      </c>
      <c r="AH93" s="29">
        <f>IF(OR(AF93=0,$S$6=0),0,IF((AD93+$L$6+$N$6)&gt;$S$6/HU_alpha+$K$6,0.5*$S$6/HU_alpha,IF((AD93+$L$6+$N$6)&gt;=$K$6,((AD93+$L$6+$N$6)-$K$6)-0.5*HU_alpha/$S$6*((AD93+$L$6+$N$6)-$K$6)^2,IF((AD93+$L$6+$N$6)&gt;=$T$6,HU_beta*((AD93+$L$6+$N$6)-$K$6),HU_beta*($T$6-$K$6)))))</f>
        <v/>
      </c>
      <c r="AI93" s="29">
        <f>IF(OR(AF93=0,$S$6=0),0,IF((AD93+$K$6)&gt;$S$6/HU_alpha+$K$6,0.5*$S$6/HU_alpha,IF((AD93+$K$6)&gt;=$K$6,((AD93+$K$6)-$K$6)-0.5*HU_alpha/$S$6*((AD93+$K$6)-$K$6)^2,IF((AD93+$K$6)&gt;=$T$6,HU_beta*((AD93+$K$6)-$K$6),HU_beta*($T$6-$K$6)))))</f>
        <v/>
      </c>
      <c r="AJ93" s="63">
        <f>IF(AND($J$7,A93&gt;=1,A93&lt;=$Q$7-1),J93,0)</f>
        <v/>
      </c>
      <c r="AK93" s="29">
        <f>IF(OR(AJ93=0,$S$7=0),0,IF((AE93+$L$7)&gt;$S$7/HU_alpha+$K$7,0.5*$S$7/HU_alpha,IF((AE93+$L$7)&gt;=$K$7,((AE93+$L$7)-$K$7)-0.5*HU_alpha/$S$7*((AE93+$L$7)-$K$7)^2,IF((AE93+$L$7)&gt;=$T$7,HU_beta*((AE93+$L$7)-$K$7),HU_beta*($T$7-$K$7)))))</f>
        <v/>
      </c>
      <c r="AL93" s="29">
        <f>IF(OR(AJ93=0,$S$7=0),0,IF((AE93+$L$7+$N$7)&gt;$S$7/HU_alpha+$K$7,0.5*$S$7/HU_alpha,IF((AE93+$L$7+$N$7)&gt;=$K$7,((AE93+$L$7+$N$7)-$K$7)-0.5*HU_alpha/$S$7*((AE93+$L$7+$N$7)-$K$7)^2,IF((AE93+$L$7+$N$7)&gt;=$T$7,HU_beta*((AE93+$L$7+$N$7)-$K$7),HU_beta*($T$7-$K$7)))))</f>
        <v/>
      </c>
      <c r="AM93" s="29">
        <f>IF(OR(AJ93=0,$S$7=0),0,IF((AE93+$K$7)&gt;$S$7/HU_alpha+$K$7,0.5*$S$7/HU_alpha,IF((AE93+$K$7)&gt;=$K$7,((AE93+$K$7)-$K$7)-0.5*HU_alpha/$S$7*((AE93+$K$7)-$K$7)^2,IF((AE93+$K$7)&gt;=$T$7,HU_beta*((AE93+$K$7)-$K$7),HU_beta*($T$7-$K$7)))))</f>
        <v/>
      </c>
      <c r="AN93" s="63">
        <f>IF(AND($J$8,A93&gt;=1,A93&lt;=$Q$8-1),J93,0)</f>
        <v/>
      </c>
      <c r="AO93" s="29">
        <f>IF(OR(AN93=0,$S$8=0),0,IF((AE93+$L$8)&gt;$S$8/HU_alpha+$K$8,0.5*$S$8/HU_alpha,IF((AE93+$L$8)&gt;=$K$8,((AE93+$L$8)-$K$8)-0.5*HU_alpha/$S$8*((AE93+$L$8)-$K$8)^2,IF((AE93+$L$8)&gt;=$T$8,HU_beta*((AE93+$L$8)-$K$8),HU_beta*($T$8-$K$8)))))</f>
        <v/>
      </c>
      <c r="AP93" s="29">
        <f>IF(OR(AN93=0,$S$8=0),0,IF((AE93+$L$8+$N$8)&gt;$S$8/HU_alpha+$K$8,0.5*$S$8/HU_alpha,IF((AE93+$L$8+$N$8)&gt;=$K$8,((AE93+$L$8+$N$8)-$K$8)-0.5*HU_alpha/$S$8*((AE93+$L$8+$N$8)-$K$8)^2,IF((AE93+$L$8+$N$8)&gt;=$T$8,HU_beta*((AE93+$L$8+$N$8)-$K$8),HU_beta*($T$8-$K$8)))))</f>
        <v/>
      </c>
      <c r="AQ93" s="29">
        <f>IF(OR(AN93=0,$S$8=0),0,IF((AE93+$K$8)&gt;$S$8/HU_alpha+$K$8,0.5*$S$8/HU_alpha,IF((AE93+$K$8)&gt;=$K$8,((AE93+$K$8)-$K$8)-0.5*HU_alpha/$S$8*((AE93+$K$8)-$K$8)^2,IF((AE93+$K$8)&gt;=$T$8,HU_beta*((AE93+$K$8)-$K$8),HU_beta*($T$8-$K$8)))))</f>
        <v/>
      </c>
      <c r="AR93" s="63">
        <f>IF(AND($J$9,A93&gt;=1,A93&lt;=$Q$9-1),J93,0)</f>
        <v/>
      </c>
      <c r="AS93" s="29">
        <f>IF(OR(AR93=0,$S$9=0),0,IF((AE93+$L$9)&gt;$S$9/HU_alpha+$K$9,0.5*$S$9/HU_alpha,IF((AE93+$L$9)&gt;=$K$9,((AE93+$L$9)-$K$9)-0.5*HU_alpha/$S$9*((AE93+$L$9)-$K$9)^2,IF((AE93+$L$9)&gt;=$T$9,HU_beta*((AE93+$L$9)-$K$9),HU_beta*($T$9-$K$9)))))</f>
        <v/>
      </c>
      <c r="AT93" s="29">
        <f>IF(OR(AR93=0,$S$9=0),0,IF((AE93+$L$9+$N$9)&gt;$S$9/HU_alpha+$K$9,0.5*$S$9/HU_alpha,IF((AE93+$L$9+$N$9)&gt;=$K$9,((AE93+$L$9+$N$9)-$K$9)-0.5*HU_alpha/$S$9*((AE93+$L$9+$N$9)-$K$9)^2,IF((AE93+$L$9+$N$9)&gt;=$T$9,HU_beta*((AE93+$L$9+$N$9)-$K$9),HU_beta*($T$9-$K$9)))))</f>
        <v/>
      </c>
      <c r="AU93" s="29">
        <f>IF(OR(AR93=0,$S$9=0),0,IF((AE93+$K$9)&gt;$S$9/HU_alpha+$K$9,0.5*$S$9/HU_alpha,IF((AE93+$K$9)&gt;=$K$9,((AE93+$K$9)-$K$9)-0.5*HU_alpha/$S$9*((AE93+$K$9)-$K$9)^2,IF((AE93+$K$9)&gt;=$T$9,HU_beta*((AE93+$K$9)-$K$9),HU_beta*($T$9-$K$9)))))</f>
        <v/>
      </c>
      <c r="AV93" s="63">
        <f>IF(AND($J$10,A93=$Q$10),J93,0)</f>
        <v/>
      </c>
      <c r="AW93" s="29">
        <f>IF(OR(AV93=0,$S$10=0),0,IF((AD93+$L$10)&gt;$S$10/HU_alpha+$K$10,0.5*$S$10/HU_alpha,IF((AD93+$L$10)&gt;=$K$10,((AD93+$L$10)-$K$10)-0.5*HU_alpha/$S$10*((AD93+$L$10)-$K$10)^2,IF((AD93+$L$10)&gt;=$T$10,HU_beta*((AD93+$L$10)-$K$10),HU_beta*($T$10-$K$10)))))</f>
        <v/>
      </c>
      <c r="AX93" s="29">
        <f>IF(OR(AV93=0,$S$10=0),0,IF((AD93+$L$10+$N$10)&gt;$S$10/HU_alpha+$K$10,0.5*$S$10/HU_alpha,IF((AD93+$L$10+$N$10)&gt;=$K$10,((AD93+$L$10+$N$10)-$K$10)-0.5*HU_alpha/$S$10*((AD93+$L$10+$N$10)-$K$10)^2,IF((AD93+$L$10+$N$10)&gt;=$T$10,HU_beta*((AD93+$L$10+$N$10)-$K$10),HU_beta*($T$10-$K$10)))))</f>
        <v/>
      </c>
      <c r="AY93" s="29">
        <f>IF(OR(AV93=0,$S$10=0),0,IF((AD93+$K$10)&gt;$S$10/HU_alpha+$K$10,0.5*$S$10/HU_alpha,IF((AD93+$K$10)&gt;=$K$10,((AD93+$K$10)-$K$10)-0.5*HU_alpha/$S$10*((AD93+$K$10)-$K$10)^2,IF((AD93+$K$10)&gt;=$T$10,HU_beta*((AD93+$K$10)-$K$10),HU_beta*($T$10-$K$10)))))</f>
        <v/>
      </c>
      <c r="AZ93" s="63">
        <f>IF(AND($J$11,A93=$Q$11),J93,0)</f>
        <v/>
      </c>
      <c r="BA93" s="29">
        <f>IF(OR(AZ93=0,$S$11=0),0,IF((AE93+$L$11)&gt;$S$11/HU_alpha+$K$11,0.5*$S$11/HU_alpha,IF((AE93+$L$11)&gt;=$K$11,((AE93+$L$11)-$K$11)-0.5*HU_alpha/$S$11*((AE93+$L$11)-$K$11)^2,IF((AE93+$L$11)&gt;=$T$11,HU_beta*((AE93+$L$11)-$K$11),HU_beta*($T$11-$K$11)))))</f>
        <v/>
      </c>
      <c r="BB93" s="29">
        <f>IF(OR(AZ93=0,$S$11=0),0,IF((AE93+$L$11+$N$11)&gt;$S$11/HU_alpha+$K$11,0.5*$S$11/HU_alpha,IF((AE93+$L$11+$N$11)&gt;=$K$11,((AE93+$L$11+$N$11)-$K$11)-0.5*HU_alpha/$S$11*((AE93+$L$11+$N$11)-$K$11)^2,IF((AE93+$L$11+$N$11)&gt;=$T$11,HU_beta*((AE93+$L$11+$N$11)-$K$11),HU_beta*($T$11-$K$11)))))</f>
        <v/>
      </c>
      <c r="BC93" s="29">
        <f>IF(OR(AZ93=0,$S$11=0),0,IF((AE93+$K$11)&gt;$S$11/HU_alpha+$K$11,0.5*$S$11/HU_alpha,IF((AE93+$K$11)&gt;=$K$11,((AE93+$K$11)-$K$11)-0.5*HU_alpha/$S$11*((AE93+$K$11)-$K$11)^2,IF((AE93+$K$11)&gt;=$T$11,HU_beta*((AE93+$K$11)-$K$11),HU_beta*($T$11-$K$11)))))</f>
        <v/>
      </c>
      <c r="BD93" s="63">
        <f>IF(AND($J$12,A93=$Q$12),J93,0)</f>
        <v/>
      </c>
      <c r="BE93" s="29">
        <f>IF(OR(BD93=0,$S$12=0),0,IF((AE93+$L$12)&gt;$S$12/HU_alpha+$K$12,0.5*$S$12/HU_alpha,IF((AE93+$L$12)&gt;=$K$12,((AE93+$L$12)-$K$12)-0.5*HU_alpha/$S$12*((AE93+$L$12)-$K$12)^2,IF((AE93+$L$12)&gt;=$T$12,HU_beta*((AE93+$L$12)-$K$12),HU_beta*($T$12-$K$12)))))</f>
        <v/>
      </c>
      <c r="BF93" s="29">
        <f>IF(OR(BD93=0,$S$12=0),0,IF((AE93+$L$12+$N$12)&gt;$S$12/HU_alpha+$K$12,0.5*$S$12/HU_alpha,IF((AE93+$L$12+$N$12)&gt;=$K$12,((AE93+$L$12+$N$12)-$K$12)-0.5*HU_alpha/$S$12*((AE93+$L$12+$N$12)-$K$12)^2,IF((AE93+$L$12+$N$12)&gt;=$T$12,HU_beta*((AE93+$L$12+$N$12)-$K$12),HU_beta*($T$12-$K$12)))))</f>
        <v/>
      </c>
      <c r="BG93" s="29">
        <f>IF(OR(BD93=0,$S$12=0),0,IF((AE93+$K$12)&gt;$S$12/HU_alpha+$K$12,0.5*$S$12/HU_alpha,IF((AE93+$K$12)&gt;=$K$12,((AE93+$K$12)-$K$12)-0.5*HU_alpha/$S$12*((AE93+$K$12)-$K$12)^2,IF((AE93+$K$12)&gt;=$T$12,HU_beta*((AE93+$K$12)-$K$12),HU_beta*($T$12-$K$12)))))</f>
        <v/>
      </c>
      <c r="BH93" s="63">
        <f>IF(AND($J$13,A93=$Q$13),J93,0)</f>
        <v/>
      </c>
      <c r="BI93" s="29">
        <f>IF(OR(BH93=0,$S$13=0),0,IF((AE93+$L$13)&gt;$S$13/HU_alpha+$K$13,0.5*$S$13/HU_alpha,IF((AE93+$L$13)&gt;=$K$13,((AE93+$L$13)-$K$13)-0.5*HU_alpha/$S$13*((AE93+$L$13)-$K$13)^2,IF((AE93+$L$13)&gt;=$T$13,HU_beta*((AE93+$L$13)-$K$13),HU_beta*($T$13-$K$13)))))</f>
        <v/>
      </c>
      <c r="BJ93" s="29">
        <f>IF(OR(BH93=0,$S$13=0),0,IF((AE93+$L$13+$N$13)&gt;$S$13/HU_alpha+$K$13,0.5*$S$13/HU_alpha,IF((AE93+$L$13+$N$13)&gt;=$K$13,((AE93+$L$13+$N$13)-$K$13)-0.5*HU_alpha/$S$13*((AE93+$L$13+$N$13)-$K$13)^2,IF((AE93+$L$13+$N$13)&gt;=$T$13,HU_beta*((AE93+$L$13+$N$13)-$K$13),HU_beta*($T$13-$K$13)))))</f>
        <v/>
      </c>
      <c r="BK93" s="29">
        <f>IF(OR(BH93=0,$S$13=0),0,IF((AE93+$K$13)&gt;$S$13/HU_alpha+$K$13,0.5*$S$13/HU_alpha,IF((AE93+$K$13)&gt;=$K$13,((AE93+$K$13)-$K$13)-0.5*HU_alpha/$S$13*((AE93+$K$13)-$K$13)^2,IF((AE93+$K$13)&gt;=$T$13,HU_beta*((AE93+$K$13)-$K$13),HU_beta*($T$13-$K$13)))))</f>
        <v/>
      </c>
    </row>
    <row r="94">
      <c r="A94" s="61" t="n">
        <v>26</v>
      </c>
      <c r="B94" s="61">
        <f>HU_age+A94</f>
        <v/>
      </c>
      <c r="C94" s="52">
        <f>A94&lt;=HU_T</f>
        <v/>
      </c>
      <c r="D94" s="63">
        <f>IF(OR(A94&lt;1,A94&gt;HU_T),0,INDEX(HU_q_mort,HU_age+A94-17,HU_col))</f>
        <v/>
      </c>
      <c r="E94" s="63">
        <f>IF(OR(A94&lt;1,A94&gt;HU_T),0,INDEX(HU_q_adb,HU_age+A94-17,HU_col))</f>
        <v/>
      </c>
      <c r="F94" s="63">
        <f>IF(OR(A94&lt;1,A94&gt;HU_T),0,INDEX(HU_q_morb,HU_age+A94-17,HU_col))</f>
        <v/>
      </c>
      <c r="G94" s="63">
        <f>IF(OR(A94&lt;1,A94&gt;HU_T),0,INDEX(HU_q_ptd,HU_age+A94-17,HU_col))</f>
        <v/>
      </c>
      <c r="H94" s="63">
        <f>IF(OR(A94&lt;1,A94&gt;HU_T),0,INDEX(HU_q_dis,HU_age+A94-17,HU_col))</f>
        <v/>
      </c>
      <c r="I94" s="63">
        <f>IF(A94&gt;HU_T,0,I93*(1-D94)*(1-E94))</f>
        <v/>
      </c>
      <c r="J94" s="63">
        <f>IF(A94&gt;=HU_T,0,N(I95))</f>
        <v/>
      </c>
      <c r="K94" s="63">
        <f>K93*(1-G94)</f>
        <v/>
      </c>
      <c r="L94" s="63">
        <f>1-K94</f>
        <v/>
      </c>
      <c r="M94" s="63">
        <f>K93*G94</f>
        <v/>
      </c>
      <c r="N94" s="63">
        <f>N93*(1-H94)</f>
        <v/>
      </c>
      <c r="O94" s="63">
        <f>1-N93</f>
        <v/>
      </c>
      <c r="P94" s="63">
        <f>P93*(1-F94)</f>
        <v/>
      </c>
      <c r="Q94" s="63">
        <f>1-P93/INDEX($P$68:$P$150,MAX(1,A94-HU_ciYears))</f>
        <v/>
      </c>
      <c r="R94" s="60">
        <f>(1+inflationRate)^A94</f>
        <v/>
      </c>
      <c r="S94" s="29">
        <f>IF(OR(OR(A94&lt;1,A94&gt;HU_T),A94-1&gt;=HU_dtr),0,HU_inc0*(1+incomeGrowthRate)^A94)</f>
        <v/>
      </c>
      <c r="T94" s="60">
        <f>IF(A94&gt;HU_T,T93,T93*(1+INDEX(HU_ssG,HU_age+A94-17)))</f>
        <v/>
      </c>
      <c r="U94" s="29">
        <f>IF(AND(HU_dtr&gt;=1,A94=HU_dtr,A94&lt;=HU_T),MIN(S94*INDEX(HU_ssC,HU_age+A94-17)/(1-INDEX(HU_ssC,HU_age+A94-17)),INDEX(HU_ssCap,HU_age+A94-17))*T94,0)</f>
        <v/>
      </c>
      <c r="V94" s="29">
        <f>S94+U94+IF(AND(HU_wdOn,A94=HU_wdYear),HU_wdIncome,0)</f>
        <v/>
      </c>
      <c r="W94" s="60">
        <f>HU_ciProp*Q94+HU_tpdCut*L94+HU_disCut*O94</f>
        <v/>
      </c>
      <c r="X94" s="29">
        <f>IF(OR(A94&lt;1,A94&gt;HU_T),0,V94*(1-W94))</f>
        <v/>
      </c>
      <c r="Y94" s="29">
        <f>IF(OR(A94&lt;1,A94&gt;HU_T),0,IF(AND(HU_retExp&gt;0,A94-1&gt;=HU_dtr),HU_retExp,HU_exp0)*R94)</f>
        <v/>
      </c>
      <c r="Z94" s="29">
        <f>-Y94-IF(AND(HU_wdOn,A94=HU_wdYear),HU_wdOut,0)</f>
        <v/>
      </c>
      <c r="AA94" s="29">
        <f>IF(OR(A94&lt;1,A94&gt;HU_T),0,-HU_medCost*R94*F94-HU_tpdCost*R94*M94)</f>
        <v/>
      </c>
      <c r="AB94" s="29">
        <f>IF(A94&gt;HU_T,0,AB93*(1+interestRate)+X94+Z94+AA94)</f>
        <v/>
      </c>
      <c r="AC94" s="29">
        <f>IF(A94&gt;HU_T,0,HU_inv*EXP(HU_mu*A94))</f>
        <v/>
      </c>
      <c r="AD94" s="29">
        <f>IF(A94&gt;HU_T,0,MAX(0,AC94+AB94))</f>
        <v/>
      </c>
      <c r="AE94" s="29">
        <f>IF(A94&gt;HU_T,0,MAX(0,X94-Y94))</f>
        <v/>
      </c>
      <c r="AF94" s="63">
        <f>IF(AND($J$6,A94&gt;=1,A94&lt;=$Q$6-1),J94,0)</f>
        <v/>
      </c>
      <c r="AG94" s="29">
        <f>IF(OR(AF94=0,$S$6=0),0,IF((AD94+$L$6)&gt;$S$6/HU_alpha+$K$6,0.5*$S$6/HU_alpha,IF((AD94+$L$6)&gt;=$K$6,((AD94+$L$6)-$K$6)-0.5*HU_alpha/$S$6*((AD94+$L$6)-$K$6)^2,IF((AD94+$L$6)&gt;=$T$6,HU_beta*((AD94+$L$6)-$K$6),HU_beta*($T$6-$K$6)))))</f>
        <v/>
      </c>
      <c r="AH94" s="29">
        <f>IF(OR(AF94=0,$S$6=0),0,IF((AD94+$L$6+$N$6)&gt;$S$6/HU_alpha+$K$6,0.5*$S$6/HU_alpha,IF((AD94+$L$6+$N$6)&gt;=$K$6,((AD94+$L$6+$N$6)-$K$6)-0.5*HU_alpha/$S$6*((AD94+$L$6+$N$6)-$K$6)^2,IF((AD94+$L$6+$N$6)&gt;=$T$6,HU_beta*((AD94+$L$6+$N$6)-$K$6),HU_beta*($T$6-$K$6)))))</f>
        <v/>
      </c>
      <c r="AI94" s="29">
        <f>IF(OR(AF94=0,$S$6=0),0,IF((AD94+$K$6)&gt;$S$6/HU_alpha+$K$6,0.5*$S$6/HU_alpha,IF((AD94+$K$6)&gt;=$K$6,((AD94+$K$6)-$K$6)-0.5*HU_alpha/$S$6*((AD94+$K$6)-$K$6)^2,IF((AD94+$K$6)&gt;=$T$6,HU_beta*((AD94+$K$6)-$K$6),HU_beta*($T$6-$K$6)))))</f>
        <v/>
      </c>
      <c r="AJ94" s="63">
        <f>IF(AND($J$7,A94&gt;=1,A94&lt;=$Q$7-1),J94,0)</f>
        <v/>
      </c>
      <c r="AK94" s="29">
        <f>IF(OR(AJ94=0,$S$7=0),0,IF((AE94+$L$7)&gt;$S$7/HU_alpha+$K$7,0.5*$S$7/HU_alpha,IF((AE94+$L$7)&gt;=$K$7,((AE94+$L$7)-$K$7)-0.5*HU_alpha/$S$7*((AE94+$L$7)-$K$7)^2,IF((AE94+$L$7)&gt;=$T$7,HU_beta*((AE94+$L$7)-$K$7),HU_beta*($T$7-$K$7)))))</f>
        <v/>
      </c>
      <c r="AL94" s="29">
        <f>IF(OR(AJ94=0,$S$7=0),0,IF((AE94+$L$7+$N$7)&gt;$S$7/HU_alpha+$K$7,0.5*$S$7/HU_alpha,IF((AE94+$L$7+$N$7)&gt;=$K$7,((AE94+$L$7+$N$7)-$K$7)-0.5*HU_alpha/$S$7*((AE94+$L$7+$N$7)-$K$7)^2,IF((AE94+$L$7+$N$7)&gt;=$T$7,HU_beta*((AE94+$L$7+$N$7)-$K$7),HU_beta*($T$7-$K$7)))))</f>
        <v/>
      </c>
      <c r="AM94" s="29">
        <f>IF(OR(AJ94=0,$S$7=0),0,IF((AE94+$K$7)&gt;$S$7/HU_alpha+$K$7,0.5*$S$7/HU_alpha,IF((AE94+$K$7)&gt;=$K$7,((AE94+$K$7)-$K$7)-0.5*HU_alpha/$S$7*((AE94+$K$7)-$K$7)^2,IF((AE94+$K$7)&gt;=$T$7,HU_beta*((AE94+$K$7)-$K$7),HU_beta*($T$7-$K$7)))))</f>
        <v/>
      </c>
      <c r="AN94" s="63">
        <f>IF(AND($J$8,A94&gt;=1,A94&lt;=$Q$8-1),J94,0)</f>
        <v/>
      </c>
      <c r="AO94" s="29">
        <f>IF(OR(AN94=0,$S$8=0),0,IF((AE94+$L$8)&gt;$S$8/HU_alpha+$K$8,0.5*$S$8/HU_alpha,IF((AE94+$L$8)&gt;=$K$8,((AE94+$L$8)-$K$8)-0.5*HU_alpha/$S$8*((AE94+$L$8)-$K$8)^2,IF((AE94+$L$8)&gt;=$T$8,HU_beta*((AE94+$L$8)-$K$8),HU_beta*($T$8-$K$8)))))</f>
        <v/>
      </c>
      <c r="AP94" s="29">
        <f>IF(OR(AN94=0,$S$8=0),0,IF((AE94+$L$8+$N$8)&gt;$S$8/HU_alpha+$K$8,0.5*$S$8/HU_alpha,IF((AE94+$L$8+$N$8)&gt;=$K$8,((AE94+$L$8+$N$8)-$K$8)-0.5*HU_alpha/$S$8*((AE94+$L$8+$N$8)-$K$8)^2,IF((AE94+$L$8+$N$8)&gt;=$T$8,HU_beta*((AE94+$L$8+$N$8)-$K$8),HU_beta*($T$8-$K$8)))))</f>
        <v/>
      </c>
      <c r="AQ94" s="29">
        <f>IF(OR(AN94=0,$S$8=0),0,IF((AE94+$K$8)&gt;$S$8/HU_alpha+$K$8,0.5*$S$8/HU_alpha,IF((AE94+$K$8)&gt;=$K$8,((AE94+$K$8)-$K$8)-0.5*HU_alpha/$S$8*((AE94+$K$8)-$K$8)^2,IF((AE94+$K$8)&gt;=$T$8,HU_beta*((AE94+$K$8)-$K$8),HU_beta*($T$8-$K$8)))))</f>
        <v/>
      </c>
      <c r="AR94" s="63">
        <f>IF(AND($J$9,A94&gt;=1,A94&lt;=$Q$9-1),J94,0)</f>
        <v/>
      </c>
      <c r="AS94" s="29">
        <f>IF(OR(AR94=0,$S$9=0),0,IF((AE94+$L$9)&gt;$S$9/HU_alpha+$K$9,0.5*$S$9/HU_alpha,IF((AE94+$L$9)&gt;=$K$9,((AE94+$L$9)-$K$9)-0.5*HU_alpha/$S$9*((AE94+$L$9)-$K$9)^2,IF((AE94+$L$9)&gt;=$T$9,HU_beta*((AE94+$L$9)-$K$9),HU_beta*($T$9-$K$9)))))</f>
        <v/>
      </c>
      <c r="AT94" s="29">
        <f>IF(OR(AR94=0,$S$9=0),0,IF((AE94+$L$9+$N$9)&gt;$S$9/HU_alpha+$K$9,0.5*$S$9/HU_alpha,IF((AE94+$L$9+$N$9)&gt;=$K$9,((AE94+$L$9+$N$9)-$K$9)-0.5*HU_alpha/$S$9*((AE94+$L$9+$N$9)-$K$9)^2,IF((AE94+$L$9+$N$9)&gt;=$T$9,HU_beta*((AE94+$L$9+$N$9)-$K$9),HU_beta*($T$9-$K$9)))))</f>
        <v/>
      </c>
      <c r="AU94" s="29">
        <f>IF(OR(AR94=0,$S$9=0),0,IF((AE94+$K$9)&gt;$S$9/HU_alpha+$K$9,0.5*$S$9/HU_alpha,IF((AE94+$K$9)&gt;=$K$9,((AE94+$K$9)-$K$9)-0.5*HU_alpha/$S$9*((AE94+$K$9)-$K$9)^2,IF((AE94+$K$9)&gt;=$T$9,HU_beta*((AE94+$K$9)-$K$9),HU_beta*($T$9-$K$9)))))</f>
        <v/>
      </c>
      <c r="AV94" s="63">
        <f>IF(AND($J$10,A94=$Q$10),J94,0)</f>
        <v/>
      </c>
      <c r="AW94" s="29">
        <f>IF(OR(AV94=0,$S$10=0),0,IF((AD94+$L$10)&gt;$S$10/HU_alpha+$K$10,0.5*$S$10/HU_alpha,IF((AD94+$L$10)&gt;=$K$10,((AD94+$L$10)-$K$10)-0.5*HU_alpha/$S$10*((AD94+$L$10)-$K$10)^2,IF((AD94+$L$10)&gt;=$T$10,HU_beta*((AD94+$L$10)-$K$10),HU_beta*($T$10-$K$10)))))</f>
        <v/>
      </c>
      <c r="AX94" s="29">
        <f>IF(OR(AV94=0,$S$10=0),0,IF((AD94+$L$10+$N$10)&gt;$S$10/HU_alpha+$K$10,0.5*$S$10/HU_alpha,IF((AD94+$L$10+$N$10)&gt;=$K$10,((AD94+$L$10+$N$10)-$K$10)-0.5*HU_alpha/$S$10*((AD94+$L$10+$N$10)-$K$10)^2,IF((AD94+$L$10+$N$10)&gt;=$T$10,HU_beta*((AD94+$L$10+$N$10)-$K$10),HU_beta*($T$10-$K$10)))))</f>
        <v/>
      </c>
      <c r="AY94" s="29">
        <f>IF(OR(AV94=0,$S$10=0),0,IF((AD94+$K$10)&gt;$S$10/HU_alpha+$K$10,0.5*$S$10/HU_alpha,IF((AD94+$K$10)&gt;=$K$10,((AD94+$K$10)-$K$10)-0.5*HU_alpha/$S$10*((AD94+$K$10)-$K$10)^2,IF((AD94+$K$10)&gt;=$T$10,HU_beta*((AD94+$K$10)-$K$10),HU_beta*($T$10-$K$10)))))</f>
        <v/>
      </c>
      <c r="AZ94" s="63">
        <f>IF(AND($J$11,A94=$Q$11),J94,0)</f>
        <v/>
      </c>
      <c r="BA94" s="29">
        <f>IF(OR(AZ94=0,$S$11=0),0,IF((AE94+$L$11)&gt;$S$11/HU_alpha+$K$11,0.5*$S$11/HU_alpha,IF((AE94+$L$11)&gt;=$K$11,((AE94+$L$11)-$K$11)-0.5*HU_alpha/$S$11*((AE94+$L$11)-$K$11)^2,IF((AE94+$L$11)&gt;=$T$11,HU_beta*((AE94+$L$11)-$K$11),HU_beta*($T$11-$K$11)))))</f>
        <v/>
      </c>
      <c r="BB94" s="29">
        <f>IF(OR(AZ94=0,$S$11=0),0,IF((AE94+$L$11+$N$11)&gt;$S$11/HU_alpha+$K$11,0.5*$S$11/HU_alpha,IF((AE94+$L$11+$N$11)&gt;=$K$11,((AE94+$L$11+$N$11)-$K$11)-0.5*HU_alpha/$S$11*((AE94+$L$11+$N$11)-$K$11)^2,IF((AE94+$L$11+$N$11)&gt;=$T$11,HU_beta*((AE94+$L$11+$N$11)-$K$11),HU_beta*($T$11-$K$11)))))</f>
        <v/>
      </c>
      <c r="BC94" s="29">
        <f>IF(OR(AZ94=0,$S$11=0),0,IF((AE94+$K$11)&gt;$S$11/HU_alpha+$K$11,0.5*$S$11/HU_alpha,IF((AE94+$K$11)&gt;=$K$11,((AE94+$K$11)-$K$11)-0.5*HU_alpha/$S$11*((AE94+$K$11)-$K$11)^2,IF((AE94+$K$11)&gt;=$T$11,HU_beta*((AE94+$K$11)-$K$11),HU_beta*($T$11-$K$11)))))</f>
        <v/>
      </c>
      <c r="BD94" s="63">
        <f>IF(AND($J$12,A94=$Q$12),J94,0)</f>
        <v/>
      </c>
      <c r="BE94" s="29">
        <f>IF(OR(BD94=0,$S$12=0),0,IF((AE94+$L$12)&gt;$S$12/HU_alpha+$K$12,0.5*$S$12/HU_alpha,IF((AE94+$L$12)&gt;=$K$12,((AE94+$L$12)-$K$12)-0.5*HU_alpha/$S$12*((AE94+$L$12)-$K$12)^2,IF((AE94+$L$12)&gt;=$T$12,HU_beta*((AE94+$L$12)-$K$12),HU_beta*($T$12-$K$12)))))</f>
        <v/>
      </c>
      <c r="BF94" s="29">
        <f>IF(OR(BD94=0,$S$12=0),0,IF((AE94+$L$12+$N$12)&gt;$S$12/HU_alpha+$K$12,0.5*$S$12/HU_alpha,IF((AE94+$L$12+$N$12)&gt;=$K$12,((AE94+$L$12+$N$12)-$K$12)-0.5*HU_alpha/$S$12*((AE94+$L$12+$N$12)-$K$12)^2,IF((AE94+$L$12+$N$12)&gt;=$T$12,HU_beta*((AE94+$L$12+$N$12)-$K$12),HU_beta*($T$12-$K$12)))))</f>
        <v/>
      </c>
      <c r="BG94" s="29">
        <f>IF(OR(BD94=0,$S$12=0),0,IF((AE94+$K$12)&gt;$S$12/HU_alpha+$K$12,0.5*$S$12/HU_alpha,IF((AE94+$K$12)&gt;=$K$12,((AE94+$K$12)-$K$12)-0.5*HU_alpha/$S$12*((AE94+$K$12)-$K$12)^2,IF((AE94+$K$12)&gt;=$T$12,HU_beta*((AE94+$K$12)-$K$12),HU_beta*($T$12-$K$12)))))</f>
        <v/>
      </c>
      <c r="BH94" s="63">
        <f>IF(AND($J$13,A94=$Q$13),J94,0)</f>
        <v/>
      </c>
      <c r="BI94" s="29">
        <f>IF(OR(BH94=0,$S$13=0),0,IF((AE94+$L$13)&gt;$S$13/HU_alpha+$K$13,0.5*$S$13/HU_alpha,IF((AE94+$L$13)&gt;=$K$13,((AE94+$L$13)-$K$13)-0.5*HU_alpha/$S$13*((AE94+$L$13)-$K$13)^2,IF((AE94+$L$13)&gt;=$T$13,HU_beta*((AE94+$L$13)-$K$13),HU_beta*($T$13-$K$13)))))</f>
        <v/>
      </c>
      <c r="BJ94" s="29">
        <f>IF(OR(BH94=0,$S$13=0),0,IF((AE94+$L$13+$N$13)&gt;$S$13/HU_alpha+$K$13,0.5*$S$13/HU_alpha,IF((AE94+$L$13+$N$13)&gt;=$K$13,((AE94+$L$13+$N$13)-$K$13)-0.5*HU_alpha/$S$13*((AE94+$L$13+$N$13)-$K$13)^2,IF((AE94+$L$13+$N$13)&gt;=$T$13,HU_beta*((AE94+$L$13+$N$13)-$K$13),HU_beta*($T$13-$K$13)))))</f>
        <v/>
      </c>
      <c r="BK94" s="29">
        <f>IF(OR(BH94=0,$S$13=0),0,IF((AE94+$K$13)&gt;$S$13/HU_alpha+$K$13,0.5*$S$13/HU_alpha,IF((AE94+$K$13)&gt;=$K$13,((AE94+$K$13)-$K$13)-0.5*HU_alpha/$S$13*((AE94+$K$13)-$K$13)^2,IF((AE94+$K$13)&gt;=$T$13,HU_beta*((AE94+$K$13)-$K$13),HU_beta*($T$13-$K$13)))))</f>
        <v/>
      </c>
    </row>
    <row r="95">
      <c r="A95" s="61" t="n">
        <v>27</v>
      </c>
      <c r="B95" s="61">
        <f>HU_age+A95</f>
        <v/>
      </c>
      <c r="C95" s="52">
        <f>A95&lt;=HU_T</f>
        <v/>
      </c>
      <c r="D95" s="63">
        <f>IF(OR(A95&lt;1,A95&gt;HU_T),0,INDEX(HU_q_mort,HU_age+A95-17,HU_col))</f>
        <v/>
      </c>
      <c r="E95" s="63">
        <f>IF(OR(A95&lt;1,A95&gt;HU_T),0,INDEX(HU_q_adb,HU_age+A95-17,HU_col))</f>
        <v/>
      </c>
      <c r="F95" s="63">
        <f>IF(OR(A95&lt;1,A95&gt;HU_T),0,INDEX(HU_q_morb,HU_age+A95-17,HU_col))</f>
        <v/>
      </c>
      <c r="G95" s="63">
        <f>IF(OR(A95&lt;1,A95&gt;HU_T),0,INDEX(HU_q_ptd,HU_age+A95-17,HU_col))</f>
        <v/>
      </c>
      <c r="H95" s="63">
        <f>IF(OR(A95&lt;1,A95&gt;HU_T),0,INDEX(HU_q_dis,HU_age+A95-17,HU_col))</f>
        <v/>
      </c>
      <c r="I95" s="63">
        <f>IF(A95&gt;HU_T,0,I94*(1-D95)*(1-E95))</f>
        <v/>
      </c>
      <c r="J95" s="63">
        <f>IF(A95&gt;=HU_T,0,N(I96))</f>
        <v/>
      </c>
      <c r="K95" s="63">
        <f>K94*(1-G95)</f>
        <v/>
      </c>
      <c r="L95" s="63">
        <f>1-K95</f>
        <v/>
      </c>
      <c r="M95" s="63">
        <f>K94*G95</f>
        <v/>
      </c>
      <c r="N95" s="63">
        <f>N94*(1-H95)</f>
        <v/>
      </c>
      <c r="O95" s="63">
        <f>1-N94</f>
        <v/>
      </c>
      <c r="P95" s="63">
        <f>P94*(1-F95)</f>
        <v/>
      </c>
      <c r="Q95" s="63">
        <f>1-P94/INDEX($P$68:$P$150,MAX(1,A95-HU_ciYears))</f>
        <v/>
      </c>
      <c r="R95" s="60">
        <f>(1+inflationRate)^A95</f>
        <v/>
      </c>
      <c r="S95" s="29">
        <f>IF(OR(OR(A95&lt;1,A95&gt;HU_T),A95-1&gt;=HU_dtr),0,HU_inc0*(1+incomeGrowthRate)^A95)</f>
        <v/>
      </c>
      <c r="T95" s="60">
        <f>IF(A95&gt;HU_T,T94,T94*(1+INDEX(HU_ssG,HU_age+A95-17)))</f>
        <v/>
      </c>
      <c r="U95" s="29">
        <f>IF(AND(HU_dtr&gt;=1,A95=HU_dtr,A95&lt;=HU_T),MIN(S95*INDEX(HU_ssC,HU_age+A95-17)/(1-INDEX(HU_ssC,HU_age+A95-17)),INDEX(HU_ssCap,HU_age+A95-17))*T95,0)</f>
        <v/>
      </c>
      <c r="V95" s="29">
        <f>S95+U95+IF(AND(HU_wdOn,A95=HU_wdYear),HU_wdIncome,0)</f>
        <v/>
      </c>
      <c r="W95" s="60">
        <f>HU_ciProp*Q95+HU_tpdCut*L95+HU_disCut*O95</f>
        <v/>
      </c>
      <c r="X95" s="29">
        <f>IF(OR(A95&lt;1,A95&gt;HU_T),0,V95*(1-W95))</f>
        <v/>
      </c>
      <c r="Y95" s="29">
        <f>IF(OR(A95&lt;1,A95&gt;HU_T),0,IF(AND(HU_retExp&gt;0,A95-1&gt;=HU_dtr),HU_retExp,HU_exp0)*R95)</f>
        <v/>
      </c>
      <c r="Z95" s="29">
        <f>-Y95-IF(AND(HU_wdOn,A95=HU_wdYear),HU_wdOut,0)</f>
        <v/>
      </c>
      <c r="AA95" s="29">
        <f>IF(OR(A95&lt;1,A95&gt;HU_T),0,-HU_medCost*R95*F95-HU_tpdCost*R95*M95)</f>
        <v/>
      </c>
      <c r="AB95" s="29">
        <f>IF(A95&gt;HU_T,0,AB94*(1+interestRate)+X95+Z95+AA95)</f>
        <v/>
      </c>
      <c r="AC95" s="29">
        <f>IF(A95&gt;HU_T,0,HU_inv*EXP(HU_mu*A95))</f>
        <v/>
      </c>
      <c r="AD95" s="29">
        <f>IF(A95&gt;HU_T,0,MAX(0,AC95+AB95))</f>
        <v/>
      </c>
      <c r="AE95" s="29">
        <f>IF(A95&gt;HU_T,0,MAX(0,X95-Y95))</f>
        <v/>
      </c>
      <c r="AF95" s="63">
        <f>IF(AND($J$6,A95&gt;=1,A95&lt;=$Q$6-1),J95,0)</f>
        <v/>
      </c>
      <c r="AG95" s="29">
        <f>IF(OR(AF95=0,$S$6=0),0,IF((AD95+$L$6)&gt;$S$6/HU_alpha+$K$6,0.5*$S$6/HU_alpha,IF((AD95+$L$6)&gt;=$K$6,((AD95+$L$6)-$K$6)-0.5*HU_alpha/$S$6*((AD95+$L$6)-$K$6)^2,IF((AD95+$L$6)&gt;=$T$6,HU_beta*((AD95+$L$6)-$K$6),HU_beta*($T$6-$K$6)))))</f>
        <v/>
      </c>
      <c r="AH95" s="29">
        <f>IF(OR(AF95=0,$S$6=0),0,IF((AD95+$L$6+$N$6)&gt;$S$6/HU_alpha+$K$6,0.5*$S$6/HU_alpha,IF((AD95+$L$6+$N$6)&gt;=$K$6,((AD95+$L$6+$N$6)-$K$6)-0.5*HU_alpha/$S$6*((AD95+$L$6+$N$6)-$K$6)^2,IF((AD95+$L$6+$N$6)&gt;=$T$6,HU_beta*((AD95+$L$6+$N$6)-$K$6),HU_beta*($T$6-$K$6)))))</f>
        <v/>
      </c>
      <c r="AI95" s="29">
        <f>IF(OR(AF95=0,$S$6=0),0,IF((AD95+$K$6)&gt;$S$6/HU_alpha+$K$6,0.5*$S$6/HU_alpha,IF((AD95+$K$6)&gt;=$K$6,((AD95+$K$6)-$K$6)-0.5*HU_alpha/$S$6*((AD95+$K$6)-$K$6)^2,IF((AD95+$K$6)&gt;=$T$6,HU_beta*((AD95+$K$6)-$K$6),HU_beta*($T$6-$K$6)))))</f>
        <v/>
      </c>
      <c r="AJ95" s="63">
        <f>IF(AND($J$7,A95&gt;=1,A95&lt;=$Q$7-1),J95,0)</f>
        <v/>
      </c>
      <c r="AK95" s="29">
        <f>IF(OR(AJ95=0,$S$7=0),0,IF((AE95+$L$7)&gt;$S$7/HU_alpha+$K$7,0.5*$S$7/HU_alpha,IF((AE95+$L$7)&gt;=$K$7,((AE95+$L$7)-$K$7)-0.5*HU_alpha/$S$7*((AE95+$L$7)-$K$7)^2,IF((AE95+$L$7)&gt;=$T$7,HU_beta*((AE95+$L$7)-$K$7),HU_beta*($T$7-$K$7)))))</f>
        <v/>
      </c>
      <c r="AL95" s="29">
        <f>IF(OR(AJ95=0,$S$7=0),0,IF((AE95+$L$7+$N$7)&gt;$S$7/HU_alpha+$K$7,0.5*$S$7/HU_alpha,IF((AE95+$L$7+$N$7)&gt;=$K$7,((AE95+$L$7+$N$7)-$K$7)-0.5*HU_alpha/$S$7*((AE95+$L$7+$N$7)-$K$7)^2,IF((AE95+$L$7+$N$7)&gt;=$T$7,HU_beta*((AE95+$L$7+$N$7)-$K$7),HU_beta*($T$7-$K$7)))))</f>
        <v/>
      </c>
      <c r="AM95" s="29">
        <f>IF(OR(AJ95=0,$S$7=0),0,IF((AE95+$K$7)&gt;$S$7/HU_alpha+$K$7,0.5*$S$7/HU_alpha,IF((AE95+$K$7)&gt;=$K$7,((AE95+$K$7)-$K$7)-0.5*HU_alpha/$S$7*((AE95+$K$7)-$K$7)^2,IF((AE95+$K$7)&gt;=$T$7,HU_beta*((AE95+$K$7)-$K$7),HU_beta*($T$7-$K$7)))))</f>
        <v/>
      </c>
      <c r="AN95" s="63">
        <f>IF(AND($J$8,A95&gt;=1,A95&lt;=$Q$8-1),J95,0)</f>
        <v/>
      </c>
      <c r="AO95" s="29">
        <f>IF(OR(AN95=0,$S$8=0),0,IF((AE95+$L$8)&gt;$S$8/HU_alpha+$K$8,0.5*$S$8/HU_alpha,IF((AE95+$L$8)&gt;=$K$8,((AE95+$L$8)-$K$8)-0.5*HU_alpha/$S$8*((AE95+$L$8)-$K$8)^2,IF((AE95+$L$8)&gt;=$T$8,HU_beta*((AE95+$L$8)-$K$8),HU_beta*($T$8-$K$8)))))</f>
        <v/>
      </c>
      <c r="AP95" s="29">
        <f>IF(OR(AN95=0,$S$8=0),0,IF((AE95+$L$8+$N$8)&gt;$S$8/HU_alpha+$K$8,0.5*$S$8/HU_alpha,IF((AE95+$L$8+$N$8)&gt;=$K$8,((AE95+$L$8+$N$8)-$K$8)-0.5*HU_alpha/$S$8*((AE95+$L$8+$N$8)-$K$8)^2,IF((AE95+$L$8+$N$8)&gt;=$T$8,HU_beta*((AE95+$L$8+$N$8)-$K$8),HU_beta*($T$8-$K$8)))))</f>
        <v/>
      </c>
      <c r="AQ95" s="29">
        <f>IF(OR(AN95=0,$S$8=0),0,IF((AE95+$K$8)&gt;$S$8/HU_alpha+$K$8,0.5*$S$8/HU_alpha,IF((AE95+$K$8)&gt;=$K$8,((AE95+$K$8)-$K$8)-0.5*HU_alpha/$S$8*((AE95+$K$8)-$K$8)^2,IF((AE95+$K$8)&gt;=$T$8,HU_beta*((AE95+$K$8)-$K$8),HU_beta*($T$8-$K$8)))))</f>
        <v/>
      </c>
      <c r="AR95" s="63">
        <f>IF(AND($J$9,A95&gt;=1,A95&lt;=$Q$9-1),J95,0)</f>
        <v/>
      </c>
      <c r="AS95" s="29">
        <f>IF(OR(AR95=0,$S$9=0),0,IF((AE95+$L$9)&gt;$S$9/HU_alpha+$K$9,0.5*$S$9/HU_alpha,IF((AE95+$L$9)&gt;=$K$9,((AE95+$L$9)-$K$9)-0.5*HU_alpha/$S$9*((AE95+$L$9)-$K$9)^2,IF((AE95+$L$9)&gt;=$T$9,HU_beta*((AE95+$L$9)-$K$9),HU_beta*($T$9-$K$9)))))</f>
        <v/>
      </c>
      <c r="AT95" s="29">
        <f>IF(OR(AR95=0,$S$9=0),0,IF((AE95+$L$9+$N$9)&gt;$S$9/HU_alpha+$K$9,0.5*$S$9/HU_alpha,IF((AE95+$L$9+$N$9)&gt;=$K$9,((AE95+$L$9+$N$9)-$K$9)-0.5*HU_alpha/$S$9*((AE95+$L$9+$N$9)-$K$9)^2,IF((AE95+$L$9+$N$9)&gt;=$T$9,HU_beta*((AE95+$L$9+$N$9)-$K$9),HU_beta*($T$9-$K$9)))))</f>
        <v/>
      </c>
      <c r="AU95" s="29">
        <f>IF(OR(AR95=0,$S$9=0),0,IF((AE95+$K$9)&gt;$S$9/HU_alpha+$K$9,0.5*$S$9/HU_alpha,IF((AE95+$K$9)&gt;=$K$9,((AE95+$K$9)-$K$9)-0.5*HU_alpha/$S$9*((AE95+$K$9)-$K$9)^2,IF((AE95+$K$9)&gt;=$T$9,HU_beta*((AE95+$K$9)-$K$9),HU_beta*($T$9-$K$9)))))</f>
        <v/>
      </c>
      <c r="AV95" s="63">
        <f>IF(AND($J$10,A95=$Q$10),J95,0)</f>
        <v/>
      </c>
      <c r="AW95" s="29">
        <f>IF(OR(AV95=0,$S$10=0),0,IF((AD95+$L$10)&gt;$S$10/HU_alpha+$K$10,0.5*$S$10/HU_alpha,IF((AD95+$L$10)&gt;=$K$10,((AD95+$L$10)-$K$10)-0.5*HU_alpha/$S$10*((AD95+$L$10)-$K$10)^2,IF((AD95+$L$10)&gt;=$T$10,HU_beta*((AD95+$L$10)-$K$10),HU_beta*($T$10-$K$10)))))</f>
        <v/>
      </c>
      <c r="AX95" s="29">
        <f>IF(OR(AV95=0,$S$10=0),0,IF((AD95+$L$10+$N$10)&gt;$S$10/HU_alpha+$K$10,0.5*$S$10/HU_alpha,IF((AD95+$L$10+$N$10)&gt;=$K$10,((AD95+$L$10+$N$10)-$K$10)-0.5*HU_alpha/$S$10*((AD95+$L$10+$N$10)-$K$10)^2,IF((AD95+$L$10+$N$10)&gt;=$T$10,HU_beta*((AD95+$L$10+$N$10)-$K$10),HU_beta*($T$10-$K$10)))))</f>
        <v/>
      </c>
      <c r="AY95" s="29">
        <f>IF(OR(AV95=0,$S$10=0),0,IF((AD95+$K$10)&gt;$S$10/HU_alpha+$K$10,0.5*$S$10/HU_alpha,IF((AD95+$K$10)&gt;=$K$10,((AD95+$K$10)-$K$10)-0.5*HU_alpha/$S$10*((AD95+$K$10)-$K$10)^2,IF((AD95+$K$10)&gt;=$T$10,HU_beta*((AD95+$K$10)-$K$10),HU_beta*($T$10-$K$10)))))</f>
        <v/>
      </c>
      <c r="AZ95" s="63">
        <f>IF(AND($J$11,A95=$Q$11),J95,0)</f>
        <v/>
      </c>
      <c r="BA95" s="29">
        <f>IF(OR(AZ95=0,$S$11=0),0,IF((AE95+$L$11)&gt;$S$11/HU_alpha+$K$11,0.5*$S$11/HU_alpha,IF((AE95+$L$11)&gt;=$K$11,((AE95+$L$11)-$K$11)-0.5*HU_alpha/$S$11*((AE95+$L$11)-$K$11)^2,IF((AE95+$L$11)&gt;=$T$11,HU_beta*((AE95+$L$11)-$K$11),HU_beta*($T$11-$K$11)))))</f>
        <v/>
      </c>
      <c r="BB95" s="29">
        <f>IF(OR(AZ95=0,$S$11=0),0,IF((AE95+$L$11+$N$11)&gt;$S$11/HU_alpha+$K$11,0.5*$S$11/HU_alpha,IF((AE95+$L$11+$N$11)&gt;=$K$11,((AE95+$L$11+$N$11)-$K$11)-0.5*HU_alpha/$S$11*((AE95+$L$11+$N$11)-$K$11)^2,IF((AE95+$L$11+$N$11)&gt;=$T$11,HU_beta*((AE95+$L$11+$N$11)-$K$11),HU_beta*($T$11-$K$11)))))</f>
        <v/>
      </c>
      <c r="BC95" s="29">
        <f>IF(OR(AZ95=0,$S$11=0),0,IF((AE95+$K$11)&gt;$S$11/HU_alpha+$K$11,0.5*$S$11/HU_alpha,IF((AE95+$K$11)&gt;=$K$11,((AE95+$K$11)-$K$11)-0.5*HU_alpha/$S$11*((AE95+$K$11)-$K$11)^2,IF((AE95+$K$11)&gt;=$T$11,HU_beta*((AE95+$K$11)-$K$11),HU_beta*($T$11-$K$11)))))</f>
        <v/>
      </c>
      <c r="BD95" s="63">
        <f>IF(AND($J$12,A95=$Q$12),J95,0)</f>
        <v/>
      </c>
      <c r="BE95" s="29">
        <f>IF(OR(BD95=0,$S$12=0),0,IF((AE95+$L$12)&gt;$S$12/HU_alpha+$K$12,0.5*$S$12/HU_alpha,IF((AE95+$L$12)&gt;=$K$12,((AE95+$L$12)-$K$12)-0.5*HU_alpha/$S$12*((AE95+$L$12)-$K$12)^2,IF((AE95+$L$12)&gt;=$T$12,HU_beta*((AE95+$L$12)-$K$12),HU_beta*($T$12-$K$12)))))</f>
        <v/>
      </c>
      <c r="BF95" s="29">
        <f>IF(OR(BD95=0,$S$12=0),0,IF((AE95+$L$12+$N$12)&gt;$S$12/HU_alpha+$K$12,0.5*$S$12/HU_alpha,IF((AE95+$L$12+$N$12)&gt;=$K$12,((AE95+$L$12+$N$12)-$K$12)-0.5*HU_alpha/$S$12*((AE95+$L$12+$N$12)-$K$12)^2,IF((AE95+$L$12+$N$12)&gt;=$T$12,HU_beta*((AE95+$L$12+$N$12)-$K$12),HU_beta*($T$12-$K$12)))))</f>
        <v/>
      </c>
      <c r="BG95" s="29">
        <f>IF(OR(BD95=0,$S$12=0),0,IF((AE95+$K$12)&gt;$S$12/HU_alpha+$K$12,0.5*$S$12/HU_alpha,IF((AE95+$K$12)&gt;=$K$12,((AE95+$K$12)-$K$12)-0.5*HU_alpha/$S$12*((AE95+$K$12)-$K$12)^2,IF((AE95+$K$12)&gt;=$T$12,HU_beta*((AE95+$K$12)-$K$12),HU_beta*($T$12-$K$12)))))</f>
        <v/>
      </c>
      <c r="BH95" s="63">
        <f>IF(AND($J$13,A95=$Q$13),J95,0)</f>
        <v/>
      </c>
      <c r="BI95" s="29">
        <f>IF(OR(BH95=0,$S$13=0),0,IF((AE95+$L$13)&gt;$S$13/HU_alpha+$K$13,0.5*$S$13/HU_alpha,IF((AE95+$L$13)&gt;=$K$13,((AE95+$L$13)-$K$13)-0.5*HU_alpha/$S$13*((AE95+$L$13)-$K$13)^2,IF((AE95+$L$13)&gt;=$T$13,HU_beta*((AE95+$L$13)-$K$13),HU_beta*($T$13-$K$13)))))</f>
        <v/>
      </c>
      <c r="BJ95" s="29">
        <f>IF(OR(BH95=0,$S$13=0),0,IF((AE95+$L$13+$N$13)&gt;$S$13/HU_alpha+$K$13,0.5*$S$13/HU_alpha,IF((AE95+$L$13+$N$13)&gt;=$K$13,((AE95+$L$13+$N$13)-$K$13)-0.5*HU_alpha/$S$13*((AE95+$L$13+$N$13)-$K$13)^2,IF((AE95+$L$13+$N$13)&gt;=$T$13,HU_beta*((AE95+$L$13+$N$13)-$K$13),HU_beta*($T$13-$K$13)))))</f>
        <v/>
      </c>
      <c r="BK95" s="29">
        <f>IF(OR(BH95=0,$S$13=0),0,IF((AE95+$K$13)&gt;$S$13/HU_alpha+$K$13,0.5*$S$13/HU_alpha,IF((AE95+$K$13)&gt;=$K$13,((AE95+$K$13)-$K$13)-0.5*HU_alpha/$S$13*((AE95+$K$13)-$K$13)^2,IF((AE95+$K$13)&gt;=$T$13,HU_beta*((AE95+$K$13)-$K$13),HU_beta*($T$13-$K$13)))))</f>
        <v/>
      </c>
    </row>
    <row r="96">
      <c r="A96" s="61" t="n">
        <v>28</v>
      </c>
      <c r="B96" s="61">
        <f>HU_age+A96</f>
        <v/>
      </c>
      <c r="C96" s="52">
        <f>A96&lt;=HU_T</f>
        <v/>
      </c>
      <c r="D96" s="63">
        <f>IF(OR(A96&lt;1,A96&gt;HU_T),0,INDEX(HU_q_mort,HU_age+A96-17,HU_col))</f>
        <v/>
      </c>
      <c r="E96" s="63">
        <f>IF(OR(A96&lt;1,A96&gt;HU_T),0,INDEX(HU_q_adb,HU_age+A96-17,HU_col))</f>
        <v/>
      </c>
      <c r="F96" s="63">
        <f>IF(OR(A96&lt;1,A96&gt;HU_T),0,INDEX(HU_q_morb,HU_age+A96-17,HU_col))</f>
        <v/>
      </c>
      <c r="G96" s="63">
        <f>IF(OR(A96&lt;1,A96&gt;HU_T),0,INDEX(HU_q_ptd,HU_age+A96-17,HU_col))</f>
        <v/>
      </c>
      <c r="H96" s="63">
        <f>IF(OR(A96&lt;1,A96&gt;HU_T),0,INDEX(HU_q_dis,HU_age+A96-17,HU_col))</f>
        <v/>
      </c>
      <c r="I96" s="63">
        <f>IF(A96&gt;HU_T,0,I95*(1-D96)*(1-E96))</f>
        <v/>
      </c>
      <c r="J96" s="63">
        <f>IF(A96&gt;=HU_T,0,N(I97))</f>
        <v/>
      </c>
      <c r="K96" s="63">
        <f>K95*(1-G96)</f>
        <v/>
      </c>
      <c r="L96" s="63">
        <f>1-K96</f>
        <v/>
      </c>
      <c r="M96" s="63">
        <f>K95*G96</f>
        <v/>
      </c>
      <c r="N96" s="63">
        <f>N95*(1-H96)</f>
        <v/>
      </c>
      <c r="O96" s="63">
        <f>1-N95</f>
        <v/>
      </c>
      <c r="P96" s="63">
        <f>P95*(1-F96)</f>
        <v/>
      </c>
      <c r="Q96" s="63">
        <f>1-P95/INDEX($P$68:$P$150,MAX(1,A96-HU_ciYears))</f>
        <v/>
      </c>
      <c r="R96" s="60">
        <f>(1+inflationRate)^A96</f>
        <v/>
      </c>
      <c r="S96" s="29">
        <f>IF(OR(OR(A96&lt;1,A96&gt;HU_T),A96-1&gt;=HU_dtr),0,HU_inc0*(1+incomeGrowthRate)^A96)</f>
        <v/>
      </c>
      <c r="T96" s="60">
        <f>IF(A96&gt;HU_T,T95,T95*(1+INDEX(HU_ssG,HU_age+A96-17)))</f>
        <v/>
      </c>
      <c r="U96" s="29">
        <f>IF(AND(HU_dtr&gt;=1,A96=HU_dtr,A96&lt;=HU_T),MIN(S96*INDEX(HU_ssC,HU_age+A96-17)/(1-INDEX(HU_ssC,HU_age+A96-17)),INDEX(HU_ssCap,HU_age+A96-17))*T96,0)</f>
        <v/>
      </c>
      <c r="V96" s="29">
        <f>S96+U96+IF(AND(HU_wdOn,A96=HU_wdYear),HU_wdIncome,0)</f>
        <v/>
      </c>
      <c r="W96" s="60">
        <f>HU_ciProp*Q96+HU_tpdCut*L96+HU_disCut*O96</f>
        <v/>
      </c>
      <c r="X96" s="29">
        <f>IF(OR(A96&lt;1,A96&gt;HU_T),0,V96*(1-W96))</f>
        <v/>
      </c>
      <c r="Y96" s="29">
        <f>IF(OR(A96&lt;1,A96&gt;HU_T),0,IF(AND(HU_retExp&gt;0,A96-1&gt;=HU_dtr),HU_retExp,HU_exp0)*R96)</f>
        <v/>
      </c>
      <c r="Z96" s="29">
        <f>-Y96-IF(AND(HU_wdOn,A96=HU_wdYear),HU_wdOut,0)</f>
        <v/>
      </c>
      <c r="AA96" s="29">
        <f>IF(OR(A96&lt;1,A96&gt;HU_T),0,-HU_medCost*R96*F96-HU_tpdCost*R96*M96)</f>
        <v/>
      </c>
      <c r="AB96" s="29">
        <f>IF(A96&gt;HU_T,0,AB95*(1+interestRate)+X96+Z96+AA96)</f>
        <v/>
      </c>
      <c r="AC96" s="29">
        <f>IF(A96&gt;HU_T,0,HU_inv*EXP(HU_mu*A96))</f>
        <v/>
      </c>
      <c r="AD96" s="29">
        <f>IF(A96&gt;HU_T,0,MAX(0,AC96+AB96))</f>
        <v/>
      </c>
      <c r="AE96" s="29">
        <f>IF(A96&gt;HU_T,0,MAX(0,X96-Y96))</f>
        <v/>
      </c>
      <c r="AF96" s="63">
        <f>IF(AND($J$6,A96&gt;=1,A96&lt;=$Q$6-1),J96,0)</f>
        <v/>
      </c>
      <c r="AG96" s="29">
        <f>IF(OR(AF96=0,$S$6=0),0,IF((AD96+$L$6)&gt;$S$6/HU_alpha+$K$6,0.5*$S$6/HU_alpha,IF((AD96+$L$6)&gt;=$K$6,((AD96+$L$6)-$K$6)-0.5*HU_alpha/$S$6*((AD96+$L$6)-$K$6)^2,IF((AD96+$L$6)&gt;=$T$6,HU_beta*((AD96+$L$6)-$K$6),HU_beta*($T$6-$K$6)))))</f>
        <v/>
      </c>
      <c r="AH96" s="29">
        <f>IF(OR(AF96=0,$S$6=0),0,IF((AD96+$L$6+$N$6)&gt;$S$6/HU_alpha+$K$6,0.5*$S$6/HU_alpha,IF((AD96+$L$6+$N$6)&gt;=$K$6,((AD96+$L$6+$N$6)-$K$6)-0.5*HU_alpha/$S$6*((AD96+$L$6+$N$6)-$K$6)^2,IF((AD96+$L$6+$N$6)&gt;=$T$6,HU_beta*((AD96+$L$6+$N$6)-$K$6),HU_beta*($T$6-$K$6)))))</f>
        <v/>
      </c>
      <c r="AI96" s="29">
        <f>IF(OR(AF96=0,$S$6=0),0,IF((AD96+$K$6)&gt;$S$6/HU_alpha+$K$6,0.5*$S$6/HU_alpha,IF((AD96+$K$6)&gt;=$K$6,((AD96+$K$6)-$K$6)-0.5*HU_alpha/$S$6*((AD96+$K$6)-$K$6)^2,IF((AD96+$K$6)&gt;=$T$6,HU_beta*((AD96+$K$6)-$K$6),HU_beta*($T$6-$K$6)))))</f>
        <v/>
      </c>
      <c r="AJ96" s="63">
        <f>IF(AND($J$7,A96&gt;=1,A96&lt;=$Q$7-1),J96,0)</f>
        <v/>
      </c>
      <c r="AK96" s="29">
        <f>IF(OR(AJ96=0,$S$7=0),0,IF((AE96+$L$7)&gt;$S$7/HU_alpha+$K$7,0.5*$S$7/HU_alpha,IF((AE96+$L$7)&gt;=$K$7,((AE96+$L$7)-$K$7)-0.5*HU_alpha/$S$7*((AE96+$L$7)-$K$7)^2,IF((AE96+$L$7)&gt;=$T$7,HU_beta*((AE96+$L$7)-$K$7),HU_beta*($T$7-$K$7)))))</f>
        <v/>
      </c>
      <c r="AL96" s="29">
        <f>IF(OR(AJ96=0,$S$7=0),0,IF((AE96+$L$7+$N$7)&gt;$S$7/HU_alpha+$K$7,0.5*$S$7/HU_alpha,IF((AE96+$L$7+$N$7)&gt;=$K$7,((AE96+$L$7+$N$7)-$K$7)-0.5*HU_alpha/$S$7*((AE96+$L$7+$N$7)-$K$7)^2,IF((AE96+$L$7+$N$7)&gt;=$T$7,HU_beta*((AE96+$L$7+$N$7)-$K$7),HU_beta*($T$7-$K$7)))))</f>
        <v/>
      </c>
      <c r="AM96" s="29">
        <f>IF(OR(AJ96=0,$S$7=0),0,IF((AE96+$K$7)&gt;$S$7/HU_alpha+$K$7,0.5*$S$7/HU_alpha,IF((AE96+$K$7)&gt;=$K$7,((AE96+$K$7)-$K$7)-0.5*HU_alpha/$S$7*((AE96+$K$7)-$K$7)^2,IF((AE96+$K$7)&gt;=$T$7,HU_beta*((AE96+$K$7)-$K$7),HU_beta*($T$7-$K$7)))))</f>
        <v/>
      </c>
      <c r="AN96" s="63">
        <f>IF(AND($J$8,A96&gt;=1,A96&lt;=$Q$8-1),J96,0)</f>
        <v/>
      </c>
      <c r="AO96" s="29">
        <f>IF(OR(AN96=0,$S$8=0),0,IF((AE96+$L$8)&gt;$S$8/HU_alpha+$K$8,0.5*$S$8/HU_alpha,IF((AE96+$L$8)&gt;=$K$8,((AE96+$L$8)-$K$8)-0.5*HU_alpha/$S$8*((AE96+$L$8)-$K$8)^2,IF((AE96+$L$8)&gt;=$T$8,HU_beta*((AE96+$L$8)-$K$8),HU_beta*($T$8-$K$8)))))</f>
        <v/>
      </c>
      <c r="AP96" s="29">
        <f>IF(OR(AN96=0,$S$8=0),0,IF((AE96+$L$8+$N$8)&gt;$S$8/HU_alpha+$K$8,0.5*$S$8/HU_alpha,IF((AE96+$L$8+$N$8)&gt;=$K$8,((AE96+$L$8+$N$8)-$K$8)-0.5*HU_alpha/$S$8*((AE96+$L$8+$N$8)-$K$8)^2,IF((AE96+$L$8+$N$8)&gt;=$T$8,HU_beta*((AE96+$L$8+$N$8)-$K$8),HU_beta*($T$8-$K$8)))))</f>
        <v/>
      </c>
      <c r="AQ96" s="29">
        <f>IF(OR(AN96=0,$S$8=0),0,IF((AE96+$K$8)&gt;$S$8/HU_alpha+$K$8,0.5*$S$8/HU_alpha,IF((AE96+$K$8)&gt;=$K$8,((AE96+$K$8)-$K$8)-0.5*HU_alpha/$S$8*((AE96+$K$8)-$K$8)^2,IF((AE96+$K$8)&gt;=$T$8,HU_beta*((AE96+$K$8)-$K$8),HU_beta*($T$8-$K$8)))))</f>
        <v/>
      </c>
      <c r="AR96" s="63">
        <f>IF(AND($J$9,A96&gt;=1,A96&lt;=$Q$9-1),J96,0)</f>
        <v/>
      </c>
      <c r="AS96" s="29">
        <f>IF(OR(AR96=0,$S$9=0),0,IF((AE96+$L$9)&gt;$S$9/HU_alpha+$K$9,0.5*$S$9/HU_alpha,IF((AE96+$L$9)&gt;=$K$9,((AE96+$L$9)-$K$9)-0.5*HU_alpha/$S$9*((AE96+$L$9)-$K$9)^2,IF((AE96+$L$9)&gt;=$T$9,HU_beta*((AE96+$L$9)-$K$9),HU_beta*($T$9-$K$9)))))</f>
        <v/>
      </c>
      <c r="AT96" s="29">
        <f>IF(OR(AR96=0,$S$9=0),0,IF((AE96+$L$9+$N$9)&gt;$S$9/HU_alpha+$K$9,0.5*$S$9/HU_alpha,IF((AE96+$L$9+$N$9)&gt;=$K$9,((AE96+$L$9+$N$9)-$K$9)-0.5*HU_alpha/$S$9*((AE96+$L$9+$N$9)-$K$9)^2,IF((AE96+$L$9+$N$9)&gt;=$T$9,HU_beta*((AE96+$L$9+$N$9)-$K$9),HU_beta*($T$9-$K$9)))))</f>
        <v/>
      </c>
      <c r="AU96" s="29">
        <f>IF(OR(AR96=0,$S$9=0),0,IF((AE96+$K$9)&gt;$S$9/HU_alpha+$K$9,0.5*$S$9/HU_alpha,IF((AE96+$K$9)&gt;=$K$9,((AE96+$K$9)-$K$9)-0.5*HU_alpha/$S$9*((AE96+$K$9)-$K$9)^2,IF((AE96+$K$9)&gt;=$T$9,HU_beta*((AE96+$K$9)-$K$9),HU_beta*($T$9-$K$9)))))</f>
        <v/>
      </c>
      <c r="AV96" s="63">
        <f>IF(AND($J$10,A96=$Q$10),J96,0)</f>
        <v/>
      </c>
      <c r="AW96" s="29">
        <f>IF(OR(AV96=0,$S$10=0),0,IF((AD96+$L$10)&gt;$S$10/HU_alpha+$K$10,0.5*$S$10/HU_alpha,IF((AD96+$L$10)&gt;=$K$10,((AD96+$L$10)-$K$10)-0.5*HU_alpha/$S$10*((AD96+$L$10)-$K$10)^2,IF((AD96+$L$10)&gt;=$T$10,HU_beta*((AD96+$L$10)-$K$10),HU_beta*($T$10-$K$10)))))</f>
        <v/>
      </c>
      <c r="AX96" s="29">
        <f>IF(OR(AV96=0,$S$10=0),0,IF((AD96+$L$10+$N$10)&gt;$S$10/HU_alpha+$K$10,0.5*$S$10/HU_alpha,IF((AD96+$L$10+$N$10)&gt;=$K$10,((AD96+$L$10+$N$10)-$K$10)-0.5*HU_alpha/$S$10*((AD96+$L$10+$N$10)-$K$10)^2,IF((AD96+$L$10+$N$10)&gt;=$T$10,HU_beta*((AD96+$L$10+$N$10)-$K$10),HU_beta*($T$10-$K$10)))))</f>
        <v/>
      </c>
      <c r="AY96" s="29">
        <f>IF(OR(AV96=0,$S$10=0),0,IF((AD96+$K$10)&gt;$S$10/HU_alpha+$K$10,0.5*$S$10/HU_alpha,IF((AD96+$K$10)&gt;=$K$10,((AD96+$K$10)-$K$10)-0.5*HU_alpha/$S$10*((AD96+$K$10)-$K$10)^2,IF((AD96+$K$10)&gt;=$T$10,HU_beta*((AD96+$K$10)-$K$10),HU_beta*($T$10-$K$10)))))</f>
        <v/>
      </c>
      <c r="AZ96" s="63">
        <f>IF(AND($J$11,A96=$Q$11),J96,0)</f>
        <v/>
      </c>
      <c r="BA96" s="29">
        <f>IF(OR(AZ96=0,$S$11=0),0,IF((AE96+$L$11)&gt;$S$11/HU_alpha+$K$11,0.5*$S$11/HU_alpha,IF((AE96+$L$11)&gt;=$K$11,((AE96+$L$11)-$K$11)-0.5*HU_alpha/$S$11*((AE96+$L$11)-$K$11)^2,IF((AE96+$L$11)&gt;=$T$11,HU_beta*((AE96+$L$11)-$K$11),HU_beta*($T$11-$K$11)))))</f>
        <v/>
      </c>
      <c r="BB96" s="29">
        <f>IF(OR(AZ96=0,$S$11=0),0,IF((AE96+$L$11+$N$11)&gt;$S$11/HU_alpha+$K$11,0.5*$S$11/HU_alpha,IF((AE96+$L$11+$N$11)&gt;=$K$11,((AE96+$L$11+$N$11)-$K$11)-0.5*HU_alpha/$S$11*((AE96+$L$11+$N$11)-$K$11)^2,IF((AE96+$L$11+$N$11)&gt;=$T$11,HU_beta*((AE96+$L$11+$N$11)-$K$11),HU_beta*($T$11-$K$11)))))</f>
        <v/>
      </c>
      <c r="BC96" s="29">
        <f>IF(OR(AZ96=0,$S$11=0),0,IF((AE96+$K$11)&gt;$S$11/HU_alpha+$K$11,0.5*$S$11/HU_alpha,IF((AE96+$K$11)&gt;=$K$11,((AE96+$K$11)-$K$11)-0.5*HU_alpha/$S$11*((AE96+$K$11)-$K$11)^2,IF((AE96+$K$11)&gt;=$T$11,HU_beta*((AE96+$K$11)-$K$11),HU_beta*($T$11-$K$11)))))</f>
        <v/>
      </c>
      <c r="BD96" s="63">
        <f>IF(AND($J$12,A96=$Q$12),J96,0)</f>
        <v/>
      </c>
      <c r="BE96" s="29">
        <f>IF(OR(BD96=0,$S$12=0),0,IF((AE96+$L$12)&gt;$S$12/HU_alpha+$K$12,0.5*$S$12/HU_alpha,IF((AE96+$L$12)&gt;=$K$12,((AE96+$L$12)-$K$12)-0.5*HU_alpha/$S$12*((AE96+$L$12)-$K$12)^2,IF((AE96+$L$12)&gt;=$T$12,HU_beta*((AE96+$L$12)-$K$12),HU_beta*($T$12-$K$12)))))</f>
        <v/>
      </c>
      <c r="BF96" s="29">
        <f>IF(OR(BD96=0,$S$12=0),0,IF((AE96+$L$12+$N$12)&gt;$S$12/HU_alpha+$K$12,0.5*$S$12/HU_alpha,IF((AE96+$L$12+$N$12)&gt;=$K$12,((AE96+$L$12+$N$12)-$K$12)-0.5*HU_alpha/$S$12*((AE96+$L$12+$N$12)-$K$12)^2,IF((AE96+$L$12+$N$12)&gt;=$T$12,HU_beta*((AE96+$L$12+$N$12)-$K$12),HU_beta*($T$12-$K$12)))))</f>
        <v/>
      </c>
      <c r="BG96" s="29">
        <f>IF(OR(BD96=0,$S$12=0),0,IF((AE96+$K$12)&gt;$S$12/HU_alpha+$K$12,0.5*$S$12/HU_alpha,IF((AE96+$K$12)&gt;=$K$12,((AE96+$K$12)-$K$12)-0.5*HU_alpha/$S$12*((AE96+$K$12)-$K$12)^2,IF((AE96+$K$12)&gt;=$T$12,HU_beta*((AE96+$K$12)-$K$12),HU_beta*($T$12-$K$12)))))</f>
        <v/>
      </c>
      <c r="BH96" s="63">
        <f>IF(AND($J$13,A96=$Q$13),J96,0)</f>
        <v/>
      </c>
      <c r="BI96" s="29">
        <f>IF(OR(BH96=0,$S$13=0),0,IF((AE96+$L$13)&gt;$S$13/HU_alpha+$K$13,0.5*$S$13/HU_alpha,IF((AE96+$L$13)&gt;=$K$13,((AE96+$L$13)-$K$13)-0.5*HU_alpha/$S$13*((AE96+$L$13)-$K$13)^2,IF((AE96+$L$13)&gt;=$T$13,HU_beta*((AE96+$L$13)-$K$13),HU_beta*($T$13-$K$13)))))</f>
        <v/>
      </c>
      <c r="BJ96" s="29">
        <f>IF(OR(BH96=0,$S$13=0),0,IF((AE96+$L$13+$N$13)&gt;$S$13/HU_alpha+$K$13,0.5*$S$13/HU_alpha,IF((AE96+$L$13+$N$13)&gt;=$K$13,((AE96+$L$13+$N$13)-$K$13)-0.5*HU_alpha/$S$13*((AE96+$L$13+$N$13)-$K$13)^2,IF((AE96+$L$13+$N$13)&gt;=$T$13,HU_beta*((AE96+$L$13+$N$13)-$K$13),HU_beta*($T$13-$K$13)))))</f>
        <v/>
      </c>
      <c r="BK96" s="29">
        <f>IF(OR(BH96=0,$S$13=0),0,IF((AE96+$K$13)&gt;$S$13/HU_alpha+$K$13,0.5*$S$13/HU_alpha,IF((AE96+$K$13)&gt;=$K$13,((AE96+$K$13)-$K$13)-0.5*HU_alpha/$S$13*((AE96+$K$13)-$K$13)^2,IF((AE96+$K$13)&gt;=$T$13,HU_beta*((AE96+$K$13)-$K$13),HU_beta*($T$13-$K$13)))))</f>
        <v/>
      </c>
    </row>
    <row r="97">
      <c r="A97" s="61" t="n">
        <v>29</v>
      </c>
      <c r="B97" s="61">
        <f>HU_age+A97</f>
        <v/>
      </c>
      <c r="C97" s="52">
        <f>A97&lt;=HU_T</f>
        <v/>
      </c>
      <c r="D97" s="63">
        <f>IF(OR(A97&lt;1,A97&gt;HU_T),0,INDEX(HU_q_mort,HU_age+A97-17,HU_col))</f>
        <v/>
      </c>
      <c r="E97" s="63">
        <f>IF(OR(A97&lt;1,A97&gt;HU_T),0,INDEX(HU_q_adb,HU_age+A97-17,HU_col))</f>
        <v/>
      </c>
      <c r="F97" s="63">
        <f>IF(OR(A97&lt;1,A97&gt;HU_T),0,INDEX(HU_q_morb,HU_age+A97-17,HU_col))</f>
        <v/>
      </c>
      <c r="G97" s="63">
        <f>IF(OR(A97&lt;1,A97&gt;HU_T),0,INDEX(HU_q_ptd,HU_age+A97-17,HU_col))</f>
        <v/>
      </c>
      <c r="H97" s="63">
        <f>IF(OR(A97&lt;1,A97&gt;HU_T),0,INDEX(HU_q_dis,HU_age+A97-17,HU_col))</f>
        <v/>
      </c>
      <c r="I97" s="63">
        <f>IF(A97&gt;HU_T,0,I96*(1-D97)*(1-E97))</f>
        <v/>
      </c>
      <c r="J97" s="63">
        <f>IF(A97&gt;=HU_T,0,N(I98))</f>
        <v/>
      </c>
      <c r="K97" s="63">
        <f>K96*(1-G97)</f>
        <v/>
      </c>
      <c r="L97" s="63">
        <f>1-K97</f>
        <v/>
      </c>
      <c r="M97" s="63">
        <f>K96*G97</f>
        <v/>
      </c>
      <c r="N97" s="63">
        <f>N96*(1-H97)</f>
        <v/>
      </c>
      <c r="O97" s="63">
        <f>1-N96</f>
        <v/>
      </c>
      <c r="P97" s="63">
        <f>P96*(1-F97)</f>
        <v/>
      </c>
      <c r="Q97" s="63">
        <f>1-P96/INDEX($P$68:$P$150,MAX(1,A97-HU_ciYears))</f>
        <v/>
      </c>
      <c r="R97" s="60">
        <f>(1+inflationRate)^A97</f>
        <v/>
      </c>
      <c r="S97" s="29">
        <f>IF(OR(OR(A97&lt;1,A97&gt;HU_T),A97-1&gt;=HU_dtr),0,HU_inc0*(1+incomeGrowthRate)^A97)</f>
        <v/>
      </c>
      <c r="T97" s="60">
        <f>IF(A97&gt;HU_T,T96,T96*(1+INDEX(HU_ssG,HU_age+A97-17)))</f>
        <v/>
      </c>
      <c r="U97" s="29">
        <f>IF(AND(HU_dtr&gt;=1,A97=HU_dtr,A97&lt;=HU_T),MIN(S97*INDEX(HU_ssC,HU_age+A97-17)/(1-INDEX(HU_ssC,HU_age+A97-17)),INDEX(HU_ssCap,HU_age+A97-17))*T97,0)</f>
        <v/>
      </c>
      <c r="V97" s="29">
        <f>S97+U97+IF(AND(HU_wdOn,A97=HU_wdYear),HU_wdIncome,0)</f>
        <v/>
      </c>
      <c r="W97" s="60">
        <f>HU_ciProp*Q97+HU_tpdCut*L97+HU_disCut*O97</f>
        <v/>
      </c>
      <c r="X97" s="29">
        <f>IF(OR(A97&lt;1,A97&gt;HU_T),0,V97*(1-W97))</f>
        <v/>
      </c>
      <c r="Y97" s="29">
        <f>IF(OR(A97&lt;1,A97&gt;HU_T),0,IF(AND(HU_retExp&gt;0,A97-1&gt;=HU_dtr),HU_retExp,HU_exp0)*R97)</f>
        <v/>
      </c>
      <c r="Z97" s="29">
        <f>-Y97-IF(AND(HU_wdOn,A97=HU_wdYear),HU_wdOut,0)</f>
        <v/>
      </c>
      <c r="AA97" s="29">
        <f>IF(OR(A97&lt;1,A97&gt;HU_T),0,-HU_medCost*R97*F97-HU_tpdCost*R97*M97)</f>
        <v/>
      </c>
      <c r="AB97" s="29">
        <f>IF(A97&gt;HU_T,0,AB96*(1+interestRate)+X97+Z97+AA97)</f>
        <v/>
      </c>
      <c r="AC97" s="29">
        <f>IF(A97&gt;HU_T,0,HU_inv*EXP(HU_mu*A97))</f>
        <v/>
      </c>
      <c r="AD97" s="29">
        <f>IF(A97&gt;HU_T,0,MAX(0,AC97+AB97))</f>
        <v/>
      </c>
      <c r="AE97" s="29">
        <f>IF(A97&gt;HU_T,0,MAX(0,X97-Y97))</f>
        <v/>
      </c>
      <c r="AF97" s="63">
        <f>IF(AND($J$6,A97&gt;=1,A97&lt;=$Q$6-1),J97,0)</f>
        <v/>
      </c>
      <c r="AG97" s="29">
        <f>IF(OR(AF97=0,$S$6=0),0,IF((AD97+$L$6)&gt;$S$6/HU_alpha+$K$6,0.5*$S$6/HU_alpha,IF((AD97+$L$6)&gt;=$K$6,((AD97+$L$6)-$K$6)-0.5*HU_alpha/$S$6*((AD97+$L$6)-$K$6)^2,IF((AD97+$L$6)&gt;=$T$6,HU_beta*((AD97+$L$6)-$K$6),HU_beta*($T$6-$K$6)))))</f>
        <v/>
      </c>
      <c r="AH97" s="29">
        <f>IF(OR(AF97=0,$S$6=0),0,IF((AD97+$L$6+$N$6)&gt;$S$6/HU_alpha+$K$6,0.5*$S$6/HU_alpha,IF((AD97+$L$6+$N$6)&gt;=$K$6,((AD97+$L$6+$N$6)-$K$6)-0.5*HU_alpha/$S$6*((AD97+$L$6+$N$6)-$K$6)^2,IF((AD97+$L$6+$N$6)&gt;=$T$6,HU_beta*((AD97+$L$6+$N$6)-$K$6),HU_beta*($T$6-$K$6)))))</f>
        <v/>
      </c>
      <c r="AI97" s="29">
        <f>IF(OR(AF97=0,$S$6=0),0,IF((AD97+$K$6)&gt;$S$6/HU_alpha+$K$6,0.5*$S$6/HU_alpha,IF((AD97+$K$6)&gt;=$K$6,((AD97+$K$6)-$K$6)-0.5*HU_alpha/$S$6*((AD97+$K$6)-$K$6)^2,IF((AD97+$K$6)&gt;=$T$6,HU_beta*((AD97+$K$6)-$K$6),HU_beta*($T$6-$K$6)))))</f>
        <v/>
      </c>
      <c r="AJ97" s="63">
        <f>IF(AND($J$7,A97&gt;=1,A97&lt;=$Q$7-1),J97,0)</f>
        <v/>
      </c>
      <c r="AK97" s="29">
        <f>IF(OR(AJ97=0,$S$7=0),0,IF((AE97+$L$7)&gt;$S$7/HU_alpha+$K$7,0.5*$S$7/HU_alpha,IF((AE97+$L$7)&gt;=$K$7,((AE97+$L$7)-$K$7)-0.5*HU_alpha/$S$7*((AE97+$L$7)-$K$7)^2,IF((AE97+$L$7)&gt;=$T$7,HU_beta*((AE97+$L$7)-$K$7),HU_beta*($T$7-$K$7)))))</f>
        <v/>
      </c>
      <c r="AL97" s="29">
        <f>IF(OR(AJ97=0,$S$7=0),0,IF((AE97+$L$7+$N$7)&gt;$S$7/HU_alpha+$K$7,0.5*$S$7/HU_alpha,IF((AE97+$L$7+$N$7)&gt;=$K$7,((AE97+$L$7+$N$7)-$K$7)-0.5*HU_alpha/$S$7*((AE97+$L$7+$N$7)-$K$7)^2,IF((AE97+$L$7+$N$7)&gt;=$T$7,HU_beta*((AE97+$L$7+$N$7)-$K$7),HU_beta*($T$7-$K$7)))))</f>
        <v/>
      </c>
      <c r="AM97" s="29">
        <f>IF(OR(AJ97=0,$S$7=0),0,IF((AE97+$K$7)&gt;$S$7/HU_alpha+$K$7,0.5*$S$7/HU_alpha,IF((AE97+$K$7)&gt;=$K$7,((AE97+$K$7)-$K$7)-0.5*HU_alpha/$S$7*((AE97+$K$7)-$K$7)^2,IF((AE97+$K$7)&gt;=$T$7,HU_beta*((AE97+$K$7)-$K$7),HU_beta*($T$7-$K$7)))))</f>
        <v/>
      </c>
      <c r="AN97" s="63">
        <f>IF(AND($J$8,A97&gt;=1,A97&lt;=$Q$8-1),J97,0)</f>
        <v/>
      </c>
      <c r="AO97" s="29">
        <f>IF(OR(AN97=0,$S$8=0),0,IF((AE97+$L$8)&gt;$S$8/HU_alpha+$K$8,0.5*$S$8/HU_alpha,IF((AE97+$L$8)&gt;=$K$8,((AE97+$L$8)-$K$8)-0.5*HU_alpha/$S$8*((AE97+$L$8)-$K$8)^2,IF((AE97+$L$8)&gt;=$T$8,HU_beta*((AE97+$L$8)-$K$8),HU_beta*($T$8-$K$8)))))</f>
        <v/>
      </c>
      <c r="AP97" s="29">
        <f>IF(OR(AN97=0,$S$8=0),0,IF((AE97+$L$8+$N$8)&gt;$S$8/HU_alpha+$K$8,0.5*$S$8/HU_alpha,IF((AE97+$L$8+$N$8)&gt;=$K$8,((AE97+$L$8+$N$8)-$K$8)-0.5*HU_alpha/$S$8*((AE97+$L$8+$N$8)-$K$8)^2,IF((AE97+$L$8+$N$8)&gt;=$T$8,HU_beta*((AE97+$L$8+$N$8)-$K$8),HU_beta*($T$8-$K$8)))))</f>
        <v/>
      </c>
      <c r="AQ97" s="29">
        <f>IF(OR(AN97=0,$S$8=0),0,IF((AE97+$K$8)&gt;$S$8/HU_alpha+$K$8,0.5*$S$8/HU_alpha,IF((AE97+$K$8)&gt;=$K$8,((AE97+$K$8)-$K$8)-0.5*HU_alpha/$S$8*((AE97+$K$8)-$K$8)^2,IF((AE97+$K$8)&gt;=$T$8,HU_beta*((AE97+$K$8)-$K$8),HU_beta*($T$8-$K$8)))))</f>
        <v/>
      </c>
      <c r="AR97" s="63">
        <f>IF(AND($J$9,A97&gt;=1,A97&lt;=$Q$9-1),J97,0)</f>
        <v/>
      </c>
      <c r="AS97" s="29">
        <f>IF(OR(AR97=0,$S$9=0),0,IF((AE97+$L$9)&gt;$S$9/HU_alpha+$K$9,0.5*$S$9/HU_alpha,IF((AE97+$L$9)&gt;=$K$9,((AE97+$L$9)-$K$9)-0.5*HU_alpha/$S$9*((AE97+$L$9)-$K$9)^2,IF((AE97+$L$9)&gt;=$T$9,HU_beta*((AE97+$L$9)-$K$9),HU_beta*($T$9-$K$9)))))</f>
        <v/>
      </c>
      <c r="AT97" s="29">
        <f>IF(OR(AR97=0,$S$9=0),0,IF((AE97+$L$9+$N$9)&gt;$S$9/HU_alpha+$K$9,0.5*$S$9/HU_alpha,IF((AE97+$L$9+$N$9)&gt;=$K$9,((AE97+$L$9+$N$9)-$K$9)-0.5*HU_alpha/$S$9*((AE97+$L$9+$N$9)-$K$9)^2,IF((AE97+$L$9+$N$9)&gt;=$T$9,HU_beta*((AE97+$L$9+$N$9)-$K$9),HU_beta*($T$9-$K$9)))))</f>
        <v/>
      </c>
      <c r="AU97" s="29">
        <f>IF(OR(AR97=0,$S$9=0),0,IF((AE97+$K$9)&gt;$S$9/HU_alpha+$K$9,0.5*$S$9/HU_alpha,IF((AE97+$K$9)&gt;=$K$9,((AE97+$K$9)-$K$9)-0.5*HU_alpha/$S$9*((AE97+$K$9)-$K$9)^2,IF((AE97+$K$9)&gt;=$T$9,HU_beta*((AE97+$K$9)-$K$9),HU_beta*($T$9-$K$9)))))</f>
        <v/>
      </c>
      <c r="AV97" s="63">
        <f>IF(AND($J$10,A97=$Q$10),J97,0)</f>
        <v/>
      </c>
      <c r="AW97" s="29">
        <f>IF(OR(AV97=0,$S$10=0),0,IF((AD97+$L$10)&gt;$S$10/HU_alpha+$K$10,0.5*$S$10/HU_alpha,IF((AD97+$L$10)&gt;=$K$10,((AD97+$L$10)-$K$10)-0.5*HU_alpha/$S$10*((AD97+$L$10)-$K$10)^2,IF((AD97+$L$10)&gt;=$T$10,HU_beta*((AD97+$L$10)-$K$10),HU_beta*($T$10-$K$10)))))</f>
        <v/>
      </c>
      <c r="AX97" s="29">
        <f>IF(OR(AV97=0,$S$10=0),0,IF((AD97+$L$10+$N$10)&gt;$S$10/HU_alpha+$K$10,0.5*$S$10/HU_alpha,IF((AD97+$L$10+$N$10)&gt;=$K$10,((AD97+$L$10+$N$10)-$K$10)-0.5*HU_alpha/$S$10*((AD97+$L$10+$N$10)-$K$10)^2,IF((AD97+$L$10+$N$10)&gt;=$T$10,HU_beta*((AD97+$L$10+$N$10)-$K$10),HU_beta*($T$10-$K$10)))))</f>
        <v/>
      </c>
      <c r="AY97" s="29">
        <f>IF(OR(AV97=0,$S$10=0),0,IF((AD97+$K$10)&gt;$S$10/HU_alpha+$K$10,0.5*$S$10/HU_alpha,IF((AD97+$K$10)&gt;=$K$10,((AD97+$K$10)-$K$10)-0.5*HU_alpha/$S$10*((AD97+$K$10)-$K$10)^2,IF((AD97+$K$10)&gt;=$T$10,HU_beta*((AD97+$K$10)-$K$10),HU_beta*($T$10-$K$10)))))</f>
        <v/>
      </c>
      <c r="AZ97" s="63">
        <f>IF(AND($J$11,A97=$Q$11),J97,0)</f>
        <v/>
      </c>
      <c r="BA97" s="29">
        <f>IF(OR(AZ97=0,$S$11=0),0,IF((AE97+$L$11)&gt;$S$11/HU_alpha+$K$11,0.5*$S$11/HU_alpha,IF((AE97+$L$11)&gt;=$K$11,((AE97+$L$11)-$K$11)-0.5*HU_alpha/$S$11*((AE97+$L$11)-$K$11)^2,IF((AE97+$L$11)&gt;=$T$11,HU_beta*((AE97+$L$11)-$K$11),HU_beta*($T$11-$K$11)))))</f>
        <v/>
      </c>
      <c r="BB97" s="29">
        <f>IF(OR(AZ97=0,$S$11=0),0,IF((AE97+$L$11+$N$11)&gt;$S$11/HU_alpha+$K$11,0.5*$S$11/HU_alpha,IF((AE97+$L$11+$N$11)&gt;=$K$11,((AE97+$L$11+$N$11)-$K$11)-0.5*HU_alpha/$S$11*((AE97+$L$11+$N$11)-$K$11)^2,IF((AE97+$L$11+$N$11)&gt;=$T$11,HU_beta*((AE97+$L$11+$N$11)-$K$11),HU_beta*($T$11-$K$11)))))</f>
        <v/>
      </c>
      <c r="BC97" s="29">
        <f>IF(OR(AZ97=0,$S$11=0),0,IF((AE97+$K$11)&gt;$S$11/HU_alpha+$K$11,0.5*$S$11/HU_alpha,IF((AE97+$K$11)&gt;=$K$11,((AE97+$K$11)-$K$11)-0.5*HU_alpha/$S$11*((AE97+$K$11)-$K$11)^2,IF((AE97+$K$11)&gt;=$T$11,HU_beta*((AE97+$K$11)-$K$11),HU_beta*($T$11-$K$11)))))</f>
        <v/>
      </c>
      <c r="BD97" s="63">
        <f>IF(AND($J$12,A97=$Q$12),J97,0)</f>
        <v/>
      </c>
      <c r="BE97" s="29">
        <f>IF(OR(BD97=0,$S$12=0),0,IF((AE97+$L$12)&gt;$S$12/HU_alpha+$K$12,0.5*$S$12/HU_alpha,IF((AE97+$L$12)&gt;=$K$12,((AE97+$L$12)-$K$12)-0.5*HU_alpha/$S$12*((AE97+$L$12)-$K$12)^2,IF((AE97+$L$12)&gt;=$T$12,HU_beta*((AE97+$L$12)-$K$12),HU_beta*($T$12-$K$12)))))</f>
        <v/>
      </c>
      <c r="BF97" s="29">
        <f>IF(OR(BD97=0,$S$12=0),0,IF((AE97+$L$12+$N$12)&gt;$S$12/HU_alpha+$K$12,0.5*$S$12/HU_alpha,IF((AE97+$L$12+$N$12)&gt;=$K$12,((AE97+$L$12+$N$12)-$K$12)-0.5*HU_alpha/$S$12*((AE97+$L$12+$N$12)-$K$12)^2,IF((AE97+$L$12+$N$12)&gt;=$T$12,HU_beta*((AE97+$L$12+$N$12)-$K$12),HU_beta*($T$12-$K$12)))))</f>
        <v/>
      </c>
      <c r="BG97" s="29">
        <f>IF(OR(BD97=0,$S$12=0),0,IF((AE97+$K$12)&gt;$S$12/HU_alpha+$K$12,0.5*$S$12/HU_alpha,IF((AE97+$K$12)&gt;=$K$12,((AE97+$K$12)-$K$12)-0.5*HU_alpha/$S$12*((AE97+$K$12)-$K$12)^2,IF((AE97+$K$12)&gt;=$T$12,HU_beta*((AE97+$K$12)-$K$12),HU_beta*($T$12-$K$12)))))</f>
        <v/>
      </c>
      <c r="BH97" s="63">
        <f>IF(AND($J$13,A97=$Q$13),J97,0)</f>
        <v/>
      </c>
      <c r="BI97" s="29">
        <f>IF(OR(BH97=0,$S$13=0),0,IF((AE97+$L$13)&gt;$S$13/HU_alpha+$K$13,0.5*$S$13/HU_alpha,IF((AE97+$L$13)&gt;=$K$13,((AE97+$L$13)-$K$13)-0.5*HU_alpha/$S$13*((AE97+$L$13)-$K$13)^2,IF((AE97+$L$13)&gt;=$T$13,HU_beta*((AE97+$L$13)-$K$13),HU_beta*($T$13-$K$13)))))</f>
        <v/>
      </c>
      <c r="BJ97" s="29">
        <f>IF(OR(BH97=0,$S$13=0),0,IF((AE97+$L$13+$N$13)&gt;$S$13/HU_alpha+$K$13,0.5*$S$13/HU_alpha,IF((AE97+$L$13+$N$13)&gt;=$K$13,((AE97+$L$13+$N$13)-$K$13)-0.5*HU_alpha/$S$13*((AE97+$L$13+$N$13)-$K$13)^2,IF((AE97+$L$13+$N$13)&gt;=$T$13,HU_beta*((AE97+$L$13+$N$13)-$K$13),HU_beta*($T$13-$K$13)))))</f>
        <v/>
      </c>
      <c r="BK97" s="29">
        <f>IF(OR(BH97=0,$S$13=0),0,IF((AE97+$K$13)&gt;$S$13/HU_alpha+$K$13,0.5*$S$13/HU_alpha,IF((AE97+$K$13)&gt;=$K$13,((AE97+$K$13)-$K$13)-0.5*HU_alpha/$S$13*((AE97+$K$13)-$K$13)^2,IF((AE97+$K$13)&gt;=$T$13,HU_beta*((AE97+$K$13)-$K$13),HU_beta*($T$13-$K$13)))))</f>
        <v/>
      </c>
    </row>
    <row r="98">
      <c r="A98" s="61" t="n">
        <v>30</v>
      </c>
      <c r="B98" s="61">
        <f>HU_age+A98</f>
        <v/>
      </c>
      <c r="C98" s="52">
        <f>A98&lt;=HU_T</f>
        <v/>
      </c>
      <c r="D98" s="63">
        <f>IF(OR(A98&lt;1,A98&gt;HU_T),0,INDEX(HU_q_mort,HU_age+A98-17,HU_col))</f>
        <v/>
      </c>
      <c r="E98" s="63">
        <f>IF(OR(A98&lt;1,A98&gt;HU_T),0,INDEX(HU_q_adb,HU_age+A98-17,HU_col))</f>
        <v/>
      </c>
      <c r="F98" s="63">
        <f>IF(OR(A98&lt;1,A98&gt;HU_T),0,INDEX(HU_q_morb,HU_age+A98-17,HU_col))</f>
        <v/>
      </c>
      <c r="G98" s="63">
        <f>IF(OR(A98&lt;1,A98&gt;HU_T),0,INDEX(HU_q_ptd,HU_age+A98-17,HU_col))</f>
        <v/>
      </c>
      <c r="H98" s="63">
        <f>IF(OR(A98&lt;1,A98&gt;HU_T),0,INDEX(HU_q_dis,HU_age+A98-17,HU_col))</f>
        <v/>
      </c>
      <c r="I98" s="63">
        <f>IF(A98&gt;HU_T,0,I97*(1-D98)*(1-E98))</f>
        <v/>
      </c>
      <c r="J98" s="63">
        <f>IF(A98&gt;=HU_T,0,N(I99))</f>
        <v/>
      </c>
      <c r="K98" s="63">
        <f>K97*(1-G98)</f>
        <v/>
      </c>
      <c r="L98" s="63">
        <f>1-K98</f>
        <v/>
      </c>
      <c r="M98" s="63">
        <f>K97*G98</f>
        <v/>
      </c>
      <c r="N98" s="63">
        <f>N97*(1-H98)</f>
        <v/>
      </c>
      <c r="O98" s="63">
        <f>1-N97</f>
        <v/>
      </c>
      <c r="P98" s="63">
        <f>P97*(1-F98)</f>
        <v/>
      </c>
      <c r="Q98" s="63">
        <f>1-P97/INDEX($P$68:$P$150,MAX(1,A98-HU_ciYears))</f>
        <v/>
      </c>
      <c r="R98" s="60">
        <f>(1+inflationRate)^A98</f>
        <v/>
      </c>
      <c r="S98" s="29">
        <f>IF(OR(OR(A98&lt;1,A98&gt;HU_T),A98-1&gt;=HU_dtr),0,HU_inc0*(1+incomeGrowthRate)^A98)</f>
        <v/>
      </c>
      <c r="T98" s="60">
        <f>IF(A98&gt;HU_T,T97,T97*(1+INDEX(HU_ssG,HU_age+A98-17)))</f>
        <v/>
      </c>
      <c r="U98" s="29">
        <f>IF(AND(HU_dtr&gt;=1,A98=HU_dtr,A98&lt;=HU_T),MIN(S98*INDEX(HU_ssC,HU_age+A98-17)/(1-INDEX(HU_ssC,HU_age+A98-17)),INDEX(HU_ssCap,HU_age+A98-17))*T98,0)</f>
        <v/>
      </c>
      <c r="V98" s="29">
        <f>S98+U98+IF(AND(HU_wdOn,A98=HU_wdYear),HU_wdIncome,0)</f>
        <v/>
      </c>
      <c r="W98" s="60">
        <f>HU_ciProp*Q98+HU_tpdCut*L98+HU_disCut*O98</f>
        <v/>
      </c>
      <c r="X98" s="29">
        <f>IF(OR(A98&lt;1,A98&gt;HU_T),0,V98*(1-W98))</f>
        <v/>
      </c>
      <c r="Y98" s="29">
        <f>IF(OR(A98&lt;1,A98&gt;HU_T),0,IF(AND(HU_retExp&gt;0,A98-1&gt;=HU_dtr),HU_retExp,HU_exp0)*R98)</f>
        <v/>
      </c>
      <c r="Z98" s="29">
        <f>-Y98-IF(AND(HU_wdOn,A98=HU_wdYear),HU_wdOut,0)</f>
        <v/>
      </c>
      <c r="AA98" s="29">
        <f>IF(OR(A98&lt;1,A98&gt;HU_T),0,-HU_medCost*R98*F98-HU_tpdCost*R98*M98)</f>
        <v/>
      </c>
      <c r="AB98" s="29">
        <f>IF(A98&gt;HU_T,0,AB97*(1+interestRate)+X98+Z98+AA98)</f>
        <v/>
      </c>
      <c r="AC98" s="29">
        <f>IF(A98&gt;HU_T,0,HU_inv*EXP(HU_mu*A98))</f>
        <v/>
      </c>
      <c r="AD98" s="29">
        <f>IF(A98&gt;HU_T,0,MAX(0,AC98+AB98))</f>
        <v/>
      </c>
      <c r="AE98" s="29">
        <f>IF(A98&gt;HU_T,0,MAX(0,X98-Y98))</f>
        <v/>
      </c>
      <c r="AF98" s="63">
        <f>IF(AND($J$6,A98&gt;=1,A98&lt;=$Q$6-1),J98,0)</f>
        <v/>
      </c>
      <c r="AG98" s="29">
        <f>IF(OR(AF98=0,$S$6=0),0,IF((AD98+$L$6)&gt;$S$6/HU_alpha+$K$6,0.5*$S$6/HU_alpha,IF((AD98+$L$6)&gt;=$K$6,((AD98+$L$6)-$K$6)-0.5*HU_alpha/$S$6*((AD98+$L$6)-$K$6)^2,IF((AD98+$L$6)&gt;=$T$6,HU_beta*((AD98+$L$6)-$K$6),HU_beta*($T$6-$K$6)))))</f>
        <v/>
      </c>
      <c r="AH98" s="29">
        <f>IF(OR(AF98=0,$S$6=0),0,IF((AD98+$L$6+$N$6)&gt;$S$6/HU_alpha+$K$6,0.5*$S$6/HU_alpha,IF((AD98+$L$6+$N$6)&gt;=$K$6,((AD98+$L$6+$N$6)-$K$6)-0.5*HU_alpha/$S$6*((AD98+$L$6+$N$6)-$K$6)^2,IF((AD98+$L$6+$N$6)&gt;=$T$6,HU_beta*((AD98+$L$6+$N$6)-$K$6),HU_beta*($T$6-$K$6)))))</f>
        <v/>
      </c>
      <c r="AI98" s="29">
        <f>IF(OR(AF98=0,$S$6=0),0,IF((AD98+$K$6)&gt;$S$6/HU_alpha+$K$6,0.5*$S$6/HU_alpha,IF((AD98+$K$6)&gt;=$K$6,((AD98+$K$6)-$K$6)-0.5*HU_alpha/$S$6*((AD98+$K$6)-$K$6)^2,IF((AD98+$K$6)&gt;=$T$6,HU_beta*((AD98+$K$6)-$K$6),HU_beta*($T$6-$K$6)))))</f>
        <v/>
      </c>
      <c r="AJ98" s="63">
        <f>IF(AND($J$7,A98&gt;=1,A98&lt;=$Q$7-1),J98,0)</f>
        <v/>
      </c>
      <c r="AK98" s="29">
        <f>IF(OR(AJ98=0,$S$7=0),0,IF((AE98+$L$7)&gt;$S$7/HU_alpha+$K$7,0.5*$S$7/HU_alpha,IF((AE98+$L$7)&gt;=$K$7,((AE98+$L$7)-$K$7)-0.5*HU_alpha/$S$7*((AE98+$L$7)-$K$7)^2,IF((AE98+$L$7)&gt;=$T$7,HU_beta*((AE98+$L$7)-$K$7),HU_beta*($T$7-$K$7)))))</f>
        <v/>
      </c>
      <c r="AL98" s="29">
        <f>IF(OR(AJ98=0,$S$7=0),0,IF((AE98+$L$7+$N$7)&gt;$S$7/HU_alpha+$K$7,0.5*$S$7/HU_alpha,IF((AE98+$L$7+$N$7)&gt;=$K$7,((AE98+$L$7+$N$7)-$K$7)-0.5*HU_alpha/$S$7*((AE98+$L$7+$N$7)-$K$7)^2,IF((AE98+$L$7+$N$7)&gt;=$T$7,HU_beta*((AE98+$L$7+$N$7)-$K$7),HU_beta*($T$7-$K$7)))))</f>
        <v/>
      </c>
      <c r="AM98" s="29">
        <f>IF(OR(AJ98=0,$S$7=0),0,IF((AE98+$K$7)&gt;$S$7/HU_alpha+$K$7,0.5*$S$7/HU_alpha,IF((AE98+$K$7)&gt;=$K$7,((AE98+$K$7)-$K$7)-0.5*HU_alpha/$S$7*((AE98+$K$7)-$K$7)^2,IF((AE98+$K$7)&gt;=$T$7,HU_beta*((AE98+$K$7)-$K$7),HU_beta*($T$7-$K$7)))))</f>
        <v/>
      </c>
      <c r="AN98" s="63">
        <f>IF(AND($J$8,A98&gt;=1,A98&lt;=$Q$8-1),J98,0)</f>
        <v/>
      </c>
      <c r="AO98" s="29">
        <f>IF(OR(AN98=0,$S$8=0),0,IF((AE98+$L$8)&gt;$S$8/HU_alpha+$K$8,0.5*$S$8/HU_alpha,IF((AE98+$L$8)&gt;=$K$8,((AE98+$L$8)-$K$8)-0.5*HU_alpha/$S$8*((AE98+$L$8)-$K$8)^2,IF((AE98+$L$8)&gt;=$T$8,HU_beta*((AE98+$L$8)-$K$8),HU_beta*($T$8-$K$8)))))</f>
        <v/>
      </c>
      <c r="AP98" s="29">
        <f>IF(OR(AN98=0,$S$8=0),0,IF((AE98+$L$8+$N$8)&gt;$S$8/HU_alpha+$K$8,0.5*$S$8/HU_alpha,IF((AE98+$L$8+$N$8)&gt;=$K$8,((AE98+$L$8+$N$8)-$K$8)-0.5*HU_alpha/$S$8*((AE98+$L$8+$N$8)-$K$8)^2,IF((AE98+$L$8+$N$8)&gt;=$T$8,HU_beta*((AE98+$L$8+$N$8)-$K$8),HU_beta*($T$8-$K$8)))))</f>
        <v/>
      </c>
      <c r="AQ98" s="29">
        <f>IF(OR(AN98=0,$S$8=0),0,IF((AE98+$K$8)&gt;$S$8/HU_alpha+$K$8,0.5*$S$8/HU_alpha,IF((AE98+$K$8)&gt;=$K$8,((AE98+$K$8)-$K$8)-0.5*HU_alpha/$S$8*((AE98+$K$8)-$K$8)^2,IF((AE98+$K$8)&gt;=$T$8,HU_beta*((AE98+$K$8)-$K$8),HU_beta*($T$8-$K$8)))))</f>
        <v/>
      </c>
      <c r="AR98" s="63">
        <f>IF(AND($J$9,A98&gt;=1,A98&lt;=$Q$9-1),J98,0)</f>
        <v/>
      </c>
      <c r="AS98" s="29">
        <f>IF(OR(AR98=0,$S$9=0),0,IF((AE98+$L$9)&gt;$S$9/HU_alpha+$K$9,0.5*$S$9/HU_alpha,IF((AE98+$L$9)&gt;=$K$9,((AE98+$L$9)-$K$9)-0.5*HU_alpha/$S$9*((AE98+$L$9)-$K$9)^2,IF((AE98+$L$9)&gt;=$T$9,HU_beta*((AE98+$L$9)-$K$9),HU_beta*($T$9-$K$9)))))</f>
        <v/>
      </c>
      <c r="AT98" s="29">
        <f>IF(OR(AR98=0,$S$9=0),0,IF((AE98+$L$9+$N$9)&gt;$S$9/HU_alpha+$K$9,0.5*$S$9/HU_alpha,IF((AE98+$L$9+$N$9)&gt;=$K$9,((AE98+$L$9+$N$9)-$K$9)-0.5*HU_alpha/$S$9*((AE98+$L$9+$N$9)-$K$9)^2,IF((AE98+$L$9+$N$9)&gt;=$T$9,HU_beta*((AE98+$L$9+$N$9)-$K$9),HU_beta*($T$9-$K$9)))))</f>
        <v/>
      </c>
      <c r="AU98" s="29">
        <f>IF(OR(AR98=0,$S$9=0),0,IF((AE98+$K$9)&gt;$S$9/HU_alpha+$K$9,0.5*$S$9/HU_alpha,IF((AE98+$K$9)&gt;=$K$9,((AE98+$K$9)-$K$9)-0.5*HU_alpha/$S$9*((AE98+$K$9)-$K$9)^2,IF((AE98+$K$9)&gt;=$T$9,HU_beta*((AE98+$K$9)-$K$9),HU_beta*($T$9-$K$9)))))</f>
        <v/>
      </c>
      <c r="AV98" s="63">
        <f>IF(AND($J$10,A98=$Q$10),J98,0)</f>
        <v/>
      </c>
      <c r="AW98" s="29">
        <f>IF(OR(AV98=0,$S$10=0),0,IF((AD98+$L$10)&gt;$S$10/HU_alpha+$K$10,0.5*$S$10/HU_alpha,IF((AD98+$L$10)&gt;=$K$10,((AD98+$L$10)-$K$10)-0.5*HU_alpha/$S$10*((AD98+$L$10)-$K$10)^2,IF((AD98+$L$10)&gt;=$T$10,HU_beta*((AD98+$L$10)-$K$10),HU_beta*($T$10-$K$10)))))</f>
        <v/>
      </c>
      <c r="AX98" s="29">
        <f>IF(OR(AV98=0,$S$10=0),0,IF((AD98+$L$10+$N$10)&gt;$S$10/HU_alpha+$K$10,0.5*$S$10/HU_alpha,IF((AD98+$L$10+$N$10)&gt;=$K$10,((AD98+$L$10+$N$10)-$K$10)-0.5*HU_alpha/$S$10*((AD98+$L$10+$N$10)-$K$10)^2,IF((AD98+$L$10+$N$10)&gt;=$T$10,HU_beta*((AD98+$L$10+$N$10)-$K$10),HU_beta*($T$10-$K$10)))))</f>
        <v/>
      </c>
      <c r="AY98" s="29">
        <f>IF(OR(AV98=0,$S$10=0),0,IF((AD98+$K$10)&gt;$S$10/HU_alpha+$K$10,0.5*$S$10/HU_alpha,IF((AD98+$K$10)&gt;=$K$10,((AD98+$K$10)-$K$10)-0.5*HU_alpha/$S$10*((AD98+$K$10)-$K$10)^2,IF((AD98+$K$10)&gt;=$T$10,HU_beta*((AD98+$K$10)-$K$10),HU_beta*($T$10-$K$10)))))</f>
        <v/>
      </c>
      <c r="AZ98" s="63">
        <f>IF(AND($J$11,A98=$Q$11),J98,0)</f>
        <v/>
      </c>
      <c r="BA98" s="29">
        <f>IF(OR(AZ98=0,$S$11=0),0,IF((AE98+$L$11)&gt;$S$11/HU_alpha+$K$11,0.5*$S$11/HU_alpha,IF((AE98+$L$11)&gt;=$K$11,((AE98+$L$11)-$K$11)-0.5*HU_alpha/$S$11*((AE98+$L$11)-$K$11)^2,IF((AE98+$L$11)&gt;=$T$11,HU_beta*((AE98+$L$11)-$K$11),HU_beta*($T$11-$K$11)))))</f>
        <v/>
      </c>
      <c r="BB98" s="29">
        <f>IF(OR(AZ98=0,$S$11=0),0,IF((AE98+$L$11+$N$11)&gt;$S$11/HU_alpha+$K$11,0.5*$S$11/HU_alpha,IF((AE98+$L$11+$N$11)&gt;=$K$11,((AE98+$L$11+$N$11)-$K$11)-0.5*HU_alpha/$S$11*((AE98+$L$11+$N$11)-$K$11)^2,IF((AE98+$L$11+$N$11)&gt;=$T$11,HU_beta*((AE98+$L$11+$N$11)-$K$11),HU_beta*($T$11-$K$11)))))</f>
        <v/>
      </c>
      <c r="BC98" s="29">
        <f>IF(OR(AZ98=0,$S$11=0),0,IF((AE98+$K$11)&gt;$S$11/HU_alpha+$K$11,0.5*$S$11/HU_alpha,IF((AE98+$K$11)&gt;=$K$11,((AE98+$K$11)-$K$11)-0.5*HU_alpha/$S$11*((AE98+$K$11)-$K$11)^2,IF((AE98+$K$11)&gt;=$T$11,HU_beta*((AE98+$K$11)-$K$11),HU_beta*($T$11-$K$11)))))</f>
        <v/>
      </c>
      <c r="BD98" s="63">
        <f>IF(AND($J$12,A98=$Q$12),J98,0)</f>
        <v/>
      </c>
      <c r="BE98" s="29">
        <f>IF(OR(BD98=0,$S$12=0),0,IF((AE98+$L$12)&gt;$S$12/HU_alpha+$K$12,0.5*$S$12/HU_alpha,IF((AE98+$L$12)&gt;=$K$12,((AE98+$L$12)-$K$12)-0.5*HU_alpha/$S$12*((AE98+$L$12)-$K$12)^2,IF((AE98+$L$12)&gt;=$T$12,HU_beta*((AE98+$L$12)-$K$12),HU_beta*($T$12-$K$12)))))</f>
        <v/>
      </c>
      <c r="BF98" s="29">
        <f>IF(OR(BD98=0,$S$12=0),0,IF((AE98+$L$12+$N$12)&gt;$S$12/HU_alpha+$K$12,0.5*$S$12/HU_alpha,IF((AE98+$L$12+$N$12)&gt;=$K$12,((AE98+$L$12+$N$12)-$K$12)-0.5*HU_alpha/$S$12*((AE98+$L$12+$N$12)-$K$12)^2,IF((AE98+$L$12+$N$12)&gt;=$T$12,HU_beta*((AE98+$L$12+$N$12)-$K$12),HU_beta*($T$12-$K$12)))))</f>
        <v/>
      </c>
      <c r="BG98" s="29">
        <f>IF(OR(BD98=0,$S$12=0),0,IF((AE98+$K$12)&gt;$S$12/HU_alpha+$K$12,0.5*$S$12/HU_alpha,IF((AE98+$K$12)&gt;=$K$12,((AE98+$K$12)-$K$12)-0.5*HU_alpha/$S$12*((AE98+$K$12)-$K$12)^2,IF((AE98+$K$12)&gt;=$T$12,HU_beta*((AE98+$K$12)-$K$12),HU_beta*($T$12-$K$12)))))</f>
        <v/>
      </c>
      <c r="BH98" s="63">
        <f>IF(AND($J$13,A98=$Q$13),J98,0)</f>
        <v/>
      </c>
      <c r="BI98" s="29">
        <f>IF(OR(BH98=0,$S$13=0),0,IF((AE98+$L$13)&gt;$S$13/HU_alpha+$K$13,0.5*$S$13/HU_alpha,IF((AE98+$L$13)&gt;=$K$13,((AE98+$L$13)-$K$13)-0.5*HU_alpha/$S$13*((AE98+$L$13)-$K$13)^2,IF((AE98+$L$13)&gt;=$T$13,HU_beta*((AE98+$L$13)-$K$13),HU_beta*($T$13-$K$13)))))</f>
        <v/>
      </c>
      <c r="BJ98" s="29">
        <f>IF(OR(BH98=0,$S$13=0),0,IF((AE98+$L$13+$N$13)&gt;$S$13/HU_alpha+$K$13,0.5*$S$13/HU_alpha,IF((AE98+$L$13+$N$13)&gt;=$K$13,((AE98+$L$13+$N$13)-$K$13)-0.5*HU_alpha/$S$13*((AE98+$L$13+$N$13)-$K$13)^2,IF((AE98+$L$13+$N$13)&gt;=$T$13,HU_beta*((AE98+$L$13+$N$13)-$K$13),HU_beta*($T$13-$K$13)))))</f>
        <v/>
      </c>
      <c r="BK98" s="29">
        <f>IF(OR(BH98=0,$S$13=0),0,IF((AE98+$K$13)&gt;$S$13/HU_alpha+$K$13,0.5*$S$13/HU_alpha,IF((AE98+$K$13)&gt;=$K$13,((AE98+$K$13)-$K$13)-0.5*HU_alpha/$S$13*((AE98+$K$13)-$K$13)^2,IF((AE98+$K$13)&gt;=$T$13,HU_beta*((AE98+$K$13)-$K$13),HU_beta*($T$13-$K$13)))))</f>
        <v/>
      </c>
    </row>
    <row r="99">
      <c r="A99" s="61" t="n">
        <v>31</v>
      </c>
      <c r="B99" s="61">
        <f>HU_age+A99</f>
        <v/>
      </c>
      <c r="C99" s="52">
        <f>A99&lt;=HU_T</f>
        <v/>
      </c>
      <c r="D99" s="63">
        <f>IF(OR(A99&lt;1,A99&gt;HU_T),0,INDEX(HU_q_mort,HU_age+A99-17,HU_col))</f>
        <v/>
      </c>
      <c r="E99" s="63">
        <f>IF(OR(A99&lt;1,A99&gt;HU_T),0,INDEX(HU_q_adb,HU_age+A99-17,HU_col))</f>
        <v/>
      </c>
      <c r="F99" s="63">
        <f>IF(OR(A99&lt;1,A99&gt;HU_T),0,INDEX(HU_q_morb,HU_age+A99-17,HU_col))</f>
        <v/>
      </c>
      <c r="G99" s="63">
        <f>IF(OR(A99&lt;1,A99&gt;HU_T),0,INDEX(HU_q_ptd,HU_age+A99-17,HU_col))</f>
        <v/>
      </c>
      <c r="H99" s="63">
        <f>IF(OR(A99&lt;1,A99&gt;HU_T),0,INDEX(HU_q_dis,HU_age+A99-17,HU_col))</f>
        <v/>
      </c>
      <c r="I99" s="63">
        <f>IF(A99&gt;HU_T,0,I98*(1-D99)*(1-E99))</f>
        <v/>
      </c>
      <c r="J99" s="63">
        <f>IF(A99&gt;=HU_T,0,N(I100))</f>
        <v/>
      </c>
      <c r="K99" s="63">
        <f>K98*(1-G99)</f>
        <v/>
      </c>
      <c r="L99" s="63">
        <f>1-K99</f>
        <v/>
      </c>
      <c r="M99" s="63">
        <f>K98*G99</f>
        <v/>
      </c>
      <c r="N99" s="63">
        <f>N98*(1-H99)</f>
        <v/>
      </c>
      <c r="O99" s="63">
        <f>1-N98</f>
        <v/>
      </c>
      <c r="P99" s="63">
        <f>P98*(1-F99)</f>
        <v/>
      </c>
      <c r="Q99" s="63">
        <f>1-P98/INDEX($P$68:$P$150,MAX(1,A99-HU_ciYears))</f>
        <v/>
      </c>
      <c r="R99" s="60">
        <f>(1+inflationRate)^A99</f>
        <v/>
      </c>
      <c r="S99" s="29">
        <f>IF(OR(OR(A99&lt;1,A99&gt;HU_T),A99-1&gt;=HU_dtr),0,HU_inc0*(1+incomeGrowthRate)^A99)</f>
        <v/>
      </c>
      <c r="T99" s="60">
        <f>IF(A99&gt;HU_T,T98,T98*(1+INDEX(HU_ssG,HU_age+A99-17)))</f>
        <v/>
      </c>
      <c r="U99" s="29">
        <f>IF(AND(HU_dtr&gt;=1,A99=HU_dtr,A99&lt;=HU_T),MIN(S99*INDEX(HU_ssC,HU_age+A99-17)/(1-INDEX(HU_ssC,HU_age+A99-17)),INDEX(HU_ssCap,HU_age+A99-17))*T99,0)</f>
        <v/>
      </c>
      <c r="V99" s="29">
        <f>S99+U99+IF(AND(HU_wdOn,A99=HU_wdYear),HU_wdIncome,0)</f>
        <v/>
      </c>
      <c r="W99" s="60">
        <f>HU_ciProp*Q99+HU_tpdCut*L99+HU_disCut*O99</f>
        <v/>
      </c>
      <c r="X99" s="29">
        <f>IF(OR(A99&lt;1,A99&gt;HU_T),0,V99*(1-W99))</f>
        <v/>
      </c>
      <c r="Y99" s="29">
        <f>IF(OR(A99&lt;1,A99&gt;HU_T),0,IF(AND(HU_retExp&gt;0,A99-1&gt;=HU_dtr),HU_retExp,HU_exp0)*R99)</f>
        <v/>
      </c>
      <c r="Z99" s="29">
        <f>-Y99-IF(AND(HU_wdOn,A99=HU_wdYear),HU_wdOut,0)</f>
        <v/>
      </c>
      <c r="AA99" s="29">
        <f>IF(OR(A99&lt;1,A99&gt;HU_T),0,-HU_medCost*R99*F99-HU_tpdCost*R99*M99)</f>
        <v/>
      </c>
      <c r="AB99" s="29">
        <f>IF(A99&gt;HU_T,0,AB98*(1+interestRate)+X99+Z99+AA99)</f>
        <v/>
      </c>
      <c r="AC99" s="29">
        <f>IF(A99&gt;HU_T,0,HU_inv*EXP(HU_mu*A99))</f>
        <v/>
      </c>
      <c r="AD99" s="29">
        <f>IF(A99&gt;HU_T,0,MAX(0,AC99+AB99))</f>
        <v/>
      </c>
      <c r="AE99" s="29">
        <f>IF(A99&gt;HU_T,0,MAX(0,X99-Y99))</f>
        <v/>
      </c>
      <c r="AF99" s="63">
        <f>IF(AND($J$6,A99&gt;=1,A99&lt;=$Q$6-1),J99,0)</f>
        <v/>
      </c>
      <c r="AG99" s="29">
        <f>IF(OR(AF99=0,$S$6=0),0,IF((AD99+$L$6)&gt;$S$6/HU_alpha+$K$6,0.5*$S$6/HU_alpha,IF((AD99+$L$6)&gt;=$K$6,((AD99+$L$6)-$K$6)-0.5*HU_alpha/$S$6*((AD99+$L$6)-$K$6)^2,IF((AD99+$L$6)&gt;=$T$6,HU_beta*((AD99+$L$6)-$K$6),HU_beta*($T$6-$K$6)))))</f>
        <v/>
      </c>
      <c r="AH99" s="29">
        <f>IF(OR(AF99=0,$S$6=0),0,IF((AD99+$L$6+$N$6)&gt;$S$6/HU_alpha+$K$6,0.5*$S$6/HU_alpha,IF((AD99+$L$6+$N$6)&gt;=$K$6,((AD99+$L$6+$N$6)-$K$6)-0.5*HU_alpha/$S$6*((AD99+$L$6+$N$6)-$K$6)^2,IF((AD99+$L$6+$N$6)&gt;=$T$6,HU_beta*((AD99+$L$6+$N$6)-$K$6),HU_beta*($T$6-$K$6)))))</f>
        <v/>
      </c>
      <c r="AI99" s="29">
        <f>IF(OR(AF99=0,$S$6=0),0,IF((AD99+$K$6)&gt;$S$6/HU_alpha+$K$6,0.5*$S$6/HU_alpha,IF((AD99+$K$6)&gt;=$K$6,((AD99+$K$6)-$K$6)-0.5*HU_alpha/$S$6*((AD99+$K$6)-$K$6)^2,IF((AD99+$K$6)&gt;=$T$6,HU_beta*((AD99+$K$6)-$K$6),HU_beta*($T$6-$K$6)))))</f>
        <v/>
      </c>
      <c r="AJ99" s="63">
        <f>IF(AND($J$7,A99&gt;=1,A99&lt;=$Q$7-1),J99,0)</f>
        <v/>
      </c>
      <c r="AK99" s="29">
        <f>IF(OR(AJ99=0,$S$7=0),0,IF((AE99+$L$7)&gt;$S$7/HU_alpha+$K$7,0.5*$S$7/HU_alpha,IF((AE99+$L$7)&gt;=$K$7,((AE99+$L$7)-$K$7)-0.5*HU_alpha/$S$7*((AE99+$L$7)-$K$7)^2,IF((AE99+$L$7)&gt;=$T$7,HU_beta*((AE99+$L$7)-$K$7),HU_beta*($T$7-$K$7)))))</f>
        <v/>
      </c>
      <c r="AL99" s="29">
        <f>IF(OR(AJ99=0,$S$7=0),0,IF((AE99+$L$7+$N$7)&gt;$S$7/HU_alpha+$K$7,0.5*$S$7/HU_alpha,IF((AE99+$L$7+$N$7)&gt;=$K$7,((AE99+$L$7+$N$7)-$K$7)-0.5*HU_alpha/$S$7*((AE99+$L$7+$N$7)-$K$7)^2,IF((AE99+$L$7+$N$7)&gt;=$T$7,HU_beta*((AE99+$L$7+$N$7)-$K$7),HU_beta*($T$7-$K$7)))))</f>
        <v/>
      </c>
      <c r="AM99" s="29">
        <f>IF(OR(AJ99=0,$S$7=0),0,IF((AE99+$K$7)&gt;$S$7/HU_alpha+$K$7,0.5*$S$7/HU_alpha,IF((AE99+$K$7)&gt;=$K$7,((AE99+$K$7)-$K$7)-0.5*HU_alpha/$S$7*((AE99+$K$7)-$K$7)^2,IF((AE99+$K$7)&gt;=$T$7,HU_beta*((AE99+$K$7)-$K$7),HU_beta*($T$7-$K$7)))))</f>
        <v/>
      </c>
      <c r="AN99" s="63">
        <f>IF(AND($J$8,A99&gt;=1,A99&lt;=$Q$8-1),J99,0)</f>
        <v/>
      </c>
      <c r="AO99" s="29">
        <f>IF(OR(AN99=0,$S$8=0),0,IF((AE99+$L$8)&gt;$S$8/HU_alpha+$K$8,0.5*$S$8/HU_alpha,IF((AE99+$L$8)&gt;=$K$8,((AE99+$L$8)-$K$8)-0.5*HU_alpha/$S$8*((AE99+$L$8)-$K$8)^2,IF((AE99+$L$8)&gt;=$T$8,HU_beta*((AE99+$L$8)-$K$8),HU_beta*($T$8-$K$8)))))</f>
        <v/>
      </c>
      <c r="AP99" s="29">
        <f>IF(OR(AN99=0,$S$8=0),0,IF((AE99+$L$8+$N$8)&gt;$S$8/HU_alpha+$K$8,0.5*$S$8/HU_alpha,IF((AE99+$L$8+$N$8)&gt;=$K$8,((AE99+$L$8+$N$8)-$K$8)-0.5*HU_alpha/$S$8*((AE99+$L$8+$N$8)-$K$8)^2,IF((AE99+$L$8+$N$8)&gt;=$T$8,HU_beta*((AE99+$L$8+$N$8)-$K$8),HU_beta*($T$8-$K$8)))))</f>
        <v/>
      </c>
      <c r="AQ99" s="29">
        <f>IF(OR(AN99=0,$S$8=0),0,IF((AE99+$K$8)&gt;$S$8/HU_alpha+$K$8,0.5*$S$8/HU_alpha,IF((AE99+$K$8)&gt;=$K$8,((AE99+$K$8)-$K$8)-0.5*HU_alpha/$S$8*((AE99+$K$8)-$K$8)^2,IF((AE99+$K$8)&gt;=$T$8,HU_beta*((AE99+$K$8)-$K$8),HU_beta*($T$8-$K$8)))))</f>
        <v/>
      </c>
      <c r="AR99" s="63">
        <f>IF(AND($J$9,A99&gt;=1,A99&lt;=$Q$9-1),J99,0)</f>
        <v/>
      </c>
      <c r="AS99" s="29">
        <f>IF(OR(AR99=0,$S$9=0),0,IF((AE99+$L$9)&gt;$S$9/HU_alpha+$K$9,0.5*$S$9/HU_alpha,IF((AE99+$L$9)&gt;=$K$9,((AE99+$L$9)-$K$9)-0.5*HU_alpha/$S$9*((AE99+$L$9)-$K$9)^2,IF((AE99+$L$9)&gt;=$T$9,HU_beta*((AE99+$L$9)-$K$9),HU_beta*($T$9-$K$9)))))</f>
        <v/>
      </c>
      <c r="AT99" s="29">
        <f>IF(OR(AR99=0,$S$9=0),0,IF((AE99+$L$9+$N$9)&gt;$S$9/HU_alpha+$K$9,0.5*$S$9/HU_alpha,IF((AE99+$L$9+$N$9)&gt;=$K$9,((AE99+$L$9+$N$9)-$K$9)-0.5*HU_alpha/$S$9*((AE99+$L$9+$N$9)-$K$9)^2,IF((AE99+$L$9+$N$9)&gt;=$T$9,HU_beta*((AE99+$L$9+$N$9)-$K$9),HU_beta*($T$9-$K$9)))))</f>
        <v/>
      </c>
      <c r="AU99" s="29">
        <f>IF(OR(AR99=0,$S$9=0),0,IF((AE99+$K$9)&gt;$S$9/HU_alpha+$K$9,0.5*$S$9/HU_alpha,IF((AE99+$K$9)&gt;=$K$9,((AE99+$K$9)-$K$9)-0.5*HU_alpha/$S$9*((AE99+$K$9)-$K$9)^2,IF((AE99+$K$9)&gt;=$T$9,HU_beta*((AE99+$K$9)-$K$9),HU_beta*($T$9-$K$9)))))</f>
        <v/>
      </c>
      <c r="AV99" s="63">
        <f>IF(AND($J$10,A99=$Q$10),J99,0)</f>
        <v/>
      </c>
      <c r="AW99" s="29">
        <f>IF(OR(AV99=0,$S$10=0),0,IF((AD99+$L$10)&gt;$S$10/HU_alpha+$K$10,0.5*$S$10/HU_alpha,IF((AD99+$L$10)&gt;=$K$10,((AD99+$L$10)-$K$10)-0.5*HU_alpha/$S$10*((AD99+$L$10)-$K$10)^2,IF((AD99+$L$10)&gt;=$T$10,HU_beta*((AD99+$L$10)-$K$10),HU_beta*($T$10-$K$10)))))</f>
        <v/>
      </c>
      <c r="AX99" s="29">
        <f>IF(OR(AV99=0,$S$10=0),0,IF((AD99+$L$10+$N$10)&gt;$S$10/HU_alpha+$K$10,0.5*$S$10/HU_alpha,IF((AD99+$L$10+$N$10)&gt;=$K$10,((AD99+$L$10+$N$10)-$K$10)-0.5*HU_alpha/$S$10*((AD99+$L$10+$N$10)-$K$10)^2,IF((AD99+$L$10+$N$10)&gt;=$T$10,HU_beta*((AD99+$L$10+$N$10)-$K$10),HU_beta*($T$10-$K$10)))))</f>
        <v/>
      </c>
      <c r="AY99" s="29">
        <f>IF(OR(AV99=0,$S$10=0),0,IF((AD99+$K$10)&gt;$S$10/HU_alpha+$K$10,0.5*$S$10/HU_alpha,IF((AD99+$K$10)&gt;=$K$10,((AD99+$K$10)-$K$10)-0.5*HU_alpha/$S$10*((AD99+$K$10)-$K$10)^2,IF((AD99+$K$10)&gt;=$T$10,HU_beta*((AD99+$K$10)-$K$10),HU_beta*($T$10-$K$10)))))</f>
        <v/>
      </c>
      <c r="AZ99" s="63">
        <f>IF(AND($J$11,A99=$Q$11),J99,0)</f>
        <v/>
      </c>
      <c r="BA99" s="29">
        <f>IF(OR(AZ99=0,$S$11=0),0,IF((AE99+$L$11)&gt;$S$11/HU_alpha+$K$11,0.5*$S$11/HU_alpha,IF((AE99+$L$11)&gt;=$K$11,((AE99+$L$11)-$K$11)-0.5*HU_alpha/$S$11*((AE99+$L$11)-$K$11)^2,IF((AE99+$L$11)&gt;=$T$11,HU_beta*((AE99+$L$11)-$K$11),HU_beta*($T$11-$K$11)))))</f>
        <v/>
      </c>
      <c r="BB99" s="29">
        <f>IF(OR(AZ99=0,$S$11=0),0,IF((AE99+$L$11+$N$11)&gt;$S$11/HU_alpha+$K$11,0.5*$S$11/HU_alpha,IF((AE99+$L$11+$N$11)&gt;=$K$11,((AE99+$L$11+$N$11)-$K$11)-0.5*HU_alpha/$S$11*((AE99+$L$11+$N$11)-$K$11)^2,IF((AE99+$L$11+$N$11)&gt;=$T$11,HU_beta*((AE99+$L$11+$N$11)-$K$11),HU_beta*($T$11-$K$11)))))</f>
        <v/>
      </c>
      <c r="BC99" s="29">
        <f>IF(OR(AZ99=0,$S$11=0),0,IF((AE99+$K$11)&gt;$S$11/HU_alpha+$K$11,0.5*$S$11/HU_alpha,IF((AE99+$K$11)&gt;=$K$11,((AE99+$K$11)-$K$11)-0.5*HU_alpha/$S$11*((AE99+$K$11)-$K$11)^2,IF((AE99+$K$11)&gt;=$T$11,HU_beta*((AE99+$K$11)-$K$11),HU_beta*($T$11-$K$11)))))</f>
        <v/>
      </c>
      <c r="BD99" s="63">
        <f>IF(AND($J$12,A99=$Q$12),J99,0)</f>
        <v/>
      </c>
      <c r="BE99" s="29">
        <f>IF(OR(BD99=0,$S$12=0),0,IF((AE99+$L$12)&gt;$S$12/HU_alpha+$K$12,0.5*$S$12/HU_alpha,IF((AE99+$L$12)&gt;=$K$12,((AE99+$L$12)-$K$12)-0.5*HU_alpha/$S$12*((AE99+$L$12)-$K$12)^2,IF((AE99+$L$12)&gt;=$T$12,HU_beta*((AE99+$L$12)-$K$12),HU_beta*($T$12-$K$12)))))</f>
        <v/>
      </c>
      <c r="BF99" s="29">
        <f>IF(OR(BD99=0,$S$12=0),0,IF((AE99+$L$12+$N$12)&gt;$S$12/HU_alpha+$K$12,0.5*$S$12/HU_alpha,IF((AE99+$L$12+$N$12)&gt;=$K$12,((AE99+$L$12+$N$12)-$K$12)-0.5*HU_alpha/$S$12*((AE99+$L$12+$N$12)-$K$12)^2,IF((AE99+$L$12+$N$12)&gt;=$T$12,HU_beta*((AE99+$L$12+$N$12)-$K$12),HU_beta*($T$12-$K$12)))))</f>
        <v/>
      </c>
      <c r="BG99" s="29">
        <f>IF(OR(BD99=0,$S$12=0),0,IF((AE99+$K$12)&gt;$S$12/HU_alpha+$K$12,0.5*$S$12/HU_alpha,IF((AE99+$K$12)&gt;=$K$12,((AE99+$K$12)-$K$12)-0.5*HU_alpha/$S$12*((AE99+$K$12)-$K$12)^2,IF((AE99+$K$12)&gt;=$T$12,HU_beta*((AE99+$K$12)-$K$12),HU_beta*($T$12-$K$12)))))</f>
        <v/>
      </c>
      <c r="BH99" s="63">
        <f>IF(AND($J$13,A99=$Q$13),J99,0)</f>
        <v/>
      </c>
      <c r="BI99" s="29">
        <f>IF(OR(BH99=0,$S$13=0),0,IF((AE99+$L$13)&gt;$S$13/HU_alpha+$K$13,0.5*$S$13/HU_alpha,IF((AE99+$L$13)&gt;=$K$13,((AE99+$L$13)-$K$13)-0.5*HU_alpha/$S$13*((AE99+$L$13)-$K$13)^2,IF((AE99+$L$13)&gt;=$T$13,HU_beta*((AE99+$L$13)-$K$13),HU_beta*($T$13-$K$13)))))</f>
        <v/>
      </c>
      <c r="BJ99" s="29">
        <f>IF(OR(BH99=0,$S$13=0),0,IF((AE99+$L$13+$N$13)&gt;$S$13/HU_alpha+$K$13,0.5*$S$13/HU_alpha,IF((AE99+$L$13+$N$13)&gt;=$K$13,((AE99+$L$13+$N$13)-$K$13)-0.5*HU_alpha/$S$13*((AE99+$L$13+$N$13)-$K$13)^2,IF((AE99+$L$13+$N$13)&gt;=$T$13,HU_beta*((AE99+$L$13+$N$13)-$K$13),HU_beta*($T$13-$K$13)))))</f>
        <v/>
      </c>
      <c r="BK99" s="29">
        <f>IF(OR(BH99=0,$S$13=0),0,IF((AE99+$K$13)&gt;$S$13/HU_alpha+$K$13,0.5*$S$13/HU_alpha,IF((AE99+$K$13)&gt;=$K$13,((AE99+$K$13)-$K$13)-0.5*HU_alpha/$S$13*((AE99+$K$13)-$K$13)^2,IF((AE99+$K$13)&gt;=$T$13,HU_beta*((AE99+$K$13)-$K$13),HU_beta*($T$13-$K$13)))))</f>
        <v/>
      </c>
    </row>
    <row r="100">
      <c r="A100" s="61" t="n">
        <v>32</v>
      </c>
      <c r="B100" s="61">
        <f>HU_age+A100</f>
        <v/>
      </c>
      <c r="C100" s="52">
        <f>A100&lt;=HU_T</f>
        <v/>
      </c>
      <c r="D100" s="63">
        <f>IF(OR(A100&lt;1,A100&gt;HU_T),0,INDEX(HU_q_mort,HU_age+A100-17,HU_col))</f>
        <v/>
      </c>
      <c r="E100" s="63">
        <f>IF(OR(A100&lt;1,A100&gt;HU_T),0,INDEX(HU_q_adb,HU_age+A100-17,HU_col))</f>
        <v/>
      </c>
      <c r="F100" s="63">
        <f>IF(OR(A100&lt;1,A100&gt;HU_T),0,INDEX(HU_q_morb,HU_age+A100-17,HU_col))</f>
        <v/>
      </c>
      <c r="G100" s="63">
        <f>IF(OR(A100&lt;1,A100&gt;HU_T),0,INDEX(HU_q_ptd,HU_age+A100-17,HU_col))</f>
        <v/>
      </c>
      <c r="H100" s="63">
        <f>IF(OR(A100&lt;1,A100&gt;HU_T),0,INDEX(HU_q_dis,HU_age+A100-17,HU_col))</f>
        <v/>
      </c>
      <c r="I100" s="63">
        <f>IF(A100&gt;HU_T,0,I99*(1-D100)*(1-E100))</f>
        <v/>
      </c>
      <c r="J100" s="63">
        <f>IF(A100&gt;=HU_T,0,N(I101))</f>
        <v/>
      </c>
      <c r="K100" s="63">
        <f>K99*(1-G100)</f>
        <v/>
      </c>
      <c r="L100" s="63">
        <f>1-K100</f>
        <v/>
      </c>
      <c r="M100" s="63">
        <f>K99*G100</f>
        <v/>
      </c>
      <c r="N100" s="63">
        <f>N99*(1-H100)</f>
        <v/>
      </c>
      <c r="O100" s="63">
        <f>1-N99</f>
        <v/>
      </c>
      <c r="P100" s="63">
        <f>P99*(1-F100)</f>
        <v/>
      </c>
      <c r="Q100" s="63">
        <f>1-P99/INDEX($P$68:$P$150,MAX(1,A100-HU_ciYears))</f>
        <v/>
      </c>
      <c r="R100" s="60">
        <f>(1+inflationRate)^A100</f>
        <v/>
      </c>
      <c r="S100" s="29">
        <f>IF(OR(OR(A100&lt;1,A100&gt;HU_T),A100-1&gt;=HU_dtr),0,HU_inc0*(1+incomeGrowthRate)^A100)</f>
        <v/>
      </c>
      <c r="T100" s="60">
        <f>IF(A100&gt;HU_T,T99,T99*(1+INDEX(HU_ssG,HU_age+A100-17)))</f>
        <v/>
      </c>
      <c r="U100" s="29">
        <f>IF(AND(HU_dtr&gt;=1,A100=HU_dtr,A100&lt;=HU_T),MIN(S100*INDEX(HU_ssC,HU_age+A100-17)/(1-INDEX(HU_ssC,HU_age+A100-17)),INDEX(HU_ssCap,HU_age+A100-17))*T100,0)</f>
        <v/>
      </c>
      <c r="V100" s="29">
        <f>S100+U100+IF(AND(HU_wdOn,A100=HU_wdYear),HU_wdIncome,0)</f>
        <v/>
      </c>
      <c r="W100" s="60">
        <f>HU_ciProp*Q100+HU_tpdCut*L100+HU_disCut*O100</f>
        <v/>
      </c>
      <c r="X100" s="29">
        <f>IF(OR(A100&lt;1,A100&gt;HU_T),0,V100*(1-W100))</f>
        <v/>
      </c>
      <c r="Y100" s="29">
        <f>IF(OR(A100&lt;1,A100&gt;HU_T),0,IF(AND(HU_retExp&gt;0,A100-1&gt;=HU_dtr),HU_retExp,HU_exp0)*R100)</f>
        <v/>
      </c>
      <c r="Z100" s="29">
        <f>-Y100-IF(AND(HU_wdOn,A100=HU_wdYear),HU_wdOut,0)</f>
        <v/>
      </c>
      <c r="AA100" s="29">
        <f>IF(OR(A100&lt;1,A100&gt;HU_T),0,-HU_medCost*R100*F100-HU_tpdCost*R100*M100)</f>
        <v/>
      </c>
      <c r="AB100" s="29">
        <f>IF(A100&gt;HU_T,0,AB99*(1+interestRate)+X100+Z100+AA100)</f>
        <v/>
      </c>
      <c r="AC100" s="29">
        <f>IF(A100&gt;HU_T,0,HU_inv*EXP(HU_mu*A100))</f>
        <v/>
      </c>
      <c r="AD100" s="29">
        <f>IF(A100&gt;HU_T,0,MAX(0,AC100+AB100))</f>
        <v/>
      </c>
      <c r="AE100" s="29">
        <f>IF(A100&gt;HU_T,0,MAX(0,X100-Y100))</f>
        <v/>
      </c>
      <c r="AF100" s="63">
        <f>IF(AND($J$6,A100&gt;=1,A100&lt;=$Q$6-1),J100,0)</f>
        <v/>
      </c>
      <c r="AG100" s="29">
        <f>IF(OR(AF100=0,$S$6=0),0,IF((AD100+$L$6)&gt;$S$6/HU_alpha+$K$6,0.5*$S$6/HU_alpha,IF((AD100+$L$6)&gt;=$K$6,((AD100+$L$6)-$K$6)-0.5*HU_alpha/$S$6*((AD100+$L$6)-$K$6)^2,IF((AD100+$L$6)&gt;=$T$6,HU_beta*((AD100+$L$6)-$K$6),HU_beta*($T$6-$K$6)))))</f>
        <v/>
      </c>
      <c r="AH100" s="29">
        <f>IF(OR(AF100=0,$S$6=0),0,IF((AD100+$L$6+$N$6)&gt;$S$6/HU_alpha+$K$6,0.5*$S$6/HU_alpha,IF((AD100+$L$6+$N$6)&gt;=$K$6,((AD100+$L$6+$N$6)-$K$6)-0.5*HU_alpha/$S$6*((AD100+$L$6+$N$6)-$K$6)^2,IF((AD100+$L$6+$N$6)&gt;=$T$6,HU_beta*((AD100+$L$6+$N$6)-$K$6),HU_beta*($T$6-$K$6)))))</f>
        <v/>
      </c>
      <c r="AI100" s="29">
        <f>IF(OR(AF100=0,$S$6=0),0,IF((AD100+$K$6)&gt;$S$6/HU_alpha+$K$6,0.5*$S$6/HU_alpha,IF((AD100+$K$6)&gt;=$K$6,((AD100+$K$6)-$K$6)-0.5*HU_alpha/$S$6*((AD100+$K$6)-$K$6)^2,IF((AD100+$K$6)&gt;=$T$6,HU_beta*((AD100+$K$6)-$K$6),HU_beta*($T$6-$K$6)))))</f>
        <v/>
      </c>
      <c r="AJ100" s="63">
        <f>IF(AND($J$7,A100&gt;=1,A100&lt;=$Q$7-1),J100,0)</f>
        <v/>
      </c>
      <c r="AK100" s="29">
        <f>IF(OR(AJ100=0,$S$7=0),0,IF((AE100+$L$7)&gt;$S$7/HU_alpha+$K$7,0.5*$S$7/HU_alpha,IF((AE100+$L$7)&gt;=$K$7,((AE100+$L$7)-$K$7)-0.5*HU_alpha/$S$7*((AE100+$L$7)-$K$7)^2,IF((AE100+$L$7)&gt;=$T$7,HU_beta*((AE100+$L$7)-$K$7),HU_beta*($T$7-$K$7)))))</f>
        <v/>
      </c>
      <c r="AL100" s="29">
        <f>IF(OR(AJ100=0,$S$7=0),0,IF((AE100+$L$7+$N$7)&gt;$S$7/HU_alpha+$K$7,0.5*$S$7/HU_alpha,IF((AE100+$L$7+$N$7)&gt;=$K$7,((AE100+$L$7+$N$7)-$K$7)-0.5*HU_alpha/$S$7*((AE100+$L$7+$N$7)-$K$7)^2,IF((AE100+$L$7+$N$7)&gt;=$T$7,HU_beta*((AE100+$L$7+$N$7)-$K$7),HU_beta*($T$7-$K$7)))))</f>
        <v/>
      </c>
      <c r="AM100" s="29">
        <f>IF(OR(AJ100=0,$S$7=0),0,IF((AE100+$K$7)&gt;$S$7/HU_alpha+$K$7,0.5*$S$7/HU_alpha,IF((AE100+$K$7)&gt;=$K$7,((AE100+$K$7)-$K$7)-0.5*HU_alpha/$S$7*((AE100+$K$7)-$K$7)^2,IF((AE100+$K$7)&gt;=$T$7,HU_beta*((AE100+$K$7)-$K$7),HU_beta*($T$7-$K$7)))))</f>
        <v/>
      </c>
      <c r="AN100" s="63">
        <f>IF(AND($J$8,A100&gt;=1,A100&lt;=$Q$8-1),J100,0)</f>
        <v/>
      </c>
      <c r="AO100" s="29">
        <f>IF(OR(AN100=0,$S$8=0),0,IF((AE100+$L$8)&gt;$S$8/HU_alpha+$K$8,0.5*$S$8/HU_alpha,IF((AE100+$L$8)&gt;=$K$8,((AE100+$L$8)-$K$8)-0.5*HU_alpha/$S$8*((AE100+$L$8)-$K$8)^2,IF((AE100+$L$8)&gt;=$T$8,HU_beta*((AE100+$L$8)-$K$8),HU_beta*($T$8-$K$8)))))</f>
        <v/>
      </c>
      <c r="AP100" s="29">
        <f>IF(OR(AN100=0,$S$8=0),0,IF((AE100+$L$8+$N$8)&gt;$S$8/HU_alpha+$K$8,0.5*$S$8/HU_alpha,IF((AE100+$L$8+$N$8)&gt;=$K$8,((AE100+$L$8+$N$8)-$K$8)-0.5*HU_alpha/$S$8*((AE100+$L$8+$N$8)-$K$8)^2,IF((AE100+$L$8+$N$8)&gt;=$T$8,HU_beta*((AE100+$L$8+$N$8)-$K$8),HU_beta*($T$8-$K$8)))))</f>
        <v/>
      </c>
      <c r="AQ100" s="29">
        <f>IF(OR(AN100=0,$S$8=0),0,IF((AE100+$K$8)&gt;$S$8/HU_alpha+$K$8,0.5*$S$8/HU_alpha,IF((AE100+$K$8)&gt;=$K$8,((AE100+$K$8)-$K$8)-0.5*HU_alpha/$S$8*((AE100+$K$8)-$K$8)^2,IF((AE100+$K$8)&gt;=$T$8,HU_beta*((AE100+$K$8)-$K$8),HU_beta*($T$8-$K$8)))))</f>
        <v/>
      </c>
      <c r="AR100" s="63">
        <f>IF(AND($J$9,A100&gt;=1,A100&lt;=$Q$9-1),J100,0)</f>
        <v/>
      </c>
      <c r="AS100" s="29">
        <f>IF(OR(AR100=0,$S$9=0),0,IF((AE100+$L$9)&gt;$S$9/HU_alpha+$K$9,0.5*$S$9/HU_alpha,IF((AE100+$L$9)&gt;=$K$9,((AE100+$L$9)-$K$9)-0.5*HU_alpha/$S$9*((AE100+$L$9)-$K$9)^2,IF((AE100+$L$9)&gt;=$T$9,HU_beta*((AE100+$L$9)-$K$9),HU_beta*($T$9-$K$9)))))</f>
        <v/>
      </c>
      <c r="AT100" s="29">
        <f>IF(OR(AR100=0,$S$9=0),0,IF((AE100+$L$9+$N$9)&gt;$S$9/HU_alpha+$K$9,0.5*$S$9/HU_alpha,IF((AE100+$L$9+$N$9)&gt;=$K$9,((AE100+$L$9+$N$9)-$K$9)-0.5*HU_alpha/$S$9*((AE100+$L$9+$N$9)-$K$9)^2,IF((AE100+$L$9+$N$9)&gt;=$T$9,HU_beta*((AE100+$L$9+$N$9)-$K$9),HU_beta*($T$9-$K$9)))))</f>
        <v/>
      </c>
      <c r="AU100" s="29">
        <f>IF(OR(AR100=0,$S$9=0),0,IF((AE100+$K$9)&gt;$S$9/HU_alpha+$K$9,0.5*$S$9/HU_alpha,IF((AE100+$K$9)&gt;=$K$9,((AE100+$K$9)-$K$9)-0.5*HU_alpha/$S$9*((AE100+$K$9)-$K$9)^2,IF((AE100+$K$9)&gt;=$T$9,HU_beta*((AE100+$K$9)-$K$9),HU_beta*($T$9-$K$9)))))</f>
        <v/>
      </c>
      <c r="AV100" s="63">
        <f>IF(AND($J$10,A100=$Q$10),J100,0)</f>
        <v/>
      </c>
      <c r="AW100" s="29">
        <f>IF(OR(AV100=0,$S$10=0),0,IF((AD100+$L$10)&gt;$S$10/HU_alpha+$K$10,0.5*$S$10/HU_alpha,IF((AD100+$L$10)&gt;=$K$10,((AD100+$L$10)-$K$10)-0.5*HU_alpha/$S$10*((AD100+$L$10)-$K$10)^2,IF((AD100+$L$10)&gt;=$T$10,HU_beta*((AD100+$L$10)-$K$10),HU_beta*($T$10-$K$10)))))</f>
        <v/>
      </c>
      <c r="AX100" s="29">
        <f>IF(OR(AV100=0,$S$10=0),0,IF((AD100+$L$10+$N$10)&gt;$S$10/HU_alpha+$K$10,0.5*$S$10/HU_alpha,IF((AD100+$L$10+$N$10)&gt;=$K$10,((AD100+$L$10+$N$10)-$K$10)-0.5*HU_alpha/$S$10*((AD100+$L$10+$N$10)-$K$10)^2,IF((AD100+$L$10+$N$10)&gt;=$T$10,HU_beta*((AD100+$L$10+$N$10)-$K$10),HU_beta*($T$10-$K$10)))))</f>
        <v/>
      </c>
      <c r="AY100" s="29">
        <f>IF(OR(AV100=0,$S$10=0),0,IF((AD100+$K$10)&gt;$S$10/HU_alpha+$K$10,0.5*$S$10/HU_alpha,IF((AD100+$K$10)&gt;=$K$10,((AD100+$K$10)-$K$10)-0.5*HU_alpha/$S$10*((AD100+$K$10)-$K$10)^2,IF((AD100+$K$10)&gt;=$T$10,HU_beta*((AD100+$K$10)-$K$10),HU_beta*($T$10-$K$10)))))</f>
        <v/>
      </c>
      <c r="AZ100" s="63">
        <f>IF(AND($J$11,A100=$Q$11),J100,0)</f>
        <v/>
      </c>
      <c r="BA100" s="29">
        <f>IF(OR(AZ100=0,$S$11=0),0,IF((AE100+$L$11)&gt;$S$11/HU_alpha+$K$11,0.5*$S$11/HU_alpha,IF((AE100+$L$11)&gt;=$K$11,((AE100+$L$11)-$K$11)-0.5*HU_alpha/$S$11*((AE100+$L$11)-$K$11)^2,IF((AE100+$L$11)&gt;=$T$11,HU_beta*((AE100+$L$11)-$K$11),HU_beta*($T$11-$K$11)))))</f>
        <v/>
      </c>
      <c r="BB100" s="29">
        <f>IF(OR(AZ100=0,$S$11=0),0,IF((AE100+$L$11+$N$11)&gt;$S$11/HU_alpha+$K$11,0.5*$S$11/HU_alpha,IF((AE100+$L$11+$N$11)&gt;=$K$11,((AE100+$L$11+$N$11)-$K$11)-0.5*HU_alpha/$S$11*((AE100+$L$11+$N$11)-$K$11)^2,IF((AE100+$L$11+$N$11)&gt;=$T$11,HU_beta*((AE100+$L$11+$N$11)-$K$11),HU_beta*($T$11-$K$11)))))</f>
        <v/>
      </c>
      <c r="BC100" s="29">
        <f>IF(OR(AZ100=0,$S$11=0),0,IF((AE100+$K$11)&gt;$S$11/HU_alpha+$K$11,0.5*$S$11/HU_alpha,IF((AE100+$K$11)&gt;=$K$11,((AE100+$K$11)-$K$11)-0.5*HU_alpha/$S$11*((AE100+$K$11)-$K$11)^2,IF((AE100+$K$11)&gt;=$T$11,HU_beta*((AE100+$K$11)-$K$11),HU_beta*($T$11-$K$11)))))</f>
        <v/>
      </c>
      <c r="BD100" s="63">
        <f>IF(AND($J$12,A100=$Q$12),J100,0)</f>
        <v/>
      </c>
      <c r="BE100" s="29">
        <f>IF(OR(BD100=0,$S$12=0),0,IF((AE100+$L$12)&gt;$S$12/HU_alpha+$K$12,0.5*$S$12/HU_alpha,IF((AE100+$L$12)&gt;=$K$12,((AE100+$L$12)-$K$12)-0.5*HU_alpha/$S$12*((AE100+$L$12)-$K$12)^2,IF((AE100+$L$12)&gt;=$T$12,HU_beta*((AE100+$L$12)-$K$12),HU_beta*($T$12-$K$12)))))</f>
        <v/>
      </c>
      <c r="BF100" s="29">
        <f>IF(OR(BD100=0,$S$12=0),0,IF((AE100+$L$12+$N$12)&gt;$S$12/HU_alpha+$K$12,0.5*$S$12/HU_alpha,IF((AE100+$L$12+$N$12)&gt;=$K$12,((AE100+$L$12+$N$12)-$K$12)-0.5*HU_alpha/$S$12*((AE100+$L$12+$N$12)-$K$12)^2,IF((AE100+$L$12+$N$12)&gt;=$T$12,HU_beta*((AE100+$L$12+$N$12)-$K$12),HU_beta*($T$12-$K$12)))))</f>
        <v/>
      </c>
      <c r="BG100" s="29">
        <f>IF(OR(BD100=0,$S$12=0),0,IF((AE100+$K$12)&gt;$S$12/HU_alpha+$K$12,0.5*$S$12/HU_alpha,IF((AE100+$K$12)&gt;=$K$12,((AE100+$K$12)-$K$12)-0.5*HU_alpha/$S$12*((AE100+$K$12)-$K$12)^2,IF((AE100+$K$12)&gt;=$T$12,HU_beta*((AE100+$K$12)-$K$12),HU_beta*($T$12-$K$12)))))</f>
        <v/>
      </c>
      <c r="BH100" s="63">
        <f>IF(AND($J$13,A100=$Q$13),J100,0)</f>
        <v/>
      </c>
      <c r="BI100" s="29">
        <f>IF(OR(BH100=0,$S$13=0),0,IF((AE100+$L$13)&gt;$S$13/HU_alpha+$K$13,0.5*$S$13/HU_alpha,IF((AE100+$L$13)&gt;=$K$13,((AE100+$L$13)-$K$13)-0.5*HU_alpha/$S$13*((AE100+$L$13)-$K$13)^2,IF((AE100+$L$13)&gt;=$T$13,HU_beta*((AE100+$L$13)-$K$13),HU_beta*($T$13-$K$13)))))</f>
        <v/>
      </c>
      <c r="BJ100" s="29">
        <f>IF(OR(BH100=0,$S$13=0),0,IF((AE100+$L$13+$N$13)&gt;$S$13/HU_alpha+$K$13,0.5*$S$13/HU_alpha,IF((AE100+$L$13+$N$13)&gt;=$K$13,((AE100+$L$13+$N$13)-$K$13)-0.5*HU_alpha/$S$13*((AE100+$L$13+$N$13)-$K$13)^2,IF((AE100+$L$13+$N$13)&gt;=$T$13,HU_beta*((AE100+$L$13+$N$13)-$K$13),HU_beta*($T$13-$K$13)))))</f>
        <v/>
      </c>
      <c r="BK100" s="29">
        <f>IF(OR(BH100=0,$S$13=0),0,IF((AE100+$K$13)&gt;$S$13/HU_alpha+$K$13,0.5*$S$13/HU_alpha,IF((AE100+$K$13)&gt;=$K$13,((AE100+$K$13)-$K$13)-0.5*HU_alpha/$S$13*((AE100+$K$13)-$K$13)^2,IF((AE100+$K$13)&gt;=$T$13,HU_beta*((AE100+$K$13)-$K$13),HU_beta*($T$13-$K$13)))))</f>
        <v/>
      </c>
    </row>
    <row r="101">
      <c r="A101" s="61" t="n">
        <v>33</v>
      </c>
      <c r="B101" s="61">
        <f>HU_age+A101</f>
        <v/>
      </c>
      <c r="C101" s="52">
        <f>A101&lt;=HU_T</f>
        <v/>
      </c>
      <c r="D101" s="63">
        <f>IF(OR(A101&lt;1,A101&gt;HU_T),0,INDEX(HU_q_mort,HU_age+A101-17,HU_col))</f>
        <v/>
      </c>
      <c r="E101" s="63">
        <f>IF(OR(A101&lt;1,A101&gt;HU_T),0,INDEX(HU_q_adb,HU_age+A101-17,HU_col))</f>
        <v/>
      </c>
      <c r="F101" s="63">
        <f>IF(OR(A101&lt;1,A101&gt;HU_T),0,INDEX(HU_q_morb,HU_age+A101-17,HU_col))</f>
        <v/>
      </c>
      <c r="G101" s="63">
        <f>IF(OR(A101&lt;1,A101&gt;HU_T),0,INDEX(HU_q_ptd,HU_age+A101-17,HU_col))</f>
        <v/>
      </c>
      <c r="H101" s="63">
        <f>IF(OR(A101&lt;1,A101&gt;HU_T),0,INDEX(HU_q_dis,HU_age+A101-17,HU_col))</f>
        <v/>
      </c>
      <c r="I101" s="63">
        <f>IF(A101&gt;HU_T,0,I100*(1-D101)*(1-E101))</f>
        <v/>
      </c>
      <c r="J101" s="63">
        <f>IF(A101&gt;=HU_T,0,N(I102))</f>
        <v/>
      </c>
      <c r="K101" s="63">
        <f>K100*(1-G101)</f>
        <v/>
      </c>
      <c r="L101" s="63">
        <f>1-K101</f>
        <v/>
      </c>
      <c r="M101" s="63">
        <f>K100*G101</f>
        <v/>
      </c>
      <c r="N101" s="63">
        <f>N100*(1-H101)</f>
        <v/>
      </c>
      <c r="O101" s="63">
        <f>1-N100</f>
        <v/>
      </c>
      <c r="P101" s="63">
        <f>P100*(1-F101)</f>
        <v/>
      </c>
      <c r="Q101" s="63">
        <f>1-P100/INDEX($P$68:$P$150,MAX(1,A101-HU_ciYears))</f>
        <v/>
      </c>
      <c r="R101" s="60">
        <f>(1+inflationRate)^A101</f>
        <v/>
      </c>
      <c r="S101" s="29">
        <f>IF(OR(OR(A101&lt;1,A101&gt;HU_T),A101-1&gt;=HU_dtr),0,HU_inc0*(1+incomeGrowthRate)^A101)</f>
        <v/>
      </c>
      <c r="T101" s="60">
        <f>IF(A101&gt;HU_T,T100,T100*(1+INDEX(HU_ssG,HU_age+A101-17)))</f>
        <v/>
      </c>
      <c r="U101" s="29">
        <f>IF(AND(HU_dtr&gt;=1,A101=HU_dtr,A101&lt;=HU_T),MIN(S101*INDEX(HU_ssC,HU_age+A101-17)/(1-INDEX(HU_ssC,HU_age+A101-17)),INDEX(HU_ssCap,HU_age+A101-17))*T101,0)</f>
        <v/>
      </c>
      <c r="V101" s="29">
        <f>S101+U101+IF(AND(HU_wdOn,A101=HU_wdYear),HU_wdIncome,0)</f>
        <v/>
      </c>
      <c r="W101" s="60">
        <f>HU_ciProp*Q101+HU_tpdCut*L101+HU_disCut*O101</f>
        <v/>
      </c>
      <c r="X101" s="29">
        <f>IF(OR(A101&lt;1,A101&gt;HU_T),0,V101*(1-W101))</f>
        <v/>
      </c>
      <c r="Y101" s="29">
        <f>IF(OR(A101&lt;1,A101&gt;HU_T),0,IF(AND(HU_retExp&gt;0,A101-1&gt;=HU_dtr),HU_retExp,HU_exp0)*R101)</f>
        <v/>
      </c>
      <c r="Z101" s="29">
        <f>-Y101-IF(AND(HU_wdOn,A101=HU_wdYear),HU_wdOut,0)</f>
        <v/>
      </c>
      <c r="AA101" s="29">
        <f>IF(OR(A101&lt;1,A101&gt;HU_T),0,-HU_medCost*R101*F101-HU_tpdCost*R101*M101)</f>
        <v/>
      </c>
      <c r="AB101" s="29">
        <f>IF(A101&gt;HU_T,0,AB100*(1+interestRate)+X101+Z101+AA101)</f>
        <v/>
      </c>
      <c r="AC101" s="29">
        <f>IF(A101&gt;HU_T,0,HU_inv*EXP(HU_mu*A101))</f>
        <v/>
      </c>
      <c r="AD101" s="29">
        <f>IF(A101&gt;HU_T,0,MAX(0,AC101+AB101))</f>
        <v/>
      </c>
      <c r="AE101" s="29">
        <f>IF(A101&gt;HU_T,0,MAX(0,X101-Y101))</f>
        <v/>
      </c>
      <c r="AF101" s="63">
        <f>IF(AND($J$6,A101&gt;=1,A101&lt;=$Q$6-1),J101,0)</f>
        <v/>
      </c>
      <c r="AG101" s="29">
        <f>IF(OR(AF101=0,$S$6=0),0,IF((AD101+$L$6)&gt;$S$6/HU_alpha+$K$6,0.5*$S$6/HU_alpha,IF((AD101+$L$6)&gt;=$K$6,((AD101+$L$6)-$K$6)-0.5*HU_alpha/$S$6*((AD101+$L$6)-$K$6)^2,IF((AD101+$L$6)&gt;=$T$6,HU_beta*((AD101+$L$6)-$K$6),HU_beta*($T$6-$K$6)))))</f>
        <v/>
      </c>
      <c r="AH101" s="29">
        <f>IF(OR(AF101=0,$S$6=0),0,IF((AD101+$L$6+$N$6)&gt;$S$6/HU_alpha+$K$6,0.5*$S$6/HU_alpha,IF((AD101+$L$6+$N$6)&gt;=$K$6,((AD101+$L$6+$N$6)-$K$6)-0.5*HU_alpha/$S$6*((AD101+$L$6+$N$6)-$K$6)^2,IF((AD101+$L$6+$N$6)&gt;=$T$6,HU_beta*((AD101+$L$6+$N$6)-$K$6),HU_beta*($T$6-$K$6)))))</f>
        <v/>
      </c>
      <c r="AI101" s="29">
        <f>IF(OR(AF101=0,$S$6=0),0,IF((AD101+$K$6)&gt;$S$6/HU_alpha+$K$6,0.5*$S$6/HU_alpha,IF((AD101+$K$6)&gt;=$K$6,((AD101+$K$6)-$K$6)-0.5*HU_alpha/$S$6*((AD101+$K$6)-$K$6)^2,IF((AD101+$K$6)&gt;=$T$6,HU_beta*((AD101+$K$6)-$K$6),HU_beta*($T$6-$K$6)))))</f>
        <v/>
      </c>
      <c r="AJ101" s="63">
        <f>IF(AND($J$7,A101&gt;=1,A101&lt;=$Q$7-1),J101,0)</f>
        <v/>
      </c>
      <c r="AK101" s="29">
        <f>IF(OR(AJ101=0,$S$7=0),0,IF((AE101+$L$7)&gt;$S$7/HU_alpha+$K$7,0.5*$S$7/HU_alpha,IF((AE101+$L$7)&gt;=$K$7,((AE101+$L$7)-$K$7)-0.5*HU_alpha/$S$7*((AE101+$L$7)-$K$7)^2,IF((AE101+$L$7)&gt;=$T$7,HU_beta*((AE101+$L$7)-$K$7),HU_beta*($T$7-$K$7)))))</f>
        <v/>
      </c>
      <c r="AL101" s="29">
        <f>IF(OR(AJ101=0,$S$7=0),0,IF((AE101+$L$7+$N$7)&gt;$S$7/HU_alpha+$K$7,0.5*$S$7/HU_alpha,IF((AE101+$L$7+$N$7)&gt;=$K$7,((AE101+$L$7+$N$7)-$K$7)-0.5*HU_alpha/$S$7*((AE101+$L$7+$N$7)-$K$7)^2,IF((AE101+$L$7+$N$7)&gt;=$T$7,HU_beta*((AE101+$L$7+$N$7)-$K$7),HU_beta*($T$7-$K$7)))))</f>
        <v/>
      </c>
      <c r="AM101" s="29">
        <f>IF(OR(AJ101=0,$S$7=0),0,IF((AE101+$K$7)&gt;$S$7/HU_alpha+$K$7,0.5*$S$7/HU_alpha,IF((AE101+$K$7)&gt;=$K$7,((AE101+$K$7)-$K$7)-0.5*HU_alpha/$S$7*((AE101+$K$7)-$K$7)^2,IF((AE101+$K$7)&gt;=$T$7,HU_beta*((AE101+$K$7)-$K$7),HU_beta*($T$7-$K$7)))))</f>
        <v/>
      </c>
      <c r="AN101" s="63">
        <f>IF(AND($J$8,A101&gt;=1,A101&lt;=$Q$8-1),J101,0)</f>
        <v/>
      </c>
      <c r="AO101" s="29">
        <f>IF(OR(AN101=0,$S$8=0),0,IF((AE101+$L$8)&gt;$S$8/HU_alpha+$K$8,0.5*$S$8/HU_alpha,IF((AE101+$L$8)&gt;=$K$8,((AE101+$L$8)-$K$8)-0.5*HU_alpha/$S$8*((AE101+$L$8)-$K$8)^2,IF((AE101+$L$8)&gt;=$T$8,HU_beta*((AE101+$L$8)-$K$8),HU_beta*($T$8-$K$8)))))</f>
        <v/>
      </c>
      <c r="AP101" s="29">
        <f>IF(OR(AN101=0,$S$8=0),0,IF((AE101+$L$8+$N$8)&gt;$S$8/HU_alpha+$K$8,0.5*$S$8/HU_alpha,IF((AE101+$L$8+$N$8)&gt;=$K$8,((AE101+$L$8+$N$8)-$K$8)-0.5*HU_alpha/$S$8*((AE101+$L$8+$N$8)-$K$8)^2,IF((AE101+$L$8+$N$8)&gt;=$T$8,HU_beta*((AE101+$L$8+$N$8)-$K$8),HU_beta*($T$8-$K$8)))))</f>
        <v/>
      </c>
      <c r="AQ101" s="29">
        <f>IF(OR(AN101=0,$S$8=0),0,IF((AE101+$K$8)&gt;$S$8/HU_alpha+$K$8,0.5*$S$8/HU_alpha,IF((AE101+$K$8)&gt;=$K$8,((AE101+$K$8)-$K$8)-0.5*HU_alpha/$S$8*((AE101+$K$8)-$K$8)^2,IF((AE101+$K$8)&gt;=$T$8,HU_beta*((AE101+$K$8)-$K$8),HU_beta*($T$8-$K$8)))))</f>
        <v/>
      </c>
      <c r="AR101" s="63">
        <f>IF(AND($J$9,A101&gt;=1,A101&lt;=$Q$9-1),J101,0)</f>
        <v/>
      </c>
      <c r="AS101" s="29">
        <f>IF(OR(AR101=0,$S$9=0),0,IF((AE101+$L$9)&gt;$S$9/HU_alpha+$K$9,0.5*$S$9/HU_alpha,IF((AE101+$L$9)&gt;=$K$9,((AE101+$L$9)-$K$9)-0.5*HU_alpha/$S$9*((AE101+$L$9)-$K$9)^2,IF((AE101+$L$9)&gt;=$T$9,HU_beta*((AE101+$L$9)-$K$9),HU_beta*($T$9-$K$9)))))</f>
        <v/>
      </c>
      <c r="AT101" s="29">
        <f>IF(OR(AR101=0,$S$9=0),0,IF((AE101+$L$9+$N$9)&gt;$S$9/HU_alpha+$K$9,0.5*$S$9/HU_alpha,IF((AE101+$L$9+$N$9)&gt;=$K$9,((AE101+$L$9+$N$9)-$K$9)-0.5*HU_alpha/$S$9*((AE101+$L$9+$N$9)-$K$9)^2,IF((AE101+$L$9+$N$9)&gt;=$T$9,HU_beta*((AE101+$L$9+$N$9)-$K$9),HU_beta*($T$9-$K$9)))))</f>
        <v/>
      </c>
      <c r="AU101" s="29">
        <f>IF(OR(AR101=0,$S$9=0),0,IF((AE101+$K$9)&gt;$S$9/HU_alpha+$K$9,0.5*$S$9/HU_alpha,IF((AE101+$K$9)&gt;=$K$9,((AE101+$K$9)-$K$9)-0.5*HU_alpha/$S$9*((AE101+$K$9)-$K$9)^2,IF((AE101+$K$9)&gt;=$T$9,HU_beta*((AE101+$K$9)-$K$9),HU_beta*($T$9-$K$9)))))</f>
        <v/>
      </c>
      <c r="AV101" s="63">
        <f>IF(AND($J$10,A101=$Q$10),J101,0)</f>
        <v/>
      </c>
      <c r="AW101" s="29">
        <f>IF(OR(AV101=0,$S$10=0),0,IF((AD101+$L$10)&gt;$S$10/HU_alpha+$K$10,0.5*$S$10/HU_alpha,IF((AD101+$L$10)&gt;=$K$10,((AD101+$L$10)-$K$10)-0.5*HU_alpha/$S$10*((AD101+$L$10)-$K$10)^2,IF((AD101+$L$10)&gt;=$T$10,HU_beta*((AD101+$L$10)-$K$10),HU_beta*($T$10-$K$10)))))</f>
        <v/>
      </c>
      <c r="AX101" s="29">
        <f>IF(OR(AV101=0,$S$10=0),0,IF((AD101+$L$10+$N$10)&gt;$S$10/HU_alpha+$K$10,0.5*$S$10/HU_alpha,IF((AD101+$L$10+$N$10)&gt;=$K$10,((AD101+$L$10+$N$10)-$K$10)-0.5*HU_alpha/$S$10*((AD101+$L$10+$N$10)-$K$10)^2,IF((AD101+$L$10+$N$10)&gt;=$T$10,HU_beta*((AD101+$L$10+$N$10)-$K$10),HU_beta*($T$10-$K$10)))))</f>
        <v/>
      </c>
      <c r="AY101" s="29">
        <f>IF(OR(AV101=0,$S$10=0),0,IF((AD101+$K$10)&gt;$S$10/HU_alpha+$K$10,0.5*$S$10/HU_alpha,IF((AD101+$K$10)&gt;=$K$10,((AD101+$K$10)-$K$10)-0.5*HU_alpha/$S$10*((AD101+$K$10)-$K$10)^2,IF((AD101+$K$10)&gt;=$T$10,HU_beta*((AD101+$K$10)-$K$10),HU_beta*($T$10-$K$10)))))</f>
        <v/>
      </c>
      <c r="AZ101" s="63">
        <f>IF(AND($J$11,A101=$Q$11),J101,0)</f>
        <v/>
      </c>
      <c r="BA101" s="29">
        <f>IF(OR(AZ101=0,$S$11=0),0,IF((AE101+$L$11)&gt;$S$11/HU_alpha+$K$11,0.5*$S$11/HU_alpha,IF((AE101+$L$11)&gt;=$K$11,((AE101+$L$11)-$K$11)-0.5*HU_alpha/$S$11*((AE101+$L$11)-$K$11)^2,IF((AE101+$L$11)&gt;=$T$11,HU_beta*((AE101+$L$11)-$K$11),HU_beta*($T$11-$K$11)))))</f>
        <v/>
      </c>
      <c r="BB101" s="29">
        <f>IF(OR(AZ101=0,$S$11=0),0,IF((AE101+$L$11+$N$11)&gt;$S$11/HU_alpha+$K$11,0.5*$S$11/HU_alpha,IF((AE101+$L$11+$N$11)&gt;=$K$11,((AE101+$L$11+$N$11)-$K$11)-0.5*HU_alpha/$S$11*((AE101+$L$11+$N$11)-$K$11)^2,IF((AE101+$L$11+$N$11)&gt;=$T$11,HU_beta*((AE101+$L$11+$N$11)-$K$11),HU_beta*($T$11-$K$11)))))</f>
        <v/>
      </c>
      <c r="BC101" s="29">
        <f>IF(OR(AZ101=0,$S$11=0),0,IF((AE101+$K$11)&gt;$S$11/HU_alpha+$K$11,0.5*$S$11/HU_alpha,IF((AE101+$K$11)&gt;=$K$11,((AE101+$K$11)-$K$11)-0.5*HU_alpha/$S$11*((AE101+$K$11)-$K$11)^2,IF((AE101+$K$11)&gt;=$T$11,HU_beta*((AE101+$K$11)-$K$11),HU_beta*($T$11-$K$11)))))</f>
        <v/>
      </c>
      <c r="BD101" s="63">
        <f>IF(AND($J$12,A101=$Q$12),J101,0)</f>
        <v/>
      </c>
      <c r="BE101" s="29">
        <f>IF(OR(BD101=0,$S$12=0),0,IF((AE101+$L$12)&gt;$S$12/HU_alpha+$K$12,0.5*$S$12/HU_alpha,IF((AE101+$L$12)&gt;=$K$12,((AE101+$L$12)-$K$12)-0.5*HU_alpha/$S$12*((AE101+$L$12)-$K$12)^2,IF((AE101+$L$12)&gt;=$T$12,HU_beta*((AE101+$L$12)-$K$12),HU_beta*($T$12-$K$12)))))</f>
        <v/>
      </c>
      <c r="BF101" s="29">
        <f>IF(OR(BD101=0,$S$12=0),0,IF((AE101+$L$12+$N$12)&gt;$S$12/HU_alpha+$K$12,0.5*$S$12/HU_alpha,IF((AE101+$L$12+$N$12)&gt;=$K$12,((AE101+$L$12+$N$12)-$K$12)-0.5*HU_alpha/$S$12*((AE101+$L$12+$N$12)-$K$12)^2,IF((AE101+$L$12+$N$12)&gt;=$T$12,HU_beta*((AE101+$L$12+$N$12)-$K$12),HU_beta*($T$12-$K$12)))))</f>
        <v/>
      </c>
      <c r="BG101" s="29">
        <f>IF(OR(BD101=0,$S$12=0),0,IF((AE101+$K$12)&gt;$S$12/HU_alpha+$K$12,0.5*$S$12/HU_alpha,IF((AE101+$K$12)&gt;=$K$12,((AE101+$K$12)-$K$12)-0.5*HU_alpha/$S$12*((AE101+$K$12)-$K$12)^2,IF((AE101+$K$12)&gt;=$T$12,HU_beta*((AE101+$K$12)-$K$12),HU_beta*($T$12-$K$12)))))</f>
        <v/>
      </c>
      <c r="BH101" s="63">
        <f>IF(AND($J$13,A101=$Q$13),J101,0)</f>
        <v/>
      </c>
      <c r="BI101" s="29">
        <f>IF(OR(BH101=0,$S$13=0),0,IF((AE101+$L$13)&gt;$S$13/HU_alpha+$K$13,0.5*$S$13/HU_alpha,IF((AE101+$L$13)&gt;=$K$13,((AE101+$L$13)-$K$13)-0.5*HU_alpha/$S$13*((AE101+$L$13)-$K$13)^2,IF((AE101+$L$13)&gt;=$T$13,HU_beta*((AE101+$L$13)-$K$13),HU_beta*($T$13-$K$13)))))</f>
        <v/>
      </c>
      <c r="BJ101" s="29">
        <f>IF(OR(BH101=0,$S$13=0),0,IF((AE101+$L$13+$N$13)&gt;$S$13/HU_alpha+$K$13,0.5*$S$13/HU_alpha,IF((AE101+$L$13+$N$13)&gt;=$K$13,((AE101+$L$13+$N$13)-$K$13)-0.5*HU_alpha/$S$13*((AE101+$L$13+$N$13)-$K$13)^2,IF((AE101+$L$13+$N$13)&gt;=$T$13,HU_beta*((AE101+$L$13+$N$13)-$K$13),HU_beta*($T$13-$K$13)))))</f>
        <v/>
      </c>
      <c r="BK101" s="29">
        <f>IF(OR(BH101=0,$S$13=0),0,IF((AE101+$K$13)&gt;$S$13/HU_alpha+$K$13,0.5*$S$13/HU_alpha,IF((AE101+$K$13)&gt;=$K$13,((AE101+$K$13)-$K$13)-0.5*HU_alpha/$S$13*((AE101+$K$13)-$K$13)^2,IF((AE101+$K$13)&gt;=$T$13,HU_beta*((AE101+$K$13)-$K$13),HU_beta*($T$13-$K$13)))))</f>
        <v/>
      </c>
    </row>
    <row r="102">
      <c r="A102" s="61" t="n">
        <v>34</v>
      </c>
      <c r="B102" s="61">
        <f>HU_age+A102</f>
        <v/>
      </c>
      <c r="C102" s="52">
        <f>A102&lt;=HU_T</f>
        <v/>
      </c>
      <c r="D102" s="63">
        <f>IF(OR(A102&lt;1,A102&gt;HU_T),0,INDEX(HU_q_mort,HU_age+A102-17,HU_col))</f>
        <v/>
      </c>
      <c r="E102" s="63">
        <f>IF(OR(A102&lt;1,A102&gt;HU_T),0,INDEX(HU_q_adb,HU_age+A102-17,HU_col))</f>
        <v/>
      </c>
      <c r="F102" s="63">
        <f>IF(OR(A102&lt;1,A102&gt;HU_T),0,INDEX(HU_q_morb,HU_age+A102-17,HU_col))</f>
        <v/>
      </c>
      <c r="G102" s="63">
        <f>IF(OR(A102&lt;1,A102&gt;HU_T),0,INDEX(HU_q_ptd,HU_age+A102-17,HU_col))</f>
        <v/>
      </c>
      <c r="H102" s="63">
        <f>IF(OR(A102&lt;1,A102&gt;HU_T),0,INDEX(HU_q_dis,HU_age+A102-17,HU_col))</f>
        <v/>
      </c>
      <c r="I102" s="63">
        <f>IF(A102&gt;HU_T,0,I101*(1-D102)*(1-E102))</f>
        <v/>
      </c>
      <c r="J102" s="63">
        <f>IF(A102&gt;=HU_T,0,N(I103))</f>
        <v/>
      </c>
      <c r="K102" s="63">
        <f>K101*(1-G102)</f>
        <v/>
      </c>
      <c r="L102" s="63">
        <f>1-K102</f>
        <v/>
      </c>
      <c r="M102" s="63">
        <f>K101*G102</f>
        <v/>
      </c>
      <c r="N102" s="63">
        <f>N101*(1-H102)</f>
        <v/>
      </c>
      <c r="O102" s="63">
        <f>1-N101</f>
        <v/>
      </c>
      <c r="P102" s="63">
        <f>P101*(1-F102)</f>
        <v/>
      </c>
      <c r="Q102" s="63">
        <f>1-P101/INDEX($P$68:$P$150,MAX(1,A102-HU_ciYears))</f>
        <v/>
      </c>
      <c r="R102" s="60">
        <f>(1+inflationRate)^A102</f>
        <v/>
      </c>
      <c r="S102" s="29">
        <f>IF(OR(OR(A102&lt;1,A102&gt;HU_T),A102-1&gt;=HU_dtr),0,HU_inc0*(1+incomeGrowthRate)^A102)</f>
        <v/>
      </c>
      <c r="T102" s="60">
        <f>IF(A102&gt;HU_T,T101,T101*(1+INDEX(HU_ssG,HU_age+A102-17)))</f>
        <v/>
      </c>
      <c r="U102" s="29">
        <f>IF(AND(HU_dtr&gt;=1,A102=HU_dtr,A102&lt;=HU_T),MIN(S102*INDEX(HU_ssC,HU_age+A102-17)/(1-INDEX(HU_ssC,HU_age+A102-17)),INDEX(HU_ssCap,HU_age+A102-17))*T102,0)</f>
        <v/>
      </c>
      <c r="V102" s="29">
        <f>S102+U102+IF(AND(HU_wdOn,A102=HU_wdYear),HU_wdIncome,0)</f>
        <v/>
      </c>
      <c r="W102" s="60">
        <f>HU_ciProp*Q102+HU_tpdCut*L102+HU_disCut*O102</f>
        <v/>
      </c>
      <c r="X102" s="29">
        <f>IF(OR(A102&lt;1,A102&gt;HU_T),0,V102*(1-W102))</f>
        <v/>
      </c>
      <c r="Y102" s="29">
        <f>IF(OR(A102&lt;1,A102&gt;HU_T),0,IF(AND(HU_retExp&gt;0,A102-1&gt;=HU_dtr),HU_retExp,HU_exp0)*R102)</f>
        <v/>
      </c>
      <c r="Z102" s="29">
        <f>-Y102-IF(AND(HU_wdOn,A102=HU_wdYear),HU_wdOut,0)</f>
        <v/>
      </c>
      <c r="AA102" s="29">
        <f>IF(OR(A102&lt;1,A102&gt;HU_T),0,-HU_medCost*R102*F102-HU_tpdCost*R102*M102)</f>
        <v/>
      </c>
      <c r="AB102" s="29">
        <f>IF(A102&gt;HU_T,0,AB101*(1+interestRate)+X102+Z102+AA102)</f>
        <v/>
      </c>
      <c r="AC102" s="29">
        <f>IF(A102&gt;HU_T,0,HU_inv*EXP(HU_mu*A102))</f>
        <v/>
      </c>
      <c r="AD102" s="29">
        <f>IF(A102&gt;HU_T,0,MAX(0,AC102+AB102))</f>
        <v/>
      </c>
      <c r="AE102" s="29">
        <f>IF(A102&gt;HU_T,0,MAX(0,X102-Y102))</f>
        <v/>
      </c>
      <c r="AF102" s="63">
        <f>IF(AND($J$6,A102&gt;=1,A102&lt;=$Q$6-1),J102,0)</f>
        <v/>
      </c>
      <c r="AG102" s="29">
        <f>IF(OR(AF102=0,$S$6=0),0,IF((AD102+$L$6)&gt;$S$6/HU_alpha+$K$6,0.5*$S$6/HU_alpha,IF((AD102+$L$6)&gt;=$K$6,((AD102+$L$6)-$K$6)-0.5*HU_alpha/$S$6*((AD102+$L$6)-$K$6)^2,IF((AD102+$L$6)&gt;=$T$6,HU_beta*((AD102+$L$6)-$K$6),HU_beta*($T$6-$K$6)))))</f>
        <v/>
      </c>
      <c r="AH102" s="29">
        <f>IF(OR(AF102=0,$S$6=0),0,IF((AD102+$L$6+$N$6)&gt;$S$6/HU_alpha+$K$6,0.5*$S$6/HU_alpha,IF((AD102+$L$6+$N$6)&gt;=$K$6,((AD102+$L$6+$N$6)-$K$6)-0.5*HU_alpha/$S$6*((AD102+$L$6+$N$6)-$K$6)^2,IF((AD102+$L$6+$N$6)&gt;=$T$6,HU_beta*((AD102+$L$6+$N$6)-$K$6),HU_beta*($T$6-$K$6)))))</f>
        <v/>
      </c>
      <c r="AI102" s="29">
        <f>IF(OR(AF102=0,$S$6=0),0,IF((AD102+$K$6)&gt;$S$6/HU_alpha+$K$6,0.5*$S$6/HU_alpha,IF((AD102+$K$6)&gt;=$K$6,((AD102+$K$6)-$K$6)-0.5*HU_alpha/$S$6*((AD102+$K$6)-$K$6)^2,IF((AD102+$K$6)&gt;=$T$6,HU_beta*((AD102+$K$6)-$K$6),HU_beta*($T$6-$K$6)))))</f>
        <v/>
      </c>
      <c r="AJ102" s="63">
        <f>IF(AND($J$7,A102&gt;=1,A102&lt;=$Q$7-1),J102,0)</f>
        <v/>
      </c>
      <c r="AK102" s="29">
        <f>IF(OR(AJ102=0,$S$7=0),0,IF((AE102+$L$7)&gt;$S$7/HU_alpha+$K$7,0.5*$S$7/HU_alpha,IF((AE102+$L$7)&gt;=$K$7,((AE102+$L$7)-$K$7)-0.5*HU_alpha/$S$7*((AE102+$L$7)-$K$7)^2,IF((AE102+$L$7)&gt;=$T$7,HU_beta*((AE102+$L$7)-$K$7),HU_beta*($T$7-$K$7)))))</f>
        <v/>
      </c>
      <c r="AL102" s="29">
        <f>IF(OR(AJ102=0,$S$7=0),0,IF((AE102+$L$7+$N$7)&gt;$S$7/HU_alpha+$K$7,0.5*$S$7/HU_alpha,IF((AE102+$L$7+$N$7)&gt;=$K$7,((AE102+$L$7+$N$7)-$K$7)-0.5*HU_alpha/$S$7*((AE102+$L$7+$N$7)-$K$7)^2,IF((AE102+$L$7+$N$7)&gt;=$T$7,HU_beta*((AE102+$L$7+$N$7)-$K$7),HU_beta*($T$7-$K$7)))))</f>
        <v/>
      </c>
      <c r="AM102" s="29">
        <f>IF(OR(AJ102=0,$S$7=0),0,IF((AE102+$K$7)&gt;$S$7/HU_alpha+$K$7,0.5*$S$7/HU_alpha,IF((AE102+$K$7)&gt;=$K$7,((AE102+$K$7)-$K$7)-0.5*HU_alpha/$S$7*((AE102+$K$7)-$K$7)^2,IF((AE102+$K$7)&gt;=$T$7,HU_beta*((AE102+$K$7)-$K$7),HU_beta*($T$7-$K$7)))))</f>
        <v/>
      </c>
      <c r="AN102" s="63">
        <f>IF(AND($J$8,A102&gt;=1,A102&lt;=$Q$8-1),J102,0)</f>
        <v/>
      </c>
      <c r="AO102" s="29">
        <f>IF(OR(AN102=0,$S$8=0),0,IF((AE102+$L$8)&gt;$S$8/HU_alpha+$K$8,0.5*$S$8/HU_alpha,IF((AE102+$L$8)&gt;=$K$8,((AE102+$L$8)-$K$8)-0.5*HU_alpha/$S$8*((AE102+$L$8)-$K$8)^2,IF((AE102+$L$8)&gt;=$T$8,HU_beta*((AE102+$L$8)-$K$8),HU_beta*($T$8-$K$8)))))</f>
        <v/>
      </c>
      <c r="AP102" s="29">
        <f>IF(OR(AN102=0,$S$8=0),0,IF((AE102+$L$8+$N$8)&gt;$S$8/HU_alpha+$K$8,0.5*$S$8/HU_alpha,IF((AE102+$L$8+$N$8)&gt;=$K$8,((AE102+$L$8+$N$8)-$K$8)-0.5*HU_alpha/$S$8*((AE102+$L$8+$N$8)-$K$8)^2,IF((AE102+$L$8+$N$8)&gt;=$T$8,HU_beta*((AE102+$L$8+$N$8)-$K$8),HU_beta*($T$8-$K$8)))))</f>
        <v/>
      </c>
      <c r="AQ102" s="29">
        <f>IF(OR(AN102=0,$S$8=0),0,IF((AE102+$K$8)&gt;$S$8/HU_alpha+$K$8,0.5*$S$8/HU_alpha,IF((AE102+$K$8)&gt;=$K$8,((AE102+$K$8)-$K$8)-0.5*HU_alpha/$S$8*((AE102+$K$8)-$K$8)^2,IF((AE102+$K$8)&gt;=$T$8,HU_beta*((AE102+$K$8)-$K$8),HU_beta*($T$8-$K$8)))))</f>
        <v/>
      </c>
      <c r="AR102" s="63">
        <f>IF(AND($J$9,A102&gt;=1,A102&lt;=$Q$9-1),J102,0)</f>
        <v/>
      </c>
      <c r="AS102" s="29">
        <f>IF(OR(AR102=0,$S$9=0),0,IF((AE102+$L$9)&gt;$S$9/HU_alpha+$K$9,0.5*$S$9/HU_alpha,IF((AE102+$L$9)&gt;=$K$9,((AE102+$L$9)-$K$9)-0.5*HU_alpha/$S$9*((AE102+$L$9)-$K$9)^2,IF((AE102+$L$9)&gt;=$T$9,HU_beta*((AE102+$L$9)-$K$9),HU_beta*($T$9-$K$9)))))</f>
        <v/>
      </c>
      <c r="AT102" s="29">
        <f>IF(OR(AR102=0,$S$9=0),0,IF((AE102+$L$9+$N$9)&gt;$S$9/HU_alpha+$K$9,0.5*$S$9/HU_alpha,IF((AE102+$L$9+$N$9)&gt;=$K$9,((AE102+$L$9+$N$9)-$K$9)-0.5*HU_alpha/$S$9*((AE102+$L$9+$N$9)-$K$9)^2,IF((AE102+$L$9+$N$9)&gt;=$T$9,HU_beta*((AE102+$L$9+$N$9)-$K$9),HU_beta*($T$9-$K$9)))))</f>
        <v/>
      </c>
      <c r="AU102" s="29">
        <f>IF(OR(AR102=0,$S$9=0),0,IF((AE102+$K$9)&gt;$S$9/HU_alpha+$K$9,0.5*$S$9/HU_alpha,IF((AE102+$K$9)&gt;=$K$9,((AE102+$K$9)-$K$9)-0.5*HU_alpha/$S$9*((AE102+$K$9)-$K$9)^2,IF((AE102+$K$9)&gt;=$T$9,HU_beta*((AE102+$K$9)-$K$9),HU_beta*($T$9-$K$9)))))</f>
        <v/>
      </c>
      <c r="AV102" s="63">
        <f>IF(AND($J$10,A102=$Q$10),J102,0)</f>
        <v/>
      </c>
      <c r="AW102" s="29">
        <f>IF(OR(AV102=0,$S$10=0),0,IF((AD102+$L$10)&gt;$S$10/HU_alpha+$K$10,0.5*$S$10/HU_alpha,IF((AD102+$L$10)&gt;=$K$10,((AD102+$L$10)-$K$10)-0.5*HU_alpha/$S$10*((AD102+$L$10)-$K$10)^2,IF((AD102+$L$10)&gt;=$T$10,HU_beta*((AD102+$L$10)-$K$10),HU_beta*($T$10-$K$10)))))</f>
        <v/>
      </c>
      <c r="AX102" s="29">
        <f>IF(OR(AV102=0,$S$10=0),0,IF((AD102+$L$10+$N$10)&gt;$S$10/HU_alpha+$K$10,0.5*$S$10/HU_alpha,IF((AD102+$L$10+$N$10)&gt;=$K$10,((AD102+$L$10+$N$10)-$K$10)-0.5*HU_alpha/$S$10*((AD102+$L$10+$N$10)-$K$10)^2,IF((AD102+$L$10+$N$10)&gt;=$T$10,HU_beta*((AD102+$L$10+$N$10)-$K$10),HU_beta*($T$10-$K$10)))))</f>
        <v/>
      </c>
      <c r="AY102" s="29">
        <f>IF(OR(AV102=0,$S$10=0),0,IF((AD102+$K$10)&gt;$S$10/HU_alpha+$K$10,0.5*$S$10/HU_alpha,IF((AD102+$K$10)&gt;=$K$10,((AD102+$K$10)-$K$10)-0.5*HU_alpha/$S$10*((AD102+$K$10)-$K$10)^2,IF((AD102+$K$10)&gt;=$T$10,HU_beta*((AD102+$K$10)-$K$10),HU_beta*($T$10-$K$10)))))</f>
        <v/>
      </c>
      <c r="AZ102" s="63">
        <f>IF(AND($J$11,A102=$Q$11),J102,0)</f>
        <v/>
      </c>
      <c r="BA102" s="29">
        <f>IF(OR(AZ102=0,$S$11=0),0,IF((AE102+$L$11)&gt;$S$11/HU_alpha+$K$11,0.5*$S$11/HU_alpha,IF((AE102+$L$11)&gt;=$K$11,((AE102+$L$11)-$K$11)-0.5*HU_alpha/$S$11*((AE102+$L$11)-$K$11)^2,IF((AE102+$L$11)&gt;=$T$11,HU_beta*((AE102+$L$11)-$K$11),HU_beta*($T$11-$K$11)))))</f>
        <v/>
      </c>
      <c r="BB102" s="29">
        <f>IF(OR(AZ102=0,$S$11=0),0,IF((AE102+$L$11+$N$11)&gt;$S$11/HU_alpha+$K$11,0.5*$S$11/HU_alpha,IF((AE102+$L$11+$N$11)&gt;=$K$11,((AE102+$L$11+$N$11)-$K$11)-0.5*HU_alpha/$S$11*((AE102+$L$11+$N$11)-$K$11)^2,IF((AE102+$L$11+$N$11)&gt;=$T$11,HU_beta*((AE102+$L$11+$N$11)-$K$11),HU_beta*($T$11-$K$11)))))</f>
        <v/>
      </c>
      <c r="BC102" s="29">
        <f>IF(OR(AZ102=0,$S$11=0),0,IF((AE102+$K$11)&gt;$S$11/HU_alpha+$K$11,0.5*$S$11/HU_alpha,IF((AE102+$K$11)&gt;=$K$11,((AE102+$K$11)-$K$11)-0.5*HU_alpha/$S$11*((AE102+$K$11)-$K$11)^2,IF((AE102+$K$11)&gt;=$T$11,HU_beta*((AE102+$K$11)-$K$11),HU_beta*($T$11-$K$11)))))</f>
        <v/>
      </c>
      <c r="BD102" s="63">
        <f>IF(AND($J$12,A102=$Q$12),J102,0)</f>
        <v/>
      </c>
      <c r="BE102" s="29">
        <f>IF(OR(BD102=0,$S$12=0),0,IF((AE102+$L$12)&gt;$S$12/HU_alpha+$K$12,0.5*$S$12/HU_alpha,IF((AE102+$L$12)&gt;=$K$12,((AE102+$L$12)-$K$12)-0.5*HU_alpha/$S$12*((AE102+$L$12)-$K$12)^2,IF((AE102+$L$12)&gt;=$T$12,HU_beta*((AE102+$L$12)-$K$12),HU_beta*($T$12-$K$12)))))</f>
        <v/>
      </c>
      <c r="BF102" s="29">
        <f>IF(OR(BD102=0,$S$12=0),0,IF((AE102+$L$12+$N$12)&gt;$S$12/HU_alpha+$K$12,0.5*$S$12/HU_alpha,IF((AE102+$L$12+$N$12)&gt;=$K$12,((AE102+$L$12+$N$12)-$K$12)-0.5*HU_alpha/$S$12*((AE102+$L$12+$N$12)-$K$12)^2,IF((AE102+$L$12+$N$12)&gt;=$T$12,HU_beta*((AE102+$L$12+$N$12)-$K$12),HU_beta*($T$12-$K$12)))))</f>
        <v/>
      </c>
      <c r="BG102" s="29">
        <f>IF(OR(BD102=0,$S$12=0),0,IF((AE102+$K$12)&gt;$S$12/HU_alpha+$K$12,0.5*$S$12/HU_alpha,IF((AE102+$K$12)&gt;=$K$12,((AE102+$K$12)-$K$12)-0.5*HU_alpha/$S$12*((AE102+$K$12)-$K$12)^2,IF((AE102+$K$12)&gt;=$T$12,HU_beta*((AE102+$K$12)-$K$12),HU_beta*($T$12-$K$12)))))</f>
        <v/>
      </c>
      <c r="BH102" s="63">
        <f>IF(AND($J$13,A102=$Q$13),J102,0)</f>
        <v/>
      </c>
      <c r="BI102" s="29">
        <f>IF(OR(BH102=0,$S$13=0),0,IF((AE102+$L$13)&gt;$S$13/HU_alpha+$K$13,0.5*$S$13/HU_alpha,IF((AE102+$L$13)&gt;=$K$13,((AE102+$L$13)-$K$13)-0.5*HU_alpha/$S$13*((AE102+$L$13)-$K$13)^2,IF((AE102+$L$13)&gt;=$T$13,HU_beta*((AE102+$L$13)-$K$13),HU_beta*($T$13-$K$13)))))</f>
        <v/>
      </c>
      <c r="BJ102" s="29">
        <f>IF(OR(BH102=0,$S$13=0),0,IF((AE102+$L$13+$N$13)&gt;$S$13/HU_alpha+$K$13,0.5*$S$13/HU_alpha,IF((AE102+$L$13+$N$13)&gt;=$K$13,((AE102+$L$13+$N$13)-$K$13)-0.5*HU_alpha/$S$13*((AE102+$L$13+$N$13)-$K$13)^2,IF((AE102+$L$13+$N$13)&gt;=$T$13,HU_beta*((AE102+$L$13+$N$13)-$K$13),HU_beta*($T$13-$K$13)))))</f>
        <v/>
      </c>
      <c r="BK102" s="29">
        <f>IF(OR(BH102=0,$S$13=0),0,IF((AE102+$K$13)&gt;$S$13/HU_alpha+$K$13,0.5*$S$13/HU_alpha,IF((AE102+$K$13)&gt;=$K$13,((AE102+$K$13)-$K$13)-0.5*HU_alpha/$S$13*((AE102+$K$13)-$K$13)^2,IF((AE102+$K$13)&gt;=$T$13,HU_beta*((AE102+$K$13)-$K$13),HU_beta*($T$13-$K$13)))))</f>
        <v/>
      </c>
    </row>
    <row r="103">
      <c r="A103" s="61" t="n">
        <v>35</v>
      </c>
      <c r="B103" s="61">
        <f>HU_age+A103</f>
        <v/>
      </c>
      <c r="C103" s="52">
        <f>A103&lt;=HU_T</f>
        <v/>
      </c>
      <c r="D103" s="63">
        <f>IF(OR(A103&lt;1,A103&gt;HU_T),0,INDEX(HU_q_mort,HU_age+A103-17,HU_col))</f>
        <v/>
      </c>
      <c r="E103" s="63">
        <f>IF(OR(A103&lt;1,A103&gt;HU_T),0,INDEX(HU_q_adb,HU_age+A103-17,HU_col))</f>
        <v/>
      </c>
      <c r="F103" s="63">
        <f>IF(OR(A103&lt;1,A103&gt;HU_T),0,INDEX(HU_q_morb,HU_age+A103-17,HU_col))</f>
        <v/>
      </c>
      <c r="G103" s="63">
        <f>IF(OR(A103&lt;1,A103&gt;HU_T),0,INDEX(HU_q_ptd,HU_age+A103-17,HU_col))</f>
        <v/>
      </c>
      <c r="H103" s="63">
        <f>IF(OR(A103&lt;1,A103&gt;HU_T),0,INDEX(HU_q_dis,HU_age+A103-17,HU_col))</f>
        <v/>
      </c>
      <c r="I103" s="63">
        <f>IF(A103&gt;HU_T,0,I102*(1-D103)*(1-E103))</f>
        <v/>
      </c>
      <c r="J103" s="63">
        <f>IF(A103&gt;=HU_T,0,N(I104))</f>
        <v/>
      </c>
      <c r="K103" s="63">
        <f>K102*(1-G103)</f>
        <v/>
      </c>
      <c r="L103" s="63">
        <f>1-K103</f>
        <v/>
      </c>
      <c r="M103" s="63">
        <f>K102*G103</f>
        <v/>
      </c>
      <c r="N103" s="63">
        <f>N102*(1-H103)</f>
        <v/>
      </c>
      <c r="O103" s="63">
        <f>1-N102</f>
        <v/>
      </c>
      <c r="P103" s="63">
        <f>P102*(1-F103)</f>
        <v/>
      </c>
      <c r="Q103" s="63">
        <f>1-P102/INDEX($P$68:$P$150,MAX(1,A103-HU_ciYears))</f>
        <v/>
      </c>
      <c r="R103" s="60">
        <f>(1+inflationRate)^A103</f>
        <v/>
      </c>
      <c r="S103" s="29">
        <f>IF(OR(OR(A103&lt;1,A103&gt;HU_T),A103-1&gt;=HU_dtr),0,HU_inc0*(1+incomeGrowthRate)^A103)</f>
        <v/>
      </c>
      <c r="T103" s="60">
        <f>IF(A103&gt;HU_T,T102,T102*(1+INDEX(HU_ssG,HU_age+A103-17)))</f>
        <v/>
      </c>
      <c r="U103" s="29">
        <f>IF(AND(HU_dtr&gt;=1,A103=HU_dtr,A103&lt;=HU_T),MIN(S103*INDEX(HU_ssC,HU_age+A103-17)/(1-INDEX(HU_ssC,HU_age+A103-17)),INDEX(HU_ssCap,HU_age+A103-17))*T103,0)</f>
        <v/>
      </c>
      <c r="V103" s="29">
        <f>S103+U103+IF(AND(HU_wdOn,A103=HU_wdYear),HU_wdIncome,0)</f>
        <v/>
      </c>
      <c r="W103" s="60">
        <f>HU_ciProp*Q103+HU_tpdCut*L103+HU_disCut*O103</f>
        <v/>
      </c>
      <c r="X103" s="29">
        <f>IF(OR(A103&lt;1,A103&gt;HU_T),0,V103*(1-W103))</f>
        <v/>
      </c>
      <c r="Y103" s="29">
        <f>IF(OR(A103&lt;1,A103&gt;HU_T),0,IF(AND(HU_retExp&gt;0,A103-1&gt;=HU_dtr),HU_retExp,HU_exp0)*R103)</f>
        <v/>
      </c>
      <c r="Z103" s="29">
        <f>-Y103-IF(AND(HU_wdOn,A103=HU_wdYear),HU_wdOut,0)</f>
        <v/>
      </c>
      <c r="AA103" s="29">
        <f>IF(OR(A103&lt;1,A103&gt;HU_T),0,-HU_medCost*R103*F103-HU_tpdCost*R103*M103)</f>
        <v/>
      </c>
      <c r="AB103" s="29">
        <f>IF(A103&gt;HU_T,0,AB102*(1+interestRate)+X103+Z103+AA103)</f>
        <v/>
      </c>
      <c r="AC103" s="29">
        <f>IF(A103&gt;HU_T,0,HU_inv*EXP(HU_mu*A103))</f>
        <v/>
      </c>
      <c r="AD103" s="29">
        <f>IF(A103&gt;HU_T,0,MAX(0,AC103+AB103))</f>
        <v/>
      </c>
      <c r="AE103" s="29">
        <f>IF(A103&gt;HU_T,0,MAX(0,X103-Y103))</f>
        <v/>
      </c>
      <c r="AF103" s="63">
        <f>IF(AND($J$6,A103&gt;=1,A103&lt;=$Q$6-1),J103,0)</f>
        <v/>
      </c>
      <c r="AG103" s="29">
        <f>IF(OR(AF103=0,$S$6=0),0,IF((AD103+$L$6)&gt;$S$6/HU_alpha+$K$6,0.5*$S$6/HU_alpha,IF((AD103+$L$6)&gt;=$K$6,((AD103+$L$6)-$K$6)-0.5*HU_alpha/$S$6*((AD103+$L$6)-$K$6)^2,IF((AD103+$L$6)&gt;=$T$6,HU_beta*((AD103+$L$6)-$K$6),HU_beta*($T$6-$K$6)))))</f>
        <v/>
      </c>
      <c r="AH103" s="29">
        <f>IF(OR(AF103=0,$S$6=0),0,IF((AD103+$L$6+$N$6)&gt;$S$6/HU_alpha+$K$6,0.5*$S$6/HU_alpha,IF((AD103+$L$6+$N$6)&gt;=$K$6,((AD103+$L$6+$N$6)-$K$6)-0.5*HU_alpha/$S$6*((AD103+$L$6+$N$6)-$K$6)^2,IF((AD103+$L$6+$N$6)&gt;=$T$6,HU_beta*((AD103+$L$6+$N$6)-$K$6),HU_beta*($T$6-$K$6)))))</f>
        <v/>
      </c>
      <c r="AI103" s="29">
        <f>IF(OR(AF103=0,$S$6=0),0,IF((AD103+$K$6)&gt;$S$6/HU_alpha+$K$6,0.5*$S$6/HU_alpha,IF((AD103+$K$6)&gt;=$K$6,((AD103+$K$6)-$K$6)-0.5*HU_alpha/$S$6*((AD103+$K$6)-$K$6)^2,IF((AD103+$K$6)&gt;=$T$6,HU_beta*((AD103+$K$6)-$K$6),HU_beta*($T$6-$K$6)))))</f>
        <v/>
      </c>
      <c r="AJ103" s="63">
        <f>IF(AND($J$7,A103&gt;=1,A103&lt;=$Q$7-1),J103,0)</f>
        <v/>
      </c>
      <c r="AK103" s="29">
        <f>IF(OR(AJ103=0,$S$7=0),0,IF((AE103+$L$7)&gt;$S$7/HU_alpha+$K$7,0.5*$S$7/HU_alpha,IF((AE103+$L$7)&gt;=$K$7,((AE103+$L$7)-$K$7)-0.5*HU_alpha/$S$7*((AE103+$L$7)-$K$7)^2,IF((AE103+$L$7)&gt;=$T$7,HU_beta*((AE103+$L$7)-$K$7),HU_beta*($T$7-$K$7)))))</f>
        <v/>
      </c>
      <c r="AL103" s="29">
        <f>IF(OR(AJ103=0,$S$7=0),0,IF((AE103+$L$7+$N$7)&gt;$S$7/HU_alpha+$K$7,0.5*$S$7/HU_alpha,IF((AE103+$L$7+$N$7)&gt;=$K$7,((AE103+$L$7+$N$7)-$K$7)-0.5*HU_alpha/$S$7*((AE103+$L$7+$N$7)-$K$7)^2,IF((AE103+$L$7+$N$7)&gt;=$T$7,HU_beta*((AE103+$L$7+$N$7)-$K$7),HU_beta*($T$7-$K$7)))))</f>
        <v/>
      </c>
      <c r="AM103" s="29">
        <f>IF(OR(AJ103=0,$S$7=0),0,IF((AE103+$K$7)&gt;$S$7/HU_alpha+$K$7,0.5*$S$7/HU_alpha,IF((AE103+$K$7)&gt;=$K$7,((AE103+$K$7)-$K$7)-0.5*HU_alpha/$S$7*((AE103+$K$7)-$K$7)^2,IF((AE103+$K$7)&gt;=$T$7,HU_beta*((AE103+$K$7)-$K$7),HU_beta*($T$7-$K$7)))))</f>
        <v/>
      </c>
      <c r="AN103" s="63">
        <f>IF(AND($J$8,A103&gt;=1,A103&lt;=$Q$8-1),J103,0)</f>
        <v/>
      </c>
      <c r="AO103" s="29">
        <f>IF(OR(AN103=0,$S$8=0),0,IF((AE103+$L$8)&gt;$S$8/HU_alpha+$K$8,0.5*$S$8/HU_alpha,IF((AE103+$L$8)&gt;=$K$8,((AE103+$L$8)-$K$8)-0.5*HU_alpha/$S$8*((AE103+$L$8)-$K$8)^2,IF((AE103+$L$8)&gt;=$T$8,HU_beta*((AE103+$L$8)-$K$8),HU_beta*($T$8-$K$8)))))</f>
        <v/>
      </c>
      <c r="AP103" s="29">
        <f>IF(OR(AN103=0,$S$8=0),0,IF((AE103+$L$8+$N$8)&gt;$S$8/HU_alpha+$K$8,0.5*$S$8/HU_alpha,IF((AE103+$L$8+$N$8)&gt;=$K$8,((AE103+$L$8+$N$8)-$K$8)-0.5*HU_alpha/$S$8*((AE103+$L$8+$N$8)-$K$8)^2,IF((AE103+$L$8+$N$8)&gt;=$T$8,HU_beta*((AE103+$L$8+$N$8)-$K$8),HU_beta*($T$8-$K$8)))))</f>
        <v/>
      </c>
      <c r="AQ103" s="29">
        <f>IF(OR(AN103=0,$S$8=0),0,IF((AE103+$K$8)&gt;$S$8/HU_alpha+$K$8,0.5*$S$8/HU_alpha,IF((AE103+$K$8)&gt;=$K$8,((AE103+$K$8)-$K$8)-0.5*HU_alpha/$S$8*((AE103+$K$8)-$K$8)^2,IF((AE103+$K$8)&gt;=$T$8,HU_beta*((AE103+$K$8)-$K$8),HU_beta*($T$8-$K$8)))))</f>
        <v/>
      </c>
      <c r="AR103" s="63">
        <f>IF(AND($J$9,A103&gt;=1,A103&lt;=$Q$9-1),J103,0)</f>
        <v/>
      </c>
      <c r="AS103" s="29">
        <f>IF(OR(AR103=0,$S$9=0),0,IF((AE103+$L$9)&gt;$S$9/HU_alpha+$K$9,0.5*$S$9/HU_alpha,IF((AE103+$L$9)&gt;=$K$9,((AE103+$L$9)-$K$9)-0.5*HU_alpha/$S$9*((AE103+$L$9)-$K$9)^2,IF((AE103+$L$9)&gt;=$T$9,HU_beta*((AE103+$L$9)-$K$9),HU_beta*($T$9-$K$9)))))</f>
        <v/>
      </c>
      <c r="AT103" s="29">
        <f>IF(OR(AR103=0,$S$9=0),0,IF((AE103+$L$9+$N$9)&gt;$S$9/HU_alpha+$K$9,0.5*$S$9/HU_alpha,IF((AE103+$L$9+$N$9)&gt;=$K$9,((AE103+$L$9+$N$9)-$K$9)-0.5*HU_alpha/$S$9*((AE103+$L$9+$N$9)-$K$9)^2,IF((AE103+$L$9+$N$9)&gt;=$T$9,HU_beta*((AE103+$L$9+$N$9)-$K$9),HU_beta*($T$9-$K$9)))))</f>
        <v/>
      </c>
      <c r="AU103" s="29">
        <f>IF(OR(AR103=0,$S$9=0),0,IF((AE103+$K$9)&gt;$S$9/HU_alpha+$K$9,0.5*$S$9/HU_alpha,IF((AE103+$K$9)&gt;=$K$9,((AE103+$K$9)-$K$9)-0.5*HU_alpha/$S$9*((AE103+$K$9)-$K$9)^2,IF((AE103+$K$9)&gt;=$T$9,HU_beta*((AE103+$K$9)-$K$9),HU_beta*($T$9-$K$9)))))</f>
        <v/>
      </c>
      <c r="AV103" s="63">
        <f>IF(AND($J$10,A103=$Q$10),J103,0)</f>
        <v/>
      </c>
      <c r="AW103" s="29">
        <f>IF(OR(AV103=0,$S$10=0),0,IF((AD103+$L$10)&gt;$S$10/HU_alpha+$K$10,0.5*$S$10/HU_alpha,IF((AD103+$L$10)&gt;=$K$10,((AD103+$L$10)-$K$10)-0.5*HU_alpha/$S$10*((AD103+$L$10)-$K$10)^2,IF((AD103+$L$10)&gt;=$T$10,HU_beta*((AD103+$L$10)-$K$10),HU_beta*($T$10-$K$10)))))</f>
        <v/>
      </c>
      <c r="AX103" s="29">
        <f>IF(OR(AV103=0,$S$10=0),0,IF((AD103+$L$10+$N$10)&gt;$S$10/HU_alpha+$K$10,0.5*$S$10/HU_alpha,IF((AD103+$L$10+$N$10)&gt;=$K$10,((AD103+$L$10+$N$10)-$K$10)-0.5*HU_alpha/$S$10*((AD103+$L$10+$N$10)-$K$10)^2,IF((AD103+$L$10+$N$10)&gt;=$T$10,HU_beta*((AD103+$L$10+$N$10)-$K$10),HU_beta*($T$10-$K$10)))))</f>
        <v/>
      </c>
      <c r="AY103" s="29">
        <f>IF(OR(AV103=0,$S$10=0),0,IF((AD103+$K$10)&gt;$S$10/HU_alpha+$K$10,0.5*$S$10/HU_alpha,IF((AD103+$K$10)&gt;=$K$10,((AD103+$K$10)-$K$10)-0.5*HU_alpha/$S$10*((AD103+$K$10)-$K$10)^2,IF((AD103+$K$10)&gt;=$T$10,HU_beta*((AD103+$K$10)-$K$10),HU_beta*($T$10-$K$10)))))</f>
        <v/>
      </c>
      <c r="AZ103" s="63">
        <f>IF(AND($J$11,A103=$Q$11),J103,0)</f>
        <v/>
      </c>
      <c r="BA103" s="29">
        <f>IF(OR(AZ103=0,$S$11=0),0,IF((AE103+$L$11)&gt;$S$11/HU_alpha+$K$11,0.5*$S$11/HU_alpha,IF((AE103+$L$11)&gt;=$K$11,((AE103+$L$11)-$K$11)-0.5*HU_alpha/$S$11*((AE103+$L$11)-$K$11)^2,IF((AE103+$L$11)&gt;=$T$11,HU_beta*((AE103+$L$11)-$K$11),HU_beta*($T$11-$K$11)))))</f>
        <v/>
      </c>
      <c r="BB103" s="29">
        <f>IF(OR(AZ103=0,$S$11=0),0,IF((AE103+$L$11+$N$11)&gt;$S$11/HU_alpha+$K$11,0.5*$S$11/HU_alpha,IF((AE103+$L$11+$N$11)&gt;=$K$11,((AE103+$L$11+$N$11)-$K$11)-0.5*HU_alpha/$S$11*((AE103+$L$11+$N$11)-$K$11)^2,IF((AE103+$L$11+$N$11)&gt;=$T$11,HU_beta*((AE103+$L$11+$N$11)-$K$11),HU_beta*($T$11-$K$11)))))</f>
        <v/>
      </c>
      <c r="BC103" s="29">
        <f>IF(OR(AZ103=0,$S$11=0),0,IF((AE103+$K$11)&gt;$S$11/HU_alpha+$K$11,0.5*$S$11/HU_alpha,IF((AE103+$K$11)&gt;=$K$11,((AE103+$K$11)-$K$11)-0.5*HU_alpha/$S$11*((AE103+$K$11)-$K$11)^2,IF((AE103+$K$11)&gt;=$T$11,HU_beta*((AE103+$K$11)-$K$11),HU_beta*($T$11-$K$11)))))</f>
        <v/>
      </c>
      <c r="BD103" s="63">
        <f>IF(AND($J$12,A103=$Q$12),J103,0)</f>
        <v/>
      </c>
      <c r="BE103" s="29">
        <f>IF(OR(BD103=0,$S$12=0),0,IF((AE103+$L$12)&gt;$S$12/HU_alpha+$K$12,0.5*$S$12/HU_alpha,IF((AE103+$L$12)&gt;=$K$12,((AE103+$L$12)-$K$12)-0.5*HU_alpha/$S$12*((AE103+$L$12)-$K$12)^2,IF((AE103+$L$12)&gt;=$T$12,HU_beta*((AE103+$L$12)-$K$12),HU_beta*($T$12-$K$12)))))</f>
        <v/>
      </c>
      <c r="BF103" s="29">
        <f>IF(OR(BD103=0,$S$12=0),0,IF((AE103+$L$12+$N$12)&gt;$S$12/HU_alpha+$K$12,0.5*$S$12/HU_alpha,IF((AE103+$L$12+$N$12)&gt;=$K$12,((AE103+$L$12+$N$12)-$K$12)-0.5*HU_alpha/$S$12*((AE103+$L$12+$N$12)-$K$12)^2,IF((AE103+$L$12+$N$12)&gt;=$T$12,HU_beta*((AE103+$L$12+$N$12)-$K$12),HU_beta*($T$12-$K$12)))))</f>
        <v/>
      </c>
      <c r="BG103" s="29">
        <f>IF(OR(BD103=0,$S$12=0),0,IF((AE103+$K$12)&gt;$S$12/HU_alpha+$K$12,0.5*$S$12/HU_alpha,IF((AE103+$K$12)&gt;=$K$12,((AE103+$K$12)-$K$12)-0.5*HU_alpha/$S$12*((AE103+$K$12)-$K$12)^2,IF((AE103+$K$12)&gt;=$T$12,HU_beta*((AE103+$K$12)-$K$12),HU_beta*($T$12-$K$12)))))</f>
        <v/>
      </c>
      <c r="BH103" s="63">
        <f>IF(AND($J$13,A103=$Q$13),J103,0)</f>
        <v/>
      </c>
      <c r="BI103" s="29">
        <f>IF(OR(BH103=0,$S$13=0),0,IF((AE103+$L$13)&gt;$S$13/HU_alpha+$K$13,0.5*$S$13/HU_alpha,IF((AE103+$L$13)&gt;=$K$13,((AE103+$L$13)-$K$13)-0.5*HU_alpha/$S$13*((AE103+$L$13)-$K$13)^2,IF((AE103+$L$13)&gt;=$T$13,HU_beta*((AE103+$L$13)-$K$13),HU_beta*($T$13-$K$13)))))</f>
        <v/>
      </c>
      <c r="BJ103" s="29">
        <f>IF(OR(BH103=0,$S$13=0),0,IF((AE103+$L$13+$N$13)&gt;$S$13/HU_alpha+$K$13,0.5*$S$13/HU_alpha,IF((AE103+$L$13+$N$13)&gt;=$K$13,((AE103+$L$13+$N$13)-$K$13)-0.5*HU_alpha/$S$13*((AE103+$L$13+$N$13)-$K$13)^2,IF((AE103+$L$13+$N$13)&gt;=$T$13,HU_beta*((AE103+$L$13+$N$13)-$K$13),HU_beta*($T$13-$K$13)))))</f>
        <v/>
      </c>
      <c r="BK103" s="29">
        <f>IF(OR(BH103=0,$S$13=0),0,IF((AE103+$K$13)&gt;$S$13/HU_alpha+$K$13,0.5*$S$13/HU_alpha,IF((AE103+$K$13)&gt;=$K$13,((AE103+$K$13)-$K$13)-0.5*HU_alpha/$S$13*((AE103+$K$13)-$K$13)^2,IF((AE103+$K$13)&gt;=$T$13,HU_beta*((AE103+$K$13)-$K$13),HU_beta*($T$13-$K$13)))))</f>
        <v/>
      </c>
    </row>
    <row r="104">
      <c r="A104" s="61" t="n">
        <v>36</v>
      </c>
      <c r="B104" s="61">
        <f>HU_age+A104</f>
        <v/>
      </c>
      <c r="C104" s="52">
        <f>A104&lt;=HU_T</f>
        <v/>
      </c>
      <c r="D104" s="63">
        <f>IF(OR(A104&lt;1,A104&gt;HU_T),0,INDEX(HU_q_mort,HU_age+A104-17,HU_col))</f>
        <v/>
      </c>
      <c r="E104" s="63">
        <f>IF(OR(A104&lt;1,A104&gt;HU_T),0,INDEX(HU_q_adb,HU_age+A104-17,HU_col))</f>
        <v/>
      </c>
      <c r="F104" s="63">
        <f>IF(OR(A104&lt;1,A104&gt;HU_T),0,INDEX(HU_q_morb,HU_age+A104-17,HU_col))</f>
        <v/>
      </c>
      <c r="G104" s="63">
        <f>IF(OR(A104&lt;1,A104&gt;HU_T),0,INDEX(HU_q_ptd,HU_age+A104-17,HU_col))</f>
        <v/>
      </c>
      <c r="H104" s="63">
        <f>IF(OR(A104&lt;1,A104&gt;HU_T),0,INDEX(HU_q_dis,HU_age+A104-17,HU_col))</f>
        <v/>
      </c>
      <c r="I104" s="63">
        <f>IF(A104&gt;HU_T,0,I103*(1-D104)*(1-E104))</f>
        <v/>
      </c>
      <c r="J104" s="63">
        <f>IF(A104&gt;=HU_T,0,N(I105))</f>
        <v/>
      </c>
      <c r="K104" s="63">
        <f>K103*(1-G104)</f>
        <v/>
      </c>
      <c r="L104" s="63">
        <f>1-K104</f>
        <v/>
      </c>
      <c r="M104" s="63">
        <f>K103*G104</f>
        <v/>
      </c>
      <c r="N104" s="63">
        <f>N103*(1-H104)</f>
        <v/>
      </c>
      <c r="O104" s="63">
        <f>1-N103</f>
        <v/>
      </c>
      <c r="P104" s="63">
        <f>P103*(1-F104)</f>
        <v/>
      </c>
      <c r="Q104" s="63">
        <f>1-P103/INDEX($P$68:$P$150,MAX(1,A104-HU_ciYears))</f>
        <v/>
      </c>
      <c r="R104" s="60">
        <f>(1+inflationRate)^A104</f>
        <v/>
      </c>
      <c r="S104" s="29">
        <f>IF(OR(OR(A104&lt;1,A104&gt;HU_T),A104-1&gt;=HU_dtr),0,HU_inc0*(1+incomeGrowthRate)^A104)</f>
        <v/>
      </c>
      <c r="T104" s="60">
        <f>IF(A104&gt;HU_T,T103,T103*(1+INDEX(HU_ssG,HU_age+A104-17)))</f>
        <v/>
      </c>
      <c r="U104" s="29">
        <f>IF(AND(HU_dtr&gt;=1,A104=HU_dtr,A104&lt;=HU_T),MIN(S104*INDEX(HU_ssC,HU_age+A104-17)/(1-INDEX(HU_ssC,HU_age+A104-17)),INDEX(HU_ssCap,HU_age+A104-17))*T104,0)</f>
        <v/>
      </c>
      <c r="V104" s="29">
        <f>S104+U104+IF(AND(HU_wdOn,A104=HU_wdYear),HU_wdIncome,0)</f>
        <v/>
      </c>
      <c r="W104" s="60">
        <f>HU_ciProp*Q104+HU_tpdCut*L104+HU_disCut*O104</f>
        <v/>
      </c>
      <c r="X104" s="29">
        <f>IF(OR(A104&lt;1,A104&gt;HU_T),0,V104*(1-W104))</f>
        <v/>
      </c>
      <c r="Y104" s="29">
        <f>IF(OR(A104&lt;1,A104&gt;HU_T),0,IF(AND(HU_retExp&gt;0,A104-1&gt;=HU_dtr),HU_retExp,HU_exp0)*R104)</f>
        <v/>
      </c>
      <c r="Z104" s="29">
        <f>-Y104-IF(AND(HU_wdOn,A104=HU_wdYear),HU_wdOut,0)</f>
        <v/>
      </c>
      <c r="AA104" s="29">
        <f>IF(OR(A104&lt;1,A104&gt;HU_T),0,-HU_medCost*R104*F104-HU_tpdCost*R104*M104)</f>
        <v/>
      </c>
      <c r="AB104" s="29">
        <f>IF(A104&gt;HU_T,0,AB103*(1+interestRate)+X104+Z104+AA104)</f>
        <v/>
      </c>
      <c r="AC104" s="29">
        <f>IF(A104&gt;HU_T,0,HU_inv*EXP(HU_mu*A104))</f>
        <v/>
      </c>
      <c r="AD104" s="29">
        <f>IF(A104&gt;HU_T,0,MAX(0,AC104+AB104))</f>
        <v/>
      </c>
      <c r="AE104" s="29">
        <f>IF(A104&gt;HU_T,0,MAX(0,X104-Y104))</f>
        <v/>
      </c>
      <c r="AF104" s="63">
        <f>IF(AND($J$6,A104&gt;=1,A104&lt;=$Q$6-1),J104,0)</f>
        <v/>
      </c>
      <c r="AG104" s="29">
        <f>IF(OR(AF104=0,$S$6=0),0,IF((AD104+$L$6)&gt;$S$6/HU_alpha+$K$6,0.5*$S$6/HU_alpha,IF((AD104+$L$6)&gt;=$K$6,((AD104+$L$6)-$K$6)-0.5*HU_alpha/$S$6*((AD104+$L$6)-$K$6)^2,IF((AD104+$L$6)&gt;=$T$6,HU_beta*((AD104+$L$6)-$K$6),HU_beta*($T$6-$K$6)))))</f>
        <v/>
      </c>
      <c r="AH104" s="29">
        <f>IF(OR(AF104=0,$S$6=0),0,IF((AD104+$L$6+$N$6)&gt;$S$6/HU_alpha+$K$6,0.5*$S$6/HU_alpha,IF((AD104+$L$6+$N$6)&gt;=$K$6,((AD104+$L$6+$N$6)-$K$6)-0.5*HU_alpha/$S$6*((AD104+$L$6+$N$6)-$K$6)^2,IF((AD104+$L$6+$N$6)&gt;=$T$6,HU_beta*((AD104+$L$6+$N$6)-$K$6),HU_beta*($T$6-$K$6)))))</f>
        <v/>
      </c>
      <c r="AI104" s="29">
        <f>IF(OR(AF104=0,$S$6=0),0,IF((AD104+$K$6)&gt;$S$6/HU_alpha+$K$6,0.5*$S$6/HU_alpha,IF((AD104+$K$6)&gt;=$K$6,((AD104+$K$6)-$K$6)-0.5*HU_alpha/$S$6*((AD104+$K$6)-$K$6)^2,IF((AD104+$K$6)&gt;=$T$6,HU_beta*((AD104+$K$6)-$K$6),HU_beta*($T$6-$K$6)))))</f>
        <v/>
      </c>
      <c r="AJ104" s="63">
        <f>IF(AND($J$7,A104&gt;=1,A104&lt;=$Q$7-1),J104,0)</f>
        <v/>
      </c>
      <c r="AK104" s="29">
        <f>IF(OR(AJ104=0,$S$7=0),0,IF((AE104+$L$7)&gt;$S$7/HU_alpha+$K$7,0.5*$S$7/HU_alpha,IF((AE104+$L$7)&gt;=$K$7,((AE104+$L$7)-$K$7)-0.5*HU_alpha/$S$7*((AE104+$L$7)-$K$7)^2,IF((AE104+$L$7)&gt;=$T$7,HU_beta*((AE104+$L$7)-$K$7),HU_beta*($T$7-$K$7)))))</f>
        <v/>
      </c>
      <c r="AL104" s="29">
        <f>IF(OR(AJ104=0,$S$7=0),0,IF((AE104+$L$7+$N$7)&gt;$S$7/HU_alpha+$K$7,0.5*$S$7/HU_alpha,IF((AE104+$L$7+$N$7)&gt;=$K$7,((AE104+$L$7+$N$7)-$K$7)-0.5*HU_alpha/$S$7*((AE104+$L$7+$N$7)-$K$7)^2,IF((AE104+$L$7+$N$7)&gt;=$T$7,HU_beta*((AE104+$L$7+$N$7)-$K$7),HU_beta*($T$7-$K$7)))))</f>
        <v/>
      </c>
      <c r="AM104" s="29">
        <f>IF(OR(AJ104=0,$S$7=0),0,IF((AE104+$K$7)&gt;$S$7/HU_alpha+$K$7,0.5*$S$7/HU_alpha,IF((AE104+$K$7)&gt;=$K$7,((AE104+$K$7)-$K$7)-0.5*HU_alpha/$S$7*((AE104+$K$7)-$K$7)^2,IF((AE104+$K$7)&gt;=$T$7,HU_beta*((AE104+$K$7)-$K$7),HU_beta*($T$7-$K$7)))))</f>
        <v/>
      </c>
      <c r="AN104" s="63">
        <f>IF(AND($J$8,A104&gt;=1,A104&lt;=$Q$8-1),J104,0)</f>
        <v/>
      </c>
      <c r="AO104" s="29">
        <f>IF(OR(AN104=0,$S$8=0),0,IF((AE104+$L$8)&gt;$S$8/HU_alpha+$K$8,0.5*$S$8/HU_alpha,IF((AE104+$L$8)&gt;=$K$8,((AE104+$L$8)-$K$8)-0.5*HU_alpha/$S$8*((AE104+$L$8)-$K$8)^2,IF((AE104+$L$8)&gt;=$T$8,HU_beta*((AE104+$L$8)-$K$8),HU_beta*($T$8-$K$8)))))</f>
        <v/>
      </c>
      <c r="AP104" s="29">
        <f>IF(OR(AN104=0,$S$8=0),0,IF((AE104+$L$8+$N$8)&gt;$S$8/HU_alpha+$K$8,0.5*$S$8/HU_alpha,IF((AE104+$L$8+$N$8)&gt;=$K$8,((AE104+$L$8+$N$8)-$K$8)-0.5*HU_alpha/$S$8*((AE104+$L$8+$N$8)-$K$8)^2,IF((AE104+$L$8+$N$8)&gt;=$T$8,HU_beta*((AE104+$L$8+$N$8)-$K$8),HU_beta*($T$8-$K$8)))))</f>
        <v/>
      </c>
      <c r="AQ104" s="29">
        <f>IF(OR(AN104=0,$S$8=0),0,IF((AE104+$K$8)&gt;$S$8/HU_alpha+$K$8,0.5*$S$8/HU_alpha,IF((AE104+$K$8)&gt;=$K$8,((AE104+$K$8)-$K$8)-0.5*HU_alpha/$S$8*((AE104+$K$8)-$K$8)^2,IF((AE104+$K$8)&gt;=$T$8,HU_beta*((AE104+$K$8)-$K$8),HU_beta*($T$8-$K$8)))))</f>
        <v/>
      </c>
      <c r="AR104" s="63">
        <f>IF(AND($J$9,A104&gt;=1,A104&lt;=$Q$9-1),J104,0)</f>
        <v/>
      </c>
      <c r="AS104" s="29">
        <f>IF(OR(AR104=0,$S$9=0),0,IF((AE104+$L$9)&gt;$S$9/HU_alpha+$K$9,0.5*$S$9/HU_alpha,IF((AE104+$L$9)&gt;=$K$9,((AE104+$L$9)-$K$9)-0.5*HU_alpha/$S$9*((AE104+$L$9)-$K$9)^2,IF((AE104+$L$9)&gt;=$T$9,HU_beta*((AE104+$L$9)-$K$9),HU_beta*($T$9-$K$9)))))</f>
        <v/>
      </c>
      <c r="AT104" s="29">
        <f>IF(OR(AR104=0,$S$9=0),0,IF((AE104+$L$9+$N$9)&gt;$S$9/HU_alpha+$K$9,0.5*$S$9/HU_alpha,IF((AE104+$L$9+$N$9)&gt;=$K$9,((AE104+$L$9+$N$9)-$K$9)-0.5*HU_alpha/$S$9*((AE104+$L$9+$N$9)-$K$9)^2,IF((AE104+$L$9+$N$9)&gt;=$T$9,HU_beta*((AE104+$L$9+$N$9)-$K$9),HU_beta*($T$9-$K$9)))))</f>
        <v/>
      </c>
      <c r="AU104" s="29">
        <f>IF(OR(AR104=0,$S$9=0),0,IF((AE104+$K$9)&gt;$S$9/HU_alpha+$K$9,0.5*$S$9/HU_alpha,IF((AE104+$K$9)&gt;=$K$9,((AE104+$K$9)-$K$9)-0.5*HU_alpha/$S$9*((AE104+$K$9)-$K$9)^2,IF((AE104+$K$9)&gt;=$T$9,HU_beta*((AE104+$K$9)-$K$9),HU_beta*($T$9-$K$9)))))</f>
        <v/>
      </c>
      <c r="AV104" s="63">
        <f>IF(AND($J$10,A104=$Q$10),J104,0)</f>
        <v/>
      </c>
      <c r="AW104" s="29">
        <f>IF(OR(AV104=0,$S$10=0),0,IF((AD104+$L$10)&gt;$S$10/HU_alpha+$K$10,0.5*$S$10/HU_alpha,IF((AD104+$L$10)&gt;=$K$10,((AD104+$L$10)-$K$10)-0.5*HU_alpha/$S$10*((AD104+$L$10)-$K$10)^2,IF((AD104+$L$10)&gt;=$T$10,HU_beta*((AD104+$L$10)-$K$10),HU_beta*($T$10-$K$10)))))</f>
        <v/>
      </c>
      <c r="AX104" s="29">
        <f>IF(OR(AV104=0,$S$10=0),0,IF((AD104+$L$10+$N$10)&gt;$S$10/HU_alpha+$K$10,0.5*$S$10/HU_alpha,IF((AD104+$L$10+$N$10)&gt;=$K$10,((AD104+$L$10+$N$10)-$K$10)-0.5*HU_alpha/$S$10*((AD104+$L$10+$N$10)-$K$10)^2,IF((AD104+$L$10+$N$10)&gt;=$T$10,HU_beta*((AD104+$L$10+$N$10)-$K$10),HU_beta*($T$10-$K$10)))))</f>
        <v/>
      </c>
      <c r="AY104" s="29">
        <f>IF(OR(AV104=0,$S$10=0),0,IF((AD104+$K$10)&gt;$S$10/HU_alpha+$K$10,0.5*$S$10/HU_alpha,IF((AD104+$K$10)&gt;=$K$10,((AD104+$K$10)-$K$10)-0.5*HU_alpha/$S$10*((AD104+$K$10)-$K$10)^2,IF((AD104+$K$10)&gt;=$T$10,HU_beta*((AD104+$K$10)-$K$10),HU_beta*($T$10-$K$10)))))</f>
        <v/>
      </c>
      <c r="AZ104" s="63">
        <f>IF(AND($J$11,A104=$Q$11),J104,0)</f>
        <v/>
      </c>
      <c r="BA104" s="29">
        <f>IF(OR(AZ104=0,$S$11=0),0,IF((AE104+$L$11)&gt;$S$11/HU_alpha+$K$11,0.5*$S$11/HU_alpha,IF((AE104+$L$11)&gt;=$K$11,((AE104+$L$11)-$K$11)-0.5*HU_alpha/$S$11*((AE104+$L$11)-$K$11)^2,IF((AE104+$L$11)&gt;=$T$11,HU_beta*((AE104+$L$11)-$K$11),HU_beta*($T$11-$K$11)))))</f>
        <v/>
      </c>
      <c r="BB104" s="29">
        <f>IF(OR(AZ104=0,$S$11=0),0,IF((AE104+$L$11+$N$11)&gt;$S$11/HU_alpha+$K$11,0.5*$S$11/HU_alpha,IF((AE104+$L$11+$N$11)&gt;=$K$11,((AE104+$L$11+$N$11)-$K$11)-0.5*HU_alpha/$S$11*((AE104+$L$11+$N$11)-$K$11)^2,IF((AE104+$L$11+$N$11)&gt;=$T$11,HU_beta*((AE104+$L$11+$N$11)-$K$11),HU_beta*($T$11-$K$11)))))</f>
        <v/>
      </c>
      <c r="BC104" s="29">
        <f>IF(OR(AZ104=0,$S$11=0),0,IF((AE104+$K$11)&gt;$S$11/HU_alpha+$K$11,0.5*$S$11/HU_alpha,IF((AE104+$K$11)&gt;=$K$11,((AE104+$K$11)-$K$11)-0.5*HU_alpha/$S$11*((AE104+$K$11)-$K$11)^2,IF((AE104+$K$11)&gt;=$T$11,HU_beta*((AE104+$K$11)-$K$11),HU_beta*($T$11-$K$11)))))</f>
        <v/>
      </c>
      <c r="BD104" s="63">
        <f>IF(AND($J$12,A104=$Q$12),J104,0)</f>
        <v/>
      </c>
      <c r="BE104" s="29">
        <f>IF(OR(BD104=0,$S$12=0),0,IF((AE104+$L$12)&gt;$S$12/HU_alpha+$K$12,0.5*$S$12/HU_alpha,IF((AE104+$L$12)&gt;=$K$12,((AE104+$L$12)-$K$12)-0.5*HU_alpha/$S$12*((AE104+$L$12)-$K$12)^2,IF((AE104+$L$12)&gt;=$T$12,HU_beta*((AE104+$L$12)-$K$12),HU_beta*($T$12-$K$12)))))</f>
        <v/>
      </c>
      <c r="BF104" s="29">
        <f>IF(OR(BD104=0,$S$12=0),0,IF((AE104+$L$12+$N$12)&gt;$S$12/HU_alpha+$K$12,0.5*$S$12/HU_alpha,IF((AE104+$L$12+$N$12)&gt;=$K$12,((AE104+$L$12+$N$12)-$K$12)-0.5*HU_alpha/$S$12*((AE104+$L$12+$N$12)-$K$12)^2,IF((AE104+$L$12+$N$12)&gt;=$T$12,HU_beta*((AE104+$L$12+$N$12)-$K$12),HU_beta*($T$12-$K$12)))))</f>
        <v/>
      </c>
      <c r="BG104" s="29">
        <f>IF(OR(BD104=0,$S$12=0),0,IF((AE104+$K$12)&gt;$S$12/HU_alpha+$K$12,0.5*$S$12/HU_alpha,IF((AE104+$K$12)&gt;=$K$12,((AE104+$K$12)-$K$12)-0.5*HU_alpha/$S$12*((AE104+$K$12)-$K$12)^2,IF((AE104+$K$12)&gt;=$T$12,HU_beta*((AE104+$K$12)-$K$12),HU_beta*($T$12-$K$12)))))</f>
        <v/>
      </c>
      <c r="BH104" s="63">
        <f>IF(AND($J$13,A104=$Q$13),J104,0)</f>
        <v/>
      </c>
      <c r="BI104" s="29">
        <f>IF(OR(BH104=0,$S$13=0),0,IF((AE104+$L$13)&gt;$S$13/HU_alpha+$K$13,0.5*$S$13/HU_alpha,IF((AE104+$L$13)&gt;=$K$13,((AE104+$L$13)-$K$13)-0.5*HU_alpha/$S$13*((AE104+$L$13)-$K$13)^2,IF((AE104+$L$13)&gt;=$T$13,HU_beta*((AE104+$L$13)-$K$13),HU_beta*($T$13-$K$13)))))</f>
        <v/>
      </c>
      <c r="BJ104" s="29">
        <f>IF(OR(BH104=0,$S$13=0),0,IF((AE104+$L$13+$N$13)&gt;$S$13/HU_alpha+$K$13,0.5*$S$13/HU_alpha,IF((AE104+$L$13+$N$13)&gt;=$K$13,((AE104+$L$13+$N$13)-$K$13)-0.5*HU_alpha/$S$13*((AE104+$L$13+$N$13)-$K$13)^2,IF((AE104+$L$13+$N$13)&gt;=$T$13,HU_beta*((AE104+$L$13+$N$13)-$K$13),HU_beta*($T$13-$K$13)))))</f>
        <v/>
      </c>
      <c r="BK104" s="29">
        <f>IF(OR(BH104=0,$S$13=0),0,IF((AE104+$K$13)&gt;$S$13/HU_alpha+$K$13,0.5*$S$13/HU_alpha,IF((AE104+$K$13)&gt;=$K$13,((AE104+$K$13)-$K$13)-0.5*HU_alpha/$S$13*((AE104+$K$13)-$K$13)^2,IF((AE104+$K$13)&gt;=$T$13,HU_beta*((AE104+$K$13)-$K$13),HU_beta*($T$13-$K$13)))))</f>
        <v/>
      </c>
    </row>
    <row r="105">
      <c r="A105" s="61" t="n">
        <v>37</v>
      </c>
      <c r="B105" s="61">
        <f>HU_age+A105</f>
        <v/>
      </c>
      <c r="C105" s="52">
        <f>A105&lt;=HU_T</f>
        <v/>
      </c>
      <c r="D105" s="63">
        <f>IF(OR(A105&lt;1,A105&gt;HU_T),0,INDEX(HU_q_mort,HU_age+A105-17,HU_col))</f>
        <v/>
      </c>
      <c r="E105" s="63">
        <f>IF(OR(A105&lt;1,A105&gt;HU_T),0,INDEX(HU_q_adb,HU_age+A105-17,HU_col))</f>
        <v/>
      </c>
      <c r="F105" s="63">
        <f>IF(OR(A105&lt;1,A105&gt;HU_T),0,INDEX(HU_q_morb,HU_age+A105-17,HU_col))</f>
        <v/>
      </c>
      <c r="G105" s="63">
        <f>IF(OR(A105&lt;1,A105&gt;HU_T),0,INDEX(HU_q_ptd,HU_age+A105-17,HU_col))</f>
        <v/>
      </c>
      <c r="H105" s="63">
        <f>IF(OR(A105&lt;1,A105&gt;HU_T),0,INDEX(HU_q_dis,HU_age+A105-17,HU_col))</f>
        <v/>
      </c>
      <c r="I105" s="63">
        <f>IF(A105&gt;HU_T,0,I104*(1-D105)*(1-E105))</f>
        <v/>
      </c>
      <c r="J105" s="63">
        <f>IF(A105&gt;=HU_T,0,N(I106))</f>
        <v/>
      </c>
      <c r="K105" s="63">
        <f>K104*(1-G105)</f>
        <v/>
      </c>
      <c r="L105" s="63">
        <f>1-K105</f>
        <v/>
      </c>
      <c r="M105" s="63">
        <f>K104*G105</f>
        <v/>
      </c>
      <c r="N105" s="63">
        <f>N104*(1-H105)</f>
        <v/>
      </c>
      <c r="O105" s="63">
        <f>1-N104</f>
        <v/>
      </c>
      <c r="P105" s="63">
        <f>P104*(1-F105)</f>
        <v/>
      </c>
      <c r="Q105" s="63">
        <f>1-P104/INDEX($P$68:$P$150,MAX(1,A105-HU_ciYears))</f>
        <v/>
      </c>
      <c r="R105" s="60">
        <f>(1+inflationRate)^A105</f>
        <v/>
      </c>
      <c r="S105" s="29">
        <f>IF(OR(OR(A105&lt;1,A105&gt;HU_T),A105-1&gt;=HU_dtr),0,HU_inc0*(1+incomeGrowthRate)^A105)</f>
        <v/>
      </c>
      <c r="T105" s="60">
        <f>IF(A105&gt;HU_T,T104,T104*(1+INDEX(HU_ssG,HU_age+A105-17)))</f>
        <v/>
      </c>
      <c r="U105" s="29">
        <f>IF(AND(HU_dtr&gt;=1,A105=HU_dtr,A105&lt;=HU_T),MIN(S105*INDEX(HU_ssC,HU_age+A105-17)/(1-INDEX(HU_ssC,HU_age+A105-17)),INDEX(HU_ssCap,HU_age+A105-17))*T105,0)</f>
        <v/>
      </c>
      <c r="V105" s="29">
        <f>S105+U105+IF(AND(HU_wdOn,A105=HU_wdYear),HU_wdIncome,0)</f>
        <v/>
      </c>
      <c r="W105" s="60">
        <f>HU_ciProp*Q105+HU_tpdCut*L105+HU_disCut*O105</f>
        <v/>
      </c>
      <c r="X105" s="29">
        <f>IF(OR(A105&lt;1,A105&gt;HU_T),0,V105*(1-W105))</f>
        <v/>
      </c>
      <c r="Y105" s="29">
        <f>IF(OR(A105&lt;1,A105&gt;HU_T),0,IF(AND(HU_retExp&gt;0,A105-1&gt;=HU_dtr),HU_retExp,HU_exp0)*R105)</f>
        <v/>
      </c>
      <c r="Z105" s="29">
        <f>-Y105-IF(AND(HU_wdOn,A105=HU_wdYear),HU_wdOut,0)</f>
        <v/>
      </c>
      <c r="AA105" s="29">
        <f>IF(OR(A105&lt;1,A105&gt;HU_T),0,-HU_medCost*R105*F105-HU_tpdCost*R105*M105)</f>
        <v/>
      </c>
      <c r="AB105" s="29">
        <f>IF(A105&gt;HU_T,0,AB104*(1+interestRate)+X105+Z105+AA105)</f>
        <v/>
      </c>
      <c r="AC105" s="29">
        <f>IF(A105&gt;HU_T,0,HU_inv*EXP(HU_mu*A105))</f>
        <v/>
      </c>
      <c r="AD105" s="29">
        <f>IF(A105&gt;HU_T,0,MAX(0,AC105+AB105))</f>
        <v/>
      </c>
      <c r="AE105" s="29">
        <f>IF(A105&gt;HU_T,0,MAX(0,X105-Y105))</f>
        <v/>
      </c>
      <c r="AF105" s="63">
        <f>IF(AND($J$6,A105&gt;=1,A105&lt;=$Q$6-1),J105,0)</f>
        <v/>
      </c>
      <c r="AG105" s="29">
        <f>IF(OR(AF105=0,$S$6=0),0,IF((AD105+$L$6)&gt;$S$6/HU_alpha+$K$6,0.5*$S$6/HU_alpha,IF((AD105+$L$6)&gt;=$K$6,((AD105+$L$6)-$K$6)-0.5*HU_alpha/$S$6*((AD105+$L$6)-$K$6)^2,IF((AD105+$L$6)&gt;=$T$6,HU_beta*((AD105+$L$6)-$K$6),HU_beta*($T$6-$K$6)))))</f>
        <v/>
      </c>
      <c r="AH105" s="29">
        <f>IF(OR(AF105=0,$S$6=0),0,IF((AD105+$L$6+$N$6)&gt;$S$6/HU_alpha+$K$6,0.5*$S$6/HU_alpha,IF((AD105+$L$6+$N$6)&gt;=$K$6,((AD105+$L$6+$N$6)-$K$6)-0.5*HU_alpha/$S$6*((AD105+$L$6+$N$6)-$K$6)^2,IF((AD105+$L$6+$N$6)&gt;=$T$6,HU_beta*((AD105+$L$6+$N$6)-$K$6),HU_beta*($T$6-$K$6)))))</f>
        <v/>
      </c>
      <c r="AI105" s="29">
        <f>IF(OR(AF105=0,$S$6=0),0,IF((AD105+$K$6)&gt;$S$6/HU_alpha+$K$6,0.5*$S$6/HU_alpha,IF((AD105+$K$6)&gt;=$K$6,((AD105+$K$6)-$K$6)-0.5*HU_alpha/$S$6*((AD105+$K$6)-$K$6)^2,IF((AD105+$K$6)&gt;=$T$6,HU_beta*((AD105+$K$6)-$K$6),HU_beta*($T$6-$K$6)))))</f>
        <v/>
      </c>
      <c r="AJ105" s="63">
        <f>IF(AND($J$7,A105&gt;=1,A105&lt;=$Q$7-1),J105,0)</f>
        <v/>
      </c>
      <c r="AK105" s="29">
        <f>IF(OR(AJ105=0,$S$7=0),0,IF((AE105+$L$7)&gt;$S$7/HU_alpha+$K$7,0.5*$S$7/HU_alpha,IF((AE105+$L$7)&gt;=$K$7,((AE105+$L$7)-$K$7)-0.5*HU_alpha/$S$7*((AE105+$L$7)-$K$7)^2,IF((AE105+$L$7)&gt;=$T$7,HU_beta*((AE105+$L$7)-$K$7),HU_beta*($T$7-$K$7)))))</f>
        <v/>
      </c>
      <c r="AL105" s="29">
        <f>IF(OR(AJ105=0,$S$7=0),0,IF((AE105+$L$7+$N$7)&gt;$S$7/HU_alpha+$K$7,0.5*$S$7/HU_alpha,IF((AE105+$L$7+$N$7)&gt;=$K$7,((AE105+$L$7+$N$7)-$K$7)-0.5*HU_alpha/$S$7*((AE105+$L$7+$N$7)-$K$7)^2,IF((AE105+$L$7+$N$7)&gt;=$T$7,HU_beta*((AE105+$L$7+$N$7)-$K$7),HU_beta*($T$7-$K$7)))))</f>
        <v/>
      </c>
      <c r="AM105" s="29">
        <f>IF(OR(AJ105=0,$S$7=0),0,IF((AE105+$K$7)&gt;$S$7/HU_alpha+$K$7,0.5*$S$7/HU_alpha,IF((AE105+$K$7)&gt;=$K$7,((AE105+$K$7)-$K$7)-0.5*HU_alpha/$S$7*((AE105+$K$7)-$K$7)^2,IF((AE105+$K$7)&gt;=$T$7,HU_beta*((AE105+$K$7)-$K$7),HU_beta*($T$7-$K$7)))))</f>
        <v/>
      </c>
      <c r="AN105" s="63">
        <f>IF(AND($J$8,A105&gt;=1,A105&lt;=$Q$8-1),J105,0)</f>
        <v/>
      </c>
      <c r="AO105" s="29">
        <f>IF(OR(AN105=0,$S$8=0),0,IF((AE105+$L$8)&gt;$S$8/HU_alpha+$K$8,0.5*$S$8/HU_alpha,IF((AE105+$L$8)&gt;=$K$8,((AE105+$L$8)-$K$8)-0.5*HU_alpha/$S$8*((AE105+$L$8)-$K$8)^2,IF((AE105+$L$8)&gt;=$T$8,HU_beta*((AE105+$L$8)-$K$8),HU_beta*($T$8-$K$8)))))</f>
        <v/>
      </c>
      <c r="AP105" s="29">
        <f>IF(OR(AN105=0,$S$8=0),0,IF((AE105+$L$8+$N$8)&gt;$S$8/HU_alpha+$K$8,0.5*$S$8/HU_alpha,IF((AE105+$L$8+$N$8)&gt;=$K$8,((AE105+$L$8+$N$8)-$K$8)-0.5*HU_alpha/$S$8*((AE105+$L$8+$N$8)-$K$8)^2,IF((AE105+$L$8+$N$8)&gt;=$T$8,HU_beta*((AE105+$L$8+$N$8)-$K$8),HU_beta*($T$8-$K$8)))))</f>
        <v/>
      </c>
      <c r="AQ105" s="29">
        <f>IF(OR(AN105=0,$S$8=0),0,IF((AE105+$K$8)&gt;$S$8/HU_alpha+$K$8,0.5*$S$8/HU_alpha,IF((AE105+$K$8)&gt;=$K$8,((AE105+$K$8)-$K$8)-0.5*HU_alpha/$S$8*((AE105+$K$8)-$K$8)^2,IF((AE105+$K$8)&gt;=$T$8,HU_beta*((AE105+$K$8)-$K$8),HU_beta*($T$8-$K$8)))))</f>
        <v/>
      </c>
      <c r="AR105" s="63">
        <f>IF(AND($J$9,A105&gt;=1,A105&lt;=$Q$9-1),J105,0)</f>
        <v/>
      </c>
      <c r="AS105" s="29">
        <f>IF(OR(AR105=0,$S$9=0),0,IF((AE105+$L$9)&gt;$S$9/HU_alpha+$K$9,0.5*$S$9/HU_alpha,IF((AE105+$L$9)&gt;=$K$9,((AE105+$L$9)-$K$9)-0.5*HU_alpha/$S$9*((AE105+$L$9)-$K$9)^2,IF((AE105+$L$9)&gt;=$T$9,HU_beta*((AE105+$L$9)-$K$9),HU_beta*($T$9-$K$9)))))</f>
        <v/>
      </c>
      <c r="AT105" s="29">
        <f>IF(OR(AR105=0,$S$9=0),0,IF((AE105+$L$9+$N$9)&gt;$S$9/HU_alpha+$K$9,0.5*$S$9/HU_alpha,IF((AE105+$L$9+$N$9)&gt;=$K$9,((AE105+$L$9+$N$9)-$K$9)-0.5*HU_alpha/$S$9*((AE105+$L$9+$N$9)-$K$9)^2,IF((AE105+$L$9+$N$9)&gt;=$T$9,HU_beta*((AE105+$L$9+$N$9)-$K$9),HU_beta*($T$9-$K$9)))))</f>
        <v/>
      </c>
      <c r="AU105" s="29">
        <f>IF(OR(AR105=0,$S$9=0),0,IF((AE105+$K$9)&gt;$S$9/HU_alpha+$K$9,0.5*$S$9/HU_alpha,IF((AE105+$K$9)&gt;=$K$9,((AE105+$K$9)-$K$9)-0.5*HU_alpha/$S$9*((AE105+$K$9)-$K$9)^2,IF((AE105+$K$9)&gt;=$T$9,HU_beta*((AE105+$K$9)-$K$9),HU_beta*($T$9-$K$9)))))</f>
        <v/>
      </c>
      <c r="AV105" s="63">
        <f>IF(AND($J$10,A105=$Q$10),J105,0)</f>
        <v/>
      </c>
      <c r="AW105" s="29">
        <f>IF(OR(AV105=0,$S$10=0),0,IF((AD105+$L$10)&gt;$S$10/HU_alpha+$K$10,0.5*$S$10/HU_alpha,IF((AD105+$L$10)&gt;=$K$10,((AD105+$L$10)-$K$10)-0.5*HU_alpha/$S$10*((AD105+$L$10)-$K$10)^2,IF((AD105+$L$10)&gt;=$T$10,HU_beta*((AD105+$L$10)-$K$10),HU_beta*($T$10-$K$10)))))</f>
        <v/>
      </c>
      <c r="AX105" s="29">
        <f>IF(OR(AV105=0,$S$10=0),0,IF((AD105+$L$10+$N$10)&gt;$S$10/HU_alpha+$K$10,0.5*$S$10/HU_alpha,IF((AD105+$L$10+$N$10)&gt;=$K$10,((AD105+$L$10+$N$10)-$K$10)-0.5*HU_alpha/$S$10*((AD105+$L$10+$N$10)-$K$10)^2,IF((AD105+$L$10+$N$10)&gt;=$T$10,HU_beta*((AD105+$L$10+$N$10)-$K$10),HU_beta*($T$10-$K$10)))))</f>
        <v/>
      </c>
      <c r="AY105" s="29">
        <f>IF(OR(AV105=0,$S$10=0),0,IF((AD105+$K$10)&gt;$S$10/HU_alpha+$K$10,0.5*$S$10/HU_alpha,IF((AD105+$K$10)&gt;=$K$10,((AD105+$K$10)-$K$10)-0.5*HU_alpha/$S$10*((AD105+$K$10)-$K$10)^2,IF((AD105+$K$10)&gt;=$T$10,HU_beta*((AD105+$K$10)-$K$10),HU_beta*($T$10-$K$10)))))</f>
        <v/>
      </c>
      <c r="AZ105" s="63">
        <f>IF(AND($J$11,A105=$Q$11),J105,0)</f>
        <v/>
      </c>
      <c r="BA105" s="29">
        <f>IF(OR(AZ105=0,$S$11=0),0,IF((AE105+$L$11)&gt;$S$11/HU_alpha+$K$11,0.5*$S$11/HU_alpha,IF((AE105+$L$11)&gt;=$K$11,((AE105+$L$11)-$K$11)-0.5*HU_alpha/$S$11*((AE105+$L$11)-$K$11)^2,IF((AE105+$L$11)&gt;=$T$11,HU_beta*((AE105+$L$11)-$K$11),HU_beta*($T$11-$K$11)))))</f>
        <v/>
      </c>
      <c r="BB105" s="29">
        <f>IF(OR(AZ105=0,$S$11=0),0,IF((AE105+$L$11+$N$11)&gt;$S$11/HU_alpha+$K$11,0.5*$S$11/HU_alpha,IF((AE105+$L$11+$N$11)&gt;=$K$11,((AE105+$L$11+$N$11)-$K$11)-0.5*HU_alpha/$S$11*((AE105+$L$11+$N$11)-$K$11)^2,IF((AE105+$L$11+$N$11)&gt;=$T$11,HU_beta*((AE105+$L$11+$N$11)-$K$11),HU_beta*($T$11-$K$11)))))</f>
        <v/>
      </c>
      <c r="BC105" s="29">
        <f>IF(OR(AZ105=0,$S$11=0),0,IF((AE105+$K$11)&gt;$S$11/HU_alpha+$K$11,0.5*$S$11/HU_alpha,IF((AE105+$K$11)&gt;=$K$11,((AE105+$K$11)-$K$11)-0.5*HU_alpha/$S$11*((AE105+$K$11)-$K$11)^2,IF((AE105+$K$11)&gt;=$T$11,HU_beta*((AE105+$K$11)-$K$11),HU_beta*($T$11-$K$11)))))</f>
        <v/>
      </c>
      <c r="BD105" s="63">
        <f>IF(AND($J$12,A105=$Q$12),J105,0)</f>
        <v/>
      </c>
      <c r="BE105" s="29">
        <f>IF(OR(BD105=0,$S$12=0),0,IF((AE105+$L$12)&gt;$S$12/HU_alpha+$K$12,0.5*$S$12/HU_alpha,IF((AE105+$L$12)&gt;=$K$12,((AE105+$L$12)-$K$12)-0.5*HU_alpha/$S$12*((AE105+$L$12)-$K$12)^2,IF((AE105+$L$12)&gt;=$T$12,HU_beta*((AE105+$L$12)-$K$12),HU_beta*($T$12-$K$12)))))</f>
        <v/>
      </c>
      <c r="BF105" s="29">
        <f>IF(OR(BD105=0,$S$12=0),0,IF((AE105+$L$12+$N$12)&gt;$S$12/HU_alpha+$K$12,0.5*$S$12/HU_alpha,IF((AE105+$L$12+$N$12)&gt;=$K$12,((AE105+$L$12+$N$12)-$K$12)-0.5*HU_alpha/$S$12*((AE105+$L$12+$N$12)-$K$12)^2,IF((AE105+$L$12+$N$12)&gt;=$T$12,HU_beta*((AE105+$L$12+$N$12)-$K$12),HU_beta*($T$12-$K$12)))))</f>
        <v/>
      </c>
      <c r="BG105" s="29">
        <f>IF(OR(BD105=0,$S$12=0),0,IF((AE105+$K$12)&gt;$S$12/HU_alpha+$K$12,0.5*$S$12/HU_alpha,IF((AE105+$K$12)&gt;=$K$12,((AE105+$K$12)-$K$12)-0.5*HU_alpha/$S$12*((AE105+$K$12)-$K$12)^2,IF((AE105+$K$12)&gt;=$T$12,HU_beta*((AE105+$K$12)-$K$12),HU_beta*($T$12-$K$12)))))</f>
        <v/>
      </c>
      <c r="BH105" s="63">
        <f>IF(AND($J$13,A105=$Q$13),J105,0)</f>
        <v/>
      </c>
      <c r="BI105" s="29">
        <f>IF(OR(BH105=0,$S$13=0),0,IF((AE105+$L$13)&gt;$S$13/HU_alpha+$K$13,0.5*$S$13/HU_alpha,IF((AE105+$L$13)&gt;=$K$13,((AE105+$L$13)-$K$13)-0.5*HU_alpha/$S$13*((AE105+$L$13)-$K$13)^2,IF((AE105+$L$13)&gt;=$T$13,HU_beta*((AE105+$L$13)-$K$13),HU_beta*($T$13-$K$13)))))</f>
        <v/>
      </c>
      <c r="BJ105" s="29">
        <f>IF(OR(BH105=0,$S$13=0),0,IF((AE105+$L$13+$N$13)&gt;$S$13/HU_alpha+$K$13,0.5*$S$13/HU_alpha,IF((AE105+$L$13+$N$13)&gt;=$K$13,((AE105+$L$13+$N$13)-$K$13)-0.5*HU_alpha/$S$13*((AE105+$L$13+$N$13)-$K$13)^2,IF((AE105+$L$13+$N$13)&gt;=$T$13,HU_beta*((AE105+$L$13+$N$13)-$K$13),HU_beta*($T$13-$K$13)))))</f>
        <v/>
      </c>
      <c r="BK105" s="29">
        <f>IF(OR(BH105=0,$S$13=0),0,IF((AE105+$K$13)&gt;$S$13/HU_alpha+$K$13,0.5*$S$13/HU_alpha,IF((AE105+$K$13)&gt;=$K$13,((AE105+$K$13)-$K$13)-0.5*HU_alpha/$S$13*((AE105+$K$13)-$K$13)^2,IF((AE105+$K$13)&gt;=$T$13,HU_beta*((AE105+$K$13)-$K$13),HU_beta*($T$13-$K$13)))))</f>
        <v/>
      </c>
    </row>
    <row r="106">
      <c r="A106" s="61" t="n">
        <v>38</v>
      </c>
      <c r="B106" s="61">
        <f>HU_age+A106</f>
        <v/>
      </c>
      <c r="C106" s="52">
        <f>A106&lt;=HU_T</f>
        <v/>
      </c>
      <c r="D106" s="63">
        <f>IF(OR(A106&lt;1,A106&gt;HU_T),0,INDEX(HU_q_mort,HU_age+A106-17,HU_col))</f>
        <v/>
      </c>
      <c r="E106" s="63">
        <f>IF(OR(A106&lt;1,A106&gt;HU_T),0,INDEX(HU_q_adb,HU_age+A106-17,HU_col))</f>
        <v/>
      </c>
      <c r="F106" s="63">
        <f>IF(OR(A106&lt;1,A106&gt;HU_T),0,INDEX(HU_q_morb,HU_age+A106-17,HU_col))</f>
        <v/>
      </c>
      <c r="G106" s="63">
        <f>IF(OR(A106&lt;1,A106&gt;HU_T),0,INDEX(HU_q_ptd,HU_age+A106-17,HU_col))</f>
        <v/>
      </c>
      <c r="H106" s="63">
        <f>IF(OR(A106&lt;1,A106&gt;HU_T),0,INDEX(HU_q_dis,HU_age+A106-17,HU_col))</f>
        <v/>
      </c>
      <c r="I106" s="63">
        <f>IF(A106&gt;HU_T,0,I105*(1-D106)*(1-E106))</f>
        <v/>
      </c>
      <c r="J106" s="63">
        <f>IF(A106&gt;=HU_T,0,N(I107))</f>
        <v/>
      </c>
      <c r="K106" s="63">
        <f>K105*(1-G106)</f>
        <v/>
      </c>
      <c r="L106" s="63">
        <f>1-K106</f>
        <v/>
      </c>
      <c r="M106" s="63">
        <f>K105*G106</f>
        <v/>
      </c>
      <c r="N106" s="63">
        <f>N105*(1-H106)</f>
        <v/>
      </c>
      <c r="O106" s="63">
        <f>1-N105</f>
        <v/>
      </c>
      <c r="P106" s="63">
        <f>P105*(1-F106)</f>
        <v/>
      </c>
      <c r="Q106" s="63">
        <f>1-P105/INDEX($P$68:$P$150,MAX(1,A106-HU_ciYears))</f>
        <v/>
      </c>
      <c r="R106" s="60">
        <f>(1+inflationRate)^A106</f>
        <v/>
      </c>
      <c r="S106" s="29">
        <f>IF(OR(OR(A106&lt;1,A106&gt;HU_T),A106-1&gt;=HU_dtr),0,HU_inc0*(1+incomeGrowthRate)^A106)</f>
        <v/>
      </c>
      <c r="T106" s="60">
        <f>IF(A106&gt;HU_T,T105,T105*(1+INDEX(HU_ssG,HU_age+A106-17)))</f>
        <v/>
      </c>
      <c r="U106" s="29">
        <f>IF(AND(HU_dtr&gt;=1,A106=HU_dtr,A106&lt;=HU_T),MIN(S106*INDEX(HU_ssC,HU_age+A106-17)/(1-INDEX(HU_ssC,HU_age+A106-17)),INDEX(HU_ssCap,HU_age+A106-17))*T106,0)</f>
        <v/>
      </c>
      <c r="V106" s="29">
        <f>S106+U106+IF(AND(HU_wdOn,A106=HU_wdYear),HU_wdIncome,0)</f>
        <v/>
      </c>
      <c r="W106" s="60">
        <f>HU_ciProp*Q106+HU_tpdCut*L106+HU_disCut*O106</f>
        <v/>
      </c>
      <c r="X106" s="29">
        <f>IF(OR(A106&lt;1,A106&gt;HU_T),0,V106*(1-W106))</f>
        <v/>
      </c>
      <c r="Y106" s="29">
        <f>IF(OR(A106&lt;1,A106&gt;HU_T),0,IF(AND(HU_retExp&gt;0,A106-1&gt;=HU_dtr),HU_retExp,HU_exp0)*R106)</f>
        <v/>
      </c>
      <c r="Z106" s="29">
        <f>-Y106-IF(AND(HU_wdOn,A106=HU_wdYear),HU_wdOut,0)</f>
        <v/>
      </c>
      <c r="AA106" s="29">
        <f>IF(OR(A106&lt;1,A106&gt;HU_T),0,-HU_medCost*R106*F106-HU_tpdCost*R106*M106)</f>
        <v/>
      </c>
      <c r="AB106" s="29">
        <f>IF(A106&gt;HU_T,0,AB105*(1+interestRate)+X106+Z106+AA106)</f>
        <v/>
      </c>
      <c r="AC106" s="29">
        <f>IF(A106&gt;HU_T,0,HU_inv*EXP(HU_mu*A106))</f>
        <v/>
      </c>
      <c r="AD106" s="29">
        <f>IF(A106&gt;HU_T,0,MAX(0,AC106+AB106))</f>
        <v/>
      </c>
      <c r="AE106" s="29">
        <f>IF(A106&gt;HU_T,0,MAX(0,X106-Y106))</f>
        <v/>
      </c>
      <c r="AF106" s="63">
        <f>IF(AND($J$6,A106&gt;=1,A106&lt;=$Q$6-1),J106,0)</f>
        <v/>
      </c>
      <c r="AG106" s="29">
        <f>IF(OR(AF106=0,$S$6=0),0,IF((AD106+$L$6)&gt;$S$6/HU_alpha+$K$6,0.5*$S$6/HU_alpha,IF((AD106+$L$6)&gt;=$K$6,((AD106+$L$6)-$K$6)-0.5*HU_alpha/$S$6*((AD106+$L$6)-$K$6)^2,IF((AD106+$L$6)&gt;=$T$6,HU_beta*((AD106+$L$6)-$K$6),HU_beta*($T$6-$K$6)))))</f>
        <v/>
      </c>
      <c r="AH106" s="29">
        <f>IF(OR(AF106=0,$S$6=0),0,IF((AD106+$L$6+$N$6)&gt;$S$6/HU_alpha+$K$6,0.5*$S$6/HU_alpha,IF((AD106+$L$6+$N$6)&gt;=$K$6,((AD106+$L$6+$N$6)-$K$6)-0.5*HU_alpha/$S$6*((AD106+$L$6+$N$6)-$K$6)^2,IF((AD106+$L$6+$N$6)&gt;=$T$6,HU_beta*((AD106+$L$6+$N$6)-$K$6),HU_beta*($T$6-$K$6)))))</f>
        <v/>
      </c>
      <c r="AI106" s="29">
        <f>IF(OR(AF106=0,$S$6=0),0,IF((AD106+$K$6)&gt;$S$6/HU_alpha+$K$6,0.5*$S$6/HU_alpha,IF((AD106+$K$6)&gt;=$K$6,((AD106+$K$6)-$K$6)-0.5*HU_alpha/$S$6*((AD106+$K$6)-$K$6)^2,IF((AD106+$K$6)&gt;=$T$6,HU_beta*((AD106+$K$6)-$K$6),HU_beta*($T$6-$K$6)))))</f>
        <v/>
      </c>
      <c r="AJ106" s="63">
        <f>IF(AND($J$7,A106&gt;=1,A106&lt;=$Q$7-1),J106,0)</f>
        <v/>
      </c>
      <c r="AK106" s="29">
        <f>IF(OR(AJ106=0,$S$7=0),0,IF((AE106+$L$7)&gt;$S$7/HU_alpha+$K$7,0.5*$S$7/HU_alpha,IF((AE106+$L$7)&gt;=$K$7,((AE106+$L$7)-$K$7)-0.5*HU_alpha/$S$7*((AE106+$L$7)-$K$7)^2,IF((AE106+$L$7)&gt;=$T$7,HU_beta*((AE106+$L$7)-$K$7),HU_beta*($T$7-$K$7)))))</f>
        <v/>
      </c>
      <c r="AL106" s="29">
        <f>IF(OR(AJ106=0,$S$7=0),0,IF((AE106+$L$7+$N$7)&gt;$S$7/HU_alpha+$K$7,0.5*$S$7/HU_alpha,IF((AE106+$L$7+$N$7)&gt;=$K$7,((AE106+$L$7+$N$7)-$K$7)-0.5*HU_alpha/$S$7*((AE106+$L$7+$N$7)-$K$7)^2,IF((AE106+$L$7+$N$7)&gt;=$T$7,HU_beta*((AE106+$L$7+$N$7)-$K$7),HU_beta*($T$7-$K$7)))))</f>
        <v/>
      </c>
      <c r="AM106" s="29">
        <f>IF(OR(AJ106=0,$S$7=0),0,IF((AE106+$K$7)&gt;$S$7/HU_alpha+$K$7,0.5*$S$7/HU_alpha,IF((AE106+$K$7)&gt;=$K$7,((AE106+$K$7)-$K$7)-0.5*HU_alpha/$S$7*((AE106+$K$7)-$K$7)^2,IF((AE106+$K$7)&gt;=$T$7,HU_beta*((AE106+$K$7)-$K$7),HU_beta*($T$7-$K$7)))))</f>
        <v/>
      </c>
      <c r="AN106" s="63">
        <f>IF(AND($J$8,A106&gt;=1,A106&lt;=$Q$8-1),J106,0)</f>
        <v/>
      </c>
      <c r="AO106" s="29">
        <f>IF(OR(AN106=0,$S$8=0),0,IF((AE106+$L$8)&gt;$S$8/HU_alpha+$K$8,0.5*$S$8/HU_alpha,IF((AE106+$L$8)&gt;=$K$8,((AE106+$L$8)-$K$8)-0.5*HU_alpha/$S$8*((AE106+$L$8)-$K$8)^2,IF((AE106+$L$8)&gt;=$T$8,HU_beta*((AE106+$L$8)-$K$8),HU_beta*($T$8-$K$8)))))</f>
        <v/>
      </c>
      <c r="AP106" s="29">
        <f>IF(OR(AN106=0,$S$8=0),0,IF((AE106+$L$8+$N$8)&gt;$S$8/HU_alpha+$K$8,0.5*$S$8/HU_alpha,IF((AE106+$L$8+$N$8)&gt;=$K$8,((AE106+$L$8+$N$8)-$K$8)-0.5*HU_alpha/$S$8*((AE106+$L$8+$N$8)-$K$8)^2,IF((AE106+$L$8+$N$8)&gt;=$T$8,HU_beta*((AE106+$L$8+$N$8)-$K$8),HU_beta*($T$8-$K$8)))))</f>
        <v/>
      </c>
      <c r="AQ106" s="29">
        <f>IF(OR(AN106=0,$S$8=0),0,IF((AE106+$K$8)&gt;$S$8/HU_alpha+$K$8,0.5*$S$8/HU_alpha,IF((AE106+$K$8)&gt;=$K$8,((AE106+$K$8)-$K$8)-0.5*HU_alpha/$S$8*((AE106+$K$8)-$K$8)^2,IF((AE106+$K$8)&gt;=$T$8,HU_beta*((AE106+$K$8)-$K$8),HU_beta*($T$8-$K$8)))))</f>
        <v/>
      </c>
      <c r="AR106" s="63">
        <f>IF(AND($J$9,A106&gt;=1,A106&lt;=$Q$9-1),J106,0)</f>
        <v/>
      </c>
      <c r="AS106" s="29">
        <f>IF(OR(AR106=0,$S$9=0),0,IF((AE106+$L$9)&gt;$S$9/HU_alpha+$K$9,0.5*$S$9/HU_alpha,IF((AE106+$L$9)&gt;=$K$9,((AE106+$L$9)-$K$9)-0.5*HU_alpha/$S$9*((AE106+$L$9)-$K$9)^2,IF((AE106+$L$9)&gt;=$T$9,HU_beta*((AE106+$L$9)-$K$9),HU_beta*($T$9-$K$9)))))</f>
        <v/>
      </c>
      <c r="AT106" s="29">
        <f>IF(OR(AR106=0,$S$9=0),0,IF((AE106+$L$9+$N$9)&gt;$S$9/HU_alpha+$K$9,0.5*$S$9/HU_alpha,IF((AE106+$L$9+$N$9)&gt;=$K$9,((AE106+$L$9+$N$9)-$K$9)-0.5*HU_alpha/$S$9*((AE106+$L$9+$N$9)-$K$9)^2,IF((AE106+$L$9+$N$9)&gt;=$T$9,HU_beta*((AE106+$L$9+$N$9)-$K$9),HU_beta*($T$9-$K$9)))))</f>
        <v/>
      </c>
      <c r="AU106" s="29">
        <f>IF(OR(AR106=0,$S$9=0),0,IF((AE106+$K$9)&gt;$S$9/HU_alpha+$K$9,0.5*$S$9/HU_alpha,IF((AE106+$K$9)&gt;=$K$9,((AE106+$K$9)-$K$9)-0.5*HU_alpha/$S$9*((AE106+$K$9)-$K$9)^2,IF((AE106+$K$9)&gt;=$T$9,HU_beta*((AE106+$K$9)-$K$9),HU_beta*($T$9-$K$9)))))</f>
        <v/>
      </c>
      <c r="AV106" s="63">
        <f>IF(AND($J$10,A106=$Q$10),J106,0)</f>
        <v/>
      </c>
      <c r="AW106" s="29">
        <f>IF(OR(AV106=0,$S$10=0),0,IF((AD106+$L$10)&gt;$S$10/HU_alpha+$K$10,0.5*$S$10/HU_alpha,IF((AD106+$L$10)&gt;=$K$10,((AD106+$L$10)-$K$10)-0.5*HU_alpha/$S$10*((AD106+$L$10)-$K$10)^2,IF((AD106+$L$10)&gt;=$T$10,HU_beta*((AD106+$L$10)-$K$10),HU_beta*($T$10-$K$10)))))</f>
        <v/>
      </c>
      <c r="AX106" s="29">
        <f>IF(OR(AV106=0,$S$10=0),0,IF((AD106+$L$10+$N$10)&gt;$S$10/HU_alpha+$K$10,0.5*$S$10/HU_alpha,IF((AD106+$L$10+$N$10)&gt;=$K$10,((AD106+$L$10+$N$10)-$K$10)-0.5*HU_alpha/$S$10*((AD106+$L$10+$N$10)-$K$10)^2,IF((AD106+$L$10+$N$10)&gt;=$T$10,HU_beta*((AD106+$L$10+$N$10)-$K$10),HU_beta*($T$10-$K$10)))))</f>
        <v/>
      </c>
      <c r="AY106" s="29">
        <f>IF(OR(AV106=0,$S$10=0),0,IF((AD106+$K$10)&gt;$S$10/HU_alpha+$K$10,0.5*$S$10/HU_alpha,IF((AD106+$K$10)&gt;=$K$10,((AD106+$K$10)-$K$10)-0.5*HU_alpha/$S$10*((AD106+$K$10)-$K$10)^2,IF((AD106+$K$10)&gt;=$T$10,HU_beta*((AD106+$K$10)-$K$10),HU_beta*($T$10-$K$10)))))</f>
        <v/>
      </c>
      <c r="AZ106" s="63">
        <f>IF(AND($J$11,A106=$Q$11),J106,0)</f>
        <v/>
      </c>
      <c r="BA106" s="29">
        <f>IF(OR(AZ106=0,$S$11=0),0,IF((AE106+$L$11)&gt;$S$11/HU_alpha+$K$11,0.5*$S$11/HU_alpha,IF((AE106+$L$11)&gt;=$K$11,((AE106+$L$11)-$K$11)-0.5*HU_alpha/$S$11*((AE106+$L$11)-$K$11)^2,IF((AE106+$L$11)&gt;=$T$11,HU_beta*((AE106+$L$11)-$K$11),HU_beta*($T$11-$K$11)))))</f>
        <v/>
      </c>
      <c r="BB106" s="29">
        <f>IF(OR(AZ106=0,$S$11=0),0,IF((AE106+$L$11+$N$11)&gt;$S$11/HU_alpha+$K$11,0.5*$S$11/HU_alpha,IF((AE106+$L$11+$N$11)&gt;=$K$11,((AE106+$L$11+$N$11)-$K$11)-0.5*HU_alpha/$S$11*((AE106+$L$11+$N$11)-$K$11)^2,IF((AE106+$L$11+$N$11)&gt;=$T$11,HU_beta*((AE106+$L$11+$N$11)-$K$11),HU_beta*($T$11-$K$11)))))</f>
        <v/>
      </c>
      <c r="BC106" s="29">
        <f>IF(OR(AZ106=0,$S$11=0),0,IF((AE106+$K$11)&gt;$S$11/HU_alpha+$K$11,0.5*$S$11/HU_alpha,IF((AE106+$K$11)&gt;=$K$11,((AE106+$K$11)-$K$11)-0.5*HU_alpha/$S$11*((AE106+$K$11)-$K$11)^2,IF((AE106+$K$11)&gt;=$T$11,HU_beta*((AE106+$K$11)-$K$11),HU_beta*($T$11-$K$11)))))</f>
        <v/>
      </c>
      <c r="BD106" s="63">
        <f>IF(AND($J$12,A106=$Q$12),J106,0)</f>
        <v/>
      </c>
      <c r="BE106" s="29">
        <f>IF(OR(BD106=0,$S$12=0),0,IF((AE106+$L$12)&gt;$S$12/HU_alpha+$K$12,0.5*$S$12/HU_alpha,IF((AE106+$L$12)&gt;=$K$12,((AE106+$L$12)-$K$12)-0.5*HU_alpha/$S$12*((AE106+$L$12)-$K$12)^2,IF((AE106+$L$12)&gt;=$T$12,HU_beta*((AE106+$L$12)-$K$12),HU_beta*($T$12-$K$12)))))</f>
        <v/>
      </c>
      <c r="BF106" s="29">
        <f>IF(OR(BD106=0,$S$12=0),0,IF((AE106+$L$12+$N$12)&gt;$S$12/HU_alpha+$K$12,0.5*$S$12/HU_alpha,IF((AE106+$L$12+$N$12)&gt;=$K$12,((AE106+$L$12+$N$12)-$K$12)-0.5*HU_alpha/$S$12*((AE106+$L$12+$N$12)-$K$12)^2,IF((AE106+$L$12+$N$12)&gt;=$T$12,HU_beta*((AE106+$L$12+$N$12)-$K$12),HU_beta*($T$12-$K$12)))))</f>
        <v/>
      </c>
      <c r="BG106" s="29">
        <f>IF(OR(BD106=0,$S$12=0),0,IF((AE106+$K$12)&gt;$S$12/HU_alpha+$K$12,0.5*$S$12/HU_alpha,IF((AE106+$K$12)&gt;=$K$12,((AE106+$K$12)-$K$12)-0.5*HU_alpha/$S$12*((AE106+$K$12)-$K$12)^2,IF((AE106+$K$12)&gt;=$T$12,HU_beta*((AE106+$K$12)-$K$12),HU_beta*($T$12-$K$12)))))</f>
        <v/>
      </c>
      <c r="BH106" s="63">
        <f>IF(AND($J$13,A106=$Q$13),J106,0)</f>
        <v/>
      </c>
      <c r="BI106" s="29">
        <f>IF(OR(BH106=0,$S$13=0),0,IF((AE106+$L$13)&gt;$S$13/HU_alpha+$K$13,0.5*$S$13/HU_alpha,IF((AE106+$L$13)&gt;=$K$13,((AE106+$L$13)-$K$13)-0.5*HU_alpha/$S$13*((AE106+$L$13)-$K$13)^2,IF((AE106+$L$13)&gt;=$T$13,HU_beta*((AE106+$L$13)-$K$13),HU_beta*($T$13-$K$13)))))</f>
        <v/>
      </c>
      <c r="BJ106" s="29">
        <f>IF(OR(BH106=0,$S$13=0),0,IF((AE106+$L$13+$N$13)&gt;$S$13/HU_alpha+$K$13,0.5*$S$13/HU_alpha,IF((AE106+$L$13+$N$13)&gt;=$K$13,((AE106+$L$13+$N$13)-$K$13)-0.5*HU_alpha/$S$13*((AE106+$L$13+$N$13)-$K$13)^2,IF((AE106+$L$13+$N$13)&gt;=$T$13,HU_beta*((AE106+$L$13+$N$13)-$K$13),HU_beta*($T$13-$K$13)))))</f>
        <v/>
      </c>
      <c r="BK106" s="29">
        <f>IF(OR(BH106=0,$S$13=0),0,IF((AE106+$K$13)&gt;$S$13/HU_alpha+$K$13,0.5*$S$13/HU_alpha,IF((AE106+$K$13)&gt;=$K$13,((AE106+$K$13)-$K$13)-0.5*HU_alpha/$S$13*((AE106+$K$13)-$K$13)^2,IF((AE106+$K$13)&gt;=$T$13,HU_beta*((AE106+$K$13)-$K$13),HU_beta*($T$13-$K$13)))))</f>
        <v/>
      </c>
    </row>
    <row r="107">
      <c r="A107" s="61" t="n">
        <v>39</v>
      </c>
      <c r="B107" s="61">
        <f>HU_age+A107</f>
        <v/>
      </c>
      <c r="C107" s="52">
        <f>A107&lt;=HU_T</f>
        <v/>
      </c>
      <c r="D107" s="63">
        <f>IF(OR(A107&lt;1,A107&gt;HU_T),0,INDEX(HU_q_mort,HU_age+A107-17,HU_col))</f>
        <v/>
      </c>
      <c r="E107" s="63">
        <f>IF(OR(A107&lt;1,A107&gt;HU_T),0,INDEX(HU_q_adb,HU_age+A107-17,HU_col))</f>
        <v/>
      </c>
      <c r="F107" s="63">
        <f>IF(OR(A107&lt;1,A107&gt;HU_T),0,INDEX(HU_q_morb,HU_age+A107-17,HU_col))</f>
        <v/>
      </c>
      <c r="G107" s="63">
        <f>IF(OR(A107&lt;1,A107&gt;HU_T),0,INDEX(HU_q_ptd,HU_age+A107-17,HU_col))</f>
        <v/>
      </c>
      <c r="H107" s="63">
        <f>IF(OR(A107&lt;1,A107&gt;HU_T),0,INDEX(HU_q_dis,HU_age+A107-17,HU_col))</f>
        <v/>
      </c>
      <c r="I107" s="63">
        <f>IF(A107&gt;HU_T,0,I106*(1-D107)*(1-E107))</f>
        <v/>
      </c>
      <c r="J107" s="63">
        <f>IF(A107&gt;=HU_T,0,N(I108))</f>
        <v/>
      </c>
      <c r="K107" s="63">
        <f>K106*(1-G107)</f>
        <v/>
      </c>
      <c r="L107" s="63">
        <f>1-K107</f>
        <v/>
      </c>
      <c r="M107" s="63">
        <f>K106*G107</f>
        <v/>
      </c>
      <c r="N107" s="63">
        <f>N106*(1-H107)</f>
        <v/>
      </c>
      <c r="O107" s="63">
        <f>1-N106</f>
        <v/>
      </c>
      <c r="P107" s="63">
        <f>P106*(1-F107)</f>
        <v/>
      </c>
      <c r="Q107" s="63">
        <f>1-P106/INDEX($P$68:$P$150,MAX(1,A107-HU_ciYears))</f>
        <v/>
      </c>
      <c r="R107" s="60">
        <f>(1+inflationRate)^A107</f>
        <v/>
      </c>
      <c r="S107" s="29">
        <f>IF(OR(OR(A107&lt;1,A107&gt;HU_T),A107-1&gt;=HU_dtr),0,HU_inc0*(1+incomeGrowthRate)^A107)</f>
        <v/>
      </c>
      <c r="T107" s="60">
        <f>IF(A107&gt;HU_T,T106,T106*(1+INDEX(HU_ssG,HU_age+A107-17)))</f>
        <v/>
      </c>
      <c r="U107" s="29">
        <f>IF(AND(HU_dtr&gt;=1,A107=HU_dtr,A107&lt;=HU_T),MIN(S107*INDEX(HU_ssC,HU_age+A107-17)/(1-INDEX(HU_ssC,HU_age+A107-17)),INDEX(HU_ssCap,HU_age+A107-17))*T107,0)</f>
        <v/>
      </c>
      <c r="V107" s="29">
        <f>S107+U107+IF(AND(HU_wdOn,A107=HU_wdYear),HU_wdIncome,0)</f>
        <v/>
      </c>
      <c r="W107" s="60">
        <f>HU_ciProp*Q107+HU_tpdCut*L107+HU_disCut*O107</f>
        <v/>
      </c>
      <c r="X107" s="29">
        <f>IF(OR(A107&lt;1,A107&gt;HU_T),0,V107*(1-W107))</f>
        <v/>
      </c>
      <c r="Y107" s="29">
        <f>IF(OR(A107&lt;1,A107&gt;HU_T),0,IF(AND(HU_retExp&gt;0,A107-1&gt;=HU_dtr),HU_retExp,HU_exp0)*R107)</f>
        <v/>
      </c>
      <c r="Z107" s="29">
        <f>-Y107-IF(AND(HU_wdOn,A107=HU_wdYear),HU_wdOut,0)</f>
        <v/>
      </c>
      <c r="AA107" s="29">
        <f>IF(OR(A107&lt;1,A107&gt;HU_T),0,-HU_medCost*R107*F107-HU_tpdCost*R107*M107)</f>
        <v/>
      </c>
      <c r="AB107" s="29">
        <f>IF(A107&gt;HU_T,0,AB106*(1+interestRate)+X107+Z107+AA107)</f>
        <v/>
      </c>
      <c r="AC107" s="29">
        <f>IF(A107&gt;HU_T,0,HU_inv*EXP(HU_mu*A107))</f>
        <v/>
      </c>
      <c r="AD107" s="29">
        <f>IF(A107&gt;HU_T,0,MAX(0,AC107+AB107))</f>
        <v/>
      </c>
      <c r="AE107" s="29">
        <f>IF(A107&gt;HU_T,0,MAX(0,X107-Y107))</f>
        <v/>
      </c>
      <c r="AF107" s="63">
        <f>IF(AND($J$6,A107&gt;=1,A107&lt;=$Q$6-1),J107,0)</f>
        <v/>
      </c>
      <c r="AG107" s="29">
        <f>IF(OR(AF107=0,$S$6=0),0,IF((AD107+$L$6)&gt;$S$6/HU_alpha+$K$6,0.5*$S$6/HU_alpha,IF((AD107+$L$6)&gt;=$K$6,((AD107+$L$6)-$K$6)-0.5*HU_alpha/$S$6*((AD107+$L$6)-$K$6)^2,IF((AD107+$L$6)&gt;=$T$6,HU_beta*((AD107+$L$6)-$K$6),HU_beta*($T$6-$K$6)))))</f>
        <v/>
      </c>
      <c r="AH107" s="29">
        <f>IF(OR(AF107=0,$S$6=0),0,IF((AD107+$L$6+$N$6)&gt;$S$6/HU_alpha+$K$6,0.5*$S$6/HU_alpha,IF((AD107+$L$6+$N$6)&gt;=$K$6,((AD107+$L$6+$N$6)-$K$6)-0.5*HU_alpha/$S$6*((AD107+$L$6+$N$6)-$K$6)^2,IF((AD107+$L$6+$N$6)&gt;=$T$6,HU_beta*((AD107+$L$6+$N$6)-$K$6),HU_beta*($T$6-$K$6)))))</f>
        <v/>
      </c>
      <c r="AI107" s="29">
        <f>IF(OR(AF107=0,$S$6=0),0,IF((AD107+$K$6)&gt;$S$6/HU_alpha+$K$6,0.5*$S$6/HU_alpha,IF((AD107+$K$6)&gt;=$K$6,((AD107+$K$6)-$K$6)-0.5*HU_alpha/$S$6*((AD107+$K$6)-$K$6)^2,IF((AD107+$K$6)&gt;=$T$6,HU_beta*((AD107+$K$6)-$K$6),HU_beta*($T$6-$K$6)))))</f>
        <v/>
      </c>
      <c r="AJ107" s="63">
        <f>IF(AND($J$7,A107&gt;=1,A107&lt;=$Q$7-1),J107,0)</f>
        <v/>
      </c>
      <c r="AK107" s="29">
        <f>IF(OR(AJ107=0,$S$7=0),0,IF((AE107+$L$7)&gt;$S$7/HU_alpha+$K$7,0.5*$S$7/HU_alpha,IF((AE107+$L$7)&gt;=$K$7,((AE107+$L$7)-$K$7)-0.5*HU_alpha/$S$7*((AE107+$L$7)-$K$7)^2,IF((AE107+$L$7)&gt;=$T$7,HU_beta*((AE107+$L$7)-$K$7),HU_beta*($T$7-$K$7)))))</f>
        <v/>
      </c>
      <c r="AL107" s="29">
        <f>IF(OR(AJ107=0,$S$7=0),0,IF((AE107+$L$7+$N$7)&gt;$S$7/HU_alpha+$K$7,0.5*$S$7/HU_alpha,IF((AE107+$L$7+$N$7)&gt;=$K$7,((AE107+$L$7+$N$7)-$K$7)-0.5*HU_alpha/$S$7*((AE107+$L$7+$N$7)-$K$7)^2,IF((AE107+$L$7+$N$7)&gt;=$T$7,HU_beta*((AE107+$L$7+$N$7)-$K$7),HU_beta*($T$7-$K$7)))))</f>
        <v/>
      </c>
      <c r="AM107" s="29">
        <f>IF(OR(AJ107=0,$S$7=0),0,IF((AE107+$K$7)&gt;$S$7/HU_alpha+$K$7,0.5*$S$7/HU_alpha,IF((AE107+$K$7)&gt;=$K$7,((AE107+$K$7)-$K$7)-0.5*HU_alpha/$S$7*((AE107+$K$7)-$K$7)^2,IF((AE107+$K$7)&gt;=$T$7,HU_beta*((AE107+$K$7)-$K$7),HU_beta*($T$7-$K$7)))))</f>
        <v/>
      </c>
      <c r="AN107" s="63">
        <f>IF(AND($J$8,A107&gt;=1,A107&lt;=$Q$8-1),J107,0)</f>
        <v/>
      </c>
      <c r="AO107" s="29">
        <f>IF(OR(AN107=0,$S$8=0),0,IF((AE107+$L$8)&gt;$S$8/HU_alpha+$K$8,0.5*$S$8/HU_alpha,IF((AE107+$L$8)&gt;=$K$8,((AE107+$L$8)-$K$8)-0.5*HU_alpha/$S$8*((AE107+$L$8)-$K$8)^2,IF((AE107+$L$8)&gt;=$T$8,HU_beta*((AE107+$L$8)-$K$8),HU_beta*($T$8-$K$8)))))</f>
        <v/>
      </c>
      <c r="AP107" s="29">
        <f>IF(OR(AN107=0,$S$8=0),0,IF((AE107+$L$8+$N$8)&gt;$S$8/HU_alpha+$K$8,0.5*$S$8/HU_alpha,IF((AE107+$L$8+$N$8)&gt;=$K$8,((AE107+$L$8+$N$8)-$K$8)-0.5*HU_alpha/$S$8*((AE107+$L$8+$N$8)-$K$8)^2,IF((AE107+$L$8+$N$8)&gt;=$T$8,HU_beta*((AE107+$L$8+$N$8)-$K$8),HU_beta*($T$8-$K$8)))))</f>
        <v/>
      </c>
      <c r="AQ107" s="29">
        <f>IF(OR(AN107=0,$S$8=0),0,IF((AE107+$K$8)&gt;$S$8/HU_alpha+$K$8,0.5*$S$8/HU_alpha,IF((AE107+$K$8)&gt;=$K$8,((AE107+$K$8)-$K$8)-0.5*HU_alpha/$S$8*((AE107+$K$8)-$K$8)^2,IF((AE107+$K$8)&gt;=$T$8,HU_beta*((AE107+$K$8)-$K$8),HU_beta*($T$8-$K$8)))))</f>
        <v/>
      </c>
      <c r="AR107" s="63">
        <f>IF(AND($J$9,A107&gt;=1,A107&lt;=$Q$9-1),J107,0)</f>
        <v/>
      </c>
      <c r="AS107" s="29">
        <f>IF(OR(AR107=0,$S$9=0),0,IF((AE107+$L$9)&gt;$S$9/HU_alpha+$K$9,0.5*$S$9/HU_alpha,IF((AE107+$L$9)&gt;=$K$9,((AE107+$L$9)-$K$9)-0.5*HU_alpha/$S$9*((AE107+$L$9)-$K$9)^2,IF((AE107+$L$9)&gt;=$T$9,HU_beta*((AE107+$L$9)-$K$9),HU_beta*($T$9-$K$9)))))</f>
        <v/>
      </c>
      <c r="AT107" s="29">
        <f>IF(OR(AR107=0,$S$9=0),0,IF((AE107+$L$9+$N$9)&gt;$S$9/HU_alpha+$K$9,0.5*$S$9/HU_alpha,IF((AE107+$L$9+$N$9)&gt;=$K$9,((AE107+$L$9+$N$9)-$K$9)-0.5*HU_alpha/$S$9*((AE107+$L$9+$N$9)-$K$9)^2,IF((AE107+$L$9+$N$9)&gt;=$T$9,HU_beta*((AE107+$L$9+$N$9)-$K$9),HU_beta*($T$9-$K$9)))))</f>
        <v/>
      </c>
      <c r="AU107" s="29">
        <f>IF(OR(AR107=0,$S$9=0),0,IF((AE107+$K$9)&gt;$S$9/HU_alpha+$K$9,0.5*$S$9/HU_alpha,IF((AE107+$K$9)&gt;=$K$9,((AE107+$K$9)-$K$9)-0.5*HU_alpha/$S$9*((AE107+$K$9)-$K$9)^2,IF((AE107+$K$9)&gt;=$T$9,HU_beta*((AE107+$K$9)-$K$9),HU_beta*($T$9-$K$9)))))</f>
        <v/>
      </c>
      <c r="AV107" s="63">
        <f>IF(AND($J$10,A107=$Q$10),J107,0)</f>
        <v/>
      </c>
      <c r="AW107" s="29">
        <f>IF(OR(AV107=0,$S$10=0),0,IF((AD107+$L$10)&gt;$S$10/HU_alpha+$K$10,0.5*$S$10/HU_alpha,IF((AD107+$L$10)&gt;=$K$10,((AD107+$L$10)-$K$10)-0.5*HU_alpha/$S$10*((AD107+$L$10)-$K$10)^2,IF((AD107+$L$10)&gt;=$T$10,HU_beta*((AD107+$L$10)-$K$10),HU_beta*($T$10-$K$10)))))</f>
        <v/>
      </c>
      <c r="AX107" s="29">
        <f>IF(OR(AV107=0,$S$10=0),0,IF((AD107+$L$10+$N$10)&gt;$S$10/HU_alpha+$K$10,0.5*$S$10/HU_alpha,IF((AD107+$L$10+$N$10)&gt;=$K$10,((AD107+$L$10+$N$10)-$K$10)-0.5*HU_alpha/$S$10*((AD107+$L$10+$N$10)-$K$10)^2,IF((AD107+$L$10+$N$10)&gt;=$T$10,HU_beta*((AD107+$L$10+$N$10)-$K$10),HU_beta*($T$10-$K$10)))))</f>
        <v/>
      </c>
      <c r="AY107" s="29">
        <f>IF(OR(AV107=0,$S$10=0),0,IF((AD107+$K$10)&gt;$S$10/HU_alpha+$K$10,0.5*$S$10/HU_alpha,IF((AD107+$K$10)&gt;=$K$10,((AD107+$K$10)-$K$10)-0.5*HU_alpha/$S$10*((AD107+$K$10)-$K$10)^2,IF((AD107+$K$10)&gt;=$T$10,HU_beta*((AD107+$K$10)-$K$10),HU_beta*($T$10-$K$10)))))</f>
        <v/>
      </c>
      <c r="AZ107" s="63">
        <f>IF(AND($J$11,A107=$Q$11),J107,0)</f>
        <v/>
      </c>
      <c r="BA107" s="29">
        <f>IF(OR(AZ107=0,$S$11=0),0,IF((AE107+$L$11)&gt;$S$11/HU_alpha+$K$11,0.5*$S$11/HU_alpha,IF((AE107+$L$11)&gt;=$K$11,((AE107+$L$11)-$K$11)-0.5*HU_alpha/$S$11*((AE107+$L$11)-$K$11)^2,IF((AE107+$L$11)&gt;=$T$11,HU_beta*((AE107+$L$11)-$K$11),HU_beta*($T$11-$K$11)))))</f>
        <v/>
      </c>
      <c r="BB107" s="29">
        <f>IF(OR(AZ107=0,$S$11=0),0,IF((AE107+$L$11+$N$11)&gt;$S$11/HU_alpha+$K$11,0.5*$S$11/HU_alpha,IF((AE107+$L$11+$N$11)&gt;=$K$11,((AE107+$L$11+$N$11)-$K$11)-0.5*HU_alpha/$S$11*((AE107+$L$11+$N$11)-$K$11)^2,IF((AE107+$L$11+$N$11)&gt;=$T$11,HU_beta*((AE107+$L$11+$N$11)-$K$11),HU_beta*($T$11-$K$11)))))</f>
        <v/>
      </c>
      <c r="BC107" s="29">
        <f>IF(OR(AZ107=0,$S$11=0),0,IF((AE107+$K$11)&gt;$S$11/HU_alpha+$K$11,0.5*$S$11/HU_alpha,IF((AE107+$K$11)&gt;=$K$11,((AE107+$K$11)-$K$11)-0.5*HU_alpha/$S$11*((AE107+$K$11)-$K$11)^2,IF((AE107+$K$11)&gt;=$T$11,HU_beta*((AE107+$K$11)-$K$11),HU_beta*($T$11-$K$11)))))</f>
        <v/>
      </c>
      <c r="BD107" s="63">
        <f>IF(AND($J$12,A107=$Q$12),J107,0)</f>
        <v/>
      </c>
      <c r="BE107" s="29">
        <f>IF(OR(BD107=0,$S$12=0),0,IF((AE107+$L$12)&gt;$S$12/HU_alpha+$K$12,0.5*$S$12/HU_alpha,IF((AE107+$L$12)&gt;=$K$12,((AE107+$L$12)-$K$12)-0.5*HU_alpha/$S$12*((AE107+$L$12)-$K$12)^2,IF((AE107+$L$12)&gt;=$T$12,HU_beta*((AE107+$L$12)-$K$12),HU_beta*($T$12-$K$12)))))</f>
        <v/>
      </c>
      <c r="BF107" s="29">
        <f>IF(OR(BD107=0,$S$12=0),0,IF((AE107+$L$12+$N$12)&gt;$S$12/HU_alpha+$K$12,0.5*$S$12/HU_alpha,IF((AE107+$L$12+$N$12)&gt;=$K$12,((AE107+$L$12+$N$12)-$K$12)-0.5*HU_alpha/$S$12*((AE107+$L$12+$N$12)-$K$12)^2,IF((AE107+$L$12+$N$12)&gt;=$T$12,HU_beta*((AE107+$L$12+$N$12)-$K$12),HU_beta*($T$12-$K$12)))))</f>
        <v/>
      </c>
      <c r="BG107" s="29">
        <f>IF(OR(BD107=0,$S$12=0),0,IF((AE107+$K$12)&gt;$S$12/HU_alpha+$K$12,0.5*$S$12/HU_alpha,IF((AE107+$K$12)&gt;=$K$12,((AE107+$K$12)-$K$12)-0.5*HU_alpha/$S$12*((AE107+$K$12)-$K$12)^2,IF((AE107+$K$12)&gt;=$T$12,HU_beta*((AE107+$K$12)-$K$12),HU_beta*($T$12-$K$12)))))</f>
        <v/>
      </c>
      <c r="BH107" s="63">
        <f>IF(AND($J$13,A107=$Q$13),J107,0)</f>
        <v/>
      </c>
      <c r="BI107" s="29">
        <f>IF(OR(BH107=0,$S$13=0),0,IF((AE107+$L$13)&gt;$S$13/HU_alpha+$K$13,0.5*$S$13/HU_alpha,IF((AE107+$L$13)&gt;=$K$13,((AE107+$L$13)-$K$13)-0.5*HU_alpha/$S$13*((AE107+$L$13)-$K$13)^2,IF((AE107+$L$13)&gt;=$T$13,HU_beta*((AE107+$L$13)-$K$13),HU_beta*($T$13-$K$13)))))</f>
        <v/>
      </c>
      <c r="BJ107" s="29">
        <f>IF(OR(BH107=0,$S$13=0),0,IF((AE107+$L$13+$N$13)&gt;$S$13/HU_alpha+$K$13,0.5*$S$13/HU_alpha,IF((AE107+$L$13+$N$13)&gt;=$K$13,((AE107+$L$13+$N$13)-$K$13)-0.5*HU_alpha/$S$13*((AE107+$L$13+$N$13)-$K$13)^2,IF((AE107+$L$13+$N$13)&gt;=$T$13,HU_beta*((AE107+$L$13+$N$13)-$K$13),HU_beta*($T$13-$K$13)))))</f>
        <v/>
      </c>
      <c r="BK107" s="29">
        <f>IF(OR(BH107=0,$S$13=0),0,IF((AE107+$K$13)&gt;$S$13/HU_alpha+$K$13,0.5*$S$13/HU_alpha,IF((AE107+$K$13)&gt;=$K$13,((AE107+$K$13)-$K$13)-0.5*HU_alpha/$S$13*((AE107+$K$13)-$K$13)^2,IF((AE107+$K$13)&gt;=$T$13,HU_beta*((AE107+$K$13)-$K$13),HU_beta*($T$13-$K$13)))))</f>
        <v/>
      </c>
    </row>
    <row r="108">
      <c r="A108" s="61" t="n">
        <v>40</v>
      </c>
      <c r="B108" s="61">
        <f>HU_age+A108</f>
        <v/>
      </c>
      <c r="C108" s="52">
        <f>A108&lt;=HU_T</f>
        <v/>
      </c>
      <c r="D108" s="63">
        <f>IF(OR(A108&lt;1,A108&gt;HU_T),0,INDEX(HU_q_mort,HU_age+A108-17,HU_col))</f>
        <v/>
      </c>
      <c r="E108" s="63">
        <f>IF(OR(A108&lt;1,A108&gt;HU_T),0,INDEX(HU_q_adb,HU_age+A108-17,HU_col))</f>
        <v/>
      </c>
      <c r="F108" s="63">
        <f>IF(OR(A108&lt;1,A108&gt;HU_T),0,INDEX(HU_q_morb,HU_age+A108-17,HU_col))</f>
        <v/>
      </c>
      <c r="G108" s="63">
        <f>IF(OR(A108&lt;1,A108&gt;HU_T),0,INDEX(HU_q_ptd,HU_age+A108-17,HU_col))</f>
        <v/>
      </c>
      <c r="H108" s="63">
        <f>IF(OR(A108&lt;1,A108&gt;HU_T),0,INDEX(HU_q_dis,HU_age+A108-17,HU_col))</f>
        <v/>
      </c>
      <c r="I108" s="63">
        <f>IF(A108&gt;HU_T,0,I107*(1-D108)*(1-E108))</f>
        <v/>
      </c>
      <c r="J108" s="63">
        <f>IF(A108&gt;=HU_T,0,N(I109))</f>
        <v/>
      </c>
      <c r="K108" s="63">
        <f>K107*(1-G108)</f>
        <v/>
      </c>
      <c r="L108" s="63">
        <f>1-K108</f>
        <v/>
      </c>
      <c r="M108" s="63">
        <f>K107*G108</f>
        <v/>
      </c>
      <c r="N108" s="63">
        <f>N107*(1-H108)</f>
        <v/>
      </c>
      <c r="O108" s="63">
        <f>1-N107</f>
        <v/>
      </c>
      <c r="P108" s="63">
        <f>P107*(1-F108)</f>
        <v/>
      </c>
      <c r="Q108" s="63">
        <f>1-P107/INDEX($P$68:$P$150,MAX(1,A108-HU_ciYears))</f>
        <v/>
      </c>
      <c r="R108" s="60">
        <f>(1+inflationRate)^A108</f>
        <v/>
      </c>
      <c r="S108" s="29">
        <f>IF(OR(OR(A108&lt;1,A108&gt;HU_T),A108-1&gt;=HU_dtr),0,HU_inc0*(1+incomeGrowthRate)^A108)</f>
        <v/>
      </c>
      <c r="T108" s="60">
        <f>IF(A108&gt;HU_T,T107,T107*(1+INDEX(HU_ssG,HU_age+A108-17)))</f>
        <v/>
      </c>
      <c r="U108" s="29">
        <f>IF(AND(HU_dtr&gt;=1,A108=HU_dtr,A108&lt;=HU_T),MIN(S108*INDEX(HU_ssC,HU_age+A108-17)/(1-INDEX(HU_ssC,HU_age+A108-17)),INDEX(HU_ssCap,HU_age+A108-17))*T108,0)</f>
        <v/>
      </c>
      <c r="V108" s="29">
        <f>S108+U108+IF(AND(HU_wdOn,A108=HU_wdYear),HU_wdIncome,0)</f>
        <v/>
      </c>
      <c r="W108" s="60">
        <f>HU_ciProp*Q108+HU_tpdCut*L108+HU_disCut*O108</f>
        <v/>
      </c>
      <c r="X108" s="29">
        <f>IF(OR(A108&lt;1,A108&gt;HU_T),0,V108*(1-W108))</f>
        <v/>
      </c>
      <c r="Y108" s="29">
        <f>IF(OR(A108&lt;1,A108&gt;HU_T),0,IF(AND(HU_retExp&gt;0,A108-1&gt;=HU_dtr),HU_retExp,HU_exp0)*R108)</f>
        <v/>
      </c>
      <c r="Z108" s="29">
        <f>-Y108-IF(AND(HU_wdOn,A108=HU_wdYear),HU_wdOut,0)</f>
        <v/>
      </c>
      <c r="AA108" s="29">
        <f>IF(OR(A108&lt;1,A108&gt;HU_T),0,-HU_medCost*R108*F108-HU_tpdCost*R108*M108)</f>
        <v/>
      </c>
      <c r="AB108" s="29">
        <f>IF(A108&gt;HU_T,0,AB107*(1+interestRate)+X108+Z108+AA108)</f>
        <v/>
      </c>
      <c r="AC108" s="29">
        <f>IF(A108&gt;HU_T,0,HU_inv*EXP(HU_mu*A108))</f>
        <v/>
      </c>
      <c r="AD108" s="29">
        <f>IF(A108&gt;HU_T,0,MAX(0,AC108+AB108))</f>
        <v/>
      </c>
      <c r="AE108" s="29">
        <f>IF(A108&gt;HU_T,0,MAX(0,X108-Y108))</f>
        <v/>
      </c>
      <c r="AF108" s="63">
        <f>IF(AND($J$6,A108&gt;=1,A108&lt;=$Q$6-1),J108,0)</f>
        <v/>
      </c>
      <c r="AG108" s="29">
        <f>IF(OR(AF108=0,$S$6=0),0,IF((AD108+$L$6)&gt;$S$6/HU_alpha+$K$6,0.5*$S$6/HU_alpha,IF((AD108+$L$6)&gt;=$K$6,((AD108+$L$6)-$K$6)-0.5*HU_alpha/$S$6*((AD108+$L$6)-$K$6)^2,IF((AD108+$L$6)&gt;=$T$6,HU_beta*((AD108+$L$6)-$K$6),HU_beta*($T$6-$K$6)))))</f>
        <v/>
      </c>
      <c r="AH108" s="29">
        <f>IF(OR(AF108=0,$S$6=0),0,IF((AD108+$L$6+$N$6)&gt;$S$6/HU_alpha+$K$6,0.5*$S$6/HU_alpha,IF((AD108+$L$6+$N$6)&gt;=$K$6,((AD108+$L$6+$N$6)-$K$6)-0.5*HU_alpha/$S$6*((AD108+$L$6+$N$6)-$K$6)^2,IF((AD108+$L$6+$N$6)&gt;=$T$6,HU_beta*((AD108+$L$6+$N$6)-$K$6),HU_beta*($T$6-$K$6)))))</f>
        <v/>
      </c>
      <c r="AI108" s="29">
        <f>IF(OR(AF108=0,$S$6=0),0,IF((AD108+$K$6)&gt;$S$6/HU_alpha+$K$6,0.5*$S$6/HU_alpha,IF((AD108+$K$6)&gt;=$K$6,((AD108+$K$6)-$K$6)-0.5*HU_alpha/$S$6*((AD108+$K$6)-$K$6)^2,IF((AD108+$K$6)&gt;=$T$6,HU_beta*((AD108+$K$6)-$K$6),HU_beta*($T$6-$K$6)))))</f>
        <v/>
      </c>
      <c r="AJ108" s="63">
        <f>IF(AND($J$7,A108&gt;=1,A108&lt;=$Q$7-1),J108,0)</f>
        <v/>
      </c>
      <c r="AK108" s="29">
        <f>IF(OR(AJ108=0,$S$7=0),0,IF((AE108+$L$7)&gt;$S$7/HU_alpha+$K$7,0.5*$S$7/HU_alpha,IF((AE108+$L$7)&gt;=$K$7,((AE108+$L$7)-$K$7)-0.5*HU_alpha/$S$7*((AE108+$L$7)-$K$7)^2,IF((AE108+$L$7)&gt;=$T$7,HU_beta*((AE108+$L$7)-$K$7),HU_beta*($T$7-$K$7)))))</f>
        <v/>
      </c>
      <c r="AL108" s="29">
        <f>IF(OR(AJ108=0,$S$7=0),0,IF((AE108+$L$7+$N$7)&gt;$S$7/HU_alpha+$K$7,0.5*$S$7/HU_alpha,IF((AE108+$L$7+$N$7)&gt;=$K$7,((AE108+$L$7+$N$7)-$K$7)-0.5*HU_alpha/$S$7*((AE108+$L$7+$N$7)-$K$7)^2,IF((AE108+$L$7+$N$7)&gt;=$T$7,HU_beta*((AE108+$L$7+$N$7)-$K$7),HU_beta*($T$7-$K$7)))))</f>
        <v/>
      </c>
      <c r="AM108" s="29">
        <f>IF(OR(AJ108=0,$S$7=0),0,IF((AE108+$K$7)&gt;$S$7/HU_alpha+$K$7,0.5*$S$7/HU_alpha,IF((AE108+$K$7)&gt;=$K$7,((AE108+$K$7)-$K$7)-0.5*HU_alpha/$S$7*((AE108+$K$7)-$K$7)^2,IF((AE108+$K$7)&gt;=$T$7,HU_beta*((AE108+$K$7)-$K$7),HU_beta*($T$7-$K$7)))))</f>
        <v/>
      </c>
      <c r="AN108" s="63">
        <f>IF(AND($J$8,A108&gt;=1,A108&lt;=$Q$8-1),J108,0)</f>
        <v/>
      </c>
      <c r="AO108" s="29">
        <f>IF(OR(AN108=0,$S$8=0),0,IF((AE108+$L$8)&gt;$S$8/HU_alpha+$K$8,0.5*$S$8/HU_alpha,IF((AE108+$L$8)&gt;=$K$8,((AE108+$L$8)-$K$8)-0.5*HU_alpha/$S$8*((AE108+$L$8)-$K$8)^2,IF((AE108+$L$8)&gt;=$T$8,HU_beta*((AE108+$L$8)-$K$8),HU_beta*($T$8-$K$8)))))</f>
        <v/>
      </c>
      <c r="AP108" s="29">
        <f>IF(OR(AN108=0,$S$8=0),0,IF((AE108+$L$8+$N$8)&gt;$S$8/HU_alpha+$K$8,0.5*$S$8/HU_alpha,IF((AE108+$L$8+$N$8)&gt;=$K$8,((AE108+$L$8+$N$8)-$K$8)-0.5*HU_alpha/$S$8*((AE108+$L$8+$N$8)-$K$8)^2,IF((AE108+$L$8+$N$8)&gt;=$T$8,HU_beta*((AE108+$L$8+$N$8)-$K$8),HU_beta*($T$8-$K$8)))))</f>
        <v/>
      </c>
      <c r="AQ108" s="29">
        <f>IF(OR(AN108=0,$S$8=0),0,IF((AE108+$K$8)&gt;$S$8/HU_alpha+$K$8,0.5*$S$8/HU_alpha,IF((AE108+$K$8)&gt;=$K$8,((AE108+$K$8)-$K$8)-0.5*HU_alpha/$S$8*((AE108+$K$8)-$K$8)^2,IF((AE108+$K$8)&gt;=$T$8,HU_beta*((AE108+$K$8)-$K$8),HU_beta*($T$8-$K$8)))))</f>
        <v/>
      </c>
      <c r="AR108" s="63">
        <f>IF(AND($J$9,A108&gt;=1,A108&lt;=$Q$9-1),J108,0)</f>
        <v/>
      </c>
      <c r="AS108" s="29">
        <f>IF(OR(AR108=0,$S$9=0),0,IF((AE108+$L$9)&gt;$S$9/HU_alpha+$K$9,0.5*$S$9/HU_alpha,IF((AE108+$L$9)&gt;=$K$9,((AE108+$L$9)-$K$9)-0.5*HU_alpha/$S$9*((AE108+$L$9)-$K$9)^2,IF((AE108+$L$9)&gt;=$T$9,HU_beta*((AE108+$L$9)-$K$9),HU_beta*($T$9-$K$9)))))</f>
        <v/>
      </c>
      <c r="AT108" s="29">
        <f>IF(OR(AR108=0,$S$9=0),0,IF((AE108+$L$9+$N$9)&gt;$S$9/HU_alpha+$K$9,0.5*$S$9/HU_alpha,IF((AE108+$L$9+$N$9)&gt;=$K$9,((AE108+$L$9+$N$9)-$K$9)-0.5*HU_alpha/$S$9*((AE108+$L$9+$N$9)-$K$9)^2,IF((AE108+$L$9+$N$9)&gt;=$T$9,HU_beta*((AE108+$L$9+$N$9)-$K$9),HU_beta*($T$9-$K$9)))))</f>
        <v/>
      </c>
      <c r="AU108" s="29">
        <f>IF(OR(AR108=0,$S$9=0),0,IF((AE108+$K$9)&gt;$S$9/HU_alpha+$K$9,0.5*$S$9/HU_alpha,IF((AE108+$K$9)&gt;=$K$9,((AE108+$K$9)-$K$9)-0.5*HU_alpha/$S$9*((AE108+$K$9)-$K$9)^2,IF((AE108+$K$9)&gt;=$T$9,HU_beta*((AE108+$K$9)-$K$9),HU_beta*($T$9-$K$9)))))</f>
        <v/>
      </c>
      <c r="AV108" s="63">
        <f>IF(AND($J$10,A108=$Q$10),J108,0)</f>
        <v/>
      </c>
      <c r="AW108" s="29">
        <f>IF(OR(AV108=0,$S$10=0),0,IF((AD108+$L$10)&gt;$S$10/HU_alpha+$K$10,0.5*$S$10/HU_alpha,IF((AD108+$L$10)&gt;=$K$10,((AD108+$L$10)-$K$10)-0.5*HU_alpha/$S$10*((AD108+$L$10)-$K$10)^2,IF((AD108+$L$10)&gt;=$T$10,HU_beta*((AD108+$L$10)-$K$10),HU_beta*($T$10-$K$10)))))</f>
        <v/>
      </c>
      <c r="AX108" s="29">
        <f>IF(OR(AV108=0,$S$10=0),0,IF((AD108+$L$10+$N$10)&gt;$S$10/HU_alpha+$K$10,0.5*$S$10/HU_alpha,IF((AD108+$L$10+$N$10)&gt;=$K$10,((AD108+$L$10+$N$10)-$K$10)-0.5*HU_alpha/$S$10*((AD108+$L$10+$N$10)-$K$10)^2,IF((AD108+$L$10+$N$10)&gt;=$T$10,HU_beta*((AD108+$L$10+$N$10)-$K$10),HU_beta*($T$10-$K$10)))))</f>
        <v/>
      </c>
      <c r="AY108" s="29">
        <f>IF(OR(AV108=0,$S$10=0),0,IF((AD108+$K$10)&gt;$S$10/HU_alpha+$K$10,0.5*$S$10/HU_alpha,IF((AD108+$K$10)&gt;=$K$10,((AD108+$K$10)-$K$10)-0.5*HU_alpha/$S$10*((AD108+$K$10)-$K$10)^2,IF((AD108+$K$10)&gt;=$T$10,HU_beta*((AD108+$K$10)-$K$10),HU_beta*($T$10-$K$10)))))</f>
        <v/>
      </c>
      <c r="AZ108" s="63">
        <f>IF(AND($J$11,A108=$Q$11),J108,0)</f>
        <v/>
      </c>
      <c r="BA108" s="29">
        <f>IF(OR(AZ108=0,$S$11=0),0,IF((AE108+$L$11)&gt;$S$11/HU_alpha+$K$11,0.5*$S$11/HU_alpha,IF((AE108+$L$11)&gt;=$K$11,((AE108+$L$11)-$K$11)-0.5*HU_alpha/$S$11*((AE108+$L$11)-$K$11)^2,IF((AE108+$L$11)&gt;=$T$11,HU_beta*((AE108+$L$11)-$K$11),HU_beta*($T$11-$K$11)))))</f>
        <v/>
      </c>
      <c r="BB108" s="29">
        <f>IF(OR(AZ108=0,$S$11=0),0,IF((AE108+$L$11+$N$11)&gt;$S$11/HU_alpha+$K$11,0.5*$S$11/HU_alpha,IF((AE108+$L$11+$N$11)&gt;=$K$11,((AE108+$L$11+$N$11)-$K$11)-0.5*HU_alpha/$S$11*((AE108+$L$11+$N$11)-$K$11)^2,IF((AE108+$L$11+$N$11)&gt;=$T$11,HU_beta*((AE108+$L$11+$N$11)-$K$11),HU_beta*($T$11-$K$11)))))</f>
        <v/>
      </c>
      <c r="BC108" s="29">
        <f>IF(OR(AZ108=0,$S$11=0),0,IF((AE108+$K$11)&gt;$S$11/HU_alpha+$K$11,0.5*$S$11/HU_alpha,IF((AE108+$K$11)&gt;=$K$11,((AE108+$K$11)-$K$11)-0.5*HU_alpha/$S$11*((AE108+$K$11)-$K$11)^2,IF((AE108+$K$11)&gt;=$T$11,HU_beta*((AE108+$K$11)-$K$11),HU_beta*($T$11-$K$11)))))</f>
        <v/>
      </c>
      <c r="BD108" s="63">
        <f>IF(AND($J$12,A108=$Q$12),J108,0)</f>
        <v/>
      </c>
      <c r="BE108" s="29">
        <f>IF(OR(BD108=0,$S$12=0),0,IF((AE108+$L$12)&gt;$S$12/HU_alpha+$K$12,0.5*$S$12/HU_alpha,IF((AE108+$L$12)&gt;=$K$12,((AE108+$L$12)-$K$12)-0.5*HU_alpha/$S$12*((AE108+$L$12)-$K$12)^2,IF((AE108+$L$12)&gt;=$T$12,HU_beta*((AE108+$L$12)-$K$12),HU_beta*($T$12-$K$12)))))</f>
        <v/>
      </c>
      <c r="BF108" s="29">
        <f>IF(OR(BD108=0,$S$12=0),0,IF((AE108+$L$12+$N$12)&gt;$S$12/HU_alpha+$K$12,0.5*$S$12/HU_alpha,IF((AE108+$L$12+$N$12)&gt;=$K$12,((AE108+$L$12+$N$12)-$K$12)-0.5*HU_alpha/$S$12*((AE108+$L$12+$N$12)-$K$12)^2,IF((AE108+$L$12+$N$12)&gt;=$T$12,HU_beta*((AE108+$L$12+$N$12)-$K$12),HU_beta*($T$12-$K$12)))))</f>
        <v/>
      </c>
      <c r="BG108" s="29">
        <f>IF(OR(BD108=0,$S$12=0),0,IF((AE108+$K$12)&gt;$S$12/HU_alpha+$K$12,0.5*$S$12/HU_alpha,IF((AE108+$K$12)&gt;=$K$12,((AE108+$K$12)-$K$12)-0.5*HU_alpha/$S$12*((AE108+$K$12)-$K$12)^2,IF((AE108+$K$12)&gt;=$T$12,HU_beta*((AE108+$K$12)-$K$12),HU_beta*($T$12-$K$12)))))</f>
        <v/>
      </c>
      <c r="BH108" s="63">
        <f>IF(AND($J$13,A108=$Q$13),J108,0)</f>
        <v/>
      </c>
      <c r="BI108" s="29">
        <f>IF(OR(BH108=0,$S$13=0),0,IF((AE108+$L$13)&gt;$S$13/HU_alpha+$K$13,0.5*$S$13/HU_alpha,IF((AE108+$L$13)&gt;=$K$13,((AE108+$L$13)-$K$13)-0.5*HU_alpha/$S$13*((AE108+$L$13)-$K$13)^2,IF((AE108+$L$13)&gt;=$T$13,HU_beta*((AE108+$L$13)-$K$13),HU_beta*($T$13-$K$13)))))</f>
        <v/>
      </c>
      <c r="BJ108" s="29">
        <f>IF(OR(BH108=0,$S$13=0),0,IF((AE108+$L$13+$N$13)&gt;$S$13/HU_alpha+$K$13,0.5*$S$13/HU_alpha,IF((AE108+$L$13+$N$13)&gt;=$K$13,((AE108+$L$13+$N$13)-$K$13)-0.5*HU_alpha/$S$13*((AE108+$L$13+$N$13)-$K$13)^2,IF((AE108+$L$13+$N$13)&gt;=$T$13,HU_beta*((AE108+$L$13+$N$13)-$K$13),HU_beta*($T$13-$K$13)))))</f>
        <v/>
      </c>
      <c r="BK108" s="29">
        <f>IF(OR(BH108=0,$S$13=0),0,IF((AE108+$K$13)&gt;$S$13/HU_alpha+$K$13,0.5*$S$13/HU_alpha,IF((AE108+$K$13)&gt;=$K$13,((AE108+$K$13)-$K$13)-0.5*HU_alpha/$S$13*((AE108+$K$13)-$K$13)^2,IF((AE108+$K$13)&gt;=$T$13,HU_beta*((AE108+$K$13)-$K$13),HU_beta*($T$13-$K$13)))))</f>
        <v/>
      </c>
    </row>
    <row r="109">
      <c r="A109" s="61" t="n">
        <v>41</v>
      </c>
      <c r="B109" s="61">
        <f>HU_age+A109</f>
        <v/>
      </c>
      <c r="C109" s="52">
        <f>A109&lt;=HU_T</f>
        <v/>
      </c>
      <c r="D109" s="63">
        <f>IF(OR(A109&lt;1,A109&gt;HU_T),0,INDEX(HU_q_mort,HU_age+A109-17,HU_col))</f>
        <v/>
      </c>
      <c r="E109" s="63">
        <f>IF(OR(A109&lt;1,A109&gt;HU_T),0,INDEX(HU_q_adb,HU_age+A109-17,HU_col))</f>
        <v/>
      </c>
      <c r="F109" s="63">
        <f>IF(OR(A109&lt;1,A109&gt;HU_T),0,INDEX(HU_q_morb,HU_age+A109-17,HU_col))</f>
        <v/>
      </c>
      <c r="G109" s="63">
        <f>IF(OR(A109&lt;1,A109&gt;HU_T),0,INDEX(HU_q_ptd,HU_age+A109-17,HU_col))</f>
        <v/>
      </c>
      <c r="H109" s="63">
        <f>IF(OR(A109&lt;1,A109&gt;HU_T),0,INDEX(HU_q_dis,HU_age+A109-17,HU_col))</f>
        <v/>
      </c>
      <c r="I109" s="63">
        <f>IF(A109&gt;HU_T,0,I108*(1-D109)*(1-E109))</f>
        <v/>
      </c>
      <c r="J109" s="63">
        <f>IF(A109&gt;=HU_T,0,N(I110))</f>
        <v/>
      </c>
      <c r="K109" s="63">
        <f>K108*(1-G109)</f>
        <v/>
      </c>
      <c r="L109" s="63">
        <f>1-K109</f>
        <v/>
      </c>
      <c r="M109" s="63">
        <f>K108*G109</f>
        <v/>
      </c>
      <c r="N109" s="63">
        <f>N108*(1-H109)</f>
        <v/>
      </c>
      <c r="O109" s="63">
        <f>1-N108</f>
        <v/>
      </c>
      <c r="P109" s="63">
        <f>P108*(1-F109)</f>
        <v/>
      </c>
      <c r="Q109" s="63">
        <f>1-P108/INDEX($P$68:$P$150,MAX(1,A109-HU_ciYears))</f>
        <v/>
      </c>
      <c r="R109" s="60">
        <f>(1+inflationRate)^A109</f>
        <v/>
      </c>
      <c r="S109" s="29">
        <f>IF(OR(OR(A109&lt;1,A109&gt;HU_T),A109-1&gt;=HU_dtr),0,HU_inc0*(1+incomeGrowthRate)^A109)</f>
        <v/>
      </c>
      <c r="T109" s="60">
        <f>IF(A109&gt;HU_T,T108,T108*(1+INDEX(HU_ssG,HU_age+A109-17)))</f>
        <v/>
      </c>
      <c r="U109" s="29">
        <f>IF(AND(HU_dtr&gt;=1,A109=HU_dtr,A109&lt;=HU_T),MIN(S109*INDEX(HU_ssC,HU_age+A109-17)/(1-INDEX(HU_ssC,HU_age+A109-17)),INDEX(HU_ssCap,HU_age+A109-17))*T109,0)</f>
        <v/>
      </c>
      <c r="V109" s="29">
        <f>S109+U109+IF(AND(HU_wdOn,A109=HU_wdYear),HU_wdIncome,0)</f>
        <v/>
      </c>
      <c r="W109" s="60">
        <f>HU_ciProp*Q109+HU_tpdCut*L109+HU_disCut*O109</f>
        <v/>
      </c>
      <c r="X109" s="29">
        <f>IF(OR(A109&lt;1,A109&gt;HU_T),0,V109*(1-W109))</f>
        <v/>
      </c>
      <c r="Y109" s="29">
        <f>IF(OR(A109&lt;1,A109&gt;HU_T),0,IF(AND(HU_retExp&gt;0,A109-1&gt;=HU_dtr),HU_retExp,HU_exp0)*R109)</f>
        <v/>
      </c>
      <c r="Z109" s="29">
        <f>-Y109-IF(AND(HU_wdOn,A109=HU_wdYear),HU_wdOut,0)</f>
        <v/>
      </c>
      <c r="AA109" s="29">
        <f>IF(OR(A109&lt;1,A109&gt;HU_T),0,-HU_medCost*R109*F109-HU_tpdCost*R109*M109)</f>
        <v/>
      </c>
      <c r="AB109" s="29">
        <f>IF(A109&gt;HU_T,0,AB108*(1+interestRate)+X109+Z109+AA109)</f>
        <v/>
      </c>
      <c r="AC109" s="29">
        <f>IF(A109&gt;HU_T,0,HU_inv*EXP(HU_mu*A109))</f>
        <v/>
      </c>
      <c r="AD109" s="29">
        <f>IF(A109&gt;HU_T,0,MAX(0,AC109+AB109))</f>
        <v/>
      </c>
      <c r="AE109" s="29">
        <f>IF(A109&gt;HU_T,0,MAX(0,X109-Y109))</f>
        <v/>
      </c>
      <c r="AF109" s="63">
        <f>IF(AND($J$6,A109&gt;=1,A109&lt;=$Q$6-1),J109,0)</f>
        <v/>
      </c>
      <c r="AG109" s="29">
        <f>IF(OR(AF109=0,$S$6=0),0,IF((AD109+$L$6)&gt;$S$6/HU_alpha+$K$6,0.5*$S$6/HU_alpha,IF((AD109+$L$6)&gt;=$K$6,((AD109+$L$6)-$K$6)-0.5*HU_alpha/$S$6*((AD109+$L$6)-$K$6)^2,IF((AD109+$L$6)&gt;=$T$6,HU_beta*((AD109+$L$6)-$K$6),HU_beta*($T$6-$K$6)))))</f>
        <v/>
      </c>
      <c r="AH109" s="29">
        <f>IF(OR(AF109=0,$S$6=0),0,IF((AD109+$L$6+$N$6)&gt;$S$6/HU_alpha+$K$6,0.5*$S$6/HU_alpha,IF((AD109+$L$6+$N$6)&gt;=$K$6,((AD109+$L$6+$N$6)-$K$6)-0.5*HU_alpha/$S$6*((AD109+$L$6+$N$6)-$K$6)^2,IF((AD109+$L$6+$N$6)&gt;=$T$6,HU_beta*((AD109+$L$6+$N$6)-$K$6),HU_beta*($T$6-$K$6)))))</f>
        <v/>
      </c>
      <c r="AI109" s="29">
        <f>IF(OR(AF109=0,$S$6=0),0,IF((AD109+$K$6)&gt;$S$6/HU_alpha+$K$6,0.5*$S$6/HU_alpha,IF((AD109+$K$6)&gt;=$K$6,((AD109+$K$6)-$K$6)-0.5*HU_alpha/$S$6*((AD109+$K$6)-$K$6)^2,IF((AD109+$K$6)&gt;=$T$6,HU_beta*((AD109+$K$6)-$K$6),HU_beta*($T$6-$K$6)))))</f>
        <v/>
      </c>
      <c r="AJ109" s="63">
        <f>IF(AND($J$7,A109&gt;=1,A109&lt;=$Q$7-1),J109,0)</f>
        <v/>
      </c>
      <c r="AK109" s="29">
        <f>IF(OR(AJ109=0,$S$7=0),0,IF((AE109+$L$7)&gt;$S$7/HU_alpha+$K$7,0.5*$S$7/HU_alpha,IF((AE109+$L$7)&gt;=$K$7,((AE109+$L$7)-$K$7)-0.5*HU_alpha/$S$7*((AE109+$L$7)-$K$7)^2,IF((AE109+$L$7)&gt;=$T$7,HU_beta*((AE109+$L$7)-$K$7),HU_beta*($T$7-$K$7)))))</f>
        <v/>
      </c>
      <c r="AL109" s="29">
        <f>IF(OR(AJ109=0,$S$7=0),0,IF((AE109+$L$7+$N$7)&gt;$S$7/HU_alpha+$K$7,0.5*$S$7/HU_alpha,IF((AE109+$L$7+$N$7)&gt;=$K$7,((AE109+$L$7+$N$7)-$K$7)-0.5*HU_alpha/$S$7*((AE109+$L$7+$N$7)-$K$7)^2,IF((AE109+$L$7+$N$7)&gt;=$T$7,HU_beta*((AE109+$L$7+$N$7)-$K$7),HU_beta*($T$7-$K$7)))))</f>
        <v/>
      </c>
      <c r="AM109" s="29">
        <f>IF(OR(AJ109=0,$S$7=0),0,IF((AE109+$K$7)&gt;$S$7/HU_alpha+$K$7,0.5*$S$7/HU_alpha,IF((AE109+$K$7)&gt;=$K$7,((AE109+$K$7)-$K$7)-0.5*HU_alpha/$S$7*((AE109+$K$7)-$K$7)^2,IF((AE109+$K$7)&gt;=$T$7,HU_beta*((AE109+$K$7)-$K$7),HU_beta*($T$7-$K$7)))))</f>
        <v/>
      </c>
      <c r="AN109" s="63">
        <f>IF(AND($J$8,A109&gt;=1,A109&lt;=$Q$8-1),J109,0)</f>
        <v/>
      </c>
      <c r="AO109" s="29">
        <f>IF(OR(AN109=0,$S$8=0),0,IF((AE109+$L$8)&gt;$S$8/HU_alpha+$K$8,0.5*$S$8/HU_alpha,IF((AE109+$L$8)&gt;=$K$8,((AE109+$L$8)-$K$8)-0.5*HU_alpha/$S$8*((AE109+$L$8)-$K$8)^2,IF((AE109+$L$8)&gt;=$T$8,HU_beta*((AE109+$L$8)-$K$8),HU_beta*($T$8-$K$8)))))</f>
        <v/>
      </c>
      <c r="AP109" s="29">
        <f>IF(OR(AN109=0,$S$8=0),0,IF((AE109+$L$8+$N$8)&gt;$S$8/HU_alpha+$K$8,0.5*$S$8/HU_alpha,IF((AE109+$L$8+$N$8)&gt;=$K$8,((AE109+$L$8+$N$8)-$K$8)-0.5*HU_alpha/$S$8*((AE109+$L$8+$N$8)-$K$8)^2,IF((AE109+$L$8+$N$8)&gt;=$T$8,HU_beta*((AE109+$L$8+$N$8)-$K$8),HU_beta*($T$8-$K$8)))))</f>
        <v/>
      </c>
      <c r="AQ109" s="29">
        <f>IF(OR(AN109=0,$S$8=0),0,IF((AE109+$K$8)&gt;$S$8/HU_alpha+$K$8,0.5*$S$8/HU_alpha,IF((AE109+$K$8)&gt;=$K$8,((AE109+$K$8)-$K$8)-0.5*HU_alpha/$S$8*((AE109+$K$8)-$K$8)^2,IF((AE109+$K$8)&gt;=$T$8,HU_beta*((AE109+$K$8)-$K$8),HU_beta*($T$8-$K$8)))))</f>
        <v/>
      </c>
      <c r="AR109" s="63">
        <f>IF(AND($J$9,A109&gt;=1,A109&lt;=$Q$9-1),J109,0)</f>
        <v/>
      </c>
      <c r="AS109" s="29">
        <f>IF(OR(AR109=0,$S$9=0),0,IF((AE109+$L$9)&gt;$S$9/HU_alpha+$K$9,0.5*$S$9/HU_alpha,IF((AE109+$L$9)&gt;=$K$9,((AE109+$L$9)-$K$9)-0.5*HU_alpha/$S$9*((AE109+$L$9)-$K$9)^2,IF((AE109+$L$9)&gt;=$T$9,HU_beta*((AE109+$L$9)-$K$9),HU_beta*($T$9-$K$9)))))</f>
        <v/>
      </c>
      <c r="AT109" s="29">
        <f>IF(OR(AR109=0,$S$9=0),0,IF((AE109+$L$9+$N$9)&gt;$S$9/HU_alpha+$K$9,0.5*$S$9/HU_alpha,IF((AE109+$L$9+$N$9)&gt;=$K$9,((AE109+$L$9+$N$9)-$K$9)-0.5*HU_alpha/$S$9*((AE109+$L$9+$N$9)-$K$9)^2,IF((AE109+$L$9+$N$9)&gt;=$T$9,HU_beta*((AE109+$L$9+$N$9)-$K$9),HU_beta*($T$9-$K$9)))))</f>
        <v/>
      </c>
      <c r="AU109" s="29">
        <f>IF(OR(AR109=0,$S$9=0),0,IF((AE109+$K$9)&gt;$S$9/HU_alpha+$K$9,0.5*$S$9/HU_alpha,IF((AE109+$K$9)&gt;=$K$9,((AE109+$K$9)-$K$9)-0.5*HU_alpha/$S$9*((AE109+$K$9)-$K$9)^2,IF((AE109+$K$9)&gt;=$T$9,HU_beta*((AE109+$K$9)-$K$9),HU_beta*($T$9-$K$9)))))</f>
        <v/>
      </c>
      <c r="AV109" s="63">
        <f>IF(AND($J$10,A109=$Q$10),J109,0)</f>
        <v/>
      </c>
      <c r="AW109" s="29">
        <f>IF(OR(AV109=0,$S$10=0),0,IF((AD109+$L$10)&gt;$S$10/HU_alpha+$K$10,0.5*$S$10/HU_alpha,IF((AD109+$L$10)&gt;=$K$10,((AD109+$L$10)-$K$10)-0.5*HU_alpha/$S$10*((AD109+$L$10)-$K$10)^2,IF((AD109+$L$10)&gt;=$T$10,HU_beta*((AD109+$L$10)-$K$10),HU_beta*($T$10-$K$10)))))</f>
        <v/>
      </c>
      <c r="AX109" s="29">
        <f>IF(OR(AV109=0,$S$10=0),0,IF((AD109+$L$10+$N$10)&gt;$S$10/HU_alpha+$K$10,0.5*$S$10/HU_alpha,IF((AD109+$L$10+$N$10)&gt;=$K$10,((AD109+$L$10+$N$10)-$K$10)-0.5*HU_alpha/$S$10*((AD109+$L$10+$N$10)-$K$10)^2,IF((AD109+$L$10+$N$10)&gt;=$T$10,HU_beta*((AD109+$L$10+$N$10)-$K$10),HU_beta*($T$10-$K$10)))))</f>
        <v/>
      </c>
      <c r="AY109" s="29">
        <f>IF(OR(AV109=0,$S$10=0),0,IF((AD109+$K$10)&gt;$S$10/HU_alpha+$K$10,0.5*$S$10/HU_alpha,IF((AD109+$K$10)&gt;=$K$10,((AD109+$K$10)-$K$10)-0.5*HU_alpha/$S$10*((AD109+$K$10)-$K$10)^2,IF((AD109+$K$10)&gt;=$T$10,HU_beta*((AD109+$K$10)-$K$10),HU_beta*($T$10-$K$10)))))</f>
        <v/>
      </c>
      <c r="AZ109" s="63">
        <f>IF(AND($J$11,A109=$Q$11),J109,0)</f>
        <v/>
      </c>
      <c r="BA109" s="29">
        <f>IF(OR(AZ109=0,$S$11=0),0,IF((AE109+$L$11)&gt;$S$11/HU_alpha+$K$11,0.5*$S$11/HU_alpha,IF((AE109+$L$11)&gt;=$K$11,((AE109+$L$11)-$K$11)-0.5*HU_alpha/$S$11*((AE109+$L$11)-$K$11)^2,IF((AE109+$L$11)&gt;=$T$11,HU_beta*((AE109+$L$11)-$K$11),HU_beta*($T$11-$K$11)))))</f>
        <v/>
      </c>
      <c r="BB109" s="29">
        <f>IF(OR(AZ109=0,$S$11=0),0,IF((AE109+$L$11+$N$11)&gt;$S$11/HU_alpha+$K$11,0.5*$S$11/HU_alpha,IF((AE109+$L$11+$N$11)&gt;=$K$11,((AE109+$L$11+$N$11)-$K$11)-0.5*HU_alpha/$S$11*((AE109+$L$11+$N$11)-$K$11)^2,IF((AE109+$L$11+$N$11)&gt;=$T$11,HU_beta*((AE109+$L$11+$N$11)-$K$11),HU_beta*($T$11-$K$11)))))</f>
        <v/>
      </c>
      <c r="BC109" s="29">
        <f>IF(OR(AZ109=0,$S$11=0),0,IF((AE109+$K$11)&gt;$S$11/HU_alpha+$K$11,0.5*$S$11/HU_alpha,IF((AE109+$K$11)&gt;=$K$11,((AE109+$K$11)-$K$11)-0.5*HU_alpha/$S$11*((AE109+$K$11)-$K$11)^2,IF((AE109+$K$11)&gt;=$T$11,HU_beta*((AE109+$K$11)-$K$11),HU_beta*($T$11-$K$11)))))</f>
        <v/>
      </c>
      <c r="BD109" s="63">
        <f>IF(AND($J$12,A109=$Q$12),J109,0)</f>
        <v/>
      </c>
      <c r="BE109" s="29">
        <f>IF(OR(BD109=0,$S$12=0),0,IF((AE109+$L$12)&gt;$S$12/HU_alpha+$K$12,0.5*$S$12/HU_alpha,IF((AE109+$L$12)&gt;=$K$12,((AE109+$L$12)-$K$12)-0.5*HU_alpha/$S$12*((AE109+$L$12)-$K$12)^2,IF((AE109+$L$12)&gt;=$T$12,HU_beta*((AE109+$L$12)-$K$12),HU_beta*($T$12-$K$12)))))</f>
        <v/>
      </c>
      <c r="BF109" s="29">
        <f>IF(OR(BD109=0,$S$12=0),0,IF((AE109+$L$12+$N$12)&gt;$S$12/HU_alpha+$K$12,0.5*$S$12/HU_alpha,IF((AE109+$L$12+$N$12)&gt;=$K$12,((AE109+$L$12+$N$12)-$K$12)-0.5*HU_alpha/$S$12*((AE109+$L$12+$N$12)-$K$12)^2,IF((AE109+$L$12+$N$12)&gt;=$T$12,HU_beta*((AE109+$L$12+$N$12)-$K$12),HU_beta*($T$12-$K$12)))))</f>
        <v/>
      </c>
      <c r="BG109" s="29">
        <f>IF(OR(BD109=0,$S$12=0),0,IF((AE109+$K$12)&gt;$S$12/HU_alpha+$K$12,0.5*$S$12/HU_alpha,IF((AE109+$K$12)&gt;=$K$12,((AE109+$K$12)-$K$12)-0.5*HU_alpha/$S$12*((AE109+$K$12)-$K$12)^2,IF((AE109+$K$12)&gt;=$T$12,HU_beta*((AE109+$K$12)-$K$12),HU_beta*($T$12-$K$12)))))</f>
        <v/>
      </c>
      <c r="BH109" s="63">
        <f>IF(AND($J$13,A109=$Q$13),J109,0)</f>
        <v/>
      </c>
      <c r="BI109" s="29">
        <f>IF(OR(BH109=0,$S$13=0),0,IF((AE109+$L$13)&gt;$S$13/HU_alpha+$K$13,0.5*$S$13/HU_alpha,IF((AE109+$L$13)&gt;=$K$13,((AE109+$L$13)-$K$13)-0.5*HU_alpha/$S$13*((AE109+$L$13)-$K$13)^2,IF((AE109+$L$13)&gt;=$T$13,HU_beta*((AE109+$L$13)-$K$13),HU_beta*($T$13-$K$13)))))</f>
        <v/>
      </c>
      <c r="BJ109" s="29">
        <f>IF(OR(BH109=0,$S$13=0),0,IF((AE109+$L$13+$N$13)&gt;$S$13/HU_alpha+$K$13,0.5*$S$13/HU_alpha,IF((AE109+$L$13+$N$13)&gt;=$K$13,((AE109+$L$13+$N$13)-$K$13)-0.5*HU_alpha/$S$13*((AE109+$L$13+$N$13)-$K$13)^2,IF((AE109+$L$13+$N$13)&gt;=$T$13,HU_beta*((AE109+$L$13+$N$13)-$K$13),HU_beta*($T$13-$K$13)))))</f>
        <v/>
      </c>
      <c r="BK109" s="29">
        <f>IF(OR(BH109=0,$S$13=0),0,IF((AE109+$K$13)&gt;$S$13/HU_alpha+$K$13,0.5*$S$13/HU_alpha,IF((AE109+$K$13)&gt;=$K$13,((AE109+$K$13)-$K$13)-0.5*HU_alpha/$S$13*((AE109+$K$13)-$K$13)^2,IF((AE109+$K$13)&gt;=$T$13,HU_beta*((AE109+$K$13)-$K$13),HU_beta*($T$13-$K$13)))))</f>
        <v/>
      </c>
    </row>
    <row r="110">
      <c r="A110" s="61" t="n">
        <v>42</v>
      </c>
      <c r="B110" s="61">
        <f>HU_age+A110</f>
        <v/>
      </c>
      <c r="C110" s="52">
        <f>A110&lt;=HU_T</f>
        <v/>
      </c>
      <c r="D110" s="63">
        <f>IF(OR(A110&lt;1,A110&gt;HU_T),0,INDEX(HU_q_mort,HU_age+A110-17,HU_col))</f>
        <v/>
      </c>
      <c r="E110" s="63">
        <f>IF(OR(A110&lt;1,A110&gt;HU_T),0,INDEX(HU_q_adb,HU_age+A110-17,HU_col))</f>
        <v/>
      </c>
      <c r="F110" s="63">
        <f>IF(OR(A110&lt;1,A110&gt;HU_T),0,INDEX(HU_q_morb,HU_age+A110-17,HU_col))</f>
        <v/>
      </c>
      <c r="G110" s="63">
        <f>IF(OR(A110&lt;1,A110&gt;HU_T),0,INDEX(HU_q_ptd,HU_age+A110-17,HU_col))</f>
        <v/>
      </c>
      <c r="H110" s="63">
        <f>IF(OR(A110&lt;1,A110&gt;HU_T),0,INDEX(HU_q_dis,HU_age+A110-17,HU_col))</f>
        <v/>
      </c>
      <c r="I110" s="63">
        <f>IF(A110&gt;HU_T,0,I109*(1-D110)*(1-E110))</f>
        <v/>
      </c>
      <c r="J110" s="63">
        <f>IF(A110&gt;=HU_T,0,N(I111))</f>
        <v/>
      </c>
      <c r="K110" s="63">
        <f>K109*(1-G110)</f>
        <v/>
      </c>
      <c r="L110" s="63">
        <f>1-K110</f>
        <v/>
      </c>
      <c r="M110" s="63">
        <f>K109*G110</f>
        <v/>
      </c>
      <c r="N110" s="63">
        <f>N109*(1-H110)</f>
        <v/>
      </c>
      <c r="O110" s="63">
        <f>1-N109</f>
        <v/>
      </c>
      <c r="P110" s="63">
        <f>P109*(1-F110)</f>
        <v/>
      </c>
      <c r="Q110" s="63">
        <f>1-P109/INDEX($P$68:$P$150,MAX(1,A110-HU_ciYears))</f>
        <v/>
      </c>
      <c r="R110" s="60">
        <f>(1+inflationRate)^A110</f>
        <v/>
      </c>
      <c r="S110" s="29">
        <f>IF(OR(OR(A110&lt;1,A110&gt;HU_T),A110-1&gt;=HU_dtr),0,HU_inc0*(1+incomeGrowthRate)^A110)</f>
        <v/>
      </c>
      <c r="T110" s="60">
        <f>IF(A110&gt;HU_T,T109,T109*(1+INDEX(HU_ssG,HU_age+A110-17)))</f>
        <v/>
      </c>
      <c r="U110" s="29">
        <f>IF(AND(HU_dtr&gt;=1,A110=HU_dtr,A110&lt;=HU_T),MIN(S110*INDEX(HU_ssC,HU_age+A110-17)/(1-INDEX(HU_ssC,HU_age+A110-17)),INDEX(HU_ssCap,HU_age+A110-17))*T110,0)</f>
        <v/>
      </c>
      <c r="V110" s="29">
        <f>S110+U110+IF(AND(HU_wdOn,A110=HU_wdYear),HU_wdIncome,0)</f>
        <v/>
      </c>
      <c r="W110" s="60">
        <f>HU_ciProp*Q110+HU_tpdCut*L110+HU_disCut*O110</f>
        <v/>
      </c>
      <c r="X110" s="29">
        <f>IF(OR(A110&lt;1,A110&gt;HU_T),0,V110*(1-W110))</f>
        <v/>
      </c>
      <c r="Y110" s="29">
        <f>IF(OR(A110&lt;1,A110&gt;HU_T),0,IF(AND(HU_retExp&gt;0,A110-1&gt;=HU_dtr),HU_retExp,HU_exp0)*R110)</f>
        <v/>
      </c>
      <c r="Z110" s="29">
        <f>-Y110-IF(AND(HU_wdOn,A110=HU_wdYear),HU_wdOut,0)</f>
        <v/>
      </c>
      <c r="AA110" s="29">
        <f>IF(OR(A110&lt;1,A110&gt;HU_T),0,-HU_medCost*R110*F110-HU_tpdCost*R110*M110)</f>
        <v/>
      </c>
      <c r="AB110" s="29">
        <f>IF(A110&gt;HU_T,0,AB109*(1+interestRate)+X110+Z110+AA110)</f>
        <v/>
      </c>
      <c r="AC110" s="29">
        <f>IF(A110&gt;HU_T,0,HU_inv*EXP(HU_mu*A110))</f>
        <v/>
      </c>
      <c r="AD110" s="29">
        <f>IF(A110&gt;HU_T,0,MAX(0,AC110+AB110))</f>
        <v/>
      </c>
      <c r="AE110" s="29">
        <f>IF(A110&gt;HU_T,0,MAX(0,X110-Y110))</f>
        <v/>
      </c>
      <c r="AF110" s="63">
        <f>IF(AND($J$6,A110&gt;=1,A110&lt;=$Q$6-1),J110,0)</f>
        <v/>
      </c>
      <c r="AG110" s="29">
        <f>IF(OR(AF110=0,$S$6=0),0,IF((AD110+$L$6)&gt;$S$6/HU_alpha+$K$6,0.5*$S$6/HU_alpha,IF((AD110+$L$6)&gt;=$K$6,((AD110+$L$6)-$K$6)-0.5*HU_alpha/$S$6*((AD110+$L$6)-$K$6)^2,IF((AD110+$L$6)&gt;=$T$6,HU_beta*((AD110+$L$6)-$K$6),HU_beta*($T$6-$K$6)))))</f>
        <v/>
      </c>
      <c r="AH110" s="29">
        <f>IF(OR(AF110=0,$S$6=0),0,IF((AD110+$L$6+$N$6)&gt;$S$6/HU_alpha+$K$6,0.5*$S$6/HU_alpha,IF((AD110+$L$6+$N$6)&gt;=$K$6,((AD110+$L$6+$N$6)-$K$6)-0.5*HU_alpha/$S$6*((AD110+$L$6+$N$6)-$K$6)^2,IF((AD110+$L$6+$N$6)&gt;=$T$6,HU_beta*((AD110+$L$6+$N$6)-$K$6),HU_beta*($T$6-$K$6)))))</f>
        <v/>
      </c>
      <c r="AI110" s="29">
        <f>IF(OR(AF110=0,$S$6=0),0,IF((AD110+$K$6)&gt;$S$6/HU_alpha+$K$6,0.5*$S$6/HU_alpha,IF((AD110+$K$6)&gt;=$K$6,((AD110+$K$6)-$K$6)-0.5*HU_alpha/$S$6*((AD110+$K$6)-$K$6)^2,IF((AD110+$K$6)&gt;=$T$6,HU_beta*((AD110+$K$6)-$K$6),HU_beta*($T$6-$K$6)))))</f>
        <v/>
      </c>
      <c r="AJ110" s="63">
        <f>IF(AND($J$7,A110&gt;=1,A110&lt;=$Q$7-1),J110,0)</f>
        <v/>
      </c>
      <c r="AK110" s="29">
        <f>IF(OR(AJ110=0,$S$7=0),0,IF((AE110+$L$7)&gt;$S$7/HU_alpha+$K$7,0.5*$S$7/HU_alpha,IF((AE110+$L$7)&gt;=$K$7,((AE110+$L$7)-$K$7)-0.5*HU_alpha/$S$7*((AE110+$L$7)-$K$7)^2,IF((AE110+$L$7)&gt;=$T$7,HU_beta*((AE110+$L$7)-$K$7),HU_beta*($T$7-$K$7)))))</f>
        <v/>
      </c>
      <c r="AL110" s="29">
        <f>IF(OR(AJ110=0,$S$7=0),0,IF((AE110+$L$7+$N$7)&gt;$S$7/HU_alpha+$K$7,0.5*$S$7/HU_alpha,IF((AE110+$L$7+$N$7)&gt;=$K$7,((AE110+$L$7+$N$7)-$K$7)-0.5*HU_alpha/$S$7*((AE110+$L$7+$N$7)-$K$7)^2,IF((AE110+$L$7+$N$7)&gt;=$T$7,HU_beta*((AE110+$L$7+$N$7)-$K$7),HU_beta*($T$7-$K$7)))))</f>
        <v/>
      </c>
      <c r="AM110" s="29">
        <f>IF(OR(AJ110=0,$S$7=0),0,IF((AE110+$K$7)&gt;$S$7/HU_alpha+$K$7,0.5*$S$7/HU_alpha,IF((AE110+$K$7)&gt;=$K$7,((AE110+$K$7)-$K$7)-0.5*HU_alpha/$S$7*((AE110+$K$7)-$K$7)^2,IF((AE110+$K$7)&gt;=$T$7,HU_beta*((AE110+$K$7)-$K$7),HU_beta*($T$7-$K$7)))))</f>
        <v/>
      </c>
      <c r="AN110" s="63">
        <f>IF(AND($J$8,A110&gt;=1,A110&lt;=$Q$8-1),J110,0)</f>
        <v/>
      </c>
      <c r="AO110" s="29">
        <f>IF(OR(AN110=0,$S$8=0),0,IF((AE110+$L$8)&gt;$S$8/HU_alpha+$K$8,0.5*$S$8/HU_alpha,IF((AE110+$L$8)&gt;=$K$8,((AE110+$L$8)-$K$8)-0.5*HU_alpha/$S$8*((AE110+$L$8)-$K$8)^2,IF((AE110+$L$8)&gt;=$T$8,HU_beta*((AE110+$L$8)-$K$8),HU_beta*($T$8-$K$8)))))</f>
        <v/>
      </c>
      <c r="AP110" s="29">
        <f>IF(OR(AN110=0,$S$8=0),0,IF((AE110+$L$8+$N$8)&gt;$S$8/HU_alpha+$K$8,0.5*$S$8/HU_alpha,IF((AE110+$L$8+$N$8)&gt;=$K$8,((AE110+$L$8+$N$8)-$K$8)-0.5*HU_alpha/$S$8*((AE110+$L$8+$N$8)-$K$8)^2,IF((AE110+$L$8+$N$8)&gt;=$T$8,HU_beta*((AE110+$L$8+$N$8)-$K$8),HU_beta*($T$8-$K$8)))))</f>
        <v/>
      </c>
      <c r="AQ110" s="29">
        <f>IF(OR(AN110=0,$S$8=0),0,IF((AE110+$K$8)&gt;$S$8/HU_alpha+$K$8,0.5*$S$8/HU_alpha,IF((AE110+$K$8)&gt;=$K$8,((AE110+$K$8)-$K$8)-0.5*HU_alpha/$S$8*((AE110+$K$8)-$K$8)^2,IF((AE110+$K$8)&gt;=$T$8,HU_beta*((AE110+$K$8)-$K$8),HU_beta*($T$8-$K$8)))))</f>
        <v/>
      </c>
      <c r="AR110" s="63">
        <f>IF(AND($J$9,A110&gt;=1,A110&lt;=$Q$9-1),J110,0)</f>
        <v/>
      </c>
      <c r="AS110" s="29">
        <f>IF(OR(AR110=0,$S$9=0),0,IF((AE110+$L$9)&gt;$S$9/HU_alpha+$K$9,0.5*$S$9/HU_alpha,IF((AE110+$L$9)&gt;=$K$9,((AE110+$L$9)-$K$9)-0.5*HU_alpha/$S$9*((AE110+$L$9)-$K$9)^2,IF((AE110+$L$9)&gt;=$T$9,HU_beta*((AE110+$L$9)-$K$9),HU_beta*($T$9-$K$9)))))</f>
        <v/>
      </c>
      <c r="AT110" s="29">
        <f>IF(OR(AR110=0,$S$9=0),0,IF((AE110+$L$9+$N$9)&gt;$S$9/HU_alpha+$K$9,0.5*$S$9/HU_alpha,IF((AE110+$L$9+$N$9)&gt;=$K$9,((AE110+$L$9+$N$9)-$K$9)-0.5*HU_alpha/$S$9*((AE110+$L$9+$N$9)-$K$9)^2,IF((AE110+$L$9+$N$9)&gt;=$T$9,HU_beta*((AE110+$L$9+$N$9)-$K$9),HU_beta*($T$9-$K$9)))))</f>
        <v/>
      </c>
      <c r="AU110" s="29">
        <f>IF(OR(AR110=0,$S$9=0),0,IF((AE110+$K$9)&gt;$S$9/HU_alpha+$K$9,0.5*$S$9/HU_alpha,IF((AE110+$K$9)&gt;=$K$9,((AE110+$K$9)-$K$9)-0.5*HU_alpha/$S$9*((AE110+$K$9)-$K$9)^2,IF((AE110+$K$9)&gt;=$T$9,HU_beta*((AE110+$K$9)-$K$9),HU_beta*($T$9-$K$9)))))</f>
        <v/>
      </c>
      <c r="AV110" s="63">
        <f>IF(AND($J$10,A110=$Q$10),J110,0)</f>
        <v/>
      </c>
      <c r="AW110" s="29">
        <f>IF(OR(AV110=0,$S$10=0),0,IF((AD110+$L$10)&gt;$S$10/HU_alpha+$K$10,0.5*$S$10/HU_alpha,IF((AD110+$L$10)&gt;=$K$10,((AD110+$L$10)-$K$10)-0.5*HU_alpha/$S$10*((AD110+$L$10)-$K$10)^2,IF((AD110+$L$10)&gt;=$T$10,HU_beta*((AD110+$L$10)-$K$10),HU_beta*($T$10-$K$10)))))</f>
        <v/>
      </c>
      <c r="AX110" s="29">
        <f>IF(OR(AV110=0,$S$10=0),0,IF((AD110+$L$10+$N$10)&gt;$S$10/HU_alpha+$K$10,0.5*$S$10/HU_alpha,IF((AD110+$L$10+$N$10)&gt;=$K$10,((AD110+$L$10+$N$10)-$K$10)-0.5*HU_alpha/$S$10*((AD110+$L$10+$N$10)-$K$10)^2,IF((AD110+$L$10+$N$10)&gt;=$T$10,HU_beta*((AD110+$L$10+$N$10)-$K$10),HU_beta*($T$10-$K$10)))))</f>
        <v/>
      </c>
      <c r="AY110" s="29">
        <f>IF(OR(AV110=0,$S$10=0),0,IF((AD110+$K$10)&gt;$S$10/HU_alpha+$K$10,0.5*$S$10/HU_alpha,IF((AD110+$K$10)&gt;=$K$10,((AD110+$K$10)-$K$10)-0.5*HU_alpha/$S$10*((AD110+$K$10)-$K$10)^2,IF((AD110+$K$10)&gt;=$T$10,HU_beta*((AD110+$K$10)-$K$10),HU_beta*($T$10-$K$10)))))</f>
        <v/>
      </c>
      <c r="AZ110" s="63">
        <f>IF(AND($J$11,A110=$Q$11),J110,0)</f>
        <v/>
      </c>
      <c r="BA110" s="29">
        <f>IF(OR(AZ110=0,$S$11=0),0,IF((AE110+$L$11)&gt;$S$11/HU_alpha+$K$11,0.5*$S$11/HU_alpha,IF((AE110+$L$11)&gt;=$K$11,((AE110+$L$11)-$K$11)-0.5*HU_alpha/$S$11*((AE110+$L$11)-$K$11)^2,IF((AE110+$L$11)&gt;=$T$11,HU_beta*((AE110+$L$11)-$K$11),HU_beta*($T$11-$K$11)))))</f>
        <v/>
      </c>
      <c r="BB110" s="29">
        <f>IF(OR(AZ110=0,$S$11=0),0,IF((AE110+$L$11+$N$11)&gt;$S$11/HU_alpha+$K$11,0.5*$S$11/HU_alpha,IF((AE110+$L$11+$N$11)&gt;=$K$11,((AE110+$L$11+$N$11)-$K$11)-0.5*HU_alpha/$S$11*((AE110+$L$11+$N$11)-$K$11)^2,IF((AE110+$L$11+$N$11)&gt;=$T$11,HU_beta*((AE110+$L$11+$N$11)-$K$11),HU_beta*($T$11-$K$11)))))</f>
        <v/>
      </c>
      <c r="BC110" s="29">
        <f>IF(OR(AZ110=0,$S$11=0),0,IF((AE110+$K$11)&gt;$S$11/HU_alpha+$K$11,0.5*$S$11/HU_alpha,IF((AE110+$K$11)&gt;=$K$11,((AE110+$K$11)-$K$11)-0.5*HU_alpha/$S$11*((AE110+$K$11)-$K$11)^2,IF((AE110+$K$11)&gt;=$T$11,HU_beta*((AE110+$K$11)-$K$11),HU_beta*($T$11-$K$11)))))</f>
        <v/>
      </c>
      <c r="BD110" s="63">
        <f>IF(AND($J$12,A110=$Q$12),J110,0)</f>
        <v/>
      </c>
      <c r="BE110" s="29">
        <f>IF(OR(BD110=0,$S$12=0),0,IF((AE110+$L$12)&gt;$S$12/HU_alpha+$K$12,0.5*$S$12/HU_alpha,IF((AE110+$L$12)&gt;=$K$12,((AE110+$L$12)-$K$12)-0.5*HU_alpha/$S$12*((AE110+$L$12)-$K$12)^2,IF((AE110+$L$12)&gt;=$T$12,HU_beta*((AE110+$L$12)-$K$12),HU_beta*($T$12-$K$12)))))</f>
        <v/>
      </c>
      <c r="BF110" s="29">
        <f>IF(OR(BD110=0,$S$12=0),0,IF((AE110+$L$12+$N$12)&gt;$S$12/HU_alpha+$K$12,0.5*$S$12/HU_alpha,IF((AE110+$L$12+$N$12)&gt;=$K$12,((AE110+$L$12+$N$12)-$K$12)-0.5*HU_alpha/$S$12*((AE110+$L$12+$N$12)-$K$12)^2,IF((AE110+$L$12+$N$12)&gt;=$T$12,HU_beta*((AE110+$L$12+$N$12)-$K$12),HU_beta*($T$12-$K$12)))))</f>
        <v/>
      </c>
      <c r="BG110" s="29">
        <f>IF(OR(BD110=0,$S$12=0),0,IF((AE110+$K$12)&gt;$S$12/HU_alpha+$K$12,0.5*$S$12/HU_alpha,IF((AE110+$K$12)&gt;=$K$12,((AE110+$K$12)-$K$12)-0.5*HU_alpha/$S$12*((AE110+$K$12)-$K$12)^2,IF((AE110+$K$12)&gt;=$T$12,HU_beta*((AE110+$K$12)-$K$12),HU_beta*($T$12-$K$12)))))</f>
        <v/>
      </c>
      <c r="BH110" s="63">
        <f>IF(AND($J$13,A110=$Q$13),J110,0)</f>
        <v/>
      </c>
      <c r="BI110" s="29">
        <f>IF(OR(BH110=0,$S$13=0),0,IF((AE110+$L$13)&gt;$S$13/HU_alpha+$K$13,0.5*$S$13/HU_alpha,IF((AE110+$L$13)&gt;=$K$13,((AE110+$L$13)-$K$13)-0.5*HU_alpha/$S$13*((AE110+$L$13)-$K$13)^2,IF((AE110+$L$13)&gt;=$T$13,HU_beta*((AE110+$L$13)-$K$13),HU_beta*($T$13-$K$13)))))</f>
        <v/>
      </c>
      <c r="BJ110" s="29">
        <f>IF(OR(BH110=0,$S$13=0),0,IF((AE110+$L$13+$N$13)&gt;$S$13/HU_alpha+$K$13,0.5*$S$13/HU_alpha,IF((AE110+$L$13+$N$13)&gt;=$K$13,((AE110+$L$13+$N$13)-$K$13)-0.5*HU_alpha/$S$13*((AE110+$L$13+$N$13)-$K$13)^2,IF((AE110+$L$13+$N$13)&gt;=$T$13,HU_beta*((AE110+$L$13+$N$13)-$K$13),HU_beta*($T$13-$K$13)))))</f>
        <v/>
      </c>
      <c r="BK110" s="29">
        <f>IF(OR(BH110=0,$S$13=0),0,IF((AE110+$K$13)&gt;$S$13/HU_alpha+$K$13,0.5*$S$13/HU_alpha,IF((AE110+$K$13)&gt;=$K$13,((AE110+$K$13)-$K$13)-0.5*HU_alpha/$S$13*((AE110+$K$13)-$K$13)^2,IF((AE110+$K$13)&gt;=$T$13,HU_beta*((AE110+$K$13)-$K$13),HU_beta*($T$13-$K$13)))))</f>
        <v/>
      </c>
    </row>
    <row r="111">
      <c r="A111" s="61" t="n">
        <v>43</v>
      </c>
      <c r="B111" s="61">
        <f>HU_age+A111</f>
        <v/>
      </c>
      <c r="C111" s="52">
        <f>A111&lt;=HU_T</f>
        <v/>
      </c>
      <c r="D111" s="63">
        <f>IF(OR(A111&lt;1,A111&gt;HU_T),0,INDEX(HU_q_mort,HU_age+A111-17,HU_col))</f>
        <v/>
      </c>
      <c r="E111" s="63">
        <f>IF(OR(A111&lt;1,A111&gt;HU_T),0,INDEX(HU_q_adb,HU_age+A111-17,HU_col))</f>
        <v/>
      </c>
      <c r="F111" s="63">
        <f>IF(OR(A111&lt;1,A111&gt;HU_T),0,INDEX(HU_q_morb,HU_age+A111-17,HU_col))</f>
        <v/>
      </c>
      <c r="G111" s="63">
        <f>IF(OR(A111&lt;1,A111&gt;HU_T),0,INDEX(HU_q_ptd,HU_age+A111-17,HU_col))</f>
        <v/>
      </c>
      <c r="H111" s="63">
        <f>IF(OR(A111&lt;1,A111&gt;HU_T),0,INDEX(HU_q_dis,HU_age+A111-17,HU_col))</f>
        <v/>
      </c>
      <c r="I111" s="63">
        <f>IF(A111&gt;HU_T,0,I110*(1-D111)*(1-E111))</f>
        <v/>
      </c>
      <c r="J111" s="63">
        <f>IF(A111&gt;=HU_T,0,N(I112))</f>
        <v/>
      </c>
      <c r="K111" s="63">
        <f>K110*(1-G111)</f>
        <v/>
      </c>
      <c r="L111" s="63">
        <f>1-K111</f>
        <v/>
      </c>
      <c r="M111" s="63">
        <f>K110*G111</f>
        <v/>
      </c>
      <c r="N111" s="63">
        <f>N110*(1-H111)</f>
        <v/>
      </c>
      <c r="O111" s="63">
        <f>1-N110</f>
        <v/>
      </c>
      <c r="P111" s="63">
        <f>P110*(1-F111)</f>
        <v/>
      </c>
      <c r="Q111" s="63">
        <f>1-P110/INDEX($P$68:$P$150,MAX(1,A111-HU_ciYears))</f>
        <v/>
      </c>
      <c r="R111" s="60">
        <f>(1+inflationRate)^A111</f>
        <v/>
      </c>
      <c r="S111" s="29">
        <f>IF(OR(OR(A111&lt;1,A111&gt;HU_T),A111-1&gt;=HU_dtr),0,HU_inc0*(1+incomeGrowthRate)^A111)</f>
        <v/>
      </c>
      <c r="T111" s="60">
        <f>IF(A111&gt;HU_T,T110,T110*(1+INDEX(HU_ssG,HU_age+A111-17)))</f>
        <v/>
      </c>
      <c r="U111" s="29">
        <f>IF(AND(HU_dtr&gt;=1,A111=HU_dtr,A111&lt;=HU_T),MIN(S111*INDEX(HU_ssC,HU_age+A111-17)/(1-INDEX(HU_ssC,HU_age+A111-17)),INDEX(HU_ssCap,HU_age+A111-17))*T111,0)</f>
        <v/>
      </c>
      <c r="V111" s="29">
        <f>S111+U111+IF(AND(HU_wdOn,A111=HU_wdYear),HU_wdIncome,0)</f>
        <v/>
      </c>
      <c r="W111" s="60">
        <f>HU_ciProp*Q111+HU_tpdCut*L111+HU_disCut*O111</f>
        <v/>
      </c>
      <c r="X111" s="29">
        <f>IF(OR(A111&lt;1,A111&gt;HU_T),0,V111*(1-W111))</f>
        <v/>
      </c>
      <c r="Y111" s="29">
        <f>IF(OR(A111&lt;1,A111&gt;HU_T),0,IF(AND(HU_retExp&gt;0,A111-1&gt;=HU_dtr),HU_retExp,HU_exp0)*R111)</f>
        <v/>
      </c>
      <c r="Z111" s="29">
        <f>-Y111-IF(AND(HU_wdOn,A111=HU_wdYear),HU_wdOut,0)</f>
        <v/>
      </c>
      <c r="AA111" s="29">
        <f>IF(OR(A111&lt;1,A111&gt;HU_T),0,-HU_medCost*R111*F111-HU_tpdCost*R111*M111)</f>
        <v/>
      </c>
      <c r="AB111" s="29">
        <f>IF(A111&gt;HU_T,0,AB110*(1+interestRate)+X111+Z111+AA111)</f>
        <v/>
      </c>
      <c r="AC111" s="29">
        <f>IF(A111&gt;HU_T,0,HU_inv*EXP(HU_mu*A111))</f>
        <v/>
      </c>
      <c r="AD111" s="29">
        <f>IF(A111&gt;HU_T,0,MAX(0,AC111+AB111))</f>
        <v/>
      </c>
      <c r="AE111" s="29">
        <f>IF(A111&gt;HU_T,0,MAX(0,X111-Y111))</f>
        <v/>
      </c>
      <c r="AF111" s="63">
        <f>IF(AND($J$6,A111&gt;=1,A111&lt;=$Q$6-1),J111,0)</f>
        <v/>
      </c>
      <c r="AG111" s="29">
        <f>IF(OR(AF111=0,$S$6=0),0,IF((AD111+$L$6)&gt;$S$6/HU_alpha+$K$6,0.5*$S$6/HU_alpha,IF((AD111+$L$6)&gt;=$K$6,((AD111+$L$6)-$K$6)-0.5*HU_alpha/$S$6*((AD111+$L$6)-$K$6)^2,IF((AD111+$L$6)&gt;=$T$6,HU_beta*((AD111+$L$6)-$K$6),HU_beta*($T$6-$K$6)))))</f>
        <v/>
      </c>
      <c r="AH111" s="29">
        <f>IF(OR(AF111=0,$S$6=0),0,IF((AD111+$L$6+$N$6)&gt;$S$6/HU_alpha+$K$6,0.5*$S$6/HU_alpha,IF((AD111+$L$6+$N$6)&gt;=$K$6,((AD111+$L$6+$N$6)-$K$6)-0.5*HU_alpha/$S$6*((AD111+$L$6+$N$6)-$K$6)^2,IF((AD111+$L$6+$N$6)&gt;=$T$6,HU_beta*((AD111+$L$6+$N$6)-$K$6),HU_beta*($T$6-$K$6)))))</f>
        <v/>
      </c>
      <c r="AI111" s="29">
        <f>IF(OR(AF111=0,$S$6=0),0,IF((AD111+$K$6)&gt;$S$6/HU_alpha+$K$6,0.5*$S$6/HU_alpha,IF((AD111+$K$6)&gt;=$K$6,((AD111+$K$6)-$K$6)-0.5*HU_alpha/$S$6*((AD111+$K$6)-$K$6)^2,IF((AD111+$K$6)&gt;=$T$6,HU_beta*((AD111+$K$6)-$K$6),HU_beta*($T$6-$K$6)))))</f>
        <v/>
      </c>
      <c r="AJ111" s="63">
        <f>IF(AND($J$7,A111&gt;=1,A111&lt;=$Q$7-1),J111,0)</f>
        <v/>
      </c>
      <c r="AK111" s="29">
        <f>IF(OR(AJ111=0,$S$7=0),0,IF((AE111+$L$7)&gt;$S$7/HU_alpha+$K$7,0.5*$S$7/HU_alpha,IF((AE111+$L$7)&gt;=$K$7,((AE111+$L$7)-$K$7)-0.5*HU_alpha/$S$7*((AE111+$L$7)-$K$7)^2,IF((AE111+$L$7)&gt;=$T$7,HU_beta*((AE111+$L$7)-$K$7),HU_beta*($T$7-$K$7)))))</f>
        <v/>
      </c>
      <c r="AL111" s="29">
        <f>IF(OR(AJ111=0,$S$7=0),0,IF((AE111+$L$7+$N$7)&gt;$S$7/HU_alpha+$K$7,0.5*$S$7/HU_alpha,IF((AE111+$L$7+$N$7)&gt;=$K$7,((AE111+$L$7+$N$7)-$K$7)-0.5*HU_alpha/$S$7*((AE111+$L$7+$N$7)-$K$7)^2,IF((AE111+$L$7+$N$7)&gt;=$T$7,HU_beta*((AE111+$L$7+$N$7)-$K$7),HU_beta*($T$7-$K$7)))))</f>
        <v/>
      </c>
      <c r="AM111" s="29">
        <f>IF(OR(AJ111=0,$S$7=0),0,IF((AE111+$K$7)&gt;$S$7/HU_alpha+$K$7,0.5*$S$7/HU_alpha,IF((AE111+$K$7)&gt;=$K$7,((AE111+$K$7)-$K$7)-0.5*HU_alpha/$S$7*((AE111+$K$7)-$K$7)^2,IF((AE111+$K$7)&gt;=$T$7,HU_beta*((AE111+$K$7)-$K$7),HU_beta*($T$7-$K$7)))))</f>
        <v/>
      </c>
      <c r="AN111" s="63">
        <f>IF(AND($J$8,A111&gt;=1,A111&lt;=$Q$8-1),J111,0)</f>
        <v/>
      </c>
      <c r="AO111" s="29">
        <f>IF(OR(AN111=0,$S$8=0),0,IF((AE111+$L$8)&gt;$S$8/HU_alpha+$K$8,0.5*$S$8/HU_alpha,IF((AE111+$L$8)&gt;=$K$8,((AE111+$L$8)-$K$8)-0.5*HU_alpha/$S$8*((AE111+$L$8)-$K$8)^2,IF((AE111+$L$8)&gt;=$T$8,HU_beta*((AE111+$L$8)-$K$8),HU_beta*($T$8-$K$8)))))</f>
        <v/>
      </c>
      <c r="AP111" s="29">
        <f>IF(OR(AN111=0,$S$8=0),0,IF((AE111+$L$8+$N$8)&gt;$S$8/HU_alpha+$K$8,0.5*$S$8/HU_alpha,IF((AE111+$L$8+$N$8)&gt;=$K$8,((AE111+$L$8+$N$8)-$K$8)-0.5*HU_alpha/$S$8*((AE111+$L$8+$N$8)-$K$8)^2,IF((AE111+$L$8+$N$8)&gt;=$T$8,HU_beta*((AE111+$L$8+$N$8)-$K$8),HU_beta*($T$8-$K$8)))))</f>
        <v/>
      </c>
      <c r="AQ111" s="29">
        <f>IF(OR(AN111=0,$S$8=0),0,IF((AE111+$K$8)&gt;$S$8/HU_alpha+$K$8,0.5*$S$8/HU_alpha,IF((AE111+$K$8)&gt;=$K$8,((AE111+$K$8)-$K$8)-0.5*HU_alpha/$S$8*((AE111+$K$8)-$K$8)^2,IF((AE111+$K$8)&gt;=$T$8,HU_beta*((AE111+$K$8)-$K$8),HU_beta*($T$8-$K$8)))))</f>
        <v/>
      </c>
      <c r="AR111" s="63">
        <f>IF(AND($J$9,A111&gt;=1,A111&lt;=$Q$9-1),J111,0)</f>
        <v/>
      </c>
      <c r="AS111" s="29">
        <f>IF(OR(AR111=0,$S$9=0),0,IF((AE111+$L$9)&gt;$S$9/HU_alpha+$K$9,0.5*$S$9/HU_alpha,IF((AE111+$L$9)&gt;=$K$9,((AE111+$L$9)-$K$9)-0.5*HU_alpha/$S$9*((AE111+$L$9)-$K$9)^2,IF((AE111+$L$9)&gt;=$T$9,HU_beta*((AE111+$L$9)-$K$9),HU_beta*($T$9-$K$9)))))</f>
        <v/>
      </c>
      <c r="AT111" s="29">
        <f>IF(OR(AR111=0,$S$9=0),0,IF((AE111+$L$9+$N$9)&gt;$S$9/HU_alpha+$K$9,0.5*$S$9/HU_alpha,IF((AE111+$L$9+$N$9)&gt;=$K$9,((AE111+$L$9+$N$9)-$K$9)-0.5*HU_alpha/$S$9*((AE111+$L$9+$N$9)-$K$9)^2,IF((AE111+$L$9+$N$9)&gt;=$T$9,HU_beta*((AE111+$L$9+$N$9)-$K$9),HU_beta*($T$9-$K$9)))))</f>
        <v/>
      </c>
      <c r="AU111" s="29">
        <f>IF(OR(AR111=0,$S$9=0),0,IF((AE111+$K$9)&gt;$S$9/HU_alpha+$K$9,0.5*$S$9/HU_alpha,IF((AE111+$K$9)&gt;=$K$9,((AE111+$K$9)-$K$9)-0.5*HU_alpha/$S$9*((AE111+$K$9)-$K$9)^2,IF((AE111+$K$9)&gt;=$T$9,HU_beta*((AE111+$K$9)-$K$9),HU_beta*($T$9-$K$9)))))</f>
        <v/>
      </c>
      <c r="AV111" s="63">
        <f>IF(AND($J$10,A111=$Q$10),J111,0)</f>
        <v/>
      </c>
      <c r="AW111" s="29">
        <f>IF(OR(AV111=0,$S$10=0),0,IF((AD111+$L$10)&gt;$S$10/HU_alpha+$K$10,0.5*$S$10/HU_alpha,IF((AD111+$L$10)&gt;=$K$10,((AD111+$L$10)-$K$10)-0.5*HU_alpha/$S$10*((AD111+$L$10)-$K$10)^2,IF((AD111+$L$10)&gt;=$T$10,HU_beta*((AD111+$L$10)-$K$10),HU_beta*($T$10-$K$10)))))</f>
        <v/>
      </c>
      <c r="AX111" s="29">
        <f>IF(OR(AV111=0,$S$10=0),0,IF((AD111+$L$10+$N$10)&gt;$S$10/HU_alpha+$K$10,0.5*$S$10/HU_alpha,IF((AD111+$L$10+$N$10)&gt;=$K$10,((AD111+$L$10+$N$10)-$K$10)-0.5*HU_alpha/$S$10*((AD111+$L$10+$N$10)-$K$10)^2,IF((AD111+$L$10+$N$10)&gt;=$T$10,HU_beta*((AD111+$L$10+$N$10)-$K$10),HU_beta*($T$10-$K$10)))))</f>
        <v/>
      </c>
      <c r="AY111" s="29">
        <f>IF(OR(AV111=0,$S$10=0),0,IF((AD111+$K$10)&gt;$S$10/HU_alpha+$K$10,0.5*$S$10/HU_alpha,IF((AD111+$K$10)&gt;=$K$10,((AD111+$K$10)-$K$10)-0.5*HU_alpha/$S$10*((AD111+$K$10)-$K$10)^2,IF((AD111+$K$10)&gt;=$T$10,HU_beta*((AD111+$K$10)-$K$10),HU_beta*($T$10-$K$10)))))</f>
        <v/>
      </c>
      <c r="AZ111" s="63">
        <f>IF(AND($J$11,A111=$Q$11),J111,0)</f>
        <v/>
      </c>
      <c r="BA111" s="29">
        <f>IF(OR(AZ111=0,$S$11=0),0,IF((AE111+$L$11)&gt;$S$11/HU_alpha+$K$11,0.5*$S$11/HU_alpha,IF((AE111+$L$11)&gt;=$K$11,((AE111+$L$11)-$K$11)-0.5*HU_alpha/$S$11*((AE111+$L$11)-$K$11)^2,IF((AE111+$L$11)&gt;=$T$11,HU_beta*((AE111+$L$11)-$K$11),HU_beta*($T$11-$K$11)))))</f>
        <v/>
      </c>
      <c r="BB111" s="29">
        <f>IF(OR(AZ111=0,$S$11=0),0,IF((AE111+$L$11+$N$11)&gt;$S$11/HU_alpha+$K$11,0.5*$S$11/HU_alpha,IF((AE111+$L$11+$N$11)&gt;=$K$11,((AE111+$L$11+$N$11)-$K$11)-0.5*HU_alpha/$S$11*((AE111+$L$11+$N$11)-$K$11)^2,IF((AE111+$L$11+$N$11)&gt;=$T$11,HU_beta*((AE111+$L$11+$N$11)-$K$11),HU_beta*($T$11-$K$11)))))</f>
        <v/>
      </c>
      <c r="BC111" s="29">
        <f>IF(OR(AZ111=0,$S$11=0),0,IF((AE111+$K$11)&gt;$S$11/HU_alpha+$K$11,0.5*$S$11/HU_alpha,IF((AE111+$K$11)&gt;=$K$11,((AE111+$K$11)-$K$11)-0.5*HU_alpha/$S$11*((AE111+$K$11)-$K$11)^2,IF((AE111+$K$11)&gt;=$T$11,HU_beta*((AE111+$K$11)-$K$11),HU_beta*($T$11-$K$11)))))</f>
        <v/>
      </c>
      <c r="BD111" s="63">
        <f>IF(AND($J$12,A111=$Q$12),J111,0)</f>
        <v/>
      </c>
      <c r="BE111" s="29">
        <f>IF(OR(BD111=0,$S$12=0),0,IF((AE111+$L$12)&gt;$S$12/HU_alpha+$K$12,0.5*$S$12/HU_alpha,IF((AE111+$L$12)&gt;=$K$12,((AE111+$L$12)-$K$12)-0.5*HU_alpha/$S$12*((AE111+$L$12)-$K$12)^2,IF((AE111+$L$12)&gt;=$T$12,HU_beta*((AE111+$L$12)-$K$12),HU_beta*($T$12-$K$12)))))</f>
        <v/>
      </c>
      <c r="BF111" s="29">
        <f>IF(OR(BD111=0,$S$12=0),0,IF((AE111+$L$12+$N$12)&gt;$S$12/HU_alpha+$K$12,0.5*$S$12/HU_alpha,IF((AE111+$L$12+$N$12)&gt;=$K$12,((AE111+$L$12+$N$12)-$K$12)-0.5*HU_alpha/$S$12*((AE111+$L$12+$N$12)-$K$12)^2,IF((AE111+$L$12+$N$12)&gt;=$T$12,HU_beta*((AE111+$L$12+$N$12)-$K$12),HU_beta*($T$12-$K$12)))))</f>
        <v/>
      </c>
      <c r="BG111" s="29">
        <f>IF(OR(BD111=0,$S$12=0),0,IF((AE111+$K$12)&gt;$S$12/HU_alpha+$K$12,0.5*$S$12/HU_alpha,IF((AE111+$K$12)&gt;=$K$12,((AE111+$K$12)-$K$12)-0.5*HU_alpha/$S$12*((AE111+$K$12)-$K$12)^2,IF((AE111+$K$12)&gt;=$T$12,HU_beta*((AE111+$K$12)-$K$12),HU_beta*($T$12-$K$12)))))</f>
        <v/>
      </c>
      <c r="BH111" s="63">
        <f>IF(AND($J$13,A111=$Q$13),J111,0)</f>
        <v/>
      </c>
      <c r="BI111" s="29">
        <f>IF(OR(BH111=0,$S$13=0),0,IF((AE111+$L$13)&gt;$S$13/HU_alpha+$K$13,0.5*$S$13/HU_alpha,IF((AE111+$L$13)&gt;=$K$13,((AE111+$L$13)-$K$13)-0.5*HU_alpha/$S$13*((AE111+$L$13)-$K$13)^2,IF((AE111+$L$13)&gt;=$T$13,HU_beta*((AE111+$L$13)-$K$13),HU_beta*($T$13-$K$13)))))</f>
        <v/>
      </c>
      <c r="BJ111" s="29">
        <f>IF(OR(BH111=0,$S$13=0),0,IF((AE111+$L$13+$N$13)&gt;$S$13/HU_alpha+$K$13,0.5*$S$13/HU_alpha,IF((AE111+$L$13+$N$13)&gt;=$K$13,((AE111+$L$13+$N$13)-$K$13)-0.5*HU_alpha/$S$13*((AE111+$L$13+$N$13)-$K$13)^2,IF((AE111+$L$13+$N$13)&gt;=$T$13,HU_beta*((AE111+$L$13+$N$13)-$K$13),HU_beta*($T$13-$K$13)))))</f>
        <v/>
      </c>
      <c r="BK111" s="29">
        <f>IF(OR(BH111=0,$S$13=0),0,IF((AE111+$K$13)&gt;$S$13/HU_alpha+$K$13,0.5*$S$13/HU_alpha,IF((AE111+$K$13)&gt;=$K$13,((AE111+$K$13)-$K$13)-0.5*HU_alpha/$S$13*((AE111+$K$13)-$K$13)^2,IF((AE111+$K$13)&gt;=$T$13,HU_beta*((AE111+$K$13)-$K$13),HU_beta*($T$13-$K$13)))))</f>
        <v/>
      </c>
    </row>
    <row r="112">
      <c r="A112" s="61" t="n">
        <v>44</v>
      </c>
      <c r="B112" s="61">
        <f>HU_age+A112</f>
        <v/>
      </c>
      <c r="C112" s="52">
        <f>A112&lt;=HU_T</f>
        <v/>
      </c>
      <c r="D112" s="63">
        <f>IF(OR(A112&lt;1,A112&gt;HU_T),0,INDEX(HU_q_mort,HU_age+A112-17,HU_col))</f>
        <v/>
      </c>
      <c r="E112" s="63">
        <f>IF(OR(A112&lt;1,A112&gt;HU_T),0,INDEX(HU_q_adb,HU_age+A112-17,HU_col))</f>
        <v/>
      </c>
      <c r="F112" s="63">
        <f>IF(OR(A112&lt;1,A112&gt;HU_T),0,INDEX(HU_q_morb,HU_age+A112-17,HU_col))</f>
        <v/>
      </c>
      <c r="G112" s="63">
        <f>IF(OR(A112&lt;1,A112&gt;HU_T),0,INDEX(HU_q_ptd,HU_age+A112-17,HU_col))</f>
        <v/>
      </c>
      <c r="H112" s="63">
        <f>IF(OR(A112&lt;1,A112&gt;HU_T),0,INDEX(HU_q_dis,HU_age+A112-17,HU_col))</f>
        <v/>
      </c>
      <c r="I112" s="63">
        <f>IF(A112&gt;HU_T,0,I111*(1-D112)*(1-E112))</f>
        <v/>
      </c>
      <c r="J112" s="63">
        <f>IF(A112&gt;=HU_T,0,N(I113))</f>
        <v/>
      </c>
      <c r="K112" s="63">
        <f>K111*(1-G112)</f>
        <v/>
      </c>
      <c r="L112" s="63">
        <f>1-K112</f>
        <v/>
      </c>
      <c r="M112" s="63">
        <f>K111*G112</f>
        <v/>
      </c>
      <c r="N112" s="63">
        <f>N111*(1-H112)</f>
        <v/>
      </c>
      <c r="O112" s="63">
        <f>1-N111</f>
        <v/>
      </c>
      <c r="P112" s="63">
        <f>P111*(1-F112)</f>
        <v/>
      </c>
      <c r="Q112" s="63">
        <f>1-P111/INDEX($P$68:$P$150,MAX(1,A112-HU_ciYears))</f>
        <v/>
      </c>
      <c r="R112" s="60">
        <f>(1+inflationRate)^A112</f>
        <v/>
      </c>
      <c r="S112" s="29">
        <f>IF(OR(OR(A112&lt;1,A112&gt;HU_T),A112-1&gt;=HU_dtr),0,HU_inc0*(1+incomeGrowthRate)^A112)</f>
        <v/>
      </c>
      <c r="T112" s="60">
        <f>IF(A112&gt;HU_T,T111,T111*(1+INDEX(HU_ssG,HU_age+A112-17)))</f>
        <v/>
      </c>
      <c r="U112" s="29">
        <f>IF(AND(HU_dtr&gt;=1,A112=HU_dtr,A112&lt;=HU_T),MIN(S112*INDEX(HU_ssC,HU_age+A112-17)/(1-INDEX(HU_ssC,HU_age+A112-17)),INDEX(HU_ssCap,HU_age+A112-17))*T112,0)</f>
        <v/>
      </c>
      <c r="V112" s="29">
        <f>S112+U112+IF(AND(HU_wdOn,A112=HU_wdYear),HU_wdIncome,0)</f>
        <v/>
      </c>
      <c r="W112" s="60">
        <f>HU_ciProp*Q112+HU_tpdCut*L112+HU_disCut*O112</f>
        <v/>
      </c>
      <c r="X112" s="29">
        <f>IF(OR(A112&lt;1,A112&gt;HU_T),0,V112*(1-W112))</f>
        <v/>
      </c>
      <c r="Y112" s="29">
        <f>IF(OR(A112&lt;1,A112&gt;HU_T),0,IF(AND(HU_retExp&gt;0,A112-1&gt;=HU_dtr),HU_retExp,HU_exp0)*R112)</f>
        <v/>
      </c>
      <c r="Z112" s="29">
        <f>-Y112-IF(AND(HU_wdOn,A112=HU_wdYear),HU_wdOut,0)</f>
        <v/>
      </c>
      <c r="AA112" s="29">
        <f>IF(OR(A112&lt;1,A112&gt;HU_T),0,-HU_medCost*R112*F112-HU_tpdCost*R112*M112)</f>
        <v/>
      </c>
      <c r="AB112" s="29">
        <f>IF(A112&gt;HU_T,0,AB111*(1+interestRate)+X112+Z112+AA112)</f>
        <v/>
      </c>
      <c r="AC112" s="29">
        <f>IF(A112&gt;HU_T,0,HU_inv*EXP(HU_mu*A112))</f>
        <v/>
      </c>
      <c r="AD112" s="29">
        <f>IF(A112&gt;HU_T,0,MAX(0,AC112+AB112))</f>
        <v/>
      </c>
      <c r="AE112" s="29">
        <f>IF(A112&gt;HU_T,0,MAX(0,X112-Y112))</f>
        <v/>
      </c>
      <c r="AF112" s="63">
        <f>IF(AND($J$6,A112&gt;=1,A112&lt;=$Q$6-1),J112,0)</f>
        <v/>
      </c>
      <c r="AG112" s="29">
        <f>IF(OR(AF112=0,$S$6=0),0,IF((AD112+$L$6)&gt;$S$6/HU_alpha+$K$6,0.5*$S$6/HU_alpha,IF((AD112+$L$6)&gt;=$K$6,((AD112+$L$6)-$K$6)-0.5*HU_alpha/$S$6*((AD112+$L$6)-$K$6)^2,IF((AD112+$L$6)&gt;=$T$6,HU_beta*((AD112+$L$6)-$K$6),HU_beta*($T$6-$K$6)))))</f>
        <v/>
      </c>
      <c r="AH112" s="29">
        <f>IF(OR(AF112=0,$S$6=0),0,IF((AD112+$L$6+$N$6)&gt;$S$6/HU_alpha+$K$6,0.5*$S$6/HU_alpha,IF((AD112+$L$6+$N$6)&gt;=$K$6,((AD112+$L$6+$N$6)-$K$6)-0.5*HU_alpha/$S$6*((AD112+$L$6+$N$6)-$K$6)^2,IF((AD112+$L$6+$N$6)&gt;=$T$6,HU_beta*((AD112+$L$6+$N$6)-$K$6),HU_beta*($T$6-$K$6)))))</f>
        <v/>
      </c>
      <c r="AI112" s="29">
        <f>IF(OR(AF112=0,$S$6=0),0,IF((AD112+$K$6)&gt;$S$6/HU_alpha+$K$6,0.5*$S$6/HU_alpha,IF((AD112+$K$6)&gt;=$K$6,((AD112+$K$6)-$K$6)-0.5*HU_alpha/$S$6*((AD112+$K$6)-$K$6)^2,IF((AD112+$K$6)&gt;=$T$6,HU_beta*((AD112+$K$6)-$K$6),HU_beta*($T$6-$K$6)))))</f>
        <v/>
      </c>
      <c r="AJ112" s="63">
        <f>IF(AND($J$7,A112&gt;=1,A112&lt;=$Q$7-1),J112,0)</f>
        <v/>
      </c>
      <c r="AK112" s="29">
        <f>IF(OR(AJ112=0,$S$7=0),0,IF((AE112+$L$7)&gt;$S$7/HU_alpha+$K$7,0.5*$S$7/HU_alpha,IF((AE112+$L$7)&gt;=$K$7,((AE112+$L$7)-$K$7)-0.5*HU_alpha/$S$7*((AE112+$L$7)-$K$7)^2,IF((AE112+$L$7)&gt;=$T$7,HU_beta*((AE112+$L$7)-$K$7),HU_beta*($T$7-$K$7)))))</f>
        <v/>
      </c>
      <c r="AL112" s="29">
        <f>IF(OR(AJ112=0,$S$7=0),0,IF((AE112+$L$7+$N$7)&gt;$S$7/HU_alpha+$K$7,0.5*$S$7/HU_alpha,IF((AE112+$L$7+$N$7)&gt;=$K$7,((AE112+$L$7+$N$7)-$K$7)-0.5*HU_alpha/$S$7*((AE112+$L$7+$N$7)-$K$7)^2,IF((AE112+$L$7+$N$7)&gt;=$T$7,HU_beta*((AE112+$L$7+$N$7)-$K$7),HU_beta*($T$7-$K$7)))))</f>
        <v/>
      </c>
      <c r="AM112" s="29">
        <f>IF(OR(AJ112=0,$S$7=0),0,IF((AE112+$K$7)&gt;$S$7/HU_alpha+$K$7,0.5*$S$7/HU_alpha,IF((AE112+$K$7)&gt;=$K$7,((AE112+$K$7)-$K$7)-0.5*HU_alpha/$S$7*((AE112+$K$7)-$K$7)^2,IF((AE112+$K$7)&gt;=$T$7,HU_beta*((AE112+$K$7)-$K$7),HU_beta*($T$7-$K$7)))))</f>
        <v/>
      </c>
      <c r="AN112" s="63">
        <f>IF(AND($J$8,A112&gt;=1,A112&lt;=$Q$8-1),J112,0)</f>
        <v/>
      </c>
      <c r="AO112" s="29">
        <f>IF(OR(AN112=0,$S$8=0),0,IF((AE112+$L$8)&gt;$S$8/HU_alpha+$K$8,0.5*$S$8/HU_alpha,IF((AE112+$L$8)&gt;=$K$8,((AE112+$L$8)-$K$8)-0.5*HU_alpha/$S$8*((AE112+$L$8)-$K$8)^2,IF((AE112+$L$8)&gt;=$T$8,HU_beta*((AE112+$L$8)-$K$8),HU_beta*($T$8-$K$8)))))</f>
        <v/>
      </c>
      <c r="AP112" s="29">
        <f>IF(OR(AN112=0,$S$8=0),0,IF((AE112+$L$8+$N$8)&gt;$S$8/HU_alpha+$K$8,0.5*$S$8/HU_alpha,IF((AE112+$L$8+$N$8)&gt;=$K$8,((AE112+$L$8+$N$8)-$K$8)-0.5*HU_alpha/$S$8*((AE112+$L$8+$N$8)-$K$8)^2,IF((AE112+$L$8+$N$8)&gt;=$T$8,HU_beta*((AE112+$L$8+$N$8)-$K$8),HU_beta*($T$8-$K$8)))))</f>
        <v/>
      </c>
      <c r="AQ112" s="29">
        <f>IF(OR(AN112=0,$S$8=0),0,IF((AE112+$K$8)&gt;$S$8/HU_alpha+$K$8,0.5*$S$8/HU_alpha,IF((AE112+$K$8)&gt;=$K$8,((AE112+$K$8)-$K$8)-0.5*HU_alpha/$S$8*((AE112+$K$8)-$K$8)^2,IF((AE112+$K$8)&gt;=$T$8,HU_beta*((AE112+$K$8)-$K$8),HU_beta*($T$8-$K$8)))))</f>
        <v/>
      </c>
      <c r="AR112" s="63">
        <f>IF(AND($J$9,A112&gt;=1,A112&lt;=$Q$9-1),J112,0)</f>
        <v/>
      </c>
      <c r="AS112" s="29">
        <f>IF(OR(AR112=0,$S$9=0),0,IF((AE112+$L$9)&gt;$S$9/HU_alpha+$K$9,0.5*$S$9/HU_alpha,IF((AE112+$L$9)&gt;=$K$9,((AE112+$L$9)-$K$9)-0.5*HU_alpha/$S$9*((AE112+$L$9)-$K$9)^2,IF((AE112+$L$9)&gt;=$T$9,HU_beta*((AE112+$L$9)-$K$9),HU_beta*($T$9-$K$9)))))</f>
        <v/>
      </c>
      <c r="AT112" s="29">
        <f>IF(OR(AR112=0,$S$9=0),0,IF((AE112+$L$9+$N$9)&gt;$S$9/HU_alpha+$K$9,0.5*$S$9/HU_alpha,IF((AE112+$L$9+$N$9)&gt;=$K$9,((AE112+$L$9+$N$9)-$K$9)-0.5*HU_alpha/$S$9*((AE112+$L$9+$N$9)-$K$9)^2,IF((AE112+$L$9+$N$9)&gt;=$T$9,HU_beta*((AE112+$L$9+$N$9)-$K$9),HU_beta*($T$9-$K$9)))))</f>
        <v/>
      </c>
      <c r="AU112" s="29">
        <f>IF(OR(AR112=0,$S$9=0),0,IF((AE112+$K$9)&gt;$S$9/HU_alpha+$K$9,0.5*$S$9/HU_alpha,IF((AE112+$K$9)&gt;=$K$9,((AE112+$K$9)-$K$9)-0.5*HU_alpha/$S$9*((AE112+$K$9)-$K$9)^2,IF((AE112+$K$9)&gt;=$T$9,HU_beta*((AE112+$K$9)-$K$9),HU_beta*($T$9-$K$9)))))</f>
        <v/>
      </c>
      <c r="AV112" s="63">
        <f>IF(AND($J$10,A112=$Q$10),J112,0)</f>
        <v/>
      </c>
      <c r="AW112" s="29">
        <f>IF(OR(AV112=0,$S$10=0),0,IF((AD112+$L$10)&gt;$S$10/HU_alpha+$K$10,0.5*$S$10/HU_alpha,IF((AD112+$L$10)&gt;=$K$10,((AD112+$L$10)-$K$10)-0.5*HU_alpha/$S$10*((AD112+$L$10)-$K$10)^2,IF((AD112+$L$10)&gt;=$T$10,HU_beta*((AD112+$L$10)-$K$10),HU_beta*($T$10-$K$10)))))</f>
        <v/>
      </c>
      <c r="AX112" s="29">
        <f>IF(OR(AV112=0,$S$10=0),0,IF((AD112+$L$10+$N$10)&gt;$S$10/HU_alpha+$K$10,0.5*$S$10/HU_alpha,IF((AD112+$L$10+$N$10)&gt;=$K$10,((AD112+$L$10+$N$10)-$K$10)-0.5*HU_alpha/$S$10*((AD112+$L$10+$N$10)-$K$10)^2,IF((AD112+$L$10+$N$10)&gt;=$T$10,HU_beta*((AD112+$L$10+$N$10)-$K$10),HU_beta*($T$10-$K$10)))))</f>
        <v/>
      </c>
      <c r="AY112" s="29">
        <f>IF(OR(AV112=0,$S$10=0),0,IF((AD112+$K$10)&gt;$S$10/HU_alpha+$K$10,0.5*$S$10/HU_alpha,IF((AD112+$K$10)&gt;=$K$10,((AD112+$K$10)-$K$10)-0.5*HU_alpha/$S$10*((AD112+$K$10)-$K$10)^2,IF((AD112+$K$10)&gt;=$T$10,HU_beta*((AD112+$K$10)-$K$10),HU_beta*($T$10-$K$10)))))</f>
        <v/>
      </c>
      <c r="AZ112" s="63">
        <f>IF(AND($J$11,A112=$Q$11),J112,0)</f>
        <v/>
      </c>
      <c r="BA112" s="29">
        <f>IF(OR(AZ112=0,$S$11=0),0,IF((AE112+$L$11)&gt;$S$11/HU_alpha+$K$11,0.5*$S$11/HU_alpha,IF((AE112+$L$11)&gt;=$K$11,((AE112+$L$11)-$K$11)-0.5*HU_alpha/$S$11*((AE112+$L$11)-$K$11)^2,IF((AE112+$L$11)&gt;=$T$11,HU_beta*((AE112+$L$11)-$K$11),HU_beta*($T$11-$K$11)))))</f>
        <v/>
      </c>
      <c r="BB112" s="29">
        <f>IF(OR(AZ112=0,$S$11=0),0,IF((AE112+$L$11+$N$11)&gt;$S$11/HU_alpha+$K$11,0.5*$S$11/HU_alpha,IF((AE112+$L$11+$N$11)&gt;=$K$11,((AE112+$L$11+$N$11)-$K$11)-0.5*HU_alpha/$S$11*((AE112+$L$11+$N$11)-$K$11)^2,IF((AE112+$L$11+$N$11)&gt;=$T$11,HU_beta*((AE112+$L$11+$N$11)-$K$11),HU_beta*($T$11-$K$11)))))</f>
        <v/>
      </c>
      <c r="BC112" s="29">
        <f>IF(OR(AZ112=0,$S$11=0),0,IF((AE112+$K$11)&gt;$S$11/HU_alpha+$K$11,0.5*$S$11/HU_alpha,IF((AE112+$K$11)&gt;=$K$11,((AE112+$K$11)-$K$11)-0.5*HU_alpha/$S$11*((AE112+$K$11)-$K$11)^2,IF((AE112+$K$11)&gt;=$T$11,HU_beta*((AE112+$K$11)-$K$11),HU_beta*($T$11-$K$11)))))</f>
        <v/>
      </c>
      <c r="BD112" s="63">
        <f>IF(AND($J$12,A112=$Q$12),J112,0)</f>
        <v/>
      </c>
      <c r="BE112" s="29">
        <f>IF(OR(BD112=0,$S$12=0),0,IF((AE112+$L$12)&gt;$S$12/HU_alpha+$K$12,0.5*$S$12/HU_alpha,IF((AE112+$L$12)&gt;=$K$12,((AE112+$L$12)-$K$12)-0.5*HU_alpha/$S$12*((AE112+$L$12)-$K$12)^2,IF((AE112+$L$12)&gt;=$T$12,HU_beta*((AE112+$L$12)-$K$12),HU_beta*($T$12-$K$12)))))</f>
        <v/>
      </c>
      <c r="BF112" s="29">
        <f>IF(OR(BD112=0,$S$12=0),0,IF((AE112+$L$12+$N$12)&gt;$S$12/HU_alpha+$K$12,0.5*$S$12/HU_alpha,IF((AE112+$L$12+$N$12)&gt;=$K$12,((AE112+$L$12+$N$12)-$K$12)-0.5*HU_alpha/$S$12*((AE112+$L$12+$N$12)-$K$12)^2,IF((AE112+$L$12+$N$12)&gt;=$T$12,HU_beta*((AE112+$L$12+$N$12)-$K$12),HU_beta*($T$12-$K$12)))))</f>
        <v/>
      </c>
      <c r="BG112" s="29">
        <f>IF(OR(BD112=0,$S$12=0),0,IF((AE112+$K$12)&gt;$S$12/HU_alpha+$K$12,0.5*$S$12/HU_alpha,IF((AE112+$K$12)&gt;=$K$12,((AE112+$K$12)-$K$12)-0.5*HU_alpha/$S$12*((AE112+$K$12)-$K$12)^2,IF((AE112+$K$12)&gt;=$T$12,HU_beta*((AE112+$K$12)-$K$12),HU_beta*($T$12-$K$12)))))</f>
        <v/>
      </c>
      <c r="BH112" s="63">
        <f>IF(AND($J$13,A112=$Q$13),J112,0)</f>
        <v/>
      </c>
      <c r="BI112" s="29">
        <f>IF(OR(BH112=0,$S$13=0),0,IF((AE112+$L$13)&gt;$S$13/HU_alpha+$K$13,0.5*$S$13/HU_alpha,IF((AE112+$L$13)&gt;=$K$13,((AE112+$L$13)-$K$13)-0.5*HU_alpha/$S$13*((AE112+$L$13)-$K$13)^2,IF((AE112+$L$13)&gt;=$T$13,HU_beta*((AE112+$L$13)-$K$13),HU_beta*($T$13-$K$13)))))</f>
        <v/>
      </c>
      <c r="BJ112" s="29">
        <f>IF(OR(BH112=0,$S$13=0),0,IF((AE112+$L$13+$N$13)&gt;$S$13/HU_alpha+$K$13,0.5*$S$13/HU_alpha,IF((AE112+$L$13+$N$13)&gt;=$K$13,((AE112+$L$13+$N$13)-$K$13)-0.5*HU_alpha/$S$13*((AE112+$L$13+$N$13)-$K$13)^2,IF((AE112+$L$13+$N$13)&gt;=$T$13,HU_beta*((AE112+$L$13+$N$13)-$K$13),HU_beta*($T$13-$K$13)))))</f>
        <v/>
      </c>
      <c r="BK112" s="29">
        <f>IF(OR(BH112=0,$S$13=0),0,IF((AE112+$K$13)&gt;$S$13/HU_alpha+$K$13,0.5*$S$13/HU_alpha,IF((AE112+$K$13)&gt;=$K$13,((AE112+$K$13)-$K$13)-0.5*HU_alpha/$S$13*((AE112+$K$13)-$K$13)^2,IF((AE112+$K$13)&gt;=$T$13,HU_beta*((AE112+$K$13)-$K$13),HU_beta*($T$13-$K$13)))))</f>
        <v/>
      </c>
    </row>
    <row r="113">
      <c r="A113" s="61" t="n">
        <v>45</v>
      </c>
      <c r="B113" s="61">
        <f>HU_age+A113</f>
        <v/>
      </c>
      <c r="C113" s="52">
        <f>A113&lt;=HU_T</f>
        <v/>
      </c>
      <c r="D113" s="63">
        <f>IF(OR(A113&lt;1,A113&gt;HU_T),0,INDEX(HU_q_mort,HU_age+A113-17,HU_col))</f>
        <v/>
      </c>
      <c r="E113" s="63">
        <f>IF(OR(A113&lt;1,A113&gt;HU_T),0,INDEX(HU_q_adb,HU_age+A113-17,HU_col))</f>
        <v/>
      </c>
      <c r="F113" s="63">
        <f>IF(OR(A113&lt;1,A113&gt;HU_T),0,INDEX(HU_q_morb,HU_age+A113-17,HU_col))</f>
        <v/>
      </c>
      <c r="G113" s="63">
        <f>IF(OR(A113&lt;1,A113&gt;HU_T),0,INDEX(HU_q_ptd,HU_age+A113-17,HU_col))</f>
        <v/>
      </c>
      <c r="H113" s="63">
        <f>IF(OR(A113&lt;1,A113&gt;HU_T),0,INDEX(HU_q_dis,HU_age+A113-17,HU_col))</f>
        <v/>
      </c>
      <c r="I113" s="63">
        <f>IF(A113&gt;HU_T,0,I112*(1-D113)*(1-E113))</f>
        <v/>
      </c>
      <c r="J113" s="63">
        <f>IF(A113&gt;=HU_T,0,N(I114))</f>
        <v/>
      </c>
      <c r="K113" s="63">
        <f>K112*(1-G113)</f>
        <v/>
      </c>
      <c r="L113" s="63">
        <f>1-K113</f>
        <v/>
      </c>
      <c r="M113" s="63">
        <f>K112*G113</f>
        <v/>
      </c>
      <c r="N113" s="63">
        <f>N112*(1-H113)</f>
        <v/>
      </c>
      <c r="O113" s="63">
        <f>1-N112</f>
        <v/>
      </c>
      <c r="P113" s="63">
        <f>P112*(1-F113)</f>
        <v/>
      </c>
      <c r="Q113" s="63">
        <f>1-P112/INDEX($P$68:$P$150,MAX(1,A113-HU_ciYears))</f>
        <v/>
      </c>
      <c r="R113" s="60">
        <f>(1+inflationRate)^A113</f>
        <v/>
      </c>
      <c r="S113" s="29">
        <f>IF(OR(OR(A113&lt;1,A113&gt;HU_T),A113-1&gt;=HU_dtr),0,HU_inc0*(1+incomeGrowthRate)^A113)</f>
        <v/>
      </c>
      <c r="T113" s="60">
        <f>IF(A113&gt;HU_T,T112,T112*(1+INDEX(HU_ssG,HU_age+A113-17)))</f>
        <v/>
      </c>
      <c r="U113" s="29">
        <f>IF(AND(HU_dtr&gt;=1,A113=HU_dtr,A113&lt;=HU_T),MIN(S113*INDEX(HU_ssC,HU_age+A113-17)/(1-INDEX(HU_ssC,HU_age+A113-17)),INDEX(HU_ssCap,HU_age+A113-17))*T113,0)</f>
        <v/>
      </c>
      <c r="V113" s="29">
        <f>S113+U113+IF(AND(HU_wdOn,A113=HU_wdYear),HU_wdIncome,0)</f>
        <v/>
      </c>
      <c r="W113" s="60">
        <f>HU_ciProp*Q113+HU_tpdCut*L113+HU_disCut*O113</f>
        <v/>
      </c>
      <c r="X113" s="29">
        <f>IF(OR(A113&lt;1,A113&gt;HU_T),0,V113*(1-W113))</f>
        <v/>
      </c>
      <c r="Y113" s="29">
        <f>IF(OR(A113&lt;1,A113&gt;HU_T),0,IF(AND(HU_retExp&gt;0,A113-1&gt;=HU_dtr),HU_retExp,HU_exp0)*R113)</f>
        <v/>
      </c>
      <c r="Z113" s="29">
        <f>-Y113-IF(AND(HU_wdOn,A113=HU_wdYear),HU_wdOut,0)</f>
        <v/>
      </c>
      <c r="AA113" s="29">
        <f>IF(OR(A113&lt;1,A113&gt;HU_T),0,-HU_medCost*R113*F113-HU_tpdCost*R113*M113)</f>
        <v/>
      </c>
      <c r="AB113" s="29">
        <f>IF(A113&gt;HU_T,0,AB112*(1+interestRate)+X113+Z113+AA113)</f>
        <v/>
      </c>
      <c r="AC113" s="29">
        <f>IF(A113&gt;HU_T,0,HU_inv*EXP(HU_mu*A113))</f>
        <v/>
      </c>
      <c r="AD113" s="29">
        <f>IF(A113&gt;HU_T,0,MAX(0,AC113+AB113))</f>
        <v/>
      </c>
      <c r="AE113" s="29">
        <f>IF(A113&gt;HU_T,0,MAX(0,X113-Y113))</f>
        <v/>
      </c>
      <c r="AF113" s="63">
        <f>IF(AND($J$6,A113&gt;=1,A113&lt;=$Q$6-1),J113,0)</f>
        <v/>
      </c>
      <c r="AG113" s="29">
        <f>IF(OR(AF113=0,$S$6=0),0,IF((AD113+$L$6)&gt;$S$6/HU_alpha+$K$6,0.5*$S$6/HU_alpha,IF((AD113+$L$6)&gt;=$K$6,((AD113+$L$6)-$K$6)-0.5*HU_alpha/$S$6*((AD113+$L$6)-$K$6)^2,IF((AD113+$L$6)&gt;=$T$6,HU_beta*((AD113+$L$6)-$K$6),HU_beta*($T$6-$K$6)))))</f>
        <v/>
      </c>
      <c r="AH113" s="29">
        <f>IF(OR(AF113=0,$S$6=0),0,IF((AD113+$L$6+$N$6)&gt;$S$6/HU_alpha+$K$6,0.5*$S$6/HU_alpha,IF((AD113+$L$6+$N$6)&gt;=$K$6,((AD113+$L$6+$N$6)-$K$6)-0.5*HU_alpha/$S$6*((AD113+$L$6+$N$6)-$K$6)^2,IF((AD113+$L$6+$N$6)&gt;=$T$6,HU_beta*((AD113+$L$6+$N$6)-$K$6),HU_beta*($T$6-$K$6)))))</f>
        <v/>
      </c>
      <c r="AI113" s="29">
        <f>IF(OR(AF113=0,$S$6=0),0,IF((AD113+$K$6)&gt;$S$6/HU_alpha+$K$6,0.5*$S$6/HU_alpha,IF((AD113+$K$6)&gt;=$K$6,((AD113+$K$6)-$K$6)-0.5*HU_alpha/$S$6*((AD113+$K$6)-$K$6)^2,IF((AD113+$K$6)&gt;=$T$6,HU_beta*((AD113+$K$6)-$K$6),HU_beta*($T$6-$K$6)))))</f>
        <v/>
      </c>
      <c r="AJ113" s="63">
        <f>IF(AND($J$7,A113&gt;=1,A113&lt;=$Q$7-1),J113,0)</f>
        <v/>
      </c>
      <c r="AK113" s="29">
        <f>IF(OR(AJ113=0,$S$7=0),0,IF((AE113+$L$7)&gt;$S$7/HU_alpha+$K$7,0.5*$S$7/HU_alpha,IF((AE113+$L$7)&gt;=$K$7,((AE113+$L$7)-$K$7)-0.5*HU_alpha/$S$7*((AE113+$L$7)-$K$7)^2,IF((AE113+$L$7)&gt;=$T$7,HU_beta*((AE113+$L$7)-$K$7),HU_beta*($T$7-$K$7)))))</f>
        <v/>
      </c>
      <c r="AL113" s="29">
        <f>IF(OR(AJ113=0,$S$7=0),0,IF((AE113+$L$7+$N$7)&gt;$S$7/HU_alpha+$K$7,0.5*$S$7/HU_alpha,IF((AE113+$L$7+$N$7)&gt;=$K$7,((AE113+$L$7+$N$7)-$K$7)-0.5*HU_alpha/$S$7*((AE113+$L$7+$N$7)-$K$7)^2,IF((AE113+$L$7+$N$7)&gt;=$T$7,HU_beta*((AE113+$L$7+$N$7)-$K$7),HU_beta*($T$7-$K$7)))))</f>
        <v/>
      </c>
      <c r="AM113" s="29">
        <f>IF(OR(AJ113=0,$S$7=0),0,IF((AE113+$K$7)&gt;$S$7/HU_alpha+$K$7,0.5*$S$7/HU_alpha,IF((AE113+$K$7)&gt;=$K$7,((AE113+$K$7)-$K$7)-0.5*HU_alpha/$S$7*((AE113+$K$7)-$K$7)^2,IF((AE113+$K$7)&gt;=$T$7,HU_beta*((AE113+$K$7)-$K$7),HU_beta*($T$7-$K$7)))))</f>
        <v/>
      </c>
      <c r="AN113" s="63">
        <f>IF(AND($J$8,A113&gt;=1,A113&lt;=$Q$8-1),J113,0)</f>
        <v/>
      </c>
      <c r="AO113" s="29">
        <f>IF(OR(AN113=0,$S$8=0),0,IF((AE113+$L$8)&gt;$S$8/HU_alpha+$K$8,0.5*$S$8/HU_alpha,IF((AE113+$L$8)&gt;=$K$8,((AE113+$L$8)-$K$8)-0.5*HU_alpha/$S$8*((AE113+$L$8)-$K$8)^2,IF((AE113+$L$8)&gt;=$T$8,HU_beta*((AE113+$L$8)-$K$8),HU_beta*($T$8-$K$8)))))</f>
        <v/>
      </c>
      <c r="AP113" s="29">
        <f>IF(OR(AN113=0,$S$8=0),0,IF((AE113+$L$8+$N$8)&gt;$S$8/HU_alpha+$K$8,0.5*$S$8/HU_alpha,IF((AE113+$L$8+$N$8)&gt;=$K$8,((AE113+$L$8+$N$8)-$K$8)-0.5*HU_alpha/$S$8*((AE113+$L$8+$N$8)-$K$8)^2,IF((AE113+$L$8+$N$8)&gt;=$T$8,HU_beta*((AE113+$L$8+$N$8)-$K$8),HU_beta*($T$8-$K$8)))))</f>
        <v/>
      </c>
      <c r="AQ113" s="29">
        <f>IF(OR(AN113=0,$S$8=0),0,IF((AE113+$K$8)&gt;$S$8/HU_alpha+$K$8,0.5*$S$8/HU_alpha,IF((AE113+$K$8)&gt;=$K$8,((AE113+$K$8)-$K$8)-0.5*HU_alpha/$S$8*((AE113+$K$8)-$K$8)^2,IF((AE113+$K$8)&gt;=$T$8,HU_beta*((AE113+$K$8)-$K$8),HU_beta*($T$8-$K$8)))))</f>
        <v/>
      </c>
      <c r="AR113" s="63">
        <f>IF(AND($J$9,A113&gt;=1,A113&lt;=$Q$9-1),J113,0)</f>
        <v/>
      </c>
      <c r="AS113" s="29">
        <f>IF(OR(AR113=0,$S$9=0),0,IF((AE113+$L$9)&gt;$S$9/HU_alpha+$K$9,0.5*$S$9/HU_alpha,IF((AE113+$L$9)&gt;=$K$9,((AE113+$L$9)-$K$9)-0.5*HU_alpha/$S$9*((AE113+$L$9)-$K$9)^2,IF((AE113+$L$9)&gt;=$T$9,HU_beta*((AE113+$L$9)-$K$9),HU_beta*($T$9-$K$9)))))</f>
        <v/>
      </c>
      <c r="AT113" s="29">
        <f>IF(OR(AR113=0,$S$9=0),0,IF((AE113+$L$9+$N$9)&gt;$S$9/HU_alpha+$K$9,0.5*$S$9/HU_alpha,IF((AE113+$L$9+$N$9)&gt;=$K$9,((AE113+$L$9+$N$9)-$K$9)-0.5*HU_alpha/$S$9*((AE113+$L$9+$N$9)-$K$9)^2,IF((AE113+$L$9+$N$9)&gt;=$T$9,HU_beta*((AE113+$L$9+$N$9)-$K$9),HU_beta*($T$9-$K$9)))))</f>
        <v/>
      </c>
      <c r="AU113" s="29">
        <f>IF(OR(AR113=0,$S$9=0),0,IF((AE113+$K$9)&gt;$S$9/HU_alpha+$K$9,0.5*$S$9/HU_alpha,IF((AE113+$K$9)&gt;=$K$9,((AE113+$K$9)-$K$9)-0.5*HU_alpha/$S$9*((AE113+$K$9)-$K$9)^2,IF((AE113+$K$9)&gt;=$T$9,HU_beta*((AE113+$K$9)-$K$9),HU_beta*($T$9-$K$9)))))</f>
        <v/>
      </c>
      <c r="AV113" s="63">
        <f>IF(AND($J$10,A113=$Q$10),J113,0)</f>
        <v/>
      </c>
      <c r="AW113" s="29">
        <f>IF(OR(AV113=0,$S$10=0),0,IF((AD113+$L$10)&gt;$S$10/HU_alpha+$K$10,0.5*$S$10/HU_alpha,IF((AD113+$L$10)&gt;=$K$10,((AD113+$L$10)-$K$10)-0.5*HU_alpha/$S$10*((AD113+$L$10)-$K$10)^2,IF((AD113+$L$10)&gt;=$T$10,HU_beta*((AD113+$L$10)-$K$10),HU_beta*($T$10-$K$10)))))</f>
        <v/>
      </c>
      <c r="AX113" s="29">
        <f>IF(OR(AV113=0,$S$10=0),0,IF((AD113+$L$10+$N$10)&gt;$S$10/HU_alpha+$K$10,0.5*$S$10/HU_alpha,IF((AD113+$L$10+$N$10)&gt;=$K$10,((AD113+$L$10+$N$10)-$K$10)-0.5*HU_alpha/$S$10*((AD113+$L$10+$N$10)-$K$10)^2,IF((AD113+$L$10+$N$10)&gt;=$T$10,HU_beta*((AD113+$L$10+$N$10)-$K$10),HU_beta*($T$10-$K$10)))))</f>
        <v/>
      </c>
      <c r="AY113" s="29">
        <f>IF(OR(AV113=0,$S$10=0),0,IF((AD113+$K$10)&gt;$S$10/HU_alpha+$K$10,0.5*$S$10/HU_alpha,IF((AD113+$K$10)&gt;=$K$10,((AD113+$K$10)-$K$10)-0.5*HU_alpha/$S$10*((AD113+$K$10)-$K$10)^2,IF((AD113+$K$10)&gt;=$T$10,HU_beta*((AD113+$K$10)-$K$10),HU_beta*($T$10-$K$10)))))</f>
        <v/>
      </c>
      <c r="AZ113" s="63">
        <f>IF(AND($J$11,A113=$Q$11),J113,0)</f>
        <v/>
      </c>
      <c r="BA113" s="29">
        <f>IF(OR(AZ113=0,$S$11=0),0,IF((AE113+$L$11)&gt;$S$11/HU_alpha+$K$11,0.5*$S$11/HU_alpha,IF((AE113+$L$11)&gt;=$K$11,((AE113+$L$11)-$K$11)-0.5*HU_alpha/$S$11*((AE113+$L$11)-$K$11)^2,IF((AE113+$L$11)&gt;=$T$11,HU_beta*((AE113+$L$11)-$K$11),HU_beta*($T$11-$K$11)))))</f>
        <v/>
      </c>
      <c r="BB113" s="29">
        <f>IF(OR(AZ113=0,$S$11=0),0,IF((AE113+$L$11+$N$11)&gt;$S$11/HU_alpha+$K$11,0.5*$S$11/HU_alpha,IF((AE113+$L$11+$N$11)&gt;=$K$11,((AE113+$L$11+$N$11)-$K$11)-0.5*HU_alpha/$S$11*((AE113+$L$11+$N$11)-$K$11)^2,IF((AE113+$L$11+$N$11)&gt;=$T$11,HU_beta*((AE113+$L$11+$N$11)-$K$11),HU_beta*($T$11-$K$11)))))</f>
        <v/>
      </c>
      <c r="BC113" s="29">
        <f>IF(OR(AZ113=0,$S$11=0),0,IF((AE113+$K$11)&gt;$S$11/HU_alpha+$K$11,0.5*$S$11/HU_alpha,IF((AE113+$K$11)&gt;=$K$11,((AE113+$K$11)-$K$11)-0.5*HU_alpha/$S$11*((AE113+$K$11)-$K$11)^2,IF((AE113+$K$11)&gt;=$T$11,HU_beta*((AE113+$K$11)-$K$11),HU_beta*($T$11-$K$11)))))</f>
        <v/>
      </c>
      <c r="BD113" s="63">
        <f>IF(AND($J$12,A113=$Q$12),J113,0)</f>
        <v/>
      </c>
      <c r="BE113" s="29">
        <f>IF(OR(BD113=0,$S$12=0),0,IF((AE113+$L$12)&gt;$S$12/HU_alpha+$K$12,0.5*$S$12/HU_alpha,IF((AE113+$L$12)&gt;=$K$12,((AE113+$L$12)-$K$12)-0.5*HU_alpha/$S$12*((AE113+$L$12)-$K$12)^2,IF((AE113+$L$12)&gt;=$T$12,HU_beta*((AE113+$L$12)-$K$12),HU_beta*($T$12-$K$12)))))</f>
        <v/>
      </c>
      <c r="BF113" s="29">
        <f>IF(OR(BD113=0,$S$12=0),0,IF((AE113+$L$12+$N$12)&gt;$S$12/HU_alpha+$K$12,0.5*$S$12/HU_alpha,IF((AE113+$L$12+$N$12)&gt;=$K$12,((AE113+$L$12+$N$12)-$K$12)-0.5*HU_alpha/$S$12*((AE113+$L$12+$N$12)-$K$12)^2,IF((AE113+$L$12+$N$12)&gt;=$T$12,HU_beta*((AE113+$L$12+$N$12)-$K$12),HU_beta*($T$12-$K$12)))))</f>
        <v/>
      </c>
      <c r="BG113" s="29">
        <f>IF(OR(BD113=0,$S$12=0),0,IF((AE113+$K$12)&gt;$S$12/HU_alpha+$K$12,0.5*$S$12/HU_alpha,IF((AE113+$K$12)&gt;=$K$12,((AE113+$K$12)-$K$12)-0.5*HU_alpha/$S$12*((AE113+$K$12)-$K$12)^2,IF((AE113+$K$12)&gt;=$T$12,HU_beta*((AE113+$K$12)-$K$12),HU_beta*($T$12-$K$12)))))</f>
        <v/>
      </c>
      <c r="BH113" s="63">
        <f>IF(AND($J$13,A113=$Q$13),J113,0)</f>
        <v/>
      </c>
      <c r="BI113" s="29">
        <f>IF(OR(BH113=0,$S$13=0),0,IF((AE113+$L$13)&gt;$S$13/HU_alpha+$K$13,0.5*$S$13/HU_alpha,IF((AE113+$L$13)&gt;=$K$13,((AE113+$L$13)-$K$13)-0.5*HU_alpha/$S$13*((AE113+$L$13)-$K$13)^2,IF((AE113+$L$13)&gt;=$T$13,HU_beta*((AE113+$L$13)-$K$13),HU_beta*($T$13-$K$13)))))</f>
        <v/>
      </c>
      <c r="BJ113" s="29">
        <f>IF(OR(BH113=0,$S$13=0),0,IF((AE113+$L$13+$N$13)&gt;$S$13/HU_alpha+$K$13,0.5*$S$13/HU_alpha,IF((AE113+$L$13+$N$13)&gt;=$K$13,((AE113+$L$13+$N$13)-$K$13)-0.5*HU_alpha/$S$13*((AE113+$L$13+$N$13)-$K$13)^2,IF((AE113+$L$13+$N$13)&gt;=$T$13,HU_beta*((AE113+$L$13+$N$13)-$K$13),HU_beta*($T$13-$K$13)))))</f>
        <v/>
      </c>
      <c r="BK113" s="29">
        <f>IF(OR(BH113=0,$S$13=0),0,IF((AE113+$K$13)&gt;$S$13/HU_alpha+$K$13,0.5*$S$13/HU_alpha,IF((AE113+$K$13)&gt;=$K$13,((AE113+$K$13)-$K$13)-0.5*HU_alpha/$S$13*((AE113+$K$13)-$K$13)^2,IF((AE113+$K$13)&gt;=$T$13,HU_beta*((AE113+$K$13)-$K$13),HU_beta*($T$13-$K$13)))))</f>
        <v/>
      </c>
    </row>
    <row r="114">
      <c r="A114" s="61" t="n">
        <v>46</v>
      </c>
      <c r="B114" s="61">
        <f>HU_age+A114</f>
        <v/>
      </c>
      <c r="C114" s="52">
        <f>A114&lt;=HU_T</f>
        <v/>
      </c>
      <c r="D114" s="63">
        <f>IF(OR(A114&lt;1,A114&gt;HU_T),0,INDEX(HU_q_mort,HU_age+A114-17,HU_col))</f>
        <v/>
      </c>
      <c r="E114" s="63">
        <f>IF(OR(A114&lt;1,A114&gt;HU_T),0,INDEX(HU_q_adb,HU_age+A114-17,HU_col))</f>
        <v/>
      </c>
      <c r="F114" s="63">
        <f>IF(OR(A114&lt;1,A114&gt;HU_T),0,INDEX(HU_q_morb,HU_age+A114-17,HU_col))</f>
        <v/>
      </c>
      <c r="G114" s="63">
        <f>IF(OR(A114&lt;1,A114&gt;HU_T),0,INDEX(HU_q_ptd,HU_age+A114-17,HU_col))</f>
        <v/>
      </c>
      <c r="H114" s="63">
        <f>IF(OR(A114&lt;1,A114&gt;HU_T),0,INDEX(HU_q_dis,HU_age+A114-17,HU_col))</f>
        <v/>
      </c>
      <c r="I114" s="63">
        <f>IF(A114&gt;HU_T,0,I113*(1-D114)*(1-E114))</f>
        <v/>
      </c>
      <c r="J114" s="63">
        <f>IF(A114&gt;=HU_T,0,N(I115))</f>
        <v/>
      </c>
      <c r="K114" s="63">
        <f>K113*(1-G114)</f>
        <v/>
      </c>
      <c r="L114" s="63">
        <f>1-K114</f>
        <v/>
      </c>
      <c r="M114" s="63">
        <f>K113*G114</f>
        <v/>
      </c>
      <c r="N114" s="63">
        <f>N113*(1-H114)</f>
        <v/>
      </c>
      <c r="O114" s="63">
        <f>1-N113</f>
        <v/>
      </c>
      <c r="P114" s="63">
        <f>P113*(1-F114)</f>
        <v/>
      </c>
      <c r="Q114" s="63">
        <f>1-P113/INDEX($P$68:$P$150,MAX(1,A114-HU_ciYears))</f>
        <v/>
      </c>
      <c r="R114" s="60">
        <f>(1+inflationRate)^A114</f>
        <v/>
      </c>
      <c r="S114" s="29">
        <f>IF(OR(OR(A114&lt;1,A114&gt;HU_T),A114-1&gt;=HU_dtr),0,HU_inc0*(1+incomeGrowthRate)^A114)</f>
        <v/>
      </c>
      <c r="T114" s="60">
        <f>IF(A114&gt;HU_T,T113,T113*(1+INDEX(HU_ssG,HU_age+A114-17)))</f>
        <v/>
      </c>
      <c r="U114" s="29">
        <f>IF(AND(HU_dtr&gt;=1,A114=HU_dtr,A114&lt;=HU_T),MIN(S114*INDEX(HU_ssC,HU_age+A114-17)/(1-INDEX(HU_ssC,HU_age+A114-17)),INDEX(HU_ssCap,HU_age+A114-17))*T114,0)</f>
        <v/>
      </c>
      <c r="V114" s="29">
        <f>S114+U114+IF(AND(HU_wdOn,A114=HU_wdYear),HU_wdIncome,0)</f>
        <v/>
      </c>
      <c r="W114" s="60">
        <f>HU_ciProp*Q114+HU_tpdCut*L114+HU_disCut*O114</f>
        <v/>
      </c>
      <c r="X114" s="29">
        <f>IF(OR(A114&lt;1,A114&gt;HU_T),0,V114*(1-W114))</f>
        <v/>
      </c>
      <c r="Y114" s="29">
        <f>IF(OR(A114&lt;1,A114&gt;HU_T),0,IF(AND(HU_retExp&gt;0,A114-1&gt;=HU_dtr),HU_retExp,HU_exp0)*R114)</f>
        <v/>
      </c>
      <c r="Z114" s="29">
        <f>-Y114-IF(AND(HU_wdOn,A114=HU_wdYear),HU_wdOut,0)</f>
        <v/>
      </c>
      <c r="AA114" s="29">
        <f>IF(OR(A114&lt;1,A114&gt;HU_T),0,-HU_medCost*R114*F114-HU_tpdCost*R114*M114)</f>
        <v/>
      </c>
      <c r="AB114" s="29">
        <f>IF(A114&gt;HU_T,0,AB113*(1+interestRate)+X114+Z114+AA114)</f>
        <v/>
      </c>
      <c r="AC114" s="29">
        <f>IF(A114&gt;HU_T,0,HU_inv*EXP(HU_mu*A114))</f>
        <v/>
      </c>
      <c r="AD114" s="29">
        <f>IF(A114&gt;HU_T,0,MAX(0,AC114+AB114))</f>
        <v/>
      </c>
      <c r="AE114" s="29">
        <f>IF(A114&gt;HU_T,0,MAX(0,X114-Y114))</f>
        <v/>
      </c>
      <c r="AF114" s="63">
        <f>IF(AND($J$6,A114&gt;=1,A114&lt;=$Q$6-1),J114,0)</f>
        <v/>
      </c>
      <c r="AG114" s="29">
        <f>IF(OR(AF114=0,$S$6=0),0,IF((AD114+$L$6)&gt;$S$6/HU_alpha+$K$6,0.5*$S$6/HU_alpha,IF((AD114+$L$6)&gt;=$K$6,((AD114+$L$6)-$K$6)-0.5*HU_alpha/$S$6*((AD114+$L$6)-$K$6)^2,IF((AD114+$L$6)&gt;=$T$6,HU_beta*((AD114+$L$6)-$K$6),HU_beta*($T$6-$K$6)))))</f>
        <v/>
      </c>
      <c r="AH114" s="29">
        <f>IF(OR(AF114=0,$S$6=0),0,IF((AD114+$L$6+$N$6)&gt;$S$6/HU_alpha+$K$6,0.5*$S$6/HU_alpha,IF((AD114+$L$6+$N$6)&gt;=$K$6,((AD114+$L$6+$N$6)-$K$6)-0.5*HU_alpha/$S$6*((AD114+$L$6+$N$6)-$K$6)^2,IF((AD114+$L$6+$N$6)&gt;=$T$6,HU_beta*((AD114+$L$6+$N$6)-$K$6),HU_beta*($T$6-$K$6)))))</f>
        <v/>
      </c>
      <c r="AI114" s="29">
        <f>IF(OR(AF114=0,$S$6=0),0,IF((AD114+$K$6)&gt;$S$6/HU_alpha+$K$6,0.5*$S$6/HU_alpha,IF((AD114+$K$6)&gt;=$K$6,((AD114+$K$6)-$K$6)-0.5*HU_alpha/$S$6*((AD114+$K$6)-$K$6)^2,IF((AD114+$K$6)&gt;=$T$6,HU_beta*((AD114+$K$6)-$K$6),HU_beta*($T$6-$K$6)))))</f>
        <v/>
      </c>
      <c r="AJ114" s="63">
        <f>IF(AND($J$7,A114&gt;=1,A114&lt;=$Q$7-1),J114,0)</f>
        <v/>
      </c>
      <c r="AK114" s="29">
        <f>IF(OR(AJ114=0,$S$7=0),0,IF((AE114+$L$7)&gt;$S$7/HU_alpha+$K$7,0.5*$S$7/HU_alpha,IF((AE114+$L$7)&gt;=$K$7,((AE114+$L$7)-$K$7)-0.5*HU_alpha/$S$7*((AE114+$L$7)-$K$7)^2,IF((AE114+$L$7)&gt;=$T$7,HU_beta*((AE114+$L$7)-$K$7),HU_beta*($T$7-$K$7)))))</f>
        <v/>
      </c>
      <c r="AL114" s="29">
        <f>IF(OR(AJ114=0,$S$7=0),0,IF((AE114+$L$7+$N$7)&gt;$S$7/HU_alpha+$K$7,0.5*$S$7/HU_alpha,IF((AE114+$L$7+$N$7)&gt;=$K$7,((AE114+$L$7+$N$7)-$K$7)-0.5*HU_alpha/$S$7*((AE114+$L$7+$N$7)-$K$7)^2,IF((AE114+$L$7+$N$7)&gt;=$T$7,HU_beta*((AE114+$L$7+$N$7)-$K$7),HU_beta*($T$7-$K$7)))))</f>
        <v/>
      </c>
      <c r="AM114" s="29">
        <f>IF(OR(AJ114=0,$S$7=0),0,IF((AE114+$K$7)&gt;$S$7/HU_alpha+$K$7,0.5*$S$7/HU_alpha,IF((AE114+$K$7)&gt;=$K$7,((AE114+$K$7)-$K$7)-0.5*HU_alpha/$S$7*((AE114+$K$7)-$K$7)^2,IF((AE114+$K$7)&gt;=$T$7,HU_beta*((AE114+$K$7)-$K$7),HU_beta*($T$7-$K$7)))))</f>
        <v/>
      </c>
      <c r="AN114" s="63">
        <f>IF(AND($J$8,A114&gt;=1,A114&lt;=$Q$8-1),J114,0)</f>
        <v/>
      </c>
      <c r="AO114" s="29">
        <f>IF(OR(AN114=0,$S$8=0),0,IF((AE114+$L$8)&gt;$S$8/HU_alpha+$K$8,0.5*$S$8/HU_alpha,IF((AE114+$L$8)&gt;=$K$8,((AE114+$L$8)-$K$8)-0.5*HU_alpha/$S$8*((AE114+$L$8)-$K$8)^2,IF((AE114+$L$8)&gt;=$T$8,HU_beta*((AE114+$L$8)-$K$8),HU_beta*($T$8-$K$8)))))</f>
        <v/>
      </c>
      <c r="AP114" s="29">
        <f>IF(OR(AN114=0,$S$8=0),0,IF((AE114+$L$8+$N$8)&gt;$S$8/HU_alpha+$K$8,0.5*$S$8/HU_alpha,IF((AE114+$L$8+$N$8)&gt;=$K$8,((AE114+$L$8+$N$8)-$K$8)-0.5*HU_alpha/$S$8*((AE114+$L$8+$N$8)-$K$8)^2,IF((AE114+$L$8+$N$8)&gt;=$T$8,HU_beta*((AE114+$L$8+$N$8)-$K$8),HU_beta*($T$8-$K$8)))))</f>
        <v/>
      </c>
      <c r="AQ114" s="29">
        <f>IF(OR(AN114=0,$S$8=0),0,IF((AE114+$K$8)&gt;$S$8/HU_alpha+$K$8,0.5*$S$8/HU_alpha,IF((AE114+$K$8)&gt;=$K$8,((AE114+$K$8)-$K$8)-0.5*HU_alpha/$S$8*((AE114+$K$8)-$K$8)^2,IF((AE114+$K$8)&gt;=$T$8,HU_beta*((AE114+$K$8)-$K$8),HU_beta*($T$8-$K$8)))))</f>
        <v/>
      </c>
      <c r="AR114" s="63">
        <f>IF(AND($J$9,A114&gt;=1,A114&lt;=$Q$9-1),J114,0)</f>
        <v/>
      </c>
      <c r="AS114" s="29">
        <f>IF(OR(AR114=0,$S$9=0),0,IF((AE114+$L$9)&gt;$S$9/HU_alpha+$K$9,0.5*$S$9/HU_alpha,IF((AE114+$L$9)&gt;=$K$9,((AE114+$L$9)-$K$9)-0.5*HU_alpha/$S$9*((AE114+$L$9)-$K$9)^2,IF((AE114+$L$9)&gt;=$T$9,HU_beta*((AE114+$L$9)-$K$9),HU_beta*($T$9-$K$9)))))</f>
        <v/>
      </c>
      <c r="AT114" s="29">
        <f>IF(OR(AR114=0,$S$9=0),0,IF((AE114+$L$9+$N$9)&gt;$S$9/HU_alpha+$K$9,0.5*$S$9/HU_alpha,IF((AE114+$L$9+$N$9)&gt;=$K$9,((AE114+$L$9+$N$9)-$K$9)-0.5*HU_alpha/$S$9*((AE114+$L$9+$N$9)-$K$9)^2,IF((AE114+$L$9+$N$9)&gt;=$T$9,HU_beta*((AE114+$L$9+$N$9)-$K$9),HU_beta*($T$9-$K$9)))))</f>
        <v/>
      </c>
      <c r="AU114" s="29">
        <f>IF(OR(AR114=0,$S$9=0),0,IF((AE114+$K$9)&gt;$S$9/HU_alpha+$K$9,0.5*$S$9/HU_alpha,IF((AE114+$K$9)&gt;=$K$9,((AE114+$K$9)-$K$9)-0.5*HU_alpha/$S$9*((AE114+$K$9)-$K$9)^2,IF((AE114+$K$9)&gt;=$T$9,HU_beta*((AE114+$K$9)-$K$9),HU_beta*($T$9-$K$9)))))</f>
        <v/>
      </c>
      <c r="AV114" s="63">
        <f>IF(AND($J$10,A114=$Q$10),J114,0)</f>
        <v/>
      </c>
      <c r="AW114" s="29">
        <f>IF(OR(AV114=0,$S$10=0),0,IF((AD114+$L$10)&gt;$S$10/HU_alpha+$K$10,0.5*$S$10/HU_alpha,IF((AD114+$L$10)&gt;=$K$10,((AD114+$L$10)-$K$10)-0.5*HU_alpha/$S$10*((AD114+$L$10)-$K$10)^2,IF((AD114+$L$10)&gt;=$T$10,HU_beta*((AD114+$L$10)-$K$10),HU_beta*($T$10-$K$10)))))</f>
        <v/>
      </c>
      <c r="AX114" s="29">
        <f>IF(OR(AV114=0,$S$10=0),0,IF((AD114+$L$10+$N$10)&gt;$S$10/HU_alpha+$K$10,0.5*$S$10/HU_alpha,IF((AD114+$L$10+$N$10)&gt;=$K$10,((AD114+$L$10+$N$10)-$K$10)-0.5*HU_alpha/$S$10*((AD114+$L$10+$N$10)-$K$10)^2,IF((AD114+$L$10+$N$10)&gt;=$T$10,HU_beta*((AD114+$L$10+$N$10)-$K$10),HU_beta*($T$10-$K$10)))))</f>
        <v/>
      </c>
      <c r="AY114" s="29">
        <f>IF(OR(AV114=0,$S$10=0),0,IF((AD114+$K$10)&gt;$S$10/HU_alpha+$K$10,0.5*$S$10/HU_alpha,IF((AD114+$K$10)&gt;=$K$10,((AD114+$K$10)-$K$10)-0.5*HU_alpha/$S$10*((AD114+$K$10)-$K$10)^2,IF((AD114+$K$10)&gt;=$T$10,HU_beta*((AD114+$K$10)-$K$10),HU_beta*($T$10-$K$10)))))</f>
        <v/>
      </c>
      <c r="AZ114" s="63">
        <f>IF(AND($J$11,A114=$Q$11),J114,0)</f>
        <v/>
      </c>
      <c r="BA114" s="29">
        <f>IF(OR(AZ114=0,$S$11=0),0,IF((AE114+$L$11)&gt;$S$11/HU_alpha+$K$11,0.5*$S$11/HU_alpha,IF((AE114+$L$11)&gt;=$K$11,((AE114+$L$11)-$K$11)-0.5*HU_alpha/$S$11*((AE114+$L$11)-$K$11)^2,IF((AE114+$L$11)&gt;=$T$11,HU_beta*((AE114+$L$11)-$K$11),HU_beta*($T$11-$K$11)))))</f>
        <v/>
      </c>
      <c r="BB114" s="29">
        <f>IF(OR(AZ114=0,$S$11=0),0,IF((AE114+$L$11+$N$11)&gt;$S$11/HU_alpha+$K$11,0.5*$S$11/HU_alpha,IF((AE114+$L$11+$N$11)&gt;=$K$11,((AE114+$L$11+$N$11)-$K$11)-0.5*HU_alpha/$S$11*((AE114+$L$11+$N$11)-$K$11)^2,IF((AE114+$L$11+$N$11)&gt;=$T$11,HU_beta*((AE114+$L$11+$N$11)-$K$11),HU_beta*($T$11-$K$11)))))</f>
        <v/>
      </c>
      <c r="BC114" s="29">
        <f>IF(OR(AZ114=0,$S$11=0),0,IF((AE114+$K$11)&gt;$S$11/HU_alpha+$K$11,0.5*$S$11/HU_alpha,IF((AE114+$K$11)&gt;=$K$11,((AE114+$K$11)-$K$11)-0.5*HU_alpha/$S$11*((AE114+$K$11)-$K$11)^2,IF((AE114+$K$11)&gt;=$T$11,HU_beta*((AE114+$K$11)-$K$11),HU_beta*($T$11-$K$11)))))</f>
        <v/>
      </c>
      <c r="BD114" s="63">
        <f>IF(AND($J$12,A114=$Q$12),J114,0)</f>
        <v/>
      </c>
      <c r="BE114" s="29">
        <f>IF(OR(BD114=0,$S$12=0),0,IF((AE114+$L$12)&gt;$S$12/HU_alpha+$K$12,0.5*$S$12/HU_alpha,IF((AE114+$L$12)&gt;=$K$12,((AE114+$L$12)-$K$12)-0.5*HU_alpha/$S$12*((AE114+$L$12)-$K$12)^2,IF((AE114+$L$12)&gt;=$T$12,HU_beta*((AE114+$L$12)-$K$12),HU_beta*($T$12-$K$12)))))</f>
        <v/>
      </c>
      <c r="BF114" s="29">
        <f>IF(OR(BD114=0,$S$12=0),0,IF((AE114+$L$12+$N$12)&gt;$S$12/HU_alpha+$K$12,0.5*$S$12/HU_alpha,IF((AE114+$L$12+$N$12)&gt;=$K$12,((AE114+$L$12+$N$12)-$K$12)-0.5*HU_alpha/$S$12*((AE114+$L$12+$N$12)-$K$12)^2,IF((AE114+$L$12+$N$12)&gt;=$T$12,HU_beta*((AE114+$L$12+$N$12)-$K$12),HU_beta*($T$12-$K$12)))))</f>
        <v/>
      </c>
      <c r="BG114" s="29">
        <f>IF(OR(BD114=0,$S$12=0),0,IF((AE114+$K$12)&gt;$S$12/HU_alpha+$K$12,0.5*$S$12/HU_alpha,IF((AE114+$K$12)&gt;=$K$12,((AE114+$K$12)-$K$12)-0.5*HU_alpha/$S$12*((AE114+$K$12)-$K$12)^2,IF((AE114+$K$12)&gt;=$T$12,HU_beta*((AE114+$K$12)-$K$12),HU_beta*($T$12-$K$12)))))</f>
        <v/>
      </c>
      <c r="BH114" s="63">
        <f>IF(AND($J$13,A114=$Q$13),J114,0)</f>
        <v/>
      </c>
      <c r="BI114" s="29">
        <f>IF(OR(BH114=0,$S$13=0),0,IF((AE114+$L$13)&gt;$S$13/HU_alpha+$K$13,0.5*$S$13/HU_alpha,IF((AE114+$L$13)&gt;=$K$13,((AE114+$L$13)-$K$13)-0.5*HU_alpha/$S$13*((AE114+$L$13)-$K$13)^2,IF((AE114+$L$13)&gt;=$T$13,HU_beta*((AE114+$L$13)-$K$13),HU_beta*($T$13-$K$13)))))</f>
        <v/>
      </c>
      <c r="BJ114" s="29">
        <f>IF(OR(BH114=0,$S$13=0),0,IF((AE114+$L$13+$N$13)&gt;$S$13/HU_alpha+$K$13,0.5*$S$13/HU_alpha,IF((AE114+$L$13+$N$13)&gt;=$K$13,((AE114+$L$13+$N$13)-$K$13)-0.5*HU_alpha/$S$13*((AE114+$L$13+$N$13)-$K$13)^2,IF((AE114+$L$13+$N$13)&gt;=$T$13,HU_beta*((AE114+$L$13+$N$13)-$K$13),HU_beta*($T$13-$K$13)))))</f>
        <v/>
      </c>
      <c r="BK114" s="29">
        <f>IF(OR(BH114=0,$S$13=0),0,IF((AE114+$K$13)&gt;$S$13/HU_alpha+$K$13,0.5*$S$13/HU_alpha,IF((AE114+$K$13)&gt;=$K$13,((AE114+$K$13)-$K$13)-0.5*HU_alpha/$S$13*((AE114+$K$13)-$K$13)^2,IF((AE114+$K$13)&gt;=$T$13,HU_beta*((AE114+$K$13)-$K$13),HU_beta*($T$13-$K$13)))))</f>
        <v/>
      </c>
    </row>
    <row r="115">
      <c r="A115" s="61" t="n">
        <v>47</v>
      </c>
      <c r="B115" s="61">
        <f>HU_age+A115</f>
        <v/>
      </c>
      <c r="C115" s="52">
        <f>A115&lt;=HU_T</f>
        <v/>
      </c>
      <c r="D115" s="63">
        <f>IF(OR(A115&lt;1,A115&gt;HU_T),0,INDEX(HU_q_mort,HU_age+A115-17,HU_col))</f>
        <v/>
      </c>
      <c r="E115" s="63">
        <f>IF(OR(A115&lt;1,A115&gt;HU_T),0,INDEX(HU_q_adb,HU_age+A115-17,HU_col))</f>
        <v/>
      </c>
      <c r="F115" s="63">
        <f>IF(OR(A115&lt;1,A115&gt;HU_T),0,INDEX(HU_q_morb,HU_age+A115-17,HU_col))</f>
        <v/>
      </c>
      <c r="G115" s="63">
        <f>IF(OR(A115&lt;1,A115&gt;HU_T),0,INDEX(HU_q_ptd,HU_age+A115-17,HU_col))</f>
        <v/>
      </c>
      <c r="H115" s="63">
        <f>IF(OR(A115&lt;1,A115&gt;HU_T),0,INDEX(HU_q_dis,HU_age+A115-17,HU_col))</f>
        <v/>
      </c>
      <c r="I115" s="63">
        <f>IF(A115&gt;HU_T,0,I114*(1-D115)*(1-E115))</f>
        <v/>
      </c>
      <c r="J115" s="63">
        <f>IF(A115&gt;=HU_T,0,N(I116))</f>
        <v/>
      </c>
      <c r="K115" s="63">
        <f>K114*(1-G115)</f>
        <v/>
      </c>
      <c r="L115" s="63">
        <f>1-K115</f>
        <v/>
      </c>
      <c r="M115" s="63">
        <f>K114*G115</f>
        <v/>
      </c>
      <c r="N115" s="63">
        <f>N114*(1-H115)</f>
        <v/>
      </c>
      <c r="O115" s="63">
        <f>1-N114</f>
        <v/>
      </c>
      <c r="P115" s="63">
        <f>P114*(1-F115)</f>
        <v/>
      </c>
      <c r="Q115" s="63">
        <f>1-P114/INDEX($P$68:$P$150,MAX(1,A115-HU_ciYears))</f>
        <v/>
      </c>
      <c r="R115" s="60">
        <f>(1+inflationRate)^A115</f>
        <v/>
      </c>
      <c r="S115" s="29">
        <f>IF(OR(OR(A115&lt;1,A115&gt;HU_T),A115-1&gt;=HU_dtr),0,HU_inc0*(1+incomeGrowthRate)^A115)</f>
        <v/>
      </c>
      <c r="T115" s="60">
        <f>IF(A115&gt;HU_T,T114,T114*(1+INDEX(HU_ssG,HU_age+A115-17)))</f>
        <v/>
      </c>
      <c r="U115" s="29">
        <f>IF(AND(HU_dtr&gt;=1,A115=HU_dtr,A115&lt;=HU_T),MIN(S115*INDEX(HU_ssC,HU_age+A115-17)/(1-INDEX(HU_ssC,HU_age+A115-17)),INDEX(HU_ssCap,HU_age+A115-17))*T115,0)</f>
        <v/>
      </c>
      <c r="V115" s="29">
        <f>S115+U115+IF(AND(HU_wdOn,A115=HU_wdYear),HU_wdIncome,0)</f>
        <v/>
      </c>
      <c r="W115" s="60">
        <f>HU_ciProp*Q115+HU_tpdCut*L115+HU_disCut*O115</f>
        <v/>
      </c>
      <c r="X115" s="29">
        <f>IF(OR(A115&lt;1,A115&gt;HU_T),0,V115*(1-W115))</f>
        <v/>
      </c>
      <c r="Y115" s="29">
        <f>IF(OR(A115&lt;1,A115&gt;HU_T),0,IF(AND(HU_retExp&gt;0,A115-1&gt;=HU_dtr),HU_retExp,HU_exp0)*R115)</f>
        <v/>
      </c>
      <c r="Z115" s="29">
        <f>-Y115-IF(AND(HU_wdOn,A115=HU_wdYear),HU_wdOut,0)</f>
        <v/>
      </c>
      <c r="AA115" s="29">
        <f>IF(OR(A115&lt;1,A115&gt;HU_T),0,-HU_medCost*R115*F115-HU_tpdCost*R115*M115)</f>
        <v/>
      </c>
      <c r="AB115" s="29">
        <f>IF(A115&gt;HU_T,0,AB114*(1+interestRate)+X115+Z115+AA115)</f>
        <v/>
      </c>
      <c r="AC115" s="29">
        <f>IF(A115&gt;HU_T,0,HU_inv*EXP(HU_mu*A115))</f>
        <v/>
      </c>
      <c r="AD115" s="29">
        <f>IF(A115&gt;HU_T,0,MAX(0,AC115+AB115))</f>
        <v/>
      </c>
      <c r="AE115" s="29">
        <f>IF(A115&gt;HU_T,0,MAX(0,X115-Y115))</f>
        <v/>
      </c>
      <c r="AF115" s="63">
        <f>IF(AND($J$6,A115&gt;=1,A115&lt;=$Q$6-1),J115,0)</f>
        <v/>
      </c>
      <c r="AG115" s="29">
        <f>IF(OR(AF115=0,$S$6=0),0,IF((AD115+$L$6)&gt;$S$6/HU_alpha+$K$6,0.5*$S$6/HU_alpha,IF((AD115+$L$6)&gt;=$K$6,((AD115+$L$6)-$K$6)-0.5*HU_alpha/$S$6*((AD115+$L$6)-$K$6)^2,IF((AD115+$L$6)&gt;=$T$6,HU_beta*((AD115+$L$6)-$K$6),HU_beta*($T$6-$K$6)))))</f>
        <v/>
      </c>
      <c r="AH115" s="29">
        <f>IF(OR(AF115=0,$S$6=0),0,IF((AD115+$L$6+$N$6)&gt;$S$6/HU_alpha+$K$6,0.5*$S$6/HU_alpha,IF((AD115+$L$6+$N$6)&gt;=$K$6,((AD115+$L$6+$N$6)-$K$6)-0.5*HU_alpha/$S$6*((AD115+$L$6+$N$6)-$K$6)^2,IF((AD115+$L$6+$N$6)&gt;=$T$6,HU_beta*((AD115+$L$6+$N$6)-$K$6),HU_beta*($T$6-$K$6)))))</f>
        <v/>
      </c>
      <c r="AI115" s="29">
        <f>IF(OR(AF115=0,$S$6=0),0,IF((AD115+$K$6)&gt;$S$6/HU_alpha+$K$6,0.5*$S$6/HU_alpha,IF((AD115+$K$6)&gt;=$K$6,((AD115+$K$6)-$K$6)-0.5*HU_alpha/$S$6*((AD115+$K$6)-$K$6)^2,IF((AD115+$K$6)&gt;=$T$6,HU_beta*((AD115+$K$6)-$K$6),HU_beta*($T$6-$K$6)))))</f>
        <v/>
      </c>
      <c r="AJ115" s="63">
        <f>IF(AND($J$7,A115&gt;=1,A115&lt;=$Q$7-1),J115,0)</f>
        <v/>
      </c>
      <c r="AK115" s="29">
        <f>IF(OR(AJ115=0,$S$7=0),0,IF((AE115+$L$7)&gt;$S$7/HU_alpha+$K$7,0.5*$S$7/HU_alpha,IF((AE115+$L$7)&gt;=$K$7,((AE115+$L$7)-$K$7)-0.5*HU_alpha/$S$7*((AE115+$L$7)-$K$7)^2,IF((AE115+$L$7)&gt;=$T$7,HU_beta*((AE115+$L$7)-$K$7),HU_beta*($T$7-$K$7)))))</f>
        <v/>
      </c>
      <c r="AL115" s="29">
        <f>IF(OR(AJ115=0,$S$7=0),0,IF((AE115+$L$7+$N$7)&gt;$S$7/HU_alpha+$K$7,0.5*$S$7/HU_alpha,IF((AE115+$L$7+$N$7)&gt;=$K$7,((AE115+$L$7+$N$7)-$K$7)-0.5*HU_alpha/$S$7*((AE115+$L$7+$N$7)-$K$7)^2,IF((AE115+$L$7+$N$7)&gt;=$T$7,HU_beta*((AE115+$L$7+$N$7)-$K$7),HU_beta*($T$7-$K$7)))))</f>
        <v/>
      </c>
      <c r="AM115" s="29">
        <f>IF(OR(AJ115=0,$S$7=0),0,IF((AE115+$K$7)&gt;$S$7/HU_alpha+$K$7,0.5*$S$7/HU_alpha,IF((AE115+$K$7)&gt;=$K$7,((AE115+$K$7)-$K$7)-0.5*HU_alpha/$S$7*((AE115+$K$7)-$K$7)^2,IF((AE115+$K$7)&gt;=$T$7,HU_beta*((AE115+$K$7)-$K$7),HU_beta*($T$7-$K$7)))))</f>
        <v/>
      </c>
      <c r="AN115" s="63">
        <f>IF(AND($J$8,A115&gt;=1,A115&lt;=$Q$8-1),J115,0)</f>
        <v/>
      </c>
      <c r="AO115" s="29">
        <f>IF(OR(AN115=0,$S$8=0),0,IF((AE115+$L$8)&gt;$S$8/HU_alpha+$K$8,0.5*$S$8/HU_alpha,IF((AE115+$L$8)&gt;=$K$8,((AE115+$L$8)-$K$8)-0.5*HU_alpha/$S$8*((AE115+$L$8)-$K$8)^2,IF((AE115+$L$8)&gt;=$T$8,HU_beta*((AE115+$L$8)-$K$8),HU_beta*($T$8-$K$8)))))</f>
        <v/>
      </c>
      <c r="AP115" s="29">
        <f>IF(OR(AN115=0,$S$8=0),0,IF((AE115+$L$8+$N$8)&gt;$S$8/HU_alpha+$K$8,0.5*$S$8/HU_alpha,IF((AE115+$L$8+$N$8)&gt;=$K$8,((AE115+$L$8+$N$8)-$K$8)-0.5*HU_alpha/$S$8*((AE115+$L$8+$N$8)-$K$8)^2,IF((AE115+$L$8+$N$8)&gt;=$T$8,HU_beta*((AE115+$L$8+$N$8)-$K$8),HU_beta*($T$8-$K$8)))))</f>
        <v/>
      </c>
      <c r="AQ115" s="29">
        <f>IF(OR(AN115=0,$S$8=0),0,IF((AE115+$K$8)&gt;$S$8/HU_alpha+$K$8,0.5*$S$8/HU_alpha,IF((AE115+$K$8)&gt;=$K$8,((AE115+$K$8)-$K$8)-0.5*HU_alpha/$S$8*((AE115+$K$8)-$K$8)^2,IF((AE115+$K$8)&gt;=$T$8,HU_beta*((AE115+$K$8)-$K$8),HU_beta*($T$8-$K$8)))))</f>
        <v/>
      </c>
      <c r="AR115" s="63">
        <f>IF(AND($J$9,A115&gt;=1,A115&lt;=$Q$9-1),J115,0)</f>
        <v/>
      </c>
      <c r="AS115" s="29">
        <f>IF(OR(AR115=0,$S$9=0),0,IF((AE115+$L$9)&gt;$S$9/HU_alpha+$K$9,0.5*$S$9/HU_alpha,IF((AE115+$L$9)&gt;=$K$9,((AE115+$L$9)-$K$9)-0.5*HU_alpha/$S$9*((AE115+$L$9)-$K$9)^2,IF((AE115+$L$9)&gt;=$T$9,HU_beta*((AE115+$L$9)-$K$9),HU_beta*($T$9-$K$9)))))</f>
        <v/>
      </c>
      <c r="AT115" s="29">
        <f>IF(OR(AR115=0,$S$9=0),0,IF((AE115+$L$9+$N$9)&gt;$S$9/HU_alpha+$K$9,0.5*$S$9/HU_alpha,IF((AE115+$L$9+$N$9)&gt;=$K$9,((AE115+$L$9+$N$9)-$K$9)-0.5*HU_alpha/$S$9*((AE115+$L$9+$N$9)-$K$9)^2,IF((AE115+$L$9+$N$9)&gt;=$T$9,HU_beta*((AE115+$L$9+$N$9)-$K$9),HU_beta*($T$9-$K$9)))))</f>
        <v/>
      </c>
      <c r="AU115" s="29">
        <f>IF(OR(AR115=0,$S$9=0),0,IF((AE115+$K$9)&gt;$S$9/HU_alpha+$K$9,0.5*$S$9/HU_alpha,IF((AE115+$K$9)&gt;=$K$9,((AE115+$K$9)-$K$9)-0.5*HU_alpha/$S$9*((AE115+$K$9)-$K$9)^2,IF((AE115+$K$9)&gt;=$T$9,HU_beta*((AE115+$K$9)-$K$9),HU_beta*($T$9-$K$9)))))</f>
        <v/>
      </c>
      <c r="AV115" s="63">
        <f>IF(AND($J$10,A115=$Q$10),J115,0)</f>
        <v/>
      </c>
      <c r="AW115" s="29">
        <f>IF(OR(AV115=0,$S$10=0),0,IF((AD115+$L$10)&gt;$S$10/HU_alpha+$K$10,0.5*$S$10/HU_alpha,IF((AD115+$L$10)&gt;=$K$10,((AD115+$L$10)-$K$10)-0.5*HU_alpha/$S$10*((AD115+$L$10)-$K$10)^2,IF((AD115+$L$10)&gt;=$T$10,HU_beta*((AD115+$L$10)-$K$10),HU_beta*($T$10-$K$10)))))</f>
        <v/>
      </c>
      <c r="AX115" s="29">
        <f>IF(OR(AV115=0,$S$10=0),0,IF((AD115+$L$10+$N$10)&gt;$S$10/HU_alpha+$K$10,0.5*$S$10/HU_alpha,IF((AD115+$L$10+$N$10)&gt;=$K$10,((AD115+$L$10+$N$10)-$K$10)-0.5*HU_alpha/$S$10*((AD115+$L$10+$N$10)-$K$10)^2,IF((AD115+$L$10+$N$10)&gt;=$T$10,HU_beta*((AD115+$L$10+$N$10)-$K$10),HU_beta*($T$10-$K$10)))))</f>
        <v/>
      </c>
      <c r="AY115" s="29">
        <f>IF(OR(AV115=0,$S$10=0),0,IF((AD115+$K$10)&gt;$S$10/HU_alpha+$K$10,0.5*$S$10/HU_alpha,IF((AD115+$K$10)&gt;=$K$10,((AD115+$K$10)-$K$10)-0.5*HU_alpha/$S$10*((AD115+$K$10)-$K$10)^2,IF((AD115+$K$10)&gt;=$T$10,HU_beta*((AD115+$K$10)-$K$10),HU_beta*($T$10-$K$10)))))</f>
        <v/>
      </c>
      <c r="AZ115" s="63">
        <f>IF(AND($J$11,A115=$Q$11),J115,0)</f>
        <v/>
      </c>
      <c r="BA115" s="29">
        <f>IF(OR(AZ115=0,$S$11=0),0,IF((AE115+$L$11)&gt;$S$11/HU_alpha+$K$11,0.5*$S$11/HU_alpha,IF((AE115+$L$11)&gt;=$K$11,((AE115+$L$11)-$K$11)-0.5*HU_alpha/$S$11*((AE115+$L$11)-$K$11)^2,IF((AE115+$L$11)&gt;=$T$11,HU_beta*((AE115+$L$11)-$K$11),HU_beta*($T$11-$K$11)))))</f>
        <v/>
      </c>
      <c r="BB115" s="29">
        <f>IF(OR(AZ115=0,$S$11=0),0,IF((AE115+$L$11+$N$11)&gt;$S$11/HU_alpha+$K$11,0.5*$S$11/HU_alpha,IF((AE115+$L$11+$N$11)&gt;=$K$11,((AE115+$L$11+$N$11)-$K$11)-0.5*HU_alpha/$S$11*((AE115+$L$11+$N$11)-$K$11)^2,IF((AE115+$L$11+$N$11)&gt;=$T$11,HU_beta*((AE115+$L$11+$N$11)-$K$11),HU_beta*($T$11-$K$11)))))</f>
        <v/>
      </c>
      <c r="BC115" s="29">
        <f>IF(OR(AZ115=0,$S$11=0),0,IF((AE115+$K$11)&gt;$S$11/HU_alpha+$K$11,0.5*$S$11/HU_alpha,IF((AE115+$K$11)&gt;=$K$11,((AE115+$K$11)-$K$11)-0.5*HU_alpha/$S$11*((AE115+$K$11)-$K$11)^2,IF((AE115+$K$11)&gt;=$T$11,HU_beta*((AE115+$K$11)-$K$11),HU_beta*($T$11-$K$11)))))</f>
        <v/>
      </c>
      <c r="BD115" s="63">
        <f>IF(AND($J$12,A115=$Q$12),J115,0)</f>
        <v/>
      </c>
      <c r="BE115" s="29">
        <f>IF(OR(BD115=0,$S$12=0),0,IF((AE115+$L$12)&gt;$S$12/HU_alpha+$K$12,0.5*$S$12/HU_alpha,IF((AE115+$L$12)&gt;=$K$12,((AE115+$L$12)-$K$12)-0.5*HU_alpha/$S$12*((AE115+$L$12)-$K$12)^2,IF((AE115+$L$12)&gt;=$T$12,HU_beta*((AE115+$L$12)-$K$12),HU_beta*($T$12-$K$12)))))</f>
        <v/>
      </c>
      <c r="BF115" s="29">
        <f>IF(OR(BD115=0,$S$12=0),0,IF((AE115+$L$12+$N$12)&gt;$S$12/HU_alpha+$K$12,0.5*$S$12/HU_alpha,IF((AE115+$L$12+$N$12)&gt;=$K$12,((AE115+$L$12+$N$12)-$K$12)-0.5*HU_alpha/$S$12*((AE115+$L$12+$N$12)-$K$12)^2,IF((AE115+$L$12+$N$12)&gt;=$T$12,HU_beta*((AE115+$L$12+$N$12)-$K$12),HU_beta*($T$12-$K$12)))))</f>
        <v/>
      </c>
      <c r="BG115" s="29">
        <f>IF(OR(BD115=0,$S$12=0),0,IF((AE115+$K$12)&gt;$S$12/HU_alpha+$K$12,0.5*$S$12/HU_alpha,IF((AE115+$K$12)&gt;=$K$12,((AE115+$K$12)-$K$12)-0.5*HU_alpha/$S$12*((AE115+$K$12)-$K$12)^2,IF((AE115+$K$12)&gt;=$T$12,HU_beta*((AE115+$K$12)-$K$12),HU_beta*($T$12-$K$12)))))</f>
        <v/>
      </c>
      <c r="BH115" s="63">
        <f>IF(AND($J$13,A115=$Q$13),J115,0)</f>
        <v/>
      </c>
      <c r="BI115" s="29">
        <f>IF(OR(BH115=0,$S$13=0),0,IF((AE115+$L$13)&gt;$S$13/HU_alpha+$K$13,0.5*$S$13/HU_alpha,IF((AE115+$L$13)&gt;=$K$13,((AE115+$L$13)-$K$13)-0.5*HU_alpha/$S$13*((AE115+$L$13)-$K$13)^2,IF((AE115+$L$13)&gt;=$T$13,HU_beta*((AE115+$L$13)-$K$13),HU_beta*($T$13-$K$13)))))</f>
        <v/>
      </c>
      <c r="BJ115" s="29">
        <f>IF(OR(BH115=0,$S$13=0),0,IF((AE115+$L$13+$N$13)&gt;$S$13/HU_alpha+$K$13,0.5*$S$13/HU_alpha,IF((AE115+$L$13+$N$13)&gt;=$K$13,((AE115+$L$13+$N$13)-$K$13)-0.5*HU_alpha/$S$13*((AE115+$L$13+$N$13)-$K$13)^2,IF((AE115+$L$13+$N$13)&gt;=$T$13,HU_beta*((AE115+$L$13+$N$13)-$K$13),HU_beta*($T$13-$K$13)))))</f>
        <v/>
      </c>
      <c r="BK115" s="29">
        <f>IF(OR(BH115=0,$S$13=0),0,IF((AE115+$K$13)&gt;$S$13/HU_alpha+$K$13,0.5*$S$13/HU_alpha,IF((AE115+$K$13)&gt;=$K$13,((AE115+$K$13)-$K$13)-0.5*HU_alpha/$S$13*((AE115+$K$13)-$K$13)^2,IF((AE115+$K$13)&gt;=$T$13,HU_beta*((AE115+$K$13)-$K$13),HU_beta*($T$13-$K$13)))))</f>
        <v/>
      </c>
    </row>
    <row r="116">
      <c r="A116" s="61" t="n">
        <v>48</v>
      </c>
      <c r="B116" s="61">
        <f>HU_age+A116</f>
        <v/>
      </c>
      <c r="C116" s="52">
        <f>A116&lt;=HU_T</f>
        <v/>
      </c>
      <c r="D116" s="63">
        <f>IF(OR(A116&lt;1,A116&gt;HU_T),0,INDEX(HU_q_mort,HU_age+A116-17,HU_col))</f>
        <v/>
      </c>
      <c r="E116" s="63">
        <f>IF(OR(A116&lt;1,A116&gt;HU_T),0,INDEX(HU_q_adb,HU_age+A116-17,HU_col))</f>
        <v/>
      </c>
      <c r="F116" s="63">
        <f>IF(OR(A116&lt;1,A116&gt;HU_T),0,INDEX(HU_q_morb,HU_age+A116-17,HU_col))</f>
        <v/>
      </c>
      <c r="G116" s="63">
        <f>IF(OR(A116&lt;1,A116&gt;HU_T),0,INDEX(HU_q_ptd,HU_age+A116-17,HU_col))</f>
        <v/>
      </c>
      <c r="H116" s="63">
        <f>IF(OR(A116&lt;1,A116&gt;HU_T),0,INDEX(HU_q_dis,HU_age+A116-17,HU_col))</f>
        <v/>
      </c>
      <c r="I116" s="63">
        <f>IF(A116&gt;HU_T,0,I115*(1-D116)*(1-E116))</f>
        <v/>
      </c>
      <c r="J116" s="63">
        <f>IF(A116&gt;=HU_T,0,N(I117))</f>
        <v/>
      </c>
      <c r="K116" s="63">
        <f>K115*(1-G116)</f>
        <v/>
      </c>
      <c r="L116" s="63">
        <f>1-K116</f>
        <v/>
      </c>
      <c r="M116" s="63">
        <f>K115*G116</f>
        <v/>
      </c>
      <c r="N116" s="63">
        <f>N115*(1-H116)</f>
        <v/>
      </c>
      <c r="O116" s="63">
        <f>1-N115</f>
        <v/>
      </c>
      <c r="P116" s="63">
        <f>P115*(1-F116)</f>
        <v/>
      </c>
      <c r="Q116" s="63">
        <f>1-P115/INDEX($P$68:$P$150,MAX(1,A116-HU_ciYears))</f>
        <v/>
      </c>
      <c r="R116" s="60">
        <f>(1+inflationRate)^A116</f>
        <v/>
      </c>
      <c r="S116" s="29">
        <f>IF(OR(OR(A116&lt;1,A116&gt;HU_T),A116-1&gt;=HU_dtr),0,HU_inc0*(1+incomeGrowthRate)^A116)</f>
        <v/>
      </c>
      <c r="T116" s="60">
        <f>IF(A116&gt;HU_T,T115,T115*(1+INDEX(HU_ssG,HU_age+A116-17)))</f>
        <v/>
      </c>
      <c r="U116" s="29">
        <f>IF(AND(HU_dtr&gt;=1,A116=HU_dtr,A116&lt;=HU_T),MIN(S116*INDEX(HU_ssC,HU_age+A116-17)/(1-INDEX(HU_ssC,HU_age+A116-17)),INDEX(HU_ssCap,HU_age+A116-17))*T116,0)</f>
        <v/>
      </c>
      <c r="V116" s="29">
        <f>S116+U116+IF(AND(HU_wdOn,A116=HU_wdYear),HU_wdIncome,0)</f>
        <v/>
      </c>
      <c r="W116" s="60">
        <f>HU_ciProp*Q116+HU_tpdCut*L116+HU_disCut*O116</f>
        <v/>
      </c>
      <c r="X116" s="29">
        <f>IF(OR(A116&lt;1,A116&gt;HU_T),0,V116*(1-W116))</f>
        <v/>
      </c>
      <c r="Y116" s="29">
        <f>IF(OR(A116&lt;1,A116&gt;HU_T),0,IF(AND(HU_retExp&gt;0,A116-1&gt;=HU_dtr),HU_retExp,HU_exp0)*R116)</f>
        <v/>
      </c>
      <c r="Z116" s="29">
        <f>-Y116-IF(AND(HU_wdOn,A116=HU_wdYear),HU_wdOut,0)</f>
        <v/>
      </c>
      <c r="AA116" s="29">
        <f>IF(OR(A116&lt;1,A116&gt;HU_T),0,-HU_medCost*R116*F116-HU_tpdCost*R116*M116)</f>
        <v/>
      </c>
      <c r="AB116" s="29">
        <f>IF(A116&gt;HU_T,0,AB115*(1+interestRate)+X116+Z116+AA116)</f>
        <v/>
      </c>
      <c r="AC116" s="29">
        <f>IF(A116&gt;HU_T,0,HU_inv*EXP(HU_mu*A116))</f>
        <v/>
      </c>
      <c r="AD116" s="29">
        <f>IF(A116&gt;HU_T,0,MAX(0,AC116+AB116))</f>
        <v/>
      </c>
      <c r="AE116" s="29">
        <f>IF(A116&gt;HU_T,0,MAX(0,X116-Y116))</f>
        <v/>
      </c>
      <c r="AF116" s="63">
        <f>IF(AND($J$6,A116&gt;=1,A116&lt;=$Q$6-1),J116,0)</f>
        <v/>
      </c>
      <c r="AG116" s="29">
        <f>IF(OR(AF116=0,$S$6=0),0,IF((AD116+$L$6)&gt;$S$6/HU_alpha+$K$6,0.5*$S$6/HU_alpha,IF((AD116+$L$6)&gt;=$K$6,((AD116+$L$6)-$K$6)-0.5*HU_alpha/$S$6*((AD116+$L$6)-$K$6)^2,IF((AD116+$L$6)&gt;=$T$6,HU_beta*((AD116+$L$6)-$K$6),HU_beta*($T$6-$K$6)))))</f>
        <v/>
      </c>
      <c r="AH116" s="29">
        <f>IF(OR(AF116=0,$S$6=0),0,IF((AD116+$L$6+$N$6)&gt;$S$6/HU_alpha+$K$6,0.5*$S$6/HU_alpha,IF((AD116+$L$6+$N$6)&gt;=$K$6,((AD116+$L$6+$N$6)-$K$6)-0.5*HU_alpha/$S$6*((AD116+$L$6+$N$6)-$K$6)^2,IF((AD116+$L$6+$N$6)&gt;=$T$6,HU_beta*((AD116+$L$6+$N$6)-$K$6),HU_beta*($T$6-$K$6)))))</f>
        <v/>
      </c>
      <c r="AI116" s="29">
        <f>IF(OR(AF116=0,$S$6=0),0,IF((AD116+$K$6)&gt;$S$6/HU_alpha+$K$6,0.5*$S$6/HU_alpha,IF((AD116+$K$6)&gt;=$K$6,((AD116+$K$6)-$K$6)-0.5*HU_alpha/$S$6*((AD116+$K$6)-$K$6)^2,IF((AD116+$K$6)&gt;=$T$6,HU_beta*((AD116+$K$6)-$K$6),HU_beta*($T$6-$K$6)))))</f>
        <v/>
      </c>
      <c r="AJ116" s="63">
        <f>IF(AND($J$7,A116&gt;=1,A116&lt;=$Q$7-1),J116,0)</f>
        <v/>
      </c>
      <c r="AK116" s="29">
        <f>IF(OR(AJ116=0,$S$7=0),0,IF((AE116+$L$7)&gt;$S$7/HU_alpha+$K$7,0.5*$S$7/HU_alpha,IF((AE116+$L$7)&gt;=$K$7,((AE116+$L$7)-$K$7)-0.5*HU_alpha/$S$7*((AE116+$L$7)-$K$7)^2,IF((AE116+$L$7)&gt;=$T$7,HU_beta*((AE116+$L$7)-$K$7),HU_beta*($T$7-$K$7)))))</f>
        <v/>
      </c>
      <c r="AL116" s="29">
        <f>IF(OR(AJ116=0,$S$7=0),0,IF((AE116+$L$7+$N$7)&gt;$S$7/HU_alpha+$K$7,0.5*$S$7/HU_alpha,IF((AE116+$L$7+$N$7)&gt;=$K$7,((AE116+$L$7+$N$7)-$K$7)-0.5*HU_alpha/$S$7*((AE116+$L$7+$N$7)-$K$7)^2,IF((AE116+$L$7+$N$7)&gt;=$T$7,HU_beta*((AE116+$L$7+$N$7)-$K$7),HU_beta*($T$7-$K$7)))))</f>
        <v/>
      </c>
      <c r="AM116" s="29">
        <f>IF(OR(AJ116=0,$S$7=0),0,IF((AE116+$K$7)&gt;$S$7/HU_alpha+$K$7,0.5*$S$7/HU_alpha,IF((AE116+$K$7)&gt;=$K$7,((AE116+$K$7)-$K$7)-0.5*HU_alpha/$S$7*((AE116+$K$7)-$K$7)^2,IF((AE116+$K$7)&gt;=$T$7,HU_beta*((AE116+$K$7)-$K$7),HU_beta*($T$7-$K$7)))))</f>
        <v/>
      </c>
      <c r="AN116" s="63">
        <f>IF(AND($J$8,A116&gt;=1,A116&lt;=$Q$8-1),J116,0)</f>
        <v/>
      </c>
      <c r="AO116" s="29">
        <f>IF(OR(AN116=0,$S$8=0),0,IF((AE116+$L$8)&gt;$S$8/HU_alpha+$K$8,0.5*$S$8/HU_alpha,IF((AE116+$L$8)&gt;=$K$8,((AE116+$L$8)-$K$8)-0.5*HU_alpha/$S$8*((AE116+$L$8)-$K$8)^2,IF((AE116+$L$8)&gt;=$T$8,HU_beta*((AE116+$L$8)-$K$8),HU_beta*($T$8-$K$8)))))</f>
        <v/>
      </c>
      <c r="AP116" s="29">
        <f>IF(OR(AN116=0,$S$8=0),0,IF((AE116+$L$8+$N$8)&gt;$S$8/HU_alpha+$K$8,0.5*$S$8/HU_alpha,IF((AE116+$L$8+$N$8)&gt;=$K$8,((AE116+$L$8+$N$8)-$K$8)-0.5*HU_alpha/$S$8*((AE116+$L$8+$N$8)-$K$8)^2,IF((AE116+$L$8+$N$8)&gt;=$T$8,HU_beta*((AE116+$L$8+$N$8)-$K$8),HU_beta*($T$8-$K$8)))))</f>
        <v/>
      </c>
      <c r="AQ116" s="29">
        <f>IF(OR(AN116=0,$S$8=0),0,IF((AE116+$K$8)&gt;$S$8/HU_alpha+$K$8,0.5*$S$8/HU_alpha,IF((AE116+$K$8)&gt;=$K$8,((AE116+$K$8)-$K$8)-0.5*HU_alpha/$S$8*((AE116+$K$8)-$K$8)^2,IF((AE116+$K$8)&gt;=$T$8,HU_beta*((AE116+$K$8)-$K$8),HU_beta*($T$8-$K$8)))))</f>
        <v/>
      </c>
      <c r="AR116" s="63">
        <f>IF(AND($J$9,A116&gt;=1,A116&lt;=$Q$9-1),J116,0)</f>
        <v/>
      </c>
      <c r="AS116" s="29">
        <f>IF(OR(AR116=0,$S$9=0),0,IF((AE116+$L$9)&gt;$S$9/HU_alpha+$K$9,0.5*$S$9/HU_alpha,IF((AE116+$L$9)&gt;=$K$9,((AE116+$L$9)-$K$9)-0.5*HU_alpha/$S$9*((AE116+$L$9)-$K$9)^2,IF((AE116+$L$9)&gt;=$T$9,HU_beta*((AE116+$L$9)-$K$9),HU_beta*($T$9-$K$9)))))</f>
        <v/>
      </c>
      <c r="AT116" s="29">
        <f>IF(OR(AR116=0,$S$9=0),0,IF((AE116+$L$9+$N$9)&gt;$S$9/HU_alpha+$K$9,0.5*$S$9/HU_alpha,IF((AE116+$L$9+$N$9)&gt;=$K$9,((AE116+$L$9+$N$9)-$K$9)-0.5*HU_alpha/$S$9*((AE116+$L$9+$N$9)-$K$9)^2,IF((AE116+$L$9+$N$9)&gt;=$T$9,HU_beta*((AE116+$L$9+$N$9)-$K$9),HU_beta*($T$9-$K$9)))))</f>
        <v/>
      </c>
      <c r="AU116" s="29">
        <f>IF(OR(AR116=0,$S$9=0),0,IF((AE116+$K$9)&gt;$S$9/HU_alpha+$K$9,0.5*$S$9/HU_alpha,IF((AE116+$K$9)&gt;=$K$9,((AE116+$K$9)-$K$9)-0.5*HU_alpha/$S$9*((AE116+$K$9)-$K$9)^2,IF((AE116+$K$9)&gt;=$T$9,HU_beta*((AE116+$K$9)-$K$9),HU_beta*($T$9-$K$9)))))</f>
        <v/>
      </c>
      <c r="AV116" s="63">
        <f>IF(AND($J$10,A116=$Q$10),J116,0)</f>
        <v/>
      </c>
      <c r="AW116" s="29">
        <f>IF(OR(AV116=0,$S$10=0),0,IF((AD116+$L$10)&gt;$S$10/HU_alpha+$K$10,0.5*$S$10/HU_alpha,IF((AD116+$L$10)&gt;=$K$10,((AD116+$L$10)-$K$10)-0.5*HU_alpha/$S$10*((AD116+$L$10)-$K$10)^2,IF((AD116+$L$10)&gt;=$T$10,HU_beta*((AD116+$L$10)-$K$10),HU_beta*($T$10-$K$10)))))</f>
        <v/>
      </c>
      <c r="AX116" s="29">
        <f>IF(OR(AV116=0,$S$10=0),0,IF((AD116+$L$10+$N$10)&gt;$S$10/HU_alpha+$K$10,0.5*$S$10/HU_alpha,IF((AD116+$L$10+$N$10)&gt;=$K$10,((AD116+$L$10+$N$10)-$K$10)-0.5*HU_alpha/$S$10*((AD116+$L$10+$N$10)-$K$10)^2,IF((AD116+$L$10+$N$10)&gt;=$T$10,HU_beta*((AD116+$L$10+$N$10)-$K$10),HU_beta*($T$10-$K$10)))))</f>
        <v/>
      </c>
      <c r="AY116" s="29">
        <f>IF(OR(AV116=0,$S$10=0),0,IF((AD116+$K$10)&gt;$S$10/HU_alpha+$K$10,0.5*$S$10/HU_alpha,IF((AD116+$K$10)&gt;=$K$10,((AD116+$K$10)-$K$10)-0.5*HU_alpha/$S$10*((AD116+$K$10)-$K$10)^2,IF((AD116+$K$10)&gt;=$T$10,HU_beta*((AD116+$K$10)-$K$10),HU_beta*($T$10-$K$10)))))</f>
        <v/>
      </c>
      <c r="AZ116" s="63">
        <f>IF(AND($J$11,A116=$Q$11),J116,0)</f>
        <v/>
      </c>
      <c r="BA116" s="29">
        <f>IF(OR(AZ116=0,$S$11=0),0,IF((AE116+$L$11)&gt;$S$11/HU_alpha+$K$11,0.5*$S$11/HU_alpha,IF((AE116+$L$11)&gt;=$K$11,((AE116+$L$11)-$K$11)-0.5*HU_alpha/$S$11*((AE116+$L$11)-$K$11)^2,IF((AE116+$L$11)&gt;=$T$11,HU_beta*((AE116+$L$11)-$K$11),HU_beta*($T$11-$K$11)))))</f>
        <v/>
      </c>
      <c r="BB116" s="29">
        <f>IF(OR(AZ116=0,$S$11=0),0,IF((AE116+$L$11+$N$11)&gt;$S$11/HU_alpha+$K$11,0.5*$S$11/HU_alpha,IF((AE116+$L$11+$N$11)&gt;=$K$11,((AE116+$L$11+$N$11)-$K$11)-0.5*HU_alpha/$S$11*((AE116+$L$11+$N$11)-$K$11)^2,IF((AE116+$L$11+$N$11)&gt;=$T$11,HU_beta*((AE116+$L$11+$N$11)-$K$11),HU_beta*($T$11-$K$11)))))</f>
        <v/>
      </c>
      <c r="BC116" s="29">
        <f>IF(OR(AZ116=0,$S$11=0),0,IF((AE116+$K$11)&gt;$S$11/HU_alpha+$K$11,0.5*$S$11/HU_alpha,IF((AE116+$K$11)&gt;=$K$11,((AE116+$K$11)-$K$11)-0.5*HU_alpha/$S$11*((AE116+$K$11)-$K$11)^2,IF((AE116+$K$11)&gt;=$T$11,HU_beta*((AE116+$K$11)-$K$11),HU_beta*($T$11-$K$11)))))</f>
        <v/>
      </c>
      <c r="BD116" s="63">
        <f>IF(AND($J$12,A116=$Q$12),J116,0)</f>
        <v/>
      </c>
      <c r="BE116" s="29">
        <f>IF(OR(BD116=0,$S$12=0),0,IF((AE116+$L$12)&gt;$S$12/HU_alpha+$K$12,0.5*$S$12/HU_alpha,IF((AE116+$L$12)&gt;=$K$12,((AE116+$L$12)-$K$12)-0.5*HU_alpha/$S$12*((AE116+$L$12)-$K$12)^2,IF((AE116+$L$12)&gt;=$T$12,HU_beta*((AE116+$L$12)-$K$12),HU_beta*($T$12-$K$12)))))</f>
        <v/>
      </c>
      <c r="BF116" s="29">
        <f>IF(OR(BD116=0,$S$12=0),0,IF((AE116+$L$12+$N$12)&gt;$S$12/HU_alpha+$K$12,0.5*$S$12/HU_alpha,IF((AE116+$L$12+$N$12)&gt;=$K$12,((AE116+$L$12+$N$12)-$K$12)-0.5*HU_alpha/$S$12*((AE116+$L$12+$N$12)-$K$12)^2,IF((AE116+$L$12+$N$12)&gt;=$T$12,HU_beta*((AE116+$L$12+$N$12)-$K$12),HU_beta*($T$12-$K$12)))))</f>
        <v/>
      </c>
      <c r="BG116" s="29">
        <f>IF(OR(BD116=0,$S$12=0),0,IF((AE116+$K$12)&gt;$S$12/HU_alpha+$K$12,0.5*$S$12/HU_alpha,IF((AE116+$K$12)&gt;=$K$12,((AE116+$K$12)-$K$12)-0.5*HU_alpha/$S$12*((AE116+$K$12)-$K$12)^2,IF((AE116+$K$12)&gt;=$T$12,HU_beta*((AE116+$K$12)-$K$12),HU_beta*($T$12-$K$12)))))</f>
        <v/>
      </c>
      <c r="BH116" s="63">
        <f>IF(AND($J$13,A116=$Q$13),J116,0)</f>
        <v/>
      </c>
      <c r="BI116" s="29">
        <f>IF(OR(BH116=0,$S$13=0),0,IF((AE116+$L$13)&gt;$S$13/HU_alpha+$K$13,0.5*$S$13/HU_alpha,IF((AE116+$L$13)&gt;=$K$13,((AE116+$L$13)-$K$13)-0.5*HU_alpha/$S$13*((AE116+$L$13)-$K$13)^2,IF((AE116+$L$13)&gt;=$T$13,HU_beta*((AE116+$L$13)-$K$13),HU_beta*($T$13-$K$13)))))</f>
        <v/>
      </c>
      <c r="BJ116" s="29">
        <f>IF(OR(BH116=0,$S$13=0),0,IF((AE116+$L$13+$N$13)&gt;$S$13/HU_alpha+$K$13,0.5*$S$13/HU_alpha,IF((AE116+$L$13+$N$13)&gt;=$K$13,((AE116+$L$13+$N$13)-$K$13)-0.5*HU_alpha/$S$13*((AE116+$L$13+$N$13)-$K$13)^2,IF((AE116+$L$13+$N$13)&gt;=$T$13,HU_beta*((AE116+$L$13+$N$13)-$K$13),HU_beta*($T$13-$K$13)))))</f>
        <v/>
      </c>
      <c r="BK116" s="29">
        <f>IF(OR(BH116=0,$S$13=0),0,IF((AE116+$K$13)&gt;$S$13/HU_alpha+$K$13,0.5*$S$13/HU_alpha,IF((AE116+$K$13)&gt;=$K$13,((AE116+$K$13)-$K$13)-0.5*HU_alpha/$S$13*((AE116+$K$13)-$K$13)^2,IF((AE116+$K$13)&gt;=$T$13,HU_beta*((AE116+$K$13)-$K$13),HU_beta*($T$13-$K$13)))))</f>
        <v/>
      </c>
    </row>
    <row r="117">
      <c r="A117" s="61" t="n">
        <v>49</v>
      </c>
      <c r="B117" s="61">
        <f>HU_age+A117</f>
        <v/>
      </c>
      <c r="C117" s="52">
        <f>A117&lt;=HU_T</f>
        <v/>
      </c>
      <c r="D117" s="63">
        <f>IF(OR(A117&lt;1,A117&gt;HU_T),0,INDEX(HU_q_mort,HU_age+A117-17,HU_col))</f>
        <v/>
      </c>
      <c r="E117" s="63">
        <f>IF(OR(A117&lt;1,A117&gt;HU_T),0,INDEX(HU_q_adb,HU_age+A117-17,HU_col))</f>
        <v/>
      </c>
      <c r="F117" s="63">
        <f>IF(OR(A117&lt;1,A117&gt;HU_T),0,INDEX(HU_q_morb,HU_age+A117-17,HU_col))</f>
        <v/>
      </c>
      <c r="G117" s="63">
        <f>IF(OR(A117&lt;1,A117&gt;HU_T),0,INDEX(HU_q_ptd,HU_age+A117-17,HU_col))</f>
        <v/>
      </c>
      <c r="H117" s="63">
        <f>IF(OR(A117&lt;1,A117&gt;HU_T),0,INDEX(HU_q_dis,HU_age+A117-17,HU_col))</f>
        <v/>
      </c>
      <c r="I117" s="63">
        <f>IF(A117&gt;HU_T,0,I116*(1-D117)*(1-E117))</f>
        <v/>
      </c>
      <c r="J117" s="63">
        <f>IF(A117&gt;=HU_T,0,N(I118))</f>
        <v/>
      </c>
      <c r="K117" s="63">
        <f>K116*(1-G117)</f>
        <v/>
      </c>
      <c r="L117" s="63">
        <f>1-K117</f>
        <v/>
      </c>
      <c r="M117" s="63">
        <f>K116*G117</f>
        <v/>
      </c>
      <c r="N117" s="63">
        <f>N116*(1-H117)</f>
        <v/>
      </c>
      <c r="O117" s="63">
        <f>1-N116</f>
        <v/>
      </c>
      <c r="P117" s="63">
        <f>P116*(1-F117)</f>
        <v/>
      </c>
      <c r="Q117" s="63">
        <f>1-P116/INDEX($P$68:$P$150,MAX(1,A117-HU_ciYears))</f>
        <v/>
      </c>
      <c r="R117" s="60">
        <f>(1+inflationRate)^A117</f>
        <v/>
      </c>
      <c r="S117" s="29">
        <f>IF(OR(OR(A117&lt;1,A117&gt;HU_T),A117-1&gt;=HU_dtr),0,HU_inc0*(1+incomeGrowthRate)^A117)</f>
        <v/>
      </c>
      <c r="T117" s="60">
        <f>IF(A117&gt;HU_T,T116,T116*(1+INDEX(HU_ssG,HU_age+A117-17)))</f>
        <v/>
      </c>
      <c r="U117" s="29">
        <f>IF(AND(HU_dtr&gt;=1,A117=HU_dtr,A117&lt;=HU_T),MIN(S117*INDEX(HU_ssC,HU_age+A117-17)/(1-INDEX(HU_ssC,HU_age+A117-17)),INDEX(HU_ssCap,HU_age+A117-17))*T117,0)</f>
        <v/>
      </c>
      <c r="V117" s="29">
        <f>S117+U117+IF(AND(HU_wdOn,A117=HU_wdYear),HU_wdIncome,0)</f>
        <v/>
      </c>
      <c r="W117" s="60">
        <f>HU_ciProp*Q117+HU_tpdCut*L117+HU_disCut*O117</f>
        <v/>
      </c>
      <c r="X117" s="29">
        <f>IF(OR(A117&lt;1,A117&gt;HU_T),0,V117*(1-W117))</f>
        <v/>
      </c>
      <c r="Y117" s="29">
        <f>IF(OR(A117&lt;1,A117&gt;HU_T),0,IF(AND(HU_retExp&gt;0,A117-1&gt;=HU_dtr),HU_retExp,HU_exp0)*R117)</f>
        <v/>
      </c>
      <c r="Z117" s="29">
        <f>-Y117-IF(AND(HU_wdOn,A117=HU_wdYear),HU_wdOut,0)</f>
        <v/>
      </c>
      <c r="AA117" s="29">
        <f>IF(OR(A117&lt;1,A117&gt;HU_T),0,-HU_medCost*R117*F117-HU_tpdCost*R117*M117)</f>
        <v/>
      </c>
      <c r="AB117" s="29">
        <f>IF(A117&gt;HU_T,0,AB116*(1+interestRate)+X117+Z117+AA117)</f>
        <v/>
      </c>
      <c r="AC117" s="29">
        <f>IF(A117&gt;HU_T,0,HU_inv*EXP(HU_mu*A117))</f>
        <v/>
      </c>
      <c r="AD117" s="29">
        <f>IF(A117&gt;HU_T,0,MAX(0,AC117+AB117))</f>
        <v/>
      </c>
      <c r="AE117" s="29">
        <f>IF(A117&gt;HU_T,0,MAX(0,X117-Y117))</f>
        <v/>
      </c>
      <c r="AF117" s="63">
        <f>IF(AND($J$6,A117&gt;=1,A117&lt;=$Q$6-1),J117,0)</f>
        <v/>
      </c>
      <c r="AG117" s="29">
        <f>IF(OR(AF117=0,$S$6=0),0,IF((AD117+$L$6)&gt;$S$6/HU_alpha+$K$6,0.5*$S$6/HU_alpha,IF((AD117+$L$6)&gt;=$K$6,((AD117+$L$6)-$K$6)-0.5*HU_alpha/$S$6*((AD117+$L$6)-$K$6)^2,IF((AD117+$L$6)&gt;=$T$6,HU_beta*((AD117+$L$6)-$K$6),HU_beta*($T$6-$K$6)))))</f>
        <v/>
      </c>
      <c r="AH117" s="29">
        <f>IF(OR(AF117=0,$S$6=0),0,IF((AD117+$L$6+$N$6)&gt;$S$6/HU_alpha+$K$6,0.5*$S$6/HU_alpha,IF((AD117+$L$6+$N$6)&gt;=$K$6,((AD117+$L$6+$N$6)-$K$6)-0.5*HU_alpha/$S$6*((AD117+$L$6+$N$6)-$K$6)^2,IF((AD117+$L$6+$N$6)&gt;=$T$6,HU_beta*((AD117+$L$6+$N$6)-$K$6),HU_beta*($T$6-$K$6)))))</f>
        <v/>
      </c>
      <c r="AI117" s="29">
        <f>IF(OR(AF117=0,$S$6=0),0,IF((AD117+$K$6)&gt;$S$6/HU_alpha+$K$6,0.5*$S$6/HU_alpha,IF((AD117+$K$6)&gt;=$K$6,((AD117+$K$6)-$K$6)-0.5*HU_alpha/$S$6*((AD117+$K$6)-$K$6)^2,IF((AD117+$K$6)&gt;=$T$6,HU_beta*((AD117+$K$6)-$K$6),HU_beta*($T$6-$K$6)))))</f>
        <v/>
      </c>
      <c r="AJ117" s="63">
        <f>IF(AND($J$7,A117&gt;=1,A117&lt;=$Q$7-1),J117,0)</f>
        <v/>
      </c>
      <c r="AK117" s="29">
        <f>IF(OR(AJ117=0,$S$7=0),0,IF((AE117+$L$7)&gt;$S$7/HU_alpha+$K$7,0.5*$S$7/HU_alpha,IF((AE117+$L$7)&gt;=$K$7,((AE117+$L$7)-$K$7)-0.5*HU_alpha/$S$7*((AE117+$L$7)-$K$7)^2,IF((AE117+$L$7)&gt;=$T$7,HU_beta*((AE117+$L$7)-$K$7),HU_beta*($T$7-$K$7)))))</f>
        <v/>
      </c>
      <c r="AL117" s="29">
        <f>IF(OR(AJ117=0,$S$7=0),0,IF((AE117+$L$7+$N$7)&gt;$S$7/HU_alpha+$K$7,0.5*$S$7/HU_alpha,IF((AE117+$L$7+$N$7)&gt;=$K$7,((AE117+$L$7+$N$7)-$K$7)-0.5*HU_alpha/$S$7*((AE117+$L$7+$N$7)-$K$7)^2,IF((AE117+$L$7+$N$7)&gt;=$T$7,HU_beta*((AE117+$L$7+$N$7)-$K$7),HU_beta*($T$7-$K$7)))))</f>
        <v/>
      </c>
      <c r="AM117" s="29">
        <f>IF(OR(AJ117=0,$S$7=0),0,IF((AE117+$K$7)&gt;$S$7/HU_alpha+$K$7,0.5*$S$7/HU_alpha,IF((AE117+$K$7)&gt;=$K$7,((AE117+$K$7)-$K$7)-0.5*HU_alpha/$S$7*((AE117+$K$7)-$K$7)^2,IF((AE117+$K$7)&gt;=$T$7,HU_beta*((AE117+$K$7)-$K$7),HU_beta*($T$7-$K$7)))))</f>
        <v/>
      </c>
      <c r="AN117" s="63">
        <f>IF(AND($J$8,A117&gt;=1,A117&lt;=$Q$8-1),J117,0)</f>
        <v/>
      </c>
      <c r="AO117" s="29">
        <f>IF(OR(AN117=0,$S$8=0),0,IF((AE117+$L$8)&gt;$S$8/HU_alpha+$K$8,0.5*$S$8/HU_alpha,IF((AE117+$L$8)&gt;=$K$8,((AE117+$L$8)-$K$8)-0.5*HU_alpha/$S$8*((AE117+$L$8)-$K$8)^2,IF((AE117+$L$8)&gt;=$T$8,HU_beta*((AE117+$L$8)-$K$8),HU_beta*($T$8-$K$8)))))</f>
        <v/>
      </c>
      <c r="AP117" s="29">
        <f>IF(OR(AN117=0,$S$8=0),0,IF((AE117+$L$8+$N$8)&gt;$S$8/HU_alpha+$K$8,0.5*$S$8/HU_alpha,IF((AE117+$L$8+$N$8)&gt;=$K$8,((AE117+$L$8+$N$8)-$K$8)-0.5*HU_alpha/$S$8*((AE117+$L$8+$N$8)-$K$8)^2,IF((AE117+$L$8+$N$8)&gt;=$T$8,HU_beta*((AE117+$L$8+$N$8)-$K$8),HU_beta*($T$8-$K$8)))))</f>
        <v/>
      </c>
      <c r="AQ117" s="29">
        <f>IF(OR(AN117=0,$S$8=0),0,IF((AE117+$K$8)&gt;$S$8/HU_alpha+$K$8,0.5*$S$8/HU_alpha,IF((AE117+$K$8)&gt;=$K$8,((AE117+$K$8)-$K$8)-0.5*HU_alpha/$S$8*((AE117+$K$8)-$K$8)^2,IF((AE117+$K$8)&gt;=$T$8,HU_beta*((AE117+$K$8)-$K$8),HU_beta*($T$8-$K$8)))))</f>
        <v/>
      </c>
      <c r="AR117" s="63">
        <f>IF(AND($J$9,A117&gt;=1,A117&lt;=$Q$9-1),J117,0)</f>
        <v/>
      </c>
      <c r="AS117" s="29">
        <f>IF(OR(AR117=0,$S$9=0),0,IF((AE117+$L$9)&gt;$S$9/HU_alpha+$K$9,0.5*$S$9/HU_alpha,IF((AE117+$L$9)&gt;=$K$9,((AE117+$L$9)-$K$9)-0.5*HU_alpha/$S$9*((AE117+$L$9)-$K$9)^2,IF((AE117+$L$9)&gt;=$T$9,HU_beta*((AE117+$L$9)-$K$9),HU_beta*($T$9-$K$9)))))</f>
        <v/>
      </c>
      <c r="AT117" s="29">
        <f>IF(OR(AR117=0,$S$9=0),0,IF((AE117+$L$9+$N$9)&gt;$S$9/HU_alpha+$K$9,0.5*$S$9/HU_alpha,IF((AE117+$L$9+$N$9)&gt;=$K$9,((AE117+$L$9+$N$9)-$K$9)-0.5*HU_alpha/$S$9*((AE117+$L$9+$N$9)-$K$9)^2,IF((AE117+$L$9+$N$9)&gt;=$T$9,HU_beta*((AE117+$L$9+$N$9)-$K$9),HU_beta*($T$9-$K$9)))))</f>
        <v/>
      </c>
      <c r="AU117" s="29">
        <f>IF(OR(AR117=0,$S$9=0),0,IF((AE117+$K$9)&gt;$S$9/HU_alpha+$K$9,0.5*$S$9/HU_alpha,IF((AE117+$K$9)&gt;=$K$9,((AE117+$K$9)-$K$9)-0.5*HU_alpha/$S$9*((AE117+$K$9)-$K$9)^2,IF((AE117+$K$9)&gt;=$T$9,HU_beta*((AE117+$K$9)-$K$9),HU_beta*($T$9-$K$9)))))</f>
        <v/>
      </c>
      <c r="AV117" s="63">
        <f>IF(AND($J$10,A117=$Q$10),J117,0)</f>
        <v/>
      </c>
      <c r="AW117" s="29">
        <f>IF(OR(AV117=0,$S$10=0),0,IF((AD117+$L$10)&gt;$S$10/HU_alpha+$K$10,0.5*$S$10/HU_alpha,IF((AD117+$L$10)&gt;=$K$10,((AD117+$L$10)-$K$10)-0.5*HU_alpha/$S$10*((AD117+$L$10)-$K$10)^2,IF((AD117+$L$10)&gt;=$T$10,HU_beta*((AD117+$L$10)-$K$10),HU_beta*($T$10-$K$10)))))</f>
        <v/>
      </c>
      <c r="AX117" s="29">
        <f>IF(OR(AV117=0,$S$10=0),0,IF((AD117+$L$10+$N$10)&gt;$S$10/HU_alpha+$K$10,0.5*$S$10/HU_alpha,IF((AD117+$L$10+$N$10)&gt;=$K$10,((AD117+$L$10+$N$10)-$K$10)-0.5*HU_alpha/$S$10*((AD117+$L$10+$N$10)-$K$10)^2,IF((AD117+$L$10+$N$10)&gt;=$T$10,HU_beta*((AD117+$L$10+$N$10)-$K$10),HU_beta*($T$10-$K$10)))))</f>
        <v/>
      </c>
      <c r="AY117" s="29">
        <f>IF(OR(AV117=0,$S$10=0),0,IF((AD117+$K$10)&gt;$S$10/HU_alpha+$K$10,0.5*$S$10/HU_alpha,IF((AD117+$K$10)&gt;=$K$10,((AD117+$K$10)-$K$10)-0.5*HU_alpha/$S$10*((AD117+$K$10)-$K$10)^2,IF((AD117+$K$10)&gt;=$T$10,HU_beta*((AD117+$K$10)-$K$10),HU_beta*($T$10-$K$10)))))</f>
        <v/>
      </c>
      <c r="AZ117" s="63">
        <f>IF(AND($J$11,A117=$Q$11),J117,0)</f>
        <v/>
      </c>
      <c r="BA117" s="29">
        <f>IF(OR(AZ117=0,$S$11=0),0,IF((AE117+$L$11)&gt;$S$11/HU_alpha+$K$11,0.5*$S$11/HU_alpha,IF((AE117+$L$11)&gt;=$K$11,((AE117+$L$11)-$K$11)-0.5*HU_alpha/$S$11*((AE117+$L$11)-$K$11)^2,IF((AE117+$L$11)&gt;=$T$11,HU_beta*((AE117+$L$11)-$K$11),HU_beta*($T$11-$K$11)))))</f>
        <v/>
      </c>
      <c r="BB117" s="29">
        <f>IF(OR(AZ117=0,$S$11=0),0,IF((AE117+$L$11+$N$11)&gt;$S$11/HU_alpha+$K$11,0.5*$S$11/HU_alpha,IF((AE117+$L$11+$N$11)&gt;=$K$11,((AE117+$L$11+$N$11)-$K$11)-0.5*HU_alpha/$S$11*((AE117+$L$11+$N$11)-$K$11)^2,IF((AE117+$L$11+$N$11)&gt;=$T$11,HU_beta*((AE117+$L$11+$N$11)-$K$11),HU_beta*($T$11-$K$11)))))</f>
        <v/>
      </c>
      <c r="BC117" s="29">
        <f>IF(OR(AZ117=0,$S$11=0),0,IF((AE117+$K$11)&gt;$S$11/HU_alpha+$K$11,0.5*$S$11/HU_alpha,IF((AE117+$K$11)&gt;=$K$11,((AE117+$K$11)-$K$11)-0.5*HU_alpha/$S$11*((AE117+$K$11)-$K$11)^2,IF((AE117+$K$11)&gt;=$T$11,HU_beta*((AE117+$K$11)-$K$11),HU_beta*($T$11-$K$11)))))</f>
        <v/>
      </c>
      <c r="BD117" s="63">
        <f>IF(AND($J$12,A117=$Q$12),J117,0)</f>
        <v/>
      </c>
      <c r="BE117" s="29">
        <f>IF(OR(BD117=0,$S$12=0),0,IF((AE117+$L$12)&gt;$S$12/HU_alpha+$K$12,0.5*$S$12/HU_alpha,IF((AE117+$L$12)&gt;=$K$12,((AE117+$L$12)-$K$12)-0.5*HU_alpha/$S$12*((AE117+$L$12)-$K$12)^2,IF((AE117+$L$12)&gt;=$T$12,HU_beta*((AE117+$L$12)-$K$12),HU_beta*($T$12-$K$12)))))</f>
        <v/>
      </c>
      <c r="BF117" s="29">
        <f>IF(OR(BD117=0,$S$12=0),0,IF((AE117+$L$12+$N$12)&gt;$S$12/HU_alpha+$K$12,0.5*$S$12/HU_alpha,IF((AE117+$L$12+$N$12)&gt;=$K$12,((AE117+$L$12+$N$12)-$K$12)-0.5*HU_alpha/$S$12*((AE117+$L$12+$N$12)-$K$12)^2,IF((AE117+$L$12+$N$12)&gt;=$T$12,HU_beta*((AE117+$L$12+$N$12)-$K$12),HU_beta*($T$12-$K$12)))))</f>
        <v/>
      </c>
      <c r="BG117" s="29">
        <f>IF(OR(BD117=0,$S$12=0),0,IF((AE117+$K$12)&gt;$S$12/HU_alpha+$K$12,0.5*$S$12/HU_alpha,IF((AE117+$K$12)&gt;=$K$12,((AE117+$K$12)-$K$12)-0.5*HU_alpha/$S$12*((AE117+$K$12)-$K$12)^2,IF((AE117+$K$12)&gt;=$T$12,HU_beta*((AE117+$K$12)-$K$12),HU_beta*($T$12-$K$12)))))</f>
        <v/>
      </c>
      <c r="BH117" s="63">
        <f>IF(AND($J$13,A117=$Q$13),J117,0)</f>
        <v/>
      </c>
      <c r="BI117" s="29">
        <f>IF(OR(BH117=0,$S$13=0),0,IF((AE117+$L$13)&gt;$S$13/HU_alpha+$K$13,0.5*$S$13/HU_alpha,IF((AE117+$L$13)&gt;=$K$13,((AE117+$L$13)-$K$13)-0.5*HU_alpha/$S$13*((AE117+$L$13)-$K$13)^2,IF((AE117+$L$13)&gt;=$T$13,HU_beta*((AE117+$L$13)-$K$13),HU_beta*($T$13-$K$13)))))</f>
        <v/>
      </c>
      <c r="BJ117" s="29">
        <f>IF(OR(BH117=0,$S$13=0),0,IF((AE117+$L$13+$N$13)&gt;$S$13/HU_alpha+$K$13,0.5*$S$13/HU_alpha,IF((AE117+$L$13+$N$13)&gt;=$K$13,((AE117+$L$13+$N$13)-$K$13)-0.5*HU_alpha/$S$13*((AE117+$L$13+$N$13)-$K$13)^2,IF((AE117+$L$13+$N$13)&gt;=$T$13,HU_beta*((AE117+$L$13+$N$13)-$K$13),HU_beta*($T$13-$K$13)))))</f>
        <v/>
      </c>
      <c r="BK117" s="29">
        <f>IF(OR(BH117=0,$S$13=0),0,IF((AE117+$K$13)&gt;$S$13/HU_alpha+$K$13,0.5*$S$13/HU_alpha,IF((AE117+$K$13)&gt;=$K$13,((AE117+$K$13)-$K$13)-0.5*HU_alpha/$S$13*((AE117+$K$13)-$K$13)^2,IF((AE117+$K$13)&gt;=$T$13,HU_beta*((AE117+$K$13)-$K$13),HU_beta*($T$13-$K$13)))))</f>
        <v/>
      </c>
    </row>
    <row r="118">
      <c r="A118" s="61" t="n">
        <v>50</v>
      </c>
      <c r="B118" s="61">
        <f>HU_age+A118</f>
        <v/>
      </c>
      <c r="C118" s="52">
        <f>A118&lt;=HU_T</f>
        <v/>
      </c>
      <c r="D118" s="63">
        <f>IF(OR(A118&lt;1,A118&gt;HU_T),0,INDEX(HU_q_mort,HU_age+A118-17,HU_col))</f>
        <v/>
      </c>
      <c r="E118" s="63">
        <f>IF(OR(A118&lt;1,A118&gt;HU_T),0,INDEX(HU_q_adb,HU_age+A118-17,HU_col))</f>
        <v/>
      </c>
      <c r="F118" s="63">
        <f>IF(OR(A118&lt;1,A118&gt;HU_T),0,INDEX(HU_q_morb,HU_age+A118-17,HU_col))</f>
        <v/>
      </c>
      <c r="G118" s="63">
        <f>IF(OR(A118&lt;1,A118&gt;HU_T),0,INDEX(HU_q_ptd,HU_age+A118-17,HU_col))</f>
        <v/>
      </c>
      <c r="H118" s="63">
        <f>IF(OR(A118&lt;1,A118&gt;HU_T),0,INDEX(HU_q_dis,HU_age+A118-17,HU_col))</f>
        <v/>
      </c>
      <c r="I118" s="63">
        <f>IF(A118&gt;HU_T,0,I117*(1-D118)*(1-E118))</f>
        <v/>
      </c>
      <c r="J118" s="63">
        <f>IF(A118&gt;=HU_T,0,N(I119))</f>
        <v/>
      </c>
      <c r="K118" s="63">
        <f>K117*(1-G118)</f>
        <v/>
      </c>
      <c r="L118" s="63">
        <f>1-K118</f>
        <v/>
      </c>
      <c r="M118" s="63">
        <f>K117*G118</f>
        <v/>
      </c>
      <c r="N118" s="63">
        <f>N117*(1-H118)</f>
        <v/>
      </c>
      <c r="O118" s="63">
        <f>1-N117</f>
        <v/>
      </c>
      <c r="P118" s="63">
        <f>P117*(1-F118)</f>
        <v/>
      </c>
      <c r="Q118" s="63">
        <f>1-P117/INDEX($P$68:$P$150,MAX(1,A118-HU_ciYears))</f>
        <v/>
      </c>
      <c r="R118" s="60">
        <f>(1+inflationRate)^A118</f>
        <v/>
      </c>
      <c r="S118" s="29">
        <f>IF(OR(OR(A118&lt;1,A118&gt;HU_T),A118-1&gt;=HU_dtr),0,HU_inc0*(1+incomeGrowthRate)^A118)</f>
        <v/>
      </c>
      <c r="T118" s="60">
        <f>IF(A118&gt;HU_T,T117,T117*(1+INDEX(HU_ssG,HU_age+A118-17)))</f>
        <v/>
      </c>
      <c r="U118" s="29">
        <f>IF(AND(HU_dtr&gt;=1,A118=HU_dtr,A118&lt;=HU_T),MIN(S118*INDEX(HU_ssC,HU_age+A118-17)/(1-INDEX(HU_ssC,HU_age+A118-17)),INDEX(HU_ssCap,HU_age+A118-17))*T118,0)</f>
        <v/>
      </c>
      <c r="V118" s="29">
        <f>S118+U118+IF(AND(HU_wdOn,A118=HU_wdYear),HU_wdIncome,0)</f>
        <v/>
      </c>
      <c r="W118" s="60">
        <f>HU_ciProp*Q118+HU_tpdCut*L118+HU_disCut*O118</f>
        <v/>
      </c>
      <c r="X118" s="29">
        <f>IF(OR(A118&lt;1,A118&gt;HU_T),0,V118*(1-W118))</f>
        <v/>
      </c>
      <c r="Y118" s="29">
        <f>IF(OR(A118&lt;1,A118&gt;HU_T),0,IF(AND(HU_retExp&gt;0,A118-1&gt;=HU_dtr),HU_retExp,HU_exp0)*R118)</f>
        <v/>
      </c>
      <c r="Z118" s="29">
        <f>-Y118-IF(AND(HU_wdOn,A118=HU_wdYear),HU_wdOut,0)</f>
        <v/>
      </c>
      <c r="AA118" s="29">
        <f>IF(OR(A118&lt;1,A118&gt;HU_T),0,-HU_medCost*R118*F118-HU_tpdCost*R118*M118)</f>
        <v/>
      </c>
      <c r="AB118" s="29">
        <f>IF(A118&gt;HU_T,0,AB117*(1+interestRate)+X118+Z118+AA118)</f>
        <v/>
      </c>
      <c r="AC118" s="29">
        <f>IF(A118&gt;HU_T,0,HU_inv*EXP(HU_mu*A118))</f>
        <v/>
      </c>
      <c r="AD118" s="29">
        <f>IF(A118&gt;HU_T,0,MAX(0,AC118+AB118))</f>
        <v/>
      </c>
      <c r="AE118" s="29">
        <f>IF(A118&gt;HU_T,0,MAX(0,X118-Y118))</f>
        <v/>
      </c>
      <c r="AF118" s="63">
        <f>IF(AND($J$6,A118&gt;=1,A118&lt;=$Q$6-1),J118,0)</f>
        <v/>
      </c>
      <c r="AG118" s="29">
        <f>IF(OR(AF118=0,$S$6=0),0,IF((AD118+$L$6)&gt;$S$6/HU_alpha+$K$6,0.5*$S$6/HU_alpha,IF((AD118+$L$6)&gt;=$K$6,((AD118+$L$6)-$K$6)-0.5*HU_alpha/$S$6*((AD118+$L$6)-$K$6)^2,IF((AD118+$L$6)&gt;=$T$6,HU_beta*((AD118+$L$6)-$K$6),HU_beta*($T$6-$K$6)))))</f>
        <v/>
      </c>
      <c r="AH118" s="29">
        <f>IF(OR(AF118=0,$S$6=0),0,IF((AD118+$L$6+$N$6)&gt;$S$6/HU_alpha+$K$6,0.5*$S$6/HU_alpha,IF((AD118+$L$6+$N$6)&gt;=$K$6,((AD118+$L$6+$N$6)-$K$6)-0.5*HU_alpha/$S$6*((AD118+$L$6+$N$6)-$K$6)^2,IF((AD118+$L$6+$N$6)&gt;=$T$6,HU_beta*((AD118+$L$6+$N$6)-$K$6),HU_beta*($T$6-$K$6)))))</f>
        <v/>
      </c>
      <c r="AI118" s="29">
        <f>IF(OR(AF118=0,$S$6=0),0,IF((AD118+$K$6)&gt;$S$6/HU_alpha+$K$6,0.5*$S$6/HU_alpha,IF((AD118+$K$6)&gt;=$K$6,((AD118+$K$6)-$K$6)-0.5*HU_alpha/$S$6*((AD118+$K$6)-$K$6)^2,IF((AD118+$K$6)&gt;=$T$6,HU_beta*((AD118+$K$6)-$K$6),HU_beta*($T$6-$K$6)))))</f>
        <v/>
      </c>
      <c r="AJ118" s="63">
        <f>IF(AND($J$7,A118&gt;=1,A118&lt;=$Q$7-1),J118,0)</f>
        <v/>
      </c>
      <c r="AK118" s="29">
        <f>IF(OR(AJ118=0,$S$7=0),0,IF((AE118+$L$7)&gt;$S$7/HU_alpha+$K$7,0.5*$S$7/HU_alpha,IF((AE118+$L$7)&gt;=$K$7,((AE118+$L$7)-$K$7)-0.5*HU_alpha/$S$7*((AE118+$L$7)-$K$7)^2,IF((AE118+$L$7)&gt;=$T$7,HU_beta*((AE118+$L$7)-$K$7),HU_beta*($T$7-$K$7)))))</f>
        <v/>
      </c>
      <c r="AL118" s="29">
        <f>IF(OR(AJ118=0,$S$7=0),0,IF((AE118+$L$7+$N$7)&gt;$S$7/HU_alpha+$K$7,0.5*$S$7/HU_alpha,IF((AE118+$L$7+$N$7)&gt;=$K$7,((AE118+$L$7+$N$7)-$K$7)-0.5*HU_alpha/$S$7*((AE118+$L$7+$N$7)-$K$7)^2,IF((AE118+$L$7+$N$7)&gt;=$T$7,HU_beta*((AE118+$L$7+$N$7)-$K$7),HU_beta*($T$7-$K$7)))))</f>
        <v/>
      </c>
      <c r="AM118" s="29">
        <f>IF(OR(AJ118=0,$S$7=0),0,IF((AE118+$K$7)&gt;$S$7/HU_alpha+$K$7,0.5*$S$7/HU_alpha,IF((AE118+$K$7)&gt;=$K$7,((AE118+$K$7)-$K$7)-0.5*HU_alpha/$S$7*((AE118+$K$7)-$K$7)^2,IF((AE118+$K$7)&gt;=$T$7,HU_beta*((AE118+$K$7)-$K$7),HU_beta*($T$7-$K$7)))))</f>
        <v/>
      </c>
      <c r="AN118" s="63">
        <f>IF(AND($J$8,A118&gt;=1,A118&lt;=$Q$8-1),J118,0)</f>
        <v/>
      </c>
      <c r="AO118" s="29">
        <f>IF(OR(AN118=0,$S$8=0),0,IF((AE118+$L$8)&gt;$S$8/HU_alpha+$K$8,0.5*$S$8/HU_alpha,IF((AE118+$L$8)&gt;=$K$8,((AE118+$L$8)-$K$8)-0.5*HU_alpha/$S$8*((AE118+$L$8)-$K$8)^2,IF((AE118+$L$8)&gt;=$T$8,HU_beta*((AE118+$L$8)-$K$8),HU_beta*($T$8-$K$8)))))</f>
        <v/>
      </c>
      <c r="AP118" s="29">
        <f>IF(OR(AN118=0,$S$8=0),0,IF((AE118+$L$8+$N$8)&gt;$S$8/HU_alpha+$K$8,0.5*$S$8/HU_alpha,IF((AE118+$L$8+$N$8)&gt;=$K$8,((AE118+$L$8+$N$8)-$K$8)-0.5*HU_alpha/$S$8*((AE118+$L$8+$N$8)-$K$8)^2,IF((AE118+$L$8+$N$8)&gt;=$T$8,HU_beta*((AE118+$L$8+$N$8)-$K$8),HU_beta*($T$8-$K$8)))))</f>
        <v/>
      </c>
      <c r="AQ118" s="29">
        <f>IF(OR(AN118=0,$S$8=0),0,IF((AE118+$K$8)&gt;$S$8/HU_alpha+$K$8,0.5*$S$8/HU_alpha,IF((AE118+$K$8)&gt;=$K$8,((AE118+$K$8)-$K$8)-0.5*HU_alpha/$S$8*((AE118+$K$8)-$K$8)^2,IF((AE118+$K$8)&gt;=$T$8,HU_beta*((AE118+$K$8)-$K$8),HU_beta*($T$8-$K$8)))))</f>
        <v/>
      </c>
      <c r="AR118" s="63">
        <f>IF(AND($J$9,A118&gt;=1,A118&lt;=$Q$9-1),J118,0)</f>
        <v/>
      </c>
      <c r="AS118" s="29">
        <f>IF(OR(AR118=0,$S$9=0),0,IF((AE118+$L$9)&gt;$S$9/HU_alpha+$K$9,0.5*$S$9/HU_alpha,IF((AE118+$L$9)&gt;=$K$9,((AE118+$L$9)-$K$9)-0.5*HU_alpha/$S$9*((AE118+$L$9)-$K$9)^2,IF((AE118+$L$9)&gt;=$T$9,HU_beta*((AE118+$L$9)-$K$9),HU_beta*($T$9-$K$9)))))</f>
        <v/>
      </c>
      <c r="AT118" s="29">
        <f>IF(OR(AR118=0,$S$9=0),0,IF((AE118+$L$9+$N$9)&gt;$S$9/HU_alpha+$K$9,0.5*$S$9/HU_alpha,IF((AE118+$L$9+$N$9)&gt;=$K$9,((AE118+$L$9+$N$9)-$K$9)-0.5*HU_alpha/$S$9*((AE118+$L$9+$N$9)-$K$9)^2,IF((AE118+$L$9+$N$9)&gt;=$T$9,HU_beta*((AE118+$L$9+$N$9)-$K$9),HU_beta*($T$9-$K$9)))))</f>
        <v/>
      </c>
      <c r="AU118" s="29">
        <f>IF(OR(AR118=0,$S$9=0),0,IF((AE118+$K$9)&gt;$S$9/HU_alpha+$K$9,0.5*$S$9/HU_alpha,IF((AE118+$K$9)&gt;=$K$9,((AE118+$K$9)-$K$9)-0.5*HU_alpha/$S$9*((AE118+$K$9)-$K$9)^2,IF((AE118+$K$9)&gt;=$T$9,HU_beta*((AE118+$K$9)-$K$9),HU_beta*($T$9-$K$9)))))</f>
        <v/>
      </c>
      <c r="AV118" s="63">
        <f>IF(AND($J$10,A118=$Q$10),J118,0)</f>
        <v/>
      </c>
      <c r="AW118" s="29">
        <f>IF(OR(AV118=0,$S$10=0),0,IF((AD118+$L$10)&gt;$S$10/HU_alpha+$K$10,0.5*$S$10/HU_alpha,IF((AD118+$L$10)&gt;=$K$10,((AD118+$L$10)-$K$10)-0.5*HU_alpha/$S$10*((AD118+$L$10)-$K$10)^2,IF((AD118+$L$10)&gt;=$T$10,HU_beta*((AD118+$L$10)-$K$10),HU_beta*($T$10-$K$10)))))</f>
        <v/>
      </c>
      <c r="AX118" s="29">
        <f>IF(OR(AV118=0,$S$10=0),0,IF((AD118+$L$10+$N$10)&gt;$S$10/HU_alpha+$K$10,0.5*$S$10/HU_alpha,IF((AD118+$L$10+$N$10)&gt;=$K$10,((AD118+$L$10+$N$10)-$K$10)-0.5*HU_alpha/$S$10*((AD118+$L$10+$N$10)-$K$10)^2,IF((AD118+$L$10+$N$10)&gt;=$T$10,HU_beta*((AD118+$L$10+$N$10)-$K$10),HU_beta*($T$10-$K$10)))))</f>
        <v/>
      </c>
      <c r="AY118" s="29">
        <f>IF(OR(AV118=0,$S$10=0),0,IF((AD118+$K$10)&gt;$S$10/HU_alpha+$K$10,0.5*$S$10/HU_alpha,IF((AD118+$K$10)&gt;=$K$10,((AD118+$K$10)-$K$10)-0.5*HU_alpha/$S$10*((AD118+$K$10)-$K$10)^2,IF((AD118+$K$10)&gt;=$T$10,HU_beta*((AD118+$K$10)-$K$10),HU_beta*($T$10-$K$10)))))</f>
        <v/>
      </c>
      <c r="AZ118" s="63">
        <f>IF(AND($J$11,A118=$Q$11),J118,0)</f>
        <v/>
      </c>
      <c r="BA118" s="29">
        <f>IF(OR(AZ118=0,$S$11=0),0,IF((AE118+$L$11)&gt;$S$11/HU_alpha+$K$11,0.5*$S$11/HU_alpha,IF((AE118+$L$11)&gt;=$K$11,((AE118+$L$11)-$K$11)-0.5*HU_alpha/$S$11*((AE118+$L$11)-$K$11)^2,IF((AE118+$L$11)&gt;=$T$11,HU_beta*((AE118+$L$11)-$K$11),HU_beta*($T$11-$K$11)))))</f>
        <v/>
      </c>
      <c r="BB118" s="29">
        <f>IF(OR(AZ118=0,$S$11=0),0,IF((AE118+$L$11+$N$11)&gt;$S$11/HU_alpha+$K$11,0.5*$S$11/HU_alpha,IF((AE118+$L$11+$N$11)&gt;=$K$11,((AE118+$L$11+$N$11)-$K$11)-0.5*HU_alpha/$S$11*((AE118+$L$11+$N$11)-$K$11)^2,IF((AE118+$L$11+$N$11)&gt;=$T$11,HU_beta*((AE118+$L$11+$N$11)-$K$11),HU_beta*($T$11-$K$11)))))</f>
        <v/>
      </c>
      <c r="BC118" s="29">
        <f>IF(OR(AZ118=0,$S$11=0),0,IF((AE118+$K$11)&gt;$S$11/HU_alpha+$K$11,0.5*$S$11/HU_alpha,IF((AE118+$K$11)&gt;=$K$11,((AE118+$K$11)-$K$11)-0.5*HU_alpha/$S$11*((AE118+$K$11)-$K$11)^2,IF((AE118+$K$11)&gt;=$T$11,HU_beta*((AE118+$K$11)-$K$11),HU_beta*($T$11-$K$11)))))</f>
        <v/>
      </c>
      <c r="BD118" s="63">
        <f>IF(AND($J$12,A118=$Q$12),J118,0)</f>
        <v/>
      </c>
      <c r="BE118" s="29">
        <f>IF(OR(BD118=0,$S$12=0),0,IF((AE118+$L$12)&gt;$S$12/HU_alpha+$K$12,0.5*$S$12/HU_alpha,IF((AE118+$L$12)&gt;=$K$12,((AE118+$L$12)-$K$12)-0.5*HU_alpha/$S$12*((AE118+$L$12)-$K$12)^2,IF((AE118+$L$12)&gt;=$T$12,HU_beta*((AE118+$L$12)-$K$12),HU_beta*($T$12-$K$12)))))</f>
        <v/>
      </c>
      <c r="BF118" s="29">
        <f>IF(OR(BD118=0,$S$12=0),0,IF((AE118+$L$12+$N$12)&gt;$S$12/HU_alpha+$K$12,0.5*$S$12/HU_alpha,IF((AE118+$L$12+$N$12)&gt;=$K$12,((AE118+$L$12+$N$12)-$K$12)-0.5*HU_alpha/$S$12*((AE118+$L$12+$N$12)-$K$12)^2,IF((AE118+$L$12+$N$12)&gt;=$T$12,HU_beta*((AE118+$L$12+$N$12)-$K$12),HU_beta*($T$12-$K$12)))))</f>
        <v/>
      </c>
      <c r="BG118" s="29">
        <f>IF(OR(BD118=0,$S$12=0),0,IF((AE118+$K$12)&gt;$S$12/HU_alpha+$K$12,0.5*$S$12/HU_alpha,IF((AE118+$K$12)&gt;=$K$12,((AE118+$K$12)-$K$12)-0.5*HU_alpha/$S$12*((AE118+$K$12)-$K$12)^2,IF((AE118+$K$12)&gt;=$T$12,HU_beta*((AE118+$K$12)-$K$12),HU_beta*($T$12-$K$12)))))</f>
        <v/>
      </c>
      <c r="BH118" s="63">
        <f>IF(AND($J$13,A118=$Q$13),J118,0)</f>
        <v/>
      </c>
      <c r="BI118" s="29">
        <f>IF(OR(BH118=0,$S$13=0),0,IF((AE118+$L$13)&gt;$S$13/HU_alpha+$K$13,0.5*$S$13/HU_alpha,IF((AE118+$L$13)&gt;=$K$13,((AE118+$L$13)-$K$13)-0.5*HU_alpha/$S$13*((AE118+$L$13)-$K$13)^2,IF((AE118+$L$13)&gt;=$T$13,HU_beta*((AE118+$L$13)-$K$13),HU_beta*($T$13-$K$13)))))</f>
        <v/>
      </c>
      <c r="BJ118" s="29">
        <f>IF(OR(BH118=0,$S$13=0),0,IF((AE118+$L$13+$N$13)&gt;$S$13/HU_alpha+$K$13,0.5*$S$13/HU_alpha,IF((AE118+$L$13+$N$13)&gt;=$K$13,((AE118+$L$13+$N$13)-$K$13)-0.5*HU_alpha/$S$13*((AE118+$L$13+$N$13)-$K$13)^2,IF((AE118+$L$13+$N$13)&gt;=$T$13,HU_beta*((AE118+$L$13+$N$13)-$K$13),HU_beta*($T$13-$K$13)))))</f>
        <v/>
      </c>
      <c r="BK118" s="29">
        <f>IF(OR(BH118=0,$S$13=0),0,IF((AE118+$K$13)&gt;$S$13/HU_alpha+$K$13,0.5*$S$13/HU_alpha,IF((AE118+$K$13)&gt;=$K$13,((AE118+$K$13)-$K$13)-0.5*HU_alpha/$S$13*((AE118+$K$13)-$K$13)^2,IF((AE118+$K$13)&gt;=$T$13,HU_beta*((AE118+$K$13)-$K$13),HU_beta*($T$13-$K$13)))))</f>
        <v/>
      </c>
    </row>
    <row r="119">
      <c r="A119" s="61" t="n">
        <v>51</v>
      </c>
      <c r="B119" s="61">
        <f>HU_age+A119</f>
        <v/>
      </c>
      <c r="C119" s="52">
        <f>A119&lt;=HU_T</f>
        <v/>
      </c>
      <c r="D119" s="63">
        <f>IF(OR(A119&lt;1,A119&gt;HU_T),0,INDEX(HU_q_mort,HU_age+A119-17,HU_col))</f>
        <v/>
      </c>
      <c r="E119" s="63">
        <f>IF(OR(A119&lt;1,A119&gt;HU_T),0,INDEX(HU_q_adb,HU_age+A119-17,HU_col))</f>
        <v/>
      </c>
      <c r="F119" s="63">
        <f>IF(OR(A119&lt;1,A119&gt;HU_T),0,INDEX(HU_q_morb,HU_age+A119-17,HU_col))</f>
        <v/>
      </c>
      <c r="G119" s="63">
        <f>IF(OR(A119&lt;1,A119&gt;HU_T),0,INDEX(HU_q_ptd,HU_age+A119-17,HU_col))</f>
        <v/>
      </c>
      <c r="H119" s="63">
        <f>IF(OR(A119&lt;1,A119&gt;HU_T),0,INDEX(HU_q_dis,HU_age+A119-17,HU_col))</f>
        <v/>
      </c>
      <c r="I119" s="63">
        <f>IF(A119&gt;HU_T,0,I118*(1-D119)*(1-E119))</f>
        <v/>
      </c>
      <c r="J119" s="63">
        <f>IF(A119&gt;=HU_T,0,N(I120))</f>
        <v/>
      </c>
      <c r="K119" s="63">
        <f>K118*(1-G119)</f>
        <v/>
      </c>
      <c r="L119" s="63">
        <f>1-K119</f>
        <v/>
      </c>
      <c r="M119" s="63">
        <f>K118*G119</f>
        <v/>
      </c>
      <c r="N119" s="63">
        <f>N118*(1-H119)</f>
        <v/>
      </c>
      <c r="O119" s="63">
        <f>1-N118</f>
        <v/>
      </c>
      <c r="P119" s="63">
        <f>P118*(1-F119)</f>
        <v/>
      </c>
      <c r="Q119" s="63">
        <f>1-P118/INDEX($P$68:$P$150,MAX(1,A119-HU_ciYears))</f>
        <v/>
      </c>
      <c r="R119" s="60">
        <f>(1+inflationRate)^A119</f>
        <v/>
      </c>
      <c r="S119" s="29">
        <f>IF(OR(OR(A119&lt;1,A119&gt;HU_T),A119-1&gt;=HU_dtr),0,HU_inc0*(1+incomeGrowthRate)^A119)</f>
        <v/>
      </c>
      <c r="T119" s="60">
        <f>IF(A119&gt;HU_T,T118,T118*(1+INDEX(HU_ssG,HU_age+A119-17)))</f>
        <v/>
      </c>
      <c r="U119" s="29">
        <f>IF(AND(HU_dtr&gt;=1,A119=HU_dtr,A119&lt;=HU_T),MIN(S119*INDEX(HU_ssC,HU_age+A119-17)/(1-INDEX(HU_ssC,HU_age+A119-17)),INDEX(HU_ssCap,HU_age+A119-17))*T119,0)</f>
        <v/>
      </c>
      <c r="V119" s="29">
        <f>S119+U119+IF(AND(HU_wdOn,A119=HU_wdYear),HU_wdIncome,0)</f>
        <v/>
      </c>
      <c r="W119" s="60">
        <f>HU_ciProp*Q119+HU_tpdCut*L119+HU_disCut*O119</f>
        <v/>
      </c>
      <c r="X119" s="29">
        <f>IF(OR(A119&lt;1,A119&gt;HU_T),0,V119*(1-W119))</f>
        <v/>
      </c>
      <c r="Y119" s="29">
        <f>IF(OR(A119&lt;1,A119&gt;HU_T),0,IF(AND(HU_retExp&gt;0,A119-1&gt;=HU_dtr),HU_retExp,HU_exp0)*R119)</f>
        <v/>
      </c>
      <c r="Z119" s="29">
        <f>-Y119-IF(AND(HU_wdOn,A119=HU_wdYear),HU_wdOut,0)</f>
        <v/>
      </c>
      <c r="AA119" s="29">
        <f>IF(OR(A119&lt;1,A119&gt;HU_T),0,-HU_medCost*R119*F119-HU_tpdCost*R119*M119)</f>
        <v/>
      </c>
      <c r="AB119" s="29">
        <f>IF(A119&gt;HU_T,0,AB118*(1+interestRate)+X119+Z119+AA119)</f>
        <v/>
      </c>
      <c r="AC119" s="29">
        <f>IF(A119&gt;HU_T,0,HU_inv*EXP(HU_mu*A119))</f>
        <v/>
      </c>
      <c r="AD119" s="29">
        <f>IF(A119&gt;HU_T,0,MAX(0,AC119+AB119))</f>
        <v/>
      </c>
      <c r="AE119" s="29">
        <f>IF(A119&gt;HU_T,0,MAX(0,X119-Y119))</f>
        <v/>
      </c>
      <c r="AF119" s="63">
        <f>IF(AND($J$6,A119&gt;=1,A119&lt;=$Q$6-1),J119,0)</f>
        <v/>
      </c>
      <c r="AG119" s="29">
        <f>IF(OR(AF119=0,$S$6=0),0,IF((AD119+$L$6)&gt;$S$6/HU_alpha+$K$6,0.5*$S$6/HU_alpha,IF((AD119+$L$6)&gt;=$K$6,((AD119+$L$6)-$K$6)-0.5*HU_alpha/$S$6*((AD119+$L$6)-$K$6)^2,IF((AD119+$L$6)&gt;=$T$6,HU_beta*((AD119+$L$6)-$K$6),HU_beta*($T$6-$K$6)))))</f>
        <v/>
      </c>
      <c r="AH119" s="29">
        <f>IF(OR(AF119=0,$S$6=0),0,IF((AD119+$L$6+$N$6)&gt;$S$6/HU_alpha+$K$6,0.5*$S$6/HU_alpha,IF((AD119+$L$6+$N$6)&gt;=$K$6,((AD119+$L$6+$N$6)-$K$6)-0.5*HU_alpha/$S$6*((AD119+$L$6+$N$6)-$K$6)^2,IF((AD119+$L$6+$N$6)&gt;=$T$6,HU_beta*((AD119+$L$6+$N$6)-$K$6),HU_beta*($T$6-$K$6)))))</f>
        <v/>
      </c>
      <c r="AI119" s="29">
        <f>IF(OR(AF119=0,$S$6=0),0,IF((AD119+$K$6)&gt;$S$6/HU_alpha+$K$6,0.5*$S$6/HU_alpha,IF((AD119+$K$6)&gt;=$K$6,((AD119+$K$6)-$K$6)-0.5*HU_alpha/$S$6*((AD119+$K$6)-$K$6)^2,IF((AD119+$K$6)&gt;=$T$6,HU_beta*((AD119+$K$6)-$K$6),HU_beta*($T$6-$K$6)))))</f>
        <v/>
      </c>
      <c r="AJ119" s="63">
        <f>IF(AND($J$7,A119&gt;=1,A119&lt;=$Q$7-1),J119,0)</f>
        <v/>
      </c>
      <c r="AK119" s="29">
        <f>IF(OR(AJ119=0,$S$7=0),0,IF((AE119+$L$7)&gt;$S$7/HU_alpha+$K$7,0.5*$S$7/HU_alpha,IF((AE119+$L$7)&gt;=$K$7,((AE119+$L$7)-$K$7)-0.5*HU_alpha/$S$7*((AE119+$L$7)-$K$7)^2,IF((AE119+$L$7)&gt;=$T$7,HU_beta*((AE119+$L$7)-$K$7),HU_beta*($T$7-$K$7)))))</f>
        <v/>
      </c>
      <c r="AL119" s="29">
        <f>IF(OR(AJ119=0,$S$7=0),0,IF((AE119+$L$7+$N$7)&gt;$S$7/HU_alpha+$K$7,0.5*$S$7/HU_alpha,IF((AE119+$L$7+$N$7)&gt;=$K$7,((AE119+$L$7+$N$7)-$K$7)-0.5*HU_alpha/$S$7*((AE119+$L$7+$N$7)-$K$7)^2,IF((AE119+$L$7+$N$7)&gt;=$T$7,HU_beta*((AE119+$L$7+$N$7)-$K$7),HU_beta*($T$7-$K$7)))))</f>
        <v/>
      </c>
      <c r="AM119" s="29">
        <f>IF(OR(AJ119=0,$S$7=0),0,IF((AE119+$K$7)&gt;$S$7/HU_alpha+$K$7,0.5*$S$7/HU_alpha,IF((AE119+$K$7)&gt;=$K$7,((AE119+$K$7)-$K$7)-0.5*HU_alpha/$S$7*((AE119+$K$7)-$K$7)^2,IF((AE119+$K$7)&gt;=$T$7,HU_beta*((AE119+$K$7)-$K$7),HU_beta*($T$7-$K$7)))))</f>
        <v/>
      </c>
      <c r="AN119" s="63">
        <f>IF(AND($J$8,A119&gt;=1,A119&lt;=$Q$8-1),J119,0)</f>
        <v/>
      </c>
      <c r="AO119" s="29">
        <f>IF(OR(AN119=0,$S$8=0),0,IF((AE119+$L$8)&gt;$S$8/HU_alpha+$K$8,0.5*$S$8/HU_alpha,IF((AE119+$L$8)&gt;=$K$8,((AE119+$L$8)-$K$8)-0.5*HU_alpha/$S$8*((AE119+$L$8)-$K$8)^2,IF((AE119+$L$8)&gt;=$T$8,HU_beta*((AE119+$L$8)-$K$8),HU_beta*($T$8-$K$8)))))</f>
        <v/>
      </c>
      <c r="AP119" s="29">
        <f>IF(OR(AN119=0,$S$8=0),0,IF((AE119+$L$8+$N$8)&gt;$S$8/HU_alpha+$K$8,0.5*$S$8/HU_alpha,IF((AE119+$L$8+$N$8)&gt;=$K$8,((AE119+$L$8+$N$8)-$K$8)-0.5*HU_alpha/$S$8*((AE119+$L$8+$N$8)-$K$8)^2,IF((AE119+$L$8+$N$8)&gt;=$T$8,HU_beta*((AE119+$L$8+$N$8)-$K$8),HU_beta*($T$8-$K$8)))))</f>
        <v/>
      </c>
      <c r="AQ119" s="29">
        <f>IF(OR(AN119=0,$S$8=0),0,IF((AE119+$K$8)&gt;$S$8/HU_alpha+$K$8,0.5*$S$8/HU_alpha,IF((AE119+$K$8)&gt;=$K$8,((AE119+$K$8)-$K$8)-0.5*HU_alpha/$S$8*((AE119+$K$8)-$K$8)^2,IF((AE119+$K$8)&gt;=$T$8,HU_beta*((AE119+$K$8)-$K$8),HU_beta*($T$8-$K$8)))))</f>
        <v/>
      </c>
      <c r="AR119" s="63">
        <f>IF(AND($J$9,A119&gt;=1,A119&lt;=$Q$9-1),J119,0)</f>
        <v/>
      </c>
      <c r="AS119" s="29">
        <f>IF(OR(AR119=0,$S$9=0),0,IF((AE119+$L$9)&gt;$S$9/HU_alpha+$K$9,0.5*$S$9/HU_alpha,IF((AE119+$L$9)&gt;=$K$9,((AE119+$L$9)-$K$9)-0.5*HU_alpha/$S$9*((AE119+$L$9)-$K$9)^2,IF((AE119+$L$9)&gt;=$T$9,HU_beta*((AE119+$L$9)-$K$9),HU_beta*($T$9-$K$9)))))</f>
        <v/>
      </c>
      <c r="AT119" s="29">
        <f>IF(OR(AR119=0,$S$9=0),0,IF((AE119+$L$9+$N$9)&gt;$S$9/HU_alpha+$K$9,0.5*$S$9/HU_alpha,IF((AE119+$L$9+$N$9)&gt;=$K$9,((AE119+$L$9+$N$9)-$K$9)-0.5*HU_alpha/$S$9*((AE119+$L$9+$N$9)-$K$9)^2,IF((AE119+$L$9+$N$9)&gt;=$T$9,HU_beta*((AE119+$L$9+$N$9)-$K$9),HU_beta*($T$9-$K$9)))))</f>
        <v/>
      </c>
      <c r="AU119" s="29">
        <f>IF(OR(AR119=0,$S$9=0),0,IF((AE119+$K$9)&gt;$S$9/HU_alpha+$K$9,0.5*$S$9/HU_alpha,IF((AE119+$K$9)&gt;=$K$9,((AE119+$K$9)-$K$9)-0.5*HU_alpha/$S$9*((AE119+$K$9)-$K$9)^2,IF((AE119+$K$9)&gt;=$T$9,HU_beta*((AE119+$K$9)-$K$9),HU_beta*($T$9-$K$9)))))</f>
        <v/>
      </c>
      <c r="AV119" s="63">
        <f>IF(AND($J$10,A119=$Q$10),J119,0)</f>
        <v/>
      </c>
      <c r="AW119" s="29">
        <f>IF(OR(AV119=0,$S$10=0),0,IF((AD119+$L$10)&gt;$S$10/HU_alpha+$K$10,0.5*$S$10/HU_alpha,IF((AD119+$L$10)&gt;=$K$10,((AD119+$L$10)-$K$10)-0.5*HU_alpha/$S$10*((AD119+$L$10)-$K$10)^2,IF((AD119+$L$10)&gt;=$T$10,HU_beta*((AD119+$L$10)-$K$10),HU_beta*($T$10-$K$10)))))</f>
        <v/>
      </c>
      <c r="AX119" s="29">
        <f>IF(OR(AV119=0,$S$10=0),0,IF((AD119+$L$10+$N$10)&gt;$S$10/HU_alpha+$K$10,0.5*$S$10/HU_alpha,IF((AD119+$L$10+$N$10)&gt;=$K$10,((AD119+$L$10+$N$10)-$K$10)-0.5*HU_alpha/$S$10*((AD119+$L$10+$N$10)-$K$10)^2,IF((AD119+$L$10+$N$10)&gt;=$T$10,HU_beta*((AD119+$L$10+$N$10)-$K$10),HU_beta*($T$10-$K$10)))))</f>
        <v/>
      </c>
      <c r="AY119" s="29">
        <f>IF(OR(AV119=0,$S$10=0),0,IF((AD119+$K$10)&gt;$S$10/HU_alpha+$K$10,0.5*$S$10/HU_alpha,IF((AD119+$K$10)&gt;=$K$10,((AD119+$K$10)-$K$10)-0.5*HU_alpha/$S$10*((AD119+$K$10)-$K$10)^2,IF((AD119+$K$10)&gt;=$T$10,HU_beta*((AD119+$K$10)-$K$10),HU_beta*($T$10-$K$10)))))</f>
        <v/>
      </c>
      <c r="AZ119" s="63">
        <f>IF(AND($J$11,A119=$Q$11),J119,0)</f>
        <v/>
      </c>
      <c r="BA119" s="29">
        <f>IF(OR(AZ119=0,$S$11=0),0,IF((AE119+$L$11)&gt;$S$11/HU_alpha+$K$11,0.5*$S$11/HU_alpha,IF((AE119+$L$11)&gt;=$K$11,((AE119+$L$11)-$K$11)-0.5*HU_alpha/$S$11*((AE119+$L$11)-$K$11)^2,IF((AE119+$L$11)&gt;=$T$11,HU_beta*((AE119+$L$11)-$K$11),HU_beta*($T$11-$K$11)))))</f>
        <v/>
      </c>
      <c r="BB119" s="29">
        <f>IF(OR(AZ119=0,$S$11=0),0,IF((AE119+$L$11+$N$11)&gt;$S$11/HU_alpha+$K$11,0.5*$S$11/HU_alpha,IF((AE119+$L$11+$N$11)&gt;=$K$11,((AE119+$L$11+$N$11)-$K$11)-0.5*HU_alpha/$S$11*((AE119+$L$11+$N$11)-$K$11)^2,IF((AE119+$L$11+$N$11)&gt;=$T$11,HU_beta*((AE119+$L$11+$N$11)-$K$11),HU_beta*($T$11-$K$11)))))</f>
        <v/>
      </c>
      <c r="BC119" s="29">
        <f>IF(OR(AZ119=0,$S$11=0),0,IF((AE119+$K$11)&gt;$S$11/HU_alpha+$K$11,0.5*$S$11/HU_alpha,IF((AE119+$K$11)&gt;=$K$11,((AE119+$K$11)-$K$11)-0.5*HU_alpha/$S$11*((AE119+$K$11)-$K$11)^2,IF((AE119+$K$11)&gt;=$T$11,HU_beta*((AE119+$K$11)-$K$11),HU_beta*($T$11-$K$11)))))</f>
        <v/>
      </c>
      <c r="BD119" s="63">
        <f>IF(AND($J$12,A119=$Q$12),J119,0)</f>
        <v/>
      </c>
      <c r="BE119" s="29">
        <f>IF(OR(BD119=0,$S$12=0),0,IF((AE119+$L$12)&gt;$S$12/HU_alpha+$K$12,0.5*$S$12/HU_alpha,IF((AE119+$L$12)&gt;=$K$12,((AE119+$L$12)-$K$12)-0.5*HU_alpha/$S$12*((AE119+$L$12)-$K$12)^2,IF((AE119+$L$12)&gt;=$T$12,HU_beta*((AE119+$L$12)-$K$12),HU_beta*($T$12-$K$12)))))</f>
        <v/>
      </c>
      <c r="BF119" s="29">
        <f>IF(OR(BD119=0,$S$12=0),0,IF((AE119+$L$12+$N$12)&gt;$S$12/HU_alpha+$K$12,0.5*$S$12/HU_alpha,IF((AE119+$L$12+$N$12)&gt;=$K$12,((AE119+$L$12+$N$12)-$K$12)-0.5*HU_alpha/$S$12*((AE119+$L$12+$N$12)-$K$12)^2,IF((AE119+$L$12+$N$12)&gt;=$T$12,HU_beta*((AE119+$L$12+$N$12)-$K$12),HU_beta*($T$12-$K$12)))))</f>
        <v/>
      </c>
      <c r="BG119" s="29">
        <f>IF(OR(BD119=0,$S$12=0),0,IF((AE119+$K$12)&gt;$S$12/HU_alpha+$K$12,0.5*$S$12/HU_alpha,IF((AE119+$K$12)&gt;=$K$12,((AE119+$K$12)-$K$12)-0.5*HU_alpha/$S$12*((AE119+$K$12)-$K$12)^2,IF((AE119+$K$12)&gt;=$T$12,HU_beta*((AE119+$K$12)-$K$12),HU_beta*($T$12-$K$12)))))</f>
        <v/>
      </c>
      <c r="BH119" s="63">
        <f>IF(AND($J$13,A119=$Q$13),J119,0)</f>
        <v/>
      </c>
      <c r="BI119" s="29">
        <f>IF(OR(BH119=0,$S$13=0),0,IF((AE119+$L$13)&gt;$S$13/HU_alpha+$K$13,0.5*$S$13/HU_alpha,IF((AE119+$L$13)&gt;=$K$13,((AE119+$L$13)-$K$13)-0.5*HU_alpha/$S$13*((AE119+$L$13)-$K$13)^2,IF((AE119+$L$13)&gt;=$T$13,HU_beta*((AE119+$L$13)-$K$13),HU_beta*($T$13-$K$13)))))</f>
        <v/>
      </c>
      <c r="BJ119" s="29">
        <f>IF(OR(BH119=0,$S$13=0),0,IF((AE119+$L$13+$N$13)&gt;$S$13/HU_alpha+$K$13,0.5*$S$13/HU_alpha,IF((AE119+$L$13+$N$13)&gt;=$K$13,((AE119+$L$13+$N$13)-$K$13)-0.5*HU_alpha/$S$13*((AE119+$L$13+$N$13)-$K$13)^2,IF((AE119+$L$13+$N$13)&gt;=$T$13,HU_beta*((AE119+$L$13+$N$13)-$K$13),HU_beta*($T$13-$K$13)))))</f>
        <v/>
      </c>
      <c r="BK119" s="29">
        <f>IF(OR(BH119=0,$S$13=0),0,IF((AE119+$K$13)&gt;$S$13/HU_alpha+$K$13,0.5*$S$13/HU_alpha,IF((AE119+$K$13)&gt;=$K$13,((AE119+$K$13)-$K$13)-0.5*HU_alpha/$S$13*((AE119+$K$13)-$K$13)^2,IF((AE119+$K$13)&gt;=$T$13,HU_beta*((AE119+$K$13)-$K$13),HU_beta*($T$13-$K$13)))))</f>
        <v/>
      </c>
    </row>
    <row r="120">
      <c r="A120" s="61" t="n">
        <v>52</v>
      </c>
      <c r="B120" s="61">
        <f>HU_age+A120</f>
        <v/>
      </c>
      <c r="C120" s="52">
        <f>A120&lt;=HU_T</f>
        <v/>
      </c>
      <c r="D120" s="63">
        <f>IF(OR(A120&lt;1,A120&gt;HU_T),0,INDEX(HU_q_mort,HU_age+A120-17,HU_col))</f>
        <v/>
      </c>
      <c r="E120" s="63">
        <f>IF(OR(A120&lt;1,A120&gt;HU_T),0,INDEX(HU_q_adb,HU_age+A120-17,HU_col))</f>
        <v/>
      </c>
      <c r="F120" s="63">
        <f>IF(OR(A120&lt;1,A120&gt;HU_T),0,INDEX(HU_q_morb,HU_age+A120-17,HU_col))</f>
        <v/>
      </c>
      <c r="G120" s="63">
        <f>IF(OR(A120&lt;1,A120&gt;HU_T),0,INDEX(HU_q_ptd,HU_age+A120-17,HU_col))</f>
        <v/>
      </c>
      <c r="H120" s="63">
        <f>IF(OR(A120&lt;1,A120&gt;HU_T),0,INDEX(HU_q_dis,HU_age+A120-17,HU_col))</f>
        <v/>
      </c>
      <c r="I120" s="63">
        <f>IF(A120&gt;HU_T,0,I119*(1-D120)*(1-E120))</f>
        <v/>
      </c>
      <c r="J120" s="63">
        <f>IF(A120&gt;=HU_T,0,N(I121))</f>
        <v/>
      </c>
      <c r="K120" s="63">
        <f>K119*(1-G120)</f>
        <v/>
      </c>
      <c r="L120" s="63">
        <f>1-K120</f>
        <v/>
      </c>
      <c r="M120" s="63">
        <f>K119*G120</f>
        <v/>
      </c>
      <c r="N120" s="63">
        <f>N119*(1-H120)</f>
        <v/>
      </c>
      <c r="O120" s="63">
        <f>1-N119</f>
        <v/>
      </c>
      <c r="P120" s="63">
        <f>P119*(1-F120)</f>
        <v/>
      </c>
      <c r="Q120" s="63">
        <f>1-P119/INDEX($P$68:$P$150,MAX(1,A120-HU_ciYears))</f>
        <v/>
      </c>
      <c r="R120" s="60">
        <f>(1+inflationRate)^A120</f>
        <v/>
      </c>
      <c r="S120" s="29">
        <f>IF(OR(OR(A120&lt;1,A120&gt;HU_T),A120-1&gt;=HU_dtr),0,HU_inc0*(1+incomeGrowthRate)^A120)</f>
        <v/>
      </c>
      <c r="T120" s="60">
        <f>IF(A120&gt;HU_T,T119,T119*(1+INDEX(HU_ssG,HU_age+A120-17)))</f>
        <v/>
      </c>
      <c r="U120" s="29">
        <f>IF(AND(HU_dtr&gt;=1,A120=HU_dtr,A120&lt;=HU_T),MIN(S120*INDEX(HU_ssC,HU_age+A120-17)/(1-INDEX(HU_ssC,HU_age+A120-17)),INDEX(HU_ssCap,HU_age+A120-17))*T120,0)</f>
        <v/>
      </c>
      <c r="V120" s="29">
        <f>S120+U120+IF(AND(HU_wdOn,A120=HU_wdYear),HU_wdIncome,0)</f>
        <v/>
      </c>
      <c r="W120" s="60">
        <f>HU_ciProp*Q120+HU_tpdCut*L120+HU_disCut*O120</f>
        <v/>
      </c>
      <c r="X120" s="29">
        <f>IF(OR(A120&lt;1,A120&gt;HU_T),0,V120*(1-W120))</f>
        <v/>
      </c>
      <c r="Y120" s="29">
        <f>IF(OR(A120&lt;1,A120&gt;HU_T),0,IF(AND(HU_retExp&gt;0,A120-1&gt;=HU_dtr),HU_retExp,HU_exp0)*R120)</f>
        <v/>
      </c>
      <c r="Z120" s="29">
        <f>-Y120-IF(AND(HU_wdOn,A120=HU_wdYear),HU_wdOut,0)</f>
        <v/>
      </c>
      <c r="AA120" s="29">
        <f>IF(OR(A120&lt;1,A120&gt;HU_T),0,-HU_medCost*R120*F120-HU_tpdCost*R120*M120)</f>
        <v/>
      </c>
      <c r="AB120" s="29">
        <f>IF(A120&gt;HU_T,0,AB119*(1+interestRate)+X120+Z120+AA120)</f>
        <v/>
      </c>
      <c r="AC120" s="29">
        <f>IF(A120&gt;HU_T,0,HU_inv*EXP(HU_mu*A120))</f>
        <v/>
      </c>
      <c r="AD120" s="29">
        <f>IF(A120&gt;HU_T,0,MAX(0,AC120+AB120))</f>
        <v/>
      </c>
      <c r="AE120" s="29">
        <f>IF(A120&gt;HU_T,0,MAX(0,X120-Y120))</f>
        <v/>
      </c>
      <c r="AF120" s="63">
        <f>IF(AND($J$6,A120&gt;=1,A120&lt;=$Q$6-1),J120,0)</f>
        <v/>
      </c>
      <c r="AG120" s="29">
        <f>IF(OR(AF120=0,$S$6=0),0,IF((AD120+$L$6)&gt;$S$6/HU_alpha+$K$6,0.5*$S$6/HU_alpha,IF((AD120+$L$6)&gt;=$K$6,((AD120+$L$6)-$K$6)-0.5*HU_alpha/$S$6*((AD120+$L$6)-$K$6)^2,IF((AD120+$L$6)&gt;=$T$6,HU_beta*((AD120+$L$6)-$K$6),HU_beta*($T$6-$K$6)))))</f>
        <v/>
      </c>
      <c r="AH120" s="29">
        <f>IF(OR(AF120=0,$S$6=0),0,IF((AD120+$L$6+$N$6)&gt;$S$6/HU_alpha+$K$6,0.5*$S$6/HU_alpha,IF((AD120+$L$6+$N$6)&gt;=$K$6,((AD120+$L$6+$N$6)-$K$6)-0.5*HU_alpha/$S$6*((AD120+$L$6+$N$6)-$K$6)^2,IF((AD120+$L$6+$N$6)&gt;=$T$6,HU_beta*((AD120+$L$6+$N$6)-$K$6),HU_beta*($T$6-$K$6)))))</f>
        <v/>
      </c>
      <c r="AI120" s="29">
        <f>IF(OR(AF120=0,$S$6=0),0,IF((AD120+$K$6)&gt;$S$6/HU_alpha+$K$6,0.5*$S$6/HU_alpha,IF((AD120+$K$6)&gt;=$K$6,((AD120+$K$6)-$K$6)-0.5*HU_alpha/$S$6*((AD120+$K$6)-$K$6)^2,IF((AD120+$K$6)&gt;=$T$6,HU_beta*((AD120+$K$6)-$K$6),HU_beta*($T$6-$K$6)))))</f>
        <v/>
      </c>
      <c r="AJ120" s="63">
        <f>IF(AND($J$7,A120&gt;=1,A120&lt;=$Q$7-1),J120,0)</f>
        <v/>
      </c>
      <c r="AK120" s="29">
        <f>IF(OR(AJ120=0,$S$7=0),0,IF((AE120+$L$7)&gt;$S$7/HU_alpha+$K$7,0.5*$S$7/HU_alpha,IF((AE120+$L$7)&gt;=$K$7,((AE120+$L$7)-$K$7)-0.5*HU_alpha/$S$7*((AE120+$L$7)-$K$7)^2,IF((AE120+$L$7)&gt;=$T$7,HU_beta*((AE120+$L$7)-$K$7),HU_beta*($T$7-$K$7)))))</f>
        <v/>
      </c>
      <c r="AL120" s="29">
        <f>IF(OR(AJ120=0,$S$7=0),0,IF((AE120+$L$7+$N$7)&gt;$S$7/HU_alpha+$K$7,0.5*$S$7/HU_alpha,IF((AE120+$L$7+$N$7)&gt;=$K$7,((AE120+$L$7+$N$7)-$K$7)-0.5*HU_alpha/$S$7*((AE120+$L$7+$N$7)-$K$7)^2,IF((AE120+$L$7+$N$7)&gt;=$T$7,HU_beta*((AE120+$L$7+$N$7)-$K$7),HU_beta*($T$7-$K$7)))))</f>
        <v/>
      </c>
      <c r="AM120" s="29">
        <f>IF(OR(AJ120=0,$S$7=0),0,IF((AE120+$K$7)&gt;$S$7/HU_alpha+$K$7,0.5*$S$7/HU_alpha,IF((AE120+$K$7)&gt;=$K$7,((AE120+$K$7)-$K$7)-0.5*HU_alpha/$S$7*((AE120+$K$7)-$K$7)^2,IF((AE120+$K$7)&gt;=$T$7,HU_beta*((AE120+$K$7)-$K$7),HU_beta*($T$7-$K$7)))))</f>
        <v/>
      </c>
      <c r="AN120" s="63">
        <f>IF(AND($J$8,A120&gt;=1,A120&lt;=$Q$8-1),J120,0)</f>
        <v/>
      </c>
      <c r="AO120" s="29">
        <f>IF(OR(AN120=0,$S$8=0),0,IF((AE120+$L$8)&gt;$S$8/HU_alpha+$K$8,0.5*$S$8/HU_alpha,IF((AE120+$L$8)&gt;=$K$8,((AE120+$L$8)-$K$8)-0.5*HU_alpha/$S$8*((AE120+$L$8)-$K$8)^2,IF((AE120+$L$8)&gt;=$T$8,HU_beta*((AE120+$L$8)-$K$8),HU_beta*($T$8-$K$8)))))</f>
        <v/>
      </c>
      <c r="AP120" s="29">
        <f>IF(OR(AN120=0,$S$8=0),0,IF((AE120+$L$8+$N$8)&gt;$S$8/HU_alpha+$K$8,0.5*$S$8/HU_alpha,IF((AE120+$L$8+$N$8)&gt;=$K$8,((AE120+$L$8+$N$8)-$K$8)-0.5*HU_alpha/$S$8*((AE120+$L$8+$N$8)-$K$8)^2,IF((AE120+$L$8+$N$8)&gt;=$T$8,HU_beta*((AE120+$L$8+$N$8)-$K$8),HU_beta*($T$8-$K$8)))))</f>
        <v/>
      </c>
      <c r="AQ120" s="29">
        <f>IF(OR(AN120=0,$S$8=0),0,IF((AE120+$K$8)&gt;$S$8/HU_alpha+$K$8,0.5*$S$8/HU_alpha,IF((AE120+$K$8)&gt;=$K$8,((AE120+$K$8)-$K$8)-0.5*HU_alpha/$S$8*((AE120+$K$8)-$K$8)^2,IF((AE120+$K$8)&gt;=$T$8,HU_beta*((AE120+$K$8)-$K$8),HU_beta*($T$8-$K$8)))))</f>
        <v/>
      </c>
      <c r="AR120" s="63">
        <f>IF(AND($J$9,A120&gt;=1,A120&lt;=$Q$9-1),J120,0)</f>
        <v/>
      </c>
      <c r="AS120" s="29">
        <f>IF(OR(AR120=0,$S$9=0),0,IF((AE120+$L$9)&gt;$S$9/HU_alpha+$K$9,0.5*$S$9/HU_alpha,IF((AE120+$L$9)&gt;=$K$9,((AE120+$L$9)-$K$9)-0.5*HU_alpha/$S$9*((AE120+$L$9)-$K$9)^2,IF((AE120+$L$9)&gt;=$T$9,HU_beta*((AE120+$L$9)-$K$9),HU_beta*($T$9-$K$9)))))</f>
        <v/>
      </c>
      <c r="AT120" s="29">
        <f>IF(OR(AR120=0,$S$9=0),0,IF((AE120+$L$9+$N$9)&gt;$S$9/HU_alpha+$K$9,0.5*$S$9/HU_alpha,IF((AE120+$L$9+$N$9)&gt;=$K$9,((AE120+$L$9+$N$9)-$K$9)-0.5*HU_alpha/$S$9*((AE120+$L$9+$N$9)-$K$9)^2,IF((AE120+$L$9+$N$9)&gt;=$T$9,HU_beta*((AE120+$L$9+$N$9)-$K$9),HU_beta*($T$9-$K$9)))))</f>
        <v/>
      </c>
      <c r="AU120" s="29">
        <f>IF(OR(AR120=0,$S$9=0),0,IF((AE120+$K$9)&gt;$S$9/HU_alpha+$K$9,0.5*$S$9/HU_alpha,IF((AE120+$K$9)&gt;=$K$9,((AE120+$K$9)-$K$9)-0.5*HU_alpha/$S$9*((AE120+$K$9)-$K$9)^2,IF((AE120+$K$9)&gt;=$T$9,HU_beta*((AE120+$K$9)-$K$9),HU_beta*($T$9-$K$9)))))</f>
        <v/>
      </c>
      <c r="AV120" s="63">
        <f>IF(AND($J$10,A120=$Q$10),J120,0)</f>
        <v/>
      </c>
      <c r="AW120" s="29">
        <f>IF(OR(AV120=0,$S$10=0),0,IF((AD120+$L$10)&gt;$S$10/HU_alpha+$K$10,0.5*$S$10/HU_alpha,IF((AD120+$L$10)&gt;=$K$10,((AD120+$L$10)-$K$10)-0.5*HU_alpha/$S$10*((AD120+$L$10)-$K$10)^2,IF((AD120+$L$10)&gt;=$T$10,HU_beta*((AD120+$L$10)-$K$10),HU_beta*($T$10-$K$10)))))</f>
        <v/>
      </c>
      <c r="AX120" s="29">
        <f>IF(OR(AV120=0,$S$10=0),0,IF((AD120+$L$10+$N$10)&gt;$S$10/HU_alpha+$K$10,0.5*$S$10/HU_alpha,IF((AD120+$L$10+$N$10)&gt;=$K$10,((AD120+$L$10+$N$10)-$K$10)-0.5*HU_alpha/$S$10*((AD120+$L$10+$N$10)-$K$10)^2,IF((AD120+$L$10+$N$10)&gt;=$T$10,HU_beta*((AD120+$L$10+$N$10)-$K$10),HU_beta*($T$10-$K$10)))))</f>
        <v/>
      </c>
      <c r="AY120" s="29">
        <f>IF(OR(AV120=0,$S$10=0),0,IF((AD120+$K$10)&gt;$S$10/HU_alpha+$K$10,0.5*$S$10/HU_alpha,IF((AD120+$K$10)&gt;=$K$10,((AD120+$K$10)-$K$10)-0.5*HU_alpha/$S$10*((AD120+$K$10)-$K$10)^2,IF((AD120+$K$10)&gt;=$T$10,HU_beta*((AD120+$K$10)-$K$10),HU_beta*($T$10-$K$10)))))</f>
        <v/>
      </c>
      <c r="AZ120" s="63">
        <f>IF(AND($J$11,A120=$Q$11),J120,0)</f>
        <v/>
      </c>
      <c r="BA120" s="29">
        <f>IF(OR(AZ120=0,$S$11=0),0,IF((AE120+$L$11)&gt;$S$11/HU_alpha+$K$11,0.5*$S$11/HU_alpha,IF((AE120+$L$11)&gt;=$K$11,((AE120+$L$11)-$K$11)-0.5*HU_alpha/$S$11*((AE120+$L$11)-$K$11)^2,IF((AE120+$L$11)&gt;=$T$11,HU_beta*((AE120+$L$11)-$K$11),HU_beta*($T$11-$K$11)))))</f>
        <v/>
      </c>
      <c r="BB120" s="29">
        <f>IF(OR(AZ120=0,$S$11=0),0,IF((AE120+$L$11+$N$11)&gt;$S$11/HU_alpha+$K$11,0.5*$S$11/HU_alpha,IF((AE120+$L$11+$N$11)&gt;=$K$11,((AE120+$L$11+$N$11)-$K$11)-0.5*HU_alpha/$S$11*((AE120+$L$11+$N$11)-$K$11)^2,IF((AE120+$L$11+$N$11)&gt;=$T$11,HU_beta*((AE120+$L$11+$N$11)-$K$11),HU_beta*($T$11-$K$11)))))</f>
        <v/>
      </c>
      <c r="BC120" s="29">
        <f>IF(OR(AZ120=0,$S$11=0),0,IF((AE120+$K$11)&gt;$S$11/HU_alpha+$K$11,0.5*$S$11/HU_alpha,IF((AE120+$K$11)&gt;=$K$11,((AE120+$K$11)-$K$11)-0.5*HU_alpha/$S$11*((AE120+$K$11)-$K$11)^2,IF((AE120+$K$11)&gt;=$T$11,HU_beta*((AE120+$K$11)-$K$11),HU_beta*($T$11-$K$11)))))</f>
        <v/>
      </c>
      <c r="BD120" s="63">
        <f>IF(AND($J$12,A120=$Q$12),J120,0)</f>
        <v/>
      </c>
      <c r="BE120" s="29">
        <f>IF(OR(BD120=0,$S$12=0),0,IF((AE120+$L$12)&gt;$S$12/HU_alpha+$K$12,0.5*$S$12/HU_alpha,IF((AE120+$L$12)&gt;=$K$12,((AE120+$L$12)-$K$12)-0.5*HU_alpha/$S$12*((AE120+$L$12)-$K$12)^2,IF((AE120+$L$12)&gt;=$T$12,HU_beta*((AE120+$L$12)-$K$12),HU_beta*($T$12-$K$12)))))</f>
        <v/>
      </c>
      <c r="BF120" s="29">
        <f>IF(OR(BD120=0,$S$12=0),0,IF((AE120+$L$12+$N$12)&gt;$S$12/HU_alpha+$K$12,0.5*$S$12/HU_alpha,IF((AE120+$L$12+$N$12)&gt;=$K$12,((AE120+$L$12+$N$12)-$K$12)-0.5*HU_alpha/$S$12*((AE120+$L$12+$N$12)-$K$12)^2,IF((AE120+$L$12+$N$12)&gt;=$T$12,HU_beta*((AE120+$L$12+$N$12)-$K$12),HU_beta*($T$12-$K$12)))))</f>
        <v/>
      </c>
      <c r="BG120" s="29">
        <f>IF(OR(BD120=0,$S$12=0),0,IF((AE120+$K$12)&gt;$S$12/HU_alpha+$K$12,0.5*$S$12/HU_alpha,IF((AE120+$K$12)&gt;=$K$12,((AE120+$K$12)-$K$12)-0.5*HU_alpha/$S$12*((AE120+$K$12)-$K$12)^2,IF((AE120+$K$12)&gt;=$T$12,HU_beta*((AE120+$K$12)-$K$12),HU_beta*($T$12-$K$12)))))</f>
        <v/>
      </c>
      <c r="BH120" s="63">
        <f>IF(AND($J$13,A120=$Q$13),J120,0)</f>
        <v/>
      </c>
      <c r="BI120" s="29">
        <f>IF(OR(BH120=0,$S$13=0),0,IF((AE120+$L$13)&gt;$S$13/HU_alpha+$K$13,0.5*$S$13/HU_alpha,IF((AE120+$L$13)&gt;=$K$13,((AE120+$L$13)-$K$13)-0.5*HU_alpha/$S$13*((AE120+$L$13)-$K$13)^2,IF((AE120+$L$13)&gt;=$T$13,HU_beta*((AE120+$L$13)-$K$13),HU_beta*($T$13-$K$13)))))</f>
        <v/>
      </c>
      <c r="BJ120" s="29">
        <f>IF(OR(BH120=0,$S$13=0),0,IF((AE120+$L$13+$N$13)&gt;$S$13/HU_alpha+$K$13,0.5*$S$13/HU_alpha,IF((AE120+$L$13+$N$13)&gt;=$K$13,((AE120+$L$13+$N$13)-$K$13)-0.5*HU_alpha/$S$13*((AE120+$L$13+$N$13)-$K$13)^2,IF((AE120+$L$13+$N$13)&gt;=$T$13,HU_beta*((AE120+$L$13+$N$13)-$K$13),HU_beta*($T$13-$K$13)))))</f>
        <v/>
      </c>
      <c r="BK120" s="29">
        <f>IF(OR(BH120=0,$S$13=0),0,IF((AE120+$K$13)&gt;$S$13/HU_alpha+$K$13,0.5*$S$13/HU_alpha,IF((AE120+$K$13)&gt;=$K$13,((AE120+$K$13)-$K$13)-0.5*HU_alpha/$S$13*((AE120+$K$13)-$K$13)^2,IF((AE120+$K$13)&gt;=$T$13,HU_beta*((AE120+$K$13)-$K$13),HU_beta*($T$13-$K$13)))))</f>
        <v/>
      </c>
    </row>
    <row r="121">
      <c r="A121" s="61" t="n">
        <v>53</v>
      </c>
      <c r="B121" s="61">
        <f>HU_age+A121</f>
        <v/>
      </c>
      <c r="C121" s="52">
        <f>A121&lt;=HU_T</f>
        <v/>
      </c>
      <c r="D121" s="63">
        <f>IF(OR(A121&lt;1,A121&gt;HU_T),0,INDEX(HU_q_mort,HU_age+A121-17,HU_col))</f>
        <v/>
      </c>
      <c r="E121" s="63">
        <f>IF(OR(A121&lt;1,A121&gt;HU_T),0,INDEX(HU_q_adb,HU_age+A121-17,HU_col))</f>
        <v/>
      </c>
      <c r="F121" s="63">
        <f>IF(OR(A121&lt;1,A121&gt;HU_T),0,INDEX(HU_q_morb,HU_age+A121-17,HU_col))</f>
        <v/>
      </c>
      <c r="G121" s="63">
        <f>IF(OR(A121&lt;1,A121&gt;HU_T),0,INDEX(HU_q_ptd,HU_age+A121-17,HU_col))</f>
        <v/>
      </c>
      <c r="H121" s="63">
        <f>IF(OR(A121&lt;1,A121&gt;HU_T),0,INDEX(HU_q_dis,HU_age+A121-17,HU_col))</f>
        <v/>
      </c>
      <c r="I121" s="63">
        <f>IF(A121&gt;HU_T,0,I120*(1-D121)*(1-E121))</f>
        <v/>
      </c>
      <c r="J121" s="63">
        <f>IF(A121&gt;=HU_T,0,N(I122))</f>
        <v/>
      </c>
      <c r="K121" s="63">
        <f>K120*(1-G121)</f>
        <v/>
      </c>
      <c r="L121" s="63">
        <f>1-K121</f>
        <v/>
      </c>
      <c r="M121" s="63">
        <f>K120*G121</f>
        <v/>
      </c>
      <c r="N121" s="63">
        <f>N120*(1-H121)</f>
        <v/>
      </c>
      <c r="O121" s="63">
        <f>1-N120</f>
        <v/>
      </c>
      <c r="P121" s="63">
        <f>P120*(1-F121)</f>
        <v/>
      </c>
      <c r="Q121" s="63">
        <f>1-P120/INDEX($P$68:$P$150,MAX(1,A121-HU_ciYears))</f>
        <v/>
      </c>
      <c r="R121" s="60">
        <f>(1+inflationRate)^A121</f>
        <v/>
      </c>
      <c r="S121" s="29">
        <f>IF(OR(OR(A121&lt;1,A121&gt;HU_T),A121-1&gt;=HU_dtr),0,HU_inc0*(1+incomeGrowthRate)^A121)</f>
        <v/>
      </c>
      <c r="T121" s="60">
        <f>IF(A121&gt;HU_T,T120,T120*(1+INDEX(HU_ssG,HU_age+A121-17)))</f>
        <v/>
      </c>
      <c r="U121" s="29">
        <f>IF(AND(HU_dtr&gt;=1,A121=HU_dtr,A121&lt;=HU_T),MIN(S121*INDEX(HU_ssC,HU_age+A121-17)/(1-INDEX(HU_ssC,HU_age+A121-17)),INDEX(HU_ssCap,HU_age+A121-17))*T121,0)</f>
        <v/>
      </c>
      <c r="V121" s="29">
        <f>S121+U121+IF(AND(HU_wdOn,A121=HU_wdYear),HU_wdIncome,0)</f>
        <v/>
      </c>
      <c r="W121" s="60">
        <f>HU_ciProp*Q121+HU_tpdCut*L121+HU_disCut*O121</f>
        <v/>
      </c>
      <c r="X121" s="29">
        <f>IF(OR(A121&lt;1,A121&gt;HU_T),0,V121*(1-W121))</f>
        <v/>
      </c>
      <c r="Y121" s="29">
        <f>IF(OR(A121&lt;1,A121&gt;HU_T),0,IF(AND(HU_retExp&gt;0,A121-1&gt;=HU_dtr),HU_retExp,HU_exp0)*R121)</f>
        <v/>
      </c>
      <c r="Z121" s="29">
        <f>-Y121-IF(AND(HU_wdOn,A121=HU_wdYear),HU_wdOut,0)</f>
        <v/>
      </c>
      <c r="AA121" s="29">
        <f>IF(OR(A121&lt;1,A121&gt;HU_T),0,-HU_medCost*R121*F121-HU_tpdCost*R121*M121)</f>
        <v/>
      </c>
      <c r="AB121" s="29">
        <f>IF(A121&gt;HU_T,0,AB120*(1+interestRate)+X121+Z121+AA121)</f>
        <v/>
      </c>
      <c r="AC121" s="29">
        <f>IF(A121&gt;HU_T,0,HU_inv*EXP(HU_mu*A121))</f>
        <v/>
      </c>
      <c r="AD121" s="29">
        <f>IF(A121&gt;HU_T,0,MAX(0,AC121+AB121))</f>
        <v/>
      </c>
      <c r="AE121" s="29">
        <f>IF(A121&gt;HU_T,0,MAX(0,X121-Y121))</f>
        <v/>
      </c>
      <c r="AF121" s="63">
        <f>IF(AND($J$6,A121&gt;=1,A121&lt;=$Q$6-1),J121,0)</f>
        <v/>
      </c>
      <c r="AG121" s="29">
        <f>IF(OR(AF121=0,$S$6=0),0,IF((AD121+$L$6)&gt;$S$6/HU_alpha+$K$6,0.5*$S$6/HU_alpha,IF((AD121+$L$6)&gt;=$K$6,((AD121+$L$6)-$K$6)-0.5*HU_alpha/$S$6*((AD121+$L$6)-$K$6)^2,IF((AD121+$L$6)&gt;=$T$6,HU_beta*((AD121+$L$6)-$K$6),HU_beta*($T$6-$K$6)))))</f>
        <v/>
      </c>
      <c r="AH121" s="29">
        <f>IF(OR(AF121=0,$S$6=0),0,IF((AD121+$L$6+$N$6)&gt;$S$6/HU_alpha+$K$6,0.5*$S$6/HU_alpha,IF((AD121+$L$6+$N$6)&gt;=$K$6,((AD121+$L$6+$N$6)-$K$6)-0.5*HU_alpha/$S$6*((AD121+$L$6+$N$6)-$K$6)^2,IF((AD121+$L$6+$N$6)&gt;=$T$6,HU_beta*((AD121+$L$6+$N$6)-$K$6),HU_beta*($T$6-$K$6)))))</f>
        <v/>
      </c>
      <c r="AI121" s="29">
        <f>IF(OR(AF121=0,$S$6=0),0,IF((AD121+$K$6)&gt;$S$6/HU_alpha+$K$6,0.5*$S$6/HU_alpha,IF((AD121+$K$6)&gt;=$K$6,((AD121+$K$6)-$K$6)-0.5*HU_alpha/$S$6*((AD121+$K$6)-$K$6)^2,IF((AD121+$K$6)&gt;=$T$6,HU_beta*((AD121+$K$6)-$K$6),HU_beta*($T$6-$K$6)))))</f>
        <v/>
      </c>
      <c r="AJ121" s="63">
        <f>IF(AND($J$7,A121&gt;=1,A121&lt;=$Q$7-1),J121,0)</f>
        <v/>
      </c>
      <c r="AK121" s="29">
        <f>IF(OR(AJ121=0,$S$7=0),0,IF((AE121+$L$7)&gt;$S$7/HU_alpha+$K$7,0.5*$S$7/HU_alpha,IF((AE121+$L$7)&gt;=$K$7,((AE121+$L$7)-$K$7)-0.5*HU_alpha/$S$7*((AE121+$L$7)-$K$7)^2,IF((AE121+$L$7)&gt;=$T$7,HU_beta*((AE121+$L$7)-$K$7),HU_beta*($T$7-$K$7)))))</f>
        <v/>
      </c>
      <c r="AL121" s="29">
        <f>IF(OR(AJ121=0,$S$7=0),0,IF((AE121+$L$7+$N$7)&gt;$S$7/HU_alpha+$K$7,0.5*$S$7/HU_alpha,IF((AE121+$L$7+$N$7)&gt;=$K$7,((AE121+$L$7+$N$7)-$K$7)-0.5*HU_alpha/$S$7*((AE121+$L$7+$N$7)-$K$7)^2,IF((AE121+$L$7+$N$7)&gt;=$T$7,HU_beta*((AE121+$L$7+$N$7)-$K$7),HU_beta*($T$7-$K$7)))))</f>
        <v/>
      </c>
      <c r="AM121" s="29">
        <f>IF(OR(AJ121=0,$S$7=0),0,IF((AE121+$K$7)&gt;$S$7/HU_alpha+$K$7,0.5*$S$7/HU_alpha,IF((AE121+$K$7)&gt;=$K$7,((AE121+$K$7)-$K$7)-0.5*HU_alpha/$S$7*((AE121+$K$7)-$K$7)^2,IF((AE121+$K$7)&gt;=$T$7,HU_beta*((AE121+$K$7)-$K$7),HU_beta*($T$7-$K$7)))))</f>
        <v/>
      </c>
      <c r="AN121" s="63">
        <f>IF(AND($J$8,A121&gt;=1,A121&lt;=$Q$8-1),J121,0)</f>
        <v/>
      </c>
      <c r="AO121" s="29">
        <f>IF(OR(AN121=0,$S$8=0),0,IF((AE121+$L$8)&gt;$S$8/HU_alpha+$K$8,0.5*$S$8/HU_alpha,IF((AE121+$L$8)&gt;=$K$8,((AE121+$L$8)-$K$8)-0.5*HU_alpha/$S$8*((AE121+$L$8)-$K$8)^2,IF((AE121+$L$8)&gt;=$T$8,HU_beta*((AE121+$L$8)-$K$8),HU_beta*($T$8-$K$8)))))</f>
        <v/>
      </c>
      <c r="AP121" s="29">
        <f>IF(OR(AN121=0,$S$8=0),0,IF((AE121+$L$8+$N$8)&gt;$S$8/HU_alpha+$K$8,0.5*$S$8/HU_alpha,IF((AE121+$L$8+$N$8)&gt;=$K$8,((AE121+$L$8+$N$8)-$K$8)-0.5*HU_alpha/$S$8*((AE121+$L$8+$N$8)-$K$8)^2,IF((AE121+$L$8+$N$8)&gt;=$T$8,HU_beta*((AE121+$L$8+$N$8)-$K$8),HU_beta*($T$8-$K$8)))))</f>
        <v/>
      </c>
      <c r="AQ121" s="29">
        <f>IF(OR(AN121=0,$S$8=0),0,IF((AE121+$K$8)&gt;$S$8/HU_alpha+$K$8,0.5*$S$8/HU_alpha,IF((AE121+$K$8)&gt;=$K$8,((AE121+$K$8)-$K$8)-0.5*HU_alpha/$S$8*((AE121+$K$8)-$K$8)^2,IF((AE121+$K$8)&gt;=$T$8,HU_beta*((AE121+$K$8)-$K$8),HU_beta*($T$8-$K$8)))))</f>
        <v/>
      </c>
      <c r="AR121" s="63">
        <f>IF(AND($J$9,A121&gt;=1,A121&lt;=$Q$9-1),J121,0)</f>
        <v/>
      </c>
      <c r="AS121" s="29">
        <f>IF(OR(AR121=0,$S$9=0),0,IF((AE121+$L$9)&gt;$S$9/HU_alpha+$K$9,0.5*$S$9/HU_alpha,IF((AE121+$L$9)&gt;=$K$9,((AE121+$L$9)-$K$9)-0.5*HU_alpha/$S$9*((AE121+$L$9)-$K$9)^2,IF((AE121+$L$9)&gt;=$T$9,HU_beta*((AE121+$L$9)-$K$9),HU_beta*($T$9-$K$9)))))</f>
        <v/>
      </c>
      <c r="AT121" s="29">
        <f>IF(OR(AR121=0,$S$9=0),0,IF((AE121+$L$9+$N$9)&gt;$S$9/HU_alpha+$K$9,0.5*$S$9/HU_alpha,IF((AE121+$L$9+$N$9)&gt;=$K$9,((AE121+$L$9+$N$9)-$K$9)-0.5*HU_alpha/$S$9*((AE121+$L$9+$N$9)-$K$9)^2,IF((AE121+$L$9+$N$9)&gt;=$T$9,HU_beta*((AE121+$L$9+$N$9)-$K$9),HU_beta*($T$9-$K$9)))))</f>
        <v/>
      </c>
      <c r="AU121" s="29">
        <f>IF(OR(AR121=0,$S$9=0),0,IF((AE121+$K$9)&gt;$S$9/HU_alpha+$K$9,0.5*$S$9/HU_alpha,IF((AE121+$K$9)&gt;=$K$9,((AE121+$K$9)-$K$9)-0.5*HU_alpha/$S$9*((AE121+$K$9)-$K$9)^2,IF((AE121+$K$9)&gt;=$T$9,HU_beta*((AE121+$K$9)-$K$9),HU_beta*($T$9-$K$9)))))</f>
        <v/>
      </c>
      <c r="AV121" s="63">
        <f>IF(AND($J$10,A121=$Q$10),J121,0)</f>
        <v/>
      </c>
      <c r="AW121" s="29">
        <f>IF(OR(AV121=0,$S$10=0),0,IF((AD121+$L$10)&gt;$S$10/HU_alpha+$K$10,0.5*$S$10/HU_alpha,IF((AD121+$L$10)&gt;=$K$10,((AD121+$L$10)-$K$10)-0.5*HU_alpha/$S$10*((AD121+$L$10)-$K$10)^2,IF((AD121+$L$10)&gt;=$T$10,HU_beta*((AD121+$L$10)-$K$10),HU_beta*($T$10-$K$10)))))</f>
        <v/>
      </c>
      <c r="AX121" s="29">
        <f>IF(OR(AV121=0,$S$10=0),0,IF((AD121+$L$10+$N$10)&gt;$S$10/HU_alpha+$K$10,0.5*$S$10/HU_alpha,IF((AD121+$L$10+$N$10)&gt;=$K$10,((AD121+$L$10+$N$10)-$K$10)-0.5*HU_alpha/$S$10*((AD121+$L$10+$N$10)-$K$10)^2,IF((AD121+$L$10+$N$10)&gt;=$T$10,HU_beta*((AD121+$L$10+$N$10)-$K$10),HU_beta*($T$10-$K$10)))))</f>
        <v/>
      </c>
      <c r="AY121" s="29">
        <f>IF(OR(AV121=0,$S$10=0),0,IF((AD121+$K$10)&gt;$S$10/HU_alpha+$K$10,0.5*$S$10/HU_alpha,IF((AD121+$K$10)&gt;=$K$10,((AD121+$K$10)-$K$10)-0.5*HU_alpha/$S$10*((AD121+$K$10)-$K$10)^2,IF((AD121+$K$10)&gt;=$T$10,HU_beta*((AD121+$K$10)-$K$10),HU_beta*($T$10-$K$10)))))</f>
        <v/>
      </c>
      <c r="AZ121" s="63">
        <f>IF(AND($J$11,A121=$Q$11),J121,0)</f>
        <v/>
      </c>
      <c r="BA121" s="29">
        <f>IF(OR(AZ121=0,$S$11=0),0,IF((AE121+$L$11)&gt;$S$11/HU_alpha+$K$11,0.5*$S$11/HU_alpha,IF((AE121+$L$11)&gt;=$K$11,((AE121+$L$11)-$K$11)-0.5*HU_alpha/$S$11*((AE121+$L$11)-$K$11)^2,IF((AE121+$L$11)&gt;=$T$11,HU_beta*((AE121+$L$11)-$K$11),HU_beta*($T$11-$K$11)))))</f>
        <v/>
      </c>
      <c r="BB121" s="29">
        <f>IF(OR(AZ121=0,$S$11=0),0,IF((AE121+$L$11+$N$11)&gt;$S$11/HU_alpha+$K$11,0.5*$S$11/HU_alpha,IF((AE121+$L$11+$N$11)&gt;=$K$11,((AE121+$L$11+$N$11)-$K$11)-0.5*HU_alpha/$S$11*((AE121+$L$11+$N$11)-$K$11)^2,IF((AE121+$L$11+$N$11)&gt;=$T$11,HU_beta*((AE121+$L$11+$N$11)-$K$11),HU_beta*($T$11-$K$11)))))</f>
        <v/>
      </c>
      <c r="BC121" s="29">
        <f>IF(OR(AZ121=0,$S$11=0),0,IF((AE121+$K$11)&gt;$S$11/HU_alpha+$K$11,0.5*$S$11/HU_alpha,IF((AE121+$K$11)&gt;=$K$11,((AE121+$K$11)-$K$11)-0.5*HU_alpha/$S$11*((AE121+$K$11)-$K$11)^2,IF((AE121+$K$11)&gt;=$T$11,HU_beta*((AE121+$K$11)-$K$11),HU_beta*($T$11-$K$11)))))</f>
        <v/>
      </c>
      <c r="BD121" s="63">
        <f>IF(AND($J$12,A121=$Q$12),J121,0)</f>
        <v/>
      </c>
      <c r="BE121" s="29">
        <f>IF(OR(BD121=0,$S$12=0),0,IF((AE121+$L$12)&gt;$S$12/HU_alpha+$K$12,0.5*$S$12/HU_alpha,IF((AE121+$L$12)&gt;=$K$12,((AE121+$L$12)-$K$12)-0.5*HU_alpha/$S$12*((AE121+$L$12)-$K$12)^2,IF((AE121+$L$12)&gt;=$T$12,HU_beta*((AE121+$L$12)-$K$12),HU_beta*($T$12-$K$12)))))</f>
        <v/>
      </c>
      <c r="BF121" s="29">
        <f>IF(OR(BD121=0,$S$12=0),0,IF((AE121+$L$12+$N$12)&gt;$S$12/HU_alpha+$K$12,0.5*$S$12/HU_alpha,IF((AE121+$L$12+$N$12)&gt;=$K$12,((AE121+$L$12+$N$12)-$K$12)-0.5*HU_alpha/$S$12*((AE121+$L$12+$N$12)-$K$12)^2,IF((AE121+$L$12+$N$12)&gt;=$T$12,HU_beta*((AE121+$L$12+$N$12)-$K$12),HU_beta*($T$12-$K$12)))))</f>
        <v/>
      </c>
      <c r="BG121" s="29">
        <f>IF(OR(BD121=0,$S$12=0),0,IF((AE121+$K$12)&gt;$S$12/HU_alpha+$K$12,0.5*$S$12/HU_alpha,IF((AE121+$K$12)&gt;=$K$12,((AE121+$K$12)-$K$12)-0.5*HU_alpha/$S$12*((AE121+$K$12)-$K$12)^2,IF((AE121+$K$12)&gt;=$T$12,HU_beta*((AE121+$K$12)-$K$12),HU_beta*($T$12-$K$12)))))</f>
        <v/>
      </c>
      <c r="BH121" s="63">
        <f>IF(AND($J$13,A121=$Q$13),J121,0)</f>
        <v/>
      </c>
      <c r="BI121" s="29">
        <f>IF(OR(BH121=0,$S$13=0),0,IF((AE121+$L$13)&gt;$S$13/HU_alpha+$K$13,0.5*$S$13/HU_alpha,IF((AE121+$L$13)&gt;=$K$13,((AE121+$L$13)-$K$13)-0.5*HU_alpha/$S$13*((AE121+$L$13)-$K$13)^2,IF((AE121+$L$13)&gt;=$T$13,HU_beta*((AE121+$L$13)-$K$13),HU_beta*($T$13-$K$13)))))</f>
        <v/>
      </c>
      <c r="BJ121" s="29">
        <f>IF(OR(BH121=0,$S$13=0),0,IF((AE121+$L$13+$N$13)&gt;$S$13/HU_alpha+$K$13,0.5*$S$13/HU_alpha,IF((AE121+$L$13+$N$13)&gt;=$K$13,((AE121+$L$13+$N$13)-$K$13)-0.5*HU_alpha/$S$13*((AE121+$L$13+$N$13)-$K$13)^2,IF((AE121+$L$13+$N$13)&gt;=$T$13,HU_beta*((AE121+$L$13+$N$13)-$K$13),HU_beta*($T$13-$K$13)))))</f>
        <v/>
      </c>
      <c r="BK121" s="29">
        <f>IF(OR(BH121=0,$S$13=0),0,IF((AE121+$K$13)&gt;$S$13/HU_alpha+$K$13,0.5*$S$13/HU_alpha,IF((AE121+$K$13)&gt;=$K$13,((AE121+$K$13)-$K$13)-0.5*HU_alpha/$S$13*((AE121+$K$13)-$K$13)^2,IF((AE121+$K$13)&gt;=$T$13,HU_beta*((AE121+$K$13)-$K$13),HU_beta*($T$13-$K$13)))))</f>
        <v/>
      </c>
    </row>
    <row r="122">
      <c r="A122" s="61" t="n">
        <v>54</v>
      </c>
      <c r="B122" s="61">
        <f>HU_age+A122</f>
        <v/>
      </c>
      <c r="C122" s="52">
        <f>A122&lt;=HU_T</f>
        <v/>
      </c>
      <c r="D122" s="63">
        <f>IF(OR(A122&lt;1,A122&gt;HU_T),0,INDEX(HU_q_mort,HU_age+A122-17,HU_col))</f>
        <v/>
      </c>
      <c r="E122" s="63">
        <f>IF(OR(A122&lt;1,A122&gt;HU_T),0,INDEX(HU_q_adb,HU_age+A122-17,HU_col))</f>
        <v/>
      </c>
      <c r="F122" s="63">
        <f>IF(OR(A122&lt;1,A122&gt;HU_T),0,INDEX(HU_q_morb,HU_age+A122-17,HU_col))</f>
        <v/>
      </c>
      <c r="G122" s="63">
        <f>IF(OR(A122&lt;1,A122&gt;HU_T),0,INDEX(HU_q_ptd,HU_age+A122-17,HU_col))</f>
        <v/>
      </c>
      <c r="H122" s="63">
        <f>IF(OR(A122&lt;1,A122&gt;HU_T),0,INDEX(HU_q_dis,HU_age+A122-17,HU_col))</f>
        <v/>
      </c>
      <c r="I122" s="63">
        <f>IF(A122&gt;HU_T,0,I121*(1-D122)*(1-E122))</f>
        <v/>
      </c>
      <c r="J122" s="63">
        <f>IF(A122&gt;=HU_T,0,N(I123))</f>
        <v/>
      </c>
      <c r="K122" s="63">
        <f>K121*(1-G122)</f>
        <v/>
      </c>
      <c r="L122" s="63">
        <f>1-K122</f>
        <v/>
      </c>
      <c r="M122" s="63">
        <f>K121*G122</f>
        <v/>
      </c>
      <c r="N122" s="63">
        <f>N121*(1-H122)</f>
        <v/>
      </c>
      <c r="O122" s="63">
        <f>1-N121</f>
        <v/>
      </c>
      <c r="P122" s="63">
        <f>P121*(1-F122)</f>
        <v/>
      </c>
      <c r="Q122" s="63">
        <f>1-P121/INDEX($P$68:$P$150,MAX(1,A122-HU_ciYears))</f>
        <v/>
      </c>
      <c r="R122" s="60">
        <f>(1+inflationRate)^A122</f>
        <v/>
      </c>
      <c r="S122" s="29">
        <f>IF(OR(OR(A122&lt;1,A122&gt;HU_T),A122-1&gt;=HU_dtr),0,HU_inc0*(1+incomeGrowthRate)^A122)</f>
        <v/>
      </c>
      <c r="T122" s="60">
        <f>IF(A122&gt;HU_T,T121,T121*(1+INDEX(HU_ssG,HU_age+A122-17)))</f>
        <v/>
      </c>
      <c r="U122" s="29">
        <f>IF(AND(HU_dtr&gt;=1,A122=HU_dtr,A122&lt;=HU_T),MIN(S122*INDEX(HU_ssC,HU_age+A122-17)/(1-INDEX(HU_ssC,HU_age+A122-17)),INDEX(HU_ssCap,HU_age+A122-17))*T122,0)</f>
        <v/>
      </c>
      <c r="V122" s="29">
        <f>S122+U122+IF(AND(HU_wdOn,A122=HU_wdYear),HU_wdIncome,0)</f>
        <v/>
      </c>
      <c r="W122" s="60">
        <f>HU_ciProp*Q122+HU_tpdCut*L122+HU_disCut*O122</f>
        <v/>
      </c>
      <c r="X122" s="29">
        <f>IF(OR(A122&lt;1,A122&gt;HU_T),0,V122*(1-W122))</f>
        <v/>
      </c>
      <c r="Y122" s="29">
        <f>IF(OR(A122&lt;1,A122&gt;HU_T),0,IF(AND(HU_retExp&gt;0,A122-1&gt;=HU_dtr),HU_retExp,HU_exp0)*R122)</f>
        <v/>
      </c>
      <c r="Z122" s="29">
        <f>-Y122-IF(AND(HU_wdOn,A122=HU_wdYear),HU_wdOut,0)</f>
        <v/>
      </c>
      <c r="AA122" s="29">
        <f>IF(OR(A122&lt;1,A122&gt;HU_T),0,-HU_medCost*R122*F122-HU_tpdCost*R122*M122)</f>
        <v/>
      </c>
      <c r="AB122" s="29">
        <f>IF(A122&gt;HU_T,0,AB121*(1+interestRate)+X122+Z122+AA122)</f>
        <v/>
      </c>
      <c r="AC122" s="29">
        <f>IF(A122&gt;HU_T,0,HU_inv*EXP(HU_mu*A122))</f>
        <v/>
      </c>
      <c r="AD122" s="29">
        <f>IF(A122&gt;HU_T,0,MAX(0,AC122+AB122))</f>
        <v/>
      </c>
      <c r="AE122" s="29">
        <f>IF(A122&gt;HU_T,0,MAX(0,X122-Y122))</f>
        <v/>
      </c>
      <c r="AF122" s="63">
        <f>IF(AND($J$6,A122&gt;=1,A122&lt;=$Q$6-1),J122,0)</f>
        <v/>
      </c>
      <c r="AG122" s="29">
        <f>IF(OR(AF122=0,$S$6=0),0,IF((AD122+$L$6)&gt;$S$6/HU_alpha+$K$6,0.5*$S$6/HU_alpha,IF((AD122+$L$6)&gt;=$K$6,((AD122+$L$6)-$K$6)-0.5*HU_alpha/$S$6*((AD122+$L$6)-$K$6)^2,IF((AD122+$L$6)&gt;=$T$6,HU_beta*((AD122+$L$6)-$K$6),HU_beta*($T$6-$K$6)))))</f>
        <v/>
      </c>
      <c r="AH122" s="29">
        <f>IF(OR(AF122=0,$S$6=0),0,IF((AD122+$L$6+$N$6)&gt;$S$6/HU_alpha+$K$6,0.5*$S$6/HU_alpha,IF((AD122+$L$6+$N$6)&gt;=$K$6,((AD122+$L$6+$N$6)-$K$6)-0.5*HU_alpha/$S$6*((AD122+$L$6+$N$6)-$K$6)^2,IF((AD122+$L$6+$N$6)&gt;=$T$6,HU_beta*((AD122+$L$6+$N$6)-$K$6),HU_beta*($T$6-$K$6)))))</f>
        <v/>
      </c>
      <c r="AI122" s="29">
        <f>IF(OR(AF122=0,$S$6=0),0,IF((AD122+$K$6)&gt;$S$6/HU_alpha+$K$6,0.5*$S$6/HU_alpha,IF((AD122+$K$6)&gt;=$K$6,((AD122+$K$6)-$K$6)-0.5*HU_alpha/$S$6*((AD122+$K$6)-$K$6)^2,IF((AD122+$K$6)&gt;=$T$6,HU_beta*((AD122+$K$6)-$K$6),HU_beta*($T$6-$K$6)))))</f>
        <v/>
      </c>
      <c r="AJ122" s="63">
        <f>IF(AND($J$7,A122&gt;=1,A122&lt;=$Q$7-1),J122,0)</f>
        <v/>
      </c>
      <c r="AK122" s="29">
        <f>IF(OR(AJ122=0,$S$7=0),0,IF((AE122+$L$7)&gt;$S$7/HU_alpha+$K$7,0.5*$S$7/HU_alpha,IF((AE122+$L$7)&gt;=$K$7,((AE122+$L$7)-$K$7)-0.5*HU_alpha/$S$7*((AE122+$L$7)-$K$7)^2,IF((AE122+$L$7)&gt;=$T$7,HU_beta*((AE122+$L$7)-$K$7),HU_beta*($T$7-$K$7)))))</f>
        <v/>
      </c>
      <c r="AL122" s="29">
        <f>IF(OR(AJ122=0,$S$7=0),0,IF((AE122+$L$7+$N$7)&gt;$S$7/HU_alpha+$K$7,0.5*$S$7/HU_alpha,IF((AE122+$L$7+$N$7)&gt;=$K$7,((AE122+$L$7+$N$7)-$K$7)-0.5*HU_alpha/$S$7*((AE122+$L$7+$N$7)-$K$7)^2,IF((AE122+$L$7+$N$7)&gt;=$T$7,HU_beta*((AE122+$L$7+$N$7)-$K$7),HU_beta*($T$7-$K$7)))))</f>
        <v/>
      </c>
      <c r="AM122" s="29">
        <f>IF(OR(AJ122=0,$S$7=0),0,IF((AE122+$K$7)&gt;$S$7/HU_alpha+$K$7,0.5*$S$7/HU_alpha,IF((AE122+$K$7)&gt;=$K$7,((AE122+$K$7)-$K$7)-0.5*HU_alpha/$S$7*((AE122+$K$7)-$K$7)^2,IF((AE122+$K$7)&gt;=$T$7,HU_beta*((AE122+$K$7)-$K$7),HU_beta*($T$7-$K$7)))))</f>
        <v/>
      </c>
      <c r="AN122" s="63">
        <f>IF(AND($J$8,A122&gt;=1,A122&lt;=$Q$8-1),J122,0)</f>
        <v/>
      </c>
      <c r="AO122" s="29">
        <f>IF(OR(AN122=0,$S$8=0),0,IF((AE122+$L$8)&gt;$S$8/HU_alpha+$K$8,0.5*$S$8/HU_alpha,IF((AE122+$L$8)&gt;=$K$8,((AE122+$L$8)-$K$8)-0.5*HU_alpha/$S$8*((AE122+$L$8)-$K$8)^2,IF((AE122+$L$8)&gt;=$T$8,HU_beta*((AE122+$L$8)-$K$8),HU_beta*($T$8-$K$8)))))</f>
        <v/>
      </c>
      <c r="AP122" s="29">
        <f>IF(OR(AN122=0,$S$8=0),0,IF((AE122+$L$8+$N$8)&gt;$S$8/HU_alpha+$K$8,0.5*$S$8/HU_alpha,IF((AE122+$L$8+$N$8)&gt;=$K$8,((AE122+$L$8+$N$8)-$K$8)-0.5*HU_alpha/$S$8*((AE122+$L$8+$N$8)-$K$8)^2,IF((AE122+$L$8+$N$8)&gt;=$T$8,HU_beta*((AE122+$L$8+$N$8)-$K$8),HU_beta*($T$8-$K$8)))))</f>
        <v/>
      </c>
      <c r="AQ122" s="29">
        <f>IF(OR(AN122=0,$S$8=0),0,IF((AE122+$K$8)&gt;$S$8/HU_alpha+$K$8,0.5*$S$8/HU_alpha,IF((AE122+$K$8)&gt;=$K$8,((AE122+$K$8)-$K$8)-0.5*HU_alpha/$S$8*((AE122+$K$8)-$K$8)^2,IF((AE122+$K$8)&gt;=$T$8,HU_beta*((AE122+$K$8)-$K$8),HU_beta*($T$8-$K$8)))))</f>
        <v/>
      </c>
      <c r="AR122" s="63">
        <f>IF(AND($J$9,A122&gt;=1,A122&lt;=$Q$9-1),J122,0)</f>
        <v/>
      </c>
      <c r="AS122" s="29">
        <f>IF(OR(AR122=0,$S$9=0),0,IF((AE122+$L$9)&gt;$S$9/HU_alpha+$K$9,0.5*$S$9/HU_alpha,IF((AE122+$L$9)&gt;=$K$9,((AE122+$L$9)-$K$9)-0.5*HU_alpha/$S$9*((AE122+$L$9)-$K$9)^2,IF((AE122+$L$9)&gt;=$T$9,HU_beta*((AE122+$L$9)-$K$9),HU_beta*($T$9-$K$9)))))</f>
        <v/>
      </c>
      <c r="AT122" s="29">
        <f>IF(OR(AR122=0,$S$9=0),0,IF((AE122+$L$9+$N$9)&gt;$S$9/HU_alpha+$K$9,0.5*$S$9/HU_alpha,IF((AE122+$L$9+$N$9)&gt;=$K$9,((AE122+$L$9+$N$9)-$K$9)-0.5*HU_alpha/$S$9*((AE122+$L$9+$N$9)-$K$9)^2,IF((AE122+$L$9+$N$9)&gt;=$T$9,HU_beta*((AE122+$L$9+$N$9)-$K$9),HU_beta*($T$9-$K$9)))))</f>
        <v/>
      </c>
      <c r="AU122" s="29">
        <f>IF(OR(AR122=0,$S$9=0),0,IF((AE122+$K$9)&gt;$S$9/HU_alpha+$K$9,0.5*$S$9/HU_alpha,IF((AE122+$K$9)&gt;=$K$9,((AE122+$K$9)-$K$9)-0.5*HU_alpha/$S$9*((AE122+$K$9)-$K$9)^2,IF((AE122+$K$9)&gt;=$T$9,HU_beta*((AE122+$K$9)-$K$9),HU_beta*($T$9-$K$9)))))</f>
        <v/>
      </c>
      <c r="AV122" s="63">
        <f>IF(AND($J$10,A122=$Q$10),J122,0)</f>
        <v/>
      </c>
      <c r="AW122" s="29">
        <f>IF(OR(AV122=0,$S$10=0),0,IF((AD122+$L$10)&gt;$S$10/HU_alpha+$K$10,0.5*$S$10/HU_alpha,IF((AD122+$L$10)&gt;=$K$10,((AD122+$L$10)-$K$10)-0.5*HU_alpha/$S$10*((AD122+$L$10)-$K$10)^2,IF((AD122+$L$10)&gt;=$T$10,HU_beta*((AD122+$L$10)-$K$10),HU_beta*($T$10-$K$10)))))</f>
        <v/>
      </c>
      <c r="AX122" s="29">
        <f>IF(OR(AV122=0,$S$10=0),0,IF((AD122+$L$10+$N$10)&gt;$S$10/HU_alpha+$K$10,0.5*$S$10/HU_alpha,IF((AD122+$L$10+$N$10)&gt;=$K$10,((AD122+$L$10+$N$10)-$K$10)-0.5*HU_alpha/$S$10*((AD122+$L$10+$N$10)-$K$10)^2,IF((AD122+$L$10+$N$10)&gt;=$T$10,HU_beta*((AD122+$L$10+$N$10)-$K$10),HU_beta*($T$10-$K$10)))))</f>
        <v/>
      </c>
      <c r="AY122" s="29">
        <f>IF(OR(AV122=0,$S$10=0),0,IF((AD122+$K$10)&gt;$S$10/HU_alpha+$K$10,0.5*$S$10/HU_alpha,IF((AD122+$K$10)&gt;=$K$10,((AD122+$K$10)-$K$10)-0.5*HU_alpha/$S$10*((AD122+$K$10)-$K$10)^2,IF((AD122+$K$10)&gt;=$T$10,HU_beta*((AD122+$K$10)-$K$10),HU_beta*($T$10-$K$10)))))</f>
        <v/>
      </c>
      <c r="AZ122" s="63">
        <f>IF(AND($J$11,A122=$Q$11),J122,0)</f>
        <v/>
      </c>
      <c r="BA122" s="29">
        <f>IF(OR(AZ122=0,$S$11=0),0,IF((AE122+$L$11)&gt;$S$11/HU_alpha+$K$11,0.5*$S$11/HU_alpha,IF((AE122+$L$11)&gt;=$K$11,((AE122+$L$11)-$K$11)-0.5*HU_alpha/$S$11*((AE122+$L$11)-$K$11)^2,IF((AE122+$L$11)&gt;=$T$11,HU_beta*((AE122+$L$11)-$K$11),HU_beta*($T$11-$K$11)))))</f>
        <v/>
      </c>
      <c r="BB122" s="29">
        <f>IF(OR(AZ122=0,$S$11=0),0,IF((AE122+$L$11+$N$11)&gt;$S$11/HU_alpha+$K$11,0.5*$S$11/HU_alpha,IF((AE122+$L$11+$N$11)&gt;=$K$11,((AE122+$L$11+$N$11)-$K$11)-0.5*HU_alpha/$S$11*((AE122+$L$11+$N$11)-$K$11)^2,IF((AE122+$L$11+$N$11)&gt;=$T$11,HU_beta*((AE122+$L$11+$N$11)-$K$11),HU_beta*($T$11-$K$11)))))</f>
        <v/>
      </c>
      <c r="BC122" s="29">
        <f>IF(OR(AZ122=0,$S$11=0),0,IF((AE122+$K$11)&gt;$S$11/HU_alpha+$K$11,0.5*$S$11/HU_alpha,IF((AE122+$K$11)&gt;=$K$11,((AE122+$K$11)-$K$11)-0.5*HU_alpha/$S$11*((AE122+$K$11)-$K$11)^2,IF((AE122+$K$11)&gt;=$T$11,HU_beta*((AE122+$K$11)-$K$11),HU_beta*($T$11-$K$11)))))</f>
        <v/>
      </c>
      <c r="BD122" s="63">
        <f>IF(AND($J$12,A122=$Q$12),J122,0)</f>
        <v/>
      </c>
      <c r="BE122" s="29">
        <f>IF(OR(BD122=0,$S$12=0),0,IF((AE122+$L$12)&gt;$S$12/HU_alpha+$K$12,0.5*$S$12/HU_alpha,IF((AE122+$L$12)&gt;=$K$12,((AE122+$L$12)-$K$12)-0.5*HU_alpha/$S$12*((AE122+$L$12)-$K$12)^2,IF((AE122+$L$12)&gt;=$T$12,HU_beta*((AE122+$L$12)-$K$12),HU_beta*($T$12-$K$12)))))</f>
        <v/>
      </c>
      <c r="BF122" s="29">
        <f>IF(OR(BD122=0,$S$12=0),0,IF((AE122+$L$12+$N$12)&gt;$S$12/HU_alpha+$K$12,0.5*$S$12/HU_alpha,IF((AE122+$L$12+$N$12)&gt;=$K$12,((AE122+$L$12+$N$12)-$K$12)-0.5*HU_alpha/$S$12*((AE122+$L$12+$N$12)-$K$12)^2,IF((AE122+$L$12+$N$12)&gt;=$T$12,HU_beta*((AE122+$L$12+$N$12)-$K$12),HU_beta*($T$12-$K$12)))))</f>
        <v/>
      </c>
      <c r="BG122" s="29">
        <f>IF(OR(BD122=0,$S$12=0),0,IF((AE122+$K$12)&gt;$S$12/HU_alpha+$K$12,0.5*$S$12/HU_alpha,IF((AE122+$K$12)&gt;=$K$12,((AE122+$K$12)-$K$12)-0.5*HU_alpha/$S$12*((AE122+$K$12)-$K$12)^2,IF((AE122+$K$12)&gt;=$T$12,HU_beta*((AE122+$K$12)-$K$12),HU_beta*($T$12-$K$12)))))</f>
        <v/>
      </c>
      <c r="BH122" s="63">
        <f>IF(AND($J$13,A122=$Q$13),J122,0)</f>
        <v/>
      </c>
      <c r="BI122" s="29">
        <f>IF(OR(BH122=0,$S$13=0),0,IF((AE122+$L$13)&gt;$S$13/HU_alpha+$K$13,0.5*$S$13/HU_alpha,IF((AE122+$L$13)&gt;=$K$13,((AE122+$L$13)-$K$13)-0.5*HU_alpha/$S$13*((AE122+$L$13)-$K$13)^2,IF((AE122+$L$13)&gt;=$T$13,HU_beta*((AE122+$L$13)-$K$13),HU_beta*($T$13-$K$13)))))</f>
        <v/>
      </c>
      <c r="BJ122" s="29">
        <f>IF(OR(BH122=0,$S$13=0),0,IF((AE122+$L$13+$N$13)&gt;$S$13/HU_alpha+$K$13,0.5*$S$13/HU_alpha,IF((AE122+$L$13+$N$13)&gt;=$K$13,((AE122+$L$13+$N$13)-$K$13)-0.5*HU_alpha/$S$13*((AE122+$L$13+$N$13)-$K$13)^2,IF((AE122+$L$13+$N$13)&gt;=$T$13,HU_beta*((AE122+$L$13+$N$13)-$K$13),HU_beta*($T$13-$K$13)))))</f>
        <v/>
      </c>
      <c r="BK122" s="29">
        <f>IF(OR(BH122=0,$S$13=0),0,IF((AE122+$K$13)&gt;$S$13/HU_alpha+$K$13,0.5*$S$13/HU_alpha,IF((AE122+$K$13)&gt;=$K$13,((AE122+$K$13)-$K$13)-0.5*HU_alpha/$S$13*((AE122+$K$13)-$K$13)^2,IF((AE122+$K$13)&gt;=$T$13,HU_beta*((AE122+$K$13)-$K$13),HU_beta*($T$13-$K$13)))))</f>
        <v/>
      </c>
    </row>
    <row r="123">
      <c r="A123" s="61" t="n">
        <v>55</v>
      </c>
      <c r="B123" s="61">
        <f>HU_age+A123</f>
        <v/>
      </c>
      <c r="C123" s="52">
        <f>A123&lt;=HU_T</f>
        <v/>
      </c>
      <c r="D123" s="63">
        <f>IF(OR(A123&lt;1,A123&gt;HU_T),0,INDEX(HU_q_mort,HU_age+A123-17,HU_col))</f>
        <v/>
      </c>
      <c r="E123" s="63">
        <f>IF(OR(A123&lt;1,A123&gt;HU_T),0,INDEX(HU_q_adb,HU_age+A123-17,HU_col))</f>
        <v/>
      </c>
      <c r="F123" s="63">
        <f>IF(OR(A123&lt;1,A123&gt;HU_T),0,INDEX(HU_q_morb,HU_age+A123-17,HU_col))</f>
        <v/>
      </c>
      <c r="G123" s="63">
        <f>IF(OR(A123&lt;1,A123&gt;HU_T),0,INDEX(HU_q_ptd,HU_age+A123-17,HU_col))</f>
        <v/>
      </c>
      <c r="H123" s="63">
        <f>IF(OR(A123&lt;1,A123&gt;HU_T),0,INDEX(HU_q_dis,HU_age+A123-17,HU_col))</f>
        <v/>
      </c>
      <c r="I123" s="63">
        <f>IF(A123&gt;HU_T,0,I122*(1-D123)*(1-E123))</f>
        <v/>
      </c>
      <c r="J123" s="63">
        <f>IF(A123&gt;=HU_T,0,N(I124))</f>
        <v/>
      </c>
      <c r="K123" s="63">
        <f>K122*(1-G123)</f>
        <v/>
      </c>
      <c r="L123" s="63">
        <f>1-K123</f>
        <v/>
      </c>
      <c r="M123" s="63">
        <f>K122*G123</f>
        <v/>
      </c>
      <c r="N123" s="63">
        <f>N122*(1-H123)</f>
        <v/>
      </c>
      <c r="O123" s="63">
        <f>1-N122</f>
        <v/>
      </c>
      <c r="P123" s="63">
        <f>P122*(1-F123)</f>
        <v/>
      </c>
      <c r="Q123" s="63">
        <f>1-P122/INDEX($P$68:$P$150,MAX(1,A123-HU_ciYears))</f>
        <v/>
      </c>
      <c r="R123" s="60">
        <f>(1+inflationRate)^A123</f>
        <v/>
      </c>
      <c r="S123" s="29">
        <f>IF(OR(OR(A123&lt;1,A123&gt;HU_T),A123-1&gt;=HU_dtr),0,HU_inc0*(1+incomeGrowthRate)^A123)</f>
        <v/>
      </c>
      <c r="T123" s="60">
        <f>IF(A123&gt;HU_T,T122,T122*(1+INDEX(HU_ssG,HU_age+A123-17)))</f>
        <v/>
      </c>
      <c r="U123" s="29">
        <f>IF(AND(HU_dtr&gt;=1,A123=HU_dtr,A123&lt;=HU_T),MIN(S123*INDEX(HU_ssC,HU_age+A123-17)/(1-INDEX(HU_ssC,HU_age+A123-17)),INDEX(HU_ssCap,HU_age+A123-17))*T123,0)</f>
        <v/>
      </c>
      <c r="V123" s="29">
        <f>S123+U123+IF(AND(HU_wdOn,A123=HU_wdYear),HU_wdIncome,0)</f>
        <v/>
      </c>
      <c r="W123" s="60">
        <f>HU_ciProp*Q123+HU_tpdCut*L123+HU_disCut*O123</f>
        <v/>
      </c>
      <c r="X123" s="29">
        <f>IF(OR(A123&lt;1,A123&gt;HU_T),0,V123*(1-W123))</f>
        <v/>
      </c>
      <c r="Y123" s="29">
        <f>IF(OR(A123&lt;1,A123&gt;HU_T),0,IF(AND(HU_retExp&gt;0,A123-1&gt;=HU_dtr),HU_retExp,HU_exp0)*R123)</f>
        <v/>
      </c>
      <c r="Z123" s="29">
        <f>-Y123-IF(AND(HU_wdOn,A123=HU_wdYear),HU_wdOut,0)</f>
        <v/>
      </c>
      <c r="AA123" s="29">
        <f>IF(OR(A123&lt;1,A123&gt;HU_T),0,-HU_medCost*R123*F123-HU_tpdCost*R123*M123)</f>
        <v/>
      </c>
      <c r="AB123" s="29">
        <f>IF(A123&gt;HU_T,0,AB122*(1+interestRate)+X123+Z123+AA123)</f>
        <v/>
      </c>
      <c r="AC123" s="29">
        <f>IF(A123&gt;HU_T,0,HU_inv*EXP(HU_mu*A123))</f>
        <v/>
      </c>
      <c r="AD123" s="29">
        <f>IF(A123&gt;HU_T,0,MAX(0,AC123+AB123))</f>
        <v/>
      </c>
      <c r="AE123" s="29">
        <f>IF(A123&gt;HU_T,0,MAX(0,X123-Y123))</f>
        <v/>
      </c>
      <c r="AF123" s="63">
        <f>IF(AND($J$6,A123&gt;=1,A123&lt;=$Q$6-1),J123,0)</f>
        <v/>
      </c>
      <c r="AG123" s="29">
        <f>IF(OR(AF123=0,$S$6=0),0,IF((AD123+$L$6)&gt;$S$6/HU_alpha+$K$6,0.5*$S$6/HU_alpha,IF((AD123+$L$6)&gt;=$K$6,((AD123+$L$6)-$K$6)-0.5*HU_alpha/$S$6*((AD123+$L$6)-$K$6)^2,IF((AD123+$L$6)&gt;=$T$6,HU_beta*((AD123+$L$6)-$K$6),HU_beta*($T$6-$K$6)))))</f>
        <v/>
      </c>
      <c r="AH123" s="29">
        <f>IF(OR(AF123=0,$S$6=0),0,IF((AD123+$L$6+$N$6)&gt;$S$6/HU_alpha+$K$6,0.5*$S$6/HU_alpha,IF((AD123+$L$6+$N$6)&gt;=$K$6,((AD123+$L$6+$N$6)-$K$6)-0.5*HU_alpha/$S$6*((AD123+$L$6+$N$6)-$K$6)^2,IF((AD123+$L$6+$N$6)&gt;=$T$6,HU_beta*((AD123+$L$6+$N$6)-$K$6),HU_beta*($T$6-$K$6)))))</f>
        <v/>
      </c>
      <c r="AI123" s="29">
        <f>IF(OR(AF123=0,$S$6=0),0,IF((AD123+$K$6)&gt;$S$6/HU_alpha+$K$6,0.5*$S$6/HU_alpha,IF((AD123+$K$6)&gt;=$K$6,((AD123+$K$6)-$K$6)-0.5*HU_alpha/$S$6*((AD123+$K$6)-$K$6)^2,IF((AD123+$K$6)&gt;=$T$6,HU_beta*((AD123+$K$6)-$K$6),HU_beta*($T$6-$K$6)))))</f>
        <v/>
      </c>
      <c r="AJ123" s="63">
        <f>IF(AND($J$7,A123&gt;=1,A123&lt;=$Q$7-1),J123,0)</f>
        <v/>
      </c>
      <c r="AK123" s="29">
        <f>IF(OR(AJ123=0,$S$7=0),0,IF((AE123+$L$7)&gt;$S$7/HU_alpha+$K$7,0.5*$S$7/HU_alpha,IF((AE123+$L$7)&gt;=$K$7,((AE123+$L$7)-$K$7)-0.5*HU_alpha/$S$7*((AE123+$L$7)-$K$7)^2,IF((AE123+$L$7)&gt;=$T$7,HU_beta*((AE123+$L$7)-$K$7),HU_beta*($T$7-$K$7)))))</f>
        <v/>
      </c>
      <c r="AL123" s="29">
        <f>IF(OR(AJ123=0,$S$7=0),0,IF((AE123+$L$7+$N$7)&gt;$S$7/HU_alpha+$K$7,0.5*$S$7/HU_alpha,IF((AE123+$L$7+$N$7)&gt;=$K$7,((AE123+$L$7+$N$7)-$K$7)-0.5*HU_alpha/$S$7*((AE123+$L$7+$N$7)-$K$7)^2,IF((AE123+$L$7+$N$7)&gt;=$T$7,HU_beta*((AE123+$L$7+$N$7)-$K$7),HU_beta*($T$7-$K$7)))))</f>
        <v/>
      </c>
      <c r="AM123" s="29">
        <f>IF(OR(AJ123=0,$S$7=0),0,IF((AE123+$K$7)&gt;$S$7/HU_alpha+$K$7,0.5*$S$7/HU_alpha,IF((AE123+$K$7)&gt;=$K$7,((AE123+$K$7)-$K$7)-0.5*HU_alpha/$S$7*((AE123+$K$7)-$K$7)^2,IF((AE123+$K$7)&gt;=$T$7,HU_beta*((AE123+$K$7)-$K$7),HU_beta*($T$7-$K$7)))))</f>
        <v/>
      </c>
      <c r="AN123" s="63">
        <f>IF(AND($J$8,A123&gt;=1,A123&lt;=$Q$8-1),J123,0)</f>
        <v/>
      </c>
      <c r="AO123" s="29">
        <f>IF(OR(AN123=0,$S$8=0),0,IF((AE123+$L$8)&gt;$S$8/HU_alpha+$K$8,0.5*$S$8/HU_alpha,IF((AE123+$L$8)&gt;=$K$8,((AE123+$L$8)-$K$8)-0.5*HU_alpha/$S$8*((AE123+$L$8)-$K$8)^2,IF((AE123+$L$8)&gt;=$T$8,HU_beta*((AE123+$L$8)-$K$8),HU_beta*($T$8-$K$8)))))</f>
        <v/>
      </c>
      <c r="AP123" s="29">
        <f>IF(OR(AN123=0,$S$8=0),0,IF((AE123+$L$8+$N$8)&gt;$S$8/HU_alpha+$K$8,0.5*$S$8/HU_alpha,IF((AE123+$L$8+$N$8)&gt;=$K$8,((AE123+$L$8+$N$8)-$K$8)-0.5*HU_alpha/$S$8*((AE123+$L$8+$N$8)-$K$8)^2,IF((AE123+$L$8+$N$8)&gt;=$T$8,HU_beta*((AE123+$L$8+$N$8)-$K$8),HU_beta*($T$8-$K$8)))))</f>
        <v/>
      </c>
      <c r="AQ123" s="29">
        <f>IF(OR(AN123=0,$S$8=0),0,IF((AE123+$K$8)&gt;$S$8/HU_alpha+$K$8,0.5*$S$8/HU_alpha,IF((AE123+$K$8)&gt;=$K$8,((AE123+$K$8)-$K$8)-0.5*HU_alpha/$S$8*((AE123+$K$8)-$K$8)^2,IF((AE123+$K$8)&gt;=$T$8,HU_beta*((AE123+$K$8)-$K$8),HU_beta*($T$8-$K$8)))))</f>
        <v/>
      </c>
      <c r="AR123" s="63">
        <f>IF(AND($J$9,A123&gt;=1,A123&lt;=$Q$9-1),J123,0)</f>
        <v/>
      </c>
      <c r="AS123" s="29">
        <f>IF(OR(AR123=0,$S$9=0),0,IF((AE123+$L$9)&gt;$S$9/HU_alpha+$K$9,0.5*$S$9/HU_alpha,IF((AE123+$L$9)&gt;=$K$9,((AE123+$L$9)-$K$9)-0.5*HU_alpha/$S$9*((AE123+$L$9)-$K$9)^2,IF((AE123+$L$9)&gt;=$T$9,HU_beta*((AE123+$L$9)-$K$9),HU_beta*($T$9-$K$9)))))</f>
        <v/>
      </c>
      <c r="AT123" s="29">
        <f>IF(OR(AR123=0,$S$9=0),0,IF((AE123+$L$9+$N$9)&gt;$S$9/HU_alpha+$K$9,0.5*$S$9/HU_alpha,IF((AE123+$L$9+$N$9)&gt;=$K$9,((AE123+$L$9+$N$9)-$K$9)-0.5*HU_alpha/$S$9*((AE123+$L$9+$N$9)-$K$9)^2,IF((AE123+$L$9+$N$9)&gt;=$T$9,HU_beta*((AE123+$L$9+$N$9)-$K$9),HU_beta*($T$9-$K$9)))))</f>
        <v/>
      </c>
      <c r="AU123" s="29">
        <f>IF(OR(AR123=0,$S$9=0),0,IF((AE123+$K$9)&gt;$S$9/HU_alpha+$K$9,0.5*$S$9/HU_alpha,IF((AE123+$K$9)&gt;=$K$9,((AE123+$K$9)-$K$9)-0.5*HU_alpha/$S$9*((AE123+$K$9)-$K$9)^2,IF((AE123+$K$9)&gt;=$T$9,HU_beta*((AE123+$K$9)-$K$9),HU_beta*($T$9-$K$9)))))</f>
        <v/>
      </c>
      <c r="AV123" s="63">
        <f>IF(AND($J$10,A123=$Q$10),J123,0)</f>
        <v/>
      </c>
      <c r="AW123" s="29">
        <f>IF(OR(AV123=0,$S$10=0),0,IF((AD123+$L$10)&gt;$S$10/HU_alpha+$K$10,0.5*$S$10/HU_alpha,IF((AD123+$L$10)&gt;=$K$10,((AD123+$L$10)-$K$10)-0.5*HU_alpha/$S$10*((AD123+$L$10)-$K$10)^2,IF((AD123+$L$10)&gt;=$T$10,HU_beta*((AD123+$L$10)-$K$10),HU_beta*($T$10-$K$10)))))</f>
        <v/>
      </c>
      <c r="AX123" s="29">
        <f>IF(OR(AV123=0,$S$10=0),0,IF((AD123+$L$10+$N$10)&gt;$S$10/HU_alpha+$K$10,0.5*$S$10/HU_alpha,IF((AD123+$L$10+$N$10)&gt;=$K$10,((AD123+$L$10+$N$10)-$K$10)-0.5*HU_alpha/$S$10*((AD123+$L$10+$N$10)-$K$10)^2,IF((AD123+$L$10+$N$10)&gt;=$T$10,HU_beta*((AD123+$L$10+$N$10)-$K$10),HU_beta*($T$10-$K$10)))))</f>
        <v/>
      </c>
      <c r="AY123" s="29">
        <f>IF(OR(AV123=0,$S$10=0),0,IF((AD123+$K$10)&gt;$S$10/HU_alpha+$K$10,0.5*$S$10/HU_alpha,IF((AD123+$K$10)&gt;=$K$10,((AD123+$K$10)-$K$10)-0.5*HU_alpha/$S$10*((AD123+$K$10)-$K$10)^2,IF((AD123+$K$10)&gt;=$T$10,HU_beta*((AD123+$K$10)-$K$10),HU_beta*($T$10-$K$10)))))</f>
        <v/>
      </c>
      <c r="AZ123" s="63">
        <f>IF(AND($J$11,A123=$Q$11),J123,0)</f>
        <v/>
      </c>
      <c r="BA123" s="29">
        <f>IF(OR(AZ123=0,$S$11=0),0,IF((AE123+$L$11)&gt;$S$11/HU_alpha+$K$11,0.5*$S$11/HU_alpha,IF((AE123+$L$11)&gt;=$K$11,((AE123+$L$11)-$K$11)-0.5*HU_alpha/$S$11*((AE123+$L$11)-$K$11)^2,IF((AE123+$L$11)&gt;=$T$11,HU_beta*((AE123+$L$11)-$K$11),HU_beta*($T$11-$K$11)))))</f>
        <v/>
      </c>
      <c r="BB123" s="29">
        <f>IF(OR(AZ123=0,$S$11=0),0,IF((AE123+$L$11+$N$11)&gt;$S$11/HU_alpha+$K$11,0.5*$S$11/HU_alpha,IF((AE123+$L$11+$N$11)&gt;=$K$11,((AE123+$L$11+$N$11)-$K$11)-0.5*HU_alpha/$S$11*((AE123+$L$11+$N$11)-$K$11)^2,IF((AE123+$L$11+$N$11)&gt;=$T$11,HU_beta*((AE123+$L$11+$N$11)-$K$11),HU_beta*($T$11-$K$11)))))</f>
        <v/>
      </c>
      <c r="BC123" s="29">
        <f>IF(OR(AZ123=0,$S$11=0),0,IF((AE123+$K$11)&gt;$S$11/HU_alpha+$K$11,0.5*$S$11/HU_alpha,IF((AE123+$K$11)&gt;=$K$11,((AE123+$K$11)-$K$11)-0.5*HU_alpha/$S$11*((AE123+$K$11)-$K$11)^2,IF((AE123+$K$11)&gt;=$T$11,HU_beta*((AE123+$K$11)-$K$11),HU_beta*($T$11-$K$11)))))</f>
        <v/>
      </c>
      <c r="BD123" s="63">
        <f>IF(AND($J$12,A123=$Q$12),J123,0)</f>
        <v/>
      </c>
      <c r="BE123" s="29">
        <f>IF(OR(BD123=0,$S$12=0),0,IF((AE123+$L$12)&gt;$S$12/HU_alpha+$K$12,0.5*$S$12/HU_alpha,IF((AE123+$L$12)&gt;=$K$12,((AE123+$L$12)-$K$12)-0.5*HU_alpha/$S$12*((AE123+$L$12)-$K$12)^2,IF((AE123+$L$12)&gt;=$T$12,HU_beta*((AE123+$L$12)-$K$12),HU_beta*($T$12-$K$12)))))</f>
        <v/>
      </c>
      <c r="BF123" s="29">
        <f>IF(OR(BD123=0,$S$12=0),0,IF((AE123+$L$12+$N$12)&gt;$S$12/HU_alpha+$K$12,0.5*$S$12/HU_alpha,IF((AE123+$L$12+$N$12)&gt;=$K$12,((AE123+$L$12+$N$12)-$K$12)-0.5*HU_alpha/$S$12*((AE123+$L$12+$N$12)-$K$12)^2,IF((AE123+$L$12+$N$12)&gt;=$T$12,HU_beta*((AE123+$L$12+$N$12)-$K$12),HU_beta*($T$12-$K$12)))))</f>
        <v/>
      </c>
      <c r="BG123" s="29">
        <f>IF(OR(BD123=0,$S$12=0),0,IF((AE123+$K$12)&gt;$S$12/HU_alpha+$K$12,0.5*$S$12/HU_alpha,IF((AE123+$K$12)&gt;=$K$12,((AE123+$K$12)-$K$12)-0.5*HU_alpha/$S$12*((AE123+$K$12)-$K$12)^2,IF((AE123+$K$12)&gt;=$T$12,HU_beta*((AE123+$K$12)-$K$12),HU_beta*($T$12-$K$12)))))</f>
        <v/>
      </c>
      <c r="BH123" s="63">
        <f>IF(AND($J$13,A123=$Q$13),J123,0)</f>
        <v/>
      </c>
      <c r="BI123" s="29">
        <f>IF(OR(BH123=0,$S$13=0),0,IF((AE123+$L$13)&gt;$S$13/HU_alpha+$K$13,0.5*$S$13/HU_alpha,IF((AE123+$L$13)&gt;=$K$13,((AE123+$L$13)-$K$13)-0.5*HU_alpha/$S$13*((AE123+$L$13)-$K$13)^2,IF((AE123+$L$13)&gt;=$T$13,HU_beta*((AE123+$L$13)-$K$13),HU_beta*($T$13-$K$13)))))</f>
        <v/>
      </c>
      <c r="BJ123" s="29">
        <f>IF(OR(BH123=0,$S$13=0),0,IF((AE123+$L$13+$N$13)&gt;$S$13/HU_alpha+$K$13,0.5*$S$13/HU_alpha,IF((AE123+$L$13+$N$13)&gt;=$K$13,((AE123+$L$13+$N$13)-$K$13)-0.5*HU_alpha/$S$13*((AE123+$L$13+$N$13)-$K$13)^2,IF((AE123+$L$13+$N$13)&gt;=$T$13,HU_beta*((AE123+$L$13+$N$13)-$K$13),HU_beta*($T$13-$K$13)))))</f>
        <v/>
      </c>
      <c r="BK123" s="29">
        <f>IF(OR(BH123=0,$S$13=0),0,IF((AE123+$K$13)&gt;$S$13/HU_alpha+$K$13,0.5*$S$13/HU_alpha,IF((AE123+$K$13)&gt;=$K$13,((AE123+$K$13)-$K$13)-0.5*HU_alpha/$S$13*((AE123+$K$13)-$K$13)^2,IF((AE123+$K$13)&gt;=$T$13,HU_beta*((AE123+$K$13)-$K$13),HU_beta*($T$13-$K$13)))))</f>
        <v/>
      </c>
    </row>
    <row r="124">
      <c r="A124" s="61" t="n">
        <v>56</v>
      </c>
      <c r="B124" s="61">
        <f>HU_age+A124</f>
        <v/>
      </c>
      <c r="C124" s="52">
        <f>A124&lt;=HU_T</f>
        <v/>
      </c>
      <c r="D124" s="63">
        <f>IF(OR(A124&lt;1,A124&gt;HU_T),0,INDEX(HU_q_mort,HU_age+A124-17,HU_col))</f>
        <v/>
      </c>
      <c r="E124" s="63">
        <f>IF(OR(A124&lt;1,A124&gt;HU_T),0,INDEX(HU_q_adb,HU_age+A124-17,HU_col))</f>
        <v/>
      </c>
      <c r="F124" s="63">
        <f>IF(OR(A124&lt;1,A124&gt;HU_T),0,INDEX(HU_q_morb,HU_age+A124-17,HU_col))</f>
        <v/>
      </c>
      <c r="G124" s="63">
        <f>IF(OR(A124&lt;1,A124&gt;HU_T),0,INDEX(HU_q_ptd,HU_age+A124-17,HU_col))</f>
        <v/>
      </c>
      <c r="H124" s="63">
        <f>IF(OR(A124&lt;1,A124&gt;HU_T),0,INDEX(HU_q_dis,HU_age+A124-17,HU_col))</f>
        <v/>
      </c>
      <c r="I124" s="63">
        <f>IF(A124&gt;HU_T,0,I123*(1-D124)*(1-E124))</f>
        <v/>
      </c>
      <c r="J124" s="63">
        <f>IF(A124&gt;=HU_T,0,N(I125))</f>
        <v/>
      </c>
      <c r="K124" s="63">
        <f>K123*(1-G124)</f>
        <v/>
      </c>
      <c r="L124" s="63">
        <f>1-K124</f>
        <v/>
      </c>
      <c r="M124" s="63">
        <f>K123*G124</f>
        <v/>
      </c>
      <c r="N124" s="63">
        <f>N123*(1-H124)</f>
        <v/>
      </c>
      <c r="O124" s="63">
        <f>1-N123</f>
        <v/>
      </c>
      <c r="P124" s="63">
        <f>P123*(1-F124)</f>
        <v/>
      </c>
      <c r="Q124" s="63">
        <f>1-P123/INDEX($P$68:$P$150,MAX(1,A124-HU_ciYears))</f>
        <v/>
      </c>
      <c r="R124" s="60">
        <f>(1+inflationRate)^A124</f>
        <v/>
      </c>
      <c r="S124" s="29">
        <f>IF(OR(OR(A124&lt;1,A124&gt;HU_T),A124-1&gt;=HU_dtr),0,HU_inc0*(1+incomeGrowthRate)^A124)</f>
        <v/>
      </c>
      <c r="T124" s="60">
        <f>IF(A124&gt;HU_T,T123,T123*(1+INDEX(HU_ssG,HU_age+A124-17)))</f>
        <v/>
      </c>
      <c r="U124" s="29">
        <f>IF(AND(HU_dtr&gt;=1,A124=HU_dtr,A124&lt;=HU_T),MIN(S124*INDEX(HU_ssC,HU_age+A124-17)/(1-INDEX(HU_ssC,HU_age+A124-17)),INDEX(HU_ssCap,HU_age+A124-17))*T124,0)</f>
        <v/>
      </c>
      <c r="V124" s="29">
        <f>S124+U124+IF(AND(HU_wdOn,A124=HU_wdYear),HU_wdIncome,0)</f>
        <v/>
      </c>
      <c r="W124" s="60">
        <f>HU_ciProp*Q124+HU_tpdCut*L124+HU_disCut*O124</f>
        <v/>
      </c>
      <c r="X124" s="29">
        <f>IF(OR(A124&lt;1,A124&gt;HU_T),0,V124*(1-W124))</f>
        <v/>
      </c>
      <c r="Y124" s="29">
        <f>IF(OR(A124&lt;1,A124&gt;HU_T),0,IF(AND(HU_retExp&gt;0,A124-1&gt;=HU_dtr),HU_retExp,HU_exp0)*R124)</f>
        <v/>
      </c>
      <c r="Z124" s="29">
        <f>-Y124-IF(AND(HU_wdOn,A124=HU_wdYear),HU_wdOut,0)</f>
        <v/>
      </c>
      <c r="AA124" s="29">
        <f>IF(OR(A124&lt;1,A124&gt;HU_T),0,-HU_medCost*R124*F124-HU_tpdCost*R124*M124)</f>
        <v/>
      </c>
      <c r="AB124" s="29">
        <f>IF(A124&gt;HU_T,0,AB123*(1+interestRate)+X124+Z124+AA124)</f>
        <v/>
      </c>
      <c r="AC124" s="29">
        <f>IF(A124&gt;HU_T,0,HU_inv*EXP(HU_mu*A124))</f>
        <v/>
      </c>
      <c r="AD124" s="29">
        <f>IF(A124&gt;HU_T,0,MAX(0,AC124+AB124))</f>
        <v/>
      </c>
      <c r="AE124" s="29">
        <f>IF(A124&gt;HU_T,0,MAX(0,X124-Y124))</f>
        <v/>
      </c>
      <c r="AF124" s="63">
        <f>IF(AND($J$6,A124&gt;=1,A124&lt;=$Q$6-1),J124,0)</f>
        <v/>
      </c>
      <c r="AG124" s="29">
        <f>IF(OR(AF124=0,$S$6=0),0,IF((AD124+$L$6)&gt;$S$6/HU_alpha+$K$6,0.5*$S$6/HU_alpha,IF((AD124+$L$6)&gt;=$K$6,((AD124+$L$6)-$K$6)-0.5*HU_alpha/$S$6*((AD124+$L$6)-$K$6)^2,IF((AD124+$L$6)&gt;=$T$6,HU_beta*((AD124+$L$6)-$K$6),HU_beta*($T$6-$K$6)))))</f>
        <v/>
      </c>
      <c r="AH124" s="29">
        <f>IF(OR(AF124=0,$S$6=0),0,IF((AD124+$L$6+$N$6)&gt;$S$6/HU_alpha+$K$6,0.5*$S$6/HU_alpha,IF((AD124+$L$6+$N$6)&gt;=$K$6,((AD124+$L$6+$N$6)-$K$6)-0.5*HU_alpha/$S$6*((AD124+$L$6+$N$6)-$K$6)^2,IF((AD124+$L$6+$N$6)&gt;=$T$6,HU_beta*((AD124+$L$6+$N$6)-$K$6),HU_beta*($T$6-$K$6)))))</f>
        <v/>
      </c>
      <c r="AI124" s="29">
        <f>IF(OR(AF124=0,$S$6=0),0,IF((AD124+$K$6)&gt;$S$6/HU_alpha+$K$6,0.5*$S$6/HU_alpha,IF((AD124+$K$6)&gt;=$K$6,((AD124+$K$6)-$K$6)-0.5*HU_alpha/$S$6*((AD124+$K$6)-$K$6)^2,IF((AD124+$K$6)&gt;=$T$6,HU_beta*((AD124+$K$6)-$K$6),HU_beta*($T$6-$K$6)))))</f>
        <v/>
      </c>
      <c r="AJ124" s="63">
        <f>IF(AND($J$7,A124&gt;=1,A124&lt;=$Q$7-1),J124,0)</f>
        <v/>
      </c>
      <c r="AK124" s="29">
        <f>IF(OR(AJ124=0,$S$7=0),0,IF((AE124+$L$7)&gt;$S$7/HU_alpha+$K$7,0.5*$S$7/HU_alpha,IF((AE124+$L$7)&gt;=$K$7,((AE124+$L$7)-$K$7)-0.5*HU_alpha/$S$7*((AE124+$L$7)-$K$7)^2,IF((AE124+$L$7)&gt;=$T$7,HU_beta*((AE124+$L$7)-$K$7),HU_beta*($T$7-$K$7)))))</f>
        <v/>
      </c>
      <c r="AL124" s="29">
        <f>IF(OR(AJ124=0,$S$7=0),0,IF((AE124+$L$7+$N$7)&gt;$S$7/HU_alpha+$K$7,0.5*$S$7/HU_alpha,IF((AE124+$L$7+$N$7)&gt;=$K$7,((AE124+$L$7+$N$7)-$K$7)-0.5*HU_alpha/$S$7*((AE124+$L$7+$N$7)-$K$7)^2,IF((AE124+$L$7+$N$7)&gt;=$T$7,HU_beta*((AE124+$L$7+$N$7)-$K$7),HU_beta*($T$7-$K$7)))))</f>
        <v/>
      </c>
      <c r="AM124" s="29">
        <f>IF(OR(AJ124=0,$S$7=0),0,IF((AE124+$K$7)&gt;$S$7/HU_alpha+$K$7,0.5*$S$7/HU_alpha,IF((AE124+$K$7)&gt;=$K$7,((AE124+$K$7)-$K$7)-0.5*HU_alpha/$S$7*((AE124+$K$7)-$K$7)^2,IF((AE124+$K$7)&gt;=$T$7,HU_beta*((AE124+$K$7)-$K$7),HU_beta*($T$7-$K$7)))))</f>
        <v/>
      </c>
      <c r="AN124" s="63">
        <f>IF(AND($J$8,A124&gt;=1,A124&lt;=$Q$8-1),J124,0)</f>
        <v/>
      </c>
      <c r="AO124" s="29">
        <f>IF(OR(AN124=0,$S$8=0),0,IF((AE124+$L$8)&gt;$S$8/HU_alpha+$K$8,0.5*$S$8/HU_alpha,IF((AE124+$L$8)&gt;=$K$8,((AE124+$L$8)-$K$8)-0.5*HU_alpha/$S$8*((AE124+$L$8)-$K$8)^2,IF((AE124+$L$8)&gt;=$T$8,HU_beta*((AE124+$L$8)-$K$8),HU_beta*($T$8-$K$8)))))</f>
        <v/>
      </c>
      <c r="AP124" s="29">
        <f>IF(OR(AN124=0,$S$8=0),0,IF((AE124+$L$8+$N$8)&gt;$S$8/HU_alpha+$K$8,0.5*$S$8/HU_alpha,IF((AE124+$L$8+$N$8)&gt;=$K$8,((AE124+$L$8+$N$8)-$K$8)-0.5*HU_alpha/$S$8*((AE124+$L$8+$N$8)-$K$8)^2,IF((AE124+$L$8+$N$8)&gt;=$T$8,HU_beta*((AE124+$L$8+$N$8)-$K$8),HU_beta*($T$8-$K$8)))))</f>
        <v/>
      </c>
      <c r="AQ124" s="29">
        <f>IF(OR(AN124=0,$S$8=0),0,IF((AE124+$K$8)&gt;$S$8/HU_alpha+$K$8,0.5*$S$8/HU_alpha,IF((AE124+$K$8)&gt;=$K$8,((AE124+$K$8)-$K$8)-0.5*HU_alpha/$S$8*((AE124+$K$8)-$K$8)^2,IF((AE124+$K$8)&gt;=$T$8,HU_beta*((AE124+$K$8)-$K$8),HU_beta*($T$8-$K$8)))))</f>
        <v/>
      </c>
      <c r="AR124" s="63">
        <f>IF(AND($J$9,A124&gt;=1,A124&lt;=$Q$9-1),J124,0)</f>
        <v/>
      </c>
      <c r="AS124" s="29">
        <f>IF(OR(AR124=0,$S$9=0),0,IF((AE124+$L$9)&gt;$S$9/HU_alpha+$K$9,0.5*$S$9/HU_alpha,IF((AE124+$L$9)&gt;=$K$9,((AE124+$L$9)-$K$9)-0.5*HU_alpha/$S$9*((AE124+$L$9)-$K$9)^2,IF((AE124+$L$9)&gt;=$T$9,HU_beta*((AE124+$L$9)-$K$9),HU_beta*($T$9-$K$9)))))</f>
        <v/>
      </c>
      <c r="AT124" s="29">
        <f>IF(OR(AR124=0,$S$9=0),0,IF((AE124+$L$9+$N$9)&gt;$S$9/HU_alpha+$K$9,0.5*$S$9/HU_alpha,IF((AE124+$L$9+$N$9)&gt;=$K$9,((AE124+$L$9+$N$9)-$K$9)-0.5*HU_alpha/$S$9*((AE124+$L$9+$N$9)-$K$9)^2,IF((AE124+$L$9+$N$9)&gt;=$T$9,HU_beta*((AE124+$L$9+$N$9)-$K$9),HU_beta*($T$9-$K$9)))))</f>
        <v/>
      </c>
      <c r="AU124" s="29">
        <f>IF(OR(AR124=0,$S$9=0),0,IF((AE124+$K$9)&gt;$S$9/HU_alpha+$K$9,0.5*$S$9/HU_alpha,IF((AE124+$K$9)&gt;=$K$9,((AE124+$K$9)-$K$9)-0.5*HU_alpha/$S$9*((AE124+$K$9)-$K$9)^2,IF((AE124+$K$9)&gt;=$T$9,HU_beta*((AE124+$K$9)-$K$9),HU_beta*($T$9-$K$9)))))</f>
        <v/>
      </c>
      <c r="AV124" s="63">
        <f>IF(AND($J$10,A124=$Q$10),J124,0)</f>
        <v/>
      </c>
      <c r="AW124" s="29">
        <f>IF(OR(AV124=0,$S$10=0),0,IF((AD124+$L$10)&gt;$S$10/HU_alpha+$K$10,0.5*$S$10/HU_alpha,IF((AD124+$L$10)&gt;=$K$10,((AD124+$L$10)-$K$10)-0.5*HU_alpha/$S$10*((AD124+$L$10)-$K$10)^2,IF((AD124+$L$10)&gt;=$T$10,HU_beta*((AD124+$L$10)-$K$10),HU_beta*($T$10-$K$10)))))</f>
        <v/>
      </c>
      <c r="AX124" s="29">
        <f>IF(OR(AV124=0,$S$10=0),0,IF((AD124+$L$10+$N$10)&gt;$S$10/HU_alpha+$K$10,0.5*$S$10/HU_alpha,IF((AD124+$L$10+$N$10)&gt;=$K$10,((AD124+$L$10+$N$10)-$K$10)-0.5*HU_alpha/$S$10*((AD124+$L$10+$N$10)-$K$10)^2,IF((AD124+$L$10+$N$10)&gt;=$T$10,HU_beta*((AD124+$L$10+$N$10)-$K$10),HU_beta*($T$10-$K$10)))))</f>
        <v/>
      </c>
      <c r="AY124" s="29">
        <f>IF(OR(AV124=0,$S$10=0),0,IF((AD124+$K$10)&gt;$S$10/HU_alpha+$K$10,0.5*$S$10/HU_alpha,IF((AD124+$K$10)&gt;=$K$10,((AD124+$K$10)-$K$10)-0.5*HU_alpha/$S$10*((AD124+$K$10)-$K$10)^2,IF((AD124+$K$10)&gt;=$T$10,HU_beta*((AD124+$K$10)-$K$10),HU_beta*($T$10-$K$10)))))</f>
        <v/>
      </c>
      <c r="AZ124" s="63">
        <f>IF(AND($J$11,A124=$Q$11),J124,0)</f>
        <v/>
      </c>
      <c r="BA124" s="29">
        <f>IF(OR(AZ124=0,$S$11=0),0,IF((AE124+$L$11)&gt;$S$11/HU_alpha+$K$11,0.5*$S$11/HU_alpha,IF((AE124+$L$11)&gt;=$K$11,((AE124+$L$11)-$K$11)-0.5*HU_alpha/$S$11*((AE124+$L$11)-$K$11)^2,IF((AE124+$L$11)&gt;=$T$11,HU_beta*((AE124+$L$11)-$K$11),HU_beta*($T$11-$K$11)))))</f>
        <v/>
      </c>
      <c r="BB124" s="29">
        <f>IF(OR(AZ124=0,$S$11=0),0,IF((AE124+$L$11+$N$11)&gt;$S$11/HU_alpha+$K$11,0.5*$S$11/HU_alpha,IF((AE124+$L$11+$N$11)&gt;=$K$11,((AE124+$L$11+$N$11)-$K$11)-0.5*HU_alpha/$S$11*((AE124+$L$11+$N$11)-$K$11)^2,IF((AE124+$L$11+$N$11)&gt;=$T$11,HU_beta*((AE124+$L$11+$N$11)-$K$11),HU_beta*($T$11-$K$11)))))</f>
        <v/>
      </c>
      <c r="BC124" s="29">
        <f>IF(OR(AZ124=0,$S$11=0),0,IF((AE124+$K$11)&gt;$S$11/HU_alpha+$K$11,0.5*$S$11/HU_alpha,IF((AE124+$K$11)&gt;=$K$11,((AE124+$K$11)-$K$11)-0.5*HU_alpha/$S$11*((AE124+$K$11)-$K$11)^2,IF((AE124+$K$11)&gt;=$T$11,HU_beta*((AE124+$K$11)-$K$11),HU_beta*($T$11-$K$11)))))</f>
        <v/>
      </c>
      <c r="BD124" s="63">
        <f>IF(AND($J$12,A124=$Q$12),J124,0)</f>
        <v/>
      </c>
      <c r="BE124" s="29">
        <f>IF(OR(BD124=0,$S$12=0),0,IF((AE124+$L$12)&gt;$S$12/HU_alpha+$K$12,0.5*$S$12/HU_alpha,IF((AE124+$L$12)&gt;=$K$12,((AE124+$L$12)-$K$12)-0.5*HU_alpha/$S$12*((AE124+$L$12)-$K$12)^2,IF((AE124+$L$12)&gt;=$T$12,HU_beta*((AE124+$L$12)-$K$12),HU_beta*($T$12-$K$12)))))</f>
        <v/>
      </c>
      <c r="BF124" s="29">
        <f>IF(OR(BD124=0,$S$12=0),0,IF((AE124+$L$12+$N$12)&gt;$S$12/HU_alpha+$K$12,0.5*$S$12/HU_alpha,IF((AE124+$L$12+$N$12)&gt;=$K$12,((AE124+$L$12+$N$12)-$K$12)-0.5*HU_alpha/$S$12*((AE124+$L$12+$N$12)-$K$12)^2,IF((AE124+$L$12+$N$12)&gt;=$T$12,HU_beta*((AE124+$L$12+$N$12)-$K$12),HU_beta*($T$12-$K$12)))))</f>
        <v/>
      </c>
      <c r="BG124" s="29">
        <f>IF(OR(BD124=0,$S$12=0),0,IF((AE124+$K$12)&gt;$S$12/HU_alpha+$K$12,0.5*$S$12/HU_alpha,IF((AE124+$K$12)&gt;=$K$12,((AE124+$K$12)-$K$12)-0.5*HU_alpha/$S$12*((AE124+$K$12)-$K$12)^2,IF((AE124+$K$12)&gt;=$T$12,HU_beta*((AE124+$K$12)-$K$12),HU_beta*($T$12-$K$12)))))</f>
        <v/>
      </c>
      <c r="BH124" s="63">
        <f>IF(AND($J$13,A124=$Q$13),J124,0)</f>
        <v/>
      </c>
      <c r="BI124" s="29">
        <f>IF(OR(BH124=0,$S$13=0),0,IF((AE124+$L$13)&gt;$S$13/HU_alpha+$K$13,0.5*$S$13/HU_alpha,IF((AE124+$L$13)&gt;=$K$13,((AE124+$L$13)-$K$13)-0.5*HU_alpha/$S$13*((AE124+$L$13)-$K$13)^2,IF((AE124+$L$13)&gt;=$T$13,HU_beta*((AE124+$L$13)-$K$13),HU_beta*($T$13-$K$13)))))</f>
        <v/>
      </c>
      <c r="BJ124" s="29">
        <f>IF(OR(BH124=0,$S$13=0),0,IF((AE124+$L$13+$N$13)&gt;$S$13/HU_alpha+$K$13,0.5*$S$13/HU_alpha,IF((AE124+$L$13+$N$13)&gt;=$K$13,((AE124+$L$13+$N$13)-$K$13)-0.5*HU_alpha/$S$13*((AE124+$L$13+$N$13)-$K$13)^2,IF((AE124+$L$13+$N$13)&gt;=$T$13,HU_beta*((AE124+$L$13+$N$13)-$K$13),HU_beta*($T$13-$K$13)))))</f>
        <v/>
      </c>
      <c r="BK124" s="29">
        <f>IF(OR(BH124=0,$S$13=0),0,IF((AE124+$K$13)&gt;$S$13/HU_alpha+$K$13,0.5*$S$13/HU_alpha,IF((AE124+$K$13)&gt;=$K$13,((AE124+$K$13)-$K$13)-0.5*HU_alpha/$S$13*((AE124+$K$13)-$K$13)^2,IF((AE124+$K$13)&gt;=$T$13,HU_beta*((AE124+$K$13)-$K$13),HU_beta*($T$13-$K$13)))))</f>
        <v/>
      </c>
    </row>
    <row r="125">
      <c r="A125" s="61" t="n">
        <v>57</v>
      </c>
      <c r="B125" s="61">
        <f>HU_age+A125</f>
        <v/>
      </c>
      <c r="C125" s="52">
        <f>A125&lt;=HU_T</f>
        <v/>
      </c>
      <c r="D125" s="63">
        <f>IF(OR(A125&lt;1,A125&gt;HU_T),0,INDEX(HU_q_mort,HU_age+A125-17,HU_col))</f>
        <v/>
      </c>
      <c r="E125" s="63">
        <f>IF(OR(A125&lt;1,A125&gt;HU_T),0,INDEX(HU_q_adb,HU_age+A125-17,HU_col))</f>
        <v/>
      </c>
      <c r="F125" s="63">
        <f>IF(OR(A125&lt;1,A125&gt;HU_T),0,INDEX(HU_q_morb,HU_age+A125-17,HU_col))</f>
        <v/>
      </c>
      <c r="G125" s="63">
        <f>IF(OR(A125&lt;1,A125&gt;HU_T),0,INDEX(HU_q_ptd,HU_age+A125-17,HU_col))</f>
        <v/>
      </c>
      <c r="H125" s="63">
        <f>IF(OR(A125&lt;1,A125&gt;HU_T),0,INDEX(HU_q_dis,HU_age+A125-17,HU_col))</f>
        <v/>
      </c>
      <c r="I125" s="63">
        <f>IF(A125&gt;HU_T,0,I124*(1-D125)*(1-E125))</f>
        <v/>
      </c>
      <c r="J125" s="63">
        <f>IF(A125&gt;=HU_T,0,N(I126))</f>
        <v/>
      </c>
      <c r="K125" s="63">
        <f>K124*(1-G125)</f>
        <v/>
      </c>
      <c r="L125" s="63">
        <f>1-K125</f>
        <v/>
      </c>
      <c r="M125" s="63">
        <f>K124*G125</f>
        <v/>
      </c>
      <c r="N125" s="63">
        <f>N124*(1-H125)</f>
        <v/>
      </c>
      <c r="O125" s="63">
        <f>1-N124</f>
        <v/>
      </c>
      <c r="P125" s="63">
        <f>P124*(1-F125)</f>
        <v/>
      </c>
      <c r="Q125" s="63">
        <f>1-P124/INDEX($P$68:$P$150,MAX(1,A125-HU_ciYears))</f>
        <v/>
      </c>
      <c r="R125" s="60">
        <f>(1+inflationRate)^A125</f>
        <v/>
      </c>
      <c r="S125" s="29">
        <f>IF(OR(OR(A125&lt;1,A125&gt;HU_T),A125-1&gt;=HU_dtr),0,HU_inc0*(1+incomeGrowthRate)^A125)</f>
        <v/>
      </c>
      <c r="T125" s="60">
        <f>IF(A125&gt;HU_T,T124,T124*(1+INDEX(HU_ssG,HU_age+A125-17)))</f>
        <v/>
      </c>
      <c r="U125" s="29">
        <f>IF(AND(HU_dtr&gt;=1,A125=HU_dtr,A125&lt;=HU_T),MIN(S125*INDEX(HU_ssC,HU_age+A125-17)/(1-INDEX(HU_ssC,HU_age+A125-17)),INDEX(HU_ssCap,HU_age+A125-17))*T125,0)</f>
        <v/>
      </c>
      <c r="V125" s="29">
        <f>S125+U125+IF(AND(HU_wdOn,A125=HU_wdYear),HU_wdIncome,0)</f>
        <v/>
      </c>
      <c r="W125" s="60">
        <f>HU_ciProp*Q125+HU_tpdCut*L125+HU_disCut*O125</f>
        <v/>
      </c>
      <c r="X125" s="29">
        <f>IF(OR(A125&lt;1,A125&gt;HU_T),0,V125*(1-W125))</f>
        <v/>
      </c>
      <c r="Y125" s="29">
        <f>IF(OR(A125&lt;1,A125&gt;HU_T),0,IF(AND(HU_retExp&gt;0,A125-1&gt;=HU_dtr),HU_retExp,HU_exp0)*R125)</f>
        <v/>
      </c>
      <c r="Z125" s="29">
        <f>-Y125-IF(AND(HU_wdOn,A125=HU_wdYear),HU_wdOut,0)</f>
        <v/>
      </c>
      <c r="AA125" s="29">
        <f>IF(OR(A125&lt;1,A125&gt;HU_T),0,-HU_medCost*R125*F125-HU_tpdCost*R125*M125)</f>
        <v/>
      </c>
      <c r="AB125" s="29">
        <f>IF(A125&gt;HU_T,0,AB124*(1+interestRate)+X125+Z125+AA125)</f>
        <v/>
      </c>
      <c r="AC125" s="29">
        <f>IF(A125&gt;HU_T,0,HU_inv*EXP(HU_mu*A125))</f>
        <v/>
      </c>
      <c r="AD125" s="29">
        <f>IF(A125&gt;HU_T,0,MAX(0,AC125+AB125))</f>
        <v/>
      </c>
      <c r="AE125" s="29">
        <f>IF(A125&gt;HU_T,0,MAX(0,X125-Y125))</f>
        <v/>
      </c>
      <c r="AF125" s="63">
        <f>IF(AND($J$6,A125&gt;=1,A125&lt;=$Q$6-1),J125,0)</f>
        <v/>
      </c>
      <c r="AG125" s="29">
        <f>IF(OR(AF125=0,$S$6=0),0,IF((AD125+$L$6)&gt;$S$6/HU_alpha+$K$6,0.5*$S$6/HU_alpha,IF((AD125+$L$6)&gt;=$K$6,((AD125+$L$6)-$K$6)-0.5*HU_alpha/$S$6*((AD125+$L$6)-$K$6)^2,IF((AD125+$L$6)&gt;=$T$6,HU_beta*((AD125+$L$6)-$K$6),HU_beta*($T$6-$K$6)))))</f>
        <v/>
      </c>
      <c r="AH125" s="29">
        <f>IF(OR(AF125=0,$S$6=0),0,IF((AD125+$L$6+$N$6)&gt;$S$6/HU_alpha+$K$6,0.5*$S$6/HU_alpha,IF((AD125+$L$6+$N$6)&gt;=$K$6,((AD125+$L$6+$N$6)-$K$6)-0.5*HU_alpha/$S$6*((AD125+$L$6+$N$6)-$K$6)^2,IF((AD125+$L$6+$N$6)&gt;=$T$6,HU_beta*((AD125+$L$6+$N$6)-$K$6),HU_beta*($T$6-$K$6)))))</f>
        <v/>
      </c>
      <c r="AI125" s="29">
        <f>IF(OR(AF125=0,$S$6=0),0,IF((AD125+$K$6)&gt;$S$6/HU_alpha+$K$6,0.5*$S$6/HU_alpha,IF((AD125+$K$6)&gt;=$K$6,((AD125+$K$6)-$K$6)-0.5*HU_alpha/$S$6*((AD125+$K$6)-$K$6)^2,IF((AD125+$K$6)&gt;=$T$6,HU_beta*((AD125+$K$6)-$K$6),HU_beta*($T$6-$K$6)))))</f>
        <v/>
      </c>
      <c r="AJ125" s="63">
        <f>IF(AND($J$7,A125&gt;=1,A125&lt;=$Q$7-1),J125,0)</f>
        <v/>
      </c>
      <c r="AK125" s="29">
        <f>IF(OR(AJ125=0,$S$7=0),0,IF((AE125+$L$7)&gt;$S$7/HU_alpha+$K$7,0.5*$S$7/HU_alpha,IF((AE125+$L$7)&gt;=$K$7,((AE125+$L$7)-$K$7)-0.5*HU_alpha/$S$7*((AE125+$L$7)-$K$7)^2,IF((AE125+$L$7)&gt;=$T$7,HU_beta*((AE125+$L$7)-$K$7),HU_beta*($T$7-$K$7)))))</f>
        <v/>
      </c>
      <c r="AL125" s="29">
        <f>IF(OR(AJ125=0,$S$7=0),0,IF((AE125+$L$7+$N$7)&gt;$S$7/HU_alpha+$K$7,0.5*$S$7/HU_alpha,IF((AE125+$L$7+$N$7)&gt;=$K$7,((AE125+$L$7+$N$7)-$K$7)-0.5*HU_alpha/$S$7*((AE125+$L$7+$N$7)-$K$7)^2,IF((AE125+$L$7+$N$7)&gt;=$T$7,HU_beta*((AE125+$L$7+$N$7)-$K$7),HU_beta*($T$7-$K$7)))))</f>
        <v/>
      </c>
      <c r="AM125" s="29">
        <f>IF(OR(AJ125=0,$S$7=0),0,IF((AE125+$K$7)&gt;$S$7/HU_alpha+$K$7,0.5*$S$7/HU_alpha,IF((AE125+$K$7)&gt;=$K$7,((AE125+$K$7)-$K$7)-0.5*HU_alpha/$S$7*((AE125+$K$7)-$K$7)^2,IF((AE125+$K$7)&gt;=$T$7,HU_beta*((AE125+$K$7)-$K$7),HU_beta*($T$7-$K$7)))))</f>
        <v/>
      </c>
      <c r="AN125" s="63">
        <f>IF(AND($J$8,A125&gt;=1,A125&lt;=$Q$8-1),J125,0)</f>
        <v/>
      </c>
      <c r="AO125" s="29">
        <f>IF(OR(AN125=0,$S$8=0),0,IF((AE125+$L$8)&gt;$S$8/HU_alpha+$K$8,0.5*$S$8/HU_alpha,IF((AE125+$L$8)&gt;=$K$8,((AE125+$L$8)-$K$8)-0.5*HU_alpha/$S$8*((AE125+$L$8)-$K$8)^2,IF((AE125+$L$8)&gt;=$T$8,HU_beta*((AE125+$L$8)-$K$8),HU_beta*($T$8-$K$8)))))</f>
        <v/>
      </c>
      <c r="AP125" s="29">
        <f>IF(OR(AN125=0,$S$8=0),0,IF((AE125+$L$8+$N$8)&gt;$S$8/HU_alpha+$K$8,0.5*$S$8/HU_alpha,IF((AE125+$L$8+$N$8)&gt;=$K$8,((AE125+$L$8+$N$8)-$K$8)-0.5*HU_alpha/$S$8*((AE125+$L$8+$N$8)-$K$8)^2,IF((AE125+$L$8+$N$8)&gt;=$T$8,HU_beta*((AE125+$L$8+$N$8)-$K$8),HU_beta*($T$8-$K$8)))))</f>
        <v/>
      </c>
      <c r="AQ125" s="29">
        <f>IF(OR(AN125=0,$S$8=0),0,IF((AE125+$K$8)&gt;$S$8/HU_alpha+$K$8,0.5*$S$8/HU_alpha,IF((AE125+$K$8)&gt;=$K$8,((AE125+$K$8)-$K$8)-0.5*HU_alpha/$S$8*((AE125+$K$8)-$K$8)^2,IF((AE125+$K$8)&gt;=$T$8,HU_beta*((AE125+$K$8)-$K$8),HU_beta*($T$8-$K$8)))))</f>
        <v/>
      </c>
      <c r="AR125" s="63">
        <f>IF(AND($J$9,A125&gt;=1,A125&lt;=$Q$9-1),J125,0)</f>
        <v/>
      </c>
      <c r="AS125" s="29">
        <f>IF(OR(AR125=0,$S$9=0),0,IF((AE125+$L$9)&gt;$S$9/HU_alpha+$K$9,0.5*$S$9/HU_alpha,IF((AE125+$L$9)&gt;=$K$9,((AE125+$L$9)-$K$9)-0.5*HU_alpha/$S$9*((AE125+$L$9)-$K$9)^2,IF((AE125+$L$9)&gt;=$T$9,HU_beta*((AE125+$L$9)-$K$9),HU_beta*($T$9-$K$9)))))</f>
        <v/>
      </c>
      <c r="AT125" s="29">
        <f>IF(OR(AR125=0,$S$9=0),0,IF((AE125+$L$9+$N$9)&gt;$S$9/HU_alpha+$K$9,0.5*$S$9/HU_alpha,IF((AE125+$L$9+$N$9)&gt;=$K$9,((AE125+$L$9+$N$9)-$K$9)-0.5*HU_alpha/$S$9*((AE125+$L$9+$N$9)-$K$9)^2,IF((AE125+$L$9+$N$9)&gt;=$T$9,HU_beta*((AE125+$L$9+$N$9)-$K$9),HU_beta*($T$9-$K$9)))))</f>
        <v/>
      </c>
      <c r="AU125" s="29">
        <f>IF(OR(AR125=0,$S$9=0),0,IF((AE125+$K$9)&gt;$S$9/HU_alpha+$K$9,0.5*$S$9/HU_alpha,IF((AE125+$K$9)&gt;=$K$9,((AE125+$K$9)-$K$9)-0.5*HU_alpha/$S$9*((AE125+$K$9)-$K$9)^2,IF((AE125+$K$9)&gt;=$T$9,HU_beta*((AE125+$K$9)-$K$9),HU_beta*($T$9-$K$9)))))</f>
        <v/>
      </c>
      <c r="AV125" s="63">
        <f>IF(AND($J$10,A125=$Q$10),J125,0)</f>
        <v/>
      </c>
      <c r="AW125" s="29">
        <f>IF(OR(AV125=0,$S$10=0),0,IF((AD125+$L$10)&gt;$S$10/HU_alpha+$K$10,0.5*$S$10/HU_alpha,IF((AD125+$L$10)&gt;=$K$10,((AD125+$L$10)-$K$10)-0.5*HU_alpha/$S$10*((AD125+$L$10)-$K$10)^2,IF((AD125+$L$10)&gt;=$T$10,HU_beta*((AD125+$L$10)-$K$10),HU_beta*($T$10-$K$10)))))</f>
        <v/>
      </c>
      <c r="AX125" s="29">
        <f>IF(OR(AV125=0,$S$10=0),0,IF((AD125+$L$10+$N$10)&gt;$S$10/HU_alpha+$K$10,0.5*$S$10/HU_alpha,IF((AD125+$L$10+$N$10)&gt;=$K$10,((AD125+$L$10+$N$10)-$K$10)-0.5*HU_alpha/$S$10*((AD125+$L$10+$N$10)-$K$10)^2,IF((AD125+$L$10+$N$10)&gt;=$T$10,HU_beta*((AD125+$L$10+$N$10)-$K$10),HU_beta*($T$10-$K$10)))))</f>
        <v/>
      </c>
      <c r="AY125" s="29">
        <f>IF(OR(AV125=0,$S$10=0),0,IF((AD125+$K$10)&gt;$S$10/HU_alpha+$K$10,0.5*$S$10/HU_alpha,IF((AD125+$K$10)&gt;=$K$10,((AD125+$K$10)-$K$10)-0.5*HU_alpha/$S$10*((AD125+$K$10)-$K$10)^2,IF((AD125+$K$10)&gt;=$T$10,HU_beta*((AD125+$K$10)-$K$10),HU_beta*($T$10-$K$10)))))</f>
        <v/>
      </c>
      <c r="AZ125" s="63">
        <f>IF(AND($J$11,A125=$Q$11),J125,0)</f>
        <v/>
      </c>
      <c r="BA125" s="29">
        <f>IF(OR(AZ125=0,$S$11=0),0,IF((AE125+$L$11)&gt;$S$11/HU_alpha+$K$11,0.5*$S$11/HU_alpha,IF((AE125+$L$11)&gt;=$K$11,((AE125+$L$11)-$K$11)-0.5*HU_alpha/$S$11*((AE125+$L$11)-$K$11)^2,IF((AE125+$L$11)&gt;=$T$11,HU_beta*((AE125+$L$11)-$K$11),HU_beta*($T$11-$K$11)))))</f>
        <v/>
      </c>
      <c r="BB125" s="29">
        <f>IF(OR(AZ125=0,$S$11=0),0,IF((AE125+$L$11+$N$11)&gt;$S$11/HU_alpha+$K$11,0.5*$S$11/HU_alpha,IF((AE125+$L$11+$N$11)&gt;=$K$11,((AE125+$L$11+$N$11)-$K$11)-0.5*HU_alpha/$S$11*((AE125+$L$11+$N$11)-$K$11)^2,IF((AE125+$L$11+$N$11)&gt;=$T$11,HU_beta*((AE125+$L$11+$N$11)-$K$11),HU_beta*($T$11-$K$11)))))</f>
        <v/>
      </c>
      <c r="BC125" s="29">
        <f>IF(OR(AZ125=0,$S$11=0),0,IF((AE125+$K$11)&gt;$S$11/HU_alpha+$K$11,0.5*$S$11/HU_alpha,IF((AE125+$K$11)&gt;=$K$11,((AE125+$K$11)-$K$11)-0.5*HU_alpha/$S$11*((AE125+$K$11)-$K$11)^2,IF((AE125+$K$11)&gt;=$T$11,HU_beta*((AE125+$K$11)-$K$11),HU_beta*($T$11-$K$11)))))</f>
        <v/>
      </c>
      <c r="BD125" s="63">
        <f>IF(AND($J$12,A125=$Q$12),J125,0)</f>
        <v/>
      </c>
      <c r="BE125" s="29">
        <f>IF(OR(BD125=0,$S$12=0),0,IF((AE125+$L$12)&gt;$S$12/HU_alpha+$K$12,0.5*$S$12/HU_alpha,IF((AE125+$L$12)&gt;=$K$12,((AE125+$L$12)-$K$12)-0.5*HU_alpha/$S$12*((AE125+$L$12)-$K$12)^2,IF((AE125+$L$12)&gt;=$T$12,HU_beta*((AE125+$L$12)-$K$12),HU_beta*($T$12-$K$12)))))</f>
        <v/>
      </c>
      <c r="BF125" s="29">
        <f>IF(OR(BD125=0,$S$12=0),0,IF((AE125+$L$12+$N$12)&gt;$S$12/HU_alpha+$K$12,0.5*$S$12/HU_alpha,IF((AE125+$L$12+$N$12)&gt;=$K$12,((AE125+$L$12+$N$12)-$K$12)-0.5*HU_alpha/$S$12*((AE125+$L$12+$N$12)-$K$12)^2,IF((AE125+$L$12+$N$12)&gt;=$T$12,HU_beta*((AE125+$L$12+$N$12)-$K$12),HU_beta*($T$12-$K$12)))))</f>
        <v/>
      </c>
      <c r="BG125" s="29">
        <f>IF(OR(BD125=0,$S$12=0),0,IF((AE125+$K$12)&gt;$S$12/HU_alpha+$K$12,0.5*$S$12/HU_alpha,IF((AE125+$K$12)&gt;=$K$12,((AE125+$K$12)-$K$12)-0.5*HU_alpha/$S$12*((AE125+$K$12)-$K$12)^2,IF((AE125+$K$12)&gt;=$T$12,HU_beta*((AE125+$K$12)-$K$12),HU_beta*($T$12-$K$12)))))</f>
        <v/>
      </c>
      <c r="BH125" s="63">
        <f>IF(AND($J$13,A125=$Q$13),J125,0)</f>
        <v/>
      </c>
      <c r="BI125" s="29">
        <f>IF(OR(BH125=0,$S$13=0),0,IF((AE125+$L$13)&gt;$S$13/HU_alpha+$K$13,0.5*$S$13/HU_alpha,IF((AE125+$L$13)&gt;=$K$13,((AE125+$L$13)-$K$13)-0.5*HU_alpha/$S$13*((AE125+$L$13)-$K$13)^2,IF((AE125+$L$13)&gt;=$T$13,HU_beta*((AE125+$L$13)-$K$13),HU_beta*($T$13-$K$13)))))</f>
        <v/>
      </c>
      <c r="BJ125" s="29">
        <f>IF(OR(BH125=0,$S$13=0),0,IF((AE125+$L$13+$N$13)&gt;$S$13/HU_alpha+$K$13,0.5*$S$13/HU_alpha,IF((AE125+$L$13+$N$13)&gt;=$K$13,((AE125+$L$13+$N$13)-$K$13)-0.5*HU_alpha/$S$13*((AE125+$L$13+$N$13)-$K$13)^2,IF((AE125+$L$13+$N$13)&gt;=$T$13,HU_beta*((AE125+$L$13+$N$13)-$K$13),HU_beta*($T$13-$K$13)))))</f>
        <v/>
      </c>
      <c r="BK125" s="29">
        <f>IF(OR(BH125=0,$S$13=0),0,IF((AE125+$K$13)&gt;$S$13/HU_alpha+$K$13,0.5*$S$13/HU_alpha,IF((AE125+$K$13)&gt;=$K$13,((AE125+$K$13)-$K$13)-0.5*HU_alpha/$S$13*((AE125+$K$13)-$K$13)^2,IF((AE125+$K$13)&gt;=$T$13,HU_beta*((AE125+$K$13)-$K$13),HU_beta*($T$13-$K$13)))))</f>
        <v/>
      </c>
    </row>
    <row r="126">
      <c r="A126" s="61" t="n">
        <v>58</v>
      </c>
      <c r="B126" s="61">
        <f>HU_age+A126</f>
        <v/>
      </c>
      <c r="C126" s="52">
        <f>A126&lt;=HU_T</f>
        <v/>
      </c>
      <c r="D126" s="63">
        <f>IF(OR(A126&lt;1,A126&gt;HU_T),0,INDEX(HU_q_mort,HU_age+A126-17,HU_col))</f>
        <v/>
      </c>
      <c r="E126" s="63">
        <f>IF(OR(A126&lt;1,A126&gt;HU_T),0,INDEX(HU_q_adb,HU_age+A126-17,HU_col))</f>
        <v/>
      </c>
      <c r="F126" s="63">
        <f>IF(OR(A126&lt;1,A126&gt;HU_T),0,INDEX(HU_q_morb,HU_age+A126-17,HU_col))</f>
        <v/>
      </c>
      <c r="G126" s="63">
        <f>IF(OR(A126&lt;1,A126&gt;HU_T),0,INDEX(HU_q_ptd,HU_age+A126-17,HU_col))</f>
        <v/>
      </c>
      <c r="H126" s="63">
        <f>IF(OR(A126&lt;1,A126&gt;HU_T),0,INDEX(HU_q_dis,HU_age+A126-17,HU_col))</f>
        <v/>
      </c>
      <c r="I126" s="63">
        <f>IF(A126&gt;HU_T,0,I125*(1-D126)*(1-E126))</f>
        <v/>
      </c>
      <c r="J126" s="63">
        <f>IF(A126&gt;=HU_T,0,N(I127))</f>
        <v/>
      </c>
      <c r="K126" s="63">
        <f>K125*(1-G126)</f>
        <v/>
      </c>
      <c r="L126" s="63">
        <f>1-K126</f>
        <v/>
      </c>
      <c r="M126" s="63">
        <f>K125*G126</f>
        <v/>
      </c>
      <c r="N126" s="63">
        <f>N125*(1-H126)</f>
        <v/>
      </c>
      <c r="O126" s="63">
        <f>1-N125</f>
        <v/>
      </c>
      <c r="P126" s="63">
        <f>P125*(1-F126)</f>
        <v/>
      </c>
      <c r="Q126" s="63">
        <f>1-P125/INDEX($P$68:$P$150,MAX(1,A126-HU_ciYears))</f>
        <v/>
      </c>
      <c r="R126" s="60">
        <f>(1+inflationRate)^A126</f>
        <v/>
      </c>
      <c r="S126" s="29">
        <f>IF(OR(OR(A126&lt;1,A126&gt;HU_T),A126-1&gt;=HU_dtr),0,HU_inc0*(1+incomeGrowthRate)^A126)</f>
        <v/>
      </c>
      <c r="T126" s="60">
        <f>IF(A126&gt;HU_T,T125,T125*(1+INDEX(HU_ssG,HU_age+A126-17)))</f>
        <v/>
      </c>
      <c r="U126" s="29">
        <f>IF(AND(HU_dtr&gt;=1,A126=HU_dtr,A126&lt;=HU_T),MIN(S126*INDEX(HU_ssC,HU_age+A126-17)/(1-INDEX(HU_ssC,HU_age+A126-17)),INDEX(HU_ssCap,HU_age+A126-17))*T126,0)</f>
        <v/>
      </c>
      <c r="V126" s="29">
        <f>S126+U126+IF(AND(HU_wdOn,A126=HU_wdYear),HU_wdIncome,0)</f>
        <v/>
      </c>
      <c r="W126" s="60">
        <f>HU_ciProp*Q126+HU_tpdCut*L126+HU_disCut*O126</f>
        <v/>
      </c>
      <c r="X126" s="29">
        <f>IF(OR(A126&lt;1,A126&gt;HU_T),0,V126*(1-W126))</f>
        <v/>
      </c>
      <c r="Y126" s="29">
        <f>IF(OR(A126&lt;1,A126&gt;HU_T),0,IF(AND(HU_retExp&gt;0,A126-1&gt;=HU_dtr),HU_retExp,HU_exp0)*R126)</f>
        <v/>
      </c>
      <c r="Z126" s="29">
        <f>-Y126-IF(AND(HU_wdOn,A126=HU_wdYear),HU_wdOut,0)</f>
        <v/>
      </c>
      <c r="AA126" s="29">
        <f>IF(OR(A126&lt;1,A126&gt;HU_T),0,-HU_medCost*R126*F126-HU_tpdCost*R126*M126)</f>
        <v/>
      </c>
      <c r="AB126" s="29">
        <f>IF(A126&gt;HU_T,0,AB125*(1+interestRate)+X126+Z126+AA126)</f>
        <v/>
      </c>
      <c r="AC126" s="29">
        <f>IF(A126&gt;HU_T,0,HU_inv*EXP(HU_mu*A126))</f>
        <v/>
      </c>
      <c r="AD126" s="29">
        <f>IF(A126&gt;HU_T,0,MAX(0,AC126+AB126))</f>
        <v/>
      </c>
      <c r="AE126" s="29">
        <f>IF(A126&gt;HU_T,0,MAX(0,X126-Y126))</f>
        <v/>
      </c>
      <c r="AF126" s="63">
        <f>IF(AND($J$6,A126&gt;=1,A126&lt;=$Q$6-1),J126,0)</f>
        <v/>
      </c>
      <c r="AG126" s="29">
        <f>IF(OR(AF126=0,$S$6=0),0,IF((AD126+$L$6)&gt;$S$6/HU_alpha+$K$6,0.5*$S$6/HU_alpha,IF((AD126+$L$6)&gt;=$K$6,((AD126+$L$6)-$K$6)-0.5*HU_alpha/$S$6*((AD126+$L$6)-$K$6)^2,IF((AD126+$L$6)&gt;=$T$6,HU_beta*((AD126+$L$6)-$K$6),HU_beta*($T$6-$K$6)))))</f>
        <v/>
      </c>
      <c r="AH126" s="29">
        <f>IF(OR(AF126=0,$S$6=0),0,IF((AD126+$L$6+$N$6)&gt;$S$6/HU_alpha+$K$6,0.5*$S$6/HU_alpha,IF((AD126+$L$6+$N$6)&gt;=$K$6,((AD126+$L$6+$N$6)-$K$6)-0.5*HU_alpha/$S$6*((AD126+$L$6+$N$6)-$K$6)^2,IF((AD126+$L$6+$N$6)&gt;=$T$6,HU_beta*((AD126+$L$6+$N$6)-$K$6),HU_beta*($T$6-$K$6)))))</f>
        <v/>
      </c>
      <c r="AI126" s="29">
        <f>IF(OR(AF126=0,$S$6=0),0,IF((AD126+$K$6)&gt;$S$6/HU_alpha+$K$6,0.5*$S$6/HU_alpha,IF((AD126+$K$6)&gt;=$K$6,((AD126+$K$6)-$K$6)-0.5*HU_alpha/$S$6*((AD126+$K$6)-$K$6)^2,IF((AD126+$K$6)&gt;=$T$6,HU_beta*((AD126+$K$6)-$K$6),HU_beta*($T$6-$K$6)))))</f>
        <v/>
      </c>
      <c r="AJ126" s="63">
        <f>IF(AND($J$7,A126&gt;=1,A126&lt;=$Q$7-1),J126,0)</f>
        <v/>
      </c>
      <c r="AK126" s="29">
        <f>IF(OR(AJ126=0,$S$7=0),0,IF((AE126+$L$7)&gt;$S$7/HU_alpha+$K$7,0.5*$S$7/HU_alpha,IF((AE126+$L$7)&gt;=$K$7,((AE126+$L$7)-$K$7)-0.5*HU_alpha/$S$7*((AE126+$L$7)-$K$7)^2,IF((AE126+$L$7)&gt;=$T$7,HU_beta*((AE126+$L$7)-$K$7),HU_beta*($T$7-$K$7)))))</f>
        <v/>
      </c>
      <c r="AL126" s="29">
        <f>IF(OR(AJ126=0,$S$7=0),0,IF((AE126+$L$7+$N$7)&gt;$S$7/HU_alpha+$K$7,0.5*$S$7/HU_alpha,IF((AE126+$L$7+$N$7)&gt;=$K$7,((AE126+$L$7+$N$7)-$K$7)-0.5*HU_alpha/$S$7*((AE126+$L$7+$N$7)-$K$7)^2,IF((AE126+$L$7+$N$7)&gt;=$T$7,HU_beta*((AE126+$L$7+$N$7)-$K$7),HU_beta*($T$7-$K$7)))))</f>
        <v/>
      </c>
      <c r="AM126" s="29">
        <f>IF(OR(AJ126=0,$S$7=0),0,IF((AE126+$K$7)&gt;$S$7/HU_alpha+$K$7,0.5*$S$7/HU_alpha,IF((AE126+$K$7)&gt;=$K$7,((AE126+$K$7)-$K$7)-0.5*HU_alpha/$S$7*((AE126+$K$7)-$K$7)^2,IF((AE126+$K$7)&gt;=$T$7,HU_beta*((AE126+$K$7)-$K$7),HU_beta*($T$7-$K$7)))))</f>
        <v/>
      </c>
      <c r="AN126" s="63">
        <f>IF(AND($J$8,A126&gt;=1,A126&lt;=$Q$8-1),J126,0)</f>
        <v/>
      </c>
      <c r="AO126" s="29">
        <f>IF(OR(AN126=0,$S$8=0),0,IF((AE126+$L$8)&gt;$S$8/HU_alpha+$K$8,0.5*$S$8/HU_alpha,IF((AE126+$L$8)&gt;=$K$8,((AE126+$L$8)-$K$8)-0.5*HU_alpha/$S$8*((AE126+$L$8)-$K$8)^2,IF((AE126+$L$8)&gt;=$T$8,HU_beta*((AE126+$L$8)-$K$8),HU_beta*($T$8-$K$8)))))</f>
        <v/>
      </c>
      <c r="AP126" s="29">
        <f>IF(OR(AN126=0,$S$8=0),0,IF((AE126+$L$8+$N$8)&gt;$S$8/HU_alpha+$K$8,0.5*$S$8/HU_alpha,IF((AE126+$L$8+$N$8)&gt;=$K$8,((AE126+$L$8+$N$8)-$K$8)-0.5*HU_alpha/$S$8*((AE126+$L$8+$N$8)-$K$8)^2,IF((AE126+$L$8+$N$8)&gt;=$T$8,HU_beta*((AE126+$L$8+$N$8)-$K$8),HU_beta*($T$8-$K$8)))))</f>
        <v/>
      </c>
      <c r="AQ126" s="29">
        <f>IF(OR(AN126=0,$S$8=0),0,IF((AE126+$K$8)&gt;$S$8/HU_alpha+$K$8,0.5*$S$8/HU_alpha,IF((AE126+$K$8)&gt;=$K$8,((AE126+$K$8)-$K$8)-0.5*HU_alpha/$S$8*((AE126+$K$8)-$K$8)^2,IF((AE126+$K$8)&gt;=$T$8,HU_beta*((AE126+$K$8)-$K$8),HU_beta*($T$8-$K$8)))))</f>
        <v/>
      </c>
      <c r="AR126" s="63">
        <f>IF(AND($J$9,A126&gt;=1,A126&lt;=$Q$9-1),J126,0)</f>
        <v/>
      </c>
      <c r="AS126" s="29">
        <f>IF(OR(AR126=0,$S$9=0),0,IF((AE126+$L$9)&gt;$S$9/HU_alpha+$K$9,0.5*$S$9/HU_alpha,IF((AE126+$L$9)&gt;=$K$9,((AE126+$L$9)-$K$9)-0.5*HU_alpha/$S$9*((AE126+$L$9)-$K$9)^2,IF((AE126+$L$9)&gt;=$T$9,HU_beta*((AE126+$L$9)-$K$9),HU_beta*($T$9-$K$9)))))</f>
        <v/>
      </c>
      <c r="AT126" s="29">
        <f>IF(OR(AR126=0,$S$9=0),0,IF((AE126+$L$9+$N$9)&gt;$S$9/HU_alpha+$K$9,0.5*$S$9/HU_alpha,IF((AE126+$L$9+$N$9)&gt;=$K$9,((AE126+$L$9+$N$9)-$K$9)-0.5*HU_alpha/$S$9*((AE126+$L$9+$N$9)-$K$9)^2,IF((AE126+$L$9+$N$9)&gt;=$T$9,HU_beta*((AE126+$L$9+$N$9)-$K$9),HU_beta*($T$9-$K$9)))))</f>
        <v/>
      </c>
      <c r="AU126" s="29">
        <f>IF(OR(AR126=0,$S$9=0),0,IF((AE126+$K$9)&gt;$S$9/HU_alpha+$K$9,0.5*$S$9/HU_alpha,IF((AE126+$K$9)&gt;=$K$9,((AE126+$K$9)-$K$9)-0.5*HU_alpha/$S$9*((AE126+$K$9)-$K$9)^2,IF((AE126+$K$9)&gt;=$T$9,HU_beta*((AE126+$K$9)-$K$9),HU_beta*($T$9-$K$9)))))</f>
        <v/>
      </c>
      <c r="AV126" s="63">
        <f>IF(AND($J$10,A126=$Q$10),J126,0)</f>
        <v/>
      </c>
      <c r="AW126" s="29">
        <f>IF(OR(AV126=0,$S$10=0),0,IF((AD126+$L$10)&gt;$S$10/HU_alpha+$K$10,0.5*$S$10/HU_alpha,IF((AD126+$L$10)&gt;=$K$10,((AD126+$L$10)-$K$10)-0.5*HU_alpha/$S$10*((AD126+$L$10)-$K$10)^2,IF((AD126+$L$10)&gt;=$T$10,HU_beta*((AD126+$L$10)-$K$10),HU_beta*($T$10-$K$10)))))</f>
        <v/>
      </c>
      <c r="AX126" s="29">
        <f>IF(OR(AV126=0,$S$10=0),0,IF((AD126+$L$10+$N$10)&gt;$S$10/HU_alpha+$K$10,0.5*$S$10/HU_alpha,IF((AD126+$L$10+$N$10)&gt;=$K$10,((AD126+$L$10+$N$10)-$K$10)-0.5*HU_alpha/$S$10*((AD126+$L$10+$N$10)-$K$10)^2,IF((AD126+$L$10+$N$10)&gt;=$T$10,HU_beta*((AD126+$L$10+$N$10)-$K$10),HU_beta*($T$10-$K$10)))))</f>
        <v/>
      </c>
      <c r="AY126" s="29">
        <f>IF(OR(AV126=0,$S$10=0),0,IF((AD126+$K$10)&gt;$S$10/HU_alpha+$K$10,0.5*$S$10/HU_alpha,IF((AD126+$K$10)&gt;=$K$10,((AD126+$K$10)-$K$10)-0.5*HU_alpha/$S$10*((AD126+$K$10)-$K$10)^2,IF((AD126+$K$10)&gt;=$T$10,HU_beta*((AD126+$K$10)-$K$10),HU_beta*($T$10-$K$10)))))</f>
        <v/>
      </c>
      <c r="AZ126" s="63">
        <f>IF(AND($J$11,A126=$Q$11),J126,0)</f>
        <v/>
      </c>
      <c r="BA126" s="29">
        <f>IF(OR(AZ126=0,$S$11=0),0,IF((AE126+$L$11)&gt;$S$11/HU_alpha+$K$11,0.5*$S$11/HU_alpha,IF((AE126+$L$11)&gt;=$K$11,((AE126+$L$11)-$K$11)-0.5*HU_alpha/$S$11*((AE126+$L$11)-$K$11)^2,IF((AE126+$L$11)&gt;=$T$11,HU_beta*((AE126+$L$11)-$K$11),HU_beta*($T$11-$K$11)))))</f>
        <v/>
      </c>
      <c r="BB126" s="29">
        <f>IF(OR(AZ126=0,$S$11=0),0,IF((AE126+$L$11+$N$11)&gt;$S$11/HU_alpha+$K$11,0.5*$S$11/HU_alpha,IF((AE126+$L$11+$N$11)&gt;=$K$11,((AE126+$L$11+$N$11)-$K$11)-0.5*HU_alpha/$S$11*((AE126+$L$11+$N$11)-$K$11)^2,IF((AE126+$L$11+$N$11)&gt;=$T$11,HU_beta*((AE126+$L$11+$N$11)-$K$11),HU_beta*($T$11-$K$11)))))</f>
        <v/>
      </c>
      <c r="BC126" s="29">
        <f>IF(OR(AZ126=0,$S$11=0),0,IF((AE126+$K$11)&gt;$S$11/HU_alpha+$K$11,0.5*$S$11/HU_alpha,IF((AE126+$K$11)&gt;=$K$11,((AE126+$K$11)-$K$11)-0.5*HU_alpha/$S$11*((AE126+$K$11)-$K$11)^2,IF((AE126+$K$11)&gt;=$T$11,HU_beta*((AE126+$K$11)-$K$11),HU_beta*($T$11-$K$11)))))</f>
        <v/>
      </c>
      <c r="BD126" s="63">
        <f>IF(AND($J$12,A126=$Q$12),J126,0)</f>
        <v/>
      </c>
      <c r="BE126" s="29">
        <f>IF(OR(BD126=0,$S$12=0),0,IF((AE126+$L$12)&gt;$S$12/HU_alpha+$K$12,0.5*$S$12/HU_alpha,IF((AE126+$L$12)&gt;=$K$12,((AE126+$L$12)-$K$12)-0.5*HU_alpha/$S$12*((AE126+$L$12)-$K$12)^2,IF((AE126+$L$12)&gt;=$T$12,HU_beta*((AE126+$L$12)-$K$12),HU_beta*($T$12-$K$12)))))</f>
        <v/>
      </c>
      <c r="BF126" s="29">
        <f>IF(OR(BD126=0,$S$12=0),0,IF((AE126+$L$12+$N$12)&gt;$S$12/HU_alpha+$K$12,0.5*$S$12/HU_alpha,IF((AE126+$L$12+$N$12)&gt;=$K$12,((AE126+$L$12+$N$12)-$K$12)-0.5*HU_alpha/$S$12*((AE126+$L$12+$N$12)-$K$12)^2,IF((AE126+$L$12+$N$12)&gt;=$T$12,HU_beta*((AE126+$L$12+$N$12)-$K$12),HU_beta*($T$12-$K$12)))))</f>
        <v/>
      </c>
      <c r="BG126" s="29">
        <f>IF(OR(BD126=0,$S$12=0),0,IF((AE126+$K$12)&gt;$S$12/HU_alpha+$K$12,0.5*$S$12/HU_alpha,IF((AE126+$K$12)&gt;=$K$12,((AE126+$K$12)-$K$12)-0.5*HU_alpha/$S$12*((AE126+$K$12)-$K$12)^2,IF((AE126+$K$12)&gt;=$T$12,HU_beta*((AE126+$K$12)-$K$12),HU_beta*($T$12-$K$12)))))</f>
        <v/>
      </c>
      <c r="BH126" s="63">
        <f>IF(AND($J$13,A126=$Q$13),J126,0)</f>
        <v/>
      </c>
      <c r="BI126" s="29">
        <f>IF(OR(BH126=0,$S$13=0),0,IF((AE126+$L$13)&gt;$S$13/HU_alpha+$K$13,0.5*$S$13/HU_alpha,IF((AE126+$L$13)&gt;=$K$13,((AE126+$L$13)-$K$13)-0.5*HU_alpha/$S$13*((AE126+$L$13)-$K$13)^2,IF((AE126+$L$13)&gt;=$T$13,HU_beta*((AE126+$L$13)-$K$13),HU_beta*($T$13-$K$13)))))</f>
        <v/>
      </c>
      <c r="BJ126" s="29">
        <f>IF(OR(BH126=0,$S$13=0),0,IF((AE126+$L$13+$N$13)&gt;$S$13/HU_alpha+$K$13,0.5*$S$13/HU_alpha,IF((AE126+$L$13+$N$13)&gt;=$K$13,((AE126+$L$13+$N$13)-$K$13)-0.5*HU_alpha/$S$13*((AE126+$L$13+$N$13)-$K$13)^2,IF((AE126+$L$13+$N$13)&gt;=$T$13,HU_beta*((AE126+$L$13+$N$13)-$K$13),HU_beta*($T$13-$K$13)))))</f>
        <v/>
      </c>
      <c r="BK126" s="29">
        <f>IF(OR(BH126=0,$S$13=0),0,IF((AE126+$K$13)&gt;$S$13/HU_alpha+$K$13,0.5*$S$13/HU_alpha,IF((AE126+$K$13)&gt;=$K$13,((AE126+$K$13)-$K$13)-0.5*HU_alpha/$S$13*((AE126+$K$13)-$K$13)^2,IF((AE126+$K$13)&gt;=$T$13,HU_beta*((AE126+$K$13)-$K$13),HU_beta*($T$13-$K$13)))))</f>
        <v/>
      </c>
    </row>
    <row r="127">
      <c r="A127" s="61" t="n">
        <v>59</v>
      </c>
      <c r="B127" s="61">
        <f>HU_age+A127</f>
        <v/>
      </c>
      <c r="C127" s="52">
        <f>A127&lt;=HU_T</f>
        <v/>
      </c>
      <c r="D127" s="63">
        <f>IF(OR(A127&lt;1,A127&gt;HU_T),0,INDEX(HU_q_mort,HU_age+A127-17,HU_col))</f>
        <v/>
      </c>
      <c r="E127" s="63">
        <f>IF(OR(A127&lt;1,A127&gt;HU_T),0,INDEX(HU_q_adb,HU_age+A127-17,HU_col))</f>
        <v/>
      </c>
      <c r="F127" s="63">
        <f>IF(OR(A127&lt;1,A127&gt;HU_T),0,INDEX(HU_q_morb,HU_age+A127-17,HU_col))</f>
        <v/>
      </c>
      <c r="G127" s="63">
        <f>IF(OR(A127&lt;1,A127&gt;HU_T),0,INDEX(HU_q_ptd,HU_age+A127-17,HU_col))</f>
        <v/>
      </c>
      <c r="H127" s="63">
        <f>IF(OR(A127&lt;1,A127&gt;HU_T),0,INDEX(HU_q_dis,HU_age+A127-17,HU_col))</f>
        <v/>
      </c>
      <c r="I127" s="63">
        <f>IF(A127&gt;HU_T,0,I126*(1-D127)*(1-E127))</f>
        <v/>
      </c>
      <c r="J127" s="63">
        <f>IF(A127&gt;=HU_T,0,N(I128))</f>
        <v/>
      </c>
      <c r="K127" s="63">
        <f>K126*(1-G127)</f>
        <v/>
      </c>
      <c r="L127" s="63">
        <f>1-K127</f>
        <v/>
      </c>
      <c r="M127" s="63">
        <f>K126*G127</f>
        <v/>
      </c>
      <c r="N127" s="63">
        <f>N126*(1-H127)</f>
        <v/>
      </c>
      <c r="O127" s="63">
        <f>1-N126</f>
        <v/>
      </c>
      <c r="P127" s="63">
        <f>P126*(1-F127)</f>
        <v/>
      </c>
      <c r="Q127" s="63">
        <f>1-P126/INDEX($P$68:$P$150,MAX(1,A127-HU_ciYears))</f>
        <v/>
      </c>
      <c r="R127" s="60">
        <f>(1+inflationRate)^A127</f>
        <v/>
      </c>
      <c r="S127" s="29">
        <f>IF(OR(OR(A127&lt;1,A127&gt;HU_T),A127-1&gt;=HU_dtr),0,HU_inc0*(1+incomeGrowthRate)^A127)</f>
        <v/>
      </c>
      <c r="T127" s="60">
        <f>IF(A127&gt;HU_T,T126,T126*(1+INDEX(HU_ssG,HU_age+A127-17)))</f>
        <v/>
      </c>
      <c r="U127" s="29">
        <f>IF(AND(HU_dtr&gt;=1,A127=HU_dtr,A127&lt;=HU_T),MIN(S127*INDEX(HU_ssC,HU_age+A127-17)/(1-INDEX(HU_ssC,HU_age+A127-17)),INDEX(HU_ssCap,HU_age+A127-17))*T127,0)</f>
        <v/>
      </c>
      <c r="V127" s="29">
        <f>S127+U127+IF(AND(HU_wdOn,A127=HU_wdYear),HU_wdIncome,0)</f>
        <v/>
      </c>
      <c r="W127" s="60">
        <f>HU_ciProp*Q127+HU_tpdCut*L127+HU_disCut*O127</f>
        <v/>
      </c>
      <c r="X127" s="29">
        <f>IF(OR(A127&lt;1,A127&gt;HU_T),0,V127*(1-W127))</f>
        <v/>
      </c>
      <c r="Y127" s="29">
        <f>IF(OR(A127&lt;1,A127&gt;HU_T),0,IF(AND(HU_retExp&gt;0,A127-1&gt;=HU_dtr),HU_retExp,HU_exp0)*R127)</f>
        <v/>
      </c>
      <c r="Z127" s="29">
        <f>-Y127-IF(AND(HU_wdOn,A127=HU_wdYear),HU_wdOut,0)</f>
        <v/>
      </c>
      <c r="AA127" s="29">
        <f>IF(OR(A127&lt;1,A127&gt;HU_T),0,-HU_medCost*R127*F127-HU_tpdCost*R127*M127)</f>
        <v/>
      </c>
      <c r="AB127" s="29">
        <f>IF(A127&gt;HU_T,0,AB126*(1+interestRate)+X127+Z127+AA127)</f>
        <v/>
      </c>
      <c r="AC127" s="29">
        <f>IF(A127&gt;HU_T,0,HU_inv*EXP(HU_mu*A127))</f>
        <v/>
      </c>
      <c r="AD127" s="29">
        <f>IF(A127&gt;HU_T,0,MAX(0,AC127+AB127))</f>
        <v/>
      </c>
      <c r="AE127" s="29">
        <f>IF(A127&gt;HU_T,0,MAX(0,X127-Y127))</f>
        <v/>
      </c>
      <c r="AF127" s="63">
        <f>IF(AND($J$6,A127&gt;=1,A127&lt;=$Q$6-1),J127,0)</f>
        <v/>
      </c>
      <c r="AG127" s="29">
        <f>IF(OR(AF127=0,$S$6=0),0,IF((AD127+$L$6)&gt;$S$6/HU_alpha+$K$6,0.5*$S$6/HU_alpha,IF((AD127+$L$6)&gt;=$K$6,((AD127+$L$6)-$K$6)-0.5*HU_alpha/$S$6*((AD127+$L$6)-$K$6)^2,IF((AD127+$L$6)&gt;=$T$6,HU_beta*((AD127+$L$6)-$K$6),HU_beta*($T$6-$K$6)))))</f>
        <v/>
      </c>
      <c r="AH127" s="29">
        <f>IF(OR(AF127=0,$S$6=0),0,IF((AD127+$L$6+$N$6)&gt;$S$6/HU_alpha+$K$6,0.5*$S$6/HU_alpha,IF((AD127+$L$6+$N$6)&gt;=$K$6,((AD127+$L$6+$N$6)-$K$6)-0.5*HU_alpha/$S$6*((AD127+$L$6+$N$6)-$K$6)^2,IF((AD127+$L$6+$N$6)&gt;=$T$6,HU_beta*((AD127+$L$6+$N$6)-$K$6),HU_beta*($T$6-$K$6)))))</f>
        <v/>
      </c>
      <c r="AI127" s="29">
        <f>IF(OR(AF127=0,$S$6=0),0,IF((AD127+$K$6)&gt;$S$6/HU_alpha+$K$6,0.5*$S$6/HU_alpha,IF((AD127+$K$6)&gt;=$K$6,((AD127+$K$6)-$K$6)-0.5*HU_alpha/$S$6*((AD127+$K$6)-$K$6)^2,IF((AD127+$K$6)&gt;=$T$6,HU_beta*((AD127+$K$6)-$K$6),HU_beta*($T$6-$K$6)))))</f>
        <v/>
      </c>
      <c r="AJ127" s="63">
        <f>IF(AND($J$7,A127&gt;=1,A127&lt;=$Q$7-1),J127,0)</f>
        <v/>
      </c>
      <c r="AK127" s="29">
        <f>IF(OR(AJ127=0,$S$7=0),0,IF((AE127+$L$7)&gt;$S$7/HU_alpha+$K$7,0.5*$S$7/HU_alpha,IF((AE127+$L$7)&gt;=$K$7,((AE127+$L$7)-$K$7)-0.5*HU_alpha/$S$7*((AE127+$L$7)-$K$7)^2,IF((AE127+$L$7)&gt;=$T$7,HU_beta*((AE127+$L$7)-$K$7),HU_beta*($T$7-$K$7)))))</f>
        <v/>
      </c>
      <c r="AL127" s="29">
        <f>IF(OR(AJ127=0,$S$7=0),0,IF((AE127+$L$7+$N$7)&gt;$S$7/HU_alpha+$K$7,0.5*$S$7/HU_alpha,IF((AE127+$L$7+$N$7)&gt;=$K$7,((AE127+$L$7+$N$7)-$K$7)-0.5*HU_alpha/$S$7*((AE127+$L$7+$N$7)-$K$7)^2,IF((AE127+$L$7+$N$7)&gt;=$T$7,HU_beta*((AE127+$L$7+$N$7)-$K$7),HU_beta*($T$7-$K$7)))))</f>
        <v/>
      </c>
      <c r="AM127" s="29">
        <f>IF(OR(AJ127=0,$S$7=0),0,IF((AE127+$K$7)&gt;$S$7/HU_alpha+$K$7,0.5*$S$7/HU_alpha,IF((AE127+$K$7)&gt;=$K$7,((AE127+$K$7)-$K$7)-0.5*HU_alpha/$S$7*((AE127+$K$7)-$K$7)^2,IF((AE127+$K$7)&gt;=$T$7,HU_beta*((AE127+$K$7)-$K$7),HU_beta*($T$7-$K$7)))))</f>
        <v/>
      </c>
      <c r="AN127" s="63">
        <f>IF(AND($J$8,A127&gt;=1,A127&lt;=$Q$8-1),J127,0)</f>
        <v/>
      </c>
      <c r="AO127" s="29">
        <f>IF(OR(AN127=0,$S$8=0),0,IF((AE127+$L$8)&gt;$S$8/HU_alpha+$K$8,0.5*$S$8/HU_alpha,IF((AE127+$L$8)&gt;=$K$8,((AE127+$L$8)-$K$8)-0.5*HU_alpha/$S$8*((AE127+$L$8)-$K$8)^2,IF((AE127+$L$8)&gt;=$T$8,HU_beta*((AE127+$L$8)-$K$8),HU_beta*($T$8-$K$8)))))</f>
        <v/>
      </c>
      <c r="AP127" s="29">
        <f>IF(OR(AN127=0,$S$8=0),0,IF((AE127+$L$8+$N$8)&gt;$S$8/HU_alpha+$K$8,0.5*$S$8/HU_alpha,IF((AE127+$L$8+$N$8)&gt;=$K$8,((AE127+$L$8+$N$8)-$K$8)-0.5*HU_alpha/$S$8*((AE127+$L$8+$N$8)-$K$8)^2,IF((AE127+$L$8+$N$8)&gt;=$T$8,HU_beta*((AE127+$L$8+$N$8)-$K$8),HU_beta*($T$8-$K$8)))))</f>
        <v/>
      </c>
      <c r="AQ127" s="29">
        <f>IF(OR(AN127=0,$S$8=0),0,IF((AE127+$K$8)&gt;$S$8/HU_alpha+$K$8,0.5*$S$8/HU_alpha,IF((AE127+$K$8)&gt;=$K$8,((AE127+$K$8)-$K$8)-0.5*HU_alpha/$S$8*((AE127+$K$8)-$K$8)^2,IF((AE127+$K$8)&gt;=$T$8,HU_beta*((AE127+$K$8)-$K$8),HU_beta*($T$8-$K$8)))))</f>
        <v/>
      </c>
      <c r="AR127" s="63">
        <f>IF(AND($J$9,A127&gt;=1,A127&lt;=$Q$9-1),J127,0)</f>
        <v/>
      </c>
      <c r="AS127" s="29">
        <f>IF(OR(AR127=0,$S$9=0),0,IF((AE127+$L$9)&gt;$S$9/HU_alpha+$K$9,0.5*$S$9/HU_alpha,IF((AE127+$L$9)&gt;=$K$9,((AE127+$L$9)-$K$9)-0.5*HU_alpha/$S$9*((AE127+$L$9)-$K$9)^2,IF((AE127+$L$9)&gt;=$T$9,HU_beta*((AE127+$L$9)-$K$9),HU_beta*($T$9-$K$9)))))</f>
        <v/>
      </c>
      <c r="AT127" s="29">
        <f>IF(OR(AR127=0,$S$9=0),0,IF((AE127+$L$9+$N$9)&gt;$S$9/HU_alpha+$K$9,0.5*$S$9/HU_alpha,IF((AE127+$L$9+$N$9)&gt;=$K$9,((AE127+$L$9+$N$9)-$K$9)-0.5*HU_alpha/$S$9*((AE127+$L$9+$N$9)-$K$9)^2,IF((AE127+$L$9+$N$9)&gt;=$T$9,HU_beta*((AE127+$L$9+$N$9)-$K$9),HU_beta*($T$9-$K$9)))))</f>
        <v/>
      </c>
      <c r="AU127" s="29">
        <f>IF(OR(AR127=0,$S$9=0),0,IF((AE127+$K$9)&gt;$S$9/HU_alpha+$K$9,0.5*$S$9/HU_alpha,IF((AE127+$K$9)&gt;=$K$9,((AE127+$K$9)-$K$9)-0.5*HU_alpha/$S$9*((AE127+$K$9)-$K$9)^2,IF((AE127+$K$9)&gt;=$T$9,HU_beta*((AE127+$K$9)-$K$9),HU_beta*($T$9-$K$9)))))</f>
        <v/>
      </c>
      <c r="AV127" s="63">
        <f>IF(AND($J$10,A127=$Q$10),J127,0)</f>
        <v/>
      </c>
      <c r="AW127" s="29">
        <f>IF(OR(AV127=0,$S$10=0),0,IF((AD127+$L$10)&gt;$S$10/HU_alpha+$K$10,0.5*$S$10/HU_alpha,IF((AD127+$L$10)&gt;=$K$10,((AD127+$L$10)-$K$10)-0.5*HU_alpha/$S$10*((AD127+$L$10)-$K$10)^2,IF((AD127+$L$10)&gt;=$T$10,HU_beta*((AD127+$L$10)-$K$10),HU_beta*($T$10-$K$10)))))</f>
        <v/>
      </c>
      <c r="AX127" s="29">
        <f>IF(OR(AV127=0,$S$10=0),0,IF((AD127+$L$10+$N$10)&gt;$S$10/HU_alpha+$K$10,0.5*$S$10/HU_alpha,IF((AD127+$L$10+$N$10)&gt;=$K$10,((AD127+$L$10+$N$10)-$K$10)-0.5*HU_alpha/$S$10*((AD127+$L$10+$N$10)-$K$10)^2,IF((AD127+$L$10+$N$10)&gt;=$T$10,HU_beta*((AD127+$L$10+$N$10)-$K$10),HU_beta*($T$10-$K$10)))))</f>
        <v/>
      </c>
      <c r="AY127" s="29">
        <f>IF(OR(AV127=0,$S$10=0),0,IF((AD127+$K$10)&gt;$S$10/HU_alpha+$K$10,0.5*$S$10/HU_alpha,IF((AD127+$K$10)&gt;=$K$10,((AD127+$K$10)-$K$10)-0.5*HU_alpha/$S$10*((AD127+$K$10)-$K$10)^2,IF((AD127+$K$10)&gt;=$T$10,HU_beta*((AD127+$K$10)-$K$10),HU_beta*($T$10-$K$10)))))</f>
        <v/>
      </c>
      <c r="AZ127" s="63">
        <f>IF(AND($J$11,A127=$Q$11),J127,0)</f>
        <v/>
      </c>
      <c r="BA127" s="29">
        <f>IF(OR(AZ127=0,$S$11=0),0,IF((AE127+$L$11)&gt;$S$11/HU_alpha+$K$11,0.5*$S$11/HU_alpha,IF((AE127+$L$11)&gt;=$K$11,((AE127+$L$11)-$K$11)-0.5*HU_alpha/$S$11*((AE127+$L$11)-$K$11)^2,IF((AE127+$L$11)&gt;=$T$11,HU_beta*((AE127+$L$11)-$K$11),HU_beta*($T$11-$K$11)))))</f>
        <v/>
      </c>
      <c r="BB127" s="29">
        <f>IF(OR(AZ127=0,$S$11=0),0,IF((AE127+$L$11+$N$11)&gt;$S$11/HU_alpha+$K$11,0.5*$S$11/HU_alpha,IF((AE127+$L$11+$N$11)&gt;=$K$11,((AE127+$L$11+$N$11)-$K$11)-0.5*HU_alpha/$S$11*((AE127+$L$11+$N$11)-$K$11)^2,IF((AE127+$L$11+$N$11)&gt;=$T$11,HU_beta*((AE127+$L$11+$N$11)-$K$11),HU_beta*($T$11-$K$11)))))</f>
        <v/>
      </c>
      <c r="BC127" s="29">
        <f>IF(OR(AZ127=0,$S$11=0),0,IF((AE127+$K$11)&gt;$S$11/HU_alpha+$K$11,0.5*$S$11/HU_alpha,IF((AE127+$K$11)&gt;=$K$11,((AE127+$K$11)-$K$11)-0.5*HU_alpha/$S$11*((AE127+$K$11)-$K$11)^2,IF((AE127+$K$11)&gt;=$T$11,HU_beta*((AE127+$K$11)-$K$11),HU_beta*($T$11-$K$11)))))</f>
        <v/>
      </c>
      <c r="BD127" s="63">
        <f>IF(AND($J$12,A127=$Q$12),J127,0)</f>
        <v/>
      </c>
      <c r="BE127" s="29">
        <f>IF(OR(BD127=0,$S$12=0),0,IF((AE127+$L$12)&gt;$S$12/HU_alpha+$K$12,0.5*$S$12/HU_alpha,IF((AE127+$L$12)&gt;=$K$12,((AE127+$L$12)-$K$12)-0.5*HU_alpha/$S$12*((AE127+$L$12)-$K$12)^2,IF((AE127+$L$12)&gt;=$T$12,HU_beta*((AE127+$L$12)-$K$12),HU_beta*($T$12-$K$12)))))</f>
        <v/>
      </c>
      <c r="BF127" s="29">
        <f>IF(OR(BD127=0,$S$12=0),0,IF((AE127+$L$12+$N$12)&gt;$S$12/HU_alpha+$K$12,0.5*$S$12/HU_alpha,IF((AE127+$L$12+$N$12)&gt;=$K$12,((AE127+$L$12+$N$12)-$K$12)-0.5*HU_alpha/$S$12*((AE127+$L$12+$N$12)-$K$12)^2,IF((AE127+$L$12+$N$12)&gt;=$T$12,HU_beta*((AE127+$L$12+$N$12)-$K$12),HU_beta*($T$12-$K$12)))))</f>
        <v/>
      </c>
      <c r="BG127" s="29">
        <f>IF(OR(BD127=0,$S$12=0),0,IF((AE127+$K$12)&gt;$S$12/HU_alpha+$K$12,0.5*$S$12/HU_alpha,IF((AE127+$K$12)&gt;=$K$12,((AE127+$K$12)-$K$12)-0.5*HU_alpha/$S$12*((AE127+$K$12)-$K$12)^2,IF((AE127+$K$12)&gt;=$T$12,HU_beta*((AE127+$K$12)-$K$12),HU_beta*($T$12-$K$12)))))</f>
        <v/>
      </c>
      <c r="BH127" s="63">
        <f>IF(AND($J$13,A127=$Q$13),J127,0)</f>
        <v/>
      </c>
      <c r="BI127" s="29">
        <f>IF(OR(BH127=0,$S$13=0),0,IF((AE127+$L$13)&gt;$S$13/HU_alpha+$K$13,0.5*$S$13/HU_alpha,IF((AE127+$L$13)&gt;=$K$13,((AE127+$L$13)-$K$13)-0.5*HU_alpha/$S$13*((AE127+$L$13)-$K$13)^2,IF((AE127+$L$13)&gt;=$T$13,HU_beta*((AE127+$L$13)-$K$13),HU_beta*($T$13-$K$13)))))</f>
        <v/>
      </c>
      <c r="BJ127" s="29">
        <f>IF(OR(BH127=0,$S$13=0),0,IF((AE127+$L$13+$N$13)&gt;$S$13/HU_alpha+$K$13,0.5*$S$13/HU_alpha,IF((AE127+$L$13+$N$13)&gt;=$K$13,((AE127+$L$13+$N$13)-$K$13)-0.5*HU_alpha/$S$13*((AE127+$L$13+$N$13)-$K$13)^2,IF((AE127+$L$13+$N$13)&gt;=$T$13,HU_beta*((AE127+$L$13+$N$13)-$K$13),HU_beta*($T$13-$K$13)))))</f>
        <v/>
      </c>
      <c r="BK127" s="29">
        <f>IF(OR(BH127=0,$S$13=0),0,IF((AE127+$K$13)&gt;$S$13/HU_alpha+$K$13,0.5*$S$13/HU_alpha,IF((AE127+$K$13)&gt;=$K$13,((AE127+$K$13)-$K$13)-0.5*HU_alpha/$S$13*((AE127+$K$13)-$K$13)^2,IF((AE127+$K$13)&gt;=$T$13,HU_beta*((AE127+$K$13)-$K$13),HU_beta*($T$13-$K$13)))))</f>
        <v/>
      </c>
    </row>
    <row r="128">
      <c r="A128" s="61" t="n">
        <v>60</v>
      </c>
      <c r="B128" s="61">
        <f>HU_age+A128</f>
        <v/>
      </c>
      <c r="C128" s="52">
        <f>A128&lt;=HU_T</f>
        <v/>
      </c>
      <c r="D128" s="63">
        <f>IF(OR(A128&lt;1,A128&gt;HU_T),0,INDEX(HU_q_mort,HU_age+A128-17,HU_col))</f>
        <v/>
      </c>
      <c r="E128" s="63">
        <f>IF(OR(A128&lt;1,A128&gt;HU_T),0,INDEX(HU_q_adb,HU_age+A128-17,HU_col))</f>
        <v/>
      </c>
      <c r="F128" s="63">
        <f>IF(OR(A128&lt;1,A128&gt;HU_T),0,INDEX(HU_q_morb,HU_age+A128-17,HU_col))</f>
        <v/>
      </c>
      <c r="G128" s="63">
        <f>IF(OR(A128&lt;1,A128&gt;HU_T),0,INDEX(HU_q_ptd,HU_age+A128-17,HU_col))</f>
        <v/>
      </c>
      <c r="H128" s="63">
        <f>IF(OR(A128&lt;1,A128&gt;HU_T),0,INDEX(HU_q_dis,HU_age+A128-17,HU_col))</f>
        <v/>
      </c>
      <c r="I128" s="63">
        <f>IF(A128&gt;HU_T,0,I127*(1-D128)*(1-E128))</f>
        <v/>
      </c>
      <c r="J128" s="63">
        <f>IF(A128&gt;=HU_T,0,N(I129))</f>
        <v/>
      </c>
      <c r="K128" s="63">
        <f>K127*(1-G128)</f>
        <v/>
      </c>
      <c r="L128" s="63">
        <f>1-K128</f>
        <v/>
      </c>
      <c r="M128" s="63">
        <f>K127*G128</f>
        <v/>
      </c>
      <c r="N128" s="63">
        <f>N127*(1-H128)</f>
        <v/>
      </c>
      <c r="O128" s="63">
        <f>1-N127</f>
        <v/>
      </c>
      <c r="P128" s="63">
        <f>P127*(1-F128)</f>
        <v/>
      </c>
      <c r="Q128" s="63">
        <f>1-P127/INDEX($P$68:$P$150,MAX(1,A128-HU_ciYears))</f>
        <v/>
      </c>
      <c r="R128" s="60">
        <f>(1+inflationRate)^A128</f>
        <v/>
      </c>
      <c r="S128" s="29">
        <f>IF(OR(OR(A128&lt;1,A128&gt;HU_T),A128-1&gt;=HU_dtr),0,HU_inc0*(1+incomeGrowthRate)^A128)</f>
        <v/>
      </c>
      <c r="T128" s="60">
        <f>IF(A128&gt;HU_T,T127,T127*(1+INDEX(HU_ssG,HU_age+A128-17)))</f>
        <v/>
      </c>
      <c r="U128" s="29">
        <f>IF(AND(HU_dtr&gt;=1,A128=HU_dtr,A128&lt;=HU_T),MIN(S128*INDEX(HU_ssC,HU_age+A128-17)/(1-INDEX(HU_ssC,HU_age+A128-17)),INDEX(HU_ssCap,HU_age+A128-17))*T128,0)</f>
        <v/>
      </c>
      <c r="V128" s="29">
        <f>S128+U128+IF(AND(HU_wdOn,A128=HU_wdYear),HU_wdIncome,0)</f>
        <v/>
      </c>
      <c r="W128" s="60">
        <f>HU_ciProp*Q128+HU_tpdCut*L128+HU_disCut*O128</f>
        <v/>
      </c>
      <c r="X128" s="29">
        <f>IF(OR(A128&lt;1,A128&gt;HU_T),0,V128*(1-W128))</f>
        <v/>
      </c>
      <c r="Y128" s="29">
        <f>IF(OR(A128&lt;1,A128&gt;HU_T),0,IF(AND(HU_retExp&gt;0,A128-1&gt;=HU_dtr),HU_retExp,HU_exp0)*R128)</f>
        <v/>
      </c>
      <c r="Z128" s="29">
        <f>-Y128-IF(AND(HU_wdOn,A128=HU_wdYear),HU_wdOut,0)</f>
        <v/>
      </c>
      <c r="AA128" s="29">
        <f>IF(OR(A128&lt;1,A128&gt;HU_T),0,-HU_medCost*R128*F128-HU_tpdCost*R128*M128)</f>
        <v/>
      </c>
      <c r="AB128" s="29">
        <f>IF(A128&gt;HU_T,0,AB127*(1+interestRate)+X128+Z128+AA128)</f>
        <v/>
      </c>
      <c r="AC128" s="29">
        <f>IF(A128&gt;HU_T,0,HU_inv*EXP(HU_mu*A128))</f>
        <v/>
      </c>
      <c r="AD128" s="29">
        <f>IF(A128&gt;HU_T,0,MAX(0,AC128+AB128))</f>
        <v/>
      </c>
      <c r="AE128" s="29">
        <f>IF(A128&gt;HU_T,0,MAX(0,X128-Y128))</f>
        <v/>
      </c>
      <c r="AF128" s="63">
        <f>IF(AND($J$6,A128&gt;=1,A128&lt;=$Q$6-1),J128,0)</f>
        <v/>
      </c>
      <c r="AG128" s="29">
        <f>IF(OR(AF128=0,$S$6=0),0,IF((AD128+$L$6)&gt;$S$6/HU_alpha+$K$6,0.5*$S$6/HU_alpha,IF((AD128+$L$6)&gt;=$K$6,((AD128+$L$6)-$K$6)-0.5*HU_alpha/$S$6*((AD128+$L$6)-$K$6)^2,IF((AD128+$L$6)&gt;=$T$6,HU_beta*((AD128+$L$6)-$K$6),HU_beta*($T$6-$K$6)))))</f>
        <v/>
      </c>
      <c r="AH128" s="29">
        <f>IF(OR(AF128=0,$S$6=0),0,IF((AD128+$L$6+$N$6)&gt;$S$6/HU_alpha+$K$6,0.5*$S$6/HU_alpha,IF((AD128+$L$6+$N$6)&gt;=$K$6,((AD128+$L$6+$N$6)-$K$6)-0.5*HU_alpha/$S$6*((AD128+$L$6+$N$6)-$K$6)^2,IF((AD128+$L$6+$N$6)&gt;=$T$6,HU_beta*((AD128+$L$6+$N$6)-$K$6),HU_beta*($T$6-$K$6)))))</f>
        <v/>
      </c>
      <c r="AI128" s="29">
        <f>IF(OR(AF128=0,$S$6=0),0,IF((AD128+$K$6)&gt;$S$6/HU_alpha+$K$6,0.5*$S$6/HU_alpha,IF((AD128+$K$6)&gt;=$K$6,((AD128+$K$6)-$K$6)-0.5*HU_alpha/$S$6*((AD128+$K$6)-$K$6)^2,IF((AD128+$K$6)&gt;=$T$6,HU_beta*((AD128+$K$6)-$K$6),HU_beta*($T$6-$K$6)))))</f>
        <v/>
      </c>
      <c r="AJ128" s="63">
        <f>IF(AND($J$7,A128&gt;=1,A128&lt;=$Q$7-1),J128,0)</f>
        <v/>
      </c>
      <c r="AK128" s="29">
        <f>IF(OR(AJ128=0,$S$7=0),0,IF((AE128+$L$7)&gt;$S$7/HU_alpha+$K$7,0.5*$S$7/HU_alpha,IF((AE128+$L$7)&gt;=$K$7,((AE128+$L$7)-$K$7)-0.5*HU_alpha/$S$7*((AE128+$L$7)-$K$7)^2,IF((AE128+$L$7)&gt;=$T$7,HU_beta*((AE128+$L$7)-$K$7),HU_beta*($T$7-$K$7)))))</f>
        <v/>
      </c>
      <c r="AL128" s="29">
        <f>IF(OR(AJ128=0,$S$7=0),0,IF((AE128+$L$7+$N$7)&gt;$S$7/HU_alpha+$K$7,0.5*$S$7/HU_alpha,IF((AE128+$L$7+$N$7)&gt;=$K$7,((AE128+$L$7+$N$7)-$K$7)-0.5*HU_alpha/$S$7*((AE128+$L$7+$N$7)-$K$7)^2,IF((AE128+$L$7+$N$7)&gt;=$T$7,HU_beta*((AE128+$L$7+$N$7)-$K$7),HU_beta*($T$7-$K$7)))))</f>
        <v/>
      </c>
      <c r="AM128" s="29">
        <f>IF(OR(AJ128=0,$S$7=0),0,IF((AE128+$K$7)&gt;$S$7/HU_alpha+$K$7,0.5*$S$7/HU_alpha,IF((AE128+$K$7)&gt;=$K$7,((AE128+$K$7)-$K$7)-0.5*HU_alpha/$S$7*((AE128+$K$7)-$K$7)^2,IF((AE128+$K$7)&gt;=$T$7,HU_beta*((AE128+$K$7)-$K$7),HU_beta*($T$7-$K$7)))))</f>
        <v/>
      </c>
      <c r="AN128" s="63">
        <f>IF(AND($J$8,A128&gt;=1,A128&lt;=$Q$8-1),J128,0)</f>
        <v/>
      </c>
      <c r="AO128" s="29">
        <f>IF(OR(AN128=0,$S$8=0),0,IF((AE128+$L$8)&gt;$S$8/HU_alpha+$K$8,0.5*$S$8/HU_alpha,IF((AE128+$L$8)&gt;=$K$8,((AE128+$L$8)-$K$8)-0.5*HU_alpha/$S$8*((AE128+$L$8)-$K$8)^2,IF((AE128+$L$8)&gt;=$T$8,HU_beta*((AE128+$L$8)-$K$8),HU_beta*($T$8-$K$8)))))</f>
        <v/>
      </c>
      <c r="AP128" s="29">
        <f>IF(OR(AN128=0,$S$8=0),0,IF((AE128+$L$8+$N$8)&gt;$S$8/HU_alpha+$K$8,0.5*$S$8/HU_alpha,IF((AE128+$L$8+$N$8)&gt;=$K$8,((AE128+$L$8+$N$8)-$K$8)-0.5*HU_alpha/$S$8*((AE128+$L$8+$N$8)-$K$8)^2,IF((AE128+$L$8+$N$8)&gt;=$T$8,HU_beta*((AE128+$L$8+$N$8)-$K$8),HU_beta*($T$8-$K$8)))))</f>
        <v/>
      </c>
      <c r="AQ128" s="29">
        <f>IF(OR(AN128=0,$S$8=0),0,IF((AE128+$K$8)&gt;$S$8/HU_alpha+$K$8,0.5*$S$8/HU_alpha,IF((AE128+$K$8)&gt;=$K$8,((AE128+$K$8)-$K$8)-0.5*HU_alpha/$S$8*((AE128+$K$8)-$K$8)^2,IF((AE128+$K$8)&gt;=$T$8,HU_beta*((AE128+$K$8)-$K$8),HU_beta*($T$8-$K$8)))))</f>
        <v/>
      </c>
      <c r="AR128" s="63">
        <f>IF(AND($J$9,A128&gt;=1,A128&lt;=$Q$9-1),J128,0)</f>
        <v/>
      </c>
      <c r="AS128" s="29">
        <f>IF(OR(AR128=0,$S$9=0),0,IF((AE128+$L$9)&gt;$S$9/HU_alpha+$K$9,0.5*$S$9/HU_alpha,IF((AE128+$L$9)&gt;=$K$9,((AE128+$L$9)-$K$9)-0.5*HU_alpha/$S$9*((AE128+$L$9)-$K$9)^2,IF((AE128+$L$9)&gt;=$T$9,HU_beta*((AE128+$L$9)-$K$9),HU_beta*($T$9-$K$9)))))</f>
        <v/>
      </c>
      <c r="AT128" s="29">
        <f>IF(OR(AR128=0,$S$9=0),0,IF((AE128+$L$9+$N$9)&gt;$S$9/HU_alpha+$K$9,0.5*$S$9/HU_alpha,IF((AE128+$L$9+$N$9)&gt;=$K$9,((AE128+$L$9+$N$9)-$K$9)-0.5*HU_alpha/$S$9*((AE128+$L$9+$N$9)-$K$9)^2,IF((AE128+$L$9+$N$9)&gt;=$T$9,HU_beta*((AE128+$L$9+$N$9)-$K$9),HU_beta*($T$9-$K$9)))))</f>
        <v/>
      </c>
      <c r="AU128" s="29">
        <f>IF(OR(AR128=0,$S$9=0),0,IF((AE128+$K$9)&gt;$S$9/HU_alpha+$K$9,0.5*$S$9/HU_alpha,IF((AE128+$K$9)&gt;=$K$9,((AE128+$K$9)-$K$9)-0.5*HU_alpha/$S$9*((AE128+$K$9)-$K$9)^2,IF((AE128+$K$9)&gt;=$T$9,HU_beta*((AE128+$K$9)-$K$9),HU_beta*($T$9-$K$9)))))</f>
        <v/>
      </c>
      <c r="AV128" s="63">
        <f>IF(AND($J$10,A128=$Q$10),J128,0)</f>
        <v/>
      </c>
      <c r="AW128" s="29">
        <f>IF(OR(AV128=0,$S$10=0),0,IF((AD128+$L$10)&gt;$S$10/HU_alpha+$K$10,0.5*$S$10/HU_alpha,IF((AD128+$L$10)&gt;=$K$10,((AD128+$L$10)-$K$10)-0.5*HU_alpha/$S$10*((AD128+$L$10)-$K$10)^2,IF((AD128+$L$10)&gt;=$T$10,HU_beta*((AD128+$L$10)-$K$10),HU_beta*($T$10-$K$10)))))</f>
        <v/>
      </c>
      <c r="AX128" s="29">
        <f>IF(OR(AV128=0,$S$10=0),0,IF((AD128+$L$10+$N$10)&gt;$S$10/HU_alpha+$K$10,0.5*$S$10/HU_alpha,IF((AD128+$L$10+$N$10)&gt;=$K$10,((AD128+$L$10+$N$10)-$K$10)-0.5*HU_alpha/$S$10*((AD128+$L$10+$N$10)-$K$10)^2,IF((AD128+$L$10+$N$10)&gt;=$T$10,HU_beta*((AD128+$L$10+$N$10)-$K$10),HU_beta*($T$10-$K$10)))))</f>
        <v/>
      </c>
      <c r="AY128" s="29">
        <f>IF(OR(AV128=0,$S$10=0),0,IF((AD128+$K$10)&gt;$S$10/HU_alpha+$K$10,0.5*$S$10/HU_alpha,IF((AD128+$K$10)&gt;=$K$10,((AD128+$K$10)-$K$10)-0.5*HU_alpha/$S$10*((AD128+$K$10)-$K$10)^2,IF((AD128+$K$10)&gt;=$T$10,HU_beta*((AD128+$K$10)-$K$10),HU_beta*($T$10-$K$10)))))</f>
        <v/>
      </c>
      <c r="AZ128" s="63">
        <f>IF(AND($J$11,A128=$Q$11),J128,0)</f>
        <v/>
      </c>
      <c r="BA128" s="29">
        <f>IF(OR(AZ128=0,$S$11=0),0,IF((AE128+$L$11)&gt;$S$11/HU_alpha+$K$11,0.5*$S$11/HU_alpha,IF((AE128+$L$11)&gt;=$K$11,((AE128+$L$11)-$K$11)-0.5*HU_alpha/$S$11*((AE128+$L$11)-$K$11)^2,IF((AE128+$L$11)&gt;=$T$11,HU_beta*((AE128+$L$11)-$K$11),HU_beta*($T$11-$K$11)))))</f>
        <v/>
      </c>
      <c r="BB128" s="29">
        <f>IF(OR(AZ128=0,$S$11=0),0,IF((AE128+$L$11+$N$11)&gt;$S$11/HU_alpha+$K$11,0.5*$S$11/HU_alpha,IF((AE128+$L$11+$N$11)&gt;=$K$11,((AE128+$L$11+$N$11)-$K$11)-0.5*HU_alpha/$S$11*((AE128+$L$11+$N$11)-$K$11)^2,IF((AE128+$L$11+$N$11)&gt;=$T$11,HU_beta*((AE128+$L$11+$N$11)-$K$11),HU_beta*($T$11-$K$11)))))</f>
        <v/>
      </c>
      <c r="BC128" s="29">
        <f>IF(OR(AZ128=0,$S$11=0),0,IF((AE128+$K$11)&gt;$S$11/HU_alpha+$K$11,0.5*$S$11/HU_alpha,IF((AE128+$K$11)&gt;=$K$11,((AE128+$K$11)-$K$11)-0.5*HU_alpha/$S$11*((AE128+$K$11)-$K$11)^2,IF((AE128+$K$11)&gt;=$T$11,HU_beta*((AE128+$K$11)-$K$11),HU_beta*($T$11-$K$11)))))</f>
        <v/>
      </c>
      <c r="BD128" s="63">
        <f>IF(AND($J$12,A128=$Q$12),J128,0)</f>
        <v/>
      </c>
      <c r="BE128" s="29">
        <f>IF(OR(BD128=0,$S$12=0),0,IF((AE128+$L$12)&gt;$S$12/HU_alpha+$K$12,0.5*$S$12/HU_alpha,IF((AE128+$L$12)&gt;=$K$12,((AE128+$L$12)-$K$12)-0.5*HU_alpha/$S$12*((AE128+$L$12)-$K$12)^2,IF((AE128+$L$12)&gt;=$T$12,HU_beta*((AE128+$L$12)-$K$12),HU_beta*($T$12-$K$12)))))</f>
        <v/>
      </c>
      <c r="BF128" s="29">
        <f>IF(OR(BD128=0,$S$12=0),0,IF((AE128+$L$12+$N$12)&gt;$S$12/HU_alpha+$K$12,0.5*$S$12/HU_alpha,IF((AE128+$L$12+$N$12)&gt;=$K$12,((AE128+$L$12+$N$12)-$K$12)-0.5*HU_alpha/$S$12*((AE128+$L$12+$N$12)-$K$12)^2,IF((AE128+$L$12+$N$12)&gt;=$T$12,HU_beta*((AE128+$L$12+$N$12)-$K$12),HU_beta*($T$12-$K$12)))))</f>
        <v/>
      </c>
      <c r="BG128" s="29">
        <f>IF(OR(BD128=0,$S$12=0),0,IF((AE128+$K$12)&gt;$S$12/HU_alpha+$K$12,0.5*$S$12/HU_alpha,IF((AE128+$K$12)&gt;=$K$12,((AE128+$K$12)-$K$12)-0.5*HU_alpha/$S$12*((AE128+$K$12)-$K$12)^2,IF((AE128+$K$12)&gt;=$T$12,HU_beta*((AE128+$K$12)-$K$12),HU_beta*($T$12-$K$12)))))</f>
        <v/>
      </c>
      <c r="BH128" s="63">
        <f>IF(AND($J$13,A128=$Q$13),J128,0)</f>
        <v/>
      </c>
      <c r="BI128" s="29">
        <f>IF(OR(BH128=0,$S$13=0),0,IF((AE128+$L$13)&gt;$S$13/HU_alpha+$K$13,0.5*$S$13/HU_alpha,IF((AE128+$L$13)&gt;=$K$13,((AE128+$L$13)-$K$13)-0.5*HU_alpha/$S$13*((AE128+$L$13)-$K$13)^2,IF((AE128+$L$13)&gt;=$T$13,HU_beta*((AE128+$L$13)-$K$13),HU_beta*($T$13-$K$13)))))</f>
        <v/>
      </c>
      <c r="BJ128" s="29">
        <f>IF(OR(BH128=0,$S$13=0),0,IF((AE128+$L$13+$N$13)&gt;$S$13/HU_alpha+$K$13,0.5*$S$13/HU_alpha,IF((AE128+$L$13+$N$13)&gt;=$K$13,((AE128+$L$13+$N$13)-$K$13)-0.5*HU_alpha/$S$13*((AE128+$L$13+$N$13)-$K$13)^2,IF((AE128+$L$13+$N$13)&gt;=$T$13,HU_beta*((AE128+$L$13+$N$13)-$K$13),HU_beta*($T$13-$K$13)))))</f>
        <v/>
      </c>
      <c r="BK128" s="29">
        <f>IF(OR(BH128=0,$S$13=0),0,IF((AE128+$K$13)&gt;$S$13/HU_alpha+$K$13,0.5*$S$13/HU_alpha,IF((AE128+$K$13)&gt;=$K$13,((AE128+$K$13)-$K$13)-0.5*HU_alpha/$S$13*((AE128+$K$13)-$K$13)^2,IF((AE128+$K$13)&gt;=$T$13,HU_beta*((AE128+$K$13)-$K$13),HU_beta*($T$13-$K$13)))))</f>
        <v/>
      </c>
    </row>
    <row r="129">
      <c r="A129" s="61" t="n">
        <v>61</v>
      </c>
      <c r="B129" s="61">
        <f>HU_age+A129</f>
        <v/>
      </c>
      <c r="C129" s="52">
        <f>A129&lt;=HU_T</f>
        <v/>
      </c>
      <c r="D129" s="63">
        <f>IF(OR(A129&lt;1,A129&gt;HU_T),0,INDEX(HU_q_mort,HU_age+A129-17,HU_col))</f>
        <v/>
      </c>
      <c r="E129" s="63">
        <f>IF(OR(A129&lt;1,A129&gt;HU_T),0,INDEX(HU_q_adb,HU_age+A129-17,HU_col))</f>
        <v/>
      </c>
      <c r="F129" s="63">
        <f>IF(OR(A129&lt;1,A129&gt;HU_T),0,INDEX(HU_q_morb,HU_age+A129-17,HU_col))</f>
        <v/>
      </c>
      <c r="G129" s="63">
        <f>IF(OR(A129&lt;1,A129&gt;HU_T),0,INDEX(HU_q_ptd,HU_age+A129-17,HU_col))</f>
        <v/>
      </c>
      <c r="H129" s="63">
        <f>IF(OR(A129&lt;1,A129&gt;HU_T),0,INDEX(HU_q_dis,HU_age+A129-17,HU_col))</f>
        <v/>
      </c>
      <c r="I129" s="63">
        <f>IF(A129&gt;HU_T,0,I128*(1-D129)*(1-E129))</f>
        <v/>
      </c>
      <c r="J129" s="63">
        <f>IF(A129&gt;=HU_T,0,N(I130))</f>
        <v/>
      </c>
      <c r="K129" s="63">
        <f>K128*(1-G129)</f>
        <v/>
      </c>
      <c r="L129" s="63">
        <f>1-K129</f>
        <v/>
      </c>
      <c r="M129" s="63">
        <f>K128*G129</f>
        <v/>
      </c>
      <c r="N129" s="63">
        <f>N128*(1-H129)</f>
        <v/>
      </c>
      <c r="O129" s="63">
        <f>1-N128</f>
        <v/>
      </c>
      <c r="P129" s="63">
        <f>P128*(1-F129)</f>
        <v/>
      </c>
      <c r="Q129" s="63">
        <f>1-P128/INDEX($P$68:$P$150,MAX(1,A129-HU_ciYears))</f>
        <v/>
      </c>
      <c r="R129" s="60">
        <f>(1+inflationRate)^A129</f>
        <v/>
      </c>
      <c r="S129" s="29">
        <f>IF(OR(OR(A129&lt;1,A129&gt;HU_T),A129-1&gt;=HU_dtr),0,HU_inc0*(1+incomeGrowthRate)^A129)</f>
        <v/>
      </c>
      <c r="T129" s="60">
        <f>IF(A129&gt;HU_T,T128,T128*(1+INDEX(HU_ssG,HU_age+A129-17)))</f>
        <v/>
      </c>
      <c r="U129" s="29">
        <f>IF(AND(HU_dtr&gt;=1,A129=HU_dtr,A129&lt;=HU_T),MIN(S129*INDEX(HU_ssC,HU_age+A129-17)/(1-INDEX(HU_ssC,HU_age+A129-17)),INDEX(HU_ssCap,HU_age+A129-17))*T129,0)</f>
        <v/>
      </c>
      <c r="V129" s="29">
        <f>S129+U129+IF(AND(HU_wdOn,A129=HU_wdYear),HU_wdIncome,0)</f>
        <v/>
      </c>
      <c r="W129" s="60">
        <f>HU_ciProp*Q129+HU_tpdCut*L129+HU_disCut*O129</f>
        <v/>
      </c>
      <c r="X129" s="29">
        <f>IF(OR(A129&lt;1,A129&gt;HU_T),0,V129*(1-W129))</f>
        <v/>
      </c>
      <c r="Y129" s="29">
        <f>IF(OR(A129&lt;1,A129&gt;HU_T),0,IF(AND(HU_retExp&gt;0,A129-1&gt;=HU_dtr),HU_retExp,HU_exp0)*R129)</f>
        <v/>
      </c>
      <c r="Z129" s="29">
        <f>-Y129-IF(AND(HU_wdOn,A129=HU_wdYear),HU_wdOut,0)</f>
        <v/>
      </c>
      <c r="AA129" s="29">
        <f>IF(OR(A129&lt;1,A129&gt;HU_T),0,-HU_medCost*R129*F129-HU_tpdCost*R129*M129)</f>
        <v/>
      </c>
      <c r="AB129" s="29">
        <f>IF(A129&gt;HU_T,0,AB128*(1+interestRate)+X129+Z129+AA129)</f>
        <v/>
      </c>
      <c r="AC129" s="29">
        <f>IF(A129&gt;HU_T,0,HU_inv*EXP(HU_mu*A129))</f>
        <v/>
      </c>
      <c r="AD129" s="29">
        <f>IF(A129&gt;HU_T,0,MAX(0,AC129+AB129))</f>
        <v/>
      </c>
      <c r="AE129" s="29">
        <f>IF(A129&gt;HU_T,0,MAX(0,X129-Y129))</f>
        <v/>
      </c>
      <c r="AF129" s="63">
        <f>IF(AND($J$6,A129&gt;=1,A129&lt;=$Q$6-1),J129,0)</f>
        <v/>
      </c>
      <c r="AG129" s="29">
        <f>IF(OR(AF129=0,$S$6=0),0,IF((AD129+$L$6)&gt;$S$6/HU_alpha+$K$6,0.5*$S$6/HU_alpha,IF((AD129+$L$6)&gt;=$K$6,((AD129+$L$6)-$K$6)-0.5*HU_alpha/$S$6*((AD129+$L$6)-$K$6)^2,IF((AD129+$L$6)&gt;=$T$6,HU_beta*((AD129+$L$6)-$K$6),HU_beta*($T$6-$K$6)))))</f>
        <v/>
      </c>
      <c r="AH129" s="29">
        <f>IF(OR(AF129=0,$S$6=0),0,IF((AD129+$L$6+$N$6)&gt;$S$6/HU_alpha+$K$6,0.5*$S$6/HU_alpha,IF((AD129+$L$6+$N$6)&gt;=$K$6,((AD129+$L$6+$N$6)-$K$6)-0.5*HU_alpha/$S$6*((AD129+$L$6+$N$6)-$K$6)^2,IF((AD129+$L$6+$N$6)&gt;=$T$6,HU_beta*((AD129+$L$6+$N$6)-$K$6),HU_beta*($T$6-$K$6)))))</f>
        <v/>
      </c>
      <c r="AI129" s="29">
        <f>IF(OR(AF129=0,$S$6=0),0,IF((AD129+$K$6)&gt;$S$6/HU_alpha+$K$6,0.5*$S$6/HU_alpha,IF((AD129+$K$6)&gt;=$K$6,((AD129+$K$6)-$K$6)-0.5*HU_alpha/$S$6*((AD129+$K$6)-$K$6)^2,IF((AD129+$K$6)&gt;=$T$6,HU_beta*((AD129+$K$6)-$K$6),HU_beta*($T$6-$K$6)))))</f>
        <v/>
      </c>
      <c r="AJ129" s="63">
        <f>IF(AND($J$7,A129&gt;=1,A129&lt;=$Q$7-1),J129,0)</f>
        <v/>
      </c>
      <c r="AK129" s="29">
        <f>IF(OR(AJ129=0,$S$7=0),0,IF((AE129+$L$7)&gt;$S$7/HU_alpha+$K$7,0.5*$S$7/HU_alpha,IF((AE129+$L$7)&gt;=$K$7,((AE129+$L$7)-$K$7)-0.5*HU_alpha/$S$7*((AE129+$L$7)-$K$7)^2,IF((AE129+$L$7)&gt;=$T$7,HU_beta*((AE129+$L$7)-$K$7),HU_beta*($T$7-$K$7)))))</f>
        <v/>
      </c>
      <c r="AL129" s="29">
        <f>IF(OR(AJ129=0,$S$7=0),0,IF((AE129+$L$7+$N$7)&gt;$S$7/HU_alpha+$K$7,0.5*$S$7/HU_alpha,IF((AE129+$L$7+$N$7)&gt;=$K$7,((AE129+$L$7+$N$7)-$K$7)-0.5*HU_alpha/$S$7*((AE129+$L$7+$N$7)-$K$7)^2,IF((AE129+$L$7+$N$7)&gt;=$T$7,HU_beta*((AE129+$L$7+$N$7)-$K$7),HU_beta*($T$7-$K$7)))))</f>
        <v/>
      </c>
      <c r="AM129" s="29">
        <f>IF(OR(AJ129=0,$S$7=0),0,IF((AE129+$K$7)&gt;$S$7/HU_alpha+$K$7,0.5*$S$7/HU_alpha,IF((AE129+$K$7)&gt;=$K$7,((AE129+$K$7)-$K$7)-0.5*HU_alpha/$S$7*((AE129+$K$7)-$K$7)^2,IF((AE129+$K$7)&gt;=$T$7,HU_beta*((AE129+$K$7)-$K$7),HU_beta*($T$7-$K$7)))))</f>
        <v/>
      </c>
      <c r="AN129" s="63">
        <f>IF(AND($J$8,A129&gt;=1,A129&lt;=$Q$8-1),J129,0)</f>
        <v/>
      </c>
      <c r="AO129" s="29">
        <f>IF(OR(AN129=0,$S$8=0),0,IF((AE129+$L$8)&gt;$S$8/HU_alpha+$K$8,0.5*$S$8/HU_alpha,IF((AE129+$L$8)&gt;=$K$8,((AE129+$L$8)-$K$8)-0.5*HU_alpha/$S$8*((AE129+$L$8)-$K$8)^2,IF((AE129+$L$8)&gt;=$T$8,HU_beta*((AE129+$L$8)-$K$8),HU_beta*($T$8-$K$8)))))</f>
        <v/>
      </c>
      <c r="AP129" s="29">
        <f>IF(OR(AN129=0,$S$8=0),0,IF((AE129+$L$8+$N$8)&gt;$S$8/HU_alpha+$K$8,0.5*$S$8/HU_alpha,IF((AE129+$L$8+$N$8)&gt;=$K$8,((AE129+$L$8+$N$8)-$K$8)-0.5*HU_alpha/$S$8*((AE129+$L$8+$N$8)-$K$8)^2,IF((AE129+$L$8+$N$8)&gt;=$T$8,HU_beta*((AE129+$L$8+$N$8)-$K$8),HU_beta*($T$8-$K$8)))))</f>
        <v/>
      </c>
      <c r="AQ129" s="29">
        <f>IF(OR(AN129=0,$S$8=0),0,IF((AE129+$K$8)&gt;$S$8/HU_alpha+$K$8,0.5*$S$8/HU_alpha,IF((AE129+$K$8)&gt;=$K$8,((AE129+$K$8)-$K$8)-0.5*HU_alpha/$S$8*((AE129+$K$8)-$K$8)^2,IF((AE129+$K$8)&gt;=$T$8,HU_beta*((AE129+$K$8)-$K$8),HU_beta*($T$8-$K$8)))))</f>
        <v/>
      </c>
      <c r="AR129" s="63">
        <f>IF(AND($J$9,A129&gt;=1,A129&lt;=$Q$9-1),J129,0)</f>
        <v/>
      </c>
      <c r="AS129" s="29">
        <f>IF(OR(AR129=0,$S$9=0),0,IF((AE129+$L$9)&gt;$S$9/HU_alpha+$K$9,0.5*$S$9/HU_alpha,IF((AE129+$L$9)&gt;=$K$9,((AE129+$L$9)-$K$9)-0.5*HU_alpha/$S$9*((AE129+$L$9)-$K$9)^2,IF((AE129+$L$9)&gt;=$T$9,HU_beta*((AE129+$L$9)-$K$9),HU_beta*($T$9-$K$9)))))</f>
        <v/>
      </c>
      <c r="AT129" s="29">
        <f>IF(OR(AR129=0,$S$9=0),0,IF((AE129+$L$9+$N$9)&gt;$S$9/HU_alpha+$K$9,0.5*$S$9/HU_alpha,IF((AE129+$L$9+$N$9)&gt;=$K$9,((AE129+$L$9+$N$9)-$K$9)-0.5*HU_alpha/$S$9*((AE129+$L$9+$N$9)-$K$9)^2,IF((AE129+$L$9+$N$9)&gt;=$T$9,HU_beta*((AE129+$L$9+$N$9)-$K$9),HU_beta*($T$9-$K$9)))))</f>
        <v/>
      </c>
      <c r="AU129" s="29">
        <f>IF(OR(AR129=0,$S$9=0),0,IF((AE129+$K$9)&gt;$S$9/HU_alpha+$K$9,0.5*$S$9/HU_alpha,IF((AE129+$K$9)&gt;=$K$9,((AE129+$K$9)-$K$9)-0.5*HU_alpha/$S$9*((AE129+$K$9)-$K$9)^2,IF((AE129+$K$9)&gt;=$T$9,HU_beta*((AE129+$K$9)-$K$9),HU_beta*($T$9-$K$9)))))</f>
        <v/>
      </c>
      <c r="AV129" s="63">
        <f>IF(AND($J$10,A129=$Q$10),J129,0)</f>
        <v/>
      </c>
      <c r="AW129" s="29">
        <f>IF(OR(AV129=0,$S$10=0),0,IF((AD129+$L$10)&gt;$S$10/HU_alpha+$K$10,0.5*$S$10/HU_alpha,IF((AD129+$L$10)&gt;=$K$10,((AD129+$L$10)-$K$10)-0.5*HU_alpha/$S$10*((AD129+$L$10)-$K$10)^2,IF((AD129+$L$10)&gt;=$T$10,HU_beta*((AD129+$L$10)-$K$10),HU_beta*($T$10-$K$10)))))</f>
        <v/>
      </c>
      <c r="AX129" s="29">
        <f>IF(OR(AV129=0,$S$10=0),0,IF((AD129+$L$10+$N$10)&gt;$S$10/HU_alpha+$K$10,0.5*$S$10/HU_alpha,IF((AD129+$L$10+$N$10)&gt;=$K$10,((AD129+$L$10+$N$10)-$K$10)-0.5*HU_alpha/$S$10*((AD129+$L$10+$N$10)-$K$10)^2,IF((AD129+$L$10+$N$10)&gt;=$T$10,HU_beta*((AD129+$L$10+$N$10)-$K$10),HU_beta*($T$10-$K$10)))))</f>
        <v/>
      </c>
      <c r="AY129" s="29">
        <f>IF(OR(AV129=0,$S$10=0),0,IF((AD129+$K$10)&gt;$S$10/HU_alpha+$K$10,0.5*$S$10/HU_alpha,IF((AD129+$K$10)&gt;=$K$10,((AD129+$K$10)-$K$10)-0.5*HU_alpha/$S$10*((AD129+$K$10)-$K$10)^2,IF((AD129+$K$10)&gt;=$T$10,HU_beta*((AD129+$K$10)-$K$10),HU_beta*($T$10-$K$10)))))</f>
        <v/>
      </c>
      <c r="AZ129" s="63">
        <f>IF(AND($J$11,A129=$Q$11),J129,0)</f>
        <v/>
      </c>
      <c r="BA129" s="29">
        <f>IF(OR(AZ129=0,$S$11=0),0,IF((AE129+$L$11)&gt;$S$11/HU_alpha+$K$11,0.5*$S$11/HU_alpha,IF((AE129+$L$11)&gt;=$K$11,((AE129+$L$11)-$K$11)-0.5*HU_alpha/$S$11*((AE129+$L$11)-$K$11)^2,IF((AE129+$L$11)&gt;=$T$11,HU_beta*((AE129+$L$11)-$K$11),HU_beta*($T$11-$K$11)))))</f>
        <v/>
      </c>
      <c r="BB129" s="29">
        <f>IF(OR(AZ129=0,$S$11=0),0,IF((AE129+$L$11+$N$11)&gt;$S$11/HU_alpha+$K$11,0.5*$S$11/HU_alpha,IF((AE129+$L$11+$N$11)&gt;=$K$11,((AE129+$L$11+$N$11)-$K$11)-0.5*HU_alpha/$S$11*((AE129+$L$11+$N$11)-$K$11)^2,IF((AE129+$L$11+$N$11)&gt;=$T$11,HU_beta*((AE129+$L$11+$N$11)-$K$11),HU_beta*($T$11-$K$11)))))</f>
        <v/>
      </c>
      <c r="BC129" s="29">
        <f>IF(OR(AZ129=0,$S$11=0),0,IF((AE129+$K$11)&gt;$S$11/HU_alpha+$K$11,0.5*$S$11/HU_alpha,IF((AE129+$K$11)&gt;=$K$11,((AE129+$K$11)-$K$11)-0.5*HU_alpha/$S$11*((AE129+$K$11)-$K$11)^2,IF((AE129+$K$11)&gt;=$T$11,HU_beta*((AE129+$K$11)-$K$11),HU_beta*($T$11-$K$11)))))</f>
        <v/>
      </c>
      <c r="BD129" s="63">
        <f>IF(AND($J$12,A129=$Q$12),J129,0)</f>
        <v/>
      </c>
      <c r="BE129" s="29">
        <f>IF(OR(BD129=0,$S$12=0),0,IF((AE129+$L$12)&gt;$S$12/HU_alpha+$K$12,0.5*$S$12/HU_alpha,IF((AE129+$L$12)&gt;=$K$12,((AE129+$L$12)-$K$12)-0.5*HU_alpha/$S$12*((AE129+$L$12)-$K$12)^2,IF((AE129+$L$12)&gt;=$T$12,HU_beta*((AE129+$L$12)-$K$12),HU_beta*($T$12-$K$12)))))</f>
        <v/>
      </c>
      <c r="BF129" s="29">
        <f>IF(OR(BD129=0,$S$12=0),0,IF((AE129+$L$12+$N$12)&gt;$S$12/HU_alpha+$K$12,0.5*$S$12/HU_alpha,IF((AE129+$L$12+$N$12)&gt;=$K$12,((AE129+$L$12+$N$12)-$K$12)-0.5*HU_alpha/$S$12*((AE129+$L$12+$N$12)-$K$12)^2,IF((AE129+$L$12+$N$12)&gt;=$T$12,HU_beta*((AE129+$L$12+$N$12)-$K$12),HU_beta*($T$12-$K$12)))))</f>
        <v/>
      </c>
      <c r="BG129" s="29">
        <f>IF(OR(BD129=0,$S$12=0),0,IF((AE129+$K$12)&gt;$S$12/HU_alpha+$K$12,0.5*$S$12/HU_alpha,IF((AE129+$K$12)&gt;=$K$12,((AE129+$K$12)-$K$12)-0.5*HU_alpha/$S$12*((AE129+$K$12)-$K$12)^2,IF((AE129+$K$12)&gt;=$T$12,HU_beta*((AE129+$K$12)-$K$12),HU_beta*($T$12-$K$12)))))</f>
        <v/>
      </c>
      <c r="BH129" s="63">
        <f>IF(AND($J$13,A129=$Q$13),J129,0)</f>
        <v/>
      </c>
      <c r="BI129" s="29">
        <f>IF(OR(BH129=0,$S$13=0),0,IF((AE129+$L$13)&gt;$S$13/HU_alpha+$K$13,0.5*$S$13/HU_alpha,IF((AE129+$L$13)&gt;=$K$13,((AE129+$L$13)-$K$13)-0.5*HU_alpha/$S$13*((AE129+$L$13)-$K$13)^2,IF((AE129+$L$13)&gt;=$T$13,HU_beta*((AE129+$L$13)-$K$13),HU_beta*($T$13-$K$13)))))</f>
        <v/>
      </c>
      <c r="BJ129" s="29">
        <f>IF(OR(BH129=0,$S$13=0),0,IF((AE129+$L$13+$N$13)&gt;$S$13/HU_alpha+$K$13,0.5*$S$13/HU_alpha,IF((AE129+$L$13+$N$13)&gt;=$K$13,((AE129+$L$13+$N$13)-$K$13)-0.5*HU_alpha/$S$13*((AE129+$L$13+$N$13)-$K$13)^2,IF((AE129+$L$13+$N$13)&gt;=$T$13,HU_beta*((AE129+$L$13+$N$13)-$K$13),HU_beta*($T$13-$K$13)))))</f>
        <v/>
      </c>
      <c r="BK129" s="29">
        <f>IF(OR(BH129=0,$S$13=0),0,IF((AE129+$K$13)&gt;$S$13/HU_alpha+$K$13,0.5*$S$13/HU_alpha,IF((AE129+$K$13)&gt;=$K$13,((AE129+$K$13)-$K$13)-0.5*HU_alpha/$S$13*((AE129+$K$13)-$K$13)^2,IF((AE129+$K$13)&gt;=$T$13,HU_beta*((AE129+$K$13)-$K$13),HU_beta*($T$13-$K$13)))))</f>
        <v/>
      </c>
    </row>
    <row r="130">
      <c r="A130" s="61" t="n">
        <v>62</v>
      </c>
      <c r="B130" s="61">
        <f>HU_age+A130</f>
        <v/>
      </c>
      <c r="C130" s="52">
        <f>A130&lt;=HU_T</f>
        <v/>
      </c>
      <c r="D130" s="63">
        <f>IF(OR(A130&lt;1,A130&gt;HU_T),0,INDEX(HU_q_mort,HU_age+A130-17,HU_col))</f>
        <v/>
      </c>
      <c r="E130" s="63">
        <f>IF(OR(A130&lt;1,A130&gt;HU_T),0,INDEX(HU_q_adb,HU_age+A130-17,HU_col))</f>
        <v/>
      </c>
      <c r="F130" s="63">
        <f>IF(OR(A130&lt;1,A130&gt;HU_T),0,INDEX(HU_q_morb,HU_age+A130-17,HU_col))</f>
        <v/>
      </c>
      <c r="G130" s="63">
        <f>IF(OR(A130&lt;1,A130&gt;HU_T),0,INDEX(HU_q_ptd,HU_age+A130-17,HU_col))</f>
        <v/>
      </c>
      <c r="H130" s="63">
        <f>IF(OR(A130&lt;1,A130&gt;HU_T),0,INDEX(HU_q_dis,HU_age+A130-17,HU_col))</f>
        <v/>
      </c>
      <c r="I130" s="63">
        <f>IF(A130&gt;HU_T,0,I129*(1-D130)*(1-E130))</f>
        <v/>
      </c>
      <c r="J130" s="63">
        <f>IF(A130&gt;=HU_T,0,N(I131))</f>
        <v/>
      </c>
      <c r="K130" s="63">
        <f>K129*(1-G130)</f>
        <v/>
      </c>
      <c r="L130" s="63">
        <f>1-K130</f>
        <v/>
      </c>
      <c r="M130" s="63">
        <f>K129*G130</f>
        <v/>
      </c>
      <c r="N130" s="63">
        <f>N129*(1-H130)</f>
        <v/>
      </c>
      <c r="O130" s="63">
        <f>1-N129</f>
        <v/>
      </c>
      <c r="P130" s="63">
        <f>P129*(1-F130)</f>
        <v/>
      </c>
      <c r="Q130" s="63">
        <f>1-P129/INDEX($P$68:$P$150,MAX(1,A130-HU_ciYears))</f>
        <v/>
      </c>
      <c r="R130" s="60">
        <f>(1+inflationRate)^A130</f>
        <v/>
      </c>
      <c r="S130" s="29">
        <f>IF(OR(OR(A130&lt;1,A130&gt;HU_T),A130-1&gt;=HU_dtr),0,HU_inc0*(1+incomeGrowthRate)^A130)</f>
        <v/>
      </c>
      <c r="T130" s="60">
        <f>IF(A130&gt;HU_T,T129,T129*(1+INDEX(HU_ssG,HU_age+A130-17)))</f>
        <v/>
      </c>
      <c r="U130" s="29">
        <f>IF(AND(HU_dtr&gt;=1,A130=HU_dtr,A130&lt;=HU_T),MIN(S130*INDEX(HU_ssC,HU_age+A130-17)/(1-INDEX(HU_ssC,HU_age+A130-17)),INDEX(HU_ssCap,HU_age+A130-17))*T130,0)</f>
        <v/>
      </c>
      <c r="V130" s="29">
        <f>S130+U130+IF(AND(HU_wdOn,A130=HU_wdYear),HU_wdIncome,0)</f>
        <v/>
      </c>
      <c r="W130" s="60">
        <f>HU_ciProp*Q130+HU_tpdCut*L130+HU_disCut*O130</f>
        <v/>
      </c>
      <c r="X130" s="29">
        <f>IF(OR(A130&lt;1,A130&gt;HU_T),0,V130*(1-W130))</f>
        <v/>
      </c>
      <c r="Y130" s="29">
        <f>IF(OR(A130&lt;1,A130&gt;HU_T),0,IF(AND(HU_retExp&gt;0,A130-1&gt;=HU_dtr),HU_retExp,HU_exp0)*R130)</f>
        <v/>
      </c>
      <c r="Z130" s="29">
        <f>-Y130-IF(AND(HU_wdOn,A130=HU_wdYear),HU_wdOut,0)</f>
        <v/>
      </c>
      <c r="AA130" s="29">
        <f>IF(OR(A130&lt;1,A130&gt;HU_T),0,-HU_medCost*R130*F130-HU_tpdCost*R130*M130)</f>
        <v/>
      </c>
      <c r="AB130" s="29">
        <f>IF(A130&gt;HU_T,0,AB129*(1+interestRate)+X130+Z130+AA130)</f>
        <v/>
      </c>
      <c r="AC130" s="29">
        <f>IF(A130&gt;HU_T,0,HU_inv*EXP(HU_mu*A130))</f>
        <v/>
      </c>
      <c r="AD130" s="29">
        <f>IF(A130&gt;HU_T,0,MAX(0,AC130+AB130))</f>
        <v/>
      </c>
      <c r="AE130" s="29">
        <f>IF(A130&gt;HU_T,0,MAX(0,X130-Y130))</f>
        <v/>
      </c>
      <c r="AF130" s="63">
        <f>IF(AND($J$6,A130&gt;=1,A130&lt;=$Q$6-1),J130,0)</f>
        <v/>
      </c>
      <c r="AG130" s="29">
        <f>IF(OR(AF130=0,$S$6=0),0,IF((AD130+$L$6)&gt;$S$6/HU_alpha+$K$6,0.5*$S$6/HU_alpha,IF((AD130+$L$6)&gt;=$K$6,((AD130+$L$6)-$K$6)-0.5*HU_alpha/$S$6*((AD130+$L$6)-$K$6)^2,IF((AD130+$L$6)&gt;=$T$6,HU_beta*((AD130+$L$6)-$K$6),HU_beta*($T$6-$K$6)))))</f>
        <v/>
      </c>
      <c r="AH130" s="29">
        <f>IF(OR(AF130=0,$S$6=0),0,IF((AD130+$L$6+$N$6)&gt;$S$6/HU_alpha+$K$6,0.5*$S$6/HU_alpha,IF((AD130+$L$6+$N$6)&gt;=$K$6,((AD130+$L$6+$N$6)-$K$6)-0.5*HU_alpha/$S$6*((AD130+$L$6+$N$6)-$K$6)^2,IF((AD130+$L$6+$N$6)&gt;=$T$6,HU_beta*((AD130+$L$6+$N$6)-$K$6),HU_beta*($T$6-$K$6)))))</f>
        <v/>
      </c>
      <c r="AI130" s="29">
        <f>IF(OR(AF130=0,$S$6=0),0,IF((AD130+$K$6)&gt;$S$6/HU_alpha+$K$6,0.5*$S$6/HU_alpha,IF((AD130+$K$6)&gt;=$K$6,((AD130+$K$6)-$K$6)-0.5*HU_alpha/$S$6*((AD130+$K$6)-$K$6)^2,IF((AD130+$K$6)&gt;=$T$6,HU_beta*((AD130+$K$6)-$K$6),HU_beta*($T$6-$K$6)))))</f>
        <v/>
      </c>
      <c r="AJ130" s="63">
        <f>IF(AND($J$7,A130&gt;=1,A130&lt;=$Q$7-1),J130,0)</f>
        <v/>
      </c>
      <c r="AK130" s="29">
        <f>IF(OR(AJ130=0,$S$7=0),0,IF((AE130+$L$7)&gt;$S$7/HU_alpha+$K$7,0.5*$S$7/HU_alpha,IF((AE130+$L$7)&gt;=$K$7,((AE130+$L$7)-$K$7)-0.5*HU_alpha/$S$7*((AE130+$L$7)-$K$7)^2,IF((AE130+$L$7)&gt;=$T$7,HU_beta*((AE130+$L$7)-$K$7),HU_beta*($T$7-$K$7)))))</f>
        <v/>
      </c>
      <c r="AL130" s="29">
        <f>IF(OR(AJ130=0,$S$7=0),0,IF((AE130+$L$7+$N$7)&gt;$S$7/HU_alpha+$K$7,0.5*$S$7/HU_alpha,IF((AE130+$L$7+$N$7)&gt;=$K$7,((AE130+$L$7+$N$7)-$K$7)-0.5*HU_alpha/$S$7*((AE130+$L$7+$N$7)-$K$7)^2,IF((AE130+$L$7+$N$7)&gt;=$T$7,HU_beta*((AE130+$L$7+$N$7)-$K$7),HU_beta*($T$7-$K$7)))))</f>
        <v/>
      </c>
      <c r="AM130" s="29">
        <f>IF(OR(AJ130=0,$S$7=0),0,IF((AE130+$K$7)&gt;$S$7/HU_alpha+$K$7,0.5*$S$7/HU_alpha,IF((AE130+$K$7)&gt;=$K$7,((AE130+$K$7)-$K$7)-0.5*HU_alpha/$S$7*((AE130+$K$7)-$K$7)^2,IF((AE130+$K$7)&gt;=$T$7,HU_beta*((AE130+$K$7)-$K$7),HU_beta*($T$7-$K$7)))))</f>
        <v/>
      </c>
      <c r="AN130" s="63">
        <f>IF(AND($J$8,A130&gt;=1,A130&lt;=$Q$8-1),J130,0)</f>
        <v/>
      </c>
      <c r="AO130" s="29">
        <f>IF(OR(AN130=0,$S$8=0),0,IF((AE130+$L$8)&gt;$S$8/HU_alpha+$K$8,0.5*$S$8/HU_alpha,IF((AE130+$L$8)&gt;=$K$8,((AE130+$L$8)-$K$8)-0.5*HU_alpha/$S$8*((AE130+$L$8)-$K$8)^2,IF((AE130+$L$8)&gt;=$T$8,HU_beta*((AE130+$L$8)-$K$8),HU_beta*($T$8-$K$8)))))</f>
        <v/>
      </c>
      <c r="AP130" s="29">
        <f>IF(OR(AN130=0,$S$8=0),0,IF((AE130+$L$8+$N$8)&gt;$S$8/HU_alpha+$K$8,0.5*$S$8/HU_alpha,IF((AE130+$L$8+$N$8)&gt;=$K$8,((AE130+$L$8+$N$8)-$K$8)-0.5*HU_alpha/$S$8*((AE130+$L$8+$N$8)-$K$8)^2,IF((AE130+$L$8+$N$8)&gt;=$T$8,HU_beta*((AE130+$L$8+$N$8)-$K$8),HU_beta*($T$8-$K$8)))))</f>
        <v/>
      </c>
      <c r="AQ130" s="29">
        <f>IF(OR(AN130=0,$S$8=0),0,IF((AE130+$K$8)&gt;$S$8/HU_alpha+$K$8,0.5*$S$8/HU_alpha,IF((AE130+$K$8)&gt;=$K$8,((AE130+$K$8)-$K$8)-0.5*HU_alpha/$S$8*((AE130+$K$8)-$K$8)^2,IF((AE130+$K$8)&gt;=$T$8,HU_beta*((AE130+$K$8)-$K$8),HU_beta*($T$8-$K$8)))))</f>
        <v/>
      </c>
      <c r="AR130" s="63">
        <f>IF(AND($J$9,A130&gt;=1,A130&lt;=$Q$9-1),J130,0)</f>
        <v/>
      </c>
      <c r="AS130" s="29">
        <f>IF(OR(AR130=0,$S$9=0),0,IF((AE130+$L$9)&gt;$S$9/HU_alpha+$K$9,0.5*$S$9/HU_alpha,IF((AE130+$L$9)&gt;=$K$9,((AE130+$L$9)-$K$9)-0.5*HU_alpha/$S$9*((AE130+$L$9)-$K$9)^2,IF((AE130+$L$9)&gt;=$T$9,HU_beta*((AE130+$L$9)-$K$9),HU_beta*($T$9-$K$9)))))</f>
        <v/>
      </c>
      <c r="AT130" s="29">
        <f>IF(OR(AR130=0,$S$9=0),0,IF((AE130+$L$9+$N$9)&gt;$S$9/HU_alpha+$K$9,0.5*$S$9/HU_alpha,IF((AE130+$L$9+$N$9)&gt;=$K$9,((AE130+$L$9+$N$9)-$K$9)-0.5*HU_alpha/$S$9*((AE130+$L$9+$N$9)-$K$9)^2,IF((AE130+$L$9+$N$9)&gt;=$T$9,HU_beta*((AE130+$L$9+$N$9)-$K$9),HU_beta*($T$9-$K$9)))))</f>
        <v/>
      </c>
      <c r="AU130" s="29">
        <f>IF(OR(AR130=0,$S$9=0),0,IF((AE130+$K$9)&gt;$S$9/HU_alpha+$K$9,0.5*$S$9/HU_alpha,IF((AE130+$K$9)&gt;=$K$9,((AE130+$K$9)-$K$9)-0.5*HU_alpha/$S$9*((AE130+$K$9)-$K$9)^2,IF((AE130+$K$9)&gt;=$T$9,HU_beta*((AE130+$K$9)-$K$9),HU_beta*($T$9-$K$9)))))</f>
        <v/>
      </c>
      <c r="AV130" s="63">
        <f>IF(AND($J$10,A130=$Q$10),J130,0)</f>
        <v/>
      </c>
      <c r="AW130" s="29">
        <f>IF(OR(AV130=0,$S$10=0),0,IF((AD130+$L$10)&gt;$S$10/HU_alpha+$K$10,0.5*$S$10/HU_alpha,IF((AD130+$L$10)&gt;=$K$10,((AD130+$L$10)-$K$10)-0.5*HU_alpha/$S$10*((AD130+$L$10)-$K$10)^2,IF((AD130+$L$10)&gt;=$T$10,HU_beta*((AD130+$L$10)-$K$10),HU_beta*($T$10-$K$10)))))</f>
        <v/>
      </c>
      <c r="AX130" s="29">
        <f>IF(OR(AV130=0,$S$10=0),0,IF((AD130+$L$10+$N$10)&gt;$S$10/HU_alpha+$K$10,0.5*$S$10/HU_alpha,IF((AD130+$L$10+$N$10)&gt;=$K$10,((AD130+$L$10+$N$10)-$K$10)-0.5*HU_alpha/$S$10*((AD130+$L$10+$N$10)-$K$10)^2,IF((AD130+$L$10+$N$10)&gt;=$T$10,HU_beta*((AD130+$L$10+$N$10)-$K$10),HU_beta*($T$10-$K$10)))))</f>
        <v/>
      </c>
      <c r="AY130" s="29">
        <f>IF(OR(AV130=0,$S$10=0),0,IF((AD130+$K$10)&gt;$S$10/HU_alpha+$K$10,0.5*$S$10/HU_alpha,IF((AD130+$K$10)&gt;=$K$10,((AD130+$K$10)-$K$10)-0.5*HU_alpha/$S$10*((AD130+$K$10)-$K$10)^2,IF((AD130+$K$10)&gt;=$T$10,HU_beta*((AD130+$K$10)-$K$10),HU_beta*($T$10-$K$10)))))</f>
        <v/>
      </c>
      <c r="AZ130" s="63">
        <f>IF(AND($J$11,A130=$Q$11),J130,0)</f>
        <v/>
      </c>
      <c r="BA130" s="29">
        <f>IF(OR(AZ130=0,$S$11=0),0,IF((AE130+$L$11)&gt;$S$11/HU_alpha+$K$11,0.5*$S$11/HU_alpha,IF((AE130+$L$11)&gt;=$K$11,((AE130+$L$11)-$K$11)-0.5*HU_alpha/$S$11*((AE130+$L$11)-$K$11)^2,IF((AE130+$L$11)&gt;=$T$11,HU_beta*((AE130+$L$11)-$K$11),HU_beta*($T$11-$K$11)))))</f>
        <v/>
      </c>
      <c r="BB130" s="29">
        <f>IF(OR(AZ130=0,$S$11=0),0,IF((AE130+$L$11+$N$11)&gt;$S$11/HU_alpha+$K$11,0.5*$S$11/HU_alpha,IF((AE130+$L$11+$N$11)&gt;=$K$11,((AE130+$L$11+$N$11)-$K$11)-0.5*HU_alpha/$S$11*((AE130+$L$11+$N$11)-$K$11)^2,IF((AE130+$L$11+$N$11)&gt;=$T$11,HU_beta*((AE130+$L$11+$N$11)-$K$11),HU_beta*($T$11-$K$11)))))</f>
        <v/>
      </c>
      <c r="BC130" s="29">
        <f>IF(OR(AZ130=0,$S$11=0),0,IF((AE130+$K$11)&gt;$S$11/HU_alpha+$K$11,0.5*$S$11/HU_alpha,IF((AE130+$K$11)&gt;=$K$11,((AE130+$K$11)-$K$11)-0.5*HU_alpha/$S$11*((AE130+$K$11)-$K$11)^2,IF((AE130+$K$11)&gt;=$T$11,HU_beta*((AE130+$K$11)-$K$11),HU_beta*($T$11-$K$11)))))</f>
        <v/>
      </c>
      <c r="BD130" s="63">
        <f>IF(AND($J$12,A130=$Q$12),J130,0)</f>
        <v/>
      </c>
      <c r="BE130" s="29">
        <f>IF(OR(BD130=0,$S$12=0),0,IF((AE130+$L$12)&gt;$S$12/HU_alpha+$K$12,0.5*$S$12/HU_alpha,IF((AE130+$L$12)&gt;=$K$12,((AE130+$L$12)-$K$12)-0.5*HU_alpha/$S$12*((AE130+$L$12)-$K$12)^2,IF((AE130+$L$12)&gt;=$T$12,HU_beta*((AE130+$L$12)-$K$12),HU_beta*($T$12-$K$12)))))</f>
        <v/>
      </c>
      <c r="BF130" s="29">
        <f>IF(OR(BD130=0,$S$12=0),0,IF((AE130+$L$12+$N$12)&gt;$S$12/HU_alpha+$K$12,0.5*$S$12/HU_alpha,IF((AE130+$L$12+$N$12)&gt;=$K$12,((AE130+$L$12+$N$12)-$K$12)-0.5*HU_alpha/$S$12*((AE130+$L$12+$N$12)-$K$12)^2,IF((AE130+$L$12+$N$12)&gt;=$T$12,HU_beta*((AE130+$L$12+$N$12)-$K$12),HU_beta*($T$12-$K$12)))))</f>
        <v/>
      </c>
      <c r="BG130" s="29">
        <f>IF(OR(BD130=0,$S$12=0),0,IF((AE130+$K$12)&gt;$S$12/HU_alpha+$K$12,0.5*$S$12/HU_alpha,IF((AE130+$K$12)&gt;=$K$12,((AE130+$K$12)-$K$12)-0.5*HU_alpha/$S$12*((AE130+$K$12)-$K$12)^2,IF((AE130+$K$12)&gt;=$T$12,HU_beta*((AE130+$K$12)-$K$12),HU_beta*($T$12-$K$12)))))</f>
        <v/>
      </c>
      <c r="BH130" s="63">
        <f>IF(AND($J$13,A130=$Q$13),J130,0)</f>
        <v/>
      </c>
      <c r="BI130" s="29">
        <f>IF(OR(BH130=0,$S$13=0),0,IF((AE130+$L$13)&gt;$S$13/HU_alpha+$K$13,0.5*$S$13/HU_alpha,IF((AE130+$L$13)&gt;=$K$13,((AE130+$L$13)-$K$13)-0.5*HU_alpha/$S$13*((AE130+$L$13)-$K$13)^2,IF((AE130+$L$13)&gt;=$T$13,HU_beta*((AE130+$L$13)-$K$13),HU_beta*($T$13-$K$13)))))</f>
        <v/>
      </c>
      <c r="BJ130" s="29">
        <f>IF(OR(BH130=0,$S$13=0),0,IF((AE130+$L$13+$N$13)&gt;$S$13/HU_alpha+$K$13,0.5*$S$13/HU_alpha,IF((AE130+$L$13+$N$13)&gt;=$K$13,((AE130+$L$13+$N$13)-$K$13)-0.5*HU_alpha/$S$13*((AE130+$L$13+$N$13)-$K$13)^2,IF((AE130+$L$13+$N$13)&gt;=$T$13,HU_beta*((AE130+$L$13+$N$13)-$K$13),HU_beta*($T$13-$K$13)))))</f>
        <v/>
      </c>
      <c r="BK130" s="29">
        <f>IF(OR(BH130=0,$S$13=0),0,IF((AE130+$K$13)&gt;$S$13/HU_alpha+$K$13,0.5*$S$13/HU_alpha,IF((AE130+$K$13)&gt;=$K$13,((AE130+$K$13)-$K$13)-0.5*HU_alpha/$S$13*((AE130+$K$13)-$K$13)^2,IF((AE130+$K$13)&gt;=$T$13,HU_beta*((AE130+$K$13)-$K$13),HU_beta*($T$13-$K$13)))))</f>
        <v/>
      </c>
    </row>
    <row r="131">
      <c r="A131" s="61" t="n">
        <v>63</v>
      </c>
      <c r="B131" s="61">
        <f>HU_age+A131</f>
        <v/>
      </c>
      <c r="C131" s="52">
        <f>A131&lt;=HU_T</f>
        <v/>
      </c>
      <c r="D131" s="63">
        <f>IF(OR(A131&lt;1,A131&gt;HU_T),0,INDEX(HU_q_mort,HU_age+A131-17,HU_col))</f>
        <v/>
      </c>
      <c r="E131" s="63">
        <f>IF(OR(A131&lt;1,A131&gt;HU_T),0,INDEX(HU_q_adb,HU_age+A131-17,HU_col))</f>
        <v/>
      </c>
      <c r="F131" s="63">
        <f>IF(OR(A131&lt;1,A131&gt;HU_T),0,INDEX(HU_q_morb,HU_age+A131-17,HU_col))</f>
        <v/>
      </c>
      <c r="G131" s="63">
        <f>IF(OR(A131&lt;1,A131&gt;HU_T),0,INDEX(HU_q_ptd,HU_age+A131-17,HU_col))</f>
        <v/>
      </c>
      <c r="H131" s="63">
        <f>IF(OR(A131&lt;1,A131&gt;HU_T),0,INDEX(HU_q_dis,HU_age+A131-17,HU_col))</f>
        <v/>
      </c>
      <c r="I131" s="63">
        <f>IF(A131&gt;HU_T,0,I130*(1-D131)*(1-E131))</f>
        <v/>
      </c>
      <c r="J131" s="63">
        <f>IF(A131&gt;=HU_T,0,N(I132))</f>
        <v/>
      </c>
      <c r="K131" s="63">
        <f>K130*(1-G131)</f>
        <v/>
      </c>
      <c r="L131" s="63">
        <f>1-K131</f>
        <v/>
      </c>
      <c r="M131" s="63">
        <f>K130*G131</f>
        <v/>
      </c>
      <c r="N131" s="63">
        <f>N130*(1-H131)</f>
        <v/>
      </c>
      <c r="O131" s="63">
        <f>1-N130</f>
        <v/>
      </c>
      <c r="P131" s="63">
        <f>P130*(1-F131)</f>
        <v/>
      </c>
      <c r="Q131" s="63">
        <f>1-P130/INDEX($P$68:$P$150,MAX(1,A131-HU_ciYears))</f>
        <v/>
      </c>
      <c r="R131" s="60">
        <f>(1+inflationRate)^A131</f>
        <v/>
      </c>
      <c r="S131" s="29">
        <f>IF(OR(OR(A131&lt;1,A131&gt;HU_T),A131-1&gt;=HU_dtr),0,HU_inc0*(1+incomeGrowthRate)^A131)</f>
        <v/>
      </c>
      <c r="T131" s="60">
        <f>IF(A131&gt;HU_T,T130,T130*(1+INDEX(HU_ssG,HU_age+A131-17)))</f>
        <v/>
      </c>
      <c r="U131" s="29">
        <f>IF(AND(HU_dtr&gt;=1,A131=HU_dtr,A131&lt;=HU_T),MIN(S131*INDEX(HU_ssC,HU_age+A131-17)/(1-INDEX(HU_ssC,HU_age+A131-17)),INDEX(HU_ssCap,HU_age+A131-17))*T131,0)</f>
        <v/>
      </c>
      <c r="V131" s="29">
        <f>S131+U131+IF(AND(HU_wdOn,A131=HU_wdYear),HU_wdIncome,0)</f>
        <v/>
      </c>
      <c r="W131" s="60">
        <f>HU_ciProp*Q131+HU_tpdCut*L131+HU_disCut*O131</f>
        <v/>
      </c>
      <c r="X131" s="29">
        <f>IF(OR(A131&lt;1,A131&gt;HU_T),0,V131*(1-W131))</f>
        <v/>
      </c>
      <c r="Y131" s="29">
        <f>IF(OR(A131&lt;1,A131&gt;HU_T),0,IF(AND(HU_retExp&gt;0,A131-1&gt;=HU_dtr),HU_retExp,HU_exp0)*R131)</f>
        <v/>
      </c>
      <c r="Z131" s="29">
        <f>-Y131-IF(AND(HU_wdOn,A131=HU_wdYear),HU_wdOut,0)</f>
        <v/>
      </c>
      <c r="AA131" s="29">
        <f>IF(OR(A131&lt;1,A131&gt;HU_T),0,-HU_medCost*R131*F131-HU_tpdCost*R131*M131)</f>
        <v/>
      </c>
      <c r="AB131" s="29">
        <f>IF(A131&gt;HU_T,0,AB130*(1+interestRate)+X131+Z131+AA131)</f>
        <v/>
      </c>
      <c r="AC131" s="29">
        <f>IF(A131&gt;HU_T,0,HU_inv*EXP(HU_mu*A131))</f>
        <v/>
      </c>
      <c r="AD131" s="29">
        <f>IF(A131&gt;HU_T,0,MAX(0,AC131+AB131))</f>
        <v/>
      </c>
      <c r="AE131" s="29">
        <f>IF(A131&gt;HU_T,0,MAX(0,X131-Y131))</f>
        <v/>
      </c>
      <c r="AF131" s="63">
        <f>IF(AND($J$6,A131&gt;=1,A131&lt;=$Q$6-1),J131,0)</f>
        <v/>
      </c>
      <c r="AG131" s="29">
        <f>IF(OR(AF131=0,$S$6=0),0,IF((AD131+$L$6)&gt;$S$6/HU_alpha+$K$6,0.5*$S$6/HU_alpha,IF((AD131+$L$6)&gt;=$K$6,((AD131+$L$6)-$K$6)-0.5*HU_alpha/$S$6*((AD131+$L$6)-$K$6)^2,IF((AD131+$L$6)&gt;=$T$6,HU_beta*((AD131+$L$6)-$K$6),HU_beta*($T$6-$K$6)))))</f>
        <v/>
      </c>
      <c r="AH131" s="29">
        <f>IF(OR(AF131=0,$S$6=0),0,IF((AD131+$L$6+$N$6)&gt;$S$6/HU_alpha+$K$6,0.5*$S$6/HU_alpha,IF((AD131+$L$6+$N$6)&gt;=$K$6,((AD131+$L$6+$N$6)-$K$6)-0.5*HU_alpha/$S$6*((AD131+$L$6+$N$6)-$K$6)^2,IF((AD131+$L$6+$N$6)&gt;=$T$6,HU_beta*((AD131+$L$6+$N$6)-$K$6),HU_beta*($T$6-$K$6)))))</f>
        <v/>
      </c>
      <c r="AI131" s="29">
        <f>IF(OR(AF131=0,$S$6=0),0,IF((AD131+$K$6)&gt;$S$6/HU_alpha+$K$6,0.5*$S$6/HU_alpha,IF((AD131+$K$6)&gt;=$K$6,((AD131+$K$6)-$K$6)-0.5*HU_alpha/$S$6*((AD131+$K$6)-$K$6)^2,IF((AD131+$K$6)&gt;=$T$6,HU_beta*((AD131+$K$6)-$K$6),HU_beta*($T$6-$K$6)))))</f>
        <v/>
      </c>
      <c r="AJ131" s="63">
        <f>IF(AND($J$7,A131&gt;=1,A131&lt;=$Q$7-1),J131,0)</f>
        <v/>
      </c>
      <c r="AK131" s="29">
        <f>IF(OR(AJ131=0,$S$7=0),0,IF((AE131+$L$7)&gt;$S$7/HU_alpha+$K$7,0.5*$S$7/HU_alpha,IF((AE131+$L$7)&gt;=$K$7,((AE131+$L$7)-$K$7)-0.5*HU_alpha/$S$7*((AE131+$L$7)-$K$7)^2,IF((AE131+$L$7)&gt;=$T$7,HU_beta*((AE131+$L$7)-$K$7),HU_beta*($T$7-$K$7)))))</f>
        <v/>
      </c>
      <c r="AL131" s="29">
        <f>IF(OR(AJ131=0,$S$7=0),0,IF((AE131+$L$7+$N$7)&gt;$S$7/HU_alpha+$K$7,0.5*$S$7/HU_alpha,IF((AE131+$L$7+$N$7)&gt;=$K$7,((AE131+$L$7+$N$7)-$K$7)-0.5*HU_alpha/$S$7*((AE131+$L$7+$N$7)-$K$7)^2,IF((AE131+$L$7+$N$7)&gt;=$T$7,HU_beta*((AE131+$L$7+$N$7)-$K$7),HU_beta*($T$7-$K$7)))))</f>
        <v/>
      </c>
      <c r="AM131" s="29">
        <f>IF(OR(AJ131=0,$S$7=0),0,IF((AE131+$K$7)&gt;$S$7/HU_alpha+$K$7,0.5*$S$7/HU_alpha,IF((AE131+$K$7)&gt;=$K$7,((AE131+$K$7)-$K$7)-0.5*HU_alpha/$S$7*((AE131+$K$7)-$K$7)^2,IF((AE131+$K$7)&gt;=$T$7,HU_beta*((AE131+$K$7)-$K$7),HU_beta*($T$7-$K$7)))))</f>
        <v/>
      </c>
      <c r="AN131" s="63">
        <f>IF(AND($J$8,A131&gt;=1,A131&lt;=$Q$8-1),J131,0)</f>
        <v/>
      </c>
      <c r="AO131" s="29">
        <f>IF(OR(AN131=0,$S$8=0),0,IF((AE131+$L$8)&gt;$S$8/HU_alpha+$K$8,0.5*$S$8/HU_alpha,IF((AE131+$L$8)&gt;=$K$8,((AE131+$L$8)-$K$8)-0.5*HU_alpha/$S$8*((AE131+$L$8)-$K$8)^2,IF((AE131+$L$8)&gt;=$T$8,HU_beta*((AE131+$L$8)-$K$8),HU_beta*($T$8-$K$8)))))</f>
        <v/>
      </c>
      <c r="AP131" s="29">
        <f>IF(OR(AN131=0,$S$8=0),0,IF((AE131+$L$8+$N$8)&gt;$S$8/HU_alpha+$K$8,0.5*$S$8/HU_alpha,IF((AE131+$L$8+$N$8)&gt;=$K$8,((AE131+$L$8+$N$8)-$K$8)-0.5*HU_alpha/$S$8*((AE131+$L$8+$N$8)-$K$8)^2,IF((AE131+$L$8+$N$8)&gt;=$T$8,HU_beta*((AE131+$L$8+$N$8)-$K$8),HU_beta*($T$8-$K$8)))))</f>
        <v/>
      </c>
      <c r="AQ131" s="29">
        <f>IF(OR(AN131=0,$S$8=0),0,IF((AE131+$K$8)&gt;$S$8/HU_alpha+$K$8,0.5*$S$8/HU_alpha,IF((AE131+$K$8)&gt;=$K$8,((AE131+$K$8)-$K$8)-0.5*HU_alpha/$S$8*((AE131+$K$8)-$K$8)^2,IF((AE131+$K$8)&gt;=$T$8,HU_beta*((AE131+$K$8)-$K$8),HU_beta*($T$8-$K$8)))))</f>
        <v/>
      </c>
      <c r="AR131" s="63">
        <f>IF(AND($J$9,A131&gt;=1,A131&lt;=$Q$9-1),J131,0)</f>
        <v/>
      </c>
      <c r="AS131" s="29">
        <f>IF(OR(AR131=0,$S$9=0),0,IF((AE131+$L$9)&gt;$S$9/HU_alpha+$K$9,0.5*$S$9/HU_alpha,IF((AE131+$L$9)&gt;=$K$9,((AE131+$L$9)-$K$9)-0.5*HU_alpha/$S$9*((AE131+$L$9)-$K$9)^2,IF((AE131+$L$9)&gt;=$T$9,HU_beta*((AE131+$L$9)-$K$9),HU_beta*($T$9-$K$9)))))</f>
        <v/>
      </c>
      <c r="AT131" s="29">
        <f>IF(OR(AR131=0,$S$9=0),0,IF((AE131+$L$9+$N$9)&gt;$S$9/HU_alpha+$K$9,0.5*$S$9/HU_alpha,IF((AE131+$L$9+$N$9)&gt;=$K$9,((AE131+$L$9+$N$9)-$K$9)-0.5*HU_alpha/$S$9*((AE131+$L$9+$N$9)-$K$9)^2,IF((AE131+$L$9+$N$9)&gt;=$T$9,HU_beta*((AE131+$L$9+$N$9)-$K$9),HU_beta*($T$9-$K$9)))))</f>
        <v/>
      </c>
      <c r="AU131" s="29">
        <f>IF(OR(AR131=0,$S$9=0),0,IF((AE131+$K$9)&gt;$S$9/HU_alpha+$K$9,0.5*$S$9/HU_alpha,IF((AE131+$K$9)&gt;=$K$9,((AE131+$K$9)-$K$9)-0.5*HU_alpha/$S$9*((AE131+$K$9)-$K$9)^2,IF((AE131+$K$9)&gt;=$T$9,HU_beta*((AE131+$K$9)-$K$9),HU_beta*($T$9-$K$9)))))</f>
        <v/>
      </c>
      <c r="AV131" s="63">
        <f>IF(AND($J$10,A131=$Q$10),J131,0)</f>
        <v/>
      </c>
      <c r="AW131" s="29">
        <f>IF(OR(AV131=0,$S$10=0),0,IF((AD131+$L$10)&gt;$S$10/HU_alpha+$K$10,0.5*$S$10/HU_alpha,IF((AD131+$L$10)&gt;=$K$10,((AD131+$L$10)-$K$10)-0.5*HU_alpha/$S$10*((AD131+$L$10)-$K$10)^2,IF((AD131+$L$10)&gt;=$T$10,HU_beta*((AD131+$L$10)-$K$10),HU_beta*($T$10-$K$10)))))</f>
        <v/>
      </c>
      <c r="AX131" s="29">
        <f>IF(OR(AV131=0,$S$10=0),0,IF((AD131+$L$10+$N$10)&gt;$S$10/HU_alpha+$K$10,0.5*$S$10/HU_alpha,IF((AD131+$L$10+$N$10)&gt;=$K$10,((AD131+$L$10+$N$10)-$K$10)-0.5*HU_alpha/$S$10*((AD131+$L$10+$N$10)-$K$10)^2,IF((AD131+$L$10+$N$10)&gt;=$T$10,HU_beta*((AD131+$L$10+$N$10)-$K$10),HU_beta*($T$10-$K$10)))))</f>
        <v/>
      </c>
      <c r="AY131" s="29">
        <f>IF(OR(AV131=0,$S$10=0),0,IF((AD131+$K$10)&gt;$S$10/HU_alpha+$K$10,0.5*$S$10/HU_alpha,IF((AD131+$K$10)&gt;=$K$10,((AD131+$K$10)-$K$10)-0.5*HU_alpha/$S$10*((AD131+$K$10)-$K$10)^2,IF((AD131+$K$10)&gt;=$T$10,HU_beta*((AD131+$K$10)-$K$10),HU_beta*($T$10-$K$10)))))</f>
        <v/>
      </c>
      <c r="AZ131" s="63">
        <f>IF(AND($J$11,A131=$Q$11),J131,0)</f>
        <v/>
      </c>
      <c r="BA131" s="29">
        <f>IF(OR(AZ131=0,$S$11=0),0,IF((AE131+$L$11)&gt;$S$11/HU_alpha+$K$11,0.5*$S$11/HU_alpha,IF((AE131+$L$11)&gt;=$K$11,((AE131+$L$11)-$K$11)-0.5*HU_alpha/$S$11*((AE131+$L$11)-$K$11)^2,IF((AE131+$L$11)&gt;=$T$11,HU_beta*((AE131+$L$11)-$K$11),HU_beta*($T$11-$K$11)))))</f>
        <v/>
      </c>
      <c r="BB131" s="29">
        <f>IF(OR(AZ131=0,$S$11=0),0,IF((AE131+$L$11+$N$11)&gt;$S$11/HU_alpha+$K$11,0.5*$S$11/HU_alpha,IF((AE131+$L$11+$N$11)&gt;=$K$11,((AE131+$L$11+$N$11)-$K$11)-0.5*HU_alpha/$S$11*((AE131+$L$11+$N$11)-$K$11)^2,IF((AE131+$L$11+$N$11)&gt;=$T$11,HU_beta*((AE131+$L$11+$N$11)-$K$11),HU_beta*($T$11-$K$11)))))</f>
        <v/>
      </c>
      <c r="BC131" s="29">
        <f>IF(OR(AZ131=0,$S$11=0),0,IF((AE131+$K$11)&gt;$S$11/HU_alpha+$K$11,0.5*$S$11/HU_alpha,IF((AE131+$K$11)&gt;=$K$11,((AE131+$K$11)-$K$11)-0.5*HU_alpha/$S$11*((AE131+$K$11)-$K$11)^2,IF((AE131+$K$11)&gt;=$T$11,HU_beta*((AE131+$K$11)-$K$11),HU_beta*($T$11-$K$11)))))</f>
        <v/>
      </c>
      <c r="BD131" s="63">
        <f>IF(AND($J$12,A131=$Q$12),J131,0)</f>
        <v/>
      </c>
      <c r="BE131" s="29">
        <f>IF(OR(BD131=0,$S$12=0),0,IF((AE131+$L$12)&gt;$S$12/HU_alpha+$K$12,0.5*$S$12/HU_alpha,IF((AE131+$L$12)&gt;=$K$12,((AE131+$L$12)-$K$12)-0.5*HU_alpha/$S$12*((AE131+$L$12)-$K$12)^2,IF((AE131+$L$12)&gt;=$T$12,HU_beta*((AE131+$L$12)-$K$12),HU_beta*($T$12-$K$12)))))</f>
        <v/>
      </c>
      <c r="BF131" s="29">
        <f>IF(OR(BD131=0,$S$12=0),0,IF((AE131+$L$12+$N$12)&gt;$S$12/HU_alpha+$K$12,0.5*$S$12/HU_alpha,IF((AE131+$L$12+$N$12)&gt;=$K$12,((AE131+$L$12+$N$12)-$K$12)-0.5*HU_alpha/$S$12*((AE131+$L$12+$N$12)-$K$12)^2,IF((AE131+$L$12+$N$12)&gt;=$T$12,HU_beta*((AE131+$L$12+$N$12)-$K$12),HU_beta*($T$12-$K$12)))))</f>
        <v/>
      </c>
      <c r="BG131" s="29">
        <f>IF(OR(BD131=0,$S$12=0),0,IF((AE131+$K$12)&gt;$S$12/HU_alpha+$K$12,0.5*$S$12/HU_alpha,IF((AE131+$K$12)&gt;=$K$12,((AE131+$K$12)-$K$12)-0.5*HU_alpha/$S$12*((AE131+$K$12)-$K$12)^2,IF((AE131+$K$12)&gt;=$T$12,HU_beta*((AE131+$K$12)-$K$12),HU_beta*($T$12-$K$12)))))</f>
        <v/>
      </c>
      <c r="BH131" s="63">
        <f>IF(AND($J$13,A131=$Q$13),J131,0)</f>
        <v/>
      </c>
      <c r="BI131" s="29">
        <f>IF(OR(BH131=0,$S$13=0),0,IF((AE131+$L$13)&gt;$S$13/HU_alpha+$K$13,0.5*$S$13/HU_alpha,IF((AE131+$L$13)&gt;=$K$13,((AE131+$L$13)-$K$13)-0.5*HU_alpha/$S$13*((AE131+$L$13)-$K$13)^2,IF((AE131+$L$13)&gt;=$T$13,HU_beta*((AE131+$L$13)-$K$13),HU_beta*($T$13-$K$13)))))</f>
        <v/>
      </c>
      <c r="BJ131" s="29">
        <f>IF(OR(BH131=0,$S$13=0),0,IF((AE131+$L$13+$N$13)&gt;$S$13/HU_alpha+$K$13,0.5*$S$13/HU_alpha,IF((AE131+$L$13+$N$13)&gt;=$K$13,((AE131+$L$13+$N$13)-$K$13)-0.5*HU_alpha/$S$13*((AE131+$L$13+$N$13)-$K$13)^2,IF((AE131+$L$13+$N$13)&gt;=$T$13,HU_beta*((AE131+$L$13+$N$13)-$K$13),HU_beta*($T$13-$K$13)))))</f>
        <v/>
      </c>
      <c r="BK131" s="29">
        <f>IF(OR(BH131=0,$S$13=0),0,IF((AE131+$K$13)&gt;$S$13/HU_alpha+$K$13,0.5*$S$13/HU_alpha,IF((AE131+$K$13)&gt;=$K$13,((AE131+$K$13)-$K$13)-0.5*HU_alpha/$S$13*((AE131+$K$13)-$K$13)^2,IF((AE131+$K$13)&gt;=$T$13,HU_beta*((AE131+$K$13)-$K$13),HU_beta*($T$13-$K$13)))))</f>
        <v/>
      </c>
    </row>
    <row r="132">
      <c r="A132" s="61" t="n">
        <v>64</v>
      </c>
      <c r="B132" s="61">
        <f>HU_age+A132</f>
        <v/>
      </c>
      <c r="C132" s="52">
        <f>A132&lt;=HU_T</f>
        <v/>
      </c>
      <c r="D132" s="63">
        <f>IF(OR(A132&lt;1,A132&gt;HU_T),0,INDEX(HU_q_mort,HU_age+A132-17,HU_col))</f>
        <v/>
      </c>
      <c r="E132" s="63">
        <f>IF(OR(A132&lt;1,A132&gt;HU_T),0,INDEX(HU_q_adb,HU_age+A132-17,HU_col))</f>
        <v/>
      </c>
      <c r="F132" s="63">
        <f>IF(OR(A132&lt;1,A132&gt;HU_T),0,INDEX(HU_q_morb,HU_age+A132-17,HU_col))</f>
        <v/>
      </c>
      <c r="G132" s="63">
        <f>IF(OR(A132&lt;1,A132&gt;HU_T),0,INDEX(HU_q_ptd,HU_age+A132-17,HU_col))</f>
        <v/>
      </c>
      <c r="H132" s="63">
        <f>IF(OR(A132&lt;1,A132&gt;HU_T),0,INDEX(HU_q_dis,HU_age+A132-17,HU_col))</f>
        <v/>
      </c>
      <c r="I132" s="63">
        <f>IF(A132&gt;HU_T,0,I131*(1-D132)*(1-E132))</f>
        <v/>
      </c>
      <c r="J132" s="63">
        <f>IF(A132&gt;=HU_T,0,N(I133))</f>
        <v/>
      </c>
      <c r="K132" s="63">
        <f>K131*(1-G132)</f>
        <v/>
      </c>
      <c r="L132" s="63">
        <f>1-K132</f>
        <v/>
      </c>
      <c r="M132" s="63">
        <f>K131*G132</f>
        <v/>
      </c>
      <c r="N132" s="63">
        <f>N131*(1-H132)</f>
        <v/>
      </c>
      <c r="O132" s="63">
        <f>1-N131</f>
        <v/>
      </c>
      <c r="P132" s="63">
        <f>P131*(1-F132)</f>
        <v/>
      </c>
      <c r="Q132" s="63">
        <f>1-P131/INDEX($P$68:$P$150,MAX(1,A132-HU_ciYears))</f>
        <v/>
      </c>
      <c r="R132" s="60">
        <f>(1+inflationRate)^A132</f>
        <v/>
      </c>
      <c r="S132" s="29">
        <f>IF(OR(OR(A132&lt;1,A132&gt;HU_T),A132-1&gt;=HU_dtr),0,HU_inc0*(1+incomeGrowthRate)^A132)</f>
        <v/>
      </c>
      <c r="T132" s="60">
        <f>IF(A132&gt;HU_T,T131,T131*(1+INDEX(HU_ssG,HU_age+A132-17)))</f>
        <v/>
      </c>
      <c r="U132" s="29">
        <f>IF(AND(HU_dtr&gt;=1,A132=HU_dtr,A132&lt;=HU_T),MIN(S132*INDEX(HU_ssC,HU_age+A132-17)/(1-INDEX(HU_ssC,HU_age+A132-17)),INDEX(HU_ssCap,HU_age+A132-17))*T132,0)</f>
        <v/>
      </c>
      <c r="V132" s="29">
        <f>S132+U132+IF(AND(HU_wdOn,A132=HU_wdYear),HU_wdIncome,0)</f>
        <v/>
      </c>
      <c r="W132" s="60">
        <f>HU_ciProp*Q132+HU_tpdCut*L132+HU_disCut*O132</f>
        <v/>
      </c>
      <c r="X132" s="29">
        <f>IF(OR(A132&lt;1,A132&gt;HU_T),0,V132*(1-W132))</f>
        <v/>
      </c>
      <c r="Y132" s="29">
        <f>IF(OR(A132&lt;1,A132&gt;HU_T),0,IF(AND(HU_retExp&gt;0,A132-1&gt;=HU_dtr),HU_retExp,HU_exp0)*R132)</f>
        <v/>
      </c>
      <c r="Z132" s="29">
        <f>-Y132-IF(AND(HU_wdOn,A132=HU_wdYear),HU_wdOut,0)</f>
        <v/>
      </c>
      <c r="AA132" s="29">
        <f>IF(OR(A132&lt;1,A132&gt;HU_T),0,-HU_medCost*R132*F132-HU_tpdCost*R132*M132)</f>
        <v/>
      </c>
      <c r="AB132" s="29">
        <f>IF(A132&gt;HU_T,0,AB131*(1+interestRate)+X132+Z132+AA132)</f>
        <v/>
      </c>
      <c r="AC132" s="29">
        <f>IF(A132&gt;HU_T,0,HU_inv*EXP(HU_mu*A132))</f>
        <v/>
      </c>
      <c r="AD132" s="29">
        <f>IF(A132&gt;HU_T,0,MAX(0,AC132+AB132))</f>
        <v/>
      </c>
      <c r="AE132" s="29">
        <f>IF(A132&gt;HU_T,0,MAX(0,X132-Y132))</f>
        <v/>
      </c>
      <c r="AF132" s="63">
        <f>IF(AND($J$6,A132&gt;=1,A132&lt;=$Q$6-1),J132,0)</f>
        <v/>
      </c>
      <c r="AG132" s="29">
        <f>IF(OR(AF132=0,$S$6=0),0,IF((AD132+$L$6)&gt;$S$6/HU_alpha+$K$6,0.5*$S$6/HU_alpha,IF((AD132+$L$6)&gt;=$K$6,((AD132+$L$6)-$K$6)-0.5*HU_alpha/$S$6*((AD132+$L$6)-$K$6)^2,IF((AD132+$L$6)&gt;=$T$6,HU_beta*((AD132+$L$6)-$K$6),HU_beta*($T$6-$K$6)))))</f>
        <v/>
      </c>
      <c r="AH132" s="29">
        <f>IF(OR(AF132=0,$S$6=0),0,IF((AD132+$L$6+$N$6)&gt;$S$6/HU_alpha+$K$6,0.5*$S$6/HU_alpha,IF((AD132+$L$6+$N$6)&gt;=$K$6,((AD132+$L$6+$N$6)-$K$6)-0.5*HU_alpha/$S$6*((AD132+$L$6+$N$6)-$K$6)^2,IF((AD132+$L$6+$N$6)&gt;=$T$6,HU_beta*((AD132+$L$6+$N$6)-$K$6),HU_beta*($T$6-$K$6)))))</f>
        <v/>
      </c>
      <c r="AI132" s="29">
        <f>IF(OR(AF132=0,$S$6=0),0,IF((AD132+$K$6)&gt;$S$6/HU_alpha+$K$6,0.5*$S$6/HU_alpha,IF((AD132+$K$6)&gt;=$K$6,((AD132+$K$6)-$K$6)-0.5*HU_alpha/$S$6*((AD132+$K$6)-$K$6)^2,IF((AD132+$K$6)&gt;=$T$6,HU_beta*((AD132+$K$6)-$K$6),HU_beta*($T$6-$K$6)))))</f>
        <v/>
      </c>
      <c r="AJ132" s="63">
        <f>IF(AND($J$7,A132&gt;=1,A132&lt;=$Q$7-1),J132,0)</f>
        <v/>
      </c>
      <c r="AK132" s="29">
        <f>IF(OR(AJ132=0,$S$7=0),0,IF((AE132+$L$7)&gt;$S$7/HU_alpha+$K$7,0.5*$S$7/HU_alpha,IF((AE132+$L$7)&gt;=$K$7,((AE132+$L$7)-$K$7)-0.5*HU_alpha/$S$7*((AE132+$L$7)-$K$7)^2,IF((AE132+$L$7)&gt;=$T$7,HU_beta*((AE132+$L$7)-$K$7),HU_beta*($T$7-$K$7)))))</f>
        <v/>
      </c>
      <c r="AL132" s="29">
        <f>IF(OR(AJ132=0,$S$7=0),0,IF((AE132+$L$7+$N$7)&gt;$S$7/HU_alpha+$K$7,0.5*$S$7/HU_alpha,IF((AE132+$L$7+$N$7)&gt;=$K$7,((AE132+$L$7+$N$7)-$K$7)-0.5*HU_alpha/$S$7*((AE132+$L$7+$N$7)-$K$7)^2,IF((AE132+$L$7+$N$7)&gt;=$T$7,HU_beta*((AE132+$L$7+$N$7)-$K$7),HU_beta*($T$7-$K$7)))))</f>
        <v/>
      </c>
      <c r="AM132" s="29">
        <f>IF(OR(AJ132=0,$S$7=0),0,IF((AE132+$K$7)&gt;$S$7/HU_alpha+$K$7,0.5*$S$7/HU_alpha,IF((AE132+$K$7)&gt;=$K$7,((AE132+$K$7)-$K$7)-0.5*HU_alpha/$S$7*((AE132+$K$7)-$K$7)^2,IF((AE132+$K$7)&gt;=$T$7,HU_beta*((AE132+$K$7)-$K$7),HU_beta*($T$7-$K$7)))))</f>
        <v/>
      </c>
      <c r="AN132" s="63">
        <f>IF(AND($J$8,A132&gt;=1,A132&lt;=$Q$8-1),J132,0)</f>
        <v/>
      </c>
      <c r="AO132" s="29">
        <f>IF(OR(AN132=0,$S$8=0),0,IF((AE132+$L$8)&gt;$S$8/HU_alpha+$K$8,0.5*$S$8/HU_alpha,IF((AE132+$L$8)&gt;=$K$8,((AE132+$L$8)-$K$8)-0.5*HU_alpha/$S$8*((AE132+$L$8)-$K$8)^2,IF((AE132+$L$8)&gt;=$T$8,HU_beta*((AE132+$L$8)-$K$8),HU_beta*($T$8-$K$8)))))</f>
        <v/>
      </c>
      <c r="AP132" s="29">
        <f>IF(OR(AN132=0,$S$8=0),0,IF((AE132+$L$8+$N$8)&gt;$S$8/HU_alpha+$K$8,0.5*$S$8/HU_alpha,IF((AE132+$L$8+$N$8)&gt;=$K$8,((AE132+$L$8+$N$8)-$K$8)-0.5*HU_alpha/$S$8*((AE132+$L$8+$N$8)-$K$8)^2,IF((AE132+$L$8+$N$8)&gt;=$T$8,HU_beta*((AE132+$L$8+$N$8)-$K$8),HU_beta*($T$8-$K$8)))))</f>
        <v/>
      </c>
      <c r="AQ132" s="29">
        <f>IF(OR(AN132=0,$S$8=0),0,IF((AE132+$K$8)&gt;$S$8/HU_alpha+$K$8,0.5*$S$8/HU_alpha,IF((AE132+$K$8)&gt;=$K$8,((AE132+$K$8)-$K$8)-0.5*HU_alpha/$S$8*((AE132+$K$8)-$K$8)^2,IF((AE132+$K$8)&gt;=$T$8,HU_beta*((AE132+$K$8)-$K$8),HU_beta*($T$8-$K$8)))))</f>
        <v/>
      </c>
      <c r="AR132" s="63">
        <f>IF(AND($J$9,A132&gt;=1,A132&lt;=$Q$9-1),J132,0)</f>
        <v/>
      </c>
      <c r="AS132" s="29">
        <f>IF(OR(AR132=0,$S$9=0),0,IF((AE132+$L$9)&gt;$S$9/HU_alpha+$K$9,0.5*$S$9/HU_alpha,IF((AE132+$L$9)&gt;=$K$9,((AE132+$L$9)-$K$9)-0.5*HU_alpha/$S$9*((AE132+$L$9)-$K$9)^2,IF((AE132+$L$9)&gt;=$T$9,HU_beta*((AE132+$L$9)-$K$9),HU_beta*($T$9-$K$9)))))</f>
        <v/>
      </c>
      <c r="AT132" s="29">
        <f>IF(OR(AR132=0,$S$9=0),0,IF((AE132+$L$9+$N$9)&gt;$S$9/HU_alpha+$K$9,0.5*$S$9/HU_alpha,IF((AE132+$L$9+$N$9)&gt;=$K$9,((AE132+$L$9+$N$9)-$K$9)-0.5*HU_alpha/$S$9*((AE132+$L$9+$N$9)-$K$9)^2,IF((AE132+$L$9+$N$9)&gt;=$T$9,HU_beta*((AE132+$L$9+$N$9)-$K$9),HU_beta*($T$9-$K$9)))))</f>
        <v/>
      </c>
      <c r="AU132" s="29">
        <f>IF(OR(AR132=0,$S$9=0),0,IF((AE132+$K$9)&gt;$S$9/HU_alpha+$K$9,0.5*$S$9/HU_alpha,IF((AE132+$K$9)&gt;=$K$9,((AE132+$K$9)-$K$9)-0.5*HU_alpha/$S$9*((AE132+$K$9)-$K$9)^2,IF((AE132+$K$9)&gt;=$T$9,HU_beta*((AE132+$K$9)-$K$9),HU_beta*($T$9-$K$9)))))</f>
        <v/>
      </c>
      <c r="AV132" s="63">
        <f>IF(AND($J$10,A132=$Q$10),J132,0)</f>
        <v/>
      </c>
      <c r="AW132" s="29">
        <f>IF(OR(AV132=0,$S$10=0),0,IF((AD132+$L$10)&gt;$S$10/HU_alpha+$K$10,0.5*$S$10/HU_alpha,IF((AD132+$L$10)&gt;=$K$10,((AD132+$L$10)-$K$10)-0.5*HU_alpha/$S$10*((AD132+$L$10)-$K$10)^2,IF((AD132+$L$10)&gt;=$T$10,HU_beta*((AD132+$L$10)-$K$10),HU_beta*($T$10-$K$10)))))</f>
        <v/>
      </c>
      <c r="AX132" s="29">
        <f>IF(OR(AV132=0,$S$10=0),0,IF((AD132+$L$10+$N$10)&gt;$S$10/HU_alpha+$K$10,0.5*$S$10/HU_alpha,IF((AD132+$L$10+$N$10)&gt;=$K$10,((AD132+$L$10+$N$10)-$K$10)-0.5*HU_alpha/$S$10*((AD132+$L$10+$N$10)-$K$10)^2,IF((AD132+$L$10+$N$10)&gt;=$T$10,HU_beta*((AD132+$L$10+$N$10)-$K$10),HU_beta*($T$10-$K$10)))))</f>
        <v/>
      </c>
      <c r="AY132" s="29">
        <f>IF(OR(AV132=0,$S$10=0),0,IF((AD132+$K$10)&gt;$S$10/HU_alpha+$K$10,0.5*$S$10/HU_alpha,IF((AD132+$K$10)&gt;=$K$10,((AD132+$K$10)-$K$10)-0.5*HU_alpha/$S$10*((AD132+$K$10)-$K$10)^2,IF((AD132+$K$10)&gt;=$T$10,HU_beta*((AD132+$K$10)-$K$10),HU_beta*($T$10-$K$10)))))</f>
        <v/>
      </c>
      <c r="AZ132" s="63">
        <f>IF(AND($J$11,A132=$Q$11),J132,0)</f>
        <v/>
      </c>
      <c r="BA132" s="29">
        <f>IF(OR(AZ132=0,$S$11=0),0,IF((AE132+$L$11)&gt;$S$11/HU_alpha+$K$11,0.5*$S$11/HU_alpha,IF((AE132+$L$11)&gt;=$K$11,((AE132+$L$11)-$K$11)-0.5*HU_alpha/$S$11*((AE132+$L$11)-$K$11)^2,IF((AE132+$L$11)&gt;=$T$11,HU_beta*((AE132+$L$11)-$K$11),HU_beta*($T$11-$K$11)))))</f>
        <v/>
      </c>
      <c r="BB132" s="29">
        <f>IF(OR(AZ132=0,$S$11=0),0,IF((AE132+$L$11+$N$11)&gt;$S$11/HU_alpha+$K$11,0.5*$S$11/HU_alpha,IF((AE132+$L$11+$N$11)&gt;=$K$11,((AE132+$L$11+$N$11)-$K$11)-0.5*HU_alpha/$S$11*((AE132+$L$11+$N$11)-$K$11)^2,IF((AE132+$L$11+$N$11)&gt;=$T$11,HU_beta*((AE132+$L$11+$N$11)-$K$11),HU_beta*($T$11-$K$11)))))</f>
        <v/>
      </c>
      <c r="BC132" s="29">
        <f>IF(OR(AZ132=0,$S$11=0),0,IF((AE132+$K$11)&gt;$S$11/HU_alpha+$K$11,0.5*$S$11/HU_alpha,IF((AE132+$K$11)&gt;=$K$11,((AE132+$K$11)-$K$11)-0.5*HU_alpha/$S$11*((AE132+$K$11)-$K$11)^2,IF((AE132+$K$11)&gt;=$T$11,HU_beta*((AE132+$K$11)-$K$11),HU_beta*($T$11-$K$11)))))</f>
        <v/>
      </c>
      <c r="BD132" s="63">
        <f>IF(AND($J$12,A132=$Q$12),J132,0)</f>
        <v/>
      </c>
      <c r="BE132" s="29">
        <f>IF(OR(BD132=0,$S$12=0),0,IF((AE132+$L$12)&gt;$S$12/HU_alpha+$K$12,0.5*$S$12/HU_alpha,IF((AE132+$L$12)&gt;=$K$12,((AE132+$L$12)-$K$12)-0.5*HU_alpha/$S$12*((AE132+$L$12)-$K$12)^2,IF((AE132+$L$12)&gt;=$T$12,HU_beta*((AE132+$L$12)-$K$12),HU_beta*($T$12-$K$12)))))</f>
        <v/>
      </c>
      <c r="BF132" s="29">
        <f>IF(OR(BD132=0,$S$12=0),0,IF((AE132+$L$12+$N$12)&gt;$S$12/HU_alpha+$K$12,0.5*$S$12/HU_alpha,IF((AE132+$L$12+$N$12)&gt;=$K$12,((AE132+$L$12+$N$12)-$K$12)-0.5*HU_alpha/$S$12*((AE132+$L$12+$N$12)-$K$12)^2,IF((AE132+$L$12+$N$12)&gt;=$T$12,HU_beta*((AE132+$L$12+$N$12)-$K$12),HU_beta*($T$12-$K$12)))))</f>
        <v/>
      </c>
      <c r="BG132" s="29">
        <f>IF(OR(BD132=0,$S$12=0),0,IF((AE132+$K$12)&gt;$S$12/HU_alpha+$K$12,0.5*$S$12/HU_alpha,IF((AE132+$K$12)&gt;=$K$12,((AE132+$K$12)-$K$12)-0.5*HU_alpha/$S$12*((AE132+$K$12)-$K$12)^2,IF((AE132+$K$12)&gt;=$T$12,HU_beta*((AE132+$K$12)-$K$12),HU_beta*($T$12-$K$12)))))</f>
        <v/>
      </c>
      <c r="BH132" s="63">
        <f>IF(AND($J$13,A132=$Q$13),J132,0)</f>
        <v/>
      </c>
      <c r="BI132" s="29">
        <f>IF(OR(BH132=0,$S$13=0),0,IF((AE132+$L$13)&gt;$S$13/HU_alpha+$K$13,0.5*$S$13/HU_alpha,IF((AE132+$L$13)&gt;=$K$13,((AE132+$L$13)-$K$13)-0.5*HU_alpha/$S$13*((AE132+$L$13)-$K$13)^2,IF((AE132+$L$13)&gt;=$T$13,HU_beta*((AE132+$L$13)-$K$13),HU_beta*($T$13-$K$13)))))</f>
        <v/>
      </c>
      <c r="BJ132" s="29">
        <f>IF(OR(BH132=0,$S$13=0),0,IF((AE132+$L$13+$N$13)&gt;$S$13/HU_alpha+$K$13,0.5*$S$13/HU_alpha,IF((AE132+$L$13+$N$13)&gt;=$K$13,((AE132+$L$13+$N$13)-$K$13)-0.5*HU_alpha/$S$13*((AE132+$L$13+$N$13)-$K$13)^2,IF((AE132+$L$13+$N$13)&gt;=$T$13,HU_beta*((AE132+$L$13+$N$13)-$K$13),HU_beta*($T$13-$K$13)))))</f>
        <v/>
      </c>
      <c r="BK132" s="29">
        <f>IF(OR(BH132=0,$S$13=0),0,IF((AE132+$K$13)&gt;$S$13/HU_alpha+$K$13,0.5*$S$13/HU_alpha,IF((AE132+$K$13)&gt;=$K$13,((AE132+$K$13)-$K$13)-0.5*HU_alpha/$S$13*((AE132+$K$13)-$K$13)^2,IF((AE132+$K$13)&gt;=$T$13,HU_beta*((AE132+$K$13)-$K$13),HU_beta*($T$13-$K$13)))))</f>
        <v/>
      </c>
    </row>
    <row r="133">
      <c r="A133" s="61" t="n">
        <v>65</v>
      </c>
      <c r="B133" s="61">
        <f>HU_age+A133</f>
        <v/>
      </c>
      <c r="C133" s="52">
        <f>A133&lt;=HU_T</f>
        <v/>
      </c>
      <c r="D133" s="63">
        <f>IF(OR(A133&lt;1,A133&gt;HU_T),0,INDEX(HU_q_mort,HU_age+A133-17,HU_col))</f>
        <v/>
      </c>
      <c r="E133" s="63">
        <f>IF(OR(A133&lt;1,A133&gt;HU_T),0,INDEX(HU_q_adb,HU_age+A133-17,HU_col))</f>
        <v/>
      </c>
      <c r="F133" s="63">
        <f>IF(OR(A133&lt;1,A133&gt;HU_T),0,INDEX(HU_q_morb,HU_age+A133-17,HU_col))</f>
        <v/>
      </c>
      <c r="G133" s="63">
        <f>IF(OR(A133&lt;1,A133&gt;HU_T),0,INDEX(HU_q_ptd,HU_age+A133-17,HU_col))</f>
        <v/>
      </c>
      <c r="H133" s="63">
        <f>IF(OR(A133&lt;1,A133&gt;HU_T),0,INDEX(HU_q_dis,HU_age+A133-17,HU_col))</f>
        <v/>
      </c>
      <c r="I133" s="63">
        <f>IF(A133&gt;HU_T,0,I132*(1-D133)*(1-E133))</f>
        <v/>
      </c>
      <c r="J133" s="63">
        <f>IF(A133&gt;=HU_T,0,N(I134))</f>
        <v/>
      </c>
      <c r="K133" s="63">
        <f>K132*(1-G133)</f>
        <v/>
      </c>
      <c r="L133" s="63">
        <f>1-K133</f>
        <v/>
      </c>
      <c r="M133" s="63">
        <f>K132*G133</f>
        <v/>
      </c>
      <c r="N133" s="63">
        <f>N132*(1-H133)</f>
        <v/>
      </c>
      <c r="O133" s="63">
        <f>1-N132</f>
        <v/>
      </c>
      <c r="P133" s="63">
        <f>P132*(1-F133)</f>
        <v/>
      </c>
      <c r="Q133" s="63">
        <f>1-P132/INDEX($P$68:$P$150,MAX(1,A133-HU_ciYears))</f>
        <v/>
      </c>
      <c r="R133" s="60">
        <f>(1+inflationRate)^A133</f>
        <v/>
      </c>
      <c r="S133" s="29">
        <f>IF(OR(OR(A133&lt;1,A133&gt;HU_T),A133-1&gt;=HU_dtr),0,HU_inc0*(1+incomeGrowthRate)^A133)</f>
        <v/>
      </c>
      <c r="T133" s="60">
        <f>IF(A133&gt;HU_T,T132,T132*(1+INDEX(HU_ssG,HU_age+A133-17)))</f>
        <v/>
      </c>
      <c r="U133" s="29">
        <f>IF(AND(HU_dtr&gt;=1,A133=HU_dtr,A133&lt;=HU_T),MIN(S133*INDEX(HU_ssC,HU_age+A133-17)/(1-INDEX(HU_ssC,HU_age+A133-17)),INDEX(HU_ssCap,HU_age+A133-17))*T133,0)</f>
        <v/>
      </c>
      <c r="V133" s="29">
        <f>S133+U133+IF(AND(HU_wdOn,A133=HU_wdYear),HU_wdIncome,0)</f>
        <v/>
      </c>
      <c r="W133" s="60">
        <f>HU_ciProp*Q133+HU_tpdCut*L133+HU_disCut*O133</f>
        <v/>
      </c>
      <c r="X133" s="29">
        <f>IF(OR(A133&lt;1,A133&gt;HU_T),0,V133*(1-W133))</f>
        <v/>
      </c>
      <c r="Y133" s="29">
        <f>IF(OR(A133&lt;1,A133&gt;HU_T),0,IF(AND(HU_retExp&gt;0,A133-1&gt;=HU_dtr),HU_retExp,HU_exp0)*R133)</f>
        <v/>
      </c>
      <c r="Z133" s="29">
        <f>-Y133-IF(AND(HU_wdOn,A133=HU_wdYear),HU_wdOut,0)</f>
        <v/>
      </c>
      <c r="AA133" s="29">
        <f>IF(OR(A133&lt;1,A133&gt;HU_T),0,-HU_medCost*R133*F133-HU_tpdCost*R133*M133)</f>
        <v/>
      </c>
      <c r="AB133" s="29">
        <f>IF(A133&gt;HU_T,0,AB132*(1+interestRate)+X133+Z133+AA133)</f>
        <v/>
      </c>
      <c r="AC133" s="29">
        <f>IF(A133&gt;HU_T,0,HU_inv*EXP(HU_mu*A133))</f>
        <v/>
      </c>
      <c r="AD133" s="29">
        <f>IF(A133&gt;HU_T,0,MAX(0,AC133+AB133))</f>
        <v/>
      </c>
      <c r="AE133" s="29">
        <f>IF(A133&gt;HU_T,0,MAX(0,X133-Y133))</f>
        <v/>
      </c>
      <c r="AF133" s="63">
        <f>IF(AND($J$6,A133&gt;=1,A133&lt;=$Q$6-1),J133,0)</f>
        <v/>
      </c>
      <c r="AG133" s="29">
        <f>IF(OR(AF133=0,$S$6=0),0,IF((AD133+$L$6)&gt;$S$6/HU_alpha+$K$6,0.5*$S$6/HU_alpha,IF((AD133+$L$6)&gt;=$K$6,((AD133+$L$6)-$K$6)-0.5*HU_alpha/$S$6*((AD133+$L$6)-$K$6)^2,IF((AD133+$L$6)&gt;=$T$6,HU_beta*((AD133+$L$6)-$K$6),HU_beta*($T$6-$K$6)))))</f>
        <v/>
      </c>
      <c r="AH133" s="29">
        <f>IF(OR(AF133=0,$S$6=0),0,IF((AD133+$L$6+$N$6)&gt;$S$6/HU_alpha+$K$6,0.5*$S$6/HU_alpha,IF((AD133+$L$6+$N$6)&gt;=$K$6,((AD133+$L$6+$N$6)-$K$6)-0.5*HU_alpha/$S$6*((AD133+$L$6+$N$6)-$K$6)^2,IF((AD133+$L$6+$N$6)&gt;=$T$6,HU_beta*((AD133+$L$6+$N$6)-$K$6),HU_beta*($T$6-$K$6)))))</f>
        <v/>
      </c>
      <c r="AI133" s="29">
        <f>IF(OR(AF133=0,$S$6=0),0,IF((AD133+$K$6)&gt;$S$6/HU_alpha+$K$6,0.5*$S$6/HU_alpha,IF((AD133+$K$6)&gt;=$K$6,((AD133+$K$6)-$K$6)-0.5*HU_alpha/$S$6*((AD133+$K$6)-$K$6)^2,IF((AD133+$K$6)&gt;=$T$6,HU_beta*((AD133+$K$6)-$K$6),HU_beta*($T$6-$K$6)))))</f>
        <v/>
      </c>
      <c r="AJ133" s="63">
        <f>IF(AND($J$7,A133&gt;=1,A133&lt;=$Q$7-1),J133,0)</f>
        <v/>
      </c>
      <c r="AK133" s="29">
        <f>IF(OR(AJ133=0,$S$7=0),0,IF((AE133+$L$7)&gt;$S$7/HU_alpha+$K$7,0.5*$S$7/HU_alpha,IF((AE133+$L$7)&gt;=$K$7,((AE133+$L$7)-$K$7)-0.5*HU_alpha/$S$7*((AE133+$L$7)-$K$7)^2,IF((AE133+$L$7)&gt;=$T$7,HU_beta*((AE133+$L$7)-$K$7),HU_beta*($T$7-$K$7)))))</f>
        <v/>
      </c>
      <c r="AL133" s="29">
        <f>IF(OR(AJ133=0,$S$7=0),0,IF((AE133+$L$7+$N$7)&gt;$S$7/HU_alpha+$K$7,0.5*$S$7/HU_alpha,IF((AE133+$L$7+$N$7)&gt;=$K$7,((AE133+$L$7+$N$7)-$K$7)-0.5*HU_alpha/$S$7*((AE133+$L$7+$N$7)-$K$7)^2,IF((AE133+$L$7+$N$7)&gt;=$T$7,HU_beta*((AE133+$L$7+$N$7)-$K$7),HU_beta*($T$7-$K$7)))))</f>
        <v/>
      </c>
      <c r="AM133" s="29">
        <f>IF(OR(AJ133=0,$S$7=0),0,IF((AE133+$K$7)&gt;$S$7/HU_alpha+$K$7,0.5*$S$7/HU_alpha,IF((AE133+$K$7)&gt;=$K$7,((AE133+$K$7)-$K$7)-0.5*HU_alpha/$S$7*((AE133+$K$7)-$K$7)^2,IF((AE133+$K$7)&gt;=$T$7,HU_beta*((AE133+$K$7)-$K$7),HU_beta*($T$7-$K$7)))))</f>
        <v/>
      </c>
      <c r="AN133" s="63">
        <f>IF(AND($J$8,A133&gt;=1,A133&lt;=$Q$8-1),J133,0)</f>
        <v/>
      </c>
      <c r="AO133" s="29">
        <f>IF(OR(AN133=0,$S$8=0),0,IF((AE133+$L$8)&gt;$S$8/HU_alpha+$K$8,0.5*$S$8/HU_alpha,IF((AE133+$L$8)&gt;=$K$8,((AE133+$L$8)-$K$8)-0.5*HU_alpha/$S$8*((AE133+$L$8)-$K$8)^2,IF((AE133+$L$8)&gt;=$T$8,HU_beta*((AE133+$L$8)-$K$8),HU_beta*($T$8-$K$8)))))</f>
        <v/>
      </c>
      <c r="AP133" s="29">
        <f>IF(OR(AN133=0,$S$8=0),0,IF((AE133+$L$8+$N$8)&gt;$S$8/HU_alpha+$K$8,0.5*$S$8/HU_alpha,IF((AE133+$L$8+$N$8)&gt;=$K$8,((AE133+$L$8+$N$8)-$K$8)-0.5*HU_alpha/$S$8*((AE133+$L$8+$N$8)-$K$8)^2,IF((AE133+$L$8+$N$8)&gt;=$T$8,HU_beta*((AE133+$L$8+$N$8)-$K$8),HU_beta*($T$8-$K$8)))))</f>
        <v/>
      </c>
      <c r="AQ133" s="29">
        <f>IF(OR(AN133=0,$S$8=0),0,IF((AE133+$K$8)&gt;$S$8/HU_alpha+$K$8,0.5*$S$8/HU_alpha,IF((AE133+$K$8)&gt;=$K$8,((AE133+$K$8)-$K$8)-0.5*HU_alpha/$S$8*((AE133+$K$8)-$K$8)^2,IF((AE133+$K$8)&gt;=$T$8,HU_beta*((AE133+$K$8)-$K$8),HU_beta*($T$8-$K$8)))))</f>
        <v/>
      </c>
      <c r="AR133" s="63">
        <f>IF(AND($J$9,A133&gt;=1,A133&lt;=$Q$9-1),J133,0)</f>
        <v/>
      </c>
      <c r="AS133" s="29">
        <f>IF(OR(AR133=0,$S$9=0),0,IF((AE133+$L$9)&gt;$S$9/HU_alpha+$K$9,0.5*$S$9/HU_alpha,IF((AE133+$L$9)&gt;=$K$9,((AE133+$L$9)-$K$9)-0.5*HU_alpha/$S$9*((AE133+$L$9)-$K$9)^2,IF((AE133+$L$9)&gt;=$T$9,HU_beta*((AE133+$L$9)-$K$9),HU_beta*($T$9-$K$9)))))</f>
        <v/>
      </c>
      <c r="AT133" s="29">
        <f>IF(OR(AR133=0,$S$9=0),0,IF((AE133+$L$9+$N$9)&gt;$S$9/HU_alpha+$K$9,0.5*$S$9/HU_alpha,IF((AE133+$L$9+$N$9)&gt;=$K$9,((AE133+$L$9+$N$9)-$K$9)-0.5*HU_alpha/$S$9*((AE133+$L$9+$N$9)-$K$9)^2,IF((AE133+$L$9+$N$9)&gt;=$T$9,HU_beta*((AE133+$L$9+$N$9)-$K$9),HU_beta*($T$9-$K$9)))))</f>
        <v/>
      </c>
      <c r="AU133" s="29">
        <f>IF(OR(AR133=0,$S$9=0),0,IF((AE133+$K$9)&gt;$S$9/HU_alpha+$K$9,0.5*$S$9/HU_alpha,IF((AE133+$K$9)&gt;=$K$9,((AE133+$K$9)-$K$9)-0.5*HU_alpha/$S$9*((AE133+$K$9)-$K$9)^2,IF((AE133+$K$9)&gt;=$T$9,HU_beta*((AE133+$K$9)-$K$9),HU_beta*($T$9-$K$9)))))</f>
        <v/>
      </c>
      <c r="AV133" s="63">
        <f>IF(AND($J$10,A133=$Q$10),J133,0)</f>
        <v/>
      </c>
      <c r="AW133" s="29">
        <f>IF(OR(AV133=0,$S$10=0),0,IF((AD133+$L$10)&gt;$S$10/HU_alpha+$K$10,0.5*$S$10/HU_alpha,IF((AD133+$L$10)&gt;=$K$10,((AD133+$L$10)-$K$10)-0.5*HU_alpha/$S$10*((AD133+$L$10)-$K$10)^2,IF((AD133+$L$10)&gt;=$T$10,HU_beta*((AD133+$L$10)-$K$10),HU_beta*($T$10-$K$10)))))</f>
        <v/>
      </c>
      <c r="AX133" s="29">
        <f>IF(OR(AV133=0,$S$10=0),0,IF((AD133+$L$10+$N$10)&gt;$S$10/HU_alpha+$K$10,0.5*$S$10/HU_alpha,IF((AD133+$L$10+$N$10)&gt;=$K$10,((AD133+$L$10+$N$10)-$K$10)-0.5*HU_alpha/$S$10*((AD133+$L$10+$N$10)-$K$10)^2,IF((AD133+$L$10+$N$10)&gt;=$T$10,HU_beta*((AD133+$L$10+$N$10)-$K$10),HU_beta*($T$10-$K$10)))))</f>
        <v/>
      </c>
      <c r="AY133" s="29">
        <f>IF(OR(AV133=0,$S$10=0),0,IF((AD133+$K$10)&gt;$S$10/HU_alpha+$K$10,0.5*$S$10/HU_alpha,IF((AD133+$K$10)&gt;=$K$10,((AD133+$K$10)-$K$10)-0.5*HU_alpha/$S$10*((AD133+$K$10)-$K$10)^2,IF((AD133+$K$10)&gt;=$T$10,HU_beta*((AD133+$K$10)-$K$10),HU_beta*($T$10-$K$10)))))</f>
        <v/>
      </c>
      <c r="AZ133" s="63">
        <f>IF(AND($J$11,A133=$Q$11),J133,0)</f>
        <v/>
      </c>
      <c r="BA133" s="29">
        <f>IF(OR(AZ133=0,$S$11=0),0,IF((AE133+$L$11)&gt;$S$11/HU_alpha+$K$11,0.5*$S$11/HU_alpha,IF((AE133+$L$11)&gt;=$K$11,((AE133+$L$11)-$K$11)-0.5*HU_alpha/$S$11*((AE133+$L$11)-$K$11)^2,IF((AE133+$L$11)&gt;=$T$11,HU_beta*((AE133+$L$11)-$K$11),HU_beta*($T$11-$K$11)))))</f>
        <v/>
      </c>
      <c r="BB133" s="29">
        <f>IF(OR(AZ133=0,$S$11=0),0,IF((AE133+$L$11+$N$11)&gt;$S$11/HU_alpha+$K$11,0.5*$S$11/HU_alpha,IF((AE133+$L$11+$N$11)&gt;=$K$11,((AE133+$L$11+$N$11)-$K$11)-0.5*HU_alpha/$S$11*((AE133+$L$11+$N$11)-$K$11)^2,IF((AE133+$L$11+$N$11)&gt;=$T$11,HU_beta*((AE133+$L$11+$N$11)-$K$11),HU_beta*($T$11-$K$11)))))</f>
        <v/>
      </c>
      <c r="BC133" s="29">
        <f>IF(OR(AZ133=0,$S$11=0),0,IF((AE133+$K$11)&gt;$S$11/HU_alpha+$K$11,0.5*$S$11/HU_alpha,IF((AE133+$K$11)&gt;=$K$11,((AE133+$K$11)-$K$11)-0.5*HU_alpha/$S$11*((AE133+$K$11)-$K$11)^2,IF((AE133+$K$11)&gt;=$T$11,HU_beta*((AE133+$K$11)-$K$11),HU_beta*($T$11-$K$11)))))</f>
        <v/>
      </c>
      <c r="BD133" s="63">
        <f>IF(AND($J$12,A133=$Q$12),J133,0)</f>
        <v/>
      </c>
      <c r="BE133" s="29">
        <f>IF(OR(BD133=0,$S$12=0),0,IF((AE133+$L$12)&gt;$S$12/HU_alpha+$K$12,0.5*$S$12/HU_alpha,IF((AE133+$L$12)&gt;=$K$12,((AE133+$L$12)-$K$12)-0.5*HU_alpha/$S$12*((AE133+$L$12)-$K$12)^2,IF((AE133+$L$12)&gt;=$T$12,HU_beta*((AE133+$L$12)-$K$12),HU_beta*($T$12-$K$12)))))</f>
        <v/>
      </c>
      <c r="BF133" s="29">
        <f>IF(OR(BD133=0,$S$12=0),0,IF((AE133+$L$12+$N$12)&gt;$S$12/HU_alpha+$K$12,0.5*$S$12/HU_alpha,IF((AE133+$L$12+$N$12)&gt;=$K$12,((AE133+$L$12+$N$12)-$K$12)-0.5*HU_alpha/$S$12*((AE133+$L$12+$N$12)-$K$12)^2,IF((AE133+$L$12+$N$12)&gt;=$T$12,HU_beta*((AE133+$L$12+$N$12)-$K$12),HU_beta*($T$12-$K$12)))))</f>
        <v/>
      </c>
      <c r="BG133" s="29">
        <f>IF(OR(BD133=0,$S$12=0),0,IF((AE133+$K$12)&gt;$S$12/HU_alpha+$K$12,0.5*$S$12/HU_alpha,IF((AE133+$K$12)&gt;=$K$12,((AE133+$K$12)-$K$12)-0.5*HU_alpha/$S$12*((AE133+$K$12)-$K$12)^2,IF((AE133+$K$12)&gt;=$T$12,HU_beta*((AE133+$K$12)-$K$12),HU_beta*($T$12-$K$12)))))</f>
        <v/>
      </c>
      <c r="BH133" s="63">
        <f>IF(AND($J$13,A133=$Q$13),J133,0)</f>
        <v/>
      </c>
      <c r="BI133" s="29">
        <f>IF(OR(BH133=0,$S$13=0),0,IF((AE133+$L$13)&gt;$S$13/HU_alpha+$K$13,0.5*$S$13/HU_alpha,IF((AE133+$L$13)&gt;=$K$13,((AE133+$L$13)-$K$13)-0.5*HU_alpha/$S$13*((AE133+$L$13)-$K$13)^2,IF((AE133+$L$13)&gt;=$T$13,HU_beta*((AE133+$L$13)-$K$13),HU_beta*($T$13-$K$13)))))</f>
        <v/>
      </c>
      <c r="BJ133" s="29">
        <f>IF(OR(BH133=0,$S$13=0),0,IF((AE133+$L$13+$N$13)&gt;$S$13/HU_alpha+$K$13,0.5*$S$13/HU_alpha,IF((AE133+$L$13+$N$13)&gt;=$K$13,((AE133+$L$13+$N$13)-$K$13)-0.5*HU_alpha/$S$13*((AE133+$L$13+$N$13)-$K$13)^2,IF((AE133+$L$13+$N$13)&gt;=$T$13,HU_beta*((AE133+$L$13+$N$13)-$K$13),HU_beta*($T$13-$K$13)))))</f>
        <v/>
      </c>
      <c r="BK133" s="29">
        <f>IF(OR(BH133=0,$S$13=0),0,IF((AE133+$K$13)&gt;$S$13/HU_alpha+$K$13,0.5*$S$13/HU_alpha,IF((AE133+$K$13)&gt;=$K$13,((AE133+$K$13)-$K$13)-0.5*HU_alpha/$S$13*((AE133+$K$13)-$K$13)^2,IF((AE133+$K$13)&gt;=$T$13,HU_beta*((AE133+$K$13)-$K$13),HU_beta*($T$13-$K$13)))))</f>
        <v/>
      </c>
    </row>
    <row r="134">
      <c r="A134" s="61" t="n">
        <v>66</v>
      </c>
      <c r="B134" s="61">
        <f>HU_age+A134</f>
        <v/>
      </c>
      <c r="C134" s="52">
        <f>A134&lt;=HU_T</f>
        <v/>
      </c>
      <c r="D134" s="63">
        <f>IF(OR(A134&lt;1,A134&gt;HU_T),0,INDEX(HU_q_mort,HU_age+A134-17,HU_col))</f>
        <v/>
      </c>
      <c r="E134" s="63">
        <f>IF(OR(A134&lt;1,A134&gt;HU_T),0,INDEX(HU_q_adb,HU_age+A134-17,HU_col))</f>
        <v/>
      </c>
      <c r="F134" s="63">
        <f>IF(OR(A134&lt;1,A134&gt;HU_T),0,INDEX(HU_q_morb,HU_age+A134-17,HU_col))</f>
        <v/>
      </c>
      <c r="G134" s="63">
        <f>IF(OR(A134&lt;1,A134&gt;HU_T),0,INDEX(HU_q_ptd,HU_age+A134-17,HU_col))</f>
        <v/>
      </c>
      <c r="H134" s="63">
        <f>IF(OR(A134&lt;1,A134&gt;HU_T),0,INDEX(HU_q_dis,HU_age+A134-17,HU_col))</f>
        <v/>
      </c>
      <c r="I134" s="63">
        <f>IF(A134&gt;HU_T,0,I133*(1-D134)*(1-E134))</f>
        <v/>
      </c>
      <c r="J134" s="63">
        <f>IF(A134&gt;=HU_T,0,N(I135))</f>
        <v/>
      </c>
      <c r="K134" s="63">
        <f>K133*(1-G134)</f>
        <v/>
      </c>
      <c r="L134" s="63">
        <f>1-K134</f>
        <v/>
      </c>
      <c r="M134" s="63">
        <f>K133*G134</f>
        <v/>
      </c>
      <c r="N134" s="63">
        <f>N133*(1-H134)</f>
        <v/>
      </c>
      <c r="O134" s="63">
        <f>1-N133</f>
        <v/>
      </c>
      <c r="P134" s="63">
        <f>P133*(1-F134)</f>
        <v/>
      </c>
      <c r="Q134" s="63">
        <f>1-P133/INDEX($P$68:$P$150,MAX(1,A134-HU_ciYears))</f>
        <v/>
      </c>
      <c r="R134" s="60">
        <f>(1+inflationRate)^A134</f>
        <v/>
      </c>
      <c r="S134" s="29">
        <f>IF(OR(OR(A134&lt;1,A134&gt;HU_T),A134-1&gt;=HU_dtr),0,HU_inc0*(1+incomeGrowthRate)^A134)</f>
        <v/>
      </c>
      <c r="T134" s="60">
        <f>IF(A134&gt;HU_T,T133,T133*(1+INDEX(HU_ssG,HU_age+A134-17)))</f>
        <v/>
      </c>
      <c r="U134" s="29">
        <f>IF(AND(HU_dtr&gt;=1,A134=HU_dtr,A134&lt;=HU_T),MIN(S134*INDEX(HU_ssC,HU_age+A134-17)/(1-INDEX(HU_ssC,HU_age+A134-17)),INDEX(HU_ssCap,HU_age+A134-17))*T134,0)</f>
        <v/>
      </c>
      <c r="V134" s="29">
        <f>S134+U134+IF(AND(HU_wdOn,A134=HU_wdYear),HU_wdIncome,0)</f>
        <v/>
      </c>
      <c r="W134" s="60">
        <f>HU_ciProp*Q134+HU_tpdCut*L134+HU_disCut*O134</f>
        <v/>
      </c>
      <c r="X134" s="29">
        <f>IF(OR(A134&lt;1,A134&gt;HU_T),0,V134*(1-W134))</f>
        <v/>
      </c>
      <c r="Y134" s="29">
        <f>IF(OR(A134&lt;1,A134&gt;HU_T),0,IF(AND(HU_retExp&gt;0,A134-1&gt;=HU_dtr),HU_retExp,HU_exp0)*R134)</f>
        <v/>
      </c>
      <c r="Z134" s="29">
        <f>-Y134-IF(AND(HU_wdOn,A134=HU_wdYear),HU_wdOut,0)</f>
        <v/>
      </c>
      <c r="AA134" s="29">
        <f>IF(OR(A134&lt;1,A134&gt;HU_T),0,-HU_medCost*R134*F134-HU_tpdCost*R134*M134)</f>
        <v/>
      </c>
      <c r="AB134" s="29">
        <f>IF(A134&gt;HU_T,0,AB133*(1+interestRate)+X134+Z134+AA134)</f>
        <v/>
      </c>
      <c r="AC134" s="29">
        <f>IF(A134&gt;HU_T,0,HU_inv*EXP(HU_mu*A134))</f>
        <v/>
      </c>
      <c r="AD134" s="29">
        <f>IF(A134&gt;HU_T,0,MAX(0,AC134+AB134))</f>
        <v/>
      </c>
      <c r="AE134" s="29">
        <f>IF(A134&gt;HU_T,0,MAX(0,X134-Y134))</f>
        <v/>
      </c>
      <c r="AF134" s="63">
        <f>IF(AND($J$6,A134&gt;=1,A134&lt;=$Q$6-1),J134,0)</f>
        <v/>
      </c>
      <c r="AG134" s="29">
        <f>IF(OR(AF134=0,$S$6=0),0,IF((AD134+$L$6)&gt;$S$6/HU_alpha+$K$6,0.5*$S$6/HU_alpha,IF((AD134+$L$6)&gt;=$K$6,((AD134+$L$6)-$K$6)-0.5*HU_alpha/$S$6*((AD134+$L$6)-$K$6)^2,IF((AD134+$L$6)&gt;=$T$6,HU_beta*((AD134+$L$6)-$K$6),HU_beta*($T$6-$K$6)))))</f>
        <v/>
      </c>
      <c r="AH134" s="29">
        <f>IF(OR(AF134=0,$S$6=0),0,IF((AD134+$L$6+$N$6)&gt;$S$6/HU_alpha+$K$6,0.5*$S$6/HU_alpha,IF((AD134+$L$6+$N$6)&gt;=$K$6,((AD134+$L$6+$N$6)-$K$6)-0.5*HU_alpha/$S$6*((AD134+$L$6+$N$6)-$K$6)^2,IF((AD134+$L$6+$N$6)&gt;=$T$6,HU_beta*((AD134+$L$6+$N$6)-$K$6),HU_beta*($T$6-$K$6)))))</f>
        <v/>
      </c>
      <c r="AI134" s="29">
        <f>IF(OR(AF134=0,$S$6=0),0,IF((AD134+$K$6)&gt;$S$6/HU_alpha+$K$6,0.5*$S$6/HU_alpha,IF((AD134+$K$6)&gt;=$K$6,((AD134+$K$6)-$K$6)-0.5*HU_alpha/$S$6*((AD134+$K$6)-$K$6)^2,IF((AD134+$K$6)&gt;=$T$6,HU_beta*((AD134+$K$6)-$K$6),HU_beta*($T$6-$K$6)))))</f>
        <v/>
      </c>
      <c r="AJ134" s="63">
        <f>IF(AND($J$7,A134&gt;=1,A134&lt;=$Q$7-1),J134,0)</f>
        <v/>
      </c>
      <c r="AK134" s="29">
        <f>IF(OR(AJ134=0,$S$7=0),0,IF((AE134+$L$7)&gt;$S$7/HU_alpha+$K$7,0.5*$S$7/HU_alpha,IF((AE134+$L$7)&gt;=$K$7,((AE134+$L$7)-$K$7)-0.5*HU_alpha/$S$7*((AE134+$L$7)-$K$7)^2,IF((AE134+$L$7)&gt;=$T$7,HU_beta*((AE134+$L$7)-$K$7),HU_beta*($T$7-$K$7)))))</f>
        <v/>
      </c>
      <c r="AL134" s="29">
        <f>IF(OR(AJ134=0,$S$7=0),0,IF((AE134+$L$7+$N$7)&gt;$S$7/HU_alpha+$K$7,0.5*$S$7/HU_alpha,IF((AE134+$L$7+$N$7)&gt;=$K$7,((AE134+$L$7+$N$7)-$K$7)-0.5*HU_alpha/$S$7*((AE134+$L$7+$N$7)-$K$7)^2,IF((AE134+$L$7+$N$7)&gt;=$T$7,HU_beta*((AE134+$L$7+$N$7)-$K$7),HU_beta*($T$7-$K$7)))))</f>
        <v/>
      </c>
      <c r="AM134" s="29">
        <f>IF(OR(AJ134=0,$S$7=0),0,IF((AE134+$K$7)&gt;$S$7/HU_alpha+$K$7,0.5*$S$7/HU_alpha,IF((AE134+$K$7)&gt;=$K$7,((AE134+$K$7)-$K$7)-0.5*HU_alpha/$S$7*((AE134+$K$7)-$K$7)^2,IF((AE134+$K$7)&gt;=$T$7,HU_beta*((AE134+$K$7)-$K$7),HU_beta*($T$7-$K$7)))))</f>
        <v/>
      </c>
      <c r="AN134" s="63">
        <f>IF(AND($J$8,A134&gt;=1,A134&lt;=$Q$8-1),J134,0)</f>
        <v/>
      </c>
      <c r="AO134" s="29">
        <f>IF(OR(AN134=0,$S$8=0),0,IF((AE134+$L$8)&gt;$S$8/HU_alpha+$K$8,0.5*$S$8/HU_alpha,IF((AE134+$L$8)&gt;=$K$8,((AE134+$L$8)-$K$8)-0.5*HU_alpha/$S$8*((AE134+$L$8)-$K$8)^2,IF((AE134+$L$8)&gt;=$T$8,HU_beta*((AE134+$L$8)-$K$8),HU_beta*($T$8-$K$8)))))</f>
        <v/>
      </c>
      <c r="AP134" s="29">
        <f>IF(OR(AN134=0,$S$8=0),0,IF((AE134+$L$8+$N$8)&gt;$S$8/HU_alpha+$K$8,0.5*$S$8/HU_alpha,IF((AE134+$L$8+$N$8)&gt;=$K$8,((AE134+$L$8+$N$8)-$K$8)-0.5*HU_alpha/$S$8*((AE134+$L$8+$N$8)-$K$8)^2,IF((AE134+$L$8+$N$8)&gt;=$T$8,HU_beta*((AE134+$L$8+$N$8)-$K$8),HU_beta*($T$8-$K$8)))))</f>
        <v/>
      </c>
      <c r="AQ134" s="29">
        <f>IF(OR(AN134=0,$S$8=0),0,IF((AE134+$K$8)&gt;$S$8/HU_alpha+$K$8,0.5*$S$8/HU_alpha,IF((AE134+$K$8)&gt;=$K$8,((AE134+$K$8)-$K$8)-0.5*HU_alpha/$S$8*((AE134+$K$8)-$K$8)^2,IF((AE134+$K$8)&gt;=$T$8,HU_beta*((AE134+$K$8)-$K$8),HU_beta*($T$8-$K$8)))))</f>
        <v/>
      </c>
      <c r="AR134" s="63">
        <f>IF(AND($J$9,A134&gt;=1,A134&lt;=$Q$9-1),J134,0)</f>
        <v/>
      </c>
      <c r="AS134" s="29">
        <f>IF(OR(AR134=0,$S$9=0),0,IF((AE134+$L$9)&gt;$S$9/HU_alpha+$K$9,0.5*$S$9/HU_alpha,IF((AE134+$L$9)&gt;=$K$9,((AE134+$L$9)-$K$9)-0.5*HU_alpha/$S$9*((AE134+$L$9)-$K$9)^2,IF((AE134+$L$9)&gt;=$T$9,HU_beta*((AE134+$L$9)-$K$9),HU_beta*($T$9-$K$9)))))</f>
        <v/>
      </c>
      <c r="AT134" s="29">
        <f>IF(OR(AR134=0,$S$9=0),0,IF((AE134+$L$9+$N$9)&gt;$S$9/HU_alpha+$K$9,0.5*$S$9/HU_alpha,IF((AE134+$L$9+$N$9)&gt;=$K$9,((AE134+$L$9+$N$9)-$K$9)-0.5*HU_alpha/$S$9*((AE134+$L$9+$N$9)-$K$9)^2,IF((AE134+$L$9+$N$9)&gt;=$T$9,HU_beta*((AE134+$L$9+$N$9)-$K$9),HU_beta*($T$9-$K$9)))))</f>
        <v/>
      </c>
      <c r="AU134" s="29">
        <f>IF(OR(AR134=0,$S$9=0),0,IF((AE134+$K$9)&gt;$S$9/HU_alpha+$K$9,0.5*$S$9/HU_alpha,IF((AE134+$K$9)&gt;=$K$9,((AE134+$K$9)-$K$9)-0.5*HU_alpha/$S$9*((AE134+$K$9)-$K$9)^2,IF((AE134+$K$9)&gt;=$T$9,HU_beta*((AE134+$K$9)-$K$9),HU_beta*($T$9-$K$9)))))</f>
        <v/>
      </c>
      <c r="AV134" s="63">
        <f>IF(AND($J$10,A134=$Q$10),J134,0)</f>
        <v/>
      </c>
      <c r="AW134" s="29">
        <f>IF(OR(AV134=0,$S$10=0),0,IF((AD134+$L$10)&gt;$S$10/HU_alpha+$K$10,0.5*$S$10/HU_alpha,IF((AD134+$L$10)&gt;=$K$10,((AD134+$L$10)-$K$10)-0.5*HU_alpha/$S$10*((AD134+$L$10)-$K$10)^2,IF((AD134+$L$10)&gt;=$T$10,HU_beta*((AD134+$L$10)-$K$10),HU_beta*($T$10-$K$10)))))</f>
        <v/>
      </c>
      <c r="AX134" s="29">
        <f>IF(OR(AV134=0,$S$10=0),0,IF((AD134+$L$10+$N$10)&gt;$S$10/HU_alpha+$K$10,0.5*$S$10/HU_alpha,IF((AD134+$L$10+$N$10)&gt;=$K$10,((AD134+$L$10+$N$10)-$K$10)-0.5*HU_alpha/$S$10*((AD134+$L$10+$N$10)-$K$10)^2,IF((AD134+$L$10+$N$10)&gt;=$T$10,HU_beta*((AD134+$L$10+$N$10)-$K$10),HU_beta*($T$10-$K$10)))))</f>
        <v/>
      </c>
      <c r="AY134" s="29">
        <f>IF(OR(AV134=0,$S$10=0),0,IF((AD134+$K$10)&gt;$S$10/HU_alpha+$K$10,0.5*$S$10/HU_alpha,IF((AD134+$K$10)&gt;=$K$10,((AD134+$K$10)-$K$10)-0.5*HU_alpha/$S$10*((AD134+$K$10)-$K$10)^2,IF((AD134+$K$10)&gt;=$T$10,HU_beta*((AD134+$K$10)-$K$10),HU_beta*($T$10-$K$10)))))</f>
        <v/>
      </c>
      <c r="AZ134" s="63">
        <f>IF(AND($J$11,A134=$Q$11),J134,0)</f>
        <v/>
      </c>
      <c r="BA134" s="29">
        <f>IF(OR(AZ134=0,$S$11=0),0,IF((AE134+$L$11)&gt;$S$11/HU_alpha+$K$11,0.5*$S$11/HU_alpha,IF((AE134+$L$11)&gt;=$K$11,((AE134+$L$11)-$K$11)-0.5*HU_alpha/$S$11*((AE134+$L$11)-$K$11)^2,IF((AE134+$L$11)&gt;=$T$11,HU_beta*((AE134+$L$11)-$K$11),HU_beta*($T$11-$K$11)))))</f>
        <v/>
      </c>
      <c r="BB134" s="29">
        <f>IF(OR(AZ134=0,$S$11=0),0,IF((AE134+$L$11+$N$11)&gt;$S$11/HU_alpha+$K$11,0.5*$S$11/HU_alpha,IF((AE134+$L$11+$N$11)&gt;=$K$11,((AE134+$L$11+$N$11)-$K$11)-0.5*HU_alpha/$S$11*((AE134+$L$11+$N$11)-$K$11)^2,IF((AE134+$L$11+$N$11)&gt;=$T$11,HU_beta*((AE134+$L$11+$N$11)-$K$11),HU_beta*($T$11-$K$11)))))</f>
        <v/>
      </c>
      <c r="BC134" s="29">
        <f>IF(OR(AZ134=0,$S$11=0),0,IF((AE134+$K$11)&gt;$S$11/HU_alpha+$K$11,0.5*$S$11/HU_alpha,IF((AE134+$K$11)&gt;=$K$11,((AE134+$K$11)-$K$11)-0.5*HU_alpha/$S$11*((AE134+$K$11)-$K$11)^2,IF((AE134+$K$11)&gt;=$T$11,HU_beta*((AE134+$K$11)-$K$11),HU_beta*($T$11-$K$11)))))</f>
        <v/>
      </c>
      <c r="BD134" s="63">
        <f>IF(AND($J$12,A134=$Q$12),J134,0)</f>
        <v/>
      </c>
      <c r="BE134" s="29">
        <f>IF(OR(BD134=0,$S$12=0),0,IF((AE134+$L$12)&gt;$S$12/HU_alpha+$K$12,0.5*$S$12/HU_alpha,IF((AE134+$L$12)&gt;=$K$12,((AE134+$L$12)-$K$12)-0.5*HU_alpha/$S$12*((AE134+$L$12)-$K$12)^2,IF((AE134+$L$12)&gt;=$T$12,HU_beta*((AE134+$L$12)-$K$12),HU_beta*($T$12-$K$12)))))</f>
        <v/>
      </c>
      <c r="BF134" s="29">
        <f>IF(OR(BD134=0,$S$12=0),0,IF((AE134+$L$12+$N$12)&gt;$S$12/HU_alpha+$K$12,0.5*$S$12/HU_alpha,IF((AE134+$L$12+$N$12)&gt;=$K$12,((AE134+$L$12+$N$12)-$K$12)-0.5*HU_alpha/$S$12*((AE134+$L$12+$N$12)-$K$12)^2,IF((AE134+$L$12+$N$12)&gt;=$T$12,HU_beta*((AE134+$L$12+$N$12)-$K$12),HU_beta*($T$12-$K$12)))))</f>
        <v/>
      </c>
      <c r="BG134" s="29">
        <f>IF(OR(BD134=0,$S$12=0),0,IF((AE134+$K$12)&gt;$S$12/HU_alpha+$K$12,0.5*$S$12/HU_alpha,IF((AE134+$K$12)&gt;=$K$12,((AE134+$K$12)-$K$12)-0.5*HU_alpha/$S$12*((AE134+$K$12)-$K$12)^2,IF((AE134+$K$12)&gt;=$T$12,HU_beta*((AE134+$K$12)-$K$12),HU_beta*($T$12-$K$12)))))</f>
        <v/>
      </c>
      <c r="BH134" s="63">
        <f>IF(AND($J$13,A134=$Q$13),J134,0)</f>
        <v/>
      </c>
      <c r="BI134" s="29">
        <f>IF(OR(BH134=0,$S$13=0),0,IF((AE134+$L$13)&gt;$S$13/HU_alpha+$K$13,0.5*$S$13/HU_alpha,IF((AE134+$L$13)&gt;=$K$13,((AE134+$L$13)-$K$13)-0.5*HU_alpha/$S$13*((AE134+$L$13)-$K$13)^2,IF((AE134+$L$13)&gt;=$T$13,HU_beta*((AE134+$L$13)-$K$13),HU_beta*($T$13-$K$13)))))</f>
        <v/>
      </c>
      <c r="BJ134" s="29">
        <f>IF(OR(BH134=0,$S$13=0),0,IF((AE134+$L$13+$N$13)&gt;$S$13/HU_alpha+$K$13,0.5*$S$13/HU_alpha,IF((AE134+$L$13+$N$13)&gt;=$K$13,((AE134+$L$13+$N$13)-$K$13)-0.5*HU_alpha/$S$13*((AE134+$L$13+$N$13)-$K$13)^2,IF((AE134+$L$13+$N$13)&gt;=$T$13,HU_beta*((AE134+$L$13+$N$13)-$K$13),HU_beta*($T$13-$K$13)))))</f>
        <v/>
      </c>
      <c r="BK134" s="29">
        <f>IF(OR(BH134=0,$S$13=0),0,IF((AE134+$K$13)&gt;$S$13/HU_alpha+$K$13,0.5*$S$13/HU_alpha,IF((AE134+$K$13)&gt;=$K$13,((AE134+$K$13)-$K$13)-0.5*HU_alpha/$S$13*((AE134+$K$13)-$K$13)^2,IF((AE134+$K$13)&gt;=$T$13,HU_beta*((AE134+$K$13)-$K$13),HU_beta*($T$13-$K$13)))))</f>
        <v/>
      </c>
    </row>
    <row r="135">
      <c r="A135" s="61" t="n">
        <v>67</v>
      </c>
      <c r="B135" s="61">
        <f>HU_age+A135</f>
        <v/>
      </c>
      <c r="C135" s="52">
        <f>A135&lt;=HU_T</f>
        <v/>
      </c>
      <c r="D135" s="63">
        <f>IF(OR(A135&lt;1,A135&gt;HU_T),0,INDEX(HU_q_mort,HU_age+A135-17,HU_col))</f>
        <v/>
      </c>
      <c r="E135" s="63">
        <f>IF(OR(A135&lt;1,A135&gt;HU_T),0,INDEX(HU_q_adb,HU_age+A135-17,HU_col))</f>
        <v/>
      </c>
      <c r="F135" s="63">
        <f>IF(OR(A135&lt;1,A135&gt;HU_T),0,INDEX(HU_q_morb,HU_age+A135-17,HU_col))</f>
        <v/>
      </c>
      <c r="G135" s="63">
        <f>IF(OR(A135&lt;1,A135&gt;HU_T),0,INDEX(HU_q_ptd,HU_age+A135-17,HU_col))</f>
        <v/>
      </c>
      <c r="H135" s="63">
        <f>IF(OR(A135&lt;1,A135&gt;HU_T),0,INDEX(HU_q_dis,HU_age+A135-17,HU_col))</f>
        <v/>
      </c>
      <c r="I135" s="63">
        <f>IF(A135&gt;HU_T,0,I134*(1-D135)*(1-E135))</f>
        <v/>
      </c>
      <c r="J135" s="63">
        <f>IF(A135&gt;=HU_T,0,N(I136))</f>
        <v/>
      </c>
      <c r="K135" s="63">
        <f>K134*(1-G135)</f>
        <v/>
      </c>
      <c r="L135" s="63">
        <f>1-K135</f>
        <v/>
      </c>
      <c r="M135" s="63">
        <f>K134*G135</f>
        <v/>
      </c>
      <c r="N135" s="63">
        <f>N134*(1-H135)</f>
        <v/>
      </c>
      <c r="O135" s="63">
        <f>1-N134</f>
        <v/>
      </c>
      <c r="P135" s="63">
        <f>P134*(1-F135)</f>
        <v/>
      </c>
      <c r="Q135" s="63">
        <f>1-P134/INDEX($P$68:$P$150,MAX(1,A135-HU_ciYears))</f>
        <v/>
      </c>
      <c r="R135" s="60">
        <f>(1+inflationRate)^A135</f>
        <v/>
      </c>
      <c r="S135" s="29">
        <f>IF(OR(OR(A135&lt;1,A135&gt;HU_T),A135-1&gt;=HU_dtr),0,HU_inc0*(1+incomeGrowthRate)^A135)</f>
        <v/>
      </c>
      <c r="T135" s="60">
        <f>IF(A135&gt;HU_T,T134,T134*(1+INDEX(HU_ssG,HU_age+A135-17)))</f>
        <v/>
      </c>
      <c r="U135" s="29">
        <f>IF(AND(HU_dtr&gt;=1,A135=HU_dtr,A135&lt;=HU_T),MIN(S135*INDEX(HU_ssC,HU_age+A135-17)/(1-INDEX(HU_ssC,HU_age+A135-17)),INDEX(HU_ssCap,HU_age+A135-17))*T135,0)</f>
        <v/>
      </c>
      <c r="V135" s="29">
        <f>S135+U135+IF(AND(HU_wdOn,A135=HU_wdYear),HU_wdIncome,0)</f>
        <v/>
      </c>
      <c r="W135" s="60">
        <f>HU_ciProp*Q135+HU_tpdCut*L135+HU_disCut*O135</f>
        <v/>
      </c>
      <c r="X135" s="29">
        <f>IF(OR(A135&lt;1,A135&gt;HU_T),0,V135*(1-W135))</f>
        <v/>
      </c>
      <c r="Y135" s="29">
        <f>IF(OR(A135&lt;1,A135&gt;HU_T),0,IF(AND(HU_retExp&gt;0,A135-1&gt;=HU_dtr),HU_retExp,HU_exp0)*R135)</f>
        <v/>
      </c>
      <c r="Z135" s="29">
        <f>-Y135-IF(AND(HU_wdOn,A135=HU_wdYear),HU_wdOut,0)</f>
        <v/>
      </c>
      <c r="AA135" s="29">
        <f>IF(OR(A135&lt;1,A135&gt;HU_T),0,-HU_medCost*R135*F135-HU_tpdCost*R135*M135)</f>
        <v/>
      </c>
      <c r="AB135" s="29">
        <f>IF(A135&gt;HU_T,0,AB134*(1+interestRate)+X135+Z135+AA135)</f>
        <v/>
      </c>
      <c r="AC135" s="29">
        <f>IF(A135&gt;HU_T,0,HU_inv*EXP(HU_mu*A135))</f>
        <v/>
      </c>
      <c r="AD135" s="29">
        <f>IF(A135&gt;HU_T,0,MAX(0,AC135+AB135))</f>
        <v/>
      </c>
      <c r="AE135" s="29">
        <f>IF(A135&gt;HU_T,0,MAX(0,X135-Y135))</f>
        <v/>
      </c>
      <c r="AF135" s="63">
        <f>IF(AND($J$6,A135&gt;=1,A135&lt;=$Q$6-1),J135,0)</f>
        <v/>
      </c>
      <c r="AG135" s="29">
        <f>IF(OR(AF135=0,$S$6=0),0,IF((AD135+$L$6)&gt;$S$6/HU_alpha+$K$6,0.5*$S$6/HU_alpha,IF((AD135+$L$6)&gt;=$K$6,((AD135+$L$6)-$K$6)-0.5*HU_alpha/$S$6*((AD135+$L$6)-$K$6)^2,IF((AD135+$L$6)&gt;=$T$6,HU_beta*((AD135+$L$6)-$K$6),HU_beta*($T$6-$K$6)))))</f>
        <v/>
      </c>
      <c r="AH135" s="29">
        <f>IF(OR(AF135=0,$S$6=0),0,IF((AD135+$L$6+$N$6)&gt;$S$6/HU_alpha+$K$6,0.5*$S$6/HU_alpha,IF((AD135+$L$6+$N$6)&gt;=$K$6,((AD135+$L$6+$N$6)-$K$6)-0.5*HU_alpha/$S$6*((AD135+$L$6+$N$6)-$K$6)^2,IF((AD135+$L$6+$N$6)&gt;=$T$6,HU_beta*((AD135+$L$6+$N$6)-$K$6),HU_beta*($T$6-$K$6)))))</f>
        <v/>
      </c>
      <c r="AI135" s="29">
        <f>IF(OR(AF135=0,$S$6=0),0,IF((AD135+$K$6)&gt;$S$6/HU_alpha+$K$6,0.5*$S$6/HU_alpha,IF((AD135+$K$6)&gt;=$K$6,((AD135+$K$6)-$K$6)-0.5*HU_alpha/$S$6*((AD135+$K$6)-$K$6)^2,IF((AD135+$K$6)&gt;=$T$6,HU_beta*((AD135+$K$6)-$K$6),HU_beta*($T$6-$K$6)))))</f>
        <v/>
      </c>
      <c r="AJ135" s="63">
        <f>IF(AND($J$7,A135&gt;=1,A135&lt;=$Q$7-1),J135,0)</f>
        <v/>
      </c>
      <c r="AK135" s="29">
        <f>IF(OR(AJ135=0,$S$7=0),0,IF((AE135+$L$7)&gt;$S$7/HU_alpha+$K$7,0.5*$S$7/HU_alpha,IF((AE135+$L$7)&gt;=$K$7,((AE135+$L$7)-$K$7)-0.5*HU_alpha/$S$7*((AE135+$L$7)-$K$7)^2,IF((AE135+$L$7)&gt;=$T$7,HU_beta*((AE135+$L$7)-$K$7),HU_beta*($T$7-$K$7)))))</f>
        <v/>
      </c>
      <c r="AL135" s="29">
        <f>IF(OR(AJ135=0,$S$7=0),0,IF((AE135+$L$7+$N$7)&gt;$S$7/HU_alpha+$K$7,0.5*$S$7/HU_alpha,IF((AE135+$L$7+$N$7)&gt;=$K$7,((AE135+$L$7+$N$7)-$K$7)-0.5*HU_alpha/$S$7*((AE135+$L$7+$N$7)-$K$7)^2,IF((AE135+$L$7+$N$7)&gt;=$T$7,HU_beta*((AE135+$L$7+$N$7)-$K$7),HU_beta*($T$7-$K$7)))))</f>
        <v/>
      </c>
      <c r="AM135" s="29">
        <f>IF(OR(AJ135=0,$S$7=0),0,IF((AE135+$K$7)&gt;$S$7/HU_alpha+$K$7,0.5*$S$7/HU_alpha,IF((AE135+$K$7)&gt;=$K$7,((AE135+$K$7)-$K$7)-0.5*HU_alpha/$S$7*((AE135+$K$7)-$K$7)^2,IF((AE135+$K$7)&gt;=$T$7,HU_beta*((AE135+$K$7)-$K$7),HU_beta*($T$7-$K$7)))))</f>
        <v/>
      </c>
      <c r="AN135" s="63">
        <f>IF(AND($J$8,A135&gt;=1,A135&lt;=$Q$8-1),J135,0)</f>
        <v/>
      </c>
      <c r="AO135" s="29">
        <f>IF(OR(AN135=0,$S$8=0),0,IF((AE135+$L$8)&gt;$S$8/HU_alpha+$K$8,0.5*$S$8/HU_alpha,IF((AE135+$L$8)&gt;=$K$8,((AE135+$L$8)-$K$8)-0.5*HU_alpha/$S$8*((AE135+$L$8)-$K$8)^2,IF((AE135+$L$8)&gt;=$T$8,HU_beta*((AE135+$L$8)-$K$8),HU_beta*($T$8-$K$8)))))</f>
        <v/>
      </c>
      <c r="AP135" s="29">
        <f>IF(OR(AN135=0,$S$8=0),0,IF((AE135+$L$8+$N$8)&gt;$S$8/HU_alpha+$K$8,0.5*$S$8/HU_alpha,IF((AE135+$L$8+$N$8)&gt;=$K$8,((AE135+$L$8+$N$8)-$K$8)-0.5*HU_alpha/$S$8*((AE135+$L$8+$N$8)-$K$8)^2,IF((AE135+$L$8+$N$8)&gt;=$T$8,HU_beta*((AE135+$L$8+$N$8)-$K$8),HU_beta*($T$8-$K$8)))))</f>
        <v/>
      </c>
      <c r="AQ135" s="29">
        <f>IF(OR(AN135=0,$S$8=0),0,IF((AE135+$K$8)&gt;$S$8/HU_alpha+$K$8,0.5*$S$8/HU_alpha,IF((AE135+$K$8)&gt;=$K$8,((AE135+$K$8)-$K$8)-0.5*HU_alpha/$S$8*((AE135+$K$8)-$K$8)^2,IF((AE135+$K$8)&gt;=$T$8,HU_beta*((AE135+$K$8)-$K$8),HU_beta*($T$8-$K$8)))))</f>
        <v/>
      </c>
      <c r="AR135" s="63">
        <f>IF(AND($J$9,A135&gt;=1,A135&lt;=$Q$9-1),J135,0)</f>
        <v/>
      </c>
      <c r="AS135" s="29">
        <f>IF(OR(AR135=0,$S$9=0),0,IF((AE135+$L$9)&gt;$S$9/HU_alpha+$K$9,0.5*$S$9/HU_alpha,IF((AE135+$L$9)&gt;=$K$9,((AE135+$L$9)-$K$9)-0.5*HU_alpha/$S$9*((AE135+$L$9)-$K$9)^2,IF((AE135+$L$9)&gt;=$T$9,HU_beta*((AE135+$L$9)-$K$9),HU_beta*($T$9-$K$9)))))</f>
        <v/>
      </c>
      <c r="AT135" s="29">
        <f>IF(OR(AR135=0,$S$9=0),0,IF((AE135+$L$9+$N$9)&gt;$S$9/HU_alpha+$K$9,0.5*$S$9/HU_alpha,IF((AE135+$L$9+$N$9)&gt;=$K$9,((AE135+$L$9+$N$9)-$K$9)-0.5*HU_alpha/$S$9*((AE135+$L$9+$N$9)-$K$9)^2,IF((AE135+$L$9+$N$9)&gt;=$T$9,HU_beta*((AE135+$L$9+$N$9)-$K$9),HU_beta*($T$9-$K$9)))))</f>
        <v/>
      </c>
      <c r="AU135" s="29">
        <f>IF(OR(AR135=0,$S$9=0),0,IF((AE135+$K$9)&gt;$S$9/HU_alpha+$K$9,0.5*$S$9/HU_alpha,IF((AE135+$K$9)&gt;=$K$9,((AE135+$K$9)-$K$9)-0.5*HU_alpha/$S$9*((AE135+$K$9)-$K$9)^2,IF((AE135+$K$9)&gt;=$T$9,HU_beta*((AE135+$K$9)-$K$9),HU_beta*($T$9-$K$9)))))</f>
        <v/>
      </c>
      <c r="AV135" s="63">
        <f>IF(AND($J$10,A135=$Q$10),J135,0)</f>
        <v/>
      </c>
      <c r="AW135" s="29">
        <f>IF(OR(AV135=0,$S$10=0),0,IF((AD135+$L$10)&gt;$S$10/HU_alpha+$K$10,0.5*$S$10/HU_alpha,IF((AD135+$L$10)&gt;=$K$10,((AD135+$L$10)-$K$10)-0.5*HU_alpha/$S$10*((AD135+$L$10)-$K$10)^2,IF((AD135+$L$10)&gt;=$T$10,HU_beta*((AD135+$L$10)-$K$10),HU_beta*($T$10-$K$10)))))</f>
        <v/>
      </c>
      <c r="AX135" s="29">
        <f>IF(OR(AV135=0,$S$10=0),0,IF((AD135+$L$10+$N$10)&gt;$S$10/HU_alpha+$K$10,0.5*$S$10/HU_alpha,IF((AD135+$L$10+$N$10)&gt;=$K$10,((AD135+$L$10+$N$10)-$K$10)-0.5*HU_alpha/$S$10*((AD135+$L$10+$N$10)-$K$10)^2,IF((AD135+$L$10+$N$10)&gt;=$T$10,HU_beta*((AD135+$L$10+$N$10)-$K$10),HU_beta*($T$10-$K$10)))))</f>
        <v/>
      </c>
      <c r="AY135" s="29">
        <f>IF(OR(AV135=0,$S$10=0),0,IF((AD135+$K$10)&gt;$S$10/HU_alpha+$K$10,0.5*$S$10/HU_alpha,IF((AD135+$K$10)&gt;=$K$10,((AD135+$K$10)-$K$10)-0.5*HU_alpha/$S$10*((AD135+$K$10)-$K$10)^2,IF((AD135+$K$10)&gt;=$T$10,HU_beta*((AD135+$K$10)-$K$10),HU_beta*($T$10-$K$10)))))</f>
        <v/>
      </c>
      <c r="AZ135" s="63">
        <f>IF(AND($J$11,A135=$Q$11),J135,0)</f>
        <v/>
      </c>
      <c r="BA135" s="29">
        <f>IF(OR(AZ135=0,$S$11=0),0,IF((AE135+$L$11)&gt;$S$11/HU_alpha+$K$11,0.5*$S$11/HU_alpha,IF((AE135+$L$11)&gt;=$K$11,((AE135+$L$11)-$K$11)-0.5*HU_alpha/$S$11*((AE135+$L$11)-$K$11)^2,IF((AE135+$L$11)&gt;=$T$11,HU_beta*((AE135+$L$11)-$K$11),HU_beta*($T$11-$K$11)))))</f>
        <v/>
      </c>
      <c r="BB135" s="29">
        <f>IF(OR(AZ135=0,$S$11=0),0,IF((AE135+$L$11+$N$11)&gt;$S$11/HU_alpha+$K$11,0.5*$S$11/HU_alpha,IF((AE135+$L$11+$N$11)&gt;=$K$11,((AE135+$L$11+$N$11)-$K$11)-0.5*HU_alpha/$S$11*((AE135+$L$11+$N$11)-$K$11)^2,IF((AE135+$L$11+$N$11)&gt;=$T$11,HU_beta*((AE135+$L$11+$N$11)-$K$11),HU_beta*($T$11-$K$11)))))</f>
        <v/>
      </c>
      <c r="BC135" s="29">
        <f>IF(OR(AZ135=0,$S$11=0),0,IF((AE135+$K$11)&gt;$S$11/HU_alpha+$K$11,0.5*$S$11/HU_alpha,IF((AE135+$K$11)&gt;=$K$11,((AE135+$K$11)-$K$11)-0.5*HU_alpha/$S$11*((AE135+$K$11)-$K$11)^2,IF((AE135+$K$11)&gt;=$T$11,HU_beta*((AE135+$K$11)-$K$11),HU_beta*($T$11-$K$11)))))</f>
        <v/>
      </c>
      <c r="BD135" s="63">
        <f>IF(AND($J$12,A135=$Q$12),J135,0)</f>
        <v/>
      </c>
      <c r="BE135" s="29">
        <f>IF(OR(BD135=0,$S$12=0),0,IF((AE135+$L$12)&gt;$S$12/HU_alpha+$K$12,0.5*$S$12/HU_alpha,IF((AE135+$L$12)&gt;=$K$12,((AE135+$L$12)-$K$12)-0.5*HU_alpha/$S$12*((AE135+$L$12)-$K$12)^2,IF((AE135+$L$12)&gt;=$T$12,HU_beta*((AE135+$L$12)-$K$12),HU_beta*($T$12-$K$12)))))</f>
        <v/>
      </c>
      <c r="BF135" s="29">
        <f>IF(OR(BD135=0,$S$12=0),0,IF((AE135+$L$12+$N$12)&gt;$S$12/HU_alpha+$K$12,0.5*$S$12/HU_alpha,IF((AE135+$L$12+$N$12)&gt;=$K$12,((AE135+$L$12+$N$12)-$K$12)-0.5*HU_alpha/$S$12*((AE135+$L$12+$N$12)-$K$12)^2,IF((AE135+$L$12+$N$12)&gt;=$T$12,HU_beta*((AE135+$L$12+$N$12)-$K$12),HU_beta*($T$12-$K$12)))))</f>
        <v/>
      </c>
      <c r="BG135" s="29">
        <f>IF(OR(BD135=0,$S$12=0),0,IF((AE135+$K$12)&gt;$S$12/HU_alpha+$K$12,0.5*$S$12/HU_alpha,IF((AE135+$K$12)&gt;=$K$12,((AE135+$K$12)-$K$12)-0.5*HU_alpha/$S$12*((AE135+$K$12)-$K$12)^2,IF((AE135+$K$12)&gt;=$T$12,HU_beta*((AE135+$K$12)-$K$12),HU_beta*($T$12-$K$12)))))</f>
        <v/>
      </c>
      <c r="BH135" s="63">
        <f>IF(AND($J$13,A135=$Q$13),J135,0)</f>
        <v/>
      </c>
      <c r="BI135" s="29">
        <f>IF(OR(BH135=0,$S$13=0),0,IF((AE135+$L$13)&gt;$S$13/HU_alpha+$K$13,0.5*$S$13/HU_alpha,IF((AE135+$L$13)&gt;=$K$13,((AE135+$L$13)-$K$13)-0.5*HU_alpha/$S$13*((AE135+$L$13)-$K$13)^2,IF((AE135+$L$13)&gt;=$T$13,HU_beta*((AE135+$L$13)-$K$13),HU_beta*($T$13-$K$13)))))</f>
        <v/>
      </c>
      <c r="BJ135" s="29">
        <f>IF(OR(BH135=0,$S$13=0),0,IF((AE135+$L$13+$N$13)&gt;$S$13/HU_alpha+$K$13,0.5*$S$13/HU_alpha,IF((AE135+$L$13+$N$13)&gt;=$K$13,((AE135+$L$13+$N$13)-$K$13)-0.5*HU_alpha/$S$13*((AE135+$L$13+$N$13)-$K$13)^2,IF((AE135+$L$13+$N$13)&gt;=$T$13,HU_beta*((AE135+$L$13+$N$13)-$K$13),HU_beta*($T$13-$K$13)))))</f>
        <v/>
      </c>
      <c r="BK135" s="29">
        <f>IF(OR(BH135=0,$S$13=0),0,IF((AE135+$K$13)&gt;$S$13/HU_alpha+$K$13,0.5*$S$13/HU_alpha,IF((AE135+$K$13)&gt;=$K$13,((AE135+$K$13)-$K$13)-0.5*HU_alpha/$S$13*((AE135+$K$13)-$K$13)^2,IF((AE135+$K$13)&gt;=$T$13,HU_beta*((AE135+$K$13)-$K$13),HU_beta*($T$13-$K$13)))))</f>
        <v/>
      </c>
    </row>
    <row r="136">
      <c r="A136" s="61" t="n">
        <v>68</v>
      </c>
      <c r="B136" s="61">
        <f>HU_age+A136</f>
        <v/>
      </c>
      <c r="C136" s="52">
        <f>A136&lt;=HU_T</f>
        <v/>
      </c>
      <c r="D136" s="63">
        <f>IF(OR(A136&lt;1,A136&gt;HU_T),0,INDEX(HU_q_mort,HU_age+A136-17,HU_col))</f>
        <v/>
      </c>
      <c r="E136" s="63">
        <f>IF(OR(A136&lt;1,A136&gt;HU_T),0,INDEX(HU_q_adb,HU_age+A136-17,HU_col))</f>
        <v/>
      </c>
      <c r="F136" s="63">
        <f>IF(OR(A136&lt;1,A136&gt;HU_T),0,INDEX(HU_q_morb,HU_age+A136-17,HU_col))</f>
        <v/>
      </c>
      <c r="G136" s="63">
        <f>IF(OR(A136&lt;1,A136&gt;HU_T),0,INDEX(HU_q_ptd,HU_age+A136-17,HU_col))</f>
        <v/>
      </c>
      <c r="H136" s="63">
        <f>IF(OR(A136&lt;1,A136&gt;HU_T),0,INDEX(HU_q_dis,HU_age+A136-17,HU_col))</f>
        <v/>
      </c>
      <c r="I136" s="63">
        <f>IF(A136&gt;HU_T,0,I135*(1-D136)*(1-E136))</f>
        <v/>
      </c>
      <c r="J136" s="63">
        <f>IF(A136&gt;=HU_T,0,N(I137))</f>
        <v/>
      </c>
      <c r="K136" s="63">
        <f>K135*(1-G136)</f>
        <v/>
      </c>
      <c r="L136" s="63">
        <f>1-K136</f>
        <v/>
      </c>
      <c r="M136" s="63">
        <f>K135*G136</f>
        <v/>
      </c>
      <c r="N136" s="63">
        <f>N135*(1-H136)</f>
        <v/>
      </c>
      <c r="O136" s="63">
        <f>1-N135</f>
        <v/>
      </c>
      <c r="P136" s="63">
        <f>P135*(1-F136)</f>
        <v/>
      </c>
      <c r="Q136" s="63">
        <f>1-P135/INDEX($P$68:$P$150,MAX(1,A136-HU_ciYears))</f>
        <v/>
      </c>
      <c r="R136" s="60">
        <f>(1+inflationRate)^A136</f>
        <v/>
      </c>
      <c r="S136" s="29">
        <f>IF(OR(OR(A136&lt;1,A136&gt;HU_T),A136-1&gt;=HU_dtr),0,HU_inc0*(1+incomeGrowthRate)^A136)</f>
        <v/>
      </c>
      <c r="T136" s="60">
        <f>IF(A136&gt;HU_T,T135,T135*(1+INDEX(HU_ssG,HU_age+A136-17)))</f>
        <v/>
      </c>
      <c r="U136" s="29">
        <f>IF(AND(HU_dtr&gt;=1,A136=HU_dtr,A136&lt;=HU_T),MIN(S136*INDEX(HU_ssC,HU_age+A136-17)/(1-INDEX(HU_ssC,HU_age+A136-17)),INDEX(HU_ssCap,HU_age+A136-17))*T136,0)</f>
        <v/>
      </c>
      <c r="V136" s="29">
        <f>S136+U136+IF(AND(HU_wdOn,A136=HU_wdYear),HU_wdIncome,0)</f>
        <v/>
      </c>
      <c r="W136" s="60">
        <f>HU_ciProp*Q136+HU_tpdCut*L136+HU_disCut*O136</f>
        <v/>
      </c>
      <c r="X136" s="29">
        <f>IF(OR(A136&lt;1,A136&gt;HU_T),0,V136*(1-W136))</f>
        <v/>
      </c>
      <c r="Y136" s="29">
        <f>IF(OR(A136&lt;1,A136&gt;HU_T),0,IF(AND(HU_retExp&gt;0,A136-1&gt;=HU_dtr),HU_retExp,HU_exp0)*R136)</f>
        <v/>
      </c>
      <c r="Z136" s="29">
        <f>-Y136-IF(AND(HU_wdOn,A136=HU_wdYear),HU_wdOut,0)</f>
        <v/>
      </c>
      <c r="AA136" s="29">
        <f>IF(OR(A136&lt;1,A136&gt;HU_T),0,-HU_medCost*R136*F136-HU_tpdCost*R136*M136)</f>
        <v/>
      </c>
      <c r="AB136" s="29">
        <f>IF(A136&gt;HU_T,0,AB135*(1+interestRate)+X136+Z136+AA136)</f>
        <v/>
      </c>
      <c r="AC136" s="29">
        <f>IF(A136&gt;HU_T,0,HU_inv*EXP(HU_mu*A136))</f>
        <v/>
      </c>
      <c r="AD136" s="29">
        <f>IF(A136&gt;HU_T,0,MAX(0,AC136+AB136))</f>
        <v/>
      </c>
      <c r="AE136" s="29">
        <f>IF(A136&gt;HU_T,0,MAX(0,X136-Y136))</f>
        <v/>
      </c>
      <c r="AF136" s="63">
        <f>IF(AND($J$6,A136&gt;=1,A136&lt;=$Q$6-1),J136,0)</f>
        <v/>
      </c>
      <c r="AG136" s="29">
        <f>IF(OR(AF136=0,$S$6=0),0,IF((AD136+$L$6)&gt;$S$6/HU_alpha+$K$6,0.5*$S$6/HU_alpha,IF((AD136+$L$6)&gt;=$K$6,((AD136+$L$6)-$K$6)-0.5*HU_alpha/$S$6*((AD136+$L$6)-$K$6)^2,IF((AD136+$L$6)&gt;=$T$6,HU_beta*((AD136+$L$6)-$K$6),HU_beta*($T$6-$K$6)))))</f>
        <v/>
      </c>
      <c r="AH136" s="29">
        <f>IF(OR(AF136=0,$S$6=0),0,IF((AD136+$L$6+$N$6)&gt;$S$6/HU_alpha+$K$6,0.5*$S$6/HU_alpha,IF((AD136+$L$6+$N$6)&gt;=$K$6,((AD136+$L$6+$N$6)-$K$6)-0.5*HU_alpha/$S$6*((AD136+$L$6+$N$6)-$K$6)^2,IF((AD136+$L$6+$N$6)&gt;=$T$6,HU_beta*((AD136+$L$6+$N$6)-$K$6),HU_beta*($T$6-$K$6)))))</f>
        <v/>
      </c>
      <c r="AI136" s="29">
        <f>IF(OR(AF136=0,$S$6=0),0,IF((AD136+$K$6)&gt;$S$6/HU_alpha+$K$6,0.5*$S$6/HU_alpha,IF((AD136+$K$6)&gt;=$K$6,((AD136+$K$6)-$K$6)-0.5*HU_alpha/$S$6*((AD136+$K$6)-$K$6)^2,IF((AD136+$K$6)&gt;=$T$6,HU_beta*((AD136+$K$6)-$K$6),HU_beta*($T$6-$K$6)))))</f>
        <v/>
      </c>
      <c r="AJ136" s="63">
        <f>IF(AND($J$7,A136&gt;=1,A136&lt;=$Q$7-1),J136,0)</f>
        <v/>
      </c>
      <c r="AK136" s="29">
        <f>IF(OR(AJ136=0,$S$7=0),0,IF((AE136+$L$7)&gt;$S$7/HU_alpha+$K$7,0.5*$S$7/HU_alpha,IF((AE136+$L$7)&gt;=$K$7,((AE136+$L$7)-$K$7)-0.5*HU_alpha/$S$7*((AE136+$L$7)-$K$7)^2,IF((AE136+$L$7)&gt;=$T$7,HU_beta*((AE136+$L$7)-$K$7),HU_beta*($T$7-$K$7)))))</f>
        <v/>
      </c>
      <c r="AL136" s="29">
        <f>IF(OR(AJ136=0,$S$7=0),0,IF((AE136+$L$7+$N$7)&gt;$S$7/HU_alpha+$K$7,0.5*$S$7/HU_alpha,IF((AE136+$L$7+$N$7)&gt;=$K$7,((AE136+$L$7+$N$7)-$K$7)-0.5*HU_alpha/$S$7*((AE136+$L$7+$N$7)-$K$7)^2,IF((AE136+$L$7+$N$7)&gt;=$T$7,HU_beta*((AE136+$L$7+$N$7)-$K$7),HU_beta*($T$7-$K$7)))))</f>
        <v/>
      </c>
      <c r="AM136" s="29">
        <f>IF(OR(AJ136=0,$S$7=0),0,IF((AE136+$K$7)&gt;$S$7/HU_alpha+$K$7,0.5*$S$7/HU_alpha,IF((AE136+$K$7)&gt;=$K$7,((AE136+$K$7)-$K$7)-0.5*HU_alpha/$S$7*((AE136+$K$7)-$K$7)^2,IF((AE136+$K$7)&gt;=$T$7,HU_beta*((AE136+$K$7)-$K$7),HU_beta*($T$7-$K$7)))))</f>
        <v/>
      </c>
      <c r="AN136" s="63">
        <f>IF(AND($J$8,A136&gt;=1,A136&lt;=$Q$8-1),J136,0)</f>
        <v/>
      </c>
      <c r="AO136" s="29">
        <f>IF(OR(AN136=0,$S$8=0),0,IF((AE136+$L$8)&gt;$S$8/HU_alpha+$K$8,0.5*$S$8/HU_alpha,IF((AE136+$L$8)&gt;=$K$8,((AE136+$L$8)-$K$8)-0.5*HU_alpha/$S$8*((AE136+$L$8)-$K$8)^2,IF((AE136+$L$8)&gt;=$T$8,HU_beta*((AE136+$L$8)-$K$8),HU_beta*($T$8-$K$8)))))</f>
        <v/>
      </c>
      <c r="AP136" s="29">
        <f>IF(OR(AN136=0,$S$8=0),0,IF((AE136+$L$8+$N$8)&gt;$S$8/HU_alpha+$K$8,0.5*$S$8/HU_alpha,IF((AE136+$L$8+$N$8)&gt;=$K$8,((AE136+$L$8+$N$8)-$K$8)-0.5*HU_alpha/$S$8*((AE136+$L$8+$N$8)-$K$8)^2,IF((AE136+$L$8+$N$8)&gt;=$T$8,HU_beta*((AE136+$L$8+$N$8)-$K$8),HU_beta*($T$8-$K$8)))))</f>
        <v/>
      </c>
      <c r="AQ136" s="29">
        <f>IF(OR(AN136=0,$S$8=0),0,IF((AE136+$K$8)&gt;$S$8/HU_alpha+$K$8,0.5*$S$8/HU_alpha,IF((AE136+$K$8)&gt;=$K$8,((AE136+$K$8)-$K$8)-0.5*HU_alpha/$S$8*((AE136+$K$8)-$K$8)^2,IF((AE136+$K$8)&gt;=$T$8,HU_beta*((AE136+$K$8)-$K$8),HU_beta*($T$8-$K$8)))))</f>
        <v/>
      </c>
      <c r="AR136" s="63">
        <f>IF(AND($J$9,A136&gt;=1,A136&lt;=$Q$9-1),J136,0)</f>
        <v/>
      </c>
      <c r="AS136" s="29">
        <f>IF(OR(AR136=0,$S$9=0),0,IF((AE136+$L$9)&gt;$S$9/HU_alpha+$K$9,0.5*$S$9/HU_alpha,IF((AE136+$L$9)&gt;=$K$9,((AE136+$L$9)-$K$9)-0.5*HU_alpha/$S$9*((AE136+$L$9)-$K$9)^2,IF((AE136+$L$9)&gt;=$T$9,HU_beta*((AE136+$L$9)-$K$9),HU_beta*($T$9-$K$9)))))</f>
        <v/>
      </c>
      <c r="AT136" s="29">
        <f>IF(OR(AR136=0,$S$9=0),0,IF((AE136+$L$9+$N$9)&gt;$S$9/HU_alpha+$K$9,0.5*$S$9/HU_alpha,IF((AE136+$L$9+$N$9)&gt;=$K$9,((AE136+$L$9+$N$9)-$K$9)-0.5*HU_alpha/$S$9*((AE136+$L$9+$N$9)-$K$9)^2,IF((AE136+$L$9+$N$9)&gt;=$T$9,HU_beta*((AE136+$L$9+$N$9)-$K$9),HU_beta*($T$9-$K$9)))))</f>
        <v/>
      </c>
      <c r="AU136" s="29">
        <f>IF(OR(AR136=0,$S$9=0),0,IF((AE136+$K$9)&gt;$S$9/HU_alpha+$K$9,0.5*$S$9/HU_alpha,IF((AE136+$K$9)&gt;=$K$9,((AE136+$K$9)-$K$9)-0.5*HU_alpha/$S$9*((AE136+$K$9)-$K$9)^2,IF((AE136+$K$9)&gt;=$T$9,HU_beta*((AE136+$K$9)-$K$9),HU_beta*($T$9-$K$9)))))</f>
        <v/>
      </c>
      <c r="AV136" s="63">
        <f>IF(AND($J$10,A136=$Q$10),J136,0)</f>
        <v/>
      </c>
      <c r="AW136" s="29">
        <f>IF(OR(AV136=0,$S$10=0),0,IF((AD136+$L$10)&gt;$S$10/HU_alpha+$K$10,0.5*$S$10/HU_alpha,IF((AD136+$L$10)&gt;=$K$10,((AD136+$L$10)-$K$10)-0.5*HU_alpha/$S$10*((AD136+$L$10)-$K$10)^2,IF((AD136+$L$10)&gt;=$T$10,HU_beta*((AD136+$L$10)-$K$10),HU_beta*($T$10-$K$10)))))</f>
        <v/>
      </c>
      <c r="AX136" s="29">
        <f>IF(OR(AV136=0,$S$10=0),0,IF((AD136+$L$10+$N$10)&gt;$S$10/HU_alpha+$K$10,0.5*$S$10/HU_alpha,IF((AD136+$L$10+$N$10)&gt;=$K$10,((AD136+$L$10+$N$10)-$K$10)-0.5*HU_alpha/$S$10*((AD136+$L$10+$N$10)-$K$10)^2,IF((AD136+$L$10+$N$10)&gt;=$T$10,HU_beta*((AD136+$L$10+$N$10)-$K$10),HU_beta*($T$10-$K$10)))))</f>
        <v/>
      </c>
      <c r="AY136" s="29">
        <f>IF(OR(AV136=0,$S$10=0),0,IF((AD136+$K$10)&gt;$S$10/HU_alpha+$K$10,0.5*$S$10/HU_alpha,IF((AD136+$K$10)&gt;=$K$10,((AD136+$K$10)-$K$10)-0.5*HU_alpha/$S$10*((AD136+$K$10)-$K$10)^2,IF((AD136+$K$10)&gt;=$T$10,HU_beta*((AD136+$K$10)-$K$10),HU_beta*($T$10-$K$10)))))</f>
        <v/>
      </c>
      <c r="AZ136" s="63">
        <f>IF(AND($J$11,A136=$Q$11),J136,0)</f>
        <v/>
      </c>
      <c r="BA136" s="29">
        <f>IF(OR(AZ136=0,$S$11=0),0,IF((AE136+$L$11)&gt;$S$11/HU_alpha+$K$11,0.5*$S$11/HU_alpha,IF((AE136+$L$11)&gt;=$K$11,((AE136+$L$11)-$K$11)-0.5*HU_alpha/$S$11*((AE136+$L$11)-$K$11)^2,IF((AE136+$L$11)&gt;=$T$11,HU_beta*((AE136+$L$11)-$K$11),HU_beta*($T$11-$K$11)))))</f>
        <v/>
      </c>
      <c r="BB136" s="29">
        <f>IF(OR(AZ136=0,$S$11=0),0,IF((AE136+$L$11+$N$11)&gt;$S$11/HU_alpha+$K$11,0.5*$S$11/HU_alpha,IF((AE136+$L$11+$N$11)&gt;=$K$11,((AE136+$L$11+$N$11)-$K$11)-0.5*HU_alpha/$S$11*((AE136+$L$11+$N$11)-$K$11)^2,IF((AE136+$L$11+$N$11)&gt;=$T$11,HU_beta*((AE136+$L$11+$N$11)-$K$11),HU_beta*($T$11-$K$11)))))</f>
        <v/>
      </c>
      <c r="BC136" s="29">
        <f>IF(OR(AZ136=0,$S$11=0),0,IF((AE136+$K$11)&gt;$S$11/HU_alpha+$K$11,0.5*$S$11/HU_alpha,IF((AE136+$K$11)&gt;=$K$11,((AE136+$K$11)-$K$11)-0.5*HU_alpha/$S$11*((AE136+$K$11)-$K$11)^2,IF((AE136+$K$11)&gt;=$T$11,HU_beta*((AE136+$K$11)-$K$11),HU_beta*($T$11-$K$11)))))</f>
        <v/>
      </c>
      <c r="BD136" s="63">
        <f>IF(AND($J$12,A136=$Q$12),J136,0)</f>
        <v/>
      </c>
      <c r="BE136" s="29">
        <f>IF(OR(BD136=0,$S$12=0),0,IF((AE136+$L$12)&gt;$S$12/HU_alpha+$K$12,0.5*$S$12/HU_alpha,IF((AE136+$L$12)&gt;=$K$12,((AE136+$L$12)-$K$12)-0.5*HU_alpha/$S$12*((AE136+$L$12)-$K$12)^2,IF((AE136+$L$12)&gt;=$T$12,HU_beta*((AE136+$L$12)-$K$12),HU_beta*($T$12-$K$12)))))</f>
        <v/>
      </c>
      <c r="BF136" s="29">
        <f>IF(OR(BD136=0,$S$12=0),0,IF((AE136+$L$12+$N$12)&gt;$S$12/HU_alpha+$K$12,0.5*$S$12/HU_alpha,IF((AE136+$L$12+$N$12)&gt;=$K$12,((AE136+$L$12+$N$12)-$K$12)-0.5*HU_alpha/$S$12*((AE136+$L$12+$N$12)-$K$12)^2,IF((AE136+$L$12+$N$12)&gt;=$T$12,HU_beta*((AE136+$L$12+$N$12)-$K$12),HU_beta*($T$12-$K$12)))))</f>
        <v/>
      </c>
      <c r="BG136" s="29">
        <f>IF(OR(BD136=0,$S$12=0),0,IF((AE136+$K$12)&gt;$S$12/HU_alpha+$K$12,0.5*$S$12/HU_alpha,IF((AE136+$K$12)&gt;=$K$12,((AE136+$K$12)-$K$12)-0.5*HU_alpha/$S$12*((AE136+$K$12)-$K$12)^2,IF((AE136+$K$12)&gt;=$T$12,HU_beta*((AE136+$K$12)-$K$12),HU_beta*($T$12-$K$12)))))</f>
        <v/>
      </c>
      <c r="BH136" s="63">
        <f>IF(AND($J$13,A136=$Q$13),J136,0)</f>
        <v/>
      </c>
      <c r="BI136" s="29">
        <f>IF(OR(BH136=0,$S$13=0),0,IF((AE136+$L$13)&gt;$S$13/HU_alpha+$K$13,0.5*$S$13/HU_alpha,IF((AE136+$L$13)&gt;=$K$13,((AE136+$L$13)-$K$13)-0.5*HU_alpha/$S$13*((AE136+$L$13)-$K$13)^2,IF((AE136+$L$13)&gt;=$T$13,HU_beta*((AE136+$L$13)-$K$13),HU_beta*($T$13-$K$13)))))</f>
        <v/>
      </c>
      <c r="BJ136" s="29">
        <f>IF(OR(BH136=0,$S$13=0),0,IF((AE136+$L$13+$N$13)&gt;$S$13/HU_alpha+$K$13,0.5*$S$13/HU_alpha,IF((AE136+$L$13+$N$13)&gt;=$K$13,((AE136+$L$13+$N$13)-$K$13)-0.5*HU_alpha/$S$13*((AE136+$L$13+$N$13)-$K$13)^2,IF((AE136+$L$13+$N$13)&gt;=$T$13,HU_beta*((AE136+$L$13+$N$13)-$K$13),HU_beta*($T$13-$K$13)))))</f>
        <v/>
      </c>
      <c r="BK136" s="29">
        <f>IF(OR(BH136=0,$S$13=0),0,IF((AE136+$K$13)&gt;$S$13/HU_alpha+$K$13,0.5*$S$13/HU_alpha,IF((AE136+$K$13)&gt;=$K$13,((AE136+$K$13)-$K$13)-0.5*HU_alpha/$S$13*((AE136+$K$13)-$K$13)^2,IF((AE136+$K$13)&gt;=$T$13,HU_beta*((AE136+$K$13)-$K$13),HU_beta*($T$13-$K$13)))))</f>
        <v/>
      </c>
    </row>
    <row r="137">
      <c r="A137" s="61" t="n">
        <v>69</v>
      </c>
      <c r="B137" s="61">
        <f>HU_age+A137</f>
        <v/>
      </c>
      <c r="C137" s="52">
        <f>A137&lt;=HU_T</f>
        <v/>
      </c>
      <c r="D137" s="63">
        <f>IF(OR(A137&lt;1,A137&gt;HU_T),0,INDEX(HU_q_mort,HU_age+A137-17,HU_col))</f>
        <v/>
      </c>
      <c r="E137" s="63">
        <f>IF(OR(A137&lt;1,A137&gt;HU_T),0,INDEX(HU_q_adb,HU_age+A137-17,HU_col))</f>
        <v/>
      </c>
      <c r="F137" s="63">
        <f>IF(OR(A137&lt;1,A137&gt;HU_T),0,INDEX(HU_q_morb,HU_age+A137-17,HU_col))</f>
        <v/>
      </c>
      <c r="G137" s="63">
        <f>IF(OR(A137&lt;1,A137&gt;HU_T),0,INDEX(HU_q_ptd,HU_age+A137-17,HU_col))</f>
        <v/>
      </c>
      <c r="H137" s="63">
        <f>IF(OR(A137&lt;1,A137&gt;HU_T),0,INDEX(HU_q_dis,HU_age+A137-17,HU_col))</f>
        <v/>
      </c>
      <c r="I137" s="63">
        <f>IF(A137&gt;HU_T,0,I136*(1-D137)*(1-E137))</f>
        <v/>
      </c>
      <c r="J137" s="63">
        <f>IF(A137&gt;=HU_T,0,N(I138))</f>
        <v/>
      </c>
      <c r="K137" s="63">
        <f>K136*(1-G137)</f>
        <v/>
      </c>
      <c r="L137" s="63">
        <f>1-K137</f>
        <v/>
      </c>
      <c r="M137" s="63">
        <f>K136*G137</f>
        <v/>
      </c>
      <c r="N137" s="63">
        <f>N136*(1-H137)</f>
        <v/>
      </c>
      <c r="O137" s="63">
        <f>1-N136</f>
        <v/>
      </c>
      <c r="P137" s="63">
        <f>P136*(1-F137)</f>
        <v/>
      </c>
      <c r="Q137" s="63">
        <f>1-P136/INDEX($P$68:$P$150,MAX(1,A137-HU_ciYears))</f>
        <v/>
      </c>
      <c r="R137" s="60">
        <f>(1+inflationRate)^A137</f>
        <v/>
      </c>
      <c r="S137" s="29">
        <f>IF(OR(OR(A137&lt;1,A137&gt;HU_T),A137-1&gt;=HU_dtr),0,HU_inc0*(1+incomeGrowthRate)^A137)</f>
        <v/>
      </c>
      <c r="T137" s="60">
        <f>IF(A137&gt;HU_T,T136,T136*(1+INDEX(HU_ssG,HU_age+A137-17)))</f>
        <v/>
      </c>
      <c r="U137" s="29">
        <f>IF(AND(HU_dtr&gt;=1,A137=HU_dtr,A137&lt;=HU_T),MIN(S137*INDEX(HU_ssC,HU_age+A137-17)/(1-INDEX(HU_ssC,HU_age+A137-17)),INDEX(HU_ssCap,HU_age+A137-17))*T137,0)</f>
        <v/>
      </c>
      <c r="V137" s="29">
        <f>S137+U137+IF(AND(HU_wdOn,A137=HU_wdYear),HU_wdIncome,0)</f>
        <v/>
      </c>
      <c r="W137" s="60">
        <f>HU_ciProp*Q137+HU_tpdCut*L137+HU_disCut*O137</f>
        <v/>
      </c>
      <c r="X137" s="29">
        <f>IF(OR(A137&lt;1,A137&gt;HU_T),0,V137*(1-W137))</f>
        <v/>
      </c>
      <c r="Y137" s="29">
        <f>IF(OR(A137&lt;1,A137&gt;HU_T),0,IF(AND(HU_retExp&gt;0,A137-1&gt;=HU_dtr),HU_retExp,HU_exp0)*R137)</f>
        <v/>
      </c>
      <c r="Z137" s="29">
        <f>-Y137-IF(AND(HU_wdOn,A137=HU_wdYear),HU_wdOut,0)</f>
        <v/>
      </c>
      <c r="AA137" s="29">
        <f>IF(OR(A137&lt;1,A137&gt;HU_T),0,-HU_medCost*R137*F137-HU_tpdCost*R137*M137)</f>
        <v/>
      </c>
      <c r="AB137" s="29">
        <f>IF(A137&gt;HU_T,0,AB136*(1+interestRate)+X137+Z137+AA137)</f>
        <v/>
      </c>
      <c r="AC137" s="29">
        <f>IF(A137&gt;HU_T,0,HU_inv*EXP(HU_mu*A137))</f>
        <v/>
      </c>
      <c r="AD137" s="29">
        <f>IF(A137&gt;HU_T,0,MAX(0,AC137+AB137))</f>
        <v/>
      </c>
      <c r="AE137" s="29">
        <f>IF(A137&gt;HU_T,0,MAX(0,X137-Y137))</f>
        <v/>
      </c>
      <c r="AF137" s="63">
        <f>IF(AND($J$6,A137&gt;=1,A137&lt;=$Q$6-1),J137,0)</f>
        <v/>
      </c>
      <c r="AG137" s="29">
        <f>IF(OR(AF137=0,$S$6=0),0,IF((AD137+$L$6)&gt;$S$6/HU_alpha+$K$6,0.5*$S$6/HU_alpha,IF((AD137+$L$6)&gt;=$K$6,((AD137+$L$6)-$K$6)-0.5*HU_alpha/$S$6*((AD137+$L$6)-$K$6)^2,IF((AD137+$L$6)&gt;=$T$6,HU_beta*((AD137+$L$6)-$K$6),HU_beta*($T$6-$K$6)))))</f>
        <v/>
      </c>
      <c r="AH137" s="29">
        <f>IF(OR(AF137=0,$S$6=0),0,IF((AD137+$L$6+$N$6)&gt;$S$6/HU_alpha+$K$6,0.5*$S$6/HU_alpha,IF((AD137+$L$6+$N$6)&gt;=$K$6,((AD137+$L$6+$N$6)-$K$6)-0.5*HU_alpha/$S$6*((AD137+$L$6+$N$6)-$K$6)^2,IF((AD137+$L$6+$N$6)&gt;=$T$6,HU_beta*((AD137+$L$6+$N$6)-$K$6),HU_beta*($T$6-$K$6)))))</f>
        <v/>
      </c>
      <c r="AI137" s="29">
        <f>IF(OR(AF137=0,$S$6=0),0,IF((AD137+$K$6)&gt;$S$6/HU_alpha+$K$6,0.5*$S$6/HU_alpha,IF((AD137+$K$6)&gt;=$K$6,((AD137+$K$6)-$K$6)-0.5*HU_alpha/$S$6*((AD137+$K$6)-$K$6)^2,IF((AD137+$K$6)&gt;=$T$6,HU_beta*((AD137+$K$6)-$K$6),HU_beta*($T$6-$K$6)))))</f>
        <v/>
      </c>
      <c r="AJ137" s="63">
        <f>IF(AND($J$7,A137&gt;=1,A137&lt;=$Q$7-1),J137,0)</f>
        <v/>
      </c>
      <c r="AK137" s="29">
        <f>IF(OR(AJ137=0,$S$7=0),0,IF((AE137+$L$7)&gt;$S$7/HU_alpha+$K$7,0.5*$S$7/HU_alpha,IF((AE137+$L$7)&gt;=$K$7,((AE137+$L$7)-$K$7)-0.5*HU_alpha/$S$7*((AE137+$L$7)-$K$7)^2,IF((AE137+$L$7)&gt;=$T$7,HU_beta*((AE137+$L$7)-$K$7),HU_beta*($T$7-$K$7)))))</f>
        <v/>
      </c>
      <c r="AL137" s="29">
        <f>IF(OR(AJ137=0,$S$7=0),0,IF((AE137+$L$7+$N$7)&gt;$S$7/HU_alpha+$K$7,0.5*$S$7/HU_alpha,IF((AE137+$L$7+$N$7)&gt;=$K$7,((AE137+$L$7+$N$7)-$K$7)-0.5*HU_alpha/$S$7*((AE137+$L$7+$N$7)-$K$7)^2,IF((AE137+$L$7+$N$7)&gt;=$T$7,HU_beta*((AE137+$L$7+$N$7)-$K$7),HU_beta*($T$7-$K$7)))))</f>
        <v/>
      </c>
      <c r="AM137" s="29">
        <f>IF(OR(AJ137=0,$S$7=0),0,IF((AE137+$K$7)&gt;$S$7/HU_alpha+$K$7,0.5*$S$7/HU_alpha,IF((AE137+$K$7)&gt;=$K$7,((AE137+$K$7)-$K$7)-0.5*HU_alpha/$S$7*((AE137+$K$7)-$K$7)^2,IF((AE137+$K$7)&gt;=$T$7,HU_beta*((AE137+$K$7)-$K$7),HU_beta*($T$7-$K$7)))))</f>
        <v/>
      </c>
      <c r="AN137" s="63">
        <f>IF(AND($J$8,A137&gt;=1,A137&lt;=$Q$8-1),J137,0)</f>
        <v/>
      </c>
      <c r="AO137" s="29">
        <f>IF(OR(AN137=0,$S$8=0),0,IF((AE137+$L$8)&gt;$S$8/HU_alpha+$K$8,0.5*$S$8/HU_alpha,IF((AE137+$L$8)&gt;=$K$8,((AE137+$L$8)-$K$8)-0.5*HU_alpha/$S$8*((AE137+$L$8)-$K$8)^2,IF((AE137+$L$8)&gt;=$T$8,HU_beta*((AE137+$L$8)-$K$8),HU_beta*($T$8-$K$8)))))</f>
        <v/>
      </c>
      <c r="AP137" s="29">
        <f>IF(OR(AN137=0,$S$8=0),0,IF((AE137+$L$8+$N$8)&gt;$S$8/HU_alpha+$K$8,0.5*$S$8/HU_alpha,IF((AE137+$L$8+$N$8)&gt;=$K$8,((AE137+$L$8+$N$8)-$K$8)-0.5*HU_alpha/$S$8*((AE137+$L$8+$N$8)-$K$8)^2,IF((AE137+$L$8+$N$8)&gt;=$T$8,HU_beta*((AE137+$L$8+$N$8)-$K$8),HU_beta*($T$8-$K$8)))))</f>
        <v/>
      </c>
      <c r="AQ137" s="29">
        <f>IF(OR(AN137=0,$S$8=0),0,IF((AE137+$K$8)&gt;$S$8/HU_alpha+$K$8,0.5*$S$8/HU_alpha,IF((AE137+$K$8)&gt;=$K$8,((AE137+$K$8)-$K$8)-0.5*HU_alpha/$S$8*((AE137+$K$8)-$K$8)^2,IF((AE137+$K$8)&gt;=$T$8,HU_beta*((AE137+$K$8)-$K$8),HU_beta*($T$8-$K$8)))))</f>
        <v/>
      </c>
      <c r="AR137" s="63">
        <f>IF(AND($J$9,A137&gt;=1,A137&lt;=$Q$9-1),J137,0)</f>
        <v/>
      </c>
      <c r="AS137" s="29">
        <f>IF(OR(AR137=0,$S$9=0),0,IF((AE137+$L$9)&gt;$S$9/HU_alpha+$K$9,0.5*$S$9/HU_alpha,IF((AE137+$L$9)&gt;=$K$9,((AE137+$L$9)-$K$9)-0.5*HU_alpha/$S$9*((AE137+$L$9)-$K$9)^2,IF((AE137+$L$9)&gt;=$T$9,HU_beta*((AE137+$L$9)-$K$9),HU_beta*($T$9-$K$9)))))</f>
        <v/>
      </c>
      <c r="AT137" s="29">
        <f>IF(OR(AR137=0,$S$9=0),0,IF((AE137+$L$9+$N$9)&gt;$S$9/HU_alpha+$K$9,0.5*$S$9/HU_alpha,IF((AE137+$L$9+$N$9)&gt;=$K$9,((AE137+$L$9+$N$9)-$K$9)-0.5*HU_alpha/$S$9*((AE137+$L$9+$N$9)-$K$9)^2,IF((AE137+$L$9+$N$9)&gt;=$T$9,HU_beta*((AE137+$L$9+$N$9)-$K$9),HU_beta*($T$9-$K$9)))))</f>
        <v/>
      </c>
      <c r="AU137" s="29">
        <f>IF(OR(AR137=0,$S$9=0),0,IF((AE137+$K$9)&gt;$S$9/HU_alpha+$K$9,0.5*$S$9/HU_alpha,IF((AE137+$K$9)&gt;=$K$9,((AE137+$K$9)-$K$9)-0.5*HU_alpha/$S$9*((AE137+$K$9)-$K$9)^2,IF((AE137+$K$9)&gt;=$T$9,HU_beta*((AE137+$K$9)-$K$9),HU_beta*($T$9-$K$9)))))</f>
        <v/>
      </c>
      <c r="AV137" s="63">
        <f>IF(AND($J$10,A137=$Q$10),J137,0)</f>
        <v/>
      </c>
      <c r="AW137" s="29">
        <f>IF(OR(AV137=0,$S$10=0),0,IF((AD137+$L$10)&gt;$S$10/HU_alpha+$K$10,0.5*$S$10/HU_alpha,IF((AD137+$L$10)&gt;=$K$10,((AD137+$L$10)-$K$10)-0.5*HU_alpha/$S$10*((AD137+$L$10)-$K$10)^2,IF((AD137+$L$10)&gt;=$T$10,HU_beta*((AD137+$L$10)-$K$10),HU_beta*($T$10-$K$10)))))</f>
        <v/>
      </c>
      <c r="AX137" s="29">
        <f>IF(OR(AV137=0,$S$10=0),0,IF((AD137+$L$10+$N$10)&gt;$S$10/HU_alpha+$K$10,0.5*$S$10/HU_alpha,IF((AD137+$L$10+$N$10)&gt;=$K$10,((AD137+$L$10+$N$10)-$K$10)-0.5*HU_alpha/$S$10*((AD137+$L$10+$N$10)-$K$10)^2,IF((AD137+$L$10+$N$10)&gt;=$T$10,HU_beta*((AD137+$L$10+$N$10)-$K$10),HU_beta*($T$10-$K$10)))))</f>
        <v/>
      </c>
      <c r="AY137" s="29">
        <f>IF(OR(AV137=0,$S$10=0),0,IF((AD137+$K$10)&gt;$S$10/HU_alpha+$K$10,0.5*$S$10/HU_alpha,IF((AD137+$K$10)&gt;=$K$10,((AD137+$K$10)-$K$10)-0.5*HU_alpha/$S$10*((AD137+$K$10)-$K$10)^2,IF((AD137+$K$10)&gt;=$T$10,HU_beta*((AD137+$K$10)-$K$10),HU_beta*($T$10-$K$10)))))</f>
        <v/>
      </c>
      <c r="AZ137" s="63">
        <f>IF(AND($J$11,A137=$Q$11),J137,0)</f>
        <v/>
      </c>
      <c r="BA137" s="29">
        <f>IF(OR(AZ137=0,$S$11=0),0,IF((AE137+$L$11)&gt;$S$11/HU_alpha+$K$11,0.5*$S$11/HU_alpha,IF((AE137+$L$11)&gt;=$K$11,((AE137+$L$11)-$K$11)-0.5*HU_alpha/$S$11*((AE137+$L$11)-$K$11)^2,IF((AE137+$L$11)&gt;=$T$11,HU_beta*((AE137+$L$11)-$K$11),HU_beta*($T$11-$K$11)))))</f>
        <v/>
      </c>
      <c r="BB137" s="29">
        <f>IF(OR(AZ137=0,$S$11=0),0,IF((AE137+$L$11+$N$11)&gt;$S$11/HU_alpha+$K$11,0.5*$S$11/HU_alpha,IF((AE137+$L$11+$N$11)&gt;=$K$11,((AE137+$L$11+$N$11)-$K$11)-0.5*HU_alpha/$S$11*((AE137+$L$11+$N$11)-$K$11)^2,IF((AE137+$L$11+$N$11)&gt;=$T$11,HU_beta*((AE137+$L$11+$N$11)-$K$11),HU_beta*($T$11-$K$11)))))</f>
        <v/>
      </c>
      <c r="BC137" s="29">
        <f>IF(OR(AZ137=0,$S$11=0),0,IF((AE137+$K$11)&gt;$S$11/HU_alpha+$K$11,0.5*$S$11/HU_alpha,IF((AE137+$K$11)&gt;=$K$11,((AE137+$K$11)-$K$11)-0.5*HU_alpha/$S$11*((AE137+$K$11)-$K$11)^2,IF((AE137+$K$11)&gt;=$T$11,HU_beta*((AE137+$K$11)-$K$11),HU_beta*($T$11-$K$11)))))</f>
        <v/>
      </c>
      <c r="BD137" s="63">
        <f>IF(AND($J$12,A137=$Q$12),J137,0)</f>
        <v/>
      </c>
      <c r="BE137" s="29">
        <f>IF(OR(BD137=0,$S$12=0),0,IF((AE137+$L$12)&gt;$S$12/HU_alpha+$K$12,0.5*$S$12/HU_alpha,IF((AE137+$L$12)&gt;=$K$12,((AE137+$L$12)-$K$12)-0.5*HU_alpha/$S$12*((AE137+$L$12)-$K$12)^2,IF((AE137+$L$12)&gt;=$T$12,HU_beta*((AE137+$L$12)-$K$12),HU_beta*($T$12-$K$12)))))</f>
        <v/>
      </c>
      <c r="BF137" s="29">
        <f>IF(OR(BD137=0,$S$12=0),0,IF((AE137+$L$12+$N$12)&gt;$S$12/HU_alpha+$K$12,0.5*$S$12/HU_alpha,IF((AE137+$L$12+$N$12)&gt;=$K$12,((AE137+$L$12+$N$12)-$K$12)-0.5*HU_alpha/$S$12*((AE137+$L$12+$N$12)-$K$12)^2,IF((AE137+$L$12+$N$12)&gt;=$T$12,HU_beta*((AE137+$L$12+$N$12)-$K$12),HU_beta*($T$12-$K$12)))))</f>
        <v/>
      </c>
      <c r="BG137" s="29">
        <f>IF(OR(BD137=0,$S$12=0),0,IF((AE137+$K$12)&gt;$S$12/HU_alpha+$K$12,0.5*$S$12/HU_alpha,IF((AE137+$K$12)&gt;=$K$12,((AE137+$K$12)-$K$12)-0.5*HU_alpha/$S$12*((AE137+$K$12)-$K$12)^2,IF((AE137+$K$12)&gt;=$T$12,HU_beta*((AE137+$K$12)-$K$12),HU_beta*($T$12-$K$12)))))</f>
        <v/>
      </c>
      <c r="BH137" s="63">
        <f>IF(AND($J$13,A137=$Q$13),J137,0)</f>
        <v/>
      </c>
      <c r="BI137" s="29">
        <f>IF(OR(BH137=0,$S$13=0),0,IF((AE137+$L$13)&gt;$S$13/HU_alpha+$K$13,0.5*$S$13/HU_alpha,IF((AE137+$L$13)&gt;=$K$13,((AE137+$L$13)-$K$13)-0.5*HU_alpha/$S$13*((AE137+$L$13)-$K$13)^2,IF((AE137+$L$13)&gt;=$T$13,HU_beta*((AE137+$L$13)-$K$13),HU_beta*($T$13-$K$13)))))</f>
        <v/>
      </c>
      <c r="BJ137" s="29">
        <f>IF(OR(BH137=0,$S$13=0),0,IF((AE137+$L$13+$N$13)&gt;$S$13/HU_alpha+$K$13,0.5*$S$13/HU_alpha,IF((AE137+$L$13+$N$13)&gt;=$K$13,((AE137+$L$13+$N$13)-$K$13)-0.5*HU_alpha/$S$13*((AE137+$L$13+$N$13)-$K$13)^2,IF((AE137+$L$13+$N$13)&gt;=$T$13,HU_beta*((AE137+$L$13+$N$13)-$K$13),HU_beta*($T$13-$K$13)))))</f>
        <v/>
      </c>
      <c r="BK137" s="29">
        <f>IF(OR(BH137=0,$S$13=0),0,IF((AE137+$K$13)&gt;$S$13/HU_alpha+$K$13,0.5*$S$13/HU_alpha,IF((AE137+$K$13)&gt;=$K$13,((AE137+$K$13)-$K$13)-0.5*HU_alpha/$S$13*((AE137+$K$13)-$K$13)^2,IF((AE137+$K$13)&gt;=$T$13,HU_beta*((AE137+$K$13)-$K$13),HU_beta*($T$13-$K$13)))))</f>
        <v/>
      </c>
    </row>
    <row r="138">
      <c r="A138" s="61" t="n">
        <v>70</v>
      </c>
      <c r="B138" s="61">
        <f>HU_age+A138</f>
        <v/>
      </c>
      <c r="C138" s="52">
        <f>A138&lt;=HU_T</f>
        <v/>
      </c>
      <c r="D138" s="63">
        <f>IF(OR(A138&lt;1,A138&gt;HU_T),0,INDEX(HU_q_mort,HU_age+A138-17,HU_col))</f>
        <v/>
      </c>
      <c r="E138" s="63">
        <f>IF(OR(A138&lt;1,A138&gt;HU_T),0,INDEX(HU_q_adb,HU_age+A138-17,HU_col))</f>
        <v/>
      </c>
      <c r="F138" s="63">
        <f>IF(OR(A138&lt;1,A138&gt;HU_T),0,INDEX(HU_q_morb,HU_age+A138-17,HU_col))</f>
        <v/>
      </c>
      <c r="G138" s="63">
        <f>IF(OR(A138&lt;1,A138&gt;HU_T),0,INDEX(HU_q_ptd,HU_age+A138-17,HU_col))</f>
        <v/>
      </c>
      <c r="H138" s="63">
        <f>IF(OR(A138&lt;1,A138&gt;HU_T),0,INDEX(HU_q_dis,HU_age+A138-17,HU_col))</f>
        <v/>
      </c>
      <c r="I138" s="63">
        <f>IF(A138&gt;HU_T,0,I137*(1-D138)*(1-E138))</f>
        <v/>
      </c>
      <c r="J138" s="63">
        <f>IF(A138&gt;=HU_T,0,N(I139))</f>
        <v/>
      </c>
      <c r="K138" s="63">
        <f>K137*(1-G138)</f>
        <v/>
      </c>
      <c r="L138" s="63">
        <f>1-K138</f>
        <v/>
      </c>
      <c r="M138" s="63">
        <f>K137*G138</f>
        <v/>
      </c>
      <c r="N138" s="63">
        <f>N137*(1-H138)</f>
        <v/>
      </c>
      <c r="O138" s="63">
        <f>1-N137</f>
        <v/>
      </c>
      <c r="P138" s="63">
        <f>P137*(1-F138)</f>
        <v/>
      </c>
      <c r="Q138" s="63">
        <f>1-P137/INDEX($P$68:$P$150,MAX(1,A138-HU_ciYears))</f>
        <v/>
      </c>
      <c r="R138" s="60">
        <f>(1+inflationRate)^A138</f>
        <v/>
      </c>
      <c r="S138" s="29">
        <f>IF(OR(OR(A138&lt;1,A138&gt;HU_T),A138-1&gt;=HU_dtr),0,HU_inc0*(1+incomeGrowthRate)^A138)</f>
        <v/>
      </c>
      <c r="T138" s="60">
        <f>IF(A138&gt;HU_T,T137,T137*(1+INDEX(HU_ssG,HU_age+A138-17)))</f>
        <v/>
      </c>
      <c r="U138" s="29">
        <f>IF(AND(HU_dtr&gt;=1,A138=HU_dtr,A138&lt;=HU_T),MIN(S138*INDEX(HU_ssC,HU_age+A138-17)/(1-INDEX(HU_ssC,HU_age+A138-17)),INDEX(HU_ssCap,HU_age+A138-17))*T138,0)</f>
        <v/>
      </c>
      <c r="V138" s="29">
        <f>S138+U138+IF(AND(HU_wdOn,A138=HU_wdYear),HU_wdIncome,0)</f>
        <v/>
      </c>
      <c r="W138" s="60">
        <f>HU_ciProp*Q138+HU_tpdCut*L138+HU_disCut*O138</f>
        <v/>
      </c>
      <c r="X138" s="29">
        <f>IF(OR(A138&lt;1,A138&gt;HU_T),0,V138*(1-W138))</f>
        <v/>
      </c>
      <c r="Y138" s="29">
        <f>IF(OR(A138&lt;1,A138&gt;HU_T),0,IF(AND(HU_retExp&gt;0,A138-1&gt;=HU_dtr),HU_retExp,HU_exp0)*R138)</f>
        <v/>
      </c>
      <c r="Z138" s="29">
        <f>-Y138-IF(AND(HU_wdOn,A138=HU_wdYear),HU_wdOut,0)</f>
        <v/>
      </c>
      <c r="AA138" s="29">
        <f>IF(OR(A138&lt;1,A138&gt;HU_T),0,-HU_medCost*R138*F138-HU_tpdCost*R138*M138)</f>
        <v/>
      </c>
      <c r="AB138" s="29">
        <f>IF(A138&gt;HU_T,0,AB137*(1+interestRate)+X138+Z138+AA138)</f>
        <v/>
      </c>
      <c r="AC138" s="29">
        <f>IF(A138&gt;HU_T,0,HU_inv*EXP(HU_mu*A138))</f>
        <v/>
      </c>
      <c r="AD138" s="29">
        <f>IF(A138&gt;HU_T,0,MAX(0,AC138+AB138))</f>
        <v/>
      </c>
      <c r="AE138" s="29">
        <f>IF(A138&gt;HU_T,0,MAX(0,X138-Y138))</f>
        <v/>
      </c>
      <c r="AF138" s="63">
        <f>IF(AND($J$6,A138&gt;=1,A138&lt;=$Q$6-1),J138,0)</f>
        <v/>
      </c>
      <c r="AG138" s="29">
        <f>IF(OR(AF138=0,$S$6=0),0,IF((AD138+$L$6)&gt;$S$6/HU_alpha+$K$6,0.5*$S$6/HU_alpha,IF((AD138+$L$6)&gt;=$K$6,((AD138+$L$6)-$K$6)-0.5*HU_alpha/$S$6*((AD138+$L$6)-$K$6)^2,IF((AD138+$L$6)&gt;=$T$6,HU_beta*((AD138+$L$6)-$K$6),HU_beta*($T$6-$K$6)))))</f>
        <v/>
      </c>
      <c r="AH138" s="29">
        <f>IF(OR(AF138=0,$S$6=0),0,IF((AD138+$L$6+$N$6)&gt;$S$6/HU_alpha+$K$6,0.5*$S$6/HU_alpha,IF((AD138+$L$6+$N$6)&gt;=$K$6,((AD138+$L$6+$N$6)-$K$6)-0.5*HU_alpha/$S$6*((AD138+$L$6+$N$6)-$K$6)^2,IF((AD138+$L$6+$N$6)&gt;=$T$6,HU_beta*((AD138+$L$6+$N$6)-$K$6),HU_beta*($T$6-$K$6)))))</f>
        <v/>
      </c>
      <c r="AI138" s="29">
        <f>IF(OR(AF138=0,$S$6=0),0,IF((AD138+$K$6)&gt;$S$6/HU_alpha+$K$6,0.5*$S$6/HU_alpha,IF((AD138+$K$6)&gt;=$K$6,((AD138+$K$6)-$K$6)-0.5*HU_alpha/$S$6*((AD138+$K$6)-$K$6)^2,IF((AD138+$K$6)&gt;=$T$6,HU_beta*((AD138+$K$6)-$K$6),HU_beta*($T$6-$K$6)))))</f>
        <v/>
      </c>
      <c r="AJ138" s="63">
        <f>IF(AND($J$7,A138&gt;=1,A138&lt;=$Q$7-1),J138,0)</f>
        <v/>
      </c>
      <c r="AK138" s="29">
        <f>IF(OR(AJ138=0,$S$7=0),0,IF((AE138+$L$7)&gt;$S$7/HU_alpha+$K$7,0.5*$S$7/HU_alpha,IF((AE138+$L$7)&gt;=$K$7,((AE138+$L$7)-$K$7)-0.5*HU_alpha/$S$7*((AE138+$L$7)-$K$7)^2,IF((AE138+$L$7)&gt;=$T$7,HU_beta*((AE138+$L$7)-$K$7),HU_beta*($T$7-$K$7)))))</f>
        <v/>
      </c>
      <c r="AL138" s="29">
        <f>IF(OR(AJ138=0,$S$7=0),0,IF((AE138+$L$7+$N$7)&gt;$S$7/HU_alpha+$K$7,0.5*$S$7/HU_alpha,IF((AE138+$L$7+$N$7)&gt;=$K$7,((AE138+$L$7+$N$7)-$K$7)-0.5*HU_alpha/$S$7*((AE138+$L$7+$N$7)-$K$7)^2,IF((AE138+$L$7+$N$7)&gt;=$T$7,HU_beta*((AE138+$L$7+$N$7)-$K$7),HU_beta*($T$7-$K$7)))))</f>
        <v/>
      </c>
      <c r="AM138" s="29">
        <f>IF(OR(AJ138=0,$S$7=0),0,IF((AE138+$K$7)&gt;$S$7/HU_alpha+$K$7,0.5*$S$7/HU_alpha,IF((AE138+$K$7)&gt;=$K$7,((AE138+$K$7)-$K$7)-0.5*HU_alpha/$S$7*((AE138+$K$7)-$K$7)^2,IF((AE138+$K$7)&gt;=$T$7,HU_beta*((AE138+$K$7)-$K$7),HU_beta*($T$7-$K$7)))))</f>
        <v/>
      </c>
      <c r="AN138" s="63">
        <f>IF(AND($J$8,A138&gt;=1,A138&lt;=$Q$8-1),J138,0)</f>
        <v/>
      </c>
      <c r="AO138" s="29">
        <f>IF(OR(AN138=0,$S$8=0),0,IF((AE138+$L$8)&gt;$S$8/HU_alpha+$K$8,0.5*$S$8/HU_alpha,IF((AE138+$L$8)&gt;=$K$8,((AE138+$L$8)-$K$8)-0.5*HU_alpha/$S$8*((AE138+$L$8)-$K$8)^2,IF((AE138+$L$8)&gt;=$T$8,HU_beta*((AE138+$L$8)-$K$8),HU_beta*($T$8-$K$8)))))</f>
        <v/>
      </c>
      <c r="AP138" s="29">
        <f>IF(OR(AN138=0,$S$8=0),0,IF((AE138+$L$8+$N$8)&gt;$S$8/HU_alpha+$K$8,0.5*$S$8/HU_alpha,IF((AE138+$L$8+$N$8)&gt;=$K$8,((AE138+$L$8+$N$8)-$K$8)-0.5*HU_alpha/$S$8*((AE138+$L$8+$N$8)-$K$8)^2,IF((AE138+$L$8+$N$8)&gt;=$T$8,HU_beta*((AE138+$L$8+$N$8)-$K$8),HU_beta*($T$8-$K$8)))))</f>
        <v/>
      </c>
      <c r="AQ138" s="29">
        <f>IF(OR(AN138=0,$S$8=0),0,IF((AE138+$K$8)&gt;$S$8/HU_alpha+$K$8,0.5*$S$8/HU_alpha,IF((AE138+$K$8)&gt;=$K$8,((AE138+$K$8)-$K$8)-0.5*HU_alpha/$S$8*((AE138+$K$8)-$K$8)^2,IF((AE138+$K$8)&gt;=$T$8,HU_beta*((AE138+$K$8)-$K$8),HU_beta*($T$8-$K$8)))))</f>
        <v/>
      </c>
      <c r="AR138" s="63">
        <f>IF(AND($J$9,A138&gt;=1,A138&lt;=$Q$9-1),J138,0)</f>
        <v/>
      </c>
      <c r="AS138" s="29">
        <f>IF(OR(AR138=0,$S$9=0),0,IF((AE138+$L$9)&gt;$S$9/HU_alpha+$K$9,0.5*$S$9/HU_alpha,IF((AE138+$L$9)&gt;=$K$9,((AE138+$L$9)-$K$9)-0.5*HU_alpha/$S$9*((AE138+$L$9)-$K$9)^2,IF((AE138+$L$9)&gt;=$T$9,HU_beta*((AE138+$L$9)-$K$9),HU_beta*($T$9-$K$9)))))</f>
        <v/>
      </c>
      <c r="AT138" s="29">
        <f>IF(OR(AR138=0,$S$9=0),0,IF((AE138+$L$9+$N$9)&gt;$S$9/HU_alpha+$K$9,0.5*$S$9/HU_alpha,IF((AE138+$L$9+$N$9)&gt;=$K$9,((AE138+$L$9+$N$9)-$K$9)-0.5*HU_alpha/$S$9*((AE138+$L$9+$N$9)-$K$9)^2,IF((AE138+$L$9+$N$9)&gt;=$T$9,HU_beta*((AE138+$L$9+$N$9)-$K$9),HU_beta*($T$9-$K$9)))))</f>
        <v/>
      </c>
      <c r="AU138" s="29">
        <f>IF(OR(AR138=0,$S$9=0),0,IF((AE138+$K$9)&gt;$S$9/HU_alpha+$K$9,0.5*$S$9/HU_alpha,IF((AE138+$K$9)&gt;=$K$9,((AE138+$K$9)-$K$9)-0.5*HU_alpha/$S$9*((AE138+$K$9)-$K$9)^2,IF((AE138+$K$9)&gt;=$T$9,HU_beta*((AE138+$K$9)-$K$9),HU_beta*($T$9-$K$9)))))</f>
        <v/>
      </c>
      <c r="AV138" s="63">
        <f>IF(AND($J$10,A138=$Q$10),J138,0)</f>
        <v/>
      </c>
      <c r="AW138" s="29">
        <f>IF(OR(AV138=0,$S$10=0),0,IF((AD138+$L$10)&gt;$S$10/HU_alpha+$K$10,0.5*$S$10/HU_alpha,IF((AD138+$L$10)&gt;=$K$10,((AD138+$L$10)-$K$10)-0.5*HU_alpha/$S$10*((AD138+$L$10)-$K$10)^2,IF((AD138+$L$10)&gt;=$T$10,HU_beta*((AD138+$L$10)-$K$10),HU_beta*($T$10-$K$10)))))</f>
        <v/>
      </c>
      <c r="AX138" s="29">
        <f>IF(OR(AV138=0,$S$10=0),0,IF((AD138+$L$10+$N$10)&gt;$S$10/HU_alpha+$K$10,0.5*$S$10/HU_alpha,IF((AD138+$L$10+$N$10)&gt;=$K$10,((AD138+$L$10+$N$10)-$K$10)-0.5*HU_alpha/$S$10*((AD138+$L$10+$N$10)-$K$10)^2,IF((AD138+$L$10+$N$10)&gt;=$T$10,HU_beta*((AD138+$L$10+$N$10)-$K$10),HU_beta*($T$10-$K$10)))))</f>
        <v/>
      </c>
      <c r="AY138" s="29">
        <f>IF(OR(AV138=0,$S$10=0),0,IF((AD138+$K$10)&gt;$S$10/HU_alpha+$K$10,0.5*$S$10/HU_alpha,IF((AD138+$K$10)&gt;=$K$10,((AD138+$K$10)-$K$10)-0.5*HU_alpha/$S$10*((AD138+$K$10)-$K$10)^2,IF((AD138+$K$10)&gt;=$T$10,HU_beta*((AD138+$K$10)-$K$10),HU_beta*($T$10-$K$10)))))</f>
        <v/>
      </c>
      <c r="AZ138" s="63">
        <f>IF(AND($J$11,A138=$Q$11),J138,0)</f>
        <v/>
      </c>
      <c r="BA138" s="29">
        <f>IF(OR(AZ138=0,$S$11=0),0,IF((AE138+$L$11)&gt;$S$11/HU_alpha+$K$11,0.5*$S$11/HU_alpha,IF((AE138+$L$11)&gt;=$K$11,((AE138+$L$11)-$K$11)-0.5*HU_alpha/$S$11*((AE138+$L$11)-$K$11)^2,IF((AE138+$L$11)&gt;=$T$11,HU_beta*((AE138+$L$11)-$K$11),HU_beta*($T$11-$K$11)))))</f>
        <v/>
      </c>
      <c r="BB138" s="29">
        <f>IF(OR(AZ138=0,$S$11=0),0,IF((AE138+$L$11+$N$11)&gt;$S$11/HU_alpha+$K$11,0.5*$S$11/HU_alpha,IF((AE138+$L$11+$N$11)&gt;=$K$11,((AE138+$L$11+$N$11)-$K$11)-0.5*HU_alpha/$S$11*((AE138+$L$11+$N$11)-$K$11)^2,IF((AE138+$L$11+$N$11)&gt;=$T$11,HU_beta*((AE138+$L$11+$N$11)-$K$11),HU_beta*($T$11-$K$11)))))</f>
        <v/>
      </c>
      <c r="BC138" s="29">
        <f>IF(OR(AZ138=0,$S$11=0),0,IF((AE138+$K$11)&gt;$S$11/HU_alpha+$K$11,0.5*$S$11/HU_alpha,IF((AE138+$K$11)&gt;=$K$11,((AE138+$K$11)-$K$11)-0.5*HU_alpha/$S$11*((AE138+$K$11)-$K$11)^2,IF((AE138+$K$11)&gt;=$T$11,HU_beta*((AE138+$K$11)-$K$11),HU_beta*($T$11-$K$11)))))</f>
        <v/>
      </c>
      <c r="BD138" s="63">
        <f>IF(AND($J$12,A138=$Q$12),J138,0)</f>
        <v/>
      </c>
      <c r="BE138" s="29">
        <f>IF(OR(BD138=0,$S$12=0),0,IF((AE138+$L$12)&gt;$S$12/HU_alpha+$K$12,0.5*$S$12/HU_alpha,IF((AE138+$L$12)&gt;=$K$12,((AE138+$L$12)-$K$12)-0.5*HU_alpha/$S$12*((AE138+$L$12)-$K$12)^2,IF((AE138+$L$12)&gt;=$T$12,HU_beta*((AE138+$L$12)-$K$12),HU_beta*($T$12-$K$12)))))</f>
        <v/>
      </c>
      <c r="BF138" s="29">
        <f>IF(OR(BD138=0,$S$12=0),0,IF((AE138+$L$12+$N$12)&gt;$S$12/HU_alpha+$K$12,0.5*$S$12/HU_alpha,IF((AE138+$L$12+$N$12)&gt;=$K$12,((AE138+$L$12+$N$12)-$K$12)-0.5*HU_alpha/$S$12*((AE138+$L$12+$N$12)-$K$12)^2,IF((AE138+$L$12+$N$12)&gt;=$T$12,HU_beta*((AE138+$L$12+$N$12)-$K$12),HU_beta*($T$12-$K$12)))))</f>
        <v/>
      </c>
      <c r="BG138" s="29">
        <f>IF(OR(BD138=0,$S$12=0),0,IF((AE138+$K$12)&gt;$S$12/HU_alpha+$K$12,0.5*$S$12/HU_alpha,IF((AE138+$K$12)&gt;=$K$12,((AE138+$K$12)-$K$12)-0.5*HU_alpha/$S$12*((AE138+$K$12)-$K$12)^2,IF((AE138+$K$12)&gt;=$T$12,HU_beta*((AE138+$K$12)-$K$12),HU_beta*($T$12-$K$12)))))</f>
        <v/>
      </c>
      <c r="BH138" s="63">
        <f>IF(AND($J$13,A138=$Q$13),J138,0)</f>
        <v/>
      </c>
      <c r="BI138" s="29">
        <f>IF(OR(BH138=0,$S$13=0),0,IF((AE138+$L$13)&gt;$S$13/HU_alpha+$K$13,0.5*$S$13/HU_alpha,IF((AE138+$L$13)&gt;=$K$13,((AE138+$L$13)-$K$13)-0.5*HU_alpha/$S$13*((AE138+$L$13)-$K$13)^2,IF((AE138+$L$13)&gt;=$T$13,HU_beta*((AE138+$L$13)-$K$13),HU_beta*($T$13-$K$13)))))</f>
        <v/>
      </c>
      <c r="BJ138" s="29">
        <f>IF(OR(BH138=0,$S$13=0),0,IF((AE138+$L$13+$N$13)&gt;$S$13/HU_alpha+$K$13,0.5*$S$13/HU_alpha,IF((AE138+$L$13+$N$13)&gt;=$K$13,((AE138+$L$13+$N$13)-$K$13)-0.5*HU_alpha/$S$13*((AE138+$L$13+$N$13)-$K$13)^2,IF((AE138+$L$13+$N$13)&gt;=$T$13,HU_beta*((AE138+$L$13+$N$13)-$K$13),HU_beta*($T$13-$K$13)))))</f>
        <v/>
      </c>
      <c r="BK138" s="29">
        <f>IF(OR(BH138=0,$S$13=0),0,IF((AE138+$K$13)&gt;$S$13/HU_alpha+$K$13,0.5*$S$13/HU_alpha,IF((AE138+$K$13)&gt;=$K$13,((AE138+$K$13)-$K$13)-0.5*HU_alpha/$S$13*((AE138+$K$13)-$K$13)^2,IF((AE138+$K$13)&gt;=$T$13,HU_beta*((AE138+$K$13)-$K$13),HU_beta*($T$13-$K$13)))))</f>
        <v/>
      </c>
    </row>
    <row r="139">
      <c r="A139" s="61" t="n">
        <v>71</v>
      </c>
      <c r="B139" s="61">
        <f>HU_age+A139</f>
        <v/>
      </c>
      <c r="C139" s="52">
        <f>A139&lt;=HU_T</f>
        <v/>
      </c>
      <c r="D139" s="63">
        <f>IF(OR(A139&lt;1,A139&gt;HU_T),0,INDEX(HU_q_mort,HU_age+A139-17,HU_col))</f>
        <v/>
      </c>
      <c r="E139" s="63">
        <f>IF(OR(A139&lt;1,A139&gt;HU_T),0,INDEX(HU_q_adb,HU_age+A139-17,HU_col))</f>
        <v/>
      </c>
      <c r="F139" s="63">
        <f>IF(OR(A139&lt;1,A139&gt;HU_T),0,INDEX(HU_q_morb,HU_age+A139-17,HU_col))</f>
        <v/>
      </c>
      <c r="G139" s="63">
        <f>IF(OR(A139&lt;1,A139&gt;HU_T),0,INDEX(HU_q_ptd,HU_age+A139-17,HU_col))</f>
        <v/>
      </c>
      <c r="H139" s="63">
        <f>IF(OR(A139&lt;1,A139&gt;HU_T),0,INDEX(HU_q_dis,HU_age+A139-17,HU_col))</f>
        <v/>
      </c>
      <c r="I139" s="63">
        <f>IF(A139&gt;HU_T,0,I138*(1-D139)*(1-E139))</f>
        <v/>
      </c>
      <c r="J139" s="63">
        <f>IF(A139&gt;=HU_T,0,N(I140))</f>
        <v/>
      </c>
      <c r="K139" s="63">
        <f>K138*(1-G139)</f>
        <v/>
      </c>
      <c r="L139" s="63">
        <f>1-K139</f>
        <v/>
      </c>
      <c r="M139" s="63">
        <f>K138*G139</f>
        <v/>
      </c>
      <c r="N139" s="63">
        <f>N138*(1-H139)</f>
        <v/>
      </c>
      <c r="O139" s="63">
        <f>1-N138</f>
        <v/>
      </c>
      <c r="P139" s="63">
        <f>P138*(1-F139)</f>
        <v/>
      </c>
      <c r="Q139" s="63">
        <f>1-P138/INDEX($P$68:$P$150,MAX(1,A139-HU_ciYears))</f>
        <v/>
      </c>
      <c r="R139" s="60">
        <f>(1+inflationRate)^A139</f>
        <v/>
      </c>
      <c r="S139" s="29">
        <f>IF(OR(OR(A139&lt;1,A139&gt;HU_T),A139-1&gt;=HU_dtr),0,HU_inc0*(1+incomeGrowthRate)^A139)</f>
        <v/>
      </c>
      <c r="T139" s="60">
        <f>IF(A139&gt;HU_T,T138,T138*(1+INDEX(HU_ssG,HU_age+A139-17)))</f>
        <v/>
      </c>
      <c r="U139" s="29">
        <f>IF(AND(HU_dtr&gt;=1,A139=HU_dtr,A139&lt;=HU_T),MIN(S139*INDEX(HU_ssC,HU_age+A139-17)/(1-INDEX(HU_ssC,HU_age+A139-17)),INDEX(HU_ssCap,HU_age+A139-17))*T139,0)</f>
        <v/>
      </c>
      <c r="V139" s="29">
        <f>S139+U139+IF(AND(HU_wdOn,A139=HU_wdYear),HU_wdIncome,0)</f>
        <v/>
      </c>
      <c r="W139" s="60">
        <f>HU_ciProp*Q139+HU_tpdCut*L139+HU_disCut*O139</f>
        <v/>
      </c>
      <c r="X139" s="29">
        <f>IF(OR(A139&lt;1,A139&gt;HU_T),0,V139*(1-W139))</f>
        <v/>
      </c>
      <c r="Y139" s="29">
        <f>IF(OR(A139&lt;1,A139&gt;HU_T),0,IF(AND(HU_retExp&gt;0,A139-1&gt;=HU_dtr),HU_retExp,HU_exp0)*R139)</f>
        <v/>
      </c>
      <c r="Z139" s="29">
        <f>-Y139-IF(AND(HU_wdOn,A139=HU_wdYear),HU_wdOut,0)</f>
        <v/>
      </c>
      <c r="AA139" s="29">
        <f>IF(OR(A139&lt;1,A139&gt;HU_T),0,-HU_medCost*R139*F139-HU_tpdCost*R139*M139)</f>
        <v/>
      </c>
      <c r="AB139" s="29">
        <f>IF(A139&gt;HU_T,0,AB138*(1+interestRate)+X139+Z139+AA139)</f>
        <v/>
      </c>
      <c r="AC139" s="29">
        <f>IF(A139&gt;HU_T,0,HU_inv*EXP(HU_mu*A139))</f>
        <v/>
      </c>
      <c r="AD139" s="29">
        <f>IF(A139&gt;HU_T,0,MAX(0,AC139+AB139))</f>
        <v/>
      </c>
      <c r="AE139" s="29">
        <f>IF(A139&gt;HU_T,0,MAX(0,X139-Y139))</f>
        <v/>
      </c>
      <c r="AF139" s="63">
        <f>IF(AND($J$6,A139&gt;=1,A139&lt;=$Q$6-1),J139,0)</f>
        <v/>
      </c>
      <c r="AG139" s="29">
        <f>IF(OR(AF139=0,$S$6=0),0,IF((AD139+$L$6)&gt;$S$6/HU_alpha+$K$6,0.5*$S$6/HU_alpha,IF((AD139+$L$6)&gt;=$K$6,((AD139+$L$6)-$K$6)-0.5*HU_alpha/$S$6*((AD139+$L$6)-$K$6)^2,IF((AD139+$L$6)&gt;=$T$6,HU_beta*((AD139+$L$6)-$K$6),HU_beta*($T$6-$K$6)))))</f>
        <v/>
      </c>
      <c r="AH139" s="29">
        <f>IF(OR(AF139=0,$S$6=0),0,IF((AD139+$L$6+$N$6)&gt;$S$6/HU_alpha+$K$6,0.5*$S$6/HU_alpha,IF((AD139+$L$6+$N$6)&gt;=$K$6,((AD139+$L$6+$N$6)-$K$6)-0.5*HU_alpha/$S$6*((AD139+$L$6+$N$6)-$K$6)^2,IF((AD139+$L$6+$N$6)&gt;=$T$6,HU_beta*((AD139+$L$6+$N$6)-$K$6),HU_beta*($T$6-$K$6)))))</f>
        <v/>
      </c>
      <c r="AI139" s="29">
        <f>IF(OR(AF139=0,$S$6=0),0,IF((AD139+$K$6)&gt;$S$6/HU_alpha+$K$6,0.5*$S$6/HU_alpha,IF((AD139+$K$6)&gt;=$K$6,((AD139+$K$6)-$K$6)-0.5*HU_alpha/$S$6*((AD139+$K$6)-$K$6)^2,IF((AD139+$K$6)&gt;=$T$6,HU_beta*((AD139+$K$6)-$K$6),HU_beta*($T$6-$K$6)))))</f>
        <v/>
      </c>
      <c r="AJ139" s="63">
        <f>IF(AND($J$7,A139&gt;=1,A139&lt;=$Q$7-1),J139,0)</f>
        <v/>
      </c>
      <c r="AK139" s="29">
        <f>IF(OR(AJ139=0,$S$7=0),0,IF((AE139+$L$7)&gt;$S$7/HU_alpha+$K$7,0.5*$S$7/HU_alpha,IF((AE139+$L$7)&gt;=$K$7,((AE139+$L$7)-$K$7)-0.5*HU_alpha/$S$7*((AE139+$L$7)-$K$7)^2,IF((AE139+$L$7)&gt;=$T$7,HU_beta*((AE139+$L$7)-$K$7),HU_beta*($T$7-$K$7)))))</f>
        <v/>
      </c>
      <c r="AL139" s="29">
        <f>IF(OR(AJ139=0,$S$7=0),0,IF((AE139+$L$7+$N$7)&gt;$S$7/HU_alpha+$K$7,0.5*$S$7/HU_alpha,IF((AE139+$L$7+$N$7)&gt;=$K$7,((AE139+$L$7+$N$7)-$K$7)-0.5*HU_alpha/$S$7*((AE139+$L$7+$N$7)-$K$7)^2,IF((AE139+$L$7+$N$7)&gt;=$T$7,HU_beta*((AE139+$L$7+$N$7)-$K$7),HU_beta*($T$7-$K$7)))))</f>
        <v/>
      </c>
      <c r="AM139" s="29">
        <f>IF(OR(AJ139=0,$S$7=0),0,IF((AE139+$K$7)&gt;$S$7/HU_alpha+$K$7,0.5*$S$7/HU_alpha,IF((AE139+$K$7)&gt;=$K$7,((AE139+$K$7)-$K$7)-0.5*HU_alpha/$S$7*((AE139+$K$7)-$K$7)^2,IF((AE139+$K$7)&gt;=$T$7,HU_beta*((AE139+$K$7)-$K$7),HU_beta*($T$7-$K$7)))))</f>
        <v/>
      </c>
      <c r="AN139" s="63">
        <f>IF(AND($J$8,A139&gt;=1,A139&lt;=$Q$8-1),J139,0)</f>
        <v/>
      </c>
      <c r="AO139" s="29">
        <f>IF(OR(AN139=0,$S$8=0),0,IF((AE139+$L$8)&gt;$S$8/HU_alpha+$K$8,0.5*$S$8/HU_alpha,IF((AE139+$L$8)&gt;=$K$8,((AE139+$L$8)-$K$8)-0.5*HU_alpha/$S$8*((AE139+$L$8)-$K$8)^2,IF((AE139+$L$8)&gt;=$T$8,HU_beta*((AE139+$L$8)-$K$8),HU_beta*($T$8-$K$8)))))</f>
        <v/>
      </c>
      <c r="AP139" s="29">
        <f>IF(OR(AN139=0,$S$8=0),0,IF((AE139+$L$8+$N$8)&gt;$S$8/HU_alpha+$K$8,0.5*$S$8/HU_alpha,IF((AE139+$L$8+$N$8)&gt;=$K$8,((AE139+$L$8+$N$8)-$K$8)-0.5*HU_alpha/$S$8*((AE139+$L$8+$N$8)-$K$8)^2,IF((AE139+$L$8+$N$8)&gt;=$T$8,HU_beta*((AE139+$L$8+$N$8)-$K$8),HU_beta*($T$8-$K$8)))))</f>
        <v/>
      </c>
      <c r="AQ139" s="29">
        <f>IF(OR(AN139=0,$S$8=0),0,IF((AE139+$K$8)&gt;$S$8/HU_alpha+$K$8,0.5*$S$8/HU_alpha,IF((AE139+$K$8)&gt;=$K$8,((AE139+$K$8)-$K$8)-0.5*HU_alpha/$S$8*((AE139+$K$8)-$K$8)^2,IF((AE139+$K$8)&gt;=$T$8,HU_beta*((AE139+$K$8)-$K$8),HU_beta*($T$8-$K$8)))))</f>
        <v/>
      </c>
      <c r="AR139" s="63">
        <f>IF(AND($J$9,A139&gt;=1,A139&lt;=$Q$9-1),J139,0)</f>
        <v/>
      </c>
      <c r="AS139" s="29">
        <f>IF(OR(AR139=0,$S$9=0),0,IF((AE139+$L$9)&gt;$S$9/HU_alpha+$K$9,0.5*$S$9/HU_alpha,IF((AE139+$L$9)&gt;=$K$9,((AE139+$L$9)-$K$9)-0.5*HU_alpha/$S$9*((AE139+$L$9)-$K$9)^2,IF((AE139+$L$9)&gt;=$T$9,HU_beta*((AE139+$L$9)-$K$9),HU_beta*($T$9-$K$9)))))</f>
        <v/>
      </c>
      <c r="AT139" s="29">
        <f>IF(OR(AR139=0,$S$9=0),0,IF((AE139+$L$9+$N$9)&gt;$S$9/HU_alpha+$K$9,0.5*$S$9/HU_alpha,IF((AE139+$L$9+$N$9)&gt;=$K$9,((AE139+$L$9+$N$9)-$K$9)-0.5*HU_alpha/$S$9*((AE139+$L$9+$N$9)-$K$9)^2,IF((AE139+$L$9+$N$9)&gt;=$T$9,HU_beta*((AE139+$L$9+$N$9)-$K$9),HU_beta*($T$9-$K$9)))))</f>
        <v/>
      </c>
      <c r="AU139" s="29">
        <f>IF(OR(AR139=0,$S$9=0),0,IF((AE139+$K$9)&gt;$S$9/HU_alpha+$K$9,0.5*$S$9/HU_alpha,IF((AE139+$K$9)&gt;=$K$9,((AE139+$K$9)-$K$9)-0.5*HU_alpha/$S$9*((AE139+$K$9)-$K$9)^2,IF((AE139+$K$9)&gt;=$T$9,HU_beta*((AE139+$K$9)-$K$9),HU_beta*($T$9-$K$9)))))</f>
        <v/>
      </c>
      <c r="AV139" s="63">
        <f>IF(AND($J$10,A139=$Q$10),J139,0)</f>
        <v/>
      </c>
      <c r="AW139" s="29">
        <f>IF(OR(AV139=0,$S$10=0),0,IF((AD139+$L$10)&gt;$S$10/HU_alpha+$K$10,0.5*$S$10/HU_alpha,IF((AD139+$L$10)&gt;=$K$10,((AD139+$L$10)-$K$10)-0.5*HU_alpha/$S$10*((AD139+$L$10)-$K$10)^2,IF((AD139+$L$10)&gt;=$T$10,HU_beta*((AD139+$L$10)-$K$10),HU_beta*($T$10-$K$10)))))</f>
        <v/>
      </c>
      <c r="AX139" s="29">
        <f>IF(OR(AV139=0,$S$10=0),0,IF((AD139+$L$10+$N$10)&gt;$S$10/HU_alpha+$K$10,0.5*$S$10/HU_alpha,IF((AD139+$L$10+$N$10)&gt;=$K$10,((AD139+$L$10+$N$10)-$K$10)-0.5*HU_alpha/$S$10*((AD139+$L$10+$N$10)-$K$10)^2,IF((AD139+$L$10+$N$10)&gt;=$T$10,HU_beta*((AD139+$L$10+$N$10)-$K$10),HU_beta*($T$10-$K$10)))))</f>
        <v/>
      </c>
      <c r="AY139" s="29">
        <f>IF(OR(AV139=0,$S$10=0),0,IF((AD139+$K$10)&gt;$S$10/HU_alpha+$K$10,0.5*$S$10/HU_alpha,IF((AD139+$K$10)&gt;=$K$10,((AD139+$K$10)-$K$10)-0.5*HU_alpha/$S$10*((AD139+$K$10)-$K$10)^2,IF((AD139+$K$10)&gt;=$T$10,HU_beta*((AD139+$K$10)-$K$10),HU_beta*($T$10-$K$10)))))</f>
        <v/>
      </c>
      <c r="AZ139" s="63">
        <f>IF(AND($J$11,A139=$Q$11),J139,0)</f>
        <v/>
      </c>
      <c r="BA139" s="29">
        <f>IF(OR(AZ139=0,$S$11=0),0,IF((AE139+$L$11)&gt;$S$11/HU_alpha+$K$11,0.5*$S$11/HU_alpha,IF((AE139+$L$11)&gt;=$K$11,((AE139+$L$11)-$K$11)-0.5*HU_alpha/$S$11*((AE139+$L$11)-$K$11)^2,IF((AE139+$L$11)&gt;=$T$11,HU_beta*((AE139+$L$11)-$K$11),HU_beta*($T$11-$K$11)))))</f>
        <v/>
      </c>
      <c r="BB139" s="29">
        <f>IF(OR(AZ139=0,$S$11=0),0,IF((AE139+$L$11+$N$11)&gt;$S$11/HU_alpha+$K$11,0.5*$S$11/HU_alpha,IF((AE139+$L$11+$N$11)&gt;=$K$11,((AE139+$L$11+$N$11)-$K$11)-0.5*HU_alpha/$S$11*((AE139+$L$11+$N$11)-$K$11)^2,IF((AE139+$L$11+$N$11)&gt;=$T$11,HU_beta*((AE139+$L$11+$N$11)-$K$11),HU_beta*($T$11-$K$11)))))</f>
        <v/>
      </c>
      <c r="BC139" s="29">
        <f>IF(OR(AZ139=0,$S$11=0),0,IF((AE139+$K$11)&gt;$S$11/HU_alpha+$K$11,0.5*$S$11/HU_alpha,IF((AE139+$K$11)&gt;=$K$11,((AE139+$K$11)-$K$11)-0.5*HU_alpha/$S$11*((AE139+$K$11)-$K$11)^2,IF((AE139+$K$11)&gt;=$T$11,HU_beta*((AE139+$K$11)-$K$11),HU_beta*($T$11-$K$11)))))</f>
        <v/>
      </c>
      <c r="BD139" s="63">
        <f>IF(AND($J$12,A139=$Q$12),J139,0)</f>
        <v/>
      </c>
      <c r="BE139" s="29">
        <f>IF(OR(BD139=0,$S$12=0),0,IF((AE139+$L$12)&gt;$S$12/HU_alpha+$K$12,0.5*$S$12/HU_alpha,IF((AE139+$L$12)&gt;=$K$12,((AE139+$L$12)-$K$12)-0.5*HU_alpha/$S$12*((AE139+$L$12)-$K$12)^2,IF((AE139+$L$12)&gt;=$T$12,HU_beta*((AE139+$L$12)-$K$12),HU_beta*($T$12-$K$12)))))</f>
        <v/>
      </c>
      <c r="BF139" s="29">
        <f>IF(OR(BD139=0,$S$12=0),0,IF((AE139+$L$12+$N$12)&gt;$S$12/HU_alpha+$K$12,0.5*$S$12/HU_alpha,IF((AE139+$L$12+$N$12)&gt;=$K$12,((AE139+$L$12+$N$12)-$K$12)-0.5*HU_alpha/$S$12*((AE139+$L$12+$N$12)-$K$12)^2,IF((AE139+$L$12+$N$12)&gt;=$T$12,HU_beta*((AE139+$L$12+$N$12)-$K$12),HU_beta*($T$12-$K$12)))))</f>
        <v/>
      </c>
      <c r="BG139" s="29">
        <f>IF(OR(BD139=0,$S$12=0),0,IF((AE139+$K$12)&gt;$S$12/HU_alpha+$K$12,0.5*$S$12/HU_alpha,IF((AE139+$K$12)&gt;=$K$12,((AE139+$K$12)-$K$12)-0.5*HU_alpha/$S$12*((AE139+$K$12)-$K$12)^2,IF((AE139+$K$12)&gt;=$T$12,HU_beta*((AE139+$K$12)-$K$12),HU_beta*($T$12-$K$12)))))</f>
        <v/>
      </c>
      <c r="BH139" s="63">
        <f>IF(AND($J$13,A139=$Q$13),J139,0)</f>
        <v/>
      </c>
      <c r="BI139" s="29">
        <f>IF(OR(BH139=0,$S$13=0),0,IF((AE139+$L$13)&gt;$S$13/HU_alpha+$K$13,0.5*$S$13/HU_alpha,IF((AE139+$L$13)&gt;=$K$13,((AE139+$L$13)-$K$13)-0.5*HU_alpha/$S$13*((AE139+$L$13)-$K$13)^2,IF((AE139+$L$13)&gt;=$T$13,HU_beta*((AE139+$L$13)-$K$13),HU_beta*($T$13-$K$13)))))</f>
        <v/>
      </c>
      <c r="BJ139" s="29">
        <f>IF(OR(BH139=0,$S$13=0),0,IF((AE139+$L$13+$N$13)&gt;$S$13/HU_alpha+$K$13,0.5*$S$13/HU_alpha,IF((AE139+$L$13+$N$13)&gt;=$K$13,((AE139+$L$13+$N$13)-$K$13)-0.5*HU_alpha/$S$13*((AE139+$L$13+$N$13)-$K$13)^2,IF((AE139+$L$13+$N$13)&gt;=$T$13,HU_beta*((AE139+$L$13+$N$13)-$K$13),HU_beta*($T$13-$K$13)))))</f>
        <v/>
      </c>
      <c r="BK139" s="29">
        <f>IF(OR(BH139=0,$S$13=0),0,IF((AE139+$K$13)&gt;$S$13/HU_alpha+$K$13,0.5*$S$13/HU_alpha,IF((AE139+$K$13)&gt;=$K$13,((AE139+$K$13)-$K$13)-0.5*HU_alpha/$S$13*((AE139+$K$13)-$K$13)^2,IF((AE139+$K$13)&gt;=$T$13,HU_beta*((AE139+$K$13)-$K$13),HU_beta*($T$13-$K$13)))))</f>
        <v/>
      </c>
    </row>
    <row r="140">
      <c r="A140" s="61" t="n">
        <v>72</v>
      </c>
      <c r="B140" s="61">
        <f>HU_age+A140</f>
        <v/>
      </c>
      <c r="C140" s="52">
        <f>A140&lt;=HU_T</f>
        <v/>
      </c>
      <c r="D140" s="63">
        <f>IF(OR(A140&lt;1,A140&gt;HU_T),0,INDEX(HU_q_mort,HU_age+A140-17,HU_col))</f>
        <v/>
      </c>
      <c r="E140" s="63">
        <f>IF(OR(A140&lt;1,A140&gt;HU_T),0,INDEX(HU_q_adb,HU_age+A140-17,HU_col))</f>
        <v/>
      </c>
      <c r="F140" s="63">
        <f>IF(OR(A140&lt;1,A140&gt;HU_T),0,INDEX(HU_q_morb,HU_age+A140-17,HU_col))</f>
        <v/>
      </c>
      <c r="G140" s="63">
        <f>IF(OR(A140&lt;1,A140&gt;HU_T),0,INDEX(HU_q_ptd,HU_age+A140-17,HU_col))</f>
        <v/>
      </c>
      <c r="H140" s="63">
        <f>IF(OR(A140&lt;1,A140&gt;HU_T),0,INDEX(HU_q_dis,HU_age+A140-17,HU_col))</f>
        <v/>
      </c>
      <c r="I140" s="63">
        <f>IF(A140&gt;HU_T,0,I139*(1-D140)*(1-E140))</f>
        <v/>
      </c>
      <c r="J140" s="63">
        <f>IF(A140&gt;=HU_T,0,N(I141))</f>
        <v/>
      </c>
      <c r="K140" s="63">
        <f>K139*(1-G140)</f>
        <v/>
      </c>
      <c r="L140" s="63">
        <f>1-K140</f>
        <v/>
      </c>
      <c r="M140" s="63">
        <f>K139*G140</f>
        <v/>
      </c>
      <c r="N140" s="63">
        <f>N139*(1-H140)</f>
        <v/>
      </c>
      <c r="O140" s="63">
        <f>1-N139</f>
        <v/>
      </c>
      <c r="P140" s="63">
        <f>P139*(1-F140)</f>
        <v/>
      </c>
      <c r="Q140" s="63">
        <f>1-P139/INDEX($P$68:$P$150,MAX(1,A140-HU_ciYears))</f>
        <v/>
      </c>
      <c r="R140" s="60">
        <f>(1+inflationRate)^A140</f>
        <v/>
      </c>
      <c r="S140" s="29">
        <f>IF(OR(OR(A140&lt;1,A140&gt;HU_T),A140-1&gt;=HU_dtr),0,HU_inc0*(1+incomeGrowthRate)^A140)</f>
        <v/>
      </c>
      <c r="T140" s="60">
        <f>IF(A140&gt;HU_T,T139,T139*(1+INDEX(HU_ssG,HU_age+A140-17)))</f>
        <v/>
      </c>
      <c r="U140" s="29">
        <f>IF(AND(HU_dtr&gt;=1,A140=HU_dtr,A140&lt;=HU_T),MIN(S140*INDEX(HU_ssC,HU_age+A140-17)/(1-INDEX(HU_ssC,HU_age+A140-17)),INDEX(HU_ssCap,HU_age+A140-17))*T140,0)</f>
        <v/>
      </c>
      <c r="V140" s="29">
        <f>S140+U140+IF(AND(HU_wdOn,A140=HU_wdYear),HU_wdIncome,0)</f>
        <v/>
      </c>
      <c r="W140" s="60">
        <f>HU_ciProp*Q140+HU_tpdCut*L140+HU_disCut*O140</f>
        <v/>
      </c>
      <c r="X140" s="29">
        <f>IF(OR(A140&lt;1,A140&gt;HU_T),0,V140*(1-W140))</f>
        <v/>
      </c>
      <c r="Y140" s="29">
        <f>IF(OR(A140&lt;1,A140&gt;HU_T),0,IF(AND(HU_retExp&gt;0,A140-1&gt;=HU_dtr),HU_retExp,HU_exp0)*R140)</f>
        <v/>
      </c>
      <c r="Z140" s="29">
        <f>-Y140-IF(AND(HU_wdOn,A140=HU_wdYear),HU_wdOut,0)</f>
        <v/>
      </c>
      <c r="AA140" s="29">
        <f>IF(OR(A140&lt;1,A140&gt;HU_T),0,-HU_medCost*R140*F140-HU_tpdCost*R140*M140)</f>
        <v/>
      </c>
      <c r="AB140" s="29">
        <f>IF(A140&gt;HU_T,0,AB139*(1+interestRate)+X140+Z140+AA140)</f>
        <v/>
      </c>
      <c r="AC140" s="29">
        <f>IF(A140&gt;HU_T,0,HU_inv*EXP(HU_mu*A140))</f>
        <v/>
      </c>
      <c r="AD140" s="29">
        <f>IF(A140&gt;HU_T,0,MAX(0,AC140+AB140))</f>
        <v/>
      </c>
      <c r="AE140" s="29">
        <f>IF(A140&gt;HU_T,0,MAX(0,X140-Y140))</f>
        <v/>
      </c>
      <c r="AF140" s="63">
        <f>IF(AND($J$6,A140&gt;=1,A140&lt;=$Q$6-1),J140,0)</f>
        <v/>
      </c>
      <c r="AG140" s="29">
        <f>IF(OR(AF140=0,$S$6=0),0,IF((AD140+$L$6)&gt;$S$6/HU_alpha+$K$6,0.5*$S$6/HU_alpha,IF((AD140+$L$6)&gt;=$K$6,((AD140+$L$6)-$K$6)-0.5*HU_alpha/$S$6*((AD140+$L$6)-$K$6)^2,IF((AD140+$L$6)&gt;=$T$6,HU_beta*((AD140+$L$6)-$K$6),HU_beta*($T$6-$K$6)))))</f>
        <v/>
      </c>
      <c r="AH140" s="29">
        <f>IF(OR(AF140=0,$S$6=0),0,IF((AD140+$L$6+$N$6)&gt;$S$6/HU_alpha+$K$6,0.5*$S$6/HU_alpha,IF((AD140+$L$6+$N$6)&gt;=$K$6,((AD140+$L$6+$N$6)-$K$6)-0.5*HU_alpha/$S$6*((AD140+$L$6+$N$6)-$K$6)^2,IF((AD140+$L$6+$N$6)&gt;=$T$6,HU_beta*((AD140+$L$6+$N$6)-$K$6),HU_beta*($T$6-$K$6)))))</f>
        <v/>
      </c>
      <c r="AI140" s="29">
        <f>IF(OR(AF140=0,$S$6=0),0,IF((AD140+$K$6)&gt;$S$6/HU_alpha+$K$6,0.5*$S$6/HU_alpha,IF((AD140+$K$6)&gt;=$K$6,((AD140+$K$6)-$K$6)-0.5*HU_alpha/$S$6*((AD140+$K$6)-$K$6)^2,IF((AD140+$K$6)&gt;=$T$6,HU_beta*((AD140+$K$6)-$K$6),HU_beta*($T$6-$K$6)))))</f>
        <v/>
      </c>
      <c r="AJ140" s="63">
        <f>IF(AND($J$7,A140&gt;=1,A140&lt;=$Q$7-1),J140,0)</f>
        <v/>
      </c>
      <c r="AK140" s="29">
        <f>IF(OR(AJ140=0,$S$7=0),0,IF((AE140+$L$7)&gt;$S$7/HU_alpha+$K$7,0.5*$S$7/HU_alpha,IF((AE140+$L$7)&gt;=$K$7,((AE140+$L$7)-$K$7)-0.5*HU_alpha/$S$7*((AE140+$L$7)-$K$7)^2,IF((AE140+$L$7)&gt;=$T$7,HU_beta*((AE140+$L$7)-$K$7),HU_beta*($T$7-$K$7)))))</f>
        <v/>
      </c>
      <c r="AL140" s="29">
        <f>IF(OR(AJ140=0,$S$7=0),0,IF((AE140+$L$7+$N$7)&gt;$S$7/HU_alpha+$K$7,0.5*$S$7/HU_alpha,IF((AE140+$L$7+$N$7)&gt;=$K$7,((AE140+$L$7+$N$7)-$K$7)-0.5*HU_alpha/$S$7*((AE140+$L$7+$N$7)-$K$7)^2,IF((AE140+$L$7+$N$7)&gt;=$T$7,HU_beta*((AE140+$L$7+$N$7)-$K$7),HU_beta*($T$7-$K$7)))))</f>
        <v/>
      </c>
      <c r="AM140" s="29">
        <f>IF(OR(AJ140=0,$S$7=0),0,IF((AE140+$K$7)&gt;$S$7/HU_alpha+$K$7,0.5*$S$7/HU_alpha,IF((AE140+$K$7)&gt;=$K$7,((AE140+$K$7)-$K$7)-0.5*HU_alpha/$S$7*((AE140+$K$7)-$K$7)^2,IF((AE140+$K$7)&gt;=$T$7,HU_beta*((AE140+$K$7)-$K$7),HU_beta*($T$7-$K$7)))))</f>
        <v/>
      </c>
      <c r="AN140" s="63">
        <f>IF(AND($J$8,A140&gt;=1,A140&lt;=$Q$8-1),J140,0)</f>
        <v/>
      </c>
      <c r="AO140" s="29">
        <f>IF(OR(AN140=0,$S$8=0),0,IF((AE140+$L$8)&gt;$S$8/HU_alpha+$K$8,0.5*$S$8/HU_alpha,IF((AE140+$L$8)&gt;=$K$8,((AE140+$L$8)-$K$8)-0.5*HU_alpha/$S$8*((AE140+$L$8)-$K$8)^2,IF((AE140+$L$8)&gt;=$T$8,HU_beta*((AE140+$L$8)-$K$8),HU_beta*($T$8-$K$8)))))</f>
        <v/>
      </c>
      <c r="AP140" s="29">
        <f>IF(OR(AN140=0,$S$8=0),0,IF((AE140+$L$8+$N$8)&gt;$S$8/HU_alpha+$K$8,0.5*$S$8/HU_alpha,IF((AE140+$L$8+$N$8)&gt;=$K$8,((AE140+$L$8+$N$8)-$K$8)-0.5*HU_alpha/$S$8*((AE140+$L$8+$N$8)-$K$8)^2,IF((AE140+$L$8+$N$8)&gt;=$T$8,HU_beta*((AE140+$L$8+$N$8)-$K$8),HU_beta*($T$8-$K$8)))))</f>
        <v/>
      </c>
      <c r="AQ140" s="29">
        <f>IF(OR(AN140=0,$S$8=0),0,IF((AE140+$K$8)&gt;$S$8/HU_alpha+$K$8,0.5*$S$8/HU_alpha,IF((AE140+$K$8)&gt;=$K$8,((AE140+$K$8)-$K$8)-0.5*HU_alpha/$S$8*((AE140+$K$8)-$K$8)^2,IF((AE140+$K$8)&gt;=$T$8,HU_beta*((AE140+$K$8)-$K$8),HU_beta*($T$8-$K$8)))))</f>
        <v/>
      </c>
      <c r="AR140" s="63">
        <f>IF(AND($J$9,A140&gt;=1,A140&lt;=$Q$9-1),J140,0)</f>
        <v/>
      </c>
      <c r="AS140" s="29">
        <f>IF(OR(AR140=0,$S$9=0),0,IF((AE140+$L$9)&gt;$S$9/HU_alpha+$K$9,0.5*$S$9/HU_alpha,IF((AE140+$L$9)&gt;=$K$9,((AE140+$L$9)-$K$9)-0.5*HU_alpha/$S$9*((AE140+$L$9)-$K$9)^2,IF((AE140+$L$9)&gt;=$T$9,HU_beta*((AE140+$L$9)-$K$9),HU_beta*($T$9-$K$9)))))</f>
        <v/>
      </c>
      <c r="AT140" s="29">
        <f>IF(OR(AR140=0,$S$9=0),0,IF((AE140+$L$9+$N$9)&gt;$S$9/HU_alpha+$K$9,0.5*$S$9/HU_alpha,IF((AE140+$L$9+$N$9)&gt;=$K$9,((AE140+$L$9+$N$9)-$K$9)-0.5*HU_alpha/$S$9*((AE140+$L$9+$N$9)-$K$9)^2,IF((AE140+$L$9+$N$9)&gt;=$T$9,HU_beta*((AE140+$L$9+$N$9)-$K$9),HU_beta*($T$9-$K$9)))))</f>
        <v/>
      </c>
      <c r="AU140" s="29">
        <f>IF(OR(AR140=0,$S$9=0),0,IF((AE140+$K$9)&gt;$S$9/HU_alpha+$K$9,0.5*$S$9/HU_alpha,IF((AE140+$K$9)&gt;=$K$9,((AE140+$K$9)-$K$9)-0.5*HU_alpha/$S$9*((AE140+$K$9)-$K$9)^2,IF((AE140+$K$9)&gt;=$T$9,HU_beta*((AE140+$K$9)-$K$9),HU_beta*($T$9-$K$9)))))</f>
        <v/>
      </c>
      <c r="AV140" s="63">
        <f>IF(AND($J$10,A140=$Q$10),J140,0)</f>
        <v/>
      </c>
      <c r="AW140" s="29">
        <f>IF(OR(AV140=0,$S$10=0),0,IF((AD140+$L$10)&gt;$S$10/HU_alpha+$K$10,0.5*$S$10/HU_alpha,IF((AD140+$L$10)&gt;=$K$10,((AD140+$L$10)-$K$10)-0.5*HU_alpha/$S$10*((AD140+$L$10)-$K$10)^2,IF((AD140+$L$10)&gt;=$T$10,HU_beta*((AD140+$L$10)-$K$10),HU_beta*($T$10-$K$10)))))</f>
        <v/>
      </c>
      <c r="AX140" s="29">
        <f>IF(OR(AV140=0,$S$10=0),0,IF((AD140+$L$10+$N$10)&gt;$S$10/HU_alpha+$K$10,0.5*$S$10/HU_alpha,IF((AD140+$L$10+$N$10)&gt;=$K$10,((AD140+$L$10+$N$10)-$K$10)-0.5*HU_alpha/$S$10*((AD140+$L$10+$N$10)-$K$10)^2,IF((AD140+$L$10+$N$10)&gt;=$T$10,HU_beta*((AD140+$L$10+$N$10)-$K$10),HU_beta*($T$10-$K$10)))))</f>
        <v/>
      </c>
      <c r="AY140" s="29">
        <f>IF(OR(AV140=0,$S$10=0),0,IF((AD140+$K$10)&gt;$S$10/HU_alpha+$K$10,0.5*$S$10/HU_alpha,IF((AD140+$K$10)&gt;=$K$10,((AD140+$K$10)-$K$10)-0.5*HU_alpha/$S$10*((AD140+$K$10)-$K$10)^2,IF((AD140+$K$10)&gt;=$T$10,HU_beta*((AD140+$K$10)-$K$10),HU_beta*($T$10-$K$10)))))</f>
        <v/>
      </c>
      <c r="AZ140" s="63">
        <f>IF(AND($J$11,A140=$Q$11),J140,0)</f>
        <v/>
      </c>
      <c r="BA140" s="29">
        <f>IF(OR(AZ140=0,$S$11=0),0,IF((AE140+$L$11)&gt;$S$11/HU_alpha+$K$11,0.5*$S$11/HU_alpha,IF((AE140+$L$11)&gt;=$K$11,((AE140+$L$11)-$K$11)-0.5*HU_alpha/$S$11*((AE140+$L$11)-$K$11)^2,IF((AE140+$L$11)&gt;=$T$11,HU_beta*((AE140+$L$11)-$K$11),HU_beta*($T$11-$K$11)))))</f>
        <v/>
      </c>
      <c r="BB140" s="29">
        <f>IF(OR(AZ140=0,$S$11=0),0,IF((AE140+$L$11+$N$11)&gt;$S$11/HU_alpha+$K$11,0.5*$S$11/HU_alpha,IF((AE140+$L$11+$N$11)&gt;=$K$11,((AE140+$L$11+$N$11)-$K$11)-0.5*HU_alpha/$S$11*((AE140+$L$11+$N$11)-$K$11)^2,IF((AE140+$L$11+$N$11)&gt;=$T$11,HU_beta*((AE140+$L$11+$N$11)-$K$11),HU_beta*($T$11-$K$11)))))</f>
        <v/>
      </c>
      <c r="BC140" s="29">
        <f>IF(OR(AZ140=0,$S$11=0),0,IF((AE140+$K$11)&gt;$S$11/HU_alpha+$K$11,0.5*$S$11/HU_alpha,IF((AE140+$K$11)&gt;=$K$11,((AE140+$K$11)-$K$11)-0.5*HU_alpha/$S$11*((AE140+$K$11)-$K$11)^2,IF((AE140+$K$11)&gt;=$T$11,HU_beta*((AE140+$K$11)-$K$11),HU_beta*($T$11-$K$11)))))</f>
        <v/>
      </c>
      <c r="BD140" s="63">
        <f>IF(AND($J$12,A140=$Q$12),J140,0)</f>
        <v/>
      </c>
      <c r="BE140" s="29">
        <f>IF(OR(BD140=0,$S$12=0),0,IF((AE140+$L$12)&gt;$S$12/HU_alpha+$K$12,0.5*$S$12/HU_alpha,IF((AE140+$L$12)&gt;=$K$12,((AE140+$L$12)-$K$12)-0.5*HU_alpha/$S$12*((AE140+$L$12)-$K$12)^2,IF((AE140+$L$12)&gt;=$T$12,HU_beta*((AE140+$L$12)-$K$12),HU_beta*($T$12-$K$12)))))</f>
        <v/>
      </c>
      <c r="BF140" s="29">
        <f>IF(OR(BD140=0,$S$12=0),0,IF((AE140+$L$12+$N$12)&gt;$S$12/HU_alpha+$K$12,0.5*$S$12/HU_alpha,IF((AE140+$L$12+$N$12)&gt;=$K$12,((AE140+$L$12+$N$12)-$K$12)-0.5*HU_alpha/$S$12*((AE140+$L$12+$N$12)-$K$12)^2,IF((AE140+$L$12+$N$12)&gt;=$T$12,HU_beta*((AE140+$L$12+$N$12)-$K$12),HU_beta*($T$12-$K$12)))))</f>
        <v/>
      </c>
      <c r="BG140" s="29">
        <f>IF(OR(BD140=0,$S$12=0),0,IF((AE140+$K$12)&gt;$S$12/HU_alpha+$K$12,0.5*$S$12/HU_alpha,IF((AE140+$K$12)&gt;=$K$12,((AE140+$K$12)-$K$12)-0.5*HU_alpha/$S$12*((AE140+$K$12)-$K$12)^2,IF((AE140+$K$12)&gt;=$T$12,HU_beta*((AE140+$K$12)-$K$12),HU_beta*($T$12-$K$12)))))</f>
        <v/>
      </c>
      <c r="BH140" s="63">
        <f>IF(AND($J$13,A140=$Q$13),J140,0)</f>
        <v/>
      </c>
      <c r="BI140" s="29">
        <f>IF(OR(BH140=0,$S$13=0),0,IF((AE140+$L$13)&gt;$S$13/HU_alpha+$K$13,0.5*$S$13/HU_alpha,IF((AE140+$L$13)&gt;=$K$13,((AE140+$L$13)-$K$13)-0.5*HU_alpha/$S$13*((AE140+$L$13)-$K$13)^2,IF((AE140+$L$13)&gt;=$T$13,HU_beta*((AE140+$L$13)-$K$13),HU_beta*($T$13-$K$13)))))</f>
        <v/>
      </c>
      <c r="BJ140" s="29">
        <f>IF(OR(BH140=0,$S$13=0),0,IF((AE140+$L$13+$N$13)&gt;$S$13/HU_alpha+$K$13,0.5*$S$13/HU_alpha,IF((AE140+$L$13+$N$13)&gt;=$K$13,((AE140+$L$13+$N$13)-$K$13)-0.5*HU_alpha/$S$13*((AE140+$L$13+$N$13)-$K$13)^2,IF((AE140+$L$13+$N$13)&gt;=$T$13,HU_beta*((AE140+$L$13+$N$13)-$K$13),HU_beta*($T$13-$K$13)))))</f>
        <v/>
      </c>
      <c r="BK140" s="29">
        <f>IF(OR(BH140=0,$S$13=0),0,IF((AE140+$K$13)&gt;$S$13/HU_alpha+$K$13,0.5*$S$13/HU_alpha,IF((AE140+$K$13)&gt;=$K$13,((AE140+$K$13)-$K$13)-0.5*HU_alpha/$S$13*((AE140+$K$13)-$K$13)^2,IF((AE140+$K$13)&gt;=$T$13,HU_beta*((AE140+$K$13)-$K$13),HU_beta*($T$13-$K$13)))))</f>
        <v/>
      </c>
    </row>
    <row r="141">
      <c r="A141" s="61" t="n">
        <v>73</v>
      </c>
      <c r="B141" s="61">
        <f>HU_age+A141</f>
        <v/>
      </c>
      <c r="C141" s="52">
        <f>A141&lt;=HU_T</f>
        <v/>
      </c>
      <c r="D141" s="63">
        <f>IF(OR(A141&lt;1,A141&gt;HU_T),0,INDEX(HU_q_mort,HU_age+A141-17,HU_col))</f>
        <v/>
      </c>
      <c r="E141" s="63">
        <f>IF(OR(A141&lt;1,A141&gt;HU_T),0,INDEX(HU_q_adb,HU_age+A141-17,HU_col))</f>
        <v/>
      </c>
      <c r="F141" s="63">
        <f>IF(OR(A141&lt;1,A141&gt;HU_T),0,INDEX(HU_q_morb,HU_age+A141-17,HU_col))</f>
        <v/>
      </c>
      <c r="G141" s="63">
        <f>IF(OR(A141&lt;1,A141&gt;HU_T),0,INDEX(HU_q_ptd,HU_age+A141-17,HU_col))</f>
        <v/>
      </c>
      <c r="H141" s="63">
        <f>IF(OR(A141&lt;1,A141&gt;HU_T),0,INDEX(HU_q_dis,HU_age+A141-17,HU_col))</f>
        <v/>
      </c>
      <c r="I141" s="63">
        <f>IF(A141&gt;HU_T,0,I140*(1-D141)*(1-E141))</f>
        <v/>
      </c>
      <c r="J141" s="63">
        <f>IF(A141&gt;=HU_T,0,N(I142))</f>
        <v/>
      </c>
      <c r="K141" s="63">
        <f>K140*(1-G141)</f>
        <v/>
      </c>
      <c r="L141" s="63">
        <f>1-K141</f>
        <v/>
      </c>
      <c r="M141" s="63">
        <f>K140*G141</f>
        <v/>
      </c>
      <c r="N141" s="63">
        <f>N140*(1-H141)</f>
        <v/>
      </c>
      <c r="O141" s="63">
        <f>1-N140</f>
        <v/>
      </c>
      <c r="P141" s="63">
        <f>P140*(1-F141)</f>
        <v/>
      </c>
      <c r="Q141" s="63">
        <f>1-P140/INDEX($P$68:$P$150,MAX(1,A141-HU_ciYears))</f>
        <v/>
      </c>
      <c r="R141" s="60">
        <f>(1+inflationRate)^A141</f>
        <v/>
      </c>
      <c r="S141" s="29">
        <f>IF(OR(OR(A141&lt;1,A141&gt;HU_T),A141-1&gt;=HU_dtr),0,HU_inc0*(1+incomeGrowthRate)^A141)</f>
        <v/>
      </c>
      <c r="T141" s="60">
        <f>IF(A141&gt;HU_T,T140,T140*(1+INDEX(HU_ssG,HU_age+A141-17)))</f>
        <v/>
      </c>
      <c r="U141" s="29">
        <f>IF(AND(HU_dtr&gt;=1,A141=HU_dtr,A141&lt;=HU_T),MIN(S141*INDEX(HU_ssC,HU_age+A141-17)/(1-INDEX(HU_ssC,HU_age+A141-17)),INDEX(HU_ssCap,HU_age+A141-17))*T141,0)</f>
        <v/>
      </c>
      <c r="V141" s="29">
        <f>S141+U141+IF(AND(HU_wdOn,A141=HU_wdYear),HU_wdIncome,0)</f>
        <v/>
      </c>
      <c r="W141" s="60">
        <f>HU_ciProp*Q141+HU_tpdCut*L141+HU_disCut*O141</f>
        <v/>
      </c>
      <c r="X141" s="29">
        <f>IF(OR(A141&lt;1,A141&gt;HU_T),0,V141*(1-W141))</f>
        <v/>
      </c>
      <c r="Y141" s="29">
        <f>IF(OR(A141&lt;1,A141&gt;HU_T),0,IF(AND(HU_retExp&gt;0,A141-1&gt;=HU_dtr),HU_retExp,HU_exp0)*R141)</f>
        <v/>
      </c>
      <c r="Z141" s="29">
        <f>-Y141-IF(AND(HU_wdOn,A141=HU_wdYear),HU_wdOut,0)</f>
        <v/>
      </c>
      <c r="AA141" s="29">
        <f>IF(OR(A141&lt;1,A141&gt;HU_T),0,-HU_medCost*R141*F141-HU_tpdCost*R141*M141)</f>
        <v/>
      </c>
      <c r="AB141" s="29">
        <f>IF(A141&gt;HU_T,0,AB140*(1+interestRate)+X141+Z141+AA141)</f>
        <v/>
      </c>
      <c r="AC141" s="29">
        <f>IF(A141&gt;HU_T,0,HU_inv*EXP(HU_mu*A141))</f>
        <v/>
      </c>
      <c r="AD141" s="29">
        <f>IF(A141&gt;HU_T,0,MAX(0,AC141+AB141))</f>
        <v/>
      </c>
      <c r="AE141" s="29">
        <f>IF(A141&gt;HU_T,0,MAX(0,X141-Y141))</f>
        <v/>
      </c>
      <c r="AF141" s="63">
        <f>IF(AND($J$6,A141&gt;=1,A141&lt;=$Q$6-1),J141,0)</f>
        <v/>
      </c>
      <c r="AG141" s="29">
        <f>IF(OR(AF141=0,$S$6=0),0,IF((AD141+$L$6)&gt;$S$6/HU_alpha+$K$6,0.5*$S$6/HU_alpha,IF((AD141+$L$6)&gt;=$K$6,((AD141+$L$6)-$K$6)-0.5*HU_alpha/$S$6*((AD141+$L$6)-$K$6)^2,IF((AD141+$L$6)&gt;=$T$6,HU_beta*((AD141+$L$6)-$K$6),HU_beta*($T$6-$K$6)))))</f>
        <v/>
      </c>
      <c r="AH141" s="29">
        <f>IF(OR(AF141=0,$S$6=0),0,IF((AD141+$L$6+$N$6)&gt;$S$6/HU_alpha+$K$6,0.5*$S$6/HU_alpha,IF((AD141+$L$6+$N$6)&gt;=$K$6,((AD141+$L$6+$N$6)-$K$6)-0.5*HU_alpha/$S$6*((AD141+$L$6+$N$6)-$K$6)^2,IF((AD141+$L$6+$N$6)&gt;=$T$6,HU_beta*((AD141+$L$6+$N$6)-$K$6),HU_beta*($T$6-$K$6)))))</f>
        <v/>
      </c>
      <c r="AI141" s="29">
        <f>IF(OR(AF141=0,$S$6=0),0,IF((AD141+$K$6)&gt;$S$6/HU_alpha+$K$6,0.5*$S$6/HU_alpha,IF((AD141+$K$6)&gt;=$K$6,((AD141+$K$6)-$K$6)-0.5*HU_alpha/$S$6*((AD141+$K$6)-$K$6)^2,IF((AD141+$K$6)&gt;=$T$6,HU_beta*((AD141+$K$6)-$K$6),HU_beta*($T$6-$K$6)))))</f>
        <v/>
      </c>
      <c r="AJ141" s="63">
        <f>IF(AND($J$7,A141&gt;=1,A141&lt;=$Q$7-1),J141,0)</f>
        <v/>
      </c>
      <c r="AK141" s="29">
        <f>IF(OR(AJ141=0,$S$7=0),0,IF((AE141+$L$7)&gt;$S$7/HU_alpha+$K$7,0.5*$S$7/HU_alpha,IF((AE141+$L$7)&gt;=$K$7,((AE141+$L$7)-$K$7)-0.5*HU_alpha/$S$7*((AE141+$L$7)-$K$7)^2,IF((AE141+$L$7)&gt;=$T$7,HU_beta*((AE141+$L$7)-$K$7),HU_beta*($T$7-$K$7)))))</f>
        <v/>
      </c>
      <c r="AL141" s="29">
        <f>IF(OR(AJ141=0,$S$7=0),0,IF((AE141+$L$7+$N$7)&gt;$S$7/HU_alpha+$K$7,0.5*$S$7/HU_alpha,IF((AE141+$L$7+$N$7)&gt;=$K$7,((AE141+$L$7+$N$7)-$K$7)-0.5*HU_alpha/$S$7*((AE141+$L$7+$N$7)-$K$7)^2,IF((AE141+$L$7+$N$7)&gt;=$T$7,HU_beta*((AE141+$L$7+$N$7)-$K$7),HU_beta*($T$7-$K$7)))))</f>
        <v/>
      </c>
      <c r="AM141" s="29">
        <f>IF(OR(AJ141=0,$S$7=0),0,IF((AE141+$K$7)&gt;$S$7/HU_alpha+$K$7,0.5*$S$7/HU_alpha,IF((AE141+$K$7)&gt;=$K$7,((AE141+$K$7)-$K$7)-0.5*HU_alpha/$S$7*((AE141+$K$7)-$K$7)^2,IF((AE141+$K$7)&gt;=$T$7,HU_beta*((AE141+$K$7)-$K$7),HU_beta*($T$7-$K$7)))))</f>
        <v/>
      </c>
      <c r="AN141" s="63">
        <f>IF(AND($J$8,A141&gt;=1,A141&lt;=$Q$8-1),J141,0)</f>
        <v/>
      </c>
      <c r="AO141" s="29">
        <f>IF(OR(AN141=0,$S$8=0),0,IF((AE141+$L$8)&gt;$S$8/HU_alpha+$K$8,0.5*$S$8/HU_alpha,IF((AE141+$L$8)&gt;=$K$8,((AE141+$L$8)-$K$8)-0.5*HU_alpha/$S$8*((AE141+$L$8)-$K$8)^2,IF((AE141+$L$8)&gt;=$T$8,HU_beta*((AE141+$L$8)-$K$8),HU_beta*($T$8-$K$8)))))</f>
        <v/>
      </c>
      <c r="AP141" s="29">
        <f>IF(OR(AN141=0,$S$8=0),0,IF((AE141+$L$8+$N$8)&gt;$S$8/HU_alpha+$K$8,0.5*$S$8/HU_alpha,IF((AE141+$L$8+$N$8)&gt;=$K$8,((AE141+$L$8+$N$8)-$K$8)-0.5*HU_alpha/$S$8*((AE141+$L$8+$N$8)-$K$8)^2,IF((AE141+$L$8+$N$8)&gt;=$T$8,HU_beta*((AE141+$L$8+$N$8)-$K$8),HU_beta*($T$8-$K$8)))))</f>
        <v/>
      </c>
      <c r="AQ141" s="29">
        <f>IF(OR(AN141=0,$S$8=0),0,IF((AE141+$K$8)&gt;$S$8/HU_alpha+$K$8,0.5*$S$8/HU_alpha,IF((AE141+$K$8)&gt;=$K$8,((AE141+$K$8)-$K$8)-0.5*HU_alpha/$S$8*((AE141+$K$8)-$K$8)^2,IF((AE141+$K$8)&gt;=$T$8,HU_beta*((AE141+$K$8)-$K$8),HU_beta*($T$8-$K$8)))))</f>
        <v/>
      </c>
      <c r="AR141" s="63">
        <f>IF(AND($J$9,A141&gt;=1,A141&lt;=$Q$9-1),J141,0)</f>
        <v/>
      </c>
      <c r="AS141" s="29">
        <f>IF(OR(AR141=0,$S$9=0),0,IF((AE141+$L$9)&gt;$S$9/HU_alpha+$K$9,0.5*$S$9/HU_alpha,IF((AE141+$L$9)&gt;=$K$9,((AE141+$L$9)-$K$9)-0.5*HU_alpha/$S$9*((AE141+$L$9)-$K$9)^2,IF((AE141+$L$9)&gt;=$T$9,HU_beta*((AE141+$L$9)-$K$9),HU_beta*($T$9-$K$9)))))</f>
        <v/>
      </c>
      <c r="AT141" s="29">
        <f>IF(OR(AR141=0,$S$9=0),0,IF((AE141+$L$9+$N$9)&gt;$S$9/HU_alpha+$K$9,0.5*$S$9/HU_alpha,IF((AE141+$L$9+$N$9)&gt;=$K$9,((AE141+$L$9+$N$9)-$K$9)-0.5*HU_alpha/$S$9*((AE141+$L$9+$N$9)-$K$9)^2,IF((AE141+$L$9+$N$9)&gt;=$T$9,HU_beta*((AE141+$L$9+$N$9)-$K$9),HU_beta*($T$9-$K$9)))))</f>
        <v/>
      </c>
      <c r="AU141" s="29">
        <f>IF(OR(AR141=0,$S$9=0),0,IF((AE141+$K$9)&gt;$S$9/HU_alpha+$K$9,0.5*$S$9/HU_alpha,IF((AE141+$K$9)&gt;=$K$9,((AE141+$K$9)-$K$9)-0.5*HU_alpha/$S$9*((AE141+$K$9)-$K$9)^2,IF((AE141+$K$9)&gt;=$T$9,HU_beta*((AE141+$K$9)-$K$9),HU_beta*($T$9-$K$9)))))</f>
        <v/>
      </c>
      <c r="AV141" s="63">
        <f>IF(AND($J$10,A141=$Q$10),J141,0)</f>
        <v/>
      </c>
      <c r="AW141" s="29">
        <f>IF(OR(AV141=0,$S$10=0),0,IF((AD141+$L$10)&gt;$S$10/HU_alpha+$K$10,0.5*$S$10/HU_alpha,IF((AD141+$L$10)&gt;=$K$10,((AD141+$L$10)-$K$10)-0.5*HU_alpha/$S$10*((AD141+$L$10)-$K$10)^2,IF((AD141+$L$10)&gt;=$T$10,HU_beta*((AD141+$L$10)-$K$10),HU_beta*($T$10-$K$10)))))</f>
        <v/>
      </c>
      <c r="AX141" s="29">
        <f>IF(OR(AV141=0,$S$10=0),0,IF((AD141+$L$10+$N$10)&gt;$S$10/HU_alpha+$K$10,0.5*$S$10/HU_alpha,IF((AD141+$L$10+$N$10)&gt;=$K$10,((AD141+$L$10+$N$10)-$K$10)-0.5*HU_alpha/$S$10*((AD141+$L$10+$N$10)-$K$10)^2,IF((AD141+$L$10+$N$10)&gt;=$T$10,HU_beta*((AD141+$L$10+$N$10)-$K$10),HU_beta*($T$10-$K$10)))))</f>
        <v/>
      </c>
      <c r="AY141" s="29">
        <f>IF(OR(AV141=0,$S$10=0),0,IF((AD141+$K$10)&gt;$S$10/HU_alpha+$K$10,0.5*$S$10/HU_alpha,IF((AD141+$K$10)&gt;=$K$10,((AD141+$K$10)-$K$10)-0.5*HU_alpha/$S$10*((AD141+$K$10)-$K$10)^2,IF((AD141+$K$10)&gt;=$T$10,HU_beta*((AD141+$K$10)-$K$10),HU_beta*($T$10-$K$10)))))</f>
        <v/>
      </c>
      <c r="AZ141" s="63">
        <f>IF(AND($J$11,A141=$Q$11),J141,0)</f>
        <v/>
      </c>
      <c r="BA141" s="29">
        <f>IF(OR(AZ141=0,$S$11=0),0,IF((AE141+$L$11)&gt;$S$11/HU_alpha+$K$11,0.5*$S$11/HU_alpha,IF((AE141+$L$11)&gt;=$K$11,((AE141+$L$11)-$K$11)-0.5*HU_alpha/$S$11*((AE141+$L$11)-$K$11)^2,IF((AE141+$L$11)&gt;=$T$11,HU_beta*((AE141+$L$11)-$K$11),HU_beta*($T$11-$K$11)))))</f>
        <v/>
      </c>
      <c r="BB141" s="29">
        <f>IF(OR(AZ141=0,$S$11=0),0,IF((AE141+$L$11+$N$11)&gt;$S$11/HU_alpha+$K$11,0.5*$S$11/HU_alpha,IF((AE141+$L$11+$N$11)&gt;=$K$11,((AE141+$L$11+$N$11)-$K$11)-0.5*HU_alpha/$S$11*((AE141+$L$11+$N$11)-$K$11)^2,IF((AE141+$L$11+$N$11)&gt;=$T$11,HU_beta*((AE141+$L$11+$N$11)-$K$11),HU_beta*($T$11-$K$11)))))</f>
        <v/>
      </c>
      <c r="BC141" s="29">
        <f>IF(OR(AZ141=0,$S$11=0),0,IF((AE141+$K$11)&gt;$S$11/HU_alpha+$K$11,0.5*$S$11/HU_alpha,IF((AE141+$K$11)&gt;=$K$11,((AE141+$K$11)-$K$11)-0.5*HU_alpha/$S$11*((AE141+$K$11)-$K$11)^2,IF((AE141+$K$11)&gt;=$T$11,HU_beta*((AE141+$K$11)-$K$11),HU_beta*($T$11-$K$11)))))</f>
        <v/>
      </c>
      <c r="BD141" s="63">
        <f>IF(AND($J$12,A141=$Q$12),J141,0)</f>
        <v/>
      </c>
      <c r="BE141" s="29">
        <f>IF(OR(BD141=0,$S$12=0),0,IF((AE141+$L$12)&gt;$S$12/HU_alpha+$K$12,0.5*$S$12/HU_alpha,IF((AE141+$L$12)&gt;=$K$12,((AE141+$L$12)-$K$12)-0.5*HU_alpha/$S$12*((AE141+$L$12)-$K$12)^2,IF((AE141+$L$12)&gt;=$T$12,HU_beta*((AE141+$L$12)-$K$12),HU_beta*($T$12-$K$12)))))</f>
        <v/>
      </c>
      <c r="BF141" s="29">
        <f>IF(OR(BD141=0,$S$12=0),0,IF((AE141+$L$12+$N$12)&gt;$S$12/HU_alpha+$K$12,0.5*$S$12/HU_alpha,IF((AE141+$L$12+$N$12)&gt;=$K$12,((AE141+$L$12+$N$12)-$K$12)-0.5*HU_alpha/$S$12*((AE141+$L$12+$N$12)-$K$12)^2,IF((AE141+$L$12+$N$12)&gt;=$T$12,HU_beta*((AE141+$L$12+$N$12)-$K$12),HU_beta*($T$12-$K$12)))))</f>
        <v/>
      </c>
      <c r="BG141" s="29">
        <f>IF(OR(BD141=0,$S$12=0),0,IF((AE141+$K$12)&gt;$S$12/HU_alpha+$K$12,0.5*$S$12/HU_alpha,IF((AE141+$K$12)&gt;=$K$12,((AE141+$K$12)-$K$12)-0.5*HU_alpha/$S$12*((AE141+$K$12)-$K$12)^2,IF((AE141+$K$12)&gt;=$T$12,HU_beta*((AE141+$K$12)-$K$12),HU_beta*($T$12-$K$12)))))</f>
        <v/>
      </c>
      <c r="BH141" s="63">
        <f>IF(AND($J$13,A141=$Q$13),J141,0)</f>
        <v/>
      </c>
      <c r="BI141" s="29">
        <f>IF(OR(BH141=0,$S$13=0),0,IF((AE141+$L$13)&gt;$S$13/HU_alpha+$K$13,0.5*$S$13/HU_alpha,IF((AE141+$L$13)&gt;=$K$13,((AE141+$L$13)-$K$13)-0.5*HU_alpha/$S$13*((AE141+$L$13)-$K$13)^2,IF((AE141+$L$13)&gt;=$T$13,HU_beta*((AE141+$L$13)-$K$13),HU_beta*($T$13-$K$13)))))</f>
        <v/>
      </c>
      <c r="BJ141" s="29">
        <f>IF(OR(BH141=0,$S$13=0),0,IF((AE141+$L$13+$N$13)&gt;$S$13/HU_alpha+$K$13,0.5*$S$13/HU_alpha,IF((AE141+$L$13+$N$13)&gt;=$K$13,((AE141+$L$13+$N$13)-$K$13)-0.5*HU_alpha/$S$13*((AE141+$L$13+$N$13)-$K$13)^2,IF((AE141+$L$13+$N$13)&gt;=$T$13,HU_beta*((AE141+$L$13+$N$13)-$K$13),HU_beta*($T$13-$K$13)))))</f>
        <v/>
      </c>
      <c r="BK141" s="29">
        <f>IF(OR(BH141=0,$S$13=0),0,IF((AE141+$K$13)&gt;$S$13/HU_alpha+$K$13,0.5*$S$13/HU_alpha,IF((AE141+$K$13)&gt;=$K$13,((AE141+$K$13)-$K$13)-0.5*HU_alpha/$S$13*((AE141+$K$13)-$K$13)^2,IF((AE141+$K$13)&gt;=$T$13,HU_beta*((AE141+$K$13)-$K$13),HU_beta*($T$13-$K$13)))))</f>
        <v/>
      </c>
    </row>
    <row r="142">
      <c r="A142" s="61" t="n">
        <v>74</v>
      </c>
      <c r="B142" s="61">
        <f>HU_age+A142</f>
        <v/>
      </c>
      <c r="C142" s="52">
        <f>A142&lt;=HU_T</f>
        <v/>
      </c>
      <c r="D142" s="63">
        <f>IF(OR(A142&lt;1,A142&gt;HU_T),0,INDEX(HU_q_mort,HU_age+A142-17,HU_col))</f>
        <v/>
      </c>
      <c r="E142" s="63">
        <f>IF(OR(A142&lt;1,A142&gt;HU_T),0,INDEX(HU_q_adb,HU_age+A142-17,HU_col))</f>
        <v/>
      </c>
      <c r="F142" s="63">
        <f>IF(OR(A142&lt;1,A142&gt;HU_T),0,INDEX(HU_q_morb,HU_age+A142-17,HU_col))</f>
        <v/>
      </c>
      <c r="G142" s="63">
        <f>IF(OR(A142&lt;1,A142&gt;HU_T),0,INDEX(HU_q_ptd,HU_age+A142-17,HU_col))</f>
        <v/>
      </c>
      <c r="H142" s="63">
        <f>IF(OR(A142&lt;1,A142&gt;HU_T),0,INDEX(HU_q_dis,HU_age+A142-17,HU_col))</f>
        <v/>
      </c>
      <c r="I142" s="63">
        <f>IF(A142&gt;HU_T,0,I141*(1-D142)*(1-E142))</f>
        <v/>
      </c>
      <c r="J142" s="63">
        <f>IF(A142&gt;=HU_T,0,N(I143))</f>
        <v/>
      </c>
      <c r="K142" s="63">
        <f>K141*(1-G142)</f>
        <v/>
      </c>
      <c r="L142" s="63">
        <f>1-K142</f>
        <v/>
      </c>
      <c r="M142" s="63">
        <f>K141*G142</f>
        <v/>
      </c>
      <c r="N142" s="63">
        <f>N141*(1-H142)</f>
        <v/>
      </c>
      <c r="O142" s="63">
        <f>1-N141</f>
        <v/>
      </c>
      <c r="P142" s="63">
        <f>P141*(1-F142)</f>
        <v/>
      </c>
      <c r="Q142" s="63">
        <f>1-P141/INDEX($P$68:$P$150,MAX(1,A142-HU_ciYears))</f>
        <v/>
      </c>
      <c r="R142" s="60">
        <f>(1+inflationRate)^A142</f>
        <v/>
      </c>
      <c r="S142" s="29">
        <f>IF(OR(OR(A142&lt;1,A142&gt;HU_T),A142-1&gt;=HU_dtr),0,HU_inc0*(1+incomeGrowthRate)^A142)</f>
        <v/>
      </c>
      <c r="T142" s="60">
        <f>IF(A142&gt;HU_T,T141,T141*(1+INDEX(HU_ssG,HU_age+A142-17)))</f>
        <v/>
      </c>
      <c r="U142" s="29">
        <f>IF(AND(HU_dtr&gt;=1,A142=HU_dtr,A142&lt;=HU_T),MIN(S142*INDEX(HU_ssC,HU_age+A142-17)/(1-INDEX(HU_ssC,HU_age+A142-17)),INDEX(HU_ssCap,HU_age+A142-17))*T142,0)</f>
        <v/>
      </c>
      <c r="V142" s="29">
        <f>S142+U142+IF(AND(HU_wdOn,A142=HU_wdYear),HU_wdIncome,0)</f>
        <v/>
      </c>
      <c r="W142" s="60">
        <f>HU_ciProp*Q142+HU_tpdCut*L142+HU_disCut*O142</f>
        <v/>
      </c>
      <c r="X142" s="29">
        <f>IF(OR(A142&lt;1,A142&gt;HU_T),0,V142*(1-W142))</f>
        <v/>
      </c>
      <c r="Y142" s="29">
        <f>IF(OR(A142&lt;1,A142&gt;HU_T),0,IF(AND(HU_retExp&gt;0,A142-1&gt;=HU_dtr),HU_retExp,HU_exp0)*R142)</f>
        <v/>
      </c>
      <c r="Z142" s="29">
        <f>-Y142-IF(AND(HU_wdOn,A142=HU_wdYear),HU_wdOut,0)</f>
        <v/>
      </c>
      <c r="AA142" s="29">
        <f>IF(OR(A142&lt;1,A142&gt;HU_T),0,-HU_medCost*R142*F142-HU_tpdCost*R142*M142)</f>
        <v/>
      </c>
      <c r="AB142" s="29">
        <f>IF(A142&gt;HU_T,0,AB141*(1+interestRate)+X142+Z142+AA142)</f>
        <v/>
      </c>
      <c r="AC142" s="29">
        <f>IF(A142&gt;HU_T,0,HU_inv*EXP(HU_mu*A142))</f>
        <v/>
      </c>
      <c r="AD142" s="29">
        <f>IF(A142&gt;HU_T,0,MAX(0,AC142+AB142))</f>
        <v/>
      </c>
      <c r="AE142" s="29">
        <f>IF(A142&gt;HU_T,0,MAX(0,X142-Y142))</f>
        <v/>
      </c>
      <c r="AF142" s="63">
        <f>IF(AND($J$6,A142&gt;=1,A142&lt;=$Q$6-1),J142,0)</f>
        <v/>
      </c>
      <c r="AG142" s="29">
        <f>IF(OR(AF142=0,$S$6=0),0,IF((AD142+$L$6)&gt;$S$6/HU_alpha+$K$6,0.5*$S$6/HU_alpha,IF((AD142+$L$6)&gt;=$K$6,((AD142+$L$6)-$K$6)-0.5*HU_alpha/$S$6*((AD142+$L$6)-$K$6)^2,IF((AD142+$L$6)&gt;=$T$6,HU_beta*((AD142+$L$6)-$K$6),HU_beta*($T$6-$K$6)))))</f>
        <v/>
      </c>
      <c r="AH142" s="29">
        <f>IF(OR(AF142=0,$S$6=0),0,IF((AD142+$L$6+$N$6)&gt;$S$6/HU_alpha+$K$6,0.5*$S$6/HU_alpha,IF((AD142+$L$6+$N$6)&gt;=$K$6,((AD142+$L$6+$N$6)-$K$6)-0.5*HU_alpha/$S$6*((AD142+$L$6+$N$6)-$K$6)^2,IF((AD142+$L$6+$N$6)&gt;=$T$6,HU_beta*((AD142+$L$6+$N$6)-$K$6),HU_beta*($T$6-$K$6)))))</f>
        <v/>
      </c>
      <c r="AI142" s="29">
        <f>IF(OR(AF142=0,$S$6=0),0,IF((AD142+$K$6)&gt;$S$6/HU_alpha+$K$6,0.5*$S$6/HU_alpha,IF((AD142+$K$6)&gt;=$K$6,((AD142+$K$6)-$K$6)-0.5*HU_alpha/$S$6*((AD142+$K$6)-$K$6)^2,IF((AD142+$K$6)&gt;=$T$6,HU_beta*((AD142+$K$6)-$K$6),HU_beta*($T$6-$K$6)))))</f>
        <v/>
      </c>
      <c r="AJ142" s="63">
        <f>IF(AND($J$7,A142&gt;=1,A142&lt;=$Q$7-1),J142,0)</f>
        <v/>
      </c>
      <c r="AK142" s="29">
        <f>IF(OR(AJ142=0,$S$7=0),0,IF((AE142+$L$7)&gt;$S$7/HU_alpha+$K$7,0.5*$S$7/HU_alpha,IF((AE142+$L$7)&gt;=$K$7,((AE142+$L$7)-$K$7)-0.5*HU_alpha/$S$7*((AE142+$L$7)-$K$7)^2,IF((AE142+$L$7)&gt;=$T$7,HU_beta*((AE142+$L$7)-$K$7),HU_beta*($T$7-$K$7)))))</f>
        <v/>
      </c>
      <c r="AL142" s="29">
        <f>IF(OR(AJ142=0,$S$7=0),0,IF((AE142+$L$7+$N$7)&gt;$S$7/HU_alpha+$K$7,0.5*$S$7/HU_alpha,IF((AE142+$L$7+$N$7)&gt;=$K$7,((AE142+$L$7+$N$7)-$K$7)-0.5*HU_alpha/$S$7*((AE142+$L$7+$N$7)-$K$7)^2,IF((AE142+$L$7+$N$7)&gt;=$T$7,HU_beta*((AE142+$L$7+$N$7)-$K$7),HU_beta*($T$7-$K$7)))))</f>
        <v/>
      </c>
      <c r="AM142" s="29">
        <f>IF(OR(AJ142=0,$S$7=0),0,IF((AE142+$K$7)&gt;$S$7/HU_alpha+$K$7,0.5*$S$7/HU_alpha,IF((AE142+$K$7)&gt;=$K$7,((AE142+$K$7)-$K$7)-0.5*HU_alpha/$S$7*((AE142+$K$7)-$K$7)^2,IF((AE142+$K$7)&gt;=$T$7,HU_beta*((AE142+$K$7)-$K$7),HU_beta*($T$7-$K$7)))))</f>
        <v/>
      </c>
      <c r="AN142" s="63">
        <f>IF(AND($J$8,A142&gt;=1,A142&lt;=$Q$8-1),J142,0)</f>
        <v/>
      </c>
      <c r="AO142" s="29">
        <f>IF(OR(AN142=0,$S$8=0),0,IF((AE142+$L$8)&gt;$S$8/HU_alpha+$K$8,0.5*$S$8/HU_alpha,IF((AE142+$L$8)&gt;=$K$8,((AE142+$L$8)-$K$8)-0.5*HU_alpha/$S$8*((AE142+$L$8)-$K$8)^2,IF((AE142+$L$8)&gt;=$T$8,HU_beta*((AE142+$L$8)-$K$8),HU_beta*($T$8-$K$8)))))</f>
        <v/>
      </c>
      <c r="AP142" s="29">
        <f>IF(OR(AN142=0,$S$8=0),0,IF((AE142+$L$8+$N$8)&gt;$S$8/HU_alpha+$K$8,0.5*$S$8/HU_alpha,IF((AE142+$L$8+$N$8)&gt;=$K$8,((AE142+$L$8+$N$8)-$K$8)-0.5*HU_alpha/$S$8*((AE142+$L$8+$N$8)-$K$8)^2,IF((AE142+$L$8+$N$8)&gt;=$T$8,HU_beta*((AE142+$L$8+$N$8)-$K$8),HU_beta*($T$8-$K$8)))))</f>
        <v/>
      </c>
      <c r="AQ142" s="29">
        <f>IF(OR(AN142=0,$S$8=0),0,IF((AE142+$K$8)&gt;$S$8/HU_alpha+$K$8,0.5*$S$8/HU_alpha,IF((AE142+$K$8)&gt;=$K$8,((AE142+$K$8)-$K$8)-0.5*HU_alpha/$S$8*((AE142+$K$8)-$K$8)^2,IF((AE142+$K$8)&gt;=$T$8,HU_beta*((AE142+$K$8)-$K$8),HU_beta*($T$8-$K$8)))))</f>
        <v/>
      </c>
      <c r="AR142" s="63">
        <f>IF(AND($J$9,A142&gt;=1,A142&lt;=$Q$9-1),J142,0)</f>
        <v/>
      </c>
      <c r="AS142" s="29">
        <f>IF(OR(AR142=0,$S$9=0),0,IF((AE142+$L$9)&gt;$S$9/HU_alpha+$K$9,0.5*$S$9/HU_alpha,IF((AE142+$L$9)&gt;=$K$9,((AE142+$L$9)-$K$9)-0.5*HU_alpha/$S$9*((AE142+$L$9)-$K$9)^2,IF((AE142+$L$9)&gt;=$T$9,HU_beta*((AE142+$L$9)-$K$9),HU_beta*($T$9-$K$9)))))</f>
        <v/>
      </c>
      <c r="AT142" s="29">
        <f>IF(OR(AR142=0,$S$9=0),0,IF((AE142+$L$9+$N$9)&gt;$S$9/HU_alpha+$K$9,0.5*$S$9/HU_alpha,IF((AE142+$L$9+$N$9)&gt;=$K$9,((AE142+$L$9+$N$9)-$K$9)-0.5*HU_alpha/$S$9*((AE142+$L$9+$N$9)-$K$9)^2,IF((AE142+$L$9+$N$9)&gt;=$T$9,HU_beta*((AE142+$L$9+$N$9)-$K$9),HU_beta*($T$9-$K$9)))))</f>
        <v/>
      </c>
      <c r="AU142" s="29">
        <f>IF(OR(AR142=0,$S$9=0),0,IF((AE142+$K$9)&gt;$S$9/HU_alpha+$K$9,0.5*$S$9/HU_alpha,IF((AE142+$K$9)&gt;=$K$9,((AE142+$K$9)-$K$9)-0.5*HU_alpha/$S$9*((AE142+$K$9)-$K$9)^2,IF((AE142+$K$9)&gt;=$T$9,HU_beta*((AE142+$K$9)-$K$9),HU_beta*($T$9-$K$9)))))</f>
        <v/>
      </c>
      <c r="AV142" s="63">
        <f>IF(AND($J$10,A142=$Q$10),J142,0)</f>
        <v/>
      </c>
      <c r="AW142" s="29">
        <f>IF(OR(AV142=0,$S$10=0),0,IF((AD142+$L$10)&gt;$S$10/HU_alpha+$K$10,0.5*$S$10/HU_alpha,IF((AD142+$L$10)&gt;=$K$10,((AD142+$L$10)-$K$10)-0.5*HU_alpha/$S$10*((AD142+$L$10)-$K$10)^2,IF((AD142+$L$10)&gt;=$T$10,HU_beta*((AD142+$L$10)-$K$10),HU_beta*($T$10-$K$10)))))</f>
        <v/>
      </c>
      <c r="AX142" s="29">
        <f>IF(OR(AV142=0,$S$10=0),0,IF((AD142+$L$10+$N$10)&gt;$S$10/HU_alpha+$K$10,0.5*$S$10/HU_alpha,IF((AD142+$L$10+$N$10)&gt;=$K$10,((AD142+$L$10+$N$10)-$K$10)-0.5*HU_alpha/$S$10*((AD142+$L$10+$N$10)-$K$10)^2,IF((AD142+$L$10+$N$10)&gt;=$T$10,HU_beta*((AD142+$L$10+$N$10)-$K$10),HU_beta*($T$10-$K$10)))))</f>
        <v/>
      </c>
      <c r="AY142" s="29">
        <f>IF(OR(AV142=0,$S$10=0),0,IF((AD142+$K$10)&gt;$S$10/HU_alpha+$K$10,0.5*$S$10/HU_alpha,IF((AD142+$K$10)&gt;=$K$10,((AD142+$K$10)-$K$10)-0.5*HU_alpha/$S$10*((AD142+$K$10)-$K$10)^2,IF((AD142+$K$10)&gt;=$T$10,HU_beta*((AD142+$K$10)-$K$10),HU_beta*($T$10-$K$10)))))</f>
        <v/>
      </c>
      <c r="AZ142" s="63">
        <f>IF(AND($J$11,A142=$Q$11),J142,0)</f>
        <v/>
      </c>
      <c r="BA142" s="29">
        <f>IF(OR(AZ142=0,$S$11=0),0,IF((AE142+$L$11)&gt;$S$11/HU_alpha+$K$11,0.5*$S$11/HU_alpha,IF((AE142+$L$11)&gt;=$K$11,((AE142+$L$11)-$K$11)-0.5*HU_alpha/$S$11*((AE142+$L$11)-$K$11)^2,IF((AE142+$L$11)&gt;=$T$11,HU_beta*((AE142+$L$11)-$K$11),HU_beta*($T$11-$K$11)))))</f>
        <v/>
      </c>
      <c r="BB142" s="29">
        <f>IF(OR(AZ142=0,$S$11=0),0,IF((AE142+$L$11+$N$11)&gt;$S$11/HU_alpha+$K$11,0.5*$S$11/HU_alpha,IF((AE142+$L$11+$N$11)&gt;=$K$11,((AE142+$L$11+$N$11)-$K$11)-0.5*HU_alpha/$S$11*((AE142+$L$11+$N$11)-$K$11)^2,IF((AE142+$L$11+$N$11)&gt;=$T$11,HU_beta*((AE142+$L$11+$N$11)-$K$11),HU_beta*($T$11-$K$11)))))</f>
        <v/>
      </c>
      <c r="BC142" s="29">
        <f>IF(OR(AZ142=0,$S$11=0),0,IF((AE142+$K$11)&gt;$S$11/HU_alpha+$K$11,0.5*$S$11/HU_alpha,IF((AE142+$K$11)&gt;=$K$11,((AE142+$K$11)-$K$11)-0.5*HU_alpha/$S$11*((AE142+$K$11)-$K$11)^2,IF((AE142+$K$11)&gt;=$T$11,HU_beta*((AE142+$K$11)-$K$11),HU_beta*($T$11-$K$11)))))</f>
        <v/>
      </c>
      <c r="BD142" s="63">
        <f>IF(AND($J$12,A142=$Q$12),J142,0)</f>
        <v/>
      </c>
      <c r="BE142" s="29">
        <f>IF(OR(BD142=0,$S$12=0),0,IF((AE142+$L$12)&gt;$S$12/HU_alpha+$K$12,0.5*$S$12/HU_alpha,IF((AE142+$L$12)&gt;=$K$12,((AE142+$L$12)-$K$12)-0.5*HU_alpha/$S$12*((AE142+$L$12)-$K$12)^2,IF((AE142+$L$12)&gt;=$T$12,HU_beta*((AE142+$L$12)-$K$12),HU_beta*($T$12-$K$12)))))</f>
        <v/>
      </c>
      <c r="BF142" s="29">
        <f>IF(OR(BD142=0,$S$12=0),0,IF((AE142+$L$12+$N$12)&gt;$S$12/HU_alpha+$K$12,0.5*$S$12/HU_alpha,IF((AE142+$L$12+$N$12)&gt;=$K$12,((AE142+$L$12+$N$12)-$K$12)-0.5*HU_alpha/$S$12*((AE142+$L$12+$N$12)-$K$12)^2,IF((AE142+$L$12+$N$12)&gt;=$T$12,HU_beta*((AE142+$L$12+$N$12)-$K$12),HU_beta*($T$12-$K$12)))))</f>
        <v/>
      </c>
      <c r="BG142" s="29">
        <f>IF(OR(BD142=0,$S$12=0),0,IF((AE142+$K$12)&gt;$S$12/HU_alpha+$K$12,0.5*$S$12/HU_alpha,IF((AE142+$K$12)&gt;=$K$12,((AE142+$K$12)-$K$12)-0.5*HU_alpha/$S$12*((AE142+$K$12)-$K$12)^2,IF((AE142+$K$12)&gt;=$T$12,HU_beta*((AE142+$K$12)-$K$12),HU_beta*($T$12-$K$12)))))</f>
        <v/>
      </c>
      <c r="BH142" s="63">
        <f>IF(AND($J$13,A142=$Q$13),J142,0)</f>
        <v/>
      </c>
      <c r="BI142" s="29">
        <f>IF(OR(BH142=0,$S$13=0),0,IF((AE142+$L$13)&gt;$S$13/HU_alpha+$K$13,0.5*$S$13/HU_alpha,IF((AE142+$L$13)&gt;=$K$13,((AE142+$L$13)-$K$13)-0.5*HU_alpha/$S$13*((AE142+$L$13)-$K$13)^2,IF((AE142+$L$13)&gt;=$T$13,HU_beta*((AE142+$L$13)-$K$13),HU_beta*($T$13-$K$13)))))</f>
        <v/>
      </c>
      <c r="BJ142" s="29">
        <f>IF(OR(BH142=0,$S$13=0),0,IF((AE142+$L$13+$N$13)&gt;$S$13/HU_alpha+$K$13,0.5*$S$13/HU_alpha,IF((AE142+$L$13+$N$13)&gt;=$K$13,((AE142+$L$13+$N$13)-$K$13)-0.5*HU_alpha/$S$13*((AE142+$L$13+$N$13)-$K$13)^2,IF((AE142+$L$13+$N$13)&gt;=$T$13,HU_beta*((AE142+$L$13+$N$13)-$K$13),HU_beta*($T$13-$K$13)))))</f>
        <v/>
      </c>
      <c r="BK142" s="29">
        <f>IF(OR(BH142=0,$S$13=0),0,IF((AE142+$K$13)&gt;$S$13/HU_alpha+$K$13,0.5*$S$13/HU_alpha,IF((AE142+$K$13)&gt;=$K$13,((AE142+$K$13)-$K$13)-0.5*HU_alpha/$S$13*((AE142+$K$13)-$K$13)^2,IF((AE142+$K$13)&gt;=$T$13,HU_beta*((AE142+$K$13)-$K$13),HU_beta*($T$13-$K$13)))))</f>
        <v/>
      </c>
    </row>
    <row r="143">
      <c r="A143" s="61" t="n">
        <v>75</v>
      </c>
      <c r="B143" s="61">
        <f>HU_age+A143</f>
        <v/>
      </c>
      <c r="C143" s="52">
        <f>A143&lt;=HU_T</f>
        <v/>
      </c>
      <c r="D143" s="63">
        <f>IF(OR(A143&lt;1,A143&gt;HU_T),0,INDEX(HU_q_mort,HU_age+A143-17,HU_col))</f>
        <v/>
      </c>
      <c r="E143" s="63">
        <f>IF(OR(A143&lt;1,A143&gt;HU_T),0,INDEX(HU_q_adb,HU_age+A143-17,HU_col))</f>
        <v/>
      </c>
      <c r="F143" s="63">
        <f>IF(OR(A143&lt;1,A143&gt;HU_T),0,INDEX(HU_q_morb,HU_age+A143-17,HU_col))</f>
        <v/>
      </c>
      <c r="G143" s="63">
        <f>IF(OR(A143&lt;1,A143&gt;HU_T),0,INDEX(HU_q_ptd,HU_age+A143-17,HU_col))</f>
        <v/>
      </c>
      <c r="H143" s="63">
        <f>IF(OR(A143&lt;1,A143&gt;HU_T),0,INDEX(HU_q_dis,HU_age+A143-17,HU_col))</f>
        <v/>
      </c>
      <c r="I143" s="63">
        <f>IF(A143&gt;HU_T,0,I142*(1-D143)*(1-E143))</f>
        <v/>
      </c>
      <c r="J143" s="63">
        <f>IF(A143&gt;=HU_T,0,N(I144))</f>
        <v/>
      </c>
      <c r="K143" s="63">
        <f>K142*(1-G143)</f>
        <v/>
      </c>
      <c r="L143" s="63">
        <f>1-K143</f>
        <v/>
      </c>
      <c r="M143" s="63">
        <f>K142*G143</f>
        <v/>
      </c>
      <c r="N143" s="63">
        <f>N142*(1-H143)</f>
        <v/>
      </c>
      <c r="O143" s="63">
        <f>1-N142</f>
        <v/>
      </c>
      <c r="P143" s="63">
        <f>P142*(1-F143)</f>
        <v/>
      </c>
      <c r="Q143" s="63">
        <f>1-P142/INDEX($P$68:$P$150,MAX(1,A143-HU_ciYears))</f>
        <v/>
      </c>
      <c r="R143" s="60">
        <f>(1+inflationRate)^A143</f>
        <v/>
      </c>
      <c r="S143" s="29">
        <f>IF(OR(OR(A143&lt;1,A143&gt;HU_T),A143-1&gt;=HU_dtr),0,HU_inc0*(1+incomeGrowthRate)^A143)</f>
        <v/>
      </c>
      <c r="T143" s="60">
        <f>IF(A143&gt;HU_T,T142,T142*(1+INDEX(HU_ssG,HU_age+A143-17)))</f>
        <v/>
      </c>
      <c r="U143" s="29">
        <f>IF(AND(HU_dtr&gt;=1,A143=HU_dtr,A143&lt;=HU_T),MIN(S143*INDEX(HU_ssC,HU_age+A143-17)/(1-INDEX(HU_ssC,HU_age+A143-17)),INDEX(HU_ssCap,HU_age+A143-17))*T143,0)</f>
        <v/>
      </c>
      <c r="V143" s="29">
        <f>S143+U143+IF(AND(HU_wdOn,A143=HU_wdYear),HU_wdIncome,0)</f>
        <v/>
      </c>
      <c r="W143" s="60">
        <f>HU_ciProp*Q143+HU_tpdCut*L143+HU_disCut*O143</f>
        <v/>
      </c>
      <c r="X143" s="29">
        <f>IF(OR(A143&lt;1,A143&gt;HU_T),0,V143*(1-W143))</f>
        <v/>
      </c>
      <c r="Y143" s="29">
        <f>IF(OR(A143&lt;1,A143&gt;HU_T),0,IF(AND(HU_retExp&gt;0,A143-1&gt;=HU_dtr),HU_retExp,HU_exp0)*R143)</f>
        <v/>
      </c>
      <c r="Z143" s="29">
        <f>-Y143-IF(AND(HU_wdOn,A143=HU_wdYear),HU_wdOut,0)</f>
        <v/>
      </c>
      <c r="AA143" s="29">
        <f>IF(OR(A143&lt;1,A143&gt;HU_T),0,-HU_medCost*R143*F143-HU_tpdCost*R143*M143)</f>
        <v/>
      </c>
      <c r="AB143" s="29">
        <f>IF(A143&gt;HU_T,0,AB142*(1+interestRate)+X143+Z143+AA143)</f>
        <v/>
      </c>
      <c r="AC143" s="29">
        <f>IF(A143&gt;HU_T,0,HU_inv*EXP(HU_mu*A143))</f>
        <v/>
      </c>
      <c r="AD143" s="29">
        <f>IF(A143&gt;HU_T,0,MAX(0,AC143+AB143))</f>
        <v/>
      </c>
      <c r="AE143" s="29">
        <f>IF(A143&gt;HU_T,0,MAX(0,X143-Y143))</f>
        <v/>
      </c>
      <c r="AF143" s="63">
        <f>IF(AND($J$6,A143&gt;=1,A143&lt;=$Q$6-1),J143,0)</f>
        <v/>
      </c>
      <c r="AG143" s="29">
        <f>IF(OR(AF143=0,$S$6=0),0,IF((AD143+$L$6)&gt;$S$6/HU_alpha+$K$6,0.5*$S$6/HU_alpha,IF((AD143+$L$6)&gt;=$K$6,((AD143+$L$6)-$K$6)-0.5*HU_alpha/$S$6*((AD143+$L$6)-$K$6)^2,IF((AD143+$L$6)&gt;=$T$6,HU_beta*((AD143+$L$6)-$K$6),HU_beta*($T$6-$K$6)))))</f>
        <v/>
      </c>
      <c r="AH143" s="29">
        <f>IF(OR(AF143=0,$S$6=0),0,IF((AD143+$L$6+$N$6)&gt;$S$6/HU_alpha+$K$6,0.5*$S$6/HU_alpha,IF((AD143+$L$6+$N$6)&gt;=$K$6,((AD143+$L$6+$N$6)-$K$6)-0.5*HU_alpha/$S$6*((AD143+$L$6+$N$6)-$K$6)^2,IF((AD143+$L$6+$N$6)&gt;=$T$6,HU_beta*((AD143+$L$6+$N$6)-$K$6),HU_beta*($T$6-$K$6)))))</f>
        <v/>
      </c>
      <c r="AI143" s="29">
        <f>IF(OR(AF143=0,$S$6=0),0,IF((AD143+$K$6)&gt;$S$6/HU_alpha+$K$6,0.5*$S$6/HU_alpha,IF((AD143+$K$6)&gt;=$K$6,((AD143+$K$6)-$K$6)-0.5*HU_alpha/$S$6*((AD143+$K$6)-$K$6)^2,IF((AD143+$K$6)&gt;=$T$6,HU_beta*((AD143+$K$6)-$K$6),HU_beta*($T$6-$K$6)))))</f>
        <v/>
      </c>
      <c r="AJ143" s="63">
        <f>IF(AND($J$7,A143&gt;=1,A143&lt;=$Q$7-1),J143,0)</f>
        <v/>
      </c>
      <c r="AK143" s="29">
        <f>IF(OR(AJ143=0,$S$7=0),0,IF((AE143+$L$7)&gt;$S$7/HU_alpha+$K$7,0.5*$S$7/HU_alpha,IF((AE143+$L$7)&gt;=$K$7,((AE143+$L$7)-$K$7)-0.5*HU_alpha/$S$7*((AE143+$L$7)-$K$7)^2,IF((AE143+$L$7)&gt;=$T$7,HU_beta*((AE143+$L$7)-$K$7),HU_beta*($T$7-$K$7)))))</f>
        <v/>
      </c>
      <c r="AL143" s="29">
        <f>IF(OR(AJ143=0,$S$7=0),0,IF((AE143+$L$7+$N$7)&gt;$S$7/HU_alpha+$K$7,0.5*$S$7/HU_alpha,IF((AE143+$L$7+$N$7)&gt;=$K$7,((AE143+$L$7+$N$7)-$K$7)-0.5*HU_alpha/$S$7*((AE143+$L$7+$N$7)-$K$7)^2,IF((AE143+$L$7+$N$7)&gt;=$T$7,HU_beta*((AE143+$L$7+$N$7)-$K$7),HU_beta*($T$7-$K$7)))))</f>
        <v/>
      </c>
      <c r="AM143" s="29">
        <f>IF(OR(AJ143=0,$S$7=0),0,IF((AE143+$K$7)&gt;$S$7/HU_alpha+$K$7,0.5*$S$7/HU_alpha,IF((AE143+$K$7)&gt;=$K$7,((AE143+$K$7)-$K$7)-0.5*HU_alpha/$S$7*((AE143+$K$7)-$K$7)^2,IF((AE143+$K$7)&gt;=$T$7,HU_beta*((AE143+$K$7)-$K$7),HU_beta*($T$7-$K$7)))))</f>
        <v/>
      </c>
      <c r="AN143" s="63">
        <f>IF(AND($J$8,A143&gt;=1,A143&lt;=$Q$8-1),J143,0)</f>
        <v/>
      </c>
      <c r="AO143" s="29">
        <f>IF(OR(AN143=0,$S$8=0),0,IF((AE143+$L$8)&gt;$S$8/HU_alpha+$K$8,0.5*$S$8/HU_alpha,IF((AE143+$L$8)&gt;=$K$8,((AE143+$L$8)-$K$8)-0.5*HU_alpha/$S$8*((AE143+$L$8)-$K$8)^2,IF((AE143+$L$8)&gt;=$T$8,HU_beta*((AE143+$L$8)-$K$8),HU_beta*($T$8-$K$8)))))</f>
        <v/>
      </c>
      <c r="AP143" s="29">
        <f>IF(OR(AN143=0,$S$8=0),0,IF((AE143+$L$8+$N$8)&gt;$S$8/HU_alpha+$K$8,0.5*$S$8/HU_alpha,IF((AE143+$L$8+$N$8)&gt;=$K$8,((AE143+$L$8+$N$8)-$K$8)-0.5*HU_alpha/$S$8*((AE143+$L$8+$N$8)-$K$8)^2,IF((AE143+$L$8+$N$8)&gt;=$T$8,HU_beta*((AE143+$L$8+$N$8)-$K$8),HU_beta*($T$8-$K$8)))))</f>
        <v/>
      </c>
      <c r="AQ143" s="29">
        <f>IF(OR(AN143=0,$S$8=0),0,IF((AE143+$K$8)&gt;$S$8/HU_alpha+$K$8,0.5*$S$8/HU_alpha,IF((AE143+$K$8)&gt;=$K$8,((AE143+$K$8)-$K$8)-0.5*HU_alpha/$S$8*((AE143+$K$8)-$K$8)^2,IF((AE143+$K$8)&gt;=$T$8,HU_beta*((AE143+$K$8)-$K$8),HU_beta*($T$8-$K$8)))))</f>
        <v/>
      </c>
      <c r="AR143" s="63">
        <f>IF(AND($J$9,A143&gt;=1,A143&lt;=$Q$9-1),J143,0)</f>
        <v/>
      </c>
      <c r="AS143" s="29">
        <f>IF(OR(AR143=0,$S$9=0),0,IF((AE143+$L$9)&gt;$S$9/HU_alpha+$K$9,0.5*$S$9/HU_alpha,IF((AE143+$L$9)&gt;=$K$9,((AE143+$L$9)-$K$9)-0.5*HU_alpha/$S$9*((AE143+$L$9)-$K$9)^2,IF((AE143+$L$9)&gt;=$T$9,HU_beta*((AE143+$L$9)-$K$9),HU_beta*($T$9-$K$9)))))</f>
        <v/>
      </c>
      <c r="AT143" s="29">
        <f>IF(OR(AR143=0,$S$9=0),0,IF((AE143+$L$9+$N$9)&gt;$S$9/HU_alpha+$K$9,0.5*$S$9/HU_alpha,IF((AE143+$L$9+$N$9)&gt;=$K$9,((AE143+$L$9+$N$9)-$K$9)-0.5*HU_alpha/$S$9*((AE143+$L$9+$N$9)-$K$9)^2,IF((AE143+$L$9+$N$9)&gt;=$T$9,HU_beta*((AE143+$L$9+$N$9)-$K$9),HU_beta*($T$9-$K$9)))))</f>
        <v/>
      </c>
      <c r="AU143" s="29">
        <f>IF(OR(AR143=0,$S$9=0),0,IF((AE143+$K$9)&gt;$S$9/HU_alpha+$K$9,0.5*$S$9/HU_alpha,IF((AE143+$K$9)&gt;=$K$9,((AE143+$K$9)-$K$9)-0.5*HU_alpha/$S$9*((AE143+$K$9)-$K$9)^2,IF((AE143+$K$9)&gt;=$T$9,HU_beta*((AE143+$K$9)-$K$9),HU_beta*($T$9-$K$9)))))</f>
        <v/>
      </c>
      <c r="AV143" s="63">
        <f>IF(AND($J$10,A143=$Q$10),J143,0)</f>
        <v/>
      </c>
      <c r="AW143" s="29">
        <f>IF(OR(AV143=0,$S$10=0),0,IF((AD143+$L$10)&gt;$S$10/HU_alpha+$K$10,0.5*$S$10/HU_alpha,IF((AD143+$L$10)&gt;=$K$10,((AD143+$L$10)-$K$10)-0.5*HU_alpha/$S$10*((AD143+$L$10)-$K$10)^2,IF((AD143+$L$10)&gt;=$T$10,HU_beta*((AD143+$L$10)-$K$10),HU_beta*($T$10-$K$10)))))</f>
        <v/>
      </c>
      <c r="AX143" s="29">
        <f>IF(OR(AV143=0,$S$10=0),0,IF((AD143+$L$10+$N$10)&gt;$S$10/HU_alpha+$K$10,0.5*$S$10/HU_alpha,IF((AD143+$L$10+$N$10)&gt;=$K$10,((AD143+$L$10+$N$10)-$K$10)-0.5*HU_alpha/$S$10*((AD143+$L$10+$N$10)-$K$10)^2,IF((AD143+$L$10+$N$10)&gt;=$T$10,HU_beta*((AD143+$L$10+$N$10)-$K$10),HU_beta*($T$10-$K$10)))))</f>
        <v/>
      </c>
      <c r="AY143" s="29">
        <f>IF(OR(AV143=0,$S$10=0),0,IF((AD143+$K$10)&gt;$S$10/HU_alpha+$K$10,0.5*$S$10/HU_alpha,IF((AD143+$K$10)&gt;=$K$10,((AD143+$K$10)-$K$10)-0.5*HU_alpha/$S$10*((AD143+$K$10)-$K$10)^2,IF((AD143+$K$10)&gt;=$T$10,HU_beta*((AD143+$K$10)-$K$10),HU_beta*($T$10-$K$10)))))</f>
        <v/>
      </c>
      <c r="AZ143" s="63">
        <f>IF(AND($J$11,A143=$Q$11),J143,0)</f>
        <v/>
      </c>
      <c r="BA143" s="29">
        <f>IF(OR(AZ143=0,$S$11=0),0,IF((AE143+$L$11)&gt;$S$11/HU_alpha+$K$11,0.5*$S$11/HU_alpha,IF((AE143+$L$11)&gt;=$K$11,((AE143+$L$11)-$K$11)-0.5*HU_alpha/$S$11*((AE143+$L$11)-$K$11)^2,IF((AE143+$L$11)&gt;=$T$11,HU_beta*((AE143+$L$11)-$K$11),HU_beta*($T$11-$K$11)))))</f>
        <v/>
      </c>
      <c r="BB143" s="29">
        <f>IF(OR(AZ143=0,$S$11=0),0,IF((AE143+$L$11+$N$11)&gt;$S$11/HU_alpha+$K$11,0.5*$S$11/HU_alpha,IF((AE143+$L$11+$N$11)&gt;=$K$11,((AE143+$L$11+$N$11)-$K$11)-0.5*HU_alpha/$S$11*((AE143+$L$11+$N$11)-$K$11)^2,IF((AE143+$L$11+$N$11)&gt;=$T$11,HU_beta*((AE143+$L$11+$N$11)-$K$11),HU_beta*($T$11-$K$11)))))</f>
        <v/>
      </c>
      <c r="BC143" s="29">
        <f>IF(OR(AZ143=0,$S$11=0),0,IF((AE143+$K$11)&gt;$S$11/HU_alpha+$K$11,0.5*$S$11/HU_alpha,IF((AE143+$K$11)&gt;=$K$11,((AE143+$K$11)-$K$11)-0.5*HU_alpha/$S$11*((AE143+$K$11)-$K$11)^2,IF((AE143+$K$11)&gt;=$T$11,HU_beta*((AE143+$K$11)-$K$11),HU_beta*($T$11-$K$11)))))</f>
        <v/>
      </c>
      <c r="BD143" s="63">
        <f>IF(AND($J$12,A143=$Q$12),J143,0)</f>
        <v/>
      </c>
      <c r="BE143" s="29">
        <f>IF(OR(BD143=0,$S$12=0),0,IF((AE143+$L$12)&gt;$S$12/HU_alpha+$K$12,0.5*$S$12/HU_alpha,IF((AE143+$L$12)&gt;=$K$12,((AE143+$L$12)-$K$12)-0.5*HU_alpha/$S$12*((AE143+$L$12)-$K$12)^2,IF((AE143+$L$12)&gt;=$T$12,HU_beta*((AE143+$L$12)-$K$12),HU_beta*($T$12-$K$12)))))</f>
        <v/>
      </c>
      <c r="BF143" s="29">
        <f>IF(OR(BD143=0,$S$12=0),0,IF((AE143+$L$12+$N$12)&gt;$S$12/HU_alpha+$K$12,0.5*$S$12/HU_alpha,IF((AE143+$L$12+$N$12)&gt;=$K$12,((AE143+$L$12+$N$12)-$K$12)-0.5*HU_alpha/$S$12*((AE143+$L$12+$N$12)-$K$12)^2,IF((AE143+$L$12+$N$12)&gt;=$T$12,HU_beta*((AE143+$L$12+$N$12)-$K$12),HU_beta*($T$12-$K$12)))))</f>
        <v/>
      </c>
      <c r="BG143" s="29">
        <f>IF(OR(BD143=0,$S$12=0),0,IF((AE143+$K$12)&gt;$S$12/HU_alpha+$K$12,0.5*$S$12/HU_alpha,IF((AE143+$K$12)&gt;=$K$12,((AE143+$K$12)-$K$12)-0.5*HU_alpha/$S$12*((AE143+$K$12)-$K$12)^2,IF((AE143+$K$12)&gt;=$T$12,HU_beta*((AE143+$K$12)-$K$12),HU_beta*($T$12-$K$12)))))</f>
        <v/>
      </c>
      <c r="BH143" s="63">
        <f>IF(AND($J$13,A143=$Q$13),J143,0)</f>
        <v/>
      </c>
      <c r="BI143" s="29">
        <f>IF(OR(BH143=0,$S$13=0),0,IF((AE143+$L$13)&gt;$S$13/HU_alpha+$K$13,0.5*$S$13/HU_alpha,IF((AE143+$L$13)&gt;=$K$13,((AE143+$L$13)-$K$13)-0.5*HU_alpha/$S$13*((AE143+$L$13)-$K$13)^2,IF((AE143+$L$13)&gt;=$T$13,HU_beta*((AE143+$L$13)-$K$13),HU_beta*($T$13-$K$13)))))</f>
        <v/>
      </c>
      <c r="BJ143" s="29">
        <f>IF(OR(BH143=0,$S$13=0),0,IF((AE143+$L$13+$N$13)&gt;$S$13/HU_alpha+$K$13,0.5*$S$13/HU_alpha,IF((AE143+$L$13+$N$13)&gt;=$K$13,((AE143+$L$13+$N$13)-$K$13)-0.5*HU_alpha/$S$13*((AE143+$L$13+$N$13)-$K$13)^2,IF((AE143+$L$13+$N$13)&gt;=$T$13,HU_beta*((AE143+$L$13+$N$13)-$K$13),HU_beta*($T$13-$K$13)))))</f>
        <v/>
      </c>
      <c r="BK143" s="29">
        <f>IF(OR(BH143=0,$S$13=0),0,IF((AE143+$K$13)&gt;$S$13/HU_alpha+$K$13,0.5*$S$13/HU_alpha,IF((AE143+$K$13)&gt;=$K$13,((AE143+$K$13)-$K$13)-0.5*HU_alpha/$S$13*((AE143+$K$13)-$K$13)^2,IF((AE143+$K$13)&gt;=$T$13,HU_beta*((AE143+$K$13)-$K$13),HU_beta*($T$13-$K$13)))))</f>
        <v/>
      </c>
    </row>
    <row r="144">
      <c r="A144" s="61" t="n">
        <v>76</v>
      </c>
      <c r="B144" s="61">
        <f>HU_age+A144</f>
        <v/>
      </c>
      <c r="C144" s="52">
        <f>A144&lt;=HU_T</f>
        <v/>
      </c>
      <c r="D144" s="63">
        <f>IF(OR(A144&lt;1,A144&gt;HU_T),0,INDEX(HU_q_mort,HU_age+A144-17,HU_col))</f>
        <v/>
      </c>
      <c r="E144" s="63">
        <f>IF(OR(A144&lt;1,A144&gt;HU_T),0,INDEX(HU_q_adb,HU_age+A144-17,HU_col))</f>
        <v/>
      </c>
      <c r="F144" s="63">
        <f>IF(OR(A144&lt;1,A144&gt;HU_T),0,INDEX(HU_q_morb,HU_age+A144-17,HU_col))</f>
        <v/>
      </c>
      <c r="G144" s="63">
        <f>IF(OR(A144&lt;1,A144&gt;HU_T),0,INDEX(HU_q_ptd,HU_age+A144-17,HU_col))</f>
        <v/>
      </c>
      <c r="H144" s="63">
        <f>IF(OR(A144&lt;1,A144&gt;HU_T),0,INDEX(HU_q_dis,HU_age+A144-17,HU_col))</f>
        <v/>
      </c>
      <c r="I144" s="63">
        <f>IF(A144&gt;HU_T,0,I143*(1-D144)*(1-E144))</f>
        <v/>
      </c>
      <c r="J144" s="63">
        <f>IF(A144&gt;=HU_T,0,N(I145))</f>
        <v/>
      </c>
      <c r="K144" s="63">
        <f>K143*(1-G144)</f>
        <v/>
      </c>
      <c r="L144" s="63">
        <f>1-K144</f>
        <v/>
      </c>
      <c r="M144" s="63">
        <f>K143*G144</f>
        <v/>
      </c>
      <c r="N144" s="63">
        <f>N143*(1-H144)</f>
        <v/>
      </c>
      <c r="O144" s="63">
        <f>1-N143</f>
        <v/>
      </c>
      <c r="P144" s="63">
        <f>P143*(1-F144)</f>
        <v/>
      </c>
      <c r="Q144" s="63">
        <f>1-P143/INDEX($P$68:$P$150,MAX(1,A144-HU_ciYears))</f>
        <v/>
      </c>
      <c r="R144" s="60">
        <f>(1+inflationRate)^A144</f>
        <v/>
      </c>
      <c r="S144" s="29">
        <f>IF(OR(OR(A144&lt;1,A144&gt;HU_T),A144-1&gt;=HU_dtr),0,HU_inc0*(1+incomeGrowthRate)^A144)</f>
        <v/>
      </c>
      <c r="T144" s="60">
        <f>IF(A144&gt;HU_T,T143,T143*(1+INDEX(HU_ssG,HU_age+A144-17)))</f>
        <v/>
      </c>
      <c r="U144" s="29">
        <f>IF(AND(HU_dtr&gt;=1,A144=HU_dtr,A144&lt;=HU_T),MIN(S144*INDEX(HU_ssC,HU_age+A144-17)/(1-INDEX(HU_ssC,HU_age+A144-17)),INDEX(HU_ssCap,HU_age+A144-17))*T144,0)</f>
        <v/>
      </c>
      <c r="V144" s="29">
        <f>S144+U144+IF(AND(HU_wdOn,A144=HU_wdYear),HU_wdIncome,0)</f>
        <v/>
      </c>
      <c r="W144" s="60">
        <f>HU_ciProp*Q144+HU_tpdCut*L144+HU_disCut*O144</f>
        <v/>
      </c>
      <c r="X144" s="29">
        <f>IF(OR(A144&lt;1,A144&gt;HU_T),0,V144*(1-W144))</f>
        <v/>
      </c>
      <c r="Y144" s="29">
        <f>IF(OR(A144&lt;1,A144&gt;HU_T),0,IF(AND(HU_retExp&gt;0,A144-1&gt;=HU_dtr),HU_retExp,HU_exp0)*R144)</f>
        <v/>
      </c>
      <c r="Z144" s="29">
        <f>-Y144-IF(AND(HU_wdOn,A144=HU_wdYear),HU_wdOut,0)</f>
        <v/>
      </c>
      <c r="AA144" s="29">
        <f>IF(OR(A144&lt;1,A144&gt;HU_T),0,-HU_medCost*R144*F144-HU_tpdCost*R144*M144)</f>
        <v/>
      </c>
      <c r="AB144" s="29">
        <f>IF(A144&gt;HU_T,0,AB143*(1+interestRate)+X144+Z144+AA144)</f>
        <v/>
      </c>
      <c r="AC144" s="29">
        <f>IF(A144&gt;HU_T,0,HU_inv*EXP(HU_mu*A144))</f>
        <v/>
      </c>
      <c r="AD144" s="29">
        <f>IF(A144&gt;HU_T,0,MAX(0,AC144+AB144))</f>
        <v/>
      </c>
      <c r="AE144" s="29">
        <f>IF(A144&gt;HU_T,0,MAX(0,X144-Y144))</f>
        <v/>
      </c>
      <c r="AF144" s="63">
        <f>IF(AND($J$6,A144&gt;=1,A144&lt;=$Q$6-1),J144,0)</f>
        <v/>
      </c>
      <c r="AG144" s="29">
        <f>IF(OR(AF144=0,$S$6=0),0,IF((AD144+$L$6)&gt;$S$6/HU_alpha+$K$6,0.5*$S$6/HU_alpha,IF((AD144+$L$6)&gt;=$K$6,((AD144+$L$6)-$K$6)-0.5*HU_alpha/$S$6*((AD144+$L$6)-$K$6)^2,IF((AD144+$L$6)&gt;=$T$6,HU_beta*((AD144+$L$6)-$K$6),HU_beta*($T$6-$K$6)))))</f>
        <v/>
      </c>
      <c r="AH144" s="29">
        <f>IF(OR(AF144=0,$S$6=0),0,IF((AD144+$L$6+$N$6)&gt;$S$6/HU_alpha+$K$6,0.5*$S$6/HU_alpha,IF((AD144+$L$6+$N$6)&gt;=$K$6,((AD144+$L$6+$N$6)-$K$6)-0.5*HU_alpha/$S$6*((AD144+$L$6+$N$6)-$K$6)^2,IF((AD144+$L$6+$N$6)&gt;=$T$6,HU_beta*((AD144+$L$6+$N$6)-$K$6),HU_beta*($T$6-$K$6)))))</f>
        <v/>
      </c>
      <c r="AI144" s="29">
        <f>IF(OR(AF144=0,$S$6=0),0,IF((AD144+$K$6)&gt;$S$6/HU_alpha+$K$6,0.5*$S$6/HU_alpha,IF((AD144+$K$6)&gt;=$K$6,((AD144+$K$6)-$K$6)-0.5*HU_alpha/$S$6*((AD144+$K$6)-$K$6)^2,IF((AD144+$K$6)&gt;=$T$6,HU_beta*((AD144+$K$6)-$K$6),HU_beta*($T$6-$K$6)))))</f>
        <v/>
      </c>
      <c r="AJ144" s="63">
        <f>IF(AND($J$7,A144&gt;=1,A144&lt;=$Q$7-1),J144,0)</f>
        <v/>
      </c>
      <c r="AK144" s="29">
        <f>IF(OR(AJ144=0,$S$7=0),0,IF((AE144+$L$7)&gt;$S$7/HU_alpha+$K$7,0.5*$S$7/HU_alpha,IF((AE144+$L$7)&gt;=$K$7,((AE144+$L$7)-$K$7)-0.5*HU_alpha/$S$7*((AE144+$L$7)-$K$7)^2,IF((AE144+$L$7)&gt;=$T$7,HU_beta*((AE144+$L$7)-$K$7),HU_beta*($T$7-$K$7)))))</f>
        <v/>
      </c>
      <c r="AL144" s="29">
        <f>IF(OR(AJ144=0,$S$7=0),0,IF((AE144+$L$7+$N$7)&gt;$S$7/HU_alpha+$K$7,0.5*$S$7/HU_alpha,IF((AE144+$L$7+$N$7)&gt;=$K$7,((AE144+$L$7+$N$7)-$K$7)-0.5*HU_alpha/$S$7*((AE144+$L$7+$N$7)-$K$7)^2,IF((AE144+$L$7+$N$7)&gt;=$T$7,HU_beta*((AE144+$L$7+$N$7)-$K$7),HU_beta*($T$7-$K$7)))))</f>
        <v/>
      </c>
      <c r="AM144" s="29">
        <f>IF(OR(AJ144=0,$S$7=0),0,IF((AE144+$K$7)&gt;$S$7/HU_alpha+$K$7,0.5*$S$7/HU_alpha,IF((AE144+$K$7)&gt;=$K$7,((AE144+$K$7)-$K$7)-0.5*HU_alpha/$S$7*((AE144+$K$7)-$K$7)^2,IF((AE144+$K$7)&gt;=$T$7,HU_beta*((AE144+$K$7)-$K$7),HU_beta*($T$7-$K$7)))))</f>
        <v/>
      </c>
      <c r="AN144" s="63">
        <f>IF(AND($J$8,A144&gt;=1,A144&lt;=$Q$8-1),J144,0)</f>
        <v/>
      </c>
      <c r="AO144" s="29">
        <f>IF(OR(AN144=0,$S$8=0),0,IF((AE144+$L$8)&gt;$S$8/HU_alpha+$K$8,0.5*$S$8/HU_alpha,IF((AE144+$L$8)&gt;=$K$8,((AE144+$L$8)-$K$8)-0.5*HU_alpha/$S$8*((AE144+$L$8)-$K$8)^2,IF((AE144+$L$8)&gt;=$T$8,HU_beta*((AE144+$L$8)-$K$8),HU_beta*($T$8-$K$8)))))</f>
        <v/>
      </c>
      <c r="AP144" s="29">
        <f>IF(OR(AN144=0,$S$8=0),0,IF((AE144+$L$8+$N$8)&gt;$S$8/HU_alpha+$K$8,0.5*$S$8/HU_alpha,IF((AE144+$L$8+$N$8)&gt;=$K$8,((AE144+$L$8+$N$8)-$K$8)-0.5*HU_alpha/$S$8*((AE144+$L$8+$N$8)-$K$8)^2,IF((AE144+$L$8+$N$8)&gt;=$T$8,HU_beta*((AE144+$L$8+$N$8)-$K$8),HU_beta*($T$8-$K$8)))))</f>
        <v/>
      </c>
      <c r="AQ144" s="29">
        <f>IF(OR(AN144=0,$S$8=0),0,IF((AE144+$K$8)&gt;$S$8/HU_alpha+$K$8,0.5*$S$8/HU_alpha,IF((AE144+$K$8)&gt;=$K$8,((AE144+$K$8)-$K$8)-0.5*HU_alpha/$S$8*((AE144+$K$8)-$K$8)^2,IF((AE144+$K$8)&gt;=$T$8,HU_beta*((AE144+$K$8)-$K$8),HU_beta*($T$8-$K$8)))))</f>
        <v/>
      </c>
      <c r="AR144" s="63">
        <f>IF(AND($J$9,A144&gt;=1,A144&lt;=$Q$9-1),J144,0)</f>
        <v/>
      </c>
      <c r="AS144" s="29">
        <f>IF(OR(AR144=0,$S$9=0),0,IF((AE144+$L$9)&gt;$S$9/HU_alpha+$K$9,0.5*$S$9/HU_alpha,IF((AE144+$L$9)&gt;=$K$9,((AE144+$L$9)-$K$9)-0.5*HU_alpha/$S$9*((AE144+$L$9)-$K$9)^2,IF((AE144+$L$9)&gt;=$T$9,HU_beta*((AE144+$L$9)-$K$9),HU_beta*($T$9-$K$9)))))</f>
        <v/>
      </c>
      <c r="AT144" s="29">
        <f>IF(OR(AR144=0,$S$9=0),0,IF((AE144+$L$9+$N$9)&gt;$S$9/HU_alpha+$K$9,0.5*$S$9/HU_alpha,IF((AE144+$L$9+$N$9)&gt;=$K$9,((AE144+$L$9+$N$9)-$K$9)-0.5*HU_alpha/$S$9*((AE144+$L$9+$N$9)-$K$9)^2,IF((AE144+$L$9+$N$9)&gt;=$T$9,HU_beta*((AE144+$L$9+$N$9)-$K$9),HU_beta*($T$9-$K$9)))))</f>
        <v/>
      </c>
      <c r="AU144" s="29">
        <f>IF(OR(AR144=0,$S$9=0),0,IF((AE144+$K$9)&gt;$S$9/HU_alpha+$K$9,0.5*$S$9/HU_alpha,IF((AE144+$K$9)&gt;=$K$9,((AE144+$K$9)-$K$9)-0.5*HU_alpha/$S$9*((AE144+$K$9)-$K$9)^2,IF((AE144+$K$9)&gt;=$T$9,HU_beta*((AE144+$K$9)-$K$9),HU_beta*($T$9-$K$9)))))</f>
        <v/>
      </c>
      <c r="AV144" s="63">
        <f>IF(AND($J$10,A144=$Q$10),J144,0)</f>
        <v/>
      </c>
      <c r="AW144" s="29">
        <f>IF(OR(AV144=0,$S$10=0),0,IF((AD144+$L$10)&gt;$S$10/HU_alpha+$K$10,0.5*$S$10/HU_alpha,IF((AD144+$L$10)&gt;=$K$10,((AD144+$L$10)-$K$10)-0.5*HU_alpha/$S$10*((AD144+$L$10)-$K$10)^2,IF((AD144+$L$10)&gt;=$T$10,HU_beta*((AD144+$L$10)-$K$10),HU_beta*($T$10-$K$10)))))</f>
        <v/>
      </c>
      <c r="AX144" s="29">
        <f>IF(OR(AV144=0,$S$10=0),0,IF((AD144+$L$10+$N$10)&gt;$S$10/HU_alpha+$K$10,0.5*$S$10/HU_alpha,IF((AD144+$L$10+$N$10)&gt;=$K$10,((AD144+$L$10+$N$10)-$K$10)-0.5*HU_alpha/$S$10*((AD144+$L$10+$N$10)-$K$10)^2,IF((AD144+$L$10+$N$10)&gt;=$T$10,HU_beta*((AD144+$L$10+$N$10)-$K$10),HU_beta*($T$10-$K$10)))))</f>
        <v/>
      </c>
      <c r="AY144" s="29">
        <f>IF(OR(AV144=0,$S$10=0),0,IF((AD144+$K$10)&gt;$S$10/HU_alpha+$K$10,0.5*$S$10/HU_alpha,IF((AD144+$K$10)&gt;=$K$10,((AD144+$K$10)-$K$10)-0.5*HU_alpha/$S$10*((AD144+$K$10)-$K$10)^2,IF((AD144+$K$10)&gt;=$T$10,HU_beta*((AD144+$K$10)-$K$10),HU_beta*($T$10-$K$10)))))</f>
        <v/>
      </c>
      <c r="AZ144" s="63">
        <f>IF(AND($J$11,A144=$Q$11),J144,0)</f>
        <v/>
      </c>
      <c r="BA144" s="29">
        <f>IF(OR(AZ144=0,$S$11=0),0,IF((AE144+$L$11)&gt;$S$11/HU_alpha+$K$11,0.5*$S$11/HU_alpha,IF((AE144+$L$11)&gt;=$K$11,((AE144+$L$11)-$K$11)-0.5*HU_alpha/$S$11*((AE144+$L$11)-$K$11)^2,IF((AE144+$L$11)&gt;=$T$11,HU_beta*((AE144+$L$11)-$K$11),HU_beta*($T$11-$K$11)))))</f>
        <v/>
      </c>
      <c r="BB144" s="29">
        <f>IF(OR(AZ144=0,$S$11=0),0,IF((AE144+$L$11+$N$11)&gt;$S$11/HU_alpha+$K$11,0.5*$S$11/HU_alpha,IF((AE144+$L$11+$N$11)&gt;=$K$11,((AE144+$L$11+$N$11)-$K$11)-0.5*HU_alpha/$S$11*((AE144+$L$11+$N$11)-$K$11)^2,IF((AE144+$L$11+$N$11)&gt;=$T$11,HU_beta*((AE144+$L$11+$N$11)-$K$11),HU_beta*($T$11-$K$11)))))</f>
        <v/>
      </c>
      <c r="BC144" s="29">
        <f>IF(OR(AZ144=0,$S$11=0),0,IF((AE144+$K$11)&gt;$S$11/HU_alpha+$K$11,0.5*$S$11/HU_alpha,IF((AE144+$K$11)&gt;=$K$11,((AE144+$K$11)-$K$11)-0.5*HU_alpha/$S$11*((AE144+$K$11)-$K$11)^2,IF((AE144+$K$11)&gt;=$T$11,HU_beta*((AE144+$K$11)-$K$11),HU_beta*($T$11-$K$11)))))</f>
        <v/>
      </c>
      <c r="BD144" s="63">
        <f>IF(AND($J$12,A144=$Q$12),J144,0)</f>
        <v/>
      </c>
      <c r="BE144" s="29">
        <f>IF(OR(BD144=0,$S$12=0),0,IF((AE144+$L$12)&gt;$S$12/HU_alpha+$K$12,0.5*$S$12/HU_alpha,IF((AE144+$L$12)&gt;=$K$12,((AE144+$L$12)-$K$12)-0.5*HU_alpha/$S$12*((AE144+$L$12)-$K$12)^2,IF((AE144+$L$12)&gt;=$T$12,HU_beta*((AE144+$L$12)-$K$12),HU_beta*($T$12-$K$12)))))</f>
        <v/>
      </c>
      <c r="BF144" s="29">
        <f>IF(OR(BD144=0,$S$12=0),0,IF((AE144+$L$12+$N$12)&gt;$S$12/HU_alpha+$K$12,0.5*$S$12/HU_alpha,IF((AE144+$L$12+$N$12)&gt;=$K$12,((AE144+$L$12+$N$12)-$K$12)-0.5*HU_alpha/$S$12*((AE144+$L$12+$N$12)-$K$12)^2,IF((AE144+$L$12+$N$12)&gt;=$T$12,HU_beta*((AE144+$L$12+$N$12)-$K$12),HU_beta*($T$12-$K$12)))))</f>
        <v/>
      </c>
      <c r="BG144" s="29">
        <f>IF(OR(BD144=0,$S$12=0),0,IF((AE144+$K$12)&gt;$S$12/HU_alpha+$K$12,0.5*$S$12/HU_alpha,IF((AE144+$K$12)&gt;=$K$12,((AE144+$K$12)-$K$12)-0.5*HU_alpha/$S$12*((AE144+$K$12)-$K$12)^2,IF((AE144+$K$12)&gt;=$T$12,HU_beta*((AE144+$K$12)-$K$12),HU_beta*($T$12-$K$12)))))</f>
        <v/>
      </c>
      <c r="BH144" s="63">
        <f>IF(AND($J$13,A144=$Q$13),J144,0)</f>
        <v/>
      </c>
      <c r="BI144" s="29">
        <f>IF(OR(BH144=0,$S$13=0),0,IF((AE144+$L$13)&gt;$S$13/HU_alpha+$K$13,0.5*$S$13/HU_alpha,IF((AE144+$L$13)&gt;=$K$13,((AE144+$L$13)-$K$13)-0.5*HU_alpha/$S$13*((AE144+$L$13)-$K$13)^2,IF((AE144+$L$13)&gt;=$T$13,HU_beta*((AE144+$L$13)-$K$13),HU_beta*($T$13-$K$13)))))</f>
        <v/>
      </c>
      <c r="BJ144" s="29">
        <f>IF(OR(BH144=0,$S$13=0),0,IF((AE144+$L$13+$N$13)&gt;$S$13/HU_alpha+$K$13,0.5*$S$13/HU_alpha,IF((AE144+$L$13+$N$13)&gt;=$K$13,((AE144+$L$13+$N$13)-$K$13)-0.5*HU_alpha/$S$13*((AE144+$L$13+$N$13)-$K$13)^2,IF((AE144+$L$13+$N$13)&gt;=$T$13,HU_beta*((AE144+$L$13+$N$13)-$K$13),HU_beta*($T$13-$K$13)))))</f>
        <v/>
      </c>
      <c r="BK144" s="29">
        <f>IF(OR(BH144=0,$S$13=0),0,IF((AE144+$K$13)&gt;$S$13/HU_alpha+$K$13,0.5*$S$13/HU_alpha,IF((AE144+$K$13)&gt;=$K$13,((AE144+$K$13)-$K$13)-0.5*HU_alpha/$S$13*((AE144+$K$13)-$K$13)^2,IF((AE144+$K$13)&gt;=$T$13,HU_beta*((AE144+$K$13)-$K$13),HU_beta*($T$13-$K$13)))))</f>
        <v/>
      </c>
    </row>
    <row r="145">
      <c r="A145" s="61" t="n">
        <v>77</v>
      </c>
      <c r="B145" s="61">
        <f>HU_age+A145</f>
        <v/>
      </c>
      <c r="C145" s="52">
        <f>A145&lt;=HU_T</f>
        <v/>
      </c>
      <c r="D145" s="63">
        <f>IF(OR(A145&lt;1,A145&gt;HU_T),0,INDEX(HU_q_mort,HU_age+A145-17,HU_col))</f>
        <v/>
      </c>
      <c r="E145" s="63">
        <f>IF(OR(A145&lt;1,A145&gt;HU_T),0,INDEX(HU_q_adb,HU_age+A145-17,HU_col))</f>
        <v/>
      </c>
      <c r="F145" s="63">
        <f>IF(OR(A145&lt;1,A145&gt;HU_T),0,INDEX(HU_q_morb,HU_age+A145-17,HU_col))</f>
        <v/>
      </c>
      <c r="G145" s="63">
        <f>IF(OR(A145&lt;1,A145&gt;HU_T),0,INDEX(HU_q_ptd,HU_age+A145-17,HU_col))</f>
        <v/>
      </c>
      <c r="H145" s="63">
        <f>IF(OR(A145&lt;1,A145&gt;HU_T),0,INDEX(HU_q_dis,HU_age+A145-17,HU_col))</f>
        <v/>
      </c>
      <c r="I145" s="63">
        <f>IF(A145&gt;HU_T,0,I144*(1-D145)*(1-E145))</f>
        <v/>
      </c>
      <c r="J145" s="63">
        <f>IF(A145&gt;=HU_T,0,N(I146))</f>
        <v/>
      </c>
      <c r="K145" s="63">
        <f>K144*(1-G145)</f>
        <v/>
      </c>
      <c r="L145" s="63">
        <f>1-K145</f>
        <v/>
      </c>
      <c r="M145" s="63">
        <f>K144*G145</f>
        <v/>
      </c>
      <c r="N145" s="63">
        <f>N144*(1-H145)</f>
        <v/>
      </c>
      <c r="O145" s="63">
        <f>1-N144</f>
        <v/>
      </c>
      <c r="P145" s="63">
        <f>P144*(1-F145)</f>
        <v/>
      </c>
      <c r="Q145" s="63">
        <f>1-P144/INDEX($P$68:$P$150,MAX(1,A145-HU_ciYears))</f>
        <v/>
      </c>
      <c r="R145" s="60">
        <f>(1+inflationRate)^A145</f>
        <v/>
      </c>
      <c r="S145" s="29">
        <f>IF(OR(OR(A145&lt;1,A145&gt;HU_T),A145-1&gt;=HU_dtr),0,HU_inc0*(1+incomeGrowthRate)^A145)</f>
        <v/>
      </c>
      <c r="T145" s="60">
        <f>IF(A145&gt;HU_T,T144,T144*(1+INDEX(HU_ssG,HU_age+A145-17)))</f>
        <v/>
      </c>
      <c r="U145" s="29">
        <f>IF(AND(HU_dtr&gt;=1,A145=HU_dtr,A145&lt;=HU_T),MIN(S145*INDEX(HU_ssC,HU_age+A145-17)/(1-INDEX(HU_ssC,HU_age+A145-17)),INDEX(HU_ssCap,HU_age+A145-17))*T145,0)</f>
        <v/>
      </c>
      <c r="V145" s="29">
        <f>S145+U145+IF(AND(HU_wdOn,A145=HU_wdYear),HU_wdIncome,0)</f>
        <v/>
      </c>
      <c r="W145" s="60">
        <f>HU_ciProp*Q145+HU_tpdCut*L145+HU_disCut*O145</f>
        <v/>
      </c>
      <c r="X145" s="29">
        <f>IF(OR(A145&lt;1,A145&gt;HU_T),0,V145*(1-W145))</f>
        <v/>
      </c>
      <c r="Y145" s="29">
        <f>IF(OR(A145&lt;1,A145&gt;HU_T),0,IF(AND(HU_retExp&gt;0,A145-1&gt;=HU_dtr),HU_retExp,HU_exp0)*R145)</f>
        <v/>
      </c>
      <c r="Z145" s="29">
        <f>-Y145-IF(AND(HU_wdOn,A145=HU_wdYear),HU_wdOut,0)</f>
        <v/>
      </c>
      <c r="AA145" s="29">
        <f>IF(OR(A145&lt;1,A145&gt;HU_T),0,-HU_medCost*R145*F145-HU_tpdCost*R145*M145)</f>
        <v/>
      </c>
      <c r="AB145" s="29">
        <f>IF(A145&gt;HU_T,0,AB144*(1+interestRate)+X145+Z145+AA145)</f>
        <v/>
      </c>
      <c r="AC145" s="29">
        <f>IF(A145&gt;HU_T,0,HU_inv*EXP(HU_mu*A145))</f>
        <v/>
      </c>
      <c r="AD145" s="29">
        <f>IF(A145&gt;HU_T,0,MAX(0,AC145+AB145))</f>
        <v/>
      </c>
      <c r="AE145" s="29">
        <f>IF(A145&gt;HU_T,0,MAX(0,X145-Y145))</f>
        <v/>
      </c>
      <c r="AF145" s="63">
        <f>IF(AND($J$6,A145&gt;=1,A145&lt;=$Q$6-1),J145,0)</f>
        <v/>
      </c>
      <c r="AG145" s="29">
        <f>IF(OR(AF145=0,$S$6=0),0,IF((AD145+$L$6)&gt;$S$6/HU_alpha+$K$6,0.5*$S$6/HU_alpha,IF((AD145+$L$6)&gt;=$K$6,((AD145+$L$6)-$K$6)-0.5*HU_alpha/$S$6*((AD145+$L$6)-$K$6)^2,IF((AD145+$L$6)&gt;=$T$6,HU_beta*((AD145+$L$6)-$K$6),HU_beta*($T$6-$K$6)))))</f>
        <v/>
      </c>
      <c r="AH145" s="29">
        <f>IF(OR(AF145=0,$S$6=0),0,IF((AD145+$L$6+$N$6)&gt;$S$6/HU_alpha+$K$6,0.5*$S$6/HU_alpha,IF((AD145+$L$6+$N$6)&gt;=$K$6,((AD145+$L$6+$N$6)-$K$6)-0.5*HU_alpha/$S$6*((AD145+$L$6+$N$6)-$K$6)^2,IF((AD145+$L$6+$N$6)&gt;=$T$6,HU_beta*((AD145+$L$6+$N$6)-$K$6),HU_beta*($T$6-$K$6)))))</f>
        <v/>
      </c>
      <c r="AI145" s="29">
        <f>IF(OR(AF145=0,$S$6=0),0,IF((AD145+$K$6)&gt;$S$6/HU_alpha+$K$6,0.5*$S$6/HU_alpha,IF((AD145+$K$6)&gt;=$K$6,((AD145+$K$6)-$K$6)-0.5*HU_alpha/$S$6*((AD145+$K$6)-$K$6)^2,IF((AD145+$K$6)&gt;=$T$6,HU_beta*((AD145+$K$6)-$K$6),HU_beta*($T$6-$K$6)))))</f>
        <v/>
      </c>
      <c r="AJ145" s="63">
        <f>IF(AND($J$7,A145&gt;=1,A145&lt;=$Q$7-1),J145,0)</f>
        <v/>
      </c>
      <c r="AK145" s="29">
        <f>IF(OR(AJ145=0,$S$7=0),0,IF((AE145+$L$7)&gt;$S$7/HU_alpha+$K$7,0.5*$S$7/HU_alpha,IF((AE145+$L$7)&gt;=$K$7,((AE145+$L$7)-$K$7)-0.5*HU_alpha/$S$7*((AE145+$L$7)-$K$7)^2,IF((AE145+$L$7)&gt;=$T$7,HU_beta*((AE145+$L$7)-$K$7),HU_beta*($T$7-$K$7)))))</f>
        <v/>
      </c>
      <c r="AL145" s="29">
        <f>IF(OR(AJ145=0,$S$7=0),0,IF((AE145+$L$7+$N$7)&gt;$S$7/HU_alpha+$K$7,0.5*$S$7/HU_alpha,IF((AE145+$L$7+$N$7)&gt;=$K$7,((AE145+$L$7+$N$7)-$K$7)-0.5*HU_alpha/$S$7*((AE145+$L$7+$N$7)-$K$7)^2,IF((AE145+$L$7+$N$7)&gt;=$T$7,HU_beta*((AE145+$L$7+$N$7)-$K$7),HU_beta*($T$7-$K$7)))))</f>
        <v/>
      </c>
      <c r="AM145" s="29">
        <f>IF(OR(AJ145=0,$S$7=0),0,IF((AE145+$K$7)&gt;$S$7/HU_alpha+$K$7,0.5*$S$7/HU_alpha,IF((AE145+$K$7)&gt;=$K$7,((AE145+$K$7)-$K$7)-0.5*HU_alpha/$S$7*((AE145+$K$7)-$K$7)^2,IF((AE145+$K$7)&gt;=$T$7,HU_beta*((AE145+$K$7)-$K$7),HU_beta*($T$7-$K$7)))))</f>
        <v/>
      </c>
      <c r="AN145" s="63">
        <f>IF(AND($J$8,A145&gt;=1,A145&lt;=$Q$8-1),J145,0)</f>
        <v/>
      </c>
      <c r="AO145" s="29">
        <f>IF(OR(AN145=0,$S$8=0),0,IF((AE145+$L$8)&gt;$S$8/HU_alpha+$K$8,0.5*$S$8/HU_alpha,IF((AE145+$L$8)&gt;=$K$8,((AE145+$L$8)-$K$8)-0.5*HU_alpha/$S$8*((AE145+$L$8)-$K$8)^2,IF((AE145+$L$8)&gt;=$T$8,HU_beta*((AE145+$L$8)-$K$8),HU_beta*($T$8-$K$8)))))</f>
        <v/>
      </c>
      <c r="AP145" s="29">
        <f>IF(OR(AN145=0,$S$8=0),0,IF((AE145+$L$8+$N$8)&gt;$S$8/HU_alpha+$K$8,0.5*$S$8/HU_alpha,IF((AE145+$L$8+$N$8)&gt;=$K$8,((AE145+$L$8+$N$8)-$K$8)-0.5*HU_alpha/$S$8*((AE145+$L$8+$N$8)-$K$8)^2,IF((AE145+$L$8+$N$8)&gt;=$T$8,HU_beta*((AE145+$L$8+$N$8)-$K$8),HU_beta*($T$8-$K$8)))))</f>
        <v/>
      </c>
      <c r="AQ145" s="29">
        <f>IF(OR(AN145=0,$S$8=0),0,IF((AE145+$K$8)&gt;$S$8/HU_alpha+$K$8,0.5*$S$8/HU_alpha,IF((AE145+$K$8)&gt;=$K$8,((AE145+$K$8)-$K$8)-0.5*HU_alpha/$S$8*((AE145+$K$8)-$K$8)^2,IF((AE145+$K$8)&gt;=$T$8,HU_beta*((AE145+$K$8)-$K$8),HU_beta*($T$8-$K$8)))))</f>
        <v/>
      </c>
      <c r="AR145" s="63">
        <f>IF(AND($J$9,A145&gt;=1,A145&lt;=$Q$9-1),J145,0)</f>
        <v/>
      </c>
      <c r="AS145" s="29">
        <f>IF(OR(AR145=0,$S$9=0),0,IF((AE145+$L$9)&gt;$S$9/HU_alpha+$K$9,0.5*$S$9/HU_alpha,IF((AE145+$L$9)&gt;=$K$9,((AE145+$L$9)-$K$9)-0.5*HU_alpha/$S$9*((AE145+$L$9)-$K$9)^2,IF((AE145+$L$9)&gt;=$T$9,HU_beta*((AE145+$L$9)-$K$9),HU_beta*($T$9-$K$9)))))</f>
        <v/>
      </c>
      <c r="AT145" s="29">
        <f>IF(OR(AR145=0,$S$9=0),0,IF((AE145+$L$9+$N$9)&gt;$S$9/HU_alpha+$K$9,0.5*$S$9/HU_alpha,IF((AE145+$L$9+$N$9)&gt;=$K$9,((AE145+$L$9+$N$9)-$K$9)-0.5*HU_alpha/$S$9*((AE145+$L$9+$N$9)-$K$9)^2,IF((AE145+$L$9+$N$9)&gt;=$T$9,HU_beta*((AE145+$L$9+$N$9)-$K$9),HU_beta*($T$9-$K$9)))))</f>
        <v/>
      </c>
      <c r="AU145" s="29">
        <f>IF(OR(AR145=0,$S$9=0),0,IF((AE145+$K$9)&gt;$S$9/HU_alpha+$K$9,0.5*$S$9/HU_alpha,IF((AE145+$K$9)&gt;=$K$9,((AE145+$K$9)-$K$9)-0.5*HU_alpha/$S$9*((AE145+$K$9)-$K$9)^2,IF((AE145+$K$9)&gt;=$T$9,HU_beta*((AE145+$K$9)-$K$9),HU_beta*($T$9-$K$9)))))</f>
        <v/>
      </c>
      <c r="AV145" s="63">
        <f>IF(AND($J$10,A145=$Q$10),J145,0)</f>
        <v/>
      </c>
      <c r="AW145" s="29">
        <f>IF(OR(AV145=0,$S$10=0),0,IF((AD145+$L$10)&gt;$S$10/HU_alpha+$K$10,0.5*$S$10/HU_alpha,IF((AD145+$L$10)&gt;=$K$10,((AD145+$L$10)-$K$10)-0.5*HU_alpha/$S$10*((AD145+$L$10)-$K$10)^2,IF((AD145+$L$10)&gt;=$T$10,HU_beta*((AD145+$L$10)-$K$10),HU_beta*($T$10-$K$10)))))</f>
        <v/>
      </c>
      <c r="AX145" s="29">
        <f>IF(OR(AV145=0,$S$10=0),0,IF((AD145+$L$10+$N$10)&gt;$S$10/HU_alpha+$K$10,0.5*$S$10/HU_alpha,IF((AD145+$L$10+$N$10)&gt;=$K$10,((AD145+$L$10+$N$10)-$K$10)-0.5*HU_alpha/$S$10*((AD145+$L$10+$N$10)-$K$10)^2,IF((AD145+$L$10+$N$10)&gt;=$T$10,HU_beta*((AD145+$L$10+$N$10)-$K$10),HU_beta*($T$10-$K$10)))))</f>
        <v/>
      </c>
      <c r="AY145" s="29">
        <f>IF(OR(AV145=0,$S$10=0),0,IF((AD145+$K$10)&gt;$S$10/HU_alpha+$K$10,0.5*$S$10/HU_alpha,IF((AD145+$K$10)&gt;=$K$10,((AD145+$K$10)-$K$10)-0.5*HU_alpha/$S$10*((AD145+$K$10)-$K$10)^2,IF((AD145+$K$10)&gt;=$T$10,HU_beta*((AD145+$K$10)-$K$10),HU_beta*($T$10-$K$10)))))</f>
        <v/>
      </c>
      <c r="AZ145" s="63">
        <f>IF(AND($J$11,A145=$Q$11),J145,0)</f>
        <v/>
      </c>
      <c r="BA145" s="29">
        <f>IF(OR(AZ145=0,$S$11=0),0,IF((AE145+$L$11)&gt;$S$11/HU_alpha+$K$11,0.5*$S$11/HU_alpha,IF((AE145+$L$11)&gt;=$K$11,((AE145+$L$11)-$K$11)-0.5*HU_alpha/$S$11*((AE145+$L$11)-$K$11)^2,IF((AE145+$L$11)&gt;=$T$11,HU_beta*((AE145+$L$11)-$K$11),HU_beta*($T$11-$K$11)))))</f>
        <v/>
      </c>
      <c r="BB145" s="29">
        <f>IF(OR(AZ145=0,$S$11=0),0,IF((AE145+$L$11+$N$11)&gt;$S$11/HU_alpha+$K$11,0.5*$S$11/HU_alpha,IF((AE145+$L$11+$N$11)&gt;=$K$11,((AE145+$L$11+$N$11)-$K$11)-0.5*HU_alpha/$S$11*((AE145+$L$11+$N$11)-$K$11)^2,IF((AE145+$L$11+$N$11)&gt;=$T$11,HU_beta*((AE145+$L$11+$N$11)-$K$11),HU_beta*($T$11-$K$11)))))</f>
        <v/>
      </c>
      <c r="BC145" s="29">
        <f>IF(OR(AZ145=0,$S$11=0),0,IF((AE145+$K$11)&gt;$S$11/HU_alpha+$K$11,0.5*$S$11/HU_alpha,IF((AE145+$K$11)&gt;=$K$11,((AE145+$K$11)-$K$11)-0.5*HU_alpha/$S$11*((AE145+$K$11)-$K$11)^2,IF((AE145+$K$11)&gt;=$T$11,HU_beta*((AE145+$K$11)-$K$11),HU_beta*($T$11-$K$11)))))</f>
        <v/>
      </c>
      <c r="BD145" s="63">
        <f>IF(AND($J$12,A145=$Q$12),J145,0)</f>
        <v/>
      </c>
      <c r="BE145" s="29">
        <f>IF(OR(BD145=0,$S$12=0),0,IF((AE145+$L$12)&gt;$S$12/HU_alpha+$K$12,0.5*$S$12/HU_alpha,IF((AE145+$L$12)&gt;=$K$12,((AE145+$L$12)-$K$12)-0.5*HU_alpha/$S$12*((AE145+$L$12)-$K$12)^2,IF((AE145+$L$12)&gt;=$T$12,HU_beta*((AE145+$L$12)-$K$12),HU_beta*($T$12-$K$12)))))</f>
        <v/>
      </c>
      <c r="BF145" s="29">
        <f>IF(OR(BD145=0,$S$12=0),0,IF((AE145+$L$12+$N$12)&gt;$S$12/HU_alpha+$K$12,0.5*$S$12/HU_alpha,IF((AE145+$L$12+$N$12)&gt;=$K$12,((AE145+$L$12+$N$12)-$K$12)-0.5*HU_alpha/$S$12*((AE145+$L$12+$N$12)-$K$12)^2,IF((AE145+$L$12+$N$12)&gt;=$T$12,HU_beta*((AE145+$L$12+$N$12)-$K$12),HU_beta*($T$12-$K$12)))))</f>
        <v/>
      </c>
      <c r="BG145" s="29">
        <f>IF(OR(BD145=0,$S$12=0),0,IF((AE145+$K$12)&gt;$S$12/HU_alpha+$K$12,0.5*$S$12/HU_alpha,IF((AE145+$K$12)&gt;=$K$12,((AE145+$K$12)-$K$12)-0.5*HU_alpha/$S$12*((AE145+$K$12)-$K$12)^2,IF((AE145+$K$12)&gt;=$T$12,HU_beta*((AE145+$K$12)-$K$12),HU_beta*($T$12-$K$12)))))</f>
        <v/>
      </c>
      <c r="BH145" s="63">
        <f>IF(AND($J$13,A145=$Q$13),J145,0)</f>
        <v/>
      </c>
      <c r="BI145" s="29">
        <f>IF(OR(BH145=0,$S$13=0),0,IF((AE145+$L$13)&gt;$S$13/HU_alpha+$K$13,0.5*$S$13/HU_alpha,IF((AE145+$L$13)&gt;=$K$13,((AE145+$L$13)-$K$13)-0.5*HU_alpha/$S$13*((AE145+$L$13)-$K$13)^2,IF((AE145+$L$13)&gt;=$T$13,HU_beta*((AE145+$L$13)-$K$13),HU_beta*($T$13-$K$13)))))</f>
        <v/>
      </c>
      <c r="BJ145" s="29">
        <f>IF(OR(BH145=0,$S$13=0),0,IF((AE145+$L$13+$N$13)&gt;$S$13/HU_alpha+$K$13,0.5*$S$13/HU_alpha,IF((AE145+$L$13+$N$13)&gt;=$K$13,((AE145+$L$13+$N$13)-$K$13)-0.5*HU_alpha/$S$13*((AE145+$L$13+$N$13)-$K$13)^2,IF((AE145+$L$13+$N$13)&gt;=$T$13,HU_beta*((AE145+$L$13+$N$13)-$K$13),HU_beta*($T$13-$K$13)))))</f>
        <v/>
      </c>
      <c r="BK145" s="29">
        <f>IF(OR(BH145=0,$S$13=0),0,IF((AE145+$K$13)&gt;$S$13/HU_alpha+$K$13,0.5*$S$13/HU_alpha,IF((AE145+$K$13)&gt;=$K$13,((AE145+$K$13)-$K$13)-0.5*HU_alpha/$S$13*((AE145+$K$13)-$K$13)^2,IF((AE145+$K$13)&gt;=$T$13,HU_beta*((AE145+$K$13)-$K$13),HU_beta*($T$13-$K$13)))))</f>
        <v/>
      </c>
    </row>
    <row r="146">
      <c r="A146" s="61" t="n">
        <v>78</v>
      </c>
      <c r="B146" s="61">
        <f>HU_age+A146</f>
        <v/>
      </c>
      <c r="C146" s="52">
        <f>A146&lt;=HU_T</f>
        <v/>
      </c>
      <c r="D146" s="63">
        <f>IF(OR(A146&lt;1,A146&gt;HU_T),0,INDEX(HU_q_mort,HU_age+A146-17,HU_col))</f>
        <v/>
      </c>
      <c r="E146" s="63">
        <f>IF(OR(A146&lt;1,A146&gt;HU_T),0,INDEX(HU_q_adb,HU_age+A146-17,HU_col))</f>
        <v/>
      </c>
      <c r="F146" s="63">
        <f>IF(OR(A146&lt;1,A146&gt;HU_T),0,INDEX(HU_q_morb,HU_age+A146-17,HU_col))</f>
        <v/>
      </c>
      <c r="G146" s="63">
        <f>IF(OR(A146&lt;1,A146&gt;HU_T),0,INDEX(HU_q_ptd,HU_age+A146-17,HU_col))</f>
        <v/>
      </c>
      <c r="H146" s="63">
        <f>IF(OR(A146&lt;1,A146&gt;HU_T),0,INDEX(HU_q_dis,HU_age+A146-17,HU_col))</f>
        <v/>
      </c>
      <c r="I146" s="63">
        <f>IF(A146&gt;HU_T,0,I145*(1-D146)*(1-E146))</f>
        <v/>
      </c>
      <c r="J146" s="63">
        <f>IF(A146&gt;=HU_T,0,N(I147))</f>
        <v/>
      </c>
      <c r="K146" s="63">
        <f>K145*(1-G146)</f>
        <v/>
      </c>
      <c r="L146" s="63">
        <f>1-K146</f>
        <v/>
      </c>
      <c r="M146" s="63">
        <f>K145*G146</f>
        <v/>
      </c>
      <c r="N146" s="63">
        <f>N145*(1-H146)</f>
        <v/>
      </c>
      <c r="O146" s="63">
        <f>1-N145</f>
        <v/>
      </c>
      <c r="P146" s="63">
        <f>P145*(1-F146)</f>
        <v/>
      </c>
      <c r="Q146" s="63">
        <f>1-P145/INDEX($P$68:$P$150,MAX(1,A146-HU_ciYears))</f>
        <v/>
      </c>
      <c r="R146" s="60">
        <f>(1+inflationRate)^A146</f>
        <v/>
      </c>
      <c r="S146" s="29">
        <f>IF(OR(OR(A146&lt;1,A146&gt;HU_T),A146-1&gt;=HU_dtr),0,HU_inc0*(1+incomeGrowthRate)^A146)</f>
        <v/>
      </c>
      <c r="T146" s="60">
        <f>IF(A146&gt;HU_T,T145,T145*(1+INDEX(HU_ssG,HU_age+A146-17)))</f>
        <v/>
      </c>
      <c r="U146" s="29">
        <f>IF(AND(HU_dtr&gt;=1,A146=HU_dtr,A146&lt;=HU_T),MIN(S146*INDEX(HU_ssC,HU_age+A146-17)/(1-INDEX(HU_ssC,HU_age+A146-17)),INDEX(HU_ssCap,HU_age+A146-17))*T146,0)</f>
        <v/>
      </c>
      <c r="V146" s="29">
        <f>S146+U146+IF(AND(HU_wdOn,A146=HU_wdYear),HU_wdIncome,0)</f>
        <v/>
      </c>
      <c r="W146" s="60">
        <f>HU_ciProp*Q146+HU_tpdCut*L146+HU_disCut*O146</f>
        <v/>
      </c>
      <c r="X146" s="29">
        <f>IF(OR(A146&lt;1,A146&gt;HU_T),0,V146*(1-W146))</f>
        <v/>
      </c>
      <c r="Y146" s="29">
        <f>IF(OR(A146&lt;1,A146&gt;HU_T),0,IF(AND(HU_retExp&gt;0,A146-1&gt;=HU_dtr),HU_retExp,HU_exp0)*R146)</f>
        <v/>
      </c>
      <c r="Z146" s="29">
        <f>-Y146-IF(AND(HU_wdOn,A146=HU_wdYear),HU_wdOut,0)</f>
        <v/>
      </c>
      <c r="AA146" s="29">
        <f>IF(OR(A146&lt;1,A146&gt;HU_T),0,-HU_medCost*R146*F146-HU_tpdCost*R146*M146)</f>
        <v/>
      </c>
      <c r="AB146" s="29">
        <f>IF(A146&gt;HU_T,0,AB145*(1+interestRate)+X146+Z146+AA146)</f>
        <v/>
      </c>
      <c r="AC146" s="29">
        <f>IF(A146&gt;HU_T,0,HU_inv*EXP(HU_mu*A146))</f>
        <v/>
      </c>
      <c r="AD146" s="29">
        <f>IF(A146&gt;HU_T,0,MAX(0,AC146+AB146))</f>
        <v/>
      </c>
      <c r="AE146" s="29">
        <f>IF(A146&gt;HU_T,0,MAX(0,X146-Y146))</f>
        <v/>
      </c>
      <c r="AF146" s="63">
        <f>IF(AND($J$6,A146&gt;=1,A146&lt;=$Q$6-1),J146,0)</f>
        <v/>
      </c>
      <c r="AG146" s="29">
        <f>IF(OR(AF146=0,$S$6=0),0,IF((AD146+$L$6)&gt;$S$6/HU_alpha+$K$6,0.5*$S$6/HU_alpha,IF((AD146+$L$6)&gt;=$K$6,((AD146+$L$6)-$K$6)-0.5*HU_alpha/$S$6*((AD146+$L$6)-$K$6)^2,IF((AD146+$L$6)&gt;=$T$6,HU_beta*((AD146+$L$6)-$K$6),HU_beta*($T$6-$K$6)))))</f>
        <v/>
      </c>
      <c r="AH146" s="29">
        <f>IF(OR(AF146=0,$S$6=0),0,IF((AD146+$L$6+$N$6)&gt;$S$6/HU_alpha+$K$6,0.5*$S$6/HU_alpha,IF((AD146+$L$6+$N$6)&gt;=$K$6,((AD146+$L$6+$N$6)-$K$6)-0.5*HU_alpha/$S$6*((AD146+$L$6+$N$6)-$K$6)^2,IF((AD146+$L$6+$N$6)&gt;=$T$6,HU_beta*((AD146+$L$6+$N$6)-$K$6),HU_beta*($T$6-$K$6)))))</f>
        <v/>
      </c>
      <c r="AI146" s="29">
        <f>IF(OR(AF146=0,$S$6=0),0,IF((AD146+$K$6)&gt;$S$6/HU_alpha+$K$6,0.5*$S$6/HU_alpha,IF((AD146+$K$6)&gt;=$K$6,((AD146+$K$6)-$K$6)-0.5*HU_alpha/$S$6*((AD146+$K$6)-$K$6)^2,IF((AD146+$K$6)&gt;=$T$6,HU_beta*((AD146+$K$6)-$K$6),HU_beta*($T$6-$K$6)))))</f>
        <v/>
      </c>
      <c r="AJ146" s="63">
        <f>IF(AND($J$7,A146&gt;=1,A146&lt;=$Q$7-1),J146,0)</f>
        <v/>
      </c>
      <c r="AK146" s="29">
        <f>IF(OR(AJ146=0,$S$7=0),0,IF((AE146+$L$7)&gt;$S$7/HU_alpha+$K$7,0.5*$S$7/HU_alpha,IF((AE146+$L$7)&gt;=$K$7,((AE146+$L$7)-$K$7)-0.5*HU_alpha/$S$7*((AE146+$L$7)-$K$7)^2,IF((AE146+$L$7)&gt;=$T$7,HU_beta*((AE146+$L$7)-$K$7),HU_beta*($T$7-$K$7)))))</f>
        <v/>
      </c>
      <c r="AL146" s="29">
        <f>IF(OR(AJ146=0,$S$7=0),0,IF((AE146+$L$7+$N$7)&gt;$S$7/HU_alpha+$K$7,0.5*$S$7/HU_alpha,IF((AE146+$L$7+$N$7)&gt;=$K$7,((AE146+$L$7+$N$7)-$K$7)-0.5*HU_alpha/$S$7*((AE146+$L$7+$N$7)-$K$7)^2,IF((AE146+$L$7+$N$7)&gt;=$T$7,HU_beta*((AE146+$L$7+$N$7)-$K$7),HU_beta*($T$7-$K$7)))))</f>
        <v/>
      </c>
      <c r="AM146" s="29">
        <f>IF(OR(AJ146=0,$S$7=0),0,IF((AE146+$K$7)&gt;$S$7/HU_alpha+$K$7,0.5*$S$7/HU_alpha,IF((AE146+$K$7)&gt;=$K$7,((AE146+$K$7)-$K$7)-0.5*HU_alpha/$S$7*((AE146+$K$7)-$K$7)^2,IF((AE146+$K$7)&gt;=$T$7,HU_beta*((AE146+$K$7)-$K$7),HU_beta*($T$7-$K$7)))))</f>
        <v/>
      </c>
      <c r="AN146" s="63">
        <f>IF(AND($J$8,A146&gt;=1,A146&lt;=$Q$8-1),J146,0)</f>
        <v/>
      </c>
      <c r="AO146" s="29">
        <f>IF(OR(AN146=0,$S$8=0),0,IF((AE146+$L$8)&gt;$S$8/HU_alpha+$K$8,0.5*$S$8/HU_alpha,IF((AE146+$L$8)&gt;=$K$8,((AE146+$L$8)-$K$8)-0.5*HU_alpha/$S$8*((AE146+$L$8)-$K$8)^2,IF((AE146+$L$8)&gt;=$T$8,HU_beta*((AE146+$L$8)-$K$8),HU_beta*($T$8-$K$8)))))</f>
        <v/>
      </c>
      <c r="AP146" s="29">
        <f>IF(OR(AN146=0,$S$8=0),0,IF((AE146+$L$8+$N$8)&gt;$S$8/HU_alpha+$K$8,0.5*$S$8/HU_alpha,IF((AE146+$L$8+$N$8)&gt;=$K$8,((AE146+$L$8+$N$8)-$K$8)-0.5*HU_alpha/$S$8*((AE146+$L$8+$N$8)-$K$8)^2,IF((AE146+$L$8+$N$8)&gt;=$T$8,HU_beta*((AE146+$L$8+$N$8)-$K$8),HU_beta*($T$8-$K$8)))))</f>
        <v/>
      </c>
      <c r="AQ146" s="29">
        <f>IF(OR(AN146=0,$S$8=0),0,IF((AE146+$K$8)&gt;$S$8/HU_alpha+$K$8,0.5*$S$8/HU_alpha,IF((AE146+$K$8)&gt;=$K$8,((AE146+$K$8)-$K$8)-0.5*HU_alpha/$S$8*((AE146+$K$8)-$K$8)^2,IF((AE146+$K$8)&gt;=$T$8,HU_beta*((AE146+$K$8)-$K$8),HU_beta*($T$8-$K$8)))))</f>
        <v/>
      </c>
      <c r="AR146" s="63">
        <f>IF(AND($J$9,A146&gt;=1,A146&lt;=$Q$9-1),J146,0)</f>
        <v/>
      </c>
      <c r="AS146" s="29">
        <f>IF(OR(AR146=0,$S$9=0),0,IF((AE146+$L$9)&gt;$S$9/HU_alpha+$K$9,0.5*$S$9/HU_alpha,IF((AE146+$L$9)&gt;=$K$9,((AE146+$L$9)-$K$9)-0.5*HU_alpha/$S$9*((AE146+$L$9)-$K$9)^2,IF((AE146+$L$9)&gt;=$T$9,HU_beta*((AE146+$L$9)-$K$9),HU_beta*($T$9-$K$9)))))</f>
        <v/>
      </c>
      <c r="AT146" s="29">
        <f>IF(OR(AR146=0,$S$9=0),0,IF((AE146+$L$9+$N$9)&gt;$S$9/HU_alpha+$K$9,0.5*$S$9/HU_alpha,IF((AE146+$L$9+$N$9)&gt;=$K$9,((AE146+$L$9+$N$9)-$K$9)-0.5*HU_alpha/$S$9*((AE146+$L$9+$N$9)-$K$9)^2,IF((AE146+$L$9+$N$9)&gt;=$T$9,HU_beta*((AE146+$L$9+$N$9)-$K$9),HU_beta*($T$9-$K$9)))))</f>
        <v/>
      </c>
      <c r="AU146" s="29">
        <f>IF(OR(AR146=0,$S$9=0),0,IF((AE146+$K$9)&gt;$S$9/HU_alpha+$K$9,0.5*$S$9/HU_alpha,IF((AE146+$K$9)&gt;=$K$9,((AE146+$K$9)-$K$9)-0.5*HU_alpha/$S$9*((AE146+$K$9)-$K$9)^2,IF((AE146+$K$9)&gt;=$T$9,HU_beta*((AE146+$K$9)-$K$9),HU_beta*($T$9-$K$9)))))</f>
        <v/>
      </c>
      <c r="AV146" s="63">
        <f>IF(AND($J$10,A146=$Q$10),J146,0)</f>
        <v/>
      </c>
      <c r="AW146" s="29">
        <f>IF(OR(AV146=0,$S$10=0),0,IF((AD146+$L$10)&gt;$S$10/HU_alpha+$K$10,0.5*$S$10/HU_alpha,IF((AD146+$L$10)&gt;=$K$10,((AD146+$L$10)-$K$10)-0.5*HU_alpha/$S$10*((AD146+$L$10)-$K$10)^2,IF((AD146+$L$10)&gt;=$T$10,HU_beta*((AD146+$L$10)-$K$10),HU_beta*($T$10-$K$10)))))</f>
        <v/>
      </c>
      <c r="AX146" s="29">
        <f>IF(OR(AV146=0,$S$10=0),0,IF((AD146+$L$10+$N$10)&gt;$S$10/HU_alpha+$K$10,0.5*$S$10/HU_alpha,IF((AD146+$L$10+$N$10)&gt;=$K$10,((AD146+$L$10+$N$10)-$K$10)-0.5*HU_alpha/$S$10*((AD146+$L$10+$N$10)-$K$10)^2,IF((AD146+$L$10+$N$10)&gt;=$T$10,HU_beta*((AD146+$L$10+$N$10)-$K$10),HU_beta*($T$10-$K$10)))))</f>
        <v/>
      </c>
      <c r="AY146" s="29">
        <f>IF(OR(AV146=0,$S$10=0),0,IF((AD146+$K$10)&gt;$S$10/HU_alpha+$K$10,0.5*$S$10/HU_alpha,IF((AD146+$K$10)&gt;=$K$10,((AD146+$K$10)-$K$10)-0.5*HU_alpha/$S$10*((AD146+$K$10)-$K$10)^2,IF((AD146+$K$10)&gt;=$T$10,HU_beta*((AD146+$K$10)-$K$10),HU_beta*($T$10-$K$10)))))</f>
        <v/>
      </c>
      <c r="AZ146" s="63">
        <f>IF(AND($J$11,A146=$Q$11),J146,0)</f>
        <v/>
      </c>
      <c r="BA146" s="29">
        <f>IF(OR(AZ146=0,$S$11=0),0,IF((AE146+$L$11)&gt;$S$11/HU_alpha+$K$11,0.5*$S$11/HU_alpha,IF((AE146+$L$11)&gt;=$K$11,((AE146+$L$11)-$K$11)-0.5*HU_alpha/$S$11*((AE146+$L$11)-$K$11)^2,IF((AE146+$L$11)&gt;=$T$11,HU_beta*((AE146+$L$11)-$K$11),HU_beta*($T$11-$K$11)))))</f>
        <v/>
      </c>
      <c r="BB146" s="29">
        <f>IF(OR(AZ146=0,$S$11=0),0,IF((AE146+$L$11+$N$11)&gt;$S$11/HU_alpha+$K$11,0.5*$S$11/HU_alpha,IF((AE146+$L$11+$N$11)&gt;=$K$11,((AE146+$L$11+$N$11)-$K$11)-0.5*HU_alpha/$S$11*((AE146+$L$11+$N$11)-$K$11)^2,IF((AE146+$L$11+$N$11)&gt;=$T$11,HU_beta*((AE146+$L$11+$N$11)-$K$11),HU_beta*($T$11-$K$11)))))</f>
        <v/>
      </c>
      <c r="BC146" s="29">
        <f>IF(OR(AZ146=0,$S$11=0),0,IF((AE146+$K$11)&gt;$S$11/HU_alpha+$K$11,0.5*$S$11/HU_alpha,IF((AE146+$K$11)&gt;=$K$11,((AE146+$K$11)-$K$11)-0.5*HU_alpha/$S$11*((AE146+$K$11)-$K$11)^2,IF((AE146+$K$11)&gt;=$T$11,HU_beta*((AE146+$K$11)-$K$11),HU_beta*($T$11-$K$11)))))</f>
        <v/>
      </c>
      <c r="BD146" s="63">
        <f>IF(AND($J$12,A146=$Q$12),J146,0)</f>
        <v/>
      </c>
      <c r="BE146" s="29">
        <f>IF(OR(BD146=0,$S$12=0),0,IF((AE146+$L$12)&gt;$S$12/HU_alpha+$K$12,0.5*$S$12/HU_alpha,IF((AE146+$L$12)&gt;=$K$12,((AE146+$L$12)-$K$12)-0.5*HU_alpha/$S$12*((AE146+$L$12)-$K$12)^2,IF((AE146+$L$12)&gt;=$T$12,HU_beta*((AE146+$L$12)-$K$12),HU_beta*($T$12-$K$12)))))</f>
        <v/>
      </c>
      <c r="BF146" s="29">
        <f>IF(OR(BD146=0,$S$12=0),0,IF((AE146+$L$12+$N$12)&gt;$S$12/HU_alpha+$K$12,0.5*$S$12/HU_alpha,IF((AE146+$L$12+$N$12)&gt;=$K$12,((AE146+$L$12+$N$12)-$K$12)-0.5*HU_alpha/$S$12*((AE146+$L$12+$N$12)-$K$12)^2,IF((AE146+$L$12+$N$12)&gt;=$T$12,HU_beta*((AE146+$L$12+$N$12)-$K$12),HU_beta*($T$12-$K$12)))))</f>
        <v/>
      </c>
      <c r="BG146" s="29">
        <f>IF(OR(BD146=0,$S$12=0),0,IF((AE146+$K$12)&gt;$S$12/HU_alpha+$K$12,0.5*$S$12/HU_alpha,IF((AE146+$K$12)&gt;=$K$12,((AE146+$K$12)-$K$12)-0.5*HU_alpha/$S$12*((AE146+$K$12)-$K$12)^2,IF((AE146+$K$12)&gt;=$T$12,HU_beta*((AE146+$K$12)-$K$12),HU_beta*($T$12-$K$12)))))</f>
        <v/>
      </c>
      <c r="BH146" s="63">
        <f>IF(AND($J$13,A146=$Q$13),J146,0)</f>
        <v/>
      </c>
      <c r="BI146" s="29">
        <f>IF(OR(BH146=0,$S$13=0),0,IF((AE146+$L$13)&gt;$S$13/HU_alpha+$K$13,0.5*$S$13/HU_alpha,IF((AE146+$L$13)&gt;=$K$13,((AE146+$L$13)-$K$13)-0.5*HU_alpha/$S$13*((AE146+$L$13)-$K$13)^2,IF((AE146+$L$13)&gt;=$T$13,HU_beta*((AE146+$L$13)-$K$13),HU_beta*($T$13-$K$13)))))</f>
        <v/>
      </c>
      <c r="BJ146" s="29">
        <f>IF(OR(BH146=0,$S$13=0),0,IF((AE146+$L$13+$N$13)&gt;$S$13/HU_alpha+$K$13,0.5*$S$13/HU_alpha,IF((AE146+$L$13+$N$13)&gt;=$K$13,((AE146+$L$13+$N$13)-$K$13)-0.5*HU_alpha/$S$13*((AE146+$L$13+$N$13)-$K$13)^2,IF((AE146+$L$13+$N$13)&gt;=$T$13,HU_beta*((AE146+$L$13+$N$13)-$K$13),HU_beta*($T$13-$K$13)))))</f>
        <v/>
      </c>
      <c r="BK146" s="29">
        <f>IF(OR(BH146=0,$S$13=0),0,IF((AE146+$K$13)&gt;$S$13/HU_alpha+$K$13,0.5*$S$13/HU_alpha,IF((AE146+$K$13)&gt;=$K$13,((AE146+$K$13)-$K$13)-0.5*HU_alpha/$S$13*((AE146+$K$13)-$K$13)^2,IF((AE146+$K$13)&gt;=$T$13,HU_beta*((AE146+$K$13)-$K$13),HU_beta*($T$13-$K$13)))))</f>
        <v/>
      </c>
    </row>
    <row r="147">
      <c r="A147" s="61" t="n">
        <v>79</v>
      </c>
      <c r="B147" s="61">
        <f>HU_age+A147</f>
        <v/>
      </c>
      <c r="C147" s="52">
        <f>A147&lt;=HU_T</f>
        <v/>
      </c>
      <c r="D147" s="63">
        <f>IF(OR(A147&lt;1,A147&gt;HU_T),0,INDEX(HU_q_mort,HU_age+A147-17,HU_col))</f>
        <v/>
      </c>
      <c r="E147" s="63">
        <f>IF(OR(A147&lt;1,A147&gt;HU_T),0,INDEX(HU_q_adb,HU_age+A147-17,HU_col))</f>
        <v/>
      </c>
      <c r="F147" s="63">
        <f>IF(OR(A147&lt;1,A147&gt;HU_T),0,INDEX(HU_q_morb,HU_age+A147-17,HU_col))</f>
        <v/>
      </c>
      <c r="G147" s="63">
        <f>IF(OR(A147&lt;1,A147&gt;HU_T),0,INDEX(HU_q_ptd,HU_age+A147-17,HU_col))</f>
        <v/>
      </c>
      <c r="H147" s="63">
        <f>IF(OR(A147&lt;1,A147&gt;HU_T),0,INDEX(HU_q_dis,HU_age+A147-17,HU_col))</f>
        <v/>
      </c>
      <c r="I147" s="63">
        <f>IF(A147&gt;HU_T,0,I146*(1-D147)*(1-E147))</f>
        <v/>
      </c>
      <c r="J147" s="63">
        <f>IF(A147&gt;=HU_T,0,N(I148))</f>
        <v/>
      </c>
      <c r="K147" s="63">
        <f>K146*(1-G147)</f>
        <v/>
      </c>
      <c r="L147" s="63">
        <f>1-K147</f>
        <v/>
      </c>
      <c r="M147" s="63">
        <f>K146*G147</f>
        <v/>
      </c>
      <c r="N147" s="63">
        <f>N146*(1-H147)</f>
        <v/>
      </c>
      <c r="O147" s="63">
        <f>1-N146</f>
        <v/>
      </c>
      <c r="P147" s="63">
        <f>P146*(1-F147)</f>
        <v/>
      </c>
      <c r="Q147" s="63">
        <f>1-P146/INDEX($P$68:$P$150,MAX(1,A147-HU_ciYears))</f>
        <v/>
      </c>
      <c r="R147" s="60">
        <f>(1+inflationRate)^A147</f>
        <v/>
      </c>
      <c r="S147" s="29">
        <f>IF(OR(OR(A147&lt;1,A147&gt;HU_T),A147-1&gt;=HU_dtr),0,HU_inc0*(1+incomeGrowthRate)^A147)</f>
        <v/>
      </c>
      <c r="T147" s="60">
        <f>IF(A147&gt;HU_T,T146,T146*(1+INDEX(HU_ssG,HU_age+A147-17)))</f>
        <v/>
      </c>
      <c r="U147" s="29">
        <f>IF(AND(HU_dtr&gt;=1,A147=HU_dtr,A147&lt;=HU_T),MIN(S147*INDEX(HU_ssC,HU_age+A147-17)/(1-INDEX(HU_ssC,HU_age+A147-17)),INDEX(HU_ssCap,HU_age+A147-17))*T147,0)</f>
        <v/>
      </c>
      <c r="V147" s="29">
        <f>S147+U147+IF(AND(HU_wdOn,A147=HU_wdYear),HU_wdIncome,0)</f>
        <v/>
      </c>
      <c r="W147" s="60">
        <f>HU_ciProp*Q147+HU_tpdCut*L147+HU_disCut*O147</f>
        <v/>
      </c>
      <c r="X147" s="29">
        <f>IF(OR(A147&lt;1,A147&gt;HU_T),0,V147*(1-W147))</f>
        <v/>
      </c>
      <c r="Y147" s="29">
        <f>IF(OR(A147&lt;1,A147&gt;HU_T),0,IF(AND(HU_retExp&gt;0,A147-1&gt;=HU_dtr),HU_retExp,HU_exp0)*R147)</f>
        <v/>
      </c>
      <c r="Z147" s="29">
        <f>-Y147-IF(AND(HU_wdOn,A147=HU_wdYear),HU_wdOut,0)</f>
        <v/>
      </c>
      <c r="AA147" s="29">
        <f>IF(OR(A147&lt;1,A147&gt;HU_T),0,-HU_medCost*R147*F147-HU_tpdCost*R147*M147)</f>
        <v/>
      </c>
      <c r="AB147" s="29">
        <f>IF(A147&gt;HU_T,0,AB146*(1+interestRate)+X147+Z147+AA147)</f>
        <v/>
      </c>
      <c r="AC147" s="29">
        <f>IF(A147&gt;HU_T,0,HU_inv*EXP(HU_mu*A147))</f>
        <v/>
      </c>
      <c r="AD147" s="29">
        <f>IF(A147&gt;HU_T,0,MAX(0,AC147+AB147))</f>
        <v/>
      </c>
      <c r="AE147" s="29">
        <f>IF(A147&gt;HU_T,0,MAX(0,X147-Y147))</f>
        <v/>
      </c>
      <c r="AF147" s="63">
        <f>IF(AND($J$6,A147&gt;=1,A147&lt;=$Q$6-1),J147,0)</f>
        <v/>
      </c>
      <c r="AG147" s="29">
        <f>IF(OR(AF147=0,$S$6=0),0,IF((AD147+$L$6)&gt;$S$6/HU_alpha+$K$6,0.5*$S$6/HU_alpha,IF((AD147+$L$6)&gt;=$K$6,((AD147+$L$6)-$K$6)-0.5*HU_alpha/$S$6*((AD147+$L$6)-$K$6)^2,IF((AD147+$L$6)&gt;=$T$6,HU_beta*((AD147+$L$6)-$K$6),HU_beta*($T$6-$K$6)))))</f>
        <v/>
      </c>
      <c r="AH147" s="29">
        <f>IF(OR(AF147=0,$S$6=0),0,IF((AD147+$L$6+$N$6)&gt;$S$6/HU_alpha+$K$6,0.5*$S$6/HU_alpha,IF((AD147+$L$6+$N$6)&gt;=$K$6,((AD147+$L$6+$N$6)-$K$6)-0.5*HU_alpha/$S$6*((AD147+$L$6+$N$6)-$K$6)^2,IF((AD147+$L$6+$N$6)&gt;=$T$6,HU_beta*((AD147+$L$6+$N$6)-$K$6),HU_beta*($T$6-$K$6)))))</f>
        <v/>
      </c>
      <c r="AI147" s="29">
        <f>IF(OR(AF147=0,$S$6=0),0,IF((AD147+$K$6)&gt;$S$6/HU_alpha+$K$6,0.5*$S$6/HU_alpha,IF((AD147+$K$6)&gt;=$K$6,((AD147+$K$6)-$K$6)-0.5*HU_alpha/$S$6*((AD147+$K$6)-$K$6)^2,IF((AD147+$K$6)&gt;=$T$6,HU_beta*((AD147+$K$6)-$K$6),HU_beta*($T$6-$K$6)))))</f>
        <v/>
      </c>
      <c r="AJ147" s="63">
        <f>IF(AND($J$7,A147&gt;=1,A147&lt;=$Q$7-1),J147,0)</f>
        <v/>
      </c>
      <c r="AK147" s="29">
        <f>IF(OR(AJ147=0,$S$7=0),0,IF((AE147+$L$7)&gt;$S$7/HU_alpha+$K$7,0.5*$S$7/HU_alpha,IF((AE147+$L$7)&gt;=$K$7,((AE147+$L$7)-$K$7)-0.5*HU_alpha/$S$7*((AE147+$L$7)-$K$7)^2,IF((AE147+$L$7)&gt;=$T$7,HU_beta*((AE147+$L$7)-$K$7),HU_beta*($T$7-$K$7)))))</f>
        <v/>
      </c>
      <c r="AL147" s="29">
        <f>IF(OR(AJ147=0,$S$7=0),0,IF((AE147+$L$7+$N$7)&gt;$S$7/HU_alpha+$K$7,0.5*$S$7/HU_alpha,IF((AE147+$L$7+$N$7)&gt;=$K$7,((AE147+$L$7+$N$7)-$K$7)-0.5*HU_alpha/$S$7*((AE147+$L$7+$N$7)-$K$7)^2,IF((AE147+$L$7+$N$7)&gt;=$T$7,HU_beta*((AE147+$L$7+$N$7)-$K$7),HU_beta*($T$7-$K$7)))))</f>
        <v/>
      </c>
      <c r="AM147" s="29">
        <f>IF(OR(AJ147=0,$S$7=0),0,IF((AE147+$K$7)&gt;$S$7/HU_alpha+$K$7,0.5*$S$7/HU_alpha,IF((AE147+$K$7)&gt;=$K$7,((AE147+$K$7)-$K$7)-0.5*HU_alpha/$S$7*((AE147+$K$7)-$K$7)^2,IF((AE147+$K$7)&gt;=$T$7,HU_beta*((AE147+$K$7)-$K$7),HU_beta*($T$7-$K$7)))))</f>
        <v/>
      </c>
      <c r="AN147" s="63">
        <f>IF(AND($J$8,A147&gt;=1,A147&lt;=$Q$8-1),J147,0)</f>
        <v/>
      </c>
      <c r="AO147" s="29">
        <f>IF(OR(AN147=0,$S$8=0),0,IF((AE147+$L$8)&gt;$S$8/HU_alpha+$K$8,0.5*$S$8/HU_alpha,IF((AE147+$L$8)&gt;=$K$8,((AE147+$L$8)-$K$8)-0.5*HU_alpha/$S$8*((AE147+$L$8)-$K$8)^2,IF((AE147+$L$8)&gt;=$T$8,HU_beta*((AE147+$L$8)-$K$8),HU_beta*($T$8-$K$8)))))</f>
        <v/>
      </c>
      <c r="AP147" s="29">
        <f>IF(OR(AN147=0,$S$8=0),0,IF((AE147+$L$8+$N$8)&gt;$S$8/HU_alpha+$K$8,0.5*$S$8/HU_alpha,IF((AE147+$L$8+$N$8)&gt;=$K$8,((AE147+$L$8+$N$8)-$K$8)-0.5*HU_alpha/$S$8*((AE147+$L$8+$N$8)-$K$8)^2,IF((AE147+$L$8+$N$8)&gt;=$T$8,HU_beta*((AE147+$L$8+$N$8)-$K$8),HU_beta*($T$8-$K$8)))))</f>
        <v/>
      </c>
      <c r="AQ147" s="29">
        <f>IF(OR(AN147=0,$S$8=0),0,IF((AE147+$K$8)&gt;$S$8/HU_alpha+$K$8,0.5*$S$8/HU_alpha,IF((AE147+$K$8)&gt;=$K$8,((AE147+$K$8)-$K$8)-0.5*HU_alpha/$S$8*((AE147+$K$8)-$K$8)^2,IF((AE147+$K$8)&gt;=$T$8,HU_beta*((AE147+$K$8)-$K$8),HU_beta*($T$8-$K$8)))))</f>
        <v/>
      </c>
      <c r="AR147" s="63">
        <f>IF(AND($J$9,A147&gt;=1,A147&lt;=$Q$9-1),J147,0)</f>
        <v/>
      </c>
      <c r="AS147" s="29">
        <f>IF(OR(AR147=0,$S$9=0),0,IF((AE147+$L$9)&gt;$S$9/HU_alpha+$K$9,0.5*$S$9/HU_alpha,IF((AE147+$L$9)&gt;=$K$9,((AE147+$L$9)-$K$9)-0.5*HU_alpha/$S$9*((AE147+$L$9)-$K$9)^2,IF((AE147+$L$9)&gt;=$T$9,HU_beta*((AE147+$L$9)-$K$9),HU_beta*($T$9-$K$9)))))</f>
        <v/>
      </c>
      <c r="AT147" s="29">
        <f>IF(OR(AR147=0,$S$9=0),0,IF((AE147+$L$9+$N$9)&gt;$S$9/HU_alpha+$K$9,0.5*$S$9/HU_alpha,IF((AE147+$L$9+$N$9)&gt;=$K$9,((AE147+$L$9+$N$9)-$K$9)-0.5*HU_alpha/$S$9*((AE147+$L$9+$N$9)-$K$9)^2,IF((AE147+$L$9+$N$9)&gt;=$T$9,HU_beta*((AE147+$L$9+$N$9)-$K$9),HU_beta*($T$9-$K$9)))))</f>
        <v/>
      </c>
      <c r="AU147" s="29">
        <f>IF(OR(AR147=0,$S$9=0),0,IF((AE147+$K$9)&gt;$S$9/HU_alpha+$K$9,0.5*$S$9/HU_alpha,IF((AE147+$K$9)&gt;=$K$9,((AE147+$K$9)-$K$9)-0.5*HU_alpha/$S$9*((AE147+$K$9)-$K$9)^2,IF((AE147+$K$9)&gt;=$T$9,HU_beta*((AE147+$K$9)-$K$9),HU_beta*($T$9-$K$9)))))</f>
        <v/>
      </c>
      <c r="AV147" s="63">
        <f>IF(AND($J$10,A147=$Q$10),J147,0)</f>
        <v/>
      </c>
      <c r="AW147" s="29">
        <f>IF(OR(AV147=0,$S$10=0),0,IF((AD147+$L$10)&gt;$S$10/HU_alpha+$K$10,0.5*$S$10/HU_alpha,IF((AD147+$L$10)&gt;=$K$10,((AD147+$L$10)-$K$10)-0.5*HU_alpha/$S$10*((AD147+$L$10)-$K$10)^2,IF((AD147+$L$10)&gt;=$T$10,HU_beta*((AD147+$L$10)-$K$10),HU_beta*($T$10-$K$10)))))</f>
        <v/>
      </c>
      <c r="AX147" s="29">
        <f>IF(OR(AV147=0,$S$10=0),0,IF((AD147+$L$10+$N$10)&gt;$S$10/HU_alpha+$K$10,0.5*$S$10/HU_alpha,IF((AD147+$L$10+$N$10)&gt;=$K$10,((AD147+$L$10+$N$10)-$K$10)-0.5*HU_alpha/$S$10*((AD147+$L$10+$N$10)-$K$10)^2,IF((AD147+$L$10+$N$10)&gt;=$T$10,HU_beta*((AD147+$L$10+$N$10)-$K$10),HU_beta*($T$10-$K$10)))))</f>
        <v/>
      </c>
      <c r="AY147" s="29">
        <f>IF(OR(AV147=0,$S$10=0),0,IF((AD147+$K$10)&gt;$S$10/HU_alpha+$K$10,0.5*$S$10/HU_alpha,IF((AD147+$K$10)&gt;=$K$10,((AD147+$K$10)-$K$10)-0.5*HU_alpha/$S$10*((AD147+$K$10)-$K$10)^2,IF((AD147+$K$10)&gt;=$T$10,HU_beta*((AD147+$K$10)-$K$10),HU_beta*($T$10-$K$10)))))</f>
        <v/>
      </c>
      <c r="AZ147" s="63">
        <f>IF(AND($J$11,A147=$Q$11),J147,0)</f>
        <v/>
      </c>
      <c r="BA147" s="29">
        <f>IF(OR(AZ147=0,$S$11=0),0,IF((AE147+$L$11)&gt;$S$11/HU_alpha+$K$11,0.5*$S$11/HU_alpha,IF((AE147+$L$11)&gt;=$K$11,((AE147+$L$11)-$K$11)-0.5*HU_alpha/$S$11*((AE147+$L$11)-$K$11)^2,IF((AE147+$L$11)&gt;=$T$11,HU_beta*((AE147+$L$11)-$K$11),HU_beta*($T$11-$K$11)))))</f>
        <v/>
      </c>
      <c r="BB147" s="29">
        <f>IF(OR(AZ147=0,$S$11=0),0,IF((AE147+$L$11+$N$11)&gt;$S$11/HU_alpha+$K$11,0.5*$S$11/HU_alpha,IF((AE147+$L$11+$N$11)&gt;=$K$11,((AE147+$L$11+$N$11)-$K$11)-0.5*HU_alpha/$S$11*((AE147+$L$11+$N$11)-$K$11)^2,IF((AE147+$L$11+$N$11)&gt;=$T$11,HU_beta*((AE147+$L$11+$N$11)-$K$11),HU_beta*($T$11-$K$11)))))</f>
        <v/>
      </c>
      <c r="BC147" s="29">
        <f>IF(OR(AZ147=0,$S$11=0),0,IF((AE147+$K$11)&gt;$S$11/HU_alpha+$K$11,0.5*$S$11/HU_alpha,IF((AE147+$K$11)&gt;=$K$11,((AE147+$K$11)-$K$11)-0.5*HU_alpha/$S$11*((AE147+$K$11)-$K$11)^2,IF((AE147+$K$11)&gt;=$T$11,HU_beta*((AE147+$K$11)-$K$11),HU_beta*($T$11-$K$11)))))</f>
        <v/>
      </c>
      <c r="BD147" s="63">
        <f>IF(AND($J$12,A147=$Q$12),J147,0)</f>
        <v/>
      </c>
      <c r="BE147" s="29">
        <f>IF(OR(BD147=0,$S$12=0),0,IF((AE147+$L$12)&gt;$S$12/HU_alpha+$K$12,0.5*$S$12/HU_alpha,IF((AE147+$L$12)&gt;=$K$12,((AE147+$L$12)-$K$12)-0.5*HU_alpha/$S$12*((AE147+$L$12)-$K$12)^2,IF((AE147+$L$12)&gt;=$T$12,HU_beta*((AE147+$L$12)-$K$12),HU_beta*($T$12-$K$12)))))</f>
        <v/>
      </c>
      <c r="BF147" s="29">
        <f>IF(OR(BD147=0,$S$12=0),0,IF((AE147+$L$12+$N$12)&gt;$S$12/HU_alpha+$K$12,0.5*$S$12/HU_alpha,IF((AE147+$L$12+$N$12)&gt;=$K$12,((AE147+$L$12+$N$12)-$K$12)-0.5*HU_alpha/$S$12*((AE147+$L$12+$N$12)-$K$12)^2,IF((AE147+$L$12+$N$12)&gt;=$T$12,HU_beta*((AE147+$L$12+$N$12)-$K$12),HU_beta*($T$12-$K$12)))))</f>
        <v/>
      </c>
      <c r="BG147" s="29">
        <f>IF(OR(BD147=0,$S$12=0),0,IF((AE147+$K$12)&gt;$S$12/HU_alpha+$K$12,0.5*$S$12/HU_alpha,IF((AE147+$K$12)&gt;=$K$12,((AE147+$K$12)-$K$12)-0.5*HU_alpha/$S$12*((AE147+$K$12)-$K$12)^2,IF((AE147+$K$12)&gt;=$T$12,HU_beta*((AE147+$K$12)-$K$12),HU_beta*($T$12-$K$12)))))</f>
        <v/>
      </c>
      <c r="BH147" s="63">
        <f>IF(AND($J$13,A147=$Q$13),J147,0)</f>
        <v/>
      </c>
      <c r="BI147" s="29">
        <f>IF(OR(BH147=0,$S$13=0),0,IF((AE147+$L$13)&gt;$S$13/HU_alpha+$K$13,0.5*$S$13/HU_alpha,IF((AE147+$L$13)&gt;=$K$13,((AE147+$L$13)-$K$13)-0.5*HU_alpha/$S$13*((AE147+$L$13)-$K$13)^2,IF((AE147+$L$13)&gt;=$T$13,HU_beta*((AE147+$L$13)-$K$13),HU_beta*($T$13-$K$13)))))</f>
        <v/>
      </c>
      <c r="BJ147" s="29">
        <f>IF(OR(BH147=0,$S$13=0),0,IF((AE147+$L$13+$N$13)&gt;$S$13/HU_alpha+$K$13,0.5*$S$13/HU_alpha,IF((AE147+$L$13+$N$13)&gt;=$K$13,((AE147+$L$13+$N$13)-$K$13)-0.5*HU_alpha/$S$13*((AE147+$L$13+$N$13)-$K$13)^2,IF((AE147+$L$13+$N$13)&gt;=$T$13,HU_beta*((AE147+$L$13+$N$13)-$K$13),HU_beta*($T$13-$K$13)))))</f>
        <v/>
      </c>
      <c r="BK147" s="29">
        <f>IF(OR(BH147=0,$S$13=0),0,IF((AE147+$K$13)&gt;$S$13/HU_alpha+$K$13,0.5*$S$13/HU_alpha,IF((AE147+$K$13)&gt;=$K$13,((AE147+$K$13)-$K$13)-0.5*HU_alpha/$S$13*((AE147+$K$13)-$K$13)^2,IF((AE147+$K$13)&gt;=$T$13,HU_beta*((AE147+$K$13)-$K$13),HU_beta*($T$13-$K$13)))))</f>
        <v/>
      </c>
    </row>
    <row r="148">
      <c r="A148" s="61" t="n">
        <v>80</v>
      </c>
      <c r="B148" s="61">
        <f>HU_age+A148</f>
        <v/>
      </c>
      <c r="C148" s="52">
        <f>A148&lt;=HU_T</f>
        <v/>
      </c>
      <c r="D148" s="63">
        <f>IF(OR(A148&lt;1,A148&gt;HU_T),0,INDEX(HU_q_mort,HU_age+A148-17,HU_col))</f>
        <v/>
      </c>
      <c r="E148" s="63">
        <f>IF(OR(A148&lt;1,A148&gt;HU_T),0,INDEX(HU_q_adb,HU_age+A148-17,HU_col))</f>
        <v/>
      </c>
      <c r="F148" s="63">
        <f>IF(OR(A148&lt;1,A148&gt;HU_T),0,INDEX(HU_q_morb,HU_age+A148-17,HU_col))</f>
        <v/>
      </c>
      <c r="G148" s="63">
        <f>IF(OR(A148&lt;1,A148&gt;HU_T),0,INDEX(HU_q_ptd,HU_age+A148-17,HU_col))</f>
        <v/>
      </c>
      <c r="H148" s="63">
        <f>IF(OR(A148&lt;1,A148&gt;HU_T),0,INDEX(HU_q_dis,HU_age+A148-17,HU_col))</f>
        <v/>
      </c>
      <c r="I148" s="63">
        <f>IF(A148&gt;HU_T,0,I147*(1-D148)*(1-E148))</f>
        <v/>
      </c>
      <c r="J148" s="63">
        <f>IF(A148&gt;=HU_T,0,N(I149))</f>
        <v/>
      </c>
      <c r="K148" s="63">
        <f>K147*(1-G148)</f>
        <v/>
      </c>
      <c r="L148" s="63">
        <f>1-K148</f>
        <v/>
      </c>
      <c r="M148" s="63">
        <f>K147*G148</f>
        <v/>
      </c>
      <c r="N148" s="63">
        <f>N147*(1-H148)</f>
        <v/>
      </c>
      <c r="O148" s="63">
        <f>1-N147</f>
        <v/>
      </c>
      <c r="P148" s="63">
        <f>P147*(1-F148)</f>
        <v/>
      </c>
      <c r="Q148" s="63">
        <f>1-P147/INDEX($P$68:$P$150,MAX(1,A148-HU_ciYears))</f>
        <v/>
      </c>
      <c r="R148" s="60">
        <f>(1+inflationRate)^A148</f>
        <v/>
      </c>
      <c r="S148" s="29">
        <f>IF(OR(OR(A148&lt;1,A148&gt;HU_T),A148-1&gt;=HU_dtr),0,HU_inc0*(1+incomeGrowthRate)^A148)</f>
        <v/>
      </c>
      <c r="T148" s="60">
        <f>IF(A148&gt;HU_T,T147,T147*(1+INDEX(HU_ssG,HU_age+A148-17)))</f>
        <v/>
      </c>
      <c r="U148" s="29">
        <f>IF(AND(HU_dtr&gt;=1,A148=HU_dtr,A148&lt;=HU_T),MIN(S148*INDEX(HU_ssC,HU_age+A148-17)/(1-INDEX(HU_ssC,HU_age+A148-17)),INDEX(HU_ssCap,HU_age+A148-17))*T148,0)</f>
        <v/>
      </c>
      <c r="V148" s="29">
        <f>S148+U148+IF(AND(HU_wdOn,A148=HU_wdYear),HU_wdIncome,0)</f>
        <v/>
      </c>
      <c r="W148" s="60">
        <f>HU_ciProp*Q148+HU_tpdCut*L148+HU_disCut*O148</f>
        <v/>
      </c>
      <c r="X148" s="29">
        <f>IF(OR(A148&lt;1,A148&gt;HU_T),0,V148*(1-W148))</f>
        <v/>
      </c>
      <c r="Y148" s="29">
        <f>IF(OR(A148&lt;1,A148&gt;HU_T),0,IF(AND(HU_retExp&gt;0,A148-1&gt;=HU_dtr),HU_retExp,HU_exp0)*R148)</f>
        <v/>
      </c>
      <c r="Z148" s="29">
        <f>-Y148-IF(AND(HU_wdOn,A148=HU_wdYear),HU_wdOut,0)</f>
        <v/>
      </c>
      <c r="AA148" s="29">
        <f>IF(OR(A148&lt;1,A148&gt;HU_T),0,-HU_medCost*R148*F148-HU_tpdCost*R148*M148)</f>
        <v/>
      </c>
      <c r="AB148" s="29">
        <f>IF(A148&gt;HU_T,0,AB147*(1+interestRate)+X148+Z148+AA148)</f>
        <v/>
      </c>
      <c r="AC148" s="29">
        <f>IF(A148&gt;HU_T,0,HU_inv*EXP(HU_mu*A148))</f>
        <v/>
      </c>
      <c r="AD148" s="29">
        <f>IF(A148&gt;HU_T,0,MAX(0,AC148+AB148))</f>
        <v/>
      </c>
      <c r="AE148" s="29">
        <f>IF(A148&gt;HU_T,0,MAX(0,X148-Y148))</f>
        <v/>
      </c>
      <c r="AF148" s="63">
        <f>IF(AND($J$6,A148&gt;=1,A148&lt;=$Q$6-1),J148,0)</f>
        <v/>
      </c>
      <c r="AG148" s="29">
        <f>IF(OR(AF148=0,$S$6=0),0,IF((AD148+$L$6)&gt;$S$6/HU_alpha+$K$6,0.5*$S$6/HU_alpha,IF((AD148+$L$6)&gt;=$K$6,((AD148+$L$6)-$K$6)-0.5*HU_alpha/$S$6*((AD148+$L$6)-$K$6)^2,IF((AD148+$L$6)&gt;=$T$6,HU_beta*((AD148+$L$6)-$K$6),HU_beta*($T$6-$K$6)))))</f>
        <v/>
      </c>
      <c r="AH148" s="29">
        <f>IF(OR(AF148=0,$S$6=0),0,IF((AD148+$L$6+$N$6)&gt;$S$6/HU_alpha+$K$6,0.5*$S$6/HU_alpha,IF((AD148+$L$6+$N$6)&gt;=$K$6,((AD148+$L$6+$N$6)-$K$6)-0.5*HU_alpha/$S$6*((AD148+$L$6+$N$6)-$K$6)^2,IF((AD148+$L$6+$N$6)&gt;=$T$6,HU_beta*((AD148+$L$6+$N$6)-$K$6),HU_beta*($T$6-$K$6)))))</f>
        <v/>
      </c>
      <c r="AI148" s="29">
        <f>IF(OR(AF148=0,$S$6=0),0,IF((AD148+$K$6)&gt;$S$6/HU_alpha+$K$6,0.5*$S$6/HU_alpha,IF((AD148+$K$6)&gt;=$K$6,((AD148+$K$6)-$K$6)-0.5*HU_alpha/$S$6*((AD148+$K$6)-$K$6)^2,IF((AD148+$K$6)&gt;=$T$6,HU_beta*((AD148+$K$6)-$K$6),HU_beta*($T$6-$K$6)))))</f>
        <v/>
      </c>
      <c r="AJ148" s="63">
        <f>IF(AND($J$7,A148&gt;=1,A148&lt;=$Q$7-1),J148,0)</f>
        <v/>
      </c>
      <c r="AK148" s="29">
        <f>IF(OR(AJ148=0,$S$7=0),0,IF((AE148+$L$7)&gt;$S$7/HU_alpha+$K$7,0.5*$S$7/HU_alpha,IF((AE148+$L$7)&gt;=$K$7,((AE148+$L$7)-$K$7)-0.5*HU_alpha/$S$7*((AE148+$L$7)-$K$7)^2,IF((AE148+$L$7)&gt;=$T$7,HU_beta*((AE148+$L$7)-$K$7),HU_beta*($T$7-$K$7)))))</f>
        <v/>
      </c>
      <c r="AL148" s="29">
        <f>IF(OR(AJ148=0,$S$7=0),0,IF((AE148+$L$7+$N$7)&gt;$S$7/HU_alpha+$K$7,0.5*$S$7/HU_alpha,IF((AE148+$L$7+$N$7)&gt;=$K$7,((AE148+$L$7+$N$7)-$K$7)-0.5*HU_alpha/$S$7*((AE148+$L$7+$N$7)-$K$7)^2,IF((AE148+$L$7+$N$7)&gt;=$T$7,HU_beta*((AE148+$L$7+$N$7)-$K$7),HU_beta*($T$7-$K$7)))))</f>
        <v/>
      </c>
      <c r="AM148" s="29">
        <f>IF(OR(AJ148=0,$S$7=0),0,IF((AE148+$K$7)&gt;$S$7/HU_alpha+$K$7,0.5*$S$7/HU_alpha,IF((AE148+$K$7)&gt;=$K$7,((AE148+$K$7)-$K$7)-0.5*HU_alpha/$S$7*((AE148+$K$7)-$K$7)^2,IF((AE148+$K$7)&gt;=$T$7,HU_beta*((AE148+$K$7)-$K$7),HU_beta*($T$7-$K$7)))))</f>
        <v/>
      </c>
      <c r="AN148" s="63">
        <f>IF(AND($J$8,A148&gt;=1,A148&lt;=$Q$8-1),J148,0)</f>
        <v/>
      </c>
      <c r="AO148" s="29">
        <f>IF(OR(AN148=0,$S$8=0),0,IF((AE148+$L$8)&gt;$S$8/HU_alpha+$K$8,0.5*$S$8/HU_alpha,IF((AE148+$L$8)&gt;=$K$8,((AE148+$L$8)-$K$8)-0.5*HU_alpha/$S$8*((AE148+$L$8)-$K$8)^2,IF((AE148+$L$8)&gt;=$T$8,HU_beta*((AE148+$L$8)-$K$8),HU_beta*($T$8-$K$8)))))</f>
        <v/>
      </c>
      <c r="AP148" s="29">
        <f>IF(OR(AN148=0,$S$8=0),0,IF((AE148+$L$8+$N$8)&gt;$S$8/HU_alpha+$K$8,0.5*$S$8/HU_alpha,IF((AE148+$L$8+$N$8)&gt;=$K$8,((AE148+$L$8+$N$8)-$K$8)-0.5*HU_alpha/$S$8*((AE148+$L$8+$N$8)-$K$8)^2,IF((AE148+$L$8+$N$8)&gt;=$T$8,HU_beta*((AE148+$L$8+$N$8)-$K$8),HU_beta*($T$8-$K$8)))))</f>
        <v/>
      </c>
      <c r="AQ148" s="29">
        <f>IF(OR(AN148=0,$S$8=0),0,IF((AE148+$K$8)&gt;$S$8/HU_alpha+$K$8,0.5*$S$8/HU_alpha,IF((AE148+$K$8)&gt;=$K$8,((AE148+$K$8)-$K$8)-0.5*HU_alpha/$S$8*((AE148+$K$8)-$K$8)^2,IF((AE148+$K$8)&gt;=$T$8,HU_beta*((AE148+$K$8)-$K$8),HU_beta*($T$8-$K$8)))))</f>
        <v/>
      </c>
      <c r="AR148" s="63">
        <f>IF(AND($J$9,A148&gt;=1,A148&lt;=$Q$9-1),J148,0)</f>
        <v/>
      </c>
      <c r="AS148" s="29">
        <f>IF(OR(AR148=0,$S$9=0),0,IF((AE148+$L$9)&gt;$S$9/HU_alpha+$K$9,0.5*$S$9/HU_alpha,IF((AE148+$L$9)&gt;=$K$9,((AE148+$L$9)-$K$9)-0.5*HU_alpha/$S$9*((AE148+$L$9)-$K$9)^2,IF((AE148+$L$9)&gt;=$T$9,HU_beta*((AE148+$L$9)-$K$9),HU_beta*($T$9-$K$9)))))</f>
        <v/>
      </c>
      <c r="AT148" s="29">
        <f>IF(OR(AR148=0,$S$9=0),0,IF((AE148+$L$9+$N$9)&gt;$S$9/HU_alpha+$K$9,0.5*$S$9/HU_alpha,IF((AE148+$L$9+$N$9)&gt;=$K$9,((AE148+$L$9+$N$9)-$K$9)-0.5*HU_alpha/$S$9*((AE148+$L$9+$N$9)-$K$9)^2,IF((AE148+$L$9+$N$9)&gt;=$T$9,HU_beta*((AE148+$L$9+$N$9)-$K$9),HU_beta*($T$9-$K$9)))))</f>
        <v/>
      </c>
      <c r="AU148" s="29">
        <f>IF(OR(AR148=0,$S$9=0),0,IF((AE148+$K$9)&gt;$S$9/HU_alpha+$K$9,0.5*$S$9/HU_alpha,IF((AE148+$K$9)&gt;=$K$9,((AE148+$K$9)-$K$9)-0.5*HU_alpha/$S$9*((AE148+$K$9)-$K$9)^2,IF((AE148+$K$9)&gt;=$T$9,HU_beta*((AE148+$K$9)-$K$9),HU_beta*($T$9-$K$9)))))</f>
        <v/>
      </c>
      <c r="AV148" s="63">
        <f>IF(AND($J$10,A148=$Q$10),J148,0)</f>
        <v/>
      </c>
      <c r="AW148" s="29">
        <f>IF(OR(AV148=0,$S$10=0),0,IF((AD148+$L$10)&gt;$S$10/HU_alpha+$K$10,0.5*$S$10/HU_alpha,IF((AD148+$L$10)&gt;=$K$10,((AD148+$L$10)-$K$10)-0.5*HU_alpha/$S$10*((AD148+$L$10)-$K$10)^2,IF((AD148+$L$10)&gt;=$T$10,HU_beta*((AD148+$L$10)-$K$10),HU_beta*($T$10-$K$10)))))</f>
        <v/>
      </c>
      <c r="AX148" s="29">
        <f>IF(OR(AV148=0,$S$10=0),0,IF((AD148+$L$10+$N$10)&gt;$S$10/HU_alpha+$K$10,0.5*$S$10/HU_alpha,IF((AD148+$L$10+$N$10)&gt;=$K$10,((AD148+$L$10+$N$10)-$K$10)-0.5*HU_alpha/$S$10*((AD148+$L$10+$N$10)-$K$10)^2,IF((AD148+$L$10+$N$10)&gt;=$T$10,HU_beta*((AD148+$L$10+$N$10)-$K$10),HU_beta*($T$10-$K$10)))))</f>
        <v/>
      </c>
      <c r="AY148" s="29">
        <f>IF(OR(AV148=0,$S$10=0),0,IF((AD148+$K$10)&gt;$S$10/HU_alpha+$K$10,0.5*$S$10/HU_alpha,IF((AD148+$K$10)&gt;=$K$10,((AD148+$K$10)-$K$10)-0.5*HU_alpha/$S$10*((AD148+$K$10)-$K$10)^2,IF((AD148+$K$10)&gt;=$T$10,HU_beta*((AD148+$K$10)-$K$10),HU_beta*($T$10-$K$10)))))</f>
        <v/>
      </c>
      <c r="AZ148" s="63">
        <f>IF(AND($J$11,A148=$Q$11),J148,0)</f>
        <v/>
      </c>
      <c r="BA148" s="29">
        <f>IF(OR(AZ148=0,$S$11=0),0,IF((AE148+$L$11)&gt;$S$11/HU_alpha+$K$11,0.5*$S$11/HU_alpha,IF((AE148+$L$11)&gt;=$K$11,((AE148+$L$11)-$K$11)-0.5*HU_alpha/$S$11*((AE148+$L$11)-$K$11)^2,IF((AE148+$L$11)&gt;=$T$11,HU_beta*((AE148+$L$11)-$K$11),HU_beta*($T$11-$K$11)))))</f>
        <v/>
      </c>
      <c r="BB148" s="29">
        <f>IF(OR(AZ148=0,$S$11=0),0,IF((AE148+$L$11+$N$11)&gt;$S$11/HU_alpha+$K$11,0.5*$S$11/HU_alpha,IF((AE148+$L$11+$N$11)&gt;=$K$11,((AE148+$L$11+$N$11)-$K$11)-0.5*HU_alpha/$S$11*((AE148+$L$11+$N$11)-$K$11)^2,IF((AE148+$L$11+$N$11)&gt;=$T$11,HU_beta*((AE148+$L$11+$N$11)-$K$11),HU_beta*($T$11-$K$11)))))</f>
        <v/>
      </c>
      <c r="BC148" s="29">
        <f>IF(OR(AZ148=0,$S$11=0),0,IF((AE148+$K$11)&gt;$S$11/HU_alpha+$K$11,0.5*$S$11/HU_alpha,IF((AE148+$K$11)&gt;=$K$11,((AE148+$K$11)-$K$11)-0.5*HU_alpha/$S$11*((AE148+$K$11)-$K$11)^2,IF((AE148+$K$11)&gt;=$T$11,HU_beta*((AE148+$K$11)-$K$11),HU_beta*($T$11-$K$11)))))</f>
        <v/>
      </c>
      <c r="BD148" s="63">
        <f>IF(AND($J$12,A148=$Q$12),J148,0)</f>
        <v/>
      </c>
      <c r="BE148" s="29">
        <f>IF(OR(BD148=0,$S$12=0),0,IF((AE148+$L$12)&gt;$S$12/HU_alpha+$K$12,0.5*$S$12/HU_alpha,IF((AE148+$L$12)&gt;=$K$12,((AE148+$L$12)-$K$12)-0.5*HU_alpha/$S$12*((AE148+$L$12)-$K$12)^2,IF((AE148+$L$12)&gt;=$T$12,HU_beta*((AE148+$L$12)-$K$12),HU_beta*($T$12-$K$12)))))</f>
        <v/>
      </c>
      <c r="BF148" s="29">
        <f>IF(OR(BD148=0,$S$12=0),0,IF((AE148+$L$12+$N$12)&gt;$S$12/HU_alpha+$K$12,0.5*$S$12/HU_alpha,IF((AE148+$L$12+$N$12)&gt;=$K$12,((AE148+$L$12+$N$12)-$K$12)-0.5*HU_alpha/$S$12*((AE148+$L$12+$N$12)-$K$12)^2,IF((AE148+$L$12+$N$12)&gt;=$T$12,HU_beta*((AE148+$L$12+$N$12)-$K$12),HU_beta*($T$12-$K$12)))))</f>
        <v/>
      </c>
      <c r="BG148" s="29">
        <f>IF(OR(BD148=0,$S$12=0),0,IF((AE148+$K$12)&gt;$S$12/HU_alpha+$K$12,0.5*$S$12/HU_alpha,IF((AE148+$K$12)&gt;=$K$12,((AE148+$K$12)-$K$12)-0.5*HU_alpha/$S$12*((AE148+$K$12)-$K$12)^2,IF((AE148+$K$12)&gt;=$T$12,HU_beta*((AE148+$K$12)-$K$12),HU_beta*($T$12-$K$12)))))</f>
        <v/>
      </c>
      <c r="BH148" s="63">
        <f>IF(AND($J$13,A148=$Q$13),J148,0)</f>
        <v/>
      </c>
      <c r="BI148" s="29">
        <f>IF(OR(BH148=0,$S$13=0),0,IF((AE148+$L$13)&gt;$S$13/HU_alpha+$K$13,0.5*$S$13/HU_alpha,IF((AE148+$L$13)&gt;=$K$13,((AE148+$L$13)-$K$13)-0.5*HU_alpha/$S$13*((AE148+$L$13)-$K$13)^2,IF((AE148+$L$13)&gt;=$T$13,HU_beta*((AE148+$L$13)-$K$13),HU_beta*($T$13-$K$13)))))</f>
        <v/>
      </c>
      <c r="BJ148" s="29">
        <f>IF(OR(BH148=0,$S$13=0),0,IF((AE148+$L$13+$N$13)&gt;$S$13/HU_alpha+$K$13,0.5*$S$13/HU_alpha,IF((AE148+$L$13+$N$13)&gt;=$K$13,((AE148+$L$13+$N$13)-$K$13)-0.5*HU_alpha/$S$13*((AE148+$L$13+$N$13)-$K$13)^2,IF((AE148+$L$13+$N$13)&gt;=$T$13,HU_beta*((AE148+$L$13+$N$13)-$K$13),HU_beta*($T$13-$K$13)))))</f>
        <v/>
      </c>
      <c r="BK148" s="29">
        <f>IF(OR(BH148=0,$S$13=0),0,IF((AE148+$K$13)&gt;$S$13/HU_alpha+$K$13,0.5*$S$13/HU_alpha,IF((AE148+$K$13)&gt;=$K$13,((AE148+$K$13)-$K$13)-0.5*HU_alpha/$S$13*((AE148+$K$13)-$K$13)^2,IF((AE148+$K$13)&gt;=$T$13,HU_beta*((AE148+$K$13)-$K$13),HU_beta*($T$13-$K$13)))))</f>
        <v/>
      </c>
    </row>
    <row r="149">
      <c r="A149" s="61" t="n">
        <v>81</v>
      </c>
      <c r="B149" s="61">
        <f>HU_age+A149</f>
        <v/>
      </c>
      <c r="C149" s="52">
        <f>A149&lt;=HU_T</f>
        <v/>
      </c>
      <c r="D149" s="63">
        <f>IF(OR(A149&lt;1,A149&gt;HU_T),0,INDEX(HU_q_mort,HU_age+A149-17,HU_col))</f>
        <v/>
      </c>
      <c r="E149" s="63">
        <f>IF(OR(A149&lt;1,A149&gt;HU_T),0,INDEX(HU_q_adb,HU_age+A149-17,HU_col))</f>
        <v/>
      </c>
      <c r="F149" s="63">
        <f>IF(OR(A149&lt;1,A149&gt;HU_T),0,INDEX(HU_q_morb,HU_age+A149-17,HU_col))</f>
        <v/>
      </c>
      <c r="G149" s="63">
        <f>IF(OR(A149&lt;1,A149&gt;HU_T),0,INDEX(HU_q_ptd,HU_age+A149-17,HU_col))</f>
        <v/>
      </c>
      <c r="H149" s="63">
        <f>IF(OR(A149&lt;1,A149&gt;HU_T),0,INDEX(HU_q_dis,HU_age+A149-17,HU_col))</f>
        <v/>
      </c>
      <c r="I149" s="63">
        <f>IF(A149&gt;HU_T,0,I148*(1-D149)*(1-E149))</f>
        <v/>
      </c>
      <c r="J149" s="63">
        <f>IF(A149&gt;=HU_T,0,N(I150))</f>
        <v/>
      </c>
      <c r="K149" s="63">
        <f>K148*(1-G149)</f>
        <v/>
      </c>
      <c r="L149" s="63">
        <f>1-K149</f>
        <v/>
      </c>
      <c r="M149" s="63">
        <f>K148*G149</f>
        <v/>
      </c>
      <c r="N149" s="63">
        <f>N148*(1-H149)</f>
        <v/>
      </c>
      <c r="O149" s="63">
        <f>1-N148</f>
        <v/>
      </c>
      <c r="P149" s="63">
        <f>P148*(1-F149)</f>
        <v/>
      </c>
      <c r="Q149" s="63">
        <f>1-P148/INDEX($P$68:$P$150,MAX(1,A149-HU_ciYears))</f>
        <v/>
      </c>
      <c r="R149" s="60">
        <f>(1+inflationRate)^A149</f>
        <v/>
      </c>
      <c r="S149" s="29">
        <f>IF(OR(OR(A149&lt;1,A149&gt;HU_T),A149-1&gt;=HU_dtr),0,HU_inc0*(1+incomeGrowthRate)^A149)</f>
        <v/>
      </c>
      <c r="T149" s="60">
        <f>IF(A149&gt;HU_T,T148,T148*(1+INDEX(HU_ssG,HU_age+A149-17)))</f>
        <v/>
      </c>
      <c r="U149" s="29">
        <f>IF(AND(HU_dtr&gt;=1,A149=HU_dtr,A149&lt;=HU_T),MIN(S149*INDEX(HU_ssC,HU_age+A149-17)/(1-INDEX(HU_ssC,HU_age+A149-17)),INDEX(HU_ssCap,HU_age+A149-17))*T149,0)</f>
        <v/>
      </c>
      <c r="V149" s="29">
        <f>S149+U149+IF(AND(HU_wdOn,A149=HU_wdYear),HU_wdIncome,0)</f>
        <v/>
      </c>
      <c r="W149" s="60">
        <f>HU_ciProp*Q149+HU_tpdCut*L149+HU_disCut*O149</f>
        <v/>
      </c>
      <c r="X149" s="29">
        <f>IF(OR(A149&lt;1,A149&gt;HU_T),0,V149*(1-W149))</f>
        <v/>
      </c>
      <c r="Y149" s="29">
        <f>IF(OR(A149&lt;1,A149&gt;HU_T),0,IF(AND(HU_retExp&gt;0,A149-1&gt;=HU_dtr),HU_retExp,HU_exp0)*R149)</f>
        <v/>
      </c>
      <c r="Z149" s="29">
        <f>-Y149-IF(AND(HU_wdOn,A149=HU_wdYear),HU_wdOut,0)</f>
        <v/>
      </c>
      <c r="AA149" s="29">
        <f>IF(OR(A149&lt;1,A149&gt;HU_T),0,-HU_medCost*R149*F149-HU_tpdCost*R149*M149)</f>
        <v/>
      </c>
      <c r="AB149" s="29">
        <f>IF(A149&gt;HU_T,0,AB148*(1+interestRate)+X149+Z149+AA149)</f>
        <v/>
      </c>
      <c r="AC149" s="29">
        <f>IF(A149&gt;HU_T,0,HU_inv*EXP(HU_mu*A149))</f>
        <v/>
      </c>
      <c r="AD149" s="29">
        <f>IF(A149&gt;HU_T,0,MAX(0,AC149+AB149))</f>
        <v/>
      </c>
      <c r="AE149" s="29">
        <f>IF(A149&gt;HU_T,0,MAX(0,X149-Y149))</f>
        <v/>
      </c>
      <c r="AF149" s="63">
        <f>IF(AND($J$6,A149&gt;=1,A149&lt;=$Q$6-1),J149,0)</f>
        <v/>
      </c>
      <c r="AG149" s="29">
        <f>IF(OR(AF149=0,$S$6=0),0,IF((AD149+$L$6)&gt;$S$6/HU_alpha+$K$6,0.5*$S$6/HU_alpha,IF((AD149+$L$6)&gt;=$K$6,((AD149+$L$6)-$K$6)-0.5*HU_alpha/$S$6*((AD149+$L$6)-$K$6)^2,IF((AD149+$L$6)&gt;=$T$6,HU_beta*((AD149+$L$6)-$K$6),HU_beta*($T$6-$K$6)))))</f>
        <v/>
      </c>
      <c r="AH149" s="29">
        <f>IF(OR(AF149=0,$S$6=0),0,IF((AD149+$L$6+$N$6)&gt;$S$6/HU_alpha+$K$6,0.5*$S$6/HU_alpha,IF((AD149+$L$6+$N$6)&gt;=$K$6,((AD149+$L$6+$N$6)-$K$6)-0.5*HU_alpha/$S$6*((AD149+$L$6+$N$6)-$K$6)^2,IF((AD149+$L$6+$N$6)&gt;=$T$6,HU_beta*((AD149+$L$6+$N$6)-$K$6),HU_beta*($T$6-$K$6)))))</f>
        <v/>
      </c>
      <c r="AI149" s="29">
        <f>IF(OR(AF149=0,$S$6=0),0,IF((AD149+$K$6)&gt;$S$6/HU_alpha+$K$6,0.5*$S$6/HU_alpha,IF((AD149+$K$6)&gt;=$K$6,((AD149+$K$6)-$K$6)-0.5*HU_alpha/$S$6*((AD149+$K$6)-$K$6)^2,IF((AD149+$K$6)&gt;=$T$6,HU_beta*((AD149+$K$6)-$K$6),HU_beta*($T$6-$K$6)))))</f>
        <v/>
      </c>
      <c r="AJ149" s="63">
        <f>IF(AND($J$7,A149&gt;=1,A149&lt;=$Q$7-1),J149,0)</f>
        <v/>
      </c>
      <c r="AK149" s="29">
        <f>IF(OR(AJ149=0,$S$7=0),0,IF((AE149+$L$7)&gt;$S$7/HU_alpha+$K$7,0.5*$S$7/HU_alpha,IF((AE149+$L$7)&gt;=$K$7,((AE149+$L$7)-$K$7)-0.5*HU_alpha/$S$7*((AE149+$L$7)-$K$7)^2,IF((AE149+$L$7)&gt;=$T$7,HU_beta*((AE149+$L$7)-$K$7),HU_beta*($T$7-$K$7)))))</f>
        <v/>
      </c>
      <c r="AL149" s="29">
        <f>IF(OR(AJ149=0,$S$7=0),0,IF((AE149+$L$7+$N$7)&gt;$S$7/HU_alpha+$K$7,0.5*$S$7/HU_alpha,IF((AE149+$L$7+$N$7)&gt;=$K$7,((AE149+$L$7+$N$7)-$K$7)-0.5*HU_alpha/$S$7*((AE149+$L$7+$N$7)-$K$7)^2,IF((AE149+$L$7+$N$7)&gt;=$T$7,HU_beta*((AE149+$L$7+$N$7)-$K$7),HU_beta*($T$7-$K$7)))))</f>
        <v/>
      </c>
      <c r="AM149" s="29">
        <f>IF(OR(AJ149=0,$S$7=0),0,IF((AE149+$K$7)&gt;$S$7/HU_alpha+$K$7,0.5*$S$7/HU_alpha,IF((AE149+$K$7)&gt;=$K$7,((AE149+$K$7)-$K$7)-0.5*HU_alpha/$S$7*((AE149+$K$7)-$K$7)^2,IF((AE149+$K$7)&gt;=$T$7,HU_beta*((AE149+$K$7)-$K$7),HU_beta*($T$7-$K$7)))))</f>
        <v/>
      </c>
      <c r="AN149" s="63">
        <f>IF(AND($J$8,A149&gt;=1,A149&lt;=$Q$8-1),J149,0)</f>
        <v/>
      </c>
      <c r="AO149" s="29">
        <f>IF(OR(AN149=0,$S$8=0),0,IF((AE149+$L$8)&gt;$S$8/HU_alpha+$K$8,0.5*$S$8/HU_alpha,IF((AE149+$L$8)&gt;=$K$8,((AE149+$L$8)-$K$8)-0.5*HU_alpha/$S$8*((AE149+$L$8)-$K$8)^2,IF((AE149+$L$8)&gt;=$T$8,HU_beta*((AE149+$L$8)-$K$8),HU_beta*($T$8-$K$8)))))</f>
        <v/>
      </c>
      <c r="AP149" s="29">
        <f>IF(OR(AN149=0,$S$8=0),0,IF((AE149+$L$8+$N$8)&gt;$S$8/HU_alpha+$K$8,0.5*$S$8/HU_alpha,IF((AE149+$L$8+$N$8)&gt;=$K$8,((AE149+$L$8+$N$8)-$K$8)-0.5*HU_alpha/$S$8*((AE149+$L$8+$N$8)-$K$8)^2,IF((AE149+$L$8+$N$8)&gt;=$T$8,HU_beta*((AE149+$L$8+$N$8)-$K$8),HU_beta*($T$8-$K$8)))))</f>
        <v/>
      </c>
      <c r="AQ149" s="29">
        <f>IF(OR(AN149=0,$S$8=0),0,IF((AE149+$K$8)&gt;$S$8/HU_alpha+$K$8,0.5*$S$8/HU_alpha,IF((AE149+$K$8)&gt;=$K$8,((AE149+$K$8)-$K$8)-0.5*HU_alpha/$S$8*((AE149+$K$8)-$K$8)^2,IF((AE149+$K$8)&gt;=$T$8,HU_beta*((AE149+$K$8)-$K$8),HU_beta*($T$8-$K$8)))))</f>
        <v/>
      </c>
      <c r="AR149" s="63">
        <f>IF(AND($J$9,A149&gt;=1,A149&lt;=$Q$9-1),J149,0)</f>
        <v/>
      </c>
      <c r="AS149" s="29">
        <f>IF(OR(AR149=0,$S$9=0),0,IF((AE149+$L$9)&gt;$S$9/HU_alpha+$K$9,0.5*$S$9/HU_alpha,IF((AE149+$L$9)&gt;=$K$9,((AE149+$L$9)-$K$9)-0.5*HU_alpha/$S$9*((AE149+$L$9)-$K$9)^2,IF((AE149+$L$9)&gt;=$T$9,HU_beta*((AE149+$L$9)-$K$9),HU_beta*($T$9-$K$9)))))</f>
        <v/>
      </c>
      <c r="AT149" s="29">
        <f>IF(OR(AR149=0,$S$9=0),0,IF((AE149+$L$9+$N$9)&gt;$S$9/HU_alpha+$K$9,0.5*$S$9/HU_alpha,IF((AE149+$L$9+$N$9)&gt;=$K$9,((AE149+$L$9+$N$9)-$K$9)-0.5*HU_alpha/$S$9*((AE149+$L$9+$N$9)-$K$9)^2,IF((AE149+$L$9+$N$9)&gt;=$T$9,HU_beta*((AE149+$L$9+$N$9)-$K$9),HU_beta*($T$9-$K$9)))))</f>
        <v/>
      </c>
      <c r="AU149" s="29">
        <f>IF(OR(AR149=0,$S$9=0),0,IF((AE149+$K$9)&gt;$S$9/HU_alpha+$K$9,0.5*$S$9/HU_alpha,IF((AE149+$K$9)&gt;=$K$9,((AE149+$K$9)-$K$9)-0.5*HU_alpha/$S$9*((AE149+$K$9)-$K$9)^2,IF((AE149+$K$9)&gt;=$T$9,HU_beta*((AE149+$K$9)-$K$9),HU_beta*($T$9-$K$9)))))</f>
        <v/>
      </c>
      <c r="AV149" s="63">
        <f>IF(AND($J$10,A149=$Q$10),J149,0)</f>
        <v/>
      </c>
      <c r="AW149" s="29">
        <f>IF(OR(AV149=0,$S$10=0),0,IF((AD149+$L$10)&gt;$S$10/HU_alpha+$K$10,0.5*$S$10/HU_alpha,IF((AD149+$L$10)&gt;=$K$10,((AD149+$L$10)-$K$10)-0.5*HU_alpha/$S$10*((AD149+$L$10)-$K$10)^2,IF((AD149+$L$10)&gt;=$T$10,HU_beta*((AD149+$L$10)-$K$10),HU_beta*($T$10-$K$10)))))</f>
        <v/>
      </c>
      <c r="AX149" s="29">
        <f>IF(OR(AV149=0,$S$10=0),0,IF((AD149+$L$10+$N$10)&gt;$S$10/HU_alpha+$K$10,0.5*$S$10/HU_alpha,IF((AD149+$L$10+$N$10)&gt;=$K$10,((AD149+$L$10+$N$10)-$K$10)-0.5*HU_alpha/$S$10*((AD149+$L$10+$N$10)-$K$10)^2,IF((AD149+$L$10+$N$10)&gt;=$T$10,HU_beta*((AD149+$L$10+$N$10)-$K$10),HU_beta*($T$10-$K$10)))))</f>
        <v/>
      </c>
      <c r="AY149" s="29">
        <f>IF(OR(AV149=0,$S$10=0),0,IF((AD149+$K$10)&gt;$S$10/HU_alpha+$K$10,0.5*$S$10/HU_alpha,IF((AD149+$K$10)&gt;=$K$10,((AD149+$K$10)-$K$10)-0.5*HU_alpha/$S$10*((AD149+$K$10)-$K$10)^2,IF((AD149+$K$10)&gt;=$T$10,HU_beta*((AD149+$K$10)-$K$10),HU_beta*($T$10-$K$10)))))</f>
        <v/>
      </c>
      <c r="AZ149" s="63">
        <f>IF(AND($J$11,A149=$Q$11),J149,0)</f>
        <v/>
      </c>
      <c r="BA149" s="29">
        <f>IF(OR(AZ149=0,$S$11=0),0,IF((AE149+$L$11)&gt;$S$11/HU_alpha+$K$11,0.5*$S$11/HU_alpha,IF((AE149+$L$11)&gt;=$K$11,((AE149+$L$11)-$K$11)-0.5*HU_alpha/$S$11*((AE149+$L$11)-$K$11)^2,IF((AE149+$L$11)&gt;=$T$11,HU_beta*((AE149+$L$11)-$K$11),HU_beta*($T$11-$K$11)))))</f>
        <v/>
      </c>
      <c r="BB149" s="29">
        <f>IF(OR(AZ149=0,$S$11=0),0,IF((AE149+$L$11+$N$11)&gt;$S$11/HU_alpha+$K$11,0.5*$S$11/HU_alpha,IF((AE149+$L$11+$N$11)&gt;=$K$11,((AE149+$L$11+$N$11)-$K$11)-0.5*HU_alpha/$S$11*((AE149+$L$11+$N$11)-$K$11)^2,IF((AE149+$L$11+$N$11)&gt;=$T$11,HU_beta*((AE149+$L$11+$N$11)-$K$11),HU_beta*($T$11-$K$11)))))</f>
        <v/>
      </c>
      <c r="BC149" s="29">
        <f>IF(OR(AZ149=0,$S$11=0),0,IF((AE149+$K$11)&gt;$S$11/HU_alpha+$K$11,0.5*$S$11/HU_alpha,IF((AE149+$K$11)&gt;=$K$11,((AE149+$K$11)-$K$11)-0.5*HU_alpha/$S$11*((AE149+$K$11)-$K$11)^2,IF((AE149+$K$11)&gt;=$T$11,HU_beta*((AE149+$K$11)-$K$11),HU_beta*($T$11-$K$11)))))</f>
        <v/>
      </c>
      <c r="BD149" s="63">
        <f>IF(AND($J$12,A149=$Q$12),J149,0)</f>
        <v/>
      </c>
      <c r="BE149" s="29">
        <f>IF(OR(BD149=0,$S$12=0),0,IF((AE149+$L$12)&gt;$S$12/HU_alpha+$K$12,0.5*$S$12/HU_alpha,IF((AE149+$L$12)&gt;=$K$12,((AE149+$L$12)-$K$12)-0.5*HU_alpha/$S$12*((AE149+$L$12)-$K$12)^2,IF((AE149+$L$12)&gt;=$T$12,HU_beta*((AE149+$L$12)-$K$12),HU_beta*($T$12-$K$12)))))</f>
        <v/>
      </c>
      <c r="BF149" s="29">
        <f>IF(OR(BD149=0,$S$12=0),0,IF((AE149+$L$12+$N$12)&gt;$S$12/HU_alpha+$K$12,0.5*$S$12/HU_alpha,IF((AE149+$L$12+$N$12)&gt;=$K$12,((AE149+$L$12+$N$12)-$K$12)-0.5*HU_alpha/$S$12*((AE149+$L$12+$N$12)-$K$12)^2,IF((AE149+$L$12+$N$12)&gt;=$T$12,HU_beta*((AE149+$L$12+$N$12)-$K$12),HU_beta*($T$12-$K$12)))))</f>
        <v/>
      </c>
      <c r="BG149" s="29">
        <f>IF(OR(BD149=0,$S$12=0),0,IF((AE149+$K$12)&gt;$S$12/HU_alpha+$K$12,0.5*$S$12/HU_alpha,IF((AE149+$K$12)&gt;=$K$12,((AE149+$K$12)-$K$12)-0.5*HU_alpha/$S$12*((AE149+$K$12)-$K$12)^2,IF((AE149+$K$12)&gt;=$T$12,HU_beta*((AE149+$K$12)-$K$12),HU_beta*($T$12-$K$12)))))</f>
        <v/>
      </c>
      <c r="BH149" s="63">
        <f>IF(AND($J$13,A149=$Q$13),J149,0)</f>
        <v/>
      </c>
      <c r="BI149" s="29">
        <f>IF(OR(BH149=0,$S$13=0),0,IF((AE149+$L$13)&gt;$S$13/HU_alpha+$K$13,0.5*$S$13/HU_alpha,IF((AE149+$L$13)&gt;=$K$13,((AE149+$L$13)-$K$13)-0.5*HU_alpha/$S$13*((AE149+$L$13)-$K$13)^2,IF((AE149+$L$13)&gt;=$T$13,HU_beta*((AE149+$L$13)-$K$13),HU_beta*($T$13-$K$13)))))</f>
        <v/>
      </c>
      <c r="BJ149" s="29">
        <f>IF(OR(BH149=0,$S$13=0),0,IF((AE149+$L$13+$N$13)&gt;$S$13/HU_alpha+$K$13,0.5*$S$13/HU_alpha,IF((AE149+$L$13+$N$13)&gt;=$K$13,((AE149+$L$13+$N$13)-$K$13)-0.5*HU_alpha/$S$13*((AE149+$L$13+$N$13)-$K$13)^2,IF((AE149+$L$13+$N$13)&gt;=$T$13,HU_beta*((AE149+$L$13+$N$13)-$K$13),HU_beta*($T$13-$K$13)))))</f>
        <v/>
      </c>
      <c r="BK149" s="29">
        <f>IF(OR(BH149=0,$S$13=0),0,IF((AE149+$K$13)&gt;$S$13/HU_alpha+$K$13,0.5*$S$13/HU_alpha,IF((AE149+$K$13)&gt;=$K$13,((AE149+$K$13)-$K$13)-0.5*HU_alpha/$S$13*((AE149+$K$13)-$K$13)^2,IF((AE149+$K$13)&gt;=$T$13,HU_beta*((AE149+$K$13)-$K$13),HU_beta*($T$13-$K$13)))))</f>
        <v/>
      </c>
    </row>
    <row r="150">
      <c r="A150" s="61" t="n">
        <v>82</v>
      </c>
      <c r="B150" s="61">
        <f>HU_age+A150</f>
        <v/>
      </c>
      <c r="C150" s="52">
        <f>A150&lt;=HU_T</f>
        <v/>
      </c>
      <c r="D150" s="63">
        <f>IF(OR(A150&lt;1,A150&gt;HU_T),0,INDEX(HU_q_mort,HU_age+A150-17,HU_col))</f>
        <v/>
      </c>
      <c r="E150" s="63">
        <f>IF(OR(A150&lt;1,A150&gt;HU_T),0,INDEX(HU_q_adb,HU_age+A150-17,HU_col))</f>
        <v/>
      </c>
      <c r="F150" s="63">
        <f>IF(OR(A150&lt;1,A150&gt;HU_T),0,INDEX(HU_q_morb,HU_age+A150-17,HU_col))</f>
        <v/>
      </c>
      <c r="G150" s="63">
        <f>IF(OR(A150&lt;1,A150&gt;HU_T),0,INDEX(HU_q_ptd,HU_age+A150-17,HU_col))</f>
        <v/>
      </c>
      <c r="H150" s="63">
        <f>IF(OR(A150&lt;1,A150&gt;HU_T),0,INDEX(HU_q_dis,HU_age+A150-17,HU_col))</f>
        <v/>
      </c>
      <c r="I150" s="63">
        <f>IF(A150&gt;HU_T,0,I149*(1-D150)*(1-E150))</f>
        <v/>
      </c>
      <c r="J150" s="63">
        <f>IF(A150&gt;=HU_T,0,N(I151))</f>
        <v/>
      </c>
      <c r="K150" s="63">
        <f>K149*(1-G150)</f>
        <v/>
      </c>
      <c r="L150" s="63">
        <f>1-K150</f>
        <v/>
      </c>
      <c r="M150" s="63">
        <f>K149*G150</f>
        <v/>
      </c>
      <c r="N150" s="63">
        <f>N149*(1-H150)</f>
        <v/>
      </c>
      <c r="O150" s="63">
        <f>1-N149</f>
        <v/>
      </c>
      <c r="P150" s="63">
        <f>P149*(1-F150)</f>
        <v/>
      </c>
      <c r="Q150" s="63">
        <f>1-P149/INDEX($P$68:$P$150,MAX(1,A150-HU_ciYears))</f>
        <v/>
      </c>
      <c r="R150" s="60">
        <f>(1+inflationRate)^A150</f>
        <v/>
      </c>
      <c r="S150" s="29">
        <f>IF(OR(OR(A150&lt;1,A150&gt;HU_T),A150-1&gt;=HU_dtr),0,HU_inc0*(1+incomeGrowthRate)^A150)</f>
        <v/>
      </c>
      <c r="T150" s="60">
        <f>IF(A150&gt;HU_T,T149,T149*(1+INDEX(HU_ssG,HU_age+A150-17)))</f>
        <v/>
      </c>
      <c r="U150" s="29">
        <f>IF(AND(HU_dtr&gt;=1,A150=HU_dtr,A150&lt;=HU_T),MIN(S150*INDEX(HU_ssC,HU_age+A150-17)/(1-INDEX(HU_ssC,HU_age+A150-17)),INDEX(HU_ssCap,HU_age+A150-17))*T150,0)</f>
        <v/>
      </c>
      <c r="V150" s="29">
        <f>S150+U150+IF(AND(HU_wdOn,A150=HU_wdYear),HU_wdIncome,0)</f>
        <v/>
      </c>
      <c r="W150" s="60">
        <f>HU_ciProp*Q150+HU_tpdCut*L150+HU_disCut*O150</f>
        <v/>
      </c>
      <c r="X150" s="29">
        <f>IF(OR(A150&lt;1,A150&gt;HU_T),0,V150*(1-W150))</f>
        <v/>
      </c>
      <c r="Y150" s="29">
        <f>IF(OR(A150&lt;1,A150&gt;HU_T),0,IF(AND(HU_retExp&gt;0,A150-1&gt;=HU_dtr),HU_retExp,HU_exp0)*R150)</f>
        <v/>
      </c>
      <c r="Z150" s="29">
        <f>-Y150-IF(AND(HU_wdOn,A150=HU_wdYear),HU_wdOut,0)</f>
        <v/>
      </c>
      <c r="AA150" s="29">
        <f>IF(OR(A150&lt;1,A150&gt;HU_T),0,-HU_medCost*R150*F150-HU_tpdCost*R150*M150)</f>
        <v/>
      </c>
      <c r="AB150" s="29">
        <f>IF(A150&gt;HU_T,0,AB149*(1+interestRate)+X150+Z150+AA150)</f>
        <v/>
      </c>
      <c r="AC150" s="29">
        <f>IF(A150&gt;HU_T,0,HU_inv*EXP(HU_mu*A150))</f>
        <v/>
      </c>
      <c r="AD150" s="29">
        <f>IF(A150&gt;HU_T,0,MAX(0,AC150+AB150))</f>
        <v/>
      </c>
      <c r="AE150" s="29">
        <f>IF(A150&gt;HU_T,0,MAX(0,X150-Y150))</f>
        <v/>
      </c>
      <c r="AF150" s="63">
        <f>IF(AND($J$6,A150&gt;=1,A150&lt;=$Q$6-1),J150,0)</f>
        <v/>
      </c>
      <c r="AG150" s="29">
        <f>IF(OR(AF150=0,$S$6=0),0,IF((AD150+$L$6)&gt;$S$6/HU_alpha+$K$6,0.5*$S$6/HU_alpha,IF((AD150+$L$6)&gt;=$K$6,((AD150+$L$6)-$K$6)-0.5*HU_alpha/$S$6*((AD150+$L$6)-$K$6)^2,IF((AD150+$L$6)&gt;=$T$6,HU_beta*((AD150+$L$6)-$K$6),HU_beta*($T$6-$K$6)))))</f>
        <v/>
      </c>
      <c r="AH150" s="29">
        <f>IF(OR(AF150=0,$S$6=0),0,IF((AD150+$L$6+$N$6)&gt;$S$6/HU_alpha+$K$6,0.5*$S$6/HU_alpha,IF((AD150+$L$6+$N$6)&gt;=$K$6,((AD150+$L$6+$N$6)-$K$6)-0.5*HU_alpha/$S$6*((AD150+$L$6+$N$6)-$K$6)^2,IF((AD150+$L$6+$N$6)&gt;=$T$6,HU_beta*((AD150+$L$6+$N$6)-$K$6),HU_beta*($T$6-$K$6)))))</f>
        <v/>
      </c>
      <c r="AI150" s="29">
        <f>IF(OR(AF150=0,$S$6=0),0,IF((AD150+$K$6)&gt;$S$6/HU_alpha+$K$6,0.5*$S$6/HU_alpha,IF((AD150+$K$6)&gt;=$K$6,((AD150+$K$6)-$K$6)-0.5*HU_alpha/$S$6*((AD150+$K$6)-$K$6)^2,IF((AD150+$K$6)&gt;=$T$6,HU_beta*((AD150+$K$6)-$K$6),HU_beta*($T$6-$K$6)))))</f>
        <v/>
      </c>
      <c r="AJ150" s="63">
        <f>IF(AND($J$7,A150&gt;=1,A150&lt;=$Q$7-1),J150,0)</f>
        <v/>
      </c>
      <c r="AK150" s="29">
        <f>IF(OR(AJ150=0,$S$7=0),0,IF((AE150+$L$7)&gt;$S$7/HU_alpha+$K$7,0.5*$S$7/HU_alpha,IF((AE150+$L$7)&gt;=$K$7,((AE150+$L$7)-$K$7)-0.5*HU_alpha/$S$7*((AE150+$L$7)-$K$7)^2,IF((AE150+$L$7)&gt;=$T$7,HU_beta*((AE150+$L$7)-$K$7),HU_beta*($T$7-$K$7)))))</f>
        <v/>
      </c>
      <c r="AL150" s="29">
        <f>IF(OR(AJ150=0,$S$7=0),0,IF((AE150+$L$7+$N$7)&gt;$S$7/HU_alpha+$K$7,0.5*$S$7/HU_alpha,IF((AE150+$L$7+$N$7)&gt;=$K$7,((AE150+$L$7+$N$7)-$K$7)-0.5*HU_alpha/$S$7*((AE150+$L$7+$N$7)-$K$7)^2,IF((AE150+$L$7+$N$7)&gt;=$T$7,HU_beta*((AE150+$L$7+$N$7)-$K$7),HU_beta*($T$7-$K$7)))))</f>
        <v/>
      </c>
      <c r="AM150" s="29">
        <f>IF(OR(AJ150=0,$S$7=0),0,IF((AE150+$K$7)&gt;$S$7/HU_alpha+$K$7,0.5*$S$7/HU_alpha,IF((AE150+$K$7)&gt;=$K$7,((AE150+$K$7)-$K$7)-0.5*HU_alpha/$S$7*((AE150+$K$7)-$K$7)^2,IF((AE150+$K$7)&gt;=$T$7,HU_beta*((AE150+$K$7)-$K$7),HU_beta*($T$7-$K$7)))))</f>
        <v/>
      </c>
      <c r="AN150" s="63">
        <f>IF(AND($J$8,A150&gt;=1,A150&lt;=$Q$8-1),J150,0)</f>
        <v/>
      </c>
      <c r="AO150" s="29">
        <f>IF(OR(AN150=0,$S$8=0),0,IF((AE150+$L$8)&gt;$S$8/HU_alpha+$K$8,0.5*$S$8/HU_alpha,IF((AE150+$L$8)&gt;=$K$8,((AE150+$L$8)-$K$8)-0.5*HU_alpha/$S$8*((AE150+$L$8)-$K$8)^2,IF((AE150+$L$8)&gt;=$T$8,HU_beta*((AE150+$L$8)-$K$8),HU_beta*($T$8-$K$8)))))</f>
        <v/>
      </c>
      <c r="AP150" s="29">
        <f>IF(OR(AN150=0,$S$8=0),0,IF((AE150+$L$8+$N$8)&gt;$S$8/HU_alpha+$K$8,0.5*$S$8/HU_alpha,IF((AE150+$L$8+$N$8)&gt;=$K$8,((AE150+$L$8+$N$8)-$K$8)-0.5*HU_alpha/$S$8*((AE150+$L$8+$N$8)-$K$8)^2,IF((AE150+$L$8+$N$8)&gt;=$T$8,HU_beta*((AE150+$L$8+$N$8)-$K$8),HU_beta*($T$8-$K$8)))))</f>
        <v/>
      </c>
      <c r="AQ150" s="29">
        <f>IF(OR(AN150=0,$S$8=0),0,IF((AE150+$K$8)&gt;$S$8/HU_alpha+$K$8,0.5*$S$8/HU_alpha,IF((AE150+$K$8)&gt;=$K$8,((AE150+$K$8)-$K$8)-0.5*HU_alpha/$S$8*((AE150+$K$8)-$K$8)^2,IF((AE150+$K$8)&gt;=$T$8,HU_beta*((AE150+$K$8)-$K$8),HU_beta*($T$8-$K$8)))))</f>
        <v/>
      </c>
      <c r="AR150" s="63">
        <f>IF(AND($J$9,A150&gt;=1,A150&lt;=$Q$9-1),J150,0)</f>
        <v/>
      </c>
      <c r="AS150" s="29">
        <f>IF(OR(AR150=0,$S$9=0),0,IF((AE150+$L$9)&gt;$S$9/HU_alpha+$K$9,0.5*$S$9/HU_alpha,IF((AE150+$L$9)&gt;=$K$9,((AE150+$L$9)-$K$9)-0.5*HU_alpha/$S$9*((AE150+$L$9)-$K$9)^2,IF((AE150+$L$9)&gt;=$T$9,HU_beta*((AE150+$L$9)-$K$9),HU_beta*($T$9-$K$9)))))</f>
        <v/>
      </c>
      <c r="AT150" s="29">
        <f>IF(OR(AR150=0,$S$9=0),0,IF((AE150+$L$9+$N$9)&gt;$S$9/HU_alpha+$K$9,0.5*$S$9/HU_alpha,IF((AE150+$L$9+$N$9)&gt;=$K$9,((AE150+$L$9+$N$9)-$K$9)-0.5*HU_alpha/$S$9*((AE150+$L$9+$N$9)-$K$9)^2,IF((AE150+$L$9+$N$9)&gt;=$T$9,HU_beta*((AE150+$L$9+$N$9)-$K$9),HU_beta*($T$9-$K$9)))))</f>
        <v/>
      </c>
      <c r="AU150" s="29">
        <f>IF(OR(AR150=0,$S$9=0),0,IF((AE150+$K$9)&gt;$S$9/HU_alpha+$K$9,0.5*$S$9/HU_alpha,IF((AE150+$K$9)&gt;=$K$9,((AE150+$K$9)-$K$9)-0.5*HU_alpha/$S$9*((AE150+$K$9)-$K$9)^2,IF((AE150+$K$9)&gt;=$T$9,HU_beta*((AE150+$K$9)-$K$9),HU_beta*($T$9-$K$9)))))</f>
        <v/>
      </c>
      <c r="AV150" s="63">
        <f>IF(AND($J$10,A150=$Q$10),J150,0)</f>
        <v/>
      </c>
      <c r="AW150" s="29">
        <f>IF(OR(AV150=0,$S$10=0),0,IF((AD150+$L$10)&gt;$S$10/HU_alpha+$K$10,0.5*$S$10/HU_alpha,IF((AD150+$L$10)&gt;=$K$10,((AD150+$L$10)-$K$10)-0.5*HU_alpha/$S$10*((AD150+$L$10)-$K$10)^2,IF((AD150+$L$10)&gt;=$T$10,HU_beta*((AD150+$L$10)-$K$10),HU_beta*($T$10-$K$10)))))</f>
        <v/>
      </c>
      <c r="AX150" s="29">
        <f>IF(OR(AV150=0,$S$10=0),0,IF((AD150+$L$10+$N$10)&gt;$S$10/HU_alpha+$K$10,0.5*$S$10/HU_alpha,IF((AD150+$L$10+$N$10)&gt;=$K$10,((AD150+$L$10+$N$10)-$K$10)-0.5*HU_alpha/$S$10*((AD150+$L$10+$N$10)-$K$10)^2,IF((AD150+$L$10+$N$10)&gt;=$T$10,HU_beta*((AD150+$L$10+$N$10)-$K$10),HU_beta*($T$10-$K$10)))))</f>
        <v/>
      </c>
      <c r="AY150" s="29">
        <f>IF(OR(AV150=0,$S$10=0),0,IF((AD150+$K$10)&gt;$S$10/HU_alpha+$K$10,0.5*$S$10/HU_alpha,IF((AD150+$K$10)&gt;=$K$10,((AD150+$K$10)-$K$10)-0.5*HU_alpha/$S$10*((AD150+$K$10)-$K$10)^2,IF((AD150+$K$10)&gt;=$T$10,HU_beta*((AD150+$K$10)-$K$10),HU_beta*($T$10-$K$10)))))</f>
        <v/>
      </c>
      <c r="AZ150" s="63">
        <f>IF(AND($J$11,A150=$Q$11),J150,0)</f>
        <v/>
      </c>
      <c r="BA150" s="29">
        <f>IF(OR(AZ150=0,$S$11=0),0,IF((AE150+$L$11)&gt;$S$11/HU_alpha+$K$11,0.5*$S$11/HU_alpha,IF((AE150+$L$11)&gt;=$K$11,((AE150+$L$11)-$K$11)-0.5*HU_alpha/$S$11*((AE150+$L$11)-$K$11)^2,IF((AE150+$L$11)&gt;=$T$11,HU_beta*((AE150+$L$11)-$K$11),HU_beta*($T$11-$K$11)))))</f>
        <v/>
      </c>
      <c r="BB150" s="29">
        <f>IF(OR(AZ150=0,$S$11=0),0,IF((AE150+$L$11+$N$11)&gt;$S$11/HU_alpha+$K$11,0.5*$S$11/HU_alpha,IF((AE150+$L$11+$N$11)&gt;=$K$11,((AE150+$L$11+$N$11)-$K$11)-0.5*HU_alpha/$S$11*((AE150+$L$11+$N$11)-$K$11)^2,IF((AE150+$L$11+$N$11)&gt;=$T$11,HU_beta*((AE150+$L$11+$N$11)-$K$11),HU_beta*($T$11-$K$11)))))</f>
        <v/>
      </c>
      <c r="BC150" s="29">
        <f>IF(OR(AZ150=0,$S$11=0),0,IF((AE150+$K$11)&gt;$S$11/HU_alpha+$K$11,0.5*$S$11/HU_alpha,IF((AE150+$K$11)&gt;=$K$11,((AE150+$K$11)-$K$11)-0.5*HU_alpha/$S$11*((AE150+$K$11)-$K$11)^2,IF((AE150+$K$11)&gt;=$T$11,HU_beta*((AE150+$K$11)-$K$11),HU_beta*($T$11-$K$11)))))</f>
        <v/>
      </c>
      <c r="BD150" s="63">
        <f>IF(AND($J$12,A150=$Q$12),J150,0)</f>
        <v/>
      </c>
      <c r="BE150" s="29">
        <f>IF(OR(BD150=0,$S$12=0),0,IF((AE150+$L$12)&gt;$S$12/HU_alpha+$K$12,0.5*$S$12/HU_alpha,IF((AE150+$L$12)&gt;=$K$12,((AE150+$L$12)-$K$12)-0.5*HU_alpha/$S$12*((AE150+$L$12)-$K$12)^2,IF((AE150+$L$12)&gt;=$T$12,HU_beta*((AE150+$L$12)-$K$12),HU_beta*($T$12-$K$12)))))</f>
        <v/>
      </c>
      <c r="BF150" s="29">
        <f>IF(OR(BD150=0,$S$12=0),0,IF((AE150+$L$12+$N$12)&gt;$S$12/HU_alpha+$K$12,0.5*$S$12/HU_alpha,IF((AE150+$L$12+$N$12)&gt;=$K$12,((AE150+$L$12+$N$12)-$K$12)-0.5*HU_alpha/$S$12*((AE150+$L$12+$N$12)-$K$12)^2,IF((AE150+$L$12+$N$12)&gt;=$T$12,HU_beta*((AE150+$L$12+$N$12)-$K$12),HU_beta*($T$12-$K$12)))))</f>
        <v/>
      </c>
      <c r="BG150" s="29">
        <f>IF(OR(BD150=0,$S$12=0),0,IF((AE150+$K$12)&gt;$S$12/HU_alpha+$K$12,0.5*$S$12/HU_alpha,IF((AE150+$K$12)&gt;=$K$12,((AE150+$K$12)-$K$12)-0.5*HU_alpha/$S$12*((AE150+$K$12)-$K$12)^2,IF((AE150+$K$12)&gt;=$T$12,HU_beta*((AE150+$K$12)-$K$12),HU_beta*($T$12-$K$12)))))</f>
        <v/>
      </c>
      <c r="BH150" s="63">
        <f>IF(AND($J$13,A150=$Q$13),J150,0)</f>
        <v/>
      </c>
      <c r="BI150" s="29">
        <f>IF(OR(BH150=0,$S$13=0),0,IF((AE150+$L$13)&gt;$S$13/HU_alpha+$K$13,0.5*$S$13/HU_alpha,IF((AE150+$L$13)&gt;=$K$13,((AE150+$L$13)-$K$13)-0.5*HU_alpha/$S$13*((AE150+$L$13)-$K$13)^2,IF((AE150+$L$13)&gt;=$T$13,HU_beta*((AE150+$L$13)-$K$13),HU_beta*($T$13-$K$13)))))</f>
        <v/>
      </c>
      <c r="BJ150" s="29">
        <f>IF(OR(BH150=0,$S$13=0),0,IF((AE150+$L$13+$N$13)&gt;$S$13/HU_alpha+$K$13,0.5*$S$13/HU_alpha,IF((AE150+$L$13+$N$13)&gt;=$K$13,((AE150+$L$13+$N$13)-$K$13)-0.5*HU_alpha/$S$13*((AE150+$L$13+$N$13)-$K$13)^2,IF((AE150+$L$13+$N$13)&gt;=$T$13,HU_beta*((AE150+$L$13+$N$13)-$K$13),HU_beta*($T$13-$K$13)))))</f>
        <v/>
      </c>
      <c r="BK150" s="29">
        <f>IF(OR(BH150=0,$S$13=0),0,IF((AE150+$K$13)&gt;$S$13/HU_alpha+$K$13,0.5*$S$13/HU_alpha,IF((AE150+$K$13)&gt;=$K$13,((AE150+$K$13)-$K$13)-0.5*HU_alpha/$S$13*((AE150+$K$13)-$K$13)^2,IF((AE150+$K$13)&gt;=$T$13,HU_beta*((AE150+$K$13)-$K$13),HU_beta*($T$13-$K$13)))))</f>
        <v/>
      </c>
    </row>
  </sheetData>
  <mergeCells count="18">
    <mergeCell ref="R66:AE66"/>
    <mergeCell ref="A1:D1"/>
    <mergeCell ref="AJ66:AM66"/>
    <mergeCell ref="AN66:AQ66"/>
    <mergeCell ref="A66:C66"/>
    <mergeCell ref="AR66:AU66"/>
    <mergeCell ref="BH66:BK66"/>
    <mergeCell ref="AF66:AI66"/>
    <mergeCell ref="A4:D4"/>
    <mergeCell ref="AV66:AY66"/>
    <mergeCell ref="H4:AF4"/>
    <mergeCell ref="A55:D55"/>
    <mergeCell ref="A15:D15"/>
    <mergeCell ref="I66:Q66"/>
    <mergeCell ref="D66:H66"/>
    <mergeCell ref="AZ66:BC66"/>
    <mergeCell ref="BD66:BG66"/>
    <mergeCell ref="A36:D36"/>
  </mergeCells>
  <conditionalFormatting sqref="A68:BK150">
    <cfRule type="expression" priority="1" dxfId="2">
      <formula>OR($C68=FALSE,$B68&gt;IFERROR(SV_end,endAge))</formula>
    </cfRule>
  </conditionalFormatting>
  <pageMargins left="0.75" right="0.75" top="1" bottom="1" header="0.5" footer="0.5"/>
</worksheet>
</file>

<file path=xl/worksheets/sheet13.xml><?xml version="1.0" encoding="utf-8"?>
<worksheet xmlns="http://schemas.openxmlformats.org/spreadsheetml/2006/main">
  <sheetPr>
    <tabColor rgb="001D6F42"/>
    <outlinePr summaryBelow="1" summaryRight="1"/>
    <pageSetUpPr/>
  </sheetPr>
  <dimension ref="A1:L3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14" customWidth="1" min="11" max="11"/>
    <col width="42" customWidth="1" min="12" max="12"/>
  </cols>
  <sheetData>
    <row r="1" ht="28" customHeight="1">
      <c r="A1" s="1" t="inlineStr">
        <is>
          <t>FX — selected persona. Convert local currency to USD. Validation reads these amounts.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currency and effective session (local)</t>
        </is>
      </c>
      <c r="B4" s="12" t="n"/>
      <c r="C4" s="12" t="n"/>
      <c r="D4" s="12" t="n"/>
      <c r="F4" s="16" t="inlineStr">
        <is>
          <t>C · DETERMINISTICALLY CALCULATED</t>
        </is>
      </c>
      <c r="I4" s="19" t="inlineStr">
        <is>
          <t>D · RATE TABLE  —  USD per 1 user-currency unit. In the app: a live feed, locked on the session</t>
        </is>
      </c>
      <c r="J4" s="34" t="n"/>
      <c r="K4" s="34" t="n"/>
      <c r="L4" s="35" t="n"/>
    </row>
    <row r="5">
      <c r="A5" s="17" t="inlineStr">
        <is>
          <t>currency</t>
        </is>
      </c>
      <c r="B5" s="13">
        <f>PLU_currency</f>
        <v/>
      </c>
      <c r="C5" s="13" t="inlineStr">
        <is>
          <t>A · input</t>
        </is>
      </c>
      <c r="D5" s="18" t="inlineStr">
        <is>
          <t>Personas K via People Like You. Lookup key for the rate table.</t>
        </is>
      </c>
      <c r="F5" s="19" t="inlineStr">
        <is>
          <t>D · ASSUMPTIONS / SHARED DATA</t>
        </is>
      </c>
      <c r="I5" s="3" t="inlineStr">
        <is>
          <t>currency</t>
        </is>
      </c>
      <c r="J5" s="3" t="inlineStr">
        <is>
          <t>USD per 1 unit</t>
        </is>
      </c>
      <c r="K5" s="3" t="inlineStr">
        <is>
          <t>price level (option B)</t>
        </is>
      </c>
      <c r="L5" s="3" t="inlineStr">
        <is>
          <t>note</t>
        </is>
      </c>
    </row>
    <row r="6">
      <c r="A6" s="17" t="inlineStr">
        <is>
          <t>incomeMonthly (local)</t>
        </is>
      </c>
      <c r="B6" s="37">
        <f>PLU_incomeMonthly</f>
        <v/>
      </c>
      <c r="C6" s="13" t="inlineStr">
        <is>
          <t>A · input</t>
        </is>
      </c>
      <c r="D6" s="18" t="inlineStr">
        <is>
          <t>Effective session.</t>
        </is>
      </c>
      <c r="F6" s="21" t="inlineStr">
        <is>
          <t>E · USER / FRONTEND OVERRIDE</t>
        </is>
      </c>
      <c r="I6" s="13" t="inlineStr">
        <is>
          <t>USD</t>
        </is>
      </c>
      <c r="J6" s="64" t="n">
        <v>1</v>
      </c>
      <c r="K6" s="65" t="n">
        <v>1</v>
      </c>
      <c r="L6" s="18" t="inlineStr">
        <is>
          <t>Identity. 5,000 USD = 5,000 USD.</t>
        </is>
      </c>
    </row>
    <row r="7">
      <c r="A7" s="17" t="inlineStr">
        <is>
          <t>expenseMonthly (local)</t>
        </is>
      </c>
      <c r="B7" s="37">
        <f>PLU_expenseMonthly</f>
        <v/>
      </c>
      <c r="C7" s="13" t="inlineStr">
        <is>
          <t>A · input</t>
        </is>
      </c>
      <c r="D7" s="18" t="inlineStr"/>
      <c r="I7" s="13" t="inlineStr">
        <is>
          <t>SGD</t>
        </is>
      </c>
      <c r="J7" s="64" t="n">
        <v>0.74</v>
      </c>
      <c r="K7" s="65" t="n">
        <v>1</v>
      </c>
      <c r="L7" s="18" t="inlineStr">
        <is>
          <t>5,000 SGD × 0.74 = 3,700 USD.</t>
        </is>
      </c>
    </row>
    <row r="8">
      <c r="A8" s="17" t="inlineStr">
        <is>
          <t>cash (local)</t>
        </is>
      </c>
      <c r="B8" s="37">
        <f>PLU_cash</f>
        <v/>
      </c>
      <c r="C8" s="13" t="inlineStr">
        <is>
          <t>A · input</t>
        </is>
      </c>
      <c r="D8" s="18" t="inlineStr"/>
      <c r="I8" s="13" t="inlineStr">
        <is>
          <t>VND</t>
        </is>
      </c>
      <c r="J8" s="64" t="n">
        <v>3.8e-05</v>
      </c>
      <c r="K8" s="65" t="n">
        <v>1</v>
      </c>
      <c r="L8" s="18" t="inlineStr">
        <is>
          <t>5,000 VND × 0.000038 = 0.19 USD.</t>
        </is>
      </c>
    </row>
    <row r="9">
      <c r="A9" s="17" t="inlineStr">
        <is>
          <t>investments (local)</t>
        </is>
      </c>
      <c r="B9" s="47">
        <f>PLU_investments</f>
        <v/>
      </c>
      <c r="C9" s="13" t="inlineStr">
        <is>
          <t>A · input</t>
        </is>
      </c>
      <c r="D9" s="18" t="inlineStr"/>
      <c r="I9" s="13" t="inlineStr">
        <is>
          <t>MYR</t>
        </is>
      </c>
      <c r="J9" s="64" t="n">
        <v>0.225</v>
      </c>
      <c r="K9" s="65" t="n">
        <v>1</v>
      </c>
      <c r="L9" s="18" t="inlineStr"/>
    </row>
    <row r="10">
      <c r="A10" s="17" t="inlineStr">
        <is>
          <t>property (local)</t>
        </is>
      </c>
      <c r="B10" s="47">
        <f>PLU_property</f>
        <v/>
      </c>
      <c r="C10" s="13" t="inlineStr">
        <is>
          <t>A · input</t>
        </is>
      </c>
      <c r="D10" s="18" t="inlineStr"/>
      <c r="I10" s="13" t="inlineStr">
        <is>
          <t>THB</t>
        </is>
      </c>
      <c r="J10" s="64" t="n">
        <v>0.029</v>
      </c>
      <c r="K10" s="65" t="n">
        <v>1</v>
      </c>
      <c r="L10" s="18" t="inlineStr"/>
    </row>
    <row r="11">
      <c r="A11" s="17" t="inlineStr">
        <is>
          <t>mortgage (local)</t>
        </is>
      </c>
      <c r="B11" s="47">
        <f>PLU_mortgage</f>
        <v/>
      </c>
      <c r="C11" s="13" t="inlineStr">
        <is>
          <t>A · input</t>
        </is>
      </c>
      <c r="D11" s="18" t="inlineStr"/>
      <c r="I11" s="13" t="inlineStr">
        <is>
          <t>PHP</t>
        </is>
      </c>
      <c r="J11" s="64" t="n">
        <v>0.0175</v>
      </c>
      <c r="K11" s="65" t="n">
        <v>1</v>
      </c>
      <c r="L11" s="18" t="inlineStr"/>
    </row>
    <row r="12">
      <c r="A12" s="17" t="inlineStr">
        <is>
          <t>PLU liabilities (local)</t>
        </is>
      </c>
      <c r="B12" s="37">
        <f>PLU_liabilities</f>
        <v/>
      </c>
      <c r="C12" s="13" t="inlineStr">
        <is>
          <t>A · input</t>
        </is>
      </c>
      <c r="D12" s="18" t="inlineStr"/>
      <c r="I12" s="13" t="inlineStr">
        <is>
          <t>AUD</t>
        </is>
      </c>
      <c r="J12" s="64" t="n">
        <v>0.66</v>
      </c>
      <c r="K12" s="65" t="n">
        <v>1</v>
      </c>
      <c r="L12" s="18" t="inlineStr"/>
    </row>
    <row r="13">
      <c r="A13" s="17" t="inlineStr">
        <is>
          <t>life sum assured (local)</t>
        </is>
      </c>
      <c r="B13" s="47">
        <f>PLU_lifeSum</f>
        <v/>
      </c>
      <c r="C13" s="13" t="inlineStr">
        <is>
          <t>A · input</t>
        </is>
      </c>
      <c r="D13" s="18" t="inlineStr"/>
      <c r="I13" s="13" t="inlineStr">
        <is>
          <t>EUR</t>
        </is>
      </c>
      <c r="J13" s="64" t="n">
        <v>1.09</v>
      </c>
      <c r="K13" s="65" t="n">
        <v>1</v>
      </c>
      <c r="L13" s="18" t="inlineStr"/>
    </row>
    <row r="14">
      <c r="I14" s="13" t="inlineStr">
        <is>
          <t>HKD</t>
        </is>
      </c>
      <c r="J14" s="64" t="n">
        <v>0.128</v>
      </c>
      <c r="K14" s="65" t="n">
        <v>1</v>
      </c>
      <c r="L14" s="18" t="inlineStr"/>
    </row>
    <row r="15">
      <c r="A15" s="19" t="inlineStr">
        <is>
          <t>D · ASSUMPTIONS  —  rate from the table on the right</t>
        </is>
      </c>
      <c r="B15" s="19" t="n"/>
      <c r="C15" s="19" t="n"/>
      <c r="D15" s="19" t="n"/>
    </row>
    <row r="16">
      <c r="A16" s="38" t="inlineStr">
        <is>
          <t>USD per 1 local</t>
        </is>
      </c>
      <c r="B16" s="48">
        <f>IFERROR(VLOOKUP(PLU_currency,FxTable,2,FALSE),NA())</f>
        <v/>
      </c>
      <c r="C16" s="36" t="inlineStr">
        <is>
          <t>D · assumption / shared</t>
        </is>
      </c>
      <c r="D16" s="18" t="inlineStr">
        <is>
          <t>#N/A if the currency is not in the table: every calculator then fails loudly (no SGD fallback).</t>
        </is>
      </c>
    </row>
    <row r="17">
      <c r="A17" s="38" t="inlineStr">
        <is>
          <t>price level (effective)</t>
        </is>
      </c>
      <c r="B17" s="54">
        <f>IF(priceLevelOn=TRUE,IFERROR(VLOOKUP(PLU_currency,FxTable,3,FALSE),NA()),1)</f>
        <v/>
      </c>
      <c r="C17" s="36" t="inlineStr">
        <is>
          <t>D · assumption / shared</t>
        </is>
      </c>
      <c r="D17" s="18" t="inlineStr">
        <is>
          <t>Option B only. 1 when priceLevelOn is FALSE (option A). Multiplies the USD fixed amounts.</t>
        </is>
      </c>
    </row>
    <row r="19">
      <c r="A19" s="16" t="inlineStr">
        <is>
          <t>C · DETERMINISTICALLY CALCULATED  —  local × USD per 1</t>
        </is>
      </c>
      <c r="B19" s="16" t="n"/>
      <c r="C19" s="16" t="n"/>
      <c r="D19" s="16" t="n"/>
    </row>
    <row r="20">
      <c r="A20" s="26" t="inlineStr">
        <is>
          <t>incomeMonthly USD</t>
        </is>
      </c>
      <c r="B20" s="28">
        <f>B6*$B$16</f>
        <v/>
      </c>
      <c r="C20" s="27" t="inlineStr">
        <is>
          <t>C · calculated</t>
        </is>
      </c>
      <c r="D20" s="18" t="inlineStr">
        <is>
          <t>5,000 SGD → 3,700. 5,000 VND → 0.19.</t>
        </is>
      </c>
    </row>
    <row r="21">
      <c r="A21" s="26" t="inlineStr">
        <is>
          <t>expenseMonthly USD</t>
        </is>
      </c>
      <c r="B21" s="28">
        <f>B7*$B$16</f>
        <v/>
      </c>
      <c r="C21" s="27" t="inlineStr">
        <is>
          <t>C · calculated</t>
        </is>
      </c>
      <c r="D21" s="18" t="inlineStr"/>
    </row>
    <row r="22">
      <c r="A22" s="26" t="inlineStr">
        <is>
          <t>cash USD</t>
        </is>
      </c>
      <c r="B22" s="28">
        <f>B8*$B$16</f>
        <v/>
      </c>
      <c r="C22" s="27" t="inlineStr">
        <is>
          <t>C · calculated</t>
        </is>
      </c>
      <c r="D22" s="18" t="inlineStr"/>
    </row>
    <row r="23">
      <c r="A23" s="26" t="inlineStr">
        <is>
          <t>investments USD</t>
        </is>
      </c>
      <c r="B23" s="28">
        <f>B9*$B$16</f>
        <v/>
      </c>
      <c r="C23" s="27" t="inlineStr">
        <is>
          <t>C · calculated</t>
        </is>
      </c>
      <c r="D23" s="18" t="inlineStr"/>
    </row>
    <row r="24">
      <c r="A24" s="26" t="inlineStr">
        <is>
          <t>property USD</t>
        </is>
      </c>
      <c r="B24" s="28">
        <f>B10*$B$16</f>
        <v/>
      </c>
      <c r="C24" s="27" t="inlineStr">
        <is>
          <t>C · calculated</t>
        </is>
      </c>
      <c r="D24" s="18" t="inlineStr"/>
    </row>
    <row r="25">
      <c r="A25" s="26" t="inlineStr">
        <is>
          <t>mortgage USD</t>
        </is>
      </c>
      <c r="B25" s="28">
        <f>B11*$B$16</f>
        <v/>
      </c>
      <c r="C25" s="27" t="inlineStr">
        <is>
          <t>C · calculated</t>
        </is>
      </c>
      <c r="D25" s="18" t="inlineStr"/>
    </row>
    <row r="26">
      <c r="A26" s="26" t="inlineStr">
        <is>
          <t>PLU liabilities USD</t>
        </is>
      </c>
      <c r="B26" s="28">
        <f>B12*$B$16</f>
        <v/>
      </c>
      <c r="C26" s="27" t="inlineStr">
        <is>
          <t>C · calculated</t>
        </is>
      </c>
      <c r="D26" s="18" t="inlineStr"/>
    </row>
    <row r="27">
      <c r="A27" s="26" t="inlineStr">
        <is>
          <t>life sum assured USD</t>
        </is>
      </c>
      <c r="B27" s="28">
        <f>B13*$B$16</f>
        <v/>
      </c>
      <c r="C27" s="27" t="inlineStr">
        <is>
          <t>C · calculated</t>
        </is>
      </c>
      <c r="D27" s="18" t="inlineStr"/>
    </row>
    <row r="29">
      <c r="A29" s="16" t="inlineStr">
        <is>
          <t>C · ROUNDING STEPS IN USER CURRENCY  —  USD step ÷ rate, then the nearest 1 / 2 / 5 × 10^k</t>
        </is>
      </c>
      <c r="B29" s="16" t="n"/>
      <c r="C29" s="16" t="n"/>
      <c r="D29" s="16" t="n"/>
    </row>
    <row r="30">
      <c r="A30" s="26" t="inlineStr">
        <is>
          <t>lump step</t>
        </is>
      </c>
      <c r="B30" s="66">
        <f>IF(((lumpRoundStep/$B$16))&lt;=0,0,10^INT(LOG10((lumpRoundStep/$B$16)))*IF(((lumpRoundStep/$B$16))/10^INT(LOG10((lumpRoundStep/$B$16)))&lt;1.5,1,IF(((lumpRoundStep/$B$16))/10^INT(LOG10((lumpRoundStep/$B$16)))&lt;3.5,2,IF(((lumpRoundStep/$B$16))/10^INT(LOG10((lumpRoundStep/$B$16)))&lt;7.5,5,10))))</f>
        <v/>
      </c>
      <c r="C30" s="27" t="inlineStr">
        <is>
          <t>C · calculated</t>
        </is>
      </c>
      <c r="D30" s="18" t="inlineStr">
        <is>
          <t>lumpRoundStep (USD) in user currency. SGD gives the V0-14 step.</t>
        </is>
      </c>
    </row>
    <row r="31">
      <c r="A31" s="26" t="inlineStr">
        <is>
          <t>monthly step</t>
        </is>
      </c>
      <c r="B31" s="66">
        <f>IF(((monthlyRoundStep/$B$16))&lt;=0,0,10^INT(LOG10((monthlyRoundStep/$B$16)))*IF(((monthlyRoundStep/$B$16))/10^INT(LOG10((monthlyRoundStep/$B$16)))&lt;1.5,1,IF(((monthlyRoundStep/$B$16))/10^INT(LOG10((monthlyRoundStep/$B$16)))&lt;3.5,2,IF(((monthlyRoundStep/$B$16))/10^INT(LOG10((monthlyRoundStep/$B$16)))&lt;7.5,5,10))))</f>
        <v/>
      </c>
      <c r="C31" s="27" t="inlineStr">
        <is>
          <t>C · calculated</t>
        </is>
      </c>
      <c r="D31" s="18" t="inlineStr">
        <is>
          <t>monthlyRoundStep (USD) in user currency. SGD gives the V0-14 step.</t>
        </is>
      </c>
    </row>
    <row r="32">
      <c r="A32" s="26" t="inlineStr">
        <is>
          <t>premium step</t>
        </is>
      </c>
      <c r="B32" s="66">
        <f>IF(((coverPremRoundStep/$B$16))&lt;=0,0,10^INT(LOG10((coverPremRoundStep/$B$16)))*IF(((coverPremRoundStep/$B$16))/10^INT(LOG10((coverPremRoundStep/$B$16)))&lt;1.5,1,IF(((coverPremRoundStep/$B$16))/10^INT(LOG10((coverPremRoundStep/$B$16)))&lt;3.5,2,IF(((coverPremRoundStep/$B$16))/10^INT(LOG10((coverPremRoundStep/$B$16)))&lt;7.5,5,10))))</f>
        <v/>
      </c>
      <c r="C32" s="27" t="inlineStr">
        <is>
          <t>C · calculated</t>
        </is>
      </c>
      <c r="D32" s="18" t="inlineStr">
        <is>
          <t>coverPremRoundStep (USD) in user currency. SGD gives the V0-14 step.</t>
        </is>
      </c>
    </row>
    <row r="33">
      <c r="A33" s="26" t="inlineStr">
        <is>
          <t>life cover step</t>
        </is>
      </c>
      <c r="B33" s="66">
        <f>IF(((lifeRoundUnit/$B$16))&lt;=0,0,10^INT(LOG10((lifeRoundUnit/$B$16)))*IF(((lifeRoundUnit/$B$16))/10^INT(LOG10((lifeRoundUnit/$B$16)))&lt;1.5,1,IF(((lifeRoundUnit/$B$16))/10^INT(LOG10((lifeRoundUnit/$B$16)))&lt;3.5,2,IF(((lifeRoundUnit/$B$16))/10^INT(LOG10((lifeRoundUnit/$B$16)))&lt;7.5,5,10))))</f>
        <v/>
      </c>
      <c r="C33" s="27" t="inlineStr">
        <is>
          <t>C · calculated</t>
        </is>
      </c>
      <c r="D33" s="18" t="inlineStr">
        <is>
          <t>lifeRoundUnit (USD) in user currency. SGD gives the V0-14 step.</t>
        </is>
      </c>
    </row>
    <row r="34">
      <c r="A34" s="26" t="inlineStr">
        <is>
          <t>HappiU benefit step</t>
        </is>
      </c>
      <c r="B34" s="66">
        <f>IF(((benefitRound/$B$16))&lt;=0,0,10^INT(LOG10((benefitRound/$B$16)))*IF(((benefitRound/$B$16))/10^INT(LOG10((benefitRound/$B$16)))&lt;1.5,1,IF(((benefitRound/$B$16))/10^INT(LOG10((benefitRound/$B$16)))&lt;3.5,2,IF(((benefitRound/$B$16))/10^INT(LOG10((benefitRound/$B$16)))&lt;7.5,5,10))))</f>
        <v/>
      </c>
      <c r="C34" s="27" t="inlineStr">
        <is>
          <t>C · calculated</t>
        </is>
      </c>
      <c r="D34" s="18" t="inlineStr">
        <is>
          <t>benefitRound (USD) in user currency. SGD gives the V0-14 step.</t>
        </is>
      </c>
    </row>
  </sheetData>
  <mergeCells count="6">
    <mergeCell ref="A1:D1"/>
    <mergeCell ref="A4:D4"/>
    <mergeCell ref="I4:L4"/>
    <mergeCell ref="A15:D15"/>
    <mergeCell ref="A29:D29"/>
    <mergeCell ref="A19:D19"/>
  </mergeCells>
  <pageMargins left="0.75" right="0.75" top="1" bottom="1" header="0.5" footer="0.5"/>
</worksheet>
</file>

<file path=xl/worksheets/sheet14.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21" t="inlineStr">
        <is>
          <t>USD validation rules (edit these)</t>
        </is>
      </c>
      <c r="B4" s="34" t="n"/>
      <c r="C4" s="34" t="n"/>
      <c r="D4" s="34" t="n"/>
      <c r="E4" s="35" t="n"/>
    </row>
    <row r="5">
      <c r="A5" s="3" t="inlineStr">
        <is>
          <t>field</t>
        </is>
      </c>
      <c r="B5" s="3" t="inlineStr">
        <is>
          <t>min USD</t>
        </is>
      </c>
      <c r="C5" s="3" t="inlineStr">
        <is>
          <t>max USD</t>
        </is>
      </c>
      <c r="D5" s="3" t="inlineStr">
        <is>
          <t>source / why</t>
        </is>
      </c>
      <c r="E5" s="3" t="inlineStr">
        <is>
          <t>fail if</t>
        </is>
      </c>
    </row>
    <row r="6">
      <c r="A6" s="14" t="inlineStr">
        <is>
          <t>incomeMonthly</t>
        </is>
      </c>
      <c r="B6" s="47" t="n">
        <v>200</v>
      </c>
      <c r="C6" s="47" t="n">
        <v>100000</v>
      </c>
      <c r="D6" s="18" t="inlineStr">
        <is>
          <t>InsApi rejects below ~USD 1,000. Workbook floor 200 so a junior US wage still passes; 5,000 VND does not.</t>
        </is>
      </c>
      <c r="E6" s="18" t="inlineStr">
        <is>
          <t>USD &lt; min or &gt; max</t>
        </is>
      </c>
    </row>
    <row r="7">
      <c r="A7" s="14" t="inlineStr">
        <is>
          <t>expenseMonthly</t>
        </is>
      </c>
      <c r="B7" s="47" t="n">
        <v>80</v>
      </c>
      <c r="C7" s="47" t="n">
        <v>80000</v>
      </c>
      <c r="D7" s="18" t="inlineStr">
        <is>
          <t>Frontend MIN_EXPENSE_MONTHLY = 100 SGD ≈ 74 USD. Floor 80 USD.</t>
        </is>
      </c>
      <c r="E7" s="18" t="inlineStr">
        <is>
          <t>USD &lt; min or &gt; max</t>
        </is>
      </c>
    </row>
    <row r="8">
      <c r="A8" s="14" t="inlineStr">
        <is>
          <t>cash</t>
        </is>
      </c>
      <c r="B8" s="47" t="n">
        <v>0</v>
      </c>
      <c r="C8" s="47" t="n">
        <v>20000000</v>
      </c>
      <c r="D8" s="18" t="inlineStr">
        <is>
          <t>Cash &amp; Savings stock, not a monthly flow.</t>
        </is>
      </c>
      <c r="E8" s="18" t="inlineStr">
        <is>
          <t>USD &lt; 0 or &gt; max</t>
        </is>
      </c>
    </row>
    <row r="9">
      <c r="A9" s="14" t="inlineStr">
        <is>
          <t>investments</t>
        </is>
      </c>
      <c r="B9" s="47" t="n">
        <v>0</v>
      </c>
      <c r="C9" s="47" t="n">
        <v>20000000</v>
      </c>
      <c r="D9" s="18" t="inlineStr">
        <is>
          <t>Investment stock.</t>
        </is>
      </c>
      <c r="E9" s="18" t="inlineStr">
        <is>
          <t>USD &lt; 0 or &gt; max</t>
        </is>
      </c>
    </row>
    <row r="10">
      <c r="A10" s="14" t="inlineStr">
        <is>
          <t>property</t>
        </is>
      </c>
      <c r="B10" s="47" t="n">
        <v>0</v>
      </c>
      <c r="C10" s="47" t="n">
        <v>50000000</v>
      </c>
      <c r="D10" s="18" t="inlineStr">
        <is>
          <t>Home value. 0 is valid (renter).</t>
        </is>
      </c>
      <c r="E10" s="18" t="inlineStr">
        <is>
          <t>USD &lt; 0 or &gt; max</t>
        </is>
      </c>
    </row>
    <row r="11">
      <c r="A11" s="14" t="inlineStr">
        <is>
          <t>mortgage</t>
        </is>
      </c>
      <c r="B11" s="47" t="n">
        <v>0</v>
      </c>
      <c r="C11" s="47" t="n">
        <v>50000000</v>
      </c>
      <c r="D11" s="18" t="inlineStr">
        <is>
          <t>Loans. Also fail if USD mortgage &gt; USD property when property &gt; 0.</t>
        </is>
      </c>
      <c r="E11" s="18" t="inlineStr">
        <is>
          <t>USD &lt; 0, &gt; max, or &gt; property</t>
        </is>
      </c>
    </row>
    <row r="12">
      <c r="A12" s="14" t="inlineStr">
        <is>
          <t>PLU liabilities</t>
        </is>
      </c>
      <c r="B12" s="47" t="n">
        <v>0</v>
      </c>
      <c r="C12" s="47" t="n">
        <v>20000000</v>
      </c>
      <c r="D12" s="18" t="inlineStr">
        <is>
          <t>Profiler TotalLiabilities (liquid × 0.7 unless overridden).</t>
        </is>
      </c>
      <c r="E12" s="18" t="inlineStr">
        <is>
          <t>USD &lt; 0 or &gt; max</t>
        </is>
      </c>
    </row>
    <row r="13">
      <c r="A13" s="14" t="inlineStr">
        <is>
          <t>life sum assured</t>
        </is>
      </c>
      <c r="B13" s="47" t="n">
        <v>0</v>
      </c>
      <c r="C13" s="47" t="n">
        <v>20000000</v>
      </c>
      <c r="D13" s="18" t="inlineStr">
        <is>
          <t>Existing life cover. 0 is valid.</t>
        </is>
      </c>
      <c r="E13" s="18" t="inlineStr">
        <is>
          <t>USD &lt; 0 or &gt; max</t>
        </is>
      </c>
    </row>
    <row r="15">
      <c r="A15" s="16" t="inlineStr">
        <is>
          <t>Selected persona — pass / fail against USD rules</t>
        </is>
      </c>
      <c r="B15" s="34" t="n"/>
      <c r="C15" s="34" t="n"/>
      <c r="D15" s="34" t="n"/>
      <c r="E15" s="34" t="n"/>
      <c r="F15" s="34" t="n"/>
      <c r="G15" s="35" t="n"/>
    </row>
    <row r="16">
      <c r="A16" s="17" t="inlineStr">
        <is>
          <t>Selected persona</t>
        </is>
      </c>
      <c r="B16" s="13">
        <f>SelectedPersona</f>
        <v/>
      </c>
      <c r="C16" s="14">
        <f>IFERROR(INDEX(Personas!B$3:B$52,MATCH($B$16,Personas!$A$3:$A$52,0)),"")</f>
        <v/>
      </c>
      <c r="D16" s="14">
        <f>IFERROR(INDEX(Personas!F$3:F$52,MATCH($B$16,Personas!$A$3:$A$52,0)),"")&amp;" / "&amp;PLU_currency</f>
        <v/>
      </c>
      <c r="E16" s="2" t="inlineStr">
        <is>
          <t>Follows the Selected persona tab. Change the id there.</t>
        </is>
      </c>
    </row>
    <row r="17">
      <c r="A17" s="38" t="inlineStr">
        <is>
          <t>USD per 1 local</t>
        </is>
      </c>
      <c r="B17" s="48">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8" t="inlineStr">
        <is>
          <t>incomeMonthly</t>
        </is>
      </c>
      <c r="B20" s="28">
        <f>PLU_incomeMonthly</f>
        <v/>
      </c>
      <c r="C20" s="28">
        <f>FX_incomeMonthly</f>
        <v/>
      </c>
      <c r="D20" s="39">
        <f>B6</f>
        <v/>
      </c>
      <c r="E20" s="39">
        <f>C6</f>
        <v/>
      </c>
      <c r="F20" s="27">
        <f>IF(FX_usdPerLocal="","no FX",IF(OR(C20&lt;D20,C20&gt;E20),"FAIL","OK"))</f>
        <v/>
      </c>
      <c r="G20" s="18">
        <f>IF(FX_usdPerLocal="","Set Personas currency to a row on the FX tab.",IF(C20&lt;D20,"below min USD",IF(C20&gt;E20,"above max USD","inside USD band")))</f>
        <v/>
      </c>
    </row>
    <row r="21">
      <c r="A21" s="8" t="inlineStr">
        <is>
          <t>expenseMonthly</t>
        </is>
      </c>
      <c r="B21" s="28">
        <f>PLU_expenseMonthly</f>
        <v/>
      </c>
      <c r="C21" s="28">
        <f>FX_expenseMonthly</f>
        <v/>
      </c>
      <c r="D21" s="39">
        <f>B7</f>
        <v/>
      </c>
      <c r="E21" s="39">
        <f>C7</f>
        <v/>
      </c>
      <c r="F21" s="27">
        <f>IF(FX_usdPerLocal="","no FX",IF(OR(C21&lt;D21,C21&gt;E21),"FAIL","OK"))</f>
        <v/>
      </c>
      <c r="G21" s="18">
        <f>IF(FX_usdPerLocal="","Set Personas currency to a row on the FX tab.",IF(C21&lt;D21,"below min USD",IF(C21&gt;E21,"above max USD","inside USD band")))</f>
        <v/>
      </c>
    </row>
    <row r="22">
      <c r="A22" s="8" t="inlineStr">
        <is>
          <t>cash</t>
        </is>
      </c>
      <c r="B22" s="28">
        <f>PLU_cash</f>
        <v/>
      </c>
      <c r="C22" s="28">
        <f>FX_cash</f>
        <v/>
      </c>
      <c r="D22" s="39">
        <f>B8</f>
        <v/>
      </c>
      <c r="E22" s="39">
        <f>C8</f>
        <v/>
      </c>
      <c r="F22" s="27">
        <f>IF(FX_usdPerLocal="","no FX",IF(OR(C22&lt;D22,C22&gt;E22),"FAIL","OK"))</f>
        <v/>
      </c>
      <c r="G22" s="18">
        <f>IF(FX_usdPerLocal="","Set Personas currency to a row on the FX tab.",IF(C22&lt;D22,"below min USD",IF(C22&gt;E22,"above max USD","inside USD band")))</f>
        <v/>
      </c>
    </row>
    <row r="23">
      <c r="A23" s="8" t="inlineStr">
        <is>
          <t>investments</t>
        </is>
      </c>
      <c r="B23" s="28">
        <f>PLU_investments</f>
        <v/>
      </c>
      <c r="C23" s="28">
        <f>FX_investments</f>
        <v/>
      </c>
      <c r="D23" s="39">
        <f>B9</f>
        <v/>
      </c>
      <c r="E23" s="39">
        <f>C9</f>
        <v/>
      </c>
      <c r="F23" s="27">
        <f>IF(FX_usdPerLocal="","no FX",IF(OR(C23&lt;D23,C23&gt;E23),"FAIL","OK"))</f>
        <v/>
      </c>
      <c r="G23" s="18">
        <f>IF(FX_usdPerLocal="","Set Personas currency to a row on the FX tab.",IF(C23&lt;D23,"below min USD",IF(C23&gt;E23,"above max USD","inside USD band")))</f>
        <v/>
      </c>
    </row>
    <row r="24">
      <c r="A24" s="8" t="inlineStr">
        <is>
          <t>property</t>
        </is>
      </c>
      <c r="B24" s="28">
        <f>PLU_property</f>
        <v/>
      </c>
      <c r="C24" s="28">
        <f>FX_property</f>
        <v/>
      </c>
      <c r="D24" s="39">
        <f>B10</f>
        <v/>
      </c>
      <c r="E24" s="39">
        <f>C10</f>
        <v/>
      </c>
      <c r="F24" s="27">
        <f>IF(FX_usdPerLocal="","no FX",IF(OR(C24&lt;D24,C24&gt;E24),"FAIL","OK"))</f>
        <v/>
      </c>
      <c r="G24" s="18">
        <f>IF(FX_usdPerLocal="","Set Personas currency to a row on the FX tab.",IF(C24&lt;D24,"below min USD",IF(C24&gt;E24,"above max USD","inside USD band")))</f>
        <v/>
      </c>
    </row>
    <row r="25">
      <c r="A25" s="8" t="inlineStr">
        <is>
          <t>mortgage</t>
        </is>
      </c>
      <c r="B25" s="28">
        <f>PLU_mortgage</f>
        <v/>
      </c>
      <c r="C25" s="28">
        <f>FX_mortgage</f>
        <v/>
      </c>
      <c r="D25" s="39">
        <f>B11</f>
        <v/>
      </c>
      <c r="E25" s="39">
        <f>C11</f>
        <v/>
      </c>
      <c r="F25" s="27">
        <f>IF(FX_usdPerLocal="","no FX",IF(OR(C25&lt;D25,C25&gt;E25,AND(C25&gt;C24,C24&gt;0)),"FAIL","OK"))</f>
        <v/>
      </c>
      <c r="G25" s="18">
        <f>IF(FX_usdPerLocal="","Set Personas currency to a row on the FX tab.",IF(AND(C25&gt;C24,C24&gt;0),"mortgage USD &gt; property USD",IF(C25&lt;D25,"below min USD",IF(C25&gt;E25,"above max USD","inside USD band"))))</f>
        <v/>
      </c>
    </row>
    <row r="26">
      <c r="A26" s="8" t="inlineStr">
        <is>
          <t>PLU liabilities</t>
        </is>
      </c>
      <c r="B26" s="28">
        <f>PLU_liabilities</f>
        <v/>
      </c>
      <c r="C26" s="28">
        <f>FX_liabilities</f>
        <v/>
      </c>
      <c r="D26" s="39">
        <f>B12</f>
        <v/>
      </c>
      <c r="E26" s="39">
        <f>C12</f>
        <v/>
      </c>
      <c r="F26" s="27">
        <f>IF(FX_usdPerLocal="","no FX",IF(OR(C26&lt;D26,C26&gt;E26),"FAIL","OK"))</f>
        <v/>
      </c>
      <c r="G26" s="18">
        <f>IF(FX_usdPerLocal="","Set Personas currency to a row on the FX tab.",IF(C26&lt;D26,"below min USD",IF(C26&gt;E26,"above max USD","inside USD band")))</f>
        <v/>
      </c>
    </row>
    <row r="27">
      <c r="A27" s="8" t="inlineStr">
        <is>
          <t>life sum assured</t>
        </is>
      </c>
      <c r="B27" s="28">
        <f>PLU_lifeSum</f>
        <v/>
      </c>
      <c r="C27" s="28">
        <f>FX_lifeSum</f>
        <v/>
      </c>
      <c r="D27" s="39">
        <f>B13</f>
        <v/>
      </c>
      <c r="E27" s="39">
        <f>C13</f>
        <v/>
      </c>
      <c r="F27" s="27">
        <f>IF(FX_usdPerLocal="","no FX",IF(OR(C27&lt;D27,C27&gt;E27),"FAIL","OK"))</f>
        <v/>
      </c>
      <c r="G27" s="18">
        <f>IF(FX_usdPerLocal="","Set Personas currency to a row on the FX tab.",IF(C27&lt;D27,"below min USD",IF(C27&gt;E27,"above max USD","inside USD band")))</f>
        <v/>
      </c>
    </row>
    <row r="29">
      <c r="A29" s="67" t="inlineStr">
        <is>
          <t>Overall</t>
        </is>
      </c>
      <c r="B29" s="27">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5.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56" customWidth="1" min="3" max="3"/>
    <col width="14" customWidth="1" min="4" max="4"/>
    <col width="36" customWidth="1" min="5" max="5"/>
    <col width="14" customWidth="1" min="6" max="6"/>
    <col width="14" customWidth="1" min="7" max="7"/>
    <col width="16" customWidth="1" min="8" max="8"/>
    <col width="22" customWidth="1" min="9" max="9"/>
    <col width="16" customWidth="1" min="10" max="10"/>
    <col width="16" customWidth="1" min="11" max="11"/>
  </cols>
  <sheetData>
    <row r="1" ht="22" customHeight="1">
      <c r="A1" s="1" t="inlineStr">
        <is>
          <t>Assumptions and shared data — values the live code actually reads</t>
        </is>
      </c>
    </row>
    <row r="2" ht="32" customHeight="1">
      <c r="A2" s="2" t="inlineStr">
        <is>
          <t>Yellow cells are editable. Every other tab reads these named cells. HappiU and Scenario Visualizer still run in HU / SV; this sheet only stores what GP sends them.</t>
        </is>
      </c>
    </row>
    <row r="4">
      <c r="A4" s="5" t="inlineStr">
        <is>
          <t>Economic rates (src/session_rates.py DEFAULTS / ASSUME_DEFAULTS)</t>
        </is>
      </c>
      <c r="E4" s="5" t="inlineStr">
        <is>
          <t>Singapore occupation income bands (income_anchors.json)</t>
        </is>
      </c>
      <c r="I4" s="7" t="inlineStr">
        <is>
          <t>Open issues (multi-country / multi-currency) are listed on the Discrepancies tab. Cash/investments is 15%/85%. Need Profiler money is local × FX → USD.</t>
        </is>
      </c>
    </row>
    <row r="5">
      <c r="A5" s="4" t="inlineStr">
        <is>
          <t>inflationRate</t>
        </is>
      </c>
      <c r="B5" s="68" t="n">
        <v>0.023</v>
      </c>
      <c r="E5" s="3" t="inlineStr">
        <is>
          <t>occupation</t>
        </is>
      </c>
      <c r="F5" s="3" t="inlineStr">
        <is>
          <t>min</t>
        </is>
      </c>
      <c r="G5" s="3" t="inlineStr">
        <is>
          <t>max</t>
        </is>
      </c>
    </row>
    <row r="6">
      <c r="A6" s="4" t="inlineStr">
        <is>
          <t>interestRate</t>
        </is>
      </c>
      <c r="B6" s="68" t="n">
        <v>0.012</v>
      </c>
      <c r="E6" s="4" t="inlineStr">
        <is>
          <t>Teacher</t>
        </is>
      </c>
      <c r="F6" s="69" t="n">
        <v>5600</v>
      </c>
      <c r="G6" s="69" t="n">
        <v>9800</v>
      </c>
      <c r="H6" s="70" t="inlineStr">
        <is>
          <t>Teacher / educator</t>
        </is>
      </c>
    </row>
    <row r="7">
      <c r="A7" s="4" t="inlineStr">
        <is>
          <t>loanRate</t>
        </is>
      </c>
      <c r="B7" s="68" t="n">
        <v>0.035</v>
      </c>
      <c r="E7" s="4" t="inlineStr">
        <is>
          <t>Software Engineer</t>
        </is>
      </c>
      <c r="F7" s="69" t="n">
        <v>7500</v>
      </c>
      <c r="G7" s="69" t="n">
        <v>18000</v>
      </c>
      <c r="H7" s="70" t="inlineStr">
        <is>
          <t>Software engineer</t>
        </is>
      </c>
    </row>
    <row r="8">
      <c r="A8" s="4" t="inlineStr">
        <is>
          <t>incomeGrowthRate</t>
        </is>
      </c>
      <c r="B8" s="68" t="n">
        <v>0.028</v>
      </c>
      <c r="E8" s="4" t="inlineStr">
        <is>
          <t>Investment Banker</t>
        </is>
      </c>
      <c r="F8" s="69" t="n">
        <v>11200</v>
      </c>
      <c r="G8" s="69" t="n">
        <v>28000</v>
      </c>
      <c r="H8" s="70" t="inlineStr">
        <is>
          <t>Investment banker / finance director</t>
        </is>
      </c>
    </row>
    <row r="9">
      <c r="A9" s="4" t="inlineStr">
        <is>
          <t>investmentReturn</t>
        </is>
      </c>
      <c r="B9" s="68" t="n">
        <v>0.042</v>
      </c>
      <c r="E9" s="4" t="inlineStr">
        <is>
          <t>Marketing Manager</t>
        </is>
      </c>
      <c r="F9" s="69" t="n">
        <v>7000</v>
      </c>
      <c r="G9" s="69" t="n">
        <v>14000</v>
      </c>
      <c r="H9" s="70" t="inlineStr">
        <is>
          <t>Marketing manager</t>
        </is>
      </c>
    </row>
    <row r="10">
      <c r="A10" s="4" t="inlineStr">
        <is>
          <t>assetReturn</t>
        </is>
      </c>
      <c r="B10" s="68" t="n">
        <v>0.03</v>
      </c>
      <c r="E10" s="4" t="inlineStr">
        <is>
          <t>Doctor</t>
        </is>
      </c>
      <c r="F10" s="69" t="n">
        <v>10400</v>
      </c>
      <c r="G10" s="69" t="n">
        <v>26000</v>
      </c>
      <c r="H10" s="70" t="inlineStr">
        <is>
          <t>Doctor / physician</t>
        </is>
      </c>
    </row>
    <row r="11">
      <c r="A11" s="4" t="inlineStr">
        <is>
          <t>realReturn (derived)</t>
        </is>
      </c>
      <c r="B11" s="71">
        <f>MAX(0,(1+investmentReturn)/(1+inflationRate)-1)</f>
        <v/>
      </c>
      <c r="C11" s="72" t="inlineStr">
        <is>
          <t>Need Calculator and Plan Calculator discount at this rate</t>
        </is>
      </c>
      <c r="E11" s="4" t="inlineStr">
        <is>
          <t>Nurse</t>
        </is>
      </c>
      <c r="F11" s="69" t="n">
        <v>4200</v>
      </c>
      <c r="G11" s="69" t="n">
        <v>8400</v>
      </c>
      <c r="H11" s="70" t="inlineStr">
        <is>
          <t>Nurse</t>
        </is>
      </c>
    </row>
    <row r="12">
      <c r="E12" s="4" t="inlineStr">
        <is>
          <t>Accountant</t>
        </is>
      </c>
      <c r="F12" s="69" t="n">
        <v>5600</v>
      </c>
      <c r="G12" s="69" t="n">
        <v>11200</v>
      </c>
      <c r="H12" s="70" t="inlineStr">
        <is>
          <t>Accountant</t>
        </is>
      </c>
    </row>
    <row r="13">
      <c r="A13" s="5" t="inlineStr">
        <is>
          <t>Life-cycle</t>
        </is>
      </c>
      <c r="E13" s="4" t="inlineStr">
        <is>
          <t>CEO</t>
        </is>
      </c>
      <c r="F13" s="69" t="n">
        <v>16800</v>
      </c>
      <c r="G13" s="69" t="n">
        <v>42000</v>
      </c>
      <c r="H13" s="70" t="inlineStr">
        <is>
          <t>CEO / managing director of a typical firm</t>
        </is>
      </c>
    </row>
    <row r="14">
      <c r="A14" s="4" t="inlineStr">
        <is>
          <t>ageOfRetirement</t>
        </is>
      </c>
      <c r="B14" s="47" t="n">
        <v>65</v>
      </c>
    </row>
    <row r="15">
      <c r="A15" s="4" t="inlineStr">
        <is>
          <t>lifeExpectancyDefault</t>
        </is>
      </c>
      <c r="B15" s="47" t="n">
        <v>85</v>
      </c>
    </row>
    <row r="16">
      <c r="A16" s="4" t="inlineStr">
        <is>
          <t>currentYear</t>
        </is>
      </c>
      <c r="B16" s="47" t="n">
        <v>2026</v>
      </c>
    </row>
    <row r="17">
      <c r="A17" s="4" t="inlineStr">
        <is>
          <t>endAge (chart horizon)</t>
        </is>
      </c>
      <c r="B17" s="47" t="n">
        <v>85</v>
      </c>
    </row>
    <row r="19">
      <c r="A19" s="5" t="inlineStr">
        <is>
          <t>CPF rates and formulas live on the CPF tab (country on / off)</t>
        </is>
      </c>
    </row>
    <row r="20">
      <c r="E20" s="5" t="inlineStr">
        <is>
          <t>Stress events (frontend/src/lib/stressEvents.ts) — Scenario Visualizer only</t>
        </is>
      </c>
    </row>
    <row r="21">
      <c r="A21" s="5" t="inlineStr">
        <is>
          <t>System currency (V0-15) — every calculator runs in USD; fixed amounts below are USD</t>
        </is>
      </c>
      <c r="E21" s="3" t="inlineStr">
        <is>
          <t>risk code (was id)</t>
        </is>
      </c>
      <c r="F21" s="3" t="inlineStr">
        <is>
          <t>label</t>
        </is>
      </c>
      <c r="G21" s="3" t="inlineStr">
        <is>
          <t>default size</t>
        </is>
      </c>
      <c r="H21" s="3" t="inlineStr">
        <is>
          <t>default year</t>
        </is>
      </c>
      <c r="I21" s="3" t="inlineStr">
        <is>
          <t>what SV applies</t>
        </is>
      </c>
    </row>
    <row r="22">
      <c r="A22" s="4" t="inlineStr">
        <is>
          <t>systemCurrency</t>
        </is>
      </c>
      <c r="B22" s="69" t="inlineStr">
        <is>
          <t>USD</t>
        </is>
      </c>
      <c r="E22" s="4" t="inlineStr">
        <is>
          <t>R_MKT (crash)</t>
        </is>
      </c>
      <c r="F22" s="4" t="inlineStr">
        <is>
          <t>Market crash</t>
        </is>
      </c>
      <c r="G22" s="4" t="inlineStr">
        <is>
          <t>35%</t>
        </is>
      </c>
      <c r="H22" s="4" t="inlineStr">
        <is>
          <t>year 8</t>
        </is>
      </c>
      <c r="I22" s="4" t="inlineStr">
        <is>
          <t>Haircut on invested assets</t>
        </is>
      </c>
    </row>
    <row r="23">
      <c r="A23" s="4" t="inlineStr">
        <is>
          <t>fxMode (A = market rate; B = market rate × price level)</t>
        </is>
      </c>
      <c r="B23" s="47" t="inlineStr">
        <is>
          <t>A</t>
        </is>
      </c>
      <c r="E23" s="4" t="inlineStr">
        <is>
          <t>R_CCY (ccy)</t>
        </is>
      </c>
      <c r="F23" s="4" t="inlineStr">
        <is>
          <t>Currency shock</t>
        </is>
      </c>
      <c r="G23" s="4" t="inlineStr">
        <is>
          <t>14%</t>
        </is>
      </c>
      <c r="H23" s="4" t="inlineStr">
        <is>
          <t>year 6</t>
        </is>
      </c>
      <c r="I23" s="4" t="inlineStr">
        <is>
          <t>Haircut on liquid assets at 2/3 of slider</t>
        </is>
      </c>
    </row>
    <row r="24">
      <c r="A24" s="4" t="inlineStr">
        <is>
          <t>priceLevelOn (option B)</t>
        </is>
      </c>
      <c r="B24" s="47" t="b">
        <v>0</v>
      </c>
      <c r="E24" s="4" t="inlineStr">
        <is>
          <t>R_INF (infl)</t>
        </is>
      </c>
      <c r="F24" s="4" t="inlineStr">
        <is>
          <t>Inflation shock</t>
        </is>
      </c>
      <c r="G24" s="4" t="inlineStr">
        <is>
          <t>+3 pp</t>
        </is>
      </c>
      <c r="H24" s="4" t="inlineStr">
        <is>
          <t>years 4–9</t>
        </is>
      </c>
      <c r="I24" s="4" t="inlineStr">
        <is>
          <t>Session inflationRate plus extra</t>
        </is>
      </c>
    </row>
    <row r="25">
      <c r="E25" s="4" t="inlineStr">
        <is>
          <t>R_ICT (inc)</t>
        </is>
      </c>
      <c r="F25" s="4" t="inlineStr">
        <is>
          <t>Impact on income</t>
        </is>
      </c>
      <c r="G25" s="4" t="inlineStr">
        <is>
          <t>−20%</t>
        </is>
      </c>
      <c r="H25" s="4" t="inlineStr">
        <is>
          <t>years 5–10</t>
        </is>
      </c>
      <c r="I25" s="4" t="inlineStr">
        <is>
          <t>Salary reduced for that span</t>
        </is>
      </c>
    </row>
    <row r="26">
      <c r="E26" s="4" t="inlineStr">
        <is>
          <t>R_DEA (death)</t>
        </is>
      </c>
      <c r="F26" s="4" t="inlineStr">
        <is>
          <t>Death</t>
        </is>
      </c>
      <c r="G26" s="4" t="inlineStr">
        <is>
          <t>S$20,000</t>
        </is>
      </c>
      <c r="H26" s="4" t="inlineStr">
        <is>
          <t>year 17</t>
        </is>
      </c>
      <c r="I26" s="4" t="inlineStr">
        <is>
          <t>One-time cost; salary → 0</t>
        </is>
      </c>
    </row>
    <row r="27">
      <c r="A27" s="5" t="inlineStr">
        <is>
          <t>Need parameters (src/pipeline/goal_math.py) — money in USD</t>
        </is>
      </c>
      <c r="E27" s="4" t="inlineStr">
        <is>
          <t>R_CRI (ci)</t>
        </is>
      </c>
      <c r="F27" s="4" t="inlineStr">
        <is>
          <t>Critical illness</t>
        </is>
      </c>
      <c r="G27" s="4" t="inlineStr">
        <is>
          <t>S$150,000</t>
        </is>
      </c>
      <c r="H27" s="4" t="inlineStr">
        <is>
          <t>year 12</t>
        </is>
      </c>
      <c r="I27" s="4" t="inlineStr">
        <is>
          <t>One-time medical cost</t>
        </is>
      </c>
    </row>
    <row r="28">
      <c r="A28" s="4" t="inlineStr">
        <is>
          <t>RET_LIFESTYLE_FRUGAL</t>
        </is>
      </c>
      <c r="B28" s="68" t="n">
        <v>0.75</v>
      </c>
      <c r="E28" s="4" t="inlineStr">
        <is>
          <t>R_TPD (tpd)</t>
        </is>
      </c>
      <c r="F28" s="4" t="inlineStr">
        <is>
          <t>Total &amp; permanent disability</t>
        </is>
      </c>
      <c r="G28" s="4" t="inlineStr">
        <is>
          <t>S$200,000</t>
        </is>
      </c>
      <c r="H28" s="4" t="inlineStr">
        <is>
          <t>year 15</t>
        </is>
      </c>
      <c r="I28" s="4" t="inlineStr">
        <is>
          <t>One-time medical cost</t>
        </is>
      </c>
    </row>
    <row r="29">
      <c r="A29" s="4" t="inlineStr">
        <is>
          <t>RET_LIFESTYLE_STRESSFREE</t>
        </is>
      </c>
      <c r="B29" s="68" t="n">
        <v>1</v>
      </c>
      <c r="E29" s="4" t="inlineStr">
        <is>
          <t>R_PAC (pa)</t>
        </is>
      </c>
      <c r="F29" s="4" t="inlineStr">
        <is>
          <t>Personal accident</t>
        </is>
      </c>
      <c r="G29" s="4" t="inlineStr">
        <is>
          <t>S$80,000</t>
        </is>
      </c>
      <c r="H29" s="4" t="inlineStr">
        <is>
          <t>year 10</t>
        </is>
      </c>
      <c r="I29" s="4" t="inlineStr">
        <is>
          <t>One-time medical cost</t>
        </is>
      </c>
    </row>
    <row r="30">
      <c r="A30" s="4" t="inlineStr">
        <is>
          <t>RET_LIFESTYLE_ONLYTHEBEST</t>
        </is>
      </c>
      <c r="B30" s="68" t="n">
        <v>1.25</v>
      </c>
      <c r="E30" s="4" t="inlineStr">
        <is>
          <t>R_HOS (hosp)</t>
        </is>
      </c>
      <c r="F30" s="4" t="inlineStr">
        <is>
          <t>Hospitalisation</t>
        </is>
      </c>
      <c r="G30" s="4" t="inlineStr">
        <is>
          <t>S$120,000</t>
        </is>
      </c>
      <c r="H30" s="4" t="inlineStr">
        <is>
          <t>year 9</t>
        </is>
      </c>
      <c r="I30" s="4" t="inlineStr">
        <is>
          <t>One-time hospital bill</t>
        </is>
      </c>
    </row>
    <row r="31">
      <c r="A31" s="4" t="inlineStr">
        <is>
          <t>INC_SUPPORT_MIN</t>
        </is>
      </c>
      <c r="B31" s="47" t="n">
        <v>10</v>
      </c>
      <c r="E31" s="4" t="inlineStr">
        <is>
          <t>R_LTC (care)</t>
        </is>
      </c>
      <c r="F31" s="4" t="inlineStr">
        <is>
          <t>Long-term care years</t>
        </is>
      </c>
      <c r="G31" s="4" t="inlineStr">
        <is>
          <t>S$90,000 / yr</t>
        </is>
      </c>
      <c r="H31" s="4" t="inlineStr">
        <is>
          <t>years 30–35</t>
        </is>
      </c>
      <c r="I31" s="4" t="inlineStr">
        <is>
          <t>Extra annual spend</t>
        </is>
      </c>
    </row>
    <row r="32">
      <c r="A32" s="4" t="inlineStr">
        <is>
          <t>INC_SUPPORT_MAX</t>
        </is>
      </c>
      <c r="B32" s="47" t="n">
        <v>25</v>
      </c>
      <c r="E32" s="4" t="inlineStr">
        <is>
          <t>R_WED (wed)</t>
        </is>
      </c>
      <c r="F32" s="4" t="inlineStr">
        <is>
          <t>Wedding / marriage</t>
        </is>
      </c>
      <c r="G32" s="4" t="inlineStr">
        <is>
          <t>S$60,000</t>
        </is>
      </c>
      <c r="H32" s="4" t="inlineStr">
        <is>
          <t>year 5</t>
        </is>
      </c>
      <c r="I32" s="4" t="inlineStr">
        <is>
          <t>One-time cost</t>
        </is>
      </c>
    </row>
    <row r="33">
      <c r="A33" s="4" t="inlineStr">
        <is>
          <t>INC_SUPPORT_PIVOT_AGE</t>
        </is>
      </c>
      <c r="B33" s="47" t="n">
        <v>50</v>
      </c>
      <c r="E33" s="4" t="inlineStr">
        <is>
          <t>R_BAB (baby)</t>
        </is>
      </c>
      <c r="F33" s="4" t="inlineStr">
        <is>
          <t>Newborn</t>
        </is>
      </c>
      <c r="G33" s="4" t="inlineStr">
        <is>
          <t>S$35,000</t>
        </is>
      </c>
      <c r="H33" s="4" t="inlineStr">
        <is>
          <t>year 3</t>
        </is>
      </c>
      <c r="I33" s="4" t="inlineStr">
        <is>
          <t>One-time cost</t>
        </is>
      </c>
    </row>
    <row r="34">
      <c r="A34" s="4" t="inlineStr">
        <is>
          <t>CRI_YEARS</t>
        </is>
      </c>
      <c r="B34" s="47" t="n">
        <v>3</v>
      </c>
      <c r="E34" s="4" t="inlineStr">
        <is>
          <t>R_EXP (exp)</t>
        </is>
      </c>
      <c r="F34" s="4" t="inlineStr">
        <is>
          <t>Impact on expenses</t>
        </is>
      </c>
      <c r="G34" s="4" t="inlineStr">
        <is>
          <t>+15%</t>
        </is>
      </c>
      <c r="H34" s="4" t="inlineStr">
        <is>
          <t>years 6–12</t>
        </is>
      </c>
      <c r="I34" s="4" t="inlineStr">
        <is>
          <t>Living spend raised</t>
        </is>
      </c>
    </row>
    <row r="35">
      <c r="A35" s="4" t="inlineStr">
        <is>
          <t>CRI_COST (USD)</t>
        </is>
      </c>
      <c r="B35" s="47" t="n">
        <v>148000</v>
      </c>
      <c r="E35" s="4" t="inlineStr">
        <is>
          <t>R_LON (new)</t>
        </is>
      </c>
      <c r="F35" s="4" t="inlineStr">
        <is>
          <t>Longevity</t>
        </is>
      </c>
      <c r="G35" s="4" t="inlineStr">
        <is>
          <t>live until 99</t>
        </is>
      </c>
      <c r="H35" s="4" t="inlineStr">
        <is>
          <t>—</t>
        </is>
      </c>
      <c r="I35" s="4" t="inlineStr">
        <is>
          <t>Chart horizon to age 99; N_RET re-sized to 99</t>
        </is>
      </c>
    </row>
    <row r="36">
      <c r="A36" s="4" t="inlineStr">
        <is>
          <t>TPD_YEARS</t>
        </is>
      </c>
      <c r="B36" s="47" t="n">
        <v>5</v>
      </c>
    </row>
    <row r="37">
      <c r="A37" s="4" t="inlineStr">
        <is>
          <t>TPD_COST (USD)</t>
        </is>
      </c>
      <c r="B37" s="47" t="n">
        <v>148000</v>
      </c>
    </row>
    <row r="38">
      <c r="A38" s="4" t="inlineStr">
        <is>
          <t>HOS_MONTHS</t>
        </is>
      </c>
      <c r="B38" s="47" t="n">
        <v>6</v>
      </c>
    </row>
    <row r="39">
      <c r="A39" s="4" t="inlineStr">
        <is>
          <t>EDU_COST (USD)</t>
        </is>
      </c>
      <c r="B39" s="47" t="n">
        <v>55500</v>
      </c>
    </row>
    <row r="40">
      <c r="A40" s="4" t="inlineStr">
        <is>
          <t>EDU_YEARS_DEFAULT</t>
        </is>
      </c>
      <c r="B40" s="47" t="n">
        <v>10</v>
      </c>
    </row>
    <row r="41">
      <c r="A41" s="4" t="inlineStr">
        <is>
          <t>SAV_INCOME_MULT</t>
        </is>
      </c>
      <c r="B41" s="47" t="n">
        <v>1</v>
      </c>
    </row>
    <row r="42">
      <c r="A42" s="4" t="inlineStr">
        <is>
          <t>PRP_INCOME_MULT</t>
        </is>
      </c>
      <c r="B42" s="47" t="n">
        <v>5</v>
      </c>
    </row>
    <row r="43">
      <c r="A43" s="4" t="inlineStr">
        <is>
          <t>PAC_YEARS</t>
        </is>
      </c>
      <c r="B43" s="47" t="n">
        <v>1</v>
      </c>
    </row>
    <row r="44">
      <c r="A44" s="4" t="inlineStr">
        <is>
          <t>PAC_COST (USD = S$80,000 × 0.74)</t>
        </is>
      </c>
      <c r="B44" s="47" t="n">
        <v>59200</v>
      </c>
    </row>
    <row r="45">
      <c r="A45" s="4" t="inlineStr">
        <is>
          <t>LON_AGE (R_LON: live until)</t>
        </is>
      </c>
      <c r="B45" s="47" t="n">
        <v>99</v>
      </c>
    </row>
    <row r="46">
      <c r="A46" s="5" t="inlineStr">
        <is>
          <t>Household seeding (src/predict.py spend / assets; CPF is on the CPF tab)</t>
        </is>
      </c>
    </row>
    <row r="47">
      <c r="A47" s="4" t="inlineStr">
        <is>
          <t>spendShareBase</t>
        </is>
      </c>
      <c r="B47" s="68" t="n">
        <v>0.675</v>
      </c>
    </row>
    <row r="48">
      <c r="A48" s="4" t="inlineStr">
        <is>
          <t>spendSharePerDependant</t>
        </is>
      </c>
      <c r="B48" s="68" t="n">
        <v>0.05</v>
      </c>
    </row>
    <row r="49">
      <c r="A49" s="4" t="inlineStr">
        <is>
          <t>spendShareCap</t>
        </is>
      </c>
      <c r="B49" s="68" t="n">
        <v>0.9</v>
      </c>
    </row>
    <row r="50">
      <c r="A50" s="4" t="inlineStr">
        <is>
          <t>assetsSaveShare</t>
        </is>
      </c>
      <c r="B50" s="68" t="n">
        <v>0.5</v>
      </c>
    </row>
    <row r="51">
      <c r="A51" s="4" t="inlineStr">
        <is>
          <t>workStartAge</t>
        </is>
      </c>
      <c r="B51" s="47" t="n">
        <v>21</v>
      </c>
    </row>
    <row r="52">
      <c r="A52" s="4" t="inlineStr">
        <is>
          <t>liabilityRatio (PLU only; not the mortgage)</t>
        </is>
      </c>
      <c r="B52" s="68" t="n">
        <v>0.7</v>
      </c>
    </row>
    <row r="53">
      <c r="A53" s="4" t="inlineStr">
        <is>
          <t>CASH_SAVINGS_SHARE</t>
        </is>
      </c>
      <c r="B53" s="68" t="n">
        <v>0.15</v>
      </c>
    </row>
    <row r="54">
      <c r="A54" s="4" t="inlineStr">
        <is>
          <t>INVESTMENTS_SHARE</t>
        </is>
      </c>
      <c r="B54" s="68" t="n">
        <v>0.85</v>
      </c>
    </row>
    <row r="55">
      <c r="A55" s="4" t="inlineStr">
        <is>
          <t>propertyLow (USD)</t>
        </is>
      </c>
      <c r="B55" s="47" t="n">
        <v>259000</v>
      </c>
    </row>
    <row r="56">
      <c r="A56" s="4" t="inlineStr">
        <is>
          <t>propertyMid (USD)</t>
        </is>
      </c>
      <c r="B56" s="47" t="n">
        <v>481000</v>
      </c>
    </row>
    <row r="57">
      <c r="A57" s="4" t="inlineStr">
        <is>
          <t>propertyHigh (USD)</t>
        </is>
      </c>
      <c r="B57" s="47" t="n">
        <v>629000</v>
      </c>
    </row>
    <row r="58">
      <c r="A58" s="4" t="inlineStr">
        <is>
          <t>propertyIncomeLow (USD / month)</t>
        </is>
      </c>
      <c r="B58" s="47" t="n">
        <v>7400</v>
      </c>
    </row>
    <row r="59">
      <c r="A59" s="4" t="inlineStr">
        <is>
          <t>propertyIncomeHigh (USD / month)</t>
        </is>
      </c>
      <c r="B59" s="47" t="n">
        <v>14800</v>
      </c>
    </row>
    <row r="60">
      <c r="A60" s="4" t="inlineStr">
        <is>
          <t>PROPERTY_LTV</t>
        </is>
      </c>
      <c r="B60" s="68" t="n">
        <v>0.55</v>
      </c>
    </row>
    <row r="61">
      <c r="A61" s="4" t="inlineStr">
        <is>
          <t>lifePremiumRate</t>
        </is>
      </c>
      <c r="B61" s="73" t="n">
        <v>0.0031</v>
      </c>
    </row>
    <row r="62">
      <c r="A62" s="4" t="inlineStr">
        <is>
          <t>lifeRoundUnit (USD, before nice step)</t>
        </is>
      </c>
      <c r="B62" s="47" t="n">
        <v>74000</v>
      </c>
    </row>
    <row r="64">
      <c r="A64" s="5" t="inlineStr">
        <is>
          <t>Plan and budget (frontend/src/lib/planProducts.ts)</t>
        </is>
      </c>
    </row>
    <row r="65">
      <c r="A65" s="4" t="inlineStr">
        <is>
          <t>protectionPremiumRate</t>
        </is>
      </c>
      <c r="B65" s="73" t="n">
        <v>0.00078</v>
      </c>
    </row>
    <row r="66">
      <c r="A66" s="4" t="inlineStr">
        <is>
          <t>FREE_BUDGET_SHARE</t>
        </is>
      </c>
      <c r="B66" s="68" t="n">
        <v>0.5</v>
      </c>
    </row>
    <row r="67">
      <c r="A67" s="4" t="inlineStr">
        <is>
          <t>lumpRoundStep (USD, before nice step)</t>
        </is>
      </c>
      <c r="B67" s="47" t="n">
        <v>740</v>
      </c>
    </row>
    <row r="68">
      <c r="A68" s="4" t="inlineStr">
        <is>
          <t>monthlyRoundStep (USD, before nice step)</t>
        </is>
      </c>
      <c r="B68" s="47" t="n">
        <v>37</v>
      </c>
    </row>
    <row r="69">
      <c r="A69" s="4" t="inlineStr">
        <is>
          <t>coverPremRoundStep (USD, before nice step)</t>
        </is>
      </c>
      <c r="B69" s="74" t="n">
        <v>7.4</v>
      </c>
    </row>
    <row r="70">
      <c r="A70" s="4" t="inlineStr">
        <is>
          <t>coverSliderPremFloor (USD)</t>
        </is>
      </c>
      <c r="B70" s="47" t="n">
        <v>148</v>
      </c>
    </row>
    <row r="72">
      <c r="A72" s="5" t="inlineStr">
        <is>
          <t>HappiU budget envelope (src/hu_payload.py) — not Budget Calculator</t>
        </is>
      </c>
    </row>
    <row r="73">
      <c r="A73" s="4" t="inlineStr">
        <is>
          <t>annualBudget (USD)</t>
        </is>
      </c>
      <c r="B73" s="47" t="n">
        <v>1110</v>
      </c>
    </row>
    <row r="74">
      <c r="A74" s="4" t="inlineStr">
        <is>
          <t>placeholderNeedBudget (USD)</t>
        </is>
      </c>
      <c r="B74" s="47" t="n">
        <v>148</v>
      </c>
    </row>
    <row r="75">
      <c r="A75" s="4" t="inlineStr">
        <is>
          <t>gfr</t>
        </is>
      </c>
      <c r="B75" s="68" t="n">
        <v>0.05</v>
      </c>
    </row>
    <row r="76">
      <c r="A76" s="4" t="inlineStr">
        <is>
          <t>benefitRound (USD, before nice step)</t>
        </is>
      </c>
      <c r="B76" s="47" t="n">
        <v>37000</v>
      </c>
    </row>
    <row r="77">
      <c r="A77" s="4" t="inlineStr">
        <is>
          <t>huNumSims</t>
        </is>
      </c>
      <c r="B77" s="47" t="n">
        <v>200</v>
      </c>
    </row>
    <row r="79">
      <c r="A79" s="4" t="inlineStr">
        <is>
          <t>CRI_MEDICAL_HU (USD)</t>
        </is>
      </c>
      <c r="B79" s="47" t="n">
        <v>148000</v>
      </c>
    </row>
    <row r="81">
      <c r="A81" s="5" t="inlineStr">
        <is>
          <t>Risk → investmentReturn seed (frontend/src/lib/riskCapacity.ts)</t>
        </is>
      </c>
    </row>
    <row r="82">
      <c r="A82" s="4" t="inlineStr">
        <is>
          <t>suggestBand1</t>
        </is>
      </c>
      <c r="B82" s="68" t="n">
        <v>0.03</v>
      </c>
    </row>
    <row r="83">
      <c r="A83" s="4" t="inlineStr">
        <is>
          <t>suggestBand2</t>
        </is>
      </c>
      <c r="B83" s="68" t="n">
        <v>0.035</v>
      </c>
    </row>
    <row r="84">
      <c r="A84" s="4" t="inlineStr">
        <is>
          <t>suggestBand3</t>
        </is>
      </c>
      <c r="B84" s="68" t="n">
        <v>0.042</v>
      </c>
    </row>
    <row r="85">
      <c r="A85" s="4" t="inlineStr">
        <is>
          <t>suggestBand4</t>
        </is>
      </c>
      <c r="B85" s="68" t="n">
        <v>0.05</v>
      </c>
    </row>
    <row r="86">
      <c r="A86" s="4" t="inlineStr">
        <is>
          <t>suggestBand5</t>
        </is>
      </c>
      <c r="B86" s="68" t="n">
        <v>0.055</v>
      </c>
    </row>
    <row r="87">
      <c r="A87" s="4" t="inlineStr">
        <is>
          <t>defaultRiskTolerance</t>
        </is>
      </c>
      <c r="B87" s="47" t="n">
        <v>3</v>
      </c>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TPD</t>
        </is>
      </c>
      <c r="E89" s="3" t="inlineStr">
        <is>
          <t>Retirement</t>
        </is>
      </c>
      <c r="F89" s="3" t="inlineStr">
        <is>
          <t>Education</t>
        </is>
      </c>
      <c r="G89" s="3" t="inlineStr">
        <is>
          <t>Hospitalization</t>
        </is>
      </c>
      <c r="H89" s="3" t="inlineStr">
        <is>
          <t>General Savings</t>
        </is>
      </c>
      <c r="I89" s="3" t="inlineStr">
        <is>
          <t>Personal Accident</t>
        </is>
      </c>
      <c r="J89" s="3" t="inlineStr">
        <is>
          <t>Car Protection</t>
        </is>
      </c>
      <c r="K89" s="3" t="inlineStr">
        <is>
          <t>Home Protection</t>
        </is>
      </c>
      <c r="L89" s="3" t="inlineStr">
        <is>
          <t>Travel Protection</t>
        </is>
      </c>
    </row>
    <row r="90">
      <c r="A90" s="4" t="inlineStr">
        <is>
          <t>Date of Birth</t>
        </is>
      </c>
      <c r="B90" s="75" t="n">
        <v>0</v>
      </c>
      <c r="C90" s="75" t="n">
        <v>0</v>
      </c>
      <c r="D90" s="75" t="n">
        <v>0</v>
      </c>
      <c r="E90" s="75" t="n">
        <v>2</v>
      </c>
      <c r="F90" s="75" t="n">
        <v>0</v>
      </c>
      <c r="G90" s="75" t="n">
        <v>0</v>
      </c>
      <c r="H90" s="75" t="n">
        <v>0</v>
      </c>
      <c r="I90" s="75" t="n">
        <v>0</v>
      </c>
      <c r="J90" s="75" t="n">
        <v>1</v>
      </c>
      <c r="K90" s="75" t="n">
        <v>1</v>
      </c>
      <c r="L90" s="75" t="n">
        <v>0</v>
      </c>
    </row>
    <row r="91">
      <c r="A91" s="4" t="inlineStr">
        <is>
          <t>Gender</t>
        </is>
      </c>
      <c r="B91" s="75" t="n">
        <v>0</v>
      </c>
      <c r="C91" s="75" t="n">
        <v>0</v>
      </c>
      <c r="D91" s="75" t="n">
        <v>0</v>
      </c>
      <c r="E91" s="75" t="n">
        <v>2</v>
      </c>
      <c r="F91" s="75" t="n">
        <v>0</v>
      </c>
      <c r="G91" s="75" t="n">
        <v>0</v>
      </c>
      <c r="H91" s="75" t="n">
        <v>2</v>
      </c>
      <c r="I91" s="75" t="n">
        <v>0</v>
      </c>
      <c r="J91" s="75" t="n">
        <v>2</v>
      </c>
      <c r="K91" s="75" t="n">
        <v>1</v>
      </c>
      <c r="L91" s="75" t="n">
        <v>2</v>
      </c>
    </row>
    <row r="92">
      <c r="A92" s="4" t="inlineStr">
        <is>
          <t>Dependants</t>
        </is>
      </c>
      <c r="B92" s="75" t="n">
        <v>4</v>
      </c>
      <c r="C92" s="75" t="n">
        <v>1</v>
      </c>
      <c r="D92" s="75" t="n">
        <v>0</v>
      </c>
      <c r="E92" s="75" t="n">
        <v>1</v>
      </c>
      <c r="F92" s="75" t="n">
        <v>0</v>
      </c>
      <c r="G92" s="75" t="n">
        <v>0</v>
      </c>
      <c r="H92" s="75" t="n">
        <v>3</v>
      </c>
      <c r="I92" s="75" t="n">
        <v>0</v>
      </c>
      <c r="J92" s="75" t="n">
        <v>2</v>
      </c>
      <c r="K92" s="75" t="n">
        <v>2</v>
      </c>
      <c r="L92" s="75" t="n">
        <v>2</v>
      </c>
    </row>
    <row r="93">
      <c r="A93" s="4" t="inlineStr">
        <is>
          <t>Occupation</t>
        </is>
      </c>
      <c r="B93" s="75" t="n">
        <v>1</v>
      </c>
      <c r="C93" s="75" t="n">
        <v>1</v>
      </c>
      <c r="D93" s="75" t="n">
        <v>0</v>
      </c>
      <c r="E93" s="75" t="n">
        <v>1</v>
      </c>
      <c r="F93" s="75" t="n">
        <v>0</v>
      </c>
      <c r="G93" s="75" t="n">
        <v>0</v>
      </c>
      <c r="H93" s="75" t="n">
        <v>1</v>
      </c>
      <c r="I93" s="75" t="n">
        <v>0</v>
      </c>
      <c r="J93" s="75" t="n">
        <v>1</v>
      </c>
      <c r="K93" s="75" t="n">
        <v>2</v>
      </c>
      <c r="L93" s="75" t="n">
        <v>2</v>
      </c>
    </row>
    <row r="94">
      <c r="A94" s="4" t="inlineStr">
        <is>
          <t>Smoking</t>
        </is>
      </c>
      <c r="B94" s="75" t="n">
        <v>4</v>
      </c>
      <c r="C94" s="75" t="n">
        <v>4</v>
      </c>
      <c r="D94" s="75" t="n">
        <v>2</v>
      </c>
      <c r="E94" s="75" t="n">
        <v>1</v>
      </c>
      <c r="F94" s="75" t="n">
        <v>0</v>
      </c>
      <c r="G94" s="75" t="n">
        <v>3</v>
      </c>
      <c r="H94" s="75" t="n">
        <v>0</v>
      </c>
      <c r="I94" s="75" t="n">
        <v>0</v>
      </c>
      <c r="J94" s="75" t="n">
        <v>2</v>
      </c>
      <c r="K94" s="75" t="n">
        <v>2</v>
      </c>
      <c r="L94" s="75" t="n">
        <v>2</v>
      </c>
    </row>
    <row r="95">
      <c r="A95" s="4" t="inlineStr">
        <is>
          <t>Income</t>
        </is>
      </c>
      <c r="B95" s="75" t="n">
        <v>4</v>
      </c>
      <c r="C95" s="75" t="n">
        <v>1</v>
      </c>
      <c r="D95" s="75" t="n">
        <v>2</v>
      </c>
      <c r="E95" s="75" t="n">
        <v>1</v>
      </c>
      <c r="F95" s="75" t="n">
        <v>0</v>
      </c>
      <c r="G95" s="75" t="n">
        <v>3</v>
      </c>
      <c r="H95" s="75" t="n">
        <v>1</v>
      </c>
      <c r="I95" s="75" t="n">
        <v>0</v>
      </c>
      <c r="J95" s="75" t="n">
        <v>2</v>
      </c>
      <c r="K95" s="75" t="n">
        <v>2</v>
      </c>
      <c r="L95" s="75" t="n">
        <v>2</v>
      </c>
    </row>
    <row r="96">
      <c r="A96" s="4" t="inlineStr">
        <is>
          <t>Expense</t>
        </is>
      </c>
      <c r="B96" s="75" t="n">
        <v>4</v>
      </c>
      <c r="C96" s="75" t="n">
        <v>2</v>
      </c>
      <c r="D96" s="75" t="n">
        <v>2</v>
      </c>
      <c r="E96" s="75" t="n">
        <v>1</v>
      </c>
      <c r="F96" s="75" t="n">
        <v>0</v>
      </c>
      <c r="G96" s="75" t="n">
        <v>3</v>
      </c>
      <c r="H96" s="75" t="n">
        <v>3</v>
      </c>
      <c r="I96" s="75" t="n">
        <v>0</v>
      </c>
      <c r="J96" s="75" t="n">
        <v>2</v>
      </c>
      <c r="K96" s="75" t="n">
        <v>1</v>
      </c>
      <c r="L96" s="75" t="n">
        <v>1</v>
      </c>
    </row>
    <row r="97">
      <c r="A97" s="4" t="inlineStr">
        <is>
          <t>Assets</t>
        </is>
      </c>
      <c r="B97" s="75" t="n">
        <v>4</v>
      </c>
      <c r="C97" s="75" t="n">
        <v>1</v>
      </c>
      <c r="D97" s="75" t="n">
        <v>2</v>
      </c>
      <c r="E97" s="75" t="n">
        <v>1</v>
      </c>
      <c r="F97" s="75" t="n">
        <v>0</v>
      </c>
      <c r="G97" s="75" t="n">
        <v>3</v>
      </c>
      <c r="H97" s="75" t="n">
        <v>2</v>
      </c>
      <c r="I97" s="75" t="n">
        <v>0</v>
      </c>
      <c r="J97" s="75" t="n">
        <v>2</v>
      </c>
      <c r="K97" s="75" t="n">
        <v>1</v>
      </c>
      <c r="L97" s="75" t="n">
        <v>1</v>
      </c>
    </row>
    <row r="98">
      <c r="A98" s="4" t="inlineStr">
        <is>
          <t>Liabilities</t>
        </is>
      </c>
      <c r="B98" s="75" t="n">
        <v>3</v>
      </c>
      <c r="C98" s="75" t="n">
        <v>1</v>
      </c>
      <c r="D98" s="75" t="n">
        <v>2</v>
      </c>
      <c r="E98" s="75" t="n">
        <v>1</v>
      </c>
      <c r="F98" s="75" t="n">
        <v>0</v>
      </c>
      <c r="G98" s="75" t="n">
        <v>3</v>
      </c>
      <c r="H98" s="75" t="n">
        <v>2</v>
      </c>
      <c r="I98" s="75" t="n">
        <v>0</v>
      </c>
      <c r="J98" s="75" t="n">
        <v>1</v>
      </c>
      <c r="K98" s="75" t="n">
        <v>2</v>
      </c>
      <c r="L98" s="75" t="n">
        <v>1</v>
      </c>
    </row>
    <row r="99">
      <c r="A99" s="4" t="inlineStr">
        <is>
          <t>Hospitalization</t>
        </is>
      </c>
      <c r="B99" s="75" t="n">
        <v>3</v>
      </c>
      <c r="C99" s="75" t="n">
        <v>3</v>
      </c>
      <c r="D99" s="75" t="n">
        <v>0</v>
      </c>
      <c r="E99" s="75" t="n">
        <v>0</v>
      </c>
      <c r="F99" s="75" t="n">
        <v>0</v>
      </c>
      <c r="G99" s="75" t="n">
        <v>4</v>
      </c>
      <c r="H99" s="75" t="n">
        <v>0</v>
      </c>
      <c r="I99" s="75" t="n">
        <v>0</v>
      </c>
      <c r="J99" s="75" t="n">
        <v>0</v>
      </c>
      <c r="K99" s="75" t="n">
        <v>0</v>
      </c>
      <c r="L99" s="75" t="n">
        <v>0</v>
      </c>
    </row>
    <row r="100">
      <c r="A100" s="4" t="inlineStr">
        <is>
          <t>Disability</t>
        </is>
      </c>
      <c r="B100" s="75" t="n">
        <v>3</v>
      </c>
      <c r="C100" s="75" t="n">
        <v>3</v>
      </c>
      <c r="D100" s="75" t="n">
        <v>4</v>
      </c>
      <c r="E100" s="75" t="n">
        <v>0</v>
      </c>
      <c r="F100" s="75" t="n">
        <v>0</v>
      </c>
      <c r="G100" s="75" t="n">
        <v>3</v>
      </c>
      <c r="H100" s="75" t="n">
        <v>0</v>
      </c>
      <c r="I100" s="75" t="n">
        <v>0</v>
      </c>
      <c r="J100" s="75" t="n">
        <v>0</v>
      </c>
      <c r="K100" s="75" t="n">
        <v>0</v>
      </c>
      <c r="L100" s="75" t="n">
        <v>0</v>
      </c>
    </row>
    <row r="101">
      <c r="A101" s="4" t="inlineStr">
        <is>
          <t>Hospital Type</t>
        </is>
      </c>
      <c r="B101" s="75" t="n">
        <v>2</v>
      </c>
      <c r="C101" s="75" t="n">
        <v>3</v>
      </c>
      <c r="D101" s="75" t="n">
        <v>2</v>
      </c>
      <c r="E101" s="75" t="n">
        <v>1</v>
      </c>
      <c r="F101" s="75" t="n">
        <v>0</v>
      </c>
      <c r="G101" s="75" t="n">
        <v>3</v>
      </c>
      <c r="H101" s="75" t="n">
        <v>2</v>
      </c>
      <c r="I101" s="75" t="n">
        <v>0</v>
      </c>
      <c r="J101" s="75" t="n">
        <v>2</v>
      </c>
      <c r="K101" s="75" t="n">
        <v>1</v>
      </c>
      <c r="L101" s="75" t="n">
        <v>2</v>
      </c>
    </row>
    <row r="102">
      <c r="A102" s="4" t="inlineStr">
        <is>
          <t>Ward Type</t>
        </is>
      </c>
      <c r="B102" s="75" t="n">
        <v>1</v>
      </c>
      <c r="C102" s="75" t="n">
        <v>4</v>
      </c>
      <c r="D102" s="75" t="n">
        <v>2</v>
      </c>
      <c r="E102" s="75" t="n">
        <v>1</v>
      </c>
      <c r="F102" s="75" t="n">
        <v>0</v>
      </c>
      <c r="G102" s="75" t="n">
        <v>3</v>
      </c>
      <c r="H102" s="75" t="n">
        <v>1</v>
      </c>
      <c r="I102" s="75" t="n">
        <v>0</v>
      </c>
      <c r="J102" s="75" t="n">
        <v>2</v>
      </c>
      <c r="K102" s="75" t="n">
        <v>1</v>
      </c>
      <c r="L102" s="75" t="n">
        <v>2</v>
      </c>
    </row>
    <row r="103">
      <c r="A103" s="4" t="inlineStr">
        <is>
          <t>Lifestyle</t>
        </is>
      </c>
      <c r="B103" s="75" t="n">
        <v>0</v>
      </c>
      <c r="C103" s="75" t="n">
        <v>0</v>
      </c>
      <c r="D103" s="75" t="n">
        <v>0</v>
      </c>
      <c r="E103" s="75" t="n">
        <v>1</v>
      </c>
      <c r="F103" s="75" t="n">
        <v>0</v>
      </c>
      <c r="G103" s="75" t="n">
        <v>0</v>
      </c>
      <c r="H103" s="75" t="n">
        <v>2</v>
      </c>
      <c r="I103" s="75" t="n">
        <v>0</v>
      </c>
      <c r="J103" s="75" t="n">
        <v>2</v>
      </c>
      <c r="K103" s="75" t="n">
        <v>2</v>
      </c>
      <c r="L103" s="75" t="n">
        <v>1</v>
      </c>
    </row>
    <row r="104">
      <c r="A104" s="4" t="inlineStr">
        <is>
          <t>Sports</t>
        </is>
      </c>
      <c r="B104" s="75" t="n">
        <v>1</v>
      </c>
      <c r="C104" s="75" t="n">
        <v>0</v>
      </c>
      <c r="D104" s="75" t="n">
        <v>2</v>
      </c>
      <c r="E104" s="75" t="n">
        <v>0</v>
      </c>
      <c r="F104" s="75" t="n">
        <v>0</v>
      </c>
      <c r="G104" s="75" t="n">
        <v>1</v>
      </c>
      <c r="H104" s="75" t="n">
        <v>0</v>
      </c>
      <c r="I104" s="75" t="n">
        <v>0</v>
      </c>
      <c r="J104" s="75" t="n">
        <v>0</v>
      </c>
      <c r="K104" s="75" t="n">
        <v>0</v>
      </c>
      <c r="L104" s="75" t="n">
        <v>2</v>
      </c>
    </row>
    <row r="108">
      <c r="A108" s="5" t="inlineStr">
        <is>
          <t>HappiU rate tables (HU/src/CashflowHandler/Tables/*.csv) — q at age, read at age + 1 + year. Columns per rate: Male, Male smoker, Female, Female smoker.</t>
        </is>
      </c>
    </row>
    <row r="109">
      <c r="A109" s="76" t="inlineStr"/>
      <c r="B109" s="19" t="inlineStr">
        <is>
          <t>mortality</t>
        </is>
      </c>
      <c r="C109" s="19" t="n"/>
      <c r="D109" s="19" t="n"/>
      <c r="E109" s="19" t="n"/>
      <c r="F109" s="19" t="inlineStr">
        <is>
          <t>accidental death</t>
        </is>
      </c>
      <c r="G109" s="19" t="n"/>
      <c r="H109" s="19" t="n"/>
      <c r="I109" s="19" t="n"/>
      <c r="J109" s="19" t="inlineStr">
        <is>
          <t>critical illness (morbidity)</t>
        </is>
      </c>
      <c r="K109" s="19" t="n"/>
      <c r="L109" s="19" t="n"/>
      <c r="M109" s="19" t="n"/>
      <c r="N109" s="19" t="inlineStr">
        <is>
          <t>total &amp; permanent disability (HU file ptd_rate)</t>
        </is>
      </c>
      <c r="O109" s="19" t="n"/>
      <c r="P109" s="19" t="n"/>
      <c r="Q109" s="19" t="n"/>
      <c r="R109" s="19" t="inlineStr">
        <is>
          <t>dismemberment</t>
        </is>
      </c>
      <c r="S109" s="19" t="n"/>
      <c r="T109" s="19" t="n"/>
      <c r="U109" s="19" t="n"/>
      <c r="V109" s="19" t="inlineStr">
        <is>
          <t>hospitalisation (not on GP's path)</t>
        </is>
      </c>
      <c r="W109" s="19" t="n"/>
      <c r="X109" s="19" t="n"/>
      <c r="Y109" s="19" t="n"/>
      <c r="Z109" s="19" t="inlineStr">
        <is>
          <t>social security (ss_contribution_cap / ss_growth_rate)</t>
        </is>
      </c>
      <c r="AA109" s="19" t="n"/>
      <c r="AB109" s="19"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77" t="n">
        <v>18</v>
      </c>
      <c r="B111" s="48" t="n">
        <v>0.0001549</v>
      </c>
      <c r="C111" s="48" t="n">
        <v>0.0002298</v>
      </c>
      <c r="D111" s="48" t="n">
        <v>6.210000000000001e-05</v>
      </c>
      <c r="E111" s="48" t="n">
        <v>8.54e-05</v>
      </c>
      <c r="F111" s="48" t="n">
        <v>0.00147</v>
      </c>
      <c r="G111" s="48" t="n">
        <v>0.00147</v>
      </c>
      <c r="H111" s="48" t="n">
        <v>0.00024</v>
      </c>
      <c r="I111" s="48" t="n">
        <v>0.00024</v>
      </c>
      <c r="J111" s="48" t="n">
        <v>0.000733975</v>
      </c>
      <c r="K111" s="48" t="n">
        <v>0.00108897</v>
      </c>
      <c r="L111" s="48" t="n">
        <v>0.00029423</v>
      </c>
      <c r="M111" s="48" t="n">
        <v>0.000404566</v>
      </c>
      <c r="N111" s="48" t="n">
        <v>0.000231</v>
      </c>
      <c r="O111" s="48" t="n">
        <v>0.000231</v>
      </c>
      <c r="P111" s="48" t="n">
        <v>0.000231</v>
      </c>
      <c r="Q111" s="48" t="n">
        <v>0.000231</v>
      </c>
      <c r="R111" s="48" t="n">
        <v>0.00021</v>
      </c>
      <c r="S111" s="48" t="n">
        <v>0.00021</v>
      </c>
      <c r="T111" s="48" t="n">
        <v>0.00021</v>
      </c>
      <c r="U111" s="48" t="n">
        <v>0.00021</v>
      </c>
      <c r="V111" s="48" t="n">
        <v>0.0888</v>
      </c>
      <c r="W111" s="48" t="n">
        <v>0.0888</v>
      </c>
      <c r="X111" s="48" t="n">
        <v>0.0965</v>
      </c>
      <c r="Y111" s="48" t="n">
        <v>0.0965</v>
      </c>
      <c r="Z111" s="78" t="n">
        <v>0.37</v>
      </c>
      <c r="AA111" s="39" t="n">
        <v>2220</v>
      </c>
      <c r="AB111" s="56" t="n">
        <v>0.0307</v>
      </c>
    </row>
    <row r="112">
      <c r="A112" s="77" t="n">
        <v>19</v>
      </c>
      <c r="B112" s="48" t="n">
        <v>0.0001559</v>
      </c>
      <c r="C112" s="48" t="n">
        <v>0.0002309</v>
      </c>
      <c r="D112" s="48" t="n">
        <v>6.35e-05</v>
      </c>
      <c r="E112" s="48" t="n">
        <v>8.64e-05</v>
      </c>
      <c r="F112" s="48" t="n">
        <v>0.00132</v>
      </c>
      <c r="G112" s="48" t="n">
        <v>0.00132</v>
      </c>
      <c r="H112" s="48" t="n">
        <v>0.00024</v>
      </c>
      <c r="I112" s="48" t="n">
        <v>0.00024</v>
      </c>
      <c r="J112" s="48" t="n">
        <v>0.000738773</v>
      </c>
      <c r="K112" s="48" t="n">
        <v>0.001093767</v>
      </c>
      <c r="L112" s="48" t="n">
        <v>0.000300626</v>
      </c>
      <c r="M112" s="48" t="n">
        <v>0.000409363</v>
      </c>
      <c r="N112" s="48" t="n">
        <v>0.000231</v>
      </c>
      <c r="O112" s="48" t="n">
        <v>0.000231</v>
      </c>
      <c r="P112" s="48" t="n">
        <v>0.000231</v>
      </c>
      <c r="Q112" s="48" t="n">
        <v>0.000231</v>
      </c>
      <c r="R112" s="48" t="n">
        <v>0.00021</v>
      </c>
      <c r="S112" s="48" t="n">
        <v>0.00021</v>
      </c>
      <c r="T112" s="48" t="n">
        <v>0.00021</v>
      </c>
      <c r="U112" s="48" t="n">
        <v>0.00021</v>
      </c>
      <c r="V112" s="48" t="n">
        <v>0.0888</v>
      </c>
      <c r="W112" s="48" t="n">
        <v>0.0888</v>
      </c>
      <c r="X112" s="48" t="n">
        <v>0.0965</v>
      </c>
      <c r="Y112" s="48" t="n">
        <v>0.0965</v>
      </c>
      <c r="Z112" s="78" t="n">
        <v>0.37</v>
      </c>
      <c r="AA112" s="39" t="n">
        <v>2220</v>
      </c>
      <c r="AB112" s="56" t="n">
        <v>0.0307</v>
      </c>
    </row>
    <row r="113">
      <c r="A113" s="77" t="n">
        <v>20</v>
      </c>
      <c r="B113" s="48" t="n">
        <v>0.0001566</v>
      </c>
      <c r="C113" s="48" t="n">
        <v>0.0002319</v>
      </c>
      <c r="D113" s="48" t="n">
        <v>6.550000000000001e-05</v>
      </c>
      <c r="E113" s="48" t="n">
        <v>8.780000000000001e-05</v>
      </c>
      <c r="F113" s="48" t="n">
        <v>0.00118</v>
      </c>
      <c r="G113" s="48" t="n">
        <v>0.00118</v>
      </c>
      <c r="H113" s="48" t="n">
        <v>0.00023</v>
      </c>
      <c r="I113" s="48" t="n">
        <v>0.00023</v>
      </c>
      <c r="J113" s="48" t="n">
        <v>0.000741971</v>
      </c>
      <c r="K113" s="48" t="n">
        <v>0.001098565</v>
      </c>
      <c r="L113" s="48" t="n">
        <v>0.000310221</v>
      </c>
      <c r="M113" s="48" t="n">
        <v>0.00041576</v>
      </c>
      <c r="N113" s="48" t="n">
        <v>0.000231</v>
      </c>
      <c r="O113" s="48" t="n">
        <v>0.000231</v>
      </c>
      <c r="P113" s="48" t="n">
        <v>0.000231</v>
      </c>
      <c r="Q113" s="48" t="n">
        <v>0.000231</v>
      </c>
      <c r="R113" s="48" t="n">
        <v>0.00021</v>
      </c>
      <c r="S113" s="48" t="n">
        <v>0.00021</v>
      </c>
      <c r="T113" s="48" t="n">
        <v>0.00021</v>
      </c>
      <c r="U113" s="48" t="n">
        <v>0.00021</v>
      </c>
      <c r="V113" s="48" t="n">
        <v>0.0888</v>
      </c>
      <c r="W113" s="48" t="n">
        <v>0.0888</v>
      </c>
      <c r="X113" s="48" t="n">
        <v>0.0965</v>
      </c>
      <c r="Y113" s="48" t="n">
        <v>0.0965</v>
      </c>
      <c r="Z113" s="78" t="n">
        <v>0.37</v>
      </c>
      <c r="AA113" s="39" t="n">
        <v>2220</v>
      </c>
      <c r="AB113" s="56" t="n">
        <v>0.0307</v>
      </c>
    </row>
    <row r="114">
      <c r="A114" s="77" t="n">
        <v>21</v>
      </c>
      <c r="B114" s="48" t="n">
        <v>0.0001576</v>
      </c>
      <c r="C114" s="48" t="n">
        <v>0.0002329</v>
      </c>
      <c r="D114" s="48" t="n">
        <v>6.719999999999999e-05</v>
      </c>
      <c r="E114" s="48" t="n">
        <v>8.94e-05</v>
      </c>
      <c r="F114" s="48" t="n">
        <v>0.00106</v>
      </c>
      <c r="G114" s="48" t="n">
        <v>0.00106</v>
      </c>
      <c r="H114" s="48" t="n">
        <v>0.00023</v>
      </c>
      <c r="I114" s="48" t="n">
        <v>0.00023</v>
      </c>
      <c r="J114" s="48" t="n">
        <v>0.000746768</v>
      </c>
      <c r="K114" s="48" t="n">
        <v>0.001103362</v>
      </c>
      <c r="L114" s="48" t="n">
        <v>0.000318216</v>
      </c>
      <c r="M114" s="48" t="n">
        <v>0.000423755</v>
      </c>
      <c r="N114" s="48" t="n">
        <v>0.000231</v>
      </c>
      <c r="O114" s="48" t="n">
        <v>0.000231</v>
      </c>
      <c r="P114" s="48" t="n">
        <v>0.000231</v>
      </c>
      <c r="Q114" s="48" t="n">
        <v>0.000231</v>
      </c>
      <c r="R114" s="48" t="n">
        <v>0.00021</v>
      </c>
      <c r="S114" s="48" t="n">
        <v>0.00021</v>
      </c>
      <c r="T114" s="48" t="n">
        <v>0.00021</v>
      </c>
      <c r="U114" s="48" t="n">
        <v>0.00021</v>
      </c>
      <c r="V114" s="48" t="n">
        <v>0.0888</v>
      </c>
      <c r="W114" s="48" t="n">
        <v>0.0888</v>
      </c>
      <c r="X114" s="48" t="n">
        <v>0.0965</v>
      </c>
      <c r="Y114" s="48" t="n">
        <v>0.0965</v>
      </c>
      <c r="Z114" s="78" t="n">
        <v>0.37</v>
      </c>
      <c r="AA114" s="39" t="n">
        <v>2220</v>
      </c>
      <c r="AB114" s="56" t="n">
        <v>0.0307</v>
      </c>
    </row>
    <row r="115">
      <c r="A115" s="77" t="n">
        <v>22</v>
      </c>
      <c r="B115" s="48" t="n">
        <v>0.000159</v>
      </c>
      <c r="C115" s="48" t="n">
        <v>0.0002346</v>
      </c>
      <c r="D115" s="48" t="n">
        <v>6.95e-05</v>
      </c>
      <c r="E115" s="48" t="n">
        <v>9.110000000000001e-05</v>
      </c>
      <c r="F115" s="48" t="n">
        <v>0.00096</v>
      </c>
      <c r="G115" s="48" t="n">
        <v>0.00096</v>
      </c>
      <c r="H115" s="48" t="n">
        <v>0.00022</v>
      </c>
      <c r="I115" s="48" t="n">
        <v>0.00022</v>
      </c>
      <c r="J115" s="48" t="n">
        <v>0.000753164</v>
      </c>
      <c r="K115" s="48" t="n">
        <v>0.001111357</v>
      </c>
      <c r="L115" s="48" t="n">
        <v>0.000329409</v>
      </c>
      <c r="M115" s="48" t="n">
        <v>0.00043175</v>
      </c>
      <c r="N115" s="48" t="n">
        <v>0.000231</v>
      </c>
      <c r="O115" s="48" t="n">
        <v>0.000231</v>
      </c>
      <c r="P115" s="48" t="n">
        <v>0.000231</v>
      </c>
      <c r="Q115" s="48" t="n">
        <v>0.000231</v>
      </c>
      <c r="R115" s="48" t="n">
        <v>0.00021</v>
      </c>
      <c r="S115" s="48" t="n">
        <v>0.00021</v>
      </c>
      <c r="T115" s="48" t="n">
        <v>0.00021</v>
      </c>
      <c r="U115" s="48" t="n">
        <v>0.00021</v>
      </c>
      <c r="V115" s="48" t="n">
        <v>0.0888</v>
      </c>
      <c r="W115" s="48" t="n">
        <v>0.0888</v>
      </c>
      <c r="X115" s="48" t="n">
        <v>0.0965</v>
      </c>
      <c r="Y115" s="48" t="n">
        <v>0.0965</v>
      </c>
      <c r="Z115" s="78" t="n">
        <v>0.37</v>
      </c>
      <c r="AA115" s="39" t="n">
        <v>2220</v>
      </c>
      <c r="AB115" s="56" t="n">
        <v>0.0307</v>
      </c>
    </row>
    <row r="116">
      <c r="A116" s="77" t="n">
        <v>23</v>
      </c>
      <c r="B116" s="48" t="n">
        <v>0.0001603</v>
      </c>
      <c r="C116" s="48" t="n">
        <v>0.0002363</v>
      </c>
      <c r="D116" s="48" t="n">
        <v>7.19e-05</v>
      </c>
      <c r="E116" s="48" t="n">
        <v>9.32e-05</v>
      </c>
      <c r="F116" s="48" t="n">
        <v>0.00086</v>
      </c>
      <c r="G116" s="48" t="n">
        <v>0.00086</v>
      </c>
      <c r="H116" s="48" t="n">
        <v>0.00022</v>
      </c>
      <c r="I116" s="48" t="n">
        <v>0.00022</v>
      </c>
      <c r="J116" s="48" t="n">
        <v>0.000759561</v>
      </c>
      <c r="K116" s="48" t="n">
        <v>0.001119353</v>
      </c>
      <c r="L116" s="48" t="n">
        <v>0.000340603</v>
      </c>
      <c r="M116" s="48" t="n">
        <v>0.000441345</v>
      </c>
      <c r="N116" s="48" t="n">
        <v>0.000231</v>
      </c>
      <c r="O116" s="48" t="n">
        <v>0.000231</v>
      </c>
      <c r="P116" s="48" t="n">
        <v>0.000231</v>
      </c>
      <c r="Q116" s="48" t="n">
        <v>0.000231</v>
      </c>
      <c r="R116" s="48" t="n">
        <v>0.00021</v>
      </c>
      <c r="S116" s="48" t="n">
        <v>0.00021</v>
      </c>
      <c r="T116" s="48" t="n">
        <v>0.00021</v>
      </c>
      <c r="U116" s="48" t="n">
        <v>0.00021</v>
      </c>
      <c r="V116" s="48" t="n">
        <v>0.0888</v>
      </c>
      <c r="W116" s="48" t="n">
        <v>0.0888</v>
      </c>
      <c r="X116" s="48" t="n">
        <v>0.0965</v>
      </c>
      <c r="Y116" s="48" t="n">
        <v>0.0965</v>
      </c>
      <c r="Z116" s="78" t="n">
        <v>0.37</v>
      </c>
      <c r="AA116" s="39" t="n">
        <v>2220</v>
      </c>
      <c r="AB116" s="56" t="n">
        <v>0.0307</v>
      </c>
    </row>
    <row r="117">
      <c r="A117" s="77" t="n">
        <v>24</v>
      </c>
      <c r="B117" s="48" t="n">
        <v>0.000162</v>
      </c>
      <c r="C117" s="48" t="n">
        <v>0.0002383</v>
      </c>
      <c r="D117" s="48" t="n">
        <v>7.46e-05</v>
      </c>
      <c r="E117" s="48" t="n">
        <v>9.59e-05</v>
      </c>
      <c r="F117" s="48" t="n">
        <v>0.00078</v>
      </c>
      <c r="G117" s="48" t="n">
        <v>0.00078</v>
      </c>
      <c r="H117" s="48" t="n">
        <v>0.00021</v>
      </c>
      <c r="I117" s="48" t="n">
        <v>0.00021</v>
      </c>
      <c r="J117" s="48" t="n">
        <v>0.000767556</v>
      </c>
      <c r="K117" s="48" t="n">
        <v>0.001128947</v>
      </c>
      <c r="L117" s="48" t="n">
        <v>0.000353396</v>
      </c>
      <c r="M117" s="48" t="n">
        <v>0.000454137</v>
      </c>
      <c r="N117" s="48" t="n">
        <v>0.000231</v>
      </c>
      <c r="O117" s="48" t="n">
        <v>0.000231</v>
      </c>
      <c r="P117" s="48" t="n">
        <v>0.000231</v>
      </c>
      <c r="Q117" s="48" t="n">
        <v>0.000231</v>
      </c>
      <c r="R117" s="48" t="n">
        <v>0.00021</v>
      </c>
      <c r="S117" s="48" t="n">
        <v>0.00021</v>
      </c>
      <c r="T117" s="48" t="n">
        <v>0.00021</v>
      </c>
      <c r="U117" s="48" t="n">
        <v>0.00021</v>
      </c>
      <c r="V117" s="48" t="n">
        <v>0.0888</v>
      </c>
      <c r="W117" s="48" t="n">
        <v>0.0888</v>
      </c>
      <c r="X117" s="48" t="n">
        <v>0.0965</v>
      </c>
      <c r="Y117" s="48" t="n">
        <v>0.0965</v>
      </c>
      <c r="Z117" s="78" t="n">
        <v>0.37</v>
      </c>
      <c r="AA117" s="39" t="n">
        <v>2220</v>
      </c>
      <c r="AB117" s="56" t="n">
        <v>0.0307</v>
      </c>
    </row>
    <row r="118">
      <c r="A118" s="77" t="n">
        <v>25</v>
      </c>
      <c r="B118" s="48" t="n">
        <v>0.0001637</v>
      </c>
      <c r="C118" s="48" t="n">
        <v>0.0002406</v>
      </c>
      <c r="D118" s="48" t="n">
        <v>7.76e-05</v>
      </c>
      <c r="E118" s="48" t="n">
        <v>9.890000000000001e-05</v>
      </c>
      <c r="F118" s="48" t="n">
        <v>0.00071</v>
      </c>
      <c r="G118" s="48" t="n">
        <v>0.00071</v>
      </c>
      <c r="H118" s="48" t="n">
        <v>0.00021</v>
      </c>
      <c r="I118" s="48" t="n">
        <v>0.00021</v>
      </c>
      <c r="J118" s="48" t="n">
        <v>0.000775551</v>
      </c>
      <c r="K118" s="48" t="n">
        <v>0.00114014</v>
      </c>
      <c r="L118" s="48" t="n">
        <v>0.000367787</v>
      </c>
      <c r="M118" s="48" t="n">
        <v>0.000468529</v>
      </c>
      <c r="N118" s="48" t="n">
        <v>0.000231</v>
      </c>
      <c r="O118" s="48" t="n">
        <v>0.000231</v>
      </c>
      <c r="P118" s="48" t="n">
        <v>0.000231</v>
      </c>
      <c r="Q118" s="48" t="n">
        <v>0.000231</v>
      </c>
      <c r="R118" s="48" t="n">
        <v>0.00021</v>
      </c>
      <c r="S118" s="48" t="n">
        <v>0.00021</v>
      </c>
      <c r="T118" s="48" t="n">
        <v>0.00021</v>
      </c>
      <c r="U118" s="48" t="n">
        <v>0.00021</v>
      </c>
      <c r="V118" s="48" t="n">
        <v>0.0888</v>
      </c>
      <c r="W118" s="48" t="n">
        <v>0.0888</v>
      </c>
      <c r="X118" s="48" t="n">
        <v>0.0965</v>
      </c>
      <c r="Y118" s="48" t="n">
        <v>0.0965</v>
      </c>
      <c r="Z118" s="78" t="n">
        <v>0.37</v>
      </c>
      <c r="AA118" s="39" t="n">
        <v>2220</v>
      </c>
      <c r="AB118" s="56" t="n">
        <v>0.0307</v>
      </c>
    </row>
    <row r="119">
      <c r="A119" s="77" t="n">
        <v>26</v>
      </c>
      <c r="B119" s="48" t="n">
        <v>0.0001661</v>
      </c>
      <c r="C119" s="48" t="n">
        <v>0.0002437</v>
      </c>
      <c r="D119" s="48" t="n">
        <v>8.13e-05</v>
      </c>
      <c r="E119" s="48" t="n">
        <v>0.0001023</v>
      </c>
      <c r="F119" s="48" t="n">
        <v>0.00065</v>
      </c>
      <c r="G119" s="48" t="n">
        <v>0.00065</v>
      </c>
      <c r="H119" s="48" t="n">
        <v>0.00021</v>
      </c>
      <c r="I119" s="48" t="n">
        <v>0.00021</v>
      </c>
      <c r="J119" s="48" t="n">
        <v>0.000786745</v>
      </c>
      <c r="K119" s="48" t="n">
        <v>0.001154532</v>
      </c>
      <c r="L119" s="48" t="n">
        <v>0.000385377</v>
      </c>
      <c r="M119" s="48" t="n">
        <v>0.00048452</v>
      </c>
      <c r="N119" s="48" t="n">
        <v>0.000231</v>
      </c>
      <c r="O119" s="48" t="n">
        <v>0.000231</v>
      </c>
      <c r="P119" s="48" t="n">
        <v>0.000231</v>
      </c>
      <c r="Q119" s="48" t="n">
        <v>0.000231</v>
      </c>
      <c r="R119" s="48" t="n">
        <v>0.00021</v>
      </c>
      <c r="S119" s="48" t="n">
        <v>0.00021</v>
      </c>
      <c r="T119" s="48" t="n">
        <v>0.00021</v>
      </c>
      <c r="U119" s="48" t="n">
        <v>0.00021</v>
      </c>
      <c r="V119" s="48" t="n">
        <v>0.0888</v>
      </c>
      <c r="W119" s="48" t="n">
        <v>0.0888</v>
      </c>
      <c r="X119" s="48" t="n">
        <v>0.0965</v>
      </c>
      <c r="Y119" s="48" t="n">
        <v>0.0965</v>
      </c>
      <c r="Z119" s="78" t="n">
        <v>0.37</v>
      </c>
      <c r="AA119" s="39" t="n">
        <v>2220</v>
      </c>
      <c r="AB119" s="56" t="n">
        <v>0.0307</v>
      </c>
    </row>
    <row r="120">
      <c r="A120" s="77" t="n">
        <v>27</v>
      </c>
      <c r="B120" s="48" t="n">
        <v>0.0001688</v>
      </c>
      <c r="C120" s="48" t="n">
        <v>0.0002471</v>
      </c>
      <c r="D120" s="48" t="n">
        <v>8.509999999999999e-05</v>
      </c>
      <c r="E120" s="48" t="n">
        <v>0.0001063</v>
      </c>
      <c r="F120" s="48" t="n">
        <v>0.0005999999999999999</v>
      </c>
      <c r="G120" s="48" t="n">
        <v>0.0005999999999999999</v>
      </c>
      <c r="H120" s="48" t="n">
        <v>0.00021</v>
      </c>
      <c r="I120" s="48" t="n">
        <v>0.00021</v>
      </c>
      <c r="J120" s="48" t="n">
        <v>0.000799538</v>
      </c>
      <c r="K120" s="48" t="n">
        <v>0.001170523</v>
      </c>
      <c r="L120" s="48" t="n">
        <v>0.000402967</v>
      </c>
      <c r="M120" s="48" t="n">
        <v>0.000503709</v>
      </c>
      <c r="N120" s="48" t="n">
        <v>0.000231</v>
      </c>
      <c r="O120" s="48" t="n">
        <v>0.000231</v>
      </c>
      <c r="P120" s="48" t="n">
        <v>0.000231</v>
      </c>
      <c r="Q120" s="48" t="n">
        <v>0.000231</v>
      </c>
      <c r="R120" s="48" t="n">
        <v>0.00021</v>
      </c>
      <c r="S120" s="48" t="n">
        <v>0.00021</v>
      </c>
      <c r="T120" s="48" t="n">
        <v>0.00021</v>
      </c>
      <c r="U120" s="48" t="n">
        <v>0.00021</v>
      </c>
      <c r="V120" s="48" t="n">
        <v>0.0888</v>
      </c>
      <c r="W120" s="48" t="n">
        <v>0.0888</v>
      </c>
      <c r="X120" s="48" t="n">
        <v>0.0965</v>
      </c>
      <c r="Y120" s="48" t="n">
        <v>0.0965</v>
      </c>
      <c r="Z120" s="78" t="n">
        <v>0.37</v>
      </c>
      <c r="AA120" s="39" t="n">
        <v>2220</v>
      </c>
      <c r="AB120" s="56" t="n">
        <v>0.0307</v>
      </c>
    </row>
    <row r="121">
      <c r="A121" s="77" t="n">
        <v>28</v>
      </c>
      <c r="B121" s="48" t="n">
        <v>0.0001715</v>
      </c>
      <c r="C121" s="48" t="n">
        <v>0.0002511</v>
      </c>
      <c r="D121" s="48" t="n">
        <v>8.94e-05</v>
      </c>
      <c r="E121" s="48" t="n">
        <v>0.000111</v>
      </c>
      <c r="F121" s="48" t="n">
        <v>0.00055</v>
      </c>
      <c r="G121" s="48" t="n">
        <v>0.00055</v>
      </c>
      <c r="H121" s="48" t="n">
        <v>0.0002</v>
      </c>
      <c r="I121" s="48" t="n">
        <v>0.0002</v>
      </c>
      <c r="J121" s="48" t="n">
        <v>0.00081233</v>
      </c>
      <c r="K121" s="48" t="n">
        <v>0.001189712</v>
      </c>
      <c r="L121" s="48" t="n">
        <v>0.000423755</v>
      </c>
      <c r="M121" s="48" t="n">
        <v>0.000526096</v>
      </c>
      <c r="N121" s="48" t="n">
        <v>0.000231</v>
      </c>
      <c r="O121" s="48" t="n">
        <v>0.000231</v>
      </c>
      <c r="P121" s="48" t="n">
        <v>0.000231</v>
      </c>
      <c r="Q121" s="48" t="n">
        <v>0.000231</v>
      </c>
      <c r="R121" s="48" t="n">
        <v>0.00021</v>
      </c>
      <c r="S121" s="48" t="n">
        <v>0.00021</v>
      </c>
      <c r="T121" s="48" t="n">
        <v>0.00021</v>
      </c>
      <c r="U121" s="48" t="n">
        <v>0.00021</v>
      </c>
      <c r="V121" s="48" t="n">
        <v>0.0888</v>
      </c>
      <c r="W121" s="48" t="n">
        <v>0.0888</v>
      </c>
      <c r="X121" s="48" t="n">
        <v>0.0965</v>
      </c>
      <c r="Y121" s="48" t="n">
        <v>0.0965</v>
      </c>
      <c r="Z121" s="78" t="n">
        <v>0.37</v>
      </c>
      <c r="AA121" s="39" t="n">
        <v>2220</v>
      </c>
      <c r="AB121" s="56" t="n">
        <v>0.0307</v>
      </c>
    </row>
    <row r="122">
      <c r="A122" s="77" t="n">
        <v>29</v>
      </c>
      <c r="B122" s="48" t="n">
        <v>0.0001752</v>
      </c>
      <c r="C122" s="48" t="n">
        <v>0.0002562</v>
      </c>
      <c r="D122" s="48" t="n">
        <v>9.42e-05</v>
      </c>
      <c r="E122" s="48" t="n">
        <v>0.0001164</v>
      </c>
      <c r="F122" s="48" t="n">
        <v>0.00051</v>
      </c>
      <c r="G122" s="48" t="n">
        <v>0.00051</v>
      </c>
      <c r="H122" s="48" t="n">
        <v>0.0002</v>
      </c>
      <c r="I122" s="48" t="n">
        <v>0.0002</v>
      </c>
      <c r="J122" s="48" t="n">
        <v>0.0008299200000000001</v>
      </c>
      <c r="K122" s="48" t="n">
        <v>0.001213698</v>
      </c>
      <c r="L122" s="48" t="n">
        <v>0.000446142</v>
      </c>
      <c r="M122" s="48" t="n">
        <v>0.000551681</v>
      </c>
      <c r="N122" s="48" t="n">
        <v>0.000231</v>
      </c>
      <c r="O122" s="48" t="n">
        <v>0.000231</v>
      </c>
      <c r="P122" s="48" t="n">
        <v>0.000231</v>
      </c>
      <c r="Q122" s="48" t="n">
        <v>0.000231</v>
      </c>
      <c r="R122" s="48" t="n">
        <v>0.00021</v>
      </c>
      <c r="S122" s="48" t="n">
        <v>0.00021</v>
      </c>
      <c r="T122" s="48" t="n">
        <v>0.00021</v>
      </c>
      <c r="U122" s="48" t="n">
        <v>0.00021</v>
      </c>
      <c r="V122" s="48" t="n">
        <v>0.0888</v>
      </c>
      <c r="W122" s="48" t="n">
        <v>0.0888</v>
      </c>
      <c r="X122" s="48" t="n">
        <v>0.0965</v>
      </c>
      <c r="Y122" s="48" t="n">
        <v>0.0965</v>
      </c>
      <c r="Z122" s="78" t="n">
        <v>0.37</v>
      </c>
      <c r="AA122" s="39" t="n">
        <v>2220</v>
      </c>
      <c r="AB122" s="56" t="n">
        <v>0.0307</v>
      </c>
    </row>
    <row r="123">
      <c r="A123" s="77" t="n">
        <v>30</v>
      </c>
      <c r="B123" s="48" t="n">
        <v>0.0001792</v>
      </c>
      <c r="C123" s="48" t="n">
        <v>0.0002619</v>
      </c>
      <c r="D123" s="48" t="n">
        <v>9.96e-05</v>
      </c>
      <c r="E123" s="48" t="n">
        <v>0.0001229</v>
      </c>
      <c r="F123" s="48" t="n">
        <v>0.00048</v>
      </c>
      <c r="G123" s="48" t="n">
        <v>0.00048</v>
      </c>
      <c r="H123" s="48" t="n">
        <v>0.00019</v>
      </c>
      <c r="I123" s="48" t="n">
        <v>0.00019</v>
      </c>
      <c r="J123" s="48" t="n">
        <v>0.000849109</v>
      </c>
      <c r="K123" s="48" t="n">
        <v>0.001240882</v>
      </c>
      <c r="L123" s="48" t="n">
        <v>0.000471727</v>
      </c>
      <c r="M123" s="48" t="n">
        <v>0.000582063</v>
      </c>
      <c r="N123" s="48" t="n">
        <v>0.000231</v>
      </c>
      <c r="O123" s="48" t="n">
        <v>0.000231</v>
      </c>
      <c r="P123" s="48" t="n">
        <v>0.000231</v>
      </c>
      <c r="Q123" s="48" t="n">
        <v>0.000231</v>
      </c>
      <c r="R123" s="48" t="n">
        <v>0.00021</v>
      </c>
      <c r="S123" s="48" t="n">
        <v>0.00021</v>
      </c>
      <c r="T123" s="48" t="n">
        <v>0.00021</v>
      </c>
      <c r="U123" s="48" t="n">
        <v>0.00021</v>
      </c>
      <c r="V123" s="48" t="n">
        <v>0.0888</v>
      </c>
      <c r="W123" s="48" t="n">
        <v>0.0888</v>
      </c>
      <c r="X123" s="48" t="n">
        <v>0.0965</v>
      </c>
      <c r="Y123" s="48" t="n">
        <v>0.0965</v>
      </c>
      <c r="Z123" s="78" t="n">
        <v>0.37</v>
      </c>
      <c r="AA123" s="39" t="n">
        <v>2220</v>
      </c>
      <c r="AB123" s="56" t="n">
        <v>0.0307</v>
      </c>
    </row>
    <row r="124">
      <c r="A124" s="77" t="n">
        <v>31</v>
      </c>
      <c r="B124" s="48" t="n">
        <v>0.0001839</v>
      </c>
      <c r="C124" s="48" t="n">
        <v>0.0002687</v>
      </c>
      <c r="D124" s="48" t="n">
        <v>0.0001056</v>
      </c>
      <c r="E124" s="48" t="n">
        <v>0.0001299</v>
      </c>
      <c r="F124" s="48" t="n">
        <v>0.00046</v>
      </c>
      <c r="G124" s="48" t="n">
        <v>0.00046</v>
      </c>
      <c r="H124" s="48" t="n">
        <v>0.00019</v>
      </c>
      <c r="I124" s="48" t="n">
        <v>0.00019</v>
      </c>
      <c r="J124" s="48" t="n">
        <v>0.000871496</v>
      </c>
      <c r="K124" s="48" t="n">
        <v>0.001272864</v>
      </c>
      <c r="L124" s="48" t="n">
        <v>0.00050051</v>
      </c>
      <c r="M124" s="48" t="n">
        <v>0.000615644</v>
      </c>
      <c r="N124" s="48" t="n">
        <v>0.000231</v>
      </c>
      <c r="O124" s="48" t="n">
        <v>0.000231</v>
      </c>
      <c r="P124" s="48" t="n">
        <v>0.000231</v>
      </c>
      <c r="Q124" s="48" t="n">
        <v>0.000231</v>
      </c>
      <c r="R124" s="48" t="n">
        <v>0.00021</v>
      </c>
      <c r="S124" s="48" t="n">
        <v>0.00021</v>
      </c>
      <c r="T124" s="48" t="n">
        <v>0.00021</v>
      </c>
      <c r="U124" s="48" t="n">
        <v>0.00021</v>
      </c>
      <c r="V124" s="48" t="n">
        <v>0.0888</v>
      </c>
      <c r="W124" s="48" t="n">
        <v>0.0888</v>
      </c>
      <c r="X124" s="48" t="n">
        <v>0.0965</v>
      </c>
      <c r="Y124" s="48" t="n">
        <v>0.0965</v>
      </c>
      <c r="Z124" s="78" t="n">
        <v>0.37</v>
      </c>
      <c r="AA124" s="39" t="n">
        <v>2220</v>
      </c>
      <c r="AB124" s="56" t="n">
        <v>0.0307</v>
      </c>
    </row>
    <row r="125">
      <c r="A125" s="77" t="n">
        <v>32</v>
      </c>
      <c r="B125" s="48" t="n">
        <v>0.0001893</v>
      </c>
      <c r="C125" s="48" t="n">
        <v>0.0002768</v>
      </c>
      <c r="D125" s="48" t="n">
        <v>0.0001124</v>
      </c>
      <c r="E125" s="48" t="n">
        <v>0.0001387</v>
      </c>
      <c r="F125" s="48" t="n">
        <v>0.00045</v>
      </c>
      <c r="G125" s="48" t="n">
        <v>0.00045</v>
      </c>
      <c r="H125" s="48" t="n">
        <v>0.00019</v>
      </c>
      <c r="I125" s="48" t="n">
        <v>0.00019</v>
      </c>
      <c r="J125" s="48" t="n">
        <v>0.000897081</v>
      </c>
      <c r="K125" s="48" t="n">
        <v>0.001311242</v>
      </c>
      <c r="L125" s="48" t="n">
        <v>0.000532492</v>
      </c>
      <c r="M125" s="48" t="n">
        <v>0.00065722</v>
      </c>
      <c r="N125" s="48" t="n">
        <v>0.000231</v>
      </c>
      <c r="O125" s="48" t="n">
        <v>0.000231</v>
      </c>
      <c r="P125" s="48" t="n">
        <v>0.000231</v>
      </c>
      <c r="Q125" s="48" t="n">
        <v>0.000231</v>
      </c>
      <c r="R125" s="48" t="n">
        <v>0.00021</v>
      </c>
      <c r="S125" s="48" t="n">
        <v>0.00021</v>
      </c>
      <c r="T125" s="48" t="n">
        <v>0.00021</v>
      </c>
      <c r="U125" s="48" t="n">
        <v>0.00021</v>
      </c>
      <c r="V125" s="48" t="n">
        <v>0.0888</v>
      </c>
      <c r="W125" s="48" t="n">
        <v>0.0888</v>
      </c>
      <c r="X125" s="48" t="n">
        <v>0.0965</v>
      </c>
      <c r="Y125" s="48" t="n">
        <v>0.0965</v>
      </c>
      <c r="Z125" s="78" t="n">
        <v>0.37</v>
      </c>
      <c r="AA125" s="39" t="n">
        <v>2220</v>
      </c>
      <c r="AB125" s="56" t="n">
        <v>0.0307</v>
      </c>
    </row>
    <row r="126">
      <c r="A126" s="77" t="n">
        <v>33</v>
      </c>
      <c r="B126" s="48" t="n">
        <v>0.0001954</v>
      </c>
      <c r="C126" s="48" t="n">
        <v>0.0002862</v>
      </c>
      <c r="D126" s="48" t="n">
        <v>0.0001198</v>
      </c>
      <c r="E126" s="48" t="n">
        <v>0.0001485</v>
      </c>
      <c r="F126" s="48" t="n">
        <v>0.00044</v>
      </c>
      <c r="G126" s="48" t="n">
        <v>0.00044</v>
      </c>
      <c r="H126" s="48" t="n">
        <v>0.00018</v>
      </c>
      <c r="I126" s="48" t="n">
        <v>0.00018</v>
      </c>
      <c r="J126" s="48" t="n">
        <v>0.000925864</v>
      </c>
      <c r="K126" s="48" t="n">
        <v>0.001356016</v>
      </c>
      <c r="L126" s="48" t="n">
        <v>0.000567672</v>
      </c>
      <c r="M126" s="48" t="n">
        <v>0.000703593</v>
      </c>
      <c r="N126" s="48" t="n">
        <v>0.000231</v>
      </c>
      <c r="O126" s="48" t="n">
        <v>0.000231</v>
      </c>
      <c r="P126" s="48" t="n">
        <v>0.000231</v>
      </c>
      <c r="Q126" s="48" t="n">
        <v>0.000231</v>
      </c>
      <c r="R126" s="48" t="n">
        <v>0.00021</v>
      </c>
      <c r="S126" s="48" t="n">
        <v>0.00021</v>
      </c>
      <c r="T126" s="48" t="n">
        <v>0.00021</v>
      </c>
      <c r="U126" s="48" t="n">
        <v>0.00021</v>
      </c>
      <c r="V126" s="48" t="n">
        <v>0.0888</v>
      </c>
      <c r="W126" s="48" t="n">
        <v>0.0888</v>
      </c>
      <c r="X126" s="48" t="n">
        <v>0.0965</v>
      </c>
      <c r="Y126" s="48" t="n">
        <v>0.0965</v>
      </c>
      <c r="Z126" s="78" t="n">
        <v>0.37</v>
      </c>
      <c r="AA126" s="39" t="n">
        <v>2220</v>
      </c>
      <c r="AB126" s="56" t="n">
        <v>0.0307</v>
      </c>
    </row>
    <row r="127">
      <c r="A127" s="77" t="n">
        <v>34</v>
      </c>
      <c r="B127" s="48" t="n">
        <v>0.0002028</v>
      </c>
      <c r="C127" s="48" t="n">
        <v>0.0002973</v>
      </c>
      <c r="D127" s="48" t="n">
        <v>0.0001283</v>
      </c>
      <c r="E127" s="48" t="n">
        <v>0.00016</v>
      </c>
      <c r="F127" s="48" t="n">
        <v>0.00043</v>
      </c>
      <c r="G127" s="48" t="n">
        <v>0.00043</v>
      </c>
      <c r="H127" s="48" t="n">
        <v>0.00018</v>
      </c>
      <c r="I127" s="48" t="n">
        <v>0.00018</v>
      </c>
      <c r="J127" s="48" t="n">
        <v>0.000961044</v>
      </c>
      <c r="K127" s="48" t="n">
        <v>0.001408785</v>
      </c>
      <c r="L127" s="48" t="n">
        <v>0.000607649</v>
      </c>
      <c r="M127" s="48" t="n">
        <v>0.000757962</v>
      </c>
      <c r="N127" s="48" t="n">
        <v>0.000231</v>
      </c>
      <c r="O127" s="48" t="n">
        <v>0.000231</v>
      </c>
      <c r="P127" s="48" t="n">
        <v>0.000231</v>
      </c>
      <c r="Q127" s="48" t="n">
        <v>0.000231</v>
      </c>
      <c r="R127" s="48" t="n">
        <v>0.00021</v>
      </c>
      <c r="S127" s="48" t="n">
        <v>0.00021</v>
      </c>
      <c r="T127" s="48" t="n">
        <v>0.00021</v>
      </c>
      <c r="U127" s="48" t="n">
        <v>0.00021</v>
      </c>
      <c r="V127" s="48" t="n">
        <v>0.0888</v>
      </c>
      <c r="W127" s="48" t="n">
        <v>0.0888</v>
      </c>
      <c r="X127" s="48" t="n">
        <v>0.0965</v>
      </c>
      <c r="Y127" s="48" t="n">
        <v>0.0965</v>
      </c>
      <c r="Z127" s="78" t="n">
        <v>0.37</v>
      </c>
      <c r="AA127" s="39" t="n">
        <v>2220</v>
      </c>
      <c r="AB127" s="56" t="n">
        <v>0.0307</v>
      </c>
    </row>
    <row r="128">
      <c r="A128" s="77" t="n">
        <v>35</v>
      </c>
      <c r="B128" s="48" t="n">
        <v>0.0002113</v>
      </c>
      <c r="C128" s="48" t="n">
        <v>0.0003105</v>
      </c>
      <c r="D128" s="48" t="n">
        <v>0.0001377</v>
      </c>
      <c r="E128" s="48" t="n">
        <v>0.0001731</v>
      </c>
      <c r="F128" s="48" t="n">
        <v>0.00043</v>
      </c>
      <c r="G128" s="48" t="n">
        <v>0.00043</v>
      </c>
      <c r="H128" s="48" t="n">
        <v>0.00017</v>
      </c>
      <c r="I128" s="48" t="n">
        <v>0.00017</v>
      </c>
      <c r="J128" s="48" t="n">
        <v>0.001001021</v>
      </c>
      <c r="K128" s="48" t="n">
        <v>0.001471149</v>
      </c>
      <c r="L128" s="48" t="n">
        <v>0.000652423</v>
      </c>
      <c r="M128" s="48" t="n">
        <v>0.000820325</v>
      </c>
      <c r="N128" s="48" t="n">
        <v>0.000231</v>
      </c>
      <c r="O128" s="48" t="n">
        <v>0.000231</v>
      </c>
      <c r="P128" s="48" t="n">
        <v>0.000231</v>
      </c>
      <c r="Q128" s="48" t="n">
        <v>0.000231</v>
      </c>
      <c r="R128" s="48" t="n">
        <v>0.00021</v>
      </c>
      <c r="S128" s="48" t="n">
        <v>0.00021</v>
      </c>
      <c r="T128" s="48" t="n">
        <v>0.00021</v>
      </c>
      <c r="U128" s="48" t="n">
        <v>0.00021</v>
      </c>
      <c r="V128" s="48" t="n">
        <v>0.0888</v>
      </c>
      <c r="W128" s="48" t="n">
        <v>0.0888</v>
      </c>
      <c r="X128" s="48" t="n">
        <v>0.0965</v>
      </c>
      <c r="Y128" s="48" t="n">
        <v>0.0965</v>
      </c>
      <c r="Z128" s="78" t="n">
        <v>0.37</v>
      </c>
      <c r="AA128" s="39" t="n">
        <v>2220</v>
      </c>
      <c r="AB128" s="56" t="n">
        <v>0.0307</v>
      </c>
    </row>
    <row r="129">
      <c r="A129" s="77" t="n">
        <v>36</v>
      </c>
      <c r="B129" s="48" t="n">
        <v>0.0002207</v>
      </c>
      <c r="C129" s="48" t="n">
        <v>0.000326</v>
      </c>
      <c r="D129" s="48" t="n">
        <v>0.0001482</v>
      </c>
      <c r="E129" s="48" t="n">
        <v>0.0001883</v>
      </c>
      <c r="F129" s="48" t="n">
        <v>0.00043</v>
      </c>
      <c r="G129" s="48" t="n">
        <v>0.00043</v>
      </c>
      <c r="H129" s="48" t="n">
        <v>0.00017</v>
      </c>
      <c r="I129" s="48" t="n">
        <v>0.00017</v>
      </c>
      <c r="J129" s="48" t="n">
        <v>0.001045795</v>
      </c>
      <c r="K129" s="48" t="n">
        <v>0.001544706</v>
      </c>
      <c r="L129" s="48" t="n">
        <v>0.0007019939999999999</v>
      </c>
      <c r="M129" s="48" t="n">
        <v>0.000892284</v>
      </c>
      <c r="N129" s="48" t="n">
        <v>0.000231</v>
      </c>
      <c r="O129" s="48" t="n">
        <v>0.000231</v>
      </c>
      <c r="P129" s="48" t="n">
        <v>0.000231</v>
      </c>
      <c r="Q129" s="48" t="n">
        <v>0.000231</v>
      </c>
      <c r="R129" s="48" t="n">
        <v>0.00021</v>
      </c>
      <c r="S129" s="48" t="n">
        <v>0.00021</v>
      </c>
      <c r="T129" s="48" t="n">
        <v>0.00021</v>
      </c>
      <c r="U129" s="48" t="n">
        <v>0.00021</v>
      </c>
      <c r="V129" s="48" t="n">
        <v>0.0888</v>
      </c>
      <c r="W129" s="48" t="n">
        <v>0.0888</v>
      </c>
      <c r="X129" s="48" t="n">
        <v>0.0965</v>
      </c>
      <c r="Y129" s="48" t="n">
        <v>0.0965</v>
      </c>
      <c r="Z129" s="78" t="n">
        <v>0.37</v>
      </c>
      <c r="AA129" s="39" t="n">
        <v>2220</v>
      </c>
      <c r="AB129" s="56" t="n">
        <v>0.0315</v>
      </c>
    </row>
    <row r="130">
      <c r="A130" s="77" t="n">
        <v>37</v>
      </c>
      <c r="B130" s="48" t="n">
        <v>0.0002319</v>
      </c>
      <c r="C130" s="48" t="n">
        <v>0.0003439</v>
      </c>
      <c r="D130" s="48" t="n">
        <v>0.0001596</v>
      </c>
      <c r="E130" s="48" t="n">
        <v>0.0002059</v>
      </c>
      <c r="F130" s="48" t="n">
        <v>0.00044</v>
      </c>
      <c r="G130" s="48" t="n">
        <v>0.00044</v>
      </c>
      <c r="H130" s="48" t="n">
        <v>0.00017</v>
      </c>
      <c r="I130" s="48" t="n">
        <v>0.00017</v>
      </c>
      <c r="J130" s="48" t="n">
        <v>0.001098565</v>
      </c>
      <c r="K130" s="48" t="n">
        <v>0.001629457</v>
      </c>
      <c r="L130" s="48" t="n">
        <v>0.000756362</v>
      </c>
      <c r="M130" s="48" t="n">
        <v>0.000975436</v>
      </c>
      <c r="N130" s="48" t="n">
        <v>0.000231</v>
      </c>
      <c r="O130" s="48" t="n">
        <v>0.000231</v>
      </c>
      <c r="P130" s="48" t="n">
        <v>0.000231</v>
      </c>
      <c r="Q130" s="48" t="n">
        <v>0.000231</v>
      </c>
      <c r="R130" s="48" t="n">
        <v>0.00021</v>
      </c>
      <c r="S130" s="48" t="n">
        <v>0.00021</v>
      </c>
      <c r="T130" s="48" t="n">
        <v>0.00021</v>
      </c>
      <c r="U130" s="48" t="n">
        <v>0.00021</v>
      </c>
      <c r="V130" s="48" t="n">
        <v>0.0888</v>
      </c>
      <c r="W130" s="48" t="n">
        <v>0.0888</v>
      </c>
      <c r="X130" s="48" t="n">
        <v>0.0965</v>
      </c>
      <c r="Y130" s="48" t="n">
        <v>0.0965</v>
      </c>
      <c r="Z130" s="78" t="n">
        <v>0.37</v>
      </c>
      <c r="AA130" s="39" t="n">
        <v>2220</v>
      </c>
      <c r="AB130" s="56" t="n">
        <v>0.0315</v>
      </c>
    </row>
    <row r="131">
      <c r="A131" s="77" t="n">
        <v>38</v>
      </c>
      <c r="B131" s="48" t="n">
        <v>0.000245</v>
      </c>
      <c r="C131" s="48" t="n">
        <v>0.0003648</v>
      </c>
      <c r="D131" s="48" t="n">
        <v>0.0001728</v>
      </c>
      <c r="E131" s="48" t="n">
        <v>0.0002258</v>
      </c>
      <c r="F131" s="48" t="n">
        <v>0.00044</v>
      </c>
      <c r="G131" s="48" t="n">
        <v>0.00044</v>
      </c>
      <c r="H131" s="48" t="n">
        <v>0.00017</v>
      </c>
      <c r="I131" s="48" t="n">
        <v>0.00017</v>
      </c>
      <c r="J131" s="48" t="n">
        <v>0.001160928</v>
      </c>
      <c r="K131" s="48" t="n">
        <v>0.0017286</v>
      </c>
      <c r="L131" s="48" t="n">
        <v>0.000818726</v>
      </c>
      <c r="M131" s="48" t="n">
        <v>0.001069781</v>
      </c>
      <c r="N131" s="48" t="n">
        <v>0.000231</v>
      </c>
      <c r="O131" s="48" t="n">
        <v>0.000231</v>
      </c>
      <c r="P131" s="48" t="n">
        <v>0.000231</v>
      </c>
      <c r="Q131" s="48" t="n">
        <v>0.000231</v>
      </c>
      <c r="R131" s="48" t="n">
        <v>0.00021</v>
      </c>
      <c r="S131" s="48" t="n">
        <v>0.00021</v>
      </c>
      <c r="T131" s="48" t="n">
        <v>0.00021</v>
      </c>
      <c r="U131" s="48" t="n">
        <v>0.00021</v>
      </c>
      <c r="V131" s="48" t="n">
        <v>0.0888</v>
      </c>
      <c r="W131" s="48" t="n">
        <v>0.0888</v>
      </c>
      <c r="X131" s="48" t="n">
        <v>0.0965</v>
      </c>
      <c r="Y131" s="48" t="n">
        <v>0.0965</v>
      </c>
      <c r="Z131" s="78" t="n">
        <v>0.37</v>
      </c>
      <c r="AA131" s="39" t="n">
        <v>2220</v>
      </c>
      <c r="AB131" s="56" t="n">
        <v>0.0315</v>
      </c>
    </row>
    <row r="132">
      <c r="A132" s="77" t="n">
        <v>39</v>
      </c>
      <c r="B132" s="48" t="n">
        <v>0.0002595</v>
      </c>
      <c r="C132" s="48" t="n">
        <v>0.0003895</v>
      </c>
      <c r="D132" s="48" t="n">
        <v>0.0001877</v>
      </c>
      <c r="E132" s="48" t="n">
        <v>0.0002491</v>
      </c>
      <c r="F132" s="48" t="n">
        <v>0.00045</v>
      </c>
      <c r="G132" s="48" t="n">
        <v>0.00045</v>
      </c>
      <c r="H132" s="48" t="n">
        <v>0.00017</v>
      </c>
      <c r="I132" s="48" t="n">
        <v>0.00017</v>
      </c>
      <c r="J132" s="48" t="n">
        <v>0.001229689</v>
      </c>
      <c r="K132" s="48" t="n">
        <v>0.001845333</v>
      </c>
      <c r="L132" s="48" t="n">
        <v>0.000889086</v>
      </c>
      <c r="M132" s="48" t="n">
        <v>0.001180117</v>
      </c>
      <c r="N132" s="48" t="n">
        <v>0.000234393</v>
      </c>
      <c r="O132" s="48" t="n">
        <v>0.000234393</v>
      </c>
      <c r="P132" s="48" t="n">
        <v>0.000234393</v>
      </c>
      <c r="Q132" s="48" t="n">
        <v>0.000234393</v>
      </c>
      <c r="R132" s="48" t="n">
        <v>0.00021</v>
      </c>
      <c r="S132" s="48" t="n">
        <v>0.00021</v>
      </c>
      <c r="T132" s="48" t="n">
        <v>0.00021</v>
      </c>
      <c r="U132" s="48" t="n">
        <v>0.00021</v>
      </c>
      <c r="V132" s="48" t="n">
        <v>0.0888</v>
      </c>
      <c r="W132" s="48" t="n">
        <v>0.0888</v>
      </c>
      <c r="X132" s="48" t="n">
        <v>0.0965</v>
      </c>
      <c r="Y132" s="48" t="n">
        <v>0.0965</v>
      </c>
      <c r="Z132" s="78" t="n">
        <v>0.37</v>
      </c>
      <c r="AA132" s="39" t="n">
        <v>2220</v>
      </c>
      <c r="AB132" s="56" t="n">
        <v>0.0315</v>
      </c>
    </row>
    <row r="133">
      <c r="A133" s="77" t="n">
        <v>40</v>
      </c>
      <c r="B133" s="48" t="n">
        <v>0.0002768</v>
      </c>
      <c r="C133" s="48" t="n">
        <v>0.0004178</v>
      </c>
      <c r="D133" s="48" t="n">
        <v>0.0002039</v>
      </c>
      <c r="E133" s="48" t="n">
        <v>0.0002754</v>
      </c>
      <c r="F133" s="48" t="n">
        <v>0.00046</v>
      </c>
      <c r="G133" s="48" t="n">
        <v>0.00046</v>
      </c>
      <c r="H133" s="48" t="n">
        <v>0.00017</v>
      </c>
      <c r="I133" s="48" t="n">
        <v>0.00017</v>
      </c>
      <c r="J133" s="48" t="n">
        <v>0.001311242</v>
      </c>
      <c r="K133" s="48" t="n">
        <v>0.001979655</v>
      </c>
      <c r="L133" s="48" t="n">
        <v>0.0009658410000000001</v>
      </c>
      <c r="M133" s="48" t="n">
        <v>0.001304845</v>
      </c>
      <c r="N133" s="48" t="n">
        <v>0.000258781</v>
      </c>
      <c r="O133" s="48" t="n">
        <v>0.000258781</v>
      </c>
      <c r="P133" s="48" t="n">
        <v>0.000258781</v>
      </c>
      <c r="Q133" s="48" t="n">
        <v>0.000258781</v>
      </c>
      <c r="R133" s="48" t="n">
        <v>0.00021</v>
      </c>
      <c r="S133" s="48" t="n">
        <v>0.00021</v>
      </c>
      <c r="T133" s="48" t="n">
        <v>0.00021</v>
      </c>
      <c r="U133" s="48" t="n">
        <v>0.00021</v>
      </c>
      <c r="V133" s="48" t="n">
        <v>0.0888</v>
      </c>
      <c r="W133" s="48" t="n">
        <v>0.0888</v>
      </c>
      <c r="X133" s="48" t="n">
        <v>0.0965</v>
      </c>
      <c r="Y133" s="48" t="n">
        <v>0.0965</v>
      </c>
      <c r="Z133" s="78" t="n">
        <v>0.37</v>
      </c>
      <c r="AA133" s="39" t="n">
        <v>2220</v>
      </c>
      <c r="AB133" s="56" t="n">
        <v>0.0315</v>
      </c>
    </row>
    <row r="134">
      <c r="A134" s="77" t="n">
        <v>41</v>
      </c>
      <c r="B134" s="48" t="n">
        <v>0.0002963</v>
      </c>
      <c r="C134" s="48" t="n">
        <v>0.0004509</v>
      </c>
      <c r="D134" s="48" t="n">
        <v>0.0002224</v>
      </c>
      <c r="E134" s="48" t="n">
        <v>0.0003058</v>
      </c>
      <c r="F134" s="48" t="n">
        <v>0.00046</v>
      </c>
      <c r="G134" s="48" t="n">
        <v>0.00046</v>
      </c>
      <c r="H134" s="48" t="n">
        <v>0.00016</v>
      </c>
      <c r="I134" s="48" t="n">
        <v>0.00016</v>
      </c>
      <c r="J134" s="48" t="n">
        <v>0.001403988</v>
      </c>
      <c r="K134" s="48" t="n">
        <v>0.002136364</v>
      </c>
      <c r="L134" s="48" t="n">
        <v>0.00105379</v>
      </c>
      <c r="M134" s="48" t="n">
        <v>0.001448762</v>
      </c>
      <c r="N134" s="48" t="n">
        <v>0.000287719</v>
      </c>
      <c r="O134" s="48" t="n">
        <v>0.000287719</v>
      </c>
      <c r="P134" s="48" t="n">
        <v>0.000287719</v>
      </c>
      <c r="Q134" s="48" t="n">
        <v>0.000287719</v>
      </c>
      <c r="R134" s="48" t="n">
        <v>0.00021</v>
      </c>
      <c r="S134" s="48" t="n">
        <v>0.00021</v>
      </c>
      <c r="T134" s="48" t="n">
        <v>0.00021</v>
      </c>
      <c r="U134" s="48" t="n">
        <v>0.00021</v>
      </c>
      <c r="V134" s="48" t="n">
        <v>0.0888</v>
      </c>
      <c r="W134" s="48" t="n">
        <v>0.0888</v>
      </c>
      <c r="X134" s="48" t="n">
        <v>0.0965</v>
      </c>
      <c r="Y134" s="48" t="n">
        <v>0.0965</v>
      </c>
      <c r="Z134" s="78" t="n">
        <v>0.37</v>
      </c>
      <c r="AA134" s="39" t="n">
        <v>2220</v>
      </c>
      <c r="AB134" s="56" t="n">
        <v>0.0315</v>
      </c>
    </row>
    <row r="135">
      <c r="A135" s="77" t="n">
        <v>42</v>
      </c>
      <c r="B135" s="48" t="n">
        <v>0.0003186</v>
      </c>
      <c r="C135" s="48" t="n">
        <v>0.000489</v>
      </c>
      <c r="D135" s="48" t="n">
        <v>0.000243</v>
      </c>
      <c r="E135" s="48" t="n">
        <v>0.0003405</v>
      </c>
      <c r="F135" s="48" t="n">
        <v>0.00047</v>
      </c>
      <c r="G135" s="48" t="n">
        <v>0.00047</v>
      </c>
      <c r="H135" s="48" t="n">
        <v>0.00016</v>
      </c>
      <c r="I135" s="48" t="n">
        <v>0.00016</v>
      </c>
      <c r="J135" s="48" t="n">
        <v>0.001509527</v>
      </c>
      <c r="K135" s="48" t="n">
        <v>0.00231706</v>
      </c>
      <c r="L135" s="48" t="n">
        <v>0.001151334</v>
      </c>
      <c r="M135" s="48" t="n">
        <v>0.001613467</v>
      </c>
      <c r="N135" s="48" t="n">
        <v>0.000321642</v>
      </c>
      <c r="O135" s="48" t="n">
        <v>0.000321642</v>
      </c>
      <c r="P135" s="48" t="n">
        <v>0.000321642</v>
      </c>
      <c r="Q135" s="48" t="n">
        <v>0.000321642</v>
      </c>
      <c r="R135" s="48" t="n">
        <v>0.00021</v>
      </c>
      <c r="S135" s="48" t="n">
        <v>0.00021</v>
      </c>
      <c r="T135" s="48" t="n">
        <v>0.00021</v>
      </c>
      <c r="U135" s="48" t="n">
        <v>0.00021</v>
      </c>
      <c r="V135" s="48" t="n">
        <v>0.0888</v>
      </c>
      <c r="W135" s="48" t="n">
        <v>0.0888</v>
      </c>
      <c r="X135" s="48" t="n">
        <v>0.0965</v>
      </c>
      <c r="Y135" s="48" t="n">
        <v>0.0965</v>
      </c>
      <c r="Z135" s="78" t="n">
        <v>0.37</v>
      </c>
      <c r="AA135" s="39" t="n">
        <v>2220</v>
      </c>
      <c r="AB135" s="56" t="n">
        <v>0.0315</v>
      </c>
    </row>
    <row r="136">
      <c r="A136" s="77" t="n">
        <v>43</v>
      </c>
      <c r="B136" s="48" t="n">
        <v>0.0003446</v>
      </c>
      <c r="C136" s="48" t="n">
        <v>0.0005336</v>
      </c>
      <c r="D136" s="48" t="n">
        <v>0.000266</v>
      </c>
      <c r="E136" s="48" t="n">
        <v>0.0003804</v>
      </c>
      <c r="F136" s="48" t="n">
        <v>0.00047</v>
      </c>
      <c r="G136" s="48" t="n">
        <v>0.00047</v>
      </c>
      <c r="H136" s="48" t="n">
        <v>0.00016</v>
      </c>
      <c r="I136" s="48" t="n">
        <v>0.00016</v>
      </c>
      <c r="J136" s="48" t="n">
        <v>0.001632656</v>
      </c>
      <c r="K136" s="48" t="n">
        <v>0.002528138</v>
      </c>
      <c r="L136" s="48" t="n">
        <v>0.001260071</v>
      </c>
      <c r="M136" s="48" t="n">
        <v>0.001802158</v>
      </c>
      <c r="N136" s="48" t="n">
        <v>0.000361027</v>
      </c>
      <c r="O136" s="48" t="n">
        <v>0.000361027</v>
      </c>
      <c r="P136" s="48" t="n">
        <v>0.000361027</v>
      </c>
      <c r="Q136" s="48" t="n">
        <v>0.000361027</v>
      </c>
      <c r="R136" s="48" t="n">
        <v>0.00021</v>
      </c>
      <c r="S136" s="48" t="n">
        <v>0.00021</v>
      </c>
      <c r="T136" s="48" t="n">
        <v>0.00021</v>
      </c>
      <c r="U136" s="48" t="n">
        <v>0.00021</v>
      </c>
      <c r="V136" s="48" t="n">
        <v>0.0888</v>
      </c>
      <c r="W136" s="48" t="n">
        <v>0.0888</v>
      </c>
      <c r="X136" s="48" t="n">
        <v>0.0965</v>
      </c>
      <c r="Y136" s="48" t="n">
        <v>0.0965</v>
      </c>
      <c r="Z136" s="78" t="n">
        <v>0.37</v>
      </c>
      <c r="AA136" s="39" t="n">
        <v>2220</v>
      </c>
      <c r="AB136" s="56" t="n">
        <v>0.0315</v>
      </c>
    </row>
    <row r="137">
      <c r="A137" s="77" t="n">
        <v>44</v>
      </c>
      <c r="B137" s="48" t="n">
        <v>0.000374</v>
      </c>
      <c r="C137" s="48" t="n">
        <v>0.0005846</v>
      </c>
      <c r="D137" s="48" t="n">
        <v>0.0002916</v>
      </c>
      <c r="E137" s="48" t="n">
        <v>0.0004256</v>
      </c>
      <c r="F137" s="48" t="n">
        <v>0.00048</v>
      </c>
      <c r="G137" s="48" t="n">
        <v>0.00048</v>
      </c>
      <c r="H137" s="48" t="n">
        <v>0.00017</v>
      </c>
      <c r="I137" s="48" t="n">
        <v>0.00017</v>
      </c>
      <c r="J137" s="48" t="n">
        <v>0.001771775</v>
      </c>
      <c r="K137" s="48" t="n">
        <v>0.002769598</v>
      </c>
      <c r="L137" s="48" t="n">
        <v>0.001381601</v>
      </c>
      <c r="M137" s="48" t="n">
        <v>0.002016434</v>
      </c>
      <c r="N137" s="48" t="n">
        <v>0.000406396</v>
      </c>
      <c r="O137" s="48" t="n">
        <v>0.000406396</v>
      </c>
      <c r="P137" s="48" t="n">
        <v>0.000406396</v>
      </c>
      <c r="Q137" s="48" t="n">
        <v>0.000406396</v>
      </c>
      <c r="R137" s="48" t="n">
        <v>0.00021</v>
      </c>
      <c r="S137" s="48" t="n">
        <v>0.00021</v>
      </c>
      <c r="T137" s="48" t="n">
        <v>0.00021</v>
      </c>
      <c r="U137" s="48" t="n">
        <v>0.00021</v>
      </c>
      <c r="V137" s="48" t="n">
        <v>0.0888</v>
      </c>
      <c r="W137" s="48" t="n">
        <v>0.0888</v>
      </c>
      <c r="X137" s="48" t="n">
        <v>0.0965</v>
      </c>
      <c r="Y137" s="48" t="n">
        <v>0.0965</v>
      </c>
      <c r="Z137" s="78" t="n">
        <v>0.37</v>
      </c>
      <c r="AA137" s="39" t="n">
        <v>2220</v>
      </c>
      <c r="AB137" s="56" t="n">
        <v>0.0315</v>
      </c>
    </row>
    <row r="138">
      <c r="A138" s="77" t="n">
        <v>45</v>
      </c>
      <c r="B138" s="48" t="n">
        <v>0.0004077</v>
      </c>
      <c r="C138" s="48" t="n">
        <v>0.0006436</v>
      </c>
      <c r="D138" s="48" t="n">
        <v>0.0003203</v>
      </c>
      <c r="E138" s="48" t="n">
        <v>0.0004776</v>
      </c>
      <c r="F138" s="48" t="n">
        <v>0.00049</v>
      </c>
      <c r="G138" s="48" t="n">
        <v>0.00049</v>
      </c>
      <c r="H138" s="48" t="n">
        <v>0.00017</v>
      </c>
      <c r="I138" s="48" t="n">
        <v>0.00017</v>
      </c>
      <c r="J138" s="48" t="n">
        <v>0.001931683</v>
      </c>
      <c r="K138" s="48" t="n">
        <v>0.003049436</v>
      </c>
      <c r="L138" s="48" t="n">
        <v>0.001517522</v>
      </c>
      <c r="M138" s="48" t="n">
        <v>0.002262691</v>
      </c>
      <c r="N138" s="48" t="n">
        <v>0.00045832</v>
      </c>
      <c r="O138" s="48" t="n">
        <v>0.00045832</v>
      </c>
      <c r="P138" s="48" t="n">
        <v>0.00045832</v>
      </c>
      <c r="Q138" s="48" t="n">
        <v>0.00045832</v>
      </c>
      <c r="R138" s="48" t="n">
        <v>0.00021</v>
      </c>
      <c r="S138" s="48" t="n">
        <v>0.00021</v>
      </c>
      <c r="T138" s="48" t="n">
        <v>0.00021</v>
      </c>
      <c r="U138" s="48" t="n">
        <v>0.00021</v>
      </c>
      <c r="V138" s="48" t="n">
        <v>0.0888</v>
      </c>
      <c r="W138" s="48" t="n">
        <v>0.0888</v>
      </c>
      <c r="X138" s="48" t="n">
        <v>0.0965</v>
      </c>
      <c r="Y138" s="48" t="n">
        <v>0.0965</v>
      </c>
      <c r="Z138" s="78" t="n">
        <v>0.37</v>
      </c>
      <c r="AA138" s="39" t="n">
        <v>2220</v>
      </c>
      <c r="AB138" s="56" t="n">
        <v>0.0315</v>
      </c>
    </row>
    <row r="139">
      <c r="A139" s="77" t="n">
        <v>46</v>
      </c>
      <c r="B139" s="48" t="n">
        <v>0.0004462</v>
      </c>
      <c r="C139" s="48" t="n">
        <v>0.0007118</v>
      </c>
      <c r="D139" s="48" t="n">
        <v>0.0003524</v>
      </c>
      <c r="E139" s="48" t="n">
        <v>0.0005363</v>
      </c>
      <c r="F139" s="48" t="n">
        <v>0.0005</v>
      </c>
      <c r="G139" s="48" t="n">
        <v>0.0005</v>
      </c>
      <c r="H139" s="48" t="n">
        <v>0.00017</v>
      </c>
      <c r="I139" s="48" t="n">
        <v>0.00017</v>
      </c>
      <c r="J139" s="48" t="n">
        <v>0.002113977</v>
      </c>
      <c r="K139" s="48" t="n">
        <v>0.003372449</v>
      </c>
      <c r="L139" s="48" t="n">
        <v>0.001669434</v>
      </c>
      <c r="M139" s="48" t="n">
        <v>0.00254093</v>
      </c>
      <c r="N139" s="48" t="n">
        <v>0.0005174240000000001</v>
      </c>
      <c r="O139" s="48" t="n">
        <v>0.0005174240000000001</v>
      </c>
      <c r="P139" s="48" t="n">
        <v>0.0005174240000000001</v>
      </c>
      <c r="Q139" s="48" t="n">
        <v>0.0005174240000000001</v>
      </c>
      <c r="R139" s="48" t="n">
        <v>0.00021</v>
      </c>
      <c r="S139" s="48" t="n">
        <v>0.00021</v>
      </c>
      <c r="T139" s="48" t="n">
        <v>0.00021</v>
      </c>
      <c r="U139" s="48" t="n">
        <v>0.00021</v>
      </c>
      <c r="V139" s="48" t="n">
        <v>0.0888</v>
      </c>
      <c r="W139" s="48" t="n">
        <v>0.0888</v>
      </c>
      <c r="X139" s="48" t="n">
        <v>0.0965</v>
      </c>
      <c r="Y139" s="48" t="n">
        <v>0.0965</v>
      </c>
      <c r="Z139" s="78" t="n">
        <v>0.37</v>
      </c>
      <c r="AA139" s="39" t="n">
        <v>2220</v>
      </c>
      <c r="AB139" s="56" t="n">
        <v>0.0323</v>
      </c>
    </row>
    <row r="140">
      <c r="A140" s="77" t="n">
        <v>47</v>
      </c>
      <c r="B140" s="48" t="n">
        <v>0.0004901</v>
      </c>
      <c r="C140" s="48" t="n">
        <v>0.0007898</v>
      </c>
      <c r="D140" s="48" t="n">
        <v>0.0003881</v>
      </c>
      <c r="E140" s="48" t="n">
        <v>0.0006035</v>
      </c>
      <c r="F140" s="48" t="n">
        <v>0.00051</v>
      </c>
      <c r="G140" s="48" t="n">
        <v>0.00051</v>
      </c>
      <c r="H140" s="48" t="n">
        <v>0.00017</v>
      </c>
      <c r="I140" s="48" t="n">
        <v>0.00017</v>
      </c>
      <c r="J140" s="48" t="n">
        <v>0.002321857</v>
      </c>
      <c r="K140" s="48" t="n">
        <v>0.003741836</v>
      </c>
      <c r="L140" s="48" t="n">
        <v>0.001838936</v>
      </c>
      <c r="M140" s="48" t="n">
        <v>0.002859146</v>
      </c>
      <c r="N140" s="48" t="n">
        <v>0.000584391</v>
      </c>
      <c r="O140" s="48" t="n">
        <v>0.000584391</v>
      </c>
      <c r="P140" s="48" t="n">
        <v>0.000584391</v>
      </c>
      <c r="Q140" s="48" t="n">
        <v>0.000584391</v>
      </c>
      <c r="R140" s="48" t="n">
        <v>0.00021</v>
      </c>
      <c r="S140" s="48" t="n">
        <v>0.00021</v>
      </c>
      <c r="T140" s="48" t="n">
        <v>0.00021</v>
      </c>
      <c r="U140" s="48" t="n">
        <v>0.00021</v>
      </c>
      <c r="V140" s="48" t="n">
        <v>0.0888</v>
      </c>
      <c r="W140" s="48" t="n">
        <v>0.0888</v>
      </c>
      <c r="X140" s="48" t="n">
        <v>0.0965</v>
      </c>
      <c r="Y140" s="48" t="n">
        <v>0.0965</v>
      </c>
      <c r="Z140" s="78" t="n">
        <v>0.37</v>
      </c>
      <c r="AA140" s="39" t="n">
        <v>2220</v>
      </c>
      <c r="AB140" s="56" t="n">
        <v>0.0323</v>
      </c>
    </row>
    <row r="141">
      <c r="A141" s="77" t="n">
        <v>48</v>
      </c>
      <c r="B141" s="48" t="n">
        <v>0.0005403</v>
      </c>
      <c r="C141" s="48" t="n">
        <v>0.0008792</v>
      </c>
      <c r="D141" s="48" t="n">
        <v>0.0004283</v>
      </c>
      <c r="E141" s="48" t="n">
        <v>0.0006794</v>
      </c>
      <c r="F141" s="48" t="n">
        <v>0.00051</v>
      </c>
      <c r="G141" s="48" t="n">
        <v>0.00051</v>
      </c>
      <c r="H141" s="48" t="n">
        <v>0.00017</v>
      </c>
      <c r="I141" s="48" t="n">
        <v>0.00017</v>
      </c>
      <c r="J141" s="48" t="n">
        <v>0.002560119</v>
      </c>
      <c r="K141" s="48" t="n">
        <v>0.00416559</v>
      </c>
      <c r="L141" s="48" t="n">
        <v>0.002029226</v>
      </c>
      <c r="M141" s="48" t="n">
        <v>0.003218938</v>
      </c>
      <c r="N141" s="48" t="n">
        <v>0.000659968</v>
      </c>
      <c r="O141" s="48" t="n">
        <v>0.000659968</v>
      </c>
      <c r="P141" s="48" t="n">
        <v>0.000659968</v>
      </c>
      <c r="Q141" s="48" t="n">
        <v>0.000659968</v>
      </c>
      <c r="R141" s="48" t="n">
        <v>0.00021</v>
      </c>
      <c r="S141" s="48" t="n">
        <v>0.00021</v>
      </c>
      <c r="T141" s="48" t="n">
        <v>0.00021</v>
      </c>
      <c r="U141" s="48" t="n">
        <v>0.00021</v>
      </c>
      <c r="V141" s="48" t="n">
        <v>0.0888</v>
      </c>
      <c r="W141" s="48" t="n">
        <v>0.0888</v>
      </c>
      <c r="X141" s="48" t="n">
        <v>0.0965</v>
      </c>
      <c r="Y141" s="48" t="n">
        <v>0.0965</v>
      </c>
      <c r="Z141" s="78" t="n">
        <v>0.37</v>
      </c>
      <c r="AA141" s="39" t="n">
        <v>2220</v>
      </c>
      <c r="AB141" s="56" t="n">
        <v>0.0323</v>
      </c>
    </row>
    <row r="142">
      <c r="A142" s="77" t="n">
        <v>49</v>
      </c>
      <c r="B142" s="48" t="n">
        <v>0.0005974</v>
      </c>
      <c r="C142" s="48" t="n">
        <v>0.0009817999999999999</v>
      </c>
      <c r="D142" s="48" t="n">
        <v>0.0004728</v>
      </c>
      <c r="E142" s="48" t="n">
        <v>0.0007658</v>
      </c>
      <c r="F142" s="48" t="n">
        <v>0.00052</v>
      </c>
      <c r="G142" s="48" t="n">
        <v>0.00052</v>
      </c>
      <c r="H142" s="48" t="n">
        <v>0.00018</v>
      </c>
      <c r="I142" s="48" t="n">
        <v>0.00018</v>
      </c>
      <c r="J142" s="48" t="n">
        <v>0.002830363</v>
      </c>
      <c r="K142" s="48" t="n">
        <v>0.004651709</v>
      </c>
      <c r="L142" s="48" t="n">
        <v>0.002240304</v>
      </c>
      <c r="M142" s="48" t="n">
        <v>0.003628301</v>
      </c>
      <c r="N142" s="48" t="n">
        <v>0.000744972</v>
      </c>
      <c r="O142" s="48" t="n">
        <v>0.000744972</v>
      </c>
      <c r="P142" s="48" t="n">
        <v>0.000744972</v>
      </c>
      <c r="Q142" s="48" t="n">
        <v>0.000744972</v>
      </c>
      <c r="R142" s="48" t="n">
        <v>0.00021</v>
      </c>
      <c r="S142" s="48" t="n">
        <v>0.00021</v>
      </c>
      <c r="T142" s="48" t="n">
        <v>0.00021</v>
      </c>
      <c r="U142" s="48" t="n">
        <v>0.00021</v>
      </c>
      <c r="V142" s="48" t="n">
        <v>0.0888</v>
      </c>
      <c r="W142" s="48" t="n">
        <v>0.0888</v>
      </c>
      <c r="X142" s="48" t="n">
        <v>0.0965</v>
      </c>
      <c r="Y142" s="48" t="n">
        <v>0.0965</v>
      </c>
      <c r="Z142" s="78" t="n">
        <v>0.37</v>
      </c>
      <c r="AA142" s="39" t="n">
        <v>2220</v>
      </c>
      <c r="AB142" s="56" t="n">
        <v>0.0323</v>
      </c>
    </row>
    <row r="143">
      <c r="A143" s="77" t="n">
        <v>50</v>
      </c>
      <c r="B143" s="48" t="n">
        <v>0.0006625</v>
      </c>
      <c r="C143" s="48" t="n">
        <v>0.0010989</v>
      </c>
      <c r="D143" s="48" t="n">
        <v>0.0005231</v>
      </c>
      <c r="E143" s="48" t="n">
        <v>0.0008633</v>
      </c>
      <c r="F143" s="48" t="n">
        <v>0.00053</v>
      </c>
      <c r="G143" s="48" t="n">
        <v>0.00053</v>
      </c>
      <c r="H143" s="48" t="n">
        <v>0.00018</v>
      </c>
      <c r="I143" s="48" t="n">
        <v>0.00018</v>
      </c>
      <c r="J143" s="48" t="n">
        <v>0.003138984</v>
      </c>
      <c r="K143" s="48" t="n">
        <v>0.005206588</v>
      </c>
      <c r="L143" s="48" t="n">
        <v>0.002478566</v>
      </c>
      <c r="M143" s="48" t="n">
        <v>0.004090434</v>
      </c>
      <c r="N143" s="48" t="n">
        <v>0.000840296</v>
      </c>
      <c r="O143" s="48" t="n">
        <v>0.000840296</v>
      </c>
      <c r="P143" s="48" t="n">
        <v>0.000840296</v>
      </c>
      <c r="Q143" s="48" t="n">
        <v>0.000840296</v>
      </c>
      <c r="R143" s="48" t="n">
        <v>0.00021</v>
      </c>
      <c r="S143" s="48" t="n">
        <v>0.00021</v>
      </c>
      <c r="T143" s="48" t="n">
        <v>0.00021</v>
      </c>
      <c r="U143" s="48" t="n">
        <v>0.00021</v>
      </c>
      <c r="V143" s="48" t="n">
        <v>0.0888</v>
      </c>
      <c r="W143" s="48" t="n">
        <v>0.0888</v>
      </c>
      <c r="X143" s="48" t="n">
        <v>0.0965</v>
      </c>
      <c r="Y143" s="48" t="n">
        <v>0.0965</v>
      </c>
      <c r="Z143" s="78" t="n">
        <v>0.37</v>
      </c>
      <c r="AA143" s="39" t="n">
        <v>2220</v>
      </c>
      <c r="AB143" s="56" t="n">
        <v>0.0323</v>
      </c>
    </row>
    <row r="144">
      <c r="A144" s="77" t="n">
        <v>51</v>
      </c>
      <c r="B144" s="48" t="n">
        <v>0.0007368</v>
      </c>
      <c r="C144" s="48" t="n">
        <v>0.0012326</v>
      </c>
      <c r="D144" s="48" t="n">
        <v>0.0005792</v>
      </c>
      <c r="E144" s="48" t="n">
        <v>0.000974</v>
      </c>
      <c r="F144" s="48" t="n">
        <v>0.00054</v>
      </c>
      <c r="G144" s="48" t="n">
        <v>0.00054</v>
      </c>
      <c r="H144" s="48" t="n">
        <v>0.00019</v>
      </c>
      <c r="I144" s="48" t="n">
        <v>0.00019</v>
      </c>
      <c r="J144" s="48" t="n">
        <v>0.003490781</v>
      </c>
      <c r="K144" s="48" t="n">
        <v>0.005839822</v>
      </c>
      <c r="L144" s="48" t="n">
        <v>0.002744013</v>
      </c>
      <c r="M144" s="48" t="n">
        <v>0.00461493</v>
      </c>
      <c r="N144" s="48" t="n">
        <v>0.000946915</v>
      </c>
      <c r="O144" s="48" t="n">
        <v>0.000946915</v>
      </c>
      <c r="P144" s="48" t="n">
        <v>0.000946915</v>
      </c>
      <c r="Q144" s="48" t="n">
        <v>0.000946915</v>
      </c>
      <c r="R144" s="48" t="n">
        <v>0.00021</v>
      </c>
      <c r="S144" s="48" t="n">
        <v>0.00021</v>
      </c>
      <c r="T144" s="48" t="n">
        <v>0.00021</v>
      </c>
      <c r="U144" s="48" t="n">
        <v>0.00021</v>
      </c>
      <c r="V144" s="48" t="n">
        <v>0.0888</v>
      </c>
      <c r="W144" s="48" t="n">
        <v>0.0888</v>
      </c>
      <c r="X144" s="48" t="n">
        <v>0.0965</v>
      </c>
      <c r="Y144" s="48" t="n">
        <v>0.0965</v>
      </c>
      <c r="Z144" s="78" t="n">
        <v>0.37</v>
      </c>
      <c r="AA144" s="39" t="n">
        <v>2220</v>
      </c>
      <c r="AB144" s="56" t="n">
        <v>0.0339</v>
      </c>
    </row>
    <row r="145">
      <c r="A145" s="77" t="n">
        <v>52</v>
      </c>
      <c r="B145" s="48" t="n">
        <v>0.0008208</v>
      </c>
      <c r="C145" s="48" t="n">
        <v>0.0013848</v>
      </c>
      <c r="D145" s="48" t="n">
        <v>0.0006416</v>
      </c>
      <c r="E145" s="48" t="n">
        <v>0.0010992</v>
      </c>
      <c r="F145" s="48" t="n">
        <v>0.00055</v>
      </c>
      <c r="G145" s="48" t="n">
        <v>0.00055</v>
      </c>
      <c r="H145" s="48" t="n">
        <v>0.0002</v>
      </c>
      <c r="I145" s="48" t="n">
        <v>0.0002</v>
      </c>
      <c r="J145" s="48" t="n">
        <v>0.00388895</v>
      </c>
      <c r="K145" s="48" t="n">
        <v>0.006561005</v>
      </c>
      <c r="L145" s="48" t="n">
        <v>0.003039842</v>
      </c>
      <c r="M145" s="48" t="n">
        <v>0.005208187</v>
      </c>
      <c r="N145" s="48" t="n">
        <v>0.001065895</v>
      </c>
      <c r="O145" s="48" t="n">
        <v>0.001065895</v>
      </c>
      <c r="P145" s="48" t="n">
        <v>0.001065895</v>
      </c>
      <c r="Q145" s="48" t="n">
        <v>0.001065895</v>
      </c>
      <c r="R145" s="48" t="n">
        <v>0.00021</v>
      </c>
      <c r="S145" s="48" t="n">
        <v>0.00021</v>
      </c>
      <c r="T145" s="48" t="n">
        <v>0.00021</v>
      </c>
      <c r="U145" s="48" t="n">
        <v>0.00021</v>
      </c>
      <c r="V145" s="48" t="n">
        <v>0.0888</v>
      </c>
      <c r="W145" s="48" t="n">
        <v>0.0888</v>
      </c>
      <c r="X145" s="48" t="n">
        <v>0.0965</v>
      </c>
      <c r="Y145" s="48" t="n">
        <v>0.0965</v>
      </c>
      <c r="Z145" s="78" t="n">
        <v>0.37</v>
      </c>
      <c r="AA145" s="39" t="n">
        <v>2220</v>
      </c>
      <c r="AB145" s="56" t="n">
        <v>0.0339</v>
      </c>
    </row>
    <row r="146">
      <c r="A146" s="77" t="n">
        <v>53</v>
      </c>
      <c r="B146" s="48" t="n">
        <v>0.0009163</v>
      </c>
      <c r="C146" s="48" t="n">
        <v>0.0015576</v>
      </c>
      <c r="D146" s="48" t="n">
        <v>0.0007118</v>
      </c>
      <c r="E146" s="48" t="n">
        <v>0.00124</v>
      </c>
      <c r="F146" s="48" t="n">
        <v>0.00056</v>
      </c>
      <c r="G146" s="48" t="n">
        <v>0.00056</v>
      </c>
      <c r="H146" s="48" t="n">
        <v>0.0002</v>
      </c>
      <c r="I146" s="48" t="n">
        <v>0.0002</v>
      </c>
      <c r="J146" s="48" t="n">
        <v>0.004341489</v>
      </c>
      <c r="K146" s="48" t="n">
        <v>0.007379731</v>
      </c>
      <c r="L146" s="48" t="n">
        <v>0.003372449</v>
      </c>
      <c r="M146" s="48" t="n">
        <v>0.005875002</v>
      </c>
      <c r="N146" s="48" t="n">
        <v>0.001198398</v>
      </c>
      <c r="O146" s="48" t="n">
        <v>0.001198398</v>
      </c>
      <c r="P146" s="48" t="n">
        <v>0.001198398</v>
      </c>
      <c r="Q146" s="48" t="n">
        <v>0.001198398</v>
      </c>
      <c r="R146" s="48" t="n">
        <v>0.00021</v>
      </c>
      <c r="S146" s="48" t="n">
        <v>0.00021</v>
      </c>
      <c r="T146" s="48" t="n">
        <v>0.00021</v>
      </c>
      <c r="U146" s="48" t="n">
        <v>0.00021</v>
      </c>
      <c r="V146" s="48" t="n">
        <v>0.0888</v>
      </c>
      <c r="W146" s="48" t="n">
        <v>0.0888</v>
      </c>
      <c r="X146" s="48" t="n">
        <v>0.0965</v>
      </c>
      <c r="Y146" s="48" t="n">
        <v>0.0965</v>
      </c>
      <c r="Z146" s="78" t="n">
        <v>0.37</v>
      </c>
      <c r="AA146" s="39" t="n">
        <v>2220</v>
      </c>
      <c r="AB146" s="56" t="n">
        <v>0.0339</v>
      </c>
    </row>
    <row r="147">
      <c r="A147" s="77" t="n">
        <v>54</v>
      </c>
      <c r="B147" s="48" t="n">
        <v>0.0010247</v>
      </c>
      <c r="C147" s="48" t="n">
        <v>0.0017537</v>
      </c>
      <c r="D147" s="48" t="n">
        <v>0.0007901</v>
      </c>
      <c r="E147" s="48" t="n">
        <v>0.0013993</v>
      </c>
      <c r="F147" s="48" t="n">
        <v>0.00057</v>
      </c>
      <c r="G147" s="48" t="n">
        <v>0.00057</v>
      </c>
      <c r="H147" s="48" t="n">
        <v>0.00021</v>
      </c>
      <c r="I147" s="48" t="n">
        <v>0.00021</v>
      </c>
      <c r="J147" s="48" t="n">
        <v>0.004854792</v>
      </c>
      <c r="K147" s="48" t="n">
        <v>0.008308794</v>
      </c>
      <c r="L147" s="48" t="n">
        <v>0.003743435</v>
      </c>
      <c r="M147" s="48" t="n">
        <v>0.006629765</v>
      </c>
      <c r="N147" s="48" t="n">
        <v>0.001345695</v>
      </c>
      <c r="O147" s="48" t="n">
        <v>0.001345695</v>
      </c>
      <c r="P147" s="48" t="n">
        <v>0.001345695</v>
      </c>
      <c r="Q147" s="48" t="n">
        <v>0.001345695</v>
      </c>
      <c r="R147" s="48" t="n">
        <v>0.00021</v>
      </c>
      <c r="S147" s="48" t="n">
        <v>0.00021</v>
      </c>
      <c r="T147" s="48" t="n">
        <v>0.00021</v>
      </c>
      <c r="U147" s="48" t="n">
        <v>0.00021</v>
      </c>
      <c r="V147" s="48" t="n">
        <v>0.0888</v>
      </c>
      <c r="W147" s="48" t="n">
        <v>0.0888</v>
      </c>
      <c r="X147" s="48" t="n">
        <v>0.0965</v>
      </c>
      <c r="Y147" s="48" t="n">
        <v>0.0965</v>
      </c>
      <c r="Z147" s="78" t="n">
        <v>0.37</v>
      </c>
      <c r="AA147" s="39" t="n">
        <v>2220</v>
      </c>
      <c r="AB147" s="56" t="n">
        <v>0.0339</v>
      </c>
    </row>
    <row r="148">
      <c r="A148" s="77" t="n">
        <v>55</v>
      </c>
      <c r="B148" s="48" t="n">
        <v>0.0011475</v>
      </c>
      <c r="C148" s="48" t="n">
        <v>0.0019761</v>
      </c>
      <c r="D148" s="48" t="n">
        <v>0.0008775</v>
      </c>
      <c r="E148" s="48" t="n">
        <v>0.0015782</v>
      </c>
      <c r="F148" s="48" t="n">
        <v>0.00058</v>
      </c>
      <c r="G148" s="48" t="n">
        <v>0.00058</v>
      </c>
      <c r="H148" s="48" t="n">
        <v>0.00022</v>
      </c>
      <c r="I148" s="48" t="n">
        <v>0.00022</v>
      </c>
      <c r="J148" s="48" t="n">
        <v>0.005436855</v>
      </c>
      <c r="K148" s="48" t="n">
        <v>0.009362584</v>
      </c>
      <c r="L148" s="48" t="n">
        <v>0.004157595</v>
      </c>
      <c r="M148" s="48" t="n">
        <v>0.007477275</v>
      </c>
      <c r="N148" s="48" t="n">
        <v>0.001509168</v>
      </c>
      <c r="O148" s="48" t="n">
        <v>0.001509168</v>
      </c>
      <c r="P148" s="48" t="n">
        <v>0.001509168</v>
      </c>
      <c r="Q148" s="48" t="n">
        <v>0.001509168</v>
      </c>
      <c r="R148" s="48" t="n">
        <v>0.00021</v>
      </c>
      <c r="S148" s="48" t="n">
        <v>0.00021</v>
      </c>
      <c r="T148" s="48" t="n">
        <v>0.00021</v>
      </c>
      <c r="U148" s="48" t="n">
        <v>0.00021</v>
      </c>
      <c r="V148" s="48" t="n">
        <v>0.0888</v>
      </c>
      <c r="W148" s="48" t="n">
        <v>0.0888</v>
      </c>
      <c r="X148" s="48" t="n">
        <v>0.0965</v>
      </c>
      <c r="Y148" s="48" t="n">
        <v>0.0965</v>
      </c>
      <c r="Z148" s="78" t="n">
        <v>0.37</v>
      </c>
      <c r="AA148" s="39" t="n">
        <v>2220</v>
      </c>
      <c r="AB148" s="56" t="n">
        <v>0.0339</v>
      </c>
    </row>
    <row r="149">
      <c r="A149" s="77" t="n">
        <v>56</v>
      </c>
      <c r="B149" s="48" t="n">
        <v>0.0012866</v>
      </c>
      <c r="C149" s="48" t="n">
        <v>0.0022272</v>
      </c>
      <c r="D149" s="48" t="n">
        <v>0.0009754</v>
      </c>
      <c r="E149" s="48" t="n">
        <v>0.0017793</v>
      </c>
      <c r="F149" s="48" t="n">
        <v>0.00059</v>
      </c>
      <c r="G149" s="48" t="n">
        <v>0.00059</v>
      </c>
      <c r="H149" s="48" t="n">
        <v>0.00023</v>
      </c>
      <c r="I149" s="48" t="n">
        <v>0.00023</v>
      </c>
      <c r="J149" s="48" t="n">
        <v>0.006095674</v>
      </c>
      <c r="K149" s="48" t="n">
        <v>0.010552296</v>
      </c>
      <c r="L149" s="48" t="n">
        <v>0.004621327</v>
      </c>
      <c r="M149" s="48" t="n">
        <v>0.008430323</v>
      </c>
      <c r="N149" s="48" t="n">
        <v>0.001690328</v>
      </c>
      <c r="O149" s="48" t="n">
        <v>0.001690328</v>
      </c>
      <c r="P149" s="48" t="n">
        <v>0.001690328</v>
      </c>
      <c r="Q149" s="48" t="n">
        <v>0.001690328</v>
      </c>
      <c r="R149" s="48" t="n">
        <v>0.00021</v>
      </c>
      <c r="S149" s="48" t="n">
        <v>0.00021</v>
      </c>
      <c r="T149" s="48" t="n">
        <v>0.00021</v>
      </c>
      <c r="U149" s="48" t="n">
        <v>0.00021</v>
      </c>
      <c r="V149" s="48" t="n">
        <v>0.0888</v>
      </c>
      <c r="W149" s="48" t="n">
        <v>0.0888</v>
      </c>
      <c r="X149" s="48" t="n">
        <v>0.0965</v>
      </c>
      <c r="Y149" s="48" t="n">
        <v>0.0965</v>
      </c>
      <c r="Z149" s="78" t="n">
        <v>0.26</v>
      </c>
      <c r="AA149" s="39" t="n">
        <v>1560</v>
      </c>
      <c r="AB149" s="56" t="n">
        <v>0.0331</v>
      </c>
    </row>
    <row r="150">
      <c r="A150" s="77" t="n">
        <v>57</v>
      </c>
      <c r="B150" s="48" t="n">
        <v>0.0014435</v>
      </c>
      <c r="C150" s="48" t="n">
        <v>0.0025103</v>
      </c>
      <c r="D150" s="48" t="n">
        <v>0.0010844</v>
      </c>
      <c r="E150" s="48" t="n">
        <v>0.0020051</v>
      </c>
      <c r="F150" s="48" t="n">
        <v>0.0005999999999999999</v>
      </c>
      <c r="G150" s="48" t="n">
        <v>0.0005999999999999999</v>
      </c>
      <c r="H150" s="48" t="n">
        <v>0.00024</v>
      </c>
      <c r="I150" s="48" t="n">
        <v>0.00024</v>
      </c>
      <c r="J150" s="48" t="n">
        <v>0.006839244</v>
      </c>
      <c r="K150" s="48" t="n">
        <v>0.01189392</v>
      </c>
      <c r="L150" s="48" t="n">
        <v>0.005137828</v>
      </c>
      <c r="M150" s="48" t="n">
        <v>0.009500105</v>
      </c>
      <c r="N150" s="48" t="n">
        <v>0.001890818</v>
      </c>
      <c r="O150" s="48" t="n">
        <v>0.001890818</v>
      </c>
      <c r="P150" s="48" t="n">
        <v>0.001890818</v>
      </c>
      <c r="Q150" s="48" t="n">
        <v>0.001890818</v>
      </c>
      <c r="R150" s="48" t="n">
        <v>0.00021</v>
      </c>
      <c r="S150" s="48" t="n">
        <v>0.00021</v>
      </c>
      <c r="T150" s="48" t="n">
        <v>0.00021</v>
      </c>
      <c r="U150" s="48" t="n">
        <v>0.00021</v>
      </c>
      <c r="V150" s="48" t="n">
        <v>0.0888</v>
      </c>
      <c r="W150" s="48" t="n">
        <v>0.0888</v>
      </c>
      <c r="X150" s="48" t="n">
        <v>0.0965</v>
      </c>
      <c r="Y150" s="48" t="n">
        <v>0.0965</v>
      </c>
      <c r="Z150" s="78" t="n">
        <v>0.26</v>
      </c>
      <c r="AA150" s="39" t="n">
        <v>1560</v>
      </c>
      <c r="AB150" s="56" t="n">
        <v>0.0331</v>
      </c>
    </row>
    <row r="151">
      <c r="A151" s="77" t="n">
        <v>58</v>
      </c>
      <c r="B151" s="48" t="n">
        <v>0.0016207</v>
      </c>
      <c r="C151" s="48" t="n">
        <v>0.0028293</v>
      </c>
      <c r="D151" s="48" t="n">
        <v>0.0012069</v>
      </c>
      <c r="E151" s="48" t="n">
        <v>0.0022582</v>
      </c>
      <c r="F151" s="48" t="n">
        <v>0.00061</v>
      </c>
      <c r="G151" s="48" t="n">
        <v>0.00061</v>
      </c>
      <c r="H151" s="48" t="n">
        <v>0.00025</v>
      </c>
      <c r="I151" s="48" t="n">
        <v>0.00025</v>
      </c>
      <c r="J151" s="48" t="n">
        <v>0.007678758</v>
      </c>
      <c r="K151" s="48" t="n">
        <v>0.013405046</v>
      </c>
      <c r="L151" s="48" t="n">
        <v>0.005718292</v>
      </c>
      <c r="M151" s="48" t="n">
        <v>0.010699411</v>
      </c>
      <c r="N151" s="48" t="n">
        <v>0.00211243</v>
      </c>
      <c r="O151" s="48" t="n">
        <v>0.00211243</v>
      </c>
      <c r="P151" s="48" t="n">
        <v>0.00211243</v>
      </c>
      <c r="Q151" s="48" t="n">
        <v>0.00211243</v>
      </c>
      <c r="R151" s="48" t="n">
        <v>0.00021</v>
      </c>
      <c r="S151" s="48" t="n">
        <v>0.00021</v>
      </c>
      <c r="T151" s="48" t="n">
        <v>0.00021</v>
      </c>
      <c r="U151" s="48" t="n">
        <v>0.00021</v>
      </c>
      <c r="V151" s="48" t="n">
        <v>0.0888</v>
      </c>
      <c r="W151" s="48" t="n">
        <v>0.0888</v>
      </c>
      <c r="X151" s="48" t="n">
        <v>0.0965</v>
      </c>
      <c r="Y151" s="48" t="n">
        <v>0.0965</v>
      </c>
      <c r="Z151" s="78" t="n">
        <v>0.26</v>
      </c>
      <c r="AA151" s="39" t="n">
        <v>1560</v>
      </c>
      <c r="AB151" s="56" t="n">
        <v>0.0331</v>
      </c>
    </row>
    <row r="152">
      <c r="A152" s="77" t="n">
        <v>59</v>
      </c>
      <c r="B152" s="48" t="n">
        <v>0.0018208</v>
      </c>
      <c r="C152" s="48" t="n">
        <v>0.003188</v>
      </c>
      <c r="D152" s="48" t="n">
        <v>0.0013433</v>
      </c>
      <c r="E152" s="48" t="n">
        <v>0.0025414</v>
      </c>
      <c r="F152" s="48" t="n">
        <v>0.00062</v>
      </c>
      <c r="G152" s="48" t="n">
        <v>0.00062</v>
      </c>
      <c r="H152" s="48" t="n">
        <v>0.00026</v>
      </c>
      <c r="I152" s="48" t="n">
        <v>0.00026</v>
      </c>
      <c r="J152" s="48" t="n">
        <v>0.008627009999999999</v>
      </c>
      <c r="K152" s="48" t="n">
        <v>0.015104862</v>
      </c>
      <c r="L152" s="48" t="n">
        <v>0.006364319</v>
      </c>
      <c r="M152" s="48" t="n">
        <v>0.012041035</v>
      </c>
      <c r="N152" s="48" t="n">
        <v>0.00235711</v>
      </c>
      <c r="O152" s="48" t="n">
        <v>0.00235711</v>
      </c>
      <c r="P152" s="48" t="n">
        <v>0.00235711</v>
      </c>
      <c r="Q152" s="48" t="n">
        <v>0.00235711</v>
      </c>
      <c r="R152" s="48" t="n">
        <v>0.00021</v>
      </c>
      <c r="S152" s="48" t="n">
        <v>0.00021</v>
      </c>
      <c r="T152" s="48" t="n">
        <v>0.00021</v>
      </c>
      <c r="U152" s="48" t="n">
        <v>0.00021</v>
      </c>
      <c r="V152" s="48" t="n">
        <v>0.0888</v>
      </c>
      <c r="W152" s="48" t="n">
        <v>0.0888</v>
      </c>
      <c r="X152" s="48" t="n">
        <v>0.0965</v>
      </c>
      <c r="Y152" s="48" t="n">
        <v>0.0965</v>
      </c>
      <c r="Z152" s="78" t="n">
        <v>0.26</v>
      </c>
      <c r="AA152" s="39" t="n">
        <v>1560</v>
      </c>
      <c r="AB152" s="56" t="n">
        <v>0.0331</v>
      </c>
    </row>
    <row r="153">
      <c r="A153" s="77" t="n">
        <v>60</v>
      </c>
      <c r="B153" s="48" t="n">
        <v>0.0020466</v>
      </c>
      <c r="C153" s="48" t="n">
        <v>0.00359</v>
      </c>
      <c r="D153" s="48" t="n">
        <v>0.0014961</v>
      </c>
      <c r="E153" s="48" t="n">
        <v>0.0028583</v>
      </c>
      <c r="F153" s="48" t="n">
        <v>0.00063</v>
      </c>
      <c r="G153" s="48" t="n">
        <v>0.00063</v>
      </c>
      <c r="H153" s="48" t="n">
        <v>0.00027</v>
      </c>
      <c r="I153" s="48" t="n">
        <v>0.00027</v>
      </c>
      <c r="J153" s="48" t="n">
        <v>0.009696791</v>
      </c>
      <c r="K153" s="48" t="n">
        <v>0.017009361</v>
      </c>
      <c r="L153" s="48" t="n">
        <v>0.007088699</v>
      </c>
      <c r="M153" s="48" t="n">
        <v>0.013542566</v>
      </c>
      <c r="N153" s="48" t="n">
        <v>0.002626979</v>
      </c>
      <c r="O153" s="48" t="n">
        <v>0.002626979</v>
      </c>
      <c r="P153" s="48" t="n">
        <v>0.002626979</v>
      </c>
      <c r="Q153" s="48" t="n">
        <v>0.002626979</v>
      </c>
      <c r="R153" s="48" t="n">
        <v>0.00021</v>
      </c>
      <c r="S153" s="48" t="n">
        <v>0.00021</v>
      </c>
      <c r="T153" s="48" t="n">
        <v>0.00021</v>
      </c>
      <c r="U153" s="48" t="n">
        <v>0.00021</v>
      </c>
      <c r="V153" s="48" t="n">
        <v>0.0888</v>
      </c>
      <c r="W153" s="48" t="n">
        <v>0.0888</v>
      </c>
      <c r="X153" s="48" t="n">
        <v>0.0965</v>
      </c>
      <c r="Y153" s="48" t="n">
        <v>0.0965</v>
      </c>
      <c r="Z153" s="78" t="n">
        <v>0.26</v>
      </c>
      <c r="AA153" s="39" t="n">
        <v>1560</v>
      </c>
      <c r="AB153" s="56" t="n">
        <v>0.0331</v>
      </c>
    </row>
    <row r="154">
      <c r="A154" s="77" t="n">
        <v>61</v>
      </c>
      <c r="B154" s="48" t="n">
        <v>0.0023004</v>
      </c>
      <c r="C154" s="48" t="n">
        <v>0.0040402</v>
      </c>
      <c r="D154" s="48" t="n">
        <v>0.0016666</v>
      </c>
      <c r="E154" s="48" t="n">
        <v>0.003212</v>
      </c>
      <c r="F154" s="48" t="n">
        <v>0.0006400000000000001</v>
      </c>
      <c r="G154" s="48" t="n">
        <v>0.0006400000000000001</v>
      </c>
      <c r="H154" s="48" t="n">
        <v>0.00028</v>
      </c>
      <c r="I154" s="48" t="n">
        <v>0.00028</v>
      </c>
      <c r="J154" s="48" t="n">
        <v>0.010899295</v>
      </c>
      <c r="K154" s="48" t="n">
        <v>0.019142527</v>
      </c>
      <c r="L154" s="48" t="n">
        <v>0.007896232</v>
      </c>
      <c r="M154" s="48" t="n">
        <v>0.015218397</v>
      </c>
      <c r="N154" s="48" t="n">
        <v>0.002924337</v>
      </c>
      <c r="O154" s="48" t="n">
        <v>0.002924337</v>
      </c>
      <c r="P154" s="48" t="n">
        <v>0.002924337</v>
      </c>
      <c r="Q154" s="48" t="n">
        <v>0.002924337</v>
      </c>
      <c r="R154" s="48" t="n">
        <v>0.00021</v>
      </c>
      <c r="S154" s="48" t="n">
        <v>0.00021</v>
      </c>
      <c r="T154" s="48" t="n">
        <v>0.00021</v>
      </c>
      <c r="U154" s="48" t="n">
        <v>0.00021</v>
      </c>
      <c r="V154" s="48" t="n">
        <v>0.0888</v>
      </c>
      <c r="W154" s="48" t="n">
        <v>0.0888</v>
      </c>
      <c r="X154" s="48" t="n">
        <v>0.0965</v>
      </c>
      <c r="Y154" s="48" t="n">
        <v>0.0965</v>
      </c>
      <c r="Z154" s="78" t="n">
        <v>0.165</v>
      </c>
      <c r="AA154" s="39" t="n">
        <v>990</v>
      </c>
      <c r="AB154" s="56" t="n">
        <v>0.0368</v>
      </c>
    </row>
    <row r="155">
      <c r="A155" s="77" t="n">
        <v>62</v>
      </c>
      <c r="B155" s="48" t="n">
        <v>0.0025859</v>
      </c>
      <c r="C155" s="48" t="n">
        <v>0.0045434</v>
      </c>
      <c r="D155" s="48" t="n">
        <v>0.0018573</v>
      </c>
      <c r="E155" s="48" t="n">
        <v>0.0036065</v>
      </c>
      <c r="F155" s="48" t="n">
        <v>0.00065</v>
      </c>
      <c r="G155" s="48" t="n">
        <v>0.00065</v>
      </c>
      <c r="H155" s="48" t="n">
        <v>0.00029</v>
      </c>
      <c r="I155" s="48" t="n">
        <v>0.00029</v>
      </c>
      <c r="J155" s="48" t="n">
        <v>0.012252113</v>
      </c>
      <c r="K155" s="48" t="n">
        <v>0.021526748</v>
      </c>
      <c r="L155" s="48" t="n">
        <v>0.008799710000000001</v>
      </c>
      <c r="M155" s="48" t="n">
        <v>0.017087715</v>
      </c>
      <c r="N155" s="48" t="n">
        <v>0.003251682</v>
      </c>
      <c r="O155" s="48" t="n">
        <v>0.003251682</v>
      </c>
      <c r="P155" s="48" t="n">
        <v>0.003251682</v>
      </c>
      <c r="Q155" s="48" t="n">
        <v>0.003251682</v>
      </c>
      <c r="R155" s="48" t="n">
        <v>0.00021</v>
      </c>
      <c r="S155" s="48" t="n">
        <v>0.00021</v>
      </c>
      <c r="T155" s="48" t="n">
        <v>0.00021</v>
      </c>
      <c r="U155" s="48" t="n">
        <v>0.00021</v>
      </c>
      <c r="V155" s="48" t="n">
        <v>0.0888</v>
      </c>
      <c r="W155" s="48" t="n">
        <v>0.0888</v>
      </c>
      <c r="X155" s="48" t="n">
        <v>0.0965</v>
      </c>
      <c r="Y155" s="48" t="n">
        <v>0.0965</v>
      </c>
      <c r="Z155" s="78" t="n">
        <v>0.165</v>
      </c>
      <c r="AA155" s="39" t="n">
        <v>990</v>
      </c>
      <c r="AB155" s="56" t="n">
        <v>0.0368</v>
      </c>
    </row>
    <row r="156">
      <c r="A156" s="77" t="n">
        <v>63</v>
      </c>
      <c r="B156" s="48" t="n">
        <v>0.0029069</v>
      </c>
      <c r="C156" s="48" t="n">
        <v>0.0051044</v>
      </c>
      <c r="D156" s="48" t="n">
        <v>0.0020702</v>
      </c>
      <c r="E156" s="48" t="n">
        <v>0.0040456</v>
      </c>
      <c r="F156" s="48" t="n">
        <v>0.00066</v>
      </c>
      <c r="G156" s="48" t="n">
        <v>0.00066</v>
      </c>
      <c r="H156" s="48" t="n">
        <v>0.0003</v>
      </c>
      <c r="I156" s="48" t="n">
        <v>0.0003</v>
      </c>
      <c r="J156" s="48" t="n">
        <v>0.013772833</v>
      </c>
      <c r="K156" s="48" t="n">
        <v>0.02418441</v>
      </c>
      <c r="L156" s="48" t="n">
        <v>0.009808726</v>
      </c>
      <c r="M156" s="48" t="n">
        <v>0.019168112</v>
      </c>
      <c r="N156" s="48" t="n">
        <v>0.003611723</v>
      </c>
      <c r="O156" s="48" t="n">
        <v>0.003611723</v>
      </c>
      <c r="P156" s="48" t="n">
        <v>0.003611723</v>
      </c>
      <c r="Q156" s="48" t="n">
        <v>0.003611723</v>
      </c>
      <c r="R156" s="48" t="n">
        <v>0.00021</v>
      </c>
      <c r="S156" s="48" t="n">
        <v>0.00021</v>
      </c>
      <c r="T156" s="48" t="n">
        <v>0.00021</v>
      </c>
      <c r="U156" s="48" t="n">
        <v>0.00021</v>
      </c>
      <c r="V156" s="48" t="n">
        <v>0.0888</v>
      </c>
      <c r="W156" s="48" t="n">
        <v>0.0888</v>
      </c>
      <c r="X156" s="48" t="n">
        <v>0.0965</v>
      </c>
      <c r="Y156" s="48" t="n">
        <v>0.0965</v>
      </c>
      <c r="Z156" s="78" t="n">
        <v>0.165</v>
      </c>
      <c r="AA156" s="39" t="n">
        <v>990</v>
      </c>
      <c r="AB156" s="56" t="n">
        <v>0.0368</v>
      </c>
    </row>
    <row r="157">
      <c r="A157" s="77" t="n">
        <v>64</v>
      </c>
      <c r="B157" s="48" t="n">
        <v>0.0032667</v>
      </c>
      <c r="C157" s="48" t="n">
        <v>0.0057287</v>
      </c>
      <c r="D157" s="48" t="n">
        <v>0.0023085</v>
      </c>
      <c r="E157" s="48" t="n">
        <v>0.0045336</v>
      </c>
      <c r="F157" s="48" t="n">
        <v>0.00067</v>
      </c>
      <c r="G157" s="48" t="n">
        <v>0.00067</v>
      </c>
      <c r="H157" s="48" t="n">
        <v>0.00032</v>
      </c>
      <c r="I157" s="48" t="n">
        <v>0.00032</v>
      </c>
      <c r="J157" s="48" t="n">
        <v>0.015477447</v>
      </c>
      <c r="K157" s="48" t="n">
        <v>0.027142699</v>
      </c>
      <c r="L157" s="48" t="n">
        <v>0.010937673</v>
      </c>
      <c r="M157" s="48" t="n">
        <v>0.021480374</v>
      </c>
      <c r="N157" s="48" t="n">
        <v>0.004007394</v>
      </c>
      <c r="O157" s="48" t="n">
        <v>0.004007394</v>
      </c>
      <c r="P157" s="48" t="n">
        <v>0.004007394</v>
      </c>
      <c r="Q157" s="48" t="n">
        <v>0.004007394</v>
      </c>
      <c r="R157" s="48" t="n">
        <v>0.00021</v>
      </c>
      <c r="S157" s="48" t="n">
        <v>0.00021</v>
      </c>
      <c r="T157" s="48" t="n">
        <v>0.00021</v>
      </c>
      <c r="U157" s="48" t="n">
        <v>0.00021</v>
      </c>
      <c r="V157" s="48" t="n">
        <v>0.0888</v>
      </c>
      <c r="W157" s="48" t="n">
        <v>0.0888</v>
      </c>
      <c r="X157" s="48" t="n">
        <v>0.0965</v>
      </c>
      <c r="Y157" s="48" t="n">
        <v>0.0965</v>
      </c>
      <c r="Z157" s="78" t="n">
        <v>0.165</v>
      </c>
      <c r="AA157" s="39" t="n">
        <v>990</v>
      </c>
      <c r="AB157" s="56" t="n">
        <v>0.0368</v>
      </c>
    </row>
    <row r="158">
      <c r="A158" s="77" t="n">
        <v>65</v>
      </c>
      <c r="B158" s="48" t="n">
        <v>0.0036703</v>
      </c>
      <c r="C158" s="48" t="n">
        <v>0.0064223</v>
      </c>
      <c r="D158" s="48" t="n">
        <v>0.0025745</v>
      </c>
      <c r="E158" s="48" t="n">
        <v>0.0050757</v>
      </c>
      <c r="F158" s="48" t="n">
        <v>0.00068</v>
      </c>
      <c r="G158" s="48" t="n">
        <v>0.00068</v>
      </c>
      <c r="H158" s="48" t="n">
        <v>0.00034</v>
      </c>
      <c r="I158" s="48" t="n">
        <v>0.00034</v>
      </c>
      <c r="J158" s="48" t="n">
        <v>0.017389941</v>
      </c>
      <c r="K158" s="48" t="n">
        <v>0.030428798</v>
      </c>
      <c r="L158" s="48" t="n">
        <v>0.012197744</v>
      </c>
      <c r="M158" s="48" t="n">
        <v>0.024048489</v>
      </c>
      <c r="N158" s="48" t="n">
        <v>0.004441868</v>
      </c>
      <c r="O158" s="48" t="n">
        <v>0.004441868</v>
      </c>
      <c r="P158" s="48" t="n">
        <v>0.004441868</v>
      </c>
      <c r="Q158" s="48" t="n">
        <v>0.004441868</v>
      </c>
      <c r="R158" s="48" t="n">
        <v>0.00021</v>
      </c>
      <c r="S158" s="48" t="n">
        <v>0.00021</v>
      </c>
      <c r="T158" s="48" t="n">
        <v>0.00021</v>
      </c>
      <c r="U158" s="48" t="n">
        <v>0.00021</v>
      </c>
      <c r="V158" s="48" t="n">
        <v>0.3765</v>
      </c>
      <c r="W158" s="48" t="n">
        <v>0.3765</v>
      </c>
      <c r="X158" s="48" t="n">
        <v>0.3189</v>
      </c>
      <c r="Y158" s="48" t="n">
        <v>0.3189</v>
      </c>
      <c r="Z158" s="78" t="n">
        <v>0.165</v>
      </c>
      <c r="AA158" s="39" t="n">
        <v>990</v>
      </c>
      <c r="AB158" s="56" t="n">
        <v>0.0368</v>
      </c>
    </row>
    <row r="159">
      <c r="A159" s="77" t="n">
        <v>66</v>
      </c>
      <c r="B159" s="48" t="n">
        <v>0.0041222</v>
      </c>
      <c r="C159" s="48" t="n">
        <v>0.0071911</v>
      </c>
      <c r="D159" s="48" t="n">
        <v>0.0028715</v>
      </c>
      <c r="E159" s="48" t="n">
        <v>0.0056764</v>
      </c>
      <c r="F159" s="48" t="n">
        <v>0.00069</v>
      </c>
      <c r="G159" s="48" t="n">
        <v>0.00069</v>
      </c>
      <c r="H159" s="48" t="n">
        <v>0.00036</v>
      </c>
      <c r="I159" s="48" t="n">
        <v>0.00036</v>
      </c>
      <c r="J159" s="48" t="n">
        <v>0.019531102</v>
      </c>
      <c r="K159" s="48" t="n">
        <v>0.034071491</v>
      </c>
      <c r="L159" s="48" t="n">
        <v>0.01360493</v>
      </c>
      <c r="M159" s="48" t="n">
        <v>0.026894842</v>
      </c>
      <c r="N159" s="48" t="n">
        <v>0.004918574</v>
      </c>
      <c r="O159" s="48" t="n">
        <v>0.004918574</v>
      </c>
      <c r="P159" s="48" t="n">
        <v>0.004918574</v>
      </c>
      <c r="Q159" s="48" t="n">
        <v>0.004918574</v>
      </c>
      <c r="R159" s="48" t="n">
        <v>0.00021</v>
      </c>
      <c r="S159" s="48" t="n">
        <v>0.00021</v>
      </c>
      <c r="T159" s="48" t="n">
        <v>0.00021</v>
      </c>
      <c r="U159" s="48" t="n">
        <v>0.00021</v>
      </c>
      <c r="V159" s="48" t="n">
        <v>0.3765</v>
      </c>
      <c r="W159" s="48" t="n">
        <v>0.3765</v>
      </c>
      <c r="X159" s="48" t="n">
        <v>0.3189</v>
      </c>
      <c r="Y159" s="48" t="n">
        <v>0.3189</v>
      </c>
      <c r="Z159" s="78" t="n">
        <v>0.125</v>
      </c>
      <c r="AA159" s="39" t="n">
        <v>750</v>
      </c>
      <c r="AB159" s="56" t="n">
        <v>0.0368</v>
      </c>
    </row>
    <row r="160">
      <c r="A160" s="77" t="n">
        <v>67</v>
      </c>
      <c r="B160" s="48" t="n">
        <v>0.0046278</v>
      </c>
      <c r="C160" s="48" t="n">
        <v>0.008041299999999999</v>
      </c>
      <c r="D160" s="48" t="n">
        <v>0.0032036</v>
      </c>
      <c r="E160" s="48" t="n">
        <v>0.0063413</v>
      </c>
      <c r="F160" s="48" t="n">
        <v>0.0007</v>
      </c>
      <c r="G160" s="48" t="n">
        <v>0.0007</v>
      </c>
      <c r="H160" s="48" t="n">
        <v>0.00038</v>
      </c>
      <c r="I160" s="48" t="n">
        <v>0.00038</v>
      </c>
      <c r="J160" s="48" t="n">
        <v>0.021926516</v>
      </c>
      <c r="K160" s="48" t="n">
        <v>0.038099561</v>
      </c>
      <c r="L160" s="48" t="n">
        <v>0.01517842</v>
      </c>
      <c r="M160" s="48" t="n">
        <v>0.03004502</v>
      </c>
      <c r="N160" s="48" t="n">
        <v>0.00544121</v>
      </c>
      <c r="O160" s="48" t="n">
        <v>0.00544121</v>
      </c>
      <c r="P160" s="48" t="n">
        <v>0.00544121</v>
      </c>
      <c r="Q160" s="48" t="n">
        <v>0.00544121</v>
      </c>
      <c r="R160" s="48" t="n">
        <v>0.00021</v>
      </c>
      <c r="S160" s="48" t="n">
        <v>0.00021</v>
      </c>
      <c r="T160" s="48" t="n">
        <v>0.00021</v>
      </c>
      <c r="U160" s="48" t="n">
        <v>0.00021</v>
      </c>
      <c r="V160" s="48" t="n">
        <v>0.3765</v>
      </c>
      <c r="W160" s="48" t="n">
        <v>0.3765</v>
      </c>
      <c r="X160" s="48" t="n">
        <v>0.3189</v>
      </c>
      <c r="Y160" s="48" t="n">
        <v>0.3189</v>
      </c>
      <c r="Z160" s="78" t="n">
        <v>0.125</v>
      </c>
      <c r="AA160" s="39" t="n">
        <v>750</v>
      </c>
      <c r="AB160" s="56" t="n">
        <v>0.0368</v>
      </c>
    </row>
    <row r="161">
      <c r="A161" s="77" t="n">
        <v>68</v>
      </c>
      <c r="B161" s="48" t="n">
        <v>0.0051924</v>
      </c>
      <c r="C161" s="48" t="n">
        <v>0.008979900000000001</v>
      </c>
      <c r="D161" s="48" t="n">
        <v>0.0035745</v>
      </c>
      <c r="E161" s="48" t="n">
        <v>0.0070764</v>
      </c>
      <c r="F161" s="48" t="n">
        <v>0.00071</v>
      </c>
      <c r="G161" s="48" t="n">
        <v>0.00071</v>
      </c>
      <c r="H161" s="48" t="n">
        <v>0.00041</v>
      </c>
      <c r="I161" s="48" t="n">
        <v>0.00041</v>
      </c>
      <c r="J161" s="48" t="n">
        <v>0.024601769</v>
      </c>
      <c r="K161" s="48" t="n">
        <v>0.042546589</v>
      </c>
      <c r="L161" s="48" t="n">
        <v>0.016935803</v>
      </c>
      <c r="M161" s="48" t="n">
        <v>0.033527806</v>
      </c>
      <c r="N161" s="48" t="n">
        <v>0.006013761</v>
      </c>
      <c r="O161" s="48" t="n">
        <v>0.006013761</v>
      </c>
      <c r="P161" s="48" t="n">
        <v>0.006013761</v>
      </c>
      <c r="Q161" s="48" t="n">
        <v>0.006013761</v>
      </c>
      <c r="R161" s="48" t="n">
        <v>0.00021</v>
      </c>
      <c r="S161" s="48" t="n">
        <v>0.00021</v>
      </c>
      <c r="T161" s="48" t="n">
        <v>0.00021</v>
      </c>
      <c r="U161" s="48" t="n">
        <v>0.00021</v>
      </c>
      <c r="V161" s="48" t="n">
        <v>0.3765</v>
      </c>
      <c r="W161" s="48" t="n">
        <v>0.3765</v>
      </c>
      <c r="X161" s="48" t="n">
        <v>0.3189</v>
      </c>
      <c r="Y161" s="48" t="n">
        <v>0.3189</v>
      </c>
      <c r="Z161" s="78" t="n">
        <v>0.125</v>
      </c>
      <c r="AA161" s="39" t="n">
        <v>750</v>
      </c>
      <c r="AB161" s="56" t="n">
        <v>0.0368</v>
      </c>
    </row>
    <row r="162">
      <c r="A162" s="77" t="n">
        <v>69</v>
      </c>
      <c r="B162" s="48" t="n">
        <v>0.0058226</v>
      </c>
      <c r="C162" s="48" t="n">
        <v>0.0100136</v>
      </c>
      <c r="D162" s="48" t="n">
        <v>0.0039886</v>
      </c>
      <c r="E162" s="48" t="n">
        <v>0.007887399999999999</v>
      </c>
      <c r="F162" s="48" t="n">
        <v>0.00073</v>
      </c>
      <c r="G162" s="48" t="n">
        <v>0.00073</v>
      </c>
      <c r="H162" s="48" t="n">
        <v>0.00044</v>
      </c>
      <c r="I162" s="48" t="n">
        <v>0.00044</v>
      </c>
      <c r="J162" s="48" t="n">
        <v>0.027587242</v>
      </c>
      <c r="K162" s="48" t="n">
        <v>0.047444555</v>
      </c>
      <c r="L162" s="48" t="n">
        <v>0.018897868</v>
      </c>
      <c r="M162" s="48" t="n">
        <v>0.037370383</v>
      </c>
      <c r="N162" s="48" t="n">
        <v>0.006640508</v>
      </c>
      <c r="O162" s="48" t="n">
        <v>0.006640508</v>
      </c>
      <c r="P162" s="48" t="n">
        <v>0.006640508</v>
      </c>
      <c r="Q162" s="48" t="n">
        <v>0.006640508</v>
      </c>
      <c r="R162" s="48" t="n">
        <v>0.00021</v>
      </c>
      <c r="S162" s="48" t="n">
        <v>0.00021</v>
      </c>
      <c r="T162" s="48" t="n">
        <v>0.00021</v>
      </c>
      <c r="U162" s="48" t="n">
        <v>0.00021</v>
      </c>
      <c r="V162" s="48" t="n">
        <v>0.3765</v>
      </c>
      <c r="W162" s="48" t="n">
        <v>0.3765</v>
      </c>
      <c r="X162" s="48" t="n">
        <v>0.3189</v>
      </c>
      <c r="Y162" s="48" t="n">
        <v>0.3189</v>
      </c>
      <c r="Z162" s="78" t="n">
        <v>0.125</v>
      </c>
      <c r="AA162" s="39" t="n">
        <v>750</v>
      </c>
      <c r="AB162" s="56" t="n">
        <v>0.0368</v>
      </c>
    </row>
    <row r="163">
      <c r="A163" s="77" t="n">
        <v>70</v>
      </c>
      <c r="B163" s="48" t="n">
        <v>0.0065249</v>
      </c>
      <c r="C163" s="48" t="n">
        <v>0.0111497</v>
      </c>
      <c r="D163" s="48" t="n">
        <v>0.004451</v>
      </c>
      <c r="E163" s="48" t="n">
        <v>0.0087814</v>
      </c>
      <c r="F163" s="48" t="n">
        <v>0.00076</v>
      </c>
      <c r="G163" s="48" t="n">
        <v>0.00076</v>
      </c>
      <c r="H163" s="48" t="n">
        <v>0.00048</v>
      </c>
      <c r="I163" s="48" t="n">
        <v>0.00048</v>
      </c>
      <c r="J163" s="48" t="n">
        <v>0.030914917</v>
      </c>
      <c r="K163" s="48" t="n">
        <v>0.052827042</v>
      </c>
      <c r="L163" s="48" t="n">
        <v>0.021088601</v>
      </c>
      <c r="M163" s="48" t="n">
        <v>0.041606332</v>
      </c>
      <c r="N163" s="48" t="n">
        <v>0.007326046</v>
      </c>
      <c r="O163" s="48" t="n">
        <v>0.007326046</v>
      </c>
      <c r="P163" s="48" t="n">
        <v>0.007326046</v>
      </c>
      <c r="Q163" s="48" t="n">
        <v>0.007326046</v>
      </c>
      <c r="R163" s="48" t="n">
        <v>0.00021</v>
      </c>
      <c r="S163" s="48" t="n">
        <v>0.00021</v>
      </c>
      <c r="T163" s="48" t="n">
        <v>0.00021</v>
      </c>
      <c r="U163" s="48" t="n">
        <v>0.00021</v>
      </c>
      <c r="V163" s="48" t="n">
        <v>0.3765</v>
      </c>
      <c r="W163" s="48" t="n">
        <v>0.3765</v>
      </c>
      <c r="X163" s="48" t="n">
        <v>0.3189</v>
      </c>
      <c r="Y163" s="48" t="n">
        <v>0.3189</v>
      </c>
      <c r="Z163" s="78" t="n">
        <v>0.125</v>
      </c>
      <c r="AA163" s="39" t="n">
        <v>750</v>
      </c>
      <c r="AB163" s="56" t="n">
        <v>0.0338</v>
      </c>
    </row>
    <row r="164">
      <c r="A164" s="77" t="n">
        <v>71</v>
      </c>
      <c r="B164" s="48" t="n">
        <v>0.0073065</v>
      </c>
      <c r="C164" s="48" t="n">
        <v>0.0123957</v>
      </c>
      <c r="D164" s="48" t="n">
        <v>0.0049677</v>
      </c>
      <c r="E164" s="48" t="n">
        <v>0.0097646</v>
      </c>
      <c r="F164" s="48" t="n">
        <v>0.0008</v>
      </c>
      <c r="G164" s="48" t="n">
        <v>0.0008</v>
      </c>
      <c r="H164" s="48" t="n">
        <v>0.00053</v>
      </c>
      <c r="I164" s="48" t="n">
        <v>0.00053</v>
      </c>
      <c r="J164" s="48" t="n">
        <v>0.034618375</v>
      </c>
      <c r="K164" s="48" t="n">
        <v>0.058730827</v>
      </c>
      <c r="L164" s="48" t="n">
        <v>0.023536785</v>
      </c>
      <c r="M164" s="48" t="n">
        <v>0.046264438</v>
      </c>
      <c r="N164" s="48" t="n">
        <v>0.008075293000000001</v>
      </c>
      <c r="O164" s="48" t="n">
        <v>0.008075293000000001</v>
      </c>
      <c r="P164" s="48" t="n">
        <v>0.008075293000000001</v>
      </c>
      <c r="Q164" s="48" t="n">
        <v>0.008075293000000001</v>
      </c>
      <c r="R164" s="48" t="n">
        <v>0.00021</v>
      </c>
      <c r="S164" s="48" t="n">
        <v>0.00021</v>
      </c>
      <c r="T164" s="48" t="n">
        <v>0.00021</v>
      </c>
      <c r="U164" s="48" t="n">
        <v>0.00021</v>
      </c>
      <c r="V164" s="48" t="n">
        <v>0.3765</v>
      </c>
      <c r="W164" s="48" t="n">
        <v>0.3765</v>
      </c>
      <c r="X164" s="48" t="n">
        <v>0.3189</v>
      </c>
      <c r="Y164" s="48" t="n">
        <v>0.3189</v>
      </c>
      <c r="Z164" s="78" t="n">
        <v>0.125</v>
      </c>
      <c r="AA164" s="39" t="n">
        <v>750</v>
      </c>
      <c r="AB164" s="56" t="n">
        <v>0.0338</v>
      </c>
    </row>
    <row r="165">
      <c r="A165" s="77" t="n">
        <v>72</v>
      </c>
      <c r="B165" s="48" t="n">
        <v>0.0081756</v>
      </c>
      <c r="C165" s="48" t="n">
        <v>0.0137592</v>
      </c>
      <c r="D165" s="48" t="n">
        <v>0.0055441</v>
      </c>
      <c r="E165" s="48" t="n">
        <v>0.0108449</v>
      </c>
      <c r="F165" s="48" t="n">
        <v>0.00084</v>
      </c>
      <c r="G165" s="48" t="n">
        <v>0.00084</v>
      </c>
      <c r="H165" s="48" t="n">
        <v>0.00058</v>
      </c>
      <c r="I165" s="48" t="n">
        <v>0.00058</v>
      </c>
      <c r="J165" s="48" t="n">
        <v>0.038735993</v>
      </c>
      <c r="K165" s="48" t="n">
        <v>0.06519108999999999</v>
      </c>
      <c r="L165" s="48" t="n">
        <v>0.026268005</v>
      </c>
      <c r="M165" s="48" t="n">
        <v>0.051383077</v>
      </c>
      <c r="N165" s="48" t="n">
        <v>0.008893501</v>
      </c>
      <c r="O165" s="48" t="n">
        <v>0.008893501</v>
      </c>
      <c r="P165" s="48" t="n">
        <v>0.008893501</v>
      </c>
      <c r="Q165" s="48" t="n">
        <v>0.008893501</v>
      </c>
      <c r="R165" s="48" t="n">
        <v>0.00021</v>
      </c>
      <c r="S165" s="48" t="n">
        <v>0.00021</v>
      </c>
      <c r="T165" s="48" t="n">
        <v>0.00021</v>
      </c>
      <c r="U165" s="48" t="n">
        <v>0.00021</v>
      </c>
      <c r="V165" s="48" t="n">
        <v>0.3765</v>
      </c>
      <c r="W165" s="48" t="n">
        <v>0.3765</v>
      </c>
      <c r="X165" s="48" t="n">
        <v>0.3189</v>
      </c>
      <c r="Y165" s="48" t="n">
        <v>0.3189</v>
      </c>
      <c r="Z165" s="78" t="n">
        <v>0.125</v>
      </c>
      <c r="AA165" s="39" t="n">
        <v>750</v>
      </c>
      <c r="AB165" s="56" t="n">
        <v>0.0338</v>
      </c>
    </row>
    <row r="166">
      <c r="A166" s="77" t="n">
        <v>73</v>
      </c>
      <c r="B166" s="48" t="n">
        <v>0.0091409</v>
      </c>
      <c r="C166" s="48" t="n">
        <v>0.0152479</v>
      </c>
      <c r="D166" s="48" t="n">
        <v>0.0061874</v>
      </c>
      <c r="E166" s="48" t="n">
        <v>0.0120295</v>
      </c>
      <c r="F166" s="48" t="n">
        <v>0.0008899999999999999</v>
      </c>
      <c r="G166" s="48" t="n">
        <v>0.0008899999999999999</v>
      </c>
      <c r="H166" s="48" t="n">
        <v>0.0006400000000000001</v>
      </c>
      <c r="I166" s="48" t="n">
        <v>0.0006400000000000001</v>
      </c>
      <c r="J166" s="48" t="n">
        <v>0.043309347</v>
      </c>
      <c r="K166" s="48" t="n">
        <v>0.072244609</v>
      </c>
      <c r="L166" s="48" t="n">
        <v>0.029315842</v>
      </c>
      <c r="M166" s="48" t="n">
        <v>0.05699583</v>
      </c>
      <c r="N166" s="48" t="n">
        <v>0.009786262</v>
      </c>
      <c r="O166" s="48" t="n">
        <v>0.009786262</v>
      </c>
      <c r="P166" s="48" t="n">
        <v>0.009786262</v>
      </c>
      <c r="Q166" s="48" t="n">
        <v>0.009786262</v>
      </c>
      <c r="R166" s="48" t="n">
        <v>0.00021</v>
      </c>
      <c r="S166" s="48" t="n">
        <v>0.00021</v>
      </c>
      <c r="T166" s="48" t="n">
        <v>0.00021</v>
      </c>
      <c r="U166" s="48" t="n">
        <v>0.00021</v>
      </c>
      <c r="V166" s="48" t="n">
        <v>0.3765</v>
      </c>
      <c r="W166" s="48" t="n">
        <v>0.3765</v>
      </c>
      <c r="X166" s="48" t="n">
        <v>0.3189</v>
      </c>
      <c r="Y166" s="48" t="n">
        <v>0.3189</v>
      </c>
      <c r="Z166" s="78" t="n">
        <v>0.125</v>
      </c>
      <c r="AA166" s="39" t="n">
        <v>750</v>
      </c>
      <c r="AB166" s="56" t="n">
        <v>0.0338</v>
      </c>
    </row>
    <row r="167">
      <c r="A167" s="77" t="n">
        <v>74</v>
      </c>
      <c r="B167" s="48" t="n">
        <v>0.0102111</v>
      </c>
      <c r="C167" s="48" t="n">
        <v>0.0168693</v>
      </c>
      <c r="D167" s="48" t="n">
        <v>0.0069053</v>
      </c>
      <c r="E167" s="48" t="n">
        <v>0.0133265</v>
      </c>
      <c r="F167" s="48" t="n">
        <v>0.00094</v>
      </c>
      <c r="G167" s="48" t="n">
        <v>0.00094</v>
      </c>
      <c r="H167" s="48" t="n">
        <v>0.0007</v>
      </c>
      <c r="I167" s="48" t="n">
        <v>0.0007</v>
      </c>
      <c r="J167" s="48" t="n">
        <v>0.048380014</v>
      </c>
      <c r="K167" s="48" t="n">
        <v>0.079926566</v>
      </c>
      <c r="L167" s="48" t="n">
        <v>0.032717075</v>
      </c>
      <c r="M167" s="48" t="n">
        <v>0.063141075</v>
      </c>
      <c r="N167" s="48" t="n">
        <v>0.010759516</v>
      </c>
      <c r="O167" s="48" t="n">
        <v>0.010759516</v>
      </c>
      <c r="P167" s="48" t="n">
        <v>0.010759516</v>
      </c>
      <c r="Q167" s="48" t="n">
        <v>0.010759516</v>
      </c>
      <c r="R167" s="48" t="n">
        <v>0.00021</v>
      </c>
      <c r="S167" s="48" t="n">
        <v>0.00021</v>
      </c>
      <c r="T167" s="48" t="n">
        <v>0.00021</v>
      </c>
      <c r="U167" s="48" t="n">
        <v>0.00021</v>
      </c>
      <c r="V167" s="48" t="n">
        <v>0.3765</v>
      </c>
      <c r="W167" s="48" t="n">
        <v>0.3765</v>
      </c>
      <c r="X167" s="48" t="n">
        <v>0.3189</v>
      </c>
      <c r="Y167" s="48" t="n">
        <v>0.3189</v>
      </c>
      <c r="Z167" s="78" t="n">
        <v>0.125</v>
      </c>
      <c r="AA167" s="39" t="n">
        <v>750</v>
      </c>
      <c r="AB167" s="56" t="n">
        <v>0.0338</v>
      </c>
    </row>
    <row r="168">
      <c r="A168" s="77" t="n">
        <v>75</v>
      </c>
      <c r="B168" s="48" t="n">
        <v>0.0113964</v>
      </c>
      <c r="C168" s="48" t="n">
        <v>0.0186317</v>
      </c>
      <c r="D168" s="48" t="n">
        <v>0.0077061</v>
      </c>
      <c r="E168" s="48" t="n">
        <v>0.014744</v>
      </c>
      <c r="F168" s="48" t="n">
        <v>0.00099</v>
      </c>
      <c r="G168" s="48" t="n">
        <v>0.00099</v>
      </c>
      <c r="H168" s="48" t="n">
        <v>0.00076</v>
      </c>
      <c r="I168" s="48" t="n">
        <v>0.00076</v>
      </c>
      <c r="J168" s="48" t="n">
        <v>0.053995966</v>
      </c>
      <c r="K168" s="48" t="n">
        <v>0.088276935</v>
      </c>
      <c r="L168" s="48" t="n">
        <v>0.036511679</v>
      </c>
      <c r="M168" s="48" t="n">
        <v>0.06985719</v>
      </c>
      <c r="N168" s="48" t="n">
        <v>0.011819547</v>
      </c>
      <c r="O168" s="48" t="n">
        <v>0.011819547</v>
      </c>
      <c r="P168" s="48" t="n">
        <v>0.011819547</v>
      </c>
      <c r="Q168" s="48" t="n">
        <v>0.011819547</v>
      </c>
      <c r="R168" s="48" t="n">
        <v>0.00021</v>
      </c>
      <c r="S168" s="48" t="n">
        <v>0.00021</v>
      </c>
      <c r="T168" s="48" t="n">
        <v>0.00021</v>
      </c>
      <c r="U168" s="48" t="n">
        <v>0.00021</v>
      </c>
      <c r="V168" s="48" t="n">
        <v>0.3765</v>
      </c>
      <c r="W168" s="48" t="n">
        <v>0.3765</v>
      </c>
      <c r="X168" s="48" t="n">
        <v>0.3189</v>
      </c>
      <c r="Y168" s="48" t="n">
        <v>0.3189</v>
      </c>
      <c r="Z168" s="78" t="n">
        <v>0.125</v>
      </c>
      <c r="AA168" s="39" t="n">
        <v>750</v>
      </c>
      <c r="AB168" s="56" t="n">
        <v>0.0338</v>
      </c>
    </row>
    <row r="169">
      <c r="A169" s="77" t="n">
        <v>76</v>
      </c>
      <c r="B169" s="48" t="n">
        <v>0.0127076</v>
      </c>
      <c r="C169" s="48" t="n">
        <v>0.0205419</v>
      </c>
      <c r="D169" s="48" t="n">
        <v>0.0085995</v>
      </c>
      <c r="E169" s="48" t="n">
        <v>0.0162911</v>
      </c>
      <c r="F169" s="48" t="n">
        <v>0.00104</v>
      </c>
      <c r="G169" s="48" t="n">
        <v>0.00104</v>
      </c>
      <c r="H169" s="48" t="n">
        <v>0.00083</v>
      </c>
      <c r="I169" s="48" t="n">
        <v>0.00083</v>
      </c>
      <c r="J169" s="48" t="n">
        <v>0.060208372</v>
      </c>
      <c r="K169" s="48" t="n">
        <v>0.0973277</v>
      </c>
      <c r="L169" s="48" t="n">
        <v>0.040744431</v>
      </c>
      <c r="M169" s="48" t="n">
        <v>0.07718735</v>
      </c>
      <c r="N169" s="48" t="n">
        <v>0.012972979</v>
      </c>
      <c r="O169" s="48" t="n">
        <v>0.012972979</v>
      </c>
      <c r="P169" s="48" t="n">
        <v>0.012972979</v>
      </c>
      <c r="Q169" s="48" t="n">
        <v>0.012972979</v>
      </c>
      <c r="R169" s="48" t="n">
        <v>0.00021</v>
      </c>
      <c r="S169" s="48" t="n">
        <v>0.00021</v>
      </c>
      <c r="T169" s="48" t="n">
        <v>0.00021</v>
      </c>
      <c r="U169" s="48" t="n">
        <v>0.00021</v>
      </c>
      <c r="V169" s="48" t="n">
        <v>0.3765</v>
      </c>
      <c r="W169" s="48" t="n">
        <v>0.3765</v>
      </c>
      <c r="X169" s="48" t="n">
        <v>0.3189</v>
      </c>
      <c r="Y169" s="48" t="n">
        <v>0.3189</v>
      </c>
      <c r="Z169" s="78" t="n">
        <v>0.125</v>
      </c>
      <c r="AA169" s="39" t="n">
        <v>750</v>
      </c>
      <c r="AB169" s="56" t="n">
        <v>0.0338</v>
      </c>
    </row>
    <row r="170">
      <c r="A170" s="77" t="n">
        <v>77</v>
      </c>
      <c r="B170" s="48" t="n">
        <v>0.0141554</v>
      </c>
      <c r="C170" s="48" t="n">
        <v>0.0226085</v>
      </c>
      <c r="D170" s="48" t="n">
        <v>0.0095955</v>
      </c>
      <c r="E170" s="48" t="n">
        <v>0.0179759</v>
      </c>
      <c r="F170" s="48" t="n">
        <v>0.0011</v>
      </c>
      <c r="G170" s="48" t="n">
        <v>0.0011</v>
      </c>
      <c r="H170" s="48" t="n">
        <v>0.0009</v>
      </c>
      <c r="I170" s="48" t="n">
        <v>0.0009</v>
      </c>
      <c r="J170" s="48" t="n">
        <v>0.067068404</v>
      </c>
      <c r="K170" s="48" t="n">
        <v>0.107118836</v>
      </c>
      <c r="L170" s="48" t="n">
        <v>0.045463301</v>
      </c>
      <c r="M170" s="48" t="n">
        <v>0.085169933</v>
      </c>
      <c r="N170" s="48" t="n">
        <v>0.014226767</v>
      </c>
      <c r="O170" s="48" t="n">
        <v>0.014226767</v>
      </c>
      <c r="P170" s="48" t="n">
        <v>0.014226767</v>
      </c>
      <c r="Q170" s="48" t="n">
        <v>0.014226767</v>
      </c>
      <c r="R170" s="48" t="n">
        <v>0.00021</v>
      </c>
      <c r="S170" s="48" t="n">
        <v>0.00021</v>
      </c>
      <c r="T170" s="48" t="n">
        <v>0.00021</v>
      </c>
      <c r="U170" s="48" t="n">
        <v>0.00021</v>
      </c>
      <c r="V170" s="48" t="n">
        <v>0.3765</v>
      </c>
      <c r="W170" s="48" t="n">
        <v>0.3765</v>
      </c>
      <c r="X170" s="48" t="n">
        <v>0.3189</v>
      </c>
      <c r="Y170" s="48" t="n">
        <v>0.3189</v>
      </c>
      <c r="Z170" s="78" t="n">
        <v>0.125</v>
      </c>
      <c r="AA170" s="39" t="n">
        <v>750</v>
      </c>
      <c r="AB170" s="56" t="n">
        <v>0.0338</v>
      </c>
    </row>
    <row r="171">
      <c r="A171" s="77" t="n">
        <v>78</v>
      </c>
      <c r="B171" s="48" t="n">
        <v>0.0157518</v>
      </c>
      <c r="C171" s="48" t="n">
        <v>0.0248376</v>
      </c>
      <c r="D171" s="48" t="n">
        <v>0.0107055</v>
      </c>
      <c r="E171" s="48" t="n">
        <v>0.0198082</v>
      </c>
      <c r="F171" s="48" t="n">
        <v>0.00117</v>
      </c>
      <c r="G171" s="48" t="n">
        <v>0.00117</v>
      </c>
      <c r="H171" s="48" t="n">
        <v>0.0009700000000000001</v>
      </c>
      <c r="I171" s="48" t="n">
        <v>0.0009700000000000001</v>
      </c>
      <c r="J171" s="48" t="n">
        <v>0.074632028</v>
      </c>
      <c r="K171" s="48" t="n">
        <v>0.117680726</v>
      </c>
      <c r="L171" s="48" t="n">
        <v>0.050722659</v>
      </c>
      <c r="M171" s="48" t="n">
        <v>0.09385131100000001</v>
      </c>
      <c r="N171" s="48" t="n">
        <v>0.015588175</v>
      </c>
      <c r="O171" s="48" t="n">
        <v>0.015588175</v>
      </c>
      <c r="P171" s="48" t="n">
        <v>0.015588175</v>
      </c>
      <c r="Q171" s="48" t="n">
        <v>0.015588175</v>
      </c>
      <c r="R171" s="48" t="n">
        <v>0.00021</v>
      </c>
      <c r="S171" s="48" t="n">
        <v>0.00021</v>
      </c>
      <c r="T171" s="48" t="n">
        <v>0.00021</v>
      </c>
      <c r="U171" s="48" t="n">
        <v>0.00021</v>
      </c>
      <c r="V171" s="48" t="n">
        <v>0.3765</v>
      </c>
      <c r="W171" s="48" t="n">
        <v>0.3765</v>
      </c>
      <c r="X171" s="48" t="n">
        <v>0.3189</v>
      </c>
      <c r="Y171" s="48" t="n">
        <v>0.3189</v>
      </c>
      <c r="Z171" s="78" t="n">
        <v>0.125</v>
      </c>
      <c r="AA171" s="39" t="n">
        <v>750</v>
      </c>
      <c r="AB171" s="56" t="n">
        <v>0.0338</v>
      </c>
    </row>
    <row r="172">
      <c r="A172" s="77" t="n">
        <v>79</v>
      </c>
      <c r="B172" s="48" t="n">
        <v>0.0175102</v>
      </c>
      <c r="C172" s="48" t="n">
        <v>0.0272373</v>
      </c>
      <c r="D172" s="48" t="n">
        <v>0.0119424</v>
      </c>
      <c r="E172" s="48" t="n">
        <v>0.0217968</v>
      </c>
      <c r="F172" s="48" t="n">
        <v>0.00125</v>
      </c>
      <c r="G172" s="48" t="n">
        <v>0.00125</v>
      </c>
      <c r="H172" s="48" t="n">
        <v>0.00105</v>
      </c>
      <c r="I172" s="48" t="n">
        <v>0.00105</v>
      </c>
      <c r="J172" s="48" t="n">
        <v>0.082963209</v>
      </c>
      <c r="K172" s="48" t="n">
        <v>0.12905015</v>
      </c>
      <c r="L172" s="48" t="n">
        <v>0.056583269</v>
      </c>
      <c r="M172" s="48" t="n">
        <v>0.103273061</v>
      </c>
      <c r="N172" s="48" t="n">
        <v>0.017064754</v>
      </c>
      <c r="O172" s="48" t="n">
        <v>0.017064754</v>
      </c>
      <c r="P172" s="48" t="n">
        <v>0.017064754</v>
      </c>
      <c r="Q172" s="48" t="n">
        <v>0.017064754</v>
      </c>
      <c r="R172" s="48" t="n">
        <v>0.00021</v>
      </c>
      <c r="S172" s="48" t="n">
        <v>0.00021</v>
      </c>
      <c r="T172" s="48" t="n">
        <v>0.00021</v>
      </c>
      <c r="U172" s="48" t="n">
        <v>0.00021</v>
      </c>
      <c r="V172" s="48" t="n">
        <v>0.3765</v>
      </c>
      <c r="W172" s="48" t="n">
        <v>0.3765</v>
      </c>
      <c r="X172" s="48" t="n">
        <v>0.3189</v>
      </c>
      <c r="Y172" s="48" t="n">
        <v>0.3189</v>
      </c>
      <c r="Z172" s="78" t="n">
        <v>0.125</v>
      </c>
      <c r="AA172" s="39" t="n">
        <v>750</v>
      </c>
      <c r="AB172" s="56" t="n">
        <v>0.0338</v>
      </c>
    </row>
    <row r="173">
      <c r="A173" s="77" t="n">
        <v>80</v>
      </c>
      <c r="B173" s="48" t="n">
        <v>0.0194434</v>
      </c>
      <c r="C173" s="48" t="n">
        <v>0.0298127</v>
      </c>
      <c r="D173" s="48" t="n">
        <v>0.0133198</v>
      </c>
      <c r="E173" s="48" t="n">
        <v>0.0239507</v>
      </c>
      <c r="F173" s="48" t="n">
        <v>0.00134</v>
      </c>
      <c r="G173" s="48" t="n">
        <v>0.00134</v>
      </c>
      <c r="H173" s="48" t="n">
        <v>0.00113</v>
      </c>
      <c r="I173" s="48" t="n">
        <v>0.00113</v>
      </c>
      <c r="J173" s="48" t="n">
        <v>0.092122711</v>
      </c>
      <c r="K173" s="48" t="n">
        <v>0.141252691</v>
      </c>
      <c r="L173" s="48" t="n">
        <v>0.063109094</v>
      </c>
      <c r="M173" s="48" t="n">
        <v>0.113478357</v>
      </c>
      <c r="N173" s="48" t="n">
        <v>0.018664303</v>
      </c>
      <c r="O173" s="48" t="n">
        <v>0.018664303</v>
      </c>
      <c r="P173" s="48" t="n">
        <v>0.018664303</v>
      </c>
      <c r="Q173" s="48" t="n">
        <v>0.018664303</v>
      </c>
      <c r="R173" s="48" t="n">
        <v>0.00021</v>
      </c>
      <c r="S173" s="48" t="n">
        <v>0.00021</v>
      </c>
      <c r="T173" s="48" t="n">
        <v>0.00021</v>
      </c>
      <c r="U173" s="48" t="n">
        <v>0.00021</v>
      </c>
      <c r="V173" s="48" t="n">
        <v>0.3765</v>
      </c>
      <c r="W173" s="48" t="n">
        <v>0.3765</v>
      </c>
      <c r="X173" s="48" t="n">
        <v>0.3189</v>
      </c>
      <c r="Y173" s="48" t="n">
        <v>0.3189</v>
      </c>
      <c r="Z173" s="78" t="n">
        <v>0.125</v>
      </c>
      <c r="AA173" s="39" t="n">
        <v>750</v>
      </c>
      <c r="AB173" s="56" t="n">
        <v>0.0338</v>
      </c>
    </row>
    <row r="174">
      <c r="A174" s="77" t="n">
        <v>81</v>
      </c>
      <c r="B174" s="48" t="n">
        <v>0.0215652</v>
      </c>
      <c r="C174" s="48" t="n">
        <v>0.0325708</v>
      </c>
      <c r="D174" s="48" t="n">
        <v>0.014853</v>
      </c>
      <c r="E174" s="48" t="n">
        <v>0.0262801</v>
      </c>
      <c r="F174" s="48" t="n">
        <v>0.00146</v>
      </c>
      <c r="G174" s="48" t="n">
        <v>0.00146</v>
      </c>
      <c r="H174" s="48" t="n">
        <v>0.00122</v>
      </c>
      <c r="I174" s="48" t="n">
        <v>0.00122</v>
      </c>
      <c r="J174" s="48" t="n">
        <v>0.102176095</v>
      </c>
      <c r="K174" s="48" t="n">
        <v>0.154320332</v>
      </c>
      <c r="L174" s="48" t="n">
        <v>0.070373692</v>
      </c>
      <c r="M174" s="48" t="n">
        <v>0.124515173</v>
      </c>
      <c r="N174" s="48" t="n">
        <v>0.020394821</v>
      </c>
      <c r="O174" s="48" t="n">
        <v>0.020394821</v>
      </c>
      <c r="P174" s="48" t="n">
        <v>0.020394821</v>
      </c>
      <c r="Q174" s="48" t="n">
        <v>0.020394821</v>
      </c>
      <c r="R174" s="48" t="n">
        <v>0.00021</v>
      </c>
      <c r="S174" s="48" t="n">
        <v>0.00021</v>
      </c>
      <c r="T174" s="48" t="n">
        <v>0.00021</v>
      </c>
      <c r="U174" s="48" t="n">
        <v>0.00021</v>
      </c>
      <c r="V174" s="48" t="n">
        <v>0.3765</v>
      </c>
      <c r="W174" s="48" t="n">
        <v>0.3765</v>
      </c>
      <c r="X174" s="48" t="n">
        <v>0.3189</v>
      </c>
      <c r="Y174" s="48" t="n">
        <v>0.3189</v>
      </c>
      <c r="Z174" s="78" t="n">
        <v>0.125</v>
      </c>
      <c r="AA174" s="39" t="n">
        <v>750</v>
      </c>
      <c r="AB174" s="56" t="n">
        <v>0.0338</v>
      </c>
    </row>
    <row r="175">
      <c r="A175" s="77" t="n">
        <v>82</v>
      </c>
      <c r="B175" s="48" t="n">
        <v>0.0238906</v>
      </c>
      <c r="C175" s="48" t="n">
        <v>0.0355158</v>
      </c>
      <c r="D175" s="48" t="n">
        <v>0.0165591</v>
      </c>
      <c r="E175" s="48" t="n">
        <v>0.0287935</v>
      </c>
      <c r="F175" s="48" t="n">
        <v>0.00162</v>
      </c>
      <c r="G175" s="48" t="n">
        <v>0.00162</v>
      </c>
      <c r="H175" s="48" t="n">
        <v>0.00134</v>
      </c>
      <c r="I175" s="48" t="n">
        <v>0.00134</v>
      </c>
      <c r="J175" s="48" t="n">
        <v>0.113193722</v>
      </c>
      <c r="K175" s="48" t="n">
        <v>0.16827386</v>
      </c>
      <c r="L175" s="48" t="n">
        <v>0.078457016</v>
      </c>
      <c r="M175" s="48" t="n">
        <v>0.136423485</v>
      </c>
      <c r="N175" s="48" t="n">
        <v>0.022264449</v>
      </c>
      <c r="O175" s="48" t="n">
        <v>0.022264449</v>
      </c>
      <c r="P175" s="48" t="n">
        <v>0.022264449</v>
      </c>
      <c r="Q175" s="48" t="n">
        <v>0.022264449</v>
      </c>
      <c r="R175" s="48" t="n">
        <v>0.00021</v>
      </c>
      <c r="S175" s="48" t="n">
        <v>0.00021</v>
      </c>
      <c r="T175" s="48" t="n">
        <v>0.00021</v>
      </c>
      <c r="U175" s="48" t="n">
        <v>0.00021</v>
      </c>
      <c r="V175" s="48" t="n">
        <v>0.3765</v>
      </c>
      <c r="W175" s="48" t="n">
        <v>0.3765</v>
      </c>
      <c r="X175" s="48" t="n">
        <v>0.3189</v>
      </c>
      <c r="Y175" s="48" t="n">
        <v>0.3189</v>
      </c>
      <c r="Z175" s="78" t="n">
        <v>0.125</v>
      </c>
      <c r="AA175" s="39" t="n">
        <v>750</v>
      </c>
      <c r="AB175" s="56" t="n">
        <v>0.0338</v>
      </c>
    </row>
    <row r="176">
      <c r="A176" s="77" t="n">
        <v>83</v>
      </c>
      <c r="B176" s="48" t="n">
        <v>0.0264347</v>
      </c>
      <c r="C176" s="48" t="n">
        <v>0.0386529</v>
      </c>
      <c r="D176" s="48" t="n">
        <v>0.0184559</v>
      </c>
      <c r="E176" s="48" t="n">
        <v>0.0315002</v>
      </c>
      <c r="F176" s="48" t="n">
        <v>0.0018</v>
      </c>
      <c r="G176" s="48" t="n">
        <v>0.0018</v>
      </c>
      <c r="H176" s="48" t="n">
        <v>0.0015</v>
      </c>
      <c r="I176" s="48" t="n">
        <v>0.0015</v>
      </c>
      <c r="J176" s="48" t="n">
        <v>0.125247549</v>
      </c>
      <c r="K176" s="48" t="n">
        <v>0.183137263</v>
      </c>
      <c r="L176" s="48" t="n">
        <v>0.08744381699999999</v>
      </c>
      <c r="M176" s="48" t="n">
        <v>0.149248066</v>
      </c>
      <c r="N176" s="48" t="n">
        <v>0.024281395</v>
      </c>
      <c r="O176" s="48" t="n">
        <v>0.024281395</v>
      </c>
      <c r="P176" s="48" t="n">
        <v>0.024281395</v>
      </c>
      <c r="Q176" s="48" t="n">
        <v>0.024281395</v>
      </c>
      <c r="R176" s="48" t="n">
        <v>0.00021</v>
      </c>
      <c r="S176" s="48" t="n">
        <v>0.00021</v>
      </c>
      <c r="T176" s="48" t="n">
        <v>0.00021</v>
      </c>
      <c r="U176" s="48" t="n">
        <v>0.00021</v>
      </c>
      <c r="V176" s="48" t="n">
        <v>0.3765</v>
      </c>
      <c r="W176" s="48" t="n">
        <v>0.3765</v>
      </c>
      <c r="X176" s="48" t="n">
        <v>0.3189</v>
      </c>
      <c r="Y176" s="48" t="n">
        <v>0.3189</v>
      </c>
      <c r="Z176" s="78" t="n">
        <v>0.125</v>
      </c>
      <c r="AA176" s="39" t="n">
        <v>750</v>
      </c>
      <c r="AB176" s="56" t="n">
        <v>0.0338</v>
      </c>
    </row>
    <row r="177">
      <c r="A177" s="77" t="n">
        <v>84</v>
      </c>
      <c r="B177" s="48" t="n">
        <v>0.0292127</v>
      </c>
      <c r="C177" s="48" t="n">
        <v>0.0419847</v>
      </c>
      <c r="D177" s="48" t="n">
        <v>0.0205632</v>
      </c>
      <c r="E177" s="48" t="n">
        <v>0.0344095</v>
      </c>
      <c r="F177" s="48" t="n">
        <v>0.00202</v>
      </c>
      <c r="G177" s="48" t="n">
        <v>0.00202</v>
      </c>
      <c r="H177" s="48" t="n">
        <v>0.00172</v>
      </c>
      <c r="I177" s="48" t="n">
        <v>0.00172</v>
      </c>
      <c r="J177" s="48" t="n">
        <v>0.138409536</v>
      </c>
      <c r="K177" s="48" t="n">
        <v>0.198923331</v>
      </c>
      <c r="L177" s="48" t="n">
        <v>0.097428442</v>
      </c>
      <c r="M177" s="48" t="n">
        <v>0.163032093</v>
      </c>
      <c r="N177" s="48" t="n">
        <v>0.026453847</v>
      </c>
      <c r="O177" s="48" t="n">
        <v>0.026453847</v>
      </c>
      <c r="P177" s="48" t="n">
        <v>0.026453847</v>
      </c>
      <c r="Q177" s="48" t="n">
        <v>0.026453847</v>
      </c>
      <c r="R177" s="48" t="n">
        <v>0.00021</v>
      </c>
      <c r="S177" s="48" t="n">
        <v>0.00021</v>
      </c>
      <c r="T177" s="48" t="n">
        <v>0.00021</v>
      </c>
      <c r="U177" s="48" t="n">
        <v>0.00021</v>
      </c>
      <c r="V177" s="48" t="n">
        <v>0.3765</v>
      </c>
      <c r="W177" s="48" t="n">
        <v>0.3765</v>
      </c>
      <c r="X177" s="48" t="n">
        <v>0.3189</v>
      </c>
      <c r="Y177" s="48" t="n">
        <v>0.3189</v>
      </c>
      <c r="Z177" s="78" t="n">
        <v>0.125</v>
      </c>
      <c r="AA177" s="39" t="n">
        <v>750</v>
      </c>
      <c r="AB177" s="56" t="n">
        <v>0.0338</v>
      </c>
    </row>
    <row r="178">
      <c r="A178" s="77" t="n">
        <v>85</v>
      </c>
      <c r="B178" s="48" t="n">
        <v>0.032241</v>
      </c>
      <c r="C178" s="48" t="n">
        <v>0.0455139</v>
      </c>
      <c r="D178" s="48" t="n">
        <v>0.0229034</v>
      </c>
      <c r="E178" s="48" t="n">
        <v>0.0375297</v>
      </c>
      <c r="F178" s="48" t="n">
        <v>0.00229</v>
      </c>
      <c r="G178" s="48" t="n">
        <v>0.00229</v>
      </c>
      <c r="H178" s="48" t="n">
        <v>0.00201</v>
      </c>
      <c r="I178" s="48" t="n">
        <v>0.00201</v>
      </c>
      <c r="J178" s="48" t="n">
        <v>0.152758036</v>
      </c>
      <c r="K178" s="48" t="n">
        <v>0.215644858</v>
      </c>
      <c r="L178" s="48" t="n">
        <v>0.108516428</v>
      </c>
      <c r="M178" s="48" t="n">
        <v>0.177815541</v>
      </c>
      <c r="N178" s="48" t="n">
        <v>0.028789868</v>
      </c>
      <c r="O178" s="48" t="n">
        <v>0.028789868</v>
      </c>
      <c r="P178" s="48" t="n">
        <v>0.028789868</v>
      </c>
      <c r="Q178" s="48" t="n">
        <v>0.028789868</v>
      </c>
      <c r="R178" s="48" t="n">
        <v>0.00021</v>
      </c>
      <c r="S178" s="48" t="n">
        <v>0.00021</v>
      </c>
      <c r="T178" s="48" t="n">
        <v>0.00021</v>
      </c>
      <c r="U178" s="48" t="n">
        <v>0.00021</v>
      </c>
      <c r="V178" s="48" t="n">
        <v>0.3765</v>
      </c>
      <c r="W178" s="48" t="n">
        <v>0.3765</v>
      </c>
      <c r="X178" s="48" t="n">
        <v>0.3189</v>
      </c>
      <c r="Y178" s="48" t="n">
        <v>0.3189</v>
      </c>
      <c r="Z178" s="78" t="n">
        <v>0.125</v>
      </c>
      <c r="AA178" s="39" t="n">
        <v>750</v>
      </c>
      <c r="AB178" s="56" t="n">
        <v>0.0338</v>
      </c>
    </row>
    <row r="179">
      <c r="A179" s="77" t="n">
        <v>86</v>
      </c>
      <c r="B179" s="48" t="n">
        <v>0.0355354</v>
      </c>
      <c r="C179" s="48" t="n">
        <v>0.0492419</v>
      </c>
      <c r="D179" s="48" t="n">
        <v>0.0254998</v>
      </c>
      <c r="E179" s="48" t="n">
        <v>0.0408689</v>
      </c>
      <c r="F179" s="48" t="n">
        <v>0.00261</v>
      </c>
      <c r="G179" s="48" t="n">
        <v>0.00261</v>
      </c>
      <c r="H179" s="48" t="n">
        <v>0.00238</v>
      </c>
      <c r="I179" s="48" t="n">
        <v>0.00238</v>
      </c>
      <c r="J179" s="48" t="n">
        <v>0.168366607</v>
      </c>
      <c r="K179" s="48" t="n">
        <v>0.233308241</v>
      </c>
      <c r="L179" s="48" t="n">
        <v>0.120818112</v>
      </c>
      <c r="M179" s="48" t="n">
        <v>0.193636789</v>
      </c>
      <c r="N179" s="48" t="n">
        <v>0.031297274</v>
      </c>
      <c r="O179" s="48" t="n">
        <v>0.031297274</v>
      </c>
      <c r="P179" s="48" t="n">
        <v>0.031297274</v>
      </c>
      <c r="Q179" s="48" t="n">
        <v>0.031297274</v>
      </c>
      <c r="R179" s="48" t="n">
        <v>0.00021</v>
      </c>
      <c r="S179" s="48" t="n">
        <v>0.00021</v>
      </c>
      <c r="T179" s="48" t="n">
        <v>0.00021</v>
      </c>
      <c r="U179" s="48" t="n">
        <v>0.00021</v>
      </c>
      <c r="V179" s="48" t="n">
        <v>0.3765</v>
      </c>
      <c r="W179" s="48" t="n">
        <v>0.3765</v>
      </c>
      <c r="X179" s="48" t="n">
        <v>0.3189</v>
      </c>
      <c r="Y179" s="48" t="n">
        <v>0.3189</v>
      </c>
      <c r="Z179" s="78" t="n">
        <v>0.125</v>
      </c>
      <c r="AA179" s="39" t="n">
        <v>750</v>
      </c>
      <c r="AB179" s="56" t="n">
        <v>0.0338</v>
      </c>
    </row>
    <row r="180">
      <c r="A180" s="77" t="n">
        <v>87</v>
      </c>
      <c r="B180" s="48" t="n">
        <v>0.0391122</v>
      </c>
      <c r="C180" s="48" t="n">
        <v>0.0531684</v>
      </c>
      <c r="D180" s="48" t="n">
        <v>0.0283773</v>
      </c>
      <c r="E180" s="48" t="n">
        <v>0.0444346</v>
      </c>
      <c r="F180" s="48" t="n">
        <v>0.00299</v>
      </c>
      <c r="G180" s="48" t="n">
        <v>0.00299</v>
      </c>
      <c r="H180" s="48" t="n">
        <v>0.0028</v>
      </c>
      <c r="I180" s="48" t="n">
        <v>0.0028</v>
      </c>
      <c r="J180" s="48" t="n">
        <v>0.185313604</v>
      </c>
      <c r="K180" s="48" t="n">
        <v>0.251911879</v>
      </c>
      <c r="L180" s="48" t="n">
        <v>0.134451825</v>
      </c>
      <c r="M180" s="48" t="n">
        <v>0.210531016</v>
      </c>
      <c r="N180" s="48" t="n">
        <v>0.033983499</v>
      </c>
      <c r="O180" s="48" t="n">
        <v>0.033983499</v>
      </c>
      <c r="P180" s="48" t="n">
        <v>0.033983499</v>
      </c>
      <c r="Q180" s="48" t="n">
        <v>0.033983499</v>
      </c>
      <c r="R180" s="48" t="n">
        <v>0.00021</v>
      </c>
      <c r="S180" s="48" t="n">
        <v>0.00021</v>
      </c>
      <c r="T180" s="48" t="n">
        <v>0.00021</v>
      </c>
      <c r="U180" s="48" t="n">
        <v>0.00021</v>
      </c>
      <c r="V180" s="48" t="n">
        <v>0.3765</v>
      </c>
      <c r="W180" s="48" t="n">
        <v>0.3765</v>
      </c>
      <c r="X180" s="48" t="n">
        <v>0.3189</v>
      </c>
      <c r="Y180" s="48" t="n">
        <v>0.3189</v>
      </c>
      <c r="Z180" s="78" t="n">
        <v>0.125</v>
      </c>
      <c r="AA180" s="39" t="n">
        <v>750</v>
      </c>
      <c r="AB180" s="56" t="n">
        <v>0.0338</v>
      </c>
    </row>
    <row r="181">
      <c r="A181" s="77" t="n">
        <v>88</v>
      </c>
      <c r="B181" s="48" t="n">
        <v>0.0429874</v>
      </c>
      <c r="C181" s="48" t="n">
        <v>0.057292</v>
      </c>
      <c r="D181" s="48" t="n">
        <v>0.0315637</v>
      </c>
      <c r="E181" s="48" t="n">
        <v>0.0482335</v>
      </c>
      <c r="F181" s="48" t="n">
        <v>0.00343</v>
      </c>
      <c r="G181" s="48" t="n">
        <v>0.00343</v>
      </c>
      <c r="H181" s="48" t="n">
        <v>0.00327</v>
      </c>
      <c r="I181" s="48" t="n">
        <v>0.00327</v>
      </c>
      <c r="J181" s="48" t="n">
        <v>0.203674183</v>
      </c>
      <c r="K181" s="48" t="n">
        <v>0.271449378</v>
      </c>
      <c r="L181" s="48" t="n">
        <v>0.149548692</v>
      </c>
      <c r="M181" s="48" t="n">
        <v>0.228530205</v>
      </c>
      <c r="N181" s="48" t="n">
        <v>0.036855438</v>
      </c>
      <c r="O181" s="48" t="n">
        <v>0.036855438</v>
      </c>
      <c r="P181" s="48" t="n">
        <v>0.036855438</v>
      </c>
      <c r="Q181" s="48" t="n">
        <v>0.036855438</v>
      </c>
      <c r="R181" s="48" t="n">
        <v>0.00021</v>
      </c>
      <c r="S181" s="48" t="n">
        <v>0.00021</v>
      </c>
      <c r="T181" s="48" t="n">
        <v>0.00021</v>
      </c>
      <c r="U181" s="48" t="n">
        <v>0.00021</v>
      </c>
      <c r="V181" s="48" t="n">
        <v>0.3765</v>
      </c>
      <c r="W181" s="48" t="n">
        <v>0.3765</v>
      </c>
      <c r="X181" s="48" t="n">
        <v>0.3189</v>
      </c>
      <c r="Y181" s="48" t="n">
        <v>0.3189</v>
      </c>
      <c r="Z181" s="78" t="n">
        <v>0.125</v>
      </c>
      <c r="AA181" s="39" t="n">
        <v>750</v>
      </c>
      <c r="AB181" s="56" t="n">
        <v>0.0338</v>
      </c>
    </row>
    <row r="182">
      <c r="A182" s="77" t="n">
        <v>89</v>
      </c>
      <c r="B182" s="48" t="n">
        <v>0.0471764</v>
      </c>
      <c r="C182" s="48" t="n">
        <v>0.06161</v>
      </c>
      <c r="D182" s="48" t="n">
        <v>0.0350875</v>
      </c>
      <c r="E182" s="48" t="n">
        <v>0.052271</v>
      </c>
      <c r="F182" s="48" t="n">
        <v>0.00392</v>
      </c>
      <c r="G182" s="48" t="n">
        <v>0.00392</v>
      </c>
      <c r="H182" s="48" t="n">
        <v>0.00379</v>
      </c>
      <c r="I182" s="48" t="n">
        <v>0.00379</v>
      </c>
      <c r="J182" s="48" t="n">
        <v>0.223521902</v>
      </c>
      <c r="K182" s="48" t="n">
        <v>0.291907943</v>
      </c>
      <c r="L182" s="48" t="n">
        <v>0.166244634</v>
      </c>
      <c r="M182" s="48" t="n">
        <v>0.247659939</v>
      </c>
      <c r="N182" s="48" t="n">
        <v>0.039919285</v>
      </c>
      <c r="O182" s="48" t="n">
        <v>0.039919285</v>
      </c>
      <c r="P182" s="48" t="n">
        <v>0.039919285</v>
      </c>
      <c r="Q182" s="48" t="n">
        <v>0.039919285</v>
      </c>
      <c r="R182" s="48" t="n">
        <v>0.00021</v>
      </c>
      <c r="S182" s="48" t="n">
        <v>0.00021</v>
      </c>
      <c r="T182" s="48" t="n">
        <v>0.00021</v>
      </c>
      <c r="U182" s="48" t="n">
        <v>0.00021</v>
      </c>
      <c r="V182" s="48" t="n">
        <v>0.3765</v>
      </c>
      <c r="W182" s="48" t="n">
        <v>0.3765</v>
      </c>
      <c r="X182" s="48" t="n">
        <v>0.3189</v>
      </c>
      <c r="Y182" s="48" t="n">
        <v>0.3189</v>
      </c>
      <c r="Z182" s="78" t="n">
        <v>0.125</v>
      </c>
      <c r="AA182" s="39" t="n">
        <v>750</v>
      </c>
      <c r="AB182" s="56" t="n">
        <v>0.0338</v>
      </c>
    </row>
    <row r="183">
      <c r="A183" s="77" t="n">
        <v>90</v>
      </c>
      <c r="B183" s="48" t="n">
        <v>0.0516942</v>
      </c>
      <c r="C183" s="48" t="n">
        <v>0.06611789999999999</v>
      </c>
      <c r="D183" s="48" t="n">
        <v>0.0389796</v>
      </c>
      <c r="E183" s="48" t="n">
        <v>0.0565525</v>
      </c>
      <c r="F183" s="48" t="n">
        <v>0.00445</v>
      </c>
      <c r="G183" s="48" t="n">
        <v>0.00445</v>
      </c>
      <c r="H183" s="48" t="n">
        <v>0.00435</v>
      </c>
      <c r="I183" s="48" t="n">
        <v>0.00435</v>
      </c>
      <c r="J183" s="48" t="n">
        <v>0.24492712</v>
      </c>
      <c r="K183" s="48" t="n">
        <v>0.313266788</v>
      </c>
      <c r="L183" s="48" t="n">
        <v>0.184685167</v>
      </c>
      <c r="M183" s="48" t="n">
        <v>0.267945804</v>
      </c>
      <c r="N183" s="48" t="n">
        <v>0.043180344</v>
      </c>
      <c r="O183" s="48" t="n">
        <v>0.043180344</v>
      </c>
      <c r="P183" s="48" t="n">
        <v>0.043180344</v>
      </c>
      <c r="Q183" s="48" t="n">
        <v>0.043180344</v>
      </c>
      <c r="R183" s="48" t="n">
        <v>0.00021</v>
      </c>
      <c r="S183" s="48" t="n">
        <v>0.00021</v>
      </c>
      <c r="T183" s="48" t="n">
        <v>0.00021</v>
      </c>
      <c r="U183" s="48" t="n">
        <v>0.00021</v>
      </c>
      <c r="V183" s="48" t="n">
        <v>0.3765</v>
      </c>
      <c r="W183" s="48" t="n">
        <v>0.3765</v>
      </c>
      <c r="X183" s="48" t="n">
        <v>0.3189</v>
      </c>
      <c r="Y183" s="48" t="n">
        <v>0.3189</v>
      </c>
      <c r="Z183" s="78" t="n">
        <v>0.125</v>
      </c>
      <c r="AA183" s="39" t="n">
        <v>750</v>
      </c>
      <c r="AB183" s="56" t="n">
        <v>0.0338</v>
      </c>
    </row>
    <row r="184">
      <c r="A184" s="77" t="n">
        <v>91</v>
      </c>
      <c r="B184" s="48" t="n">
        <v>0.0565552</v>
      </c>
      <c r="C184" s="48" t="n">
        <v>0.0708102</v>
      </c>
      <c r="D184" s="48" t="n">
        <v>0.0432726</v>
      </c>
      <c r="E184" s="48" t="n">
        <v>0.0610811</v>
      </c>
      <c r="F184" s="48" t="n">
        <v>0.00445</v>
      </c>
      <c r="G184" s="48" t="n">
        <v>0.00445</v>
      </c>
      <c r="H184" s="48" t="n">
        <v>0.00435</v>
      </c>
      <c r="I184" s="48" t="n">
        <v>0.00435</v>
      </c>
      <c r="J184" s="48" t="n">
        <v>0.267958597</v>
      </c>
      <c r="K184" s="48" t="n">
        <v>0.335498728</v>
      </c>
      <c r="L184" s="48" t="n">
        <v>0.205025401</v>
      </c>
      <c r="M184" s="48" t="n">
        <v>0.289402193</v>
      </c>
      <c r="N184" s="48" t="n">
        <v>0.04664284</v>
      </c>
      <c r="O184" s="48" t="n">
        <v>0.04664284</v>
      </c>
      <c r="P184" s="48" t="n">
        <v>0.04664284</v>
      </c>
      <c r="Q184" s="48" t="n">
        <v>0.04664284</v>
      </c>
      <c r="R184" s="48" t="n">
        <v>0.00021</v>
      </c>
      <c r="S184" s="48" t="n">
        <v>0.00021</v>
      </c>
      <c r="T184" s="48" t="n">
        <v>0.00021</v>
      </c>
      <c r="U184" s="48" t="n">
        <v>0.00021</v>
      </c>
      <c r="V184" s="48" t="n">
        <v>0.3765</v>
      </c>
      <c r="W184" s="48" t="n">
        <v>0.3765</v>
      </c>
      <c r="X184" s="48" t="n">
        <v>0.3189</v>
      </c>
      <c r="Y184" s="48" t="n">
        <v>0.3189</v>
      </c>
      <c r="Z184" s="78" t="n">
        <v>0.125</v>
      </c>
      <c r="AA184" s="39" t="n">
        <v>750</v>
      </c>
      <c r="AB184" s="56" t="n">
        <v>0.0338</v>
      </c>
    </row>
    <row r="185">
      <c r="A185" s="77" t="n">
        <v>92</v>
      </c>
      <c r="B185" s="48" t="n">
        <v>0.0617723</v>
      </c>
      <c r="C185" s="48" t="n">
        <v>0.075679</v>
      </c>
      <c r="D185" s="48" t="n">
        <v>0.0479996</v>
      </c>
      <c r="E185" s="48" t="n">
        <v>0.0658591</v>
      </c>
      <c r="F185" s="48" t="n">
        <v>0.00445</v>
      </c>
      <c r="G185" s="48" t="n">
        <v>0.00445</v>
      </c>
      <c r="H185" s="48" t="n">
        <v>0.00435</v>
      </c>
      <c r="I185" s="48" t="n">
        <v>0.00435</v>
      </c>
      <c r="J185" s="48" t="n">
        <v>0.292677098</v>
      </c>
      <c r="K185" s="48" t="n">
        <v>0.358566984</v>
      </c>
      <c r="L185" s="48" t="n">
        <v>0.227422046</v>
      </c>
      <c r="M185" s="48" t="n">
        <v>0.312040297</v>
      </c>
      <c r="N185" s="48" t="n">
        <v>0.050309723</v>
      </c>
      <c r="O185" s="48" t="n">
        <v>0.050309723</v>
      </c>
      <c r="P185" s="48" t="n">
        <v>0.050309723</v>
      </c>
      <c r="Q185" s="48" t="n">
        <v>0.050309723</v>
      </c>
      <c r="R185" s="48" t="n">
        <v>0.00021</v>
      </c>
      <c r="S185" s="48" t="n">
        <v>0.00021</v>
      </c>
      <c r="T185" s="48" t="n">
        <v>0.00021</v>
      </c>
      <c r="U185" s="48" t="n">
        <v>0.00021</v>
      </c>
      <c r="V185" s="48" t="n">
        <v>0.3765</v>
      </c>
      <c r="W185" s="48" t="n">
        <v>0.3765</v>
      </c>
      <c r="X185" s="48" t="n">
        <v>0.3189</v>
      </c>
      <c r="Y185" s="48" t="n">
        <v>0.3189</v>
      </c>
      <c r="Z185" s="78" t="n">
        <v>0.125</v>
      </c>
      <c r="AA185" s="39" t="n">
        <v>750</v>
      </c>
      <c r="AB185" s="56" t="n">
        <v>0.0338</v>
      </c>
    </row>
    <row r="186">
      <c r="A186" s="77" t="n">
        <v>93</v>
      </c>
      <c r="B186" s="48" t="n">
        <v>0.0673559</v>
      </c>
      <c r="C186" s="48" t="n">
        <v>0.0807158</v>
      </c>
      <c r="D186" s="48" t="n">
        <v>0.0531951</v>
      </c>
      <c r="E186" s="48" t="n">
        <v>0.0708872</v>
      </c>
      <c r="F186" s="48" t="n">
        <v>0.00445</v>
      </c>
      <c r="G186" s="48" t="n">
        <v>0.00445</v>
      </c>
      <c r="H186" s="48" t="n">
        <v>0.00435</v>
      </c>
      <c r="I186" s="48" t="n">
        <v>0.00435</v>
      </c>
      <c r="J186" s="48" t="n">
        <v>0.319132195</v>
      </c>
      <c r="K186" s="48" t="n">
        <v>0.382431579</v>
      </c>
      <c r="L186" s="48" t="n">
        <v>0.252038206</v>
      </c>
      <c r="M186" s="48" t="n">
        <v>0.335863317</v>
      </c>
      <c r="N186" s="48" t="n">
        <v>0.054182465</v>
      </c>
      <c r="O186" s="48" t="n">
        <v>0.054182465</v>
      </c>
      <c r="P186" s="48" t="n">
        <v>0.054182465</v>
      </c>
      <c r="Q186" s="48" t="n">
        <v>0.054182465</v>
      </c>
      <c r="R186" s="48" t="n">
        <v>0.00021</v>
      </c>
      <c r="S186" s="48" t="n">
        <v>0.00021</v>
      </c>
      <c r="T186" s="48" t="n">
        <v>0.00021</v>
      </c>
      <c r="U186" s="48" t="n">
        <v>0.00021</v>
      </c>
      <c r="V186" s="48" t="n">
        <v>0.3765</v>
      </c>
      <c r="W186" s="48" t="n">
        <v>0.3765</v>
      </c>
      <c r="X186" s="48" t="n">
        <v>0.3189</v>
      </c>
      <c r="Y186" s="48" t="n">
        <v>0.3189</v>
      </c>
      <c r="Z186" s="78" t="n">
        <v>0.125</v>
      </c>
      <c r="AA186" s="39" t="n">
        <v>750</v>
      </c>
      <c r="AB186" s="56" t="n">
        <v>0.0338</v>
      </c>
    </row>
    <row r="187">
      <c r="A187" s="77" t="n">
        <v>94</v>
      </c>
      <c r="B187" s="48" t="n">
        <v>0.0733158</v>
      </c>
      <c r="C187" s="48" t="n">
        <v>0.08591</v>
      </c>
      <c r="D187" s="48" t="n">
        <v>0.0588944</v>
      </c>
      <c r="E187" s="48" t="n">
        <v>0.0761643</v>
      </c>
      <c r="F187" s="48" t="n">
        <v>0.00445</v>
      </c>
      <c r="G187" s="48" t="n">
        <v>0.00445</v>
      </c>
      <c r="H187" s="48" t="n">
        <v>0.00435</v>
      </c>
      <c r="I187" s="48" t="n">
        <v>0.00435</v>
      </c>
      <c r="J187" s="48" t="n">
        <v>0.34737026</v>
      </c>
      <c r="K187" s="48" t="n">
        <v>0.407041343</v>
      </c>
      <c r="L187" s="48" t="n">
        <v>0.279041786</v>
      </c>
      <c r="M187" s="48" t="n">
        <v>0.360866453</v>
      </c>
      <c r="N187" s="48" t="n">
        <v>0.058260868</v>
      </c>
      <c r="O187" s="48" t="n">
        <v>0.058260868</v>
      </c>
      <c r="P187" s="48" t="n">
        <v>0.058260868</v>
      </c>
      <c r="Q187" s="48" t="n">
        <v>0.058260868</v>
      </c>
      <c r="R187" s="48" t="n">
        <v>0.00021</v>
      </c>
      <c r="S187" s="48" t="n">
        <v>0.00021</v>
      </c>
      <c r="T187" s="48" t="n">
        <v>0.00021</v>
      </c>
      <c r="U187" s="48" t="n">
        <v>0.00021</v>
      </c>
      <c r="V187" s="48" t="n">
        <v>0.3765</v>
      </c>
      <c r="W187" s="48" t="n">
        <v>0.3765</v>
      </c>
      <c r="X187" s="48" t="n">
        <v>0.3189</v>
      </c>
      <c r="Y187" s="48" t="n">
        <v>0.3189</v>
      </c>
      <c r="Z187" s="78" t="n">
        <v>0.125</v>
      </c>
      <c r="AA187" s="39" t="n">
        <v>750</v>
      </c>
      <c r="AB187" s="56" t="n">
        <v>0.0338</v>
      </c>
    </row>
    <row r="188">
      <c r="A188" s="77" t="n">
        <v>95</v>
      </c>
      <c r="B188" s="48" t="n">
        <v>0.0796581</v>
      </c>
      <c r="C188" s="48" t="n">
        <v>0.0912495</v>
      </c>
      <c r="D188" s="48" t="n">
        <v>0.0651321</v>
      </c>
      <c r="E188" s="48" t="n">
        <v>0.0816882</v>
      </c>
      <c r="F188" s="48" t="n">
        <v>0.00445</v>
      </c>
      <c r="G188" s="48" t="n">
        <v>0.00445</v>
      </c>
      <c r="H188" s="48" t="n">
        <v>0.00435</v>
      </c>
      <c r="I188" s="48" t="n">
        <v>0.00435</v>
      </c>
      <c r="J188" s="48" t="n">
        <v>0.377420078</v>
      </c>
      <c r="K188" s="48" t="n">
        <v>0.432340309</v>
      </c>
      <c r="L188" s="48" t="n">
        <v>0.30859589</v>
      </c>
      <c r="M188" s="48" t="n">
        <v>0.387038514</v>
      </c>
      <c r="N188" s="48" t="n">
        <v>0.062542879</v>
      </c>
      <c r="O188" s="48" t="n">
        <v>0.062542879</v>
      </c>
      <c r="P188" s="48" t="n">
        <v>0.062542879</v>
      </c>
      <c r="Q188" s="48" t="n">
        <v>0.062542879</v>
      </c>
      <c r="R188" s="48" t="n">
        <v>0.00021</v>
      </c>
      <c r="S188" s="48" t="n">
        <v>0.00021</v>
      </c>
      <c r="T188" s="48" t="n">
        <v>0.00021</v>
      </c>
      <c r="U188" s="48" t="n">
        <v>0.00021</v>
      </c>
      <c r="V188" s="48" t="n">
        <v>0.3765</v>
      </c>
      <c r="W188" s="48" t="n">
        <v>0.3765</v>
      </c>
      <c r="X188" s="48" t="n">
        <v>0.3189</v>
      </c>
      <c r="Y188" s="48" t="n">
        <v>0.3189</v>
      </c>
      <c r="Z188" s="78" t="n">
        <v>0.125</v>
      </c>
      <c r="AA188" s="39" t="n">
        <v>750</v>
      </c>
      <c r="AB188" s="56" t="n">
        <v>0.0338</v>
      </c>
    </row>
    <row r="189">
      <c r="A189" s="77" t="n">
        <v>96</v>
      </c>
      <c r="B189" s="48" t="n">
        <v>0.08638750000000001</v>
      </c>
      <c r="C189" s="48" t="n">
        <v>0.0967208</v>
      </c>
      <c r="D189" s="48" t="n">
        <v>0.07194150000000001</v>
      </c>
      <c r="E189" s="48" t="n">
        <v>0.0874537</v>
      </c>
      <c r="F189" s="48" t="n">
        <v>0.00445</v>
      </c>
      <c r="G189" s="48" t="n">
        <v>0.00445</v>
      </c>
      <c r="H189" s="48" t="n">
        <v>0.00435</v>
      </c>
      <c r="I189" s="48" t="n">
        <v>0.00435</v>
      </c>
      <c r="J189" s="48" t="n">
        <v>0.409304034</v>
      </c>
      <c r="K189" s="48" t="n">
        <v>0.458262914</v>
      </c>
      <c r="L189" s="48" t="n">
        <v>0.340858827</v>
      </c>
      <c r="M189" s="48" t="n">
        <v>0.414355512</v>
      </c>
      <c r="N189" s="48" t="n">
        <v>0.06702443299999999</v>
      </c>
      <c r="O189" s="48" t="n">
        <v>0.06702443299999999</v>
      </c>
      <c r="P189" s="48" t="n">
        <v>0.06702443299999999</v>
      </c>
      <c r="Q189" s="48" t="n">
        <v>0.06702443299999999</v>
      </c>
      <c r="R189" s="48" t="n">
        <v>0.00021</v>
      </c>
      <c r="S189" s="48" t="n">
        <v>0.00021</v>
      </c>
      <c r="T189" s="48" t="n">
        <v>0.00021</v>
      </c>
      <c r="U189" s="48" t="n">
        <v>0.00021</v>
      </c>
      <c r="V189" s="48" t="n">
        <v>0.3765</v>
      </c>
      <c r="W189" s="48" t="n">
        <v>0.3765</v>
      </c>
      <c r="X189" s="48" t="n">
        <v>0.3189</v>
      </c>
      <c r="Y189" s="48" t="n">
        <v>0.3189</v>
      </c>
      <c r="Z189" s="78" t="n">
        <v>0.125</v>
      </c>
      <c r="AA189" s="39" t="n">
        <v>750</v>
      </c>
      <c r="AB189" s="56" t="n">
        <v>0.0338</v>
      </c>
    </row>
    <row r="190">
      <c r="A190" s="77" t="n">
        <v>97</v>
      </c>
      <c r="B190" s="48" t="n">
        <v>0.0935037</v>
      </c>
      <c r="C190" s="48" t="n">
        <v>0.1023094</v>
      </c>
      <c r="D190" s="48" t="n">
        <v>0.07935399999999999</v>
      </c>
      <c r="E190" s="48" t="n">
        <v>0.09345440000000001</v>
      </c>
      <c r="F190" s="48" t="n">
        <v>0.00445</v>
      </c>
      <c r="G190" s="48" t="n">
        <v>0.00445</v>
      </c>
      <c r="H190" s="48" t="n">
        <v>0.00435</v>
      </c>
      <c r="I190" s="48" t="n">
        <v>0.00435</v>
      </c>
      <c r="J190" s="48" t="n">
        <v>0.443020531</v>
      </c>
      <c r="K190" s="48" t="n">
        <v>0.484741996</v>
      </c>
      <c r="L190" s="48" t="n">
        <v>0.375979311</v>
      </c>
      <c r="M190" s="48" t="n">
        <v>0.442787066</v>
      </c>
      <c r="N190" s="48" t="n">
        <v>0.071699312</v>
      </c>
      <c r="O190" s="48" t="n">
        <v>0.071699312</v>
      </c>
      <c r="P190" s="48" t="n">
        <v>0.071699312</v>
      </c>
      <c r="Q190" s="48" t="n">
        <v>0.071699312</v>
      </c>
      <c r="R190" s="48" t="n">
        <v>0.00021</v>
      </c>
      <c r="S190" s="48" t="n">
        <v>0.00021</v>
      </c>
      <c r="T190" s="48" t="n">
        <v>0.00021</v>
      </c>
      <c r="U190" s="48" t="n">
        <v>0.00021</v>
      </c>
      <c r="V190" s="48" t="n">
        <v>0.3765</v>
      </c>
      <c r="W190" s="48" t="n">
        <v>0.3765</v>
      </c>
      <c r="X190" s="48" t="n">
        <v>0.3189</v>
      </c>
      <c r="Y190" s="48" t="n">
        <v>0.3189</v>
      </c>
      <c r="Z190" s="78" t="n">
        <v>0.125</v>
      </c>
      <c r="AA190" s="39" t="n">
        <v>750</v>
      </c>
      <c r="AB190" s="56" t="n">
        <v>0.0338</v>
      </c>
    </row>
    <row r="191">
      <c r="A191" s="77" t="n">
        <v>98</v>
      </c>
      <c r="B191" s="48" t="n">
        <v>0.1010033</v>
      </c>
      <c r="C191" s="48" t="n">
        <v>0.107999</v>
      </c>
      <c r="D191" s="48" t="n">
        <v>0.08739769999999999</v>
      </c>
      <c r="E191" s="48" t="n">
        <v>0.09968200000000001</v>
      </c>
      <c r="F191" s="48" t="n">
        <v>0.00445</v>
      </c>
      <c r="G191" s="48" t="n">
        <v>0.00445</v>
      </c>
      <c r="H191" s="48" t="n">
        <v>0.00435</v>
      </c>
      <c r="I191" s="48" t="n">
        <v>0.00435</v>
      </c>
      <c r="J191" s="48" t="n">
        <v>0.478553576</v>
      </c>
      <c r="K191" s="48" t="n">
        <v>0.511699203</v>
      </c>
      <c r="L191" s="48" t="n">
        <v>0.414090066</v>
      </c>
      <c r="M191" s="48" t="n">
        <v>0.472293198</v>
      </c>
      <c r="N191" s="48" t="n">
        <v>0.076559051</v>
      </c>
      <c r="O191" s="48" t="n">
        <v>0.076559051</v>
      </c>
      <c r="P191" s="48" t="n">
        <v>0.076559051</v>
      </c>
      <c r="Q191" s="48" t="n">
        <v>0.076559051</v>
      </c>
      <c r="R191" s="48" t="n">
        <v>0.00021</v>
      </c>
      <c r="S191" s="48" t="n">
        <v>0.00021</v>
      </c>
      <c r="T191" s="48" t="n">
        <v>0.00021</v>
      </c>
      <c r="U191" s="48" t="n">
        <v>0.00021</v>
      </c>
      <c r="V191" s="48" t="n">
        <v>0.3765</v>
      </c>
      <c r="W191" s="48" t="n">
        <v>0.3765</v>
      </c>
      <c r="X191" s="48" t="n">
        <v>0.3189</v>
      </c>
      <c r="Y191" s="48" t="n">
        <v>0.3189</v>
      </c>
      <c r="Z191" s="78" t="n">
        <v>0.125</v>
      </c>
      <c r="AA191" s="39" t="n">
        <v>750</v>
      </c>
      <c r="AB191" s="56" t="n">
        <v>0.0338</v>
      </c>
    </row>
    <row r="192">
      <c r="A192" s="77" t="n">
        <v>99</v>
      </c>
      <c r="B192" s="48" t="n">
        <v>0.1088795</v>
      </c>
      <c r="C192" s="48" t="n">
        <v>0.1137729</v>
      </c>
      <c r="D192" s="48" t="n">
        <v>0.0960954</v>
      </c>
      <c r="E192" s="48" t="n">
        <v>0.1061249</v>
      </c>
      <c r="F192" s="48" t="n">
        <v>0.00445</v>
      </c>
      <c r="G192" s="48" t="n">
        <v>0.00445</v>
      </c>
      <c r="H192" s="48" t="n">
        <v>0.00435</v>
      </c>
      <c r="I192" s="48" t="n">
        <v>0.00435</v>
      </c>
      <c r="J192" s="48" t="n">
        <v>0.515871189</v>
      </c>
      <c r="K192" s="48" t="n">
        <v>0.5390561780000001</v>
      </c>
      <c r="L192" s="48" t="n">
        <v>0.455299828</v>
      </c>
      <c r="M192" s="48" t="n">
        <v>0.502819539</v>
      </c>
      <c r="N192" s="48" t="n">
        <v>0.081592887</v>
      </c>
      <c r="O192" s="48" t="n">
        <v>0.081592887</v>
      </c>
      <c r="P192" s="48" t="n">
        <v>0.081592887</v>
      </c>
      <c r="Q192" s="48" t="n">
        <v>0.081592887</v>
      </c>
      <c r="R192" s="48" t="n">
        <v>0.00021</v>
      </c>
      <c r="S192" s="48" t="n">
        <v>0.00021</v>
      </c>
      <c r="T192" s="48" t="n">
        <v>0.00021</v>
      </c>
      <c r="U192" s="48" t="n">
        <v>0.00021</v>
      </c>
      <c r="V192" s="48" t="n">
        <v>0.3765</v>
      </c>
      <c r="W192" s="48" t="n">
        <v>0.3765</v>
      </c>
      <c r="X192" s="48" t="n">
        <v>0.3189</v>
      </c>
      <c r="Y192" s="48" t="n">
        <v>0.3189</v>
      </c>
      <c r="Z192" s="78" t="n">
        <v>0.125</v>
      </c>
      <c r="AA192" s="39" t="n">
        <v>750</v>
      </c>
      <c r="AB192" s="56" t="n">
        <v>0.0338</v>
      </c>
    </row>
    <row r="193">
      <c r="A193" s="77" t="n">
        <v>100</v>
      </c>
      <c r="B193" s="48" t="n">
        <v>0.1170312</v>
      </c>
      <c r="C193" s="48" t="n">
        <v>0.1205985</v>
      </c>
      <c r="D193" s="48" t="n">
        <v>0.1053638</v>
      </c>
      <c r="E193" s="48" t="n">
        <v>0.1136832</v>
      </c>
      <c r="F193" s="48" t="n">
        <v>0.00445</v>
      </c>
      <c r="G193" s="48" t="n">
        <v>0.00445</v>
      </c>
      <c r="H193" s="48" t="n">
        <v>0.00435</v>
      </c>
      <c r="I193" s="48" t="n">
        <v>0.00435</v>
      </c>
      <c r="J193" s="48" t="n">
        <v>0.554493648</v>
      </c>
      <c r="K193" s="48" t="n">
        <v>0.571395871</v>
      </c>
      <c r="L193" s="48" t="n">
        <v>0.499213625</v>
      </c>
      <c r="M193" s="48" t="n">
        <v>0.538630824</v>
      </c>
      <c r="N193" s="48" t="n">
        <v>0.087701617</v>
      </c>
      <c r="O193" s="48" t="n">
        <v>0.087701617</v>
      </c>
      <c r="P193" s="48" t="n">
        <v>0.087701617</v>
      </c>
      <c r="Q193" s="48" t="n">
        <v>0.087701617</v>
      </c>
      <c r="R193" s="48" t="n">
        <v>0.00021</v>
      </c>
      <c r="S193" s="48" t="n">
        <v>0.00021</v>
      </c>
      <c r="T193" s="48" t="n">
        <v>0.00021</v>
      </c>
      <c r="U193" s="48" t="n">
        <v>0.00021</v>
      </c>
      <c r="V193" s="48" t="n">
        <v>0.3765</v>
      </c>
      <c r="W193" s="48" t="n">
        <v>0.3765</v>
      </c>
      <c r="X193" s="48" t="n">
        <v>0.3189</v>
      </c>
      <c r="Y193" s="48" t="n">
        <v>0.3189</v>
      </c>
      <c r="Z193" s="78" t="n">
        <v>0.125</v>
      </c>
      <c r="AA193" s="39" t="n">
        <v>750</v>
      </c>
      <c r="AB193" s="56" t="n">
        <v>0.0338</v>
      </c>
    </row>
  </sheetData>
  <autoFilter ref="A5:B10"/>
  <mergeCells count="23">
    <mergeCell ref="A46:C46"/>
    <mergeCell ref="J109:M109"/>
    <mergeCell ref="Z109:AB109"/>
    <mergeCell ref="A27:C27"/>
    <mergeCell ref="A21:C21"/>
    <mergeCell ref="I4:L6"/>
    <mergeCell ref="V109:Y109"/>
    <mergeCell ref="E20:I20"/>
    <mergeCell ref="B109:E109"/>
    <mergeCell ref="N109:Q109"/>
    <mergeCell ref="A4:C4"/>
    <mergeCell ref="A81:C81"/>
    <mergeCell ref="A72:C72"/>
    <mergeCell ref="A19:C19"/>
    <mergeCell ref="A13:C13"/>
    <mergeCell ref="A1:G1"/>
    <mergeCell ref="A88:M88"/>
    <mergeCell ref="A64:C64"/>
    <mergeCell ref="F109:I109"/>
    <mergeCell ref="A108:AB108"/>
    <mergeCell ref="A2:G2"/>
    <mergeCell ref="E4:G4"/>
    <mergeCell ref="R109:U109"/>
  </mergeCells>
  <pageMargins left="0.75" right="0.75" top="1" bottom="1" header="0.5" footer="0.5"/>
</worksheet>
</file>

<file path=xl/worksheets/sheet16.xml><?xml version="1.0" encoding="utf-8"?>
<worksheet xmlns="http://schemas.openxmlformats.org/spreadsheetml/2006/main">
  <sheetPr>
    <tabColor rgb="009B1D20"/>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42" customWidth="1" min="3" max="3"/>
    <col width="52" customWidth="1" min="4" max="4"/>
    <col width="36" customWidth="1" min="5" max="5"/>
    <col width="48" customWidth="1" min="6" max="6"/>
  </cols>
  <sheetData>
    <row r="1">
      <c r="A1" s="1" t="inlineStr">
        <is>
          <t>Open issues — multi-currency and multi-country</t>
        </is>
      </c>
    </row>
    <row r="2" ht="36" customHeight="1">
      <c r="A2" s="2" t="inlineStr">
        <is>
          <t>V0-15: USD is the system currency. Inputs convert from the user currency, every calculator and validation runs in USD, results convert back and round in the user currency. What remains is below.</t>
        </is>
      </c>
    </row>
    <row r="3">
      <c r="A3" s="3" t="inlineStr">
        <is>
          <t>#</t>
        </is>
      </c>
      <c r="B3" s="3" t="inlineStr">
        <is>
          <t>Component</t>
        </is>
      </c>
      <c r="C3" s="3" t="inlineStr">
        <is>
          <t>Open issue</t>
        </is>
      </c>
      <c r="D3" s="3" t="inlineStr">
        <is>
          <t>Today</t>
        </is>
      </c>
      <c r="E3" s="3" t="inlineStr">
        <is>
          <t>Needed for multi-country</t>
        </is>
      </c>
      <c r="F3" s="3" t="inlineStr">
        <is>
          <t>Where</t>
        </is>
      </c>
    </row>
    <row r="4" ht="68" customHeight="1">
      <c r="A4" s="4" t="inlineStr">
        <is>
          <t>1</t>
        </is>
      </c>
      <c r="B4" s="4" t="inlineStr">
        <is>
          <t>Fixed amounts in USD — code still SGD</t>
        </is>
      </c>
      <c r="C4" s="4" t="inlineStr">
        <is>
          <t>V0-15 Excel: every fixed amount is USD (CI/TPD/EDU, home seed, rounding steps, HappiU envelope) and the calculators run in USD. The code still holds SGD constants and computes in session currency.</t>
        </is>
      </c>
      <c r="D4" s="4" t="inlineStr">
        <is>
          <t>Excel: done (Singapore results unchanged). Code: goal_math.py CI_COST TPD_COST EDU_TOTAL_COST, predict.py seed_property_value, planProducts.ts steps, hu_payload.py still SGD.</t>
        </is>
      </c>
      <c r="E4" s="4" t="inlineStr">
        <is>
          <t>Port the USD pipeline to the code: convert in, calculate, convert back, round in user currency.</t>
        </is>
      </c>
      <c r="F4" s="4" t="inlineStr">
        <is>
          <t>src/pipeline/goal_math.py; src/predict.py; frontend/src/lib/planProducts.ts; src/hu_payload.py</t>
        </is>
      </c>
    </row>
    <row r="5" ht="68" customHeight="1">
      <c r="A5" s="4" t="inlineStr">
        <is>
          <t>2</t>
        </is>
      </c>
      <c r="B5" s="4" t="inlineStr">
        <is>
          <t>Need Profiler FX is market FX, not PPP</t>
        </is>
      </c>
      <c r="C5" s="4" t="inlineStr">
        <is>
          <t>Income/expense/assets convert local × market USD-per-local, then USD bands. Cost of living is not adjusted.</t>
        </is>
      </c>
      <c r="D5" s="4" t="inlineStr">
        <is>
          <t>src/fx.py rates match the FX tab. Bands in Need_profiler.json (lt).</t>
        </is>
      </c>
      <c r="E5" s="4" t="inlineStr">
        <is>
          <t>Purchasing-power (PPP) rates if “middle class” should mean the same living standard across countries.</t>
        </is>
      </c>
      <c r="F5" s="4" t="inlineStr">
        <is>
          <t>src/fx.py; Need_profiler.json weight_options Income/Expense/Assets/Liabilities</t>
        </is>
      </c>
    </row>
    <row r="6" ht="68" customHeight="1">
      <c r="A6" s="4" t="inlineStr">
        <is>
          <t>3</t>
        </is>
      </c>
      <c r="B6" s="4" t="inlineStr">
        <is>
          <t>Need Profiler × People Like You enums</t>
        </is>
      </c>
      <c r="C6" s="4" t="inlineStr">
        <is>
          <t>PLU lifestyle/ward/sports strings do not match profiler options, so those flags score 0 in every country.</t>
        </is>
      </c>
      <c r="D6" s="4" t="inlineStr">
        <is>
          <t>PLU: Basic|Comfortable|Luxurious, Single|Double|Ward. Profiler: frugal|stress-free|only the best, A|B.</t>
        </is>
      </c>
      <c r="E6" s="4" t="inlineStr">
        <is>
          <t>One vocabulary in both prompts (or an explicit map). Same issue in every market.</t>
        </is>
      </c>
      <c r="F6" s="4" t="inlineStr">
        <is>
          <t>people_like_you_all_fields.json; Need_profiler.json Lifestyle / Ward / Sports</t>
        </is>
      </c>
    </row>
    <row r="7" ht="68" customHeight="1">
      <c r="A7" s="4" t="inlineStr">
        <is>
          <t>4</t>
        </is>
      </c>
      <c r="B7" s="4" t="inlineStr">
        <is>
          <t>Need Profiler existing cover / ownership</t>
        </is>
      </c>
      <c r="C7" s="4" t="inlineStr">
        <is>
          <t>Existing cover is hard-coded 0. Car/home/travel weights have no option labels. A scoring redesign may be required.</t>
        </is>
      </c>
      <c r="D7" s="4" t="inlineStr">
        <is>
          <t>build_profiler_profile Existing*Coverage = 0. Ownership stored, score unchanged.</t>
        </is>
      </c>
      <c r="E7" s="4" t="inlineStr">
        <is>
          <t>Wire policies into Existing*Coverage and add weight_options. Redesign if the factor model cannot take cover/ownership.</t>
        </is>
      </c>
      <c r="F7" s="4" t="inlineStr">
        <is>
          <t>src/pipeline/onboarding.py; need_profiler.py</t>
        </is>
      </c>
    </row>
    <row r="8" ht="68" customHeight="1">
      <c r="A8" s="4" t="inlineStr">
        <is>
          <t>5</t>
        </is>
      </c>
      <c r="B8" s="4" t="inlineStr">
        <is>
          <t>Plan dummy premium</t>
        </is>
      </c>
      <c r="C8" s="4" t="inlineStr">
        <is>
          <t>Protection premium is a 0.00078 placeholder, not a quoted tariff, and is not country-specific.</t>
        </is>
      </c>
      <c r="D8" s="4" t="inlineStr">
        <is>
          <t>coverPremiumFor(sum) dummy. Labelled in Plan-calculator.md, planProducts.ts, this workbook.</t>
        </is>
      </c>
      <c r="E8" s="4" t="inlineStr">
        <is>
          <t>Premium-quote calculator API per market / product.</t>
        </is>
      </c>
      <c r="F8" s="4" t="inlineStr">
        <is>
          <t>frontend/src/lib/planProducts.ts coverPremiumFor</t>
        </is>
      </c>
    </row>
    <row r="9" ht="68" customHeight="1">
      <c r="A9" s="4" t="inlineStr">
        <is>
          <t>6</t>
        </is>
      </c>
      <c r="B9" s="4" t="inlineStr">
        <is>
          <t>Social security is a Singapore plug-in only</t>
        </is>
      </c>
      <c r="C9" s="4" t="inlineStr">
        <is>
          <t>The CPF tab is the SG-CPF module. Every other country gets the default module (no contribution, take-home = gross).</t>
        </is>
      </c>
      <c r="D9" s="4" t="inlineStr">
        <is>
          <t>CPF tab: module per country. Scenario Visualizer and HappiU still run their own Singapore CPF engines.</t>
        </is>
      </c>
      <c r="E9" s="4" t="inlineStr">
        <is>
          <t>One plug-in interface (gross, age, residency, country → contribution, take-home) used by GP, HappiU and SV; add modules per market.</t>
        </is>
      </c>
      <c r="F9" s="4" t="inlineStr">
        <is>
          <t>src/cpf.py; SV SocialSecurityR_SGP; HU CPF</t>
        </is>
      </c>
    </row>
    <row r="10" ht="68" customHeight="1">
      <c r="A10" s="4" t="inlineStr">
        <is>
          <t>7</t>
        </is>
      </c>
      <c r="B10" s="4" t="inlineStr">
        <is>
          <t>FX feed and session lock</t>
        </is>
      </c>
      <c r="C10" s="4" t="inlineStr">
        <is>
          <t>src/fx.py is a hard-coded table of 9 currencies and falls back to the SGD rate for an unknown currency. The rate is not locked on the session.</t>
        </is>
      </c>
      <c r="D10" s="4" t="inlineStr">
        <is>
          <t>Excel: unknown currency → #N/A everywhere (no fallback). Code: silent SGD fallback.</t>
        </is>
      </c>
      <c r="E10" s="4" t="inlineStr">
        <is>
          <t>Live FX feed; store the rate on the session when it starts; error on unknown currency.</t>
        </is>
      </c>
      <c r="F10" s="4" t="inlineStr">
        <is>
          <t>src/fx.py usd_per_local</t>
        </is>
      </c>
    </row>
    <row r="11" ht="68" customHeight="1">
      <c r="A11" s="4" t="inlineStr">
        <is>
          <t>8</t>
        </is>
      </c>
      <c r="B11" s="4" t="inlineStr">
        <is>
          <t>HappiU and SV engine constants</t>
        </is>
      </c>
      <c r="C11" s="4" t="inlineStr">
        <is>
          <t>HU and SV hold their own money constants (HU CI medical 200,000 and PTD 444,000; SV stress-event sizes S$20k–150k; SV CPF tables).</t>
        </is>
      </c>
      <c r="D11" s="4" t="inlineStr">
        <is>
          <t>Workbook copies them unchanged on the HappiU and SV tabs (user currency = SGD for all personas).</t>
        </is>
      </c>
      <c r="E11" s="4" t="inlineStr">
        <is>
          <t>Move them to USD (or take them from GP's payload) so the engines follow the system currency too.</t>
        </is>
      </c>
      <c r="F11" s="4" t="inlineStr">
        <is>
          <t>HU ciAssumptions / ProductPTD; frontend/src/lib/stressEvents.ts; SV helium conf</t>
        </is>
      </c>
    </row>
    <row r="12" ht="68" customHeight="1">
      <c r="A12" s="4" t="inlineStr">
        <is>
          <t>9</t>
        </is>
      </c>
      <c r="B12" s="4" t="inlineStr">
        <is>
          <t>Price level (option B) not switched on</t>
        </is>
      </c>
      <c r="C12" s="4" t="inlineStr">
        <is>
          <t>Option A converts USD fixed amounts at market rate, so they are too large in low-cost countries (e.g. CI treatment ≈ 11 years of a Vietnamese income).</t>
        </is>
      </c>
      <c r="D12" s="4" t="inlineStr">
        <is>
          <t>priceLevelOn = FALSE; FX tab price-level column is 1 for every currency.</t>
        </is>
      </c>
      <c r="E12" s="4" t="inlineStr">
        <is>
          <t>Load one price-level ratio per country from a public source (e.g. World Bank) and switch priceLevelOn on.</t>
        </is>
      </c>
      <c r="F12" s="4" t="inlineStr">
        <is>
          <t>Assumptions priceLevelOn; FX tab column K</t>
        </is>
      </c>
    </row>
    <row r="13" ht="68" customHeight="1">
      <c r="A13" s="4" t="inlineStr">
        <is>
          <t>10</t>
        </is>
      </c>
      <c r="B13" s="4" t="inlineStr">
        <is>
          <t>N_PAC agreed, not yet in code or HappiU</t>
        </is>
      </c>
      <c r="C13" s="4" t="inlineStr">
        <is>
          <t>Personal accident: annuity-due of income for PAC_YEARS (1) + PAC_COST (USD 59,200). Agreed V0-18.</t>
        </is>
      </c>
      <c r="D13" s="4" t="inlineStr">
        <is>
          <t>Excel only. The HU engine already supports N_PAC; GP does not send it. Premium flows to Scenario Visualizer.</t>
        </is>
      </c>
      <c r="E13" s="4" t="inlineStr">
        <is>
          <t>Add N_PAC to goal_math.py, need_profiler.py, planProducts.ts, hu_payload.py (send to HappiU).</t>
        </is>
      </c>
      <c r="F13" s="4" t="inlineStr">
        <is>
          <t>Assumptions PAC_YEARS / PAC_COST; Need Calculator N_PAC</t>
        </is>
      </c>
    </row>
    <row r="14" ht="68" customHeight="1">
      <c r="A14" s="4" t="inlineStr">
        <is>
          <t>11</t>
        </is>
      </c>
      <c r="B14" s="4" t="inlineStr">
        <is>
          <t>N_PRP has no profiler label</t>
        </is>
      </c>
      <c r="C14" s="4" t="inlineStr">
        <is>
          <t>Home purchase is separated from Home Protection (N_HOM, parked). No profiler label scores home purchase, so N_PRP is never switched on automatically.</t>
        </is>
      </c>
      <c r="D14" s="4" t="inlineStr">
        <is>
          <t>Need Profiler: N_PRP calc on = FALSE; customer switches it on.</t>
        </is>
      </c>
      <c r="E14" s="4" t="inlineStr">
        <is>
          <t>Add a Home Purchase label with factor weights to Need_profiler.json if the profiler should propose it.</t>
        </is>
      </c>
      <c r="F14" s="4" t="inlineStr">
        <is>
          <t>Need_profiler.json; need_profiler.py select_unified_top</t>
        </is>
      </c>
    </row>
    <row r="15" ht="68" customHeight="1">
      <c r="A15" s="4" t="inlineStr">
        <is>
          <t>12</t>
        </is>
      </c>
      <c r="B15" s="4" t="inlineStr">
        <is>
          <t>Code still uses the old names</t>
        </is>
      </c>
      <c r="C15" s="4" t="inlineStr">
        <is>
          <t>Parameters were renamed to the N_ / R_ / prefix convention (Dictionary tab). Farewell dropped; N_HOM / N_CAR / N_TRV parked.</t>
        </is>
      </c>
      <c r="D15" s="4" t="inlineStr">
        <is>
          <t>Excel and docs only.</t>
        </is>
      </c>
      <c r="E15" s="4" t="inlineStr">
        <is>
          <t>Rename in goal_math.py, stressEvents.ts, need_profiler.py; drop farewell label and funeral lump.</t>
        </is>
      </c>
      <c r="F15" s="4" t="inlineStr">
        <is>
          <t>Dictionary tab; Dictionary.md</t>
        </is>
      </c>
    </row>
    <row r="16" ht="68" customHeight="1">
      <c r="A16" s="4" t="inlineStr">
        <is>
          <t>13</t>
        </is>
      </c>
      <c r="B16" s="4" t="inlineStr">
        <is>
          <t>One code per need across GP and HappiU</t>
        </is>
      </c>
      <c r="C16" s="4" t="inlineStr">
        <is>
          <t>GP says N_HOS, HappiU N_HSP (hu_payload.py renames it). HappiU's disability product and rates are named PTD; GP uses TPD.</t>
        </is>
      </c>
      <c r="D16" s="4" t="inlineStr">
        <is>
          <t>Workbook shows TPD everywhere; HU engine unchanged.</t>
        </is>
      </c>
      <c r="E16" s="4" t="inlineStr">
        <is>
          <t>Rename in HU (N_HSP → N_HOS, PTD → TPD) or keep one mapping table in hu_payload.py and document it.</t>
        </is>
      </c>
      <c r="F16" s="4" t="inlineStr">
        <is>
          <t>HU CashflowHandler, ProductPTD, ptd_rate.csv; src/hu_payload.py</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404040"/>
    <outlinePr summaryBelow="1" summaryRight="1"/>
    <pageSetUpPr/>
  </sheetPr>
  <dimension ref="A1:F17"/>
  <sheetViews>
    <sheetView workbookViewId="0">
      <pane ySplit="2" topLeftCell="A3" activePane="bottomLeft" state="frozen"/>
      <selection pane="bottomLeft" activeCell="A1" sqref="A1"/>
    </sheetView>
  </sheetViews>
  <sheetFormatPr baseColWidth="8" defaultRowHeight="15"/>
  <cols>
    <col width="9" customWidth="1" min="1" max="1"/>
    <col width="12" customWidth="1" min="2" max="2"/>
    <col width="20" customWidth="1" min="3" max="3"/>
    <col width="70" customWidth="1" min="4" max="4"/>
    <col width="45" customWidth="1" min="5" max="5"/>
    <col width="45" customWidth="1" min="6" max="6"/>
  </cols>
  <sheetData>
    <row r="1">
      <c r="A1" s="1" t="inlineStr">
        <is>
          <t>Change log — model changes by version (newest first)</t>
        </is>
      </c>
    </row>
    <row r="2">
      <c r="A2" s="2" t="inlineStr">
        <is>
          <t>Workflow: change the Excel first, then the docs, then the code. The Status column says whether the code already follows. Same rows as CHANGELOG.md in this folder.</t>
        </is>
      </c>
    </row>
    <row r="3">
      <c r="A3" s="3" t="inlineStr">
        <is>
          <t>Version</t>
        </is>
      </c>
      <c r="B3" s="3" t="inlineStr">
        <is>
          <t>Date</t>
        </is>
      </c>
      <c r="C3" s="3" t="inlineStr">
        <is>
          <t>Component</t>
        </is>
      </c>
      <c r="D3" s="3" t="inlineStr">
        <is>
          <t>Change</t>
        </is>
      </c>
      <c r="E3" s="3" t="inlineStr">
        <is>
          <t>Where in the workbook</t>
        </is>
      </c>
      <c r="F3" s="3" t="inlineStr">
        <is>
          <t>Code status</t>
        </is>
      </c>
    </row>
    <row r="4">
      <c r="A4" s="79" t="inlineStr">
        <is>
          <t>V0-18</t>
        </is>
      </c>
      <c r="B4" s="79" t="inlineStr">
        <is>
          <t>2026-09-26</t>
        </is>
      </c>
      <c r="C4" s="79" t="inlineStr">
        <is>
          <t>TPD / N_PAC / R_LON</t>
        </is>
      </c>
      <c r="D4" s="79" t="inlineStr">
        <is>
          <t>TPD is the one name for total &amp; permanent disability (profiler label, weight matrix, HappiU tab; JSON key still 'disability', HU engine still PTD — Discrepancies 13). N_PAC agreed (1 year of income + USD 59,200). New stress event R_LON longevity: LON_AGE 99 on Assumptions; Need Calculator shows N_RET need and gap at 99; Scenario Visualizer toggle moves the chart horizon to 99 and reports wealth and spendable wealth there.</t>
        </is>
      </c>
      <c r="E4" s="79" t="inlineStr">
        <is>
          <t>Assumptions LON_AGE, stress table; Need Calculator R_LON block; Scenario Visualizer SV_lonV / SV_end; HappiU labels; Dictionary.</t>
        </is>
      </c>
      <c r="F4" s="79" t="inlineStr">
        <is>
          <t>Not in code.</t>
        </is>
      </c>
    </row>
    <row r="5">
      <c r="A5" s="79" t="inlineStr">
        <is>
          <t>V0-17</t>
        </is>
      </c>
      <c r="B5" s="79" t="inlineStr">
        <is>
          <t>2026-09-26</t>
        </is>
      </c>
      <c r="C5" s="79" t="inlineStr">
        <is>
          <t>Dictionary</t>
        </is>
      </c>
      <c r="D5" s="79" t="inlineStr">
        <is>
          <t>Accidental death N_ADB (risk R_ADB) added as a protection candidate: HappiU already supports it, no GP calculator or profiler label yet. N_PAC noted as supported by the HappiU engine (GP does not send it yet). New Need-dictionary.md (one section per need), generated with Dictionary.md.</t>
        </is>
      </c>
      <c r="E5" s="79" t="inlineStr">
        <is>
          <t>Dictionary tab; Need-dictionary.md; Dictionary.md.</t>
        </is>
      </c>
      <c r="F5" s="79" t="inlineStr">
        <is>
          <t>Not in code.</t>
        </is>
      </c>
    </row>
    <row r="6">
      <c r="A6" s="79" t="inlineStr">
        <is>
          <t>V0-16</t>
        </is>
      </c>
      <c r="B6" s="79" t="inlineStr">
        <is>
          <t>2026-09-26</t>
        </is>
      </c>
      <c r="C6" s="79" t="inlineStr">
        <is>
          <t>Dictionary</t>
        </is>
      </c>
      <c r="D6" s="79" t="inlineStr">
        <is>
          <t>New Dictionary tab and Dictionary.md: one code per need (N_), risk (R_) and parameter prefix. Parameters renamed (CI_COST → CRI_COST, HOSP_MONTHS → HOS_MONTHS, EDU_TOTAL_COST → EDU_COST, lifeSupport* → INC_SUPPORT_*, lifestyle* → RET_LIFESTYLE_*, sav/prpIncomeMultiple → SAV/PRP_INCOME_MULT). Stress events carry R_ codes (R_DEA, R_CRI, R_TPD, R_HOS, R_PAC, R_LTC, R_MKT, R_CCY, R_INF, R_ICT, R_EXP, R_WED, R_BAB).</t>
        </is>
      </c>
      <c r="E6" s="79" t="inlineStr">
        <is>
          <t>Dictionary; Assumptions named cells and stress-event table; Scenario Visualizer event labels.</t>
        </is>
      </c>
      <c r="F6" s="79" t="inlineStr">
        <is>
          <t>Not in code.</t>
        </is>
      </c>
    </row>
    <row r="7">
      <c r="A7" s="79" t="inlineStr">
        <is>
          <t>V0-16</t>
        </is>
      </c>
      <c r="B7" s="79" t="inlineStr">
        <is>
          <t>2026-09-26</t>
        </is>
      </c>
      <c r="C7" s="79" t="inlineStr">
        <is>
          <t>Need Profiler</t>
        </is>
      </c>
      <c r="D7" s="79" t="inlineStr">
        <is>
          <t>Farewell dropped (not scored; min–max scaling now over 11 labels). Home / Car / Travel Protection parked as coverage needs N_HOM / N_CAR / N_TRV (scored and prioritised, no calculator). Personal Accident (N_PAC) joins the protection pick. Growth pick is N_EDU vs N_SAV; the home-ownership SAV ↔ PRP swap is removed; N_PRP (home purchase) is never auto-picked.</t>
        </is>
      </c>
      <c r="E7" s="79" t="inlineStr">
        <is>
          <t>Need Profiler; Assumptions weight matrix (column Farewell removed).</t>
        </is>
      </c>
      <c r="F7" s="79" t="inlineStr">
        <is>
          <t>Not in code: need_profiler.py still scores Farewell and maps Home Protection to N_PRP.</t>
        </is>
      </c>
    </row>
    <row r="8">
      <c r="A8" s="79" t="inlineStr">
        <is>
          <t>V0-16</t>
        </is>
      </c>
      <c r="B8" s="79" t="inlineStr">
        <is>
          <t>2026-09-26</t>
        </is>
      </c>
      <c r="C8" s="79" t="inlineStr">
        <is>
          <t>Need Calculator / Plan / Budget</t>
        </is>
      </c>
      <c r="D8" s="79" t="inlineStr">
        <is>
          <t>New calculator N_PAC: annuity-due of income for PAC_YEARS + PAC_COST (proposal: 1 year, USD 59,200). Plan sizes it like other protection; Budget and SV include its premium. HappiU does not receive it. Farewell funeral lump removed from Assumptions.</t>
        </is>
      </c>
      <c r="E8" s="79" t="inlineStr">
        <is>
          <t>Need Calculator row N_PAC; Plan Calculator; Budget Calculator; Scenario Visualizer SV_protPrem.</t>
        </is>
      </c>
      <c r="F8" s="79" t="inlineStr">
        <is>
          <t>Not in code.</t>
        </is>
      </c>
    </row>
    <row r="9">
      <c r="A9" s="79" t="inlineStr">
        <is>
          <t>V0-15</t>
        </is>
      </c>
      <c r="B9" s="79" t="inlineStr">
        <is>
          <t>2026-09-25</t>
        </is>
      </c>
      <c r="C9" s="79" t="inlineStr">
        <is>
          <t>All components</t>
        </is>
      </c>
      <c r="D9" s="79" t="inlineStr">
        <is>
          <t>USD is the system currency (option A: market rate). Every fixed money amount on the Assumptions tab is USD (= the V0-14 SGD value × 0.74, so Singapore results are unchanged): CI / TPD / EDU costs, home-seed values and income bands, life-cover, lump, monthly, premium and HappiU benefit rounding, premium floor, HappiU envelope, funeral lump.</t>
        </is>
      </c>
      <c r="E9" s="79" t="inlineStr">
        <is>
          <t>Assumptions rows 21–24 (systemCurrency, fxMode, priceLevelOn) and the USD rows.</t>
        </is>
      </c>
      <c r="F9" s="79" t="inlineStr">
        <is>
          <t>Not in code: goal_math.py, predict.py, planProducts.ts, hu_payload.py still SGD.</t>
        </is>
      </c>
    </row>
    <row r="10">
      <c r="A10" s="79" t="inlineStr">
        <is>
          <t>V0-15</t>
        </is>
      </c>
      <c r="B10" s="79" t="inlineStr">
        <is>
          <t>2026-09-25</t>
        </is>
      </c>
      <c r="C10" s="79" t="inlineStr">
        <is>
          <t>FX</t>
        </is>
      </c>
      <c r="D10" s="79" t="inlineStr">
        <is>
          <t>Unknown currency → #N/A (no SGD fallback). Price-level column for option B (default 1, switch off). Rounding steps derived in user currency: USD step ÷ rate, then the nearest 1 / 2 / 5 × 10^k.</t>
        </is>
      </c>
      <c r="E10" s="79" t="inlineStr">
        <is>
          <t>FX tab: rate, price level, FX_lumpStep, FX_monthlyStep, FX_coverPremStep, FX_lifeRound, FX_benefitRound.</t>
        </is>
      </c>
      <c r="F10" s="79" t="inlineStr">
        <is>
          <t>Not in code: src/fx.py falls back to SGD; no session lock.</t>
        </is>
      </c>
    </row>
    <row r="11">
      <c r="A11" s="79" t="inlineStr">
        <is>
          <t>V0-15</t>
        </is>
      </c>
      <c r="B11" s="79" t="inlineStr">
        <is>
          <t>2026-09-25</t>
        </is>
      </c>
      <c r="C11" s="79" t="inlineStr">
        <is>
          <t>Need Calculator</t>
        </is>
      </c>
      <c r="D11" s="79" t="inlineStr">
        <is>
          <t>Runs in USD: an S-block converts every money input (session and sliders) to USD; amount / have / gap are calculated in USD (columns H–J), then converted back and rounded to whole units in user currency (B–D).</t>
        </is>
      </c>
      <c r="E11" s="79" t="inlineStr">
        <is>
          <t>Need Calculator S-block and results H–J; names NC_amountUSD_*, NC_gapUSD_*.</t>
        </is>
      </c>
      <c r="F11" s="79" t="inlineStr">
        <is>
          <t>Not in code: evaluate_session computes in session currency with SGD lumps.</t>
        </is>
      </c>
    </row>
    <row r="12">
      <c r="A12" s="79" t="inlineStr">
        <is>
          <t>V0-15</t>
        </is>
      </c>
      <c r="B12" s="79" t="inlineStr">
        <is>
          <t>2026-09-25</t>
        </is>
      </c>
      <c r="C12" s="79" t="inlineStr">
        <is>
          <t>People Like You</t>
        </is>
      </c>
      <c r="D12" s="79" t="inlineStr">
        <is>
          <t>Home seed in USD: income converted to USD, compared with USD bands, USD home value converted back. Life cover rounds to the life-cover step in user currency.</t>
        </is>
      </c>
      <c r="E12" s="79" t="inlineStr">
        <is>
          <t>People Like You: income USD, property USD, property, life sum assured.</t>
        </is>
      </c>
      <c r="F12" s="79" t="inlineStr">
        <is>
          <t>Not in code: seed_property_value and _assumed_life_policy use SGD.</t>
        </is>
      </c>
    </row>
    <row r="13">
      <c r="A13" s="79" t="inlineStr">
        <is>
          <t>V0-15</t>
        </is>
      </c>
      <c r="B13" s="79" t="inlineStr">
        <is>
          <t>2026-09-25</t>
        </is>
      </c>
      <c r="C13" s="79" t="inlineStr">
        <is>
          <t>Plan / HappiU</t>
        </is>
      </c>
      <c r="D13" s="79" t="inlineStr">
        <is>
          <t>Plan contributions and premiums round to steps in user currency (SGD: 50 and 10). HappiU benefit rounding in user currency (SGD: 50,000). Budget Calculator is ratios only; unchanged.</t>
        </is>
      </c>
      <c r="E13" s="79" t="inlineStr">
        <is>
          <t>Plan Calculator D-block; HappiU HU_benefitRound.</t>
        </is>
      </c>
      <c r="F13" s="79" t="inlineStr">
        <is>
          <t>Not in code: planProducts.ts and hu_payload.py use SGD steps.</t>
        </is>
      </c>
    </row>
    <row r="14">
      <c r="A14" s="79" t="inlineStr">
        <is>
          <t>V0-15</t>
        </is>
      </c>
      <c r="B14" s="79" t="inlineStr">
        <is>
          <t>2026-09-25</t>
        </is>
      </c>
      <c r="C14" s="79" t="inlineStr">
        <is>
          <t>CPF</t>
        </is>
      </c>
      <c r="D14" s="79" t="inlineStr">
        <is>
          <t>CPF tab framed as a social-security plug-in: SG-CPF module or the default module (no contribution). Runs in user currency.</t>
        </is>
      </c>
      <c r="E14" s="79" t="inlineStr">
        <is>
          <t>CPF tab: module per country, module used.</t>
        </is>
      </c>
      <c r="F14" s="79" t="inlineStr">
        <is>
          <t>Code has only src/cpf.py; HappiU and SV run their own CPF.</t>
        </is>
      </c>
    </row>
    <row r="15">
      <c r="A15" s="79" t="inlineStr">
        <is>
          <t>V0-14</t>
        </is>
      </c>
      <c r="B15" s="79" t="inlineStr">
        <is>
          <t>2026-09-25</t>
        </is>
      </c>
      <c r="C15" s="79" t="inlineStr">
        <is>
          <t>Scenario Visualizer</t>
        </is>
      </c>
      <c r="D15" s="79" t="inlineStr">
        <is>
          <t>Mortgage instalment is a level 20-year annuity at loanRate (mortgage × r / (1 − (1 + r)^−20); rate 0 → mortgage / 20), replacing round(mortgage / 20). The balance now runs smoothly to 0 in year 20 (no step at the end of the term).</t>
        </is>
      </c>
      <c r="E15" s="79" t="inlineStr">
        <is>
          <t>SV tab: SV_inst, mortgage balance column. deterministic_engines.twin_sv / sv_loans.</t>
        </is>
      </c>
      <c r="F15" s="79" t="inlineStr">
        <is>
          <t>In code (goal_math.annual_loan_payment, sv_payload.py). Workbook catches up.</t>
        </is>
      </c>
    </row>
    <row r="16">
      <c r="A16" s="79" t="inlineStr">
        <is>
          <t>V0-14</t>
        </is>
      </c>
      <c r="B16" s="79" t="inlineStr">
        <is>
          <t>2026-09-25</t>
        </is>
      </c>
      <c r="C16" s="79" t="inlineStr">
        <is>
          <t>Scenario Visualizer</t>
        </is>
      </c>
      <c r="D16" s="79" t="inlineStr">
        <is>
          <t>New SPENDABLE pre / post columns for the expense-funding panel: cash + investments + savings (+ plan pots on post) − max(0, remaining mortgage − (home + CPF)). Not floored at 0. New results: first age spendable wealth &lt; 0 (pre / post).</t>
        </is>
      </c>
      <c r="E16" s="79" t="inlineStr">
        <is>
          <t>SV tab: spPre, spPost, SV_spOutPre, SV_spOutPost. twin_sv spendable. excel_check SV_COLS.</t>
        </is>
      </c>
      <c r="F16" s="79" t="inlineStr">
        <is>
          <t>SV engine (CashFlowGeneratorV2 spendableWealth). Earmarked goal pots funded from assets = 0 in the workbook: open question.</t>
        </is>
      </c>
    </row>
    <row r="17">
      <c r="A17" s="79" t="inlineStr">
        <is>
          <t>V0-14</t>
        </is>
      </c>
      <c r="B17" s="79" t="inlineStr">
        <is>
          <t>2026-09-25</t>
        </is>
      </c>
      <c r="C17" s="79" t="inlineStr">
        <is>
          <t>Folder</t>
        </is>
      </c>
      <c r="D17" s="79" t="inlineStr">
        <is>
          <t>New tree docs/calculations_clone (first named calculations-V0-14) cloned from docs/calculations (V0-13). Older trees stay as snapshots.</t>
        </is>
      </c>
      <c r="E17" s="79" t="inlineStr">
        <is>
          <t>Whole folder.</t>
        </is>
      </c>
      <c r="F17" s="79" t="inlineStr">
        <is>
          <t>—</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44546A"/>
    <outlinePr summaryBelow="1" summaryRight="1"/>
    <pageSetUpPr/>
  </sheetPr>
  <dimension ref="A1:R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row>
    <row r="3">
      <c r="A3" s="4" t="inlineStr">
        <is>
          <t>P01</t>
        </is>
      </c>
      <c r="B3" s="80" t="n">
        <v>4200</v>
      </c>
      <c r="C3" s="80" t="n">
        <v>2268</v>
      </c>
      <c r="D3" s="69" t="n">
        <v>983</v>
      </c>
      <c r="E3" s="69" t="n">
        <v>5569</v>
      </c>
      <c r="F3" s="69" t="n">
        <v>0</v>
      </c>
      <c r="G3" s="69" t="n">
        <v>0</v>
      </c>
      <c r="H3" s="69" t="n">
        <v>0</v>
      </c>
      <c r="I3" s="77" t="b">
        <v>1</v>
      </c>
      <c r="J3" s="77" t="b">
        <v>0</v>
      </c>
      <c r="K3" s="77" t="b">
        <v>0</v>
      </c>
      <c r="L3" s="77" t="b">
        <v>1</v>
      </c>
      <c r="M3" s="77" t="b">
        <v>1</v>
      </c>
      <c r="N3" s="77" t="b">
        <v>0</v>
      </c>
      <c r="O3" s="77" t="b">
        <v>1</v>
      </c>
      <c r="P3" s="77" t="b">
        <v>0</v>
      </c>
      <c r="Q3" s="69" t="n">
        <v>540361</v>
      </c>
      <c r="R3" s="69" t="n">
        <v>1036295</v>
      </c>
    </row>
    <row r="4">
      <c r="A4" s="4" t="inlineStr">
        <is>
          <t>P02</t>
        </is>
      </c>
      <c r="B4" s="80" t="n">
        <v>6020</v>
      </c>
      <c r="C4" s="80" t="n">
        <v>3250.8</v>
      </c>
      <c r="D4" s="69" t="n">
        <v>8452</v>
      </c>
      <c r="E4" s="69" t="n">
        <v>47895</v>
      </c>
      <c r="F4" s="69" t="n">
        <v>0</v>
      </c>
      <c r="G4" s="69" t="n">
        <v>0</v>
      </c>
      <c r="H4" s="69" t="n">
        <v>0</v>
      </c>
      <c r="I4" s="77" t="b">
        <v>1</v>
      </c>
      <c r="J4" s="77" t="b">
        <v>0</v>
      </c>
      <c r="K4" s="77" t="b">
        <v>0</v>
      </c>
      <c r="L4" s="77" t="b">
        <v>1</v>
      </c>
      <c r="M4" s="77" t="b">
        <v>1</v>
      </c>
      <c r="N4" s="77" t="b">
        <v>0</v>
      </c>
      <c r="O4" s="77" t="b">
        <v>1</v>
      </c>
      <c r="P4" s="77" t="b">
        <v>0</v>
      </c>
      <c r="Q4" s="69" t="n">
        <v>724812</v>
      </c>
      <c r="R4" s="69" t="n">
        <v>1078002</v>
      </c>
    </row>
    <row r="5">
      <c r="A5" s="4" t="inlineStr">
        <is>
          <t>P03</t>
        </is>
      </c>
      <c r="B5" s="80" t="n">
        <v>7140</v>
      </c>
      <c r="C5" s="80" t="n">
        <v>4141.2</v>
      </c>
      <c r="D5" s="69" t="n">
        <v>18378</v>
      </c>
      <c r="E5" s="69" t="n">
        <v>104144</v>
      </c>
      <c r="F5" s="69" t="n">
        <v>350000</v>
      </c>
      <c r="G5" s="69" t="n">
        <v>192500</v>
      </c>
      <c r="H5" s="69" t="n">
        <v>428400</v>
      </c>
      <c r="I5" s="77" t="b">
        <v>1</v>
      </c>
      <c r="J5" s="77" t="b">
        <v>0</v>
      </c>
      <c r="K5" s="77" t="b">
        <v>0</v>
      </c>
      <c r="L5" s="77" t="b">
        <v>1</v>
      </c>
      <c r="M5" s="77" t="b">
        <v>1</v>
      </c>
      <c r="N5" s="77" t="b">
        <v>0</v>
      </c>
      <c r="O5" s="77" t="b">
        <v>0</v>
      </c>
      <c r="P5" s="77" t="b">
        <v>1</v>
      </c>
      <c r="Q5" s="69" t="n">
        <v>874927</v>
      </c>
      <c r="R5" s="69" t="n">
        <v>1633487</v>
      </c>
    </row>
    <row r="6">
      <c r="A6" s="4" t="inlineStr">
        <is>
          <t>P04</t>
        </is>
      </c>
      <c r="B6" s="80" t="n">
        <v>4550</v>
      </c>
      <c r="C6" s="80" t="n">
        <v>2821</v>
      </c>
      <c r="D6" s="69" t="n">
        <v>14742</v>
      </c>
      <c r="E6" s="69" t="n">
        <v>83538</v>
      </c>
      <c r="F6" s="69" t="n">
        <v>350000</v>
      </c>
      <c r="G6" s="69" t="n">
        <v>192500</v>
      </c>
      <c r="H6" s="69" t="n">
        <v>273000</v>
      </c>
      <c r="I6" s="77" t="b">
        <v>1</v>
      </c>
      <c r="J6" s="77" t="b">
        <v>0</v>
      </c>
      <c r="K6" s="77" t="b">
        <v>0</v>
      </c>
      <c r="L6" s="77" t="b">
        <v>1</v>
      </c>
      <c r="M6" s="77" t="b">
        <v>1</v>
      </c>
      <c r="N6" s="77" t="b">
        <v>0</v>
      </c>
      <c r="O6" s="77" t="b">
        <v>0</v>
      </c>
      <c r="P6" s="77" t="b">
        <v>1</v>
      </c>
      <c r="Q6" s="69" t="n">
        <v>498862</v>
      </c>
      <c r="R6" s="69" t="n">
        <v>603146</v>
      </c>
    </row>
    <row r="7">
      <c r="A7" s="4" t="inlineStr">
        <is>
          <t>P05</t>
        </is>
      </c>
      <c r="B7" s="80" t="n">
        <v>5000</v>
      </c>
      <c r="C7" s="80" t="n">
        <v>3875</v>
      </c>
      <c r="D7" s="69" t="n">
        <v>26325</v>
      </c>
      <c r="E7" s="69" t="n">
        <v>149175</v>
      </c>
      <c r="F7" s="69" t="n">
        <v>350000</v>
      </c>
      <c r="G7" s="69" t="n">
        <v>192500</v>
      </c>
      <c r="H7" s="69" t="n">
        <v>300000</v>
      </c>
      <c r="I7" s="77" t="b">
        <v>1</v>
      </c>
      <c r="J7" s="77" t="b">
        <v>0</v>
      </c>
      <c r="K7" s="77" t="b">
        <v>0</v>
      </c>
      <c r="L7" s="77" t="b">
        <v>1</v>
      </c>
      <c r="M7" s="77" t="b">
        <v>1</v>
      </c>
      <c r="N7" s="77" t="b">
        <v>0</v>
      </c>
      <c r="O7" s="77" t="b">
        <v>0</v>
      </c>
      <c r="P7" s="77" t="b">
        <v>1</v>
      </c>
      <c r="Q7" s="69" t="n">
        <v>613326</v>
      </c>
      <c r="R7" s="69" t="n">
        <v>1285792</v>
      </c>
    </row>
    <row r="8">
      <c r="A8" s="4" t="inlineStr">
        <is>
          <t>P06</t>
        </is>
      </c>
      <c r="B8" s="80" t="n">
        <v>13910</v>
      </c>
      <c r="C8" s="80" t="n">
        <v>8924.75</v>
      </c>
      <c r="D8" s="69" t="n">
        <v>33514</v>
      </c>
      <c r="E8" s="69" t="n">
        <v>189913</v>
      </c>
      <c r="F8" s="69" t="n">
        <v>650000</v>
      </c>
      <c r="G8" s="69" t="n">
        <v>357500</v>
      </c>
      <c r="H8" s="69" t="n">
        <v>834600</v>
      </c>
      <c r="I8" s="77" t="b">
        <v>1</v>
      </c>
      <c r="J8" s="77" t="b">
        <v>1</v>
      </c>
      <c r="K8" s="77" t="b">
        <v>0</v>
      </c>
      <c r="L8" s="77" t="b">
        <v>0</v>
      </c>
      <c r="M8" s="77" t="b">
        <v>1</v>
      </c>
      <c r="N8" s="77" t="b">
        <v>0</v>
      </c>
      <c r="O8" s="77" t="b">
        <v>0</v>
      </c>
      <c r="P8" s="77" t="b">
        <v>1</v>
      </c>
      <c r="Q8" s="69" t="n">
        <v>1983433</v>
      </c>
      <c r="R8" s="69" t="n">
        <v>2984292</v>
      </c>
    </row>
    <row r="9">
      <c r="A9" s="4" t="inlineStr">
        <is>
          <t>P07</t>
        </is>
      </c>
      <c r="B9" s="80" t="n">
        <v>5525</v>
      </c>
      <c r="C9" s="80" t="n">
        <v>2983.5</v>
      </c>
      <c r="D9" s="69" t="n">
        <v>42664</v>
      </c>
      <c r="E9" s="69" t="n">
        <v>241763</v>
      </c>
      <c r="F9" s="69" t="n">
        <v>350000</v>
      </c>
      <c r="G9" s="69" t="n">
        <v>192500</v>
      </c>
      <c r="H9" s="69" t="n">
        <v>200000</v>
      </c>
      <c r="I9" s="77" t="b">
        <v>1</v>
      </c>
      <c r="J9" s="77" t="b">
        <v>0</v>
      </c>
      <c r="K9" s="77" t="b">
        <v>0</v>
      </c>
      <c r="L9" s="77" t="b">
        <v>1</v>
      </c>
      <c r="M9" s="77" t="b">
        <v>1</v>
      </c>
      <c r="N9" s="77" t="b">
        <v>0</v>
      </c>
      <c r="O9" s="77" t="b">
        <v>0</v>
      </c>
      <c r="P9" s="77" t="b">
        <v>1</v>
      </c>
      <c r="Q9" s="69" t="n">
        <v>516509</v>
      </c>
      <c r="R9" s="69" t="n">
        <v>842652</v>
      </c>
    </row>
    <row r="10">
      <c r="A10" s="4" t="inlineStr">
        <is>
          <t>P08</t>
        </is>
      </c>
      <c r="B10" s="80" t="n">
        <v>5975</v>
      </c>
      <c r="C10" s="80" t="n">
        <v>4042.5</v>
      </c>
      <c r="D10" s="69" t="n">
        <v>30098</v>
      </c>
      <c r="E10" s="69" t="n">
        <v>170557</v>
      </c>
      <c r="F10" s="69" t="n">
        <v>350000</v>
      </c>
      <c r="G10" s="69" t="n">
        <v>192500</v>
      </c>
      <c r="H10" s="69" t="n">
        <v>358500</v>
      </c>
      <c r="I10" s="77" t="b">
        <v>1</v>
      </c>
      <c r="J10" s="77" t="b">
        <v>0</v>
      </c>
      <c r="K10" s="77" t="b">
        <v>0</v>
      </c>
      <c r="L10" s="77" t="b">
        <v>1</v>
      </c>
      <c r="M10" s="77" t="b">
        <v>1</v>
      </c>
      <c r="N10" s="77" t="b">
        <v>0</v>
      </c>
      <c r="O10" s="77" t="b">
        <v>0</v>
      </c>
      <c r="P10" s="77" t="b">
        <v>1</v>
      </c>
      <c r="Q10" s="69" t="n">
        <v>631517</v>
      </c>
      <c r="R10" s="69" t="n">
        <v>524768</v>
      </c>
    </row>
    <row r="11">
      <c r="A11" s="4" t="inlineStr">
        <is>
          <t>P09</t>
        </is>
      </c>
      <c r="B11" s="80" t="n">
        <v>3350</v>
      </c>
      <c r="C11" s="80" t="n">
        <v>1809</v>
      </c>
      <c r="D11" s="69" t="n">
        <v>3136</v>
      </c>
      <c r="E11" s="69" t="n">
        <v>17768</v>
      </c>
      <c r="F11" s="69" t="n">
        <v>0</v>
      </c>
      <c r="G11" s="69" t="n">
        <v>0</v>
      </c>
      <c r="H11" s="69" t="n">
        <v>0</v>
      </c>
      <c r="I11" s="77" t="b">
        <v>1</v>
      </c>
      <c r="J11" s="77" t="b">
        <v>0</v>
      </c>
      <c r="K11" s="77" t="b">
        <v>0</v>
      </c>
      <c r="L11" s="77" t="b">
        <v>1</v>
      </c>
      <c r="M11" s="77" t="b">
        <v>1</v>
      </c>
      <c r="N11" s="77" t="b">
        <v>0</v>
      </c>
      <c r="O11" s="77" t="b">
        <v>1</v>
      </c>
      <c r="P11" s="77" t="b">
        <v>0</v>
      </c>
      <c r="Q11" s="69" t="n">
        <v>431003</v>
      </c>
      <c r="R11" s="69" t="n">
        <v>812405</v>
      </c>
    </row>
    <row r="12">
      <c r="A12" s="4" t="inlineStr">
        <is>
          <t>P10</t>
        </is>
      </c>
      <c r="B12" s="80" t="n">
        <v>4250</v>
      </c>
      <c r="C12" s="80" t="n">
        <v>3293.75</v>
      </c>
      <c r="D12" s="69" t="n">
        <v>13770</v>
      </c>
      <c r="E12" s="69" t="n">
        <v>78030</v>
      </c>
      <c r="F12" s="69" t="n">
        <v>0</v>
      </c>
      <c r="G12" s="69" t="n">
        <v>0</v>
      </c>
      <c r="H12" s="69" t="n">
        <v>255000</v>
      </c>
      <c r="I12" s="77" t="b">
        <v>1</v>
      </c>
      <c r="J12" s="77" t="b">
        <v>0</v>
      </c>
      <c r="K12" s="77" t="b">
        <v>0</v>
      </c>
      <c r="L12" s="77" t="b">
        <v>1</v>
      </c>
      <c r="M12" s="77" t="b">
        <v>1</v>
      </c>
      <c r="N12" s="77" t="b">
        <v>0</v>
      </c>
      <c r="O12" s="77" t="b">
        <v>1</v>
      </c>
      <c r="P12" s="77" t="b">
        <v>0</v>
      </c>
      <c r="Q12" s="69" t="n">
        <v>452793</v>
      </c>
      <c r="R12" s="69" t="n">
        <v>859363</v>
      </c>
    </row>
    <row r="13">
      <c r="A13" s="4" t="inlineStr">
        <is>
          <t>P11</t>
        </is>
      </c>
      <c r="B13" s="80" t="n">
        <v>7140</v>
      </c>
      <c r="C13" s="80" t="n">
        <v>4141.2</v>
      </c>
      <c r="D13" s="69" t="n">
        <v>42412</v>
      </c>
      <c r="E13" s="69" t="n">
        <v>240332</v>
      </c>
      <c r="F13" s="69" t="n">
        <v>350000</v>
      </c>
      <c r="G13" s="69" t="n">
        <v>192500</v>
      </c>
      <c r="H13" s="69" t="n">
        <v>428400</v>
      </c>
      <c r="I13" s="77" t="b">
        <v>1</v>
      </c>
      <c r="J13" s="77" t="b">
        <v>0</v>
      </c>
      <c r="K13" s="77" t="b">
        <v>0</v>
      </c>
      <c r="L13" s="77" t="b">
        <v>1</v>
      </c>
      <c r="M13" s="77" t="b">
        <v>1</v>
      </c>
      <c r="N13" s="77" t="b">
        <v>0</v>
      </c>
      <c r="O13" s="77" t="b">
        <v>0</v>
      </c>
      <c r="P13" s="77" t="b">
        <v>1</v>
      </c>
      <c r="Q13" s="69" t="n">
        <v>642236</v>
      </c>
      <c r="R13" s="69" t="n">
        <v>1316453</v>
      </c>
    </row>
    <row r="14">
      <c r="A14" s="4" t="inlineStr">
        <is>
          <t>P12</t>
        </is>
      </c>
      <c r="B14" s="80" t="n">
        <v>9800</v>
      </c>
      <c r="C14" s="80" t="n">
        <v>6210</v>
      </c>
      <c r="D14" s="69" t="n">
        <v>121095</v>
      </c>
      <c r="E14" s="69" t="n">
        <v>686205</v>
      </c>
      <c r="F14" s="69" t="n">
        <v>350000</v>
      </c>
      <c r="G14" s="69" t="n">
        <v>192500</v>
      </c>
      <c r="H14" s="69" t="n">
        <v>200000</v>
      </c>
      <c r="I14" s="77" t="b">
        <v>1</v>
      </c>
      <c r="J14" s="77" t="b">
        <v>0</v>
      </c>
      <c r="K14" s="77" t="b">
        <v>0</v>
      </c>
      <c r="L14" s="77" t="b">
        <v>1</v>
      </c>
      <c r="M14" s="77" t="b">
        <v>1</v>
      </c>
      <c r="N14" s="77" t="b">
        <v>0</v>
      </c>
      <c r="O14" s="77" t="b">
        <v>0</v>
      </c>
      <c r="P14" s="77" t="b">
        <v>1</v>
      </c>
      <c r="Q14" s="69" t="n">
        <v>866908</v>
      </c>
      <c r="R14" s="69" t="n">
        <v>1235459</v>
      </c>
    </row>
    <row r="15">
      <c r="A15" s="4" t="inlineStr">
        <is>
          <t>P13</t>
        </is>
      </c>
      <c r="B15" s="80" t="n">
        <v>6580</v>
      </c>
      <c r="C15" s="80" t="n">
        <v>3816.4</v>
      </c>
      <c r="D15" s="69" t="n">
        <v>11726</v>
      </c>
      <c r="E15" s="69" t="n">
        <v>66445</v>
      </c>
      <c r="F15" s="69" t="n">
        <v>0</v>
      </c>
      <c r="G15" s="69" t="n">
        <v>0</v>
      </c>
      <c r="H15" s="69" t="n">
        <v>394800</v>
      </c>
      <c r="I15" s="77" t="b">
        <v>1</v>
      </c>
      <c r="J15" s="77" t="b">
        <v>0</v>
      </c>
      <c r="K15" s="77" t="b">
        <v>0</v>
      </c>
      <c r="L15" s="77" t="b">
        <v>1</v>
      </c>
      <c r="M15" s="77" t="b">
        <v>1</v>
      </c>
      <c r="N15" s="77" t="b">
        <v>0</v>
      </c>
      <c r="O15" s="77" t="b">
        <v>1</v>
      </c>
      <c r="P15" s="77" t="b">
        <v>0</v>
      </c>
      <c r="Q15" s="69" t="n">
        <v>759260</v>
      </c>
      <c r="R15" s="69" t="n">
        <v>1066448</v>
      </c>
    </row>
    <row r="16">
      <c r="A16" s="4" t="inlineStr">
        <is>
          <t>P14</t>
        </is>
      </c>
      <c r="B16" s="80" t="n">
        <v>4775</v>
      </c>
      <c r="C16" s="80" t="n">
        <v>3342.5</v>
      </c>
      <c r="D16" s="69" t="n">
        <v>9884</v>
      </c>
      <c r="E16" s="69" t="n">
        <v>56011</v>
      </c>
      <c r="F16" s="69" t="n">
        <v>350000</v>
      </c>
      <c r="G16" s="69" t="n">
        <v>192500</v>
      </c>
      <c r="H16" s="69" t="n">
        <v>286500</v>
      </c>
      <c r="I16" s="77" t="b">
        <v>1</v>
      </c>
      <c r="J16" s="77" t="b">
        <v>0</v>
      </c>
      <c r="K16" s="77" t="b">
        <v>0</v>
      </c>
      <c r="L16" s="77" t="b">
        <v>1</v>
      </c>
      <c r="M16" s="77" t="b">
        <v>1</v>
      </c>
      <c r="N16" s="77" t="b">
        <v>0</v>
      </c>
      <c r="O16" s="77" t="b">
        <v>0</v>
      </c>
      <c r="P16" s="77" t="b">
        <v>1</v>
      </c>
      <c r="Q16" s="69" t="n">
        <v>555497</v>
      </c>
      <c r="R16" s="69" t="n">
        <v>937828</v>
      </c>
    </row>
    <row r="17">
      <c r="A17" s="4" t="inlineStr">
        <is>
          <t>P15</t>
        </is>
      </c>
      <c r="B17" s="80" t="n">
        <v>5750</v>
      </c>
      <c r="C17" s="80" t="n">
        <v>3654.12</v>
      </c>
      <c r="D17" s="69" t="n">
        <v>34373</v>
      </c>
      <c r="E17" s="69" t="n">
        <v>194778</v>
      </c>
      <c r="F17" s="69" t="n">
        <v>350000</v>
      </c>
      <c r="G17" s="69" t="n">
        <v>192500</v>
      </c>
      <c r="H17" s="69" t="n">
        <v>345000</v>
      </c>
      <c r="I17" s="77" t="b">
        <v>1</v>
      </c>
      <c r="J17" s="77" t="b">
        <v>0</v>
      </c>
      <c r="K17" s="77" t="b">
        <v>0</v>
      </c>
      <c r="L17" s="77" t="b">
        <v>1</v>
      </c>
      <c r="M17" s="77" t="b">
        <v>1</v>
      </c>
      <c r="N17" s="77" t="b">
        <v>0</v>
      </c>
      <c r="O17" s="77" t="b">
        <v>0</v>
      </c>
      <c r="P17" s="77" t="b">
        <v>1</v>
      </c>
      <c r="Q17" s="69" t="n">
        <v>589339</v>
      </c>
      <c r="R17" s="69" t="n">
        <v>1071094</v>
      </c>
    </row>
    <row r="18">
      <c r="A18" s="4" t="inlineStr">
        <is>
          <t>P16</t>
        </is>
      </c>
      <c r="B18" s="80" t="n">
        <v>10400</v>
      </c>
      <c r="C18" s="80" t="n">
        <v>5940</v>
      </c>
      <c r="D18" s="69" t="n">
        <v>5148</v>
      </c>
      <c r="E18" s="69" t="n">
        <v>29172</v>
      </c>
      <c r="F18" s="69" t="n">
        <v>0</v>
      </c>
      <c r="G18" s="69" t="n">
        <v>0</v>
      </c>
      <c r="H18" s="69" t="n">
        <v>0</v>
      </c>
      <c r="I18" s="77" t="b">
        <v>1</v>
      </c>
      <c r="J18" s="77" t="b">
        <v>0</v>
      </c>
      <c r="K18" s="77" t="b">
        <v>0</v>
      </c>
      <c r="L18" s="77" t="b">
        <v>1</v>
      </c>
      <c r="M18" s="77" t="b">
        <v>1</v>
      </c>
      <c r="N18" s="77" t="b">
        <v>0</v>
      </c>
      <c r="O18" s="77" t="b">
        <v>1</v>
      </c>
      <c r="P18" s="77" t="b">
        <v>0</v>
      </c>
      <c r="Q18" s="69" t="n">
        <v>1415232</v>
      </c>
      <c r="R18" s="69" t="n">
        <v>2664616</v>
      </c>
    </row>
    <row r="19">
      <c r="A19" s="4" t="inlineStr">
        <is>
          <t>P17</t>
        </is>
      </c>
      <c r="B19" s="80" t="n">
        <v>3575</v>
      </c>
      <c r="C19" s="80" t="n">
        <v>1930.5</v>
      </c>
      <c r="D19" s="69" t="n">
        <v>5856</v>
      </c>
      <c r="E19" s="69" t="n">
        <v>33183</v>
      </c>
      <c r="F19" s="69" t="n">
        <v>0</v>
      </c>
      <c r="G19" s="69" t="n">
        <v>0</v>
      </c>
      <c r="H19" s="69" t="n">
        <v>0</v>
      </c>
      <c r="I19" s="77" t="b">
        <v>1</v>
      </c>
      <c r="J19" s="77" t="b">
        <v>0</v>
      </c>
      <c r="K19" s="77" t="b">
        <v>0</v>
      </c>
      <c r="L19" s="77" t="b">
        <v>1</v>
      </c>
      <c r="M19" s="77" t="b">
        <v>1</v>
      </c>
      <c r="N19" s="77" t="b">
        <v>0</v>
      </c>
      <c r="O19" s="77" t="b">
        <v>1</v>
      </c>
      <c r="P19" s="77" t="b">
        <v>0</v>
      </c>
      <c r="Q19" s="69" t="n">
        <v>415260</v>
      </c>
      <c r="R19" s="69" t="n">
        <v>628502</v>
      </c>
    </row>
    <row r="20">
      <c r="A20" s="4" t="inlineStr">
        <is>
          <t>P18</t>
        </is>
      </c>
      <c r="B20" s="80" t="n">
        <v>4100</v>
      </c>
      <c r="C20" s="80" t="n">
        <v>2378</v>
      </c>
      <c r="D20" s="69" t="n">
        <v>11365</v>
      </c>
      <c r="E20" s="69" t="n">
        <v>64403</v>
      </c>
      <c r="F20" s="69" t="n">
        <v>350000</v>
      </c>
      <c r="G20" s="69" t="n">
        <v>192500</v>
      </c>
      <c r="H20" s="69" t="n">
        <v>246000</v>
      </c>
      <c r="I20" s="77" t="b">
        <v>1</v>
      </c>
      <c r="J20" s="77" t="b">
        <v>0</v>
      </c>
      <c r="K20" s="77" t="b">
        <v>0</v>
      </c>
      <c r="L20" s="77" t="b">
        <v>1</v>
      </c>
      <c r="M20" s="77" t="b">
        <v>1</v>
      </c>
      <c r="N20" s="77" t="b">
        <v>0</v>
      </c>
      <c r="O20" s="77" t="b">
        <v>0</v>
      </c>
      <c r="P20" s="77" t="b">
        <v>1</v>
      </c>
      <c r="Q20" s="69" t="n">
        <v>563112</v>
      </c>
      <c r="R20" s="69" t="n">
        <v>920893</v>
      </c>
    </row>
    <row r="21">
      <c r="A21" s="4" t="inlineStr">
        <is>
          <t>P19</t>
        </is>
      </c>
      <c r="B21" s="80" t="n">
        <v>4625</v>
      </c>
      <c r="C21" s="80" t="n">
        <v>2867.5</v>
      </c>
      <c r="D21" s="69" t="n">
        <v>15734</v>
      </c>
      <c r="E21" s="69" t="n">
        <v>89161</v>
      </c>
      <c r="F21" s="69" t="n">
        <v>350000</v>
      </c>
      <c r="G21" s="69" t="n">
        <v>192500</v>
      </c>
      <c r="H21" s="69" t="n">
        <v>277500</v>
      </c>
      <c r="I21" s="77" t="b">
        <v>1</v>
      </c>
      <c r="J21" s="77" t="b">
        <v>0</v>
      </c>
      <c r="K21" s="77" t="b">
        <v>0</v>
      </c>
      <c r="L21" s="77" t="b">
        <v>1</v>
      </c>
      <c r="M21" s="77" t="b">
        <v>1</v>
      </c>
      <c r="N21" s="77" t="b">
        <v>0</v>
      </c>
      <c r="O21" s="77" t="b">
        <v>0</v>
      </c>
      <c r="P21" s="77" t="b">
        <v>1</v>
      </c>
      <c r="Q21" s="69" t="n">
        <v>503912</v>
      </c>
      <c r="R21" s="69" t="n">
        <v>601908</v>
      </c>
    </row>
    <row r="22">
      <c r="A22" s="4" t="inlineStr">
        <is>
          <t>P20</t>
        </is>
      </c>
      <c r="B22" s="80" t="n">
        <v>5075</v>
      </c>
      <c r="C22" s="80" t="n">
        <v>3933.12</v>
      </c>
      <c r="D22" s="69" t="n">
        <v>27748</v>
      </c>
      <c r="E22" s="69" t="n">
        <v>157237</v>
      </c>
      <c r="F22" s="69" t="n">
        <v>350000</v>
      </c>
      <c r="G22" s="69" t="n">
        <v>192500</v>
      </c>
      <c r="H22" s="69" t="n">
        <v>304500</v>
      </c>
      <c r="I22" s="77" t="b">
        <v>1</v>
      </c>
      <c r="J22" s="77" t="b">
        <v>0</v>
      </c>
      <c r="K22" s="77" t="b">
        <v>0</v>
      </c>
      <c r="L22" s="77" t="b">
        <v>1</v>
      </c>
      <c r="M22" s="77" t="b">
        <v>1</v>
      </c>
      <c r="N22" s="77" t="b">
        <v>0</v>
      </c>
      <c r="O22" s="77" t="b">
        <v>0</v>
      </c>
      <c r="P22" s="77" t="b">
        <v>1</v>
      </c>
      <c r="Q22" s="69" t="n">
        <v>619638</v>
      </c>
      <c r="R22" s="69" t="n">
        <v>1281280</v>
      </c>
    </row>
    <row r="23">
      <c r="A23" s="4" t="inlineStr">
        <is>
          <t>P21</t>
        </is>
      </c>
      <c r="B23" s="80" t="n">
        <v>5250</v>
      </c>
      <c r="C23" s="80" t="n">
        <v>3045</v>
      </c>
      <c r="D23" s="69" t="n">
        <v>12474</v>
      </c>
      <c r="E23" s="69" t="n">
        <v>70686</v>
      </c>
      <c r="F23" s="69" t="n">
        <v>350000</v>
      </c>
      <c r="G23" s="69" t="n">
        <v>192500</v>
      </c>
      <c r="H23" s="69" t="n">
        <v>315000</v>
      </c>
      <c r="I23" s="77" t="b">
        <v>1</v>
      </c>
      <c r="J23" s="77" t="b">
        <v>0</v>
      </c>
      <c r="K23" s="77" t="b">
        <v>0</v>
      </c>
      <c r="L23" s="77" t="b">
        <v>1</v>
      </c>
      <c r="M23" s="77" t="b">
        <v>1</v>
      </c>
      <c r="N23" s="77" t="b">
        <v>0</v>
      </c>
      <c r="O23" s="77" t="b">
        <v>0</v>
      </c>
      <c r="P23" s="77" t="b">
        <v>1</v>
      </c>
      <c r="Q23" s="69" t="n">
        <v>721009</v>
      </c>
      <c r="R23" s="69" t="n">
        <v>999633</v>
      </c>
    </row>
    <row r="24">
      <c r="A24" s="4" t="inlineStr">
        <is>
          <t>P22</t>
        </is>
      </c>
      <c r="B24" s="80" t="n">
        <v>8960</v>
      </c>
      <c r="C24" s="80" t="n">
        <v>4968</v>
      </c>
      <c r="D24" s="69" t="n">
        <v>73195</v>
      </c>
      <c r="E24" s="69" t="n">
        <v>414773</v>
      </c>
      <c r="F24" s="69" t="n">
        <v>350000</v>
      </c>
      <c r="G24" s="69" t="n">
        <v>192500</v>
      </c>
      <c r="H24" s="69" t="n">
        <v>200000</v>
      </c>
      <c r="I24" s="77" t="b">
        <v>1</v>
      </c>
      <c r="J24" s="77" t="b">
        <v>0</v>
      </c>
      <c r="K24" s="77" t="b">
        <v>0</v>
      </c>
      <c r="L24" s="77" t="b">
        <v>1</v>
      </c>
      <c r="M24" s="77" t="b">
        <v>1</v>
      </c>
      <c r="N24" s="77" t="b">
        <v>0</v>
      </c>
      <c r="O24" s="77" t="b">
        <v>0</v>
      </c>
      <c r="P24" s="77" t="b">
        <v>1</v>
      </c>
      <c r="Q24" s="69" t="n">
        <v>732027</v>
      </c>
      <c r="R24" s="69" t="n">
        <v>1377564</v>
      </c>
    </row>
    <row r="25">
      <c r="A25" s="4" t="inlineStr">
        <is>
          <t>P23</t>
        </is>
      </c>
      <c r="B25" s="80" t="n">
        <v>10920</v>
      </c>
      <c r="C25" s="80" t="n">
        <v>8184</v>
      </c>
      <c r="D25" s="69" t="n">
        <v>62496</v>
      </c>
      <c r="E25" s="69" t="n">
        <v>354144</v>
      </c>
      <c r="F25" s="69" t="n">
        <v>650000</v>
      </c>
      <c r="G25" s="69" t="n">
        <v>357500</v>
      </c>
      <c r="H25" s="69" t="n">
        <v>655200</v>
      </c>
      <c r="I25" s="77" t="b">
        <v>1</v>
      </c>
      <c r="J25" s="77" t="b">
        <v>1</v>
      </c>
      <c r="K25" s="77" t="b">
        <v>0</v>
      </c>
      <c r="L25" s="77" t="b">
        <v>0</v>
      </c>
      <c r="M25" s="77" t="b">
        <v>1</v>
      </c>
      <c r="N25" s="77" t="b">
        <v>0</v>
      </c>
      <c r="O25" s="77" t="b">
        <v>0</v>
      </c>
      <c r="P25" s="77" t="b">
        <v>1</v>
      </c>
      <c r="Q25" s="69" t="n">
        <v>1246285</v>
      </c>
      <c r="R25" s="69" t="n">
        <v>1043015</v>
      </c>
    </row>
    <row r="26">
      <c r="A26" s="4" t="inlineStr">
        <is>
          <t>P24</t>
        </is>
      </c>
      <c r="B26" s="80" t="n">
        <v>3425</v>
      </c>
      <c r="C26" s="80" t="n">
        <v>1849.5</v>
      </c>
      <c r="D26" s="69" t="n">
        <v>4007</v>
      </c>
      <c r="E26" s="69" t="n">
        <v>22708</v>
      </c>
      <c r="F26" s="69" t="n">
        <v>0</v>
      </c>
      <c r="G26" s="69" t="n">
        <v>0</v>
      </c>
      <c r="H26" s="69" t="n">
        <v>0</v>
      </c>
      <c r="I26" s="77" t="b">
        <v>1</v>
      </c>
      <c r="J26" s="77" t="b">
        <v>0</v>
      </c>
      <c r="K26" s="77" t="b">
        <v>0</v>
      </c>
      <c r="L26" s="77" t="b">
        <v>1</v>
      </c>
      <c r="M26" s="77" t="b">
        <v>1</v>
      </c>
      <c r="N26" s="77" t="b">
        <v>0</v>
      </c>
      <c r="O26" s="77" t="b">
        <v>1</v>
      </c>
      <c r="P26" s="77" t="b">
        <v>0</v>
      </c>
      <c r="Q26" s="69" t="n">
        <v>426642</v>
      </c>
      <c r="R26" s="69" t="n">
        <v>815448</v>
      </c>
    </row>
    <row r="27">
      <c r="A27" s="4" t="inlineStr">
        <is>
          <t>P25</t>
        </is>
      </c>
      <c r="B27" s="80" t="n">
        <v>4325</v>
      </c>
      <c r="C27" s="80" t="n">
        <v>3351.88</v>
      </c>
      <c r="D27" s="69" t="n">
        <v>14889</v>
      </c>
      <c r="E27" s="69" t="n">
        <v>84370</v>
      </c>
      <c r="F27" s="69" t="n">
        <v>0</v>
      </c>
      <c r="G27" s="69" t="n">
        <v>0</v>
      </c>
      <c r="H27" s="69" t="n">
        <v>259500</v>
      </c>
      <c r="I27" s="77" t="b">
        <v>1</v>
      </c>
      <c r="J27" s="77" t="b">
        <v>0</v>
      </c>
      <c r="K27" s="77" t="b">
        <v>0</v>
      </c>
      <c r="L27" s="77" t="b">
        <v>1</v>
      </c>
      <c r="M27" s="77" t="b">
        <v>1</v>
      </c>
      <c r="N27" s="77" t="b">
        <v>0</v>
      </c>
      <c r="O27" s="77" t="b">
        <v>1</v>
      </c>
      <c r="P27" s="77" t="b">
        <v>0</v>
      </c>
      <c r="Q27" s="69" t="n">
        <v>429120</v>
      </c>
      <c r="R27" s="69" t="n">
        <v>858583</v>
      </c>
    </row>
    <row r="28">
      <c r="A28" s="4" t="inlineStr">
        <is>
          <t>P26</t>
        </is>
      </c>
      <c r="B28" s="80" t="n">
        <v>21710</v>
      </c>
      <c r="C28" s="80" t="n">
        <v>14579.75</v>
      </c>
      <c r="D28" s="69" t="n">
        <v>154294</v>
      </c>
      <c r="E28" s="69" t="n">
        <v>874333</v>
      </c>
      <c r="F28" s="69" t="n">
        <v>850000</v>
      </c>
      <c r="G28" s="69" t="n">
        <v>467500</v>
      </c>
      <c r="H28" s="69" t="n">
        <v>1302600</v>
      </c>
      <c r="I28" s="77" t="b">
        <v>0</v>
      </c>
      <c r="J28" s="77" t="b">
        <v>1</v>
      </c>
      <c r="K28" s="77" t="b">
        <v>0</v>
      </c>
      <c r="L28" s="77" t="b">
        <v>1</v>
      </c>
      <c r="M28" s="77" t="b">
        <v>1</v>
      </c>
      <c r="N28" s="77" t="b">
        <v>0</v>
      </c>
      <c r="O28" s="77" t="b">
        <v>0</v>
      </c>
      <c r="P28" s="77" t="b">
        <v>1</v>
      </c>
      <c r="Q28" s="69" t="n">
        <v>2050866</v>
      </c>
      <c r="R28" s="69" t="n">
        <v>4550270</v>
      </c>
    </row>
    <row r="29">
      <c r="A29" s="4" t="inlineStr">
        <is>
          <t>P27</t>
        </is>
      </c>
      <c r="B29" s="80" t="n">
        <v>6200</v>
      </c>
      <c r="C29" s="80" t="n">
        <v>3871.13</v>
      </c>
      <c r="D29" s="69" t="n">
        <v>77164</v>
      </c>
      <c r="E29" s="69" t="n">
        <v>437264</v>
      </c>
      <c r="F29" s="69" t="n">
        <v>350000</v>
      </c>
      <c r="G29" s="69" t="n">
        <v>192500</v>
      </c>
      <c r="H29" s="69" t="n">
        <v>200000</v>
      </c>
      <c r="I29" s="77" t="b">
        <v>1</v>
      </c>
      <c r="J29" s="77" t="b">
        <v>0</v>
      </c>
      <c r="K29" s="77" t="b">
        <v>0</v>
      </c>
      <c r="L29" s="77" t="b">
        <v>1</v>
      </c>
      <c r="M29" s="77" t="b">
        <v>1</v>
      </c>
      <c r="N29" s="77" t="b">
        <v>0</v>
      </c>
      <c r="O29" s="77" t="b">
        <v>0</v>
      </c>
      <c r="P29" s="77" t="b">
        <v>1</v>
      </c>
      <c r="Q29" s="69" t="n">
        <v>612906</v>
      </c>
      <c r="R29" s="69" t="n">
        <v>770148</v>
      </c>
    </row>
    <row r="30">
      <c r="A30" s="4" t="inlineStr">
        <is>
          <t>P28</t>
        </is>
      </c>
      <c r="B30" s="80" t="n">
        <v>3800</v>
      </c>
      <c r="C30" s="80" t="n">
        <v>2204</v>
      </c>
      <c r="D30" s="69" t="n">
        <v>7524</v>
      </c>
      <c r="E30" s="69" t="n">
        <v>42636</v>
      </c>
      <c r="F30" s="69" t="n">
        <v>0</v>
      </c>
      <c r="G30" s="69" t="n">
        <v>0</v>
      </c>
      <c r="H30" s="69" t="n">
        <v>228000</v>
      </c>
      <c r="I30" s="77" t="b">
        <v>1</v>
      </c>
      <c r="J30" s="77" t="b">
        <v>0</v>
      </c>
      <c r="K30" s="77" t="b">
        <v>0</v>
      </c>
      <c r="L30" s="77" t="b">
        <v>1</v>
      </c>
      <c r="M30" s="77" t="b">
        <v>1</v>
      </c>
      <c r="N30" s="77" t="b">
        <v>0</v>
      </c>
      <c r="O30" s="77" t="b">
        <v>1</v>
      </c>
      <c r="P30" s="77" t="b">
        <v>0</v>
      </c>
      <c r="Q30" s="69" t="n">
        <v>420174</v>
      </c>
      <c r="R30" s="69" t="n">
        <v>604652</v>
      </c>
    </row>
    <row r="31">
      <c r="A31" s="4" t="inlineStr">
        <is>
          <t>P29</t>
        </is>
      </c>
      <c r="B31" s="80" t="n">
        <v>4850</v>
      </c>
      <c r="C31" s="80" t="n">
        <v>3395</v>
      </c>
      <c r="D31" s="69" t="n">
        <v>10476</v>
      </c>
      <c r="E31" s="69" t="n">
        <v>59364</v>
      </c>
      <c r="F31" s="69" t="n">
        <v>350000</v>
      </c>
      <c r="G31" s="69" t="n">
        <v>192500</v>
      </c>
      <c r="H31" s="69" t="n">
        <v>291000</v>
      </c>
      <c r="I31" s="77" t="b">
        <v>1</v>
      </c>
      <c r="J31" s="77" t="b">
        <v>0</v>
      </c>
      <c r="K31" s="77" t="b">
        <v>0</v>
      </c>
      <c r="L31" s="77" t="b">
        <v>1</v>
      </c>
      <c r="M31" s="77" t="b">
        <v>1</v>
      </c>
      <c r="N31" s="77" t="b">
        <v>0</v>
      </c>
      <c r="O31" s="77" t="b">
        <v>0</v>
      </c>
      <c r="P31" s="77" t="b">
        <v>1</v>
      </c>
      <c r="Q31" s="69" t="n">
        <v>561198</v>
      </c>
      <c r="R31" s="69" t="n">
        <v>935189</v>
      </c>
    </row>
    <row r="32">
      <c r="A32" s="4" t="inlineStr">
        <is>
          <t>P30</t>
        </is>
      </c>
      <c r="B32" s="80" t="n">
        <v>5825</v>
      </c>
      <c r="C32" s="80" t="n">
        <v>3702.18</v>
      </c>
      <c r="D32" s="69" t="n">
        <v>35792</v>
      </c>
      <c r="E32" s="69" t="n">
        <v>202819</v>
      </c>
      <c r="F32" s="69" t="n">
        <v>350000</v>
      </c>
      <c r="G32" s="69" t="n">
        <v>192500</v>
      </c>
      <c r="H32" s="69" t="n">
        <v>349500</v>
      </c>
      <c r="I32" s="77" t="b">
        <v>1</v>
      </c>
      <c r="J32" s="77" t="b">
        <v>0</v>
      </c>
      <c r="K32" s="77" t="b">
        <v>0</v>
      </c>
      <c r="L32" s="77" t="b">
        <v>1</v>
      </c>
      <c r="M32" s="77" t="b">
        <v>1</v>
      </c>
      <c r="N32" s="77" t="b">
        <v>0</v>
      </c>
      <c r="O32" s="77" t="b">
        <v>0</v>
      </c>
      <c r="P32" s="77" t="b">
        <v>1</v>
      </c>
      <c r="Q32" s="69" t="n">
        <v>594558</v>
      </c>
      <c r="R32" s="69" t="n">
        <v>1065393</v>
      </c>
    </row>
    <row r="33">
      <c r="A33" s="4" t="inlineStr">
        <is>
          <t>P31</t>
        </is>
      </c>
      <c r="B33" s="80" t="n">
        <v>4305</v>
      </c>
      <c r="C33" s="80" t="n">
        <v>2324.7</v>
      </c>
      <c r="D33" s="69" t="n">
        <v>3022</v>
      </c>
      <c r="E33" s="69" t="n">
        <v>17125</v>
      </c>
      <c r="F33" s="69" t="n">
        <v>0</v>
      </c>
      <c r="G33" s="69" t="n">
        <v>0</v>
      </c>
      <c r="H33" s="69" t="n">
        <v>0</v>
      </c>
      <c r="I33" s="77" t="b">
        <v>1</v>
      </c>
      <c r="J33" s="77" t="b">
        <v>0</v>
      </c>
      <c r="K33" s="77" t="b">
        <v>0</v>
      </c>
      <c r="L33" s="77" t="b">
        <v>1</v>
      </c>
      <c r="M33" s="77" t="b">
        <v>1</v>
      </c>
      <c r="N33" s="77" t="b">
        <v>0</v>
      </c>
      <c r="O33" s="77" t="b">
        <v>1</v>
      </c>
      <c r="P33" s="77" t="b">
        <v>0</v>
      </c>
      <c r="Q33" s="69" t="n">
        <v>553871</v>
      </c>
      <c r="R33" s="69" t="n">
        <v>1023819</v>
      </c>
    </row>
    <row r="34">
      <c r="A34" s="4" t="inlineStr">
        <is>
          <t>P32</t>
        </is>
      </c>
      <c r="B34" s="80" t="n">
        <v>6230</v>
      </c>
      <c r="C34" s="80" t="n">
        <v>3364.2</v>
      </c>
      <c r="D34" s="69" t="n">
        <v>11663</v>
      </c>
      <c r="E34" s="69" t="n">
        <v>66088</v>
      </c>
      <c r="F34" s="69" t="n">
        <v>0</v>
      </c>
      <c r="G34" s="69" t="n">
        <v>0</v>
      </c>
      <c r="H34" s="69" t="n">
        <v>0</v>
      </c>
      <c r="I34" s="77" t="b">
        <v>1</v>
      </c>
      <c r="J34" s="77" t="b">
        <v>0</v>
      </c>
      <c r="K34" s="77" t="b">
        <v>0</v>
      </c>
      <c r="L34" s="77" t="b">
        <v>1</v>
      </c>
      <c r="M34" s="77" t="b">
        <v>1</v>
      </c>
      <c r="N34" s="77" t="b">
        <v>0</v>
      </c>
      <c r="O34" s="77" t="b">
        <v>1</v>
      </c>
      <c r="P34" s="77" t="b">
        <v>0</v>
      </c>
      <c r="Q34" s="69" t="n">
        <v>696727</v>
      </c>
      <c r="R34" s="69" t="n">
        <v>1075293</v>
      </c>
    </row>
    <row r="35">
      <c r="A35" s="4" t="inlineStr">
        <is>
          <t>P33</t>
        </is>
      </c>
      <c r="B35" s="80" t="n">
        <v>7420</v>
      </c>
      <c r="C35" s="80" t="n">
        <v>4303.6</v>
      </c>
      <c r="D35" s="69" t="n">
        <v>22037</v>
      </c>
      <c r="E35" s="69" t="n">
        <v>124879</v>
      </c>
      <c r="F35" s="69" t="n">
        <v>350000</v>
      </c>
      <c r="G35" s="69" t="n">
        <v>192500</v>
      </c>
      <c r="H35" s="69" t="n">
        <v>445200</v>
      </c>
      <c r="I35" s="77" t="b">
        <v>1</v>
      </c>
      <c r="J35" s="77" t="b">
        <v>0</v>
      </c>
      <c r="K35" s="77" t="b">
        <v>0</v>
      </c>
      <c r="L35" s="77" t="b">
        <v>1</v>
      </c>
      <c r="M35" s="77" t="b">
        <v>1</v>
      </c>
      <c r="N35" s="77" t="b">
        <v>0</v>
      </c>
      <c r="O35" s="77" t="b">
        <v>0</v>
      </c>
      <c r="P35" s="77" t="b">
        <v>1</v>
      </c>
      <c r="Q35" s="69" t="n">
        <v>824031</v>
      </c>
      <c r="R35" s="69" t="n">
        <v>1636203</v>
      </c>
    </row>
    <row r="36">
      <c r="A36" s="4" t="inlineStr">
        <is>
          <t>P34</t>
        </is>
      </c>
      <c r="B36" s="80" t="n">
        <v>4700</v>
      </c>
      <c r="C36" s="80" t="n">
        <v>2914</v>
      </c>
      <c r="D36" s="69" t="n">
        <v>16751</v>
      </c>
      <c r="E36" s="69" t="n">
        <v>94921</v>
      </c>
      <c r="F36" s="69" t="n">
        <v>350000</v>
      </c>
      <c r="G36" s="69" t="n">
        <v>192500</v>
      </c>
      <c r="H36" s="69" t="n">
        <v>282000</v>
      </c>
      <c r="I36" s="77" t="b">
        <v>1</v>
      </c>
      <c r="J36" s="77" t="b">
        <v>0</v>
      </c>
      <c r="K36" s="77" t="b">
        <v>0</v>
      </c>
      <c r="L36" s="77" t="b">
        <v>1</v>
      </c>
      <c r="M36" s="77" t="b">
        <v>1</v>
      </c>
      <c r="N36" s="77" t="b">
        <v>0</v>
      </c>
      <c r="O36" s="77" t="b">
        <v>0</v>
      </c>
      <c r="P36" s="77" t="b">
        <v>1</v>
      </c>
      <c r="Q36" s="69" t="n">
        <v>508961</v>
      </c>
      <c r="R36" s="69" t="n">
        <v>600516</v>
      </c>
    </row>
    <row r="37">
      <c r="A37" s="4" t="inlineStr">
        <is>
          <t>P35</t>
        </is>
      </c>
      <c r="B37" s="80" t="n">
        <v>5150</v>
      </c>
      <c r="C37" s="80" t="n">
        <v>3991.25</v>
      </c>
      <c r="D37" s="69" t="n">
        <v>29200</v>
      </c>
      <c r="E37" s="69" t="n">
        <v>165470</v>
      </c>
      <c r="F37" s="69" t="n">
        <v>350000</v>
      </c>
      <c r="G37" s="69" t="n">
        <v>192500</v>
      </c>
      <c r="H37" s="69" t="n">
        <v>309000</v>
      </c>
      <c r="I37" s="77" t="b">
        <v>1</v>
      </c>
      <c r="J37" s="77" t="b">
        <v>0</v>
      </c>
      <c r="K37" s="77" t="b">
        <v>0</v>
      </c>
      <c r="L37" s="77" t="b">
        <v>1</v>
      </c>
      <c r="M37" s="77" t="b">
        <v>1</v>
      </c>
      <c r="N37" s="77" t="b">
        <v>0</v>
      </c>
      <c r="O37" s="77" t="b">
        <v>0</v>
      </c>
      <c r="P37" s="77" t="b">
        <v>1</v>
      </c>
      <c r="Q37" s="69" t="n">
        <v>625951</v>
      </c>
      <c r="R37" s="69" t="n">
        <v>1276508</v>
      </c>
    </row>
    <row r="38">
      <c r="A38" s="4" t="inlineStr">
        <is>
          <t>P36</t>
        </is>
      </c>
      <c r="B38" s="80" t="n">
        <v>14690</v>
      </c>
      <c r="C38" s="80" t="n">
        <v>9490.25</v>
      </c>
      <c r="D38" s="69" t="n">
        <v>42117</v>
      </c>
      <c r="E38" s="69" t="n">
        <v>238663</v>
      </c>
      <c r="F38" s="69" t="n">
        <v>650000</v>
      </c>
      <c r="G38" s="69" t="n">
        <v>357500</v>
      </c>
      <c r="H38" s="69" t="n">
        <v>881400</v>
      </c>
      <c r="I38" s="77" t="b">
        <v>1</v>
      </c>
      <c r="J38" s="77" t="b">
        <v>1</v>
      </c>
      <c r="K38" s="77" t="b">
        <v>0</v>
      </c>
      <c r="L38" s="77" t="b">
        <v>0</v>
      </c>
      <c r="M38" s="77" t="b">
        <v>1</v>
      </c>
      <c r="N38" s="77" t="b">
        <v>0</v>
      </c>
      <c r="O38" s="77" t="b">
        <v>0</v>
      </c>
      <c r="P38" s="77" t="b">
        <v>1</v>
      </c>
      <c r="Q38" s="69" t="n">
        <v>1921395</v>
      </c>
      <c r="R38" s="69" t="n">
        <v>3058713</v>
      </c>
    </row>
    <row r="39">
      <c r="A39" s="4" t="inlineStr">
        <is>
          <t>P37</t>
        </is>
      </c>
      <c r="B39" s="80" t="n">
        <v>5675</v>
      </c>
      <c r="C39" s="80" t="n">
        <v>3141.45</v>
      </c>
      <c r="D39" s="69" t="n">
        <v>47645</v>
      </c>
      <c r="E39" s="69" t="n">
        <v>269990</v>
      </c>
      <c r="F39" s="69" t="n">
        <v>350000</v>
      </c>
      <c r="G39" s="69" t="n">
        <v>192500</v>
      </c>
      <c r="H39" s="69" t="n">
        <v>200000</v>
      </c>
      <c r="I39" s="77" t="b">
        <v>1</v>
      </c>
      <c r="J39" s="77" t="b">
        <v>0</v>
      </c>
      <c r="K39" s="77" t="b">
        <v>0</v>
      </c>
      <c r="L39" s="77" t="b">
        <v>1</v>
      </c>
      <c r="M39" s="77" t="b">
        <v>1</v>
      </c>
      <c r="N39" s="77" t="b">
        <v>0</v>
      </c>
      <c r="O39" s="77" t="b">
        <v>0</v>
      </c>
      <c r="P39" s="77" t="b">
        <v>1</v>
      </c>
      <c r="Q39" s="69" t="n">
        <v>533663</v>
      </c>
      <c r="R39" s="69" t="n">
        <v>855201</v>
      </c>
    </row>
    <row r="40">
      <c r="A40" s="4" t="inlineStr">
        <is>
          <t>P38</t>
        </is>
      </c>
      <c r="B40" s="80" t="n">
        <v>6125</v>
      </c>
      <c r="C40" s="80" t="n">
        <v>4422</v>
      </c>
      <c r="D40" s="69" t="n">
        <v>34612</v>
      </c>
      <c r="E40" s="69" t="n">
        <v>196136</v>
      </c>
      <c r="F40" s="69" t="n">
        <v>350000</v>
      </c>
      <c r="G40" s="69" t="n">
        <v>192500</v>
      </c>
      <c r="H40" s="69" t="n">
        <v>367500</v>
      </c>
      <c r="I40" s="77" t="b">
        <v>1</v>
      </c>
      <c r="J40" s="77" t="b">
        <v>0</v>
      </c>
      <c r="K40" s="77" t="b">
        <v>0</v>
      </c>
      <c r="L40" s="77" t="b">
        <v>1</v>
      </c>
      <c r="M40" s="77" t="b">
        <v>1</v>
      </c>
      <c r="N40" s="77" t="b">
        <v>0</v>
      </c>
      <c r="O40" s="77" t="b">
        <v>0</v>
      </c>
      <c r="P40" s="77" t="b">
        <v>1</v>
      </c>
      <c r="Q40" s="69" t="n">
        <v>672731</v>
      </c>
      <c r="R40" s="69" t="n">
        <v>553288</v>
      </c>
    </row>
    <row r="41">
      <c r="A41" s="4" t="inlineStr">
        <is>
          <t>P39</t>
        </is>
      </c>
      <c r="B41" s="80" t="n">
        <v>3500</v>
      </c>
      <c r="C41" s="80" t="n">
        <v>1890</v>
      </c>
      <c r="D41" s="69" t="n">
        <v>4914</v>
      </c>
      <c r="E41" s="69" t="n">
        <v>27846</v>
      </c>
      <c r="F41" s="69" t="n">
        <v>0</v>
      </c>
      <c r="G41" s="69" t="n">
        <v>0</v>
      </c>
      <c r="H41" s="69" t="n">
        <v>0</v>
      </c>
      <c r="I41" s="77" t="b">
        <v>1</v>
      </c>
      <c r="J41" s="77" t="b">
        <v>0</v>
      </c>
      <c r="K41" s="77" t="b">
        <v>0</v>
      </c>
      <c r="L41" s="77" t="b">
        <v>1</v>
      </c>
      <c r="M41" s="77" t="b">
        <v>1</v>
      </c>
      <c r="N41" s="77" t="b">
        <v>0</v>
      </c>
      <c r="O41" s="77" t="b">
        <v>1</v>
      </c>
      <c r="P41" s="77" t="b">
        <v>0</v>
      </c>
      <c r="Q41" s="69" t="n">
        <v>421402</v>
      </c>
      <c r="R41" s="69" t="n">
        <v>818110</v>
      </c>
    </row>
    <row r="42">
      <c r="A42" s="4" t="inlineStr">
        <is>
          <t>P40</t>
        </is>
      </c>
      <c r="B42" s="80" t="n">
        <v>4400</v>
      </c>
      <c r="C42" s="80" t="n">
        <v>3410</v>
      </c>
      <c r="D42" s="69" t="n">
        <v>16038</v>
      </c>
      <c r="E42" s="69" t="n">
        <v>90882</v>
      </c>
      <c r="F42" s="69" t="n">
        <v>0</v>
      </c>
      <c r="G42" s="69" t="n">
        <v>0</v>
      </c>
      <c r="H42" s="69" t="n">
        <v>264000</v>
      </c>
      <c r="I42" s="77" t="b">
        <v>1</v>
      </c>
      <c r="J42" s="77" t="b">
        <v>0</v>
      </c>
      <c r="K42" s="77" t="b">
        <v>0</v>
      </c>
      <c r="L42" s="77" t="b">
        <v>1</v>
      </c>
      <c r="M42" s="77" t="b">
        <v>1</v>
      </c>
      <c r="N42" s="77" t="b">
        <v>0</v>
      </c>
      <c r="O42" s="77" t="b">
        <v>1</v>
      </c>
      <c r="P42" s="77" t="b">
        <v>0</v>
      </c>
      <c r="Q42" s="69" t="n">
        <v>403748</v>
      </c>
      <c r="R42" s="69" t="n">
        <v>857544</v>
      </c>
    </row>
    <row r="43">
      <c r="A43" s="4" t="inlineStr">
        <is>
          <t>P41</t>
        </is>
      </c>
      <c r="B43" s="80" t="n">
        <v>7350</v>
      </c>
      <c r="C43" s="80" t="n">
        <v>4263</v>
      </c>
      <c r="D43" s="69" t="n">
        <v>46570</v>
      </c>
      <c r="E43" s="69" t="n">
        <v>263894</v>
      </c>
      <c r="F43" s="69" t="n">
        <v>350000</v>
      </c>
      <c r="G43" s="69" t="n">
        <v>192500</v>
      </c>
      <c r="H43" s="69" t="n">
        <v>441000</v>
      </c>
      <c r="I43" s="77" t="b">
        <v>1</v>
      </c>
      <c r="J43" s="77" t="b">
        <v>0</v>
      </c>
      <c r="K43" s="77" t="b">
        <v>0</v>
      </c>
      <c r="L43" s="77" t="b">
        <v>1</v>
      </c>
      <c r="M43" s="77" t="b">
        <v>1</v>
      </c>
      <c r="N43" s="77" t="b">
        <v>0</v>
      </c>
      <c r="O43" s="77" t="b">
        <v>0</v>
      </c>
      <c r="P43" s="77" t="b">
        <v>1</v>
      </c>
      <c r="Q43" s="69" t="n">
        <v>655463</v>
      </c>
      <c r="R43" s="69" t="n">
        <v>1306202</v>
      </c>
    </row>
    <row r="44">
      <c r="A44" s="4" t="inlineStr">
        <is>
          <t>P42</t>
        </is>
      </c>
      <c r="B44" s="80" t="n">
        <v>9800</v>
      </c>
      <c r="C44" s="80" t="n">
        <v>6210</v>
      </c>
      <c r="D44" s="69" t="n">
        <v>126477</v>
      </c>
      <c r="E44" s="69" t="n">
        <v>716703</v>
      </c>
      <c r="F44" s="69" t="n">
        <v>350000</v>
      </c>
      <c r="G44" s="69" t="n">
        <v>192500</v>
      </c>
      <c r="H44" s="69" t="n">
        <v>200000</v>
      </c>
      <c r="I44" s="77" t="b">
        <v>1</v>
      </c>
      <c r="J44" s="77" t="b">
        <v>0</v>
      </c>
      <c r="K44" s="77" t="b">
        <v>0</v>
      </c>
      <c r="L44" s="77" t="b">
        <v>1</v>
      </c>
      <c r="M44" s="77" t="b">
        <v>1</v>
      </c>
      <c r="N44" s="77" t="b">
        <v>0</v>
      </c>
      <c r="O44" s="77" t="b">
        <v>0</v>
      </c>
      <c r="P44" s="77" t="b">
        <v>1</v>
      </c>
      <c r="Q44" s="69" t="n">
        <v>866908</v>
      </c>
      <c r="R44" s="69" t="n">
        <v>1235459</v>
      </c>
    </row>
    <row r="45">
      <c r="A45" s="4" t="inlineStr">
        <is>
          <t>P43</t>
        </is>
      </c>
      <c r="B45" s="80" t="n">
        <v>6860</v>
      </c>
      <c r="C45" s="80" t="n">
        <v>3978.8</v>
      </c>
      <c r="D45" s="69" t="n">
        <v>14941</v>
      </c>
      <c r="E45" s="69" t="n">
        <v>84666</v>
      </c>
      <c r="F45" s="69" t="n">
        <v>0</v>
      </c>
      <c r="G45" s="69" t="n">
        <v>0</v>
      </c>
      <c r="H45" s="69" t="n">
        <v>411600</v>
      </c>
      <c r="I45" s="77" t="b">
        <v>1</v>
      </c>
      <c r="J45" s="77" t="b">
        <v>0</v>
      </c>
      <c r="K45" s="77" t="b">
        <v>0</v>
      </c>
      <c r="L45" s="77" t="b">
        <v>1</v>
      </c>
      <c r="M45" s="77" t="b">
        <v>1</v>
      </c>
      <c r="N45" s="77" t="b">
        <v>0</v>
      </c>
      <c r="O45" s="77" t="b">
        <v>1</v>
      </c>
      <c r="P45" s="77" t="b">
        <v>0</v>
      </c>
      <c r="Q45" s="69" t="n">
        <v>724867</v>
      </c>
      <c r="R45" s="69" t="n">
        <v>1071652</v>
      </c>
    </row>
    <row r="46">
      <c r="A46" s="4" t="inlineStr">
        <is>
          <t>P44</t>
        </is>
      </c>
      <c r="B46" s="80" t="n">
        <v>4925</v>
      </c>
      <c r="C46" s="80" t="n">
        <v>3447.5</v>
      </c>
      <c r="D46" s="69" t="n">
        <v>11081</v>
      </c>
      <c r="E46" s="69" t="n">
        <v>62794</v>
      </c>
      <c r="F46" s="69" t="n">
        <v>350000</v>
      </c>
      <c r="G46" s="69" t="n">
        <v>192500</v>
      </c>
      <c r="H46" s="69" t="n">
        <v>295500</v>
      </c>
      <c r="I46" s="77" t="b">
        <v>1</v>
      </c>
      <c r="J46" s="77" t="b">
        <v>0</v>
      </c>
      <c r="K46" s="77" t="b">
        <v>0</v>
      </c>
      <c r="L46" s="77" t="b">
        <v>1</v>
      </c>
      <c r="M46" s="77" t="b">
        <v>1</v>
      </c>
      <c r="N46" s="77" t="b">
        <v>0</v>
      </c>
      <c r="O46" s="77" t="b">
        <v>0</v>
      </c>
      <c r="P46" s="77" t="b">
        <v>1</v>
      </c>
      <c r="Q46" s="69" t="n">
        <v>566900</v>
      </c>
      <c r="R46" s="69" t="n">
        <v>932334</v>
      </c>
    </row>
    <row r="47">
      <c r="A47" s="4" t="inlineStr">
        <is>
          <t>P45</t>
        </is>
      </c>
      <c r="B47" s="80" t="n">
        <v>5900</v>
      </c>
      <c r="C47" s="80" t="n">
        <v>3749.45</v>
      </c>
      <c r="D47" s="69" t="n">
        <v>37228</v>
      </c>
      <c r="E47" s="69" t="n">
        <v>210961</v>
      </c>
      <c r="F47" s="69" t="n">
        <v>350000</v>
      </c>
      <c r="G47" s="69" t="n">
        <v>192500</v>
      </c>
      <c r="H47" s="69" t="n">
        <v>354000</v>
      </c>
      <c r="I47" s="77" t="b">
        <v>1</v>
      </c>
      <c r="J47" s="77" t="b">
        <v>0</v>
      </c>
      <c r="K47" s="77" t="b">
        <v>0</v>
      </c>
      <c r="L47" s="77" t="b">
        <v>1</v>
      </c>
      <c r="M47" s="77" t="b">
        <v>1</v>
      </c>
      <c r="N47" s="77" t="b">
        <v>0</v>
      </c>
      <c r="O47" s="77" t="b">
        <v>0</v>
      </c>
      <c r="P47" s="77" t="b">
        <v>1</v>
      </c>
      <c r="Q47" s="69" t="n">
        <v>599692</v>
      </c>
      <c r="R47" s="69" t="n">
        <v>1059322</v>
      </c>
    </row>
    <row r="48">
      <c r="A48" s="4" t="inlineStr">
        <is>
          <t>P46</t>
        </is>
      </c>
      <c r="B48" s="80" t="n">
        <v>10400</v>
      </c>
      <c r="C48" s="80" t="n">
        <v>5940</v>
      </c>
      <c r="D48" s="69" t="n">
        <v>2574</v>
      </c>
      <c r="E48" s="69" t="n">
        <v>14586</v>
      </c>
      <c r="F48" s="69" t="n">
        <v>0</v>
      </c>
      <c r="G48" s="69" t="n">
        <v>0</v>
      </c>
      <c r="H48" s="69" t="n">
        <v>0</v>
      </c>
      <c r="I48" s="77" t="b">
        <v>1</v>
      </c>
      <c r="J48" s="77" t="b">
        <v>0</v>
      </c>
      <c r="K48" s="77" t="b">
        <v>0</v>
      </c>
      <c r="L48" s="77" t="b">
        <v>1</v>
      </c>
      <c r="M48" s="77" t="b">
        <v>1</v>
      </c>
      <c r="N48" s="77" t="b">
        <v>0</v>
      </c>
      <c r="O48" s="77" t="b">
        <v>1</v>
      </c>
      <c r="P48" s="77" t="b">
        <v>0</v>
      </c>
      <c r="Q48" s="69" t="n">
        <v>1415232</v>
      </c>
      <c r="R48" s="69" t="n">
        <v>2714105</v>
      </c>
    </row>
    <row r="49">
      <c r="A49" s="4" t="inlineStr">
        <is>
          <t>P47</t>
        </is>
      </c>
      <c r="B49" s="80" t="n">
        <v>3500</v>
      </c>
      <c r="C49" s="80" t="n">
        <v>1890</v>
      </c>
      <c r="D49" s="69" t="n">
        <v>4914</v>
      </c>
      <c r="E49" s="69" t="n">
        <v>27846</v>
      </c>
      <c r="F49" s="69" t="n">
        <v>0</v>
      </c>
      <c r="G49" s="69" t="n">
        <v>0</v>
      </c>
      <c r="H49" s="69" t="n">
        <v>0</v>
      </c>
      <c r="I49" s="77" t="b">
        <v>1</v>
      </c>
      <c r="J49" s="77" t="b">
        <v>0</v>
      </c>
      <c r="K49" s="77" t="b">
        <v>0</v>
      </c>
      <c r="L49" s="77" t="b">
        <v>1</v>
      </c>
      <c r="M49" s="77" t="b">
        <v>1</v>
      </c>
      <c r="N49" s="77" t="b">
        <v>0</v>
      </c>
      <c r="O49" s="77" t="b">
        <v>1</v>
      </c>
      <c r="P49" s="77" t="b">
        <v>0</v>
      </c>
      <c r="Q49" s="69" t="n">
        <v>421402</v>
      </c>
      <c r="R49" s="69" t="n">
        <v>626745</v>
      </c>
    </row>
    <row r="50">
      <c r="A50" s="4" t="inlineStr">
        <is>
          <t>P48</t>
        </is>
      </c>
      <c r="B50" s="80" t="n">
        <v>4025</v>
      </c>
      <c r="C50" s="80" t="n">
        <v>2334.5</v>
      </c>
      <c r="D50" s="69" t="n">
        <v>10360</v>
      </c>
      <c r="E50" s="69" t="n">
        <v>58709</v>
      </c>
      <c r="F50" s="69" t="n">
        <v>350000</v>
      </c>
      <c r="G50" s="69" t="n">
        <v>192500</v>
      </c>
      <c r="H50" s="69" t="n">
        <v>241500</v>
      </c>
      <c r="I50" s="77" t="b">
        <v>1</v>
      </c>
      <c r="J50" s="77" t="b">
        <v>0</v>
      </c>
      <c r="K50" s="77" t="b">
        <v>0</v>
      </c>
      <c r="L50" s="77" t="b">
        <v>1</v>
      </c>
      <c r="M50" s="77" t="b">
        <v>1</v>
      </c>
      <c r="N50" s="77" t="b">
        <v>0</v>
      </c>
      <c r="O50" s="77" t="b">
        <v>0</v>
      </c>
      <c r="P50" s="77" t="b">
        <v>1</v>
      </c>
      <c r="Q50" s="69" t="n">
        <v>577202</v>
      </c>
      <c r="R50" s="69" t="n">
        <v>920838</v>
      </c>
    </row>
    <row r="51">
      <c r="A51" s="4" t="inlineStr">
        <is>
          <t>P49</t>
        </is>
      </c>
      <c r="B51" s="80" t="n">
        <v>4550</v>
      </c>
      <c r="C51" s="80" t="n">
        <v>2821</v>
      </c>
      <c r="D51" s="69" t="n">
        <v>14742</v>
      </c>
      <c r="E51" s="69" t="n">
        <v>83538</v>
      </c>
      <c r="F51" s="69" t="n">
        <v>350000</v>
      </c>
      <c r="G51" s="69" t="n">
        <v>192500</v>
      </c>
      <c r="H51" s="69" t="n">
        <v>273000</v>
      </c>
      <c r="I51" s="77" t="b">
        <v>1</v>
      </c>
      <c r="J51" s="77" t="b">
        <v>0</v>
      </c>
      <c r="K51" s="77" t="b">
        <v>0</v>
      </c>
      <c r="L51" s="77" t="b">
        <v>1</v>
      </c>
      <c r="M51" s="77" t="b">
        <v>1</v>
      </c>
      <c r="N51" s="77" t="b">
        <v>0</v>
      </c>
      <c r="O51" s="77" t="b">
        <v>0</v>
      </c>
      <c r="P51" s="77" t="b">
        <v>1</v>
      </c>
      <c r="Q51" s="69" t="n">
        <v>498862</v>
      </c>
      <c r="R51" s="69" t="n">
        <v>603146</v>
      </c>
    </row>
    <row r="52">
      <c r="A52" s="4" t="inlineStr">
        <is>
          <t>P50</t>
        </is>
      </c>
      <c r="B52" s="80" t="n">
        <v>5000</v>
      </c>
      <c r="C52" s="80" t="n">
        <v>3875</v>
      </c>
      <c r="D52" s="69" t="n">
        <v>26325</v>
      </c>
      <c r="E52" s="69" t="n">
        <v>149175</v>
      </c>
      <c r="F52" s="69" t="n">
        <v>350000</v>
      </c>
      <c r="G52" s="69" t="n">
        <v>192500</v>
      </c>
      <c r="H52" s="69" t="n">
        <v>300000</v>
      </c>
      <c r="I52" s="77" t="b">
        <v>1</v>
      </c>
      <c r="J52" s="77" t="b">
        <v>0</v>
      </c>
      <c r="K52" s="77" t="b">
        <v>0</v>
      </c>
      <c r="L52" s="77" t="b">
        <v>1</v>
      </c>
      <c r="M52" s="77" t="b">
        <v>1</v>
      </c>
      <c r="N52" s="77" t="b">
        <v>0</v>
      </c>
      <c r="O52" s="77" t="b">
        <v>0</v>
      </c>
      <c r="P52" s="77" t="b">
        <v>1</v>
      </c>
      <c r="Q52" s="69" t="n">
        <v>613326</v>
      </c>
      <c r="R52" s="69" t="n">
        <v>1285792</v>
      </c>
    </row>
  </sheetData>
  <autoFilter ref="A2:R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2026-09-26T08:16:01Z</dcterms:created>
  <dcterms:modified xmlns:dcterms="http://purl.org/dc/terms/" xmlns:xsi="http://www.w3.org/2001/XMLSchema-instance" xsi:type="dcterms:W3CDTF">2026-09-26T08:16:02Z</dcterms:modified>
</cp:coreProperties>
</file>