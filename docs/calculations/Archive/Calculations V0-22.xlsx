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ictionary" sheetId="2" state="visible" r:id="rId2"/>
    <sheet xmlns:r="http://schemas.openxmlformats.org/officeDocument/2006/relationships" name="Selected persona" sheetId="3" state="visible" r:id="rId3"/>
    <sheet xmlns:r="http://schemas.openxmlformats.org/officeDocument/2006/relationships" name="Personas" sheetId="4" state="visible" r:id="rId4"/>
    <sheet xmlns:r="http://schemas.openxmlformats.org/officeDocument/2006/relationships" name="CPF" sheetId="5" state="visible" r:id="rId5"/>
    <sheet xmlns:r="http://schemas.openxmlformats.org/officeDocument/2006/relationships" name="People Like You" sheetId="6" state="visible" r:id="rId6"/>
    <sheet xmlns:r="http://schemas.openxmlformats.org/officeDocument/2006/relationships" name="Need Profiler" sheetId="7" state="visible" r:id="rId7"/>
    <sheet xmlns:r="http://schemas.openxmlformats.org/officeDocument/2006/relationships" name="Need Calculator" sheetId="8" state="visible" r:id="rId8"/>
    <sheet xmlns:r="http://schemas.openxmlformats.org/officeDocument/2006/relationships" name="Plan Calculator" sheetId="9" state="visible" r:id="rId9"/>
    <sheet xmlns:r="http://schemas.openxmlformats.org/officeDocument/2006/relationships" name="Budget Calculator" sheetId="10" state="visible" r:id="rId10"/>
    <sheet xmlns:r="http://schemas.openxmlformats.org/officeDocument/2006/relationships" name="Scenario Visualizer" sheetId="11" state="visible" r:id="rId11"/>
    <sheet xmlns:r="http://schemas.openxmlformats.org/officeDocument/2006/relationships" name="HappiU" sheetId="12" state="visible" r:id="rId12"/>
    <sheet xmlns:r="http://schemas.openxmlformats.org/officeDocument/2006/relationships" name="FX" sheetId="13" state="visible" r:id="rId13"/>
    <sheet xmlns:r="http://schemas.openxmlformats.org/officeDocument/2006/relationships" name="Validation" sheetId="14" state="visible" r:id="rId14"/>
    <sheet xmlns:r="http://schemas.openxmlformats.org/officeDocument/2006/relationships" name="Assumptions" sheetId="15" state="visible" r:id="rId15"/>
    <sheet xmlns:r="http://schemas.openxmlformats.org/officeDocument/2006/relationships" name="Discrepancies" sheetId="16" state="visible" r:id="rId16"/>
    <sheet xmlns:r="http://schemas.openxmlformats.org/officeDocument/2006/relationships" name="Change log" sheetId="17" state="visible" r:id="rId17"/>
    <sheet xmlns:r="http://schemas.openxmlformats.org/officeDocument/2006/relationships" name="Code check" sheetId="18" state="visible" r:id="rId18"/>
  </sheets>
  <definedNames>
    <definedName name="inflationRate">Assumptions!$B$5</definedName>
    <definedName name="systemCurrency">Assumptions!$B$22</definedName>
    <definedName name="fxMode">Assumptions!$B$23</definedName>
    <definedName name="PPP_BASE_COUNTRY">Assumptions!$B$78</definedName>
    <definedName name="priceLevelOn">Assumptions!$B$24</definedName>
    <definedName name="LTC_COST">Assumptions!$B$25</definedName>
    <definedName name="LTC_START_AGE">Assumptions!$B$26</definedName>
    <definedName name="interestRate">Assumptions!$B$6</definedName>
    <definedName name="loanRate">Assumptions!$B$7</definedName>
    <definedName name="incomeGrowthRate">Assumptions!$B$8</definedName>
    <definedName name="investmentReturn">Assumptions!$B$9</definedName>
    <definedName name="assetReturn">Assumptions!$B$10</definedName>
    <definedName name="realReturn">Assumptions!$B$11</definedName>
    <definedName name="ageOfRetirement">Assumptions!$B$14</definedName>
    <definedName name="lifeExpectancyDefault">Assumptions!$B$15</definedName>
    <definedName name="currentYear">Assumptions!$B$16</definedName>
    <definedName name="endAge">Assumptions!$B$17</definedName>
    <definedName name="RET_LIFESTYLE_FRUGAL">Assumptions!$B$28</definedName>
    <definedName name="RET_LIFESTYLE_STRESSFREE">Assumptions!$B$29</definedName>
    <definedName name="RET_LIFESTYLE_ONLYTHEBEST">Assumptions!$B$30</definedName>
    <definedName name="INC_SUPPORT_MIN">Assumptions!$B$31</definedName>
    <definedName name="INC_SUPPORT_MAX">Assumptions!$B$32</definedName>
    <definedName name="INC_SUPPORT_PIVOT_AGE">Assumptions!$B$33</definedName>
    <definedName name="CRI_YEARS">Assumptions!$B$34</definedName>
    <definedName name="CRI_COST">Assumptions!$B$35</definedName>
    <definedName name="TPD_YEARS">Assumptions!$B$36</definedName>
    <definedName name="TPD_COST">Assumptions!$B$37</definedName>
    <definedName name="HOS_MONTHS">Assumptions!$B$38</definedName>
    <definedName name="EDU_COST">Assumptions!$B$39</definedName>
    <definedName name="EDU_YEARS_DEFAULT">Assumptions!$B$40</definedName>
    <definedName name="SAV_INCOME_MULT">Assumptions!$B$41</definedName>
    <definedName name="PRP_INCOME_MULT">Assumptions!$B$42</definedName>
    <definedName name="PAC_YEARS">Assumptions!$B$43</definedName>
    <definedName name="PAC_COST">Assumptions!$B$44</definedName>
    <definedName name="LON_AGE">Assumptions!$B$45</definedName>
    <definedName name="spendShareBase">Assumptions!$B$47</definedName>
    <definedName name="spendSharePerDependant">Assumptions!$B$48</definedName>
    <definedName name="spendShareCap">Assumptions!$B$49</definedName>
    <definedName name="assetsSaveShare">Assumptions!$B$50</definedName>
    <definedName name="workStartAge">Assumptions!$B$51</definedName>
    <definedName name="liabilityRatio">Assumptions!$B$52</definedName>
    <definedName name="CASH_SAVINGS_SHARE">Assumptions!$B$53</definedName>
    <definedName name="INVESTMENTS_SHARE">Assumptions!$B$54</definedName>
    <definedName name="propertyLow">Assumptions!$B$55</definedName>
    <definedName name="propertyMid">Assumptions!$B$56</definedName>
    <definedName name="propertyHigh">Assumptions!$B$57</definedName>
    <definedName name="propertyIncomeLow">Assumptions!$B$58</definedName>
    <definedName name="propertyIncomeHigh">Assumptions!$B$59</definedName>
    <definedName name="PROPERTY_LTV">Assumptions!$B$60</definedName>
    <definedName name="lifePremiumRate">Assumptions!$B$61</definedName>
    <definedName name="lifeRoundUnit">Assumptions!$B$62</definedName>
    <definedName name="protectionPremiumRate">Assumptions!$B$65</definedName>
    <definedName name="FREE_BUDGET_SHARE">Assumptions!$B$66</definedName>
    <definedName name="lumpRoundStep">Assumptions!$B$67</definedName>
    <definedName name="monthlyRoundStep">Assumptions!$B$68</definedName>
    <definedName name="coverPremRoundStep">Assumptions!$B$69</definedName>
    <definedName name="coverSliderPremFloor">Assumptions!$B$70</definedName>
    <definedName name="annualBudget">Assumptions!$B$73</definedName>
    <definedName name="placeholderNeedBudget">Assumptions!$B$74</definedName>
    <definedName name="gfr">Assumptions!$B$75</definedName>
    <definedName name="benefitRound">Assumptions!$B$76</definedName>
    <definedName name="huNumSims">Assumptions!$B$77</definedName>
    <definedName name="MIN_EXPENSE_MONTHLY">Assumptions!$B$79</definedName>
    <definedName name="IncomeBands">Assumptions!$J$6:$L$13</definedName>
    <definedName name="R_DEA_SIZE">Assumptions!$L$21</definedName>
    <definedName name="R_DEA_WHEN">Assumptions!$N$21</definedName>
    <definedName name="R_CRI_SIZE">Assumptions!$L$22</definedName>
    <definedName name="R_CRI_WHEN">Assumptions!$N$22</definedName>
    <definedName name="R_TPD_SIZE">Assumptions!$L$23</definedName>
    <definedName name="R_TPD_WHEN">Assumptions!$N$23</definedName>
    <definedName name="R_PAC_SIZE">Assumptions!$L$24</definedName>
    <definedName name="R_PAC_WHEN">Assumptions!$N$24</definedName>
    <definedName name="R_HOS_SIZE">Assumptions!$L$25</definedName>
    <definedName name="R_HOS_WHEN">Assumptions!$N$25</definedName>
    <definedName name="R_LTC_SIZE">Assumptions!$L$26</definedName>
    <definedName name="R_LTC_WHEN">Assumptions!$N$26</definedName>
    <definedName name="R_WED_SIZE">Assumptions!$L$27</definedName>
    <definedName name="R_WED_WHEN">Assumptions!$N$27</definedName>
    <definedName name="R_BAB_SIZE">Assumptions!$L$28</definedName>
    <definedName name="R_BAB_WHEN">Assumptions!$N$28</definedName>
    <definedName name="ProfilerWeights">Assumptions!$B$90:$L$104</definedName>
    <definedName name="PW_1">Assumptions!$B$90:$L$90</definedName>
    <definedName name="PW_2">Assumptions!$B$91:$L$91</definedName>
    <definedName name="PW_3">Assumptions!$B$92:$L$92</definedName>
    <definedName name="PW_4">Assumptions!$B$93:$L$93</definedName>
    <definedName name="PW_5">Assumptions!$B$94:$L$94</definedName>
    <definedName name="PW_6">Assumptions!$B$95:$L$95</definedName>
    <definedName name="PW_7">Assumptions!$B$96:$L$96</definedName>
    <definedName name="PW_8">Assumptions!$B$97:$L$97</definedName>
    <definedName name="PW_9">Assumptions!$B$98:$L$98</definedName>
    <definedName name="PW_10">Assumptions!$B$99:$L$99</definedName>
    <definedName name="PW_11">Assumptions!$B$100:$L$100</definedName>
    <definedName name="PW_12">Assumptions!$B$101:$L$101</definedName>
    <definedName name="PW_13">Assumptions!$B$102:$L$102</definedName>
    <definedName name="PW_14">Assumptions!$B$103:$L$103</definedName>
    <definedName name="PW_15">Assumptions!$B$104:$L$104</definedName>
    <definedName name="HU_q_mort">Assumptions!$B$111:$E$193</definedName>
    <definedName name="HU_q_adb">Assumptions!$F$111:$I$193</definedName>
    <definedName name="HU_q_morb">Assumptions!$J$111:$M$193</definedName>
    <definedName name="HU_q_ptd">Assumptions!$N$111:$Q$193</definedName>
    <definedName name="HU_q_dis">Assumptions!$R$111:$U$193</definedName>
    <definedName name="HU_q_hosp">Assumptions!$V$111:$Y$193</definedName>
    <definedName name="HU_ssC">Assumptions!$Z$111:$Z$193</definedName>
    <definedName name="HU_ssCap">Assumptions!$AA$111:$AA$193</definedName>
    <definedName name="HU_ssG">Assumptions!$AB$111:$AB$193</definedName>
    <definedName name="PersonaIDs">Personas!$A$3:$A$52</definedName>
    <definedName name="SelectedPersona">'Selected persona'!$B$2</definedName>
    <definedName name="CpfCountrySwitch">CPF!$I$6:$J$14</definedName>
    <definedName name="OW_CEILING">CPF!$B$11</definedName>
    <definedName name="cpfRate_to55">CPF!$B$12</definedName>
    <definedName name="cpfRate_to60">CPF!$B$13</definedName>
    <definedName name="cpfRate_to65">CPF!$B$14</definedName>
    <definedName name="cpfRate_to70">CPF!$B$15</definedName>
    <definedName name="cpfRate_over70">CPF!$B$16</definedName>
    <definedName name="CPF_on">CPF!$B$22</definedName>
    <definedName name="CPF_rate">CPF!$B$25</definedName>
    <definedName name="CPF_employee">CPF!$B$26</definedName>
    <definedName name="CPF_takeHome">CPF!$B$27</definedName>
    <definedName name="CPF_income">CPF!$B$8</definedName>
    <definedName name="PLU_age">'People Like You'!$B$5</definedName>
    <definedName name="PLU_incomeMonthly">'People Like You'!$B$73</definedName>
    <definedName name="PLU_takeHome">'People Like You'!$B$75</definedName>
    <definedName name="PLU_expenseMonthly">'People Like You'!$B$74</definedName>
    <definedName name="PLU_surplus">'People Like You'!$B$48</definedName>
    <definedName name="PLU_liabilities">'People Like You'!$B$82</definedName>
    <definedName name="PLU_cash">'People Like You'!$B$77</definedName>
    <definedName name="PLU_investments">'People Like You'!$B$78</definedName>
    <definedName name="PLU_property">'People Like You'!$B$80</definedName>
    <definedName name="PLU_mortgage">'People Like You'!$B$81</definedName>
    <definedName name="PLU_lifeSum">'People Like You'!$B$83</definedName>
    <definedName name="PLU_lifePrem">'People Like You'!$B$84</definedName>
    <definedName name="PLU_leUsed">'People Like You'!$B$60</definedName>
    <definedName name="PLU_marital">'People Like You'!$B$61</definedName>
    <definedName name="PLU_dependents">'People Like You'!$B$10</definedName>
    <definedName name="PLU_ownsProperty">'People Like You'!$B$16</definedName>
    <definedName name="PLU_currency">'People Like You'!$B$85</definedName>
    <definedName name="NP_prot1">'Need Profiler'!$B$81</definedName>
    <definedName name="NP_prot2">'Need Profiler'!$B$87</definedName>
    <definedName name="NP_grow2">'Need Profiler'!$B$90</definedName>
    <definedName name="NP_on_N_INC">'Need Profiler'!$D$94</definedName>
    <definedName name="NP_priority_N_INC">'Need Profiler'!$E$94</definedName>
    <definedName name="NP_on_N_CRI">'Need Profiler'!$D$95</definedName>
    <definedName name="NP_priority_N_CRI">'Need Profiler'!$E$95</definedName>
    <definedName name="NP_on_N_TPD">'Need Profiler'!$D$96</definedName>
    <definedName name="NP_priority_N_TPD">'Need Profiler'!$E$96</definedName>
    <definedName name="NP_on_N_HOS">'Need Profiler'!$D$97</definedName>
    <definedName name="NP_priority_N_HOS">'Need Profiler'!$E$97</definedName>
    <definedName name="NP_on_N_PAC">'Need Profiler'!$D$98</definedName>
    <definedName name="NP_priority_N_PAC">'Need Profiler'!$E$98</definedName>
    <definedName name="NP_on_N_LTC">'Need Profiler'!$D$99</definedName>
    <definedName name="NP_priority_N_LTC">'Need Profiler'!$E$99</definedName>
    <definedName name="NP_on_N_RET">'Need Profiler'!$D$100</definedName>
    <definedName name="NP_priority_N_RET">'Need Profiler'!$E$100</definedName>
    <definedName name="NP_on_N_EDU">'Need Profiler'!$D$101</definedName>
    <definedName name="NP_priority_N_EDU">'Need Profiler'!$E$101</definedName>
    <definedName name="NP_on_N_SAV">'Need Profiler'!$D$102</definedName>
    <definedName name="NP_priority_N_SAV">'Need Profiler'!$E$102</definedName>
    <definedName name="NP_on_N_PRP">'Need Profiler'!$D$103</definedName>
    <definedName name="NP_priority_N_PRP">'Need Profiler'!$E$103</definedName>
    <definedName name="NP_priority_N_HOM">'Need Profiler'!$E$104</definedName>
    <definedName name="NP_score_N_HOM">'Need Profiler'!$F$104</definedName>
    <definedName name="NP_priority_N_CAR">'Need Profiler'!$E$105</definedName>
    <definedName name="NP_score_N_CAR">'Need Profiler'!$F$105</definedName>
    <definedName name="NP_priority_N_TRV">'Need Profiler'!$E$106</definedName>
    <definedName name="NP_score_N_TRV">'Need Profiler'!$F$106</definedName>
    <definedName name="NC_age">'Need Calculator'!$B$5</definedName>
    <definedName name="NC_yearsToRet">'Need Calculator'!$B$69</definedName>
    <definedName name="NC_eduYears">'Need Calculator'!$B$71</definedName>
    <definedName name="NC_yearsInRet">'Need Calculator'!$B$70</definedName>
    <definedName name="NC_lonYearsInRet">'Need Calculator'!$B$89</definedName>
    <definedName name="NC_lonAmount_N_RET">'Need Calculator'!$B$91</definedName>
    <definedName name="NC_lonGap_N_RET">'Need Calculator'!$B$92</definedName>
    <definedName name="NC_lonExtra_N_RET">'Need Calculator'!$B$93</definedName>
    <definedName name="NC_careYears">'Need Calculator'!$B$72</definedName>
    <definedName name="NC_ltcStartAge">'Need Calculator'!$B$26</definedName>
    <definedName name="NC_lonAmount_N_LTC">'Need Calculator'!$B$95</definedName>
    <definedName name="NC_amount_N_INC">'Need Calculator'!$B$76</definedName>
    <definedName name="NC_have_N_INC">'Need Calculator'!$C$76</definedName>
    <definedName name="NC_gap_N_INC">'Need Calculator'!$D$76</definedName>
    <definedName name="NC_on_N_INC">'Need Calculator'!$F$76</definedName>
    <definedName name="NC_amountUSD_N_INC">'Need Calculator'!$H$76</definedName>
    <definedName name="NC_gapUSD_N_INC">'Need Calculator'!$J$76</definedName>
    <definedName name="NC_amount_N_CRI">'Need Calculator'!$B$77</definedName>
    <definedName name="NC_have_N_CRI">'Need Calculator'!$C$77</definedName>
    <definedName name="NC_gap_N_CRI">'Need Calculator'!$D$77</definedName>
    <definedName name="NC_on_N_CRI">'Need Calculator'!$F$77</definedName>
    <definedName name="NC_amountUSD_N_CRI">'Need Calculator'!$H$77</definedName>
    <definedName name="NC_gapUSD_N_CRI">'Need Calculator'!$J$77</definedName>
    <definedName name="NC_amount_N_TPD">'Need Calculator'!$B$78</definedName>
    <definedName name="NC_have_N_TPD">'Need Calculator'!$C$78</definedName>
    <definedName name="NC_gap_N_TPD">'Need Calculator'!$D$78</definedName>
    <definedName name="NC_on_N_TPD">'Need Calculator'!$F$78</definedName>
    <definedName name="NC_amountUSD_N_TPD">'Need Calculator'!$H$78</definedName>
    <definedName name="NC_gapUSD_N_TPD">'Need Calculator'!$J$78</definedName>
    <definedName name="NC_amount_N_HOS">'Need Calculator'!$B$79</definedName>
    <definedName name="NC_have_N_HOS">'Need Calculator'!$C$79</definedName>
    <definedName name="NC_gap_N_HOS">'Need Calculator'!$D$79</definedName>
    <definedName name="NC_on_N_HOS">'Need Calculator'!$F$79</definedName>
    <definedName name="NC_amountUSD_N_HOS">'Need Calculator'!$H$79</definedName>
    <definedName name="NC_gapUSD_N_HOS">'Need Calculator'!$J$79</definedName>
    <definedName name="NC_amount_N_PAC">'Need Calculator'!$B$80</definedName>
    <definedName name="NC_have_N_PAC">'Need Calculator'!$C$80</definedName>
    <definedName name="NC_gap_N_PAC">'Need Calculator'!$D$80</definedName>
    <definedName name="NC_on_N_PAC">'Need Calculator'!$F$80</definedName>
    <definedName name="NC_amountUSD_N_PAC">'Need Calculator'!$H$80</definedName>
    <definedName name="NC_gapUSD_N_PAC">'Need Calculator'!$J$80</definedName>
    <definedName name="NC_amount_N_LTC">'Need Calculator'!$B$81</definedName>
    <definedName name="NC_have_N_LTC">'Need Calculator'!$C$81</definedName>
    <definedName name="NC_gap_N_LTC">'Need Calculator'!$D$81</definedName>
    <definedName name="NC_on_N_LTC">'Need Calculator'!$F$81</definedName>
    <definedName name="NC_amountUSD_N_LTC">'Need Calculator'!$H$81</definedName>
    <definedName name="NC_gapUSD_N_LTC">'Need Calculator'!$J$81</definedName>
    <definedName name="NC_amount_N_RET">'Need Calculator'!$B$82</definedName>
    <definedName name="NC_have_N_RET">'Need Calculator'!$C$82</definedName>
    <definedName name="NC_gap_N_RET">'Need Calculator'!$D$82</definedName>
    <definedName name="NC_on_N_RET">'Need Calculator'!$F$82</definedName>
    <definedName name="NC_amountUSD_N_RET">'Need Calculator'!$H$82</definedName>
    <definedName name="NC_gapUSD_N_RET">'Need Calculator'!$J$82</definedName>
    <definedName name="NC_amount_N_EDU">'Need Calculator'!$B$83</definedName>
    <definedName name="NC_have_N_EDU">'Need Calculator'!$C$83</definedName>
    <definedName name="NC_gap_N_EDU">'Need Calculator'!$D$83</definedName>
    <definedName name="NC_on_N_EDU">'Need Calculator'!$F$83</definedName>
    <definedName name="NC_amountUSD_N_EDU">'Need Calculator'!$H$83</definedName>
    <definedName name="NC_gapUSD_N_EDU">'Need Calculator'!$J$83</definedName>
    <definedName name="NC_amount_N_SAV">'Need Calculator'!$B$84</definedName>
    <definedName name="NC_have_N_SAV">'Need Calculator'!$C$84</definedName>
    <definedName name="NC_gap_N_SAV">'Need Calculator'!$D$84</definedName>
    <definedName name="NC_on_N_SAV">'Need Calculator'!$F$84</definedName>
    <definedName name="NC_amountUSD_N_SAV">'Need Calculator'!$H$84</definedName>
    <definedName name="NC_gapUSD_N_SAV">'Need Calculator'!$J$84</definedName>
    <definedName name="NC_amount_N_PRP">'Need Calculator'!$B$85</definedName>
    <definedName name="NC_have_N_PRP">'Need Calculator'!$C$85</definedName>
    <definedName name="NC_gap_N_PRP">'Need Calculator'!$D$85</definedName>
    <definedName name="NC_on_N_PRP">'Need Calculator'!$F$85</definedName>
    <definedName name="NC_amountUSD_N_PRP">'Need Calculator'!$H$85</definedName>
    <definedName name="NC_gapUSD_N_PRP">'Need Calculator'!$J$85</definedName>
    <definedName name="PLAN_nWealth">'Plan Calculator'!$B$48</definedName>
    <definedName name="PLAN_protPremYr">'Plan Calculator'!$B$61</definedName>
    <definedName name="PLAN_wealthShare">'Plan Calculator'!$B$62</definedName>
    <definedName name="PLAN_investMth">'Plan Calculator'!$B$89</definedName>
    <definedName name="PLAN_investLump">'Plan Calculator'!$B$90</definedName>
    <definedName name="PLAN_prem_N_INC">'Plan Calculator'!$B$50</definedName>
    <definedName name="PLAN_prem_N_CRI">'Plan Calculator'!$B$52</definedName>
    <definedName name="PLAN_prem_N_TPD">'Plan Calculator'!$B$54</definedName>
    <definedName name="PLAN_prem_N_HOS">'Plan Calculator'!$B$56</definedName>
    <definedName name="PLAN_prem_N_PAC">'Plan Calculator'!$B$58</definedName>
    <definedName name="PLAN_prem_N_LTC">'Plan Calculator'!$B$60</definedName>
    <definedName name="PLAN_included_N_INC">'Plan Calculator'!$D$78</definedName>
    <definedName name="PLAN_sug_N_INC">'Plan Calculator'!$B$78</definedName>
    <definedName name="PLAN_included_N_CRI">'Plan Calculator'!$D$79</definedName>
    <definedName name="PLAN_sug_N_CRI">'Plan Calculator'!$B$79</definedName>
    <definedName name="PLAN_included_N_TPD">'Plan Calculator'!$D$80</definedName>
    <definedName name="PLAN_sug_N_TPD">'Plan Calculator'!$B$80</definedName>
    <definedName name="PLAN_included_N_HOS">'Plan Calculator'!$D$81</definedName>
    <definedName name="PLAN_sug_N_HOS">'Plan Calculator'!$B$81</definedName>
    <definedName name="PLAN_included_N_PAC">'Plan Calculator'!$D$82</definedName>
    <definedName name="PLAN_sug_N_PAC">'Plan Calculator'!$B$82</definedName>
    <definedName name="PLAN_included_N_LTC">'Plan Calculator'!$D$83</definedName>
    <definedName name="PLAN_sug_N_LTC">'Plan Calculator'!$B$83</definedName>
    <definedName name="PLAN_included_N_RET">'Plan Calculator'!$D$84</definedName>
    <definedName name="PLAN_sug_N_RET">'Plan Calculator'!$B$84</definedName>
    <definedName name="PLAN_included_N_EDU">'Plan Calculator'!$D$85</definedName>
    <definedName name="PLAN_sug_N_EDU">'Plan Calculator'!$B$85</definedName>
    <definedName name="PLAN_included_N_SAV">'Plan Calculator'!$D$86</definedName>
    <definedName name="PLAN_sug_N_SAV">'Plan Calculator'!$B$86</definedName>
    <definedName name="PLAN_included_N_PRP">'Plan Calculator'!$D$87</definedName>
    <definedName name="PLAN_sug_N_PRP">'Plan Calculator'!$B$87</definedName>
    <definedName name="PLAN_sum_N_INC">'Plan Calculator'!$B$49</definedName>
    <definedName name="PLAN_sum_N_CRI">'Plan Calculator'!$B$51</definedName>
    <definedName name="PLAN_sum_N_TPD">'Plan Calculator'!$B$53</definedName>
    <definedName name="PLAN_sum_N_HOS">'Plan Calculator'!$B$55</definedName>
    <definedName name="PLAN_sum_N_PAC">'Plan Calculator'!$B$57</definedName>
    <definedName name="PLAN_sum_N_LTC">'Plan Calculator'!$B$59</definedName>
    <definedName name="PLAN_mth_N_RET">'Plan Calculator'!$B$64</definedName>
    <definedName name="PLAN_lump_N_RET">'Plan Calculator'!$B$65</definedName>
    <definedName name="PLAN_mth_N_EDU">'Plan Calculator'!$B$67</definedName>
    <definedName name="PLAN_lump_N_EDU">'Plan Calculator'!$B$68</definedName>
    <definedName name="PLAN_mth_N_SAV">'Plan Calculator'!$B$70</definedName>
    <definedName name="PLAN_lump_N_SAV">'Plan Calculator'!$B$71</definedName>
    <definedName name="PLAN_mth_N_PRP">'Plan Calculator'!$B$73</definedName>
    <definedName name="PLAN_lump_N_PRP">'Plan Calculator'!$B$74</definedName>
    <definedName name="SV_cpfLower">'Scenario Visualizer'!$H$6:$H$13</definedName>
    <definedName name="SV_cpfTot">'Scenario Visualizer'!$J$6:$J$13</definedName>
    <definedName name="SV_cpfEmp">'Scenario Visualizer'!$K$6:$K$13</definedName>
    <definedName name="SV_cpfOA">'Scenario Visualizer'!$L$6:$L$13</definedName>
    <definedName name="SV_cpfSA">'Scenario Visualizer'!$M$6:$M$13</definedName>
    <definedName name="SV_cpfMA">'Scenario Visualizer'!$N$6:$N$13</definedName>
    <definedName name="SV_brsTbl">'Scenario Visualizer'!$I$17:$I$21</definedName>
    <definedName name="SV_payTbl">'Scenario Visualizer'!$J$17:$L$21</definedName>
    <definedName name="SV_age">'Scenario Visualizer'!$B$5</definedName>
    <definedName name="SV_residency">'Scenario Visualizer'!$B$6</definedName>
    <definedName name="SV_income">'Scenario Visualizer'!$B$7</definedName>
    <definedName name="SV_takeHome">'Scenario Visualizer'!$B$8</definedName>
    <definedName name="SV_expense">'Scenario Visualizer'!$B$9</definedName>
    <definedName name="SV_cash">'Scenario Visualizer'!$B$10</definedName>
    <definedName name="SV_investments">'Scenario Visualizer'!$B$11</definedName>
    <definedName name="SV_property">'Scenario Visualizer'!$B$12</definedName>
    <definedName name="SV_mortgage">'Scenario Visualizer'!$B$13</definedName>
    <definedName name="SV_lifeSum">'Scenario Visualizer'!$B$14</definedName>
    <definedName name="SV_lifePrem">'Scenario Visualizer'!$B$15</definedName>
    <definedName name="SV_LE">'Scenario Visualizer'!$B$18</definedName>
    <definedName name="SV_savRate">'Scenario Visualizer'!$B$19</definedName>
    <definedName name="SV_ret">'Scenario Visualizer'!$B$20</definedName>
    <definedName name="SV_loanYears">'Scenario Visualizer'!$B$21</definedName>
    <definedName name="SV_propPremium">'Scenario Visualizer'!$B$22</definedName>
    <definedName name="SV_fxShare">'Scenario Visualizer'!$B$23</definedName>
    <definedName name="SV_owCap">'Scenario Visualizer'!$B$24</definedName>
    <definedName name="SV_maCap">'Scenario Visualizer'!$B$25</definedName>
    <definedName name="SV_oaRate">'Scenario Visualizer'!$B$26</definedName>
    <definedName name="SV_saRate">'Scenario Visualizer'!$B$27</definedName>
    <definedName name="SV_lifeGrowth">'Scenario Visualizer'!$B$28</definedName>
    <definedName name="SV_brsGrowth">'Scenario Visualizer'!$B$29</definedName>
    <definedName name="SV_deferBonus">'Scenario Visualizer'!$B$30</definedName>
    <definedName name="SV_T">'Scenario Visualizer'!$B$33</definedName>
    <definedName name="SV_L">'Scenario Visualizer'!$B$34</definedName>
    <definedName name="SV_dtr">'Scenario Visualizer'!$B$35</definedName>
    <definedName name="SV_salCut">'Scenario Visualizer'!$B$36</definedName>
    <definedName name="SV_sal0">'Scenario Visualizer'!$B$37</definedName>
    <definedName name="SV_exp0">'Scenario Visualizer'!$B$38</definedName>
    <definedName name="SV_mortP">'Scenario Visualizer'!$B$39</definedName>
    <definedName name="SV_inst">'Scenario Visualizer'!$B$40</definedName>
    <definedName name="SV_contrib">'Scenario Visualizer'!$B$41</definedName>
    <definedName name="SV_lifePremYr">'Scenario Visualizer'!$B$42</definedName>
    <definedName name="SV_propRate">'Scenario Visualizer'!$B$43</definedName>
    <definedName name="SV_wdYear">'Scenario Visualizer'!$B$44</definedName>
    <definedName name="SV_wdAmt">'Scenario Visualizer'!$B$45</definedName>
    <definedName name="SV_retMth">'Scenario Visualizer'!$B$46</definedName>
    <definedName name="SV_retLump">'Scenario Visualizer'!$B$47</definedName>
    <definedName name="SV_retPay">'Scenario Visualizer'!$B$48</definedName>
    <definedName name="SV_goalMth">'Scenario Visualizer'!$B$49</definedName>
    <definedName name="SV_goalLump">'Scenario Visualizer'!$B$50</definedName>
    <definedName name="SV_goalPay">'Scenario Visualizer'!$B$51</definedName>
    <definedName name="SV_protPrem">'Scenario Visualizer'!$B$52</definedName>
    <definedName name="SV_protPay">'Scenario Visualizer'!$B$53</definedName>
    <definedName name="SV_crashY">'Scenario Visualizer'!$B$56</definedName>
    <definedName name="SV_crashV">'Scenario Visualizer'!$B$57</definedName>
    <definedName name="SV_ccyY">'Scenario Visualizer'!$B$58</definedName>
    <definedName name="SV_ccyV">'Scenario Visualizer'!$B$59</definedName>
    <definedName name="SV_inflFrom">'Scenario Visualizer'!$B$60</definedName>
    <definedName name="SV_inflTo">'Scenario Visualizer'!$B$61</definedName>
    <definedName name="SV_inflV">'Scenario Visualizer'!$B$62</definedName>
    <definedName name="SV_incFrom">'Scenario Visualizer'!$B$63</definedName>
    <definedName name="SV_incTo">'Scenario Visualizer'!$B$64</definedName>
    <definedName name="SV_incV">'Scenario Visualizer'!$B$65</definedName>
    <definedName name="SV_expFrom">'Scenario Visualizer'!$B$66</definedName>
    <definedName name="SV_expTo">'Scenario Visualizer'!$B$67</definedName>
    <definedName name="SV_expV">'Scenario Visualizer'!$B$68</definedName>
    <definedName name="SV_crashOn">'Scenario Visualizer'!$B$69</definedName>
    <definedName name="SV_crashYr">'Scenario Visualizer'!$B$70</definedName>
    <definedName name="SV_crashF">'Scenario Visualizer'!$B$71</definedName>
    <definedName name="SV_ccyOn">'Scenario Visualizer'!$B$72</definedName>
    <definedName name="SV_ccyYr">'Scenario Visualizer'!$B$73</definedName>
    <definedName name="SV_ccyF">'Scenario Visualizer'!$B$74</definedName>
    <definedName name="SV_inflOn">'Scenario Visualizer'!$B$75</definedName>
    <definedName name="SV_inflS">'Scenario Visualizer'!$B$76</definedName>
    <definedName name="SV_inflE">'Scenario Visualizer'!$B$77</definedName>
    <definedName name="SV_incOn">'Scenario Visualizer'!$B$78</definedName>
    <definedName name="SV_incS">'Scenario Visualizer'!$B$79</definedName>
    <definedName name="SV_incE">'Scenario Visualizer'!$B$80</definedName>
    <definedName name="SV_expOn">'Scenario Visualizer'!$B$81</definedName>
    <definedName name="SV_expS">'Scenario Visualizer'!$B$82</definedName>
    <definedName name="SV_expE">'Scenario Visualizer'!$B$83</definedName>
    <definedName name="SV_inflRate">'Scenario Visualizer'!$B$84</definedName>
    <definedName name="SV_incImp">'Scenario Visualizer'!$B$85</definedName>
    <definedName name="SV_expImp">'Scenario Visualizer'!$B$86</definedName>
    <definedName name="SV_lonV">'Scenario Visualizer'!$B$87</definedName>
    <definedName name="SV_lonOn">'Scenario Visualizer'!$B$88</definedName>
    <definedName name="SV_end">'Scenario Visualizer'!$B$89</definedName>
    <definedName name="SV_deaV">'Scenario Visualizer'!$B$90</definedName>
    <definedName name="SV_deaOn">'Scenario Visualizer'!$B$91</definedName>
    <definedName name="SV_deaM">'Scenario Visualizer'!$B$92</definedName>
    <definedName name="SV_deaAmt">'Scenario Visualizer'!$B$93</definedName>
    <definedName name="SV_criV">'Scenario Visualizer'!$B$94</definedName>
    <definedName name="SV_criOn">'Scenario Visualizer'!$B$95</definedName>
    <definedName name="SV_criM">'Scenario Visualizer'!$B$96</definedName>
    <definedName name="SV_criAmt">'Scenario Visualizer'!$B$97</definedName>
    <definedName name="SV_tpdV">'Scenario Visualizer'!$B$98</definedName>
    <definedName name="SV_tpdOn">'Scenario Visualizer'!$B$99</definedName>
    <definedName name="SV_tpdM">'Scenario Visualizer'!$B$100</definedName>
    <definedName name="SV_tpdAmt">'Scenario Visualizer'!$B$101</definedName>
    <definedName name="SV_pacV">'Scenario Visualizer'!$B$102</definedName>
    <definedName name="SV_pacOn">'Scenario Visualizer'!$B$103</definedName>
    <definedName name="SV_pacM">'Scenario Visualizer'!$B$104</definedName>
    <definedName name="SV_pacAmt">'Scenario Visualizer'!$B$105</definedName>
    <definedName name="SV_hosV">'Scenario Visualizer'!$B$106</definedName>
    <definedName name="SV_hosOn">'Scenario Visualizer'!$B$107</definedName>
    <definedName name="SV_hosM">'Scenario Visualizer'!$B$108</definedName>
    <definedName name="SV_hosAmt">'Scenario Visualizer'!$B$109</definedName>
    <definedName name="SV_ltcV">'Scenario Visualizer'!$B$110</definedName>
    <definedName name="SV_ltcOn">'Scenario Visualizer'!$B$111</definedName>
    <definedName name="SV_ltcM">'Scenario Visualizer'!$B$112</definedName>
    <definedName name="SV_ltcE">'Scenario Visualizer'!$B$113</definedName>
    <definedName name="SV_ltcAmt">'Scenario Visualizer'!$B$114</definedName>
    <definedName name="SV_wedV">'Scenario Visualizer'!$B$115</definedName>
    <definedName name="SV_wedOn">'Scenario Visualizer'!$B$116</definedName>
    <definedName name="SV_wedM">'Scenario Visualizer'!$B$117</definedName>
    <definedName name="SV_wedAmt">'Scenario Visualizer'!$B$118</definedName>
    <definedName name="SV_babV">'Scenario Visualizer'!$B$119</definedName>
    <definedName name="SV_babOn">'Scenario Visualizer'!$B$120</definedName>
    <definedName name="SV_babM">'Scenario Visualizer'!$B$121</definedName>
    <definedName name="SV_babAmt">'Scenario Visualizer'!$B$122</definedName>
    <definedName name="SV_cpfOn">'Scenario Visualizer'!$B$125</definedName>
    <definedName name="SV_asp">'Scenario Visualizer'!$B$126</definedName>
    <definedName name="SV_stop">'Scenario Visualizer'!$B$127</definedName>
    <definedName name="SV_sp">'Scenario Visualizer'!$B$128</definedName>
    <definedName name="SV_effStop">'Scenario Visualizer'!$B$129</definedName>
    <definedName name="SV_effNeg">'Scenario Visualizer'!$B$130</definedName>
    <definedName name="SV_sIdx">'Scenario Visualizer'!$B$131</definedName>
    <definedName name="SV_pIdx">'Scenario Visualizer'!$B$132</definedName>
    <definedName name="SV_brsIdx">'Scenario Visualizer'!$B$133</definedName>
    <definedName name="SV_brs">'Scenario Visualizer'!$B$134</definedName>
    <definedName name="SV_raS">'Scenario Visualizer'!$B$135</definedName>
    <definedName name="SV_mult">'Scenario Visualizer'!$B$136</definedName>
    <definedName name="SV_wd">'Scenario Visualizer'!$B$137</definedName>
    <definedName name="SV_pay">'Scenario Visualizer'!$B$138</definedName>
    <definedName name="SV_L0">'Scenario Visualizer'!$B$139</definedName>
    <definedName name="SV_R0">'Scenario Visualizer'!$B$140</definedName>
    <definedName name="SV_n1">'Scenario Visualizer'!$B$141</definedName>
    <definedName name="SV_seedLife">'Scenario Visualizer'!$B$142</definedName>
    <definedName name="SV_seedRA">'Scenario Visualizer'!$B$143</definedName>
    <definedName name="SV_wPre65">'Scenario Visualizer'!$B$146</definedName>
    <definedName name="SV_wPre85">'Scenario Visualizer'!$B$147</definedName>
    <definedName name="SV_wPost65">'Scenario Visualizer'!$B$148</definedName>
    <definedName name="SV_wPost85">'Scenario Visualizer'!$B$149</definedName>
    <definedName name="SV_wPreEnd">'Scenario Visualizer'!$B$150</definedName>
    <definedName name="SV_wPostEnd">'Scenario Visualizer'!$B$151</definedName>
    <definedName name="SV_spPostEnd">'Scenario Visualizer'!$B$152</definedName>
    <definedName name="SV_spOutPre">'Scenario Visualizer'!$B$153</definedName>
    <definedName name="SV_spOutPost">'Scenario Visualizer'!$B$154</definedName>
    <definedName name="SV_Y_wPre">'Scenario Visualizer'!$AH$162:$AH$244</definedName>
    <definedName name="SV_Y_wPost">'Scenario Visualizer'!$AR$162:$AR$244</definedName>
    <definedName name="SV_Y_spPre">'Scenario Visualizer'!$AI$162:$AI$244</definedName>
    <definedName name="SV_Y_spPost">'Scenario Visualizer'!$AS$162:$AS$244</definedName>
    <definedName name="SV_Y_cpf">'Scenario Visualizer'!$AD$162:$AD$244</definedName>
    <definedName name="SV_Y_savPre">'Scenario Visualizer'!$AG$162:$AG$244</definedName>
    <definedName name="SV_Y_savPost">'Scenario Visualizer'!$AQ$162:$AQ$244</definedName>
    <definedName name="SV_Y_sal">'Scenario Visualizer'!$H$162:$H$244</definedName>
    <definedName name="SV_Y_spend">'Scenario Visualizer'!$I$162:$I$244</definedName>
    <definedName name="SV_Y_evt">'Scenario Visualizer'!$J$162:$J$244</definedName>
    <definedName name="SV_Y_cash">'Scenario Visualizer'!$O$162:$O$244</definedName>
    <definedName name="SV_Y_inv">'Scenario Visualizer'!$P$162:$P$244</definedName>
    <definedName name="SV_Y_home">'Scenario Visualizer'!$Q$162:$Q$244</definedName>
    <definedName name="SV_Y_loan">'Scenario Visualizer'!$AF$162:$AF$244</definedName>
    <definedName name="SV_Y_pot">'Scenario Visualizer'!$AO$162:$AO$244</definedName>
    <definedName name="SV_Y_insCf">'Scenario Visualizer'!$AP$162:$AP$244</definedName>
    <definedName name="HU_age">HappiU!$B$5</definedName>
    <definedName name="HU_gender">HappiU!$B$6</definedName>
    <definedName name="HU_smoker">HappiU!$B$7</definedName>
    <definedName name="HU_income">HappiU!$B$8</definedName>
    <definedName name="HU_expense">HappiU!$B$9</definedName>
    <definedName name="HU_cash">HappiU!$B$10</definedName>
    <definedName name="HU_inv">HappiU!$B$11</definedName>
    <definedName name="HU_lifeSum">HappiU!$B$12</definedName>
    <definedName name="HU_leS">HappiU!$B$13</definedName>
    <definedName name="HU_ret">HappiU!$B$16</definedName>
    <definedName name="HU_defaultLE">HappiU!$B$17</definedName>
    <definedName name="HU_ciYearsGP">HappiU!$B$18</definedName>
    <definedName name="HU_ciDefaultYears">HappiU!$B$19</definedName>
    <definedName name="HU_medCost">HappiU!$B$20</definedName>
    <definedName name="HU_tpdCost">HappiU!$B$21</definedName>
    <definedName name="HU_tpdCut">HappiU!$B$22</definedName>
    <definedName name="HU_disCut">HappiU!$B$23</definedName>
    <definedName name="HU_ciMaxAge">HappiU!$B$24</definedName>
    <definedName name="HU_depYears">HappiU!$B$25</definedName>
    <definedName name="HU_term">HappiU!$B$26</definedName>
    <definedName name="HU_whl">HappiU!$B$27</definedName>
    <definedName name="HU_beta">HappiU!$B$28</definedName>
    <definedName name="HU_minMu">HappiU!$B$29</definedName>
    <definedName name="HU_riskProfile">HappiU!$B$30</definedName>
    <definedName name="HU_retLifestyle">HappiU!$B$31</definedName>
    <definedName name="HU_retShare">HappiU!$B$32</definedName>
    <definedName name="HU_benefitRound">HappiU!$B$33</definedName>
    <definedName name="HU_calRet">HappiU!$B$34</definedName>
    <definedName name="HU_le">HappiU!$B$37</definedName>
    <definedName name="HU_T">HappiU!$B$38</definedName>
    <definedName name="HU_dtr">HappiU!$B$39</definedName>
    <definedName name="HU_col">HappiU!$B$40</definedName>
    <definedName name="HU_inc0">HappiU!$B$41</definedName>
    <definedName name="HU_exp0">HappiU!$B$42</definedName>
    <definedName name="HU_retExp">HappiU!$B$43</definedName>
    <definedName name="HU_ciYears">HappiU!$B$44</definedName>
    <definedName name="HU_ciProp">HappiU!$B$45</definedName>
    <definedName name="HU_cash0">HappiU!$B$46</definedName>
    <definedName name="HU_mu">HappiU!$B$47</definedName>
    <definedName name="HU_nanEquity">HappiU!$B$48</definedName>
    <definedName name="HU_alpha">HappiU!$B$49</definedName>
    <definedName name="HU_wdOn">HappiU!$B$50</definedName>
    <definedName name="HU_wdYear">HappiU!$B$51</definedName>
    <definedName name="HU_wdIncome">HappiU!$B$52</definedName>
    <definedName name="HU_wdOut">HappiU!$B$53</definedName>
    <definedName name="HU_nGoals">HappiU!$B$56</definedName>
    <definedName name="HU_nCons">HappiU!$B$57</definedName>
    <definedName name="HU_sig">HappiU!$B$58</definedName>
    <definedName name="HU_preRaw">HappiU!$B$59</definedName>
    <definedName name="HU_postRaw">HappiU!$B$60</definedName>
    <definedName name="HU_preHappiU">HappiU!$B$61</definedName>
    <definedName name="HU_postHappiU">HappiU!$B$62</definedName>
    <definedName name="HU_Y_W">'HappiU'!$AD$68:$AD$150</definedName>
    <definedName name="HU_Y_Cw">'HappiU'!$AE$68:$AE$150</definedName>
    <definedName name="HU_Y_sav">'HappiU'!$AB$68:$AB$150</definedName>
    <definedName name="HU_Y_S">'HappiU'!$I$68:$I$150</definedName>
    <definedName name="HU_Y_pos">'HappiU'!$X$68:$X$150</definedName>
    <definedName name="HU_Y_spend">'HappiU'!$Y$68:$Y$150</definedName>
    <definedName name="FxTable">FX!$I$6:$J$157</definedName>
    <definedName name="CountryPPP">FX!$N$6:$U$250</definedName>
    <definedName name="FX_lumpStep">FX!$B$37</definedName>
    <definedName name="FX_monthlyStep">FX!$B$38</definedName>
    <definedName name="FX_coverPremStep">FX!$B$39</definedName>
    <definedName name="FX_lifeRound">FX!$B$40</definedName>
    <definedName name="FX_benefitRound">FX!$B$41</definedName>
    <definedName name="FX_priceLevel">FX!$B$23</definedName>
    <definedName name="FX_pppUsdPerLocal">FX!$B$24</definedName>
    <definedName name="FX_usdPerLocal">FX!$B$16</definedName>
    <definedName name="FX_incomeMonthly">FX!$B$27</definedName>
    <definedName name="FX_expenseMonthly">FX!$B$28</definedName>
    <definedName name="FX_cash">FX!$B$29</definedName>
    <definedName name="FX_investments">FX!$B$30</definedName>
    <definedName name="FX_property">FX!$B$31</definedName>
    <definedName name="FX_mortgage">FX!$B$32</definedName>
    <definedName name="FX_liabilities">FX!$B$33</definedName>
    <definedName name="FX_lifeSum">FX!$B$34</definedName>
    <definedName name="UsdRules">Validation!$A$6:$C$13</definedName>
    <definedName name="_xlnm._FilterDatabase" localSheetId="3" hidden="1">'Personas'!$A$2:$AD$52</definedName>
    <definedName name="_xlnm._FilterDatabase" localSheetId="14" hidden="1">'Assumptions'!$A$5:$B$10</definedName>
    <definedName name="_xlnm._FilterDatabase" localSheetId="17" hidden="1">'Code check'!$A$2:$R$52</definedName>
  </definedNames>
  <calcPr calcId="124519" fullCalcOnLoad="1"/>
</workbook>
</file>

<file path=xl/styles.xml><?xml version="1.0" encoding="utf-8"?>
<styleSheet xmlns="http://schemas.openxmlformats.org/spreadsheetml/2006/main">
  <numFmts count="9">
    <numFmt numFmtId="164" formatCode="0.0%"/>
    <numFmt numFmtId="165" formatCode="0.000"/>
    <numFmt numFmtId="166" formatCode="0.0000%"/>
    <numFmt numFmtId="167" formatCode="0.000000"/>
    <numFmt numFmtId="168" formatCode="0.0000"/>
    <numFmt numFmtId="169" formatCode="0.0"/>
    <numFmt numFmtId="170" formatCode="#,##0.##"/>
    <numFmt numFmtId="171" formatCode="0.000000000"/>
    <numFmt numFmtId="172" formatCode="#,##0.0000"/>
  </numFmts>
  <fonts count="6">
    <font>
      <name val="Calibri"/>
      <family val="2"/>
      <color theme="1"/>
      <sz val="11"/>
      <scheme val="minor"/>
    </font>
    <font>
      <name val="Calibri"/>
      <b val="1"/>
      <color rgb="001B3A4B"/>
      <sz val="16"/>
    </font>
    <font>
      <name val="Calibri"/>
      <i val="1"/>
      <color rgb="005C6B73"/>
      <sz val="9"/>
    </font>
    <font>
      <name val="Calibri"/>
      <b val="1"/>
      <color rgb="001B3A4B"/>
      <sz val="11"/>
    </font>
    <font>
      <name val="Calibri"/>
      <color rgb="001A1A1A"/>
      <sz val="10"/>
    </font>
    <font>
      <name val="Calibri"/>
      <b val="1"/>
      <color rgb="00FFFFFF"/>
      <sz val="10"/>
    </font>
  </fonts>
  <fills count="16">
    <fill>
      <patternFill/>
    </fill>
    <fill>
      <patternFill patternType="gray125"/>
    </fill>
    <fill>
      <patternFill patternType="solid">
        <fgColor rgb="00F7F4EE"/>
      </patternFill>
    </fill>
    <fill>
      <patternFill patternType="solid">
        <fgColor rgb="00E6E0D4"/>
      </patternFill>
    </fill>
    <fill>
      <patternFill patternType="solid">
        <fgColor rgb="00FFF3BF"/>
      </patternFill>
    </fill>
    <fill>
      <patternFill patternType="solid">
        <fgColor rgb="001B3A4B"/>
      </patternFill>
    </fill>
    <fill>
      <patternFill patternType="solid">
        <fgColor rgb="00D7E6F5"/>
      </patternFill>
    </fill>
    <fill>
      <patternFill patternType="solid">
        <fgColor rgb="00D3F0E2"/>
      </patternFill>
    </fill>
    <fill>
      <patternFill patternType="solid">
        <fgColor rgb="00F8D0D0"/>
      </patternFill>
    </fill>
    <fill>
      <patternFill patternType="solid">
        <fgColor rgb="006B3FA0"/>
      </patternFill>
    </fill>
    <fill>
      <patternFill patternType="solid">
        <fgColor rgb="00EDE4F5"/>
      </patternFill>
    </fill>
    <fill>
      <patternFill patternType="solid">
        <fgColor rgb="00B8860B"/>
      </patternFill>
    </fill>
    <fill>
      <patternFill patternType="solid">
        <fgColor rgb="001D4E89"/>
      </patternFill>
    </fill>
    <fill>
      <patternFill patternType="solid">
        <fgColor rgb="00C45C26"/>
      </patternFill>
    </fill>
    <fill>
      <patternFill patternType="solid">
        <fgColor rgb="001F6F6A"/>
      </patternFill>
    </fill>
    <fill>
      <patternFill patternType="solid">
        <fgColor rgb="00FFE0C2"/>
      </patternFill>
    </fill>
  </fills>
  <borders count="6">
    <border>
      <left/>
      <right/>
      <top/>
      <bottom/>
      <diagonal/>
    </border>
    <border>
      <left style="thin">
        <color rgb="00D4CBB8"/>
      </left>
      <right style="thin">
        <color rgb="00D4CBB8"/>
      </right>
      <top style="thin">
        <color rgb="00D4CBB8"/>
      </top>
      <bottom style="thin">
        <color rgb="00D4CBB8"/>
      </bottom>
    </border>
    <border>
      <left/>
      <right/>
      <top style="thin">
        <color rgb="00D4CBB8"/>
      </top>
      <bottom/>
      <diagonal/>
    </border>
    <border>
      <left/>
      <right style="thin">
        <color rgb="00D4CBB8"/>
      </right>
      <top style="thin">
        <color rgb="00D4CBB8"/>
      </top>
      <bottom/>
      <diagonal/>
    </border>
    <border>
      <left/>
      <right/>
      <top style="thin">
        <color rgb="00D4CBB8"/>
      </top>
      <bottom style="thin">
        <color rgb="00D4CBB8"/>
      </bottom>
      <diagonal/>
    </border>
    <border>
      <left/>
      <right style="thin">
        <color rgb="00D4CBB8"/>
      </right>
      <top style="thin">
        <color rgb="00D4CBB8"/>
      </top>
      <bottom style="thin">
        <color rgb="00D4CBB8"/>
      </bottom>
      <diagonal/>
    </border>
  </borders>
  <cellStyleXfs count="1">
    <xf numFmtId="0" fontId="0" fillId="0" borderId="0"/>
  </cellStyleXfs>
  <cellXfs count="86">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5" fillId="5" borderId="1" applyAlignment="1" pivotButton="0" quotePrefix="0" xfId="0">
      <alignment horizontal="center"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vertical="center" wrapText="1"/>
    </xf>
    <xf numFmtId="0" fontId="2" fillId="0" borderId="0" applyAlignment="1" pivotButton="0" quotePrefix="0" xfId="0">
      <alignment vertical="center" wrapText="1"/>
    </xf>
    <xf numFmtId="0" fontId="4" fillId="7" borderId="1" applyAlignment="1" pivotButton="0" quotePrefix="0" xfId="0">
      <alignment vertical="center" wrapText="1"/>
    </xf>
    <xf numFmtId="0" fontId="4" fillId="6" borderId="1" applyAlignment="1" pivotButton="0" quotePrefix="0" xfId="0">
      <alignment vertical="center" wrapText="1"/>
    </xf>
    <xf numFmtId="0" fontId="4" fillId="10" borderId="1" applyAlignment="1" pivotButton="0" quotePrefix="0" xfId="0">
      <alignment vertical="center" wrapText="1"/>
    </xf>
    <xf numFmtId="0" fontId="4" fillId="8" borderId="1" applyAlignment="1" pivotButton="0" quotePrefix="0" xfId="0">
      <alignment vertical="center" wrapText="1"/>
    </xf>
    <xf numFmtId="0" fontId="5" fillId="11"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1" borderId="1" applyAlignment="1" pivotButton="0" quotePrefix="0" xfId="0">
      <alignment vertical="center" wrapText="1"/>
    </xf>
    <xf numFmtId="0" fontId="2" fillId="2" borderId="1" applyAlignment="1" pivotButton="0" quotePrefix="0" xfId="0">
      <alignment vertical="center" wrapText="1"/>
    </xf>
    <xf numFmtId="0" fontId="5" fillId="9" borderId="1" applyAlignment="1" pivotButton="0" quotePrefix="0" xfId="0">
      <alignment horizontal="center" vertical="center" wrapText="1"/>
    </xf>
    <xf numFmtId="1" fontId="4" fillId="4"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2" borderId="1" applyAlignment="1" pivotButton="0" quotePrefix="0" xfId="0">
      <alignment vertical="center" wrapText="1"/>
    </xf>
    <xf numFmtId="4" fontId="4" fillId="6" borderId="1" applyAlignment="1" pivotButton="0" quotePrefix="0" xfId="0">
      <alignment horizontal="center" vertical="center" wrapText="1"/>
    </xf>
    <xf numFmtId="0" fontId="4" fillId="6" borderId="1" applyAlignment="1" pivotButton="0" quotePrefix="0" xfId="0">
      <alignment horizontal="center" vertical="center" wrapText="1"/>
    </xf>
    <xf numFmtId="1" fontId="4" fillId="6" borderId="1" applyAlignment="1" pivotButton="0" quotePrefix="0" xfId="0">
      <alignment horizontal="center" vertical="center" wrapText="1"/>
    </xf>
    <xf numFmtId="0" fontId="5" fillId="14" borderId="1" applyAlignment="1" pivotButton="0" quotePrefix="0" xfId="0">
      <alignment vertical="center" wrapText="1"/>
    </xf>
    <xf numFmtId="0" fontId="4" fillId="7" borderId="1" applyAlignment="1" pivotButton="0" quotePrefix="0" xfId="0">
      <alignment horizontal="center" vertical="center" wrapText="1"/>
    </xf>
    <xf numFmtId="4" fontId="4" fillId="7" borderId="1" applyAlignment="1" pivotButton="0" quotePrefix="0" xfId="0">
      <alignment horizontal="center" vertical="center" wrapText="1"/>
    </xf>
    <xf numFmtId="3" fontId="4" fillId="7" borderId="1" applyAlignment="1" pivotButton="0" quotePrefix="0" xfId="0">
      <alignment horizontal="center" vertical="center" wrapText="1"/>
    </xf>
    <xf numFmtId="3" fontId="4" fillId="6" borderId="1" applyAlignment="1" pivotButton="0" quotePrefix="0" xfId="0">
      <alignment horizontal="center" vertical="center" wrapText="1"/>
    </xf>
    <xf numFmtId="4" fontId="4" fillId="15" borderId="1" applyAlignment="1" pivotButton="0" quotePrefix="0" xfId="0">
      <alignment horizontal="center" vertical="center" wrapText="1"/>
    </xf>
    <xf numFmtId="3" fontId="4" fillId="15" borderId="1" applyAlignment="1" pivotButton="0" quotePrefix="0" xfId="0">
      <alignment horizontal="center" vertical="center" wrapText="1"/>
    </xf>
    <xf numFmtId="0" fontId="4" fillId="2" borderId="1" applyAlignment="1" pivotButton="0" quotePrefix="0" xfId="0">
      <alignment vertical="center" wrapText="1"/>
    </xf>
    <xf numFmtId="0" fontId="0" fillId="0" borderId="4" pivotButton="0" quotePrefix="0" xfId="0"/>
    <xf numFmtId="0" fontId="0" fillId="0" borderId="5" pivotButton="0" quotePrefix="0" xfId="0"/>
    <xf numFmtId="0" fontId="4" fillId="10" borderId="1" applyAlignment="1" pivotButton="0" quotePrefix="0" xfId="0">
      <alignment horizontal="center" vertical="center" wrapText="1"/>
    </xf>
    <xf numFmtId="4" fontId="4" fillId="4" borderId="1" applyAlignment="1" pivotButton="0" quotePrefix="0" xfId="0">
      <alignment horizontal="center" vertical="center" wrapText="1"/>
    </xf>
    <xf numFmtId="0" fontId="5" fillId="9" borderId="1" applyAlignment="1" pivotButton="0" quotePrefix="0" xfId="0">
      <alignment vertical="center" wrapText="1"/>
    </xf>
    <xf numFmtId="3" fontId="4" fillId="10" borderId="1" applyAlignment="1" pivotButton="0" quotePrefix="0" xfId="0">
      <alignment horizontal="center" vertical="center" wrapText="1"/>
    </xf>
    <xf numFmtId="164" fontId="4" fillId="10" borderId="1" applyAlignment="1" pivotButton="0" quotePrefix="0" xfId="0">
      <alignment horizontal="center" vertical="center" wrapText="1"/>
    </xf>
    <xf numFmtId="0" fontId="5" fillId="13" borderId="1" applyAlignment="1" pivotButton="0" quotePrefix="0" xfId="0">
      <alignment vertical="center" wrapText="1"/>
    </xf>
    <xf numFmtId="0" fontId="4" fillId="15" borderId="1" applyAlignment="1" pivotButton="0" quotePrefix="0" xfId="0">
      <alignment horizontal="center" vertical="center" wrapText="1"/>
    </xf>
    <xf numFmtId="164" fontId="4" fillId="7" borderId="1" applyAlignment="1" pivotButton="0" quotePrefix="0" xfId="0">
      <alignment horizontal="center" vertical="center" wrapText="1"/>
    </xf>
    <xf numFmtId="1" fontId="4" fillId="10" borderId="1" applyAlignment="1" pivotButton="0" quotePrefix="0" xfId="0">
      <alignment horizontal="center" vertical="center" wrapText="1"/>
    </xf>
    <xf numFmtId="10" fontId="4" fillId="10" borderId="1" applyAlignment="1" pivotButton="0" quotePrefix="0" xfId="0">
      <alignment horizontal="center" vertical="center" wrapText="1"/>
    </xf>
    <xf numFmtId="1" fontId="4" fillId="7" borderId="1" applyAlignment="1" pivotButton="0" quotePrefix="0" xfId="0">
      <alignment horizontal="center" vertical="center" wrapText="1"/>
    </xf>
    <xf numFmtId="3" fontId="4" fillId="4" borderId="1" applyAlignment="1" pivotButton="0" quotePrefix="0" xfId="0">
      <alignment horizontal="center" vertical="center" wrapText="1"/>
    </xf>
    <xf numFmtId="167" fontId="4" fillId="10" borderId="1" applyAlignment="1" pivotButton="0" quotePrefix="0" xfId="0">
      <alignment horizontal="center" vertical="center" wrapText="1"/>
    </xf>
    <xf numFmtId="2" fontId="4" fillId="7" borderId="1" applyAlignment="1" pivotButton="0" quotePrefix="0" xfId="0">
      <alignment horizontal="center" vertical="center" wrapText="1"/>
    </xf>
    <xf numFmtId="169" fontId="4" fillId="7" borderId="1" applyAlignment="1" pivotButton="0" quotePrefix="0" xfId="0">
      <alignment horizontal="center" vertical="center" wrapText="1"/>
    </xf>
    <xf numFmtId="165" fontId="4" fillId="7" borderId="1" applyAlignment="1" pivotButton="0" quotePrefix="0" xfId="0">
      <alignment horizontal="center" vertical="center" wrapText="1"/>
    </xf>
    <xf numFmtId="0" fontId="4" fillId="2" borderId="1" applyAlignment="1" pivotButton="0" quotePrefix="0" xfId="0">
      <alignment horizontal="center" vertical="center" wrapText="1"/>
    </xf>
    <xf numFmtId="1" fontId="4" fillId="15" borderId="1" applyAlignment="1" pivotButton="0" quotePrefix="0" xfId="0">
      <alignment horizontal="center" vertical="center" wrapText="1"/>
    </xf>
    <xf numFmtId="2" fontId="4" fillId="10" borderId="1" applyAlignment="1" pivotButton="0" quotePrefix="0" xfId="0">
      <alignment horizontal="center" vertical="center" wrapText="1"/>
    </xf>
    <xf numFmtId="170" fontId="4" fillId="10" borderId="1" applyAlignment="1" pivotButton="0" quotePrefix="0" xfId="0">
      <alignment horizontal="center" vertical="center" wrapText="1"/>
    </xf>
    <xf numFmtId="168" fontId="4" fillId="10" borderId="1" applyAlignment="1" pivotButton="0" quotePrefix="0" xfId="0">
      <alignment horizontal="center" vertical="center" wrapText="1"/>
    </xf>
    <xf numFmtId="10" fontId="4" fillId="7" borderId="1" applyAlignment="1" pivotButton="0" quotePrefix="0" xfId="0">
      <alignment horizontal="center" vertical="center" wrapText="1"/>
    </xf>
    <xf numFmtId="9" fontId="4" fillId="15" borderId="1" applyAlignment="1" pivotButton="0" quotePrefix="0" xfId="0">
      <alignment horizontal="center" vertical="center" wrapText="1"/>
    </xf>
    <xf numFmtId="164" fontId="4" fillId="15" borderId="1" applyAlignment="1" pivotButton="0" quotePrefix="0" xfId="0">
      <alignment horizontal="center" vertical="center" wrapText="1"/>
    </xf>
    <xf numFmtId="168" fontId="4" fillId="7" borderId="1" applyAlignment="1" pivotButton="0" quotePrefix="0" xfId="0">
      <alignment horizontal="center" vertical="center" wrapText="1"/>
    </xf>
    <xf numFmtId="1" fontId="4" fillId="2" borderId="1" applyAlignment="1" pivotButton="0" quotePrefix="0" xfId="0">
      <alignment horizontal="center" vertical="center" wrapText="1"/>
    </xf>
    <xf numFmtId="9" fontId="4" fillId="10" borderId="1" applyAlignment="1" pivotButton="0" quotePrefix="0" xfId="0">
      <alignment horizontal="center" vertical="center" wrapText="1"/>
    </xf>
    <xf numFmtId="167" fontId="4" fillId="7" borderId="1" applyAlignment="1" pivotButton="0" quotePrefix="0" xfId="0">
      <alignment horizontal="center" vertical="center" wrapText="1"/>
    </xf>
    <xf numFmtId="171" fontId="4" fillId="4" borderId="1" applyAlignment="1" pivotButton="0" quotePrefix="0" xfId="0">
      <alignment horizontal="center" vertical="center" wrapText="1"/>
    </xf>
    <xf numFmtId="172" fontId="4"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1" applyAlignment="1" pivotButton="0" quotePrefix="0" xfId="0">
      <alignment horizontal="center" vertical="center" wrapText="1"/>
    </xf>
    <xf numFmtId="168" fontId="4" fillId="4" borderId="1" applyAlignment="1" pivotButton="0" quotePrefix="0" xfId="0">
      <alignment horizontal="center" vertical="center" wrapText="1"/>
    </xf>
    <xf numFmtId="168" fontId="4" fillId="0" borderId="1" applyAlignment="1" pivotButton="0" quotePrefix="0" xfId="0">
      <alignment horizontal="center" vertical="center" wrapText="1"/>
    </xf>
    <xf numFmtId="171" fontId="4" fillId="7" borderId="1" applyAlignment="1" pivotButton="0" quotePrefix="0" xfId="0">
      <alignment horizontal="center" vertical="center" wrapText="1"/>
    </xf>
    <xf numFmtId="170" fontId="4" fillId="7" borderId="1" applyAlignment="1" pivotButton="0" quotePrefix="0" xfId="0">
      <alignment horizontal="center" vertical="center" wrapText="1"/>
    </xf>
    <xf numFmtId="0" fontId="5" fillId="5" borderId="1" applyAlignment="1" pivotButton="0" quotePrefix="0" xfId="0">
      <alignment vertical="center" wrapText="1"/>
    </xf>
    <xf numFmtId="164" fontId="4" fillId="4" borderId="1" applyAlignment="1" pivotButton="0" quotePrefix="0" xfId="0">
      <alignment horizontal="center" vertical="center" wrapText="1"/>
    </xf>
    <xf numFmtId="0" fontId="2" fillId="0" borderId="1" applyAlignment="1" pivotButton="0" quotePrefix="0" xfId="0">
      <alignment vertical="center" wrapText="1"/>
    </xf>
    <xf numFmtId="3" fontId="4" fillId="0" borderId="1" applyAlignment="1" pivotButton="0" quotePrefix="0" xfId="0">
      <alignment horizontal="center" vertical="center" wrapText="1"/>
    </xf>
    <xf numFmtId="166" fontId="4" fillId="0" borderId="1" applyAlignment="1" pivotButton="0" quotePrefix="0" xfId="0">
      <alignment horizontal="center" vertical="center" wrapText="1"/>
    </xf>
    <xf numFmtId="9" fontId="4" fillId="0" borderId="1" applyAlignment="1" pivotButton="0" quotePrefix="0" xfId="0">
      <alignment horizontal="center" vertical="center" wrapText="1"/>
    </xf>
    <xf numFmtId="10" fontId="4" fillId="4" borderId="1" applyAlignment="1" pivotButton="0" quotePrefix="0" xfId="0">
      <alignment horizontal="center" vertical="center" wrapText="1"/>
    </xf>
    <xf numFmtId="0" fontId="2" fillId="4" borderId="1" applyAlignment="1" pivotButton="0" quotePrefix="0" xfId="0">
      <alignment vertical="center" wrapText="1"/>
    </xf>
    <xf numFmtId="165" fontId="4" fillId="4"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9" borderId="1" applyAlignment="1" pivotButton="0" quotePrefix="0" xfId="0">
      <alignment vertical="center" wrapText="1"/>
    </xf>
    <xf numFmtId="165" fontId="4" fillId="10" borderId="1" applyAlignment="1" pivotButton="0" quotePrefix="0" xfId="0">
      <alignment horizontal="center" vertical="center" wrapText="1"/>
    </xf>
    <xf numFmtId="0" fontId="0" fillId="0" borderId="0" applyAlignment="1" pivotButton="0" quotePrefix="0" xfId="0">
      <alignment vertical="top" wrapText="1"/>
    </xf>
    <xf numFmtId="4" fontId="4" fillId="0" borderId="1" applyAlignment="1" pivotButton="0" quotePrefix="0" xfId="0">
      <alignment horizontal="center" vertical="center" wrapText="1"/>
    </xf>
  </cellXfs>
  <cellStyles count="1">
    <cellStyle name="Normal" xfId="0" builtinId="0" hidden="0"/>
  </cellStyles>
  <dxfs count="3">
    <dxf>
      <fill>
        <patternFill patternType="solid">
          <fgColor rgb="00F8D0D0"/>
        </patternFill>
      </fill>
    </dxf>
    <dxf>
      <fill>
        <patternFill patternType="solid">
          <fgColor rgb="00D3F0E2"/>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35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6" customWidth="1" min="3" max="3"/>
    <col width="36" customWidth="1" min="4" max="4"/>
    <col width="62" customWidth="1" min="5" max="5"/>
    <col width="42" customWidth="1" min="6" max="6"/>
    <col width="28" customWidth="1" min="7" max="7"/>
    <col width="24" customWidth="1" min="8" max="8"/>
  </cols>
  <sheetData>
    <row r="1">
      <c r="A1" s="1" t="inlineStr">
        <is>
          <t>FinPlan360 calculation components — live code, September 2026</t>
        </is>
      </c>
    </row>
    <row r="2" ht="36" customHeight="1">
      <c r="A2" s="2" t="inlineStr">
        <is>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is>
      </c>
    </row>
    <row r="3">
      <c r="A3" s="3" t="inlineStr">
        <is>
          <t>Component</t>
        </is>
      </c>
      <c r="B3" s="3" t="inlineStr">
        <is>
          <t>Owner</t>
        </is>
      </c>
      <c r="C3" s="3" t="inlineStr">
        <is>
          <t>Reads</t>
        </is>
      </c>
      <c r="D3" s="3" t="inlineStr">
        <is>
          <t>Writes</t>
        </is>
      </c>
      <c r="E3" s="3" t="inlineStr">
        <is>
          <t>How it calculates (code)</t>
        </is>
      </c>
      <c r="F3" s="3" t="inlineStr">
        <is>
          <t>Code</t>
        </is>
      </c>
      <c r="G3" s="3" t="inlineStr">
        <is>
          <t>Tab</t>
        </is>
      </c>
      <c r="H3" s="3" t="inlineStr">
        <is>
          <t>HTTP / UI</t>
        </is>
      </c>
    </row>
    <row r="4" ht="78" customHeight="1">
      <c r="A4" s="4" t="inlineStr">
        <is>
          <t>CPF</t>
        </is>
      </c>
      <c r="B4" s="4" t="inlineStr">
        <is>
          <t>GP pipeline (Singapore only)</t>
        </is>
      </c>
      <c r="C4" s="4" t="inlineStr">
        <is>
          <t>country, residency, age, incomeMonthly. Country switch on the CPF tab.</t>
        </is>
      </c>
      <c r="D4" s="4" t="inlineStr">
        <is>
          <t>employee CPF, take-home. 0 / income when CPF is off.</t>
        </is>
      </c>
      <c r="E4" s="4" t="inlineStr">
        <is>
          <t>On only when the country table (or orange override) is TRUE. Singapore Citizen/PR: employee CPF = floor(min(gross, OW_CEILING) × age-band rate). Foreigner → 0. Any other country → off, take-home = gross. src/cpf.py.</t>
        </is>
      </c>
      <c r="F4" s="4" t="inlineStr">
        <is>
          <t>src/cpf.py</t>
        </is>
      </c>
      <c r="G4" s="4" t="inlineStr">
        <is>
          <t>CPF</t>
        </is>
      </c>
      <c r="H4" s="4" t="inlineStr">
        <is>
          <t>Inside POST /v1/predict (take-home)</t>
        </is>
      </c>
    </row>
    <row r="5" ht="78" customHeight="1">
      <c r="A5" s="4" t="inlineStr">
        <is>
          <t>People Like You</t>
        </is>
      </c>
      <c r="B5" s="4" t="inlineStr">
        <is>
          <t>GP pipeline</t>
        </is>
      </c>
      <c r="C5" s="4" t="inlineStr">
        <is>
          <t>age / DOB, occupation, gender, dependents, residency. CPF box for take-home. Does not read Assumptions.</t>
        </is>
      </c>
      <c r="D5" s="4" t="inlineStr">
        <is>
          <t>incomeMonthly, expenseMonthly, cash, investments, property, mortgage, one Life Protection policy, lifeExpectancy, isSmoker.</t>
        </is>
      </c>
      <c r="E5" s="4" t="inlineStr">
        <is>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is>
      </c>
      <c r="F5" s="4" t="inlineStr">
        <is>
          <t>src/pipeline/people_like_you.py, src/cpf.py, src/predict.py _apply_plu</t>
        </is>
      </c>
      <c r="G5" s="4" t="inlineStr">
        <is>
          <t>People Like You</t>
        </is>
      </c>
      <c r="H5" s="4" t="inlineStr">
        <is>
          <t>POST /v1/predict (first of three)</t>
        </is>
      </c>
    </row>
    <row r="6" ht="78" customHeight="1">
      <c r="A6" s="4" t="inlineStr">
        <is>
          <t>Need Profiler</t>
        </is>
      </c>
      <c r="B6" s="4" t="inlineStr">
        <is>
          <t>GP pipeline</t>
        </is>
      </c>
      <c r="C6" s="4" t="inlineStr">
        <is>
          <t>Age, gender, dependents, occupation, smoker, income, expense, liquid assets, PLU liabilities, hospital/ward/lifestyle/sports, car/home/travel flags. Existing cover is hard-coded 0. No Assumptions. No LLM.</t>
        </is>
      </c>
      <c r="D6" s="4" t="inlineStr">
        <is>
          <t>needs[].enabled, needs[].priority, needs[].weightageScore. Four UNIFIED types on: two protection + two growth (retirement always one of the growth pair).</t>
        </is>
      </c>
      <c r="E6" s="4" t="inlineStr">
        <is>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is>
      </c>
      <c r="F6" s="4" t="inlineStr">
        <is>
          <t>src/pipeline/need_profiler.py, src/pipeline/prompts/Need_profiler.json, src/app.py top_n=4</t>
        </is>
      </c>
      <c r="G6" s="4" t="inlineStr">
        <is>
          <t>Need Profiler</t>
        </is>
      </c>
      <c r="H6" s="4" t="inlineStr">
        <is>
          <t>POST /v1/predict</t>
        </is>
      </c>
    </row>
    <row r="7" ht="78" customHeight="1">
      <c r="A7" s="4" t="inlineStr">
        <is>
          <t>Need Calculator</t>
        </is>
      </c>
      <c r="B7" s="4" t="inlineStr">
        <is>
          <t>GP pipeline</t>
        </is>
      </c>
      <c r="C7" s="4" t="inlineStr">
        <is>
          <t>Money attributes, enabled needs, goal-card sliders (lifestyle, retAge, targetYear, incomeReplaceMonthly, dependYears, bequest, monthlyContribution, tagged existing), Assumptions rates, Need parameters.</t>
        </is>
      </c>
      <c r="D7" s="4" t="inlineStr">
        <is>
          <t>For every UNIFIED type: needAmount, have, gap. Copies ageOfRetirement from the retirement row.</t>
        </is>
      </c>
      <c r="E7" s="4" t="inlineStr">
        <is>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is>
      </c>
      <c r="F7" s="4" t="inlineStr">
        <is>
          <t>src/pipeline/need_calculator.py evaluate_session, src/pipeline/goal_math.py, src/hu_payload.py need_existing / apply_investment_pot</t>
        </is>
      </c>
      <c r="G7" s="4" t="inlineStr">
        <is>
          <t>Need Calculator</t>
        </is>
      </c>
      <c r="H7" s="4" t="inlineStr">
        <is>
          <t>POST /v1/predict and POST /v1/needs</t>
        </is>
      </c>
    </row>
    <row r="8" ht="78" customHeight="1">
      <c r="A8" s="4" t="inlineStr">
        <is>
          <t>Goal cards</t>
        </is>
      </c>
      <c r="B8" s="4" t="inlineStr">
        <is>
          <t>GP UI</t>
        </is>
      </c>
      <c r="C8" s="4" t="inlineStr">
        <is>
          <t>Last calculator row (have, gap, stored sliders).</t>
        </is>
      </c>
      <c r="D8" s="4" t="inlineStr">
        <is>
          <t>Slider fields on the need; then POST /v1/needs (debounced). Does not recompute amounts in the browser.</t>
        </is>
      </c>
      <c r="E8" s="4" t="inlineStr">
        <is>
          <t>fillNeedEdit reads stored fields. patchNeedInputs writes lifestyle / retAge / targetYear / existing / … onto the session. Retirement stays on. The Score/Plan cap of four needs is UI-only (needEdit.capEnabledNeeds); this workbook lets you switch any need.</t>
        </is>
      </c>
      <c r="F8" s="4" t="inlineStr">
        <is>
          <t>frontend/src/lib/needEdit.ts</t>
        </is>
      </c>
      <c r="G8" s="4" t="inlineStr">
        <is>
          <t>Need Calculator (slider columns)</t>
        </is>
      </c>
      <c r="H8" s="4" t="inlineStr">
        <is>
          <t>Score and Plan screens</t>
        </is>
      </c>
    </row>
    <row r="9" ht="78" customHeight="1">
      <c r="A9" s="4" t="inlineStr">
        <is>
          <t>Plan Calculator</t>
        </is>
      </c>
      <c r="B9" s="4" t="inlineStr">
        <is>
          <t>GP UI</t>
        </is>
      </c>
      <c r="C9" s="4" t="inlineStr">
        <is>
          <t>Enabled needs with gap &gt; 0, take-home surplus, Assumptions inflationRate / investmentReturn / ageOfRetirement.</t>
        </is>
      </c>
      <c r="D9" s="4" t="inlineStr">
        <is>
          <t>planSum + planPrem (protection), planMth + planLump (wealth), investMth / investLump totals, plansOff.</t>
        </is>
      </c>
      <c r="E9" s="4" t="inlineStr">
        <is>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is>
      </c>
      <c r="F9" s="4" t="inlineStr">
        <is>
          <t>frontend/src/lib/planProducts.ts, frontend/src/lib/local.ts seedProducts</t>
        </is>
      </c>
      <c r="G9" s="4" t="inlineStr">
        <is>
          <t>Plan Calculator</t>
        </is>
      </c>
      <c r="H9" s="4" t="inlineStr">
        <is>
          <t>Plan screen (not an HTTP engine)</t>
        </is>
      </c>
    </row>
    <row r="10" ht="78" customHeight="1">
      <c r="A10" s="4" t="inlineStr">
        <is>
          <t>Budget Calculator</t>
        </is>
      </c>
      <c r="B10" s="4" t="inlineStr">
        <is>
          <t>GP UI</t>
        </is>
      </c>
      <c r="C10" s="4" t="inlineStr">
        <is>
          <t>take-home, expenseMonthly, investments, included planPrem / planMth / planLump. Not the economic rates.</t>
        </is>
      </c>
      <c r="D10" s="4" t="inlineStr">
        <is>
          <t>Nothing on the session. Plan-screen affordability only.</t>
        </is>
      </c>
      <c r="E10" s="4" t="inlineStr">
        <is>
          <t>available = max(0, takeHomeMonthly − expenseMonthly). free = round(available × 0.5). monthly = round(wealth contributions + protection premiums / 12). monthlyOver = monthly − free. lumpOver = wealth lumps − investments. Separate from the HappiU envelope (annualBudget 1500).</t>
        </is>
      </c>
      <c r="F10" s="4" t="inlineStr">
        <is>
          <t>planAfford in frontend/src/lib/planProducts.ts; availableBudget in types.ts</t>
        </is>
      </c>
      <c r="G10" s="4" t="inlineStr">
        <is>
          <t>Budget Calculator</t>
        </is>
      </c>
      <c r="H10" s="4" t="inlineStr">
        <is>
          <t>Plan screen</t>
        </is>
      </c>
    </row>
    <row r="11" ht="78" customHeight="1">
      <c r="A11" s="4" t="inlineStr">
        <is>
          <t>FX</t>
        </is>
      </c>
      <c r="B11" s="4" t="inlineStr">
        <is>
          <t>Workbook only (not an HTTP engine)</t>
        </is>
      </c>
      <c r="C11" s="4" t="inlineStr">
        <is>
          <t>Personas currency + effective session money fields from People Like You.</t>
        </is>
      </c>
      <c r="D11" s="4" t="inlineStr">
        <is>
          <t>USD per 1 local, and each money field in USD. Validation reads these; engines stay local.</t>
        </is>
      </c>
      <c r="E11" s="4" t="inlineStr">
        <is>
          <t>Lookup ISO code in the FX rate table (USD per 1 local unit). USD = local × rate. Example: 5,000 SGD × 0.74 = 3,700 USD; 5,000 VND × 0.000038 = 0.19 USD. Edit the rate table on this tab. People Like You still stores local currency.</t>
        </is>
      </c>
      <c r="F11" s="4" t="inlineStr">
        <is>
          <t>Workbook FX tab (no src module — validation helper)</t>
        </is>
      </c>
      <c r="G11" s="4" t="inlineStr">
        <is>
          <t>FX</t>
        </is>
      </c>
      <c r="H11" s="4" t="inlineStr">
        <is>
          <t>Not in the live pipeline</t>
        </is>
      </c>
    </row>
    <row r="12" ht="78" customHeight="1">
      <c r="A12" s="4" t="inlineStr">
        <is>
          <t>HappiU</t>
        </is>
      </c>
      <c r="B12" s="4" t="inlineStr">
        <is>
          <t>HU, via GP</t>
        </is>
      </c>
      <c r="C12" s="4" t="inlineStr">
        <is>
          <t>Whole session. Assumptions rates, CPF (inside HU), riskProfile, plan fields when set. Need amounts already stored.</t>
        </is>
      </c>
      <c r="D12" s="4" t="inlineStr">
        <is>
          <t>preHappiU, postHappiU. GP does not run the Monte Carlo.</t>
        </is>
      </c>
      <c r="E12" s="4" t="inlineStr">
        <is>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is>
      </c>
      <c r="F12" s="4" t="inlineStr">
        <is>
          <t>src/hu_payload.py → POST /v1/score → HU</t>
        </is>
      </c>
      <c r="G12" s="4" t="inlineStr">
        <is>
          <t>Assumptions (envelope only)</t>
        </is>
      </c>
      <c r="H12" s="4" t="inlineStr">
        <is>
          <t>POST /v1/score</t>
        </is>
      </c>
    </row>
    <row r="13" ht="78" customHeight="1">
      <c r="A13" s="4" t="inlineStr">
        <is>
          <t>Scenario Visualizer</t>
        </is>
      </c>
      <c r="B13" s="4" t="inlineStr">
        <is>
          <t>SV, via GP</t>
        </is>
      </c>
      <c r="C13" s="4" t="inlineStr">
        <is>
          <t>Session after Plan, all six rates, ageOfRetirement, endAge, stress chips. CPF inside SV.</t>
        </is>
      </c>
      <c r="D13" s="4" t="inlineStr">
        <is>
          <t>Year-by-year wealth path. GP does not run the year step.</t>
        </is>
      </c>
      <c r="E13" s="4" t="inlineStr">
        <is>
          <t>preWealth = session without the plan; postWealth = plus included planMth / planLump / planSum / planPrem. svNumSims defaults to 20. Investment contribution = max(0, take-home − expenseMonthly) once a year. This workbook does not project the path.</t>
        </is>
      </c>
      <c r="F13" s="4" t="inlineStr">
        <is>
          <t>src/sv_payload.py → POST /v1/project → SV</t>
        </is>
      </c>
      <c r="G13" s="4" t="inlineStr">
        <is>
          <t>Assumptions (stress catalogue)</t>
        </is>
      </c>
      <c r="H13" s="4" t="inlineStr">
        <is>
          <t>POST /v1/project</t>
        </is>
      </c>
    </row>
    <row r="14">
      <c r="A14" s="5" t="inlineStr">
        <is>
          <t>Journey order (one session, each step adds attributes)</t>
        </is>
      </c>
    </row>
    <row r="15" ht="36" customHeight="1">
      <c r="A15" s="6" t="inlineStr">
        <is>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is>
      </c>
    </row>
    <row r="17">
      <c r="A17" s="7" t="inlineStr">
        <is>
          <t>UNIFIED types in code order: N_INC, N_CRI, N_TPD, N_HOS (protection) · N_RET, N_EDU, N_SAV, N_PRP (wealth). Goal-card sliders live on the Need Calculator tab. Discrepancies lists remaining multi-country / multi-currency work.</t>
        </is>
      </c>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K65"/>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26" customWidth="1" min="3" max="3"/>
    <col width="22" customWidth="1" min="4" max="4"/>
    <col width="26" customWidth="1" min="5" max="5"/>
    <col width="30" customWidth="1" min="6" max="6"/>
    <col width="20" customWidth="1" min="7" max="7"/>
    <col width="16" customWidth="1" min="8" max="8"/>
    <col width="44" customWidth="1" min="9" max="9"/>
    <col width="34" customWidth="1" min="10" max="10"/>
    <col width="40" customWidth="1" min="11" max="11"/>
  </cols>
  <sheetData>
    <row r="1">
      <c r="A1" s="1" t="inlineStr">
        <is>
          <t>Dictionary — needs (N_), risks (R_) and parameter prefixes</t>
        </is>
      </c>
    </row>
    <row r="2" ht="48" customHeight="1">
      <c r="A2" s="2" t="inlineStr">
        <is>
          <t>N_xxx = need. R_xxx = the risk or event that triggers it (N_CRI ↔ R_CRI; N_INC ↔ R_DEA). · Parameters are named &lt;PREFIX&gt;_&lt;WHAT&gt; in upper case, with the need's 3-letter prefix (CRI_COST, HOS_MONTHS). · Protection · calculator and Wealth · calculator needs get amount / have / gap. Coverage · parked needs are scored only. · One name per need in every component (e.g. TPD, never Disability or PTD). Where an engine still differs (HU: N_HSP, PTD) it is listed as open. · Code (src/, frontend/) still uses the old parameter names and 8 needs until the code follows V0-16.</t>
        </is>
      </c>
    </row>
    <row r="4">
      <c r="A4" s="5" t="inlineStr">
        <is>
          <t>NEEDS</t>
        </is>
      </c>
    </row>
    <row r="5">
      <c r="A5" s="3" t="inlineStr">
        <is>
          <t>Code</t>
        </is>
      </c>
      <c r="B5" s="3" t="inlineStr">
        <is>
          <t>Risk</t>
        </is>
      </c>
      <c r="C5" s="3" t="inlineStr">
        <is>
          <t>Prefix</t>
        </is>
      </c>
      <c r="D5" s="3" t="inlineStr">
        <is>
          <t>Category</t>
        </is>
      </c>
      <c r="E5" s="3" t="inlineStr">
        <is>
          <t>App label</t>
        </is>
      </c>
      <c r="F5" s="3" t="inlineStr">
        <is>
          <t>Profiler label (key)</t>
        </is>
      </c>
      <c r="G5" s="3" t="inlineStr">
        <is>
          <t>HappiU</t>
        </is>
      </c>
      <c r="H5" s="3" t="inlineStr">
        <is>
          <t>Scenario Visualizer</t>
        </is>
      </c>
      <c r="I5" s="3" t="inlineStr">
        <is>
          <t>Calculator</t>
        </is>
      </c>
      <c r="J5" s="3" t="inlineStr">
        <is>
          <t>Parameters</t>
        </is>
      </c>
      <c r="K5" s="3" t="inlineStr">
        <is>
          <t>Status</t>
        </is>
      </c>
    </row>
    <row r="6">
      <c r="A6" s="8" t="inlineStr">
        <is>
          <t>N_INC</t>
        </is>
      </c>
      <c r="B6" s="8" t="inlineStr">
        <is>
          <t>R_DEA</t>
        </is>
      </c>
      <c r="C6" s="8" t="inlineStr">
        <is>
          <t>INC</t>
        </is>
      </c>
      <c r="D6" s="8" t="inlineStr">
        <is>
          <t>Protection · calculator</t>
        </is>
      </c>
      <c r="E6" s="4" t="inlineStr">
        <is>
          <t>Income &amp; family protection</t>
        </is>
      </c>
      <c r="F6" s="4" t="inlineStr">
        <is>
          <t>Life Protection (life_protection)</t>
        </is>
      </c>
      <c r="G6" s="4" t="inlineStr">
        <is>
          <t>N_INC</t>
        </is>
      </c>
      <c r="H6" s="4" t="inlineStr">
        <is>
          <t>premium</t>
        </is>
      </c>
      <c r="I6" s="4" t="inlineStr">
        <is>
          <t>bequest + mortgage + PV of annual spend over support years</t>
        </is>
      </c>
      <c r="J6" s="4" t="inlineStr">
        <is>
          <t>INC_SUPPORT_MIN / MAX / PIVOT_AGE</t>
        </is>
      </c>
      <c r="K6" s="4" t="inlineStr">
        <is>
          <t>Live</t>
        </is>
      </c>
    </row>
    <row r="7">
      <c r="A7" s="8" t="inlineStr">
        <is>
          <t>N_CRI</t>
        </is>
      </c>
      <c r="B7" s="8" t="inlineStr">
        <is>
          <t>R_CRI</t>
        </is>
      </c>
      <c r="C7" s="8" t="inlineStr">
        <is>
          <t>CRI</t>
        </is>
      </c>
      <c r="D7" s="8" t="inlineStr">
        <is>
          <t>Protection · calculator</t>
        </is>
      </c>
      <c r="E7" s="4" t="inlineStr">
        <is>
          <t>Critical illness</t>
        </is>
      </c>
      <c r="F7" s="4" t="inlineStr">
        <is>
          <t>Critical Illness (critical_illness)</t>
        </is>
      </c>
      <c r="G7" s="4" t="inlineStr">
        <is>
          <t>N_CRI</t>
        </is>
      </c>
      <c r="H7" s="4" t="inlineStr">
        <is>
          <t>premium</t>
        </is>
      </c>
      <c r="I7" s="4" t="inlineStr">
        <is>
          <t>annuity-due of income for CRI_YEARS + CRI_COST</t>
        </is>
      </c>
      <c r="J7" s="4" t="inlineStr">
        <is>
          <t>CRI_YEARS, CRI_COST</t>
        </is>
      </c>
      <c r="K7" s="4" t="inlineStr">
        <is>
          <t>Live</t>
        </is>
      </c>
    </row>
    <row r="8">
      <c r="A8" s="8" t="inlineStr">
        <is>
          <t>N_TPD</t>
        </is>
      </c>
      <c r="B8" s="8" t="inlineStr">
        <is>
          <t>R_TPD</t>
        </is>
      </c>
      <c r="C8" s="8" t="inlineStr">
        <is>
          <t>TPD</t>
        </is>
      </c>
      <c r="D8" s="8" t="inlineStr">
        <is>
          <t>Protection · calculator</t>
        </is>
      </c>
      <c r="E8" s="4" t="inlineStr">
        <is>
          <t>Total &amp; permanent disability (TPD)</t>
        </is>
      </c>
      <c r="F8" s="4" t="inlineStr">
        <is>
          <t>TPD (JSON key: disability)</t>
        </is>
      </c>
      <c r="G8" s="4" t="inlineStr">
        <is>
          <t>N_TPD (HU engine internals still say PTD: rename there)</t>
        </is>
      </c>
      <c r="H8" s="4" t="inlineStr">
        <is>
          <t>premium</t>
        </is>
      </c>
      <c r="I8" s="4" t="inlineStr">
        <is>
          <t>annuity-due of income for TPD_YEARS + TPD_COST</t>
        </is>
      </c>
      <c r="J8" s="4" t="inlineStr">
        <is>
          <t>TPD_YEARS, TPD_COST</t>
        </is>
      </c>
      <c r="K8" s="4" t="inlineStr">
        <is>
          <t>Live</t>
        </is>
      </c>
    </row>
    <row r="9">
      <c r="A9" s="8" t="inlineStr">
        <is>
          <t>N_HOS</t>
        </is>
      </c>
      <c r="B9" s="8" t="inlineStr">
        <is>
          <t>R_HOS</t>
        </is>
      </c>
      <c r="C9" s="8" t="inlineStr">
        <is>
          <t>HOS</t>
        </is>
      </c>
      <c r="D9" s="8" t="inlineStr">
        <is>
          <t>Protection · calculator</t>
        </is>
      </c>
      <c r="E9" s="4" t="inlineStr">
        <is>
          <t>Hospitalisation</t>
        </is>
      </c>
      <c r="F9" s="4" t="inlineStr">
        <is>
          <t>Hospitalization (hospitalization)</t>
        </is>
      </c>
      <c r="G9" s="4" t="inlineStr">
        <is>
          <t>N_HSP: GP renames N_HOS → N_HSP in hu_payload.py because the HU engine only knows N_HSP</t>
        </is>
      </c>
      <c r="H9" s="4" t="inlineStr">
        <is>
          <t>premium</t>
        </is>
      </c>
      <c r="I9" s="4" t="inlineStr">
        <is>
          <t>incomeMonthly × HOS_MONTHS</t>
        </is>
      </c>
      <c r="J9" s="4" t="inlineStr">
        <is>
          <t>HOS_MONTHS</t>
        </is>
      </c>
      <c r="K9" s="4" t="inlineStr">
        <is>
          <t>Live. Open: one code (N_HOS) in GP and HU</t>
        </is>
      </c>
    </row>
    <row r="10">
      <c r="A10" s="8" t="inlineStr">
        <is>
          <t>N_PAC</t>
        </is>
      </c>
      <c r="B10" s="8" t="inlineStr">
        <is>
          <t>R_PAC</t>
        </is>
      </c>
      <c r="C10" s="8" t="inlineStr">
        <is>
          <t>PAC</t>
        </is>
      </c>
      <c r="D10" s="8" t="inlineStr">
        <is>
          <t>Protection · calculator</t>
        </is>
      </c>
      <c r="E10" s="4" t="inlineStr">
        <is>
          <t>Personal accident (new)</t>
        </is>
      </c>
      <c r="F10" s="4" t="inlineStr">
        <is>
          <t>Personal Accident (personal_accident)</t>
        </is>
      </c>
      <c r="G10" s="4" t="inlineStr">
        <is>
          <t>N_PAC (HU engine supports it; GP does not send it yet)</t>
        </is>
      </c>
      <c r="H10" s="4" t="inlineStr">
        <is>
          <t>premium</t>
        </is>
      </c>
      <c r="I10" s="4" t="inlineStr">
        <is>
          <t>annuity-due of income for PAC_YEARS + PAC_COST</t>
        </is>
      </c>
      <c r="J10" s="4" t="inlineStr">
        <is>
          <t>PAC_YEARS, PAC_COST</t>
        </is>
      </c>
      <c r="K10" s="4" t="inlineStr">
        <is>
          <t>Agreed V0-18 (Excel). Code and HappiU payload to follow</t>
        </is>
      </c>
    </row>
    <row r="11">
      <c r="A11" s="8" t="inlineStr">
        <is>
          <t>N_ADB</t>
        </is>
      </c>
      <c r="B11" s="8" t="inlineStr">
        <is>
          <t>R_ADB</t>
        </is>
      </c>
      <c r="C11" s="8" t="inlineStr">
        <is>
          <t>ADB</t>
        </is>
      </c>
      <c r="D11" s="8" t="inlineStr">
        <is>
          <t>Protection · candidate</t>
        </is>
      </c>
      <c r="E11" s="4" t="inlineStr">
        <is>
          <t>Accidental death</t>
        </is>
      </c>
      <c r="F11" s="4" t="inlineStr">
        <is>
          <t>none (no profiler label)</t>
        </is>
      </c>
      <c r="G11" s="4" t="inlineStr">
        <is>
          <t>N_ADB (HU engine supports it, death-type goal like N_INC)</t>
        </is>
      </c>
      <c r="H11" s="4" t="inlineStr">
        <is>
          <t>—</t>
        </is>
      </c>
      <c r="I11" s="4" t="inlineStr">
        <is>
          <t>not defined yet (proposal: lump like N_INC, paid only on accidental death)</t>
        </is>
      </c>
      <c r="J11" s="4" t="inlineStr">
        <is>
          <t>ADB_* (to define)</t>
        </is>
      </c>
      <c r="K11" s="4" t="inlineStr">
        <is>
          <t>Added V0-17 to the dictionary. No calculator, not scored</t>
        </is>
      </c>
    </row>
    <row r="12">
      <c r="A12" s="8" t="inlineStr">
        <is>
          <t>N_LTC</t>
        </is>
      </c>
      <c r="B12" s="8" t="inlineStr">
        <is>
          <t>R_LTC</t>
        </is>
      </c>
      <c r="C12" s="8" t="inlineStr">
        <is>
          <t>LTC</t>
        </is>
      </c>
      <c r="D12" s="8" t="inlineStr">
        <is>
          <t>Protection · calculator</t>
        </is>
      </c>
      <c r="E12" s="4" t="inlineStr">
        <is>
          <t>Long-term care</t>
        </is>
      </c>
      <c r="F12" s="4" t="inlineStr">
        <is>
          <t>none (no profiler label)</t>
        </is>
      </c>
      <c r="G12" s="4" t="inlineStr">
        <is>
          <t>not sent (HU engine has no LTC)</t>
        </is>
      </c>
      <c r="H12" s="4" t="inlineStr">
        <is>
          <t>premium</t>
        </is>
      </c>
      <c r="I12" s="4" t="inlineStr">
        <is>
          <t>annuity-due of LTC_COST over care years (LTC start age → life expectancy)</t>
        </is>
      </c>
      <c r="J12" s="4" t="inlineStr">
        <is>
          <t>LTC_COST, LTC_START_AGE (front-end input)</t>
        </is>
      </c>
      <c r="K12" s="4" t="inlineStr">
        <is>
          <t>New V0-19. Off unless the customer switches it on</t>
        </is>
      </c>
    </row>
    <row r="13">
      <c r="A13" s="9" t="inlineStr">
        <is>
          <t>N_RET</t>
        </is>
      </c>
      <c r="B13" s="9" t="inlineStr">
        <is>
          <t>R_LON</t>
        </is>
      </c>
      <c r="C13" s="9" t="inlineStr">
        <is>
          <t>RET</t>
        </is>
      </c>
      <c r="D13" s="9" t="inlineStr">
        <is>
          <t>Wealth · calculator</t>
        </is>
      </c>
      <c r="E13" s="4" t="inlineStr">
        <is>
          <t>Private retirement</t>
        </is>
      </c>
      <c r="F13" s="4" t="inlineStr">
        <is>
          <t>Retirement (retirement)</t>
        </is>
      </c>
      <c r="G13" s="4" t="inlineStr">
        <is>
          <t>N_RET</t>
        </is>
      </c>
      <c r="H13" s="4" t="inlineStr">
        <is>
          <t>RET pot</t>
        </is>
      </c>
      <c r="I13" s="4" t="inlineStr">
        <is>
          <t>annual spend × lifestyle, grown to retirement, × annuity over years in retirement</t>
        </is>
      </c>
      <c r="J13" s="4" t="inlineStr">
        <is>
          <t>RET_LIFESTYLE_FRUGAL / STRESSFREE / ONLYTHEBEST; LON_AGE (R_LON)</t>
        </is>
      </c>
      <c r="K13" s="4" t="inlineStr">
        <is>
          <t>Live. R_LON stress: need re-sized to LON_AGE 99</t>
        </is>
      </c>
    </row>
    <row r="14">
      <c r="A14" s="9" t="inlineStr">
        <is>
          <t>N_EDU</t>
        </is>
      </c>
      <c r="B14" s="9" t="inlineStr">
        <is>
          <t>—</t>
        </is>
      </c>
      <c r="C14" s="9" t="inlineStr">
        <is>
          <t>EDU</t>
        </is>
      </c>
      <c r="D14" s="9" t="inlineStr">
        <is>
          <t>Wealth · calculator</t>
        </is>
      </c>
      <c r="E14" s="4" t="inlineStr">
        <is>
          <t>Child's university education</t>
        </is>
      </c>
      <c r="F14" s="4" t="inlineStr">
        <is>
          <t>Education (education)</t>
        </is>
      </c>
      <c r="G14" s="4" t="inlineStr">
        <is>
          <t>N_EDU</t>
        </is>
      </c>
      <c r="H14" s="4" t="inlineStr">
        <is>
          <t>goal pot</t>
        </is>
      </c>
      <c r="I14" s="4" t="inlineStr">
        <is>
          <t>EDU_COST grown at inflation to target year</t>
        </is>
      </c>
      <c r="J14" s="4" t="inlineStr">
        <is>
          <t>EDU_COST, EDU_YEARS_DEFAULT</t>
        </is>
      </c>
      <c r="K14" s="4" t="inlineStr">
        <is>
          <t>Live</t>
        </is>
      </c>
    </row>
    <row r="15">
      <c r="A15" s="9" t="inlineStr">
        <is>
          <t>N_SAV</t>
        </is>
      </c>
      <c r="B15" s="9" t="inlineStr">
        <is>
          <t>—</t>
        </is>
      </c>
      <c r="C15" s="9" t="inlineStr">
        <is>
          <t>SAV</t>
        </is>
      </c>
      <c r="D15" s="9" t="inlineStr">
        <is>
          <t>Wealth · calculator</t>
        </is>
      </c>
      <c r="E15" s="4" t="inlineStr">
        <is>
          <t>Savings goal</t>
        </is>
      </c>
      <c r="F15" s="4" t="inlineStr">
        <is>
          <t>General Savings (general_savings)</t>
        </is>
      </c>
      <c r="G15" s="4" t="inlineStr">
        <is>
          <t>N_SAV</t>
        </is>
      </c>
      <c r="H15" s="4" t="inlineStr">
        <is>
          <t>goal pot</t>
        </is>
      </c>
      <c r="I15" s="4" t="inlineStr">
        <is>
          <t>stored amount, else SAV_INCOME_MULT × annual income</t>
        </is>
      </c>
      <c r="J15" s="4" t="inlineStr">
        <is>
          <t>SAV_INCOME_MULT</t>
        </is>
      </c>
      <c r="K15" s="4" t="inlineStr">
        <is>
          <t>Live. No longer swapped with N_PRP</t>
        </is>
      </c>
    </row>
    <row r="16">
      <c r="A16" s="9" t="inlineStr">
        <is>
          <t>N_PRP</t>
        </is>
      </c>
      <c r="B16" s="9" t="inlineStr">
        <is>
          <t>—</t>
        </is>
      </c>
      <c r="C16" s="9" t="inlineStr">
        <is>
          <t>PRP</t>
        </is>
      </c>
      <c r="D16" s="9" t="inlineStr">
        <is>
          <t>Wealth · calculator</t>
        </is>
      </c>
      <c r="E16" s="4" t="inlineStr">
        <is>
          <t>Home purchase</t>
        </is>
      </c>
      <c r="F16" s="4" t="inlineStr">
        <is>
          <t>none (no home-purchase label)</t>
        </is>
      </c>
      <c r="G16" s="4" t="inlineStr">
        <is>
          <t>N_PRP</t>
        </is>
      </c>
      <c r="H16" s="4" t="inlineStr">
        <is>
          <t>goal pot</t>
        </is>
      </c>
      <c r="I16" s="4" t="inlineStr">
        <is>
          <t>stored amount, else PRP_INCOME_MULT × annual income</t>
        </is>
      </c>
      <c r="J16" s="4" t="inlineStr">
        <is>
          <t>PRP_INCOME_MULT</t>
        </is>
      </c>
      <c r="K16" s="4" t="inlineStr">
        <is>
          <t>Separated from Home Protection. Off unless the customer switches it on</t>
        </is>
      </c>
    </row>
    <row r="17">
      <c r="A17" s="10" t="inlineStr">
        <is>
          <t>N_HOM</t>
        </is>
      </c>
      <c r="B17" s="10" t="inlineStr">
        <is>
          <t>—</t>
        </is>
      </c>
      <c r="C17" s="10" t="inlineStr">
        <is>
          <t>HOM</t>
        </is>
      </c>
      <c r="D17" s="10" t="inlineStr">
        <is>
          <t>Coverage · parked</t>
        </is>
      </c>
      <c r="E17" s="4" t="inlineStr">
        <is>
          <t>Home protection</t>
        </is>
      </c>
      <c r="F17" s="4" t="inlineStr">
        <is>
          <t>Home Protection (home)</t>
        </is>
      </c>
      <c r="G17" s="4" t="inlineStr">
        <is>
          <t>—</t>
        </is>
      </c>
      <c r="H17" s="4" t="inlineStr">
        <is>
          <t>—</t>
        </is>
      </c>
      <c r="I17" s="4" t="inlineStr">
        <is>
          <t>no calculator</t>
        </is>
      </c>
      <c r="J17" s="4" t="inlineStr">
        <is>
          <t>—</t>
        </is>
      </c>
      <c r="K17" s="4" t="inlineStr">
        <is>
          <t>Scored and prioritised only</t>
        </is>
      </c>
    </row>
    <row r="18">
      <c r="A18" s="10" t="inlineStr">
        <is>
          <t>N_CAR</t>
        </is>
      </c>
      <c r="B18" s="10" t="inlineStr">
        <is>
          <t>—</t>
        </is>
      </c>
      <c r="C18" s="10" t="inlineStr">
        <is>
          <t>CAR</t>
        </is>
      </c>
      <c r="D18" s="10" t="inlineStr">
        <is>
          <t>Coverage · parked</t>
        </is>
      </c>
      <c r="E18" s="4" t="inlineStr">
        <is>
          <t>Car protection</t>
        </is>
      </c>
      <c r="F18" s="4" t="inlineStr">
        <is>
          <t>Car Protection (motor)</t>
        </is>
      </c>
      <c r="G18" s="4" t="inlineStr">
        <is>
          <t>—</t>
        </is>
      </c>
      <c r="H18" s="4" t="inlineStr">
        <is>
          <t>—</t>
        </is>
      </c>
      <c r="I18" s="4" t="inlineStr">
        <is>
          <t>no calculator</t>
        </is>
      </c>
      <c r="J18" s="4" t="inlineStr">
        <is>
          <t>—</t>
        </is>
      </c>
      <c r="K18" s="4" t="inlineStr">
        <is>
          <t>Scored and prioritised only</t>
        </is>
      </c>
    </row>
    <row r="19">
      <c r="A19" s="10" t="inlineStr">
        <is>
          <t>N_TRV</t>
        </is>
      </c>
      <c r="B19" s="10" t="inlineStr">
        <is>
          <t>—</t>
        </is>
      </c>
      <c r="C19" s="10" t="inlineStr">
        <is>
          <t>TRV</t>
        </is>
      </c>
      <c r="D19" s="10" t="inlineStr">
        <is>
          <t>Coverage · parked</t>
        </is>
      </c>
      <c r="E19" s="4" t="inlineStr">
        <is>
          <t>Travel protection</t>
        </is>
      </c>
      <c r="F19" s="4" t="inlineStr">
        <is>
          <t>Travel Protection (travel)</t>
        </is>
      </c>
      <c r="G19" s="4" t="inlineStr">
        <is>
          <t>—</t>
        </is>
      </c>
      <c r="H19" s="4" t="inlineStr">
        <is>
          <t>—</t>
        </is>
      </c>
      <c r="I19" s="4" t="inlineStr">
        <is>
          <t>no calculator</t>
        </is>
      </c>
      <c r="J19" s="4" t="inlineStr">
        <is>
          <t>—</t>
        </is>
      </c>
      <c r="K19" s="4" t="inlineStr">
        <is>
          <t>Scored and prioritised only</t>
        </is>
      </c>
    </row>
    <row r="20">
      <c r="A20" s="11" t="inlineStr">
        <is>
          <t>—</t>
        </is>
      </c>
      <c r="B20" s="11" t="inlineStr">
        <is>
          <t>—</t>
        </is>
      </c>
      <c r="C20" s="11" t="inlineStr">
        <is>
          <t>—</t>
        </is>
      </c>
      <c r="D20" s="11" t="inlineStr">
        <is>
          <t>Dropped</t>
        </is>
      </c>
      <c r="E20" s="4" t="inlineStr">
        <is>
          <t>Farewell</t>
        </is>
      </c>
      <c r="F20" s="4" t="inlineStr">
        <is>
          <t>Farewell (farewell)</t>
        </is>
      </c>
      <c r="G20" s="4" t="inlineStr">
        <is>
          <t>funeral lump dropped</t>
        </is>
      </c>
      <c r="H20" s="4" t="inlineStr">
        <is>
          <t>—</t>
        </is>
      </c>
      <c r="I20" s="4" t="inlineStr">
        <is>
          <t>—</t>
        </is>
      </c>
      <c r="J20" s="4" t="inlineStr">
        <is>
          <t>funeralLump removed</t>
        </is>
      </c>
      <c r="K20" s="4" t="inlineStr">
        <is>
          <t>Dropped V0-16</t>
        </is>
      </c>
    </row>
    <row r="22">
      <c r="A22" s="5" t="inlineStr">
        <is>
          <t>RISKS AND STRESS EVENTS</t>
        </is>
      </c>
    </row>
    <row r="23">
      <c r="A23" s="3" t="inlineStr">
        <is>
          <t>Code</t>
        </is>
      </c>
      <c r="B23" s="3" t="inlineStr">
        <is>
          <t>Was (id)</t>
        </is>
      </c>
      <c r="C23" s="3" t="inlineStr">
        <is>
          <t>Label</t>
        </is>
      </c>
      <c r="D23" s="3" t="inlineStr">
        <is>
          <t>Need</t>
        </is>
      </c>
      <c r="E23" s="3" t="inlineStr">
        <is>
          <t>Kind</t>
        </is>
      </c>
    </row>
    <row r="24">
      <c r="A24" s="4" t="inlineStr">
        <is>
          <t>R_DEA</t>
        </is>
      </c>
      <c r="B24" s="4" t="inlineStr">
        <is>
          <t>death</t>
        </is>
      </c>
      <c r="C24" s="4" t="inlineStr">
        <is>
          <t>Death</t>
        </is>
      </c>
      <c r="D24" s="4" t="inlineStr">
        <is>
          <t>N_INC</t>
        </is>
      </c>
      <c r="E24" s="4" t="inlineStr">
        <is>
          <t>Need risk</t>
        </is>
      </c>
    </row>
    <row r="25">
      <c r="A25" s="4" t="inlineStr">
        <is>
          <t>R_CRI</t>
        </is>
      </c>
      <c r="B25" s="4" t="inlineStr">
        <is>
          <t>ci</t>
        </is>
      </c>
      <c r="C25" s="4" t="inlineStr">
        <is>
          <t>Critical illness</t>
        </is>
      </c>
      <c r="D25" s="4" t="inlineStr">
        <is>
          <t>N_CRI</t>
        </is>
      </c>
      <c r="E25" s="4" t="inlineStr">
        <is>
          <t>Need risk</t>
        </is>
      </c>
    </row>
    <row r="26">
      <c r="A26" s="4" t="inlineStr">
        <is>
          <t>R_TPD</t>
        </is>
      </c>
      <c r="B26" s="4" t="inlineStr">
        <is>
          <t>tpd</t>
        </is>
      </c>
      <c r="C26" s="4" t="inlineStr">
        <is>
          <t>Total &amp; permanent disability</t>
        </is>
      </c>
      <c r="D26" s="4" t="inlineStr">
        <is>
          <t>N_TPD</t>
        </is>
      </c>
      <c r="E26" s="4" t="inlineStr">
        <is>
          <t>Need risk</t>
        </is>
      </c>
    </row>
    <row r="27">
      <c r="A27" s="4" t="inlineStr">
        <is>
          <t>R_HOS</t>
        </is>
      </c>
      <c r="B27" s="4" t="inlineStr">
        <is>
          <t>hosp</t>
        </is>
      </c>
      <c r="C27" s="4" t="inlineStr">
        <is>
          <t>Hospitalisation</t>
        </is>
      </c>
      <c r="D27" s="4" t="inlineStr">
        <is>
          <t>N_HOS</t>
        </is>
      </c>
      <c r="E27" s="4" t="inlineStr">
        <is>
          <t>Need risk</t>
        </is>
      </c>
    </row>
    <row r="28">
      <c r="A28" s="4" t="inlineStr">
        <is>
          <t>R_PAC</t>
        </is>
      </c>
      <c r="B28" s="4" t="inlineStr">
        <is>
          <t>pa</t>
        </is>
      </c>
      <c r="C28" s="4" t="inlineStr">
        <is>
          <t>Personal accident</t>
        </is>
      </c>
      <c r="D28" s="4" t="inlineStr">
        <is>
          <t>N_PAC</t>
        </is>
      </c>
      <c r="E28" s="4" t="inlineStr">
        <is>
          <t>Need risk</t>
        </is>
      </c>
    </row>
    <row r="29">
      <c r="A29" s="4" t="inlineStr">
        <is>
          <t>R_ADB</t>
        </is>
      </c>
      <c r="B29" s="4" t="inlineStr">
        <is>
          <t>—</t>
        </is>
      </c>
      <c r="C29" s="4" t="inlineStr">
        <is>
          <t>Accidental death</t>
        </is>
      </c>
      <c r="D29" s="4" t="inlineStr">
        <is>
          <t>N_ADB</t>
        </is>
      </c>
      <c r="E29" s="4" t="inlineStr">
        <is>
          <t>Need risk (no stress event yet)</t>
        </is>
      </c>
    </row>
    <row r="30">
      <c r="A30" s="4" t="inlineStr">
        <is>
          <t>R_LON</t>
        </is>
      </c>
      <c r="B30" s="4" t="inlineStr">
        <is>
          <t>— (new V0-18)</t>
        </is>
      </c>
      <c r="C30" s="4" t="inlineStr">
        <is>
          <t>Longevity: live until LON_AGE (99)</t>
        </is>
      </c>
      <c r="D30" s="4" t="inlineStr">
        <is>
          <t>N_RET</t>
        </is>
      </c>
      <c r="E30" s="4" t="inlineStr">
        <is>
          <t>Need risk · stress event</t>
        </is>
      </c>
    </row>
    <row r="31">
      <c r="A31" s="4" t="inlineStr">
        <is>
          <t>R_LTC</t>
        </is>
      </c>
      <c r="B31" s="4" t="inlineStr">
        <is>
          <t>care</t>
        </is>
      </c>
      <c r="C31" s="4" t="inlineStr">
        <is>
          <t>Long-term care</t>
        </is>
      </c>
      <c r="D31" s="4" t="inlineStr">
        <is>
          <t>N_LTC</t>
        </is>
      </c>
      <c r="E31" s="4" t="inlineStr">
        <is>
          <t>Need risk · stress event</t>
        </is>
      </c>
    </row>
    <row r="32">
      <c r="A32" s="4" t="inlineStr">
        <is>
          <t>R_MKT</t>
        </is>
      </c>
      <c r="B32" s="4" t="inlineStr">
        <is>
          <t>crash</t>
        </is>
      </c>
      <c r="C32" s="4" t="inlineStr">
        <is>
          <t>Market crash</t>
        </is>
      </c>
      <c r="D32" s="4" t="inlineStr">
        <is>
          <t>—</t>
        </is>
      </c>
      <c r="E32" s="4" t="inlineStr">
        <is>
          <t>Market event</t>
        </is>
      </c>
    </row>
    <row r="33">
      <c r="A33" s="4" t="inlineStr">
        <is>
          <t>R_CCY</t>
        </is>
      </c>
      <c r="B33" s="4" t="inlineStr">
        <is>
          <t>ccy</t>
        </is>
      </c>
      <c r="C33" s="4" t="inlineStr">
        <is>
          <t>Currency shock</t>
        </is>
      </c>
      <c r="D33" s="4" t="inlineStr">
        <is>
          <t>—</t>
        </is>
      </c>
      <c r="E33" s="4" t="inlineStr">
        <is>
          <t>Market event</t>
        </is>
      </c>
    </row>
    <row r="34">
      <c r="A34" s="4" t="inlineStr">
        <is>
          <t>R_INF</t>
        </is>
      </c>
      <c r="B34" s="4" t="inlineStr">
        <is>
          <t>infl</t>
        </is>
      </c>
      <c r="C34" s="4" t="inlineStr">
        <is>
          <t>Inflation shock</t>
        </is>
      </c>
      <c r="D34" s="4" t="inlineStr">
        <is>
          <t>—</t>
        </is>
      </c>
      <c r="E34" s="4" t="inlineStr">
        <is>
          <t>Market event</t>
        </is>
      </c>
    </row>
    <row r="35">
      <c r="A35" s="4" t="inlineStr">
        <is>
          <t>R_ICT</t>
        </is>
      </c>
      <c r="B35" s="4" t="inlineStr">
        <is>
          <t>inc</t>
        </is>
      </c>
      <c r="C35" s="4" t="inlineStr">
        <is>
          <t>Income cut</t>
        </is>
      </c>
      <c r="D35" s="4" t="inlineStr">
        <is>
          <t>—</t>
        </is>
      </c>
      <c r="E35" s="4" t="inlineStr">
        <is>
          <t>Household event</t>
        </is>
      </c>
    </row>
    <row r="36">
      <c r="A36" s="4" t="inlineStr">
        <is>
          <t>R_EXP</t>
        </is>
      </c>
      <c r="B36" s="4" t="inlineStr">
        <is>
          <t>exp</t>
        </is>
      </c>
      <c r="C36" s="4" t="inlineStr">
        <is>
          <t>Expense shock</t>
        </is>
      </c>
      <c r="D36" s="4" t="inlineStr">
        <is>
          <t>—</t>
        </is>
      </c>
      <c r="E36" s="4" t="inlineStr">
        <is>
          <t>Household event</t>
        </is>
      </c>
    </row>
    <row r="37">
      <c r="A37" s="4" t="inlineStr">
        <is>
          <t>R_WED</t>
        </is>
      </c>
      <c r="B37" s="4" t="inlineStr">
        <is>
          <t>wed</t>
        </is>
      </c>
      <c r="C37" s="4" t="inlineStr">
        <is>
          <t>Wedding / marriage</t>
        </is>
      </c>
      <c r="D37" s="4" t="inlineStr">
        <is>
          <t>—</t>
        </is>
      </c>
      <c r="E37" s="4" t="inlineStr">
        <is>
          <t>Life event</t>
        </is>
      </c>
    </row>
    <row r="38">
      <c r="A38" s="4" t="inlineStr">
        <is>
          <t>R_BAB</t>
        </is>
      </c>
      <c r="B38" s="4" t="inlineStr">
        <is>
          <t>baby</t>
        </is>
      </c>
      <c r="C38" s="4" t="inlineStr">
        <is>
          <t>Newborn</t>
        </is>
      </c>
      <c r="D38" s="4" t="inlineStr">
        <is>
          <t>—</t>
        </is>
      </c>
      <c r="E38" s="4" t="inlineStr">
        <is>
          <t>Life event</t>
        </is>
      </c>
    </row>
    <row r="40">
      <c r="A40" s="5" t="inlineStr">
        <is>
          <t>PARAMETER NAMES (Assumptions named cells)</t>
        </is>
      </c>
    </row>
    <row r="41">
      <c r="A41" s="3" t="inlineStr">
        <is>
          <t>New name</t>
        </is>
      </c>
      <c r="B41" s="3" t="inlineStr">
        <is>
          <t>Was</t>
        </is>
      </c>
      <c r="C41" s="3" t="inlineStr">
        <is>
          <t>Need</t>
        </is>
      </c>
    </row>
    <row r="42">
      <c r="A42" s="4" t="inlineStr">
        <is>
          <t>INC_SUPPORT_MIN</t>
        </is>
      </c>
      <c r="B42" s="4" t="inlineStr">
        <is>
          <t>lifeSupportMin</t>
        </is>
      </c>
      <c r="C42" s="4" t="inlineStr">
        <is>
          <t>N_INC</t>
        </is>
      </c>
    </row>
    <row r="43">
      <c r="A43" s="4" t="inlineStr">
        <is>
          <t>INC_SUPPORT_MAX</t>
        </is>
      </c>
      <c r="B43" s="4" t="inlineStr">
        <is>
          <t>lifeSupportMax</t>
        </is>
      </c>
      <c r="C43" s="4" t="inlineStr">
        <is>
          <t>N_INC</t>
        </is>
      </c>
    </row>
    <row r="44">
      <c r="A44" s="4" t="inlineStr">
        <is>
          <t>INC_SUPPORT_PIVOT_AGE</t>
        </is>
      </c>
      <c r="B44" s="4" t="inlineStr">
        <is>
          <t>lifeSupportPivotAge</t>
        </is>
      </c>
      <c r="C44" s="4" t="inlineStr">
        <is>
          <t>N_INC</t>
        </is>
      </c>
    </row>
    <row r="45">
      <c r="A45" s="4" t="inlineStr">
        <is>
          <t>CRI_YEARS</t>
        </is>
      </c>
      <c r="B45" s="4" t="inlineStr">
        <is>
          <t>CI_YEARS</t>
        </is>
      </c>
      <c r="C45" s="4" t="inlineStr">
        <is>
          <t>N_CRI</t>
        </is>
      </c>
    </row>
    <row r="46">
      <c r="A46" s="4" t="inlineStr">
        <is>
          <t>CRI_COST</t>
        </is>
      </c>
      <c r="B46" s="4" t="inlineStr">
        <is>
          <t>CI_COST</t>
        </is>
      </c>
      <c r="C46" s="4" t="inlineStr">
        <is>
          <t>N_CRI</t>
        </is>
      </c>
    </row>
    <row r="47">
      <c r="A47" s="4" t="inlineStr">
        <is>
          <t>TPD_YEARS</t>
        </is>
      </c>
      <c r="B47" s="4" t="inlineStr">
        <is>
          <t>TPD_YEARS</t>
        </is>
      </c>
      <c r="C47" s="4" t="inlineStr">
        <is>
          <t>N_TPD</t>
        </is>
      </c>
    </row>
    <row r="48">
      <c r="A48" s="4" t="inlineStr">
        <is>
          <t>TPD_COST</t>
        </is>
      </c>
      <c r="B48" s="4" t="inlineStr">
        <is>
          <t>TPD_COST</t>
        </is>
      </c>
      <c r="C48" s="4" t="inlineStr">
        <is>
          <t>N_TPD</t>
        </is>
      </c>
    </row>
    <row r="49">
      <c r="A49" s="4" t="inlineStr">
        <is>
          <t>HOS_MONTHS</t>
        </is>
      </c>
      <c r="B49" s="4" t="inlineStr">
        <is>
          <t>HOSP_MONTHS</t>
        </is>
      </c>
      <c r="C49" s="4" t="inlineStr">
        <is>
          <t>N_HOS</t>
        </is>
      </c>
    </row>
    <row r="50">
      <c r="A50" s="4" t="inlineStr">
        <is>
          <t>PAC_YEARS</t>
        </is>
      </c>
      <c r="B50" s="4" t="inlineStr">
        <is>
          <t>(new)</t>
        </is>
      </c>
      <c r="C50" s="4" t="inlineStr">
        <is>
          <t>N_PAC</t>
        </is>
      </c>
    </row>
    <row r="51">
      <c r="A51" s="4" t="inlineStr">
        <is>
          <t>PAC_COST</t>
        </is>
      </c>
      <c r="B51" s="4" t="inlineStr">
        <is>
          <t>(new)</t>
        </is>
      </c>
      <c r="C51" s="4" t="inlineStr">
        <is>
          <t>N_PAC</t>
        </is>
      </c>
    </row>
    <row r="52">
      <c r="A52" s="4" t="inlineStr">
        <is>
          <t>LON_AGE</t>
        </is>
      </c>
      <c r="B52" s="4" t="inlineStr">
        <is>
          <t>(new)</t>
        </is>
      </c>
      <c r="C52" s="4" t="inlineStr">
        <is>
          <t>N_RET · R_LON</t>
        </is>
      </c>
    </row>
    <row r="53">
      <c r="A53" s="4" t="inlineStr">
        <is>
          <t>LTC_COST</t>
        </is>
      </c>
      <c r="B53" s="4" t="inlineStr">
        <is>
          <t>(new)</t>
        </is>
      </c>
      <c r="C53" s="4" t="inlineStr">
        <is>
          <t>N_LTC</t>
        </is>
      </c>
    </row>
    <row r="54">
      <c r="A54" s="4" t="inlineStr">
        <is>
          <t>LTC_START_AGE</t>
        </is>
      </c>
      <c r="B54" s="4" t="inlineStr">
        <is>
          <t>(new)</t>
        </is>
      </c>
      <c r="C54" s="4" t="inlineStr">
        <is>
          <t>N_LTC</t>
        </is>
      </c>
    </row>
    <row r="55">
      <c r="A55" s="4" t="inlineStr">
        <is>
          <t>RET_LIFESTYLE_FRUGAL</t>
        </is>
      </c>
      <c r="B55" s="4" t="inlineStr">
        <is>
          <t>lifestyleFrugal</t>
        </is>
      </c>
      <c r="C55" s="4" t="inlineStr">
        <is>
          <t>N_RET</t>
        </is>
      </c>
    </row>
    <row r="56">
      <c r="A56" s="4" t="inlineStr">
        <is>
          <t>RET_LIFESTYLE_STRESSFREE</t>
        </is>
      </c>
      <c r="B56" s="4" t="inlineStr">
        <is>
          <t>lifestyleStressFree</t>
        </is>
      </c>
      <c r="C56" s="4" t="inlineStr">
        <is>
          <t>N_RET</t>
        </is>
      </c>
    </row>
    <row r="57">
      <c r="A57" s="4" t="inlineStr">
        <is>
          <t>RET_LIFESTYLE_ONLYTHEBEST</t>
        </is>
      </c>
      <c r="B57" s="4" t="inlineStr">
        <is>
          <t>lifestyleOnlyTheBest</t>
        </is>
      </c>
      <c r="C57" s="4" t="inlineStr">
        <is>
          <t>N_RET</t>
        </is>
      </c>
    </row>
    <row r="58">
      <c r="A58" s="4" t="inlineStr">
        <is>
          <t>EDU_COST</t>
        </is>
      </c>
      <c r="B58" s="4" t="inlineStr">
        <is>
          <t>EDU_TOTAL_COST</t>
        </is>
      </c>
      <c r="C58" s="4" t="inlineStr">
        <is>
          <t>N_EDU</t>
        </is>
      </c>
    </row>
    <row r="59">
      <c r="A59" s="4" t="inlineStr">
        <is>
          <t>EDU_YEARS_DEFAULT</t>
        </is>
      </c>
      <c r="B59" s="4" t="inlineStr">
        <is>
          <t>eduYearsDefault</t>
        </is>
      </c>
      <c r="C59" s="4" t="inlineStr">
        <is>
          <t>N_EDU</t>
        </is>
      </c>
    </row>
    <row r="60">
      <c r="A60" s="4" t="inlineStr">
        <is>
          <t>SAV_INCOME_MULT</t>
        </is>
      </c>
      <c r="B60" s="4" t="inlineStr">
        <is>
          <t>savIncomeMultiple</t>
        </is>
      </c>
      <c r="C60" s="4" t="inlineStr">
        <is>
          <t>N_SAV</t>
        </is>
      </c>
    </row>
    <row r="61">
      <c r="A61" s="4" t="inlineStr">
        <is>
          <t>PRP_INCOME_MULT</t>
        </is>
      </c>
      <c r="B61" s="4" t="inlineStr">
        <is>
          <t>prpIncomeMultiple</t>
        </is>
      </c>
      <c r="C61" s="4" t="inlineStr">
        <is>
          <t>N_PRP</t>
        </is>
      </c>
    </row>
    <row r="62">
      <c r="A62" s="4" t="inlineStr">
        <is>
          <t>(merged into CRI_COST)</t>
        </is>
      </c>
      <c r="B62" s="4" t="inlineStr">
        <is>
          <t>criMedicalPlaceholder / CRI_MEDICAL_HU</t>
        </is>
      </c>
      <c r="C62" s="4" t="inlineStr">
        <is>
          <t>N_CRI (HappiU payload)</t>
        </is>
      </c>
    </row>
    <row r="63">
      <c r="A63" s="4" t="inlineStr">
        <is>
          <t>MIN_EXPENSE_MONTHLY</t>
        </is>
      </c>
      <c r="B63" s="4" t="inlineStr">
        <is>
          <t>MIN_EXPENSE_MONTHLY (SGD 100)</t>
        </is>
      </c>
      <c r="C63" s="4" t="inlineStr">
        <is>
          <t>all (spend floor, USD 100)</t>
        </is>
      </c>
    </row>
    <row r="64">
      <c r="A64" s="4" t="inlineStr">
        <is>
          <t>R_xxx_SIZE / R_xxx_WHEN</t>
        </is>
      </c>
      <c r="B64" s="4" t="inlineStr">
        <is>
          <t>stress-event text table</t>
        </is>
      </c>
      <c r="C64" s="4" t="inlineStr">
        <is>
          <t>R_DEA, R_CRI, R_TPD, R_PAC, R_HOS, R_LTC, R_WED, R_BAB</t>
        </is>
      </c>
    </row>
    <row r="65">
      <c r="A65" s="4" t="inlineStr">
        <is>
          <t>(removed)</t>
        </is>
      </c>
      <c r="B65" s="4" t="inlineStr">
        <is>
          <t>funeralLump</t>
        </is>
      </c>
      <c r="C65" s="4" t="inlineStr">
        <is>
          <t>Farewell (dropped)</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Selected persona — pick one id here. Every calculation tab follows this cell.</t>
        </is>
      </c>
    </row>
    <row r="2">
      <c r="A2" s="12" t="inlineStr">
        <is>
          <t>Selected persona</t>
        </is>
      </c>
      <c r="B2" s="13" t="inlineStr">
        <is>
          <t>P01</t>
        </is>
      </c>
      <c r="C2" s="14">
        <f>IFERROR(INDEX(Personas!B$3:B$52,MATCH($B$2,Personas!$A$3:$A$52,0)),"")</f>
        <v/>
      </c>
      <c r="D2" s="2" t="inlineStr">
        <is>
          <t>This is the only picker. CPF, People Like You, Need Profiler, Need Calculator, Plan, Budget, FX, and Validation follow this cell.</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ABOUT YOU  —  from the Personas row (edit there)</t>
        </is>
      </c>
      <c r="B4" s="12" t="n"/>
      <c r="C4" s="12" t="n"/>
      <c r="D4" s="12" t="n"/>
      <c r="F4" s="16" t="inlineStr">
        <is>
          <t>C · DETERMINISTICALLY CALCULATED</t>
        </is>
      </c>
    </row>
    <row r="5">
      <c r="A5" s="17" t="inlineStr">
        <is>
          <t>name</t>
        </is>
      </c>
      <c r="B5" s="13">
        <f>IFERROR(INDEX(Personas!B$3:B$52,MATCH($B$2,Personas!$A$3:$A$52,0)),"")</f>
        <v/>
      </c>
      <c r="C5" s="13" t="inlineStr">
        <is>
          <t>A · input</t>
        </is>
      </c>
      <c r="D5" s="18" t="inlineStr">
        <is>
          <t>Personas B.</t>
        </is>
      </c>
      <c r="F5" s="19" t="inlineStr">
        <is>
          <t>D · ASSUMPTIONS / SHARED DATA</t>
        </is>
      </c>
    </row>
    <row r="6">
      <c r="A6" s="17" t="inlineStr">
        <is>
          <t>age</t>
        </is>
      </c>
      <c r="B6" s="20">
        <f>IFERROR(INDEX(Personas!C$3:C$52,MATCH($B$2,Personas!$A$3:$A$52,0)),"")</f>
        <v/>
      </c>
      <c r="C6" s="13" t="inlineStr">
        <is>
          <t>A · input</t>
        </is>
      </c>
      <c r="D6" s="18" t="inlineStr">
        <is>
          <t>Personas C.</t>
        </is>
      </c>
      <c r="F6" s="21" t="inlineStr">
        <is>
          <t>E · USER / FRONTEND OVERRIDE</t>
        </is>
      </c>
    </row>
    <row r="7">
      <c r="A7" s="17" t="inlineStr">
        <is>
          <t>gender</t>
        </is>
      </c>
      <c r="B7" s="13">
        <f>IFERROR(INDEX(Personas!D$3:D$52,MATCH($B$2,Personas!$A$3:$A$52,0)),"")</f>
        <v/>
      </c>
      <c r="C7" s="13" t="inlineStr">
        <is>
          <t>A · input</t>
        </is>
      </c>
      <c r="D7" s="18" t="inlineStr">
        <is>
          <t>Personas D.</t>
        </is>
      </c>
    </row>
    <row r="8">
      <c r="A8" s="17" t="inlineStr">
        <is>
          <t>residency</t>
        </is>
      </c>
      <c r="B8" s="13">
        <f>IFERROR(INDEX(Personas!E$3:E$52,MATCH($B$2,Personas!$A$3:$A$52,0)),"")</f>
        <v/>
      </c>
      <c r="C8" s="13" t="inlineStr">
        <is>
          <t>A · input</t>
        </is>
      </c>
      <c r="D8" s="18" t="inlineStr">
        <is>
          <t>Personas E.</t>
        </is>
      </c>
    </row>
    <row r="9">
      <c r="A9" s="17" t="inlineStr">
        <is>
          <t>country</t>
        </is>
      </c>
      <c r="B9" s="13">
        <f>IFERROR(INDEX(Personas!F$3:F$52,MATCH($B$2,Personas!$A$3:$A$52,0)),"")</f>
        <v/>
      </c>
      <c r="C9" s="13" t="inlineStr">
        <is>
          <t>A · input</t>
        </is>
      </c>
      <c r="D9" s="18" t="inlineStr">
        <is>
          <t>Personas F. CPF on/off uses this.</t>
        </is>
      </c>
    </row>
    <row r="10">
      <c r="A10" s="17" t="inlineStr">
        <is>
          <t>occupation</t>
        </is>
      </c>
      <c r="B10" s="13">
        <f>IFERROR(INDEX(Personas!G$3:G$52,MATCH($B$2,Personas!$A$3:$A$52,0)),"")</f>
        <v/>
      </c>
      <c r="C10" s="13" t="inlineStr">
        <is>
          <t>A · input</t>
        </is>
      </c>
      <c r="D10" s="18" t="inlineStr">
        <is>
          <t>Personas G. Income clamp band.</t>
        </is>
      </c>
    </row>
    <row r="11">
      <c r="A11" s="17" t="inlineStr">
        <is>
          <t>dependents</t>
        </is>
      </c>
      <c r="B11" s="20">
        <f>IFERROR(INDEX(Personas!H$3:H$52,MATCH($B$2,Personas!$A$3:$A$52,0)),"")</f>
        <v/>
      </c>
      <c r="C11" s="13" t="inlineStr">
        <is>
          <t>A · input</t>
        </is>
      </c>
      <c r="D11" s="18" t="inlineStr">
        <is>
          <t>Personas H.</t>
        </is>
      </c>
    </row>
    <row r="12">
      <c r="A12" s="17" t="inlineStr">
        <is>
          <t>maritalStatus</t>
        </is>
      </c>
      <c r="B12" s="13">
        <f>IFERROR(INDEX(Personas!I$3:I$52,MATCH($B$2,Personas!$A$3:$A$52,0)),"")</f>
        <v/>
      </c>
      <c r="C12" s="13" t="inlineStr">
        <is>
          <t>A · input</t>
        </is>
      </c>
      <c r="D12" s="18" t="inlineStr">
        <is>
          <t>Personas I. Blank = infer on People Like You.</t>
        </is>
      </c>
    </row>
    <row r="13">
      <c r="A13" s="17" t="inlineStr">
        <is>
          <t>what this row varies</t>
        </is>
      </c>
      <c r="B13" s="13">
        <f>IFERROR(INDEX(Personas!AD$3:AD$52,MATCH($B$2,Personas!$A$3:$A$52,0)),"")</f>
        <v/>
      </c>
      <c r="C13" s="13" t="inlineStr">
        <is>
          <t>A · input</t>
        </is>
      </c>
      <c r="D13" s="18" t="inlineStr">
        <is>
          <t>Personas AD. Why this persona exists.</t>
        </is>
      </c>
    </row>
    <row r="15">
      <c r="A15" s="15" t="inlineStr">
        <is>
          <t>B · LLM PREDICTED  —  from the Personas row (edit there)</t>
        </is>
      </c>
      <c r="B15" s="15" t="n"/>
      <c r="C15" s="15" t="n"/>
      <c r="D15" s="15" t="n"/>
    </row>
    <row r="16">
      <c r="A16" s="22" t="inlineStr">
        <is>
          <t>incomeMonthly (LLM)</t>
        </is>
      </c>
      <c r="B16" s="23">
        <f>IFERROR(INDEX(Personas!J$3:J$52,MATCH($B$2,Personas!$A$3:$A$52,0)),"")</f>
        <v/>
      </c>
      <c r="C16" s="24" t="inlineStr">
        <is>
          <t>B · LLM predicted</t>
        </is>
      </c>
      <c r="D16" s="18" t="inlineStr">
        <is>
          <t>Personas J. Before clamp and CPF.</t>
        </is>
      </c>
    </row>
    <row r="17">
      <c r="A17" s="22" t="inlineStr">
        <is>
          <t>currency</t>
        </is>
      </c>
      <c r="B17" s="24">
        <f>IFERROR(INDEX(Personas!K$3:K$52,MATCH($B$2,Personas!$A$3:$A$52,0)),"")</f>
        <v/>
      </c>
      <c r="C17" s="24" t="inlineStr">
        <is>
          <t>B · LLM predicted</t>
        </is>
      </c>
      <c r="D17" s="18" t="inlineStr">
        <is>
          <t>Personas K. FX looks this up.</t>
        </is>
      </c>
    </row>
    <row r="18">
      <c r="A18" s="22" t="inlineStr">
        <is>
          <t>risk ability</t>
        </is>
      </c>
      <c r="B18" s="24">
        <f>IFERROR(INDEX(Personas!L$3:L$52,MATCH($B$2,Personas!$A$3:$A$52,0)),"")</f>
        <v/>
      </c>
      <c r="C18" s="24" t="inlineStr">
        <is>
          <t>B · LLM predicted</t>
        </is>
      </c>
      <c r="D18" s="18" t="inlineStr">
        <is>
          <t>Personas L.</t>
        </is>
      </c>
    </row>
    <row r="19">
      <c r="A19" s="22" t="inlineStr">
        <is>
          <t>price sensitivity</t>
        </is>
      </c>
      <c r="B19" s="24">
        <f>IFERROR(INDEX(Personas!M$3:M$52,MATCH($B$2,Personas!$A$3:$A$52,0)),"")</f>
        <v/>
      </c>
      <c r="C19" s="24" t="inlineStr">
        <is>
          <t>B · LLM predicted</t>
        </is>
      </c>
      <c r="D19" s="18" t="inlineStr">
        <is>
          <t>Personas M.</t>
        </is>
      </c>
    </row>
    <row r="20">
      <c r="A20" s="22" t="inlineStr">
        <is>
          <t>owns property</t>
        </is>
      </c>
      <c r="B20" s="24">
        <f>IFERROR(INDEX(Personas!N$3:N$52,MATCH($B$2,Personas!$A$3:$A$52,0)),"")</f>
        <v/>
      </c>
      <c r="C20" s="24" t="inlineStr">
        <is>
          <t>B · LLM predicted</t>
        </is>
      </c>
      <c r="D20" s="18" t="inlineStr">
        <is>
          <t>Personas N.</t>
        </is>
      </c>
    </row>
    <row r="21">
      <c r="A21" s="22" t="inlineStr">
        <is>
          <t>owns car</t>
        </is>
      </c>
      <c r="B21" s="24">
        <f>IFERROR(INDEX(Personas!O$3:O$52,MATCH($B$2,Personas!$A$3:$A$52,0)),"")</f>
        <v/>
      </c>
      <c r="C21" s="24" t="inlineStr">
        <is>
          <t>B · LLM predicted</t>
        </is>
      </c>
      <c r="D21" s="18" t="inlineStr">
        <is>
          <t>Personas O.</t>
        </is>
      </c>
    </row>
    <row r="22">
      <c r="A22" s="22" t="inlineStr">
        <is>
          <t>is smoker</t>
        </is>
      </c>
      <c r="B22" s="24">
        <f>IFERROR(INDEX(Personas!U$3:U$52,MATCH($B$2,Personas!$A$3:$A$52,0)),"")</f>
        <v/>
      </c>
      <c r="C22" s="24" t="inlineStr">
        <is>
          <t>B · LLM predicted</t>
        </is>
      </c>
      <c r="D22" s="18" t="inlineStr">
        <is>
          <t>Personas U.</t>
        </is>
      </c>
    </row>
    <row r="23">
      <c r="A23" s="22" t="inlineStr">
        <is>
          <t>life expectancy</t>
        </is>
      </c>
      <c r="B23" s="25">
        <f>IFERROR(INDEX(Personas!V$3:V$52,MATCH($B$2,Personas!$A$3:$A$52,0)),"")</f>
        <v/>
      </c>
      <c r="C23" s="24" t="inlineStr">
        <is>
          <t>B · LLM predicted</t>
        </is>
      </c>
      <c r="D23" s="18" t="inlineStr">
        <is>
          <t>Personas V.</t>
        </is>
      </c>
    </row>
    <row r="24">
      <c r="A24" s="22" t="inlineStr">
        <is>
          <t>retirement lifestyle</t>
        </is>
      </c>
      <c r="B24" s="24">
        <f>IFERROR(INDEX(Personas!T$3:T$52,MATCH($B$2,Personas!$A$3:$A$52,0)),"")</f>
        <v/>
      </c>
      <c r="C24" s="24" t="inlineStr">
        <is>
          <t>B · LLM predicted</t>
        </is>
      </c>
      <c r="D24" s="18" t="inlineStr">
        <is>
          <t>Personas T.</t>
        </is>
      </c>
    </row>
    <row r="26">
      <c r="A26" s="16" t="inlineStr">
        <is>
          <t>C · EFFECTIVE SESSION  —  after CPF, People Like You, and Money-page overrides</t>
        </is>
      </c>
      <c r="B26" s="16" t="n"/>
      <c r="C26" s="16" t="n"/>
      <c r="D26" s="16" t="n"/>
    </row>
    <row r="27">
      <c r="A27" s="26" t="inlineStr">
        <is>
          <t>CPF on</t>
        </is>
      </c>
      <c r="B27" s="27">
        <f>CPF_on</f>
        <v/>
      </c>
      <c r="C27" s="27" t="inlineStr">
        <is>
          <t>C · calculated</t>
        </is>
      </c>
      <c r="D27" s="18" t="inlineStr">
        <is>
          <t>From the CPF tab.</t>
        </is>
      </c>
    </row>
    <row r="28">
      <c r="A28" s="26" t="inlineStr">
        <is>
          <t>incomeMonthly</t>
        </is>
      </c>
      <c r="B28" s="28">
        <f>PLU_incomeMonthly</f>
        <v/>
      </c>
      <c r="C28" s="27" t="inlineStr">
        <is>
          <t>C · calculated</t>
        </is>
      </c>
      <c r="D28" s="18" t="inlineStr">
        <is>
          <t>Clamped LLM income.</t>
        </is>
      </c>
    </row>
    <row r="29">
      <c r="A29" s="26" t="inlineStr">
        <is>
          <t>take-home</t>
        </is>
      </c>
      <c r="B29" s="28">
        <f>PLU_takeHome</f>
        <v/>
      </c>
      <c r="C29" s="27" t="inlineStr">
        <is>
          <t>C · calculated</t>
        </is>
      </c>
      <c r="D29" s="18" t="inlineStr">
        <is>
          <t>Gross minus employee CPF when CPF is on.</t>
        </is>
      </c>
    </row>
    <row r="30">
      <c r="A30" s="26" t="inlineStr">
        <is>
          <t>expenseMonthly</t>
        </is>
      </c>
      <c r="B30" s="28">
        <f>PLU_expenseMonthly</f>
        <v/>
      </c>
      <c r="C30" s="27" t="inlineStr">
        <is>
          <t>C · calculated</t>
        </is>
      </c>
      <c r="D30" s="18" t="inlineStr">
        <is>
          <t>Override if Personas W is set.</t>
        </is>
      </c>
    </row>
    <row r="31">
      <c r="A31" s="26" t="inlineStr">
        <is>
          <t>cash</t>
        </is>
      </c>
      <c r="B31" s="29">
        <f>PLU_cash</f>
        <v/>
      </c>
      <c r="C31" s="27" t="inlineStr">
        <is>
          <t>C · calculated</t>
        </is>
      </c>
      <c r="D31" s="18" t="inlineStr">
        <is>
          <t>Cash &amp; Savings.</t>
        </is>
      </c>
    </row>
    <row r="32">
      <c r="A32" s="26" t="inlineStr">
        <is>
          <t>investments</t>
        </is>
      </c>
      <c r="B32" s="29">
        <f>PLU_investments</f>
        <v/>
      </c>
      <c r="C32" s="27" t="inlineStr">
        <is>
          <t>C · calculated</t>
        </is>
      </c>
      <c r="D32" s="18" t="inlineStr"/>
    </row>
    <row r="33">
      <c r="A33" s="26" t="inlineStr">
        <is>
          <t>property</t>
        </is>
      </c>
      <c r="B33" s="29">
        <f>PLU_property</f>
        <v/>
      </c>
      <c r="C33" s="27" t="inlineStr">
        <is>
          <t>C · calculated</t>
        </is>
      </c>
      <c r="D33" s="18" t="inlineStr">
        <is>
          <t>0 if renter.</t>
        </is>
      </c>
    </row>
    <row r="34">
      <c r="A34" s="26" t="inlineStr">
        <is>
          <t>mortgage</t>
        </is>
      </c>
      <c r="B34" s="29">
        <f>PLU_mortgage</f>
        <v/>
      </c>
      <c r="C34" s="27" t="inlineStr">
        <is>
          <t>C · calculated</t>
        </is>
      </c>
      <c r="D34" s="18" t="inlineStr"/>
    </row>
    <row r="35">
      <c r="A35" s="26" t="inlineStr">
        <is>
          <t>PLU liabilities</t>
        </is>
      </c>
      <c r="B35" s="28">
        <f>PLU_liabilities</f>
        <v/>
      </c>
      <c r="C35" s="27" t="inlineStr">
        <is>
          <t>C · calculated</t>
        </is>
      </c>
      <c r="D35" s="18" t="inlineStr">
        <is>
          <t>Not the mortgage.</t>
        </is>
      </c>
    </row>
    <row r="36">
      <c r="A36" s="26" t="inlineStr">
        <is>
          <t>life sum assured</t>
        </is>
      </c>
      <c r="B36" s="29">
        <f>PLU_lifeSum</f>
        <v/>
      </c>
      <c r="C36" s="27" t="inlineStr">
        <is>
          <t>C · calculated</t>
        </is>
      </c>
      <c r="D36" s="18" t="inlineStr"/>
    </row>
  </sheetData>
  <mergeCells count="4">
    <mergeCell ref="A1:D1"/>
    <mergeCell ref="A4:D4"/>
    <mergeCell ref="A26:D26"/>
    <mergeCell ref="A15:D15"/>
  </mergeCells>
  <dataValidations count="1">
    <dataValidation sqref="B2" showDropDown="0" showInputMessage="0" showErrorMessage="0" allowBlank="0" type="list">
      <formula1>=PersonaIDs</formula1>
    </dataValidation>
  </dataValidations>
  <pageMargins left="0.75" right="0.75" top="1" bottom="1" header="0.5" footer="0.5"/>
</worksheet>
</file>

<file path=xl/worksheets/sheet4.xml><?xml version="1.0" encoding="utf-8"?>
<worksheet xmlns="http://schemas.openxmlformats.org/spreadsheetml/2006/main">
  <sheetPr>
    <tabColor rgb="008B6914"/>
    <outlinePr summaryBelow="1" summaryRight="1"/>
    <pageSetUpPr/>
  </sheetPr>
  <dimension ref="A1:AF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 customWidth="1" min="3" max="3"/>
    <col width="10" customWidth="1" min="4" max="4"/>
    <col width="12" customWidth="1" min="5" max="5"/>
    <col width="14" customWidth="1" min="6" max="6"/>
    <col width="20" customWidth="1" min="7" max="7"/>
    <col width="12" customWidth="1" min="8" max="8"/>
    <col width="22" customWidth="1" min="9" max="9"/>
    <col width="12" customWidth="1" min="10" max="10"/>
    <col width="10" customWidth="1" min="11" max="11"/>
    <col width="14" customWidth="1" min="12" max="12"/>
    <col width="16" customWidth="1" min="13" max="13"/>
    <col width="10" customWidth="1" min="14" max="14"/>
    <col width="8" customWidth="1" min="15" max="15"/>
    <col width="12" customWidth="1" min="16" max="16"/>
    <col width="20" customWidth="1" min="17" max="17"/>
    <col width="12" customWidth="1" min="18" max="18"/>
    <col width="22" customWidth="1" min="19" max="19"/>
    <col width="20" customWidth="1" min="20" max="20"/>
    <col width="12" customWidth="1" min="21" max="21"/>
    <col width="14" customWidth="1" min="22" max="22"/>
    <col width="16" customWidth="1" min="23" max="23"/>
    <col width="20" customWidth="1" min="24" max="24"/>
    <col width="14" customWidth="1" min="25" max="25"/>
    <col width="16" customWidth="1" min="26" max="26"/>
    <col width="16" customWidth="1" min="27" max="27"/>
    <col width="16" customWidth="1" min="28" max="28"/>
    <col width="16" customWidth="1" min="29" max="29"/>
    <col width="52" customWidth="1" min="30" max="30"/>
    <col width="42" customWidth="1" min="32" max="32"/>
  </cols>
  <sheetData>
    <row r="1" ht="22" customHeight="1">
      <c r="A1" s="12" t="inlineStr">
        <is>
          <t>A · INPUT DATA  —  About you (typed / session)</t>
        </is>
      </c>
      <c r="B1" s="12" t="n"/>
      <c r="C1" s="12" t="n"/>
      <c r="D1" s="12" t="n"/>
      <c r="E1" s="12" t="n"/>
      <c r="F1" s="12" t="n"/>
      <c r="G1" s="12" t="n"/>
      <c r="H1" s="12" t="n"/>
      <c r="I1" s="12" t="n"/>
      <c r="J1" s="15" t="inlineStr">
        <is>
          <t>B · LLM PREDICTED DATA  —  13 fields from people_like_you_all_fields.json</t>
        </is>
      </c>
      <c r="K1" s="15" t="n"/>
      <c r="L1" s="15" t="n"/>
      <c r="M1" s="15" t="n"/>
      <c r="N1" s="15" t="n"/>
      <c r="O1" s="15" t="n"/>
      <c r="P1" s="15" t="n"/>
      <c r="Q1" s="15" t="n"/>
      <c r="R1" s="15" t="n"/>
      <c r="S1" s="15" t="n"/>
      <c r="T1" s="15" t="n"/>
      <c r="U1" s="15" t="n"/>
      <c r="V1" s="15" t="n"/>
      <c r="W1" s="21" t="inlineStr">
        <is>
          <t>E · USER / FRONTEND OVERRIDE  —  Money page (blank = keep People Like You calculated)</t>
        </is>
      </c>
      <c r="X1" s="21" t="n"/>
      <c r="Y1" s="21" t="n"/>
      <c r="Z1" s="21" t="n"/>
      <c r="AA1" s="21" t="n"/>
      <c r="AB1" s="21" t="n"/>
      <c r="AC1" s="21" t="n"/>
      <c r="AD1" s="3" t="inlineStr">
        <is>
          <t>notes</t>
        </is>
      </c>
      <c r="AF1" s="12" t="inlineStr">
        <is>
          <t>A · INPUT DATA</t>
        </is>
      </c>
    </row>
    <row r="2">
      <c r="A2" s="12" t="inlineStr">
        <is>
          <t>id</t>
        </is>
      </c>
      <c r="B2" s="12" t="inlineStr">
        <is>
          <t>name</t>
        </is>
      </c>
      <c r="C2" s="12" t="inlineStr">
        <is>
          <t>age</t>
        </is>
      </c>
      <c r="D2" s="12" t="inlineStr">
        <is>
          <t>gender</t>
        </is>
      </c>
      <c r="E2" s="12" t="inlineStr">
        <is>
          <t>residency</t>
        </is>
      </c>
      <c r="F2" s="12" t="inlineStr">
        <is>
          <t>country</t>
        </is>
      </c>
      <c r="G2" s="12" t="inlineStr">
        <is>
          <t>occupation</t>
        </is>
      </c>
      <c r="H2" s="12" t="inlineStr">
        <is>
          <t>dependents</t>
        </is>
      </c>
      <c r="I2" s="12" t="inlineStr">
        <is>
          <t>maritalStatus (blank = infer)</t>
        </is>
      </c>
      <c r="J2" s="15" t="inlineStr">
        <is>
          <t>income</t>
        </is>
      </c>
      <c r="K2" s="15" t="inlineStr">
        <is>
          <t>currency</t>
        </is>
      </c>
      <c r="L2" s="15" t="inlineStr">
        <is>
          <t>risk_ability</t>
        </is>
      </c>
      <c r="M2" s="15" t="inlineStr">
        <is>
          <t>price_sensitivity</t>
        </is>
      </c>
      <c r="N2" s="15" t="inlineStr">
        <is>
          <t>property</t>
        </is>
      </c>
      <c r="O2" s="15" t="inlineStr">
        <is>
          <t>car</t>
        </is>
      </c>
      <c r="P2" s="15" t="inlineStr">
        <is>
          <t>ward_type</t>
        </is>
      </c>
      <c r="Q2" s="15" t="inlineStr">
        <is>
          <t>hospitalization_type</t>
        </is>
      </c>
      <c r="R2" s="15" t="inlineStr">
        <is>
          <t>travelling</t>
        </is>
      </c>
      <c r="S2" s="15" t="inlineStr">
        <is>
          <t>sports</t>
        </is>
      </c>
      <c r="T2" s="15" t="inlineStr">
        <is>
          <t>retirement_lifestyle</t>
        </is>
      </c>
      <c r="U2" s="15" t="inlineStr">
        <is>
          <t>is_smoker</t>
        </is>
      </c>
      <c r="V2" s="15" t="inlineStr">
        <is>
          <t>life_expectancy</t>
        </is>
      </c>
      <c r="W2" s="21" t="inlineStr">
        <is>
          <t>expenseMonthly</t>
        </is>
      </c>
      <c r="X2" s="21" t="inlineStr">
        <is>
          <t>cash (Cash &amp; Savings)</t>
        </is>
      </c>
      <c r="Y2" s="21" t="inlineStr">
        <is>
          <t>investments</t>
        </is>
      </c>
      <c r="Z2" s="21" t="inlineStr">
        <is>
          <t>property value</t>
        </is>
      </c>
      <c r="AA2" s="21" t="inlineStr">
        <is>
          <t>mortgage (loans)</t>
        </is>
      </c>
      <c r="AB2" s="21" t="inlineStr">
        <is>
          <t>PLU liabilities</t>
        </is>
      </c>
      <c r="AC2" s="21" t="inlineStr">
        <is>
          <t>life sum assured</t>
        </is>
      </c>
      <c r="AD2" s="3" t="inlineStr">
        <is>
          <t>What this row varies</t>
        </is>
      </c>
      <c r="AF2" s="15" t="inlineStr">
        <is>
          <t>B · LLM PREDICTED DATA</t>
        </is>
      </c>
    </row>
    <row r="3">
      <c r="A3" s="13" t="inlineStr">
        <is>
          <t>P01</t>
        </is>
      </c>
      <c r="B3" s="14" t="inlineStr">
        <is>
          <t>Aisha Rahman</t>
        </is>
      </c>
      <c r="C3" s="13" t="n">
        <v>22</v>
      </c>
      <c r="D3" s="13" t="inlineStr">
        <is>
          <t>Female</t>
        </is>
      </c>
      <c r="E3" s="13" t="inlineStr">
        <is>
          <t>Citizen</t>
        </is>
      </c>
      <c r="F3" s="13" t="inlineStr">
        <is>
          <t>Singapore</t>
        </is>
      </c>
      <c r="G3" s="14" t="inlineStr">
        <is>
          <t>Nurse</t>
        </is>
      </c>
      <c r="H3" s="13" t="n">
        <v>0</v>
      </c>
      <c r="I3" s="13" t="inlineStr"/>
      <c r="J3" s="30" t="n">
        <v>4200</v>
      </c>
      <c r="K3" s="24" t="inlineStr">
        <is>
          <t>SGD</t>
        </is>
      </c>
      <c r="L3" s="24" t="inlineStr">
        <is>
          <t>conservative</t>
        </is>
      </c>
      <c r="M3" s="24" t="inlineStr">
        <is>
          <t>high</t>
        </is>
      </c>
      <c r="N3" s="24" t="b">
        <v>0</v>
      </c>
      <c r="O3" s="24" t="b">
        <v>0</v>
      </c>
      <c r="P3" s="24" t="inlineStr">
        <is>
          <t>Ward</t>
        </is>
      </c>
      <c r="Q3" s="24" t="inlineStr">
        <is>
          <t>Public</t>
        </is>
      </c>
      <c r="R3" s="24" t="b">
        <v>0</v>
      </c>
      <c r="S3" s="9" t="inlineStr">
        <is>
          <t>Yoga</t>
        </is>
      </c>
      <c r="T3" s="24" t="inlineStr">
        <is>
          <t>Basic</t>
        </is>
      </c>
      <c r="U3" s="24" t="b">
        <v>0</v>
      </c>
      <c r="V3" s="24" t="n">
        <v>86</v>
      </c>
      <c r="W3" s="31" t="n">
        <v>2268</v>
      </c>
      <c r="X3" s="32" t="n">
        <v>983</v>
      </c>
      <c r="Y3" s="32" t="n">
        <v>5569</v>
      </c>
      <c r="Z3" s="32" t="n">
        <v>0</v>
      </c>
      <c r="AA3" s="32" t="n">
        <v>0</v>
      </c>
      <c r="AB3" s="32" t="n">
        <v>4586.4</v>
      </c>
      <c r="AC3" s="32" t="n">
        <v>0</v>
      </c>
      <c r="AD3" s="33" t="inlineStr">
        <is>
          <t>Nurse; age 22; Citizen; 0 dep; rent; non-smoker</t>
        </is>
      </c>
      <c r="AF3" s="16" t="inlineStr">
        <is>
          <t>C · DETERMINISTICALLY CALCULATED</t>
        </is>
      </c>
    </row>
    <row r="4">
      <c r="A4" s="13" t="inlineStr">
        <is>
          <t>P02</t>
        </is>
      </c>
      <c r="B4" s="14" t="inlineStr">
        <is>
          <t>Wei Ling Tan</t>
        </is>
      </c>
      <c r="C4" s="13" t="n">
        <v>27</v>
      </c>
      <c r="D4" s="13" t="inlineStr">
        <is>
          <t>Male</t>
        </is>
      </c>
      <c r="E4" s="13" t="inlineStr">
        <is>
          <t>PR</t>
        </is>
      </c>
      <c r="F4" s="13" t="inlineStr">
        <is>
          <t>Singapore</t>
        </is>
      </c>
      <c r="G4" s="14" t="inlineStr">
        <is>
          <t>Teacher</t>
        </is>
      </c>
      <c r="H4" s="13" t="n">
        <v>0</v>
      </c>
      <c r="I4" s="13" t="inlineStr"/>
      <c r="J4" s="30" t="n">
        <v>6020</v>
      </c>
      <c r="K4" s="24" t="inlineStr">
        <is>
          <t>SGD</t>
        </is>
      </c>
      <c r="L4" s="24" t="inlineStr">
        <is>
          <t>moderate</t>
        </is>
      </c>
      <c r="M4" s="24" t="inlineStr">
        <is>
          <t>medium</t>
        </is>
      </c>
      <c r="N4" s="24" t="b">
        <v>0</v>
      </c>
      <c r="O4" s="24" t="b">
        <v>1</v>
      </c>
      <c r="P4" s="24" t="inlineStr">
        <is>
          <t>Double</t>
        </is>
      </c>
      <c r="Q4" s="24" t="inlineStr">
        <is>
          <t>Private</t>
        </is>
      </c>
      <c r="R4" s="24" t="b">
        <v>1</v>
      </c>
      <c r="S4" s="9" t="inlineStr">
        <is>
          <t>Running</t>
        </is>
      </c>
      <c r="T4" s="24" t="inlineStr">
        <is>
          <t>Comfortable</t>
        </is>
      </c>
      <c r="U4" s="24" t="b">
        <v>0</v>
      </c>
      <c r="V4" s="24" t="n">
        <v>81</v>
      </c>
      <c r="W4" s="31" t="n">
        <v>3250.8</v>
      </c>
      <c r="X4" s="32" t="n">
        <v>8452</v>
      </c>
      <c r="Y4" s="32" t="n">
        <v>47895</v>
      </c>
      <c r="Z4" s="32" t="n">
        <v>0</v>
      </c>
      <c r="AA4" s="32" t="n">
        <v>0</v>
      </c>
      <c r="AB4" s="32" t="n">
        <v>39443.03999999999</v>
      </c>
      <c r="AC4" s="32" t="n">
        <v>0</v>
      </c>
      <c r="AD4" s="33" t="inlineStr">
        <is>
          <t>Teacher; age 27; PR; 0 dep; rent; non-smoker</t>
        </is>
      </c>
      <c r="AF4" s="19" t="inlineStr">
        <is>
          <t>D · ASSUMPTIONS / SHARED DATA</t>
        </is>
      </c>
    </row>
    <row r="5">
      <c r="A5" s="13" t="inlineStr">
        <is>
          <t>P03</t>
        </is>
      </c>
      <c r="B5" s="14" t="inlineStr">
        <is>
          <t>Daniel Koh</t>
        </is>
      </c>
      <c r="C5" s="13" t="n">
        <v>34</v>
      </c>
      <c r="D5" s="13" t="inlineStr">
        <is>
          <t>Female</t>
        </is>
      </c>
      <c r="E5" s="13" t="inlineStr">
        <is>
          <t>Citizen</t>
        </is>
      </c>
      <c r="F5" s="13" t="inlineStr">
        <is>
          <t>Singapore</t>
        </is>
      </c>
      <c r="G5" s="14" t="inlineStr">
        <is>
          <t>Accountant</t>
        </is>
      </c>
      <c r="H5" s="13" t="n">
        <v>1</v>
      </c>
      <c r="I5" s="13" t="inlineStr"/>
      <c r="J5" s="30" t="n">
        <v>7140</v>
      </c>
      <c r="K5" s="24" t="inlineStr">
        <is>
          <t>SGD</t>
        </is>
      </c>
      <c r="L5" s="24" t="inlineStr">
        <is>
          <t>moderate</t>
        </is>
      </c>
      <c r="M5" s="24" t="inlineStr">
        <is>
          <t>medium</t>
        </is>
      </c>
      <c r="N5" s="24" t="b">
        <v>1</v>
      </c>
      <c r="O5" s="24" t="b">
        <v>1</v>
      </c>
      <c r="P5" s="24" t="inlineStr">
        <is>
          <t>Single</t>
        </is>
      </c>
      <c r="Q5" s="24" t="inlineStr">
        <is>
          <t>Private</t>
        </is>
      </c>
      <c r="R5" s="24" t="b">
        <v>1</v>
      </c>
      <c r="S5" s="9" t="inlineStr">
        <is>
          <t>Swimming</t>
        </is>
      </c>
      <c r="T5" s="24" t="inlineStr">
        <is>
          <t>Comfortable</t>
        </is>
      </c>
      <c r="U5" s="24" t="b">
        <v>0</v>
      </c>
      <c r="V5" s="24" t="n">
        <v>88</v>
      </c>
      <c r="W5" s="31" t="n">
        <v>4141.2</v>
      </c>
      <c r="X5" s="32" t="n">
        <v>18378</v>
      </c>
      <c r="Y5" s="32" t="n">
        <v>104144</v>
      </c>
      <c r="Z5" s="32" t="n">
        <v>350000</v>
      </c>
      <c r="AA5" s="32" t="n">
        <v>192500</v>
      </c>
      <c r="AB5" s="32" t="n">
        <v>85765.68000000001</v>
      </c>
      <c r="AC5" s="32" t="n">
        <v>428400</v>
      </c>
      <c r="AD5" s="33" t="inlineStr">
        <is>
          <t>Accountant; age 34; Citizen; 1 dep; home; non-smoker</t>
        </is>
      </c>
      <c r="AF5" s="21" t="inlineStr">
        <is>
          <t>E · USER / FRONTEND OVERRIDE</t>
        </is>
      </c>
    </row>
    <row r="6">
      <c r="A6" s="13" t="inlineStr">
        <is>
          <t>P04</t>
        </is>
      </c>
      <c r="B6" s="14" t="inlineStr">
        <is>
          <t>Priya Nair</t>
        </is>
      </c>
      <c r="C6" s="13" t="n">
        <v>41</v>
      </c>
      <c r="D6" s="13" t="inlineStr">
        <is>
          <t>Male</t>
        </is>
      </c>
      <c r="E6" s="13" t="inlineStr">
        <is>
          <t>Citizen</t>
        </is>
      </c>
      <c r="F6" s="13" t="inlineStr">
        <is>
          <t>Singapore</t>
        </is>
      </c>
      <c r="G6" s="14" t="inlineStr">
        <is>
          <t>Marketing Manager</t>
        </is>
      </c>
      <c r="H6" s="13" t="n">
        <v>2</v>
      </c>
      <c r="I6" s="13" t="inlineStr"/>
      <c r="J6" s="30" t="n">
        <v>4550</v>
      </c>
      <c r="K6" s="24" t="inlineStr">
        <is>
          <t>SGD</t>
        </is>
      </c>
      <c r="L6" s="24" t="inlineStr">
        <is>
          <t>conservative</t>
        </is>
      </c>
      <c r="M6" s="24" t="inlineStr">
        <is>
          <t>high</t>
        </is>
      </c>
      <c r="N6" s="24" t="b">
        <v>1</v>
      </c>
      <c r="O6" s="24" t="b">
        <v>1</v>
      </c>
      <c r="P6" s="24" t="inlineStr">
        <is>
          <t>Ward</t>
        </is>
      </c>
      <c r="Q6" s="24" t="inlineStr">
        <is>
          <t>Public</t>
        </is>
      </c>
      <c r="R6" s="24" t="b">
        <v>0</v>
      </c>
      <c r="S6" s="9" t="inlineStr">
        <is>
          <t>I dont do sports</t>
        </is>
      </c>
      <c r="T6" s="24" t="inlineStr">
        <is>
          <t>frugal</t>
        </is>
      </c>
      <c r="U6" s="24" t="b">
        <v>1</v>
      </c>
      <c r="V6" s="24" t="n">
        <v>78</v>
      </c>
      <c r="W6" s="31" t="n">
        <v>2821</v>
      </c>
      <c r="X6" s="32" t="n">
        <v>14742</v>
      </c>
      <c r="Y6" s="32" t="n">
        <v>83538</v>
      </c>
      <c r="Z6" s="32" t="n">
        <v>350000</v>
      </c>
      <c r="AA6" s="32" t="n">
        <v>192500</v>
      </c>
      <c r="AB6" s="32" t="n">
        <v>68796</v>
      </c>
      <c r="AC6" s="32" t="n">
        <v>273000</v>
      </c>
      <c r="AD6" s="33" t="inlineStr">
        <is>
          <t>Marketing Manager; age 41; Citizen; 2 dep; home; smoker</t>
        </is>
      </c>
    </row>
    <row r="7">
      <c r="A7" s="13" t="inlineStr">
        <is>
          <t>P05</t>
        </is>
      </c>
      <c r="B7" s="14" t="inlineStr">
        <is>
          <t>Marcus Lim</t>
        </is>
      </c>
      <c r="C7" s="13" t="n">
        <v>47</v>
      </c>
      <c r="D7" s="13" t="inlineStr">
        <is>
          <t>Female</t>
        </is>
      </c>
      <c r="E7" s="13" t="inlineStr">
        <is>
          <t>Foreigner</t>
        </is>
      </c>
      <c r="F7" s="13" t="inlineStr">
        <is>
          <t>Singapore</t>
        </is>
      </c>
      <c r="G7" s="14" t="inlineStr">
        <is>
          <t>Software Engineer</t>
        </is>
      </c>
      <c r="H7" s="13" t="n">
        <v>2</v>
      </c>
      <c r="I7" s="13" t="inlineStr"/>
      <c r="J7" s="30" t="n">
        <v>5000</v>
      </c>
      <c r="K7" s="24" t="inlineStr">
        <is>
          <t>SGD</t>
        </is>
      </c>
      <c r="L7" s="24" t="inlineStr">
        <is>
          <t>aggressive</t>
        </is>
      </c>
      <c r="M7" s="24" t="inlineStr">
        <is>
          <t>high</t>
        </is>
      </c>
      <c r="N7" s="24" t="b">
        <v>1</v>
      </c>
      <c r="O7" s="24" t="b">
        <v>0</v>
      </c>
      <c r="P7" s="24" t="inlineStr">
        <is>
          <t>A</t>
        </is>
      </c>
      <c r="Q7" s="24" t="inlineStr">
        <is>
          <t>Private</t>
        </is>
      </c>
      <c r="R7" s="24" t="b">
        <v>1</v>
      </c>
      <c r="S7" s="9" t="inlineStr">
        <is>
          <t>Adventurous Sports</t>
        </is>
      </c>
      <c r="T7" s="24" t="inlineStr">
        <is>
          <t>only the best</t>
        </is>
      </c>
      <c r="U7" s="24" t="b">
        <v>0</v>
      </c>
      <c r="V7" s="24" t="n">
        <v>90</v>
      </c>
      <c r="W7" s="31" t="n">
        <v>3875</v>
      </c>
      <c r="X7" s="32" t="n">
        <v>26325</v>
      </c>
      <c r="Y7" s="32" t="n">
        <v>149175</v>
      </c>
      <c r="Z7" s="32" t="n">
        <v>350000</v>
      </c>
      <c r="AA7" s="32" t="n">
        <v>192500</v>
      </c>
      <c r="AB7" s="32" t="n">
        <v>122850</v>
      </c>
      <c r="AC7" s="32" t="n">
        <v>300000</v>
      </c>
      <c r="AD7" s="33" t="inlineStr">
        <is>
          <t>Software Engineer; age 47; Foreigner; 2 dep; home; non-smoker</t>
        </is>
      </c>
    </row>
    <row r="8">
      <c r="A8" s="13" t="inlineStr">
        <is>
          <t>P06</t>
        </is>
      </c>
      <c r="B8" s="14" t="inlineStr">
        <is>
          <t>Hannah Wong</t>
        </is>
      </c>
      <c r="C8" s="13" t="n">
        <v>32</v>
      </c>
      <c r="D8" s="13" t="inlineStr">
        <is>
          <t>Male</t>
        </is>
      </c>
      <c r="E8" s="13" t="inlineStr">
        <is>
          <t>Citizen</t>
        </is>
      </c>
      <c r="F8" s="13" t="inlineStr">
        <is>
          <t>Singapore</t>
        </is>
      </c>
      <c r="G8" s="14" t="inlineStr">
        <is>
          <t>Doctor</t>
        </is>
      </c>
      <c r="H8" s="13" t="n">
        <v>1</v>
      </c>
      <c r="I8" s="13" t="inlineStr"/>
      <c r="J8" s="30" t="n">
        <v>13910</v>
      </c>
      <c r="K8" s="24" t="inlineStr">
        <is>
          <t>SGD</t>
        </is>
      </c>
      <c r="L8" s="24" t="inlineStr">
        <is>
          <t>moderate</t>
        </is>
      </c>
      <c r="M8" s="24" t="inlineStr">
        <is>
          <t>medium</t>
        </is>
      </c>
      <c r="N8" s="24" t="b">
        <v>1</v>
      </c>
      <c r="O8" s="24" t="b">
        <v>1</v>
      </c>
      <c r="P8" s="24" t="inlineStr">
        <is>
          <t>B</t>
        </is>
      </c>
      <c r="Q8" s="24" t="inlineStr">
        <is>
          <t>Public</t>
        </is>
      </c>
      <c r="R8" s="24" t="b">
        <v>1</v>
      </c>
      <c r="S8" s="9" t="inlineStr">
        <is>
          <t>Life style activities</t>
        </is>
      </c>
      <c r="T8" s="24" t="inlineStr">
        <is>
          <t>stress-free</t>
        </is>
      </c>
      <c r="U8" s="24" t="b">
        <v>0</v>
      </c>
      <c r="V8" s="24" t="n">
        <v>83</v>
      </c>
      <c r="W8" s="31" t="n">
        <v>8924.75</v>
      </c>
      <c r="X8" s="32" t="n">
        <v>33514</v>
      </c>
      <c r="Y8" s="32" t="n">
        <v>189913</v>
      </c>
      <c r="Z8" s="32" t="n">
        <v>650000</v>
      </c>
      <c r="AA8" s="32" t="n">
        <v>357500</v>
      </c>
      <c r="AB8" s="32" t="n">
        <v>156398.55</v>
      </c>
      <c r="AC8" s="32" t="n">
        <v>834600</v>
      </c>
      <c r="AD8" s="33" t="inlineStr">
        <is>
          <t>Doctor; age 32; Citizen; 1 dep; home; non-smoker</t>
        </is>
      </c>
    </row>
    <row r="9">
      <c r="A9" s="13" t="inlineStr">
        <is>
          <t>P07</t>
        </is>
      </c>
      <c r="B9" s="14" t="inlineStr">
        <is>
          <t>Julian Chee</t>
        </is>
      </c>
      <c r="C9" s="13" t="n">
        <v>54</v>
      </c>
      <c r="D9" s="13" t="inlineStr">
        <is>
          <t>Female</t>
        </is>
      </c>
      <c r="E9" s="13" t="inlineStr">
        <is>
          <t>PR</t>
        </is>
      </c>
      <c r="F9" s="13" t="inlineStr">
        <is>
          <t>Singapore</t>
        </is>
      </c>
      <c r="G9" s="14" t="inlineStr">
        <is>
          <t>Investment Banker</t>
        </is>
      </c>
      <c r="H9" s="13" t="n">
        <v>0</v>
      </c>
      <c r="I9" s="13" t="inlineStr"/>
      <c r="J9" s="30" t="n">
        <v>5525</v>
      </c>
      <c r="K9" s="24" t="inlineStr">
        <is>
          <t>SGD</t>
        </is>
      </c>
      <c r="L9" s="24" t="inlineStr">
        <is>
          <t>conservative</t>
        </is>
      </c>
      <c r="M9" s="24" t="inlineStr">
        <is>
          <t>high</t>
        </is>
      </c>
      <c r="N9" s="24" t="b">
        <v>1</v>
      </c>
      <c r="O9" s="24" t="b">
        <v>1</v>
      </c>
      <c r="P9" s="24" t="inlineStr">
        <is>
          <t>Single</t>
        </is>
      </c>
      <c r="Q9" s="24" t="inlineStr">
        <is>
          <t>Private</t>
        </is>
      </c>
      <c r="R9" s="24" t="b">
        <v>0</v>
      </c>
      <c r="S9" s="9" t="inlineStr">
        <is>
          <t>Walking</t>
        </is>
      </c>
      <c r="T9" s="24" t="inlineStr">
        <is>
          <t>Basic</t>
        </is>
      </c>
      <c r="U9" s="24" t="b">
        <v>0</v>
      </c>
      <c r="V9" s="24" t="n">
        <v>89</v>
      </c>
      <c r="W9" s="31" t="n">
        <v>2983.5</v>
      </c>
      <c r="X9" s="32" t="n">
        <v>42664</v>
      </c>
      <c r="Y9" s="32" t="n">
        <v>241763</v>
      </c>
      <c r="Z9" s="32" t="n">
        <v>350000</v>
      </c>
      <c r="AA9" s="32" t="n">
        <v>192500</v>
      </c>
      <c r="AB9" s="32" t="n">
        <v>199098.9</v>
      </c>
      <c r="AC9" s="32" t="n">
        <v>200000</v>
      </c>
      <c r="AD9" s="33" t="inlineStr">
        <is>
          <t>Investment Banker; age 54; PR; 0 dep; home; non-smoker</t>
        </is>
      </c>
    </row>
    <row r="10">
      <c r="A10" s="13" t="inlineStr">
        <is>
          <t>P08</t>
        </is>
      </c>
      <c r="B10" s="14" t="inlineStr">
        <is>
          <t>Mei Fen Ong</t>
        </is>
      </c>
      <c r="C10" s="13" t="n">
        <v>60</v>
      </c>
      <c r="D10" s="13" t="inlineStr">
        <is>
          <t>Male</t>
        </is>
      </c>
      <c r="E10" s="13" t="inlineStr">
        <is>
          <t>Citizen</t>
        </is>
      </c>
      <c r="F10" s="13" t="inlineStr">
        <is>
          <t>Singapore</t>
        </is>
      </c>
      <c r="G10" s="14" t="inlineStr">
        <is>
          <t>CEO</t>
        </is>
      </c>
      <c r="H10" s="13" t="n">
        <v>3</v>
      </c>
      <c r="I10" s="13" t="inlineStr"/>
      <c r="J10" s="30" t="n">
        <v>5975</v>
      </c>
      <c r="K10" s="24" t="inlineStr">
        <is>
          <t>SGD</t>
        </is>
      </c>
      <c r="L10" s="24" t="inlineStr">
        <is>
          <t>conservative</t>
        </is>
      </c>
      <c r="M10" s="24" t="inlineStr">
        <is>
          <t>high</t>
        </is>
      </c>
      <c r="N10" s="24" t="b">
        <v>1</v>
      </c>
      <c r="O10" s="24" t="b">
        <v>1</v>
      </c>
      <c r="P10" s="24" t="inlineStr">
        <is>
          <t>Ward</t>
        </is>
      </c>
      <c r="Q10" s="24" t="inlineStr">
        <is>
          <t>Public</t>
        </is>
      </c>
      <c r="R10" s="24" t="b">
        <v>0</v>
      </c>
      <c r="S10" s="9" t="inlineStr">
        <is>
          <t>I dont do sports</t>
        </is>
      </c>
      <c r="T10" s="24" t="inlineStr">
        <is>
          <t>frugal</t>
        </is>
      </c>
      <c r="U10" s="24" t="b">
        <v>1</v>
      </c>
      <c r="V10" s="24" t="n">
        <v>76</v>
      </c>
      <c r="W10" s="31" t="n">
        <v>4042.5</v>
      </c>
      <c r="X10" s="32" t="n">
        <v>30098</v>
      </c>
      <c r="Y10" s="32" t="n">
        <v>170557</v>
      </c>
      <c r="Z10" s="32" t="n">
        <v>350000</v>
      </c>
      <c r="AA10" s="32" t="n">
        <v>192500</v>
      </c>
      <c r="AB10" s="32" t="n">
        <v>140458.5</v>
      </c>
      <c r="AC10" s="32" t="n">
        <v>358500</v>
      </c>
      <c r="AD10" s="33" t="inlineStr">
        <is>
          <t>CEO; age 60; Citizen; 3 dep; home; smoker</t>
        </is>
      </c>
    </row>
    <row r="11">
      <c r="A11" s="13" t="inlineStr">
        <is>
          <t>P09</t>
        </is>
      </c>
      <c r="B11" s="14" t="inlineStr">
        <is>
          <t>Hafiz Abdullah</t>
        </is>
      </c>
      <c r="C11" s="13" t="n">
        <v>25</v>
      </c>
      <c r="D11" s="13" t="inlineStr">
        <is>
          <t>Female</t>
        </is>
      </c>
      <c r="E11" s="13" t="inlineStr">
        <is>
          <t>Citizen</t>
        </is>
      </c>
      <c r="F11" s="13" t="inlineStr">
        <is>
          <t>Singapore</t>
        </is>
      </c>
      <c r="G11" s="14" t="inlineStr">
        <is>
          <t>Baker</t>
        </is>
      </c>
      <c r="H11" s="13" t="n">
        <v>0</v>
      </c>
      <c r="I11" s="13" t="inlineStr"/>
      <c r="J11" s="30" t="n">
        <v>3350</v>
      </c>
      <c r="K11" s="24" t="inlineStr">
        <is>
          <t>SGD</t>
        </is>
      </c>
      <c r="L11" s="24" t="inlineStr">
        <is>
          <t>moderate</t>
        </is>
      </c>
      <c r="M11" s="24" t="inlineStr">
        <is>
          <t>high</t>
        </is>
      </c>
      <c r="N11" s="24" t="b">
        <v>0</v>
      </c>
      <c r="O11" s="24" t="b">
        <v>0</v>
      </c>
      <c r="P11" s="24" t="inlineStr">
        <is>
          <t>Ward</t>
        </is>
      </c>
      <c r="Q11" s="24" t="inlineStr">
        <is>
          <t>Public</t>
        </is>
      </c>
      <c r="R11" s="24" t="b">
        <v>1</v>
      </c>
      <c r="S11" s="9" t="inlineStr">
        <is>
          <t>HIIT</t>
        </is>
      </c>
      <c r="T11" s="24" t="inlineStr">
        <is>
          <t>Comfortable</t>
        </is>
      </c>
      <c r="U11" s="24" t="b">
        <v>0</v>
      </c>
      <c r="V11" s="24" t="n">
        <v>87</v>
      </c>
      <c r="W11" s="31" t="n">
        <v>1809</v>
      </c>
      <c r="X11" s="32" t="n">
        <v>3136</v>
      </c>
      <c r="Y11" s="32" t="n">
        <v>17768</v>
      </c>
      <c r="Z11" s="32" t="n">
        <v>0</v>
      </c>
      <c r="AA11" s="32" t="n">
        <v>0</v>
      </c>
      <c r="AB11" s="32" t="n">
        <v>14632.8</v>
      </c>
      <c r="AC11" s="32" t="n">
        <v>0</v>
      </c>
      <c r="AD11" s="33" t="inlineStr">
        <is>
          <t>Baker; age 25; Citizen; 0 dep; rent; non-smoker</t>
        </is>
      </c>
    </row>
    <row r="12">
      <c r="A12" s="13" t="inlineStr">
        <is>
          <t>P10</t>
        </is>
      </c>
      <c r="B12" s="14" t="inlineStr">
        <is>
          <t>Siti Hassan</t>
        </is>
      </c>
      <c r="C12" s="13" t="n">
        <v>37</v>
      </c>
      <c r="D12" s="13" t="inlineStr">
        <is>
          <t>Male</t>
        </is>
      </c>
      <c r="E12" s="13" t="inlineStr">
        <is>
          <t>Foreigner</t>
        </is>
      </c>
      <c r="F12" s="13" t="inlineStr">
        <is>
          <t>Singapore</t>
        </is>
      </c>
      <c r="G12" s="14" t="inlineStr">
        <is>
          <t>Driver</t>
        </is>
      </c>
      <c r="H12" s="13" t="n">
        <v>2</v>
      </c>
      <c r="I12" s="13" t="inlineStr"/>
      <c r="J12" s="30" t="n">
        <v>4250</v>
      </c>
      <c r="K12" s="24" t="inlineStr">
        <is>
          <t>SGD</t>
        </is>
      </c>
      <c r="L12" s="24" t="inlineStr">
        <is>
          <t>aggressive</t>
        </is>
      </c>
      <c r="M12" s="24" t="inlineStr">
        <is>
          <t>high</t>
        </is>
      </c>
      <c r="N12" s="24" t="b">
        <v>0</v>
      </c>
      <c r="O12" s="24" t="b">
        <v>1</v>
      </c>
      <c r="P12" s="24" t="inlineStr">
        <is>
          <t>Double</t>
        </is>
      </c>
      <c r="Q12" s="24" t="inlineStr">
        <is>
          <t>Private</t>
        </is>
      </c>
      <c r="R12" s="24" t="b">
        <v>1</v>
      </c>
      <c r="S12" s="9" t="inlineStr">
        <is>
          <t>Football</t>
        </is>
      </c>
      <c r="T12" s="24" t="inlineStr">
        <is>
          <t>Luxurious</t>
        </is>
      </c>
      <c r="U12" s="24" t="b">
        <v>0</v>
      </c>
      <c r="V12" s="24" t="n">
        <v>80</v>
      </c>
      <c r="W12" s="31" t="n">
        <v>3293.75</v>
      </c>
      <c r="X12" s="32" t="n">
        <v>13770</v>
      </c>
      <c r="Y12" s="32" t="n">
        <v>78030</v>
      </c>
      <c r="Z12" s="32" t="n">
        <v>0</v>
      </c>
      <c r="AA12" s="32" t="n">
        <v>0</v>
      </c>
      <c r="AB12" s="32" t="n">
        <v>64259.99999999999</v>
      </c>
      <c r="AC12" s="32" t="n">
        <v>255000</v>
      </c>
      <c r="AD12" s="33" t="inlineStr">
        <is>
          <t>Driver; age 37; Foreigner; 2 dep; rent; non-smoker</t>
        </is>
      </c>
    </row>
    <row r="13">
      <c r="A13" s="13" t="inlineStr">
        <is>
          <t>P11</t>
        </is>
      </c>
      <c r="B13" s="14" t="inlineStr">
        <is>
          <t>Aisha Ng</t>
        </is>
      </c>
      <c r="C13" s="13" t="n">
        <v>51</v>
      </c>
      <c r="D13" s="13" t="inlineStr">
        <is>
          <t>Female</t>
        </is>
      </c>
      <c r="E13" s="13" t="inlineStr">
        <is>
          <t>Citizen</t>
        </is>
      </c>
      <c r="F13" s="13" t="inlineStr">
        <is>
          <t>Singapore</t>
        </is>
      </c>
      <c r="G13" s="14" t="inlineStr">
        <is>
          <t>Nurse</t>
        </is>
      </c>
      <c r="H13" s="13" t="n">
        <v>1</v>
      </c>
      <c r="I13" s="13" t="inlineStr"/>
      <c r="J13" s="30" t="n">
        <v>7140</v>
      </c>
      <c r="K13" s="24" t="inlineStr">
        <is>
          <t>SGD</t>
        </is>
      </c>
      <c r="L13" s="24" t="inlineStr">
        <is>
          <t>moderate</t>
        </is>
      </c>
      <c r="M13" s="24" t="inlineStr">
        <is>
          <t>medium</t>
        </is>
      </c>
      <c r="N13" s="24" t="b">
        <v>1</v>
      </c>
      <c r="O13" s="24" t="b">
        <v>1</v>
      </c>
      <c r="P13" s="24" t="inlineStr">
        <is>
          <t>A</t>
        </is>
      </c>
      <c r="Q13" s="24" t="inlineStr">
        <is>
          <t>Private</t>
        </is>
      </c>
      <c r="R13" s="24" t="b">
        <v>1</v>
      </c>
      <c r="S13" s="9" t="inlineStr">
        <is>
          <t>Pilates</t>
        </is>
      </c>
      <c r="T13" s="24" t="inlineStr">
        <is>
          <t>only the best</t>
        </is>
      </c>
      <c r="U13" s="24" t="b">
        <v>0</v>
      </c>
      <c r="V13" s="24" t="n">
        <v>91</v>
      </c>
      <c r="W13" s="31" t="n">
        <v>4141.2</v>
      </c>
      <c r="X13" s="32" t="n">
        <v>42412</v>
      </c>
      <c r="Y13" s="32" t="n">
        <v>240332</v>
      </c>
      <c r="Z13" s="32" t="n">
        <v>350000</v>
      </c>
      <c r="AA13" s="32" t="n">
        <v>192500</v>
      </c>
      <c r="AB13" s="32" t="n">
        <v>197920.8</v>
      </c>
      <c r="AC13" s="32" t="n">
        <v>428400</v>
      </c>
      <c r="AD13" s="33" t="inlineStr">
        <is>
          <t>Nurse; age 51; Citizen; 1 dep; home; non-smoker</t>
        </is>
      </c>
    </row>
    <row r="14">
      <c r="A14" s="13" t="inlineStr">
        <is>
          <t>P12</t>
        </is>
      </c>
      <c r="B14" s="14" t="inlineStr">
        <is>
          <t>Wei Ling Chua</t>
        </is>
      </c>
      <c r="C14" s="13" t="n">
        <v>66</v>
      </c>
      <c r="D14" s="13" t="inlineStr">
        <is>
          <t>Male</t>
        </is>
      </c>
      <c r="E14" s="13" t="inlineStr">
        <is>
          <t>Citizen</t>
        </is>
      </c>
      <c r="F14" s="13" t="inlineStr">
        <is>
          <t>Singapore</t>
        </is>
      </c>
      <c r="G14" s="14" t="inlineStr">
        <is>
          <t>Teacher</t>
        </is>
      </c>
      <c r="H14" s="13" t="n">
        <v>0</v>
      </c>
      <c r="I14" s="13" t="inlineStr"/>
      <c r="J14" s="30" t="n">
        <v>9800</v>
      </c>
      <c r="K14" s="24" t="inlineStr">
        <is>
          <t>SGD</t>
        </is>
      </c>
      <c r="L14" s="24" t="inlineStr">
        <is>
          <t>conservative</t>
        </is>
      </c>
      <c r="M14" s="24" t="inlineStr">
        <is>
          <t>medium</t>
        </is>
      </c>
      <c r="N14" s="24" t="b">
        <v>1</v>
      </c>
      <c r="O14" s="24" t="b">
        <v>0</v>
      </c>
      <c r="P14" s="24" t="inlineStr">
        <is>
          <t>Ward</t>
        </is>
      </c>
      <c r="Q14" s="24" t="inlineStr">
        <is>
          <t>Public</t>
        </is>
      </c>
      <c r="R14" s="24" t="b">
        <v>0</v>
      </c>
      <c r="S14" s="9" t="inlineStr">
        <is>
          <t>I dont do sports</t>
        </is>
      </c>
      <c r="T14" s="24" t="inlineStr">
        <is>
          <t>Basic</t>
        </is>
      </c>
      <c r="U14" s="24" t="b">
        <v>0</v>
      </c>
      <c r="V14" s="24" t="n">
        <v>85</v>
      </c>
      <c r="W14" s="31" t="n">
        <v>6210</v>
      </c>
      <c r="X14" s="32" t="n">
        <v>121095</v>
      </c>
      <c r="Y14" s="32" t="n">
        <v>686205</v>
      </c>
      <c r="Z14" s="32" t="n">
        <v>350000</v>
      </c>
      <c r="AA14" s="32" t="n">
        <v>192500</v>
      </c>
      <c r="AB14" s="32" t="n">
        <v>565110</v>
      </c>
      <c r="AC14" s="32" t="n">
        <v>200000</v>
      </c>
      <c r="AD14" s="33" t="inlineStr">
        <is>
          <t>Teacher; age 66; Citizen; 0 dep; home; non-smoker</t>
        </is>
      </c>
    </row>
    <row r="15">
      <c r="A15" s="13" t="inlineStr">
        <is>
          <t>P13</t>
        </is>
      </c>
      <c r="B15" s="14" t="inlineStr">
        <is>
          <t>Daniel Lee</t>
        </is>
      </c>
      <c r="C15" s="13" t="n">
        <v>30</v>
      </c>
      <c r="D15" s="13" t="inlineStr">
        <is>
          <t>Female</t>
        </is>
      </c>
      <c r="E15" s="13" t="inlineStr">
        <is>
          <t>PR</t>
        </is>
      </c>
      <c r="F15" s="13" t="inlineStr">
        <is>
          <t>Singapore</t>
        </is>
      </c>
      <c r="G15" s="14" t="inlineStr">
        <is>
          <t>Accountant</t>
        </is>
      </c>
      <c r="H15" s="13" t="n">
        <v>1</v>
      </c>
      <c r="I15" s="13" t="inlineStr"/>
      <c r="J15" s="30" t="n">
        <v>6580</v>
      </c>
      <c r="K15" s="24" t="inlineStr">
        <is>
          <t>SGD</t>
        </is>
      </c>
      <c r="L15" s="24" t="inlineStr">
        <is>
          <t>moderate</t>
        </is>
      </c>
      <c r="M15" s="24" t="inlineStr">
        <is>
          <t>medium</t>
        </is>
      </c>
      <c r="N15" s="24" t="b">
        <v>0</v>
      </c>
      <c r="O15" s="24" t="b">
        <v>1</v>
      </c>
      <c r="P15" s="24" t="inlineStr">
        <is>
          <t>Double</t>
        </is>
      </c>
      <c r="Q15" s="24" t="inlineStr">
        <is>
          <t>Public</t>
        </is>
      </c>
      <c r="R15" s="24" t="b">
        <v>0</v>
      </c>
      <c r="S15" s="9" t="inlineStr">
        <is>
          <t>Running</t>
        </is>
      </c>
      <c r="T15" s="24" t="inlineStr">
        <is>
          <t>Comfortable</t>
        </is>
      </c>
      <c r="U15" s="24" t="b">
        <v>1</v>
      </c>
      <c r="V15" s="24" t="n">
        <v>79</v>
      </c>
      <c r="W15" s="31" t="n">
        <v>3816.4</v>
      </c>
      <c r="X15" s="32" t="n">
        <v>11726</v>
      </c>
      <c r="Y15" s="32" t="n">
        <v>66445</v>
      </c>
      <c r="Z15" s="32" t="n">
        <v>0</v>
      </c>
      <c r="AA15" s="32" t="n">
        <v>0</v>
      </c>
      <c r="AB15" s="32" t="n">
        <v>54719.27999999999</v>
      </c>
      <c r="AC15" s="32" t="n">
        <v>394800</v>
      </c>
      <c r="AD15" s="33" t="inlineStr">
        <is>
          <t>Accountant; age 30; PR; 1 dep; rent; smoker</t>
        </is>
      </c>
    </row>
    <row r="16">
      <c r="A16" s="13" t="inlineStr">
        <is>
          <t>P14</t>
        </is>
      </c>
      <c r="B16" s="14" t="inlineStr">
        <is>
          <t>Priya Goh</t>
        </is>
      </c>
      <c r="C16" s="13" t="n">
        <v>44</v>
      </c>
      <c r="D16" s="13" t="inlineStr">
        <is>
          <t>Male</t>
        </is>
      </c>
      <c r="E16" s="13" t="inlineStr">
        <is>
          <t>Citizen</t>
        </is>
      </c>
      <c r="F16" s="13" t="inlineStr">
        <is>
          <t>Singapore</t>
        </is>
      </c>
      <c r="G16" s="14" t="inlineStr">
        <is>
          <t>Marketing Manager</t>
        </is>
      </c>
      <c r="H16" s="13" t="n">
        <v>4</v>
      </c>
      <c r="I16" s="13" t="inlineStr"/>
      <c r="J16" s="30" t="n">
        <v>4775</v>
      </c>
      <c r="K16" s="24" t="inlineStr">
        <is>
          <t>SGD</t>
        </is>
      </c>
      <c r="L16" s="24" t="inlineStr">
        <is>
          <t>aggressive</t>
        </is>
      </c>
      <c r="M16" s="24" t="inlineStr">
        <is>
          <t>high</t>
        </is>
      </c>
      <c r="N16" s="24" t="b">
        <v>1</v>
      </c>
      <c r="O16" s="24" t="b">
        <v>1</v>
      </c>
      <c r="P16" s="24" t="inlineStr">
        <is>
          <t>Single</t>
        </is>
      </c>
      <c r="Q16" s="24" t="inlineStr">
        <is>
          <t>Private</t>
        </is>
      </c>
      <c r="R16" s="24" t="b">
        <v>1</v>
      </c>
      <c r="S16" s="9" t="inlineStr">
        <is>
          <t>Golf</t>
        </is>
      </c>
      <c r="T16" s="24" t="inlineStr">
        <is>
          <t>Luxurious</t>
        </is>
      </c>
      <c r="U16" s="24" t="b">
        <v>0</v>
      </c>
      <c r="V16" s="24" t="n">
        <v>84</v>
      </c>
      <c r="W16" s="31" t="n">
        <v>3342.5</v>
      </c>
      <c r="X16" s="32" t="n">
        <v>9884</v>
      </c>
      <c r="Y16" s="32" t="n">
        <v>56011</v>
      </c>
      <c r="Z16" s="32" t="n">
        <v>350000</v>
      </c>
      <c r="AA16" s="32" t="n">
        <v>192500</v>
      </c>
      <c r="AB16" s="32" t="n">
        <v>46126.5</v>
      </c>
      <c r="AC16" s="32" t="n">
        <v>286500</v>
      </c>
      <c r="AD16" s="33" t="inlineStr">
        <is>
          <t>Marketing Manager; age 44; Citizen; 4 dep; home; non-smoker</t>
        </is>
      </c>
    </row>
    <row r="17">
      <c r="A17" s="13" t="inlineStr">
        <is>
          <t>P15</t>
        </is>
      </c>
      <c r="B17" s="14" t="inlineStr">
        <is>
          <t>Marcus Teo</t>
        </is>
      </c>
      <c r="C17" s="13" t="n">
        <v>57</v>
      </c>
      <c r="D17" s="13" t="inlineStr">
        <is>
          <t>Female</t>
        </is>
      </c>
      <c r="E17" s="13" t="inlineStr">
        <is>
          <t>Citizen</t>
        </is>
      </c>
      <c r="F17" s="13" t="inlineStr">
        <is>
          <t>Singapore</t>
        </is>
      </c>
      <c r="G17" s="14" t="inlineStr">
        <is>
          <t>Software Engineer</t>
        </is>
      </c>
      <c r="H17" s="13" t="n">
        <v>2</v>
      </c>
      <c r="I17" s="13" t="inlineStr"/>
      <c r="J17" s="30" t="n">
        <v>5750</v>
      </c>
      <c r="K17" s="24" t="inlineStr">
        <is>
          <t>SGD</t>
        </is>
      </c>
      <c r="L17" s="24" t="inlineStr">
        <is>
          <t>conservative</t>
        </is>
      </c>
      <c r="M17" s="24" t="inlineStr">
        <is>
          <t>high</t>
        </is>
      </c>
      <c r="N17" s="24" t="b">
        <v>1</v>
      </c>
      <c r="O17" s="24" t="b">
        <v>1</v>
      </c>
      <c r="P17" s="24" t="inlineStr">
        <is>
          <t>B</t>
        </is>
      </c>
      <c r="Q17" s="24" t="inlineStr">
        <is>
          <t>Private</t>
        </is>
      </c>
      <c r="R17" s="24" t="b">
        <v>0</v>
      </c>
      <c r="S17" s="9" t="inlineStr">
        <is>
          <t>Life style activities</t>
        </is>
      </c>
      <c r="T17" s="24" t="inlineStr">
        <is>
          <t>stress-free</t>
        </is>
      </c>
      <c r="U17" s="24" t="b">
        <v>0</v>
      </c>
      <c r="V17" s="24" t="n">
        <v>92</v>
      </c>
      <c r="W17" s="31" t="n">
        <v>3654.12</v>
      </c>
      <c r="X17" s="32" t="n">
        <v>34373</v>
      </c>
      <c r="Y17" s="32" t="n">
        <v>194778</v>
      </c>
      <c r="Z17" s="32" t="n">
        <v>350000</v>
      </c>
      <c r="AA17" s="32" t="n">
        <v>192500</v>
      </c>
      <c r="AB17" s="32" t="n">
        <v>160405.056</v>
      </c>
      <c r="AC17" s="32" t="n">
        <v>345000</v>
      </c>
      <c r="AD17" s="33" t="inlineStr">
        <is>
          <t>Software Engineer; age 57; Citizen; 2 dep; home; non-smoker</t>
        </is>
      </c>
    </row>
    <row r="18">
      <c r="A18" s="13" t="inlineStr">
        <is>
          <t>P16</t>
        </is>
      </c>
      <c r="B18" s="14" t="inlineStr">
        <is>
          <t>Hannah Rahman</t>
        </is>
      </c>
      <c r="C18" s="13" t="n">
        <v>23</v>
      </c>
      <c r="D18" s="13" t="inlineStr">
        <is>
          <t>Female</t>
        </is>
      </c>
      <c r="E18" s="13" t="inlineStr">
        <is>
          <t>Citizen</t>
        </is>
      </c>
      <c r="F18" s="13" t="inlineStr">
        <is>
          <t>Singapore</t>
        </is>
      </c>
      <c r="G18" s="14" t="inlineStr">
        <is>
          <t>Doctor</t>
        </is>
      </c>
      <c r="H18" s="13" t="n">
        <v>0</v>
      </c>
      <c r="I18" s="13" t="inlineStr"/>
      <c r="J18" s="30" t="n">
        <v>10400</v>
      </c>
      <c r="K18" s="24" t="inlineStr">
        <is>
          <t>SGD</t>
        </is>
      </c>
      <c r="L18" s="24" t="inlineStr">
        <is>
          <t>conservative</t>
        </is>
      </c>
      <c r="M18" s="24" t="inlineStr">
        <is>
          <t>medium</t>
        </is>
      </c>
      <c r="N18" s="24" t="b">
        <v>0</v>
      </c>
      <c r="O18" s="24" t="b">
        <v>0</v>
      </c>
      <c r="P18" s="24" t="inlineStr">
        <is>
          <t>Ward</t>
        </is>
      </c>
      <c r="Q18" s="24" t="inlineStr">
        <is>
          <t>Public</t>
        </is>
      </c>
      <c r="R18" s="24" t="b">
        <v>0</v>
      </c>
      <c r="S18" s="9" t="inlineStr">
        <is>
          <t>Yoga</t>
        </is>
      </c>
      <c r="T18" s="24" t="inlineStr">
        <is>
          <t>Basic</t>
        </is>
      </c>
      <c r="U18" s="24" t="b">
        <v>0</v>
      </c>
      <c r="V18" s="24" t="n">
        <v>86</v>
      </c>
      <c r="W18" s="31" t="n">
        <v>5940</v>
      </c>
      <c r="X18" s="32" t="n">
        <v>5148</v>
      </c>
      <c r="Y18" s="32" t="n">
        <v>29172</v>
      </c>
      <c r="Z18" s="32" t="n">
        <v>0</v>
      </c>
      <c r="AA18" s="32" t="n">
        <v>0</v>
      </c>
      <c r="AB18" s="32" t="n">
        <v>24024</v>
      </c>
      <c r="AC18" s="32" t="n">
        <v>0</v>
      </c>
      <c r="AD18" s="33" t="inlineStr">
        <is>
          <t>Doctor; age 23; Citizen; 0 dep; rent; non-smoker</t>
        </is>
      </c>
    </row>
    <row r="19">
      <c r="A19" s="13" t="inlineStr">
        <is>
          <t>P17</t>
        </is>
      </c>
      <c r="B19" s="14" t="inlineStr">
        <is>
          <t>Julian Tan</t>
        </is>
      </c>
      <c r="C19" s="13" t="n">
        <v>28</v>
      </c>
      <c r="D19" s="13" t="inlineStr">
        <is>
          <t>Male</t>
        </is>
      </c>
      <c r="E19" s="13" t="inlineStr">
        <is>
          <t>PR</t>
        </is>
      </c>
      <c r="F19" s="13" t="inlineStr">
        <is>
          <t>Singapore</t>
        </is>
      </c>
      <c r="G19" s="14" t="inlineStr">
        <is>
          <t>Investment Banker</t>
        </is>
      </c>
      <c r="H19" s="13" t="n">
        <v>0</v>
      </c>
      <c r="I19" s="13" t="inlineStr"/>
      <c r="J19" s="30" t="n">
        <v>3575</v>
      </c>
      <c r="K19" s="24" t="inlineStr">
        <is>
          <t>SGD</t>
        </is>
      </c>
      <c r="L19" s="24" t="inlineStr">
        <is>
          <t>moderate</t>
        </is>
      </c>
      <c r="M19" s="24" t="inlineStr">
        <is>
          <t>high</t>
        </is>
      </c>
      <c r="N19" s="24" t="b">
        <v>0</v>
      </c>
      <c r="O19" s="24" t="b">
        <v>1</v>
      </c>
      <c r="P19" s="24" t="inlineStr">
        <is>
          <t>Double</t>
        </is>
      </c>
      <c r="Q19" s="24" t="inlineStr">
        <is>
          <t>Private</t>
        </is>
      </c>
      <c r="R19" s="24" t="b">
        <v>1</v>
      </c>
      <c r="S19" s="9" t="inlineStr">
        <is>
          <t>Running</t>
        </is>
      </c>
      <c r="T19" s="24" t="inlineStr">
        <is>
          <t>Comfortable</t>
        </is>
      </c>
      <c r="U19" s="24" t="b">
        <v>0</v>
      </c>
      <c r="V19" s="24" t="n">
        <v>81</v>
      </c>
      <c r="W19" s="31" t="n">
        <v>1930.5</v>
      </c>
      <c r="X19" s="32" t="n">
        <v>5856</v>
      </c>
      <c r="Y19" s="32" t="n">
        <v>33183</v>
      </c>
      <c r="Z19" s="32" t="n">
        <v>0</v>
      </c>
      <c r="AA19" s="32" t="n">
        <v>0</v>
      </c>
      <c r="AB19" s="32" t="n">
        <v>27327.3</v>
      </c>
      <c r="AC19" s="32" t="n">
        <v>0</v>
      </c>
      <c r="AD19" s="33" t="inlineStr">
        <is>
          <t>Investment Banker; age 28; PR; 0 dep; rent; non-smoker</t>
        </is>
      </c>
    </row>
    <row r="20">
      <c r="A20" s="13" t="inlineStr">
        <is>
          <t>P18</t>
        </is>
      </c>
      <c r="B20" s="14" t="inlineStr">
        <is>
          <t>Mei Fen Koh</t>
        </is>
      </c>
      <c r="C20" s="13" t="n">
        <v>35</v>
      </c>
      <c r="D20" s="13" t="inlineStr">
        <is>
          <t>Female</t>
        </is>
      </c>
      <c r="E20" s="13" t="inlineStr">
        <is>
          <t>Citizen</t>
        </is>
      </c>
      <c r="F20" s="13" t="inlineStr">
        <is>
          <t>Singapore</t>
        </is>
      </c>
      <c r="G20" s="14" t="inlineStr">
        <is>
          <t>CEO</t>
        </is>
      </c>
      <c r="H20" s="13" t="n">
        <v>1</v>
      </c>
      <c r="I20" s="13" t="inlineStr"/>
      <c r="J20" s="30" t="n">
        <v>4100</v>
      </c>
      <c r="K20" s="24" t="inlineStr">
        <is>
          <t>SGD</t>
        </is>
      </c>
      <c r="L20" s="24" t="inlineStr">
        <is>
          <t>moderate</t>
        </is>
      </c>
      <c r="M20" s="24" t="inlineStr">
        <is>
          <t>high</t>
        </is>
      </c>
      <c r="N20" s="24" t="b">
        <v>1</v>
      </c>
      <c r="O20" s="24" t="b">
        <v>1</v>
      </c>
      <c r="P20" s="24" t="inlineStr">
        <is>
          <t>Single</t>
        </is>
      </c>
      <c r="Q20" s="24" t="inlineStr">
        <is>
          <t>Private</t>
        </is>
      </c>
      <c r="R20" s="24" t="b">
        <v>1</v>
      </c>
      <c r="S20" s="9" t="inlineStr">
        <is>
          <t>Swimming</t>
        </is>
      </c>
      <c r="T20" s="24" t="inlineStr">
        <is>
          <t>Comfortable</t>
        </is>
      </c>
      <c r="U20" s="24" t="b">
        <v>0</v>
      </c>
      <c r="V20" s="24" t="n">
        <v>88</v>
      </c>
      <c r="W20" s="31" t="n">
        <v>2378</v>
      </c>
      <c r="X20" s="32" t="n">
        <v>11365</v>
      </c>
      <c r="Y20" s="32" t="n">
        <v>64403</v>
      </c>
      <c r="Z20" s="32" t="n">
        <v>350000</v>
      </c>
      <c r="AA20" s="32" t="n">
        <v>192500</v>
      </c>
      <c r="AB20" s="32" t="n">
        <v>53037.6</v>
      </c>
      <c r="AC20" s="32" t="n">
        <v>246000</v>
      </c>
      <c r="AD20" s="33" t="inlineStr">
        <is>
          <t>CEO; age 35; Citizen; 1 dep; home; non-smoker</t>
        </is>
      </c>
    </row>
    <row r="21">
      <c r="A21" s="13" t="inlineStr">
        <is>
          <t>P19</t>
        </is>
      </c>
      <c r="B21" s="14" t="inlineStr">
        <is>
          <t>Hafiz Nair</t>
        </is>
      </c>
      <c r="C21" s="13" t="n">
        <v>42</v>
      </c>
      <c r="D21" s="13" t="inlineStr">
        <is>
          <t>Male</t>
        </is>
      </c>
      <c r="E21" s="13" t="inlineStr">
        <is>
          <t>Citizen</t>
        </is>
      </c>
      <c r="F21" s="13" t="inlineStr">
        <is>
          <t>Singapore</t>
        </is>
      </c>
      <c r="G21" s="14" t="inlineStr">
        <is>
          <t>Baker</t>
        </is>
      </c>
      <c r="H21" s="13" t="n">
        <v>2</v>
      </c>
      <c r="I21" s="13" t="inlineStr"/>
      <c r="J21" s="30" t="n">
        <v>4625</v>
      </c>
      <c r="K21" s="24" t="inlineStr">
        <is>
          <t>SGD</t>
        </is>
      </c>
      <c r="L21" s="24" t="inlineStr">
        <is>
          <t>conservative</t>
        </is>
      </c>
      <c r="M21" s="24" t="inlineStr">
        <is>
          <t>high</t>
        </is>
      </c>
      <c r="N21" s="24" t="b">
        <v>1</v>
      </c>
      <c r="O21" s="24" t="b">
        <v>1</v>
      </c>
      <c r="P21" s="24" t="inlineStr">
        <is>
          <t>Ward</t>
        </is>
      </c>
      <c r="Q21" s="24" t="inlineStr">
        <is>
          <t>Public</t>
        </is>
      </c>
      <c r="R21" s="24" t="b">
        <v>0</v>
      </c>
      <c r="S21" s="9" t="inlineStr">
        <is>
          <t>I dont do sports</t>
        </is>
      </c>
      <c r="T21" s="24" t="inlineStr">
        <is>
          <t>frugal</t>
        </is>
      </c>
      <c r="U21" s="24" t="b">
        <v>1</v>
      </c>
      <c r="V21" s="24" t="n">
        <v>78</v>
      </c>
      <c r="W21" s="31" t="n">
        <v>2867.5</v>
      </c>
      <c r="X21" s="32" t="n">
        <v>15734</v>
      </c>
      <c r="Y21" s="32" t="n">
        <v>89161</v>
      </c>
      <c r="Z21" s="32" t="n">
        <v>350000</v>
      </c>
      <c r="AA21" s="32" t="n">
        <v>192500</v>
      </c>
      <c r="AB21" s="32" t="n">
        <v>73426.5</v>
      </c>
      <c r="AC21" s="32" t="n">
        <v>277500</v>
      </c>
      <c r="AD21" s="33" t="inlineStr">
        <is>
          <t>Baker; age 42; Citizen; 2 dep; home; smoker</t>
        </is>
      </c>
    </row>
    <row r="22">
      <c r="A22" s="13" t="inlineStr">
        <is>
          <t>P20</t>
        </is>
      </c>
      <c r="B22" s="14" t="inlineStr">
        <is>
          <t>Siti Lim</t>
        </is>
      </c>
      <c r="C22" s="13" t="n">
        <v>48</v>
      </c>
      <c r="D22" s="13" t="inlineStr">
        <is>
          <t>Female</t>
        </is>
      </c>
      <c r="E22" s="13" t="inlineStr">
        <is>
          <t>Foreigner</t>
        </is>
      </c>
      <c r="F22" s="13" t="inlineStr">
        <is>
          <t>Singapore</t>
        </is>
      </c>
      <c r="G22" s="14" t="inlineStr">
        <is>
          <t>Driver</t>
        </is>
      </c>
      <c r="H22" s="13" t="n">
        <v>2</v>
      </c>
      <c r="I22" s="13" t="inlineStr"/>
      <c r="J22" s="30" t="n">
        <v>5075</v>
      </c>
      <c r="K22" s="24" t="inlineStr">
        <is>
          <t>SGD</t>
        </is>
      </c>
      <c r="L22" s="24" t="inlineStr">
        <is>
          <t>aggressive</t>
        </is>
      </c>
      <c r="M22" s="24" t="inlineStr">
        <is>
          <t>high</t>
        </is>
      </c>
      <c r="N22" s="24" t="b">
        <v>1</v>
      </c>
      <c r="O22" s="24" t="b">
        <v>0</v>
      </c>
      <c r="P22" s="24" t="inlineStr">
        <is>
          <t>A</t>
        </is>
      </c>
      <c r="Q22" s="24" t="inlineStr">
        <is>
          <t>Private</t>
        </is>
      </c>
      <c r="R22" s="24" t="b">
        <v>1</v>
      </c>
      <c r="S22" s="9" t="inlineStr">
        <is>
          <t>Adventurous Sports</t>
        </is>
      </c>
      <c r="T22" s="24" t="inlineStr">
        <is>
          <t>only the best</t>
        </is>
      </c>
      <c r="U22" s="24" t="b">
        <v>0</v>
      </c>
      <c r="V22" s="24" t="n">
        <v>90</v>
      </c>
      <c r="W22" s="31" t="n">
        <v>3933.12</v>
      </c>
      <c r="X22" s="32" t="n">
        <v>27748</v>
      </c>
      <c r="Y22" s="32" t="n">
        <v>157237</v>
      </c>
      <c r="Z22" s="32" t="n">
        <v>350000</v>
      </c>
      <c r="AA22" s="32" t="n">
        <v>192500</v>
      </c>
      <c r="AB22" s="32" t="n">
        <v>129489.192</v>
      </c>
      <c r="AC22" s="32" t="n">
        <v>304500</v>
      </c>
      <c r="AD22" s="33" t="inlineStr">
        <is>
          <t>Driver; age 48; Foreigner; 2 dep; home; non-smoker</t>
        </is>
      </c>
    </row>
    <row r="23">
      <c r="A23" s="13" t="inlineStr">
        <is>
          <t>P21</t>
        </is>
      </c>
      <c r="B23" s="14" t="inlineStr">
        <is>
          <t>Aisha Wong</t>
        </is>
      </c>
      <c r="C23" s="13" t="n">
        <v>33</v>
      </c>
      <c r="D23" s="13" t="inlineStr">
        <is>
          <t>Male</t>
        </is>
      </c>
      <c r="E23" s="13" t="inlineStr">
        <is>
          <t>Citizen</t>
        </is>
      </c>
      <c r="F23" s="13" t="inlineStr">
        <is>
          <t>Singapore</t>
        </is>
      </c>
      <c r="G23" s="14" t="inlineStr">
        <is>
          <t>Nurse</t>
        </is>
      </c>
      <c r="H23" s="13" t="n">
        <v>1</v>
      </c>
      <c r="I23" s="13" t="inlineStr"/>
      <c r="J23" s="30" t="n">
        <v>5250</v>
      </c>
      <c r="K23" s="24" t="inlineStr">
        <is>
          <t>SGD</t>
        </is>
      </c>
      <c r="L23" s="24" t="inlineStr">
        <is>
          <t>moderate</t>
        </is>
      </c>
      <c r="M23" s="24" t="inlineStr">
        <is>
          <t>high</t>
        </is>
      </c>
      <c r="N23" s="24" t="b">
        <v>1</v>
      </c>
      <c r="O23" s="24" t="b">
        <v>1</v>
      </c>
      <c r="P23" s="24" t="inlineStr">
        <is>
          <t>B</t>
        </is>
      </c>
      <c r="Q23" s="24" t="inlineStr">
        <is>
          <t>Public</t>
        </is>
      </c>
      <c r="R23" s="24" t="b">
        <v>1</v>
      </c>
      <c r="S23" s="9" t="inlineStr">
        <is>
          <t>Life style activities</t>
        </is>
      </c>
      <c r="T23" s="24" t="inlineStr">
        <is>
          <t>stress-free</t>
        </is>
      </c>
      <c r="U23" s="24" t="b">
        <v>0</v>
      </c>
      <c r="V23" s="24" t="n">
        <v>83</v>
      </c>
      <c r="W23" s="31" t="n">
        <v>3045</v>
      </c>
      <c r="X23" s="32" t="n">
        <v>12474</v>
      </c>
      <c r="Y23" s="32" t="n">
        <v>70686</v>
      </c>
      <c r="Z23" s="32" t="n">
        <v>350000</v>
      </c>
      <c r="AA23" s="32" t="n">
        <v>192500</v>
      </c>
      <c r="AB23" s="32" t="n">
        <v>58211.99999999999</v>
      </c>
      <c r="AC23" s="32" t="n">
        <v>315000</v>
      </c>
      <c r="AD23" s="33" t="inlineStr">
        <is>
          <t>Nurse; age 33; Citizen; 1 dep; home; non-smoker</t>
        </is>
      </c>
    </row>
    <row r="24">
      <c r="A24" s="13" t="inlineStr">
        <is>
          <t>P22</t>
        </is>
      </c>
      <c r="B24" s="14" t="inlineStr">
        <is>
          <t>Wei Ling Chee</t>
        </is>
      </c>
      <c r="C24" s="13" t="n">
        <v>55</v>
      </c>
      <c r="D24" s="13" t="inlineStr">
        <is>
          <t>Female</t>
        </is>
      </c>
      <c r="E24" s="13" t="inlineStr">
        <is>
          <t>PR</t>
        </is>
      </c>
      <c r="F24" s="13" t="inlineStr">
        <is>
          <t>Singapore</t>
        </is>
      </c>
      <c r="G24" s="14" t="inlineStr">
        <is>
          <t>Teacher</t>
        </is>
      </c>
      <c r="H24" s="13" t="n">
        <v>0</v>
      </c>
      <c r="I24" s="13" t="inlineStr"/>
      <c r="J24" s="30" t="n">
        <v>8960</v>
      </c>
      <c r="K24" s="24" t="inlineStr">
        <is>
          <t>SGD</t>
        </is>
      </c>
      <c r="L24" s="24" t="inlineStr">
        <is>
          <t>conservative</t>
        </is>
      </c>
      <c r="M24" s="24" t="inlineStr">
        <is>
          <t>medium</t>
        </is>
      </c>
      <c r="N24" s="24" t="b">
        <v>1</v>
      </c>
      <c r="O24" s="24" t="b">
        <v>1</v>
      </c>
      <c r="P24" s="24" t="inlineStr">
        <is>
          <t>Single</t>
        </is>
      </c>
      <c r="Q24" s="24" t="inlineStr">
        <is>
          <t>Private</t>
        </is>
      </c>
      <c r="R24" s="24" t="b">
        <v>0</v>
      </c>
      <c r="S24" s="9" t="inlineStr">
        <is>
          <t>Walking</t>
        </is>
      </c>
      <c r="T24" s="24" t="inlineStr">
        <is>
          <t>Basic</t>
        </is>
      </c>
      <c r="U24" s="24" t="b">
        <v>0</v>
      </c>
      <c r="V24" s="24" t="n">
        <v>89</v>
      </c>
      <c r="W24" s="31" t="n">
        <v>4968</v>
      </c>
      <c r="X24" s="32" t="n">
        <v>73195</v>
      </c>
      <c r="Y24" s="32" t="n">
        <v>414773</v>
      </c>
      <c r="Z24" s="32" t="n">
        <v>350000</v>
      </c>
      <c r="AA24" s="32" t="n">
        <v>192500</v>
      </c>
      <c r="AB24" s="32" t="n">
        <v>341577.6</v>
      </c>
      <c r="AC24" s="32" t="n">
        <v>200000</v>
      </c>
      <c r="AD24" s="33" t="inlineStr">
        <is>
          <t>Teacher; age 55; PR; 0 dep; home; non-smoker</t>
        </is>
      </c>
    </row>
    <row r="25">
      <c r="A25" s="13" t="inlineStr">
        <is>
          <t>P23</t>
        </is>
      </c>
      <c r="B25" s="14" t="inlineStr">
        <is>
          <t>Daniel Ong</t>
        </is>
      </c>
      <c r="C25" s="13" t="n">
        <v>61</v>
      </c>
      <c r="D25" s="13" t="inlineStr">
        <is>
          <t>Male</t>
        </is>
      </c>
      <c r="E25" s="13" t="inlineStr">
        <is>
          <t>Citizen</t>
        </is>
      </c>
      <c r="F25" s="13" t="inlineStr">
        <is>
          <t>Singapore</t>
        </is>
      </c>
      <c r="G25" s="14" t="inlineStr">
        <is>
          <t>Accountant</t>
        </is>
      </c>
      <c r="H25" s="13" t="n">
        <v>3</v>
      </c>
      <c r="I25" s="13" t="inlineStr"/>
      <c r="J25" s="30" t="n">
        <v>10920</v>
      </c>
      <c r="K25" s="24" t="inlineStr">
        <is>
          <t>SGD</t>
        </is>
      </c>
      <c r="L25" s="24" t="inlineStr">
        <is>
          <t>conservative</t>
        </is>
      </c>
      <c r="M25" s="24" t="inlineStr">
        <is>
          <t>medium</t>
        </is>
      </c>
      <c r="N25" s="24" t="b">
        <v>1</v>
      </c>
      <c r="O25" s="24" t="b">
        <v>1</v>
      </c>
      <c r="P25" s="24" t="inlineStr">
        <is>
          <t>Ward</t>
        </is>
      </c>
      <c r="Q25" s="24" t="inlineStr">
        <is>
          <t>Public</t>
        </is>
      </c>
      <c r="R25" s="24" t="b">
        <v>0</v>
      </c>
      <c r="S25" s="9" t="inlineStr">
        <is>
          <t>I dont do sports</t>
        </is>
      </c>
      <c r="T25" s="24" t="inlineStr">
        <is>
          <t>frugal</t>
        </is>
      </c>
      <c r="U25" s="24" t="b">
        <v>1</v>
      </c>
      <c r="V25" s="24" t="n">
        <v>76</v>
      </c>
      <c r="W25" s="31" t="n">
        <v>8184</v>
      </c>
      <c r="X25" s="32" t="n">
        <v>62496</v>
      </c>
      <c r="Y25" s="32" t="n">
        <v>354144</v>
      </c>
      <c r="Z25" s="32" t="n">
        <v>650000</v>
      </c>
      <c r="AA25" s="32" t="n">
        <v>357500</v>
      </c>
      <c r="AB25" s="32" t="n">
        <v>291648</v>
      </c>
      <c r="AC25" s="32" t="n">
        <v>655200</v>
      </c>
      <c r="AD25" s="33" t="inlineStr">
        <is>
          <t>Accountant; age 61; Citizen; 3 dep; home; smoker</t>
        </is>
      </c>
    </row>
    <row r="26">
      <c r="A26" s="13" t="inlineStr">
        <is>
          <t>P24</t>
        </is>
      </c>
      <c r="B26" s="14" t="inlineStr">
        <is>
          <t>Priya Abdullah</t>
        </is>
      </c>
      <c r="C26" s="13" t="n">
        <v>26</v>
      </c>
      <c r="D26" s="13" t="inlineStr">
        <is>
          <t>Female</t>
        </is>
      </c>
      <c r="E26" s="13" t="inlineStr">
        <is>
          <t>Citizen</t>
        </is>
      </c>
      <c r="F26" s="13" t="inlineStr">
        <is>
          <t>Singapore</t>
        </is>
      </c>
      <c r="G26" s="14" t="inlineStr">
        <is>
          <t>Marketing Manager</t>
        </is>
      </c>
      <c r="H26" s="13" t="n">
        <v>0</v>
      </c>
      <c r="I26" s="13" t="inlineStr"/>
      <c r="J26" s="30" t="n">
        <v>3425</v>
      </c>
      <c r="K26" s="24" t="inlineStr">
        <is>
          <t>SGD</t>
        </is>
      </c>
      <c r="L26" s="24" t="inlineStr">
        <is>
          <t>moderate</t>
        </is>
      </c>
      <c r="M26" s="24" t="inlineStr">
        <is>
          <t>high</t>
        </is>
      </c>
      <c r="N26" s="24" t="b">
        <v>0</v>
      </c>
      <c r="O26" s="24" t="b">
        <v>0</v>
      </c>
      <c r="P26" s="24" t="inlineStr">
        <is>
          <t>Ward</t>
        </is>
      </c>
      <c r="Q26" s="24" t="inlineStr">
        <is>
          <t>Public</t>
        </is>
      </c>
      <c r="R26" s="24" t="b">
        <v>1</v>
      </c>
      <c r="S26" s="9" t="inlineStr">
        <is>
          <t>HIIT</t>
        </is>
      </c>
      <c r="T26" s="24" t="inlineStr">
        <is>
          <t>Comfortable</t>
        </is>
      </c>
      <c r="U26" s="24" t="b">
        <v>0</v>
      </c>
      <c r="V26" s="24" t="n">
        <v>87</v>
      </c>
      <c r="W26" s="31" t="n">
        <v>1849.5</v>
      </c>
      <c r="X26" s="32" t="n">
        <v>4007</v>
      </c>
      <c r="Y26" s="32" t="n">
        <v>22708</v>
      </c>
      <c r="Z26" s="32" t="n">
        <v>0</v>
      </c>
      <c r="AA26" s="32" t="n">
        <v>0</v>
      </c>
      <c r="AB26" s="32" t="n">
        <v>18700.5</v>
      </c>
      <c r="AC26" s="32" t="n">
        <v>0</v>
      </c>
      <c r="AD26" s="33" t="inlineStr">
        <is>
          <t>Marketing Manager; age 26; Citizen; 0 dep; rent; non-smoker</t>
        </is>
      </c>
    </row>
    <row r="27">
      <c r="A27" s="13" t="inlineStr">
        <is>
          <t>P25</t>
        </is>
      </c>
      <c r="B27" s="14" t="inlineStr">
        <is>
          <t>Marcus Hassan</t>
        </is>
      </c>
      <c r="C27" s="13" t="n">
        <v>38</v>
      </c>
      <c r="D27" s="13" t="inlineStr">
        <is>
          <t>Male</t>
        </is>
      </c>
      <c r="E27" s="13" t="inlineStr">
        <is>
          <t>Foreigner</t>
        </is>
      </c>
      <c r="F27" s="13" t="inlineStr">
        <is>
          <t>Singapore</t>
        </is>
      </c>
      <c r="G27" s="14" t="inlineStr">
        <is>
          <t>Software Engineer</t>
        </is>
      </c>
      <c r="H27" s="13" t="n">
        <v>2</v>
      </c>
      <c r="I27" s="13" t="inlineStr"/>
      <c r="J27" s="30" t="n">
        <v>4325</v>
      </c>
      <c r="K27" s="24" t="inlineStr">
        <is>
          <t>SGD</t>
        </is>
      </c>
      <c r="L27" s="24" t="inlineStr">
        <is>
          <t>aggressive</t>
        </is>
      </c>
      <c r="M27" s="24" t="inlineStr">
        <is>
          <t>high</t>
        </is>
      </c>
      <c r="N27" s="24" t="b">
        <v>0</v>
      </c>
      <c r="O27" s="24" t="b">
        <v>1</v>
      </c>
      <c r="P27" s="24" t="inlineStr">
        <is>
          <t>Double</t>
        </is>
      </c>
      <c r="Q27" s="24" t="inlineStr">
        <is>
          <t>Private</t>
        </is>
      </c>
      <c r="R27" s="24" t="b">
        <v>1</v>
      </c>
      <c r="S27" s="9" t="inlineStr">
        <is>
          <t>Football</t>
        </is>
      </c>
      <c r="T27" s="24" t="inlineStr">
        <is>
          <t>Luxurious</t>
        </is>
      </c>
      <c r="U27" s="24" t="b">
        <v>0</v>
      </c>
      <c r="V27" s="24" t="n">
        <v>80</v>
      </c>
      <c r="W27" s="31" t="n">
        <v>3351.88</v>
      </c>
      <c r="X27" s="32" t="n">
        <v>14889</v>
      </c>
      <c r="Y27" s="32" t="n">
        <v>84370</v>
      </c>
      <c r="Z27" s="32" t="n">
        <v>0</v>
      </c>
      <c r="AA27" s="32" t="n">
        <v>0</v>
      </c>
      <c r="AB27" s="32" t="n">
        <v>69480.76799999998</v>
      </c>
      <c r="AC27" s="32" t="n">
        <v>259500</v>
      </c>
      <c r="AD27" s="33" t="inlineStr">
        <is>
          <t>Software Engineer; age 38; Foreigner; 2 dep; rent; non-smoker</t>
        </is>
      </c>
    </row>
    <row r="28">
      <c r="A28" s="13" t="inlineStr">
        <is>
          <t>P26</t>
        </is>
      </c>
      <c r="B28" s="14" t="inlineStr">
        <is>
          <t>Hannah Ng</t>
        </is>
      </c>
      <c r="C28" s="13" t="n">
        <v>52</v>
      </c>
      <c r="D28" s="13" t="inlineStr">
        <is>
          <t>Female</t>
        </is>
      </c>
      <c r="E28" s="13" t="inlineStr">
        <is>
          <t>Citizen</t>
        </is>
      </c>
      <c r="F28" s="13" t="inlineStr">
        <is>
          <t>Singapore</t>
        </is>
      </c>
      <c r="G28" s="14" t="inlineStr">
        <is>
          <t>Doctor</t>
        </is>
      </c>
      <c r="H28" s="13" t="n">
        <v>1</v>
      </c>
      <c r="I28" s="13" t="inlineStr"/>
      <c r="J28" s="30" t="n">
        <v>21710</v>
      </c>
      <c r="K28" s="24" t="inlineStr">
        <is>
          <t>SGD</t>
        </is>
      </c>
      <c r="L28" s="24" t="inlineStr">
        <is>
          <t>moderate</t>
        </is>
      </c>
      <c r="M28" s="24" t="inlineStr">
        <is>
          <t>low</t>
        </is>
      </c>
      <c r="N28" s="24" t="b">
        <v>1</v>
      </c>
      <c r="O28" s="24" t="b">
        <v>1</v>
      </c>
      <c r="P28" s="24" t="inlineStr">
        <is>
          <t>A</t>
        </is>
      </c>
      <c r="Q28" s="24" t="inlineStr">
        <is>
          <t>Private</t>
        </is>
      </c>
      <c r="R28" s="24" t="b">
        <v>1</v>
      </c>
      <c r="S28" s="9" t="inlineStr">
        <is>
          <t>Pilates</t>
        </is>
      </c>
      <c r="T28" s="24" t="inlineStr">
        <is>
          <t>only the best</t>
        </is>
      </c>
      <c r="U28" s="24" t="b">
        <v>0</v>
      </c>
      <c r="V28" s="24" t="n">
        <v>91</v>
      </c>
      <c r="W28" s="31" t="n">
        <v>14579.75</v>
      </c>
      <c r="X28" s="32" t="n">
        <v>154294</v>
      </c>
      <c r="Y28" s="32" t="n">
        <v>874333</v>
      </c>
      <c r="Z28" s="32" t="n">
        <v>850000</v>
      </c>
      <c r="AA28" s="32" t="n">
        <v>467500</v>
      </c>
      <c r="AB28" s="32" t="n">
        <v>720038.5499999999</v>
      </c>
      <c r="AC28" s="32" t="n">
        <v>1302600</v>
      </c>
      <c r="AD28" s="33" t="inlineStr">
        <is>
          <t>Doctor; age 52; Citizen; 1 dep; home; non-smoker</t>
        </is>
      </c>
    </row>
    <row r="29">
      <c r="A29" s="13" t="inlineStr">
        <is>
          <t>P27</t>
        </is>
      </c>
      <c r="B29" s="14" t="inlineStr">
        <is>
          <t>Julian Chua</t>
        </is>
      </c>
      <c r="C29" s="13" t="n">
        <v>67</v>
      </c>
      <c r="D29" s="13" t="inlineStr">
        <is>
          <t>Male</t>
        </is>
      </c>
      <c r="E29" s="13" t="inlineStr">
        <is>
          <t>Citizen</t>
        </is>
      </c>
      <c r="F29" s="13" t="inlineStr">
        <is>
          <t>Singapore</t>
        </is>
      </c>
      <c r="G29" s="14" t="inlineStr">
        <is>
          <t>Investment Banker</t>
        </is>
      </c>
      <c r="H29" s="13" t="n">
        <v>0</v>
      </c>
      <c r="I29" s="13" t="inlineStr"/>
      <c r="J29" s="30" t="n">
        <v>6200</v>
      </c>
      <c r="K29" s="24" t="inlineStr">
        <is>
          <t>SGD</t>
        </is>
      </c>
      <c r="L29" s="24" t="inlineStr">
        <is>
          <t>conservative</t>
        </is>
      </c>
      <c r="M29" s="24" t="inlineStr">
        <is>
          <t>medium</t>
        </is>
      </c>
      <c r="N29" s="24" t="b">
        <v>1</v>
      </c>
      <c r="O29" s="24" t="b">
        <v>0</v>
      </c>
      <c r="P29" s="24" t="inlineStr">
        <is>
          <t>Ward</t>
        </is>
      </c>
      <c r="Q29" s="24" t="inlineStr">
        <is>
          <t>Public</t>
        </is>
      </c>
      <c r="R29" s="24" t="b">
        <v>0</v>
      </c>
      <c r="S29" s="9" t="inlineStr">
        <is>
          <t>I dont do sports</t>
        </is>
      </c>
      <c r="T29" s="24" t="inlineStr">
        <is>
          <t>Basic</t>
        </is>
      </c>
      <c r="U29" s="24" t="b">
        <v>0</v>
      </c>
      <c r="V29" s="24" t="n">
        <v>85</v>
      </c>
      <c r="W29" s="31" t="n">
        <v>3871.13</v>
      </c>
      <c r="X29" s="32" t="n">
        <v>77164</v>
      </c>
      <c r="Y29" s="32" t="n">
        <v>437264</v>
      </c>
      <c r="Z29" s="32" t="n">
        <v>350000</v>
      </c>
      <c r="AA29" s="32" t="n">
        <v>192500</v>
      </c>
      <c r="AB29" s="32" t="n">
        <v>360099.684</v>
      </c>
      <c r="AC29" s="32" t="n">
        <v>200000</v>
      </c>
      <c r="AD29" s="33" t="inlineStr">
        <is>
          <t>Investment Banker; age 67; Citizen; 0 dep; home; non-smoker</t>
        </is>
      </c>
    </row>
    <row r="30">
      <c r="A30" s="13" t="inlineStr">
        <is>
          <t>P28</t>
        </is>
      </c>
      <c r="B30" s="14" t="inlineStr">
        <is>
          <t>Mei Fen Lee</t>
        </is>
      </c>
      <c r="C30" s="13" t="n">
        <v>31</v>
      </c>
      <c r="D30" s="13" t="inlineStr">
        <is>
          <t>Female</t>
        </is>
      </c>
      <c r="E30" s="13" t="inlineStr">
        <is>
          <t>PR</t>
        </is>
      </c>
      <c r="F30" s="13" t="inlineStr">
        <is>
          <t>Singapore</t>
        </is>
      </c>
      <c r="G30" s="14" t="inlineStr">
        <is>
          <t>CEO</t>
        </is>
      </c>
      <c r="H30" s="13" t="n">
        <v>1</v>
      </c>
      <c r="I30" s="13" t="inlineStr"/>
      <c r="J30" s="30" t="n">
        <v>3800</v>
      </c>
      <c r="K30" s="24" t="inlineStr">
        <is>
          <t>SGD</t>
        </is>
      </c>
      <c r="L30" s="24" t="inlineStr">
        <is>
          <t>moderate</t>
        </is>
      </c>
      <c r="M30" s="24" t="inlineStr">
        <is>
          <t>high</t>
        </is>
      </c>
      <c r="N30" s="24" t="b">
        <v>0</v>
      </c>
      <c r="O30" s="24" t="b">
        <v>1</v>
      </c>
      <c r="P30" s="24" t="inlineStr">
        <is>
          <t>Double</t>
        </is>
      </c>
      <c r="Q30" s="24" t="inlineStr">
        <is>
          <t>Public</t>
        </is>
      </c>
      <c r="R30" s="24" t="b">
        <v>0</v>
      </c>
      <c r="S30" s="9" t="inlineStr">
        <is>
          <t>Running</t>
        </is>
      </c>
      <c r="T30" s="24" t="inlineStr">
        <is>
          <t>Comfortable</t>
        </is>
      </c>
      <c r="U30" s="24" t="b">
        <v>1</v>
      </c>
      <c r="V30" s="24" t="n">
        <v>79</v>
      </c>
      <c r="W30" s="31" t="n">
        <v>2204</v>
      </c>
      <c r="X30" s="32" t="n">
        <v>7524</v>
      </c>
      <c r="Y30" s="32" t="n">
        <v>42636</v>
      </c>
      <c r="Z30" s="32" t="n">
        <v>0</v>
      </c>
      <c r="AA30" s="32" t="n">
        <v>0</v>
      </c>
      <c r="AB30" s="32" t="n">
        <v>35112</v>
      </c>
      <c r="AC30" s="32" t="n">
        <v>228000</v>
      </c>
      <c r="AD30" s="33" t="inlineStr">
        <is>
          <t>CEO; age 31; PR; 1 dep; rent; smoker</t>
        </is>
      </c>
    </row>
    <row r="31">
      <c r="A31" s="13" t="inlineStr">
        <is>
          <t>P29</t>
        </is>
      </c>
      <c r="B31" s="14" t="inlineStr">
        <is>
          <t>Hafiz Goh</t>
        </is>
      </c>
      <c r="C31" s="13" t="n">
        <v>45</v>
      </c>
      <c r="D31" s="13" t="inlineStr">
        <is>
          <t>Male</t>
        </is>
      </c>
      <c r="E31" s="13" t="inlineStr">
        <is>
          <t>Citizen</t>
        </is>
      </c>
      <c r="F31" s="13" t="inlineStr">
        <is>
          <t>Singapore</t>
        </is>
      </c>
      <c r="G31" s="14" t="inlineStr">
        <is>
          <t>Baker</t>
        </is>
      </c>
      <c r="H31" s="13" t="n">
        <v>4</v>
      </c>
      <c r="I31" s="13" t="inlineStr"/>
      <c r="J31" s="30" t="n">
        <v>4850</v>
      </c>
      <c r="K31" s="24" t="inlineStr">
        <is>
          <t>SGD</t>
        </is>
      </c>
      <c r="L31" s="24" t="inlineStr">
        <is>
          <t>aggressive</t>
        </is>
      </c>
      <c r="M31" s="24" t="inlineStr">
        <is>
          <t>high</t>
        </is>
      </c>
      <c r="N31" s="24" t="b">
        <v>1</v>
      </c>
      <c r="O31" s="24" t="b">
        <v>1</v>
      </c>
      <c r="P31" s="24" t="inlineStr">
        <is>
          <t>Single</t>
        </is>
      </c>
      <c r="Q31" s="24" t="inlineStr">
        <is>
          <t>Private</t>
        </is>
      </c>
      <c r="R31" s="24" t="b">
        <v>1</v>
      </c>
      <c r="S31" s="9" t="inlineStr">
        <is>
          <t>Golf</t>
        </is>
      </c>
      <c r="T31" s="24" t="inlineStr">
        <is>
          <t>Luxurious</t>
        </is>
      </c>
      <c r="U31" s="24" t="b">
        <v>0</v>
      </c>
      <c r="V31" s="24" t="n">
        <v>84</v>
      </c>
      <c r="W31" s="31" t="n">
        <v>3395</v>
      </c>
      <c r="X31" s="32" t="n">
        <v>10476</v>
      </c>
      <c r="Y31" s="32" t="n">
        <v>59364</v>
      </c>
      <c r="Z31" s="32" t="n">
        <v>350000</v>
      </c>
      <c r="AA31" s="32" t="n">
        <v>192500</v>
      </c>
      <c r="AB31" s="32" t="n">
        <v>48888</v>
      </c>
      <c r="AC31" s="32" t="n">
        <v>291000</v>
      </c>
      <c r="AD31" s="33" t="inlineStr">
        <is>
          <t>Baker; age 45; Citizen; 4 dep; home; non-smoker</t>
        </is>
      </c>
    </row>
    <row r="32">
      <c r="A32" s="13" t="inlineStr">
        <is>
          <t>P30</t>
        </is>
      </c>
      <c r="B32" s="14" t="inlineStr">
        <is>
          <t>Siti Teo</t>
        </is>
      </c>
      <c r="C32" s="13" t="n">
        <v>58</v>
      </c>
      <c r="D32" s="13" t="inlineStr">
        <is>
          <t>Female</t>
        </is>
      </c>
      <c r="E32" s="13" t="inlineStr">
        <is>
          <t>Citizen</t>
        </is>
      </c>
      <c r="F32" s="13" t="inlineStr">
        <is>
          <t>Singapore</t>
        </is>
      </c>
      <c r="G32" s="14" t="inlineStr">
        <is>
          <t>Driver</t>
        </is>
      </c>
      <c r="H32" s="13" t="n">
        <v>2</v>
      </c>
      <c r="I32" s="13" t="inlineStr"/>
      <c r="J32" s="30" t="n">
        <v>5825</v>
      </c>
      <c r="K32" s="24" t="inlineStr">
        <is>
          <t>SGD</t>
        </is>
      </c>
      <c r="L32" s="24" t="inlineStr">
        <is>
          <t>conservative</t>
        </is>
      </c>
      <c r="M32" s="24" t="inlineStr">
        <is>
          <t>high</t>
        </is>
      </c>
      <c r="N32" s="24" t="b">
        <v>1</v>
      </c>
      <c r="O32" s="24" t="b">
        <v>1</v>
      </c>
      <c r="P32" s="24" t="inlineStr">
        <is>
          <t>B</t>
        </is>
      </c>
      <c r="Q32" s="24" t="inlineStr">
        <is>
          <t>Private</t>
        </is>
      </c>
      <c r="R32" s="24" t="b">
        <v>0</v>
      </c>
      <c r="S32" s="9" t="inlineStr">
        <is>
          <t>Life style activities</t>
        </is>
      </c>
      <c r="T32" s="24" t="inlineStr">
        <is>
          <t>stress-free</t>
        </is>
      </c>
      <c r="U32" s="24" t="b">
        <v>0</v>
      </c>
      <c r="V32" s="24" t="n">
        <v>92</v>
      </c>
      <c r="W32" s="31" t="n">
        <v>3702.18</v>
      </c>
      <c r="X32" s="32" t="n">
        <v>35792</v>
      </c>
      <c r="Y32" s="32" t="n">
        <v>202819</v>
      </c>
      <c r="Z32" s="32" t="n">
        <v>350000</v>
      </c>
      <c r="AA32" s="32" t="n">
        <v>192500</v>
      </c>
      <c r="AB32" s="32" t="n">
        <v>167027.028</v>
      </c>
      <c r="AC32" s="32" t="n">
        <v>349500</v>
      </c>
      <c r="AD32" s="33" t="inlineStr">
        <is>
          <t>Driver; age 58; Citizen; 2 dep; home; non-smoker</t>
        </is>
      </c>
    </row>
    <row r="33">
      <c r="A33" s="13" t="inlineStr">
        <is>
          <t>P31</t>
        </is>
      </c>
      <c r="B33" s="14" t="inlineStr">
        <is>
          <t>Aisha Rahman</t>
        </is>
      </c>
      <c r="C33" s="13" t="n">
        <v>24</v>
      </c>
      <c r="D33" s="13" t="inlineStr">
        <is>
          <t>Female</t>
        </is>
      </c>
      <c r="E33" s="13" t="inlineStr">
        <is>
          <t>Citizen</t>
        </is>
      </c>
      <c r="F33" s="13" t="inlineStr">
        <is>
          <t>Singapore</t>
        </is>
      </c>
      <c r="G33" s="14" t="inlineStr">
        <is>
          <t>Nurse</t>
        </is>
      </c>
      <c r="H33" s="13" t="n">
        <v>0</v>
      </c>
      <c r="I33" s="13" t="inlineStr"/>
      <c r="J33" s="30" t="n">
        <v>4305</v>
      </c>
      <c r="K33" s="24" t="inlineStr">
        <is>
          <t>SGD</t>
        </is>
      </c>
      <c r="L33" s="24" t="inlineStr">
        <is>
          <t>conservative</t>
        </is>
      </c>
      <c r="M33" s="24" t="inlineStr">
        <is>
          <t>high</t>
        </is>
      </c>
      <c r="N33" s="24" t="b">
        <v>0</v>
      </c>
      <c r="O33" s="24" t="b">
        <v>0</v>
      </c>
      <c r="P33" s="24" t="inlineStr">
        <is>
          <t>Ward</t>
        </is>
      </c>
      <c r="Q33" s="24" t="inlineStr">
        <is>
          <t>Public</t>
        </is>
      </c>
      <c r="R33" s="24" t="b">
        <v>0</v>
      </c>
      <c r="S33" s="9" t="inlineStr">
        <is>
          <t>Yoga</t>
        </is>
      </c>
      <c r="T33" s="24" t="inlineStr">
        <is>
          <t>Basic</t>
        </is>
      </c>
      <c r="U33" s="24" t="b">
        <v>0</v>
      </c>
      <c r="V33" s="24" t="n">
        <v>86</v>
      </c>
      <c r="W33" s="31" t="n">
        <v>2324.7</v>
      </c>
      <c r="X33" s="32" t="n">
        <v>3022</v>
      </c>
      <c r="Y33" s="32" t="n">
        <v>17125</v>
      </c>
      <c r="Z33" s="32" t="n">
        <v>0</v>
      </c>
      <c r="AA33" s="32" t="n">
        <v>0</v>
      </c>
      <c r="AB33" s="32" t="n">
        <v>14103.18</v>
      </c>
      <c r="AC33" s="32" t="n">
        <v>0</v>
      </c>
      <c r="AD33" s="33" t="inlineStr">
        <is>
          <t>Nurse; age 24; Citizen; 0 dep; rent; non-smoker</t>
        </is>
      </c>
    </row>
    <row r="34">
      <c r="A34" s="13" t="inlineStr">
        <is>
          <t>P32</t>
        </is>
      </c>
      <c r="B34" s="14" t="inlineStr">
        <is>
          <t>Wei Ling Tan</t>
        </is>
      </c>
      <c r="C34" s="13" t="n">
        <v>29</v>
      </c>
      <c r="D34" s="13" t="inlineStr">
        <is>
          <t>Male</t>
        </is>
      </c>
      <c r="E34" s="13" t="inlineStr">
        <is>
          <t>PR</t>
        </is>
      </c>
      <c r="F34" s="13" t="inlineStr">
        <is>
          <t>Singapore</t>
        </is>
      </c>
      <c r="G34" s="14" t="inlineStr">
        <is>
          <t>Teacher</t>
        </is>
      </c>
      <c r="H34" s="13" t="n">
        <v>0</v>
      </c>
      <c r="I34" s="13" t="inlineStr"/>
      <c r="J34" s="30" t="n">
        <v>6230</v>
      </c>
      <c r="K34" s="24" t="inlineStr">
        <is>
          <t>SGD</t>
        </is>
      </c>
      <c r="L34" s="24" t="inlineStr">
        <is>
          <t>moderate</t>
        </is>
      </c>
      <c r="M34" s="24" t="inlineStr">
        <is>
          <t>medium</t>
        </is>
      </c>
      <c r="N34" s="24" t="b">
        <v>0</v>
      </c>
      <c r="O34" s="24" t="b">
        <v>1</v>
      </c>
      <c r="P34" s="24" t="inlineStr">
        <is>
          <t>Double</t>
        </is>
      </c>
      <c r="Q34" s="24" t="inlineStr">
        <is>
          <t>Private</t>
        </is>
      </c>
      <c r="R34" s="24" t="b">
        <v>1</v>
      </c>
      <c r="S34" s="9" t="inlineStr">
        <is>
          <t>Running</t>
        </is>
      </c>
      <c r="T34" s="24" t="inlineStr">
        <is>
          <t>Comfortable</t>
        </is>
      </c>
      <c r="U34" s="24" t="b">
        <v>0</v>
      </c>
      <c r="V34" s="24" t="n">
        <v>81</v>
      </c>
      <c r="W34" s="31" t="n">
        <v>3364.2</v>
      </c>
      <c r="X34" s="32" t="n">
        <v>11663</v>
      </c>
      <c r="Y34" s="32" t="n">
        <v>66088</v>
      </c>
      <c r="Z34" s="32" t="n">
        <v>0</v>
      </c>
      <c r="AA34" s="32" t="n">
        <v>0</v>
      </c>
      <c r="AB34" s="32" t="n">
        <v>54425.28000000001</v>
      </c>
      <c r="AC34" s="32" t="n">
        <v>0</v>
      </c>
      <c r="AD34" s="33" t="inlineStr">
        <is>
          <t>Teacher; age 29; PR; 0 dep; rent; non-smoker</t>
        </is>
      </c>
    </row>
    <row r="35">
      <c r="A35" s="13" t="inlineStr">
        <is>
          <t>P33</t>
        </is>
      </c>
      <c r="B35" s="14" t="inlineStr">
        <is>
          <t>Daniel Koh</t>
        </is>
      </c>
      <c r="C35" s="13" t="n">
        <v>36</v>
      </c>
      <c r="D35" s="13" t="inlineStr">
        <is>
          <t>Female</t>
        </is>
      </c>
      <c r="E35" s="13" t="inlineStr">
        <is>
          <t>Citizen</t>
        </is>
      </c>
      <c r="F35" s="13" t="inlineStr">
        <is>
          <t>Singapore</t>
        </is>
      </c>
      <c r="G35" s="14" t="inlineStr">
        <is>
          <t>Accountant</t>
        </is>
      </c>
      <c r="H35" s="13" t="n">
        <v>1</v>
      </c>
      <c r="I35" s="13" t="inlineStr"/>
      <c r="J35" s="30" t="n">
        <v>7420</v>
      </c>
      <c r="K35" s="24" t="inlineStr">
        <is>
          <t>SGD</t>
        </is>
      </c>
      <c r="L35" s="24" t="inlineStr">
        <is>
          <t>moderate</t>
        </is>
      </c>
      <c r="M35" s="24" t="inlineStr">
        <is>
          <t>medium</t>
        </is>
      </c>
      <c r="N35" s="24" t="b">
        <v>1</v>
      </c>
      <c r="O35" s="24" t="b">
        <v>1</v>
      </c>
      <c r="P35" s="24" t="inlineStr">
        <is>
          <t>Single</t>
        </is>
      </c>
      <c r="Q35" s="24" t="inlineStr">
        <is>
          <t>Private</t>
        </is>
      </c>
      <c r="R35" s="24" t="b">
        <v>1</v>
      </c>
      <c r="S35" s="9" t="inlineStr">
        <is>
          <t>Swimming</t>
        </is>
      </c>
      <c r="T35" s="24" t="inlineStr">
        <is>
          <t>Comfortable</t>
        </is>
      </c>
      <c r="U35" s="24" t="b">
        <v>0</v>
      </c>
      <c r="V35" s="24" t="n">
        <v>88</v>
      </c>
      <c r="W35" s="31" t="n">
        <v>4303.6</v>
      </c>
      <c r="X35" s="32" t="n">
        <v>22037</v>
      </c>
      <c r="Y35" s="32" t="n">
        <v>124879</v>
      </c>
      <c r="Z35" s="32" t="n">
        <v>350000</v>
      </c>
      <c r="AA35" s="32" t="n">
        <v>192500</v>
      </c>
      <c r="AB35" s="32" t="n">
        <v>102841.2</v>
      </c>
      <c r="AC35" s="32" t="n">
        <v>445200</v>
      </c>
      <c r="AD35" s="33" t="inlineStr">
        <is>
          <t>Accountant; age 36; Citizen; 1 dep; home; non-smoker</t>
        </is>
      </c>
    </row>
    <row r="36">
      <c r="A36" s="13" t="inlineStr">
        <is>
          <t>P34</t>
        </is>
      </c>
      <c r="B36" s="14" t="inlineStr">
        <is>
          <t>Priya Nair</t>
        </is>
      </c>
      <c r="C36" s="13" t="n">
        <v>43</v>
      </c>
      <c r="D36" s="13" t="inlineStr">
        <is>
          <t>Male</t>
        </is>
      </c>
      <c r="E36" s="13" t="inlineStr">
        <is>
          <t>Citizen</t>
        </is>
      </c>
      <c r="F36" s="13" t="inlineStr">
        <is>
          <t>Singapore</t>
        </is>
      </c>
      <c r="G36" s="14" t="inlineStr">
        <is>
          <t>Marketing Manager</t>
        </is>
      </c>
      <c r="H36" s="13" t="n">
        <v>2</v>
      </c>
      <c r="I36" s="13" t="inlineStr"/>
      <c r="J36" s="30" t="n">
        <v>4700</v>
      </c>
      <c r="K36" s="24" t="inlineStr">
        <is>
          <t>SGD</t>
        </is>
      </c>
      <c r="L36" s="24" t="inlineStr">
        <is>
          <t>conservative</t>
        </is>
      </c>
      <c r="M36" s="24" t="inlineStr">
        <is>
          <t>high</t>
        </is>
      </c>
      <c r="N36" s="24" t="b">
        <v>1</v>
      </c>
      <c r="O36" s="24" t="b">
        <v>1</v>
      </c>
      <c r="P36" s="24" t="inlineStr">
        <is>
          <t>Ward</t>
        </is>
      </c>
      <c r="Q36" s="24" t="inlineStr">
        <is>
          <t>Public</t>
        </is>
      </c>
      <c r="R36" s="24" t="b">
        <v>0</v>
      </c>
      <c r="S36" s="9" t="inlineStr">
        <is>
          <t>I dont do sports</t>
        </is>
      </c>
      <c r="T36" s="24" t="inlineStr">
        <is>
          <t>frugal</t>
        </is>
      </c>
      <c r="U36" s="24" t="b">
        <v>1</v>
      </c>
      <c r="V36" s="24" t="n">
        <v>78</v>
      </c>
      <c r="W36" s="31" t="n">
        <v>2914</v>
      </c>
      <c r="X36" s="32" t="n">
        <v>16751</v>
      </c>
      <c r="Y36" s="32" t="n">
        <v>94921</v>
      </c>
      <c r="Z36" s="32" t="n">
        <v>350000</v>
      </c>
      <c r="AA36" s="32" t="n">
        <v>192500</v>
      </c>
      <c r="AB36" s="32" t="n">
        <v>78170.39999999999</v>
      </c>
      <c r="AC36" s="32" t="n">
        <v>282000</v>
      </c>
      <c r="AD36" s="33" t="inlineStr">
        <is>
          <t>Marketing Manager; age 43; Citizen; 2 dep; home; smoker</t>
        </is>
      </c>
    </row>
    <row r="37">
      <c r="A37" s="13" t="inlineStr">
        <is>
          <t>P35</t>
        </is>
      </c>
      <c r="B37" s="14" t="inlineStr">
        <is>
          <t>Marcus Lim</t>
        </is>
      </c>
      <c r="C37" s="13" t="n">
        <v>49</v>
      </c>
      <c r="D37" s="13" t="inlineStr">
        <is>
          <t>Female</t>
        </is>
      </c>
      <c r="E37" s="13" t="inlineStr">
        <is>
          <t>Foreigner</t>
        </is>
      </c>
      <c r="F37" s="13" t="inlineStr">
        <is>
          <t>Singapore</t>
        </is>
      </c>
      <c r="G37" s="14" t="inlineStr">
        <is>
          <t>Software Engineer</t>
        </is>
      </c>
      <c r="H37" s="13" t="n">
        <v>2</v>
      </c>
      <c r="I37" s="13" t="inlineStr"/>
      <c r="J37" s="30" t="n">
        <v>5150</v>
      </c>
      <c r="K37" s="24" t="inlineStr">
        <is>
          <t>SGD</t>
        </is>
      </c>
      <c r="L37" s="24" t="inlineStr">
        <is>
          <t>aggressive</t>
        </is>
      </c>
      <c r="M37" s="24" t="inlineStr">
        <is>
          <t>high</t>
        </is>
      </c>
      <c r="N37" s="24" t="b">
        <v>1</v>
      </c>
      <c r="O37" s="24" t="b">
        <v>0</v>
      </c>
      <c r="P37" s="24" t="inlineStr">
        <is>
          <t>A</t>
        </is>
      </c>
      <c r="Q37" s="24" t="inlineStr">
        <is>
          <t>Private</t>
        </is>
      </c>
      <c r="R37" s="24" t="b">
        <v>1</v>
      </c>
      <c r="S37" s="9" t="inlineStr">
        <is>
          <t>Adventurous Sports</t>
        </is>
      </c>
      <c r="T37" s="24" t="inlineStr">
        <is>
          <t>only the best</t>
        </is>
      </c>
      <c r="U37" s="24" t="b">
        <v>0</v>
      </c>
      <c r="V37" s="24" t="n">
        <v>90</v>
      </c>
      <c r="W37" s="31" t="n">
        <v>3991.25</v>
      </c>
      <c r="X37" s="32" t="n">
        <v>29200</v>
      </c>
      <c r="Y37" s="32" t="n">
        <v>165470</v>
      </c>
      <c r="Z37" s="32" t="n">
        <v>350000</v>
      </c>
      <c r="AA37" s="32" t="n">
        <v>192500</v>
      </c>
      <c r="AB37" s="32" t="n">
        <v>136269</v>
      </c>
      <c r="AC37" s="32" t="n">
        <v>309000</v>
      </c>
      <c r="AD37" s="33" t="inlineStr">
        <is>
          <t>Software Engineer; age 49; Foreigner; 2 dep; home; non-smoker</t>
        </is>
      </c>
    </row>
    <row r="38">
      <c r="A38" s="13" t="inlineStr">
        <is>
          <t>P36</t>
        </is>
      </c>
      <c r="B38" s="14" t="inlineStr">
        <is>
          <t>Hannah Wong</t>
        </is>
      </c>
      <c r="C38" s="13" t="n">
        <v>34</v>
      </c>
      <c r="D38" s="13" t="inlineStr">
        <is>
          <t>Male</t>
        </is>
      </c>
      <c r="E38" s="13" t="inlineStr">
        <is>
          <t>Citizen</t>
        </is>
      </c>
      <c r="F38" s="13" t="inlineStr">
        <is>
          <t>Singapore</t>
        </is>
      </c>
      <c r="G38" s="14" t="inlineStr">
        <is>
          <t>Doctor</t>
        </is>
      </c>
      <c r="H38" s="13" t="n">
        <v>1</v>
      </c>
      <c r="I38" s="13" t="inlineStr"/>
      <c r="J38" s="30" t="n">
        <v>14690</v>
      </c>
      <c r="K38" s="24" t="inlineStr">
        <is>
          <t>SGD</t>
        </is>
      </c>
      <c r="L38" s="24" t="inlineStr">
        <is>
          <t>moderate</t>
        </is>
      </c>
      <c r="M38" s="24" t="inlineStr">
        <is>
          <t>medium</t>
        </is>
      </c>
      <c r="N38" s="24" t="b">
        <v>1</v>
      </c>
      <c r="O38" s="24" t="b">
        <v>1</v>
      </c>
      <c r="P38" s="24" t="inlineStr">
        <is>
          <t>B</t>
        </is>
      </c>
      <c r="Q38" s="24" t="inlineStr">
        <is>
          <t>Public</t>
        </is>
      </c>
      <c r="R38" s="24" t="b">
        <v>1</v>
      </c>
      <c r="S38" s="9" t="inlineStr">
        <is>
          <t>Life style activities</t>
        </is>
      </c>
      <c r="T38" s="24" t="inlineStr">
        <is>
          <t>stress-free</t>
        </is>
      </c>
      <c r="U38" s="24" t="b">
        <v>0</v>
      </c>
      <c r="V38" s="24" t="n">
        <v>83</v>
      </c>
      <c r="W38" s="31" t="n">
        <v>9490.25</v>
      </c>
      <c r="X38" s="32" t="n">
        <v>42117</v>
      </c>
      <c r="Y38" s="32" t="n">
        <v>238663</v>
      </c>
      <c r="Z38" s="32" t="n">
        <v>650000</v>
      </c>
      <c r="AA38" s="32" t="n">
        <v>357500</v>
      </c>
      <c r="AB38" s="32" t="n">
        <v>196546.35</v>
      </c>
      <c r="AC38" s="32" t="n">
        <v>881400</v>
      </c>
      <c r="AD38" s="33" t="inlineStr">
        <is>
          <t>Doctor; age 34; Citizen; 1 dep; home; non-smoker</t>
        </is>
      </c>
    </row>
    <row r="39">
      <c r="A39" s="13" t="inlineStr">
        <is>
          <t>P37</t>
        </is>
      </c>
      <c r="B39" s="14" t="inlineStr">
        <is>
          <t>Julian Chee</t>
        </is>
      </c>
      <c r="C39" s="13" t="n">
        <v>56</v>
      </c>
      <c r="D39" s="13" t="inlineStr">
        <is>
          <t>Female</t>
        </is>
      </c>
      <c r="E39" s="13" t="inlineStr">
        <is>
          <t>PR</t>
        </is>
      </c>
      <c r="F39" s="13" t="inlineStr">
        <is>
          <t>Singapore</t>
        </is>
      </c>
      <c r="G39" s="14" t="inlineStr">
        <is>
          <t>Investment Banker</t>
        </is>
      </c>
      <c r="H39" s="13" t="n">
        <v>0</v>
      </c>
      <c r="I39" s="13" t="inlineStr"/>
      <c r="J39" s="30" t="n">
        <v>5675</v>
      </c>
      <c r="K39" s="24" t="inlineStr">
        <is>
          <t>SGD</t>
        </is>
      </c>
      <c r="L39" s="24" t="inlineStr">
        <is>
          <t>conservative</t>
        </is>
      </c>
      <c r="M39" s="24" t="inlineStr">
        <is>
          <t>high</t>
        </is>
      </c>
      <c r="N39" s="24" t="b">
        <v>1</v>
      </c>
      <c r="O39" s="24" t="b">
        <v>1</v>
      </c>
      <c r="P39" s="24" t="inlineStr">
        <is>
          <t>Single</t>
        </is>
      </c>
      <c r="Q39" s="24" t="inlineStr">
        <is>
          <t>Private</t>
        </is>
      </c>
      <c r="R39" s="24" t="b">
        <v>0</v>
      </c>
      <c r="S39" s="9" t="inlineStr">
        <is>
          <t>Walking</t>
        </is>
      </c>
      <c r="T39" s="24" t="inlineStr">
        <is>
          <t>Basic</t>
        </is>
      </c>
      <c r="U39" s="24" t="b">
        <v>0</v>
      </c>
      <c r="V39" s="24" t="n">
        <v>89</v>
      </c>
      <c r="W39" s="31" t="n">
        <v>3141.45</v>
      </c>
      <c r="X39" s="32" t="n">
        <v>47645</v>
      </c>
      <c r="Y39" s="32" t="n">
        <v>269990</v>
      </c>
      <c r="Z39" s="32" t="n">
        <v>350000</v>
      </c>
      <c r="AA39" s="32" t="n">
        <v>192500</v>
      </c>
      <c r="AB39" s="32" t="n">
        <v>222344.85</v>
      </c>
      <c r="AC39" s="32" t="n">
        <v>200000</v>
      </c>
      <c r="AD39" s="33" t="inlineStr">
        <is>
          <t>Investment Banker; age 56; PR; 0 dep; home; non-smoker</t>
        </is>
      </c>
    </row>
    <row r="40">
      <c r="A40" s="13" t="inlineStr">
        <is>
          <t>P38</t>
        </is>
      </c>
      <c r="B40" s="14" t="inlineStr">
        <is>
          <t>Mei Fen Ong</t>
        </is>
      </c>
      <c r="C40" s="13" t="n">
        <v>62</v>
      </c>
      <c r="D40" s="13" t="inlineStr">
        <is>
          <t>Male</t>
        </is>
      </c>
      <c r="E40" s="13" t="inlineStr">
        <is>
          <t>Citizen</t>
        </is>
      </c>
      <c r="F40" s="13" t="inlineStr">
        <is>
          <t>Singapore</t>
        </is>
      </c>
      <c r="G40" s="14" t="inlineStr">
        <is>
          <t>CEO</t>
        </is>
      </c>
      <c r="H40" s="13" t="n">
        <v>3</v>
      </c>
      <c r="I40" s="13" t="inlineStr"/>
      <c r="J40" s="30" t="n">
        <v>6125</v>
      </c>
      <c r="K40" s="24" t="inlineStr">
        <is>
          <t>SGD</t>
        </is>
      </c>
      <c r="L40" s="24" t="inlineStr">
        <is>
          <t>conservative</t>
        </is>
      </c>
      <c r="M40" s="24" t="inlineStr">
        <is>
          <t>medium</t>
        </is>
      </c>
      <c r="N40" s="24" t="b">
        <v>1</v>
      </c>
      <c r="O40" s="24" t="b">
        <v>1</v>
      </c>
      <c r="P40" s="24" t="inlineStr">
        <is>
          <t>Ward</t>
        </is>
      </c>
      <c r="Q40" s="24" t="inlineStr">
        <is>
          <t>Public</t>
        </is>
      </c>
      <c r="R40" s="24" t="b">
        <v>0</v>
      </c>
      <c r="S40" s="9" t="inlineStr">
        <is>
          <t>I dont do sports</t>
        </is>
      </c>
      <c r="T40" s="24" t="inlineStr">
        <is>
          <t>frugal</t>
        </is>
      </c>
      <c r="U40" s="24" t="b">
        <v>1</v>
      </c>
      <c r="V40" s="24" t="n">
        <v>76</v>
      </c>
      <c r="W40" s="31" t="n">
        <v>4422</v>
      </c>
      <c r="X40" s="32" t="n">
        <v>34612</v>
      </c>
      <c r="Y40" s="32" t="n">
        <v>196136</v>
      </c>
      <c r="Z40" s="32" t="n">
        <v>350000</v>
      </c>
      <c r="AA40" s="32" t="n">
        <v>192500</v>
      </c>
      <c r="AB40" s="32" t="n">
        <v>161523.6</v>
      </c>
      <c r="AC40" s="32" t="n">
        <v>367500</v>
      </c>
      <c r="AD40" s="33" t="inlineStr">
        <is>
          <t>CEO; age 62; Citizen; 3 dep; home; smoker</t>
        </is>
      </c>
    </row>
    <row r="41">
      <c r="A41" s="13" t="inlineStr">
        <is>
          <t>P39</t>
        </is>
      </c>
      <c r="B41" s="14" t="inlineStr">
        <is>
          <t>Hafiz Abdullah</t>
        </is>
      </c>
      <c r="C41" s="13" t="n">
        <v>27</v>
      </c>
      <c r="D41" s="13" t="inlineStr">
        <is>
          <t>Female</t>
        </is>
      </c>
      <c r="E41" s="13" t="inlineStr">
        <is>
          <t>Citizen</t>
        </is>
      </c>
      <c r="F41" s="13" t="inlineStr">
        <is>
          <t>Singapore</t>
        </is>
      </c>
      <c r="G41" s="14" t="inlineStr">
        <is>
          <t>Baker</t>
        </is>
      </c>
      <c r="H41" s="13" t="n">
        <v>0</v>
      </c>
      <c r="I41" s="13" t="inlineStr"/>
      <c r="J41" s="30" t="n">
        <v>3500</v>
      </c>
      <c r="K41" s="24" t="inlineStr">
        <is>
          <t>SGD</t>
        </is>
      </c>
      <c r="L41" s="24" t="inlineStr">
        <is>
          <t>moderate</t>
        </is>
      </c>
      <c r="M41" s="24" t="inlineStr">
        <is>
          <t>high</t>
        </is>
      </c>
      <c r="N41" s="24" t="b">
        <v>0</v>
      </c>
      <c r="O41" s="24" t="b">
        <v>0</v>
      </c>
      <c r="P41" s="24" t="inlineStr">
        <is>
          <t>Ward</t>
        </is>
      </c>
      <c r="Q41" s="24" t="inlineStr">
        <is>
          <t>Public</t>
        </is>
      </c>
      <c r="R41" s="24" t="b">
        <v>1</v>
      </c>
      <c r="S41" s="9" t="inlineStr">
        <is>
          <t>HIIT</t>
        </is>
      </c>
      <c r="T41" s="24" t="inlineStr">
        <is>
          <t>Comfortable</t>
        </is>
      </c>
      <c r="U41" s="24" t="b">
        <v>0</v>
      </c>
      <c r="V41" s="24" t="n">
        <v>87</v>
      </c>
      <c r="W41" s="31" t="n">
        <v>1890</v>
      </c>
      <c r="X41" s="32" t="n">
        <v>4914</v>
      </c>
      <c r="Y41" s="32" t="n">
        <v>27846</v>
      </c>
      <c r="Z41" s="32" t="n">
        <v>0</v>
      </c>
      <c r="AA41" s="32" t="n">
        <v>0</v>
      </c>
      <c r="AB41" s="32" t="n">
        <v>22932</v>
      </c>
      <c r="AC41" s="32" t="n">
        <v>0</v>
      </c>
      <c r="AD41" s="33" t="inlineStr">
        <is>
          <t>Baker; age 27; Citizen; 0 dep; rent; non-smoker</t>
        </is>
      </c>
    </row>
    <row r="42">
      <c r="A42" s="13" t="inlineStr">
        <is>
          <t>P40</t>
        </is>
      </c>
      <c r="B42" s="14" t="inlineStr">
        <is>
          <t>Siti Hassan</t>
        </is>
      </c>
      <c r="C42" s="13" t="n">
        <v>39</v>
      </c>
      <c r="D42" s="13" t="inlineStr">
        <is>
          <t>Male</t>
        </is>
      </c>
      <c r="E42" s="13" t="inlineStr">
        <is>
          <t>Foreigner</t>
        </is>
      </c>
      <c r="F42" s="13" t="inlineStr">
        <is>
          <t>Singapore</t>
        </is>
      </c>
      <c r="G42" s="14" t="inlineStr">
        <is>
          <t>Driver</t>
        </is>
      </c>
      <c r="H42" s="13" t="n">
        <v>2</v>
      </c>
      <c r="I42" s="13" t="inlineStr"/>
      <c r="J42" s="30" t="n">
        <v>4400</v>
      </c>
      <c r="K42" s="24" t="inlineStr">
        <is>
          <t>SGD</t>
        </is>
      </c>
      <c r="L42" s="24" t="inlineStr">
        <is>
          <t>aggressive</t>
        </is>
      </c>
      <c r="M42" s="24" t="inlineStr">
        <is>
          <t>high</t>
        </is>
      </c>
      <c r="N42" s="24" t="b">
        <v>0</v>
      </c>
      <c r="O42" s="24" t="b">
        <v>1</v>
      </c>
      <c r="P42" s="24" t="inlineStr">
        <is>
          <t>Double</t>
        </is>
      </c>
      <c r="Q42" s="24" t="inlineStr">
        <is>
          <t>Private</t>
        </is>
      </c>
      <c r="R42" s="24" t="b">
        <v>1</v>
      </c>
      <c r="S42" s="9" t="inlineStr">
        <is>
          <t>Football</t>
        </is>
      </c>
      <c r="T42" s="24" t="inlineStr">
        <is>
          <t>Luxurious</t>
        </is>
      </c>
      <c r="U42" s="24" t="b">
        <v>0</v>
      </c>
      <c r="V42" s="24" t="n">
        <v>80</v>
      </c>
      <c r="W42" s="31" t="n">
        <v>3410</v>
      </c>
      <c r="X42" s="32" t="n">
        <v>16038</v>
      </c>
      <c r="Y42" s="32" t="n">
        <v>90882</v>
      </c>
      <c r="Z42" s="32" t="n">
        <v>0</v>
      </c>
      <c r="AA42" s="32" t="n">
        <v>0</v>
      </c>
      <c r="AB42" s="32" t="n">
        <v>74844</v>
      </c>
      <c r="AC42" s="32" t="n">
        <v>264000</v>
      </c>
      <c r="AD42" s="33" t="inlineStr">
        <is>
          <t>Driver; age 39; Foreigner; 2 dep; rent; non-smoker</t>
        </is>
      </c>
    </row>
    <row r="43">
      <c r="A43" s="13" t="inlineStr">
        <is>
          <t>P41</t>
        </is>
      </c>
      <c r="B43" s="14" t="inlineStr">
        <is>
          <t>Aisha Ng</t>
        </is>
      </c>
      <c r="C43" s="13" t="n">
        <v>53</v>
      </c>
      <c r="D43" s="13" t="inlineStr">
        <is>
          <t>Female</t>
        </is>
      </c>
      <c r="E43" s="13" t="inlineStr">
        <is>
          <t>Citizen</t>
        </is>
      </c>
      <c r="F43" s="13" t="inlineStr">
        <is>
          <t>Singapore</t>
        </is>
      </c>
      <c r="G43" s="14" t="inlineStr">
        <is>
          <t>Nurse</t>
        </is>
      </c>
      <c r="H43" s="13" t="n">
        <v>1</v>
      </c>
      <c r="I43" s="13" t="inlineStr"/>
      <c r="J43" s="30" t="n">
        <v>7350</v>
      </c>
      <c r="K43" s="24" t="inlineStr">
        <is>
          <t>SGD</t>
        </is>
      </c>
      <c r="L43" s="24" t="inlineStr">
        <is>
          <t>moderate</t>
        </is>
      </c>
      <c r="M43" s="24" t="inlineStr">
        <is>
          <t>medium</t>
        </is>
      </c>
      <c r="N43" s="24" t="b">
        <v>1</v>
      </c>
      <c r="O43" s="24" t="b">
        <v>1</v>
      </c>
      <c r="P43" s="24" t="inlineStr">
        <is>
          <t>A</t>
        </is>
      </c>
      <c r="Q43" s="24" t="inlineStr">
        <is>
          <t>Private</t>
        </is>
      </c>
      <c r="R43" s="24" t="b">
        <v>1</v>
      </c>
      <c r="S43" s="9" t="inlineStr">
        <is>
          <t>Pilates</t>
        </is>
      </c>
      <c r="T43" s="24" t="inlineStr">
        <is>
          <t>only the best</t>
        </is>
      </c>
      <c r="U43" s="24" t="b">
        <v>0</v>
      </c>
      <c r="V43" s="24" t="n">
        <v>91</v>
      </c>
      <c r="W43" s="31" t="n">
        <v>4263</v>
      </c>
      <c r="X43" s="32" t="n">
        <v>46570</v>
      </c>
      <c r="Y43" s="32" t="n">
        <v>263894</v>
      </c>
      <c r="Z43" s="32" t="n">
        <v>350000</v>
      </c>
      <c r="AA43" s="32" t="n">
        <v>192500</v>
      </c>
      <c r="AB43" s="32" t="n">
        <v>217324.8</v>
      </c>
      <c r="AC43" s="32" t="n">
        <v>441000</v>
      </c>
      <c r="AD43" s="33" t="inlineStr">
        <is>
          <t>Nurse; age 53; Citizen; 1 dep; home; non-smoker</t>
        </is>
      </c>
    </row>
    <row r="44">
      <c r="A44" s="13" t="inlineStr">
        <is>
          <t>P42</t>
        </is>
      </c>
      <c r="B44" s="14" t="inlineStr">
        <is>
          <t>Wei Ling Chua</t>
        </is>
      </c>
      <c r="C44" s="13" t="n">
        <v>68</v>
      </c>
      <c r="D44" s="13" t="inlineStr">
        <is>
          <t>Male</t>
        </is>
      </c>
      <c r="E44" s="13" t="inlineStr">
        <is>
          <t>Citizen</t>
        </is>
      </c>
      <c r="F44" s="13" t="inlineStr">
        <is>
          <t>Singapore</t>
        </is>
      </c>
      <c r="G44" s="14" t="inlineStr">
        <is>
          <t>Teacher</t>
        </is>
      </c>
      <c r="H44" s="13" t="n">
        <v>0</v>
      </c>
      <c r="I44" s="13" t="inlineStr"/>
      <c r="J44" s="30" t="n">
        <v>9800</v>
      </c>
      <c r="K44" s="24" t="inlineStr">
        <is>
          <t>SGD</t>
        </is>
      </c>
      <c r="L44" s="24" t="inlineStr">
        <is>
          <t>conservative</t>
        </is>
      </c>
      <c r="M44" s="24" t="inlineStr">
        <is>
          <t>medium</t>
        </is>
      </c>
      <c r="N44" s="24" t="b">
        <v>1</v>
      </c>
      <c r="O44" s="24" t="b">
        <v>0</v>
      </c>
      <c r="P44" s="24" t="inlineStr">
        <is>
          <t>Ward</t>
        </is>
      </c>
      <c r="Q44" s="24" t="inlineStr">
        <is>
          <t>Public</t>
        </is>
      </c>
      <c r="R44" s="24" t="b">
        <v>0</v>
      </c>
      <c r="S44" s="9" t="inlineStr">
        <is>
          <t>I dont do sports</t>
        </is>
      </c>
      <c r="T44" s="24" t="inlineStr">
        <is>
          <t>Basic</t>
        </is>
      </c>
      <c r="U44" s="24" t="b">
        <v>0</v>
      </c>
      <c r="V44" s="24" t="n">
        <v>85</v>
      </c>
      <c r="W44" s="31" t="n">
        <v>6210</v>
      </c>
      <c r="X44" s="32" t="n">
        <v>126477</v>
      </c>
      <c r="Y44" s="32" t="n">
        <v>716703</v>
      </c>
      <c r="Z44" s="32" t="n">
        <v>350000</v>
      </c>
      <c r="AA44" s="32" t="n">
        <v>192500</v>
      </c>
      <c r="AB44" s="32" t="n">
        <v>590226</v>
      </c>
      <c r="AC44" s="32" t="n">
        <v>200000</v>
      </c>
      <c r="AD44" s="33" t="inlineStr">
        <is>
          <t>Teacher; age 68; Citizen; 0 dep; home; non-smoker</t>
        </is>
      </c>
    </row>
    <row r="45">
      <c r="A45" s="13" t="inlineStr">
        <is>
          <t>P43</t>
        </is>
      </c>
      <c r="B45" s="14" t="inlineStr">
        <is>
          <t>Daniel Lee</t>
        </is>
      </c>
      <c r="C45" s="13" t="n">
        <v>32</v>
      </c>
      <c r="D45" s="13" t="inlineStr">
        <is>
          <t>Female</t>
        </is>
      </c>
      <c r="E45" s="13" t="inlineStr">
        <is>
          <t>PR</t>
        </is>
      </c>
      <c r="F45" s="13" t="inlineStr">
        <is>
          <t>Singapore</t>
        </is>
      </c>
      <c r="G45" s="14" t="inlineStr">
        <is>
          <t>Accountant</t>
        </is>
      </c>
      <c r="H45" s="13" t="n">
        <v>1</v>
      </c>
      <c r="I45" s="13" t="inlineStr"/>
      <c r="J45" s="30" t="n">
        <v>6860</v>
      </c>
      <c r="K45" s="24" t="inlineStr">
        <is>
          <t>SGD</t>
        </is>
      </c>
      <c r="L45" s="24" t="inlineStr">
        <is>
          <t>moderate</t>
        </is>
      </c>
      <c r="M45" s="24" t="inlineStr">
        <is>
          <t>medium</t>
        </is>
      </c>
      <c r="N45" s="24" t="b">
        <v>0</v>
      </c>
      <c r="O45" s="24" t="b">
        <v>1</v>
      </c>
      <c r="P45" s="24" t="inlineStr">
        <is>
          <t>Double</t>
        </is>
      </c>
      <c r="Q45" s="24" t="inlineStr">
        <is>
          <t>Public</t>
        </is>
      </c>
      <c r="R45" s="24" t="b">
        <v>0</v>
      </c>
      <c r="S45" s="9" t="inlineStr">
        <is>
          <t>Running</t>
        </is>
      </c>
      <c r="T45" s="24" t="inlineStr">
        <is>
          <t>Comfortable</t>
        </is>
      </c>
      <c r="U45" s="24" t="b">
        <v>1</v>
      </c>
      <c r="V45" s="24" t="n">
        <v>79</v>
      </c>
      <c r="W45" s="31" t="n">
        <v>3978.8</v>
      </c>
      <c r="X45" s="32" t="n">
        <v>14941</v>
      </c>
      <c r="Y45" s="32" t="n">
        <v>84666</v>
      </c>
      <c r="Z45" s="32" t="n">
        <v>0</v>
      </c>
      <c r="AA45" s="32" t="n">
        <v>0</v>
      </c>
      <c r="AB45" s="32" t="n">
        <v>69725.03999999998</v>
      </c>
      <c r="AC45" s="32" t="n">
        <v>411600</v>
      </c>
      <c r="AD45" s="33" t="inlineStr">
        <is>
          <t>Accountant; age 32; PR; 1 dep; rent; smoker</t>
        </is>
      </c>
    </row>
    <row r="46">
      <c r="A46" s="13" t="inlineStr">
        <is>
          <t>P44</t>
        </is>
      </c>
      <c r="B46" s="14" t="inlineStr">
        <is>
          <t>Priya Goh</t>
        </is>
      </c>
      <c r="C46" s="13" t="n">
        <v>46</v>
      </c>
      <c r="D46" s="13" t="inlineStr">
        <is>
          <t>Male</t>
        </is>
      </c>
      <c r="E46" s="13" t="inlineStr">
        <is>
          <t>Citizen</t>
        </is>
      </c>
      <c r="F46" s="13" t="inlineStr">
        <is>
          <t>Singapore</t>
        </is>
      </c>
      <c r="G46" s="14" t="inlineStr">
        <is>
          <t>Marketing Manager</t>
        </is>
      </c>
      <c r="H46" s="13" t="n">
        <v>4</v>
      </c>
      <c r="I46" s="13" t="inlineStr"/>
      <c r="J46" s="30" t="n">
        <v>4925</v>
      </c>
      <c r="K46" s="24" t="inlineStr">
        <is>
          <t>SGD</t>
        </is>
      </c>
      <c r="L46" s="24" t="inlineStr">
        <is>
          <t>aggressive</t>
        </is>
      </c>
      <c r="M46" s="24" t="inlineStr">
        <is>
          <t>high</t>
        </is>
      </c>
      <c r="N46" s="24" t="b">
        <v>1</v>
      </c>
      <c r="O46" s="24" t="b">
        <v>1</v>
      </c>
      <c r="P46" s="24" t="inlineStr">
        <is>
          <t>Single</t>
        </is>
      </c>
      <c r="Q46" s="24" t="inlineStr">
        <is>
          <t>Private</t>
        </is>
      </c>
      <c r="R46" s="24" t="b">
        <v>1</v>
      </c>
      <c r="S46" s="9" t="inlineStr">
        <is>
          <t>Golf</t>
        </is>
      </c>
      <c r="T46" s="24" t="inlineStr">
        <is>
          <t>Luxurious</t>
        </is>
      </c>
      <c r="U46" s="24" t="b">
        <v>0</v>
      </c>
      <c r="V46" s="24" t="n">
        <v>84</v>
      </c>
      <c r="W46" s="31" t="n">
        <v>3447.5</v>
      </c>
      <c r="X46" s="32" t="n">
        <v>11081</v>
      </c>
      <c r="Y46" s="32" t="n">
        <v>62794</v>
      </c>
      <c r="Z46" s="32" t="n">
        <v>350000</v>
      </c>
      <c r="AA46" s="32" t="n">
        <v>192500</v>
      </c>
      <c r="AB46" s="32" t="n">
        <v>51712.5</v>
      </c>
      <c r="AC46" s="32" t="n">
        <v>295500</v>
      </c>
      <c r="AD46" s="33" t="inlineStr">
        <is>
          <t>Marketing Manager; age 46; Citizen; 4 dep; home; non-smoker</t>
        </is>
      </c>
    </row>
    <row r="47">
      <c r="A47" s="13" t="inlineStr">
        <is>
          <t>P45</t>
        </is>
      </c>
      <c r="B47" s="14" t="inlineStr">
        <is>
          <t>Marcus Teo</t>
        </is>
      </c>
      <c r="C47" s="13" t="n">
        <v>59</v>
      </c>
      <c r="D47" s="13" t="inlineStr">
        <is>
          <t>Female</t>
        </is>
      </c>
      <c r="E47" s="13" t="inlineStr">
        <is>
          <t>Citizen</t>
        </is>
      </c>
      <c r="F47" s="13" t="inlineStr">
        <is>
          <t>Singapore</t>
        </is>
      </c>
      <c r="G47" s="14" t="inlineStr">
        <is>
          <t>Software Engineer</t>
        </is>
      </c>
      <c r="H47" s="13" t="n">
        <v>2</v>
      </c>
      <c r="I47" s="13" t="inlineStr"/>
      <c r="J47" s="30" t="n">
        <v>5900</v>
      </c>
      <c r="K47" s="24" t="inlineStr">
        <is>
          <t>SGD</t>
        </is>
      </c>
      <c r="L47" s="24" t="inlineStr">
        <is>
          <t>conservative</t>
        </is>
      </c>
      <c r="M47" s="24" t="inlineStr">
        <is>
          <t>high</t>
        </is>
      </c>
      <c r="N47" s="24" t="b">
        <v>1</v>
      </c>
      <c r="O47" s="24" t="b">
        <v>1</v>
      </c>
      <c r="P47" s="24" t="inlineStr">
        <is>
          <t>B</t>
        </is>
      </c>
      <c r="Q47" s="24" t="inlineStr">
        <is>
          <t>Private</t>
        </is>
      </c>
      <c r="R47" s="24" t="b">
        <v>0</v>
      </c>
      <c r="S47" s="9" t="inlineStr">
        <is>
          <t>Life style activities</t>
        </is>
      </c>
      <c r="T47" s="24" t="inlineStr">
        <is>
          <t>stress-free</t>
        </is>
      </c>
      <c r="U47" s="24" t="b">
        <v>0</v>
      </c>
      <c r="V47" s="24" t="n">
        <v>92</v>
      </c>
      <c r="W47" s="31" t="n">
        <v>3749.45</v>
      </c>
      <c r="X47" s="32" t="n">
        <v>37228</v>
      </c>
      <c r="Y47" s="32" t="n">
        <v>210961</v>
      </c>
      <c r="Z47" s="32" t="n">
        <v>350000</v>
      </c>
      <c r="AA47" s="32" t="n">
        <v>192500</v>
      </c>
      <c r="AB47" s="32" t="n">
        <v>173732.58</v>
      </c>
      <c r="AC47" s="32" t="n">
        <v>354000</v>
      </c>
      <c r="AD47" s="33" t="inlineStr">
        <is>
          <t>Software Engineer; age 59; Citizen; 2 dep; home; non-smoker</t>
        </is>
      </c>
    </row>
    <row r="48">
      <c r="A48" s="13" t="inlineStr">
        <is>
          <t>P46</t>
        </is>
      </c>
      <c r="B48" s="14" t="inlineStr">
        <is>
          <t>Hannah Rahman</t>
        </is>
      </c>
      <c r="C48" s="13" t="n">
        <v>22</v>
      </c>
      <c r="D48" s="13" t="inlineStr">
        <is>
          <t>Female</t>
        </is>
      </c>
      <c r="E48" s="13" t="inlineStr">
        <is>
          <t>Citizen</t>
        </is>
      </c>
      <c r="F48" s="13" t="inlineStr">
        <is>
          <t>Singapore</t>
        </is>
      </c>
      <c r="G48" s="14" t="inlineStr">
        <is>
          <t>Doctor</t>
        </is>
      </c>
      <c r="H48" s="13" t="n">
        <v>0</v>
      </c>
      <c r="I48" s="13" t="inlineStr"/>
      <c r="J48" s="30" t="n">
        <v>10400</v>
      </c>
      <c r="K48" s="24" t="inlineStr">
        <is>
          <t>SGD</t>
        </is>
      </c>
      <c r="L48" s="24" t="inlineStr">
        <is>
          <t>conservative</t>
        </is>
      </c>
      <c r="M48" s="24" t="inlineStr">
        <is>
          <t>medium</t>
        </is>
      </c>
      <c r="N48" s="24" t="b">
        <v>0</v>
      </c>
      <c r="O48" s="24" t="b">
        <v>0</v>
      </c>
      <c r="P48" s="24" t="inlineStr">
        <is>
          <t>Ward</t>
        </is>
      </c>
      <c r="Q48" s="24" t="inlineStr">
        <is>
          <t>Public</t>
        </is>
      </c>
      <c r="R48" s="24" t="b">
        <v>0</v>
      </c>
      <c r="S48" s="9" t="inlineStr">
        <is>
          <t>Yoga</t>
        </is>
      </c>
      <c r="T48" s="24" t="inlineStr">
        <is>
          <t>Basic</t>
        </is>
      </c>
      <c r="U48" s="24" t="b">
        <v>0</v>
      </c>
      <c r="V48" s="24" t="n">
        <v>86</v>
      </c>
      <c r="W48" s="31" t="n">
        <v>5940</v>
      </c>
      <c r="X48" s="32" t="n">
        <v>2574</v>
      </c>
      <c r="Y48" s="32" t="n">
        <v>14586</v>
      </c>
      <c r="Z48" s="32" t="n">
        <v>0</v>
      </c>
      <c r="AA48" s="32" t="n">
        <v>0</v>
      </c>
      <c r="AB48" s="32" t="n">
        <v>12012</v>
      </c>
      <c r="AC48" s="32" t="n">
        <v>0</v>
      </c>
      <c r="AD48" s="33" t="inlineStr">
        <is>
          <t>Doctor; age 22; Citizen; 0 dep; rent; non-smoker</t>
        </is>
      </c>
    </row>
    <row r="49">
      <c r="A49" s="13" t="inlineStr">
        <is>
          <t>P47</t>
        </is>
      </c>
      <c r="B49" s="14" t="inlineStr">
        <is>
          <t>Julian Tan</t>
        </is>
      </c>
      <c r="C49" s="13" t="n">
        <v>27</v>
      </c>
      <c r="D49" s="13" t="inlineStr">
        <is>
          <t>Male</t>
        </is>
      </c>
      <c r="E49" s="13" t="inlineStr">
        <is>
          <t>PR</t>
        </is>
      </c>
      <c r="F49" s="13" t="inlineStr">
        <is>
          <t>Singapore</t>
        </is>
      </c>
      <c r="G49" s="14" t="inlineStr">
        <is>
          <t>Investment Banker</t>
        </is>
      </c>
      <c r="H49" s="13" t="n">
        <v>0</v>
      </c>
      <c r="I49" s="13" t="inlineStr"/>
      <c r="J49" s="30" t="n">
        <v>3500</v>
      </c>
      <c r="K49" s="24" t="inlineStr">
        <is>
          <t>SGD</t>
        </is>
      </c>
      <c r="L49" s="24" t="inlineStr">
        <is>
          <t>moderate</t>
        </is>
      </c>
      <c r="M49" s="24" t="inlineStr">
        <is>
          <t>high</t>
        </is>
      </c>
      <c r="N49" s="24" t="b">
        <v>0</v>
      </c>
      <c r="O49" s="24" t="b">
        <v>1</v>
      </c>
      <c r="P49" s="24" t="inlineStr">
        <is>
          <t>Double</t>
        </is>
      </c>
      <c r="Q49" s="24" t="inlineStr">
        <is>
          <t>Private</t>
        </is>
      </c>
      <c r="R49" s="24" t="b">
        <v>1</v>
      </c>
      <c r="S49" s="9" t="inlineStr">
        <is>
          <t>Running</t>
        </is>
      </c>
      <c r="T49" s="24" t="inlineStr">
        <is>
          <t>Comfortable</t>
        </is>
      </c>
      <c r="U49" s="24" t="b">
        <v>0</v>
      </c>
      <c r="V49" s="24" t="n">
        <v>81</v>
      </c>
      <c r="W49" s="31" t="n">
        <v>1890</v>
      </c>
      <c r="X49" s="32" t="n">
        <v>4914</v>
      </c>
      <c r="Y49" s="32" t="n">
        <v>27846</v>
      </c>
      <c r="Z49" s="32" t="n">
        <v>0</v>
      </c>
      <c r="AA49" s="32" t="n">
        <v>0</v>
      </c>
      <c r="AB49" s="32" t="n">
        <v>22932</v>
      </c>
      <c r="AC49" s="32" t="n">
        <v>0</v>
      </c>
      <c r="AD49" s="33" t="inlineStr">
        <is>
          <t>Investment Banker; age 27; PR; 0 dep; rent; non-smoker</t>
        </is>
      </c>
    </row>
    <row r="50">
      <c r="A50" s="13" t="inlineStr">
        <is>
          <t>P48</t>
        </is>
      </c>
      <c r="B50" s="14" t="inlineStr">
        <is>
          <t>Mei Fen Koh</t>
        </is>
      </c>
      <c r="C50" s="13" t="n">
        <v>34</v>
      </c>
      <c r="D50" s="13" t="inlineStr">
        <is>
          <t>Female</t>
        </is>
      </c>
      <c r="E50" s="13" t="inlineStr">
        <is>
          <t>Citizen</t>
        </is>
      </c>
      <c r="F50" s="13" t="inlineStr">
        <is>
          <t>Singapore</t>
        </is>
      </c>
      <c r="G50" s="14" t="inlineStr">
        <is>
          <t>CEO</t>
        </is>
      </c>
      <c r="H50" s="13" t="n">
        <v>1</v>
      </c>
      <c r="I50" s="13" t="inlineStr"/>
      <c r="J50" s="30" t="n">
        <v>4025</v>
      </c>
      <c r="K50" s="24" t="inlineStr">
        <is>
          <t>SGD</t>
        </is>
      </c>
      <c r="L50" s="24" t="inlineStr">
        <is>
          <t>moderate</t>
        </is>
      </c>
      <c r="M50" s="24" t="inlineStr">
        <is>
          <t>high</t>
        </is>
      </c>
      <c r="N50" s="24" t="b">
        <v>1</v>
      </c>
      <c r="O50" s="24" t="b">
        <v>1</v>
      </c>
      <c r="P50" s="24" t="inlineStr">
        <is>
          <t>Single</t>
        </is>
      </c>
      <c r="Q50" s="24" t="inlineStr">
        <is>
          <t>Private</t>
        </is>
      </c>
      <c r="R50" s="24" t="b">
        <v>1</v>
      </c>
      <c r="S50" s="9" t="inlineStr">
        <is>
          <t>Swimming</t>
        </is>
      </c>
      <c r="T50" s="24" t="inlineStr">
        <is>
          <t>Comfortable</t>
        </is>
      </c>
      <c r="U50" s="24" t="b">
        <v>0</v>
      </c>
      <c r="V50" s="24" t="n">
        <v>88</v>
      </c>
      <c r="W50" s="31" t="n">
        <v>2334.5</v>
      </c>
      <c r="X50" s="32" t="n">
        <v>10360</v>
      </c>
      <c r="Y50" s="32" t="n">
        <v>58709</v>
      </c>
      <c r="Z50" s="32" t="n">
        <v>350000</v>
      </c>
      <c r="AA50" s="32" t="n">
        <v>192500</v>
      </c>
      <c r="AB50" s="32" t="n">
        <v>48348.3</v>
      </c>
      <c r="AC50" s="32" t="n">
        <v>241500</v>
      </c>
      <c r="AD50" s="33" t="inlineStr">
        <is>
          <t>CEO; age 34; Citizen; 1 dep; home; non-smoker</t>
        </is>
      </c>
    </row>
    <row r="51">
      <c r="A51" s="13" t="inlineStr">
        <is>
          <t>P49</t>
        </is>
      </c>
      <c r="B51" s="14" t="inlineStr">
        <is>
          <t>Hafiz Nair</t>
        </is>
      </c>
      <c r="C51" s="13" t="n">
        <v>41</v>
      </c>
      <c r="D51" s="13" t="inlineStr">
        <is>
          <t>Male</t>
        </is>
      </c>
      <c r="E51" s="13" t="inlineStr">
        <is>
          <t>Citizen</t>
        </is>
      </c>
      <c r="F51" s="13" t="inlineStr">
        <is>
          <t>Singapore</t>
        </is>
      </c>
      <c r="G51" s="14" t="inlineStr">
        <is>
          <t>Baker</t>
        </is>
      </c>
      <c r="H51" s="13" t="n">
        <v>2</v>
      </c>
      <c r="I51" s="13" t="inlineStr"/>
      <c r="J51" s="30" t="n">
        <v>4550</v>
      </c>
      <c r="K51" s="24" t="inlineStr">
        <is>
          <t>SGD</t>
        </is>
      </c>
      <c r="L51" s="24" t="inlineStr">
        <is>
          <t>conservative</t>
        </is>
      </c>
      <c r="M51" s="24" t="inlineStr">
        <is>
          <t>high</t>
        </is>
      </c>
      <c r="N51" s="24" t="b">
        <v>1</v>
      </c>
      <c r="O51" s="24" t="b">
        <v>1</v>
      </c>
      <c r="P51" s="24" t="inlineStr">
        <is>
          <t>Ward</t>
        </is>
      </c>
      <c r="Q51" s="24" t="inlineStr">
        <is>
          <t>Public</t>
        </is>
      </c>
      <c r="R51" s="24" t="b">
        <v>0</v>
      </c>
      <c r="S51" s="9" t="inlineStr">
        <is>
          <t>I dont do sports</t>
        </is>
      </c>
      <c r="T51" s="24" t="inlineStr">
        <is>
          <t>frugal</t>
        </is>
      </c>
      <c r="U51" s="24" t="b">
        <v>1</v>
      </c>
      <c r="V51" s="24" t="n">
        <v>78</v>
      </c>
      <c r="W51" s="31" t="n">
        <v>2821</v>
      </c>
      <c r="X51" s="32" t="n">
        <v>14742</v>
      </c>
      <c r="Y51" s="32" t="n">
        <v>83538</v>
      </c>
      <c r="Z51" s="32" t="n">
        <v>350000</v>
      </c>
      <c r="AA51" s="32" t="n">
        <v>192500</v>
      </c>
      <c r="AB51" s="32" t="n">
        <v>68796</v>
      </c>
      <c r="AC51" s="32" t="n">
        <v>273000</v>
      </c>
      <c r="AD51" s="33" t="inlineStr">
        <is>
          <t>Baker; age 41; Citizen; 2 dep; home; smoker</t>
        </is>
      </c>
    </row>
    <row r="52">
      <c r="A52" s="13" t="inlineStr">
        <is>
          <t>P50</t>
        </is>
      </c>
      <c r="B52" s="14" t="inlineStr">
        <is>
          <t>Siti Lim</t>
        </is>
      </c>
      <c r="C52" s="13" t="n">
        <v>47</v>
      </c>
      <c r="D52" s="13" t="inlineStr">
        <is>
          <t>Female</t>
        </is>
      </c>
      <c r="E52" s="13" t="inlineStr">
        <is>
          <t>Foreigner</t>
        </is>
      </c>
      <c r="F52" s="13" t="inlineStr">
        <is>
          <t>Singapore</t>
        </is>
      </c>
      <c r="G52" s="14" t="inlineStr">
        <is>
          <t>Driver</t>
        </is>
      </c>
      <c r="H52" s="13" t="n">
        <v>2</v>
      </c>
      <c r="I52" s="13" t="inlineStr"/>
      <c r="J52" s="30" t="n">
        <v>5000</v>
      </c>
      <c r="K52" s="24" t="inlineStr">
        <is>
          <t>SGD</t>
        </is>
      </c>
      <c r="L52" s="24" t="inlineStr">
        <is>
          <t>aggressive</t>
        </is>
      </c>
      <c r="M52" s="24" t="inlineStr">
        <is>
          <t>high</t>
        </is>
      </c>
      <c r="N52" s="24" t="b">
        <v>1</v>
      </c>
      <c r="O52" s="24" t="b">
        <v>0</v>
      </c>
      <c r="P52" s="24" t="inlineStr">
        <is>
          <t>A</t>
        </is>
      </c>
      <c r="Q52" s="24" t="inlineStr">
        <is>
          <t>Private</t>
        </is>
      </c>
      <c r="R52" s="24" t="b">
        <v>1</v>
      </c>
      <c r="S52" s="9" t="inlineStr">
        <is>
          <t>Adventurous Sports</t>
        </is>
      </c>
      <c r="T52" s="24" t="inlineStr">
        <is>
          <t>only the best</t>
        </is>
      </c>
      <c r="U52" s="24" t="b">
        <v>0</v>
      </c>
      <c r="V52" s="24" t="n">
        <v>90</v>
      </c>
      <c r="W52" s="31" t="n">
        <v>3875</v>
      </c>
      <c r="X52" s="32" t="n">
        <v>26325</v>
      </c>
      <c r="Y52" s="32" t="n">
        <v>149175</v>
      </c>
      <c r="Z52" s="32" t="n">
        <v>350000</v>
      </c>
      <c r="AA52" s="32" t="n">
        <v>192500</v>
      </c>
      <c r="AB52" s="32" t="n">
        <v>122850</v>
      </c>
      <c r="AC52" s="32" t="n">
        <v>300000</v>
      </c>
      <c r="AD52" s="33" t="inlineStr">
        <is>
          <t>Driver; age 47; Foreigner; 2 dep; home; non-smoker</t>
        </is>
      </c>
    </row>
  </sheetData>
  <autoFilter ref="A2:AD52"/>
  <mergeCells count="3">
    <mergeCell ref="A1:I1"/>
    <mergeCell ref="J1:V1"/>
    <mergeCell ref="W1:AC1"/>
  </mergeCells>
  <dataValidations count="10">
    <dataValidation sqref="N3:O52 R3:R52 U3:U52" showDropDown="0" showInputMessage="0" showErrorMessage="0" allowBlank="0" type="list">
      <formula1>"TRUE,FALSE"</formula1>
    </dataValidation>
    <dataValidation sqref="E3:E52" showDropDown="0" showInputMessage="0" showErrorMessage="0" allowBlank="0" type="list">
      <formula1>"Citizen,PR,Foreigner"</formula1>
    </dataValidation>
    <dataValidation sqref="D3:D52" showDropDown="0" showInputMessage="0" showErrorMessage="0" allowBlank="0" type="list">
      <formula1>"Female,Male"</formula1>
    </dataValidation>
    <dataValidation sqref="F3:F52" showDropDown="0" showInputMessage="0" showErrorMessage="0" allowBlank="0" type="list">
      <formula1>"Singapore,Vietnam,Malaysia,Thailand,Philippines,Australia,Germany,Hong Kong,United States"</formula1>
    </dataValidation>
    <dataValidation sqref="K3:K52" showDropDown="0" showInputMessage="0" showErrorMessage="0" allowBlank="0" type="list">
      <formula1>"SGD,VND,MYR,THB,PHP,AUD,EUR,HKD,USD"</formula1>
    </dataValidation>
    <dataValidation sqref="L3:L52" showDropDown="0" showInputMessage="0" showErrorMessage="0" allowBlank="0" type="list">
      <formula1>"conservative,moderate,aggressive"</formula1>
    </dataValidation>
    <dataValidation sqref="M3:M52" showDropDown="0" showInputMessage="0" showErrorMessage="0" allowBlank="0" type="list">
      <formula1>"low,medium,high"</formula1>
    </dataValidation>
    <dataValidation sqref="P3:P52" showDropDown="0" showInputMessage="0" showErrorMessage="0" allowBlank="1" type="list">
      <formula1>"Single,Double,Ward,A,B"</formula1>
    </dataValidation>
    <dataValidation sqref="Q3:Q52" showDropDown="0" showInputMessage="0" showErrorMessage="0" allowBlank="0" type="list">
      <formula1>"Public,Private"</formula1>
    </dataValidation>
    <dataValidation sqref="T3:T52" showDropDown="0" showInputMessage="0" showErrorMessage="0" allowBlank="1" type="list">
      <formula1>"Basic,Comfortable,Luxurious,frugal,stress-free,only the best"</formula1>
    </dataValidation>
  </dataValidations>
  <pageMargins left="0.75" right="0.75" top="1" bottom="1" header="0.5" footer="0.5"/>
</worksheet>
</file>

<file path=xl/worksheets/sheet5.xml><?xml version="1.0" encoding="utf-8"?>
<worksheet xmlns="http://schemas.openxmlformats.org/spreadsheetml/2006/main">
  <sheetPr>
    <tabColor rgb="00C45C26"/>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6" customWidth="1" min="9" max="9"/>
    <col width="12" customWidth="1" min="10" max="10"/>
    <col width="56" customWidth="1" min="11" max="11"/>
  </cols>
  <sheetData>
    <row r="1" ht="28" customHeight="1">
      <c r="A1" s="1" t="inlineStr">
        <is>
          <t>CPF — social-security plug-in. In: gross, age, residency, country. Out: employee contribution, take-home. Runs in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the selected Personas row</t>
        </is>
      </c>
      <c r="B4" s="12" t="n"/>
      <c r="C4" s="12" t="n"/>
      <c r="D4" s="12" t="n"/>
      <c r="F4" s="16" t="inlineStr">
        <is>
          <t>C · DETERMINISTICALLY CALCULATED</t>
        </is>
      </c>
      <c r="I4" s="19" t="inlineStr">
        <is>
          <t>D · MODULE PER COUNTRY  —  TRUE = SG-CPF module; FALSE = default module (no contribution)</t>
        </is>
      </c>
      <c r="J4" s="34" t="n"/>
      <c r="K4" s="35" t="n"/>
    </row>
    <row r="5">
      <c r="A5" s="17" t="inlineStr">
        <is>
          <t>country</t>
        </is>
      </c>
      <c r="B5" s="13">
        <f>IFERROR(INDEX(Personas!F$3:F$52,MATCH($B$2,Personas!$A$3:$A$52,0)),"")</f>
        <v/>
      </c>
      <c r="C5" s="13" t="inlineStr">
        <is>
          <t>A · input</t>
        </is>
      </c>
      <c r="D5" s="18" t="inlineStr">
        <is>
          <t>Personas F. Looks up the country switch.</t>
        </is>
      </c>
      <c r="F5" s="19" t="inlineStr">
        <is>
          <t>D · ASSUMPTIONS / SHARED DATA</t>
        </is>
      </c>
      <c r="I5" s="3" t="inlineStr">
        <is>
          <t>country</t>
        </is>
      </c>
      <c r="J5" s="3" t="inlineStr">
        <is>
          <t>CPF on?</t>
        </is>
      </c>
      <c r="K5" s="3" t="inlineStr">
        <is>
          <t>note</t>
        </is>
      </c>
    </row>
    <row r="6">
      <c r="A6" s="17" t="inlineStr">
        <is>
          <t>residency</t>
        </is>
      </c>
      <c r="B6" s="13">
        <f>IFERROR(INDEX(Personas!E$3:E$52,MATCH($B$2,Personas!$A$3:$A$52,0)),"")</f>
        <v/>
      </c>
      <c r="C6" s="13" t="inlineStr">
        <is>
          <t>A · input</t>
        </is>
      </c>
      <c r="D6" s="18" t="inlineStr">
        <is>
          <t>Personas E. When CPF is on, Foreigner → rate 0.</t>
        </is>
      </c>
      <c r="F6" s="21" t="inlineStr">
        <is>
          <t>E · USER / FRONTEND OVERRIDE</t>
        </is>
      </c>
      <c r="I6" s="36" t="inlineStr">
        <is>
          <t>Singapore</t>
        </is>
      </c>
      <c r="J6" s="13" t="b">
        <v>1</v>
      </c>
      <c r="K6" s="18" t="inlineStr">
        <is>
          <t>src/cpf.py applies. Citizen / PR contribute; Foreigner rate 0.</t>
        </is>
      </c>
    </row>
    <row r="7">
      <c r="A7" s="17" t="inlineStr">
        <is>
          <t>age</t>
        </is>
      </c>
      <c r="B7" s="20">
        <f>IFERROR(INDEX(Personas!C$3:C$52,MATCH($B$2,Personas!$A$3:$A$52,0)),"")</f>
        <v/>
      </c>
      <c r="C7" s="13" t="inlineStr">
        <is>
          <t>A · input</t>
        </is>
      </c>
      <c r="D7" s="18" t="inlineStr">
        <is>
          <t>Personas C. Age-band rate when CPF is on.</t>
        </is>
      </c>
      <c r="I7" s="36" t="inlineStr">
        <is>
          <t>Vietnam</t>
        </is>
      </c>
      <c r="J7" s="13" t="b">
        <v>0</v>
      </c>
      <c r="K7" s="18" t="inlineStr">
        <is>
          <t>No CPF. Take-home = gross.</t>
        </is>
      </c>
    </row>
    <row r="8">
      <c r="A8" s="17" t="inlineStr">
        <is>
          <t>incomeMonthly</t>
        </is>
      </c>
      <c r="B8" s="37">
        <f>IFERROR(INDEX(Personas!J$3:J$52,MATCH($B$2,Personas!$A$3:$A$52,0)),"")</f>
        <v/>
      </c>
      <c r="C8" s="13" t="inlineStr">
        <is>
          <t>A · input</t>
        </is>
      </c>
      <c r="D8" s="18" t="inlineStr">
        <is>
          <t>Personas J (LLM or user overwrite).</t>
        </is>
      </c>
      <c r="I8" s="36" t="inlineStr">
        <is>
          <t>Malaysia</t>
        </is>
      </c>
      <c r="J8" s="13" t="b">
        <v>0</v>
      </c>
      <c r="K8" s="18" t="inlineStr">
        <is>
          <t>No CPF. Take-home = gross.</t>
        </is>
      </c>
    </row>
    <row r="9">
      <c r="I9" s="36" t="inlineStr">
        <is>
          <t>Thailand</t>
        </is>
      </c>
      <c r="J9" s="13" t="b">
        <v>0</v>
      </c>
      <c r="K9" s="18" t="inlineStr">
        <is>
          <t>No CPF. Take-home = gross.</t>
        </is>
      </c>
    </row>
    <row r="10">
      <c r="A10" s="19" t="inlineStr">
        <is>
          <t>D · ASSUMPTIONS  —  src/cpf.py (used only when CPF is on)</t>
        </is>
      </c>
      <c r="B10" s="19" t="n"/>
      <c r="C10" s="19" t="n"/>
      <c r="D10" s="19" t="n"/>
      <c r="I10" s="36" t="inlineStr">
        <is>
          <t>Philippines</t>
        </is>
      </c>
      <c r="J10" s="13" t="b">
        <v>0</v>
      </c>
      <c r="K10" s="18" t="inlineStr">
        <is>
          <t>No CPF. Take-home = gross.</t>
        </is>
      </c>
    </row>
    <row r="11">
      <c r="A11" s="38" t="inlineStr">
        <is>
          <t>OW_CEILING</t>
        </is>
      </c>
      <c r="B11" s="39" t="n">
        <v>8000</v>
      </c>
      <c r="C11" s="36" t="inlineStr">
        <is>
          <t>D · assumption / shared</t>
        </is>
      </c>
      <c r="D11" s="18" t="inlineStr">
        <is>
          <t>Ordinary-wage ceiling. Employee CPF is on min(gross, this).</t>
        </is>
      </c>
      <c r="I11" s="36" t="inlineStr">
        <is>
          <t>Australia</t>
        </is>
      </c>
      <c r="J11" s="13" t="b">
        <v>0</v>
      </c>
      <c r="K11" s="18" t="inlineStr">
        <is>
          <t>No CPF. Take-home = gross.</t>
        </is>
      </c>
    </row>
    <row r="12">
      <c r="A12" s="38" t="inlineStr">
        <is>
          <t>cpfRate_to55</t>
        </is>
      </c>
      <c r="B12" s="40" t="n">
        <v>0.2</v>
      </c>
      <c r="C12" s="36" t="inlineStr">
        <is>
          <t>D · assumption / shared</t>
        </is>
      </c>
      <c r="D12" s="18" t="inlineStr">
        <is>
          <t>Employee rate age ≤ 55.</t>
        </is>
      </c>
      <c r="I12" s="36" t="inlineStr">
        <is>
          <t>Germany</t>
        </is>
      </c>
      <c r="J12" s="13" t="b">
        <v>0</v>
      </c>
      <c r="K12" s="18" t="inlineStr">
        <is>
          <t>No CPF. Take-home = gross.</t>
        </is>
      </c>
    </row>
    <row r="13">
      <c r="A13" s="38" t="inlineStr">
        <is>
          <t>cpfRate_to60</t>
        </is>
      </c>
      <c r="B13" s="40" t="n">
        <v>0.18</v>
      </c>
      <c r="C13" s="36" t="inlineStr">
        <is>
          <t>D · assumption / shared</t>
        </is>
      </c>
      <c r="D13" s="18" t="inlineStr">
        <is>
          <t>Age 56–60.</t>
        </is>
      </c>
      <c r="I13" s="36" t="inlineStr">
        <is>
          <t>Hong Kong</t>
        </is>
      </c>
      <c r="J13" s="13" t="b">
        <v>0</v>
      </c>
      <c r="K13" s="18" t="inlineStr">
        <is>
          <t>No CPF. Take-home = gross.</t>
        </is>
      </c>
    </row>
    <row r="14">
      <c r="A14" s="38" t="inlineStr">
        <is>
          <t>cpfRate_to65</t>
        </is>
      </c>
      <c r="B14" s="40" t="n">
        <v>0.125</v>
      </c>
      <c r="C14" s="36" t="inlineStr">
        <is>
          <t>D · assumption / shared</t>
        </is>
      </c>
      <c r="D14" s="18" t="inlineStr">
        <is>
          <t>Age 61–65.</t>
        </is>
      </c>
      <c r="I14" s="36" t="inlineStr">
        <is>
          <t>United States</t>
        </is>
      </c>
      <c r="J14" s="13" t="b">
        <v>0</v>
      </c>
      <c r="K14" s="18" t="inlineStr">
        <is>
          <t>No CPF. Take-home = gross.</t>
        </is>
      </c>
    </row>
    <row r="15">
      <c r="A15" s="38" t="inlineStr">
        <is>
          <t>cpfRate_to70</t>
        </is>
      </c>
      <c r="B15" s="40" t="n">
        <v>0.075</v>
      </c>
      <c r="C15" s="36" t="inlineStr">
        <is>
          <t>D · assumption / shared</t>
        </is>
      </c>
      <c r="D15" s="18" t="inlineStr">
        <is>
          <t>Age 66–70.</t>
        </is>
      </c>
    </row>
    <row r="16">
      <c r="A16" s="38" t="inlineStr">
        <is>
          <t>cpfRate_over70</t>
        </is>
      </c>
      <c r="B16" s="40" t="n">
        <v>0.05</v>
      </c>
      <c r="C16" s="36" t="inlineStr">
        <is>
          <t>D · assumption / shared</t>
        </is>
      </c>
      <c r="D16" s="18" t="inlineStr">
        <is>
          <t>Age &gt; 70.</t>
        </is>
      </c>
    </row>
    <row r="18">
      <c r="A18" s="21" t="inlineStr">
        <is>
          <t>E · OVERRIDE  —  blank = country switch. TRUE / FALSE forces CPF on or off</t>
        </is>
      </c>
      <c r="B18" s="21" t="n"/>
      <c r="C18" s="21" t="n"/>
      <c r="D18" s="21" t="n"/>
    </row>
    <row r="19">
      <c r="A19" s="41" t="inlineStr">
        <is>
          <t>CPF on? (override)</t>
        </is>
      </c>
      <c r="B19" s="42" t="inlineStr"/>
      <c r="C19" s="42" t="inlineStr">
        <is>
          <t>E · user / frontend override</t>
        </is>
      </c>
      <c r="D19" s="18" t="inlineStr">
        <is>
          <t>TRUE / FALSE / blank. Blank uses the country table.</t>
        </is>
      </c>
    </row>
    <row r="21">
      <c r="A21" s="16" t="inlineStr">
        <is>
          <t>C · DETERMINISTICALLY CALCULATED  —  src/cpf.py when on; identity when off</t>
        </is>
      </c>
      <c r="B21" s="16" t="n"/>
      <c r="C21" s="16" t="n"/>
      <c r="D21" s="16" t="n"/>
    </row>
    <row r="22">
      <c r="A22" s="26" t="inlineStr">
        <is>
          <t>CPF on (effective)</t>
        </is>
      </c>
      <c r="B22" s="27">
        <f>IF(B19="",IFERROR(VLOOKUP(B5,CpfCountrySwitch,2,FALSE),FALSE),B19)</f>
        <v/>
      </c>
      <c r="C22" s="27" t="inlineStr">
        <is>
          <t>C · calculated</t>
        </is>
      </c>
      <c r="D22" s="18" t="inlineStr">
        <is>
          <t>Country table, unless the orange override is set.</t>
        </is>
      </c>
    </row>
    <row r="23">
      <c r="A23" s="26" t="inlineStr">
        <is>
          <t>module used</t>
        </is>
      </c>
      <c r="B23" s="27">
        <f>IF(B22=TRUE,"SG-CPF (src/cpf.py)","default: no contribution, take-home = gross")</f>
        <v/>
      </c>
      <c r="C23" s="27" t="inlineStr">
        <is>
          <t>C · calculated</t>
        </is>
      </c>
      <c r="D23" s="18" t="inlineStr">
        <is>
          <t>Plug-in interface. Other countries get their own module later; the rest of the model does not change.</t>
        </is>
      </c>
    </row>
    <row r="24">
      <c r="A24" s="26" t="inlineStr">
        <is>
          <t>Singapore age-band rate</t>
        </is>
      </c>
      <c r="B24" s="43">
        <f>IF(LOWER(B6)="foreigner",0,IF(B7&lt;=55,cpfRate_to55,IF(B7&lt;=60,cpfRate_to60,IF(B7&lt;=65,cpfRate_to65,IF(B7&lt;=70,cpfRate_to70,cpfRate_over70)))))</f>
        <v/>
      </c>
      <c r="C24" s="27" t="inlineStr">
        <is>
          <t>C · calculated</t>
        </is>
      </c>
      <c r="D24" s="18" t="inlineStr">
        <is>
          <t>employee_cpf_rate. Ignored when CPF is off.</t>
        </is>
      </c>
    </row>
    <row r="25">
      <c r="A25" s="26" t="inlineStr">
        <is>
          <t>CPF rate used</t>
        </is>
      </c>
      <c r="B25" s="43">
        <f>IF(B22=TRUE,B24,0)</f>
        <v/>
      </c>
      <c r="C25" s="27" t="inlineStr">
        <is>
          <t>C · calculated</t>
        </is>
      </c>
      <c r="D25" s="18" t="inlineStr">
        <is>
          <t>0 when CPF is off for this country.</t>
        </is>
      </c>
    </row>
    <row r="26">
      <c r="A26" s="26" t="inlineStr">
        <is>
          <t>employee CPF</t>
        </is>
      </c>
      <c r="B26" s="29">
        <f>IF(OR(B22&lt;&gt;TRUE,B8&lt;=0,B25&lt;=0),0,FLOOR(MIN(B8,OW_CEILING)*B25,1))</f>
        <v/>
      </c>
      <c r="C26" s="27" t="inlineStr">
        <is>
          <t>C · calculated</t>
        </is>
      </c>
      <c r="D26" s="18" t="inlineStr">
        <is>
          <t>floor(min(gross, ceiling) × rate). 0 if CPF off.</t>
        </is>
      </c>
    </row>
    <row r="27">
      <c r="A27" s="26" t="inlineStr">
        <is>
          <t>take-home</t>
        </is>
      </c>
      <c r="B27" s="28">
        <f>IF(B8&lt;=0,0,ROUND(MAX(0,B8-B26),2))</f>
        <v/>
      </c>
      <c r="C27" s="27" t="inlineStr">
        <is>
          <t>C · calculated</t>
        </is>
      </c>
      <c r="D27" s="18" t="inlineStr">
        <is>
          <t>Gross minus employee CPF. Equals income when CPF is off.</t>
        </is>
      </c>
    </row>
  </sheetData>
  <mergeCells count="6">
    <mergeCell ref="A1:D1"/>
    <mergeCell ref="A18:D18"/>
    <mergeCell ref="A4:D4"/>
    <mergeCell ref="A21:D21"/>
    <mergeCell ref="I4:K4"/>
    <mergeCell ref="A10:D10"/>
  </mergeCells>
  <dataValidations count="2">
    <dataValidation sqref="J6:J14" showDropDown="0" showInputMessage="0" showErrorMessage="0" allowBlank="0" type="list">
      <formula1>"TRUE,FALSE"</formula1>
    </dataValidation>
    <dataValidation sqref="B19"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tabColor rgb="002E7D4F"/>
    <outlinePr summaryBelow="1" summaryRight="1"/>
    <pageSetUpPr/>
  </sheetPr>
  <dimension ref="A1:F8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People Like You — selected persona. Spend, assets, home, life cover. Take-home comes from the CPF tab.</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About you from the selected Personas row</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Working years = age − 21.</t>
        </is>
      </c>
      <c r="F5" s="19" t="inlineStr">
        <is>
          <t>D · ASSUMPTIONS / SHARED DATA</t>
        </is>
      </c>
    </row>
    <row r="6">
      <c r="A6" s="17" t="inlineStr">
        <is>
          <t>gender</t>
        </is>
      </c>
      <c r="B6" s="13">
        <f>IFERROR(INDEX(Personas!D$3:D$52,MATCH($B$2,Personas!$A$3:$A$52,0)),"")</f>
        <v/>
      </c>
      <c r="C6" s="13" t="inlineStr">
        <is>
          <t>A · input</t>
        </is>
      </c>
      <c r="D6" s="18" t="inlineStr">
        <is>
          <t>Personas D. Not used by this component.</t>
        </is>
      </c>
      <c r="F6" s="21" t="inlineStr">
        <is>
          <t>E · USER / FRONTEND OVERRIDE</t>
        </is>
      </c>
    </row>
    <row r="7">
      <c r="A7" s="17" t="inlineStr">
        <is>
          <t>residency</t>
        </is>
      </c>
      <c r="B7" s="13">
        <f>IFERROR(INDEX(Personas!E$3:E$52,MATCH($B$2,Personas!$A$3:$A$52,0)),"")</f>
        <v/>
      </c>
      <c r="C7" s="13" t="inlineStr">
        <is>
          <t>A · input</t>
        </is>
      </c>
      <c r="D7" s="18" t="inlineStr">
        <is>
          <t>Personas E. Passed to the CPF tab (Foreigner → 0 when CPF is on).</t>
        </is>
      </c>
    </row>
    <row r="8">
      <c r="A8" s="17" t="inlineStr">
        <is>
          <t>country</t>
        </is>
      </c>
      <c r="B8" s="13">
        <f>IFERROR(INDEX(Personas!F$3:F$52,MATCH($B$2,Personas!$A$3:$A$52,0)),"")</f>
        <v/>
      </c>
      <c r="C8" s="13" t="inlineStr">
        <is>
          <t>A · input</t>
        </is>
      </c>
      <c r="D8" s="18" t="inlineStr">
        <is>
          <t>Personas F. CPF on/off is decided on the CPF tab.</t>
        </is>
      </c>
    </row>
    <row r="9">
      <c r="A9" s="17" t="inlineStr">
        <is>
          <t>occupation</t>
        </is>
      </c>
      <c r="B9" s="13">
        <f>IFERROR(INDEX(Personas!G$3:G$52,MATCH($B$2,Personas!$A$3:$A$52,0)),"")</f>
        <v/>
      </c>
      <c r="C9" s="13" t="inlineStr">
        <is>
          <t>A · input</t>
        </is>
      </c>
      <c r="D9" s="18" t="inlineStr">
        <is>
          <t>Personas G. Looks up income_anchors.json Singapore band.</t>
        </is>
      </c>
    </row>
    <row r="10">
      <c r="A10" s="17" t="inlineStr">
        <is>
          <t>dependents</t>
        </is>
      </c>
      <c r="B10" s="20">
        <f>IFERROR(INDEX(Personas!H$3:H$52,MATCH($B$2,Personas!$A$3:$A$52,0)),"")</f>
        <v/>
      </c>
      <c r="C10" s="13" t="inlineStr">
        <is>
          <t>A · input</t>
        </is>
      </c>
      <c r="D10" s="18" t="inlineStr">
        <is>
          <t>Personas H. Spend-share +5 pp each; 5× income life cover if &gt; 0.</t>
        </is>
      </c>
    </row>
    <row r="11">
      <c r="A11" s="17" t="inlineStr">
        <is>
          <t>maritalStatus (typed)</t>
        </is>
      </c>
      <c r="B11" s="13">
        <f>IFERROR(INDEX(Personas!I$3:I$52,MATCH($B$2,Personas!$A$3:$A$52,0)),"")</f>
        <v/>
      </c>
      <c r="C11" s="13" t="inlineStr">
        <is>
          <t>A · input</t>
        </is>
      </c>
      <c r="D11" s="18" t="inlineStr">
        <is>
          <t>Personas I. Blank → infer below.</t>
        </is>
      </c>
    </row>
    <row r="13">
      <c r="A13" s="15" t="inlineStr">
        <is>
          <t>B · LLM PREDICTED DATA  —  fields this component reads from Personas</t>
        </is>
      </c>
      <c r="B13" s="15" t="n"/>
      <c r="C13" s="15" t="n"/>
      <c r="D13" s="15" t="n"/>
    </row>
    <row r="14">
      <c r="A14" s="22" t="inlineStr">
        <is>
          <t>income (LLM gross monthly)</t>
        </is>
      </c>
      <c r="B14" s="30">
        <f>IFERROR(INDEX(Personas!J$3:J$52,MATCH($B$2,Personas!$A$3:$A$52,0)),"")</f>
        <v/>
      </c>
      <c r="C14" s="24" t="inlineStr">
        <is>
          <t>B · LLM predicted</t>
        </is>
      </c>
      <c r="D14" s="18" t="inlineStr">
        <is>
          <t>Personas J. people_like_you_all_fields.json income.</t>
        </is>
      </c>
    </row>
    <row r="15">
      <c r="A15" s="22" t="inlineStr">
        <is>
          <t>currency</t>
        </is>
      </c>
      <c r="B15" s="24">
        <f>IFERROR(INDEX(Personas!K$3:K$52,MATCH($B$2,Personas!$A$3:$A$52,0)),"")</f>
        <v/>
      </c>
      <c r="C15" s="24" t="inlineStr">
        <is>
          <t>B · LLM predicted</t>
        </is>
      </c>
      <c r="D15" s="18" t="inlineStr">
        <is>
          <t>Personas K. SGD in this workbook.</t>
        </is>
      </c>
    </row>
    <row r="16">
      <c r="A16" s="22" t="inlineStr">
        <is>
          <t>property (owns home)</t>
        </is>
      </c>
      <c r="B16" s="24">
        <f>IFERROR(INDEX(Personas!N$3:N$52,MATCH($B$2,Personas!$A$3:$A$52,0)),"")</f>
        <v/>
      </c>
      <c r="C16" s="24" t="inlineStr">
        <is>
          <t>B · LLM predicted</t>
        </is>
      </c>
      <c r="D16" s="18" t="inlineStr">
        <is>
          <t>Personas N. seed_property_value if TRUE.</t>
        </is>
      </c>
    </row>
    <row r="17">
      <c r="A17" s="22" t="inlineStr">
        <is>
          <t>life_expectancy (raw)</t>
        </is>
      </c>
      <c r="B17" s="25">
        <f>IFERROR(INDEX(Personas!V$3:V$52,MATCH($B$2,Personas!$A$3:$A$52,0)),"")</f>
        <v/>
      </c>
      <c r="C17" s="24" t="inlineStr">
        <is>
          <t>B · LLM predicted</t>
        </is>
      </c>
      <c r="D17" s="18" t="inlineStr">
        <is>
          <t>Personas V. Capped at 99. Missing or ≤ 0 → 85.</t>
        </is>
      </c>
    </row>
    <row r="19">
      <c r="A19" s="19" t="inlineStr">
        <is>
          <t>D · ASSUMPTIONS / SHARED DATA  —  named cells on Assumptions (CPF is on the CPF tab)</t>
        </is>
      </c>
      <c r="B19" s="19" t="n"/>
      <c r="C19" s="19" t="n"/>
      <c r="D19" s="19" t="n"/>
    </row>
    <row r="20">
      <c r="A20" s="38" t="inlineStr">
        <is>
          <t>spendShareBase</t>
        </is>
      </c>
      <c r="B20" s="40">
        <f>spendShareBase</f>
        <v/>
      </c>
      <c r="C20" s="36" t="inlineStr">
        <is>
          <t>D · assumption / shared</t>
        </is>
      </c>
      <c r="D20" s="18" t="inlineStr">
        <is>
          <t>67.5% of take-home.</t>
        </is>
      </c>
    </row>
    <row r="21">
      <c r="A21" s="38" t="inlineStr">
        <is>
          <t>spendSharePerDependant</t>
        </is>
      </c>
      <c r="B21" s="40">
        <f>spendSharePerDependant</f>
        <v/>
      </c>
      <c r="C21" s="36" t="inlineStr">
        <is>
          <t>D · assumption / shared</t>
        </is>
      </c>
      <c r="D21" s="18" t="inlineStr">
        <is>
          <t>+5 pp per dependant.</t>
        </is>
      </c>
    </row>
    <row r="22">
      <c r="A22" s="38" t="inlineStr">
        <is>
          <t>spendShareCap</t>
        </is>
      </c>
      <c r="B22" s="40">
        <f>spendShareCap</f>
        <v/>
      </c>
      <c r="C22" s="36" t="inlineStr">
        <is>
          <t>D · assumption / shared</t>
        </is>
      </c>
      <c r="D22" s="18" t="inlineStr">
        <is>
          <t>90% cap.</t>
        </is>
      </c>
    </row>
    <row r="23">
      <c r="A23" s="38" t="inlineStr">
        <is>
          <t>assetsSaveShare</t>
        </is>
      </c>
      <c r="B23" s="40">
        <f>assetsSaveShare</f>
        <v/>
      </c>
      <c r="C23" s="36" t="inlineStr">
        <is>
          <t>D · assumption / shared</t>
        </is>
      </c>
      <c r="D23" s="18" t="inlineStr">
        <is>
          <t>50% of annual surplus saved.</t>
        </is>
      </c>
    </row>
    <row r="24">
      <c r="A24" s="38" t="inlineStr">
        <is>
          <t>workStartAge</t>
        </is>
      </c>
      <c r="B24" s="44">
        <f>workStartAge</f>
        <v/>
      </c>
      <c r="C24" s="36" t="inlineStr">
        <is>
          <t>D · assumption / shared</t>
        </is>
      </c>
      <c r="D24" s="18" t="inlineStr">
        <is>
          <t>21. Working years = max(0, age − 21).</t>
        </is>
      </c>
    </row>
    <row r="25">
      <c r="A25" s="38" t="inlineStr">
        <is>
          <t>CASH_SAVINGS_SHARE</t>
        </is>
      </c>
      <c r="B25" s="40">
        <f>CASH_SAVINGS_SHARE</f>
        <v/>
      </c>
      <c r="C25" s="36" t="inlineStr">
        <is>
          <t>D · assumption / shared</t>
        </is>
      </c>
      <c r="D25" s="18" t="inlineStr">
        <is>
          <t>src/predict.py 15% cash.</t>
        </is>
      </c>
    </row>
    <row r="26">
      <c r="A26" s="38" t="inlineStr">
        <is>
          <t>INVESTMENTS_SHARE</t>
        </is>
      </c>
      <c r="B26" s="40">
        <f>INVESTMENTS_SHARE</f>
        <v/>
      </c>
      <c r="C26" s="36" t="inlineStr">
        <is>
          <t>D · assumption / shared</t>
        </is>
      </c>
      <c r="D26" s="18" t="inlineStr">
        <is>
          <t>src/predict.py 85%.</t>
        </is>
      </c>
    </row>
    <row r="27">
      <c r="A27" s="38" t="inlineStr">
        <is>
          <t>liabilityRatio</t>
        </is>
      </c>
      <c r="B27" s="40">
        <f>liabilityRatio</f>
        <v/>
      </c>
      <c r="C27" s="36" t="inlineStr">
        <is>
          <t>D · assumption / shared</t>
        </is>
      </c>
      <c r="D27" s="18" t="inlineStr">
        <is>
          <t>PLU liabilities = liquid assets × 0.7 (not the mortgage).</t>
        </is>
      </c>
    </row>
    <row r="28">
      <c r="A28" s="38" t="inlineStr">
        <is>
          <t>propertyLow (USD)</t>
        </is>
      </c>
      <c r="B28" s="39">
        <f>propertyLow</f>
        <v/>
      </c>
      <c r="C28" s="36" t="inlineStr">
        <is>
          <t>D · assumption / shared</t>
        </is>
      </c>
      <c r="D28" s="18" t="inlineStr">
        <is>
          <t>income &lt; propertyIncomeLow (USD).</t>
        </is>
      </c>
    </row>
    <row r="29">
      <c r="A29" s="38" t="inlineStr">
        <is>
          <t>propertyMid (USD)</t>
        </is>
      </c>
      <c r="B29" s="39">
        <f>propertyMid</f>
        <v/>
      </c>
      <c r="C29" s="36" t="inlineStr">
        <is>
          <t>D · assumption / shared</t>
        </is>
      </c>
      <c r="D29" s="18" t="inlineStr">
        <is>
          <t>income between the two USD bands.</t>
        </is>
      </c>
    </row>
    <row r="30">
      <c r="A30" s="38" t="inlineStr">
        <is>
          <t>propertyHigh (USD)</t>
        </is>
      </c>
      <c r="B30" s="39">
        <f>propertyHigh</f>
        <v/>
      </c>
      <c r="C30" s="36" t="inlineStr">
        <is>
          <t>D · assumption / shared</t>
        </is>
      </c>
      <c r="D30" s="18" t="inlineStr">
        <is>
          <t>income &gt; propertyIncomeHigh (USD).</t>
        </is>
      </c>
    </row>
    <row r="31">
      <c r="A31" s="38" t="inlineStr">
        <is>
          <t>propertyIncomeLow (USD)</t>
        </is>
      </c>
      <c r="B31" s="39">
        <f>propertyIncomeLow</f>
        <v/>
      </c>
      <c r="C31" s="36" t="inlineStr">
        <is>
          <t>D · assumption / shared</t>
        </is>
      </c>
      <c r="D31" s="18" t="inlineStr">
        <is>
          <t>Monthly gross income in USD.</t>
        </is>
      </c>
    </row>
    <row r="32">
      <c r="A32" s="38" t="inlineStr">
        <is>
          <t>propertyIncomeHigh (USD)</t>
        </is>
      </c>
      <c r="B32" s="39">
        <f>propertyIncomeHigh</f>
        <v/>
      </c>
      <c r="C32" s="36" t="inlineStr">
        <is>
          <t>D · assumption / shared</t>
        </is>
      </c>
      <c r="D32" s="18" t="inlineStr">
        <is>
          <t>Monthly gross income in USD.</t>
        </is>
      </c>
    </row>
    <row r="33">
      <c r="A33" s="38" t="inlineStr">
        <is>
          <t>PROPERTY_LTV</t>
        </is>
      </c>
      <c r="B33" s="40">
        <f>PROPERTY_LTV</f>
        <v/>
      </c>
      <c r="C33" s="36" t="inlineStr">
        <is>
          <t>D · assumption / shared</t>
        </is>
      </c>
      <c r="D33" s="18" t="inlineStr">
        <is>
          <t>Mortgage = round(property × 55%).</t>
        </is>
      </c>
    </row>
    <row r="34">
      <c r="A34" s="38" t="inlineStr">
        <is>
          <t>lifePremiumRate</t>
        </is>
      </c>
      <c r="B34" s="45">
        <f>lifePremiumRate</f>
        <v/>
      </c>
      <c r="C34" s="36" t="inlineStr">
        <is>
          <t>D · assumption / shared</t>
        </is>
      </c>
      <c r="D34" s="18" t="inlineStr">
        <is>
          <t>0.31% of sum assured.</t>
        </is>
      </c>
    </row>
    <row r="35">
      <c r="A35" s="38" t="inlineStr">
        <is>
          <t>life cover step (user currency)</t>
        </is>
      </c>
      <c r="B35" s="39">
        <f>FX_lifeRound</f>
        <v/>
      </c>
      <c r="C35" s="36" t="inlineStr">
        <is>
          <t>D · assumption / shared</t>
        </is>
      </c>
      <c r="D35" s="18" t="inlineStr">
        <is>
          <t>lifeRoundUnit (USD) as a nice step in user currency (FX tab).</t>
        </is>
      </c>
    </row>
    <row r="36">
      <c r="A36" s="38" t="inlineStr">
        <is>
          <t>lifeExpectancyDefault</t>
        </is>
      </c>
      <c r="B36" s="44">
        <f>lifeExpectancyDefault</f>
        <v/>
      </c>
      <c r="C36" s="36" t="inlineStr">
        <is>
          <t>D · assumption / shared</t>
        </is>
      </c>
      <c r="D36" s="18" t="inlineStr">
        <is>
          <t>Used when raw LE is missing or ≤ 0.</t>
        </is>
      </c>
    </row>
    <row r="38">
      <c r="A38" s="16" t="inlineStr">
        <is>
          <t>C · DETERMINISTICALLY CALCULATED  —  _apply_plu. Take-home is read from the CPF tab.</t>
        </is>
      </c>
      <c r="B38" s="16" t="n"/>
      <c r="C38" s="16" t="n"/>
      <c r="D38" s="16" t="n"/>
    </row>
    <row r="39">
      <c r="A39" s="26" t="inlineStr">
        <is>
          <t>band min</t>
        </is>
      </c>
      <c r="B39" s="29">
        <f>IFERROR(INDEX(Assumptions!$K$6:$K$13,MATCH(B9,Assumptions!$J$6:$J$13,0)),"")</f>
        <v/>
      </c>
      <c r="C39" s="27" t="inlineStr">
        <is>
          <t>C · calculated</t>
        </is>
      </c>
      <c r="D39" s="18" t="inlineStr">
        <is>
          <t>income_anchors.json Singapore min for occupation.</t>
        </is>
      </c>
    </row>
    <row r="40">
      <c r="A40" s="26" t="inlineStr">
        <is>
          <t>band max</t>
        </is>
      </c>
      <c r="B40" s="29">
        <f>IFERROR(INDEX(Assumptions!$L$6:$L$13,MATCH(B9,Assumptions!$J$6:$J$13,0)),"")</f>
        <v/>
      </c>
      <c r="C40" s="27" t="inlineStr">
        <is>
          <t>C · calculated</t>
        </is>
      </c>
      <c r="D40" s="18" t="inlineStr">
        <is>
          <t>income_anchors.json Singapore max.</t>
        </is>
      </c>
    </row>
    <row r="41">
      <c r="A41" s="26" t="inlineStr">
        <is>
          <t>incomeMonthly (clamped)</t>
        </is>
      </c>
      <c r="B41" s="28">
        <f>IF(OR(B39="",B14=0),B14,MIN(MAX(B14,B39),B40))</f>
        <v/>
      </c>
      <c r="C41" s="27" t="inlineStr">
        <is>
          <t>C · calculated</t>
        </is>
      </c>
      <c r="D41" s="18" t="inlineStr">
        <is>
          <t>Clamp LLM income into the occupation band. 0 stays 0.</t>
        </is>
      </c>
    </row>
    <row r="42">
      <c r="A42" s="17" t="inlineStr">
        <is>
          <t>CPF on (from CPF tab)</t>
        </is>
      </c>
      <c r="B42" s="13">
        <f>CPF_on</f>
        <v/>
      </c>
      <c r="C42" s="13" t="inlineStr">
        <is>
          <t>A · input</t>
        </is>
      </c>
      <c r="D42" s="18" t="inlineStr">
        <is>
          <t>Country switch or orange override on the CPF tab.</t>
        </is>
      </c>
    </row>
    <row r="43">
      <c r="A43" s="26" t="inlineStr">
        <is>
          <t>CPF rate</t>
        </is>
      </c>
      <c r="B43" s="43">
        <f>CPF_rate</f>
        <v/>
      </c>
      <c r="C43" s="27" t="inlineStr">
        <is>
          <t>C · calculated</t>
        </is>
      </c>
      <c r="D43" s="18" t="inlineStr">
        <is>
          <t>0 when CPF is off for this country.</t>
        </is>
      </c>
    </row>
    <row r="44">
      <c r="A44" s="26" t="inlineStr">
        <is>
          <t>employee CPF</t>
        </is>
      </c>
      <c r="B44" s="29">
        <f>CPF_employee</f>
        <v/>
      </c>
      <c r="C44" s="27" t="inlineStr">
        <is>
          <t>C · calculated</t>
        </is>
      </c>
      <c r="D44" s="18" t="inlineStr">
        <is>
          <t>0 when CPF is off.</t>
        </is>
      </c>
    </row>
    <row r="45">
      <c r="A45" s="26" t="inlineStr">
        <is>
          <t>take-home</t>
        </is>
      </c>
      <c r="B45" s="28">
        <f>CPF_takeHome</f>
        <v/>
      </c>
      <c r="C45" s="27" t="inlineStr">
        <is>
          <t>C · calculated</t>
        </is>
      </c>
      <c r="D45" s="18" t="inlineStr">
        <is>
          <t>Gross minus employee CPF. Equals income when CPF is off.</t>
        </is>
      </c>
    </row>
    <row r="46">
      <c r="A46" s="26" t="inlineStr">
        <is>
          <t>spend share</t>
        </is>
      </c>
      <c r="B46" s="43">
        <f>MIN(spendShareBase+spendSharePerDependant*MAX(0,B10),spendShareCap)</f>
        <v/>
      </c>
      <c r="C46" s="27" t="inlineStr">
        <is>
          <t>C · calculated</t>
        </is>
      </c>
      <c r="D46" s="18" t="inlineStr">
        <is>
          <t>min(67.5% + 5pp × dependents, 90%).</t>
        </is>
      </c>
    </row>
    <row r="47">
      <c r="A47" s="26" t="inlineStr">
        <is>
          <t>expenseMonthly</t>
        </is>
      </c>
      <c r="B47" s="28">
        <f>IF(B45&lt;=0,0,ROUND(B45*B46,2))</f>
        <v/>
      </c>
      <c r="C47" s="27" t="inlineStr">
        <is>
          <t>C · calculated</t>
        </is>
      </c>
      <c r="D47" s="18" t="inlineStr">
        <is>
          <t>expenses_from_gross / spend of take-home.</t>
        </is>
      </c>
    </row>
    <row r="48">
      <c r="A48" s="26" t="inlineStr">
        <is>
          <t>surplus / mo</t>
        </is>
      </c>
      <c r="B48" s="28">
        <f>B45-B47</f>
        <v/>
      </c>
      <c r="C48" s="27" t="inlineStr">
        <is>
          <t>C · calculated</t>
        </is>
      </c>
      <c r="D48" s="18" t="inlineStr">
        <is>
          <t>take-home − expense.</t>
        </is>
      </c>
    </row>
    <row r="49">
      <c r="A49" s="26" t="inlineStr">
        <is>
          <t>working years</t>
        </is>
      </c>
      <c r="B49" s="46">
        <f>MAX(0,B5-workStartAge)</f>
        <v/>
      </c>
      <c r="C49" s="27" t="inlineStr">
        <is>
          <t>C · calculated</t>
        </is>
      </c>
      <c r="D49" s="18" t="inlineStr">
        <is>
          <t>max(0, age − 21).</t>
        </is>
      </c>
    </row>
    <row r="50">
      <c r="A50" s="26" t="inlineStr">
        <is>
          <t>liquid assets</t>
        </is>
      </c>
      <c r="B50" s="28">
        <f>IF(AND(B14&gt;0,B47&gt;0,B5&gt;workStartAge),MAX(0,B48*12*assetsSaveShare*B49),0)</f>
        <v/>
      </c>
      <c r="C50" s="27" t="inlineStr">
        <is>
          <t>C · calculated</t>
        </is>
      </c>
      <c r="D50" s="18" t="inlineStr">
        <is>
          <t>surplus × 12 × 0.5 × working years.</t>
        </is>
      </c>
    </row>
    <row r="51">
      <c r="A51" s="26" t="inlineStr">
        <is>
          <t>PLU liabilities</t>
        </is>
      </c>
      <c r="B51" s="28">
        <f>B50*liabilityRatio</f>
        <v/>
      </c>
      <c r="C51" s="27" t="inlineStr">
        <is>
          <t>C · calculated</t>
        </is>
      </c>
      <c r="D51" s="18" t="inlineStr">
        <is>
          <t>liquid × 0.7. Not the mortgage.</t>
        </is>
      </c>
    </row>
    <row r="52">
      <c r="A52" s="26" t="inlineStr">
        <is>
          <t>cash (15%)</t>
        </is>
      </c>
      <c r="B52" s="29">
        <f>IF(MOD(B50*CASH_SAVINGS_SHARE,1)=0.5,2*ROUND((B50*CASH_SAVINGS_SHARE)/2,0),ROUND(B50*CASH_SAVINGS_SHARE,0))</f>
        <v/>
      </c>
      <c r="C52" s="27" t="inlineStr">
        <is>
          <t>C · calculated</t>
        </is>
      </c>
      <c r="D52" s="18" t="inlineStr">
        <is>
          <t>CASH_SAVINGS_SHARE. Python round (half to even).</t>
        </is>
      </c>
    </row>
    <row r="53">
      <c r="A53" s="26" t="inlineStr">
        <is>
          <t>investments (85%)</t>
        </is>
      </c>
      <c r="B53" s="29">
        <f>IF(MOD(B50*INVESTMENTS_SHARE,1)=0.5,2*ROUND((B50*INVESTMENTS_SHARE)/2,0),ROUND(B50*INVESTMENTS_SHARE,0))</f>
        <v/>
      </c>
      <c r="C53" s="27" t="inlineStr">
        <is>
          <t>C · calculated</t>
        </is>
      </c>
      <c r="D53" s="18" t="inlineStr">
        <is>
          <t>INVESTMENTS_SHARE. Python round (half to even).</t>
        </is>
      </c>
    </row>
    <row r="54">
      <c r="A54" s="26" t="inlineStr">
        <is>
          <t>income USD (home seed)</t>
        </is>
      </c>
      <c r="B54" s="28">
        <f>B14*FX_usdPerLocal</f>
        <v/>
      </c>
      <c r="C54" s="27" t="inlineStr">
        <is>
          <t>C · calculated</t>
        </is>
      </c>
      <c r="D54" s="18" t="inlineStr">
        <is>
          <t>System currency: user currency × USD per 1.</t>
        </is>
      </c>
    </row>
    <row r="55">
      <c r="A55" s="26" t="inlineStr">
        <is>
          <t>property USD</t>
        </is>
      </c>
      <c r="B55" s="28">
        <f>IF(B16=FALSE,0,IF(B54&lt;propertyIncomeLow*FX_priceLevel,propertyLow,IF(B54&lt;=propertyIncomeHigh*FX_priceLevel,propertyMid,propertyHigh))*FX_priceLevel)</f>
        <v/>
      </c>
      <c r="C55" s="27" t="inlineStr">
        <is>
          <t>C · calculated</t>
        </is>
      </c>
      <c r="D55" s="18" t="inlineStr">
        <is>
          <t>seed_property_value on USD bands.</t>
        </is>
      </c>
    </row>
    <row r="56">
      <c r="A56" s="26" t="inlineStr">
        <is>
          <t>property</t>
        </is>
      </c>
      <c r="B56" s="29">
        <f>ROUND(B55/FX_usdPerLocal,0)</f>
        <v/>
      </c>
      <c r="C56" s="27" t="inlineStr">
        <is>
          <t>C · calculated</t>
        </is>
      </c>
      <c r="D56" s="18" t="inlineStr">
        <is>
          <t>Back to user currency.</t>
        </is>
      </c>
    </row>
    <row r="57">
      <c r="A57" s="26" t="inlineStr">
        <is>
          <t>mortgage</t>
        </is>
      </c>
      <c r="B57" s="29">
        <f>IF(B56=0,0,IF(MOD(B56*PROPERTY_LTV,1)=0.5,2*ROUND((B56*PROPERTY_LTV)/2,0),ROUND(B56*PROPERTY_LTV,0)))</f>
        <v/>
      </c>
      <c r="C57" s="27" t="inlineStr">
        <is>
          <t>C · calculated</t>
        </is>
      </c>
      <c r="D57" s="18" t="inlineStr">
        <is>
          <t>round(property × 55%).</t>
        </is>
      </c>
    </row>
    <row r="58">
      <c r="A58" s="26" t="inlineStr">
        <is>
          <t>life sum assured</t>
        </is>
      </c>
      <c r="B58" s="29">
        <f>MAX(IF(B56&gt;0,INT((B57+FX_lifeRound/2)/FX_lifeRound)*FX_lifeRound,0),IF(B10&gt;0,IF(MOD(B14*12*5,1)=0.5,2*ROUND((B14*12*5)/2,0),ROUND(B14*12*5,0)),0))</f>
        <v/>
      </c>
      <c r="C58" s="27" t="inlineStr">
        <is>
          <t>C · calculated</t>
        </is>
      </c>
      <c r="D58" s="18" t="inlineStr">
        <is>
          <t>_assumed_life_policy: max(mortgage rounded to the life cover step, 5 × annual income if dependents).</t>
        </is>
      </c>
    </row>
    <row r="59">
      <c r="A59" s="26" t="inlineStr">
        <is>
          <t>life premium</t>
        </is>
      </c>
      <c r="B59" s="29">
        <f>IF(B58&lt;=0,0,IF(MOD(B58*lifePremiumRate,1)=0.5,2*ROUND((B58*lifePremiumRate)/2,0),ROUND(B58*lifePremiumRate,0)))</f>
        <v/>
      </c>
      <c r="C59" s="27" t="inlineStr">
        <is>
          <t>C · calculated</t>
        </is>
      </c>
      <c r="D59" s="18" t="inlineStr">
        <is>
          <t>round(sum × 0.31%), half to even like Python (790.5 → 790).</t>
        </is>
      </c>
    </row>
    <row r="60">
      <c r="A60" s="26" t="inlineStr">
        <is>
          <t>lifeExpectancy used</t>
        </is>
      </c>
      <c r="B60" s="46">
        <f>MIN(LON_AGE,IF(B17&gt;0,B17,lifeExpectancyDefault))</f>
        <v/>
      </c>
      <c r="C60" s="27" t="inlineStr">
        <is>
          <t>C · calculated</t>
        </is>
      </c>
      <c r="D60" s="18" t="inlineStr">
        <is>
          <t>min(raw, 99). Missing or ≤ 0 → 85.</t>
        </is>
      </c>
    </row>
    <row r="61">
      <c r="A61" s="26" t="inlineStr">
        <is>
          <t>marital (inferred)</t>
        </is>
      </c>
      <c r="B61" s="27">
        <f>IF(IFERROR(INDEX(Personas!I$3:I$52,MATCH($B$2,Personas!$A$3:$A$52,0)),"")&lt;&gt;"",LOWER(IFERROR(INDEX(Personas!I$3:I$52,MATCH($B$2,Personas!$A$3:$A$52,0)),"")),IF(B5&lt;30,"single","married"))</f>
        <v/>
      </c>
      <c r="C61" s="27" t="inlineStr">
        <is>
          <t>C · calculated</t>
        </is>
      </c>
      <c r="D61" s="18" t="inlineStr">
        <is>
          <t>Typed maritalStatus, else age &lt; 30 → single.</t>
        </is>
      </c>
    </row>
    <row r="63">
      <c r="A63" s="21" t="inlineStr">
        <is>
          <t>E · USER / FRONTEND OVERRIDE  —  Personas W–AC (Money page). Blank keeps the green calculated value.</t>
        </is>
      </c>
      <c r="B63" s="21" t="n"/>
      <c r="C63" s="21" t="n"/>
      <c r="D63" s="21" t="n"/>
    </row>
    <row r="64">
      <c r="A64" s="41" t="inlineStr">
        <is>
          <t>override expenseMonthly</t>
        </is>
      </c>
      <c r="B64" s="31">
        <f>IFERROR(INDEX(Personas!W$3:W$52,MATCH($B$2,Personas!$A$3:$A$52,0)),"")</f>
        <v/>
      </c>
      <c r="C64" s="42" t="inlineStr">
        <is>
          <t>E · user / frontend override</t>
        </is>
      </c>
      <c r="D64" s="18" t="inlineStr">
        <is>
          <t>Money page spend. Frontend MIN_EXPENSE_MONTHLY = 100 SGD.</t>
        </is>
      </c>
    </row>
    <row r="65">
      <c r="A65" s="41" t="inlineStr">
        <is>
          <t>override cash</t>
        </is>
      </c>
      <c r="B65" s="32">
        <f>IFERROR(INDEX(Personas!X$3:X$52,MATCH($B$2,Personas!$A$3:$A$52,0)),"")</f>
        <v/>
      </c>
      <c r="C65" s="42" t="inlineStr">
        <is>
          <t>E · user / frontend override</t>
        </is>
      </c>
      <c r="D65" s="18" t="inlineStr">
        <is>
          <t>Cash &amp; Savings. Provenance key cash / savings.</t>
        </is>
      </c>
    </row>
    <row r="66">
      <c r="A66" s="41" t="inlineStr">
        <is>
          <t>override investments</t>
        </is>
      </c>
      <c r="B66" s="32">
        <f>IFERROR(INDEX(Personas!Y$3:Y$52,MATCH($B$2,Personas!$A$3:$A$52,0)),"")</f>
        <v/>
      </c>
      <c r="C66" s="42" t="inlineStr">
        <is>
          <t>E · user / frontend override</t>
        </is>
      </c>
      <c r="D66" s="18" t="inlineStr">
        <is>
          <t>Investments.</t>
        </is>
      </c>
    </row>
    <row r="67">
      <c r="A67" s="41" t="inlineStr">
        <is>
          <t>override property value</t>
        </is>
      </c>
      <c r="B67" s="32">
        <f>IFERROR(INDEX(Personas!Z$3:Z$52,MATCH($B$2,Personas!$A$3:$A$52,0)),"")</f>
        <v/>
      </c>
      <c r="C67" s="42" t="inlineStr">
        <is>
          <t>E · user / frontend override</t>
        </is>
      </c>
      <c r="D67" s="18" t="inlineStr">
        <is>
          <t>Home value. Distinct from owns-home flag N.</t>
        </is>
      </c>
    </row>
    <row r="68">
      <c r="A68" s="41" t="inlineStr">
        <is>
          <t>override mortgage</t>
        </is>
      </c>
      <c r="B68" s="32">
        <f>IFERROR(INDEX(Personas!AA$3:AA$52,MATCH($B$2,Personas!$A$3:$A$52,0)),"")</f>
        <v/>
      </c>
      <c r="C68" s="42" t="inlineStr">
        <is>
          <t>E · user / frontend override</t>
        </is>
      </c>
      <c r="D68" s="18" t="inlineStr">
        <is>
          <t>Money page loans.</t>
        </is>
      </c>
    </row>
    <row r="69">
      <c r="A69" s="41" t="inlineStr">
        <is>
          <t>override PLU liabilities</t>
        </is>
      </c>
      <c r="B69" s="31">
        <f>IFERROR(INDEX(Personas!AB$3:AB$52,MATCH($B$2,Personas!$A$3:$A$52,0)),"")</f>
        <v/>
      </c>
      <c r="C69" s="42" t="inlineStr">
        <is>
          <t>E · user / frontend override</t>
        </is>
      </c>
      <c r="D69" s="18" t="inlineStr">
        <is>
          <t>Need Profiler TotalLiabilities. Not the mortgage.</t>
        </is>
      </c>
    </row>
    <row r="70">
      <c r="A70" s="41" t="inlineStr">
        <is>
          <t>override life sum assured</t>
        </is>
      </c>
      <c r="B70" s="32">
        <f>IFERROR(INDEX(Personas!AC$3:AC$52,MATCH($B$2,Personas!$A$3:$A$52,0)),"")</f>
        <v/>
      </c>
      <c r="C70" s="42" t="inlineStr">
        <is>
          <t>E · user / frontend override</t>
        </is>
      </c>
      <c r="D70" s="18" t="inlineStr">
        <is>
          <t>Existing Life Protection cover.</t>
        </is>
      </c>
    </row>
    <row r="72">
      <c r="A72" s="16" t="inlineStr">
        <is>
          <t>C · EFFECTIVE SESSION  —  override if set, else calculated. Downstream and Validation read these.</t>
        </is>
      </c>
      <c r="B72" s="16" t="n"/>
      <c r="C72" s="16" t="n"/>
      <c r="D72" s="16" t="n"/>
    </row>
    <row r="73">
      <c r="A73" s="26" t="inlineStr">
        <is>
          <t>incomeMonthly</t>
        </is>
      </c>
      <c r="B73" s="28">
        <f>B14</f>
        <v/>
      </c>
      <c r="C73" s="27" t="inlineStr">
        <is>
          <t>C · calculated</t>
        </is>
      </c>
      <c r="D73" s="18" t="inlineStr">
        <is>
          <t>Personas J (LLM or user). The clamp row above is what /predict would force.</t>
        </is>
      </c>
    </row>
    <row r="74">
      <c r="A74" s="26" t="inlineStr">
        <is>
          <t>expenseMonthly</t>
        </is>
      </c>
      <c r="B74" s="28">
        <f>MAX(ROUND(MIN_EXPENSE_MONTHLY/FX_usdPerLocal,2),IF(IFERROR(INDEX(Personas!W$3:W$52,MATCH($B$2,Personas!$A$3:$A$52,0)),"")="",B47,IFERROR(INDEX(Personas!W$3:W$52,MATCH($B$2,Personas!$A$3:$A$52,0)),"")))</f>
        <v/>
      </c>
      <c r="C74" s="27" t="inlineStr">
        <is>
          <t>C · calculated</t>
        </is>
      </c>
      <c r="D74" s="18" t="inlineStr">
        <is>
          <t>Floor: MIN_EXPENSE_MONTHLY (USD 100) in user currency.</t>
        </is>
      </c>
    </row>
    <row r="75">
      <c r="A75" s="26" t="inlineStr">
        <is>
          <t>take-home</t>
        </is>
      </c>
      <c r="B75" s="28">
        <f>B45</f>
        <v/>
      </c>
      <c r="C75" s="27" t="inlineStr">
        <is>
          <t>C · calculated</t>
        </is>
      </c>
      <c r="D75" s="18" t="inlineStr">
        <is>
          <t>From Personas J and CPF.</t>
        </is>
      </c>
    </row>
    <row r="76">
      <c r="A76" s="26" t="inlineStr">
        <is>
          <t>surplus / mo</t>
        </is>
      </c>
      <c r="B76" s="28">
        <f>B75-B74</f>
        <v/>
      </c>
      <c r="C76" s="27" t="inlineStr">
        <is>
          <t>C · calculated</t>
        </is>
      </c>
      <c r="D76" s="18" t="inlineStr"/>
    </row>
    <row r="77">
      <c r="A77" s="26" t="inlineStr">
        <is>
          <t>cash</t>
        </is>
      </c>
      <c r="B77" s="29">
        <f>IF(IFERROR(INDEX(Personas!X$3:X$52,MATCH($B$2,Personas!$A$3:$A$52,0)),"")="",B52,IFERROR(INDEX(Personas!X$3:X$52,MATCH($B$2,Personas!$A$3:$A$52,0)),""))</f>
        <v/>
      </c>
      <c r="C77" s="27" t="inlineStr">
        <is>
          <t>C · calculated</t>
        </is>
      </c>
      <c r="D77" s="18" t="inlineStr"/>
    </row>
    <row r="78">
      <c r="A78" s="26" t="inlineStr">
        <is>
          <t>investments</t>
        </is>
      </c>
      <c r="B78" s="29">
        <f>IF(IFERROR(INDEX(Personas!Y$3:Y$52,MATCH($B$2,Personas!$A$3:$A$52,0)),"")="",B53,IFERROR(INDEX(Personas!Y$3:Y$52,MATCH($B$2,Personas!$A$3:$A$52,0)),""))</f>
        <v/>
      </c>
      <c r="C78" s="27" t="inlineStr">
        <is>
          <t>C · calculated</t>
        </is>
      </c>
      <c r="D78" s="18" t="inlineStr"/>
    </row>
    <row r="79">
      <c r="A79" s="26" t="inlineStr">
        <is>
          <t>liquid assets</t>
        </is>
      </c>
      <c r="B79" s="29">
        <f>B77+B78</f>
        <v/>
      </c>
      <c r="C79" s="27" t="inlineStr">
        <is>
          <t>C · calculated</t>
        </is>
      </c>
      <c r="D79" s="18" t="inlineStr">
        <is>
          <t>cash + investments.</t>
        </is>
      </c>
    </row>
    <row r="80">
      <c r="A80" s="26" t="inlineStr">
        <is>
          <t>property</t>
        </is>
      </c>
      <c r="B80" s="29">
        <f>IF(IFERROR(INDEX(Personas!Z$3:Z$52,MATCH($B$2,Personas!$A$3:$A$52,0)),"")="",B56,IFERROR(INDEX(Personas!Z$3:Z$52,MATCH($B$2,Personas!$A$3:$A$52,0)),""))</f>
        <v/>
      </c>
      <c r="C80" s="27" t="inlineStr">
        <is>
          <t>C · calculated</t>
        </is>
      </c>
      <c r="D80" s="18" t="inlineStr"/>
    </row>
    <row r="81">
      <c r="A81" s="26" t="inlineStr">
        <is>
          <t>mortgage</t>
        </is>
      </c>
      <c r="B81" s="29">
        <f>IF(IFERROR(INDEX(Personas!AA$3:AA$52,MATCH($B$2,Personas!$A$3:$A$52,0)),"")="",B57,IFERROR(INDEX(Personas!AA$3:AA$52,MATCH($B$2,Personas!$A$3:$A$52,0)),""))</f>
        <v/>
      </c>
      <c r="C81" s="27" t="inlineStr">
        <is>
          <t>C · calculated</t>
        </is>
      </c>
      <c r="D81" s="18" t="inlineStr"/>
    </row>
    <row r="82">
      <c r="A82" s="26" t="inlineStr">
        <is>
          <t>PLU liabilities</t>
        </is>
      </c>
      <c r="B82" s="28">
        <f>IF(IFERROR(INDEX(Personas!AB$3:AB$52,MATCH($B$2,Personas!$A$3:$A$52,0)),"")="",B51,IFERROR(INDEX(Personas!AB$3:AB$52,MATCH($B$2,Personas!$A$3:$A$52,0)),""))</f>
        <v/>
      </c>
      <c r="C82" s="27" t="inlineStr">
        <is>
          <t>C · calculated</t>
        </is>
      </c>
      <c r="D82" s="18" t="inlineStr"/>
    </row>
    <row r="83">
      <c r="A83" s="26" t="inlineStr">
        <is>
          <t>life sum assured</t>
        </is>
      </c>
      <c r="B83" s="29">
        <f>IF(IFERROR(INDEX(Personas!AC$3:AC$52,MATCH($B$2,Personas!$A$3:$A$52,0)),"")="",B58,IFERROR(INDEX(Personas!AC$3:AC$52,MATCH($B$2,Personas!$A$3:$A$52,0)),""))</f>
        <v/>
      </c>
      <c r="C83" s="27" t="inlineStr">
        <is>
          <t>C · calculated</t>
        </is>
      </c>
      <c r="D83" s="18" t="inlineStr"/>
    </row>
    <row r="84">
      <c r="A84" s="26" t="inlineStr">
        <is>
          <t>life premium</t>
        </is>
      </c>
      <c r="B84" s="29">
        <f>IF(B83&lt;=0,0,IF(MOD(B83*lifePremiumRate,1)=0.5,2*ROUND((B83*lifePremiumRate)/2,0),ROUND(B83*lifePremiumRate,0)))</f>
        <v/>
      </c>
      <c r="C84" s="27" t="inlineStr">
        <is>
          <t>C · calculated</t>
        </is>
      </c>
      <c r="D84" s="18" t="inlineStr">
        <is>
          <t>Recomputed from effective sum.</t>
        </is>
      </c>
    </row>
    <row r="85">
      <c r="A85" s="22" t="inlineStr">
        <is>
          <t>currency</t>
        </is>
      </c>
      <c r="B85" s="24">
        <f>IFERROR(INDEX(Personas!K$3:K$52,MATCH($B$2,Personas!$A$3:$A$52,0)),"")</f>
        <v/>
      </c>
      <c r="C85" s="24" t="inlineStr">
        <is>
          <t>B · LLM predicted</t>
        </is>
      </c>
      <c r="D85" s="18" t="inlineStr">
        <is>
          <t>Personas K. FX converts with this ISO code.</t>
        </is>
      </c>
    </row>
  </sheetData>
  <mergeCells count="7">
    <mergeCell ref="A1:D1"/>
    <mergeCell ref="A4:D4"/>
    <mergeCell ref="A38:D38"/>
    <mergeCell ref="A72:D72"/>
    <mergeCell ref="A19:D19"/>
    <mergeCell ref="A63:D63"/>
    <mergeCell ref="A13:D13"/>
  </mergeCells>
  <pageMargins left="0.75" right="0.75" top="1" bottom="1" header="0.5" footer="0.5"/>
</worksheet>
</file>

<file path=xl/worksheets/sheet7.xml><?xml version="1.0" encoding="utf-8"?>
<worksheet xmlns="http://schemas.openxmlformats.org/spreadsheetml/2006/main">
  <sheetPr>
    <tabColor rgb="006B3FA0"/>
    <outlinePr summaryBelow="1" summaryRight="1"/>
    <pageSetUpPr/>
  </sheetPr>
  <dimension ref="A1:F10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16" customWidth="1" min="4" max="4"/>
    <col width="12" customWidth="1" min="5" max="5"/>
    <col width="14" customWidth="1" min="6" max="6"/>
  </cols>
  <sheetData>
    <row r="1" ht="28" customHeight="1">
      <c r="A1" s="1" t="inlineStr">
        <is>
          <t>Need Profiler — selected persona. Weighted scores → two protection + N_RET + one growth. Parked coverage needs are scored only.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selected Personas + People Like You results</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Bucket &lt;21 / ≤30 / ≤40 / else.</t>
        </is>
      </c>
      <c r="F5" s="19" t="inlineStr">
        <is>
          <t>D · ASSUMPTIONS / SHARED DATA</t>
        </is>
      </c>
    </row>
    <row r="6">
      <c r="A6" s="17" t="inlineStr">
        <is>
          <t>gender</t>
        </is>
      </c>
      <c r="B6" s="13">
        <f>IFERROR(INDEX(Personas!D$3:D$52,MATCH($B$2,Personas!$A$3:$A$52,0)),"")</f>
        <v/>
      </c>
      <c r="C6" s="13" t="inlineStr">
        <is>
          <t>A · input</t>
        </is>
      </c>
      <c r="D6" s="18" t="inlineStr">
        <is>
          <t>Personas D. male=3, female=2.</t>
        </is>
      </c>
      <c r="F6" s="21" t="inlineStr">
        <is>
          <t>E · USER / FRONTEND OVERRIDE</t>
        </is>
      </c>
    </row>
    <row r="7">
      <c r="A7" s="17" t="inlineStr">
        <is>
          <t>dependents</t>
        </is>
      </c>
      <c r="B7" s="20">
        <f>IFERROR(INDEX(Personas!H$3:H$52,MATCH($B$2,Personas!$A$3:$A$52,0)),"")</f>
        <v/>
      </c>
      <c r="C7" s="13" t="inlineStr">
        <is>
          <t>A · input</t>
        </is>
      </c>
      <c r="D7" s="18" t="inlineStr">
        <is>
          <t>Personas H. 0 / 1 / ≥2 → 0 / 2 / 4.</t>
        </is>
      </c>
    </row>
    <row r="8">
      <c r="A8" s="17" t="inlineStr">
        <is>
          <t>occupation</t>
        </is>
      </c>
      <c r="B8" s="13">
        <f>IFERROR(INDEX(Personas!G$3:G$52,MATCH($B$2,Personas!$A$3:$A$52,0)),"")</f>
        <v/>
      </c>
      <c r="C8" s="13" t="inlineStr">
        <is>
          <t>A · input</t>
        </is>
      </c>
      <c r="D8" s="18" t="inlineStr">
        <is>
          <t>Personas G. Self-employed tokens → 2, else 1.</t>
        </is>
      </c>
    </row>
    <row r="9">
      <c r="A9" s="17" t="inlineStr">
        <is>
          <t>incomeMonthly (from PLU)</t>
        </is>
      </c>
      <c r="B9" s="37">
        <f>PLU_incomeMonthly</f>
        <v/>
      </c>
      <c r="C9" s="13" t="inlineStr">
        <is>
          <t>A · input</t>
        </is>
      </c>
      <c r="D9" s="18" t="inlineStr">
        <is>
          <t>People Like You calculated income, used as profiler Income.</t>
        </is>
      </c>
    </row>
    <row r="10">
      <c r="A10" s="17" t="inlineStr">
        <is>
          <t>expenseMonthly (from PLU)</t>
        </is>
      </c>
      <c r="B10" s="37">
        <f>PLU_expenseMonthly</f>
        <v/>
      </c>
      <c r="C10" s="13" t="inlineStr">
        <is>
          <t>A · input</t>
        </is>
      </c>
      <c r="D10" s="18" t="inlineStr">
        <is>
          <t>People Like You calculated spend.</t>
        </is>
      </c>
    </row>
    <row r="11">
      <c r="A11" s="17" t="inlineStr">
        <is>
          <t>liquid assets (from PLU)</t>
        </is>
      </c>
      <c r="B11" s="47">
        <f>PLU_cash+PLU_investments</f>
        <v/>
      </c>
      <c r="C11" s="13" t="inlineStr">
        <is>
          <t>A · input</t>
        </is>
      </c>
      <c r="D11" s="18" t="inlineStr">
        <is>
          <t>cash + investments.</t>
        </is>
      </c>
    </row>
    <row r="12">
      <c r="A12" s="17" t="inlineStr">
        <is>
          <t>PLU liabilities (from PLU)</t>
        </is>
      </c>
      <c r="B12" s="37">
        <f>PLU_liabilities</f>
        <v/>
      </c>
      <c r="C12" s="13" t="inlineStr">
        <is>
          <t>A · input</t>
        </is>
      </c>
      <c r="D12" s="18" t="inlineStr">
        <is>
          <t>Not the mortgage.</t>
        </is>
      </c>
    </row>
    <row r="14">
      <c r="A14" s="15" t="inlineStr">
        <is>
          <t>B · LLM PREDICTED DATA  —  lifestyle flags this component reads</t>
        </is>
      </c>
      <c r="B14" s="15" t="n"/>
      <c r="C14" s="15" t="n"/>
      <c r="D14" s="15" t="n"/>
    </row>
    <row r="15">
      <c r="A15" s="22" t="inlineStr">
        <is>
          <t>is_smoker</t>
        </is>
      </c>
      <c r="B15" s="24">
        <f>IFERROR(INDEX(Personas!U$3:U$52,MATCH($B$2,Personas!$A$3:$A$52,0)),"")</f>
        <v/>
      </c>
      <c r="C15" s="24" t="inlineStr">
        <is>
          <t>B · LLM predicted</t>
        </is>
      </c>
      <c r="D15" s="18" t="inlineStr">
        <is>
          <t>Personas U. TRUE→3, else 1 (JSON has no Smoking options).</t>
        </is>
      </c>
    </row>
    <row r="16">
      <c r="A16" s="22" t="inlineStr">
        <is>
          <t>hospitalization_type</t>
        </is>
      </c>
      <c r="B16" s="24">
        <f>IFERROR(INDEX(Personas!Q$3:Q$52,MATCH($B$2,Personas!$A$3:$A$52,0)),"")</f>
        <v/>
      </c>
      <c r="C16" s="24" t="inlineStr">
        <is>
          <t>B · LLM predicted</t>
        </is>
      </c>
      <c r="D16" s="18" t="inlineStr">
        <is>
          <t>Personas Q. private=4, public=2.</t>
        </is>
      </c>
    </row>
    <row r="17">
      <c r="A17" s="22" t="inlineStr">
        <is>
          <t>ward_type</t>
        </is>
      </c>
      <c r="B17" s="24">
        <f>IFERROR(INDEX(Personas!P$3:P$52,MATCH($B$2,Personas!$A$3:$A$52,0)),"")</f>
        <v/>
      </c>
      <c r="C17" s="24" t="inlineStr">
        <is>
          <t>B · LLM predicted</t>
        </is>
      </c>
      <c r="D17" s="18" t="inlineStr">
        <is>
          <t>Personas P. A=3, B=2. Single/Double/Ward score 0.</t>
        </is>
      </c>
    </row>
    <row r="18">
      <c r="A18" s="22" t="inlineStr">
        <is>
          <t>retirement_lifestyle</t>
        </is>
      </c>
      <c r="B18" s="24">
        <f>IFERROR(INDEX(Personas!T$3:T$52,MATCH($B$2,Personas!$A$3:$A$52,0)),"")</f>
        <v/>
      </c>
      <c r="C18" s="24" t="inlineStr">
        <is>
          <t>B · LLM predicted</t>
        </is>
      </c>
      <c r="D18" s="18" t="inlineStr">
        <is>
          <t>Personas T. frugal / stress-free / only the best.</t>
        </is>
      </c>
    </row>
    <row r="19">
      <c r="A19" s="22" t="inlineStr">
        <is>
          <t>sports</t>
        </is>
      </c>
      <c r="B19" s="24">
        <f>IFERROR(INDEX(Personas!S$3:S$52,MATCH($B$2,Personas!$A$3:$A$52,0)),"")</f>
        <v/>
      </c>
      <c r="C19" s="24" t="inlineStr">
        <is>
          <t>B · LLM predicted</t>
        </is>
      </c>
      <c r="D19" s="18" t="inlineStr">
        <is>
          <t>Personas S. Adventurous / I dont do sports / Life style.</t>
        </is>
      </c>
    </row>
    <row r="20">
      <c r="A20" s="22" t="inlineStr">
        <is>
          <t>property (owns home)</t>
        </is>
      </c>
      <c r="B20" s="24">
        <f>IFERROR(INDEX(Personas!N$3:N$52,MATCH($B$2,Personas!$A$3:$A$52,0)),"")</f>
        <v/>
      </c>
      <c r="C20" s="24" t="inlineStr">
        <is>
          <t>B · LLM predicted</t>
        </is>
      </c>
      <c r="D20" s="18" t="inlineStr">
        <is>
          <t>Personas N. V0-16: no longer swaps N_SAV / N_PRP (not used for selection).</t>
        </is>
      </c>
    </row>
    <row r="22">
      <c r="A22" s="19" t="inlineStr">
        <is>
          <t>D · ASSUMPTIONS / SHARED DATA  —  used by this component</t>
        </is>
      </c>
      <c r="B22" s="19" t="n"/>
      <c r="C22" s="19" t="n"/>
      <c r="D22" s="19" t="n"/>
    </row>
    <row r="23">
      <c r="A23" s="38" t="inlineStr">
        <is>
          <t>Existing hospital cover</t>
        </is>
      </c>
      <c r="B23" s="36" t="n">
        <v>0</v>
      </c>
      <c r="C23" s="36" t="inlineStr">
        <is>
          <t>D · assumption / shared</t>
        </is>
      </c>
      <c r="D23" s="18" t="inlineStr">
        <is>
          <t>build_profiler_profile hard-codes Existing*Coverage = False → option weight 1.</t>
        </is>
      </c>
    </row>
    <row r="24">
      <c r="A24" s="38" t="inlineStr">
        <is>
          <t>Existing disability cover</t>
        </is>
      </c>
      <c r="B24" s="36" t="n">
        <v>0</v>
      </c>
      <c r="C24" s="36" t="inlineStr">
        <is>
          <t>D · assumption / shared</t>
        </is>
      </c>
      <c r="D24" s="18" t="inlineStr">
        <is>
          <t>Same. Stored as 0 here; option weight of False is 1.</t>
        </is>
      </c>
    </row>
    <row r="25">
      <c r="A25" s="38" t="inlineStr">
        <is>
          <t>USD per 1 local</t>
        </is>
      </c>
      <c r="B25" s="48">
        <f>FX_usdPerLocal</f>
        <v/>
      </c>
      <c r="C25" s="36" t="inlineStr">
        <is>
          <t>D · assumption / shared</t>
        </is>
      </c>
      <c r="D25" s="18" t="inlineStr">
        <is>
          <t>From the FX tab. Income / expense / assets / liabilities convert local × this rate.</t>
        </is>
      </c>
    </row>
    <row r="26">
      <c r="A26" s="38" t="inlineStr">
        <is>
          <t>Selection rule</t>
        </is>
      </c>
      <c r="B26" s="36" t="inlineStr">
        <is>
          <t>2 prot + N_RET + 1 growth</t>
        </is>
      </c>
      <c r="C26" s="36" t="inlineStr">
        <is>
          <t>D · assumption / shared</t>
        </is>
      </c>
      <c r="D26" s="18" t="inlineStr">
        <is>
          <t>V0-16: protection from N_INC/N_CRI/N_TPD/N_HOS/N_PAC; growth N_EDU vs N_SAV. N_PRP is never auto-picked (no profiler label).</t>
        </is>
      </c>
    </row>
    <row r="27">
      <c r="A27" s="38" t="inlineStr">
        <is>
          <t>Profiler weight matrix</t>
        </is>
      </c>
      <c r="B27" s="36" t="inlineStr">
        <is>
          <t>Assumptions!B90:L104</t>
        </is>
      </c>
      <c r="C27" s="36" t="inlineStr">
        <is>
          <t>D · assumption / shared</t>
        </is>
      </c>
      <c r="D27" s="18" t="inlineStr">
        <is>
          <t>Need_profiler.json needs_factor_weights. SUMPRODUCT with option weights.</t>
        </is>
      </c>
    </row>
    <row r="29">
      <c r="A29" s="16" t="inlineStr">
        <is>
          <t>C · DETERMINISTICALLY CALCULATED  —  local × FX → USD, then 15 option weights</t>
        </is>
      </c>
      <c r="B29" s="16" t="n"/>
      <c r="C29" s="16" t="n"/>
      <c r="D29" s="16" t="n"/>
    </row>
    <row r="30">
      <c r="A30" s="26" t="inlineStr">
        <is>
          <t>usd Income</t>
        </is>
      </c>
      <c r="B30" s="49">
        <f>IF(FX_usdPerLocal="","",PLU_incomeMonthly*FX_pppUsdPerLocal)</f>
        <v/>
      </c>
      <c r="C30" s="27" t="inlineStr">
        <is>
          <t>C · calculated</t>
        </is>
      </c>
      <c r="D30" s="18" t="inlineStr">
        <is>
          <t>local income × PPP-USD rate (market USD ÷ price level, V0-22). Singapore = market USD.</t>
        </is>
      </c>
    </row>
    <row r="31">
      <c r="A31" s="26" t="inlineStr">
        <is>
          <t>usd Expense</t>
        </is>
      </c>
      <c r="B31" s="49">
        <f>IF(FX_usdPerLocal="","",PLU_expenseMonthly*FX_pppUsdPerLocal)</f>
        <v/>
      </c>
      <c r="C31" s="27" t="inlineStr">
        <is>
          <t>C · calculated</t>
        </is>
      </c>
      <c r="D31" s="18" t="inlineStr">
        <is>
          <t>local expense × FX.</t>
        </is>
      </c>
    </row>
    <row r="32">
      <c r="A32" s="26" t="inlineStr">
        <is>
          <t>usd Assets</t>
        </is>
      </c>
      <c r="B32" s="49">
        <f>IF(FX_usdPerLocal="","",(PLU_cash+PLU_investments)*FX_pppUsdPerLocal)</f>
        <v/>
      </c>
      <c r="C32" s="27" t="inlineStr">
        <is>
          <t>C · calculated</t>
        </is>
      </c>
      <c r="D32" s="18" t="inlineStr">
        <is>
          <t>cash + investments × FX.</t>
        </is>
      </c>
    </row>
    <row r="33">
      <c r="A33" s="26" t="inlineStr">
        <is>
          <t>usd Liab</t>
        </is>
      </c>
      <c r="B33" s="49">
        <f>IF(FX_usdPerLocal="","",PLU_liabilities*FX_pppUsdPerLocal)</f>
        <v/>
      </c>
      <c r="C33" s="27" t="inlineStr">
        <is>
          <t>C · calculated</t>
        </is>
      </c>
      <c r="D33" s="18" t="inlineStr">
        <is>
          <t>PLU liabilities × FX.</t>
        </is>
      </c>
    </row>
    <row r="34">
      <c r="A34" s="26" t="inlineStr">
        <is>
          <t>ow Age</t>
        </is>
      </c>
      <c r="B34" s="46">
        <f>IF(B5&lt;21,1,IF(B5&lt;=30,2,IF(B5&lt;=40,3,4)))</f>
        <v/>
      </c>
      <c r="C34" s="27" t="inlineStr">
        <is>
          <t>C · calculated</t>
        </is>
      </c>
      <c r="D34" s="18" t="inlineStr">
        <is>
          <t>_get_option_weight Date of Birth.</t>
        </is>
      </c>
    </row>
    <row r="35">
      <c r="A35" s="26" t="inlineStr">
        <is>
          <t>ow Gender</t>
        </is>
      </c>
      <c r="B35" s="46">
        <f>IF(LOWER(B6)="male",3,IF(LOWER(B6)="female",2,0))</f>
        <v/>
      </c>
      <c r="C35" s="27" t="inlineStr">
        <is>
          <t>C · calculated</t>
        </is>
      </c>
      <c r="D35" s="18" t="inlineStr">
        <is>
          <t>male=3, female=2.</t>
        </is>
      </c>
    </row>
    <row r="36">
      <c r="A36" s="26" t="inlineStr">
        <is>
          <t>ow Deps</t>
        </is>
      </c>
      <c r="B36" s="46">
        <f>IF(B7=0,0,IF(B7=1,2,4))</f>
        <v/>
      </c>
      <c r="C36" s="27" t="inlineStr">
        <is>
          <t>C · calculated</t>
        </is>
      </c>
      <c r="D36" s="18" t="inlineStr">
        <is>
          <t>0 / 1 / else.</t>
        </is>
      </c>
    </row>
    <row r="37">
      <c r="A37" s="26" t="inlineStr">
        <is>
          <t>ow Occ</t>
        </is>
      </c>
      <c r="B37" s="46">
        <f>IF(OR(ISNUMBER(SEARCH("self",B8)),ISNUMBER(SEARCH("entrepreneur",B8)),ISNUMBER(SEARCH("own business",B8)),ISNUMBER(SEARCH("freelance",B8))),2,1)</f>
        <v/>
      </c>
      <c r="C37" s="27" t="inlineStr">
        <is>
          <t>C · calculated</t>
        </is>
      </c>
      <c r="D37" s="18" t="inlineStr">
        <is>
          <t>Self-employed tokens.</t>
        </is>
      </c>
    </row>
    <row r="38">
      <c r="A38" s="26" t="inlineStr">
        <is>
          <t>ow Smoke</t>
        </is>
      </c>
      <c r="B38" s="46">
        <f>IF(B15=TRUE,3,1)</f>
        <v/>
      </c>
      <c r="C38" s="27" t="inlineStr">
        <is>
          <t>C · calculated</t>
        </is>
      </c>
      <c r="D38" s="18" t="inlineStr">
        <is>
          <t>No Smoking options in JSON.</t>
        </is>
      </c>
    </row>
    <row r="39">
      <c r="A39" s="26" t="inlineStr">
        <is>
          <t>ow Income</t>
        </is>
      </c>
      <c r="B39" s="46">
        <f>IF(B30&lt;1000,4,IF(B30&lt;2500,3,IF(B30&lt;5000,2,IF(B30&lt;10000,1,0))))</f>
        <v/>
      </c>
      <c r="C39" s="27" t="inlineStr">
        <is>
          <t>C · calculated</t>
        </is>
      </c>
      <c r="D39" s="18" t="inlineStr">
        <is>
          <t>Need_profiler.json Income lt bands (USD after FX).</t>
        </is>
      </c>
    </row>
    <row r="40">
      <c r="A40" s="26" t="inlineStr">
        <is>
          <t>ow Expense</t>
        </is>
      </c>
      <c r="B40" s="46">
        <f>IF(B31&lt;600,4,IF(B31&lt;1500,3,IF(B31&lt;3000,2,IF(B31&lt;6000,1,0))))</f>
        <v/>
      </c>
      <c r="C40" s="27" t="inlineStr">
        <is>
          <t>C · calculated</t>
        </is>
      </c>
      <c r="D40" s="18" t="inlineStr">
        <is>
          <t>Expense USD bands (~0.6× income).</t>
        </is>
      </c>
    </row>
    <row r="41">
      <c r="A41" s="26" t="inlineStr">
        <is>
          <t>ow Assets</t>
        </is>
      </c>
      <c r="B41" s="46">
        <f>IF(B32&lt;10000,4,IF(B32&lt;50000,3,IF(B32&lt;150000,2,IF(B32&lt;500000,1,0))))</f>
        <v/>
      </c>
      <c r="C41" s="27" t="inlineStr">
        <is>
          <t>C · calculated</t>
        </is>
      </c>
      <c r="D41" s="18" t="inlineStr">
        <is>
          <t>Assets USD bands (stock).</t>
        </is>
      </c>
    </row>
    <row r="42">
      <c r="A42" s="26" t="inlineStr">
        <is>
          <t>ow Liab</t>
        </is>
      </c>
      <c r="B42" s="46">
        <f>IF(B33&lt;5000,4,IF(B33&lt;25000,3,IF(B33&lt;100000,2,IF(B33&lt;250000,1,0))))</f>
        <v/>
      </c>
      <c r="C42" s="27" t="inlineStr">
        <is>
          <t>C · calculated</t>
        </is>
      </c>
      <c r="D42" s="18" t="inlineStr">
        <is>
          <t>Liabilities USD bands (stock).</t>
        </is>
      </c>
    </row>
    <row r="43">
      <c r="A43" s="26" t="inlineStr">
        <is>
          <t>ow HospExist</t>
        </is>
      </c>
      <c r="B43" s="46" t="n">
        <v>1</v>
      </c>
      <c r="C43" s="27" t="inlineStr">
        <is>
          <t>C · calculated</t>
        </is>
      </c>
      <c r="D43" s="18" t="inlineStr">
        <is>
          <t>Existing hospital coverage always False → 1.</t>
        </is>
      </c>
    </row>
    <row r="44">
      <c r="A44" s="26" t="inlineStr">
        <is>
          <t>ow DisExist</t>
        </is>
      </c>
      <c r="B44" s="46" t="n">
        <v>1</v>
      </c>
      <c r="C44" s="27" t="inlineStr">
        <is>
          <t>C · calculated</t>
        </is>
      </c>
      <c r="D44" s="18" t="inlineStr">
        <is>
          <t>Existing disability coverage always False → 1.</t>
        </is>
      </c>
    </row>
    <row r="45">
      <c r="A45" s="26" t="inlineStr">
        <is>
          <t>ow HospType</t>
        </is>
      </c>
      <c r="B45" s="46">
        <f>IF(LOWER(B16)="private",4,IF(LOWER(B16)="public",2,0))</f>
        <v/>
      </c>
      <c r="C45" s="27" t="inlineStr">
        <is>
          <t>C · calculated</t>
        </is>
      </c>
      <c r="D45" s="18" t="inlineStr">
        <is>
          <t>Hospital Type.</t>
        </is>
      </c>
    </row>
    <row r="46">
      <c r="A46" s="26" t="inlineStr">
        <is>
          <t>ow Ward</t>
        </is>
      </c>
      <c r="B46" s="46">
        <f>IF(UPPER(B17)="A",3,IF(UPPER(B17)="B",2,0))</f>
        <v/>
      </c>
      <c r="C46" s="27" t="inlineStr">
        <is>
          <t>C · calculated</t>
        </is>
      </c>
      <c r="D46" s="18" t="inlineStr">
        <is>
          <t>Ward Type.</t>
        </is>
      </c>
    </row>
    <row r="47">
      <c r="A47" s="26" t="inlineStr">
        <is>
          <t>ow Lifestyle</t>
        </is>
      </c>
      <c r="B47" s="46">
        <f>IF(LOWER(B18)="frugal",1,IF(OR(LOWER(B18)="stress-free",LOWER(B18)="stress free"),2,IF(LOWER(B18)="only the best",4,0)))</f>
        <v/>
      </c>
      <c r="C47" s="27" t="inlineStr">
        <is>
          <t>C · calculated</t>
        </is>
      </c>
      <c r="D47" s="18" t="inlineStr">
        <is>
          <t>Basic/Comfortable/Luxurious score 0.</t>
        </is>
      </c>
    </row>
    <row r="48">
      <c r="A48" s="26" t="inlineStr">
        <is>
          <t>ow Sports</t>
        </is>
      </c>
      <c r="B48" s="46">
        <f>IF(ISNUMBER(SEARCH("adventurous",B19)),4,IF(ISNUMBER(SEARCH("dont do sports",B19)),0,IF(ISNUMBER(SEARCH("life style",B19)),1,0)))</f>
        <v/>
      </c>
      <c r="C48" s="27" t="inlineStr">
        <is>
          <t>C · calculated</t>
        </is>
      </c>
      <c r="D48" s="18" t="inlineStr">
        <is>
          <t>Free-text sports.</t>
        </is>
      </c>
    </row>
    <row r="50">
      <c r="A50" s="16" t="inlineStr">
        <is>
          <t>C · RESULTS  —  raw Σ (factor × option), then min–max scale 0–10</t>
        </is>
      </c>
      <c r="B50" s="16" t="n"/>
      <c r="C50" s="16" t="n"/>
      <c r="D50" s="16" t="n"/>
    </row>
    <row r="51">
      <c r="A51" s="26" t="inlineStr">
        <is>
          <t>raw Life Protection</t>
        </is>
      </c>
      <c r="B51" s="49">
        <f>ROUND(SUMPRODUCT($B$34:$B$48,Assumptions!B$90:B$104),2)</f>
        <v/>
      </c>
      <c r="C51" s="27" t="inlineStr">
        <is>
          <t>C · calculated</t>
        </is>
      </c>
      <c r="D51" s="18" t="inlineStr">
        <is>
          <t>Need_profiler.json column Life Protection.</t>
        </is>
      </c>
    </row>
    <row r="52">
      <c r="A52" s="26" t="inlineStr">
        <is>
          <t>raw Critical Illness</t>
        </is>
      </c>
      <c r="B52" s="49">
        <f>ROUND(SUMPRODUCT($B$34:$B$48,Assumptions!C$90:C$104),2)</f>
        <v/>
      </c>
      <c r="C52" s="27" t="inlineStr">
        <is>
          <t>C · calculated</t>
        </is>
      </c>
      <c r="D52" s="18" t="inlineStr">
        <is>
          <t>Need_profiler.json column Critical Illness.</t>
        </is>
      </c>
    </row>
    <row r="53">
      <c r="A53" s="26" t="inlineStr">
        <is>
          <t>raw TPD</t>
        </is>
      </c>
      <c r="B53" s="49">
        <f>ROUND(SUMPRODUCT($B$34:$B$48,Assumptions!D$90:D$104),2)</f>
        <v/>
      </c>
      <c r="C53" s="27" t="inlineStr">
        <is>
          <t>C · calculated</t>
        </is>
      </c>
      <c r="D53" s="18" t="inlineStr">
        <is>
          <t>Need_profiler.json column Disability. Shown as TPD.</t>
        </is>
      </c>
    </row>
    <row r="54">
      <c r="A54" s="26" t="inlineStr">
        <is>
          <t>raw Retirement</t>
        </is>
      </c>
      <c r="B54" s="49">
        <f>ROUND(SUMPRODUCT($B$34:$B$48,Assumptions!E$90:E$104),2)</f>
        <v/>
      </c>
      <c r="C54" s="27" t="inlineStr">
        <is>
          <t>C · calculated</t>
        </is>
      </c>
      <c r="D54" s="18" t="inlineStr">
        <is>
          <t>Need_profiler.json column Retirement.</t>
        </is>
      </c>
    </row>
    <row r="55">
      <c r="A55" s="26" t="inlineStr">
        <is>
          <t>raw Education</t>
        </is>
      </c>
      <c r="B55" s="49">
        <f>ROUND(SUMPRODUCT($B$34:$B$48,Assumptions!F$90:F$104),2)</f>
        <v/>
      </c>
      <c r="C55" s="27" t="inlineStr">
        <is>
          <t>C · calculated</t>
        </is>
      </c>
      <c r="D55" s="18" t="inlineStr">
        <is>
          <t>Need_profiler.json column Education.</t>
        </is>
      </c>
    </row>
    <row r="56">
      <c r="A56" s="26" t="inlineStr">
        <is>
          <t>raw Hospitalization</t>
        </is>
      </c>
      <c r="B56" s="49">
        <f>ROUND(SUMPRODUCT($B$34:$B$48,Assumptions!G$90:G$104),2)</f>
        <v/>
      </c>
      <c r="C56" s="27" t="inlineStr">
        <is>
          <t>C · calculated</t>
        </is>
      </c>
      <c r="D56" s="18" t="inlineStr">
        <is>
          <t>Need_profiler.json column Hospitalization.</t>
        </is>
      </c>
    </row>
    <row r="57">
      <c r="A57" s="26" t="inlineStr">
        <is>
          <t>raw General Savings</t>
        </is>
      </c>
      <c r="B57" s="49">
        <f>ROUND(SUMPRODUCT($B$34:$B$48,Assumptions!H$90:H$104),2)</f>
        <v/>
      </c>
      <c r="C57" s="27" t="inlineStr">
        <is>
          <t>C · calculated</t>
        </is>
      </c>
      <c r="D57" s="18" t="inlineStr">
        <is>
          <t>Need_profiler.json column General Savings.</t>
        </is>
      </c>
    </row>
    <row r="58">
      <c r="A58" s="26" t="inlineStr">
        <is>
          <t>raw Personal Accident</t>
        </is>
      </c>
      <c r="B58" s="49">
        <f>ROUND(SUMPRODUCT($B$34:$B$48,Assumptions!I$90:I$104),2)</f>
        <v/>
      </c>
      <c r="C58" s="27" t="inlineStr">
        <is>
          <t>C · calculated</t>
        </is>
      </c>
      <c r="D58" s="18" t="inlineStr">
        <is>
          <t>Need_profiler.json column Personal Accident.</t>
        </is>
      </c>
    </row>
    <row r="59">
      <c r="A59" s="26" t="inlineStr">
        <is>
          <t>raw Car Protection</t>
        </is>
      </c>
      <c r="B59" s="49">
        <f>ROUND(SUMPRODUCT($B$34:$B$48,Assumptions!J$90:J$104),2)</f>
        <v/>
      </c>
      <c r="C59" s="27" t="inlineStr">
        <is>
          <t>C · calculated</t>
        </is>
      </c>
      <c r="D59" s="18" t="inlineStr">
        <is>
          <t>Need_profiler.json column Car Protection.</t>
        </is>
      </c>
    </row>
    <row r="60">
      <c r="A60" s="26" t="inlineStr">
        <is>
          <t>raw Home Protection</t>
        </is>
      </c>
      <c r="B60" s="49">
        <f>ROUND(SUMPRODUCT($B$34:$B$48,Assumptions!K$90:K$104),2)</f>
        <v/>
      </c>
      <c r="C60" s="27" t="inlineStr">
        <is>
          <t>C · calculated</t>
        </is>
      </c>
      <c r="D60" s="18" t="inlineStr">
        <is>
          <t>Need_profiler.json column Home Protection.</t>
        </is>
      </c>
    </row>
    <row r="61">
      <c r="A61" s="26" t="inlineStr">
        <is>
          <t>raw Travel Protection</t>
        </is>
      </c>
      <c r="B61" s="49">
        <f>ROUND(SUMPRODUCT($B$34:$B$48,Assumptions!L$90:L$104),2)</f>
        <v/>
      </c>
      <c r="C61" s="27" t="inlineStr">
        <is>
          <t>C · calculated</t>
        </is>
      </c>
      <c r="D61" s="18" t="inlineStr">
        <is>
          <t>Need_profiler.json column Travel Protection.</t>
        </is>
      </c>
    </row>
    <row r="62">
      <c r="A62" s="26" t="inlineStr">
        <is>
          <t>min raw</t>
        </is>
      </c>
      <c r="B62" s="49">
        <f>MIN(B51:B61)</f>
        <v/>
      </c>
      <c r="C62" s="27" t="inlineStr">
        <is>
          <t>C · calculated</t>
        </is>
      </c>
      <c r="D62" s="18" t="inlineStr">
        <is>
          <t>scale_scores min.</t>
        </is>
      </c>
    </row>
    <row r="63">
      <c r="A63" s="26" t="inlineStr">
        <is>
          <t>max raw</t>
        </is>
      </c>
      <c r="B63" s="49">
        <f>MAX(B51:B61)</f>
        <v/>
      </c>
      <c r="C63" s="27" t="inlineStr">
        <is>
          <t>C · calculated</t>
        </is>
      </c>
      <c r="D63" s="18" t="inlineStr">
        <is>
          <t>If max=min, divisor is forced to 1 so every scaled value is 0.</t>
        </is>
      </c>
    </row>
    <row r="64">
      <c r="A64" s="26" t="inlineStr">
        <is>
          <t>scaled Life Protection</t>
        </is>
      </c>
      <c r="B64" s="50">
        <f>ROUND(((B51-B62)/IF(B63&gt;B62,B63-B62,1))*10,1)</f>
        <v/>
      </c>
      <c r="C64" s="27" t="inlineStr">
        <is>
          <t>C · calculated</t>
        </is>
      </c>
      <c r="D64" s="18" t="inlineStr">
        <is>
          <t>0–10, 1 decimal.</t>
        </is>
      </c>
    </row>
    <row r="65">
      <c r="A65" s="26" t="inlineStr">
        <is>
          <t>scaled Critical Illness</t>
        </is>
      </c>
      <c r="B65" s="50">
        <f>ROUND(((B52-B62)/IF(B63&gt;B62,B63-B62,1))*10,1)</f>
        <v/>
      </c>
      <c r="C65" s="27" t="inlineStr">
        <is>
          <t>C · calculated</t>
        </is>
      </c>
      <c r="D65" s="18" t="inlineStr">
        <is>
          <t>0–10, 1 decimal.</t>
        </is>
      </c>
    </row>
    <row r="66">
      <c r="A66" s="26" t="inlineStr">
        <is>
          <t>scaled TPD</t>
        </is>
      </c>
      <c r="B66" s="50">
        <f>ROUND(((B53-B62)/IF(B63&gt;B62,B63-B62,1))*10,1)</f>
        <v/>
      </c>
      <c r="C66" s="27" t="inlineStr">
        <is>
          <t>C · calculated</t>
        </is>
      </c>
      <c r="D66" s="18" t="inlineStr">
        <is>
          <t>0–10, 1 decimal.</t>
        </is>
      </c>
    </row>
    <row r="67">
      <c r="A67" s="26" t="inlineStr">
        <is>
          <t>scaled Retirement</t>
        </is>
      </c>
      <c r="B67" s="50">
        <f>ROUND(((B54-B62)/IF(B63&gt;B62,B63-B62,1))*10,1)</f>
        <v/>
      </c>
      <c r="C67" s="27" t="inlineStr">
        <is>
          <t>C · calculated</t>
        </is>
      </c>
      <c r="D67" s="18" t="inlineStr">
        <is>
          <t>0–10, 1 decimal.</t>
        </is>
      </c>
    </row>
    <row r="68">
      <c r="A68" s="26" t="inlineStr">
        <is>
          <t>scaled Education</t>
        </is>
      </c>
      <c r="B68" s="50">
        <f>ROUND(((B55-B62)/IF(B63&gt;B62,B63-B62,1))*10,1)</f>
        <v/>
      </c>
      <c r="C68" s="27" t="inlineStr">
        <is>
          <t>C · calculated</t>
        </is>
      </c>
      <c r="D68" s="18" t="inlineStr">
        <is>
          <t>0–10, 1 decimal.</t>
        </is>
      </c>
    </row>
    <row r="69">
      <c r="A69" s="26" t="inlineStr">
        <is>
          <t>scaled Hospitalization</t>
        </is>
      </c>
      <c r="B69" s="50">
        <f>ROUND(((B56-B62)/IF(B63&gt;B62,B63-B62,1))*10,1)</f>
        <v/>
      </c>
      <c r="C69" s="27" t="inlineStr">
        <is>
          <t>C · calculated</t>
        </is>
      </c>
      <c r="D69" s="18" t="inlineStr">
        <is>
          <t>0–10, 1 decimal.</t>
        </is>
      </c>
    </row>
    <row r="70">
      <c r="A70" s="26" t="inlineStr">
        <is>
          <t>scaled General Savings</t>
        </is>
      </c>
      <c r="B70" s="50">
        <f>ROUND(((B57-B62)/IF(B63&gt;B62,B63-B62,1))*10,1)</f>
        <v/>
      </c>
      <c r="C70" s="27" t="inlineStr">
        <is>
          <t>C · calculated</t>
        </is>
      </c>
      <c r="D70" s="18" t="inlineStr">
        <is>
          <t>0–10, 1 decimal.</t>
        </is>
      </c>
    </row>
    <row r="71">
      <c r="A71" s="26" t="inlineStr">
        <is>
          <t>scaled Personal Accident</t>
        </is>
      </c>
      <c r="B71" s="50">
        <f>ROUND(((B58-B62)/IF(B63&gt;B62,B63-B62,1))*10,1)</f>
        <v/>
      </c>
      <c r="C71" s="27" t="inlineStr">
        <is>
          <t>C · calculated</t>
        </is>
      </c>
      <c r="D71" s="18" t="inlineStr">
        <is>
          <t>0–10, 1 decimal.</t>
        </is>
      </c>
    </row>
    <row r="72">
      <c r="A72" s="26" t="inlineStr">
        <is>
          <t>scaled Car Protection</t>
        </is>
      </c>
      <c r="B72" s="50">
        <f>ROUND(((B59-B62)/IF(B63&gt;B62,B63-B62,1))*10,1)</f>
        <v/>
      </c>
      <c r="C72" s="27" t="inlineStr">
        <is>
          <t>C · calculated</t>
        </is>
      </c>
      <c r="D72" s="18" t="inlineStr">
        <is>
          <t>0–10, 1 decimal.</t>
        </is>
      </c>
    </row>
    <row r="73">
      <c r="A73" s="26" t="inlineStr">
        <is>
          <t>scaled Home Protection</t>
        </is>
      </c>
      <c r="B73" s="50">
        <f>ROUND(((B60-B62)/IF(B63&gt;B62,B63-B62,1))*10,1)</f>
        <v/>
      </c>
      <c r="C73" s="27" t="inlineStr">
        <is>
          <t>C · calculated</t>
        </is>
      </c>
      <c r="D73" s="18" t="inlineStr">
        <is>
          <t>0–10, 1 decimal.</t>
        </is>
      </c>
    </row>
    <row r="74">
      <c r="A74" s="26" t="inlineStr">
        <is>
          <t>scaled Travel Protection</t>
        </is>
      </c>
      <c r="B74" s="50">
        <f>ROUND(((B61-B62)/IF(B63&gt;B62,B63-B62,1))*10,1)</f>
        <v/>
      </c>
      <c r="C74" s="27" t="inlineStr">
        <is>
          <t>C · calculated</t>
        </is>
      </c>
      <c r="D74" s="18" t="inlineStr">
        <is>
          <t>0–10, 1 decimal.</t>
        </is>
      </c>
    </row>
    <row r="76">
      <c r="A76" s="26" t="inlineStr">
        <is>
          <t>tb N_INC</t>
        </is>
      </c>
      <c r="B76" s="51">
        <f>B64+0.005</f>
        <v/>
      </c>
      <c r="C76" s="27" t="inlineStr">
        <is>
          <t>C · calculated</t>
        </is>
      </c>
      <c r="D76" s="18" t="inlineStr">
        <is>
          <t>Tie-break bonus. Life Protection first in label order.</t>
        </is>
      </c>
    </row>
    <row r="77">
      <c r="A77" s="26" t="inlineStr">
        <is>
          <t>tb N_CRI</t>
        </is>
      </c>
      <c r="B77" s="51">
        <f>B65+0.004</f>
        <v/>
      </c>
      <c r="C77" s="27" t="inlineStr">
        <is>
          <t>C · calculated</t>
        </is>
      </c>
      <c r="D77" s="18" t="inlineStr">
        <is>
          <t>Tie-break bonus. Critical Illness second.</t>
        </is>
      </c>
    </row>
    <row r="78">
      <c r="A78" s="26" t="inlineStr">
        <is>
          <t>tb N_TPD</t>
        </is>
      </c>
      <c r="B78" s="51">
        <f>B66+0.003</f>
        <v/>
      </c>
      <c r="C78" s="27" t="inlineStr">
        <is>
          <t>C · calculated</t>
        </is>
      </c>
      <c r="D78" s="18" t="inlineStr">
        <is>
          <t>Tie-break bonus. TPD third.</t>
        </is>
      </c>
    </row>
    <row r="79">
      <c r="A79" s="26" t="inlineStr">
        <is>
          <t>tb N_HOS</t>
        </is>
      </c>
      <c r="B79" s="51">
        <f>B69+0.002</f>
        <v/>
      </c>
      <c r="C79" s="27" t="inlineStr">
        <is>
          <t>C · calculated</t>
        </is>
      </c>
      <c r="D79" s="18" t="inlineStr">
        <is>
          <t>Tie-break bonus. Hospitalization fourth.</t>
        </is>
      </c>
    </row>
    <row r="80">
      <c r="A80" s="26" t="inlineStr">
        <is>
          <t>tb N_PAC</t>
        </is>
      </c>
      <c r="B80" s="51">
        <f>B71+0.001</f>
        <v/>
      </c>
      <c r="C80" s="27" t="inlineStr">
        <is>
          <t>C · calculated</t>
        </is>
      </c>
      <c r="D80" s="18" t="inlineStr">
        <is>
          <t>Tie-break bonus. Personal Accident last (V0-16).</t>
        </is>
      </c>
    </row>
    <row r="81">
      <c r="A81" s="26" t="inlineStr">
        <is>
          <t>prot1</t>
        </is>
      </c>
      <c r="B81" s="27">
        <f>IF(B76=MAX(B76,B77,B78,B79,B80),"N_INC",IF(B77=MAX(B76,B77,B78,B79,B80),"N_CRI",IF(B78=MAX(B76,B77,B78,B79,B80),"N_TPD",IF(B79=MAX(B76,B77,B78,B79,B80),"N_HOS","N_PAC"))))</f>
        <v/>
      </c>
      <c r="C81" s="27" t="inlineStr">
        <is>
          <t>C · calculated</t>
        </is>
      </c>
      <c r="D81" s="18" t="inlineStr">
        <is>
          <t>Highest protection score after the order bonus.</t>
        </is>
      </c>
    </row>
    <row r="82">
      <c r="A82" s="26" t="inlineStr">
        <is>
          <t>tb2 N_INC</t>
        </is>
      </c>
      <c r="B82" s="51">
        <f>IF(B81="N_INC",-1,B64+0.005)</f>
        <v/>
      </c>
      <c r="C82" s="27" t="inlineStr">
        <is>
          <t>C · calculated</t>
        </is>
      </c>
      <c r="D82" s="18" t="inlineStr">
        <is>
          <t>Winner of prot1 is excluded.</t>
        </is>
      </c>
    </row>
    <row r="83">
      <c r="A83" s="26" t="inlineStr">
        <is>
          <t>tb2 N_CRI</t>
        </is>
      </c>
      <c r="B83" s="51">
        <f>IF(B81="N_CRI",-1,B65+0.004)</f>
        <v/>
      </c>
      <c r="C83" s="27" t="inlineStr">
        <is>
          <t>C · calculated</t>
        </is>
      </c>
      <c r="D83" s="18" t="inlineStr">
        <is>
          <t>Winner of prot1 is excluded.</t>
        </is>
      </c>
    </row>
    <row r="84">
      <c r="A84" s="26" t="inlineStr">
        <is>
          <t>tb2 N_TPD</t>
        </is>
      </c>
      <c r="B84" s="51">
        <f>IF(B81="N_TPD",-1,B66+0.003)</f>
        <v/>
      </c>
      <c r="C84" s="27" t="inlineStr">
        <is>
          <t>C · calculated</t>
        </is>
      </c>
      <c r="D84" s="18" t="inlineStr">
        <is>
          <t>Winner of prot1 is excluded.</t>
        </is>
      </c>
    </row>
    <row r="85">
      <c r="A85" s="26" t="inlineStr">
        <is>
          <t>tb2 N_HOS</t>
        </is>
      </c>
      <c r="B85" s="51">
        <f>IF(B81="N_HOS",-1,B69+0.002)</f>
        <v/>
      </c>
      <c r="C85" s="27" t="inlineStr">
        <is>
          <t>C · calculated</t>
        </is>
      </c>
      <c r="D85" s="18" t="inlineStr">
        <is>
          <t>Winner of prot1 is excluded.</t>
        </is>
      </c>
    </row>
    <row r="86">
      <c r="A86" s="26" t="inlineStr">
        <is>
          <t>tb2 N_PAC</t>
        </is>
      </c>
      <c r="B86" s="51">
        <f>IF(B81="N_PAC",-1,B71+0.001)</f>
        <v/>
      </c>
      <c r="C86" s="27" t="inlineStr">
        <is>
          <t>C · calculated</t>
        </is>
      </c>
      <c r="D86" s="18" t="inlineStr">
        <is>
          <t>Winner of prot1 is excluded.</t>
        </is>
      </c>
    </row>
    <row r="87">
      <c r="A87" s="26" t="inlineStr">
        <is>
          <t>prot2</t>
        </is>
      </c>
      <c r="B87" s="27">
        <f>IF(B82=MAX(B82,B83,B84,B85,B86),"N_INC",IF(B83=MAX(B82,B83,B84,B85,B86),"N_CRI",IF(B84=MAX(B82,B83,B84,B85,B86),"N_TPD",IF(B85=MAX(B82,B83,B84,B85,B86),"N_HOS","N_PAC"))))</f>
        <v/>
      </c>
      <c r="C87" s="27" t="inlineStr">
        <is>
          <t>C · calculated</t>
        </is>
      </c>
      <c r="D87" s="18" t="inlineStr">
        <is>
          <t>Second protection.</t>
        </is>
      </c>
    </row>
    <row r="88">
      <c r="A88" s="26" t="inlineStr">
        <is>
          <t>tb N_EDU</t>
        </is>
      </c>
      <c r="B88" s="51">
        <f>B68+0.002</f>
        <v/>
      </c>
      <c r="C88" s="27" t="inlineStr">
        <is>
          <t>C · calculated</t>
        </is>
      </c>
      <c r="D88" s="18" t="inlineStr">
        <is>
          <t>Education first on a tie.</t>
        </is>
      </c>
    </row>
    <row r="89">
      <c r="A89" s="26" t="inlineStr">
        <is>
          <t>tb N_SAV</t>
        </is>
      </c>
      <c r="B89" s="51">
        <f>B70+0.001</f>
        <v/>
      </c>
      <c r="C89" s="27" t="inlineStr">
        <is>
          <t>C · calculated</t>
        </is>
      </c>
      <c r="D89" s="18" t="inlineStr">
        <is>
          <t>General Savings second.</t>
        </is>
      </c>
    </row>
    <row r="90">
      <c r="A90" s="26" t="inlineStr">
        <is>
          <t>grow2</t>
        </is>
      </c>
      <c r="B90" s="27">
        <f>IF(B88&gt;=B89,"N_EDU","N_SAV")</f>
        <v/>
      </c>
      <c r="C90" s="27" t="inlineStr">
        <is>
          <t>C · calculated</t>
        </is>
      </c>
      <c r="D90" s="18" t="inlineStr">
        <is>
          <t>Second growth after forced N_RET. V0-16: N_EDU vs N_SAV only; no home-ownership swap; N_PRP never auto-picked.</t>
        </is>
      </c>
    </row>
    <row r="92">
      <c r="A92" s="16" t="inlineStr">
        <is>
          <t>C · RESULTS  —  nine calculator needs, then three parked coverage needs (scored, no calculator)</t>
        </is>
      </c>
      <c r="B92" s="16" t="n"/>
      <c r="C92" s="16" t="n"/>
      <c r="D92" s="16" t="n"/>
    </row>
    <row r="93">
      <c r="A93" s="3" t="inlineStr">
        <is>
          <t>type</t>
        </is>
      </c>
      <c r="B93" s="16" t="inlineStr">
        <is>
          <t>calc on</t>
        </is>
      </c>
      <c r="C93" s="21" t="inlineStr">
        <is>
          <t>Enable?</t>
        </is>
      </c>
      <c r="D93" s="16" t="inlineStr">
        <is>
          <t>on (effective)</t>
        </is>
      </c>
      <c r="E93" s="16" t="inlineStr">
        <is>
          <t>priority</t>
        </is>
      </c>
      <c r="F93" s="16" t="inlineStr">
        <is>
          <t>scaled score</t>
        </is>
      </c>
    </row>
    <row r="94">
      <c r="A94" s="16" t="inlineStr">
        <is>
          <t>N_INC</t>
        </is>
      </c>
      <c r="B94" s="27">
        <f>OR($B$81="N_INC",$B$87="N_INC")</f>
        <v/>
      </c>
      <c r="C94" s="42" t="inlineStr"/>
      <c r="D94" s="27">
        <f>IF(C94="",B94,C94)</f>
        <v/>
      </c>
      <c r="E94" s="27">
        <f>IF(B64&gt;7,5,3)</f>
        <v/>
      </c>
      <c r="F94" s="50">
        <f>B64</f>
        <v/>
      </c>
    </row>
    <row r="95">
      <c r="A95" s="16" t="inlineStr">
        <is>
          <t>N_CRI</t>
        </is>
      </c>
      <c r="B95" s="27">
        <f>OR($B$81="N_CRI",$B$87="N_CRI")</f>
        <v/>
      </c>
      <c r="C95" s="42" t="inlineStr"/>
      <c r="D95" s="27">
        <f>IF(C95="",B95,C95)</f>
        <v/>
      </c>
      <c r="E95" s="27">
        <f>IF(B65&gt;7,5,3)</f>
        <v/>
      </c>
      <c r="F95" s="50">
        <f>B65</f>
        <v/>
      </c>
    </row>
    <row r="96">
      <c r="A96" s="16" t="inlineStr">
        <is>
          <t>N_TPD</t>
        </is>
      </c>
      <c r="B96" s="27">
        <f>OR($B$81="N_TPD",$B$87="N_TPD")</f>
        <v/>
      </c>
      <c r="C96" s="42" t="inlineStr"/>
      <c r="D96" s="27">
        <f>IF(C96="",B96,C96)</f>
        <v/>
      </c>
      <c r="E96" s="27">
        <f>IF(B66&gt;7,5,3)</f>
        <v/>
      </c>
      <c r="F96" s="50">
        <f>B66</f>
        <v/>
      </c>
    </row>
    <row r="97">
      <c r="A97" s="16" t="inlineStr">
        <is>
          <t>N_HOS</t>
        </is>
      </c>
      <c r="B97" s="27">
        <f>OR($B$81="N_HOS",$B$87="N_HOS")</f>
        <v/>
      </c>
      <c r="C97" s="42" t="inlineStr"/>
      <c r="D97" s="27">
        <f>IF(C97="",B97,C97)</f>
        <v/>
      </c>
      <c r="E97" s="27">
        <f>IF(B69&gt;7,5,3)</f>
        <v/>
      </c>
      <c r="F97" s="50">
        <f>B69</f>
        <v/>
      </c>
    </row>
    <row r="98">
      <c r="A98" s="16" t="inlineStr">
        <is>
          <t>N_PAC</t>
        </is>
      </c>
      <c r="B98" s="27">
        <f>OR($B$81="N_PAC",$B$87="N_PAC")</f>
        <v/>
      </c>
      <c r="C98" s="42" t="inlineStr"/>
      <c r="D98" s="27">
        <f>IF(C98="",B98,C98)</f>
        <v/>
      </c>
      <c r="E98" s="27">
        <f>IF(B71&gt;7,5,3)</f>
        <v/>
      </c>
      <c r="F98" s="50">
        <f>B71</f>
        <v/>
      </c>
    </row>
    <row r="99">
      <c r="A99" s="16" t="inlineStr">
        <is>
          <t>N_LTC</t>
        </is>
      </c>
      <c r="B99" s="27">
        <f>FALSE()</f>
        <v/>
      </c>
      <c r="C99" s="42" t="inlineStr"/>
      <c r="D99" s="27">
        <f>IF(C99="",B99,C99)</f>
        <v/>
      </c>
      <c r="E99" s="27" t="n">
        <v>3</v>
      </c>
      <c r="F99" s="50" t="inlineStr">
        <is>
          <t>no label</t>
        </is>
      </c>
    </row>
    <row r="100">
      <c r="A100" s="16" t="inlineStr">
        <is>
          <t>N_RET</t>
        </is>
      </c>
      <c r="B100" s="27">
        <f>TRUE()</f>
        <v/>
      </c>
      <c r="C100" s="42" t="inlineStr"/>
      <c r="D100" s="27">
        <f>IF(C100="",B100,C100)</f>
        <v/>
      </c>
      <c r="E100" s="27">
        <f>IF(B67&gt;7,5,3)</f>
        <v/>
      </c>
      <c r="F100" s="50">
        <f>B67</f>
        <v/>
      </c>
    </row>
    <row r="101">
      <c r="A101" s="16" t="inlineStr">
        <is>
          <t>N_EDU</t>
        </is>
      </c>
      <c r="B101" s="27">
        <f>$B$90="N_EDU"</f>
        <v/>
      </c>
      <c r="C101" s="42" t="inlineStr"/>
      <c r="D101" s="27">
        <f>IF(C101="",B101,C101)</f>
        <v/>
      </c>
      <c r="E101" s="27">
        <f>IF(B68&gt;7,5,3)</f>
        <v/>
      </c>
      <c r="F101" s="50">
        <f>B68</f>
        <v/>
      </c>
    </row>
    <row r="102">
      <c r="A102" s="16" t="inlineStr">
        <is>
          <t>N_SAV</t>
        </is>
      </c>
      <c r="B102" s="27">
        <f>$B$90="N_SAV"</f>
        <v/>
      </c>
      <c r="C102" s="42" t="inlineStr"/>
      <c r="D102" s="27">
        <f>IF(C102="",B102,C102)</f>
        <v/>
      </c>
      <c r="E102" s="27">
        <f>IF(B70&gt;7,5,3)</f>
        <v/>
      </c>
      <c r="F102" s="50">
        <f>B70</f>
        <v/>
      </c>
    </row>
    <row r="103">
      <c r="A103" s="16" t="inlineStr">
        <is>
          <t>N_PRP</t>
        </is>
      </c>
      <c r="B103" s="27">
        <f>FALSE()</f>
        <v/>
      </c>
      <c r="C103" s="42" t="inlineStr"/>
      <c r="D103" s="27">
        <f>IF(C103="",B103,C103)</f>
        <v/>
      </c>
      <c r="E103" s="27" t="n">
        <v>3</v>
      </c>
      <c r="F103" s="50" t="inlineStr">
        <is>
          <t>no label</t>
        </is>
      </c>
    </row>
    <row r="104">
      <c r="A104" s="19" t="inlineStr">
        <is>
          <t>N_HOM</t>
        </is>
      </c>
      <c r="B104" s="52" t="inlineStr">
        <is>
          <t>parked</t>
        </is>
      </c>
      <c r="C104" s="52" t="inlineStr"/>
      <c r="D104" s="52" t="inlineStr">
        <is>
          <t>coverage need</t>
        </is>
      </c>
      <c r="E104" s="27">
        <f>IF(B73&gt;7,5,3)</f>
        <v/>
      </c>
      <c r="F104" s="50">
        <f>B73</f>
        <v/>
      </c>
    </row>
    <row r="105">
      <c r="A105" s="19" t="inlineStr">
        <is>
          <t>N_CAR</t>
        </is>
      </c>
      <c r="B105" s="52" t="inlineStr">
        <is>
          <t>parked</t>
        </is>
      </c>
      <c r="C105" s="52" t="inlineStr"/>
      <c r="D105" s="52" t="inlineStr">
        <is>
          <t>coverage need</t>
        </is>
      </c>
      <c r="E105" s="27">
        <f>IF(B72&gt;7,5,3)</f>
        <v/>
      </c>
      <c r="F105" s="50">
        <f>B72</f>
        <v/>
      </c>
    </row>
    <row r="106">
      <c r="A106" s="19" t="inlineStr">
        <is>
          <t>N_TRV</t>
        </is>
      </c>
      <c r="B106" s="52" t="inlineStr">
        <is>
          <t>parked</t>
        </is>
      </c>
      <c r="C106" s="52" t="inlineStr"/>
      <c r="D106" s="52" t="inlineStr">
        <is>
          <t>coverage need</t>
        </is>
      </c>
      <c r="E106" s="27">
        <f>IF(B74&gt;7,5,3)</f>
        <v/>
      </c>
      <c r="F106" s="50">
        <f>B74</f>
        <v/>
      </c>
    </row>
    <row r="107">
      <c r="A107" s="2" t="inlineStr">
        <is>
          <t>N_PRP (home purchase) and N_LTC (long-term care) are never switched on by the profiler: no label. Enable? = TRUE switches them on.</t>
        </is>
      </c>
    </row>
  </sheetData>
  <mergeCells count="7">
    <mergeCell ref="A1:D1"/>
    <mergeCell ref="A22:D22"/>
    <mergeCell ref="A50:D50"/>
    <mergeCell ref="A4:D4"/>
    <mergeCell ref="A92:D92"/>
    <mergeCell ref="A29:D29"/>
    <mergeCell ref="A14:D14"/>
  </mergeCells>
  <dataValidations count="1">
    <dataValidation sqref="C94:C103"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tabColor rgb="00C45C26"/>
    <outlinePr summaryBelow="1" summaryRight="1"/>
    <pageSetUpPr/>
  </sheetPr>
  <dimension ref="A1:J9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16" customWidth="1" min="6" max="6"/>
    <col width="56" customWidth="1" min="7" max="7"/>
    <col width="16" customWidth="1" min="8" max="8"/>
    <col width="16" customWidth="1" min="9" max="9"/>
    <col width="16" customWidth="1" min="10" max="10"/>
  </cols>
  <sheetData>
    <row r="1" ht="28" customHeight="1">
      <c r="A1" s="1" t="inlineStr">
        <is>
          <t>Need Calculator — selected persona. Runs in USD (S-block), results back in user currency. Orange cells are goal-card sliders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Personas, People Like You, and Need Profiler</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t>
        </is>
      </c>
      <c r="F5" s="19" t="inlineStr">
        <is>
          <t>D · ASSUMPTIONS / SHARED DATA</t>
        </is>
      </c>
    </row>
    <row r="6">
      <c r="A6" s="17" t="inlineStr">
        <is>
          <t>incomeMonthly (from PLU)</t>
        </is>
      </c>
      <c r="B6" s="37">
        <f>PLU_incomeMonthly</f>
        <v/>
      </c>
      <c r="C6" s="13" t="inlineStr">
        <is>
          <t>A · input</t>
        </is>
      </c>
      <c r="D6" s="18" t="inlineStr">
        <is>
          <t>Clamped gross monthly.</t>
        </is>
      </c>
      <c r="F6" s="21" t="inlineStr">
        <is>
          <t>E · USER / FRONTEND OVERRIDE</t>
        </is>
      </c>
    </row>
    <row r="7">
      <c r="A7" s="17" t="inlineStr">
        <is>
          <t>expenseMonthly (from PLU)</t>
        </is>
      </c>
      <c r="B7" s="37">
        <f>PLU_expenseMonthly</f>
        <v/>
      </c>
      <c r="C7" s="13" t="inlineStr">
        <is>
          <t>A · input</t>
        </is>
      </c>
      <c r="D7" s="18" t="inlineStr">
        <is>
          <t>Annual spend = this × 12.</t>
        </is>
      </c>
    </row>
    <row r="8">
      <c r="A8" s="17" t="inlineStr">
        <is>
          <t>mortgage (from PLU)</t>
        </is>
      </c>
      <c r="B8" s="47">
        <f>PLU_mortgage</f>
        <v/>
      </c>
      <c r="C8" s="13" t="inlineStr">
        <is>
          <t>A · input</t>
        </is>
      </c>
      <c r="D8" s="18" t="inlineStr">
        <is>
          <t>Added to N_INC amount.</t>
        </is>
      </c>
    </row>
    <row r="9">
      <c r="A9" s="17" t="inlineStr">
        <is>
          <t>life sum (from PLU)</t>
        </is>
      </c>
      <c r="B9" s="47">
        <f>PLU_lifeSum</f>
        <v/>
      </c>
      <c r="C9" s="13" t="inlineStr">
        <is>
          <t>A · input</t>
        </is>
      </c>
      <c r="D9" s="18" t="inlineStr">
        <is>
          <t>N_INC have.</t>
        </is>
      </c>
    </row>
    <row r="10">
      <c r="A10" s="17" t="inlineStr">
        <is>
          <t>investments (from PLU)</t>
        </is>
      </c>
      <c r="B10" s="47">
        <f>PLU_investments</f>
        <v/>
      </c>
      <c r="C10" s="13" t="inlineStr">
        <is>
          <t>A · input</t>
        </is>
      </c>
      <c r="D10" s="18" t="inlineStr">
        <is>
          <t>Tagged wealth pot only. Cash is never allocated.</t>
        </is>
      </c>
    </row>
    <row r="11">
      <c r="A11" s="17" t="inlineStr">
        <is>
          <t>lifeExpectancy used (from PLU)</t>
        </is>
      </c>
      <c r="B11" s="20">
        <f>PLU_leUsed</f>
        <v/>
      </c>
      <c r="C11" s="13" t="inlineStr">
        <is>
          <t>A · input</t>
        </is>
      </c>
      <c r="D11" s="18" t="inlineStr">
        <is>
          <t>yearsInRet = max(0, LE − retAge).</t>
        </is>
      </c>
    </row>
    <row r="13">
      <c r="A13" s="21" t="inlineStr">
        <is>
          <t>O · GOAL-CARD SLIDERS / OVERRIDES  —  orange. Blank years keep the age rule</t>
        </is>
      </c>
      <c r="B13" s="21" t="n"/>
      <c r="C13" s="21" t="n"/>
      <c r="D13" s="21" t="n"/>
    </row>
    <row r="14">
      <c r="A14" s="41" t="inlineStr">
        <is>
          <t>lifestyle (1/2/3)</t>
        </is>
      </c>
      <c r="B14" s="53" t="n">
        <v>2</v>
      </c>
      <c r="C14" s="42" t="inlineStr">
        <is>
          <t>E · user / frontend override</t>
        </is>
      </c>
      <c r="D14" s="18" t="inlineStr">
        <is>
          <t>1=frugal, 2=stress-free, 3=only the best. Default 2.</t>
        </is>
      </c>
    </row>
    <row r="15">
      <c r="A15" s="41" t="inlineStr">
        <is>
          <t>retAge</t>
        </is>
      </c>
      <c r="B15" s="53">
        <f>ageOfRetirement</f>
        <v/>
      </c>
      <c r="C15" s="42" t="inlineStr">
        <is>
          <t>E · user / frontend override</t>
        </is>
      </c>
      <c r="D15" s="18" t="inlineStr">
        <is>
          <t>Default from Assumptions (65).</t>
        </is>
      </c>
    </row>
    <row r="16">
      <c r="A16" s="41" t="inlineStr">
        <is>
          <t>targetYear</t>
        </is>
      </c>
      <c r="B16" s="53">
        <f>currentYear+EDU_YEARS_DEFAULT</f>
        <v/>
      </c>
      <c r="C16" s="42" t="inlineStr">
        <is>
          <t>E · user / frontend override</t>
        </is>
      </c>
      <c r="D16" s="18" t="inlineStr">
        <is>
          <t>Education horizon year.</t>
        </is>
      </c>
    </row>
    <row r="17">
      <c r="A17" s="41" t="inlineStr">
        <is>
          <t>bequest</t>
        </is>
      </c>
      <c r="B17" s="32" t="n">
        <v>0</v>
      </c>
      <c r="C17" s="42" t="inlineStr">
        <is>
          <t>E · user / frontend override</t>
        </is>
      </c>
      <c r="D17" s="18" t="inlineStr">
        <is>
          <t>Added to N_INC amount.</t>
        </is>
      </c>
    </row>
    <row r="18">
      <c r="A18" s="41" t="inlineStr">
        <is>
          <t>dependYears (blank = age rule)</t>
        </is>
      </c>
      <c r="B18" s="42" t="inlineStr"/>
      <c r="C18" s="42" t="inlineStr">
        <is>
          <t>E · user / frontend override</t>
        </is>
      </c>
      <c r="D18" s="18" t="inlineStr">
        <is>
          <t>Blank or ≤0 → supportYears.</t>
        </is>
      </c>
    </row>
    <row r="19">
      <c r="A19" s="41" t="inlineStr">
        <is>
          <t>incomeReplace (blank = income)</t>
        </is>
      </c>
      <c r="B19" s="32" t="inlineStr"/>
      <c r="C19" s="42" t="inlineStr">
        <is>
          <t>E · user / frontend override</t>
        </is>
      </c>
      <c r="D19" s="18" t="inlineStr">
        <is>
          <t>Blank → incomeMonthly for CI / TPD.</t>
        </is>
      </c>
    </row>
    <row r="20">
      <c r="A20" s="41" t="inlineStr">
        <is>
          <t>N_SAV stored</t>
        </is>
      </c>
      <c r="B20" s="32" t="n">
        <v>0</v>
      </c>
      <c r="C20" s="42" t="inlineStr">
        <is>
          <t>E · user / frontend override</t>
        </is>
      </c>
      <c r="D20" s="18" t="inlineStr">
        <is>
          <t>If &gt; 0, this is N_SAV amount; else 1× annual income.</t>
        </is>
      </c>
    </row>
    <row r="21">
      <c r="A21" s="41" t="inlineStr">
        <is>
          <t>N_PRP stored</t>
        </is>
      </c>
      <c r="B21" s="32" t="n">
        <v>0</v>
      </c>
      <c r="C21" s="42" t="inlineStr">
        <is>
          <t>E · user / frontend override</t>
        </is>
      </c>
      <c r="D21" s="18" t="inlineStr">
        <is>
          <t>If &gt; 0, this is N_PRP amount; else 5× annual income.</t>
        </is>
      </c>
    </row>
    <row r="22">
      <c r="A22" s="41" t="inlineStr">
        <is>
          <t>tag N_RET</t>
        </is>
      </c>
      <c r="B22" s="32" t="n">
        <v>0</v>
      </c>
      <c r="C22" s="42" t="inlineStr">
        <is>
          <t>E · user / frontend override</t>
        </is>
      </c>
      <c r="D22" s="18" t="inlineStr">
        <is>
          <t>Investments tagged to retirement, then grown at realReturn.</t>
        </is>
      </c>
    </row>
    <row r="23">
      <c r="A23" s="41" t="inlineStr">
        <is>
          <t>tag N_EDU</t>
        </is>
      </c>
      <c r="B23" s="32" t="n">
        <v>0</v>
      </c>
      <c r="C23" s="42" t="inlineStr">
        <is>
          <t>E · user / frontend override</t>
        </is>
      </c>
      <c r="D23" s="18" t="inlineStr">
        <is>
          <t>apply_investment_pot walk order: RET, EDU, SAV, PRP.</t>
        </is>
      </c>
    </row>
    <row r="24">
      <c r="A24" s="41" t="inlineStr">
        <is>
          <t>tag N_SAV</t>
        </is>
      </c>
      <c r="B24" s="32" t="n">
        <v>0</v>
      </c>
      <c r="C24" s="42" t="inlineStr">
        <is>
          <t>E · user / frontend override</t>
        </is>
      </c>
      <c r="D24" s="18" t="inlineStr">
        <is>
          <t>Takes from remaining investments after RET and EDU.</t>
        </is>
      </c>
    </row>
    <row r="25">
      <c r="A25" s="41" t="inlineStr">
        <is>
          <t>tag N_PRP</t>
        </is>
      </c>
      <c r="B25" s="32" t="n">
        <v>0</v>
      </c>
      <c r="C25" s="42" t="inlineStr">
        <is>
          <t>E · user / frontend override</t>
        </is>
      </c>
      <c r="D25" s="18" t="inlineStr">
        <is>
          <t>Last in the walk.</t>
        </is>
      </c>
    </row>
    <row r="26">
      <c r="A26" s="41" t="inlineStr">
        <is>
          <t>LTC start age</t>
        </is>
      </c>
      <c r="B26" s="53">
        <f>LTC_START_AGE</f>
        <v/>
      </c>
      <c r="C26" s="42" t="inlineStr">
        <is>
          <t>E · user / frontend override</t>
        </is>
      </c>
      <c r="D26" s="18" t="inlineStr">
        <is>
          <t>N_LTC front-end input. Default LTC_START_AGE (80).</t>
        </is>
      </c>
    </row>
    <row r="28">
      <c r="A28" s="15" t="inlineStr">
        <is>
          <t>S · SYSTEM CURRENCY (USD)  —  user-currency inputs × USD per 1. The calculator below runs on these</t>
        </is>
      </c>
      <c r="B28" s="15" t="n"/>
      <c r="C28" s="15" t="n"/>
      <c r="D28" s="15" t="n"/>
    </row>
    <row r="29">
      <c r="A29" s="38" t="inlineStr">
        <is>
          <t>USD per 1 user-currency unit</t>
        </is>
      </c>
      <c r="B29" s="48">
        <f>FX_usdPerLocal</f>
        <v/>
      </c>
      <c r="C29" s="36" t="inlineStr">
        <is>
          <t>D · assumption / shared</t>
        </is>
      </c>
      <c r="D29" s="18" t="inlineStr">
        <is>
          <t>FX tab. #N/A if the currency is unknown.</t>
        </is>
      </c>
    </row>
    <row r="30">
      <c r="A30" s="38" t="inlineStr">
        <is>
          <t>price level (option B)</t>
        </is>
      </c>
      <c r="B30" s="54">
        <f>FX_priceLevel</f>
        <v/>
      </c>
      <c r="C30" s="36" t="inlineStr">
        <is>
          <t>D · assumption / shared</t>
        </is>
      </c>
      <c r="D30" s="18" t="inlineStr">
        <is>
          <t>1 under option A. Scales the USD fixed amounts.</t>
        </is>
      </c>
    </row>
    <row r="31">
      <c r="A31" s="26" t="inlineStr">
        <is>
          <t>incomeMonthly USD</t>
        </is>
      </c>
      <c r="B31" s="28">
        <f>PLU_incomeMonthly*B29</f>
        <v/>
      </c>
      <c r="C31" s="27" t="inlineStr">
        <is>
          <t>C · calculated</t>
        </is>
      </c>
      <c r="D31" s="18" t="inlineStr"/>
    </row>
    <row r="32">
      <c r="A32" s="26" t="inlineStr">
        <is>
          <t>expenseMonthly USD</t>
        </is>
      </c>
      <c r="B32" s="28">
        <f>PLU_expenseMonthly*B29</f>
        <v/>
      </c>
      <c r="C32" s="27" t="inlineStr">
        <is>
          <t>C · calculated</t>
        </is>
      </c>
      <c r="D32" s="18" t="inlineStr"/>
    </row>
    <row r="33">
      <c r="A33" s="26" t="inlineStr">
        <is>
          <t>mortgage USD</t>
        </is>
      </c>
      <c r="B33" s="28">
        <f>PLU_mortgage*B29</f>
        <v/>
      </c>
      <c r="C33" s="27" t="inlineStr">
        <is>
          <t>C · calculated</t>
        </is>
      </c>
      <c r="D33" s="18" t="inlineStr"/>
    </row>
    <row r="34">
      <c r="A34" s="26" t="inlineStr">
        <is>
          <t>life sum USD</t>
        </is>
      </c>
      <c r="B34" s="28">
        <f>PLU_lifeSum*B29</f>
        <v/>
      </c>
      <c r="C34" s="27" t="inlineStr">
        <is>
          <t>C · calculated</t>
        </is>
      </c>
      <c r="D34" s="18" t="inlineStr"/>
    </row>
    <row r="35">
      <c r="A35" s="26" t="inlineStr">
        <is>
          <t>investments USD</t>
        </is>
      </c>
      <c r="B35" s="28">
        <f>PLU_investments*B29</f>
        <v/>
      </c>
      <c r="C35" s="27" t="inlineStr">
        <is>
          <t>C · calculated</t>
        </is>
      </c>
      <c r="D35" s="18" t="inlineStr"/>
    </row>
    <row r="36">
      <c r="A36" s="26" t="inlineStr">
        <is>
          <t>bequest USD</t>
        </is>
      </c>
      <c r="B36" s="28">
        <f>B17*B29</f>
        <v/>
      </c>
      <c r="C36" s="27" t="inlineStr">
        <is>
          <t>C · calculated</t>
        </is>
      </c>
      <c r="D36" s="18" t="inlineStr"/>
    </row>
    <row r="37">
      <c r="A37" s="26" t="inlineStr">
        <is>
          <t>N_SAV stored USD</t>
        </is>
      </c>
      <c r="B37" s="28">
        <f>B20*B29</f>
        <v/>
      </c>
      <c r="C37" s="27" t="inlineStr">
        <is>
          <t>C · calculated</t>
        </is>
      </c>
      <c r="D37" s="18" t="inlineStr"/>
    </row>
    <row r="38">
      <c r="A38" s="26" t="inlineStr">
        <is>
          <t>N_PRP stored USD</t>
        </is>
      </c>
      <c r="B38" s="28">
        <f>B21*B29</f>
        <v/>
      </c>
      <c r="C38" s="27" t="inlineStr">
        <is>
          <t>C · calculated</t>
        </is>
      </c>
      <c r="D38" s="18" t="inlineStr"/>
    </row>
    <row r="39">
      <c r="A39" s="26" t="inlineStr">
        <is>
          <t>tag N_RET USD</t>
        </is>
      </c>
      <c r="B39" s="28">
        <f>B22*B29</f>
        <v/>
      </c>
      <c r="C39" s="27" t="inlineStr">
        <is>
          <t>C · calculated</t>
        </is>
      </c>
      <c r="D39" s="18" t="inlineStr"/>
    </row>
    <row r="40">
      <c r="A40" s="26" t="inlineStr">
        <is>
          <t>tag N_EDU USD</t>
        </is>
      </c>
      <c r="B40" s="28">
        <f>B23*B29</f>
        <v/>
      </c>
      <c r="C40" s="27" t="inlineStr">
        <is>
          <t>C · calculated</t>
        </is>
      </c>
      <c r="D40" s="18" t="inlineStr"/>
    </row>
    <row r="41">
      <c r="A41" s="26" t="inlineStr">
        <is>
          <t>tag N_SAV USD</t>
        </is>
      </c>
      <c r="B41" s="28">
        <f>B24*B29</f>
        <v/>
      </c>
      <c r="C41" s="27" t="inlineStr">
        <is>
          <t>C · calculated</t>
        </is>
      </c>
      <c r="D41" s="18" t="inlineStr"/>
    </row>
    <row r="42">
      <c r="A42" s="26" t="inlineStr">
        <is>
          <t>tag N_PRP USD</t>
        </is>
      </c>
      <c r="B42" s="28">
        <f>B25*B29</f>
        <v/>
      </c>
      <c r="C42" s="27" t="inlineStr">
        <is>
          <t>C · calculated</t>
        </is>
      </c>
      <c r="D42" s="18" t="inlineStr"/>
    </row>
    <row r="43">
      <c r="A43" s="26" t="inlineStr">
        <is>
          <t>incomeReplace USD</t>
        </is>
      </c>
      <c r="B43" s="28">
        <f>IF(B19="","",B19*B29)</f>
        <v/>
      </c>
      <c r="C43" s="27" t="inlineStr">
        <is>
          <t>C · calculated</t>
        </is>
      </c>
      <c r="D43" s="18" t="inlineStr">
        <is>
          <t>Blank → income.</t>
        </is>
      </c>
    </row>
    <row r="44">
      <c r="A44" s="26" t="inlineStr">
        <is>
          <t>CRI_COST USD (× price level)</t>
        </is>
      </c>
      <c r="B44" s="29">
        <f>CRI_COST*B30</f>
        <v/>
      </c>
      <c r="C44" s="27" t="inlineStr">
        <is>
          <t>C · calculated</t>
        </is>
      </c>
      <c r="D44" s="18" t="inlineStr">
        <is>
          <t>Fixed amount, USD.</t>
        </is>
      </c>
    </row>
    <row r="45">
      <c r="A45" s="26" t="inlineStr">
        <is>
          <t>TPD_COST USD (× price level)</t>
        </is>
      </c>
      <c r="B45" s="29">
        <f>TPD_COST*B30</f>
        <v/>
      </c>
      <c r="C45" s="27" t="inlineStr">
        <is>
          <t>C · calculated</t>
        </is>
      </c>
      <c r="D45" s="18" t="inlineStr">
        <is>
          <t>Fixed amount, USD.</t>
        </is>
      </c>
    </row>
    <row r="46">
      <c r="A46" s="26" t="inlineStr">
        <is>
          <t>EDU_COST USD (× price level)</t>
        </is>
      </c>
      <c r="B46" s="29">
        <f>EDU_COST*B30</f>
        <v/>
      </c>
      <c r="C46" s="27" t="inlineStr">
        <is>
          <t>C · calculated</t>
        </is>
      </c>
      <c r="D46" s="18" t="inlineStr">
        <is>
          <t>Fixed amount, USD.</t>
        </is>
      </c>
    </row>
    <row r="47">
      <c r="A47" s="26" t="inlineStr">
        <is>
          <t>PAC_COST USD (× price level)</t>
        </is>
      </c>
      <c r="B47" s="29">
        <f>PAC_COST*B30</f>
        <v/>
      </c>
      <c r="C47" s="27" t="inlineStr">
        <is>
          <t>C · calculated</t>
        </is>
      </c>
      <c r="D47" s="18" t="inlineStr">
        <is>
          <t>Fixed amount, USD.</t>
        </is>
      </c>
    </row>
    <row r="48">
      <c r="A48" s="26" t="inlineStr">
        <is>
          <t>LTC_COST USD / year (× price level)</t>
        </is>
      </c>
      <c r="B48" s="29">
        <f>LTC_COST*B30</f>
        <v/>
      </c>
      <c r="C48" s="27" t="inlineStr">
        <is>
          <t>C · calculated</t>
        </is>
      </c>
      <c r="D48" s="18" t="inlineStr">
        <is>
          <t>Fixed amount, USD a year.</t>
        </is>
      </c>
    </row>
    <row r="50">
      <c r="A50" s="19" t="inlineStr">
        <is>
          <t>D · ASSUMPTIONS / SHARED DATA  —  rates and need parameters</t>
        </is>
      </c>
      <c r="B50" s="19" t="n"/>
      <c r="C50" s="19" t="n"/>
      <c r="D50" s="19" t="n"/>
    </row>
    <row r="51">
      <c r="A51" s="38" t="inlineStr">
        <is>
          <t>inflationRate</t>
        </is>
      </c>
      <c r="B51" s="45">
        <f>inflationRate</f>
        <v/>
      </c>
      <c r="C51" s="36" t="inlineStr">
        <is>
          <t>D · assumption / shared</t>
        </is>
      </c>
      <c r="D51" s="18" t="inlineStr">
        <is>
          <t>Grows EDU cost. N_RET grows at realReturn, not inflation.</t>
        </is>
      </c>
    </row>
    <row r="52">
      <c r="A52" s="38" t="inlineStr">
        <is>
          <t>investmentReturn</t>
        </is>
      </c>
      <c r="B52" s="45">
        <f>investmentReturn</f>
        <v/>
      </c>
      <c r="C52" s="36" t="inlineStr">
        <is>
          <t>D · assumption / shared</t>
        </is>
      </c>
      <c r="D52" s="18" t="inlineStr">
        <is>
          <t>Used to form realReturn.</t>
        </is>
      </c>
    </row>
    <row r="53">
      <c r="A53" s="38" t="inlineStr">
        <is>
          <t>realReturn</t>
        </is>
      </c>
      <c r="B53" s="45">
        <f>realReturn</f>
        <v/>
      </c>
      <c r="C53" s="36" t="inlineStr">
        <is>
          <t>D · assumption / shared</t>
        </is>
      </c>
      <c r="D53" s="18" t="inlineStr">
        <is>
          <t>max(0, (1+i)/(1+π) − 1). Discount rate.</t>
        </is>
      </c>
    </row>
    <row r="54">
      <c r="A54" s="38" t="inlineStr">
        <is>
          <t>RET_LIFESTYLE_FRUGAL</t>
        </is>
      </c>
      <c r="B54" s="40">
        <f>RET_LIFESTYLE_FRUGAL</f>
        <v/>
      </c>
      <c r="C54" s="36" t="inlineStr">
        <is>
          <t>D · assumption / shared</t>
        </is>
      </c>
      <c r="D54" s="18" t="inlineStr">
        <is>
          <t>N_RET spend multiple when lifestyle=1.</t>
        </is>
      </c>
    </row>
    <row r="55">
      <c r="A55" s="38" t="inlineStr">
        <is>
          <t>RET_LIFESTYLE_STRESSFREE</t>
        </is>
      </c>
      <c r="B55" s="40">
        <f>RET_LIFESTYLE_STRESSFREE</f>
        <v/>
      </c>
      <c r="C55" s="36" t="inlineStr">
        <is>
          <t>D · assumption / shared</t>
        </is>
      </c>
      <c r="D55" s="18" t="inlineStr">
        <is>
          <t>Default lifestyle=2.</t>
        </is>
      </c>
    </row>
    <row r="56">
      <c r="A56" s="38" t="inlineStr">
        <is>
          <t>RET_LIFESTYLE_ONLYTHEBEST</t>
        </is>
      </c>
      <c r="B56" s="40">
        <f>RET_LIFESTYLE_ONLYTHEBEST</f>
        <v/>
      </c>
      <c r="C56" s="36" t="inlineStr">
        <is>
          <t>D · assumption / shared</t>
        </is>
      </c>
      <c r="D56" s="18" t="inlineStr">
        <is>
          <t>lifestyle=3.</t>
        </is>
      </c>
    </row>
    <row r="57">
      <c r="A57" s="38" t="inlineStr">
        <is>
          <t>INC_SUPPORT_MIN / Max / Pivot</t>
        </is>
      </c>
      <c r="B57" s="44">
        <f>INC_SUPPORT_MIN</f>
        <v/>
      </c>
      <c r="C57" s="36" t="inlineStr">
        <is>
          <t>D · assumption / shared</t>
        </is>
      </c>
      <c r="D57" s="18" t="inlineStr">
        <is>
          <t>supportYears = min(max(10, 50 − age), 25).</t>
        </is>
      </c>
    </row>
    <row r="58">
      <c r="A58" s="38" t="inlineStr">
        <is>
          <t>CRI_YEARS / CRI_COST</t>
        </is>
      </c>
      <c r="B58" s="44">
        <f>CRI_YEARS</f>
        <v/>
      </c>
      <c r="C58" s="36" t="inlineStr">
        <is>
          <t>D · assumption / shared</t>
        </is>
      </c>
      <c r="D58" s="18" t="inlineStr">
        <is>
          <t>3 years annuity-due + CRI_COST (USD, S-block).</t>
        </is>
      </c>
    </row>
    <row r="59">
      <c r="A59" s="38" t="inlineStr">
        <is>
          <t>TPD_YEARS / TPD_COST</t>
        </is>
      </c>
      <c r="B59" s="44">
        <f>TPD_YEARS</f>
        <v/>
      </c>
      <c r="C59" s="36" t="inlineStr">
        <is>
          <t>D · assumption / shared</t>
        </is>
      </c>
      <c r="D59" s="18" t="inlineStr">
        <is>
          <t>5 years annuity-due + TPD_COST (USD, S-block).</t>
        </is>
      </c>
    </row>
    <row r="60">
      <c r="A60" s="38" t="inlineStr">
        <is>
          <t>PAC_YEARS / PAC_COST</t>
        </is>
      </c>
      <c r="B60" s="44">
        <f>PAC_YEARS</f>
        <v/>
      </c>
      <c r="C60" s="36" t="inlineStr">
        <is>
          <t>D · assumption / shared</t>
        </is>
      </c>
      <c r="D60" s="18" t="inlineStr">
        <is>
          <t>1 year annuity-due + PAC_COST (USD, S-block). Agreed V0-18.</t>
        </is>
      </c>
    </row>
    <row r="61">
      <c r="A61" s="38" t="inlineStr">
        <is>
          <t>HOS_MONTHS</t>
        </is>
      </c>
      <c r="B61" s="44">
        <f>HOS_MONTHS</f>
        <v/>
      </c>
      <c r="C61" s="36" t="inlineStr">
        <is>
          <t>D · assumption / shared</t>
        </is>
      </c>
      <c r="D61" s="18" t="inlineStr">
        <is>
          <t>N_HOS = income × 6.</t>
        </is>
      </c>
    </row>
    <row r="62">
      <c r="A62" s="38" t="inlineStr">
        <is>
          <t>EDU_COST (USD)</t>
        </is>
      </c>
      <c r="B62" s="39">
        <f>EDU_COST</f>
        <v/>
      </c>
      <c r="C62" s="36" t="inlineStr">
        <is>
          <t>D · assumption / shared</t>
        </is>
      </c>
      <c r="D62" s="18" t="inlineStr">
        <is>
          <t>USD course cost, grown at inflation.</t>
        </is>
      </c>
    </row>
    <row r="63">
      <c r="A63" s="38" t="inlineStr">
        <is>
          <t>SAV_INCOME_MULT</t>
        </is>
      </c>
      <c r="B63" s="44">
        <f>SAV_INCOME_MULT</f>
        <v/>
      </c>
      <c r="C63" s="36" t="inlineStr">
        <is>
          <t>D · assumption / shared</t>
        </is>
      </c>
      <c r="D63" s="18" t="inlineStr">
        <is>
          <t>1 × annual income if stored is 0.</t>
        </is>
      </c>
    </row>
    <row r="64">
      <c r="A64" s="38" t="inlineStr">
        <is>
          <t>PRP_INCOME_MULT</t>
        </is>
      </c>
      <c r="B64" s="44">
        <f>PRP_INCOME_MULT</f>
        <v/>
      </c>
      <c r="C64" s="36" t="inlineStr">
        <is>
          <t>D · assumption / shared</t>
        </is>
      </c>
      <c r="D64" s="18" t="inlineStr">
        <is>
          <t>5 × annual income if stored is 0.</t>
        </is>
      </c>
    </row>
    <row r="65">
      <c r="A65" s="38" t="inlineStr">
        <is>
          <t>currentYear / ageOfRetirement</t>
        </is>
      </c>
      <c r="B65" s="44">
        <f>currentYear</f>
        <v/>
      </c>
      <c r="C65" s="36" t="inlineStr">
        <is>
          <t>D · assumption / shared</t>
        </is>
      </c>
      <c r="D65" s="18" t="inlineStr">
        <is>
          <t>2026 / 65 in this workbook.</t>
        </is>
      </c>
    </row>
    <row r="67">
      <c r="A67" s="16" t="inlineStr">
        <is>
          <t>C · DETERMINISTICALLY CALCULATED  —  horizons</t>
        </is>
      </c>
      <c r="B67" s="16" t="n"/>
      <c r="C67" s="16" t="n"/>
      <c r="D67" s="16" t="n"/>
    </row>
    <row r="68">
      <c r="A68" s="26" t="inlineStr">
        <is>
          <t>supportYears</t>
        </is>
      </c>
      <c r="B68" s="46">
        <f>MIN(MAX(INC_SUPPORT_MIN,INC_SUPPORT_PIVOT_AGE-B5),INC_SUPPORT_MAX)</f>
        <v/>
      </c>
      <c r="C68" s="27" t="inlineStr">
        <is>
          <t>C · calculated</t>
        </is>
      </c>
      <c r="D68" s="18" t="inlineStr">
        <is>
          <t>life_support_years(age).</t>
        </is>
      </c>
    </row>
    <row r="69">
      <c r="A69" s="26" t="inlineStr">
        <is>
          <t>yearsToRet</t>
        </is>
      </c>
      <c r="B69" s="46">
        <f>MAX(0,B15-B5)</f>
        <v/>
      </c>
      <c r="C69" s="27" t="inlineStr">
        <is>
          <t>C · calculated</t>
        </is>
      </c>
      <c r="D69" s="18" t="inlineStr">
        <is>
          <t>years_to_retirement.</t>
        </is>
      </c>
    </row>
    <row r="70">
      <c r="A70" s="26" t="inlineStr">
        <is>
          <t>yearsInRet</t>
        </is>
      </c>
      <c r="B70" s="46">
        <f>MAX(0,PLU_leUsed-B15)</f>
        <v/>
      </c>
      <c r="C70" s="27" t="inlineStr">
        <is>
          <t>C · calculated</t>
        </is>
      </c>
      <c r="D70" s="18" t="inlineStr">
        <is>
          <t>years_in_retirement(retAge, session LE).</t>
        </is>
      </c>
    </row>
    <row r="71">
      <c r="A71" s="26" t="inlineStr">
        <is>
          <t>eduYears</t>
        </is>
      </c>
      <c r="B71" s="46">
        <f>MAX(0,B16-currentYear)</f>
        <v/>
      </c>
      <c r="C71" s="27" t="inlineStr">
        <is>
          <t>C · calculated</t>
        </is>
      </c>
      <c r="D71" s="18" t="inlineStr">
        <is>
          <t>max(0, targetYear − thisYear).</t>
        </is>
      </c>
    </row>
    <row r="72">
      <c r="A72" s="26" t="inlineStr">
        <is>
          <t>careYears (N_LTC)</t>
        </is>
      </c>
      <c r="B72" s="46">
        <f>MAX(0,PLU_leUsed-B26)</f>
        <v/>
      </c>
      <c r="C72" s="27" t="inlineStr">
        <is>
          <t>C · calculated</t>
        </is>
      </c>
      <c r="D72" s="18" t="inlineStr">
        <is>
          <t>lifeExpectancy − LTC start age.</t>
        </is>
      </c>
    </row>
    <row r="74">
      <c r="A74" s="16" t="inlineStr">
        <is>
          <t>C · RESULTS  —  amount / have / gap for every UNIFIED type (even when off)</t>
        </is>
      </c>
      <c r="B74" s="16" t="n"/>
      <c r="C74" s="16" t="n"/>
      <c r="D74" s="16" t="n"/>
    </row>
    <row r="75">
      <c r="A75" s="3" t="inlineStr">
        <is>
          <t>type</t>
        </is>
      </c>
      <c r="B75" s="16" t="inlineStr">
        <is>
          <t>needAmount</t>
        </is>
      </c>
      <c r="C75" s="16" t="inlineStr">
        <is>
          <t>have</t>
        </is>
      </c>
      <c r="D75" s="16" t="inlineStr">
        <is>
          <t>gap</t>
        </is>
      </c>
      <c r="E75" s="21" t="inlineStr">
        <is>
          <t>Enable?</t>
        </is>
      </c>
      <c r="F75" s="16" t="inlineStr">
        <is>
          <t>on (effective)</t>
        </is>
      </c>
      <c r="H75" s="15" t="inlineStr">
        <is>
          <t>needAmount USD</t>
        </is>
      </c>
      <c r="I75" s="15" t="inlineStr">
        <is>
          <t>have USD</t>
        </is>
      </c>
      <c r="J75" s="15" t="inlineStr">
        <is>
          <t>gap USD</t>
        </is>
      </c>
    </row>
    <row r="76">
      <c r="A76" s="16" t="inlineStr">
        <is>
          <t>N_INC</t>
        </is>
      </c>
      <c r="B76" s="29">
        <f>ROUND(H76/$B$29,0)</f>
        <v/>
      </c>
      <c r="C76" s="29">
        <f>ROUND(I76/$B$29,0)</f>
        <v/>
      </c>
      <c r="D76" s="29">
        <f>MAX(0,B76-C76)</f>
        <v/>
      </c>
      <c r="E76" s="42" t="inlineStr"/>
      <c r="F76" s="27">
        <f>IF(E76="",NP_on_N_INC,E76)</f>
        <v/>
      </c>
      <c r="G76" s="18" t="inlineStr">
        <is>
          <t>bequest + mortgage + PV of annual spend over dependYears.</t>
        </is>
      </c>
      <c r="H76" s="23">
        <f>MAX(0,B36+B33+IF(OR((IF(OR(B18="",B18&lt;=0),B68,B18))&lt;=0,(B32*12)&lt;=0),0,IF(ABS(realReturn)&lt;1E-12,(B32*12)*(IF(OR(B18="",B18&lt;=0),B68,B18)),(B32*12)*(1-(1+realReturn)^(-(IF(OR(B18="",B18&lt;=0),B68,B18))))/(realReturn))))</f>
        <v/>
      </c>
      <c r="I76" s="23">
        <f>B34</f>
        <v/>
      </c>
      <c r="J76" s="23">
        <f>MAX(0,H76-I76)</f>
        <v/>
      </c>
    </row>
    <row r="77">
      <c r="A77" s="16" t="inlineStr">
        <is>
          <t>N_CRI</t>
        </is>
      </c>
      <c r="B77" s="29">
        <f>ROUND(H77/$B$29,0)</f>
        <v/>
      </c>
      <c r="C77" s="29">
        <f>ROUND(I77/$B$29,0)</f>
        <v/>
      </c>
      <c r="D77" s="29">
        <f>MAX(0,B77-C77)</f>
        <v/>
      </c>
      <c r="E77" s="42" t="inlineStr"/>
      <c r="F77" s="27">
        <f>IF(E77="",NP_on_N_CRI,E77)</f>
        <v/>
      </c>
      <c r="G77" s="18" t="inlineStr">
        <is>
          <t>Annuity-due of replacement income for CRI_YEARS + CRI_COST.</t>
        </is>
      </c>
      <c r="H77" s="23">
        <f>MAX(0,IF(OR((CRI_YEARS)&lt;=0,((IF(B43="",B31,B43))*12)&lt;=0),0,IF(ABS(realReturn)&lt;1E-12,((IF(B43="",B31,B43))*12)*(CRI_YEARS),((IF(B43="",B31,B43))*12)*(1-(1/((1+realReturn)))^(CRI_YEARS))/(1-(1/((1+realReturn))))))+B44)</f>
        <v/>
      </c>
      <c r="I77" s="23">
        <f>0</f>
        <v/>
      </c>
      <c r="J77" s="23">
        <f>MAX(0,H77-I77)</f>
        <v/>
      </c>
    </row>
    <row r="78">
      <c r="A78" s="16" t="inlineStr">
        <is>
          <t>N_TPD</t>
        </is>
      </c>
      <c r="B78" s="29">
        <f>ROUND(H78/$B$29,0)</f>
        <v/>
      </c>
      <c r="C78" s="29">
        <f>ROUND(I78/$B$29,0)</f>
        <v/>
      </c>
      <c r="D78" s="29">
        <f>MAX(0,B78-C78)</f>
        <v/>
      </c>
      <c r="E78" s="42" t="inlineStr"/>
      <c r="F78" s="27">
        <f>IF(E78="",NP_on_N_TPD,E78)</f>
        <v/>
      </c>
      <c r="G78" s="18" t="inlineStr">
        <is>
          <t>Annuity-due of replacement income for TPD_YEARS + TPD_COST.</t>
        </is>
      </c>
      <c r="H78" s="23">
        <f>MAX(0,IF(OR((TPD_YEARS)&lt;=0,((IF(B43="",B31,B43))*12)&lt;=0),0,IF(ABS(realReturn)&lt;1E-12,((IF(B43="",B31,B43))*12)*(TPD_YEARS),((IF(B43="",B31,B43))*12)*(1-(1/((1+realReturn)))^(TPD_YEARS))/(1-(1/((1+realReturn))))))+B45)</f>
        <v/>
      </c>
      <c r="I78" s="23">
        <f>0</f>
        <v/>
      </c>
      <c r="J78" s="23">
        <f>MAX(0,H78-I78)</f>
        <v/>
      </c>
    </row>
    <row r="79">
      <c r="A79" s="16" t="inlineStr">
        <is>
          <t>N_HOS</t>
        </is>
      </c>
      <c r="B79" s="29">
        <f>ROUND(H79/$B$29,0)</f>
        <v/>
      </c>
      <c r="C79" s="29">
        <f>ROUND(I79/$B$29,0)</f>
        <v/>
      </c>
      <c r="D79" s="29">
        <f>MAX(0,B79-C79)</f>
        <v/>
      </c>
      <c r="E79" s="42" t="inlineStr"/>
      <c r="F79" s="27">
        <f>IF(E79="",NP_on_N_HOS,E79)</f>
        <v/>
      </c>
      <c r="G79" s="18" t="inlineStr">
        <is>
          <t>incomeMonthly × HOS_MONTHS.</t>
        </is>
      </c>
      <c r="H79" s="23">
        <f>MAX(0,B31*HOS_MONTHS)</f>
        <v/>
      </c>
      <c r="I79" s="23">
        <f>0</f>
        <v/>
      </c>
      <c r="J79" s="23">
        <f>MAX(0,H79-I79)</f>
        <v/>
      </c>
    </row>
    <row r="80">
      <c r="A80" s="16" t="inlineStr">
        <is>
          <t>N_PAC</t>
        </is>
      </c>
      <c r="B80" s="29">
        <f>ROUND(H80/$B$29,0)</f>
        <v/>
      </c>
      <c r="C80" s="29">
        <f>ROUND(I80/$B$29,0)</f>
        <v/>
      </c>
      <c r="D80" s="29">
        <f>MAX(0,B80-C80)</f>
        <v/>
      </c>
      <c r="E80" s="42" t="inlineStr"/>
      <c r="F80" s="27">
        <f>IF(E80="",NP_on_N_PAC,E80)</f>
        <v/>
      </c>
      <c r="G80" s="18" t="inlineStr">
        <is>
          <t>Annuity-due of replacement income for PAC_YEARS + PAC_COST.</t>
        </is>
      </c>
      <c r="H80" s="23">
        <f>MAX(0,IF(OR((PAC_YEARS)&lt;=0,((IF(B43="",B31,B43))*12)&lt;=0),0,IF(ABS(realReturn)&lt;1E-12,((IF(B43="",B31,B43))*12)*(PAC_YEARS),((IF(B43="",B31,B43))*12)*(1-(1/((1+realReturn)))^(PAC_YEARS))/(1-(1/((1+realReturn))))))+B47)</f>
        <v/>
      </c>
      <c r="I80" s="23">
        <f>0</f>
        <v/>
      </c>
      <c r="J80" s="23">
        <f>MAX(0,H80-I80)</f>
        <v/>
      </c>
    </row>
    <row r="81">
      <c r="A81" s="16" t="inlineStr">
        <is>
          <t>N_LTC</t>
        </is>
      </c>
      <c r="B81" s="29">
        <f>ROUND(H81/$B$29,0)</f>
        <v/>
      </c>
      <c r="C81" s="29">
        <f>ROUND(I81/$B$29,0)</f>
        <v/>
      </c>
      <c r="D81" s="29">
        <f>MAX(0,B81-C81)</f>
        <v/>
      </c>
      <c r="E81" s="42" t="inlineStr"/>
      <c r="F81" s="27">
        <f>IF(E81="",NP_on_N_LTC,E81)</f>
        <v/>
      </c>
      <c r="G81" s="18" t="inlineStr">
        <is>
          <t>Annuity-due of LTC_COST over careYears (LTC start age → life expectancy), today's money.</t>
        </is>
      </c>
      <c r="H81" s="23">
        <f>MAX(0,IF(OR((B72)&lt;=0,(B48)&lt;=0),0,IF(ABS(realReturn)&lt;1E-12,(B48)*(B72),(B48)*(1-(1/((1+realReturn)))^(B72))/(1-(1/((1+realReturn)))))))</f>
        <v/>
      </c>
      <c r="I81" s="23">
        <f>0</f>
        <v/>
      </c>
      <c r="J81" s="23">
        <f>MAX(0,H81-I81)</f>
        <v/>
      </c>
    </row>
    <row r="82">
      <c r="A82" s="16" t="inlineStr">
        <is>
          <t>N_RET</t>
        </is>
      </c>
      <c r="B82" s="29">
        <f>ROUND(H82/$B$29,0)</f>
        <v/>
      </c>
      <c r="C82" s="29">
        <f>ROUND(I82/$B$29,0)</f>
        <v/>
      </c>
      <c r="D82" s="29">
        <f>MAX(0,B82-C82)</f>
        <v/>
      </c>
      <c r="E82" s="42" t="inlineStr"/>
      <c r="F82" s="27">
        <f>IF(E82="",NP_on_N_RET,E82)</f>
        <v/>
      </c>
      <c r="G82" s="18" t="inlineStr">
        <is>
          <t>annualSpend × (1+realReturn)^T × a(realReturn, yearsInRet).</t>
        </is>
      </c>
      <c r="H82" s="23">
        <f>MAX(0,IF(OR((B70)&lt;=0,(IF((B69)&lt;=0,MAX(0,B32*12*(IF(B14=1,RET_LIFESTYLE_FRUGAL,IF(B14=3,RET_LIFESTYLE_ONLYTHEBEST,RET_LIFESTYLE_STRESSFREE)))),(B32*12*(IF(B14=1,RET_LIFESTYLE_FRUGAL,IF(B14=3,RET_LIFESTYLE_ONLYTHEBEST,RET_LIFESTYLE_STRESSFREE))))*(1+realReturn)^(B69)))&lt;=0),0,IF(ABS(realReturn)&lt;1E-12,(IF((B69)&lt;=0,MAX(0,B32*12*(IF(B14=1,RET_LIFESTYLE_FRUGAL,IF(B14=3,RET_LIFESTYLE_ONLYTHEBEST,RET_LIFESTYLE_STRESSFREE)))),(B32*12*(IF(B14=1,RET_LIFESTYLE_FRUGAL,IF(B14=3,RET_LIFESTYLE_ONLYTHEBEST,RET_LIFESTYLE_STRESSFREE))))*(1+realReturn)^(B69)))*(B70),(IF((B69)&lt;=0,MAX(0,B32*12*(IF(B14=1,RET_LIFESTYLE_FRUGAL,IF(B14=3,RET_LIFESTYLE_ONLYTHEBEST,RET_LIFESTYLE_STRESSFREE)))),(B32*12*(IF(B14=1,RET_LIFESTYLE_FRUGAL,IF(B14=3,RET_LIFESTYLE_ONLYTHEBEST,RET_LIFESTYLE_STRESSFREE))))*(1+realReturn)^(B69)))*(1-(1+realReturn)^(-(B70)))/(realReturn))))</f>
        <v/>
      </c>
      <c r="I82" s="23">
        <f>IF((B69)&lt;=0,MAX(0,MIN(MAX(0,B39),MAX(0,B35))),(MIN(MAX(0,B39),MAX(0,B35)))*(1+realReturn)^(B69))</f>
        <v/>
      </c>
      <c r="J82" s="23">
        <f>MAX(0,H82-I82)</f>
        <v/>
      </c>
    </row>
    <row r="83">
      <c r="A83" s="16" t="inlineStr">
        <is>
          <t>N_EDU</t>
        </is>
      </c>
      <c r="B83" s="29">
        <f>ROUND(H83/$B$29,0)</f>
        <v/>
      </c>
      <c r="C83" s="29">
        <f>ROUND(I83/$B$29,0)</f>
        <v/>
      </c>
      <c r="D83" s="29">
        <f>MAX(0,B83-C83)</f>
        <v/>
      </c>
      <c r="E83" s="42" t="inlineStr"/>
      <c r="F83" s="27">
        <f>IF(E83="",NP_on_N_EDU,E83)</f>
        <v/>
      </c>
      <c r="G83" s="18" t="inlineStr">
        <is>
          <t>EDU_COST (USD) × (1+inflation)^eduYears.</t>
        </is>
      </c>
      <c r="H83" s="23">
        <f>MAX(0,B46*(1+inflationRate)^B71)</f>
        <v/>
      </c>
      <c r="I83" s="23">
        <f>IF((B71)&lt;=0,MAX(0,MIN(MAX(0,B40),MAX(0,B35-MIN(MAX(0,B39),MAX(0,B35))))),(MIN(MAX(0,B40),MAX(0,B35-MIN(MAX(0,B39),MAX(0,B35)))))*(1+realReturn)^(B71))</f>
        <v/>
      </c>
      <c r="J83" s="23">
        <f>MAX(0,H83-I83)</f>
        <v/>
      </c>
    </row>
    <row r="84">
      <c r="A84" s="16" t="inlineStr">
        <is>
          <t>N_SAV</t>
        </is>
      </c>
      <c r="B84" s="29">
        <f>ROUND(H84/$B$29,0)</f>
        <v/>
      </c>
      <c r="C84" s="29">
        <f>ROUND(I84/$B$29,0)</f>
        <v/>
      </c>
      <c r="D84" s="29">
        <f>MAX(0,B84-C84)</f>
        <v/>
      </c>
      <c r="E84" s="42" t="inlineStr"/>
      <c r="F84" s="27">
        <f>IF(E84="",NP_on_N_SAV,E84)</f>
        <v/>
      </c>
      <c r="G84" s="18" t="inlineStr">
        <is>
          <t>Stored or 1× annual income.</t>
        </is>
      </c>
      <c r="H84" s="23">
        <f>IF(B20&gt;0,B37,B31*12*SAV_INCOME_MULT)</f>
        <v/>
      </c>
      <c r="I84" s="23">
        <f>IF((B71)&lt;=0,MAX(0,MIN(MAX(0,B41),MAX(0,MAX(0,B35-MIN(MAX(0,B39),MAX(0,B35)))-MIN(MAX(0,B40),MAX(0,B35-MIN(MAX(0,B39),MAX(0,B35))))))),(MIN(MAX(0,B41),MAX(0,MAX(0,B35-MIN(MAX(0,B39),MAX(0,B35)))-MIN(MAX(0,B40),MAX(0,B35-MIN(MAX(0,B39),MAX(0,B35)))))))*(1+realReturn)^(B71))</f>
        <v/>
      </c>
      <c r="J84" s="23">
        <f>MAX(0,H84-I84)</f>
        <v/>
      </c>
    </row>
    <row r="85">
      <c r="A85" s="16" t="inlineStr">
        <is>
          <t>N_PRP</t>
        </is>
      </c>
      <c r="B85" s="29">
        <f>ROUND(H85/$B$29,0)</f>
        <v/>
      </c>
      <c r="C85" s="29">
        <f>ROUND(I85/$B$29,0)</f>
        <v/>
      </c>
      <c r="D85" s="29">
        <f>MAX(0,B85-C85)</f>
        <v/>
      </c>
      <c r="E85" s="42" t="inlineStr"/>
      <c r="F85" s="27">
        <f>IF(E85="",NP_on_N_PRP,E85)</f>
        <v/>
      </c>
      <c r="G85" s="18" t="inlineStr">
        <is>
          <t>Stored or 5× annual income.</t>
        </is>
      </c>
      <c r="H85" s="23">
        <f>IF(B21&gt;0,B38,B31*12*PRP_INCOME_MULT)</f>
        <v/>
      </c>
      <c r="I85" s="23">
        <f>IF((B71)&lt;=0,MAX(0,MIN(MAX(0,B42),MAX(0,MAX(0,MAX(0,B35-MIN(MAX(0,B39),MAX(0,B35)))-MIN(MAX(0,B40),MAX(0,B35-MIN(MAX(0,B39),MAX(0,B35)))))-MIN(MAX(0,B41),MAX(0,MAX(0,B35-MIN(MAX(0,B39),MAX(0,B35)))-MIN(MAX(0,B40),MAX(0,B35-MIN(MAX(0,B39),MAX(0,B35))))))))),(MIN(MAX(0,B42),MAX(0,MAX(0,MAX(0,B35-MIN(MAX(0,B39),MAX(0,B35)))-MIN(MAX(0,B40),MAX(0,B35-MIN(MAX(0,B39),MAX(0,B35)))))-MIN(MAX(0,B41),MAX(0,MAX(0,B35-MIN(MAX(0,B39),MAX(0,B35)))-MIN(MAX(0,B40),MAX(0,B35-MIN(MAX(0,B39),MAX(0,B35)))))))))*(1+realReturn)^(B71))</f>
        <v/>
      </c>
      <c r="J85" s="23">
        <f>MAX(0,H85-I85)</f>
        <v/>
      </c>
    </row>
    <row r="87">
      <c r="A87" s="16" t="inlineStr">
        <is>
          <t>C · STRESS R_LON  —  longevity: N_RET and N_LTC if the customer lives until LON_AGE (99). Does not change the plan</t>
        </is>
      </c>
      <c r="B87" s="16" t="n"/>
      <c r="C87" s="16" t="n"/>
      <c r="D87" s="16" t="n"/>
    </row>
    <row r="88">
      <c r="A88" s="38" t="inlineStr">
        <is>
          <t>LON_AGE</t>
        </is>
      </c>
      <c r="B88" s="44">
        <f>LON_AGE</f>
        <v/>
      </c>
      <c r="C88" s="36" t="inlineStr">
        <is>
          <t>D · assumption / shared</t>
        </is>
      </c>
      <c r="D88" s="18" t="inlineStr">
        <is>
          <t>Assumptions. Life expectancy under R_LON.</t>
        </is>
      </c>
    </row>
    <row r="89">
      <c r="A89" s="26" t="inlineStr">
        <is>
          <t>yearsInRet at LON_AGE</t>
        </is>
      </c>
      <c r="B89" s="46">
        <f>MAX(0,LON_AGE-B15)</f>
        <v/>
      </c>
      <c r="C89" s="27" t="inlineStr">
        <is>
          <t>C · calculated</t>
        </is>
      </c>
      <c r="D89" s="18" t="inlineStr">
        <is>
          <t>LON_AGE − retAge.</t>
        </is>
      </c>
    </row>
    <row r="90">
      <c r="A90" s="26" t="inlineStr">
        <is>
          <t>N_RET need at LON_AGE USD</t>
        </is>
      </c>
      <c r="B90" s="28">
        <f>MAX(0,IF(OR((B89)&lt;=0,(IF((B69)&lt;=0,MAX(0,B32*12*(IF(B14=1,RET_LIFESTYLE_FRUGAL,IF(B14=3,RET_LIFESTYLE_ONLYTHEBEST,RET_LIFESTYLE_STRESSFREE)))),(B32*12*(IF(B14=1,RET_LIFESTYLE_FRUGAL,IF(B14=3,RET_LIFESTYLE_ONLYTHEBEST,RET_LIFESTYLE_STRESSFREE))))*(1+realReturn)^(B69)))&lt;=0),0,IF(ABS(realReturn)&lt;1E-12,(IF((B69)&lt;=0,MAX(0,B32*12*(IF(B14=1,RET_LIFESTYLE_FRUGAL,IF(B14=3,RET_LIFESTYLE_ONLYTHEBEST,RET_LIFESTYLE_STRESSFREE)))),(B32*12*(IF(B14=1,RET_LIFESTYLE_FRUGAL,IF(B14=3,RET_LIFESTYLE_ONLYTHEBEST,RET_LIFESTYLE_STRESSFREE))))*(1+realReturn)^(B69)))*(B89),(IF((B69)&lt;=0,MAX(0,B32*12*(IF(B14=1,RET_LIFESTYLE_FRUGAL,IF(B14=3,RET_LIFESTYLE_ONLYTHEBEST,RET_LIFESTYLE_STRESSFREE)))),(B32*12*(IF(B14=1,RET_LIFESTYLE_FRUGAL,IF(B14=3,RET_LIFESTYLE_ONLYTHEBEST,RET_LIFESTYLE_STRESSFREE))))*(1+realReturn)^(B69)))*(1-(1+realReturn)^(-(B89)))/(realReturn))))</f>
        <v/>
      </c>
      <c r="C90" s="27" t="inlineStr">
        <is>
          <t>C · calculated</t>
        </is>
      </c>
      <c r="D90" s="18" t="inlineStr">
        <is>
          <t>Same formula as N_RET, years to LON_AGE.</t>
        </is>
      </c>
    </row>
    <row r="91">
      <c r="A91" s="26" t="inlineStr">
        <is>
          <t>N_RET need at LON_AGE</t>
        </is>
      </c>
      <c r="B91" s="29">
        <f>ROUND(B90/$B$29,0)</f>
        <v/>
      </c>
      <c r="C91" s="27" t="inlineStr">
        <is>
          <t>C · calculated</t>
        </is>
      </c>
      <c r="D91" s="18" t="inlineStr">
        <is>
          <t>User currency.</t>
        </is>
      </c>
    </row>
    <row r="92">
      <c r="A92" s="26" t="inlineStr">
        <is>
          <t>N_RET gap at LON_AGE</t>
        </is>
      </c>
      <c r="B92" s="29">
        <f>MAX(0,B91-C82)</f>
        <v/>
      </c>
      <c r="C92" s="27" t="inlineStr">
        <is>
          <t>C · calculated</t>
        </is>
      </c>
      <c r="D92" s="18" t="inlineStr">
        <is>
          <t>Need at 99 − have.</t>
        </is>
      </c>
    </row>
    <row r="93">
      <c r="A93" s="26" t="inlineStr">
        <is>
          <t>extra need from longevity</t>
        </is>
      </c>
      <c r="B93" s="29">
        <f>MAX(0,B91-B82)</f>
        <v/>
      </c>
      <c r="C93" s="27" t="inlineStr">
        <is>
          <t>C · calculated</t>
        </is>
      </c>
      <c r="D93" s="18" t="inlineStr">
        <is>
          <t>Need at 99 − base need.</t>
        </is>
      </c>
    </row>
    <row r="94">
      <c r="A94" s="26" t="inlineStr">
        <is>
          <t>careYears at LON_AGE</t>
        </is>
      </c>
      <c r="B94" s="46">
        <f>MAX(0,LON_AGE-B26)</f>
        <v/>
      </c>
      <c r="C94" s="27" t="inlineStr">
        <is>
          <t>C · calculated</t>
        </is>
      </c>
      <c r="D94" s="18" t="inlineStr">
        <is>
          <t>LON_AGE − LTC start age.</t>
        </is>
      </c>
    </row>
    <row r="95">
      <c r="A95" s="26" t="inlineStr">
        <is>
          <t>N_LTC need at LON_AGE</t>
        </is>
      </c>
      <c r="B95" s="29">
        <f>ROUND(MAX(0,IF(OR((B94)&lt;=0,(B48)&lt;=0),0,IF(ABS(realReturn)&lt;1E-12,(B48)*(B94),(B48)*(1-(1/((1+realReturn)))^(B94))/(1-(1/((1+realReturn)))))))/$B$29,0)</f>
        <v/>
      </c>
      <c r="C95" s="27" t="inlineStr">
        <is>
          <t>C · calculated</t>
        </is>
      </c>
      <c r="D95" s="18" t="inlineStr">
        <is>
          <t>Same formula as N_LTC, care until LON_AGE. User currency.</t>
        </is>
      </c>
    </row>
  </sheetData>
  <mergeCells count="8">
    <mergeCell ref="A1:D1"/>
    <mergeCell ref="A67:D67"/>
    <mergeCell ref="A74:D74"/>
    <mergeCell ref="A50:D50"/>
    <mergeCell ref="A4:D4"/>
    <mergeCell ref="A87:D87"/>
    <mergeCell ref="A28:D28"/>
    <mergeCell ref="A13:D13"/>
  </mergeCells>
  <dataValidations count="1">
    <dataValidation sqref="E76:E85" showDropDown="0" showInputMessage="0" showErrorMessage="0"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tabColor rgb="001D4E89"/>
    <outlinePr summaryBelow="1" summaryRight="1"/>
    <pageSetUpPr/>
  </sheetPr>
  <dimension ref="A1:F9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Plan Calculator — selected persona. seedProducts / planProducts.ts. Suggested = enabled AND gap &gt; 0.</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Need Calculator</t>
        </is>
      </c>
      <c r="B4" s="12" t="n"/>
      <c r="C4" s="12" t="n"/>
      <c r="D4" s="12" t="n"/>
      <c r="F4" s="16" t="inlineStr">
        <is>
          <t>C · DETERMINISTICALLY CALCULATED</t>
        </is>
      </c>
    </row>
    <row r="5">
      <c r="A5" s="17" t="inlineStr">
        <is>
          <t>take-home (from PLU)</t>
        </is>
      </c>
      <c r="B5" s="37">
        <f>PLU_takeHome</f>
        <v/>
      </c>
      <c r="C5" s="13" t="inlineStr">
        <is>
          <t>A · input</t>
        </is>
      </c>
      <c r="D5" s="18" t="inlineStr">
        <is>
          <t>Surplus uses take-home, not gross income.</t>
        </is>
      </c>
      <c r="F5" s="19" t="inlineStr">
        <is>
          <t>D · ASSUMPTIONS / SHARED DATA</t>
        </is>
      </c>
    </row>
    <row r="6">
      <c r="A6" s="17" t="inlineStr">
        <is>
          <t>expenseMonthly (from PLU)</t>
        </is>
      </c>
      <c r="B6" s="37">
        <f>PLU_expenseMonthly</f>
        <v/>
      </c>
      <c r="C6" s="13" t="inlineStr">
        <is>
          <t>A · input</t>
        </is>
      </c>
      <c r="D6" s="18" t="inlineStr">
        <is>
          <t>types.ts availableBudget.</t>
        </is>
      </c>
      <c r="F6" s="21" t="inlineStr">
        <is>
          <t>E · USER / FRONTEND OVERRIDE</t>
        </is>
      </c>
    </row>
    <row r="7">
      <c r="A7" s="17" t="inlineStr">
        <is>
          <t>N_INC on (from Need Calculator)</t>
        </is>
      </c>
      <c r="B7" s="13">
        <f>NC_on_N_INC</f>
        <v/>
      </c>
      <c r="C7" s="13" t="inlineStr">
        <is>
          <t>A · input</t>
        </is>
      </c>
      <c r="D7" s="18" t="inlineStr">
        <is>
          <t>Effective enable after Need Calculator override.</t>
        </is>
      </c>
    </row>
    <row r="8">
      <c r="A8" s="17" t="inlineStr">
        <is>
          <t>N_INC gap (from Need Calculator)</t>
        </is>
      </c>
      <c r="B8" s="47">
        <f>NC_gap_N_INC</f>
        <v/>
      </c>
      <c r="C8" s="13" t="inlineStr">
        <is>
          <t>A · input</t>
        </is>
      </c>
      <c r="D8" s="18" t="inlineStr">
        <is>
          <t>remaining_gap.</t>
        </is>
      </c>
    </row>
    <row r="9">
      <c r="A9" s="17" t="inlineStr">
        <is>
          <t>N_CRI on (from Need Calculator)</t>
        </is>
      </c>
      <c r="B9" s="13">
        <f>NC_on_N_CRI</f>
        <v/>
      </c>
      <c r="C9" s="13" t="inlineStr">
        <is>
          <t>A · input</t>
        </is>
      </c>
      <c r="D9" s="18" t="inlineStr">
        <is>
          <t>Effective enable after Need Calculator override.</t>
        </is>
      </c>
    </row>
    <row r="10">
      <c r="A10" s="17" t="inlineStr">
        <is>
          <t>N_CRI gap (from Need Calculator)</t>
        </is>
      </c>
      <c r="B10" s="47">
        <f>NC_gap_N_CRI</f>
        <v/>
      </c>
      <c r="C10" s="13" t="inlineStr">
        <is>
          <t>A · input</t>
        </is>
      </c>
      <c r="D10" s="18" t="inlineStr">
        <is>
          <t>remaining_gap.</t>
        </is>
      </c>
    </row>
    <row r="11">
      <c r="A11" s="17" t="inlineStr">
        <is>
          <t>N_TPD on (from Need Calculator)</t>
        </is>
      </c>
      <c r="B11" s="13">
        <f>NC_on_N_TPD</f>
        <v/>
      </c>
      <c r="C11" s="13" t="inlineStr">
        <is>
          <t>A · input</t>
        </is>
      </c>
      <c r="D11" s="18" t="inlineStr">
        <is>
          <t>Effective enable after Need Calculator override.</t>
        </is>
      </c>
    </row>
    <row r="12">
      <c r="A12" s="17" t="inlineStr">
        <is>
          <t>N_TPD gap (from Need Calculator)</t>
        </is>
      </c>
      <c r="B12" s="47">
        <f>NC_gap_N_TPD</f>
        <v/>
      </c>
      <c r="C12" s="13" t="inlineStr">
        <is>
          <t>A · input</t>
        </is>
      </c>
      <c r="D12" s="18" t="inlineStr">
        <is>
          <t>remaining_gap.</t>
        </is>
      </c>
    </row>
    <row r="13">
      <c r="A13" s="17" t="inlineStr">
        <is>
          <t>N_HOS on (from Need Calculator)</t>
        </is>
      </c>
      <c r="B13" s="13">
        <f>NC_on_N_HOS</f>
        <v/>
      </c>
      <c r="C13" s="13" t="inlineStr">
        <is>
          <t>A · input</t>
        </is>
      </c>
      <c r="D13" s="18" t="inlineStr">
        <is>
          <t>Effective enable after Need Calculator override.</t>
        </is>
      </c>
    </row>
    <row r="14">
      <c r="A14" s="17" t="inlineStr">
        <is>
          <t>N_HOS gap (from Need Calculator)</t>
        </is>
      </c>
      <c r="B14" s="47">
        <f>NC_gap_N_HOS</f>
        <v/>
      </c>
      <c r="C14" s="13" t="inlineStr">
        <is>
          <t>A · input</t>
        </is>
      </c>
      <c r="D14" s="18" t="inlineStr">
        <is>
          <t>remaining_gap.</t>
        </is>
      </c>
    </row>
    <row r="15">
      <c r="A15" s="17" t="inlineStr">
        <is>
          <t>N_PAC on (from Need Calculator)</t>
        </is>
      </c>
      <c r="B15" s="13">
        <f>NC_on_N_PAC</f>
        <v/>
      </c>
      <c r="C15" s="13" t="inlineStr">
        <is>
          <t>A · input</t>
        </is>
      </c>
      <c r="D15" s="18" t="inlineStr">
        <is>
          <t>Effective enable after Need Calculator override.</t>
        </is>
      </c>
    </row>
    <row r="16">
      <c r="A16" s="17" t="inlineStr">
        <is>
          <t>N_PAC gap (from Need Calculator)</t>
        </is>
      </c>
      <c r="B16" s="47">
        <f>NC_gap_N_PAC</f>
        <v/>
      </c>
      <c r="C16" s="13" t="inlineStr">
        <is>
          <t>A · input</t>
        </is>
      </c>
      <c r="D16" s="18" t="inlineStr">
        <is>
          <t>remaining_gap.</t>
        </is>
      </c>
    </row>
    <row r="17">
      <c r="A17" s="17" t="inlineStr">
        <is>
          <t>N_LTC on (from Need Calculator)</t>
        </is>
      </c>
      <c r="B17" s="13">
        <f>NC_on_N_LTC</f>
        <v/>
      </c>
      <c r="C17" s="13" t="inlineStr">
        <is>
          <t>A · input</t>
        </is>
      </c>
      <c r="D17" s="18" t="inlineStr">
        <is>
          <t>Effective enable after Need Calculator override.</t>
        </is>
      </c>
    </row>
    <row r="18">
      <c r="A18" s="17" t="inlineStr">
        <is>
          <t>N_LTC gap (from Need Calculator)</t>
        </is>
      </c>
      <c r="B18" s="47">
        <f>NC_gap_N_LTC</f>
        <v/>
      </c>
      <c r="C18" s="13" t="inlineStr">
        <is>
          <t>A · input</t>
        </is>
      </c>
      <c r="D18" s="18" t="inlineStr">
        <is>
          <t>remaining_gap.</t>
        </is>
      </c>
    </row>
    <row r="19">
      <c r="A19" s="17" t="inlineStr">
        <is>
          <t>N_RET on (from Need Calculator)</t>
        </is>
      </c>
      <c r="B19" s="13">
        <f>NC_on_N_RET</f>
        <v/>
      </c>
      <c r="C19" s="13" t="inlineStr">
        <is>
          <t>A · input</t>
        </is>
      </c>
      <c r="D19" s="18" t="inlineStr">
        <is>
          <t>Effective enable after Need Calculator override.</t>
        </is>
      </c>
    </row>
    <row r="20">
      <c r="A20" s="17" t="inlineStr">
        <is>
          <t>N_RET gap (from Need Calculator)</t>
        </is>
      </c>
      <c r="B20" s="47">
        <f>NC_gap_N_RET</f>
        <v/>
      </c>
      <c r="C20" s="13" t="inlineStr">
        <is>
          <t>A · input</t>
        </is>
      </c>
      <c r="D20" s="18" t="inlineStr">
        <is>
          <t>remaining_gap.</t>
        </is>
      </c>
    </row>
    <row r="21">
      <c r="A21" s="17" t="inlineStr">
        <is>
          <t>N_EDU on (from Need Calculator)</t>
        </is>
      </c>
      <c r="B21" s="13">
        <f>NC_on_N_EDU</f>
        <v/>
      </c>
      <c r="C21" s="13" t="inlineStr">
        <is>
          <t>A · input</t>
        </is>
      </c>
      <c r="D21" s="18" t="inlineStr">
        <is>
          <t>Effective enable after Need Calculator override.</t>
        </is>
      </c>
    </row>
    <row r="22">
      <c r="A22" s="17" t="inlineStr">
        <is>
          <t>N_EDU gap (from Need Calculator)</t>
        </is>
      </c>
      <c r="B22" s="47">
        <f>NC_gap_N_EDU</f>
        <v/>
      </c>
      <c r="C22" s="13" t="inlineStr">
        <is>
          <t>A · input</t>
        </is>
      </c>
      <c r="D22" s="18" t="inlineStr">
        <is>
          <t>remaining_gap.</t>
        </is>
      </c>
    </row>
    <row r="23">
      <c r="A23" s="17" t="inlineStr">
        <is>
          <t>N_SAV on (from Need Calculator)</t>
        </is>
      </c>
      <c r="B23" s="13">
        <f>NC_on_N_SAV</f>
        <v/>
      </c>
      <c r="C23" s="13" t="inlineStr">
        <is>
          <t>A · input</t>
        </is>
      </c>
      <c r="D23" s="18" t="inlineStr">
        <is>
          <t>Effective enable after Need Calculator override.</t>
        </is>
      </c>
    </row>
    <row r="24">
      <c r="A24" s="17" t="inlineStr">
        <is>
          <t>N_SAV gap (from Need Calculator)</t>
        </is>
      </c>
      <c r="B24" s="47">
        <f>NC_gap_N_SAV</f>
        <v/>
      </c>
      <c r="C24" s="13" t="inlineStr">
        <is>
          <t>A · input</t>
        </is>
      </c>
      <c r="D24" s="18" t="inlineStr">
        <is>
          <t>remaining_gap.</t>
        </is>
      </c>
    </row>
    <row r="25">
      <c r="A25" s="17" t="inlineStr">
        <is>
          <t>N_PRP on (from Need Calculator)</t>
        </is>
      </c>
      <c r="B25" s="13">
        <f>NC_on_N_PRP</f>
        <v/>
      </c>
      <c r="C25" s="13" t="inlineStr">
        <is>
          <t>A · input</t>
        </is>
      </c>
      <c r="D25" s="18" t="inlineStr">
        <is>
          <t>Effective enable after Need Calculator override.</t>
        </is>
      </c>
    </row>
    <row r="26">
      <c r="A26" s="17" t="inlineStr">
        <is>
          <t>N_PRP gap (from Need Calculator)</t>
        </is>
      </c>
      <c r="B26" s="47">
        <f>NC_gap_N_PRP</f>
        <v/>
      </c>
      <c r="C26" s="13" t="inlineStr">
        <is>
          <t>A · input</t>
        </is>
      </c>
      <c r="D26" s="18" t="inlineStr">
        <is>
          <t>remaining_gap.</t>
        </is>
      </c>
    </row>
    <row r="27">
      <c r="A27" s="17" t="inlineStr">
        <is>
          <t>yearsToRet (from Need Calculator)</t>
        </is>
      </c>
      <c r="B27" s="20">
        <f>NC_yearsToRet</f>
        <v/>
      </c>
      <c r="C27" s="13" t="inlineStr">
        <is>
          <t>A · input</t>
        </is>
      </c>
      <c r="D27" s="18" t="inlineStr">
        <is>
          <t>Retirement contribution horizon.</t>
        </is>
      </c>
    </row>
    <row r="28">
      <c r="A28" s="17" t="inlineStr">
        <is>
          <t>eduYears (from Need Calculator)</t>
        </is>
      </c>
      <c r="B28" s="20">
        <f>NC_eduYears</f>
        <v/>
      </c>
      <c r="C28" s="13" t="inlineStr">
        <is>
          <t>A · input</t>
        </is>
      </c>
      <c r="D28" s="18" t="inlineStr">
        <is>
          <t>EDU / SAV / PRP contribution horizon.</t>
        </is>
      </c>
    </row>
    <row r="30">
      <c r="A30" s="19" t="inlineStr">
        <is>
          <t>D · ASSUMPTIONS / SHARED DATA</t>
        </is>
      </c>
      <c r="B30" s="19" t="n"/>
      <c r="C30" s="19" t="n"/>
      <c r="D30" s="19" t="n"/>
    </row>
    <row r="31">
      <c r="A31" s="38" t="inlineStr">
        <is>
          <t>protectionPremiumRate</t>
        </is>
      </c>
      <c r="B31" s="45">
        <f>protectionPremiumRate</f>
        <v/>
      </c>
      <c r="C31" s="36" t="inlineStr">
        <is>
          <t>D · assumption / shared</t>
        </is>
      </c>
      <c r="D31" s="18" t="inlineStr">
        <is>
          <t>Dummy 0.00078. Future: premium-quote calculator API.</t>
        </is>
      </c>
    </row>
    <row r="32">
      <c r="A32" s="38" t="inlineStr">
        <is>
          <t>FREE_BUDGET_SHARE</t>
        </is>
      </c>
      <c r="B32" s="40">
        <f>FREE_BUDGET_SHARE</f>
        <v/>
      </c>
      <c r="C32" s="36" t="inlineStr">
        <is>
          <t>D · assumption / shared</t>
        </is>
      </c>
      <c r="D32" s="18" t="inlineStr">
        <is>
          <t>Half of leftover surplus split across wealth needs.</t>
        </is>
      </c>
    </row>
    <row r="33">
      <c r="A33" s="38" t="inlineStr">
        <is>
          <t>monthly step (user currency)</t>
        </is>
      </c>
      <c r="B33" s="55">
        <f>FX_monthlyStep</f>
        <v/>
      </c>
      <c r="C33" s="36" t="inlineStr">
        <is>
          <t>D · assumption / shared</t>
        </is>
      </c>
      <c r="D33" s="18" t="inlineStr">
        <is>
          <t>monthlyRoundStep (USD) as a nice step in user currency. SGD: 50.</t>
        </is>
      </c>
    </row>
    <row r="34">
      <c r="A34" s="38" t="inlineStr">
        <is>
          <t>premium step (user currency)</t>
        </is>
      </c>
      <c r="B34" s="55">
        <f>FX_coverPremStep</f>
        <v/>
      </c>
      <c r="C34" s="36" t="inlineStr">
        <is>
          <t>D · assumption / shared</t>
        </is>
      </c>
      <c r="D34" s="18" t="inlineStr">
        <is>
          <t>coverPremRoundStep (USD) as a nice step in user currency. SGD: 10.</t>
        </is>
      </c>
    </row>
    <row r="35">
      <c r="A35" s="38" t="inlineStr">
        <is>
          <t>realReturn</t>
        </is>
      </c>
      <c r="B35" s="45">
        <f>realReturn</f>
        <v/>
      </c>
      <c r="C35" s="36" t="inlineStr">
        <is>
          <t>D · assumption / shared</t>
        </is>
      </c>
      <c r="D35" s="18" t="inlineStr">
        <is>
          <t>annualPmtToHitFv for the wealth cap.</t>
        </is>
      </c>
    </row>
    <row r="37">
      <c r="A37" s="16" t="inlineStr">
        <is>
          <t>C · DETERMINISTICALLY CALCULATED  —  suggested flags and protection sizing</t>
        </is>
      </c>
      <c r="B37" s="16" t="n"/>
      <c r="C37" s="16" t="n"/>
      <c r="D37" s="16" t="n"/>
    </row>
    <row r="38">
      <c r="A38" s="26" t="inlineStr">
        <is>
          <t>sug N_INC</t>
        </is>
      </c>
      <c r="B38" s="27">
        <f>AND(NC_on_N_INC,NC_gap_N_INC&gt;0)</f>
        <v/>
      </c>
      <c r="C38" s="27" t="inlineStr">
        <is>
          <t>C · calculated</t>
        </is>
      </c>
      <c r="D38" s="18" t="inlineStr">
        <is>
          <t>enabled AND gap &gt; 0.</t>
        </is>
      </c>
    </row>
    <row r="39">
      <c r="A39" s="26" t="inlineStr">
        <is>
          <t>sug N_CRI</t>
        </is>
      </c>
      <c r="B39" s="27">
        <f>AND(NC_on_N_CRI,NC_gap_N_CRI&gt;0)</f>
        <v/>
      </c>
      <c r="C39" s="27" t="inlineStr">
        <is>
          <t>C · calculated</t>
        </is>
      </c>
      <c r="D39" s="18" t="inlineStr">
        <is>
          <t>enabled AND gap &gt; 0.</t>
        </is>
      </c>
    </row>
    <row r="40">
      <c r="A40" s="26" t="inlineStr">
        <is>
          <t>sug N_TPD</t>
        </is>
      </c>
      <c r="B40" s="27">
        <f>AND(NC_on_N_TPD,NC_gap_N_TPD&gt;0)</f>
        <v/>
      </c>
      <c r="C40" s="27" t="inlineStr">
        <is>
          <t>C · calculated</t>
        </is>
      </c>
      <c r="D40" s="18" t="inlineStr">
        <is>
          <t>enabled AND gap &gt; 0.</t>
        </is>
      </c>
    </row>
    <row r="41">
      <c r="A41" s="26" t="inlineStr">
        <is>
          <t>sug N_HOS</t>
        </is>
      </c>
      <c r="B41" s="27">
        <f>AND(NC_on_N_HOS,NC_gap_N_HOS&gt;0)</f>
        <v/>
      </c>
      <c r="C41" s="27" t="inlineStr">
        <is>
          <t>C · calculated</t>
        </is>
      </c>
      <c r="D41" s="18" t="inlineStr">
        <is>
          <t>enabled AND gap &gt; 0.</t>
        </is>
      </c>
    </row>
    <row r="42">
      <c r="A42" s="26" t="inlineStr">
        <is>
          <t>sug N_PAC</t>
        </is>
      </c>
      <c r="B42" s="27">
        <f>AND(NC_on_N_PAC,NC_gap_N_PAC&gt;0)</f>
        <v/>
      </c>
      <c r="C42" s="27" t="inlineStr">
        <is>
          <t>C · calculated</t>
        </is>
      </c>
      <c r="D42" s="18" t="inlineStr">
        <is>
          <t>enabled AND gap &gt; 0.</t>
        </is>
      </c>
    </row>
    <row r="43">
      <c r="A43" s="26" t="inlineStr">
        <is>
          <t>sug N_LTC</t>
        </is>
      </c>
      <c r="B43" s="27">
        <f>AND(NC_on_N_LTC,NC_gap_N_LTC&gt;0)</f>
        <v/>
      </c>
      <c r="C43" s="27" t="inlineStr">
        <is>
          <t>C · calculated</t>
        </is>
      </c>
      <c r="D43" s="18" t="inlineStr">
        <is>
          <t>enabled AND gap &gt; 0.</t>
        </is>
      </c>
    </row>
    <row r="44">
      <c r="A44" s="26" t="inlineStr">
        <is>
          <t>sug N_RET</t>
        </is>
      </c>
      <c r="B44" s="27">
        <f>AND(NC_on_N_RET,NC_gap_N_RET&gt;0)</f>
        <v/>
      </c>
      <c r="C44" s="27" t="inlineStr">
        <is>
          <t>C · calculated</t>
        </is>
      </c>
      <c r="D44" s="18" t="inlineStr">
        <is>
          <t>enabled AND gap &gt; 0.</t>
        </is>
      </c>
    </row>
    <row r="45">
      <c r="A45" s="26" t="inlineStr">
        <is>
          <t>sug N_EDU</t>
        </is>
      </c>
      <c r="B45" s="27">
        <f>AND(NC_on_N_EDU,NC_gap_N_EDU&gt;0)</f>
        <v/>
      </c>
      <c r="C45" s="27" t="inlineStr">
        <is>
          <t>C · calculated</t>
        </is>
      </c>
      <c r="D45" s="18" t="inlineStr">
        <is>
          <t>enabled AND gap &gt; 0.</t>
        </is>
      </c>
    </row>
    <row r="46">
      <c r="A46" s="26" t="inlineStr">
        <is>
          <t>sug N_SAV</t>
        </is>
      </c>
      <c r="B46" s="27">
        <f>AND(NC_on_N_SAV,NC_gap_N_SAV&gt;0)</f>
        <v/>
      </c>
      <c r="C46" s="27" t="inlineStr">
        <is>
          <t>C · calculated</t>
        </is>
      </c>
      <c r="D46" s="18" t="inlineStr">
        <is>
          <t>enabled AND gap &gt; 0.</t>
        </is>
      </c>
    </row>
    <row r="47">
      <c r="A47" s="26" t="inlineStr">
        <is>
          <t>sug N_PRP</t>
        </is>
      </c>
      <c r="B47" s="27">
        <f>AND(NC_on_N_PRP,NC_gap_N_PRP&gt;0)</f>
        <v/>
      </c>
      <c r="C47" s="27" t="inlineStr">
        <is>
          <t>C · calculated</t>
        </is>
      </c>
      <c r="D47" s="18" t="inlineStr">
        <is>
          <t>enabled AND gap &gt; 0.</t>
        </is>
      </c>
    </row>
    <row r="48">
      <c r="A48" s="26" t="inlineStr">
        <is>
          <t>n wealth suggested</t>
        </is>
      </c>
      <c r="B48" s="46">
        <f>(B44*1)+(B45*1)+(B46*1)+(B47*1)</f>
        <v/>
      </c>
      <c r="C48" s="27" t="inlineStr">
        <is>
          <t>C · calculated</t>
        </is>
      </c>
      <c r="D48" s="18" t="inlineStr">
        <is>
          <t>Count of suggested wealth needs.</t>
        </is>
      </c>
    </row>
    <row r="49">
      <c r="A49" s="26" t="inlineStr">
        <is>
          <t>planSum N_INC</t>
        </is>
      </c>
      <c r="B49" s="29">
        <f>IF(B38,MAX(0,ROUND(NC_gap_N_INC,0)),0)</f>
        <v/>
      </c>
      <c r="C49" s="27" t="inlineStr">
        <is>
          <t>C · calculated</t>
        </is>
      </c>
      <c r="D49" s="18" t="inlineStr">
        <is>
          <t>Suggested protection sum = gap.</t>
        </is>
      </c>
    </row>
    <row r="50">
      <c r="A50" s="26" t="inlineStr">
        <is>
          <t>planPrem N_INC</t>
        </is>
      </c>
      <c r="B50" s="29">
        <f>IF(B49&lt;=0,0,MAX(0,ROUND((B49*protectionPremiumRate)/FX_coverPremStep,0)*FX_coverPremStep))</f>
        <v/>
      </c>
      <c r="C50" s="27" t="inlineStr">
        <is>
          <t>C · calculated</t>
        </is>
      </c>
      <c r="D50" s="18" t="inlineStr">
        <is>
          <t>coverPremiumFor(sum). Indicative, not half of slider max.</t>
        </is>
      </c>
    </row>
    <row r="51">
      <c r="A51" s="26" t="inlineStr">
        <is>
          <t>planSum N_CRI</t>
        </is>
      </c>
      <c r="B51" s="29">
        <f>IF(B39,MAX(0,ROUND(NC_gap_N_CRI,0)),0)</f>
        <v/>
      </c>
      <c r="C51" s="27" t="inlineStr">
        <is>
          <t>C · calculated</t>
        </is>
      </c>
      <c r="D51" s="18" t="inlineStr">
        <is>
          <t>Suggested protection sum = gap.</t>
        </is>
      </c>
    </row>
    <row r="52">
      <c r="A52" s="26" t="inlineStr">
        <is>
          <t>planPrem N_CRI</t>
        </is>
      </c>
      <c r="B52" s="29">
        <f>IF(B51&lt;=0,0,MAX(0,ROUND((B51*protectionPremiumRate)/FX_coverPremStep,0)*FX_coverPremStep))</f>
        <v/>
      </c>
      <c r="C52" s="27" t="inlineStr">
        <is>
          <t>C · calculated</t>
        </is>
      </c>
      <c r="D52" s="18" t="inlineStr">
        <is>
          <t>coverPremiumFor(sum). Indicative, not half of slider max.</t>
        </is>
      </c>
    </row>
    <row r="53">
      <c r="A53" s="26" t="inlineStr">
        <is>
          <t>planSum N_TPD</t>
        </is>
      </c>
      <c r="B53" s="29">
        <f>IF(B40,MAX(0,ROUND(NC_gap_N_TPD,0)),0)</f>
        <v/>
      </c>
      <c r="C53" s="27" t="inlineStr">
        <is>
          <t>C · calculated</t>
        </is>
      </c>
      <c r="D53" s="18" t="inlineStr">
        <is>
          <t>Suggested protection sum = gap.</t>
        </is>
      </c>
    </row>
    <row r="54">
      <c r="A54" s="26" t="inlineStr">
        <is>
          <t>planPrem N_TPD</t>
        </is>
      </c>
      <c r="B54" s="29">
        <f>IF(B53&lt;=0,0,MAX(0,ROUND((B53*protectionPremiumRate)/FX_coverPremStep,0)*FX_coverPremStep))</f>
        <v/>
      </c>
      <c r="C54" s="27" t="inlineStr">
        <is>
          <t>C · calculated</t>
        </is>
      </c>
      <c r="D54" s="18" t="inlineStr">
        <is>
          <t>coverPremiumFor(sum). Indicative, not half of slider max.</t>
        </is>
      </c>
    </row>
    <row r="55">
      <c r="A55" s="26" t="inlineStr">
        <is>
          <t>planSum N_HOS</t>
        </is>
      </c>
      <c r="B55" s="29">
        <f>IF(B41,MAX(0,ROUND(NC_gap_N_HOS,0)),0)</f>
        <v/>
      </c>
      <c r="C55" s="27" t="inlineStr">
        <is>
          <t>C · calculated</t>
        </is>
      </c>
      <c r="D55" s="18" t="inlineStr">
        <is>
          <t>Suggested protection sum = gap.</t>
        </is>
      </c>
    </row>
    <row r="56">
      <c r="A56" s="26" t="inlineStr">
        <is>
          <t>planPrem N_HOS</t>
        </is>
      </c>
      <c r="B56" s="29">
        <f>IF(B55&lt;=0,0,MAX(0,ROUND((B55*protectionPremiumRate)/FX_coverPremStep,0)*FX_coverPremStep))</f>
        <v/>
      </c>
      <c r="C56" s="27" t="inlineStr">
        <is>
          <t>C · calculated</t>
        </is>
      </c>
      <c r="D56" s="18" t="inlineStr">
        <is>
          <t>coverPremiumFor(sum). Indicative, not half of slider max.</t>
        </is>
      </c>
    </row>
    <row r="57">
      <c r="A57" s="26" t="inlineStr">
        <is>
          <t>planSum N_PAC</t>
        </is>
      </c>
      <c r="B57" s="29">
        <f>IF(B42,MAX(0,ROUND(NC_gap_N_PAC,0)),0)</f>
        <v/>
      </c>
      <c r="C57" s="27" t="inlineStr">
        <is>
          <t>C · calculated</t>
        </is>
      </c>
      <c r="D57" s="18" t="inlineStr">
        <is>
          <t>Suggested protection sum = gap.</t>
        </is>
      </c>
    </row>
    <row r="58">
      <c r="A58" s="26" t="inlineStr">
        <is>
          <t>planPrem N_PAC</t>
        </is>
      </c>
      <c r="B58" s="29">
        <f>IF(B57&lt;=0,0,MAX(0,ROUND((B57*protectionPremiumRate)/FX_coverPremStep,0)*FX_coverPremStep))</f>
        <v/>
      </c>
      <c r="C58" s="27" t="inlineStr">
        <is>
          <t>C · calculated</t>
        </is>
      </c>
      <c r="D58" s="18" t="inlineStr">
        <is>
          <t>coverPremiumFor(sum). Indicative, not half of slider max.</t>
        </is>
      </c>
    </row>
    <row r="59">
      <c r="A59" s="26" t="inlineStr">
        <is>
          <t>planSum N_LTC</t>
        </is>
      </c>
      <c r="B59" s="29">
        <f>IF(B43,MAX(0,ROUND(NC_gap_N_LTC,0)),0)</f>
        <v/>
      </c>
      <c r="C59" s="27" t="inlineStr">
        <is>
          <t>C · calculated</t>
        </is>
      </c>
      <c r="D59" s="18" t="inlineStr">
        <is>
          <t>Suggested protection sum = gap.</t>
        </is>
      </c>
    </row>
    <row r="60">
      <c r="A60" s="26" t="inlineStr">
        <is>
          <t>planPrem N_LTC</t>
        </is>
      </c>
      <c r="B60" s="29">
        <f>IF(B59&lt;=0,0,MAX(0,ROUND((B59*protectionPremiumRate)/FX_coverPremStep,0)*FX_coverPremStep))</f>
        <v/>
      </c>
      <c r="C60" s="27" t="inlineStr">
        <is>
          <t>C · calculated</t>
        </is>
      </c>
      <c r="D60" s="18" t="inlineStr">
        <is>
          <t>coverPremiumFor(sum). Indicative, not half of slider max.</t>
        </is>
      </c>
    </row>
    <row r="61">
      <c r="A61" s="26" t="inlineStr">
        <is>
          <t>prot prem / yr</t>
        </is>
      </c>
      <c r="B61" s="29">
        <f>B50+B52+B54+B56+B58+B60</f>
        <v/>
      </c>
      <c r="C61" s="27" t="inlineStr">
        <is>
          <t>C · calculated</t>
        </is>
      </c>
      <c r="D61" s="18" t="inlineStr">
        <is>
          <t>Sum of suggested protection premiums (before Include?).</t>
        </is>
      </c>
    </row>
    <row r="62">
      <c r="A62" s="26" t="inlineStr">
        <is>
          <t>default wealth mth share</t>
        </is>
      </c>
      <c r="B62" s="29">
        <f>IF(B48=0,0,MAX(0,ROUND((MAX(0,(PLU_takeHome-PLU_expenseMonthly)*12-B61)*FREE_BUDGET_SHARE)/12/B48/FX_monthlyStep,0)*FX_monthlyStep))</f>
        <v/>
      </c>
      <c r="C62" s="27" t="inlineStr">
        <is>
          <t>C · calculated</t>
        </is>
      </c>
      <c r="D62" s="18" t="inlineStr">
        <is>
          <t>Leftover surplus × 50% / 12 / n wealth, rounded to the monthly step.</t>
        </is>
      </c>
    </row>
    <row r="63">
      <c r="A63" s="26" t="inlineStr">
        <is>
          <t>cap mth N_RET</t>
        </is>
      </c>
      <c r="B63" s="29">
        <f>IF((IF(OR((NC_gap_N_RET)&lt;=0,(NC_yearsToRet)&lt;=0),0,IF(ABS(realReturn)&lt;1E-12,(NC_gap_N_RET)/(NC_yearsToRet),(NC_gap_N_RET)*realReturn/((1+realReturn)^(NC_yearsToRet)-1))))&lt;=0,0,ROUNDUP((IF(OR((NC_gap_N_RET)&lt;=0,(NC_yearsToRet)&lt;=0),0,IF(ABS(realReturn)&lt;1E-12,(NC_gap_N_RET)/(NC_yearsToRet),(NC_gap_N_RET)*realReturn/((1+realReturn)^(NC_yearsToRet)-1))))/12/FX_monthlyStep,0)*FX_monthlyStep)</f>
        <v/>
      </c>
      <c r="C63" s="27" t="inlineStr">
        <is>
          <t>C · calculated</t>
        </is>
      </c>
      <c r="D63" s="18" t="inlineStr">
        <is>
          <t>annualPmtToHitFv / 12, rounded up to the monthly step.</t>
        </is>
      </c>
    </row>
    <row r="64">
      <c r="A64" s="26" t="inlineStr">
        <is>
          <t>planMth N_RET</t>
        </is>
      </c>
      <c r="B64" s="29">
        <f>IF(B44,MIN(B62,B63),0)</f>
        <v/>
      </c>
      <c r="C64" s="27" t="inlineStr">
        <is>
          <t>C · calculated</t>
        </is>
      </c>
      <c r="D64" s="18" t="inlineStr">
        <is>
          <t>min(default share, cap).</t>
        </is>
      </c>
    </row>
    <row r="65">
      <c r="A65" s="26" t="inlineStr">
        <is>
          <t>planLump N_RET</t>
        </is>
      </c>
      <c r="B65" s="29" t="n">
        <v>0</v>
      </c>
      <c r="C65" s="27" t="inlineStr">
        <is>
          <t>C · calculated</t>
        </is>
      </c>
      <c r="D65" s="18" t="inlineStr">
        <is>
          <t>Default lump is 0.</t>
        </is>
      </c>
    </row>
    <row r="66">
      <c r="A66" s="26" t="inlineStr">
        <is>
          <t>cap mth N_EDU</t>
        </is>
      </c>
      <c r="B66" s="29">
        <f>IF((IF(OR((NC_gap_N_EDU)&lt;=0,(NC_eduYears)&lt;=0),0,IF(ABS(realReturn)&lt;1E-12,(NC_gap_N_EDU)/(NC_eduYears),(NC_gap_N_EDU)*realReturn/((1+realReturn)^(NC_eduYears)-1))))&lt;=0,0,ROUNDUP((IF(OR((NC_gap_N_EDU)&lt;=0,(NC_eduYears)&lt;=0),0,IF(ABS(realReturn)&lt;1E-12,(NC_gap_N_EDU)/(NC_eduYears),(NC_gap_N_EDU)*realReturn/((1+realReturn)^(NC_eduYears)-1))))/12/FX_monthlyStep,0)*FX_monthlyStep)</f>
        <v/>
      </c>
      <c r="C66" s="27" t="inlineStr">
        <is>
          <t>C · calculated</t>
        </is>
      </c>
      <c r="D66" s="18" t="inlineStr">
        <is>
          <t>annualPmtToHitFv / 12, rounded up to the monthly step.</t>
        </is>
      </c>
    </row>
    <row r="67">
      <c r="A67" s="26" t="inlineStr">
        <is>
          <t>planMth N_EDU</t>
        </is>
      </c>
      <c r="B67" s="29">
        <f>IF(B45,MIN(B62,B66),0)</f>
        <v/>
      </c>
      <c r="C67" s="27" t="inlineStr">
        <is>
          <t>C · calculated</t>
        </is>
      </c>
      <c r="D67" s="18" t="inlineStr">
        <is>
          <t>min(default share, cap).</t>
        </is>
      </c>
    </row>
    <row r="68">
      <c r="A68" s="26" t="inlineStr">
        <is>
          <t>planLump N_EDU</t>
        </is>
      </c>
      <c r="B68" s="29" t="n">
        <v>0</v>
      </c>
      <c r="C68" s="27" t="inlineStr">
        <is>
          <t>C · calculated</t>
        </is>
      </c>
      <c r="D68" s="18" t="inlineStr">
        <is>
          <t>Default lump is 0.</t>
        </is>
      </c>
    </row>
    <row r="69">
      <c r="A69" s="26" t="inlineStr">
        <is>
          <t>cap mth N_SAV</t>
        </is>
      </c>
      <c r="B69" s="29">
        <f>IF((IF(OR((NC_gap_N_SAV)&lt;=0,(NC_eduYears)&lt;=0),0,IF(ABS(realReturn)&lt;1E-12,(NC_gap_N_SAV)/(NC_eduYears),(NC_gap_N_SAV)*realReturn/((1+realReturn)^(NC_eduYears)-1))))&lt;=0,0,ROUNDUP((IF(OR((NC_gap_N_SAV)&lt;=0,(NC_eduYears)&lt;=0),0,IF(ABS(realReturn)&lt;1E-12,(NC_gap_N_SAV)/(NC_eduYears),(NC_gap_N_SAV)*realReturn/((1+realReturn)^(NC_eduYears)-1))))/12/FX_monthlyStep,0)*FX_monthlyStep)</f>
        <v/>
      </c>
      <c r="C69" s="27" t="inlineStr">
        <is>
          <t>C · calculated</t>
        </is>
      </c>
      <c r="D69" s="18" t="inlineStr">
        <is>
          <t>annualPmtToHitFv / 12, rounded up to the monthly step.</t>
        </is>
      </c>
    </row>
    <row r="70">
      <c r="A70" s="26" t="inlineStr">
        <is>
          <t>planMth N_SAV</t>
        </is>
      </c>
      <c r="B70" s="29">
        <f>IF(B46,MIN(B62,B69),0)</f>
        <v/>
      </c>
      <c r="C70" s="27" t="inlineStr">
        <is>
          <t>C · calculated</t>
        </is>
      </c>
      <c r="D70" s="18" t="inlineStr">
        <is>
          <t>min(default share, cap).</t>
        </is>
      </c>
    </row>
    <row r="71">
      <c r="A71" s="26" t="inlineStr">
        <is>
          <t>planLump N_SAV</t>
        </is>
      </c>
      <c r="B71" s="29" t="n">
        <v>0</v>
      </c>
      <c r="C71" s="27" t="inlineStr">
        <is>
          <t>C · calculated</t>
        </is>
      </c>
      <c r="D71" s="18" t="inlineStr">
        <is>
          <t>Default lump is 0.</t>
        </is>
      </c>
    </row>
    <row r="72">
      <c r="A72" s="26" t="inlineStr">
        <is>
          <t>cap mth N_PRP</t>
        </is>
      </c>
      <c r="B72" s="29">
        <f>IF((IF(OR((NC_gap_N_PRP)&lt;=0,(NC_eduYears)&lt;=0),0,IF(ABS(realReturn)&lt;1E-12,(NC_gap_N_PRP)/(NC_eduYears),(NC_gap_N_PRP)*realReturn/((1+realReturn)^(NC_eduYears)-1))))&lt;=0,0,ROUNDUP((IF(OR((NC_gap_N_PRP)&lt;=0,(NC_eduYears)&lt;=0),0,IF(ABS(realReturn)&lt;1E-12,(NC_gap_N_PRP)/(NC_eduYears),(NC_gap_N_PRP)*realReturn/((1+realReturn)^(NC_eduYears)-1))))/12/FX_monthlyStep,0)*FX_monthlyStep)</f>
        <v/>
      </c>
      <c r="C72" s="27" t="inlineStr">
        <is>
          <t>C · calculated</t>
        </is>
      </c>
      <c r="D72" s="18" t="inlineStr">
        <is>
          <t>annualPmtToHitFv / 12, rounded up to the monthly step.</t>
        </is>
      </c>
    </row>
    <row r="73">
      <c r="A73" s="26" t="inlineStr">
        <is>
          <t>planMth N_PRP</t>
        </is>
      </c>
      <c r="B73" s="29">
        <f>IF(B47,MIN(B62,B72),0)</f>
        <v/>
      </c>
      <c r="C73" s="27" t="inlineStr">
        <is>
          <t>C · calculated</t>
        </is>
      </c>
      <c r="D73" s="18" t="inlineStr">
        <is>
          <t>min(default share, cap).</t>
        </is>
      </c>
    </row>
    <row r="74">
      <c r="A74" s="26" t="inlineStr">
        <is>
          <t>planLump N_PRP</t>
        </is>
      </c>
      <c r="B74" s="29" t="n">
        <v>0</v>
      </c>
      <c r="C74" s="27" t="inlineStr">
        <is>
          <t>C · calculated</t>
        </is>
      </c>
      <c r="D74" s="18" t="inlineStr">
        <is>
          <t>Default lump is 0.</t>
        </is>
      </c>
    </row>
    <row r="76">
      <c r="A76" s="16" t="inlineStr">
        <is>
          <t>C · RESULTS  —  Include? blank keeps the suggested product</t>
        </is>
      </c>
      <c r="B76" s="16" t="n"/>
      <c r="C76" s="16" t="n"/>
      <c r="D76" s="16" t="n"/>
    </row>
    <row r="77">
      <c r="A77" s="3" t="inlineStr">
        <is>
          <t>type</t>
        </is>
      </c>
      <c r="B77" s="16" t="inlineStr">
        <is>
          <t>suggested</t>
        </is>
      </c>
      <c r="C77" s="21" t="inlineStr">
        <is>
          <t>Include?</t>
        </is>
      </c>
      <c r="D77" s="16" t="inlineStr">
        <is>
          <t>included</t>
        </is>
      </c>
    </row>
    <row r="78">
      <c r="A78" s="16" t="inlineStr">
        <is>
          <t>N_INC</t>
        </is>
      </c>
      <c r="B78" s="27">
        <f>B38</f>
        <v/>
      </c>
      <c r="C78" s="42" t="inlineStr"/>
      <c r="D78" s="27">
        <f>AND(B78,IF(C78="",TRUE,C78))</f>
        <v/>
      </c>
    </row>
    <row r="79">
      <c r="A79" s="16" t="inlineStr">
        <is>
          <t>N_CRI</t>
        </is>
      </c>
      <c r="B79" s="27">
        <f>B39</f>
        <v/>
      </c>
      <c r="C79" s="42" t="inlineStr"/>
      <c r="D79" s="27">
        <f>AND(B79,IF(C79="",TRUE,C79))</f>
        <v/>
      </c>
    </row>
    <row r="80">
      <c r="A80" s="16" t="inlineStr">
        <is>
          <t>N_TPD</t>
        </is>
      </c>
      <c r="B80" s="27">
        <f>B40</f>
        <v/>
      </c>
      <c r="C80" s="42" t="inlineStr"/>
      <c r="D80" s="27">
        <f>AND(B80,IF(C80="",TRUE,C80))</f>
        <v/>
      </c>
    </row>
    <row r="81">
      <c r="A81" s="16" t="inlineStr">
        <is>
          <t>N_HOS</t>
        </is>
      </c>
      <c r="B81" s="27">
        <f>B41</f>
        <v/>
      </c>
      <c r="C81" s="42" t="inlineStr"/>
      <c r="D81" s="27">
        <f>AND(B81,IF(C81="",TRUE,C81))</f>
        <v/>
      </c>
    </row>
    <row r="82">
      <c r="A82" s="16" t="inlineStr">
        <is>
          <t>N_PAC</t>
        </is>
      </c>
      <c r="B82" s="27">
        <f>B42</f>
        <v/>
      </c>
      <c r="C82" s="42" t="inlineStr"/>
      <c r="D82" s="27">
        <f>AND(B82,IF(C82="",TRUE,C82))</f>
        <v/>
      </c>
    </row>
    <row r="83">
      <c r="A83" s="16" t="inlineStr">
        <is>
          <t>N_LTC</t>
        </is>
      </c>
      <c r="B83" s="27">
        <f>B43</f>
        <v/>
      </c>
      <c r="C83" s="42" t="inlineStr"/>
      <c r="D83" s="27">
        <f>AND(B83,IF(C83="",TRUE,C83))</f>
        <v/>
      </c>
    </row>
    <row r="84">
      <c r="A84" s="16" t="inlineStr">
        <is>
          <t>N_RET</t>
        </is>
      </c>
      <c r="B84" s="27">
        <f>B44</f>
        <v/>
      </c>
      <c r="C84" s="42" t="inlineStr"/>
      <c r="D84" s="27">
        <f>AND(B84,IF(C84="",TRUE,C84))</f>
        <v/>
      </c>
    </row>
    <row r="85">
      <c r="A85" s="16" t="inlineStr">
        <is>
          <t>N_EDU</t>
        </is>
      </c>
      <c r="B85" s="27">
        <f>B45</f>
        <v/>
      </c>
      <c r="C85" s="42" t="inlineStr"/>
      <c r="D85" s="27">
        <f>AND(B85,IF(C85="",TRUE,C85))</f>
        <v/>
      </c>
    </row>
    <row r="86">
      <c r="A86" s="16" t="inlineStr">
        <is>
          <t>N_SAV</t>
        </is>
      </c>
      <c r="B86" s="27">
        <f>B46</f>
        <v/>
      </c>
      <c r="C86" s="42" t="inlineStr"/>
      <c r="D86" s="27">
        <f>AND(B86,IF(C86="",TRUE,C86))</f>
        <v/>
      </c>
    </row>
    <row r="87">
      <c r="A87" s="16" t="inlineStr">
        <is>
          <t>N_PRP</t>
        </is>
      </c>
      <c r="B87" s="27">
        <f>B47</f>
        <v/>
      </c>
      <c r="C87" s="42" t="inlineStr"/>
      <c r="D87" s="27">
        <f>AND(B87,IF(C87="",TRUE,C87))</f>
        <v/>
      </c>
    </row>
    <row r="89">
      <c r="A89" s="26" t="inlineStr">
        <is>
          <t>investMth</t>
        </is>
      </c>
      <c r="B89" s="29">
        <f>(D84*B64)+(D85*B67)+(D86*B70)+(D87*B73)</f>
        <v/>
      </c>
      <c r="C89" s="27" t="inlineStr">
        <is>
          <t>C · calculated</t>
        </is>
      </c>
      <c r="D89" s="18" t="inlineStr">
        <is>
          <t>Sum of included wealth monthly contributions.</t>
        </is>
      </c>
    </row>
    <row r="90">
      <c r="A90" s="26" t="inlineStr">
        <is>
          <t>investLump</t>
        </is>
      </c>
      <c r="B90" s="29">
        <f>(D84*B65)+(D85*B68)+(D86*B71)+(D87*B74)</f>
        <v/>
      </c>
      <c r="C90" s="27" t="inlineStr">
        <is>
          <t>C · calculated</t>
        </is>
      </c>
      <c r="D90" s="18" t="inlineStr">
        <is>
          <t>Sum of included wealth lumps (default 0).</t>
        </is>
      </c>
    </row>
  </sheetData>
  <mergeCells count="5">
    <mergeCell ref="A1:D1"/>
    <mergeCell ref="A37:D37"/>
    <mergeCell ref="A4:D4"/>
    <mergeCell ref="A30:D30"/>
    <mergeCell ref="A76:D76"/>
  </mergeCells>
  <dataValidations count="1">
    <dataValidation sqref="C78:C87" showDropDown="0" showInputMessage="0" showErrorMessage="0" allowBlank="1" type="list">
      <formula1>"TRUE,FALSE,"</formula1>
    </dataValidation>
  </dataValidations>
  <pageMargins left="0.75" right="0.75" top="1" bottom="1" header="0.5" footer="0.5"/>
</worksheet>
</file>

<file path=xl/worksheets/sheet10.xml><?xml version="1.0" encoding="utf-8"?>
<worksheet xmlns="http://schemas.openxmlformats.org/spreadsheetml/2006/main">
  <sheetPr>
    <tabColor rgb="008A1C1C"/>
    <outlinePr summaryBelow="1" summaryRight="1"/>
    <pageSetUpPr/>
  </sheetPr>
  <dimension ref="A1:F29"/>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Budget Calculator — selected persona. planAfford. Surplus is take-home minus expense.</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Plan Calculator</t>
        </is>
      </c>
      <c r="B4" s="12" t="n"/>
      <c r="C4" s="12" t="n"/>
      <c r="D4" s="12" t="n"/>
      <c r="F4" s="16" t="inlineStr">
        <is>
          <t>C · DETERMINISTICALLY CALCULATED</t>
        </is>
      </c>
    </row>
    <row r="5">
      <c r="A5" s="17" t="inlineStr">
        <is>
          <t>take-home (from PLU)</t>
        </is>
      </c>
      <c r="B5" s="37">
        <f>PLU_takeHome</f>
        <v/>
      </c>
      <c r="C5" s="13" t="inlineStr">
        <is>
          <t>A · input</t>
        </is>
      </c>
      <c r="D5" s="18" t="inlineStr">
        <is>
          <t>types.ts availableBudget uses take-home.</t>
        </is>
      </c>
      <c r="F5" s="19" t="inlineStr">
        <is>
          <t>D · ASSUMPTIONS / SHARED DATA</t>
        </is>
      </c>
    </row>
    <row r="6">
      <c r="A6" s="17" t="inlineStr">
        <is>
          <t>expenseMonthly (from PLU)</t>
        </is>
      </c>
      <c r="B6" s="37">
        <f>PLU_expenseMonthly</f>
        <v/>
      </c>
      <c r="C6" s="13" t="inlineStr">
        <is>
          <t>A · input</t>
        </is>
      </c>
      <c r="D6" s="18" t="inlineStr">
        <is>
          <t>Not gross income.</t>
        </is>
      </c>
      <c r="F6" s="21" t="inlineStr">
        <is>
          <t>E · USER / FRONTEND OVERRIDE</t>
        </is>
      </c>
    </row>
    <row r="7">
      <c r="A7" s="17" t="inlineStr">
        <is>
          <t>investments (from PLU)</t>
        </is>
      </c>
      <c r="B7" s="47">
        <f>PLU_investments</f>
        <v/>
      </c>
      <c r="C7" s="13" t="inlineStr">
        <is>
          <t>A · input</t>
        </is>
      </c>
      <c r="D7" s="18" t="inlineStr">
        <is>
          <t>Cap for lumps.</t>
        </is>
      </c>
    </row>
    <row r="8">
      <c r="A8" s="17" t="inlineStr">
        <is>
          <t>included N_INC premium</t>
        </is>
      </c>
      <c r="B8" s="47">
        <f>IF(PLAN_included_N_INC,PLAN_prem_N_INC,0)</f>
        <v/>
      </c>
      <c r="C8" s="13" t="inlineStr">
        <is>
          <t>A · input</t>
        </is>
      </c>
      <c r="D8" s="18" t="inlineStr">
        <is>
          <t>Only included protection.</t>
        </is>
      </c>
    </row>
    <row r="9">
      <c r="A9" s="17" t="inlineStr">
        <is>
          <t>included N_CRI premium</t>
        </is>
      </c>
      <c r="B9" s="47">
        <f>IF(PLAN_included_N_CRI,PLAN_prem_N_CRI,0)</f>
        <v/>
      </c>
      <c r="C9" s="13" t="inlineStr">
        <is>
          <t>A · input</t>
        </is>
      </c>
      <c r="D9" s="18" t="inlineStr"/>
    </row>
    <row r="10">
      <c r="A10" s="17" t="inlineStr">
        <is>
          <t>included N_TPD premium</t>
        </is>
      </c>
      <c r="B10" s="47">
        <f>IF(PLAN_included_N_TPD,PLAN_prem_N_TPD,0)</f>
        <v/>
      </c>
      <c r="C10" s="13" t="inlineStr">
        <is>
          <t>A · input</t>
        </is>
      </c>
      <c r="D10" s="18" t="inlineStr"/>
    </row>
    <row r="11">
      <c r="A11" s="17" t="inlineStr">
        <is>
          <t>included N_HOS premium</t>
        </is>
      </c>
      <c r="B11" s="47">
        <f>IF(PLAN_included_N_HOS,PLAN_prem_N_HOS,0)</f>
        <v/>
      </c>
      <c r="C11" s="13" t="inlineStr">
        <is>
          <t>A · input</t>
        </is>
      </c>
      <c r="D11" s="18" t="inlineStr"/>
    </row>
    <row r="12">
      <c r="A12" s="17" t="inlineStr">
        <is>
          <t>included N_PAC premium</t>
        </is>
      </c>
      <c r="B12" s="47">
        <f>IF(PLAN_included_N_PAC,PLAN_prem_N_PAC,0)</f>
        <v/>
      </c>
      <c r="C12" s="13" t="inlineStr">
        <is>
          <t>A · input</t>
        </is>
      </c>
      <c r="D12" s="18" t="inlineStr">
        <is>
          <t>V0-16.</t>
        </is>
      </c>
    </row>
    <row r="13">
      <c r="A13" s="17" t="inlineStr">
        <is>
          <t>included N_LTC premium</t>
        </is>
      </c>
      <c r="B13" s="47">
        <f>IF(PLAN_included_N_LTC,PLAN_prem_N_LTC,0)</f>
        <v/>
      </c>
      <c r="C13" s="13" t="inlineStr">
        <is>
          <t>A · input</t>
        </is>
      </c>
      <c r="D13" s="18" t="inlineStr">
        <is>
          <t>V0-19.</t>
        </is>
      </c>
    </row>
    <row r="14">
      <c r="A14" s="17" t="inlineStr">
        <is>
          <t>investMth (from Plan)</t>
        </is>
      </c>
      <c r="B14" s="47">
        <f>PLAN_investMth</f>
        <v/>
      </c>
      <c r="C14" s="13" t="inlineStr">
        <is>
          <t>A · input</t>
        </is>
      </c>
      <c r="D14" s="18" t="inlineStr">
        <is>
          <t>Included wealth contributions.</t>
        </is>
      </c>
    </row>
    <row r="15">
      <c r="A15" s="17" t="inlineStr">
        <is>
          <t>investLump (from Plan)</t>
        </is>
      </c>
      <c r="B15" s="47">
        <f>PLAN_investLump</f>
        <v/>
      </c>
      <c r="C15" s="13" t="inlineStr">
        <is>
          <t>A · input</t>
        </is>
      </c>
      <c r="D15" s="18" t="inlineStr">
        <is>
          <t>Included wealth lumps.</t>
        </is>
      </c>
    </row>
    <row r="17">
      <c r="A17" s="19" t="inlineStr">
        <is>
          <t>D · ASSUMPTIONS / SHARED DATA</t>
        </is>
      </c>
      <c r="B17" s="19" t="n"/>
      <c r="C17" s="19" t="n"/>
      <c r="D17" s="19" t="n"/>
    </row>
    <row r="18">
      <c r="A18" s="38" t="inlineStr">
        <is>
          <t>FREE_BUDGET_SHARE</t>
        </is>
      </c>
      <c r="B18" s="40">
        <f>FREE_BUDGET_SHARE</f>
        <v/>
      </c>
      <c r="C18" s="36" t="inlineStr">
        <is>
          <t>D · assumption / shared</t>
        </is>
      </c>
      <c r="D18" s="18" t="inlineStr">
        <is>
          <t>Half of monthly surplus is the free budget.</t>
        </is>
      </c>
    </row>
    <row r="20">
      <c r="A20" s="16" t="inlineStr">
        <is>
          <t>C · DETERMINISTICALLY CALCULATED  —  planAfford</t>
        </is>
      </c>
      <c r="B20" s="16" t="n"/>
      <c r="C20" s="16" t="n"/>
      <c r="D20" s="16" t="n"/>
    </row>
    <row r="21">
      <c r="A21" s="26" t="inlineStr">
        <is>
          <t>available</t>
        </is>
      </c>
      <c r="B21" s="28">
        <f>MAX(0,PLU_takeHome-PLU_expenseMonthly)</f>
        <v/>
      </c>
      <c r="C21" s="27" t="inlineStr">
        <is>
          <t>C · calculated</t>
        </is>
      </c>
      <c r="D21" s="18" t="inlineStr">
        <is>
          <t>max(0, take-home − expense).</t>
        </is>
      </c>
    </row>
    <row r="22">
      <c r="A22" s="26" t="inlineStr">
        <is>
          <t>free (50%)</t>
        </is>
      </c>
      <c r="B22" s="29">
        <f>ROUND(B21*FREE_BUDGET_SHARE,0)</f>
        <v/>
      </c>
      <c r="C22" s="27" t="inlineStr">
        <is>
          <t>C · calculated</t>
        </is>
      </c>
      <c r="D22" s="18" t="inlineStr">
        <is>
          <t>available × 50%, rounded.</t>
        </is>
      </c>
    </row>
    <row r="23">
      <c r="A23" s="26" t="inlineStr">
        <is>
          <t>included prot prem / yr</t>
        </is>
      </c>
      <c r="B23" s="29">
        <f>IF(PLAN_included_N_INC,PLAN_prem_N_INC,0)+IF(PLAN_included_N_CRI,PLAN_prem_N_CRI,0)+IF(PLAN_included_N_TPD,PLAN_prem_N_TPD,0)+IF(PLAN_included_N_HOS,PLAN_prem_N_HOS,0)+IF(PLAN_included_N_PAC,PLAN_prem_N_PAC,0)+IF(PLAN_included_N_LTC,PLAN_prem_N_LTC,0)</f>
        <v/>
      </c>
      <c r="C23" s="27" t="inlineStr">
        <is>
          <t>C · calculated</t>
        </is>
      </c>
      <c r="D23" s="18" t="inlineStr">
        <is>
          <t>Sum of included protection premiums.</t>
        </is>
      </c>
    </row>
    <row r="24">
      <c r="A24" s="26" t="inlineStr">
        <is>
          <t>premMth (display)</t>
        </is>
      </c>
      <c r="B24" s="29">
        <f>ROUND(B23/12,0)</f>
        <v/>
      </c>
      <c r="C24" s="27" t="inlineStr">
        <is>
          <t>C · calculated</t>
        </is>
      </c>
      <c r="D24" s="18" t="inlineStr">
        <is>
          <t>Annual premiums / 12.</t>
        </is>
      </c>
    </row>
    <row r="25">
      <c r="A25" s="26" t="inlineStr">
        <is>
          <t>contribMth</t>
        </is>
      </c>
      <c r="B25" s="29">
        <f>PLAN_investMth</f>
        <v/>
      </c>
      <c r="C25" s="27" t="inlineStr">
        <is>
          <t>C · calculated</t>
        </is>
      </c>
      <c r="D25" s="18" t="inlineStr">
        <is>
          <t>Same as investMth.</t>
        </is>
      </c>
    </row>
    <row r="26">
      <c r="A26" s="26" t="inlineStr">
        <is>
          <t>monthly</t>
        </is>
      </c>
      <c r="B26" s="29">
        <f>ROUND(PLAN_investMth+B23/12,0)</f>
        <v/>
      </c>
      <c r="C26" s="27" t="inlineStr">
        <is>
          <t>C · calculated</t>
        </is>
      </c>
      <c r="D26" s="18" t="inlineStr">
        <is>
          <t>contrib + prem/12.</t>
        </is>
      </c>
    </row>
    <row r="27">
      <c r="A27" s="26" t="inlineStr">
        <is>
          <t>monthlyOver</t>
        </is>
      </c>
      <c r="B27" s="29">
        <f>B26-B22</f>
        <v/>
      </c>
      <c r="C27" s="27" t="inlineStr">
        <is>
          <t>C · calculated</t>
        </is>
      </c>
      <c r="D27" s="18" t="inlineStr">
        <is>
          <t>&gt; 0 means the plan exceeds the free budget.</t>
        </is>
      </c>
    </row>
    <row r="28">
      <c r="A28" s="26" t="inlineStr">
        <is>
          <t>lumps</t>
        </is>
      </c>
      <c r="B28" s="29">
        <f>PLAN_investLump</f>
        <v/>
      </c>
      <c r="C28" s="27" t="inlineStr">
        <is>
          <t>C · calculated</t>
        </is>
      </c>
      <c r="D28" s="18" t="inlineStr">
        <is>
          <t>Included lumps.</t>
        </is>
      </c>
    </row>
    <row r="29">
      <c r="A29" s="26" t="inlineStr">
        <is>
          <t>lumpOver</t>
        </is>
      </c>
      <c r="B29" s="29">
        <f>B28-PLU_investments</f>
        <v/>
      </c>
      <c r="C29" s="27" t="inlineStr">
        <is>
          <t>C · calculated</t>
        </is>
      </c>
      <c r="D29" s="18" t="inlineStr">
        <is>
          <t>&gt; 0 means lumps exceed current investments.</t>
        </is>
      </c>
    </row>
  </sheetData>
  <mergeCells count="4">
    <mergeCell ref="A1:D1"/>
    <mergeCell ref="A17:D17"/>
    <mergeCell ref="A4:D4"/>
    <mergeCell ref="A20:D20"/>
  </mergeCells>
  <conditionalFormatting sqref="B27">
    <cfRule type="expression" priority="1" dxfId="0">
      <formula>B27&gt;0</formula>
    </cfRule>
    <cfRule type="expression" priority="2" dxfId="1">
      <formula>B27&lt;=0</formula>
    </cfRule>
  </conditionalFormatting>
  <conditionalFormatting sqref="B29">
    <cfRule type="expression" priority="3" dxfId="0">
      <formula>B29&gt;0</formula>
    </cfRule>
    <cfRule type="expression" priority="4" dxfId="1">
      <formula>B29&lt;=0</formula>
    </cfRule>
  </conditionalFormatting>
  <pageMargins left="0.75" right="0.75" top="1" bottom="1" header="0.5" footer="0.5"/>
</worksheet>
</file>

<file path=xl/worksheets/sheet11.xml><?xml version="1.0" encoding="utf-8"?>
<worksheet xmlns="http://schemas.openxmlformats.org/spreadsheetml/2006/main">
  <sheetPr>
    <tabColor rgb="002F5597"/>
    <outlinePr summaryBelow="1" summaryRight="1"/>
    <pageSetUpPr/>
  </sheetPr>
  <dimension ref="A1:AS24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4" customWidth="1" min="5" max="5"/>
    <col width="42" customWidth="1" min="6" max="6"/>
    <col width="14" customWidth="1" min="7" max="7"/>
    <col width="12"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s>
  <sheetData>
    <row r="1" ht="28" customHeight="1">
      <c r="A1" s="1" t="inlineStr">
        <is>
          <t>Scenario Visualizer — selected persona. One deterministic path of SV CashFlowGeneratorV2 on GP's payload.</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(People Like You, Need Calculator, Plan Calculator)</t>
        </is>
      </c>
      <c r="B4" s="12" t="n"/>
      <c r="C4" s="12" t="n"/>
      <c r="D4" s="12" t="n"/>
      <c r="F4" s="16" t="inlineStr">
        <is>
          <t>C · DETERMINISTICALLY CALCULATED</t>
        </is>
      </c>
      <c r="H4" s="19" t="inlineStr">
        <is>
          <t>D · SV CPF TABLES  —  SocialSecurityR_SGP (by age at contribution)</t>
        </is>
      </c>
      <c r="I4" s="34" t="n"/>
      <c r="J4" s="34" t="n"/>
      <c r="K4" s="34" t="n"/>
      <c r="L4" s="34" t="n"/>
      <c r="M4" s="34" t="n"/>
      <c r="N4" s="35" t="n"/>
    </row>
    <row r="5">
      <c r="A5" s="17" t="inlineStr">
        <is>
          <t>age</t>
        </is>
      </c>
      <c r="B5" s="20">
        <f>IFERROR(INDEX(Personas!C$3:C$52,MATCH($B$2,Personas!$A$3:$A$52,0)),"")</f>
        <v/>
      </c>
      <c r="C5" s="13" t="inlineStr">
        <is>
          <t>A · input</t>
        </is>
      </c>
      <c r="D5" s="18" t="inlineStr">
        <is>
          <t>Personas C.</t>
        </is>
      </c>
      <c r="F5" s="19" t="inlineStr">
        <is>
          <t>D · ASSUMPTIONS / SHARED DATA</t>
        </is>
      </c>
      <c r="H5" s="3" t="inlineStr">
        <is>
          <t>from age</t>
        </is>
      </c>
      <c r="I5" s="3" t="inlineStr">
        <is>
          <t>to age</t>
        </is>
      </c>
      <c r="J5" s="3" t="inlineStr">
        <is>
          <t>total rate</t>
        </is>
      </c>
      <c r="K5" s="3" t="inlineStr">
        <is>
          <t>employee rate</t>
        </is>
      </c>
      <c r="L5" s="3" t="inlineStr">
        <is>
          <t>OA share</t>
        </is>
      </c>
      <c r="M5" s="3" t="inlineStr">
        <is>
          <t>SA share</t>
        </is>
      </c>
      <c r="N5" s="3" t="inlineStr">
        <is>
          <t>MA share</t>
        </is>
      </c>
    </row>
    <row r="6">
      <c r="A6" s="17" t="inlineStr">
        <is>
          <t>residency</t>
        </is>
      </c>
      <c r="B6" s="13">
        <f>IFERROR(INDEX(Personas!E$3:E$52,MATCH($B$2,Personas!$A$3:$A$52,0)),"")</f>
        <v/>
      </c>
      <c r="C6" s="13" t="inlineStr">
        <is>
          <t>A · input</t>
        </is>
      </c>
      <c r="D6" s="18" t="inlineStr">
        <is>
          <t>Personas E. sv_payload.py sends CPF region R_SGP unless Foreigner.</t>
        </is>
      </c>
      <c r="F6" s="21" t="inlineStr">
        <is>
          <t>E · USER / FRONTEND OVERRIDE</t>
        </is>
      </c>
      <c r="H6" s="44" t="n">
        <v>0</v>
      </c>
      <c r="I6" s="44" t="n">
        <v>35</v>
      </c>
      <c r="J6" s="45" t="n">
        <v>0.37</v>
      </c>
      <c r="K6" s="45" t="n">
        <v>0.2</v>
      </c>
      <c r="L6" s="45" t="n">
        <v>0.6217</v>
      </c>
      <c r="M6" s="45" t="n">
        <v>0.1621</v>
      </c>
      <c r="N6" s="45" t="n">
        <v>0.2162</v>
      </c>
    </row>
    <row r="7">
      <c r="A7" s="17" t="inlineStr">
        <is>
          <t>incomeMonthly</t>
        </is>
      </c>
      <c r="B7" s="37">
        <f>PLU_incomeMonthly</f>
        <v/>
      </c>
      <c r="C7" s="13" t="inlineStr">
        <is>
          <t>A · input</t>
        </is>
      </c>
      <c r="D7" s="18" t="inlineStr">
        <is>
          <t>Salary I_SAL = round(× 12).</t>
        </is>
      </c>
      <c r="H7" s="44" t="n">
        <v>36</v>
      </c>
      <c r="I7" s="44" t="n">
        <v>45</v>
      </c>
      <c r="J7" s="45" t="n">
        <v>0.37</v>
      </c>
      <c r="K7" s="45" t="n">
        <v>0.2</v>
      </c>
      <c r="L7" s="45" t="n">
        <v>0.5677</v>
      </c>
      <c r="M7" s="45" t="n">
        <v>0.1891</v>
      </c>
      <c r="N7" s="45" t="n">
        <v>0.2432</v>
      </c>
    </row>
    <row r="8">
      <c r="A8" s="17" t="inlineStr">
        <is>
          <t>take-home</t>
        </is>
      </c>
      <c r="B8" s="37">
        <f>PLU_takeHome</f>
        <v/>
      </c>
      <c r="C8" s="13" t="inlineStr">
        <is>
          <t>A · input</t>
        </is>
      </c>
      <c r="D8" s="18" t="inlineStr">
        <is>
          <t>Investment contribution = take-home − spend.</t>
        </is>
      </c>
      <c r="H8" s="44" t="n">
        <v>46</v>
      </c>
      <c r="I8" s="44" t="n">
        <v>50</v>
      </c>
      <c r="J8" s="45" t="n">
        <v>0.37</v>
      </c>
      <c r="K8" s="45" t="n">
        <v>0.2</v>
      </c>
      <c r="L8" s="45" t="n">
        <v>0.5135999999999999</v>
      </c>
      <c r="M8" s="45" t="n">
        <v>0.2162</v>
      </c>
      <c r="N8" s="45" t="n">
        <v>0.2702</v>
      </c>
    </row>
    <row r="9">
      <c r="A9" s="17" t="inlineStr">
        <is>
          <t>expenseMonthly</t>
        </is>
      </c>
      <c r="B9" s="37">
        <f>PLU_expenseMonthly</f>
        <v/>
      </c>
      <c r="C9" s="13" t="inlineStr">
        <is>
          <t>A · input</t>
        </is>
      </c>
      <c r="D9" s="18" t="inlineStr">
        <is>
          <t>PERSONAL_EXPENSE = round(× 12).</t>
        </is>
      </c>
      <c r="H9" s="44" t="n">
        <v>51</v>
      </c>
      <c r="I9" s="44" t="n">
        <v>55</v>
      </c>
      <c r="J9" s="45" t="n">
        <v>0.37</v>
      </c>
      <c r="K9" s="45" t="n">
        <v>0.2</v>
      </c>
      <c r="L9" s="45" t="n">
        <v>0.4055</v>
      </c>
      <c r="M9" s="45" t="n">
        <v>0.3108</v>
      </c>
      <c r="N9" s="45" t="n">
        <v>0.2837</v>
      </c>
    </row>
    <row r="10">
      <c r="A10" s="17" t="inlineStr">
        <is>
          <t>cash</t>
        </is>
      </c>
      <c r="B10" s="47">
        <f>PLU_cash</f>
        <v/>
      </c>
      <c r="C10" s="13" t="inlineStr">
        <is>
          <t>A · input</t>
        </is>
      </c>
      <c r="D10" s="18" t="inlineStr">
        <is>
          <t>A_SAV, grows at interestRate.</t>
        </is>
      </c>
      <c r="H10" s="44" t="n">
        <v>56</v>
      </c>
      <c r="I10" s="44" t="n">
        <v>60</v>
      </c>
      <c r="J10" s="45" t="n">
        <v>0.325</v>
      </c>
      <c r="K10" s="45" t="n">
        <v>0.17</v>
      </c>
      <c r="L10" s="45" t="n">
        <v>0.4069</v>
      </c>
      <c r="M10" s="45" t="n">
        <v>0.2372</v>
      </c>
      <c r="N10" s="45" t="n">
        <v>0.3559</v>
      </c>
    </row>
    <row r="11">
      <c r="A11" s="17" t="inlineStr">
        <is>
          <t>investments</t>
        </is>
      </c>
      <c r="B11" s="47">
        <f>PLU_investments</f>
        <v/>
      </c>
      <c r="C11" s="13" t="inlineStr">
        <is>
          <t>A · input</t>
        </is>
      </c>
      <c r="D11" s="18" t="inlineStr">
        <is>
          <t>INVESTMENT_PORTFOLIO, grows at investmentReturn.</t>
        </is>
      </c>
      <c r="H11" s="44" t="n">
        <v>61</v>
      </c>
      <c r="I11" s="44" t="n">
        <v>65</v>
      </c>
      <c r="J11" s="45" t="n">
        <v>0.235</v>
      </c>
      <c r="K11" s="45" t="n">
        <v>0.115</v>
      </c>
      <c r="L11" s="45" t="n">
        <v>0.1709</v>
      </c>
      <c r="M11" s="45" t="n">
        <v>0.317</v>
      </c>
      <c r="N11" s="45" t="n">
        <v>0.5121</v>
      </c>
    </row>
    <row r="12">
      <c r="A12" s="17" t="inlineStr">
        <is>
          <t>property</t>
        </is>
      </c>
      <c r="B12" s="47">
        <f>PLU_property</f>
        <v/>
      </c>
      <c r="C12" s="13" t="inlineStr">
        <is>
          <t>A · input</t>
        </is>
      </c>
      <c r="D12" s="18" t="inlineStr">
        <is>
          <t>RESIDENTIAL_PROPERTY (illiquid).</t>
        </is>
      </c>
      <c r="H12" s="44" t="n">
        <v>66</v>
      </c>
      <c r="I12" s="44" t="n">
        <v>70</v>
      </c>
      <c r="J12" s="45" t="n">
        <v>0.165</v>
      </c>
      <c r="K12" s="45" t="n">
        <v>0.075</v>
      </c>
      <c r="L12" s="45" t="n">
        <v>0.0646</v>
      </c>
      <c r="M12" s="45" t="n">
        <v>0.258</v>
      </c>
      <c r="N12" s="45" t="n">
        <v>0.6774</v>
      </c>
    </row>
    <row r="13">
      <c r="A13" s="17" t="inlineStr">
        <is>
          <t>mortgage</t>
        </is>
      </c>
      <c r="B13" s="47">
        <f>PLU_mortgage</f>
        <v/>
      </c>
      <c r="C13" s="13" t="inlineStr">
        <is>
          <t>A · input</t>
        </is>
      </c>
      <c r="D13" s="18" t="inlineStr">
        <is>
          <t>Mortgage loan, 20-year annuity at loanRate.</t>
        </is>
      </c>
      <c r="H13" s="44" t="n">
        <v>71</v>
      </c>
      <c r="I13" s="44" t="n">
        <v>999</v>
      </c>
      <c r="J13" s="45" t="n">
        <v>0.125</v>
      </c>
      <c r="K13" s="45" t="n">
        <v>0.05</v>
      </c>
      <c r="L13" s="45" t="n">
        <v>0.08</v>
      </c>
      <c r="M13" s="45" t="n">
        <v>0.08</v>
      </c>
      <c r="N13" s="45" t="n">
        <v>0.84</v>
      </c>
    </row>
    <row r="14">
      <c r="A14" s="17" t="inlineStr">
        <is>
          <t>life sum assured</t>
        </is>
      </c>
      <c r="B14" s="47">
        <f>PLU_lifeSum</f>
        <v/>
      </c>
      <c r="C14" s="13" t="inlineStr">
        <is>
          <t>A · input</t>
        </is>
      </c>
      <c r="D14" s="18" t="inlineStr">
        <is>
          <t>Existing life policy (only when &gt; 0).</t>
        </is>
      </c>
    </row>
    <row r="15">
      <c r="A15" s="17" t="inlineStr">
        <is>
          <t>life premium / yr</t>
        </is>
      </c>
      <c r="B15" s="47">
        <f>PLU_lifePrem</f>
        <v/>
      </c>
      <c r="C15" s="13" t="inlineStr">
        <is>
          <t>A · input</t>
        </is>
      </c>
      <c r="D15" s="18" t="inlineStr">
        <is>
          <t>regularPremium of the existing policy.</t>
        </is>
      </c>
      <c r="H15" s="19" t="inlineStr">
        <is>
          <t>D · CPF LIFE  —  BRS and monthly payout by (55 − age)+ + year − 2023</t>
        </is>
      </c>
      <c r="I15" s="34" t="n"/>
      <c r="J15" s="34" t="n"/>
      <c r="K15" s="34" t="n"/>
      <c r="L15" s="35" t="n"/>
    </row>
    <row r="16">
      <c r="H16" s="3" t="inlineStr">
        <is>
          <t>row</t>
        </is>
      </c>
      <c r="I16" s="3" t="inlineStr">
        <is>
          <t>BRS</t>
        </is>
      </c>
      <c r="J16" s="3" t="inlineStr">
        <is>
          <t>payout × 1</t>
        </is>
      </c>
      <c r="K16" s="3" t="inlineStr">
        <is>
          <t>payout × 2</t>
        </is>
      </c>
      <c r="L16" s="3" t="inlineStr">
        <is>
          <t>payout × 3</t>
        </is>
      </c>
    </row>
    <row r="17">
      <c r="A17" s="19" t="inlineStr">
        <is>
          <t>D · ASSUMPTIONS  —  SV helium tenant conf.ini and SocialSecurityR_SGP</t>
        </is>
      </c>
      <c r="B17" s="19" t="n"/>
      <c r="C17" s="19" t="n"/>
      <c r="D17" s="19" t="n"/>
      <c r="H17" s="39" t="n">
        <v>0</v>
      </c>
      <c r="I17" s="39" t="n">
        <v>99400</v>
      </c>
      <c r="J17" s="39" t="n">
        <v>870</v>
      </c>
      <c r="K17" s="39" t="n">
        <v>1620</v>
      </c>
      <c r="L17" s="39" t="n">
        <v>2370</v>
      </c>
    </row>
    <row r="18">
      <c r="A18" s="38" t="inlineStr">
        <is>
          <t>path end age (sent: LON_AGE)</t>
        </is>
      </c>
      <c r="B18" s="44">
        <f>LON_AGE</f>
        <v/>
      </c>
      <c r="C18" s="36" t="inlineStr">
        <is>
          <t>D · assumption / shared</t>
        </is>
      </c>
      <c r="D18" s="18" t="inlineStr">
        <is>
          <t>V0-21: GP sends the cap (99); was SV tenant 100.</t>
        </is>
      </c>
      <c r="H18" s="39" t="n">
        <v>1</v>
      </c>
      <c r="I18" s="39" t="n">
        <v>102900</v>
      </c>
      <c r="J18" s="39" t="n">
        <v>900</v>
      </c>
      <c r="K18" s="39" t="n">
        <v>1640</v>
      </c>
      <c r="L18" s="39" t="n">
        <v>2350</v>
      </c>
    </row>
    <row r="19">
      <c r="A19" s="38" t="inlineStr">
        <is>
          <t>savingsRate</t>
        </is>
      </c>
      <c r="B19" s="45" t="n">
        <v>0.01</v>
      </c>
      <c r="C19" s="36" t="inlineStr">
        <is>
          <t>D · assumption / shared</t>
        </is>
      </c>
      <c r="D19" s="18" t="inlineStr">
        <is>
          <t>helium conf.ini. Savings account growth; also the premium load (× 1.01).</t>
        </is>
      </c>
      <c r="H19" s="39" t="n">
        <v>2</v>
      </c>
      <c r="I19" s="39" t="n">
        <v>106500</v>
      </c>
      <c r="J19" s="39" t="n">
        <v>930</v>
      </c>
      <c r="K19" s="39" t="n">
        <v>1730</v>
      </c>
      <c r="L19" s="39" t="n">
        <v>2530</v>
      </c>
    </row>
    <row r="20">
      <c r="A20" s="38" t="inlineStr">
        <is>
          <t>ageOfRetirement</t>
        </is>
      </c>
      <c r="B20" s="44">
        <f>ageOfRetirement</f>
        <v/>
      </c>
      <c r="C20" s="36" t="inlineStr">
        <is>
          <t>D · assumption / shared</t>
        </is>
      </c>
      <c r="D20" s="18" t="inlineStr">
        <is>
          <t>Assumptions.</t>
        </is>
      </c>
      <c r="H20" s="39" t="n">
        <v>3</v>
      </c>
      <c r="I20" s="39" t="n">
        <v>110200</v>
      </c>
      <c r="J20" s="39" t="n">
        <v>950</v>
      </c>
      <c r="K20" s="39" t="n">
        <v>1780</v>
      </c>
      <c r="L20" s="39" t="n">
        <v>2610</v>
      </c>
    </row>
    <row r="21">
      <c r="A21" s="38" t="inlineStr">
        <is>
          <t>loan / premium term (years)</t>
        </is>
      </c>
      <c r="B21" s="44" t="n">
        <v>20</v>
      </c>
      <c r="C21" s="36" t="inlineStr">
        <is>
          <t>D · assumption / shared</t>
        </is>
      </c>
      <c r="D21" s="18" t="inlineStr">
        <is>
          <t>Mortgage remainingYears and existing policyTerm in sv_payload.py.</t>
        </is>
      </c>
      <c r="H21" s="39" t="n">
        <v>4</v>
      </c>
      <c r="I21" s="39" t="n">
        <v>114100</v>
      </c>
      <c r="J21" s="39" t="n">
        <v>980</v>
      </c>
      <c r="K21" s="39" t="n">
        <v>1840</v>
      </c>
      <c r="L21" s="39" t="n">
        <v>2690</v>
      </c>
    </row>
    <row r="22">
      <c r="A22" s="38" t="inlineStr">
        <is>
          <t>property rate premium</t>
        </is>
      </c>
      <c r="B22" s="45" t="n">
        <v>0.004</v>
      </c>
      <c r="C22" s="36" t="inlineStr">
        <is>
          <t>D · assumption / shared</t>
        </is>
      </c>
      <c r="D22" s="18" t="inlineStr">
        <is>
          <t>Property grows at max(0, assetReturn + 0.4%).</t>
        </is>
      </c>
    </row>
    <row r="23">
      <c r="A23" s="38" t="inlineStr">
        <is>
          <t>currency shock share</t>
        </is>
      </c>
      <c r="B23" s="56" t="n">
        <v>0.6666666666666666</v>
      </c>
      <c r="C23" s="36" t="inlineStr">
        <is>
          <t>D · assumption / shared</t>
        </is>
      </c>
      <c r="D23" s="18" t="inlineStr">
        <is>
          <t>Liquid assets fall by 2/3 of the slider.</t>
        </is>
      </c>
    </row>
    <row r="24">
      <c r="A24" s="38" t="inlineStr">
        <is>
          <t>CPF ordinary-wage cap / yr</t>
        </is>
      </c>
      <c r="B24" s="39" t="n">
        <v>96000</v>
      </c>
      <c r="C24" s="36" t="inlineStr">
        <is>
          <t>D · assumption / shared</t>
        </is>
      </c>
      <c r="D24" s="18" t="inlineStr">
        <is>
          <t>SocialSecurityR_SGP.</t>
        </is>
      </c>
    </row>
    <row r="25">
      <c r="A25" s="38" t="inlineStr">
        <is>
          <t>CPF MA cap</t>
        </is>
      </c>
      <c r="B25" s="39" t="n">
        <v>63000</v>
      </c>
      <c r="C25" s="36" t="inlineStr">
        <is>
          <t>D · assumption / shared</t>
        </is>
      </c>
      <c r="D25" s="18" t="inlineStr">
        <is>
          <t>Medisave excess moves to RA at payout age; MA is capped from then.</t>
        </is>
      </c>
    </row>
    <row r="26">
      <c r="A26" s="38" t="inlineStr">
        <is>
          <t>CPF OA rate</t>
        </is>
      </c>
      <c r="B26" s="40" t="n">
        <v>0.025</v>
      </c>
      <c r="C26" s="36" t="inlineStr">
        <is>
          <t>D · assumption / shared</t>
        </is>
      </c>
      <c r="D26" s="18" t="inlineStr"/>
    </row>
    <row r="27">
      <c r="A27" s="38" t="inlineStr">
        <is>
          <t>CPF SA / MA rate</t>
        </is>
      </c>
      <c r="B27" s="40" t="n">
        <v>0.04</v>
      </c>
      <c r="C27" s="36" t="inlineStr">
        <is>
          <t>D · assumption / shared</t>
        </is>
      </c>
      <c r="D27" s="18" t="inlineStr"/>
    </row>
    <row r="28">
      <c r="A28" s="38" t="inlineStr">
        <is>
          <t>CPF RA / LIFE growth factor</t>
        </is>
      </c>
      <c r="B28" s="54" t="n">
        <v>1.04</v>
      </c>
      <c r="C28" s="36" t="inlineStr">
        <is>
          <t>D · assumption / shared</t>
        </is>
      </c>
      <c r="D28" s="18" t="inlineStr">
        <is>
          <t>RA and the CPF LIFE pot grow × 1.04 a year.</t>
        </is>
      </c>
    </row>
    <row r="29">
      <c r="A29" s="38" t="inlineStr">
        <is>
          <t>BRS / payout growth</t>
        </is>
      </c>
      <c r="B29" s="40" t="n">
        <v>0.03</v>
      </c>
      <c r="C29" s="36" t="inlineStr">
        <is>
          <t>D · assumption / shared</t>
        </is>
      </c>
      <c r="D29" s="18" t="inlineStr">
        <is>
          <t>Past the 2027 row, and per year of payout age past 55.</t>
        </is>
      </c>
    </row>
    <row r="30">
      <c r="A30" s="38" t="inlineStr">
        <is>
          <t>payout bonus per deferral year</t>
        </is>
      </c>
      <c r="B30" s="40" t="n">
        <v>0.07000000000000001</v>
      </c>
      <c r="C30" s="36" t="inlineStr">
        <is>
          <t>D · assumption / shared</t>
        </is>
      </c>
      <c r="D30" s="18" t="inlineStr">
        <is>
          <t>× (1 + 7% × (payout age − 65)).</t>
        </is>
      </c>
    </row>
    <row r="32">
      <c r="A32" s="16" t="inlineStr">
        <is>
          <t>C · DETERMINISTICALLY CALCULATED  —  sv_payload.py values as SV reads them</t>
        </is>
      </c>
      <c r="B32" s="16" t="n"/>
      <c r="C32" s="16" t="n"/>
      <c r="D32" s="16" t="n"/>
    </row>
    <row r="33">
      <c r="A33" s="26" t="inlineStr">
        <is>
          <t>years on the path (T)</t>
        </is>
      </c>
      <c r="B33" s="46">
        <f>MAX(SV_LE-SV_age,0)</f>
        <v/>
      </c>
      <c r="C33" s="27" t="inlineStr">
        <is>
          <t>C · calculated</t>
        </is>
      </c>
      <c r="D33" s="18" t="inlineStr">
        <is>
          <t>SV numYears = 100 − age.</t>
        </is>
      </c>
    </row>
    <row r="34">
      <c r="A34" s="26" t="inlineStr">
        <is>
          <t>array length (T + 1)</t>
        </is>
      </c>
      <c r="B34" s="46">
        <f>SV_T+1</f>
        <v/>
      </c>
      <c r="C34" s="27" t="inlineStr">
        <is>
          <t>C · calculated</t>
        </is>
      </c>
      <c r="D34" s="18" t="inlineStr">
        <is>
          <t>Asset / CPF columns run 0..T.</t>
        </is>
      </c>
    </row>
    <row r="35">
      <c r="A35" s="26" t="inlineStr">
        <is>
          <t>years to retirement</t>
        </is>
      </c>
      <c r="B35" s="46">
        <f>MAX(SV_ret-SV_age,0)</f>
        <v/>
      </c>
      <c r="C35" s="27" t="inlineStr">
        <is>
          <t>C · calculated</t>
        </is>
      </c>
      <c r="D35" s="18" t="inlineStr"/>
    </row>
    <row r="36">
      <c r="A36" s="26" t="inlineStr">
        <is>
          <t>salary zero from index</t>
        </is>
      </c>
      <c r="B36" s="46">
        <f>IF(SV_dtr&gt;=1,SV_dtr-1,SV_T-1)</f>
        <v/>
      </c>
      <c r="C36" s="27" t="inlineStr">
        <is>
          <t>C · calculated</t>
        </is>
      </c>
      <c r="D36" s="18" t="inlineStr">
        <is>
          <t>numpy arr[dtr−1:] = 0. When dtr = 0 only the last year is zeroed (SV keeps salary for retirees).</t>
        </is>
      </c>
    </row>
    <row r="37">
      <c r="A37" s="26" t="inlineStr">
        <is>
          <t>salary / yr</t>
        </is>
      </c>
      <c r="B37" s="29">
        <f>IF(MOD(SV_income*12,1)=0.5,2*ROUND((SV_income*12)/2,0),ROUND(SV_income*12,0))</f>
        <v/>
      </c>
      <c r="C37" s="27" t="inlineStr">
        <is>
          <t>C · calculated</t>
        </is>
      </c>
      <c r="D37" s="18" t="inlineStr">
        <is>
          <t>I_SAL absoluteValue. Python round (half to even).</t>
        </is>
      </c>
    </row>
    <row r="38">
      <c r="A38" s="26" t="inlineStr">
        <is>
          <t>spend / yr</t>
        </is>
      </c>
      <c r="B38" s="29">
        <f>IF(MOD(SV_expense*12,1)=0.5,2*ROUND((SV_expense*12)/2,0),ROUND(SV_expense*12,0))</f>
        <v/>
      </c>
      <c r="C38" s="27" t="inlineStr">
        <is>
          <t>C · calculated</t>
        </is>
      </c>
      <c r="D38" s="18" t="inlineStr">
        <is>
          <t>PERSONAL_EXPENSE absoluteValue. Python round (half to even).</t>
        </is>
      </c>
    </row>
    <row r="39">
      <c r="A39" s="26" t="inlineStr">
        <is>
          <t>mortgage principal</t>
        </is>
      </c>
      <c r="B39" s="29">
        <f>INT(SV_mortgage)</f>
        <v/>
      </c>
      <c r="C39" s="27" t="inlineStr">
        <is>
          <t>C · calculated</t>
        </is>
      </c>
      <c r="D39" s="18" t="inlineStr">
        <is>
          <t>int(mortgage).</t>
        </is>
      </c>
    </row>
    <row r="40">
      <c r="A40" s="26" t="inlineStr">
        <is>
          <t>mortgage instalment / yr</t>
        </is>
      </c>
      <c r="B40" s="29">
        <f>IF(SV_mortgage&gt;0,IF(MOD(IF(loanRate=0,SV_mortgage/SV_loanYears,SV_mortgage*loanRate/(1-(1+loanRate)^(-SV_loanYears))),1)=0.5,2*ROUND((IF(loanRate=0,SV_mortgage/SV_loanYears,SV_mortgage*loanRate/(1-(1+loanRate)^(-SV_loanYears))))/2,0),ROUND(IF(loanRate=0,SV_mortgage/SV_loanYears,SV_mortgage*loanRate/(1-(1+loanRate)^(-SV_loanYears))),0)),0)</f>
        <v/>
      </c>
      <c r="C40" s="27" t="inlineStr">
        <is>
          <t>C · calculated</t>
        </is>
      </c>
      <c r="D40" s="18" t="inlineStr">
        <is>
          <t>Level annual annuity that clears the loan in 20 years, interest included (goal_math.annual_loan_payment). rate 0 → mortgage / 20. Paid from spend for 20 years. Python round (half to even).</t>
        </is>
      </c>
    </row>
    <row r="41">
      <c r="A41" s="26" t="inlineStr">
        <is>
          <t>investment contribution / yr</t>
        </is>
      </c>
      <c r="B41" s="29">
        <f>IF(MOD(MAX(0,SV_takeHome-SV_expense),1)=0.5,2*ROUND((MAX(0,SV_takeHome-SV_expense))/2,0),ROUND(MAX(0,SV_takeHome-SV_expense),0))</f>
        <v/>
      </c>
      <c r="C41" s="27" t="inlineStr">
        <is>
          <t>C · calculated</t>
        </is>
      </c>
      <c r="D41" s="18" t="inlineStr">
        <is>
          <t>sv_payload.py sends the MONTHLY surplus; SV adds it once a year. Python round (half to even).</t>
        </is>
      </c>
    </row>
    <row r="42">
      <c r="A42" s="26" t="inlineStr">
        <is>
          <t>existing life premium / yr</t>
        </is>
      </c>
      <c r="B42" s="28">
        <f>IF(SV_lifeSum&gt;0,SV_lifePrem,0)*(1+SV_savRate)</f>
        <v/>
      </c>
      <c r="C42" s="27" t="inlineStr">
        <is>
          <t>C · calculated</t>
        </is>
      </c>
      <c r="D42" s="18" t="inlineStr">
        <is>
          <t>InsuranceBaseClass premium × (1 + savingsRate), first 20 years.</t>
        </is>
      </c>
    </row>
    <row r="43">
      <c r="A43" s="26" t="inlineStr">
        <is>
          <t>property growth</t>
        </is>
      </c>
      <c r="B43" s="57">
        <f>MAX(0,assetReturn+SV_propPremium)</f>
        <v/>
      </c>
      <c r="C43" s="27" t="inlineStr">
        <is>
          <t>C · calculated</t>
        </is>
      </c>
      <c r="D43" s="18" t="inlineStr"/>
    </row>
    <row r="44">
      <c r="A44" s="26" t="inlineStr">
        <is>
          <t>goal withdrawal year</t>
        </is>
      </c>
      <c r="B44" s="46">
        <f>IF(NC_eduYears&gt;=1,NC_eduYears,SV_T)</f>
        <v/>
      </c>
      <c r="C44" s="27" t="inlineStr">
        <is>
          <t>C · calculated</t>
        </is>
      </c>
      <c r="D44" s="18" t="inlineStr">
        <is>
          <t>EDU / SAV / PRP fundsNeededYear − now (default 10).</t>
        </is>
      </c>
    </row>
    <row r="45">
      <c r="A45" s="26" t="inlineStr">
        <is>
          <t>goal withdrawal amount</t>
        </is>
      </c>
      <c r="B45" s="29">
        <f>IF(NC_eduYears&lt;=SV_T,NC_on_N_EDU*NC_amount_N_EDU+NC_on_N_SAV*NC_amount_N_SAV+NC_on_N_PRP*NC_amount_N_PRP,0)</f>
        <v/>
      </c>
      <c r="C45" s="27" t="inlineStr">
        <is>
          <t>C · calculated</t>
        </is>
      </c>
      <c r="D45" s="18" t="inlineStr">
        <is>
          <t>capitalSumRequired of each enabled goal, not inflated. Leaves savings in that year.</t>
        </is>
      </c>
    </row>
    <row r="46">
      <c r="A46" s="26" t="inlineStr">
        <is>
          <t>plan RET monthly</t>
        </is>
      </c>
      <c r="B46" s="29">
        <f>IF(PLAN_included_N_RET,PLAN_mth_N_RET,0)</f>
        <v/>
      </c>
      <c r="C46" s="27" t="inlineStr">
        <is>
          <t>C · calculated</t>
        </is>
      </c>
      <c r="D46" s="18" t="inlineStr">
        <is>
          <t>plan_benefit_visualizer pot.</t>
        </is>
      </c>
    </row>
    <row r="47">
      <c r="A47" s="26" t="inlineStr">
        <is>
          <t>plan RET lump</t>
        </is>
      </c>
      <c r="B47" s="29">
        <f>IF(PLAN_included_N_RET,PLAN_lump_N_RET,0)</f>
        <v/>
      </c>
      <c r="C47" s="27" t="inlineStr">
        <is>
          <t>C · calculated</t>
        </is>
      </c>
      <c r="D47" s="18" t="inlineStr"/>
    </row>
    <row r="48">
      <c r="A48" s="26" t="inlineStr">
        <is>
          <t>plan RET pay years</t>
        </is>
      </c>
      <c r="B48" s="46">
        <f>MAX(1,SV_ret-SV_age)</f>
        <v/>
      </c>
      <c r="C48" s="27" t="inlineStr">
        <is>
          <t>C · calculated</t>
        </is>
      </c>
      <c r="D48" s="18" t="inlineStr"/>
    </row>
    <row r="49">
      <c r="A49" s="26" t="inlineStr">
        <is>
          <t>plan EDU + SAV + PRP monthly</t>
        </is>
      </c>
      <c r="B49" s="29">
        <f>IF(PLAN_included_N_EDU,PLAN_mth_N_EDU,0)+IF(PLAN_included_N_SAV,PLAN_mth_N_SAV,0)+IF(PLAN_included_N_PRP,PLAN_mth_N_PRP,0)</f>
        <v/>
      </c>
      <c r="C49" s="27" t="inlineStr">
        <is>
          <t>C · calculated</t>
        </is>
      </c>
      <c r="D49" s="18" t="inlineStr">
        <is>
          <t>Same pay years and rate, so one pot column.</t>
        </is>
      </c>
    </row>
    <row r="50">
      <c r="A50" s="26" t="inlineStr">
        <is>
          <t>plan EDU + SAV + PRP lump</t>
        </is>
      </c>
      <c r="B50" s="29">
        <f>IF(PLAN_included_N_EDU,PLAN_lump_N_EDU,0)+IF(PLAN_included_N_SAV,PLAN_lump_N_SAV,0)+IF(PLAN_included_N_PRP,PLAN_lump_N_PRP,0)</f>
        <v/>
      </c>
      <c r="C50" s="27" t="inlineStr">
        <is>
          <t>C · calculated</t>
        </is>
      </c>
      <c r="D50" s="18" t="inlineStr"/>
    </row>
    <row r="51">
      <c r="A51" s="26" t="inlineStr">
        <is>
          <t>plan goal pay years</t>
        </is>
      </c>
      <c r="B51" s="46">
        <f>MAX(1,NC_eduYears)</f>
        <v/>
      </c>
      <c r="C51" s="27" t="inlineStr">
        <is>
          <t>C · calculated</t>
        </is>
      </c>
      <c r="D51" s="18" t="inlineStr"/>
    </row>
    <row r="52">
      <c r="A52" s="26" t="inlineStr">
        <is>
          <t>plan protection premium / yr</t>
        </is>
      </c>
      <c r="B52" s="29">
        <f>IF(PLAN_included_N_INC,PLAN_prem_N_INC,0)+IF(PLAN_included_N_CRI,PLAN_prem_N_CRI,0)+IF(PLAN_included_N_TPD,PLAN_prem_N_TPD,0)+IF(PLAN_included_N_HOS,PLAN_prem_N_HOS,0)+IF(PLAN_included_N_PAC,PLAN_prem_N_PAC,0)+IF(PLAN_included_N_LTC,PLAN_prem_N_LTC,0)</f>
        <v/>
      </c>
      <c r="C52" s="27" t="inlineStr">
        <is>
          <t>C · calculated</t>
        </is>
      </c>
      <c r="D52" s="18" t="inlineStr">
        <is>
          <t>Premiums only: protection pots have no account value on SV's no-death path. Includes N_PAC and N_LTC.</t>
        </is>
      </c>
    </row>
    <row r="53">
      <c r="A53" s="26" t="inlineStr">
        <is>
          <t>plan protection pay years</t>
        </is>
      </c>
      <c r="B53" s="46">
        <f>MAX(1,SV_ret-SV_age)</f>
        <v/>
      </c>
      <c r="C53" s="27" t="inlineStr">
        <is>
          <t>C · calculated</t>
        </is>
      </c>
      <c r="D53" s="18" t="inlineStr"/>
    </row>
    <row r="55">
      <c r="A55" s="21" t="inlineStr">
        <is>
          <t>E · OVERRIDE  —  stress events (blank size = off). Slider years as on the SV screen</t>
        </is>
      </c>
      <c r="B55" s="21" t="n"/>
      <c r="C55" s="21" t="n"/>
      <c r="D55" s="21" t="n"/>
    </row>
    <row r="56">
      <c r="A56" s="41" t="inlineStr">
        <is>
          <t>R_MKT market crash: year</t>
        </is>
      </c>
      <c r="B56" s="53" t="inlineStr"/>
      <c r="C56" s="42" t="inlineStr">
        <is>
          <t>E · user / frontend override</t>
        </is>
      </c>
      <c r="D56" s="18" t="inlineStr">
        <is>
          <t>Slider year; SV applies it at year + 1.</t>
        </is>
      </c>
    </row>
    <row r="57">
      <c r="A57" s="41" t="inlineStr">
        <is>
          <t>R_MKT market crash: size</t>
        </is>
      </c>
      <c r="B57" s="58" t="inlineStr"/>
      <c r="C57" s="42" t="inlineStr">
        <is>
          <t>E · user / frontend override</t>
        </is>
      </c>
      <c r="D57" s="18" t="inlineStr">
        <is>
          <t>e.g. 0.35. Every asset × (1 − size).</t>
        </is>
      </c>
    </row>
    <row r="58">
      <c r="A58" s="41" t="inlineStr">
        <is>
          <t>R_CCY currency shock: year</t>
        </is>
      </c>
      <c r="B58" s="53" t="inlineStr"/>
      <c r="C58" s="42" t="inlineStr">
        <is>
          <t>E · user / frontend override</t>
        </is>
      </c>
      <c r="D58" s="18" t="inlineStr"/>
    </row>
    <row r="59">
      <c r="A59" s="41" t="inlineStr">
        <is>
          <t>R_CCY currency shock: size</t>
        </is>
      </c>
      <c r="B59" s="58" t="inlineStr"/>
      <c r="C59" s="42" t="inlineStr">
        <is>
          <t>E · user / frontend override</t>
        </is>
      </c>
      <c r="D59" s="18" t="inlineStr">
        <is>
          <t>Liquid assets × (1 − size × 2/3).</t>
        </is>
      </c>
    </row>
    <row r="60">
      <c r="A60" s="41" t="inlineStr">
        <is>
          <t>R_INF inflation shock: from</t>
        </is>
      </c>
      <c r="B60" s="53" t="inlineStr"/>
      <c r="C60" s="42" t="inlineStr">
        <is>
          <t>E · user / frontend override</t>
        </is>
      </c>
      <c r="D60" s="18" t="inlineStr"/>
    </row>
    <row r="61">
      <c r="A61" s="41" t="inlineStr">
        <is>
          <t>R_INF inflation shock: to</t>
        </is>
      </c>
      <c r="B61" s="53" t="inlineStr"/>
      <c r="C61" s="42" t="inlineStr">
        <is>
          <t>E · user / frontend override</t>
        </is>
      </c>
      <c r="D61" s="18" t="inlineStr"/>
    </row>
    <row r="62">
      <c r="A62" s="41" t="inlineStr">
        <is>
          <t>R_INF inflation shock: extra</t>
        </is>
      </c>
      <c r="B62" s="59" t="inlineStr"/>
      <c r="C62" s="42" t="inlineStr">
        <is>
          <t>E · user / frontend override</t>
        </is>
      </c>
      <c r="D62" s="18" t="inlineStr">
        <is>
          <t>Added to inflationRate for the window.</t>
        </is>
      </c>
    </row>
    <row r="63">
      <c r="A63" s="41" t="inlineStr">
        <is>
          <t>R_ICT income impact: from</t>
        </is>
      </c>
      <c r="B63" s="53" t="inlineStr"/>
      <c r="C63" s="42" t="inlineStr">
        <is>
          <t>E · user / frontend override</t>
        </is>
      </c>
      <c r="D63" s="18" t="inlineStr"/>
    </row>
    <row r="64">
      <c r="A64" s="41" t="inlineStr">
        <is>
          <t>R_ICT income impact: to</t>
        </is>
      </c>
      <c r="B64" s="53" t="inlineStr"/>
      <c r="C64" s="42" t="inlineStr">
        <is>
          <t>E · user / frontend override</t>
        </is>
      </c>
      <c r="D64" s="18" t="inlineStr"/>
    </row>
    <row r="65">
      <c r="A65" s="41" t="inlineStr">
        <is>
          <t>R_ICT income impact: size</t>
        </is>
      </c>
      <c r="B65" s="58" t="inlineStr"/>
      <c r="C65" s="42" t="inlineStr">
        <is>
          <t>E · user / frontend override</t>
        </is>
      </c>
      <c r="D65" s="18" t="inlineStr">
        <is>
          <t>−0.2 = salary × 0.8 (also the CPF wage).</t>
        </is>
      </c>
    </row>
    <row r="66">
      <c r="A66" s="41" t="inlineStr">
        <is>
          <t>R_EXP expense impact: from</t>
        </is>
      </c>
      <c r="B66" s="53" t="inlineStr"/>
      <c r="C66" s="42" t="inlineStr">
        <is>
          <t>E · user / frontend override</t>
        </is>
      </c>
      <c r="D66" s="18" t="inlineStr"/>
    </row>
    <row r="67">
      <c r="A67" s="41" t="inlineStr">
        <is>
          <t>R_EXP expense impact: to</t>
        </is>
      </c>
      <c r="B67" s="53" t="inlineStr"/>
      <c r="C67" s="42" t="inlineStr">
        <is>
          <t>E · user / frontend override</t>
        </is>
      </c>
      <c r="D67" s="18" t="inlineStr"/>
    </row>
    <row r="68">
      <c r="A68" s="41" t="inlineStr">
        <is>
          <t>R_EXP expense impact: size</t>
        </is>
      </c>
      <c r="B68" s="58" t="inlineStr"/>
      <c r="C68" s="42" t="inlineStr">
        <is>
          <t>E · user / frontend override</t>
        </is>
      </c>
      <c r="D68" s="18" t="inlineStr">
        <is>
          <t>Scales spend, instalment and goal withdrawals.</t>
        </is>
      </c>
    </row>
    <row r="69">
      <c r="A69" s="26" t="inlineStr">
        <is>
          <t>crash on</t>
        </is>
      </c>
      <c r="B69" s="27">
        <f>SV_crashV&lt;&gt;""</f>
        <v/>
      </c>
      <c r="C69" s="27" t="inlineStr">
        <is>
          <t>C · calculated</t>
        </is>
      </c>
      <c r="D69" s="18" t="inlineStr"/>
    </row>
    <row r="70">
      <c r="A70" s="26" t="inlineStr">
        <is>
          <t>crash year (SV)</t>
        </is>
      </c>
      <c r="B70" s="46">
        <f>MAX(1,N(SV_crashY)+1)</f>
        <v/>
      </c>
      <c r="C70" s="27" t="inlineStr">
        <is>
          <t>C · calculated</t>
        </is>
      </c>
      <c r="D70" s="18" t="inlineStr"/>
    </row>
    <row r="71">
      <c r="A71" s="26" t="inlineStr">
        <is>
          <t>crash factor</t>
        </is>
      </c>
      <c r="B71" s="60">
        <f>1-ABS(N(SV_crashV))</f>
        <v/>
      </c>
      <c r="C71" s="27" t="inlineStr">
        <is>
          <t>C · calculated</t>
        </is>
      </c>
      <c r="D71" s="18" t="inlineStr"/>
    </row>
    <row r="72">
      <c r="A72" s="26" t="inlineStr">
        <is>
          <t>currency on</t>
        </is>
      </c>
      <c r="B72" s="27">
        <f>SV_ccyV&lt;&gt;""</f>
        <v/>
      </c>
      <c r="C72" s="27" t="inlineStr">
        <is>
          <t>C · calculated</t>
        </is>
      </c>
      <c r="D72" s="18" t="inlineStr"/>
    </row>
    <row r="73">
      <c r="A73" s="26" t="inlineStr">
        <is>
          <t>currency year (SV)</t>
        </is>
      </c>
      <c r="B73" s="46">
        <f>MAX(1,N(SV_ccyY)+1)</f>
        <v/>
      </c>
      <c r="C73" s="27" t="inlineStr">
        <is>
          <t>C · calculated</t>
        </is>
      </c>
      <c r="D73" s="18" t="inlineStr"/>
    </row>
    <row r="74">
      <c r="A74" s="26" t="inlineStr">
        <is>
          <t>currency factor</t>
        </is>
      </c>
      <c r="B74" s="60">
        <f>1-ABS(N(SV_ccyV))*SV_fxShare</f>
        <v/>
      </c>
      <c r="C74" s="27" t="inlineStr">
        <is>
          <t>C · calculated</t>
        </is>
      </c>
      <c r="D74" s="18" t="inlineStr"/>
    </row>
    <row r="75">
      <c r="A75" s="26" t="inlineStr">
        <is>
          <t>inflation on</t>
        </is>
      </c>
      <c r="B75" s="27">
        <f>SV_inflV&lt;&gt;""</f>
        <v/>
      </c>
      <c r="C75" s="27" t="inlineStr">
        <is>
          <t>C · calculated</t>
        </is>
      </c>
      <c r="D75" s="18" t="inlineStr"/>
    </row>
    <row r="76">
      <c r="A76" s="26" t="inlineStr">
        <is>
          <t>inflation first year (SV)</t>
        </is>
      </c>
      <c r="B76" s="46">
        <f>MAX(1,N(SV_inflFrom)+1)</f>
        <v/>
      </c>
      <c r="C76" s="27" t="inlineStr">
        <is>
          <t>C · calculated</t>
        </is>
      </c>
      <c r="D76" s="18" t="inlineStr"/>
    </row>
    <row r="77">
      <c r="A77" s="26" t="inlineStr">
        <is>
          <t>inflation last year (SV)</t>
        </is>
      </c>
      <c r="B77" s="46">
        <f>MAX(SV_inflS,N(SV_inflTo)+1)</f>
        <v/>
      </c>
      <c r="C77" s="27" t="inlineStr">
        <is>
          <t>C · calculated</t>
        </is>
      </c>
      <c r="D77" s="18" t="inlineStr"/>
    </row>
    <row r="78">
      <c r="A78" s="26" t="inlineStr">
        <is>
          <t>income on</t>
        </is>
      </c>
      <c r="B78" s="27">
        <f>SV_incV&lt;&gt;""</f>
        <v/>
      </c>
      <c r="C78" s="27" t="inlineStr">
        <is>
          <t>C · calculated</t>
        </is>
      </c>
      <c r="D78" s="18" t="inlineStr"/>
    </row>
    <row r="79">
      <c r="A79" s="26" t="inlineStr">
        <is>
          <t>income first year (SV)</t>
        </is>
      </c>
      <c r="B79" s="46">
        <f>MAX(1,N(SV_incFrom)+1)</f>
        <v/>
      </c>
      <c r="C79" s="27" t="inlineStr">
        <is>
          <t>C · calculated</t>
        </is>
      </c>
      <c r="D79" s="18" t="inlineStr"/>
    </row>
    <row r="80">
      <c r="A80" s="26" t="inlineStr">
        <is>
          <t>income last year (SV)</t>
        </is>
      </c>
      <c r="B80" s="46">
        <f>MAX(SV_incS,N(SV_incTo)+1)</f>
        <v/>
      </c>
      <c r="C80" s="27" t="inlineStr">
        <is>
          <t>C · calculated</t>
        </is>
      </c>
      <c r="D80" s="18" t="inlineStr"/>
    </row>
    <row r="81">
      <c r="A81" s="26" t="inlineStr">
        <is>
          <t>expense on</t>
        </is>
      </c>
      <c r="B81" s="27">
        <f>SV_expV&lt;&gt;""</f>
        <v/>
      </c>
      <c r="C81" s="27" t="inlineStr">
        <is>
          <t>C · calculated</t>
        </is>
      </c>
      <c r="D81" s="18" t="inlineStr"/>
    </row>
    <row r="82">
      <c r="A82" s="26" t="inlineStr">
        <is>
          <t>expense first year (SV)</t>
        </is>
      </c>
      <c r="B82" s="46">
        <f>MAX(1,N(SV_expFrom)+1)</f>
        <v/>
      </c>
      <c r="C82" s="27" t="inlineStr">
        <is>
          <t>C · calculated</t>
        </is>
      </c>
      <c r="D82" s="18" t="inlineStr"/>
    </row>
    <row r="83">
      <c r="A83" s="26" t="inlineStr">
        <is>
          <t>expense last year (SV)</t>
        </is>
      </c>
      <c r="B83" s="46">
        <f>MAX(SV_expS,N(SV_expTo)+1)</f>
        <v/>
      </c>
      <c r="C83" s="27" t="inlineStr">
        <is>
          <t>C · calculated</t>
        </is>
      </c>
      <c r="D83" s="18" t="inlineStr"/>
    </row>
    <row r="84">
      <c r="A84" s="26" t="inlineStr">
        <is>
          <t>shock inflation rate</t>
        </is>
      </c>
      <c r="B84" s="57">
        <f>inflationRate+ABS(N(SV_inflV))</f>
        <v/>
      </c>
      <c r="C84" s="27" t="inlineStr">
        <is>
          <t>C · calculated</t>
        </is>
      </c>
      <c r="D84" s="18" t="inlineStr"/>
    </row>
    <row r="85">
      <c r="A85" s="26" t="inlineStr">
        <is>
          <t>income impact</t>
        </is>
      </c>
      <c r="B85" s="43">
        <f>IF(N(SV_incV)&lt;=0,N(SV_incV),-ABS(N(SV_incV)))</f>
        <v/>
      </c>
      <c r="C85" s="27" t="inlineStr">
        <is>
          <t>C · calculated</t>
        </is>
      </c>
      <c r="D85" s="18" t="inlineStr"/>
    </row>
    <row r="86">
      <c r="A86" s="26" t="inlineStr">
        <is>
          <t>expense impact</t>
        </is>
      </c>
      <c r="B86" s="43">
        <f>ABS(N(SV_expV))</f>
        <v/>
      </c>
      <c r="C86" s="27" t="inlineStr">
        <is>
          <t>C · calculated</t>
        </is>
      </c>
      <c r="D86" s="18" t="inlineStr"/>
    </row>
    <row r="87">
      <c r="A87" s="41" t="inlineStr">
        <is>
          <t>R_LON longevity: on (TRUE / blank)</t>
        </is>
      </c>
      <c r="B87" s="42" t="inlineStr"/>
      <c r="C87" s="42" t="inlineStr">
        <is>
          <t>E · user / frontend override</t>
        </is>
      </c>
      <c r="D87" s="18" t="inlineStr">
        <is>
          <t>Chart horizon to LON_AGE (99). SV already runs the path to 100.</t>
        </is>
      </c>
    </row>
    <row r="88">
      <c r="A88" s="26" t="inlineStr">
        <is>
          <t>R_LON on</t>
        </is>
      </c>
      <c r="B88" s="27">
        <f>SV_lonV=TRUE</f>
        <v/>
      </c>
      <c r="C88" s="27" t="inlineStr">
        <is>
          <t>C · calculated</t>
        </is>
      </c>
      <c r="D88" s="18" t="inlineStr"/>
    </row>
    <row r="89">
      <c r="A89" s="26" t="inlineStr">
        <is>
          <t>chart horizon (age)</t>
        </is>
      </c>
      <c r="B89" s="46">
        <f>IF(SV_lonOn,LON_AGE,PLU_leUsed)</f>
        <v/>
      </c>
      <c r="C89" s="27" t="inlineStr">
        <is>
          <t>C · calculated</t>
        </is>
      </c>
      <c r="D89" s="18" t="inlineStr">
        <is>
          <t>Session life expectancy, or LON_AGE under R_LON.</t>
        </is>
      </c>
    </row>
    <row r="90">
      <c r="A90" s="41" t="inlineStr">
        <is>
          <t>R_DEA death: on (TRUE / blank)</t>
        </is>
      </c>
      <c r="B90" s="42" t="inlineStr"/>
      <c r="C90" s="42" t="inlineStr">
        <is>
          <t>E · user / frontend override</t>
        </is>
      </c>
      <c r="D90" s="18" t="inlineStr">
        <is>
          <t>Size and timing from Assumptions (R_DEA_SIZE, R_DEA_WHEN).</t>
        </is>
      </c>
    </row>
    <row r="91">
      <c r="A91" s="26" t="inlineStr">
        <is>
          <t>R_DEA on</t>
        </is>
      </c>
      <c r="B91" s="27">
        <f>SV_deaV=TRUE</f>
        <v/>
      </c>
      <c r="C91" s="27" t="inlineStr">
        <is>
          <t>C · calculated</t>
        </is>
      </c>
      <c r="D91" s="18" t="inlineStr"/>
    </row>
    <row r="92">
      <c r="A92" s="26" t="inlineStr">
        <is>
          <t>R_DEA engine year</t>
        </is>
      </c>
      <c r="B92" s="46">
        <f>MAX(1,R_DEA_WHEN-SV_age)</f>
        <v/>
      </c>
      <c r="C92" s="27" t="inlineStr">
        <is>
          <t>C · calculated</t>
        </is>
      </c>
      <c r="D92" s="18" t="inlineStr">
        <is>
          <t>Age-based; if already older, next year.</t>
        </is>
      </c>
    </row>
    <row r="93">
      <c r="A93" s="26" t="inlineStr">
        <is>
          <t>R_DEA cost (user currency)</t>
        </is>
      </c>
      <c r="B93" s="29">
        <f>R_DEA_SIZE/FX_usdPerLocal</f>
        <v/>
      </c>
      <c r="C93" s="27" t="inlineStr">
        <is>
          <t>C · calculated</t>
        </is>
      </c>
      <c r="D93" s="18" t="inlineStr">
        <is>
          <t>USD size ÷ rate. Grown with the spend index.</t>
        </is>
      </c>
    </row>
    <row r="94">
      <c r="A94" s="41" t="inlineStr">
        <is>
          <t>R_CRI critical illness: on (TRUE / blank)</t>
        </is>
      </c>
      <c r="B94" s="42" t="inlineStr"/>
      <c r="C94" s="42" t="inlineStr">
        <is>
          <t>E · user / frontend override</t>
        </is>
      </c>
      <c r="D94" s="18" t="inlineStr">
        <is>
          <t>Size and timing from Assumptions (R_CRI_SIZE, R_CRI_WHEN).</t>
        </is>
      </c>
    </row>
    <row r="95">
      <c r="A95" s="26" t="inlineStr">
        <is>
          <t>R_CRI on</t>
        </is>
      </c>
      <c r="B95" s="27">
        <f>SV_criV=TRUE</f>
        <v/>
      </c>
      <c r="C95" s="27" t="inlineStr">
        <is>
          <t>C · calculated</t>
        </is>
      </c>
      <c r="D95" s="18" t="inlineStr"/>
    </row>
    <row r="96">
      <c r="A96" s="26" t="inlineStr">
        <is>
          <t>R_CRI engine year</t>
        </is>
      </c>
      <c r="B96" s="46">
        <f>MAX(1,R_CRI_WHEN-SV_age)</f>
        <v/>
      </c>
      <c r="C96" s="27" t="inlineStr">
        <is>
          <t>C · calculated</t>
        </is>
      </c>
      <c r="D96" s="18" t="inlineStr">
        <is>
          <t>Age-based; if already older, next year.</t>
        </is>
      </c>
    </row>
    <row r="97">
      <c r="A97" s="26" t="inlineStr">
        <is>
          <t>R_CRI cost (user currency)</t>
        </is>
      </c>
      <c r="B97" s="29">
        <f>R_CRI_SIZE/FX_usdPerLocal</f>
        <v/>
      </c>
      <c r="C97" s="27" t="inlineStr">
        <is>
          <t>C · calculated</t>
        </is>
      </c>
      <c r="D97" s="18" t="inlineStr">
        <is>
          <t>USD size ÷ rate. Grown with the spend index.</t>
        </is>
      </c>
    </row>
    <row r="98">
      <c r="A98" s="41" t="inlineStr">
        <is>
          <t>R_TPD TPD: on (TRUE / blank)</t>
        </is>
      </c>
      <c r="B98" s="42" t="inlineStr"/>
      <c r="C98" s="42" t="inlineStr">
        <is>
          <t>E · user / frontend override</t>
        </is>
      </c>
      <c r="D98" s="18" t="inlineStr">
        <is>
          <t>Size and timing from Assumptions (R_TPD_SIZE, R_TPD_WHEN).</t>
        </is>
      </c>
    </row>
    <row r="99">
      <c r="A99" s="26" t="inlineStr">
        <is>
          <t>R_TPD on</t>
        </is>
      </c>
      <c r="B99" s="27">
        <f>SV_tpdV=TRUE</f>
        <v/>
      </c>
      <c r="C99" s="27" t="inlineStr">
        <is>
          <t>C · calculated</t>
        </is>
      </c>
      <c r="D99" s="18" t="inlineStr"/>
    </row>
    <row r="100">
      <c r="A100" s="26" t="inlineStr">
        <is>
          <t>R_TPD engine year</t>
        </is>
      </c>
      <c r="B100" s="46">
        <f>MAX(1,R_TPD_WHEN-SV_age)</f>
        <v/>
      </c>
      <c r="C100" s="27" t="inlineStr">
        <is>
          <t>C · calculated</t>
        </is>
      </c>
      <c r="D100" s="18" t="inlineStr">
        <is>
          <t>Age-based; if already older, next year.</t>
        </is>
      </c>
    </row>
    <row r="101">
      <c r="A101" s="26" t="inlineStr">
        <is>
          <t>R_TPD cost (user currency)</t>
        </is>
      </c>
      <c r="B101" s="29">
        <f>R_TPD_SIZE/FX_usdPerLocal</f>
        <v/>
      </c>
      <c r="C101" s="27" t="inlineStr">
        <is>
          <t>C · calculated</t>
        </is>
      </c>
      <c r="D101" s="18" t="inlineStr">
        <is>
          <t>USD size ÷ rate. Grown with the spend index.</t>
        </is>
      </c>
    </row>
    <row r="102">
      <c r="A102" s="41" t="inlineStr">
        <is>
          <t>R_PAC personal accident: on (TRUE / blank)</t>
        </is>
      </c>
      <c r="B102" s="42" t="inlineStr"/>
      <c r="C102" s="42" t="inlineStr">
        <is>
          <t>E · user / frontend override</t>
        </is>
      </c>
      <c r="D102" s="18" t="inlineStr">
        <is>
          <t>Size and timing from Assumptions (R_PAC_SIZE, R_PAC_WHEN).</t>
        </is>
      </c>
    </row>
    <row r="103">
      <c r="A103" s="26" t="inlineStr">
        <is>
          <t>R_PAC on</t>
        </is>
      </c>
      <c r="B103" s="27">
        <f>SV_pacV=TRUE</f>
        <v/>
      </c>
      <c r="C103" s="27" t="inlineStr">
        <is>
          <t>C · calculated</t>
        </is>
      </c>
      <c r="D103" s="18" t="inlineStr"/>
    </row>
    <row r="104">
      <c r="A104" s="26" t="inlineStr">
        <is>
          <t>R_PAC engine year</t>
        </is>
      </c>
      <c r="B104" s="46">
        <f>MAX(1,R_PAC_WHEN-SV_age)</f>
        <v/>
      </c>
      <c r="C104" s="27" t="inlineStr">
        <is>
          <t>C · calculated</t>
        </is>
      </c>
      <c r="D104" s="18" t="inlineStr">
        <is>
          <t>Age-based; if already older, next year.</t>
        </is>
      </c>
    </row>
    <row r="105">
      <c r="A105" s="26" t="inlineStr">
        <is>
          <t>R_PAC cost (user currency)</t>
        </is>
      </c>
      <c r="B105" s="29">
        <f>R_PAC_SIZE/FX_usdPerLocal</f>
        <v/>
      </c>
      <c r="C105" s="27" t="inlineStr">
        <is>
          <t>C · calculated</t>
        </is>
      </c>
      <c r="D105" s="18" t="inlineStr">
        <is>
          <t>USD size ÷ rate. Grown with the spend index.</t>
        </is>
      </c>
    </row>
    <row r="106">
      <c r="A106" s="41" t="inlineStr">
        <is>
          <t>R_HOS hospitalisation: on (TRUE / blank)</t>
        </is>
      </c>
      <c r="B106" s="42" t="inlineStr"/>
      <c r="C106" s="42" t="inlineStr">
        <is>
          <t>E · user / frontend override</t>
        </is>
      </c>
      <c r="D106" s="18" t="inlineStr">
        <is>
          <t>Size and timing from Assumptions (R_HOS_SIZE, R_HOS_WHEN).</t>
        </is>
      </c>
    </row>
    <row r="107">
      <c r="A107" s="26" t="inlineStr">
        <is>
          <t>R_HOS on</t>
        </is>
      </c>
      <c r="B107" s="27">
        <f>SV_hosV=TRUE</f>
        <v/>
      </c>
      <c r="C107" s="27" t="inlineStr">
        <is>
          <t>C · calculated</t>
        </is>
      </c>
      <c r="D107" s="18" t="inlineStr"/>
    </row>
    <row r="108">
      <c r="A108" s="26" t="inlineStr">
        <is>
          <t>R_HOS engine year</t>
        </is>
      </c>
      <c r="B108" s="46">
        <f>MAX(1,R_HOS_WHEN-SV_age)</f>
        <v/>
      </c>
      <c r="C108" s="27" t="inlineStr">
        <is>
          <t>C · calculated</t>
        </is>
      </c>
      <c r="D108" s="18" t="inlineStr">
        <is>
          <t>Age-based; if already older, next year.</t>
        </is>
      </c>
    </row>
    <row r="109">
      <c r="A109" s="26" t="inlineStr">
        <is>
          <t>R_HOS cost (user currency)</t>
        </is>
      </c>
      <c r="B109" s="29">
        <f>R_HOS_SIZE/FX_usdPerLocal</f>
        <v/>
      </c>
      <c r="C109" s="27" t="inlineStr">
        <is>
          <t>C · calculated</t>
        </is>
      </c>
      <c r="D109" s="18" t="inlineStr">
        <is>
          <t>USD size ÷ rate. Grown with the spend index.</t>
        </is>
      </c>
    </row>
    <row r="110">
      <c r="A110" s="41" t="inlineStr">
        <is>
          <t>R_LTC long-term care: on (TRUE / blank)</t>
        </is>
      </c>
      <c r="B110" s="42" t="inlineStr"/>
      <c r="C110" s="42" t="inlineStr">
        <is>
          <t>E · user / frontend override</t>
        </is>
      </c>
      <c r="D110" s="18" t="inlineStr">
        <is>
          <t>Size and timing from Assumptions (R_LTC_SIZE, R_LTC_WHEN).</t>
        </is>
      </c>
    </row>
    <row r="111">
      <c r="A111" s="26" t="inlineStr">
        <is>
          <t>R_LTC on</t>
        </is>
      </c>
      <c r="B111" s="27">
        <f>SV_ltcV=TRUE</f>
        <v/>
      </c>
      <c r="C111" s="27" t="inlineStr">
        <is>
          <t>C · calculated</t>
        </is>
      </c>
      <c r="D111" s="18" t="inlineStr"/>
    </row>
    <row r="112">
      <c r="A112" s="26" t="inlineStr">
        <is>
          <t>R_LTC first year</t>
        </is>
      </c>
      <c r="B112" s="46">
        <f>MAX(1,NC_ltcStartAge-SV_age)</f>
        <v/>
      </c>
      <c r="C112" s="27" t="inlineStr">
        <is>
          <t>C · calculated</t>
        </is>
      </c>
      <c r="D112" s="18" t="inlineStr">
        <is>
          <t>LTC start age (Need Calculator input).</t>
        </is>
      </c>
    </row>
    <row r="113">
      <c r="A113" s="26" t="inlineStr">
        <is>
          <t>R_LTC last year</t>
        </is>
      </c>
      <c r="B113" s="46">
        <f>MAX(SV_ltcM,PLU_leUsed-SV_age-1)</f>
        <v/>
      </c>
      <c r="C113" s="27" t="inlineStr">
        <is>
          <t>C · calculated</t>
        </is>
      </c>
      <c r="D113" s="18" t="inlineStr">
        <is>
          <t>Last year before the session life expectancy (same years as N_LTC).</t>
        </is>
      </c>
    </row>
    <row r="114">
      <c r="A114" s="26" t="inlineStr">
        <is>
          <t>R_LTC cost (user currency)</t>
        </is>
      </c>
      <c r="B114" s="29">
        <f>R_LTC_SIZE/FX_usdPerLocal</f>
        <v/>
      </c>
      <c r="C114" s="27" t="inlineStr">
        <is>
          <t>C · calculated</t>
        </is>
      </c>
      <c r="D114" s="18" t="inlineStr">
        <is>
          <t>USD size ÷ rate. Grown with the spend index.</t>
        </is>
      </c>
    </row>
    <row r="115">
      <c r="A115" s="41" t="inlineStr">
        <is>
          <t>R_WED wedding: on (TRUE / blank)</t>
        </is>
      </c>
      <c r="B115" s="42" t="inlineStr"/>
      <c r="C115" s="42" t="inlineStr">
        <is>
          <t>E · user / frontend override</t>
        </is>
      </c>
      <c r="D115" s="18" t="inlineStr">
        <is>
          <t>Size and timing from Assumptions (R_WED_SIZE, R_WED_WHEN).</t>
        </is>
      </c>
    </row>
    <row r="116">
      <c r="A116" s="26" t="inlineStr">
        <is>
          <t>R_WED on</t>
        </is>
      </c>
      <c r="B116" s="27">
        <f>SV_wedV=TRUE</f>
        <v/>
      </c>
      <c r="C116" s="27" t="inlineStr">
        <is>
          <t>C · calculated</t>
        </is>
      </c>
      <c r="D116" s="18" t="inlineStr"/>
    </row>
    <row r="117">
      <c r="A117" s="26" t="inlineStr">
        <is>
          <t>R_WED engine year</t>
        </is>
      </c>
      <c r="B117" s="46">
        <f>MAX(1,N(R_WED_WHEN)+1)</f>
        <v/>
      </c>
      <c r="C117" s="27" t="inlineStr">
        <is>
          <t>C · calculated</t>
        </is>
      </c>
      <c r="D117" s="18" t="inlineStr">
        <is>
          <t>Years from today; SV applies at year + 1.</t>
        </is>
      </c>
    </row>
    <row r="118">
      <c r="A118" s="26" t="inlineStr">
        <is>
          <t>R_WED cost (user currency)</t>
        </is>
      </c>
      <c r="B118" s="29">
        <f>R_WED_SIZE/FX_usdPerLocal</f>
        <v/>
      </c>
      <c r="C118" s="27" t="inlineStr">
        <is>
          <t>C · calculated</t>
        </is>
      </c>
      <c r="D118" s="18" t="inlineStr">
        <is>
          <t>USD size ÷ rate. Grown with the spend index.</t>
        </is>
      </c>
    </row>
    <row r="119">
      <c r="A119" s="41" t="inlineStr">
        <is>
          <t>R_BAB newborn: on (TRUE / blank)</t>
        </is>
      </c>
      <c r="B119" s="42" t="inlineStr"/>
      <c r="C119" s="42" t="inlineStr">
        <is>
          <t>E · user / frontend override</t>
        </is>
      </c>
      <c r="D119" s="18" t="inlineStr">
        <is>
          <t>Size and timing from Assumptions (R_BAB_SIZE, R_BAB_WHEN).</t>
        </is>
      </c>
    </row>
    <row r="120">
      <c r="A120" s="26" t="inlineStr">
        <is>
          <t>R_BAB on</t>
        </is>
      </c>
      <c r="B120" s="27">
        <f>SV_babV=TRUE</f>
        <v/>
      </c>
      <c r="C120" s="27" t="inlineStr">
        <is>
          <t>C · calculated</t>
        </is>
      </c>
      <c r="D120" s="18" t="inlineStr"/>
    </row>
    <row r="121">
      <c r="A121" s="26" t="inlineStr">
        <is>
          <t>R_BAB engine year</t>
        </is>
      </c>
      <c r="B121" s="46">
        <f>MAX(1,N(R_BAB_WHEN)+1)</f>
        <v/>
      </c>
      <c r="C121" s="27" t="inlineStr">
        <is>
          <t>C · calculated</t>
        </is>
      </c>
      <c r="D121" s="18" t="inlineStr">
        <is>
          <t>Years from today; SV applies at year + 1.</t>
        </is>
      </c>
    </row>
    <row r="122">
      <c r="A122" s="26" t="inlineStr">
        <is>
          <t>R_BAB cost (user currency)</t>
        </is>
      </c>
      <c r="B122" s="29">
        <f>R_BAB_SIZE/FX_usdPerLocal</f>
        <v/>
      </c>
      <c r="C122" s="27" t="inlineStr">
        <is>
          <t>C · calculated</t>
        </is>
      </c>
      <c r="D122" s="18" t="inlineStr">
        <is>
          <t>USD size ÷ rate. Grown with the spend index.</t>
        </is>
      </c>
    </row>
    <row r="124">
      <c r="A124" s="16" t="inlineStr">
        <is>
          <t>C · CPF AT PAYOUT AGE  —  numpy indexing as SV runs it (negative index counts from the end)</t>
        </is>
      </c>
      <c r="B124" s="16" t="n"/>
      <c r="C124" s="16" t="n"/>
      <c r="D124" s="16" t="n"/>
    </row>
    <row r="125">
      <c r="A125" s="26" t="inlineStr">
        <is>
          <t>CPF on</t>
        </is>
      </c>
      <c r="B125" s="27">
        <f>SV_residency&lt;&gt;"Foreigner"</f>
        <v/>
      </c>
      <c r="C125" s="27" t="inlineStr">
        <is>
          <t>C · calculated</t>
        </is>
      </c>
      <c r="D125" s="18" t="inlineStr">
        <is>
          <t>sv_payload.py: region R_SGP unless Foreigner (not the CPF tab country switch).</t>
        </is>
      </c>
    </row>
    <row r="126">
      <c r="A126" s="26" t="inlineStr">
        <is>
          <t>payout age</t>
        </is>
      </c>
      <c r="B126" s="46">
        <f>MAX(65,SV_ret)</f>
        <v/>
      </c>
      <c r="C126" s="27" t="inlineStr">
        <is>
          <t>C · calculated</t>
        </is>
      </c>
      <c r="D126" s="18" t="inlineStr">
        <is>
          <t>ageStartPayout.</t>
        </is>
      </c>
    </row>
    <row r="127">
      <c r="A127" s="26" t="inlineStr">
        <is>
          <t>contribution stop index</t>
        </is>
      </c>
      <c r="B127" s="46">
        <f>MIN(70,SV_ret)-SV_age+1</f>
        <v/>
      </c>
      <c r="C127" s="27" t="inlineStr">
        <is>
          <t>C · calculated</t>
        </is>
      </c>
      <c r="D127" s="18" t="inlineStr">
        <is>
          <t>Contributions zero from here.</t>
        </is>
      </c>
    </row>
    <row r="128">
      <c r="A128" s="26" t="inlineStr">
        <is>
          <t>payout index</t>
        </is>
      </c>
      <c r="B128" s="46">
        <f>SV_asp-SV_age+1</f>
        <v/>
      </c>
      <c r="C128" s="27" t="inlineStr">
        <is>
          <t>C · calculated</t>
        </is>
      </c>
      <c r="D128" s="18" t="inlineStr">
        <is>
          <t>Past age 66 the payout index is negative, so SV wraps RA into year 0 (Discrepancies).</t>
        </is>
      </c>
    </row>
    <row r="129">
      <c r="A129" s="26" t="inlineStr">
        <is>
          <t>contributions zero from (effective)</t>
        </is>
      </c>
      <c r="B129" s="46">
        <f>IF(SV_stop&gt;=0,MIN(SV_stop,SV_L),MAX(0,SV_L+(SV_stop)))</f>
        <v/>
      </c>
      <c r="C129" s="27" t="inlineStr">
        <is>
          <t>C · calculated</t>
        </is>
      </c>
      <c r="D129" s="18" t="inlineStr"/>
    </row>
    <row r="130">
      <c r="A130" s="26" t="inlineStr">
        <is>
          <t>employee CPF zero from (effective)</t>
        </is>
      </c>
      <c r="B130" s="46">
        <f>IF(SV_stop-1&gt;=0,MIN(SV_stop-1,SV_L),MAX(0,SV_L+(SV_stop-1)))</f>
        <v/>
      </c>
      <c r="C130" s="27" t="inlineStr">
        <is>
          <t>C · calculated</t>
        </is>
      </c>
      <c r="D130" s="18" t="inlineStr"/>
    </row>
    <row r="131">
      <c r="A131" s="26" t="inlineStr">
        <is>
          <t>payout column (effective)</t>
        </is>
      </c>
      <c r="B131" s="46">
        <f>IF(SV_sp&gt;=0,MIN(SV_sp,SV_L),MAX(0,SV_L+(SV_sp)))</f>
        <v/>
      </c>
      <c r="C131" s="27" t="inlineStr">
        <is>
          <t>C · calculated</t>
        </is>
      </c>
      <c r="D131" s="18" t="inlineStr"/>
    </row>
    <row r="132">
      <c r="A132" s="26" t="inlineStr">
        <is>
          <t>column before payout (effective)</t>
        </is>
      </c>
      <c r="B132" s="46">
        <f>IF(SV_sp-1&gt;=0,MIN(SV_sp-1,SV_L),MAX(0,SV_L+(SV_sp-1)))</f>
        <v/>
      </c>
      <c r="C132" s="27" t="inlineStr">
        <is>
          <t>C · calculated</t>
        </is>
      </c>
      <c r="D132" s="18" t="inlineStr"/>
    </row>
    <row r="133">
      <c r="A133" s="26" t="inlineStr">
        <is>
          <t>BRS row</t>
        </is>
      </c>
      <c r="B133" s="46">
        <f>MAX(55-SV_age,0)+currentYear-2023</f>
        <v/>
      </c>
      <c r="C133" s="27" t="inlineStr">
        <is>
          <t>C · calculated</t>
        </is>
      </c>
      <c r="D133" s="18" t="inlineStr"/>
    </row>
    <row r="134">
      <c r="A134" s="26" t="inlineStr">
        <is>
          <t>BRS at payout age</t>
        </is>
      </c>
      <c r="B134" s="29">
        <f>IF(SV_brsIdx&lt;5,INDEX(SV_brsTbl,SV_brsIdx+1),INDEX(SV_brsTbl,5)*(1+SV_brsGrowth)^(SV_brsIdx-4))*(1+SV_brsGrowth)^(SV_asp-55)</f>
        <v/>
      </c>
      <c r="C134" s="27" t="inlineStr">
        <is>
          <t>C · calculated</t>
        </is>
      </c>
      <c r="D134" s="18" t="inlineStr"/>
    </row>
    <row r="135">
      <c r="A135" s="26" t="inlineStr">
        <is>
          <t>RA at payout (before CPF LIFE)</t>
        </is>
      </c>
      <c r="B135" s="29">
        <f>INDEX($X$162:$X$244,SV_pIdx+1)+INDEX($Y$162:$Y$244,SV_pIdx+1)+MAX(INDEX($V$162:$V$244,SV_pIdx+1)-SV_maCap,0)</f>
        <v/>
      </c>
      <c r="C135" s="27" t="inlineStr">
        <is>
          <t>C · calculated</t>
        </is>
      </c>
      <c r="D135" s="18" t="inlineStr">
        <is>
          <t>OA + SA + MA above the cap, one column before payout.</t>
        </is>
      </c>
    </row>
    <row r="136">
      <c r="A136" s="26" t="inlineStr">
        <is>
          <t>BRS multiple (max 3)</t>
        </is>
      </c>
      <c r="B136" s="46">
        <f>IF(SV_brs&gt;0,MIN(3,INT(SV_raS/SV_brs)),0)</f>
        <v/>
      </c>
      <c r="C136" s="27" t="inlineStr">
        <is>
          <t>C · calculated</t>
        </is>
      </c>
      <c r="D136" s="18" t="inlineStr"/>
    </row>
    <row r="137">
      <c r="A137" s="26" t="inlineStr">
        <is>
          <t>CPF LIFE premium (withdrawn from RA)</t>
        </is>
      </c>
      <c r="B137" s="29">
        <f>IF(SV_mult&lt;=0,0,SV_brs*SV_mult)</f>
        <v/>
      </c>
      <c r="C137" s="27" t="inlineStr">
        <is>
          <t>C · calculated</t>
        </is>
      </c>
      <c r="D137" s="18" t="inlineStr"/>
    </row>
    <row r="138">
      <c r="A138" s="26" t="inlineStr">
        <is>
          <t>CPF LIFE monthly payout</t>
        </is>
      </c>
      <c r="B138" s="28">
        <f>IF(SV_mult&lt;=0,0,IF(SV_brsIdx&lt;5,INDEX(SV_payTbl,SV_brsIdx+1,SV_mult),INDEX(SV_payTbl,5,SV_mult)*(1+SV_brsGrowth)^(SV_brsIdx-4))*(1+SV_deferBonus*(SV_asp-65)))</f>
        <v/>
      </c>
      <c r="C138" s="27" t="inlineStr">
        <is>
          <t>C · calculated</t>
        </is>
      </c>
      <c r="D138" s="18" t="inlineStr"/>
    </row>
    <row r="139">
      <c r="A139" s="26" t="inlineStr">
        <is>
          <t>CPF LIFE pot at payout column</t>
        </is>
      </c>
      <c r="B139" s="29">
        <f>SV_lifeGrowth*(SV_wd-12*SV_pay)</f>
        <v/>
      </c>
      <c r="C139" s="27" t="inlineStr">
        <is>
          <t>C · calculated</t>
        </is>
      </c>
      <c r="D139" s="18" t="inlineStr"/>
    </row>
    <row r="140">
      <c r="A140" s="26" t="inlineStr">
        <is>
          <t>RA at payout column</t>
        </is>
      </c>
      <c r="B140" s="29">
        <f>SV_lifeGrowth*(SV_raS-SV_wd)</f>
        <v/>
      </c>
      <c r="C140" s="27" t="inlineStr">
        <is>
          <t>C · calculated</t>
        </is>
      </c>
      <c r="D140" s="18" t="inlineStr"/>
    </row>
    <row r="141">
      <c r="A141" s="26" t="inlineStr">
        <is>
          <t>wrap steps (payout index &lt; 0)</t>
        </is>
      </c>
      <c r="B141" s="46">
        <f>MAX(0,-SV_sp-1)</f>
        <v/>
      </c>
      <c r="C141" s="27" t="inlineStr">
        <is>
          <t>C · calculated</t>
        </is>
      </c>
      <c r="D141" s="18" t="inlineStr">
        <is>
          <t>SV's loop starts at a negative year.</t>
        </is>
      </c>
    </row>
    <row r="142">
      <c r="A142" s="26" t="inlineStr">
        <is>
          <t>CPF LIFE carried into year 0 (wrap)</t>
        </is>
      </c>
      <c r="B142" s="29">
        <f>SV_L0*SV_lifeGrowth^SV_n1-12*SV_pay*SV_lifeGrowth*(SV_lifeGrowth^SV_n1-1)/(SV_lifeGrowth-1)</f>
        <v/>
      </c>
      <c r="C142" s="27" t="inlineStr">
        <is>
          <t>C · calculated</t>
        </is>
      </c>
      <c r="D142" s="18" t="inlineStr"/>
    </row>
    <row r="143">
      <c r="A143" s="26" t="inlineStr">
        <is>
          <t>RA carried into year 0 (wrap)</t>
        </is>
      </c>
      <c r="B143" s="29">
        <f>SV_R0*SV_lifeGrowth^SV_n1</f>
        <v/>
      </c>
      <c r="C143" s="27" t="inlineStr">
        <is>
          <t>C · calculated</t>
        </is>
      </c>
      <c r="D143" s="18" t="inlineStr"/>
    </row>
    <row r="145">
      <c r="A145" s="16" t="inlineStr">
        <is>
          <t>C · RESULTS  —  wealth (pre = today, post = with the plan)</t>
        </is>
      </c>
      <c r="B145" s="16" t="n"/>
      <c r="C145" s="16" t="n"/>
      <c r="D145" s="16" t="n"/>
    </row>
    <row r="146">
      <c r="A146" s="26" t="inlineStr">
        <is>
          <t>pre wealth at age 65</t>
        </is>
      </c>
      <c r="B146" s="29">
        <f>IF(AND(65-SV_age&gt;=0,65-SV_age&lt;=SV_T),INDEX($AH$162:$AH$244,65-SV_age+1),"")</f>
        <v/>
      </c>
      <c r="C146" s="27" t="inlineStr">
        <is>
          <t>C · calculated</t>
        </is>
      </c>
      <c r="D146" s="18" t="inlineStr"/>
    </row>
    <row r="147">
      <c r="A147" s="26" t="inlineStr">
        <is>
          <t>pre wealth at age 85</t>
        </is>
      </c>
      <c r="B147" s="29">
        <f>IF(AND(85-SV_age&gt;=0,85-SV_age&lt;=SV_T),INDEX($AH$162:$AH$244,85-SV_age+1),"")</f>
        <v/>
      </c>
      <c r="C147" s="27" t="inlineStr">
        <is>
          <t>C · calculated</t>
        </is>
      </c>
      <c r="D147" s="18" t="inlineStr"/>
    </row>
    <row r="148">
      <c r="A148" s="26" t="inlineStr">
        <is>
          <t>post wealth at age 65</t>
        </is>
      </c>
      <c r="B148" s="29">
        <f>IF(AND(65-SV_age&gt;=0,65-SV_age&lt;=SV_T),INDEX($AR$162:$AR$244,65-SV_age+1),"")</f>
        <v/>
      </c>
      <c r="C148" s="27" t="inlineStr">
        <is>
          <t>C · calculated</t>
        </is>
      </c>
      <c r="D148" s="18" t="inlineStr"/>
    </row>
    <row r="149">
      <c r="A149" s="26" t="inlineStr">
        <is>
          <t>post wealth at age 85</t>
        </is>
      </c>
      <c r="B149" s="29">
        <f>IF(AND(85-SV_age&gt;=0,85-SV_age&lt;=SV_T),INDEX($AR$162:$AR$244,85-SV_age+1),"")</f>
        <v/>
      </c>
      <c r="C149" s="27" t="inlineStr">
        <is>
          <t>C · calculated</t>
        </is>
      </c>
      <c r="D149" s="18" t="inlineStr"/>
    </row>
    <row r="150">
      <c r="A150" s="26" t="inlineStr">
        <is>
          <t>pre wealth at horizon</t>
        </is>
      </c>
      <c r="B150" s="29">
        <f>IF(SV_end-SV_age&lt;=SV_T,INDEX($AH$162:$AH$244,MAX(0,SV_end-SV_age)+1),"")</f>
        <v/>
      </c>
      <c r="C150" s="27" t="inlineStr">
        <is>
          <t>C · calculated</t>
        </is>
      </c>
      <c r="D150" s="18" t="inlineStr">
        <is>
          <t>endAge, or 99 under R_LON.</t>
        </is>
      </c>
    </row>
    <row r="151">
      <c r="A151" s="26" t="inlineStr">
        <is>
          <t>post wealth at horizon</t>
        </is>
      </c>
      <c r="B151" s="29">
        <f>IF(SV_end-SV_age&lt;=SV_T,INDEX($AR$162:$AR$244,MAX(0,SV_end-SV_age)+1),"")</f>
        <v/>
      </c>
      <c r="C151" s="27" t="inlineStr">
        <is>
          <t>C · calculated</t>
        </is>
      </c>
      <c r="D151" s="18" t="inlineStr"/>
    </row>
    <row r="152">
      <c r="A152" s="26" t="inlineStr">
        <is>
          <t>post spendable at horizon</t>
        </is>
      </c>
      <c r="B152" s="29">
        <f>IF(SV_end-SV_age&lt;=SV_T,INDEX($AS$162:$AS$244,MAX(0,SV_end-SV_age)+1),"")</f>
        <v/>
      </c>
      <c r="C152" s="27" t="inlineStr">
        <is>
          <t>C · calculated</t>
        </is>
      </c>
      <c r="D152" s="18" t="inlineStr">
        <is>
          <t>Below 0 = liquid money runs out before the horizon.</t>
        </is>
      </c>
    </row>
    <row r="153">
      <c r="A153" s="26" t="inlineStr">
        <is>
          <t>pre: first age spendable wealth &lt; 0</t>
        </is>
      </c>
      <c r="B153" s="46">
        <f>IFERROR(SV_age+MATCH(1,INDEX(--($AI$162:$AI$244&lt;0),0),0)-1,"never")</f>
        <v/>
      </c>
      <c r="C153" s="27" t="inlineStr">
        <is>
          <t>C · calculated</t>
        </is>
      </c>
      <c r="D153" s="18" t="inlineStr">
        <is>
          <t>Expense-funding panel: shortfall starts here even if the chart line is above 0.</t>
        </is>
      </c>
    </row>
    <row r="154">
      <c r="A154" s="26" t="inlineStr">
        <is>
          <t>post: first age spendable wealth &lt; 0</t>
        </is>
      </c>
      <c r="B154" s="46">
        <f>IFERROR(SV_age+MATCH(1,INDEX(--($AS$162:$AS$244&lt;0),0),0)-1,"never")</f>
        <v/>
      </c>
      <c r="C154" s="27" t="inlineStr">
        <is>
          <t>C · calculated</t>
        </is>
      </c>
      <c r="D154" s="18" t="inlineStr">
        <is>
          <t>Expense-funding panel: shortfall starts here even if the chart line is above 0.</t>
        </is>
      </c>
    </row>
    <row r="160">
      <c r="A160" s="3" t="inlineStr">
        <is>
          <t>year</t>
        </is>
      </c>
      <c r="B160" s="3" t="n"/>
      <c r="C160" s="3" t="n"/>
      <c r="D160" s="3" t="n"/>
      <c r="E160" s="16" t="inlineStr">
        <is>
          <t>C · HUMAN CAPITAL  —  salary, spend, premiums (flows land in the year shown)</t>
        </is>
      </c>
      <c r="F160" s="16" t="n"/>
      <c r="G160" s="16" t="n"/>
      <c r="H160" s="16" t="n"/>
      <c r="I160" s="16" t="n"/>
      <c r="J160" s="16" t="n"/>
      <c r="K160" s="16" t="n"/>
      <c r="L160" s="16" t="n"/>
      <c r="M160" s="16" t="inlineStr">
        <is>
          <t>C · ASSETS</t>
        </is>
      </c>
      <c r="N160" s="16" t="n"/>
      <c r="O160" s="16" t="n"/>
      <c r="P160" s="16" t="n"/>
      <c r="Q160" s="16" t="n"/>
      <c r="R160" s="16" t="inlineStr">
        <is>
          <t>C · CPF  —  SocialSecurityR_SGP</t>
        </is>
      </c>
      <c r="S160" s="16" t="n"/>
      <c r="T160" s="16" t="n"/>
      <c r="U160" s="16" t="n"/>
      <c r="V160" s="16" t="n"/>
      <c r="W160" s="16" t="n"/>
      <c r="X160" s="16" t="n"/>
      <c r="Y160" s="16" t="n"/>
      <c r="Z160" s="16" t="n"/>
      <c r="AA160" s="16" t="n"/>
      <c r="AB160" s="16" t="n"/>
      <c r="AC160" s="16" t="n"/>
      <c r="AD160" s="16" t="n"/>
      <c r="AE160" s="16" t="n"/>
      <c r="AF160" s="16" t="inlineStr">
        <is>
          <t>C · PRE (today)</t>
        </is>
      </c>
      <c r="AG160" s="16" t="n"/>
      <c r="AH160" s="16" t="n"/>
      <c r="AI160" s="16" t="n"/>
      <c r="AJ160" s="16" t="inlineStr">
        <is>
          <t>C · POST (with the plan)  —  plan_benefit_visualizer pots</t>
        </is>
      </c>
      <c r="AK160" s="16" t="n"/>
      <c r="AL160" s="16" t="n"/>
      <c r="AM160" s="16" t="n"/>
      <c r="AN160" s="16" t="n"/>
      <c r="AO160" s="16" t="n"/>
      <c r="AP160" s="16" t="n"/>
      <c r="AQ160" s="16" t="n"/>
      <c r="AR160" s="16" t="n"/>
      <c r="AS160" s="16" t="n"/>
    </row>
    <row r="161">
      <c r="A161" s="3" t="inlineStr">
        <is>
          <t>year</t>
        </is>
      </c>
      <c r="B161" s="3" t="inlineStr">
        <is>
          <t>age</t>
        </is>
      </c>
      <c r="C161" s="3" t="inlineStr">
        <is>
          <t>calendar</t>
        </is>
      </c>
      <c r="D161" s="3" t="inlineStr">
        <is>
          <t>on path</t>
        </is>
      </c>
      <c r="E161" s="3" t="inlineStr">
        <is>
          <t>inflation factor</t>
        </is>
      </c>
      <c r="F161" s="3" t="inlineStr">
        <is>
          <t>spend index</t>
        </is>
      </c>
      <c r="G161" s="3" t="inlineStr">
        <is>
          <t>income factor</t>
        </is>
      </c>
      <c r="H161" s="3" t="inlineStr">
        <is>
          <t>salary</t>
        </is>
      </c>
      <c r="I161" s="3" t="inlineStr">
        <is>
          <t>spend + instalment + goals</t>
        </is>
      </c>
      <c r="J161" s="3" t="inlineStr">
        <is>
          <t>stress events cost</t>
        </is>
      </c>
      <c r="K161" s="3" t="inlineStr">
        <is>
          <t>existing life premium</t>
        </is>
      </c>
      <c r="L161" s="3" t="inlineStr">
        <is>
          <t>to investments</t>
        </is>
      </c>
      <c r="M161" s="3" t="inlineStr">
        <is>
          <t>crash</t>
        </is>
      </c>
      <c r="N161" s="3" t="inlineStr">
        <is>
          <t>currency</t>
        </is>
      </c>
      <c r="O161" s="3" t="inlineStr">
        <is>
          <t>cash</t>
        </is>
      </c>
      <c r="P161" s="3" t="inlineStr">
        <is>
          <t>investments</t>
        </is>
      </c>
      <c r="Q161" s="3" t="inlineStr">
        <is>
          <t>home</t>
        </is>
      </c>
      <c r="R161" s="3" t="inlineStr">
        <is>
          <t>CPF band</t>
        </is>
      </c>
      <c r="S161" s="3" t="inlineStr">
        <is>
          <t>CPF wage</t>
        </is>
      </c>
      <c r="T161" s="3" t="inlineStr">
        <is>
          <t>OA (running)</t>
        </is>
      </c>
      <c r="U161" s="3" t="inlineStr">
        <is>
          <t>SA (running)</t>
        </is>
      </c>
      <c r="V161" s="3" t="inlineStr">
        <is>
          <t>MA (running)</t>
        </is>
      </c>
      <c r="W161" s="3" t="inlineStr">
        <is>
          <t>employee CPF</t>
        </is>
      </c>
      <c r="X161" s="3" t="inlineStr">
        <is>
          <t>OA</t>
        </is>
      </c>
      <c r="Y161" s="3" t="inlineStr">
        <is>
          <t>SA</t>
        </is>
      </c>
      <c r="Z161" s="3" t="inlineStr">
        <is>
          <t>MA</t>
        </is>
      </c>
      <c r="AA161" s="3" t="inlineStr">
        <is>
          <t>CPF LIFE payout</t>
        </is>
      </c>
      <c r="AB161" s="3" t="inlineStr">
        <is>
          <t>RA</t>
        </is>
      </c>
      <c r="AC161" s="3" t="inlineStr">
        <is>
          <t>CPF LIFE pot</t>
        </is>
      </c>
      <c r="AD161" s="3" t="inlineStr">
        <is>
          <t>CPF total</t>
        </is>
      </c>
      <c r="AE161" s="3" t="inlineStr">
        <is>
          <t>CPF cash flow</t>
        </is>
      </c>
      <c r="AF161" s="3" t="inlineStr">
        <is>
          <t>mortgage balance (annuity → 0 at year 20)</t>
        </is>
      </c>
      <c r="AG161" s="3" t="inlineStr">
        <is>
          <t>savings (pre)</t>
        </is>
      </c>
      <c r="AH161" s="3" t="inlineStr">
        <is>
          <t>WEALTH pre</t>
        </is>
      </c>
      <c r="AI161" s="3" t="inlineStr">
        <is>
          <t>SPENDABLE pre</t>
        </is>
      </c>
      <c r="AJ161" s="3" t="inlineStr">
        <is>
          <t>RET paid in</t>
        </is>
      </c>
      <c r="AK161" s="3" t="inlineStr">
        <is>
          <t>RET pot</t>
        </is>
      </c>
      <c r="AL161" s="3" t="inlineStr">
        <is>
          <t>goal pots paid in</t>
        </is>
      </c>
      <c r="AM161" s="3" t="inlineStr">
        <is>
          <t>goal pots</t>
        </is>
      </c>
      <c r="AN161" s="3" t="inlineStr">
        <is>
          <t>protection premium</t>
        </is>
      </c>
      <c r="AO161" s="3" t="inlineStr">
        <is>
          <t>plan account value</t>
        </is>
      </c>
      <c r="AP161" s="3" t="inlineStr">
        <is>
          <t>plan cash flow</t>
        </is>
      </c>
      <c r="AQ161" s="3" t="inlineStr">
        <is>
          <t>savings (post)</t>
        </is>
      </c>
      <c r="AR161" s="3" t="inlineStr">
        <is>
          <t>WEALTH post</t>
        </is>
      </c>
      <c r="AS161" s="3" t="inlineStr">
        <is>
          <t>SPENDABLE post</t>
        </is>
      </c>
    </row>
    <row r="162">
      <c r="A162" s="61" t="n">
        <v>0</v>
      </c>
      <c r="B162" s="61">
        <f>SV_age+A162</f>
        <v/>
      </c>
      <c r="C162" s="61">
        <f>currentYear+A162</f>
        <v/>
      </c>
      <c r="D162" s="52">
        <f>A162&lt;=SV_T</f>
        <v/>
      </c>
      <c r="E162" s="60" t="n">
        <v>1</v>
      </c>
      <c r="F162" s="60" t="n">
        <v>1</v>
      </c>
      <c r="G162" s="60" t="n">
        <v>1</v>
      </c>
      <c r="H162" s="29" t="n">
        <v>0</v>
      </c>
      <c r="I162" s="29" t="n">
        <v>0</v>
      </c>
      <c r="J162" s="29" t="n">
        <v>0</v>
      </c>
      <c r="K162" s="29" t="n">
        <v>0</v>
      </c>
      <c r="L162" s="29" t="n">
        <v>0</v>
      </c>
      <c r="M162" s="60" t="n">
        <v>1</v>
      </c>
      <c r="N162" s="60" t="n">
        <v>1</v>
      </c>
      <c r="O162" s="29">
        <f>IF(MOD(SV_cash,1)=0.5,2*ROUND((SV_cash)/2,0),ROUND(SV_cash,0))</f>
        <v/>
      </c>
      <c r="P162" s="29">
        <f>IF(MOD(SV_investments,1)=0.5,2*ROUND((SV_investments)/2,0),ROUND(SV_investments,0))</f>
        <v/>
      </c>
      <c r="Q162" s="29">
        <f>IF(MOD(SV_property,1)=0.5,2*ROUND((SV_property)/2,0),ROUND(SV_property,0))</f>
        <v/>
      </c>
      <c r="R162" s="46" t="inlineStr"/>
      <c r="S162" s="29" t="n">
        <v>0</v>
      </c>
      <c r="T162" s="29" t="n">
        <v>0</v>
      </c>
      <c r="U162" s="29" t="n">
        <v>0</v>
      </c>
      <c r="V162" s="29" t="n">
        <v>0</v>
      </c>
      <c r="W162" s="29" t="n">
        <v>0</v>
      </c>
      <c r="X162" s="29">
        <f>IF(A162&gt;=SV_sIdx,0,T162)</f>
        <v/>
      </c>
      <c r="Y162" s="29">
        <f>IF(A162&gt;=SV_sIdx,0,U162)</f>
        <v/>
      </c>
      <c r="Z162" s="29">
        <f>IF(A162&gt;=SV_sIdx,MIN(V162,SV_maCap),V162)</f>
        <v/>
      </c>
      <c r="AA162" s="29">
        <f>IF(AND(SV_cpfOn,A162&gt;=SV_pIdx,A162&lt;=SV_T),12*SV_pay,0)</f>
        <v/>
      </c>
      <c r="AB162" s="29">
        <f>IF(SV_sp&gt;=0,IF(SV_sIdx=0,SV_R0,0),SV_lifeGrowth*SV_seedRA)</f>
        <v/>
      </c>
      <c r="AC162" s="29">
        <f>IF(A162&gt;SV_T,0,IF(AND(SV_sp&gt;=0,A162&lt;SV_sIdx),0,IF(AND(SV_sp&gt;=0,A162=SV_sIdx),SV_L0,SV_lifeGrowth*(SV_seedLife-AA162))))</f>
        <v/>
      </c>
      <c r="AD162" s="29">
        <f>X162+Y162+AB162+Z162+IF(AB162&lt;0,0,AC162)</f>
        <v/>
      </c>
      <c r="AE162" s="29">
        <f>AA162+W162</f>
        <v/>
      </c>
      <c r="AF162" s="29">
        <f>IF(SV_mortP&gt;0,SV_mortP,0)</f>
        <v/>
      </c>
      <c r="AG162" s="29" t="n">
        <v>0</v>
      </c>
      <c r="AH162" s="29">
        <f>IF(A162&gt;SV_T,0,MAX(0,O162+P162+Q162+AD162+AG162-AF162))</f>
        <v/>
      </c>
      <c r="AI162" s="29">
        <f>IF(A162&gt;SV_T,0,O162+P162+AG162-MAX(0,AF162-(Q162+AD162)))</f>
        <v/>
      </c>
      <c r="AJ162" s="29" t="n">
        <v>0</v>
      </c>
      <c r="AK162" s="29" t="n">
        <v>0</v>
      </c>
      <c r="AL162" s="29" t="n">
        <v>0</v>
      </c>
      <c r="AM162" s="29" t="n">
        <v>0</v>
      </c>
      <c r="AN162" s="29" t="n">
        <v>0</v>
      </c>
      <c r="AO162" s="29">
        <f>IF(OR(A162=0,A162&gt;=SV_T),0,ROUND(MAX(0,AK162),2)+ROUND(MAX(0,AM162),2))</f>
        <v/>
      </c>
      <c r="AP162" s="29" t="n">
        <v>0</v>
      </c>
      <c r="AQ162" s="29" t="n">
        <v>0</v>
      </c>
      <c r="AR162" s="29">
        <f>IF(A162&gt;SV_T,0,MAX(0,O162+P162+Q162+AD162+AQ162+AO162-AF162))</f>
        <v/>
      </c>
      <c r="AS162" s="29">
        <f>IF(A162&gt;SV_T,0,O162+P162+AQ162+AO162-MAX(0,AF162-(Q162+AD162)))</f>
        <v/>
      </c>
    </row>
    <row r="163">
      <c r="A163" s="61" t="n">
        <v>1</v>
      </c>
      <c r="B163" s="61">
        <f>SV_age+A163</f>
        <v/>
      </c>
      <c r="C163" s="61">
        <f>currentYear+A163</f>
        <v/>
      </c>
      <c r="D163" s="52">
        <f>A163&lt;=SV_T</f>
        <v/>
      </c>
      <c r="E163" s="60">
        <f>IF(AND(SV_inflOn,A163&gt;=SV_inflS,A163&lt;=SV_inflE),1+SV_inflRate,1+inflationRate)</f>
        <v/>
      </c>
      <c r="F163" s="60">
        <f>IF(A163&lt;=1,1,F162*E163)</f>
        <v/>
      </c>
      <c r="G163" s="60">
        <f>IF(AND(SV_incOn,A163&gt;=SV_incS,A163&lt;=SV_incE),1+SV_incImp,1)</f>
        <v/>
      </c>
      <c r="H163" s="29">
        <f>IF(OR(OR(A163&lt;1,A163&gt;SV_T),A163-1&gt;=SV_salCut,AND(SV_deaOn,A163&gt;=SV_deaM)),0,SV_sal0*(1+incomeGrowthRate)^(A163-1)*G163)</f>
        <v/>
      </c>
      <c r="I163" s="29">
        <f>IF(OR(A163&lt;1,A163&gt;SV_T),0,(-SV_exp0*F163-IF(A163&lt;=SV_loanYears,SV_inst,0)-IF(AND(SV_wdAmt&gt;0,A163=SV_wdYear),SV_wdAmt,0))*IF(AND(SV_expOn,A163&gt;=SV_expS,A163&lt;=SV_expE),1+SV_expImp,1))</f>
        <v/>
      </c>
      <c r="J163" s="29">
        <f>IF(OR(A163&lt;1,A163&gt;SV_T),0,-F163*(IF(AND(SV_deaOn,A163=SV_deaM),SV_deaAmt,0)+IF(AND(SV_criOn,A163=SV_criM),SV_criAmt,0)+IF(AND(SV_tpdOn,A163=SV_tpdM),SV_tpdAmt,0)+IF(AND(SV_pacOn,A163=SV_pacM),SV_pacAmt,0)+IF(AND(SV_hosOn,A163=SV_hosM),SV_hosAmt,0)+IF(AND(SV_wedOn,A163=SV_wedM),SV_wedAmt,0)+IF(AND(SV_babOn,A163=SV_babM),SV_babAmt,0)+IF(AND(SV_ltcOn,A163&gt;=SV_ltcM,A163&lt;=SV_ltcE),SV_ltcAmt,0)))</f>
        <v/>
      </c>
      <c r="K163" s="29">
        <f>IF(OR(OR(A163&lt;1,A163&gt;SV_T),A163&gt;SV_loanYears),0,-SV_lifePremYr)</f>
        <v/>
      </c>
      <c r="L163" s="29">
        <f>IF(OR(A163&lt;1,A163&gt;SV_T),0,-SV_contrib)</f>
        <v/>
      </c>
      <c r="M163" s="60">
        <f>IF(AND(SV_crashOn,A163=SV_crashYr),SV_crashF,1)</f>
        <v/>
      </c>
      <c r="N163" s="60">
        <f>IF(AND(SV_ccyOn,A163=SV_ccyYr),SV_ccyF,1)</f>
        <v/>
      </c>
      <c r="O163" s="29">
        <f>IF(A163&gt;SV_T,0,O162*(1+interestRate)*M163*N163)</f>
        <v/>
      </c>
      <c r="P163" s="29">
        <f>IF(A163&gt;SV_T,0,(P162+SV_contrib)*(1+investmentReturn)*M163*N163)</f>
        <v/>
      </c>
      <c r="Q163" s="29">
        <f>IF(A163&gt;SV_T,0,Q162*(1+SV_propRate)*M163)</f>
        <v/>
      </c>
      <c r="R163" s="46">
        <f>MATCH(SV_age+A163-1,SV_cpfLower,1)</f>
        <v/>
      </c>
      <c r="S163" s="29">
        <f>IF(OR(OR(A163&lt;1,A163&gt;SV_T),NOT(SV_cpfOn),AND(SV_deaOn,A163&gt;=SV_deaM)),0,MIN(SV_sal0*(1+incomeGrowthRate)^(A163-1)*G163,SV_owCap))</f>
        <v/>
      </c>
      <c r="T163" s="29">
        <f>IF(A163&gt;SV_T,0,T162*(1+SV_oaRate)+IF(A163&gt;=SV_effStop,0,INDEX(SV_cpfOA,R163)*INDEX(SV_cpfTot,R163)*S163))</f>
        <v/>
      </c>
      <c r="U163" s="29">
        <f>IF(A163&gt;SV_T,0,U162*(1+SV_saRate)+IF(A163&gt;=SV_effStop,0,INDEX(SV_cpfSA,R163)*INDEX(SV_cpfTot,R163)*S163))</f>
        <v/>
      </c>
      <c r="V163" s="29">
        <f>IF(A163&gt;SV_T,0,V162*(1+SV_saRate)+IF(A163&gt;=SV_effStop,0,INDEX(SV_cpfMA,R163)*INDEX(SV_cpfTot,R163)*S163))</f>
        <v/>
      </c>
      <c r="W163" s="29">
        <f>IF(OR(OR(A163&lt;1,A163&gt;SV_T),A163&gt;=SV_effNeg),0,-(INDEX(SV_cpfOA,R163)+INDEX(SV_cpfSA,R163)+INDEX(SV_cpfMA,R163))*INDEX(SV_cpfEmp,R163)*S163)</f>
        <v/>
      </c>
      <c r="X163" s="29">
        <f>IF(A163&gt;=SV_sIdx,0,T163)</f>
        <v/>
      </c>
      <c r="Y163" s="29">
        <f>IF(A163&gt;=SV_sIdx,0,U163)</f>
        <v/>
      </c>
      <c r="Z163" s="29">
        <f>IF(A163&gt;=SV_sIdx,MIN(V163,SV_maCap),V163)</f>
        <v/>
      </c>
      <c r="AA163" s="29">
        <f>IF(AND(SV_cpfOn,A163&gt;=SV_pIdx,A163&lt;=SV_T),12*SV_pay,0)</f>
        <v/>
      </c>
      <c r="AB163" s="29">
        <f>IF(A163&gt;SV_T,0,IF(SV_sp&gt;=0,IF(A163&lt;SV_sIdx,0,IF(A163=SV_sIdx,SV_R0,SV_lifeGrowth*AB162)),SV_lifeGrowth*AB162))</f>
        <v/>
      </c>
      <c r="AC163" s="29">
        <f>IF(A163&gt;SV_T,0,IF(AND(SV_sp&gt;=0,A163&lt;SV_sIdx),0,IF(AND(SV_sp&gt;=0,A163=SV_sIdx),SV_L0,SV_lifeGrowth*(AC162-AA163))))</f>
        <v/>
      </c>
      <c r="AD163" s="29">
        <f>X163+Y163+AB163+Z163+IF(AB163&lt;0,0,AC163)</f>
        <v/>
      </c>
      <c r="AE163" s="29">
        <f>AA163+W163</f>
        <v/>
      </c>
      <c r="AF163" s="29">
        <f>IF(OR(A163&gt;SV_T,A163&gt;=SV_loanYears),0,MAX(0,AF162*(1+loanRate)-SV_inst))</f>
        <v/>
      </c>
      <c r="AG163" s="29">
        <f>IF(A163&gt;SV_T,0,AG162*(1+SV_savRate)+H163+I163+J163+K163+L163+AE163)</f>
        <v/>
      </c>
      <c r="AH163" s="29">
        <f>IF(A163&gt;SV_T,0,MAX(0,O163+P163+Q163+AD163+AG163-AF163))</f>
        <v/>
      </c>
      <c r="AI163" s="29">
        <f>IF(A163&gt;SV_T,0,O163+P163+AG163-MAX(0,AF163-(Q163+AD163)))</f>
        <v/>
      </c>
      <c r="AJ163" s="29">
        <f>IF(OR(OR(A163&lt;1,A163&gt;SV_T),A163-1&gt;=SV_retPay),0,SV_retMth*12+IF(A163=1,SV_retLump,0))</f>
        <v/>
      </c>
      <c r="AK163" s="29">
        <f>IF(A163&gt;SV_T,0,(AK162+AJ163)*(1+investmentReturn))</f>
        <v/>
      </c>
      <c r="AL163" s="29">
        <f>IF(OR(OR(A163&lt;1,A163&gt;SV_T),A163-1&gt;=SV_goalPay),0,SV_goalMth*12+IF(A163=1,SV_goalLump,0))</f>
        <v/>
      </c>
      <c r="AM163" s="29">
        <f>IF(A163&gt;SV_T,0,(AM162+AL163)*(1+investmentReturn))</f>
        <v/>
      </c>
      <c r="AN163" s="29">
        <f>IF(OR(OR(A163&lt;1,A163&gt;SV_T),A163-1&gt;=SV_protPay),0,SV_protPrem)</f>
        <v/>
      </c>
      <c r="AO163" s="29">
        <f>IF(OR(A163=0,A163&gt;=SV_T),0,ROUND(MAX(0,AK163),2)+ROUND(MAX(0,AM163),2))</f>
        <v/>
      </c>
      <c r="AP163" s="29">
        <f>IF(OR(A163&lt;1,A163&gt;SV_T),0,-(AJ163+AL163+AN163)+IF(A163=SV_T,ROUND(MAX(0,AK163),2)+ROUND(MAX(0,AM163),2),0))</f>
        <v/>
      </c>
      <c r="AQ163" s="29">
        <f>IF(A163&gt;SV_T,0,AQ162*(1+SV_savRate)+H163+I163+J163+K163+L163+AE163+AP163)</f>
        <v/>
      </c>
      <c r="AR163" s="29">
        <f>IF(A163&gt;SV_T,0,MAX(0,O163+P163+Q163+AD163+AQ163+AO163-AF163))</f>
        <v/>
      </c>
      <c r="AS163" s="29">
        <f>IF(A163&gt;SV_T,0,O163+P163+AQ163+AO163-MAX(0,AF163-(Q163+AD163)))</f>
        <v/>
      </c>
    </row>
    <row r="164">
      <c r="A164" s="61" t="n">
        <v>2</v>
      </c>
      <c r="B164" s="61">
        <f>SV_age+A164</f>
        <v/>
      </c>
      <c r="C164" s="61">
        <f>currentYear+A164</f>
        <v/>
      </c>
      <c r="D164" s="52">
        <f>A164&lt;=SV_T</f>
        <v/>
      </c>
      <c r="E164" s="60">
        <f>IF(AND(SV_inflOn,A164&gt;=SV_inflS,A164&lt;=SV_inflE),1+SV_inflRate,1+inflationRate)</f>
        <v/>
      </c>
      <c r="F164" s="60">
        <f>IF(A164&lt;=1,1,F163*E164)</f>
        <v/>
      </c>
      <c r="G164" s="60">
        <f>IF(AND(SV_incOn,A164&gt;=SV_incS,A164&lt;=SV_incE),1+SV_incImp,1)</f>
        <v/>
      </c>
      <c r="H164" s="29">
        <f>IF(OR(OR(A164&lt;1,A164&gt;SV_T),A164-1&gt;=SV_salCut,AND(SV_deaOn,A164&gt;=SV_deaM)),0,SV_sal0*(1+incomeGrowthRate)^(A164-1)*G164)</f>
        <v/>
      </c>
      <c r="I164" s="29">
        <f>IF(OR(A164&lt;1,A164&gt;SV_T),0,(-SV_exp0*F164-IF(A164&lt;=SV_loanYears,SV_inst,0)-IF(AND(SV_wdAmt&gt;0,A164=SV_wdYear),SV_wdAmt,0))*IF(AND(SV_expOn,A164&gt;=SV_expS,A164&lt;=SV_expE),1+SV_expImp,1))</f>
        <v/>
      </c>
      <c r="J164" s="29">
        <f>IF(OR(A164&lt;1,A164&gt;SV_T),0,-F164*(IF(AND(SV_deaOn,A164=SV_deaM),SV_deaAmt,0)+IF(AND(SV_criOn,A164=SV_criM),SV_criAmt,0)+IF(AND(SV_tpdOn,A164=SV_tpdM),SV_tpdAmt,0)+IF(AND(SV_pacOn,A164=SV_pacM),SV_pacAmt,0)+IF(AND(SV_hosOn,A164=SV_hosM),SV_hosAmt,0)+IF(AND(SV_wedOn,A164=SV_wedM),SV_wedAmt,0)+IF(AND(SV_babOn,A164=SV_babM),SV_babAmt,0)+IF(AND(SV_ltcOn,A164&gt;=SV_ltcM,A164&lt;=SV_ltcE),SV_ltcAmt,0)))</f>
        <v/>
      </c>
      <c r="K164" s="29">
        <f>IF(OR(OR(A164&lt;1,A164&gt;SV_T),A164&gt;SV_loanYears),0,-SV_lifePremYr)</f>
        <v/>
      </c>
      <c r="L164" s="29">
        <f>IF(OR(A164&lt;1,A164&gt;SV_T),0,-SV_contrib)</f>
        <v/>
      </c>
      <c r="M164" s="60">
        <f>IF(AND(SV_crashOn,A164=SV_crashYr),SV_crashF,1)</f>
        <v/>
      </c>
      <c r="N164" s="60">
        <f>IF(AND(SV_ccyOn,A164=SV_ccyYr),SV_ccyF,1)</f>
        <v/>
      </c>
      <c r="O164" s="29">
        <f>IF(A164&gt;SV_T,0,O163*(1+interestRate)*M164*N164)</f>
        <v/>
      </c>
      <c r="P164" s="29">
        <f>IF(A164&gt;SV_T,0,(P163+SV_contrib)*(1+investmentReturn)*M164*N164)</f>
        <v/>
      </c>
      <c r="Q164" s="29">
        <f>IF(A164&gt;SV_T,0,Q163*(1+SV_propRate)*M164)</f>
        <v/>
      </c>
      <c r="R164" s="46">
        <f>MATCH(SV_age+A164-1,SV_cpfLower,1)</f>
        <v/>
      </c>
      <c r="S164" s="29">
        <f>IF(OR(OR(A164&lt;1,A164&gt;SV_T),NOT(SV_cpfOn),AND(SV_deaOn,A164&gt;=SV_deaM)),0,MIN(SV_sal0*(1+incomeGrowthRate)^(A164-1)*G164,SV_owCap))</f>
        <v/>
      </c>
      <c r="T164" s="29">
        <f>IF(A164&gt;SV_T,0,T163*(1+SV_oaRate)+IF(A164&gt;=SV_effStop,0,INDEX(SV_cpfOA,R164)*INDEX(SV_cpfTot,R164)*S164))</f>
        <v/>
      </c>
      <c r="U164" s="29">
        <f>IF(A164&gt;SV_T,0,U163*(1+SV_saRate)+IF(A164&gt;=SV_effStop,0,INDEX(SV_cpfSA,R164)*INDEX(SV_cpfTot,R164)*S164))</f>
        <v/>
      </c>
      <c r="V164" s="29">
        <f>IF(A164&gt;SV_T,0,V163*(1+SV_saRate)+IF(A164&gt;=SV_effStop,0,INDEX(SV_cpfMA,R164)*INDEX(SV_cpfTot,R164)*S164))</f>
        <v/>
      </c>
      <c r="W164" s="29">
        <f>IF(OR(OR(A164&lt;1,A164&gt;SV_T),A164&gt;=SV_effNeg),0,-(INDEX(SV_cpfOA,R164)+INDEX(SV_cpfSA,R164)+INDEX(SV_cpfMA,R164))*INDEX(SV_cpfEmp,R164)*S164)</f>
        <v/>
      </c>
      <c r="X164" s="29">
        <f>IF(A164&gt;=SV_sIdx,0,T164)</f>
        <v/>
      </c>
      <c r="Y164" s="29">
        <f>IF(A164&gt;=SV_sIdx,0,U164)</f>
        <v/>
      </c>
      <c r="Z164" s="29">
        <f>IF(A164&gt;=SV_sIdx,MIN(V164,SV_maCap),V164)</f>
        <v/>
      </c>
      <c r="AA164" s="29">
        <f>IF(AND(SV_cpfOn,A164&gt;=SV_pIdx,A164&lt;=SV_T),12*SV_pay,0)</f>
        <v/>
      </c>
      <c r="AB164" s="29">
        <f>IF(A164&gt;SV_T,0,IF(SV_sp&gt;=0,IF(A164&lt;SV_sIdx,0,IF(A164=SV_sIdx,SV_R0,SV_lifeGrowth*AB163)),SV_lifeGrowth*AB163))</f>
        <v/>
      </c>
      <c r="AC164" s="29">
        <f>IF(A164&gt;SV_T,0,IF(AND(SV_sp&gt;=0,A164&lt;SV_sIdx),0,IF(AND(SV_sp&gt;=0,A164=SV_sIdx),SV_L0,SV_lifeGrowth*(AC163-AA164))))</f>
        <v/>
      </c>
      <c r="AD164" s="29">
        <f>X164+Y164+AB164+Z164+IF(AB164&lt;0,0,AC164)</f>
        <v/>
      </c>
      <c r="AE164" s="29">
        <f>AA164+W164</f>
        <v/>
      </c>
      <c r="AF164" s="29">
        <f>IF(OR(A164&gt;SV_T,A164&gt;=SV_loanYears),0,MAX(0,AF163*(1+loanRate)-SV_inst))</f>
        <v/>
      </c>
      <c r="AG164" s="29">
        <f>IF(A164&gt;SV_T,0,AG163*(1+SV_savRate)+H164+I164+J164+K164+L164+AE164)</f>
        <v/>
      </c>
      <c r="AH164" s="29">
        <f>IF(A164&gt;SV_T,0,MAX(0,O164+P164+Q164+AD164+AG164-AF164))</f>
        <v/>
      </c>
      <c r="AI164" s="29">
        <f>IF(A164&gt;SV_T,0,O164+P164+AG164-MAX(0,AF164-(Q164+AD164)))</f>
        <v/>
      </c>
      <c r="AJ164" s="29">
        <f>IF(OR(OR(A164&lt;1,A164&gt;SV_T),A164-1&gt;=SV_retPay),0,SV_retMth*12+IF(A164=1,SV_retLump,0))</f>
        <v/>
      </c>
      <c r="AK164" s="29">
        <f>IF(A164&gt;SV_T,0,(AK163+AJ164)*(1+investmentReturn))</f>
        <v/>
      </c>
      <c r="AL164" s="29">
        <f>IF(OR(OR(A164&lt;1,A164&gt;SV_T),A164-1&gt;=SV_goalPay),0,SV_goalMth*12+IF(A164=1,SV_goalLump,0))</f>
        <v/>
      </c>
      <c r="AM164" s="29">
        <f>IF(A164&gt;SV_T,0,(AM163+AL164)*(1+investmentReturn))</f>
        <v/>
      </c>
      <c r="AN164" s="29">
        <f>IF(OR(OR(A164&lt;1,A164&gt;SV_T),A164-1&gt;=SV_protPay),0,SV_protPrem)</f>
        <v/>
      </c>
      <c r="AO164" s="29">
        <f>IF(OR(A164=0,A164&gt;=SV_T),0,ROUND(MAX(0,AK164),2)+ROUND(MAX(0,AM164),2))</f>
        <v/>
      </c>
      <c r="AP164" s="29">
        <f>IF(OR(A164&lt;1,A164&gt;SV_T),0,-(AJ164+AL164+AN164)+IF(A164=SV_T,ROUND(MAX(0,AK164),2)+ROUND(MAX(0,AM164),2),0))</f>
        <v/>
      </c>
      <c r="AQ164" s="29">
        <f>IF(A164&gt;SV_T,0,AQ163*(1+SV_savRate)+H164+I164+J164+K164+L164+AE164+AP164)</f>
        <v/>
      </c>
      <c r="AR164" s="29">
        <f>IF(A164&gt;SV_T,0,MAX(0,O164+P164+Q164+AD164+AQ164+AO164-AF164))</f>
        <v/>
      </c>
      <c r="AS164" s="29">
        <f>IF(A164&gt;SV_T,0,O164+P164+AQ164+AO164-MAX(0,AF164-(Q164+AD164)))</f>
        <v/>
      </c>
    </row>
    <row r="165">
      <c r="A165" s="61" t="n">
        <v>3</v>
      </c>
      <c r="B165" s="61">
        <f>SV_age+A165</f>
        <v/>
      </c>
      <c r="C165" s="61">
        <f>currentYear+A165</f>
        <v/>
      </c>
      <c r="D165" s="52">
        <f>A165&lt;=SV_T</f>
        <v/>
      </c>
      <c r="E165" s="60">
        <f>IF(AND(SV_inflOn,A165&gt;=SV_inflS,A165&lt;=SV_inflE),1+SV_inflRate,1+inflationRate)</f>
        <v/>
      </c>
      <c r="F165" s="60">
        <f>IF(A165&lt;=1,1,F164*E165)</f>
        <v/>
      </c>
      <c r="G165" s="60">
        <f>IF(AND(SV_incOn,A165&gt;=SV_incS,A165&lt;=SV_incE),1+SV_incImp,1)</f>
        <v/>
      </c>
      <c r="H165" s="29">
        <f>IF(OR(OR(A165&lt;1,A165&gt;SV_T),A165-1&gt;=SV_salCut,AND(SV_deaOn,A165&gt;=SV_deaM)),0,SV_sal0*(1+incomeGrowthRate)^(A165-1)*G165)</f>
        <v/>
      </c>
      <c r="I165" s="29">
        <f>IF(OR(A165&lt;1,A165&gt;SV_T),0,(-SV_exp0*F165-IF(A165&lt;=SV_loanYears,SV_inst,0)-IF(AND(SV_wdAmt&gt;0,A165=SV_wdYear),SV_wdAmt,0))*IF(AND(SV_expOn,A165&gt;=SV_expS,A165&lt;=SV_expE),1+SV_expImp,1))</f>
        <v/>
      </c>
      <c r="J165" s="29">
        <f>IF(OR(A165&lt;1,A165&gt;SV_T),0,-F165*(IF(AND(SV_deaOn,A165=SV_deaM),SV_deaAmt,0)+IF(AND(SV_criOn,A165=SV_criM),SV_criAmt,0)+IF(AND(SV_tpdOn,A165=SV_tpdM),SV_tpdAmt,0)+IF(AND(SV_pacOn,A165=SV_pacM),SV_pacAmt,0)+IF(AND(SV_hosOn,A165=SV_hosM),SV_hosAmt,0)+IF(AND(SV_wedOn,A165=SV_wedM),SV_wedAmt,0)+IF(AND(SV_babOn,A165=SV_babM),SV_babAmt,0)+IF(AND(SV_ltcOn,A165&gt;=SV_ltcM,A165&lt;=SV_ltcE),SV_ltcAmt,0)))</f>
        <v/>
      </c>
      <c r="K165" s="29">
        <f>IF(OR(OR(A165&lt;1,A165&gt;SV_T),A165&gt;SV_loanYears),0,-SV_lifePremYr)</f>
        <v/>
      </c>
      <c r="L165" s="29">
        <f>IF(OR(A165&lt;1,A165&gt;SV_T),0,-SV_contrib)</f>
        <v/>
      </c>
      <c r="M165" s="60">
        <f>IF(AND(SV_crashOn,A165=SV_crashYr),SV_crashF,1)</f>
        <v/>
      </c>
      <c r="N165" s="60">
        <f>IF(AND(SV_ccyOn,A165=SV_ccyYr),SV_ccyF,1)</f>
        <v/>
      </c>
      <c r="O165" s="29">
        <f>IF(A165&gt;SV_T,0,O164*(1+interestRate)*M165*N165)</f>
        <v/>
      </c>
      <c r="P165" s="29">
        <f>IF(A165&gt;SV_T,0,(P164+SV_contrib)*(1+investmentReturn)*M165*N165)</f>
        <v/>
      </c>
      <c r="Q165" s="29">
        <f>IF(A165&gt;SV_T,0,Q164*(1+SV_propRate)*M165)</f>
        <v/>
      </c>
      <c r="R165" s="46">
        <f>MATCH(SV_age+A165-1,SV_cpfLower,1)</f>
        <v/>
      </c>
      <c r="S165" s="29">
        <f>IF(OR(OR(A165&lt;1,A165&gt;SV_T),NOT(SV_cpfOn),AND(SV_deaOn,A165&gt;=SV_deaM)),0,MIN(SV_sal0*(1+incomeGrowthRate)^(A165-1)*G165,SV_owCap))</f>
        <v/>
      </c>
      <c r="T165" s="29">
        <f>IF(A165&gt;SV_T,0,T164*(1+SV_oaRate)+IF(A165&gt;=SV_effStop,0,INDEX(SV_cpfOA,R165)*INDEX(SV_cpfTot,R165)*S165))</f>
        <v/>
      </c>
      <c r="U165" s="29">
        <f>IF(A165&gt;SV_T,0,U164*(1+SV_saRate)+IF(A165&gt;=SV_effStop,0,INDEX(SV_cpfSA,R165)*INDEX(SV_cpfTot,R165)*S165))</f>
        <v/>
      </c>
      <c r="V165" s="29">
        <f>IF(A165&gt;SV_T,0,V164*(1+SV_saRate)+IF(A165&gt;=SV_effStop,0,INDEX(SV_cpfMA,R165)*INDEX(SV_cpfTot,R165)*S165))</f>
        <v/>
      </c>
      <c r="W165" s="29">
        <f>IF(OR(OR(A165&lt;1,A165&gt;SV_T),A165&gt;=SV_effNeg),0,-(INDEX(SV_cpfOA,R165)+INDEX(SV_cpfSA,R165)+INDEX(SV_cpfMA,R165))*INDEX(SV_cpfEmp,R165)*S165)</f>
        <v/>
      </c>
      <c r="X165" s="29">
        <f>IF(A165&gt;=SV_sIdx,0,T165)</f>
        <v/>
      </c>
      <c r="Y165" s="29">
        <f>IF(A165&gt;=SV_sIdx,0,U165)</f>
        <v/>
      </c>
      <c r="Z165" s="29">
        <f>IF(A165&gt;=SV_sIdx,MIN(V165,SV_maCap),V165)</f>
        <v/>
      </c>
      <c r="AA165" s="29">
        <f>IF(AND(SV_cpfOn,A165&gt;=SV_pIdx,A165&lt;=SV_T),12*SV_pay,0)</f>
        <v/>
      </c>
      <c r="AB165" s="29">
        <f>IF(A165&gt;SV_T,0,IF(SV_sp&gt;=0,IF(A165&lt;SV_sIdx,0,IF(A165=SV_sIdx,SV_R0,SV_lifeGrowth*AB164)),SV_lifeGrowth*AB164))</f>
        <v/>
      </c>
      <c r="AC165" s="29">
        <f>IF(A165&gt;SV_T,0,IF(AND(SV_sp&gt;=0,A165&lt;SV_sIdx),0,IF(AND(SV_sp&gt;=0,A165=SV_sIdx),SV_L0,SV_lifeGrowth*(AC164-AA165))))</f>
        <v/>
      </c>
      <c r="AD165" s="29">
        <f>X165+Y165+AB165+Z165+IF(AB165&lt;0,0,AC165)</f>
        <v/>
      </c>
      <c r="AE165" s="29">
        <f>AA165+W165</f>
        <v/>
      </c>
      <c r="AF165" s="29">
        <f>IF(OR(A165&gt;SV_T,A165&gt;=SV_loanYears),0,MAX(0,AF164*(1+loanRate)-SV_inst))</f>
        <v/>
      </c>
      <c r="AG165" s="29">
        <f>IF(A165&gt;SV_T,0,AG164*(1+SV_savRate)+H165+I165+J165+K165+L165+AE165)</f>
        <v/>
      </c>
      <c r="AH165" s="29">
        <f>IF(A165&gt;SV_T,0,MAX(0,O165+P165+Q165+AD165+AG165-AF165))</f>
        <v/>
      </c>
      <c r="AI165" s="29">
        <f>IF(A165&gt;SV_T,0,O165+P165+AG165-MAX(0,AF165-(Q165+AD165)))</f>
        <v/>
      </c>
      <c r="AJ165" s="29">
        <f>IF(OR(OR(A165&lt;1,A165&gt;SV_T),A165-1&gt;=SV_retPay),0,SV_retMth*12+IF(A165=1,SV_retLump,0))</f>
        <v/>
      </c>
      <c r="AK165" s="29">
        <f>IF(A165&gt;SV_T,0,(AK164+AJ165)*(1+investmentReturn))</f>
        <v/>
      </c>
      <c r="AL165" s="29">
        <f>IF(OR(OR(A165&lt;1,A165&gt;SV_T),A165-1&gt;=SV_goalPay),0,SV_goalMth*12+IF(A165=1,SV_goalLump,0))</f>
        <v/>
      </c>
      <c r="AM165" s="29">
        <f>IF(A165&gt;SV_T,0,(AM164+AL165)*(1+investmentReturn))</f>
        <v/>
      </c>
      <c r="AN165" s="29">
        <f>IF(OR(OR(A165&lt;1,A165&gt;SV_T),A165-1&gt;=SV_protPay),0,SV_protPrem)</f>
        <v/>
      </c>
      <c r="AO165" s="29">
        <f>IF(OR(A165=0,A165&gt;=SV_T),0,ROUND(MAX(0,AK165),2)+ROUND(MAX(0,AM165),2))</f>
        <v/>
      </c>
      <c r="AP165" s="29">
        <f>IF(OR(A165&lt;1,A165&gt;SV_T),0,-(AJ165+AL165+AN165)+IF(A165=SV_T,ROUND(MAX(0,AK165),2)+ROUND(MAX(0,AM165),2),0))</f>
        <v/>
      </c>
      <c r="AQ165" s="29">
        <f>IF(A165&gt;SV_T,0,AQ164*(1+SV_savRate)+H165+I165+J165+K165+L165+AE165+AP165)</f>
        <v/>
      </c>
      <c r="AR165" s="29">
        <f>IF(A165&gt;SV_T,0,MAX(0,O165+P165+Q165+AD165+AQ165+AO165-AF165))</f>
        <v/>
      </c>
      <c r="AS165" s="29">
        <f>IF(A165&gt;SV_T,0,O165+P165+AQ165+AO165-MAX(0,AF165-(Q165+AD165)))</f>
        <v/>
      </c>
    </row>
    <row r="166">
      <c r="A166" s="61" t="n">
        <v>4</v>
      </c>
      <c r="B166" s="61">
        <f>SV_age+A166</f>
        <v/>
      </c>
      <c r="C166" s="61">
        <f>currentYear+A166</f>
        <v/>
      </c>
      <c r="D166" s="52">
        <f>A166&lt;=SV_T</f>
        <v/>
      </c>
      <c r="E166" s="60">
        <f>IF(AND(SV_inflOn,A166&gt;=SV_inflS,A166&lt;=SV_inflE),1+SV_inflRate,1+inflationRate)</f>
        <v/>
      </c>
      <c r="F166" s="60">
        <f>IF(A166&lt;=1,1,F165*E166)</f>
        <v/>
      </c>
      <c r="G166" s="60">
        <f>IF(AND(SV_incOn,A166&gt;=SV_incS,A166&lt;=SV_incE),1+SV_incImp,1)</f>
        <v/>
      </c>
      <c r="H166" s="29">
        <f>IF(OR(OR(A166&lt;1,A166&gt;SV_T),A166-1&gt;=SV_salCut,AND(SV_deaOn,A166&gt;=SV_deaM)),0,SV_sal0*(1+incomeGrowthRate)^(A166-1)*G166)</f>
        <v/>
      </c>
      <c r="I166" s="29">
        <f>IF(OR(A166&lt;1,A166&gt;SV_T),0,(-SV_exp0*F166-IF(A166&lt;=SV_loanYears,SV_inst,0)-IF(AND(SV_wdAmt&gt;0,A166=SV_wdYear),SV_wdAmt,0))*IF(AND(SV_expOn,A166&gt;=SV_expS,A166&lt;=SV_expE),1+SV_expImp,1))</f>
        <v/>
      </c>
      <c r="J166" s="29">
        <f>IF(OR(A166&lt;1,A166&gt;SV_T),0,-F166*(IF(AND(SV_deaOn,A166=SV_deaM),SV_deaAmt,0)+IF(AND(SV_criOn,A166=SV_criM),SV_criAmt,0)+IF(AND(SV_tpdOn,A166=SV_tpdM),SV_tpdAmt,0)+IF(AND(SV_pacOn,A166=SV_pacM),SV_pacAmt,0)+IF(AND(SV_hosOn,A166=SV_hosM),SV_hosAmt,0)+IF(AND(SV_wedOn,A166=SV_wedM),SV_wedAmt,0)+IF(AND(SV_babOn,A166=SV_babM),SV_babAmt,0)+IF(AND(SV_ltcOn,A166&gt;=SV_ltcM,A166&lt;=SV_ltcE),SV_ltcAmt,0)))</f>
        <v/>
      </c>
      <c r="K166" s="29">
        <f>IF(OR(OR(A166&lt;1,A166&gt;SV_T),A166&gt;SV_loanYears),0,-SV_lifePremYr)</f>
        <v/>
      </c>
      <c r="L166" s="29">
        <f>IF(OR(A166&lt;1,A166&gt;SV_T),0,-SV_contrib)</f>
        <v/>
      </c>
      <c r="M166" s="60">
        <f>IF(AND(SV_crashOn,A166=SV_crashYr),SV_crashF,1)</f>
        <v/>
      </c>
      <c r="N166" s="60">
        <f>IF(AND(SV_ccyOn,A166=SV_ccyYr),SV_ccyF,1)</f>
        <v/>
      </c>
      <c r="O166" s="29">
        <f>IF(A166&gt;SV_T,0,O165*(1+interestRate)*M166*N166)</f>
        <v/>
      </c>
      <c r="P166" s="29">
        <f>IF(A166&gt;SV_T,0,(P165+SV_contrib)*(1+investmentReturn)*M166*N166)</f>
        <v/>
      </c>
      <c r="Q166" s="29">
        <f>IF(A166&gt;SV_T,0,Q165*(1+SV_propRate)*M166)</f>
        <v/>
      </c>
      <c r="R166" s="46">
        <f>MATCH(SV_age+A166-1,SV_cpfLower,1)</f>
        <v/>
      </c>
      <c r="S166" s="29">
        <f>IF(OR(OR(A166&lt;1,A166&gt;SV_T),NOT(SV_cpfOn),AND(SV_deaOn,A166&gt;=SV_deaM)),0,MIN(SV_sal0*(1+incomeGrowthRate)^(A166-1)*G166,SV_owCap))</f>
        <v/>
      </c>
      <c r="T166" s="29">
        <f>IF(A166&gt;SV_T,0,T165*(1+SV_oaRate)+IF(A166&gt;=SV_effStop,0,INDEX(SV_cpfOA,R166)*INDEX(SV_cpfTot,R166)*S166))</f>
        <v/>
      </c>
      <c r="U166" s="29">
        <f>IF(A166&gt;SV_T,0,U165*(1+SV_saRate)+IF(A166&gt;=SV_effStop,0,INDEX(SV_cpfSA,R166)*INDEX(SV_cpfTot,R166)*S166))</f>
        <v/>
      </c>
      <c r="V166" s="29">
        <f>IF(A166&gt;SV_T,0,V165*(1+SV_saRate)+IF(A166&gt;=SV_effStop,0,INDEX(SV_cpfMA,R166)*INDEX(SV_cpfTot,R166)*S166))</f>
        <v/>
      </c>
      <c r="W166" s="29">
        <f>IF(OR(OR(A166&lt;1,A166&gt;SV_T),A166&gt;=SV_effNeg),0,-(INDEX(SV_cpfOA,R166)+INDEX(SV_cpfSA,R166)+INDEX(SV_cpfMA,R166))*INDEX(SV_cpfEmp,R166)*S166)</f>
        <v/>
      </c>
      <c r="X166" s="29">
        <f>IF(A166&gt;=SV_sIdx,0,T166)</f>
        <v/>
      </c>
      <c r="Y166" s="29">
        <f>IF(A166&gt;=SV_sIdx,0,U166)</f>
        <v/>
      </c>
      <c r="Z166" s="29">
        <f>IF(A166&gt;=SV_sIdx,MIN(V166,SV_maCap),V166)</f>
        <v/>
      </c>
      <c r="AA166" s="29">
        <f>IF(AND(SV_cpfOn,A166&gt;=SV_pIdx,A166&lt;=SV_T),12*SV_pay,0)</f>
        <v/>
      </c>
      <c r="AB166" s="29">
        <f>IF(A166&gt;SV_T,0,IF(SV_sp&gt;=0,IF(A166&lt;SV_sIdx,0,IF(A166=SV_sIdx,SV_R0,SV_lifeGrowth*AB165)),SV_lifeGrowth*AB165))</f>
        <v/>
      </c>
      <c r="AC166" s="29">
        <f>IF(A166&gt;SV_T,0,IF(AND(SV_sp&gt;=0,A166&lt;SV_sIdx),0,IF(AND(SV_sp&gt;=0,A166=SV_sIdx),SV_L0,SV_lifeGrowth*(AC165-AA166))))</f>
        <v/>
      </c>
      <c r="AD166" s="29">
        <f>X166+Y166+AB166+Z166+IF(AB166&lt;0,0,AC166)</f>
        <v/>
      </c>
      <c r="AE166" s="29">
        <f>AA166+W166</f>
        <v/>
      </c>
      <c r="AF166" s="29">
        <f>IF(OR(A166&gt;SV_T,A166&gt;=SV_loanYears),0,MAX(0,AF165*(1+loanRate)-SV_inst))</f>
        <v/>
      </c>
      <c r="AG166" s="29">
        <f>IF(A166&gt;SV_T,0,AG165*(1+SV_savRate)+H166+I166+J166+K166+L166+AE166)</f>
        <v/>
      </c>
      <c r="AH166" s="29">
        <f>IF(A166&gt;SV_T,0,MAX(0,O166+P166+Q166+AD166+AG166-AF166))</f>
        <v/>
      </c>
      <c r="AI166" s="29">
        <f>IF(A166&gt;SV_T,0,O166+P166+AG166-MAX(0,AF166-(Q166+AD166)))</f>
        <v/>
      </c>
      <c r="AJ166" s="29">
        <f>IF(OR(OR(A166&lt;1,A166&gt;SV_T),A166-1&gt;=SV_retPay),0,SV_retMth*12+IF(A166=1,SV_retLump,0))</f>
        <v/>
      </c>
      <c r="AK166" s="29">
        <f>IF(A166&gt;SV_T,0,(AK165+AJ166)*(1+investmentReturn))</f>
        <v/>
      </c>
      <c r="AL166" s="29">
        <f>IF(OR(OR(A166&lt;1,A166&gt;SV_T),A166-1&gt;=SV_goalPay),0,SV_goalMth*12+IF(A166=1,SV_goalLump,0))</f>
        <v/>
      </c>
      <c r="AM166" s="29">
        <f>IF(A166&gt;SV_T,0,(AM165+AL166)*(1+investmentReturn))</f>
        <v/>
      </c>
      <c r="AN166" s="29">
        <f>IF(OR(OR(A166&lt;1,A166&gt;SV_T),A166-1&gt;=SV_protPay),0,SV_protPrem)</f>
        <v/>
      </c>
      <c r="AO166" s="29">
        <f>IF(OR(A166=0,A166&gt;=SV_T),0,ROUND(MAX(0,AK166),2)+ROUND(MAX(0,AM166),2))</f>
        <v/>
      </c>
      <c r="AP166" s="29">
        <f>IF(OR(A166&lt;1,A166&gt;SV_T),0,-(AJ166+AL166+AN166)+IF(A166=SV_T,ROUND(MAX(0,AK166),2)+ROUND(MAX(0,AM166),2),0))</f>
        <v/>
      </c>
      <c r="AQ166" s="29">
        <f>IF(A166&gt;SV_T,0,AQ165*(1+SV_savRate)+H166+I166+J166+K166+L166+AE166+AP166)</f>
        <v/>
      </c>
      <c r="AR166" s="29">
        <f>IF(A166&gt;SV_T,0,MAX(0,O166+P166+Q166+AD166+AQ166+AO166-AF166))</f>
        <v/>
      </c>
      <c r="AS166" s="29">
        <f>IF(A166&gt;SV_T,0,O166+P166+AQ166+AO166-MAX(0,AF166-(Q166+AD166)))</f>
        <v/>
      </c>
    </row>
    <row r="167">
      <c r="A167" s="61" t="n">
        <v>5</v>
      </c>
      <c r="B167" s="61">
        <f>SV_age+A167</f>
        <v/>
      </c>
      <c r="C167" s="61">
        <f>currentYear+A167</f>
        <v/>
      </c>
      <c r="D167" s="52">
        <f>A167&lt;=SV_T</f>
        <v/>
      </c>
      <c r="E167" s="60">
        <f>IF(AND(SV_inflOn,A167&gt;=SV_inflS,A167&lt;=SV_inflE),1+SV_inflRate,1+inflationRate)</f>
        <v/>
      </c>
      <c r="F167" s="60">
        <f>IF(A167&lt;=1,1,F166*E167)</f>
        <v/>
      </c>
      <c r="G167" s="60">
        <f>IF(AND(SV_incOn,A167&gt;=SV_incS,A167&lt;=SV_incE),1+SV_incImp,1)</f>
        <v/>
      </c>
      <c r="H167" s="29">
        <f>IF(OR(OR(A167&lt;1,A167&gt;SV_T),A167-1&gt;=SV_salCut,AND(SV_deaOn,A167&gt;=SV_deaM)),0,SV_sal0*(1+incomeGrowthRate)^(A167-1)*G167)</f>
        <v/>
      </c>
      <c r="I167" s="29">
        <f>IF(OR(A167&lt;1,A167&gt;SV_T),0,(-SV_exp0*F167-IF(A167&lt;=SV_loanYears,SV_inst,0)-IF(AND(SV_wdAmt&gt;0,A167=SV_wdYear),SV_wdAmt,0))*IF(AND(SV_expOn,A167&gt;=SV_expS,A167&lt;=SV_expE),1+SV_expImp,1))</f>
        <v/>
      </c>
      <c r="J167" s="29">
        <f>IF(OR(A167&lt;1,A167&gt;SV_T),0,-F167*(IF(AND(SV_deaOn,A167=SV_deaM),SV_deaAmt,0)+IF(AND(SV_criOn,A167=SV_criM),SV_criAmt,0)+IF(AND(SV_tpdOn,A167=SV_tpdM),SV_tpdAmt,0)+IF(AND(SV_pacOn,A167=SV_pacM),SV_pacAmt,0)+IF(AND(SV_hosOn,A167=SV_hosM),SV_hosAmt,0)+IF(AND(SV_wedOn,A167=SV_wedM),SV_wedAmt,0)+IF(AND(SV_babOn,A167=SV_babM),SV_babAmt,0)+IF(AND(SV_ltcOn,A167&gt;=SV_ltcM,A167&lt;=SV_ltcE),SV_ltcAmt,0)))</f>
        <v/>
      </c>
      <c r="K167" s="29">
        <f>IF(OR(OR(A167&lt;1,A167&gt;SV_T),A167&gt;SV_loanYears),0,-SV_lifePremYr)</f>
        <v/>
      </c>
      <c r="L167" s="29">
        <f>IF(OR(A167&lt;1,A167&gt;SV_T),0,-SV_contrib)</f>
        <v/>
      </c>
      <c r="M167" s="60">
        <f>IF(AND(SV_crashOn,A167=SV_crashYr),SV_crashF,1)</f>
        <v/>
      </c>
      <c r="N167" s="60">
        <f>IF(AND(SV_ccyOn,A167=SV_ccyYr),SV_ccyF,1)</f>
        <v/>
      </c>
      <c r="O167" s="29">
        <f>IF(A167&gt;SV_T,0,O166*(1+interestRate)*M167*N167)</f>
        <v/>
      </c>
      <c r="P167" s="29">
        <f>IF(A167&gt;SV_T,0,(P166+SV_contrib)*(1+investmentReturn)*M167*N167)</f>
        <v/>
      </c>
      <c r="Q167" s="29">
        <f>IF(A167&gt;SV_T,0,Q166*(1+SV_propRate)*M167)</f>
        <v/>
      </c>
      <c r="R167" s="46">
        <f>MATCH(SV_age+A167-1,SV_cpfLower,1)</f>
        <v/>
      </c>
      <c r="S167" s="29">
        <f>IF(OR(OR(A167&lt;1,A167&gt;SV_T),NOT(SV_cpfOn),AND(SV_deaOn,A167&gt;=SV_deaM)),0,MIN(SV_sal0*(1+incomeGrowthRate)^(A167-1)*G167,SV_owCap))</f>
        <v/>
      </c>
      <c r="T167" s="29">
        <f>IF(A167&gt;SV_T,0,T166*(1+SV_oaRate)+IF(A167&gt;=SV_effStop,0,INDEX(SV_cpfOA,R167)*INDEX(SV_cpfTot,R167)*S167))</f>
        <v/>
      </c>
      <c r="U167" s="29">
        <f>IF(A167&gt;SV_T,0,U166*(1+SV_saRate)+IF(A167&gt;=SV_effStop,0,INDEX(SV_cpfSA,R167)*INDEX(SV_cpfTot,R167)*S167))</f>
        <v/>
      </c>
      <c r="V167" s="29">
        <f>IF(A167&gt;SV_T,0,V166*(1+SV_saRate)+IF(A167&gt;=SV_effStop,0,INDEX(SV_cpfMA,R167)*INDEX(SV_cpfTot,R167)*S167))</f>
        <v/>
      </c>
      <c r="W167" s="29">
        <f>IF(OR(OR(A167&lt;1,A167&gt;SV_T),A167&gt;=SV_effNeg),0,-(INDEX(SV_cpfOA,R167)+INDEX(SV_cpfSA,R167)+INDEX(SV_cpfMA,R167))*INDEX(SV_cpfEmp,R167)*S167)</f>
        <v/>
      </c>
      <c r="X167" s="29">
        <f>IF(A167&gt;=SV_sIdx,0,T167)</f>
        <v/>
      </c>
      <c r="Y167" s="29">
        <f>IF(A167&gt;=SV_sIdx,0,U167)</f>
        <v/>
      </c>
      <c r="Z167" s="29">
        <f>IF(A167&gt;=SV_sIdx,MIN(V167,SV_maCap),V167)</f>
        <v/>
      </c>
      <c r="AA167" s="29">
        <f>IF(AND(SV_cpfOn,A167&gt;=SV_pIdx,A167&lt;=SV_T),12*SV_pay,0)</f>
        <v/>
      </c>
      <c r="AB167" s="29">
        <f>IF(A167&gt;SV_T,0,IF(SV_sp&gt;=0,IF(A167&lt;SV_sIdx,0,IF(A167=SV_sIdx,SV_R0,SV_lifeGrowth*AB166)),SV_lifeGrowth*AB166))</f>
        <v/>
      </c>
      <c r="AC167" s="29">
        <f>IF(A167&gt;SV_T,0,IF(AND(SV_sp&gt;=0,A167&lt;SV_sIdx),0,IF(AND(SV_sp&gt;=0,A167=SV_sIdx),SV_L0,SV_lifeGrowth*(AC166-AA167))))</f>
        <v/>
      </c>
      <c r="AD167" s="29">
        <f>X167+Y167+AB167+Z167+IF(AB167&lt;0,0,AC167)</f>
        <v/>
      </c>
      <c r="AE167" s="29">
        <f>AA167+W167</f>
        <v/>
      </c>
      <c r="AF167" s="29">
        <f>IF(OR(A167&gt;SV_T,A167&gt;=SV_loanYears),0,MAX(0,AF166*(1+loanRate)-SV_inst))</f>
        <v/>
      </c>
      <c r="AG167" s="29">
        <f>IF(A167&gt;SV_T,0,AG166*(1+SV_savRate)+H167+I167+J167+K167+L167+AE167)</f>
        <v/>
      </c>
      <c r="AH167" s="29">
        <f>IF(A167&gt;SV_T,0,MAX(0,O167+P167+Q167+AD167+AG167-AF167))</f>
        <v/>
      </c>
      <c r="AI167" s="29">
        <f>IF(A167&gt;SV_T,0,O167+P167+AG167-MAX(0,AF167-(Q167+AD167)))</f>
        <v/>
      </c>
      <c r="AJ167" s="29">
        <f>IF(OR(OR(A167&lt;1,A167&gt;SV_T),A167-1&gt;=SV_retPay),0,SV_retMth*12+IF(A167=1,SV_retLump,0))</f>
        <v/>
      </c>
      <c r="AK167" s="29">
        <f>IF(A167&gt;SV_T,0,(AK166+AJ167)*(1+investmentReturn))</f>
        <v/>
      </c>
      <c r="AL167" s="29">
        <f>IF(OR(OR(A167&lt;1,A167&gt;SV_T),A167-1&gt;=SV_goalPay),0,SV_goalMth*12+IF(A167=1,SV_goalLump,0))</f>
        <v/>
      </c>
      <c r="AM167" s="29">
        <f>IF(A167&gt;SV_T,0,(AM166+AL167)*(1+investmentReturn))</f>
        <v/>
      </c>
      <c r="AN167" s="29">
        <f>IF(OR(OR(A167&lt;1,A167&gt;SV_T),A167-1&gt;=SV_protPay),0,SV_protPrem)</f>
        <v/>
      </c>
      <c r="AO167" s="29">
        <f>IF(OR(A167=0,A167&gt;=SV_T),0,ROUND(MAX(0,AK167),2)+ROUND(MAX(0,AM167),2))</f>
        <v/>
      </c>
      <c r="AP167" s="29">
        <f>IF(OR(A167&lt;1,A167&gt;SV_T),0,-(AJ167+AL167+AN167)+IF(A167=SV_T,ROUND(MAX(0,AK167),2)+ROUND(MAX(0,AM167),2),0))</f>
        <v/>
      </c>
      <c r="AQ167" s="29">
        <f>IF(A167&gt;SV_T,0,AQ166*(1+SV_savRate)+H167+I167+J167+K167+L167+AE167+AP167)</f>
        <v/>
      </c>
      <c r="AR167" s="29">
        <f>IF(A167&gt;SV_T,0,MAX(0,O167+P167+Q167+AD167+AQ167+AO167-AF167))</f>
        <v/>
      </c>
      <c r="AS167" s="29">
        <f>IF(A167&gt;SV_T,0,O167+P167+AQ167+AO167-MAX(0,AF167-(Q167+AD167)))</f>
        <v/>
      </c>
    </row>
    <row r="168">
      <c r="A168" s="61" t="n">
        <v>6</v>
      </c>
      <c r="B168" s="61">
        <f>SV_age+A168</f>
        <v/>
      </c>
      <c r="C168" s="61">
        <f>currentYear+A168</f>
        <v/>
      </c>
      <c r="D168" s="52">
        <f>A168&lt;=SV_T</f>
        <v/>
      </c>
      <c r="E168" s="60">
        <f>IF(AND(SV_inflOn,A168&gt;=SV_inflS,A168&lt;=SV_inflE),1+SV_inflRate,1+inflationRate)</f>
        <v/>
      </c>
      <c r="F168" s="60">
        <f>IF(A168&lt;=1,1,F167*E168)</f>
        <v/>
      </c>
      <c r="G168" s="60">
        <f>IF(AND(SV_incOn,A168&gt;=SV_incS,A168&lt;=SV_incE),1+SV_incImp,1)</f>
        <v/>
      </c>
      <c r="H168" s="29">
        <f>IF(OR(OR(A168&lt;1,A168&gt;SV_T),A168-1&gt;=SV_salCut,AND(SV_deaOn,A168&gt;=SV_deaM)),0,SV_sal0*(1+incomeGrowthRate)^(A168-1)*G168)</f>
        <v/>
      </c>
      <c r="I168" s="29">
        <f>IF(OR(A168&lt;1,A168&gt;SV_T),0,(-SV_exp0*F168-IF(A168&lt;=SV_loanYears,SV_inst,0)-IF(AND(SV_wdAmt&gt;0,A168=SV_wdYear),SV_wdAmt,0))*IF(AND(SV_expOn,A168&gt;=SV_expS,A168&lt;=SV_expE),1+SV_expImp,1))</f>
        <v/>
      </c>
      <c r="J168" s="29">
        <f>IF(OR(A168&lt;1,A168&gt;SV_T),0,-F168*(IF(AND(SV_deaOn,A168=SV_deaM),SV_deaAmt,0)+IF(AND(SV_criOn,A168=SV_criM),SV_criAmt,0)+IF(AND(SV_tpdOn,A168=SV_tpdM),SV_tpdAmt,0)+IF(AND(SV_pacOn,A168=SV_pacM),SV_pacAmt,0)+IF(AND(SV_hosOn,A168=SV_hosM),SV_hosAmt,0)+IF(AND(SV_wedOn,A168=SV_wedM),SV_wedAmt,0)+IF(AND(SV_babOn,A168=SV_babM),SV_babAmt,0)+IF(AND(SV_ltcOn,A168&gt;=SV_ltcM,A168&lt;=SV_ltcE),SV_ltcAmt,0)))</f>
        <v/>
      </c>
      <c r="K168" s="29">
        <f>IF(OR(OR(A168&lt;1,A168&gt;SV_T),A168&gt;SV_loanYears),0,-SV_lifePremYr)</f>
        <v/>
      </c>
      <c r="L168" s="29">
        <f>IF(OR(A168&lt;1,A168&gt;SV_T),0,-SV_contrib)</f>
        <v/>
      </c>
      <c r="M168" s="60">
        <f>IF(AND(SV_crashOn,A168=SV_crashYr),SV_crashF,1)</f>
        <v/>
      </c>
      <c r="N168" s="60">
        <f>IF(AND(SV_ccyOn,A168=SV_ccyYr),SV_ccyF,1)</f>
        <v/>
      </c>
      <c r="O168" s="29">
        <f>IF(A168&gt;SV_T,0,O167*(1+interestRate)*M168*N168)</f>
        <v/>
      </c>
      <c r="P168" s="29">
        <f>IF(A168&gt;SV_T,0,(P167+SV_contrib)*(1+investmentReturn)*M168*N168)</f>
        <v/>
      </c>
      <c r="Q168" s="29">
        <f>IF(A168&gt;SV_T,0,Q167*(1+SV_propRate)*M168)</f>
        <v/>
      </c>
      <c r="R168" s="46">
        <f>MATCH(SV_age+A168-1,SV_cpfLower,1)</f>
        <v/>
      </c>
      <c r="S168" s="29">
        <f>IF(OR(OR(A168&lt;1,A168&gt;SV_T),NOT(SV_cpfOn),AND(SV_deaOn,A168&gt;=SV_deaM)),0,MIN(SV_sal0*(1+incomeGrowthRate)^(A168-1)*G168,SV_owCap))</f>
        <v/>
      </c>
      <c r="T168" s="29">
        <f>IF(A168&gt;SV_T,0,T167*(1+SV_oaRate)+IF(A168&gt;=SV_effStop,0,INDEX(SV_cpfOA,R168)*INDEX(SV_cpfTot,R168)*S168))</f>
        <v/>
      </c>
      <c r="U168" s="29">
        <f>IF(A168&gt;SV_T,0,U167*(1+SV_saRate)+IF(A168&gt;=SV_effStop,0,INDEX(SV_cpfSA,R168)*INDEX(SV_cpfTot,R168)*S168))</f>
        <v/>
      </c>
      <c r="V168" s="29">
        <f>IF(A168&gt;SV_T,0,V167*(1+SV_saRate)+IF(A168&gt;=SV_effStop,0,INDEX(SV_cpfMA,R168)*INDEX(SV_cpfTot,R168)*S168))</f>
        <v/>
      </c>
      <c r="W168" s="29">
        <f>IF(OR(OR(A168&lt;1,A168&gt;SV_T),A168&gt;=SV_effNeg),0,-(INDEX(SV_cpfOA,R168)+INDEX(SV_cpfSA,R168)+INDEX(SV_cpfMA,R168))*INDEX(SV_cpfEmp,R168)*S168)</f>
        <v/>
      </c>
      <c r="X168" s="29">
        <f>IF(A168&gt;=SV_sIdx,0,T168)</f>
        <v/>
      </c>
      <c r="Y168" s="29">
        <f>IF(A168&gt;=SV_sIdx,0,U168)</f>
        <v/>
      </c>
      <c r="Z168" s="29">
        <f>IF(A168&gt;=SV_sIdx,MIN(V168,SV_maCap),V168)</f>
        <v/>
      </c>
      <c r="AA168" s="29">
        <f>IF(AND(SV_cpfOn,A168&gt;=SV_pIdx,A168&lt;=SV_T),12*SV_pay,0)</f>
        <v/>
      </c>
      <c r="AB168" s="29">
        <f>IF(A168&gt;SV_T,0,IF(SV_sp&gt;=0,IF(A168&lt;SV_sIdx,0,IF(A168=SV_sIdx,SV_R0,SV_lifeGrowth*AB167)),SV_lifeGrowth*AB167))</f>
        <v/>
      </c>
      <c r="AC168" s="29">
        <f>IF(A168&gt;SV_T,0,IF(AND(SV_sp&gt;=0,A168&lt;SV_sIdx),0,IF(AND(SV_sp&gt;=0,A168=SV_sIdx),SV_L0,SV_lifeGrowth*(AC167-AA168))))</f>
        <v/>
      </c>
      <c r="AD168" s="29">
        <f>X168+Y168+AB168+Z168+IF(AB168&lt;0,0,AC168)</f>
        <v/>
      </c>
      <c r="AE168" s="29">
        <f>AA168+W168</f>
        <v/>
      </c>
      <c r="AF168" s="29">
        <f>IF(OR(A168&gt;SV_T,A168&gt;=SV_loanYears),0,MAX(0,AF167*(1+loanRate)-SV_inst))</f>
        <v/>
      </c>
      <c r="AG168" s="29">
        <f>IF(A168&gt;SV_T,0,AG167*(1+SV_savRate)+H168+I168+J168+K168+L168+AE168)</f>
        <v/>
      </c>
      <c r="AH168" s="29">
        <f>IF(A168&gt;SV_T,0,MAX(0,O168+P168+Q168+AD168+AG168-AF168))</f>
        <v/>
      </c>
      <c r="AI168" s="29">
        <f>IF(A168&gt;SV_T,0,O168+P168+AG168-MAX(0,AF168-(Q168+AD168)))</f>
        <v/>
      </c>
      <c r="AJ168" s="29">
        <f>IF(OR(OR(A168&lt;1,A168&gt;SV_T),A168-1&gt;=SV_retPay),0,SV_retMth*12+IF(A168=1,SV_retLump,0))</f>
        <v/>
      </c>
      <c r="AK168" s="29">
        <f>IF(A168&gt;SV_T,0,(AK167+AJ168)*(1+investmentReturn))</f>
        <v/>
      </c>
      <c r="AL168" s="29">
        <f>IF(OR(OR(A168&lt;1,A168&gt;SV_T),A168-1&gt;=SV_goalPay),0,SV_goalMth*12+IF(A168=1,SV_goalLump,0))</f>
        <v/>
      </c>
      <c r="AM168" s="29">
        <f>IF(A168&gt;SV_T,0,(AM167+AL168)*(1+investmentReturn))</f>
        <v/>
      </c>
      <c r="AN168" s="29">
        <f>IF(OR(OR(A168&lt;1,A168&gt;SV_T),A168-1&gt;=SV_protPay),0,SV_protPrem)</f>
        <v/>
      </c>
      <c r="AO168" s="29">
        <f>IF(OR(A168=0,A168&gt;=SV_T),0,ROUND(MAX(0,AK168),2)+ROUND(MAX(0,AM168),2))</f>
        <v/>
      </c>
      <c r="AP168" s="29">
        <f>IF(OR(A168&lt;1,A168&gt;SV_T),0,-(AJ168+AL168+AN168)+IF(A168=SV_T,ROUND(MAX(0,AK168),2)+ROUND(MAX(0,AM168),2),0))</f>
        <v/>
      </c>
      <c r="AQ168" s="29">
        <f>IF(A168&gt;SV_T,0,AQ167*(1+SV_savRate)+H168+I168+J168+K168+L168+AE168+AP168)</f>
        <v/>
      </c>
      <c r="AR168" s="29">
        <f>IF(A168&gt;SV_T,0,MAX(0,O168+P168+Q168+AD168+AQ168+AO168-AF168))</f>
        <v/>
      </c>
      <c r="AS168" s="29">
        <f>IF(A168&gt;SV_T,0,O168+P168+AQ168+AO168-MAX(0,AF168-(Q168+AD168)))</f>
        <v/>
      </c>
    </row>
    <row r="169">
      <c r="A169" s="61" t="n">
        <v>7</v>
      </c>
      <c r="B169" s="61">
        <f>SV_age+A169</f>
        <v/>
      </c>
      <c r="C169" s="61">
        <f>currentYear+A169</f>
        <v/>
      </c>
      <c r="D169" s="52">
        <f>A169&lt;=SV_T</f>
        <v/>
      </c>
      <c r="E169" s="60">
        <f>IF(AND(SV_inflOn,A169&gt;=SV_inflS,A169&lt;=SV_inflE),1+SV_inflRate,1+inflationRate)</f>
        <v/>
      </c>
      <c r="F169" s="60">
        <f>IF(A169&lt;=1,1,F168*E169)</f>
        <v/>
      </c>
      <c r="G169" s="60">
        <f>IF(AND(SV_incOn,A169&gt;=SV_incS,A169&lt;=SV_incE),1+SV_incImp,1)</f>
        <v/>
      </c>
      <c r="H169" s="29">
        <f>IF(OR(OR(A169&lt;1,A169&gt;SV_T),A169-1&gt;=SV_salCut,AND(SV_deaOn,A169&gt;=SV_deaM)),0,SV_sal0*(1+incomeGrowthRate)^(A169-1)*G169)</f>
        <v/>
      </c>
      <c r="I169" s="29">
        <f>IF(OR(A169&lt;1,A169&gt;SV_T),0,(-SV_exp0*F169-IF(A169&lt;=SV_loanYears,SV_inst,0)-IF(AND(SV_wdAmt&gt;0,A169=SV_wdYear),SV_wdAmt,0))*IF(AND(SV_expOn,A169&gt;=SV_expS,A169&lt;=SV_expE),1+SV_expImp,1))</f>
        <v/>
      </c>
      <c r="J169" s="29">
        <f>IF(OR(A169&lt;1,A169&gt;SV_T),0,-F169*(IF(AND(SV_deaOn,A169=SV_deaM),SV_deaAmt,0)+IF(AND(SV_criOn,A169=SV_criM),SV_criAmt,0)+IF(AND(SV_tpdOn,A169=SV_tpdM),SV_tpdAmt,0)+IF(AND(SV_pacOn,A169=SV_pacM),SV_pacAmt,0)+IF(AND(SV_hosOn,A169=SV_hosM),SV_hosAmt,0)+IF(AND(SV_wedOn,A169=SV_wedM),SV_wedAmt,0)+IF(AND(SV_babOn,A169=SV_babM),SV_babAmt,0)+IF(AND(SV_ltcOn,A169&gt;=SV_ltcM,A169&lt;=SV_ltcE),SV_ltcAmt,0)))</f>
        <v/>
      </c>
      <c r="K169" s="29">
        <f>IF(OR(OR(A169&lt;1,A169&gt;SV_T),A169&gt;SV_loanYears),0,-SV_lifePremYr)</f>
        <v/>
      </c>
      <c r="L169" s="29">
        <f>IF(OR(A169&lt;1,A169&gt;SV_T),0,-SV_contrib)</f>
        <v/>
      </c>
      <c r="M169" s="60">
        <f>IF(AND(SV_crashOn,A169=SV_crashYr),SV_crashF,1)</f>
        <v/>
      </c>
      <c r="N169" s="60">
        <f>IF(AND(SV_ccyOn,A169=SV_ccyYr),SV_ccyF,1)</f>
        <v/>
      </c>
      <c r="O169" s="29">
        <f>IF(A169&gt;SV_T,0,O168*(1+interestRate)*M169*N169)</f>
        <v/>
      </c>
      <c r="P169" s="29">
        <f>IF(A169&gt;SV_T,0,(P168+SV_contrib)*(1+investmentReturn)*M169*N169)</f>
        <v/>
      </c>
      <c r="Q169" s="29">
        <f>IF(A169&gt;SV_T,0,Q168*(1+SV_propRate)*M169)</f>
        <v/>
      </c>
      <c r="R169" s="46">
        <f>MATCH(SV_age+A169-1,SV_cpfLower,1)</f>
        <v/>
      </c>
      <c r="S169" s="29">
        <f>IF(OR(OR(A169&lt;1,A169&gt;SV_T),NOT(SV_cpfOn),AND(SV_deaOn,A169&gt;=SV_deaM)),0,MIN(SV_sal0*(1+incomeGrowthRate)^(A169-1)*G169,SV_owCap))</f>
        <v/>
      </c>
      <c r="T169" s="29">
        <f>IF(A169&gt;SV_T,0,T168*(1+SV_oaRate)+IF(A169&gt;=SV_effStop,0,INDEX(SV_cpfOA,R169)*INDEX(SV_cpfTot,R169)*S169))</f>
        <v/>
      </c>
      <c r="U169" s="29">
        <f>IF(A169&gt;SV_T,0,U168*(1+SV_saRate)+IF(A169&gt;=SV_effStop,0,INDEX(SV_cpfSA,R169)*INDEX(SV_cpfTot,R169)*S169))</f>
        <v/>
      </c>
      <c r="V169" s="29">
        <f>IF(A169&gt;SV_T,0,V168*(1+SV_saRate)+IF(A169&gt;=SV_effStop,0,INDEX(SV_cpfMA,R169)*INDEX(SV_cpfTot,R169)*S169))</f>
        <v/>
      </c>
      <c r="W169" s="29">
        <f>IF(OR(OR(A169&lt;1,A169&gt;SV_T),A169&gt;=SV_effNeg),0,-(INDEX(SV_cpfOA,R169)+INDEX(SV_cpfSA,R169)+INDEX(SV_cpfMA,R169))*INDEX(SV_cpfEmp,R169)*S169)</f>
        <v/>
      </c>
      <c r="X169" s="29">
        <f>IF(A169&gt;=SV_sIdx,0,T169)</f>
        <v/>
      </c>
      <c r="Y169" s="29">
        <f>IF(A169&gt;=SV_sIdx,0,U169)</f>
        <v/>
      </c>
      <c r="Z169" s="29">
        <f>IF(A169&gt;=SV_sIdx,MIN(V169,SV_maCap),V169)</f>
        <v/>
      </c>
      <c r="AA169" s="29">
        <f>IF(AND(SV_cpfOn,A169&gt;=SV_pIdx,A169&lt;=SV_T),12*SV_pay,0)</f>
        <v/>
      </c>
      <c r="AB169" s="29">
        <f>IF(A169&gt;SV_T,0,IF(SV_sp&gt;=0,IF(A169&lt;SV_sIdx,0,IF(A169=SV_sIdx,SV_R0,SV_lifeGrowth*AB168)),SV_lifeGrowth*AB168))</f>
        <v/>
      </c>
      <c r="AC169" s="29">
        <f>IF(A169&gt;SV_T,0,IF(AND(SV_sp&gt;=0,A169&lt;SV_sIdx),0,IF(AND(SV_sp&gt;=0,A169=SV_sIdx),SV_L0,SV_lifeGrowth*(AC168-AA169))))</f>
        <v/>
      </c>
      <c r="AD169" s="29">
        <f>X169+Y169+AB169+Z169+IF(AB169&lt;0,0,AC169)</f>
        <v/>
      </c>
      <c r="AE169" s="29">
        <f>AA169+W169</f>
        <v/>
      </c>
      <c r="AF169" s="29">
        <f>IF(OR(A169&gt;SV_T,A169&gt;=SV_loanYears),0,MAX(0,AF168*(1+loanRate)-SV_inst))</f>
        <v/>
      </c>
      <c r="AG169" s="29">
        <f>IF(A169&gt;SV_T,0,AG168*(1+SV_savRate)+H169+I169+J169+K169+L169+AE169)</f>
        <v/>
      </c>
      <c r="AH169" s="29">
        <f>IF(A169&gt;SV_T,0,MAX(0,O169+P169+Q169+AD169+AG169-AF169))</f>
        <v/>
      </c>
      <c r="AI169" s="29">
        <f>IF(A169&gt;SV_T,0,O169+P169+AG169-MAX(0,AF169-(Q169+AD169)))</f>
        <v/>
      </c>
      <c r="AJ169" s="29">
        <f>IF(OR(OR(A169&lt;1,A169&gt;SV_T),A169-1&gt;=SV_retPay),0,SV_retMth*12+IF(A169=1,SV_retLump,0))</f>
        <v/>
      </c>
      <c r="AK169" s="29">
        <f>IF(A169&gt;SV_T,0,(AK168+AJ169)*(1+investmentReturn))</f>
        <v/>
      </c>
      <c r="AL169" s="29">
        <f>IF(OR(OR(A169&lt;1,A169&gt;SV_T),A169-1&gt;=SV_goalPay),0,SV_goalMth*12+IF(A169=1,SV_goalLump,0))</f>
        <v/>
      </c>
      <c r="AM169" s="29">
        <f>IF(A169&gt;SV_T,0,(AM168+AL169)*(1+investmentReturn))</f>
        <v/>
      </c>
      <c r="AN169" s="29">
        <f>IF(OR(OR(A169&lt;1,A169&gt;SV_T),A169-1&gt;=SV_protPay),0,SV_protPrem)</f>
        <v/>
      </c>
      <c r="AO169" s="29">
        <f>IF(OR(A169=0,A169&gt;=SV_T),0,ROUND(MAX(0,AK169),2)+ROUND(MAX(0,AM169),2))</f>
        <v/>
      </c>
      <c r="AP169" s="29">
        <f>IF(OR(A169&lt;1,A169&gt;SV_T),0,-(AJ169+AL169+AN169)+IF(A169=SV_T,ROUND(MAX(0,AK169),2)+ROUND(MAX(0,AM169),2),0))</f>
        <v/>
      </c>
      <c r="AQ169" s="29">
        <f>IF(A169&gt;SV_T,0,AQ168*(1+SV_savRate)+H169+I169+J169+K169+L169+AE169+AP169)</f>
        <v/>
      </c>
      <c r="AR169" s="29">
        <f>IF(A169&gt;SV_T,0,MAX(0,O169+P169+Q169+AD169+AQ169+AO169-AF169))</f>
        <v/>
      </c>
      <c r="AS169" s="29">
        <f>IF(A169&gt;SV_T,0,O169+P169+AQ169+AO169-MAX(0,AF169-(Q169+AD169)))</f>
        <v/>
      </c>
    </row>
    <row r="170">
      <c r="A170" s="61" t="n">
        <v>8</v>
      </c>
      <c r="B170" s="61">
        <f>SV_age+A170</f>
        <v/>
      </c>
      <c r="C170" s="61">
        <f>currentYear+A170</f>
        <v/>
      </c>
      <c r="D170" s="52">
        <f>A170&lt;=SV_T</f>
        <v/>
      </c>
      <c r="E170" s="60">
        <f>IF(AND(SV_inflOn,A170&gt;=SV_inflS,A170&lt;=SV_inflE),1+SV_inflRate,1+inflationRate)</f>
        <v/>
      </c>
      <c r="F170" s="60">
        <f>IF(A170&lt;=1,1,F169*E170)</f>
        <v/>
      </c>
      <c r="G170" s="60">
        <f>IF(AND(SV_incOn,A170&gt;=SV_incS,A170&lt;=SV_incE),1+SV_incImp,1)</f>
        <v/>
      </c>
      <c r="H170" s="29">
        <f>IF(OR(OR(A170&lt;1,A170&gt;SV_T),A170-1&gt;=SV_salCut,AND(SV_deaOn,A170&gt;=SV_deaM)),0,SV_sal0*(1+incomeGrowthRate)^(A170-1)*G170)</f>
        <v/>
      </c>
      <c r="I170" s="29">
        <f>IF(OR(A170&lt;1,A170&gt;SV_T),0,(-SV_exp0*F170-IF(A170&lt;=SV_loanYears,SV_inst,0)-IF(AND(SV_wdAmt&gt;0,A170=SV_wdYear),SV_wdAmt,0))*IF(AND(SV_expOn,A170&gt;=SV_expS,A170&lt;=SV_expE),1+SV_expImp,1))</f>
        <v/>
      </c>
      <c r="J170" s="29">
        <f>IF(OR(A170&lt;1,A170&gt;SV_T),0,-F170*(IF(AND(SV_deaOn,A170=SV_deaM),SV_deaAmt,0)+IF(AND(SV_criOn,A170=SV_criM),SV_criAmt,0)+IF(AND(SV_tpdOn,A170=SV_tpdM),SV_tpdAmt,0)+IF(AND(SV_pacOn,A170=SV_pacM),SV_pacAmt,0)+IF(AND(SV_hosOn,A170=SV_hosM),SV_hosAmt,0)+IF(AND(SV_wedOn,A170=SV_wedM),SV_wedAmt,0)+IF(AND(SV_babOn,A170=SV_babM),SV_babAmt,0)+IF(AND(SV_ltcOn,A170&gt;=SV_ltcM,A170&lt;=SV_ltcE),SV_ltcAmt,0)))</f>
        <v/>
      </c>
      <c r="K170" s="29">
        <f>IF(OR(OR(A170&lt;1,A170&gt;SV_T),A170&gt;SV_loanYears),0,-SV_lifePremYr)</f>
        <v/>
      </c>
      <c r="L170" s="29">
        <f>IF(OR(A170&lt;1,A170&gt;SV_T),0,-SV_contrib)</f>
        <v/>
      </c>
      <c r="M170" s="60">
        <f>IF(AND(SV_crashOn,A170=SV_crashYr),SV_crashF,1)</f>
        <v/>
      </c>
      <c r="N170" s="60">
        <f>IF(AND(SV_ccyOn,A170=SV_ccyYr),SV_ccyF,1)</f>
        <v/>
      </c>
      <c r="O170" s="29">
        <f>IF(A170&gt;SV_T,0,O169*(1+interestRate)*M170*N170)</f>
        <v/>
      </c>
      <c r="P170" s="29">
        <f>IF(A170&gt;SV_T,0,(P169+SV_contrib)*(1+investmentReturn)*M170*N170)</f>
        <v/>
      </c>
      <c r="Q170" s="29">
        <f>IF(A170&gt;SV_T,0,Q169*(1+SV_propRate)*M170)</f>
        <v/>
      </c>
      <c r="R170" s="46">
        <f>MATCH(SV_age+A170-1,SV_cpfLower,1)</f>
        <v/>
      </c>
      <c r="S170" s="29">
        <f>IF(OR(OR(A170&lt;1,A170&gt;SV_T),NOT(SV_cpfOn),AND(SV_deaOn,A170&gt;=SV_deaM)),0,MIN(SV_sal0*(1+incomeGrowthRate)^(A170-1)*G170,SV_owCap))</f>
        <v/>
      </c>
      <c r="T170" s="29">
        <f>IF(A170&gt;SV_T,0,T169*(1+SV_oaRate)+IF(A170&gt;=SV_effStop,0,INDEX(SV_cpfOA,R170)*INDEX(SV_cpfTot,R170)*S170))</f>
        <v/>
      </c>
      <c r="U170" s="29">
        <f>IF(A170&gt;SV_T,0,U169*(1+SV_saRate)+IF(A170&gt;=SV_effStop,0,INDEX(SV_cpfSA,R170)*INDEX(SV_cpfTot,R170)*S170))</f>
        <v/>
      </c>
      <c r="V170" s="29">
        <f>IF(A170&gt;SV_T,0,V169*(1+SV_saRate)+IF(A170&gt;=SV_effStop,0,INDEX(SV_cpfMA,R170)*INDEX(SV_cpfTot,R170)*S170))</f>
        <v/>
      </c>
      <c r="W170" s="29">
        <f>IF(OR(OR(A170&lt;1,A170&gt;SV_T),A170&gt;=SV_effNeg),0,-(INDEX(SV_cpfOA,R170)+INDEX(SV_cpfSA,R170)+INDEX(SV_cpfMA,R170))*INDEX(SV_cpfEmp,R170)*S170)</f>
        <v/>
      </c>
      <c r="X170" s="29">
        <f>IF(A170&gt;=SV_sIdx,0,T170)</f>
        <v/>
      </c>
      <c r="Y170" s="29">
        <f>IF(A170&gt;=SV_sIdx,0,U170)</f>
        <v/>
      </c>
      <c r="Z170" s="29">
        <f>IF(A170&gt;=SV_sIdx,MIN(V170,SV_maCap),V170)</f>
        <v/>
      </c>
      <c r="AA170" s="29">
        <f>IF(AND(SV_cpfOn,A170&gt;=SV_pIdx,A170&lt;=SV_T),12*SV_pay,0)</f>
        <v/>
      </c>
      <c r="AB170" s="29">
        <f>IF(A170&gt;SV_T,0,IF(SV_sp&gt;=0,IF(A170&lt;SV_sIdx,0,IF(A170=SV_sIdx,SV_R0,SV_lifeGrowth*AB169)),SV_lifeGrowth*AB169))</f>
        <v/>
      </c>
      <c r="AC170" s="29">
        <f>IF(A170&gt;SV_T,0,IF(AND(SV_sp&gt;=0,A170&lt;SV_sIdx),0,IF(AND(SV_sp&gt;=0,A170=SV_sIdx),SV_L0,SV_lifeGrowth*(AC169-AA170))))</f>
        <v/>
      </c>
      <c r="AD170" s="29">
        <f>X170+Y170+AB170+Z170+IF(AB170&lt;0,0,AC170)</f>
        <v/>
      </c>
      <c r="AE170" s="29">
        <f>AA170+W170</f>
        <v/>
      </c>
      <c r="AF170" s="29">
        <f>IF(OR(A170&gt;SV_T,A170&gt;=SV_loanYears),0,MAX(0,AF169*(1+loanRate)-SV_inst))</f>
        <v/>
      </c>
      <c r="AG170" s="29">
        <f>IF(A170&gt;SV_T,0,AG169*(1+SV_savRate)+H170+I170+J170+K170+L170+AE170)</f>
        <v/>
      </c>
      <c r="AH170" s="29">
        <f>IF(A170&gt;SV_T,0,MAX(0,O170+P170+Q170+AD170+AG170-AF170))</f>
        <v/>
      </c>
      <c r="AI170" s="29">
        <f>IF(A170&gt;SV_T,0,O170+P170+AG170-MAX(0,AF170-(Q170+AD170)))</f>
        <v/>
      </c>
      <c r="AJ170" s="29">
        <f>IF(OR(OR(A170&lt;1,A170&gt;SV_T),A170-1&gt;=SV_retPay),0,SV_retMth*12+IF(A170=1,SV_retLump,0))</f>
        <v/>
      </c>
      <c r="AK170" s="29">
        <f>IF(A170&gt;SV_T,0,(AK169+AJ170)*(1+investmentReturn))</f>
        <v/>
      </c>
      <c r="AL170" s="29">
        <f>IF(OR(OR(A170&lt;1,A170&gt;SV_T),A170-1&gt;=SV_goalPay),0,SV_goalMth*12+IF(A170=1,SV_goalLump,0))</f>
        <v/>
      </c>
      <c r="AM170" s="29">
        <f>IF(A170&gt;SV_T,0,(AM169+AL170)*(1+investmentReturn))</f>
        <v/>
      </c>
      <c r="AN170" s="29">
        <f>IF(OR(OR(A170&lt;1,A170&gt;SV_T),A170-1&gt;=SV_protPay),0,SV_protPrem)</f>
        <v/>
      </c>
      <c r="AO170" s="29">
        <f>IF(OR(A170=0,A170&gt;=SV_T),0,ROUND(MAX(0,AK170),2)+ROUND(MAX(0,AM170),2))</f>
        <v/>
      </c>
      <c r="AP170" s="29">
        <f>IF(OR(A170&lt;1,A170&gt;SV_T),0,-(AJ170+AL170+AN170)+IF(A170=SV_T,ROUND(MAX(0,AK170),2)+ROUND(MAX(0,AM170),2),0))</f>
        <v/>
      </c>
      <c r="AQ170" s="29">
        <f>IF(A170&gt;SV_T,0,AQ169*(1+SV_savRate)+H170+I170+J170+K170+L170+AE170+AP170)</f>
        <v/>
      </c>
      <c r="AR170" s="29">
        <f>IF(A170&gt;SV_T,0,MAX(0,O170+P170+Q170+AD170+AQ170+AO170-AF170))</f>
        <v/>
      </c>
      <c r="AS170" s="29">
        <f>IF(A170&gt;SV_T,0,O170+P170+AQ170+AO170-MAX(0,AF170-(Q170+AD170)))</f>
        <v/>
      </c>
    </row>
    <row r="171">
      <c r="A171" s="61" t="n">
        <v>9</v>
      </c>
      <c r="B171" s="61">
        <f>SV_age+A171</f>
        <v/>
      </c>
      <c r="C171" s="61">
        <f>currentYear+A171</f>
        <v/>
      </c>
      <c r="D171" s="52">
        <f>A171&lt;=SV_T</f>
        <v/>
      </c>
      <c r="E171" s="60">
        <f>IF(AND(SV_inflOn,A171&gt;=SV_inflS,A171&lt;=SV_inflE),1+SV_inflRate,1+inflationRate)</f>
        <v/>
      </c>
      <c r="F171" s="60">
        <f>IF(A171&lt;=1,1,F170*E171)</f>
        <v/>
      </c>
      <c r="G171" s="60">
        <f>IF(AND(SV_incOn,A171&gt;=SV_incS,A171&lt;=SV_incE),1+SV_incImp,1)</f>
        <v/>
      </c>
      <c r="H171" s="29">
        <f>IF(OR(OR(A171&lt;1,A171&gt;SV_T),A171-1&gt;=SV_salCut,AND(SV_deaOn,A171&gt;=SV_deaM)),0,SV_sal0*(1+incomeGrowthRate)^(A171-1)*G171)</f>
        <v/>
      </c>
      <c r="I171" s="29">
        <f>IF(OR(A171&lt;1,A171&gt;SV_T),0,(-SV_exp0*F171-IF(A171&lt;=SV_loanYears,SV_inst,0)-IF(AND(SV_wdAmt&gt;0,A171=SV_wdYear),SV_wdAmt,0))*IF(AND(SV_expOn,A171&gt;=SV_expS,A171&lt;=SV_expE),1+SV_expImp,1))</f>
        <v/>
      </c>
      <c r="J171" s="29">
        <f>IF(OR(A171&lt;1,A171&gt;SV_T),0,-F171*(IF(AND(SV_deaOn,A171=SV_deaM),SV_deaAmt,0)+IF(AND(SV_criOn,A171=SV_criM),SV_criAmt,0)+IF(AND(SV_tpdOn,A171=SV_tpdM),SV_tpdAmt,0)+IF(AND(SV_pacOn,A171=SV_pacM),SV_pacAmt,0)+IF(AND(SV_hosOn,A171=SV_hosM),SV_hosAmt,0)+IF(AND(SV_wedOn,A171=SV_wedM),SV_wedAmt,0)+IF(AND(SV_babOn,A171=SV_babM),SV_babAmt,0)+IF(AND(SV_ltcOn,A171&gt;=SV_ltcM,A171&lt;=SV_ltcE),SV_ltcAmt,0)))</f>
        <v/>
      </c>
      <c r="K171" s="29">
        <f>IF(OR(OR(A171&lt;1,A171&gt;SV_T),A171&gt;SV_loanYears),0,-SV_lifePremYr)</f>
        <v/>
      </c>
      <c r="L171" s="29">
        <f>IF(OR(A171&lt;1,A171&gt;SV_T),0,-SV_contrib)</f>
        <v/>
      </c>
      <c r="M171" s="60">
        <f>IF(AND(SV_crashOn,A171=SV_crashYr),SV_crashF,1)</f>
        <v/>
      </c>
      <c r="N171" s="60">
        <f>IF(AND(SV_ccyOn,A171=SV_ccyYr),SV_ccyF,1)</f>
        <v/>
      </c>
      <c r="O171" s="29">
        <f>IF(A171&gt;SV_T,0,O170*(1+interestRate)*M171*N171)</f>
        <v/>
      </c>
      <c r="P171" s="29">
        <f>IF(A171&gt;SV_T,0,(P170+SV_contrib)*(1+investmentReturn)*M171*N171)</f>
        <v/>
      </c>
      <c r="Q171" s="29">
        <f>IF(A171&gt;SV_T,0,Q170*(1+SV_propRate)*M171)</f>
        <v/>
      </c>
      <c r="R171" s="46">
        <f>MATCH(SV_age+A171-1,SV_cpfLower,1)</f>
        <v/>
      </c>
      <c r="S171" s="29">
        <f>IF(OR(OR(A171&lt;1,A171&gt;SV_T),NOT(SV_cpfOn),AND(SV_deaOn,A171&gt;=SV_deaM)),0,MIN(SV_sal0*(1+incomeGrowthRate)^(A171-1)*G171,SV_owCap))</f>
        <v/>
      </c>
      <c r="T171" s="29">
        <f>IF(A171&gt;SV_T,0,T170*(1+SV_oaRate)+IF(A171&gt;=SV_effStop,0,INDEX(SV_cpfOA,R171)*INDEX(SV_cpfTot,R171)*S171))</f>
        <v/>
      </c>
      <c r="U171" s="29">
        <f>IF(A171&gt;SV_T,0,U170*(1+SV_saRate)+IF(A171&gt;=SV_effStop,0,INDEX(SV_cpfSA,R171)*INDEX(SV_cpfTot,R171)*S171))</f>
        <v/>
      </c>
      <c r="V171" s="29">
        <f>IF(A171&gt;SV_T,0,V170*(1+SV_saRate)+IF(A171&gt;=SV_effStop,0,INDEX(SV_cpfMA,R171)*INDEX(SV_cpfTot,R171)*S171))</f>
        <v/>
      </c>
      <c r="W171" s="29">
        <f>IF(OR(OR(A171&lt;1,A171&gt;SV_T),A171&gt;=SV_effNeg),0,-(INDEX(SV_cpfOA,R171)+INDEX(SV_cpfSA,R171)+INDEX(SV_cpfMA,R171))*INDEX(SV_cpfEmp,R171)*S171)</f>
        <v/>
      </c>
      <c r="X171" s="29">
        <f>IF(A171&gt;=SV_sIdx,0,T171)</f>
        <v/>
      </c>
      <c r="Y171" s="29">
        <f>IF(A171&gt;=SV_sIdx,0,U171)</f>
        <v/>
      </c>
      <c r="Z171" s="29">
        <f>IF(A171&gt;=SV_sIdx,MIN(V171,SV_maCap),V171)</f>
        <v/>
      </c>
      <c r="AA171" s="29">
        <f>IF(AND(SV_cpfOn,A171&gt;=SV_pIdx,A171&lt;=SV_T),12*SV_pay,0)</f>
        <v/>
      </c>
      <c r="AB171" s="29">
        <f>IF(A171&gt;SV_T,0,IF(SV_sp&gt;=0,IF(A171&lt;SV_sIdx,0,IF(A171=SV_sIdx,SV_R0,SV_lifeGrowth*AB170)),SV_lifeGrowth*AB170))</f>
        <v/>
      </c>
      <c r="AC171" s="29">
        <f>IF(A171&gt;SV_T,0,IF(AND(SV_sp&gt;=0,A171&lt;SV_sIdx),0,IF(AND(SV_sp&gt;=0,A171=SV_sIdx),SV_L0,SV_lifeGrowth*(AC170-AA171))))</f>
        <v/>
      </c>
      <c r="AD171" s="29">
        <f>X171+Y171+AB171+Z171+IF(AB171&lt;0,0,AC171)</f>
        <v/>
      </c>
      <c r="AE171" s="29">
        <f>AA171+W171</f>
        <v/>
      </c>
      <c r="AF171" s="29">
        <f>IF(OR(A171&gt;SV_T,A171&gt;=SV_loanYears),0,MAX(0,AF170*(1+loanRate)-SV_inst))</f>
        <v/>
      </c>
      <c r="AG171" s="29">
        <f>IF(A171&gt;SV_T,0,AG170*(1+SV_savRate)+H171+I171+J171+K171+L171+AE171)</f>
        <v/>
      </c>
      <c r="AH171" s="29">
        <f>IF(A171&gt;SV_T,0,MAX(0,O171+P171+Q171+AD171+AG171-AF171))</f>
        <v/>
      </c>
      <c r="AI171" s="29">
        <f>IF(A171&gt;SV_T,0,O171+P171+AG171-MAX(0,AF171-(Q171+AD171)))</f>
        <v/>
      </c>
      <c r="AJ171" s="29">
        <f>IF(OR(OR(A171&lt;1,A171&gt;SV_T),A171-1&gt;=SV_retPay),0,SV_retMth*12+IF(A171=1,SV_retLump,0))</f>
        <v/>
      </c>
      <c r="AK171" s="29">
        <f>IF(A171&gt;SV_T,0,(AK170+AJ171)*(1+investmentReturn))</f>
        <v/>
      </c>
      <c r="AL171" s="29">
        <f>IF(OR(OR(A171&lt;1,A171&gt;SV_T),A171-1&gt;=SV_goalPay),0,SV_goalMth*12+IF(A171=1,SV_goalLump,0))</f>
        <v/>
      </c>
      <c r="AM171" s="29">
        <f>IF(A171&gt;SV_T,0,(AM170+AL171)*(1+investmentReturn))</f>
        <v/>
      </c>
      <c r="AN171" s="29">
        <f>IF(OR(OR(A171&lt;1,A171&gt;SV_T),A171-1&gt;=SV_protPay),0,SV_protPrem)</f>
        <v/>
      </c>
      <c r="AO171" s="29">
        <f>IF(OR(A171=0,A171&gt;=SV_T),0,ROUND(MAX(0,AK171),2)+ROUND(MAX(0,AM171),2))</f>
        <v/>
      </c>
      <c r="AP171" s="29">
        <f>IF(OR(A171&lt;1,A171&gt;SV_T),0,-(AJ171+AL171+AN171)+IF(A171=SV_T,ROUND(MAX(0,AK171),2)+ROUND(MAX(0,AM171),2),0))</f>
        <v/>
      </c>
      <c r="AQ171" s="29">
        <f>IF(A171&gt;SV_T,0,AQ170*(1+SV_savRate)+H171+I171+J171+K171+L171+AE171+AP171)</f>
        <v/>
      </c>
      <c r="AR171" s="29">
        <f>IF(A171&gt;SV_T,0,MAX(0,O171+P171+Q171+AD171+AQ171+AO171-AF171))</f>
        <v/>
      </c>
      <c r="AS171" s="29">
        <f>IF(A171&gt;SV_T,0,O171+P171+AQ171+AO171-MAX(0,AF171-(Q171+AD171)))</f>
        <v/>
      </c>
    </row>
    <row r="172">
      <c r="A172" s="61" t="n">
        <v>10</v>
      </c>
      <c r="B172" s="61">
        <f>SV_age+A172</f>
        <v/>
      </c>
      <c r="C172" s="61">
        <f>currentYear+A172</f>
        <v/>
      </c>
      <c r="D172" s="52">
        <f>A172&lt;=SV_T</f>
        <v/>
      </c>
      <c r="E172" s="60">
        <f>IF(AND(SV_inflOn,A172&gt;=SV_inflS,A172&lt;=SV_inflE),1+SV_inflRate,1+inflationRate)</f>
        <v/>
      </c>
      <c r="F172" s="60">
        <f>IF(A172&lt;=1,1,F171*E172)</f>
        <v/>
      </c>
      <c r="G172" s="60">
        <f>IF(AND(SV_incOn,A172&gt;=SV_incS,A172&lt;=SV_incE),1+SV_incImp,1)</f>
        <v/>
      </c>
      <c r="H172" s="29">
        <f>IF(OR(OR(A172&lt;1,A172&gt;SV_T),A172-1&gt;=SV_salCut,AND(SV_deaOn,A172&gt;=SV_deaM)),0,SV_sal0*(1+incomeGrowthRate)^(A172-1)*G172)</f>
        <v/>
      </c>
      <c r="I172" s="29">
        <f>IF(OR(A172&lt;1,A172&gt;SV_T),0,(-SV_exp0*F172-IF(A172&lt;=SV_loanYears,SV_inst,0)-IF(AND(SV_wdAmt&gt;0,A172=SV_wdYear),SV_wdAmt,0))*IF(AND(SV_expOn,A172&gt;=SV_expS,A172&lt;=SV_expE),1+SV_expImp,1))</f>
        <v/>
      </c>
      <c r="J172" s="29">
        <f>IF(OR(A172&lt;1,A172&gt;SV_T),0,-F172*(IF(AND(SV_deaOn,A172=SV_deaM),SV_deaAmt,0)+IF(AND(SV_criOn,A172=SV_criM),SV_criAmt,0)+IF(AND(SV_tpdOn,A172=SV_tpdM),SV_tpdAmt,0)+IF(AND(SV_pacOn,A172=SV_pacM),SV_pacAmt,0)+IF(AND(SV_hosOn,A172=SV_hosM),SV_hosAmt,0)+IF(AND(SV_wedOn,A172=SV_wedM),SV_wedAmt,0)+IF(AND(SV_babOn,A172=SV_babM),SV_babAmt,0)+IF(AND(SV_ltcOn,A172&gt;=SV_ltcM,A172&lt;=SV_ltcE),SV_ltcAmt,0)))</f>
        <v/>
      </c>
      <c r="K172" s="29">
        <f>IF(OR(OR(A172&lt;1,A172&gt;SV_T),A172&gt;SV_loanYears),0,-SV_lifePremYr)</f>
        <v/>
      </c>
      <c r="L172" s="29">
        <f>IF(OR(A172&lt;1,A172&gt;SV_T),0,-SV_contrib)</f>
        <v/>
      </c>
      <c r="M172" s="60">
        <f>IF(AND(SV_crashOn,A172=SV_crashYr),SV_crashF,1)</f>
        <v/>
      </c>
      <c r="N172" s="60">
        <f>IF(AND(SV_ccyOn,A172=SV_ccyYr),SV_ccyF,1)</f>
        <v/>
      </c>
      <c r="O172" s="29">
        <f>IF(A172&gt;SV_T,0,O171*(1+interestRate)*M172*N172)</f>
        <v/>
      </c>
      <c r="P172" s="29">
        <f>IF(A172&gt;SV_T,0,(P171+SV_contrib)*(1+investmentReturn)*M172*N172)</f>
        <v/>
      </c>
      <c r="Q172" s="29">
        <f>IF(A172&gt;SV_T,0,Q171*(1+SV_propRate)*M172)</f>
        <v/>
      </c>
      <c r="R172" s="46">
        <f>MATCH(SV_age+A172-1,SV_cpfLower,1)</f>
        <v/>
      </c>
      <c r="S172" s="29">
        <f>IF(OR(OR(A172&lt;1,A172&gt;SV_T),NOT(SV_cpfOn),AND(SV_deaOn,A172&gt;=SV_deaM)),0,MIN(SV_sal0*(1+incomeGrowthRate)^(A172-1)*G172,SV_owCap))</f>
        <v/>
      </c>
      <c r="T172" s="29">
        <f>IF(A172&gt;SV_T,0,T171*(1+SV_oaRate)+IF(A172&gt;=SV_effStop,0,INDEX(SV_cpfOA,R172)*INDEX(SV_cpfTot,R172)*S172))</f>
        <v/>
      </c>
      <c r="U172" s="29">
        <f>IF(A172&gt;SV_T,0,U171*(1+SV_saRate)+IF(A172&gt;=SV_effStop,0,INDEX(SV_cpfSA,R172)*INDEX(SV_cpfTot,R172)*S172))</f>
        <v/>
      </c>
      <c r="V172" s="29">
        <f>IF(A172&gt;SV_T,0,V171*(1+SV_saRate)+IF(A172&gt;=SV_effStop,0,INDEX(SV_cpfMA,R172)*INDEX(SV_cpfTot,R172)*S172))</f>
        <v/>
      </c>
      <c r="W172" s="29">
        <f>IF(OR(OR(A172&lt;1,A172&gt;SV_T),A172&gt;=SV_effNeg),0,-(INDEX(SV_cpfOA,R172)+INDEX(SV_cpfSA,R172)+INDEX(SV_cpfMA,R172))*INDEX(SV_cpfEmp,R172)*S172)</f>
        <v/>
      </c>
      <c r="X172" s="29">
        <f>IF(A172&gt;=SV_sIdx,0,T172)</f>
        <v/>
      </c>
      <c r="Y172" s="29">
        <f>IF(A172&gt;=SV_sIdx,0,U172)</f>
        <v/>
      </c>
      <c r="Z172" s="29">
        <f>IF(A172&gt;=SV_sIdx,MIN(V172,SV_maCap),V172)</f>
        <v/>
      </c>
      <c r="AA172" s="29">
        <f>IF(AND(SV_cpfOn,A172&gt;=SV_pIdx,A172&lt;=SV_T),12*SV_pay,0)</f>
        <v/>
      </c>
      <c r="AB172" s="29">
        <f>IF(A172&gt;SV_T,0,IF(SV_sp&gt;=0,IF(A172&lt;SV_sIdx,0,IF(A172=SV_sIdx,SV_R0,SV_lifeGrowth*AB171)),SV_lifeGrowth*AB171))</f>
        <v/>
      </c>
      <c r="AC172" s="29">
        <f>IF(A172&gt;SV_T,0,IF(AND(SV_sp&gt;=0,A172&lt;SV_sIdx),0,IF(AND(SV_sp&gt;=0,A172=SV_sIdx),SV_L0,SV_lifeGrowth*(AC171-AA172))))</f>
        <v/>
      </c>
      <c r="AD172" s="29">
        <f>X172+Y172+AB172+Z172+IF(AB172&lt;0,0,AC172)</f>
        <v/>
      </c>
      <c r="AE172" s="29">
        <f>AA172+W172</f>
        <v/>
      </c>
      <c r="AF172" s="29">
        <f>IF(OR(A172&gt;SV_T,A172&gt;=SV_loanYears),0,MAX(0,AF171*(1+loanRate)-SV_inst))</f>
        <v/>
      </c>
      <c r="AG172" s="29">
        <f>IF(A172&gt;SV_T,0,AG171*(1+SV_savRate)+H172+I172+J172+K172+L172+AE172)</f>
        <v/>
      </c>
      <c r="AH172" s="29">
        <f>IF(A172&gt;SV_T,0,MAX(0,O172+P172+Q172+AD172+AG172-AF172))</f>
        <v/>
      </c>
      <c r="AI172" s="29">
        <f>IF(A172&gt;SV_T,0,O172+P172+AG172-MAX(0,AF172-(Q172+AD172)))</f>
        <v/>
      </c>
      <c r="AJ172" s="29">
        <f>IF(OR(OR(A172&lt;1,A172&gt;SV_T),A172-1&gt;=SV_retPay),0,SV_retMth*12+IF(A172=1,SV_retLump,0))</f>
        <v/>
      </c>
      <c r="AK172" s="29">
        <f>IF(A172&gt;SV_T,0,(AK171+AJ172)*(1+investmentReturn))</f>
        <v/>
      </c>
      <c r="AL172" s="29">
        <f>IF(OR(OR(A172&lt;1,A172&gt;SV_T),A172-1&gt;=SV_goalPay),0,SV_goalMth*12+IF(A172=1,SV_goalLump,0))</f>
        <v/>
      </c>
      <c r="AM172" s="29">
        <f>IF(A172&gt;SV_T,0,(AM171+AL172)*(1+investmentReturn))</f>
        <v/>
      </c>
      <c r="AN172" s="29">
        <f>IF(OR(OR(A172&lt;1,A172&gt;SV_T),A172-1&gt;=SV_protPay),0,SV_protPrem)</f>
        <v/>
      </c>
      <c r="AO172" s="29">
        <f>IF(OR(A172=0,A172&gt;=SV_T),0,ROUND(MAX(0,AK172),2)+ROUND(MAX(0,AM172),2))</f>
        <v/>
      </c>
      <c r="AP172" s="29">
        <f>IF(OR(A172&lt;1,A172&gt;SV_T),0,-(AJ172+AL172+AN172)+IF(A172=SV_T,ROUND(MAX(0,AK172),2)+ROUND(MAX(0,AM172),2),0))</f>
        <v/>
      </c>
      <c r="AQ172" s="29">
        <f>IF(A172&gt;SV_T,0,AQ171*(1+SV_savRate)+H172+I172+J172+K172+L172+AE172+AP172)</f>
        <v/>
      </c>
      <c r="AR172" s="29">
        <f>IF(A172&gt;SV_T,0,MAX(0,O172+P172+Q172+AD172+AQ172+AO172-AF172))</f>
        <v/>
      </c>
      <c r="AS172" s="29">
        <f>IF(A172&gt;SV_T,0,O172+P172+AQ172+AO172-MAX(0,AF172-(Q172+AD172)))</f>
        <v/>
      </c>
    </row>
    <row r="173">
      <c r="A173" s="61" t="n">
        <v>11</v>
      </c>
      <c r="B173" s="61">
        <f>SV_age+A173</f>
        <v/>
      </c>
      <c r="C173" s="61">
        <f>currentYear+A173</f>
        <v/>
      </c>
      <c r="D173" s="52">
        <f>A173&lt;=SV_T</f>
        <v/>
      </c>
      <c r="E173" s="60">
        <f>IF(AND(SV_inflOn,A173&gt;=SV_inflS,A173&lt;=SV_inflE),1+SV_inflRate,1+inflationRate)</f>
        <v/>
      </c>
      <c r="F173" s="60">
        <f>IF(A173&lt;=1,1,F172*E173)</f>
        <v/>
      </c>
      <c r="G173" s="60">
        <f>IF(AND(SV_incOn,A173&gt;=SV_incS,A173&lt;=SV_incE),1+SV_incImp,1)</f>
        <v/>
      </c>
      <c r="H173" s="29">
        <f>IF(OR(OR(A173&lt;1,A173&gt;SV_T),A173-1&gt;=SV_salCut,AND(SV_deaOn,A173&gt;=SV_deaM)),0,SV_sal0*(1+incomeGrowthRate)^(A173-1)*G173)</f>
        <v/>
      </c>
      <c r="I173" s="29">
        <f>IF(OR(A173&lt;1,A173&gt;SV_T),0,(-SV_exp0*F173-IF(A173&lt;=SV_loanYears,SV_inst,0)-IF(AND(SV_wdAmt&gt;0,A173=SV_wdYear),SV_wdAmt,0))*IF(AND(SV_expOn,A173&gt;=SV_expS,A173&lt;=SV_expE),1+SV_expImp,1))</f>
        <v/>
      </c>
      <c r="J173" s="29">
        <f>IF(OR(A173&lt;1,A173&gt;SV_T),0,-F173*(IF(AND(SV_deaOn,A173=SV_deaM),SV_deaAmt,0)+IF(AND(SV_criOn,A173=SV_criM),SV_criAmt,0)+IF(AND(SV_tpdOn,A173=SV_tpdM),SV_tpdAmt,0)+IF(AND(SV_pacOn,A173=SV_pacM),SV_pacAmt,0)+IF(AND(SV_hosOn,A173=SV_hosM),SV_hosAmt,0)+IF(AND(SV_wedOn,A173=SV_wedM),SV_wedAmt,0)+IF(AND(SV_babOn,A173=SV_babM),SV_babAmt,0)+IF(AND(SV_ltcOn,A173&gt;=SV_ltcM,A173&lt;=SV_ltcE),SV_ltcAmt,0)))</f>
        <v/>
      </c>
      <c r="K173" s="29">
        <f>IF(OR(OR(A173&lt;1,A173&gt;SV_T),A173&gt;SV_loanYears),0,-SV_lifePremYr)</f>
        <v/>
      </c>
      <c r="L173" s="29">
        <f>IF(OR(A173&lt;1,A173&gt;SV_T),0,-SV_contrib)</f>
        <v/>
      </c>
      <c r="M173" s="60">
        <f>IF(AND(SV_crashOn,A173=SV_crashYr),SV_crashF,1)</f>
        <v/>
      </c>
      <c r="N173" s="60">
        <f>IF(AND(SV_ccyOn,A173=SV_ccyYr),SV_ccyF,1)</f>
        <v/>
      </c>
      <c r="O173" s="29">
        <f>IF(A173&gt;SV_T,0,O172*(1+interestRate)*M173*N173)</f>
        <v/>
      </c>
      <c r="P173" s="29">
        <f>IF(A173&gt;SV_T,0,(P172+SV_contrib)*(1+investmentReturn)*M173*N173)</f>
        <v/>
      </c>
      <c r="Q173" s="29">
        <f>IF(A173&gt;SV_T,0,Q172*(1+SV_propRate)*M173)</f>
        <v/>
      </c>
      <c r="R173" s="46">
        <f>MATCH(SV_age+A173-1,SV_cpfLower,1)</f>
        <v/>
      </c>
      <c r="S173" s="29">
        <f>IF(OR(OR(A173&lt;1,A173&gt;SV_T),NOT(SV_cpfOn),AND(SV_deaOn,A173&gt;=SV_deaM)),0,MIN(SV_sal0*(1+incomeGrowthRate)^(A173-1)*G173,SV_owCap))</f>
        <v/>
      </c>
      <c r="T173" s="29">
        <f>IF(A173&gt;SV_T,0,T172*(1+SV_oaRate)+IF(A173&gt;=SV_effStop,0,INDEX(SV_cpfOA,R173)*INDEX(SV_cpfTot,R173)*S173))</f>
        <v/>
      </c>
      <c r="U173" s="29">
        <f>IF(A173&gt;SV_T,0,U172*(1+SV_saRate)+IF(A173&gt;=SV_effStop,0,INDEX(SV_cpfSA,R173)*INDEX(SV_cpfTot,R173)*S173))</f>
        <v/>
      </c>
      <c r="V173" s="29">
        <f>IF(A173&gt;SV_T,0,V172*(1+SV_saRate)+IF(A173&gt;=SV_effStop,0,INDEX(SV_cpfMA,R173)*INDEX(SV_cpfTot,R173)*S173))</f>
        <v/>
      </c>
      <c r="W173" s="29">
        <f>IF(OR(OR(A173&lt;1,A173&gt;SV_T),A173&gt;=SV_effNeg),0,-(INDEX(SV_cpfOA,R173)+INDEX(SV_cpfSA,R173)+INDEX(SV_cpfMA,R173))*INDEX(SV_cpfEmp,R173)*S173)</f>
        <v/>
      </c>
      <c r="X173" s="29">
        <f>IF(A173&gt;=SV_sIdx,0,T173)</f>
        <v/>
      </c>
      <c r="Y173" s="29">
        <f>IF(A173&gt;=SV_sIdx,0,U173)</f>
        <v/>
      </c>
      <c r="Z173" s="29">
        <f>IF(A173&gt;=SV_sIdx,MIN(V173,SV_maCap),V173)</f>
        <v/>
      </c>
      <c r="AA173" s="29">
        <f>IF(AND(SV_cpfOn,A173&gt;=SV_pIdx,A173&lt;=SV_T),12*SV_pay,0)</f>
        <v/>
      </c>
      <c r="AB173" s="29">
        <f>IF(A173&gt;SV_T,0,IF(SV_sp&gt;=0,IF(A173&lt;SV_sIdx,0,IF(A173=SV_sIdx,SV_R0,SV_lifeGrowth*AB172)),SV_lifeGrowth*AB172))</f>
        <v/>
      </c>
      <c r="AC173" s="29">
        <f>IF(A173&gt;SV_T,0,IF(AND(SV_sp&gt;=0,A173&lt;SV_sIdx),0,IF(AND(SV_sp&gt;=0,A173=SV_sIdx),SV_L0,SV_lifeGrowth*(AC172-AA173))))</f>
        <v/>
      </c>
      <c r="AD173" s="29">
        <f>X173+Y173+AB173+Z173+IF(AB173&lt;0,0,AC173)</f>
        <v/>
      </c>
      <c r="AE173" s="29">
        <f>AA173+W173</f>
        <v/>
      </c>
      <c r="AF173" s="29">
        <f>IF(OR(A173&gt;SV_T,A173&gt;=SV_loanYears),0,MAX(0,AF172*(1+loanRate)-SV_inst))</f>
        <v/>
      </c>
      <c r="AG173" s="29">
        <f>IF(A173&gt;SV_T,0,AG172*(1+SV_savRate)+H173+I173+J173+K173+L173+AE173)</f>
        <v/>
      </c>
      <c r="AH173" s="29">
        <f>IF(A173&gt;SV_T,0,MAX(0,O173+P173+Q173+AD173+AG173-AF173))</f>
        <v/>
      </c>
      <c r="AI173" s="29">
        <f>IF(A173&gt;SV_T,0,O173+P173+AG173-MAX(0,AF173-(Q173+AD173)))</f>
        <v/>
      </c>
      <c r="AJ173" s="29">
        <f>IF(OR(OR(A173&lt;1,A173&gt;SV_T),A173-1&gt;=SV_retPay),0,SV_retMth*12+IF(A173=1,SV_retLump,0))</f>
        <v/>
      </c>
      <c r="AK173" s="29">
        <f>IF(A173&gt;SV_T,0,(AK172+AJ173)*(1+investmentReturn))</f>
        <v/>
      </c>
      <c r="AL173" s="29">
        <f>IF(OR(OR(A173&lt;1,A173&gt;SV_T),A173-1&gt;=SV_goalPay),0,SV_goalMth*12+IF(A173=1,SV_goalLump,0))</f>
        <v/>
      </c>
      <c r="AM173" s="29">
        <f>IF(A173&gt;SV_T,0,(AM172+AL173)*(1+investmentReturn))</f>
        <v/>
      </c>
      <c r="AN173" s="29">
        <f>IF(OR(OR(A173&lt;1,A173&gt;SV_T),A173-1&gt;=SV_protPay),0,SV_protPrem)</f>
        <v/>
      </c>
      <c r="AO173" s="29">
        <f>IF(OR(A173=0,A173&gt;=SV_T),0,ROUND(MAX(0,AK173),2)+ROUND(MAX(0,AM173),2))</f>
        <v/>
      </c>
      <c r="AP173" s="29">
        <f>IF(OR(A173&lt;1,A173&gt;SV_T),0,-(AJ173+AL173+AN173)+IF(A173=SV_T,ROUND(MAX(0,AK173),2)+ROUND(MAX(0,AM173),2),0))</f>
        <v/>
      </c>
      <c r="AQ173" s="29">
        <f>IF(A173&gt;SV_T,0,AQ172*(1+SV_savRate)+H173+I173+J173+K173+L173+AE173+AP173)</f>
        <v/>
      </c>
      <c r="AR173" s="29">
        <f>IF(A173&gt;SV_T,0,MAX(0,O173+P173+Q173+AD173+AQ173+AO173-AF173))</f>
        <v/>
      </c>
      <c r="AS173" s="29">
        <f>IF(A173&gt;SV_T,0,O173+P173+AQ173+AO173-MAX(0,AF173-(Q173+AD173)))</f>
        <v/>
      </c>
    </row>
    <row r="174">
      <c r="A174" s="61" t="n">
        <v>12</v>
      </c>
      <c r="B174" s="61">
        <f>SV_age+A174</f>
        <v/>
      </c>
      <c r="C174" s="61">
        <f>currentYear+A174</f>
        <v/>
      </c>
      <c r="D174" s="52">
        <f>A174&lt;=SV_T</f>
        <v/>
      </c>
      <c r="E174" s="60">
        <f>IF(AND(SV_inflOn,A174&gt;=SV_inflS,A174&lt;=SV_inflE),1+SV_inflRate,1+inflationRate)</f>
        <v/>
      </c>
      <c r="F174" s="60">
        <f>IF(A174&lt;=1,1,F173*E174)</f>
        <v/>
      </c>
      <c r="G174" s="60">
        <f>IF(AND(SV_incOn,A174&gt;=SV_incS,A174&lt;=SV_incE),1+SV_incImp,1)</f>
        <v/>
      </c>
      <c r="H174" s="29">
        <f>IF(OR(OR(A174&lt;1,A174&gt;SV_T),A174-1&gt;=SV_salCut,AND(SV_deaOn,A174&gt;=SV_deaM)),0,SV_sal0*(1+incomeGrowthRate)^(A174-1)*G174)</f>
        <v/>
      </c>
      <c r="I174" s="29">
        <f>IF(OR(A174&lt;1,A174&gt;SV_T),0,(-SV_exp0*F174-IF(A174&lt;=SV_loanYears,SV_inst,0)-IF(AND(SV_wdAmt&gt;0,A174=SV_wdYear),SV_wdAmt,0))*IF(AND(SV_expOn,A174&gt;=SV_expS,A174&lt;=SV_expE),1+SV_expImp,1))</f>
        <v/>
      </c>
      <c r="J174" s="29">
        <f>IF(OR(A174&lt;1,A174&gt;SV_T),0,-F174*(IF(AND(SV_deaOn,A174=SV_deaM),SV_deaAmt,0)+IF(AND(SV_criOn,A174=SV_criM),SV_criAmt,0)+IF(AND(SV_tpdOn,A174=SV_tpdM),SV_tpdAmt,0)+IF(AND(SV_pacOn,A174=SV_pacM),SV_pacAmt,0)+IF(AND(SV_hosOn,A174=SV_hosM),SV_hosAmt,0)+IF(AND(SV_wedOn,A174=SV_wedM),SV_wedAmt,0)+IF(AND(SV_babOn,A174=SV_babM),SV_babAmt,0)+IF(AND(SV_ltcOn,A174&gt;=SV_ltcM,A174&lt;=SV_ltcE),SV_ltcAmt,0)))</f>
        <v/>
      </c>
      <c r="K174" s="29">
        <f>IF(OR(OR(A174&lt;1,A174&gt;SV_T),A174&gt;SV_loanYears),0,-SV_lifePremYr)</f>
        <v/>
      </c>
      <c r="L174" s="29">
        <f>IF(OR(A174&lt;1,A174&gt;SV_T),0,-SV_contrib)</f>
        <v/>
      </c>
      <c r="M174" s="60">
        <f>IF(AND(SV_crashOn,A174=SV_crashYr),SV_crashF,1)</f>
        <v/>
      </c>
      <c r="N174" s="60">
        <f>IF(AND(SV_ccyOn,A174=SV_ccyYr),SV_ccyF,1)</f>
        <v/>
      </c>
      <c r="O174" s="29">
        <f>IF(A174&gt;SV_T,0,O173*(1+interestRate)*M174*N174)</f>
        <v/>
      </c>
      <c r="P174" s="29">
        <f>IF(A174&gt;SV_T,0,(P173+SV_contrib)*(1+investmentReturn)*M174*N174)</f>
        <v/>
      </c>
      <c r="Q174" s="29">
        <f>IF(A174&gt;SV_T,0,Q173*(1+SV_propRate)*M174)</f>
        <v/>
      </c>
      <c r="R174" s="46">
        <f>MATCH(SV_age+A174-1,SV_cpfLower,1)</f>
        <v/>
      </c>
      <c r="S174" s="29">
        <f>IF(OR(OR(A174&lt;1,A174&gt;SV_T),NOT(SV_cpfOn),AND(SV_deaOn,A174&gt;=SV_deaM)),0,MIN(SV_sal0*(1+incomeGrowthRate)^(A174-1)*G174,SV_owCap))</f>
        <v/>
      </c>
      <c r="T174" s="29">
        <f>IF(A174&gt;SV_T,0,T173*(1+SV_oaRate)+IF(A174&gt;=SV_effStop,0,INDEX(SV_cpfOA,R174)*INDEX(SV_cpfTot,R174)*S174))</f>
        <v/>
      </c>
      <c r="U174" s="29">
        <f>IF(A174&gt;SV_T,0,U173*(1+SV_saRate)+IF(A174&gt;=SV_effStop,0,INDEX(SV_cpfSA,R174)*INDEX(SV_cpfTot,R174)*S174))</f>
        <v/>
      </c>
      <c r="V174" s="29">
        <f>IF(A174&gt;SV_T,0,V173*(1+SV_saRate)+IF(A174&gt;=SV_effStop,0,INDEX(SV_cpfMA,R174)*INDEX(SV_cpfTot,R174)*S174))</f>
        <v/>
      </c>
      <c r="W174" s="29">
        <f>IF(OR(OR(A174&lt;1,A174&gt;SV_T),A174&gt;=SV_effNeg),0,-(INDEX(SV_cpfOA,R174)+INDEX(SV_cpfSA,R174)+INDEX(SV_cpfMA,R174))*INDEX(SV_cpfEmp,R174)*S174)</f>
        <v/>
      </c>
      <c r="X174" s="29">
        <f>IF(A174&gt;=SV_sIdx,0,T174)</f>
        <v/>
      </c>
      <c r="Y174" s="29">
        <f>IF(A174&gt;=SV_sIdx,0,U174)</f>
        <v/>
      </c>
      <c r="Z174" s="29">
        <f>IF(A174&gt;=SV_sIdx,MIN(V174,SV_maCap),V174)</f>
        <v/>
      </c>
      <c r="AA174" s="29">
        <f>IF(AND(SV_cpfOn,A174&gt;=SV_pIdx,A174&lt;=SV_T),12*SV_pay,0)</f>
        <v/>
      </c>
      <c r="AB174" s="29">
        <f>IF(A174&gt;SV_T,0,IF(SV_sp&gt;=0,IF(A174&lt;SV_sIdx,0,IF(A174=SV_sIdx,SV_R0,SV_lifeGrowth*AB173)),SV_lifeGrowth*AB173))</f>
        <v/>
      </c>
      <c r="AC174" s="29">
        <f>IF(A174&gt;SV_T,0,IF(AND(SV_sp&gt;=0,A174&lt;SV_sIdx),0,IF(AND(SV_sp&gt;=0,A174=SV_sIdx),SV_L0,SV_lifeGrowth*(AC173-AA174))))</f>
        <v/>
      </c>
      <c r="AD174" s="29">
        <f>X174+Y174+AB174+Z174+IF(AB174&lt;0,0,AC174)</f>
        <v/>
      </c>
      <c r="AE174" s="29">
        <f>AA174+W174</f>
        <v/>
      </c>
      <c r="AF174" s="29">
        <f>IF(OR(A174&gt;SV_T,A174&gt;=SV_loanYears),0,MAX(0,AF173*(1+loanRate)-SV_inst))</f>
        <v/>
      </c>
      <c r="AG174" s="29">
        <f>IF(A174&gt;SV_T,0,AG173*(1+SV_savRate)+H174+I174+J174+K174+L174+AE174)</f>
        <v/>
      </c>
      <c r="AH174" s="29">
        <f>IF(A174&gt;SV_T,0,MAX(0,O174+P174+Q174+AD174+AG174-AF174))</f>
        <v/>
      </c>
      <c r="AI174" s="29">
        <f>IF(A174&gt;SV_T,0,O174+P174+AG174-MAX(0,AF174-(Q174+AD174)))</f>
        <v/>
      </c>
      <c r="AJ174" s="29">
        <f>IF(OR(OR(A174&lt;1,A174&gt;SV_T),A174-1&gt;=SV_retPay),0,SV_retMth*12+IF(A174=1,SV_retLump,0))</f>
        <v/>
      </c>
      <c r="AK174" s="29">
        <f>IF(A174&gt;SV_T,0,(AK173+AJ174)*(1+investmentReturn))</f>
        <v/>
      </c>
      <c r="AL174" s="29">
        <f>IF(OR(OR(A174&lt;1,A174&gt;SV_T),A174-1&gt;=SV_goalPay),0,SV_goalMth*12+IF(A174=1,SV_goalLump,0))</f>
        <v/>
      </c>
      <c r="AM174" s="29">
        <f>IF(A174&gt;SV_T,0,(AM173+AL174)*(1+investmentReturn))</f>
        <v/>
      </c>
      <c r="AN174" s="29">
        <f>IF(OR(OR(A174&lt;1,A174&gt;SV_T),A174-1&gt;=SV_protPay),0,SV_protPrem)</f>
        <v/>
      </c>
      <c r="AO174" s="29">
        <f>IF(OR(A174=0,A174&gt;=SV_T),0,ROUND(MAX(0,AK174),2)+ROUND(MAX(0,AM174),2))</f>
        <v/>
      </c>
      <c r="AP174" s="29">
        <f>IF(OR(A174&lt;1,A174&gt;SV_T),0,-(AJ174+AL174+AN174)+IF(A174=SV_T,ROUND(MAX(0,AK174),2)+ROUND(MAX(0,AM174),2),0))</f>
        <v/>
      </c>
      <c r="AQ174" s="29">
        <f>IF(A174&gt;SV_T,0,AQ173*(1+SV_savRate)+H174+I174+J174+K174+L174+AE174+AP174)</f>
        <v/>
      </c>
      <c r="AR174" s="29">
        <f>IF(A174&gt;SV_T,0,MAX(0,O174+P174+Q174+AD174+AQ174+AO174-AF174))</f>
        <v/>
      </c>
      <c r="AS174" s="29">
        <f>IF(A174&gt;SV_T,0,O174+P174+AQ174+AO174-MAX(0,AF174-(Q174+AD174)))</f>
        <v/>
      </c>
    </row>
    <row r="175">
      <c r="A175" s="61" t="n">
        <v>13</v>
      </c>
      <c r="B175" s="61">
        <f>SV_age+A175</f>
        <v/>
      </c>
      <c r="C175" s="61">
        <f>currentYear+A175</f>
        <v/>
      </c>
      <c r="D175" s="52">
        <f>A175&lt;=SV_T</f>
        <v/>
      </c>
      <c r="E175" s="60">
        <f>IF(AND(SV_inflOn,A175&gt;=SV_inflS,A175&lt;=SV_inflE),1+SV_inflRate,1+inflationRate)</f>
        <v/>
      </c>
      <c r="F175" s="60">
        <f>IF(A175&lt;=1,1,F174*E175)</f>
        <v/>
      </c>
      <c r="G175" s="60">
        <f>IF(AND(SV_incOn,A175&gt;=SV_incS,A175&lt;=SV_incE),1+SV_incImp,1)</f>
        <v/>
      </c>
      <c r="H175" s="29">
        <f>IF(OR(OR(A175&lt;1,A175&gt;SV_T),A175-1&gt;=SV_salCut,AND(SV_deaOn,A175&gt;=SV_deaM)),0,SV_sal0*(1+incomeGrowthRate)^(A175-1)*G175)</f>
        <v/>
      </c>
      <c r="I175" s="29">
        <f>IF(OR(A175&lt;1,A175&gt;SV_T),0,(-SV_exp0*F175-IF(A175&lt;=SV_loanYears,SV_inst,0)-IF(AND(SV_wdAmt&gt;0,A175=SV_wdYear),SV_wdAmt,0))*IF(AND(SV_expOn,A175&gt;=SV_expS,A175&lt;=SV_expE),1+SV_expImp,1))</f>
        <v/>
      </c>
      <c r="J175" s="29">
        <f>IF(OR(A175&lt;1,A175&gt;SV_T),0,-F175*(IF(AND(SV_deaOn,A175=SV_deaM),SV_deaAmt,0)+IF(AND(SV_criOn,A175=SV_criM),SV_criAmt,0)+IF(AND(SV_tpdOn,A175=SV_tpdM),SV_tpdAmt,0)+IF(AND(SV_pacOn,A175=SV_pacM),SV_pacAmt,0)+IF(AND(SV_hosOn,A175=SV_hosM),SV_hosAmt,0)+IF(AND(SV_wedOn,A175=SV_wedM),SV_wedAmt,0)+IF(AND(SV_babOn,A175=SV_babM),SV_babAmt,0)+IF(AND(SV_ltcOn,A175&gt;=SV_ltcM,A175&lt;=SV_ltcE),SV_ltcAmt,0)))</f>
        <v/>
      </c>
      <c r="K175" s="29">
        <f>IF(OR(OR(A175&lt;1,A175&gt;SV_T),A175&gt;SV_loanYears),0,-SV_lifePremYr)</f>
        <v/>
      </c>
      <c r="L175" s="29">
        <f>IF(OR(A175&lt;1,A175&gt;SV_T),0,-SV_contrib)</f>
        <v/>
      </c>
      <c r="M175" s="60">
        <f>IF(AND(SV_crashOn,A175=SV_crashYr),SV_crashF,1)</f>
        <v/>
      </c>
      <c r="N175" s="60">
        <f>IF(AND(SV_ccyOn,A175=SV_ccyYr),SV_ccyF,1)</f>
        <v/>
      </c>
      <c r="O175" s="29">
        <f>IF(A175&gt;SV_T,0,O174*(1+interestRate)*M175*N175)</f>
        <v/>
      </c>
      <c r="P175" s="29">
        <f>IF(A175&gt;SV_T,0,(P174+SV_contrib)*(1+investmentReturn)*M175*N175)</f>
        <v/>
      </c>
      <c r="Q175" s="29">
        <f>IF(A175&gt;SV_T,0,Q174*(1+SV_propRate)*M175)</f>
        <v/>
      </c>
      <c r="R175" s="46">
        <f>MATCH(SV_age+A175-1,SV_cpfLower,1)</f>
        <v/>
      </c>
      <c r="S175" s="29">
        <f>IF(OR(OR(A175&lt;1,A175&gt;SV_T),NOT(SV_cpfOn),AND(SV_deaOn,A175&gt;=SV_deaM)),0,MIN(SV_sal0*(1+incomeGrowthRate)^(A175-1)*G175,SV_owCap))</f>
        <v/>
      </c>
      <c r="T175" s="29">
        <f>IF(A175&gt;SV_T,0,T174*(1+SV_oaRate)+IF(A175&gt;=SV_effStop,0,INDEX(SV_cpfOA,R175)*INDEX(SV_cpfTot,R175)*S175))</f>
        <v/>
      </c>
      <c r="U175" s="29">
        <f>IF(A175&gt;SV_T,0,U174*(1+SV_saRate)+IF(A175&gt;=SV_effStop,0,INDEX(SV_cpfSA,R175)*INDEX(SV_cpfTot,R175)*S175))</f>
        <v/>
      </c>
      <c r="V175" s="29">
        <f>IF(A175&gt;SV_T,0,V174*(1+SV_saRate)+IF(A175&gt;=SV_effStop,0,INDEX(SV_cpfMA,R175)*INDEX(SV_cpfTot,R175)*S175))</f>
        <v/>
      </c>
      <c r="W175" s="29">
        <f>IF(OR(OR(A175&lt;1,A175&gt;SV_T),A175&gt;=SV_effNeg),0,-(INDEX(SV_cpfOA,R175)+INDEX(SV_cpfSA,R175)+INDEX(SV_cpfMA,R175))*INDEX(SV_cpfEmp,R175)*S175)</f>
        <v/>
      </c>
      <c r="X175" s="29">
        <f>IF(A175&gt;=SV_sIdx,0,T175)</f>
        <v/>
      </c>
      <c r="Y175" s="29">
        <f>IF(A175&gt;=SV_sIdx,0,U175)</f>
        <v/>
      </c>
      <c r="Z175" s="29">
        <f>IF(A175&gt;=SV_sIdx,MIN(V175,SV_maCap),V175)</f>
        <v/>
      </c>
      <c r="AA175" s="29">
        <f>IF(AND(SV_cpfOn,A175&gt;=SV_pIdx,A175&lt;=SV_T),12*SV_pay,0)</f>
        <v/>
      </c>
      <c r="AB175" s="29">
        <f>IF(A175&gt;SV_T,0,IF(SV_sp&gt;=0,IF(A175&lt;SV_sIdx,0,IF(A175=SV_sIdx,SV_R0,SV_lifeGrowth*AB174)),SV_lifeGrowth*AB174))</f>
        <v/>
      </c>
      <c r="AC175" s="29">
        <f>IF(A175&gt;SV_T,0,IF(AND(SV_sp&gt;=0,A175&lt;SV_sIdx),0,IF(AND(SV_sp&gt;=0,A175=SV_sIdx),SV_L0,SV_lifeGrowth*(AC174-AA175))))</f>
        <v/>
      </c>
      <c r="AD175" s="29">
        <f>X175+Y175+AB175+Z175+IF(AB175&lt;0,0,AC175)</f>
        <v/>
      </c>
      <c r="AE175" s="29">
        <f>AA175+W175</f>
        <v/>
      </c>
      <c r="AF175" s="29">
        <f>IF(OR(A175&gt;SV_T,A175&gt;=SV_loanYears),0,MAX(0,AF174*(1+loanRate)-SV_inst))</f>
        <v/>
      </c>
      <c r="AG175" s="29">
        <f>IF(A175&gt;SV_T,0,AG174*(1+SV_savRate)+H175+I175+J175+K175+L175+AE175)</f>
        <v/>
      </c>
      <c r="AH175" s="29">
        <f>IF(A175&gt;SV_T,0,MAX(0,O175+P175+Q175+AD175+AG175-AF175))</f>
        <v/>
      </c>
      <c r="AI175" s="29">
        <f>IF(A175&gt;SV_T,0,O175+P175+AG175-MAX(0,AF175-(Q175+AD175)))</f>
        <v/>
      </c>
      <c r="AJ175" s="29">
        <f>IF(OR(OR(A175&lt;1,A175&gt;SV_T),A175-1&gt;=SV_retPay),0,SV_retMth*12+IF(A175=1,SV_retLump,0))</f>
        <v/>
      </c>
      <c r="AK175" s="29">
        <f>IF(A175&gt;SV_T,0,(AK174+AJ175)*(1+investmentReturn))</f>
        <v/>
      </c>
      <c r="AL175" s="29">
        <f>IF(OR(OR(A175&lt;1,A175&gt;SV_T),A175-1&gt;=SV_goalPay),0,SV_goalMth*12+IF(A175=1,SV_goalLump,0))</f>
        <v/>
      </c>
      <c r="AM175" s="29">
        <f>IF(A175&gt;SV_T,0,(AM174+AL175)*(1+investmentReturn))</f>
        <v/>
      </c>
      <c r="AN175" s="29">
        <f>IF(OR(OR(A175&lt;1,A175&gt;SV_T),A175-1&gt;=SV_protPay),0,SV_protPrem)</f>
        <v/>
      </c>
      <c r="AO175" s="29">
        <f>IF(OR(A175=0,A175&gt;=SV_T),0,ROUND(MAX(0,AK175),2)+ROUND(MAX(0,AM175),2))</f>
        <v/>
      </c>
      <c r="AP175" s="29">
        <f>IF(OR(A175&lt;1,A175&gt;SV_T),0,-(AJ175+AL175+AN175)+IF(A175=SV_T,ROUND(MAX(0,AK175),2)+ROUND(MAX(0,AM175),2),0))</f>
        <v/>
      </c>
      <c r="AQ175" s="29">
        <f>IF(A175&gt;SV_T,0,AQ174*(1+SV_savRate)+H175+I175+J175+K175+L175+AE175+AP175)</f>
        <v/>
      </c>
      <c r="AR175" s="29">
        <f>IF(A175&gt;SV_T,0,MAX(0,O175+P175+Q175+AD175+AQ175+AO175-AF175))</f>
        <v/>
      </c>
      <c r="AS175" s="29">
        <f>IF(A175&gt;SV_T,0,O175+P175+AQ175+AO175-MAX(0,AF175-(Q175+AD175)))</f>
        <v/>
      </c>
    </row>
    <row r="176">
      <c r="A176" s="61" t="n">
        <v>14</v>
      </c>
      <c r="B176" s="61">
        <f>SV_age+A176</f>
        <v/>
      </c>
      <c r="C176" s="61">
        <f>currentYear+A176</f>
        <v/>
      </c>
      <c r="D176" s="52">
        <f>A176&lt;=SV_T</f>
        <v/>
      </c>
      <c r="E176" s="60">
        <f>IF(AND(SV_inflOn,A176&gt;=SV_inflS,A176&lt;=SV_inflE),1+SV_inflRate,1+inflationRate)</f>
        <v/>
      </c>
      <c r="F176" s="60">
        <f>IF(A176&lt;=1,1,F175*E176)</f>
        <v/>
      </c>
      <c r="G176" s="60">
        <f>IF(AND(SV_incOn,A176&gt;=SV_incS,A176&lt;=SV_incE),1+SV_incImp,1)</f>
        <v/>
      </c>
      <c r="H176" s="29">
        <f>IF(OR(OR(A176&lt;1,A176&gt;SV_T),A176-1&gt;=SV_salCut,AND(SV_deaOn,A176&gt;=SV_deaM)),0,SV_sal0*(1+incomeGrowthRate)^(A176-1)*G176)</f>
        <v/>
      </c>
      <c r="I176" s="29">
        <f>IF(OR(A176&lt;1,A176&gt;SV_T),0,(-SV_exp0*F176-IF(A176&lt;=SV_loanYears,SV_inst,0)-IF(AND(SV_wdAmt&gt;0,A176=SV_wdYear),SV_wdAmt,0))*IF(AND(SV_expOn,A176&gt;=SV_expS,A176&lt;=SV_expE),1+SV_expImp,1))</f>
        <v/>
      </c>
      <c r="J176" s="29">
        <f>IF(OR(A176&lt;1,A176&gt;SV_T),0,-F176*(IF(AND(SV_deaOn,A176=SV_deaM),SV_deaAmt,0)+IF(AND(SV_criOn,A176=SV_criM),SV_criAmt,0)+IF(AND(SV_tpdOn,A176=SV_tpdM),SV_tpdAmt,0)+IF(AND(SV_pacOn,A176=SV_pacM),SV_pacAmt,0)+IF(AND(SV_hosOn,A176=SV_hosM),SV_hosAmt,0)+IF(AND(SV_wedOn,A176=SV_wedM),SV_wedAmt,0)+IF(AND(SV_babOn,A176=SV_babM),SV_babAmt,0)+IF(AND(SV_ltcOn,A176&gt;=SV_ltcM,A176&lt;=SV_ltcE),SV_ltcAmt,0)))</f>
        <v/>
      </c>
      <c r="K176" s="29">
        <f>IF(OR(OR(A176&lt;1,A176&gt;SV_T),A176&gt;SV_loanYears),0,-SV_lifePremYr)</f>
        <v/>
      </c>
      <c r="L176" s="29">
        <f>IF(OR(A176&lt;1,A176&gt;SV_T),0,-SV_contrib)</f>
        <v/>
      </c>
      <c r="M176" s="60">
        <f>IF(AND(SV_crashOn,A176=SV_crashYr),SV_crashF,1)</f>
        <v/>
      </c>
      <c r="N176" s="60">
        <f>IF(AND(SV_ccyOn,A176=SV_ccyYr),SV_ccyF,1)</f>
        <v/>
      </c>
      <c r="O176" s="29">
        <f>IF(A176&gt;SV_T,0,O175*(1+interestRate)*M176*N176)</f>
        <v/>
      </c>
      <c r="P176" s="29">
        <f>IF(A176&gt;SV_T,0,(P175+SV_contrib)*(1+investmentReturn)*M176*N176)</f>
        <v/>
      </c>
      <c r="Q176" s="29">
        <f>IF(A176&gt;SV_T,0,Q175*(1+SV_propRate)*M176)</f>
        <v/>
      </c>
      <c r="R176" s="46">
        <f>MATCH(SV_age+A176-1,SV_cpfLower,1)</f>
        <v/>
      </c>
      <c r="S176" s="29">
        <f>IF(OR(OR(A176&lt;1,A176&gt;SV_T),NOT(SV_cpfOn),AND(SV_deaOn,A176&gt;=SV_deaM)),0,MIN(SV_sal0*(1+incomeGrowthRate)^(A176-1)*G176,SV_owCap))</f>
        <v/>
      </c>
      <c r="T176" s="29">
        <f>IF(A176&gt;SV_T,0,T175*(1+SV_oaRate)+IF(A176&gt;=SV_effStop,0,INDEX(SV_cpfOA,R176)*INDEX(SV_cpfTot,R176)*S176))</f>
        <v/>
      </c>
      <c r="U176" s="29">
        <f>IF(A176&gt;SV_T,0,U175*(1+SV_saRate)+IF(A176&gt;=SV_effStop,0,INDEX(SV_cpfSA,R176)*INDEX(SV_cpfTot,R176)*S176))</f>
        <v/>
      </c>
      <c r="V176" s="29">
        <f>IF(A176&gt;SV_T,0,V175*(1+SV_saRate)+IF(A176&gt;=SV_effStop,0,INDEX(SV_cpfMA,R176)*INDEX(SV_cpfTot,R176)*S176))</f>
        <v/>
      </c>
      <c r="W176" s="29">
        <f>IF(OR(OR(A176&lt;1,A176&gt;SV_T),A176&gt;=SV_effNeg),0,-(INDEX(SV_cpfOA,R176)+INDEX(SV_cpfSA,R176)+INDEX(SV_cpfMA,R176))*INDEX(SV_cpfEmp,R176)*S176)</f>
        <v/>
      </c>
      <c r="X176" s="29">
        <f>IF(A176&gt;=SV_sIdx,0,T176)</f>
        <v/>
      </c>
      <c r="Y176" s="29">
        <f>IF(A176&gt;=SV_sIdx,0,U176)</f>
        <v/>
      </c>
      <c r="Z176" s="29">
        <f>IF(A176&gt;=SV_sIdx,MIN(V176,SV_maCap),V176)</f>
        <v/>
      </c>
      <c r="AA176" s="29">
        <f>IF(AND(SV_cpfOn,A176&gt;=SV_pIdx,A176&lt;=SV_T),12*SV_pay,0)</f>
        <v/>
      </c>
      <c r="AB176" s="29">
        <f>IF(A176&gt;SV_T,0,IF(SV_sp&gt;=0,IF(A176&lt;SV_sIdx,0,IF(A176=SV_sIdx,SV_R0,SV_lifeGrowth*AB175)),SV_lifeGrowth*AB175))</f>
        <v/>
      </c>
      <c r="AC176" s="29">
        <f>IF(A176&gt;SV_T,0,IF(AND(SV_sp&gt;=0,A176&lt;SV_sIdx),0,IF(AND(SV_sp&gt;=0,A176=SV_sIdx),SV_L0,SV_lifeGrowth*(AC175-AA176))))</f>
        <v/>
      </c>
      <c r="AD176" s="29">
        <f>X176+Y176+AB176+Z176+IF(AB176&lt;0,0,AC176)</f>
        <v/>
      </c>
      <c r="AE176" s="29">
        <f>AA176+W176</f>
        <v/>
      </c>
      <c r="AF176" s="29">
        <f>IF(OR(A176&gt;SV_T,A176&gt;=SV_loanYears),0,MAX(0,AF175*(1+loanRate)-SV_inst))</f>
        <v/>
      </c>
      <c r="AG176" s="29">
        <f>IF(A176&gt;SV_T,0,AG175*(1+SV_savRate)+H176+I176+J176+K176+L176+AE176)</f>
        <v/>
      </c>
      <c r="AH176" s="29">
        <f>IF(A176&gt;SV_T,0,MAX(0,O176+P176+Q176+AD176+AG176-AF176))</f>
        <v/>
      </c>
      <c r="AI176" s="29">
        <f>IF(A176&gt;SV_T,0,O176+P176+AG176-MAX(0,AF176-(Q176+AD176)))</f>
        <v/>
      </c>
      <c r="AJ176" s="29">
        <f>IF(OR(OR(A176&lt;1,A176&gt;SV_T),A176-1&gt;=SV_retPay),0,SV_retMth*12+IF(A176=1,SV_retLump,0))</f>
        <v/>
      </c>
      <c r="AK176" s="29">
        <f>IF(A176&gt;SV_T,0,(AK175+AJ176)*(1+investmentReturn))</f>
        <v/>
      </c>
      <c r="AL176" s="29">
        <f>IF(OR(OR(A176&lt;1,A176&gt;SV_T),A176-1&gt;=SV_goalPay),0,SV_goalMth*12+IF(A176=1,SV_goalLump,0))</f>
        <v/>
      </c>
      <c r="AM176" s="29">
        <f>IF(A176&gt;SV_T,0,(AM175+AL176)*(1+investmentReturn))</f>
        <v/>
      </c>
      <c r="AN176" s="29">
        <f>IF(OR(OR(A176&lt;1,A176&gt;SV_T),A176-1&gt;=SV_protPay),0,SV_protPrem)</f>
        <v/>
      </c>
      <c r="AO176" s="29">
        <f>IF(OR(A176=0,A176&gt;=SV_T),0,ROUND(MAX(0,AK176),2)+ROUND(MAX(0,AM176),2))</f>
        <v/>
      </c>
      <c r="AP176" s="29">
        <f>IF(OR(A176&lt;1,A176&gt;SV_T),0,-(AJ176+AL176+AN176)+IF(A176=SV_T,ROUND(MAX(0,AK176),2)+ROUND(MAX(0,AM176),2),0))</f>
        <v/>
      </c>
      <c r="AQ176" s="29">
        <f>IF(A176&gt;SV_T,0,AQ175*(1+SV_savRate)+H176+I176+J176+K176+L176+AE176+AP176)</f>
        <v/>
      </c>
      <c r="AR176" s="29">
        <f>IF(A176&gt;SV_T,0,MAX(0,O176+P176+Q176+AD176+AQ176+AO176-AF176))</f>
        <v/>
      </c>
      <c r="AS176" s="29">
        <f>IF(A176&gt;SV_T,0,O176+P176+AQ176+AO176-MAX(0,AF176-(Q176+AD176)))</f>
        <v/>
      </c>
    </row>
    <row r="177">
      <c r="A177" s="61" t="n">
        <v>15</v>
      </c>
      <c r="B177" s="61">
        <f>SV_age+A177</f>
        <v/>
      </c>
      <c r="C177" s="61">
        <f>currentYear+A177</f>
        <v/>
      </c>
      <c r="D177" s="52">
        <f>A177&lt;=SV_T</f>
        <v/>
      </c>
      <c r="E177" s="60">
        <f>IF(AND(SV_inflOn,A177&gt;=SV_inflS,A177&lt;=SV_inflE),1+SV_inflRate,1+inflationRate)</f>
        <v/>
      </c>
      <c r="F177" s="60">
        <f>IF(A177&lt;=1,1,F176*E177)</f>
        <v/>
      </c>
      <c r="G177" s="60">
        <f>IF(AND(SV_incOn,A177&gt;=SV_incS,A177&lt;=SV_incE),1+SV_incImp,1)</f>
        <v/>
      </c>
      <c r="H177" s="29">
        <f>IF(OR(OR(A177&lt;1,A177&gt;SV_T),A177-1&gt;=SV_salCut,AND(SV_deaOn,A177&gt;=SV_deaM)),0,SV_sal0*(1+incomeGrowthRate)^(A177-1)*G177)</f>
        <v/>
      </c>
      <c r="I177" s="29">
        <f>IF(OR(A177&lt;1,A177&gt;SV_T),0,(-SV_exp0*F177-IF(A177&lt;=SV_loanYears,SV_inst,0)-IF(AND(SV_wdAmt&gt;0,A177=SV_wdYear),SV_wdAmt,0))*IF(AND(SV_expOn,A177&gt;=SV_expS,A177&lt;=SV_expE),1+SV_expImp,1))</f>
        <v/>
      </c>
      <c r="J177" s="29">
        <f>IF(OR(A177&lt;1,A177&gt;SV_T),0,-F177*(IF(AND(SV_deaOn,A177=SV_deaM),SV_deaAmt,0)+IF(AND(SV_criOn,A177=SV_criM),SV_criAmt,0)+IF(AND(SV_tpdOn,A177=SV_tpdM),SV_tpdAmt,0)+IF(AND(SV_pacOn,A177=SV_pacM),SV_pacAmt,0)+IF(AND(SV_hosOn,A177=SV_hosM),SV_hosAmt,0)+IF(AND(SV_wedOn,A177=SV_wedM),SV_wedAmt,0)+IF(AND(SV_babOn,A177=SV_babM),SV_babAmt,0)+IF(AND(SV_ltcOn,A177&gt;=SV_ltcM,A177&lt;=SV_ltcE),SV_ltcAmt,0)))</f>
        <v/>
      </c>
      <c r="K177" s="29">
        <f>IF(OR(OR(A177&lt;1,A177&gt;SV_T),A177&gt;SV_loanYears),0,-SV_lifePremYr)</f>
        <v/>
      </c>
      <c r="L177" s="29">
        <f>IF(OR(A177&lt;1,A177&gt;SV_T),0,-SV_contrib)</f>
        <v/>
      </c>
      <c r="M177" s="60">
        <f>IF(AND(SV_crashOn,A177=SV_crashYr),SV_crashF,1)</f>
        <v/>
      </c>
      <c r="N177" s="60">
        <f>IF(AND(SV_ccyOn,A177=SV_ccyYr),SV_ccyF,1)</f>
        <v/>
      </c>
      <c r="O177" s="29">
        <f>IF(A177&gt;SV_T,0,O176*(1+interestRate)*M177*N177)</f>
        <v/>
      </c>
      <c r="P177" s="29">
        <f>IF(A177&gt;SV_T,0,(P176+SV_contrib)*(1+investmentReturn)*M177*N177)</f>
        <v/>
      </c>
      <c r="Q177" s="29">
        <f>IF(A177&gt;SV_T,0,Q176*(1+SV_propRate)*M177)</f>
        <v/>
      </c>
      <c r="R177" s="46">
        <f>MATCH(SV_age+A177-1,SV_cpfLower,1)</f>
        <v/>
      </c>
      <c r="S177" s="29">
        <f>IF(OR(OR(A177&lt;1,A177&gt;SV_T),NOT(SV_cpfOn),AND(SV_deaOn,A177&gt;=SV_deaM)),0,MIN(SV_sal0*(1+incomeGrowthRate)^(A177-1)*G177,SV_owCap))</f>
        <v/>
      </c>
      <c r="T177" s="29">
        <f>IF(A177&gt;SV_T,0,T176*(1+SV_oaRate)+IF(A177&gt;=SV_effStop,0,INDEX(SV_cpfOA,R177)*INDEX(SV_cpfTot,R177)*S177))</f>
        <v/>
      </c>
      <c r="U177" s="29">
        <f>IF(A177&gt;SV_T,0,U176*(1+SV_saRate)+IF(A177&gt;=SV_effStop,0,INDEX(SV_cpfSA,R177)*INDEX(SV_cpfTot,R177)*S177))</f>
        <v/>
      </c>
      <c r="V177" s="29">
        <f>IF(A177&gt;SV_T,0,V176*(1+SV_saRate)+IF(A177&gt;=SV_effStop,0,INDEX(SV_cpfMA,R177)*INDEX(SV_cpfTot,R177)*S177))</f>
        <v/>
      </c>
      <c r="W177" s="29">
        <f>IF(OR(OR(A177&lt;1,A177&gt;SV_T),A177&gt;=SV_effNeg),0,-(INDEX(SV_cpfOA,R177)+INDEX(SV_cpfSA,R177)+INDEX(SV_cpfMA,R177))*INDEX(SV_cpfEmp,R177)*S177)</f>
        <v/>
      </c>
      <c r="X177" s="29">
        <f>IF(A177&gt;=SV_sIdx,0,T177)</f>
        <v/>
      </c>
      <c r="Y177" s="29">
        <f>IF(A177&gt;=SV_sIdx,0,U177)</f>
        <v/>
      </c>
      <c r="Z177" s="29">
        <f>IF(A177&gt;=SV_sIdx,MIN(V177,SV_maCap),V177)</f>
        <v/>
      </c>
      <c r="AA177" s="29">
        <f>IF(AND(SV_cpfOn,A177&gt;=SV_pIdx,A177&lt;=SV_T),12*SV_pay,0)</f>
        <v/>
      </c>
      <c r="AB177" s="29">
        <f>IF(A177&gt;SV_T,0,IF(SV_sp&gt;=0,IF(A177&lt;SV_sIdx,0,IF(A177=SV_sIdx,SV_R0,SV_lifeGrowth*AB176)),SV_lifeGrowth*AB176))</f>
        <v/>
      </c>
      <c r="AC177" s="29">
        <f>IF(A177&gt;SV_T,0,IF(AND(SV_sp&gt;=0,A177&lt;SV_sIdx),0,IF(AND(SV_sp&gt;=0,A177=SV_sIdx),SV_L0,SV_lifeGrowth*(AC176-AA177))))</f>
        <v/>
      </c>
      <c r="AD177" s="29">
        <f>X177+Y177+AB177+Z177+IF(AB177&lt;0,0,AC177)</f>
        <v/>
      </c>
      <c r="AE177" s="29">
        <f>AA177+W177</f>
        <v/>
      </c>
      <c r="AF177" s="29">
        <f>IF(OR(A177&gt;SV_T,A177&gt;=SV_loanYears),0,MAX(0,AF176*(1+loanRate)-SV_inst))</f>
        <v/>
      </c>
      <c r="AG177" s="29">
        <f>IF(A177&gt;SV_T,0,AG176*(1+SV_savRate)+H177+I177+J177+K177+L177+AE177)</f>
        <v/>
      </c>
      <c r="AH177" s="29">
        <f>IF(A177&gt;SV_T,0,MAX(0,O177+P177+Q177+AD177+AG177-AF177))</f>
        <v/>
      </c>
      <c r="AI177" s="29">
        <f>IF(A177&gt;SV_T,0,O177+P177+AG177-MAX(0,AF177-(Q177+AD177)))</f>
        <v/>
      </c>
      <c r="AJ177" s="29">
        <f>IF(OR(OR(A177&lt;1,A177&gt;SV_T),A177-1&gt;=SV_retPay),0,SV_retMth*12+IF(A177=1,SV_retLump,0))</f>
        <v/>
      </c>
      <c r="AK177" s="29">
        <f>IF(A177&gt;SV_T,0,(AK176+AJ177)*(1+investmentReturn))</f>
        <v/>
      </c>
      <c r="AL177" s="29">
        <f>IF(OR(OR(A177&lt;1,A177&gt;SV_T),A177-1&gt;=SV_goalPay),0,SV_goalMth*12+IF(A177=1,SV_goalLump,0))</f>
        <v/>
      </c>
      <c r="AM177" s="29">
        <f>IF(A177&gt;SV_T,0,(AM176+AL177)*(1+investmentReturn))</f>
        <v/>
      </c>
      <c r="AN177" s="29">
        <f>IF(OR(OR(A177&lt;1,A177&gt;SV_T),A177-1&gt;=SV_protPay),0,SV_protPrem)</f>
        <v/>
      </c>
      <c r="AO177" s="29">
        <f>IF(OR(A177=0,A177&gt;=SV_T),0,ROUND(MAX(0,AK177),2)+ROUND(MAX(0,AM177),2))</f>
        <v/>
      </c>
      <c r="AP177" s="29">
        <f>IF(OR(A177&lt;1,A177&gt;SV_T),0,-(AJ177+AL177+AN177)+IF(A177=SV_T,ROUND(MAX(0,AK177),2)+ROUND(MAX(0,AM177),2),0))</f>
        <v/>
      </c>
      <c r="AQ177" s="29">
        <f>IF(A177&gt;SV_T,0,AQ176*(1+SV_savRate)+H177+I177+J177+K177+L177+AE177+AP177)</f>
        <v/>
      </c>
      <c r="AR177" s="29">
        <f>IF(A177&gt;SV_T,0,MAX(0,O177+P177+Q177+AD177+AQ177+AO177-AF177))</f>
        <v/>
      </c>
      <c r="AS177" s="29">
        <f>IF(A177&gt;SV_T,0,O177+P177+AQ177+AO177-MAX(0,AF177-(Q177+AD177)))</f>
        <v/>
      </c>
    </row>
    <row r="178">
      <c r="A178" s="61" t="n">
        <v>16</v>
      </c>
      <c r="B178" s="61">
        <f>SV_age+A178</f>
        <v/>
      </c>
      <c r="C178" s="61">
        <f>currentYear+A178</f>
        <v/>
      </c>
      <c r="D178" s="52">
        <f>A178&lt;=SV_T</f>
        <v/>
      </c>
      <c r="E178" s="60">
        <f>IF(AND(SV_inflOn,A178&gt;=SV_inflS,A178&lt;=SV_inflE),1+SV_inflRate,1+inflationRate)</f>
        <v/>
      </c>
      <c r="F178" s="60">
        <f>IF(A178&lt;=1,1,F177*E178)</f>
        <v/>
      </c>
      <c r="G178" s="60">
        <f>IF(AND(SV_incOn,A178&gt;=SV_incS,A178&lt;=SV_incE),1+SV_incImp,1)</f>
        <v/>
      </c>
      <c r="H178" s="29">
        <f>IF(OR(OR(A178&lt;1,A178&gt;SV_T),A178-1&gt;=SV_salCut,AND(SV_deaOn,A178&gt;=SV_deaM)),0,SV_sal0*(1+incomeGrowthRate)^(A178-1)*G178)</f>
        <v/>
      </c>
      <c r="I178" s="29">
        <f>IF(OR(A178&lt;1,A178&gt;SV_T),0,(-SV_exp0*F178-IF(A178&lt;=SV_loanYears,SV_inst,0)-IF(AND(SV_wdAmt&gt;0,A178=SV_wdYear),SV_wdAmt,0))*IF(AND(SV_expOn,A178&gt;=SV_expS,A178&lt;=SV_expE),1+SV_expImp,1))</f>
        <v/>
      </c>
      <c r="J178" s="29">
        <f>IF(OR(A178&lt;1,A178&gt;SV_T),0,-F178*(IF(AND(SV_deaOn,A178=SV_deaM),SV_deaAmt,0)+IF(AND(SV_criOn,A178=SV_criM),SV_criAmt,0)+IF(AND(SV_tpdOn,A178=SV_tpdM),SV_tpdAmt,0)+IF(AND(SV_pacOn,A178=SV_pacM),SV_pacAmt,0)+IF(AND(SV_hosOn,A178=SV_hosM),SV_hosAmt,0)+IF(AND(SV_wedOn,A178=SV_wedM),SV_wedAmt,0)+IF(AND(SV_babOn,A178=SV_babM),SV_babAmt,0)+IF(AND(SV_ltcOn,A178&gt;=SV_ltcM,A178&lt;=SV_ltcE),SV_ltcAmt,0)))</f>
        <v/>
      </c>
      <c r="K178" s="29">
        <f>IF(OR(OR(A178&lt;1,A178&gt;SV_T),A178&gt;SV_loanYears),0,-SV_lifePremYr)</f>
        <v/>
      </c>
      <c r="L178" s="29">
        <f>IF(OR(A178&lt;1,A178&gt;SV_T),0,-SV_contrib)</f>
        <v/>
      </c>
      <c r="M178" s="60">
        <f>IF(AND(SV_crashOn,A178=SV_crashYr),SV_crashF,1)</f>
        <v/>
      </c>
      <c r="N178" s="60">
        <f>IF(AND(SV_ccyOn,A178=SV_ccyYr),SV_ccyF,1)</f>
        <v/>
      </c>
      <c r="O178" s="29">
        <f>IF(A178&gt;SV_T,0,O177*(1+interestRate)*M178*N178)</f>
        <v/>
      </c>
      <c r="P178" s="29">
        <f>IF(A178&gt;SV_T,0,(P177+SV_contrib)*(1+investmentReturn)*M178*N178)</f>
        <v/>
      </c>
      <c r="Q178" s="29">
        <f>IF(A178&gt;SV_T,0,Q177*(1+SV_propRate)*M178)</f>
        <v/>
      </c>
      <c r="R178" s="46">
        <f>MATCH(SV_age+A178-1,SV_cpfLower,1)</f>
        <v/>
      </c>
      <c r="S178" s="29">
        <f>IF(OR(OR(A178&lt;1,A178&gt;SV_T),NOT(SV_cpfOn),AND(SV_deaOn,A178&gt;=SV_deaM)),0,MIN(SV_sal0*(1+incomeGrowthRate)^(A178-1)*G178,SV_owCap))</f>
        <v/>
      </c>
      <c r="T178" s="29">
        <f>IF(A178&gt;SV_T,0,T177*(1+SV_oaRate)+IF(A178&gt;=SV_effStop,0,INDEX(SV_cpfOA,R178)*INDEX(SV_cpfTot,R178)*S178))</f>
        <v/>
      </c>
      <c r="U178" s="29">
        <f>IF(A178&gt;SV_T,0,U177*(1+SV_saRate)+IF(A178&gt;=SV_effStop,0,INDEX(SV_cpfSA,R178)*INDEX(SV_cpfTot,R178)*S178))</f>
        <v/>
      </c>
      <c r="V178" s="29">
        <f>IF(A178&gt;SV_T,0,V177*(1+SV_saRate)+IF(A178&gt;=SV_effStop,0,INDEX(SV_cpfMA,R178)*INDEX(SV_cpfTot,R178)*S178))</f>
        <v/>
      </c>
      <c r="W178" s="29">
        <f>IF(OR(OR(A178&lt;1,A178&gt;SV_T),A178&gt;=SV_effNeg),0,-(INDEX(SV_cpfOA,R178)+INDEX(SV_cpfSA,R178)+INDEX(SV_cpfMA,R178))*INDEX(SV_cpfEmp,R178)*S178)</f>
        <v/>
      </c>
      <c r="X178" s="29">
        <f>IF(A178&gt;=SV_sIdx,0,T178)</f>
        <v/>
      </c>
      <c r="Y178" s="29">
        <f>IF(A178&gt;=SV_sIdx,0,U178)</f>
        <v/>
      </c>
      <c r="Z178" s="29">
        <f>IF(A178&gt;=SV_sIdx,MIN(V178,SV_maCap),V178)</f>
        <v/>
      </c>
      <c r="AA178" s="29">
        <f>IF(AND(SV_cpfOn,A178&gt;=SV_pIdx,A178&lt;=SV_T),12*SV_pay,0)</f>
        <v/>
      </c>
      <c r="AB178" s="29">
        <f>IF(A178&gt;SV_T,0,IF(SV_sp&gt;=0,IF(A178&lt;SV_sIdx,0,IF(A178=SV_sIdx,SV_R0,SV_lifeGrowth*AB177)),SV_lifeGrowth*AB177))</f>
        <v/>
      </c>
      <c r="AC178" s="29">
        <f>IF(A178&gt;SV_T,0,IF(AND(SV_sp&gt;=0,A178&lt;SV_sIdx),0,IF(AND(SV_sp&gt;=0,A178=SV_sIdx),SV_L0,SV_lifeGrowth*(AC177-AA178))))</f>
        <v/>
      </c>
      <c r="AD178" s="29">
        <f>X178+Y178+AB178+Z178+IF(AB178&lt;0,0,AC178)</f>
        <v/>
      </c>
      <c r="AE178" s="29">
        <f>AA178+W178</f>
        <v/>
      </c>
      <c r="AF178" s="29">
        <f>IF(OR(A178&gt;SV_T,A178&gt;=SV_loanYears),0,MAX(0,AF177*(1+loanRate)-SV_inst))</f>
        <v/>
      </c>
      <c r="AG178" s="29">
        <f>IF(A178&gt;SV_T,0,AG177*(1+SV_savRate)+H178+I178+J178+K178+L178+AE178)</f>
        <v/>
      </c>
      <c r="AH178" s="29">
        <f>IF(A178&gt;SV_T,0,MAX(0,O178+P178+Q178+AD178+AG178-AF178))</f>
        <v/>
      </c>
      <c r="AI178" s="29">
        <f>IF(A178&gt;SV_T,0,O178+P178+AG178-MAX(0,AF178-(Q178+AD178)))</f>
        <v/>
      </c>
      <c r="AJ178" s="29">
        <f>IF(OR(OR(A178&lt;1,A178&gt;SV_T),A178-1&gt;=SV_retPay),0,SV_retMth*12+IF(A178=1,SV_retLump,0))</f>
        <v/>
      </c>
      <c r="AK178" s="29">
        <f>IF(A178&gt;SV_T,0,(AK177+AJ178)*(1+investmentReturn))</f>
        <v/>
      </c>
      <c r="AL178" s="29">
        <f>IF(OR(OR(A178&lt;1,A178&gt;SV_T),A178-1&gt;=SV_goalPay),0,SV_goalMth*12+IF(A178=1,SV_goalLump,0))</f>
        <v/>
      </c>
      <c r="AM178" s="29">
        <f>IF(A178&gt;SV_T,0,(AM177+AL178)*(1+investmentReturn))</f>
        <v/>
      </c>
      <c r="AN178" s="29">
        <f>IF(OR(OR(A178&lt;1,A178&gt;SV_T),A178-1&gt;=SV_protPay),0,SV_protPrem)</f>
        <v/>
      </c>
      <c r="AO178" s="29">
        <f>IF(OR(A178=0,A178&gt;=SV_T),0,ROUND(MAX(0,AK178),2)+ROUND(MAX(0,AM178),2))</f>
        <v/>
      </c>
      <c r="AP178" s="29">
        <f>IF(OR(A178&lt;1,A178&gt;SV_T),0,-(AJ178+AL178+AN178)+IF(A178=SV_T,ROUND(MAX(0,AK178),2)+ROUND(MAX(0,AM178),2),0))</f>
        <v/>
      </c>
      <c r="AQ178" s="29">
        <f>IF(A178&gt;SV_T,0,AQ177*(1+SV_savRate)+H178+I178+J178+K178+L178+AE178+AP178)</f>
        <v/>
      </c>
      <c r="AR178" s="29">
        <f>IF(A178&gt;SV_T,0,MAX(0,O178+P178+Q178+AD178+AQ178+AO178-AF178))</f>
        <v/>
      </c>
      <c r="AS178" s="29">
        <f>IF(A178&gt;SV_T,0,O178+P178+AQ178+AO178-MAX(0,AF178-(Q178+AD178)))</f>
        <v/>
      </c>
    </row>
    <row r="179">
      <c r="A179" s="61" t="n">
        <v>17</v>
      </c>
      <c r="B179" s="61">
        <f>SV_age+A179</f>
        <v/>
      </c>
      <c r="C179" s="61">
        <f>currentYear+A179</f>
        <v/>
      </c>
      <c r="D179" s="52">
        <f>A179&lt;=SV_T</f>
        <v/>
      </c>
      <c r="E179" s="60">
        <f>IF(AND(SV_inflOn,A179&gt;=SV_inflS,A179&lt;=SV_inflE),1+SV_inflRate,1+inflationRate)</f>
        <v/>
      </c>
      <c r="F179" s="60">
        <f>IF(A179&lt;=1,1,F178*E179)</f>
        <v/>
      </c>
      <c r="G179" s="60">
        <f>IF(AND(SV_incOn,A179&gt;=SV_incS,A179&lt;=SV_incE),1+SV_incImp,1)</f>
        <v/>
      </c>
      <c r="H179" s="29">
        <f>IF(OR(OR(A179&lt;1,A179&gt;SV_T),A179-1&gt;=SV_salCut,AND(SV_deaOn,A179&gt;=SV_deaM)),0,SV_sal0*(1+incomeGrowthRate)^(A179-1)*G179)</f>
        <v/>
      </c>
      <c r="I179" s="29">
        <f>IF(OR(A179&lt;1,A179&gt;SV_T),0,(-SV_exp0*F179-IF(A179&lt;=SV_loanYears,SV_inst,0)-IF(AND(SV_wdAmt&gt;0,A179=SV_wdYear),SV_wdAmt,0))*IF(AND(SV_expOn,A179&gt;=SV_expS,A179&lt;=SV_expE),1+SV_expImp,1))</f>
        <v/>
      </c>
      <c r="J179" s="29">
        <f>IF(OR(A179&lt;1,A179&gt;SV_T),0,-F179*(IF(AND(SV_deaOn,A179=SV_deaM),SV_deaAmt,0)+IF(AND(SV_criOn,A179=SV_criM),SV_criAmt,0)+IF(AND(SV_tpdOn,A179=SV_tpdM),SV_tpdAmt,0)+IF(AND(SV_pacOn,A179=SV_pacM),SV_pacAmt,0)+IF(AND(SV_hosOn,A179=SV_hosM),SV_hosAmt,0)+IF(AND(SV_wedOn,A179=SV_wedM),SV_wedAmt,0)+IF(AND(SV_babOn,A179=SV_babM),SV_babAmt,0)+IF(AND(SV_ltcOn,A179&gt;=SV_ltcM,A179&lt;=SV_ltcE),SV_ltcAmt,0)))</f>
        <v/>
      </c>
      <c r="K179" s="29">
        <f>IF(OR(OR(A179&lt;1,A179&gt;SV_T),A179&gt;SV_loanYears),0,-SV_lifePremYr)</f>
        <v/>
      </c>
      <c r="L179" s="29">
        <f>IF(OR(A179&lt;1,A179&gt;SV_T),0,-SV_contrib)</f>
        <v/>
      </c>
      <c r="M179" s="60">
        <f>IF(AND(SV_crashOn,A179=SV_crashYr),SV_crashF,1)</f>
        <v/>
      </c>
      <c r="N179" s="60">
        <f>IF(AND(SV_ccyOn,A179=SV_ccyYr),SV_ccyF,1)</f>
        <v/>
      </c>
      <c r="O179" s="29">
        <f>IF(A179&gt;SV_T,0,O178*(1+interestRate)*M179*N179)</f>
        <v/>
      </c>
      <c r="P179" s="29">
        <f>IF(A179&gt;SV_T,0,(P178+SV_contrib)*(1+investmentReturn)*M179*N179)</f>
        <v/>
      </c>
      <c r="Q179" s="29">
        <f>IF(A179&gt;SV_T,0,Q178*(1+SV_propRate)*M179)</f>
        <v/>
      </c>
      <c r="R179" s="46">
        <f>MATCH(SV_age+A179-1,SV_cpfLower,1)</f>
        <v/>
      </c>
      <c r="S179" s="29">
        <f>IF(OR(OR(A179&lt;1,A179&gt;SV_T),NOT(SV_cpfOn),AND(SV_deaOn,A179&gt;=SV_deaM)),0,MIN(SV_sal0*(1+incomeGrowthRate)^(A179-1)*G179,SV_owCap))</f>
        <v/>
      </c>
      <c r="T179" s="29">
        <f>IF(A179&gt;SV_T,0,T178*(1+SV_oaRate)+IF(A179&gt;=SV_effStop,0,INDEX(SV_cpfOA,R179)*INDEX(SV_cpfTot,R179)*S179))</f>
        <v/>
      </c>
      <c r="U179" s="29">
        <f>IF(A179&gt;SV_T,0,U178*(1+SV_saRate)+IF(A179&gt;=SV_effStop,0,INDEX(SV_cpfSA,R179)*INDEX(SV_cpfTot,R179)*S179))</f>
        <v/>
      </c>
      <c r="V179" s="29">
        <f>IF(A179&gt;SV_T,0,V178*(1+SV_saRate)+IF(A179&gt;=SV_effStop,0,INDEX(SV_cpfMA,R179)*INDEX(SV_cpfTot,R179)*S179))</f>
        <v/>
      </c>
      <c r="W179" s="29">
        <f>IF(OR(OR(A179&lt;1,A179&gt;SV_T),A179&gt;=SV_effNeg),0,-(INDEX(SV_cpfOA,R179)+INDEX(SV_cpfSA,R179)+INDEX(SV_cpfMA,R179))*INDEX(SV_cpfEmp,R179)*S179)</f>
        <v/>
      </c>
      <c r="X179" s="29">
        <f>IF(A179&gt;=SV_sIdx,0,T179)</f>
        <v/>
      </c>
      <c r="Y179" s="29">
        <f>IF(A179&gt;=SV_sIdx,0,U179)</f>
        <v/>
      </c>
      <c r="Z179" s="29">
        <f>IF(A179&gt;=SV_sIdx,MIN(V179,SV_maCap),V179)</f>
        <v/>
      </c>
      <c r="AA179" s="29">
        <f>IF(AND(SV_cpfOn,A179&gt;=SV_pIdx,A179&lt;=SV_T),12*SV_pay,0)</f>
        <v/>
      </c>
      <c r="AB179" s="29">
        <f>IF(A179&gt;SV_T,0,IF(SV_sp&gt;=0,IF(A179&lt;SV_sIdx,0,IF(A179=SV_sIdx,SV_R0,SV_lifeGrowth*AB178)),SV_lifeGrowth*AB178))</f>
        <v/>
      </c>
      <c r="AC179" s="29">
        <f>IF(A179&gt;SV_T,0,IF(AND(SV_sp&gt;=0,A179&lt;SV_sIdx),0,IF(AND(SV_sp&gt;=0,A179=SV_sIdx),SV_L0,SV_lifeGrowth*(AC178-AA179))))</f>
        <v/>
      </c>
      <c r="AD179" s="29">
        <f>X179+Y179+AB179+Z179+IF(AB179&lt;0,0,AC179)</f>
        <v/>
      </c>
      <c r="AE179" s="29">
        <f>AA179+W179</f>
        <v/>
      </c>
      <c r="AF179" s="29">
        <f>IF(OR(A179&gt;SV_T,A179&gt;=SV_loanYears),0,MAX(0,AF178*(1+loanRate)-SV_inst))</f>
        <v/>
      </c>
      <c r="AG179" s="29">
        <f>IF(A179&gt;SV_T,0,AG178*(1+SV_savRate)+H179+I179+J179+K179+L179+AE179)</f>
        <v/>
      </c>
      <c r="AH179" s="29">
        <f>IF(A179&gt;SV_T,0,MAX(0,O179+P179+Q179+AD179+AG179-AF179))</f>
        <v/>
      </c>
      <c r="AI179" s="29">
        <f>IF(A179&gt;SV_T,0,O179+P179+AG179-MAX(0,AF179-(Q179+AD179)))</f>
        <v/>
      </c>
      <c r="AJ179" s="29">
        <f>IF(OR(OR(A179&lt;1,A179&gt;SV_T),A179-1&gt;=SV_retPay),0,SV_retMth*12+IF(A179=1,SV_retLump,0))</f>
        <v/>
      </c>
      <c r="AK179" s="29">
        <f>IF(A179&gt;SV_T,0,(AK178+AJ179)*(1+investmentReturn))</f>
        <v/>
      </c>
      <c r="AL179" s="29">
        <f>IF(OR(OR(A179&lt;1,A179&gt;SV_T),A179-1&gt;=SV_goalPay),0,SV_goalMth*12+IF(A179=1,SV_goalLump,0))</f>
        <v/>
      </c>
      <c r="AM179" s="29">
        <f>IF(A179&gt;SV_T,0,(AM178+AL179)*(1+investmentReturn))</f>
        <v/>
      </c>
      <c r="AN179" s="29">
        <f>IF(OR(OR(A179&lt;1,A179&gt;SV_T),A179-1&gt;=SV_protPay),0,SV_protPrem)</f>
        <v/>
      </c>
      <c r="AO179" s="29">
        <f>IF(OR(A179=0,A179&gt;=SV_T),0,ROUND(MAX(0,AK179),2)+ROUND(MAX(0,AM179),2))</f>
        <v/>
      </c>
      <c r="AP179" s="29">
        <f>IF(OR(A179&lt;1,A179&gt;SV_T),0,-(AJ179+AL179+AN179)+IF(A179=SV_T,ROUND(MAX(0,AK179),2)+ROUND(MAX(0,AM179),2),0))</f>
        <v/>
      </c>
      <c r="AQ179" s="29">
        <f>IF(A179&gt;SV_T,0,AQ178*(1+SV_savRate)+H179+I179+J179+K179+L179+AE179+AP179)</f>
        <v/>
      </c>
      <c r="AR179" s="29">
        <f>IF(A179&gt;SV_T,0,MAX(0,O179+P179+Q179+AD179+AQ179+AO179-AF179))</f>
        <v/>
      </c>
      <c r="AS179" s="29">
        <f>IF(A179&gt;SV_T,0,O179+P179+AQ179+AO179-MAX(0,AF179-(Q179+AD179)))</f>
        <v/>
      </c>
    </row>
    <row r="180">
      <c r="A180" s="61" t="n">
        <v>18</v>
      </c>
      <c r="B180" s="61">
        <f>SV_age+A180</f>
        <v/>
      </c>
      <c r="C180" s="61">
        <f>currentYear+A180</f>
        <v/>
      </c>
      <c r="D180" s="52">
        <f>A180&lt;=SV_T</f>
        <v/>
      </c>
      <c r="E180" s="60">
        <f>IF(AND(SV_inflOn,A180&gt;=SV_inflS,A180&lt;=SV_inflE),1+SV_inflRate,1+inflationRate)</f>
        <v/>
      </c>
      <c r="F180" s="60">
        <f>IF(A180&lt;=1,1,F179*E180)</f>
        <v/>
      </c>
      <c r="G180" s="60">
        <f>IF(AND(SV_incOn,A180&gt;=SV_incS,A180&lt;=SV_incE),1+SV_incImp,1)</f>
        <v/>
      </c>
      <c r="H180" s="29">
        <f>IF(OR(OR(A180&lt;1,A180&gt;SV_T),A180-1&gt;=SV_salCut,AND(SV_deaOn,A180&gt;=SV_deaM)),0,SV_sal0*(1+incomeGrowthRate)^(A180-1)*G180)</f>
        <v/>
      </c>
      <c r="I180" s="29">
        <f>IF(OR(A180&lt;1,A180&gt;SV_T),0,(-SV_exp0*F180-IF(A180&lt;=SV_loanYears,SV_inst,0)-IF(AND(SV_wdAmt&gt;0,A180=SV_wdYear),SV_wdAmt,0))*IF(AND(SV_expOn,A180&gt;=SV_expS,A180&lt;=SV_expE),1+SV_expImp,1))</f>
        <v/>
      </c>
      <c r="J180" s="29">
        <f>IF(OR(A180&lt;1,A180&gt;SV_T),0,-F180*(IF(AND(SV_deaOn,A180=SV_deaM),SV_deaAmt,0)+IF(AND(SV_criOn,A180=SV_criM),SV_criAmt,0)+IF(AND(SV_tpdOn,A180=SV_tpdM),SV_tpdAmt,0)+IF(AND(SV_pacOn,A180=SV_pacM),SV_pacAmt,0)+IF(AND(SV_hosOn,A180=SV_hosM),SV_hosAmt,0)+IF(AND(SV_wedOn,A180=SV_wedM),SV_wedAmt,0)+IF(AND(SV_babOn,A180=SV_babM),SV_babAmt,0)+IF(AND(SV_ltcOn,A180&gt;=SV_ltcM,A180&lt;=SV_ltcE),SV_ltcAmt,0)))</f>
        <v/>
      </c>
      <c r="K180" s="29">
        <f>IF(OR(OR(A180&lt;1,A180&gt;SV_T),A180&gt;SV_loanYears),0,-SV_lifePremYr)</f>
        <v/>
      </c>
      <c r="L180" s="29">
        <f>IF(OR(A180&lt;1,A180&gt;SV_T),0,-SV_contrib)</f>
        <v/>
      </c>
      <c r="M180" s="60">
        <f>IF(AND(SV_crashOn,A180=SV_crashYr),SV_crashF,1)</f>
        <v/>
      </c>
      <c r="N180" s="60">
        <f>IF(AND(SV_ccyOn,A180=SV_ccyYr),SV_ccyF,1)</f>
        <v/>
      </c>
      <c r="O180" s="29">
        <f>IF(A180&gt;SV_T,0,O179*(1+interestRate)*M180*N180)</f>
        <v/>
      </c>
      <c r="P180" s="29">
        <f>IF(A180&gt;SV_T,0,(P179+SV_contrib)*(1+investmentReturn)*M180*N180)</f>
        <v/>
      </c>
      <c r="Q180" s="29">
        <f>IF(A180&gt;SV_T,0,Q179*(1+SV_propRate)*M180)</f>
        <v/>
      </c>
      <c r="R180" s="46">
        <f>MATCH(SV_age+A180-1,SV_cpfLower,1)</f>
        <v/>
      </c>
      <c r="S180" s="29">
        <f>IF(OR(OR(A180&lt;1,A180&gt;SV_T),NOT(SV_cpfOn),AND(SV_deaOn,A180&gt;=SV_deaM)),0,MIN(SV_sal0*(1+incomeGrowthRate)^(A180-1)*G180,SV_owCap))</f>
        <v/>
      </c>
      <c r="T180" s="29">
        <f>IF(A180&gt;SV_T,0,T179*(1+SV_oaRate)+IF(A180&gt;=SV_effStop,0,INDEX(SV_cpfOA,R180)*INDEX(SV_cpfTot,R180)*S180))</f>
        <v/>
      </c>
      <c r="U180" s="29">
        <f>IF(A180&gt;SV_T,0,U179*(1+SV_saRate)+IF(A180&gt;=SV_effStop,0,INDEX(SV_cpfSA,R180)*INDEX(SV_cpfTot,R180)*S180))</f>
        <v/>
      </c>
      <c r="V180" s="29">
        <f>IF(A180&gt;SV_T,0,V179*(1+SV_saRate)+IF(A180&gt;=SV_effStop,0,INDEX(SV_cpfMA,R180)*INDEX(SV_cpfTot,R180)*S180))</f>
        <v/>
      </c>
      <c r="W180" s="29">
        <f>IF(OR(OR(A180&lt;1,A180&gt;SV_T),A180&gt;=SV_effNeg),0,-(INDEX(SV_cpfOA,R180)+INDEX(SV_cpfSA,R180)+INDEX(SV_cpfMA,R180))*INDEX(SV_cpfEmp,R180)*S180)</f>
        <v/>
      </c>
      <c r="X180" s="29">
        <f>IF(A180&gt;=SV_sIdx,0,T180)</f>
        <v/>
      </c>
      <c r="Y180" s="29">
        <f>IF(A180&gt;=SV_sIdx,0,U180)</f>
        <v/>
      </c>
      <c r="Z180" s="29">
        <f>IF(A180&gt;=SV_sIdx,MIN(V180,SV_maCap),V180)</f>
        <v/>
      </c>
      <c r="AA180" s="29">
        <f>IF(AND(SV_cpfOn,A180&gt;=SV_pIdx,A180&lt;=SV_T),12*SV_pay,0)</f>
        <v/>
      </c>
      <c r="AB180" s="29">
        <f>IF(A180&gt;SV_T,0,IF(SV_sp&gt;=0,IF(A180&lt;SV_sIdx,0,IF(A180=SV_sIdx,SV_R0,SV_lifeGrowth*AB179)),SV_lifeGrowth*AB179))</f>
        <v/>
      </c>
      <c r="AC180" s="29">
        <f>IF(A180&gt;SV_T,0,IF(AND(SV_sp&gt;=0,A180&lt;SV_sIdx),0,IF(AND(SV_sp&gt;=0,A180=SV_sIdx),SV_L0,SV_lifeGrowth*(AC179-AA180))))</f>
        <v/>
      </c>
      <c r="AD180" s="29">
        <f>X180+Y180+AB180+Z180+IF(AB180&lt;0,0,AC180)</f>
        <v/>
      </c>
      <c r="AE180" s="29">
        <f>AA180+W180</f>
        <v/>
      </c>
      <c r="AF180" s="29">
        <f>IF(OR(A180&gt;SV_T,A180&gt;=SV_loanYears),0,MAX(0,AF179*(1+loanRate)-SV_inst))</f>
        <v/>
      </c>
      <c r="AG180" s="29">
        <f>IF(A180&gt;SV_T,0,AG179*(1+SV_savRate)+H180+I180+J180+K180+L180+AE180)</f>
        <v/>
      </c>
      <c r="AH180" s="29">
        <f>IF(A180&gt;SV_T,0,MAX(0,O180+P180+Q180+AD180+AG180-AF180))</f>
        <v/>
      </c>
      <c r="AI180" s="29">
        <f>IF(A180&gt;SV_T,0,O180+P180+AG180-MAX(0,AF180-(Q180+AD180)))</f>
        <v/>
      </c>
      <c r="AJ180" s="29">
        <f>IF(OR(OR(A180&lt;1,A180&gt;SV_T),A180-1&gt;=SV_retPay),0,SV_retMth*12+IF(A180=1,SV_retLump,0))</f>
        <v/>
      </c>
      <c r="AK180" s="29">
        <f>IF(A180&gt;SV_T,0,(AK179+AJ180)*(1+investmentReturn))</f>
        <v/>
      </c>
      <c r="AL180" s="29">
        <f>IF(OR(OR(A180&lt;1,A180&gt;SV_T),A180-1&gt;=SV_goalPay),0,SV_goalMth*12+IF(A180=1,SV_goalLump,0))</f>
        <v/>
      </c>
      <c r="AM180" s="29">
        <f>IF(A180&gt;SV_T,0,(AM179+AL180)*(1+investmentReturn))</f>
        <v/>
      </c>
      <c r="AN180" s="29">
        <f>IF(OR(OR(A180&lt;1,A180&gt;SV_T),A180-1&gt;=SV_protPay),0,SV_protPrem)</f>
        <v/>
      </c>
      <c r="AO180" s="29">
        <f>IF(OR(A180=0,A180&gt;=SV_T),0,ROUND(MAX(0,AK180),2)+ROUND(MAX(0,AM180),2))</f>
        <v/>
      </c>
      <c r="AP180" s="29">
        <f>IF(OR(A180&lt;1,A180&gt;SV_T),0,-(AJ180+AL180+AN180)+IF(A180=SV_T,ROUND(MAX(0,AK180),2)+ROUND(MAX(0,AM180),2),0))</f>
        <v/>
      </c>
      <c r="AQ180" s="29">
        <f>IF(A180&gt;SV_T,0,AQ179*(1+SV_savRate)+H180+I180+J180+K180+L180+AE180+AP180)</f>
        <v/>
      </c>
      <c r="AR180" s="29">
        <f>IF(A180&gt;SV_T,0,MAX(0,O180+P180+Q180+AD180+AQ180+AO180-AF180))</f>
        <v/>
      </c>
      <c r="AS180" s="29">
        <f>IF(A180&gt;SV_T,0,O180+P180+AQ180+AO180-MAX(0,AF180-(Q180+AD180)))</f>
        <v/>
      </c>
    </row>
    <row r="181">
      <c r="A181" s="61" t="n">
        <v>19</v>
      </c>
      <c r="B181" s="61">
        <f>SV_age+A181</f>
        <v/>
      </c>
      <c r="C181" s="61">
        <f>currentYear+A181</f>
        <v/>
      </c>
      <c r="D181" s="52">
        <f>A181&lt;=SV_T</f>
        <v/>
      </c>
      <c r="E181" s="60">
        <f>IF(AND(SV_inflOn,A181&gt;=SV_inflS,A181&lt;=SV_inflE),1+SV_inflRate,1+inflationRate)</f>
        <v/>
      </c>
      <c r="F181" s="60">
        <f>IF(A181&lt;=1,1,F180*E181)</f>
        <v/>
      </c>
      <c r="G181" s="60">
        <f>IF(AND(SV_incOn,A181&gt;=SV_incS,A181&lt;=SV_incE),1+SV_incImp,1)</f>
        <v/>
      </c>
      <c r="H181" s="29">
        <f>IF(OR(OR(A181&lt;1,A181&gt;SV_T),A181-1&gt;=SV_salCut,AND(SV_deaOn,A181&gt;=SV_deaM)),0,SV_sal0*(1+incomeGrowthRate)^(A181-1)*G181)</f>
        <v/>
      </c>
      <c r="I181" s="29">
        <f>IF(OR(A181&lt;1,A181&gt;SV_T),0,(-SV_exp0*F181-IF(A181&lt;=SV_loanYears,SV_inst,0)-IF(AND(SV_wdAmt&gt;0,A181=SV_wdYear),SV_wdAmt,0))*IF(AND(SV_expOn,A181&gt;=SV_expS,A181&lt;=SV_expE),1+SV_expImp,1))</f>
        <v/>
      </c>
      <c r="J181" s="29">
        <f>IF(OR(A181&lt;1,A181&gt;SV_T),0,-F181*(IF(AND(SV_deaOn,A181=SV_deaM),SV_deaAmt,0)+IF(AND(SV_criOn,A181=SV_criM),SV_criAmt,0)+IF(AND(SV_tpdOn,A181=SV_tpdM),SV_tpdAmt,0)+IF(AND(SV_pacOn,A181=SV_pacM),SV_pacAmt,0)+IF(AND(SV_hosOn,A181=SV_hosM),SV_hosAmt,0)+IF(AND(SV_wedOn,A181=SV_wedM),SV_wedAmt,0)+IF(AND(SV_babOn,A181=SV_babM),SV_babAmt,0)+IF(AND(SV_ltcOn,A181&gt;=SV_ltcM,A181&lt;=SV_ltcE),SV_ltcAmt,0)))</f>
        <v/>
      </c>
      <c r="K181" s="29">
        <f>IF(OR(OR(A181&lt;1,A181&gt;SV_T),A181&gt;SV_loanYears),0,-SV_lifePremYr)</f>
        <v/>
      </c>
      <c r="L181" s="29">
        <f>IF(OR(A181&lt;1,A181&gt;SV_T),0,-SV_contrib)</f>
        <v/>
      </c>
      <c r="M181" s="60">
        <f>IF(AND(SV_crashOn,A181=SV_crashYr),SV_crashF,1)</f>
        <v/>
      </c>
      <c r="N181" s="60">
        <f>IF(AND(SV_ccyOn,A181=SV_ccyYr),SV_ccyF,1)</f>
        <v/>
      </c>
      <c r="O181" s="29">
        <f>IF(A181&gt;SV_T,0,O180*(1+interestRate)*M181*N181)</f>
        <v/>
      </c>
      <c r="P181" s="29">
        <f>IF(A181&gt;SV_T,0,(P180+SV_contrib)*(1+investmentReturn)*M181*N181)</f>
        <v/>
      </c>
      <c r="Q181" s="29">
        <f>IF(A181&gt;SV_T,0,Q180*(1+SV_propRate)*M181)</f>
        <v/>
      </c>
      <c r="R181" s="46">
        <f>MATCH(SV_age+A181-1,SV_cpfLower,1)</f>
        <v/>
      </c>
      <c r="S181" s="29">
        <f>IF(OR(OR(A181&lt;1,A181&gt;SV_T),NOT(SV_cpfOn),AND(SV_deaOn,A181&gt;=SV_deaM)),0,MIN(SV_sal0*(1+incomeGrowthRate)^(A181-1)*G181,SV_owCap))</f>
        <v/>
      </c>
      <c r="T181" s="29">
        <f>IF(A181&gt;SV_T,0,T180*(1+SV_oaRate)+IF(A181&gt;=SV_effStop,0,INDEX(SV_cpfOA,R181)*INDEX(SV_cpfTot,R181)*S181))</f>
        <v/>
      </c>
      <c r="U181" s="29">
        <f>IF(A181&gt;SV_T,0,U180*(1+SV_saRate)+IF(A181&gt;=SV_effStop,0,INDEX(SV_cpfSA,R181)*INDEX(SV_cpfTot,R181)*S181))</f>
        <v/>
      </c>
      <c r="V181" s="29">
        <f>IF(A181&gt;SV_T,0,V180*(1+SV_saRate)+IF(A181&gt;=SV_effStop,0,INDEX(SV_cpfMA,R181)*INDEX(SV_cpfTot,R181)*S181))</f>
        <v/>
      </c>
      <c r="W181" s="29">
        <f>IF(OR(OR(A181&lt;1,A181&gt;SV_T),A181&gt;=SV_effNeg),0,-(INDEX(SV_cpfOA,R181)+INDEX(SV_cpfSA,R181)+INDEX(SV_cpfMA,R181))*INDEX(SV_cpfEmp,R181)*S181)</f>
        <v/>
      </c>
      <c r="X181" s="29">
        <f>IF(A181&gt;=SV_sIdx,0,T181)</f>
        <v/>
      </c>
      <c r="Y181" s="29">
        <f>IF(A181&gt;=SV_sIdx,0,U181)</f>
        <v/>
      </c>
      <c r="Z181" s="29">
        <f>IF(A181&gt;=SV_sIdx,MIN(V181,SV_maCap),V181)</f>
        <v/>
      </c>
      <c r="AA181" s="29">
        <f>IF(AND(SV_cpfOn,A181&gt;=SV_pIdx,A181&lt;=SV_T),12*SV_pay,0)</f>
        <v/>
      </c>
      <c r="AB181" s="29">
        <f>IF(A181&gt;SV_T,0,IF(SV_sp&gt;=0,IF(A181&lt;SV_sIdx,0,IF(A181=SV_sIdx,SV_R0,SV_lifeGrowth*AB180)),SV_lifeGrowth*AB180))</f>
        <v/>
      </c>
      <c r="AC181" s="29">
        <f>IF(A181&gt;SV_T,0,IF(AND(SV_sp&gt;=0,A181&lt;SV_sIdx),0,IF(AND(SV_sp&gt;=0,A181=SV_sIdx),SV_L0,SV_lifeGrowth*(AC180-AA181))))</f>
        <v/>
      </c>
      <c r="AD181" s="29">
        <f>X181+Y181+AB181+Z181+IF(AB181&lt;0,0,AC181)</f>
        <v/>
      </c>
      <c r="AE181" s="29">
        <f>AA181+W181</f>
        <v/>
      </c>
      <c r="AF181" s="29">
        <f>IF(OR(A181&gt;SV_T,A181&gt;=SV_loanYears),0,MAX(0,AF180*(1+loanRate)-SV_inst))</f>
        <v/>
      </c>
      <c r="AG181" s="29">
        <f>IF(A181&gt;SV_T,0,AG180*(1+SV_savRate)+H181+I181+J181+K181+L181+AE181)</f>
        <v/>
      </c>
      <c r="AH181" s="29">
        <f>IF(A181&gt;SV_T,0,MAX(0,O181+P181+Q181+AD181+AG181-AF181))</f>
        <v/>
      </c>
      <c r="AI181" s="29">
        <f>IF(A181&gt;SV_T,0,O181+P181+AG181-MAX(0,AF181-(Q181+AD181)))</f>
        <v/>
      </c>
      <c r="AJ181" s="29">
        <f>IF(OR(OR(A181&lt;1,A181&gt;SV_T),A181-1&gt;=SV_retPay),0,SV_retMth*12+IF(A181=1,SV_retLump,0))</f>
        <v/>
      </c>
      <c r="AK181" s="29">
        <f>IF(A181&gt;SV_T,0,(AK180+AJ181)*(1+investmentReturn))</f>
        <v/>
      </c>
      <c r="AL181" s="29">
        <f>IF(OR(OR(A181&lt;1,A181&gt;SV_T),A181-1&gt;=SV_goalPay),0,SV_goalMth*12+IF(A181=1,SV_goalLump,0))</f>
        <v/>
      </c>
      <c r="AM181" s="29">
        <f>IF(A181&gt;SV_T,0,(AM180+AL181)*(1+investmentReturn))</f>
        <v/>
      </c>
      <c r="AN181" s="29">
        <f>IF(OR(OR(A181&lt;1,A181&gt;SV_T),A181-1&gt;=SV_protPay),0,SV_protPrem)</f>
        <v/>
      </c>
      <c r="AO181" s="29">
        <f>IF(OR(A181=0,A181&gt;=SV_T),0,ROUND(MAX(0,AK181),2)+ROUND(MAX(0,AM181),2))</f>
        <v/>
      </c>
      <c r="AP181" s="29">
        <f>IF(OR(A181&lt;1,A181&gt;SV_T),0,-(AJ181+AL181+AN181)+IF(A181=SV_T,ROUND(MAX(0,AK181),2)+ROUND(MAX(0,AM181),2),0))</f>
        <v/>
      </c>
      <c r="AQ181" s="29">
        <f>IF(A181&gt;SV_T,0,AQ180*(1+SV_savRate)+H181+I181+J181+K181+L181+AE181+AP181)</f>
        <v/>
      </c>
      <c r="AR181" s="29">
        <f>IF(A181&gt;SV_T,0,MAX(0,O181+P181+Q181+AD181+AQ181+AO181-AF181))</f>
        <v/>
      </c>
      <c r="AS181" s="29">
        <f>IF(A181&gt;SV_T,0,O181+P181+AQ181+AO181-MAX(0,AF181-(Q181+AD181)))</f>
        <v/>
      </c>
    </row>
    <row r="182">
      <c r="A182" s="61" t="n">
        <v>20</v>
      </c>
      <c r="B182" s="61">
        <f>SV_age+A182</f>
        <v/>
      </c>
      <c r="C182" s="61">
        <f>currentYear+A182</f>
        <v/>
      </c>
      <c r="D182" s="52">
        <f>A182&lt;=SV_T</f>
        <v/>
      </c>
      <c r="E182" s="60">
        <f>IF(AND(SV_inflOn,A182&gt;=SV_inflS,A182&lt;=SV_inflE),1+SV_inflRate,1+inflationRate)</f>
        <v/>
      </c>
      <c r="F182" s="60">
        <f>IF(A182&lt;=1,1,F181*E182)</f>
        <v/>
      </c>
      <c r="G182" s="60">
        <f>IF(AND(SV_incOn,A182&gt;=SV_incS,A182&lt;=SV_incE),1+SV_incImp,1)</f>
        <v/>
      </c>
      <c r="H182" s="29">
        <f>IF(OR(OR(A182&lt;1,A182&gt;SV_T),A182-1&gt;=SV_salCut,AND(SV_deaOn,A182&gt;=SV_deaM)),0,SV_sal0*(1+incomeGrowthRate)^(A182-1)*G182)</f>
        <v/>
      </c>
      <c r="I182" s="29">
        <f>IF(OR(A182&lt;1,A182&gt;SV_T),0,(-SV_exp0*F182-IF(A182&lt;=SV_loanYears,SV_inst,0)-IF(AND(SV_wdAmt&gt;0,A182=SV_wdYear),SV_wdAmt,0))*IF(AND(SV_expOn,A182&gt;=SV_expS,A182&lt;=SV_expE),1+SV_expImp,1))</f>
        <v/>
      </c>
      <c r="J182" s="29">
        <f>IF(OR(A182&lt;1,A182&gt;SV_T),0,-F182*(IF(AND(SV_deaOn,A182=SV_deaM),SV_deaAmt,0)+IF(AND(SV_criOn,A182=SV_criM),SV_criAmt,0)+IF(AND(SV_tpdOn,A182=SV_tpdM),SV_tpdAmt,0)+IF(AND(SV_pacOn,A182=SV_pacM),SV_pacAmt,0)+IF(AND(SV_hosOn,A182=SV_hosM),SV_hosAmt,0)+IF(AND(SV_wedOn,A182=SV_wedM),SV_wedAmt,0)+IF(AND(SV_babOn,A182=SV_babM),SV_babAmt,0)+IF(AND(SV_ltcOn,A182&gt;=SV_ltcM,A182&lt;=SV_ltcE),SV_ltcAmt,0)))</f>
        <v/>
      </c>
      <c r="K182" s="29">
        <f>IF(OR(OR(A182&lt;1,A182&gt;SV_T),A182&gt;SV_loanYears),0,-SV_lifePremYr)</f>
        <v/>
      </c>
      <c r="L182" s="29">
        <f>IF(OR(A182&lt;1,A182&gt;SV_T),0,-SV_contrib)</f>
        <v/>
      </c>
      <c r="M182" s="60">
        <f>IF(AND(SV_crashOn,A182=SV_crashYr),SV_crashF,1)</f>
        <v/>
      </c>
      <c r="N182" s="60">
        <f>IF(AND(SV_ccyOn,A182=SV_ccyYr),SV_ccyF,1)</f>
        <v/>
      </c>
      <c r="O182" s="29">
        <f>IF(A182&gt;SV_T,0,O181*(1+interestRate)*M182*N182)</f>
        <v/>
      </c>
      <c r="P182" s="29">
        <f>IF(A182&gt;SV_T,0,(P181+SV_contrib)*(1+investmentReturn)*M182*N182)</f>
        <v/>
      </c>
      <c r="Q182" s="29">
        <f>IF(A182&gt;SV_T,0,Q181*(1+SV_propRate)*M182)</f>
        <v/>
      </c>
      <c r="R182" s="46">
        <f>MATCH(SV_age+A182-1,SV_cpfLower,1)</f>
        <v/>
      </c>
      <c r="S182" s="29">
        <f>IF(OR(OR(A182&lt;1,A182&gt;SV_T),NOT(SV_cpfOn),AND(SV_deaOn,A182&gt;=SV_deaM)),0,MIN(SV_sal0*(1+incomeGrowthRate)^(A182-1)*G182,SV_owCap))</f>
        <v/>
      </c>
      <c r="T182" s="29">
        <f>IF(A182&gt;SV_T,0,T181*(1+SV_oaRate)+IF(A182&gt;=SV_effStop,0,INDEX(SV_cpfOA,R182)*INDEX(SV_cpfTot,R182)*S182))</f>
        <v/>
      </c>
      <c r="U182" s="29">
        <f>IF(A182&gt;SV_T,0,U181*(1+SV_saRate)+IF(A182&gt;=SV_effStop,0,INDEX(SV_cpfSA,R182)*INDEX(SV_cpfTot,R182)*S182))</f>
        <v/>
      </c>
      <c r="V182" s="29">
        <f>IF(A182&gt;SV_T,0,V181*(1+SV_saRate)+IF(A182&gt;=SV_effStop,0,INDEX(SV_cpfMA,R182)*INDEX(SV_cpfTot,R182)*S182))</f>
        <v/>
      </c>
      <c r="W182" s="29">
        <f>IF(OR(OR(A182&lt;1,A182&gt;SV_T),A182&gt;=SV_effNeg),0,-(INDEX(SV_cpfOA,R182)+INDEX(SV_cpfSA,R182)+INDEX(SV_cpfMA,R182))*INDEX(SV_cpfEmp,R182)*S182)</f>
        <v/>
      </c>
      <c r="X182" s="29">
        <f>IF(A182&gt;=SV_sIdx,0,T182)</f>
        <v/>
      </c>
      <c r="Y182" s="29">
        <f>IF(A182&gt;=SV_sIdx,0,U182)</f>
        <v/>
      </c>
      <c r="Z182" s="29">
        <f>IF(A182&gt;=SV_sIdx,MIN(V182,SV_maCap),V182)</f>
        <v/>
      </c>
      <c r="AA182" s="29">
        <f>IF(AND(SV_cpfOn,A182&gt;=SV_pIdx,A182&lt;=SV_T),12*SV_pay,0)</f>
        <v/>
      </c>
      <c r="AB182" s="29">
        <f>IF(A182&gt;SV_T,0,IF(SV_sp&gt;=0,IF(A182&lt;SV_sIdx,0,IF(A182=SV_sIdx,SV_R0,SV_lifeGrowth*AB181)),SV_lifeGrowth*AB181))</f>
        <v/>
      </c>
      <c r="AC182" s="29">
        <f>IF(A182&gt;SV_T,0,IF(AND(SV_sp&gt;=0,A182&lt;SV_sIdx),0,IF(AND(SV_sp&gt;=0,A182=SV_sIdx),SV_L0,SV_lifeGrowth*(AC181-AA182))))</f>
        <v/>
      </c>
      <c r="AD182" s="29">
        <f>X182+Y182+AB182+Z182+IF(AB182&lt;0,0,AC182)</f>
        <v/>
      </c>
      <c r="AE182" s="29">
        <f>AA182+W182</f>
        <v/>
      </c>
      <c r="AF182" s="29">
        <f>IF(OR(A182&gt;SV_T,A182&gt;=SV_loanYears),0,MAX(0,AF181*(1+loanRate)-SV_inst))</f>
        <v/>
      </c>
      <c r="AG182" s="29">
        <f>IF(A182&gt;SV_T,0,AG181*(1+SV_savRate)+H182+I182+J182+K182+L182+AE182)</f>
        <v/>
      </c>
      <c r="AH182" s="29">
        <f>IF(A182&gt;SV_T,0,MAX(0,O182+P182+Q182+AD182+AG182-AF182))</f>
        <v/>
      </c>
      <c r="AI182" s="29">
        <f>IF(A182&gt;SV_T,0,O182+P182+AG182-MAX(0,AF182-(Q182+AD182)))</f>
        <v/>
      </c>
      <c r="AJ182" s="29">
        <f>IF(OR(OR(A182&lt;1,A182&gt;SV_T),A182-1&gt;=SV_retPay),0,SV_retMth*12+IF(A182=1,SV_retLump,0))</f>
        <v/>
      </c>
      <c r="AK182" s="29">
        <f>IF(A182&gt;SV_T,0,(AK181+AJ182)*(1+investmentReturn))</f>
        <v/>
      </c>
      <c r="AL182" s="29">
        <f>IF(OR(OR(A182&lt;1,A182&gt;SV_T),A182-1&gt;=SV_goalPay),0,SV_goalMth*12+IF(A182=1,SV_goalLump,0))</f>
        <v/>
      </c>
      <c r="AM182" s="29">
        <f>IF(A182&gt;SV_T,0,(AM181+AL182)*(1+investmentReturn))</f>
        <v/>
      </c>
      <c r="AN182" s="29">
        <f>IF(OR(OR(A182&lt;1,A182&gt;SV_T),A182-1&gt;=SV_protPay),0,SV_protPrem)</f>
        <v/>
      </c>
      <c r="AO182" s="29">
        <f>IF(OR(A182=0,A182&gt;=SV_T),0,ROUND(MAX(0,AK182),2)+ROUND(MAX(0,AM182),2))</f>
        <v/>
      </c>
      <c r="AP182" s="29">
        <f>IF(OR(A182&lt;1,A182&gt;SV_T),0,-(AJ182+AL182+AN182)+IF(A182=SV_T,ROUND(MAX(0,AK182),2)+ROUND(MAX(0,AM182),2),0))</f>
        <v/>
      </c>
      <c r="AQ182" s="29">
        <f>IF(A182&gt;SV_T,0,AQ181*(1+SV_savRate)+H182+I182+J182+K182+L182+AE182+AP182)</f>
        <v/>
      </c>
      <c r="AR182" s="29">
        <f>IF(A182&gt;SV_T,0,MAX(0,O182+P182+Q182+AD182+AQ182+AO182-AF182))</f>
        <v/>
      </c>
      <c r="AS182" s="29">
        <f>IF(A182&gt;SV_T,0,O182+P182+AQ182+AO182-MAX(0,AF182-(Q182+AD182)))</f>
        <v/>
      </c>
    </row>
    <row r="183">
      <c r="A183" s="61" t="n">
        <v>21</v>
      </c>
      <c r="B183" s="61">
        <f>SV_age+A183</f>
        <v/>
      </c>
      <c r="C183" s="61">
        <f>currentYear+A183</f>
        <v/>
      </c>
      <c r="D183" s="52">
        <f>A183&lt;=SV_T</f>
        <v/>
      </c>
      <c r="E183" s="60">
        <f>IF(AND(SV_inflOn,A183&gt;=SV_inflS,A183&lt;=SV_inflE),1+SV_inflRate,1+inflationRate)</f>
        <v/>
      </c>
      <c r="F183" s="60">
        <f>IF(A183&lt;=1,1,F182*E183)</f>
        <v/>
      </c>
      <c r="G183" s="60">
        <f>IF(AND(SV_incOn,A183&gt;=SV_incS,A183&lt;=SV_incE),1+SV_incImp,1)</f>
        <v/>
      </c>
      <c r="H183" s="29">
        <f>IF(OR(OR(A183&lt;1,A183&gt;SV_T),A183-1&gt;=SV_salCut,AND(SV_deaOn,A183&gt;=SV_deaM)),0,SV_sal0*(1+incomeGrowthRate)^(A183-1)*G183)</f>
        <v/>
      </c>
      <c r="I183" s="29">
        <f>IF(OR(A183&lt;1,A183&gt;SV_T),0,(-SV_exp0*F183-IF(A183&lt;=SV_loanYears,SV_inst,0)-IF(AND(SV_wdAmt&gt;0,A183=SV_wdYear),SV_wdAmt,0))*IF(AND(SV_expOn,A183&gt;=SV_expS,A183&lt;=SV_expE),1+SV_expImp,1))</f>
        <v/>
      </c>
      <c r="J183" s="29">
        <f>IF(OR(A183&lt;1,A183&gt;SV_T),0,-F183*(IF(AND(SV_deaOn,A183=SV_deaM),SV_deaAmt,0)+IF(AND(SV_criOn,A183=SV_criM),SV_criAmt,0)+IF(AND(SV_tpdOn,A183=SV_tpdM),SV_tpdAmt,0)+IF(AND(SV_pacOn,A183=SV_pacM),SV_pacAmt,0)+IF(AND(SV_hosOn,A183=SV_hosM),SV_hosAmt,0)+IF(AND(SV_wedOn,A183=SV_wedM),SV_wedAmt,0)+IF(AND(SV_babOn,A183=SV_babM),SV_babAmt,0)+IF(AND(SV_ltcOn,A183&gt;=SV_ltcM,A183&lt;=SV_ltcE),SV_ltcAmt,0)))</f>
        <v/>
      </c>
      <c r="K183" s="29">
        <f>IF(OR(OR(A183&lt;1,A183&gt;SV_T),A183&gt;SV_loanYears),0,-SV_lifePremYr)</f>
        <v/>
      </c>
      <c r="L183" s="29">
        <f>IF(OR(A183&lt;1,A183&gt;SV_T),0,-SV_contrib)</f>
        <v/>
      </c>
      <c r="M183" s="60">
        <f>IF(AND(SV_crashOn,A183=SV_crashYr),SV_crashF,1)</f>
        <v/>
      </c>
      <c r="N183" s="60">
        <f>IF(AND(SV_ccyOn,A183=SV_ccyYr),SV_ccyF,1)</f>
        <v/>
      </c>
      <c r="O183" s="29">
        <f>IF(A183&gt;SV_T,0,O182*(1+interestRate)*M183*N183)</f>
        <v/>
      </c>
      <c r="P183" s="29">
        <f>IF(A183&gt;SV_T,0,(P182+SV_contrib)*(1+investmentReturn)*M183*N183)</f>
        <v/>
      </c>
      <c r="Q183" s="29">
        <f>IF(A183&gt;SV_T,0,Q182*(1+SV_propRate)*M183)</f>
        <v/>
      </c>
      <c r="R183" s="46">
        <f>MATCH(SV_age+A183-1,SV_cpfLower,1)</f>
        <v/>
      </c>
      <c r="S183" s="29">
        <f>IF(OR(OR(A183&lt;1,A183&gt;SV_T),NOT(SV_cpfOn),AND(SV_deaOn,A183&gt;=SV_deaM)),0,MIN(SV_sal0*(1+incomeGrowthRate)^(A183-1)*G183,SV_owCap))</f>
        <v/>
      </c>
      <c r="T183" s="29">
        <f>IF(A183&gt;SV_T,0,T182*(1+SV_oaRate)+IF(A183&gt;=SV_effStop,0,INDEX(SV_cpfOA,R183)*INDEX(SV_cpfTot,R183)*S183))</f>
        <v/>
      </c>
      <c r="U183" s="29">
        <f>IF(A183&gt;SV_T,0,U182*(1+SV_saRate)+IF(A183&gt;=SV_effStop,0,INDEX(SV_cpfSA,R183)*INDEX(SV_cpfTot,R183)*S183))</f>
        <v/>
      </c>
      <c r="V183" s="29">
        <f>IF(A183&gt;SV_T,0,V182*(1+SV_saRate)+IF(A183&gt;=SV_effStop,0,INDEX(SV_cpfMA,R183)*INDEX(SV_cpfTot,R183)*S183))</f>
        <v/>
      </c>
      <c r="W183" s="29">
        <f>IF(OR(OR(A183&lt;1,A183&gt;SV_T),A183&gt;=SV_effNeg),0,-(INDEX(SV_cpfOA,R183)+INDEX(SV_cpfSA,R183)+INDEX(SV_cpfMA,R183))*INDEX(SV_cpfEmp,R183)*S183)</f>
        <v/>
      </c>
      <c r="X183" s="29">
        <f>IF(A183&gt;=SV_sIdx,0,T183)</f>
        <v/>
      </c>
      <c r="Y183" s="29">
        <f>IF(A183&gt;=SV_sIdx,0,U183)</f>
        <v/>
      </c>
      <c r="Z183" s="29">
        <f>IF(A183&gt;=SV_sIdx,MIN(V183,SV_maCap),V183)</f>
        <v/>
      </c>
      <c r="AA183" s="29">
        <f>IF(AND(SV_cpfOn,A183&gt;=SV_pIdx,A183&lt;=SV_T),12*SV_pay,0)</f>
        <v/>
      </c>
      <c r="AB183" s="29">
        <f>IF(A183&gt;SV_T,0,IF(SV_sp&gt;=0,IF(A183&lt;SV_sIdx,0,IF(A183=SV_sIdx,SV_R0,SV_lifeGrowth*AB182)),SV_lifeGrowth*AB182))</f>
        <v/>
      </c>
      <c r="AC183" s="29">
        <f>IF(A183&gt;SV_T,0,IF(AND(SV_sp&gt;=0,A183&lt;SV_sIdx),0,IF(AND(SV_sp&gt;=0,A183=SV_sIdx),SV_L0,SV_lifeGrowth*(AC182-AA183))))</f>
        <v/>
      </c>
      <c r="AD183" s="29">
        <f>X183+Y183+AB183+Z183+IF(AB183&lt;0,0,AC183)</f>
        <v/>
      </c>
      <c r="AE183" s="29">
        <f>AA183+W183</f>
        <v/>
      </c>
      <c r="AF183" s="29">
        <f>IF(OR(A183&gt;SV_T,A183&gt;=SV_loanYears),0,MAX(0,AF182*(1+loanRate)-SV_inst))</f>
        <v/>
      </c>
      <c r="AG183" s="29">
        <f>IF(A183&gt;SV_T,0,AG182*(1+SV_savRate)+H183+I183+J183+K183+L183+AE183)</f>
        <v/>
      </c>
      <c r="AH183" s="29">
        <f>IF(A183&gt;SV_T,0,MAX(0,O183+P183+Q183+AD183+AG183-AF183))</f>
        <v/>
      </c>
      <c r="AI183" s="29">
        <f>IF(A183&gt;SV_T,0,O183+P183+AG183-MAX(0,AF183-(Q183+AD183)))</f>
        <v/>
      </c>
      <c r="AJ183" s="29">
        <f>IF(OR(OR(A183&lt;1,A183&gt;SV_T),A183-1&gt;=SV_retPay),0,SV_retMth*12+IF(A183=1,SV_retLump,0))</f>
        <v/>
      </c>
      <c r="AK183" s="29">
        <f>IF(A183&gt;SV_T,0,(AK182+AJ183)*(1+investmentReturn))</f>
        <v/>
      </c>
      <c r="AL183" s="29">
        <f>IF(OR(OR(A183&lt;1,A183&gt;SV_T),A183-1&gt;=SV_goalPay),0,SV_goalMth*12+IF(A183=1,SV_goalLump,0))</f>
        <v/>
      </c>
      <c r="AM183" s="29">
        <f>IF(A183&gt;SV_T,0,(AM182+AL183)*(1+investmentReturn))</f>
        <v/>
      </c>
      <c r="AN183" s="29">
        <f>IF(OR(OR(A183&lt;1,A183&gt;SV_T),A183-1&gt;=SV_protPay),0,SV_protPrem)</f>
        <v/>
      </c>
      <c r="AO183" s="29">
        <f>IF(OR(A183=0,A183&gt;=SV_T),0,ROUND(MAX(0,AK183),2)+ROUND(MAX(0,AM183),2))</f>
        <v/>
      </c>
      <c r="AP183" s="29">
        <f>IF(OR(A183&lt;1,A183&gt;SV_T),0,-(AJ183+AL183+AN183)+IF(A183=SV_T,ROUND(MAX(0,AK183),2)+ROUND(MAX(0,AM183),2),0))</f>
        <v/>
      </c>
      <c r="AQ183" s="29">
        <f>IF(A183&gt;SV_T,0,AQ182*(1+SV_savRate)+H183+I183+J183+K183+L183+AE183+AP183)</f>
        <v/>
      </c>
      <c r="AR183" s="29">
        <f>IF(A183&gt;SV_T,0,MAX(0,O183+P183+Q183+AD183+AQ183+AO183-AF183))</f>
        <v/>
      </c>
      <c r="AS183" s="29">
        <f>IF(A183&gt;SV_T,0,O183+P183+AQ183+AO183-MAX(0,AF183-(Q183+AD183)))</f>
        <v/>
      </c>
    </row>
    <row r="184">
      <c r="A184" s="61" t="n">
        <v>22</v>
      </c>
      <c r="B184" s="61">
        <f>SV_age+A184</f>
        <v/>
      </c>
      <c r="C184" s="61">
        <f>currentYear+A184</f>
        <v/>
      </c>
      <c r="D184" s="52">
        <f>A184&lt;=SV_T</f>
        <v/>
      </c>
      <c r="E184" s="60">
        <f>IF(AND(SV_inflOn,A184&gt;=SV_inflS,A184&lt;=SV_inflE),1+SV_inflRate,1+inflationRate)</f>
        <v/>
      </c>
      <c r="F184" s="60">
        <f>IF(A184&lt;=1,1,F183*E184)</f>
        <v/>
      </c>
      <c r="G184" s="60">
        <f>IF(AND(SV_incOn,A184&gt;=SV_incS,A184&lt;=SV_incE),1+SV_incImp,1)</f>
        <v/>
      </c>
      <c r="H184" s="29">
        <f>IF(OR(OR(A184&lt;1,A184&gt;SV_T),A184-1&gt;=SV_salCut,AND(SV_deaOn,A184&gt;=SV_deaM)),0,SV_sal0*(1+incomeGrowthRate)^(A184-1)*G184)</f>
        <v/>
      </c>
      <c r="I184" s="29">
        <f>IF(OR(A184&lt;1,A184&gt;SV_T),0,(-SV_exp0*F184-IF(A184&lt;=SV_loanYears,SV_inst,0)-IF(AND(SV_wdAmt&gt;0,A184=SV_wdYear),SV_wdAmt,0))*IF(AND(SV_expOn,A184&gt;=SV_expS,A184&lt;=SV_expE),1+SV_expImp,1))</f>
        <v/>
      </c>
      <c r="J184" s="29">
        <f>IF(OR(A184&lt;1,A184&gt;SV_T),0,-F184*(IF(AND(SV_deaOn,A184=SV_deaM),SV_deaAmt,0)+IF(AND(SV_criOn,A184=SV_criM),SV_criAmt,0)+IF(AND(SV_tpdOn,A184=SV_tpdM),SV_tpdAmt,0)+IF(AND(SV_pacOn,A184=SV_pacM),SV_pacAmt,0)+IF(AND(SV_hosOn,A184=SV_hosM),SV_hosAmt,0)+IF(AND(SV_wedOn,A184=SV_wedM),SV_wedAmt,0)+IF(AND(SV_babOn,A184=SV_babM),SV_babAmt,0)+IF(AND(SV_ltcOn,A184&gt;=SV_ltcM,A184&lt;=SV_ltcE),SV_ltcAmt,0)))</f>
        <v/>
      </c>
      <c r="K184" s="29">
        <f>IF(OR(OR(A184&lt;1,A184&gt;SV_T),A184&gt;SV_loanYears),0,-SV_lifePremYr)</f>
        <v/>
      </c>
      <c r="L184" s="29">
        <f>IF(OR(A184&lt;1,A184&gt;SV_T),0,-SV_contrib)</f>
        <v/>
      </c>
      <c r="M184" s="60">
        <f>IF(AND(SV_crashOn,A184=SV_crashYr),SV_crashF,1)</f>
        <v/>
      </c>
      <c r="N184" s="60">
        <f>IF(AND(SV_ccyOn,A184=SV_ccyYr),SV_ccyF,1)</f>
        <v/>
      </c>
      <c r="O184" s="29">
        <f>IF(A184&gt;SV_T,0,O183*(1+interestRate)*M184*N184)</f>
        <v/>
      </c>
      <c r="P184" s="29">
        <f>IF(A184&gt;SV_T,0,(P183+SV_contrib)*(1+investmentReturn)*M184*N184)</f>
        <v/>
      </c>
      <c r="Q184" s="29">
        <f>IF(A184&gt;SV_T,0,Q183*(1+SV_propRate)*M184)</f>
        <v/>
      </c>
      <c r="R184" s="46">
        <f>MATCH(SV_age+A184-1,SV_cpfLower,1)</f>
        <v/>
      </c>
      <c r="S184" s="29">
        <f>IF(OR(OR(A184&lt;1,A184&gt;SV_T),NOT(SV_cpfOn),AND(SV_deaOn,A184&gt;=SV_deaM)),0,MIN(SV_sal0*(1+incomeGrowthRate)^(A184-1)*G184,SV_owCap))</f>
        <v/>
      </c>
      <c r="T184" s="29">
        <f>IF(A184&gt;SV_T,0,T183*(1+SV_oaRate)+IF(A184&gt;=SV_effStop,0,INDEX(SV_cpfOA,R184)*INDEX(SV_cpfTot,R184)*S184))</f>
        <v/>
      </c>
      <c r="U184" s="29">
        <f>IF(A184&gt;SV_T,0,U183*(1+SV_saRate)+IF(A184&gt;=SV_effStop,0,INDEX(SV_cpfSA,R184)*INDEX(SV_cpfTot,R184)*S184))</f>
        <v/>
      </c>
      <c r="V184" s="29">
        <f>IF(A184&gt;SV_T,0,V183*(1+SV_saRate)+IF(A184&gt;=SV_effStop,0,INDEX(SV_cpfMA,R184)*INDEX(SV_cpfTot,R184)*S184))</f>
        <v/>
      </c>
      <c r="W184" s="29">
        <f>IF(OR(OR(A184&lt;1,A184&gt;SV_T),A184&gt;=SV_effNeg),0,-(INDEX(SV_cpfOA,R184)+INDEX(SV_cpfSA,R184)+INDEX(SV_cpfMA,R184))*INDEX(SV_cpfEmp,R184)*S184)</f>
        <v/>
      </c>
      <c r="X184" s="29">
        <f>IF(A184&gt;=SV_sIdx,0,T184)</f>
        <v/>
      </c>
      <c r="Y184" s="29">
        <f>IF(A184&gt;=SV_sIdx,0,U184)</f>
        <v/>
      </c>
      <c r="Z184" s="29">
        <f>IF(A184&gt;=SV_sIdx,MIN(V184,SV_maCap),V184)</f>
        <v/>
      </c>
      <c r="AA184" s="29">
        <f>IF(AND(SV_cpfOn,A184&gt;=SV_pIdx,A184&lt;=SV_T),12*SV_pay,0)</f>
        <v/>
      </c>
      <c r="AB184" s="29">
        <f>IF(A184&gt;SV_T,0,IF(SV_sp&gt;=0,IF(A184&lt;SV_sIdx,0,IF(A184=SV_sIdx,SV_R0,SV_lifeGrowth*AB183)),SV_lifeGrowth*AB183))</f>
        <v/>
      </c>
      <c r="AC184" s="29">
        <f>IF(A184&gt;SV_T,0,IF(AND(SV_sp&gt;=0,A184&lt;SV_sIdx),0,IF(AND(SV_sp&gt;=0,A184=SV_sIdx),SV_L0,SV_lifeGrowth*(AC183-AA184))))</f>
        <v/>
      </c>
      <c r="AD184" s="29">
        <f>X184+Y184+AB184+Z184+IF(AB184&lt;0,0,AC184)</f>
        <v/>
      </c>
      <c r="AE184" s="29">
        <f>AA184+W184</f>
        <v/>
      </c>
      <c r="AF184" s="29">
        <f>IF(OR(A184&gt;SV_T,A184&gt;=SV_loanYears),0,MAX(0,AF183*(1+loanRate)-SV_inst))</f>
        <v/>
      </c>
      <c r="AG184" s="29">
        <f>IF(A184&gt;SV_T,0,AG183*(1+SV_savRate)+H184+I184+J184+K184+L184+AE184)</f>
        <v/>
      </c>
      <c r="AH184" s="29">
        <f>IF(A184&gt;SV_T,0,MAX(0,O184+P184+Q184+AD184+AG184-AF184))</f>
        <v/>
      </c>
      <c r="AI184" s="29">
        <f>IF(A184&gt;SV_T,0,O184+P184+AG184-MAX(0,AF184-(Q184+AD184)))</f>
        <v/>
      </c>
      <c r="AJ184" s="29">
        <f>IF(OR(OR(A184&lt;1,A184&gt;SV_T),A184-1&gt;=SV_retPay),0,SV_retMth*12+IF(A184=1,SV_retLump,0))</f>
        <v/>
      </c>
      <c r="AK184" s="29">
        <f>IF(A184&gt;SV_T,0,(AK183+AJ184)*(1+investmentReturn))</f>
        <v/>
      </c>
      <c r="AL184" s="29">
        <f>IF(OR(OR(A184&lt;1,A184&gt;SV_T),A184-1&gt;=SV_goalPay),0,SV_goalMth*12+IF(A184=1,SV_goalLump,0))</f>
        <v/>
      </c>
      <c r="AM184" s="29">
        <f>IF(A184&gt;SV_T,0,(AM183+AL184)*(1+investmentReturn))</f>
        <v/>
      </c>
      <c r="AN184" s="29">
        <f>IF(OR(OR(A184&lt;1,A184&gt;SV_T),A184-1&gt;=SV_protPay),0,SV_protPrem)</f>
        <v/>
      </c>
      <c r="AO184" s="29">
        <f>IF(OR(A184=0,A184&gt;=SV_T),0,ROUND(MAX(0,AK184),2)+ROUND(MAX(0,AM184),2))</f>
        <v/>
      </c>
      <c r="AP184" s="29">
        <f>IF(OR(A184&lt;1,A184&gt;SV_T),0,-(AJ184+AL184+AN184)+IF(A184=SV_T,ROUND(MAX(0,AK184),2)+ROUND(MAX(0,AM184),2),0))</f>
        <v/>
      </c>
      <c r="AQ184" s="29">
        <f>IF(A184&gt;SV_T,0,AQ183*(1+SV_savRate)+H184+I184+J184+K184+L184+AE184+AP184)</f>
        <v/>
      </c>
      <c r="AR184" s="29">
        <f>IF(A184&gt;SV_T,0,MAX(0,O184+P184+Q184+AD184+AQ184+AO184-AF184))</f>
        <v/>
      </c>
      <c r="AS184" s="29">
        <f>IF(A184&gt;SV_T,0,O184+P184+AQ184+AO184-MAX(0,AF184-(Q184+AD184)))</f>
        <v/>
      </c>
    </row>
    <row r="185">
      <c r="A185" s="61" t="n">
        <v>23</v>
      </c>
      <c r="B185" s="61">
        <f>SV_age+A185</f>
        <v/>
      </c>
      <c r="C185" s="61">
        <f>currentYear+A185</f>
        <v/>
      </c>
      <c r="D185" s="52">
        <f>A185&lt;=SV_T</f>
        <v/>
      </c>
      <c r="E185" s="60">
        <f>IF(AND(SV_inflOn,A185&gt;=SV_inflS,A185&lt;=SV_inflE),1+SV_inflRate,1+inflationRate)</f>
        <v/>
      </c>
      <c r="F185" s="60">
        <f>IF(A185&lt;=1,1,F184*E185)</f>
        <v/>
      </c>
      <c r="G185" s="60">
        <f>IF(AND(SV_incOn,A185&gt;=SV_incS,A185&lt;=SV_incE),1+SV_incImp,1)</f>
        <v/>
      </c>
      <c r="H185" s="29">
        <f>IF(OR(OR(A185&lt;1,A185&gt;SV_T),A185-1&gt;=SV_salCut,AND(SV_deaOn,A185&gt;=SV_deaM)),0,SV_sal0*(1+incomeGrowthRate)^(A185-1)*G185)</f>
        <v/>
      </c>
      <c r="I185" s="29">
        <f>IF(OR(A185&lt;1,A185&gt;SV_T),0,(-SV_exp0*F185-IF(A185&lt;=SV_loanYears,SV_inst,0)-IF(AND(SV_wdAmt&gt;0,A185=SV_wdYear),SV_wdAmt,0))*IF(AND(SV_expOn,A185&gt;=SV_expS,A185&lt;=SV_expE),1+SV_expImp,1))</f>
        <v/>
      </c>
      <c r="J185" s="29">
        <f>IF(OR(A185&lt;1,A185&gt;SV_T),0,-F185*(IF(AND(SV_deaOn,A185=SV_deaM),SV_deaAmt,0)+IF(AND(SV_criOn,A185=SV_criM),SV_criAmt,0)+IF(AND(SV_tpdOn,A185=SV_tpdM),SV_tpdAmt,0)+IF(AND(SV_pacOn,A185=SV_pacM),SV_pacAmt,0)+IF(AND(SV_hosOn,A185=SV_hosM),SV_hosAmt,0)+IF(AND(SV_wedOn,A185=SV_wedM),SV_wedAmt,0)+IF(AND(SV_babOn,A185=SV_babM),SV_babAmt,0)+IF(AND(SV_ltcOn,A185&gt;=SV_ltcM,A185&lt;=SV_ltcE),SV_ltcAmt,0)))</f>
        <v/>
      </c>
      <c r="K185" s="29">
        <f>IF(OR(OR(A185&lt;1,A185&gt;SV_T),A185&gt;SV_loanYears),0,-SV_lifePremYr)</f>
        <v/>
      </c>
      <c r="L185" s="29">
        <f>IF(OR(A185&lt;1,A185&gt;SV_T),0,-SV_contrib)</f>
        <v/>
      </c>
      <c r="M185" s="60">
        <f>IF(AND(SV_crashOn,A185=SV_crashYr),SV_crashF,1)</f>
        <v/>
      </c>
      <c r="N185" s="60">
        <f>IF(AND(SV_ccyOn,A185=SV_ccyYr),SV_ccyF,1)</f>
        <v/>
      </c>
      <c r="O185" s="29">
        <f>IF(A185&gt;SV_T,0,O184*(1+interestRate)*M185*N185)</f>
        <v/>
      </c>
      <c r="P185" s="29">
        <f>IF(A185&gt;SV_T,0,(P184+SV_contrib)*(1+investmentReturn)*M185*N185)</f>
        <v/>
      </c>
      <c r="Q185" s="29">
        <f>IF(A185&gt;SV_T,0,Q184*(1+SV_propRate)*M185)</f>
        <v/>
      </c>
      <c r="R185" s="46">
        <f>MATCH(SV_age+A185-1,SV_cpfLower,1)</f>
        <v/>
      </c>
      <c r="S185" s="29">
        <f>IF(OR(OR(A185&lt;1,A185&gt;SV_T),NOT(SV_cpfOn),AND(SV_deaOn,A185&gt;=SV_deaM)),0,MIN(SV_sal0*(1+incomeGrowthRate)^(A185-1)*G185,SV_owCap))</f>
        <v/>
      </c>
      <c r="T185" s="29">
        <f>IF(A185&gt;SV_T,0,T184*(1+SV_oaRate)+IF(A185&gt;=SV_effStop,0,INDEX(SV_cpfOA,R185)*INDEX(SV_cpfTot,R185)*S185))</f>
        <v/>
      </c>
      <c r="U185" s="29">
        <f>IF(A185&gt;SV_T,0,U184*(1+SV_saRate)+IF(A185&gt;=SV_effStop,0,INDEX(SV_cpfSA,R185)*INDEX(SV_cpfTot,R185)*S185))</f>
        <v/>
      </c>
      <c r="V185" s="29">
        <f>IF(A185&gt;SV_T,0,V184*(1+SV_saRate)+IF(A185&gt;=SV_effStop,0,INDEX(SV_cpfMA,R185)*INDEX(SV_cpfTot,R185)*S185))</f>
        <v/>
      </c>
      <c r="W185" s="29">
        <f>IF(OR(OR(A185&lt;1,A185&gt;SV_T),A185&gt;=SV_effNeg),0,-(INDEX(SV_cpfOA,R185)+INDEX(SV_cpfSA,R185)+INDEX(SV_cpfMA,R185))*INDEX(SV_cpfEmp,R185)*S185)</f>
        <v/>
      </c>
      <c r="X185" s="29">
        <f>IF(A185&gt;=SV_sIdx,0,T185)</f>
        <v/>
      </c>
      <c r="Y185" s="29">
        <f>IF(A185&gt;=SV_sIdx,0,U185)</f>
        <v/>
      </c>
      <c r="Z185" s="29">
        <f>IF(A185&gt;=SV_sIdx,MIN(V185,SV_maCap),V185)</f>
        <v/>
      </c>
      <c r="AA185" s="29">
        <f>IF(AND(SV_cpfOn,A185&gt;=SV_pIdx,A185&lt;=SV_T),12*SV_pay,0)</f>
        <v/>
      </c>
      <c r="AB185" s="29">
        <f>IF(A185&gt;SV_T,0,IF(SV_sp&gt;=0,IF(A185&lt;SV_sIdx,0,IF(A185=SV_sIdx,SV_R0,SV_lifeGrowth*AB184)),SV_lifeGrowth*AB184))</f>
        <v/>
      </c>
      <c r="AC185" s="29">
        <f>IF(A185&gt;SV_T,0,IF(AND(SV_sp&gt;=0,A185&lt;SV_sIdx),0,IF(AND(SV_sp&gt;=0,A185=SV_sIdx),SV_L0,SV_lifeGrowth*(AC184-AA185))))</f>
        <v/>
      </c>
      <c r="AD185" s="29">
        <f>X185+Y185+AB185+Z185+IF(AB185&lt;0,0,AC185)</f>
        <v/>
      </c>
      <c r="AE185" s="29">
        <f>AA185+W185</f>
        <v/>
      </c>
      <c r="AF185" s="29">
        <f>IF(OR(A185&gt;SV_T,A185&gt;=SV_loanYears),0,MAX(0,AF184*(1+loanRate)-SV_inst))</f>
        <v/>
      </c>
      <c r="AG185" s="29">
        <f>IF(A185&gt;SV_T,0,AG184*(1+SV_savRate)+H185+I185+J185+K185+L185+AE185)</f>
        <v/>
      </c>
      <c r="AH185" s="29">
        <f>IF(A185&gt;SV_T,0,MAX(0,O185+P185+Q185+AD185+AG185-AF185))</f>
        <v/>
      </c>
      <c r="AI185" s="29">
        <f>IF(A185&gt;SV_T,0,O185+P185+AG185-MAX(0,AF185-(Q185+AD185)))</f>
        <v/>
      </c>
      <c r="AJ185" s="29">
        <f>IF(OR(OR(A185&lt;1,A185&gt;SV_T),A185-1&gt;=SV_retPay),0,SV_retMth*12+IF(A185=1,SV_retLump,0))</f>
        <v/>
      </c>
      <c r="AK185" s="29">
        <f>IF(A185&gt;SV_T,0,(AK184+AJ185)*(1+investmentReturn))</f>
        <v/>
      </c>
      <c r="AL185" s="29">
        <f>IF(OR(OR(A185&lt;1,A185&gt;SV_T),A185-1&gt;=SV_goalPay),0,SV_goalMth*12+IF(A185=1,SV_goalLump,0))</f>
        <v/>
      </c>
      <c r="AM185" s="29">
        <f>IF(A185&gt;SV_T,0,(AM184+AL185)*(1+investmentReturn))</f>
        <v/>
      </c>
      <c r="AN185" s="29">
        <f>IF(OR(OR(A185&lt;1,A185&gt;SV_T),A185-1&gt;=SV_protPay),0,SV_protPrem)</f>
        <v/>
      </c>
      <c r="AO185" s="29">
        <f>IF(OR(A185=0,A185&gt;=SV_T),0,ROUND(MAX(0,AK185),2)+ROUND(MAX(0,AM185),2))</f>
        <v/>
      </c>
      <c r="AP185" s="29">
        <f>IF(OR(A185&lt;1,A185&gt;SV_T),0,-(AJ185+AL185+AN185)+IF(A185=SV_T,ROUND(MAX(0,AK185),2)+ROUND(MAX(0,AM185),2),0))</f>
        <v/>
      </c>
      <c r="AQ185" s="29">
        <f>IF(A185&gt;SV_T,0,AQ184*(1+SV_savRate)+H185+I185+J185+K185+L185+AE185+AP185)</f>
        <v/>
      </c>
      <c r="AR185" s="29">
        <f>IF(A185&gt;SV_T,0,MAX(0,O185+P185+Q185+AD185+AQ185+AO185-AF185))</f>
        <v/>
      </c>
      <c r="AS185" s="29">
        <f>IF(A185&gt;SV_T,0,O185+P185+AQ185+AO185-MAX(0,AF185-(Q185+AD185)))</f>
        <v/>
      </c>
    </row>
    <row r="186">
      <c r="A186" s="61" t="n">
        <v>24</v>
      </c>
      <c r="B186" s="61">
        <f>SV_age+A186</f>
        <v/>
      </c>
      <c r="C186" s="61">
        <f>currentYear+A186</f>
        <v/>
      </c>
      <c r="D186" s="52">
        <f>A186&lt;=SV_T</f>
        <v/>
      </c>
      <c r="E186" s="60">
        <f>IF(AND(SV_inflOn,A186&gt;=SV_inflS,A186&lt;=SV_inflE),1+SV_inflRate,1+inflationRate)</f>
        <v/>
      </c>
      <c r="F186" s="60">
        <f>IF(A186&lt;=1,1,F185*E186)</f>
        <v/>
      </c>
      <c r="G186" s="60">
        <f>IF(AND(SV_incOn,A186&gt;=SV_incS,A186&lt;=SV_incE),1+SV_incImp,1)</f>
        <v/>
      </c>
      <c r="H186" s="29">
        <f>IF(OR(OR(A186&lt;1,A186&gt;SV_T),A186-1&gt;=SV_salCut,AND(SV_deaOn,A186&gt;=SV_deaM)),0,SV_sal0*(1+incomeGrowthRate)^(A186-1)*G186)</f>
        <v/>
      </c>
      <c r="I186" s="29">
        <f>IF(OR(A186&lt;1,A186&gt;SV_T),0,(-SV_exp0*F186-IF(A186&lt;=SV_loanYears,SV_inst,0)-IF(AND(SV_wdAmt&gt;0,A186=SV_wdYear),SV_wdAmt,0))*IF(AND(SV_expOn,A186&gt;=SV_expS,A186&lt;=SV_expE),1+SV_expImp,1))</f>
        <v/>
      </c>
      <c r="J186" s="29">
        <f>IF(OR(A186&lt;1,A186&gt;SV_T),0,-F186*(IF(AND(SV_deaOn,A186=SV_deaM),SV_deaAmt,0)+IF(AND(SV_criOn,A186=SV_criM),SV_criAmt,0)+IF(AND(SV_tpdOn,A186=SV_tpdM),SV_tpdAmt,0)+IF(AND(SV_pacOn,A186=SV_pacM),SV_pacAmt,0)+IF(AND(SV_hosOn,A186=SV_hosM),SV_hosAmt,0)+IF(AND(SV_wedOn,A186=SV_wedM),SV_wedAmt,0)+IF(AND(SV_babOn,A186=SV_babM),SV_babAmt,0)+IF(AND(SV_ltcOn,A186&gt;=SV_ltcM,A186&lt;=SV_ltcE),SV_ltcAmt,0)))</f>
        <v/>
      </c>
      <c r="K186" s="29">
        <f>IF(OR(OR(A186&lt;1,A186&gt;SV_T),A186&gt;SV_loanYears),0,-SV_lifePremYr)</f>
        <v/>
      </c>
      <c r="L186" s="29">
        <f>IF(OR(A186&lt;1,A186&gt;SV_T),0,-SV_contrib)</f>
        <v/>
      </c>
      <c r="M186" s="60">
        <f>IF(AND(SV_crashOn,A186=SV_crashYr),SV_crashF,1)</f>
        <v/>
      </c>
      <c r="N186" s="60">
        <f>IF(AND(SV_ccyOn,A186=SV_ccyYr),SV_ccyF,1)</f>
        <v/>
      </c>
      <c r="O186" s="29">
        <f>IF(A186&gt;SV_T,0,O185*(1+interestRate)*M186*N186)</f>
        <v/>
      </c>
      <c r="P186" s="29">
        <f>IF(A186&gt;SV_T,0,(P185+SV_contrib)*(1+investmentReturn)*M186*N186)</f>
        <v/>
      </c>
      <c r="Q186" s="29">
        <f>IF(A186&gt;SV_T,0,Q185*(1+SV_propRate)*M186)</f>
        <v/>
      </c>
      <c r="R186" s="46">
        <f>MATCH(SV_age+A186-1,SV_cpfLower,1)</f>
        <v/>
      </c>
      <c r="S186" s="29">
        <f>IF(OR(OR(A186&lt;1,A186&gt;SV_T),NOT(SV_cpfOn),AND(SV_deaOn,A186&gt;=SV_deaM)),0,MIN(SV_sal0*(1+incomeGrowthRate)^(A186-1)*G186,SV_owCap))</f>
        <v/>
      </c>
      <c r="T186" s="29">
        <f>IF(A186&gt;SV_T,0,T185*(1+SV_oaRate)+IF(A186&gt;=SV_effStop,0,INDEX(SV_cpfOA,R186)*INDEX(SV_cpfTot,R186)*S186))</f>
        <v/>
      </c>
      <c r="U186" s="29">
        <f>IF(A186&gt;SV_T,0,U185*(1+SV_saRate)+IF(A186&gt;=SV_effStop,0,INDEX(SV_cpfSA,R186)*INDEX(SV_cpfTot,R186)*S186))</f>
        <v/>
      </c>
      <c r="V186" s="29">
        <f>IF(A186&gt;SV_T,0,V185*(1+SV_saRate)+IF(A186&gt;=SV_effStop,0,INDEX(SV_cpfMA,R186)*INDEX(SV_cpfTot,R186)*S186))</f>
        <v/>
      </c>
      <c r="W186" s="29">
        <f>IF(OR(OR(A186&lt;1,A186&gt;SV_T),A186&gt;=SV_effNeg),0,-(INDEX(SV_cpfOA,R186)+INDEX(SV_cpfSA,R186)+INDEX(SV_cpfMA,R186))*INDEX(SV_cpfEmp,R186)*S186)</f>
        <v/>
      </c>
      <c r="X186" s="29">
        <f>IF(A186&gt;=SV_sIdx,0,T186)</f>
        <v/>
      </c>
      <c r="Y186" s="29">
        <f>IF(A186&gt;=SV_sIdx,0,U186)</f>
        <v/>
      </c>
      <c r="Z186" s="29">
        <f>IF(A186&gt;=SV_sIdx,MIN(V186,SV_maCap),V186)</f>
        <v/>
      </c>
      <c r="AA186" s="29">
        <f>IF(AND(SV_cpfOn,A186&gt;=SV_pIdx,A186&lt;=SV_T),12*SV_pay,0)</f>
        <v/>
      </c>
      <c r="AB186" s="29">
        <f>IF(A186&gt;SV_T,0,IF(SV_sp&gt;=0,IF(A186&lt;SV_sIdx,0,IF(A186=SV_sIdx,SV_R0,SV_lifeGrowth*AB185)),SV_lifeGrowth*AB185))</f>
        <v/>
      </c>
      <c r="AC186" s="29">
        <f>IF(A186&gt;SV_T,0,IF(AND(SV_sp&gt;=0,A186&lt;SV_sIdx),0,IF(AND(SV_sp&gt;=0,A186=SV_sIdx),SV_L0,SV_lifeGrowth*(AC185-AA186))))</f>
        <v/>
      </c>
      <c r="AD186" s="29">
        <f>X186+Y186+AB186+Z186+IF(AB186&lt;0,0,AC186)</f>
        <v/>
      </c>
      <c r="AE186" s="29">
        <f>AA186+W186</f>
        <v/>
      </c>
      <c r="AF186" s="29">
        <f>IF(OR(A186&gt;SV_T,A186&gt;=SV_loanYears),0,MAX(0,AF185*(1+loanRate)-SV_inst))</f>
        <v/>
      </c>
      <c r="AG186" s="29">
        <f>IF(A186&gt;SV_T,0,AG185*(1+SV_savRate)+H186+I186+J186+K186+L186+AE186)</f>
        <v/>
      </c>
      <c r="AH186" s="29">
        <f>IF(A186&gt;SV_T,0,MAX(0,O186+P186+Q186+AD186+AG186-AF186))</f>
        <v/>
      </c>
      <c r="AI186" s="29">
        <f>IF(A186&gt;SV_T,0,O186+P186+AG186-MAX(0,AF186-(Q186+AD186)))</f>
        <v/>
      </c>
      <c r="AJ186" s="29">
        <f>IF(OR(OR(A186&lt;1,A186&gt;SV_T),A186-1&gt;=SV_retPay),0,SV_retMth*12+IF(A186=1,SV_retLump,0))</f>
        <v/>
      </c>
      <c r="AK186" s="29">
        <f>IF(A186&gt;SV_T,0,(AK185+AJ186)*(1+investmentReturn))</f>
        <v/>
      </c>
      <c r="AL186" s="29">
        <f>IF(OR(OR(A186&lt;1,A186&gt;SV_T),A186-1&gt;=SV_goalPay),0,SV_goalMth*12+IF(A186=1,SV_goalLump,0))</f>
        <v/>
      </c>
      <c r="AM186" s="29">
        <f>IF(A186&gt;SV_T,0,(AM185+AL186)*(1+investmentReturn))</f>
        <v/>
      </c>
      <c r="AN186" s="29">
        <f>IF(OR(OR(A186&lt;1,A186&gt;SV_T),A186-1&gt;=SV_protPay),0,SV_protPrem)</f>
        <v/>
      </c>
      <c r="AO186" s="29">
        <f>IF(OR(A186=0,A186&gt;=SV_T),0,ROUND(MAX(0,AK186),2)+ROUND(MAX(0,AM186),2))</f>
        <v/>
      </c>
      <c r="AP186" s="29">
        <f>IF(OR(A186&lt;1,A186&gt;SV_T),0,-(AJ186+AL186+AN186)+IF(A186=SV_T,ROUND(MAX(0,AK186),2)+ROUND(MAX(0,AM186),2),0))</f>
        <v/>
      </c>
      <c r="AQ186" s="29">
        <f>IF(A186&gt;SV_T,0,AQ185*(1+SV_savRate)+H186+I186+J186+K186+L186+AE186+AP186)</f>
        <v/>
      </c>
      <c r="AR186" s="29">
        <f>IF(A186&gt;SV_T,0,MAX(0,O186+P186+Q186+AD186+AQ186+AO186-AF186))</f>
        <v/>
      </c>
      <c r="AS186" s="29">
        <f>IF(A186&gt;SV_T,0,O186+P186+AQ186+AO186-MAX(0,AF186-(Q186+AD186)))</f>
        <v/>
      </c>
    </row>
    <row r="187">
      <c r="A187" s="61" t="n">
        <v>25</v>
      </c>
      <c r="B187" s="61">
        <f>SV_age+A187</f>
        <v/>
      </c>
      <c r="C187" s="61">
        <f>currentYear+A187</f>
        <v/>
      </c>
      <c r="D187" s="52">
        <f>A187&lt;=SV_T</f>
        <v/>
      </c>
      <c r="E187" s="60">
        <f>IF(AND(SV_inflOn,A187&gt;=SV_inflS,A187&lt;=SV_inflE),1+SV_inflRate,1+inflationRate)</f>
        <v/>
      </c>
      <c r="F187" s="60">
        <f>IF(A187&lt;=1,1,F186*E187)</f>
        <v/>
      </c>
      <c r="G187" s="60">
        <f>IF(AND(SV_incOn,A187&gt;=SV_incS,A187&lt;=SV_incE),1+SV_incImp,1)</f>
        <v/>
      </c>
      <c r="H187" s="29">
        <f>IF(OR(OR(A187&lt;1,A187&gt;SV_T),A187-1&gt;=SV_salCut,AND(SV_deaOn,A187&gt;=SV_deaM)),0,SV_sal0*(1+incomeGrowthRate)^(A187-1)*G187)</f>
        <v/>
      </c>
      <c r="I187" s="29">
        <f>IF(OR(A187&lt;1,A187&gt;SV_T),0,(-SV_exp0*F187-IF(A187&lt;=SV_loanYears,SV_inst,0)-IF(AND(SV_wdAmt&gt;0,A187=SV_wdYear),SV_wdAmt,0))*IF(AND(SV_expOn,A187&gt;=SV_expS,A187&lt;=SV_expE),1+SV_expImp,1))</f>
        <v/>
      </c>
      <c r="J187" s="29">
        <f>IF(OR(A187&lt;1,A187&gt;SV_T),0,-F187*(IF(AND(SV_deaOn,A187=SV_deaM),SV_deaAmt,0)+IF(AND(SV_criOn,A187=SV_criM),SV_criAmt,0)+IF(AND(SV_tpdOn,A187=SV_tpdM),SV_tpdAmt,0)+IF(AND(SV_pacOn,A187=SV_pacM),SV_pacAmt,0)+IF(AND(SV_hosOn,A187=SV_hosM),SV_hosAmt,0)+IF(AND(SV_wedOn,A187=SV_wedM),SV_wedAmt,0)+IF(AND(SV_babOn,A187=SV_babM),SV_babAmt,0)+IF(AND(SV_ltcOn,A187&gt;=SV_ltcM,A187&lt;=SV_ltcE),SV_ltcAmt,0)))</f>
        <v/>
      </c>
      <c r="K187" s="29">
        <f>IF(OR(OR(A187&lt;1,A187&gt;SV_T),A187&gt;SV_loanYears),0,-SV_lifePremYr)</f>
        <v/>
      </c>
      <c r="L187" s="29">
        <f>IF(OR(A187&lt;1,A187&gt;SV_T),0,-SV_contrib)</f>
        <v/>
      </c>
      <c r="M187" s="60">
        <f>IF(AND(SV_crashOn,A187=SV_crashYr),SV_crashF,1)</f>
        <v/>
      </c>
      <c r="N187" s="60">
        <f>IF(AND(SV_ccyOn,A187=SV_ccyYr),SV_ccyF,1)</f>
        <v/>
      </c>
      <c r="O187" s="29">
        <f>IF(A187&gt;SV_T,0,O186*(1+interestRate)*M187*N187)</f>
        <v/>
      </c>
      <c r="P187" s="29">
        <f>IF(A187&gt;SV_T,0,(P186+SV_contrib)*(1+investmentReturn)*M187*N187)</f>
        <v/>
      </c>
      <c r="Q187" s="29">
        <f>IF(A187&gt;SV_T,0,Q186*(1+SV_propRate)*M187)</f>
        <v/>
      </c>
      <c r="R187" s="46">
        <f>MATCH(SV_age+A187-1,SV_cpfLower,1)</f>
        <v/>
      </c>
      <c r="S187" s="29">
        <f>IF(OR(OR(A187&lt;1,A187&gt;SV_T),NOT(SV_cpfOn),AND(SV_deaOn,A187&gt;=SV_deaM)),0,MIN(SV_sal0*(1+incomeGrowthRate)^(A187-1)*G187,SV_owCap))</f>
        <v/>
      </c>
      <c r="T187" s="29">
        <f>IF(A187&gt;SV_T,0,T186*(1+SV_oaRate)+IF(A187&gt;=SV_effStop,0,INDEX(SV_cpfOA,R187)*INDEX(SV_cpfTot,R187)*S187))</f>
        <v/>
      </c>
      <c r="U187" s="29">
        <f>IF(A187&gt;SV_T,0,U186*(1+SV_saRate)+IF(A187&gt;=SV_effStop,0,INDEX(SV_cpfSA,R187)*INDEX(SV_cpfTot,R187)*S187))</f>
        <v/>
      </c>
      <c r="V187" s="29">
        <f>IF(A187&gt;SV_T,0,V186*(1+SV_saRate)+IF(A187&gt;=SV_effStop,0,INDEX(SV_cpfMA,R187)*INDEX(SV_cpfTot,R187)*S187))</f>
        <v/>
      </c>
      <c r="W187" s="29">
        <f>IF(OR(OR(A187&lt;1,A187&gt;SV_T),A187&gt;=SV_effNeg),0,-(INDEX(SV_cpfOA,R187)+INDEX(SV_cpfSA,R187)+INDEX(SV_cpfMA,R187))*INDEX(SV_cpfEmp,R187)*S187)</f>
        <v/>
      </c>
      <c r="X187" s="29">
        <f>IF(A187&gt;=SV_sIdx,0,T187)</f>
        <v/>
      </c>
      <c r="Y187" s="29">
        <f>IF(A187&gt;=SV_sIdx,0,U187)</f>
        <v/>
      </c>
      <c r="Z187" s="29">
        <f>IF(A187&gt;=SV_sIdx,MIN(V187,SV_maCap),V187)</f>
        <v/>
      </c>
      <c r="AA187" s="29">
        <f>IF(AND(SV_cpfOn,A187&gt;=SV_pIdx,A187&lt;=SV_T),12*SV_pay,0)</f>
        <v/>
      </c>
      <c r="AB187" s="29">
        <f>IF(A187&gt;SV_T,0,IF(SV_sp&gt;=0,IF(A187&lt;SV_sIdx,0,IF(A187=SV_sIdx,SV_R0,SV_lifeGrowth*AB186)),SV_lifeGrowth*AB186))</f>
        <v/>
      </c>
      <c r="AC187" s="29">
        <f>IF(A187&gt;SV_T,0,IF(AND(SV_sp&gt;=0,A187&lt;SV_sIdx),0,IF(AND(SV_sp&gt;=0,A187=SV_sIdx),SV_L0,SV_lifeGrowth*(AC186-AA187))))</f>
        <v/>
      </c>
      <c r="AD187" s="29">
        <f>X187+Y187+AB187+Z187+IF(AB187&lt;0,0,AC187)</f>
        <v/>
      </c>
      <c r="AE187" s="29">
        <f>AA187+W187</f>
        <v/>
      </c>
      <c r="AF187" s="29">
        <f>IF(OR(A187&gt;SV_T,A187&gt;=SV_loanYears),0,MAX(0,AF186*(1+loanRate)-SV_inst))</f>
        <v/>
      </c>
      <c r="AG187" s="29">
        <f>IF(A187&gt;SV_T,0,AG186*(1+SV_savRate)+H187+I187+J187+K187+L187+AE187)</f>
        <v/>
      </c>
      <c r="AH187" s="29">
        <f>IF(A187&gt;SV_T,0,MAX(0,O187+P187+Q187+AD187+AG187-AF187))</f>
        <v/>
      </c>
      <c r="AI187" s="29">
        <f>IF(A187&gt;SV_T,0,O187+P187+AG187-MAX(0,AF187-(Q187+AD187)))</f>
        <v/>
      </c>
      <c r="AJ187" s="29">
        <f>IF(OR(OR(A187&lt;1,A187&gt;SV_T),A187-1&gt;=SV_retPay),0,SV_retMth*12+IF(A187=1,SV_retLump,0))</f>
        <v/>
      </c>
      <c r="AK187" s="29">
        <f>IF(A187&gt;SV_T,0,(AK186+AJ187)*(1+investmentReturn))</f>
        <v/>
      </c>
      <c r="AL187" s="29">
        <f>IF(OR(OR(A187&lt;1,A187&gt;SV_T),A187-1&gt;=SV_goalPay),0,SV_goalMth*12+IF(A187=1,SV_goalLump,0))</f>
        <v/>
      </c>
      <c r="AM187" s="29">
        <f>IF(A187&gt;SV_T,0,(AM186+AL187)*(1+investmentReturn))</f>
        <v/>
      </c>
      <c r="AN187" s="29">
        <f>IF(OR(OR(A187&lt;1,A187&gt;SV_T),A187-1&gt;=SV_protPay),0,SV_protPrem)</f>
        <v/>
      </c>
      <c r="AO187" s="29">
        <f>IF(OR(A187=0,A187&gt;=SV_T),0,ROUND(MAX(0,AK187),2)+ROUND(MAX(0,AM187),2))</f>
        <v/>
      </c>
      <c r="AP187" s="29">
        <f>IF(OR(A187&lt;1,A187&gt;SV_T),0,-(AJ187+AL187+AN187)+IF(A187=SV_T,ROUND(MAX(0,AK187),2)+ROUND(MAX(0,AM187),2),0))</f>
        <v/>
      </c>
      <c r="AQ187" s="29">
        <f>IF(A187&gt;SV_T,0,AQ186*(1+SV_savRate)+H187+I187+J187+K187+L187+AE187+AP187)</f>
        <v/>
      </c>
      <c r="AR187" s="29">
        <f>IF(A187&gt;SV_T,0,MAX(0,O187+P187+Q187+AD187+AQ187+AO187-AF187))</f>
        <v/>
      </c>
      <c r="AS187" s="29">
        <f>IF(A187&gt;SV_T,0,O187+P187+AQ187+AO187-MAX(0,AF187-(Q187+AD187)))</f>
        <v/>
      </c>
    </row>
    <row r="188">
      <c r="A188" s="61" t="n">
        <v>26</v>
      </c>
      <c r="B188" s="61">
        <f>SV_age+A188</f>
        <v/>
      </c>
      <c r="C188" s="61">
        <f>currentYear+A188</f>
        <v/>
      </c>
      <c r="D188" s="52">
        <f>A188&lt;=SV_T</f>
        <v/>
      </c>
      <c r="E188" s="60">
        <f>IF(AND(SV_inflOn,A188&gt;=SV_inflS,A188&lt;=SV_inflE),1+SV_inflRate,1+inflationRate)</f>
        <v/>
      </c>
      <c r="F188" s="60">
        <f>IF(A188&lt;=1,1,F187*E188)</f>
        <v/>
      </c>
      <c r="G188" s="60">
        <f>IF(AND(SV_incOn,A188&gt;=SV_incS,A188&lt;=SV_incE),1+SV_incImp,1)</f>
        <v/>
      </c>
      <c r="H188" s="29">
        <f>IF(OR(OR(A188&lt;1,A188&gt;SV_T),A188-1&gt;=SV_salCut,AND(SV_deaOn,A188&gt;=SV_deaM)),0,SV_sal0*(1+incomeGrowthRate)^(A188-1)*G188)</f>
        <v/>
      </c>
      <c r="I188" s="29">
        <f>IF(OR(A188&lt;1,A188&gt;SV_T),0,(-SV_exp0*F188-IF(A188&lt;=SV_loanYears,SV_inst,0)-IF(AND(SV_wdAmt&gt;0,A188=SV_wdYear),SV_wdAmt,0))*IF(AND(SV_expOn,A188&gt;=SV_expS,A188&lt;=SV_expE),1+SV_expImp,1))</f>
        <v/>
      </c>
      <c r="J188" s="29">
        <f>IF(OR(A188&lt;1,A188&gt;SV_T),0,-F188*(IF(AND(SV_deaOn,A188=SV_deaM),SV_deaAmt,0)+IF(AND(SV_criOn,A188=SV_criM),SV_criAmt,0)+IF(AND(SV_tpdOn,A188=SV_tpdM),SV_tpdAmt,0)+IF(AND(SV_pacOn,A188=SV_pacM),SV_pacAmt,0)+IF(AND(SV_hosOn,A188=SV_hosM),SV_hosAmt,0)+IF(AND(SV_wedOn,A188=SV_wedM),SV_wedAmt,0)+IF(AND(SV_babOn,A188=SV_babM),SV_babAmt,0)+IF(AND(SV_ltcOn,A188&gt;=SV_ltcM,A188&lt;=SV_ltcE),SV_ltcAmt,0)))</f>
        <v/>
      </c>
      <c r="K188" s="29">
        <f>IF(OR(OR(A188&lt;1,A188&gt;SV_T),A188&gt;SV_loanYears),0,-SV_lifePremYr)</f>
        <v/>
      </c>
      <c r="L188" s="29">
        <f>IF(OR(A188&lt;1,A188&gt;SV_T),0,-SV_contrib)</f>
        <v/>
      </c>
      <c r="M188" s="60">
        <f>IF(AND(SV_crashOn,A188=SV_crashYr),SV_crashF,1)</f>
        <v/>
      </c>
      <c r="N188" s="60">
        <f>IF(AND(SV_ccyOn,A188=SV_ccyYr),SV_ccyF,1)</f>
        <v/>
      </c>
      <c r="O188" s="29">
        <f>IF(A188&gt;SV_T,0,O187*(1+interestRate)*M188*N188)</f>
        <v/>
      </c>
      <c r="P188" s="29">
        <f>IF(A188&gt;SV_T,0,(P187+SV_contrib)*(1+investmentReturn)*M188*N188)</f>
        <v/>
      </c>
      <c r="Q188" s="29">
        <f>IF(A188&gt;SV_T,0,Q187*(1+SV_propRate)*M188)</f>
        <v/>
      </c>
      <c r="R188" s="46">
        <f>MATCH(SV_age+A188-1,SV_cpfLower,1)</f>
        <v/>
      </c>
      <c r="S188" s="29">
        <f>IF(OR(OR(A188&lt;1,A188&gt;SV_T),NOT(SV_cpfOn),AND(SV_deaOn,A188&gt;=SV_deaM)),0,MIN(SV_sal0*(1+incomeGrowthRate)^(A188-1)*G188,SV_owCap))</f>
        <v/>
      </c>
      <c r="T188" s="29">
        <f>IF(A188&gt;SV_T,0,T187*(1+SV_oaRate)+IF(A188&gt;=SV_effStop,0,INDEX(SV_cpfOA,R188)*INDEX(SV_cpfTot,R188)*S188))</f>
        <v/>
      </c>
      <c r="U188" s="29">
        <f>IF(A188&gt;SV_T,0,U187*(1+SV_saRate)+IF(A188&gt;=SV_effStop,0,INDEX(SV_cpfSA,R188)*INDEX(SV_cpfTot,R188)*S188))</f>
        <v/>
      </c>
      <c r="V188" s="29">
        <f>IF(A188&gt;SV_T,0,V187*(1+SV_saRate)+IF(A188&gt;=SV_effStop,0,INDEX(SV_cpfMA,R188)*INDEX(SV_cpfTot,R188)*S188))</f>
        <v/>
      </c>
      <c r="W188" s="29">
        <f>IF(OR(OR(A188&lt;1,A188&gt;SV_T),A188&gt;=SV_effNeg),0,-(INDEX(SV_cpfOA,R188)+INDEX(SV_cpfSA,R188)+INDEX(SV_cpfMA,R188))*INDEX(SV_cpfEmp,R188)*S188)</f>
        <v/>
      </c>
      <c r="X188" s="29">
        <f>IF(A188&gt;=SV_sIdx,0,T188)</f>
        <v/>
      </c>
      <c r="Y188" s="29">
        <f>IF(A188&gt;=SV_sIdx,0,U188)</f>
        <v/>
      </c>
      <c r="Z188" s="29">
        <f>IF(A188&gt;=SV_sIdx,MIN(V188,SV_maCap),V188)</f>
        <v/>
      </c>
      <c r="AA188" s="29">
        <f>IF(AND(SV_cpfOn,A188&gt;=SV_pIdx,A188&lt;=SV_T),12*SV_pay,0)</f>
        <v/>
      </c>
      <c r="AB188" s="29">
        <f>IF(A188&gt;SV_T,0,IF(SV_sp&gt;=0,IF(A188&lt;SV_sIdx,0,IF(A188=SV_sIdx,SV_R0,SV_lifeGrowth*AB187)),SV_lifeGrowth*AB187))</f>
        <v/>
      </c>
      <c r="AC188" s="29">
        <f>IF(A188&gt;SV_T,0,IF(AND(SV_sp&gt;=0,A188&lt;SV_sIdx),0,IF(AND(SV_sp&gt;=0,A188=SV_sIdx),SV_L0,SV_lifeGrowth*(AC187-AA188))))</f>
        <v/>
      </c>
      <c r="AD188" s="29">
        <f>X188+Y188+AB188+Z188+IF(AB188&lt;0,0,AC188)</f>
        <v/>
      </c>
      <c r="AE188" s="29">
        <f>AA188+W188</f>
        <v/>
      </c>
      <c r="AF188" s="29">
        <f>IF(OR(A188&gt;SV_T,A188&gt;=SV_loanYears),0,MAX(0,AF187*(1+loanRate)-SV_inst))</f>
        <v/>
      </c>
      <c r="AG188" s="29">
        <f>IF(A188&gt;SV_T,0,AG187*(1+SV_savRate)+H188+I188+J188+K188+L188+AE188)</f>
        <v/>
      </c>
      <c r="AH188" s="29">
        <f>IF(A188&gt;SV_T,0,MAX(0,O188+P188+Q188+AD188+AG188-AF188))</f>
        <v/>
      </c>
      <c r="AI188" s="29">
        <f>IF(A188&gt;SV_T,0,O188+P188+AG188-MAX(0,AF188-(Q188+AD188)))</f>
        <v/>
      </c>
      <c r="AJ188" s="29">
        <f>IF(OR(OR(A188&lt;1,A188&gt;SV_T),A188-1&gt;=SV_retPay),0,SV_retMth*12+IF(A188=1,SV_retLump,0))</f>
        <v/>
      </c>
      <c r="AK188" s="29">
        <f>IF(A188&gt;SV_T,0,(AK187+AJ188)*(1+investmentReturn))</f>
        <v/>
      </c>
      <c r="AL188" s="29">
        <f>IF(OR(OR(A188&lt;1,A188&gt;SV_T),A188-1&gt;=SV_goalPay),0,SV_goalMth*12+IF(A188=1,SV_goalLump,0))</f>
        <v/>
      </c>
      <c r="AM188" s="29">
        <f>IF(A188&gt;SV_T,0,(AM187+AL188)*(1+investmentReturn))</f>
        <v/>
      </c>
      <c r="AN188" s="29">
        <f>IF(OR(OR(A188&lt;1,A188&gt;SV_T),A188-1&gt;=SV_protPay),0,SV_protPrem)</f>
        <v/>
      </c>
      <c r="AO188" s="29">
        <f>IF(OR(A188=0,A188&gt;=SV_T),0,ROUND(MAX(0,AK188),2)+ROUND(MAX(0,AM188),2))</f>
        <v/>
      </c>
      <c r="AP188" s="29">
        <f>IF(OR(A188&lt;1,A188&gt;SV_T),0,-(AJ188+AL188+AN188)+IF(A188=SV_T,ROUND(MAX(0,AK188),2)+ROUND(MAX(0,AM188),2),0))</f>
        <v/>
      </c>
      <c r="AQ188" s="29">
        <f>IF(A188&gt;SV_T,0,AQ187*(1+SV_savRate)+H188+I188+J188+K188+L188+AE188+AP188)</f>
        <v/>
      </c>
      <c r="AR188" s="29">
        <f>IF(A188&gt;SV_T,0,MAX(0,O188+P188+Q188+AD188+AQ188+AO188-AF188))</f>
        <v/>
      </c>
      <c r="AS188" s="29">
        <f>IF(A188&gt;SV_T,0,O188+P188+AQ188+AO188-MAX(0,AF188-(Q188+AD188)))</f>
        <v/>
      </c>
    </row>
    <row r="189">
      <c r="A189" s="61" t="n">
        <v>27</v>
      </c>
      <c r="B189" s="61">
        <f>SV_age+A189</f>
        <v/>
      </c>
      <c r="C189" s="61">
        <f>currentYear+A189</f>
        <v/>
      </c>
      <c r="D189" s="52">
        <f>A189&lt;=SV_T</f>
        <v/>
      </c>
      <c r="E189" s="60">
        <f>IF(AND(SV_inflOn,A189&gt;=SV_inflS,A189&lt;=SV_inflE),1+SV_inflRate,1+inflationRate)</f>
        <v/>
      </c>
      <c r="F189" s="60">
        <f>IF(A189&lt;=1,1,F188*E189)</f>
        <v/>
      </c>
      <c r="G189" s="60">
        <f>IF(AND(SV_incOn,A189&gt;=SV_incS,A189&lt;=SV_incE),1+SV_incImp,1)</f>
        <v/>
      </c>
      <c r="H189" s="29">
        <f>IF(OR(OR(A189&lt;1,A189&gt;SV_T),A189-1&gt;=SV_salCut,AND(SV_deaOn,A189&gt;=SV_deaM)),0,SV_sal0*(1+incomeGrowthRate)^(A189-1)*G189)</f>
        <v/>
      </c>
      <c r="I189" s="29">
        <f>IF(OR(A189&lt;1,A189&gt;SV_T),0,(-SV_exp0*F189-IF(A189&lt;=SV_loanYears,SV_inst,0)-IF(AND(SV_wdAmt&gt;0,A189=SV_wdYear),SV_wdAmt,0))*IF(AND(SV_expOn,A189&gt;=SV_expS,A189&lt;=SV_expE),1+SV_expImp,1))</f>
        <v/>
      </c>
      <c r="J189" s="29">
        <f>IF(OR(A189&lt;1,A189&gt;SV_T),0,-F189*(IF(AND(SV_deaOn,A189=SV_deaM),SV_deaAmt,0)+IF(AND(SV_criOn,A189=SV_criM),SV_criAmt,0)+IF(AND(SV_tpdOn,A189=SV_tpdM),SV_tpdAmt,0)+IF(AND(SV_pacOn,A189=SV_pacM),SV_pacAmt,0)+IF(AND(SV_hosOn,A189=SV_hosM),SV_hosAmt,0)+IF(AND(SV_wedOn,A189=SV_wedM),SV_wedAmt,0)+IF(AND(SV_babOn,A189=SV_babM),SV_babAmt,0)+IF(AND(SV_ltcOn,A189&gt;=SV_ltcM,A189&lt;=SV_ltcE),SV_ltcAmt,0)))</f>
        <v/>
      </c>
      <c r="K189" s="29">
        <f>IF(OR(OR(A189&lt;1,A189&gt;SV_T),A189&gt;SV_loanYears),0,-SV_lifePremYr)</f>
        <v/>
      </c>
      <c r="L189" s="29">
        <f>IF(OR(A189&lt;1,A189&gt;SV_T),0,-SV_contrib)</f>
        <v/>
      </c>
      <c r="M189" s="60">
        <f>IF(AND(SV_crashOn,A189=SV_crashYr),SV_crashF,1)</f>
        <v/>
      </c>
      <c r="N189" s="60">
        <f>IF(AND(SV_ccyOn,A189=SV_ccyYr),SV_ccyF,1)</f>
        <v/>
      </c>
      <c r="O189" s="29">
        <f>IF(A189&gt;SV_T,0,O188*(1+interestRate)*M189*N189)</f>
        <v/>
      </c>
      <c r="P189" s="29">
        <f>IF(A189&gt;SV_T,0,(P188+SV_contrib)*(1+investmentReturn)*M189*N189)</f>
        <v/>
      </c>
      <c r="Q189" s="29">
        <f>IF(A189&gt;SV_T,0,Q188*(1+SV_propRate)*M189)</f>
        <v/>
      </c>
      <c r="R189" s="46">
        <f>MATCH(SV_age+A189-1,SV_cpfLower,1)</f>
        <v/>
      </c>
      <c r="S189" s="29">
        <f>IF(OR(OR(A189&lt;1,A189&gt;SV_T),NOT(SV_cpfOn),AND(SV_deaOn,A189&gt;=SV_deaM)),0,MIN(SV_sal0*(1+incomeGrowthRate)^(A189-1)*G189,SV_owCap))</f>
        <v/>
      </c>
      <c r="T189" s="29">
        <f>IF(A189&gt;SV_T,0,T188*(1+SV_oaRate)+IF(A189&gt;=SV_effStop,0,INDEX(SV_cpfOA,R189)*INDEX(SV_cpfTot,R189)*S189))</f>
        <v/>
      </c>
      <c r="U189" s="29">
        <f>IF(A189&gt;SV_T,0,U188*(1+SV_saRate)+IF(A189&gt;=SV_effStop,0,INDEX(SV_cpfSA,R189)*INDEX(SV_cpfTot,R189)*S189))</f>
        <v/>
      </c>
      <c r="V189" s="29">
        <f>IF(A189&gt;SV_T,0,V188*(1+SV_saRate)+IF(A189&gt;=SV_effStop,0,INDEX(SV_cpfMA,R189)*INDEX(SV_cpfTot,R189)*S189))</f>
        <v/>
      </c>
      <c r="W189" s="29">
        <f>IF(OR(OR(A189&lt;1,A189&gt;SV_T),A189&gt;=SV_effNeg),0,-(INDEX(SV_cpfOA,R189)+INDEX(SV_cpfSA,R189)+INDEX(SV_cpfMA,R189))*INDEX(SV_cpfEmp,R189)*S189)</f>
        <v/>
      </c>
      <c r="X189" s="29">
        <f>IF(A189&gt;=SV_sIdx,0,T189)</f>
        <v/>
      </c>
      <c r="Y189" s="29">
        <f>IF(A189&gt;=SV_sIdx,0,U189)</f>
        <v/>
      </c>
      <c r="Z189" s="29">
        <f>IF(A189&gt;=SV_sIdx,MIN(V189,SV_maCap),V189)</f>
        <v/>
      </c>
      <c r="AA189" s="29">
        <f>IF(AND(SV_cpfOn,A189&gt;=SV_pIdx,A189&lt;=SV_T),12*SV_pay,0)</f>
        <v/>
      </c>
      <c r="AB189" s="29">
        <f>IF(A189&gt;SV_T,0,IF(SV_sp&gt;=0,IF(A189&lt;SV_sIdx,0,IF(A189=SV_sIdx,SV_R0,SV_lifeGrowth*AB188)),SV_lifeGrowth*AB188))</f>
        <v/>
      </c>
      <c r="AC189" s="29">
        <f>IF(A189&gt;SV_T,0,IF(AND(SV_sp&gt;=0,A189&lt;SV_sIdx),0,IF(AND(SV_sp&gt;=0,A189=SV_sIdx),SV_L0,SV_lifeGrowth*(AC188-AA189))))</f>
        <v/>
      </c>
      <c r="AD189" s="29">
        <f>X189+Y189+AB189+Z189+IF(AB189&lt;0,0,AC189)</f>
        <v/>
      </c>
      <c r="AE189" s="29">
        <f>AA189+W189</f>
        <v/>
      </c>
      <c r="AF189" s="29">
        <f>IF(OR(A189&gt;SV_T,A189&gt;=SV_loanYears),0,MAX(0,AF188*(1+loanRate)-SV_inst))</f>
        <v/>
      </c>
      <c r="AG189" s="29">
        <f>IF(A189&gt;SV_T,0,AG188*(1+SV_savRate)+H189+I189+J189+K189+L189+AE189)</f>
        <v/>
      </c>
      <c r="AH189" s="29">
        <f>IF(A189&gt;SV_T,0,MAX(0,O189+P189+Q189+AD189+AG189-AF189))</f>
        <v/>
      </c>
      <c r="AI189" s="29">
        <f>IF(A189&gt;SV_T,0,O189+P189+AG189-MAX(0,AF189-(Q189+AD189)))</f>
        <v/>
      </c>
      <c r="AJ189" s="29">
        <f>IF(OR(OR(A189&lt;1,A189&gt;SV_T),A189-1&gt;=SV_retPay),0,SV_retMth*12+IF(A189=1,SV_retLump,0))</f>
        <v/>
      </c>
      <c r="AK189" s="29">
        <f>IF(A189&gt;SV_T,0,(AK188+AJ189)*(1+investmentReturn))</f>
        <v/>
      </c>
      <c r="AL189" s="29">
        <f>IF(OR(OR(A189&lt;1,A189&gt;SV_T),A189-1&gt;=SV_goalPay),0,SV_goalMth*12+IF(A189=1,SV_goalLump,0))</f>
        <v/>
      </c>
      <c r="AM189" s="29">
        <f>IF(A189&gt;SV_T,0,(AM188+AL189)*(1+investmentReturn))</f>
        <v/>
      </c>
      <c r="AN189" s="29">
        <f>IF(OR(OR(A189&lt;1,A189&gt;SV_T),A189-1&gt;=SV_protPay),0,SV_protPrem)</f>
        <v/>
      </c>
      <c r="AO189" s="29">
        <f>IF(OR(A189=0,A189&gt;=SV_T),0,ROUND(MAX(0,AK189),2)+ROUND(MAX(0,AM189),2))</f>
        <v/>
      </c>
      <c r="AP189" s="29">
        <f>IF(OR(A189&lt;1,A189&gt;SV_T),0,-(AJ189+AL189+AN189)+IF(A189=SV_T,ROUND(MAX(0,AK189),2)+ROUND(MAX(0,AM189),2),0))</f>
        <v/>
      </c>
      <c r="AQ189" s="29">
        <f>IF(A189&gt;SV_T,0,AQ188*(1+SV_savRate)+H189+I189+J189+K189+L189+AE189+AP189)</f>
        <v/>
      </c>
      <c r="AR189" s="29">
        <f>IF(A189&gt;SV_T,0,MAX(0,O189+P189+Q189+AD189+AQ189+AO189-AF189))</f>
        <v/>
      </c>
      <c r="AS189" s="29">
        <f>IF(A189&gt;SV_T,0,O189+P189+AQ189+AO189-MAX(0,AF189-(Q189+AD189)))</f>
        <v/>
      </c>
    </row>
    <row r="190">
      <c r="A190" s="61" t="n">
        <v>28</v>
      </c>
      <c r="B190" s="61">
        <f>SV_age+A190</f>
        <v/>
      </c>
      <c r="C190" s="61">
        <f>currentYear+A190</f>
        <v/>
      </c>
      <c r="D190" s="52">
        <f>A190&lt;=SV_T</f>
        <v/>
      </c>
      <c r="E190" s="60">
        <f>IF(AND(SV_inflOn,A190&gt;=SV_inflS,A190&lt;=SV_inflE),1+SV_inflRate,1+inflationRate)</f>
        <v/>
      </c>
      <c r="F190" s="60">
        <f>IF(A190&lt;=1,1,F189*E190)</f>
        <v/>
      </c>
      <c r="G190" s="60">
        <f>IF(AND(SV_incOn,A190&gt;=SV_incS,A190&lt;=SV_incE),1+SV_incImp,1)</f>
        <v/>
      </c>
      <c r="H190" s="29">
        <f>IF(OR(OR(A190&lt;1,A190&gt;SV_T),A190-1&gt;=SV_salCut,AND(SV_deaOn,A190&gt;=SV_deaM)),0,SV_sal0*(1+incomeGrowthRate)^(A190-1)*G190)</f>
        <v/>
      </c>
      <c r="I190" s="29">
        <f>IF(OR(A190&lt;1,A190&gt;SV_T),0,(-SV_exp0*F190-IF(A190&lt;=SV_loanYears,SV_inst,0)-IF(AND(SV_wdAmt&gt;0,A190=SV_wdYear),SV_wdAmt,0))*IF(AND(SV_expOn,A190&gt;=SV_expS,A190&lt;=SV_expE),1+SV_expImp,1))</f>
        <v/>
      </c>
      <c r="J190" s="29">
        <f>IF(OR(A190&lt;1,A190&gt;SV_T),0,-F190*(IF(AND(SV_deaOn,A190=SV_deaM),SV_deaAmt,0)+IF(AND(SV_criOn,A190=SV_criM),SV_criAmt,0)+IF(AND(SV_tpdOn,A190=SV_tpdM),SV_tpdAmt,0)+IF(AND(SV_pacOn,A190=SV_pacM),SV_pacAmt,0)+IF(AND(SV_hosOn,A190=SV_hosM),SV_hosAmt,0)+IF(AND(SV_wedOn,A190=SV_wedM),SV_wedAmt,0)+IF(AND(SV_babOn,A190=SV_babM),SV_babAmt,0)+IF(AND(SV_ltcOn,A190&gt;=SV_ltcM,A190&lt;=SV_ltcE),SV_ltcAmt,0)))</f>
        <v/>
      </c>
      <c r="K190" s="29">
        <f>IF(OR(OR(A190&lt;1,A190&gt;SV_T),A190&gt;SV_loanYears),0,-SV_lifePremYr)</f>
        <v/>
      </c>
      <c r="L190" s="29">
        <f>IF(OR(A190&lt;1,A190&gt;SV_T),0,-SV_contrib)</f>
        <v/>
      </c>
      <c r="M190" s="60">
        <f>IF(AND(SV_crashOn,A190=SV_crashYr),SV_crashF,1)</f>
        <v/>
      </c>
      <c r="N190" s="60">
        <f>IF(AND(SV_ccyOn,A190=SV_ccyYr),SV_ccyF,1)</f>
        <v/>
      </c>
      <c r="O190" s="29">
        <f>IF(A190&gt;SV_T,0,O189*(1+interestRate)*M190*N190)</f>
        <v/>
      </c>
      <c r="P190" s="29">
        <f>IF(A190&gt;SV_T,0,(P189+SV_contrib)*(1+investmentReturn)*M190*N190)</f>
        <v/>
      </c>
      <c r="Q190" s="29">
        <f>IF(A190&gt;SV_T,0,Q189*(1+SV_propRate)*M190)</f>
        <v/>
      </c>
      <c r="R190" s="46">
        <f>MATCH(SV_age+A190-1,SV_cpfLower,1)</f>
        <v/>
      </c>
      <c r="S190" s="29">
        <f>IF(OR(OR(A190&lt;1,A190&gt;SV_T),NOT(SV_cpfOn),AND(SV_deaOn,A190&gt;=SV_deaM)),0,MIN(SV_sal0*(1+incomeGrowthRate)^(A190-1)*G190,SV_owCap))</f>
        <v/>
      </c>
      <c r="T190" s="29">
        <f>IF(A190&gt;SV_T,0,T189*(1+SV_oaRate)+IF(A190&gt;=SV_effStop,0,INDEX(SV_cpfOA,R190)*INDEX(SV_cpfTot,R190)*S190))</f>
        <v/>
      </c>
      <c r="U190" s="29">
        <f>IF(A190&gt;SV_T,0,U189*(1+SV_saRate)+IF(A190&gt;=SV_effStop,0,INDEX(SV_cpfSA,R190)*INDEX(SV_cpfTot,R190)*S190))</f>
        <v/>
      </c>
      <c r="V190" s="29">
        <f>IF(A190&gt;SV_T,0,V189*(1+SV_saRate)+IF(A190&gt;=SV_effStop,0,INDEX(SV_cpfMA,R190)*INDEX(SV_cpfTot,R190)*S190))</f>
        <v/>
      </c>
      <c r="W190" s="29">
        <f>IF(OR(OR(A190&lt;1,A190&gt;SV_T),A190&gt;=SV_effNeg),0,-(INDEX(SV_cpfOA,R190)+INDEX(SV_cpfSA,R190)+INDEX(SV_cpfMA,R190))*INDEX(SV_cpfEmp,R190)*S190)</f>
        <v/>
      </c>
      <c r="X190" s="29">
        <f>IF(A190&gt;=SV_sIdx,0,T190)</f>
        <v/>
      </c>
      <c r="Y190" s="29">
        <f>IF(A190&gt;=SV_sIdx,0,U190)</f>
        <v/>
      </c>
      <c r="Z190" s="29">
        <f>IF(A190&gt;=SV_sIdx,MIN(V190,SV_maCap),V190)</f>
        <v/>
      </c>
      <c r="AA190" s="29">
        <f>IF(AND(SV_cpfOn,A190&gt;=SV_pIdx,A190&lt;=SV_T),12*SV_pay,0)</f>
        <v/>
      </c>
      <c r="AB190" s="29">
        <f>IF(A190&gt;SV_T,0,IF(SV_sp&gt;=0,IF(A190&lt;SV_sIdx,0,IF(A190=SV_sIdx,SV_R0,SV_lifeGrowth*AB189)),SV_lifeGrowth*AB189))</f>
        <v/>
      </c>
      <c r="AC190" s="29">
        <f>IF(A190&gt;SV_T,0,IF(AND(SV_sp&gt;=0,A190&lt;SV_sIdx),0,IF(AND(SV_sp&gt;=0,A190=SV_sIdx),SV_L0,SV_lifeGrowth*(AC189-AA190))))</f>
        <v/>
      </c>
      <c r="AD190" s="29">
        <f>X190+Y190+AB190+Z190+IF(AB190&lt;0,0,AC190)</f>
        <v/>
      </c>
      <c r="AE190" s="29">
        <f>AA190+W190</f>
        <v/>
      </c>
      <c r="AF190" s="29">
        <f>IF(OR(A190&gt;SV_T,A190&gt;=SV_loanYears),0,MAX(0,AF189*(1+loanRate)-SV_inst))</f>
        <v/>
      </c>
      <c r="AG190" s="29">
        <f>IF(A190&gt;SV_T,0,AG189*(1+SV_savRate)+H190+I190+J190+K190+L190+AE190)</f>
        <v/>
      </c>
      <c r="AH190" s="29">
        <f>IF(A190&gt;SV_T,0,MAX(0,O190+P190+Q190+AD190+AG190-AF190))</f>
        <v/>
      </c>
      <c r="AI190" s="29">
        <f>IF(A190&gt;SV_T,0,O190+P190+AG190-MAX(0,AF190-(Q190+AD190)))</f>
        <v/>
      </c>
      <c r="AJ190" s="29">
        <f>IF(OR(OR(A190&lt;1,A190&gt;SV_T),A190-1&gt;=SV_retPay),0,SV_retMth*12+IF(A190=1,SV_retLump,0))</f>
        <v/>
      </c>
      <c r="AK190" s="29">
        <f>IF(A190&gt;SV_T,0,(AK189+AJ190)*(1+investmentReturn))</f>
        <v/>
      </c>
      <c r="AL190" s="29">
        <f>IF(OR(OR(A190&lt;1,A190&gt;SV_T),A190-1&gt;=SV_goalPay),0,SV_goalMth*12+IF(A190=1,SV_goalLump,0))</f>
        <v/>
      </c>
      <c r="AM190" s="29">
        <f>IF(A190&gt;SV_T,0,(AM189+AL190)*(1+investmentReturn))</f>
        <v/>
      </c>
      <c r="AN190" s="29">
        <f>IF(OR(OR(A190&lt;1,A190&gt;SV_T),A190-1&gt;=SV_protPay),0,SV_protPrem)</f>
        <v/>
      </c>
      <c r="AO190" s="29">
        <f>IF(OR(A190=0,A190&gt;=SV_T),0,ROUND(MAX(0,AK190),2)+ROUND(MAX(0,AM190),2))</f>
        <v/>
      </c>
      <c r="AP190" s="29">
        <f>IF(OR(A190&lt;1,A190&gt;SV_T),0,-(AJ190+AL190+AN190)+IF(A190=SV_T,ROUND(MAX(0,AK190),2)+ROUND(MAX(0,AM190),2),0))</f>
        <v/>
      </c>
      <c r="AQ190" s="29">
        <f>IF(A190&gt;SV_T,0,AQ189*(1+SV_savRate)+H190+I190+J190+K190+L190+AE190+AP190)</f>
        <v/>
      </c>
      <c r="AR190" s="29">
        <f>IF(A190&gt;SV_T,0,MAX(0,O190+P190+Q190+AD190+AQ190+AO190-AF190))</f>
        <v/>
      </c>
      <c r="AS190" s="29">
        <f>IF(A190&gt;SV_T,0,O190+P190+AQ190+AO190-MAX(0,AF190-(Q190+AD190)))</f>
        <v/>
      </c>
    </row>
    <row r="191">
      <c r="A191" s="61" t="n">
        <v>29</v>
      </c>
      <c r="B191" s="61">
        <f>SV_age+A191</f>
        <v/>
      </c>
      <c r="C191" s="61">
        <f>currentYear+A191</f>
        <v/>
      </c>
      <c r="D191" s="52">
        <f>A191&lt;=SV_T</f>
        <v/>
      </c>
      <c r="E191" s="60">
        <f>IF(AND(SV_inflOn,A191&gt;=SV_inflS,A191&lt;=SV_inflE),1+SV_inflRate,1+inflationRate)</f>
        <v/>
      </c>
      <c r="F191" s="60">
        <f>IF(A191&lt;=1,1,F190*E191)</f>
        <v/>
      </c>
      <c r="G191" s="60">
        <f>IF(AND(SV_incOn,A191&gt;=SV_incS,A191&lt;=SV_incE),1+SV_incImp,1)</f>
        <v/>
      </c>
      <c r="H191" s="29">
        <f>IF(OR(OR(A191&lt;1,A191&gt;SV_T),A191-1&gt;=SV_salCut,AND(SV_deaOn,A191&gt;=SV_deaM)),0,SV_sal0*(1+incomeGrowthRate)^(A191-1)*G191)</f>
        <v/>
      </c>
      <c r="I191" s="29">
        <f>IF(OR(A191&lt;1,A191&gt;SV_T),0,(-SV_exp0*F191-IF(A191&lt;=SV_loanYears,SV_inst,0)-IF(AND(SV_wdAmt&gt;0,A191=SV_wdYear),SV_wdAmt,0))*IF(AND(SV_expOn,A191&gt;=SV_expS,A191&lt;=SV_expE),1+SV_expImp,1))</f>
        <v/>
      </c>
      <c r="J191" s="29">
        <f>IF(OR(A191&lt;1,A191&gt;SV_T),0,-F191*(IF(AND(SV_deaOn,A191=SV_deaM),SV_deaAmt,0)+IF(AND(SV_criOn,A191=SV_criM),SV_criAmt,0)+IF(AND(SV_tpdOn,A191=SV_tpdM),SV_tpdAmt,0)+IF(AND(SV_pacOn,A191=SV_pacM),SV_pacAmt,0)+IF(AND(SV_hosOn,A191=SV_hosM),SV_hosAmt,0)+IF(AND(SV_wedOn,A191=SV_wedM),SV_wedAmt,0)+IF(AND(SV_babOn,A191=SV_babM),SV_babAmt,0)+IF(AND(SV_ltcOn,A191&gt;=SV_ltcM,A191&lt;=SV_ltcE),SV_ltcAmt,0)))</f>
        <v/>
      </c>
      <c r="K191" s="29">
        <f>IF(OR(OR(A191&lt;1,A191&gt;SV_T),A191&gt;SV_loanYears),0,-SV_lifePremYr)</f>
        <v/>
      </c>
      <c r="L191" s="29">
        <f>IF(OR(A191&lt;1,A191&gt;SV_T),0,-SV_contrib)</f>
        <v/>
      </c>
      <c r="M191" s="60">
        <f>IF(AND(SV_crashOn,A191=SV_crashYr),SV_crashF,1)</f>
        <v/>
      </c>
      <c r="N191" s="60">
        <f>IF(AND(SV_ccyOn,A191=SV_ccyYr),SV_ccyF,1)</f>
        <v/>
      </c>
      <c r="O191" s="29">
        <f>IF(A191&gt;SV_T,0,O190*(1+interestRate)*M191*N191)</f>
        <v/>
      </c>
      <c r="P191" s="29">
        <f>IF(A191&gt;SV_T,0,(P190+SV_contrib)*(1+investmentReturn)*M191*N191)</f>
        <v/>
      </c>
      <c r="Q191" s="29">
        <f>IF(A191&gt;SV_T,0,Q190*(1+SV_propRate)*M191)</f>
        <v/>
      </c>
      <c r="R191" s="46">
        <f>MATCH(SV_age+A191-1,SV_cpfLower,1)</f>
        <v/>
      </c>
      <c r="S191" s="29">
        <f>IF(OR(OR(A191&lt;1,A191&gt;SV_T),NOT(SV_cpfOn),AND(SV_deaOn,A191&gt;=SV_deaM)),0,MIN(SV_sal0*(1+incomeGrowthRate)^(A191-1)*G191,SV_owCap))</f>
        <v/>
      </c>
      <c r="T191" s="29">
        <f>IF(A191&gt;SV_T,0,T190*(1+SV_oaRate)+IF(A191&gt;=SV_effStop,0,INDEX(SV_cpfOA,R191)*INDEX(SV_cpfTot,R191)*S191))</f>
        <v/>
      </c>
      <c r="U191" s="29">
        <f>IF(A191&gt;SV_T,0,U190*(1+SV_saRate)+IF(A191&gt;=SV_effStop,0,INDEX(SV_cpfSA,R191)*INDEX(SV_cpfTot,R191)*S191))</f>
        <v/>
      </c>
      <c r="V191" s="29">
        <f>IF(A191&gt;SV_T,0,V190*(1+SV_saRate)+IF(A191&gt;=SV_effStop,0,INDEX(SV_cpfMA,R191)*INDEX(SV_cpfTot,R191)*S191))</f>
        <v/>
      </c>
      <c r="W191" s="29">
        <f>IF(OR(OR(A191&lt;1,A191&gt;SV_T),A191&gt;=SV_effNeg),0,-(INDEX(SV_cpfOA,R191)+INDEX(SV_cpfSA,R191)+INDEX(SV_cpfMA,R191))*INDEX(SV_cpfEmp,R191)*S191)</f>
        <v/>
      </c>
      <c r="X191" s="29">
        <f>IF(A191&gt;=SV_sIdx,0,T191)</f>
        <v/>
      </c>
      <c r="Y191" s="29">
        <f>IF(A191&gt;=SV_sIdx,0,U191)</f>
        <v/>
      </c>
      <c r="Z191" s="29">
        <f>IF(A191&gt;=SV_sIdx,MIN(V191,SV_maCap),V191)</f>
        <v/>
      </c>
      <c r="AA191" s="29">
        <f>IF(AND(SV_cpfOn,A191&gt;=SV_pIdx,A191&lt;=SV_T),12*SV_pay,0)</f>
        <v/>
      </c>
      <c r="AB191" s="29">
        <f>IF(A191&gt;SV_T,0,IF(SV_sp&gt;=0,IF(A191&lt;SV_sIdx,0,IF(A191=SV_sIdx,SV_R0,SV_lifeGrowth*AB190)),SV_lifeGrowth*AB190))</f>
        <v/>
      </c>
      <c r="AC191" s="29">
        <f>IF(A191&gt;SV_T,0,IF(AND(SV_sp&gt;=0,A191&lt;SV_sIdx),0,IF(AND(SV_sp&gt;=0,A191=SV_sIdx),SV_L0,SV_lifeGrowth*(AC190-AA191))))</f>
        <v/>
      </c>
      <c r="AD191" s="29">
        <f>X191+Y191+AB191+Z191+IF(AB191&lt;0,0,AC191)</f>
        <v/>
      </c>
      <c r="AE191" s="29">
        <f>AA191+W191</f>
        <v/>
      </c>
      <c r="AF191" s="29">
        <f>IF(OR(A191&gt;SV_T,A191&gt;=SV_loanYears),0,MAX(0,AF190*(1+loanRate)-SV_inst))</f>
        <v/>
      </c>
      <c r="AG191" s="29">
        <f>IF(A191&gt;SV_T,0,AG190*(1+SV_savRate)+H191+I191+J191+K191+L191+AE191)</f>
        <v/>
      </c>
      <c r="AH191" s="29">
        <f>IF(A191&gt;SV_T,0,MAX(0,O191+P191+Q191+AD191+AG191-AF191))</f>
        <v/>
      </c>
      <c r="AI191" s="29">
        <f>IF(A191&gt;SV_T,0,O191+P191+AG191-MAX(0,AF191-(Q191+AD191)))</f>
        <v/>
      </c>
      <c r="AJ191" s="29">
        <f>IF(OR(OR(A191&lt;1,A191&gt;SV_T),A191-1&gt;=SV_retPay),0,SV_retMth*12+IF(A191=1,SV_retLump,0))</f>
        <v/>
      </c>
      <c r="AK191" s="29">
        <f>IF(A191&gt;SV_T,0,(AK190+AJ191)*(1+investmentReturn))</f>
        <v/>
      </c>
      <c r="AL191" s="29">
        <f>IF(OR(OR(A191&lt;1,A191&gt;SV_T),A191-1&gt;=SV_goalPay),0,SV_goalMth*12+IF(A191=1,SV_goalLump,0))</f>
        <v/>
      </c>
      <c r="AM191" s="29">
        <f>IF(A191&gt;SV_T,0,(AM190+AL191)*(1+investmentReturn))</f>
        <v/>
      </c>
      <c r="AN191" s="29">
        <f>IF(OR(OR(A191&lt;1,A191&gt;SV_T),A191-1&gt;=SV_protPay),0,SV_protPrem)</f>
        <v/>
      </c>
      <c r="AO191" s="29">
        <f>IF(OR(A191=0,A191&gt;=SV_T),0,ROUND(MAX(0,AK191),2)+ROUND(MAX(0,AM191),2))</f>
        <v/>
      </c>
      <c r="AP191" s="29">
        <f>IF(OR(A191&lt;1,A191&gt;SV_T),0,-(AJ191+AL191+AN191)+IF(A191=SV_T,ROUND(MAX(0,AK191),2)+ROUND(MAX(0,AM191),2),0))</f>
        <v/>
      </c>
      <c r="AQ191" s="29">
        <f>IF(A191&gt;SV_T,0,AQ190*(1+SV_savRate)+H191+I191+J191+K191+L191+AE191+AP191)</f>
        <v/>
      </c>
      <c r="AR191" s="29">
        <f>IF(A191&gt;SV_T,0,MAX(0,O191+P191+Q191+AD191+AQ191+AO191-AF191))</f>
        <v/>
      </c>
      <c r="AS191" s="29">
        <f>IF(A191&gt;SV_T,0,O191+P191+AQ191+AO191-MAX(0,AF191-(Q191+AD191)))</f>
        <v/>
      </c>
    </row>
    <row r="192">
      <c r="A192" s="61" t="n">
        <v>30</v>
      </c>
      <c r="B192" s="61">
        <f>SV_age+A192</f>
        <v/>
      </c>
      <c r="C192" s="61">
        <f>currentYear+A192</f>
        <v/>
      </c>
      <c r="D192" s="52">
        <f>A192&lt;=SV_T</f>
        <v/>
      </c>
      <c r="E192" s="60">
        <f>IF(AND(SV_inflOn,A192&gt;=SV_inflS,A192&lt;=SV_inflE),1+SV_inflRate,1+inflationRate)</f>
        <v/>
      </c>
      <c r="F192" s="60">
        <f>IF(A192&lt;=1,1,F191*E192)</f>
        <v/>
      </c>
      <c r="G192" s="60">
        <f>IF(AND(SV_incOn,A192&gt;=SV_incS,A192&lt;=SV_incE),1+SV_incImp,1)</f>
        <v/>
      </c>
      <c r="H192" s="29">
        <f>IF(OR(OR(A192&lt;1,A192&gt;SV_T),A192-1&gt;=SV_salCut,AND(SV_deaOn,A192&gt;=SV_deaM)),0,SV_sal0*(1+incomeGrowthRate)^(A192-1)*G192)</f>
        <v/>
      </c>
      <c r="I192" s="29">
        <f>IF(OR(A192&lt;1,A192&gt;SV_T),0,(-SV_exp0*F192-IF(A192&lt;=SV_loanYears,SV_inst,0)-IF(AND(SV_wdAmt&gt;0,A192=SV_wdYear),SV_wdAmt,0))*IF(AND(SV_expOn,A192&gt;=SV_expS,A192&lt;=SV_expE),1+SV_expImp,1))</f>
        <v/>
      </c>
      <c r="J192" s="29">
        <f>IF(OR(A192&lt;1,A192&gt;SV_T),0,-F192*(IF(AND(SV_deaOn,A192=SV_deaM),SV_deaAmt,0)+IF(AND(SV_criOn,A192=SV_criM),SV_criAmt,0)+IF(AND(SV_tpdOn,A192=SV_tpdM),SV_tpdAmt,0)+IF(AND(SV_pacOn,A192=SV_pacM),SV_pacAmt,0)+IF(AND(SV_hosOn,A192=SV_hosM),SV_hosAmt,0)+IF(AND(SV_wedOn,A192=SV_wedM),SV_wedAmt,0)+IF(AND(SV_babOn,A192=SV_babM),SV_babAmt,0)+IF(AND(SV_ltcOn,A192&gt;=SV_ltcM,A192&lt;=SV_ltcE),SV_ltcAmt,0)))</f>
        <v/>
      </c>
      <c r="K192" s="29">
        <f>IF(OR(OR(A192&lt;1,A192&gt;SV_T),A192&gt;SV_loanYears),0,-SV_lifePremYr)</f>
        <v/>
      </c>
      <c r="L192" s="29">
        <f>IF(OR(A192&lt;1,A192&gt;SV_T),0,-SV_contrib)</f>
        <v/>
      </c>
      <c r="M192" s="60">
        <f>IF(AND(SV_crashOn,A192=SV_crashYr),SV_crashF,1)</f>
        <v/>
      </c>
      <c r="N192" s="60">
        <f>IF(AND(SV_ccyOn,A192=SV_ccyYr),SV_ccyF,1)</f>
        <v/>
      </c>
      <c r="O192" s="29">
        <f>IF(A192&gt;SV_T,0,O191*(1+interestRate)*M192*N192)</f>
        <v/>
      </c>
      <c r="P192" s="29">
        <f>IF(A192&gt;SV_T,0,(P191+SV_contrib)*(1+investmentReturn)*M192*N192)</f>
        <v/>
      </c>
      <c r="Q192" s="29">
        <f>IF(A192&gt;SV_T,0,Q191*(1+SV_propRate)*M192)</f>
        <v/>
      </c>
      <c r="R192" s="46">
        <f>MATCH(SV_age+A192-1,SV_cpfLower,1)</f>
        <v/>
      </c>
      <c r="S192" s="29">
        <f>IF(OR(OR(A192&lt;1,A192&gt;SV_T),NOT(SV_cpfOn),AND(SV_deaOn,A192&gt;=SV_deaM)),0,MIN(SV_sal0*(1+incomeGrowthRate)^(A192-1)*G192,SV_owCap))</f>
        <v/>
      </c>
      <c r="T192" s="29">
        <f>IF(A192&gt;SV_T,0,T191*(1+SV_oaRate)+IF(A192&gt;=SV_effStop,0,INDEX(SV_cpfOA,R192)*INDEX(SV_cpfTot,R192)*S192))</f>
        <v/>
      </c>
      <c r="U192" s="29">
        <f>IF(A192&gt;SV_T,0,U191*(1+SV_saRate)+IF(A192&gt;=SV_effStop,0,INDEX(SV_cpfSA,R192)*INDEX(SV_cpfTot,R192)*S192))</f>
        <v/>
      </c>
      <c r="V192" s="29">
        <f>IF(A192&gt;SV_T,0,V191*(1+SV_saRate)+IF(A192&gt;=SV_effStop,0,INDEX(SV_cpfMA,R192)*INDEX(SV_cpfTot,R192)*S192))</f>
        <v/>
      </c>
      <c r="W192" s="29">
        <f>IF(OR(OR(A192&lt;1,A192&gt;SV_T),A192&gt;=SV_effNeg),0,-(INDEX(SV_cpfOA,R192)+INDEX(SV_cpfSA,R192)+INDEX(SV_cpfMA,R192))*INDEX(SV_cpfEmp,R192)*S192)</f>
        <v/>
      </c>
      <c r="X192" s="29">
        <f>IF(A192&gt;=SV_sIdx,0,T192)</f>
        <v/>
      </c>
      <c r="Y192" s="29">
        <f>IF(A192&gt;=SV_sIdx,0,U192)</f>
        <v/>
      </c>
      <c r="Z192" s="29">
        <f>IF(A192&gt;=SV_sIdx,MIN(V192,SV_maCap),V192)</f>
        <v/>
      </c>
      <c r="AA192" s="29">
        <f>IF(AND(SV_cpfOn,A192&gt;=SV_pIdx,A192&lt;=SV_T),12*SV_pay,0)</f>
        <v/>
      </c>
      <c r="AB192" s="29">
        <f>IF(A192&gt;SV_T,0,IF(SV_sp&gt;=0,IF(A192&lt;SV_sIdx,0,IF(A192=SV_sIdx,SV_R0,SV_lifeGrowth*AB191)),SV_lifeGrowth*AB191))</f>
        <v/>
      </c>
      <c r="AC192" s="29">
        <f>IF(A192&gt;SV_T,0,IF(AND(SV_sp&gt;=0,A192&lt;SV_sIdx),0,IF(AND(SV_sp&gt;=0,A192=SV_sIdx),SV_L0,SV_lifeGrowth*(AC191-AA192))))</f>
        <v/>
      </c>
      <c r="AD192" s="29">
        <f>X192+Y192+AB192+Z192+IF(AB192&lt;0,0,AC192)</f>
        <v/>
      </c>
      <c r="AE192" s="29">
        <f>AA192+W192</f>
        <v/>
      </c>
      <c r="AF192" s="29">
        <f>IF(OR(A192&gt;SV_T,A192&gt;=SV_loanYears),0,MAX(0,AF191*(1+loanRate)-SV_inst))</f>
        <v/>
      </c>
      <c r="AG192" s="29">
        <f>IF(A192&gt;SV_T,0,AG191*(1+SV_savRate)+H192+I192+J192+K192+L192+AE192)</f>
        <v/>
      </c>
      <c r="AH192" s="29">
        <f>IF(A192&gt;SV_T,0,MAX(0,O192+P192+Q192+AD192+AG192-AF192))</f>
        <v/>
      </c>
      <c r="AI192" s="29">
        <f>IF(A192&gt;SV_T,0,O192+P192+AG192-MAX(0,AF192-(Q192+AD192)))</f>
        <v/>
      </c>
      <c r="AJ192" s="29">
        <f>IF(OR(OR(A192&lt;1,A192&gt;SV_T),A192-1&gt;=SV_retPay),0,SV_retMth*12+IF(A192=1,SV_retLump,0))</f>
        <v/>
      </c>
      <c r="AK192" s="29">
        <f>IF(A192&gt;SV_T,0,(AK191+AJ192)*(1+investmentReturn))</f>
        <v/>
      </c>
      <c r="AL192" s="29">
        <f>IF(OR(OR(A192&lt;1,A192&gt;SV_T),A192-1&gt;=SV_goalPay),0,SV_goalMth*12+IF(A192=1,SV_goalLump,0))</f>
        <v/>
      </c>
      <c r="AM192" s="29">
        <f>IF(A192&gt;SV_T,0,(AM191+AL192)*(1+investmentReturn))</f>
        <v/>
      </c>
      <c r="AN192" s="29">
        <f>IF(OR(OR(A192&lt;1,A192&gt;SV_T),A192-1&gt;=SV_protPay),0,SV_protPrem)</f>
        <v/>
      </c>
      <c r="AO192" s="29">
        <f>IF(OR(A192=0,A192&gt;=SV_T),0,ROUND(MAX(0,AK192),2)+ROUND(MAX(0,AM192),2))</f>
        <v/>
      </c>
      <c r="AP192" s="29">
        <f>IF(OR(A192&lt;1,A192&gt;SV_T),0,-(AJ192+AL192+AN192)+IF(A192=SV_T,ROUND(MAX(0,AK192),2)+ROUND(MAX(0,AM192),2),0))</f>
        <v/>
      </c>
      <c r="AQ192" s="29">
        <f>IF(A192&gt;SV_T,0,AQ191*(1+SV_savRate)+H192+I192+J192+K192+L192+AE192+AP192)</f>
        <v/>
      </c>
      <c r="AR192" s="29">
        <f>IF(A192&gt;SV_T,0,MAX(0,O192+P192+Q192+AD192+AQ192+AO192-AF192))</f>
        <v/>
      </c>
      <c r="AS192" s="29">
        <f>IF(A192&gt;SV_T,0,O192+P192+AQ192+AO192-MAX(0,AF192-(Q192+AD192)))</f>
        <v/>
      </c>
    </row>
    <row r="193">
      <c r="A193" s="61" t="n">
        <v>31</v>
      </c>
      <c r="B193" s="61">
        <f>SV_age+A193</f>
        <v/>
      </c>
      <c r="C193" s="61">
        <f>currentYear+A193</f>
        <v/>
      </c>
      <c r="D193" s="52">
        <f>A193&lt;=SV_T</f>
        <v/>
      </c>
      <c r="E193" s="60">
        <f>IF(AND(SV_inflOn,A193&gt;=SV_inflS,A193&lt;=SV_inflE),1+SV_inflRate,1+inflationRate)</f>
        <v/>
      </c>
      <c r="F193" s="60">
        <f>IF(A193&lt;=1,1,F192*E193)</f>
        <v/>
      </c>
      <c r="G193" s="60">
        <f>IF(AND(SV_incOn,A193&gt;=SV_incS,A193&lt;=SV_incE),1+SV_incImp,1)</f>
        <v/>
      </c>
      <c r="H193" s="29">
        <f>IF(OR(OR(A193&lt;1,A193&gt;SV_T),A193-1&gt;=SV_salCut,AND(SV_deaOn,A193&gt;=SV_deaM)),0,SV_sal0*(1+incomeGrowthRate)^(A193-1)*G193)</f>
        <v/>
      </c>
      <c r="I193" s="29">
        <f>IF(OR(A193&lt;1,A193&gt;SV_T),0,(-SV_exp0*F193-IF(A193&lt;=SV_loanYears,SV_inst,0)-IF(AND(SV_wdAmt&gt;0,A193=SV_wdYear),SV_wdAmt,0))*IF(AND(SV_expOn,A193&gt;=SV_expS,A193&lt;=SV_expE),1+SV_expImp,1))</f>
        <v/>
      </c>
      <c r="J193" s="29">
        <f>IF(OR(A193&lt;1,A193&gt;SV_T),0,-F193*(IF(AND(SV_deaOn,A193=SV_deaM),SV_deaAmt,0)+IF(AND(SV_criOn,A193=SV_criM),SV_criAmt,0)+IF(AND(SV_tpdOn,A193=SV_tpdM),SV_tpdAmt,0)+IF(AND(SV_pacOn,A193=SV_pacM),SV_pacAmt,0)+IF(AND(SV_hosOn,A193=SV_hosM),SV_hosAmt,0)+IF(AND(SV_wedOn,A193=SV_wedM),SV_wedAmt,0)+IF(AND(SV_babOn,A193=SV_babM),SV_babAmt,0)+IF(AND(SV_ltcOn,A193&gt;=SV_ltcM,A193&lt;=SV_ltcE),SV_ltcAmt,0)))</f>
        <v/>
      </c>
      <c r="K193" s="29">
        <f>IF(OR(OR(A193&lt;1,A193&gt;SV_T),A193&gt;SV_loanYears),0,-SV_lifePremYr)</f>
        <v/>
      </c>
      <c r="L193" s="29">
        <f>IF(OR(A193&lt;1,A193&gt;SV_T),0,-SV_contrib)</f>
        <v/>
      </c>
      <c r="M193" s="60">
        <f>IF(AND(SV_crashOn,A193=SV_crashYr),SV_crashF,1)</f>
        <v/>
      </c>
      <c r="N193" s="60">
        <f>IF(AND(SV_ccyOn,A193=SV_ccyYr),SV_ccyF,1)</f>
        <v/>
      </c>
      <c r="O193" s="29">
        <f>IF(A193&gt;SV_T,0,O192*(1+interestRate)*M193*N193)</f>
        <v/>
      </c>
      <c r="P193" s="29">
        <f>IF(A193&gt;SV_T,0,(P192+SV_contrib)*(1+investmentReturn)*M193*N193)</f>
        <v/>
      </c>
      <c r="Q193" s="29">
        <f>IF(A193&gt;SV_T,0,Q192*(1+SV_propRate)*M193)</f>
        <v/>
      </c>
      <c r="R193" s="46">
        <f>MATCH(SV_age+A193-1,SV_cpfLower,1)</f>
        <v/>
      </c>
      <c r="S193" s="29">
        <f>IF(OR(OR(A193&lt;1,A193&gt;SV_T),NOT(SV_cpfOn),AND(SV_deaOn,A193&gt;=SV_deaM)),0,MIN(SV_sal0*(1+incomeGrowthRate)^(A193-1)*G193,SV_owCap))</f>
        <v/>
      </c>
      <c r="T193" s="29">
        <f>IF(A193&gt;SV_T,0,T192*(1+SV_oaRate)+IF(A193&gt;=SV_effStop,0,INDEX(SV_cpfOA,R193)*INDEX(SV_cpfTot,R193)*S193))</f>
        <v/>
      </c>
      <c r="U193" s="29">
        <f>IF(A193&gt;SV_T,0,U192*(1+SV_saRate)+IF(A193&gt;=SV_effStop,0,INDEX(SV_cpfSA,R193)*INDEX(SV_cpfTot,R193)*S193))</f>
        <v/>
      </c>
      <c r="V193" s="29">
        <f>IF(A193&gt;SV_T,0,V192*(1+SV_saRate)+IF(A193&gt;=SV_effStop,0,INDEX(SV_cpfMA,R193)*INDEX(SV_cpfTot,R193)*S193))</f>
        <v/>
      </c>
      <c r="W193" s="29">
        <f>IF(OR(OR(A193&lt;1,A193&gt;SV_T),A193&gt;=SV_effNeg),0,-(INDEX(SV_cpfOA,R193)+INDEX(SV_cpfSA,R193)+INDEX(SV_cpfMA,R193))*INDEX(SV_cpfEmp,R193)*S193)</f>
        <v/>
      </c>
      <c r="X193" s="29">
        <f>IF(A193&gt;=SV_sIdx,0,T193)</f>
        <v/>
      </c>
      <c r="Y193" s="29">
        <f>IF(A193&gt;=SV_sIdx,0,U193)</f>
        <v/>
      </c>
      <c r="Z193" s="29">
        <f>IF(A193&gt;=SV_sIdx,MIN(V193,SV_maCap),V193)</f>
        <v/>
      </c>
      <c r="AA193" s="29">
        <f>IF(AND(SV_cpfOn,A193&gt;=SV_pIdx,A193&lt;=SV_T),12*SV_pay,0)</f>
        <v/>
      </c>
      <c r="AB193" s="29">
        <f>IF(A193&gt;SV_T,0,IF(SV_sp&gt;=0,IF(A193&lt;SV_sIdx,0,IF(A193=SV_sIdx,SV_R0,SV_lifeGrowth*AB192)),SV_lifeGrowth*AB192))</f>
        <v/>
      </c>
      <c r="AC193" s="29">
        <f>IF(A193&gt;SV_T,0,IF(AND(SV_sp&gt;=0,A193&lt;SV_sIdx),0,IF(AND(SV_sp&gt;=0,A193=SV_sIdx),SV_L0,SV_lifeGrowth*(AC192-AA193))))</f>
        <v/>
      </c>
      <c r="AD193" s="29">
        <f>X193+Y193+AB193+Z193+IF(AB193&lt;0,0,AC193)</f>
        <v/>
      </c>
      <c r="AE193" s="29">
        <f>AA193+W193</f>
        <v/>
      </c>
      <c r="AF193" s="29">
        <f>IF(OR(A193&gt;SV_T,A193&gt;=SV_loanYears),0,MAX(0,AF192*(1+loanRate)-SV_inst))</f>
        <v/>
      </c>
      <c r="AG193" s="29">
        <f>IF(A193&gt;SV_T,0,AG192*(1+SV_savRate)+H193+I193+J193+K193+L193+AE193)</f>
        <v/>
      </c>
      <c r="AH193" s="29">
        <f>IF(A193&gt;SV_T,0,MAX(0,O193+P193+Q193+AD193+AG193-AF193))</f>
        <v/>
      </c>
      <c r="AI193" s="29">
        <f>IF(A193&gt;SV_T,0,O193+P193+AG193-MAX(0,AF193-(Q193+AD193)))</f>
        <v/>
      </c>
      <c r="AJ193" s="29">
        <f>IF(OR(OR(A193&lt;1,A193&gt;SV_T),A193-1&gt;=SV_retPay),0,SV_retMth*12+IF(A193=1,SV_retLump,0))</f>
        <v/>
      </c>
      <c r="AK193" s="29">
        <f>IF(A193&gt;SV_T,0,(AK192+AJ193)*(1+investmentReturn))</f>
        <v/>
      </c>
      <c r="AL193" s="29">
        <f>IF(OR(OR(A193&lt;1,A193&gt;SV_T),A193-1&gt;=SV_goalPay),0,SV_goalMth*12+IF(A193=1,SV_goalLump,0))</f>
        <v/>
      </c>
      <c r="AM193" s="29">
        <f>IF(A193&gt;SV_T,0,(AM192+AL193)*(1+investmentReturn))</f>
        <v/>
      </c>
      <c r="AN193" s="29">
        <f>IF(OR(OR(A193&lt;1,A193&gt;SV_T),A193-1&gt;=SV_protPay),0,SV_protPrem)</f>
        <v/>
      </c>
      <c r="AO193" s="29">
        <f>IF(OR(A193=0,A193&gt;=SV_T),0,ROUND(MAX(0,AK193),2)+ROUND(MAX(0,AM193),2))</f>
        <v/>
      </c>
      <c r="AP193" s="29">
        <f>IF(OR(A193&lt;1,A193&gt;SV_T),0,-(AJ193+AL193+AN193)+IF(A193=SV_T,ROUND(MAX(0,AK193),2)+ROUND(MAX(0,AM193),2),0))</f>
        <v/>
      </c>
      <c r="AQ193" s="29">
        <f>IF(A193&gt;SV_T,0,AQ192*(1+SV_savRate)+H193+I193+J193+K193+L193+AE193+AP193)</f>
        <v/>
      </c>
      <c r="AR193" s="29">
        <f>IF(A193&gt;SV_T,0,MAX(0,O193+P193+Q193+AD193+AQ193+AO193-AF193))</f>
        <v/>
      </c>
      <c r="AS193" s="29">
        <f>IF(A193&gt;SV_T,0,O193+P193+AQ193+AO193-MAX(0,AF193-(Q193+AD193)))</f>
        <v/>
      </c>
    </row>
    <row r="194">
      <c r="A194" s="61" t="n">
        <v>32</v>
      </c>
      <c r="B194" s="61">
        <f>SV_age+A194</f>
        <v/>
      </c>
      <c r="C194" s="61">
        <f>currentYear+A194</f>
        <v/>
      </c>
      <c r="D194" s="52">
        <f>A194&lt;=SV_T</f>
        <v/>
      </c>
      <c r="E194" s="60">
        <f>IF(AND(SV_inflOn,A194&gt;=SV_inflS,A194&lt;=SV_inflE),1+SV_inflRate,1+inflationRate)</f>
        <v/>
      </c>
      <c r="F194" s="60">
        <f>IF(A194&lt;=1,1,F193*E194)</f>
        <v/>
      </c>
      <c r="G194" s="60">
        <f>IF(AND(SV_incOn,A194&gt;=SV_incS,A194&lt;=SV_incE),1+SV_incImp,1)</f>
        <v/>
      </c>
      <c r="H194" s="29">
        <f>IF(OR(OR(A194&lt;1,A194&gt;SV_T),A194-1&gt;=SV_salCut,AND(SV_deaOn,A194&gt;=SV_deaM)),0,SV_sal0*(1+incomeGrowthRate)^(A194-1)*G194)</f>
        <v/>
      </c>
      <c r="I194" s="29">
        <f>IF(OR(A194&lt;1,A194&gt;SV_T),0,(-SV_exp0*F194-IF(A194&lt;=SV_loanYears,SV_inst,0)-IF(AND(SV_wdAmt&gt;0,A194=SV_wdYear),SV_wdAmt,0))*IF(AND(SV_expOn,A194&gt;=SV_expS,A194&lt;=SV_expE),1+SV_expImp,1))</f>
        <v/>
      </c>
      <c r="J194" s="29">
        <f>IF(OR(A194&lt;1,A194&gt;SV_T),0,-F194*(IF(AND(SV_deaOn,A194=SV_deaM),SV_deaAmt,0)+IF(AND(SV_criOn,A194=SV_criM),SV_criAmt,0)+IF(AND(SV_tpdOn,A194=SV_tpdM),SV_tpdAmt,0)+IF(AND(SV_pacOn,A194=SV_pacM),SV_pacAmt,0)+IF(AND(SV_hosOn,A194=SV_hosM),SV_hosAmt,0)+IF(AND(SV_wedOn,A194=SV_wedM),SV_wedAmt,0)+IF(AND(SV_babOn,A194=SV_babM),SV_babAmt,0)+IF(AND(SV_ltcOn,A194&gt;=SV_ltcM,A194&lt;=SV_ltcE),SV_ltcAmt,0)))</f>
        <v/>
      </c>
      <c r="K194" s="29">
        <f>IF(OR(OR(A194&lt;1,A194&gt;SV_T),A194&gt;SV_loanYears),0,-SV_lifePremYr)</f>
        <v/>
      </c>
      <c r="L194" s="29">
        <f>IF(OR(A194&lt;1,A194&gt;SV_T),0,-SV_contrib)</f>
        <v/>
      </c>
      <c r="M194" s="60">
        <f>IF(AND(SV_crashOn,A194=SV_crashYr),SV_crashF,1)</f>
        <v/>
      </c>
      <c r="N194" s="60">
        <f>IF(AND(SV_ccyOn,A194=SV_ccyYr),SV_ccyF,1)</f>
        <v/>
      </c>
      <c r="O194" s="29">
        <f>IF(A194&gt;SV_T,0,O193*(1+interestRate)*M194*N194)</f>
        <v/>
      </c>
      <c r="P194" s="29">
        <f>IF(A194&gt;SV_T,0,(P193+SV_contrib)*(1+investmentReturn)*M194*N194)</f>
        <v/>
      </c>
      <c r="Q194" s="29">
        <f>IF(A194&gt;SV_T,0,Q193*(1+SV_propRate)*M194)</f>
        <v/>
      </c>
      <c r="R194" s="46">
        <f>MATCH(SV_age+A194-1,SV_cpfLower,1)</f>
        <v/>
      </c>
      <c r="S194" s="29">
        <f>IF(OR(OR(A194&lt;1,A194&gt;SV_T),NOT(SV_cpfOn),AND(SV_deaOn,A194&gt;=SV_deaM)),0,MIN(SV_sal0*(1+incomeGrowthRate)^(A194-1)*G194,SV_owCap))</f>
        <v/>
      </c>
      <c r="T194" s="29">
        <f>IF(A194&gt;SV_T,0,T193*(1+SV_oaRate)+IF(A194&gt;=SV_effStop,0,INDEX(SV_cpfOA,R194)*INDEX(SV_cpfTot,R194)*S194))</f>
        <v/>
      </c>
      <c r="U194" s="29">
        <f>IF(A194&gt;SV_T,0,U193*(1+SV_saRate)+IF(A194&gt;=SV_effStop,0,INDEX(SV_cpfSA,R194)*INDEX(SV_cpfTot,R194)*S194))</f>
        <v/>
      </c>
      <c r="V194" s="29">
        <f>IF(A194&gt;SV_T,0,V193*(1+SV_saRate)+IF(A194&gt;=SV_effStop,0,INDEX(SV_cpfMA,R194)*INDEX(SV_cpfTot,R194)*S194))</f>
        <v/>
      </c>
      <c r="W194" s="29">
        <f>IF(OR(OR(A194&lt;1,A194&gt;SV_T),A194&gt;=SV_effNeg),0,-(INDEX(SV_cpfOA,R194)+INDEX(SV_cpfSA,R194)+INDEX(SV_cpfMA,R194))*INDEX(SV_cpfEmp,R194)*S194)</f>
        <v/>
      </c>
      <c r="X194" s="29">
        <f>IF(A194&gt;=SV_sIdx,0,T194)</f>
        <v/>
      </c>
      <c r="Y194" s="29">
        <f>IF(A194&gt;=SV_sIdx,0,U194)</f>
        <v/>
      </c>
      <c r="Z194" s="29">
        <f>IF(A194&gt;=SV_sIdx,MIN(V194,SV_maCap),V194)</f>
        <v/>
      </c>
      <c r="AA194" s="29">
        <f>IF(AND(SV_cpfOn,A194&gt;=SV_pIdx,A194&lt;=SV_T),12*SV_pay,0)</f>
        <v/>
      </c>
      <c r="AB194" s="29">
        <f>IF(A194&gt;SV_T,0,IF(SV_sp&gt;=0,IF(A194&lt;SV_sIdx,0,IF(A194=SV_sIdx,SV_R0,SV_lifeGrowth*AB193)),SV_lifeGrowth*AB193))</f>
        <v/>
      </c>
      <c r="AC194" s="29">
        <f>IF(A194&gt;SV_T,0,IF(AND(SV_sp&gt;=0,A194&lt;SV_sIdx),0,IF(AND(SV_sp&gt;=0,A194=SV_sIdx),SV_L0,SV_lifeGrowth*(AC193-AA194))))</f>
        <v/>
      </c>
      <c r="AD194" s="29">
        <f>X194+Y194+AB194+Z194+IF(AB194&lt;0,0,AC194)</f>
        <v/>
      </c>
      <c r="AE194" s="29">
        <f>AA194+W194</f>
        <v/>
      </c>
      <c r="AF194" s="29">
        <f>IF(OR(A194&gt;SV_T,A194&gt;=SV_loanYears),0,MAX(0,AF193*(1+loanRate)-SV_inst))</f>
        <v/>
      </c>
      <c r="AG194" s="29">
        <f>IF(A194&gt;SV_T,0,AG193*(1+SV_savRate)+H194+I194+J194+K194+L194+AE194)</f>
        <v/>
      </c>
      <c r="AH194" s="29">
        <f>IF(A194&gt;SV_T,0,MAX(0,O194+P194+Q194+AD194+AG194-AF194))</f>
        <v/>
      </c>
      <c r="AI194" s="29">
        <f>IF(A194&gt;SV_T,0,O194+P194+AG194-MAX(0,AF194-(Q194+AD194)))</f>
        <v/>
      </c>
      <c r="AJ194" s="29">
        <f>IF(OR(OR(A194&lt;1,A194&gt;SV_T),A194-1&gt;=SV_retPay),0,SV_retMth*12+IF(A194=1,SV_retLump,0))</f>
        <v/>
      </c>
      <c r="AK194" s="29">
        <f>IF(A194&gt;SV_T,0,(AK193+AJ194)*(1+investmentReturn))</f>
        <v/>
      </c>
      <c r="AL194" s="29">
        <f>IF(OR(OR(A194&lt;1,A194&gt;SV_T),A194-1&gt;=SV_goalPay),0,SV_goalMth*12+IF(A194=1,SV_goalLump,0))</f>
        <v/>
      </c>
      <c r="AM194" s="29">
        <f>IF(A194&gt;SV_T,0,(AM193+AL194)*(1+investmentReturn))</f>
        <v/>
      </c>
      <c r="AN194" s="29">
        <f>IF(OR(OR(A194&lt;1,A194&gt;SV_T),A194-1&gt;=SV_protPay),0,SV_protPrem)</f>
        <v/>
      </c>
      <c r="AO194" s="29">
        <f>IF(OR(A194=0,A194&gt;=SV_T),0,ROUND(MAX(0,AK194),2)+ROUND(MAX(0,AM194),2))</f>
        <v/>
      </c>
      <c r="AP194" s="29">
        <f>IF(OR(A194&lt;1,A194&gt;SV_T),0,-(AJ194+AL194+AN194)+IF(A194=SV_T,ROUND(MAX(0,AK194),2)+ROUND(MAX(0,AM194),2),0))</f>
        <v/>
      </c>
      <c r="AQ194" s="29">
        <f>IF(A194&gt;SV_T,0,AQ193*(1+SV_savRate)+H194+I194+J194+K194+L194+AE194+AP194)</f>
        <v/>
      </c>
      <c r="AR194" s="29">
        <f>IF(A194&gt;SV_T,0,MAX(0,O194+P194+Q194+AD194+AQ194+AO194-AF194))</f>
        <v/>
      </c>
      <c r="AS194" s="29">
        <f>IF(A194&gt;SV_T,0,O194+P194+AQ194+AO194-MAX(0,AF194-(Q194+AD194)))</f>
        <v/>
      </c>
    </row>
    <row r="195">
      <c r="A195" s="61" t="n">
        <v>33</v>
      </c>
      <c r="B195" s="61">
        <f>SV_age+A195</f>
        <v/>
      </c>
      <c r="C195" s="61">
        <f>currentYear+A195</f>
        <v/>
      </c>
      <c r="D195" s="52">
        <f>A195&lt;=SV_T</f>
        <v/>
      </c>
      <c r="E195" s="60">
        <f>IF(AND(SV_inflOn,A195&gt;=SV_inflS,A195&lt;=SV_inflE),1+SV_inflRate,1+inflationRate)</f>
        <v/>
      </c>
      <c r="F195" s="60">
        <f>IF(A195&lt;=1,1,F194*E195)</f>
        <v/>
      </c>
      <c r="G195" s="60">
        <f>IF(AND(SV_incOn,A195&gt;=SV_incS,A195&lt;=SV_incE),1+SV_incImp,1)</f>
        <v/>
      </c>
      <c r="H195" s="29">
        <f>IF(OR(OR(A195&lt;1,A195&gt;SV_T),A195-1&gt;=SV_salCut,AND(SV_deaOn,A195&gt;=SV_deaM)),0,SV_sal0*(1+incomeGrowthRate)^(A195-1)*G195)</f>
        <v/>
      </c>
      <c r="I195" s="29">
        <f>IF(OR(A195&lt;1,A195&gt;SV_T),0,(-SV_exp0*F195-IF(A195&lt;=SV_loanYears,SV_inst,0)-IF(AND(SV_wdAmt&gt;0,A195=SV_wdYear),SV_wdAmt,0))*IF(AND(SV_expOn,A195&gt;=SV_expS,A195&lt;=SV_expE),1+SV_expImp,1))</f>
        <v/>
      </c>
      <c r="J195" s="29">
        <f>IF(OR(A195&lt;1,A195&gt;SV_T),0,-F195*(IF(AND(SV_deaOn,A195=SV_deaM),SV_deaAmt,0)+IF(AND(SV_criOn,A195=SV_criM),SV_criAmt,0)+IF(AND(SV_tpdOn,A195=SV_tpdM),SV_tpdAmt,0)+IF(AND(SV_pacOn,A195=SV_pacM),SV_pacAmt,0)+IF(AND(SV_hosOn,A195=SV_hosM),SV_hosAmt,0)+IF(AND(SV_wedOn,A195=SV_wedM),SV_wedAmt,0)+IF(AND(SV_babOn,A195=SV_babM),SV_babAmt,0)+IF(AND(SV_ltcOn,A195&gt;=SV_ltcM,A195&lt;=SV_ltcE),SV_ltcAmt,0)))</f>
        <v/>
      </c>
      <c r="K195" s="29">
        <f>IF(OR(OR(A195&lt;1,A195&gt;SV_T),A195&gt;SV_loanYears),0,-SV_lifePremYr)</f>
        <v/>
      </c>
      <c r="L195" s="29">
        <f>IF(OR(A195&lt;1,A195&gt;SV_T),0,-SV_contrib)</f>
        <v/>
      </c>
      <c r="M195" s="60">
        <f>IF(AND(SV_crashOn,A195=SV_crashYr),SV_crashF,1)</f>
        <v/>
      </c>
      <c r="N195" s="60">
        <f>IF(AND(SV_ccyOn,A195=SV_ccyYr),SV_ccyF,1)</f>
        <v/>
      </c>
      <c r="O195" s="29">
        <f>IF(A195&gt;SV_T,0,O194*(1+interestRate)*M195*N195)</f>
        <v/>
      </c>
      <c r="P195" s="29">
        <f>IF(A195&gt;SV_T,0,(P194+SV_contrib)*(1+investmentReturn)*M195*N195)</f>
        <v/>
      </c>
      <c r="Q195" s="29">
        <f>IF(A195&gt;SV_T,0,Q194*(1+SV_propRate)*M195)</f>
        <v/>
      </c>
      <c r="R195" s="46">
        <f>MATCH(SV_age+A195-1,SV_cpfLower,1)</f>
        <v/>
      </c>
      <c r="S195" s="29">
        <f>IF(OR(OR(A195&lt;1,A195&gt;SV_T),NOT(SV_cpfOn),AND(SV_deaOn,A195&gt;=SV_deaM)),0,MIN(SV_sal0*(1+incomeGrowthRate)^(A195-1)*G195,SV_owCap))</f>
        <v/>
      </c>
      <c r="T195" s="29">
        <f>IF(A195&gt;SV_T,0,T194*(1+SV_oaRate)+IF(A195&gt;=SV_effStop,0,INDEX(SV_cpfOA,R195)*INDEX(SV_cpfTot,R195)*S195))</f>
        <v/>
      </c>
      <c r="U195" s="29">
        <f>IF(A195&gt;SV_T,0,U194*(1+SV_saRate)+IF(A195&gt;=SV_effStop,0,INDEX(SV_cpfSA,R195)*INDEX(SV_cpfTot,R195)*S195))</f>
        <v/>
      </c>
      <c r="V195" s="29">
        <f>IF(A195&gt;SV_T,0,V194*(1+SV_saRate)+IF(A195&gt;=SV_effStop,0,INDEX(SV_cpfMA,R195)*INDEX(SV_cpfTot,R195)*S195))</f>
        <v/>
      </c>
      <c r="W195" s="29">
        <f>IF(OR(OR(A195&lt;1,A195&gt;SV_T),A195&gt;=SV_effNeg),0,-(INDEX(SV_cpfOA,R195)+INDEX(SV_cpfSA,R195)+INDEX(SV_cpfMA,R195))*INDEX(SV_cpfEmp,R195)*S195)</f>
        <v/>
      </c>
      <c r="X195" s="29">
        <f>IF(A195&gt;=SV_sIdx,0,T195)</f>
        <v/>
      </c>
      <c r="Y195" s="29">
        <f>IF(A195&gt;=SV_sIdx,0,U195)</f>
        <v/>
      </c>
      <c r="Z195" s="29">
        <f>IF(A195&gt;=SV_sIdx,MIN(V195,SV_maCap),V195)</f>
        <v/>
      </c>
      <c r="AA195" s="29">
        <f>IF(AND(SV_cpfOn,A195&gt;=SV_pIdx,A195&lt;=SV_T),12*SV_pay,0)</f>
        <v/>
      </c>
      <c r="AB195" s="29">
        <f>IF(A195&gt;SV_T,0,IF(SV_sp&gt;=0,IF(A195&lt;SV_sIdx,0,IF(A195=SV_sIdx,SV_R0,SV_lifeGrowth*AB194)),SV_lifeGrowth*AB194))</f>
        <v/>
      </c>
      <c r="AC195" s="29">
        <f>IF(A195&gt;SV_T,0,IF(AND(SV_sp&gt;=0,A195&lt;SV_sIdx),0,IF(AND(SV_sp&gt;=0,A195=SV_sIdx),SV_L0,SV_lifeGrowth*(AC194-AA195))))</f>
        <v/>
      </c>
      <c r="AD195" s="29">
        <f>X195+Y195+AB195+Z195+IF(AB195&lt;0,0,AC195)</f>
        <v/>
      </c>
      <c r="AE195" s="29">
        <f>AA195+W195</f>
        <v/>
      </c>
      <c r="AF195" s="29">
        <f>IF(OR(A195&gt;SV_T,A195&gt;=SV_loanYears),0,MAX(0,AF194*(1+loanRate)-SV_inst))</f>
        <v/>
      </c>
      <c r="AG195" s="29">
        <f>IF(A195&gt;SV_T,0,AG194*(1+SV_savRate)+H195+I195+J195+K195+L195+AE195)</f>
        <v/>
      </c>
      <c r="AH195" s="29">
        <f>IF(A195&gt;SV_T,0,MAX(0,O195+P195+Q195+AD195+AG195-AF195))</f>
        <v/>
      </c>
      <c r="AI195" s="29">
        <f>IF(A195&gt;SV_T,0,O195+P195+AG195-MAX(0,AF195-(Q195+AD195)))</f>
        <v/>
      </c>
      <c r="AJ195" s="29">
        <f>IF(OR(OR(A195&lt;1,A195&gt;SV_T),A195-1&gt;=SV_retPay),0,SV_retMth*12+IF(A195=1,SV_retLump,0))</f>
        <v/>
      </c>
      <c r="AK195" s="29">
        <f>IF(A195&gt;SV_T,0,(AK194+AJ195)*(1+investmentReturn))</f>
        <v/>
      </c>
      <c r="AL195" s="29">
        <f>IF(OR(OR(A195&lt;1,A195&gt;SV_T),A195-1&gt;=SV_goalPay),0,SV_goalMth*12+IF(A195=1,SV_goalLump,0))</f>
        <v/>
      </c>
      <c r="AM195" s="29">
        <f>IF(A195&gt;SV_T,0,(AM194+AL195)*(1+investmentReturn))</f>
        <v/>
      </c>
      <c r="AN195" s="29">
        <f>IF(OR(OR(A195&lt;1,A195&gt;SV_T),A195-1&gt;=SV_protPay),0,SV_protPrem)</f>
        <v/>
      </c>
      <c r="AO195" s="29">
        <f>IF(OR(A195=0,A195&gt;=SV_T),0,ROUND(MAX(0,AK195),2)+ROUND(MAX(0,AM195),2))</f>
        <v/>
      </c>
      <c r="AP195" s="29">
        <f>IF(OR(A195&lt;1,A195&gt;SV_T),0,-(AJ195+AL195+AN195)+IF(A195=SV_T,ROUND(MAX(0,AK195),2)+ROUND(MAX(0,AM195),2),0))</f>
        <v/>
      </c>
      <c r="AQ195" s="29">
        <f>IF(A195&gt;SV_T,0,AQ194*(1+SV_savRate)+H195+I195+J195+K195+L195+AE195+AP195)</f>
        <v/>
      </c>
      <c r="AR195" s="29">
        <f>IF(A195&gt;SV_T,0,MAX(0,O195+P195+Q195+AD195+AQ195+AO195-AF195))</f>
        <v/>
      </c>
      <c r="AS195" s="29">
        <f>IF(A195&gt;SV_T,0,O195+P195+AQ195+AO195-MAX(0,AF195-(Q195+AD195)))</f>
        <v/>
      </c>
    </row>
    <row r="196">
      <c r="A196" s="61" t="n">
        <v>34</v>
      </c>
      <c r="B196" s="61">
        <f>SV_age+A196</f>
        <v/>
      </c>
      <c r="C196" s="61">
        <f>currentYear+A196</f>
        <v/>
      </c>
      <c r="D196" s="52">
        <f>A196&lt;=SV_T</f>
        <v/>
      </c>
      <c r="E196" s="60">
        <f>IF(AND(SV_inflOn,A196&gt;=SV_inflS,A196&lt;=SV_inflE),1+SV_inflRate,1+inflationRate)</f>
        <v/>
      </c>
      <c r="F196" s="60">
        <f>IF(A196&lt;=1,1,F195*E196)</f>
        <v/>
      </c>
      <c r="G196" s="60">
        <f>IF(AND(SV_incOn,A196&gt;=SV_incS,A196&lt;=SV_incE),1+SV_incImp,1)</f>
        <v/>
      </c>
      <c r="H196" s="29">
        <f>IF(OR(OR(A196&lt;1,A196&gt;SV_T),A196-1&gt;=SV_salCut,AND(SV_deaOn,A196&gt;=SV_deaM)),0,SV_sal0*(1+incomeGrowthRate)^(A196-1)*G196)</f>
        <v/>
      </c>
      <c r="I196" s="29">
        <f>IF(OR(A196&lt;1,A196&gt;SV_T),0,(-SV_exp0*F196-IF(A196&lt;=SV_loanYears,SV_inst,0)-IF(AND(SV_wdAmt&gt;0,A196=SV_wdYear),SV_wdAmt,0))*IF(AND(SV_expOn,A196&gt;=SV_expS,A196&lt;=SV_expE),1+SV_expImp,1))</f>
        <v/>
      </c>
      <c r="J196" s="29">
        <f>IF(OR(A196&lt;1,A196&gt;SV_T),0,-F196*(IF(AND(SV_deaOn,A196=SV_deaM),SV_deaAmt,0)+IF(AND(SV_criOn,A196=SV_criM),SV_criAmt,0)+IF(AND(SV_tpdOn,A196=SV_tpdM),SV_tpdAmt,0)+IF(AND(SV_pacOn,A196=SV_pacM),SV_pacAmt,0)+IF(AND(SV_hosOn,A196=SV_hosM),SV_hosAmt,0)+IF(AND(SV_wedOn,A196=SV_wedM),SV_wedAmt,0)+IF(AND(SV_babOn,A196=SV_babM),SV_babAmt,0)+IF(AND(SV_ltcOn,A196&gt;=SV_ltcM,A196&lt;=SV_ltcE),SV_ltcAmt,0)))</f>
        <v/>
      </c>
      <c r="K196" s="29">
        <f>IF(OR(OR(A196&lt;1,A196&gt;SV_T),A196&gt;SV_loanYears),0,-SV_lifePremYr)</f>
        <v/>
      </c>
      <c r="L196" s="29">
        <f>IF(OR(A196&lt;1,A196&gt;SV_T),0,-SV_contrib)</f>
        <v/>
      </c>
      <c r="M196" s="60">
        <f>IF(AND(SV_crashOn,A196=SV_crashYr),SV_crashF,1)</f>
        <v/>
      </c>
      <c r="N196" s="60">
        <f>IF(AND(SV_ccyOn,A196=SV_ccyYr),SV_ccyF,1)</f>
        <v/>
      </c>
      <c r="O196" s="29">
        <f>IF(A196&gt;SV_T,0,O195*(1+interestRate)*M196*N196)</f>
        <v/>
      </c>
      <c r="P196" s="29">
        <f>IF(A196&gt;SV_T,0,(P195+SV_contrib)*(1+investmentReturn)*M196*N196)</f>
        <v/>
      </c>
      <c r="Q196" s="29">
        <f>IF(A196&gt;SV_T,0,Q195*(1+SV_propRate)*M196)</f>
        <v/>
      </c>
      <c r="R196" s="46">
        <f>MATCH(SV_age+A196-1,SV_cpfLower,1)</f>
        <v/>
      </c>
      <c r="S196" s="29">
        <f>IF(OR(OR(A196&lt;1,A196&gt;SV_T),NOT(SV_cpfOn),AND(SV_deaOn,A196&gt;=SV_deaM)),0,MIN(SV_sal0*(1+incomeGrowthRate)^(A196-1)*G196,SV_owCap))</f>
        <v/>
      </c>
      <c r="T196" s="29">
        <f>IF(A196&gt;SV_T,0,T195*(1+SV_oaRate)+IF(A196&gt;=SV_effStop,0,INDEX(SV_cpfOA,R196)*INDEX(SV_cpfTot,R196)*S196))</f>
        <v/>
      </c>
      <c r="U196" s="29">
        <f>IF(A196&gt;SV_T,0,U195*(1+SV_saRate)+IF(A196&gt;=SV_effStop,0,INDEX(SV_cpfSA,R196)*INDEX(SV_cpfTot,R196)*S196))</f>
        <v/>
      </c>
      <c r="V196" s="29">
        <f>IF(A196&gt;SV_T,0,V195*(1+SV_saRate)+IF(A196&gt;=SV_effStop,0,INDEX(SV_cpfMA,R196)*INDEX(SV_cpfTot,R196)*S196))</f>
        <v/>
      </c>
      <c r="W196" s="29">
        <f>IF(OR(OR(A196&lt;1,A196&gt;SV_T),A196&gt;=SV_effNeg),0,-(INDEX(SV_cpfOA,R196)+INDEX(SV_cpfSA,R196)+INDEX(SV_cpfMA,R196))*INDEX(SV_cpfEmp,R196)*S196)</f>
        <v/>
      </c>
      <c r="X196" s="29">
        <f>IF(A196&gt;=SV_sIdx,0,T196)</f>
        <v/>
      </c>
      <c r="Y196" s="29">
        <f>IF(A196&gt;=SV_sIdx,0,U196)</f>
        <v/>
      </c>
      <c r="Z196" s="29">
        <f>IF(A196&gt;=SV_sIdx,MIN(V196,SV_maCap),V196)</f>
        <v/>
      </c>
      <c r="AA196" s="29">
        <f>IF(AND(SV_cpfOn,A196&gt;=SV_pIdx,A196&lt;=SV_T),12*SV_pay,0)</f>
        <v/>
      </c>
      <c r="AB196" s="29">
        <f>IF(A196&gt;SV_T,0,IF(SV_sp&gt;=0,IF(A196&lt;SV_sIdx,0,IF(A196=SV_sIdx,SV_R0,SV_lifeGrowth*AB195)),SV_lifeGrowth*AB195))</f>
        <v/>
      </c>
      <c r="AC196" s="29">
        <f>IF(A196&gt;SV_T,0,IF(AND(SV_sp&gt;=0,A196&lt;SV_sIdx),0,IF(AND(SV_sp&gt;=0,A196=SV_sIdx),SV_L0,SV_lifeGrowth*(AC195-AA196))))</f>
        <v/>
      </c>
      <c r="AD196" s="29">
        <f>X196+Y196+AB196+Z196+IF(AB196&lt;0,0,AC196)</f>
        <v/>
      </c>
      <c r="AE196" s="29">
        <f>AA196+W196</f>
        <v/>
      </c>
      <c r="AF196" s="29">
        <f>IF(OR(A196&gt;SV_T,A196&gt;=SV_loanYears),0,MAX(0,AF195*(1+loanRate)-SV_inst))</f>
        <v/>
      </c>
      <c r="AG196" s="29">
        <f>IF(A196&gt;SV_T,0,AG195*(1+SV_savRate)+H196+I196+J196+K196+L196+AE196)</f>
        <v/>
      </c>
      <c r="AH196" s="29">
        <f>IF(A196&gt;SV_T,0,MAX(0,O196+P196+Q196+AD196+AG196-AF196))</f>
        <v/>
      </c>
      <c r="AI196" s="29">
        <f>IF(A196&gt;SV_T,0,O196+P196+AG196-MAX(0,AF196-(Q196+AD196)))</f>
        <v/>
      </c>
      <c r="AJ196" s="29">
        <f>IF(OR(OR(A196&lt;1,A196&gt;SV_T),A196-1&gt;=SV_retPay),0,SV_retMth*12+IF(A196=1,SV_retLump,0))</f>
        <v/>
      </c>
      <c r="AK196" s="29">
        <f>IF(A196&gt;SV_T,0,(AK195+AJ196)*(1+investmentReturn))</f>
        <v/>
      </c>
      <c r="AL196" s="29">
        <f>IF(OR(OR(A196&lt;1,A196&gt;SV_T),A196-1&gt;=SV_goalPay),0,SV_goalMth*12+IF(A196=1,SV_goalLump,0))</f>
        <v/>
      </c>
      <c r="AM196" s="29">
        <f>IF(A196&gt;SV_T,0,(AM195+AL196)*(1+investmentReturn))</f>
        <v/>
      </c>
      <c r="AN196" s="29">
        <f>IF(OR(OR(A196&lt;1,A196&gt;SV_T),A196-1&gt;=SV_protPay),0,SV_protPrem)</f>
        <v/>
      </c>
      <c r="AO196" s="29">
        <f>IF(OR(A196=0,A196&gt;=SV_T),0,ROUND(MAX(0,AK196),2)+ROUND(MAX(0,AM196),2))</f>
        <v/>
      </c>
      <c r="AP196" s="29">
        <f>IF(OR(A196&lt;1,A196&gt;SV_T),0,-(AJ196+AL196+AN196)+IF(A196=SV_T,ROUND(MAX(0,AK196),2)+ROUND(MAX(0,AM196),2),0))</f>
        <v/>
      </c>
      <c r="AQ196" s="29">
        <f>IF(A196&gt;SV_T,0,AQ195*(1+SV_savRate)+H196+I196+J196+K196+L196+AE196+AP196)</f>
        <v/>
      </c>
      <c r="AR196" s="29">
        <f>IF(A196&gt;SV_T,0,MAX(0,O196+P196+Q196+AD196+AQ196+AO196-AF196))</f>
        <v/>
      </c>
      <c r="AS196" s="29">
        <f>IF(A196&gt;SV_T,0,O196+P196+AQ196+AO196-MAX(0,AF196-(Q196+AD196)))</f>
        <v/>
      </c>
    </row>
    <row r="197">
      <c r="A197" s="61" t="n">
        <v>35</v>
      </c>
      <c r="B197" s="61">
        <f>SV_age+A197</f>
        <v/>
      </c>
      <c r="C197" s="61">
        <f>currentYear+A197</f>
        <v/>
      </c>
      <c r="D197" s="52">
        <f>A197&lt;=SV_T</f>
        <v/>
      </c>
      <c r="E197" s="60">
        <f>IF(AND(SV_inflOn,A197&gt;=SV_inflS,A197&lt;=SV_inflE),1+SV_inflRate,1+inflationRate)</f>
        <v/>
      </c>
      <c r="F197" s="60">
        <f>IF(A197&lt;=1,1,F196*E197)</f>
        <v/>
      </c>
      <c r="G197" s="60">
        <f>IF(AND(SV_incOn,A197&gt;=SV_incS,A197&lt;=SV_incE),1+SV_incImp,1)</f>
        <v/>
      </c>
      <c r="H197" s="29">
        <f>IF(OR(OR(A197&lt;1,A197&gt;SV_T),A197-1&gt;=SV_salCut,AND(SV_deaOn,A197&gt;=SV_deaM)),0,SV_sal0*(1+incomeGrowthRate)^(A197-1)*G197)</f>
        <v/>
      </c>
      <c r="I197" s="29">
        <f>IF(OR(A197&lt;1,A197&gt;SV_T),0,(-SV_exp0*F197-IF(A197&lt;=SV_loanYears,SV_inst,0)-IF(AND(SV_wdAmt&gt;0,A197=SV_wdYear),SV_wdAmt,0))*IF(AND(SV_expOn,A197&gt;=SV_expS,A197&lt;=SV_expE),1+SV_expImp,1))</f>
        <v/>
      </c>
      <c r="J197" s="29">
        <f>IF(OR(A197&lt;1,A197&gt;SV_T),0,-F197*(IF(AND(SV_deaOn,A197=SV_deaM),SV_deaAmt,0)+IF(AND(SV_criOn,A197=SV_criM),SV_criAmt,0)+IF(AND(SV_tpdOn,A197=SV_tpdM),SV_tpdAmt,0)+IF(AND(SV_pacOn,A197=SV_pacM),SV_pacAmt,0)+IF(AND(SV_hosOn,A197=SV_hosM),SV_hosAmt,0)+IF(AND(SV_wedOn,A197=SV_wedM),SV_wedAmt,0)+IF(AND(SV_babOn,A197=SV_babM),SV_babAmt,0)+IF(AND(SV_ltcOn,A197&gt;=SV_ltcM,A197&lt;=SV_ltcE),SV_ltcAmt,0)))</f>
        <v/>
      </c>
      <c r="K197" s="29">
        <f>IF(OR(OR(A197&lt;1,A197&gt;SV_T),A197&gt;SV_loanYears),0,-SV_lifePremYr)</f>
        <v/>
      </c>
      <c r="L197" s="29">
        <f>IF(OR(A197&lt;1,A197&gt;SV_T),0,-SV_contrib)</f>
        <v/>
      </c>
      <c r="M197" s="60">
        <f>IF(AND(SV_crashOn,A197=SV_crashYr),SV_crashF,1)</f>
        <v/>
      </c>
      <c r="N197" s="60">
        <f>IF(AND(SV_ccyOn,A197=SV_ccyYr),SV_ccyF,1)</f>
        <v/>
      </c>
      <c r="O197" s="29">
        <f>IF(A197&gt;SV_T,0,O196*(1+interestRate)*M197*N197)</f>
        <v/>
      </c>
      <c r="P197" s="29">
        <f>IF(A197&gt;SV_T,0,(P196+SV_contrib)*(1+investmentReturn)*M197*N197)</f>
        <v/>
      </c>
      <c r="Q197" s="29">
        <f>IF(A197&gt;SV_T,0,Q196*(1+SV_propRate)*M197)</f>
        <v/>
      </c>
      <c r="R197" s="46">
        <f>MATCH(SV_age+A197-1,SV_cpfLower,1)</f>
        <v/>
      </c>
      <c r="S197" s="29">
        <f>IF(OR(OR(A197&lt;1,A197&gt;SV_T),NOT(SV_cpfOn),AND(SV_deaOn,A197&gt;=SV_deaM)),0,MIN(SV_sal0*(1+incomeGrowthRate)^(A197-1)*G197,SV_owCap))</f>
        <v/>
      </c>
      <c r="T197" s="29">
        <f>IF(A197&gt;SV_T,0,T196*(1+SV_oaRate)+IF(A197&gt;=SV_effStop,0,INDEX(SV_cpfOA,R197)*INDEX(SV_cpfTot,R197)*S197))</f>
        <v/>
      </c>
      <c r="U197" s="29">
        <f>IF(A197&gt;SV_T,0,U196*(1+SV_saRate)+IF(A197&gt;=SV_effStop,0,INDEX(SV_cpfSA,R197)*INDEX(SV_cpfTot,R197)*S197))</f>
        <v/>
      </c>
      <c r="V197" s="29">
        <f>IF(A197&gt;SV_T,0,V196*(1+SV_saRate)+IF(A197&gt;=SV_effStop,0,INDEX(SV_cpfMA,R197)*INDEX(SV_cpfTot,R197)*S197))</f>
        <v/>
      </c>
      <c r="W197" s="29">
        <f>IF(OR(OR(A197&lt;1,A197&gt;SV_T),A197&gt;=SV_effNeg),0,-(INDEX(SV_cpfOA,R197)+INDEX(SV_cpfSA,R197)+INDEX(SV_cpfMA,R197))*INDEX(SV_cpfEmp,R197)*S197)</f>
        <v/>
      </c>
      <c r="X197" s="29">
        <f>IF(A197&gt;=SV_sIdx,0,T197)</f>
        <v/>
      </c>
      <c r="Y197" s="29">
        <f>IF(A197&gt;=SV_sIdx,0,U197)</f>
        <v/>
      </c>
      <c r="Z197" s="29">
        <f>IF(A197&gt;=SV_sIdx,MIN(V197,SV_maCap),V197)</f>
        <v/>
      </c>
      <c r="AA197" s="29">
        <f>IF(AND(SV_cpfOn,A197&gt;=SV_pIdx,A197&lt;=SV_T),12*SV_pay,0)</f>
        <v/>
      </c>
      <c r="AB197" s="29">
        <f>IF(A197&gt;SV_T,0,IF(SV_sp&gt;=0,IF(A197&lt;SV_sIdx,0,IF(A197=SV_sIdx,SV_R0,SV_lifeGrowth*AB196)),SV_lifeGrowth*AB196))</f>
        <v/>
      </c>
      <c r="AC197" s="29">
        <f>IF(A197&gt;SV_T,0,IF(AND(SV_sp&gt;=0,A197&lt;SV_sIdx),0,IF(AND(SV_sp&gt;=0,A197=SV_sIdx),SV_L0,SV_lifeGrowth*(AC196-AA197))))</f>
        <v/>
      </c>
      <c r="AD197" s="29">
        <f>X197+Y197+AB197+Z197+IF(AB197&lt;0,0,AC197)</f>
        <v/>
      </c>
      <c r="AE197" s="29">
        <f>AA197+W197</f>
        <v/>
      </c>
      <c r="AF197" s="29">
        <f>IF(OR(A197&gt;SV_T,A197&gt;=SV_loanYears),0,MAX(0,AF196*(1+loanRate)-SV_inst))</f>
        <v/>
      </c>
      <c r="AG197" s="29">
        <f>IF(A197&gt;SV_T,0,AG196*(1+SV_savRate)+H197+I197+J197+K197+L197+AE197)</f>
        <v/>
      </c>
      <c r="AH197" s="29">
        <f>IF(A197&gt;SV_T,0,MAX(0,O197+P197+Q197+AD197+AG197-AF197))</f>
        <v/>
      </c>
      <c r="AI197" s="29">
        <f>IF(A197&gt;SV_T,0,O197+P197+AG197-MAX(0,AF197-(Q197+AD197)))</f>
        <v/>
      </c>
      <c r="AJ197" s="29">
        <f>IF(OR(OR(A197&lt;1,A197&gt;SV_T),A197-1&gt;=SV_retPay),0,SV_retMth*12+IF(A197=1,SV_retLump,0))</f>
        <v/>
      </c>
      <c r="AK197" s="29">
        <f>IF(A197&gt;SV_T,0,(AK196+AJ197)*(1+investmentReturn))</f>
        <v/>
      </c>
      <c r="AL197" s="29">
        <f>IF(OR(OR(A197&lt;1,A197&gt;SV_T),A197-1&gt;=SV_goalPay),0,SV_goalMth*12+IF(A197=1,SV_goalLump,0))</f>
        <v/>
      </c>
      <c r="AM197" s="29">
        <f>IF(A197&gt;SV_T,0,(AM196+AL197)*(1+investmentReturn))</f>
        <v/>
      </c>
      <c r="AN197" s="29">
        <f>IF(OR(OR(A197&lt;1,A197&gt;SV_T),A197-1&gt;=SV_protPay),0,SV_protPrem)</f>
        <v/>
      </c>
      <c r="AO197" s="29">
        <f>IF(OR(A197=0,A197&gt;=SV_T),0,ROUND(MAX(0,AK197),2)+ROUND(MAX(0,AM197),2))</f>
        <v/>
      </c>
      <c r="AP197" s="29">
        <f>IF(OR(A197&lt;1,A197&gt;SV_T),0,-(AJ197+AL197+AN197)+IF(A197=SV_T,ROUND(MAX(0,AK197),2)+ROUND(MAX(0,AM197),2),0))</f>
        <v/>
      </c>
      <c r="AQ197" s="29">
        <f>IF(A197&gt;SV_T,0,AQ196*(1+SV_savRate)+H197+I197+J197+K197+L197+AE197+AP197)</f>
        <v/>
      </c>
      <c r="AR197" s="29">
        <f>IF(A197&gt;SV_T,0,MAX(0,O197+P197+Q197+AD197+AQ197+AO197-AF197))</f>
        <v/>
      </c>
      <c r="AS197" s="29">
        <f>IF(A197&gt;SV_T,0,O197+P197+AQ197+AO197-MAX(0,AF197-(Q197+AD197)))</f>
        <v/>
      </c>
    </row>
    <row r="198">
      <c r="A198" s="61" t="n">
        <v>36</v>
      </c>
      <c r="B198" s="61">
        <f>SV_age+A198</f>
        <v/>
      </c>
      <c r="C198" s="61">
        <f>currentYear+A198</f>
        <v/>
      </c>
      <c r="D198" s="52">
        <f>A198&lt;=SV_T</f>
        <v/>
      </c>
      <c r="E198" s="60">
        <f>IF(AND(SV_inflOn,A198&gt;=SV_inflS,A198&lt;=SV_inflE),1+SV_inflRate,1+inflationRate)</f>
        <v/>
      </c>
      <c r="F198" s="60">
        <f>IF(A198&lt;=1,1,F197*E198)</f>
        <v/>
      </c>
      <c r="G198" s="60">
        <f>IF(AND(SV_incOn,A198&gt;=SV_incS,A198&lt;=SV_incE),1+SV_incImp,1)</f>
        <v/>
      </c>
      <c r="H198" s="29">
        <f>IF(OR(OR(A198&lt;1,A198&gt;SV_T),A198-1&gt;=SV_salCut,AND(SV_deaOn,A198&gt;=SV_deaM)),0,SV_sal0*(1+incomeGrowthRate)^(A198-1)*G198)</f>
        <v/>
      </c>
      <c r="I198" s="29">
        <f>IF(OR(A198&lt;1,A198&gt;SV_T),0,(-SV_exp0*F198-IF(A198&lt;=SV_loanYears,SV_inst,0)-IF(AND(SV_wdAmt&gt;0,A198=SV_wdYear),SV_wdAmt,0))*IF(AND(SV_expOn,A198&gt;=SV_expS,A198&lt;=SV_expE),1+SV_expImp,1))</f>
        <v/>
      </c>
      <c r="J198" s="29">
        <f>IF(OR(A198&lt;1,A198&gt;SV_T),0,-F198*(IF(AND(SV_deaOn,A198=SV_deaM),SV_deaAmt,0)+IF(AND(SV_criOn,A198=SV_criM),SV_criAmt,0)+IF(AND(SV_tpdOn,A198=SV_tpdM),SV_tpdAmt,0)+IF(AND(SV_pacOn,A198=SV_pacM),SV_pacAmt,0)+IF(AND(SV_hosOn,A198=SV_hosM),SV_hosAmt,0)+IF(AND(SV_wedOn,A198=SV_wedM),SV_wedAmt,0)+IF(AND(SV_babOn,A198=SV_babM),SV_babAmt,0)+IF(AND(SV_ltcOn,A198&gt;=SV_ltcM,A198&lt;=SV_ltcE),SV_ltcAmt,0)))</f>
        <v/>
      </c>
      <c r="K198" s="29">
        <f>IF(OR(OR(A198&lt;1,A198&gt;SV_T),A198&gt;SV_loanYears),0,-SV_lifePremYr)</f>
        <v/>
      </c>
      <c r="L198" s="29">
        <f>IF(OR(A198&lt;1,A198&gt;SV_T),0,-SV_contrib)</f>
        <v/>
      </c>
      <c r="M198" s="60">
        <f>IF(AND(SV_crashOn,A198=SV_crashYr),SV_crashF,1)</f>
        <v/>
      </c>
      <c r="N198" s="60">
        <f>IF(AND(SV_ccyOn,A198=SV_ccyYr),SV_ccyF,1)</f>
        <v/>
      </c>
      <c r="O198" s="29">
        <f>IF(A198&gt;SV_T,0,O197*(1+interestRate)*M198*N198)</f>
        <v/>
      </c>
      <c r="P198" s="29">
        <f>IF(A198&gt;SV_T,0,(P197+SV_contrib)*(1+investmentReturn)*M198*N198)</f>
        <v/>
      </c>
      <c r="Q198" s="29">
        <f>IF(A198&gt;SV_T,0,Q197*(1+SV_propRate)*M198)</f>
        <v/>
      </c>
      <c r="R198" s="46">
        <f>MATCH(SV_age+A198-1,SV_cpfLower,1)</f>
        <v/>
      </c>
      <c r="S198" s="29">
        <f>IF(OR(OR(A198&lt;1,A198&gt;SV_T),NOT(SV_cpfOn),AND(SV_deaOn,A198&gt;=SV_deaM)),0,MIN(SV_sal0*(1+incomeGrowthRate)^(A198-1)*G198,SV_owCap))</f>
        <v/>
      </c>
      <c r="T198" s="29">
        <f>IF(A198&gt;SV_T,0,T197*(1+SV_oaRate)+IF(A198&gt;=SV_effStop,0,INDEX(SV_cpfOA,R198)*INDEX(SV_cpfTot,R198)*S198))</f>
        <v/>
      </c>
      <c r="U198" s="29">
        <f>IF(A198&gt;SV_T,0,U197*(1+SV_saRate)+IF(A198&gt;=SV_effStop,0,INDEX(SV_cpfSA,R198)*INDEX(SV_cpfTot,R198)*S198))</f>
        <v/>
      </c>
      <c r="V198" s="29">
        <f>IF(A198&gt;SV_T,0,V197*(1+SV_saRate)+IF(A198&gt;=SV_effStop,0,INDEX(SV_cpfMA,R198)*INDEX(SV_cpfTot,R198)*S198))</f>
        <v/>
      </c>
      <c r="W198" s="29">
        <f>IF(OR(OR(A198&lt;1,A198&gt;SV_T),A198&gt;=SV_effNeg),0,-(INDEX(SV_cpfOA,R198)+INDEX(SV_cpfSA,R198)+INDEX(SV_cpfMA,R198))*INDEX(SV_cpfEmp,R198)*S198)</f>
        <v/>
      </c>
      <c r="X198" s="29">
        <f>IF(A198&gt;=SV_sIdx,0,T198)</f>
        <v/>
      </c>
      <c r="Y198" s="29">
        <f>IF(A198&gt;=SV_sIdx,0,U198)</f>
        <v/>
      </c>
      <c r="Z198" s="29">
        <f>IF(A198&gt;=SV_sIdx,MIN(V198,SV_maCap),V198)</f>
        <v/>
      </c>
      <c r="AA198" s="29">
        <f>IF(AND(SV_cpfOn,A198&gt;=SV_pIdx,A198&lt;=SV_T),12*SV_pay,0)</f>
        <v/>
      </c>
      <c r="AB198" s="29">
        <f>IF(A198&gt;SV_T,0,IF(SV_sp&gt;=0,IF(A198&lt;SV_sIdx,0,IF(A198=SV_sIdx,SV_R0,SV_lifeGrowth*AB197)),SV_lifeGrowth*AB197))</f>
        <v/>
      </c>
      <c r="AC198" s="29">
        <f>IF(A198&gt;SV_T,0,IF(AND(SV_sp&gt;=0,A198&lt;SV_sIdx),0,IF(AND(SV_sp&gt;=0,A198=SV_sIdx),SV_L0,SV_lifeGrowth*(AC197-AA198))))</f>
        <v/>
      </c>
      <c r="AD198" s="29">
        <f>X198+Y198+AB198+Z198+IF(AB198&lt;0,0,AC198)</f>
        <v/>
      </c>
      <c r="AE198" s="29">
        <f>AA198+W198</f>
        <v/>
      </c>
      <c r="AF198" s="29">
        <f>IF(OR(A198&gt;SV_T,A198&gt;=SV_loanYears),0,MAX(0,AF197*(1+loanRate)-SV_inst))</f>
        <v/>
      </c>
      <c r="AG198" s="29">
        <f>IF(A198&gt;SV_T,0,AG197*(1+SV_savRate)+H198+I198+J198+K198+L198+AE198)</f>
        <v/>
      </c>
      <c r="AH198" s="29">
        <f>IF(A198&gt;SV_T,0,MAX(0,O198+P198+Q198+AD198+AG198-AF198))</f>
        <v/>
      </c>
      <c r="AI198" s="29">
        <f>IF(A198&gt;SV_T,0,O198+P198+AG198-MAX(0,AF198-(Q198+AD198)))</f>
        <v/>
      </c>
      <c r="AJ198" s="29">
        <f>IF(OR(OR(A198&lt;1,A198&gt;SV_T),A198-1&gt;=SV_retPay),0,SV_retMth*12+IF(A198=1,SV_retLump,0))</f>
        <v/>
      </c>
      <c r="AK198" s="29">
        <f>IF(A198&gt;SV_T,0,(AK197+AJ198)*(1+investmentReturn))</f>
        <v/>
      </c>
      <c r="AL198" s="29">
        <f>IF(OR(OR(A198&lt;1,A198&gt;SV_T),A198-1&gt;=SV_goalPay),0,SV_goalMth*12+IF(A198=1,SV_goalLump,0))</f>
        <v/>
      </c>
      <c r="AM198" s="29">
        <f>IF(A198&gt;SV_T,0,(AM197+AL198)*(1+investmentReturn))</f>
        <v/>
      </c>
      <c r="AN198" s="29">
        <f>IF(OR(OR(A198&lt;1,A198&gt;SV_T),A198-1&gt;=SV_protPay),0,SV_protPrem)</f>
        <v/>
      </c>
      <c r="AO198" s="29">
        <f>IF(OR(A198=0,A198&gt;=SV_T),0,ROUND(MAX(0,AK198),2)+ROUND(MAX(0,AM198),2))</f>
        <v/>
      </c>
      <c r="AP198" s="29">
        <f>IF(OR(A198&lt;1,A198&gt;SV_T),0,-(AJ198+AL198+AN198)+IF(A198=SV_T,ROUND(MAX(0,AK198),2)+ROUND(MAX(0,AM198),2),0))</f>
        <v/>
      </c>
      <c r="AQ198" s="29">
        <f>IF(A198&gt;SV_T,0,AQ197*(1+SV_savRate)+H198+I198+J198+K198+L198+AE198+AP198)</f>
        <v/>
      </c>
      <c r="AR198" s="29">
        <f>IF(A198&gt;SV_T,0,MAX(0,O198+P198+Q198+AD198+AQ198+AO198-AF198))</f>
        <v/>
      </c>
      <c r="AS198" s="29">
        <f>IF(A198&gt;SV_T,0,O198+P198+AQ198+AO198-MAX(0,AF198-(Q198+AD198)))</f>
        <v/>
      </c>
    </row>
    <row r="199">
      <c r="A199" s="61" t="n">
        <v>37</v>
      </c>
      <c r="B199" s="61">
        <f>SV_age+A199</f>
        <v/>
      </c>
      <c r="C199" s="61">
        <f>currentYear+A199</f>
        <v/>
      </c>
      <c r="D199" s="52">
        <f>A199&lt;=SV_T</f>
        <v/>
      </c>
      <c r="E199" s="60">
        <f>IF(AND(SV_inflOn,A199&gt;=SV_inflS,A199&lt;=SV_inflE),1+SV_inflRate,1+inflationRate)</f>
        <v/>
      </c>
      <c r="F199" s="60">
        <f>IF(A199&lt;=1,1,F198*E199)</f>
        <v/>
      </c>
      <c r="G199" s="60">
        <f>IF(AND(SV_incOn,A199&gt;=SV_incS,A199&lt;=SV_incE),1+SV_incImp,1)</f>
        <v/>
      </c>
      <c r="H199" s="29">
        <f>IF(OR(OR(A199&lt;1,A199&gt;SV_T),A199-1&gt;=SV_salCut,AND(SV_deaOn,A199&gt;=SV_deaM)),0,SV_sal0*(1+incomeGrowthRate)^(A199-1)*G199)</f>
        <v/>
      </c>
      <c r="I199" s="29">
        <f>IF(OR(A199&lt;1,A199&gt;SV_T),0,(-SV_exp0*F199-IF(A199&lt;=SV_loanYears,SV_inst,0)-IF(AND(SV_wdAmt&gt;0,A199=SV_wdYear),SV_wdAmt,0))*IF(AND(SV_expOn,A199&gt;=SV_expS,A199&lt;=SV_expE),1+SV_expImp,1))</f>
        <v/>
      </c>
      <c r="J199" s="29">
        <f>IF(OR(A199&lt;1,A199&gt;SV_T),0,-F199*(IF(AND(SV_deaOn,A199=SV_deaM),SV_deaAmt,0)+IF(AND(SV_criOn,A199=SV_criM),SV_criAmt,0)+IF(AND(SV_tpdOn,A199=SV_tpdM),SV_tpdAmt,0)+IF(AND(SV_pacOn,A199=SV_pacM),SV_pacAmt,0)+IF(AND(SV_hosOn,A199=SV_hosM),SV_hosAmt,0)+IF(AND(SV_wedOn,A199=SV_wedM),SV_wedAmt,0)+IF(AND(SV_babOn,A199=SV_babM),SV_babAmt,0)+IF(AND(SV_ltcOn,A199&gt;=SV_ltcM,A199&lt;=SV_ltcE),SV_ltcAmt,0)))</f>
        <v/>
      </c>
      <c r="K199" s="29">
        <f>IF(OR(OR(A199&lt;1,A199&gt;SV_T),A199&gt;SV_loanYears),0,-SV_lifePremYr)</f>
        <v/>
      </c>
      <c r="L199" s="29">
        <f>IF(OR(A199&lt;1,A199&gt;SV_T),0,-SV_contrib)</f>
        <v/>
      </c>
      <c r="M199" s="60">
        <f>IF(AND(SV_crashOn,A199=SV_crashYr),SV_crashF,1)</f>
        <v/>
      </c>
      <c r="N199" s="60">
        <f>IF(AND(SV_ccyOn,A199=SV_ccyYr),SV_ccyF,1)</f>
        <v/>
      </c>
      <c r="O199" s="29">
        <f>IF(A199&gt;SV_T,0,O198*(1+interestRate)*M199*N199)</f>
        <v/>
      </c>
      <c r="P199" s="29">
        <f>IF(A199&gt;SV_T,0,(P198+SV_contrib)*(1+investmentReturn)*M199*N199)</f>
        <v/>
      </c>
      <c r="Q199" s="29">
        <f>IF(A199&gt;SV_T,0,Q198*(1+SV_propRate)*M199)</f>
        <v/>
      </c>
      <c r="R199" s="46">
        <f>MATCH(SV_age+A199-1,SV_cpfLower,1)</f>
        <v/>
      </c>
      <c r="S199" s="29">
        <f>IF(OR(OR(A199&lt;1,A199&gt;SV_T),NOT(SV_cpfOn),AND(SV_deaOn,A199&gt;=SV_deaM)),0,MIN(SV_sal0*(1+incomeGrowthRate)^(A199-1)*G199,SV_owCap))</f>
        <v/>
      </c>
      <c r="T199" s="29">
        <f>IF(A199&gt;SV_T,0,T198*(1+SV_oaRate)+IF(A199&gt;=SV_effStop,0,INDEX(SV_cpfOA,R199)*INDEX(SV_cpfTot,R199)*S199))</f>
        <v/>
      </c>
      <c r="U199" s="29">
        <f>IF(A199&gt;SV_T,0,U198*(1+SV_saRate)+IF(A199&gt;=SV_effStop,0,INDEX(SV_cpfSA,R199)*INDEX(SV_cpfTot,R199)*S199))</f>
        <v/>
      </c>
      <c r="V199" s="29">
        <f>IF(A199&gt;SV_T,0,V198*(1+SV_saRate)+IF(A199&gt;=SV_effStop,0,INDEX(SV_cpfMA,R199)*INDEX(SV_cpfTot,R199)*S199))</f>
        <v/>
      </c>
      <c r="W199" s="29">
        <f>IF(OR(OR(A199&lt;1,A199&gt;SV_T),A199&gt;=SV_effNeg),0,-(INDEX(SV_cpfOA,R199)+INDEX(SV_cpfSA,R199)+INDEX(SV_cpfMA,R199))*INDEX(SV_cpfEmp,R199)*S199)</f>
        <v/>
      </c>
      <c r="X199" s="29">
        <f>IF(A199&gt;=SV_sIdx,0,T199)</f>
        <v/>
      </c>
      <c r="Y199" s="29">
        <f>IF(A199&gt;=SV_sIdx,0,U199)</f>
        <v/>
      </c>
      <c r="Z199" s="29">
        <f>IF(A199&gt;=SV_sIdx,MIN(V199,SV_maCap),V199)</f>
        <v/>
      </c>
      <c r="AA199" s="29">
        <f>IF(AND(SV_cpfOn,A199&gt;=SV_pIdx,A199&lt;=SV_T),12*SV_pay,0)</f>
        <v/>
      </c>
      <c r="AB199" s="29">
        <f>IF(A199&gt;SV_T,0,IF(SV_sp&gt;=0,IF(A199&lt;SV_sIdx,0,IF(A199=SV_sIdx,SV_R0,SV_lifeGrowth*AB198)),SV_lifeGrowth*AB198))</f>
        <v/>
      </c>
      <c r="AC199" s="29">
        <f>IF(A199&gt;SV_T,0,IF(AND(SV_sp&gt;=0,A199&lt;SV_sIdx),0,IF(AND(SV_sp&gt;=0,A199=SV_sIdx),SV_L0,SV_lifeGrowth*(AC198-AA199))))</f>
        <v/>
      </c>
      <c r="AD199" s="29">
        <f>X199+Y199+AB199+Z199+IF(AB199&lt;0,0,AC199)</f>
        <v/>
      </c>
      <c r="AE199" s="29">
        <f>AA199+W199</f>
        <v/>
      </c>
      <c r="AF199" s="29">
        <f>IF(OR(A199&gt;SV_T,A199&gt;=SV_loanYears),0,MAX(0,AF198*(1+loanRate)-SV_inst))</f>
        <v/>
      </c>
      <c r="AG199" s="29">
        <f>IF(A199&gt;SV_T,0,AG198*(1+SV_savRate)+H199+I199+J199+K199+L199+AE199)</f>
        <v/>
      </c>
      <c r="AH199" s="29">
        <f>IF(A199&gt;SV_T,0,MAX(0,O199+P199+Q199+AD199+AG199-AF199))</f>
        <v/>
      </c>
      <c r="AI199" s="29">
        <f>IF(A199&gt;SV_T,0,O199+P199+AG199-MAX(0,AF199-(Q199+AD199)))</f>
        <v/>
      </c>
      <c r="AJ199" s="29">
        <f>IF(OR(OR(A199&lt;1,A199&gt;SV_T),A199-1&gt;=SV_retPay),0,SV_retMth*12+IF(A199=1,SV_retLump,0))</f>
        <v/>
      </c>
      <c r="AK199" s="29">
        <f>IF(A199&gt;SV_T,0,(AK198+AJ199)*(1+investmentReturn))</f>
        <v/>
      </c>
      <c r="AL199" s="29">
        <f>IF(OR(OR(A199&lt;1,A199&gt;SV_T),A199-1&gt;=SV_goalPay),0,SV_goalMth*12+IF(A199=1,SV_goalLump,0))</f>
        <v/>
      </c>
      <c r="AM199" s="29">
        <f>IF(A199&gt;SV_T,0,(AM198+AL199)*(1+investmentReturn))</f>
        <v/>
      </c>
      <c r="AN199" s="29">
        <f>IF(OR(OR(A199&lt;1,A199&gt;SV_T),A199-1&gt;=SV_protPay),0,SV_protPrem)</f>
        <v/>
      </c>
      <c r="AO199" s="29">
        <f>IF(OR(A199=0,A199&gt;=SV_T),0,ROUND(MAX(0,AK199),2)+ROUND(MAX(0,AM199),2))</f>
        <v/>
      </c>
      <c r="AP199" s="29">
        <f>IF(OR(A199&lt;1,A199&gt;SV_T),0,-(AJ199+AL199+AN199)+IF(A199=SV_T,ROUND(MAX(0,AK199),2)+ROUND(MAX(0,AM199),2),0))</f>
        <v/>
      </c>
      <c r="AQ199" s="29">
        <f>IF(A199&gt;SV_T,0,AQ198*(1+SV_savRate)+H199+I199+J199+K199+L199+AE199+AP199)</f>
        <v/>
      </c>
      <c r="AR199" s="29">
        <f>IF(A199&gt;SV_T,0,MAX(0,O199+P199+Q199+AD199+AQ199+AO199-AF199))</f>
        <v/>
      </c>
      <c r="AS199" s="29">
        <f>IF(A199&gt;SV_T,0,O199+P199+AQ199+AO199-MAX(0,AF199-(Q199+AD199)))</f>
        <v/>
      </c>
    </row>
    <row r="200">
      <c r="A200" s="61" t="n">
        <v>38</v>
      </c>
      <c r="B200" s="61">
        <f>SV_age+A200</f>
        <v/>
      </c>
      <c r="C200" s="61">
        <f>currentYear+A200</f>
        <v/>
      </c>
      <c r="D200" s="52">
        <f>A200&lt;=SV_T</f>
        <v/>
      </c>
      <c r="E200" s="60">
        <f>IF(AND(SV_inflOn,A200&gt;=SV_inflS,A200&lt;=SV_inflE),1+SV_inflRate,1+inflationRate)</f>
        <v/>
      </c>
      <c r="F200" s="60">
        <f>IF(A200&lt;=1,1,F199*E200)</f>
        <v/>
      </c>
      <c r="G200" s="60">
        <f>IF(AND(SV_incOn,A200&gt;=SV_incS,A200&lt;=SV_incE),1+SV_incImp,1)</f>
        <v/>
      </c>
      <c r="H200" s="29">
        <f>IF(OR(OR(A200&lt;1,A200&gt;SV_T),A200-1&gt;=SV_salCut,AND(SV_deaOn,A200&gt;=SV_deaM)),0,SV_sal0*(1+incomeGrowthRate)^(A200-1)*G200)</f>
        <v/>
      </c>
      <c r="I200" s="29">
        <f>IF(OR(A200&lt;1,A200&gt;SV_T),0,(-SV_exp0*F200-IF(A200&lt;=SV_loanYears,SV_inst,0)-IF(AND(SV_wdAmt&gt;0,A200=SV_wdYear),SV_wdAmt,0))*IF(AND(SV_expOn,A200&gt;=SV_expS,A200&lt;=SV_expE),1+SV_expImp,1))</f>
        <v/>
      </c>
      <c r="J200" s="29">
        <f>IF(OR(A200&lt;1,A200&gt;SV_T),0,-F200*(IF(AND(SV_deaOn,A200=SV_deaM),SV_deaAmt,0)+IF(AND(SV_criOn,A200=SV_criM),SV_criAmt,0)+IF(AND(SV_tpdOn,A200=SV_tpdM),SV_tpdAmt,0)+IF(AND(SV_pacOn,A200=SV_pacM),SV_pacAmt,0)+IF(AND(SV_hosOn,A200=SV_hosM),SV_hosAmt,0)+IF(AND(SV_wedOn,A200=SV_wedM),SV_wedAmt,0)+IF(AND(SV_babOn,A200=SV_babM),SV_babAmt,0)+IF(AND(SV_ltcOn,A200&gt;=SV_ltcM,A200&lt;=SV_ltcE),SV_ltcAmt,0)))</f>
        <v/>
      </c>
      <c r="K200" s="29">
        <f>IF(OR(OR(A200&lt;1,A200&gt;SV_T),A200&gt;SV_loanYears),0,-SV_lifePremYr)</f>
        <v/>
      </c>
      <c r="L200" s="29">
        <f>IF(OR(A200&lt;1,A200&gt;SV_T),0,-SV_contrib)</f>
        <v/>
      </c>
      <c r="M200" s="60">
        <f>IF(AND(SV_crashOn,A200=SV_crashYr),SV_crashF,1)</f>
        <v/>
      </c>
      <c r="N200" s="60">
        <f>IF(AND(SV_ccyOn,A200=SV_ccyYr),SV_ccyF,1)</f>
        <v/>
      </c>
      <c r="O200" s="29">
        <f>IF(A200&gt;SV_T,0,O199*(1+interestRate)*M200*N200)</f>
        <v/>
      </c>
      <c r="P200" s="29">
        <f>IF(A200&gt;SV_T,0,(P199+SV_contrib)*(1+investmentReturn)*M200*N200)</f>
        <v/>
      </c>
      <c r="Q200" s="29">
        <f>IF(A200&gt;SV_T,0,Q199*(1+SV_propRate)*M200)</f>
        <v/>
      </c>
      <c r="R200" s="46">
        <f>MATCH(SV_age+A200-1,SV_cpfLower,1)</f>
        <v/>
      </c>
      <c r="S200" s="29">
        <f>IF(OR(OR(A200&lt;1,A200&gt;SV_T),NOT(SV_cpfOn),AND(SV_deaOn,A200&gt;=SV_deaM)),0,MIN(SV_sal0*(1+incomeGrowthRate)^(A200-1)*G200,SV_owCap))</f>
        <v/>
      </c>
      <c r="T200" s="29">
        <f>IF(A200&gt;SV_T,0,T199*(1+SV_oaRate)+IF(A200&gt;=SV_effStop,0,INDEX(SV_cpfOA,R200)*INDEX(SV_cpfTot,R200)*S200))</f>
        <v/>
      </c>
      <c r="U200" s="29">
        <f>IF(A200&gt;SV_T,0,U199*(1+SV_saRate)+IF(A200&gt;=SV_effStop,0,INDEX(SV_cpfSA,R200)*INDEX(SV_cpfTot,R200)*S200))</f>
        <v/>
      </c>
      <c r="V200" s="29">
        <f>IF(A200&gt;SV_T,0,V199*(1+SV_saRate)+IF(A200&gt;=SV_effStop,0,INDEX(SV_cpfMA,R200)*INDEX(SV_cpfTot,R200)*S200))</f>
        <v/>
      </c>
      <c r="W200" s="29">
        <f>IF(OR(OR(A200&lt;1,A200&gt;SV_T),A200&gt;=SV_effNeg),0,-(INDEX(SV_cpfOA,R200)+INDEX(SV_cpfSA,R200)+INDEX(SV_cpfMA,R200))*INDEX(SV_cpfEmp,R200)*S200)</f>
        <v/>
      </c>
      <c r="X200" s="29">
        <f>IF(A200&gt;=SV_sIdx,0,T200)</f>
        <v/>
      </c>
      <c r="Y200" s="29">
        <f>IF(A200&gt;=SV_sIdx,0,U200)</f>
        <v/>
      </c>
      <c r="Z200" s="29">
        <f>IF(A200&gt;=SV_sIdx,MIN(V200,SV_maCap),V200)</f>
        <v/>
      </c>
      <c r="AA200" s="29">
        <f>IF(AND(SV_cpfOn,A200&gt;=SV_pIdx,A200&lt;=SV_T),12*SV_pay,0)</f>
        <v/>
      </c>
      <c r="AB200" s="29">
        <f>IF(A200&gt;SV_T,0,IF(SV_sp&gt;=0,IF(A200&lt;SV_sIdx,0,IF(A200=SV_sIdx,SV_R0,SV_lifeGrowth*AB199)),SV_lifeGrowth*AB199))</f>
        <v/>
      </c>
      <c r="AC200" s="29">
        <f>IF(A200&gt;SV_T,0,IF(AND(SV_sp&gt;=0,A200&lt;SV_sIdx),0,IF(AND(SV_sp&gt;=0,A200=SV_sIdx),SV_L0,SV_lifeGrowth*(AC199-AA200))))</f>
        <v/>
      </c>
      <c r="AD200" s="29">
        <f>X200+Y200+AB200+Z200+IF(AB200&lt;0,0,AC200)</f>
        <v/>
      </c>
      <c r="AE200" s="29">
        <f>AA200+W200</f>
        <v/>
      </c>
      <c r="AF200" s="29">
        <f>IF(OR(A200&gt;SV_T,A200&gt;=SV_loanYears),0,MAX(0,AF199*(1+loanRate)-SV_inst))</f>
        <v/>
      </c>
      <c r="AG200" s="29">
        <f>IF(A200&gt;SV_T,0,AG199*(1+SV_savRate)+H200+I200+J200+K200+L200+AE200)</f>
        <v/>
      </c>
      <c r="AH200" s="29">
        <f>IF(A200&gt;SV_T,0,MAX(0,O200+P200+Q200+AD200+AG200-AF200))</f>
        <v/>
      </c>
      <c r="AI200" s="29">
        <f>IF(A200&gt;SV_T,0,O200+P200+AG200-MAX(0,AF200-(Q200+AD200)))</f>
        <v/>
      </c>
      <c r="AJ200" s="29">
        <f>IF(OR(OR(A200&lt;1,A200&gt;SV_T),A200-1&gt;=SV_retPay),0,SV_retMth*12+IF(A200=1,SV_retLump,0))</f>
        <v/>
      </c>
      <c r="AK200" s="29">
        <f>IF(A200&gt;SV_T,0,(AK199+AJ200)*(1+investmentReturn))</f>
        <v/>
      </c>
      <c r="AL200" s="29">
        <f>IF(OR(OR(A200&lt;1,A200&gt;SV_T),A200-1&gt;=SV_goalPay),0,SV_goalMth*12+IF(A200=1,SV_goalLump,0))</f>
        <v/>
      </c>
      <c r="AM200" s="29">
        <f>IF(A200&gt;SV_T,0,(AM199+AL200)*(1+investmentReturn))</f>
        <v/>
      </c>
      <c r="AN200" s="29">
        <f>IF(OR(OR(A200&lt;1,A200&gt;SV_T),A200-1&gt;=SV_protPay),0,SV_protPrem)</f>
        <v/>
      </c>
      <c r="AO200" s="29">
        <f>IF(OR(A200=0,A200&gt;=SV_T),0,ROUND(MAX(0,AK200),2)+ROUND(MAX(0,AM200),2))</f>
        <v/>
      </c>
      <c r="AP200" s="29">
        <f>IF(OR(A200&lt;1,A200&gt;SV_T),0,-(AJ200+AL200+AN200)+IF(A200=SV_T,ROUND(MAX(0,AK200),2)+ROUND(MAX(0,AM200),2),0))</f>
        <v/>
      </c>
      <c r="AQ200" s="29">
        <f>IF(A200&gt;SV_T,0,AQ199*(1+SV_savRate)+H200+I200+J200+K200+L200+AE200+AP200)</f>
        <v/>
      </c>
      <c r="AR200" s="29">
        <f>IF(A200&gt;SV_T,0,MAX(0,O200+P200+Q200+AD200+AQ200+AO200-AF200))</f>
        <v/>
      </c>
      <c r="AS200" s="29">
        <f>IF(A200&gt;SV_T,0,O200+P200+AQ200+AO200-MAX(0,AF200-(Q200+AD200)))</f>
        <v/>
      </c>
    </row>
    <row r="201">
      <c r="A201" s="61" t="n">
        <v>39</v>
      </c>
      <c r="B201" s="61">
        <f>SV_age+A201</f>
        <v/>
      </c>
      <c r="C201" s="61">
        <f>currentYear+A201</f>
        <v/>
      </c>
      <c r="D201" s="52">
        <f>A201&lt;=SV_T</f>
        <v/>
      </c>
      <c r="E201" s="60">
        <f>IF(AND(SV_inflOn,A201&gt;=SV_inflS,A201&lt;=SV_inflE),1+SV_inflRate,1+inflationRate)</f>
        <v/>
      </c>
      <c r="F201" s="60">
        <f>IF(A201&lt;=1,1,F200*E201)</f>
        <v/>
      </c>
      <c r="G201" s="60">
        <f>IF(AND(SV_incOn,A201&gt;=SV_incS,A201&lt;=SV_incE),1+SV_incImp,1)</f>
        <v/>
      </c>
      <c r="H201" s="29">
        <f>IF(OR(OR(A201&lt;1,A201&gt;SV_T),A201-1&gt;=SV_salCut,AND(SV_deaOn,A201&gt;=SV_deaM)),0,SV_sal0*(1+incomeGrowthRate)^(A201-1)*G201)</f>
        <v/>
      </c>
      <c r="I201" s="29">
        <f>IF(OR(A201&lt;1,A201&gt;SV_T),0,(-SV_exp0*F201-IF(A201&lt;=SV_loanYears,SV_inst,0)-IF(AND(SV_wdAmt&gt;0,A201=SV_wdYear),SV_wdAmt,0))*IF(AND(SV_expOn,A201&gt;=SV_expS,A201&lt;=SV_expE),1+SV_expImp,1))</f>
        <v/>
      </c>
      <c r="J201" s="29">
        <f>IF(OR(A201&lt;1,A201&gt;SV_T),0,-F201*(IF(AND(SV_deaOn,A201=SV_deaM),SV_deaAmt,0)+IF(AND(SV_criOn,A201=SV_criM),SV_criAmt,0)+IF(AND(SV_tpdOn,A201=SV_tpdM),SV_tpdAmt,0)+IF(AND(SV_pacOn,A201=SV_pacM),SV_pacAmt,0)+IF(AND(SV_hosOn,A201=SV_hosM),SV_hosAmt,0)+IF(AND(SV_wedOn,A201=SV_wedM),SV_wedAmt,0)+IF(AND(SV_babOn,A201=SV_babM),SV_babAmt,0)+IF(AND(SV_ltcOn,A201&gt;=SV_ltcM,A201&lt;=SV_ltcE),SV_ltcAmt,0)))</f>
        <v/>
      </c>
      <c r="K201" s="29">
        <f>IF(OR(OR(A201&lt;1,A201&gt;SV_T),A201&gt;SV_loanYears),0,-SV_lifePremYr)</f>
        <v/>
      </c>
      <c r="L201" s="29">
        <f>IF(OR(A201&lt;1,A201&gt;SV_T),0,-SV_contrib)</f>
        <v/>
      </c>
      <c r="M201" s="60">
        <f>IF(AND(SV_crashOn,A201=SV_crashYr),SV_crashF,1)</f>
        <v/>
      </c>
      <c r="N201" s="60">
        <f>IF(AND(SV_ccyOn,A201=SV_ccyYr),SV_ccyF,1)</f>
        <v/>
      </c>
      <c r="O201" s="29">
        <f>IF(A201&gt;SV_T,0,O200*(1+interestRate)*M201*N201)</f>
        <v/>
      </c>
      <c r="P201" s="29">
        <f>IF(A201&gt;SV_T,0,(P200+SV_contrib)*(1+investmentReturn)*M201*N201)</f>
        <v/>
      </c>
      <c r="Q201" s="29">
        <f>IF(A201&gt;SV_T,0,Q200*(1+SV_propRate)*M201)</f>
        <v/>
      </c>
      <c r="R201" s="46">
        <f>MATCH(SV_age+A201-1,SV_cpfLower,1)</f>
        <v/>
      </c>
      <c r="S201" s="29">
        <f>IF(OR(OR(A201&lt;1,A201&gt;SV_T),NOT(SV_cpfOn),AND(SV_deaOn,A201&gt;=SV_deaM)),0,MIN(SV_sal0*(1+incomeGrowthRate)^(A201-1)*G201,SV_owCap))</f>
        <v/>
      </c>
      <c r="T201" s="29">
        <f>IF(A201&gt;SV_T,0,T200*(1+SV_oaRate)+IF(A201&gt;=SV_effStop,0,INDEX(SV_cpfOA,R201)*INDEX(SV_cpfTot,R201)*S201))</f>
        <v/>
      </c>
      <c r="U201" s="29">
        <f>IF(A201&gt;SV_T,0,U200*(1+SV_saRate)+IF(A201&gt;=SV_effStop,0,INDEX(SV_cpfSA,R201)*INDEX(SV_cpfTot,R201)*S201))</f>
        <v/>
      </c>
      <c r="V201" s="29">
        <f>IF(A201&gt;SV_T,0,V200*(1+SV_saRate)+IF(A201&gt;=SV_effStop,0,INDEX(SV_cpfMA,R201)*INDEX(SV_cpfTot,R201)*S201))</f>
        <v/>
      </c>
      <c r="W201" s="29">
        <f>IF(OR(OR(A201&lt;1,A201&gt;SV_T),A201&gt;=SV_effNeg),0,-(INDEX(SV_cpfOA,R201)+INDEX(SV_cpfSA,R201)+INDEX(SV_cpfMA,R201))*INDEX(SV_cpfEmp,R201)*S201)</f>
        <v/>
      </c>
      <c r="X201" s="29">
        <f>IF(A201&gt;=SV_sIdx,0,T201)</f>
        <v/>
      </c>
      <c r="Y201" s="29">
        <f>IF(A201&gt;=SV_sIdx,0,U201)</f>
        <v/>
      </c>
      <c r="Z201" s="29">
        <f>IF(A201&gt;=SV_sIdx,MIN(V201,SV_maCap),V201)</f>
        <v/>
      </c>
      <c r="AA201" s="29">
        <f>IF(AND(SV_cpfOn,A201&gt;=SV_pIdx,A201&lt;=SV_T),12*SV_pay,0)</f>
        <v/>
      </c>
      <c r="AB201" s="29">
        <f>IF(A201&gt;SV_T,0,IF(SV_sp&gt;=0,IF(A201&lt;SV_sIdx,0,IF(A201=SV_sIdx,SV_R0,SV_lifeGrowth*AB200)),SV_lifeGrowth*AB200))</f>
        <v/>
      </c>
      <c r="AC201" s="29">
        <f>IF(A201&gt;SV_T,0,IF(AND(SV_sp&gt;=0,A201&lt;SV_sIdx),0,IF(AND(SV_sp&gt;=0,A201=SV_sIdx),SV_L0,SV_lifeGrowth*(AC200-AA201))))</f>
        <v/>
      </c>
      <c r="AD201" s="29">
        <f>X201+Y201+AB201+Z201+IF(AB201&lt;0,0,AC201)</f>
        <v/>
      </c>
      <c r="AE201" s="29">
        <f>AA201+W201</f>
        <v/>
      </c>
      <c r="AF201" s="29">
        <f>IF(OR(A201&gt;SV_T,A201&gt;=SV_loanYears),0,MAX(0,AF200*(1+loanRate)-SV_inst))</f>
        <v/>
      </c>
      <c r="AG201" s="29">
        <f>IF(A201&gt;SV_T,0,AG200*(1+SV_savRate)+H201+I201+J201+K201+L201+AE201)</f>
        <v/>
      </c>
      <c r="AH201" s="29">
        <f>IF(A201&gt;SV_T,0,MAX(0,O201+P201+Q201+AD201+AG201-AF201))</f>
        <v/>
      </c>
      <c r="AI201" s="29">
        <f>IF(A201&gt;SV_T,0,O201+P201+AG201-MAX(0,AF201-(Q201+AD201)))</f>
        <v/>
      </c>
      <c r="AJ201" s="29">
        <f>IF(OR(OR(A201&lt;1,A201&gt;SV_T),A201-1&gt;=SV_retPay),0,SV_retMth*12+IF(A201=1,SV_retLump,0))</f>
        <v/>
      </c>
      <c r="AK201" s="29">
        <f>IF(A201&gt;SV_T,0,(AK200+AJ201)*(1+investmentReturn))</f>
        <v/>
      </c>
      <c r="AL201" s="29">
        <f>IF(OR(OR(A201&lt;1,A201&gt;SV_T),A201-1&gt;=SV_goalPay),0,SV_goalMth*12+IF(A201=1,SV_goalLump,0))</f>
        <v/>
      </c>
      <c r="AM201" s="29">
        <f>IF(A201&gt;SV_T,0,(AM200+AL201)*(1+investmentReturn))</f>
        <v/>
      </c>
      <c r="AN201" s="29">
        <f>IF(OR(OR(A201&lt;1,A201&gt;SV_T),A201-1&gt;=SV_protPay),0,SV_protPrem)</f>
        <v/>
      </c>
      <c r="AO201" s="29">
        <f>IF(OR(A201=0,A201&gt;=SV_T),0,ROUND(MAX(0,AK201),2)+ROUND(MAX(0,AM201),2))</f>
        <v/>
      </c>
      <c r="AP201" s="29">
        <f>IF(OR(A201&lt;1,A201&gt;SV_T),0,-(AJ201+AL201+AN201)+IF(A201=SV_T,ROUND(MAX(0,AK201),2)+ROUND(MAX(0,AM201),2),0))</f>
        <v/>
      </c>
      <c r="AQ201" s="29">
        <f>IF(A201&gt;SV_T,0,AQ200*(1+SV_savRate)+H201+I201+J201+K201+L201+AE201+AP201)</f>
        <v/>
      </c>
      <c r="AR201" s="29">
        <f>IF(A201&gt;SV_T,0,MAX(0,O201+P201+Q201+AD201+AQ201+AO201-AF201))</f>
        <v/>
      </c>
      <c r="AS201" s="29">
        <f>IF(A201&gt;SV_T,0,O201+P201+AQ201+AO201-MAX(0,AF201-(Q201+AD201)))</f>
        <v/>
      </c>
    </row>
    <row r="202">
      <c r="A202" s="61" t="n">
        <v>40</v>
      </c>
      <c r="B202" s="61">
        <f>SV_age+A202</f>
        <v/>
      </c>
      <c r="C202" s="61">
        <f>currentYear+A202</f>
        <v/>
      </c>
      <c r="D202" s="52">
        <f>A202&lt;=SV_T</f>
        <v/>
      </c>
      <c r="E202" s="60">
        <f>IF(AND(SV_inflOn,A202&gt;=SV_inflS,A202&lt;=SV_inflE),1+SV_inflRate,1+inflationRate)</f>
        <v/>
      </c>
      <c r="F202" s="60">
        <f>IF(A202&lt;=1,1,F201*E202)</f>
        <v/>
      </c>
      <c r="G202" s="60">
        <f>IF(AND(SV_incOn,A202&gt;=SV_incS,A202&lt;=SV_incE),1+SV_incImp,1)</f>
        <v/>
      </c>
      <c r="H202" s="29">
        <f>IF(OR(OR(A202&lt;1,A202&gt;SV_T),A202-1&gt;=SV_salCut,AND(SV_deaOn,A202&gt;=SV_deaM)),0,SV_sal0*(1+incomeGrowthRate)^(A202-1)*G202)</f>
        <v/>
      </c>
      <c r="I202" s="29">
        <f>IF(OR(A202&lt;1,A202&gt;SV_T),0,(-SV_exp0*F202-IF(A202&lt;=SV_loanYears,SV_inst,0)-IF(AND(SV_wdAmt&gt;0,A202=SV_wdYear),SV_wdAmt,0))*IF(AND(SV_expOn,A202&gt;=SV_expS,A202&lt;=SV_expE),1+SV_expImp,1))</f>
        <v/>
      </c>
      <c r="J202" s="29">
        <f>IF(OR(A202&lt;1,A202&gt;SV_T),0,-F202*(IF(AND(SV_deaOn,A202=SV_deaM),SV_deaAmt,0)+IF(AND(SV_criOn,A202=SV_criM),SV_criAmt,0)+IF(AND(SV_tpdOn,A202=SV_tpdM),SV_tpdAmt,0)+IF(AND(SV_pacOn,A202=SV_pacM),SV_pacAmt,0)+IF(AND(SV_hosOn,A202=SV_hosM),SV_hosAmt,0)+IF(AND(SV_wedOn,A202=SV_wedM),SV_wedAmt,0)+IF(AND(SV_babOn,A202=SV_babM),SV_babAmt,0)+IF(AND(SV_ltcOn,A202&gt;=SV_ltcM,A202&lt;=SV_ltcE),SV_ltcAmt,0)))</f>
        <v/>
      </c>
      <c r="K202" s="29">
        <f>IF(OR(OR(A202&lt;1,A202&gt;SV_T),A202&gt;SV_loanYears),0,-SV_lifePremYr)</f>
        <v/>
      </c>
      <c r="L202" s="29">
        <f>IF(OR(A202&lt;1,A202&gt;SV_T),0,-SV_contrib)</f>
        <v/>
      </c>
      <c r="M202" s="60">
        <f>IF(AND(SV_crashOn,A202=SV_crashYr),SV_crashF,1)</f>
        <v/>
      </c>
      <c r="N202" s="60">
        <f>IF(AND(SV_ccyOn,A202=SV_ccyYr),SV_ccyF,1)</f>
        <v/>
      </c>
      <c r="O202" s="29">
        <f>IF(A202&gt;SV_T,0,O201*(1+interestRate)*M202*N202)</f>
        <v/>
      </c>
      <c r="P202" s="29">
        <f>IF(A202&gt;SV_T,0,(P201+SV_contrib)*(1+investmentReturn)*M202*N202)</f>
        <v/>
      </c>
      <c r="Q202" s="29">
        <f>IF(A202&gt;SV_T,0,Q201*(1+SV_propRate)*M202)</f>
        <v/>
      </c>
      <c r="R202" s="46">
        <f>MATCH(SV_age+A202-1,SV_cpfLower,1)</f>
        <v/>
      </c>
      <c r="S202" s="29">
        <f>IF(OR(OR(A202&lt;1,A202&gt;SV_T),NOT(SV_cpfOn),AND(SV_deaOn,A202&gt;=SV_deaM)),0,MIN(SV_sal0*(1+incomeGrowthRate)^(A202-1)*G202,SV_owCap))</f>
        <v/>
      </c>
      <c r="T202" s="29">
        <f>IF(A202&gt;SV_T,0,T201*(1+SV_oaRate)+IF(A202&gt;=SV_effStop,0,INDEX(SV_cpfOA,R202)*INDEX(SV_cpfTot,R202)*S202))</f>
        <v/>
      </c>
      <c r="U202" s="29">
        <f>IF(A202&gt;SV_T,0,U201*(1+SV_saRate)+IF(A202&gt;=SV_effStop,0,INDEX(SV_cpfSA,R202)*INDEX(SV_cpfTot,R202)*S202))</f>
        <v/>
      </c>
      <c r="V202" s="29">
        <f>IF(A202&gt;SV_T,0,V201*(1+SV_saRate)+IF(A202&gt;=SV_effStop,0,INDEX(SV_cpfMA,R202)*INDEX(SV_cpfTot,R202)*S202))</f>
        <v/>
      </c>
      <c r="W202" s="29">
        <f>IF(OR(OR(A202&lt;1,A202&gt;SV_T),A202&gt;=SV_effNeg),0,-(INDEX(SV_cpfOA,R202)+INDEX(SV_cpfSA,R202)+INDEX(SV_cpfMA,R202))*INDEX(SV_cpfEmp,R202)*S202)</f>
        <v/>
      </c>
      <c r="X202" s="29">
        <f>IF(A202&gt;=SV_sIdx,0,T202)</f>
        <v/>
      </c>
      <c r="Y202" s="29">
        <f>IF(A202&gt;=SV_sIdx,0,U202)</f>
        <v/>
      </c>
      <c r="Z202" s="29">
        <f>IF(A202&gt;=SV_sIdx,MIN(V202,SV_maCap),V202)</f>
        <v/>
      </c>
      <c r="AA202" s="29">
        <f>IF(AND(SV_cpfOn,A202&gt;=SV_pIdx,A202&lt;=SV_T),12*SV_pay,0)</f>
        <v/>
      </c>
      <c r="AB202" s="29">
        <f>IF(A202&gt;SV_T,0,IF(SV_sp&gt;=0,IF(A202&lt;SV_sIdx,0,IF(A202=SV_sIdx,SV_R0,SV_lifeGrowth*AB201)),SV_lifeGrowth*AB201))</f>
        <v/>
      </c>
      <c r="AC202" s="29">
        <f>IF(A202&gt;SV_T,0,IF(AND(SV_sp&gt;=0,A202&lt;SV_sIdx),0,IF(AND(SV_sp&gt;=0,A202=SV_sIdx),SV_L0,SV_lifeGrowth*(AC201-AA202))))</f>
        <v/>
      </c>
      <c r="AD202" s="29">
        <f>X202+Y202+AB202+Z202+IF(AB202&lt;0,0,AC202)</f>
        <v/>
      </c>
      <c r="AE202" s="29">
        <f>AA202+W202</f>
        <v/>
      </c>
      <c r="AF202" s="29">
        <f>IF(OR(A202&gt;SV_T,A202&gt;=SV_loanYears),0,MAX(0,AF201*(1+loanRate)-SV_inst))</f>
        <v/>
      </c>
      <c r="AG202" s="29">
        <f>IF(A202&gt;SV_T,0,AG201*(1+SV_savRate)+H202+I202+J202+K202+L202+AE202)</f>
        <v/>
      </c>
      <c r="AH202" s="29">
        <f>IF(A202&gt;SV_T,0,MAX(0,O202+P202+Q202+AD202+AG202-AF202))</f>
        <v/>
      </c>
      <c r="AI202" s="29">
        <f>IF(A202&gt;SV_T,0,O202+P202+AG202-MAX(0,AF202-(Q202+AD202)))</f>
        <v/>
      </c>
      <c r="AJ202" s="29">
        <f>IF(OR(OR(A202&lt;1,A202&gt;SV_T),A202-1&gt;=SV_retPay),0,SV_retMth*12+IF(A202=1,SV_retLump,0))</f>
        <v/>
      </c>
      <c r="AK202" s="29">
        <f>IF(A202&gt;SV_T,0,(AK201+AJ202)*(1+investmentReturn))</f>
        <v/>
      </c>
      <c r="AL202" s="29">
        <f>IF(OR(OR(A202&lt;1,A202&gt;SV_T),A202-1&gt;=SV_goalPay),0,SV_goalMth*12+IF(A202=1,SV_goalLump,0))</f>
        <v/>
      </c>
      <c r="AM202" s="29">
        <f>IF(A202&gt;SV_T,0,(AM201+AL202)*(1+investmentReturn))</f>
        <v/>
      </c>
      <c r="AN202" s="29">
        <f>IF(OR(OR(A202&lt;1,A202&gt;SV_T),A202-1&gt;=SV_protPay),0,SV_protPrem)</f>
        <v/>
      </c>
      <c r="AO202" s="29">
        <f>IF(OR(A202=0,A202&gt;=SV_T),0,ROUND(MAX(0,AK202),2)+ROUND(MAX(0,AM202),2))</f>
        <v/>
      </c>
      <c r="AP202" s="29">
        <f>IF(OR(A202&lt;1,A202&gt;SV_T),0,-(AJ202+AL202+AN202)+IF(A202=SV_T,ROUND(MAX(0,AK202),2)+ROUND(MAX(0,AM202),2),0))</f>
        <v/>
      </c>
      <c r="AQ202" s="29">
        <f>IF(A202&gt;SV_T,0,AQ201*(1+SV_savRate)+H202+I202+J202+K202+L202+AE202+AP202)</f>
        <v/>
      </c>
      <c r="AR202" s="29">
        <f>IF(A202&gt;SV_T,0,MAX(0,O202+P202+Q202+AD202+AQ202+AO202-AF202))</f>
        <v/>
      </c>
      <c r="AS202" s="29">
        <f>IF(A202&gt;SV_T,0,O202+P202+AQ202+AO202-MAX(0,AF202-(Q202+AD202)))</f>
        <v/>
      </c>
    </row>
    <row r="203">
      <c r="A203" s="61" t="n">
        <v>41</v>
      </c>
      <c r="B203" s="61">
        <f>SV_age+A203</f>
        <v/>
      </c>
      <c r="C203" s="61">
        <f>currentYear+A203</f>
        <v/>
      </c>
      <c r="D203" s="52">
        <f>A203&lt;=SV_T</f>
        <v/>
      </c>
      <c r="E203" s="60">
        <f>IF(AND(SV_inflOn,A203&gt;=SV_inflS,A203&lt;=SV_inflE),1+SV_inflRate,1+inflationRate)</f>
        <v/>
      </c>
      <c r="F203" s="60">
        <f>IF(A203&lt;=1,1,F202*E203)</f>
        <v/>
      </c>
      <c r="G203" s="60">
        <f>IF(AND(SV_incOn,A203&gt;=SV_incS,A203&lt;=SV_incE),1+SV_incImp,1)</f>
        <v/>
      </c>
      <c r="H203" s="29">
        <f>IF(OR(OR(A203&lt;1,A203&gt;SV_T),A203-1&gt;=SV_salCut,AND(SV_deaOn,A203&gt;=SV_deaM)),0,SV_sal0*(1+incomeGrowthRate)^(A203-1)*G203)</f>
        <v/>
      </c>
      <c r="I203" s="29">
        <f>IF(OR(A203&lt;1,A203&gt;SV_T),0,(-SV_exp0*F203-IF(A203&lt;=SV_loanYears,SV_inst,0)-IF(AND(SV_wdAmt&gt;0,A203=SV_wdYear),SV_wdAmt,0))*IF(AND(SV_expOn,A203&gt;=SV_expS,A203&lt;=SV_expE),1+SV_expImp,1))</f>
        <v/>
      </c>
      <c r="J203" s="29">
        <f>IF(OR(A203&lt;1,A203&gt;SV_T),0,-F203*(IF(AND(SV_deaOn,A203=SV_deaM),SV_deaAmt,0)+IF(AND(SV_criOn,A203=SV_criM),SV_criAmt,0)+IF(AND(SV_tpdOn,A203=SV_tpdM),SV_tpdAmt,0)+IF(AND(SV_pacOn,A203=SV_pacM),SV_pacAmt,0)+IF(AND(SV_hosOn,A203=SV_hosM),SV_hosAmt,0)+IF(AND(SV_wedOn,A203=SV_wedM),SV_wedAmt,0)+IF(AND(SV_babOn,A203=SV_babM),SV_babAmt,0)+IF(AND(SV_ltcOn,A203&gt;=SV_ltcM,A203&lt;=SV_ltcE),SV_ltcAmt,0)))</f>
        <v/>
      </c>
      <c r="K203" s="29">
        <f>IF(OR(OR(A203&lt;1,A203&gt;SV_T),A203&gt;SV_loanYears),0,-SV_lifePremYr)</f>
        <v/>
      </c>
      <c r="L203" s="29">
        <f>IF(OR(A203&lt;1,A203&gt;SV_T),0,-SV_contrib)</f>
        <v/>
      </c>
      <c r="M203" s="60">
        <f>IF(AND(SV_crashOn,A203=SV_crashYr),SV_crashF,1)</f>
        <v/>
      </c>
      <c r="N203" s="60">
        <f>IF(AND(SV_ccyOn,A203=SV_ccyYr),SV_ccyF,1)</f>
        <v/>
      </c>
      <c r="O203" s="29">
        <f>IF(A203&gt;SV_T,0,O202*(1+interestRate)*M203*N203)</f>
        <v/>
      </c>
      <c r="P203" s="29">
        <f>IF(A203&gt;SV_T,0,(P202+SV_contrib)*(1+investmentReturn)*M203*N203)</f>
        <v/>
      </c>
      <c r="Q203" s="29">
        <f>IF(A203&gt;SV_T,0,Q202*(1+SV_propRate)*M203)</f>
        <v/>
      </c>
      <c r="R203" s="46">
        <f>MATCH(SV_age+A203-1,SV_cpfLower,1)</f>
        <v/>
      </c>
      <c r="S203" s="29">
        <f>IF(OR(OR(A203&lt;1,A203&gt;SV_T),NOT(SV_cpfOn),AND(SV_deaOn,A203&gt;=SV_deaM)),0,MIN(SV_sal0*(1+incomeGrowthRate)^(A203-1)*G203,SV_owCap))</f>
        <v/>
      </c>
      <c r="T203" s="29">
        <f>IF(A203&gt;SV_T,0,T202*(1+SV_oaRate)+IF(A203&gt;=SV_effStop,0,INDEX(SV_cpfOA,R203)*INDEX(SV_cpfTot,R203)*S203))</f>
        <v/>
      </c>
      <c r="U203" s="29">
        <f>IF(A203&gt;SV_T,0,U202*(1+SV_saRate)+IF(A203&gt;=SV_effStop,0,INDEX(SV_cpfSA,R203)*INDEX(SV_cpfTot,R203)*S203))</f>
        <v/>
      </c>
      <c r="V203" s="29">
        <f>IF(A203&gt;SV_T,0,V202*(1+SV_saRate)+IF(A203&gt;=SV_effStop,0,INDEX(SV_cpfMA,R203)*INDEX(SV_cpfTot,R203)*S203))</f>
        <v/>
      </c>
      <c r="W203" s="29">
        <f>IF(OR(OR(A203&lt;1,A203&gt;SV_T),A203&gt;=SV_effNeg),0,-(INDEX(SV_cpfOA,R203)+INDEX(SV_cpfSA,R203)+INDEX(SV_cpfMA,R203))*INDEX(SV_cpfEmp,R203)*S203)</f>
        <v/>
      </c>
      <c r="X203" s="29">
        <f>IF(A203&gt;=SV_sIdx,0,T203)</f>
        <v/>
      </c>
      <c r="Y203" s="29">
        <f>IF(A203&gt;=SV_sIdx,0,U203)</f>
        <v/>
      </c>
      <c r="Z203" s="29">
        <f>IF(A203&gt;=SV_sIdx,MIN(V203,SV_maCap),V203)</f>
        <v/>
      </c>
      <c r="AA203" s="29">
        <f>IF(AND(SV_cpfOn,A203&gt;=SV_pIdx,A203&lt;=SV_T),12*SV_pay,0)</f>
        <v/>
      </c>
      <c r="AB203" s="29">
        <f>IF(A203&gt;SV_T,0,IF(SV_sp&gt;=0,IF(A203&lt;SV_sIdx,0,IF(A203=SV_sIdx,SV_R0,SV_lifeGrowth*AB202)),SV_lifeGrowth*AB202))</f>
        <v/>
      </c>
      <c r="AC203" s="29">
        <f>IF(A203&gt;SV_T,0,IF(AND(SV_sp&gt;=0,A203&lt;SV_sIdx),0,IF(AND(SV_sp&gt;=0,A203=SV_sIdx),SV_L0,SV_lifeGrowth*(AC202-AA203))))</f>
        <v/>
      </c>
      <c r="AD203" s="29">
        <f>X203+Y203+AB203+Z203+IF(AB203&lt;0,0,AC203)</f>
        <v/>
      </c>
      <c r="AE203" s="29">
        <f>AA203+W203</f>
        <v/>
      </c>
      <c r="AF203" s="29">
        <f>IF(OR(A203&gt;SV_T,A203&gt;=SV_loanYears),0,MAX(0,AF202*(1+loanRate)-SV_inst))</f>
        <v/>
      </c>
      <c r="AG203" s="29">
        <f>IF(A203&gt;SV_T,0,AG202*(1+SV_savRate)+H203+I203+J203+K203+L203+AE203)</f>
        <v/>
      </c>
      <c r="AH203" s="29">
        <f>IF(A203&gt;SV_T,0,MAX(0,O203+P203+Q203+AD203+AG203-AF203))</f>
        <v/>
      </c>
      <c r="AI203" s="29">
        <f>IF(A203&gt;SV_T,0,O203+P203+AG203-MAX(0,AF203-(Q203+AD203)))</f>
        <v/>
      </c>
      <c r="AJ203" s="29">
        <f>IF(OR(OR(A203&lt;1,A203&gt;SV_T),A203-1&gt;=SV_retPay),0,SV_retMth*12+IF(A203=1,SV_retLump,0))</f>
        <v/>
      </c>
      <c r="AK203" s="29">
        <f>IF(A203&gt;SV_T,0,(AK202+AJ203)*(1+investmentReturn))</f>
        <v/>
      </c>
      <c r="AL203" s="29">
        <f>IF(OR(OR(A203&lt;1,A203&gt;SV_T),A203-1&gt;=SV_goalPay),0,SV_goalMth*12+IF(A203=1,SV_goalLump,0))</f>
        <v/>
      </c>
      <c r="AM203" s="29">
        <f>IF(A203&gt;SV_T,0,(AM202+AL203)*(1+investmentReturn))</f>
        <v/>
      </c>
      <c r="AN203" s="29">
        <f>IF(OR(OR(A203&lt;1,A203&gt;SV_T),A203-1&gt;=SV_protPay),0,SV_protPrem)</f>
        <v/>
      </c>
      <c r="AO203" s="29">
        <f>IF(OR(A203=0,A203&gt;=SV_T),0,ROUND(MAX(0,AK203),2)+ROUND(MAX(0,AM203),2))</f>
        <v/>
      </c>
      <c r="AP203" s="29">
        <f>IF(OR(A203&lt;1,A203&gt;SV_T),0,-(AJ203+AL203+AN203)+IF(A203=SV_T,ROUND(MAX(0,AK203),2)+ROUND(MAX(0,AM203),2),0))</f>
        <v/>
      </c>
      <c r="AQ203" s="29">
        <f>IF(A203&gt;SV_T,0,AQ202*(1+SV_savRate)+H203+I203+J203+K203+L203+AE203+AP203)</f>
        <v/>
      </c>
      <c r="AR203" s="29">
        <f>IF(A203&gt;SV_T,0,MAX(0,O203+P203+Q203+AD203+AQ203+AO203-AF203))</f>
        <v/>
      </c>
      <c r="AS203" s="29">
        <f>IF(A203&gt;SV_T,0,O203+P203+AQ203+AO203-MAX(0,AF203-(Q203+AD203)))</f>
        <v/>
      </c>
    </row>
    <row r="204">
      <c r="A204" s="61" t="n">
        <v>42</v>
      </c>
      <c r="B204" s="61">
        <f>SV_age+A204</f>
        <v/>
      </c>
      <c r="C204" s="61">
        <f>currentYear+A204</f>
        <v/>
      </c>
      <c r="D204" s="52">
        <f>A204&lt;=SV_T</f>
        <v/>
      </c>
      <c r="E204" s="60">
        <f>IF(AND(SV_inflOn,A204&gt;=SV_inflS,A204&lt;=SV_inflE),1+SV_inflRate,1+inflationRate)</f>
        <v/>
      </c>
      <c r="F204" s="60">
        <f>IF(A204&lt;=1,1,F203*E204)</f>
        <v/>
      </c>
      <c r="G204" s="60">
        <f>IF(AND(SV_incOn,A204&gt;=SV_incS,A204&lt;=SV_incE),1+SV_incImp,1)</f>
        <v/>
      </c>
      <c r="H204" s="29">
        <f>IF(OR(OR(A204&lt;1,A204&gt;SV_T),A204-1&gt;=SV_salCut,AND(SV_deaOn,A204&gt;=SV_deaM)),0,SV_sal0*(1+incomeGrowthRate)^(A204-1)*G204)</f>
        <v/>
      </c>
      <c r="I204" s="29">
        <f>IF(OR(A204&lt;1,A204&gt;SV_T),0,(-SV_exp0*F204-IF(A204&lt;=SV_loanYears,SV_inst,0)-IF(AND(SV_wdAmt&gt;0,A204=SV_wdYear),SV_wdAmt,0))*IF(AND(SV_expOn,A204&gt;=SV_expS,A204&lt;=SV_expE),1+SV_expImp,1))</f>
        <v/>
      </c>
      <c r="J204" s="29">
        <f>IF(OR(A204&lt;1,A204&gt;SV_T),0,-F204*(IF(AND(SV_deaOn,A204=SV_deaM),SV_deaAmt,0)+IF(AND(SV_criOn,A204=SV_criM),SV_criAmt,0)+IF(AND(SV_tpdOn,A204=SV_tpdM),SV_tpdAmt,0)+IF(AND(SV_pacOn,A204=SV_pacM),SV_pacAmt,0)+IF(AND(SV_hosOn,A204=SV_hosM),SV_hosAmt,0)+IF(AND(SV_wedOn,A204=SV_wedM),SV_wedAmt,0)+IF(AND(SV_babOn,A204=SV_babM),SV_babAmt,0)+IF(AND(SV_ltcOn,A204&gt;=SV_ltcM,A204&lt;=SV_ltcE),SV_ltcAmt,0)))</f>
        <v/>
      </c>
      <c r="K204" s="29">
        <f>IF(OR(OR(A204&lt;1,A204&gt;SV_T),A204&gt;SV_loanYears),0,-SV_lifePremYr)</f>
        <v/>
      </c>
      <c r="L204" s="29">
        <f>IF(OR(A204&lt;1,A204&gt;SV_T),0,-SV_contrib)</f>
        <v/>
      </c>
      <c r="M204" s="60">
        <f>IF(AND(SV_crashOn,A204=SV_crashYr),SV_crashF,1)</f>
        <v/>
      </c>
      <c r="N204" s="60">
        <f>IF(AND(SV_ccyOn,A204=SV_ccyYr),SV_ccyF,1)</f>
        <v/>
      </c>
      <c r="O204" s="29">
        <f>IF(A204&gt;SV_T,0,O203*(1+interestRate)*M204*N204)</f>
        <v/>
      </c>
      <c r="P204" s="29">
        <f>IF(A204&gt;SV_T,0,(P203+SV_contrib)*(1+investmentReturn)*M204*N204)</f>
        <v/>
      </c>
      <c r="Q204" s="29">
        <f>IF(A204&gt;SV_T,0,Q203*(1+SV_propRate)*M204)</f>
        <v/>
      </c>
      <c r="R204" s="46">
        <f>MATCH(SV_age+A204-1,SV_cpfLower,1)</f>
        <v/>
      </c>
      <c r="S204" s="29">
        <f>IF(OR(OR(A204&lt;1,A204&gt;SV_T),NOT(SV_cpfOn),AND(SV_deaOn,A204&gt;=SV_deaM)),0,MIN(SV_sal0*(1+incomeGrowthRate)^(A204-1)*G204,SV_owCap))</f>
        <v/>
      </c>
      <c r="T204" s="29">
        <f>IF(A204&gt;SV_T,0,T203*(1+SV_oaRate)+IF(A204&gt;=SV_effStop,0,INDEX(SV_cpfOA,R204)*INDEX(SV_cpfTot,R204)*S204))</f>
        <v/>
      </c>
      <c r="U204" s="29">
        <f>IF(A204&gt;SV_T,0,U203*(1+SV_saRate)+IF(A204&gt;=SV_effStop,0,INDEX(SV_cpfSA,R204)*INDEX(SV_cpfTot,R204)*S204))</f>
        <v/>
      </c>
      <c r="V204" s="29">
        <f>IF(A204&gt;SV_T,0,V203*(1+SV_saRate)+IF(A204&gt;=SV_effStop,0,INDEX(SV_cpfMA,R204)*INDEX(SV_cpfTot,R204)*S204))</f>
        <v/>
      </c>
      <c r="W204" s="29">
        <f>IF(OR(OR(A204&lt;1,A204&gt;SV_T),A204&gt;=SV_effNeg),0,-(INDEX(SV_cpfOA,R204)+INDEX(SV_cpfSA,R204)+INDEX(SV_cpfMA,R204))*INDEX(SV_cpfEmp,R204)*S204)</f>
        <v/>
      </c>
      <c r="X204" s="29">
        <f>IF(A204&gt;=SV_sIdx,0,T204)</f>
        <v/>
      </c>
      <c r="Y204" s="29">
        <f>IF(A204&gt;=SV_sIdx,0,U204)</f>
        <v/>
      </c>
      <c r="Z204" s="29">
        <f>IF(A204&gt;=SV_sIdx,MIN(V204,SV_maCap),V204)</f>
        <v/>
      </c>
      <c r="AA204" s="29">
        <f>IF(AND(SV_cpfOn,A204&gt;=SV_pIdx,A204&lt;=SV_T),12*SV_pay,0)</f>
        <v/>
      </c>
      <c r="AB204" s="29">
        <f>IF(A204&gt;SV_T,0,IF(SV_sp&gt;=0,IF(A204&lt;SV_sIdx,0,IF(A204=SV_sIdx,SV_R0,SV_lifeGrowth*AB203)),SV_lifeGrowth*AB203))</f>
        <v/>
      </c>
      <c r="AC204" s="29">
        <f>IF(A204&gt;SV_T,0,IF(AND(SV_sp&gt;=0,A204&lt;SV_sIdx),0,IF(AND(SV_sp&gt;=0,A204=SV_sIdx),SV_L0,SV_lifeGrowth*(AC203-AA204))))</f>
        <v/>
      </c>
      <c r="AD204" s="29">
        <f>X204+Y204+AB204+Z204+IF(AB204&lt;0,0,AC204)</f>
        <v/>
      </c>
      <c r="AE204" s="29">
        <f>AA204+W204</f>
        <v/>
      </c>
      <c r="AF204" s="29">
        <f>IF(OR(A204&gt;SV_T,A204&gt;=SV_loanYears),0,MAX(0,AF203*(1+loanRate)-SV_inst))</f>
        <v/>
      </c>
      <c r="AG204" s="29">
        <f>IF(A204&gt;SV_T,0,AG203*(1+SV_savRate)+H204+I204+J204+K204+L204+AE204)</f>
        <v/>
      </c>
      <c r="AH204" s="29">
        <f>IF(A204&gt;SV_T,0,MAX(0,O204+P204+Q204+AD204+AG204-AF204))</f>
        <v/>
      </c>
      <c r="AI204" s="29">
        <f>IF(A204&gt;SV_T,0,O204+P204+AG204-MAX(0,AF204-(Q204+AD204)))</f>
        <v/>
      </c>
      <c r="AJ204" s="29">
        <f>IF(OR(OR(A204&lt;1,A204&gt;SV_T),A204-1&gt;=SV_retPay),0,SV_retMth*12+IF(A204=1,SV_retLump,0))</f>
        <v/>
      </c>
      <c r="AK204" s="29">
        <f>IF(A204&gt;SV_T,0,(AK203+AJ204)*(1+investmentReturn))</f>
        <v/>
      </c>
      <c r="AL204" s="29">
        <f>IF(OR(OR(A204&lt;1,A204&gt;SV_T),A204-1&gt;=SV_goalPay),0,SV_goalMth*12+IF(A204=1,SV_goalLump,0))</f>
        <v/>
      </c>
      <c r="AM204" s="29">
        <f>IF(A204&gt;SV_T,0,(AM203+AL204)*(1+investmentReturn))</f>
        <v/>
      </c>
      <c r="AN204" s="29">
        <f>IF(OR(OR(A204&lt;1,A204&gt;SV_T),A204-1&gt;=SV_protPay),0,SV_protPrem)</f>
        <v/>
      </c>
      <c r="AO204" s="29">
        <f>IF(OR(A204=0,A204&gt;=SV_T),0,ROUND(MAX(0,AK204),2)+ROUND(MAX(0,AM204),2))</f>
        <v/>
      </c>
      <c r="AP204" s="29">
        <f>IF(OR(A204&lt;1,A204&gt;SV_T),0,-(AJ204+AL204+AN204)+IF(A204=SV_T,ROUND(MAX(0,AK204),2)+ROUND(MAX(0,AM204),2),0))</f>
        <v/>
      </c>
      <c r="AQ204" s="29">
        <f>IF(A204&gt;SV_T,0,AQ203*(1+SV_savRate)+H204+I204+J204+K204+L204+AE204+AP204)</f>
        <v/>
      </c>
      <c r="AR204" s="29">
        <f>IF(A204&gt;SV_T,0,MAX(0,O204+P204+Q204+AD204+AQ204+AO204-AF204))</f>
        <v/>
      </c>
      <c r="AS204" s="29">
        <f>IF(A204&gt;SV_T,0,O204+P204+AQ204+AO204-MAX(0,AF204-(Q204+AD204)))</f>
        <v/>
      </c>
    </row>
    <row r="205">
      <c r="A205" s="61" t="n">
        <v>43</v>
      </c>
      <c r="B205" s="61">
        <f>SV_age+A205</f>
        <v/>
      </c>
      <c r="C205" s="61">
        <f>currentYear+A205</f>
        <v/>
      </c>
      <c r="D205" s="52">
        <f>A205&lt;=SV_T</f>
        <v/>
      </c>
      <c r="E205" s="60">
        <f>IF(AND(SV_inflOn,A205&gt;=SV_inflS,A205&lt;=SV_inflE),1+SV_inflRate,1+inflationRate)</f>
        <v/>
      </c>
      <c r="F205" s="60">
        <f>IF(A205&lt;=1,1,F204*E205)</f>
        <v/>
      </c>
      <c r="G205" s="60">
        <f>IF(AND(SV_incOn,A205&gt;=SV_incS,A205&lt;=SV_incE),1+SV_incImp,1)</f>
        <v/>
      </c>
      <c r="H205" s="29">
        <f>IF(OR(OR(A205&lt;1,A205&gt;SV_T),A205-1&gt;=SV_salCut,AND(SV_deaOn,A205&gt;=SV_deaM)),0,SV_sal0*(1+incomeGrowthRate)^(A205-1)*G205)</f>
        <v/>
      </c>
      <c r="I205" s="29">
        <f>IF(OR(A205&lt;1,A205&gt;SV_T),0,(-SV_exp0*F205-IF(A205&lt;=SV_loanYears,SV_inst,0)-IF(AND(SV_wdAmt&gt;0,A205=SV_wdYear),SV_wdAmt,0))*IF(AND(SV_expOn,A205&gt;=SV_expS,A205&lt;=SV_expE),1+SV_expImp,1))</f>
        <v/>
      </c>
      <c r="J205" s="29">
        <f>IF(OR(A205&lt;1,A205&gt;SV_T),0,-F205*(IF(AND(SV_deaOn,A205=SV_deaM),SV_deaAmt,0)+IF(AND(SV_criOn,A205=SV_criM),SV_criAmt,0)+IF(AND(SV_tpdOn,A205=SV_tpdM),SV_tpdAmt,0)+IF(AND(SV_pacOn,A205=SV_pacM),SV_pacAmt,0)+IF(AND(SV_hosOn,A205=SV_hosM),SV_hosAmt,0)+IF(AND(SV_wedOn,A205=SV_wedM),SV_wedAmt,0)+IF(AND(SV_babOn,A205=SV_babM),SV_babAmt,0)+IF(AND(SV_ltcOn,A205&gt;=SV_ltcM,A205&lt;=SV_ltcE),SV_ltcAmt,0)))</f>
        <v/>
      </c>
      <c r="K205" s="29">
        <f>IF(OR(OR(A205&lt;1,A205&gt;SV_T),A205&gt;SV_loanYears),0,-SV_lifePremYr)</f>
        <v/>
      </c>
      <c r="L205" s="29">
        <f>IF(OR(A205&lt;1,A205&gt;SV_T),0,-SV_contrib)</f>
        <v/>
      </c>
      <c r="M205" s="60">
        <f>IF(AND(SV_crashOn,A205=SV_crashYr),SV_crashF,1)</f>
        <v/>
      </c>
      <c r="N205" s="60">
        <f>IF(AND(SV_ccyOn,A205=SV_ccyYr),SV_ccyF,1)</f>
        <v/>
      </c>
      <c r="O205" s="29">
        <f>IF(A205&gt;SV_T,0,O204*(1+interestRate)*M205*N205)</f>
        <v/>
      </c>
      <c r="P205" s="29">
        <f>IF(A205&gt;SV_T,0,(P204+SV_contrib)*(1+investmentReturn)*M205*N205)</f>
        <v/>
      </c>
      <c r="Q205" s="29">
        <f>IF(A205&gt;SV_T,0,Q204*(1+SV_propRate)*M205)</f>
        <v/>
      </c>
      <c r="R205" s="46">
        <f>MATCH(SV_age+A205-1,SV_cpfLower,1)</f>
        <v/>
      </c>
      <c r="S205" s="29">
        <f>IF(OR(OR(A205&lt;1,A205&gt;SV_T),NOT(SV_cpfOn),AND(SV_deaOn,A205&gt;=SV_deaM)),0,MIN(SV_sal0*(1+incomeGrowthRate)^(A205-1)*G205,SV_owCap))</f>
        <v/>
      </c>
      <c r="T205" s="29">
        <f>IF(A205&gt;SV_T,0,T204*(1+SV_oaRate)+IF(A205&gt;=SV_effStop,0,INDEX(SV_cpfOA,R205)*INDEX(SV_cpfTot,R205)*S205))</f>
        <v/>
      </c>
      <c r="U205" s="29">
        <f>IF(A205&gt;SV_T,0,U204*(1+SV_saRate)+IF(A205&gt;=SV_effStop,0,INDEX(SV_cpfSA,R205)*INDEX(SV_cpfTot,R205)*S205))</f>
        <v/>
      </c>
      <c r="V205" s="29">
        <f>IF(A205&gt;SV_T,0,V204*(1+SV_saRate)+IF(A205&gt;=SV_effStop,0,INDEX(SV_cpfMA,R205)*INDEX(SV_cpfTot,R205)*S205))</f>
        <v/>
      </c>
      <c r="W205" s="29">
        <f>IF(OR(OR(A205&lt;1,A205&gt;SV_T),A205&gt;=SV_effNeg),0,-(INDEX(SV_cpfOA,R205)+INDEX(SV_cpfSA,R205)+INDEX(SV_cpfMA,R205))*INDEX(SV_cpfEmp,R205)*S205)</f>
        <v/>
      </c>
      <c r="X205" s="29">
        <f>IF(A205&gt;=SV_sIdx,0,T205)</f>
        <v/>
      </c>
      <c r="Y205" s="29">
        <f>IF(A205&gt;=SV_sIdx,0,U205)</f>
        <v/>
      </c>
      <c r="Z205" s="29">
        <f>IF(A205&gt;=SV_sIdx,MIN(V205,SV_maCap),V205)</f>
        <v/>
      </c>
      <c r="AA205" s="29">
        <f>IF(AND(SV_cpfOn,A205&gt;=SV_pIdx,A205&lt;=SV_T),12*SV_pay,0)</f>
        <v/>
      </c>
      <c r="AB205" s="29">
        <f>IF(A205&gt;SV_T,0,IF(SV_sp&gt;=0,IF(A205&lt;SV_sIdx,0,IF(A205=SV_sIdx,SV_R0,SV_lifeGrowth*AB204)),SV_lifeGrowth*AB204))</f>
        <v/>
      </c>
      <c r="AC205" s="29">
        <f>IF(A205&gt;SV_T,0,IF(AND(SV_sp&gt;=0,A205&lt;SV_sIdx),0,IF(AND(SV_sp&gt;=0,A205=SV_sIdx),SV_L0,SV_lifeGrowth*(AC204-AA205))))</f>
        <v/>
      </c>
      <c r="AD205" s="29">
        <f>X205+Y205+AB205+Z205+IF(AB205&lt;0,0,AC205)</f>
        <v/>
      </c>
      <c r="AE205" s="29">
        <f>AA205+W205</f>
        <v/>
      </c>
      <c r="AF205" s="29">
        <f>IF(OR(A205&gt;SV_T,A205&gt;=SV_loanYears),0,MAX(0,AF204*(1+loanRate)-SV_inst))</f>
        <v/>
      </c>
      <c r="AG205" s="29">
        <f>IF(A205&gt;SV_T,0,AG204*(1+SV_savRate)+H205+I205+J205+K205+L205+AE205)</f>
        <v/>
      </c>
      <c r="AH205" s="29">
        <f>IF(A205&gt;SV_T,0,MAX(0,O205+P205+Q205+AD205+AG205-AF205))</f>
        <v/>
      </c>
      <c r="AI205" s="29">
        <f>IF(A205&gt;SV_T,0,O205+P205+AG205-MAX(0,AF205-(Q205+AD205)))</f>
        <v/>
      </c>
      <c r="AJ205" s="29">
        <f>IF(OR(OR(A205&lt;1,A205&gt;SV_T),A205-1&gt;=SV_retPay),0,SV_retMth*12+IF(A205=1,SV_retLump,0))</f>
        <v/>
      </c>
      <c r="AK205" s="29">
        <f>IF(A205&gt;SV_T,0,(AK204+AJ205)*(1+investmentReturn))</f>
        <v/>
      </c>
      <c r="AL205" s="29">
        <f>IF(OR(OR(A205&lt;1,A205&gt;SV_T),A205-1&gt;=SV_goalPay),0,SV_goalMth*12+IF(A205=1,SV_goalLump,0))</f>
        <v/>
      </c>
      <c r="AM205" s="29">
        <f>IF(A205&gt;SV_T,0,(AM204+AL205)*(1+investmentReturn))</f>
        <v/>
      </c>
      <c r="AN205" s="29">
        <f>IF(OR(OR(A205&lt;1,A205&gt;SV_T),A205-1&gt;=SV_protPay),0,SV_protPrem)</f>
        <v/>
      </c>
      <c r="AO205" s="29">
        <f>IF(OR(A205=0,A205&gt;=SV_T),0,ROUND(MAX(0,AK205),2)+ROUND(MAX(0,AM205),2))</f>
        <v/>
      </c>
      <c r="AP205" s="29">
        <f>IF(OR(A205&lt;1,A205&gt;SV_T),0,-(AJ205+AL205+AN205)+IF(A205=SV_T,ROUND(MAX(0,AK205),2)+ROUND(MAX(0,AM205),2),0))</f>
        <v/>
      </c>
      <c r="AQ205" s="29">
        <f>IF(A205&gt;SV_T,0,AQ204*(1+SV_savRate)+H205+I205+J205+K205+L205+AE205+AP205)</f>
        <v/>
      </c>
      <c r="AR205" s="29">
        <f>IF(A205&gt;SV_T,0,MAX(0,O205+P205+Q205+AD205+AQ205+AO205-AF205))</f>
        <v/>
      </c>
      <c r="AS205" s="29">
        <f>IF(A205&gt;SV_T,0,O205+P205+AQ205+AO205-MAX(0,AF205-(Q205+AD205)))</f>
        <v/>
      </c>
    </row>
    <row r="206">
      <c r="A206" s="61" t="n">
        <v>44</v>
      </c>
      <c r="B206" s="61">
        <f>SV_age+A206</f>
        <v/>
      </c>
      <c r="C206" s="61">
        <f>currentYear+A206</f>
        <v/>
      </c>
      <c r="D206" s="52">
        <f>A206&lt;=SV_T</f>
        <v/>
      </c>
      <c r="E206" s="60">
        <f>IF(AND(SV_inflOn,A206&gt;=SV_inflS,A206&lt;=SV_inflE),1+SV_inflRate,1+inflationRate)</f>
        <v/>
      </c>
      <c r="F206" s="60">
        <f>IF(A206&lt;=1,1,F205*E206)</f>
        <v/>
      </c>
      <c r="G206" s="60">
        <f>IF(AND(SV_incOn,A206&gt;=SV_incS,A206&lt;=SV_incE),1+SV_incImp,1)</f>
        <v/>
      </c>
      <c r="H206" s="29">
        <f>IF(OR(OR(A206&lt;1,A206&gt;SV_T),A206-1&gt;=SV_salCut,AND(SV_deaOn,A206&gt;=SV_deaM)),0,SV_sal0*(1+incomeGrowthRate)^(A206-1)*G206)</f>
        <v/>
      </c>
      <c r="I206" s="29">
        <f>IF(OR(A206&lt;1,A206&gt;SV_T),0,(-SV_exp0*F206-IF(A206&lt;=SV_loanYears,SV_inst,0)-IF(AND(SV_wdAmt&gt;0,A206=SV_wdYear),SV_wdAmt,0))*IF(AND(SV_expOn,A206&gt;=SV_expS,A206&lt;=SV_expE),1+SV_expImp,1))</f>
        <v/>
      </c>
      <c r="J206" s="29">
        <f>IF(OR(A206&lt;1,A206&gt;SV_T),0,-F206*(IF(AND(SV_deaOn,A206=SV_deaM),SV_deaAmt,0)+IF(AND(SV_criOn,A206=SV_criM),SV_criAmt,0)+IF(AND(SV_tpdOn,A206=SV_tpdM),SV_tpdAmt,0)+IF(AND(SV_pacOn,A206=SV_pacM),SV_pacAmt,0)+IF(AND(SV_hosOn,A206=SV_hosM),SV_hosAmt,0)+IF(AND(SV_wedOn,A206=SV_wedM),SV_wedAmt,0)+IF(AND(SV_babOn,A206=SV_babM),SV_babAmt,0)+IF(AND(SV_ltcOn,A206&gt;=SV_ltcM,A206&lt;=SV_ltcE),SV_ltcAmt,0)))</f>
        <v/>
      </c>
      <c r="K206" s="29">
        <f>IF(OR(OR(A206&lt;1,A206&gt;SV_T),A206&gt;SV_loanYears),0,-SV_lifePremYr)</f>
        <v/>
      </c>
      <c r="L206" s="29">
        <f>IF(OR(A206&lt;1,A206&gt;SV_T),0,-SV_contrib)</f>
        <v/>
      </c>
      <c r="M206" s="60">
        <f>IF(AND(SV_crashOn,A206=SV_crashYr),SV_crashF,1)</f>
        <v/>
      </c>
      <c r="N206" s="60">
        <f>IF(AND(SV_ccyOn,A206=SV_ccyYr),SV_ccyF,1)</f>
        <v/>
      </c>
      <c r="O206" s="29">
        <f>IF(A206&gt;SV_T,0,O205*(1+interestRate)*M206*N206)</f>
        <v/>
      </c>
      <c r="P206" s="29">
        <f>IF(A206&gt;SV_T,0,(P205+SV_contrib)*(1+investmentReturn)*M206*N206)</f>
        <v/>
      </c>
      <c r="Q206" s="29">
        <f>IF(A206&gt;SV_T,0,Q205*(1+SV_propRate)*M206)</f>
        <v/>
      </c>
      <c r="R206" s="46">
        <f>MATCH(SV_age+A206-1,SV_cpfLower,1)</f>
        <v/>
      </c>
      <c r="S206" s="29">
        <f>IF(OR(OR(A206&lt;1,A206&gt;SV_T),NOT(SV_cpfOn),AND(SV_deaOn,A206&gt;=SV_deaM)),0,MIN(SV_sal0*(1+incomeGrowthRate)^(A206-1)*G206,SV_owCap))</f>
        <v/>
      </c>
      <c r="T206" s="29">
        <f>IF(A206&gt;SV_T,0,T205*(1+SV_oaRate)+IF(A206&gt;=SV_effStop,0,INDEX(SV_cpfOA,R206)*INDEX(SV_cpfTot,R206)*S206))</f>
        <v/>
      </c>
      <c r="U206" s="29">
        <f>IF(A206&gt;SV_T,0,U205*(1+SV_saRate)+IF(A206&gt;=SV_effStop,0,INDEX(SV_cpfSA,R206)*INDEX(SV_cpfTot,R206)*S206))</f>
        <v/>
      </c>
      <c r="V206" s="29">
        <f>IF(A206&gt;SV_T,0,V205*(1+SV_saRate)+IF(A206&gt;=SV_effStop,0,INDEX(SV_cpfMA,R206)*INDEX(SV_cpfTot,R206)*S206))</f>
        <v/>
      </c>
      <c r="W206" s="29">
        <f>IF(OR(OR(A206&lt;1,A206&gt;SV_T),A206&gt;=SV_effNeg),0,-(INDEX(SV_cpfOA,R206)+INDEX(SV_cpfSA,R206)+INDEX(SV_cpfMA,R206))*INDEX(SV_cpfEmp,R206)*S206)</f>
        <v/>
      </c>
      <c r="X206" s="29">
        <f>IF(A206&gt;=SV_sIdx,0,T206)</f>
        <v/>
      </c>
      <c r="Y206" s="29">
        <f>IF(A206&gt;=SV_sIdx,0,U206)</f>
        <v/>
      </c>
      <c r="Z206" s="29">
        <f>IF(A206&gt;=SV_sIdx,MIN(V206,SV_maCap),V206)</f>
        <v/>
      </c>
      <c r="AA206" s="29">
        <f>IF(AND(SV_cpfOn,A206&gt;=SV_pIdx,A206&lt;=SV_T),12*SV_pay,0)</f>
        <v/>
      </c>
      <c r="AB206" s="29">
        <f>IF(A206&gt;SV_T,0,IF(SV_sp&gt;=0,IF(A206&lt;SV_sIdx,0,IF(A206=SV_sIdx,SV_R0,SV_lifeGrowth*AB205)),SV_lifeGrowth*AB205))</f>
        <v/>
      </c>
      <c r="AC206" s="29">
        <f>IF(A206&gt;SV_T,0,IF(AND(SV_sp&gt;=0,A206&lt;SV_sIdx),0,IF(AND(SV_sp&gt;=0,A206=SV_sIdx),SV_L0,SV_lifeGrowth*(AC205-AA206))))</f>
        <v/>
      </c>
      <c r="AD206" s="29">
        <f>X206+Y206+AB206+Z206+IF(AB206&lt;0,0,AC206)</f>
        <v/>
      </c>
      <c r="AE206" s="29">
        <f>AA206+W206</f>
        <v/>
      </c>
      <c r="AF206" s="29">
        <f>IF(OR(A206&gt;SV_T,A206&gt;=SV_loanYears),0,MAX(0,AF205*(1+loanRate)-SV_inst))</f>
        <v/>
      </c>
      <c r="AG206" s="29">
        <f>IF(A206&gt;SV_T,0,AG205*(1+SV_savRate)+H206+I206+J206+K206+L206+AE206)</f>
        <v/>
      </c>
      <c r="AH206" s="29">
        <f>IF(A206&gt;SV_T,0,MAX(0,O206+P206+Q206+AD206+AG206-AF206))</f>
        <v/>
      </c>
      <c r="AI206" s="29">
        <f>IF(A206&gt;SV_T,0,O206+P206+AG206-MAX(0,AF206-(Q206+AD206)))</f>
        <v/>
      </c>
      <c r="AJ206" s="29">
        <f>IF(OR(OR(A206&lt;1,A206&gt;SV_T),A206-1&gt;=SV_retPay),0,SV_retMth*12+IF(A206=1,SV_retLump,0))</f>
        <v/>
      </c>
      <c r="AK206" s="29">
        <f>IF(A206&gt;SV_T,0,(AK205+AJ206)*(1+investmentReturn))</f>
        <v/>
      </c>
      <c r="AL206" s="29">
        <f>IF(OR(OR(A206&lt;1,A206&gt;SV_T),A206-1&gt;=SV_goalPay),0,SV_goalMth*12+IF(A206=1,SV_goalLump,0))</f>
        <v/>
      </c>
      <c r="AM206" s="29">
        <f>IF(A206&gt;SV_T,0,(AM205+AL206)*(1+investmentReturn))</f>
        <v/>
      </c>
      <c r="AN206" s="29">
        <f>IF(OR(OR(A206&lt;1,A206&gt;SV_T),A206-1&gt;=SV_protPay),0,SV_protPrem)</f>
        <v/>
      </c>
      <c r="AO206" s="29">
        <f>IF(OR(A206=0,A206&gt;=SV_T),0,ROUND(MAX(0,AK206),2)+ROUND(MAX(0,AM206),2))</f>
        <v/>
      </c>
      <c r="AP206" s="29">
        <f>IF(OR(A206&lt;1,A206&gt;SV_T),0,-(AJ206+AL206+AN206)+IF(A206=SV_T,ROUND(MAX(0,AK206),2)+ROUND(MAX(0,AM206),2),0))</f>
        <v/>
      </c>
      <c r="AQ206" s="29">
        <f>IF(A206&gt;SV_T,0,AQ205*(1+SV_savRate)+H206+I206+J206+K206+L206+AE206+AP206)</f>
        <v/>
      </c>
      <c r="AR206" s="29">
        <f>IF(A206&gt;SV_T,0,MAX(0,O206+P206+Q206+AD206+AQ206+AO206-AF206))</f>
        <v/>
      </c>
      <c r="AS206" s="29">
        <f>IF(A206&gt;SV_T,0,O206+P206+AQ206+AO206-MAX(0,AF206-(Q206+AD206)))</f>
        <v/>
      </c>
    </row>
    <row r="207">
      <c r="A207" s="61" t="n">
        <v>45</v>
      </c>
      <c r="B207" s="61">
        <f>SV_age+A207</f>
        <v/>
      </c>
      <c r="C207" s="61">
        <f>currentYear+A207</f>
        <v/>
      </c>
      <c r="D207" s="52">
        <f>A207&lt;=SV_T</f>
        <v/>
      </c>
      <c r="E207" s="60">
        <f>IF(AND(SV_inflOn,A207&gt;=SV_inflS,A207&lt;=SV_inflE),1+SV_inflRate,1+inflationRate)</f>
        <v/>
      </c>
      <c r="F207" s="60">
        <f>IF(A207&lt;=1,1,F206*E207)</f>
        <v/>
      </c>
      <c r="G207" s="60">
        <f>IF(AND(SV_incOn,A207&gt;=SV_incS,A207&lt;=SV_incE),1+SV_incImp,1)</f>
        <v/>
      </c>
      <c r="H207" s="29">
        <f>IF(OR(OR(A207&lt;1,A207&gt;SV_T),A207-1&gt;=SV_salCut,AND(SV_deaOn,A207&gt;=SV_deaM)),0,SV_sal0*(1+incomeGrowthRate)^(A207-1)*G207)</f>
        <v/>
      </c>
      <c r="I207" s="29">
        <f>IF(OR(A207&lt;1,A207&gt;SV_T),0,(-SV_exp0*F207-IF(A207&lt;=SV_loanYears,SV_inst,0)-IF(AND(SV_wdAmt&gt;0,A207=SV_wdYear),SV_wdAmt,0))*IF(AND(SV_expOn,A207&gt;=SV_expS,A207&lt;=SV_expE),1+SV_expImp,1))</f>
        <v/>
      </c>
      <c r="J207" s="29">
        <f>IF(OR(A207&lt;1,A207&gt;SV_T),0,-F207*(IF(AND(SV_deaOn,A207=SV_deaM),SV_deaAmt,0)+IF(AND(SV_criOn,A207=SV_criM),SV_criAmt,0)+IF(AND(SV_tpdOn,A207=SV_tpdM),SV_tpdAmt,0)+IF(AND(SV_pacOn,A207=SV_pacM),SV_pacAmt,0)+IF(AND(SV_hosOn,A207=SV_hosM),SV_hosAmt,0)+IF(AND(SV_wedOn,A207=SV_wedM),SV_wedAmt,0)+IF(AND(SV_babOn,A207=SV_babM),SV_babAmt,0)+IF(AND(SV_ltcOn,A207&gt;=SV_ltcM,A207&lt;=SV_ltcE),SV_ltcAmt,0)))</f>
        <v/>
      </c>
      <c r="K207" s="29">
        <f>IF(OR(OR(A207&lt;1,A207&gt;SV_T),A207&gt;SV_loanYears),0,-SV_lifePremYr)</f>
        <v/>
      </c>
      <c r="L207" s="29">
        <f>IF(OR(A207&lt;1,A207&gt;SV_T),0,-SV_contrib)</f>
        <v/>
      </c>
      <c r="M207" s="60">
        <f>IF(AND(SV_crashOn,A207=SV_crashYr),SV_crashF,1)</f>
        <v/>
      </c>
      <c r="N207" s="60">
        <f>IF(AND(SV_ccyOn,A207=SV_ccyYr),SV_ccyF,1)</f>
        <v/>
      </c>
      <c r="O207" s="29">
        <f>IF(A207&gt;SV_T,0,O206*(1+interestRate)*M207*N207)</f>
        <v/>
      </c>
      <c r="P207" s="29">
        <f>IF(A207&gt;SV_T,0,(P206+SV_contrib)*(1+investmentReturn)*M207*N207)</f>
        <v/>
      </c>
      <c r="Q207" s="29">
        <f>IF(A207&gt;SV_T,0,Q206*(1+SV_propRate)*M207)</f>
        <v/>
      </c>
      <c r="R207" s="46">
        <f>MATCH(SV_age+A207-1,SV_cpfLower,1)</f>
        <v/>
      </c>
      <c r="S207" s="29">
        <f>IF(OR(OR(A207&lt;1,A207&gt;SV_T),NOT(SV_cpfOn),AND(SV_deaOn,A207&gt;=SV_deaM)),0,MIN(SV_sal0*(1+incomeGrowthRate)^(A207-1)*G207,SV_owCap))</f>
        <v/>
      </c>
      <c r="T207" s="29">
        <f>IF(A207&gt;SV_T,0,T206*(1+SV_oaRate)+IF(A207&gt;=SV_effStop,0,INDEX(SV_cpfOA,R207)*INDEX(SV_cpfTot,R207)*S207))</f>
        <v/>
      </c>
      <c r="U207" s="29">
        <f>IF(A207&gt;SV_T,0,U206*(1+SV_saRate)+IF(A207&gt;=SV_effStop,0,INDEX(SV_cpfSA,R207)*INDEX(SV_cpfTot,R207)*S207))</f>
        <v/>
      </c>
      <c r="V207" s="29">
        <f>IF(A207&gt;SV_T,0,V206*(1+SV_saRate)+IF(A207&gt;=SV_effStop,0,INDEX(SV_cpfMA,R207)*INDEX(SV_cpfTot,R207)*S207))</f>
        <v/>
      </c>
      <c r="W207" s="29">
        <f>IF(OR(OR(A207&lt;1,A207&gt;SV_T),A207&gt;=SV_effNeg),0,-(INDEX(SV_cpfOA,R207)+INDEX(SV_cpfSA,R207)+INDEX(SV_cpfMA,R207))*INDEX(SV_cpfEmp,R207)*S207)</f>
        <v/>
      </c>
      <c r="X207" s="29">
        <f>IF(A207&gt;=SV_sIdx,0,T207)</f>
        <v/>
      </c>
      <c r="Y207" s="29">
        <f>IF(A207&gt;=SV_sIdx,0,U207)</f>
        <v/>
      </c>
      <c r="Z207" s="29">
        <f>IF(A207&gt;=SV_sIdx,MIN(V207,SV_maCap),V207)</f>
        <v/>
      </c>
      <c r="AA207" s="29">
        <f>IF(AND(SV_cpfOn,A207&gt;=SV_pIdx,A207&lt;=SV_T),12*SV_pay,0)</f>
        <v/>
      </c>
      <c r="AB207" s="29">
        <f>IF(A207&gt;SV_T,0,IF(SV_sp&gt;=0,IF(A207&lt;SV_sIdx,0,IF(A207=SV_sIdx,SV_R0,SV_lifeGrowth*AB206)),SV_lifeGrowth*AB206))</f>
        <v/>
      </c>
      <c r="AC207" s="29">
        <f>IF(A207&gt;SV_T,0,IF(AND(SV_sp&gt;=0,A207&lt;SV_sIdx),0,IF(AND(SV_sp&gt;=0,A207=SV_sIdx),SV_L0,SV_lifeGrowth*(AC206-AA207))))</f>
        <v/>
      </c>
      <c r="AD207" s="29">
        <f>X207+Y207+AB207+Z207+IF(AB207&lt;0,0,AC207)</f>
        <v/>
      </c>
      <c r="AE207" s="29">
        <f>AA207+W207</f>
        <v/>
      </c>
      <c r="AF207" s="29">
        <f>IF(OR(A207&gt;SV_T,A207&gt;=SV_loanYears),0,MAX(0,AF206*(1+loanRate)-SV_inst))</f>
        <v/>
      </c>
      <c r="AG207" s="29">
        <f>IF(A207&gt;SV_T,0,AG206*(1+SV_savRate)+H207+I207+J207+K207+L207+AE207)</f>
        <v/>
      </c>
      <c r="AH207" s="29">
        <f>IF(A207&gt;SV_T,0,MAX(0,O207+P207+Q207+AD207+AG207-AF207))</f>
        <v/>
      </c>
      <c r="AI207" s="29">
        <f>IF(A207&gt;SV_T,0,O207+P207+AG207-MAX(0,AF207-(Q207+AD207)))</f>
        <v/>
      </c>
      <c r="AJ207" s="29">
        <f>IF(OR(OR(A207&lt;1,A207&gt;SV_T),A207-1&gt;=SV_retPay),0,SV_retMth*12+IF(A207=1,SV_retLump,0))</f>
        <v/>
      </c>
      <c r="AK207" s="29">
        <f>IF(A207&gt;SV_T,0,(AK206+AJ207)*(1+investmentReturn))</f>
        <v/>
      </c>
      <c r="AL207" s="29">
        <f>IF(OR(OR(A207&lt;1,A207&gt;SV_T),A207-1&gt;=SV_goalPay),0,SV_goalMth*12+IF(A207=1,SV_goalLump,0))</f>
        <v/>
      </c>
      <c r="AM207" s="29">
        <f>IF(A207&gt;SV_T,0,(AM206+AL207)*(1+investmentReturn))</f>
        <v/>
      </c>
      <c r="AN207" s="29">
        <f>IF(OR(OR(A207&lt;1,A207&gt;SV_T),A207-1&gt;=SV_protPay),0,SV_protPrem)</f>
        <v/>
      </c>
      <c r="AO207" s="29">
        <f>IF(OR(A207=0,A207&gt;=SV_T),0,ROUND(MAX(0,AK207),2)+ROUND(MAX(0,AM207),2))</f>
        <v/>
      </c>
      <c r="AP207" s="29">
        <f>IF(OR(A207&lt;1,A207&gt;SV_T),0,-(AJ207+AL207+AN207)+IF(A207=SV_T,ROUND(MAX(0,AK207),2)+ROUND(MAX(0,AM207),2),0))</f>
        <v/>
      </c>
      <c r="AQ207" s="29">
        <f>IF(A207&gt;SV_T,0,AQ206*(1+SV_savRate)+H207+I207+J207+K207+L207+AE207+AP207)</f>
        <v/>
      </c>
      <c r="AR207" s="29">
        <f>IF(A207&gt;SV_T,0,MAX(0,O207+P207+Q207+AD207+AQ207+AO207-AF207))</f>
        <v/>
      </c>
      <c r="AS207" s="29">
        <f>IF(A207&gt;SV_T,0,O207+P207+AQ207+AO207-MAX(0,AF207-(Q207+AD207)))</f>
        <v/>
      </c>
    </row>
    <row r="208">
      <c r="A208" s="61" t="n">
        <v>46</v>
      </c>
      <c r="B208" s="61">
        <f>SV_age+A208</f>
        <v/>
      </c>
      <c r="C208" s="61">
        <f>currentYear+A208</f>
        <v/>
      </c>
      <c r="D208" s="52">
        <f>A208&lt;=SV_T</f>
        <v/>
      </c>
      <c r="E208" s="60">
        <f>IF(AND(SV_inflOn,A208&gt;=SV_inflS,A208&lt;=SV_inflE),1+SV_inflRate,1+inflationRate)</f>
        <v/>
      </c>
      <c r="F208" s="60">
        <f>IF(A208&lt;=1,1,F207*E208)</f>
        <v/>
      </c>
      <c r="G208" s="60">
        <f>IF(AND(SV_incOn,A208&gt;=SV_incS,A208&lt;=SV_incE),1+SV_incImp,1)</f>
        <v/>
      </c>
      <c r="H208" s="29">
        <f>IF(OR(OR(A208&lt;1,A208&gt;SV_T),A208-1&gt;=SV_salCut,AND(SV_deaOn,A208&gt;=SV_deaM)),0,SV_sal0*(1+incomeGrowthRate)^(A208-1)*G208)</f>
        <v/>
      </c>
      <c r="I208" s="29">
        <f>IF(OR(A208&lt;1,A208&gt;SV_T),0,(-SV_exp0*F208-IF(A208&lt;=SV_loanYears,SV_inst,0)-IF(AND(SV_wdAmt&gt;0,A208=SV_wdYear),SV_wdAmt,0))*IF(AND(SV_expOn,A208&gt;=SV_expS,A208&lt;=SV_expE),1+SV_expImp,1))</f>
        <v/>
      </c>
      <c r="J208" s="29">
        <f>IF(OR(A208&lt;1,A208&gt;SV_T),0,-F208*(IF(AND(SV_deaOn,A208=SV_deaM),SV_deaAmt,0)+IF(AND(SV_criOn,A208=SV_criM),SV_criAmt,0)+IF(AND(SV_tpdOn,A208=SV_tpdM),SV_tpdAmt,0)+IF(AND(SV_pacOn,A208=SV_pacM),SV_pacAmt,0)+IF(AND(SV_hosOn,A208=SV_hosM),SV_hosAmt,0)+IF(AND(SV_wedOn,A208=SV_wedM),SV_wedAmt,0)+IF(AND(SV_babOn,A208=SV_babM),SV_babAmt,0)+IF(AND(SV_ltcOn,A208&gt;=SV_ltcM,A208&lt;=SV_ltcE),SV_ltcAmt,0)))</f>
        <v/>
      </c>
      <c r="K208" s="29">
        <f>IF(OR(OR(A208&lt;1,A208&gt;SV_T),A208&gt;SV_loanYears),0,-SV_lifePremYr)</f>
        <v/>
      </c>
      <c r="L208" s="29">
        <f>IF(OR(A208&lt;1,A208&gt;SV_T),0,-SV_contrib)</f>
        <v/>
      </c>
      <c r="M208" s="60">
        <f>IF(AND(SV_crashOn,A208=SV_crashYr),SV_crashF,1)</f>
        <v/>
      </c>
      <c r="N208" s="60">
        <f>IF(AND(SV_ccyOn,A208=SV_ccyYr),SV_ccyF,1)</f>
        <v/>
      </c>
      <c r="O208" s="29">
        <f>IF(A208&gt;SV_T,0,O207*(1+interestRate)*M208*N208)</f>
        <v/>
      </c>
      <c r="P208" s="29">
        <f>IF(A208&gt;SV_T,0,(P207+SV_contrib)*(1+investmentReturn)*M208*N208)</f>
        <v/>
      </c>
      <c r="Q208" s="29">
        <f>IF(A208&gt;SV_T,0,Q207*(1+SV_propRate)*M208)</f>
        <v/>
      </c>
      <c r="R208" s="46">
        <f>MATCH(SV_age+A208-1,SV_cpfLower,1)</f>
        <v/>
      </c>
      <c r="S208" s="29">
        <f>IF(OR(OR(A208&lt;1,A208&gt;SV_T),NOT(SV_cpfOn),AND(SV_deaOn,A208&gt;=SV_deaM)),0,MIN(SV_sal0*(1+incomeGrowthRate)^(A208-1)*G208,SV_owCap))</f>
        <v/>
      </c>
      <c r="T208" s="29">
        <f>IF(A208&gt;SV_T,0,T207*(1+SV_oaRate)+IF(A208&gt;=SV_effStop,0,INDEX(SV_cpfOA,R208)*INDEX(SV_cpfTot,R208)*S208))</f>
        <v/>
      </c>
      <c r="U208" s="29">
        <f>IF(A208&gt;SV_T,0,U207*(1+SV_saRate)+IF(A208&gt;=SV_effStop,0,INDEX(SV_cpfSA,R208)*INDEX(SV_cpfTot,R208)*S208))</f>
        <v/>
      </c>
      <c r="V208" s="29">
        <f>IF(A208&gt;SV_T,0,V207*(1+SV_saRate)+IF(A208&gt;=SV_effStop,0,INDEX(SV_cpfMA,R208)*INDEX(SV_cpfTot,R208)*S208))</f>
        <v/>
      </c>
      <c r="W208" s="29">
        <f>IF(OR(OR(A208&lt;1,A208&gt;SV_T),A208&gt;=SV_effNeg),0,-(INDEX(SV_cpfOA,R208)+INDEX(SV_cpfSA,R208)+INDEX(SV_cpfMA,R208))*INDEX(SV_cpfEmp,R208)*S208)</f>
        <v/>
      </c>
      <c r="X208" s="29">
        <f>IF(A208&gt;=SV_sIdx,0,T208)</f>
        <v/>
      </c>
      <c r="Y208" s="29">
        <f>IF(A208&gt;=SV_sIdx,0,U208)</f>
        <v/>
      </c>
      <c r="Z208" s="29">
        <f>IF(A208&gt;=SV_sIdx,MIN(V208,SV_maCap),V208)</f>
        <v/>
      </c>
      <c r="AA208" s="29">
        <f>IF(AND(SV_cpfOn,A208&gt;=SV_pIdx,A208&lt;=SV_T),12*SV_pay,0)</f>
        <v/>
      </c>
      <c r="AB208" s="29">
        <f>IF(A208&gt;SV_T,0,IF(SV_sp&gt;=0,IF(A208&lt;SV_sIdx,0,IF(A208=SV_sIdx,SV_R0,SV_lifeGrowth*AB207)),SV_lifeGrowth*AB207))</f>
        <v/>
      </c>
      <c r="AC208" s="29">
        <f>IF(A208&gt;SV_T,0,IF(AND(SV_sp&gt;=0,A208&lt;SV_sIdx),0,IF(AND(SV_sp&gt;=0,A208=SV_sIdx),SV_L0,SV_lifeGrowth*(AC207-AA208))))</f>
        <v/>
      </c>
      <c r="AD208" s="29">
        <f>X208+Y208+AB208+Z208+IF(AB208&lt;0,0,AC208)</f>
        <v/>
      </c>
      <c r="AE208" s="29">
        <f>AA208+W208</f>
        <v/>
      </c>
      <c r="AF208" s="29">
        <f>IF(OR(A208&gt;SV_T,A208&gt;=SV_loanYears),0,MAX(0,AF207*(1+loanRate)-SV_inst))</f>
        <v/>
      </c>
      <c r="AG208" s="29">
        <f>IF(A208&gt;SV_T,0,AG207*(1+SV_savRate)+H208+I208+J208+K208+L208+AE208)</f>
        <v/>
      </c>
      <c r="AH208" s="29">
        <f>IF(A208&gt;SV_T,0,MAX(0,O208+P208+Q208+AD208+AG208-AF208))</f>
        <v/>
      </c>
      <c r="AI208" s="29">
        <f>IF(A208&gt;SV_T,0,O208+P208+AG208-MAX(0,AF208-(Q208+AD208)))</f>
        <v/>
      </c>
      <c r="AJ208" s="29">
        <f>IF(OR(OR(A208&lt;1,A208&gt;SV_T),A208-1&gt;=SV_retPay),0,SV_retMth*12+IF(A208=1,SV_retLump,0))</f>
        <v/>
      </c>
      <c r="AK208" s="29">
        <f>IF(A208&gt;SV_T,0,(AK207+AJ208)*(1+investmentReturn))</f>
        <v/>
      </c>
      <c r="AL208" s="29">
        <f>IF(OR(OR(A208&lt;1,A208&gt;SV_T),A208-1&gt;=SV_goalPay),0,SV_goalMth*12+IF(A208=1,SV_goalLump,0))</f>
        <v/>
      </c>
      <c r="AM208" s="29">
        <f>IF(A208&gt;SV_T,0,(AM207+AL208)*(1+investmentReturn))</f>
        <v/>
      </c>
      <c r="AN208" s="29">
        <f>IF(OR(OR(A208&lt;1,A208&gt;SV_T),A208-1&gt;=SV_protPay),0,SV_protPrem)</f>
        <v/>
      </c>
      <c r="AO208" s="29">
        <f>IF(OR(A208=0,A208&gt;=SV_T),0,ROUND(MAX(0,AK208),2)+ROUND(MAX(0,AM208),2))</f>
        <v/>
      </c>
      <c r="AP208" s="29">
        <f>IF(OR(A208&lt;1,A208&gt;SV_T),0,-(AJ208+AL208+AN208)+IF(A208=SV_T,ROUND(MAX(0,AK208),2)+ROUND(MAX(0,AM208),2),0))</f>
        <v/>
      </c>
      <c r="AQ208" s="29">
        <f>IF(A208&gt;SV_T,0,AQ207*(1+SV_savRate)+H208+I208+J208+K208+L208+AE208+AP208)</f>
        <v/>
      </c>
      <c r="AR208" s="29">
        <f>IF(A208&gt;SV_T,0,MAX(0,O208+P208+Q208+AD208+AQ208+AO208-AF208))</f>
        <v/>
      </c>
      <c r="AS208" s="29">
        <f>IF(A208&gt;SV_T,0,O208+P208+AQ208+AO208-MAX(0,AF208-(Q208+AD208)))</f>
        <v/>
      </c>
    </row>
    <row r="209">
      <c r="A209" s="61" t="n">
        <v>47</v>
      </c>
      <c r="B209" s="61">
        <f>SV_age+A209</f>
        <v/>
      </c>
      <c r="C209" s="61">
        <f>currentYear+A209</f>
        <v/>
      </c>
      <c r="D209" s="52">
        <f>A209&lt;=SV_T</f>
        <v/>
      </c>
      <c r="E209" s="60">
        <f>IF(AND(SV_inflOn,A209&gt;=SV_inflS,A209&lt;=SV_inflE),1+SV_inflRate,1+inflationRate)</f>
        <v/>
      </c>
      <c r="F209" s="60">
        <f>IF(A209&lt;=1,1,F208*E209)</f>
        <v/>
      </c>
      <c r="G209" s="60">
        <f>IF(AND(SV_incOn,A209&gt;=SV_incS,A209&lt;=SV_incE),1+SV_incImp,1)</f>
        <v/>
      </c>
      <c r="H209" s="29">
        <f>IF(OR(OR(A209&lt;1,A209&gt;SV_T),A209-1&gt;=SV_salCut,AND(SV_deaOn,A209&gt;=SV_deaM)),0,SV_sal0*(1+incomeGrowthRate)^(A209-1)*G209)</f>
        <v/>
      </c>
      <c r="I209" s="29">
        <f>IF(OR(A209&lt;1,A209&gt;SV_T),0,(-SV_exp0*F209-IF(A209&lt;=SV_loanYears,SV_inst,0)-IF(AND(SV_wdAmt&gt;0,A209=SV_wdYear),SV_wdAmt,0))*IF(AND(SV_expOn,A209&gt;=SV_expS,A209&lt;=SV_expE),1+SV_expImp,1))</f>
        <v/>
      </c>
      <c r="J209" s="29">
        <f>IF(OR(A209&lt;1,A209&gt;SV_T),0,-F209*(IF(AND(SV_deaOn,A209=SV_deaM),SV_deaAmt,0)+IF(AND(SV_criOn,A209=SV_criM),SV_criAmt,0)+IF(AND(SV_tpdOn,A209=SV_tpdM),SV_tpdAmt,0)+IF(AND(SV_pacOn,A209=SV_pacM),SV_pacAmt,0)+IF(AND(SV_hosOn,A209=SV_hosM),SV_hosAmt,0)+IF(AND(SV_wedOn,A209=SV_wedM),SV_wedAmt,0)+IF(AND(SV_babOn,A209=SV_babM),SV_babAmt,0)+IF(AND(SV_ltcOn,A209&gt;=SV_ltcM,A209&lt;=SV_ltcE),SV_ltcAmt,0)))</f>
        <v/>
      </c>
      <c r="K209" s="29">
        <f>IF(OR(OR(A209&lt;1,A209&gt;SV_T),A209&gt;SV_loanYears),0,-SV_lifePremYr)</f>
        <v/>
      </c>
      <c r="L209" s="29">
        <f>IF(OR(A209&lt;1,A209&gt;SV_T),0,-SV_contrib)</f>
        <v/>
      </c>
      <c r="M209" s="60">
        <f>IF(AND(SV_crashOn,A209=SV_crashYr),SV_crashF,1)</f>
        <v/>
      </c>
      <c r="N209" s="60">
        <f>IF(AND(SV_ccyOn,A209=SV_ccyYr),SV_ccyF,1)</f>
        <v/>
      </c>
      <c r="O209" s="29">
        <f>IF(A209&gt;SV_T,0,O208*(1+interestRate)*M209*N209)</f>
        <v/>
      </c>
      <c r="P209" s="29">
        <f>IF(A209&gt;SV_T,0,(P208+SV_contrib)*(1+investmentReturn)*M209*N209)</f>
        <v/>
      </c>
      <c r="Q209" s="29">
        <f>IF(A209&gt;SV_T,0,Q208*(1+SV_propRate)*M209)</f>
        <v/>
      </c>
      <c r="R209" s="46">
        <f>MATCH(SV_age+A209-1,SV_cpfLower,1)</f>
        <v/>
      </c>
      <c r="S209" s="29">
        <f>IF(OR(OR(A209&lt;1,A209&gt;SV_T),NOT(SV_cpfOn),AND(SV_deaOn,A209&gt;=SV_deaM)),0,MIN(SV_sal0*(1+incomeGrowthRate)^(A209-1)*G209,SV_owCap))</f>
        <v/>
      </c>
      <c r="T209" s="29">
        <f>IF(A209&gt;SV_T,0,T208*(1+SV_oaRate)+IF(A209&gt;=SV_effStop,0,INDEX(SV_cpfOA,R209)*INDEX(SV_cpfTot,R209)*S209))</f>
        <v/>
      </c>
      <c r="U209" s="29">
        <f>IF(A209&gt;SV_T,0,U208*(1+SV_saRate)+IF(A209&gt;=SV_effStop,0,INDEX(SV_cpfSA,R209)*INDEX(SV_cpfTot,R209)*S209))</f>
        <v/>
      </c>
      <c r="V209" s="29">
        <f>IF(A209&gt;SV_T,0,V208*(1+SV_saRate)+IF(A209&gt;=SV_effStop,0,INDEX(SV_cpfMA,R209)*INDEX(SV_cpfTot,R209)*S209))</f>
        <v/>
      </c>
      <c r="W209" s="29">
        <f>IF(OR(OR(A209&lt;1,A209&gt;SV_T),A209&gt;=SV_effNeg),0,-(INDEX(SV_cpfOA,R209)+INDEX(SV_cpfSA,R209)+INDEX(SV_cpfMA,R209))*INDEX(SV_cpfEmp,R209)*S209)</f>
        <v/>
      </c>
      <c r="X209" s="29">
        <f>IF(A209&gt;=SV_sIdx,0,T209)</f>
        <v/>
      </c>
      <c r="Y209" s="29">
        <f>IF(A209&gt;=SV_sIdx,0,U209)</f>
        <v/>
      </c>
      <c r="Z209" s="29">
        <f>IF(A209&gt;=SV_sIdx,MIN(V209,SV_maCap),V209)</f>
        <v/>
      </c>
      <c r="AA209" s="29">
        <f>IF(AND(SV_cpfOn,A209&gt;=SV_pIdx,A209&lt;=SV_T),12*SV_pay,0)</f>
        <v/>
      </c>
      <c r="AB209" s="29">
        <f>IF(A209&gt;SV_T,0,IF(SV_sp&gt;=0,IF(A209&lt;SV_sIdx,0,IF(A209=SV_sIdx,SV_R0,SV_lifeGrowth*AB208)),SV_lifeGrowth*AB208))</f>
        <v/>
      </c>
      <c r="AC209" s="29">
        <f>IF(A209&gt;SV_T,0,IF(AND(SV_sp&gt;=0,A209&lt;SV_sIdx),0,IF(AND(SV_sp&gt;=0,A209=SV_sIdx),SV_L0,SV_lifeGrowth*(AC208-AA209))))</f>
        <v/>
      </c>
      <c r="AD209" s="29">
        <f>X209+Y209+AB209+Z209+IF(AB209&lt;0,0,AC209)</f>
        <v/>
      </c>
      <c r="AE209" s="29">
        <f>AA209+W209</f>
        <v/>
      </c>
      <c r="AF209" s="29">
        <f>IF(OR(A209&gt;SV_T,A209&gt;=SV_loanYears),0,MAX(0,AF208*(1+loanRate)-SV_inst))</f>
        <v/>
      </c>
      <c r="AG209" s="29">
        <f>IF(A209&gt;SV_T,0,AG208*(1+SV_savRate)+H209+I209+J209+K209+L209+AE209)</f>
        <v/>
      </c>
      <c r="AH209" s="29">
        <f>IF(A209&gt;SV_T,0,MAX(0,O209+P209+Q209+AD209+AG209-AF209))</f>
        <v/>
      </c>
      <c r="AI209" s="29">
        <f>IF(A209&gt;SV_T,0,O209+P209+AG209-MAX(0,AF209-(Q209+AD209)))</f>
        <v/>
      </c>
      <c r="AJ209" s="29">
        <f>IF(OR(OR(A209&lt;1,A209&gt;SV_T),A209-1&gt;=SV_retPay),0,SV_retMth*12+IF(A209=1,SV_retLump,0))</f>
        <v/>
      </c>
      <c r="AK209" s="29">
        <f>IF(A209&gt;SV_T,0,(AK208+AJ209)*(1+investmentReturn))</f>
        <v/>
      </c>
      <c r="AL209" s="29">
        <f>IF(OR(OR(A209&lt;1,A209&gt;SV_T),A209-1&gt;=SV_goalPay),0,SV_goalMth*12+IF(A209=1,SV_goalLump,0))</f>
        <v/>
      </c>
      <c r="AM209" s="29">
        <f>IF(A209&gt;SV_T,0,(AM208+AL209)*(1+investmentReturn))</f>
        <v/>
      </c>
      <c r="AN209" s="29">
        <f>IF(OR(OR(A209&lt;1,A209&gt;SV_T),A209-1&gt;=SV_protPay),0,SV_protPrem)</f>
        <v/>
      </c>
      <c r="AO209" s="29">
        <f>IF(OR(A209=0,A209&gt;=SV_T),0,ROUND(MAX(0,AK209),2)+ROUND(MAX(0,AM209),2))</f>
        <v/>
      </c>
      <c r="AP209" s="29">
        <f>IF(OR(A209&lt;1,A209&gt;SV_T),0,-(AJ209+AL209+AN209)+IF(A209=SV_T,ROUND(MAX(0,AK209),2)+ROUND(MAX(0,AM209),2),0))</f>
        <v/>
      </c>
      <c r="AQ209" s="29">
        <f>IF(A209&gt;SV_T,0,AQ208*(1+SV_savRate)+H209+I209+J209+K209+L209+AE209+AP209)</f>
        <v/>
      </c>
      <c r="AR209" s="29">
        <f>IF(A209&gt;SV_T,0,MAX(0,O209+P209+Q209+AD209+AQ209+AO209-AF209))</f>
        <v/>
      </c>
      <c r="AS209" s="29">
        <f>IF(A209&gt;SV_T,0,O209+P209+AQ209+AO209-MAX(0,AF209-(Q209+AD209)))</f>
        <v/>
      </c>
    </row>
    <row r="210">
      <c r="A210" s="61" t="n">
        <v>48</v>
      </c>
      <c r="B210" s="61">
        <f>SV_age+A210</f>
        <v/>
      </c>
      <c r="C210" s="61">
        <f>currentYear+A210</f>
        <v/>
      </c>
      <c r="D210" s="52">
        <f>A210&lt;=SV_T</f>
        <v/>
      </c>
      <c r="E210" s="60">
        <f>IF(AND(SV_inflOn,A210&gt;=SV_inflS,A210&lt;=SV_inflE),1+SV_inflRate,1+inflationRate)</f>
        <v/>
      </c>
      <c r="F210" s="60">
        <f>IF(A210&lt;=1,1,F209*E210)</f>
        <v/>
      </c>
      <c r="G210" s="60">
        <f>IF(AND(SV_incOn,A210&gt;=SV_incS,A210&lt;=SV_incE),1+SV_incImp,1)</f>
        <v/>
      </c>
      <c r="H210" s="29">
        <f>IF(OR(OR(A210&lt;1,A210&gt;SV_T),A210-1&gt;=SV_salCut,AND(SV_deaOn,A210&gt;=SV_deaM)),0,SV_sal0*(1+incomeGrowthRate)^(A210-1)*G210)</f>
        <v/>
      </c>
      <c r="I210" s="29">
        <f>IF(OR(A210&lt;1,A210&gt;SV_T),0,(-SV_exp0*F210-IF(A210&lt;=SV_loanYears,SV_inst,0)-IF(AND(SV_wdAmt&gt;0,A210=SV_wdYear),SV_wdAmt,0))*IF(AND(SV_expOn,A210&gt;=SV_expS,A210&lt;=SV_expE),1+SV_expImp,1))</f>
        <v/>
      </c>
      <c r="J210" s="29">
        <f>IF(OR(A210&lt;1,A210&gt;SV_T),0,-F210*(IF(AND(SV_deaOn,A210=SV_deaM),SV_deaAmt,0)+IF(AND(SV_criOn,A210=SV_criM),SV_criAmt,0)+IF(AND(SV_tpdOn,A210=SV_tpdM),SV_tpdAmt,0)+IF(AND(SV_pacOn,A210=SV_pacM),SV_pacAmt,0)+IF(AND(SV_hosOn,A210=SV_hosM),SV_hosAmt,0)+IF(AND(SV_wedOn,A210=SV_wedM),SV_wedAmt,0)+IF(AND(SV_babOn,A210=SV_babM),SV_babAmt,0)+IF(AND(SV_ltcOn,A210&gt;=SV_ltcM,A210&lt;=SV_ltcE),SV_ltcAmt,0)))</f>
        <v/>
      </c>
      <c r="K210" s="29">
        <f>IF(OR(OR(A210&lt;1,A210&gt;SV_T),A210&gt;SV_loanYears),0,-SV_lifePremYr)</f>
        <v/>
      </c>
      <c r="L210" s="29">
        <f>IF(OR(A210&lt;1,A210&gt;SV_T),0,-SV_contrib)</f>
        <v/>
      </c>
      <c r="M210" s="60">
        <f>IF(AND(SV_crashOn,A210=SV_crashYr),SV_crashF,1)</f>
        <v/>
      </c>
      <c r="N210" s="60">
        <f>IF(AND(SV_ccyOn,A210=SV_ccyYr),SV_ccyF,1)</f>
        <v/>
      </c>
      <c r="O210" s="29">
        <f>IF(A210&gt;SV_T,0,O209*(1+interestRate)*M210*N210)</f>
        <v/>
      </c>
      <c r="P210" s="29">
        <f>IF(A210&gt;SV_T,0,(P209+SV_contrib)*(1+investmentReturn)*M210*N210)</f>
        <v/>
      </c>
      <c r="Q210" s="29">
        <f>IF(A210&gt;SV_T,0,Q209*(1+SV_propRate)*M210)</f>
        <v/>
      </c>
      <c r="R210" s="46">
        <f>MATCH(SV_age+A210-1,SV_cpfLower,1)</f>
        <v/>
      </c>
      <c r="S210" s="29">
        <f>IF(OR(OR(A210&lt;1,A210&gt;SV_T),NOT(SV_cpfOn),AND(SV_deaOn,A210&gt;=SV_deaM)),0,MIN(SV_sal0*(1+incomeGrowthRate)^(A210-1)*G210,SV_owCap))</f>
        <v/>
      </c>
      <c r="T210" s="29">
        <f>IF(A210&gt;SV_T,0,T209*(1+SV_oaRate)+IF(A210&gt;=SV_effStop,0,INDEX(SV_cpfOA,R210)*INDEX(SV_cpfTot,R210)*S210))</f>
        <v/>
      </c>
      <c r="U210" s="29">
        <f>IF(A210&gt;SV_T,0,U209*(1+SV_saRate)+IF(A210&gt;=SV_effStop,0,INDEX(SV_cpfSA,R210)*INDEX(SV_cpfTot,R210)*S210))</f>
        <v/>
      </c>
      <c r="V210" s="29">
        <f>IF(A210&gt;SV_T,0,V209*(1+SV_saRate)+IF(A210&gt;=SV_effStop,0,INDEX(SV_cpfMA,R210)*INDEX(SV_cpfTot,R210)*S210))</f>
        <v/>
      </c>
      <c r="W210" s="29">
        <f>IF(OR(OR(A210&lt;1,A210&gt;SV_T),A210&gt;=SV_effNeg),0,-(INDEX(SV_cpfOA,R210)+INDEX(SV_cpfSA,R210)+INDEX(SV_cpfMA,R210))*INDEX(SV_cpfEmp,R210)*S210)</f>
        <v/>
      </c>
      <c r="X210" s="29">
        <f>IF(A210&gt;=SV_sIdx,0,T210)</f>
        <v/>
      </c>
      <c r="Y210" s="29">
        <f>IF(A210&gt;=SV_sIdx,0,U210)</f>
        <v/>
      </c>
      <c r="Z210" s="29">
        <f>IF(A210&gt;=SV_sIdx,MIN(V210,SV_maCap),V210)</f>
        <v/>
      </c>
      <c r="AA210" s="29">
        <f>IF(AND(SV_cpfOn,A210&gt;=SV_pIdx,A210&lt;=SV_T),12*SV_pay,0)</f>
        <v/>
      </c>
      <c r="AB210" s="29">
        <f>IF(A210&gt;SV_T,0,IF(SV_sp&gt;=0,IF(A210&lt;SV_sIdx,0,IF(A210=SV_sIdx,SV_R0,SV_lifeGrowth*AB209)),SV_lifeGrowth*AB209))</f>
        <v/>
      </c>
      <c r="AC210" s="29">
        <f>IF(A210&gt;SV_T,0,IF(AND(SV_sp&gt;=0,A210&lt;SV_sIdx),0,IF(AND(SV_sp&gt;=0,A210=SV_sIdx),SV_L0,SV_lifeGrowth*(AC209-AA210))))</f>
        <v/>
      </c>
      <c r="AD210" s="29">
        <f>X210+Y210+AB210+Z210+IF(AB210&lt;0,0,AC210)</f>
        <v/>
      </c>
      <c r="AE210" s="29">
        <f>AA210+W210</f>
        <v/>
      </c>
      <c r="AF210" s="29">
        <f>IF(OR(A210&gt;SV_T,A210&gt;=SV_loanYears),0,MAX(0,AF209*(1+loanRate)-SV_inst))</f>
        <v/>
      </c>
      <c r="AG210" s="29">
        <f>IF(A210&gt;SV_T,0,AG209*(1+SV_savRate)+H210+I210+J210+K210+L210+AE210)</f>
        <v/>
      </c>
      <c r="AH210" s="29">
        <f>IF(A210&gt;SV_T,0,MAX(0,O210+P210+Q210+AD210+AG210-AF210))</f>
        <v/>
      </c>
      <c r="AI210" s="29">
        <f>IF(A210&gt;SV_T,0,O210+P210+AG210-MAX(0,AF210-(Q210+AD210)))</f>
        <v/>
      </c>
      <c r="AJ210" s="29">
        <f>IF(OR(OR(A210&lt;1,A210&gt;SV_T),A210-1&gt;=SV_retPay),0,SV_retMth*12+IF(A210=1,SV_retLump,0))</f>
        <v/>
      </c>
      <c r="AK210" s="29">
        <f>IF(A210&gt;SV_T,0,(AK209+AJ210)*(1+investmentReturn))</f>
        <v/>
      </c>
      <c r="AL210" s="29">
        <f>IF(OR(OR(A210&lt;1,A210&gt;SV_T),A210-1&gt;=SV_goalPay),0,SV_goalMth*12+IF(A210=1,SV_goalLump,0))</f>
        <v/>
      </c>
      <c r="AM210" s="29">
        <f>IF(A210&gt;SV_T,0,(AM209+AL210)*(1+investmentReturn))</f>
        <v/>
      </c>
      <c r="AN210" s="29">
        <f>IF(OR(OR(A210&lt;1,A210&gt;SV_T),A210-1&gt;=SV_protPay),0,SV_protPrem)</f>
        <v/>
      </c>
      <c r="AO210" s="29">
        <f>IF(OR(A210=0,A210&gt;=SV_T),0,ROUND(MAX(0,AK210),2)+ROUND(MAX(0,AM210),2))</f>
        <v/>
      </c>
      <c r="AP210" s="29">
        <f>IF(OR(A210&lt;1,A210&gt;SV_T),0,-(AJ210+AL210+AN210)+IF(A210=SV_T,ROUND(MAX(0,AK210),2)+ROUND(MAX(0,AM210),2),0))</f>
        <v/>
      </c>
      <c r="AQ210" s="29">
        <f>IF(A210&gt;SV_T,0,AQ209*(1+SV_savRate)+H210+I210+J210+K210+L210+AE210+AP210)</f>
        <v/>
      </c>
      <c r="AR210" s="29">
        <f>IF(A210&gt;SV_T,0,MAX(0,O210+P210+Q210+AD210+AQ210+AO210-AF210))</f>
        <v/>
      </c>
      <c r="AS210" s="29">
        <f>IF(A210&gt;SV_T,0,O210+P210+AQ210+AO210-MAX(0,AF210-(Q210+AD210)))</f>
        <v/>
      </c>
    </row>
    <row r="211">
      <c r="A211" s="61" t="n">
        <v>49</v>
      </c>
      <c r="B211" s="61">
        <f>SV_age+A211</f>
        <v/>
      </c>
      <c r="C211" s="61">
        <f>currentYear+A211</f>
        <v/>
      </c>
      <c r="D211" s="52">
        <f>A211&lt;=SV_T</f>
        <v/>
      </c>
      <c r="E211" s="60">
        <f>IF(AND(SV_inflOn,A211&gt;=SV_inflS,A211&lt;=SV_inflE),1+SV_inflRate,1+inflationRate)</f>
        <v/>
      </c>
      <c r="F211" s="60">
        <f>IF(A211&lt;=1,1,F210*E211)</f>
        <v/>
      </c>
      <c r="G211" s="60">
        <f>IF(AND(SV_incOn,A211&gt;=SV_incS,A211&lt;=SV_incE),1+SV_incImp,1)</f>
        <v/>
      </c>
      <c r="H211" s="29">
        <f>IF(OR(OR(A211&lt;1,A211&gt;SV_T),A211-1&gt;=SV_salCut,AND(SV_deaOn,A211&gt;=SV_deaM)),0,SV_sal0*(1+incomeGrowthRate)^(A211-1)*G211)</f>
        <v/>
      </c>
      <c r="I211" s="29">
        <f>IF(OR(A211&lt;1,A211&gt;SV_T),0,(-SV_exp0*F211-IF(A211&lt;=SV_loanYears,SV_inst,0)-IF(AND(SV_wdAmt&gt;0,A211=SV_wdYear),SV_wdAmt,0))*IF(AND(SV_expOn,A211&gt;=SV_expS,A211&lt;=SV_expE),1+SV_expImp,1))</f>
        <v/>
      </c>
      <c r="J211" s="29">
        <f>IF(OR(A211&lt;1,A211&gt;SV_T),0,-F211*(IF(AND(SV_deaOn,A211=SV_deaM),SV_deaAmt,0)+IF(AND(SV_criOn,A211=SV_criM),SV_criAmt,0)+IF(AND(SV_tpdOn,A211=SV_tpdM),SV_tpdAmt,0)+IF(AND(SV_pacOn,A211=SV_pacM),SV_pacAmt,0)+IF(AND(SV_hosOn,A211=SV_hosM),SV_hosAmt,0)+IF(AND(SV_wedOn,A211=SV_wedM),SV_wedAmt,0)+IF(AND(SV_babOn,A211=SV_babM),SV_babAmt,0)+IF(AND(SV_ltcOn,A211&gt;=SV_ltcM,A211&lt;=SV_ltcE),SV_ltcAmt,0)))</f>
        <v/>
      </c>
      <c r="K211" s="29">
        <f>IF(OR(OR(A211&lt;1,A211&gt;SV_T),A211&gt;SV_loanYears),0,-SV_lifePremYr)</f>
        <v/>
      </c>
      <c r="L211" s="29">
        <f>IF(OR(A211&lt;1,A211&gt;SV_T),0,-SV_contrib)</f>
        <v/>
      </c>
      <c r="M211" s="60">
        <f>IF(AND(SV_crashOn,A211=SV_crashYr),SV_crashF,1)</f>
        <v/>
      </c>
      <c r="N211" s="60">
        <f>IF(AND(SV_ccyOn,A211=SV_ccyYr),SV_ccyF,1)</f>
        <v/>
      </c>
      <c r="O211" s="29">
        <f>IF(A211&gt;SV_T,0,O210*(1+interestRate)*M211*N211)</f>
        <v/>
      </c>
      <c r="P211" s="29">
        <f>IF(A211&gt;SV_T,0,(P210+SV_contrib)*(1+investmentReturn)*M211*N211)</f>
        <v/>
      </c>
      <c r="Q211" s="29">
        <f>IF(A211&gt;SV_T,0,Q210*(1+SV_propRate)*M211)</f>
        <v/>
      </c>
      <c r="R211" s="46">
        <f>MATCH(SV_age+A211-1,SV_cpfLower,1)</f>
        <v/>
      </c>
      <c r="S211" s="29">
        <f>IF(OR(OR(A211&lt;1,A211&gt;SV_T),NOT(SV_cpfOn),AND(SV_deaOn,A211&gt;=SV_deaM)),0,MIN(SV_sal0*(1+incomeGrowthRate)^(A211-1)*G211,SV_owCap))</f>
        <v/>
      </c>
      <c r="T211" s="29">
        <f>IF(A211&gt;SV_T,0,T210*(1+SV_oaRate)+IF(A211&gt;=SV_effStop,0,INDEX(SV_cpfOA,R211)*INDEX(SV_cpfTot,R211)*S211))</f>
        <v/>
      </c>
      <c r="U211" s="29">
        <f>IF(A211&gt;SV_T,0,U210*(1+SV_saRate)+IF(A211&gt;=SV_effStop,0,INDEX(SV_cpfSA,R211)*INDEX(SV_cpfTot,R211)*S211))</f>
        <v/>
      </c>
      <c r="V211" s="29">
        <f>IF(A211&gt;SV_T,0,V210*(1+SV_saRate)+IF(A211&gt;=SV_effStop,0,INDEX(SV_cpfMA,R211)*INDEX(SV_cpfTot,R211)*S211))</f>
        <v/>
      </c>
      <c r="W211" s="29">
        <f>IF(OR(OR(A211&lt;1,A211&gt;SV_T),A211&gt;=SV_effNeg),0,-(INDEX(SV_cpfOA,R211)+INDEX(SV_cpfSA,R211)+INDEX(SV_cpfMA,R211))*INDEX(SV_cpfEmp,R211)*S211)</f>
        <v/>
      </c>
      <c r="X211" s="29">
        <f>IF(A211&gt;=SV_sIdx,0,T211)</f>
        <v/>
      </c>
      <c r="Y211" s="29">
        <f>IF(A211&gt;=SV_sIdx,0,U211)</f>
        <v/>
      </c>
      <c r="Z211" s="29">
        <f>IF(A211&gt;=SV_sIdx,MIN(V211,SV_maCap),V211)</f>
        <v/>
      </c>
      <c r="AA211" s="29">
        <f>IF(AND(SV_cpfOn,A211&gt;=SV_pIdx,A211&lt;=SV_T),12*SV_pay,0)</f>
        <v/>
      </c>
      <c r="AB211" s="29">
        <f>IF(A211&gt;SV_T,0,IF(SV_sp&gt;=0,IF(A211&lt;SV_sIdx,0,IF(A211=SV_sIdx,SV_R0,SV_lifeGrowth*AB210)),SV_lifeGrowth*AB210))</f>
        <v/>
      </c>
      <c r="AC211" s="29">
        <f>IF(A211&gt;SV_T,0,IF(AND(SV_sp&gt;=0,A211&lt;SV_sIdx),0,IF(AND(SV_sp&gt;=0,A211=SV_sIdx),SV_L0,SV_lifeGrowth*(AC210-AA211))))</f>
        <v/>
      </c>
      <c r="AD211" s="29">
        <f>X211+Y211+AB211+Z211+IF(AB211&lt;0,0,AC211)</f>
        <v/>
      </c>
      <c r="AE211" s="29">
        <f>AA211+W211</f>
        <v/>
      </c>
      <c r="AF211" s="29">
        <f>IF(OR(A211&gt;SV_T,A211&gt;=SV_loanYears),0,MAX(0,AF210*(1+loanRate)-SV_inst))</f>
        <v/>
      </c>
      <c r="AG211" s="29">
        <f>IF(A211&gt;SV_T,0,AG210*(1+SV_savRate)+H211+I211+J211+K211+L211+AE211)</f>
        <v/>
      </c>
      <c r="AH211" s="29">
        <f>IF(A211&gt;SV_T,0,MAX(0,O211+P211+Q211+AD211+AG211-AF211))</f>
        <v/>
      </c>
      <c r="AI211" s="29">
        <f>IF(A211&gt;SV_T,0,O211+P211+AG211-MAX(0,AF211-(Q211+AD211)))</f>
        <v/>
      </c>
      <c r="AJ211" s="29">
        <f>IF(OR(OR(A211&lt;1,A211&gt;SV_T),A211-1&gt;=SV_retPay),0,SV_retMth*12+IF(A211=1,SV_retLump,0))</f>
        <v/>
      </c>
      <c r="AK211" s="29">
        <f>IF(A211&gt;SV_T,0,(AK210+AJ211)*(1+investmentReturn))</f>
        <v/>
      </c>
      <c r="AL211" s="29">
        <f>IF(OR(OR(A211&lt;1,A211&gt;SV_T),A211-1&gt;=SV_goalPay),0,SV_goalMth*12+IF(A211=1,SV_goalLump,0))</f>
        <v/>
      </c>
      <c r="AM211" s="29">
        <f>IF(A211&gt;SV_T,0,(AM210+AL211)*(1+investmentReturn))</f>
        <v/>
      </c>
      <c r="AN211" s="29">
        <f>IF(OR(OR(A211&lt;1,A211&gt;SV_T),A211-1&gt;=SV_protPay),0,SV_protPrem)</f>
        <v/>
      </c>
      <c r="AO211" s="29">
        <f>IF(OR(A211=0,A211&gt;=SV_T),0,ROUND(MAX(0,AK211),2)+ROUND(MAX(0,AM211),2))</f>
        <v/>
      </c>
      <c r="AP211" s="29">
        <f>IF(OR(A211&lt;1,A211&gt;SV_T),0,-(AJ211+AL211+AN211)+IF(A211=SV_T,ROUND(MAX(0,AK211),2)+ROUND(MAX(0,AM211),2),0))</f>
        <v/>
      </c>
      <c r="AQ211" s="29">
        <f>IF(A211&gt;SV_T,0,AQ210*(1+SV_savRate)+H211+I211+J211+K211+L211+AE211+AP211)</f>
        <v/>
      </c>
      <c r="AR211" s="29">
        <f>IF(A211&gt;SV_T,0,MAX(0,O211+P211+Q211+AD211+AQ211+AO211-AF211))</f>
        <v/>
      </c>
      <c r="AS211" s="29">
        <f>IF(A211&gt;SV_T,0,O211+P211+AQ211+AO211-MAX(0,AF211-(Q211+AD211)))</f>
        <v/>
      </c>
    </row>
    <row r="212">
      <c r="A212" s="61" t="n">
        <v>50</v>
      </c>
      <c r="B212" s="61">
        <f>SV_age+A212</f>
        <v/>
      </c>
      <c r="C212" s="61">
        <f>currentYear+A212</f>
        <v/>
      </c>
      <c r="D212" s="52">
        <f>A212&lt;=SV_T</f>
        <v/>
      </c>
      <c r="E212" s="60">
        <f>IF(AND(SV_inflOn,A212&gt;=SV_inflS,A212&lt;=SV_inflE),1+SV_inflRate,1+inflationRate)</f>
        <v/>
      </c>
      <c r="F212" s="60">
        <f>IF(A212&lt;=1,1,F211*E212)</f>
        <v/>
      </c>
      <c r="G212" s="60">
        <f>IF(AND(SV_incOn,A212&gt;=SV_incS,A212&lt;=SV_incE),1+SV_incImp,1)</f>
        <v/>
      </c>
      <c r="H212" s="29">
        <f>IF(OR(OR(A212&lt;1,A212&gt;SV_T),A212-1&gt;=SV_salCut,AND(SV_deaOn,A212&gt;=SV_deaM)),0,SV_sal0*(1+incomeGrowthRate)^(A212-1)*G212)</f>
        <v/>
      </c>
      <c r="I212" s="29">
        <f>IF(OR(A212&lt;1,A212&gt;SV_T),0,(-SV_exp0*F212-IF(A212&lt;=SV_loanYears,SV_inst,0)-IF(AND(SV_wdAmt&gt;0,A212=SV_wdYear),SV_wdAmt,0))*IF(AND(SV_expOn,A212&gt;=SV_expS,A212&lt;=SV_expE),1+SV_expImp,1))</f>
        <v/>
      </c>
      <c r="J212" s="29">
        <f>IF(OR(A212&lt;1,A212&gt;SV_T),0,-F212*(IF(AND(SV_deaOn,A212=SV_deaM),SV_deaAmt,0)+IF(AND(SV_criOn,A212=SV_criM),SV_criAmt,0)+IF(AND(SV_tpdOn,A212=SV_tpdM),SV_tpdAmt,0)+IF(AND(SV_pacOn,A212=SV_pacM),SV_pacAmt,0)+IF(AND(SV_hosOn,A212=SV_hosM),SV_hosAmt,0)+IF(AND(SV_wedOn,A212=SV_wedM),SV_wedAmt,0)+IF(AND(SV_babOn,A212=SV_babM),SV_babAmt,0)+IF(AND(SV_ltcOn,A212&gt;=SV_ltcM,A212&lt;=SV_ltcE),SV_ltcAmt,0)))</f>
        <v/>
      </c>
      <c r="K212" s="29">
        <f>IF(OR(OR(A212&lt;1,A212&gt;SV_T),A212&gt;SV_loanYears),0,-SV_lifePremYr)</f>
        <v/>
      </c>
      <c r="L212" s="29">
        <f>IF(OR(A212&lt;1,A212&gt;SV_T),0,-SV_contrib)</f>
        <v/>
      </c>
      <c r="M212" s="60">
        <f>IF(AND(SV_crashOn,A212=SV_crashYr),SV_crashF,1)</f>
        <v/>
      </c>
      <c r="N212" s="60">
        <f>IF(AND(SV_ccyOn,A212=SV_ccyYr),SV_ccyF,1)</f>
        <v/>
      </c>
      <c r="O212" s="29">
        <f>IF(A212&gt;SV_T,0,O211*(1+interestRate)*M212*N212)</f>
        <v/>
      </c>
      <c r="P212" s="29">
        <f>IF(A212&gt;SV_T,0,(P211+SV_contrib)*(1+investmentReturn)*M212*N212)</f>
        <v/>
      </c>
      <c r="Q212" s="29">
        <f>IF(A212&gt;SV_T,0,Q211*(1+SV_propRate)*M212)</f>
        <v/>
      </c>
      <c r="R212" s="46">
        <f>MATCH(SV_age+A212-1,SV_cpfLower,1)</f>
        <v/>
      </c>
      <c r="S212" s="29">
        <f>IF(OR(OR(A212&lt;1,A212&gt;SV_T),NOT(SV_cpfOn),AND(SV_deaOn,A212&gt;=SV_deaM)),0,MIN(SV_sal0*(1+incomeGrowthRate)^(A212-1)*G212,SV_owCap))</f>
        <v/>
      </c>
      <c r="T212" s="29">
        <f>IF(A212&gt;SV_T,0,T211*(1+SV_oaRate)+IF(A212&gt;=SV_effStop,0,INDEX(SV_cpfOA,R212)*INDEX(SV_cpfTot,R212)*S212))</f>
        <v/>
      </c>
      <c r="U212" s="29">
        <f>IF(A212&gt;SV_T,0,U211*(1+SV_saRate)+IF(A212&gt;=SV_effStop,0,INDEX(SV_cpfSA,R212)*INDEX(SV_cpfTot,R212)*S212))</f>
        <v/>
      </c>
      <c r="V212" s="29">
        <f>IF(A212&gt;SV_T,0,V211*(1+SV_saRate)+IF(A212&gt;=SV_effStop,0,INDEX(SV_cpfMA,R212)*INDEX(SV_cpfTot,R212)*S212))</f>
        <v/>
      </c>
      <c r="W212" s="29">
        <f>IF(OR(OR(A212&lt;1,A212&gt;SV_T),A212&gt;=SV_effNeg),0,-(INDEX(SV_cpfOA,R212)+INDEX(SV_cpfSA,R212)+INDEX(SV_cpfMA,R212))*INDEX(SV_cpfEmp,R212)*S212)</f>
        <v/>
      </c>
      <c r="X212" s="29">
        <f>IF(A212&gt;=SV_sIdx,0,T212)</f>
        <v/>
      </c>
      <c r="Y212" s="29">
        <f>IF(A212&gt;=SV_sIdx,0,U212)</f>
        <v/>
      </c>
      <c r="Z212" s="29">
        <f>IF(A212&gt;=SV_sIdx,MIN(V212,SV_maCap),V212)</f>
        <v/>
      </c>
      <c r="AA212" s="29">
        <f>IF(AND(SV_cpfOn,A212&gt;=SV_pIdx,A212&lt;=SV_T),12*SV_pay,0)</f>
        <v/>
      </c>
      <c r="AB212" s="29">
        <f>IF(A212&gt;SV_T,0,IF(SV_sp&gt;=0,IF(A212&lt;SV_sIdx,0,IF(A212=SV_sIdx,SV_R0,SV_lifeGrowth*AB211)),SV_lifeGrowth*AB211))</f>
        <v/>
      </c>
      <c r="AC212" s="29">
        <f>IF(A212&gt;SV_T,0,IF(AND(SV_sp&gt;=0,A212&lt;SV_sIdx),0,IF(AND(SV_sp&gt;=0,A212=SV_sIdx),SV_L0,SV_lifeGrowth*(AC211-AA212))))</f>
        <v/>
      </c>
      <c r="AD212" s="29">
        <f>X212+Y212+AB212+Z212+IF(AB212&lt;0,0,AC212)</f>
        <v/>
      </c>
      <c r="AE212" s="29">
        <f>AA212+W212</f>
        <v/>
      </c>
      <c r="AF212" s="29">
        <f>IF(OR(A212&gt;SV_T,A212&gt;=SV_loanYears),0,MAX(0,AF211*(1+loanRate)-SV_inst))</f>
        <v/>
      </c>
      <c r="AG212" s="29">
        <f>IF(A212&gt;SV_T,0,AG211*(1+SV_savRate)+H212+I212+J212+K212+L212+AE212)</f>
        <v/>
      </c>
      <c r="AH212" s="29">
        <f>IF(A212&gt;SV_T,0,MAX(0,O212+P212+Q212+AD212+AG212-AF212))</f>
        <v/>
      </c>
      <c r="AI212" s="29">
        <f>IF(A212&gt;SV_T,0,O212+P212+AG212-MAX(0,AF212-(Q212+AD212)))</f>
        <v/>
      </c>
      <c r="AJ212" s="29">
        <f>IF(OR(OR(A212&lt;1,A212&gt;SV_T),A212-1&gt;=SV_retPay),0,SV_retMth*12+IF(A212=1,SV_retLump,0))</f>
        <v/>
      </c>
      <c r="AK212" s="29">
        <f>IF(A212&gt;SV_T,0,(AK211+AJ212)*(1+investmentReturn))</f>
        <v/>
      </c>
      <c r="AL212" s="29">
        <f>IF(OR(OR(A212&lt;1,A212&gt;SV_T),A212-1&gt;=SV_goalPay),0,SV_goalMth*12+IF(A212=1,SV_goalLump,0))</f>
        <v/>
      </c>
      <c r="AM212" s="29">
        <f>IF(A212&gt;SV_T,0,(AM211+AL212)*(1+investmentReturn))</f>
        <v/>
      </c>
      <c r="AN212" s="29">
        <f>IF(OR(OR(A212&lt;1,A212&gt;SV_T),A212-1&gt;=SV_protPay),0,SV_protPrem)</f>
        <v/>
      </c>
      <c r="AO212" s="29">
        <f>IF(OR(A212=0,A212&gt;=SV_T),0,ROUND(MAX(0,AK212),2)+ROUND(MAX(0,AM212),2))</f>
        <v/>
      </c>
      <c r="AP212" s="29">
        <f>IF(OR(A212&lt;1,A212&gt;SV_T),0,-(AJ212+AL212+AN212)+IF(A212=SV_T,ROUND(MAX(0,AK212),2)+ROUND(MAX(0,AM212),2),0))</f>
        <v/>
      </c>
      <c r="AQ212" s="29">
        <f>IF(A212&gt;SV_T,0,AQ211*(1+SV_savRate)+H212+I212+J212+K212+L212+AE212+AP212)</f>
        <v/>
      </c>
      <c r="AR212" s="29">
        <f>IF(A212&gt;SV_T,0,MAX(0,O212+P212+Q212+AD212+AQ212+AO212-AF212))</f>
        <v/>
      </c>
      <c r="AS212" s="29">
        <f>IF(A212&gt;SV_T,0,O212+P212+AQ212+AO212-MAX(0,AF212-(Q212+AD212)))</f>
        <v/>
      </c>
    </row>
    <row r="213">
      <c r="A213" s="61" t="n">
        <v>51</v>
      </c>
      <c r="B213" s="61">
        <f>SV_age+A213</f>
        <v/>
      </c>
      <c r="C213" s="61">
        <f>currentYear+A213</f>
        <v/>
      </c>
      <c r="D213" s="52">
        <f>A213&lt;=SV_T</f>
        <v/>
      </c>
      <c r="E213" s="60">
        <f>IF(AND(SV_inflOn,A213&gt;=SV_inflS,A213&lt;=SV_inflE),1+SV_inflRate,1+inflationRate)</f>
        <v/>
      </c>
      <c r="F213" s="60">
        <f>IF(A213&lt;=1,1,F212*E213)</f>
        <v/>
      </c>
      <c r="G213" s="60">
        <f>IF(AND(SV_incOn,A213&gt;=SV_incS,A213&lt;=SV_incE),1+SV_incImp,1)</f>
        <v/>
      </c>
      <c r="H213" s="29">
        <f>IF(OR(OR(A213&lt;1,A213&gt;SV_T),A213-1&gt;=SV_salCut,AND(SV_deaOn,A213&gt;=SV_deaM)),0,SV_sal0*(1+incomeGrowthRate)^(A213-1)*G213)</f>
        <v/>
      </c>
      <c r="I213" s="29">
        <f>IF(OR(A213&lt;1,A213&gt;SV_T),0,(-SV_exp0*F213-IF(A213&lt;=SV_loanYears,SV_inst,0)-IF(AND(SV_wdAmt&gt;0,A213=SV_wdYear),SV_wdAmt,0))*IF(AND(SV_expOn,A213&gt;=SV_expS,A213&lt;=SV_expE),1+SV_expImp,1))</f>
        <v/>
      </c>
      <c r="J213" s="29">
        <f>IF(OR(A213&lt;1,A213&gt;SV_T),0,-F213*(IF(AND(SV_deaOn,A213=SV_deaM),SV_deaAmt,0)+IF(AND(SV_criOn,A213=SV_criM),SV_criAmt,0)+IF(AND(SV_tpdOn,A213=SV_tpdM),SV_tpdAmt,0)+IF(AND(SV_pacOn,A213=SV_pacM),SV_pacAmt,0)+IF(AND(SV_hosOn,A213=SV_hosM),SV_hosAmt,0)+IF(AND(SV_wedOn,A213=SV_wedM),SV_wedAmt,0)+IF(AND(SV_babOn,A213=SV_babM),SV_babAmt,0)+IF(AND(SV_ltcOn,A213&gt;=SV_ltcM,A213&lt;=SV_ltcE),SV_ltcAmt,0)))</f>
        <v/>
      </c>
      <c r="K213" s="29">
        <f>IF(OR(OR(A213&lt;1,A213&gt;SV_T),A213&gt;SV_loanYears),0,-SV_lifePremYr)</f>
        <v/>
      </c>
      <c r="L213" s="29">
        <f>IF(OR(A213&lt;1,A213&gt;SV_T),0,-SV_contrib)</f>
        <v/>
      </c>
      <c r="M213" s="60">
        <f>IF(AND(SV_crashOn,A213=SV_crashYr),SV_crashF,1)</f>
        <v/>
      </c>
      <c r="N213" s="60">
        <f>IF(AND(SV_ccyOn,A213=SV_ccyYr),SV_ccyF,1)</f>
        <v/>
      </c>
      <c r="O213" s="29">
        <f>IF(A213&gt;SV_T,0,O212*(1+interestRate)*M213*N213)</f>
        <v/>
      </c>
      <c r="P213" s="29">
        <f>IF(A213&gt;SV_T,0,(P212+SV_contrib)*(1+investmentReturn)*M213*N213)</f>
        <v/>
      </c>
      <c r="Q213" s="29">
        <f>IF(A213&gt;SV_T,0,Q212*(1+SV_propRate)*M213)</f>
        <v/>
      </c>
      <c r="R213" s="46">
        <f>MATCH(SV_age+A213-1,SV_cpfLower,1)</f>
        <v/>
      </c>
      <c r="S213" s="29">
        <f>IF(OR(OR(A213&lt;1,A213&gt;SV_T),NOT(SV_cpfOn),AND(SV_deaOn,A213&gt;=SV_deaM)),0,MIN(SV_sal0*(1+incomeGrowthRate)^(A213-1)*G213,SV_owCap))</f>
        <v/>
      </c>
      <c r="T213" s="29">
        <f>IF(A213&gt;SV_T,0,T212*(1+SV_oaRate)+IF(A213&gt;=SV_effStop,0,INDEX(SV_cpfOA,R213)*INDEX(SV_cpfTot,R213)*S213))</f>
        <v/>
      </c>
      <c r="U213" s="29">
        <f>IF(A213&gt;SV_T,0,U212*(1+SV_saRate)+IF(A213&gt;=SV_effStop,0,INDEX(SV_cpfSA,R213)*INDEX(SV_cpfTot,R213)*S213))</f>
        <v/>
      </c>
      <c r="V213" s="29">
        <f>IF(A213&gt;SV_T,0,V212*(1+SV_saRate)+IF(A213&gt;=SV_effStop,0,INDEX(SV_cpfMA,R213)*INDEX(SV_cpfTot,R213)*S213))</f>
        <v/>
      </c>
      <c r="W213" s="29">
        <f>IF(OR(OR(A213&lt;1,A213&gt;SV_T),A213&gt;=SV_effNeg),0,-(INDEX(SV_cpfOA,R213)+INDEX(SV_cpfSA,R213)+INDEX(SV_cpfMA,R213))*INDEX(SV_cpfEmp,R213)*S213)</f>
        <v/>
      </c>
      <c r="X213" s="29">
        <f>IF(A213&gt;=SV_sIdx,0,T213)</f>
        <v/>
      </c>
      <c r="Y213" s="29">
        <f>IF(A213&gt;=SV_sIdx,0,U213)</f>
        <v/>
      </c>
      <c r="Z213" s="29">
        <f>IF(A213&gt;=SV_sIdx,MIN(V213,SV_maCap),V213)</f>
        <v/>
      </c>
      <c r="AA213" s="29">
        <f>IF(AND(SV_cpfOn,A213&gt;=SV_pIdx,A213&lt;=SV_T),12*SV_pay,0)</f>
        <v/>
      </c>
      <c r="AB213" s="29">
        <f>IF(A213&gt;SV_T,0,IF(SV_sp&gt;=0,IF(A213&lt;SV_sIdx,0,IF(A213=SV_sIdx,SV_R0,SV_lifeGrowth*AB212)),SV_lifeGrowth*AB212))</f>
        <v/>
      </c>
      <c r="AC213" s="29">
        <f>IF(A213&gt;SV_T,0,IF(AND(SV_sp&gt;=0,A213&lt;SV_sIdx),0,IF(AND(SV_sp&gt;=0,A213=SV_sIdx),SV_L0,SV_lifeGrowth*(AC212-AA213))))</f>
        <v/>
      </c>
      <c r="AD213" s="29">
        <f>X213+Y213+AB213+Z213+IF(AB213&lt;0,0,AC213)</f>
        <v/>
      </c>
      <c r="AE213" s="29">
        <f>AA213+W213</f>
        <v/>
      </c>
      <c r="AF213" s="29">
        <f>IF(OR(A213&gt;SV_T,A213&gt;=SV_loanYears),0,MAX(0,AF212*(1+loanRate)-SV_inst))</f>
        <v/>
      </c>
      <c r="AG213" s="29">
        <f>IF(A213&gt;SV_T,0,AG212*(1+SV_savRate)+H213+I213+J213+K213+L213+AE213)</f>
        <v/>
      </c>
      <c r="AH213" s="29">
        <f>IF(A213&gt;SV_T,0,MAX(0,O213+P213+Q213+AD213+AG213-AF213))</f>
        <v/>
      </c>
      <c r="AI213" s="29">
        <f>IF(A213&gt;SV_T,0,O213+P213+AG213-MAX(0,AF213-(Q213+AD213)))</f>
        <v/>
      </c>
      <c r="AJ213" s="29">
        <f>IF(OR(OR(A213&lt;1,A213&gt;SV_T),A213-1&gt;=SV_retPay),0,SV_retMth*12+IF(A213=1,SV_retLump,0))</f>
        <v/>
      </c>
      <c r="AK213" s="29">
        <f>IF(A213&gt;SV_T,0,(AK212+AJ213)*(1+investmentReturn))</f>
        <v/>
      </c>
      <c r="AL213" s="29">
        <f>IF(OR(OR(A213&lt;1,A213&gt;SV_T),A213-1&gt;=SV_goalPay),0,SV_goalMth*12+IF(A213=1,SV_goalLump,0))</f>
        <v/>
      </c>
      <c r="AM213" s="29">
        <f>IF(A213&gt;SV_T,0,(AM212+AL213)*(1+investmentReturn))</f>
        <v/>
      </c>
      <c r="AN213" s="29">
        <f>IF(OR(OR(A213&lt;1,A213&gt;SV_T),A213-1&gt;=SV_protPay),0,SV_protPrem)</f>
        <v/>
      </c>
      <c r="AO213" s="29">
        <f>IF(OR(A213=0,A213&gt;=SV_T),0,ROUND(MAX(0,AK213),2)+ROUND(MAX(0,AM213),2))</f>
        <v/>
      </c>
      <c r="AP213" s="29">
        <f>IF(OR(A213&lt;1,A213&gt;SV_T),0,-(AJ213+AL213+AN213)+IF(A213=SV_T,ROUND(MAX(0,AK213),2)+ROUND(MAX(0,AM213),2),0))</f>
        <v/>
      </c>
      <c r="AQ213" s="29">
        <f>IF(A213&gt;SV_T,0,AQ212*(1+SV_savRate)+H213+I213+J213+K213+L213+AE213+AP213)</f>
        <v/>
      </c>
      <c r="AR213" s="29">
        <f>IF(A213&gt;SV_T,0,MAX(0,O213+P213+Q213+AD213+AQ213+AO213-AF213))</f>
        <v/>
      </c>
      <c r="AS213" s="29">
        <f>IF(A213&gt;SV_T,0,O213+P213+AQ213+AO213-MAX(0,AF213-(Q213+AD213)))</f>
        <v/>
      </c>
    </row>
    <row r="214">
      <c r="A214" s="61" t="n">
        <v>52</v>
      </c>
      <c r="B214" s="61">
        <f>SV_age+A214</f>
        <v/>
      </c>
      <c r="C214" s="61">
        <f>currentYear+A214</f>
        <v/>
      </c>
      <c r="D214" s="52">
        <f>A214&lt;=SV_T</f>
        <v/>
      </c>
      <c r="E214" s="60">
        <f>IF(AND(SV_inflOn,A214&gt;=SV_inflS,A214&lt;=SV_inflE),1+SV_inflRate,1+inflationRate)</f>
        <v/>
      </c>
      <c r="F214" s="60">
        <f>IF(A214&lt;=1,1,F213*E214)</f>
        <v/>
      </c>
      <c r="G214" s="60">
        <f>IF(AND(SV_incOn,A214&gt;=SV_incS,A214&lt;=SV_incE),1+SV_incImp,1)</f>
        <v/>
      </c>
      <c r="H214" s="29">
        <f>IF(OR(OR(A214&lt;1,A214&gt;SV_T),A214-1&gt;=SV_salCut,AND(SV_deaOn,A214&gt;=SV_deaM)),0,SV_sal0*(1+incomeGrowthRate)^(A214-1)*G214)</f>
        <v/>
      </c>
      <c r="I214" s="29">
        <f>IF(OR(A214&lt;1,A214&gt;SV_T),0,(-SV_exp0*F214-IF(A214&lt;=SV_loanYears,SV_inst,0)-IF(AND(SV_wdAmt&gt;0,A214=SV_wdYear),SV_wdAmt,0))*IF(AND(SV_expOn,A214&gt;=SV_expS,A214&lt;=SV_expE),1+SV_expImp,1))</f>
        <v/>
      </c>
      <c r="J214" s="29">
        <f>IF(OR(A214&lt;1,A214&gt;SV_T),0,-F214*(IF(AND(SV_deaOn,A214=SV_deaM),SV_deaAmt,0)+IF(AND(SV_criOn,A214=SV_criM),SV_criAmt,0)+IF(AND(SV_tpdOn,A214=SV_tpdM),SV_tpdAmt,0)+IF(AND(SV_pacOn,A214=SV_pacM),SV_pacAmt,0)+IF(AND(SV_hosOn,A214=SV_hosM),SV_hosAmt,0)+IF(AND(SV_wedOn,A214=SV_wedM),SV_wedAmt,0)+IF(AND(SV_babOn,A214=SV_babM),SV_babAmt,0)+IF(AND(SV_ltcOn,A214&gt;=SV_ltcM,A214&lt;=SV_ltcE),SV_ltcAmt,0)))</f>
        <v/>
      </c>
      <c r="K214" s="29">
        <f>IF(OR(OR(A214&lt;1,A214&gt;SV_T),A214&gt;SV_loanYears),0,-SV_lifePremYr)</f>
        <v/>
      </c>
      <c r="L214" s="29">
        <f>IF(OR(A214&lt;1,A214&gt;SV_T),0,-SV_contrib)</f>
        <v/>
      </c>
      <c r="M214" s="60">
        <f>IF(AND(SV_crashOn,A214=SV_crashYr),SV_crashF,1)</f>
        <v/>
      </c>
      <c r="N214" s="60">
        <f>IF(AND(SV_ccyOn,A214=SV_ccyYr),SV_ccyF,1)</f>
        <v/>
      </c>
      <c r="O214" s="29">
        <f>IF(A214&gt;SV_T,0,O213*(1+interestRate)*M214*N214)</f>
        <v/>
      </c>
      <c r="P214" s="29">
        <f>IF(A214&gt;SV_T,0,(P213+SV_contrib)*(1+investmentReturn)*M214*N214)</f>
        <v/>
      </c>
      <c r="Q214" s="29">
        <f>IF(A214&gt;SV_T,0,Q213*(1+SV_propRate)*M214)</f>
        <v/>
      </c>
      <c r="R214" s="46">
        <f>MATCH(SV_age+A214-1,SV_cpfLower,1)</f>
        <v/>
      </c>
      <c r="S214" s="29">
        <f>IF(OR(OR(A214&lt;1,A214&gt;SV_T),NOT(SV_cpfOn),AND(SV_deaOn,A214&gt;=SV_deaM)),0,MIN(SV_sal0*(1+incomeGrowthRate)^(A214-1)*G214,SV_owCap))</f>
        <v/>
      </c>
      <c r="T214" s="29">
        <f>IF(A214&gt;SV_T,0,T213*(1+SV_oaRate)+IF(A214&gt;=SV_effStop,0,INDEX(SV_cpfOA,R214)*INDEX(SV_cpfTot,R214)*S214))</f>
        <v/>
      </c>
      <c r="U214" s="29">
        <f>IF(A214&gt;SV_T,0,U213*(1+SV_saRate)+IF(A214&gt;=SV_effStop,0,INDEX(SV_cpfSA,R214)*INDEX(SV_cpfTot,R214)*S214))</f>
        <v/>
      </c>
      <c r="V214" s="29">
        <f>IF(A214&gt;SV_T,0,V213*(1+SV_saRate)+IF(A214&gt;=SV_effStop,0,INDEX(SV_cpfMA,R214)*INDEX(SV_cpfTot,R214)*S214))</f>
        <v/>
      </c>
      <c r="W214" s="29">
        <f>IF(OR(OR(A214&lt;1,A214&gt;SV_T),A214&gt;=SV_effNeg),0,-(INDEX(SV_cpfOA,R214)+INDEX(SV_cpfSA,R214)+INDEX(SV_cpfMA,R214))*INDEX(SV_cpfEmp,R214)*S214)</f>
        <v/>
      </c>
      <c r="X214" s="29">
        <f>IF(A214&gt;=SV_sIdx,0,T214)</f>
        <v/>
      </c>
      <c r="Y214" s="29">
        <f>IF(A214&gt;=SV_sIdx,0,U214)</f>
        <v/>
      </c>
      <c r="Z214" s="29">
        <f>IF(A214&gt;=SV_sIdx,MIN(V214,SV_maCap),V214)</f>
        <v/>
      </c>
      <c r="AA214" s="29">
        <f>IF(AND(SV_cpfOn,A214&gt;=SV_pIdx,A214&lt;=SV_T),12*SV_pay,0)</f>
        <v/>
      </c>
      <c r="AB214" s="29">
        <f>IF(A214&gt;SV_T,0,IF(SV_sp&gt;=0,IF(A214&lt;SV_sIdx,0,IF(A214=SV_sIdx,SV_R0,SV_lifeGrowth*AB213)),SV_lifeGrowth*AB213))</f>
        <v/>
      </c>
      <c r="AC214" s="29">
        <f>IF(A214&gt;SV_T,0,IF(AND(SV_sp&gt;=0,A214&lt;SV_sIdx),0,IF(AND(SV_sp&gt;=0,A214=SV_sIdx),SV_L0,SV_lifeGrowth*(AC213-AA214))))</f>
        <v/>
      </c>
      <c r="AD214" s="29">
        <f>X214+Y214+AB214+Z214+IF(AB214&lt;0,0,AC214)</f>
        <v/>
      </c>
      <c r="AE214" s="29">
        <f>AA214+W214</f>
        <v/>
      </c>
      <c r="AF214" s="29">
        <f>IF(OR(A214&gt;SV_T,A214&gt;=SV_loanYears),0,MAX(0,AF213*(1+loanRate)-SV_inst))</f>
        <v/>
      </c>
      <c r="AG214" s="29">
        <f>IF(A214&gt;SV_T,0,AG213*(1+SV_savRate)+H214+I214+J214+K214+L214+AE214)</f>
        <v/>
      </c>
      <c r="AH214" s="29">
        <f>IF(A214&gt;SV_T,0,MAX(0,O214+P214+Q214+AD214+AG214-AF214))</f>
        <v/>
      </c>
      <c r="AI214" s="29">
        <f>IF(A214&gt;SV_T,0,O214+P214+AG214-MAX(0,AF214-(Q214+AD214)))</f>
        <v/>
      </c>
      <c r="AJ214" s="29">
        <f>IF(OR(OR(A214&lt;1,A214&gt;SV_T),A214-1&gt;=SV_retPay),0,SV_retMth*12+IF(A214=1,SV_retLump,0))</f>
        <v/>
      </c>
      <c r="AK214" s="29">
        <f>IF(A214&gt;SV_T,0,(AK213+AJ214)*(1+investmentReturn))</f>
        <v/>
      </c>
      <c r="AL214" s="29">
        <f>IF(OR(OR(A214&lt;1,A214&gt;SV_T),A214-1&gt;=SV_goalPay),0,SV_goalMth*12+IF(A214=1,SV_goalLump,0))</f>
        <v/>
      </c>
      <c r="AM214" s="29">
        <f>IF(A214&gt;SV_T,0,(AM213+AL214)*(1+investmentReturn))</f>
        <v/>
      </c>
      <c r="AN214" s="29">
        <f>IF(OR(OR(A214&lt;1,A214&gt;SV_T),A214-1&gt;=SV_protPay),0,SV_protPrem)</f>
        <v/>
      </c>
      <c r="AO214" s="29">
        <f>IF(OR(A214=0,A214&gt;=SV_T),0,ROUND(MAX(0,AK214),2)+ROUND(MAX(0,AM214),2))</f>
        <v/>
      </c>
      <c r="AP214" s="29">
        <f>IF(OR(A214&lt;1,A214&gt;SV_T),0,-(AJ214+AL214+AN214)+IF(A214=SV_T,ROUND(MAX(0,AK214),2)+ROUND(MAX(0,AM214),2),0))</f>
        <v/>
      </c>
      <c r="AQ214" s="29">
        <f>IF(A214&gt;SV_T,0,AQ213*(1+SV_savRate)+H214+I214+J214+K214+L214+AE214+AP214)</f>
        <v/>
      </c>
      <c r="AR214" s="29">
        <f>IF(A214&gt;SV_T,0,MAX(0,O214+P214+Q214+AD214+AQ214+AO214-AF214))</f>
        <v/>
      </c>
      <c r="AS214" s="29">
        <f>IF(A214&gt;SV_T,0,O214+P214+AQ214+AO214-MAX(0,AF214-(Q214+AD214)))</f>
        <v/>
      </c>
    </row>
    <row r="215">
      <c r="A215" s="61" t="n">
        <v>53</v>
      </c>
      <c r="B215" s="61">
        <f>SV_age+A215</f>
        <v/>
      </c>
      <c r="C215" s="61">
        <f>currentYear+A215</f>
        <v/>
      </c>
      <c r="D215" s="52">
        <f>A215&lt;=SV_T</f>
        <v/>
      </c>
      <c r="E215" s="60">
        <f>IF(AND(SV_inflOn,A215&gt;=SV_inflS,A215&lt;=SV_inflE),1+SV_inflRate,1+inflationRate)</f>
        <v/>
      </c>
      <c r="F215" s="60">
        <f>IF(A215&lt;=1,1,F214*E215)</f>
        <v/>
      </c>
      <c r="G215" s="60">
        <f>IF(AND(SV_incOn,A215&gt;=SV_incS,A215&lt;=SV_incE),1+SV_incImp,1)</f>
        <v/>
      </c>
      <c r="H215" s="29">
        <f>IF(OR(OR(A215&lt;1,A215&gt;SV_T),A215-1&gt;=SV_salCut,AND(SV_deaOn,A215&gt;=SV_deaM)),0,SV_sal0*(1+incomeGrowthRate)^(A215-1)*G215)</f>
        <v/>
      </c>
      <c r="I215" s="29">
        <f>IF(OR(A215&lt;1,A215&gt;SV_T),0,(-SV_exp0*F215-IF(A215&lt;=SV_loanYears,SV_inst,0)-IF(AND(SV_wdAmt&gt;0,A215=SV_wdYear),SV_wdAmt,0))*IF(AND(SV_expOn,A215&gt;=SV_expS,A215&lt;=SV_expE),1+SV_expImp,1))</f>
        <v/>
      </c>
      <c r="J215" s="29">
        <f>IF(OR(A215&lt;1,A215&gt;SV_T),0,-F215*(IF(AND(SV_deaOn,A215=SV_deaM),SV_deaAmt,0)+IF(AND(SV_criOn,A215=SV_criM),SV_criAmt,0)+IF(AND(SV_tpdOn,A215=SV_tpdM),SV_tpdAmt,0)+IF(AND(SV_pacOn,A215=SV_pacM),SV_pacAmt,0)+IF(AND(SV_hosOn,A215=SV_hosM),SV_hosAmt,0)+IF(AND(SV_wedOn,A215=SV_wedM),SV_wedAmt,0)+IF(AND(SV_babOn,A215=SV_babM),SV_babAmt,0)+IF(AND(SV_ltcOn,A215&gt;=SV_ltcM,A215&lt;=SV_ltcE),SV_ltcAmt,0)))</f>
        <v/>
      </c>
      <c r="K215" s="29">
        <f>IF(OR(OR(A215&lt;1,A215&gt;SV_T),A215&gt;SV_loanYears),0,-SV_lifePremYr)</f>
        <v/>
      </c>
      <c r="L215" s="29">
        <f>IF(OR(A215&lt;1,A215&gt;SV_T),0,-SV_contrib)</f>
        <v/>
      </c>
      <c r="M215" s="60">
        <f>IF(AND(SV_crashOn,A215=SV_crashYr),SV_crashF,1)</f>
        <v/>
      </c>
      <c r="N215" s="60">
        <f>IF(AND(SV_ccyOn,A215=SV_ccyYr),SV_ccyF,1)</f>
        <v/>
      </c>
      <c r="O215" s="29">
        <f>IF(A215&gt;SV_T,0,O214*(1+interestRate)*M215*N215)</f>
        <v/>
      </c>
      <c r="P215" s="29">
        <f>IF(A215&gt;SV_T,0,(P214+SV_contrib)*(1+investmentReturn)*M215*N215)</f>
        <v/>
      </c>
      <c r="Q215" s="29">
        <f>IF(A215&gt;SV_T,0,Q214*(1+SV_propRate)*M215)</f>
        <v/>
      </c>
      <c r="R215" s="46">
        <f>MATCH(SV_age+A215-1,SV_cpfLower,1)</f>
        <v/>
      </c>
      <c r="S215" s="29">
        <f>IF(OR(OR(A215&lt;1,A215&gt;SV_T),NOT(SV_cpfOn),AND(SV_deaOn,A215&gt;=SV_deaM)),0,MIN(SV_sal0*(1+incomeGrowthRate)^(A215-1)*G215,SV_owCap))</f>
        <v/>
      </c>
      <c r="T215" s="29">
        <f>IF(A215&gt;SV_T,0,T214*(1+SV_oaRate)+IF(A215&gt;=SV_effStop,0,INDEX(SV_cpfOA,R215)*INDEX(SV_cpfTot,R215)*S215))</f>
        <v/>
      </c>
      <c r="U215" s="29">
        <f>IF(A215&gt;SV_T,0,U214*(1+SV_saRate)+IF(A215&gt;=SV_effStop,0,INDEX(SV_cpfSA,R215)*INDEX(SV_cpfTot,R215)*S215))</f>
        <v/>
      </c>
      <c r="V215" s="29">
        <f>IF(A215&gt;SV_T,0,V214*(1+SV_saRate)+IF(A215&gt;=SV_effStop,0,INDEX(SV_cpfMA,R215)*INDEX(SV_cpfTot,R215)*S215))</f>
        <v/>
      </c>
      <c r="W215" s="29">
        <f>IF(OR(OR(A215&lt;1,A215&gt;SV_T),A215&gt;=SV_effNeg),0,-(INDEX(SV_cpfOA,R215)+INDEX(SV_cpfSA,R215)+INDEX(SV_cpfMA,R215))*INDEX(SV_cpfEmp,R215)*S215)</f>
        <v/>
      </c>
      <c r="X215" s="29">
        <f>IF(A215&gt;=SV_sIdx,0,T215)</f>
        <v/>
      </c>
      <c r="Y215" s="29">
        <f>IF(A215&gt;=SV_sIdx,0,U215)</f>
        <v/>
      </c>
      <c r="Z215" s="29">
        <f>IF(A215&gt;=SV_sIdx,MIN(V215,SV_maCap),V215)</f>
        <v/>
      </c>
      <c r="AA215" s="29">
        <f>IF(AND(SV_cpfOn,A215&gt;=SV_pIdx,A215&lt;=SV_T),12*SV_pay,0)</f>
        <v/>
      </c>
      <c r="AB215" s="29">
        <f>IF(A215&gt;SV_T,0,IF(SV_sp&gt;=0,IF(A215&lt;SV_sIdx,0,IF(A215=SV_sIdx,SV_R0,SV_lifeGrowth*AB214)),SV_lifeGrowth*AB214))</f>
        <v/>
      </c>
      <c r="AC215" s="29">
        <f>IF(A215&gt;SV_T,0,IF(AND(SV_sp&gt;=0,A215&lt;SV_sIdx),0,IF(AND(SV_sp&gt;=0,A215=SV_sIdx),SV_L0,SV_lifeGrowth*(AC214-AA215))))</f>
        <v/>
      </c>
      <c r="AD215" s="29">
        <f>X215+Y215+AB215+Z215+IF(AB215&lt;0,0,AC215)</f>
        <v/>
      </c>
      <c r="AE215" s="29">
        <f>AA215+W215</f>
        <v/>
      </c>
      <c r="AF215" s="29">
        <f>IF(OR(A215&gt;SV_T,A215&gt;=SV_loanYears),0,MAX(0,AF214*(1+loanRate)-SV_inst))</f>
        <v/>
      </c>
      <c r="AG215" s="29">
        <f>IF(A215&gt;SV_T,0,AG214*(1+SV_savRate)+H215+I215+J215+K215+L215+AE215)</f>
        <v/>
      </c>
      <c r="AH215" s="29">
        <f>IF(A215&gt;SV_T,0,MAX(0,O215+P215+Q215+AD215+AG215-AF215))</f>
        <v/>
      </c>
      <c r="AI215" s="29">
        <f>IF(A215&gt;SV_T,0,O215+P215+AG215-MAX(0,AF215-(Q215+AD215)))</f>
        <v/>
      </c>
      <c r="AJ215" s="29">
        <f>IF(OR(OR(A215&lt;1,A215&gt;SV_T),A215-1&gt;=SV_retPay),0,SV_retMth*12+IF(A215=1,SV_retLump,0))</f>
        <v/>
      </c>
      <c r="AK215" s="29">
        <f>IF(A215&gt;SV_T,0,(AK214+AJ215)*(1+investmentReturn))</f>
        <v/>
      </c>
      <c r="AL215" s="29">
        <f>IF(OR(OR(A215&lt;1,A215&gt;SV_T),A215-1&gt;=SV_goalPay),0,SV_goalMth*12+IF(A215=1,SV_goalLump,0))</f>
        <v/>
      </c>
      <c r="AM215" s="29">
        <f>IF(A215&gt;SV_T,0,(AM214+AL215)*(1+investmentReturn))</f>
        <v/>
      </c>
      <c r="AN215" s="29">
        <f>IF(OR(OR(A215&lt;1,A215&gt;SV_T),A215-1&gt;=SV_protPay),0,SV_protPrem)</f>
        <v/>
      </c>
      <c r="AO215" s="29">
        <f>IF(OR(A215=0,A215&gt;=SV_T),0,ROUND(MAX(0,AK215),2)+ROUND(MAX(0,AM215),2))</f>
        <v/>
      </c>
      <c r="AP215" s="29">
        <f>IF(OR(A215&lt;1,A215&gt;SV_T),0,-(AJ215+AL215+AN215)+IF(A215=SV_T,ROUND(MAX(0,AK215),2)+ROUND(MAX(0,AM215),2),0))</f>
        <v/>
      </c>
      <c r="AQ215" s="29">
        <f>IF(A215&gt;SV_T,0,AQ214*(1+SV_savRate)+H215+I215+J215+K215+L215+AE215+AP215)</f>
        <v/>
      </c>
      <c r="AR215" s="29">
        <f>IF(A215&gt;SV_T,0,MAX(0,O215+P215+Q215+AD215+AQ215+AO215-AF215))</f>
        <v/>
      </c>
      <c r="AS215" s="29">
        <f>IF(A215&gt;SV_T,0,O215+P215+AQ215+AO215-MAX(0,AF215-(Q215+AD215)))</f>
        <v/>
      </c>
    </row>
    <row r="216">
      <c r="A216" s="61" t="n">
        <v>54</v>
      </c>
      <c r="B216" s="61">
        <f>SV_age+A216</f>
        <v/>
      </c>
      <c r="C216" s="61">
        <f>currentYear+A216</f>
        <v/>
      </c>
      <c r="D216" s="52">
        <f>A216&lt;=SV_T</f>
        <v/>
      </c>
      <c r="E216" s="60">
        <f>IF(AND(SV_inflOn,A216&gt;=SV_inflS,A216&lt;=SV_inflE),1+SV_inflRate,1+inflationRate)</f>
        <v/>
      </c>
      <c r="F216" s="60">
        <f>IF(A216&lt;=1,1,F215*E216)</f>
        <v/>
      </c>
      <c r="G216" s="60">
        <f>IF(AND(SV_incOn,A216&gt;=SV_incS,A216&lt;=SV_incE),1+SV_incImp,1)</f>
        <v/>
      </c>
      <c r="H216" s="29">
        <f>IF(OR(OR(A216&lt;1,A216&gt;SV_T),A216-1&gt;=SV_salCut,AND(SV_deaOn,A216&gt;=SV_deaM)),0,SV_sal0*(1+incomeGrowthRate)^(A216-1)*G216)</f>
        <v/>
      </c>
      <c r="I216" s="29">
        <f>IF(OR(A216&lt;1,A216&gt;SV_T),0,(-SV_exp0*F216-IF(A216&lt;=SV_loanYears,SV_inst,0)-IF(AND(SV_wdAmt&gt;0,A216=SV_wdYear),SV_wdAmt,0))*IF(AND(SV_expOn,A216&gt;=SV_expS,A216&lt;=SV_expE),1+SV_expImp,1))</f>
        <v/>
      </c>
      <c r="J216" s="29">
        <f>IF(OR(A216&lt;1,A216&gt;SV_T),0,-F216*(IF(AND(SV_deaOn,A216=SV_deaM),SV_deaAmt,0)+IF(AND(SV_criOn,A216=SV_criM),SV_criAmt,0)+IF(AND(SV_tpdOn,A216=SV_tpdM),SV_tpdAmt,0)+IF(AND(SV_pacOn,A216=SV_pacM),SV_pacAmt,0)+IF(AND(SV_hosOn,A216=SV_hosM),SV_hosAmt,0)+IF(AND(SV_wedOn,A216=SV_wedM),SV_wedAmt,0)+IF(AND(SV_babOn,A216=SV_babM),SV_babAmt,0)+IF(AND(SV_ltcOn,A216&gt;=SV_ltcM,A216&lt;=SV_ltcE),SV_ltcAmt,0)))</f>
        <v/>
      </c>
      <c r="K216" s="29">
        <f>IF(OR(OR(A216&lt;1,A216&gt;SV_T),A216&gt;SV_loanYears),0,-SV_lifePremYr)</f>
        <v/>
      </c>
      <c r="L216" s="29">
        <f>IF(OR(A216&lt;1,A216&gt;SV_T),0,-SV_contrib)</f>
        <v/>
      </c>
      <c r="M216" s="60">
        <f>IF(AND(SV_crashOn,A216=SV_crashYr),SV_crashF,1)</f>
        <v/>
      </c>
      <c r="N216" s="60">
        <f>IF(AND(SV_ccyOn,A216=SV_ccyYr),SV_ccyF,1)</f>
        <v/>
      </c>
      <c r="O216" s="29">
        <f>IF(A216&gt;SV_T,0,O215*(1+interestRate)*M216*N216)</f>
        <v/>
      </c>
      <c r="P216" s="29">
        <f>IF(A216&gt;SV_T,0,(P215+SV_contrib)*(1+investmentReturn)*M216*N216)</f>
        <v/>
      </c>
      <c r="Q216" s="29">
        <f>IF(A216&gt;SV_T,0,Q215*(1+SV_propRate)*M216)</f>
        <v/>
      </c>
      <c r="R216" s="46">
        <f>MATCH(SV_age+A216-1,SV_cpfLower,1)</f>
        <v/>
      </c>
      <c r="S216" s="29">
        <f>IF(OR(OR(A216&lt;1,A216&gt;SV_T),NOT(SV_cpfOn),AND(SV_deaOn,A216&gt;=SV_deaM)),0,MIN(SV_sal0*(1+incomeGrowthRate)^(A216-1)*G216,SV_owCap))</f>
        <v/>
      </c>
      <c r="T216" s="29">
        <f>IF(A216&gt;SV_T,0,T215*(1+SV_oaRate)+IF(A216&gt;=SV_effStop,0,INDEX(SV_cpfOA,R216)*INDEX(SV_cpfTot,R216)*S216))</f>
        <v/>
      </c>
      <c r="U216" s="29">
        <f>IF(A216&gt;SV_T,0,U215*(1+SV_saRate)+IF(A216&gt;=SV_effStop,0,INDEX(SV_cpfSA,R216)*INDEX(SV_cpfTot,R216)*S216))</f>
        <v/>
      </c>
      <c r="V216" s="29">
        <f>IF(A216&gt;SV_T,0,V215*(1+SV_saRate)+IF(A216&gt;=SV_effStop,0,INDEX(SV_cpfMA,R216)*INDEX(SV_cpfTot,R216)*S216))</f>
        <v/>
      </c>
      <c r="W216" s="29">
        <f>IF(OR(OR(A216&lt;1,A216&gt;SV_T),A216&gt;=SV_effNeg),0,-(INDEX(SV_cpfOA,R216)+INDEX(SV_cpfSA,R216)+INDEX(SV_cpfMA,R216))*INDEX(SV_cpfEmp,R216)*S216)</f>
        <v/>
      </c>
      <c r="X216" s="29">
        <f>IF(A216&gt;=SV_sIdx,0,T216)</f>
        <v/>
      </c>
      <c r="Y216" s="29">
        <f>IF(A216&gt;=SV_sIdx,0,U216)</f>
        <v/>
      </c>
      <c r="Z216" s="29">
        <f>IF(A216&gt;=SV_sIdx,MIN(V216,SV_maCap),V216)</f>
        <v/>
      </c>
      <c r="AA216" s="29">
        <f>IF(AND(SV_cpfOn,A216&gt;=SV_pIdx,A216&lt;=SV_T),12*SV_pay,0)</f>
        <v/>
      </c>
      <c r="AB216" s="29">
        <f>IF(A216&gt;SV_T,0,IF(SV_sp&gt;=0,IF(A216&lt;SV_sIdx,0,IF(A216=SV_sIdx,SV_R0,SV_lifeGrowth*AB215)),SV_lifeGrowth*AB215))</f>
        <v/>
      </c>
      <c r="AC216" s="29">
        <f>IF(A216&gt;SV_T,0,IF(AND(SV_sp&gt;=0,A216&lt;SV_sIdx),0,IF(AND(SV_sp&gt;=0,A216=SV_sIdx),SV_L0,SV_lifeGrowth*(AC215-AA216))))</f>
        <v/>
      </c>
      <c r="AD216" s="29">
        <f>X216+Y216+AB216+Z216+IF(AB216&lt;0,0,AC216)</f>
        <v/>
      </c>
      <c r="AE216" s="29">
        <f>AA216+W216</f>
        <v/>
      </c>
      <c r="AF216" s="29">
        <f>IF(OR(A216&gt;SV_T,A216&gt;=SV_loanYears),0,MAX(0,AF215*(1+loanRate)-SV_inst))</f>
        <v/>
      </c>
      <c r="AG216" s="29">
        <f>IF(A216&gt;SV_T,0,AG215*(1+SV_savRate)+H216+I216+J216+K216+L216+AE216)</f>
        <v/>
      </c>
      <c r="AH216" s="29">
        <f>IF(A216&gt;SV_T,0,MAX(0,O216+P216+Q216+AD216+AG216-AF216))</f>
        <v/>
      </c>
      <c r="AI216" s="29">
        <f>IF(A216&gt;SV_T,0,O216+P216+AG216-MAX(0,AF216-(Q216+AD216)))</f>
        <v/>
      </c>
      <c r="AJ216" s="29">
        <f>IF(OR(OR(A216&lt;1,A216&gt;SV_T),A216-1&gt;=SV_retPay),0,SV_retMth*12+IF(A216=1,SV_retLump,0))</f>
        <v/>
      </c>
      <c r="AK216" s="29">
        <f>IF(A216&gt;SV_T,0,(AK215+AJ216)*(1+investmentReturn))</f>
        <v/>
      </c>
      <c r="AL216" s="29">
        <f>IF(OR(OR(A216&lt;1,A216&gt;SV_T),A216-1&gt;=SV_goalPay),0,SV_goalMth*12+IF(A216=1,SV_goalLump,0))</f>
        <v/>
      </c>
      <c r="AM216" s="29">
        <f>IF(A216&gt;SV_T,0,(AM215+AL216)*(1+investmentReturn))</f>
        <v/>
      </c>
      <c r="AN216" s="29">
        <f>IF(OR(OR(A216&lt;1,A216&gt;SV_T),A216-1&gt;=SV_protPay),0,SV_protPrem)</f>
        <v/>
      </c>
      <c r="AO216" s="29">
        <f>IF(OR(A216=0,A216&gt;=SV_T),0,ROUND(MAX(0,AK216),2)+ROUND(MAX(0,AM216),2))</f>
        <v/>
      </c>
      <c r="AP216" s="29">
        <f>IF(OR(A216&lt;1,A216&gt;SV_T),0,-(AJ216+AL216+AN216)+IF(A216=SV_T,ROUND(MAX(0,AK216),2)+ROUND(MAX(0,AM216),2),0))</f>
        <v/>
      </c>
      <c r="AQ216" s="29">
        <f>IF(A216&gt;SV_T,0,AQ215*(1+SV_savRate)+H216+I216+J216+K216+L216+AE216+AP216)</f>
        <v/>
      </c>
      <c r="AR216" s="29">
        <f>IF(A216&gt;SV_T,0,MAX(0,O216+P216+Q216+AD216+AQ216+AO216-AF216))</f>
        <v/>
      </c>
      <c r="AS216" s="29">
        <f>IF(A216&gt;SV_T,0,O216+P216+AQ216+AO216-MAX(0,AF216-(Q216+AD216)))</f>
        <v/>
      </c>
    </row>
    <row r="217">
      <c r="A217" s="61" t="n">
        <v>55</v>
      </c>
      <c r="B217" s="61">
        <f>SV_age+A217</f>
        <v/>
      </c>
      <c r="C217" s="61">
        <f>currentYear+A217</f>
        <v/>
      </c>
      <c r="D217" s="52">
        <f>A217&lt;=SV_T</f>
        <v/>
      </c>
      <c r="E217" s="60">
        <f>IF(AND(SV_inflOn,A217&gt;=SV_inflS,A217&lt;=SV_inflE),1+SV_inflRate,1+inflationRate)</f>
        <v/>
      </c>
      <c r="F217" s="60">
        <f>IF(A217&lt;=1,1,F216*E217)</f>
        <v/>
      </c>
      <c r="G217" s="60">
        <f>IF(AND(SV_incOn,A217&gt;=SV_incS,A217&lt;=SV_incE),1+SV_incImp,1)</f>
        <v/>
      </c>
      <c r="H217" s="29">
        <f>IF(OR(OR(A217&lt;1,A217&gt;SV_T),A217-1&gt;=SV_salCut,AND(SV_deaOn,A217&gt;=SV_deaM)),0,SV_sal0*(1+incomeGrowthRate)^(A217-1)*G217)</f>
        <v/>
      </c>
      <c r="I217" s="29">
        <f>IF(OR(A217&lt;1,A217&gt;SV_T),0,(-SV_exp0*F217-IF(A217&lt;=SV_loanYears,SV_inst,0)-IF(AND(SV_wdAmt&gt;0,A217=SV_wdYear),SV_wdAmt,0))*IF(AND(SV_expOn,A217&gt;=SV_expS,A217&lt;=SV_expE),1+SV_expImp,1))</f>
        <v/>
      </c>
      <c r="J217" s="29">
        <f>IF(OR(A217&lt;1,A217&gt;SV_T),0,-F217*(IF(AND(SV_deaOn,A217=SV_deaM),SV_deaAmt,0)+IF(AND(SV_criOn,A217=SV_criM),SV_criAmt,0)+IF(AND(SV_tpdOn,A217=SV_tpdM),SV_tpdAmt,0)+IF(AND(SV_pacOn,A217=SV_pacM),SV_pacAmt,0)+IF(AND(SV_hosOn,A217=SV_hosM),SV_hosAmt,0)+IF(AND(SV_wedOn,A217=SV_wedM),SV_wedAmt,0)+IF(AND(SV_babOn,A217=SV_babM),SV_babAmt,0)+IF(AND(SV_ltcOn,A217&gt;=SV_ltcM,A217&lt;=SV_ltcE),SV_ltcAmt,0)))</f>
        <v/>
      </c>
      <c r="K217" s="29">
        <f>IF(OR(OR(A217&lt;1,A217&gt;SV_T),A217&gt;SV_loanYears),0,-SV_lifePremYr)</f>
        <v/>
      </c>
      <c r="L217" s="29">
        <f>IF(OR(A217&lt;1,A217&gt;SV_T),0,-SV_contrib)</f>
        <v/>
      </c>
      <c r="M217" s="60">
        <f>IF(AND(SV_crashOn,A217=SV_crashYr),SV_crashF,1)</f>
        <v/>
      </c>
      <c r="N217" s="60">
        <f>IF(AND(SV_ccyOn,A217=SV_ccyYr),SV_ccyF,1)</f>
        <v/>
      </c>
      <c r="O217" s="29">
        <f>IF(A217&gt;SV_T,0,O216*(1+interestRate)*M217*N217)</f>
        <v/>
      </c>
      <c r="P217" s="29">
        <f>IF(A217&gt;SV_T,0,(P216+SV_contrib)*(1+investmentReturn)*M217*N217)</f>
        <v/>
      </c>
      <c r="Q217" s="29">
        <f>IF(A217&gt;SV_T,0,Q216*(1+SV_propRate)*M217)</f>
        <v/>
      </c>
      <c r="R217" s="46">
        <f>MATCH(SV_age+A217-1,SV_cpfLower,1)</f>
        <v/>
      </c>
      <c r="S217" s="29">
        <f>IF(OR(OR(A217&lt;1,A217&gt;SV_T),NOT(SV_cpfOn),AND(SV_deaOn,A217&gt;=SV_deaM)),0,MIN(SV_sal0*(1+incomeGrowthRate)^(A217-1)*G217,SV_owCap))</f>
        <v/>
      </c>
      <c r="T217" s="29">
        <f>IF(A217&gt;SV_T,0,T216*(1+SV_oaRate)+IF(A217&gt;=SV_effStop,0,INDEX(SV_cpfOA,R217)*INDEX(SV_cpfTot,R217)*S217))</f>
        <v/>
      </c>
      <c r="U217" s="29">
        <f>IF(A217&gt;SV_T,0,U216*(1+SV_saRate)+IF(A217&gt;=SV_effStop,0,INDEX(SV_cpfSA,R217)*INDEX(SV_cpfTot,R217)*S217))</f>
        <v/>
      </c>
      <c r="V217" s="29">
        <f>IF(A217&gt;SV_T,0,V216*(1+SV_saRate)+IF(A217&gt;=SV_effStop,0,INDEX(SV_cpfMA,R217)*INDEX(SV_cpfTot,R217)*S217))</f>
        <v/>
      </c>
      <c r="W217" s="29">
        <f>IF(OR(OR(A217&lt;1,A217&gt;SV_T),A217&gt;=SV_effNeg),0,-(INDEX(SV_cpfOA,R217)+INDEX(SV_cpfSA,R217)+INDEX(SV_cpfMA,R217))*INDEX(SV_cpfEmp,R217)*S217)</f>
        <v/>
      </c>
      <c r="X217" s="29">
        <f>IF(A217&gt;=SV_sIdx,0,T217)</f>
        <v/>
      </c>
      <c r="Y217" s="29">
        <f>IF(A217&gt;=SV_sIdx,0,U217)</f>
        <v/>
      </c>
      <c r="Z217" s="29">
        <f>IF(A217&gt;=SV_sIdx,MIN(V217,SV_maCap),V217)</f>
        <v/>
      </c>
      <c r="AA217" s="29">
        <f>IF(AND(SV_cpfOn,A217&gt;=SV_pIdx,A217&lt;=SV_T),12*SV_pay,0)</f>
        <v/>
      </c>
      <c r="AB217" s="29">
        <f>IF(A217&gt;SV_T,0,IF(SV_sp&gt;=0,IF(A217&lt;SV_sIdx,0,IF(A217=SV_sIdx,SV_R0,SV_lifeGrowth*AB216)),SV_lifeGrowth*AB216))</f>
        <v/>
      </c>
      <c r="AC217" s="29">
        <f>IF(A217&gt;SV_T,0,IF(AND(SV_sp&gt;=0,A217&lt;SV_sIdx),0,IF(AND(SV_sp&gt;=0,A217=SV_sIdx),SV_L0,SV_lifeGrowth*(AC216-AA217))))</f>
        <v/>
      </c>
      <c r="AD217" s="29">
        <f>X217+Y217+AB217+Z217+IF(AB217&lt;0,0,AC217)</f>
        <v/>
      </c>
      <c r="AE217" s="29">
        <f>AA217+W217</f>
        <v/>
      </c>
      <c r="AF217" s="29">
        <f>IF(OR(A217&gt;SV_T,A217&gt;=SV_loanYears),0,MAX(0,AF216*(1+loanRate)-SV_inst))</f>
        <v/>
      </c>
      <c r="AG217" s="29">
        <f>IF(A217&gt;SV_T,0,AG216*(1+SV_savRate)+H217+I217+J217+K217+L217+AE217)</f>
        <v/>
      </c>
      <c r="AH217" s="29">
        <f>IF(A217&gt;SV_T,0,MAX(0,O217+P217+Q217+AD217+AG217-AF217))</f>
        <v/>
      </c>
      <c r="AI217" s="29">
        <f>IF(A217&gt;SV_T,0,O217+P217+AG217-MAX(0,AF217-(Q217+AD217)))</f>
        <v/>
      </c>
      <c r="AJ217" s="29">
        <f>IF(OR(OR(A217&lt;1,A217&gt;SV_T),A217-1&gt;=SV_retPay),0,SV_retMth*12+IF(A217=1,SV_retLump,0))</f>
        <v/>
      </c>
      <c r="AK217" s="29">
        <f>IF(A217&gt;SV_T,0,(AK216+AJ217)*(1+investmentReturn))</f>
        <v/>
      </c>
      <c r="AL217" s="29">
        <f>IF(OR(OR(A217&lt;1,A217&gt;SV_T),A217-1&gt;=SV_goalPay),0,SV_goalMth*12+IF(A217=1,SV_goalLump,0))</f>
        <v/>
      </c>
      <c r="AM217" s="29">
        <f>IF(A217&gt;SV_T,0,(AM216+AL217)*(1+investmentReturn))</f>
        <v/>
      </c>
      <c r="AN217" s="29">
        <f>IF(OR(OR(A217&lt;1,A217&gt;SV_T),A217-1&gt;=SV_protPay),0,SV_protPrem)</f>
        <v/>
      </c>
      <c r="AO217" s="29">
        <f>IF(OR(A217=0,A217&gt;=SV_T),0,ROUND(MAX(0,AK217),2)+ROUND(MAX(0,AM217),2))</f>
        <v/>
      </c>
      <c r="AP217" s="29">
        <f>IF(OR(A217&lt;1,A217&gt;SV_T),0,-(AJ217+AL217+AN217)+IF(A217=SV_T,ROUND(MAX(0,AK217),2)+ROUND(MAX(0,AM217),2),0))</f>
        <v/>
      </c>
      <c r="AQ217" s="29">
        <f>IF(A217&gt;SV_T,0,AQ216*(1+SV_savRate)+H217+I217+J217+K217+L217+AE217+AP217)</f>
        <v/>
      </c>
      <c r="AR217" s="29">
        <f>IF(A217&gt;SV_T,0,MAX(0,O217+P217+Q217+AD217+AQ217+AO217-AF217))</f>
        <v/>
      </c>
      <c r="AS217" s="29">
        <f>IF(A217&gt;SV_T,0,O217+P217+AQ217+AO217-MAX(0,AF217-(Q217+AD217)))</f>
        <v/>
      </c>
    </row>
    <row r="218">
      <c r="A218" s="61" t="n">
        <v>56</v>
      </c>
      <c r="B218" s="61">
        <f>SV_age+A218</f>
        <v/>
      </c>
      <c r="C218" s="61">
        <f>currentYear+A218</f>
        <v/>
      </c>
      <c r="D218" s="52">
        <f>A218&lt;=SV_T</f>
        <v/>
      </c>
      <c r="E218" s="60">
        <f>IF(AND(SV_inflOn,A218&gt;=SV_inflS,A218&lt;=SV_inflE),1+SV_inflRate,1+inflationRate)</f>
        <v/>
      </c>
      <c r="F218" s="60">
        <f>IF(A218&lt;=1,1,F217*E218)</f>
        <v/>
      </c>
      <c r="G218" s="60">
        <f>IF(AND(SV_incOn,A218&gt;=SV_incS,A218&lt;=SV_incE),1+SV_incImp,1)</f>
        <v/>
      </c>
      <c r="H218" s="29">
        <f>IF(OR(OR(A218&lt;1,A218&gt;SV_T),A218-1&gt;=SV_salCut,AND(SV_deaOn,A218&gt;=SV_deaM)),0,SV_sal0*(1+incomeGrowthRate)^(A218-1)*G218)</f>
        <v/>
      </c>
      <c r="I218" s="29">
        <f>IF(OR(A218&lt;1,A218&gt;SV_T),0,(-SV_exp0*F218-IF(A218&lt;=SV_loanYears,SV_inst,0)-IF(AND(SV_wdAmt&gt;0,A218=SV_wdYear),SV_wdAmt,0))*IF(AND(SV_expOn,A218&gt;=SV_expS,A218&lt;=SV_expE),1+SV_expImp,1))</f>
        <v/>
      </c>
      <c r="J218" s="29">
        <f>IF(OR(A218&lt;1,A218&gt;SV_T),0,-F218*(IF(AND(SV_deaOn,A218=SV_deaM),SV_deaAmt,0)+IF(AND(SV_criOn,A218=SV_criM),SV_criAmt,0)+IF(AND(SV_tpdOn,A218=SV_tpdM),SV_tpdAmt,0)+IF(AND(SV_pacOn,A218=SV_pacM),SV_pacAmt,0)+IF(AND(SV_hosOn,A218=SV_hosM),SV_hosAmt,0)+IF(AND(SV_wedOn,A218=SV_wedM),SV_wedAmt,0)+IF(AND(SV_babOn,A218=SV_babM),SV_babAmt,0)+IF(AND(SV_ltcOn,A218&gt;=SV_ltcM,A218&lt;=SV_ltcE),SV_ltcAmt,0)))</f>
        <v/>
      </c>
      <c r="K218" s="29">
        <f>IF(OR(OR(A218&lt;1,A218&gt;SV_T),A218&gt;SV_loanYears),0,-SV_lifePremYr)</f>
        <v/>
      </c>
      <c r="L218" s="29">
        <f>IF(OR(A218&lt;1,A218&gt;SV_T),0,-SV_contrib)</f>
        <v/>
      </c>
      <c r="M218" s="60">
        <f>IF(AND(SV_crashOn,A218=SV_crashYr),SV_crashF,1)</f>
        <v/>
      </c>
      <c r="N218" s="60">
        <f>IF(AND(SV_ccyOn,A218=SV_ccyYr),SV_ccyF,1)</f>
        <v/>
      </c>
      <c r="O218" s="29">
        <f>IF(A218&gt;SV_T,0,O217*(1+interestRate)*M218*N218)</f>
        <v/>
      </c>
      <c r="P218" s="29">
        <f>IF(A218&gt;SV_T,0,(P217+SV_contrib)*(1+investmentReturn)*M218*N218)</f>
        <v/>
      </c>
      <c r="Q218" s="29">
        <f>IF(A218&gt;SV_T,0,Q217*(1+SV_propRate)*M218)</f>
        <v/>
      </c>
      <c r="R218" s="46">
        <f>MATCH(SV_age+A218-1,SV_cpfLower,1)</f>
        <v/>
      </c>
      <c r="S218" s="29">
        <f>IF(OR(OR(A218&lt;1,A218&gt;SV_T),NOT(SV_cpfOn),AND(SV_deaOn,A218&gt;=SV_deaM)),0,MIN(SV_sal0*(1+incomeGrowthRate)^(A218-1)*G218,SV_owCap))</f>
        <v/>
      </c>
      <c r="T218" s="29">
        <f>IF(A218&gt;SV_T,0,T217*(1+SV_oaRate)+IF(A218&gt;=SV_effStop,0,INDEX(SV_cpfOA,R218)*INDEX(SV_cpfTot,R218)*S218))</f>
        <v/>
      </c>
      <c r="U218" s="29">
        <f>IF(A218&gt;SV_T,0,U217*(1+SV_saRate)+IF(A218&gt;=SV_effStop,0,INDEX(SV_cpfSA,R218)*INDEX(SV_cpfTot,R218)*S218))</f>
        <v/>
      </c>
      <c r="V218" s="29">
        <f>IF(A218&gt;SV_T,0,V217*(1+SV_saRate)+IF(A218&gt;=SV_effStop,0,INDEX(SV_cpfMA,R218)*INDEX(SV_cpfTot,R218)*S218))</f>
        <v/>
      </c>
      <c r="W218" s="29">
        <f>IF(OR(OR(A218&lt;1,A218&gt;SV_T),A218&gt;=SV_effNeg),0,-(INDEX(SV_cpfOA,R218)+INDEX(SV_cpfSA,R218)+INDEX(SV_cpfMA,R218))*INDEX(SV_cpfEmp,R218)*S218)</f>
        <v/>
      </c>
      <c r="X218" s="29">
        <f>IF(A218&gt;=SV_sIdx,0,T218)</f>
        <v/>
      </c>
      <c r="Y218" s="29">
        <f>IF(A218&gt;=SV_sIdx,0,U218)</f>
        <v/>
      </c>
      <c r="Z218" s="29">
        <f>IF(A218&gt;=SV_sIdx,MIN(V218,SV_maCap),V218)</f>
        <v/>
      </c>
      <c r="AA218" s="29">
        <f>IF(AND(SV_cpfOn,A218&gt;=SV_pIdx,A218&lt;=SV_T),12*SV_pay,0)</f>
        <v/>
      </c>
      <c r="AB218" s="29">
        <f>IF(A218&gt;SV_T,0,IF(SV_sp&gt;=0,IF(A218&lt;SV_sIdx,0,IF(A218=SV_sIdx,SV_R0,SV_lifeGrowth*AB217)),SV_lifeGrowth*AB217))</f>
        <v/>
      </c>
      <c r="AC218" s="29">
        <f>IF(A218&gt;SV_T,0,IF(AND(SV_sp&gt;=0,A218&lt;SV_sIdx),0,IF(AND(SV_sp&gt;=0,A218=SV_sIdx),SV_L0,SV_lifeGrowth*(AC217-AA218))))</f>
        <v/>
      </c>
      <c r="AD218" s="29">
        <f>X218+Y218+AB218+Z218+IF(AB218&lt;0,0,AC218)</f>
        <v/>
      </c>
      <c r="AE218" s="29">
        <f>AA218+W218</f>
        <v/>
      </c>
      <c r="AF218" s="29">
        <f>IF(OR(A218&gt;SV_T,A218&gt;=SV_loanYears),0,MAX(0,AF217*(1+loanRate)-SV_inst))</f>
        <v/>
      </c>
      <c r="AG218" s="29">
        <f>IF(A218&gt;SV_T,0,AG217*(1+SV_savRate)+H218+I218+J218+K218+L218+AE218)</f>
        <v/>
      </c>
      <c r="AH218" s="29">
        <f>IF(A218&gt;SV_T,0,MAX(0,O218+P218+Q218+AD218+AG218-AF218))</f>
        <v/>
      </c>
      <c r="AI218" s="29">
        <f>IF(A218&gt;SV_T,0,O218+P218+AG218-MAX(0,AF218-(Q218+AD218)))</f>
        <v/>
      </c>
      <c r="AJ218" s="29">
        <f>IF(OR(OR(A218&lt;1,A218&gt;SV_T),A218-1&gt;=SV_retPay),0,SV_retMth*12+IF(A218=1,SV_retLump,0))</f>
        <v/>
      </c>
      <c r="AK218" s="29">
        <f>IF(A218&gt;SV_T,0,(AK217+AJ218)*(1+investmentReturn))</f>
        <v/>
      </c>
      <c r="AL218" s="29">
        <f>IF(OR(OR(A218&lt;1,A218&gt;SV_T),A218-1&gt;=SV_goalPay),0,SV_goalMth*12+IF(A218=1,SV_goalLump,0))</f>
        <v/>
      </c>
      <c r="AM218" s="29">
        <f>IF(A218&gt;SV_T,0,(AM217+AL218)*(1+investmentReturn))</f>
        <v/>
      </c>
      <c r="AN218" s="29">
        <f>IF(OR(OR(A218&lt;1,A218&gt;SV_T),A218-1&gt;=SV_protPay),0,SV_protPrem)</f>
        <v/>
      </c>
      <c r="AO218" s="29">
        <f>IF(OR(A218=0,A218&gt;=SV_T),0,ROUND(MAX(0,AK218),2)+ROUND(MAX(0,AM218),2))</f>
        <v/>
      </c>
      <c r="AP218" s="29">
        <f>IF(OR(A218&lt;1,A218&gt;SV_T),0,-(AJ218+AL218+AN218)+IF(A218=SV_T,ROUND(MAX(0,AK218),2)+ROUND(MAX(0,AM218),2),0))</f>
        <v/>
      </c>
      <c r="AQ218" s="29">
        <f>IF(A218&gt;SV_T,0,AQ217*(1+SV_savRate)+H218+I218+J218+K218+L218+AE218+AP218)</f>
        <v/>
      </c>
      <c r="AR218" s="29">
        <f>IF(A218&gt;SV_T,0,MAX(0,O218+P218+Q218+AD218+AQ218+AO218-AF218))</f>
        <v/>
      </c>
      <c r="AS218" s="29">
        <f>IF(A218&gt;SV_T,0,O218+P218+AQ218+AO218-MAX(0,AF218-(Q218+AD218)))</f>
        <v/>
      </c>
    </row>
    <row r="219">
      <c r="A219" s="61" t="n">
        <v>57</v>
      </c>
      <c r="B219" s="61">
        <f>SV_age+A219</f>
        <v/>
      </c>
      <c r="C219" s="61">
        <f>currentYear+A219</f>
        <v/>
      </c>
      <c r="D219" s="52">
        <f>A219&lt;=SV_T</f>
        <v/>
      </c>
      <c r="E219" s="60">
        <f>IF(AND(SV_inflOn,A219&gt;=SV_inflS,A219&lt;=SV_inflE),1+SV_inflRate,1+inflationRate)</f>
        <v/>
      </c>
      <c r="F219" s="60">
        <f>IF(A219&lt;=1,1,F218*E219)</f>
        <v/>
      </c>
      <c r="G219" s="60">
        <f>IF(AND(SV_incOn,A219&gt;=SV_incS,A219&lt;=SV_incE),1+SV_incImp,1)</f>
        <v/>
      </c>
      <c r="H219" s="29">
        <f>IF(OR(OR(A219&lt;1,A219&gt;SV_T),A219-1&gt;=SV_salCut,AND(SV_deaOn,A219&gt;=SV_deaM)),0,SV_sal0*(1+incomeGrowthRate)^(A219-1)*G219)</f>
        <v/>
      </c>
      <c r="I219" s="29">
        <f>IF(OR(A219&lt;1,A219&gt;SV_T),0,(-SV_exp0*F219-IF(A219&lt;=SV_loanYears,SV_inst,0)-IF(AND(SV_wdAmt&gt;0,A219=SV_wdYear),SV_wdAmt,0))*IF(AND(SV_expOn,A219&gt;=SV_expS,A219&lt;=SV_expE),1+SV_expImp,1))</f>
        <v/>
      </c>
      <c r="J219" s="29">
        <f>IF(OR(A219&lt;1,A219&gt;SV_T),0,-F219*(IF(AND(SV_deaOn,A219=SV_deaM),SV_deaAmt,0)+IF(AND(SV_criOn,A219=SV_criM),SV_criAmt,0)+IF(AND(SV_tpdOn,A219=SV_tpdM),SV_tpdAmt,0)+IF(AND(SV_pacOn,A219=SV_pacM),SV_pacAmt,0)+IF(AND(SV_hosOn,A219=SV_hosM),SV_hosAmt,0)+IF(AND(SV_wedOn,A219=SV_wedM),SV_wedAmt,0)+IF(AND(SV_babOn,A219=SV_babM),SV_babAmt,0)+IF(AND(SV_ltcOn,A219&gt;=SV_ltcM,A219&lt;=SV_ltcE),SV_ltcAmt,0)))</f>
        <v/>
      </c>
      <c r="K219" s="29">
        <f>IF(OR(OR(A219&lt;1,A219&gt;SV_T),A219&gt;SV_loanYears),0,-SV_lifePremYr)</f>
        <v/>
      </c>
      <c r="L219" s="29">
        <f>IF(OR(A219&lt;1,A219&gt;SV_T),0,-SV_contrib)</f>
        <v/>
      </c>
      <c r="M219" s="60">
        <f>IF(AND(SV_crashOn,A219=SV_crashYr),SV_crashF,1)</f>
        <v/>
      </c>
      <c r="N219" s="60">
        <f>IF(AND(SV_ccyOn,A219=SV_ccyYr),SV_ccyF,1)</f>
        <v/>
      </c>
      <c r="O219" s="29">
        <f>IF(A219&gt;SV_T,0,O218*(1+interestRate)*M219*N219)</f>
        <v/>
      </c>
      <c r="P219" s="29">
        <f>IF(A219&gt;SV_T,0,(P218+SV_contrib)*(1+investmentReturn)*M219*N219)</f>
        <v/>
      </c>
      <c r="Q219" s="29">
        <f>IF(A219&gt;SV_T,0,Q218*(1+SV_propRate)*M219)</f>
        <v/>
      </c>
      <c r="R219" s="46">
        <f>MATCH(SV_age+A219-1,SV_cpfLower,1)</f>
        <v/>
      </c>
      <c r="S219" s="29">
        <f>IF(OR(OR(A219&lt;1,A219&gt;SV_T),NOT(SV_cpfOn),AND(SV_deaOn,A219&gt;=SV_deaM)),0,MIN(SV_sal0*(1+incomeGrowthRate)^(A219-1)*G219,SV_owCap))</f>
        <v/>
      </c>
      <c r="T219" s="29">
        <f>IF(A219&gt;SV_T,0,T218*(1+SV_oaRate)+IF(A219&gt;=SV_effStop,0,INDEX(SV_cpfOA,R219)*INDEX(SV_cpfTot,R219)*S219))</f>
        <v/>
      </c>
      <c r="U219" s="29">
        <f>IF(A219&gt;SV_T,0,U218*(1+SV_saRate)+IF(A219&gt;=SV_effStop,0,INDEX(SV_cpfSA,R219)*INDEX(SV_cpfTot,R219)*S219))</f>
        <v/>
      </c>
      <c r="V219" s="29">
        <f>IF(A219&gt;SV_T,0,V218*(1+SV_saRate)+IF(A219&gt;=SV_effStop,0,INDEX(SV_cpfMA,R219)*INDEX(SV_cpfTot,R219)*S219))</f>
        <v/>
      </c>
      <c r="W219" s="29">
        <f>IF(OR(OR(A219&lt;1,A219&gt;SV_T),A219&gt;=SV_effNeg),0,-(INDEX(SV_cpfOA,R219)+INDEX(SV_cpfSA,R219)+INDEX(SV_cpfMA,R219))*INDEX(SV_cpfEmp,R219)*S219)</f>
        <v/>
      </c>
      <c r="X219" s="29">
        <f>IF(A219&gt;=SV_sIdx,0,T219)</f>
        <v/>
      </c>
      <c r="Y219" s="29">
        <f>IF(A219&gt;=SV_sIdx,0,U219)</f>
        <v/>
      </c>
      <c r="Z219" s="29">
        <f>IF(A219&gt;=SV_sIdx,MIN(V219,SV_maCap),V219)</f>
        <v/>
      </c>
      <c r="AA219" s="29">
        <f>IF(AND(SV_cpfOn,A219&gt;=SV_pIdx,A219&lt;=SV_T),12*SV_pay,0)</f>
        <v/>
      </c>
      <c r="AB219" s="29">
        <f>IF(A219&gt;SV_T,0,IF(SV_sp&gt;=0,IF(A219&lt;SV_sIdx,0,IF(A219=SV_sIdx,SV_R0,SV_lifeGrowth*AB218)),SV_lifeGrowth*AB218))</f>
        <v/>
      </c>
      <c r="AC219" s="29">
        <f>IF(A219&gt;SV_T,0,IF(AND(SV_sp&gt;=0,A219&lt;SV_sIdx),0,IF(AND(SV_sp&gt;=0,A219=SV_sIdx),SV_L0,SV_lifeGrowth*(AC218-AA219))))</f>
        <v/>
      </c>
      <c r="AD219" s="29">
        <f>X219+Y219+AB219+Z219+IF(AB219&lt;0,0,AC219)</f>
        <v/>
      </c>
      <c r="AE219" s="29">
        <f>AA219+W219</f>
        <v/>
      </c>
      <c r="AF219" s="29">
        <f>IF(OR(A219&gt;SV_T,A219&gt;=SV_loanYears),0,MAX(0,AF218*(1+loanRate)-SV_inst))</f>
        <v/>
      </c>
      <c r="AG219" s="29">
        <f>IF(A219&gt;SV_T,0,AG218*(1+SV_savRate)+H219+I219+J219+K219+L219+AE219)</f>
        <v/>
      </c>
      <c r="AH219" s="29">
        <f>IF(A219&gt;SV_T,0,MAX(0,O219+P219+Q219+AD219+AG219-AF219))</f>
        <v/>
      </c>
      <c r="AI219" s="29">
        <f>IF(A219&gt;SV_T,0,O219+P219+AG219-MAX(0,AF219-(Q219+AD219)))</f>
        <v/>
      </c>
      <c r="AJ219" s="29">
        <f>IF(OR(OR(A219&lt;1,A219&gt;SV_T),A219-1&gt;=SV_retPay),0,SV_retMth*12+IF(A219=1,SV_retLump,0))</f>
        <v/>
      </c>
      <c r="AK219" s="29">
        <f>IF(A219&gt;SV_T,0,(AK218+AJ219)*(1+investmentReturn))</f>
        <v/>
      </c>
      <c r="AL219" s="29">
        <f>IF(OR(OR(A219&lt;1,A219&gt;SV_T),A219-1&gt;=SV_goalPay),0,SV_goalMth*12+IF(A219=1,SV_goalLump,0))</f>
        <v/>
      </c>
      <c r="AM219" s="29">
        <f>IF(A219&gt;SV_T,0,(AM218+AL219)*(1+investmentReturn))</f>
        <v/>
      </c>
      <c r="AN219" s="29">
        <f>IF(OR(OR(A219&lt;1,A219&gt;SV_T),A219-1&gt;=SV_protPay),0,SV_protPrem)</f>
        <v/>
      </c>
      <c r="AO219" s="29">
        <f>IF(OR(A219=0,A219&gt;=SV_T),0,ROUND(MAX(0,AK219),2)+ROUND(MAX(0,AM219),2))</f>
        <v/>
      </c>
      <c r="AP219" s="29">
        <f>IF(OR(A219&lt;1,A219&gt;SV_T),0,-(AJ219+AL219+AN219)+IF(A219=SV_T,ROUND(MAX(0,AK219),2)+ROUND(MAX(0,AM219),2),0))</f>
        <v/>
      </c>
      <c r="AQ219" s="29">
        <f>IF(A219&gt;SV_T,0,AQ218*(1+SV_savRate)+H219+I219+J219+K219+L219+AE219+AP219)</f>
        <v/>
      </c>
      <c r="AR219" s="29">
        <f>IF(A219&gt;SV_T,0,MAX(0,O219+P219+Q219+AD219+AQ219+AO219-AF219))</f>
        <v/>
      </c>
      <c r="AS219" s="29">
        <f>IF(A219&gt;SV_T,0,O219+P219+AQ219+AO219-MAX(0,AF219-(Q219+AD219)))</f>
        <v/>
      </c>
    </row>
    <row r="220">
      <c r="A220" s="61" t="n">
        <v>58</v>
      </c>
      <c r="B220" s="61">
        <f>SV_age+A220</f>
        <v/>
      </c>
      <c r="C220" s="61">
        <f>currentYear+A220</f>
        <v/>
      </c>
      <c r="D220" s="52">
        <f>A220&lt;=SV_T</f>
        <v/>
      </c>
      <c r="E220" s="60">
        <f>IF(AND(SV_inflOn,A220&gt;=SV_inflS,A220&lt;=SV_inflE),1+SV_inflRate,1+inflationRate)</f>
        <v/>
      </c>
      <c r="F220" s="60">
        <f>IF(A220&lt;=1,1,F219*E220)</f>
        <v/>
      </c>
      <c r="G220" s="60">
        <f>IF(AND(SV_incOn,A220&gt;=SV_incS,A220&lt;=SV_incE),1+SV_incImp,1)</f>
        <v/>
      </c>
      <c r="H220" s="29">
        <f>IF(OR(OR(A220&lt;1,A220&gt;SV_T),A220-1&gt;=SV_salCut,AND(SV_deaOn,A220&gt;=SV_deaM)),0,SV_sal0*(1+incomeGrowthRate)^(A220-1)*G220)</f>
        <v/>
      </c>
      <c r="I220" s="29">
        <f>IF(OR(A220&lt;1,A220&gt;SV_T),0,(-SV_exp0*F220-IF(A220&lt;=SV_loanYears,SV_inst,0)-IF(AND(SV_wdAmt&gt;0,A220=SV_wdYear),SV_wdAmt,0))*IF(AND(SV_expOn,A220&gt;=SV_expS,A220&lt;=SV_expE),1+SV_expImp,1))</f>
        <v/>
      </c>
      <c r="J220" s="29">
        <f>IF(OR(A220&lt;1,A220&gt;SV_T),0,-F220*(IF(AND(SV_deaOn,A220=SV_deaM),SV_deaAmt,0)+IF(AND(SV_criOn,A220=SV_criM),SV_criAmt,0)+IF(AND(SV_tpdOn,A220=SV_tpdM),SV_tpdAmt,0)+IF(AND(SV_pacOn,A220=SV_pacM),SV_pacAmt,0)+IF(AND(SV_hosOn,A220=SV_hosM),SV_hosAmt,0)+IF(AND(SV_wedOn,A220=SV_wedM),SV_wedAmt,0)+IF(AND(SV_babOn,A220=SV_babM),SV_babAmt,0)+IF(AND(SV_ltcOn,A220&gt;=SV_ltcM,A220&lt;=SV_ltcE),SV_ltcAmt,0)))</f>
        <v/>
      </c>
      <c r="K220" s="29">
        <f>IF(OR(OR(A220&lt;1,A220&gt;SV_T),A220&gt;SV_loanYears),0,-SV_lifePremYr)</f>
        <v/>
      </c>
      <c r="L220" s="29">
        <f>IF(OR(A220&lt;1,A220&gt;SV_T),0,-SV_contrib)</f>
        <v/>
      </c>
      <c r="M220" s="60">
        <f>IF(AND(SV_crashOn,A220=SV_crashYr),SV_crashF,1)</f>
        <v/>
      </c>
      <c r="N220" s="60">
        <f>IF(AND(SV_ccyOn,A220=SV_ccyYr),SV_ccyF,1)</f>
        <v/>
      </c>
      <c r="O220" s="29">
        <f>IF(A220&gt;SV_T,0,O219*(1+interestRate)*M220*N220)</f>
        <v/>
      </c>
      <c r="P220" s="29">
        <f>IF(A220&gt;SV_T,0,(P219+SV_contrib)*(1+investmentReturn)*M220*N220)</f>
        <v/>
      </c>
      <c r="Q220" s="29">
        <f>IF(A220&gt;SV_T,0,Q219*(1+SV_propRate)*M220)</f>
        <v/>
      </c>
      <c r="R220" s="46">
        <f>MATCH(SV_age+A220-1,SV_cpfLower,1)</f>
        <v/>
      </c>
      <c r="S220" s="29">
        <f>IF(OR(OR(A220&lt;1,A220&gt;SV_T),NOT(SV_cpfOn),AND(SV_deaOn,A220&gt;=SV_deaM)),0,MIN(SV_sal0*(1+incomeGrowthRate)^(A220-1)*G220,SV_owCap))</f>
        <v/>
      </c>
      <c r="T220" s="29">
        <f>IF(A220&gt;SV_T,0,T219*(1+SV_oaRate)+IF(A220&gt;=SV_effStop,0,INDEX(SV_cpfOA,R220)*INDEX(SV_cpfTot,R220)*S220))</f>
        <v/>
      </c>
      <c r="U220" s="29">
        <f>IF(A220&gt;SV_T,0,U219*(1+SV_saRate)+IF(A220&gt;=SV_effStop,0,INDEX(SV_cpfSA,R220)*INDEX(SV_cpfTot,R220)*S220))</f>
        <v/>
      </c>
      <c r="V220" s="29">
        <f>IF(A220&gt;SV_T,0,V219*(1+SV_saRate)+IF(A220&gt;=SV_effStop,0,INDEX(SV_cpfMA,R220)*INDEX(SV_cpfTot,R220)*S220))</f>
        <v/>
      </c>
      <c r="W220" s="29">
        <f>IF(OR(OR(A220&lt;1,A220&gt;SV_T),A220&gt;=SV_effNeg),0,-(INDEX(SV_cpfOA,R220)+INDEX(SV_cpfSA,R220)+INDEX(SV_cpfMA,R220))*INDEX(SV_cpfEmp,R220)*S220)</f>
        <v/>
      </c>
      <c r="X220" s="29">
        <f>IF(A220&gt;=SV_sIdx,0,T220)</f>
        <v/>
      </c>
      <c r="Y220" s="29">
        <f>IF(A220&gt;=SV_sIdx,0,U220)</f>
        <v/>
      </c>
      <c r="Z220" s="29">
        <f>IF(A220&gt;=SV_sIdx,MIN(V220,SV_maCap),V220)</f>
        <v/>
      </c>
      <c r="AA220" s="29">
        <f>IF(AND(SV_cpfOn,A220&gt;=SV_pIdx,A220&lt;=SV_T),12*SV_pay,0)</f>
        <v/>
      </c>
      <c r="AB220" s="29">
        <f>IF(A220&gt;SV_T,0,IF(SV_sp&gt;=0,IF(A220&lt;SV_sIdx,0,IF(A220=SV_sIdx,SV_R0,SV_lifeGrowth*AB219)),SV_lifeGrowth*AB219))</f>
        <v/>
      </c>
      <c r="AC220" s="29">
        <f>IF(A220&gt;SV_T,0,IF(AND(SV_sp&gt;=0,A220&lt;SV_sIdx),0,IF(AND(SV_sp&gt;=0,A220=SV_sIdx),SV_L0,SV_lifeGrowth*(AC219-AA220))))</f>
        <v/>
      </c>
      <c r="AD220" s="29">
        <f>X220+Y220+AB220+Z220+IF(AB220&lt;0,0,AC220)</f>
        <v/>
      </c>
      <c r="AE220" s="29">
        <f>AA220+W220</f>
        <v/>
      </c>
      <c r="AF220" s="29">
        <f>IF(OR(A220&gt;SV_T,A220&gt;=SV_loanYears),0,MAX(0,AF219*(1+loanRate)-SV_inst))</f>
        <v/>
      </c>
      <c r="AG220" s="29">
        <f>IF(A220&gt;SV_T,0,AG219*(1+SV_savRate)+H220+I220+J220+K220+L220+AE220)</f>
        <v/>
      </c>
      <c r="AH220" s="29">
        <f>IF(A220&gt;SV_T,0,MAX(0,O220+P220+Q220+AD220+AG220-AF220))</f>
        <v/>
      </c>
      <c r="AI220" s="29">
        <f>IF(A220&gt;SV_T,0,O220+P220+AG220-MAX(0,AF220-(Q220+AD220)))</f>
        <v/>
      </c>
      <c r="AJ220" s="29">
        <f>IF(OR(OR(A220&lt;1,A220&gt;SV_T),A220-1&gt;=SV_retPay),0,SV_retMth*12+IF(A220=1,SV_retLump,0))</f>
        <v/>
      </c>
      <c r="AK220" s="29">
        <f>IF(A220&gt;SV_T,0,(AK219+AJ220)*(1+investmentReturn))</f>
        <v/>
      </c>
      <c r="AL220" s="29">
        <f>IF(OR(OR(A220&lt;1,A220&gt;SV_T),A220-1&gt;=SV_goalPay),0,SV_goalMth*12+IF(A220=1,SV_goalLump,0))</f>
        <v/>
      </c>
      <c r="AM220" s="29">
        <f>IF(A220&gt;SV_T,0,(AM219+AL220)*(1+investmentReturn))</f>
        <v/>
      </c>
      <c r="AN220" s="29">
        <f>IF(OR(OR(A220&lt;1,A220&gt;SV_T),A220-1&gt;=SV_protPay),0,SV_protPrem)</f>
        <v/>
      </c>
      <c r="AO220" s="29">
        <f>IF(OR(A220=0,A220&gt;=SV_T),0,ROUND(MAX(0,AK220),2)+ROUND(MAX(0,AM220),2))</f>
        <v/>
      </c>
      <c r="AP220" s="29">
        <f>IF(OR(A220&lt;1,A220&gt;SV_T),0,-(AJ220+AL220+AN220)+IF(A220=SV_T,ROUND(MAX(0,AK220),2)+ROUND(MAX(0,AM220),2),0))</f>
        <v/>
      </c>
      <c r="AQ220" s="29">
        <f>IF(A220&gt;SV_T,0,AQ219*(1+SV_savRate)+H220+I220+J220+K220+L220+AE220+AP220)</f>
        <v/>
      </c>
      <c r="AR220" s="29">
        <f>IF(A220&gt;SV_T,0,MAX(0,O220+P220+Q220+AD220+AQ220+AO220-AF220))</f>
        <v/>
      </c>
      <c r="AS220" s="29">
        <f>IF(A220&gt;SV_T,0,O220+P220+AQ220+AO220-MAX(0,AF220-(Q220+AD220)))</f>
        <v/>
      </c>
    </row>
    <row r="221">
      <c r="A221" s="61" t="n">
        <v>59</v>
      </c>
      <c r="B221" s="61">
        <f>SV_age+A221</f>
        <v/>
      </c>
      <c r="C221" s="61">
        <f>currentYear+A221</f>
        <v/>
      </c>
      <c r="D221" s="52">
        <f>A221&lt;=SV_T</f>
        <v/>
      </c>
      <c r="E221" s="60">
        <f>IF(AND(SV_inflOn,A221&gt;=SV_inflS,A221&lt;=SV_inflE),1+SV_inflRate,1+inflationRate)</f>
        <v/>
      </c>
      <c r="F221" s="60">
        <f>IF(A221&lt;=1,1,F220*E221)</f>
        <v/>
      </c>
      <c r="G221" s="60">
        <f>IF(AND(SV_incOn,A221&gt;=SV_incS,A221&lt;=SV_incE),1+SV_incImp,1)</f>
        <v/>
      </c>
      <c r="H221" s="29">
        <f>IF(OR(OR(A221&lt;1,A221&gt;SV_T),A221-1&gt;=SV_salCut,AND(SV_deaOn,A221&gt;=SV_deaM)),0,SV_sal0*(1+incomeGrowthRate)^(A221-1)*G221)</f>
        <v/>
      </c>
      <c r="I221" s="29">
        <f>IF(OR(A221&lt;1,A221&gt;SV_T),0,(-SV_exp0*F221-IF(A221&lt;=SV_loanYears,SV_inst,0)-IF(AND(SV_wdAmt&gt;0,A221=SV_wdYear),SV_wdAmt,0))*IF(AND(SV_expOn,A221&gt;=SV_expS,A221&lt;=SV_expE),1+SV_expImp,1))</f>
        <v/>
      </c>
      <c r="J221" s="29">
        <f>IF(OR(A221&lt;1,A221&gt;SV_T),0,-F221*(IF(AND(SV_deaOn,A221=SV_deaM),SV_deaAmt,0)+IF(AND(SV_criOn,A221=SV_criM),SV_criAmt,0)+IF(AND(SV_tpdOn,A221=SV_tpdM),SV_tpdAmt,0)+IF(AND(SV_pacOn,A221=SV_pacM),SV_pacAmt,0)+IF(AND(SV_hosOn,A221=SV_hosM),SV_hosAmt,0)+IF(AND(SV_wedOn,A221=SV_wedM),SV_wedAmt,0)+IF(AND(SV_babOn,A221=SV_babM),SV_babAmt,0)+IF(AND(SV_ltcOn,A221&gt;=SV_ltcM,A221&lt;=SV_ltcE),SV_ltcAmt,0)))</f>
        <v/>
      </c>
      <c r="K221" s="29">
        <f>IF(OR(OR(A221&lt;1,A221&gt;SV_T),A221&gt;SV_loanYears),0,-SV_lifePremYr)</f>
        <v/>
      </c>
      <c r="L221" s="29">
        <f>IF(OR(A221&lt;1,A221&gt;SV_T),0,-SV_contrib)</f>
        <v/>
      </c>
      <c r="M221" s="60">
        <f>IF(AND(SV_crashOn,A221=SV_crashYr),SV_crashF,1)</f>
        <v/>
      </c>
      <c r="N221" s="60">
        <f>IF(AND(SV_ccyOn,A221=SV_ccyYr),SV_ccyF,1)</f>
        <v/>
      </c>
      <c r="O221" s="29">
        <f>IF(A221&gt;SV_T,0,O220*(1+interestRate)*M221*N221)</f>
        <v/>
      </c>
      <c r="P221" s="29">
        <f>IF(A221&gt;SV_T,0,(P220+SV_contrib)*(1+investmentReturn)*M221*N221)</f>
        <v/>
      </c>
      <c r="Q221" s="29">
        <f>IF(A221&gt;SV_T,0,Q220*(1+SV_propRate)*M221)</f>
        <v/>
      </c>
      <c r="R221" s="46">
        <f>MATCH(SV_age+A221-1,SV_cpfLower,1)</f>
        <v/>
      </c>
      <c r="S221" s="29">
        <f>IF(OR(OR(A221&lt;1,A221&gt;SV_T),NOT(SV_cpfOn),AND(SV_deaOn,A221&gt;=SV_deaM)),0,MIN(SV_sal0*(1+incomeGrowthRate)^(A221-1)*G221,SV_owCap))</f>
        <v/>
      </c>
      <c r="T221" s="29">
        <f>IF(A221&gt;SV_T,0,T220*(1+SV_oaRate)+IF(A221&gt;=SV_effStop,0,INDEX(SV_cpfOA,R221)*INDEX(SV_cpfTot,R221)*S221))</f>
        <v/>
      </c>
      <c r="U221" s="29">
        <f>IF(A221&gt;SV_T,0,U220*(1+SV_saRate)+IF(A221&gt;=SV_effStop,0,INDEX(SV_cpfSA,R221)*INDEX(SV_cpfTot,R221)*S221))</f>
        <v/>
      </c>
      <c r="V221" s="29">
        <f>IF(A221&gt;SV_T,0,V220*(1+SV_saRate)+IF(A221&gt;=SV_effStop,0,INDEX(SV_cpfMA,R221)*INDEX(SV_cpfTot,R221)*S221))</f>
        <v/>
      </c>
      <c r="W221" s="29">
        <f>IF(OR(OR(A221&lt;1,A221&gt;SV_T),A221&gt;=SV_effNeg),0,-(INDEX(SV_cpfOA,R221)+INDEX(SV_cpfSA,R221)+INDEX(SV_cpfMA,R221))*INDEX(SV_cpfEmp,R221)*S221)</f>
        <v/>
      </c>
      <c r="X221" s="29">
        <f>IF(A221&gt;=SV_sIdx,0,T221)</f>
        <v/>
      </c>
      <c r="Y221" s="29">
        <f>IF(A221&gt;=SV_sIdx,0,U221)</f>
        <v/>
      </c>
      <c r="Z221" s="29">
        <f>IF(A221&gt;=SV_sIdx,MIN(V221,SV_maCap),V221)</f>
        <v/>
      </c>
      <c r="AA221" s="29">
        <f>IF(AND(SV_cpfOn,A221&gt;=SV_pIdx,A221&lt;=SV_T),12*SV_pay,0)</f>
        <v/>
      </c>
      <c r="AB221" s="29">
        <f>IF(A221&gt;SV_T,0,IF(SV_sp&gt;=0,IF(A221&lt;SV_sIdx,0,IF(A221=SV_sIdx,SV_R0,SV_lifeGrowth*AB220)),SV_lifeGrowth*AB220))</f>
        <v/>
      </c>
      <c r="AC221" s="29">
        <f>IF(A221&gt;SV_T,0,IF(AND(SV_sp&gt;=0,A221&lt;SV_sIdx),0,IF(AND(SV_sp&gt;=0,A221=SV_sIdx),SV_L0,SV_lifeGrowth*(AC220-AA221))))</f>
        <v/>
      </c>
      <c r="AD221" s="29">
        <f>X221+Y221+AB221+Z221+IF(AB221&lt;0,0,AC221)</f>
        <v/>
      </c>
      <c r="AE221" s="29">
        <f>AA221+W221</f>
        <v/>
      </c>
      <c r="AF221" s="29">
        <f>IF(OR(A221&gt;SV_T,A221&gt;=SV_loanYears),0,MAX(0,AF220*(1+loanRate)-SV_inst))</f>
        <v/>
      </c>
      <c r="AG221" s="29">
        <f>IF(A221&gt;SV_T,0,AG220*(1+SV_savRate)+H221+I221+J221+K221+L221+AE221)</f>
        <v/>
      </c>
      <c r="AH221" s="29">
        <f>IF(A221&gt;SV_T,0,MAX(0,O221+P221+Q221+AD221+AG221-AF221))</f>
        <v/>
      </c>
      <c r="AI221" s="29">
        <f>IF(A221&gt;SV_T,0,O221+P221+AG221-MAX(0,AF221-(Q221+AD221)))</f>
        <v/>
      </c>
      <c r="AJ221" s="29">
        <f>IF(OR(OR(A221&lt;1,A221&gt;SV_T),A221-1&gt;=SV_retPay),0,SV_retMth*12+IF(A221=1,SV_retLump,0))</f>
        <v/>
      </c>
      <c r="AK221" s="29">
        <f>IF(A221&gt;SV_T,0,(AK220+AJ221)*(1+investmentReturn))</f>
        <v/>
      </c>
      <c r="AL221" s="29">
        <f>IF(OR(OR(A221&lt;1,A221&gt;SV_T),A221-1&gt;=SV_goalPay),0,SV_goalMth*12+IF(A221=1,SV_goalLump,0))</f>
        <v/>
      </c>
      <c r="AM221" s="29">
        <f>IF(A221&gt;SV_T,0,(AM220+AL221)*(1+investmentReturn))</f>
        <v/>
      </c>
      <c r="AN221" s="29">
        <f>IF(OR(OR(A221&lt;1,A221&gt;SV_T),A221-1&gt;=SV_protPay),0,SV_protPrem)</f>
        <v/>
      </c>
      <c r="AO221" s="29">
        <f>IF(OR(A221=0,A221&gt;=SV_T),0,ROUND(MAX(0,AK221),2)+ROUND(MAX(0,AM221),2))</f>
        <v/>
      </c>
      <c r="AP221" s="29">
        <f>IF(OR(A221&lt;1,A221&gt;SV_T),0,-(AJ221+AL221+AN221)+IF(A221=SV_T,ROUND(MAX(0,AK221),2)+ROUND(MAX(0,AM221),2),0))</f>
        <v/>
      </c>
      <c r="AQ221" s="29">
        <f>IF(A221&gt;SV_T,0,AQ220*(1+SV_savRate)+H221+I221+J221+K221+L221+AE221+AP221)</f>
        <v/>
      </c>
      <c r="AR221" s="29">
        <f>IF(A221&gt;SV_T,0,MAX(0,O221+P221+Q221+AD221+AQ221+AO221-AF221))</f>
        <v/>
      </c>
      <c r="AS221" s="29">
        <f>IF(A221&gt;SV_T,0,O221+P221+AQ221+AO221-MAX(0,AF221-(Q221+AD221)))</f>
        <v/>
      </c>
    </row>
    <row r="222">
      <c r="A222" s="61" t="n">
        <v>60</v>
      </c>
      <c r="B222" s="61">
        <f>SV_age+A222</f>
        <v/>
      </c>
      <c r="C222" s="61">
        <f>currentYear+A222</f>
        <v/>
      </c>
      <c r="D222" s="52">
        <f>A222&lt;=SV_T</f>
        <v/>
      </c>
      <c r="E222" s="60">
        <f>IF(AND(SV_inflOn,A222&gt;=SV_inflS,A222&lt;=SV_inflE),1+SV_inflRate,1+inflationRate)</f>
        <v/>
      </c>
      <c r="F222" s="60">
        <f>IF(A222&lt;=1,1,F221*E222)</f>
        <v/>
      </c>
      <c r="G222" s="60">
        <f>IF(AND(SV_incOn,A222&gt;=SV_incS,A222&lt;=SV_incE),1+SV_incImp,1)</f>
        <v/>
      </c>
      <c r="H222" s="29">
        <f>IF(OR(OR(A222&lt;1,A222&gt;SV_T),A222-1&gt;=SV_salCut,AND(SV_deaOn,A222&gt;=SV_deaM)),0,SV_sal0*(1+incomeGrowthRate)^(A222-1)*G222)</f>
        <v/>
      </c>
      <c r="I222" s="29">
        <f>IF(OR(A222&lt;1,A222&gt;SV_T),0,(-SV_exp0*F222-IF(A222&lt;=SV_loanYears,SV_inst,0)-IF(AND(SV_wdAmt&gt;0,A222=SV_wdYear),SV_wdAmt,0))*IF(AND(SV_expOn,A222&gt;=SV_expS,A222&lt;=SV_expE),1+SV_expImp,1))</f>
        <v/>
      </c>
      <c r="J222" s="29">
        <f>IF(OR(A222&lt;1,A222&gt;SV_T),0,-F222*(IF(AND(SV_deaOn,A222=SV_deaM),SV_deaAmt,0)+IF(AND(SV_criOn,A222=SV_criM),SV_criAmt,0)+IF(AND(SV_tpdOn,A222=SV_tpdM),SV_tpdAmt,0)+IF(AND(SV_pacOn,A222=SV_pacM),SV_pacAmt,0)+IF(AND(SV_hosOn,A222=SV_hosM),SV_hosAmt,0)+IF(AND(SV_wedOn,A222=SV_wedM),SV_wedAmt,0)+IF(AND(SV_babOn,A222=SV_babM),SV_babAmt,0)+IF(AND(SV_ltcOn,A222&gt;=SV_ltcM,A222&lt;=SV_ltcE),SV_ltcAmt,0)))</f>
        <v/>
      </c>
      <c r="K222" s="29">
        <f>IF(OR(OR(A222&lt;1,A222&gt;SV_T),A222&gt;SV_loanYears),0,-SV_lifePremYr)</f>
        <v/>
      </c>
      <c r="L222" s="29">
        <f>IF(OR(A222&lt;1,A222&gt;SV_T),0,-SV_contrib)</f>
        <v/>
      </c>
      <c r="M222" s="60">
        <f>IF(AND(SV_crashOn,A222=SV_crashYr),SV_crashF,1)</f>
        <v/>
      </c>
      <c r="N222" s="60">
        <f>IF(AND(SV_ccyOn,A222=SV_ccyYr),SV_ccyF,1)</f>
        <v/>
      </c>
      <c r="O222" s="29">
        <f>IF(A222&gt;SV_T,0,O221*(1+interestRate)*M222*N222)</f>
        <v/>
      </c>
      <c r="P222" s="29">
        <f>IF(A222&gt;SV_T,0,(P221+SV_contrib)*(1+investmentReturn)*M222*N222)</f>
        <v/>
      </c>
      <c r="Q222" s="29">
        <f>IF(A222&gt;SV_T,0,Q221*(1+SV_propRate)*M222)</f>
        <v/>
      </c>
      <c r="R222" s="46">
        <f>MATCH(SV_age+A222-1,SV_cpfLower,1)</f>
        <v/>
      </c>
      <c r="S222" s="29">
        <f>IF(OR(OR(A222&lt;1,A222&gt;SV_T),NOT(SV_cpfOn),AND(SV_deaOn,A222&gt;=SV_deaM)),0,MIN(SV_sal0*(1+incomeGrowthRate)^(A222-1)*G222,SV_owCap))</f>
        <v/>
      </c>
      <c r="T222" s="29">
        <f>IF(A222&gt;SV_T,0,T221*(1+SV_oaRate)+IF(A222&gt;=SV_effStop,0,INDEX(SV_cpfOA,R222)*INDEX(SV_cpfTot,R222)*S222))</f>
        <v/>
      </c>
      <c r="U222" s="29">
        <f>IF(A222&gt;SV_T,0,U221*(1+SV_saRate)+IF(A222&gt;=SV_effStop,0,INDEX(SV_cpfSA,R222)*INDEX(SV_cpfTot,R222)*S222))</f>
        <v/>
      </c>
      <c r="V222" s="29">
        <f>IF(A222&gt;SV_T,0,V221*(1+SV_saRate)+IF(A222&gt;=SV_effStop,0,INDEX(SV_cpfMA,R222)*INDEX(SV_cpfTot,R222)*S222))</f>
        <v/>
      </c>
      <c r="W222" s="29">
        <f>IF(OR(OR(A222&lt;1,A222&gt;SV_T),A222&gt;=SV_effNeg),0,-(INDEX(SV_cpfOA,R222)+INDEX(SV_cpfSA,R222)+INDEX(SV_cpfMA,R222))*INDEX(SV_cpfEmp,R222)*S222)</f>
        <v/>
      </c>
      <c r="X222" s="29">
        <f>IF(A222&gt;=SV_sIdx,0,T222)</f>
        <v/>
      </c>
      <c r="Y222" s="29">
        <f>IF(A222&gt;=SV_sIdx,0,U222)</f>
        <v/>
      </c>
      <c r="Z222" s="29">
        <f>IF(A222&gt;=SV_sIdx,MIN(V222,SV_maCap),V222)</f>
        <v/>
      </c>
      <c r="AA222" s="29">
        <f>IF(AND(SV_cpfOn,A222&gt;=SV_pIdx,A222&lt;=SV_T),12*SV_pay,0)</f>
        <v/>
      </c>
      <c r="AB222" s="29">
        <f>IF(A222&gt;SV_T,0,IF(SV_sp&gt;=0,IF(A222&lt;SV_sIdx,0,IF(A222=SV_sIdx,SV_R0,SV_lifeGrowth*AB221)),SV_lifeGrowth*AB221))</f>
        <v/>
      </c>
      <c r="AC222" s="29">
        <f>IF(A222&gt;SV_T,0,IF(AND(SV_sp&gt;=0,A222&lt;SV_sIdx),0,IF(AND(SV_sp&gt;=0,A222=SV_sIdx),SV_L0,SV_lifeGrowth*(AC221-AA222))))</f>
        <v/>
      </c>
      <c r="AD222" s="29">
        <f>X222+Y222+AB222+Z222+IF(AB222&lt;0,0,AC222)</f>
        <v/>
      </c>
      <c r="AE222" s="29">
        <f>AA222+W222</f>
        <v/>
      </c>
      <c r="AF222" s="29">
        <f>IF(OR(A222&gt;SV_T,A222&gt;=SV_loanYears),0,MAX(0,AF221*(1+loanRate)-SV_inst))</f>
        <v/>
      </c>
      <c r="AG222" s="29">
        <f>IF(A222&gt;SV_T,0,AG221*(1+SV_savRate)+H222+I222+J222+K222+L222+AE222)</f>
        <v/>
      </c>
      <c r="AH222" s="29">
        <f>IF(A222&gt;SV_T,0,MAX(0,O222+P222+Q222+AD222+AG222-AF222))</f>
        <v/>
      </c>
      <c r="AI222" s="29">
        <f>IF(A222&gt;SV_T,0,O222+P222+AG222-MAX(0,AF222-(Q222+AD222)))</f>
        <v/>
      </c>
      <c r="AJ222" s="29">
        <f>IF(OR(OR(A222&lt;1,A222&gt;SV_T),A222-1&gt;=SV_retPay),0,SV_retMth*12+IF(A222=1,SV_retLump,0))</f>
        <v/>
      </c>
      <c r="AK222" s="29">
        <f>IF(A222&gt;SV_T,0,(AK221+AJ222)*(1+investmentReturn))</f>
        <v/>
      </c>
      <c r="AL222" s="29">
        <f>IF(OR(OR(A222&lt;1,A222&gt;SV_T),A222-1&gt;=SV_goalPay),0,SV_goalMth*12+IF(A222=1,SV_goalLump,0))</f>
        <v/>
      </c>
      <c r="AM222" s="29">
        <f>IF(A222&gt;SV_T,0,(AM221+AL222)*(1+investmentReturn))</f>
        <v/>
      </c>
      <c r="AN222" s="29">
        <f>IF(OR(OR(A222&lt;1,A222&gt;SV_T),A222-1&gt;=SV_protPay),0,SV_protPrem)</f>
        <v/>
      </c>
      <c r="AO222" s="29">
        <f>IF(OR(A222=0,A222&gt;=SV_T),0,ROUND(MAX(0,AK222),2)+ROUND(MAX(0,AM222),2))</f>
        <v/>
      </c>
      <c r="AP222" s="29">
        <f>IF(OR(A222&lt;1,A222&gt;SV_T),0,-(AJ222+AL222+AN222)+IF(A222=SV_T,ROUND(MAX(0,AK222),2)+ROUND(MAX(0,AM222),2),0))</f>
        <v/>
      </c>
      <c r="AQ222" s="29">
        <f>IF(A222&gt;SV_T,0,AQ221*(1+SV_savRate)+H222+I222+J222+K222+L222+AE222+AP222)</f>
        <v/>
      </c>
      <c r="AR222" s="29">
        <f>IF(A222&gt;SV_T,0,MAX(0,O222+P222+Q222+AD222+AQ222+AO222-AF222))</f>
        <v/>
      </c>
      <c r="AS222" s="29">
        <f>IF(A222&gt;SV_T,0,O222+P222+AQ222+AO222-MAX(0,AF222-(Q222+AD222)))</f>
        <v/>
      </c>
    </row>
    <row r="223">
      <c r="A223" s="61" t="n">
        <v>61</v>
      </c>
      <c r="B223" s="61">
        <f>SV_age+A223</f>
        <v/>
      </c>
      <c r="C223" s="61">
        <f>currentYear+A223</f>
        <v/>
      </c>
      <c r="D223" s="52">
        <f>A223&lt;=SV_T</f>
        <v/>
      </c>
      <c r="E223" s="60">
        <f>IF(AND(SV_inflOn,A223&gt;=SV_inflS,A223&lt;=SV_inflE),1+SV_inflRate,1+inflationRate)</f>
        <v/>
      </c>
      <c r="F223" s="60">
        <f>IF(A223&lt;=1,1,F222*E223)</f>
        <v/>
      </c>
      <c r="G223" s="60">
        <f>IF(AND(SV_incOn,A223&gt;=SV_incS,A223&lt;=SV_incE),1+SV_incImp,1)</f>
        <v/>
      </c>
      <c r="H223" s="29">
        <f>IF(OR(OR(A223&lt;1,A223&gt;SV_T),A223-1&gt;=SV_salCut,AND(SV_deaOn,A223&gt;=SV_deaM)),0,SV_sal0*(1+incomeGrowthRate)^(A223-1)*G223)</f>
        <v/>
      </c>
      <c r="I223" s="29">
        <f>IF(OR(A223&lt;1,A223&gt;SV_T),0,(-SV_exp0*F223-IF(A223&lt;=SV_loanYears,SV_inst,0)-IF(AND(SV_wdAmt&gt;0,A223=SV_wdYear),SV_wdAmt,0))*IF(AND(SV_expOn,A223&gt;=SV_expS,A223&lt;=SV_expE),1+SV_expImp,1))</f>
        <v/>
      </c>
      <c r="J223" s="29">
        <f>IF(OR(A223&lt;1,A223&gt;SV_T),0,-F223*(IF(AND(SV_deaOn,A223=SV_deaM),SV_deaAmt,0)+IF(AND(SV_criOn,A223=SV_criM),SV_criAmt,0)+IF(AND(SV_tpdOn,A223=SV_tpdM),SV_tpdAmt,0)+IF(AND(SV_pacOn,A223=SV_pacM),SV_pacAmt,0)+IF(AND(SV_hosOn,A223=SV_hosM),SV_hosAmt,0)+IF(AND(SV_wedOn,A223=SV_wedM),SV_wedAmt,0)+IF(AND(SV_babOn,A223=SV_babM),SV_babAmt,0)+IF(AND(SV_ltcOn,A223&gt;=SV_ltcM,A223&lt;=SV_ltcE),SV_ltcAmt,0)))</f>
        <v/>
      </c>
      <c r="K223" s="29">
        <f>IF(OR(OR(A223&lt;1,A223&gt;SV_T),A223&gt;SV_loanYears),0,-SV_lifePremYr)</f>
        <v/>
      </c>
      <c r="L223" s="29">
        <f>IF(OR(A223&lt;1,A223&gt;SV_T),0,-SV_contrib)</f>
        <v/>
      </c>
      <c r="M223" s="60">
        <f>IF(AND(SV_crashOn,A223=SV_crashYr),SV_crashF,1)</f>
        <v/>
      </c>
      <c r="N223" s="60">
        <f>IF(AND(SV_ccyOn,A223=SV_ccyYr),SV_ccyF,1)</f>
        <v/>
      </c>
      <c r="O223" s="29">
        <f>IF(A223&gt;SV_T,0,O222*(1+interestRate)*M223*N223)</f>
        <v/>
      </c>
      <c r="P223" s="29">
        <f>IF(A223&gt;SV_T,0,(P222+SV_contrib)*(1+investmentReturn)*M223*N223)</f>
        <v/>
      </c>
      <c r="Q223" s="29">
        <f>IF(A223&gt;SV_T,0,Q222*(1+SV_propRate)*M223)</f>
        <v/>
      </c>
      <c r="R223" s="46">
        <f>MATCH(SV_age+A223-1,SV_cpfLower,1)</f>
        <v/>
      </c>
      <c r="S223" s="29">
        <f>IF(OR(OR(A223&lt;1,A223&gt;SV_T),NOT(SV_cpfOn),AND(SV_deaOn,A223&gt;=SV_deaM)),0,MIN(SV_sal0*(1+incomeGrowthRate)^(A223-1)*G223,SV_owCap))</f>
        <v/>
      </c>
      <c r="T223" s="29">
        <f>IF(A223&gt;SV_T,0,T222*(1+SV_oaRate)+IF(A223&gt;=SV_effStop,0,INDEX(SV_cpfOA,R223)*INDEX(SV_cpfTot,R223)*S223))</f>
        <v/>
      </c>
      <c r="U223" s="29">
        <f>IF(A223&gt;SV_T,0,U222*(1+SV_saRate)+IF(A223&gt;=SV_effStop,0,INDEX(SV_cpfSA,R223)*INDEX(SV_cpfTot,R223)*S223))</f>
        <v/>
      </c>
      <c r="V223" s="29">
        <f>IF(A223&gt;SV_T,0,V222*(1+SV_saRate)+IF(A223&gt;=SV_effStop,0,INDEX(SV_cpfMA,R223)*INDEX(SV_cpfTot,R223)*S223))</f>
        <v/>
      </c>
      <c r="W223" s="29">
        <f>IF(OR(OR(A223&lt;1,A223&gt;SV_T),A223&gt;=SV_effNeg),0,-(INDEX(SV_cpfOA,R223)+INDEX(SV_cpfSA,R223)+INDEX(SV_cpfMA,R223))*INDEX(SV_cpfEmp,R223)*S223)</f>
        <v/>
      </c>
      <c r="X223" s="29">
        <f>IF(A223&gt;=SV_sIdx,0,T223)</f>
        <v/>
      </c>
      <c r="Y223" s="29">
        <f>IF(A223&gt;=SV_sIdx,0,U223)</f>
        <v/>
      </c>
      <c r="Z223" s="29">
        <f>IF(A223&gt;=SV_sIdx,MIN(V223,SV_maCap),V223)</f>
        <v/>
      </c>
      <c r="AA223" s="29">
        <f>IF(AND(SV_cpfOn,A223&gt;=SV_pIdx,A223&lt;=SV_T),12*SV_pay,0)</f>
        <v/>
      </c>
      <c r="AB223" s="29">
        <f>IF(A223&gt;SV_T,0,IF(SV_sp&gt;=0,IF(A223&lt;SV_sIdx,0,IF(A223=SV_sIdx,SV_R0,SV_lifeGrowth*AB222)),SV_lifeGrowth*AB222))</f>
        <v/>
      </c>
      <c r="AC223" s="29">
        <f>IF(A223&gt;SV_T,0,IF(AND(SV_sp&gt;=0,A223&lt;SV_sIdx),0,IF(AND(SV_sp&gt;=0,A223=SV_sIdx),SV_L0,SV_lifeGrowth*(AC222-AA223))))</f>
        <v/>
      </c>
      <c r="AD223" s="29">
        <f>X223+Y223+AB223+Z223+IF(AB223&lt;0,0,AC223)</f>
        <v/>
      </c>
      <c r="AE223" s="29">
        <f>AA223+W223</f>
        <v/>
      </c>
      <c r="AF223" s="29">
        <f>IF(OR(A223&gt;SV_T,A223&gt;=SV_loanYears),0,MAX(0,AF222*(1+loanRate)-SV_inst))</f>
        <v/>
      </c>
      <c r="AG223" s="29">
        <f>IF(A223&gt;SV_T,0,AG222*(1+SV_savRate)+H223+I223+J223+K223+L223+AE223)</f>
        <v/>
      </c>
      <c r="AH223" s="29">
        <f>IF(A223&gt;SV_T,0,MAX(0,O223+P223+Q223+AD223+AG223-AF223))</f>
        <v/>
      </c>
      <c r="AI223" s="29">
        <f>IF(A223&gt;SV_T,0,O223+P223+AG223-MAX(0,AF223-(Q223+AD223)))</f>
        <v/>
      </c>
      <c r="AJ223" s="29">
        <f>IF(OR(OR(A223&lt;1,A223&gt;SV_T),A223-1&gt;=SV_retPay),0,SV_retMth*12+IF(A223=1,SV_retLump,0))</f>
        <v/>
      </c>
      <c r="AK223" s="29">
        <f>IF(A223&gt;SV_T,0,(AK222+AJ223)*(1+investmentReturn))</f>
        <v/>
      </c>
      <c r="AL223" s="29">
        <f>IF(OR(OR(A223&lt;1,A223&gt;SV_T),A223-1&gt;=SV_goalPay),0,SV_goalMth*12+IF(A223=1,SV_goalLump,0))</f>
        <v/>
      </c>
      <c r="AM223" s="29">
        <f>IF(A223&gt;SV_T,0,(AM222+AL223)*(1+investmentReturn))</f>
        <v/>
      </c>
      <c r="AN223" s="29">
        <f>IF(OR(OR(A223&lt;1,A223&gt;SV_T),A223-1&gt;=SV_protPay),0,SV_protPrem)</f>
        <v/>
      </c>
      <c r="AO223" s="29">
        <f>IF(OR(A223=0,A223&gt;=SV_T),0,ROUND(MAX(0,AK223),2)+ROUND(MAX(0,AM223),2))</f>
        <v/>
      </c>
      <c r="AP223" s="29">
        <f>IF(OR(A223&lt;1,A223&gt;SV_T),0,-(AJ223+AL223+AN223)+IF(A223=SV_T,ROUND(MAX(0,AK223),2)+ROUND(MAX(0,AM223),2),0))</f>
        <v/>
      </c>
      <c r="AQ223" s="29">
        <f>IF(A223&gt;SV_T,0,AQ222*(1+SV_savRate)+H223+I223+J223+K223+L223+AE223+AP223)</f>
        <v/>
      </c>
      <c r="AR223" s="29">
        <f>IF(A223&gt;SV_T,0,MAX(0,O223+P223+Q223+AD223+AQ223+AO223-AF223))</f>
        <v/>
      </c>
      <c r="AS223" s="29">
        <f>IF(A223&gt;SV_T,0,O223+P223+AQ223+AO223-MAX(0,AF223-(Q223+AD223)))</f>
        <v/>
      </c>
    </row>
    <row r="224">
      <c r="A224" s="61" t="n">
        <v>62</v>
      </c>
      <c r="B224" s="61">
        <f>SV_age+A224</f>
        <v/>
      </c>
      <c r="C224" s="61">
        <f>currentYear+A224</f>
        <v/>
      </c>
      <c r="D224" s="52">
        <f>A224&lt;=SV_T</f>
        <v/>
      </c>
      <c r="E224" s="60">
        <f>IF(AND(SV_inflOn,A224&gt;=SV_inflS,A224&lt;=SV_inflE),1+SV_inflRate,1+inflationRate)</f>
        <v/>
      </c>
      <c r="F224" s="60">
        <f>IF(A224&lt;=1,1,F223*E224)</f>
        <v/>
      </c>
      <c r="G224" s="60">
        <f>IF(AND(SV_incOn,A224&gt;=SV_incS,A224&lt;=SV_incE),1+SV_incImp,1)</f>
        <v/>
      </c>
      <c r="H224" s="29">
        <f>IF(OR(OR(A224&lt;1,A224&gt;SV_T),A224-1&gt;=SV_salCut,AND(SV_deaOn,A224&gt;=SV_deaM)),0,SV_sal0*(1+incomeGrowthRate)^(A224-1)*G224)</f>
        <v/>
      </c>
      <c r="I224" s="29">
        <f>IF(OR(A224&lt;1,A224&gt;SV_T),0,(-SV_exp0*F224-IF(A224&lt;=SV_loanYears,SV_inst,0)-IF(AND(SV_wdAmt&gt;0,A224=SV_wdYear),SV_wdAmt,0))*IF(AND(SV_expOn,A224&gt;=SV_expS,A224&lt;=SV_expE),1+SV_expImp,1))</f>
        <v/>
      </c>
      <c r="J224" s="29">
        <f>IF(OR(A224&lt;1,A224&gt;SV_T),0,-F224*(IF(AND(SV_deaOn,A224=SV_deaM),SV_deaAmt,0)+IF(AND(SV_criOn,A224=SV_criM),SV_criAmt,0)+IF(AND(SV_tpdOn,A224=SV_tpdM),SV_tpdAmt,0)+IF(AND(SV_pacOn,A224=SV_pacM),SV_pacAmt,0)+IF(AND(SV_hosOn,A224=SV_hosM),SV_hosAmt,0)+IF(AND(SV_wedOn,A224=SV_wedM),SV_wedAmt,0)+IF(AND(SV_babOn,A224=SV_babM),SV_babAmt,0)+IF(AND(SV_ltcOn,A224&gt;=SV_ltcM,A224&lt;=SV_ltcE),SV_ltcAmt,0)))</f>
        <v/>
      </c>
      <c r="K224" s="29">
        <f>IF(OR(OR(A224&lt;1,A224&gt;SV_T),A224&gt;SV_loanYears),0,-SV_lifePremYr)</f>
        <v/>
      </c>
      <c r="L224" s="29">
        <f>IF(OR(A224&lt;1,A224&gt;SV_T),0,-SV_contrib)</f>
        <v/>
      </c>
      <c r="M224" s="60">
        <f>IF(AND(SV_crashOn,A224=SV_crashYr),SV_crashF,1)</f>
        <v/>
      </c>
      <c r="N224" s="60">
        <f>IF(AND(SV_ccyOn,A224=SV_ccyYr),SV_ccyF,1)</f>
        <v/>
      </c>
      <c r="O224" s="29">
        <f>IF(A224&gt;SV_T,0,O223*(1+interestRate)*M224*N224)</f>
        <v/>
      </c>
      <c r="P224" s="29">
        <f>IF(A224&gt;SV_T,0,(P223+SV_contrib)*(1+investmentReturn)*M224*N224)</f>
        <v/>
      </c>
      <c r="Q224" s="29">
        <f>IF(A224&gt;SV_T,0,Q223*(1+SV_propRate)*M224)</f>
        <v/>
      </c>
      <c r="R224" s="46">
        <f>MATCH(SV_age+A224-1,SV_cpfLower,1)</f>
        <v/>
      </c>
      <c r="S224" s="29">
        <f>IF(OR(OR(A224&lt;1,A224&gt;SV_T),NOT(SV_cpfOn),AND(SV_deaOn,A224&gt;=SV_deaM)),0,MIN(SV_sal0*(1+incomeGrowthRate)^(A224-1)*G224,SV_owCap))</f>
        <v/>
      </c>
      <c r="T224" s="29">
        <f>IF(A224&gt;SV_T,0,T223*(1+SV_oaRate)+IF(A224&gt;=SV_effStop,0,INDEX(SV_cpfOA,R224)*INDEX(SV_cpfTot,R224)*S224))</f>
        <v/>
      </c>
      <c r="U224" s="29">
        <f>IF(A224&gt;SV_T,0,U223*(1+SV_saRate)+IF(A224&gt;=SV_effStop,0,INDEX(SV_cpfSA,R224)*INDEX(SV_cpfTot,R224)*S224))</f>
        <v/>
      </c>
      <c r="V224" s="29">
        <f>IF(A224&gt;SV_T,0,V223*(1+SV_saRate)+IF(A224&gt;=SV_effStop,0,INDEX(SV_cpfMA,R224)*INDEX(SV_cpfTot,R224)*S224))</f>
        <v/>
      </c>
      <c r="W224" s="29">
        <f>IF(OR(OR(A224&lt;1,A224&gt;SV_T),A224&gt;=SV_effNeg),0,-(INDEX(SV_cpfOA,R224)+INDEX(SV_cpfSA,R224)+INDEX(SV_cpfMA,R224))*INDEX(SV_cpfEmp,R224)*S224)</f>
        <v/>
      </c>
      <c r="X224" s="29">
        <f>IF(A224&gt;=SV_sIdx,0,T224)</f>
        <v/>
      </c>
      <c r="Y224" s="29">
        <f>IF(A224&gt;=SV_sIdx,0,U224)</f>
        <v/>
      </c>
      <c r="Z224" s="29">
        <f>IF(A224&gt;=SV_sIdx,MIN(V224,SV_maCap),V224)</f>
        <v/>
      </c>
      <c r="AA224" s="29">
        <f>IF(AND(SV_cpfOn,A224&gt;=SV_pIdx,A224&lt;=SV_T),12*SV_pay,0)</f>
        <v/>
      </c>
      <c r="AB224" s="29">
        <f>IF(A224&gt;SV_T,0,IF(SV_sp&gt;=0,IF(A224&lt;SV_sIdx,0,IF(A224=SV_sIdx,SV_R0,SV_lifeGrowth*AB223)),SV_lifeGrowth*AB223))</f>
        <v/>
      </c>
      <c r="AC224" s="29">
        <f>IF(A224&gt;SV_T,0,IF(AND(SV_sp&gt;=0,A224&lt;SV_sIdx),0,IF(AND(SV_sp&gt;=0,A224=SV_sIdx),SV_L0,SV_lifeGrowth*(AC223-AA224))))</f>
        <v/>
      </c>
      <c r="AD224" s="29">
        <f>X224+Y224+AB224+Z224+IF(AB224&lt;0,0,AC224)</f>
        <v/>
      </c>
      <c r="AE224" s="29">
        <f>AA224+W224</f>
        <v/>
      </c>
      <c r="AF224" s="29">
        <f>IF(OR(A224&gt;SV_T,A224&gt;=SV_loanYears),0,MAX(0,AF223*(1+loanRate)-SV_inst))</f>
        <v/>
      </c>
      <c r="AG224" s="29">
        <f>IF(A224&gt;SV_T,0,AG223*(1+SV_savRate)+H224+I224+J224+K224+L224+AE224)</f>
        <v/>
      </c>
      <c r="AH224" s="29">
        <f>IF(A224&gt;SV_T,0,MAX(0,O224+P224+Q224+AD224+AG224-AF224))</f>
        <v/>
      </c>
      <c r="AI224" s="29">
        <f>IF(A224&gt;SV_T,0,O224+P224+AG224-MAX(0,AF224-(Q224+AD224)))</f>
        <v/>
      </c>
      <c r="AJ224" s="29">
        <f>IF(OR(OR(A224&lt;1,A224&gt;SV_T),A224-1&gt;=SV_retPay),0,SV_retMth*12+IF(A224=1,SV_retLump,0))</f>
        <v/>
      </c>
      <c r="AK224" s="29">
        <f>IF(A224&gt;SV_T,0,(AK223+AJ224)*(1+investmentReturn))</f>
        <v/>
      </c>
      <c r="AL224" s="29">
        <f>IF(OR(OR(A224&lt;1,A224&gt;SV_T),A224-1&gt;=SV_goalPay),0,SV_goalMth*12+IF(A224=1,SV_goalLump,0))</f>
        <v/>
      </c>
      <c r="AM224" s="29">
        <f>IF(A224&gt;SV_T,0,(AM223+AL224)*(1+investmentReturn))</f>
        <v/>
      </c>
      <c r="AN224" s="29">
        <f>IF(OR(OR(A224&lt;1,A224&gt;SV_T),A224-1&gt;=SV_protPay),0,SV_protPrem)</f>
        <v/>
      </c>
      <c r="AO224" s="29">
        <f>IF(OR(A224=0,A224&gt;=SV_T),0,ROUND(MAX(0,AK224),2)+ROUND(MAX(0,AM224),2))</f>
        <v/>
      </c>
      <c r="AP224" s="29">
        <f>IF(OR(A224&lt;1,A224&gt;SV_T),0,-(AJ224+AL224+AN224)+IF(A224=SV_T,ROUND(MAX(0,AK224),2)+ROUND(MAX(0,AM224),2),0))</f>
        <v/>
      </c>
      <c r="AQ224" s="29">
        <f>IF(A224&gt;SV_T,0,AQ223*(1+SV_savRate)+H224+I224+J224+K224+L224+AE224+AP224)</f>
        <v/>
      </c>
      <c r="AR224" s="29">
        <f>IF(A224&gt;SV_T,0,MAX(0,O224+P224+Q224+AD224+AQ224+AO224-AF224))</f>
        <v/>
      </c>
      <c r="AS224" s="29">
        <f>IF(A224&gt;SV_T,0,O224+P224+AQ224+AO224-MAX(0,AF224-(Q224+AD224)))</f>
        <v/>
      </c>
    </row>
    <row r="225">
      <c r="A225" s="61" t="n">
        <v>63</v>
      </c>
      <c r="B225" s="61">
        <f>SV_age+A225</f>
        <v/>
      </c>
      <c r="C225" s="61">
        <f>currentYear+A225</f>
        <v/>
      </c>
      <c r="D225" s="52">
        <f>A225&lt;=SV_T</f>
        <v/>
      </c>
      <c r="E225" s="60">
        <f>IF(AND(SV_inflOn,A225&gt;=SV_inflS,A225&lt;=SV_inflE),1+SV_inflRate,1+inflationRate)</f>
        <v/>
      </c>
      <c r="F225" s="60">
        <f>IF(A225&lt;=1,1,F224*E225)</f>
        <v/>
      </c>
      <c r="G225" s="60">
        <f>IF(AND(SV_incOn,A225&gt;=SV_incS,A225&lt;=SV_incE),1+SV_incImp,1)</f>
        <v/>
      </c>
      <c r="H225" s="29">
        <f>IF(OR(OR(A225&lt;1,A225&gt;SV_T),A225-1&gt;=SV_salCut,AND(SV_deaOn,A225&gt;=SV_deaM)),0,SV_sal0*(1+incomeGrowthRate)^(A225-1)*G225)</f>
        <v/>
      </c>
      <c r="I225" s="29">
        <f>IF(OR(A225&lt;1,A225&gt;SV_T),0,(-SV_exp0*F225-IF(A225&lt;=SV_loanYears,SV_inst,0)-IF(AND(SV_wdAmt&gt;0,A225=SV_wdYear),SV_wdAmt,0))*IF(AND(SV_expOn,A225&gt;=SV_expS,A225&lt;=SV_expE),1+SV_expImp,1))</f>
        <v/>
      </c>
      <c r="J225" s="29">
        <f>IF(OR(A225&lt;1,A225&gt;SV_T),0,-F225*(IF(AND(SV_deaOn,A225=SV_deaM),SV_deaAmt,0)+IF(AND(SV_criOn,A225=SV_criM),SV_criAmt,0)+IF(AND(SV_tpdOn,A225=SV_tpdM),SV_tpdAmt,0)+IF(AND(SV_pacOn,A225=SV_pacM),SV_pacAmt,0)+IF(AND(SV_hosOn,A225=SV_hosM),SV_hosAmt,0)+IF(AND(SV_wedOn,A225=SV_wedM),SV_wedAmt,0)+IF(AND(SV_babOn,A225=SV_babM),SV_babAmt,0)+IF(AND(SV_ltcOn,A225&gt;=SV_ltcM,A225&lt;=SV_ltcE),SV_ltcAmt,0)))</f>
        <v/>
      </c>
      <c r="K225" s="29">
        <f>IF(OR(OR(A225&lt;1,A225&gt;SV_T),A225&gt;SV_loanYears),0,-SV_lifePremYr)</f>
        <v/>
      </c>
      <c r="L225" s="29">
        <f>IF(OR(A225&lt;1,A225&gt;SV_T),0,-SV_contrib)</f>
        <v/>
      </c>
      <c r="M225" s="60">
        <f>IF(AND(SV_crashOn,A225=SV_crashYr),SV_crashF,1)</f>
        <v/>
      </c>
      <c r="N225" s="60">
        <f>IF(AND(SV_ccyOn,A225=SV_ccyYr),SV_ccyF,1)</f>
        <v/>
      </c>
      <c r="O225" s="29">
        <f>IF(A225&gt;SV_T,0,O224*(1+interestRate)*M225*N225)</f>
        <v/>
      </c>
      <c r="P225" s="29">
        <f>IF(A225&gt;SV_T,0,(P224+SV_contrib)*(1+investmentReturn)*M225*N225)</f>
        <v/>
      </c>
      <c r="Q225" s="29">
        <f>IF(A225&gt;SV_T,0,Q224*(1+SV_propRate)*M225)</f>
        <v/>
      </c>
      <c r="R225" s="46">
        <f>MATCH(SV_age+A225-1,SV_cpfLower,1)</f>
        <v/>
      </c>
      <c r="S225" s="29">
        <f>IF(OR(OR(A225&lt;1,A225&gt;SV_T),NOT(SV_cpfOn),AND(SV_deaOn,A225&gt;=SV_deaM)),0,MIN(SV_sal0*(1+incomeGrowthRate)^(A225-1)*G225,SV_owCap))</f>
        <v/>
      </c>
      <c r="T225" s="29">
        <f>IF(A225&gt;SV_T,0,T224*(1+SV_oaRate)+IF(A225&gt;=SV_effStop,0,INDEX(SV_cpfOA,R225)*INDEX(SV_cpfTot,R225)*S225))</f>
        <v/>
      </c>
      <c r="U225" s="29">
        <f>IF(A225&gt;SV_T,0,U224*(1+SV_saRate)+IF(A225&gt;=SV_effStop,0,INDEX(SV_cpfSA,R225)*INDEX(SV_cpfTot,R225)*S225))</f>
        <v/>
      </c>
      <c r="V225" s="29">
        <f>IF(A225&gt;SV_T,0,V224*(1+SV_saRate)+IF(A225&gt;=SV_effStop,0,INDEX(SV_cpfMA,R225)*INDEX(SV_cpfTot,R225)*S225))</f>
        <v/>
      </c>
      <c r="W225" s="29">
        <f>IF(OR(OR(A225&lt;1,A225&gt;SV_T),A225&gt;=SV_effNeg),0,-(INDEX(SV_cpfOA,R225)+INDEX(SV_cpfSA,R225)+INDEX(SV_cpfMA,R225))*INDEX(SV_cpfEmp,R225)*S225)</f>
        <v/>
      </c>
      <c r="X225" s="29">
        <f>IF(A225&gt;=SV_sIdx,0,T225)</f>
        <v/>
      </c>
      <c r="Y225" s="29">
        <f>IF(A225&gt;=SV_sIdx,0,U225)</f>
        <v/>
      </c>
      <c r="Z225" s="29">
        <f>IF(A225&gt;=SV_sIdx,MIN(V225,SV_maCap),V225)</f>
        <v/>
      </c>
      <c r="AA225" s="29">
        <f>IF(AND(SV_cpfOn,A225&gt;=SV_pIdx,A225&lt;=SV_T),12*SV_pay,0)</f>
        <v/>
      </c>
      <c r="AB225" s="29">
        <f>IF(A225&gt;SV_T,0,IF(SV_sp&gt;=0,IF(A225&lt;SV_sIdx,0,IF(A225=SV_sIdx,SV_R0,SV_lifeGrowth*AB224)),SV_lifeGrowth*AB224))</f>
        <v/>
      </c>
      <c r="AC225" s="29">
        <f>IF(A225&gt;SV_T,0,IF(AND(SV_sp&gt;=0,A225&lt;SV_sIdx),0,IF(AND(SV_sp&gt;=0,A225=SV_sIdx),SV_L0,SV_lifeGrowth*(AC224-AA225))))</f>
        <v/>
      </c>
      <c r="AD225" s="29">
        <f>X225+Y225+AB225+Z225+IF(AB225&lt;0,0,AC225)</f>
        <v/>
      </c>
      <c r="AE225" s="29">
        <f>AA225+W225</f>
        <v/>
      </c>
      <c r="AF225" s="29">
        <f>IF(OR(A225&gt;SV_T,A225&gt;=SV_loanYears),0,MAX(0,AF224*(1+loanRate)-SV_inst))</f>
        <v/>
      </c>
      <c r="AG225" s="29">
        <f>IF(A225&gt;SV_T,0,AG224*(1+SV_savRate)+H225+I225+J225+K225+L225+AE225)</f>
        <v/>
      </c>
      <c r="AH225" s="29">
        <f>IF(A225&gt;SV_T,0,MAX(0,O225+P225+Q225+AD225+AG225-AF225))</f>
        <v/>
      </c>
      <c r="AI225" s="29">
        <f>IF(A225&gt;SV_T,0,O225+P225+AG225-MAX(0,AF225-(Q225+AD225)))</f>
        <v/>
      </c>
      <c r="AJ225" s="29">
        <f>IF(OR(OR(A225&lt;1,A225&gt;SV_T),A225-1&gt;=SV_retPay),0,SV_retMth*12+IF(A225=1,SV_retLump,0))</f>
        <v/>
      </c>
      <c r="AK225" s="29">
        <f>IF(A225&gt;SV_T,0,(AK224+AJ225)*(1+investmentReturn))</f>
        <v/>
      </c>
      <c r="AL225" s="29">
        <f>IF(OR(OR(A225&lt;1,A225&gt;SV_T),A225-1&gt;=SV_goalPay),0,SV_goalMth*12+IF(A225=1,SV_goalLump,0))</f>
        <v/>
      </c>
      <c r="AM225" s="29">
        <f>IF(A225&gt;SV_T,0,(AM224+AL225)*(1+investmentReturn))</f>
        <v/>
      </c>
      <c r="AN225" s="29">
        <f>IF(OR(OR(A225&lt;1,A225&gt;SV_T),A225-1&gt;=SV_protPay),0,SV_protPrem)</f>
        <v/>
      </c>
      <c r="AO225" s="29">
        <f>IF(OR(A225=0,A225&gt;=SV_T),0,ROUND(MAX(0,AK225),2)+ROUND(MAX(0,AM225),2))</f>
        <v/>
      </c>
      <c r="AP225" s="29">
        <f>IF(OR(A225&lt;1,A225&gt;SV_T),0,-(AJ225+AL225+AN225)+IF(A225=SV_T,ROUND(MAX(0,AK225),2)+ROUND(MAX(0,AM225),2),0))</f>
        <v/>
      </c>
      <c r="AQ225" s="29">
        <f>IF(A225&gt;SV_T,0,AQ224*(1+SV_savRate)+H225+I225+J225+K225+L225+AE225+AP225)</f>
        <v/>
      </c>
      <c r="AR225" s="29">
        <f>IF(A225&gt;SV_T,0,MAX(0,O225+P225+Q225+AD225+AQ225+AO225-AF225))</f>
        <v/>
      </c>
      <c r="AS225" s="29">
        <f>IF(A225&gt;SV_T,0,O225+P225+AQ225+AO225-MAX(0,AF225-(Q225+AD225)))</f>
        <v/>
      </c>
    </row>
    <row r="226">
      <c r="A226" s="61" t="n">
        <v>64</v>
      </c>
      <c r="B226" s="61">
        <f>SV_age+A226</f>
        <v/>
      </c>
      <c r="C226" s="61">
        <f>currentYear+A226</f>
        <v/>
      </c>
      <c r="D226" s="52">
        <f>A226&lt;=SV_T</f>
        <v/>
      </c>
      <c r="E226" s="60">
        <f>IF(AND(SV_inflOn,A226&gt;=SV_inflS,A226&lt;=SV_inflE),1+SV_inflRate,1+inflationRate)</f>
        <v/>
      </c>
      <c r="F226" s="60">
        <f>IF(A226&lt;=1,1,F225*E226)</f>
        <v/>
      </c>
      <c r="G226" s="60">
        <f>IF(AND(SV_incOn,A226&gt;=SV_incS,A226&lt;=SV_incE),1+SV_incImp,1)</f>
        <v/>
      </c>
      <c r="H226" s="29">
        <f>IF(OR(OR(A226&lt;1,A226&gt;SV_T),A226-1&gt;=SV_salCut,AND(SV_deaOn,A226&gt;=SV_deaM)),0,SV_sal0*(1+incomeGrowthRate)^(A226-1)*G226)</f>
        <v/>
      </c>
      <c r="I226" s="29">
        <f>IF(OR(A226&lt;1,A226&gt;SV_T),0,(-SV_exp0*F226-IF(A226&lt;=SV_loanYears,SV_inst,0)-IF(AND(SV_wdAmt&gt;0,A226=SV_wdYear),SV_wdAmt,0))*IF(AND(SV_expOn,A226&gt;=SV_expS,A226&lt;=SV_expE),1+SV_expImp,1))</f>
        <v/>
      </c>
      <c r="J226" s="29">
        <f>IF(OR(A226&lt;1,A226&gt;SV_T),0,-F226*(IF(AND(SV_deaOn,A226=SV_deaM),SV_deaAmt,0)+IF(AND(SV_criOn,A226=SV_criM),SV_criAmt,0)+IF(AND(SV_tpdOn,A226=SV_tpdM),SV_tpdAmt,0)+IF(AND(SV_pacOn,A226=SV_pacM),SV_pacAmt,0)+IF(AND(SV_hosOn,A226=SV_hosM),SV_hosAmt,0)+IF(AND(SV_wedOn,A226=SV_wedM),SV_wedAmt,0)+IF(AND(SV_babOn,A226=SV_babM),SV_babAmt,0)+IF(AND(SV_ltcOn,A226&gt;=SV_ltcM,A226&lt;=SV_ltcE),SV_ltcAmt,0)))</f>
        <v/>
      </c>
      <c r="K226" s="29">
        <f>IF(OR(OR(A226&lt;1,A226&gt;SV_T),A226&gt;SV_loanYears),0,-SV_lifePremYr)</f>
        <v/>
      </c>
      <c r="L226" s="29">
        <f>IF(OR(A226&lt;1,A226&gt;SV_T),0,-SV_contrib)</f>
        <v/>
      </c>
      <c r="M226" s="60">
        <f>IF(AND(SV_crashOn,A226=SV_crashYr),SV_crashF,1)</f>
        <v/>
      </c>
      <c r="N226" s="60">
        <f>IF(AND(SV_ccyOn,A226=SV_ccyYr),SV_ccyF,1)</f>
        <v/>
      </c>
      <c r="O226" s="29">
        <f>IF(A226&gt;SV_T,0,O225*(1+interestRate)*M226*N226)</f>
        <v/>
      </c>
      <c r="P226" s="29">
        <f>IF(A226&gt;SV_T,0,(P225+SV_contrib)*(1+investmentReturn)*M226*N226)</f>
        <v/>
      </c>
      <c r="Q226" s="29">
        <f>IF(A226&gt;SV_T,0,Q225*(1+SV_propRate)*M226)</f>
        <v/>
      </c>
      <c r="R226" s="46">
        <f>MATCH(SV_age+A226-1,SV_cpfLower,1)</f>
        <v/>
      </c>
      <c r="S226" s="29">
        <f>IF(OR(OR(A226&lt;1,A226&gt;SV_T),NOT(SV_cpfOn),AND(SV_deaOn,A226&gt;=SV_deaM)),0,MIN(SV_sal0*(1+incomeGrowthRate)^(A226-1)*G226,SV_owCap))</f>
        <v/>
      </c>
      <c r="T226" s="29">
        <f>IF(A226&gt;SV_T,0,T225*(1+SV_oaRate)+IF(A226&gt;=SV_effStop,0,INDEX(SV_cpfOA,R226)*INDEX(SV_cpfTot,R226)*S226))</f>
        <v/>
      </c>
      <c r="U226" s="29">
        <f>IF(A226&gt;SV_T,0,U225*(1+SV_saRate)+IF(A226&gt;=SV_effStop,0,INDEX(SV_cpfSA,R226)*INDEX(SV_cpfTot,R226)*S226))</f>
        <v/>
      </c>
      <c r="V226" s="29">
        <f>IF(A226&gt;SV_T,0,V225*(1+SV_saRate)+IF(A226&gt;=SV_effStop,0,INDEX(SV_cpfMA,R226)*INDEX(SV_cpfTot,R226)*S226))</f>
        <v/>
      </c>
      <c r="W226" s="29">
        <f>IF(OR(OR(A226&lt;1,A226&gt;SV_T),A226&gt;=SV_effNeg),0,-(INDEX(SV_cpfOA,R226)+INDEX(SV_cpfSA,R226)+INDEX(SV_cpfMA,R226))*INDEX(SV_cpfEmp,R226)*S226)</f>
        <v/>
      </c>
      <c r="X226" s="29">
        <f>IF(A226&gt;=SV_sIdx,0,T226)</f>
        <v/>
      </c>
      <c r="Y226" s="29">
        <f>IF(A226&gt;=SV_sIdx,0,U226)</f>
        <v/>
      </c>
      <c r="Z226" s="29">
        <f>IF(A226&gt;=SV_sIdx,MIN(V226,SV_maCap),V226)</f>
        <v/>
      </c>
      <c r="AA226" s="29">
        <f>IF(AND(SV_cpfOn,A226&gt;=SV_pIdx,A226&lt;=SV_T),12*SV_pay,0)</f>
        <v/>
      </c>
      <c r="AB226" s="29">
        <f>IF(A226&gt;SV_T,0,IF(SV_sp&gt;=0,IF(A226&lt;SV_sIdx,0,IF(A226=SV_sIdx,SV_R0,SV_lifeGrowth*AB225)),SV_lifeGrowth*AB225))</f>
        <v/>
      </c>
      <c r="AC226" s="29">
        <f>IF(A226&gt;SV_T,0,IF(AND(SV_sp&gt;=0,A226&lt;SV_sIdx),0,IF(AND(SV_sp&gt;=0,A226=SV_sIdx),SV_L0,SV_lifeGrowth*(AC225-AA226))))</f>
        <v/>
      </c>
      <c r="AD226" s="29">
        <f>X226+Y226+AB226+Z226+IF(AB226&lt;0,0,AC226)</f>
        <v/>
      </c>
      <c r="AE226" s="29">
        <f>AA226+W226</f>
        <v/>
      </c>
      <c r="AF226" s="29">
        <f>IF(OR(A226&gt;SV_T,A226&gt;=SV_loanYears),0,MAX(0,AF225*(1+loanRate)-SV_inst))</f>
        <v/>
      </c>
      <c r="AG226" s="29">
        <f>IF(A226&gt;SV_T,0,AG225*(1+SV_savRate)+H226+I226+J226+K226+L226+AE226)</f>
        <v/>
      </c>
      <c r="AH226" s="29">
        <f>IF(A226&gt;SV_T,0,MAX(0,O226+P226+Q226+AD226+AG226-AF226))</f>
        <v/>
      </c>
      <c r="AI226" s="29">
        <f>IF(A226&gt;SV_T,0,O226+P226+AG226-MAX(0,AF226-(Q226+AD226)))</f>
        <v/>
      </c>
      <c r="AJ226" s="29">
        <f>IF(OR(OR(A226&lt;1,A226&gt;SV_T),A226-1&gt;=SV_retPay),0,SV_retMth*12+IF(A226=1,SV_retLump,0))</f>
        <v/>
      </c>
      <c r="AK226" s="29">
        <f>IF(A226&gt;SV_T,0,(AK225+AJ226)*(1+investmentReturn))</f>
        <v/>
      </c>
      <c r="AL226" s="29">
        <f>IF(OR(OR(A226&lt;1,A226&gt;SV_T),A226-1&gt;=SV_goalPay),0,SV_goalMth*12+IF(A226=1,SV_goalLump,0))</f>
        <v/>
      </c>
      <c r="AM226" s="29">
        <f>IF(A226&gt;SV_T,0,(AM225+AL226)*(1+investmentReturn))</f>
        <v/>
      </c>
      <c r="AN226" s="29">
        <f>IF(OR(OR(A226&lt;1,A226&gt;SV_T),A226-1&gt;=SV_protPay),0,SV_protPrem)</f>
        <v/>
      </c>
      <c r="AO226" s="29">
        <f>IF(OR(A226=0,A226&gt;=SV_T),0,ROUND(MAX(0,AK226),2)+ROUND(MAX(0,AM226),2))</f>
        <v/>
      </c>
      <c r="AP226" s="29">
        <f>IF(OR(A226&lt;1,A226&gt;SV_T),0,-(AJ226+AL226+AN226)+IF(A226=SV_T,ROUND(MAX(0,AK226),2)+ROUND(MAX(0,AM226),2),0))</f>
        <v/>
      </c>
      <c r="AQ226" s="29">
        <f>IF(A226&gt;SV_T,0,AQ225*(1+SV_savRate)+H226+I226+J226+K226+L226+AE226+AP226)</f>
        <v/>
      </c>
      <c r="AR226" s="29">
        <f>IF(A226&gt;SV_T,0,MAX(0,O226+P226+Q226+AD226+AQ226+AO226-AF226))</f>
        <v/>
      </c>
      <c r="AS226" s="29">
        <f>IF(A226&gt;SV_T,0,O226+P226+AQ226+AO226-MAX(0,AF226-(Q226+AD226)))</f>
        <v/>
      </c>
    </row>
    <row r="227">
      <c r="A227" s="61" t="n">
        <v>65</v>
      </c>
      <c r="B227" s="61">
        <f>SV_age+A227</f>
        <v/>
      </c>
      <c r="C227" s="61">
        <f>currentYear+A227</f>
        <v/>
      </c>
      <c r="D227" s="52">
        <f>A227&lt;=SV_T</f>
        <v/>
      </c>
      <c r="E227" s="60">
        <f>IF(AND(SV_inflOn,A227&gt;=SV_inflS,A227&lt;=SV_inflE),1+SV_inflRate,1+inflationRate)</f>
        <v/>
      </c>
      <c r="F227" s="60">
        <f>IF(A227&lt;=1,1,F226*E227)</f>
        <v/>
      </c>
      <c r="G227" s="60">
        <f>IF(AND(SV_incOn,A227&gt;=SV_incS,A227&lt;=SV_incE),1+SV_incImp,1)</f>
        <v/>
      </c>
      <c r="H227" s="29">
        <f>IF(OR(OR(A227&lt;1,A227&gt;SV_T),A227-1&gt;=SV_salCut,AND(SV_deaOn,A227&gt;=SV_deaM)),0,SV_sal0*(1+incomeGrowthRate)^(A227-1)*G227)</f>
        <v/>
      </c>
      <c r="I227" s="29">
        <f>IF(OR(A227&lt;1,A227&gt;SV_T),0,(-SV_exp0*F227-IF(A227&lt;=SV_loanYears,SV_inst,0)-IF(AND(SV_wdAmt&gt;0,A227=SV_wdYear),SV_wdAmt,0))*IF(AND(SV_expOn,A227&gt;=SV_expS,A227&lt;=SV_expE),1+SV_expImp,1))</f>
        <v/>
      </c>
      <c r="J227" s="29">
        <f>IF(OR(A227&lt;1,A227&gt;SV_T),0,-F227*(IF(AND(SV_deaOn,A227=SV_deaM),SV_deaAmt,0)+IF(AND(SV_criOn,A227=SV_criM),SV_criAmt,0)+IF(AND(SV_tpdOn,A227=SV_tpdM),SV_tpdAmt,0)+IF(AND(SV_pacOn,A227=SV_pacM),SV_pacAmt,0)+IF(AND(SV_hosOn,A227=SV_hosM),SV_hosAmt,0)+IF(AND(SV_wedOn,A227=SV_wedM),SV_wedAmt,0)+IF(AND(SV_babOn,A227=SV_babM),SV_babAmt,0)+IF(AND(SV_ltcOn,A227&gt;=SV_ltcM,A227&lt;=SV_ltcE),SV_ltcAmt,0)))</f>
        <v/>
      </c>
      <c r="K227" s="29">
        <f>IF(OR(OR(A227&lt;1,A227&gt;SV_T),A227&gt;SV_loanYears),0,-SV_lifePremYr)</f>
        <v/>
      </c>
      <c r="L227" s="29">
        <f>IF(OR(A227&lt;1,A227&gt;SV_T),0,-SV_contrib)</f>
        <v/>
      </c>
      <c r="M227" s="60">
        <f>IF(AND(SV_crashOn,A227=SV_crashYr),SV_crashF,1)</f>
        <v/>
      </c>
      <c r="N227" s="60">
        <f>IF(AND(SV_ccyOn,A227=SV_ccyYr),SV_ccyF,1)</f>
        <v/>
      </c>
      <c r="O227" s="29">
        <f>IF(A227&gt;SV_T,0,O226*(1+interestRate)*M227*N227)</f>
        <v/>
      </c>
      <c r="P227" s="29">
        <f>IF(A227&gt;SV_T,0,(P226+SV_contrib)*(1+investmentReturn)*M227*N227)</f>
        <v/>
      </c>
      <c r="Q227" s="29">
        <f>IF(A227&gt;SV_T,0,Q226*(1+SV_propRate)*M227)</f>
        <v/>
      </c>
      <c r="R227" s="46">
        <f>MATCH(SV_age+A227-1,SV_cpfLower,1)</f>
        <v/>
      </c>
      <c r="S227" s="29">
        <f>IF(OR(OR(A227&lt;1,A227&gt;SV_T),NOT(SV_cpfOn),AND(SV_deaOn,A227&gt;=SV_deaM)),0,MIN(SV_sal0*(1+incomeGrowthRate)^(A227-1)*G227,SV_owCap))</f>
        <v/>
      </c>
      <c r="T227" s="29">
        <f>IF(A227&gt;SV_T,0,T226*(1+SV_oaRate)+IF(A227&gt;=SV_effStop,0,INDEX(SV_cpfOA,R227)*INDEX(SV_cpfTot,R227)*S227))</f>
        <v/>
      </c>
      <c r="U227" s="29">
        <f>IF(A227&gt;SV_T,0,U226*(1+SV_saRate)+IF(A227&gt;=SV_effStop,0,INDEX(SV_cpfSA,R227)*INDEX(SV_cpfTot,R227)*S227))</f>
        <v/>
      </c>
      <c r="V227" s="29">
        <f>IF(A227&gt;SV_T,0,V226*(1+SV_saRate)+IF(A227&gt;=SV_effStop,0,INDEX(SV_cpfMA,R227)*INDEX(SV_cpfTot,R227)*S227))</f>
        <v/>
      </c>
      <c r="W227" s="29">
        <f>IF(OR(OR(A227&lt;1,A227&gt;SV_T),A227&gt;=SV_effNeg),0,-(INDEX(SV_cpfOA,R227)+INDEX(SV_cpfSA,R227)+INDEX(SV_cpfMA,R227))*INDEX(SV_cpfEmp,R227)*S227)</f>
        <v/>
      </c>
      <c r="X227" s="29">
        <f>IF(A227&gt;=SV_sIdx,0,T227)</f>
        <v/>
      </c>
      <c r="Y227" s="29">
        <f>IF(A227&gt;=SV_sIdx,0,U227)</f>
        <v/>
      </c>
      <c r="Z227" s="29">
        <f>IF(A227&gt;=SV_sIdx,MIN(V227,SV_maCap),V227)</f>
        <v/>
      </c>
      <c r="AA227" s="29">
        <f>IF(AND(SV_cpfOn,A227&gt;=SV_pIdx,A227&lt;=SV_T),12*SV_pay,0)</f>
        <v/>
      </c>
      <c r="AB227" s="29">
        <f>IF(A227&gt;SV_T,0,IF(SV_sp&gt;=0,IF(A227&lt;SV_sIdx,0,IF(A227=SV_sIdx,SV_R0,SV_lifeGrowth*AB226)),SV_lifeGrowth*AB226))</f>
        <v/>
      </c>
      <c r="AC227" s="29">
        <f>IF(A227&gt;SV_T,0,IF(AND(SV_sp&gt;=0,A227&lt;SV_sIdx),0,IF(AND(SV_sp&gt;=0,A227=SV_sIdx),SV_L0,SV_lifeGrowth*(AC226-AA227))))</f>
        <v/>
      </c>
      <c r="AD227" s="29">
        <f>X227+Y227+AB227+Z227+IF(AB227&lt;0,0,AC227)</f>
        <v/>
      </c>
      <c r="AE227" s="29">
        <f>AA227+W227</f>
        <v/>
      </c>
      <c r="AF227" s="29">
        <f>IF(OR(A227&gt;SV_T,A227&gt;=SV_loanYears),0,MAX(0,AF226*(1+loanRate)-SV_inst))</f>
        <v/>
      </c>
      <c r="AG227" s="29">
        <f>IF(A227&gt;SV_T,0,AG226*(1+SV_savRate)+H227+I227+J227+K227+L227+AE227)</f>
        <v/>
      </c>
      <c r="AH227" s="29">
        <f>IF(A227&gt;SV_T,0,MAX(0,O227+P227+Q227+AD227+AG227-AF227))</f>
        <v/>
      </c>
      <c r="AI227" s="29">
        <f>IF(A227&gt;SV_T,0,O227+P227+AG227-MAX(0,AF227-(Q227+AD227)))</f>
        <v/>
      </c>
      <c r="AJ227" s="29">
        <f>IF(OR(OR(A227&lt;1,A227&gt;SV_T),A227-1&gt;=SV_retPay),0,SV_retMth*12+IF(A227=1,SV_retLump,0))</f>
        <v/>
      </c>
      <c r="AK227" s="29">
        <f>IF(A227&gt;SV_T,0,(AK226+AJ227)*(1+investmentReturn))</f>
        <v/>
      </c>
      <c r="AL227" s="29">
        <f>IF(OR(OR(A227&lt;1,A227&gt;SV_T),A227-1&gt;=SV_goalPay),0,SV_goalMth*12+IF(A227=1,SV_goalLump,0))</f>
        <v/>
      </c>
      <c r="AM227" s="29">
        <f>IF(A227&gt;SV_T,0,(AM226+AL227)*(1+investmentReturn))</f>
        <v/>
      </c>
      <c r="AN227" s="29">
        <f>IF(OR(OR(A227&lt;1,A227&gt;SV_T),A227-1&gt;=SV_protPay),0,SV_protPrem)</f>
        <v/>
      </c>
      <c r="AO227" s="29">
        <f>IF(OR(A227=0,A227&gt;=SV_T),0,ROUND(MAX(0,AK227),2)+ROUND(MAX(0,AM227),2))</f>
        <v/>
      </c>
      <c r="AP227" s="29">
        <f>IF(OR(A227&lt;1,A227&gt;SV_T),0,-(AJ227+AL227+AN227)+IF(A227=SV_T,ROUND(MAX(0,AK227),2)+ROUND(MAX(0,AM227),2),0))</f>
        <v/>
      </c>
      <c r="AQ227" s="29">
        <f>IF(A227&gt;SV_T,0,AQ226*(1+SV_savRate)+H227+I227+J227+K227+L227+AE227+AP227)</f>
        <v/>
      </c>
      <c r="AR227" s="29">
        <f>IF(A227&gt;SV_T,0,MAX(0,O227+P227+Q227+AD227+AQ227+AO227-AF227))</f>
        <v/>
      </c>
      <c r="AS227" s="29">
        <f>IF(A227&gt;SV_T,0,O227+P227+AQ227+AO227-MAX(0,AF227-(Q227+AD227)))</f>
        <v/>
      </c>
    </row>
    <row r="228">
      <c r="A228" s="61" t="n">
        <v>66</v>
      </c>
      <c r="B228" s="61">
        <f>SV_age+A228</f>
        <v/>
      </c>
      <c r="C228" s="61">
        <f>currentYear+A228</f>
        <v/>
      </c>
      <c r="D228" s="52">
        <f>A228&lt;=SV_T</f>
        <v/>
      </c>
      <c r="E228" s="60">
        <f>IF(AND(SV_inflOn,A228&gt;=SV_inflS,A228&lt;=SV_inflE),1+SV_inflRate,1+inflationRate)</f>
        <v/>
      </c>
      <c r="F228" s="60">
        <f>IF(A228&lt;=1,1,F227*E228)</f>
        <v/>
      </c>
      <c r="G228" s="60">
        <f>IF(AND(SV_incOn,A228&gt;=SV_incS,A228&lt;=SV_incE),1+SV_incImp,1)</f>
        <v/>
      </c>
      <c r="H228" s="29">
        <f>IF(OR(OR(A228&lt;1,A228&gt;SV_T),A228-1&gt;=SV_salCut,AND(SV_deaOn,A228&gt;=SV_deaM)),0,SV_sal0*(1+incomeGrowthRate)^(A228-1)*G228)</f>
        <v/>
      </c>
      <c r="I228" s="29">
        <f>IF(OR(A228&lt;1,A228&gt;SV_T),0,(-SV_exp0*F228-IF(A228&lt;=SV_loanYears,SV_inst,0)-IF(AND(SV_wdAmt&gt;0,A228=SV_wdYear),SV_wdAmt,0))*IF(AND(SV_expOn,A228&gt;=SV_expS,A228&lt;=SV_expE),1+SV_expImp,1))</f>
        <v/>
      </c>
      <c r="J228" s="29">
        <f>IF(OR(A228&lt;1,A228&gt;SV_T),0,-F228*(IF(AND(SV_deaOn,A228=SV_deaM),SV_deaAmt,0)+IF(AND(SV_criOn,A228=SV_criM),SV_criAmt,0)+IF(AND(SV_tpdOn,A228=SV_tpdM),SV_tpdAmt,0)+IF(AND(SV_pacOn,A228=SV_pacM),SV_pacAmt,0)+IF(AND(SV_hosOn,A228=SV_hosM),SV_hosAmt,0)+IF(AND(SV_wedOn,A228=SV_wedM),SV_wedAmt,0)+IF(AND(SV_babOn,A228=SV_babM),SV_babAmt,0)+IF(AND(SV_ltcOn,A228&gt;=SV_ltcM,A228&lt;=SV_ltcE),SV_ltcAmt,0)))</f>
        <v/>
      </c>
      <c r="K228" s="29">
        <f>IF(OR(OR(A228&lt;1,A228&gt;SV_T),A228&gt;SV_loanYears),0,-SV_lifePremYr)</f>
        <v/>
      </c>
      <c r="L228" s="29">
        <f>IF(OR(A228&lt;1,A228&gt;SV_T),0,-SV_contrib)</f>
        <v/>
      </c>
      <c r="M228" s="60">
        <f>IF(AND(SV_crashOn,A228=SV_crashYr),SV_crashF,1)</f>
        <v/>
      </c>
      <c r="N228" s="60">
        <f>IF(AND(SV_ccyOn,A228=SV_ccyYr),SV_ccyF,1)</f>
        <v/>
      </c>
      <c r="O228" s="29">
        <f>IF(A228&gt;SV_T,0,O227*(1+interestRate)*M228*N228)</f>
        <v/>
      </c>
      <c r="P228" s="29">
        <f>IF(A228&gt;SV_T,0,(P227+SV_contrib)*(1+investmentReturn)*M228*N228)</f>
        <v/>
      </c>
      <c r="Q228" s="29">
        <f>IF(A228&gt;SV_T,0,Q227*(1+SV_propRate)*M228)</f>
        <v/>
      </c>
      <c r="R228" s="46">
        <f>MATCH(SV_age+A228-1,SV_cpfLower,1)</f>
        <v/>
      </c>
      <c r="S228" s="29">
        <f>IF(OR(OR(A228&lt;1,A228&gt;SV_T),NOT(SV_cpfOn),AND(SV_deaOn,A228&gt;=SV_deaM)),0,MIN(SV_sal0*(1+incomeGrowthRate)^(A228-1)*G228,SV_owCap))</f>
        <v/>
      </c>
      <c r="T228" s="29">
        <f>IF(A228&gt;SV_T,0,T227*(1+SV_oaRate)+IF(A228&gt;=SV_effStop,0,INDEX(SV_cpfOA,R228)*INDEX(SV_cpfTot,R228)*S228))</f>
        <v/>
      </c>
      <c r="U228" s="29">
        <f>IF(A228&gt;SV_T,0,U227*(1+SV_saRate)+IF(A228&gt;=SV_effStop,0,INDEX(SV_cpfSA,R228)*INDEX(SV_cpfTot,R228)*S228))</f>
        <v/>
      </c>
      <c r="V228" s="29">
        <f>IF(A228&gt;SV_T,0,V227*(1+SV_saRate)+IF(A228&gt;=SV_effStop,0,INDEX(SV_cpfMA,R228)*INDEX(SV_cpfTot,R228)*S228))</f>
        <v/>
      </c>
      <c r="W228" s="29">
        <f>IF(OR(OR(A228&lt;1,A228&gt;SV_T),A228&gt;=SV_effNeg),0,-(INDEX(SV_cpfOA,R228)+INDEX(SV_cpfSA,R228)+INDEX(SV_cpfMA,R228))*INDEX(SV_cpfEmp,R228)*S228)</f>
        <v/>
      </c>
      <c r="X228" s="29">
        <f>IF(A228&gt;=SV_sIdx,0,T228)</f>
        <v/>
      </c>
      <c r="Y228" s="29">
        <f>IF(A228&gt;=SV_sIdx,0,U228)</f>
        <v/>
      </c>
      <c r="Z228" s="29">
        <f>IF(A228&gt;=SV_sIdx,MIN(V228,SV_maCap),V228)</f>
        <v/>
      </c>
      <c r="AA228" s="29">
        <f>IF(AND(SV_cpfOn,A228&gt;=SV_pIdx,A228&lt;=SV_T),12*SV_pay,0)</f>
        <v/>
      </c>
      <c r="AB228" s="29">
        <f>IF(A228&gt;SV_T,0,IF(SV_sp&gt;=0,IF(A228&lt;SV_sIdx,0,IF(A228=SV_sIdx,SV_R0,SV_lifeGrowth*AB227)),SV_lifeGrowth*AB227))</f>
        <v/>
      </c>
      <c r="AC228" s="29">
        <f>IF(A228&gt;SV_T,0,IF(AND(SV_sp&gt;=0,A228&lt;SV_sIdx),0,IF(AND(SV_sp&gt;=0,A228=SV_sIdx),SV_L0,SV_lifeGrowth*(AC227-AA228))))</f>
        <v/>
      </c>
      <c r="AD228" s="29">
        <f>X228+Y228+AB228+Z228+IF(AB228&lt;0,0,AC228)</f>
        <v/>
      </c>
      <c r="AE228" s="29">
        <f>AA228+W228</f>
        <v/>
      </c>
      <c r="AF228" s="29">
        <f>IF(OR(A228&gt;SV_T,A228&gt;=SV_loanYears),0,MAX(0,AF227*(1+loanRate)-SV_inst))</f>
        <v/>
      </c>
      <c r="AG228" s="29">
        <f>IF(A228&gt;SV_T,0,AG227*(1+SV_savRate)+H228+I228+J228+K228+L228+AE228)</f>
        <v/>
      </c>
      <c r="AH228" s="29">
        <f>IF(A228&gt;SV_T,0,MAX(0,O228+P228+Q228+AD228+AG228-AF228))</f>
        <v/>
      </c>
      <c r="AI228" s="29">
        <f>IF(A228&gt;SV_T,0,O228+P228+AG228-MAX(0,AF228-(Q228+AD228)))</f>
        <v/>
      </c>
      <c r="AJ228" s="29">
        <f>IF(OR(OR(A228&lt;1,A228&gt;SV_T),A228-1&gt;=SV_retPay),0,SV_retMth*12+IF(A228=1,SV_retLump,0))</f>
        <v/>
      </c>
      <c r="AK228" s="29">
        <f>IF(A228&gt;SV_T,0,(AK227+AJ228)*(1+investmentReturn))</f>
        <v/>
      </c>
      <c r="AL228" s="29">
        <f>IF(OR(OR(A228&lt;1,A228&gt;SV_T),A228-1&gt;=SV_goalPay),0,SV_goalMth*12+IF(A228=1,SV_goalLump,0))</f>
        <v/>
      </c>
      <c r="AM228" s="29">
        <f>IF(A228&gt;SV_T,0,(AM227+AL228)*(1+investmentReturn))</f>
        <v/>
      </c>
      <c r="AN228" s="29">
        <f>IF(OR(OR(A228&lt;1,A228&gt;SV_T),A228-1&gt;=SV_protPay),0,SV_protPrem)</f>
        <v/>
      </c>
      <c r="AO228" s="29">
        <f>IF(OR(A228=0,A228&gt;=SV_T),0,ROUND(MAX(0,AK228),2)+ROUND(MAX(0,AM228),2))</f>
        <v/>
      </c>
      <c r="AP228" s="29">
        <f>IF(OR(A228&lt;1,A228&gt;SV_T),0,-(AJ228+AL228+AN228)+IF(A228=SV_T,ROUND(MAX(0,AK228),2)+ROUND(MAX(0,AM228),2),0))</f>
        <v/>
      </c>
      <c r="AQ228" s="29">
        <f>IF(A228&gt;SV_T,0,AQ227*(1+SV_savRate)+H228+I228+J228+K228+L228+AE228+AP228)</f>
        <v/>
      </c>
      <c r="AR228" s="29">
        <f>IF(A228&gt;SV_T,0,MAX(0,O228+P228+Q228+AD228+AQ228+AO228-AF228))</f>
        <v/>
      </c>
      <c r="AS228" s="29">
        <f>IF(A228&gt;SV_T,0,O228+P228+AQ228+AO228-MAX(0,AF228-(Q228+AD228)))</f>
        <v/>
      </c>
    </row>
    <row r="229">
      <c r="A229" s="61" t="n">
        <v>67</v>
      </c>
      <c r="B229" s="61">
        <f>SV_age+A229</f>
        <v/>
      </c>
      <c r="C229" s="61">
        <f>currentYear+A229</f>
        <v/>
      </c>
      <c r="D229" s="52">
        <f>A229&lt;=SV_T</f>
        <v/>
      </c>
      <c r="E229" s="60">
        <f>IF(AND(SV_inflOn,A229&gt;=SV_inflS,A229&lt;=SV_inflE),1+SV_inflRate,1+inflationRate)</f>
        <v/>
      </c>
      <c r="F229" s="60">
        <f>IF(A229&lt;=1,1,F228*E229)</f>
        <v/>
      </c>
      <c r="G229" s="60">
        <f>IF(AND(SV_incOn,A229&gt;=SV_incS,A229&lt;=SV_incE),1+SV_incImp,1)</f>
        <v/>
      </c>
      <c r="H229" s="29">
        <f>IF(OR(OR(A229&lt;1,A229&gt;SV_T),A229-1&gt;=SV_salCut,AND(SV_deaOn,A229&gt;=SV_deaM)),0,SV_sal0*(1+incomeGrowthRate)^(A229-1)*G229)</f>
        <v/>
      </c>
      <c r="I229" s="29">
        <f>IF(OR(A229&lt;1,A229&gt;SV_T),0,(-SV_exp0*F229-IF(A229&lt;=SV_loanYears,SV_inst,0)-IF(AND(SV_wdAmt&gt;0,A229=SV_wdYear),SV_wdAmt,0))*IF(AND(SV_expOn,A229&gt;=SV_expS,A229&lt;=SV_expE),1+SV_expImp,1))</f>
        <v/>
      </c>
      <c r="J229" s="29">
        <f>IF(OR(A229&lt;1,A229&gt;SV_T),0,-F229*(IF(AND(SV_deaOn,A229=SV_deaM),SV_deaAmt,0)+IF(AND(SV_criOn,A229=SV_criM),SV_criAmt,0)+IF(AND(SV_tpdOn,A229=SV_tpdM),SV_tpdAmt,0)+IF(AND(SV_pacOn,A229=SV_pacM),SV_pacAmt,0)+IF(AND(SV_hosOn,A229=SV_hosM),SV_hosAmt,0)+IF(AND(SV_wedOn,A229=SV_wedM),SV_wedAmt,0)+IF(AND(SV_babOn,A229=SV_babM),SV_babAmt,0)+IF(AND(SV_ltcOn,A229&gt;=SV_ltcM,A229&lt;=SV_ltcE),SV_ltcAmt,0)))</f>
        <v/>
      </c>
      <c r="K229" s="29">
        <f>IF(OR(OR(A229&lt;1,A229&gt;SV_T),A229&gt;SV_loanYears),0,-SV_lifePremYr)</f>
        <v/>
      </c>
      <c r="L229" s="29">
        <f>IF(OR(A229&lt;1,A229&gt;SV_T),0,-SV_contrib)</f>
        <v/>
      </c>
      <c r="M229" s="60">
        <f>IF(AND(SV_crashOn,A229=SV_crashYr),SV_crashF,1)</f>
        <v/>
      </c>
      <c r="N229" s="60">
        <f>IF(AND(SV_ccyOn,A229=SV_ccyYr),SV_ccyF,1)</f>
        <v/>
      </c>
      <c r="O229" s="29">
        <f>IF(A229&gt;SV_T,0,O228*(1+interestRate)*M229*N229)</f>
        <v/>
      </c>
      <c r="P229" s="29">
        <f>IF(A229&gt;SV_T,0,(P228+SV_contrib)*(1+investmentReturn)*M229*N229)</f>
        <v/>
      </c>
      <c r="Q229" s="29">
        <f>IF(A229&gt;SV_T,0,Q228*(1+SV_propRate)*M229)</f>
        <v/>
      </c>
      <c r="R229" s="46">
        <f>MATCH(SV_age+A229-1,SV_cpfLower,1)</f>
        <v/>
      </c>
      <c r="S229" s="29">
        <f>IF(OR(OR(A229&lt;1,A229&gt;SV_T),NOT(SV_cpfOn),AND(SV_deaOn,A229&gt;=SV_deaM)),0,MIN(SV_sal0*(1+incomeGrowthRate)^(A229-1)*G229,SV_owCap))</f>
        <v/>
      </c>
      <c r="T229" s="29">
        <f>IF(A229&gt;SV_T,0,T228*(1+SV_oaRate)+IF(A229&gt;=SV_effStop,0,INDEX(SV_cpfOA,R229)*INDEX(SV_cpfTot,R229)*S229))</f>
        <v/>
      </c>
      <c r="U229" s="29">
        <f>IF(A229&gt;SV_T,0,U228*(1+SV_saRate)+IF(A229&gt;=SV_effStop,0,INDEX(SV_cpfSA,R229)*INDEX(SV_cpfTot,R229)*S229))</f>
        <v/>
      </c>
      <c r="V229" s="29">
        <f>IF(A229&gt;SV_T,0,V228*(1+SV_saRate)+IF(A229&gt;=SV_effStop,0,INDEX(SV_cpfMA,R229)*INDEX(SV_cpfTot,R229)*S229))</f>
        <v/>
      </c>
      <c r="W229" s="29">
        <f>IF(OR(OR(A229&lt;1,A229&gt;SV_T),A229&gt;=SV_effNeg),0,-(INDEX(SV_cpfOA,R229)+INDEX(SV_cpfSA,R229)+INDEX(SV_cpfMA,R229))*INDEX(SV_cpfEmp,R229)*S229)</f>
        <v/>
      </c>
      <c r="X229" s="29">
        <f>IF(A229&gt;=SV_sIdx,0,T229)</f>
        <v/>
      </c>
      <c r="Y229" s="29">
        <f>IF(A229&gt;=SV_sIdx,0,U229)</f>
        <v/>
      </c>
      <c r="Z229" s="29">
        <f>IF(A229&gt;=SV_sIdx,MIN(V229,SV_maCap),V229)</f>
        <v/>
      </c>
      <c r="AA229" s="29">
        <f>IF(AND(SV_cpfOn,A229&gt;=SV_pIdx,A229&lt;=SV_T),12*SV_pay,0)</f>
        <v/>
      </c>
      <c r="AB229" s="29">
        <f>IF(A229&gt;SV_T,0,IF(SV_sp&gt;=0,IF(A229&lt;SV_sIdx,0,IF(A229=SV_sIdx,SV_R0,SV_lifeGrowth*AB228)),SV_lifeGrowth*AB228))</f>
        <v/>
      </c>
      <c r="AC229" s="29">
        <f>IF(A229&gt;SV_T,0,IF(AND(SV_sp&gt;=0,A229&lt;SV_sIdx),0,IF(AND(SV_sp&gt;=0,A229=SV_sIdx),SV_L0,SV_lifeGrowth*(AC228-AA229))))</f>
        <v/>
      </c>
      <c r="AD229" s="29">
        <f>X229+Y229+AB229+Z229+IF(AB229&lt;0,0,AC229)</f>
        <v/>
      </c>
      <c r="AE229" s="29">
        <f>AA229+W229</f>
        <v/>
      </c>
      <c r="AF229" s="29">
        <f>IF(OR(A229&gt;SV_T,A229&gt;=SV_loanYears),0,MAX(0,AF228*(1+loanRate)-SV_inst))</f>
        <v/>
      </c>
      <c r="AG229" s="29">
        <f>IF(A229&gt;SV_T,0,AG228*(1+SV_savRate)+H229+I229+J229+K229+L229+AE229)</f>
        <v/>
      </c>
      <c r="AH229" s="29">
        <f>IF(A229&gt;SV_T,0,MAX(0,O229+P229+Q229+AD229+AG229-AF229))</f>
        <v/>
      </c>
      <c r="AI229" s="29">
        <f>IF(A229&gt;SV_T,0,O229+P229+AG229-MAX(0,AF229-(Q229+AD229)))</f>
        <v/>
      </c>
      <c r="AJ229" s="29">
        <f>IF(OR(OR(A229&lt;1,A229&gt;SV_T),A229-1&gt;=SV_retPay),0,SV_retMth*12+IF(A229=1,SV_retLump,0))</f>
        <v/>
      </c>
      <c r="AK229" s="29">
        <f>IF(A229&gt;SV_T,0,(AK228+AJ229)*(1+investmentReturn))</f>
        <v/>
      </c>
      <c r="AL229" s="29">
        <f>IF(OR(OR(A229&lt;1,A229&gt;SV_T),A229-1&gt;=SV_goalPay),0,SV_goalMth*12+IF(A229=1,SV_goalLump,0))</f>
        <v/>
      </c>
      <c r="AM229" s="29">
        <f>IF(A229&gt;SV_T,0,(AM228+AL229)*(1+investmentReturn))</f>
        <v/>
      </c>
      <c r="AN229" s="29">
        <f>IF(OR(OR(A229&lt;1,A229&gt;SV_T),A229-1&gt;=SV_protPay),0,SV_protPrem)</f>
        <v/>
      </c>
      <c r="AO229" s="29">
        <f>IF(OR(A229=0,A229&gt;=SV_T),0,ROUND(MAX(0,AK229),2)+ROUND(MAX(0,AM229),2))</f>
        <v/>
      </c>
      <c r="AP229" s="29">
        <f>IF(OR(A229&lt;1,A229&gt;SV_T),0,-(AJ229+AL229+AN229)+IF(A229=SV_T,ROUND(MAX(0,AK229),2)+ROUND(MAX(0,AM229),2),0))</f>
        <v/>
      </c>
      <c r="AQ229" s="29">
        <f>IF(A229&gt;SV_T,0,AQ228*(1+SV_savRate)+H229+I229+J229+K229+L229+AE229+AP229)</f>
        <v/>
      </c>
      <c r="AR229" s="29">
        <f>IF(A229&gt;SV_T,0,MAX(0,O229+P229+Q229+AD229+AQ229+AO229-AF229))</f>
        <v/>
      </c>
      <c r="AS229" s="29">
        <f>IF(A229&gt;SV_T,0,O229+P229+AQ229+AO229-MAX(0,AF229-(Q229+AD229)))</f>
        <v/>
      </c>
    </row>
    <row r="230">
      <c r="A230" s="61" t="n">
        <v>68</v>
      </c>
      <c r="B230" s="61">
        <f>SV_age+A230</f>
        <v/>
      </c>
      <c r="C230" s="61">
        <f>currentYear+A230</f>
        <v/>
      </c>
      <c r="D230" s="52">
        <f>A230&lt;=SV_T</f>
        <v/>
      </c>
      <c r="E230" s="60">
        <f>IF(AND(SV_inflOn,A230&gt;=SV_inflS,A230&lt;=SV_inflE),1+SV_inflRate,1+inflationRate)</f>
        <v/>
      </c>
      <c r="F230" s="60">
        <f>IF(A230&lt;=1,1,F229*E230)</f>
        <v/>
      </c>
      <c r="G230" s="60">
        <f>IF(AND(SV_incOn,A230&gt;=SV_incS,A230&lt;=SV_incE),1+SV_incImp,1)</f>
        <v/>
      </c>
      <c r="H230" s="29">
        <f>IF(OR(OR(A230&lt;1,A230&gt;SV_T),A230-1&gt;=SV_salCut,AND(SV_deaOn,A230&gt;=SV_deaM)),0,SV_sal0*(1+incomeGrowthRate)^(A230-1)*G230)</f>
        <v/>
      </c>
      <c r="I230" s="29">
        <f>IF(OR(A230&lt;1,A230&gt;SV_T),0,(-SV_exp0*F230-IF(A230&lt;=SV_loanYears,SV_inst,0)-IF(AND(SV_wdAmt&gt;0,A230=SV_wdYear),SV_wdAmt,0))*IF(AND(SV_expOn,A230&gt;=SV_expS,A230&lt;=SV_expE),1+SV_expImp,1))</f>
        <v/>
      </c>
      <c r="J230" s="29">
        <f>IF(OR(A230&lt;1,A230&gt;SV_T),0,-F230*(IF(AND(SV_deaOn,A230=SV_deaM),SV_deaAmt,0)+IF(AND(SV_criOn,A230=SV_criM),SV_criAmt,0)+IF(AND(SV_tpdOn,A230=SV_tpdM),SV_tpdAmt,0)+IF(AND(SV_pacOn,A230=SV_pacM),SV_pacAmt,0)+IF(AND(SV_hosOn,A230=SV_hosM),SV_hosAmt,0)+IF(AND(SV_wedOn,A230=SV_wedM),SV_wedAmt,0)+IF(AND(SV_babOn,A230=SV_babM),SV_babAmt,0)+IF(AND(SV_ltcOn,A230&gt;=SV_ltcM,A230&lt;=SV_ltcE),SV_ltcAmt,0)))</f>
        <v/>
      </c>
      <c r="K230" s="29">
        <f>IF(OR(OR(A230&lt;1,A230&gt;SV_T),A230&gt;SV_loanYears),0,-SV_lifePremYr)</f>
        <v/>
      </c>
      <c r="L230" s="29">
        <f>IF(OR(A230&lt;1,A230&gt;SV_T),0,-SV_contrib)</f>
        <v/>
      </c>
      <c r="M230" s="60">
        <f>IF(AND(SV_crashOn,A230=SV_crashYr),SV_crashF,1)</f>
        <v/>
      </c>
      <c r="N230" s="60">
        <f>IF(AND(SV_ccyOn,A230=SV_ccyYr),SV_ccyF,1)</f>
        <v/>
      </c>
      <c r="O230" s="29">
        <f>IF(A230&gt;SV_T,0,O229*(1+interestRate)*M230*N230)</f>
        <v/>
      </c>
      <c r="P230" s="29">
        <f>IF(A230&gt;SV_T,0,(P229+SV_contrib)*(1+investmentReturn)*M230*N230)</f>
        <v/>
      </c>
      <c r="Q230" s="29">
        <f>IF(A230&gt;SV_T,0,Q229*(1+SV_propRate)*M230)</f>
        <v/>
      </c>
      <c r="R230" s="46">
        <f>MATCH(SV_age+A230-1,SV_cpfLower,1)</f>
        <v/>
      </c>
      <c r="S230" s="29">
        <f>IF(OR(OR(A230&lt;1,A230&gt;SV_T),NOT(SV_cpfOn),AND(SV_deaOn,A230&gt;=SV_deaM)),0,MIN(SV_sal0*(1+incomeGrowthRate)^(A230-1)*G230,SV_owCap))</f>
        <v/>
      </c>
      <c r="T230" s="29">
        <f>IF(A230&gt;SV_T,0,T229*(1+SV_oaRate)+IF(A230&gt;=SV_effStop,0,INDEX(SV_cpfOA,R230)*INDEX(SV_cpfTot,R230)*S230))</f>
        <v/>
      </c>
      <c r="U230" s="29">
        <f>IF(A230&gt;SV_T,0,U229*(1+SV_saRate)+IF(A230&gt;=SV_effStop,0,INDEX(SV_cpfSA,R230)*INDEX(SV_cpfTot,R230)*S230))</f>
        <v/>
      </c>
      <c r="V230" s="29">
        <f>IF(A230&gt;SV_T,0,V229*(1+SV_saRate)+IF(A230&gt;=SV_effStop,0,INDEX(SV_cpfMA,R230)*INDEX(SV_cpfTot,R230)*S230))</f>
        <v/>
      </c>
      <c r="W230" s="29">
        <f>IF(OR(OR(A230&lt;1,A230&gt;SV_T),A230&gt;=SV_effNeg),0,-(INDEX(SV_cpfOA,R230)+INDEX(SV_cpfSA,R230)+INDEX(SV_cpfMA,R230))*INDEX(SV_cpfEmp,R230)*S230)</f>
        <v/>
      </c>
      <c r="X230" s="29">
        <f>IF(A230&gt;=SV_sIdx,0,T230)</f>
        <v/>
      </c>
      <c r="Y230" s="29">
        <f>IF(A230&gt;=SV_sIdx,0,U230)</f>
        <v/>
      </c>
      <c r="Z230" s="29">
        <f>IF(A230&gt;=SV_sIdx,MIN(V230,SV_maCap),V230)</f>
        <v/>
      </c>
      <c r="AA230" s="29">
        <f>IF(AND(SV_cpfOn,A230&gt;=SV_pIdx,A230&lt;=SV_T),12*SV_pay,0)</f>
        <v/>
      </c>
      <c r="AB230" s="29">
        <f>IF(A230&gt;SV_T,0,IF(SV_sp&gt;=0,IF(A230&lt;SV_sIdx,0,IF(A230=SV_sIdx,SV_R0,SV_lifeGrowth*AB229)),SV_lifeGrowth*AB229))</f>
        <v/>
      </c>
      <c r="AC230" s="29">
        <f>IF(A230&gt;SV_T,0,IF(AND(SV_sp&gt;=0,A230&lt;SV_sIdx),0,IF(AND(SV_sp&gt;=0,A230=SV_sIdx),SV_L0,SV_lifeGrowth*(AC229-AA230))))</f>
        <v/>
      </c>
      <c r="AD230" s="29">
        <f>X230+Y230+AB230+Z230+IF(AB230&lt;0,0,AC230)</f>
        <v/>
      </c>
      <c r="AE230" s="29">
        <f>AA230+W230</f>
        <v/>
      </c>
      <c r="AF230" s="29">
        <f>IF(OR(A230&gt;SV_T,A230&gt;=SV_loanYears),0,MAX(0,AF229*(1+loanRate)-SV_inst))</f>
        <v/>
      </c>
      <c r="AG230" s="29">
        <f>IF(A230&gt;SV_T,0,AG229*(1+SV_savRate)+H230+I230+J230+K230+L230+AE230)</f>
        <v/>
      </c>
      <c r="AH230" s="29">
        <f>IF(A230&gt;SV_T,0,MAX(0,O230+P230+Q230+AD230+AG230-AF230))</f>
        <v/>
      </c>
      <c r="AI230" s="29">
        <f>IF(A230&gt;SV_T,0,O230+P230+AG230-MAX(0,AF230-(Q230+AD230)))</f>
        <v/>
      </c>
      <c r="AJ230" s="29">
        <f>IF(OR(OR(A230&lt;1,A230&gt;SV_T),A230-1&gt;=SV_retPay),0,SV_retMth*12+IF(A230=1,SV_retLump,0))</f>
        <v/>
      </c>
      <c r="AK230" s="29">
        <f>IF(A230&gt;SV_T,0,(AK229+AJ230)*(1+investmentReturn))</f>
        <v/>
      </c>
      <c r="AL230" s="29">
        <f>IF(OR(OR(A230&lt;1,A230&gt;SV_T),A230-1&gt;=SV_goalPay),0,SV_goalMth*12+IF(A230=1,SV_goalLump,0))</f>
        <v/>
      </c>
      <c r="AM230" s="29">
        <f>IF(A230&gt;SV_T,0,(AM229+AL230)*(1+investmentReturn))</f>
        <v/>
      </c>
      <c r="AN230" s="29">
        <f>IF(OR(OR(A230&lt;1,A230&gt;SV_T),A230-1&gt;=SV_protPay),0,SV_protPrem)</f>
        <v/>
      </c>
      <c r="AO230" s="29">
        <f>IF(OR(A230=0,A230&gt;=SV_T),0,ROUND(MAX(0,AK230),2)+ROUND(MAX(0,AM230),2))</f>
        <v/>
      </c>
      <c r="AP230" s="29">
        <f>IF(OR(A230&lt;1,A230&gt;SV_T),0,-(AJ230+AL230+AN230)+IF(A230=SV_T,ROUND(MAX(0,AK230),2)+ROUND(MAX(0,AM230),2),0))</f>
        <v/>
      </c>
      <c r="AQ230" s="29">
        <f>IF(A230&gt;SV_T,0,AQ229*(1+SV_savRate)+H230+I230+J230+K230+L230+AE230+AP230)</f>
        <v/>
      </c>
      <c r="AR230" s="29">
        <f>IF(A230&gt;SV_T,0,MAX(0,O230+P230+Q230+AD230+AQ230+AO230-AF230))</f>
        <v/>
      </c>
      <c r="AS230" s="29">
        <f>IF(A230&gt;SV_T,0,O230+P230+AQ230+AO230-MAX(0,AF230-(Q230+AD230)))</f>
        <v/>
      </c>
    </row>
    <row r="231">
      <c r="A231" s="61" t="n">
        <v>69</v>
      </c>
      <c r="B231" s="61">
        <f>SV_age+A231</f>
        <v/>
      </c>
      <c r="C231" s="61">
        <f>currentYear+A231</f>
        <v/>
      </c>
      <c r="D231" s="52">
        <f>A231&lt;=SV_T</f>
        <v/>
      </c>
      <c r="E231" s="60">
        <f>IF(AND(SV_inflOn,A231&gt;=SV_inflS,A231&lt;=SV_inflE),1+SV_inflRate,1+inflationRate)</f>
        <v/>
      </c>
      <c r="F231" s="60">
        <f>IF(A231&lt;=1,1,F230*E231)</f>
        <v/>
      </c>
      <c r="G231" s="60">
        <f>IF(AND(SV_incOn,A231&gt;=SV_incS,A231&lt;=SV_incE),1+SV_incImp,1)</f>
        <v/>
      </c>
      <c r="H231" s="29">
        <f>IF(OR(OR(A231&lt;1,A231&gt;SV_T),A231-1&gt;=SV_salCut,AND(SV_deaOn,A231&gt;=SV_deaM)),0,SV_sal0*(1+incomeGrowthRate)^(A231-1)*G231)</f>
        <v/>
      </c>
      <c r="I231" s="29">
        <f>IF(OR(A231&lt;1,A231&gt;SV_T),0,(-SV_exp0*F231-IF(A231&lt;=SV_loanYears,SV_inst,0)-IF(AND(SV_wdAmt&gt;0,A231=SV_wdYear),SV_wdAmt,0))*IF(AND(SV_expOn,A231&gt;=SV_expS,A231&lt;=SV_expE),1+SV_expImp,1))</f>
        <v/>
      </c>
      <c r="J231" s="29">
        <f>IF(OR(A231&lt;1,A231&gt;SV_T),0,-F231*(IF(AND(SV_deaOn,A231=SV_deaM),SV_deaAmt,0)+IF(AND(SV_criOn,A231=SV_criM),SV_criAmt,0)+IF(AND(SV_tpdOn,A231=SV_tpdM),SV_tpdAmt,0)+IF(AND(SV_pacOn,A231=SV_pacM),SV_pacAmt,0)+IF(AND(SV_hosOn,A231=SV_hosM),SV_hosAmt,0)+IF(AND(SV_wedOn,A231=SV_wedM),SV_wedAmt,0)+IF(AND(SV_babOn,A231=SV_babM),SV_babAmt,0)+IF(AND(SV_ltcOn,A231&gt;=SV_ltcM,A231&lt;=SV_ltcE),SV_ltcAmt,0)))</f>
        <v/>
      </c>
      <c r="K231" s="29">
        <f>IF(OR(OR(A231&lt;1,A231&gt;SV_T),A231&gt;SV_loanYears),0,-SV_lifePremYr)</f>
        <v/>
      </c>
      <c r="L231" s="29">
        <f>IF(OR(A231&lt;1,A231&gt;SV_T),0,-SV_contrib)</f>
        <v/>
      </c>
      <c r="M231" s="60">
        <f>IF(AND(SV_crashOn,A231=SV_crashYr),SV_crashF,1)</f>
        <v/>
      </c>
      <c r="N231" s="60">
        <f>IF(AND(SV_ccyOn,A231=SV_ccyYr),SV_ccyF,1)</f>
        <v/>
      </c>
      <c r="O231" s="29">
        <f>IF(A231&gt;SV_T,0,O230*(1+interestRate)*M231*N231)</f>
        <v/>
      </c>
      <c r="P231" s="29">
        <f>IF(A231&gt;SV_T,0,(P230+SV_contrib)*(1+investmentReturn)*M231*N231)</f>
        <v/>
      </c>
      <c r="Q231" s="29">
        <f>IF(A231&gt;SV_T,0,Q230*(1+SV_propRate)*M231)</f>
        <v/>
      </c>
      <c r="R231" s="46">
        <f>MATCH(SV_age+A231-1,SV_cpfLower,1)</f>
        <v/>
      </c>
      <c r="S231" s="29">
        <f>IF(OR(OR(A231&lt;1,A231&gt;SV_T),NOT(SV_cpfOn),AND(SV_deaOn,A231&gt;=SV_deaM)),0,MIN(SV_sal0*(1+incomeGrowthRate)^(A231-1)*G231,SV_owCap))</f>
        <v/>
      </c>
      <c r="T231" s="29">
        <f>IF(A231&gt;SV_T,0,T230*(1+SV_oaRate)+IF(A231&gt;=SV_effStop,0,INDEX(SV_cpfOA,R231)*INDEX(SV_cpfTot,R231)*S231))</f>
        <v/>
      </c>
      <c r="U231" s="29">
        <f>IF(A231&gt;SV_T,0,U230*(1+SV_saRate)+IF(A231&gt;=SV_effStop,0,INDEX(SV_cpfSA,R231)*INDEX(SV_cpfTot,R231)*S231))</f>
        <v/>
      </c>
      <c r="V231" s="29">
        <f>IF(A231&gt;SV_T,0,V230*(1+SV_saRate)+IF(A231&gt;=SV_effStop,0,INDEX(SV_cpfMA,R231)*INDEX(SV_cpfTot,R231)*S231))</f>
        <v/>
      </c>
      <c r="W231" s="29">
        <f>IF(OR(OR(A231&lt;1,A231&gt;SV_T),A231&gt;=SV_effNeg),0,-(INDEX(SV_cpfOA,R231)+INDEX(SV_cpfSA,R231)+INDEX(SV_cpfMA,R231))*INDEX(SV_cpfEmp,R231)*S231)</f>
        <v/>
      </c>
      <c r="X231" s="29">
        <f>IF(A231&gt;=SV_sIdx,0,T231)</f>
        <v/>
      </c>
      <c r="Y231" s="29">
        <f>IF(A231&gt;=SV_sIdx,0,U231)</f>
        <v/>
      </c>
      <c r="Z231" s="29">
        <f>IF(A231&gt;=SV_sIdx,MIN(V231,SV_maCap),V231)</f>
        <v/>
      </c>
      <c r="AA231" s="29">
        <f>IF(AND(SV_cpfOn,A231&gt;=SV_pIdx,A231&lt;=SV_T),12*SV_pay,0)</f>
        <v/>
      </c>
      <c r="AB231" s="29">
        <f>IF(A231&gt;SV_T,0,IF(SV_sp&gt;=0,IF(A231&lt;SV_sIdx,0,IF(A231=SV_sIdx,SV_R0,SV_lifeGrowth*AB230)),SV_lifeGrowth*AB230))</f>
        <v/>
      </c>
      <c r="AC231" s="29">
        <f>IF(A231&gt;SV_T,0,IF(AND(SV_sp&gt;=0,A231&lt;SV_sIdx),0,IF(AND(SV_sp&gt;=0,A231=SV_sIdx),SV_L0,SV_lifeGrowth*(AC230-AA231))))</f>
        <v/>
      </c>
      <c r="AD231" s="29">
        <f>X231+Y231+AB231+Z231+IF(AB231&lt;0,0,AC231)</f>
        <v/>
      </c>
      <c r="AE231" s="29">
        <f>AA231+W231</f>
        <v/>
      </c>
      <c r="AF231" s="29">
        <f>IF(OR(A231&gt;SV_T,A231&gt;=SV_loanYears),0,MAX(0,AF230*(1+loanRate)-SV_inst))</f>
        <v/>
      </c>
      <c r="AG231" s="29">
        <f>IF(A231&gt;SV_T,0,AG230*(1+SV_savRate)+H231+I231+J231+K231+L231+AE231)</f>
        <v/>
      </c>
      <c r="AH231" s="29">
        <f>IF(A231&gt;SV_T,0,MAX(0,O231+P231+Q231+AD231+AG231-AF231))</f>
        <v/>
      </c>
      <c r="AI231" s="29">
        <f>IF(A231&gt;SV_T,0,O231+P231+AG231-MAX(0,AF231-(Q231+AD231)))</f>
        <v/>
      </c>
      <c r="AJ231" s="29">
        <f>IF(OR(OR(A231&lt;1,A231&gt;SV_T),A231-1&gt;=SV_retPay),0,SV_retMth*12+IF(A231=1,SV_retLump,0))</f>
        <v/>
      </c>
      <c r="AK231" s="29">
        <f>IF(A231&gt;SV_T,0,(AK230+AJ231)*(1+investmentReturn))</f>
        <v/>
      </c>
      <c r="AL231" s="29">
        <f>IF(OR(OR(A231&lt;1,A231&gt;SV_T),A231-1&gt;=SV_goalPay),0,SV_goalMth*12+IF(A231=1,SV_goalLump,0))</f>
        <v/>
      </c>
      <c r="AM231" s="29">
        <f>IF(A231&gt;SV_T,0,(AM230+AL231)*(1+investmentReturn))</f>
        <v/>
      </c>
      <c r="AN231" s="29">
        <f>IF(OR(OR(A231&lt;1,A231&gt;SV_T),A231-1&gt;=SV_protPay),0,SV_protPrem)</f>
        <v/>
      </c>
      <c r="AO231" s="29">
        <f>IF(OR(A231=0,A231&gt;=SV_T),0,ROUND(MAX(0,AK231),2)+ROUND(MAX(0,AM231),2))</f>
        <v/>
      </c>
      <c r="AP231" s="29">
        <f>IF(OR(A231&lt;1,A231&gt;SV_T),0,-(AJ231+AL231+AN231)+IF(A231=SV_T,ROUND(MAX(0,AK231),2)+ROUND(MAX(0,AM231),2),0))</f>
        <v/>
      </c>
      <c r="AQ231" s="29">
        <f>IF(A231&gt;SV_T,0,AQ230*(1+SV_savRate)+H231+I231+J231+K231+L231+AE231+AP231)</f>
        <v/>
      </c>
      <c r="AR231" s="29">
        <f>IF(A231&gt;SV_T,0,MAX(0,O231+P231+Q231+AD231+AQ231+AO231-AF231))</f>
        <v/>
      </c>
      <c r="AS231" s="29">
        <f>IF(A231&gt;SV_T,0,O231+P231+AQ231+AO231-MAX(0,AF231-(Q231+AD231)))</f>
        <v/>
      </c>
    </row>
    <row r="232">
      <c r="A232" s="61" t="n">
        <v>70</v>
      </c>
      <c r="B232" s="61">
        <f>SV_age+A232</f>
        <v/>
      </c>
      <c r="C232" s="61">
        <f>currentYear+A232</f>
        <v/>
      </c>
      <c r="D232" s="52">
        <f>A232&lt;=SV_T</f>
        <v/>
      </c>
      <c r="E232" s="60">
        <f>IF(AND(SV_inflOn,A232&gt;=SV_inflS,A232&lt;=SV_inflE),1+SV_inflRate,1+inflationRate)</f>
        <v/>
      </c>
      <c r="F232" s="60">
        <f>IF(A232&lt;=1,1,F231*E232)</f>
        <v/>
      </c>
      <c r="G232" s="60">
        <f>IF(AND(SV_incOn,A232&gt;=SV_incS,A232&lt;=SV_incE),1+SV_incImp,1)</f>
        <v/>
      </c>
      <c r="H232" s="29">
        <f>IF(OR(OR(A232&lt;1,A232&gt;SV_T),A232-1&gt;=SV_salCut,AND(SV_deaOn,A232&gt;=SV_deaM)),0,SV_sal0*(1+incomeGrowthRate)^(A232-1)*G232)</f>
        <v/>
      </c>
      <c r="I232" s="29">
        <f>IF(OR(A232&lt;1,A232&gt;SV_T),0,(-SV_exp0*F232-IF(A232&lt;=SV_loanYears,SV_inst,0)-IF(AND(SV_wdAmt&gt;0,A232=SV_wdYear),SV_wdAmt,0))*IF(AND(SV_expOn,A232&gt;=SV_expS,A232&lt;=SV_expE),1+SV_expImp,1))</f>
        <v/>
      </c>
      <c r="J232" s="29">
        <f>IF(OR(A232&lt;1,A232&gt;SV_T),0,-F232*(IF(AND(SV_deaOn,A232=SV_deaM),SV_deaAmt,0)+IF(AND(SV_criOn,A232=SV_criM),SV_criAmt,0)+IF(AND(SV_tpdOn,A232=SV_tpdM),SV_tpdAmt,0)+IF(AND(SV_pacOn,A232=SV_pacM),SV_pacAmt,0)+IF(AND(SV_hosOn,A232=SV_hosM),SV_hosAmt,0)+IF(AND(SV_wedOn,A232=SV_wedM),SV_wedAmt,0)+IF(AND(SV_babOn,A232=SV_babM),SV_babAmt,0)+IF(AND(SV_ltcOn,A232&gt;=SV_ltcM,A232&lt;=SV_ltcE),SV_ltcAmt,0)))</f>
        <v/>
      </c>
      <c r="K232" s="29">
        <f>IF(OR(OR(A232&lt;1,A232&gt;SV_T),A232&gt;SV_loanYears),0,-SV_lifePremYr)</f>
        <v/>
      </c>
      <c r="L232" s="29">
        <f>IF(OR(A232&lt;1,A232&gt;SV_T),0,-SV_contrib)</f>
        <v/>
      </c>
      <c r="M232" s="60">
        <f>IF(AND(SV_crashOn,A232=SV_crashYr),SV_crashF,1)</f>
        <v/>
      </c>
      <c r="N232" s="60">
        <f>IF(AND(SV_ccyOn,A232=SV_ccyYr),SV_ccyF,1)</f>
        <v/>
      </c>
      <c r="O232" s="29">
        <f>IF(A232&gt;SV_T,0,O231*(1+interestRate)*M232*N232)</f>
        <v/>
      </c>
      <c r="P232" s="29">
        <f>IF(A232&gt;SV_T,0,(P231+SV_contrib)*(1+investmentReturn)*M232*N232)</f>
        <v/>
      </c>
      <c r="Q232" s="29">
        <f>IF(A232&gt;SV_T,0,Q231*(1+SV_propRate)*M232)</f>
        <v/>
      </c>
      <c r="R232" s="46">
        <f>MATCH(SV_age+A232-1,SV_cpfLower,1)</f>
        <v/>
      </c>
      <c r="S232" s="29">
        <f>IF(OR(OR(A232&lt;1,A232&gt;SV_T),NOT(SV_cpfOn),AND(SV_deaOn,A232&gt;=SV_deaM)),0,MIN(SV_sal0*(1+incomeGrowthRate)^(A232-1)*G232,SV_owCap))</f>
        <v/>
      </c>
      <c r="T232" s="29">
        <f>IF(A232&gt;SV_T,0,T231*(1+SV_oaRate)+IF(A232&gt;=SV_effStop,0,INDEX(SV_cpfOA,R232)*INDEX(SV_cpfTot,R232)*S232))</f>
        <v/>
      </c>
      <c r="U232" s="29">
        <f>IF(A232&gt;SV_T,0,U231*(1+SV_saRate)+IF(A232&gt;=SV_effStop,0,INDEX(SV_cpfSA,R232)*INDEX(SV_cpfTot,R232)*S232))</f>
        <v/>
      </c>
      <c r="V232" s="29">
        <f>IF(A232&gt;SV_T,0,V231*(1+SV_saRate)+IF(A232&gt;=SV_effStop,0,INDEX(SV_cpfMA,R232)*INDEX(SV_cpfTot,R232)*S232))</f>
        <v/>
      </c>
      <c r="W232" s="29">
        <f>IF(OR(OR(A232&lt;1,A232&gt;SV_T),A232&gt;=SV_effNeg),0,-(INDEX(SV_cpfOA,R232)+INDEX(SV_cpfSA,R232)+INDEX(SV_cpfMA,R232))*INDEX(SV_cpfEmp,R232)*S232)</f>
        <v/>
      </c>
      <c r="X232" s="29">
        <f>IF(A232&gt;=SV_sIdx,0,T232)</f>
        <v/>
      </c>
      <c r="Y232" s="29">
        <f>IF(A232&gt;=SV_sIdx,0,U232)</f>
        <v/>
      </c>
      <c r="Z232" s="29">
        <f>IF(A232&gt;=SV_sIdx,MIN(V232,SV_maCap),V232)</f>
        <v/>
      </c>
      <c r="AA232" s="29">
        <f>IF(AND(SV_cpfOn,A232&gt;=SV_pIdx,A232&lt;=SV_T),12*SV_pay,0)</f>
        <v/>
      </c>
      <c r="AB232" s="29">
        <f>IF(A232&gt;SV_T,0,IF(SV_sp&gt;=0,IF(A232&lt;SV_sIdx,0,IF(A232=SV_sIdx,SV_R0,SV_lifeGrowth*AB231)),SV_lifeGrowth*AB231))</f>
        <v/>
      </c>
      <c r="AC232" s="29">
        <f>IF(A232&gt;SV_T,0,IF(AND(SV_sp&gt;=0,A232&lt;SV_sIdx),0,IF(AND(SV_sp&gt;=0,A232=SV_sIdx),SV_L0,SV_lifeGrowth*(AC231-AA232))))</f>
        <v/>
      </c>
      <c r="AD232" s="29">
        <f>X232+Y232+AB232+Z232+IF(AB232&lt;0,0,AC232)</f>
        <v/>
      </c>
      <c r="AE232" s="29">
        <f>AA232+W232</f>
        <v/>
      </c>
      <c r="AF232" s="29">
        <f>IF(OR(A232&gt;SV_T,A232&gt;=SV_loanYears),0,MAX(0,AF231*(1+loanRate)-SV_inst))</f>
        <v/>
      </c>
      <c r="AG232" s="29">
        <f>IF(A232&gt;SV_T,0,AG231*(1+SV_savRate)+H232+I232+J232+K232+L232+AE232)</f>
        <v/>
      </c>
      <c r="AH232" s="29">
        <f>IF(A232&gt;SV_T,0,MAX(0,O232+P232+Q232+AD232+AG232-AF232))</f>
        <v/>
      </c>
      <c r="AI232" s="29">
        <f>IF(A232&gt;SV_T,0,O232+P232+AG232-MAX(0,AF232-(Q232+AD232)))</f>
        <v/>
      </c>
      <c r="AJ232" s="29">
        <f>IF(OR(OR(A232&lt;1,A232&gt;SV_T),A232-1&gt;=SV_retPay),0,SV_retMth*12+IF(A232=1,SV_retLump,0))</f>
        <v/>
      </c>
      <c r="AK232" s="29">
        <f>IF(A232&gt;SV_T,0,(AK231+AJ232)*(1+investmentReturn))</f>
        <v/>
      </c>
      <c r="AL232" s="29">
        <f>IF(OR(OR(A232&lt;1,A232&gt;SV_T),A232-1&gt;=SV_goalPay),0,SV_goalMth*12+IF(A232=1,SV_goalLump,0))</f>
        <v/>
      </c>
      <c r="AM232" s="29">
        <f>IF(A232&gt;SV_T,0,(AM231+AL232)*(1+investmentReturn))</f>
        <v/>
      </c>
      <c r="AN232" s="29">
        <f>IF(OR(OR(A232&lt;1,A232&gt;SV_T),A232-1&gt;=SV_protPay),0,SV_protPrem)</f>
        <v/>
      </c>
      <c r="AO232" s="29">
        <f>IF(OR(A232=0,A232&gt;=SV_T),0,ROUND(MAX(0,AK232),2)+ROUND(MAX(0,AM232),2))</f>
        <v/>
      </c>
      <c r="AP232" s="29">
        <f>IF(OR(A232&lt;1,A232&gt;SV_T),0,-(AJ232+AL232+AN232)+IF(A232=SV_T,ROUND(MAX(0,AK232),2)+ROUND(MAX(0,AM232),2),0))</f>
        <v/>
      </c>
      <c r="AQ232" s="29">
        <f>IF(A232&gt;SV_T,0,AQ231*(1+SV_savRate)+H232+I232+J232+K232+L232+AE232+AP232)</f>
        <v/>
      </c>
      <c r="AR232" s="29">
        <f>IF(A232&gt;SV_T,0,MAX(0,O232+P232+Q232+AD232+AQ232+AO232-AF232))</f>
        <v/>
      </c>
      <c r="AS232" s="29">
        <f>IF(A232&gt;SV_T,0,O232+P232+AQ232+AO232-MAX(0,AF232-(Q232+AD232)))</f>
        <v/>
      </c>
    </row>
    <row r="233">
      <c r="A233" s="61" t="n">
        <v>71</v>
      </c>
      <c r="B233" s="61">
        <f>SV_age+A233</f>
        <v/>
      </c>
      <c r="C233" s="61">
        <f>currentYear+A233</f>
        <v/>
      </c>
      <c r="D233" s="52">
        <f>A233&lt;=SV_T</f>
        <v/>
      </c>
      <c r="E233" s="60">
        <f>IF(AND(SV_inflOn,A233&gt;=SV_inflS,A233&lt;=SV_inflE),1+SV_inflRate,1+inflationRate)</f>
        <v/>
      </c>
      <c r="F233" s="60">
        <f>IF(A233&lt;=1,1,F232*E233)</f>
        <v/>
      </c>
      <c r="G233" s="60">
        <f>IF(AND(SV_incOn,A233&gt;=SV_incS,A233&lt;=SV_incE),1+SV_incImp,1)</f>
        <v/>
      </c>
      <c r="H233" s="29">
        <f>IF(OR(OR(A233&lt;1,A233&gt;SV_T),A233-1&gt;=SV_salCut,AND(SV_deaOn,A233&gt;=SV_deaM)),0,SV_sal0*(1+incomeGrowthRate)^(A233-1)*G233)</f>
        <v/>
      </c>
      <c r="I233" s="29">
        <f>IF(OR(A233&lt;1,A233&gt;SV_T),0,(-SV_exp0*F233-IF(A233&lt;=SV_loanYears,SV_inst,0)-IF(AND(SV_wdAmt&gt;0,A233=SV_wdYear),SV_wdAmt,0))*IF(AND(SV_expOn,A233&gt;=SV_expS,A233&lt;=SV_expE),1+SV_expImp,1))</f>
        <v/>
      </c>
      <c r="J233" s="29">
        <f>IF(OR(A233&lt;1,A233&gt;SV_T),0,-F233*(IF(AND(SV_deaOn,A233=SV_deaM),SV_deaAmt,0)+IF(AND(SV_criOn,A233=SV_criM),SV_criAmt,0)+IF(AND(SV_tpdOn,A233=SV_tpdM),SV_tpdAmt,0)+IF(AND(SV_pacOn,A233=SV_pacM),SV_pacAmt,0)+IF(AND(SV_hosOn,A233=SV_hosM),SV_hosAmt,0)+IF(AND(SV_wedOn,A233=SV_wedM),SV_wedAmt,0)+IF(AND(SV_babOn,A233=SV_babM),SV_babAmt,0)+IF(AND(SV_ltcOn,A233&gt;=SV_ltcM,A233&lt;=SV_ltcE),SV_ltcAmt,0)))</f>
        <v/>
      </c>
      <c r="K233" s="29">
        <f>IF(OR(OR(A233&lt;1,A233&gt;SV_T),A233&gt;SV_loanYears),0,-SV_lifePremYr)</f>
        <v/>
      </c>
      <c r="L233" s="29">
        <f>IF(OR(A233&lt;1,A233&gt;SV_T),0,-SV_contrib)</f>
        <v/>
      </c>
      <c r="M233" s="60">
        <f>IF(AND(SV_crashOn,A233=SV_crashYr),SV_crashF,1)</f>
        <v/>
      </c>
      <c r="N233" s="60">
        <f>IF(AND(SV_ccyOn,A233=SV_ccyYr),SV_ccyF,1)</f>
        <v/>
      </c>
      <c r="O233" s="29">
        <f>IF(A233&gt;SV_T,0,O232*(1+interestRate)*M233*N233)</f>
        <v/>
      </c>
      <c r="P233" s="29">
        <f>IF(A233&gt;SV_T,0,(P232+SV_contrib)*(1+investmentReturn)*M233*N233)</f>
        <v/>
      </c>
      <c r="Q233" s="29">
        <f>IF(A233&gt;SV_T,0,Q232*(1+SV_propRate)*M233)</f>
        <v/>
      </c>
      <c r="R233" s="46">
        <f>MATCH(SV_age+A233-1,SV_cpfLower,1)</f>
        <v/>
      </c>
      <c r="S233" s="29">
        <f>IF(OR(OR(A233&lt;1,A233&gt;SV_T),NOT(SV_cpfOn),AND(SV_deaOn,A233&gt;=SV_deaM)),0,MIN(SV_sal0*(1+incomeGrowthRate)^(A233-1)*G233,SV_owCap))</f>
        <v/>
      </c>
      <c r="T233" s="29">
        <f>IF(A233&gt;SV_T,0,T232*(1+SV_oaRate)+IF(A233&gt;=SV_effStop,0,INDEX(SV_cpfOA,R233)*INDEX(SV_cpfTot,R233)*S233))</f>
        <v/>
      </c>
      <c r="U233" s="29">
        <f>IF(A233&gt;SV_T,0,U232*(1+SV_saRate)+IF(A233&gt;=SV_effStop,0,INDEX(SV_cpfSA,R233)*INDEX(SV_cpfTot,R233)*S233))</f>
        <v/>
      </c>
      <c r="V233" s="29">
        <f>IF(A233&gt;SV_T,0,V232*(1+SV_saRate)+IF(A233&gt;=SV_effStop,0,INDEX(SV_cpfMA,R233)*INDEX(SV_cpfTot,R233)*S233))</f>
        <v/>
      </c>
      <c r="W233" s="29">
        <f>IF(OR(OR(A233&lt;1,A233&gt;SV_T),A233&gt;=SV_effNeg),0,-(INDEX(SV_cpfOA,R233)+INDEX(SV_cpfSA,R233)+INDEX(SV_cpfMA,R233))*INDEX(SV_cpfEmp,R233)*S233)</f>
        <v/>
      </c>
      <c r="X233" s="29">
        <f>IF(A233&gt;=SV_sIdx,0,T233)</f>
        <v/>
      </c>
      <c r="Y233" s="29">
        <f>IF(A233&gt;=SV_sIdx,0,U233)</f>
        <v/>
      </c>
      <c r="Z233" s="29">
        <f>IF(A233&gt;=SV_sIdx,MIN(V233,SV_maCap),V233)</f>
        <v/>
      </c>
      <c r="AA233" s="29">
        <f>IF(AND(SV_cpfOn,A233&gt;=SV_pIdx,A233&lt;=SV_T),12*SV_pay,0)</f>
        <v/>
      </c>
      <c r="AB233" s="29">
        <f>IF(A233&gt;SV_T,0,IF(SV_sp&gt;=0,IF(A233&lt;SV_sIdx,0,IF(A233=SV_sIdx,SV_R0,SV_lifeGrowth*AB232)),SV_lifeGrowth*AB232))</f>
        <v/>
      </c>
      <c r="AC233" s="29">
        <f>IF(A233&gt;SV_T,0,IF(AND(SV_sp&gt;=0,A233&lt;SV_sIdx),0,IF(AND(SV_sp&gt;=0,A233=SV_sIdx),SV_L0,SV_lifeGrowth*(AC232-AA233))))</f>
        <v/>
      </c>
      <c r="AD233" s="29">
        <f>X233+Y233+AB233+Z233+IF(AB233&lt;0,0,AC233)</f>
        <v/>
      </c>
      <c r="AE233" s="29">
        <f>AA233+W233</f>
        <v/>
      </c>
      <c r="AF233" s="29">
        <f>IF(OR(A233&gt;SV_T,A233&gt;=SV_loanYears),0,MAX(0,AF232*(1+loanRate)-SV_inst))</f>
        <v/>
      </c>
      <c r="AG233" s="29">
        <f>IF(A233&gt;SV_T,0,AG232*(1+SV_savRate)+H233+I233+J233+K233+L233+AE233)</f>
        <v/>
      </c>
      <c r="AH233" s="29">
        <f>IF(A233&gt;SV_T,0,MAX(0,O233+P233+Q233+AD233+AG233-AF233))</f>
        <v/>
      </c>
      <c r="AI233" s="29">
        <f>IF(A233&gt;SV_T,0,O233+P233+AG233-MAX(0,AF233-(Q233+AD233)))</f>
        <v/>
      </c>
      <c r="AJ233" s="29">
        <f>IF(OR(OR(A233&lt;1,A233&gt;SV_T),A233-1&gt;=SV_retPay),0,SV_retMth*12+IF(A233=1,SV_retLump,0))</f>
        <v/>
      </c>
      <c r="AK233" s="29">
        <f>IF(A233&gt;SV_T,0,(AK232+AJ233)*(1+investmentReturn))</f>
        <v/>
      </c>
      <c r="AL233" s="29">
        <f>IF(OR(OR(A233&lt;1,A233&gt;SV_T),A233-1&gt;=SV_goalPay),0,SV_goalMth*12+IF(A233=1,SV_goalLump,0))</f>
        <v/>
      </c>
      <c r="AM233" s="29">
        <f>IF(A233&gt;SV_T,0,(AM232+AL233)*(1+investmentReturn))</f>
        <v/>
      </c>
      <c r="AN233" s="29">
        <f>IF(OR(OR(A233&lt;1,A233&gt;SV_T),A233-1&gt;=SV_protPay),0,SV_protPrem)</f>
        <v/>
      </c>
      <c r="AO233" s="29">
        <f>IF(OR(A233=0,A233&gt;=SV_T),0,ROUND(MAX(0,AK233),2)+ROUND(MAX(0,AM233),2))</f>
        <v/>
      </c>
      <c r="AP233" s="29">
        <f>IF(OR(A233&lt;1,A233&gt;SV_T),0,-(AJ233+AL233+AN233)+IF(A233=SV_T,ROUND(MAX(0,AK233),2)+ROUND(MAX(0,AM233),2),0))</f>
        <v/>
      </c>
      <c r="AQ233" s="29">
        <f>IF(A233&gt;SV_T,0,AQ232*(1+SV_savRate)+H233+I233+J233+K233+L233+AE233+AP233)</f>
        <v/>
      </c>
      <c r="AR233" s="29">
        <f>IF(A233&gt;SV_T,0,MAX(0,O233+P233+Q233+AD233+AQ233+AO233-AF233))</f>
        <v/>
      </c>
      <c r="AS233" s="29">
        <f>IF(A233&gt;SV_T,0,O233+P233+AQ233+AO233-MAX(0,AF233-(Q233+AD233)))</f>
        <v/>
      </c>
    </row>
    <row r="234">
      <c r="A234" s="61" t="n">
        <v>72</v>
      </c>
      <c r="B234" s="61">
        <f>SV_age+A234</f>
        <v/>
      </c>
      <c r="C234" s="61">
        <f>currentYear+A234</f>
        <v/>
      </c>
      <c r="D234" s="52">
        <f>A234&lt;=SV_T</f>
        <v/>
      </c>
      <c r="E234" s="60">
        <f>IF(AND(SV_inflOn,A234&gt;=SV_inflS,A234&lt;=SV_inflE),1+SV_inflRate,1+inflationRate)</f>
        <v/>
      </c>
      <c r="F234" s="60">
        <f>IF(A234&lt;=1,1,F233*E234)</f>
        <v/>
      </c>
      <c r="G234" s="60">
        <f>IF(AND(SV_incOn,A234&gt;=SV_incS,A234&lt;=SV_incE),1+SV_incImp,1)</f>
        <v/>
      </c>
      <c r="H234" s="29">
        <f>IF(OR(OR(A234&lt;1,A234&gt;SV_T),A234-1&gt;=SV_salCut,AND(SV_deaOn,A234&gt;=SV_deaM)),0,SV_sal0*(1+incomeGrowthRate)^(A234-1)*G234)</f>
        <v/>
      </c>
      <c r="I234" s="29">
        <f>IF(OR(A234&lt;1,A234&gt;SV_T),0,(-SV_exp0*F234-IF(A234&lt;=SV_loanYears,SV_inst,0)-IF(AND(SV_wdAmt&gt;0,A234=SV_wdYear),SV_wdAmt,0))*IF(AND(SV_expOn,A234&gt;=SV_expS,A234&lt;=SV_expE),1+SV_expImp,1))</f>
        <v/>
      </c>
      <c r="J234" s="29">
        <f>IF(OR(A234&lt;1,A234&gt;SV_T),0,-F234*(IF(AND(SV_deaOn,A234=SV_deaM),SV_deaAmt,0)+IF(AND(SV_criOn,A234=SV_criM),SV_criAmt,0)+IF(AND(SV_tpdOn,A234=SV_tpdM),SV_tpdAmt,0)+IF(AND(SV_pacOn,A234=SV_pacM),SV_pacAmt,0)+IF(AND(SV_hosOn,A234=SV_hosM),SV_hosAmt,0)+IF(AND(SV_wedOn,A234=SV_wedM),SV_wedAmt,0)+IF(AND(SV_babOn,A234=SV_babM),SV_babAmt,0)+IF(AND(SV_ltcOn,A234&gt;=SV_ltcM,A234&lt;=SV_ltcE),SV_ltcAmt,0)))</f>
        <v/>
      </c>
      <c r="K234" s="29">
        <f>IF(OR(OR(A234&lt;1,A234&gt;SV_T),A234&gt;SV_loanYears),0,-SV_lifePremYr)</f>
        <v/>
      </c>
      <c r="L234" s="29">
        <f>IF(OR(A234&lt;1,A234&gt;SV_T),0,-SV_contrib)</f>
        <v/>
      </c>
      <c r="M234" s="60">
        <f>IF(AND(SV_crashOn,A234=SV_crashYr),SV_crashF,1)</f>
        <v/>
      </c>
      <c r="N234" s="60">
        <f>IF(AND(SV_ccyOn,A234=SV_ccyYr),SV_ccyF,1)</f>
        <v/>
      </c>
      <c r="O234" s="29">
        <f>IF(A234&gt;SV_T,0,O233*(1+interestRate)*M234*N234)</f>
        <v/>
      </c>
      <c r="P234" s="29">
        <f>IF(A234&gt;SV_T,0,(P233+SV_contrib)*(1+investmentReturn)*M234*N234)</f>
        <v/>
      </c>
      <c r="Q234" s="29">
        <f>IF(A234&gt;SV_T,0,Q233*(1+SV_propRate)*M234)</f>
        <v/>
      </c>
      <c r="R234" s="46">
        <f>MATCH(SV_age+A234-1,SV_cpfLower,1)</f>
        <v/>
      </c>
      <c r="S234" s="29">
        <f>IF(OR(OR(A234&lt;1,A234&gt;SV_T),NOT(SV_cpfOn),AND(SV_deaOn,A234&gt;=SV_deaM)),0,MIN(SV_sal0*(1+incomeGrowthRate)^(A234-1)*G234,SV_owCap))</f>
        <v/>
      </c>
      <c r="T234" s="29">
        <f>IF(A234&gt;SV_T,0,T233*(1+SV_oaRate)+IF(A234&gt;=SV_effStop,0,INDEX(SV_cpfOA,R234)*INDEX(SV_cpfTot,R234)*S234))</f>
        <v/>
      </c>
      <c r="U234" s="29">
        <f>IF(A234&gt;SV_T,0,U233*(1+SV_saRate)+IF(A234&gt;=SV_effStop,0,INDEX(SV_cpfSA,R234)*INDEX(SV_cpfTot,R234)*S234))</f>
        <v/>
      </c>
      <c r="V234" s="29">
        <f>IF(A234&gt;SV_T,0,V233*(1+SV_saRate)+IF(A234&gt;=SV_effStop,0,INDEX(SV_cpfMA,R234)*INDEX(SV_cpfTot,R234)*S234))</f>
        <v/>
      </c>
      <c r="W234" s="29">
        <f>IF(OR(OR(A234&lt;1,A234&gt;SV_T),A234&gt;=SV_effNeg),0,-(INDEX(SV_cpfOA,R234)+INDEX(SV_cpfSA,R234)+INDEX(SV_cpfMA,R234))*INDEX(SV_cpfEmp,R234)*S234)</f>
        <v/>
      </c>
      <c r="X234" s="29">
        <f>IF(A234&gt;=SV_sIdx,0,T234)</f>
        <v/>
      </c>
      <c r="Y234" s="29">
        <f>IF(A234&gt;=SV_sIdx,0,U234)</f>
        <v/>
      </c>
      <c r="Z234" s="29">
        <f>IF(A234&gt;=SV_sIdx,MIN(V234,SV_maCap),V234)</f>
        <v/>
      </c>
      <c r="AA234" s="29">
        <f>IF(AND(SV_cpfOn,A234&gt;=SV_pIdx,A234&lt;=SV_T),12*SV_pay,0)</f>
        <v/>
      </c>
      <c r="AB234" s="29">
        <f>IF(A234&gt;SV_T,0,IF(SV_sp&gt;=0,IF(A234&lt;SV_sIdx,0,IF(A234=SV_sIdx,SV_R0,SV_lifeGrowth*AB233)),SV_lifeGrowth*AB233))</f>
        <v/>
      </c>
      <c r="AC234" s="29">
        <f>IF(A234&gt;SV_T,0,IF(AND(SV_sp&gt;=0,A234&lt;SV_sIdx),0,IF(AND(SV_sp&gt;=0,A234=SV_sIdx),SV_L0,SV_lifeGrowth*(AC233-AA234))))</f>
        <v/>
      </c>
      <c r="AD234" s="29">
        <f>X234+Y234+AB234+Z234+IF(AB234&lt;0,0,AC234)</f>
        <v/>
      </c>
      <c r="AE234" s="29">
        <f>AA234+W234</f>
        <v/>
      </c>
      <c r="AF234" s="29">
        <f>IF(OR(A234&gt;SV_T,A234&gt;=SV_loanYears),0,MAX(0,AF233*(1+loanRate)-SV_inst))</f>
        <v/>
      </c>
      <c r="AG234" s="29">
        <f>IF(A234&gt;SV_T,0,AG233*(1+SV_savRate)+H234+I234+J234+K234+L234+AE234)</f>
        <v/>
      </c>
      <c r="AH234" s="29">
        <f>IF(A234&gt;SV_T,0,MAX(0,O234+P234+Q234+AD234+AG234-AF234))</f>
        <v/>
      </c>
      <c r="AI234" s="29">
        <f>IF(A234&gt;SV_T,0,O234+P234+AG234-MAX(0,AF234-(Q234+AD234)))</f>
        <v/>
      </c>
      <c r="AJ234" s="29">
        <f>IF(OR(OR(A234&lt;1,A234&gt;SV_T),A234-1&gt;=SV_retPay),0,SV_retMth*12+IF(A234=1,SV_retLump,0))</f>
        <v/>
      </c>
      <c r="AK234" s="29">
        <f>IF(A234&gt;SV_T,0,(AK233+AJ234)*(1+investmentReturn))</f>
        <v/>
      </c>
      <c r="AL234" s="29">
        <f>IF(OR(OR(A234&lt;1,A234&gt;SV_T),A234-1&gt;=SV_goalPay),0,SV_goalMth*12+IF(A234=1,SV_goalLump,0))</f>
        <v/>
      </c>
      <c r="AM234" s="29">
        <f>IF(A234&gt;SV_T,0,(AM233+AL234)*(1+investmentReturn))</f>
        <v/>
      </c>
      <c r="AN234" s="29">
        <f>IF(OR(OR(A234&lt;1,A234&gt;SV_T),A234-1&gt;=SV_protPay),0,SV_protPrem)</f>
        <v/>
      </c>
      <c r="AO234" s="29">
        <f>IF(OR(A234=0,A234&gt;=SV_T),0,ROUND(MAX(0,AK234),2)+ROUND(MAX(0,AM234),2))</f>
        <v/>
      </c>
      <c r="AP234" s="29">
        <f>IF(OR(A234&lt;1,A234&gt;SV_T),0,-(AJ234+AL234+AN234)+IF(A234=SV_T,ROUND(MAX(0,AK234),2)+ROUND(MAX(0,AM234),2),0))</f>
        <v/>
      </c>
      <c r="AQ234" s="29">
        <f>IF(A234&gt;SV_T,0,AQ233*(1+SV_savRate)+H234+I234+J234+K234+L234+AE234+AP234)</f>
        <v/>
      </c>
      <c r="AR234" s="29">
        <f>IF(A234&gt;SV_T,0,MAX(0,O234+P234+Q234+AD234+AQ234+AO234-AF234))</f>
        <v/>
      </c>
      <c r="AS234" s="29">
        <f>IF(A234&gt;SV_T,0,O234+P234+AQ234+AO234-MAX(0,AF234-(Q234+AD234)))</f>
        <v/>
      </c>
    </row>
    <row r="235">
      <c r="A235" s="61" t="n">
        <v>73</v>
      </c>
      <c r="B235" s="61">
        <f>SV_age+A235</f>
        <v/>
      </c>
      <c r="C235" s="61">
        <f>currentYear+A235</f>
        <v/>
      </c>
      <c r="D235" s="52">
        <f>A235&lt;=SV_T</f>
        <v/>
      </c>
      <c r="E235" s="60">
        <f>IF(AND(SV_inflOn,A235&gt;=SV_inflS,A235&lt;=SV_inflE),1+SV_inflRate,1+inflationRate)</f>
        <v/>
      </c>
      <c r="F235" s="60">
        <f>IF(A235&lt;=1,1,F234*E235)</f>
        <v/>
      </c>
      <c r="G235" s="60">
        <f>IF(AND(SV_incOn,A235&gt;=SV_incS,A235&lt;=SV_incE),1+SV_incImp,1)</f>
        <v/>
      </c>
      <c r="H235" s="29">
        <f>IF(OR(OR(A235&lt;1,A235&gt;SV_T),A235-1&gt;=SV_salCut,AND(SV_deaOn,A235&gt;=SV_deaM)),0,SV_sal0*(1+incomeGrowthRate)^(A235-1)*G235)</f>
        <v/>
      </c>
      <c r="I235" s="29">
        <f>IF(OR(A235&lt;1,A235&gt;SV_T),0,(-SV_exp0*F235-IF(A235&lt;=SV_loanYears,SV_inst,0)-IF(AND(SV_wdAmt&gt;0,A235=SV_wdYear),SV_wdAmt,0))*IF(AND(SV_expOn,A235&gt;=SV_expS,A235&lt;=SV_expE),1+SV_expImp,1))</f>
        <v/>
      </c>
      <c r="J235" s="29">
        <f>IF(OR(A235&lt;1,A235&gt;SV_T),0,-F235*(IF(AND(SV_deaOn,A235=SV_deaM),SV_deaAmt,0)+IF(AND(SV_criOn,A235=SV_criM),SV_criAmt,0)+IF(AND(SV_tpdOn,A235=SV_tpdM),SV_tpdAmt,0)+IF(AND(SV_pacOn,A235=SV_pacM),SV_pacAmt,0)+IF(AND(SV_hosOn,A235=SV_hosM),SV_hosAmt,0)+IF(AND(SV_wedOn,A235=SV_wedM),SV_wedAmt,0)+IF(AND(SV_babOn,A235=SV_babM),SV_babAmt,0)+IF(AND(SV_ltcOn,A235&gt;=SV_ltcM,A235&lt;=SV_ltcE),SV_ltcAmt,0)))</f>
        <v/>
      </c>
      <c r="K235" s="29">
        <f>IF(OR(OR(A235&lt;1,A235&gt;SV_T),A235&gt;SV_loanYears),0,-SV_lifePremYr)</f>
        <v/>
      </c>
      <c r="L235" s="29">
        <f>IF(OR(A235&lt;1,A235&gt;SV_T),0,-SV_contrib)</f>
        <v/>
      </c>
      <c r="M235" s="60">
        <f>IF(AND(SV_crashOn,A235=SV_crashYr),SV_crashF,1)</f>
        <v/>
      </c>
      <c r="N235" s="60">
        <f>IF(AND(SV_ccyOn,A235=SV_ccyYr),SV_ccyF,1)</f>
        <v/>
      </c>
      <c r="O235" s="29">
        <f>IF(A235&gt;SV_T,0,O234*(1+interestRate)*M235*N235)</f>
        <v/>
      </c>
      <c r="P235" s="29">
        <f>IF(A235&gt;SV_T,0,(P234+SV_contrib)*(1+investmentReturn)*M235*N235)</f>
        <v/>
      </c>
      <c r="Q235" s="29">
        <f>IF(A235&gt;SV_T,0,Q234*(1+SV_propRate)*M235)</f>
        <v/>
      </c>
      <c r="R235" s="46">
        <f>MATCH(SV_age+A235-1,SV_cpfLower,1)</f>
        <v/>
      </c>
      <c r="S235" s="29">
        <f>IF(OR(OR(A235&lt;1,A235&gt;SV_T),NOT(SV_cpfOn),AND(SV_deaOn,A235&gt;=SV_deaM)),0,MIN(SV_sal0*(1+incomeGrowthRate)^(A235-1)*G235,SV_owCap))</f>
        <v/>
      </c>
      <c r="T235" s="29">
        <f>IF(A235&gt;SV_T,0,T234*(1+SV_oaRate)+IF(A235&gt;=SV_effStop,0,INDEX(SV_cpfOA,R235)*INDEX(SV_cpfTot,R235)*S235))</f>
        <v/>
      </c>
      <c r="U235" s="29">
        <f>IF(A235&gt;SV_T,0,U234*(1+SV_saRate)+IF(A235&gt;=SV_effStop,0,INDEX(SV_cpfSA,R235)*INDEX(SV_cpfTot,R235)*S235))</f>
        <v/>
      </c>
      <c r="V235" s="29">
        <f>IF(A235&gt;SV_T,0,V234*(1+SV_saRate)+IF(A235&gt;=SV_effStop,0,INDEX(SV_cpfMA,R235)*INDEX(SV_cpfTot,R235)*S235))</f>
        <v/>
      </c>
      <c r="W235" s="29">
        <f>IF(OR(OR(A235&lt;1,A235&gt;SV_T),A235&gt;=SV_effNeg),0,-(INDEX(SV_cpfOA,R235)+INDEX(SV_cpfSA,R235)+INDEX(SV_cpfMA,R235))*INDEX(SV_cpfEmp,R235)*S235)</f>
        <v/>
      </c>
      <c r="X235" s="29">
        <f>IF(A235&gt;=SV_sIdx,0,T235)</f>
        <v/>
      </c>
      <c r="Y235" s="29">
        <f>IF(A235&gt;=SV_sIdx,0,U235)</f>
        <v/>
      </c>
      <c r="Z235" s="29">
        <f>IF(A235&gt;=SV_sIdx,MIN(V235,SV_maCap),V235)</f>
        <v/>
      </c>
      <c r="AA235" s="29">
        <f>IF(AND(SV_cpfOn,A235&gt;=SV_pIdx,A235&lt;=SV_T),12*SV_pay,0)</f>
        <v/>
      </c>
      <c r="AB235" s="29">
        <f>IF(A235&gt;SV_T,0,IF(SV_sp&gt;=0,IF(A235&lt;SV_sIdx,0,IF(A235=SV_sIdx,SV_R0,SV_lifeGrowth*AB234)),SV_lifeGrowth*AB234))</f>
        <v/>
      </c>
      <c r="AC235" s="29">
        <f>IF(A235&gt;SV_T,0,IF(AND(SV_sp&gt;=0,A235&lt;SV_sIdx),0,IF(AND(SV_sp&gt;=0,A235=SV_sIdx),SV_L0,SV_lifeGrowth*(AC234-AA235))))</f>
        <v/>
      </c>
      <c r="AD235" s="29">
        <f>X235+Y235+AB235+Z235+IF(AB235&lt;0,0,AC235)</f>
        <v/>
      </c>
      <c r="AE235" s="29">
        <f>AA235+W235</f>
        <v/>
      </c>
      <c r="AF235" s="29">
        <f>IF(OR(A235&gt;SV_T,A235&gt;=SV_loanYears),0,MAX(0,AF234*(1+loanRate)-SV_inst))</f>
        <v/>
      </c>
      <c r="AG235" s="29">
        <f>IF(A235&gt;SV_T,0,AG234*(1+SV_savRate)+H235+I235+J235+K235+L235+AE235)</f>
        <v/>
      </c>
      <c r="AH235" s="29">
        <f>IF(A235&gt;SV_T,0,MAX(0,O235+P235+Q235+AD235+AG235-AF235))</f>
        <v/>
      </c>
      <c r="AI235" s="29">
        <f>IF(A235&gt;SV_T,0,O235+P235+AG235-MAX(0,AF235-(Q235+AD235)))</f>
        <v/>
      </c>
      <c r="AJ235" s="29">
        <f>IF(OR(OR(A235&lt;1,A235&gt;SV_T),A235-1&gt;=SV_retPay),0,SV_retMth*12+IF(A235=1,SV_retLump,0))</f>
        <v/>
      </c>
      <c r="AK235" s="29">
        <f>IF(A235&gt;SV_T,0,(AK234+AJ235)*(1+investmentReturn))</f>
        <v/>
      </c>
      <c r="AL235" s="29">
        <f>IF(OR(OR(A235&lt;1,A235&gt;SV_T),A235-1&gt;=SV_goalPay),0,SV_goalMth*12+IF(A235=1,SV_goalLump,0))</f>
        <v/>
      </c>
      <c r="AM235" s="29">
        <f>IF(A235&gt;SV_T,0,(AM234+AL235)*(1+investmentReturn))</f>
        <v/>
      </c>
      <c r="AN235" s="29">
        <f>IF(OR(OR(A235&lt;1,A235&gt;SV_T),A235-1&gt;=SV_protPay),0,SV_protPrem)</f>
        <v/>
      </c>
      <c r="AO235" s="29">
        <f>IF(OR(A235=0,A235&gt;=SV_T),0,ROUND(MAX(0,AK235),2)+ROUND(MAX(0,AM235),2))</f>
        <v/>
      </c>
      <c r="AP235" s="29">
        <f>IF(OR(A235&lt;1,A235&gt;SV_T),0,-(AJ235+AL235+AN235)+IF(A235=SV_T,ROUND(MAX(0,AK235),2)+ROUND(MAX(0,AM235),2),0))</f>
        <v/>
      </c>
      <c r="AQ235" s="29">
        <f>IF(A235&gt;SV_T,0,AQ234*(1+SV_savRate)+H235+I235+J235+K235+L235+AE235+AP235)</f>
        <v/>
      </c>
      <c r="AR235" s="29">
        <f>IF(A235&gt;SV_T,0,MAX(0,O235+P235+Q235+AD235+AQ235+AO235-AF235))</f>
        <v/>
      </c>
      <c r="AS235" s="29">
        <f>IF(A235&gt;SV_T,0,O235+P235+AQ235+AO235-MAX(0,AF235-(Q235+AD235)))</f>
        <v/>
      </c>
    </row>
    <row r="236">
      <c r="A236" s="61" t="n">
        <v>74</v>
      </c>
      <c r="B236" s="61">
        <f>SV_age+A236</f>
        <v/>
      </c>
      <c r="C236" s="61">
        <f>currentYear+A236</f>
        <v/>
      </c>
      <c r="D236" s="52">
        <f>A236&lt;=SV_T</f>
        <v/>
      </c>
      <c r="E236" s="60">
        <f>IF(AND(SV_inflOn,A236&gt;=SV_inflS,A236&lt;=SV_inflE),1+SV_inflRate,1+inflationRate)</f>
        <v/>
      </c>
      <c r="F236" s="60">
        <f>IF(A236&lt;=1,1,F235*E236)</f>
        <v/>
      </c>
      <c r="G236" s="60">
        <f>IF(AND(SV_incOn,A236&gt;=SV_incS,A236&lt;=SV_incE),1+SV_incImp,1)</f>
        <v/>
      </c>
      <c r="H236" s="29">
        <f>IF(OR(OR(A236&lt;1,A236&gt;SV_T),A236-1&gt;=SV_salCut,AND(SV_deaOn,A236&gt;=SV_deaM)),0,SV_sal0*(1+incomeGrowthRate)^(A236-1)*G236)</f>
        <v/>
      </c>
      <c r="I236" s="29">
        <f>IF(OR(A236&lt;1,A236&gt;SV_T),0,(-SV_exp0*F236-IF(A236&lt;=SV_loanYears,SV_inst,0)-IF(AND(SV_wdAmt&gt;0,A236=SV_wdYear),SV_wdAmt,0))*IF(AND(SV_expOn,A236&gt;=SV_expS,A236&lt;=SV_expE),1+SV_expImp,1))</f>
        <v/>
      </c>
      <c r="J236" s="29">
        <f>IF(OR(A236&lt;1,A236&gt;SV_T),0,-F236*(IF(AND(SV_deaOn,A236=SV_deaM),SV_deaAmt,0)+IF(AND(SV_criOn,A236=SV_criM),SV_criAmt,0)+IF(AND(SV_tpdOn,A236=SV_tpdM),SV_tpdAmt,0)+IF(AND(SV_pacOn,A236=SV_pacM),SV_pacAmt,0)+IF(AND(SV_hosOn,A236=SV_hosM),SV_hosAmt,0)+IF(AND(SV_wedOn,A236=SV_wedM),SV_wedAmt,0)+IF(AND(SV_babOn,A236=SV_babM),SV_babAmt,0)+IF(AND(SV_ltcOn,A236&gt;=SV_ltcM,A236&lt;=SV_ltcE),SV_ltcAmt,0)))</f>
        <v/>
      </c>
      <c r="K236" s="29">
        <f>IF(OR(OR(A236&lt;1,A236&gt;SV_T),A236&gt;SV_loanYears),0,-SV_lifePremYr)</f>
        <v/>
      </c>
      <c r="L236" s="29">
        <f>IF(OR(A236&lt;1,A236&gt;SV_T),0,-SV_contrib)</f>
        <v/>
      </c>
      <c r="M236" s="60">
        <f>IF(AND(SV_crashOn,A236=SV_crashYr),SV_crashF,1)</f>
        <v/>
      </c>
      <c r="N236" s="60">
        <f>IF(AND(SV_ccyOn,A236=SV_ccyYr),SV_ccyF,1)</f>
        <v/>
      </c>
      <c r="O236" s="29">
        <f>IF(A236&gt;SV_T,0,O235*(1+interestRate)*M236*N236)</f>
        <v/>
      </c>
      <c r="P236" s="29">
        <f>IF(A236&gt;SV_T,0,(P235+SV_contrib)*(1+investmentReturn)*M236*N236)</f>
        <v/>
      </c>
      <c r="Q236" s="29">
        <f>IF(A236&gt;SV_T,0,Q235*(1+SV_propRate)*M236)</f>
        <v/>
      </c>
      <c r="R236" s="46">
        <f>MATCH(SV_age+A236-1,SV_cpfLower,1)</f>
        <v/>
      </c>
      <c r="S236" s="29">
        <f>IF(OR(OR(A236&lt;1,A236&gt;SV_T),NOT(SV_cpfOn),AND(SV_deaOn,A236&gt;=SV_deaM)),0,MIN(SV_sal0*(1+incomeGrowthRate)^(A236-1)*G236,SV_owCap))</f>
        <v/>
      </c>
      <c r="T236" s="29">
        <f>IF(A236&gt;SV_T,0,T235*(1+SV_oaRate)+IF(A236&gt;=SV_effStop,0,INDEX(SV_cpfOA,R236)*INDEX(SV_cpfTot,R236)*S236))</f>
        <v/>
      </c>
      <c r="U236" s="29">
        <f>IF(A236&gt;SV_T,0,U235*(1+SV_saRate)+IF(A236&gt;=SV_effStop,0,INDEX(SV_cpfSA,R236)*INDEX(SV_cpfTot,R236)*S236))</f>
        <v/>
      </c>
      <c r="V236" s="29">
        <f>IF(A236&gt;SV_T,0,V235*(1+SV_saRate)+IF(A236&gt;=SV_effStop,0,INDEX(SV_cpfMA,R236)*INDEX(SV_cpfTot,R236)*S236))</f>
        <v/>
      </c>
      <c r="W236" s="29">
        <f>IF(OR(OR(A236&lt;1,A236&gt;SV_T),A236&gt;=SV_effNeg),0,-(INDEX(SV_cpfOA,R236)+INDEX(SV_cpfSA,R236)+INDEX(SV_cpfMA,R236))*INDEX(SV_cpfEmp,R236)*S236)</f>
        <v/>
      </c>
      <c r="X236" s="29">
        <f>IF(A236&gt;=SV_sIdx,0,T236)</f>
        <v/>
      </c>
      <c r="Y236" s="29">
        <f>IF(A236&gt;=SV_sIdx,0,U236)</f>
        <v/>
      </c>
      <c r="Z236" s="29">
        <f>IF(A236&gt;=SV_sIdx,MIN(V236,SV_maCap),V236)</f>
        <v/>
      </c>
      <c r="AA236" s="29">
        <f>IF(AND(SV_cpfOn,A236&gt;=SV_pIdx,A236&lt;=SV_T),12*SV_pay,0)</f>
        <v/>
      </c>
      <c r="AB236" s="29">
        <f>IF(A236&gt;SV_T,0,IF(SV_sp&gt;=0,IF(A236&lt;SV_sIdx,0,IF(A236=SV_sIdx,SV_R0,SV_lifeGrowth*AB235)),SV_lifeGrowth*AB235))</f>
        <v/>
      </c>
      <c r="AC236" s="29">
        <f>IF(A236&gt;SV_T,0,IF(AND(SV_sp&gt;=0,A236&lt;SV_sIdx),0,IF(AND(SV_sp&gt;=0,A236=SV_sIdx),SV_L0,SV_lifeGrowth*(AC235-AA236))))</f>
        <v/>
      </c>
      <c r="AD236" s="29">
        <f>X236+Y236+AB236+Z236+IF(AB236&lt;0,0,AC236)</f>
        <v/>
      </c>
      <c r="AE236" s="29">
        <f>AA236+W236</f>
        <v/>
      </c>
      <c r="AF236" s="29">
        <f>IF(OR(A236&gt;SV_T,A236&gt;=SV_loanYears),0,MAX(0,AF235*(1+loanRate)-SV_inst))</f>
        <v/>
      </c>
      <c r="AG236" s="29">
        <f>IF(A236&gt;SV_T,0,AG235*(1+SV_savRate)+H236+I236+J236+K236+L236+AE236)</f>
        <v/>
      </c>
      <c r="AH236" s="29">
        <f>IF(A236&gt;SV_T,0,MAX(0,O236+P236+Q236+AD236+AG236-AF236))</f>
        <v/>
      </c>
      <c r="AI236" s="29">
        <f>IF(A236&gt;SV_T,0,O236+P236+AG236-MAX(0,AF236-(Q236+AD236)))</f>
        <v/>
      </c>
      <c r="AJ236" s="29">
        <f>IF(OR(OR(A236&lt;1,A236&gt;SV_T),A236-1&gt;=SV_retPay),0,SV_retMth*12+IF(A236=1,SV_retLump,0))</f>
        <v/>
      </c>
      <c r="AK236" s="29">
        <f>IF(A236&gt;SV_T,0,(AK235+AJ236)*(1+investmentReturn))</f>
        <v/>
      </c>
      <c r="AL236" s="29">
        <f>IF(OR(OR(A236&lt;1,A236&gt;SV_T),A236-1&gt;=SV_goalPay),0,SV_goalMth*12+IF(A236=1,SV_goalLump,0))</f>
        <v/>
      </c>
      <c r="AM236" s="29">
        <f>IF(A236&gt;SV_T,0,(AM235+AL236)*(1+investmentReturn))</f>
        <v/>
      </c>
      <c r="AN236" s="29">
        <f>IF(OR(OR(A236&lt;1,A236&gt;SV_T),A236-1&gt;=SV_protPay),0,SV_protPrem)</f>
        <v/>
      </c>
      <c r="AO236" s="29">
        <f>IF(OR(A236=0,A236&gt;=SV_T),0,ROUND(MAX(0,AK236),2)+ROUND(MAX(0,AM236),2))</f>
        <v/>
      </c>
      <c r="AP236" s="29">
        <f>IF(OR(A236&lt;1,A236&gt;SV_T),0,-(AJ236+AL236+AN236)+IF(A236=SV_T,ROUND(MAX(0,AK236),2)+ROUND(MAX(0,AM236),2),0))</f>
        <v/>
      </c>
      <c r="AQ236" s="29">
        <f>IF(A236&gt;SV_T,0,AQ235*(1+SV_savRate)+H236+I236+J236+K236+L236+AE236+AP236)</f>
        <v/>
      </c>
      <c r="AR236" s="29">
        <f>IF(A236&gt;SV_T,0,MAX(0,O236+P236+Q236+AD236+AQ236+AO236-AF236))</f>
        <v/>
      </c>
      <c r="AS236" s="29">
        <f>IF(A236&gt;SV_T,0,O236+P236+AQ236+AO236-MAX(0,AF236-(Q236+AD236)))</f>
        <v/>
      </c>
    </row>
    <row r="237">
      <c r="A237" s="61" t="n">
        <v>75</v>
      </c>
      <c r="B237" s="61">
        <f>SV_age+A237</f>
        <v/>
      </c>
      <c r="C237" s="61">
        <f>currentYear+A237</f>
        <v/>
      </c>
      <c r="D237" s="52">
        <f>A237&lt;=SV_T</f>
        <v/>
      </c>
      <c r="E237" s="60">
        <f>IF(AND(SV_inflOn,A237&gt;=SV_inflS,A237&lt;=SV_inflE),1+SV_inflRate,1+inflationRate)</f>
        <v/>
      </c>
      <c r="F237" s="60">
        <f>IF(A237&lt;=1,1,F236*E237)</f>
        <v/>
      </c>
      <c r="G237" s="60">
        <f>IF(AND(SV_incOn,A237&gt;=SV_incS,A237&lt;=SV_incE),1+SV_incImp,1)</f>
        <v/>
      </c>
      <c r="H237" s="29">
        <f>IF(OR(OR(A237&lt;1,A237&gt;SV_T),A237-1&gt;=SV_salCut,AND(SV_deaOn,A237&gt;=SV_deaM)),0,SV_sal0*(1+incomeGrowthRate)^(A237-1)*G237)</f>
        <v/>
      </c>
      <c r="I237" s="29">
        <f>IF(OR(A237&lt;1,A237&gt;SV_T),0,(-SV_exp0*F237-IF(A237&lt;=SV_loanYears,SV_inst,0)-IF(AND(SV_wdAmt&gt;0,A237=SV_wdYear),SV_wdAmt,0))*IF(AND(SV_expOn,A237&gt;=SV_expS,A237&lt;=SV_expE),1+SV_expImp,1))</f>
        <v/>
      </c>
      <c r="J237" s="29">
        <f>IF(OR(A237&lt;1,A237&gt;SV_T),0,-F237*(IF(AND(SV_deaOn,A237=SV_deaM),SV_deaAmt,0)+IF(AND(SV_criOn,A237=SV_criM),SV_criAmt,0)+IF(AND(SV_tpdOn,A237=SV_tpdM),SV_tpdAmt,0)+IF(AND(SV_pacOn,A237=SV_pacM),SV_pacAmt,0)+IF(AND(SV_hosOn,A237=SV_hosM),SV_hosAmt,0)+IF(AND(SV_wedOn,A237=SV_wedM),SV_wedAmt,0)+IF(AND(SV_babOn,A237=SV_babM),SV_babAmt,0)+IF(AND(SV_ltcOn,A237&gt;=SV_ltcM,A237&lt;=SV_ltcE),SV_ltcAmt,0)))</f>
        <v/>
      </c>
      <c r="K237" s="29">
        <f>IF(OR(OR(A237&lt;1,A237&gt;SV_T),A237&gt;SV_loanYears),0,-SV_lifePremYr)</f>
        <v/>
      </c>
      <c r="L237" s="29">
        <f>IF(OR(A237&lt;1,A237&gt;SV_T),0,-SV_contrib)</f>
        <v/>
      </c>
      <c r="M237" s="60">
        <f>IF(AND(SV_crashOn,A237=SV_crashYr),SV_crashF,1)</f>
        <v/>
      </c>
      <c r="N237" s="60">
        <f>IF(AND(SV_ccyOn,A237=SV_ccyYr),SV_ccyF,1)</f>
        <v/>
      </c>
      <c r="O237" s="29">
        <f>IF(A237&gt;SV_T,0,O236*(1+interestRate)*M237*N237)</f>
        <v/>
      </c>
      <c r="P237" s="29">
        <f>IF(A237&gt;SV_T,0,(P236+SV_contrib)*(1+investmentReturn)*M237*N237)</f>
        <v/>
      </c>
      <c r="Q237" s="29">
        <f>IF(A237&gt;SV_T,0,Q236*(1+SV_propRate)*M237)</f>
        <v/>
      </c>
      <c r="R237" s="46">
        <f>MATCH(SV_age+A237-1,SV_cpfLower,1)</f>
        <v/>
      </c>
      <c r="S237" s="29">
        <f>IF(OR(OR(A237&lt;1,A237&gt;SV_T),NOT(SV_cpfOn),AND(SV_deaOn,A237&gt;=SV_deaM)),0,MIN(SV_sal0*(1+incomeGrowthRate)^(A237-1)*G237,SV_owCap))</f>
        <v/>
      </c>
      <c r="T237" s="29">
        <f>IF(A237&gt;SV_T,0,T236*(1+SV_oaRate)+IF(A237&gt;=SV_effStop,0,INDEX(SV_cpfOA,R237)*INDEX(SV_cpfTot,R237)*S237))</f>
        <v/>
      </c>
      <c r="U237" s="29">
        <f>IF(A237&gt;SV_T,0,U236*(1+SV_saRate)+IF(A237&gt;=SV_effStop,0,INDEX(SV_cpfSA,R237)*INDEX(SV_cpfTot,R237)*S237))</f>
        <v/>
      </c>
      <c r="V237" s="29">
        <f>IF(A237&gt;SV_T,0,V236*(1+SV_saRate)+IF(A237&gt;=SV_effStop,0,INDEX(SV_cpfMA,R237)*INDEX(SV_cpfTot,R237)*S237))</f>
        <v/>
      </c>
      <c r="W237" s="29">
        <f>IF(OR(OR(A237&lt;1,A237&gt;SV_T),A237&gt;=SV_effNeg),0,-(INDEX(SV_cpfOA,R237)+INDEX(SV_cpfSA,R237)+INDEX(SV_cpfMA,R237))*INDEX(SV_cpfEmp,R237)*S237)</f>
        <v/>
      </c>
      <c r="X237" s="29">
        <f>IF(A237&gt;=SV_sIdx,0,T237)</f>
        <v/>
      </c>
      <c r="Y237" s="29">
        <f>IF(A237&gt;=SV_sIdx,0,U237)</f>
        <v/>
      </c>
      <c r="Z237" s="29">
        <f>IF(A237&gt;=SV_sIdx,MIN(V237,SV_maCap),V237)</f>
        <v/>
      </c>
      <c r="AA237" s="29">
        <f>IF(AND(SV_cpfOn,A237&gt;=SV_pIdx,A237&lt;=SV_T),12*SV_pay,0)</f>
        <v/>
      </c>
      <c r="AB237" s="29">
        <f>IF(A237&gt;SV_T,0,IF(SV_sp&gt;=0,IF(A237&lt;SV_sIdx,0,IF(A237=SV_sIdx,SV_R0,SV_lifeGrowth*AB236)),SV_lifeGrowth*AB236))</f>
        <v/>
      </c>
      <c r="AC237" s="29">
        <f>IF(A237&gt;SV_T,0,IF(AND(SV_sp&gt;=0,A237&lt;SV_sIdx),0,IF(AND(SV_sp&gt;=0,A237=SV_sIdx),SV_L0,SV_lifeGrowth*(AC236-AA237))))</f>
        <v/>
      </c>
      <c r="AD237" s="29">
        <f>X237+Y237+AB237+Z237+IF(AB237&lt;0,0,AC237)</f>
        <v/>
      </c>
      <c r="AE237" s="29">
        <f>AA237+W237</f>
        <v/>
      </c>
      <c r="AF237" s="29">
        <f>IF(OR(A237&gt;SV_T,A237&gt;=SV_loanYears),0,MAX(0,AF236*(1+loanRate)-SV_inst))</f>
        <v/>
      </c>
      <c r="AG237" s="29">
        <f>IF(A237&gt;SV_T,0,AG236*(1+SV_savRate)+H237+I237+J237+K237+L237+AE237)</f>
        <v/>
      </c>
      <c r="AH237" s="29">
        <f>IF(A237&gt;SV_T,0,MAX(0,O237+P237+Q237+AD237+AG237-AF237))</f>
        <v/>
      </c>
      <c r="AI237" s="29">
        <f>IF(A237&gt;SV_T,0,O237+P237+AG237-MAX(0,AF237-(Q237+AD237)))</f>
        <v/>
      </c>
      <c r="AJ237" s="29">
        <f>IF(OR(OR(A237&lt;1,A237&gt;SV_T),A237-1&gt;=SV_retPay),0,SV_retMth*12+IF(A237=1,SV_retLump,0))</f>
        <v/>
      </c>
      <c r="AK237" s="29">
        <f>IF(A237&gt;SV_T,0,(AK236+AJ237)*(1+investmentReturn))</f>
        <v/>
      </c>
      <c r="AL237" s="29">
        <f>IF(OR(OR(A237&lt;1,A237&gt;SV_T),A237-1&gt;=SV_goalPay),0,SV_goalMth*12+IF(A237=1,SV_goalLump,0))</f>
        <v/>
      </c>
      <c r="AM237" s="29">
        <f>IF(A237&gt;SV_T,0,(AM236+AL237)*(1+investmentReturn))</f>
        <v/>
      </c>
      <c r="AN237" s="29">
        <f>IF(OR(OR(A237&lt;1,A237&gt;SV_T),A237-1&gt;=SV_protPay),0,SV_protPrem)</f>
        <v/>
      </c>
      <c r="AO237" s="29">
        <f>IF(OR(A237=0,A237&gt;=SV_T),0,ROUND(MAX(0,AK237),2)+ROUND(MAX(0,AM237),2))</f>
        <v/>
      </c>
      <c r="AP237" s="29">
        <f>IF(OR(A237&lt;1,A237&gt;SV_T),0,-(AJ237+AL237+AN237)+IF(A237=SV_T,ROUND(MAX(0,AK237),2)+ROUND(MAX(0,AM237),2),0))</f>
        <v/>
      </c>
      <c r="AQ237" s="29">
        <f>IF(A237&gt;SV_T,0,AQ236*(1+SV_savRate)+H237+I237+J237+K237+L237+AE237+AP237)</f>
        <v/>
      </c>
      <c r="AR237" s="29">
        <f>IF(A237&gt;SV_T,0,MAX(0,O237+P237+Q237+AD237+AQ237+AO237-AF237))</f>
        <v/>
      </c>
      <c r="AS237" s="29">
        <f>IF(A237&gt;SV_T,0,O237+P237+AQ237+AO237-MAX(0,AF237-(Q237+AD237)))</f>
        <v/>
      </c>
    </row>
    <row r="238">
      <c r="A238" s="61" t="n">
        <v>76</v>
      </c>
      <c r="B238" s="61">
        <f>SV_age+A238</f>
        <v/>
      </c>
      <c r="C238" s="61">
        <f>currentYear+A238</f>
        <v/>
      </c>
      <c r="D238" s="52">
        <f>A238&lt;=SV_T</f>
        <v/>
      </c>
      <c r="E238" s="60">
        <f>IF(AND(SV_inflOn,A238&gt;=SV_inflS,A238&lt;=SV_inflE),1+SV_inflRate,1+inflationRate)</f>
        <v/>
      </c>
      <c r="F238" s="60">
        <f>IF(A238&lt;=1,1,F237*E238)</f>
        <v/>
      </c>
      <c r="G238" s="60">
        <f>IF(AND(SV_incOn,A238&gt;=SV_incS,A238&lt;=SV_incE),1+SV_incImp,1)</f>
        <v/>
      </c>
      <c r="H238" s="29">
        <f>IF(OR(OR(A238&lt;1,A238&gt;SV_T),A238-1&gt;=SV_salCut,AND(SV_deaOn,A238&gt;=SV_deaM)),0,SV_sal0*(1+incomeGrowthRate)^(A238-1)*G238)</f>
        <v/>
      </c>
      <c r="I238" s="29">
        <f>IF(OR(A238&lt;1,A238&gt;SV_T),0,(-SV_exp0*F238-IF(A238&lt;=SV_loanYears,SV_inst,0)-IF(AND(SV_wdAmt&gt;0,A238=SV_wdYear),SV_wdAmt,0))*IF(AND(SV_expOn,A238&gt;=SV_expS,A238&lt;=SV_expE),1+SV_expImp,1))</f>
        <v/>
      </c>
      <c r="J238" s="29">
        <f>IF(OR(A238&lt;1,A238&gt;SV_T),0,-F238*(IF(AND(SV_deaOn,A238=SV_deaM),SV_deaAmt,0)+IF(AND(SV_criOn,A238=SV_criM),SV_criAmt,0)+IF(AND(SV_tpdOn,A238=SV_tpdM),SV_tpdAmt,0)+IF(AND(SV_pacOn,A238=SV_pacM),SV_pacAmt,0)+IF(AND(SV_hosOn,A238=SV_hosM),SV_hosAmt,0)+IF(AND(SV_wedOn,A238=SV_wedM),SV_wedAmt,0)+IF(AND(SV_babOn,A238=SV_babM),SV_babAmt,0)+IF(AND(SV_ltcOn,A238&gt;=SV_ltcM,A238&lt;=SV_ltcE),SV_ltcAmt,0)))</f>
        <v/>
      </c>
      <c r="K238" s="29">
        <f>IF(OR(OR(A238&lt;1,A238&gt;SV_T),A238&gt;SV_loanYears),0,-SV_lifePremYr)</f>
        <v/>
      </c>
      <c r="L238" s="29">
        <f>IF(OR(A238&lt;1,A238&gt;SV_T),0,-SV_contrib)</f>
        <v/>
      </c>
      <c r="M238" s="60">
        <f>IF(AND(SV_crashOn,A238=SV_crashYr),SV_crashF,1)</f>
        <v/>
      </c>
      <c r="N238" s="60">
        <f>IF(AND(SV_ccyOn,A238=SV_ccyYr),SV_ccyF,1)</f>
        <v/>
      </c>
      <c r="O238" s="29">
        <f>IF(A238&gt;SV_T,0,O237*(1+interestRate)*M238*N238)</f>
        <v/>
      </c>
      <c r="P238" s="29">
        <f>IF(A238&gt;SV_T,0,(P237+SV_contrib)*(1+investmentReturn)*M238*N238)</f>
        <v/>
      </c>
      <c r="Q238" s="29">
        <f>IF(A238&gt;SV_T,0,Q237*(1+SV_propRate)*M238)</f>
        <v/>
      </c>
      <c r="R238" s="46">
        <f>MATCH(SV_age+A238-1,SV_cpfLower,1)</f>
        <v/>
      </c>
      <c r="S238" s="29">
        <f>IF(OR(OR(A238&lt;1,A238&gt;SV_T),NOT(SV_cpfOn),AND(SV_deaOn,A238&gt;=SV_deaM)),0,MIN(SV_sal0*(1+incomeGrowthRate)^(A238-1)*G238,SV_owCap))</f>
        <v/>
      </c>
      <c r="T238" s="29">
        <f>IF(A238&gt;SV_T,0,T237*(1+SV_oaRate)+IF(A238&gt;=SV_effStop,0,INDEX(SV_cpfOA,R238)*INDEX(SV_cpfTot,R238)*S238))</f>
        <v/>
      </c>
      <c r="U238" s="29">
        <f>IF(A238&gt;SV_T,0,U237*(1+SV_saRate)+IF(A238&gt;=SV_effStop,0,INDEX(SV_cpfSA,R238)*INDEX(SV_cpfTot,R238)*S238))</f>
        <v/>
      </c>
      <c r="V238" s="29">
        <f>IF(A238&gt;SV_T,0,V237*(1+SV_saRate)+IF(A238&gt;=SV_effStop,0,INDEX(SV_cpfMA,R238)*INDEX(SV_cpfTot,R238)*S238))</f>
        <v/>
      </c>
      <c r="W238" s="29">
        <f>IF(OR(OR(A238&lt;1,A238&gt;SV_T),A238&gt;=SV_effNeg),0,-(INDEX(SV_cpfOA,R238)+INDEX(SV_cpfSA,R238)+INDEX(SV_cpfMA,R238))*INDEX(SV_cpfEmp,R238)*S238)</f>
        <v/>
      </c>
      <c r="X238" s="29">
        <f>IF(A238&gt;=SV_sIdx,0,T238)</f>
        <v/>
      </c>
      <c r="Y238" s="29">
        <f>IF(A238&gt;=SV_sIdx,0,U238)</f>
        <v/>
      </c>
      <c r="Z238" s="29">
        <f>IF(A238&gt;=SV_sIdx,MIN(V238,SV_maCap),V238)</f>
        <v/>
      </c>
      <c r="AA238" s="29">
        <f>IF(AND(SV_cpfOn,A238&gt;=SV_pIdx,A238&lt;=SV_T),12*SV_pay,0)</f>
        <v/>
      </c>
      <c r="AB238" s="29">
        <f>IF(A238&gt;SV_T,0,IF(SV_sp&gt;=0,IF(A238&lt;SV_sIdx,0,IF(A238=SV_sIdx,SV_R0,SV_lifeGrowth*AB237)),SV_lifeGrowth*AB237))</f>
        <v/>
      </c>
      <c r="AC238" s="29">
        <f>IF(A238&gt;SV_T,0,IF(AND(SV_sp&gt;=0,A238&lt;SV_sIdx),0,IF(AND(SV_sp&gt;=0,A238=SV_sIdx),SV_L0,SV_lifeGrowth*(AC237-AA238))))</f>
        <v/>
      </c>
      <c r="AD238" s="29">
        <f>X238+Y238+AB238+Z238+IF(AB238&lt;0,0,AC238)</f>
        <v/>
      </c>
      <c r="AE238" s="29">
        <f>AA238+W238</f>
        <v/>
      </c>
      <c r="AF238" s="29">
        <f>IF(OR(A238&gt;SV_T,A238&gt;=SV_loanYears),0,MAX(0,AF237*(1+loanRate)-SV_inst))</f>
        <v/>
      </c>
      <c r="AG238" s="29">
        <f>IF(A238&gt;SV_T,0,AG237*(1+SV_savRate)+H238+I238+J238+K238+L238+AE238)</f>
        <v/>
      </c>
      <c r="AH238" s="29">
        <f>IF(A238&gt;SV_T,0,MAX(0,O238+P238+Q238+AD238+AG238-AF238))</f>
        <v/>
      </c>
      <c r="AI238" s="29">
        <f>IF(A238&gt;SV_T,0,O238+P238+AG238-MAX(0,AF238-(Q238+AD238)))</f>
        <v/>
      </c>
      <c r="AJ238" s="29">
        <f>IF(OR(OR(A238&lt;1,A238&gt;SV_T),A238-1&gt;=SV_retPay),0,SV_retMth*12+IF(A238=1,SV_retLump,0))</f>
        <v/>
      </c>
      <c r="AK238" s="29">
        <f>IF(A238&gt;SV_T,0,(AK237+AJ238)*(1+investmentReturn))</f>
        <v/>
      </c>
      <c r="AL238" s="29">
        <f>IF(OR(OR(A238&lt;1,A238&gt;SV_T),A238-1&gt;=SV_goalPay),0,SV_goalMth*12+IF(A238=1,SV_goalLump,0))</f>
        <v/>
      </c>
      <c r="AM238" s="29">
        <f>IF(A238&gt;SV_T,0,(AM237+AL238)*(1+investmentReturn))</f>
        <v/>
      </c>
      <c r="AN238" s="29">
        <f>IF(OR(OR(A238&lt;1,A238&gt;SV_T),A238-1&gt;=SV_protPay),0,SV_protPrem)</f>
        <v/>
      </c>
      <c r="AO238" s="29">
        <f>IF(OR(A238=0,A238&gt;=SV_T),0,ROUND(MAX(0,AK238),2)+ROUND(MAX(0,AM238),2))</f>
        <v/>
      </c>
      <c r="AP238" s="29">
        <f>IF(OR(A238&lt;1,A238&gt;SV_T),0,-(AJ238+AL238+AN238)+IF(A238=SV_T,ROUND(MAX(0,AK238),2)+ROUND(MAX(0,AM238),2),0))</f>
        <v/>
      </c>
      <c r="AQ238" s="29">
        <f>IF(A238&gt;SV_T,0,AQ237*(1+SV_savRate)+H238+I238+J238+K238+L238+AE238+AP238)</f>
        <v/>
      </c>
      <c r="AR238" s="29">
        <f>IF(A238&gt;SV_T,0,MAX(0,O238+P238+Q238+AD238+AQ238+AO238-AF238))</f>
        <v/>
      </c>
      <c r="AS238" s="29">
        <f>IF(A238&gt;SV_T,0,O238+P238+AQ238+AO238-MAX(0,AF238-(Q238+AD238)))</f>
        <v/>
      </c>
    </row>
    <row r="239">
      <c r="A239" s="61" t="n">
        <v>77</v>
      </c>
      <c r="B239" s="61">
        <f>SV_age+A239</f>
        <v/>
      </c>
      <c r="C239" s="61">
        <f>currentYear+A239</f>
        <v/>
      </c>
      <c r="D239" s="52">
        <f>A239&lt;=SV_T</f>
        <v/>
      </c>
      <c r="E239" s="60">
        <f>IF(AND(SV_inflOn,A239&gt;=SV_inflS,A239&lt;=SV_inflE),1+SV_inflRate,1+inflationRate)</f>
        <v/>
      </c>
      <c r="F239" s="60">
        <f>IF(A239&lt;=1,1,F238*E239)</f>
        <v/>
      </c>
      <c r="G239" s="60">
        <f>IF(AND(SV_incOn,A239&gt;=SV_incS,A239&lt;=SV_incE),1+SV_incImp,1)</f>
        <v/>
      </c>
      <c r="H239" s="29">
        <f>IF(OR(OR(A239&lt;1,A239&gt;SV_T),A239-1&gt;=SV_salCut,AND(SV_deaOn,A239&gt;=SV_deaM)),0,SV_sal0*(1+incomeGrowthRate)^(A239-1)*G239)</f>
        <v/>
      </c>
      <c r="I239" s="29">
        <f>IF(OR(A239&lt;1,A239&gt;SV_T),0,(-SV_exp0*F239-IF(A239&lt;=SV_loanYears,SV_inst,0)-IF(AND(SV_wdAmt&gt;0,A239=SV_wdYear),SV_wdAmt,0))*IF(AND(SV_expOn,A239&gt;=SV_expS,A239&lt;=SV_expE),1+SV_expImp,1))</f>
        <v/>
      </c>
      <c r="J239" s="29">
        <f>IF(OR(A239&lt;1,A239&gt;SV_T),0,-F239*(IF(AND(SV_deaOn,A239=SV_deaM),SV_deaAmt,0)+IF(AND(SV_criOn,A239=SV_criM),SV_criAmt,0)+IF(AND(SV_tpdOn,A239=SV_tpdM),SV_tpdAmt,0)+IF(AND(SV_pacOn,A239=SV_pacM),SV_pacAmt,0)+IF(AND(SV_hosOn,A239=SV_hosM),SV_hosAmt,0)+IF(AND(SV_wedOn,A239=SV_wedM),SV_wedAmt,0)+IF(AND(SV_babOn,A239=SV_babM),SV_babAmt,0)+IF(AND(SV_ltcOn,A239&gt;=SV_ltcM,A239&lt;=SV_ltcE),SV_ltcAmt,0)))</f>
        <v/>
      </c>
      <c r="K239" s="29">
        <f>IF(OR(OR(A239&lt;1,A239&gt;SV_T),A239&gt;SV_loanYears),0,-SV_lifePremYr)</f>
        <v/>
      </c>
      <c r="L239" s="29">
        <f>IF(OR(A239&lt;1,A239&gt;SV_T),0,-SV_contrib)</f>
        <v/>
      </c>
      <c r="M239" s="60">
        <f>IF(AND(SV_crashOn,A239=SV_crashYr),SV_crashF,1)</f>
        <v/>
      </c>
      <c r="N239" s="60">
        <f>IF(AND(SV_ccyOn,A239=SV_ccyYr),SV_ccyF,1)</f>
        <v/>
      </c>
      <c r="O239" s="29">
        <f>IF(A239&gt;SV_T,0,O238*(1+interestRate)*M239*N239)</f>
        <v/>
      </c>
      <c r="P239" s="29">
        <f>IF(A239&gt;SV_T,0,(P238+SV_contrib)*(1+investmentReturn)*M239*N239)</f>
        <v/>
      </c>
      <c r="Q239" s="29">
        <f>IF(A239&gt;SV_T,0,Q238*(1+SV_propRate)*M239)</f>
        <v/>
      </c>
      <c r="R239" s="46">
        <f>MATCH(SV_age+A239-1,SV_cpfLower,1)</f>
        <v/>
      </c>
      <c r="S239" s="29">
        <f>IF(OR(OR(A239&lt;1,A239&gt;SV_T),NOT(SV_cpfOn),AND(SV_deaOn,A239&gt;=SV_deaM)),0,MIN(SV_sal0*(1+incomeGrowthRate)^(A239-1)*G239,SV_owCap))</f>
        <v/>
      </c>
      <c r="T239" s="29">
        <f>IF(A239&gt;SV_T,0,T238*(1+SV_oaRate)+IF(A239&gt;=SV_effStop,0,INDEX(SV_cpfOA,R239)*INDEX(SV_cpfTot,R239)*S239))</f>
        <v/>
      </c>
      <c r="U239" s="29">
        <f>IF(A239&gt;SV_T,0,U238*(1+SV_saRate)+IF(A239&gt;=SV_effStop,0,INDEX(SV_cpfSA,R239)*INDEX(SV_cpfTot,R239)*S239))</f>
        <v/>
      </c>
      <c r="V239" s="29">
        <f>IF(A239&gt;SV_T,0,V238*(1+SV_saRate)+IF(A239&gt;=SV_effStop,0,INDEX(SV_cpfMA,R239)*INDEX(SV_cpfTot,R239)*S239))</f>
        <v/>
      </c>
      <c r="W239" s="29">
        <f>IF(OR(OR(A239&lt;1,A239&gt;SV_T),A239&gt;=SV_effNeg),0,-(INDEX(SV_cpfOA,R239)+INDEX(SV_cpfSA,R239)+INDEX(SV_cpfMA,R239))*INDEX(SV_cpfEmp,R239)*S239)</f>
        <v/>
      </c>
      <c r="X239" s="29">
        <f>IF(A239&gt;=SV_sIdx,0,T239)</f>
        <v/>
      </c>
      <c r="Y239" s="29">
        <f>IF(A239&gt;=SV_sIdx,0,U239)</f>
        <v/>
      </c>
      <c r="Z239" s="29">
        <f>IF(A239&gt;=SV_sIdx,MIN(V239,SV_maCap),V239)</f>
        <v/>
      </c>
      <c r="AA239" s="29">
        <f>IF(AND(SV_cpfOn,A239&gt;=SV_pIdx,A239&lt;=SV_T),12*SV_pay,0)</f>
        <v/>
      </c>
      <c r="AB239" s="29">
        <f>IF(A239&gt;SV_T,0,IF(SV_sp&gt;=0,IF(A239&lt;SV_sIdx,0,IF(A239=SV_sIdx,SV_R0,SV_lifeGrowth*AB238)),SV_lifeGrowth*AB238))</f>
        <v/>
      </c>
      <c r="AC239" s="29">
        <f>IF(A239&gt;SV_T,0,IF(AND(SV_sp&gt;=0,A239&lt;SV_sIdx),0,IF(AND(SV_sp&gt;=0,A239=SV_sIdx),SV_L0,SV_lifeGrowth*(AC238-AA239))))</f>
        <v/>
      </c>
      <c r="AD239" s="29">
        <f>X239+Y239+AB239+Z239+IF(AB239&lt;0,0,AC239)</f>
        <v/>
      </c>
      <c r="AE239" s="29">
        <f>AA239+W239</f>
        <v/>
      </c>
      <c r="AF239" s="29">
        <f>IF(OR(A239&gt;SV_T,A239&gt;=SV_loanYears),0,MAX(0,AF238*(1+loanRate)-SV_inst))</f>
        <v/>
      </c>
      <c r="AG239" s="29">
        <f>IF(A239&gt;SV_T,0,AG238*(1+SV_savRate)+H239+I239+J239+K239+L239+AE239)</f>
        <v/>
      </c>
      <c r="AH239" s="29">
        <f>IF(A239&gt;SV_T,0,MAX(0,O239+P239+Q239+AD239+AG239-AF239))</f>
        <v/>
      </c>
      <c r="AI239" s="29">
        <f>IF(A239&gt;SV_T,0,O239+P239+AG239-MAX(0,AF239-(Q239+AD239)))</f>
        <v/>
      </c>
      <c r="AJ239" s="29">
        <f>IF(OR(OR(A239&lt;1,A239&gt;SV_T),A239-1&gt;=SV_retPay),0,SV_retMth*12+IF(A239=1,SV_retLump,0))</f>
        <v/>
      </c>
      <c r="AK239" s="29">
        <f>IF(A239&gt;SV_T,0,(AK238+AJ239)*(1+investmentReturn))</f>
        <v/>
      </c>
      <c r="AL239" s="29">
        <f>IF(OR(OR(A239&lt;1,A239&gt;SV_T),A239-1&gt;=SV_goalPay),0,SV_goalMth*12+IF(A239=1,SV_goalLump,0))</f>
        <v/>
      </c>
      <c r="AM239" s="29">
        <f>IF(A239&gt;SV_T,0,(AM238+AL239)*(1+investmentReturn))</f>
        <v/>
      </c>
      <c r="AN239" s="29">
        <f>IF(OR(OR(A239&lt;1,A239&gt;SV_T),A239-1&gt;=SV_protPay),0,SV_protPrem)</f>
        <v/>
      </c>
      <c r="AO239" s="29">
        <f>IF(OR(A239=0,A239&gt;=SV_T),0,ROUND(MAX(0,AK239),2)+ROUND(MAX(0,AM239),2))</f>
        <v/>
      </c>
      <c r="AP239" s="29">
        <f>IF(OR(A239&lt;1,A239&gt;SV_T),0,-(AJ239+AL239+AN239)+IF(A239=SV_T,ROUND(MAX(0,AK239),2)+ROUND(MAX(0,AM239),2),0))</f>
        <v/>
      </c>
      <c r="AQ239" s="29">
        <f>IF(A239&gt;SV_T,0,AQ238*(1+SV_savRate)+H239+I239+J239+K239+L239+AE239+AP239)</f>
        <v/>
      </c>
      <c r="AR239" s="29">
        <f>IF(A239&gt;SV_T,0,MAX(0,O239+P239+Q239+AD239+AQ239+AO239-AF239))</f>
        <v/>
      </c>
      <c r="AS239" s="29">
        <f>IF(A239&gt;SV_T,0,O239+P239+AQ239+AO239-MAX(0,AF239-(Q239+AD239)))</f>
        <v/>
      </c>
    </row>
    <row r="240">
      <c r="A240" s="61" t="n">
        <v>78</v>
      </c>
      <c r="B240" s="61">
        <f>SV_age+A240</f>
        <v/>
      </c>
      <c r="C240" s="61">
        <f>currentYear+A240</f>
        <v/>
      </c>
      <c r="D240" s="52">
        <f>A240&lt;=SV_T</f>
        <v/>
      </c>
      <c r="E240" s="60">
        <f>IF(AND(SV_inflOn,A240&gt;=SV_inflS,A240&lt;=SV_inflE),1+SV_inflRate,1+inflationRate)</f>
        <v/>
      </c>
      <c r="F240" s="60">
        <f>IF(A240&lt;=1,1,F239*E240)</f>
        <v/>
      </c>
      <c r="G240" s="60">
        <f>IF(AND(SV_incOn,A240&gt;=SV_incS,A240&lt;=SV_incE),1+SV_incImp,1)</f>
        <v/>
      </c>
      <c r="H240" s="29">
        <f>IF(OR(OR(A240&lt;1,A240&gt;SV_T),A240-1&gt;=SV_salCut,AND(SV_deaOn,A240&gt;=SV_deaM)),0,SV_sal0*(1+incomeGrowthRate)^(A240-1)*G240)</f>
        <v/>
      </c>
      <c r="I240" s="29">
        <f>IF(OR(A240&lt;1,A240&gt;SV_T),0,(-SV_exp0*F240-IF(A240&lt;=SV_loanYears,SV_inst,0)-IF(AND(SV_wdAmt&gt;0,A240=SV_wdYear),SV_wdAmt,0))*IF(AND(SV_expOn,A240&gt;=SV_expS,A240&lt;=SV_expE),1+SV_expImp,1))</f>
        <v/>
      </c>
      <c r="J240" s="29">
        <f>IF(OR(A240&lt;1,A240&gt;SV_T),0,-F240*(IF(AND(SV_deaOn,A240=SV_deaM),SV_deaAmt,0)+IF(AND(SV_criOn,A240=SV_criM),SV_criAmt,0)+IF(AND(SV_tpdOn,A240=SV_tpdM),SV_tpdAmt,0)+IF(AND(SV_pacOn,A240=SV_pacM),SV_pacAmt,0)+IF(AND(SV_hosOn,A240=SV_hosM),SV_hosAmt,0)+IF(AND(SV_wedOn,A240=SV_wedM),SV_wedAmt,0)+IF(AND(SV_babOn,A240=SV_babM),SV_babAmt,0)+IF(AND(SV_ltcOn,A240&gt;=SV_ltcM,A240&lt;=SV_ltcE),SV_ltcAmt,0)))</f>
        <v/>
      </c>
      <c r="K240" s="29">
        <f>IF(OR(OR(A240&lt;1,A240&gt;SV_T),A240&gt;SV_loanYears),0,-SV_lifePremYr)</f>
        <v/>
      </c>
      <c r="L240" s="29">
        <f>IF(OR(A240&lt;1,A240&gt;SV_T),0,-SV_contrib)</f>
        <v/>
      </c>
      <c r="M240" s="60">
        <f>IF(AND(SV_crashOn,A240=SV_crashYr),SV_crashF,1)</f>
        <v/>
      </c>
      <c r="N240" s="60">
        <f>IF(AND(SV_ccyOn,A240=SV_ccyYr),SV_ccyF,1)</f>
        <v/>
      </c>
      <c r="O240" s="29">
        <f>IF(A240&gt;SV_T,0,O239*(1+interestRate)*M240*N240)</f>
        <v/>
      </c>
      <c r="P240" s="29">
        <f>IF(A240&gt;SV_T,0,(P239+SV_contrib)*(1+investmentReturn)*M240*N240)</f>
        <v/>
      </c>
      <c r="Q240" s="29">
        <f>IF(A240&gt;SV_T,0,Q239*(1+SV_propRate)*M240)</f>
        <v/>
      </c>
      <c r="R240" s="46">
        <f>MATCH(SV_age+A240-1,SV_cpfLower,1)</f>
        <v/>
      </c>
      <c r="S240" s="29">
        <f>IF(OR(OR(A240&lt;1,A240&gt;SV_T),NOT(SV_cpfOn),AND(SV_deaOn,A240&gt;=SV_deaM)),0,MIN(SV_sal0*(1+incomeGrowthRate)^(A240-1)*G240,SV_owCap))</f>
        <v/>
      </c>
      <c r="T240" s="29">
        <f>IF(A240&gt;SV_T,0,T239*(1+SV_oaRate)+IF(A240&gt;=SV_effStop,0,INDEX(SV_cpfOA,R240)*INDEX(SV_cpfTot,R240)*S240))</f>
        <v/>
      </c>
      <c r="U240" s="29">
        <f>IF(A240&gt;SV_T,0,U239*(1+SV_saRate)+IF(A240&gt;=SV_effStop,0,INDEX(SV_cpfSA,R240)*INDEX(SV_cpfTot,R240)*S240))</f>
        <v/>
      </c>
      <c r="V240" s="29">
        <f>IF(A240&gt;SV_T,0,V239*(1+SV_saRate)+IF(A240&gt;=SV_effStop,0,INDEX(SV_cpfMA,R240)*INDEX(SV_cpfTot,R240)*S240))</f>
        <v/>
      </c>
      <c r="W240" s="29">
        <f>IF(OR(OR(A240&lt;1,A240&gt;SV_T),A240&gt;=SV_effNeg),0,-(INDEX(SV_cpfOA,R240)+INDEX(SV_cpfSA,R240)+INDEX(SV_cpfMA,R240))*INDEX(SV_cpfEmp,R240)*S240)</f>
        <v/>
      </c>
      <c r="X240" s="29">
        <f>IF(A240&gt;=SV_sIdx,0,T240)</f>
        <v/>
      </c>
      <c r="Y240" s="29">
        <f>IF(A240&gt;=SV_sIdx,0,U240)</f>
        <v/>
      </c>
      <c r="Z240" s="29">
        <f>IF(A240&gt;=SV_sIdx,MIN(V240,SV_maCap),V240)</f>
        <v/>
      </c>
      <c r="AA240" s="29">
        <f>IF(AND(SV_cpfOn,A240&gt;=SV_pIdx,A240&lt;=SV_T),12*SV_pay,0)</f>
        <v/>
      </c>
      <c r="AB240" s="29">
        <f>IF(A240&gt;SV_T,0,IF(SV_sp&gt;=0,IF(A240&lt;SV_sIdx,0,IF(A240=SV_sIdx,SV_R0,SV_lifeGrowth*AB239)),SV_lifeGrowth*AB239))</f>
        <v/>
      </c>
      <c r="AC240" s="29">
        <f>IF(A240&gt;SV_T,0,IF(AND(SV_sp&gt;=0,A240&lt;SV_sIdx),0,IF(AND(SV_sp&gt;=0,A240=SV_sIdx),SV_L0,SV_lifeGrowth*(AC239-AA240))))</f>
        <v/>
      </c>
      <c r="AD240" s="29">
        <f>X240+Y240+AB240+Z240+IF(AB240&lt;0,0,AC240)</f>
        <v/>
      </c>
      <c r="AE240" s="29">
        <f>AA240+W240</f>
        <v/>
      </c>
      <c r="AF240" s="29">
        <f>IF(OR(A240&gt;SV_T,A240&gt;=SV_loanYears),0,MAX(0,AF239*(1+loanRate)-SV_inst))</f>
        <v/>
      </c>
      <c r="AG240" s="29">
        <f>IF(A240&gt;SV_T,0,AG239*(1+SV_savRate)+H240+I240+J240+K240+L240+AE240)</f>
        <v/>
      </c>
      <c r="AH240" s="29">
        <f>IF(A240&gt;SV_T,0,MAX(0,O240+P240+Q240+AD240+AG240-AF240))</f>
        <v/>
      </c>
      <c r="AI240" s="29">
        <f>IF(A240&gt;SV_T,0,O240+P240+AG240-MAX(0,AF240-(Q240+AD240)))</f>
        <v/>
      </c>
      <c r="AJ240" s="29">
        <f>IF(OR(OR(A240&lt;1,A240&gt;SV_T),A240-1&gt;=SV_retPay),0,SV_retMth*12+IF(A240=1,SV_retLump,0))</f>
        <v/>
      </c>
      <c r="AK240" s="29">
        <f>IF(A240&gt;SV_T,0,(AK239+AJ240)*(1+investmentReturn))</f>
        <v/>
      </c>
      <c r="AL240" s="29">
        <f>IF(OR(OR(A240&lt;1,A240&gt;SV_T),A240-1&gt;=SV_goalPay),0,SV_goalMth*12+IF(A240=1,SV_goalLump,0))</f>
        <v/>
      </c>
      <c r="AM240" s="29">
        <f>IF(A240&gt;SV_T,0,(AM239+AL240)*(1+investmentReturn))</f>
        <v/>
      </c>
      <c r="AN240" s="29">
        <f>IF(OR(OR(A240&lt;1,A240&gt;SV_T),A240-1&gt;=SV_protPay),0,SV_protPrem)</f>
        <v/>
      </c>
      <c r="AO240" s="29">
        <f>IF(OR(A240=0,A240&gt;=SV_T),0,ROUND(MAX(0,AK240),2)+ROUND(MAX(0,AM240),2))</f>
        <v/>
      </c>
      <c r="AP240" s="29">
        <f>IF(OR(A240&lt;1,A240&gt;SV_T),0,-(AJ240+AL240+AN240)+IF(A240=SV_T,ROUND(MAX(0,AK240),2)+ROUND(MAX(0,AM240),2),0))</f>
        <v/>
      </c>
      <c r="AQ240" s="29">
        <f>IF(A240&gt;SV_T,0,AQ239*(1+SV_savRate)+H240+I240+J240+K240+L240+AE240+AP240)</f>
        <v/>
      </c>
      <c r="AR240" s="29">
        <f>IF(A240&gt;SV_T,0,MAX(0,O240+P240+Q240+AD240+AQ240+AO240-AF240))</f>
        <v/>
      </c>
      <c r="AS240" s="29">
        <f>IF(A240&gt;SV_T,0,O240+P240+AQ240+AO240-MAX(0,AF240-(Q240+AD240)))</f>
        <v/>
      </c>
    </row>
    <row r="241">
      <c r="A241" s="61" t="n">
        <v>79</v>
      </c>
      <c r="B241" s="61">
        <f>SV_age+A241</f>
        <v/>
      </c>
      <c r="C241" s="61">
        <f>currentYear+A241</f>
        <v/>
      </c>
      <c r="D241" s="52">
        <f>A241&lt;=SV_T</f>
        <v/>
      </c>
      <c r="E241" s="60">
        <f>IF(AND(SV_inflOn,A241&gt;=SV_inflS,A241&lt;=SV_inflE),1+SV_inflRate,1+inflationRate)</f>
        <v/>
      </c>
      <c r="F241" s="60">
        <f>IF(A241&lt;=1,1,F240*E241)</f>
        <v/>
      </c>
      <c r="G241" s="60">
        <f>IF(AND(SV_incOn,A241&gt;=SV_incS,A241&lt;=SV_incE),1+SV_incImp,1)</f>
        <v/>
      </c>
      <c r="H241" s="29">
        <f>IF(OR(OR(A241&lt;1,A241&gt;SV_T),A241-1&gt;=SV_salCut,AND(SV_deaOn,A241&gt;=SV_deaM)),0,SV_sal0*(1+incomeGrowthRate)^(A241-1)*G241)</f>
        <v/>
      </c>
      <c r="I241" s="29">
        <f>IF(OR(A241&lt;1,A241&gt;SV_T),0,(-SV_exp0*F241-IF(A241&lt;=SV_loanYears,SV_inst,0)-IF(AND(SV_wdAmt&gt;0,A241=SV_wdYear),SV_wdAmt,0))*IF(AND(SV_expOn,A241&gt;=SV_expS,A241&lt;=SV_expE),1+SV_expImp,1))</f>
        <v/>
      </c>
      <c r="J241" s="29">
        <f>IF(OR(A241&lt;1,A241&gt;SV_T),0,-F241*(IF(AND(SV_deaOn,A241=SV_deaM),SV_deaAmt,0)+IF(AND(SV_criOn,A241=SV_criM),SV_criAmt,0)+IF(AND(SV_tpdOn,A241=SV_tpdM),SV_tpdAmt,0)+IF(AND(SV_pacOn,A241=SV_pacM),SV_pacAmt,0)+IF(AND(SV_hosOn,A241=SV_hosM),SV_hosAmt,0)+IF(AND(SV_wedOn,A241=SV_wedM),SV_wedAmt,0)+IF(AND(SV_babOn,A241=SV_babM),SV_babAmt,0)+IF(AND(SV_ltcOn,A241&gt;=SV_ltcM,A241&lt;=SV_ltcE),SV_ltcAmt,0)))</f>
        <v/>
      </c>
      <c r="K241" s="29">
        <f>IF(OR(OR(A241&lt;1,A241&gt;SV_T),A241&gt;SV_loanYears),0,-SV_lifePremYr)</f>
        <v/>
      </c>
      <c r="L241" s="29">
        <f>IF(OR(A241&lt;1,A241&gt;SV_T),0,-SV_contrib)</f>
        <v/>
      </c>
      <c r="M241" s="60">
        <f>IF(AND(SV_crashOn,A241=SV_crashYr),SV_crashF,1)</f>
        <v/>
      </c>
      <c r="N241" s="60">
        <f>IF(AND(SV_ccyOn,A241=SV_ccyYr),SV_ccyF,1)</f>
        <v/>
      </c>
      <c r="O241" s="29">
        <f>IF(A241&gt;SV_T,0,O240*(1+interestRate)*M241*N241)</f>
        <v/>
      </c>
      <c r="P241" s="29">
        <f>IF(A241&gt;SV_T,0,(P240+SV_contrib)*(1+investmentReturn)*M241*N241)</f>
        <v/>
      </c>
      <c r="Q241" s="29">
        <f>IF(A241&gt;SV_T,0,Q240*(1+SV_propRate)*M241)</f>
        <v/>
      </c>
      <c r="R241" s="46">
        <f>MATCH(SV_age+A241-1,SV_cpfLower,1)</f>
        <v/>
      </c>
      <c r="S241" s="29">
        <f>IF(OR(OR(A241&lt;1,A241&gt;SV_T),NOT(SV_cpfOn),AND(SV_deaOn,A241&gt;=SV_deaM)),0,MIN(SV_sal0*(1+incomeGrowthRate)^(A241-1)*G241,SV_owCap))</f>
        <v/>
      </c>
      <c r="T241" s="29">
        <f>IF(A241&gt;SV_T,0,T240*(1+SV_oaRate)+IF(A241&gt;=SV_effStop,0,INDEX(SV_cpfOA,R241)*INDEX(SV_cpfTot,R241)*S241))</f>
        <v/>
      </c>
      <c r="U241" s="29">
        <f>IF(A241&gt;SV_T,0,U240*(1+SV_saRate)+IF(A241&gt;=SV_effStop,0,INDEX(SV_cpfSA,R241)*INDEX(SV_cpfTot,R241)*S241))</f>
        <v/>
      </c>
      <c r="V241" s="29">
        <f>IF(A241&gt;SV_T,0,V240*(1+SV_saRate)+IF(A241&gt;=SV_effStop,0,INDEX(SV_cpfMA,R241)*INDEX(SV_cpfTot,R241)*S241))</f>
        <v/>
      </c>
      <c r="W241" s="29">
        <f>IF(OR(OR(A241&lt;1,A241&gt;SV_T),A241&gt;=SV_effNeg),0,-(INDEX(SV_cpfOA,R241)+INDEX(SV_cpfSA,R241)+INDEX(SV_cpfMA,R241))*INDEX(SV_cpfEmp,R241)*S241)</f>
        <v/>
      </c>
      <c r="X241" s="29">
        <f>IF(A241&gt;=SV_sIdx,0,T241)</f>
        <v/>
      </c>
      <c r="Y241" s="29">
        <f>IF(A241&gt;=SV_sIdx,0,U241)</f>
        <v/>
      </c>
      <c r="Z241" s="29">
        <f>IF(A241&gt;=SV_sIdx,MIN(V241,SV_maCap),V241)</f>
        <v/>
      </c>
      <c r="AA241" s="29">
        <f>IF(AND(SV_cpfOn,A241&gt;=SV_pIdx,A241&lt;=SV_T),12*SV_pay,0)</f>
        <v/>
      </c>
      <c r="AB241" s="29">
        <f>IF(A241&gt;SV_T,0,IF(SV_sp&gt;=0,IF(A241&lt;SV_sIdx,0,IF(A241=SV_sIdx,SV_R0,SV_lifeGrowth*AB240)),SV_lifeGrowth*AB240))</f>
        <v/>
      </c>
      <c r="AC241" s="29">
        <f>IF(A241&gt;SV_T,0,IF(AND(SV_sp&gt;=0,A241&lt;SV_sIdx),0,IF(AND(SV_sp&gt;=0,A241=SV_sIdx),SV_L0,SV_lifeGrowth*(AC240-AA241))))</f>
        <v/>
      </c>
      <c r="AD241" s="29">
        <f>X241+Y241+AB241+Z241+IF(AB241&lt;0,0,AC241)</f>
        <v/>
      </c>
      <c r="AE241" s="29">
        <f>AA241+W241</f>
        <v/>
      </c>
      <c r="AF241" s="29">
        <f>IF(OR(A241&gt;SV_T,A241&gt;=SV_loanYears),0,MAX(0,AF240*(1+loanRate)-SV_inst))</f>
        <v/>
      </c>
      <c r="AG241" s="29">
        <f>IF(A241&gt;SV_T,0,AG240*(1+SV_savRate)+H241+I241+J241+K241+L241+AE241)</f>
        <v/>
      </c>
      <c r="AH241" s="29">
        <f>IF(A241&gt;SV_T,0,MAX(0,O241+P241+Q241+AD241+AG241-AF241))</f>
        <v/>
      </c>
      <c r="AI241" s="29">
        <f>IF(A241&gt;SV_T,0,O241+P241+AG241-MAX(0,AF241-(Q241+AD241)))</f>
        <v/>
      </c>
      <c r="AJ241" s="29">
        <f>IF(OR(OR(A241&lt;1,A241&gt;SV_T),A241-1&gt;=SV_retPay),0,SV_retMth*12+IF(A241=1,SV_retLump,0))</f>
        <v/>
      </c>
      <c r="AK241" s="29">
        <f>IF(A241&gt;SV_T,0,(AK240+AJ241)*(1+investmentReturn))</f>
        <v/>
      </c>
      <c r="AL241" s="29">
        <f>IF(OR(OR(A241&lt;1,A241&gt;SV_T),A241-1&gt;=SV_goalPay),0,SV_goalMth*12+IF(A241=1,SV_goalLump,0))</f>
        <v/>
      </c>
      <c r="AM241" s="29">
        <f>IF(A241&gt;SV_T,0,(AM240+AL241)*(1+investmentReturn))</f>
        <v/>
      </c>
      <c r="AN241" s="29">
        <f>IF(OR(OR(A241&lt;1,A241&gt;SV_T),A241-1&gt;=SV_protPay),0,SV_protPrem)</f>
        <v/>
      </c>
      <c r="AO241" s="29">
        <f>IF(OR(A241=0,A241&gt;=SV_T),0,ROUND(MAX(0,AK241),2)+ROUND(MAX(0,AM241),2))</f>
        <v/>
      </c>
      <c r="AP241" s="29">
        <f>IF(OR(A241&lt;1,A241&gt;SV_T),0,-(AJ241+AL241+AN241)+IF(A241=SV_T,ROUND(MAX(0,AK241),2)+ROUND(MAX(0,AM241),2),0))</f>
        <v/>
      </c>
      <c r="AQ241" s="29">
        <f>IF(A241&gt;SV_T,0,AQ240*(1+SV_savRate)+H241+I241+J241+K241+L241+AE241+AP241)</f>
        <v/>
      </c>
      <c r="AR241" s="29">
        <f>IF(A241&gt;SV_T,0,MAX(0,O241+P241+Q241+AD241+AQ241+AO241-AF241))</f>
        <v/>
      </c>
      <c r="AS241" s="29">
        <f>IF(A241&gt;SV_T,0,O241+P241+AQ241+AO241-MAX(0,AF241-(Q241+AD241)))</f>
        <v/>
      </c>
    </row>
    <row r="242">
      <c r="A242" s="61" t="n">
        <v>80</v>
      </c>
      <c r="B242" s="61">
        <f>SV_age+A242</f>
        <v/>
      </c>
      <c r="C242" s="61">
        <f>currentYear+A242</f>
        <v/>
      </c>
      <c r="D242" s="52">
        <f>A242&lt;=SV_T</f>
        <v/>
      </c>
      <c r="E242" s="60">
        <f>IF(AND(SV_inflOn,A242&gt;=SV_inflS,A242&lt;=SV_inflE),1+SV_inflRate,1+inflationRate)</f>
        <v/>
      </c>
      <c r="F242" s="60">
        <f>IF(A242&lt;=1,1,F241*E242)</f>
        <v/>
      </c>
      <c r="G242" s="60">
        <f>IF(AND(SV_incOn,A242&gt;=SV_incS,A242&lt;=SV_incE),1+SV_incImp,1)</f>
        <v/>
      </c>
      <c r="H242" s="29">
        <f>IF(OR(OR(A242&lt;1,A242&gt;SV_T),A242-1&gt;=SV_salCut,AND(SV_deaOn,A242&gt;=SV_deaM)),0,SV_sal0*(1+incomeGrowthRate)^(A242-1)*G242)</f>
        <v/>
      </c>
      <c r="I242" s="29">
        <f>IF(OR(A242&lt;1,A242&gt;SV_T),0,(-SV_exp0*F242-IF(A242&lt;=SV_loanYears,SV_inst,0)-IF(AND(SV_wdAmt&gt;0,A242=SV_wdYear),SV_wdAmt,0))*IF(AND(SV_expOn,A242&gt;=SV_expS,A242&lt;=SV_expE),1+SV_expImp,1))</f>
        <v/>
      </c>
      <c r="J242" s="29">
        <f>IF(OR(A242&lt;1,A242&gt;SV_T),0,-F242*(IF(AND(SV_deaOn,A242=SV_deaM),SV_deaAmt,0)+IF(AND(SV_criOn,A242=SV_criM),SV_criAmt,0)+IF(AND(SV_tpdOn,A242=SV_tpdM),SV_tpdAmt,0)+IF(AND(SV_pacOn,A242=SV_pacM),SV_pacAmt,0)+IF(AND(SV_hosOn,A242=SV_hosM),SV_hosAmt,0)+IF(AND(SV_wedOn,A242=SV_wedM),SV_wedAmt,0)+IF(AND(SV_babOn,A242=SV_babM),SV_babAmt,0)+IF(AND(SV_ltcOn,A242&gt;=SV_ltcM,A242&lt;=SV_ltcE),SV_ltcAmt,0)))</f>
        <v/>
      </c>
      <c r="K242" s="29">
        <f>IF(OR(OR(A242&lt;1,A242&gt;SV_T),A242&gt;SV_loanYears),0,-SV_lifePremYr)</f>
        <v/>
      </c>
      <c r="L242" s="29">
        <f>IF(OR(A242&lt;1,A242&gt;SV_T),0,-SV_contrib)</f>
        <v/>
      </c>
      <c r="M242" s="60">
        <f>IF(AND(SV_crashOn,A242=SV_crashYr),SV_crashF,1)</f>
        <v/>
      </c>
      <c r="N242" s="60">
        <f>IF(AND(SV_ccyOn,A242=SV_ccyYr),SV_ccyF,1)</f>
        <v/>
      </c>
      <c r="O242" s="29">
        <f>IF(A242&gt;SV_T,0,O241*(1+interestRate)*M242*N242)</f>
        <v/>
      </c>
      <c r="P242" s="29">
        <f>IF(A242&gt;SV_T,0,(P241+SV_contrib)*(1+investmentReturn)*M242*N242)</f>
        <v/>
      </c>
      <c r="Q242" s="29">
        <f>IF(A242&gt;SV_T,0,Q241*(1+SV_propRate)*M242)</f>
        <v/>
      </c>
      <c r="R242" s="46">
        <f>MATCH(SV_age+A242-1,SV_cpfLower,1)</f>
        <v/>
      </c>
      <c r="S242" s="29">
        <f>IF(OR(OR(A242&lt;1,A242&gt;SV_T),NOT(SV_cpfOn),AND(SV_deaOn,A242&gt;=SV_deaM)),0,MIN(SV_sal0*(1+incomeGrowthRate)^(A242-1)*G242,SV_owCap))</f>
        <v/>
      </c>
      <c r="T242" s="29">
        <f>IF(A242&gt;SV_T,0,T241*(1+SV_oaRate)+IF(A242&gt;=SV_effStop,0,INDEX(SV_cpfOA,R242)*INDEX(SV_cpfTot,R242)*S242))</f>
        <v/>
      </c>
      <c r="U242" s="29">
        <f>IF(A242&gt;SV_T,0,U241*(1+SV_saRate)+IF(A242&gt;=SV_effStop,0,INDEX(SV_cpfSA,R242)*INDEX(SV_cpfTot,R242)*S242))</f>
        <v/>
      </c>
      <c r="V242" s="29">
        <f>IF(A242&gt;SV_T,0,V241*(1+SV_saRate)+IF(A242&gt;=SV_effStop,0,INDEX(SV_cpfMA,R242)*INDEX(SV_cpfTot,R242)*S242))</f>
        <v/>
      </c>
      <c r="W242" s="29">
        <f>IF(OR(OR(A242&lt;1,A242&gt;SV_T),A242&gt;=SV_effNeg),0,-(INDEX(SV_cpfOA,R242)+INDEX(SV_cpfSA,R242)+INDEX(SV_cpfMA,R242))*INDEX(SV_cpfEmp,R242)*S242)</f>
        <v/>
      </c>
      <c r="X242" s="29">
        <f>IF(A242&gt;=SV_sIdx,0,T242)</f>
        <v/>
      </c>
      <c r="Y242" s="29">
        <f>IF(A242&gt;=SV_sIdx,0,U242)</f>
        <v/>
      </c>
      <c r="Z242" s="29">
        <f>IF(A242&gt;=SV_sIdx,MIN(V242,SV_maCap),V242)</f>
        <v/>
      </c>
      <c r="AA242" s="29">
        <f>IF(AND(SV_cpfOn,A242&gt;=SV_pIdx,A242&lt;=SV_T),12*SV_pay,0)</f>
        <v/>
      </c>
      <c r="AB242" s="29">
        <f>IF(A242&gt;SV_T,0,IF(SV_sp&gt;=0,IF(A242&lt;SV_sIdx,0,IF(A242=SV_sIdx,SV_R0,SV_lifeGrowth*AB241)),SV_lifeGrowth*AB241))</f>
        <v/>
      </c>
      <c r="AC242" s="29">
        <f>IF(A242&gt;SV_T,0,IF(AND(SV_sp&gt;=0,A242&lt;SV_sIdx),0,IF(AND(SV_sp&gt;=0,A242=SV_sIdx),SV_L0,SV_lifeGrowth*(AC241-AA242))))</f>
        <v/>
      </c>
      <c r="AD242" s="29">
        <f>X242+Y242+AB242+Z242+IF(AB242&lt;0,0,AC242)</f>
        <v/>
      </c>
      <c r="AE242" s="29">
        <f>AA242+W242</f>
        <v/>
      </c>
      <c r="AF242" s="29">
        <f>IF(OR(A242&gt;SV_T,A242&gt;=SV_loanYears),0,MAX(0,AF241*(1+loanRate)-SV_inst))</f>
        <v/>
      </c>
      <c r="AG242" s="29">
        <f>IF(A242&gt;SV_T,0,AG241*(1+SV_savRate)+H242+I242+J242+K242+L242+AE242)</f>
        <v/>
      </c>
      <c r="AH242" s="29">
        <f>IF(A242&gt;SV_T,0,MAX(0,O242+P242+Q242+AD242+AG242-AF242))</f>
        <v/>
      </c>
      <c r="AI242" s="29">
        <f>IF(A242&gt;SV_T,0,O242+P242+AG242-MAX(0,AF242-(Q242+AD242)))</f>
        <v/>
      </c>
      <c r="AJ242" s="29">
        <f>IF(OR(OR(A242&lt;1,A242&gt;SV_T),A242-1&gt;=SV_retPay),0,SV_retMth*12+IF(A242=1,SV_retLump,0))</f>
        <v/>
      </c>
      <c r="AK242" s="29">
        <f>IF(A242&gt;SV_T,0,(AK241+AJ242)*(1+investmentReturn))</f>
        <v/>
      </c>
      <c r="AL242" s="29">
        <f>IF(OR(OR(A242&lt;1,A242&gt;SV_T),A242-1&gt;=SV_goalPay),0,SV_goalMth*12+IF(A242=1,SV_goalLump,0))</f>
        <v/>
      </c>
      <c r="AM242" s="29">
        <f>IF(A242&gt;SV_T,0,(AM241+AL242)*(1+investmentReturn))</f>
        <v/>
      </c>
      <c r="AN242" s="29">
        <f>IF(OR(OR(A242&lt;1,A242&gt;SV_T),A242-1&gt;=SV_protPay),0,SV_protPrem)</f>
        <v/>
      </c>
      <c r="AO242" s="29">
        <f>IF(OR(A242=0,A242&gt;=SV_T),0,ROUND(MAX(0,AK242),2)+ROUND(MAX(0,AM242),2))</f>
        <v/>
      </c>
      <c r="AP242" s="29">
        <f>IF(OR(A242&lt;1,A242&gt;SV_T),0,-(AJ242+AL242+AN242)+IF(A242=SV_T,ROUND(MAX(0,AK242),2)+ROUND(MAX(0,AM242),2),0))</f>
        <v/>
      </c>
      <c r="AQ242" s="29">
        <f>IF(A242&gt;SV_T,0,AQ241*(1+SV_savRate)+H242+I242+J242+K242+L242+AE242+AP242)</f>
        <v/>
      </c>
      <c r="AR242" s="29">
        <f>IF(A242&gt;SV_T,0,MAX(0,O242+P242+Q242+AD242+AQ242+AO242-AF242))</f>
        <v/>
      </c>
      <c r="AS242" s="29">
        <f>IF(A242&gt;SV_T,0,O242+P242+AQ242+AO242-MAX(0,AF242-(Q242+AD242)))</f>
        <v/>
      </c>
    </row>
    <row r="243">
      <c r="A243" s="61" t="n">
        <v>81</v>
      </c>
      <c r="B243" s="61">
        <f>SV_age+A243</f>
        <v/>
      </c>
      <c r="C243" s="61">
        <f>currentYear+A243</f>
        <v/>
      </c>
      <c r="D243" s="52">
        <f>A243&lt;=SV_T</f>
        <v/>
      </c>
      <c r="E243" s="60">
        <f>IF(AND(SV_inflOn,A243&gt;=SV_inflS,A243&lt;=SV_inflE),1+SV_inflRate,1+inflationRate)</f>
        <v/>
      </c>
      <c r="F243" s="60">
        <f>IF(A243&lt;=1,1,F242*E243)</f>
        <v/>
      </c>
      <c r="G243" s="60">
        <f>IF(AND(SV_incOn,A243&gt;=SV_incS,A243&lt;=SV_incE),1+SV_incImp,1)</f>
        <v/>
      </c>
      <c r="H243" s="29">
        <f>IF(OR(OR(A243&lt;1,A243&gt;SV_T),A243-1&gt;=SV_salCut,AND(SV_deaOn,A243&gt;=SV_deaM)),0,SV_sal0*(1+incomeGrowthRate)^(A243-1)*G243)</f>
        <v/>
      </c>
      <c r="I243" s="29">
        <f>IF(OR(A243&lt;1,A243&gt;SV_T),0,(-SV_exp0*F243-IF(A243&lt;=SV_loanYears,SV_inst,0)-IF(AND(SV_wdAmt&gt;0,A243=SV_wdYear),SV_wdAmt,0))*IF(AND(SV_expOn,A243&gt;=SV_expS,A243&lt;=SV_expE),1+SV_expImp,1))</f>
        <v/>
      </c>
      <c r="J243" s="29">
        <f>IF(OR(A243&lt;1,A243&gt;SV_T),0,-F243*(IF(AND(SV_deaOn,A243=SV_deaM),SV_deaAmt,0)+IF(AND(SV_criOn,A243=SV_criM),SV_criAmt,0)+IF(AND(SV_tpdOn,A243=SV_tpdM),SV_tpdAmt,0)+IF(AND(SV_pacOn,A243=SV_pacM),SV_pacAmt,0)+IF(AND(SV_hosOn,A243=SV_hosM),SV_hosAmt,0)+IF(AND(SV_wedOn,A243=SV_wedM),SV_wedAmt,0)+IF(AND(SV_babOn,A243=SV_babM),SV_babAmt,0)+IF(AND(SV_ltcOn,A243&gt;=SV_ltcM,A243&lt;=SV_ltcE),SV_ltcAmt,0)))</f>
        <v/>
      </c>
      <c r="K243" s="29">
        <f>IF(OR(OR(A243&lt;1,A243&gt;SV_T),A243&gt;SV_loanYears),0,-SV_lifePremYr)</f>
        <v/>
      </c>
      <c r="L243" s="29">
        <f>IF(OR(A243&lt;1,A243&gt;SV_T),0,-SV_contrib)</f>
        <v/>
      </c>
      <c r="M243" s="60">
        <f>IF(AND(SV_crashOn,A243=SV_crashYr),SV_crashF,1)</f>
        <v/>
      </c>
      <c r="N243" s="60">
        <f>IF(AND(SV_ccyOn,A243=SV_ccyYr),SV_ccyF,1)</f>
        <v/>
      </c>
      <c r="O243" s="29">
        <f>IF(A243&gt;SV_T,0,O242*(1+interestRate)*M243*N243)</f>
        <v/>
      </c>
      <c r="P243" s="29">
        <f>IF(A243&gt;SV_T,0,(P242+SV_contrib)*(1+investmentReturn)*M243*N243)</f>
        <v/>
      </c>
      <c r="Q243" s="29">
        <f>IF(A243&gt;SV_T,0,Q242*(1+SV_propRate)*M243)</f>
        <v/>
      </c>
      <c r="R243" s="46">
        <f>MATCH(SV_age+A243-1,SV_cpfLower,1)</f>
        <v/>
      </c>
      <c r="S243" s="29">
        <f>IF(OR(OR(A243&lt;1,A243&gt;SV_T),NOT(SV_cpfOn),AND(SV_deaOn,A243&gt;=SV_deaM)),0,MIN(SV_sal0*(1+incomeGrowthRate)^(A243-1)*G243,SV_owCap))</f>
        <v/>
      </c>
      <c r="T243" s="29">
        <f>IF(A243&gt;SV_T,0,T242*(1+SV_oaRate)+IF(A243&gt;=SV_effStop,0,INDEX(SV_cpfOA,R243)*INDEX(SV_cpfTot,R243)*S243))</f>
        <v/>
      </c>
      <c r="U243" s="29">
        <f>IF(A243&gt;SV_T,0,U242*(1+SV_saRate)+IF(A243&gt;=SV_effStop,0,INDEX(SV_cpfSA,R243)*INDEX(SV_cpfTot,R243)*S243))</f>
        <v/>
      </c>
      <c r="V243" s="29">
        <f>IF(A243&gt;SV_T,0,V242*(1+SV_saRate)+IF(A243&gt;=SV_effStop,0,INDEX(SV_cpfMA,R243)*INDEX(SV_cpfTot,R243)*S243))</f>
        <v/>
      </c>
      <c r="W243" s="29">
        <f>IF(OR(OR(A243&lt;1,A243&gt;SV_T),A243&gt;=SV_effNeg),0,-(INDEX(SV_cpfOA,R243)+INDEX(SV_cpfSA,R243)+INDEX(SV_cpfMA,R243))*INDEX(SV_cpfEmp,R243)*S243)</f>
        <v/>
      </c>
      <c r="X243" s="29">
        <f>IF(A243&gt;=SV_sIdx,0,T243)</f>
        <v/>
      </c>
      <c r="Y243" s="29">
        <f>IF(A243&gt;=SV_sIdx,0,U243)</f>
        <v/>
      </c>
      <c r="Z243" s="29">
        <f>IF(A243&gt;=SV_sIdx,MIN(V243,SV_maCap),V243)</f>
        <v/>
      </c>
      <c r="AA243" s="29">
        <f>IF(AND(SV_cpfOn,A243&gt;=SV_pIdx,A243&lt;=SV_T),12*SV_pay,0)</f>
        <v/>
      </c>
      <c r="AB243" s="29">
        <f>IF(A243&gt;SV_T,0,IF(SV_sp&gt;=0,IF(A243&lt;SV_sIdx,0,IF(A243=SV_sIdx,SV_R0,SV_lifeGrowth*AB242)),SV_lifeGrowth*AB242))</f>
        <v/>
      </c>
      <c r="AC243" s="29">
        <f>IF(A243&gt;SV_T,0,IF(AND(SV_sp&gt;=0,A243&lt;SV_sIdx),0,IF(AND(SV_sp&gt;=0,A243=SV_sIdx),SV_L0,SV_lifeGrowth*(AC242-AA243))))</f>
        <v/>
      </c>
      <c r="AD243" s="29">
        <f>X243+Y243+AB243+Z243+IF(AB243&lt;0,0,AC243)</f>
        <v/>
      </c>
      <c r="AE243" s="29">
        <f>AA243+W243</f>
        <v/>
      </c>
      <c r="AF243" s="29">
        <f>IF(OR(A243&gt;SV_T,A243&gt;=SV_loanYears),0,MAX(0,AF242*(1+loanRate)-SV_inst))</f>
        <v/>
      </c>
      <c r="AG243" s="29">
        <f>IF(A243&gt;SV_T,0,AG242*(1+SV_savRate)+H243+I243+J243+K243+L243+AE243)</f>
        <v/>
      </c>
      <c r="AH243" s="29">
        <f>IF(A243&gt;SV_T,0,MAX(0,O243+P243+Q243+AD243+AG243-AF243))</f>
        <v/>
      </c>
      <c r="AI243" s="29">
        <f>IF(A243&gt;SV_T,0,O243+P243+AG243-MAX(0,AF243-(Q243+AD243)))</f>
        <v/>
      </c>
      <c r="AJ243" s="29">
        <f>IF(OR(OR(A243&lt;1,A243&gt;SV_T),A243-1&gt;=SV_retPay),0,SV_retMth*12+IF(A243=1,SV_retLump,0))</f>
        <v/>
      </c>
      <c r="AK243" s="29">
        <f>IF(A243&gt;SV_T,0,(AK242+AJ243)*(1+investmentReturn))</f>
        <v/>
      </c>
      <c r="AL243" s="29">
        <f>IF(OR(OR(A243&lt;1,A243&gt;SV_T),A243-1&gt;=SV_goalPay),0,SV_goalMth*12+IF(A243=1,SV_goalLump,0))</f>
        <v/>
      </c>
      <c r="AM243" s="29">
        <f>IF(A243&gt;SV_T,0,(AM242+AL243)*(1+investmentReturn))</f>
        <v/>
      </c>
      <c r="AN243" s="29">
        <f>IF(OR(OR(A243&lt;1,A243&gt;SV_T),A243-1&gt;=SV_protPay),0,SV_protPrem)</f>
        <v/>
      </c>
      <c r="AO243" s="29">
        <f>IF(OR(A243=0,A243&gt;=SV_T),0,ROUND(MAX(0,AK243),2)+ROUND(MAX(0,AM243),2))</f>
        <v/>
      </c>
      <c r="AP243" s="29">
        <f>IF(OR(A243&lt;1,A243&gt;SV_T),0,-(AJ243+AL243+AN243)+IF(A243=SV_T,ROUND(MAX(0,AK243),2)+ROUND(MAX(0,AM243),2),0))</f>
        <v/>
      </c>
      <c r="AQ243" s="29">
        <f>IF(A243&gt;SV_T,0,AQ242*(1+SV_savRate)+H243+I243+J243+K243+L243+AE243+AP243)</f>
        <v/>
      </c>
      <c r="AR243" s="29">
        <f>IF(A243&gt;SV_T,0,MAX(0,O243+P243+Q243+AD243+AQ243+AO243-AF243))</f>
        <v/>
      </c>
      <c r="AS243" s="29">
        <f>IF(A243&gt;SV_T,0,O243+P243+AQ243+AO243-MAX(0,AF243-(Q243+AD243)))</f>
        <v/>
      </c>
    </row>
    <row r="244">
      <c r="A244" s="61" t="n">
        <v>82</v>
      </c>
      <c r="B244" s="61">
        <f>SV_age+A244</f>
        <v/>
      </c>
      <c r="C244" s="61">
        <f>currentYear+A244</f>
        <v/>
      </c>
      <c r="D244" s="52">
        <f>A244&lt;=SV_T</f>
        <v/>
      </c>
      <c r="E244" s="60">
        <f>IF(AND(SV_inflOn,A244&gt;=SV_inflS,A244&lt;=SV_inflE),1+SV_inflRate,1+inflationRate)</f>
        <v/>
      </c>
      <c r="F244" s="60">
        <f>IF(A244&lt;=1,1,F243*E244)</f>
        <v/>
      </c>
      <c r="G244" s="60">
        <f>IF(AND(SV_incOn,A244&gt;=SV_incS,A244&lt;=SV_incE),1+SV_incImp,1)</f>
        <v/>
      </c>
      <c r="H244" s="29">
        <f>IF(OR(OR(A244&lt;1,A244&gt;SV_T),A244-1&gt;=SV_salCut,AND(SV_deaOn,A244&gt;=SV_deaM)),0,SV_sal0*(1+incomeGrowthRate)^(A244-1)*G244)</f>
        <v/>
      </c>
      <c r="I244" s="29">
        <f>IF(OR(A244&lt;1,A244&gt;SV_T),0,(-SV_exp0*F244-IF(A244&lt;=SV_loanYears,SV_inst,0)-IF(AND(SV_wdAmt&gt;0,A244=SV_wdYear),SV_wdAmt,0))*IF(AND(SV_expOn,A244&gt;=SV_expS,A244&lt;=SV_expE),1+SV_expImp,1))</f>
        <v/>
      </c>
      <c r="J244" s="29">
        <f>IF(OR(A244&lt;1,A244&gt;SV_T),0,-F244*(IF(AND(SV_deaOn,A244=SV_deaM),SV_deaAmt,0)+IF(AND(SV_criOn,A244=SV_criM),SV_criAmt,0)+IF(AND(SV_tpdOn,A244=SV_tpdM),SV_tpdAmt,0)+IF(AND(SV_pacOn,A244=SV_pacM),SV_pacAmt,0)+IF(AND(SV_hosOn,A244=SV_hosM),SV_hosAmt,0)+IF(AND(SV_wedOn,A244=SV_wedM),SV_wedAmt,0)+IF(AND(SV_babOn,A244=SV_babM),SV_babAmt,0)+IF(AND(SV_ltcOn,A244&gt;=SV_ltcM,A244&lt;=SV_ltcE),SV_ltcAmt,0)))</f>
        <v/>
      </c>
      <c r="K244" s="29">
        <f>IF(OR(OR(A244&lt;1,A244&gt;SV_T),A244&gt;SV_loanYears),0,-SV_lifePremYr)</f>
        <v/>
      </c>
      <c r="L244" s="29">
        <f>IF(OR(A244&lt;1,A244&gt;SV_T),0,-SV_contrib)</f>
        <v/>
      </c>
      <c r="M244" s="60">
        <f>IF(AND(SV_crashOn,A244=SV_crashYr),SV_crashF,1)</f>
        <v/>
      </c>
      <c r="N244" s="60">
        <f>IF(AND(SV_ccyOn,A244=SV_ccyYr),SV_ccyF,1)</f>
        <v/>
      </c>
      <c r="O244" s="29">
        <f>IF(A244&gt;SV_T,0,O243*(1+interestRate)*M244*N244)</f>
        <v/>
      </c>
      <c r="P244" s="29">
        <f>IF(A244&gt;SV_T,0,(P243+SV_contrib)*(1+investmentReturn)*M244*N244)</f>
        <v/>
      </c>
      <c r="Q244" s="29">
        <f>IF(A244&gt;SV_T,0,Q243*(1+SV_propRate)*M244)</f>
        <v/>
      </c>
      <c r="R244" s="46">
        <f>MATCH(SV_age+A244-1,SV_cpfLower,1)</f>
        <v/>
      </c>
      <c r="S244" s="29">
        <f>IF(OR(OR(A244&lt;1,A244&gt;SV_T),NOT(SV_cpfOn),AND(SV_deaOn,A244&gt;=SV_deaM)),0,MIN(SV_sal0*(1+incomeGrowthRate)^(A244-1)*G244,SV_owCap))</f>
        <v/>
      </c>
      <c r="T244" s="29">
        <f>IF(A244&gt;SV_T,0,T243*(1+SV_oaRate)+IF(A244&gt;=SV_effStop,0,INDEX(SV_cpfOA,R244)*INDEX(SV_cpfTot,R244)*S244))</f>
        <v/>
      </c>
      <c r="U244" s="29">
        <f>IF(A244&gt;SV_T,0,U243*(1+SV_saRate)+IF(A244&gt;=SV_effStop,0,INDEX(SV_cpfSA,R244)*INDEX(SV_cpfTot,R244)*S244))</f>
        <v/>
      </c>
      <c r="V244" s="29">
        <f>IF(A244&gt;SV_T,0,V243*(1+SV_saRate)+IF(A244&gt;=SV_effStop,0,INDEX(SV_cpfMA,R244)*INDEX(SV_cpfTot,R244)*S244))</f>
        <v/>
      </c>
      <c r="W244" s="29">
        <f>IF(OR(OR(A244&lt;1,A244&gt;SV_T),A244&gt;=SV_effNeg),0,-(INDEX(SV_cpfOA,R244)+INDEX(SV_cpfSA,R244)+INDEX(SV_cpfMA,R244))*INDEX(SV_cpfEmp,R244)*S244)</f>
        <v/>
      </c>
      <c r="X244" s="29">
        <f>IF(A244&gt;=SV_sIdx,0,T244)</f>
        <v/>
      </c>
      <c r="Y244" s="29">
        <f>IF(A244&gt;=SV_sIdx,0,U244)</f>
        <v/>
      </c>
      <c r="Z244" s="29">
        <f>IF(A244&gt;=SV_sIdx,MIN(V244,SV_maCap),V244)</f>
        <v/>
      </c>
      <c r="AA244" s="29">
        <f>IF(AND(SV_cpfOn,A244&gt;=SV_pIdx,A244&lt;=SV_T),12*SV_pay,0)</f>
        <v/>
      </c>
      <c r="AB244" s="29">
        <f>IF(A244&gt;SV_T,0,IF(SV_sp&gt;=0,IF(A244&lt;SV_sIdx,0,IF(A244=SV_sIdx,SV_R0,SV_lifeGrowth*AB243)),SV_lifeGrowth*AB243))</f>
        <v/>
      </c>
      <c r="AC244" s="29">
        <f>IF(A244&gt;SV_T,0,IF(AND(SV_sp&gt;=0,A244&lt;SV_sIdx),0,IF(AND(SV_sp&gt;=0,A244=SV_sIdx),SV_L0,SV_lifeGrowth*(AC243-AA244))))</f>
        <v/>
      </c>
      <c r="AD244" s="29">
        <f>X244+Y244+AB244+Z244+IF(AB244&lt;0,0,AC244)</f>
        <v/>
      </c>
      <c r="AE244" s="29">
        <f>AA244+W244</f>
        <v/>
      </c>
      <c r="AF244" s="29">
        <f>IF(OR(A244&gt;SV_T,A244&gt;=SV_loanYears),0,MAX(0,AF243*(1+loanRate)-SV_inst))</f>
        <v/>
      </c>
      <c r="AG244" s="29">
        <f>IF(A244&gt;SV_T,0,AG243*(1+SV_savRate)+H244+I244+J244+K244+L244+AE244)</f>
        <v/>
      </c>
      <c r="AH244" s="29">
        <f>IF(A244&gt;SV_T,0,MAX(0,O244+P244+Q244+AD244+AG244-AF244))</f>
        <v/>
      </c>
      <c r="AI244" s="29">
        <f>IF(A244&gt;SV_T,0,O244+P244+AG244-MAX(0,AF244-(Q244+AD244)))</f>
        <v/>
      </c>
      <c r="AJ244" s="29">
        <f>IF(OR(OR(A244&lt;1,A244&gt;SV_T),A244-1&gt;=SV_retPay),0,SV_retMth*12+IF(A244=1,SV_retLump,0))</f>
        <v/>
      </c>
      <c r="AK244" s="29">
        <f>IF(A244&gt;SV_T,0,(AK243+AJ244)*(1+investmentReturn))</f>
        <v/>
      </c>
      <c r="AL244" s="29">
        <f>IF(OR(OR(A244&lt;1,A244&gt;SV_T),A244-1&gt;=SV_goalPay),0,SV_goalMth*12+IF(A244=1,SV_goalLump,0))</f>
        <v/>
      </c>
      <c r="AM244" s="29">
        <f>IF(A244&gt;SV_T,0,(AM243+AL244)*(1+investmentReturn))</f>
        <v/>
      </c>
      <c r="AN244" s="29">
        <f>IF(OR(OR(A244&lt;1,A244&gt;SV_T),A244-1&gt;=SV_protPay),0,SV_protPrem)</f>
        <v/>
      </c>
      <c r="AO244" s="29">
        <f>IF(OR(A244=0,A244&gt;=SV_T),0,ROUND(MAX(0,AK244),2)+ROUND(MAX(0,AM244),2))</f>
        <v/>
      </c>
      <c r="AP244" s="29">
        <f>IF(OR(A244&lt;1,A244&gt;SV_T),0,-(AJ244+AL244+AN244)+IF(A244=SV_T,ROUND(MAX(0,AK244),2)+ROUND(MAX(0,AM244),2),0))</f>
        <v/>
      </c>
      <c r="AQ244" s="29">
        <f>IF(A244&gt;SV_T,0,AQ243*(1+SV_savRate)+H244+I244+J244+K244+L244+AE244+AP244)</f>
        <v/>
      </c>
      <c r="AR244" s="29">
        <f>IF(A244&gt;SV_T,0,MAX(0,O244+P244+Q244+AD244+AQ244+AO244-AF244))</f>
        <v/>
      </c>
      <c r="AS244" s="29">
        <f>IF(A244&gt;SV_T,0,O244+P244+AQ244+AO244-MAX(0,AF244-(Q244+AD244)))</f>
        <v/>
      </c>
    </row>
  </sheetData>
  <mergeCells count="15">
    <mergeCell ref="A1:D1"/>
    <mergeCell ref="A17:D17"/>
    <mergeCell ref="AJ160:AS160"/>
    <mergeCell ref="H4:N4"/>
    <mergeCell ref="A145:D145"/>
    <mergeCell ref="A4:D4"/>
    <mergeCell ref="H15:L15"/>
    <mergeCell ref="A124:D124"/>
    <mergeCell ref="A55:D55"/>
    <mergeCell ref="E160:L160"/>
    <mergeCell ref="AF160:AI160"/>
    <mergeCell ref="M160:Q160"/>
    <mergeCell ref="A160:D160"/>
    <mergeCell ref="A32:D32"/>
    <mergeCell ref="R160:AE160"/>
  </mergeCells>
  <conditionalFormatting sqref="A162:AS244">
    <cfRule type="expression" priority="1" dxfId="2">
      <formula>OR($D162=FALSE,$B162&gt;IFERROR(SV_end,endAge))</formula>
    </cfRule>
  </conditionalFormatting>
  <pageMargins left="0.75" right="0.75" top="1" bottom="1" header="0.5" footer="0.5"/>
</worksheet>
</file>

<file path=xl/worksheets/sheet12.xml><?xml version="1.0" encoding="utf-8"?>
<worksheet xmlns="http://schemas.openxmlformats.org/spreadsheetml/2006/main">
  <sheetPr>
    <tabColor rgb="007A3E9D"/>
    <outlinePr summaryBelow="1" summaryRight="1"/>
    <pageSetUpPr/>
  </sheetPr>
  <dimension ref="A1:BK1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3"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ht="28" customHeight="1">
      <c r="A1" s="1" t="inlineStr">
        <is>
          <t>HappiU — selected persona. Deterministic HU score: expected values weighted by survival, on HU's cashflow rules.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(what hu_payload.py sends)</t>
        </is>
      </c>
      <c r="B4" s="12" t="n"/>
      <c r="C4" s="12" t="n"/>
      <c r="D4" s="12" t="n"/>
      <c r="F4" s="16" t="inlineStr">
        <is>
          <t>C · DETERMINISTICALLY CALCULATED</t>
        </is>
      </c>
      <c r="H4" s="16" t="inlineStr">
        <is>
          <t>C · GOALS  —  enabled needs plus N_RET (GP always sends it)</t>
        </is>
      </c>
      <c r="I4" s="34" t="n"/>
      <c r="J4" s="34" t="n"/>
      <c r="K4" s="34" t="n"/>
      <c r="L4" s="34" t="n"/>
      <c r="M4" s="34" t="n"/>
      <c r="N4" s="34" t="n"/>
      <c r="O4" s="34" t="n"/>
      <c r="P4" s="34" t="n"/>
      <c r="Q4" s="34" t="n"/>
      <c r="R4" s="34" t="n"/>
      <c r="S4" s="34" t="n"/>
      <c r="T4" s="34" t="n"/>
      <c r="U4" s="34" t="n"/>
      <c r="V4" s="34" t="n"/>
      <c r="W4" s="34" t="n"/>
      <c r="X4" s="34" t="n"/>
      <c r="Y4" s="34" t="n"/>
      <c r="Z4" s="34" t="n"/>
      <c r="AA4" s="34" t="n"/>
      <c r="AB4" s="34" t="n"/>
      <c r="AC4" s="34" t="n"/>
      <c r="AD4" s="34" t="n"/>
      <c r="AE4" s="34" t="n"/>
      <c r="AF4" s="35" t="n"/>
    </row>
    <row r="5">
      <c r="A5" s="17" t="inlineStr">
        <is>
          <t>age</t>
        </is>
      </c>
      <c r="B5" s="20">
        <f>IFERROR(INDEX(Personas!C$3:C$52,MATCH($B$2,Personas!$A$3:$A$52,0)),"")</f>
        <v/>
      </c>
      <c r="C5" s="13" t="inlineStr">
        <is>
          <t>A · input</t>
        </is>
      </c>
      <c r="D5" s="18" t="inlineStr">
        <is>
          <t>Personas C. HU needs 18–83.</t>
        </is>
      </c>
      <c r="F5" s="19" t="inlineStr">
        <is>
          <t>D · ASSUMPTIONS / SHARED DATA</t>
        </is>
      </c>
      <c r="H5" s="3" t="inlineStr">
        <is>
          <t>type</t>
        </is>
      </c>
      <c r="I5" s="3" t="inlineStr">
        <is>
          <t>code</t>
        </is>
      </c>
      <c r="J5" s="3" t="inlineStr">
        <is>
          <t>in list</t>
        </is>
      </c>
      <c r="K5" s="3" t="inlineStr">
        <is>
          <t>need</t>
        </is>
      </c>
      <c r="L5" s="3" t="inlineStr">
        <is>
          <t>existing</t>
        </is>
      </c>
      <c r="M5" s="3" t="inlineStr">
        <is>
          <t>in plan</t>
        </is>
      </c>
      <c r="N5" s="3" t="inlineStr">
        <is>
          <t>benefit</t>
        </is>
      </c>
      <c r="O5" s="3" t="inlineStr">
        <is>
          <t>priority</t>
        </is>
      </c>
      <c r="P5" s="3" t="inlineStr">
        <is>
          <t>duration</t>
        </is>
      </c>
      <c r="Q5" s="3" t="inlineStr">
        <is>
          <t>D</t>
        </is>
      </c>
      <c r="R5" s="3" t="inlineStr">
        <is>
          <t>path</t>
        </is>
      </c>
      <c r="S5" s="3" t="inlineStr">
        <is>
          <t>w0</t>
        </is>
      </c>
      <c r="T5" s="3" t="inlineStr">
        <is>
          <t>whl</t>
        </is>
      </c>
      <c r="U5" s="3" t="inlineStr">
        <is>
          <t>v(0)</t>
        </is>
      </c>
      <c r="V5" s="3" t="inlineStr">
        <is>
          <t>U base</t>
        </is>
      </c>
      <c r="W5" s="3" t="inlineStr">
        <is>
          <t>U pre</t>
        </is>
      </c>
      <c r="X5" s="3" t="inlineStr">
        <is>
          <t>U rec</t>
        </is>
      </c>
      <c r="Y5" s="3" t="inlineStr">
        <is>
          <t>U full</t>
        </is>
      </c>
      <c r="Z5" s="3" t="inlineStr">
        <is>
          <t>denominator</t>
        </is>
      </c>
      <c r="AA5" s="3" t="inlineStr">
        <is>
          <t>pre</t>
        </is>
      </c>
      <c r="AB5" s="3" t="inlineStr">
        <is>
          <t>post</t>
        </is>
      </c>
      <c r="AC5" s="3" t="inlineStr">
        <is>
          <t>flag</t>
        </is>
      </c>
      <c r="AD5" s="3" t="inlineStr">
        <is>
          <t>log priority</t>
        </is>
      </c>
      <c r="AE5" s="3" t="inlineStr">
        <is>
          <t>calibration</t>
        </is>
      </c>
      <c r="AF5" s="3" t="inlineStr">
        <is>
          <t>weight</t>
        </is>
      </c>
    </row>
    <row r="6">
      <c r="A6" s="17" t="inlineStr">
        <is>
          <t>gender</t>
        </is>
      </c>
      <c r="B6" s="13">
        <f>IFERROR(INDEX(Personas!D$3:D$52,MATCH($B$2,Personas!$A$3:$A$52,0)),"")</f>
        <v/>
      </c>
      <c r="C6" s="13" t="inlineStr">
        <is>
          <t>A · input</t>
        </is>
      </c>
      <c r="D6" s="18" t="inlineStr">
        <is>
          <t>Personas D. Picks the q(age) column.</t>
        </is>
      </c>
      <c r="F6" s="21" t="inlineStr">
        <is>
          <t>E · USER / FRONTEND OVERRIDE</t>
        </is>
      </c>
      <c r="H6" s="3" t="inlineStr">
        <is>
          <t>N_INC</t>
        </is>
      </c>
      <c r="I6" s="27" t="inlineStr">
        <is>
          <t>N_INC</t>
        </is>
      </c>
      <c r="J6" s="27">
        <f>NC_on_N_INC</f>
        <v/>
      </c>
      <c r="K6" s="29">
        <f>NC_amount_N_INC</f>
        <v/>
      </c>
      <c r="L6" s="29">
        <f>HU_lifeSum</f>
        <v/>
      </c>
      <c r="M6" s="27">
        <f>NOT(AND(PLAN_sug_N_INC,NOT(PLAN_included_N_INC)))</f>
        <v/>
      </c>
      <c r="N6" s="29">
        <f>IF(NOT($M$6),0,IF(PLAN_sug_N_INC,MAX(0,PLAN_sum_N_INC),MAX(0,ROUND($K$6/HU_benefitRound,0)*HU_benefitRound)))</f>
        <v/>
      </c>
      <c r="O6" s="46">
        <f>NP_priority_N_INC</f>
        <v/>
      </c>
      <c r="P6" s="46">
        <f>IF($M$6,MIN(HU_term,HU_depYears),HU_depYears)+1</f>
        <v/>
      </c>
      <c r="Q6" s="46">
        <f>MIN($P$6,HU_T)</f>
        <v/>
      </c>
      <c r="R6" s="27" t="inlineStr">
        <is>
          <t>W</t>
        </is>
      </c>
      <c r="S6" s="29">
        <f>INDEX($AD$68:$AD$150,IF(HU_T&gt;=1,2,1))+$K$6</f>
        <v/>
      </c>
      <c r="T6" s="29">
        <f>HU_whl*$K$6</f>
        <v/>
      </c>
      <c r="U6" s="29">
        <f>IF($S$6=0,0,IF(0&gt;$S$6/HU_alpha+$K$6,0.5*$S$6/HU_alpha,IF(0&gt;=$K$6,(0-$K$6)-0.5*HU_alpha/$S$6*(0-$K$6)^2,IF(0&gt;=$T$6,HU_beta*(0-$K$6),HU_beta*($T$6-$K$6)))))</f>
        <v/>
      </c>
      <c r="V6" s="29">
        <f>$U$6*SUM($AF$68:$AF$150)</f>
        <v/>
      </c>
      <c r="W6" s="29">
        <f>SUMPRODUCT($AF$68:$AF$150,$AG$68:$AG$150)</f>
        <v/>
      </c>
      <c r="X6" s="29">
        <f>SUMPRODUCT($AF$68:$AF$150,$AH$68:$AH$150)</f>
        <v/>
      </c>
      <c r="Y6" s="29">
        <f>SUMPRODUCT($AF$68:$AF$150,$AI$68:$AI$150)</f>
        <v/>
      </c>
      <c r="Z6" s="29">
        <f>$Y$6-$V$6</f>
        <v/>
      </c>
      <c r="AA6" s="60">
        <f>IF(NOT($J$6),"",IF($S$6=0,1,IF($Z$6=0,1,IF(AND($Z$6=$W$6-$V$6,$W$6&gt;0),1,MAX(0,MIN(1,($W$6-$V$6)/$Z$6))))))</f>
        <v/>
      </c>
      <c r="AB6" s="60">
        <f>IF(NOT($J$6),"",IF($S$6=0,1,IF($Z$6=0,1,IF(AND($Z$6=$X$6-$V$6,$X$6&gt;0),1,MAX(0,MIN(1,($X$6-$V$6)/$Z$6))))))</f>
        <v/>
      </c>
      <c r="AC6" s="27">
        <f>IF(NOT($J$6),"",IF($S$6=0,"w0 = 0 (HU raises an error)",IF($Z$6=0,"denominator 0","")))</f>
        <v/>
      </c>
      <c r="AD6" s="60">
        <f>IF($J$6,MAX(LN($O$6+1),LN(1+1)),0)</f>
        <v/>
      </c>
      <c r="AE6" s="60">
        <f>IF($J$6,1,0)</f>
        <v/>
      </c>
      <c r="AF6" s="60">
        <f>IF($J$6,$AD$6*$AE$6/SUMPRODUCT($AD$6:$AD$13,$AE$6:$AE$13),0)</f>
        <v/>
      </c>
    </row>
    <row r="7">
      <c r="A7" s="17" t="inlineStr">
        <is>
          <t>is smoker</t>
        </is>
      </c>
      <c r="B7" s="13">
        <f>IFERROR(INDEX(Personas!U$3:U$52,MATCH($B$2,Personas!$A$3:$A$52,0)),"")</f>
        <v/>
      </c>
      <c r="C7" s="13" t="inlineStr">
        <is>
          <t>A · input</t>
        </is>
      </c>
      <c r="D7" s="18" t="inlineStr">
        <is>
          <t>Personas U.</t>
        </is>
      </c>
      <c r="H7" s="3" t="inlineStr">
        <is>
          <t>N_CRI</t>
        </is>
      </c>
      <c r="I7" s="27" t="inlineStr">
        <is>
          <t>N_CRI</t>
        </is>
      </c>
      <c r="J7" s="27">
        <f>NC_on_N_CRI</f>
        <v/>
      </c>
      <c r="K7" s="29">
        <f>NC_amount_N_CRI</f>
        <v/>
      </c>
      <c r="L7" s="29" t="n">
        <v>0</v>
      </c>
      <c r="M7" s="27">
        <f>NOT(AND(PLAN_sug_N_CRI,NOT(PLAN_included_N_CRI)))</f>
        <v/>
      </c>
      <c r="N7" s="29">
        <f>IF(NOT($M$7),0,IF(PLAN_sug_N_CRI,MAX(0,PLAN_sum_N_CRI),MAX(0,ROUND($K$7/HU_benefitRound,0)*HU_benefitRound)))</f>
        <v/>
      </c>
      <c r="O7" s="46">
        <f>NP_priority_N_CRI</f>
        <v/>
      </c>
      <c r="P7" s="46">
        <f>IF($M$7,HU_term,HU_ciMaxAge-HU_age)+1</f>
        <v/>
      </c>
      <c r="Q7" s="46">
        <f>MIN($P$7,HU_T)</f>
        <v/>
      </c>
      <c r="R7" s="27" t="inlineStr">
        <is>
          <t>C</t>
        </is>
      </c>
      <c r="S7" s="29">
        <f>$K$7</f>
        <v/>
      </c>
      <c r="T7" s="29">
        <f>HU_whl*$K$7</f>
        <v/>
      </c>
      <c r="U7" s="29">
        <f>IF($S$7=0,0,IF(0&gt;$S$7/HU_alpha+$K$7,0.5*$S$7/HU_alpha,IF(0&gt;=$K$7,(0-$K$7)-0.5*HU_alpha/$S$7*(0-$K$7)^2,IF(0&gt;=$T$7,HU_beta*(0-$K$7),HU_beta*($T$7-$K$7)))))</f>
        <v/>
      </c>
      <c r="V7" s="29">
        <f>$U$7*SUM($AJ$68:$AJ$150)</f>
        <v/>
      </c>
      <c r="W7" s="29">
        <f>SUMPRODUCT($AJ$68:$AJ$150,$AK$68:$AK$150)</f>
        <v/>
      </c>
      <c r="X7" s="29">
        <f>SUMPRODUCT($AJ$68:$AJ$150,$AL$68:$AL$150)</f>
        <v/>
      </c>
      <c r="Y7" s="29">
        <f>SUMPRODUCT($AJ$68:$AJ$150,$AM$68:$AM$150)</f>
        <v/>
      </c>
      <c r="Z7" s="29">
        <f>$Y$7-$V$7</f>
        <v/>
      </c>
      <c r="AA7" s="60">
        <f>IF(NOT($J$7),"",IF($S$7=0,1,IF($Z$7=0,1,IF(AND($Z$7=$W$7-$V$7,$W$7&gt;0),1,MAX(0,MIN(1,($W$7-$V$7)/$Z$7))))))</f>
        <v/>
      </c>
      <c r="AB7" s="60">
        <f>IF(NOT($J$7),"",IF($S$7=0,1,IF($Z$7=0,1,IF(AND($Z$7=$X$7-$V$7,$X$7&gt;0),1,MAX(0,MIN(1,($X$7-$V$7)/$Z$7))))))</f>
        <v/>
      </c>
      <c r="AC7" s="27">
        <f>IF(NOT($J$7),"",IF($S$7=0,"w0 = 0 (HU raises an error)",IF($Z$7=0,"denominator 0","")))</f>
        <v/>
      </c>
      <c r="AD7" s="60">
        <f>IF($J$7,MAX(LN($O$7+1),LN(1+1)),0)</f>
        <v/>
      </c>
      <c r="AE7" s="60">
        <f>IF($J$7,1/HU_nCons,0)</f>
        <v/>
      </c>
      <c r="AF7" s="60">
        <f>IF($J$7,$AD$7*$AE$7/SUMPRODUCT($AD$6:$AD$13,$AE$6:$AE$13),0)</f>
        <v/>
      </c>
    </row>
    <row r="8">
      <c r="A8" s="17" t="inlineStr">
        <is>
          <t>incomeMonthly</t>
        </is>
      </c>
      <c r="B8" s="37">
        <f>PLU_incomeMonthly</f>
        <v/>
      </c>
      <c r="C8" s="13" t="inlineStr">
        <is>
          <t>A · input</t>
        </is>
      </c>
      <c r="D8" s="18" t="inlineStr"/>
      <c r="H8" s="3" t="inlineStr">
        <is>
          <t>N_TPD</t>
        </is>
      </c>
      <c r="I8" s="27" t="inlineStr">
        <is>
          <t>N_TPD</t>
        </is>
      </c>
      <c r="J8" s="27">
        <f>NC_on_N_TPD</f>
        <v/>
      </c>
      <c r="K8" s="29">
        <f>NC_amount_N_TPD</f>
        <v/>
      </c>
      <c r="L8" s="29" t="n">
        <v>0</v>
      </c>
      <c r="M8" s="27">
        <f>NOT(AND(PLAN_sug_N_TPD,NOT(PLAN_included_N_TPD)))</f>
        <v/>
      </c>
      <c r="N8" s="29">
        <f>IF(NOT($M$8),0,IF(PLAN_sug_N_TPD,MAX(0,PLAN_sum_N_TPD),MAX(0,ROUND($K$8/HU_benefitRound,0)*HU_benefitRound)))</f>
        <v/>
      </c>
      <c r="O8" s="46">
        <f>NP_priority_N_TPD</f>
        <v/>
      </c>
      <c r="P8" s="46">
        <f>IF($M$8,HU_term,HU_ciMaxAge-HU_age)+1</f>
        <v/>
      </c>
      <c r="Q8" s="46">
        <f>MIN($P$8,HU_T)</f>
        <v/>
      </c>
      <c r="R8" s="27" t="inlineStr">
        <is>
          <t>C</t>
        </is>
      </c>
      <c r="S8" s="29">
        <f>$K$8</f>
        <v/>
      </c>
      <c r="T8" s="29">
        <f>HU_whl*$K$8</f>
        <v/>
      </c>
      <c r="U8" s="29">
        <f>IF($S$8=0,0,IF(0&gt;$S$8/HU_alpha+$K$8,0.5*$S$8/HU_alpha,IF(0&gt;=$K$8,(0-$K$8)-0.5*HU_alpha/$S$8*(0-$K$8)^2,IF(0&gt;=$T$8,HU_beta*(0-$K$8),HU_beta*($T$8-$K$8)))))</f>
        <v/>
      </c>
      <c r="V8" s="29">
        <f>$U$8*SUM($AN$68:$AN$150)</f>
        <v/>
      </c>
      <c r="W8" s="29">
        <f>SUMPRODUCT($AN$68:$AN$150,$AO$68:$AO$150)</f>
        <v/>
      </c>
      <c r="X8" s="29">
        <f>SUMPRODUCT($AN$68:$AN$150,$AP$68:$AP$150)</f>
        <v/>
      </c>
      <c r="Y8" s="29">
        <f>SUMPRODUCT($AN$68:$AN$150,$AQ$68:$AQ$150)</f>
        <v/>
      </c>
      <c r="Z8" s="29">
        <f>$Y$8-$V$8</f>
        <v/>
      </c>
      <c r="AA8" s="60">
        <f>IF(NOT($J$8),"",IF($S$8=0,1,IF($Z$8=0,1,IF(AND($Z$8=$W$8-$V$8,$W$8&gt;0),1,MAX(0,MIN(1,($W$8-$V$8)/$Z$8))))))</f>
        <v/>
      </c>
      <c r="AB8" s="60">
        <f>IF(NOT($J$8),"",IF($S$8=0,1,IF($Z$8=0,1,IF(AND($Z$8=$X$8-$V$8,$X$8&gt;0),1,MAX(0,MIN(1,($X$8-$V$8)/$Z$8))))))</f>
        <v/>
      </c>
      <c r="AC8" s="27">
        <f>IF(NOT($J$8),"",IF($S$8=0,"w0 = 0 (HU raises an error)",IF($Z$8=0,"denominator 0","")))</f>
        <v/>
      </c>
      <c r="AD8" s="60">
        <f>IF($J$8,MAX(LN($O$8+1),LN(0+1)),0)</f>
        <v/>
      </c>
      <c r="AE8" s="60">
        <f>IF($J$8,1/HU_nCons,0)</f>
        <v/>
      </c>
      <c r="AF8" s="60">
        <f>IF($J$8,$AD$8*$AE$8/SUMPRODUCT($AD$6:$AD$13,$AE$6:$AE$13),0)</f>
        <v/>
      </c>
    </row>
    <row r="9">
      <c r="A9" s="17" t="inlineStr">
        <is>
          <t>expenseMonthly</t>
        </is>
      </c>
      <c r="B9" s="37">
        <f>PLU_expenseMonthly</f>
        <v/>
      </c>
      <c r="C9" s="13" t="inlineStr">
        <is>
          <t>A · input</t>
        </is>
      </c>
      <c r="D9" s="18" t="inlineStr"/>
      <c r="H9" s="3" t="inlineStr">
        <is>
          <t>N_HOS</t>
        </is>
      </c>
      <c r="I9" s="27" t="inlineStr">
        <is>
          <t>N_HSP</t>
        </is>
      </c>
      <c r="J9" s="27">
        <f>NC_on_N_HOS</f>
        <v/>
      </c>
      <c r="K9" s="29">
        <f>NC_amount_N_HOS</f>
        <v/>
      </c>
      <c r="L9" s="29" t="n">
        <v>0</v>
      </c>
      <c r="M9" s="27">
        <f>NOT(AND(PLAN_sug_N_HOS,NOT(PLAN_included_N_HOS)))</f>
        <v/>
      </c>
      <c r="N9" s="29">
        <f>IF(NOT($M$9),0,IF(PLAN_sug_N_HOS,MAX(0,PLAN_sum_N_HOS),MAX(0,ROUND($K$9/HU_benefitRound,0)*HU_benefitRound)))</f>
        <v/>
      </c>
      <c r="O9" s="46">
        <f>NP_priority_N_HOS</f>
        <v/>
      </c>
      <c r="P9" s="46">
        <f>IF($M$9,HU_term,HU_ciMaxAge-HU_age)+1</f>
        <v/>
      </c>
      <c r="Q9" s="46">
        <f>MIN($P$9,HU_T)</f>
        <v/>
      </c>
      <c r="R9" s="27" t="inlineStr">
        <is>
          <t>C</t>
        </is>
      </c>
      <c r="S9" s="29">
        <f>$K$9</f>
        <v/>
      </c>
      <c r="T9" s="29">
        <f>HU_whl*$K$9</f>
        <v/>
      </c>
      <c r="U9" s="29">
        <f>IF($S$9=0,0,IF(0&gt;$S$9/HU_alpha+$K$9,0.5*$S$9/HU_alpha,IF(0&gt;=$K$9,(0-$K$9)-0.5*HU_alpha/$S$9*(0-$K$9)^2,IF(0&gt;=$T$9,HU_beta*(0-$K$9),HU_beta*($T$9-$K$9)))))</f>
        <v/>
      </c>
      <c r="V9" s="29">
        <f>$U$9*SUM($AR$68:$AR$150)</f>
        <v/>
      </c>
      <c r="W9" s="29">
        <f>SUMPRODUCT($AR$68:$AR$150,$AS$68:$AS$150)</f>
        <v/>
      </c>
      <c r="X9" s="29">
        <f>SUMPRODUCT($AR$68:$AR$150,$AT$68:$AT$150)</f>
        <v/>
      </c>
      <c r="Y9" s="29">
        <f>SUMPRODUCT($AR$68:$AR$150,$AU$68:$AU$150)</f>
        <v/>
      </c>
      <c r="Z9" s="29">
        <f>$Y$9-$V$9</f>
        <v/>
      </c>
      <c r="AA9" s="60">
        <f>IF(NOT($J$9),"",IF($S$9=0,1,IF($Z$9=0,1,IF(AND($Z$9=$W$9-$V$9,$W$9&gt;0),1,MAX(0,MIN(1,($W$9-$V$9)/$Z$9))))))</f>
        <v/>
      </c>
      <c r="AB9" s="60">
        <f>IF(NOT($J$9),"",IF($S$9=0,1,IF($Z$9=0,1,IF(AND($Z$9=$X$9-$V$9,$X$9&gt;0),1,MAX(0,MIN(1,($X$9-$V$9)/$Z$9))))))</f>
        <v/>
      </c>
      <c r="AC9" s="27">
        <f>IF(NOT($J$9),"",IF($S$9=0,"w0 = 0 (HU raises an error)",IF($Z$9=0,"denominator 0","")))</f>
        <v/>
      </c>
      <c r="AD9" s="60">
        <f>IF($J$9,MAX(LN($O$9+1),LN(0+1)),0)</f>
        <v/>
      </c>
      <c r="AE9" s="60">
        <f>IF($J$9,1/HU_nCons,0)</f>
        <v/>
      </c>
      <c r="AF9" s="60">
        <f>IF($J$9,$AD$9*$AE$9/SUMPRODUCT($AD$6:$AD$13,$AE$6:$AE$13),0)</f>
        <v/>
      </c>
    </row>
    <row r="10">
      <c r="A10" s="17" t="inlineStr">
        <is>
          <t>cash</t>
        </is>
      </c>
      <c r="B10" s="47">
        <f>PLU_cash</f>
        <v/>
      </c>
      <c r="C10" s="13" t="inlineStr">
        <is>
          <t>A · input</t>
        </is>
      </c>
      <c r="D10" s="18" t="inlineStr">
        <is>
          <t>A_SAV. HU starts savings at 1 when cash is 0.</t>
        </is>
      </c>
      <c r="H10" s="3" t="inlineStr">
        <is>
          <t>N_RET</t>
        </is>
      </c>
      <c r="I10" s="27" t="inlineStr">
        <is>
          <t>N_RET</t>
        </is>
      </c>
      <c r="J10" s="27">
        <f>TRUE</f>
        <v/>
      </c>
      <c r="K10" s="29">
        <f>IF(NC_on_N_RET,NC_amount_N_RET,HU_expense*12*MAX(0,HU_leS-HU_ret))</f>
        <v/>
      </c>
      <c r="L10" s="29" t="n">
        <v>0</v>
      </c>
      <c r="M10" s="27">
        <f>NOT(AND(PLAN_sug_N_RET,NOT(PLAN_included_N_RET)))</f>
        <v/>
      </c>
      <c r="N10" s="29">
        <f>IF(NOT($M$10),0,MAX(0,ROUND($K$10/HU_benefitRound,0)*HU_benefitRound))</f>
        <v/>
      </c>
      <c r="O10" s="46">
        <f>IF(NC_on_N_RET,NP_priority_N_RET,5)</f>
        <v/>
      </c>
      <c r="P10" s="46">
        <f>MAX(0,HU_ret-HU_age)</f>
        <v/>
      </c>
      <c r="Q10" s="46">
        <f>MIN($P$10,HU_T)</f>
        <v/>
      </c>
      <c r="R10" s="27" t="inlineStr">
        <is>
          <t>W</t>
        </is>
      </c>
      <c r="S10" s="29">
        <f>INDEX($AD$68:$AD$150,IF(HU_T&gt;=1,2,1))+$K$10</f>
        <v/>
      </c>
      <c r="T10" s="29">
        <f>HU_whl*$K$10</f>
        <v/>
      </c>
      <c r="U10" s="29">
        <f>IF($S$10=0,0,IF(0&gt;$S$10/HU_alpha+$K$10,0.5*$S$10/HU_alpha,IF(0&gt;=$K$10,(0-$K$10)-0.5*HU_alpha/$S$10*(0-$K$10)^2,IF(0&gt;=$T$10,HU_beta*(0-$K$10),HU_beta*($T$10-$K$10)))))</f>
        <v/>
      </c>
      <c r="V10" s="29">
        <f>$U$10*SUM($AV$68:$AV$150)</f>
        <v/>
      </c>
      <c r="W10" s="29">
        <f>SUMPRODUCT($AV$68:$AV$150,$AW$68:$AW$150)</f>
        <v/>
      </c>
      <c r="X10" s="29">
        <f>SUMPRODUCT($AV$68:$AV$150,$AX$68:$AX$150)</f>
        <v/>
      </c>
      <c r="Y10" s="29">
        <f>SUMPRODUCT($AV$68:$AV$150,$AY$68:$AY$150)</f>
        <v/>
      </c>
      <c r="Z10" s="29">
        <f>$Y$10-$V$10</f>
        <v/>
      </c>
      <c r="AA10" s="60">
        <f>IF(NOT($J$10),"",IF($S$10=0,1,IF($Z$10=0,1,IF(AND($Z$10=$W$10-$V$10,$W$10&gt;0),1,MAX(0,MIN(1,($W$10-$V$10)/$Z$10))))))</f>
        <v/>
      </c>
      <c r="AB10" s="60">
        <f>IF(NOT($J$10),"",IF($S$10=0,1,IF($Z$10=0,1,IF(AND($Z$10=$X$10-$V$10,$X$10&gt;0),1,MAX(0,MIN(1,($X$10-$V$10)/$Z$10))))))</f>
        <v/>
      </c>
      <c r="AC10" s="27">
        <f>IF(NOT($J$10),"",IF($S$10=0,"w0 = 0 (HU raises an error)",IF($Z$10=0,"denominator 0","")))</f>
        <v/>
      </c>
      <c r="AD10" s="60">
        <f>IF($J$10,MAX(LN($O$10+1),LN(1+1)),0)</f>
        <v/>
      </c>
      <c r="AE10" s="60">
        <f>IF($J$10,HU_calRet,0)</f>
        <v/>
      </c>
      <c r="AF10" s="60">
        <f>IF($J$10,$AD$10*$AE$10/SUMPRODUCT($AD$6:$AD$13,$AE$6:$AE$13),0)</f>
        <v/>
      </c>
    </row>
    <row r="11">
      <c r="A11" s="17" t="inlineStr">
        <is>
          <t>investments</t>
        </is>
      </c>
      <c r="B11" s="47">
        <f>PLU_investments</f>
        <v/>
      </c>
      <c r="C11" s="13" t="inlineStr">
        <is>
          <t>A · input</t>
        </is>
      </c>
      <c r="D11" s="18" t="inlineStr">
        <is>
          <t>A_INV. Deterministic growth e^(mu·t).</t>
        </is>
      </c>
      <c r="H11" s="3" t="inlineStr">
        <is>
          <t>N_EDU</t>
        </is>
      </c>
      <c r="I11" s="27" t="inlineStr">
        <is>
          <t>N_EDU</t>
        </is>
      </c>
      <c r="J11" s="27">
        <f>NC_on_N_EDU</f>
        <v/>
      </c>
      <c r="K11" s="29">
        <f>NC_amount_N_EDU</f>
        <v/>
      </c>
      <c r="L11" s="29" t="n">
        <v>0</v>
      </c>
      <c r="M11" s="27">
        <f>NOT(AND(PLAN_sug_N_EDU,NOT(PLAN_included_N_EDU)))</f>
        <v/>
      </c>
      <c r="N11" s="29">
        <f>IF(NOT($M$11),0,MAX(0,ROUND($K$11/HU_benefitRound,0)*HU_benefitRound))</f>
        <v/>
      </c>
      <c r="O11" s="46">
        <f>NP_priority_N_EDU</f>
        <v/>
      </c>
      <c r="P11" s="46">
        <f>MAX(0,NC_eduYears)</f>
        <v/>
      </c>
      <c r="Q11" s="46">
        <f>MIN($P$11,HU_T)</f>
        <v/>
      </c>
      <c r="R11" s="27" t="inlineStr">
        <is>
          <t>C</t>
        </is>
      </c>
      <c r="S11" s="29">
        <f>$K$11</f>
        <v/>
      </c>
      <c r="T11" s="29">
        <f>HU_whl*$K$11</f>
        <v/>
      </c>
      <c r="U11" s="29">
        <f>IF($S$11=0,0,IF(0&gt;$S$11/HU_alpha+$K$11,0.5*$S$11/HU_alpha,IF(0&gt;=$K$11,(0-$K$11)-0.5*HU_alpha/$S$11*(0-$K$11)^2,IF(0&gt;=$T$11,HU_beta*(0-$K$11),HU_beta*($T$11-$K$11)))))</f>
        <v/>
      </c>
      <c r="V11" s="29">
        <f>$U$11*SUM($AZ$68:$AZ$150)</f>
        <v/>
      </c>
      <c r="W11" s="29">
        <f>SUMPRODUCT($AZ$68:$AZ$150,$BA$68:$BA$150)</f>
        <v/>
      </c>
      <c r="X11" s="29">
        <f>SUMPRODUCT($AZ$68:$AZ$150,$BB$68:$BB$150)</f>
        <v/>
      </c>
      <c r="Y11" s="29">
        <f>SUMPRODUCT($AZ$68:$AZ$150,$BC$68:$BC$150)</f>
        <v/>
      </c>
      <c r="Z11" s="29">
        <f>$Y$11-$V$11</f>
        <v/>
      </c>
      <c r="AA11" s="60">
        <f>IF(NOT($J$11),"",IF($S$11=0,1,IF($Z$11=0,1,IF(AND($Z$11=$W$11-$V$11,$W$11&gt;0),1,MAX(0,MIN(1,($W$11-$V$11)/$Z$11))))))</f>
        <v/>
      </c>
      <c r="AB11" s="60">
        <f>IF(NOT($J$11),"",IF($S$11=0,1,IF($Z$11=0,1,IF(AND($Z$11=$X$11-$V$11,$X$11&gt;0),1,MAX(0,MIN(1,($X$11-$V$11)/$Z$11))))))</f>
        <v/>
      </c>
      <c r="AC11" s="27">
        <f>IF(NOT($J$11),"",IF($S$11=0,"w0 = 0 (HU raises an error)",IF($Z$11=0,"denominator 0","")))</f>
        <v/>
      </c>
      <c r="AD11" s="60">
        <f>IF($J$11,MAX(LN($O$11+1),LN(0+1)),0)</f>
        <v/>
      </c>
      <c r="AE11" s="60">
        <f>IF($J$11,1/HU_nCons,0)</f>
        <v/>
      </c>
      <c r="AF11" s="60">
        <f>IF($J$11,$AD$11*$AE$11/SUMPRODUCT($AD$6:$AD$13,$AE$6:$AE$13),0)</f>
        <v/>
      </c>
    </row>
    <row r="12">
      <c r="A12" s="17" t="inlineStr">
        <is>
          <t>life sum assured</t>
        </is>
      </c>
      <c r="B12" s="47">
        <f>PLU_lifeSum</f>
        <v/>
      </c>
      <c r="C12" s="13" t="inlineStr">
        <is>
          <t>A · input</t>
        </is>
      </c>
      <c r="D12" s="18" t="inlineStr">
        <is>
          <t>N_INC existing cover.</t>
        </is>
      </c>
      <c r="H12" s="3" t="inlineStr">
        <is>
          <t>N_SAV</t>
        </is>
      </c>
      <c r="I12" s="27" t="inlineStr">
        <is>
          <t>N_SAV</t>
        </is>
      </c>
      <c r="J12" s="27">
        <f>NC_on_N_SAV</f>
        <v/>
      </c>
      <c r="K12" s="29">
        <f>NC_amount_N_SAV</f>
        <v/>
      </c>
      <c r="L12" s="29" t="n">
        <v>0</v>
      </c>
      <c r="M12" s="27">
        <f>NOT(AND(PLAN_sug_N_SAV,NOT(PLAN_included_N_SAV)))</f>
        <v/>
      </c>
      <c r="N12" s="29">
        <f>IF(NOT($M$12),0,MAX(0,ROUND($K$12/HU_benefitRound,0)*HU_benefitRound))</f>
        <v/>
      </c>
      <c r="O12" s="46">
        <f>NP_priority_N_SAV</f>
        <v/>
      </c>
      <c r="P12" s="46">
        <f>MAX(0,NC_eduYears)</f>
        <v/>
      </c>
      <c r="Q12" s="46">
        <f>MIN($P$12,HU_T)</f>
        <v/>
      </c>
      <c r="R12" s="27" t="inlineStr">
        <is>
          <t>C</t>
        </is>
      </c>
      <c r="S12" s="29">
        <f>$K$12</f>
        <v/>
      </c>
      <c r="T12" s="29">
        <f>HU_whl*$K$12</f>
        <v/>
      </c>
      <c r="U12" s="29">
        <f>IF($S$12=0,0,IF(0&gt;$S$12/HU_alpha+$K$12,0.5*$S$12/HU_alpha,IF(0&gt;=$K$12,(0-$K$12)-0.5*HU_alpha/$S$12*(0-$K$12)^2,IF(0&gt;=$T$12,HU_beta*(0-$K$12),HU_beta*($T$12-$K$12)))))</f>
        <v/>
      </c>
      <c r="V12" s="29">
        <f>$U$12*SUM($BD$68:$BD$150)</f>
        <v/>
      </c>
      <c r="W12" s="29">
        <f>SUMPRODUCT($BD$68:$BD$150,$BE$68:$BE$150)</f>
        <v/>
      </c>
      <c r="X12" s="29">
        <f>SUMPRODUCT($BD$68:$BD$150,$BF$68:$BF$150)</f>
        <v/>
      </c>
      <c r="Y12" s="29">
        <f>SUMPRODUCT($BD$68:$BD$150,$BG$68:$BG$150)</f>
        <v/>
      </c>
      <c r="Z12" s="29">
        <f>$Y$12-$V$12</f>
        <v/>
      </c>
      <c r="AA12" s="60">
        <f>IF(NOT($J$12),"",IF($S$12=0,1,IF($Z$12=0,1,IF(AND($Z$12=$W$12-$V$12,$W$12&gt;0),1,MAX(0,MIN(1,($W$12-$V$12)/$Z$12))))))</f>
        <v/>
      </c>
      <c r="AB12" s="60">
        <f>IF(NOT($J$12),"",IF($S$12=0,1,IF($Z$12=0,1,IF(AND($Z$12=$X$12-$V$12,$X$12&gt;0),1,MAX(0,MIN(1,($X$12-$V$12)/$Z$12))))))</f>
        <v/>
      </c>
      <c r="AC12" s="27">
        <f>IF(NOT($J$12),"",IF($S$12=0,"w0 = 0 (HU raises an error)",IF($Z$12=0,"denominator 0","")))</f>
        <v/>
      </c>
      <c r="AD12" s="60">
        <f>IF($J$12,MAX(LN($O$12+1),LN(0+1)),0)</f>
        <v/>
      </c>
      <c r="AE12" s="60">
        <f>IF($J$12,1/HU_nCons,0)</f>
        <v/>
      </c>
      <c r="AF12" s="60">
        <f>IF($J$12,$AD$12*$AE$12/SUMPRODUCT($AD$6:$AD$13,$AE$6:$AE$13),0)</f>
        <v/>
      </c>
    </row>
    <row r="13">
      <c r="A13" s="17" t="inlineStr">
        <is>
          <t>session life expectancy</t>
        </is>
      </c>
      <c r="B13" s="20">
        <f>MIN(PLU_leUsed,LON_AGE)</f>
        <v/>
      </c>
      <c r="C13" s="13" t="inlineStr">
        <is>
          <t>A · input</t>
        </is>
      </c>
      <c r="D13" s="18" t="inlineStr">
        <is>
          <t>Sent by GP, capped at LON_AGE (99).</t>
        </is>
      </c>
      <c r="H13" s="3" t="inlineStr">
        <is>
          <t>N_PRP</t>
        </is>
      </c>
      <c r="I13" s="27" t="inlineStr">
        <is>
          <t>N_PRP</t>
        </is>
      </c>
      <c r="J13" s="27">
        <f>NC_on_N_PRP</f>
        <v/>
      </c>
      <c r="K13" s="29">
        <f>NC_amount_N_PRP</f>
        <v/>
      </c>
      <c r="L13" s="29" t="n">
        <v>0</v>
      </c>
      <c r="M13" s="27">
        <f>NOT(AND(PLAN_sug_N_PRP,NOT(PLAN_included_N_PRP)))</f>
        <v/>
      </c>
      <c r="N13" s="29">
        <f>IF(NOT($M$13),0,MAX(0,ROUND($K$13/HU_benefitRound,0)*HU_benefitRound))</f>
        <v/>
      </c>
      <c r="O13" s="46">
        <f>NP_priority_N_PRP</f>
        <v/>
      </c>
      <c r="P13" s="46">
        <f>MAX(0,NC_eduYears)</f>
        <v/>
      </c>
      <c r="Q13" s="46">
        <f>MIN($P$13,HU_T)</f>
        <v/>
      </c>
      <c r="R13" s="27" t="inlineStr">
        <is>
          <t>C</t>
        </is>
      </c>
      <c r="S13" s="29">
        <f>$K$13</f>
        <v/>
      </c>
      <c r="T13" s="29">
        <f>HU_whl*$K$13</f>
        <v/>
      </c>
      <c r="U13" s="29">
        <f>IF($S$13=0,0,IF(0&gt;$S$13/HU_alpha+$K$13,0.5*$S$13/HU_alpha,IF(0&gt;=$K$13,(0-$K$13)-0.5*HU_alpha/$S$13*(0-$K$13)^2,IF(0&gt;=$T$13,HU_beta*(0-$K$13),HU_beta*($T$13-$K$13)))))</f>
        <v/>
      </c>
      <c r="V13" s="29">
        <f>$U$13*SUM($BH$68:$BH$150)</f>
        <v/>
      </c>
      <c r="W13" s="29">
        <f>SUMPRODUCT($BH$68:$BH$150,$BI$68:$BI$150)</f>
        <v/>
      </c>
      <c r="X13" s="29">
        <f>SUMPRODUCT($BH$68:$BH$150,$BJ$68:$BJ$150)</f>
        <v/>
      </c>
      <c r="Y13" s="29">
        <f>SUMPRODUCT($BH$68:$BH$150,$BK$68:$BK$150)</f>
        <v/>
      </c>
      <c r="Z13" s="29">
        <f>$Y$13-$V$13</f>
        <v/>
      </c>
      <c r="AA13" s="60">
        <f>IF(NOT($J$13),"",IF($S$13=0,1,IF($Z$13=0,1,IF(AND($Z$13=$W$13-$V$13,$W$13&gt;0),1,MAX(0,MIN(1,($W$13-$V$13)/$Z$13))))))</f>
        <v/>
      </c>
      <c r="AB13" s="60">
        <f>IF(NOT($J$13),"",IF($S$13=0,1,IF($Z$13=0,1,IF(AND($Z$13=$X$13-$V$13,$X$13&gt;0),1,MAX(0,MIN(1,($X$13-$V$13)/$Z$13))))))</f>
        <v/>
      </c>
      <c r="AC13" s="27">
        <f>IF(NOT($J$13),"",IF($S$13=0,"w0 = 0 (HU raises an error)",IF($Z$13=0,"denominator 0","")))</f>
        <v/>
      </c>
      <c r="AD13" s="60">
        <f>IF($J$13,MAX(LN($O$13+1),LN(0+1)),0)</f>
        <v/>
      </c>
      <c r="AE13" s="60">
        <f>IF($J$13,1/HU_nCons,0)</f>
        <v/>
      </c>
      <c r="AF13" s="60">
        <f>IF($J$13,$AD$13*$AE$13/SUMPRODUCT($AD$6:$AD$13,$AE$6:$AE$13),0)</f>
        <v/>
      </c>
    </row>
    <row r="15">
      <c r="A15" s="19" t="inlineStr">
        <is>
          <t>D · ASSUMPTIONS  —  HU conf.json / config/default/conf.ini / hu_payload.py</t>
        </is>
      </c>
      <c r="B15" s="19" t="n"/>
      <c r="C15" s="19" t="n"/>
      <c r="D15" s="19" t="n"/>
    </row>
    <row r="16">
      <c r="A16" s="38" t="inlineStr">
        <is>
          <t>ageOfRetirement</t>
        </is>
      </c>
      <c r="B16" s="44">
        <f>ageOfRetirement</f>
        <v/>
      </c>
      <c r="C16" s="36" t="inlineStr">
        <is>
          <t>D · assumption / shared</t>
        </is>
      </c>
      <c r="D16" s="18" t="inlineStr"/>
    </row>
    <row r="17">
      <c r="A17" s="38" t="inlineStr">
        <is>
          <t>default life expectancy</t>
        </is>
      </c>
      <c r="B17" s="44">
        <f>lifeExpectancyDefault</f>
        <v/>
      </c>
      <c r="C17" s="36" t="inlineStr">
        <is>
          <t>D · assumption / shared</t>
        </is>
      </c>
      <c r="D17" s="18" t="inlineStr">
        <is>
          <t>V0-21: GP sends the one default (85); was HU 83.</t>
        </is>
      </c>
    </row>
    <row r="18">
      <c r="A18" s="38" t="inlineStr">
        <is>
          <t>CI income years (N_CRI on)</t>
        </is>
      </c>
      <c r="B18" s="44">
        <f>CRI_YEARS</f>
        <v/>
      </c>
      <c r="C18" s="36" t="inlineStr">
        <is>
          <t>D · assumption / shared</t>
        </is>
      </c>
      <c r="D18" s="18" t="inlineStr">
        <is>
          <t>numYearsIncomeNeeded from GP.</t>
        </is>
      </c>
    </row>
    <row r="19">
      <c r="A19" s="38" t="inlineStr">
        <is>
          <t>CI income years (N_CRI off)</t>
        </is>
      </c>
      <c r="B19" s="44" t="n">
        <v>5</v>
      </c>
      <c r="C19" s="36" t="inlineStr">
        <is>
          <t>D · assumption / shared</t>
        </is>
      </c>
      <c r="D19" s="18" t="inlineStr">
        <is>
          <t>HU ciAssumptions default.</t>
        </is>
      </c>
    </row>
    <row r="20">
      <c r="A20" s="38" t="inlineStr">
        <is>
          <t>CI medical cost (sent: CRI_COST)</t>
        </is>
      </c>
      <c r="B20" s="39">
        <f>CRI_COST/FX_usdPerLocal</f>
        <v/>
      </c>
      <c r="C20" s="36" t="inlineStr">
        <is>
          <t>D · assumption / shared</t>
        </is>
      </c>
      <c r="D20" s="18" t="inlineStr">
        <is>
          <t>V0-21: GP sends CRI_COST in user currency; was HU 200,000.</t>
        </is>
      </c>
    </row>
    <row r="21">
      <c r="A21" s="38" t="inlineStr">
        <is>
          <t>TPD medical cost (sent: TPD_COST)</t>
        </is>
      </c>
      <c r="B21" s="39">
        <f>TPD_COST/FX_usdPerLocal</f>
        <v/>
      </c>
      <c r="C21" s="36" t="inlineStr">
        <is>
          <t>D · assumption / shared</t>
        </is>
      </c>
      <c r="D21" s="18" t="inlineStr">
        <is>
          <t>V0-21: GP sends TPD_COST in user currency; was HU 444,000.</t>
        </is>
      </c>
    </row>
    <row r="22">
      <c r="A22" s="38" t="inlineStr">
        <is>
          <t>TPD income cut</t>
        </is>
      </c>
      <c r="B22" s="62" t="n">
        <v>0.5</v>
      </c>
      <c r="C22" s="36" t="inlineStr">
        <is>
          <t>D · assumption / shared</t>
        </is>
      </c>
      <c r="D22" s="18" t="inlineStr"/>
    </row>
    <row r="23">
      <c r="A23" s="38" t="inlineStr">
        <is>
          <t>dismemberment income cut</t>
        </is>
      </c>
      <c r="B23" s="62" t="n">
        <v>1</v>
      </c>
      <c r="C23" s="36" t="inlineStr">
        <is>
          <t>D · assumption / shared</t>
        </is>
      </c>
      <c r="D23" s="18" t="inlineStr">
        <is>
          <t>From the year after.</t>
        </is>
      </c>
    </row>
    <row r="24">
      <c r="A24" s="38" t="inlineStr">
        <is>
          <t>cover age (off-plan CI / TPD / HSP)</t>
        </is>
      </c>
      <c r="B24" s="44" t="n">
        <v>75</v>
      </c>
      <c r="C24" s="36" t="inlineStr">
        <is>
          <t>D · assumption / shared</t>
        </is>
      </c>
      <c r="D24" s="18" t="inlineStr">
        <is>
          <t>Off-plan protection runs to age 75.</t>
        </is>
      </c>
    </row>
    <row r="25">
      <c r="A25" s="38" t="inlineStr">
        <is>
          <t>dependent years (N_INC)</t>
        </is>
      </c>
      <c r="B25" s="44" t="n">
        <v>10</v>
      </c>
      <c r="C25" s="36" t="inlineStr">
        <is>
          <t>D · assumption / shared</t>
        </is>
      </c>
      <c r="D25" s="18" t="inlineStr">
        <is>
          <t>numYearDependents default.</t>
        </is>
      </c>
    </row>
    <row r="26">
      <c r="A26" s="38" t="inlineStr">
        <is>
          <t>plan policy term</t>
        </is>
      </c>
      <c r="B26" s="44" t="n">
        <v>10</v>
      </c>
      <c r="C26" s="36" t="inlineStr">
        <is>
          <t>D · assumption / shared</t>
        </is>
      </c>
      <c r="D26" s="18" t="inlineStr">
        <is>
          <t>segregatedBudget policyTerm in hu_payload.py.</t>
        </is>
      </c>
    </row>
    <row r="27">
      <c r="A27" s="38" t="inlineStr">
        <is>
          <t>wealth high-loss factor</t>
        </is>
      </c>
      <c r="B27" s="54" t="n">
        <v>0.25</v>
      </c>
      <c r="C27" s="36" t="inlineStr">
        <is>
          <t>D · assumption / shared</t>
        </is>
      </c>
      <c r="D27" s="18" t="inlineStr">
        <is>
          <t>conf.ini wealth_hight_loss_factor.</t>
        </is>
      </c>
    </row>
    <row r="28">
      <c r="A28" s="38" t="inlineStr">
        <is>
          <t>beta</t>
        </is>
      </c>
      <c r="B28" s="54" t="n">
        <v>1</v>
      </c>
      <c r="C28" s="36" t="inlineStr">
        <is>
          <t>D · assumption / shared</t>
        </is>
      </c>
      <c r="D28" s="18" t="inlineStr">
        <is>
          <t>conf.ini beta.</t>
        </is>
      </c>
    </row>
    <row r="29">
      <c r="A29" s="38" t="inlineStr">
        <is>
          <t>minimum equity drift</t>
        </is>
      </c>
      <c r="B29" s="45" t="n">
        <v>0.01</v>
      </c>
      <c r="C29" s="36" t="inlineStr">
        <is>
          <t>D · assumption / shared</t>
        </is>
      </c>
      <c r="D29" s="18" t="inlineStr">
        <is>
          <t>ProductEquity mu floor.</t>
        </is>
      </c>
    </row>
    <row r="30">
      <c r="A30" s="38" t="inlineStr">
        <is>
          <t>riskProfile</t>
        </is>
      </c>
      <c r="B30" s="44" t="n">
        <v>4</v>
      </c>
      <c r="C30" s="36" t="inlineStr">
        <is>
          <t>D · assumption / shared</t>
        </is>
      </c>
      <c r="D30" s="18" t="inlineStr">
        <is>
          <t>hu_payload.py default.</t>
        </is>
      </c>
    </row>
    <row r="31">
      <c r="A31" s="38" t="inlineStr">
        <is>
          <t>retirement lifestyle rate</t>
        </is>
      </c>
      <c r="B31" s="54">
        <f>RET_LIFESTYLE_STRESSFREE</f>
        <v/>
      </c>
      <c r="C31" s="36" t="inlineStr">
        <is>
          <t>D · assumption / shared</t>
        </is>
      </c>
      <c r="D31" s="18" t="inlineStr">
        <is>
          <t>N_RET lifestyle 2.</t>
        </is>
      </c>
    </row>
    <row r="32">
      <c r="A32" s="38" t="inlineStr">
        <is>
          <t>retirement spend share</t>
        </is>
      </c>
      <c r="B32" s="54" t="n">
        <v>0.75</v>
      </c>
      <c r="C32" s="36" t="inlineStr">
        <is>
          <t>D · assumption / shared</t>
        </is>
      </c>
      <c r="D32" s="18" t="inlineStr">
        <is>
          <t>expectedLivingExpenseInTheCountry = living × 0.75.</t>
        </is>
      </c>
    </row>
    <row r="33">
      <c r="A33" s="38" t="inlineStr">
        <is>
          <t>benefit round (user currency)</t>
        </is>
      </c>
      <c r="B33" s="39">
        <f>FX_benefitRound</f>
        <v/>
      </c>
      <c r="C33" s="36" t="inlineStr">
        <is>
          <t>D · assumption / shared</t>
        </is>
      </c>
      <c r="D33" s="18" t="inlineStr">
        <is>
          <t>benefitRound (USD) as a nice step in user currency. SGD: 50,000.</t>
        </is>
      </c>
    </row>
    <row r="34">
      <c r="A34" s="38" t="inlineStr">
        <is>
          <t>N_RET calibration</t>
        </is>
      </c>
      <c r="B34" s="44" t="n">
        <v>2</v>
      </c>
      <c r="C34" s="36" t="inlineStr">
        <is>
          <t>D · assumption / shared</t>
        </is>
      </c>
      <c r="D34" s="18" t="inlineStr">
        <is>
          <t>N_INC 1, N_RET 2, consumption goals 1 / count.</t>
        </is>
      </c>
    </row>
    <row r="36">
      <c r="A36" s="16" t="inlineStr">
        <is>
          <t>C · DETERMINISTICALLY CALCULATED  —  HU input mapping</t>
        </is>
      </c>
      <c r="B36" s="16" t="n"/>
      <c r="C36" s="16" t="n"/>
      <c r="D36" s="16" t="n"/>
    </row>
    <row r="37">
      <c r="A37" s="26" t="inlineStr">
        <is>
          <t>life expectancy (HU)</t>
        </is>
      </c>
      <c r="B37" s="46">
        <f>IF(HU_leS&gt;HU_ret,HU_leS,HU_defaultLE)</f>
        <v/>
      </c>
      <c r="C37" s="27" t="inlineStr">
        <is>
          <t>C · calculated</t>
        </is>
      </c>
      <c r="D37" s="18" t="inlineStr">
        <is>
          <t>durationOfRetirement + 65, or the default (85).</t>
        </is>
      </c>
    </row>
    <row r="38">
      <c r="A38" s="26" t="inlineStr">
        <is>
          <t>years on the path (T)</t>
        </is>
      </c>
      <c r="B38" s="46">
        <f>MAX(HU_le-HU_age,0)</f>
        <v/>
      </c>
      <c r="C38" s="27" t="inlineStr">
        <is>
          <t>C · calculated</t>
        </is>
      </c>
      <c r="D38" s="18" t="inlineStr"/>
    </row>
    <row r="39">
      <c r="A39" s="26" t="inlineStr">
        <is>
          <t>years to retirement</t>
        </is>
      </c>
      <c r="B39" s="46">
        <f>MAX(HU_ret-HU_age,0)</f>
        <v/>
      </c>
      <c r="C39" s="27" t="inlineStr">
        <is>
          <t>C · calculated</t>
        </is>
      </c>
      <c r="D39" s="18" t="inlineStr"/>
    </row>
    <row r="40">
      <c r="A40" s="26" t="inlineStr">
        <is>
          <t>q(age) column</t>
        </is>
      </c>
      <c r="B40" s="46">
        <f>IF(HU_gender="Male",1,3)+IF(HU_smoker=TRUE,1,0)</f>
        <v/>
      </c>
      <c r="C40" s="27" t="inlineStr">
        <is>
          <t>C · calculated</t>
        </is>
      </c>
      <c r="D40" s="18" t="inlineStr">
        <is>
          <t>1 Male, 2 Male smoker, 3 Female, 4 Female smoker.</t>
        </is>
      </c>
    </row>
    <row r="41">
      <c r="A41" s="26" t="inlineStr">
        <is>
          <t>income / yr (HU)</t>
        </is>
      </c>
      <c r="B41" s="29">
        <f>1+HU_income*12</f>
        <v/>
      </c>
      <c r="C41" s="27" t="inlineStr">
        <is>
          <t>C · calculated</t>
        </is>
      </c>
      <c r="D41" s="18" t="inlineStr">
        <is>
          <t>HU adds 1 to the salary.</t>
        </is>
      </c>
    </row>
    <row r="42">
      <c r="A42" s="26" t="inlineStr">
        <is>
          <t>spend / yr</t>
        </is>
      </c>
      <c r="B42" s="29">
        <f>HU_expense*12</f>
        <v/>
      </c>
      <c r="C42" s="27" t="inlineStr">
        <is>
          <t>C · calculated</t>
        </is>
      </c>
      <c r="D42" s="18" t="inlineStr"/>
    </row>
    <row r="43">
      <c r="A43" s="26" t="inlineStr">
        <is>
          <t>retirement spend / yr</t>
        </is>
      </c>
      <c r="B43" s="29">
        <f>HU_exp0*HU_retLifestyle*HU_retShare</f>
        <v/>
      </c>
      <c r="C43" s="27" t="inlineStr">
        <is>
          <t>C · calculated</t>
        </is>
      </c>
      <c r="D43" s="18" t="inlineStr">
        <is>
          <t>Replaces spend after retirement.</t>
        </is>
      </c>
    </row>
    <row r="44">
      <c r="A44" s="26" t="inlineStr">
        <is>
          <t>CI income years</t>
        </is>
      </c>
      <c r="B44" s="46">
        <f>IF(NC_on_N_CRI,HU_ciYearsGP,HU_ciDefaultYears)</f>
        <v/>
      </c>
      <c r="C44" s="27" t="inlineStr">
        <is>
          <t>C · calculated</t>
        </is>
      </c>
      <c r="D44" s="18" t="inlineStr"/>
    </row>
    <row r="45">
      <c r="A45" s="26" t="inlineStr">
        <is>
          <t>CI income share</t>
        </is>
      </c>
      <c r="B45" s="60">
        <f>MAX(0,MIN(1,HU_exp0/HU_inc0))</f>
        <v/>
      </c>
      <c r="C45" s="27" t="inlineStr">
        <is>
          <t>C · calculated</t>
        </is>
      </c>
      <c r="D45" s="18" t="inlineStr">
        <is>
          <t>Share of income lost while ill.</t>
        </is>
      </c>
    </row>
    <row r="46">
      <c r="A46" s="26" t="inlineStr">
        <is>
          <t>savings at t = 0</t>
        </is>
      </c>
      <c r="B46" s="29">
        <f>IF(N(HU_cash)=0,1,HU_cash)</f>
        <v/>
      </c>
      <c r="C46" s="27" t="inlineStr">
        <is>
          <t>C · calculated</t>
        </is>
      </c>
      <c r="D46" s="18" t="inlineStr"/>
    </row>
    <row r="47">
      <c r="A47" s="26" t="inlineStr">
        <is>
          <t>equity drift</t>
        </is>
      </c>
      <c r="B47" s="57">
        <f>IF(HU_inv&gt;0,MAX(HU_minMu,investmentReturn),0)</f>
        <v/>
      </c>
      <c r="C47" s="27" t="inlineStr">
        <is>
          <t>C · calculated</t>
        </is>
      </c>
      <c r="D47" s="18" t="inlineStr"/>
    </row>
    <row r="48">
      <c r="A48" s="26" t="inlineStr">
        <is>
          <t>HU errors (retiree with investments)</t>
        </is>
      </c>
      <c r="B48" s="27">
        <f>AND(HU_inv&gt;0,HU_dtr=0)</f>
        <v/>
      </c>
      <c r="C48" s="27" t="inlineStr">
        <is>
          <t>C · calculated</t>
        </is>
      </c>
      <c r="D48" s="18" t="inlineStr">
        <is>
          <t>Live HU returns NaN here; this tab still scores (Discrepancies).</t>
        </is>
      </c>
    </row>
    <row r="49">
      <c r="A49" s="26" t="inlineStr">
        <is>
          <t>alpha</t>
        </is>
      </c>
      <c r="B49" s="49">
        <f>1+(HU_riskProfile-1)*0.5</f>
        <v/>
      </c>
      <c r="C49" s="27" t="inlineStr">
        <is>
          <t>C · calculated</t>
        </is>
      </c>
      <c r="D49" s="18" t="inlineStr">
        <is>
          <t>Value-function curvature from riskProfile.</t>
        </is>
      </c>
    </row>
    <row r="50">
      <c r="A50" s="26" t="inlineStr">
        <is>
          <t>goal withdrawals on the path</t>
        </is>
      </c>
      <c r="B50" s="27">
        <f>AND(HU_T&gt;0,NC_eduYears&lt;=HU_T)</f>
        <v/>
      </c>
      <c r="C50" s="27" t="inlineStr">
        <is>
          <t>C · calculated</t>
        </is>
      </c>
      <c r="D50" s="18" t="inlineStr"/>
    </row>
    <row r="51">
      <c r="A51" s="26" t="inlineStr">
        <is>
          <t>goal withdrawal year</t>
        </is>
      </c>
      <c r="B51" s="46">
        <f>IF(HU_T&gt;0,MOD(NC_eduYears-1,HU_T)+1,0)</f>
        <v/>
      </c>
      <c r="C51" s="27" t="inlineStr">
        <is>
          <t>C · calculated</t>
        </is>
      </c>
      <c r="D51" s="18" t="inlineStr">
        <is>
          <t>fundsNeededYear − now.</t>
        </is>
      </c>
    </row>
    <row r="52">
      <c r="A52" s="26" t="inlineStr">
        <is>
          <t>SAV + PRP booked as income</t>
        </is>
      </c>
      <c r="B52" s="29">
        <f>NC_on_N_SAV*NC_amount_N_SAV+NC_on_N_PRP*NC_amount_N_PRP</f>
        <v/>
      </c>
      <c r="C52" s="27" t="inlineStr">
        <is>
          <t>C · calculated</t>
        </is>
      </c>
      <c r="D52" s="18" t="inlineStr">
        <is>
          <t>HU adds the SAV / PRP amount as income in the target year and spends it again (net 0).</t>
        </is>
      </c>
    </row>
    <row r="53">
      <c r="A53" s="26" t="inlineStr">
        <is>
          <t>EDU + SAV + PRP spent</t>
        </is>
      </c>
      <c r="B53" s="29">
        <f>NC_on_N_EDU*NC_amount_N_EDU+NC_on_N_SAV*NC_amount_N_SAV+NC_on_N_PRP*NC_amount_N_PRP</f>
        <v/>
      </c>
      <c r="C53" s="27" t="inlineStr">
        <is>
          <t>C · calculated</t>
        </is>
      </c>
      <c r="D53" s="18" t="inlineStr"/>
    </row>
    <row r="55">
      <c r="A55" s="16" t="inlineStr">
        <is>
          <t>C · RESULTS  —  weights, sigmoid, HappiU (0–100)</t>
        </is>
      </c>
      <c r="B55" s="16" t="n"/>
      <c r="C55" s="16" t="n"/>
      <c r="D55" s="16" t="n"/>
    </row>
    <row r="56">
      <c r="A56" s="26" t="inlineStr">
        <is>
          <t>goals scored</t>
        </is>
      </c>
      <c r="B56" s="46">
        <f>COUNTIF($J$6:$J$13,TRUE)</f>
        <v/>
      </c>
      <c r="C56" s="27" t="inlineStr">
        <is>
          <t>C · calculated</t>
        </is>
      </c>
      <c r="D56" s="18" t="inlineStr"/>
    </row>
    <row r="57">
      <c r="A57" s="26" t="inlineStr">
        <is>
          <t>consumption goals</t>
        </is>
      </c>
      <c r="B57" s="46">
        <f>COUNTIFS($J$6:$J$13,TRUE,$R$6:$R$13,"C")</f>
        <v/>
      </c>
      <c r="C57" s="27" t="inlineStr">
        <is>
          <t>C · calculated</t>
        </is>
      </c>
      <c r="D57" s="18" t="inlineStr">
        <is>
          <t>Everything except N_INC / N_ADB / N_RET.</t>
        </is>
      </c>
    </row>
    <row r="58">
      <c r="A58" s="26" t="inlineStr">
        <is>
          <t>sigmoid divisor</t>
        </is>
      </c>
      <c r="B58" s="60">
        <f>1+EXP(-HU_nGoals)</f>
        <v/>
      </c>
      <c r="C58" s="27" t="inlineStr">
        <is>
          <t>C · calculated</t>
        </is>
      </c>
      <c r="D58" s="18" t="inlineStr">
        <is>
          <t>Weighted sum ÷ (1 + e^(−number of goals)).</t>
        </is>
      </c>
    </row>
    <row r="59">
      <c r="A59" s="26" t="inlineStr">
        <is>
          <t>pre (0–1)</t>
        </is>
      </c>
      <c r="B59" s="60">
        <f>SUMPRODUCT($AA$6:$AA$13,$AF$6:$AF$13)/HU_sig</f>
        <v/>
      </c>
      <c r="C59" s="27" t="inlineStr">
        <is>
          <t>C · calculated</t>
        </is>
      </c>
      <c r="D59" s="18" t="inlineStr"/>
    </row>
    <row r="60">
      <c r="A60" s="26" t="inlineStr">
        <is>
          <t>post (0–1)</t>
        </is>
      </c>
      <c r="B60" s="60">
        <f>SUMPRODUCT($AB$6:$AB$13,$AF$6:$AF$13)/HU_sig</f>
        <v/>
      </c>
      <c r="C60" s="27" t="inlineStr">
        <is>
          <t>C · calculated</t>
        </is>
      </c>
      <c r="D60" s="18" t="inlineStr"/>
    </row>
    <row r="61">
      <c r="A61" s="26" t="inlineStr">
        <is>
          <t>preHappiU</t>
        </is>
      </c>
      <c r="B61" s="46">
        <f>ROUND(HU_preRaw*100,0)</f>
        <v/>
      </c>
      <c r="C61" s="27" t="inlineStr">
        <is>
          <t>C · calculated</t>
        </is>
      </c>
      <c r="D61" s="18" t="inlineStr">
        <is>
          <t>Today's cover.</t>
        </is>
      </c>
    </row>
    <row r="62">
      <c r="A62" s="26" t="inlineStr">
        <is>
          <t>postHappiU</t>
        </is>
      </c>
      <c r="B62" s="46">
        <f>ROUND(HU_postRaw*100,0)</f>
        <v/>
      </c>
      <c r="C62" s="27" t="inlineStr">
        <is>
          <t>C · calculated</t>
        </is>
      </c>
      <c r="D62" s="18" t="inlineStr">
        <is>
          <t>With the plan's benefits.</t>
        </is>
      </c>
    </row>
    <row r="66">
      <c r="A66" s="3" t="inlineStr">
        <is>
          <t>year</t>
        </is>
      </c>
      <c r="B66" s="3" t="n"/>
      <c r="C66" s="3" t="n"/>
      <c r="D66" s="19" t="inlineStr">
        <is>
          <t>D · q(age + year) from Assumptions</t>
        </is>
      </c>
      <c r="E66" s="19" t="n"/>
      <c r="F66" s="19" t="n"/>
      <c r="G66" s="19" t="n"/>
      <c r="H66" s="19" t="n"/>
      <c r="I66" s="16" t="inlineStr">
        <is>
          <t>C · PROBABILITIES</t>
        </is>
      </c>
      <c r="J66" s="16" t="n"/>
      <c r="K66" s="16" t="n"/>
      <c r="L66" s="16" t="n"/>
      <c r="M66" s="16" t="n"/>
      <c r="N66" s="16" t="n"/>
      <c r="O66" s="16" t="n"/>
      <c r="P66" s="16" t="n"/>
      <c r="Q66" s="16" t="n"/>
      <c r="R66" s="16" t="inlineStr">
        <is>
          <t>C · EXPECTED CASH FLOWS AND PATHS (alive)</t>
        </is>
      </c>
      <c r="S66" s="16" t="n"/>
      <c r="T66" s="16" t="n"/>
      <c r="U66" s="16" t="n"/>
      <c r="V66" s="16" t="n"/>
      <c r="W66" s="16" t="n"/>
      <c r="X66" s="16" t="n"/>
      <c r="Y66" s="16" t="n"/>
      <c r="Z66" s="16" t="n"/>
      <c r="AA66" s="16" t="n"/>
      <c r="AB66" s="16" t="n"/>
      <c r="AC66" s="16" t="n"/>
      <c r="AD66" s="16" t="n"/>
      <c r="AE66" s="16" t="n"/>
      <c r="AF66" s="16" t="inlineStr">
        <is>
          <t>C · N_INC  (W path)</t>
        </is>
      </c>
      <c r="AG66" s="16" t="n"/>
      <c r="AH66" s="16" t="n"/>
      <c r="AI66" s="16" t="n"/>
      <c r="AJ66" s="16" t="inlineStr">
        <is>
          <t>C · N_CRI  (consumption path)</t>
        </is>
      </c>
      <c r="AK66" s="16" t="n"/>
      <c r="AL66" s="16" t="n"/>
      <c r="AM66" s="16" t="n"/>
      <c r="AN66" s="16" t="inlineStr">
        <is>
          <t>C · N_TPD  (consumption path)</t>
        </is>
      </c>
      <c r="AO66" s="16" t="n"/>
      <c r="AP66" s="16" t="n"/>
      <c r="AQ66" s="16" t="n"/>
      <c r="AR66" s="16" t="inlineStr">
        <is>
          <t>C · N_HOS  (consumption path)</t>
        </is>
      </c>
      <c r="AS66" s="16" t="n"/>
      <c r="AT66" s="16" t="n"/>
      <c r="AU66" s="16" t="n"/>
      <c r="AV66" s="16" t="inlineStr">
        <is>
          <t>C · N_RET  (W path)</t>
        </is>
      </c>
      <c r="AW66" s="16" t="n"/>
      <c r="AX66" s="16" t="n"/>
      <c r="AY66" s="16" t="n"/>
      <c r="AZ66" s="16" t="inlineStr">
        <is>
          <t>C · N_EDU  (consumption path)</t>
        </is>
      </c>
      <c r="BA66" s="16" t="n"/>
      <c r="BB66" s="16" t="n"/>
      <c r="BC66" s="16" t="n"/>
      <c r="BD66" s="16" t="inlineStr">
        <is>
          <t>C · N_SAV  (consumption path)</t>
        </is>
      </c>
      <c r="BE66" s="16" t="n"/>
      <c r="BF66" s="16" t="n"/>
      <c r="BG66" s="16" t="n"/>
      <c r="BH66" s="16" t="inlineStr">
        <is>
          <t>C · N_PRP  (consumption path)</t>
        </is>
      </c>
      <c r="BI66" s="16" t="n"/>
      <c r="BJ66" s="16" t="n"/>
      <c r="BK66" s="16" t="n"/>
    </row>
    <row r="67">
      <c r="A67" s="3" t="inlineStr">
        <is>
          <t>year</t>
        </is>
      </c>
      <c r="B67" s="3" t="inlineStr">
        <is>
          <t>age</t>
        </is>
      </c>
      <c r="C67" s="3" t="inlineStr">
        <is>
          <t>on path</t>
        </is>
      </c>
      <c r="D67" s="3" t="inlineStr">
        <is>
          <t>q mortality</t>
        </is>
      </c>
      <c r="E67" s="3" t="inlineStr">
        <is>
          <t>q accidental death</t>
        </is>
      </c>
      <c r="F67" s="3" t="inlineStr">
        <is>
          <t>q critical illness</t>
        </is>
      </c>
      <c r="G67" s="3" t="inlineStr">
        <is>
          <t>q TPD</t>
        </is>
      </c>
      <c r="H67" s="3" t="inlineStr">
        <is>
          <t>q dismemberment</t>
        </is>
      </c>
      <c r="I67" s="3" t="inlineStr">
        <is>
          <t>alive</t>
        </is>
      </c>
      <c r="J67" s="3" t="inlineStr">
        <is>
          <t>score weight</t>
        </is>
      </c>
      <c r="K67" s="3" t="inlineStr">
        <is>
          <t>no TPD yet</t>
        </is>
      </c>
      <c r="L67" s="3" t="inlineStr">
        <is>
          <t>P(TPD so far)</t>
        </is>
      </c>
      <c r="M67" s="3" t="inlineStr">
        <is>
          <t>P(first TPD)</t>
        </is>
      </c>
      <c r="N67" s="3" t="inlineStr">
        <is>
          <t>no dismemberment</t>
        </is>
      </c>
      <c r="O67" s="3" t="inlineStr">
        <is>
          <t>P(dismembered before)</t>
        </is>
      </c>
      <c r="P67" s="3" t="inlineStr">
        <is>
          <t>no CI (running)</t>
        </is>
      </c>
      <c r="Q67" s="3" t="inlineStr">
        <is>
          <t>P(CI in window)</t>
        </is>
      </c>
      <c r="R67" s="3" t="inlineStr">
        <is>
          <t>inflation index</t>
        </is>
      </c>
      <c r="S67" s="3" t="inlineStr">
        <is>
          <t>salary</t>
        </is>
      </c>
      <c r="T67" s="3" t="inlineStr">
        <is>
          <t>ss growth index</t>
        </is>
      </c>
      <c r="U67" s="3" t="inlineStr">
        <is>
          <t>social-security lump</t>
        </is>
      </c>
      <c r="V67" s="3" t="inlineStr">
        <is>
          <t>income + lump + SAV/PRP</t>
        </is>
      </c>
      <c r="W67" s="3" t="inlineStr">
        <is>
          <t>expected income cut</t>
        </is>
      </c>
      <c r="X67" s="3" t="inlineStr">
        <is>
          <t>income after cut</t>
        </is>
      </c>
      <c r="Y67" s="3" t="inlineStr">
        <is>
          <t>spend</t>
        </is>
      </c>
      <c r="Z67" s="3" t="inlineStr">
        <is>
          <t>spend + goals</t>
        </is>
      </c>
      <c r="AA67" s="3" t="inlineStr">
        <is>
          <t>expected medical</t>
        </is>
      </c>
      <c r="AB67" s="3" t="inlineStr">
        <is>
          <t>savings</t>
        </is>
      </c>
      <c r="AC67" s="3" t="inlineStr">
        <is>
          <t>equity</t>
        </is>
      </c>
      <c r="AD67" s="3" t="inlineStr">
        <is>
          <t>WEALTH</t>
        </is>
      </c>
      <c r="AE67" s="3" t="inlineStr">
        <is>
          <t>CONSUMPTION WEALTH</t>
        </is>
      </c>
      <c r="AF67" s="3" t="inlineStr">
        <is>
          <t>N_INC weight</t>
        </is>
      </c>
      <c r="AG67" s="3" t="inlineStr">
        <is>
          <t>N_INC v pre</t>
        </is>
      </c>
      <c r="AH67" s="3" t="inlineStr">
        <is>
          <t>N_INC v rec</t>
        </is>
      </c>
      <c r="AI67" s="3" t="inlineStr">
        <is>
          <t>N_INC v full</t>
        </is>
      </c>
      <c r="AJ67" s="3" t="inlineStr">
        <is>
          <t>N_CRI weight</t>
        </is>
      </c>
      <c r="AK67" s="3" t="inlineStr">
        <is>
          <t>N_CRI v pre</t>
        </is>
      </c>
      <c r="AL67" s="3" t="inlineStr">
        <is>
          <t>N_CRI v rec</t>
        </is>
      </c>
      <c r="AM67" s="3" t="inlineStr">
        <is>
          <t>N_CRI v full</t>
        </is>
      </c>
      <c r="AN67" s="3" t="inlineStr">
        <is>
          <t>N_TPD weight</t>
        </is>
      </c>
      <c r="AO67" s="3" t="inlineStr">
        <is>
          <t>N_TPD v pre</t>
        </is>
      </c>
      <c r="AP67" s="3" t="inlineStr">
        <is>
          <t>N_TPD v rec</t>
        </is>
      </c>
      <c r="AQ67" s="3" t="inlineStr">
        <is>
          <t>N_TPD v full</t>
        </is>
      </c>
      <c r="AR67" s="3" t="inlineStr">
        <is>
          <t>N_HOS weight</t>
        </is>
      </c>
      <c r="AS67" s="3" t="inlineStr">
        <is>
          <t>N_HOS v pre</t>
        </is>
      </c>
      <c r="AT67" s="3" t="inlineStr">
        <is>
          <t>N_HOS v rec</t>
        </is>
      </c>
      <c r="AU67" s="3" t="inlineStr">
        <is>
          <t>N_HOS v full</t>
        </is>
      </c>
      <c r="AV67" s="3" t="inlineStr">
        <is>
          <t>N_RET weight</t>
        </is>
      </c>
      <c r="AW67" s="3" t="inlineStr">
        <is>
          <t>N_RET v pre</t>
        </is>
      </c>
      <c r="AX67" s="3" t="inlineStr">
        <is>
          <t>N_RET v rec</t>
        </is>
      </c>
      <c r="AY67" s="3" t="inlineStr">
        <is>
          <t>N_RET v full</t>
        </is>
      </c>
      <c r="AZ67" s="3" t="inlineStr">
        <is>
          <t>N_EDU weight</t>
        </is>
      </c>
      <c r="BA67" s="3" t="inlineStr">
        <is>
          <t>N_EDU v pre</t>
        </is>
      </c>
      <c r="BB67" s="3" t="inlineStr">
        <is>
          <t>N_EDU v rec</t>
        </is>
      </c>
      <c r="BC67" s="3" t="inlineStr">
        <is>
          <t>N_EDU v full</t>
        </is>
      </c>
      <c r="BD67" s="3" t="inlineStr">
        <is>
          <t>N_SAV weight</t>
        </is>
      </c>
      <c r="BE67" s="3" t="inlineStr">
        <is>
          <t>N_SAV v pre</t>
        </is>
      </c>
      <c r="BF67" s="3" t="inlineStr">
        <is>
          <t>N_SAV v rec</t>
        </is>
      </c>
      <c r="BG67" s="3" t="inlineStr">
        <is>
          <t>N_SAV v full</t>
        </is>
      </c>
      <c r="BH67" s="3" t="inlineStr">
        <is>
          <t>N_PRP weight</t>
        </is>
      </c>
      <c r="BI67" s="3" t="inlineStr">
        <is>
          <t>N_PRP v pre</t>
        </is>
      </c>
      <c r="BJ67" s="3" t="inlineStr">
        <is>
          <t>N_PRP v rec</t>
        </is>
      </c>
      <c r="BK67" s="3" t="inlineStr">
        <is>
          <t>N_PRP v full</t>
        </is>
      </c>
    </row>
    <row r="68">
      <c r="A68" s="61" t="n">
        <v>0</v>
      </c>
      <c r="B68" s="61">
        <f>HU_age+A68</f>
        <v/>
      </c>
      <c r="C68" s="52">
        <f>A68&lt;=HU_T</f>
        <v/>
      </c>
      <c r="D68" s="63">
        <f>IF(OR(A68&lt;1,A68&gt;HU_T),0,INDEX(HU_q_mort,HU_age+A68-17,HU_col))</f>
        <v/>
      </c>
      <c r="E68" s="63">
        <f>IF(OR(A68&lt;1,A68&gt;HU_T),0,INDEX(HU_q_adb,HU_age+A68-17,HU_col))</f>
        <v/>
      </c>
      <c r="F68" s="63">
        <f>IF(OR(A68&lt;1,A68&gt;HU_T),0,INDEX(HU_q_morb,HU_age+A68-17,HU_col))</f>
        <v/>
      </c>
      <c r="G68" s="63">
        <f>IF(OR(A68&lt;1,A68&gt;HU_T),0,INDEX(HU_q_ptd,HU_age+A68-17,HU_col))</f>
        <v/>
      </c>
      <c r="H68" s="63">
        <f>IF(OR(A68&lt;1,A68&gt;HU_T),0,INDEX(HU_q_dis,HU_age+A68-17,HU_col))</f>
        <v/>
      </c>
      <c r="I68" s="63" t="n">
        <v>1</v>
      </c>
      <c r="J68" s="63">
        <f>IF(A68&gt;=HU_T,0,N(I69))</f>
        <v/>
      </c>
      <c r="K68" s="63" t="n">
        <v>1</v>
      </c>
      <c r="L68" s="63" t="n">
        <v>0</v>
      </c>
      <c r="M68" s="63" t="n">
        <v>0</v>
      </c>
      <c r="N68" s="63" t="n">
        <v>1</v>
      </c>
      <c r="O68" s="63" t="n">
        <v>0</v>
      </c>
      <c r="P68" s="63" t="n">
        <v>1</v>
      </c>
      <c r="Q68" s="63" t="n">
        <v>0</v>
      </c>
      <c r="R68" s="60">
        <f>(1+inflationRate)^A68</f>
        <v/>
      </c>
      <c r="S68" s="29" t="n">
        <v>0</v>
      </c>
      <c r="T68" s="60" t="n">
        <v>1</v>
      </c>
      <c r="U68" s="29" t="n">
        <v>0</v>
      </c>
      <c r="V68" s="29" t="n">
        <v>0</v>
      </c>
      <c r="W68" s="60" t="n">
        <v>0</v>
      </c>
      <c r="X68" s="29" t="n">
        <v>0</v>
      </c>
      <c r="Y68" s="29" t="n">
        <v>0</v>
      </c>
      <c r="Z68" s="29" t="n">
        <v>0</v>
      </c>
      <c r="AA68" s="29" t="n">
        <v>0</v>
      </c>
      <c r="AB68" s="29">
        <f>HU_cash0</f>
        <v/>
      </c>
      <c r="AC68" s="29">
        <f>IF(A68&gt;HU_T,0,HU_inv*EXP(HU_mu*A68))</f>
        <v/>
      </c>
      <c r="AD68" s="29">
        <f>IF(A68&gt;HU_T,0,MAX(0,AC68+AB68))</f>
        <v/>
      </c>
      <c r="AE68" s="29" t="n">
        <v>0</v>
      </c>
      <c r="AF68" s="63">
        <f>IF(AND($J$6,A68&gt;=1,A68&lt;=$Q$6-1),J68,0)</f>
        <v/>
      </c>
      <c r="AG68" s="29">
        <f>IF(OR(AF68=0,$S$6=0),0,IF((AD68+$L$6)&gt;$S$6/HU_alpha+$K$6,0.5*$S$6/HU_alpha,IF((AD68+$L$6)&gt;=$K$6,((AD68+$L$6)-$K$6)-0.5*HU_alpha/$S$6*((AD68+$L$6)-$K$6)^2,IF((AD68+$L$6)&gt;=$T$6,HU_beta*((AD68+$L$6)-$K$6),HU_beta*($T$6-$K$6)))))</f>
        <v/>
      </c>
      <c r="AH68" s="29">
        <f>IF(OR(AF68=0,$S$6=0),0,IF((AD68+$L$6+$N$6)&gt;$S$6/HU_alpha+$K$6,0.5*$S$6/HU_alpha,IF((AD68+$L$6+$N$6)&gt;=$K$6,((AD68+$L$6+$N$6)-$K$6)-0.5*HU_alpha/$S$6*((AD68+$L$6+$N$6)-$K$6)^2,IF((AD68+$L$6+$N$6)&gt;=$T$6,HU_beta*((AD68+$L$6+$N$6)-$K$6),HU_beta*($T$6-$K$6)))))</f>
        <v/>
      </c>
      <c r="AI68" s="29">
        <f>IF(OR(AF68=0,$S$6=0),0,IF((AD68+$K$6)&gt;$S$6/HU_alpha+$K$6,0.5*$S$6/HU_alpha,IF((AD68+$K$6)&gt;=$K$6,((AD68+$K$6)-$K$6)-0.5*HU_alpha/$S$6*((AD68+$K$6)-$K$6)^2,IF((AD68+$K$6)&gt;=$T$6,HU_beta*((AD68+$K$6)-$K$6),HU_beta*($T$6-$K$6)))))</f>
        <v/>
      </c>
      <c r="AJ68" s="63">
        <f>IF(AND($J$7,A68&gt;=1,A68&lt;=$Q$7-1),J68,0)</f>
        <v/>
      </c>
      <c r="AK68" s="29">
        <f>IF(OR(AJ68=0,$S$7=0),0,IF((AE68+$L$7)&gt;$S$7/HU_alpha+$K$7,0.5*$S$7/HU_alpha,IF((AE68+$L$7)&gt;=$K$7,((AE68+$L$7)-$K$7)-0.5*HU_alpha/$S$7*((AE68+$L$7)-$K$7)^2,IF((AE68+$L$7)&gt;=$T$7,HU_beta*((AE68+$L$7)-$K$7),HU_beta*($T$7-$K$7)))))</f>
        <v/>
      </c>
      <c r="AL68" s="29">
        <f>IF(OR(AJ68=0,$S$7=0),0,IF((AE68+$L$7+$N$7)&gt;$S$7/HU_alpha+$K$7,0.5*$S$7/HU_alpha,IF((AE68+$L$7+$N$7)&gt;=$K$7,((AE68+$L$7+$N$7)-$K$7)-0.5*HU_alpha/$S$7*((AE68+$L$7+$N$7)-$K$7)^2,IF((AE68+$L$7+$N$7)&gt;=$T$7,HU_beta*((AE68+$L$7+$N$7)-$K$7),HU_beta*($T$7-$K$7)))))</f>
        <v/>
      </c>
      <c r="AM68" s="29">
        <f>IF(OR(AJ68=0,$S$7=0),0,IF((AE68+$K$7)&gt;$S$7/HU_alpha+$K$7,0.5*$S$7/HU_alpha,IF((AE68+$K$7)&gt;=$K$7,((AE68+$K$7)-$K$7)-0.5*HU_alpha/$S$7*((AE68+$K$7)-$K$7)^2,IF((AE68+$K$7)&gt;=$T$7,HU_beta*((AE68+$K$7)-$K$7),HU_beta*($T$7-$K$7)))))</f>
        <v/>
      </c>
      <c r="AN68" s="63">
        <f>IF(AND($J$8,A68&gt;=1,A68&lt;=$Q$8-1),J68,0)</f>
        <v/>
      </c>
      <c r="AO68" s="29">
        <f>IF(OR(AN68=0,$S$8=0),0,IF((AE68+$L$8)&gt;$S$8/HU_alpha+$K$8,0.5*$S$8/HU_alpha,IF((AE68+$L$8)&gt;=$K$8,((AE68+$L$8)-$K$8)-0.5*HU_alpha/$S$8*((AE68+$L$8)-$K$8)^2,IF((AE68+$L$8)&gt;=$T$8,HU_beta*((AE68+$L$8)-$K$8),HU_beta*($T$8-$K$8)))))</f>
        <v/>
      </c>
      <c r="AP68" s="29">
        <f>IF(OR(AN68=0,$S$8=0),0,IF((AE68+$L$8+$N$8)&gt;$S$8/HU_alpha+$K$8,0.5*$S$8/HU_alpha,IF((AE68+$L$8+$N$8)&gt;=$K$8,((AE68+$L$8+$N$8)-$K$8)-0.5*HU_alpha/$S$8*((AE68+$L$8+$N$8)-$K$8)^2,IF((AE68+$L$8+$N$8)&gt;=$T$8,HU_beta*((AE68+$L$8+$N$8)-$K$8),HU_beta*($T$8-$K$8)))))</f>
        <v/>
      </c>
      <c r="AQ68" s="29">
        <f>IF(OR(AN68=0,$S$8=0),0,IF((AE68+$K$8)&gt;$S$8/HU_alpha+$K$8,0.5*$S$8/HU_alpha,IF((AE68+$K$8)&gt;=$K$8,((AE68+$K$8)-$K$8)-0.5*HU_alpha/$S$8*((AE68+$K$8)-$K$8)^2,IF((AE68+$K$8)&gt;=$T$8,HU_beta*((AE68+$K$8)-$K$8),HU_beta*($T$8-$K$8)))))</f>
        <v/>
      </c>
      <c r="AR68" s="63">
        <f>IF(AND($J$9,A68&gt;=1,A68&lt;=$Q$9-1),J68,0)</f>
        <v/>
      </c>
      <c r="AS68" s="29">
        <f>IF(OR(AR68=0,$S$9=0),0,IF((AE68+$L$9)&gt;$S$9/HU_alpha+$K$9,0.5*$S$9/HU_alpha,IF((AE68+$L$9)&gt;=$K$9,((AE68+$L$9)-$K$9)-0.5*HU_alpha/$S$9*((AE68+$L$9)-$K$9)^2,IF((AE68+$L$9)&gt;=$T$9,HU_beta*((AE68+$L$9)-$K$9),HU_beta*($T$9-$K$9)))))</f>
        <v/>
      </c>
      <c r="AT68" s="29">
        <f>IF(OR(AR68=0,$S$9=0),0,IF((AE68+$L$9+$N$9)&gt;$S$9/HU_alpha+$K$9,0.5*$S$9/HU_alpha,IF((AE68+$L$9+$N$9)&gt;=$K$9,((AE68+$L$9+$N$9)-$K$9)-0.5*HU_alpha/$S$9*((AE68+$L$9+$N$9)-$K$9)^2,IF((AE68+$L$9+$N$9)&gt;=$T$9,HU_beta*((AE68+$L$9+$N$9)-$K$9),HU_beta*($T$9-$K$9)))))</f>
        <v/>
      </c>
      <c r="AU68" s="29">
        <f>IF(OR(AR68=0,$S$9=0),0,IF((AE68+$K$9)&gt;$S$9/HU_alpha+$K$9,0.5*$S$9/HU_alpha,IF((AE68+$K$9)&gt;=$K$9,((AE68+$K$9)-$K$9)-0.5*HU_alpha/$S$9*((AE68+$K$9)-$K$9)^2,IF((AE68+$K$9)&gt;=$T$9,HU_beta*((AE68+$K$9)-$K$9),HU_beta*($T$9-$K$9)))))</f>
        <v/>
      </c>
      <c r="AV68" s="63">
        <f>IF(AND($J$10,A68=$Q$10),J68,0)</f>
        <v/>
      </c>
      <c r="AW68" s="29">
        <f>IF(OR(AV68=0,$S$10=0),0,IF((AD68+$L$10)&gt;$S$10/HU_alpha+$K$10,0.5*$S$10/HU_alpha,IF((AD68+$L$10)&gt;=$K$10,((AD68+$L$10)-$K$10)-0.5*HU_alpha/$S$10*((AD68+$L$10)-$K$10)^2,IF((AD68+$L$10)&gt;=$T$10,HU_beta*((AD68+$L$10)-$K$10),HU_beta*($T$10-$K$10)))))</f>
        <v/>
      </c>
      <c r="AX68" s="29">
        <f>IF(OR(AV68=0,$S$10=0),0,IF((AD68+$L$10+$N$10)&gt;$S$10/HU_alpha+$K$10,0.5*$S$10/HU_alpha,IF((AD68+$L$10+$N$10)&gt;=$K$10,((AD68+$L$10+$N$10)-$K$10)-0.5*HU_alpha/$S$10*((AD68+$L$10+$N$10)-$K$10)^2,IF((AD68+$L$10+$N$10)&gt;=$T$10,HU_beta*((AD68+$L$10+$N$10)-$K$10),HU_beta*($T$10-$K$10)))))</f>
        <v/>
      </c>
      <c r="AY68" s="29">
        <f>IF(OR(AV68=0,$S$10=0),0,IF((AD68+$K$10)&gt;$S$10/HU_alpha+$K$10,0.5*$S$10/HU_alpha,IF((AD68+$K$10)&gt;=$K$10,((AD68+$K$10)-$K$10)-0.5*HU_alpha/$S$10*((AD68+$K$10)-$K$10)^2,IF((AD68+$K$10)&gt;=$T$10,HU_beta*((AD68+$K$10)-$K$10),HU_beta*($T$10-$K$10)))))</f>
        <v/>
      </c>
      <c r="AZ68" s="63">
        <f>IF(AND($J$11,A68=$Q$11),J68,0)</f>
        <v/>
      </c>
      <c r="BA68" s="29">
        <f>IF(OR(AZ68=0,$S$11=0),0,IF((AE68+$L$11)&gt;$S$11/HU_alpha+$K$11,0.5*$S$11/HU_alpha,IF((AE68+$L$11)&gt;=$K$11,((AE68+$L$11)-$K$11)-0.5*HU_alpha/$S$11*((AE68+$L$11)-$K$11)^2,IF((AE68+$L$11)&gt;=$T$11,HU_beta*((AE68+$L$11)-$K$11),HU_beta*($T$11-$K$11)))))</f>
        <v/>
      </c>
      <c r="BB68" s="29">
        <f>IF(OR(AZ68=0,$S$11=0),0,IF((AE68+$L$11+$N$11)&gt;$S$11/HU_alpha+$K$11,0.5*$S$11/HU_alpha,IF((AE68+$L$11+$N$11)&gt;=$K$11,((AE68+$L$11+$N$11)-$K$11)-0.5*HU_alpha/$S$11*((AE68+$L$11+$N$11)-$K$11)^2,IF((AE68+$L$11+$N$11)&gt;=$T$11,HU_beta*((AE68+$L$11+$N$11)-$K$11),HU_beta*($T$11-$K$11)))))</f>
        <v/>
      </c>
      <c r="BC68" s="29">
        <f>IF(OR(AZ68=0,$S$11=0),0,IF((AE68+$K$11)&gt;$S$11/HU_alpha+$K$11,0.5*$S$11/HU_alpha,IF((AE68+$K$11)&gt;=$K$11,((AE68+$K$11)-$K$11)-0.5*HU_alpha/$S$11*((AE68+$K$11)-$K$11)^2,IF((AE68+$K$11)&gt;=$T$11,HU_beta*((AE68+$K$11)-$K$11),HU_beta*($T$11-$K$11)))))</f>
        <v/>
      </c>
      <c r="BD68" s="63">
        <f>IF(AND($J$12,A68=$Q$12),J68,0)</f>
        <v/>
      </c>
      <c r="BE68" s="29">
        <f>IF(OR(BD68=0,$S$12=0),0,IF((AE68+$L$12)&gt;$S$12/HU_alpha+$K$12,0.5*$S$12/HU_alpha,IF((AE68+$L$12)&gt;=$K$12,((AE68+$L$12)-$K$12)-0.5*HU_alpha/$S$12*((AE68+$L$12)-$K$12)^2,IF((AE68+$L$12)&gt;=$T$12,HU_beta*((AE68+$L$12)-$K$12),HU_beta*($T$12-$K$12)))))</f>
        <v/>
      </c>
      <c r="BF68" s="29">
        <f>IF(OR(BD68=0,$S$12=0),0,IF((AE68+$L$12+$N$12)&gt;$S$12/HU_alpha+$K$12,0.5*$S$12/HU_alpha,IF((AE68+$L$12+$N$12)&gt;=$K$12,((AE68+$L$12+$N$12)-$K$12)-0.5*HU_alpha/$S$12*((AE68+$L$12+$N$12)-$K$12)^2,IF((AE68+$L$12+$N$12)&gt;=$T$12,HU_beta*((AE68+$L$12+$N$12)-$K$12),HU_beta*($T$12-$K$12)))))</f>
        <v/>
      </c>
      <c r="BG68" s="29">
        <f>IF(OR(BD68=0,$S$12=0),0,IF((AE68+$K$12)&gt;$S$12/HU_alpha+$K$12,0.5*$S$12/HU_alpha,IF((AE68+$K$12)&gt;=$K$12,((AE68+$K$12)-$K$12)-0.5*HU_alpha/$S$12*((AE68+$K$12)-$K$12)^2,IF((AE68+$K$12)&gt;=$T$12,HU_beta*((AE68+$K$12)-$K$12),HU_beta*($T$12-$K$12)))))</f>
        <v/>
      </c>
      <c r="BH68" s="63">
        <f>IF(AND($J$13,A68=$Q$13),J68,0)</f>
        <v/>
      </c>
      <c r="BI68" s="29">
        <f>IF(OR(BH68=0,$S$13=0),0,IF((AE68+$L$13)&gt;$S$13/HU_alpha+$K$13,0.5*$S$13/HU_alpha,IF((AE68+$L$13)&gt;=$K$13,((AE68+$L$13)-$K$13)-0.5*HU_alpha/$S$13*((AE68+$L$13)-$K$13)^2,IF((AE68+$L$13)&gt;=$T$13,HU_beta*((AE68+$L$13)-$K$13),HU_beta*($T$13-$K$13)))))</f>
        <v/>
      </c>
      <c r="BJ68" s="29">
        <f>IF(OR(BH68=0,$S$13=0),0,IF((AE68+$L$13+$N$13)&gt;$S$13/HU_alpha+$K$13,0.5*$S$13/HU_alpha,IF((AE68+$L$13+$N$13)&gt;=$K$13,((AE68+$L$13+$N$13)-$K$13)-0.5*HU_alpha/$S$13*((AE68+$L$13+$N$13)-$K$13)^2,IF((AE68+$L$13+$N$13)&gt;=$T$13,HU_beta*((AE68+$L$13+$N$13)-$K$13),HU_beta*($T$13-$K$13)))))</f>
        <v/>
      </c>
      <c r="BK68" s="29">
        <f>IF(OR(BH68=0,$S$13=0),0,IF((AE68+$K$13)&gt;$S$13/HU_alpha+$K$13,0.5*$S$13/HU_alpha,IF((AE68+$K$13)&gt;=$K$13,((AE68+$K$13)-$K$13)-0.5*HU_alpha/$S$13*((AE68+$K$13)-$K$13)^2,IF((AE68+$K$13)&gt;=$T$13,HU_beta*((AE68+$K$13)-$K$13),HU_beta*($T$13-$K$13)))))</f>
        <v/>
      </c>
    </row>
    <row r="69">
      <c r="A69" s="61" t="n">
        <v>1</v>
      </c>
      <c r="B69" s="61">
        <f>HU_age+A69</f>
        <v/>
      </c>
      <c r="C69" s="52">
        <f>A69&lt;=HU_T</f>
        <v/>
      </c>
      <c r="D69" s="63">
        <f>IF(OR(A69&lt;1,A69&gt;HU_T),0,INDEX(HU_q_mort,HU_age+A69-17,HU_col))</f>
        <v/>
      </c>
      <c r="E69" s="63">
        <f>IF(OR(A69&lt;1,A69&gt;HU_T),0,INDEX(HU_q_adb,HU_age+A69-17,HU_col))</f>
        <v/>
      </c>
      <c r="F69" s="63">
        <f>IF(OR(A69&lt;1,A69&gt;HU_T),0,INDEX(HU_q_morb,HU_age+A69-17,HU_col))</f>
        <v/>
      </c>
      <c r="G69" s="63">
        <f>IF(OR(A69&lt;1,A69&gt;HU_T),0,INDEX(HU_q_ptd,HU_age+A69-17,HU_col))</f>
        <v/>
      </c>
      <c r="H69" s="63">
        <f>IF(OR(A69&lt;1,A69&gt;HU_T),0,INDEX(HU_q_dis,HU_age+A69-17,HU_col))</f>
        <v/>
      </c>
      <c r="I69" s="63">
        <f>IF(A69&gt;HU_T,0,I68*(1-D69)*(1-E69))</f>
        <v/>
      </c>
      <c r="J69" s="63">
        <f>IF(A69&gt;=HU_T,0,N(I70))</f>
        <v/>
      </c>
      <c r="K69" s="63">
        <f>K68*(1-G69)</f>
        <v/>
      </c>
      <c r="L69" s="63">
        <f>1-K69</f>
        <v/>
      </c>
      <c r="M69" s="63">
        <f>K68*G69</f>
        <v/>
      </c>
      <c r="N69" s="63">
        <f>N68*(1-H69)</f>
        <v/>
      </c>
      <c r="O69" s="63">
        <f>1-N68</f>
        <v/>
      </c>
      <c r="P69" s="63">
        <f>P68*(1-F69)</f>
        <v/>
      </c>
      <c r="Q69" s="63">
        <f>1-P68/INDEX($P$68:$P$150,MAX(1,A69-HU_ciYears))</f>
        <v/>
      </c>
      <c r="R69" s="60">
        <f>(1+inflationRate)^A69</f>
        <v/>
      </c>
      <c r="S69" s="29">
        <f>IF(OR(OR(A69&lt;1,A69&gt;HU_T),A69-1&gt;=HU_dtr),0,HU_inc0*(1+incomeGrowthRate)^A69)</f>
        <v/>
      </c>
      <c r="T69" s="60">
        <f>IF(A69&gt;HU_T,T68,T68*(1+INDEX(HU_ssG,HU_age+A69-17)))</f>
        <v/>
      </c>
      <c r="U69" s="29">
        <f>IF(AND(HU_dtr&gt;=1,A69=HU_dtr,A69&lt;=HU_T),MIN(S69*INDEX(HU_ssC,HU_age+A69-17)/(1-INDEX(HU_ssC,HU_age+A69-17)),INDEX(HU_ssCap,HU_age+A69-17))*T69,0)</f>
        <v/>
      </c>
      <c r="V69" s="29">
        <f>S69+U69+IF(AND(HU_wdOn,A69=HU_wdYear),HU_wdIncome,0)</f>
        <v/>
      </c>
      <c r="W69" s="60">
        <f>HU_ciProp*Q69+HU_tpdCut*L69+HU_disCut*O69</f>
        <v/>
      </c>
      <c r="X69" s="29">
        <f>IF(OR(A69&lt;1,A69&gt;HU_T),0,V69*(1-W69))</f>
        <v/>
      </c>
      <c r="Y69" s="29">
        <f>IF(OR(A69&lt;1,A69&gt;HU_T),0,IF(AND(HU_retExp&gt;0,A69-1&gt;=HU_dtr),HU_retExp,HU_exp0)*R69)</f>
        <v/>
      </c>
      <c r="Z69" s="29">
        <f>-Y69-IF(AND(HU_wdOn,A69=HU_wdYear),HU_wdOut,0)</f>
        <v/>
      </c>
      <c r="AA69" s="29">
        <f>IF(OR(A69&lt;1,A69&gt;HU_T),0,-HU_medCost*R69*F69-HU_tpdCost*R69*M69)</f>
        <v/>
      </c>
      <c r="AB69" s="29">
        <f>IF(A69&gt;HU_T,0,AB68*(1+interestRate)+X69+Z69+AA69)</f>
        <v/>
      </c>
      <c r="AC69" s="29">
        <f>IF(A69&gt;HU_T,0,HU_inv*EXP(HU_mu*A69))</f>
        <v/>
      </c>
      <c r="AD69" s="29">
        <f>IF(A69&gt;HU_T,0,MAX(0,AC69+AB69))</f>
        <v/>
      </c>
      <c r="AE69" s="29">
        <f>IF(A69&gt;HU_T,0,MAX(0,X69-Y69))</f>
        <v/>
      </c>
      <c r="AF69" s="63">
        <f>IF(AND($J$6,A69&gt;=1,A69&lt;=$Q$6-1),J69,0)</f>
        <v/>
      </c>
      <c r="AG69" s="29">
        <f>IF(OR(AF69=0,$S$6=0),0,IF((AD69+$L$6)&gt;$S$6/HU_alpha+$K$6,0.5*$S$6/HU_alpha,IF((AD69+$L$6)&gt;=$K$6,((AD69+$L$6)-$K$6)-0.5*HU_alpha/$S$6*((AD69+$L$6)-$K$6)^2,IF((AD69+$L$6)&gt;=$T$6,HU_beta*((AD69+$L$6)-$K$6),HU_beta*($T$6-$K$6)))))</f>
        <v/>
      </c>
      <c r="AH69" s="29">
        <f>IF(OR(AF69=0,$S$6=0),0,IF((AD69+$L$6+$N$6)&gt;$S$6/HU_alpha+$K$6,0.5*$S$6/HU_alpha,IF((AD69+$L$6+$N$6)&gt;=$K$6,((AD69+$L$6+$N$6)-$K$6)-0.5*HU_alpha/$S$6*((AD69+$L$6+$N$6)-$K$6)^2,IF((AD69+$L$6+$N$6)&gt;=$T$6,HU_beta*((AD69+$L$6+$N$6)-$K$6),HU_beta*($T$6-$K$6)))))</f>
        <v/>
      </c>
      <c r="AI69" s="29">
        <f>IF(OR(AF69=0,$S$6=0),0,IF((AD69+$K$6)&gt;$S$6/HU_alpha+$K$6,0.5*$S$6/HU_alpha,IF((AD69+$K$6)&gt;=$K$6,((AD69+$K$6)-$K$6)-0.5*HU_alpha/$S$6*((AD69+$K$6)-$K$6)^2,IF((AD69+$K$6)&gt;=$T$6,HU_beta*((AD69+$K$6)-$K$6),HU_beta*($T$6-$K$6)))))</f>
        <v/>
      </c>
      <c r="AJ69" s="63">
        <f>IF(AND($J$7,A69&gt;=1,A69&lt;=$Q$7-1),J69,0)</f>
        <v/>
      </c>
      <c r="AK69" s="29">
        <f>IF(OR(AJ69=0,$S$7=0),0,IF((AE69+$L$7)&gt;$S$7/HU_alpha+$K$7,0.5*$S$7/HU_alpha,IF((AE69+$L$7)&gt;=$K$7,((AE69+$L$7)-$K$7)-0.5*HU_alpha/$S$7*((AE69+$L$7)-$K$7)^2,IF((AE69+$L$7)&gt;=$T$7,HU_beta*((AE69+$L$7)-$K$7),HU_beta*($T$7-$K$7)))))</f>
        <v/>
      </c>
      <c r="AL69" s="29">
        <f>IF(OR(AJ69=0,$S$7=0),0,IF((AE69+$L$7+$N$7)&gt;$S$7/HU_alpha+$K$7,0.5*$S$7/HU_alpha,IF((AE69+$L$7+$N$7)&gt;=$K$7,((AE69+$L$7+$N$7)-$K$7)-0.5*HU_alpha/$S$7*((AE69+$L$7+$N$7)-$K$7)^2,IF((AE69+$L$7+$N$7)&gt;=$T$7,HU_beta*((AE69+$L$7+$N$7)-$K$7),HU_beta*($T$7-$K$7)))))</f>
        <v/>
      </c>
      <c r="AM69" s="29">
        <f>IF(OR(AJ69=0,$S$7=0),0,IF((AE69+$K$7)&gt;$S$7/HU_alpha+$K$7,0.5*$S$7/HU_alpha,IF((AE69+$K$7)&gt;=$K$7,((AE69+$K$7)-$K$7)-0.5*HU_alpha/$S$7*((AE69+$K$7)-$K$7)^2,IF((AE69+$K$7)&gt;=$T$7,HU_beta*((AE69+$K$7)-$K$7),HU_beta*($T$7-$K$7)))))</f>
        <v/>
      </c>
      <c r="AN69" s="63">
        <f>IF(AND($J$8,A69&gt;=1,A69&lt;=$Q$8-1),J69,0)</f>
        <v/>
      </c>
      <c r="AO69" s="29">
        <f>IF(OR(AN69=0,$S$8=0),0,IF((AE69+$L$8)&gt;$S$8/HU_alpha+$K$8,0.5*$S$8/HU_alpha,IF((AE69+$L$8)&gt;=$K$8,((AE69+$L$8)-$K$8)-0.5*HU_alpha/$S$8*((AE69+$L$8)-$K$8)^2,IF((AE69+$L$8)&gt;=$T$8,HU_beta*((AE69+$L$8)-$K$8),HU_beta*($T$8-$K$8)))))</f>
        <v/>
      </c>
      <c r="AP69" s="29">
        <f>IF(OR(AN69=0,$S$8=0),0,IF((AE69+$L$8+$N$8)&gt;$S$8/HU_alpha+$K$8,0.5*$S$8/HU_alpha,IF((AE69+$L$8+$N$8)&gt;=$K$8,((AE69+$L$8+$N$8)-$K$8)-0.5*HU_alpha/$S$8*((AE69+$L$8+$N$8)-$K$8)^2,IF((AE69+$L$8+$N$8)&gt;=$T$8,HU_beta*((AE69+$L$8+$N$8)-$K$8),HU_beta*($T$8-$K$8)))))</f>
        <v/>
      </c>
      <c r="AQ69" s="29">
        <f>IF(OR(AN69=0,$S$8=0),0,IF((AE69+$K$8)&gt;$S$8/HU_alpha+$K$8,0.5*$S$8/HU_alpha,IF((AE69+$K$8)&gt;=$K$8,((AE69+$K$8)-$K$8)-0.5*HU_alpha/$S$8*((AE69+$K$8)-$K$8)^2,IF((AE69+$K$8)&gt;=$T$8,HU_beta*((AE69+$K$8)-$K$8),HU_beta*($T$8-$K$8)))))</f>
        <v/>
      </c>
      <c r="AR69" s="63">
        <f>IF(AND($J$9,A69&gt;=1,A69&lt;=$Q$9-1),J69,0)</f>
        <v/>
      </c>
      <c r="AS69" s="29">
        <f>IF(OR(AR69=0,$S$9=0),0,IF((AE69+$L$9)&gt;$S$9/HU_alpha+$K$9,0.5*$S$9/HU_alpha,IF((AE69+$L$9)&gt;=$K$9,((AE69+$L$9)-$K$9)-0.5*HU_alpha/$S$9*((AE69+$L$9)-$K$9)^2,IF((AE69+$L$9)&gt;=$T$9,HU_beta*((AE69+$L$9)-$K$9),HU_beta*($T$9-$K$9)))))</f>
        <v/>
      </c>
      <c r="AT69" s="29">
        <f>IF(OR(AR69=0,$S$9=0),0,IF((AE69+$L$9+$N$9)&gt;$S$9/HU_alpha+$K$9,0.5*$S$9/HU_alpha,IF((AE69+$L$9+$N$9)&gt;=$K$9,((AE69+$L$9+$N$9)-$K$9)-0.5*HU_alpha/$S$9*((AE69+$L$9+$N$9)-$K$9)^2,IF((AE69+$L$9+$N$9)&gt;=$T$9,HU_beta*((AE69+$L$9+$N$9)-$K$9),HU_beta*($T$9-$K$9)))))</f>
        <v/>
      </c>
      <c r="AU69" s="29">
        <f>IF(OR(AR69=0,$S$9=0),0,IF((AE69+$K$9)&gt;$S$9/HU_alpha+$K$9,0.5*$S$9/HU_alpha,IF((AE69+$K$9)&gt;=$K$9,((AE69+$K$9)-$K$9)-0.5*HU_alpha/$S$9*((AE69+$K$9)-$K$9)^2,IF((AE69+$K$9)&gt;=$T$9,HU_beta*((AE69+$K$9)-$K$9),HU_beta*($T$9-$K$9)))))</f>
        <v/>
      </c>
      <c r="AV69" s="63">
        <f>IF(AND($J$10,A69=$Q$10),J69,0)</f>
        <v/>
      </c>
      <c r="AW69" s="29">
        <f>IF(OR(AV69=0,$S$10=0),0,IF((AD69+$L$10)&gt;$S$10/HU_alpha+$K$10,0.5*$S$10/HU_alpha,IF((AD69+$L$10)&gt;=$K$10,((AD69+$L$10)-$K$10)-0.5*HU_alpha/$S$10*((AD69+$L$10)-$K$10)^2,IF((AD69+$L$10)&gt;=$T$10,HU_beta*((AD69+$L$10)-$K$10),HU_beta*($T$10-$K$10)))))</f>
        <v/>
      </c>
      <c r="AX69" s="29">
        <f>IF(OR(AV69=0,$S$10=0),0,IF((AD69+$L$10+$N$10)&gt;$S$10/HU_alpha+$K$10,0.5*$S$10/HU_alpha,IF((AD69+$L$10+$N$10)&gt;=$K$10,((AD69+$L$10+$N$10)-$K$10)-0.5*HU_alpha/$S$10*((AD69+$L$10+$N$10)-$K$10)^2,IF((AD69+$L$10+$N$10)&gt;=$T$10,HU_beta*((AD69+$L$10+$N$10)-$K$10),HU_beta*($T$10-$K$10)))))</f>
        <v/>
      </c>
      <c r="AY69" s="29">
        <f>IF(OR(AV69=0,$S$10=0),0,IF((AD69+$K$10)&gt;$S$10/HU_alpha+$K$10,0.5*$S$10/HU_alpha,IF((AD69+$K$10)&gt;=$K$10,((AD69+$K$10)-$K$10)-0.5*HU_alpha/$S$10*((AD69+$K$10)-$K$10)^2,IF((AD69+$K$10)&gt;=$T$10,HU_beta*((AD69+$K$10)-$K$10),HU_beta*($T$10-$K$10)))))</f>
        <v/>
      </c>
      <c r="AZ69" s="63">
        <f>IF(AND($J$11,A69=$Q$11),J69,0)</f>
        <v/>
      </c>
      <c r="BA69" s="29">
        <f>IF(OR(AZ69=0,$S$11=0),0,IF((AE69+$L$11)&gt;$S$11/HU_alpha+$K$11,0.5*$S$11/HU_alpha,IF((AE69+$L$11)&gt;=$K$11,((AE69+$L$11)-$K$11)-0.5*HU_alpha/$S$11*((AE69+$L$11)-$K$11)^2,IF((AE69+$L$11)&gt;=$T$11,HU_beta*((AE69+$L$11)-$K$11),HU_beta*($T$11-$K$11)))))</f>
        <v/>
      </c>
      <c r="BB69" s="29">
        <f>IF(OR(AZ69=0,$S$11=0),0,IF((AE69+$L$11+$N$11)&gt;$S$11/HU_alpha+$K$11,0.5*$S$11/HU_alpha,IF((AE69+$L$11+$N$11)&gt;=$K$11,((AE69+$L$11+$N$11)-$K$11)-0.5*HU_alpha/$S$11*((AE69+$L$11+$N$11)-$K$11)^2,IF((AE69+$L$11+$N$11)&gt;=$T$11,HU_beta*((AE69+$L$11+$N$11)-$K$11),HU_beta*($T$11-$K$11)))))</f>
        <v/>
      </c>
      <c r="BC69" s="29">
        <f>IF(OR(AZ69=0,$S$11=0),0,IF((AE69+$K$11)&gt;$S$11/HU_alpha+$K$11,0.5*$S$11/HU_alpha,IF((AE69+$K$11)&gt;=$K$11,((AE69+$K$11)-$K$11)-0.5*HU_alpha/$S$11*((AE69+$K$11)-$K$11)^2,IF((AE69+$K$11)&gt;=$T$11,HU_beta*((AE69+$K$11)-$K$11),HU_beta*($T$11-$K$11)))))</f>
        <v/>
      </c>
      <c r="BD69" s="63">
        <f>IF(AND($J$12,A69=$Q$12),J69,0)</f>
        <v/>
      </c>
      <c r="BE69" s="29">
        <f>IF(OR(BD69=0,$S$12=0),0,IF((AE69+$L$12)&gt;$S$12/HU_alpha+$K$12,0.5*$S$12/HU_alpha,IF((AE69+$L$12)&gt;=$K$12,((AE69+$L$12)-$K$12)-0.5*HU_alpha/$S$12*((AE69+$L$12)-$K$12)^2,IF((AE69+$L$12)&gt;=$T$12,HU_beta*((AE69+$L$12)-$K$12),HU_beta*($T$12-$K$12)))))</f>
        <v/>
      </c>
      <c r="BF69" s="29">
        <f>IF(OR(BD69=0,$S$12=0),0,IF((AE69+$L$12+$N$12)&gt;$S$12/HU_alpha+$K$12,0.5*$S$12/HU_alpha,IF((AE69+$L$12+$N$12)&gt;=$K$12,((AE69+$L$12+$N$12)-$K$12)-0.5*HU_alpha/$S$12*((AE69+$L$12+$N$12)-$K$12)^2,IF((AE69+$L$12+$N$12)&gt;=$T$12,HU_beta*((AE69+$L$12+$N$12)-$K$12),HU_beta*($T$12-$K$12)))))</f>
        <v/>
      </c>
      <c r="BG69" s="29">
        <f>IF(OR(BD69=0,$S$12=0),0,IF((AE69+$K$12)&gt;$S$12/HU_alpha+$K$12,0.5*$S$12/HU_alpha,IF((AE69+$K$12)&gt;=$K$12,((AE69+$K$12)-$K$12)-0.5*HU_alpha/$S$12*((AE69+$K$12)-$K$12)^2,IF((AE69+$K$12)&gt;=$T$12,HU_beta*((AE69+$K$12)-$K$12),HU_beta*($T$12-$K$12)))))</f>
        <v/>
      </c>
      <c r="BH69" s="63">
        <f>IF(AND($J$13,A69=$Q$13),J69,0)</f>
        <v/>
      </c>
      <c r="BI69" s="29">
        <f>IF(OR(BH69=0,$S$13=0),0,IF((AE69+$L$13)&gt;$S$13/HU_alpha+$K$13,0.5*$S$13/HU_alpha,IF((AE69+$L$13)&gt;=$K$13,((AE69+$L$13)-$K$13)-0.5*HU_alpha/$S$13*((AE69+$L$13)-$K$13)^2,IF((AE69+$L$13)&gt;=$T$13,HU_beta*((AE69+$L$13)-$K$13),HU_beta*($T$13-$K$13)))))</f>
        <v/>
      </c>
      <c r="BJ69" s="29">
        <f>IF(OR(BH69=0,$S$13=0),0,IF((AE69+$L$13+$N$13)&gt;$S$13/HU_alpha+$K$13,0.5*$S$13/HU_alpha,IF((AE69+$L$13+$N$13)&gt;=$K$13,((AE69+$L$13+$N$13)-$K$13)-0.5*HU_alpha/$S$13*((AE69+$L$13+$N$13)-$K$13)^2,IF((AE69+$L$13+$N$13)&gt;=$T$13,HU_beta*((AE69+$L$13+$N$13)-$K$13),HU_beta*($T$13-$K$13)))))</f>
        <v/>
      </c>
      <c r="BK69" s="29">
        <f>IF(OR(BH69=0,$S$13=0),0,IF((AE69+$K$13)&gt;$S$13/HU_alpha+$K$13,0.5*$S$13/HU_alpha,IF((AE69+$K$13)&gt;=$K$13,((AE69+$K$13)-$K$13)-0.5*HU_alpha/$S$13*((AE69+$K$13)-$K$13)^2,IF((AE69+$K$13)&gt;=$T$13,HU_beta*((AE69+$K$13)-$K$13),HU_beta*($T$13-$K$13)))))</f>
        <v/>
      </c>
    </row>
    <row r="70">
      <c r="A70" s="61" t="n">
        <v>2</v>
      </c>
      <c r="B70" s="61">
        <f>HU_age+A70</f>
        <v/>
      </c>
      <c r="C70" s="52">
        <f>A70&lt;=HU_T</f>
        <v/>
      </c>
      <c r="D70" s="63">
        <f>IF(OR(A70&lt;1,A70&gt;HU_T),0,INDEX(HU_q_mort,HU_age+A70-17,HU_col))</f>
        <v/>
      </c>
      <c r="E70" s="63">
        <f>IF(OR(A70&lt;1,A70&gt;HU_T),0,INDEX(HU_q_adb,HU_age+A70-17,HU_col))</f>
        <v/>
      </c>
      <c r="F70" s="63">
        <f>IF(OR(A70&lt;1,A70&gt;HU_T),0,INDEX(HU_q_morb,HU_age+A70-17,HU_col))</f>
        <v/>
      </c>
      <c r="G70" s="63">
        <f>IF(OR(A70&lt;1,A70&gt;HU_T),0,INDEX(HU_q_ptd,HU_age+A70-17,HU_col))</f>
        <v/>
      </c>
      <c r="H70" s="63">
        <f>IF(OR(A70&lt;1,A70&gt;HU_T),0,INDEX(HU_q_dis,HU_age+A70-17,HU_col))</f>
        <v/>
      </c>
      <c r="I70" s="63">
        <f>IF(A70&gt;HU_T,0,I69*(1-D70)*(1-E70))</f>
        <v/>
      </c>
      <c r="J70" s="63">
        <f>IF(A70&gt;=HU_T,0,N(I71))</f>
        <v/>
      </c>
      <c r="K70" s="63">
        <f>K69*(1-G70)</f>
        <v/>
      </c>
      <c r="L70" s="63">
        <f>1-K70</f>
        <v/>
      </c>
      <c r="M70" s="63">
        <f>K69*G70</f>
        <v/>
      </c>
      <c r="N70" s="63">
        <f>N69*(1-H70)</f>
        <v/>
      </c>
      <c r="O70" s="63">
        <f>1-N69</f>
        <v/>
      </c>
      <c r="P70" s="63">
        <f>P69*(1-F70)</f>
        <v/>
      </c>
      <c r="Q70" s="63">
        <f>1-P69/INDEX($P$68:$P$150,MAX(1,A70-HU_ciYears))</f>
        <v/>
      </c>
      <c r="R70" s="60">
        <f>(1+inflationRate)^A70</f>
        <v/>
      </c>
      <c r="S70" s="29">
        <f>IF(OR(OR(A70&lt;1,A70&gt;HU_T),A70-1&gt;=HU_dtr),0,HU_inc0*(1+incomeGrowthRate)^A70)</f>
        <v/>
      </c>
      <c r="T70" s="60">
        <f>IF(A70&gt;HU_T,T69,T69*(1+INDEX(HU_ssG,HU_age+A70-17)))</f>
        <v/>
      </c>
      <c r="U70" s="29">
        <f>IF(AND(HU_dtr&gt;=1,A70=HU_dtr,A70&lt;=HU_T),MIN(S70*INDEX(HU_ssC,HU_age+A70-17)/(1-INDEX(HU_ssC,HU_age+A70-17)),INDEX(HU_ssCap,HU_age+A70-17))*T70,0)</f>
        <v/>
      </c>
      <c r="V70" s="29">
        <f>S70+U70+IF(AND(HU_wdOn,A70=HU_wdYear),HU_wdIncome,0)</f>
        <v/>
      </c>
      <c r="W70" s="60">
        <f>HU_ciProp*Q70+HU_tpdCut*L70+HU_disCut*O70</f>
        <v/>
      </c>
      <c r="X70" s="29">
        <f>IF(OR(A70&lt;1,A70&gt;HU_T),0,V70*(1-W70))</f>
        <v/>
      </c>
      <c r="Y70" s="29">
        <f>IF(OR(A70&lt;1,A70&gt;HU_T),0,IF(AND(HU_retExp&gt;0,A70-1&gt;=HU_dtr),HU_retExp,HU_exp0)*R70)</f>
        <v/>
      </c>
      <c r="Z70" s="29">
        <f>-Y70-IF(AND(HU_wdOn,A70=HU_wdYear),HU_wdOut,0)</f>
        <v/>
      </c>
      <c r="AA70" s="29">
        <f>IF(OR(A70&lt;1,A70&gt;HU_T),0,-HU_medCost*R70*F70-HU_tpdCost*R70*M70)</f>
        <v/>
      </c>
      <c r="AB70" s="29">
        <f>IF(A70&gt;HU_T,0,AB69*(1+interestRate)+X70+Z70+AA70)</f>
        <v/>
      </c>
      <c r="AC70" s="29">
        <f>IF(A70&gt;HU_T,0,HU_inv*EXP(HU_mu*A70))</f>
        <v/>
      </c>
      <c r="AD70" s="29">
        <f>IF(A70&gt;HU_T,0,MAX(0,AC70+AB70))</f>
        <v/>
      </c>
      <c r="AE70" s="29">
        <f>IF(A70&gt;HU_T,0,MAX(0,X70-Y70))</f>
        <v/>
      </c>
      <c r="AF70" s="63">
        <f>IF(AND($J$6,A70&gt;=1,A70&lt;=$Q$6-1),J70,0)</f>
        <v/>
      </c>
      <c r="AG70" s="29">
        <f>IF(OR(AF70=0,$S$6=0),0,IF((AD70+$L$6)&gt;$S$6/HU_alpha+$K$6,0.5*$S$6/HU_alpha,IF((AD70+$L$6)&gt;=$K$6,((AD70+$L$6)-$K$6)-0.5*HU_alpha/$S$6*((AD70+$L$6)-$K$6)^2,IF((AD70+$L$6)&gt;=$T$6,HU_beta*((AD70+$L$6)-$K$6),HU_beta*($T$6-$K$6)))))</f>
        <v/>
      </c>
      <c r="AH70" s="29">
        <f>IF(OR(AF70=0,$S$6=0),0,IF((AD70+$L$6+$N$6)&gt;$S$6/HU_alpha+$K$6,0.5*$S$6/HU_alpha,IF((AD70+$L$6+$N$6)&gt;=$K$6,((AD70+$L$6+$N$6)-$K$6)-0.5*HU_alpha/$S$6*((AD70+$L$6+$N$6)-$K$6)^2,IF((AD70+$L$6+$N$6)&gt;=$T$6,HU_beta*((AD70+$L$6+$N$6)-$K$6),HU_beta*($T$6-$K$6)))))</f>
        <v/>
      </c>
      <c r="AI70" s="29">
        <f>IF(OR(AF70=0,$S$6=0),0,IF((AD70+$K$6)&gt;$S$6/HU_alpha+$K$6,0.5*$S$6/HU_alpha,IF((AD70+$K$6)&gt;=$K$6,((AD70+$K$6)-$K$6)-0.5*HU_alpha/$S$6*((AD70+$K$6)-$K$6)^2,IF((AD70+$K$6)&gt;=$T$6,HU_beta*((AD70+$K$6)-$K$6),HU_beta*($T$6-$K$6)))))</f>
        <v/>
      </c>
      <c r="AJ70" s="63">
        <f>IF(AND($J$7,A70&gt;=1,A70&lt;=$Q$7-1),J70,0)</f>
        <v/>
      </c>
      <c r="AK70" s="29">
        <f>IF(OR(AJ70=0,$S$7=0),0,IF((AE70+$L$7)&gt;$S$7/HU_alpha+$K$7,0.5*$S$7/HU_alpha,IF((AE70+$L$7)&gt;=$K$7,((AE70+$L$7)-$K$7)-0.5*HU_alpha/$S$7*((AE70+$L$7)-$K$7)^2,IF((AE70+$L$7)&gt;=$T$7,HU_beta*((AE70+$L$7)-$K$7),HU_beta*($T$7-$K$7)))))</f>
        <v/>
      </c>
      <c r="AL70" s="29">
        <f>IF(OR(AJ70=0,$S$7=0),0,IF((AE70+$L$7+$N$7)&gt;$S$7/HU_alpha+$K$7,0.5*$S$7/HU_alpha,IF((AE70+$L$7+$N$7)&gt;=$K$7,((AE70+$L$7+$N$7)-$K$7)-0.5*HU_alpha/$S$7*((AE70+$L$7+$N$7)-$K$7)^2,IF((AE70+$L$7+$N$7)&gt;=$T$7,HU_beta*((AE70+$L$7+$N$7)-$K$7),HU_beta*($T$7-$K$7)))))</f>
        <v/>
      </c>
      <c r="AM70" s="29">
        <f>IF(OR(AJ70=0,$S$7=0),0,IF((AE70+$K$7)&gt;$S$7/HU_alpha+$K$7,0.5*$S$7/HU_alpha,IF((AE70+$K$7)&gt;=$K$7,((AE70+$K$7)-$K$7)-0.5*HU_alpha/$S$7*((AE70+$K$7)-$K$7)^2,IF((AE70+$K$7)&gt;=$T$7,HU_beta*((AE70+$K$7)-$K$7),HU_beta*($T$7-$K$7)))))</f>
        <v/>
      </c>
      <c r="AN70" s="63">
        <f>IF(AND($J$8,A70&gt;=1,A70&lt;=$Q$8-1),J70,0)</f>
        <v/>
      </c>
      <c r="AO70" s="29">
        <f>IF(OR(AN70=0,$S$8=0),0,IF((AE70+$L$8)&gt;$S$8/HU_alpha+$K$8,0.5*$S$8/HU_alpha,IF((AE70+$L$8)&gt;=$K$8,((AE70+$L$8)-$K$8)-0.5*HU_alpha/$S$8*((AE70+$L$8)-$K$8)^2,IF((AE70+$L$8)&gt;=$T$8,HU_beta*((AE70+$L$8)-$K$8),HU_beta*($T$8-$K$8)))))</f>
        <v/>
      </c>
      <c r="AP70" s="29">
        <f>IF(OR(AN70=0,$S$8=0),0,IF((AE70+$L$8+$N$8)&gt;$S$8/HU_alpha+$K$8,0.5*$S$8/HU_alpha,IF((AE70+$L$8+$N$8)&gt;=$K$8,((AE70+$L$8+$N$8)-$K$8)-0.5*HU_alpha/$S$8*((AE70+$L$8+$N$8)-$K$8)^2,IF((AE70+$L$8+$N$8)&gt;=$T$8,HU_beta*((AE70+$L$8+$N$8)-$K$8),HU_beta*($T$8-$K$8)))))</f>
        <v/>
      </c>
      <c r="AQ70" s="29">
        <f>IF(OR(AN70=0,$S$8=0),0,IF((AE70+$K$8)&gt;$S$8/HU_alpha+$K$8,0.5*$S$8/HU_alpha,IF((AE70+$K$8)&gt;=$K$8,((AE70+$K$8)-$K$8)-0.5*HU_alpha/$S$8*((AE70+$K$8)-$K$8)^2,IF((AE70+$K$8)&gt;=$T$8,HU_beta*((AE70+$K$8)-$K$8),HU_beta*($T$8-$K$8)))))</f>
        <v/>
      </c>
      <c r="AR70" s="63">
        <f>IF(AND($J$9,A70&gt;=1,A70&lt;=$Q$9-1),J70,0)</f>
        <v/>
      </c>
      <c r="AS70" s="29">
        <f>IF(OR(AR70=0,$S$9=0),0,IF((AE70+$L$9)&gt;$S$9/HU_alpha+$K$9,0.5*$S$9/HU_alpha,IF((AE70+$L$9)&gt;=$K$9,((AE70+$L$9)-$K$9)-0.5*HU_alpha/$S$9*((AE70+$L$9)-$K$9)^2,IF((AE70+$L$9)&gt;=$T$9,HU_beta*((AE70+$L$9)-$K$9),HU_beta*($T$9-$K$9)))))</f>
        <v/>
      </c>
      <c r="AT70" s="29">
        <f>IF(OR(AR70=0,$S$9=0),0,IF((AE70+$L$9+$N$9)&gt;$S$9/HU_alpha+$K$9,0.5*$S$9/HU_alpha,IF((AE70+$L$9+$N$9)&gt;=$K$9,((AE70+$L$9+$N$9)-$K$9)-0.5*HU_alpha/$S$9*((AE70+$L$9+$N$9)-$K$9)^2,IF((AE70+$L$9+$N$9)&gt;=$T$9,HU_beta*((AE70+$L$9+$N$9)-$K$9),HU_beta*($T$9-$K$9)))))</f>
        <v/>
      </c>
      <c r="AU70" s="29">
        <f>IF(OR(AR70=0,$S$9=0),0,IF((AE70+$K$9)&gt;$S$9/HU_alpha+$K$9,0.5*$S$9/HU_alpha,IF((AE70+$K$9)&gt;=$K$9,((AE70+$K$9)-$K$9)-0.5*HU_alpha/$S$9*((AE70+$K$9)-$K$9)^2,IF((AE70+$K$9)&gt;=$T$9,HU_beta*((AE70+$K$9)-$K$9),HU_beta*($T$9-$K$9)))))</f>
        <v/>
      </c>
      <c r="AV70" s="63">
        <f>IF(AND($J$10,A70=$Q$10),J70,0)</f>
        <v/>
      </c>
      <c r="AW70" s="29">
        <f>IF(OR(AV70=0,$S$10=0),0,IF((AD70+$L$10)&gt;$S$10/HU_alpha+$K$10,0.5*$S$10/HU_alpha,IF((AD70+$L$10)&gt;=$K$10,((AD70+$L$10)-$K$10)-0.5*HU_alpha/$S$10*((AD70+$L$10)-$K$10)^2,IF((AD70+$L$10)&gt;=$T$10,HU_beta*((AD70+$L$10)-$K$10),HU_beta*($T$10-$K$10)))))</f>
        <v/>
      </c>
      <c r="AX70" s="29">
        <f>IF(OR(AV70=0,$S$10=0),0,IF((AD70+$L$10+$N$10)&gt;$S$10/HU_alpha+$K$10,0.5*$S$10/HU_alpha,IF((AD70+$L$10+$N$10)&gt;=$K$10,((AD70+$L$10+$N$10)-$K$10)-0.5*HU_alpha/$S$10*((AD70+$L$10+$N$10)-$K$10)^2,IF((AD70+$L$10+$N$10)&gt;=$T$10,HU_beta*((AD70+$L$10+$N$10)-$K$10),HU_beta*($T$10-$K$10)))))</f>
        <v/>
      </c>
      <c r="AY70" s="29">
        <f>IF(OR(AV70=0,$S$10=0),0,IF((AD70+$K$10)&gt;$S$10/HU_alpha+$K$10,0.5*$S$10/HU_alpha,IF((AD70+$K$10)&gt;=$K$10,((AD70+$K$10)-$K$10)-0.5*HU_alpha/$S$10*((AD70+$K$10)-$K$10)^2,IF((AD70+$K$10)&gt;=$T$10,HU_beta*((AD70+$K$10)-$K$10),HU_beta*($T$10-$K$10)))))</f>
        <v/>
      </c>
      <c r="AZ70" s="63">
        <f>IF(AND($J$11,A70=$Q$11),J70,0)</f>
        <v/>
      </c>
      <c r="BA70" s="29">
        <f>IF(OR(AZ70=0,$S$11=0),0,IF((AE70+$L$11)&gt;$S$11/HU_alpha+$K$11,0.5*$S$11/HU_alpha,IF((AE70+$L$11)&gt;=$K$11,((AE70+$L$11)-$K$11)-0.5*HU_alpha/$S$11*((AE70+$L$11)-$K$11)^2,IF((AE70+$L$11)&gt;=$T$11,HU_beta*((AE70+$L$11)-$K$11),HU_beta*($T$11-$K$11)))))</f>
        <v/>
      </c>
      <c r="BB70" s="29">
        <f>IF(OR(AZ70=0,$S$11=0),0,IF((AE70+$L$11+$N$11)&gt;$S$11/HU_alpha+$K$11,0.5*$S$11/HU_alpha,IF((AE70+$L$11+$N$11)&gt;=$K$11,((AE70+$L$11+$N$11)-$K$11)-0.5*HU_alpha/$S$11*((AE70+$L$11+$N$11)-$K$11)^2,IF((AE70+$L$11+$N$11)&gt;=$T$11,HU_beta*((AE70+$L$11+$N$11)-$K$11),HU_beta*($T$11-$K$11)))))</f>
        <v/>
      </c>
      <c r="BC70" s="29">
        <f>IF(OR(AZ70=0,$S$11=0),0,IF((AE70+$K$11)&gt;$S$11/HU_alpha+$K$11,0.5*$S$11/HU_alpha,IF((AE70+$K$11)&gt;=$K$11,((AE70+$K$11)-$K$11)-0.5*HU_alpha/$S$11*((AE70+$K$11)-$K$11)^2,IF((AE70+$K$11)&gt;=$T$11,HU_beta*((AE70+$K$11)-$K$11),HU_beta*($T$11-$K$11)))))</f>
        <v/>
      </c>
      <c r="BD70" s="63">
        <f>IF(AND($J$12,A70=$Q$12),J70,0)</f>
        <v/>
      </c>
      <c r="BE70" s="29">
        <f>IF(OR(BD70=0,$S$12=0),0,IF((AE70+$L$12)&gt;$S$12/HU_alpha+$K$12,0.5*$S$12/HU_alpha,IF((AE70+$L$12)&gt;=$K$12,((AE70+$L$12)-$K$12)-0.5*HU_alpha/$S$12*((AE70+$L$12)-$K$12)^2,IF((AE70+$L$12)&gt;=$T$12,HU_beta*((AE70+$L$12)-$K$12),HU_beta*($T$12-$K$12)))))</f>
        <v/>
      </c>
      <c r="BF70" s="29">
        <f>IF(OR(BD70=0,$S$12=0),0,IF((AE70+$L$12+$N$12)&gt;$S$12/HU_alpha+$K$12,0.5*$S$12/HU_alpha,IF((AE70+$L$12+$N$12)&gt;=$K$12,((AE70+$L$12+$N$12)-$K$12)-0.5*HU_alpha/$S$12*((AE70+$L$12+$N$12)-$K$12)^2,IF((AE70+$L$12+$N$12)&gt;=$T$12,HU_beta*((AE70+$L$12+$N$12)-$K$12),HU_beta*($T$12-$K$12)))))</f>
        <v/>
      </c>
      <c r="BG70" s="29">
        <f>IF(OR(BD70=0,$S$12=0),0,IF((AE70+$K$12)&gt;$S$12/HU_alpha+$K$12,0.5*$S$12/HU_alpha,IF((AE70+$K$12)&gt;=$K$12,((AE70+$K$12)-$K$12)-0.5*HU_alpha/$S$12*((AE70+$K$12)-$K$12)^2,IF((AE70+$K$12)&gt;=$T$12,HU_beta*((AE70+$K$12)-$K$12),HU_beta*($T$12-$K$12)))))</f>
        <v/>
      </c>
      <c r="BH70" s="63">
        <f>IF(AND($J$13,A70=$Q$13),J70,0)</f>
        <v/>
      </c>
      <c r="BI70" s="29">
        <f>IF(OR(BH70=0,$S$13=0),0,IF((AE70+$L$13)&gt;$S$13/HU_alpha+$K$13,0.5*$S$13/HU_alpha,IF((AE70+$L$13)&gt;=$K$13,((AE70+$L$13)-$K$13)-0.5*HU_alpha/$S$13*((AE70+$L$13)-$K$13)^2,IF((AE70+$L$13)&gt;=$T$13,HU_beta*((AE70+$L$13)-$K$13),HU_beta*($T$13-$K$13)))))</f>
        <v/>
      </c>
      <c r="BJ70" s="29">
        <f>IF(OR(BH70=0,$S$13=0),0,IF((AE70+$L$13+$N$13)&gt;$S$13/HU_alpha+$K$13,0.5*$S$13/HU_alpha,IF((AE70+$L$13+$N$13)&gt;=$K$13,((AE70+$L$13+$N$13)-$K$13)-0.5*HU_alpha/$S$13*((AE70+$L$13+$N$13)-$K$13)^2,IF((AE70+$L$13+$N$13)&gt;=$T$13,HU_beta*((AE70+$L$13+$N$13)-$K$13),HU_beta*($T$13-$K$13)))))</f>
        <v/>
      </c>
      <c r="BK70" s="29">
        <f>IF(OR(BH70=0,$S$13=0),0,IF((AE70+$K$13)&gt;$S$13/HU_alpha+$K$13,0.5*$S$13/HU_alpha,IF((AE70+$K$13)&gt;=$K$13,((AE70+$K$13)-$K$13)-0.5*HU_alpha/$S$13*((AE70+$K$13)-$K$13)^2,IF((AE70+$K$13)&gt;=$T$13,HU_beta*((AE70+$K$13)-$K$13),HU_beta*($T$13-$K$13)))))</f>
        <v/>
      </c>
    </row>
    <row r="71">
      <c r="A71" s="61" t="n">
        <v>3</v>
      </c>
      <c r="B71" s="61">
        <f>HU_age+A71</f>
        <v/>
      </c>
      <c r="C71" s="52">
        <f>A71&lt;=HU_T</f>
        <v/>
      </c>
      <c r="D71" s="63">
        <f>IF(OR(A71&lt;1,A71&gt;HU_T),0,INDEX(HU_q_mort,HU_age+A71-17,HU_col))</f>
        <v/>
      </c>
      <c r="E71" s="63">
        <f>IF(OR(A71&lt;1,A71&gt;HU_T),0,INDEX(HU_q_adb,HU_age+A71-17,HU_col))</f>
        <v/>
      </c>
      <c r="F71" s="63">
        <f>IF(OR(A71&lt;1,A71&gt;HU_T),0,INDEX(HU_q_morb,HU_age+A71-17,HU_col))</f>
        <v/>
      </c>
      <c r="G71" s="63">
        <f>IF(OR(A71&lt;1,A71&gt;HU_T),0,INDEX(HU_q_ptd,HU_age+A71-17,HU_col))</f>
        <v/>
      </c>
      <c r="H71" s="63">
        <f>IF(OR(A71&lt;1,A71&gt;HU_T),0,INDEX(HU_q_dis,HU_age+A71-17,HU_col))</f>
        <v/>
      </c>
      <c r="I71" s="63">
        <f>IF(A71&gt;HU_T,0,I70*(1-D71)*(1-E71))</f>
        <v/>
      </c>
      <c r="J71" s="63">
        <f>IF(A71&gt;=HU_T,0,N(I72))</f>
        <v/>
      </c>
      <c r="K71" s="63">
        <f>K70*(1-G71)</f>
        <v/>
      </c>
      <c r="L71" s="63">
        <f>1-K71</f>
        <v/>
      </c>
      <c r="M71" s="63">
        <f>K70*G71</f>
        <v/>
      </c>
      <c r="N71" s="63">
        <f>N70*(1-H71)</f>
        <v/>
      </c>
      <c r="O71" s="63">
        <f>1-N70</f>
        <v/>
      </c>
      <c r="P71" s="63">
        <f>P70*(1-F71)</f>
        <v/>
      </c>
      <c r="Q71" s="63">
        <f>1-P70/INDEX($P$68:$P$150,MAX(1,A71-HU_ciYears))</f>
        <v/>
      </c>
      <c r="R71" s="60">
        <f>(1+inflationRate)^A71</f>
        <v/>
      </c>
      <c r="S71" s="29">
        <f>IF(OR(OR(A71&lt;1,A71&gt;HU_T),A71-1&gt;=HU_dtr),0,HU_inc0*(1+incomeGrowthRate)^A71)</f>
        <v/>
      </c>
      <c r="T71" s="60">
        <f>IF(A71&gt;HU_T,T70,T70*(1+INDEX(HU_ssG,HU_age+A71-17)))</f>
        <v/>
      </c>
      <c r="U71" s="29">
        <f>IF(AND(HU_dtr&gt;=1,A71=HU_dtr,A71&lt;=HU_T),MIN(S71*INDEX(HU_ssC,HU_age+A71-17)/(1-INDEX(HU_ssC,HU_age+A71-17)),INDEX(HU_ssCap,HU_age+A71-17))*T71,0)</f>
        <v/>
      </c>
      <c r="V71" s="29">
        <f>S71+U71+IF(AND(HU_wdOn,A71=HU_wdYear),HU_wdIncome,0)</f>
        <v/>
      </c>
      <c r="W71" s="60">
        <f>HU_ciProp*Q71+HU_tpdCut*L71+HU_disCut*O71</f>
        <v/>
      </c>
      <c r="X71" s="29">
        <f>IF(OR(A71&lt;1,A71&gt;HU_T),0,V71*(1-W71))</f>
        <v/>
      </c>
      <c r="Y71" s="29">
        <f>IF(OR(A71&lt;1,A71&gt;HU_T),0,IF(AND(HU_retExp&gt;0,A71-1&gt;=HU_dtr),HU_retExp,HU_exp0)*R71)</f>
        <v/>
      </c>
      <c r="Z71" s="29">
        <f>-Y71-IF(AND(HU_wdOn,A71=HU_wdYear),HU_wdOut,0)</f>
        <v/>
      </c>
      <c r="AA71" s="29">
        <f>IF(OR(A71&lt;1,A71&gt;HU_T),0,-HU_medCost*R71*F71-HU_tpdCost*R71*M71)</f>
        <v/>
      </c>
      <c r="AB71" s="29">
        <f>IF(A71&gt;HU_T,0,AB70*(1+interestRate)+X71+Z71+AA71)</f>
        <v/>
      </c>
      <c r="AC71" s="29">
        <f>IF(A71&gt;HU_T,0,HU_inv*EXP(HU_mu*A71))</f>
        <v/>
      </c>
      <c r="AD71" s="29">
        <f>IF(A71&gt;HU_T,0,MAX(0,AC71+AB71))</f>
        <v/>
      </c>
      <c r="AE71" s="29">
        <f>IF(A71&gt;HU_T,0,MAX(0,X71-Y71))</f>
        <v/>
      </c>
      <c r="AF71" s="63">
        <f>IF(AND($J$6,A71&gt;=1,A71&lt;=$Q$6-1),J71,0)</f>
        <v/>
      </c>
      <c r="AG71" s="29">
        <f>IF(OR(AF71=0,$S$6=0),0,IF((AD71+$L$6)&gt;$S$6/HU_alpha+$K$6,0.5*$S$6/HU_alpha,IF((AD71+$L$6)&gt;=$K$6,((AD71+$L$6)-$K$6)-0.5*HU_alpha/$S$6*((AD71+$L$6)-$K$6)^2,IF((AD71+$L$6)&gt;=$T$6,HU_beta*((AD71+$L$6)-$K$6),HU_beta*($T$6-$K$6)))))</f>
        <v/>
      </c>
      <c r="AH71" s="29">
        <f>IF(OR(AF71=0,$S$6=0),0,IF((AD71+$L$6+$N$6)&gt;$S$6/HU_alpha+$K$6,0.5*$S$6/HU_alpha,IF((AD71+$L$6+$N$6)&gt;=$K$6,((AD71+$L$6+$N$6)-$K$6)-0.5*HU_alpha/$S$6*((AD71+$L$6+$N$6)-$K$6)^2,IF((AD71+$L$6+$N$6)&gt;=$T$6,HU_beta*((AD71+$L$6+$N$6)-$K$6),HU_beta*($T$6-$K$6)))))</f>
        <v/>
      </c>
      <c r="AI71" s="29">
        <f>IF(OR(AF71=0,$S$6=0),0,IF((AD71+$K$6)&gt;$S$6/HU_alpha+$K$6,0.5*$S$6/HU_alpha,IF((AD71+$K$6)&gt;=$K$6,((AD71+$K$6)-$K$6)-0.5*HU_alpha/$S$6*((AD71+$K$6)-$K$6)^2,IF((AD71+$K$6)&gt;=$T$6,HU_beta*((AD71+$K$6)-$K$6),HU_beta*($T$6-$K$6)))))</f>
        <v/>
      </c>
      <c r="AJ71" s="63">
        <f>IF(AND($J$7,A71&gt;=1,A71&lt;=$Q$7-1),J71,0)</f>
        <v/>
      </c>
      <c r="AK71" s="29">
        <f>IF(OR(AJ71=0,$S$7=0),0,IF((AE71+$L$7)&gt;$S$7/HU_alpha+$K$7,0.5*$S$7/HU_alpha,IF((AE71+$L$7)&gt;=$K$7,((AE71+$L$7)-$K$7)-0.5*HU_alpha/$S$7*((AE71+$L$7)-$K$7)^2,IF((AE71+$L$7)&gt;=$T$7,HU_beta*((AE71+$L$7)-$K$7),HU_beta*($T$7-$K$7)))))</f>
        <v/>
      </c>
      <c r="AL71" s="29">
        <f>IF(OR(AJ71=0,$S$7=0),0,IF((AE71+$L$7+$N$7)&gt;$S$7/HU_alpha+$K$7,0.5*$S$7/HU_alpha,IF((AE71+$L$7+$N$7)&gt;=$K$7,((AE71+$L$7+$N$7)-$K$7)-0.5*HU_alpha/$S$7*((AE71+$L$7+$N$7)-$K$7)^2,IF((AE71+$L$7+$N$7)&gt;=$T$7,HU_beta*((AE71+$L$7+$N$7)-$K$7),HU_beta*($T$7-$K$7)))))</f>
        <v/>
      </c>
      <c r="AM71" s="29">
        <f>IF(OR(AJ71=0,$S$7=0),0,IF((AE71+$K$7)&gt;$S$7/HU_alpha+$K$7,0.5*$S$7/HU_alpha,IF((AE71+$K$7)&gt;=$K$7,((AE71+$K$7)-$K$7)-0.5*HU_alpha/$S$7*((AE71+$K$7)-$K$7)^2,IF((AE71+$K$7)&gt;=$T$7,HU_beta*((AE71+$K$7)-$K$7),HU_beta*($T$7-$K$7)))))</f>
        <v/>
      </c>
      <c r="AN71" s="63">
        <f>IF(AND($J$8,A71&gt;=1,A71&lt;=$Q$8-1),J71,0)</f>
        <v/>
      </c>
      <c r="AO71" s="29">
        <f>IF(OR(AN71=0,$S$8=0),0,IF((AE71+$L$8)&gt;$S$8/HU_alpha+$K$8,0.5*$S$8/HU_alpha,IF((AE71+$L$8)&gt;=$K$8,((AE71+$L$8)-$K$8)-0.5*HU_alpha/$S$8*((AE71+$L$8)-$K$8)^2,IF((AE71+$L$8)&gt;=$T$8,HU_beta*((AE71+$L$8)-$K$8),HU_beta*($T$8-$K$8)))))</f>
        <v/>
      </c>
      <c r="AP71" s="29">
        <f>IF(OR(AN71=0,$S$8=0),0,IF((AE71+$L$8+$N$8)&gt;$S$8/HU_alpha+$K$8,0.5*$S$8/HU_alpha,IF((AE71+$L$8+$N$8)&gt;=$K$8,((AE71+$L$8+$N$8)-$K$8)-0.5*HU_alpha/$S$8*((AE71+$L$8+$N$8)-$K$8)^2,IF((AE71+$L$8+$N$8)&gt;=$T$8,HU_beta*((AE71+$L$8+$N$8)-$K$8),HU_beta*($T$8-$K$8)))))</f>
        <v/>
      </c>
      <c r="AQ71" s="29">
        <f>IF(OR(AN71=0,$S$8=0),0,IF((AE71+$K$8)&gt;$S$8/HU_alpha+$K$8,0.5*$S$8/HU_alpha,IF((AE71+$K$8)&gt;=$K$8,((AE71+$K$8)-$K$8)-0.5*HU_alpha/$S$8*((AE71+$K$8)-$K$8)^2,IF((AE71+$K$8)&gt;=$T$8,HU_beta*((AE71+$K$8)-$K$8),HU_beta*($T$8-$K$8)))))</f>
        <v/>
      </c>
      <c r="AR71" s="63">
        <f>IF(AND($J$9,A71&gt;=1,A71&lt;=$Q$9-1),J71,0)</f>
        <v/>
      </c>
      <c r="AS71" s="29">
        <f>IF(OR(AR71=0,$S$9=0),0,IF((AE71+$L$9)&gt;$S$9/HU_alpha+$K$9,0.5*$S$9/HU_alpha,IF((AE71+$L$9)&gt;=$K$9,((AE71+$L$9)-$K$9)-0.5*HU_alpha/$S$9*((AE71+$L$9)-$K$9)^2,IF((AE71+$L$9)&gt;=$T$9,HU_beta*((AE71+$L$9)-$K$9),HU_beta*($T$9-$K$9)))))</f>
        <v/>
      </c>
      <c r="AT71" s="29">
        <f>IF(OR(AR71=0,$S$9=0),0,IF((AE71+$L$9+$N$9)&gt;$S$9/HU_alpha+$K$9,0.5*$S$9/HU_alpha,IF((AE71+$L$9+$N$9)&gt;=$K$9,((AE71+$L$9+$N$9)-$K$9)-0.5*HU_alpha/$S$9*((AE71+$L$9+$N$9)-$K$9)^2,IF((AE71+$L$9+$N$9)&gt;=$T$9,HU_beta*((AE71+$L$9+$N$9)-$K$9),HU_beta*($T$9-$K$9)))))</f>
        <v/>
      </c>
      <c r="AU71" s="29">
        <f>IF(OR(AR71=0,$S$9=0),0,IF((AE71+$K$9)&gt;$S$9/HU_alpha+$K$9,0.5*$S$9/HU_alpha,IF((AE71+$K$9)&gt;=$K$9,((AE71+$K$9)-$K$9)-0.5*HU_alpha/$S$9*((AE71+$K$9)-$K$9)^2,IF((AE71+$K$9)&gt;=$T$9,HU_beta*((AE71+$K$9)-$K$9),HU_beta*($T$9-$K$9)))))</f>
        <v/>
      </c>
      <c r="AV71" s="63">
        <f>IF(AND($J$10,A71=$Q$10),J71,0)</f>
        <v/>
      </c>
      <c r="AW71" s="29">
        <f>IF(OR(AV71=0,$S$10=0),0,IF((AD71+$L$10)&gt;$S$10/HU_alpha+$K$10,0.5*$S$10/HU_alpha,IF((AD71+$L$10)&gt;=$K$10,((AD71+$L$10)-$K$10)-0.5*HU_alpha/$S$10*((AD71+$L$10)-$K$10)^2,IF((AD71+$L$10)&gt;=$T$10,HU_beta*((AD71+$L$10)-$K$10),HU_beta*($T$10-$K$10)))))</f>
        <v/>
      </c>
      <c r="AX71" s="29">
        <f>IF(OR(AV71=0,$S$10=0),0,IF((AD71+$L$10+$N$10)&gt;$S$10/HU_alpha+$K$10,0.5*$S$10/HU_alpha,IF((AD71+$L$10+$N$10)&gt;=$K$10,((AD71+$L$10+$N$10)-$K$10)-0.5*HU_alpha/$S$10*((AD71+$L$10+$N$10)-$K$10)^2,IF((AD71+$L$10+$N$10)&gt;=$T$10,HU_beta*((AD71+$L$10+$N$10)-$K$10),HU_beta*($T$10-$K$10)))))</f>
        <v/>
      </c>
      <c r="AY71" s="29">
        <f>IF(OR(AV71=0,$S$10=0),0,IF((AD71+$K$10)&gt;$S$10/HU_alpha+$K$10,0.5*$S$10/HU_alpha,IF((AD71+$K$10)&gt;=$K$10,((AD71+$K$10)-$K$10)-0.5*HU_alpha/$S$10*((AD71+$K$10)-$K$10)^2,IF((AD71+$K$10)&gt;=$T$10,HU_beta*((AD71+$K$10)-$K$10),HU_beta*($T$10-$K$10)))))</f>
        <v/>
      </c>
      <c r="AZ71" s="63">
        <f>IF(AND($J$11,A71=$Q$11),J71,0)</f>
        <v/>
      </c>
      <c r="BA71" s="29">
        <f>IF(OR(AZ71=0,$S$11=0),0,IF((AE71+$L$11)&gt;$S$11/HU_alpha+$K$11,0.5*$S$11/HU_alpha,IF((AE71+$L$11)&gt;=$K$11,((AE71+$L$11)-$K$11)-0.5*HU_alpha/$S$11*((AE71+$L$11)-$K$11)^2,IF((AE71+$L$11)&gt;=$T$11,HU_beta*((AE71+$L$11)-$K$11),HU_beta*($T$11-$K$11)))))</f>
        <v/>
      </c>
      <c r="BB71" s="29">
        <f>IF(OR(AZ71=0,$S$11=0),0,IF((AE71+$L$11+$N$11)&gt;$S$11/HU_alpha+$K$11,0.5*$S$11/HU_alpha,IF((AE71+$L$11+$N$11)&gt;=$K$11,((AE71+$L$11+$N$11)-$K$11)-0.5*HU_alpha/$S$11*((AE71+$L$11+$N$11)-$K$11)^2,IF((AE71+$L$11+$N$11)&gt;=$T$11,HU_beta*((AE71+$L$11+$N$11)-$K$11),HU_beta*($T$11-$K$11)))))</f>
        <v/>
      </c>
      <c r="BC71" s="29">
        <f>IF(OR(AZ71=0,$S$11=0),0,IF((AE71+$K$11)&gt;$S$11/HU_alpha+$K$11,0.5*$S$11/HU_alpha,IF((AE71+$K$11)&gt;=$K$11,((AE71+$K$11)-$K$11)-0.5*HU_alpha/$S$11*((AE71+$K$11)-$K$11)^2,IF((AE71+$K$11)&gt;=$T$11,HU_beta*((AE71+$K$11)-$K$11),HU_beta*($T$11-$K$11)))))</f>
        <v/>
      </c>
      <c r="BD71" s="63">
        <f>IF(AND($J$12,A71=$Q$12),J71,0)</f>
        <v/>
      </c>
      <c r="BE71" s="29">
        <f>IF(OR(BD71=0,$S$12=0),0,IF((AE71+$L$12)&gt;$S$12/HU_alpha+$K$12,0.5*$S$12/HU_alpha,IF((AE71+$L$12)&gt;=$K$12,((AE71+$L$12)-$K$12)-0.5*HU_alpha/$S$12*((AE71+$L$12)-$K$12)^2,IF((AE71+$L$12)&gt;=$T$12,HU_beta*((AE71+$L$12)-$K$12),HU_beta*($T$12-$K$12)))))</f>
        <v/>
      </c>
      <c r="BF71" s="29">
        <f>IF(OR(BD71=0,$S$12=0),0,IF((AE71+$L$12+$N$12)&gt;$S$12/HU_alpha+$K$12,0.5*$S$12/HU_alpha,IF((AE71+$L$12+$N$12)&gt;=$K$12,((AE71+$L$12+$N$12)-$K$12)-0.5*HU_alpha/$S$12*((AE71+$L$12+$N$12)-$K$12)^2,IF((AE71+$L$12+$N$12)&gt;=$T$12,HU_beta*((AE71+$L$12+$N$12)-$K$12),HU_beta*($T$12-$K$12)))))</f>
        <v/>
      </c>
      <c r="BG71" s="29">
        <f>IF(OR(BD71=0,$S$12=0),0,IF((AE71+$K$12)&gt;$S$12/HU_alpha+$K$12,0.5*$S$12/HU_alpha,IF((AE71+$K$12)&gt;=$K$12,((AE71+$K$12)-$K$12)-0.5*HU_alpha/$S$12*((AE71+$K$12)-$K$12)^2,IF((AE71+$K$12)&gt;=$T$12,HU_beta*((AE71+$K$12)-$K$12),HU_beta*($T$12-$K$12)))))</f>
        <v/>
      </c>
      <c r="BH71" s="63">
        <f>IF(AND($J$13,A71=$Q$13),J71,0)</f>
        <v/>
      </c>
      <c r="BI71" s="29">
        <f>IF(OR(BH71=0,$S$13=0),0,IF((AE71+$L$13)&gt;$S$13/HU_alpha+$K$13,0.5*$S$13/HU_alpha,IF((AE71+$L$13)&gt;=$K$13,((AE71+$L$13)-$K$13)-0.5*HU_alpha/$S$13*((AE71+$L$13)-$K$13)^2,IF((AE71+$L$13)&gt;=$T$13,HU_beta*((AE71+$L$13)-$K$13),HU_beta*($T$13-$K$13)))))</f>
        <v/>
      </c>
      <c r="BJ71" s="29">
        <f>IF(OR(BH71=0,$S$13=0),0,IF((AE71+$L$13+$N$13)&gt;$S$13/HU_alpha+$K$13,0.5*$S$13/HU_alpha,IF((AE71+$L$13+$N$13)&gt;=$K$13,((AE71+$L$13+$N$13)-$K$13)-0.5*HU_alpha/$S$13*((AE71+$L$13+$N$13)-$K$13)^2,IF((AE71+$L$13+$N$13)&gt;=$T$13,HU_beta*((AE71+$L$13+$N$13)-$K$13),HU_beta*($T$13-$K$13)))))</f>
        <v/>
      </c>
      <c r="BK71" s="29">
        <f>IF(OR(BH71=0,$S$13=0),0,IF((AE71+$K$13)&gt;$S$13/HU_alpha+$K$13,0.5*$S$13/HU_alpha,IF((AE71+$K$13)&gt;=$K$13,((AE71+$K$13)-$K$13)-0.5*HU_alpha/$S$13*((AE71+$K$13)-$K$13)^2,IF((AE71+$K$13)&gt;=$T$13,HU_beta*((AE71+$K$13)-$K$13),HU_beta*($T$13-$K$13)))))</f>
        <v/>
      </c>
    </row>
    <row r="72">
      <c r="A72" s="61" t="n">
        <v>4</v>
      </c>
      <c r="B72" s="61">
        <f>HU_age+A72</f>
        <v/>
      </c>
      <c r="C72" s="52">
        <f>A72&lt;=HU_T</f>
        <v/>
      </c>
      <c r="D72" s="63">
        <f>IF(OR(A72&lt;1,A72&gt;HU_T),0,INDEX(HU_q_mort,HU_age+A72-17,HU_col))</f>
        <v/>
      </c>
      <c r="E72" s="63">
        <f>IF(OR(A72&lt;1,A72&gt;HU_T),0,INDEX(HU_q_adb,HU_age+A72-17,HU_col))</f>
        <v/>
      </c>
      <c r="F72" s="63">
        <f>IF(OR(A72&lt;1,A72&gt;HU_T),0,INDEX(HU_q_morb,HU_age+A72-17,HU_col))</f>
        <v/>
      </c>
      <c r="G72" s="63">
        <f>IF(OR(A72&lt;1,A72&gt;HU_T),0,INDEX(HU_q_ptd,HU_age+A72-17,HU_col))</f>
        <v/>
      </c>
      <c r="H72" s="63">
        <f>IF(OR(A72&lt;1,A72&gt;HU_T),0,INDEX(HU_q_dis,HU_age+A72-17,HU_col))</f>
        <v/>
      </c>
      <c r="I72" s="63">
        <f>IF(A72&gt;HU_T,0,I71*(1-D72)*(1-E72))</f>
        <v/>
      </c>
      <c r="J72" s="63">
        <f>IF(A72&gt;=HU_T,0,N(I73))</f>
        <v/>
      </c>
      <c r="K72" s="63">
        <f>K71*(1-G72)</f>
        <v/>
      </c>
      <c r="L72" s="63">
        <f>1-K72</f>
        <v/>
      </c>
      <c r="M72" s="63">
        <f>K71*G72</f>
        <v/>
      </c>
      <c r="N72" s="63">
        <f>N71*(1-H72)</f>
        <v/>
      </c>
      <c r="O72" s="63">
        <f>1-N71</f>
        <v/>
      </c>
      <c r="P72" s="63">
        <f>P71*(1-F72)</f>
        <v/>
      </c>
      <c r="Q72" s="63">
        <f>1-P71/INDEX($P$68:$P$150,MAX(1,A72-HU_ciYears))</f>
        <v/>
      </c>
      <c r="R72" s="60">
        <f>(1+inflationRate)^A72</f>
        <v/>
      </c>
      <c r="S72" s="29">
        <f>IF(OR(OR(A72&lt;1,A72&gt;HU_T),A72-1&gt;=HU_dtr),0,HU_inc0*(1+incomeGrowthRate)^A72)</f>
        <v/>
      </c>
      <c r="T72" s="60">
        <f>IF(A72&gt;HU_T,T71,T71*(1+INDEX(HU_ssG,HU_age+A72-17)))</f>
        <v/>
      </c>
      <c r="U72" s="29">
        <f>IF(AND(HU_dtr&gt;=1,A72=HU_dtr,A72&lt;=HU_T),MIN(S72*INDEX(HU_ssC,HU_age+A72-17)/(1-INDEX(HU_ssC,HU_age+A72-17)),INDEX(HU_ssCap,HU_age+A72-17))*T72,0)</f>
        <v/>
      </c>
      <c r="V72" s="29">
        <f>S72+U72+IF(AND(HU_wdOn,A72=HU_wdYear),HU_wdIncome,0)</f>
        <v/>
      </c>
      <c r="W72" s="60">
        <f>HU_ciProp*Q72+HU_tpdCut*L72+HU_disCut*O72</f>
        <v/>
      </c>
      <c r="X72" s="29">
        <f>IF(OR(A72&lt;1,A72&gt;HU_T),0,V72*(1-W72))</f>
        <v/>
      </c>
      <c r="Y72" s="29">
        <f>IF(OR(A72&lt;1,A72&gt;HU_T),0,IF(AND(HU_retExp&gt;0,A72-1&gt;=HU_dtr),HU_retExp,HU_exp0)*R72)</f>
        <v/>
      </c>
      <c r="Z72" s="29">
        <f>-Y72-IF(AND(HU_wdOn,A72=HU_wdYear),HU_wdOut,0)</f>
        <v/>
      </c>
      <c r="AA72" s="29">
        <f>IF(OR(A72&lt;1,A72&gt;HU_T),0,-HU_medCost*R72*F72-HU_tpdCost*R72*M72)</f>
        <v/>
      </c>
      <c r="AB72" s="29">
        <f>IF(A72&gt;HU_T,0,AB71*(1+interestRate)+X72+Z72+AA72)</f>
        <v/>
      </c>
      <c r="AC72" s="29">
        <f>IF(A72&gt;HU_T,0,HU_inv*EXP(HU_mu*A72))</f>
        <v/>
      </c>
      <c r="AD72" s="29">
        <f>IF(A72&gt;HU_T,0,MAX(0,AC72+AB72))</f>
        <v/>
      </c>
      <c r="AE72" s="29">
        <f>IF(A72&gt;HU_T,0,MAX(0,X72-Y72))</f>
        <v/>
      </c>
      <c r="AF72" s="63">
        <f>IF(AND($J$6,A72&gt;=1,A72&lt;=$Q$6-1),J72,0)</f>
        <v/>
      </c>
      <c r="AG72" s="29">
        <f>IF(OR(AF72=0,$S$6=0),0,IF((AD72+$L$6)&gt;$S$6/HU_alpha+$K$6,0.5*$S$6/HU_alpha,IF((AD72+$L$6)&gt;=$K$6,((AD72+$L$6)-$K$6)-0.5*HU_alpha/$S$6*((AD72+$L$6)-$K$6)^2,IF((AD72+$L$6)&gt;=$T$6,HU_beta*((AD72+$L$6)-$K$6),HU_beta*($T$6-$K$6)))))</f>
        <v/>
      </c>
      <c r="AH72" s="29">
        <f>IF(OR(AF72=0,$S$6=0),0,IF((AD72+$L$6+$N$6)&gt;$S$6/HU_alpha+$K$6,0.5*$S$6/HU_alpha,IF((AD72+$L$6+$N$6)&gt;=$K$6,((AD72+$L$6+$N$6)-$K$6)-0.5*HU_alpha/$S$6*((AD72+$L$6+$N$6)-$K$6)^2,IF((AD72+$L$6+$N$6)&gt;=$T$6,HU_beta*((AD72+$L$6+$N$6)-$K$6),HU_beta*($T$6-$K$6)))))</f>
        <v/>
      </c>
      <c r="AI72" s="29">
        <f>IF(OR(AF72=0,$S$6=0),0,IF((AD72+$K$6)&gt;$S$6/HU_alpha+$K$6,0.5*$S$6/HU_alpha,IF((AD72+$K$6)&gt;=$K$6,((AD72+$K$6)-$K$6)-0.5*HU_alpha/$S$6*((AD72+$K$6)-$K$6)^2,IF((AD72+$K$6)&gt;=$T$6,HU_beta*((AD72+$K$6)-$K$6),HU_beta*($T$6-$K$6)))))</f>
        <v/>
      </c>
      <c r="AJ72" s="63">
        <f>IF(AND($J$7,A72&gt;=1,A72&lt;=$Q$7-1),J72,0)</f>
        <v/>
      </c>
      <c r="AK72" s="29">
        <f>IF(OR(AJ72=0,$S$7=0),0,IF((AE72+$L$7)&gt;$S$7/HU_alpha+$K$7,0.5*$S$7/HU_alpha,IF((AE72+$L$7)&gt;=$K$7,((AE72+$L$7)-$K$7)-0.5*HU_alpha/$S$7*((AE72+$L$7)-$K$7)^2,IF((AE72+$L$7)&gt;=$T$7,HU_beta*((AE72+$L$7)-$K$7),HU_beta*($T$7-$K$7)))))</f>
        <v/>
      </c>
      <c r="AL72" s="29">
        <f>IF(OR(AJ72=0,$S$7=0),0,IF((AE72+$L$7+$N$7)&gt;$S$7/HU_alpha+$K$7,0.5*$S$7/HU_alpha,IF((AE72+$L$7+$N$7)&gt;=$K$7,((AE72+$L$7+$N$7)-$K$7)-0.5*HU_alpha/$S$7*((AE72+$L$7+$N$7)-$K$7)^2,IF((AE72+$L$7+$N$7)&gt;=$T$7,HU_beta*((AE72+$L$7+$N$7)-$K$7),HU_beta*($T$7-$K$7)))))</f>
        <v/>
      </c>
      <c r="AM72" s="29">
        <f>IF(OR(AJ72=0,$S$7=0),0,IF((AE72+$K$7)&gt;$S$7/HU_alpha+$K$7,0.5*$S$7/HU_alpha,IF((AE72+$K$7)&gt;=$K$7,((AE72+$K$7)-$K$7)-0.5*HU_alpha/$S$7*((AE72+$K$7)-$K$7)^2,IF((AE72+$K$7)&gt;=$T$7,HU_beta*((AE72+$K$7)-$K$7),HU_beta*($T$7-$K$7)))))</f>
        <v/>
      </c>
      <c r="AN72" s="63">
        <f>IF(AND($J$8,A72&gt;=1,A72&lt;=$Q$8-1),J72,0)</f>
        <v/>
      </c>
      <c r="AO72" s="29">
        <f>IF(OR(AN72=0,$S$8=0),0,IF((AE72+$L$8)&gt;$S$8/HU_alpha+$K$8,0.5*$S$8/HU_alpha,IF((AE72+$L$8)&gt;=$K$8,((AE72+$L$8)-$K$8)-0.5*HU_alpha/$S$8*((AE72+$L$8)-$K$8)^2,IF((AE72+$L$8)&gt;=$T$8,HU_beta*((AE72+$L$8)-$K$8),HU_beta*($T$8-$K$8)))))</f>
        <v/>
      </c>
      <c r="AP72" s="29">
        <f>IF(OR(AN72=0,$S$8=0),0,IF((AE72+$L$8+$N$8)&gt;$S$8/HU_alpha+$K$8,0.5*$S$8/HU_alpha,IF((AE72+$L$8+$N$8)&gt;=$K$8,((AE72+$L$8+$N$8)-$K$8)-0.5*HU_alpha/$S$8*((AE72+$L$8+$N$8)-$K$8)^2,IF((AE72+$L$8+$N$8)&gt;=$T$8,HU_beta*((AE72+$L$8+$N$8)-$K$8),HU_beta*($T$8-$K$8)))))</f>
        <v/>
      </c>
      <c r="AQ72" s="29">
        <f>IF(OR(AN72=0,$S$8=0),0,IF((AE72+$K$8)&gt;$S$8/HU_alpha+$K$8,0.5*$S$8/HU_alpha,IF((AE72+$K$8)&gt;=$K$8,((AE72+$K$8)-$K$8)-0.5*HU_alpha/$S$8*((AE72+$K$8)-$K$8)^2,IF((AE72+$K$8)&gt;=$T$8,HU_beta*((AE72+$K$8)-$K$8),HU_beta*($T$8-$K$8)))))</f>
        <v/>
      </c>
      <c r="AR72" s="63">
        <f>IF(AND($J$9,A72&gt;=1,A72&lt;=$Q$9-1),J72,0)</f>
        <v/>
      </c>
      <c r="AS72" s="29">
        <f>IF(OR(AR72=0,$S$9=0),0,IF((AE72+$L$9)&gt;$S$9/HU_alpha+$K$9,0.5*$S$9/HU_alpha,IF((AE72+$L$9)&gt;=$K$9,((AE72+$L$9)-$K$9)-0.5*HU_alpha/$S$9*((AE72+$L$9)-$K$9)^2,IF((AE72+$L$9)&gt;=$T$9,HU_beta*((AE72+$L$9)-$K$9),HU_beta*($T$9-$K$9)))))</f>
        <v/>
      </c>
      <c r="AT72" s="29">
        <f>IF(OR(AR72=0,$S$9=0),0,IF((AE72+$L$9+$N$9)&gt;$S$9/HU_alpha+$K$9,0.5*$S$9/HU_alpha,IF((AE72+$L$9+$N$9)&gt;=$K$9,((AE72+$L$9+$N$9)-$K$9)-0.5*HU_alpha/$S$9*((AE72+$L$9+$N$9)-$K$9)^2,IF((AE72+$L$9+$N$9)&gt;=$T$9,HU_beta*((AE72+$L$9+$N$9)-$K$9),HU_beta*($T$9-$K$9)))))</f>
        <v/>
      </c>
      <c r="AU72" s="29">
        <f>IF(OR(AR72=0,$S$9=0),0,IF((AE72+$K$9)&gt;$S$9/HU_alpha+$K$9,0.5*$S$9/HU_alpha,IF((AE72+$K$9)&gt;=$K$9,((AE72+$K$9)-$K$9)-0.5*HU_alpha/$S$9*((AE72+$K$9)-$K$9)^2,IF((AE72+$K$9)&gt;=$T$9,HU_beta*((AE72+$K$9)-$K$9),HU_beta*($T$9-$K$9)))))</f>
        <v/>
      </c>
      <c r="AV72" s="63">
        <f>IF(AND($J$10,A72=$Q$10),J72,0)</f>
        <v/>
      </c>
      <c r="AW72" s="29">
        <f>IF(OR(AV72=0,$S$10=0),0,IF((AD72+$L$10)&gt;$S$10/HU_alpha+$K$10,0.5*$S$10/HU_alpha,IF((AD72+$L$10)&gt;=$K$10,((AD72+$L$10)-$K$10)-0.5*HU_alpha/$S$10*((AD72+$L$10)-$K$10)^2,IF((AD72+$L$10)&gt;=$T$10,HU_beta*((AD72+$L$10)-$K$10),HU_beta*($T$10-$K$10)))))</f>
        <v/>
      </c>
      <c r="AX72" s="29">
        <f>IF(OR(AV72=0,$S$10=0),0,IF((AD72+$L$10+$N$10)&gt;$S$10/HU_alpha+$K$10,0.5*$S$10/HU_alpha,IF((AD72+$L$10+$N$10)&gt;=$K$10,((AD72+$L$10+$N$10)-$K$10)-0.5*HU_alpha/$S$10*((AD72+$L$10+$N$10)-$K$10)^2,IF((AD72+$L$10+$N$10)&gt;=$T$10,HU_beta*((AD72+$L$10+$N$10)-$K$10),HU_beta*($T$10-$K$10)))))</f>
        <v/>
      </c>
      <c r="AY72" s="29">
        <f>IF(OR(AV72=0,$S$10=0),0,IF((AD72+$K$10)&gt;$S$10/HU_alpha+$K$10,0.5*$S$10/HU_alpha,IF((AD72+$K$10)&gt;=$K$10,((AD72+$K$10)-$K$10)-0.5*HU_alpha/$S$10*((AD72+$K$10)-$K$10)^2,IF((AD72+$K$10)&gt;=$T$10,HU_beta*((AD72+$K$10)-$K$10),HU_beta*($T$10-$K$10)))))</f>
        <v/>
      </c>
      <c r="AZ72" s="63">
        <f>IF(AND($J$11,A72=$Q$11),J72,0)</f>
        <v/>
      </c>
      <c r="BA72" s="29">
        <f>IF(OR(AZ72=0,$S$11=0),0,IF((AE72+$L$11)&gt;$S$11/HU_alpha+$K$11,0.5*$S$11/HU_alpha,IF((AE72+$L$11)&gt;=$K$11,((AE72+$L$11)-$K$11)-0.5*HU_alpha/$S$11*((AE72+$L$11)-$K$11)^2,IF((AE72+$L$11)&gt;=$T$11,HU_beta*((AE72+$L$11)-$K$11),HU_beta*($T$11-$K$11)))))</f>
        <v/>
      </c>
      <c r="BB72" s="29">
        <f>IF(OR(AZ72=0,$S$11=0),0,IF((AE72+$L$11+$N$11)&gt;$S$11/HU_alpha+$K$11,0.5*$S$11/HU_alpha,IF((AE72+$L$11+$N$11)&gt;=$K$11,((AE72+$L$11+$N$11)-$K$11)-0.5*HU_alpha/$S$11*((AE72+$L$11+$N$11)-$K$11)^2,IF((AE72+$L$11+$N$11)&gt;=$T$11,HU_beta*((AE72+$L$11+$N$11)-$K$11),HU_beta*($T$11-$K$11)))))</f>
        <v/>
      </c>
      <c r="BC72" s="29">
        <f>IF(OR(AZ72=0,$S$11=0),0,IF((AE72+$K$11)&gt;$S$11/HU_alpha+$K$11,0.5*$S$11/HU_alpha,IF((AE72+$K$11)&gt;=$K$11,((AE72+$K$11)-$K$11)-0.5*HU_alpha/$S$11*((AE72+$K$11)-$K$11)^2,IF((AE72+$K$11)&gt;=$T$11,HU_beta*((AE72+$K$11)-$K$11),HU_beta*($T$11-$K$11)))))</f>
        <v/>
      </c>
      <c r="BD72" s="63">
        <f>IF(AND($J$12,A72=$Q$12),J72,0)</f>
        <v/>
      </c>
      <c r="BE72" s="29">
        <f>IF(OR(BD72=0,$S$12=0),0,IF((AE72+$L$12)&gt;$S$12/HU_alpha+$K$12,0.5*$S$12/HU_alpha,IF((AE72+$L$12)&gt;=$K$12,((AE72+$L$12)-$K$12)-0.5*HU_alpha/$S$12*((AE72+$L$12)-$K$12)^2,IF((AE72+$L$12)&gt;=$T$12,HU_beta*((AE72+$L$12)-$K$12),HU_beta*($T$12-$K$12)))))</f>
        <v/>
      </c>
      <c r="BF72" s="29">
        <f>IF(OR(BD72=0,$S$12=0),0,IF((AE72+$L$12+$N$12)&gt;$S$12/HU_alpha+$K$12,0.5*$S$12/HU_alpha,IF((AE72+$L$12+$N$12)&gt;=$K$12,((AE72+$L$12+$N$12)-$K$12)-0.5*HU_alpha/$S$12*((AE72+$L$12+$N$12)-$K$12)^2,IF((AE72+$L$12+$N$12)&gt;=$T$12,HU_beta*((AE72+$L$12+$N$12)-$K$12),HU_beta*($T$12-$K$12)))))</f>
        <v/>
      </c>
      <c r="BG72" s="29">
        <f>IF(OR(BD72=0,$S$12=0),0,IF((AE72+$K$12)&gt;$S$12/HU_alpha+$K$12,0.5*$S$12/HU_alpha,IF((AE72+$K$12)&gt;=$K$12,((AE72+$K$12)-$K$12)-0.5*HU_alpha/$S$12*((AE72+$K$12)-$K$12)^2,IF((AE72+$K$12)&gt;=$T$12,HU_beta*((AE72+$K$12)-$K$12),HU_beta*($T$12-$K$12)))))</f>
        <v/>
      </c>
      <c r="BH72" s="63">
        <f>IF(AND($J$13,A72=$Q$13),J72,0)</f>
        <v/>
      </c>
      <c r="BI72" s="29">
        <f>IF(OR(BH72=0,$S$13=0),0,IF((AE72+$L$13)&gt;$S$13/HU_alpha+$K$13,0.5*$S$13/HU_alpha,IF((AE72+$L$13)&gt;=$K$13,((AE72+$L$13)-$K$13)-0.5*HU_alpha/$S$13*((AE72+$L$13)-$K$13)^2,IF((AE72+$L$13)&gt;=$T$13,HU_beta*((AE72+$L$13)-$K$13),HU_beta*($T$13-$K$13)))))</f>
        <v/>
      </c>
      <c r="BJ72" s="29">
        <f>IF(OR(BH72=0,$S$13=0),0,IF((AE72+$L$13+$N$13)&gt;$S$13/HU_alpha+$K$13,0.5*$S$13/HU_alpha,IF((AE72+$L$13+$N$13)&gt;=$K$13,((AE72+$L$13+$N$13)-$K$13)-0.5*HU_alpha/$S$13*((AE72+$L$13+$N$13)-$K$13)^2,IF((AE72+$L$13+$N$13)&gt;=$T$13,HU_beta*((AE72+$L$13+$N$13)-$K$13),HU_beta*($T$13-$K$13)))))</f>
        <v/>
      </c>
      <c r="BK72" s="29">
        <f>IF(OR(BH72=0,$S$13=0),0,IF((AE72+$K$13)&gt;$S$13/HU_alpha+$K$13,0.5*$S$13/HU_alpha,IF((AE72+$K$13)&gt;=$K$13,((AE72+$K$13)-$K$13)-0.5*HU_alpha/$S$13*((AE72+$K$13)-$K$13)^2,IF((AE72+$K$13)&gt;=$T$13,HU_beta*((AE72+$K$13)-$K$13),HU_beta*($T$13-$K$13)))))</f>
        <v/>
      </c>
    </row>
    <row r="73">
      <c r="A73" s="61" t="n">
        <v>5</v>
      </c>
      <c r="B73" s="61">
        <f>HU_age+A73</f>
        <v/>
      </c>
      <c r="C73" s="52">
        <f>A73&lt;=HU_T</f>
        <v/>
      </c>
      <c r="D73" s="63">
        <f>IF(OR(A73&lt;1,A73&gt;HU_T),0,INDEX(HU_q_mort,HU_age+A73-17,HU_col))</f>
        <v/>
      </c>
      <c r="E73" s="63">
        <f>IF(OR(A73&lt;1,A73&gt;HU_T),0,INDEX(HU_q_adb,HU_age+A73-17,HU_col))</f>
        <v/>
      </c>
      <c r="F73" s="63">
        <f>IF(OR(A73&lt;1,A73&gt;HU_T),0,INDEX(HU_q_morb,HU_age+A73-17,HU_col))</f>
        <v/>
      </c>
      <c r="G73" s="63">
        <f>IF(OR(A73&lt;1,A73&gt;HU_T),0,INDEX(HU_q_ptd,HU_age+A73-17,HU_col))</f>
        <v/>
      </c>
      <c r="H73" s="63">
        <f>IF(OR(A73&lt;1,A73&gt;HU_T),0,INDEX(HU_q_dis,HU_age+A73-17,HU_col))</f>
        <v/>
      </c>
      <c r="I73" s="63">
        <f>IF(A73&gt;HU_T,0,I72*(1-D73)*(1-E73))</f>
        <v/>
      </c>
      <c r="J73" s="63">
        <f>IF(A73&gt;=HU_T,0,N(I74))</f>
        <v/>
      </c>
      <c r="K73" s="63">
        <f>K72*(1-G73)</f>
        <v/>
      </c>
      <c r="L73" s="63">
        <f>1-K73</f>
        <v/>
      </c>
      <c r="M73" s="63">
        <f>K72*G73</f>
        <v/>
      </c>
      <c r="N73" s="63">
        <f>N72*(1-H73)</f>
        <v/>
      </c>
      <c r="O73" s="63">
        <f>1-N72</f>
        <v/>
      </c>
      <c r="P73" s="63">
        <f>P72*(1-F73)</f>
        <v/>
      </c>
      <c r="Q73" s="63">
        <f>1-P72/INDEX($P$68:$P$150,MAX(1,A73-HU_ciYears))</f>
        <v/>
      </c>
      <c r="R73" s="60">
        <f>(1+inflationRate)^A73</f>
        <v/>
      </c>
      <c r="S73" s="29">
        <f>IF(OR(OR(A73&lt;1,A73&gt;HU_T),A73-1&gt;=HU_dtr),0,HU_inc0*(1+incomeGrowthRate)^A73)</f>
        <v/>
      </c>
      <c r="T73" s="60">
        <f>IF(A73&gt;HU_T,T72,T72*(1+INDEX(HU_ssG,HU_age+A73-17)))</f>
        <v/>
      </c>
      <c r="U73" s="29">
        <f>IF(AND(HU_dtr&gt;=1,A73=HU_dtr,A73&lt;=HU_T),MIN(S73*INDEX(HU_ssC,HU_age+A73-17)/(1-INDEX(HU_ssC,HU_age+A73-17)),INDEX(HU_ssCap,HU_age+A73-17))*T73,0)</f>
        <v/>
      </c>
      <c r="V73" s="29">
        <f>S73+U73+IF(AND(HU_wdOn,A73=HU_wdYear),HU_wdIncome,0)</f>
        <v/>
      </c>
      <c r="W73" s="60">
        <f>HU_ciProp*Q73+HU_tpdCut*L73+HU_disCut*O73</f>
        <v/>
      </c>
      <c r="X73" s="29">
        <f>IF(OR(A73&lt;1,A73&gt;HU_T),0,V73*(1-W73))</f>
        <v/>
      </c>
      <c r="Y73" s="29">
        <f>IF(OR(A73&lt;1,A73&gt;HU_T),0,IF(AND(HU_retExp&gt;0,A73-1&gt;=HU_dtr),HU_retExp,HU_exp0)*R73)</f>
        <v/>
      </c>
      <c r="Z73" s="29">
        <f>-Y73-IF(AND(HU_wdOn,A73=HU_wdYear),HU_wdOut,0)</f>
        <v/>
      </c>
      <c r="AA73" s="29">
        <f>IF(OR(A73&lt;1,A73&gt;HU_T),0,-HU_medCost*R73*F73-HU_tpdCost*R73*M73)</f>
        <v/>
      </c>
      <c r="AB73" s="29">
        <f>IF(A73&gt;HU_T,0,AB72*(1+interestRate)+X73+Z73+AA73)</f>
        <v/>
      </c>
      <c r="AC73" s="29">
        <f>IF(A73&gt;HU_T,0,HU_inv*EXP(HU_mu*A73))</f>
        <v/>
      </c>
      <c r="AD73" s="29">
        <f>IF(A73&gt;HU_T,0,MAX(0,AC73+AB73))</f>
        <v/>
      </c>
      <c r="AE73" s="29">
        <f>IF(A73&gt;HU_T,0,MAX(0,X73-Y73))</f>
        <v/>
      </c>
      <c r="AF73" s="63">
        <f>IF(AND($J$6,A73&gt;=1,A73&lt;=$Q$6-1),J73,0)</f>
        <v/>
      </c>
      <c r="AG73" s="29">
        <f>IF(OR(AF73=0,$S$6=0),0,IF((AD73+$L$6)&gt;$S$6/HU_alpha+$K$6,0.5*$S$6/HU_alpha,IF((AD73+$L$6)&gt;=$K$6,((AD73+$L$6)-$K$6)-0.5*HU_alpha/$S$6*((AD73+$L$6)-$K$6)^2,IF((AD73+$L$6)&gt;=$T$6,HU_beta*((AD73+$L$6)-$K$6),HU_beta*($T$6-$K$6)))))</f>
        <v/>
      </c>
      <c r="AH73" s="29">
        <f>IF(OR(AF73=0,$S$6=0),0,IF((AD73+$L$6+$N$6)&gt;$S$6/HU_alpha+$K$6,0.5*$S$6/HU_alpha,IF((AD73+$L$6+$N$6)&gt;=$K$6,((AD73+$L$6+$N$6)-$K$6)-0.5*HU_alpha/$S$6*((AD73+$L$6+$N$6)-$K$6)^2,IF((AD73+$L$6+$N$6)&gt;=$T$6,HU_beta*((AD73+$L$6+$N$6)-$K$6),HU_beta*($T$6-$K$6)))))</f>
        <v/>
      </c>
      <c r="AI73" s="29">
        <f>IF(OR(AF73=0,$S$6=0),0,IF((AD73+$K$6)&gt;$S$6/HU_alpha+$K$6,0.5*$S$6/HU_alpha,IF((AD73+$K$6)&gt;=$K$6,((AD73+$K$6)-$K$6)-0.5*HU_alpha/$S$6*((AD73+$K$6)-$K$6)^2,IF((AD73+$K$6)&gt;=$T$6,HU_beta*((AD73+$K$6)-$K$6),HU_beta*($T$6-$K$6)))))</f>
        <v/>
      </c>
      <c r="AJ73" s="63">
        <f>IF(AND($J$7,A73&gt;=1,A73&lt;=$Q$7-1),J73,0)</f>
        <v/>
      </c>
      <c r="AK73" s="29">
        <f>IF(OR(AJ73=0,$S$7=0),0,IF((AE73+$L$7)&gt;$S$7/HU_alpha+$K$7,0.5*$S$7/HU_alpha,IF((AE73+$L$7)&gt;=$K$7,((AE73+$L$7)-$K$7)-0.5*HU_alpha/$S$7*((AE73+$L$7)-$K$7)^2,IF((AE73+$L$7)&gt;=$T$7,HU_beta*((AE73+$L$7)-$K$7),HU_beta*($T$7-$K$7)))))</f>
        <v/>
      </c>
      <c r="AL73" s="29">
        <f>IF(OR(AJ73=0,$S$7=0),0,IF((AE73+$L$7+$N$7)&gt;$S$7/HU_alpha+$K$7,0.5*$S$7/HU_alpha,IF((AE73+$L$7+$N$7)&gt;=$K$7,((AE73+$L$7+$N$7)-$K$7)-0.5*HU_alpha/$S$7*((AE73+$L$7+$N$7)-$K$7)^2,IF((AE73+$L$7+$N$7)&gt;=$T$7,HU_beta*((AE73+$L$7+$N$7)-$K$7),HU_beta*($T$7-$K$7)))))</f>
        <v/>
      </c>
      <c r="AM73" s="29">
        <f>IF(OR(AJ73=0,$S$7=0),0,IF((AE73+$K$7)&gt;$S$7/HU_alpha+$K$7,0.5*$S$7/HU_alpha,IF((AE73+$K$7)&gt;=$K$7,((AE73+$K$7)-$K$7)-0.5*HU_alpha/$S$7*((AE73+$K$7)-$K$7)^2,IF((AE73+$K$7)&gt;=$T$7,HU_beta*((AE73+$K$7)-$K$7),HU_beta*($T$7-$K$7)))))</f>
        <v/>
      </c>
      <c r="AN73" s="63">
        <f>IF(AND($J$8,A73&gt;=1,A73&lt;=$Q$8-1),J73,0)</f>
        <v/>
      </c>
      <c r="AO73" s="29">
        <f>IF(OR(AN73=0,$S$8=0),0,IF((AE73+$L$8)&gt;$S$8/HU_alpha+$K$8,0.5*$S$8/HU_alpha,IF((AE73+$L$8)&gt;=$K$8,((AE73+$L$8)-$K$8)-0.5*HU_alpha/$S$8*((AE73+$L$8)-$K$8)^2,IF((AE73+$L$8)&gt;=$T$8,HU_beta*((AE73+$L$8)-$K$8),HU_beta*($T$8-$K$8)))))</f>
        <v/>
      </c>
      <c r="AP73" s="29">
        <f>IF(OR(AN73=0,$S$8=0),0,IF((AE73+$L$8+$N$8)&gt;$S$8/HU_alpha+$K$8,0.5*$S$8/HU_alpha,IF((AE73+$L$8+$N$8)&gt;=$K$8,((AE73+$L$8+$N$8)-$K$8)-0.5*HU_alpha/$S$8*((AE73+$L$8+$N$8)-$K$8)^2,IF((AE73+$L$8+$N$8)&gt;=$T$8,HU_beta*((AE73+$L$8+$N$8)-$K$8),HU_beta*($T$8-$K$8)))))</f>
        <v/>
      </c>
      <c r="AQ73" s="29">
        <f>IF(OR(AN73=0,$S$8=0),0,IF((AE73+$K$8)&gt;$S$8/HU_alpha+$K$8,0.5*$S$8/HU_alpha,IF((AE73+$K$8)&gt;=$K$8,((AE73+$K$8)-$K$8)-0.5*HU_alpha/$S$8*((AE73+$K$8)-$K$8)^2,IF((AE73+$K$8)&gt;=$T$8,HU_beta*((AE73+$K$8)-$K$8),HU_beta*($T$8-$K$8)))))</f>
        <v/>
      </c>
      <c r="AR73" s="63">
        <f>IF(AND($J$9,A73&gt;=1,A73&lt;=$Q$9-1),J73,0)</f>
        <v/>
      </c>
      <c r="AS73" s="29">
        <f>IF(OR(AR73=0,$S$9=0),0,IF((AE73+$L$9)&gt;$S$9/HU_alpha+$K$9,0.5*$S$9/HU_alpha,IF((AE73+$L$9)&gt;=$K$9,((AE73+$L$9)-$K$9)-0.5*HU_alpha/$S$9*((AE73+$L$9)-$K$9)^2,IF((AE73+$L$9)&gt;=$T$9,HU_beta*((AE73+$L$9)-$K$9),HU_beta*($T$9-$K$9)))))</f>
        <v/>
      </c>
      <c r="AT73" s="29">
        <f>IF(OR(AR73=0,$S$9=0),0,IF((AE73+$L$9+$N$9)&gt;$S$9/HU_alpha+$K$9,0.5*$S$9/HU_alpha,IF((AE73+$L$9+$N$9)&gt;=$K$9,((AE73+$L$9+$N$9)-$K$9)-0.5*HU_alpha/$S$9*((AE73+$L$9+$N$9)-$K$9)^2,IF((AE73+$L$9+$N$9)&gt;=$T$9,HU_beta*((AE73+$L$9+$N$9)-$K$9),HU_beta*($T$9-$K$9)))))</f>
        <v/>
      </c>
      <c r="AU73" s="29">
        <f>IF(OR(AR73=0,$S$9=0),0,IF((AE73+$K$9)&gt;$S$9/HU_alpha+$K$9,0.5*$S$9/HU_alpha,IF((AE73+$K$9)&gt;=$K$9,((AE73+$K$9)-$K$9)-0.5*HU_alpha/$S$9*((AE73+$K$9)-$K$9)^2,IF((AE73+$K$9)&gt;=$T$9,HU_beta*((AE73+$K$9)-$K$9),HU_beta*($T$9-$K$9)))))</f>
        <v/>
      </c>
      <c r="AV73" s="63">
        <f>IF(AND($J$10,A73=$Q$10),J73,0)</f>
        <v/>
      </c>
      <c r="AW73" s="29">
        <f>IF(OR(AV73=0,$S$10=0),0,IF((AD73+$L$10)&gt;$S$10/HU_alpha+$K$10,0.5*$S$10/HU_alpha,IF((AD73+$L$10)&gt;=$K$10,((AD73+$L$10)-$K$10)-0.5*HU_alpha/$S$10*((AD73+$L$10)-$K$10)^2,IF((AD73+$L$10)&gt;=$T$10,HU_beta*((AD73+$L$10)-$K$10),HU_beta*($T$10-$K$10)))))</f>
        <v/>
      </c>
      <c r="AX73" s="29">
        <f>IF(OR(AV73=0,$S$10=0),0,IF((AD73+$L$10+$N$10)&gt;$S$10/HU_alpha+$K$10,0.5*$S$10/HU_alpha,IF((AD73+$L$10+$N$10)&gt;=$K$10,((AD73+$L$10+$N$10)-$K$10)-0.5*HU_alpha/$S$10*((AD73+$L$10+$N$10)-$K$10)^2,IF((AD73+$L$10+$N$10)&gt;=$T$10,HU_beta*((AD73+$L$10+$N$10)-$K$10),HU_beta*($T$10-$K$10)))))</f>
        <v/>
      </c>
      <c r="AY73" s="29">
        <f>IF(OR(AV73=0,$S$10=0),0,IF((AD73+$K$10)&gt;$S$10/HU_alpha+$K$10,0.5*$S$10/HU_alpha,IF((AD73+$K$10)&gt;=$K$10,((AD73+$K$10)-$K$10)-0.5*HU_alpha/$S$10*((AD73+$K$10)-$K$10)^2,IF((AD73+$K$10)&gt;=$T$10,HU_beta*((AD73+$K$10)-$K$10),HU_beta*($T$10-$K$10)))))</f>
        <v/>
      </c>
      <c r="AZ73" s="63">
        <f>IF(AND($J$11,A73=$Q$11),J73,0)</f>
        <v/>
      </c>
      <c r="BA73" s="29">
        <f>IF(OR(AZ73=0,$S$11=0),0,IF((AE73+$L$11)&gt;$S$11/HU_alpha+$K$11,0.5*$S$11/HU_alpha,IF((AE73+$L$11)&gt;=$K$11,((AE73+$L$11)-$K$11)-0.5*HU_alpha/$S$11*((AE73+$L$11)-$K$11)^2,IF((AE73+$L$11)&gt;=$T$11,HU_beta*((AE73+$L$11)-$K$11),HU_beta*($T$11-$K$11)))))</f>
        <v/>
      </c>
      <c r="BB73" s="29">
        <f>IF(OR(AZ73=0,$S$11=0),0,IF((AE73+$L$11+$N$11)&gt;$S$11/HU_alpha+$K$11,0.5*$S$11/HU_alpha,IF((AE73+$L$11+$N$11)&gt;=$K$11,((AE73+$L$11+$N$11)-$K$11)-0.5*HU_alpha/$S$11*((AE73+$L$11+$N$11)-$K$11)^2,IF((AE73+$L$11+$N$11)&gt;=$T$11,HU_beta*((AE73+$L$11+$N$11)-$K$11),HU_beta*($T$11-$K$11)))))</f>
        <v/>
      </c>
      <c r="BC73" s="29">
        <f>IF(OR(AZ73=0,$S$11=0),0,IF((AE73+$K$11)&gt;$S$11/HU_alpha+$K$11,0.5*$S$11/HU_alpha,IF((AE73+$K$11)&gt;=$K$11,((AE73+$K$11)-$K$11)-0.5*HU_alpha/$S$11*((AE73+$K$11)-$K$11)^2,IF((AE73+$K$11)&gt;=$T$11,HU_beta*((AE73+$K$11)-$K$11),HU_beta*($T$11-$K$11)))))</f>
        <v/>
      </c>
      <c r="BD73" s="63">
        <f>IF(AND($J$12,A73=$Q$12),J73,0)</f>
        <v/>
      </c>
      <c r="BE73" s="29">
        <f>IF(OR(BD73=0,$S$12=0),0,IF((AE73+$L$12)&gt;$S$12/HU_alpha+$K$12,0.5*$S$12/HU_alpha,IF((AE73+$L$12)&gt;=$K$12,((AE73+$L$12)-$K$12)-0.5*HU_alpha/$S$12*((AE73+$L$12)-$K$12)^2,IF((AE73+$L$12)&gt;=$T$12,HU_beta*((AE73+$L$12)-$K$12),HU_beta*($T$12-$K$12)))))</f>
        <v/>
      </c>
      <c r="BF73" s="29">
        <f>IF(OR(BD73=0,$S$12=0),0,IF((AE73+$L$12+$N$12)&gt;$S$12/HU_alpha+$K$12,0.5*$S$12/HU_alpha,IF((AE73+$L$12+$N$12)&gt;=$K$12,((AE73+$L$12+$N$12)-$K$12)-0.5*HU_alpha/$S$12*((AE73+$L$12+$N$12)-$K$12)^2,IF((AE73+$L$12+$N$12)&gt;=$T$12,HU_beta*((AE73+$L$12+$N$12)-$K$12),HU_beta*($T$12-$K$12)))))</f>
        <v/>
      </c>
      <c r="BG73" s="29">
        <f>IF(OR(BD73=0,$S$12=0),0,IF((AE73+$K$12)&gt;$S$12/HU_alpha+$K$12,0.5*$S$12/HU_alpha,IF((AE73+$K$12)&gt;=$K$12,((AE73+$K$12)-$K$12)-0.5*HU_alpha/$S$12*((AE73+$K$12)-$K$12)^2,IF((AE73+$K$12)&gt;=$T$12,HU_beta*((AE73+$K$12)-$K$12),HU_beta*($T$12-$K$12)))))</f>
        <v/>
      </c>
      <c r="BH73" s="63">
        <f>IF(AND($J$13,A73=$Q$13),J73,0)</f>
        <v/>
      </c>
      <c r="BI73" s="29">
        <f>IF(OR(BH73=0,$S$13=0),0,IF((AE73+$L$13)&gt;$S$13/HU_alpha+$K$13,0.5*$S$13/HU_alpha,IF((AE73+$L$13)&gt;=$K$13,((AE73+$L$13)-$K$13)-0.5*HU_alpha/$S$13*((AE73+$L$13)-$K$13)^2,IF((AE73+$L$13)&gt;=$T$13,HU_beta*((AE73+$L$13)-$K$13),HU_beta*($T$13-$K$13)))))</f>
        <v/>
      </c>
      <c r="BJ73" s="29">
        <f>IF(OR(BH73=0,$S$13=0),0,IF((AE73+$L$13+$N$13)&gt;$S$13/HU_alpha+$K$13,0.5*$S$13/HU_alpha,IF((AE73+$L$13+$N$13)&gt;=$K$13,((AE73+$L$13+$N$13)-$K$13)-0.5*HU_alpha/$S$13*((AE73+$L$13+$N$13)-$K$13)^2,IF((AE73+$L$13+$N$13)&gt;=$T$13,HU_beta*((AE73+$L$13+$N$13)-$K$13),HU_beta*($T$13-$K$13)))))</f>
        <v/>
      </c>
      <c r="BK73" s="29">
        <f>IF(OR(BH73=0,$S$13=0),0,IF((AE73+$K$13)&gt;$S$13/HU_alpha+$K$13,0.5*$S$13/HU_alpha,IF((AE73+$K$13)&gt;=$K$13,((AE73+$K$13)-$K$13)-0.5*HU_alpha/$S$13*((AE73+$K$13)-$K$13)^2,IF((AE73+$K$13)&gt;=$T$13,HU_beta*((AE73+$K$13)-$K$13),HU_beta*($T$13-$K$13)))))</f>
        <v/>
      </c>
    </row>
    <row r="74">
      <c r="A74" s="61" t="n">
        <v>6</v>
      </c>
      <c r="B74" s="61">
        <f>HU_age+A74</f>
        <v/>
      </c>
      <c r="C74" s="52">
        <f>A74&lt;=HU_T</f>
        <v/>
      </c>
      <c r="D74" s="63">
        <f>IF(OR(A74&lt;1,A74&gt;HU_T),0,INDEX(HU_q_mort,HU_age+A74-17,HU_col))</f>
        <v/>
      </c>
      <c r="E74" s="63">
        <f>IF(OR(A74&lt;1,A74&gt;HU_T),0,INDEX(HU_q_adb,HU_age+A74-17,HU_col))</f>
        <v/>
      </c>
      <c r="F74" s="63">
        <f>IF(OR(A74&lt;1,A74&gt;HU_T),0,INDEX(HU_q_morb,HU_age+A74-17,HU_col))</f>
        <v/>
      </c>
      <c r="G74" s="63">
        <f>IF(OR(A74&lt;1,A74&gt;HU_T),0,INDEX(HU_q_ptd,HU_age+A74-17,HU_col))</f>
        <v/>
      </c>
      <c r="H74" s="63">
        <f>IF(OR(A74&lt;1,A74&gt;HU_T),0,INDEX(HU_q_dis,HU_age+A74-17,HU_col))</f>
        <v/>
      </c>
      <c r="I74" s="63">
        <f>IF(A74&gt;HU_T,0,I73*(1-D74)*(1-E74))</f>
        <v/>
      </c>
      <c r="J74" s="63">
        <f>IF(A74&gt;=HU_T,0,N(I75))</f>
        <v/>
      </c>
      <c r="K74" s="63">
        <f>K73*(1-G74)</f>
        <v/>
      </c>
      <c r="L74" s="63">
        <f>1-K74</f>
        <v/>
      </c>
      <c r="M74" s="63">
        <f>K73*G74</f>
        <v/>
      </c>
      <c r="N74" s="63">
        <f>N73*(1-H74)</f>
        <v/>
      </c>
      <c r="O74" s="63">
        <f>1-N73</f>
        <v/>
      </c>
      <c r="P74" s="63">
        <f>P73*(1-F74)</f>
        <v/>
      </c>
      <c r="Q74" s="63">
        <f>1-P73/INDEX($P$68:$P$150,MAX(1,A74-HU_ciYears))</f>
        <v/>
      </c>
      <c r="R74" s="60">
        <f>(1+inflationRate)^A74</f>
        <v/>
      </c>
      <c r="S74" s="29">
        <f>IF(OR(OR(A74&lt;1,A74&gt;HU_T),A74-1&gt;=HU_dtr),0,HU_inc0*(1+incomeGrowthRate)^A74)</f>
        <v/>
      </c>
      <c r="T74" s="60">
        <f>IF(A74&gt;HU_T,T73,T73*(1+INDEX(HU_ssG,HU_age+A74-17)))</f>
        <v/>
      </c>
      <c r="U74" s="29">
        <f>IF(AND(HU_dtr&gt;=1,A74=HU_dtr,A74&lt;=HU_T),MIN(S74*INDEX(HU_ssC,HU_age+A74-17)/(1-INDEX(HU_ssC,HU_age+A74-17)),INDEX(HU_ssCap,HU_age+A74-17))*T74,0)</f>
        <v/>
      </c>
      <c r="V74" s="29">
        <f>S74+U74+IF(AND(HU_wdOn,A74=HU_wdYear),HU_wdIncome,0)</f>
        <v/>
      </c>
      <c r="W74" s="60">
        <f>HU_ciProp*Q74+HU_tpdCut*L74+HU_disCut*O74</f>
        <v/>
      </c>
      <c r="X74" s="29">
        <f>IF(OR(A74&lt;1,A74&gt;HU_T),0,V74*(1-W74))</f>
        <v/>
      </c>
      <c r="Y74" s="29">
        <f>IF(OR(A74&lt;1,A74&gt;HU_T),0,IF(AND(HU_retExp&gt;0,A74-1&gt;=HU_dtr),HU_retExp,HU_exp0)*R74)</f>
        <v/>
      </c>
      <c r="Z74" s="29">
        <f>-Y74-IF(AND(HU_wdOn,A74=HU_wdYear),HU_wdOut,0)</f>
        <v/>
      </c>
      <c r="AA74" s="29">
        <f>IF(OR(A74&lt;1,A74&gt;HU_T),0,-HU_medCost*R74*F74-HU_tpdCost*R74*M74)</f>
        <v/>
      </c>
      <c r="AB74" s="29">
        <f>IF(A74&gt;HU_T,0,AB73*(1+interestRate)+X74+Z74+AA74)</f>
        <v/>
      </c>
      <c r="AC74" s="29">
        <f>IF(A74&gt;HU_T,0,HU_inv*EXP(HU_mu*A74))</f>
        <v/>
      </c>
      <c r="AD74" s="29">
        <f>IF(A74&gt;HU_T,0,MAX(0,AC74+AB74))</f>
        <v/>
      </c>
      <c r="AE74" s="29">
        <f>IF(A74&gt;HU_T,0,MAX(0,X74-Y74))</f>
        <v/>
      </c>
      <c r="AF74" s="63">
        <f>IF(AND($J$6,A74&gt;=1,A74&lt;=$Q$6-1),J74,0)</f>
        <v/>
      </c>
      <c r="AG74" s="29">
        <f>IF(OR(AF74=0,$S$6=0),0,IF((AD74+$L$6)&gt;$S$6/HU_alpha+$K$6,0.5*$S$6/HU_alpha,IF((AD74+$L$6)&gt;=$K$6,((AD74+$L$6)-$K$6)-0.5*HU_alpha/$S$6*((AD74+$L$6)-$K$6)^2,IF((AD74+$L$6)&gt;=$T$6,HU_beta*((AD74+$L$6)-$K$6),HU_beta*($T$6-$K$6)))))</f>
        <v/>
      </c>
      <c r="AH74" s="29">
        <f>IF(OR(AF74=0,$S$6=0),0,IF((AD74+$L$6+$N$6)&gt;$S$6/HU_alpha+$K$6,0.5*$S$6/HU_alpha,IF((AD74+$L$6+$N$6)&gt;=$K$6,((AD74+$L$6+$N$6)-$K$6)-0.5*HU_alpha/$S$6*((AD74+$L$6+$N$6)-$K$6)^2,IF((AD74+$L$6+$N$6)&gt;=$T$6,HU_beta*((AD74+$L$6+$N$6)-$K$6),HU_beta*($T$6-$K$6)))))</f>
        <v/>
      </c>
      <c r="AI74" s="29">
        <f>IF(OR(AF74=0,$S$6=0),0,IF((AD74+$K$6)&gt;$S$6/HU_alpha+$K$6,0.5*$S$6/HU_alpha,IF((AD74+$K$6)&gt;=$K$6,((AD74+$K$6)-$K$6)-0.5*HU_alpha/$S$6*((AD74+$K$6)-$K$6)^2,IF((AD74+$K$6)&gt;=$T$6,HU_beta*((AD74+$K$6)-$K$6),HU_beta*($T$6-$K$6)))))</f>
        <v/>
      </c>
      <c r="AJ74" s="63">
        <f>IF(AND($J$7,A74&gt;=1,A74&lt;=$Q$7-1),J74,0)</f>
        <v/>
      </c>
      <c r="AK74" s="29">
        <f>IF(OR(AJ74=0,$S$7=0),0,IF((AE74+$L$7)&gt;$S$7/HU_alpha+$K$7,0.5*$S$7/HU_alpha,IF((AE74+$L$7)&gt;=$K$7,((AE74+$L$7)-$K$7)-0.5*HU_alpha/$S$7*((AE74+$L$7)-$K$7)^2,IF((AE74+$L$7)&gt;=$T$7,HU_beta*((AE74+$L$7)-$K$7),HU_beta*($T$7-$K$7)))))</f>
        <v/>
      </c>
      <c r="AL74" s="29">
        <f>IF(OR(AJ74=0,$S$7=0),0,IF((AE74+$L$7+$N$7)&gt;$S$7/HU_alpha+$K$7,0.5*$S$7/HU_alpha,IF((AE74+$L$7+$N$7)&gt;=$K$7,((AE74+$L$7+$N$7)-$K$7)-0.5*HU_alpha/$S$7*((AE74+$L$7+$N$7)-$K$7)^2,IF((AE74+$L$7+$N$7)&gt;=$T$7,HU_beta*((AE74+$L$7+$N$7)-$K$7),HU_beta*($T$7-$K$7)))))</f>
        <v/>
      </c>
      <c r="AM74" s="29">
        <f>IF(OR(AJ74=0,$S$7=0),0,IF((AE74+$K$7)&gt;$S$7/HU_alpha+$K$7,0.5*$S$7/HU_alpha,IF((AE74+$K$7)&gt;=$K$7,((AE74+$K$7)-$K$7)-0.5*HU_alpha/$S$7*((AE74+$K$7)-$K$7)^2,IF((AE74+$K$7)&gt;=$T$7,HU_beta*((AE74+$K$7)-$K$7),HU_beta*($T$7-$K$7)))))</f>
        <v/>
      </c>
      <c r="AN74" s="63">
        <f>IF(AND($J$8,A74&gt;=1,A74&lt;=$Q$8-1),J74,0)</f>
        <v/>
      </c>
      <c r="AO74" s="29">
        <f>IF(OR(AN74=0,$S$8=0),0,IF((AE74+$L$8)&gt;$S$8/HU_alpha+$K$8,0.5*$S$8/HU_alpha,IF((AE74+$L$8)&gt;=$K$8,((AE74+$L$8)-$K$8)-0.5*HU_alpha/$S$8*((AE74+$L$8)-$K$8)^2,IF((AE74+$L$8)&gt;=$T$8,HU_beta*((AE74+$L$8)-$K$8),HU_beta*($T$8-$K$8)))))</f>
        <v/>
      </c>
      <c r="AP74" s="29">
        <f>IF(OR(AN74=0,$S$8=0),0,IF((AE74+$L$8+$N$8)&gt;$S$8/HU_alpha+$K$8,0.5*$S$8/HU_alpha,IF((AE74+$L$8+$N$8)&gt;=$K$8,((AE74+$L$8+$N$8)-$K$8)-0.5*HU_alpha/$S$8*((AE74+$L$8+$N$8)-$K$8)^2,IF((AE74+$L$8+$N$8)&gt;=$T$8,HU_beta*((AE74+$L$8+$N$8)-$K$8),HU_beta*($T$8-$K$8)))))</f>
        <v/>
      </c>
      <c r="AQ74" s="29">
        <f>IF(OR(AN74=0,$S$8=0),0,IF((AE74+$K$8)&gt;$S$8/HU_alpha+$K$8,0.5*$S$8/HU_alpha,IF((AE74+$K$8)&gt;=$K$8,((AE74+$K$8)-$K$8)-0.5*HU_alpha/$S$8*((AE74+$K$8)-$K$8)^2,IF((AE74+$K$8)&gt;=$T$8,HU_beta*((AE74+$K$8)-$K$8),HU_beta*($T$8-$K$8)))))</f>
        <v/>
      </c>
      <c r="AR74" s="63">
        <f>IF(AND($J$9,A74&gt;=1,A74&lt;=$Q$9-1),J74,0)</f>
        <v/>
      </c>
      <c r="AS74" s="29">
        <f>IF(OR(AR74=0,$S$9=0),0,IF((AE74+$L$9)&gt;$S$9/HU_alpha+$K$9,0.5*$S$9/HU_alpha,IF((AE74+$L$9)&gt;=$K$9,((AE74+$L$9)-$K$9)-0.5*HU_alpha/$S$9*((AE74+$L$9)-$K$9)^2,IF((AE74+$L$9)&gt;=$T$9,HU_beta*((AE74+$L$9)-$K$9),HU_beta*($T$9-$K$9)))))</f>
        <v/>
      </c>
      <c r="AT74" s="29">
        <f>IF(OR(AR74=0,$S$9=0),0,IF((AE74+$L$9+$N$9)&gt;$S$9/HU_alpha+$K$9,0.5*$S$9/HU_alpha,IF((AE74+$L$9+$N$9)&gt;=$K$9,((AE74+$L$9+$N$9)-$K$9)-0.5*HU_alpha/$S$9*((AE74+$L$9+$N$9)-$K$9)^2,IF((AE74+$L$9+$N$9)&gt;=$T$9,HU_beta*((AE74+$L$9+$N$9)-$K$9),HU_beta*($T$9-$K$9)))))</f>
        <v/>
      </c>
      <c r="AU74" s="29">
        <f>IF(OR(AR74=0,$S$9=0),0,IF((AE74+$K$9)&gt;$S$9/HU_alpha+$K$9,0.5*$S$9/HU_alpha,IF((AE74+$K$9)&gt;=$K$9,((AE74+$K$9)-$K$9)-0.5*HU_alpha/$S$9*((AE74+$K$9)-$K$9)^2,IF((AE74+$K$9)&gt;=$T$9,HU_beta*((AE74+$K$9)-$K$9),HU_beta*($T$9-$K$9)))))</f>
        <v/>
      </c>
      <c r="AV74" s="63">
        <f>IF(AND($J$10,A74=$Q$10),J74,0)</f>
        <v/>
      </c>
      <c r="AW74" s="29">
        <f>IF(OR(AV74=0,$S$10=0),0,IF((AD74+$L$10)&gt;$S$10/HU_alpha+$K$10,0.5*$S$10/HU_alpha,IF((AD74+$L$10)&gt;=$K$10,((AD74+$L$10)-$K$10)-0.5*HU_alpha/$S$10*((AD74+$L$10)-$K$10)^2,IF((AD74+$L$10)&gt;=$T$10,HU_beta*((AD74+$L$10)-$K$10),HU_beta*($T$10-$K$10)))))</f>
        <v/>
      </c>
      <c r="AX74" s="29">
        <f>IF(OR(AV74=0,$S$10=0),0,IF((AD74+$L$10+$N$10)&gt;$S$10/HU_alpha+$K$10,0.5*$S$10/HU_alpha,IF((AD74+$L$10+$N$10)&gt;=$K$10,((AD74+$L$10+$N$10)-$K$10)-0.5*HU_alpha/$S$10*((AD74+$L$10+$N$10)-$K$10)^2,IF((AD74+$L$10+$N$10)&gt;=$T$10,HU_beta*((AD74+$L$10+$N$10)-$K$10),HU_beta*($T$10-$K$10)))))</f>
        <v/>
      </c>
      <c r="AY74" s="29">
        <f>IF(OR(AV74=0,$S$10=0),0,IF((AD74+$K$10)&gt;$S$10/HU_alpha+$K$10,0.5*$S$10/HU_alpha,IF((AD74+$K$10)&gt;=$K$10,((AD74+$K$10)-$K$10)-0.5*HU_alpha/$S$10*((AD74+$K$10)-$K$10)^2,IF((AD74+$K$10)&gt;=$T$10,HU_beta*((AD74+$K$10)-$K$10),HU_beta*($T$10-$K$10)))))</f>
        <v/>
      </c>
      <c r="AZ74" s="63">
        <f>IF(AND($J$11,A74=$Q$11),J74,0)</f>
        <v/>
      </c>
      <c r="BA74" s="29">
        <f>IF(OR(AZ74=0,$S$11=0),0,IF((AE74+$L$11)&gt;$S$11/HU_alpha+$K$11,0.5*$S$11/HU_alpha,IF((AE74+$L$11)&gt;=$K$11,((AE74+$L$11)-$K$11)-0.5*HU_alpha/$S$11*((AE74+$L$11)-$K$11)^2,IF((AE74+$L$11)&gt;=$T$11,HU_beta*((AE74+$L$11)-$K$11),HU_beta*($T$11-$K$11)))))</f>
        <v/>
      </c>
      <c r="BB74" s="29">
        <f>IF(OR(AZ74=0,$S$11=0),0,IF((AE74+$L$11+$N$11)&gt;$S$11/HU_alpha+$K$11,0.5*$S$11/HU_alpha,IF((AE74+$L$11+$N$11)&gt;=$K$11,((AE74+$L$11+$N$11)-$K$11)-0.5*HU_alpha/$S$11*((AE74+$L$11+$N$11)-$K$11)^2,IF((AE74+$L$11+$N$11)&gt;=$T$11,HU_beta*((AE74+$L$11+$N$11)-$K$11),HU_beta*($T$11-$K$11)))))</f>
        <v/>
      </c>
      <c r="BC74" s="29">
        <f>IF(OR(AZ74=0,$S$11=0),0,IF((AE74+$K$11)&gt;$S$11/HU_alpha+$K$11,0.5*$S$11/HU_alpha,IF((AE74+$K$11)&gt;=$K$11,((AE74+$K$11)-$K$11)-0.5*HU_alpha/$S$11*((AE74+$K$11)-$K$11)^2,IF((AE74+$K$11)&gt;=$T$11,HU_beta*((AE74+$K$11)-$K$11),HU_beta*($T$11-$K$11)))))</f>
        <v/>
      </c>
      <c r="BD74" s="63">
        <f>IF(AND($J$12,A74=$Q$12),J74,0)</f>
        <v/>
      </c>
      <c r="BE74" s="29">
        <f>IF(OR(BD74=0,$S$12=0),0,IF((AE74+$L$12)&gt;$S$12/HU_alpha+$K$12,0.5*$S$12/HU_alpha,IF((AE74+$L$12)&gt;=$K$12,((AE74+$L$12)-$K$12)-0.5*HU_alpha/$S$12*((AE74+$L$12)-$K$12)^2,IF((AE74+$L$12)&gt;=$T$12,HU_beta*((AE74+$L$12)-$K$12),HU_beta*($T$12-$K$12)))))</f>
        <v/>
      </c>
      <c r="BF74" s="29">
        <f>IF(OR(BD74=0,$S$12=0),0,IF((AE74+$L$12+$N$12)&gt;$S$12/HU_alpha+$K$12,0.5*$S$12/HU_alpha,IF((AE74+$L$12+$N$12)&gt;=$K$12,((AE74+$L$12+$N$12)-$K$12)-0.5*HU_alpha/$S$12*((AE74+$L$12+$N$12)-$K$12)^2,IF((AE74+$L$12+$N$12)&gt;=$T$12,HU_beta*((AE74+$L$12+$N$12)-$K$12),HU_beta*($T$12-$K$12)))))</f>
        <v/>
      </c>
      <c r="BG74" s="29">
        <f>IF(OR(BD74=0,$S$12=0),0,IF((AE74+$K$12)&gt;$S$12/HU_alpha+$K$12,0.5*$S$12/HU_alpha,IF((AE74+$K$12)&gt;=$K$12,((AE74+$K$12)-$K$12)-0.5*HU_alpha/$S$12*((AE74+$K$12)-$K$12)^2,IF((AE74+$K$12)&gt;=$T$12,HU_beta*((AE74+$K$12)-$K$12),HU_beta*($T$12-$K$12)))))</f>
        <v/>
      </c>
      <c r="BH74" s="63">
        <f>IF(AND($J$13,A74=$Q$13),J74,0)</f>
        <v/>
      </c>
      <c r="BI74" s="29">
        <f>IF(OR(BH74=0,$S$13=0),0,IF((AE74+$L$13)&gt;$S$13/HU_alpha+$K$13,0.5*$S$13/HU_alpha,IF((AE74+$L$13)&gt;=$K$13,((AE74+$L$13)-$K$13)-0.5*HU_alpha/$S$13*((AE74+$L$13)-$K$13)^2,IF((AE74+$L$13)&gt;=$T$13,HU_beta*((AE74+$L$13)-$K$13),HU_beta*($T$13-$K$13)))))</f>
        <v/>
      </c>
      <c r="BJ74" s="29">
        <f>IF(OR(BH74=0,$S$13=0),0,IF((AE74+$L$13+$N$13)&gt;$S$13/HU_alpha+$K$13,0.5*$S$13/HU_alpha,IF((AE74+$L$13+$N$13)&gt;=$K$13,((AE74+$L$13+$N$13)-$K$13)-0.5*HU_alpha/$S$13*((AE74+$L$13+$N$13)-$K$13)^2,IF((AE74+$L$13+$N$13)&gt;=$T$13,HU_beta*((AE74+$L$13+$N$13)-$K$13),HU_beta*($T$13-$K$13)))))</f>
        <v/>
      </c>
      <c r="BK74" s="29">
        <f>IF(OR(BH74=0,$S$13=0),0,IF((AE74+$K$13)&gt;$S$13/HU_alpha+$K$13,0.5*$S$13/HU_alpha,IF((AE74+$K$13)&gt;=$K$13,((AE74+$K$13)-$K$13)-0.5*HU_alpha/$S$13*((AE74+$K$13)-$K$13)^2,IF((AE74+$K$13)&gt;=$T$13,HU_beta*((AE74+$K$13)-$K$13),HU_beta*($T$13-$K$13)))))</f>
        <v/>
      </c>
    </row>
    <row r="75">
      <c r="A75" s="61" t="n">
        <v>7</v>
      </c>
      <c r="B75" s="61">
        <f>HU_age+A75</f>
        <v/>
      </c>
      <c r="C75" s="52">
        <f>A75&lt;=HU_T</f>
        <v/>
      </c>
      <c r="D75" s="63">
        <f>IF(OR(A75&lt;1,A75&gt;HU_T),0,INDEX(HU_q_mort,HU_age+A75-17,HU_col))</f>
        <v/>
      </c>
      <c r="E75" s="63">
        <f>IF(OR(A75&lt;1,A75&gt;HU_T),0,INDEX(HU_q_adb,HU_age+A75-17,HU_col))</f>
        <v/>
      </c>
      <c r="F75" s="63">
        <f>IF(OR(A75&lt;1,A75&gt;HU_T),0,INDEX(HU_q_morb,HU_age+A75-17,HU_col))</f>
        <v/>
      </c>
      <c r="G75" s="63">
        <f>IF(OR(A75&lt;1,A75&gt;HU_T),0,INDEX(HU_q_ptd,HU_age+A75-17,HU_col))</f>
        <v/>
      </c>
      <c r="H75" s="63">
        <f>IF(OR(A75&lt;1,A75&gt;HU_T),0,INDEX(HU_q_dis,HU_age+A75-17,HU_col))</f>
        <v/>
      </c>
      <c r="I75" s="63">
        <f>IF(A75&gt;HU_T,0,I74*(1-D75)*(1-E75))</f>
        <v/>
      </c>
      <c r="J75" s="63">
        <f>IF(A75&gt;=HU_T,0,N(I76))</f>
        <v/>
      </c>
      <c r="K75" s="63">
        <f>K74*(1-G75)</f>
        <v/>
      </c>
      <c r="L75" s="63">
        <f>1-K75</f>
        <v/>
      </c>
      <c r="M75" s="63">
        <f>K74*G75</f>
        <v/>
      </c>
      <c r="N75" s="63">
        <f>N74*(1-H75)</f>
        <v/>
      </c>
      <c r="O75" s="63">
        <f>1-N74</f>
        <v/>
      </c>
      <c r="P75" s="63">
        <f>P74*(1-F75)</f>
        <v/>
      </c>
      <c r="Q75" s="63">
        <f>1-P74/INDEX($P$68:$P$150,MAX(1,A75-HU_ciYears))</f>
        <v/>
      </c>
      <c r="R75" s="60">
        <f>(1+inflationRate)^A75</f>
        <v/>
      </c>
      <c r="S75" s="29">
        <f>IF(OR(OR(A75&lt;1,A75&gt;HU_T),A75-1&gt;=HU_dtr),0,HU_inc0*(1+incomeGrowthRate)^A75)</f>
        <v/>
      </c>
      <c r="T75" s="60">
        <f>IF(A75&gt;HU_T,T74,T74*(1+INDEX(HU_ssG,HU_age+A75-17)))</f>
        <v/>
      </c>
      <c r="U75" s="29">
        <f>IF(AND(HU_dtr&gt;=1,A75=HU_dtr,A75&lt;=HU_T),MIN(S75*INDEX(HU_ssC,HU_age+A75-17)/(1-INDEX(HU_ssC,HU_age+A75-17)),INDEX(HU_ssCap,HU_age+A75-17))*T75,0)</f>
        <v/>
      </c>
      <c r="V75" s="29">
        <f>S75+U75+IF(AND(HU_wdOn,A75=HU_wdYear),HU_wdIncome,0)</f>
        <v/>
      </c>
      <c r="W75" s="60">
        <f>HU_ciProp*Q75+HU_tpdCut*L75+HU_disCut*O75</f>
        <v/>
      </c>
      <c r="X75" s="29">
        <f>IF(OR(A75&lt;1,A75&gt;HU_T),0,V75*(1-W75))</f>
        <v/>
      </c>
      <c r="Y75" s="29">
        <f>IF(OR(A75&lt;1,A75&gt;HU_T),0,IF(AND(HU_retExp&gt;0,A75-1&gt;=HU_dtr),HU_retExp,HU_exp0)*R75)</f>
        <v/>
      </c>
      <c r="Z75" s="29">
        <f>-Y75-IF(AND(HU_wdOn,A75=HU_wdYear),HU_wdOut,0)</f>
        <v/>
      </c>
      <c r="AA75" s="29">
        <f>IF(OR(A75&lt;1,A75&gt;HU_T),0,-HU_medCost*R75*F75-HU_tpdCost*R75*M75)</f>
        <v/>
      </c>
      <c r="AB75" s="29">
        <f>IF(A75&gt;HU_T,0,AB74*(1+interestRate)+X75+Z75+AA75)</f>
        <v/>
      </c>
      <c r="AC75" s="29">
        <f>IF(A75&gt;HU_T,0,HU_inv*EXP(HU_mu*A75))</f>
        <v/>
      </c>
      <c r="AD75" s="29">
        <f>IF(A75&gt;HU_T,0,MAX(0,AC75+AB75))</f>
        <v/>
      </c>
      <c r="AE75" s="29">
        <f>IF(A75&gt;HU_T,0,MAX(0,X75-Y75))</f>
        <v/>
      </c>
      <c r="AF75" s="63">
        <f>IF(AND($J$6,A75&gt;=1,A75&lt;=$Q$6-1),J75,0)</f>
        <v/>
      </c>
      <c r="AG75" s="29">
        <f>IF(OR(AF75=0,$S$6=0),0,IF((AD75+$L$6)&gt;$S$6/HU_alpha+$K$6,0.5*$S$6/HU_alpha,IF((AD75+$L$6)&gt;=$K$6,((AD75+$L$6)-$K$6)-0.5*HU_alpha/$S$6*((AD75+$L$6)-$K$6)^2,IF((AD75+$L$6)&gt;=$T$6,HU_beta*((AD75+$L$6)-$K$6),HU_beta*($T$6-$K$6)))))</f>
        <v/>
      </c>
      <c r="AH75" s="29">
        <f>IF(OR(AF75=0,$S$6=0),0,IF((AD75+$L$6+$N$6)&gt;$S$6/HU_alpha+$K$6,0.5*$S$6/HU_alpha,IF((AD75+$L$6+$N$6)&gt;=$K$6,((AD75+$L$6+$N$6)-$K$6)-0.5*HU_alpha/$S$6*((AD75+$L$6+$N$6)-$K$6)^2,IF((AD75+$L$6+$N$6)&gt;=$T$6,HU_beta*((AD75+$L$6+$N$6)-$K$6),HU_beta*($T$6-$K$6)))))</f>
        <v/>
      </c>
      <c r="AI75" s="29">
        <f>IF(OR(AF75=0,$S$6=0),0,IF((AD75+$K$6)&gt;$S$6/HU_alpha+$K$6,0.5*$S$6/HU_alpha,IF((AD75+$K$6)&gt;=$K$6,((AD75+$K$6)-$K$6)-0.5*HU_alpha/$S$6*((AD75+$K$6)-$K$6)^2,IF((AD75+$K$6)&gt;=$T$6,HU_beta*((AD75+$K$6)-$K$6),HU_beta*($T$6-$K$6)))))</f>
        <v/>
      </c>
      <c r="AJ75" s="63">
        <f>IF(AND($J$7,A75&gt;=1,A75&lt;=$Q$7-1),J75,0)</f>
        <v/>
      </c>
      <c r="AK75" s="29">
        <f>IF(OR(AJ75=0,$S$7=0),0,IF((AE75+$L$7)&gt;$S$7/HU_alpha+$K$7,0.5*$S$7/HU_alpha,IF((AE75+$L$7)&gt;=$K$7,((AE75+$L$7)-$K$7)-0.5*HU_alpha/$S$7*((AE75+$L$7)-$K$7)^2,IF((AE75+$L$7)&gt;=$T$7,HU_beta*((AE75+$L$7)-$K$7),HU_beta*($T$7-$K$7)))))</f>
        <v/>
      </c>
      <c r="AL75" s="29">
        <f>IF(OR(AJ75=0,$S$7=0),0,IF((AE75+$L$7+$N$7)&gt;$S$7/HU_alpha+$K$7,0.5*$S$7/HU_alpha,IF((AE75+$L$7+$N$7)&gt;=$K$7,((AE75+$L$7+$N$7)-$K$7)-0.5*HU_alpha/$S$7*((AE75+$L$7+$N$7)-$K$7)^2,IF((AE75+$L$7+$N$7)&gt;=$T$7,HU_beta*((AE75+$L$7+$N$7)-$K$7),HU_beta*($T$7-$K$7)))))</f>
        <v/>
      </c>
      <c r="AM75" s="29">
        <f>IF(OR(AJ75=0,$S$7=0),0,IF((AE75+$K$7)&gt;$S$7/HU_alpha+$K$7,0.5*$S$7/HU_alpha,IF((AE75+$K$7)&gt;=$K$7,((AE75+$K$7)-$K$7)-0.5*HU_alpha/$S$7*((AE75+$K$7)-$K$7)^2,IF((AE75+$K$7)&gt;=$T$7,HU_beta*((AE75+$K$7)-$K$7),HU_beta*($T$7-$K$7)))))</f>
        <v/>
      </c>
      <c r="AN75" s="63">
        <f>IF(AND($J$8,A75&gt;=1,A75&lt;=$Q$8-1),J75,0)</f>
        <v/>
      </c>
      <c r="AO75" s="29">
        <f>IF(OR(AN75=0,$S$8=0),0,IF((AE75+$L$8)&gt;$S$8/HU_alpha+$K$8,0.5*$S$8/HU_alpha,IF((AE75+$L$8)&gt;=$K$8,((AE75+$L$8)-$K$8)-0.5*HU_alpha/$S$8*((AE75+$L$8)-$K$8)^2,IF((AE75+$L$8)&gt;=$T$8,HU_beta*((AE75+$L$8)-$K$8),HU_beta*($T$8-$K$8)))))</f>
        <v/>
      </c>
      <c r="AP75" s="29">
        <f>IF(OR(AN75=0,$S$8=0),0,IF((AE75+$L$8+$N$8)&gt;$S$8/HU_alpha+$K$8,0.5*$S$8/HU_alpha,IF((AE75+$L$8+$N$8)&gt;=$K$8,((AE75+$L$8+$N$8)-$K$8)-0.5*HU_alpha/$S$8*((AE75+$L$8+$N$8)-$K$8)^2,IF((AE75+$L$8+$N$8)&gt;=$T$8,HU_beta*((AE75+$L$8+$N$8)-$K$8),HU_beta*($T$8-$K$8)))))</f>
        <v/>
      </c>
      <c r="AQ75" s="29">
        <f>IF(OR(AN75=0,$S$8=0),0,IF((AE75+$K$8)&gt;$S$8/HU_alpha+$K$8,0.5*$S$8/HU_alpha,IF((AE75+$K$8)&gt;=$K$8,((AE75+$K$8)-$K$8)-0.5*HU_alpha/$S$8*((AE75+$K$8)-$K$8)^2,IF((AE75+$K$8)&gt;=$T$8,HU_beta*((AE75+$K$8)-$K$8),HU_beta*($T$8-$K$8)))))</f>
        <v/>
      </c>
      <c r="AR75" s="63">
        <f>IF(AND($J$9,A75&gt;=1,A75&lt;=$Q$9-1),J75,0)</f>
        <v/>
      </c>
      <c r="AS75" s="29">
        <f>IF(OR(AR75=0,$S$9=0),0,IF((AE75+$L$9)&gt;$S$9/HU_alpha+$K$9,0.5*$S$9/HU_alpha,IF((AE75+$L$9)&gt;=$K$9,((AE75+$L$9)-$K$9)-0.5*HU_alpha/$S$9*((AE75+$L$9)-$K$9)^2,IF((AE75+$L$9)&gt;=$T$9,HU_beta*((AE75+$L$9)-$K$9),HU_beta*($T$9-$K$9)))))</f>
        <v/>
      </c>
      <c r="AT75" s="29">
        <f>IF(OR(AR75=0,$S$9=0),0,IF((AE75+$L$9+$N$9)&gt;$S$9/HU_alpha+$K$9,0.5*$S$9/HU_alpha,IF((AE75+$L$9+$N$9)&gt;=$K$9,((AE75+$L$9+$N$9)-$K$9)-0.5*HU_alpha/$S$9*((AE75+$L$9+$N$9)-$K$9)^2,IF((AE75+$L$9+$N$9)&gt;=$T$9,HU_beta*((AE75+$L$9+$N$9)-$K$9),HU_beta*($T$9-$K$9)))))</f>
        <v/>
      </c>
      <c r="AU75" s="29">
        <f>IF(OR(AR75=0,$S$9=0),0,IF((AE75+$K$9)&gt;$S$9/HU_alpha+$K$9,0.5*$S$9/HU_alpha,IF((AE75+$K$9)&gt;=$K$9,((AE75+$K$9)-$K$9)-0.5*HU_alpha/$S$9*((AE75+$K$9)-$K$9)^2,IF((AE75+$K$9)&gt;=$T$9,HU_beta*((AE75+$K$9)-$K$9),HU_beta*($T$9-$K$9)))))</f>
        <v/>
      </c>
      <c r="AV75" s="63">
        <f>IF(AND($J$10,A75=$Q$10),J75,0)</f>
        <v/>
      </c>
      <c r="AW75" s="29">
        <f>IF(OR(AV75=0,$S$10=0),0,IF((AD75+$L$10)&gt;$S$10/HU_alpha+$K$10,0.5*$S$10/HU_alpha,IF((AD75+$L$10)&gt;=$K$10,((AD75+$L$10)-$K$10)-0.5*HU_alpha/$S$10*((AD75+$L$10)-$K$10)^2,IF((AD75+$L$10)&gt;=$T$10,HU_beta*((AD75+$L$10)-$K$10),HU_beta*($T$10-$K$10)))))</f>
        <v/>
      </c>
      <c r="AX75" s="29">
        <f>IF(OR(AV75=0,$S$10=0),0,IF((AD75+$L$10+$N$10)&gt;$S$10/HU_alpha+$K$10,0.5*$S$10/HU_alpha,IF((AD75+$L$10+$N$10)&gt;=$K$10,((AD75+$L$10+$N$10)-$K$10)-0.5*HU_alpha/$S$10*((AD75+$L$10+$N$10)-$K$10)^2,IF((AD75+$L$10+$N$10)&gt;=$T$10,HU_beta*((AD75+$L$10+$N$10)-$K$10),HU_beta*($T$10-$K$10)))))</f>
        <v/>
      </c>
      <c r="AY75" s="29">
        <f>IF(OR(AV75=0,$S$10=0),0,IF((AD75+$K$10)&gt;$S$10/HU_alpha+$K$10,0.5*$S$10/HU_alpha,IF((AD75+$K$10)&gt;=$K$10,((AD75+$K$10)-$K$10)-0.5*HU_alpha/$S$10*((AD75+$K$10)-$K$10)^2,IF((AD75+$K$10)&gt;=$T$10,HU_beta*((AD75+$K$10)-$K$10),HU_beta*($T$10-$K$10)))))</f>
        <v/>
      </c>
      <c r="AZ75" s="63">
        <f>IF(AND($J$11,A75=$Q$11),J75,0)</f>
        <v/>
      </c>
      <c r="BA75" s="29">
        <f>IF(OR(AZ75=0,$S$11=0),0,IF((AE75+$L$11)&gt;$S$11/HU_alpha+$K$11,0.5*$S$11/HU_alpha,IF((AE75+$L$11)&gt;=$K$11,((AE75+$L$11)-$K$11)-0.5*HU_alpha/$S$11*((AE75+$L$11)-$K$11)^2,IF((AE75+$L$11)&gt;=$T$11,HU_beta*((AE75+$L$11)-$K$11),HU_beta*($T$11-$K$11)))))</f>
        <v/>
      </c>
      <c r="BB75" s="29">
        <f>IF(OR(AZ75=0,$S$11=0),0,IF((AE75+$L$11+$N$11)&gt;$S$11/HU_alpha+$K$11,0.5*$S$11/HU_alpha,IF((AE75+$L$11+$N$11)&gt;=$K$11,((AE75+$L$11+$N$11)-$K$11)-0.5*HU_alpha/$S$11*((AE75+$L$11+$N$11)-$K$11)^2,IF((AE75+$L$11+$N$11)&gt;=$T$11,HU_beta*((AE75+$L$11+$N$11)-$K$11),HU_beta*($T$11-$K$11)))))</f>
        <v/>
      </c>
      <c r="BC75" s="29">
        <f>IF(OR(AZ75=0,$S$11=0),0,IF((AE75+$K$11)&gt;$S$11/HU_alpha+$K$11,0.5*$S$11/HU_alpha,IF((AE75+$K$11)&gt;=$K$11,((AE75+$K$11)-$K$11)-0.5*HU_alpha/$S$11*((AE75+$K$11)-$K$11)^2,IF((AE75+$K$11)&gt;=$T$11,HU_beta*((AE75+$K$11)-$K$11),HU_beta*($T$11-$K$11)))))</f>
        <v/>
      </c>
      <c r="BD75" s="63">
        <f>IF(AND($J$12,A75=$Q$12),J75,0)</f>
        <v/>
      </c>
      <c r="BE75" s="29">
        <f>IF(OR(BD75=0,$S$12=0),0,IF((AE75+$L$12)&gt;$S$12/HU_alpha+$K$12,0.5*$S$12/HU_alpha,IF((AE75+$L$12)&gt;=$K$12,((AE75+$L$12)-$K$12)-0.5*HU_alpha/$S$12*((AE75+$L$12)-$K$12)^2,IF((AE75+$L$12)&gt;=$T$12,HU_beta*((AE75+$L$12)-$K$12),HU_beta*($T$12-$K$12)))))</f>
        <v/>
      </c>
      <c r="BF75" s="29">
        <f>IF(OR(BD75=0,$S$12=0),0,IF((AE75+$L$12+$N$12)&gt;$S$12/HU_alpha+$K$12,0.5*$S$12/HU_alpha,IF((AE75+$L$12+$N$12)&gt;=$K$12,((AE75+$L$12+$N$12)-$K$12)-0.5*HU_alpha/$S$12*((AE75+$L$12+$N$12)-$K$12)^2,IF((AE75+$L$12+$N$12)&gt;=$T$12,HU_beta*((AE75+$L$12+$N$12)-$K$12),HU_beta*($T$12-$K$12)))))</f>
        <v/>
      </c>
      <c r="BG75" s="29">
        <f>IF(OR(BD75=0,$S$12=0),0,IF((AE75+$K$12)&gt;$S$12/HU_alpha+$K$12,0.5*$S$12/HU_alpha,IF((AE75+$K$12)&gt;=$K$12,((AE75+$K$12)-$K$12)-0.5*HU_alpha/$S$12*((AE75+$K$12)-$K$12)^2,IF((AE75+$K$12)&gt;=$T$12,HU_beta*((AE75+$K$12)-$K$12),HU_beta*($T$12-$K$12)))))</f>
        <v/>
      </c>
      <c r="BH75" s="63">
        <f>IF(AND($J$13,A75=$Q$13),J75,0)</f>
        <v/>
      </c>
      <c r="BI75" s="29">
        <f>IF(OR(BH75=0,$S$13=0),0,IF((AE75+$L$13)&gt;$S$13/HU_alpha+$K$13,0.5*$S$13/HU_alpha,IF((AE75+$L$13)&gt;=$K$13,((AE75+$L$13)-$K$13)-0.5*HU_alpha/$S$13*((AE75+$L$13)-$K$13)^2,IF((AE75+$L$13)&gt;=$T$13,HU_beta*((AE75+$L$13)-$K$13),HU_beta*($T$13-$K$13)))))</f>
        <v/>
      </c>
      <c r="BJ75" s="29">
        <f>IF(OR(BH75=0,$S$13=0),0,IF((AE75+$L$13+$N$13)&gt;$S$13/HU_alpha+$K$13,0.5*$S$13/HU_alpha,IF((AE75+$L$13+$N$13)&gt;=$K$13,((AE75+$L$13+$N$13)-$K$13)-0.5*HU_alpha/$S$13*((AE75+$L$13+$N$13)-$K$13)^2,IF((AE75+$L$13+$N$13)&gt;=$T$13,HU_beta*((AE75+$L$13+$N$13)-$K$13),HU_beta*($T$13-$K$13)))))</f>
        <v/>
      </c>
      <c r="BK75" s="29">
        <f>IF(OR(BH75=0,$S$13=0),0,IF((AE75+$K$13)&gt;$S$13/HU_alpha+$K$13,0.5*$S$13/HU_alpha,IF((AE75+$K$13)&gt;=$K$13,((AE75+$K$13)-$K$13)-0.5*HU_alpha/$S$13*((AE75+$K$13)-$K$13)^2,IF((AE75+$K$13)&gt;=$T$13,HU_beta*((AE75+$K$13)-$K$13),HU_beta*($T$13-$K$13)))))</f>
        <v/>
      </c>
    </row>
    <row r="76">
      <c r="A76" s="61" t="n">
        <v>8</v>
      </c>
      <c r="B76" s="61">
        <f>HU_age+A76</f>
        <v/>
      </c>
      <c r="C76" s="52">
        <f>A76&lt;=HU_T</f>
        <v/>
      </c>
      <c r="D76" s="63">
        <f>IF(OR(A76&lt;1,A76&gt;HU_T),0,INDEX(HU_q_mort,HU_age+A76-17,HU_col))</f>
        <v/>
      </c>
      <c r="E76" s="63">
        <f>IF(OR(A76&lt;1,A76&gt;HU_T),0,INDEX(HU_q_adb,HU_age+A76-17,HU_col))</f>
        <v/>
      </c>
      <c r="F76" s="63">
        <f>IF(OR(A76&lt;1,A76&gt;HU_T),0,INDEX(HU_q_morb,HU_age+A76-17,HU_col))</f>
        <v/>
      </c>
      <c r="G76" s="63">
        <f>IF(OR(A76&lt;1,A76&gt;HU_T),0,INDEX(HU_q_ptd,HU_age+A76-17,HU_col))</f>
        <v/>
      </c>
      <c r="H76" s="63">
        <f>IF(OR(A76&lt;1,A76&gt;HU_T),0,INDEX(HU_q_dis,HU_age+A76-17,HU_col))</f>
        <v/>
      </c>
      <c r="I76" s="63">
        <f>IF(A76&gt;HU_T,0,I75*(1-D76)*(1-E76))</f>
        <v/>
      </c>
      <c r="J76" s="63">
        <f>IF(A76&gt;=HU_T,0,N(I77))</f>
        <v/>
      </c>
      <c r="K76" s="63">
        <f>K75*(1-G76)</f>
        <v/>
      </c>
      <c r="L76" s="63">
        <f>1-K76</f>
        <v/>
      </c>
      <c r="M76" s="63">
        <f>K75*G76</f>
        <v/>
      </c>
      <c r="N76" s="63">
        <f>N75*(1-H76)</f>
        <v/>
      </c>
      <c r="O76" s="63">
        <f>1-N75</f>
        <v/>
      </c>
      <c r="P76" s="63">
        <f>P75*(1-F76)</f>
        <v/>
      </c>
      <c r="Q76" s="63">
        <f>1-P75/INDEX($P$68:$P$150,MAX(1,A76-HU_ciYears))</f>
        <v/>
      </c>
      <c r="R76" s="60">
        <f>(1+inflationRate)^A76</f>
        <v/>
      </c>
      <c r="S76" s="29">
        <f>IF(OR(OR(A76&lt;1,A76&gt;HU_T),A76-1&gt;=HU_dtr),0,HU_inc0*(1+incomeGrowthRate)^A76)</f>
        <v/>
      </c>
      <c r="T76" s="60">
        <f>IF(A76&gt;HU_T,T75,T75*(1+INDEX(HU_ssG,HU_age+A76-17)))</f>
        <v/>
      </c>
      <c r="U76" s="29">
        <f>IF(AND(HU_dtr&gt;=1,A76=HU_dtr,A76&lt;=HU_T),MIN(S76*INDEX(HU_ssC,HU_age+A76-17)/(1-INDEX(HU_ssC,HU_age+A76-17)),INDEX(HU_ssCap,HU_age+A76-17))*T76,0)</f>
        <v/>
      </c>
      <c r="V76" s="29">
        <f>S76+U76+IF(AND(HU_wdOn,A76=HU_wdYear),HU_wdIncome,0)</f>
        <v/>
      </c>
      <c r="W76" s="60">
        <f>HU_ciProp*Q76+HU_tpdCut*L76+HU_disCut*O76</f>
        <v/>
      </c>
      <c r="X76" s="29">
        <f>IF(OR(A76&lt;1,A76&gt;HU_T),0,V76*(1-W76))</f>
        <v/>
      </c>
      <c r="Y76" s="29">
        <f>IF(OR(A76&lt;1,A76&gt;HU_T),0,IF(AND(HU_retExp&gt;0,A76-1&gt;=HU_dtr),HU_retExp,HU_exp0)*R76)</f>
        <v/>
      </c>
      <c r="Z76" s="29">
        <f>-Y76-IF(AND(HU_wdOn,A76=HU_wdYear),HU_wdOut,0)</f>
        <v/>
      </c>
      <c r="AA76" s="29">
        <f>IF(OR(A76&lt;1,A76&gt;HU_T),0,-HU_medCost*R76*F76-HU_tpdCost*R76*M76)</f>
        <v/>
      </c>
      <c r="AB76" s="29">
        <f>IF(A76&gt;HU_T,0,AB75*(1+interestRate)+X76+Z76+AA76)</f>
        <v/>
      </c>
      <c r="AC76" s="29">
        <f>IF(A76&gt;HU_T,0,HU_inv*EXP(HU_mu*A76))</f>
        <v/>
      </c>
      <c r="AD76" s="29">
        <f>IF(A76&gt;HU_T,0,MAX(0,AC76+AB76))</f>
        <v/>
      </c>
      <c r="AE76" s="29">
        <f>IF(A76&gt;HU_T,0,MAX(0,X76-Y76))</f>
        <v/>
      </c>
      <c r="AF76" s="63">
        <f>IF(AND($J$6,A76&gt;=1,A76&lt;=$Q$6-1),J76,0)</f>
        <v/>
      </c>
      <c r="AG76" s="29">
        <f>IF(OR(AF76=0,$S$6=0),0,IF((AD76+$L$6)&gt;$S$6/HU_alpha+$K$6,0.5*$S$6/HU_alpha,IF((AD76+$L$6)&gt;=$K$6,((AD76+$L$6)-$K$6)-0.5*HU_alpha/$S$6*((AD76+$L$6)-$K$6)^2,IF((AD76+$L$6)&gt;=$T$6,HU_beta*((AD76+$L$6)-$K$6),HU_beta*($T$6-$K$6)))))</f>
        <v/>
      </c>
      <c r="AH76" s="29">
        <f>IF(OR(AF76=0,$S$6=0),0,IF((AD76+$L$6+$N$6)&gt;$S$6/HU_alpha+$K$6,0.5*$S$6/HU_alpha,IF((AD76+$L$6+$N$6)&gt;=$K$6,((AD76+$L$6+$N$6)-$K$6)-0.5*HU_alpha/$S$6*((AD76+$L$6+$N$6)-$K$6)^2,IF((AD76+$L$6+$N$6)&gt;=$T$6,HU_beta*((AD76+$L$6+$N$6)-$K$6),HU_beta*($T$6-$K$6)))))</f>
        <v/>
      </c>
      <c r="AI76" s="29">
        <f>IF(OR(AF76=0,$S$6=0),0,IF((AD76+$K$6)&gt;$S$6/HU_alpha+$K$6,0.5*$S$6/HU_alpha,IF((AD76+$K$6)&gt;=$K$6,((AD76+$K$6)-$K$6)-0.5*HU_alpha/$S$6*((AD76+$K$6)-$K$6)^2,IF((AD76+$K$6)&gt;=$T$6,HU_beta*((AD76+$K$6)-$K$6),HU_beta*($T$6-$K$6)))))</f>
        <v/>
      </c>
      <c r="AJ76" s="63">
        <f>IF(AND($J$7,A76&gt;=1,A76&lt;=$Q$7-1),J76,0)</f>
        <v/>
      </c>
      <c r="AK76" s="29">
        <f>IF(OR(AJ76=0,$S$7=0),0,IF((AE76+$L$7)&gt;$S$7/HU_alpha+$K$7,0.5*$S$7/HU_alpha,IF((AE76+$L$7)&gt;=$K$7,((AE76+$L$7)-$K$7)-0.5*HU_alpha/$S$7*((AE76+$L$7)-$K$7)^2,IF((AE76+$L$7)&gt;=$T$7,HU_beta*((AE76+$L$7)-$K$7),HU_beta*($T$7-$K$7)))))</f>
        <v/>
      </c>
      <c r="AL76" s="29">
        <f>IF(OR(AJ76=0,$S$7=0),0,IF((AE76+$L$7+$N$7)&gt;$S$7/HU_alpha+$K$7,0.5*$S$7/HU_alpha,IF((AE76+$L$7+$N$7)&gt;=$K$7,((AE76+$L$7+$N$7)-$K$7)-0.5*HU_alpha/$S$7*((AE76+$L$7+$N$7)-$K$7)^2,IF((AE76+$L$7+$N$7)&gt;=$T$7,HU_beta*((AE76+$L$7+$N$7)-$K$7),HU_beta*($T$7-$K$7)))))</f>
        <v/>
      </c>
      <c r="AM76" s="29">
        <f>IF(OR(AJ76=0,$S$7=0),0,IF((AE76+$K$7)&gt;$S$7/HU_alpha+$K$7,0.5*$S$7/HU_alpha,IF((AE76+$K$7)&gt;=$K$7,((AE76+$K$7)-$K$7)-0.5*HU_alpha/$S$7*((AE76+$K$7)-$K$7)^2,IF((AE76+$K$7)&gt;=$T$7,HU_beta*((AE76+$K$7)-$K$7),HU_beta*($T$7-$K$7)))))</f>
        <v/>
      </c>
      <c r="AN76" s="63">
        <f>IF(AND($J$8,A76&gt;=1,A76&lt;=$Q$8-1),J76,0)</f>
        <v/>
      </c>
      <c r="AO76" s="29">
        <f>IF(OR(AN76=0,$S$8=0),0,IF((AE76+$L$8)&gt;$S$8/HU_alpha+$K$8,0.5*$S$8/HU_alpha,IF((AE76+$L$8)&gt;=$K$8,((AE76+$L$8)-$K$8)-0.5*HU_alpha/$S$8*((AE76+$L$8)-$K$8)^2,IF((AE76+$L$8)&gt;=$T$8,HU_beta*((AE76+$L$8)-$K$8),HU_beta*($T$8-$K$8)))))</f>
        <v/>
      </c>
      <c r="AP76" s="29">
        <f>IF(OR(AN76=0,$S$8=0),0,IF((AE76+$L$8+$N$8)&gt;$S$8/HU_alpha+$K$8,0.5*$S$8/HU_alpha,IF((AE76+$L$8+$N$8)&gt;=$K$8,((AE76+$L$8+$N$8)-$K$8)-0.5*HU_alpha/$S$8*((AE76+$L$8+$N$8)-$K$8)^2,IF((AE76+$L$8+$N$8)&gt;=$T$8,HU_beta*((AE76+$L$8+$N$8)-$K$8),HU_beta*($T$8-$K$8)))))</f>
        <v/>
      </c>
      <c r="AQ76" s="29">
        <f>IF(OR(AN76=0,$S$8=0),0,IF((AE76+$K$8)&gt;$S$8/HU_alpha+$K$8,0.5*$S$8/HU_alpha,IF((AE76+$K$8)&gt;=$K$8,((AE76+$K$8)-$K$8)-0.5*HU_alpha/$S$8*((AE76+$K$8)-$K$8)^2,IF((AE76+$K$8)&gt;=$T$8,HU_beta*((AE76+$K$8)-$K$8),HU_beta*($T$8-$K$8)))))</f>
        <v/>
      </c>
      <c r="AR76" s="63">
        <f>IF(AND($J$9,A76&gt;=1,A76&lt;=$Q$9-1),J76,0)</f>
        <v/>
      </c>
      <c r="AS76" s="29">
        <f>IF(OR(AR76=0,$S$9=0),0,IF((AE76+$L$9)&gt;$S$9/HU_alpha+$K$9,0.5*$S$9/HU_alpha,IF((AE76+$L$9)&gt;=$K$9,((AE76+$L$9)-$K$9)-0.5*HU_alpha/$S$9*((AE76+$L$9)-$K$9)^2,IF((AE76+$L$9)&gt;=$T$9,HU_beta*((AE76+$L$9)-$K$9),HU_beta*($T$9-$K$9)))))</f>
        <v/>
      </c>
      <c r="AT76" s="29">
        <f>IF(OR(AR76=0,$S$9=0),0,IF((AE76+$L$9+$N$9)&gt;$S$9/HU_alpha+$K$9,0.5*$S$9/HU_alpha,IF((AE76+$L$9+$N$9)&gt;=$K$9,((AE76+$L$9+$N$9)-$K$9)-0.5*HU_alpha/$S$9*((AE76+$L$9+$N$9)-$K$9)^2,IF((AE76+$L$9+$N$9)&gt;=$T$9,HU_beta*((AE76+$L$9+$N$9)-$K$9),HU_beta*($T$9-$K$9)))))</f>
        <v/>
      </c>
      <c r="AU76" s="29">
        <f>IF(OR(AR76=0,$S$9=0),0,IF((AE76+$K$9)&gt;$S$9/HU_alpha+$K$9,0.5*$S$9/HU_alpha,IF((AE76+$K$9)&gt;=$K$9,((AE76+$K$9)-$K$9)-0.5*HU_alpha/$S$9*((AE76+$K$9)-$K$9)^2,IF((AE76+$K$9)&gt;=$T$9,HU_beta*((AE76+$K$9)-$K$9),HU_beta*($T$9-$K$9)))))</f>
        <v/>
      </c>
      <c r="AV76" s="63">
        <f>IF(AND($J$10,A76=$Q$10),J76,0)</f>
        <v/>
      </c>
      <c r="AW76" s="29">
        <f>IF(OR(AV76=0,$S$10=0),0,IF((AD76+$L$10)&gt;$S$10/HU_alpha+$K$10,0.5*$S$10/HU_alpha,IF((AD76+$L$10)&gt;=$K$10,((AD76+$L$10)-$K$10)-0.5*HU_alpha/$S$10*((AD76+$L$10)-$K$10)^2,IF((AD76+$L$10)&gt;=$T$10,HU_beta*((AD76+$L$10)-$K$10),HU_beta*($T$10-$K$10)))))</f>
        <v/>
      </c>
      <c r="AX76" s="29">
        <f>IF(OR(AV76=0,$S$10=0),0,IF((AD76+$L$10+$N$10)&gt;$S$10/HU_alpha+$K$10,0.5*$S$10/HU_alpha,IF((AD76+$L$10+$N$10)&gt;=$K$10,((AD76+$L$10+$N$10)-$K$10)-0.5*HU_alpha/$S$10*((AD76+$L$10+$N$10)-$K$10)^2,IF((AD76+$L$10+$N$10)&gt;=$T$10,HU_beta*((AD76+$L$10+$N$10)-$K$10),HU_beta*($T$10-$K$10)))))</f>
        <v/>
      </c>
      <c r="AY76" s="29">
        <f>IF(OR(AV76=0,$S$10=0),0,IF((AD76+$K$10)&gt;$S$10/HU_alpha+$K$10,0.5*$S$10/HU_alpha,IF((AD76+$K$10)&gt;=$K$10,((AD76+$K$10)-$K$10)-0.5*HU_alpha/$S$10*((AD76+$K$10)-$K$10)^2,IF((AD76+$K$10)&gt;=$T$10,HU_beta*((AD76+$K$10)-$K$10),HU_beta*($T$10-$K$10)))))</f>
        <v/>
      </c>
      <c r="AZ76" s="63">
        <f>IF(AND($J$11,A76=$Q$11),J76,0)</f>
        <v/>
      </c>
      <c r="BA76" s="29">
        <f>IF(OR(AZ76=0,$S$11=0),0,IF((AE76+$L$11)&gt;$S$11/HU_alpha+$K$11,0.5*$S$11/HU_alpha,IF((AE76+$L$11)&gt;=$K$11,((AE76+$L$11)-$K$11)-0.5*HU_alpha/$S$11*((AE76+$L$11)-$K$11)^2,IF((AE76+$L$11)&gt;=$T$11,HU_beta*((AE76+$L$11)-$K$11),HU_beta*($T$11-$K$11)))))</f>
        <v/>
      </c>
      <c r="BB76" s="29">
        <f>IF(OR(AZ76=0,$S$11=0),0,IF((AE76+$L$11+$N$11)&gt;$S$11/HU_alpha+$K$11,0.5*$S$11/HU_alpha,IF((AE76+$L$11+$N$11)&gt;=$K$11,((AE76+$L$11+$N$11)-$K$11)-0.5*HU_alpha/$S$11*((AE76+$L$11+$N$11)-$K$11)^2,IF((AE76+$L$11+$N$11)&gt;=$T$11,HU_beta*((AE76+$L$11+$N$11)-$K$11),HU_beta*($T$11-$K$11)))))</f>
        <v/>
      </c>
      <c r="BC76" s="29">
        <f>IF(OR(AZ76=0,$S$11=0),0,IF((AE76+$K$11)&gt;$S$11/HU_alpha+$K$11,0.5*$S$11/HU_alpha,IF((AE76+$K$11)&gt;=$K$11,((AE76+$K$11)-$K$11)-0.5*HU_alpha/$S$11*((AE76+$K$11)-$K$11)^2,IF((AE76+$K$11)&gt;=$T$11,HU_beta*((AE76+$K$11)-$K$11),HU_beta*($T$11-$K$11)))))</f>
        <v/>
      </c>
      <c r="BD76" s="63">
        <f>IF(AND($J$12,A76=$Q$12),J76,0)</f>
        <v/>
      </c>
      <c r="BE76" s="29">
        <f>IF(OR(BD76=0,$S$12=0),0,IF((AE76+$L$12)&gt;$S$12/HU_alpha+$K$12,0.5*$S$12/HU_alpha,IF((AE76+$L$12)&gt;=$K$12,((AE76+$L$12)-$K$12)-0.5*HU_alpha/$S$12*((AE76+$L$12)-$K$12)^2,IF((AE76+$L$12)&gt;=$T$12,HU_beta*((AE76+$L$12)-$K$12),HU_beta*($T$12-$K$12)))))</f>
        <v/>
      </c>
      <c r="BF76" s="29">
        <f>IF(OR(BD76=0,$S$12=0),0,IF((AE76+$L$12+$N$12)&gt;$S$12/HU_alpha+$K$12,0.5*$S$12/HU_alpha,IF((AE76+$L$12+$N$12)&gt;=$K$12,((AE76+$L$12+$N$12)-$K$12)-0.5*HU_alpha/$S$12*((AE76+$L$12+$N$12)-$K$12)^2,IF((AE76+$L$12+$N$12)&gt;=$T$12,HU_beta*((AE76+$L$12+$N$12)-$K$12),HU_beta*($T$12-$K$12)))))</f>
        <v/>
      </c>
      <c r="BG76" s="29">
        <f>IF(OR(BD76=0,$S$12=0),0,IF((AE76+$K$12)&gt;$S$12/HU_alpha+$K$12,0.5*$S$12/HU_alpha,IF((AE76+$K$12)&gt;=$K$12,((AE76+$K$12)-$K$12)-0.5*HU_alpha/$S$12*((AE76+$K$12)-$K$12)^2,IF((AE76+$K$12)&gt;=$T$12,HU_beta*((AE76+$K$12)-$K$12),HU_beta*($T$12-$K$12)))))</f>
        <v/>
      </c>
      <c r="BH76" s="63">
        <f>IF(AND($J$13,A76=$Q$13),J76,0)</f>
        <v/>
      </c>
      <c r="BI76" s="29">
        <f>IF(OR(BH76=0,$S$13=0),0,IF((AE76+$L$13)&gt;$S$13/HU_alpha+$K$13,0.5*$S$13/HU_alpha,IF((AE76+$L$13)&gt;=$K$13,((AE76+$L$13)-$K$13)-0.5*HU_alpha/$S$13*((AE76+$L$13)-$K$13)^2,IF((AE76+$L$13)&gt;=$T$13,HU_beta*((AE76+$L$13)-$K$13),HU_beta*($T$13-$K$13)))))</f>
        <v/>
      </c>
      <c r="BJ76" s="29">
        <f>IF(OR(BH76=0,$S$13=0),0,IF((AE76+$L$13+$N$13)&gt;$S$13/HU_alpha+$K$13,0.5*$S$13/HU_alpha,IF((AE76+$L$13+$N$13)&gt;=$K$13,((AE76+$L$13+$N$13)-$K$13)-0.5*HU_alpha/$S$13*((AE76+$L$13+$N$13)-$K$13)^2,IF((AE76+$L$13+$N$13)&gt;=$T$13,HU_beta*((AE76+$L$13+$N$13)-$K$13),HU_beta*($T$13-$K$13)))))</f>
        <v/>
      </c>
      <c r="BK76" s="29">
        <f>IF(OR(BH76=0,$S$13=0),0,IF((AE76+$K$13)&gt;$S$13/HU_alpha+$K$13,0.5*$S$13/HU_alpha,IF((AE76+$K$13)&gt;=$K$13,((AE76+$K$13)-$K$13)-0.5*HU_alpha/$S$13*((AE76+$K$13)-$K$13)^2,IF((AE76+$K$13)&gt;=$T$13,HU_beta*((AE76+$K$13)-$K$13),HU_beta*($T$13-$K$13)))))</f>
        <v/>
      </c>
    </row>
    <row r="77">
      <c r="A77" s="61" t="n">
        <v>9</v>
      </c>
      <c r="B77" s="61">
        <f>HU_age+A77</f>
        <v/>
      </c>
      <c r="C77" s="52">
        <f>A77&lt;=HU_T</f>
        <v/>
      </c>
      <c r="D77" s="63">
        <f>IF(OR(A77&lt;1,A77&gt;HU_T),0,INDEX(HU_q_mort,HU_age+A77-17,HU_col))</f>
        <v/>
      </c>
      <c r="E77" s="63">
        <f>IF(OR(A77&lt;1,A77&gt;HU_T),0,INDEX(HU_q_adb,HU_age+A77-17,HU_col))</f>
        <v/>
      </c>
      <c r="F77" s="63">
        <f>IF(OR(A77&lt;1,A77&gt;HU_T),0,INDEX(HU_q_morb,HU_age+A77-17,HU_col))</f>
        <v/>
      </c>
      <c r="G77" s="63">
        <f>IF(OR(A77&lt;1,A77&gt;HU_T),0,INDEX(HU_q_ptd,HU_age+A77-17,HU_col))</f>
        <v/>
      </c>
      <c r="H77" s="63">
        <f>IF(OR(A77&lt;1,A77&gt;HU_T),0,INDEX(HU_q_dis,HU_age+A77-17,HU_col))</f>
        <v/>
      </c>
      <c r="I77" s="63">
        <f>IF(A77&gt;HU_T,0,I76*(1-D77)*(1-E77))</f>
        <v/>
      </c>
      <c r="J77" s="63">
        <f>IF(A77&gt;=HU_T,0,N(I78))</f>
        <v/>
      </c>
      <c r="K77" s="63">
        <f>K76*(1-G77)</f>
        <v/>
      </c>
      <c r="L77" s="63">
        <f>1-K77</f>
        <v/>
      </c>
      <c r="M77" s="63">
        <f>K76*G77</f>
        <v/>
      </c>
      <c r="N77" s="63">
        <f>N76*(1-H77)</f>
        <v/>
      </c>
      <c r="O77" s="63">
        <f>1-N76</f>
        <v/>
      </c>
      <c r="P77" s="63">
        <f>P76*(1-F77)</f>
        <v/>
      </c>
      <c r="Q77" s="63">
        <f>1-P76/INDEX($P$68:$P$150,MAX(1,A77-HU_ciYears))</f>
        <v/>
      </c>
      <c r="R77" s="60">
        <f>(1+inflationRate)^A77</f>
        <v/>
      </c>
      <c r="S77" s="29">
        <f>IF(OR(OR(A77&lt;1,A77&gt;HU_T),A77-1&gt;=HU_dtr),0,HU_inc0*(1+incomeGrowthRate)^A77)</f>
        <v/>
      </c>
      <c r="T77" s="60">
        <f>IF(A77&gt;HU_T,T76,T76*(1+INDEX(HU_ssG,HU_age+A77-17)))</f>
        <v/>
      </c>
      <c r="U77" s="29">
        <f>IF(AND(HU_dtr&gt;=1,A77=HU_dtr,A77&lt;=HU_T),MIN(S77*INDEX(HU_ssC,HU_age+A77-17)/(1-INDEX(HU_ssC,HU_age+A77-17)),INDEX(HU_ssCap,HU_age+A77-17))*T77,0)</f>
        <v/>
      </c>
      <c r="V77" s="29">
        <f>S77+U77+IF(AND(HU_wdOn,A77=HU_wdYear),HU_wdIncome,0)</f>
        <v/>
      </c>
      <c r="W77" s="60">
        <f>HU_ciProp*Q77+HU_tpdCut*L77+HU_disCut*O77</f>
        <v/>
      </c>
      <c r="X77" s="29">
        <f>IF(OR(A77&lt;1,A77&gt;HU_T),0,V77*(1-W77))</f>
        <v/>
      </c>
      <c r="Y77" s="29">
        <f>IF(OR(A77&lt;1,A77&gt;HU_T),0,IF(AND(HU_retExp&gt;0,A77-1&gt;=HU_dtr),HU_retExp,HU_exp0)*R77)</f>
        <v/>
      </c>
      <c r="Z77" s="29">
        <f>-Y77-IF(AND(HU_wdOn,A77=HU_wdYear),HU_wdOut,0)</f>
        <v/>
      </c>
      <c r="AA77" s="29">
        <f>IF(OR(A77&lt;1,A77&gt;HU_T),0,-HU_medCost*R77*F77-HU_tpdCost*R77*M77)</f>
        <v/>
      </c>
      <c r="AB77" s="29">
        <f>IF(A77&gt;HU_T,0,AB76*(1+interestRate)+X77+Z77+AA77)</f>
        <v/>
      </c>
      <c r="AC77" s="29">
        <f>IF(A77&gt;HU_T,0,HU_inv*EXP(HU_mu*A77))</f>
        <v/>
      </c>
      <c r="AD77" s="29">
        <f>IF(A77&gt;HU_T,0,MAX(0,AC77+AB77))</f>
        <v/>
      </c>
      <c r="AE77" s="29">
        <f>IF(A77&gt;HU_T,0,MAX(0,X77-Y77))</f>
        <v/>
      </c>
      <c r="AF77" s="63">
        <f>IF(AND($J$6,A77&gt;=1,A77&lt;=$Q$6-1),J77,0)</f>
        <v/>
      </c>
      <c r="AG77" s="29">
        <f>IF(OR(AF77=0,$S$6=0),0,IF((AD77+$L$6)&gt;$S$6/HU_alpha+$K$6,0.5*$S$6/HU_alpha,IF((AD77+$L$6)&gt;=$K$6,((AD77+$L$6)-$K$6)-0.5*HU_alpha/$S$6*((AD77+$L$6)-$K$6)^2,IF((AD77+$L$6)&gt;=$T$6,HU_beta*((AD77+$L$6)-$K$6),HU_beta*($T$6-$K$6)))))</f>
        <v/>
      </c>
      <c r="AH77" s="29">
        <f>IF(OR(AF77=0,$S$6=0),0,IF((AD77+$L$6+$N$6)&gt;$S$6/HU_alpha+$K$6,0.5*$S$6/HU_alpha,IF((AD77+$L$6+$N$6)&gt;=$K$6,((AD77+$L$6+$N$6)-$K$6)-0.5*HU_alpha/$S$6*((AD77+$L$6+$N$6)-$K$6)^2,IF((AD77+$L$6+$N$6)&gt;=$T$6,HU_beta*((AD77+$L$6+$N$6)-$K$6),HU_beta*($T$6-$K$6)))))</f>
        <v/>
      </c>
      <c r="AI77" s="29">
        <f>IF(OR(AF77=0,$S$6=0),0,IF((AD77+$K$6)&gt;$S$6/HU_alpha+$K$6,0.5*$S$6/HU_alpha,IF((AD77+$K$6)&gt;=$K$6,((AD77+$K$6)-$K$6)-0.5*HU_alpha/$S$6*((AD77+$K$6)-$K$6)^2,IF((AD77+$K$6)&gt;=$T$6,HU_beta*((AD77+$K$6)-$K$6),HU_beta*($T$6-$K$6)))))</f>
        <v/>
      </c>
      <c r="AJ77" s="63">
        <f>IF(AND($J$7,A77&gt;=1,A77&lt;=$Q$7-1),J77,0)</f>
        <v/>
      </c>
      <c r="AK77" s="29">
        <f>IF(OR(AJ77=0,$S$7=0),0,IF((AE77+$L$7)&gt;$S$7/HU_alpha+$K$7,0.5*$S$7/HU_alpha,IF((AE77+$L$7)&gt;=$K$7,((AE77+$L$7)-$K$7)-0.5*HU_alpha/$S$7*((AE77+$L$7)-$K$7)^2,IF((AE77+$L$7)&gt;=$T$7,HU_beta*((AE77+$L$7)-$K$7),HU_beta*($T$7-$K$7)))))</f>
        <v/>
      </c>
      <c r="AL77" s="29">
        <f>IF(OR(AJ77=0,$S$7=0),0,IF((AE77+$L$7+$N$7)&gt;$S$7/HU_alpha+$K$7,0.5*$S$7/HU_alpha,IF((AE77+$L$7+$N$7)&gt;=$K$7,((AE77+$L$7+$N$7)-$K$7)-0.5*HU_alpha/$S$7*((AE77+$L$7+$N$7)-$K$7)^2,IF((AE77+$L$7+$N$7)&gt;=$T$7,HU_beta*((AE77+$L$7+$N$7)-$K$7),HU_beta*($T$7-$K$7)))))</f>
        <v/>
      </c>
      <c r="AM77" s="29">
        <f>IF(OR(AJ77=0,$S$7=0),0,IF((AE77+$K$7)&gt;$S$7/HU_alpha+$K$7,0.5*$S$7/HU_alpha,IF((AE77+$K$7)&gt;=$K$7,((AE77+$K$7)-$K$7)-0.5*HU_alpha/$S$7*((AE77+$K$7)-$K$7)^2,IF((AE77+$K$7)&gt;=$T$7,HU_beta*((AE77+$K$7)-$K$7),HU_beta*($T$7-$K$7)))))</f>
        <v/>
      </c>
      <c r="AN77" s="63">
        <f>IF(AND($J$8,A77&gt;=1,A77&lt;=$Q$8-1),J77,0)</f>
        <v/>
      </c>
      <c r="AO77" s="29">
        <f>IF(OR(AN77=0,$S$8=0),0,IF((AE77+$L$8)&gt;$S$8/HU_alpha+$K$8,0.5*$S$8/HU_alpha,IF((AE77+$L$8)&gt;=$K$8,((AE77+$L$8)-$K$8)-0.5*HU_alpha/$S$8*((AE77+$L$8)-$K$8)^2,IF((AE77+$L$8)&gt;=$T$8,HU_beta*((AE77+$L$8)-$K$8),HU_beta*($T$8-$K$8)))))</f>
        <v/>
      </c>
      <c r="AP77" s="29">
        <f>IF(OR(AN77=0,$S$8=0),0,IF((AE77+$L$8+$N$8)&gt;$S$8/HU_alpha+$K$8,0.5*$S$8/HU_alpha,IF((AE77+$L$8+$N$8)&gt;=$K$8,((AE77+$L$8+$N$8)-$K$8)-0.5*HU_alpha/$S$8*((AE77+$L$8+$N$8)-$K$8)^2,IF((AE77+$L$8+$N$8)&gt;=$T$8,HU_beta*((AE77+$L$8+$N$8)-$K$8),HU_beta*($T$8-$K$8)))))</f>
        <v/>
      </c>
      <c r="AQ77" s="29">
        <f>IF(OR(AN77=0,$S$8=0),0,IF((AE77+$K$8)&gt;$S$8/HU_alpha+$K$8,0.5*$S$8/HU_alpha,IF((AE77+$K$8)&gt;=$K$8,((AE77+$K$8)-$K$8)-0.5*HU_alpha/$S$8*((AE77+$K$8)-$K$8)^2,IF((AE77+$K$8)&gt;=$T$8,HU_beta*((AE77+$K$8)-$K$8),HU_beta*($T$8-$K$8)))))</f>
        <v/>
      </c>
      <c r="AR77" s="63">
        <f>IF(AND($J$9,A77&gt;=1,A77&lt;=$Q$9-1),J77,0)</f>
        <v/>
      </c>
      <c r="AS77" s="29">
        <f>IF(OR(AR77=0,$S$9=0),0,IF((AE77+$L$9)&gt;$S$9/HU_alpha+$K$9,0.5*$S$9/HU_alpha,IF((AE77+$L$9)&gt;=$K$9,((AE77+$L$9)-$K$9)-0.5*HU_alpha/$S$9*((AE77+$L$9)-$K$9)^2,IF((AE77+$L$9)&gt;=$T$9,HU_beta*((AE77+$L$9)-$K$9),HU_beta*($T$9-$K$9)))))</f>
        <v/>
      </c>
      <c r="AT77" s="29">
        <f>IF(OR(AR77=0,$S$9=0),0,IF((AE77+$L$9+$N$9)&gt;$S$9/HU_alpha+$K$9,0.5*$S$9/HU_alpha,IF((AE77+$L$9+$N$9)&gt;=$K$9,((AE77+$L$9+$N$9)-$K$9)-0.5*HU_alpha/$S$9*((AE77+$L$9+$N$9)-$K$9)^2,IF((AE77+$L$9+$N$9)&gt;=$T$9,HU_beta*((AE77+$L$9+$N$9)-$K$9),HU_beta*($T$9-$K$9)))))</f>
        <v/>
      </c>
      <c r="AU77" s="29">
        <f>IF(OR(AR77=0,$S$9=0),0,IF((AE77+$K$9)&gt;$S$9/HU_alpha+$K$9,0.5*$S$9/HU_alpha,IF((AE77+$K$9)&gt;=$K$9,((AE77+$K$9)-$K$9)-0.5*HU_alpha/$S$9*((AE77+$K$9)-$K$9)^2,IF((AE77+$K$9)&gt;=$T$9,HU_beta*((AE77+$K$9)-$K$9),HU_beta*($T$9-$K$9)))))</f>
        <v/>
      </c>
      <c r="AV77" s="63">
        <f>IF(AND($J$10,A77=$Q$10),J77,0)</f>
        <v/>
      </c>
      <c r="AW77" s="29">
        <f>IF(OR(AV77=0,$S$10=0),0,IF((AD77+$L$10)&gt;$S$10/HU_alpha+$K$10,0.5*$S$10/HU_alpha,IF((AD77+$L$10)&gt;=$K$10,((AD77+$L$10)-$K$10)-0.5*HU_alpha/$S$10*((AD77+$L$10)-$K$10)^2,IF((AD77+$L$10)&gt;=$T$10,HU_beta*((AD77+$L$10)-$K$10),HU_beta*($T$10-$K$10)))))</f>
        <v/>
      </c>
      <c r="AX77" s="29">
        <f>IF(OR(AV77=0,$S$10=0),0,IF((AD77+$L$10+$N$10)&gt;$S$10/HU_alpha+$K$10,0.5*$S$10/HU_alpha,IF((AD77+$L$10+$N$10)&gt;=$K$10,((AD77+$L$10+$N$10)-$K$10)-0.5*HU_alpha/$S$10*((AD77+$L$10+$N$10)-$K$10)^2,IF((AD77+$L$10+$N$10)&gt;=$T$10,HU_beta*((AD77+$L$10+$N$10)-$K$10),HU_beta*($T$10-$K$10)))))</f>
        <v/>
      </c>
      <c r="AY77" s="29">
        <f>IF(OR(AV77=0,$S$10=0),0,IF((AD77+$K$10)&gt;$S$10/HU_alpha+$K$10,0.5*$S$10/HU_alpha,IF((AD77+$K$10)&gt;=$K$10,((AD77+$K$10)-$K$10)-0.5*HU_alpha/$S$10*((AD77+$K$10)-$K$10)^2,IF((AD77+$K$10)&gt;=$T$10,HU_beta*((AD77+$K$10)-$K$10),HU_beta*($T$10-$K$10)))))</f>
        <v/>
      </c>
      <c r="AZ77" s="63">
        <f>IF(AND($J$11,A77=$Q$11),J77,0)</f>
        <v/>
      </c>
      <c r="BA77" s="29">
        <f>IF(OR(AZ77=0,$S$11=0),0,IF((AE77+$L$11)&gt;$S$11/HU_alpha+$K$11,0.5*$S$11/HU_alpha,IF((AE77+$L$11)&gt;=$K$11,((AE77+$L$11)-$K$11)-0.5*HU_alpha/$S$11*((AE77+$L$11)-$K$11)^2,IF((AE77+$L$11)&gt;=$T$11,HU_beta*((AE77+$L$11)-$K$11),HU_beta*($T$11-$K$11)))))</f>
        <v/>
      </c>
      <c r="BB77" s="29">
        <f>IF(OR(AZ77=0,$S$11=0),0,IF((AE77+$L$11+$N$11)&gt;$S$11/HU_alpha+$K$11,0.5*$S$11/HU_alpha,IF((AE77+$L$11+$N$11)&gt;=$K$11,((AE77+$L$11+$N$11)-$K$11)-0.5*HU_alpha/$S$11*((AE77+$L$11+$N$11)-$K$11)^2,IF((AE77+$L$11+$N$11)&gt;=$T$11,HU_beta*((AE77+$L$11+$N$11)-$K$11),HU_beta*($T$11-$K$11)))))</f>
        <v/>
      </c>
      <c r="BC77" s="29">
        <f>IF(OR(AZ77=0,$S$11=0),0,IF((AE77+$K$11)&gt;$S$11/HU_alpha+$K$11,0.5*$S$11/HU_alpha,IF((AE77+$K$11)&gt;=$K$11,((AE77+$K$11)-$K$11)-0.5*HU_alpha/$S$11*((AE77+$K$11)-$K$11)^2,IF((AE77+$K$11)&gt;=$T$11,HU_beta*((AE77+$K$11)-$K$11),HU_beta*($T$11-$K$11)))))</f>
        <v/>
      </c>
      <c r="BD77" s="63">
        <f>IF(AND($J$12,A77=$Q$12),J77,0)</f>
        <v/>
      </c>
      <c r="BE77" s="29">
        <f>IF(OR(BD77=0,$S$12=0),0,IF((AE77+$L$12)&gt;$S$12/HU_alpha+$K$12,0.5*$S$12/HU_alpha,IF((AE77+$L$12)&gt;=$K$12,((AE77+$L$12)-$K$12)-0.5*HU_alpha/$S$12*((AE77+$L$12)-$K$12)^2,IF((AE77+$L$12)&gt;=$T$12,HU_beta*((AE77+$L$12)-$K$12),HU_beta*($T$12-$K$12)))))</f>
        <v/>
      </c>
      <c r="BF77" s="29">
        <f>IF(OR(BD77=0,$S$12=0),0,IF((AE77+$L$12+$N$12)&gt;$S$12/HU_alpha+$K$12,0.5*$S$12/HU_alpha,IF((AE77+$L$12+$N$12)&gt;=$K$12,((AE77+$L$12+$N$12)-$K$12)-0.5*HU_alpha/$S$12*((AE77+$L$12+$N$12)-$K$12)^2,IF((AE77+$L$12+$N$12)&gt;=$T$12,HU_beta*((AE77+$L$12+$N$12)-$K$12),HU_beta*($T$12-$K$12)))))</f>
        <v/>
      </c>
      <c r="BG77" s="29">
        <f>IF(OR(BD77=0,$S$12=0),0,IF((AE77+$K$12)&gt;$S$12/HU_alpha+$K$12,0.5*$S$12/HU_alpha,IF((AE77+$K$12)&gt;=$K$12,((AE77+$K$12)-$K$12)-0.5*HU_alpha/$S$12*((AE77+$K$12)-$K$12)^2,IF((AE77+$K$12)&gt;=$T$12,HU_beta*((AE77+$K$12)-$K$12),HU_beta*($T$12-$K$12)))))</f>
        <v/>
      </c>
      <c r="BH77" s="63">
        <f>IF(AND($J$13,A77=$Q$13),J77,0)</f>
        <v/>
      </c>
      <c r="BI77" s="29">
        <f>IF(OR(BH77=0,$S$13=0),0,IF((AE77+$L$13)&gt;$S$13/HU_alpha+$K$13,0.5*$S$13/HU_alpha,IF((AE77+$L$13)&gt;=$K$13,((AE77+$L$13)-$K$13)-0.5*HU_alpha/$S$13*((AE77+$L$13)-$K$13)^2,IF((AE77+$L$13)&gt;=$T$13,HU_beta*((AE77+$L$13)-$K$13),HU_beta*($T$13-$K$13)))))</f>
        <v/>
      </c>
      <c r="BJ77" s="29">
        <f>IF(OR(BH77=0,$S$13=0),0,IF((AE77+$L$13+$N$13)&gt;$S$13/HU_alpha+$K$13,0.5*$S$13/HU_alpha,IF((AE77+$L$13+$N$13)&gt;=$K$13,((AE77+$L$13+$N$13)-$K$13)-0.5*HU_alpha/$S$13*((AE77+$L$13+$N$13)-$K$13)^2,IF((AE77+$L$13+$N$13)&gt;=$T$13,HU_beta*((AE77+$L$13+$N$13)-$K$13),HU_beta*($T$13-$K$13)))))</f>
        <v/>
      </c>
      <c r="BK77" s="29">
        <f>IF(OR(BH77=0,$S$13=0),0,IF((AE77+$K$13)&gt;$S$13/HU_alpha+$K$13,0.5*$S$13/HU_alpha,IF((AE77+$K$13)&gt;=$K$13,((AE77+$K$13)-$K$13)-0.5*HU_alpha/$S$13*((AE77+$K$13)-$K$13)^2,IF((AE77+$K$13)&gt;=$T$13,HU_beta*((AE77+$K$13)-$K$13),HU_beta*($T$13-$K$13)))))</f>
        <v/>
      </c>
    </row>
    <row r="78">
      <c r="A78" s="61" t="n">
        <v>10</v>
      </c>
      <c r="B78" s="61">
        <f>HU_age+A78</f>
        <v/>
      </c>
      <c r="C78" s="52">
        <f>A78&lt;=HU_T</f>
        <v/>
      </c>
      <c r="D78" s="63">
        <f>IF(OR(A78&lt;1,A78&gt;HU_T),0,INDEX(HU_q_mort,HU_age+A78-17,HU_col))</f>
        <v/>
      </c>
      <c r="E78" s="63">
        <f>IF(OR(A78&lt;1,A78&gt;HU_T),0,INDEX(HU_q_adb,HU_age+A78-17,HU_col))</f>
        <v/>
      </c>
      <c r="F78" s="63">
        <f>IF(OR(A78&lt;1,A78&gt;HU_T),0,INDEX(HU_q_morb,HU_age+A78-17,HU_col))</f>
        <v/>
      </c>
      <c r="G78" s="63">
        <f>IF(OR(A78&lt;1,A78&gt;HU_T),0,INDEX(HU_q_ptd,HU_age+A78-17,HU_col))</f>
        <v/>
      </c>
      <c r="H78" s="63">
        <f>IF(OR(A78&lt;1,A78&gt;HU_T),0,INDEX(HU_q_dis,HU_age+A78-17,HU_col))</f>
        <v/>
      </c>
      <c r="I78" s="63">
        <f>IF(A78&gt;HU_T,0,I77*(1-D78)*(1-E78))</f>
        <v/>
      </c>
      <c r="J78" s="63">
        <f>IF(A78&gt;=HU_T,0,N(I79))</f>
        <v/>
      </c>
      <c r="K78" s="63">
        <f>K77*(1-G78)</f>
        <v/>
      </c>
      <c r="L78" s="63">
        <f>1-K78</f>
        <v/>
      </c>
      <c r="M78" s="63">
        <f>K77*G78</f>
        <v/>
      </c>
      <c r="N78" s="63">
        <f>N77*(1-H78)</f>
        <v/>
      </c>
      <c r="O78" s="63">
        <f>1-N77</f>
        <v/>
      </c>
      <c r="P78" s="63">
        <f>P77*(1-F78)</f>
        <v/>
      </c>
      <c r="Q78" s="63">
        <f>1-P77/INDEX($P$68:$P$150,MAX(1,A78-HU_ciYears))</f>
        <v/>
      </c>
      <c r="R78" s="60">
        <f>(1+inflationRate)^A78</f>
        <v/>
      </c>
      <c r="S78" s="29">
        <f>IF(OR(OR(A78&lt;1,A78&gt;HU_T),A78-1&gt;=HU_dtr),0,HU_inc0*(1+incomeGrowthRate)^A78)</f>
        <v/>
      </c>
      <c r="T78" s="60">
        <f>IF(A78&gt;HU_T,T77,T77*(1+INDEX(HU_ssG,HU_age+A78-17)))</f>
        <v/>
      </c>
      <c r="U78" s="29">
        <f>IF(AND(HU_dtr&gt;=1,A78=HU_dtr,A78&lt;=HU_T),MIN(S78*INDEX(HU_ssC,HU_age+A78-17)/(1-INDEX(HU_ssC,HU_age+A78-17)),INDEX(HU_ssCap,HU_age+A78-17))*T78,0)</f>
        <v/>
      </c>
      <c r="V78" s="29">
        <f>S78+U78+IF(AND(HU_wdOn,A78=HU_wdYear),HU_wdIncome,0)</f>
        <v/>
      </c>
      <c r="W78" s="60">
        <f>HU_ciProp*Q78+HU_tpdCut*L78+HU_disCut*O78</f>
        <v/>
      </c>
      <c r="X78" s="29">
        <f>IF(OR(A78&lt;1,A78&gt;HU_T),0,V78*(1-W78))</f>
        <v/>
      </c>
      <c r="Y78" s="29">
        <f>IF(OR(A78&lt;1,A78&gt;HU_T),0,IF(AND(HU_retExp&gt;0,A78-1&gt;=HU_dtr),HU_retExp,HU_exp0)*R78)</f>
        <v/>
      </c>
      <c r="Z78" s="29">
        <f>-Y78-IF(AND(HU_wdOn,A78=HU_wdYear),HU_wdOut,0)</f>
        <v/>
      </c>
      <c r="AA78" s="29">
        <f>IF(OR(A78&lt;1,A78&gt;HU_T),0,-HU_medCost*R78*F78-HU_tpdCost*R78*M78)</f>
        <v/>
      </c>
      <c r="AB78" s="29">
        <f>IF(A78&gt;HU_T,0,AB77*(1+interestRate)+X78+Z78+AA78)</f>
        <v/>
      </c>
      <c r="AC78" s="29">
        <f>IF(A78&gt;HU_T,0,HU_inv*EXP(HU_mu*A78))</f>
        <v/>
      </c>
      <c r="AD78" s="29">
        <f>IF(A78&gt;HU_T,0,MAX(0,AC78+AB78))</f>
        <v/>
      </c>
      <c r="AE78" s="29">
        <f>IF(A78&gt;HU_T,0,MAX(0,X78-Y78))</f>
        <v/>
      </c>
      <c r="AF78" s="63">
        <f>IF(AND($J$6,A78&gt;=1,A78&lt;=$Q$6-1),J78,0)</f>
        <v/>
      </c>
      <c r="AG78" s="29">
        <f>IF(OR(AF78=0,$S$6=0),0,IF((AD78+$L$6)&gt;$S$6/HU_alpha+$K$6,0.5*$S$6/HU_alpha,IF((AD78+$L$6)&gt;=$K$6,((AD78+$L$6)-$K$6)-0.5*HU_alpha/$S$6*((AD78+$L$6)-$K$6)^2,IF((AD78+$L$6)&gt;=$T$6,HU_beta*((AD78+$L$6)-$K$6),HU_beta*($T$6-$K$6)))))</f>
        <v/>
      </c>
      <c r="AH78" s="29">
        <f>IF(OR(AF78=0,$S$6=0),0,IF((AD78+$L$6+$N$6)&gt;$S$6/HU_alpha+$K$6,0.5*$S$6/HU_alpha,IF((AD78+$L$6+$N$6)&gt;=$K$6,((AD78+$L$6+$N$6)-$K$6)-0.5*HU_alpha/$S$6*((AD78+$L$6+$N$6)-$K$6)^2,IF((AD78+$L$6+$N$6)&gt;=$T$6,HU_beta*((AD78+$L$6+$N$6)-$K$6),HU_beta*($T$6-$K$6)))))</f>
        <v/>
      </c>
      <c r="AI78" s="29">
        <f>IF(OR(AF78=0,$S$6=0),0,IF((AD78+$K$6)&gt;$S$6/HU_alpha+$K$6,0.5*$S$6/HU_alpha,IF((AD78+$K$6)&gt;=$K$6,((AD78+$K$6)-$K$6)-0.5*HU_alpha/$S$6*((AD78+$K$6)-$K$6)^2,IF((AD78+$K$6)&gt;=$T$6,HU_beta*((AD78+$K$6)-$K$6),HU_beta*($T$6-$K$6)))))</f>
        <v/>
      </c>
      <c r="AJ78" s="63">
        <f>IF(AND($J$7,A78&gt;=1,A78&lt;=$Q$7-1),J78,0)</f>
        <v/>
      </c>
      <c r="AK78" s="29">
        <f>IF(OR(AJ78=0,$S$7=0),0,IF((AE78+$L$7)&gt;$S$7/HU_alpha+$K$7,0.5*$S$7/HU_alpha,IF((AE78+$L$7)&gt;=$K$7,((AE78+$L$7)-$K$7)-0.5*HU_alpha/$S$7*((AE78+$L$7)-$K$7)^2,IF((AE78+$L$7)&gt;=$T$7,HU_beta*((AE78+$L$7)-$K$7),HU_beta*($T$7-$K$7)))))</f>
        <v/>
      </c>
      <c r="AL78" s="29">
        <f>IF(OR(AJ78=0,$S$7=0),0,IF((AE78+$L$7+$N$7)&gt;$S$7/HU_alpha+$K$7,0.5*$S$7/HU_alpha,IF((AE78+$L$7+$N$7)&gt;=$K$7,((AE78+$L$7+$N$7)-$K$7)-0.5*HU_alpha/$S$7*((AE78+$L$7+$N$7)-$K$7)^2,IF((AE78+$L$7+$N$7)&gt;=$T$7,HU_beta*((AE78+$L$7+$N$7)-$K$7),HU_beta*($T$7-$K$7)))))</f>
        <v/>
      </c>
      <c r="AM78" s="29">
        <f>IF(OR(AJ78=0,$S$7=0),0,IF((AE78+$K$7)&gt;$S$7/HU_alpha+$K$7,0.5*$S$7/HU_alpha,IF((AE78+$K$7)&gt;=$K$7,((AE78+$K$7)-$K$7)-0.5*HU_alpha/$S$7*((AE78+$K$7)-$K$7)^2,IF((AE78+$K$7)&gt;=$T$7,HU_beta*((AE78+$K$7)-$K$7),HU_beta*($T$7-$K$7)))))</f>
        <v/>
      </c>
      <c r="AN78" s="63">
        <f>IF(AND($J$8,A78&gt;=1,A78&lt;=$Q$8-1),J78,0)</f>
        <v/>
      </c>
      <c r="AO78" s="29">
        <f>IF(OR(AN78=0,$S$8=0),0,IF((AE78+$L$8)&gt;$S$8/HU_alpha+$K$8,0.5*$S$8/HU_alpha,IF((AE78+$L$8)&gt;=$K$8,((AE78+$L$8)-$K$8)-0.5*HU_alpha/$S$8*((AE78+$L$8)-$K$8)^2,IF((AE78+$L$8)&gt;=$T$8,HU_beta*((AE78+$L$8)-$K$8),HU_beta*($T$8-$K$8)))))</f>
        <v/>
      </c>
      <c r="AP78" s="29">
        <f>IF(OR(AN78=0,$S$8=0),0,IF((AE78+$L$8+$N$8)&gt;$S$8/HU_alpha+$K$8,0.5*$S$8/HU_alpha,IF((AE78+$L$8+$N$8)&gt;=$K$8,((AE78+$L$8+$N$8)-$K$8)-0.5*HU_alpha/$S$8*((AE78+$L$8+$N$8)-$K$8)^2,IF((AE78+$L$8+$N$8)&gt;=$T$8,HU_beta*((AE78+$L$8+$N$8)-$K$8),HU_beta*($T$8-$K$8)))))</f>
        <v/>
      </c>
      <c r="AQ78" s="29">
        <f>IF(OR(AN78=0,$S$8=0),0,IF((AE78+$K$8)&gt;$S$8/HU_alpha+$K$8,0.5*$S$8/HU_alpha,IF((AE78+$K$8)&gt;=$K$8,((AE78+$K$8)-$K$8)-0.5*HU_alpha/$S$8*((AE78+$K$8)-$K$8)^2,IF((AE78+$K$8)&gt;=$T$8,HU_beta*((AE78+$K$8)-$K$8),HU_beta*($T$8-$K$8)))))</f>
        <v/>
      </c>
      <c r="AR78" s="63">
        <f>IF(AND($J$9,A78&gt;=1,A78&lt;=$Q$9-1),J78,0)</f>
        <v/>
      </c>
      <c r="AS78" s="29">
        <f>IF(OR(AR78=0,$S$9=0),0,IF((AE78+$L$9)&gt;$S$9/HU_alpha+$K$9,0.5*$S$9/HU_alpha,IF((AE78+$L$9)&gt;=$K$9,((AE78+$L$9)-$K$9)-0.5*HU_alpha/$S$9*((AE78+$L$9)-$K$9)^2,IF((AE78+$L$9)&gt;=$T$9,HU_beta*((AE78+$L$9)-$K$9),HU_beta*($T$9-$K$9)))))</f>
        <v/>
      </c>
      <c r="AT78" s="29">
        <f>IF(OR(AR78=0,$S$9=0),0,IF((AE78+$L$9+$N$9)&gt;$S$9/HU_alpha+$K$9,0.5*$S$9/HU_alpha,IF((AE78+$L$9+$N$9)&gt;=$K$9,((AE78+$L$9+$N$9)-$K$9)-0.5*HU_alpha/$S$9*((AE78+$L$9+$N$9)-$K$9)^2,IF((AE78+$L$9+$N$9)&gt;=$T$9,HU_beta*((AE78+$L$9+$N$9)-$K$9),HU_beta*($T$9-$K$9)))))</f>
        <v/>
      </c>
      <c r="AU78" s="29">
        <f>IF(OR(AR78=0,$S$9=0),0,IF((AE78+$K$9)&gt;$S$9/HU_alpha+$K$9,0.5*$S$9/HU_alpha,IF((AE78+$K$9)&gt;=$K$9,((AE78+$K$9)-$K$9)-0.5*HU_alpha/$S$9*((AE78+$K$9)-$K$9)^2,IF((AE78+$K$9)&gt;=$T$9,HU_beta*((AE78+$K$9)-$K$9),HU_beta*($T$9-$K$9)))))</f>
        <v/>
      </c>
      <c r="AV78" s="63">
        <f>IF(AND($J$10,A78=$Q$10),J78,0)</f>
        <v/>
      </c>
      <c r="AW78" s="29">
        <f>IF(OR(AV78=0,$S$10=0),0,IF((AD78+$L$10)&gt;$S$10/HU_alpha+$K$10,0.5*$S$10/HU_alpha,IF((AD78+$L$10)&gt;=$K$10,((AD78+$L$10)-$K$10)-0.5*HU_alpha/$S$10*((AD78+$L$10)-$K$10)^2,IF((AD78+$L$10)&gt;=$T$10,HU_beta*((AD78+$L$10)-$K$10),HU_beta*($T$10-$K$10)))))</f>
        <v/>
      </c>
      <c r="AX78" s="29">
        <f>IF(OR(AV78=0,$S$10=0),0,IF((AD78+$L$10+$N$10)&gt;$S$10/HU_alpha+$K$10,0.5*$S$10/HU_alpha,IF((AD78+$L$10+$N$10)&gt;=$K$10,((AD78+$L$10+$N$10)-$K$10)-0.5*HU_alpha/$S$10*((AD78+$L$10+$N$10)-$K$10)^2,IF((AD78+$L$10+$N$10)&gt;=$T$10,HU_beta*((AD78+$L$10+$N$10)-$K$10),HU_beta*($T$10-$K$10)))))</f>
        <v/>
      </c>
      <c r="AY78" s="29">
        <f>IF(OR(AV78=0,$S$10=0),0,IF((AD78+$K$10)&gt;$S$10/HU_alpha+$K$10,0.5*$S$10/HU_alpha,IF((AD78+$K$10)&gt;=$K$10,((AD78+$K$10)-$K$10)-0.5*HU_alpha/$S$10*((AD78+$K$10)-$K$10)^2,IF((AD78+$K$10)&gt;=$T$10,HU_beta*((AD78+$K$10)-$K$10),HU_beta*($T$10-$K$10)))))</f>
        <v/>
      </c>
      <c r="AZ78" s="63">
        <f>IF(AND($J$11,A78=$Q$11),J78,0)</f>
        <v/>
      </c>
      <c r="BA78" s="29">
        <f>IF(OR(AZ78=0,$S$11=0),0,IF((AE78+$L$11)&gt;$S$11/HU_alpha+$K$11,0.5*$S$11/HU_alpha,IF((AE78+$L$11)&gt;=$K$11,((AE78+$L$11)-$K$11)-0.5*HU_alpha/$S$11*((AE78+$L$11)-$K$11)^2,IF((AE78+$L$11)&gt;=$T$11,HU_beta*((AE78+$L$11)-$K$11),HU_beta*($T$11-$K$11)))))</f>
        <v/>
      </c>
      <c r="BB78" s="29">
        <f>IF(OR(AZ78=0,$S$11=0),0,IF((AE78+$L$11+$N$11)&gt;$S$11/HU_alpha+$K$11,0.5*$S$11/HU_alpha,IF((AE78+$L$11+$N$11)&gt;=$K$11,((AE78+$L$11+$N$11)-$K$11)-0.5*HU_alpha/$S$11*((AE78+$L$11+$N$11)-$K$11)^2,IF((AE78+$L$11+$N$11)&gt;=$T$11,HU_beta*((AE78+$L$11+$N$11)-$K$11),HU_beta*($T$11-$K$11)))))</f>
        <v/>
      </c>
      <c r="BC78" s="29">
        <f>IF(OR(AZ78=0,$S$11=0),0,IF((AE78+$K$11)&gt;$S$11/HU_alpha+$K$11,0.5*$S$11/HU_alpha,IF((AE78+$K$11)&gt;=$K$11,((AE78+$K$11)-$K$11)-0.5*HU_alpha/$S$11*((AE78+$K$11)-$K$11)^2,IF((AE78+$K$11)&gt;=$T$11,HU_beta*((AE78+$K$11)-$K$11),HU_beta*($T$11-$K$11)))))</f>
        <v/>
      </c>
      <c r="BD78" s="63">
        <f>IF(AND($J$12,A78=$Q$12),J78,0)</f>
        <v/>
      </c>
      <c r="BE78" s="29">
        <f>IF(OR(BD78=0,$S$12=0),0,IF((AE78+$L$12)&gt;$S$12/HU_alpha+$K$12,0.5*$S$12/HU_alpha,IF((AE78+$L$12)&gt;=$K$12,((AE78+$L$12)-$K$12)-0.5*HU_alpha/$S$12*((AE78+$L$12)-$K$12)^2,IF((AE78+$L$12)&gt;=$T$12,HU_beta*((AE78+$L$12)-$K$12),HU_beta*($T$12-$K$12)))))</f>
        <v/>
      </c>
      <c r="BF78" s="29">
        <f>IF(OR(BD78=0,$S$12=0),0,IF((AE78+$L$12+$N$12)&gt;$S$12/HU_alpha+$K$12,0.5*$S$12/HU_alpha,IF((AE78+$L$12+$N$12)&gt;=$K$12,((AE78+$L$12+$N$12)-$K$12)-0.5*HU_alpha/$S$12*((AE78+$L$12+$N$12)-$K$12)^2,IF((AE78+$L$12+$N$12)&gt;=$T$12,HU_beta*((AE78+$L$12+$N$12)-$K$12),HU_beta*($T$12-$K$12)))))</f>
        <v/>
      </c>
      <c r="BG78" s="29">
        <f>IF(OR(BD78=0,$S$12=0),0,IF((AE78+$K$12)&gt;$S$12/HU_alpha+$K$12,0.5*$S$12/HU_alpha,IF((AE78+$K$12)&gt;=$K$12,((AE78+$K$12)-$K$12)-0.5*HU_alpha/$S$12*((AE78+$K$12)-$K$12)^2,IF((AE78+$K$12)&gt;=$T$12,HU_beta*((AE78+$K$12)-$K$12),HU_beta*($T$12-$K$12)))))</f>
        <v/>
      </c>
      <c r="BH78" s="63">
        <f>IF(AND($J$13,A78=$Q$13),J78,0)</f>
        <v/>
      </c>
      <c r="BI78" s="29">
        <f>IF(OR(BH78=0,$S$13=0),0,IF((AE78+$L$13)&gt;$S$13/HU_alpha+$K$13,0.5*$S$13/HU_alpha,IF((AE78+$L$13)&gt;=$K$13,((AE78+$L$13)-$K$13)-0.5*HU_alpha/$S$13*((AE78+$L$13)-$K$13)^2,IF((AE78+$L$13)&gt;=$T$13,HU_beta*((AE78+$L$13)-$K$13),HU_beta*($T$13-$K$13)))))</f>
        <v/>
      </c>
      <c r="BJ78" s="29">
        <f>IF(OR(BH78=0,$S$13=0),0,IF((AE78+$L$13+$N$13)&gt;$S$13/HU_alpha+$K$13,0.5*$S$13/HU_alpha,IF((AE78+$L$13+$N$13)&gt;=$K$13,((AE78+$L$13+$N$13)-$K$13)-0.5*HU_alpha/$S$13*((AE78+$L$13+$N$13)-$K$13)^2,IF((AE78+$L$13+$N$13)&gt;=$T$13,HU_beta*((AE78+$L$13+$N$13)-$K$13),HU_beta*($T$13-$K$13)))))</f>
        <v/>
      </c>
      <c r="BK78" s="29">
        <f>IF(OR(BH78=0,$S$13=0),0,IF((AE78+$K$13)&gt;$S$13/HU_alpha+$K$13,0.5*$S$13/HU_alpha,IF((AE78+$K$13)&gt;=$K$13,((AE78+$K$13)-$K$13)-0.5*HU_alpha/$S$13*((AE78+$K$13)-$K$13)^2,IF((AE78+$K$13)&gt;=$T$13,HU_beta*((AE78+$K$13)-$K$13),HU_beta*($T$13-$K$13)))))</f>
        <v/>
      </c>
    </row>
    <row r="79">
      <c r="A79" s="61" t="n">
        <v>11</v>
      </c>
      <c r="B79" s="61">
        <f>HU_age+A79</f>
        <v/>
      </c>
      <c r="C79" s="52">
        <f>A79&lt;=HU_T</f>
        <v/>
      </c>
      <c r="D79" s="63">
        <f>IF(OR(A79&lt;1,A79&gt;HU_T),0,INDEX(HU_q_mort,HU_age+A79-17,HU_col))</f>
        <v/>
      </c>
      <c r="E79" s="63">
        <f>IF(OR(A79&lt;1,A79&gt;HU_T),0,INDEX(HU_q_adb,HU_age+A79-17,HU_col))</f>
        <v/>
      </c>
      <c r="F79" s="63">
        <f>IF(OR(A79&lt;1,A79&gt;HU_T),0,INDEX(HU_q_morb,HU_age+A79-17,HU_col))</f>
        <v/>
      </c>
      <c r="G79" s="63">
        <f>IF(OR(A79&lt;1,A79&gt;HU_T),0,INDEX(HU_q_ptd,HU_age+A79-17,HU_col))</f>
        <v/>
      </c>
      <c r="H79" s="63">
        <f>IF(OR(A79&lt;1,A79&gt;HU_T),0,INDEX(HU_q_dis,HU_age+A79-17,HU_col))</f>
        <v/>
      </c>
      <c r="I79" s="63">
        <f>IF(A79&gt;HU_T,0,I78*(1-D79)*(1-E79))</f>
        <v/>
      </c>
      <c r="J79" s="63">
        <f>IF(A79&gt;=HU_T,0,N(I80))</f>
        <v/>
      </c>
      <c r="K79" s="63">
        <f>K78*(1-G79)</f>
        <v/>
      </c>
      <c r="L79" s="63">
        <f>1-K79</f>
        <v/>
      </c>
      <c r="M79" s="63">
        <f>K78*G79</f>
        <v/>
      </c>
      <c r="N79" s="63">
        <f>N78*(1-H79)</f>
        <v/>
      </c>
      <c r="O79" s="63">
        <f>1-N78</f>
        <v/>
      </c>
      <c r="P79" s="63">
        <f>P78*(1-F79)</f>
        <v/>
      </c>
      <c r="Q79" s="63">
        <f>1-P78/INDEX($P$68:$P$150,MAX(1,A79-HU_ciYears))</f>
        <v/>
      </c>
      <c r="R79" s="60">
        <f>(1+inflationRate)^A79</f>
        <v/>
      </c>
      <c r="S79" s="29">
        <f>IF(OR(OR(A79&lt;1,A79&gt;HU_T),A79-1&gt;=HU_dtr),0,HU_inc0*(1+incomeGrowthRate)^A79)</f>
        <v/>
      </c>
      <c r="T79" s="60">
        <f>IF(A79&gt;HU_T,T78,T78*(1+INDEX(HU_ssG,HU_age+A79-17)))</f>
        <v/>
      </c>
      <c r="U79" s="29">
        <f>IF(AND(HU_dtr&gt;=1,A79=HU_dtr,A79&lt;=HU_T),MIN(S79*INDEX(HU_ssC,HU_age+A79-17)/(1-INDEX(HU_ssC,HU_age+A79-17)),INDEX(HU_ssCap,HU_age+A79-17))*T79,0)</f>
        <v/>
      </c>
      <c r="V79" s="29">
        <f>S79+U79+IF(AND(HU_wdOn,A79=HU_wdYear),HU_wdIncome,0)</f>
        <v/>
      </c>
      <c r="W79" s="60">
        <f>HU_ciProp*Q79+HU_tpdCut*L79+HU_disCut*O79</f>
        <v/>
      </c>
      <c r="X79" s="29">
        <f>IF(OR(A79&lt;1,A79&gt;HU_T),0,V79*(1-W79))</f>
        <v/>
      </c>
      <c r="Y79" s="29">
        <f>IF(OR(A79&lt;1,A79&gt;HU_T),0,IF(AND(HU_retExp&gt;0,A79-1&gt;=HU_dtr),HU_retExp,HU_exp0)*R79)</f>
        <v/>
      </c>
      <c r="Z79" s="29">
        <f>-Y79-IF(AND(HU_wdOn,A79=HU_wdYear),HU_wdOut,0)</f>
        <v/>
      </c>
      <c r="AA79" s="29">
        <f>IF(OR(A79&lt;1,A79&gt;HU_T),0,-HU_medCost*R79*F79-HU_tpdCost*R79*M79)</f>
        <v/>
      </c>
      <c r="AB79" s="29">
        <f>IF(A79&gt;HU_T,0,AB78*(1+interestRate)+X79+Z79+AA79)</f>
        <v/>
      </c>
      <c r="AC79" s="29">
        <f>IF(A79&gt;HU_T,0,HU_inv*EXP(HU_mu*A79))</f>
        <v/>
      </c>
      <c r="AD79" s="29">
        <f>IF(A79&gt;HU_T,0,MAX(0,AC79+AB79))</f>
        <v/>
      </c>
      <c r="AE79" s="29">
        <f>IF(A79&gt;HU_T,0,MAX(0,X79-Y79))</f>
        <v/>
      </c>
      <c r="AF79" s="63">
        <f>IF(AND($J$6,A79&gt;=1,A79&lt;=$Q$6-1),J79,0)</f>
        <v/>
      </c>
      <c r="AG79" s="29">
        <f>IF(OR(AF79=0,$S$6=0),0,IF((AD79+$L$6)&gt;$S$6/HU_alpha+$K$6,0.5*$S$6/HU_alpha,IF((AD79+$L$6)&gt;=$K$6,((AD79+$L$6)-$K$6)-0.5*HU_alpha/$S$6*((AD79+$L$6)-$K$6)^2,IF((AD79+$L$6)&gt;=$T$6,HU_beta*((AD79+$L$6)-$K$6),HU_beta*($T$6-$K$6)))))</f>
        <v/>
      </c>
      <c r="AH79" s="29">
        <f>IF(OR(AF79=0,$S$6=0),0,IF((AD79+$L$6+$N$6)&gt;$S$6/HU_alpha+$K$6,0.5*$S$6/HU_alpha,IF((AD79+$L$6+$N$6)&gt;=$K$6,((AD79+$L$6+$N$6)-$K$6)-0.5*HU_alpha/$S$6*((AD79+$L$6+$N$6)-$K$6)^2,IF((AD79+$L$6+$N$6)&gt;=$T$6,HU_beta*((AD79+$L$6+$N$6)-$K$6),HU_beta*($T$6-$K$6)))))</f>
        <v/>
      </c>
      <c r="AI79" s="29">
        <f>IF(OR(AF79=0,$S$6=0),0,IF((AD79+$K$6)&gt;$S$6/HU_alpha+$K$6,0.5*$S$6/HU_alpha,IF((AD79+$K$6)&gt;=$K$6,((AD79+$K$6)-$K$6)-0.5*HU_alpha/$S$6*((AD79+$K$6)-$K$6)^2,IF((AD79+$K$6)&gt;=$T$6,HU_beta*((AD79+$K$6)-$K$6),HU_beta*($T$6-$K$6)))))</f>
        <v/>
      </c>
      <c r="AJ79" s="63">
        <f>IF(AND($J$7,A79&gt;=1,A79&lt;=$Q$7-1),J79,0)</f>
        <v/>
      </c>
      <c r="AK79" s="29">
        <f>IF(OR(AJ79=0,$S$7=0),0,IF((AE79+$L$7)&gt;$S$7/HU_alpha+$K$7,0.5*$S$7/HU_alpha,IF((AE79+$L$7)&gt;=$K$7,((AE79+$L$7)-$K$7)-0.5*HU_alpha/$S$7*((AE79+$L$7)-$K$7)^2,IF((AE79+$L$7)&gt;=$T$7,HU_beta*((AE79+$L$7)-$K$7),HU_beta*($T$7-$K$7)))))</f>
        <v/>
      </c>
      <c r="AL79" s="29">
        <f>IF(OR(AJ79=0,$S$7=0),0,IF((AE79+$L$7+$N$7)&gt;$S$7/HU_alpha+$K$7,0.5*$S$7/HU_alpha,IF((AE79+$L$7+$N$7)&gt;=$K$7,((AE79+$L$7+$N$7)-$K$7)-0.5*HU_alpha/$S$7*((AE79+$L$7+$N$7)-$K$7)^2,IF((AE79+$L$7+$N$7)&gt;=$T$7,HU_beta*((AE79+$L$7+$N$7)-$K$7),HU_beta*($T$7-$K$7)))))</f>
        <v/>
      </c>
      <c r="AM79" s="29">
        <f>IF(OR(AJ79=0,$S$7=0),0,IF((AE79+$K$7)&gt;$S$7/HU_alpha+$K$7,0.5*$S$7/HU_alpha,IF((AE79+$K$7)&gt;=$K$7,((AE79+$K$7)-$K$7)-0.5*HU_alpha/$S$7*((AE79+$K$7)-$K$7)^2,IF((AE79+$K$7)&gt;=$T$7,HU_beta*((AE79+$K$7)-$K$7),HU_beta*($T$7-$K$7)))))</f>
        <v/>
      </c>
      <c r="AN79" s="63">
        <f>IF(AND($J$8,A79&gt;=1,A79&lt;=$Q$8-1),J79,0)</f>
        <v/>
      </c>
      <c r="AO79" s="29">
        <f>IF(OR(AN79=0,$S$8=0),0,IF((AE79+$L$8)&gt;$S$8/HU_alpha+$K$8,0.5*$S$8/HU_alpha,IF((AE79+$L$8)&gt;=$K$8,((AE79+$L$8)-$K$8)-0.5*HU_alpha/$S$8*((AE79+$L$8)-$K$8)^2,IF((AE79+$L$8)&gt;=$T$8,HU_beta*((AE79+$L$8)-$K$8),HU_beta*($T$8-$K$8)))))</f>
        <v/>
      </c>
      <c r="AP79" s="29">
        <f>IF(OR(AN79=0,$S$8=0),0,IF((AE79+$L$8+$N$8)&gt;$S$8/HU_alpha+$K$8,0.5*$S$8/HU_alpha,IF((AE79+$L$8+$N$8)&gt;=$K$8,((AE79+$L$8+$N$8)-$K$8)-0.5*HU_alpha/$S$8*((AE79+$L$8+$N$8)-$K$8)^2,IF((AE79+$L$8+$N$8)&gt;=$T$8,HU_beta*((AE79+$L$8+$N$8)-$K$8),HU_beta*($T$8-$K$8)))))</f>
        <v/>
      </c>
      <c r="AQ79" s="29">
        <f>IF(OR(AN79=0,$S$8=0),0,IF((AE79+$K$8)&gt;$S$8/HU_alpha+$K$8,0.5*$S$8/HU_alpha,IF((AE79+$K$8)&gt;=$K$8,((AE79+$K$8)-$K$8)-0.5*HU_alpha/$S$8*((AE79+$K$8)-$K$8)^2,IF((AE79+$K$8)&gt;=$T$8,HU_beta*((AE79+$K$8)-$K$8),HU_beta*($T$8-$K$8)))))</f>
        <v/>
      </c>
      <c r="AR79" s="63">
        <f>IF(AND($J$9,A79&gt;=1,A79&lt;=$Q$9-1),J79,0)</f>
        <v/>
      </c>
      <c r="AS79" s="29">
        <f>IF(OR(AR79=0,$S$9=0),0,IF((AE79+$L$9)&gt;$S$9/HU_alpha+$K$9,0.5*$S$9/HU_alpha,IF((AE79+$L$9)&gt;=$K$9,((AE79+$L$9)-$K$9)-0.5*HU_alpha/$S$9*((AE79+$L$9)-$K$9)^2,IF((AE79+$L$9)&gt;=$T$9,HU_beta*((AE79+$L$9)-$K$9),HU_beta*($T$9-$K$9)))))</f>
        <v/>
      </c>
      <c r="AT79" s="29">
        <f>IF(OR(AR79=0,$S$9=0),0,IF((AE79+$L$9+$N$9)&gt;$S$9/HU_alpha+$K$9,0.5*$S$9/HU_alpha,IF((AE79+$L$9+$N$9)&gt;=$K$9,((AE79+$L$9+$N$9)-$K$9)-0.5*HU_alpha/$S$9*((AE79+$L$9+$N$9)-$K$9)^2,IF((AE79+$L$9+$N$9)&gt;=$T$9,HU_beta*((AE79+$L$9+$N$9)-$K$9),HU_beta*($T$9-$K$9)))))</f>
        <v/>
      </c>
      <c r="AU79" s="29">
        <f>IF(OR(AR79=0,$S$9=0),0,IF((AE79+$K$9)&gt;$S$9/HU_alpha+$K$9,0.5*$S$9/HU_alpha,IF((AE79+$K$9)&gt;=$K$9,((AE79+$K$9)-$K$9)-0.5*HU_alpha/$S$9*((AE79+$K$9)-$K$9)^2,IF((AE79+$K$9)&gt;=$T$9,HU_beta*((AE79+$K$9)-$K$9),HU_beta*($T$9-$K$9)))))</f>
        <v/>
      </c>
      <c r="AV79" s="63">
        <f>IF(AND($J$10,A79=$Q$10),J79,0)</f>
        <v/>
      </c>
      <c r="AW79" s="29">
        <f>IF(OR(AV79=0,$S$10=0),0,IF((AD79+$L$10)&gt;$S$10/HU_alpha+$K$10,0.5*$S$10/HU_alpha,IF((AD79+$L$10)&gt;=$K$10,((AD79+$L$10)-$K$10)-0.5*HU_alpha/$S$10*((AD79+$L$10)-$K$10)^2,IF((AD79+$L$10)&gt;=$T$10,HU_beta*((AD79+$L$10)-$K$10),HU_beta*($T$10-$K$10)))))</f>
        <v/>
      </c>
      <c r="AX79" s="29">
        <f>IF(OR(AV79=0,$S$10=0),0,IF((AD79+$L$10+$N$10)&gt;$S$10/HU_alpha+$K$10,0.5*$S$10/HU_alpha,IF((AD79+$L$10+$N$10)&gt;=$K$10,((AD79+$L$10+$N$10)-$K$10)-0.5*HU_alpha/$S$10*((AD79+$L$10+$N$10)-$K$10)^2,IF((AD79+$L$10+$N$10)&gt;=$T$10,HU_beta*((AD79+$L$10+$N$10)-$K$10),HU_beta*($T$10-$K$10)))))</f>
        <v/>
      </c>
      <c r="AY79" s="29">
        <f>IF(OR(AV79=0,$S$10=0),0,IF((AD79+$K$10)&gt;$S$10/HU_alpha+$K$10,0.5*$S$10/HU_alpha,IF((AD79+$K$10)&gt;=$K$10,((AD79+$K$10)-$K$10)-0.5*HU_alpha/$S$10*((AD79+$K$10)-$K$10)^2,IF((AD79+$K$10)&gt;=$T$10,HU_beta*((AD79+$K$10)-$K$10),HU_beta*($T$10-$K$10)))))</f>
        <v/>
      </c>
      <c r="AZ79" s="63">
        <f>IF(AND($J$11,A79=$Q$11),J79,0)</f>
        <v/>
      </c>
      <c r="BA79" s="29">
        <f>IF(OR(AZ79=0,$S$11=0),0,IF((AE79+$L$11)&gt;$S$11/HU_alpha+$K$11,0.5*$S$11/HU_alpha,IF((AE79+$L$11)&gt;=$K$11,((AE79+$L$11)-$K$11)-0.5*HU_alpha/$S$11*((AE79+$L$11)-$K$11)^2,IF((AE79+$L$11)&gt;=$T$11,HU_beta*((AE79+$L$11)-$K$11),HU_beta*($T$11-$K$11)))))</f>
        <v/>
      </c>
      <c r="BB79" s="29">
        <f>IF(OR(AZ79=0,$S$11=0),0,IF((AE79+$L$11+$N$11)&gt;$S$11/HU_alpha+$K$11,0.5*$S$11/HU_alpha,IF((AE79+$L$11+$N$11)&gt;=$K$11,((AE79+$L$11+$N$11)-$K$11)-0.5*HU_alpha/$S$11*((AE79+$L$11+$N$11)-$K$11)^2,IF((AE79+$L$11+$N$11)&gt;=$T$11,HU_beta*((AE79+$L$11+$N$11)-$K$11),HU_beta*($T$11-$K$11)))))</f>
        <v/>
      </c>
      <c r="BC79" s="29">
        <f>IF(OR(AZ79=0,$S$11=0),0,IF((AE79+$K$11)&gt;$S$11/HU_alpha+$K$11,0.5*$S$11/HU_alpha,IF((AE79+$K$11)&gt;=$K$11,((AE79+$K$11)-$K$11)-0.5*HU_alpha/$S$11*((AE79+$K$11)-$K$11)^2,IF((AE79+$K$11)&gt;=$T$11,HU_beta*((AE79+$K$11)-$K$11),HU_beta*($T$11-$K$11)))))</f>
        <v/>
      </c>
      <c r="BD79" s="63">
        <f>IF(AND($J$12,A79=$Q$12),J79,0)</f>
        <v/>
      </c>
      <c r="BE79" s="29">
        <f>IF(OR(BD79=0,$S$12=0),0,IF((AE79+$L$12)&gt;$S$12/HU_alpha+$K$12,0.5*$S$12/HU_alpha,IF((AE79+$L$12)&gt;=$K$12,((AE79+$L$12)-$K$12)-0.5*HU_alpha/$S$12*((AE79+$L$12)-$K$12)^2,IF((AE79+$L$12)&gt;=$T$12,HU_beta*((AE79+$L$12)-$K$12),HU_beta*($T$12-$K$12)))))</f>
        <v/>
      </c>
      <c r="BF79" s="29">
        <f>IF(OR(BD79=0,$S$12=0),0,IF((AE79+$L$12+$N$12)&gt;$S$12/HU_alpha+$K$12,0.5*$S$12/HU_alpha,IF((AE79+$L$12+$N$12)&gt;=$K$12,((AE79+$L$12+$N$12)-$K$12)-0.5*HU_alpha/$S$12*((AE79+$L$12+$N$12)-$K$12)^2,IF((AE79+$L$12+$N$12)&gt;=$T$12,HU_beta*((AE79+$L$12+$N$12)-$K$12),HU_beta*($T$12-$K$12)))))</f>
        <v/>
      </c>
      <c r="BG79" s="29">
        <f>IF(OR(BD79=0,$S$12=0),0,IF((AE79+$K$12)&gt;$S$12/HU_alpha+$K$12,0.5*$S$12/HU_alpha,IF((AE79+$K$12)&gt;=$K$12,((AE79+$K$12)-$K$12)-0.5*HU_alpha/$S$12*((AE79+$K$12)-$K$12)^2,IF((AE79+$K$12)&gt;=$T$12,HU_beta*((AE79+$K$12)-$K$12),HU_beta*($T$12-$K$12)))))</f>
        <v/>
      </c>
      <c r="BH79" s="63">
        <f>IF(AND($J$13,A79=$Q$13),J79,0)</f>
        <v/>
      </c>
      <c r="BI79" s="29">
        <f>IF(OR(BH79=0,$S$13=0),0,IF((AE79+$L$13)&gt;$S$13/HU_alpha+$K$13,0.5*$S$13/HU_alpha,IF((AE79+$L$13)&gt;=$K$13,((AE79+$L$13)-$K$13)-0.5*HU_alpha/$S$13*((AE79+$L$13)-$K$13)^2,IF((AE79+$L$13)&gt;=$T$13,HU_beta*((AE79+$L$13)-$K$13),HU_beta*($T$13-$K$13)))))</f>
        <v/>
      </c>
      <c r="BJ79" s="29">
        <f>IF(OR(BH79=0,$S$13=0),0,IF((AE79+$L$13+$N$13)&gt;$S$13/HU_alpha+$K$13,0.5*$S$13/HU_alpha,IF((AE79+$L$13+$N$13)&gt;=$K$13,((AE79+$L$13+$N$13)-$K$13)-0.5*HU_alpha/$S$13*((AE79+$L$13+$N$13)-$K$13)^2,IF((AE79+$L$13+$N$13)&gt;=$T$13,HU_beta*((AE79+$L$13+$N$13)-$K$13),HU_beta*($T$13-$K$13)))))</f>
        <v/>
      </c>
      <c r="BK79" s="29">
        <f>IF(OR(BH79=0,$S$13=0),0,IF((AE79+$K$13)&gt;$S$13/HU_alpha+$K$13,0.5*$S$13/HU_alpha,IF((AE79+$K$13)&gt;=$K$13,((AE79+$K$13)-$K$13)-0.5*HU_alpha/$S$13*((AE79+$K$13)-$K$13)^2,IF((AE79+$K$13)&gt;=$T$13,HU_beta*((AE79+$K$13)-$K$13),HU_beta*($T$13-$K$13)))))</f>
        <v/>
      </c>
    </row>
    <row r="80">
      <c r="A80" s="61" t="n">
        <v>12</v>
      </c>
      <c r="B80" s="61">
        <f>HU_age+A80</f>
        <v/>
      </c>
      <c r="C80" s="52">
        <f>A80&lt;=HU_T</f>
        <v/>
      </c>
      <c r="D80" s="63">
        <f>IF(OR(A80&lt;1,A80&gt;HU_T),0,INDEX(HU_q_mort,HU_age+A80-17,HU_col))</f>
        <v/>
      </c>
      <c r="E80" s="63">
        <f>IF(OR(A80&lt;1,A80&gt;HU_T),0,INDEX(HU_q_adb,HU_age+A80-17,HU_col))</f>
        <v/>
      </c>
      <c r="F80" s="63">
        <f>IF(OR(A80&lt;1,A80&gt;HU_T),0,INDEX(HU_q_morb,HU_age+A80-17,HU_col))</f>
        <v/>
      </c>
      <c r="G80" s="63">
        <f>IF(OR(A80&lt;1,A80&gt;HU_T),0,INDEX(HU_q_ptd,HU_age+A80-17,HU_col))</f>
        <v/>
      </c>
      <c r="H80" s="63">
        <f>IF(OR(A80&lt;1,A80&gt;HU_T),0,INDEX(HU_q_dis,HU_age+A80-17,HU_col))</f>
        <v/>
      </c>
      <c r="I80" s="63">
        <f>IF(A80&gt;HU_T,0,I79*(1-D80)*(1-E80))</f>
        <v/>
      </c>
      <c r="J80" s="63">
        <f>IF(A80&gt;=HU_T,0,N(I81))</f>
        <v/>
      </c>
      <c r="K80" s="63">
        <f>K79*(1-G80)</f>
        <v/>
      </c>
      <c r="L80" s="63">
        <f>1-K80</f>
        <v/>
      </c>
      <c r="M80" s="63">
        <f>K79*G80</f>
        <v/>
      </c>
      <c r="N80" s="63">
        <f>N79*(1-H80)</f>
        <v/>
      </c>
      <c r="O80" s="63">
        <f>1-N79</f>
        <v/>
      </c>
      <c r="P80" s="63">
        <f>P79*(1-F80)</f>
        <v/>
      </c>
      <c r="Q80" s="63">
        <f>1-P79/INDEX($P$68:$P$150,MAX(1,A80-HU_ciYears))</f>
        <v/>
      </c>
      <c r="R80" s="60">
        <f>(1+inflationRate)^A80</f>
        <v/>
      </c>
      <c r="S80" s="29">
        <f>IF(OR(OR(A80&lt;1,A80&gt;HU_T),A80-1&gt;=HU_dtr),0,HU_inc0*(1+incomeGrowthRate)^A80)</f>
        <v/>
      </c>
      <c r="T80" s="60">
        <f>IF(A80&gt;HU_T,T79,T79*(1+INDEX(HU_ssG,HU_age+A80-17)))</f>
        <v/>
      </c>
      <c r="U80" s="29">
        <f>IF(AND(HU_dtr&gt;=1,A80=HU_dtr,A80&lt;=HU_T),MIN(S80*INDEX(HU_ssC,HU_age+A80-17)/(1-INDEX(HU_ssC,HU_age+A80-17)),INDEX(HU_ssCap,HU_age+A80-17))*T80,0)</f>
        <v/>
      </c>
      <c r="V80" s="29">
        <f>S80+U80+IF(AND(HU_wdOn,A80=HU_wdYear),HU_wdIncome,0)</f>
        <v/>
      </c>
      <c r="W80" s="60">
        <f>HU_ciProp*Q80+HU_tpdCut*L80+HU_disCut*O80</f>
        <v/>
      </c>
      <c r="X80" s="29">
        <f>IF(OR(A80&lt;1,A80&gt;HU_T),0,V80*(1-W80))</f>
        <v/>
      </c>
      <c r="Y80" s="29">
        <f>IF(OR(A80&lt;1,A80&gt;HU_T),0,IF(AND(HU_retExp&gt;0,A80-1&gt;=HU_dtr),HU_retExp,HU_exp0)*R80)</f>
        <v/>
      </c>
      <c r="Z80" s="29">
        <f>-Y80-IF(AND(HU_wdOn,A80=HU_wdYear),HU_wdOut,0)</f>
        <v/>
      </c>
      <c r="AA80" s="29">
        <f>IF(OR(A80&lt;1,A80&gt;HU_T),0,-HU_medCost*R80*F80-HU_tpdCost*R80*M80)</f>
        <v/>
      </c>
      <c r="AB80" s="29">
        <f>IF(A80&gt;HU_T,0,AB79*(1+interestRate)+X80+Z80+AA80)</f>
        <v/>
      </c>
      <c r="AC80" s="29">
        <f>IF(A80&gt;HU_T,0,HU_inv*EXP(HU_mu*A80))</f>
        <v/>
      </c>
      <c r="AD80" s="29">
        <f>IF(A80&gt;HU_T,0,MAX(0,AC80+AB80))</f>
        <v/>
      </c>
      <c r="AE80" s="29">
        <f>IF(A80&gt;HU_T,0,MAX(0,X80-Y80))</f>
        <v/>
      </c>
      <c r="AF80" s="63">
        <f>IF(AND($J$6,A80&gt;=1,A80&lt;=$Q$6-1),J80,0)</f>
        <v/>
      </c>
      <c r="AG80" s="29">
        <f>IF(OR(AF80=0,$S$6=0),0,IF((AD80+$L$6)&gt;$S$6/HU_alpha+$K$6,0.5*$S$6/HU_alpha,IF((AD80+$L$6)&gt;=$K$6,((AD80+$L$6)-$K$6)-0.5*HU_alpha/$S$6*((AD80+$L$6)-$K$6)^2,IF((AD80+$L$6)&gt;=$T$6,HU_beta*((AD80+$L$6)-$K$6),HU_beta*($T$6-$K$6)))))</f>
        <v/>
      </c>
      <c r="AH80" s="29">
        <f>IF(OR(AF80=0,$S$6=0),0,IF((AD80+$L$6+$N$6)&gt;$S$6/HU_alpha+$K$6,0.5*$S$6/HU_alpha,IF((AD80+$L$6+$N$6)&gt;=$K$6,((AD80+$L$6+$N$6)-$K$6)-0.5*HU_alpha/$S$6*((AD80+$L$6+$N$6)-$K$6)^2,IF((AD80+$L$6+$N$6)&gt;=$T$6,HU_beta*((AD80+$L$6+$N$6)-$K$6),HU_beta*($T$6-$K$6)))))</f>
        <v/>
      </c>
      <c r="AI80" s="29">
        <f>IF(OR(AF80=0,$S$6=0),0,IF((AD80+$K$6)&gt;$S$6/HU_alpha+$K$6,0.5*$S$6/HU_alpha,IF((AD80+$K$6)&gt;=$K$6,((AD80+$K$6)-$K$6)-0.5*HU_alpha/$S$6*((AD80+$K$6)-$K$6)^2,IF((AD80+$K$6)&gt;=$T$6,HU_beta*((AD80+$K$6)-$K$6),HU_beta*($T$6-$K$6)))))</f>
        <v/>
      </c>
      <c r="AJ80" s="63">
        <f>IF(AND($J$7,A80&gt;=1,A80&lt;=$Q$7-1),J80,0)</f>
        <v/>
      </c>
      <c r="AK80" s="29">
        <f>IF(OR(AJ80=0,$S$7=0),0,IF((AE80+$L$7)&gt;$S$7/HU_alpha+$K$7,0.5*$S$7/HU_alpha,IF((AE80+$L$7)&gt;=$K$7,((AE80+$L$7)-$K$7)-0.5*HU_alpha/$S$7*((AE80+$L$7)-$K$7)^2,IF((AE80+$L$7)&gt;=$T$7,HU_beta*((AE80+$L$7)-$K$7),HU_beta*($T$7-$K$7)))))</f>
        <v/>
      </c>
      <c r="AL80" s="29">
        <f>IF(OR(AJ80=0,$S$7=0),0,IF((AE80+$L$7+$N$7)&gt;$S$7/HU_alpha+$K$7,0.5*$S$7/HU_alpha,IF((AE80+$L$7+$N$7)&gt;=$K$7,((AE80+$L$7+$N$7)-$K$7)-0.5*HU_alpha/$S$7*((AE80+$L$7+$N$7)-$K$7)^2,IF((AE80+$L$7+$N$7)&gt;=$T$7,HU_beta*((AE80+$L$7+$N$7)-$K$7),HU_beta*($T$7-$K$7)))))</f>
        <v/>
      </c>
      <c r="AM80" s="29">
        <f>IF(OR(AJ80=0,$S$7=0),0,IF((AE80+$K$7)&gt;$S$7/HU_alpha+$K$7,0.5*$S$7/HU_alpha,IF((AE80+$K$7)&gt;=$K$7,((AE80+$K$7)-$K$7)-0.5*HU_alpha/$S$7*((AE80+$K$7)-$K$7)^2,IF((AE80+$K$7)&gt;=$T$7,HU_beta*((AE80+$K$7)-$K$7),HU_beta*($T$7-$K$7)))))</f>
        <v/>
      </c>
      <c r="AN80" s="63">
        <f>IF(AND($J$8,A80&gt;=1,A80&lt;=$Q$8-1),J80,0)</f>
        <v/>
      </c>
      <c r="AO80" s="29">
        <f>IF(OR(AN80=0,$S$8=0),0,IF((AE80+$L$8)&gt;$S$8/HU_alpha+$K$8,0.5*$S$8/HU_alpha,IF((AE80+$L$8)&gt;=$K$8,((AE80+$L$8)-$K$8)-0.5*HU_alpha/$S$8*((AE80+$L$8)-$K$8)^2,IF((AE80+$L$8)&gt;=$T$8,HU_beta*((AE80+$L$8)-$K$8),HU_beta*($T$8-$K$8)))))</f>
        <v/>
      </c>
      <c r="AP80" s="29">
        <f>IF(OR(AN80=0,$S$8=0),0,IF((AE80+$L$8+$N$8)&gt;$S$8/HU_alpha+$K$8,0.5*$S$8/HU_alpha,IF((AE80+$L$8+$N$8)&gt;=$K$8,((AE80+$L$8+$N$8)-$K$8)-0.5*HU_alpha/$S$8*((AE80+$L$8+$N$8)-$K$8)^2,IF((AE80+$L$8+$N$8)&gt;=$T$8,HU_beta*((AE80+$L$8+$N$8)-$K$8),HU_beta*($T$8-$K$8)))))</f>
        <v/>
      </c>
      <c r="AQ80" s="29">
        <f>IF(OR(AN80=0,$S$8=0),0,IF((AE80+$K$8)&gt;$S$8/HU_alpha+$K$8,0.5*$S$8/HU_alpha,IF((AE80+$K$8)&gt;=$K$8,((AE80+$K$8)-$K$8)-0.5*HU_alpha/$S$8*((AE80+$K$8)-$K$8)^2,IF((AE80+$K$8)&gt;=$T$8,HU_beta*((AE80+$K$8)-$K$8),HU_beta*($T$8-$K$8)))))</f>
        <v/>
      </c>
      <c r="AR80" s="63">
        <f>IF(AND($J$9,A80&gt;=1,A80&lt;=$Q$9-1),J80,0)</f>
        <v/>
      </c>
      <c r="AS80" s="29">
        <f>IF(OR(AR80=0,$S$9=0),0,IF((AE80+$L$9)&gt;$S$9/HU_alpha+$K$9,0.5*$S$9/HU_alpha,IF((AE80+$L$9)&gt;=$K$9,((AE80+$L$9)-$K$9)-0.5*HU_alpha/$S$9*((AE80+$L$9)-$K$9)^2,IF((AE80+$L$9)&gt;=$T$9,HU_beta*((AE80+$L$9)-$K$9),HU_beta*($T$9-$K$9)))))</f>
        <v/>
      </c>
      <c r="AT80" s="29">
        <f>IF(OR(AR80=0,$S$9=0),0,IF((AE80+$L$9+$N$9)&gt;$S$9/HU_alpha+$K$9,0.5*$S$9/HU_alpha,IF((AE80+$L$9+$N$9)&gt;=$K$9,((AE80+$L$9+$N$9)-$K$9)-0.5*HU_alpha/$S$9*((AE80+$L$9+$N$9)-$K$9)^2,IF((AE80+$L$9+$N$9)&gt;=$T$9,HU_beta*((AE80+$L$9+$N$9)-$K$9),HU_beta*($T$9-$K$9)))))</f>
        <v/>
      </c>
      <c r="AU80" s="29">
        <f>IF(OR(AR80=0,$S$9=0),0,IF((AE80+$K$9)&gt;$S$9/HU_alpha+$K$9,0.5*$S$9/HU_alpha,IF((AE80+$K$9)&gt;=$K$9,((AE80+$K$9)-$K$9)-0.5*HU_alpha/$S$9*((AE80+$K$9)-$K$9)^2,IF((AE80+$K$9)&gt;=$T$9,HU_beta*((AE80+$K$9)-$K$9),HU_beta*($T$9-$K$9)))))</f>
        <v/>
      </c>
      <c r="AV80" s="63">
        <f>IF(AND($J$10,A80=$Q$10),J80,0)</f>
        <v/>
      </c>
      <c r="AW80" s="29">
        <f>IF(OR(AV80=0,$S$10=0),0,IF((AD80+$L$10)&gt;$S$10/HU_alpha+$K$10,0.5*$S$10/HU_alpha,IF((AD80+$L$10)&gt;=$K$10,((AD80+$L$10)-$K$10)-0.5*HU_alpha/$S$10*((AD80+$L$10)-$K$10)^2,IF((AD80+$L$10)&gt;=$T$10,HU_beta*((AD80+$L$10)-$K$10),HU_beta*($T$10-$K$10)))))</f>
        <v/>
      </c>
      <c r="AX80" s="29">
        <f>IF(OR(AV80=0,$S$10=0),0,IF((AD80+$L$10+$N$10)&gt;$S$10/HU_alpha+$K$10,0.5*$S$10/HU_alpha,IF((AD80+$L$10+$N$10)&gt;=$K$10,((AD80+$L$10+$N$10)-$K$10)-0.5*HU_alpha/$S$10*((AD80+$L$10+$N$10)-$K$10)^2,IF((AD80+$L$10+$N$10)&gt;=$T$10,HU_beta*((AD80+$L$10+$N$10)-$K$10),HU_beta*($T$10-$K$10)))))</f>
        <v/>
      </c>
      <c r="AY80" s="29">
        <f>IF(OR(AV80=0,$S$10=0),0,IF((AD80+$K$10)&gt;$S$10/HU_alpha+$K$10,0.5*$S$10/HU_alpha,IF((AD80+$K$10)&gt;=$K$10,((AD80+$K$10)-$K$10)-0.5*HU_alpha/$S$10*((AD80+$K$10)-$K$10)^2,IF((AD80+$K$10)&gt;=$T$10,HU_beta*((AD80+$K$10)-$K$10),HU_beta*($T$10-$K$10)))))</f>
        <v/>
      </c>
      <c r="AZ80" s="63">
        <f>IF(AND($J$11,A80=$Q$11),J80,0)</f>
        <v/>
      </c>
      <c r="BA80" s="29">
        <f>IF(OR(AZ80=0,$S$11=0),0,IF((AE80+$L$11)&gt;$S$11/HU_alpha+$K$11,0.5*$S$11/HU_alpha,IF((AE80+$L$11)&gt;=$K$11,((AE80+$L$11)-$K$11)-0.5*HU_alpha/$S$11*((AE80+$L$11)-$K$11)^2,IF((AE80+$L$11)&gt;=$T$11,HU_beta*((AE80+$L$11)-$K$11),HU_beta*($T$11-$K$11)))))</f>
        <v/>
      </c>
      <c r="BB80" s="29">
        <f>IF(OR(AZ80=0,$S$11=0),0,IF((AE80+$L$11+$N$11)&gt;$S$11/HU_alpha+$K$11,0.5*$S$11/HU_alpha,IF((AE80+$L$11+$N$11)&gt;=$K$11,((AE80+$L$11+$N$11)-$K$11)-0.5*HU_alpha/$S$11*((AE80+$L$11+$N$11)-$K$11)^2,IF((AE80+$L$11+$N$11)&gt;=$T$11,HU_beta*((AE80+$L$11+$N$11)-$K$11),HU_beta*($T$11-$K$11)))))</f>
        <v/>
      </c>
      <c r="BC80" s="29">
        <f>IF(OR(AZ80=0,$S$11=0),0,IF((AE80+$K$11)&gt;$S$11/HU_alpha+$K$11,0.5*$S$11/HU_alpha,IF((AE80+$K$11)&gt;=$K$11,((AE80+$K$11)-$K$11)-0.5*HU_alpha/$S$11*((AE80+$K$11)-$K$11)^2,IF((AE80+$K$11)&gt;=$T$11,HU_beta*((AE80+$K$11)-$K$11),HU_beta*($T$11-$K$11)))))</f>
        <v/>
      </c>
      <c r="BD80" s="63">
        <f>IF(AND($J$12,A80=$Q$12),J80,0)</f>
        <v/>
      </c>
      <c r="BE80" s="29">
        <f>IF(OR(BD80=0,$S$12=0),0,IF((AE80+$L$12)&gt;$S$12/HU_alpha+$K$12,0.5*$S$12/HU_alpha,IF((AE80+$L$12)&gt;=$K$12,((AE80+$L$12)-$K$12)-0.5*HU_alpha/$S$12*((AE80+$L$12)-$K$12)^2,IF((AE80+$L$12)&gt;=$T$12,HU_beta*((AE80+$L$12)-$K$12),HU_beta*($T$12-$K$12)))))</f>
        <v/>
      </c>
      <c r="BF80" s="29">
        <f>IF(OR(BD80=0,$S$12=0),0,IF((AE80+$L$12+$N$12)&gt;$S$12/HU_alpha+$K$12,0.5*$S$12/HU_alpha,IF((AE80+$L$12+$N$12)&gt;=$K$12,((AE80+$L$12+$N$12)-$K$12)-0.5*HU_alpha/$S$12*((AE80+$L$12+$N$12)-$K$12)^2,IF((AE80+$L$12+$N$12)&gt;=$T$12,HU_beta*((AE80+$L$12+$N$12)-$K$12),HU_beta*($T$12-$K$12)))))</f>
        <v/>
      </c>
      <c r="BG80" s="29">
        <f>IF(OR(BD80=0,$S$12=0),0,IF((AE80+$K$12)&gt;$S$12/HU_alpha+$K$12,0.5*$S$12/HU_alpha,IF((AE80+$K$12)&gt;=$K$12,((AE80+$K$12)-$K$12)-0.5*HU_alpha/$S$12*((AE80+$K$12)-$K$12)^2,IF((AE80+$K$12)&gt;=$T$12,HU_beta*((AE80+$K$12)-$K$12),HU_beta*($T$12-$K$12)))))</f>
        <v/>
      </c>
      <c r="BH80" s="63">
        <f>IF(AND($J$13,A80=$Q$13),J80,0)</f>
        <v/>
      </c>
      <c r="BI80" s="29">
        <f>IF(OR(BH80=0,$S$13=0),0,IF((AE80+$L$13)&gt;$S$13/HU_alpha+$K$13,0.5*$S$13/HU_alpha,IF((AE80+$L$13)&gt;=$K$13,((AE80+$L$13)-$K$13)-0.5*HU_alpha/$S$13*((AE80+$L$13)-$K$13)^2,IF((AE80+$L$13)&gt;=$T$13,HU_beta*((AE80+$L$13)-$K$13),HU_beta*($T$13-$K$13)))))</f>
        <v/>
      </c>
      <c r="BJ80" s="29">
        <f>IF(OR(BH80=0,$S$13=0),0,IF((AE80+$L$13+$N$13)&gt;$S$13/HU_alpha+$K$13,0.5*$S$13/HU_alpha,IF((AE80+$L$13+$N$13)&gt;=$K$13,((AE80+$L$13+$N$13)-$K$13)-0.5*HU_alpha/$S$13*((AE80+$L$13+$N$13)-$K$13)^2,IF((AE80+$L$13+$N$13)&gt;=$T$13,HU_beta*((AE80+$L$13+$N$13)-$K$13),HU_beta*($T$13-$K$13)))))</f>
        <v/>
      </c>
      <c r="BK80" s="29">
        <f>IF(OR(BH80=0,$S$13=0),0,IF((AE80+$K$13)&gt;$S$13/HU_alpha+$K$13,0.5*$S$13/HU_alpha,IF((AE80+$K$13)&gt;=$K$13,((AE80+$K$13)-$K$13)-0.5*HU_alpha/$S$13*((AE80+$K$13)-$K$13)^2,IF((AE80+$K$13)&gt;=$T$13,HU_beta*((AE80+$K$13)-$K$13),HU_beta*($T$13-$K$13)))))</f>
        <v/>
      </c>
    </row>
    <row r="81">
      <c r="A81" s="61" t="n">
        <v>13</v>
      </c>
      <c r="B81" s="61">
        <f>HU_age+A81</f>
        <v/>
      </c>
      <c r="C81" s="52">
        <f>A81&lt;=HU_T</f>
        <v/>
      </c>
      <c r="D81" s="63">
        <f>IF(OR(A81&lt;1,A81&gt;HU_T),0,INDEX(HU_q_mort,HU_age+A81-17,HU_col))</f>
        <v/>
      </c>
      <c r="E81" s="63">
        <f>IF(OR(A81&lt;1,A81&gt;HU_T),0,INDEX(HU_q_adb,HU_age+A81-17,HU_col))</f>
        <v/>
      </c>
      <c r="F81" s="63">
        <f>IF(OR(A81&lt;1,A81&gt;HU_T),0,INDEX(HU_q_morb,HU_age+A81-17,HU_col))</f>
        <v/>
      </c>
      <c r="G81" s="63">
        <f>IF(OR(A81&lt;1,A81&gt;HU_T),0,INDEX(HU_q_ptd,HU_age+A81-17,HU_col))</f>
        <v/>
      </c>
      <c r="H81" s="63">
        <f>IF(OR(A81&lt;1,A81&gt;HU_T),0,INDEX(HU_q_dis,HU_age+A81-17,HU_col))</f>
        <v/>
      </c>
      <c r="I81" s="63">
        <f>IF(A81&gt;HU_T,0,I80*(1-D81)*(1-E81))</f>
        <v/>
      </c>
      <c r="J81" s="63">
        <f>IF(A81&gt;=HU_T,0,N(I82))</f>
        <v/>
      </c>
      <c r="K81" s="63">
        <f>K80*(1-G81)</f>
        <v/>
      </c>
      <c r="L81" s="63">
        <f>1-K81</f>
        <v/>
      </c>
      <c r="M81" s="63">
        <f>K80*G81</f>
        <v/>
      </c>
      <c r="N81" s="63">
        <f>N80*(1-H81)</f>
        <v/>
      </c>
      <c r="O81" s="63">
        <f>1-N80</f>
        <v/>
      </c>
      <c r="P81" s="63">
        <f>P80*(1-F81)</f>
        <v/>
      </c>
      <c r="Q81" s="63">
        <f>1-P80/INDEX($P$68:$P$150,MAX(1,A81-HU_ciYears))</f>
        <v/>
      </c>
      <c r="R81" s="60">
        <f>(1+inflationRate)^A81</f>
        <v/>
      </c>
      <c r="S81" s="29">
        <f>IF(OR(OR(A81&lt;1,A81&gt;HU_T),A81-1&gt;=HU_dtr),0,HU_inc0*(1+incomeGrowthRate)^A81)</f>
        <v/>
      </c>
      <c r="T81" s="60">
        <f>IF(A81&gt;HU_T,T80,T80*(1+INDEX(HU_ssG,HU_age+A81-17)))</f>
        <v/>
      </c>
      <c r="U81" s="29">
        <f>IF(AND(HU_dtr&gt;=1,A81=HU_dtr,A81&lt;=HU_T),MIN(S81*INDEX(HU_ssC,HU_age+A81-17)/(1-INDEX(HU_ssC,HU_age+A81-17)),INDEX(HU_ssCap,HU_age+A81-17))*T81,0)</f>
        <v/>
      </c>
      <c r="V81" s="29">
        <f>S81+U81+IF(AND(HU_wdOn,A81=HU_wdYear),HU_wdIncome,0)</f>
        <v/>
      </c>
      <c r="W81" s="60">
        <f>HU_ciProp*Q81+HU_tpdCut*L81+HU_disCut*O81</f>
        <v/>
      </c>
      <c r="X81" s="29">
        <f>IF(OR(A81&lt;1,A81&gt;HU_T),0,V81*(1-W81))</f>
        <v/>
      </c>
      <c r="Y81" s="29">
        <f>IF(OR(A81&lt;1,A81&gt;HU_T),0,IF(AND(HU_retExp&gt;0,A81-1&gt;=HU_dtr),HU_retExp,HU_exp0)*R81)</f>
        <v/>
      </c>
      <c r="Z81" s="29">
        <f>-Y81-IF(AND(HU_wdOn,A81=HU_wdYear),HU_wdOut,0)</f>
        <v/>
      </c>
      <c r="AA81" s="29">
        <f>IF(OR(A81&lt;1,A81&gt;HU_T),0,-HU_medCost*R81*F81-HU_tpdCost*R81*M81)</f>
        <v/>
      </c>
      <c r="AB81" s="29">
        <f>IF(A81&gt;HU_T,0,AB80*(1+interestRate)+X81+Z81+AA81)</f>
        <v/>
      </c>
      <c r="AC81" s="29">
        <f>IF(A81&gt;HU_T,0,HU_inv*EXP(HU_mu*A81))</f>
        <v/>
      </c>
      <c r="AD81" s="29">
        <f>IF(A81&gt;HU_T,0,MAX(0,AC81+AB81))</f>
        <v/>
      </c>
      <c r="AE81" s="29">
        <f>IF(A81&gt;HU_T,0,MAX(0,X81-Y81))</f>
        <v/>
      </c>
      <c r="AF81" s="63">
        <f>IF(AND($J$6,A81&gt;=1,A81&lt;=$Q$6-1),J81,0)</f>
        <v/>
      </c>
      <c r="AG81" s="29">
        <f>IF(OR(AF81=0,$S$6=0),0,IF((AD81+$L$6)&gt;$S$6/HU_alpha+$K$6,0.5*$S$6/HU_alpha,IF((AD81+$L$6)&gt;=$K$6,((AD81+$L$6)-$K$6)-0.5*HU_alpha/$S$6*((AD81+$L$6)-$K$6)^2,IF((AD81+$L$6)&gt;=$T$6,HU_beta*((AD81+$L$6)-$K$6),HU_beta*($T$6-$K$6)))))</f>
        <v/>
      </c>
      <c r="AH81" s="29">
        <f>IF(OR(AF81=0,$S$6=0),0,IF((AD81+$L$6+$N$6)&gt;$S$6/HU_alpha+$K$6,0.5*$S$6/HU_alpha,IF((AD81+$L$6+$N$6)&gt;=$K$6,((AD81+$L$6+$N$6)-$K$6)-0.5*HU_alpha/$S$6*((AD81+$L$6+$N$6)-$K$6)^2,IF((AD81+$L$6+$N$6)&gt;=$T$6,HU_beta*((AD81+$L$6+$N$6)-$K$6),HU_beta*($T$6-$K$6)))))</f>
        <v/>
      </c>
      <c r="AI81" s="29">
        <f>IF(OR(AF81=0,$S$6=0),0,IF((AD81+$K$6)&gt;$S$6/HU_alpha+$K$6,0.5*$S$6/HU_alpha,IF((AD81+$K$6)&gt;=$K$6,((AD81+$K$6)-$K$6)-0.5*HU_alpha/$S$6*((AD81+$K$6)-$K$6)^2,IF((AD81+$K$6)&gt;=$T$6,HU_beta*((AD81+$K$6)-$K$6),HU_beta*($T$6-$K$6)))))</f>
        <v/>
      </c>
      <c r="AJ81" s="63">
        <f>IF(AND($J$7,A81&gt;=1,A81&lt;=$Q$7-1),J81,0)</f>
        <v/>
      </c>
      <c r="AK81" s="29">
        <f>IF(OR(AJ81=0,$S$7=0),0,IF((AE81+$L$7)&gt;$S$7/HU_alpha+$K$7,0.5*$S$7/HU_alpha,IF((AE81+$L$7)&gt;=$K$7,((AE81+$L$7)-$K$7)-0.5*HU_alpha/$S$7*((AE81+$L$7)-$K$7)^2,IF((AE81+$L$7)&gt;=$T$7,HU_beta*((AE81+$L$7)-$K$7),HU_beta*($T$7-$K$7)))))</f>
        <v/>
      </c>
      <c r="AL81" s="29">
        <f>IF(OR(AJ81=0,$S$7=0),0,IF((AE81+$L$7+$N$7)&gt;$S$7/HU_alpha+$K$7,0.5*$S$7/HU_alpha,IF((AE81+$L$7+$N$7)&gt;=$K$7,((AE81+$L$7+$N$7)-$K$7)-0.5*HU_alpha/$S$7*((AE81+$L$7+$N$7)-$K$7)^2,IF((AE81+$L$7+$N$7)&gt;=$T$7,HU_beta*((AE81+$L$7+$N$7)-$K$7),HU_beta*($T$7-$K$7)))))</f>
        <v/>
      </c>
      <c r="AM81" s="29">
        <f>IF(OR(AJ81=0,$S$7=0),0,IF((AE81+$K$7)&gt;$S$7/HU_alpha+$K$7,0.5*$S$7/HU_alpha,IF((AE81+$K$7)&gt;=$K$7,((AE81+$K$7)-$K$7)-0.5*HU_alpha/$S$7*((AE81+$K$7)-$K$7)^2,IF((AE81+$K$7)&gt;=$T$7,HU_beta*((AE81+$K$7)-$K$7),HU_beta*($T$7-$K$7)))))</f>
        <v/>
      </c>
      <c r="AN81" s="63">
        <f>IF(AND($J$8,A81&gt;=1,A81&lt;=$Q$8-1),J81,0)</f>
        <v/>
      </c>
      <c r="AO81" s="29">
        <f>IF(OR(AN81=0,$S$8=0),0,IF((AE81+$L$8)&gt;$S$8/HU_alpha+$K$8,0.5*$S$8/HU_alpha,IF((AE81+$L$8)&gt;=$K$8,((AE81+$L$8)-$K$8)-0.5*HU_alpha/$S$8*((AE81+$L$8)-$K$8)^2,IF((AE81+$L$8)&gt;=$T$8,HU_beta*((AE81+$L$8)-$K$8),HU_beta*($T$8-$K$8)))))</f>
        <v/>
      </c>
      <c r="AP81" s="29">
        <f>IF(OR(AN81=0,$S$8=0),0,IF((AE81+$L$8+$N$8)&gt;$S$8/HU_alpha+$K$8,0.5*$S$8/HU_alpha,IF((AE81+$L$8+$N$8)&gt;=$K$8,((AE81+$L$8+$N$8)-$K$8)-0.5*HU_alpha/$S$8*((AE81+$L$8+$N$8)-$K$8)^2,IF((AE81+$L$8+$N$8)&gt;=$T$8,HU_beta*((AE81+$L$8+$N$8)-$K$8),HU_beta*($T$8-$K$8)))))</f>
        <v/>
      </c>
      <c r="AQ81" s="29">
        <f>IF(OR(AN81=0,$S$8=0),0,IF((AE81+$K$8)&gt;$S$8/HU_alpha+$K$8,0.5*$S$8/HU_alpha,IF((AE81+$K$8)&gt;=$K$8,((AE81+$K$8)-$K$8)-0.5*HU_alpha/$S$8*((AE81+$K$8)-$K$8)^2,IF((AE81+$K$8)&gt;=$T$8,HU_beta*((AE81+$K$8)-$K$8),HU_beta*($T$8-$K$8)))))</f>
        <v/>
      </c>
      <c r="AR81" s="63">
        <f>IF(AND($J$9,A81&gt;=1,A81&lt;=$Q$9-1),J81,0)</f>
        <v/>
      </c>
      <c r="AS81" s="29">
        <f>IF(OR(AR81=0,$S$9=0),0,IF((AE81+$L$9)&gt;$S$9/HU_alpha+$K$9,0.5*$S$9/HU_alpha,IF((AE81+$L$9)&gt;=$K$9,((AE81+$L$9)-$K$9)-0.5*HU_alpha/$S$9*((AE81+$L$9)-$K$9)^2,IF((AE81+$L$9)&gt;=$T$9,HU_beta*((AE81+$L$9)-$K$9),HU_beta*($T$9-$K$9)))))</f>
        <v/>
      </c>
      <c r="AT81" s="29">
        <f>IF(OR(AR81=0,$S$9=0),0,IF((AE81+$L$9+$N$9)&gt;$S$9/HU_alpha+$K$9,0.5*$S$9/HU_alpha,IF((AE81+$L$9+$N$9)&gt;=$K$9,((AE81+$L$9+$N$9)-$K$9)-0.5*HU_alpha/$S$9*((AE81+$L$9+$N$9)-$K$9)^2,IF((AE81+$L$9+$N$9)&gt;=$T$9,HU_beta*((AE81+$L$9+$N$9)-$K$9),HU_beta*($T$9-$K$9)))))</f>
        <v/>
      </c>
      <c r="AU81" s="29">
        <f>IF(OR(AR81=0,$S$9=0),0,IF((AE81+$K$9)&gt;$S$9/HU_alpha+$K$9,0.5*$S$9/HU_alpha,IF((AE81+$K$9)&gt;=$K$9,((AE81+$K$9)-$K$9)-0.5*HU_alpha/$S$9*((AE81+$K$9)-$K$9)^2,IF((AE81+$K$9)&gt;=$T$9,HU_beta*((AE81+$K$9)-$K$9),HU_beta*($T$9-$K$9)))))</f>
        <v/>
      </c>
      <c r="AV81" s="63">
        <f>IF(AND($J$10,A81=$Q$10),J81,0)</f>
        <v/>
      </c>
      <c r="AW81" s="29">
        <f>IF(OR(AV81=0,$S$10=0),0,IF((AD81+$L$10)&gt;$S$10/HU_alpha+$K$10,0.5*$S$10/HU_alpha,IF((AD81+$L$10)&gt;=$K$10,((AD81+$L$10)-$K$10)-0.5*HU_alpha/$S$10*((AD81+$L$10)-$K$10)^2,IF((AD81+$L$10)&gt;=$T$10,HU_beta*((AD81+$L$10)-$K$10),HU_beta*($T$10-$K$10)))))</f>
        <v/>
      </c>
      <c r="AX81" s="29">
        <f>IF(OR(AV81=0,$S$10=0),0,IF((AD81+$L$10+$N$10)&gt;$S$10/HU_alpha+$K$10,0.5*$S$10/HU_alpha,IF((AD81+$L$10+$N$10)&gt;=$K$10,((AD81+$L$10+$N$10)-$K$10)-0.5*HU_alpha/$S$10*((AD81+$L$10+$N$10)-$K$10)^2,IF((AD81+$L$10+$N$10)&gt;=$T$10,HU_beta*((AD81+$L$10+$N$10)-$K$10),HU_beta*($T$10-$K$10)))))</f>
        <v/>
      </c>
      <c r="AY81" s="29">
        <f>IF(OR(AV81=0,$S$10=0),0,IF((AD81+$K$10)&gt;$S$10/HU_alpha+$K$10,0.5*$S$10/HU_alpha,IF((AD81+$K$10)&gt;=$K$10,((AD81+$K$10)-$K$10)-0.5*HU_alpha/$S$10*((AD81+$K$10)-$K$10)^2,IF((AD81+$K$10)&gt;=$T$10,HU_beta*((AD81+$K$10)-$K$10),HU_beta*($T$10-$K$10)))))</f>
        <v/>
      </c>
      <c r="AZ81" s="63">
        <f>IF(AND($J$11,A81=$Q$11),J81,0)</f>
        <v/>
      </c>
      <c r="BA81" s="29">
        <f>IF(OR(AZ81=0,$S$11=0),0,IF((AE81+$L$11)&gt;$S$11/HU_alpha+$K$11,0.5*$S$11/HU_alpha,IF((AE81+$L$11)&gt;=$K$11,((AE81+$L$11)-$K$11)-0.5*HU_alpha/$S$11*((AE81+$L$11)-$K$11)^2,IF((AE81+$L$11)&gt;=$T$11,HU_beta*((AE81+$L$11)-$K$11),HU_beta*($T$11-$K$11)))))</f>
        <v/>
      </c>
      <c r="BB81" s="29">
        <f>IF(OR(AZ81=0,$S$11=0),0,IF((AE81+$L$11+$N$11)&gt;$S$11/HU_alpha+$K$11,0.5*$S$11/HU_alpha,IF((AE81+$L$11+$N$11)&gt;=$K$11,((AE81+$L$11+$N$11)-$K$11)-0.5*HU_alpha/$S$11*((AE81+$L$11+$N$11)-$K$11)^2,IF((AE81+$L$11+$N$11)&gt;=$T$11,HU_beta*((AE81+$L$11+$N$11)-$K$11),HU_beta*($T$11-$K$11)))))</f>
        <v/>
      </c>
      <c r="BC81" s="29">
        <f>IF(OR(AZ81=0,$S$11=0),0,IF((AE81+$K$11)&gt;$S$11/HU_alpha+$K$11,0.5*$S$11/HU_alpha,IF((AE81+$K$11)&gt;=$K$11,((AE81+$K$11)-$K$11)-0.5*HU_alpha/$S$11*((AE81+$K$11)-$K$11)^2,IF((AE81+$K$11)&gt;=$T$11,HU_beta*((AE81+$K$11)-$K$11),HU_beta*($T$11-$K$11)))))</f>
        <v/>
      </c>
      <c r="BD81" s="63">
        <f>IF(AND($J$12,A81=$Q$12),J81,0)</f>
        <v/>
      </c>
      <c r="BE81" s="29">
        <f>IF(OR(BD81=0,$S$12=0),0,IF((AE81+$L$12)&gt;$S$12/HU_alpha+$K$12,0.5*$S$12/HU_alpha,IF((AE81+$L$12)&gt;=$K$12,((AE81+$L$12)-$K$12)-0.5*HU_alpha/$S$12*((AE81+$L$12)-$K$12)^2,IF((AE81+$L$12)&gt;=$T$12,HU_beta*((AE81+$L$12)-$K$12),HU_beta*($T$12-$K$12)))))</f>
        <v/>
      </c>
      <c r="BF81" s="29">
        <f>IF(OR(BD81=0,$S$12=0),0,IF((AE81+$L$12+$N$12)&gt;$S$12/HU_alpha+$K$12,0.5*$S$12/HU_alpha,IF((AE81+$L$12+$N$12)&gt;=$K$12,((AE81+$L$12+$N$12)-$K$12)-0.5*HU_alpha/$S$12*((AE81+$L$12+$N$12)-$K$12)^2,IF((AE81+$L$12+$N$12)&gt;=$T$12,HU_beta*((AE81+$L$12+$N$12)-$K$12),HU_beta*($T$12-$K$12)))))</f>
        <v/>
      </c>
      <c r="BG81" s="29">
        <f>IF(OR(BD81=0,$S$12=0),0,IF((AE81+$K$12)&gt;$S$12/HU_alpha+$K$12,0.5*$S$12/HU_alpha,IF((AE81+$K$12)&gt;=$K$12,((AE81+$K$12)-$K$12)-0.5*HU_alpha/$S$12*((AE81+$K$12)-$K$12)^2,IF((AE81+$K$12)&gt;=$T$12,HU_beta*((AE81+$K$12)-$K$12),HU_beta*($T$12-$K$12)))))</f>
        <v/>
      </c>
      <c r="BH81" s="63">
        <f>IF(AND($J$13,A81=$Q$13),J81,0)</f>
        <v/>
      </c>
      <c r="BI81" s="29">
        <f>IF(OR(BH81=0,$S$13=0),0,IF((AE81+$L$13)&gt;$S$13/HU_alpha+$K$13,0.5*$S$13/HU_alpha,IF((AE81+$L$13)&gt;=$K$13,((AE81+$L$13)-$K$13)-0.5*HU_alpha/$S$13*((AE81+$L$13)-$K$13)^2,IF((AE81+$L$13)&gt;=$T$13,HU_beta*((AE81+$L$13)-$K$13),HU_beta*($T$13-$K$13)))))</f>
        <v/>
      </c>
      <c r="BJ81" s="29">
        <f>IF(OR(BH81=0,$S$13=0),0,IF((AE81+$L$13+$N$13)&gt;$S$13/HU_alpha+$K$13,0.5*$S$13/HU_alpha,IF((AE81+$L$13+$N$13)&gt;=$K$13,((AE81+$L$13+$N$13)-$K$13)-0.5*HU_alpha/$S$13*((AE81+$L$13+$N$13)-$K$13)^2,IF((AE81+$L$13+$N$13)&gt;=$T$13,HU_beta*((AE81+$L$13+$N$13)-$K$13),HU_beta*($T$13-$K$13)))))</f>
        <v/>
      </c>
      <c r="BK81" s="29">
        <f>IF(OR(BH81=0,$S$13=0),0,IF((AE81+$K$13)&gt;$S$13/HU_alpha+$K$13,0.5*$S$13/HU_alpha,IF((AE81+$K$13)&gt;=$K$13,((AE81+$K$13)-$K$13)-0.5*HU_alpha/$S$13*((AE81+$K$13)-$K$13)^2,IF((AE81+$K$13)&gt;=$T$13,HU_beta*((AE81+$K$13)-$K$13),HU_beta*($T$13-$K$13)))))</f>
        <v/>
      </c>
    </row>
    <row r="82">
      <c r="A82" s="61" t="n">
        <v>14</v>
      </c>
      <c r="B82" s="61">
        <f>HU_age+A82</f>
        <v/>
      </c>
      <c r="C82" s="52">
        <f>A82&lt;=HU_T</f>
        <v/>
      </c>
      <c r="D82" s="63">
        <f>IF(OR(A82&lt;1,A82&gt;HU_T),0,INDEX(HU_q_mort,HU_age+A82-17,HU_col))</f>
        <v/>
      </c>
      <c r="E82" s="63">
        <f>IF(OR(A82&lt;1,A82&gt;HU_T),0,INDEX(HU_q_adb,HU_age+A82-17,HU_col))</f>
        <v/>
      </c>
      <c r="F82" s="63">
        <f>IF(OR(A82&lt;1,A82&gt;HU_T),0,INDEX(HU_q_morb,HU_age+A82-17,HU_col))</f>
        <v/>
      </c>
      <c r="G82" s="63">
        <f>IF(OR(A82&lt;1,A82&gt;HU_T),0,INDEX(HU_q_ptd,HU_age+A82-17,HU_col))</f>
        <v/>
      </c>
      <c r="H82" s="63">
        <f>IF(OR(A82&lt;1,A82&gt;HU_T),0,INDEX(HU_q_dis,HU_age+A82-17,HU_col))</f>
        <v/>
      </c>
      <c r="I82" s="63">
        <f>IF(A82&gt;HU_T,0,I81*(1-D82)*(1-E82))</f>
        <v/>
      </c>
      <c r="J82" s="63">
        <f>IF(A82&gt;=HU_T,0,N(I83))</f>
        <v/>
      </c>
      <c r="K82" s="63">
        <f>K81*(1-G82)</f>
        <v/>
      </c>
      <c r="L82" s="63">
        <f>1-K82</f>
        <v/>
      </c>
      <c r="M82" s="63">
        <f>K81*G82</f>
        <v/>
      </c>
      <c r="N82" s="63">
        <f>N81*(1-H82)</f>
        <v/>
      </c>
      <c r="O82" s="63">
        <f>1-N81</f>
        <v/>
      </c>
      <c r="P82" s="63">
        <f>P81*(1-F82)</f>
        <v/>
      </c>
      <c r="Q82" s="63">
        <f>1-P81/INDEX($P$68:$P$150,MAX(1,A82-HU_ciYears))</f>
        <v/>
      </c>
      <c r="R82" s="60">
        <f>(1+inflationRate)^A82</f>
        <v/>
      </c>
      <c r="S82" s="29">
        <f>IF(OR(OR(A82&lt;1,A82&gt;HU_T),A82-1&gt;=HU_dtr),0,HU_inc0*(1+incomeGrowthRate)^A82)</f>
        <v/>
      </c>
      <c r="T82" s="60">
        <f>IF(A82&gt;HU_T,T81,T81*(1+INDEX(HU_ssG,HU_age+A82-17)))</f>
        <v/>
      </c>
      <c r="U82" s="29">
        <f>IF(AND(HU_dtr&gt;=1,A82=HU_dtr,A82&lt;=HU_T),MIN(S82*INDEX(HU_ssC,HU_age+A82-17)/(1-INDEX(HU_ssC,HU_age+A82-17)),INDEX(HU_ssCap,HU_age+A82-17))*T82,0)</f>
        <v/>
      </c>
      <c r="V82" s="29">
        <f>S82+U82+IF(AND(HU_wdOn,A82=HU_wdYear),HU_wdIncome,0)</f>
        <v/>
      </c>
      <c r="W82" s="60">
        <f>HU_ciProp*Q82+HU_tpdCut*L82+HU_disCut*O82</f>
        <v/>
      </c>
      <c r="X82" s="29">
        <f>IF(OR(A82&lt;1,A82&gt;HU_T),0,V82*(1-W82))</f>
        <v/>
      </c>
      <c r="Y82" s="29">
        <f>IF(OR(A82&lt;1,A82&gt;HU_T),0,IF(AND(HU_retExp&gt;0,A82-1&gt;=HU_dtr),HU_retExp,HU_exp0)*R82)</f>
        <v/>
      </c>
      <c r="Z82" s="29">
        <f>-Y82-IF(AND(HU_wdOn,A82=HU_wdYear),HU_wdOut,0)</f>
        <v/>
      </c>
      <c r="AA82" s="29">
        <f>IF(OR(A82&lt;1,A82&gt;HU_T),0,-HU_medCost*R82*F82-HU_tpdCost*R82*M82)</f>
        <v/>
      </c>
      <c r="AB82" s="29">
        <f>IF(A82&gt;HU_T,0,AB81*(1+interestRate)+X82+Z82+AA82)</f>
        <v/>
      </c>
      <c r="AC82" s="29">
        <f>IF(A82&gt;HU_T,0,HU_inv*EXP(HU_mu*A82))</f>
        <v/>
      </c>
      <c r="AD82" s="29">
        <f>IF(A82&gt;HU_T,0,MAX(0,AC82+AB82))</f>
        <v/>
      </c>
      <c r="AE82" s="29">
        <f>IF(A82&gt;HU_T,0,MAX(0,X82-Y82))</f>
        <v/>
      </c>
      <c r="AF82" s="63">
        <f>IF(AND($J$6,A82&gt;=1,A82&lt;=$Q$6-1),J82,0)</f>
        <v/>
      </c>
      <c r="AG82" s="29">
        <f>IF(OR(AF82=0,$S$6=0),0,IF((AD82+$L$6)&gt;$S$6/HU_alpha+$K$6,0.5*$S$6/HU_alpha,IF((AD82+$L$6)&gt;=$K$6,((AD82+$L$6)-$K$6)-0.5*HU_alpha/$S$6*((AD82+$L$6)-$K$6)^2,IF((AD82+$L$6)&gt;=$T$6,HU_beta*((AD82+$L$6)-$K$6),HU_beta*($T$6-$K$6)))))</f>
        <v/>
      </c>
      <c r="AH82" s="29">
        <f>IF(OR(AF82=0,$S$6=0),0,IF((AD82+$L$6+$N$6)&gt;$S$6/HU_alpha+$K$6,0.5*$S$6/HU_alpha,IF((AD82+$L$6+$N$6)&gt;=$K$6,((AD82+$L$6+$N$6)-$K$6)-0.5*HU_alpha/$S$6*((AD82+$L$6+$N$6)-$K$6)^2,IF((AD82+$L$6+$N$6)&gt;=$T$6,HU_beta*((AD82+$L$6+$N$6)-$K$6),HU_beta*($T$6-$K$6)))))</f>
        <v/>
      </c>
      <c r="AI82" s="29">
        <f>IF(OR(AF82=0,$S$6=0),0,IF((AD82+$K$6)&gt;$S$6/HU_alpha+$K$6,0.5*$S$6/HU_alpha,IF((AD82+$K$6)&gt;=$K$6,((AD82+$K$6)-$K$6)-0.5*HU_alpha/$S$6*((AD82+$K$6)-$K$6)^2,IF((AD82+$K$6)&gt;=$T$6,HU_beta*((AD82+$K$6)-$K$6),HU_beta*($T$6-$K$6)))))</f>
        <v/>
      </c>
      <c r="AJ82" s="63">
        <f>IF(AND($J$7,A82&gt;=1,A82&lt;=$Q$7-1),J82,0)</f>
        <v/>
      </c>
      <c r="AK82" s="29">
        <f>IF(OR(AJ82=0,$S$7=0),0,IF((AE82+$L$7)&gt;$S$7/HU_alpha+$K$7,0.5*$S$7/HU_alpha,IF((AE82+$L$7)&gt;=$K$7,((AE82+$L$7)-$K$7)-0.5*HU_alpha/$S$7*((AE82+$L$7)-$K$7)^2,IF((AE82+$L$7)&gt;=$T$7,HU_beta*((AE82+$L$7)-$K$7),HU_beta*($T$7-$K$7)))))</f>
        <v/>
      </c>
      <c r="AL82" s="29">
        <f>IF(OR(AJ82=0,$S$7=0),0,IF((AE82+$L$7+$N$7)&gt;$S$7/HU_alpha+$K$7,0.5*$S$7/HU_alpha,IF((AE82+$L$7+$N$7)&gt;=$K$7,((AE82+$L$7+$N$7)-$K$7)-0.5*HU_alpha/$S$7*((AE82+$L$7+$N$7)-$K$7)^2,IF((AE82+$L$7+$N$7)&gt;=$T$7,HU_beta*((AE82+$L$7+$N$7)-$K$7),HU_beta*($T$7-$K$7)))))</f>
        <v/>
      </c>
      <c r="AM82" s="29">
        <f>IF(OR(AJ82=0,$S$7=0),0,IF((AE82+$K$7)&gt;$S$7/HU_alpha+$K$7,0.5*$S$7/HU_alpha,IF((AE82+$K$7)&gt;=$K$7,((AE82+$K$7)-$K$7)-0.5*HU_alpha/$S$7*((AE82+$K$7)-$K$7)^2,IF((AE82+$K$7)&gt;=$T$7,HU_beta*((AE82+$K$7)-$K$7),HU_beta*($T$7-$K$7)))))</f>
        <v/>
      </c>
      <c r="AN82" s="63">
        <f>IF(AND($J$8,A82&gt;=1,A82&lt;=$Q$8-1),J82,0)</f>
        <v/>
      </c>
      <c r="AO82" s="29">
        <f>IF(OR(AN82=0,$S$8=0),0,IF((AE82+$L$8)&gt;$S$8/HU_alpha+$K$8,0.5*$S$8/HU_alpha,IF((AE82+$L$8)&gt;=$K$8,((AE82+$L$8)-$K$8)-0.5*HU_alpha/$S$8*((AE82+$L$8)-$K$8)^2,IF((AE82+$L$8)&gt;=$T$8,HU_beta*((AE82+$L$8)-$K$8),HU_beta*($T$8-$K$8)))))</f>
        <v/>
      </c>
      <c r="AP82" s="29">
        <f>IF(OR(AN82=0,$S$8=0),0,IF((AE82+$L$8+$N$8)&gt;$S$8/HU_alpha+$K$8,0.5*$S$8/HU_alpha,IF((AE82+$L$8+$N$8)&gt;=$K$8,((AE82+$L$8+$N$8)-$K$8)-0.5*HU_alpha/$S$8*((AE82+$L$8+$N$8)-$K$8)^2,IF((AE82+$L$8+$N$8)&gt;=$T$8,HU_beta*((AE82+$L$8+$N$8)-$K$8),HU_beta*($T$8-$K$8)))))</f>
        <v/>
      </c>
      <c r="AQ82" s="29">
        <f>IF(OR(AN82=0,$S$8=0),0,IF((AE82+$K$8)&gt;$S$8/HU_alpha+$K$8,0.5*$S$8/HU_alpha,IF((AE82+$K$8)&gt;=$K$8,((AE82+$K$8)-$K$8)-0.5*HU_alpha/$S$8*((AE82+$K$8)-$K$8)^2,IF((AE82+$K$8)&gt;=$T$8,HU_beta*((AE82+$K$8)-$K$8),HU_beta*($T$8-$K$8)))))</f>
        <v/>
      </c>
      <c r="AR82" s="63">
        <f>IF(AND($J$9,A82&gt;=1,A82&lt;=$Q$9-1),J82,0)</f>
        <v/>
      </c>
      <c r="AS82" s="29">
        <f>IF(OR(AR82=0,$S$9=0),0,IF((AE82+$L$9)&gt;$S$9/HU_alpha+$K$9,0.5*$S$9/HU_alpha,IF((AE82+$L$9)&gt;=$K$9,((AE82+$L$9)-$K$9)-0.5*HU_alpha/$S$9*((AE82+$L$9)-$K$9)^2,IF((AE82+$L$9)&gt;=$T$9,HU_beta*((AE82+$L$9)-$K$9),HU_beta*($T$9-$K$9)))))</f>
        <v/>
      </c>
      <c r="AT82" s="29">
        <f>IF(OR(AR82=0,$S$9=0),0,IF((AE82+$L$9+$N$9)&gt;$S$9/HU_alpha+$K$9,0.5*$S$9/HU_alpha,IF((AE82+$L$9+$N$9)&gt;=$K$9,((AE82+$L$9+$N$9)-$K$9)-0.5*HU_alpha/$S$9*((AE82+$L$9+$N$9)-$K$9)^2,IF((AE82+$L$9+$N$9)&gt;=$T$9,HU_beta*((AE82+$L$9+$N$9)-$K$9),HU_beta*($T$9-$K$9)))))</f>
        <v/>
      </c>
      <c r="AU82" s="29">
        <f>IF(OR(AR82=0,$S$9=0),0,IF((AE82+$K$9)&gt;$S$9/HU_alpha+$K$9,0.5*$S$9/HU_alpha,IF((AE82+$K$9)&gt;=$K$9,((AE82+$K$9)-$K$9)-0.5*HU_alpha/$S$9*((AE82+$K$9)-$K$9)^2,IF((AE82+$K$9)&gt;=$T$9,HU_beta*((AE82+$K$9)-$K$9),HU_beta*($T$9-$K$9)))))</f>
        <v/>
      </c>
      <c r="AV82" s="63">
        <f>IF(AND($J$10,A82=$Q$10),J82,0)</f>
        <v/>
      </c>
      <c r="AW82" s="29">
        <f>IF(OR(AV82=0,$S$10=0),0,IF((AD82+$L$10)&gt;$S$10/HU_alpha+$K$10,0.5*$S$10/HU_alpha,IF((AD82+$L$10)&gt;=$K$10,((AD82+$L$10)-$K$10)-0.5*HU_alpha/$S$10*((AD82+$L$10)-$K$10)^2,IF((AD82+$L$10)&gt;=$T$10,HU_beta*((AD82+$L$10)-$K$10),HU_beta*($T$10-$K$10)))))</f>
        <v/>
      </c>
      <c r="AX82" s="29">
        <f>IF(OR(AV82=0,$S$10=0),0,IF((AD82+$L$10+$N$10)&gt;$S$10/HU_alpha+$K$10,0.5*$S$10/HU_alpha,IF((AD82+$L$10+$N$10)&gt;=$K$10,((AD82+$L$10+$N$10)-$K$10)-0.5*HU_alpha/$S$10*((AD82+$L$10+$N$10)-$K$10)^2,IF((AD82+$L$10+$N$10)&gt;=$T$10,HU_beta*((AD82+$L$10+$N$10)-$K$10),HU_beta*($T$10-$K$10)))))</f>
        <v/>
      </c>
      <c r="AY82" s="29">
        <f>IF(OR(AV82=0,$S$10=0),0,IF((AD82+$K$10)&gt;$S$10/HU_alpha+$K$10,0.5*$S$10/HU_alpha,IF((AD82+$K$10)&gt;=$K$10,((AD82+$K$10)-$K$10)-0.5*HU_alpha/$S$10*((AD82+$K$10)-$K$10)^2,IF((AD82+$K$10)&gt;=$T$10,HU_beta*((AD82+$K$10)-$K$10),HU_beta*($T$10-$K$10)))))</f>
        <v/>
      </c>
      <c r="AZ82" s="63">
        <f>IF(AND($J$11,A82=$Q$11),J82,0)</f>
        <v/>
      </c>
      <c r="BA82" s="29">
        <f>IF(OR(AZ82=0,$S$11=0),0,IF((AE82+$L$11)&gt;$S$11/HU_alpha+$K$11,0.5*$S$11/HU_alpha,IF((AE82+$L$11)&gt;=$K$11,((AE82+$L$11)-$K$11)-0.5*HU_alpha/$S$11*((AE82+$L$11)-$K$11)^2,IF((AE82+$L$11)&gt;=$T$11,HU_beta*((AE82+$L$11)-$K$11),HU_beta*($T$11-$K$11)))))</f>
        <v/>
      </c>
      <c r="BB82" s="29">
        <f>IF(OR(AZ82=0,$S$11=0),0,IF((AE82+$L$11+$N$11)&gt;$S$11/HU_alpha+$K$11,0.5*$S$11/HU_alpha,IF((AE82+$L$11+$N$11)&gt;=$K$11,((AE82+$L$11+$N$11)-$K$11)-0.5*HU_alpha/$S$11*((AE82+$L$11+$N$11)-$K$11)^2,IF((AE82+$L$11+$N$11)&gt;=$T$11,HU_beta*((AE82+$L$11+$N$11)-$K$11),HU_beta*($T$11-$K$11)))))</f>
        <v/>
      </c>
      <c r="BC82" s="29">
        <f>IF(OR(AZ82=0,$S$11=0),0,IF((AE82+$K$11)&gt;$S$11/HU_alpha+$K$11,0.5*$S$11/HU_alpha,IF((AE82+$K$11)&gt;=$K$11,((AE82+$K$11)-$K$11)-0.5*HU_alpha/$S$11*((AE82+$K$11)-$K$11)^2,IF((AE82+$K$11)&gt;=$T$11,HU_beta*((AE82+$K$11)-$K$11),HU_beta*($T$11-$K$11)))))</f>
        <v/>
      </c>
      <c r="BD82" s="63">
        <f>IF(AND($J$12,A82=$Q$12),J82,0)</f>
        <v/>
      </c>
      <c r="BE82" s="29">
        <f>IF(OR(BD82=0,$S$12=0),0,IF((AE82+$L$12)&gt;$S$12/HU_alpha+$K$12,0.5*$S$12/HU_alpha,IF((AE82+$L$12)&gt;=$K$12,((AE82+$L$12)-$K$12)-0.5*HU_alpha/$S$12*((AE82+$L$12)-$K$12)^2,IF((AE82+$L$12)&gt;=$T$12,HU_beta*((AE82+$L$12)-$K$12),HU_beta*($T$12-$K$12)))))</f>
        <v/>
      </c>
      <c r="BF82" s="29">
        <f>IF(OR(BD82=0,$S$12=0),0,IF((AE82+$L$12+$N$12)&gt;$S$12/HU_alpha+$K$12,0.5*$S$12/HU_alpha,IF((AE82+$L$12+$N$12)&gt;=$K$12,((AE82+$L$12+$N$12)-$K$12)-0.5*HU_alpha/$S$12*((AE82+$L$12+$N$12)-$K$12)^2,IF((AE82+$L$12+$N$12)&gt;=$T$12,HU_beta*((AE82+$L$12+$N$12)-$K$12),HU_beta*($T$12-$K$12)))))</f>
        <v/>
      </c>
      <c r="BG82" s="29">
        <f>IF(OR(BD82=0,$S$12=0),0,IF((AE82+$K$12)&gt;$S$12/HU_alpha+$K$12,0.5*$S$12/HU_alpha,IF((AE82+$K$12)&gt;=$K$12,((AE82+$K$12)-$K$12)-0.5*HU_alpha/$S$12*((AE82+$K$12)-$K$12)^2,IF((AE82+$K$12)&gt;=$T$12,HU_beta*((AE82+$K$12)-$K$12),HU_beta*($T$12-$K$12)))))</f>
        <v/>
      </c>
      <c r="BH82" s="63">
        <f>IF(AND($J$13,A82=$Q$13),J82,0)</f>
        <v/>
      </c>
      <c r="BI82" s="29">
        <f>IF(OR(BH82=0,$S$13=0),0,IF((AE82+$L$13)&gt;$S$13/HU_alpha+$K$13,0.5*$S$13/HU_alpha,IF((AE82+$L$13)&gt;=$K$13,((AE82+$L$13)-$K$13)-0.5*HU_alpha/$S$13*((AE82+$L$13)-$K$13)^2,IF((AE82+$L$13)&gt;=$T$13,HU_beta*((AE82+$L$13)-$K$13),HU_beta*($T$13-$K$13)))))</f>
        <v/>
      </c>
      <c r="BJ82" s="29">
        <f>IF(OR(BH82=0,$S$13=0),0,IF((AE82+$L$13+$N$13)&gt;$S$13/HU_alpha+$K$13,0.5*$S$13/HU_alpha,IF((AE82+$L$13+$N$13)&gt;=$K$13,((AE82+$L$13+$N$13)-$K$13)-0.5*HU_alpha/$S$13*((AE82+$L$13+$N$13)-$K$13)^2,IF((AE82+$L$13+$N$13)&gt;=$T$13,HU_beta*((AE82+$L$13+$N$13)-$K$13),HU_beta*($T$13-$K$13)))))</f>
        <v/>
      </c>
      <c r="BK82" s="29">
        <f>IF(OR(BH82=0,$S$13=0),0,IF((AE82+$K$13)&gt;$S$13/HU_alpha+$K$13,0.5*$S$13/HU_alpha,IF((AE82+$K$13)&gt;=$K$13,((AE82+$K$13)-$K$13)-0.5*HU_alpha/$S$13*((AE82+$K$13)-$K$13)^2,IF((AE82+$K$13)&gt;=$T$13,HU_beta*((AE82+$K$13)-$K$13),HU_beta*($T$13-$K$13)))))</f>
        <v/>
      </c>
    </row>
    <row r="83">
      <c r="A83" s="61" t="n">
        <v>15</v>
      </c>
      <c r="B83" s="61">
        <f>HU_age+A83</f>
        <v/>
      </c>
      <c r="C83" s="52">
        <f>A83&lt;=HU_T</f>
        <v/>
      </c>
      <c r="D83" s="63">
        <f>IF(OR(A83&lt;1,A83&gt;HU_T),0,INDEX(HU_q_mort,HU_age+A83-17,HU_col))</f>
        <v/>
      </c>
      <c r="E83" s="63">
        <f>IF(OR(A83&lt;1,A83&gt;HU_T),0,INDEX(HU_q_adb,HU_age+A83-17,HU_col))</f>
        <v/>
      </c>
      <c r="F83" s="63">
        <f>IF(OR(A83&lt;1,A83&gt;HU_T),0,INDEX(HU_q_morb,HU_age+A83-17,HU_col))</f>
        <v/>
      </c>
      <c r="G83" s="63">
        <f>IF(OR(A83&lt;1,A83&gt;HU_T),0,INDEX(HU_q_ptd,HU_age+A83-17,HU_col))</f>
        <v/>
      </c>
      <c r="H83" s="63">
        <f>IF(OR(A83&lt;1,A83&gt;HU_T),0,INDEX(HU_q_dis,HU_age+A83-17,HU_col))</f>
        <v/>
      </c>
      <c r="I83" s="63">
        <f>IF(A83&gt;HU_T,0,I82*(1-D83)*(1-E83))</f>
        <v/>
      </c>
      <c r="J83" s="63">
        <f>IF(A83&gt;=HU_T,0,N(I84))</f>
        <v/>
      </c>
      <c r="K83" s="63">
        <f>K82*(1-G83)</f>
        <v/>
      </c>
      <c r="L83" s="63">
        <f>1-K83</f>
        <v/>
      </c>
      <c r="M83" s="63">
        <f>K82*G83</f>
        <v/>
      </c>
      <c r="N83" s="63">
        <f>N82*(1-H83)</f>
        <v/>
      </c>
      <c r="O83" s="63">
        <f>1-N82</f>
        <v/>
      </c>
      <c r="P83" s="63">
        <f>P82*(1-F83)</f>
        <v/>
      </c>
      <c r="Q83" s="63">
        <f>1-P82/INDEX($P$68:$P$150,MAX(1,A83-HU_ciYears))</f>
        <v/>
      </c>
      <c r="R83" s="60">
        <f>(1+inflationRate)^A83</f>
        <v/>
      </c>
      <c r="S83" s="29">
        <f>IF(OR(OR(A83&lt;1,A83&gt;HU_T),A83-1&gt;=HU_dtr),0,HU_inc0*(1+incomeGrowthRate)^A83)</f>
        <v/>
      </c>
      <c r="T83" s="60">
        <f>IF(A83&gt;HU_T,T82,T82*(1+INDEX(HU_ssG,HU_age+A83-17)))</f>
        <v/>
      </c>
      <c r="U83" s="29">
        <f>IF(AND(HU_dtr&gt;=1,A83=HU_dtr,A83&lt;=HU_T),MIN(S83*INDEX(HU_ssC,HU_age+A83-17)/(1-INDEX(HU_ssC,HU_age+A83-17)),INDEX(HU_ssCap,HU_age+A83-17))*T83,0)</f>
        <v/>
      </c>
      <c r="V83" s="29">
        <f>S83+U83+IF(AND(HU_wdOn,A83=HU_wdYear),HU_wdIncome,0)</f>
        <v/>
      </c>
      <c r="W83" s="60">
        <f>HU_ciProp*Q83+HU_tpdCut*L83+HU_disCut*O83</f>
        <v/>
      </c>
      <c r="X83" s="29">
        <f>IF(OR(A83&lt;1,A83&gt;HU_T),0,V83*(1-W83))</f>
        <v/>
      </c>
      <c r="Y83" s="29">
        <f>IF(OR(A83&lt;1,A83&gt;HU_T),0,IF(AND(HU_retExp&gt;0,A83-1&gt;=HU_dtr),HU_retExp,HU_exp0)*R83)</f>
        <v/>
      </c>
      <c r="Z83" s="29">
        <f>-Y83-IF(AND(HU_wdOn,A83=HU_wdYear),HU_wdOut,0)</f>
        <v/>
      </c>
      <c r="AA83" s="29">
        <f>IF(OR(A83&lt;1,A83&gt;HU_T),0,-HU_medCost*R83*F83-HU_tpdCost*R83*M83)</f>
        <v/>
      </c>
      <c r="AB83" s="29">
        <f>IF(A83&gt;HU_T,0,AB82*(1+interestRate)+X83+Z83+AA83)</f>
        <v/>
      </c>
      <c r="AC83" s="29">
        <f>IF(A83&gt;HU_T,0,HU_inv*EXP(HU_mu*A83))</f>
        <v/>
      </c>
      <c r="AD83" s="29">
        <f>IF(A83&gt;HU_T,0,MAX(0,AC83+AB83))</f>
        <v/>
      </c>
      <c r="AE83" s="29">
        <f>IF(A83&gt;HU_T,0,MAX(0,X83-Y83))</f>
        <v/>
      </c>
      <c r="AF83" s="63">
        <f>IF(AND($J$6,A83&gt;=1,A83&lt;=$Q$6-1),J83,0)</f>
        <v/>
      </c>
      <c r="AG83" s="29">
        <f>IF(OR(AF83=0,$S$6=0),0,IF((AD83+$L$6)&gt;$S$6/HU_alpha+$K$6,0.5*$S$6/HU_alpha,IF((AD83+$L$6)&gt;=$K$6,((AD83+$L$6)-$K$6)-0.5*HU_alpha/$S$6*((AD83+$L$6)-$K$6)^2,IF((AD83+$L$6)&gt;=$T$6,HU_beta*((AD83+$L$6)-$K$6),HU_beta*($T$6-$K$6)))))</f>
        <v/>
      </c>
      <c r="AH83" s="29">
        <f>IF(OR(AF83=0,$S$6=0),0,IF((AD83+$L$6+$N$6)&gt;$S$6/HU_alpha+$K$6,0.5*$S$6/HU_alpha,IF((AD83+$L$6+$N$6)&gt;=$K$6,((AD83+$L$6+$N$6)-$K$6)-0.5*HU_alpha/$S$6*((AD83+$L$6+$N$6)-$K$6)^2,IF((AD83+$L$6+$N$6)&gt;=$T$6,HU_beta*((AD83+$L$6+$N$6)-$K$6),HU_beta*($T$6-$K$6)))))</f>
        <v/>
      </c>
      <c r="AI83" s="29">
        <f>IF(OR(AF83=0,$S$6=0),0,IF((AD83+$K$6)&gt;$S$6/HU_alpha+$K$6,0.5*$S$6/HU_alpha,IF((AD83+$K$6)&gt;=$K$6,((AD83+$K$6)-$K$6)-0.5*HU_alpha/$S$6*((AD83+$K$6)-$K$6)^2,IF((AD83+$K$6)&gt;=$T$6,HU_beta*((AD83+$K$6)-$K$6),HU_beta*($T$6-$K$6)))))</f>
        <v/>
      </c>
      <c r="AJ83" s="63">
        <f>IF(AND($J$7,A83&gt;=1,A83&lt;=$Q$7-1),J83,0)</f>
        <v/>
      </c>
      <c r="AK83" s="29">
        <f>IF(OR(AJ83=0,$S$7=0),0,IF((AE83+$L$7)&gt;$S$7/HU_alpha+$K$7,0.5*$S$7/HU_alpha,IF((AE83+$L$7)&gt;=$K$7,((AE83+$L$7)-$K$7)-0.5*HU_alpha/$S$7*((AE83+$L$7)-$K$7)^2,IF((AE83+$L$7)&gt;=$T$7,HU_beta*((AE83+$L$7)-$K$7),HU_beta*($T$7-$K$7)))))</f>
        <v/>
      </c>
      <c r="AL83" s="29">
        <f>IF(OR(AJ83=0,$S$7=0),0,IF((AE83+$L$7+$N$7)&gt;$S$7/HU_alpha+$K$7,0.5*$S$7/HU_alpha,IF((AE83+$L$7+$N$7)&gt;=$K$7,((AE83+$L$7+$N$7)-$K$7)-0.5*HU_alpha/$S$7*((AE83+$L$7+$N$7)-$K$7)^2,IF((AE83+$L$7+$N$7)&gt;=$T$7,HU_beta*((AE83+$L$7+$N$7)-$K$7),HU_beta*($T$7-$K$7)))))</f>
        <v/>
      </c>
      <c r="AM83" s="29">
        <f>IF(OR(AJ83=0,$S$7=0),0,IF((AE83+$K$7)&gt;$S$7/HU_alpha+$K$7,0.5*$S$7/HU_alpha,IF((AE83+$K$7)&gt;=$K$7,((AE83+$K$7)-$K$7)-0.5*HU_alpha/$S$7*((AE83+$K$7)-$K$7)^2,IF((AE83+$K$7)&gt;=$T$7,HU_beta*((AE83+$K$7)-$K$7),HU_beta*($T$7-$K$7)))))</f>
        <v/>
      </c>
      <c r="AN83" s="63">
        <f>IF(AND($J$8,A83&gt;=1,A83&lt;=$Q$8-1),J83,0)</f>
        <v/>
      </c>
      <c r="AO83" s="29">
        <f>IF(OR(AN83=0,$S$8=0),0,IF((AE83+$L$8)&gt;$S$8/HU_alpha+$K$8,0.5*$S$8/HU_alpha,IF((AE83+$L$8)&gt;=$K$8,((AE83+$L$8)-$K$8)-0.5*HU_alpha/$S$8*((AE83+$L$8)-$K$8)^2,IF((AE83+$L$8)&gt;=$T$8,HU_beta*((AE83+$L$8)-$K$8),HU_beta*($T$8-$K$8)))))</f>
        <v/>
      </c>
      <c r="AP83" s="29">
        <f>IF(OR(AN83=0,$S$8=0),0,IF((AE83+$L$8+$N$8)&gt;$S$8/HU_alpha+$K$8,0.5*$S$8/HU_alpha,IF((AE83+$L$8+$N$8)&gt;=$K$8,((AE83+$L$8+$N$8)-$K$8)-0.5*HU_alpha/$S$8*((AE83+$L$8+$N$8)-$K$8)^2,IF((AE83+$L$8+$N$8)&gt;=$T$8,HU_beta*((AE83+$L$8+$N$8)-$K$8),HU_beta*($T$8-$K$8)))))</f>
        <v/>
      </c>
      <c r="AQ83" s="29">
        <f>IF(OR(AN83=0,$S$8=0),0,IF((AE83+$K$8)&gt;$S$8/HU_alpha+$K$8,0.5*$S$8/HU_alpha,IF((AE83+$K$8)&gt;=$K$8,((AE83+$K$8)-$K$8)-0.5*HU_alpha/$S$8*((AE83+$K$8)-$K$8)^2,IF((AE83+$K$8)&gt;=$T$8,HU_beta*((AE83+$K$8)-$K$8),HU_beta*($T$8-$K$8)))))</f>
        <v/>
      </c>
      <c r="AR83" s="63">
        <f>IF(AND($J$9,A83&gt;=1,A83&lt;=$Q$9-1),J83,0)</f>
        <v/>
      </c>
      <c r="AS83" s="29">
        <f>IF(OR(AR83=0,$S$9=0),0,IF((AE83+$L$9)&gt;$S$9/HU_alpha+$K$9,0.5*$S$9/HU_alpha,IF((AE83+$L$9)&gt;=$K$9,((AE83+$L$9)-$K$9)-0.5*HU_alpha/$S$9*((AE83+$L$9)-$K$9)^2,IF((AE83+$L$9)&gt;=$T$9,HU_beta*((AE83+$L$9)-$K$9),HU_beta*($T$9-$K$9)))))</f>
        <v/>
      </c>
      <c r="AT83" s="29">
        <f>IF(OR(AR83=0,$S$9=0),0,IF((AE83+$L$9+$N$9)&gt;$S$9/HU_alpha+$K$9,0.5*$S$9/HU_alpha,IF((AE83+$L$9+$N$9)&gt;=$K$9,((AE83+$L$9+$N$9)-$K$9)-0.5*HU_alpha/$S$9*((AE83+$L$9+$N$9)-$K$9)^2,IF((AE83+$L$9+$N$9)&gt;=$T$9,HU_beta*((AE83+$L$9+$N$9)-$K$9),HU_beta*($T$9-$K$9)))))</f>
        <v/>
      </c>
      <c r="AU83" s="29">
        <f>IF(OR(AR83=0,$S$9=0),0,IF((AE83+$K$9)&gt;$S$9/HU_alpha+$K$9,0.5*$S$9/HU_alpha,IF((AE83+$K$9)&gt;=$K$9,((AE83+$K$9)-$K$9)-0.5*HU_alpha/$S$9*((AE83+$K$9)-$K$9)^2,IF((AE83+$K$9)&gt;=$T$9,HU_beta*((AE83+$K$9)-$K$9),HU_beta*($T$9-$K$9)))))</f>
        <v/>
      </c>
      <c r="AV83" s="63">
        <f>IF(AND($J$10,A83=$Q$10),J83,0)</f>
        <v/>
      </c>
      <c r="AW83" s="29">
        <f>IF(OR(AV83=0,$S$10=0),0,IF((AD83+$L$10)&gt;$S$10/HU_alpha+$K$10,0.5*$S$10/HU_alpha,IF((AD83+$L$10)&gt;=$K$10,((AD83+$L$10)-$K$10)-0.5*HU_alpha/$S$10*((AD83+$L$10)-$K$10)^2,IF((AD83+$L$10)&gt;=$T$10,HU_beta*((AD83+$L$10)-$K$10),HU_beta*($T$10-$K$10)))))</f>
        <v/>
      </c>
      <c r="AX83" s="29">
        <f>IF(OR(AV83=0,$S$10=0),0,IF((AD83+$L$10+$N$10)&gt;$S$10/HU_alpha+$K$10,0.5*$S$10/HU_alpha,IF((AD83+$L$10+$N$10)&gt;=$K$10,((AD83+$L$10+$N$10)-$K$10)-0.5*HU_alpha/$S$10*((AD83+$L$10+$N$10)-$K$10)^2,IF((AD83+$L$10+$N$10)&gt;=$T$10,HU_beta*((AD83+$L$10+$N$10)-$K$10),HU_beta*($T$10-$K$10)))))</f>
        <v/>
      </c>
      <c r="AY83" s="29">
        <f>IF(OR(AV83=0,$S$10=0),0,IF((AD83+$K$10)&gt;$S$10/HU_alpha+$K$10,0.5*$S$10/HU_alpha,IF((AD83+$K$10)&gt;=$K$10,((AD83+$K$10)-$K$10)-0.5*HU_alpha/$S$10*((AD83+$K$10)-$K$10)^2,IF((AD83+$K$10)&gt;=$T$10,HU_beta*((AD83+$K$10)-$K$10),HU_beta*($T$10-$K$10)))))</f>
        <v/>
      </c>
      <c r="AZ83" s="63">
        <f>IF(AND($J$11,A83=$Q$11),J83,0)</f>
        <v/>
      </c>
      <c r="BA83" s="29">
        <f>IF(OR(AZ83=0,$S$11=0),0,IF((AE83+$L$11)&gt;$S$11/HU_alpha+$K$11,0.5*$S$11/HU_alpha,IF((AE83+$L$11)&gt;=$K$11,((AE83+$L$11)-$K$11)-0.5*HU_alpha/$S$11*((AE83+$L$11)-$K$11)^2,IF((AE83+$L$11)&gt;=$T$11,HU_beta*((AE83+$L$11)-$K$11),HU_beta*($T$11-$K$11)))))</f>
        <v/>
      </c>
      <c r="BB83" s="29">
        <f>IF(OR(AZ83=0,$S$11=0),0,IF((AE83+$L$11+$N$11)&gt;$S$11/HU_alpha+$K$11,0.5*$S$11/HU_alpha,IF((AE83+$L$11+$N$11)&gt;=$K$11,((AE83+$L$11+$N$11)-$K$11)-0.5*HU_alpha/$S$11*((AE83+$L$11+$N$11)-$K$11)^2,IF((AE83+$L$11+$N$11)&gt;=$T$11,HU_beta*((AE83+$L$11+$N$11)-$K$11),HU_beta*($T$11-$K$11)))))</f>
        <v/>
      </c>
      <c r="BC83" s="29">
        <f>IF(OR(AZ83=0,$S$11=0),0,IF((AE83+$K$11)&gt;$S$11/HU_alpha+$K$11,0.5*$S$11/HU_alpha,IF((AE83+$K$11)&gt;=$K$11,((AE83+$K$11)-$K$11)-0.5*HU_alpha/$S$11*((AE83+$K$11)-$K$11)^2,IF((AE83+$K$11)&gt;=$T$11,HU_beta*((AE83+$K$11)-$K$11),HU_beta*($T$11-$K$11)))))</f>
        <v/>
      </c>
      <c r="BD83" s="63">
        <f>IF(AND($J$12,A83=$Q$12),J83,0)</f>
        <v/>
      </c>
      <c r="BE83" s="29">
        <f>IF(OR(BD83=0,$S$12=0),0,IF((AE83+$L$12)&gt;$S$12/HU_alpha+$K$12,0.5*$S$12/HU_alpha,IF((AE83+$L$12)&gt;=$K$12,((AE83+$L$12)-$K$12)-0.5*HU_alpha/$S$12*((AE83+$L$12)-$K$12)^2,IF((AE83+$L$12)&gt;=$T$12,HU_beta*((AE83+$L$12)-$K$12),HU_beta*($T$12-$K$12)))))</f>
        <v/>
      </c>
      <c r="BF83" s="29">
        <f>IF(OR(BD83=0,$S$12=0),0,IF((AE83+$L$12+$N$12)&gt;$S$12/HU_alpha+$K$12,0.5*$S$12/HU_alpha,IF((AE83+$L$12+$N$12)&gt;=$K$12,((AE83+$L$12+$N$12)-$K$12)-0.5*HU_alpha/$S$12*((AE83+$L$12+$N$12)-$K$12)^2,IF((AE83+$L$12+$N$12)&gt;=$T$12,HU_beta*((AE83+$L$12+$N$12)-$K$12),HU_beta*($T$12-$K$12)))))</f>
        <v/>
      </c>
      <c r="BG83" s="29">
        <f>IF(OR(BD83=0,$S$12=0),0,IF((AE83+$K$12)&gt;$S$12/HU_alpha+$K$12,0.5*$S$12/HU_alpha,IF((AE83+$K$12)&gt;=$K$12,((AE83+$K$12)-$K$12)-0.5*HU_alpha/$S$12*((AE83+$K$12)-$K$12)^2,IF((AE83+$K$12)&gt;=$T$12,HU_beta*((AE83+$K$12)-$K$12),HU_beta*($T$12-$K$12)))))</f>
        <v/>
      </c>
      <c r="BH83" s="63">
        <f>IF(AND($J$13,A83=$Q$13),J83,0)</f>
        <v/>
      </c>
      <c r="BI83" s="29">
        <f>IF(OR(BH83=0,$S$13=0),0,IF((AE83+$L$13)&gt;$S$13/HU_alpha+$K$13,0.5*$S$13/HU_alpha,IF((AE83+$L$13)&gt;=$K$13,((AE83+$L$13)-$K$13)-0.5*HU_alpha/$S$13*((AE83+$L$13)-$K$13)^2,IF((AE83+$L$13)&gt;=$T$13,HU_beta*((AE83+$L$13)-$K$13),HU_beta*($T$13-$K$13)))))</f>
        <v/>
      </c>
      <c r="BJ83" s="29">
        <f>IF(OR(BH83=0,$S$13=0),0,IF((AE83+$L$13+$N$13)&gt;$S$13/HU_alpha+$K$13,0.5*$S$13/HU_alpha,IF((AE83+$L$13+$N$13)&gt;=$K$13,((AE83+$L$13+$N$13)-$K$13)-0.5*HU_alpha/$S$13*((AE83+$L$13+$N$13)-$K$13)^2,IF((AE83+$L$13+$N$13)&gt;=$T$13,HU_beta*((AE83+$L$13+$N$13)-$K$13),HU_beta*($T$13-$K$13)))))</f>
        <v/>
      </c>
      <c r="BK83" s="29">
        <f>IF(OR(BH83=0,$S$13=0),0,IF((AE83+$K$13)&gt;$S$13/HU_alpha+$K$13,0.5*$S$13/HU_alpha,IF((AE83+$K$13)&gt;=$K$13,((AE83+$K$13)-$K$13)-0.5*HU_alpha/$S$13*((AE83+$K$13)-$K$13)^2,IF((AE83+$K$13)&gt;=$T$13,HU_beta*((AE83+$K$13)-$K$13),HU_beta*($T$13-$K$13)))))</f>
        <v/>
      </c>
    </row>
    <row r="84">
      <c r="A84" s="61" t="n">
        <v>16</v>
      </c>
      <c r="B84" s="61">
        <f>HU_age+A84</f>
        <v/>
      </c>
      <c r="C84" s="52">
        <f>A84&lt;=HU_T</f>
        <v/>
      </c>
      <c r="D84" s="63">
        <f>IF(OR(A84&lt;1,A84&gt;HU_T),0,INDEX(HU_q_mort,HU_age+A84-17,HU_col))</f>
        <v/>
      </c>
      <c r="E84" s="63">
        <f>IF(OR(A84&lt;1,A84&gt;HU_T),0,INDEX(HU_q_adb,HU_age+A84-17,HU_col))</f>
        <v/>
      </c>
      <c r="F84" s="63">
        <f>IF(OR(A84&lt;1,A84&gt;HU_T),0,INDEX(HU_q_morb,HU_age+A84-17,HU_col))</f>
        <v/>
      </c>
      <c r="G84" s="63">
        <f>IF(OR(A84&lt;1,A84&gt;HU_T),0,INDEX(HU_q_ptd,HU_age+A84-17,HU_col))</f>
        <v/>
      </c>
      <c r="H84" s="63">
        <f>IF(OR(A84&lt;1,A84&gt;HU_T),0,INDEX(HU_q_dis,HU_age+A84-17,HU_col))</f>
        <v/>
      </c>
      <c r="I84" s="63">
        <f>IF(A84&gt;HU_T,0,I83*(1-D84)*(1-E84))</f>
        <v/>
      </c>
      <c r="J84" s="63">
        <f>IF(A84&gt;=HU_T,0,N(I85))</f>
        <v/>
      </c>
      <c r="K84" s="63">
        <f>K83*(1-G84)</f>
        <v/>
      </c>
      <c r="L84" s="63">
        <f>1-K84</f>
        <v/>
      </c>
      <c r="M84" s="63">
        <f>K83*G84</f>
        <v/>
      </c>
      <c r="N84" s="63">
        <f>N83*(1-H84)</f>
        <v/>
      </c>
      <c r="O84" s="63">
        <f>1-N83</f>
        <v/>
      </c>
      <c r="P84" s="63">
        <f>P83*(1-F84)</f>
        <v/>
      </c>
      <c r="Q84" s="63">
        <f>1-P83/INDEX($P$68:$P$150,MAX(1,A84-HU_ciYears))</f>
        <v/>
      </c>
      <c r="R84" s="60">
        <f>(1+inflationRate)^A84</f>
        <v/>
      </c>
      <c r="S84" s="29">
        <f>IF(OR(OR(A84&lt;1,A84&gt;HU_T),A84-1&gt;=HU_dtr),0,HU_inc0*(1+incomeGrowthRate)^A84)</f>
        <v/>
      </c>
      <c r="T84" s="60">
        <f>IF(A84&gt;HU_T,T83,T83*(1+INDEX(HU_ssG,HU_age+A84-17)))</f>
        <v/>
      </c>
      <c r="U84" s="29">
        <f>IF(AND(HU_dtr&gt;=1,A84=HU_dtr,A84&lt;=HU_T),MIN(S84*INDEX(HU_ssC,HU_age+A84-17)/(1-INDEX(HU_ssC,HU_age+A84-17)),INDEX(HU_ssCap,HU_age+A84-17))*T84,0)</f>
        <v/>
      </c>
      <c r="V84" s="29">
        <f>S84+U84+IF(AND(HU_wdOn,A84=HU_wdYear),HU_wdIncome,0)</f>
        <v/>
      </c>
      <c r="W84" s="60">
        <f>HU_ciProp*Q84+HU_tpdCut*L84+HU_disCut*O84</f>
        <v/>
      </c>
      <c r="X84" s="29">
        <f>IF(OR(A84&lt;1,A84&gt;HU_T),0,V84*(1-W84))</f>
        <v/>
      </c>
      <c r="Y84" s="29">
        <f>IF(OR(A84&lt;1,A84&gt;HU_T),0,IF(AND(HU_retExp&gt;0,A84-1&gt;=HU_dtr),HU_retExp,HU_exp0)*R84)</f>
        <v/>
      </c>
      <c r="Z84" s="29">
        <f>-Y84-IF(AND(HU_wdOn,A84=HU_wdYear),HU_wdOut,0)</f>
        <v/>
      </c>
      <c r="AA84" s="29">
        <f>IF(OR(A84&lt;1,A84&gt;HU_T),0,-HU_medCost*R84*F84-HU_tpdCost*R84*M84)</f>
        <v/>
      </c>
      <c r="AB84" s="29">
        <f>IF(A84&gt;HU_T,0,AB83*(1+interestRate)+X84+Z84+AA84)</f>
        <v/>
      </c>
      <c r="AC84" s="29">
        <f>IF(A84&gt;HU_T,0,HU_inv*EXP(HU_mu*A84))</f>
        <v/>
      </c>
      <c r="AD84" s="29">
        <f>IF(A84&gt;HU_T,0,MAX(0,AC84+AB84))</f>
        <v/>
      </c>
      <c r="AE84" s="29">
        <f>IF(A84&gt;HU_T,0,MAX(0,X84-Y84))</f>
        <v/>
      </c>
      <c r="AF84" s="63">
        <f>IF(AND($J$6,A84&gt;=1,A84&lt;=$Q$6-1),J84,0)</f>
        <v/>
      </c>
      <c r="AG84" s="29">
        <f>IF(OR(AF84=0,$S$6=0),0,IF((AD84+$L$6)&gt;$S$6/HU_alpha+$K$6,0.5*$S$6/HU_alpha,IF((AD84+$L$6)&gt;=$K$6,((AD84+$L$6)-$K$6)-0.5*HU_alpha/$S$6*((AD84+$L$6)-$K$6)^2,IF((AD84+$L$6)&gt;=$T$6,HU_beta*((AD84+$L$6)-$K$6),HU_beta*($T$6-$K$6)))))</f>
        <v/>
      </c>
      <c r="AH84" s="29">
        <f>IF(OR(AF84=0,$S$6=0),0,IF((AD84+$L$6+$N$6)&gt;$S$6/HU_alpha+$K$6,0.5*$S$6/HU_alpha,IF((AD84+$L$6+$N$6)&gt;=$K$6,((AD84+$L$6+$N$6)-$K$6)-0.5*HU_alpha/$S$6*((AD84+$L$6+$N$6)-$K$6)^2,IF((AD84+$L$6+$N$6)&gt;=$T$6,HU_beta*((AD84+$L$6+$N$6)-$K$6),HU_beta*($T$6-$K$6)))))</f>
        <v/>
      </c>
      <c r="AI84" s="29">
        <f>IF(OR(AF84=0,$S$6=0),0,IF((AD84+$K$6)&gt;$S$6/HU_alpha+$K$6,0.5*$S$6/HU_alpha,IF((AD84+$K$6)&gt;=$K$6,((AD84+$K$6)-$K$6)-0.5*HU_alpha/$S$6*((AD84+$K$6)-$K$6)^2,IF((AD84+$K$6)&gt;=$T$6,HU_beta*((AD84+$K$6)-$K$6),HU_beta*($T$6-$K$6)))))</f>
        <v/>
      </c>
      <c r="AJ84" s="63">
        <f>IF(AND($J$7,A84&gt;=1,A84&lt;=$Q$7-1),J84,0)</f>
        <v/>
      </c>
      <c r="AK84" s="29">
        <f>IF(OR(AJ84=0,$S$7=0),0,IF((AE84+$L$7)&gt;$S$7/HU_alpha+$K$7,0.5*$S$7/HU_alpha,IF((AE84+$L$7)&gt;=$K$7,((AE84+$L$7)-$K$7)-0.5*HU_alpha/$S$7*((AE84+$L$7)-$K$7)^2,IF((AE84+$L$7)&gt;=$T$7,HU_beta*((AE84+$L$7)-$K$7),HU_beta*($T$7-$K$7)))))</f>
        <v/>
      </c>
      <c r="AL84" s="29">
        <f>IF(OR(AJ84=0,$S$7=0),0,IF((AE84+$L$7+$N$7)&gt;$S$7/HU_alpha+$K$7,0.5*$S$7/HU_alpha,IF((AE84+$L$7+$N$7)&gt;=$K$7,((AE84+$L$7+$N$7)-$K$7)-0.5*HU_alpha/$S$7*((AE84+$L$7+$N$7)-$K$7)^2,IF((AE84+$L$7+$N$7)&gt;=$T$7,HU_beta*((AE84+$L$7+$N$7)-$K$7),HU_beta*($T$7-$K$7)))))</f>
        <v/>
      </c>
      <c r="AM84" s="29">
        <f>IF(OR(AJ84=0,$S$7=0),0,IF((AE84+$K$7)&gt;$S$7/HU_alpha+$K$7,0.5*$S$7/HU_alpha,IF((AE84+$K$7)&gt;=$K$7,((AE84+$K$7)-$K$7)-0.5*HU_alpha/$S$7*((AE84+$K$7)-$K$7)^2,IF((AE84+$K$7)&gt;=$T$7,HU_beta*((AE84+$K$7)-$K$7),HU_beta*($T$7-$K$7)))))</f>
        <v/>
      </c>
      <c r="AN84" s="63">
        <f>IF(AND($J$8,A84&gt;=1,A84&lt;=$Q$8-1),J84,0)</f>
        <v/>
      </c>
      <c r="AO84" s="29">
        <f>IF(OR(AN84=0,$S$8=0),0,IF((AE84+$L$8)&gt;$S$8/HU_alpha+$K$8,0.5*$S$8/HU_alpha,IF((AE84+$L$8)&gt;=$K$8,((AE84+$L$8)-$K$8)-0.5*HU_alpha/$S$8*((AE84+$L$8)-$K$8)^2,IF((AE84+$L$8)&gt;=$T$8,HU_beta*((AE84+$L$8)-$K$8),HU_beta*($T$8-$K$8)))))</f>
        <v/>
      </c>
      <c r="AP84" s="29">
        <f>IF(OR(AN84=0,$S$8=0),0,IF((AE84+$L$8+$N$8)&gt;$S$8/HU_alpha+$K$8,0.5*$S$8/HU_alpha,IF((AE84+$L$8+$N$8)&gt;=$K$8,((AE84+$L$8+$N$8)-$K$8)-0.5*HU_alpha/$S$8*((AE84+$L$8+$N$8)-$K$8)^2,IF((AE84+$L$8+$N$8)&gt;=$T$8,HU_beta*((AE84+$L$8+$N$8)-$K$8),HU_beta*($T$8-$K$8)))))</f>
        <v/>
      </c>
      <c r="AQ84" s="29">
        <f>IF(OR(AN84=0,$S$8=0),0,IF((AE84+$K$8)&gt;$S$8/HU_alpha+$K$8,0.5*$S$8/HU_alpha,IF((AE84+$K$8)&gt;=$K$8,((AE84+$K$8)-$K$8)-0.5*HU_alpha/$S$8*((AE84+$K$8)-$K$8)^2,IF((AE84+$K$8)&gt;=$T$8,HU_beta*((AE84+$K$8)-$K$8),HU_beta*($T$8-$K$8)))))</f>
        <v/>
      </c>
      <c r="AR84" s="63">
        <f>IF(AND($J$9,A84&gt;=1,A84&lt;=$Q$9-1),J84,0)</f>
        <v/>
      </c>
      <c r="AS84" s="29">
        <f>IF(OR(AR84=0,$S$9=0),0,IF((AE84+$L$9)&gt;$S$9/HU_alpha+$K$9,0.5*$S$9/HU_alpha,IF((AE84+$L$9)&gt;=$K$9,((AE84+$L$9)-$K$9)-0.5*HU_alpha/$S$9*((AE84+$L$9)-$K$9)^2,IF((AE84+$L$9)&gt;=$T$9,HU_beta*((AE84+$L$9)-$K$9),HU_beta*($T$9-$K$9)))))</f>
        <v/>
      </c>
      <c r="AT84" s="29">
        <f>IF(OR(AR84=0,$S$9=0),0,IF((AE84+$L$9+$N$9)&gt;$S$9/HU_alpha+$K$9,0.5*$S$9/HU_alpha,IF((AE84+$L$9+$N$9)&gt;=$K$9,((AE84+$L$9+$N$9)-$K$9)-0.5*HU_alpha/$S$9*((AE84+$L$9+$N$9)-$K$9)^2,IF((AE84+$L$9+$N$9)&gt;=$T$9,HU_beta*((AE84+$L$9+$N$9)-$K$9),HU_beta*($T$9-$K$9)))))</f>
        <v/>
      </c>
      <c r="AU84" s="29">
        <f>IF(OR(AR84=0,$S$9=0),0,IF((AE84+$K$9)&gt;$S$9/HU_alpha+$K$9,0.5*$S$9/HU_alpha,IF((AE84+$K$9)&gt;=$K$9,((AE84+$K$9)-$K$9)-0.5*HU_alpha/$S$9*((AE84+$K$9)-$K$9)^2,IF((AE84+$K$9)&gt;=$T$9,HU_beta*((AE84+$K$9)-$K$9),HU_beta*($T$9-$K$9)))))</f>
        <v/>
      </c>
      <c r="AV84" s="63">
        <f>IF(AND($J$10,A84=$Q$10),J84,0)</f>
        <v/>
      </c>
      <c r="AW84" s="29">
        <f>IF(OR(AV84=0,$S$10=0),0,IF((AD84+$L$10)&gt;$S$10/HU_alpha+$K$10,0.5*$S$10/HU_alpha,IF((AD84+$L$10)&gt;=$K$10,((AD84+$L$10)-$K$10)-0.5*HU_alpha/$S$10*((AD84+$L$10)-$K$10)^2,IF((AD84+$L$10)&gt;=$T$10,HU_beta*((AD84+$L$10)-$K$10),HU_beta*($T$10-$K$10)))))</f>
        <v/>
      </c>
      <c r="AX84" s="29">
        <f>IF(OR(AV84=0,$S$10=0),0,IF((AD84+$L$10+$N$10)&gt;$S$10/HU_alpha+$K$10,0.5*$S$10/HU_alpha,IF((AD84+$L$10+$N$10)&gt;=$K$10,((AD84+$L$10+$N$10)-$K$10)-0.5*HU_alpha/$S$10*((AD84+$L$10+$N$10)-$K$10)^2,IF((AD84+$L$10+$N$10)&gt;=$T$10,HU_beta*((AD84+$L$10+$N$10)-$K$10),HU_beta*($T$10-$K$10)))))</f>
        <v/>
      </c>
      <c r="AY84" s="29">
        <f>IF(OR(AV84=0,$S$10=0),0,IF((AD84+$K$10)&gt;$S$10/HU_alpha+$K$10,0.5*$S$10/HU_alpha,IF((AD84+$K$10)&gt;=$K$10,((AD84+$K$10)-$K$10)-0.5*HU_alpha/$S$10*((AD84+$K$10)-$K$10)^2,IF((AD84+$K$10)&gt;=$T$10,HU_beta*((AD84+$K$10)-$K$10),HU_beta*($T$10-$K$10)))))</f>
        <v/>
      </c>
      <c r="AZ84" s="63">
        <f>IF(AND($J$11,A84=$Q$11),J84,0)</f>
        <v/>
      </c>
      <c r="BA84" s="29">
        <f>IF(OR(AZ84=0,$S$11=0),0,IF((AE84+$L$11)&gt;$S$11/HU_alpha+$K$11,0.5*$S$11/HU_alpha,IF((AE84+$L$11)&gt;=$K$11,((AE84+$L$11)-$K$11)-0.5*HU_alpha/$S$11*((AE84+$L$11)-$K$11)^2,IF((AE84+$L$11)&gt;=$T$11,HU_beta*((AE84+$L$11)-$K$11),HU_beta*($T$11-$K$11)))))</f>
        <v/>
      </c>
      <c r="BB84" s="29">
        <f>IF(OR(AZ84=0,$S$11=0),0,IF((AE84+$L$11+$N$11)&gt;$S$11/HU_alpha+$K$11,0.5*$S$11/HU_alpha,IF((AE84+$L$11+$N$11)&gt;=$K$11,((AE84+$L$11+$N$11)-$K$11)-0.5*HU_alpha/$S$11*((AE84+$L$11+$N$11)-$K$11)^2,IF((AE84+$L$11+$N$11)&gt;=$T$11,HU_beta*((AE84+$L$11+$N$11)-$K$11),HU_beta*($T$11-$K$11)))))</f>
        <v/>
      </c>
      <c r="BC84" s="29">
        <f>IF(OR(AZ84=0,$S$11=0),0,IF((AE84+$K$11)&gt;$S$11/HU_alpha+$K$11,0.5*$S$11/HU_alpha,IF((AE84+$K$11)&gt;=$K$11,((AE84+$K$11)-$K$11)-0.5*HU_alpha/$S$11*((AE84+$K$11)-$K$11)^2,IF((AE84+$K$11)&gt;=$T$11,HU_beta*((AE84+$K$11)-$K$11),HU_beta*($T$11-$K$11)))))</f>
        <v/>
      </c>
      <c r="BD84" s="63">
        <f>IF(AND($J$12,A84=$Q$12),J84,0)</f>
        <v/>
      </c>
      <c r="BE84" s="29">
        <f>IF(OR(BD84=0,$S$12=0),0,IF((AE84+$L$12)&gt;$S$12/HU_alpha+$K$12,0.5*$S$12/HU_alpha,IF((AE84+$L$12)&gt;=$K$12,((AE84+$L$12)-$K$12)-0.5*HU_alpha/$S$12*((AE84+$L$12)-$K$12)^2,IF((AE84+$L$12)&gt;=$T$12,HU_beta*((AE84+$L$12)-$K$12),HU_beta*($T$12-$K$12)))))</f>
        <v/>
      </c>
      <c r="BF84" s="29">
        <f>IF(OR(BD84=0,$S$12=0),0,IF((AE84+$L$12+$N$12)&gt;$S$12/HU_alpha+$K$12,0.5*$S$12/HU_alpha,IF((AE84+$L$12+$N$12)&gt;=$K$12,((AE84+$L$12+$N$12)-$K$12)-0.5*HU_alpha/$S$12*((AE84+$L$12+$N$12)-$K$12)^2,IF((AE84+$L$12+$N$12)&gt;=$T$12,HU_beta*((AE84+$L$12+$N$12)-$K$12),HU_beta*($T$12-$K$12)))))</f>
        <v/>
      </c>
      <c r="BG84" s="29">
        <f>IF(OR(BD84=0,$S$12=0),0,IF((AE84+$K$12)&gt;$S$12/HU_alpha+$K$12,0.5*$S$12/HU_alpha,IF((AE84+$K$12)&gt;=$K$12,((AE84+$K$12)-$K$12)-0.5*HU_alpha/$S$12*((AE84+$K$12)-$K$12)^2,IF((AE84+$K$12)&gt;=$T$12,HU_beta*((AE84+$K$12)-$K$12),HU_beta*($T$12-$K$12)))))</f>
        <v/>
      </c>
      <c r="BH84" s="63">
        <f>IF(AND($J$13,A84=$Q$13),J84,0)</f>
        <v/>
      </c>
      <c r="BI84" s="29">
        <f>IF(OR(BH84=0,$S$13=0),0,IF((AE84+$L$13)&gt;$S$13/HU_alpha+$K$13,0.5*$S$13/HU_alpha,IF((AE84+$L$13)&gt;=$K$13,((AE84+$L$13)-$K$13)-0.5*HU_alpha/$S$13*((AE84+$L$13)-$K$13)^2,IF((AE84+$L$13)&gt;=$T$13,HU_beta*((AE84+$L$13)-$K$13),HU_beta*($T$13-$K$13)))))</f>
        <v/>
      </c>
      <c r="BJ84" s="29">
        <f>IF(OR(BH84=0,$S$13=0),0,IF((AE84+$L$13+$N$13)&gt;$S$13/HU_alpha+$K$13,0.5*$S$13/HU_alpha,IF((AE84+$L$13+$N$13)&gt;=$K$13,((AE84+$L$13+$N$13)-$K$13)-0.5*HU_alpha/$S$13*((AE84+$L$13+$N$13)-$K$13)^2,IF((AE84+$L$13+$N$13)&gt;=$T$13,HU_beta*((AE84+$L$13+$N$13)-$K$13),HU_beta*($T$13-$K$13)))))</f>
        <v/>
      </c>
      <c r="BK84" s="29">
        <f>IF(OR(BH84=0,$S$13=0),0,IF((AE84+$K$13)&gt;$S$13/HU_alpha+$K$13,0.5*$S$13/HU_alpha,IF((AE84+$K$13)&gt;=$K$13,((AE84+$K$13)-$K$13)-0.5*HU_alpha/$S$13*((AE84+$K$13)-$K$13)^2,IF((AE84+$K$13)&gt;=$T$13,HU_beta*((AE84+$K$13)-$K$13),HU_beta*($T$13-$K$13)))))</f>
        <v/>
      </c>
    </row>
    <row r="85">
      <c r="A85" s="61" t="n">
        <v>17</v>
      </c>
      <c r="B85" s="61">
        <f>HU_age+A85</f>
        <v/>
      </c>
      <c r="C85" s="52">
        <f>A85&lt;=HU_T</f>
        <v/>
      </c>
      <c r="D85" s="63">
        <f>IF(OR(A85&lt;1,A85&gt;HU_T),0,INDEX(HU_q_mort,HU_age+A85-17,HU_col))</f>
        <v/>
      </c>
      <c r="E85" s="63">
        <f>IF(OR(A85&lt;1,A85&gt;HU_T),0,INDEX(HU_q_adb,HU_age+A85-17,HU_col))</f>
        <v/>
      </c>
      <c r="F85" s="63">
        <f>IF(OR(A85&lt;1,A85&gt;HU_T),0,INDEX(HU_q_morb,HU_age+A85-17,HU_col))</f>
        <v/>
      </c>
      <c r="G85" s="63">
        <f>IF(OR(A85&lt;1,A85&gt;HU_T),0,INDEX(HU_q_ptd,HU_age+A85-17,HU_col))</f>
        <v/>
      </c>
      <c r="H85" s="63">
        <f>IF(OR(A85&lt;1,A85&gt;HU_T),0,INDEX(HU_q_dis,HU_age+A85-17,HU_col))</f>
        <v/>
      </c>
      <c r="I85" s="63">
        <f>IF(A85&gt;HU_T,0,I84*(1-D85)*(1-E85))</f>
        <v/>
      </c>
      <c r="J85" s="63">
        <f>IF(A85&gt;=HU_T,0,N(I86))</f>
        <v/>
      </c>
      <c r="K85" s="63">
        <f>K84*(1-G85)</f>
        <v/>
      </c>
      <c r="L85" s="63">
        <f>1-K85</f>
        <v/>
      </c>
      <c r="M85" s="63">
        <f>K84*G85</f>
        <v/>
      </c>
      <c r="N85" s="63">
        <f>N84*(1-H85)</f>
        <v/>
      </c>
      <c r="O85" s="63">
        <f>1-N84</f>
        <v/>
      </c>
      <c r="P85" s="63">
        <f>P84*(1-F85)</f>
        <v/>
      </c>
      <c r="Q85" s="63">
        <f>1-P84/INDEX($P$68:$P$150,MAX(1,A85-HU_ciYears))</f>
        <v/>
      </c>
      <c r="R85" s="60">
        <f>(1+inflationRate)^A85</f>
        <v/>
      </c>
      <c r="S85" s="29">
        <f>IF(OR(OR(A85&lt;1,A85&gt;HU_T),A85-1&gt;=HU_dtr),0,HU_inc0*(1+incomeGrowthRate)^A85)</f>
        <v/>
      </c>
      <c r="T85" s="60">
        <f>IF(A85&gt;HU_T,T84,T84*(1+INDEX(HU_ssG,HU_age+A85-17)))</f>
        <v/>
      </c>
      <c r="U85" s="29">
        <f>IF(AND(HU_dtr&gt;=1,A85=HU_dtr,A85&lt;=HU_T),MIN(S85*INDEX(HU_ssC,HU_age+A85-17)/(1-INDEX(HU_ssC,HU_age+A85-17)),INDEX(HU_ssCap,HU_age+A85-17))*T85,0)</f>
        <v/>
      </c>
      <c r="V85" s="29">
        <f>S85+U85+IF(AND(HU_wdOn,A85=HU_wdYear),HU_wdIncome,0)</f>
        <v/>
      </c>
      <c r="W85" s="60">
        <f>HU_ciProp*Q85+HU_tpdCut*L85+HU_disCut*O85</f>
        <v/>
      </c>
      <c r="X85" s="29">
        <f>IF(OR(A85&lt;1,A85&gt;HU_T),0,V85*(1-W85))</f>
        <v/>
      </c>
      <c r="Y85" s="29">
        <f>IF(OR(A85&lt;1,A85&gt;HU_T),0,IF(AND(HU_retExp&gt;0,A85-1&gt;=HU_dtr),HU_retExp,HU_exp0)*R85)</f>
        <v/>
      </c>
      <c r="Z85" s="29">
        <f>-Y85-IF(AND(HU_wdOn,A85=HU_wdYear),HU_wdOut,0)</f>
        <v/>
      </c>
      <c r="AA85" s="29">
        <f>IF(OR(A85&lt;1,A85&gt;HU_T),0,-HU_medCost*R85*F85-HU_tpdCost*R85*M85)</f>
        <v/>
      </c>
      <c r="AB85" s="29">
        <f>IF(A85&gt;HU_T,0,AB84*(1+interestRate)+X85+Z85+AA85)</f>
        <v/>
      </c>
      <c r="AC85" s="29">
        <f>IF(A85&gt;HU_T,0,HU_inv*EXP(HU_mu*A85))</f>
        <v/>
      </c>
      <c r="AD85" s="29">
        <f>IF(A85&gt;HU_T,0,MAX(0,AC85+AB85))</f>
        <v/>
      </c>
      <c r="AE85" s="29">
        <f>IF(A85&gt;HU_T,0,MAX(0,X85-Y85))</f>
        <v/>
      </c>
      <c r="AF85" s="63">
        <f>IF(AND($J$6,A85&gt;=1,A85&lt;=$Q$6-1),J85,0)</f>
        <v/>
      </c>
      <c r="AG85" s="29">
        <f>IF(OR(AF85=0,$S$6=0),0,IF((AD85+$L$6)&gt;$S$6/HU_alpha+$K$6,0.5*$S$6/HU_alpha,IF((AD85+$L$6)&gt;=$K$6,((AD85+$L$6)-$K$6)-0.5*HU_alpha/$S$6*((AD85+$L$6)-$K$6)^2,IF((AD85+$L$6)&gt;=$T$6,HU_beta*((AD85+$L$6)-$K$6),HU_beta*($T$6-$K$6)))))</f>
        <v/>
      </c>
      <c r="AH85" s="29">
        <f>IF(OR(AF85=0,$S$6=0),0,IF((AD85+$L$6+$N$6)&gt;$S$6/HU_alpha+$K$6,0.5*$S$6/HU_alpha,IF((AD85+$L$6+$N$6)&gt;=$K$6,((AD85+$L$6+$N$6)-$K$6)-0.5*HU_alpha/$S$6*((AD85+$L$6+$N$6)-$K$6)^2,IF((AD85+$L$6+$N$6)&gt;=$T$6,HU_beta*((AD85+$L$6+$N$6)-$K$6),HU_beta*($T$6-$K$6)))))</f>
        <v/>
      </c>
      <c r="AI85" s="29">
        <f>IF(OR(AF85=0,$S$6=0),0,IF((AD85+$K$6)&gt;$S$6/HU_alpha+$K$6,0.5*$S$6/HU_alpha,IF((AD85+$K$6)&gt;=$K$6,((AD85+$K$6)-$K$6)-0.5*HU_alpha/$S$6*((AD85+$K$6)-$K$6)^2,IF((AD85+$K$6)&gt;=$T$6,HU_beta*((AD85+$K$6)-$K$6),HU_beta*($T$6-$K$6)))))</f>
        <v/>
      </c>
      <c r="AJ85" s="63">
        <f>IF(AND($J$7,A85&gt;=1,A85&lt;=$Q$7-1),J85,0)</f>
        <v/>
      </c>
      <c r="AK85" s="29">
        <f>IF(OR(AJ85=0,$S$7=0),0,IF((AE85+$L$7)&gt;$S$7/HU_alpha+$K$7,0.5*$S$7/HU_alpha,IF((AE85+$L$7)&gt;=$K$7,((AE85+$L$7)-$K$7)-0.5*HU_alpha/$S$7*((AE85+$L$7)-$K$7)^2,IF((AE85+$L$7)&gt;=$T$7,HU_beta*((AE85+$L$7)-$K$7),HU_beta*($T$7-$K$7)))))</f>
        <v/>
      </c>
      <c r="AL85" s="29">
        <f>IF(OR(AJ85=0,$S$7=0),0,IF((AE85+$L$7+$N$7)&gt;$S$7/HU_alpha+$K$7,0.5*$S$7/HU_alpha,IF((AE85+$L$7+$N$7)&gt;=$K$7,((AE85+$L$7+$N$7)-$K$7)-0.5*HU_alpha/$S$7*((AE85+$L$7+$N$7)-$K$7)^2,IF((AE85+$L$7+$N$7)&gt;=$T$7,HU_beta*((AE85+$L$7+$N$7)-$K$7),HU_beta*($T$7-$K$7)))))</f>
        <v/>
      </c>
      <c r="AM85" s="29">
        <f>IF(OR(AJ85=0,$S$7=0),0,IF((AE85+$K$7)&gt;$S$7/HU_alpha+$K$7,0.5*$S$7/HU_alpha,IF((AE85+$K$7)&gt;=$K$7,((AE85+$K$7)-$K$7)-0.5*HU_alpha/$S$7*((AE85+$K$7)-$K$7)^2,IF((AE85+$K$7)&gt;=$T$7,HU_beta*((AE85+$K$7)-$K$7),HU_beta*($T$7-$K$7)))))</f>
        <v/>
      </c>
      <c r="AN85" s="63">
        <f>IF(AND($J$8,A85&gt;=1,A85&lt;=$Q$8-1),J85,0)</f>
        <v/>
      </c>
      <c r="AO85" s="29">
        <f>IF(OR(AN85=0,$S$8=0),0,IF((AE85+$L$8)&gt;$S$8/HU_alpha+$K$8,0.5*$S$8/HU_alpha,IF((AE85+$L$8)&gt;=$K$8,((AE85+$L$8)-$K$8)-0.5*HU_alpha/$S$8*((AE85+$L$8)-$K$8)^2,IF((AE85+$L$8)&gt;=$T$8,HU_beta*((AE85+$L$8)-$K$8),HU_beta*($T$8-$K$8)))))</f>
        <v/>
      </c>
      <c r="AP85" s="29">
        <f>IF(OR(AN85=0,$S$8=0),0,IF((AE85+$L$8+$N$8)&gt;$S$8/HU_alpha+$K$8,0.5*$S$8/HU_alpha,IF((AE85+$L$8+$N$8)&gt;=$K$8,((AE85+$L$8+$N$8)-$K$8)-0.5*HU_alpha/$S$8*((AE85+$L$8+$N$8)-$K$8)^2,IF((AE85+$L$8+$N$8)&gt;=$T$8,HU_beta*((AE85+$L$8+$N$8)-$K$8),HU_beta*($T$8-$K$8)))))</f>
        <v/>
      </c>
      <c r="AQ85" s="29">
        <f>IF(OR(AN85=0,$S$8=0),0,IF((AE85+$K$8)&gt;$S$8/HU_alpha+$K$8,0.5*$S$8/HU_alpha,IF((AE85+$K$8)&gt;=$K$8,((AE85+$K$8)-$K$8)-0.5*HU_alpha/$S$8*((AE85+$K$8)-$K$8)^2,IF((AE85+$K$8)&gt;=$T$8,HU_beta*((AE85+$K$8)-$K$8),HU_beta*($T$8-$K$8)))))</f>
        <v/>
      </c>
      <c r="AR85" s="63">
        <f>IF(AND($J$9,A85&gt;=1,A85&lt;=$Q$9-1),J85,0)</f>
        <v/>
      </c>
      <c r="AS85" s="29">
        <f>IF(OR(AR85=0,$S$9=0),0,IF((AE85+$L$9)&gt;$S$9/HU_alpha+$K$9,0.5*$S$9/HU_alpha,IF((AE85+$L$9)&gt;=$K$9,((AE85+$L$9)-$K$9)-0.5*HU_alpha/$S$9*((AE85+$L$9)-$K$9)^2,IF((AE85+$L$9)&gt;=$T$9,HU_beta*((AE85+$L$9)-$K$9),HU_beta*($T$9-$K$9)))))</f>
        <v/>
      </c>
      <c r="AT85" s="29">
        <f>IF(OR(AR85=0,$S$9=0),0,IF((AE85+$L$9+$N$9)&gt;$S$9/HU_alpha+$K$9,0.5*$S$9/HU_alpha,IF((AE85+$L$9+$N$9)&gt;=$K$9,((AE85+$L$9+$N$9)-$K$9)-0.5*HU_alpha/$S$9*((AE85+$L$9+$N$9)-$K$9)^2,IF((AE85+$L$9+$N$9)&gt;=$T$9,HU_beta*((AE85+$L$9+$N$9)-$K$9),HU_beta*($T$9-$K$9)))))</f>
        <v/>
      </c>
      <c r="AU85" s="29">
        <f>IF(OR(AR85=0,$S$9=0),0,IF((AE85+$K$9)&gt;$S$9/HU_alpha+$K$9,0.5*$S$9/HU_alpha,IF((AE85+$K$9)&gt;=$K$9,((AE85+$K$9)-$K$9)-0.5*HU_alpha/$S$9*((AE85+$K$9)-$K$9)^2,IF((AE85+$K$9)&gt;=$T$9,HU_beta*((AE85+$K$9)-$K$9),HU_beta*($T$9-$K$9)))))</f>
        <v/>
      </c>
      <c r="AV85" s="63">
        <f>IF(AND($J$10,A85=$Q$10),J85,0)</f>
        <v/>
      </c>
      <c r="AW85" s="29">
        <f>IF(OR(AV85=0,$S$10=0),0,IF((AD85+$L$10)&gt;$S$10/HU_alpha+$K$10,0.5*$S$10/HU_alpha,IF((AD85+$L$10)&gt;=$K$10,((AD85+$L$10)-$K$10)-0.5*HU_alpha/$S$10*((AD85+$L$10)-$K$10)^2,IF((AD85+$L$10)&gt;=$T$10,HU_beta*((AD85+$L$10)-$K$10),HU_beta*($T$10-$K$10)))))</f>
        <v/>
      </c>
      <c r="AX85" s="29">
        <f>IF(OR(AV85=0,$S$10=0),0,IF((AD85+$L$10+$N$10)&gt;$S$10/HU_alpha+$K$10,0.5*$S$10/HU_alpha,IF((AD85+$L$10+$N$10)&gt;=$K$10,((AD85+$L$10+$N$10)-$K$10)-0.5*HU_alpha/$S$10*((AD85+$L$10+$N$10)-$K$10)^2,IF((AD85+$L$10+$N$10)&gt;=$T$10,HU_beta*((AD85+$L$10+$N$10)-$K$10),HU_beta*($T$10-$K$10)))))</f>
        <v/>
      </c>
      <c r="AY85" s="29">
        <f>IF(OR(AV85=0,$S$10=0),0,IF((AD85+$K$10)&gt;$S$10/HU_alpha+$K$10,0.5*$S$10/HU_alpha,IF((AD85+$K$10)&gt;=$K$10,((AD85+$K$10)-$K$10)-0.5*HU_alpha/$S$10*((AD85+$K$10)-$K$10)^2,IF((AD85+$K$10)&gt;=$T$10,HU_beta*((AD85+$K$10)-$K$10),HU_beta*($T$10-$K$10)))))</f>
        <v/>
      </c>
      <c r="AZ85" s="63">
        <f>IF(AND($J$11,A85=$Q$11),J85,0)</f>
        <v/>
      </c>
      <c r="BA85" s="29">
        <f>IF(OR(AZ85=0,$S$11=0),0,IF((AE85+$L$11)&gt;$S$11/HU_alpha+$K$11,0.5*$S$11/HU_alpha,IF((AE85+$L$11)&gt;=$K$11,((AE85+$L$11)-$K$11)-0.5*HU_alpha/$S$11*((AE85+$L$11)-$K$11)^2,IF((AE85+$L$11)&gt;=$T$11,HU_beta*((AE85+$L$11)-$K$11),HU_beta*($T$11-$K$11)))))</f>
        <v/>
      </c>
      <c r="BB85" s="29">
        <f>IF(OR(AZ85=0,$S$11=0),0,IF((AE85+$L$11+$N$11)&gt;$S$11/HU_alpha+$K$11,0.5*$S$11/HU_alpha,IF((AE85+$L$11+$N$11)&gt;=$K$11,((AE85+$L$11+$N$11)-$K$11)-0.5*HU_alpha/$S$11*((AE85+$L$11+$N$11)-$K$11)^2,IF((AE85+$L$11+$N$11)&gt;=$T$11,HU_beta*((AE85+$L$11+$N$11)-$K$11),HU_beta*($T$11-$K$11)))))</f>
        <v/>
      </c>
      <c r="BC85" s="29">
        <f>IF(OR(AZ85=0,$S$11=0),0,IF((AE85+$K$11)&gt;$S$11/HU_alpha+$K$11,0.5*$S$11/HU_alpha,IF((AE85+$K$11)&gt;=$K$11,((AE85+$K$11)-$K$11)-0.5*HU_alpha/$S$11*((AE85+$K$11)-$K$11)^2,IF((AE85+$K$11)&gt;=$T$11,HU_beta*((AE85+$K$11)-$K$11),HU_beta*($T$11-$K$11)))))</f>
        <v/>
      </c>
      <c r="BD85" s="63">
        <f>IF(AND($J$12,A85=$Q$12),J85,0)</f>
        <v/>
      </c>
      <c r="BE85" s="29">
        <f>IF(OR(BD85=0,$S$12=0),0,IF((AE85+$L$12)&gt;$S$12/HU_alpha+$K$12,0.5*$S$12/HU_alpha,IF((AE85+$L$12)&gt;=$K$12,((AE85+$L$12)-$K$12)-0.5*HU_alpha/$S$12*((AE85+$L$12)-$K$12)^2,IF((AE85+$L$12)&gt;=$T$12,HU_beta*((AE85+$L$12)-$K$12),HU_beta*($T$12-$K$12)))))</f>
        <v/>
      </c>
      <c r="BF85" s="29">
        <f>IF(OR(BD85=0,$S$12=0),0,IF((AE85+$L$12+$N$12)&gt;$S$12/HU_alpha+$K$12,0.5*$S$12/HU_alpha,IF((AE85+$L$12+$N$12)&gt;=$K$12,((AE85+$L$12+$N$12)-$K$12)-0.5*HU_alpha/$S$12*((AE85+$L$12+$N$12)-$K$12)^2,IF((AE85+$L$12+$N$12)&gt;=$T$12,HU_beta*((AE85+$L$12+$N$12)-$K$12),HU_beta*($T$12-$K$12)))))</f>
        <v/>
      </c>
      <c r="BG85" s="29">
        <f>IF(OR(BD85=0,$S$12=0),0,IF((AE85+$K$12)&gt;$S$12/HU_alpha+$K$12,0.5*$S$12/HU_alpha,IF((AE85+$K$12)&gt;=$K$12,((AE85+$K$12)-$K$12)-0.5*HU_alpha/$S$12*((AE85+$K$12)-$K$12)^2,IF((AE85+$K$12)&gt;=$T$12,HU_beta*((AE85+$K$12)-$K$12),HU_beta*($T$12-$K$12)))))</f>
        <v/>
      </c>
      <c r="BH85" s="63">
        <f>IF(AND($J$13,A85=$Q$13),J85,0)</f>
        <v/>
      </c>
      <c r="BI85" s="29">
        <f>IF(OR(BH85=0,$S$13=0),0,IF((AE85+$L$13)&gt;$S$13/HU_alpha+$K$13,0.5*$S$13/HU_alpha,IF((AE85+$L$13)&gt;=$K$13,((AE85+$L$13)-$K$13)-0.5*HU_alpha/$S$13*((AE85+$L$13)-$K$13)^2,IF((AE85+$L$13)&gt;=$T$13,HU_beta*((AE85+$L$13)-$K$13),HU_beta*($T$13-$K$13)))))</f>
        <v/>
      </c>
      <c r="BJ85" s="29">
        <f>IF(OR(BH85=0,$S$13=0),0,IF((AE85+$L$13+$N$13)&gt;$S$13/HU_alpha+$K$13,0.5*$S$13/HU_alpha,IF((AE85+$L$13+$N$13)&gt;=$K$13,((AE85+$L$13+$N$13)-$K$13)-0.5*HU_alpha/$S$13*((AE85+$L$13+$N$13)-$K$13)^2,IF((AE85+$L$13+$N$13)&gt;=$T$13,HU_beta*((AE85+$L$13+$N$13)-$K$13),HU_beta*($T$13-$K$13)))))</f>
        <v/>
      </c>
      <c r="BK85" s="29">
        <f>IF(OR(BH85=0,$S$13=0),0,IF((AE85+$K$13)&gt;$S$13/HU_alpha+$K$13,0.5*$S$13/HU_alpha,IF((AE85+$K$13)&gt;=$K$13,((AE85+$K$13)-$K$13)-0.5*HU_alpha/$S$13*((AE85+$K$13)-$K$13)^2,IF((AE85+$K$13)&gt;=$T$13,HU_beta*((AE85+$K$13)-$K$13),HU_beta*($T$13-$K$13)))))</f>
        <v/>
      </c>
    </row>
    <row r="86">
      <c r="A86" s="61" t="n">
        <v>18</v>
      </c>
      <c r="B86" s="61">
        <f>HU_age+A86</f>
        <v/>
      </c>
      <c r="C86" s="52">
        <f>A86&lt;=HU_T</f>
        <v/>
      </c>
      <c r="D86" s="63">
        <f>IF(OR(A86&lt;1,A86&gt;HU_T),0,INDEX(HU_q_mort,HU_age+A86-17,HU_col))</f>
        <v/>
      </c>
      <c r="E86" s="63">
        <f>IF(OR(A86&lt;1,A86&gt;HU_T),0,INDEX(HU_q_adb,HU_age+A86-17,HU_col))</f>
        <v/>
      </c>
      <c r="F86" s="63">
        <f>IF(OR(A86&lt;1,A86&gt;HU_T),0,INDEX(HU_q_morb,HU_age+A86-17,HU_col))</f>
        <v/>
      </c>
      <c r="G86" s="63">
        <f>IF(OR(A86&lt;1,A86&gt;HU_T),0,INDEX(HU_q_ptd,HU_age+A86-17,HU_col))</f>
        <v/>
      </c>
      <c r="H86" s="63">
        <f>IF(OR(A86&lt;1,A86&gt;HU_T),0,INDEX(HU_q_dis,HU_age+A86-17,HU_col))</f>
        <v/>
      </c>
      <c r="I86" s="63">
        <f>IF(A86&gt;HU_T,0,I85*(1-D86)*(1-E86))</f>
        <v/>
      </c>
      <c r="J86" s="63">
        <f>IF(A86&gt;=HU_T,0,N(I87))</f>
        <v/>
      </c>
      <c r="K86" s="63">
        <f>K85*(1-G86)</f>
        <v/>
      </c>
      <c r="L86" s="63">
        <f>1-K86</f>
        <v/>
      </c>
      <c r="M86" s="63">
        <f>K85*G86</f>
        <v/>
      </c>
      <c r="N86" s="63">
        <f>N85*(1-H86)</f>
        <v/>
      </c>
      <c r="O86" s="63">
        <f>1-N85</f>
        <v/>
      </c>
      <c r="P86" s="63">
        <f>P85*(1-F86)</f>
        <v/>
      </c>
      <c r="Q86" s="63">
        <f>1-P85/INDEX($P$68:$P$150,MAX(1,A86-HU_ciYears))</f>
        <v/>
      </c>
      <c r="R86" s="60">
        <f>(1+inflationRate)^A86</f>
        <v/>
      </c>
      <c r="S86" s="29">
        <f>IF(OR(OR(A86&lt;1,A86&gt;HU_T),A86-1&gt;=HU_dtr),0,HU_inc0*(1+incomeGrowthRate)^A86)</f>
        <v/>
      </c>
      <c r="T86" s="60">
        <f>IF(A86&gt;HU_T,T85,T85*(1+INDEX(HU_ssG,HU_age+A86-17)))</f>
        <v/>
      </c>
      <c r="U86" s="29">
        <f>IF(AND(HU_dtr&gt;=1,A86=HU_dtr,A86&lt;=HU_T),MIN(S86*INDEX(HU_ssC,HU_age+A86-17)/(1-INDEX(HU_ssC,HU_age+A86-17)),INDEX(HU_ssCap,HU_age+A86-17))*T86,0)</f>
        <v/>
      </c>
      <c r="V86" s="29">
        <f>S86+U86+IF(AND(HU_wdOn,A86=HU_wdYear),HU_wdIncome,0)</f>
        <v/>
      </c>
      <c r="W86" s="60">
        <f>HU_ciProp*Q86+HU_tpdCut*L86+HU_disCut*O86</f>
        <v/>
      </c>
      <c r="X86" s="29">
        <f>IF(OR(A86&lt;1,A86&gt;HU_T),0,V86*(1-W86))</f>
        <v/>
      </c>
      <c r="Y86" s="29">
        <f>IF(OR(A86&lt;1,A86&gt;HU_T),0,IF(AND(HU_retExp&gt;0,A86-1&gt;=HU_dtr),HU_retExp,HU_exp0)*R86)</f>
        <v/>
      </c>
      <c r="Z86" s="29">
        <f>-Y86-IF(AND(HU_wdOn,A86=HU_wdYear),HU_wdOut,0)</f>
        <v/>
      </c>
      <c r="AA86" s="29">
        <f>IF(OR(A86&lt;1,A86&gt;HU_T),0,-HU_medCost*R86*F86-HU_tpdCost*R86*M86)</f>
        <v/>
      </c>
      <c r="AB86" s="29">
        <f>IF(A86&gt;HU_T,0,AB85*(1+interestRate)+X86+Z86+AA86)</f>
        <v/>
      </c>
      <c r="AC86" s="29">
        <f>IF(A86&gt;HU_T,0,HU_inv*EXP(HU_mu*A86))</f>
        <v/>
      </c>
      <c r="AD86" s="29">
        <f>IF(A86&gt;HU_T,0,MAX(0,AC86+AB86))</f>
        <v/>
      </c>
      <c r="AE86" s="29">
        <f>IF(A86&gt;HU_T,0,MAX(0,X86-Y86))</f>
        <v/>
      </c>
      <c r="AF86" s="63">
        <f>IF(AND($J$6,A86&gt;=1,A86&lt;=$Q$6-1),J86,0)</f>
        <v/>
      </c>
      <c r="AG86" s="29">
        <f>IF(OR(AF86=0,$S$6=0),0,IF((AD86+$L$6)&gt;$S$6/HU_alpha+$K$6,0.5*$S$6/HU_alpha,IF((AD86+$L$6)&gt;=$K$6,((AD86+$L$6)-$K$6)-0.5*HU_alpha/$S$6*((AD86+$L$6)-$K$6)^2,IF((AD86+$L$6)&gt;=$T$6,HU_beta*((AD86+$L$6)-$K$6),HU_beta*($T$6-$K$6)))))</f>
        <v/>
      </c>
      <c r="AH86" s="29">
        <f>IF(OR(AF86=0,$S$6=0),0,IF((AD86+$L$6+$N$6)&gt;$S$6/HU_alpha+$K$6,0.5*$S$6/HU_alpha,IF((AD86+$L$6+$N$6)&gt;=$K$6,((AD86+$L$6+$N$6)-$K$6)-0.5*HU_alpha/$S$6*((AD86+$L$6+$N$6)-$K$6)^2,IF((AD86+$L$6+$N$6)&gt;=$T$6,HU_beta*((AD86+$L$6+$N$6)-$K$6),HU_beta*($T$6-$K$6)))))</f>
        <v/>
      </c>
      <c r="AI86" s="29">
        <f>IF(OR(AF86=0,$S$6=0),0,IF((AD86+$K$6)&gt;$S$6/HU_alpha+$K$6,0.5*$S$6/HU_alpha,IF((AD86+$K$6)&gt;=$K$6,((AD86+$K$6)-$K$6)-0.5*HU_alpha/$S$6*((AD86+$K$6)-$K$6)^2,IF((AD86+$K$6)&gt;=$T$6,HU_beta*((AD86+$K$6)-$K$6),HU_beta*($T$6-$K$6)))))</f>
        <v/>
      </c>
      <c r="AJ86" s="63">
        <f>IF(AND($J$7,A86&gt;=1,A86&lt;=$Q$7-1),J86,0)</f>
        <v/>
      </c>
      <c r="AK86" s="29">
        <f>IF(OR(AJ86=0,$S$7=0),0,IF((AE86+$L$7)&gt;$S$7/HU_alpha+$K$7,0.5*$S$7/HU_alpha,IF((AE86+$L$7)&gt;=$K$7,((AE86+$L$7)-$K$7)-0.5*HU_alpha/$S$7*((AE86+$L$7)-$K$7)^2,IF((AE86+$L$7)&gt;=$T$7,HU_beta*((AE86+$L$7)-$K$7),HU_beta*($T$7-$K$7)))))</f>
        <v/>
      </c>
      <c r="AL86" s="29">
        <f>IF(OR(AJ86=0,$S$7=0),0,IF((AE86+$L$7+$N$7)&gt;$S$7/HU_alpha+$K$7,0.5*$S$7/HU_alpha,IF((AE86+$L$7+$N$7)&gt;=$K$7,((AE86+$L$7+$N$7)-$K$7)-0.5*HU_alpha/$S$7*((AE86+$L$7+$N$7)-$K$7)^2,IF((AE86+$L$7+$N$7)&gt;=$T$7,HU_beta*((AE86+$L$7+$N$7)-$K$7),HU_beta*($T$7-$K$7)))))</f>
        <v/>
      </c>
      <c r="AM86" s="29">
        <f>IF(OR(AJ86=0,$S$7=0),0,IF((AE86+$K$7)&gt;$S$7/HU_alpha+$K$7,0.5*$S$7/HU_alpha,IF((AE86+$K$7)&gt;=$K$7,((AE86+$K$7)-$K$7)-0.5*HU_alpha/$S$7*((AE86+$K$7)-$K$7)^2,IF((AE86+$K$7)&gt;=$T$7,HU_beta*((AE86+$K$7)-$K$7),HU_beta*($T$7-$K$7)))))</f>
        <v/>
      </c>
      <c r="AN86" s="63">
        <f>IF(AND($J$8,A86&gt;=1,A86&lt;=$Q$8-1),J86,0)</f>
        <v/>
      </c>
      <c r="AO86" s="29">
        <f>IF(OR(AN86=0,$S$8=0),0,IF((AE86+$L$8)&gt;$S$8/HU_alpha+$K$8,0.5*$S$8/HU_alpha,IF((AE86+$L$8)&gt;=$K$8,((AE86+$L$8)-$K$8)-0.5*HU_alpha/$S$8*((AE86+$L$8)-$K$8)^2,IF((AE86+$L$8)&gt;=$T$8,HU_beta*((AE86+$L$8)-$K$8),HU_beta*($T$8-$K$8)))))</f>
        <v/>
      </c>
      <c r="AP86" s="29">
        <f>IF(OR(AN86=0,$S$8=0),0,IF((AE86+$L$8+$N$8)&gt;$S$8/HU_alpha+$K$8,0.5*$S$8/HU_alpha,IF((AE86+$L$8+$N$8)&gt;=$K$8,((AE86+$L$8+$N$8)-$K$8)-0.5*HU_alpha/$S$8*((AE86+$L$8+$N$8)-$K$8)^2,IF((AE86+$L$8+$N$8)&gt;=$T$8,HU_beta*((AE86+$L$8+$N$8)-$K$8),HU_beta*($T$8-$K$8)))))</f>
        <v/>
      </c>
      <c r="AQ86" s="29">
        <f>IF(OR(AN86=0,$S$8=0),0,IF((AE86+$K$8)&gt;$S$8/HU_alpha+$K$8,0.5*$S$8/HU_alpha,IF((AE86+$K$8)&gt;=$K$8,((AE86+$K$8)-$K$8)-0.5*HU_alpha/$S$8*((AE86+$K$8)-$K$8)^2,IF((AE86+$K$8)&gt;=$T$8,HU_beta*((AE86+$K$8)-$K$8),HU_beta*($T$8-$K$8)))))</f>
        <v/>
      </c>
      <c r="AR86" s="63">
        <f>IF(AND($J$9,A86&gt;=1,A86&lt;=$Q$9-1),J86,0)</f>
        <v/>
      </c>
      <c r="AS86" s="29">
        <f>IF(OR(AR86=0,$S$9=0),0,IF((AE86+$L$9)&gt;$S$9/HU_alpha+$K$9,0.5*$S$9/HU_alpha,IF((AE86+$L$9)&gt;=$K$9,((AE86+$L$9)-$K$9)-0.5*HU_alpha/$S$9*((AE86+$L$9)-$K$9)^2,IF((AE86+$L$9)&gt;=$T$9,HU_beta*((AE86+$L$9)-$K$9),HU_beta*($T$9-$K$9)))))</f>
        <v/>
      </c>
      <c r="AT86" s="29">
        <f>IF(OR(AR86=0,$S$9=0),0,IF((AE86+$L$9+$N$9)&gt;$S$9/HU_alpha+$K$9,0.5*$S$9/HU_alpha,IF((AE86+$L$9+$N$9)&gt;=$K$9,((AE86+$L$9+$N$9)-$K$9)-0.5*HU_alpha/$S$9*((AE86+$L$9+$N$9)-$K$9)^2,IF((AE86+$L$9+$N$9)&gt;=$T$9,HU_beta*((AE86+$L$9+$N$9)-$K$9),HU_beta*($T$9-$K$9)))))</f>
        <v/>
      </c>
      <c r="AU86" s="29">
        <f>IF(OR(AR86=0,$S$9=0),0,IF((AE86+$K$9)&gt;$S$9/HU_alpha+$K$9,0.5*$S$9/HU_alpha,IF((AE86+$K$9)&gt;=$K$9,((AE86+$K$9)-$K$9)-0.5*HU_alpha/$S$9*((AE86+$K$9)-$K$9)^2,IF((AE86+$K$9)&gt;=$T$9,HU_beta*((AE86+$K$9)-$K$9),HU_beta*($T$9-$K$9)))))</f>
        <v/>
      </c>
      <c r="AV86" s="63">
        <f>IF(AND($J$10,A86=$Q$10),J86,0)</f>
        <v/>
      </c>
      <c r="AW86" s="29">
        <f>IF(OR(AV86=0,$S$10=0),0,IF((AD86+$L$10)&gt;$S$10/HU_alpha+$K$10,0.5*$S$10/HU_alpha,IF((AD86+$L$10)&gt;=$K$10,((AD86+$L$10)-$K$10)-0.5*HU_alpha/$S$10*((AD86+$L$10)-$K$10)^2,IF((AD86+$L$10)&gt;=$T$10,HU_beta*((AD86+$L$10)-$K$10),HU_beta*($T$10-$K$10)))))</f>
        <v/>
      </c>
      <c r="AX86" s="29">
        <f>IF(OR(AV86=0,$S$10=0),0,IF((AD86+$L$10+$N$10)&gt;$S$10/HU_alpha+$K$10,0.5*$S$10/HU_alpha,IF((AD86+$L$10+$N$10)&gt;=$K$10,((AD86+$L$10+$N$10)-$K$10)-0.5*HU_alpha/$S$10*((AD86+$L$10+$N$10)-$K$10)^2,IF((AD86+$L$10+$N$10)&gt;=$T$10,HU_beta*((AD86+$L$10+$N$10)-$K$10),HU_beta*($T$10-$K$10)))))</f>
        <v/>
      </c>
      <c r="AY86" s="29">
        <f>IF(OR(AV86=0,$S$10=0),0,IF((AD86+$K$10)&gt;$S$10/HU_alpha+$K$10,0.5*$S$10/HU_alpha,IF((AD86+$K$10)&gt;=$K$10,((AD86+$K$10)-$K$10)-0.5*HU_alpha/$S$10*((AD86+$K$10)-$K$10)^2,IF((AD86+$K$10)&gt;=$T$10,HU_beta*((AD86+$K$10)-$K$10),HU_beta*($T$10-$K$10)))))</f>
        <v/>
      </c>
      <c r="AZ86" s="63">
        <f>IF(AND($J$11,A86=$Q$11),J86,0)</f>
        <v/>
      </c>
      <c r="BA86" s="29">
        <f>IF(OR(AZ86=0,$S$11=0),0,IF((AE86+$L$11)&gt;$S$11/HU_alpha+$K$11,0.5*$S$11/HU_alpha,IF((AE86+$L$11)&gt;=$K$11,((AE86+$L$11)-$K$11)-0.5*HU_alpha/$S$11*((AE86+$L$11)-$K$11)^2,IF((AE86+$L$11)&gt;=$T$11,HU_beta*((AE86+$L$11)-$K$11),HU_beta*($T$11-$K$11)))))</f>
        <v/>
      </c>
      <c r="BB86" s="29">
        <f>IF(OR(AZ86=0,$S$11=0),0,IF((AE86+$L$11+$N$11)&gt;$S$11/HU_alpha+$K$11,0.5*$S$11/HU_alpha,IF((AE86+$L$11+$N$11)&gt;=$K$11,((AE86+$L$11+$N$11)-$K$11)-0.5*HU_alpha/$S$11*((AE86+$L$11+$N$11)-$K$11)^2,IF((AE86+$L$11+$N$11)&gt;=$T$11,HU_beta*((AE86+$L$11+$N$11)-$K$11),HU_beta*($T$11-$K$11)))))</f>
        <v/>
      </c>
      <c r="BC86" s="29">
        <f>IF(OR(AZ86=0,$S$11=0),0,IF((AE86+$K$11)&gt;$S$11/HU_alpha+$K$11,0.5*$S$11/HU_alpha,IF((AE86+$K$11)&gt;=$K$11,((AE86+$K$11)-$K$11)-0.5*HU_alpha/$S$11*((AE86+$K$11)-$K$11)^2,IF((AE86+$K$11)&gt;=$T$11,HU_beta*((AE86+$K$11)-$K$11),HU_beta*($T$11-$K$11)))))</f>
        <v/>
      </c>
      <c r="BD86" s="63">
        <f>IF(AND($J$12,A86=$Q$12),J86,0)</f>
        <v/>
      </c>
      <c r="BE86" s="29">
        <f>IF(OR(BD86=0,$S$12=0),0,IF((AE86+$L$12)&gt;$S$12/HU_alpha+$K$12,0.5*$S$12/HU_alpha,IF((AE86+$L$12)&gt;=$K$12,((AE86+$L$12)-$K$12)-0.5*HU_alpha/$S$12*((AE86+$L$12)-$K$12)^2,IF((AE86+$L$12)&gt;=$T$12,HU_beta*((AE86+$L$12)-$K$12),HU_beta*($T$12-$K$12)))))</f>
        <v/>
      </c>
      <c r="BF86" s="29">
        <f>IF(OR(BD86=0,$S$12=0),0,IF((AE86+$L$12+$N$12)&gt;$S$12/HU_alpha+$K$12,0.5*$S$12/HU_alpha,IF((AE86+$L$12+$N$12)&gt;=$K$12,((AE86+$L$12+$N$12)-$K$12)-0.5*HU_alpha/$S$12*((AE86+$L$12+$N$12)-$K$12)^2,IF((AE86+$L$12+$N$12)&gt;=$T$12,HU_beta*((AE86+$L$12+$N$12)-$K$12),HU_beta*($T$12-$K$12)))))</f>
        <v/>
      </c>
      <c r="BG86" s="29">
        <f>IF(OR(BD86=0,$S$12=0),0,IF((AE86+$K$12)&gt;$S$12/HU_alpha+$K$12,0.5*$S$12/HU_alpha,IF((AE86+$K$12)&gt;=$K$12,((AE86+$K$12)-$K$12)-0.5*HU_alpha/$S$12*((AE86+$K$12)-$K$12)^2,IF((AE86+$K$12)&gt;=$T$12,HU_beta*((AE86+$K$12)-$K$12),HU_beta*($T$12-$K$12)))))</f>
        <v/>
      </c>
      <c r="BH86" s="63">
        <f>IF(AND($J$13,A86=$Q$13),J86,0)</f>
        <v/>
      </c>
      <c r="BI86" s="29">
        <f>IF(OR(BH86=0,$S$13=0),0,IF((AE86+$L$13)&gt;$S$13/HU_alpha+$K$13,0.5*$S$13/HU_alpha,IF((AE86+$L$13)&gt;=$K$13,((AE86+$L$13)-$K$13)-0.5*HU_alpha/$S$13*((AE86+$L$13)-$K$13)^2,IF((AE86+$L$13)&gt;=$T$13,HU_beta*((AE86+$L$13)-$K$13),HU_beta*($T$13-$K$13)))))</f>
        <v/>
      </c>
      <c r="BJ86" s="29">
        <f>IF(OR(BH86=0,$S$13=0),0,IF((AE86+$L$13+$N$13)&gt;$S$13/HU_alpha+$K$13,0.5*$S$13/HU_alpha,IF((AE86+$L$13+$N$13)&gt;=$K$13,((AE86+$L$13+$N$13)-$K$13)-0.5*HU_alpha/$S$13*((AE86+$L$13+$N$13)-$K$13)^2,IF((AE86+$L$13+$N$13)&gt;=$T$13,HU_beta*((AE86+$L$13+$N$13)-$K$13),HU_beta*($T$13-$K$13)))))</f>
        <v/>
      </c>
      <c r="BK86" s="29">
        <f>IF(OR(BH86=0,$S$13=0),0,IF((AE86+$K$13)&gt;$S$13/HU_alpha+$K$13,0.5*$S$13/HU_alpha,IF((AE86+$K$13)&gt;=$K$13,((AE86+$K$13)-$K$13)-0.5*HU_alpha/$S$13*((AE86+$K$13)-$K$13)^2,IF((AE86+$K$13)&gt;=$T$13,HU_beta*((AE86+$K$13)-$K$13),HU_beta*($T$13-$K$13)))))</f>
        <v/>
      </c>
    </row>
    <row r="87">
      <c r="A87" s="61" t="n">
        <v>19</v>
      </c>
      <c r="B87" s="61">
        <f>HU_age+A87</f>
        <v/>
      </c>
      <c r="C87" s="52">
        <f>A87&lt;=HU_T</f>
        <v/>
      </c>
      <c r="D87" s="63">
        <f>IF(OR(A87&lt;1,A87&gt;HU_T),0,INDEX(HU_q_mort,HU_age+A87-17,HU_col))</f>
        <v/>
      </c>
      <c r="E87" s="63">
        <f>IF(OR(A87&lt;1,A87&gt;HU_T),0,INDEX(HU_q_adb,HU_age+A87-17,HU_col))</f>
        <v/>
      </c>
      <c r="F87" s="63">
        <f>IF(OR(A87&lt;1,A87&gt;HU_T),0,INDEX(HU_q_morb,HU_age+A87-17,HU_col))</f>
        <v/>
      </c>
      <c r="G87" s="63">
        <f>IF(OR(A87&lt;1,A87&gt;HU_T),0,INDEX(HU_q_ptd,HU_age+A87-17,HU_col))</f>
        <v/>
      </c>
      <c r="H87" s="63">
        <f>IF(OR(A87&lt;1,A87&gt;HU_T),0,INDEX(HU_q_dis,HU_age+A87-17,HU_col))</f>
        <v/>
      </c>
      <c r="I87" s="63">
        <f>IF(A87&gt;HU_T,0,I86*(1-D87)*(1-E87))</f>
        <v/>
      </c>
      <c r="J87" s="63">
        <f>IF(A87&gt;=HU_T,0,N(I88))</f>
        <v/>
      </c>
      <c r="K87" s="63">
        <f>K86*(1-G87)</f>
        <v/>
      </c>
      <c r="L87" s="63">
        <f>1-K87</f>
        <v/>
      </c>
      <c r="M87" s="63">
        <f>K86*G87</f>
        <v/>
      </c>
      <c r="N87" s="63">
        <f>N86*(1-H87)</f>
        <v/>
      </c>
      <c r="O87" s="63">
        <f>1-N86</f>
        <v/>
      </c>
      <c r="P87" s="63">
        <f>P86*(1-F87)</f>
        <v/>
      </c>
      <c r="Q87" s="63">
        <f>1-P86/INDEX($P$68:$P$150,MAX(1,A87-HU_ciYears))</f>
        <v/>
      </c>
      <c r="R87" s="60">
        <f>(1+inflationRate)^A87</f>
        <v/>
      </c>
      <c r="S87" s="29">
        <f>IF(OR(OR(A87&lt;1,A87&gt;HU_T),A87-1&gt;=HU_dtr),0,HU_inc0*(1+incomeGrowthRate)^A87)</f>
        <v/>
      </c>
      <c r="T87" s="60">
        <f>IF(A87&gt;HU_T,T86,T86*(1+INDEX(HU_ssG,HU_age+A87-17)))</f>
        <v/>
      </c>
      <c r="U87" s="29">
        <f>IF(AND(HU_dtr&gt;=1,A87=HU_dtr,A87&lt;=HU_T),MIN(S87*INDEX(HU_ssC,HU_age+A87-17)/(1-INDEX(HU_ssC,HU_age+A87-17)),INDEX(HU_ssCap,HU_age+A87-17))*T87,0)</f>
        <v/>
      </c>
      <c r="V87" s="29">
        <f>S87+U87+IF(AND(HU_wdOn,A87=HU_wdYear),HU_wdIncome,0)</f>
        <v/>
      </c>
      <c r="W87" s="60">
        <f>HU_ciProp*Q87+HU_tpdCut*L87+HU_disCut*O87</f>
        <v/>
      </c>
      <c r="X87" s="29">
        <f>IF(OR(A87&lt;1,A87&gt;HU_T),0,V87*(1-W87))</f>
        <v/>
      </c>
      <c r="Y87" s="29">
        <f>IF(OR(A87&lt;1,A87&gt;HU_T),0,IF(AND(HU_retExp&gt;0,A87-1&gt;=HU_dtr),HU_retExp,HU_exp0)*R87)</f>
        <v/>
      </c>
      <c r="Z87" s="29">
        <f>-Y87-IF(AND(HU_wdOn,A87=HU_wdYear),HU_wdOut,0)</f>
        <v/>
      </c>
      <c r="AA87" s="29">
        <f>IF(OR(A87&lt;1,A87&gt;HU_T),0,-HU_medCost*R87*F87-HU_tpdCost*R87*M87)</f>
        <v/>
      </c>
      <c r="AB87" s="29">
        <f>IF(A87&gt;HU_T,0,AB86*(1+interestRate)+X87+Z87+AA87)</f>
        <v/>
      </c>
      <c r="AC87" s="29">
        <f>IF(A87&gt;HU_T,0,HU_inv*EXP(HU_mu*A87))</f>
        <v/>
      </c>
      <c r="AD87" s="29">
        <f>IF(A87&gt;HU_T,0,MAX(0,AC87+AB87))</f>
        <v/>
      </c>
      <c r="AE87" s="29">
        <f>IF(A87&gt;HU_T,0,MAX(0,X87-Y87))</f>
        <v/>
      </c>
      <c r="AF87" s="63">
        <f>IF(AND($J$6,A87&gt;=1,A87&lt;=$Q$6-1),J87,0)</f>
        <v/>
      </c>
      <c r="AG87" s="29">
        <f>IF(OR(AF87=0,$S$6=0),0,IF((AD87+$L$6)&gt;$S$6/HU_alpha+$K$6,0.5*$S$6/HU_alpha,IF((AD87+$L$6)&gt;=$K$6,((AD87+$L$6)-$K$6)-0.5*HU_alpha/$S$6*((AD87+$L$6)-$K$6)^2,IF((AD87+$L$6)&gt;=$T$6,HU_beta*((AD87+$L$6)-$K$6),HU_beta*($T$6-$K$6)))))</f>
        <v/>
      </c>
      <c r="AH87" s="29">
        <f>IF(OR(AF87=0,$S$6=0),0,IF((AD87+$L$6+$N$6)&gt;$S$6/HU_alpha+$K$6,0.5*$S$6/HU_alpha,IF((AD87+$L$6+$N$6)&gt;=$K$6,((AD87+$L$6+$N$6)-$K$6)-0.5*HU_alpha/$S$6*((AD87+$L$6+$N$6)-$K$6)^2,IF((AD87+$L$6+$N$6)&gt;=$T$6,HU_beta*((AD87+$L$6+$N$6)-$K$6),HU_beta*($T$6-$K$6)))))</f>
        <v/>
      </c>
      <c r="AI87" s="29">
        <f>IF(OR(AF87=0,$S$6=0),0,IF((AD87+$K$6)&gt;$S$6/HU_alpha+$K$6,0.5*$S$6/HU_alpha,IF((AD87+$K$6)&gt;=$K$6,((AD87+$K$6)-$K$6)-0.5*HU_alpha/$S$6*((AD87+$K$6)-$K$6)^2,IF((AD87+$K$6)&gt;=$T$6,HU_beta*((AD87+$K$6)-$K$6),HU_beta*($T$6-$K$6)))))</f>
        <v/>
      </c>
      <c r="AJ87" s="63">
        <f>IF(AND($J$7,A87&gt;=1,A87&lt;=$Q$7-1),J87,0)</f>
        <v/>
      </c>
      <c r="AK87" s="29">
        <f>IF(OR(AJ87=0,$S$7=0),0,IF((AE87+$L$7)&gt;$S$7/HU_alpha+$K$7,0.5*$S$7/HU_alpha,IF((AE87+$L$7)&gt;=$K$7,((AE87+$L$7)-$K$7)-0.5*HU_alpha/$S$7*((AE87+$L$7)-$K$7)^2,IF((AE87+$L$7)&gt;=$T$7,HU_beta*((AE87+$L$7)-$K$7),HU_beta*($T$7-$K$7)))))</f>
        <v/>
      </c>
      <c r="AL87" s="29">
        <f>IF(OR(AJ87=0,$S$7=0),0,IF((AE87+$L$7+$N$7)&gt;$S$7/HU_alpha+$K$7,0.5*$S$7/HU_alpha,IF((AE87+$L$7+$N$7)&gt;=$K$7,((AE87+$L$7+$N$7)-$K$7)-0.5*HU_alpha/$S$7*((AE87+$L$7+$N$7)-$K$7)^2,IF((AE87+$L$7+$N$7)&gt;=$T$7,HU_beta*((AE87+$L$7+$N$7)-$K$7),HU_beta*($T$7-$K$7)))))</f>
        <v/>
      </c>
      <c r="AM87" s="29">
        <f>IF(OR(AJ87=0,$S$7=0),0,IF((AE87+$K$7)&gt;$S$7/HU_alpha+$K$7,0.5*$S$7/HU_alpha,IF((AE87+$K$7)&gt;=$K$7,((AE87+$K$7)-$K$7)-0.5*HU_alpha/$S$7*((AE87+$K$7)-$K$7)^2,IF((AE87+$K$7)&gt;=$T$7,HU_beta*((AE87+$K$7)-$K$7),HU_beta*($T$7-$K$7)))))</f>
        <v/>
      </c>
      <c r="AN87" s="63">
        <f>IF(AND($J$8,A87&gt;=1,A87&lt;=$Q$8-1),J87,0)</f>
        <v/>
      </c>
      <c r="AO87" s="29">
        <f>IF(OR(AN87=0,$S$8=0),0,IF((AE87+$L$8)&gt;$S$8/HU_alpha+$K$8,0.5*$S$8/HU_alpha,IF((AE87+$L$8)&gt;=$K$8,((AE87+$L$8)-$K$8)-0.5*HU_alpha/$S$8*((AE87+$L$8)-$K$8)^2,IF((AE87+$L$8)&gt;=$T$8,HU_beta*((AE87+$L$8)-$K$8),HU_beta*($T$8-$K$8)))))</f>
        <v/>
      </c>
      <c r="AP87" s="29">
        <f>IF(OR(AN87=0,$S$8=0),0,IF((AE87+$L$8+$N$8)&gt;$S$8/HU_alpha+$K$8,0.5*$S$8/HU_alpha,IF((AE87+$L$8+$N$8)&gt;=$K$8,((AE87+$L$8+$N$8)-$K$8)-0.5*HU_alpha/$S$8*((AE87+$L$8+$N$8)-$K$8)^2,IF((AE87+$L$8+$N$8)&gt;=$T$8,HU_beta*((AE87+$L$8+$N$8)-$K$8),HU_beta*($T$8-$K$8)))))</f>
        <v/>
      </c>
      <c r="AQ87" s="29">
        <f>IF(OR(AN87=0,$S$8=0),0,IF((AE87+$K$8)&gt;$S$8/HU_alpha+$K$8,0.5*$S$8/HU_alpha,IF((AE87+$K$8)&gt;=$K$8,((AE87+$K$8)-$K$8)-0.5*HU_alpha/$S$8*((AE87+$K$8)-$K$8)^2,IF((AE87+$K$8)&gt;=$T$8,HU_beta*((AE87+$K$8)-$K$8),HU_beta*($T$8-$K$8)))))</f>
        <v/>
      </c>
      <c r="AR87" s="63">
        <f>IF(AND($J$9,A87&gt;=1,A87&lt;=$Q$9-1),J87,0)</f>
        <v/>
      </c>
      <c r="AS87" s="29">
        <f>IF(OR(AR87=0,$S$9=0),0,IF((AE87+$L$9)&gt;$S$9/HU_alpha+$K$9,0.5*$S$9/HU_alpha,IF((AE87+$L$9)&gt;=$K$9,((AE87+$L$9)-$K$9)-0.5*HU_alpha/$S$9*((AE87+$L$9)-$K$9)^2,IF((AE87+$L$9)&gt;=$T$9,HU_beta*((AE87+$L$9)-$K$9),HU_beta*($T$9-$K$9)))))</f>
        <v/>
      </c>
      <c r="AT87" s="29">
        <f>IF(OR(AR87=0,$S$9=0),0,IF((AE87+$L$9+$N$9)&gt;$S$9/HU_alpha+$K$9,0.5*$S$9/HU_alpha,IF((AE87+$L$9+$N$9)&gt;=$K$9,((AE87+$L$9+$N$9)-$K$9)-0.5*HU_alpha/$S$9*((AE87+$L$9+$N$9)-$K$9)^2,IF((AE87+$L$9+$N$9)&gt;=$T$9,HU_beta*((AE87+$L$9+$N$9)-$K$9),HU_beta*($T$9-$K$9)))))</f>
        <v/>
      </c>
      <c r="AU87" s="29">
        <f>IF(OR(AR87=0,$S$9=0),0,IF((AE87+$K$9)&gt;$S$9/HU_alpha+$K$9,0.5*$S$9/HU_alpha,IF((AE87+$K$9)&gt;=$K$9,((AE87+$K$9)-$K$9)-0.5*HU_alpha/$S$9*((AE87+$K$9)-$K$9)^2,IF((AE87+$K$9)&gt;=$T$9,HU_beta*((AE87+$K$9)-$K$9),HU_beta*($T$9-$K$9)))))</f>
        <v/>
      </c>
      <c r="AV87" s="63">
        <f>IF(AND($J$10,A87=$Q$10),J87,0)</f>
        <v/>
      </c>
      <c r="AW87" s="29">
        <f>IF(OR(AV87=0,$S$10=0),0,IF((AD87+$L$10)&gt;$S$10/HU_alpha+$K$10,0.5*$S$10/HU_alpha,IF((AD87+$L$10)&gt;=$K$10,((AD87+$L$10)-$K$10)-0.5*HU_alpha/$S$10*((AD87+$L$10)-$K$10)^2,IF((AD87+$L$10)&gt;=$T$10,HU_beta*((AD87+$L$10)-$K$10),HU_beta*($T$10-$K$10)))))</f>
        <v/>
      </c>
      <c r="AX87" s="29">
        <f>IF(OR(AV87=0,$S$10=0),0,IF((AD87+$L$10+$N$10)&gt;$S$10/HU_alpha+$K$10,0.5*$S$10/HU_alpha,IF((AD87+$L$10+$N$10)&gt;=$K$10,((AD87+$L$10+$N$10)-$K$10)-0.5*HU_alpha/$S$10*((AD87+$L$10+$N$10)-$K$10)^2,IF((AD87+$L$10+$N$10)&gt;=$T$10,HU_beta*((AD87+$L$10+$N$10)-$K$10),HU_beta*($T$10-$K$10)))))</f>
        <v/>
      </c>
      <c r="AY87" s="29">
        <f>IF(OR(AV87=0,$S$10=0),0,IF((AD87+$K$10)&gt;$S$10/HU_alpha+$K$10,0.5*$S$10/HU_alpha,IF((AD87+$K$10)&gt;=$K$10,((AD87+$K$10)-$K$10)-0.5*HU_alpha/$S$10*((AD87+$K$10)-$K$10)^2,IF((AD87+$K$10)&gt;=$T$10,HU_beta*((AD87+$K$10)-$K$10),HU_beta*($T$10-$K$10)))))</f>
        <v/>
      </c>
      <c r="AZ87" s="63">
        <f>IF(AND($J$11,A87=$Q$11),J87,0)</f>
        <v/>
      </c>
      <c r="BA87" s="29">
        <f>IF(OR(AZ87=0,$S$11=0),0,IF((AE87+$L$11)&gt;$S$11/HU_alpha+$K$11,0.5*$S$11/HU_alpha,IF((AE87+$L$11)&gt;=$K$11,((AE87+$L$11)-$K$11)-0.5*HU_alpha/$S$11*((AE87+$L$11)-$K$11)^2,IF((AE87+$L$11)&gt;=$T$11,HU_beta*((AE87+$L$11)-$K$11),HU_beta*($T$11-$K$11)))))</f>
        <v/>
      </c>
      <c r="BB87" s="29">
        <f>IF(OR(AZ87=0,$S$11=0),0,IF((AE87+$L$11+$N$11)&gt;$S$11/HU_alpha+$K$11,0.5*$S$11/HU_alpha,IF((AE87+$L$11+$N$11)&gt;=$K$11,((AE87+$L$11+$N$11)-$K$11)-0.5*HU_alpha/$S$11*((AE87+$L$11+$N$11)-$K$11)^2,IF((AE87+$L$11+$N$11)&gt;=$T$11,HU_beta*((AE87+$L$11+$N$11)-$K$11),HU_beta*($T$11-$K$11)))))</f>
        <v/>
      </c>
      <c r="BC87" s="29">
        <f>IF(OR(AZ87=0,$S$11=0),0,IF((AE87+$K$11)&gt;$S$11/HU_alpha+$K$11,0.5*$S$11/HU_alpha,IF((AE87+$K$11)&gt;=$K$11,((AE87+$K$11)-$K$11)-0.5*HU_alpha/$S$11*((AE87+$K$11)-$K$11)^2,IF((AE87+$K$11)&gt;=$T$11,HU_beta*((AE87+$K$11)-$K$11),HU_beta*($T$11-$K$11)))))</f>
        <v/>
      </c>
      <c r="BD87" s="63">
        <f>IF(AND($J$12,A87=$Q$12),J87,0)</f>
        <v/>
      </c>
      <c r="BE87" s="29">
        <f>IF(OR(BD87=0,$S$12=0),0,IF((AE87+$L$12)&gt;$S$12/HU_alpha+$K$12,0.5*$S$12/HU_alpha,IF((AE87+$L$12)&gt;=$K$12,((AE87+$L$12)-$K$12)-0.5*HU_alpha/$S$12*((AE87+$L$12)-$K$12)^2,IF((AE87+$L$12)&gt;=$T$12,HU_beta*((AE87+$L$12)-$K$12),HU_beta*($T$12-$K$12)))))</f>
        <v/>
      </c>
      <c r="BF87" s="29">
        <f>IF(OR(BD87=0,$S$12=0),0,IF((AE87+$L$12+$N$12)&gt;$S$12/HU_alpha+$K$12,0.5*$S$12/HU_alpha,IF((AE87+$L$12+$N$12)&gt;=$K$12,((AE87+$L$12+$N$12)-$K$12)-0.5*HU_alpha/$S$12*((AE87+$L$12+$N$12)-$K$12)^2,IF((AE87+$L$12+$N$12)&gt;=$T$12,HU_beta*((AE87+$L$12+$N$12)-$K$12),HU_beta*($T$12-$K$12)))))</f>
        <v/>
      </c>
      <c r="BG87" s="29">
        <f>IF(OR(BD87=0,$S$12=0),0,IF((AE87+$K$12)&gt;$S$12/HU_alpha+$K$12,0.5*$S$12/HU_alpha,IF((AE87+$K$12)&gt;=$K$12,((AE87+$K$12)-$K$12)-0.5*HU_alpha/$S$12*((AE87+$K$12)-$K$12)^2,IF((AE87+$K$12)&gt;=$T$12,HU_beta*((AE87+$K$12)-$K$12),HU_beta*($T$12-$K$12)))))</f>
        <v/>
      </c>
      <c r="BH87" s="63">
        <f>IF(AND($J$13,A87=$Q$13),J87,0)</f>
        <v/>
      </c>
      <c r="BI87" s="29">
        <f>IF(OR(BH87=0,$S$13=0),0,IF((AE87+$L$13)&gt;$S$13/HU_alpha+$K$13,0.5*$S$13/HU_alpha,IF((AE87+$L$13)&gt;=$K$13,((AE87+$L$13)-$K$13)-0.5*HU_alpha/$S$13*((AE87+$L$13)-$K$13)^2,IF((AE87+$L$13)&gt;=$T$13,HU_beta*((AE87+$L$13)-$K$13),HU_beta*($T$13-$K$13)))))</f>
        <v/>
      </c>
      <c r="BJ87" s="29">
        <f>IF(OR(BH87=0,$S$13=0),0,IF((AE87+$L$13+$N$13)&gt;$S$13/HU_alpha+$K$13,0.5*$S$13/HU_alpha,IF((AE87+$L$13+$N$13)&gt;=$K$13,((AE87+$L$13+$N$13)-$K$13)-0.5*HU_alpha/$S$13*((AE87+$L$13+$N$13)-$K$13)^2,IF((AE87+$L$13+$N$13)&gt;=$T$13,HU_beta*((AE87+$L$13+$N$13)-$K$13),HU_beta*($T$13-$K$13)))))</f>
        <v/>
      </c>
      <c r="BK87" s="29">
        <f>IF(OR(BH87=0,$S$13=0),0,IF((AE87+$K$13)&gt;$S$13/HU_alpha+$K$13,0.5*$S$13/HU_alpha,IF((AE87+$K$13)&gt;=$K$13,((AE87+$K$13)-$K$13)-0.5*HU_alpha/$S$13*((AE87+$K$13)-$K$13)^2,IF((AE87+$K$13)&gt;=$T$13,HU_beta*((AE87+$K$13)-$K$13),HU_beta*($T$13-$K$13)))))</f>
        <v/>
      </c>
    </row>
    <row r="88">
      <c r="A88" s="61" t="n">
        <v>20</v>
      </c>
      <c r="B88" s="61">
        <f>HU_age+A88</f>
        <v/>
      </c>
      <c r="C88" s="52">
        <f>A88&lt;=HU_T</f>
        <v/>
      </c>
      <c r="D88" s="63">
        <f>IF(OR(A88&lt;1,A88&gt;HU_T),0,INDEX(HU_q_mort,HU_age+A88-17,HU_col))</f>
        <v/>
      </c>
      <c r="E88" s="63">
        <f>IF(OR(A88&lt;1,A88&gt;HU_T),0,INDEX(HU_q_adb,HU_age+A88-17,HU_col))</f>
        <v/>
      </c>
      <c r="F88" s="63">
        <f>IF(OR(A88&lt;1,A88&gt;HU_T),0,INDEX(HU_q_morb,HU_age+A88-17,HU_col))</f>
        <v/>
      </c>
      <c r="G88" s="63">
        <f>IF(OR(A88&lt;1,A88&gt;HU_T),0,INDEX(HU_q_ptd,HU_age+A88-17,HU_col))</f>
        <v/>
      </c>
      <c r="H88" s="63">
        <f>IF(OR(A88&lt;1,A88&gt;HU_T),0,INDEX(HU_q_dis,HU_age+A88-17,HU_col))</f>
        <v/>
      </c>
      <c r="I88" s="63">
        <f>IF(A88&gt;HU_T,0,I87*(1-D88)*(1-E88))</f>
        <v/>
      </c>
      <c r="J88" s="63">
        <f>IF(A88&gt;=HU_T,0,N(I89))</f>
        <v/>
      </c>
      <c r="K88" s="63">
        <f>K87*(1-G88)</f>
        <v/>
      </c>
      <c r="L88" s="63">
        <f>1-K88</f>
        <v/>
      </c>
      <c r="M88" s="63">
        <f>K87*G88</f>
        <v/>
      </c>
      <c r="N88" s="63">
        <f>N87*(1-H88)</f>
        <v/>
      </c>
      <c r="O88" s="63">
        <f>1-N87</f>
        <v/>
      </c>
      <c r="P88" s="63">
        <f>P87*(1-F88)</f>
        <v/>
      </c>
      <c r="Q88" s="63">
        <f>1-P87/INDEX($P$68:$P$150,MAX(1,A88-HU_ciYears))</f>
        <v/>
      </c>
      <c r="R88" s="60">
        <f>(1+inflationRate)^A88</f>
        <v/>
      </c>
      <c r="S88" s="29">
        <f>IF(OR(OR(A88&lt;1,A88&gt;HU_T),A88-1&gt;=HU_dtr),0,HU_inc0*(1+incomeGrowthRate)^A88)</f>
        <v/>
      </c>
      <c r="T88" s="60">
        <f>IF(A88&gt;HU_T,T87,T87*(1+INDEX(HU_ssG,HU_age+A88-17)))</f>
        <v/>
      </c>
      <c r="U88" s="29">
        <f>IF(AND(HU_dtr&gt;=1,A88=HU_dtr,A88&lt;=HU_T),MIN(S88*INDEX(HU_ssC,HU_age+A88-17)/(1-INDEX(HU_ssC,HU_age+A88-17)),INDEX(HU_ssCap,HU_age+A88-17))*T88,0)</f>
        <v/>
      </c>
      <c r="V88" s="29">
        <f>S88+U88+IF(AND(HU_wdOn,A88=HU_wdYear),HU_wdIncome,0)</f>
        <v/>
      </c>
      <c r="W88" s="60">
        <f>HU_ciProp*Q88+HU_tpdCut*L88+HU_disCut*O88</f>
        <v/>
      </c>
      <c r="X88" s="29">
        <f>IF(OR(A88&lt;1,A88&gt;HU_T),0,V88*(1-W88))</f>
        <v/>
      </c>
      <c r="Y88" s="29">
        <f>IF(OR(A88&lt;1,A88&gt;HU_T),0,IF(AND(HU_retExp&gt;0,A88-1&gt;=HU_dtr),HU_retExp,HU_exp0)*R88)</f>
        <v/>
      </c>
      <c r="Z88" s="29">
        <f>-Y88-IF(AND(HU_wdOn,A88=HU_wdYear),HU_wdOut,0)</f>
        <v/>
      </c>
      <c r="AA88" s="29">
        <f>IF(OR(A88&lt;1,A88&gt;HU_T),0,-HU_medCost*R88*F88-HU_tpdCost*R88*M88)</f>
        <v/>
      </c>
      <c r="AB88" s="29">
        <f>IF(A88&gt;HU_T,0,AB87*(1+interestRate)+X88+Z88+AA88)</f>
        <v/>
      </c>
      <c r="AC88" s="29">
        <f>IF(A88&gt;HU_T,0,HU_inv*EXP(HU_mu*A88))</f>
        <v/>
      </c>
      <c r="AD88" s="29">
        <f>IF(A88&gt;HU_T,0,MAX(0,AC88+AB88))</f>
        <v/>
      </c>
      <c r="AE88" s="29">
        <f>IF(A88&gt;HU_T,0,MAX(0,X88-Y88))</f>
        <v/>
      </c>
      <c r="AF88" s="63">
        <f>IF(AND($J$6,A88&gt;=1,A88&lt;=$Q$6-1),J88,0)</f>
        <v/>
      </c>
      <c r="AG88" s="29">
        <f>IF(OR(AF88=0,$S$6=0),0,IF((AD88+$L$6)&gt;$S$6/HU_alpha+$K$6,0.5*$S$6/HU_alpha,IF((AD88+$L$6)&gt;=$K$6,((AD88+$L$6)-$K$6)-0.5*HU_alpha/$S$6*((AD88+$L$6)-$K$6)^2,IF((AD88+$L$6)&gt;=$T$6,HU_beta*((AD88+$L$6)-$K$6),HU_beta*($T$6-$K$6)))))</f>
        <v/>
      </c>
      <c r="AH88" s="29">
        <f>IF(OR(AF88=0,$S$6=0),0,IF((AD88+$L$6+$N$6)&gt;$S$6/HU_alpha+$K$6,0.5*$S$6/HU_alpha,IF((AD88+$L$6+$N$6)&gt;=$K$6,((AD88+$L$6+$N$6)-$K$6)-0.5*HU_alpha/$S$6*((AD88+$L$6+$N$6)-$K$6)^2,IF((AD88+$L$6+$N$6)&gt;=$T$6,HU_beta*((AD88+$L$6+$N$6)-$K$6),HU_beta*($T$6-$K$6)))))</f>
        <v/>
      </c>
      <c r="AI88" s="29">
        <f>IF(OR(AF88=0,$S$6=0),0,IF((AD88+$K$6)&gt;$S$6/HU_alpha+$K$6,0.5*$S$6/HU_alpha,IF((AD88+$K$6)&gt;=$K$6,((AD88+$K$6)-$K$6)-0.5*HU_alpha/$S$6*((AD88+$K$6)-$K$6)^2,IF((AD88+$K$6)&gt;=$T$6,HU_beta*((AD88+$K$6)-$K$6),HU_beta*($T$6-$K$6)))))</f>
        <v/>
      </c>
      <c r="AJ88" s="63">
        <f>IF(AND($J$7,A88&gt;=1,A88&lt;=$Q$7-1),J88,0)</f>
        <v/>
      </c>
      <c r="AK88" s="29">
        <f>IF(OR(AJ88=0,$S$7=0),0,IF((AE88+$L$7)&gt;$S$7/HU_alpha+$K$7,0.5*$S$7/HU_alpha,IF((AE88+$L$7)&gt;=$K$7,((AE88+$L$7)-$K$7)-0.5*HU_alpha/$S$7*((AE88+$L$7)-$K$7)^2,IF((AE88+$L$7)&gt;=$T$7,HU_beta*((AE88+$L$7)-$K$7),HU_beta*($T$7-$K$7)))))</f>
        <v/>
      </c>
      <c r="AL88" s="29">
        <f>IF(OR(AJ88=0,$S$7=0),0,IF((AE88+$L$7+$N$7)&gt;$S$7/HU_alpha+$K$7,0.5*$S$7/HU_alpha,IF((AE88+$L$7+$N$7)&gt;=$K$7,((AE88+$L$7+$N$7)-$K$7)-0.5*HU_alpha/$S$7*((AE88+$L$7+$N$7)-$K$7)^2,IF((AE88+$L$7+$N$7)&gt;=$T$7,HU_beta*((AE88+$L$7+$N$7)-$K$7),HU_beta*($T$7-$K$7)))))</f>
        <v/>
      </c>
      <c r="AM88" s="29">
        <f>IF(OR(AJ88=0,$S$7=0),0,IF((AE88+$K$7)&gt;$S$7/HU_alpha+$K$7,0.5*$S$7/HU_alpha,IF((AE88+$K$7)&gt;=$K$7,((AE88+$K$7)-$K$7)-0.5*HU_alpha/$S$7*((AE88+$K$7)-$K$7)^2,IF((AE88+$K$7)&gt;=$T$7,HU_beta*((AE88+$K$7)-$K$7),HU_beta*($T$7-$K$7)))))</f>
        <v/>
      </c>
      <c r="AN88" s="63">
        <f>IF(AND($J$8,A88&gt;=1,A88&lt;=$Q$8-1),J88,0)</f>
        <v/>
      </c>
      <c r="AO88" s="29">
        <f>IF(OR(AN88=0,$S$8=0),0,IF((AE88+$L$8)&gt;$S$8/HU_alpha+$K$8,0.5*$S$8/HU_alpha,IF((AE88+$L$8)&gt;=$K$8,((AE88+$L$8)-$K$8)-0.5*HU_alpha/$S$8*((AE88+$L$8)-$K$8)^2,IF((AE88+$L$8)&gt;=$T$8,HU_beta*((AE88+$L$8)-$K$8),HU_beta*($T$8-$K$8)))))</f>
        <v/>
      </c>
      <c r="AP88" s="29">
        <f>IF(OR(AN88=0,$S$8=0),0,IF((AE88+$L$8+$N$8)&gt;$S$8/HU_alpha+$K$8,0.5*$S$8/HU_alpha,IF((AE88+$L$8+$N$8)&gt;=$K$8,((AE88+$L$8+$N$8)-$K$8)-0.5*HU_alpha/$S$8*((AE88+$L$8+$N$8)-$K$8)^2,IF((AE88+$L$8+$N$8)&gt;=$T$8,HU_beta*((AE88+$L$8+$N$8)-$K$8),HU_beta*($T$8-$K$8)))))</f>
        <v/>
      </c>
      <c r="AQ88" s="29">
        <f>IF(OR(AN88=0,$S$8=0),0,IF((AE88+$K$8)&gt;$S$8/HU_alpha+$K$8,0.5*$S$8/HU_alpha,IF((AE88+$K$8)&gt;=$K$8,((AE88+$K$8)-$K$8)-0.5*HU_alpha/$S$8*((AE88+$K$8)-$K$8)^2,IF((AE88+$K$8)&gt;=$T$8,HU_beta*((AE88+$K$8)-$K$8),HU_beta*($T$8-$K$8)))))</f>
        <v/>
      </c>
      <c r="AR88" s="63">
        <f>IF(AND($J$9,A88&gt;=1,A88&lt;=$Q$9-1),J88,0)</f>
        <v/>
      </c>
      <c r="AS88" s="29">
        <f>IF(OR(AR88=0,$S$9=0),0,IF((AE88+$L$9)&gt;$S$9/HU_alpha+$K$9,0.5*$S$9/HU_alpha,IF((AE88+$L$9)&gt;=$K$9,((AE88+$L$9)-$K$9)-0.5*HU_alpha/$S$9*((AE88+$L$9)-$K$9)^2,IF((AE88+$L$9)&gt;=$T$9,HU_beta*((AE88+$L$9)-$K$9),HU_beta*($T$9-$K$9)))))</f>
        <v/>
      </c>
      <c r="AT88" s="29">
        <f>IF(OR(AR88=0,$S$9=0),0,IF((AE88+$L$9+$N$9)&gt;$S$9/HU_alpha+$K$9,0.5*$S$9/HU_alpha,IF((AE88+$L$9+$N$9)&gt;=$K$9,((AE88+$L$9+$N$9)-$K$9)-0.5*HU_alpha/$S$9*((AE88+$L$9+$N$9)-$K$9)^2,IF((AE88+$L$9+$N$9)&gt;=$T$9,HU_beta*((AE88+$L$9+$N$9)-$K$9),HU_beta*($T$9-$K$9)))))</f>
        <v/>
      </c>
      <c r="AU88" s="29">
        <f>IF(OR(AR88=0,$S$9=0),0,IF((AE88+$K$9)&gt;$S$9/HU_alpha+$K$9,0.5*$S$9/HU_alpha,IF((AE88+$K$9)&gt;=$K$9,((AE88+$K$9)-$K$9)-0.5*HU_alpha/$S$9*((AE88+$K$9)-$K$9)^2,IF((AE88+$K$9)&gt;=$T$9,HU_beta*((AE88+$K$9)-$K$9),HU_beta*($T$9-$K$9)))))</f>
        <v/>
      </c>
      <c r="AV88" s="63">
        <f>IF(AND($J$10,A88=$Q$10),J88,0)</f>
        <v/>
      </c>
      <c r="AW88" s="29">
        <f>IF(OR(AV88=0,$S$10=0),0,IF((AD88+$L$10)&gt;$S$10/HU_alpha+$K$10,0.5*$S$10/HU_alpha,IF((AD88+$L$10)&gt;=$K$10,((AD88+$L$10)-$K$10)-0.5*HU_alpha/$S$10*((AD88+$L$10)-$K$10)^2,IF((AD88+$L$10)&gt;=$T$10,HU_beta*((AD88+$L$10)-$K$10),HU_beta*($T$10-$K$10)))))</f>
        <v/>
      </c>
      <c r="AX88" s="29">
        <f>IF(OR(AV88=0,$S$10=0),0,IF((AD88+$L$10+$N$10)&gt;$S$10/HU_alpha+$K$10,0.5*$S$10/HU_alpha,IF((AD88+$L$10+$N$10)&gt;=$K$10,((AD88+$L$10+$N$10)-$K$10)-0.5*HU_alpha/$S$10*((AD88+$L$10+$N$10)-$K$10)^2,IF((AD88+$L$10+$N$10)&gt;=$T$10,HU_beta*((AD88+$L$10+$N$10)-$K$10),HU_beta*($T$10-$K$10)))))</f>
        <v/>
      </c>
      <c r="AY88" s="29">
        <f>IF(OR(AV88=0,$S$10=0),0,IF((AD88+$K$10)&gt;$S$10/HU_alpha+$K$10,0.5*$S$10/HU_alpha,IF((AD88+$K$10)&gt;=$K$10,((AD88+$K$10)-$K$10)-0.5*HU_alpha/$S$10*((AD88+$K$10)-$K$10)^2,IF((AD88+$K$10)&gt;=$T$10,HU_beta*((AD88+$K$10)-$K$10),HU_beta*($T$10-$K$10)))))</f>
        <v/>
      </c>
      <c r="AZ88" s="63">
        <f>IF(AND($J$11,A88=$Q$11),J88,0)</f>
        <v/>
      </c>
      <c r="BA88" s="29">
        <f>IF(OR(AZ88=0,$S$11=0),0,IF((AE88+$L$11)&gt;$S$11/HU_alpha+$K$11,0.5*$S$11/HU_alpha,IF((AE88+$L$11)&gt;=$K$11,((AE88+$L$11)-$K$11)-0.5*HU_alpha/$S$11*((AE88+$L$11)-$K$11)^2,IF((AE88+$L$11)&gt;=$T$11,HU_beta*((AE88+$L$11)-$K$11),HU_beta*($T$11-$K$11)))))</f>
        <v/>
      </c>
      <c r="BB88" s="29">
        <f>IF(OR(AZ88=0,$S$11=0),0,IF((AE88+$L$11+$N$11)&gt;$S$11/HU_alpha+$K$11,0.5*$S$11/HU_alpha,IF((AE88+$L$11+$N$11)&gt;=$K$11,((AE88+$L$11+$N$11)-$K$11)-0.5*HU_alpha/$S$11*((AE88+$L$11+$N$11)-$K$11)^2,IF((AE88+$L$11+$N$11)&gt;=$T$11,HU_beta*((AE88+$L$11+$N$11)-$K$11),HU_beta*($T$11-$K$11)))))</f>
        <v/>
      </c>
      <c r="BC88" s="29">
        <f>IF(OR(AZ88=0,$S$11=0),0,IF((AE88+$K$11)&gt;$S$11/HU_alpha+$K$11,0.5*$S$11/HU_alpha,IF((AE88+$K$11)&gt;=$K$11,((AE88+$K$11)-$K$11)-0.5*HU_alpha/$S$11*((AE88+$K$11)-$K$11)^2,IF((AE88+$K$11)&gt;=$T$11,HU_beta*((AE88+$K$11)-$K$11),HU_beta*($T$11-$K$11)))))</f>
        <v/>
      </c>
      <c r="BD88" s="63">
        <f>IF(AND($J$12,A88=$Q$12),J88,0)</f>
        <v/>
      </c>
      <c r="BE88" s="29">
        <f>IF(OR(BD88=0,$S$12=0),0,IF((AE88+$L$12)&gt;$S$12/HU_alpha+$K$12,0.5*$S$12/HU_alpha,IF((AE88+$L$12)&gt;=$K$12,((AE88+$L$12)-$K$12)-0.5*HU_alpha/$S$12*((AE88+$L$12)-$K$12)^2,IF((AE88+$L$12)&gt;=$T$12,HU_beta*((AE88+$L$12)-$K$12),HU_beta*($T$12-$K$12)))))</f>
        <v/>
      </c>
      <c r="BF88" s="29">
        <f>IF(OR(BD88=0,$S$12=0),0,IF((AE88+$L$12+$N$12)&gt;$S$12/HU_alpha+$K$12,0.5*$S$12/HU_alpha,IF((AE88+$L$12+$N$12)&gt;=$K$12,((AE88+$L$12+$N$12)-$K$12)-0.5*HU_alpha/$S$12*((AE88+$L$12+$N$12)-$K$12)^2,IF((AE88+$L$12+$N$12)&gt;=$T$12,HU_beta*((AE88+$L$12+$N$12)-$K$12),HU_beta*($T$12-$K$12)))))</f>
        <v/>
      </c>
      <c r="BG88" s="29">
        <f>IF(OR(BD88=0,$S$12=0),0,IF((AE88+$K$12)&gt;$S$12/HU_alpha+$K$12,0.5*$S$12/HU_alpha,IF((AE88+$K$12)&gt;=$K$12,((AE88+$K$12)-$K$12)-0.5*HU_alpha/$S$12*((AE88+$K$12)-$K$12)^2,IF((AE88+$K$12)&gt;=$T$12,HU_beta*((AE88+$K$12)-$K$12),HU_beta*($T$12-$K$12)))))</f>
        <v/>
      </c>
      <c r="BH88" s="63">
        <f>IF(AND($J$13,A88=$Q$13),J88,0)</f>
        <v/>
      </c>
      <c r="BI88" s="29">
        <f>IF(OR(BH88=0,$S$13=0),0,IF((AE88+$L$13)&gt;$S$13/HU_alpha+$K$13,0.5*$S$13/HU_alpha,IF((AE88+$L$13)&gt;=$K$13,((AE88+$L$13)-$K$13)-0.5*HU_alpha/$S$13*((AE88+$L$13)-$K$13)^2,IF((AE88+$L$13)&gt;=$T$13,HU_beta*((AE88+$L$13)-$K$13),HU_beta*($T$13-$K$13)))))</f>
        <v/>
      </c>
      <c r="BJ88" s="29">
        <f>IF(OR(BH88=0,$S$13=0),0,IF((AE88+$L$13+$N$13)&gt;$S$13/HU_alpha+$K$13,0.5*$S$13/HU_alpha,IF((AE88+$L$13+$N$13)&gt;=$K$13,((AE88+$L$13+$N$13)-$K$13)-0.5*HU_alpha/$S$13*((AE88+$L$13+$N$13)-$K$13)^2,IF((AE88+$L$13+$N$13)&gt;=$T$13,HU_beta*((AE88+$L$13+$N$13)-$K$13),HU_beta*($T$13-$K$13)))))</f>
        <v/>
      </c>
      <c r="BK88" s="29">
        <f>IF(OR(BH88=0,$S$13=0),0,IF((AE88+$K$13)&gt;$S$13/HU_alpha+$K$13,0.5*$S$13/HU_alpha,IF((AE88+$K$13)&gt;=$K$13,((AE88+$K$13)-$K$13)-0.5*HU_alpha/$S$13*((AE88+$K$13)-$K$13)^2,IF((AE88+$K$13)&gt;=$T$13,HU_beta*((AE88+$K$13)-$K$13),HU_beta*($T$13-$K$13)))))</f>
        <v/>
      </c>
    </row>
    <row r="89">
      <c r="A89" s="61" t="n">
        <v>21</v>
      </c>
      <c r="B89" s="61">
        <f>HU_age+A89</f>
        <v/>
      </c>
      <c r="C89" s="52">
        <f>A89&lt;=HU_T</f>
        <v/>
      </c>
      <c r="D89" s="63">
        <f>IF(OR(A89&lt;1,A89&gt;HU_T),0,INDEX(HU_q_mort,HU_age+A89-17,HU_col))</f>
        <v/>
      </c>
      <c r="E89" s="63">
        <f>IF(OR(A89&lt;1,A89&gt;HU_T),0,INDEX(HU_q_adb,HU_age+A89-17,HU_col))</f>
        <v/>
      </c>
      <c r="F89" s="63">
        <f>IF(OR(A89&lt;1,A89&gt;HU_T),0,INDEX(HU_q_morb,HU_age+A89-17,HU_col))</f>
        <v/>
      </c>
      <c r="G89" s="63">
        <f>IF(OR(A89&lt;1,A89&gt;HU_T),0,INDEX(HU_q_ptd,HU_age+A89-17,HU_col))</f>
        <v/>
      </c>
      <c r="H89" s="63">
        <f>IF(OR(A89&lt;1,A89&gt;HU_T),0,INDEX(HU_q_dis,HU_age+A89-17,HU_col))</f>
        <v/>
      </c>
      <c r="I89" s="63">
        <f>IF(A89&gt;HU_T,0,I88*(1-D89)*(1-E89))</f>
        <v/>
      </c>
      <c r="J89" s="63">
        <f>IF(A89&gt;=HU_T,0,N(I90))</f>
        <v/>
      </c>
      <c r="K89" s="63">
        <f>K88*(1-G89)</f>
        <v/>
      </c>
      <c r="L89" s="63">
        <f>1-K89</f>
        <v/>
      </c>
      <c r="M89" s="63">
        <f>K88*G89</f>
        <v/>
      </c>
      <c r="N89" s="63">
        <f>N88*(1-H89)</f>
        <v/>
      </c>
      <c r="O89" s="63">
        <f>1-N88</f>
        <v/>
      </c>
      <c r="P89" s="63">
        <f>P88*(1-F89)</f>
        <v/>
      </c>
      <c r="Q89" s="63">
        <f>1-P88/INDEX($P$68:$P$150,MAX(1,A89-HU_ciYears))</f>
        <v/>
      </c>
      <c r="R89" s="60">
        <f>(1+inflationRate)^A89</f>
        <v/>
      </c>
      <c r="S89" s="29">
        <f>IF(OR(OR(A89&lt;1,A89&gt;HU_T),A89-1&gt;=HU_dtr),0,HU_inc0*(1+incomeGrowthRate)^A89)</f>
        <v/>
      </c>
      <c r="T89" s="60">
        <f>IF(A89&gt;HU_T,T88,T88*(1+INDEX(HU_ssG,HU_age+A89-17)))</f>
        <v/>
      </c>
      <c r="U89" s="29">
        <f>IF(AND(HU_dtr&gt;=1,A89=HU_dtr,A89&lt;=HU_T),MIN(S89*INDEX(HU_ssC,HU_age+A89-17)/(1-INDEX(HU_ssC,HU_age+A89-17)),INDEX(HU_ssCap,HU_age+A89-17))*T89,0)</f>
        <v/>
      </c>
      <c r="V89" s="29">
        <f>S89+U89+IF(AND(HU_wdOn,A89=HU_wdYear),HU_wdIncome,0)</f>
        <v/>
      </c>
      <c r="W89" s="60">
        <f>HU_ciProp*Q89+HU_tpdCut*L89+HU_disCut*O89</f>
        <v/>
      </c>
      <c r="X89" s="29">
        <f>IF(OR(A89&lt;1,A89&gt;HU_T),0,V89*(1-W89))</f>
        <v/>
      </c>
      <c r="Y89" s="29">
        <f>IF(OR(A89&lt;1,A89&gt;HU_T),0,IF(AND(HU_retExp&gt;0,A89-1&gt;=HU_dtr),HU_retExp,HU_exp0)*R89)</f>
        <v/>
      </c>
      <c r="Z89" s="29">
        <f>-Y89-IF(AND(HU_wdOn,A89=HU_wdYear),HU_wdOut,0)</f>
        <v/>
      </c>
      <c r="AA89" s="29">
        <f>IF(OR(A89&lt;1,A89&gt;HU_T),0,-HU_medCost*R89*F89-HU_tpdCost*R89*M89)</f>
        <v/>
      </c>
      <c r="AB89" s="29">
        <f>IF(A89&gt;HU_T,0,AB88*(1+interestRate)+X89+Z89+AA89)</f>
        <v/>
      </c>
      <c r="AC89" s="29">
        <f>IF(A89&gt;HU_T,0,HU_inv*EXP(HU_mu*A89))</f>
        <v/>
      </c>
      <c r="AD89" s="29">
        <f>IF(A89&gt;HU_T,0,MAX(0,AC89+AB89))</f>
        <v/>
      </c>
      <c r="AE89" s="29">
        <f>IF(A89&gt;HU_T,0,MAX(0,X89-Y89))</f>
        <v/>
      </c>
      <c r="AF89" s="63">
        <f>IF(AND($J$6,A89&gt;=1,A89&lt;=$Q$6-1),J89,0)</f>
        <v/>
      </c>
      <c r="AG89" s="29">
        <f>IF(OR(AF89=0,$S$6=0),0,IF((AD89+$L$6)&gt;$S$6/HU_alpha+$K$6,0.5*$S$6/HU_alpha,IF((AD89+$L$6)&gt;=$K$6,((AD89+$L$6)-$K$6)-0.5*HU_alpha/$S$6*((AD89+$L$6)-$K$6)^2,IF((AD89+$L$6)&gt;=$T$6,HU_beta*((AD89+$L$6)-$K$6),HU_beta*($T$6-$K$6)))))</f>
        <v/>
      </c>
      <c r="AH89" s="29">
        <f>IF(OR(AF89=0,$S$6=0),0,IF((AD89+$L$6+$N$6)&gt;$S$6/HU_alpha+$K$6,0.5*$S$6/HU_alpha,IF((AD89+$L$6+$N$6)&gt;=$K$6,((AD89+$L$6+$N$6)-$K$6)-0.5*HU_alpha/$S$6*((AD89+$L$6+$N$6)-$K$6)^2,IF((AD89+$L$6+$N$6)&gt;=$T$6,HU_beta*((AD89+$L$6+$N$6)-$K$6),HU_beta*($T$6-$K$6)))))</f>
        <v/>
      </c>
      <c r="AI89" s="29">
        <f>IF(OR(AF89=0,$S$6=0),0,IF((AD89+$K$6)&gt;$S$6/HU_alpha+$K$6,0.5*$S$6/HU_alpha,IF((AD89+$K$6)&gt;=$K$6,((AD89+$K$6)-$K$6)-0.5*HU_alpha/$S$6*((AD89+$K$6)-$K$6)^2,IF((AD89+$K$6)&gt;=$T$6,HU_beta*((AD89+$K$6)-$K$6),HU_beta*($T$6-$K$6)))))</f>
        <v/>
      </c>
      <c r="AJ89" s="63">
        <f>IF(AND($J$7,A89&gt;=1,A89&lt;=$Q$7-1),J89,0)</f>
        <v/>
      </c>
      <c r="AK89" s="29">
        <f>IF(OR(AJ89=0,$S$7=0),0,IF((AE89+$L$7)&gt;$S$7/HU_alpha+$K$7,0.5*$S$7/HU_alpha,IF((AE89+$L$7)&gt;=$K$7,((AE89+$L$7)-$K$7)-0.5*HU_alpha/$S$7*((AE89+$L$7)-$K$7)^2,IF((AE89+$L$7)&gt;=$T$7,HU_beta*((AE89+$L$7)-$K$7),HU_beta*($T$7-$K$7)))))</f>
        <v/>
      </c>
      <c r="AL89" s="29">
        <f>IF(OR(AJ89=0,$S$7=0),0,IF((AE89+$L$7+$N$7)&gt;$S$7/HU_alpha+$K$7,0.5*$S$7/HU_alpha,IF((AE89+$L$7+$N$7)&gt;=$K$7,((AE89+$L$7+$N$7)-$K$7)-0.5*HU_alpha/$S$7*((AE89+$L$7+$N$7)-$K$7)^2,IF((AE89+$L$7+$N$7)&gt;=$T$7,HU_beta*((AE89+$L$7+$N$7)-$K$7),HU_beta*($T$7-$K$7)))))</f>
        <v/>
      </c>
      <c r="AM89" s="29">
        <f>IF(OR(AJ89=0,$S$7=0),0,IF((AE89+$K$7)&gt;$S$7/HU_alpha+$K$7,0.5*$S$7/HU_alpha,IF((AE89+$K$7)&gt;=$K$7,((AE89+$K$7)-$K$7)-0.5*HU_alpha/$S$7*((AE89+$K$7)-$K$7)^2,IF((AE89+$K$7)&gt;=$T$7,HU_beta*((AE89+$K$7)-$K$7),HU_beta*($T$7-$K$7)))))</f>
        <v/>
      </c>
      <c r="AN89" s="63">
        <f>IF(AND($J$8,A89&gt;=1,A89&lt;=$Q$8-1),J89,0)</f>
        <v/>
      </c>
      <c r="AO89" s="29">
        <f>IF(OR(AN89=0,$S$8=0),0,IF((AE89+$L$8)&gt;$S$8/HU_alpha+$K$8,0.5*$S$8/HU_alpha,IF((AE89+$L$8)&gt;=$K$8,((AE89+$L$8)-$K$8)-0.5*HU_alpha/$S$8*((AE89+$L$8)-$K$8)^2,IF((AE89+$L$8)&gt;=$T$8,HU_beta*((AE89+$L$8)-$K$8),HU_beta*($T$8-$K$8)))))</f>
        <v/>
      </c>
      <c r="AP89" s="29">
        <f>IF(OR(AN89=0,$S$8=0),0,IF((AE89+$L$8+$N$8)&gt;$S$8/HU_alpha+$K$8,0.5*$S$8/HU_alpha,IF((AE89+$L$8+$N$8)&gt;=$K$8,((AE89+$L$8+$N$8)-$K$8)-0.5*HU_alpha/$S$8*((AE89+$L$8+$N$8)-$K$8)^2,IF((AE89+$L$8+$N$8)&gt;=$T$8,HU_beta*((AE89+$L$8+$N$8)-$K$8),HU_beta*($T$8-$K$8)))))</f>
        <v/>
      </c>
      <c r="AQ89" s="29">
        <f>IF(OR(AN89=0,$S$8=0),0,IF((AE89+$K$8)&gt;$S$8/HU_alpha+$K$8,0.5*$S$8/HU_alpha,IF((AE89+$K$8)&gt;=$K$8,((AE89+$K$8)-$K$8)-0.5*HU_alpha/$S$8*((AE89+$K$8)-$K$8)^2,IF((AE89+$K$8)&gt;=$T$8,HU_beta*((AE89+$K$8)-$K$8),HU_beta*($T$8-$K$8)))))</f>
        <v/>
      </c>
      <c r="AR89" s="63">
        <f>IF(AND($J$9,A89&gt;=1,A89&lt;=$Q$9-1),J89,0)</f>
        <v/>
      </c>
      <c r="AS89" s="29">
        <f>IF(OR(AR89=0,$S$9=0),0,IF((AE89+$L$9)&gt;$S$9/HU_alpha+$K$9,0.5*$S$9/HU_alpha,IF((AE89+$L$9)&gt;=$K$9,((AE89+$L$9)-$K$9)-0.5*HU_alpha/$S$9*((AE89+$L$9)-$K$9)^2,IF((AE89+$L$9)&gt;=$T$9,HU_beta*((AE89+$L$9)-$K$9),HU_beta*($T$9-$K$9)))))</f>
        <v/>
      </c>
      <c r="AT89" s="29">
        <f>IF(OR(AR89=0,$S$9=0),0,IF((AE89+$L$9+$N$9)&gt;$S$9/HU_alpha+$K$9,0.5*$S$9/HU_alpha,IF((AE89+$L$9+$N$9)&gt;=$K$9,((AE89+$L$9+$N$9)-$K$9)-0.5*HU_alpha/$S$9*((AE89+$L$9+$N$9)-$K$9)^2,IF((AE89+$L$9+$N$9)&gt;=$T$9,HU_beta*((AE89+$L$9+$N$9)-$K$9),HU_beta*($T$9-$K$9)))))</f>
        <v/>
      </c>
      <c r="AU89" s="29">
        <f>IF(OR(AR89=0,$S$9=0),0,IF((AE89+$K$9)&gt;$S$9/HU_alpha+$K$9,0.5*$S$9/HU_alpha,IF((AE89+$K$9)&gt;=$K$9,((AE89+$K$9)-$K$9)-0.5*HU_alpha/$S$9*((AE89+$K$9)-$K$9)^2,IF((AE89+$K$9)&gt;=$T$9,HU_beta*((AE89+$K$9)-$K$9),HU_beta*($T$9-$K$9)))))</f>
        <v/>
      </c>
      <c r="AV89" s="63">
        <f>IF(AND($J$10,A89=$Q$10),J89,0)</f>
        <v/>
      </c>
      <c r="AW89" s="29">
        <f>IF(OR(AV89=0,$S$10=0),0,IF((AD89+$L$10)&gt;$S$10/HU_alpha+$K$10,0.5*$S$10/HU_alpha,IF((AD89+$L$10)&gt;=$K$10,((AD89+$L$10)-$K$10)-0.5*HU_alpha/$S$10*((AD89+$L$10)-$K$10)^2,IF((AD89+$L$10)&gt;=$T$10,HU_beta*((AD89+$L$10)-$K$10),HU_beta*($T$10-$K$10)))))</f>
        <v/>
      </c>
      <c r="AX89" s="29">
        <f>IF(OR(AV89=0,$S$10=0),0,IF((AD89+$L$10+$N$10)&gt;$S$10/HU_alpha+$K$10,0.5*$S$10/HU_alpha,IF((AD89+$L$10+$N$10)&gt;=$K$10,((AD89+$L$10+$N$10)-$K$10)-0.5*HU_alpha/$S$10*((AD89+$L$10+$N$10)-$K$10)^2,IF((AD89+$L$10+$N$10)&gt;=$T$10,HU_beta*((AD89+$L$10+$N$10)-$K$10),HU_beta*($T$10-$K$10)))))</f>
        <v/>
      </c>
      <c r="AY89" s="29">
        <f>IF(OR(AV89=0,$S$10=0),0,IF((AD89+$K$10)&gt;$S$10/HU_alpha+$K$10,0.5*$S$10/HU_alpha,IF((AD89+$K$10)&gt;=$K$10,((AD89+$K$10)-$K$10)-0.5*HU_alpha/$S$10*((AD89+$K$10)-$K$10)^2,IF((AD89+$K$10)&gt;=$T$10,HU_beta*((AD89+$K$10)-$K$10),HU_beta*($T$10-$K$10)))))</f>
        <v/>
      </c>
      <c r="AZ89" s="63">
        <f>IF(AND($J$11,A89=$Q$11),J89,0)</f>
        <v/>
      </c>
      <c r="BA89" s="29">
        <f>IF(OR(AZ89=0,$S$11=0),0,IF((AE89+$L$11)&gt;$S$11/HU_alpha+$K$11,0.5*$S$11/HU_alpha,IF((AE89+$L$11)&gt;=$K$11,((AE89+$L$11)-$K$11)-0.5*HU_alpha/$S$11*((AE89+$L$11)-$K$11)^2,IF((AE89+$L$11)&gt;=$T$11,HU_beta*((AE89+$L$11)-$K$11),HU_beta*($T$11-$K$11)))))</f>
        <v/>
      </c>
      <c r="BB89" s="29">
        <f>IF(OR(AZ89=0,$S$11=0),0,IF((AE89+$L$11+$N$11)&gt;$S$11/HU_alpha+$K$11,0.5*$S$11/HU_alpha,IF((AE89+$L$11+$N$11)&gt;=$K$11,((AE89+$L$11+$N$11)-$K$11)-0.5*HU_alpha/$S$11*((AE89+$L$11+$N$11)-$K$11)^2,IF((AE89+$L$11+$N$11)&gt;=$T$11,HU_beta*((AE89+$L$11+$N$11)-$K$11),HU_beta*($T$11-$K$11)))))</f>
        <v/>
      </c>
      <c r="BC89" s="29">
        <f>IF(OR(AZ89=0,$S$11=0),0,IF((AE89+$K$11)&gt;$S$11/HU_alpha+$K$11,0.5*$S$11/HU_alpha,IF((AE89+$K$11)&gt;=$K$11,((AE89+$K$11)-$K$11)-0.5*HU_alpha/$S$11*((AE89+$K$11)-$K$11)^2,IF((AE89+$K$11)&gt;=$T$11,HU_beta*((AE89+$K$11)-$K$11),HU_beta*($T$11-$K$11)))))</f>
        <v/>
      </c>
      <c r="BD89" s="63">
        <f>IF(AND($J$12,A89=$Q$12),J89,0)</f>
        <v/>
      </c>
      <c r="BE89" s="29">
        <f>IF(OR(BD89=0,$S$12=0),0,IF((AE89+$L$12)&gt;$S$12/HU_alpha+$K$12,0.5*$S$12/HU_alpha,IF((AE89+$L$12)&gt;=$K$12,((AE89+$L$12)-$K$12)-0.5*HU_alpha/$S$12*((AE89+$L$12)-$K$12)^2,IF((AE89+$L$12)&gt;=$T$12,HU_beta*((AE89+$L$12)-$K$12),HU_beta*($T$12-$K$12)))))</f>
        <v/>
      </c>
      <c r="BF89" s="29">
        <f>IF(OR(BD89=0,$S$12=0),0,IF((AE89+$L$12+$N$12)&gt;$S$12/HU_alpha+$K$12,0.5*$S$12/HU_alpha,IF((AE89+$L$12+$N$12)&gt;=$K$12,((AE89+$L$12+$N$12)-$K$12)-0.5*HU_alpha/$S$12*((AE89+$L$12+$N$12)-$K$12)^2,IF((AE89+$L$12+$N$12)&gt;=$T$12,HU_beta*((AE89+$L$12+$N$12)-$K$12),HU_beta*($T$12-$K$12)))))</f>
        <v/>
      </c>
      <c r="BG89" s="29">
        <f>IF(OR(BD89=0,$S$12=0),0,IF((AE89+$K$12)&gt;$S$12/HU_alpha+$K$12,0.5*$S$12/HU_alpha,IF((AE89+$K$12)&gt;=$K$12,((AE89+$K$12)-$K$12)-0.5*HU_alpha/$S$12*((AE89+$K$12)-$K$12)^2,IF((AE89+$K$12)&gt;=$T$12,HU_beta*((AE89+$K$12)-$K$12),HU_beta*($T$12-$K$12)))))</f>
        <v/>
      </c>
      <c r="BH89" s="63">
        <f>IF(AND($J$13,A89=$Q$13),J89,0)</f>
        <v/>
      </c>
      <c r="BI89" s="29">
        <f>IF(OR(BH89=0,$S$13=0),0,IF((AE89+$L$13)&gt;$S$13/HU_alpha+$K$13,0.5*$S$13/HU_alpha,IF((AE89+$L$13)&gt;=$K$13,((AE89+$L$13)-$K$13)-0.5*HU_alpha/$S$13*((AE89+$L$13)-$K$13)^2,IF((AE89+$L$13)&gt;=$T$13,HU_beta*((AE89+$L$13)-$K$13),HU_beta*($T$13-$K$13)))))</f>
        <v/>
      </c>
      <c r="BJ89" s="29">
        <f>IF(OR(BH89=0,$S$13=0),0,IF((AE89+$L$13+$N$13)&gt;$S$13/HU_alpha+$K$13,0.5*$S$13/HU_alpha,IF((AE89+$L$13+$N$13)&gt;=$K$13,((AE89+$L$13+$N$13)-$K$13)-0.5*HU_alpha/$S$13*((AE89+$L$13+$N$13)-$K$13)^2,IF((AE89+$L$13+$N$13)&gt;=$T$13,HU_beta*((AE89+$L$13+$N$13)-$K$13),HU_beta*($T$13-$K$13)))))</f>
        <v/>
      </c>
      <c r="BK89" s="29">
        <f>IF(OR(BH89=0,$S$13=0),0,IF((AE89+$K$13)&gt;$S$13/HU_alpha+$K$13,0.5*$S$13/HU_alpha,IF((AE89+$K$13)&gt;=$K$13,((AE89+$K$13)-$K$13)-0.5*HU_alpha/$S$13*((AE89+$K$13)-$K$13)^2,IF((AE89+$K$13)&gt;=$T$13,HU_beta*((AE89+$K$13)-$K$13),HU_beta*($T$13-$K$13)))))</f>
        <v/>
      </c>
    </row>
    <row r="90">
      <c r="A90" s="61" t="n">
        <v>22</v>
      </c>
      <c r="B90" s="61">
        <f>HU_age+A90</f>
        <v/>
      </c>
      <c r="C90" s="52">
        <f>A90&lt;=HU_T</f>
        <v/>
      </c>
      <c r="D90" s="63">
        <f>IF(OR(A90&lt;1,A90&gt;HU_T),0,INDEX(HU_q_mort,HU_age+A90-17,HU_col))</f>
        <v/>
      </c>
      <c r="E90" s="63">
        <f>IF(OR(A90&lt;1,A90&gt;HU_T),0,INDEX(HU_q_adb,HU_age+A90-17,HU_col))</f>
        <v/>
      </c>
      <c r="F90" s="63">
        <f>IF(OR(A90&lt;1,A90&gt;HU_T),0,INDEX(HU_q_morb,HU_age+A90-17,HU_col))</f>
        <v/>
      </c>
      <c r="G90" s="63">
        <f>IF(OR(A90&lt;1,A90&gt;HU_T),0,INDEX(HU_q_ptd,HU_age+A90-17,HU_col))</f>
        <v/>
      </c>
      <c r="H90" s="63">
        <f>IF(OR(A90&lt;1,A90&gt;HU_T),0,INDEX(HU_q_dis,HU_age+A90-17,HU_col))</f>
        <v/>
      </c>
      <c r="I90" s="63">
        <f>IF(A90&gt;HU_T,0,I89*(1-D90)*(1-E90))</f>
        <v/>
      </c>
      <c r="J90" s="63">
        <f>IF(A90&gt;=HU_T,0,N(I91))</f>
        <v/>
      </c>
      <c r="K90" s="63">
        <f>K89*(1-G90)</f>
        <v/>
      </c>
      <c r="L90" s="63">
        <f>1-K90</f>
        <v/>
      </c>
      <c r="M90" s="63">
        <f>K89*G90</f>
        <v/>
      </c>
      <c r="N90" s="63">
        <f>N89*(1-H90)</f>
        <v/>
      </c>
      <c r="O90" s="63">
        <f>1-N89</f>
        <v/>
      </c>
      <c r="P90" s="63">
        <f>P89*(1-F90)</f>
        <v/>
      </c>
      <c r="Q90" s="63">
        <f>1-P89/INDEX($P$68:$P$150,MAX(1,A90-HU_ciYears))</f>
        <v/>
      </c>
      <c r="R90" s="60">
        <f>(1+inflationRate)^A90</f>
        <v/>
      </c>
      <c r="S90" s="29">
        <f>IF(OR(OR(A90&lt;1,A90&gt;HU_T),A90-1&gt;=HU_dtr),0,HU_inc0*(1+incomeGrowthRate)^A90)</f>
        <v/>
      </c>
      <c r="T90" s="60">
        <f>IF(A90&gt;HU_T,T89,T89*(1+INDEX(HU_ssG,HU_age+A90-17)))</f>
        <v/>
      </c>
      <c r="U90" s="29">
        <f>IF(AND(HU_dtr&gt;=1,A90=HU_dtr,A90&lt;=HU_T),MIN(S90*INDEX(HU_ssC,HU_age+A90-17)/(1-INDEX(HU_ssC,HU_age+A90-17)),INDEX(HU_ssCap,HU_age+A90-17))*T90,0)</f>
        <v/>
      </c>
      <c r="V90" s="29">
        <f>S90+U90+IF(AND(HU_wdOn,A90=HU_wdYear),HU_wdIncome,0)</f>
        <v/>
      </c>
      <c r="W90" s="60">
        <f>HU_ciProp*Q90+HU_tpdCut*L90+HU_disCut*O90</f>
        <v/>
      </c>
      <c r="X90" s="29">
        <f>IF(OR(A90&lt;1,A90&gt;HU_T),0,V90*(1-W90))</f>
        <v/>
      </c>
      <c r="Y90" s="29">
        <f>IF(OR(A90&lt;1,A90&gt;HU_T),0,IF(AND(HU_retExp&gt;0,A90-1&gt;=HU_dtr),HU_retExp,HU_exp0)*R90)</f>
        <v/>
      </c>
      <c r="Z90" s="29">
        <f>-Y90-IF(AND(HU_wdOn,A90=HU_wdYear),HU_wdOut,0)</f>
        <v/>
      </c>
      <c r="AA90" s="29">
        <f>IF(OR(A90&lt;1,A90&gt;HU_T),0,-HU_medCost*R90*F90-HU_tpdCost*R90*M90)</f>
        <v/>
      </c>
      <c r="AB90" s="29">
        <f>IF(A90&gt;HU_T,0,AB89*(1+interestRate)+X90+Z90+AA90)</f>
        <v/>
      </c>
      <c r="AC90" s="29">
        <f>IF(A90&gt;HU_T,0,HU_inv*EXP(HU_mu*A90))</f>
        <v/>
      </c>
      <c r="AD90" s="29">
        <f>IF(A90&gt;HU_T,0,MAX(0,AC90+AB90))</f>
        <v/>
      </c>
      <c r="AE90" s="29">
        <f>IF(A90&gt;HU_T,0,MAX(0,X90-Y90))</f>
        <v/>
      </c>
      <c r="AF90" s="63">
        <f>IF(AND($J$6,A90&gt;=1,A90&lt;=$Q$6-1),J90,0)</f>
        <v/>
      </c>
      <c r="AG90" s="29">
        <f>IF(OR(AF90=0,$S$6=0),0,IF((AD90+$L$6)&gt;$S$6/HU_alpha+$K$6,0.5*$S$6/HU_alpha,IF((AD90+$L$6)&gt;=$K$6,((AD90+$L$6)-$K$6)-0.5*HU_alpha/$S$6*((AD90+$L$6)-$K$6)^2,IF((AD90+$L$6)&gt;=$T$6,HU_beta*((AD90+$L$6)-$K$6),HU_beta*($T$6-$K$6)))))</f>
        <v/>
      </c>
      <c r="AH90" s="29">
        <f>IF(OR(AF90=0,$S$6=0),0,IF((AD90+$L$6+$N$6)&gt;$S$6/HU_alpha+$K$6,0.5*$S$6/HU_alpha,IF((AD90+$L$6+$N$6)&gt;=$K$6,((AD90+$L$6+$N$6)-$K$6)-0.5*HU_alpha/$S$6*((AD90+$L$6+$N$6)-$K$6)^2,IF((AD90+$L$6+$N$6)&gt;=$T$6,HU_beta*((AD90+$L$6+$N$6)-$K$6),HU_beta*($T$6-$K$6)))))</f>
        <v/>
      </c>
      <c r="AI90" s="29">
        <f>IF(OR(AF90=0,$S$6=0),0,IF((AD90+$K$6)&gt;$S$6/HU_alpha+$K$6,0.5*$S$6/HU_alpha,IF((AD90+$K$6)&gt;=$K$6,((AD90+$K$6)-$K$6)-0.5*HU_alpha/$S$6*((AD90+$K$6)-$K$6)^2,IF((AD90+$K$6)&gt;=$T$6,HU_beta*((AD90+$K$6)-$K$6),HU_beta*($T$6-$K$6)))))</f>
        <v/>
      </c>
      <c r="AJ90" s="63">
        <f>IF(AND($J$7,A90&gt;=1,A90&lt;=$Q$7-1),J90,0)</f>
        <v/>
      </c>
      <c r="AK90" s="29">
        <f>IF(OR(AJ90=0,$S$7=0),0,IF((AE90+$L$7)&gt;$S$7/HU_alpha+$K$7,0.5*$S$7/HU_alpha,IF((AE90+$L$7)&gt;=$K$7,((AE90+$L$7)-$K$7)-0.5*HU_alpha/$S$7*((AE90+$L$7)-$K$7)^2,IF((AE90+$L$7)&gt;=$T$7,HU_beta*((AE90+$L$7)-$K$7),HU_beta*($T$7-$K$7)))))</f>
        <v/>
      </c>
      <c r="AL90" s="29">
        <f>IF(OR(AJ90=0,$S$7=0),0,IF((AE90+$L$7+$N$7)&gt;$S$7/HU_alpha+$K$7,0.5*$S$7/HU_alpha,IF((AE90+$L$7+$N$7)&gt;=$K$7,((AE90+$L$7+$N$7)-$K$7)-0.5*HU_alpha/$S$7*((AE90+$L$7+$N$7)-$K$7)^2,IF((AE90+$L$7+$N$7)&gt;=$T$7,HU_beta*((AE90+$L$7+$N$7)-$K$7),HU_beta*($T$7-$K$7)))))</f>
        <v/>
      </c>
      <c r="AM90" s="29">
        <f>IF(OR(AJ90=0,$S$7=0),0,IF((AE90+$K$7)&gt;$S$7/HU_alpha+$K$7,0.5*$S$7/HU_alpha,IF((AE90+$K$7)&gt;=$K$7,((AE90+$K$7)-$K$7)-0.5*HU_alpha/$S$7*((AE90+$K$7)-$K$7)^2,IF((AE90+$K$7)&gt;=$T$7,HU_beta*((AE90+$K$7)-$K$7),HU_beta*($T$7-$K$7)))))</f>
        <v/>
      </c>
      <c r="AN90" s="63">
        <f>IF(AND($J$8,A90&gt;=1,A90&lt;=$Q$8-1),J90,0)</f>
        <v/>
      </c>
      <c r="AO90" s="29">
        <f>IF(OR(AN90=0,$S$8=0),0,IF((AE90+$L$8)&gt;$S$8/HU_alpha+$K$8,0.5*$S$8/HU_alpha,IF((AE90+$L$8)&gt;=$K$8,((AE90+$L$8)-$K$8)-0.5*HU_alpha/$S$8*((AE90+$L$8)-$K$8)^2,IF((AE90+$L$8)&gt;=$T$8,HU_beta*((AE90+$L$8)-$K$8),HU_beta*($T$8-$K$8)))))</f>
        <v/>
      </c>
      <c r="AP90" s="29">
        <f>IF(OR(AN90=0,$S$8=0),0,IF((AE90+$L$8+$N$8)&gt;$S$8/HU_alpha+$K$8,0.5*$S$8/HU_alpha,IF((AE90+$L$8+$N$8)&gt;=$K$8,((AE90+$L$8+$N$8)-$K$8)-0.5*HU_alpha/$S$8*((AE90+$L$8+$N$8)-$K$8)^2,IF((AE90+$L$8+$N$8)&gt;=$T$8,HU_beta*((AE90+$L$8+$N$8)-$K$8),HU_beta*($T$8-$K$8)))))</f>
        <v/>
      </c>
      <c r="AQ90" s="29">
        <f>IF(OR(AN90=0,$S$8=0),0,IF((AE90+$K$8)&gt;$S$8/HU_alpha+$K$8,0.5*$S$8/HU_alpha,IF((AE90+$K$8)&gt;=$K$8,((AE90+$K$8)-$K$8)-0.5*HU_alpha/$S$8*((AE90+$K$8)-$K$8)^2,IF((AE90+$K$8)&gt;=$T$8,HU_beta*((AE90+$K$8)-$K$8),HU_beta*($T$8-$K$8)))))</f>
        <v/>
      </c>
      <c r="AR90" s="63">
        <f>IF(AND($J$9,A90&gt;=1,A90&lt;=$Q$9-1),J90,0)</f>
        <v/>
      </c>
      <c r="AS90" s="29">
        <f>IF(OR(AR90=0,$S$9=0),0,IF((AE90+$L$9)&gt;$S$9/HU_alpha+$K$9,0.5*$S$9/HU_alpha,IF((AE90+$L$9)&gt;=$K$9,((AE90+$L$9)-$K$9)-0.5*HU_alpha/$S$9*((AE90+$L$9)-$K$9)^2,IF((AE90+$L$9)&gt;=$T$9,HU_beta*((AE90+$L$9)-$K$9),HU_beta*($T$9-$K$9)))))</f>
        <v/>
      </c>
      <c r="AT90" s="29">
        <f>IF(OR(AR90=0,$S$9=0),0,IF((AE90+$L$9+$N$9)&gt;$S$9/HU_alpha+$K$9,0.5*$S$9/HU_alpha,IF((AE90+$L$9+$N$9)&gt;=$K$9,((AE90+$L$9+$N$9)-$K$9)-0.5*HU_alpha/$S$9*((AE90+$L$9+$N$9)-$K$9)^2,IF((AE90+$L$9+$N$9)&gt;=$T$9,HU_beta*((AE90+$L$9+$N$9)-$K$9),HU_beta*($T$9-$K$9)))))</f>
        <v/>
      </c>
      <c r="AU90" s="29">
        <f>IF(OR(AR90=0,$S$9=0),0,IF((AE90+$K$9)&gt;$S$9/HU_alpha+$K$9,0.5*$S$9/HU_alpha,IF((AE90+$K$9)&gt;=$K$9,((AE90+$K$9)-$K$9)-0.5*HU_alpha/$S$9*((AE90+$K$9)-$K$9)^2,IF((AE90+$K$9)&gt;=$T$9,HU_beta*((AE90+$K$9)-$K$9),HU_beta*($T$9-$K$9)))))</f>
        <v/>
      </c>
      <c r="AV90" s="63">
        <f>IF(AND($J$10,A90=$Q$10),J90,0)</f>
        <v/>
      </c>
      <c r="AW90" s="29">
        <f>IF(OR(AV90=0,$S$10=0),0,IF((AD90+$L$10)&gt;$S$10/HU_alpha+$K$10,0.5*$S$10/HU_alpha,IF((AD90+$L$10)&gt;=$K$10,((AD90+$L$10)-$K$10)-0.5*HU_alpha/$S$10*((AD90+$L$10)-$K$10)^2,IF((AD90+$L$10)&gt;=$T$10,HU_beta*((AD90+$L$10)-$K$10),HU_beta*($T$10-$K$10)))))</f>
        <v/>
      </c>
      <c r="AX90" s="29">
        <f>IF(OR(AV90=0,$S$10=0),0,IF((AD90+$L$10+$N$10)&gt;$S$10/HU_alpha+$K$10,0.5*$S$10/HU_alpha,IF((AD90+$L$10+$N$10)&gt;=$K$10,((AD90+$L$10+$N$10)-$K$10)-0.5*HU_alpha/$S$10*((AD90+$L$10+$N$10)-$K$10)^2,IF((AD90+$L$10+$N$10)&gt;=$T$10,HU_beta*((AD90+$L$10+$N$10)-$K$10),HU_beta*($T$10-$K$10)))))</f>
        <v/>
      </c>
      <c r="AY90" s="29">
        <f>IF(OR(AV90=0,$S$10=0),0,IF((AD90+$K$10)&gt;$S$10/HU_alpha+$K$10,0.5*$S$10/HU_alpha,IF((AD90+$K$10)&gt;=$K$10,((AD90+$K$10)-$K$10)-0.5*HU_alpha/$S$10*((AD90+$K$10)-$K$10)^2,IF((AD90+$K$10)&gt;=$T$10,HU_beta*((AD90+$K$10)-$K$10),HU_beta*($T$10-$K$10)))))</f>
        <v/>
      </c>
      <c r="AZ90" s="63">
        <f>IF(AND($J$11,A90=$Q$11),J90,0)</f>
        <v/>
      </c>
      <c r="BA90" s="29">
        <f>IF(OR(AZ90=0,$S$11=0),0,IF((AE90+$L$11)&gt;$S$11/HU_alpha+$K$11,0.5*$S$11/HU_alpha,IF((AE90+$L$11)&gt;=$K$11,((AE90+$L$11)-$K$11)-0.5*HU_alpha/$S$11*((AE90+$L$11)-$K$11)^2,IF((AE90+$L$11)&gt;=$T$11,HU_beta*((AE90+$L$11)-$K$11),HU_beta*($T$11-$K$11)))))</f>
        <v/>
      </c>
      <c r="BB90" s="29">
        <f>IF(OR(AZ90=0,$S$11=0),0,IF((AE90+$L$11+$N$11)&gt;$S$11/HU_alpha+$K$11,0.5*$S$11/HU_alpha,IF((AE90+$L$11+$N$11)&gt;=$K$11,((AE90+$L$11+$N$11)-$K$11)-0.5*HU_alpha/$S$11*((AE90+$L$11+$N$11)-$K$11)^2,IF((AE90+$L$11+$N$11)&gt;=$T$11,HU_beta*((AE90+$L$11+$N$11)-$K$11),HU_beta*($T$11-$K$11)))))</f>
        <v/>
      </c>
      <c r="BC90" s="29">
        <f>IF(OR(AZ90=0,$S$11=0),0,IF((AE90+$K$11)&gt;$S$11/HU_alpha+$K$11,0.5*$S$11/HU_alpha,IF((AE90+$K$11)&gt;=$K$11,((AE90+$K$11)-$K$11)-0.5*HU_alpha/$S$11*((AE90+$K$11)-$K$11)^2,IF((AE90+$K$11)&gt;=$T$11,HU_beta*((AE90+$K$11)-$K$11),HU_beta*($T$11-$K$11)))))</f>
        <v/>
      </c>
      <c r="BD90" s="63">
        <f>IF(AND($J$12,A90=$Q$12),J90,0)</f>
        <v/>
      </c>
      <c r="BE90" s="29">
        <f>IF(OR(BD90=0,$S$12=0),0,IF((AE90+$L$12)&gt;$S$12/HU_alpha+$K$12,0.5*$S$12/HU_alpha,IF((AE90+$L$12)&gt;=$K$12,((AE90+$L$12)-$K$12)-0.5*HU_alpha/$S$12*((AE90+$L$12)-$K$12)^2,IF((AE90+$L$12)&gt;=$T$12,HU_beta*((AE90+$L$12)-$K$12),HU_beta*($T$12-$K$12)))))</f>
        <v/>
      </c>
      <c r="BF90" s="29">
        <f>IF(OR(BD90=0,$S$12=0),0,IF((AE90+$L$12+$N$12)&gt;$S$12/HU_alpha+$K$12,0.5*$S$12/HU_alpha,IF((AE90+$L$12+$N$12)&gt;=$K$12,((AE90+$L$12+$N$12)-$K$12)-0.5*HU_alpha/$S$12*((AE90+$L$12+$N$12)-$K$12)^2,IF((AE90+$L$12+$N$12)&gt;=$T$12,HU_beta*((AE90+$L$12+$N$12)-$K$12),HU_beta*($T$12-$K$12)))))</f>
        <v/>
      </c>
      <c r="BG90" s="29">
        <f>IF(OR(BD90=0,$S$12=0),0,IF((AE90+$K$12)&gt;$S$12/HU_alpha+$K$12,0.5*$S$12/HU_alpha,IF((AE90+$K$12)&gt;=$K$12,((AE90+$K$12)-$K$12)-0.5*HU_alpha/$S$12*((AE90+$K$12)-$K$12)^2,IF((AE90+$K$12)&gt;=$T$12,HU_beta*((AE90+$K$12)-$K$12),HU_beta*($T$12-$K$12)))))</f>
        <v/>
      </c>
      <c r="BH90" s="63">
        <f>IF(AND($J$13,A90=$Q$13),J90,0)</f>
        <v/>
      </c>
      <c r="BI90" s="29">
        <f>IF(OR(BH90=0,$S$13=0),0,IF((AE90+$L$13)&gt;$S$13/HU_alpha+$K$13,0.5*$S$13/HU_alpha,IF((AE90+$L$13)&gt;=$K$13,((AE90+$L$13)-$K$13)-0.5*HU_alpha/$S$13*((AE90+$L$13)-$K$13)^2,IF((AE90+$L$13)&gt;=$T$13,HU_beta*((AE90+$L$13)-$K$13),HU_beta*($T$13-$K$13)))))</f>
        <v/>
      </c>
      <c r="BJ90" s="29">
        <f>IF(OR(BH90=0,$S$13=0),0,IF((AE90+$L$13+$N$13)&gt;$S$13/HU_alpha+$K$13,0.5*$S$13/HU_alpha,IF((AE90+$L$13+$N$13)&gt;=$K$13,((AE90+$L$13+$N$13)-$K$13)-0.5*HU_alpha/$S$13*((AE90+$L$13+$N$13)-$K$13)^2,IF((AE90+$L$13+$N$13)&gt;=$T$13,HU_beta*((AE90+$L$13+$N$13)-$K$13),HU_beta*($T$13-$K$13)))))</f>
        <v/>
      </c>
      <c r="BK90" s="29">
        <f>IF(OR(BH90=0,$S$13=0),0,IF((AE90+$K$13)&gt;$S$13/HU_alpha+$K$13,0.5*$S$13/HU_alpha,IF((AE90+$K$13)&gt;=$K$13,((AE90+$K$13)-$K$13)-0.5*HU_alpha/$S$13*((AE90+$K$13)-$K$13)^2,IF((AE90+$K$13)&gt;=$T$13,HU_beta*((AE90+$K$13)-$K$13),HU_beta*($T$13-$K$13)))))</f>
        <v/>
      </c>
    </row>
    <row r="91">
      <c r="A91" s="61" t="n">
        <v>23</v>
      </c>
      <c r="B91" s="61">
        <f>HU_age+A91</f>
        <v/>
      </c>
      <c r="C91" s="52">
        <f>A91&lt;=HU_T</f>
        <v/>
      </c>
      <c r="D91" s="63">
        <f>IF(OR(A91&lt;1,A91&gt;HU_T),0,INDEX(HU_q_mort,HU_age+A91-17,HU_col))</f>
        <v/>
      </c>
      <c r="E91" s="63">
        <f>IF(OR(A91&lt;1,A91&gt;HU_T),0,INDEX(HU_q_adb,HU_age+A91-17,HU_col))</f>
        <v/>
      </c>
      <c r="F91" s="63">
        <f>IF(OR(A91&lt;1,A91&gt;HU_T),0,INDEX(HU_q_morb,HU_age+A91-17,HU_col))</f>
        <v/>
      </c>
      <c r="G91" s="63">
        <f>IF(OR(A91&lt;1,A91&gt;HU_T),0,INDEX(HU_q_ptd,HU_age+A91-17,HU_col))</f>
        <v/>
      </c>
      <c r="H91" s="63">
        <f>IF(OR(A91&lt;1,A91&gt;HU_T),0,INDEX(HU_q_dis,HU_age+A91-17,HU_col))</f>
        <v/>
      </c>
      <c r="I91" s="63">
        <f>IF(A91&gt;HU_T,0,I90*(1-D91)*(1-E91))</f>
        <v/>
      </c>
      <c r="J91" s="63">
        <f>IF(A91&gt;=HU_T,0,N(I92))</f>
        <v/>
      </c>
      <c r="K91" s="63">
        <f>K90*(1-G91)</f>
        <v/>
      </c>
      <c r="L91" s="63">
        <f>1-K91</f>
        <v/>
      </c>
      <c r="M91" s="63">
        <f>K90*G91</f>
        <v/>
      </c>
      <c r="N91" s="63">
        <f>N90*(1-H91)</f>
        <v/>
      </c>
      <c r="O91" s="63">
        <f>1-N90</f>
        <v/>
      </c>
      <c r="P91" s="63">
        <f>P90*(1-F91)</f>
        <v/>
      </c>
      <c r="Q91" s="63">
        <f>1-P90/INDEX($P$68:$P$150,MAX(1,A91-HU_ciYears))</f>
        <v/>
      </c>
      <c r="R91" s="60">
        <f>(1+inflationRate)^A91</f>
        <v/>
      </c>
      <c r="S91" s="29">
        <f>IF(OR(OR(A91&lt;1,A91&gt;HU_T),A91-1&gt;=HU_dtr),0,HU_inc0*(1+incomeGrowthRate)^A91)</f>
        <v/>
      </c>
      <c r="T91" s="60">
        <f>IF(A91&gt;HU_T,T90,T90*(1+INDEX(HU_ssG,HU_age+A91-17)))</f>
        <v/>
      </c>
      <c r="U91" s="29">
        <f>IF(AND(HU_dtr&gt;=1,A91=HU_dtr,A91&lt;=HU_T),MIN(S91*INDEX(HU_ssC,HU_age+A91-17)/(1-INDEX(HU_ssC,HU_age+A91-17)),INDEX(HU_ssCap,HU_age+A91-17))*T91,0)</f>
        <v/>
      </c>
      <c r="V91" s="29">
        <f>S91+U91+IF(AND(HU_wdOn,A91=HU_wdYear),HU_wdIncome,0)</f>
        <v/>
      </c>
      <c r="W91" s="60">
        <f>HU_ciProp*Q91+HU_tpdCut*L91+HU_disCut*O91</f>
        <v/>
      </c>
      <c r="X91" s="29">
        <f>IF(OR(A91&lt;1,A91&gt;HU_T),0,V91*(1-W91))</f>
        <v/>
      </c>
      <c r="Y91" s="29">
        <f>IF(OR(A91&lt;1,A91&gt;HU_T),0,IF(AND(HU_retExp&gt;0,A91-1&gt;=HU_dtr),HU_retExp,HU_exp0)*R91)</f>
        <v/>
      </c>
      <c r="Z91" s="29">
        <f>-Y91-IF(AND(HU_wdOn,A91=HU_wdYear),HU_wdOut,0)</f>
        <v/>
      </c>
      <c r="AA91" s="29">
        <f>IF(OR(A91&lt;1,A91&gt;HU_T),0,-HU_medCost*R91*F91-HU_tpdCost*R91*M91)</f>
        <v/>
      </c>
      <c r="AB91" s="29">
        <f>IF(A91&gt;HU_T,0,AB90*(1+interestRate)+X91+Z91+AA91)</f>
        <v/>
      </c>
      <c r="AC91" s="29">
        <f>IF(A91&gt;HU_T,0,HU_inv*EXP(HU_mu*A91))</f>
        <v/>
      </c>
      <c r="AD91" s="29">
        <f>IF(A91&gt;HU_T,0,MAX(0,AC91+AB91))</f>
        <v/>
      </c>
      <c r="AE91" s="29">
        <f>IF(A91&gt;HU_T,0,MAX(0,X91-Y91))</f>
        <v/>
      </c>
      <c r="AF91" s="63">
        <f>IF(AND($J$6,A91&gt;=1,A91&lt;=$Q$6-1),J91,0)</f>
        <v/>
      </c>
      <c r="AG91" s="29">
        <f>IF(OR(AF91=0,$S$6=0),0,IF((AD91+$L$6)&gt;$S$6/HU_alpha+$K$6,0.5*$S$6/HU_alpha,IF((AD91+$L$6)&gt;=$K$6,((AD91+$L$6)-$K$6)-0.5*HU_alpha/$S$6*((AD91+$L$6)-$K$6)^2,IF((AD91+$L$6)&gt;=$T$6,HU_beta*((AD91+$L$6)-$K$6),HU_beta*($T$6-$K$6)))))</f>
        <v/>
      </c>
      <c r="AH91" s="29">
        <f>IF(OR(AF91=0,$S$6=0),0,IF((AD91+$L$6+$N$6)&gt;$S$6/HU_alpha+$K$6,0.5*$S$6/HU_alpha,IF((AD91+$L$6+$N$6)&gt;=$K$6,((AD91+$L$6+$N$6)-$K$6)-0.5*HU_alpha/$S$6*((AD91+$L$6+$N$6)-$K$6)^2,IF((AD91+$L$6+$N$6)&gt;=$T$6,HU_beta*((AD91+$L$6+$N$6)-$K$6),HU_beta*($T$6-$K$6)))))</f>
        <v/>
      </c>
      <c r="AI91" s="29">
        <f>IF(OR(AF91=0,$S$6=0),0,IF((AD91+$K$6)&gt;$S$6/HU_alpha+$K$6,0.5*$S$6/HU_alpha,IF((AD91+$K$6)&gt;=$K$6,((AD91+$K$6)-$K$6)-0.5*HU_alpha/$S$6*((AD91+$K$6)-$K$6)^2,IF((AD91+$K$6)&gt;=$T$6,HU_beta*((AD91+$K$6)-$K$6),HU_beta*($T$6-$K$6)))))</f>
        <v/>
      </c>
      <c r="AJ91" s="63">
        <f>IF(AND($J$7,A91&gt;=1,A91&lt;=$Q$7-1),J91,0)</f>
        <v/>
      </c>
      <c r="AK91" s="29">
        <f>IF(OR(AJ91=0,$S$7=0),0,IF((AE91+$L$7)&gt;$S$7/HU_alpha+$K$7,0.5*$S$7/HU_alpha,IF((AE91+$L$7)&gt;=$K$7,((AE91+$L$7)-$K$7)-0.5*HU_alpha/$S$7*((AE91+$L$7)-$K$7)^2,IF((AE91+$L$7)&gt;=$T$7,HU_beta*((AE91+$L$7)-$K$7),HU_beta*($T$7-$K$7)))))</f>
        <v/>
      </c>
      <c r="AL91" s="29">
        <f>IF(OR(AJ91=0,$S$7=0),0,IF((AE91+$L$7+$N$7)&gt;$S$7/HU_alpha+$K$7,0.5*$S$7/HU_alpha,IF((AE91+$L$7+$N$7)&gt;=$K$7,((AE91+$L$7+$N$7)-$K$7)-0.5*HU_alpha/$S$7*((AE91+$L$7+$N$7)-$K$7)^2,IF((AE91+$L$7+$N$7)&gt;=$T$7,HU_beta*((AE91+$L$7+$N$7)-$K$7),HU_beta*($T$7-$K$7)))))</f>
        <v/>
      </c>
      <c r="AM91" s="29">
        <f>IF(OR(AJ91=0,$S$7=0),0,IF((AE91+$K$7)&gt;$S$7/HU_alpha+$K$7,0.5*$S$7/HU_alpha,IF((AE91+$K$7)&gt;=$K$7,((AE91+$K$7)-$K$7)-0.5*HU_alpha/$S$7*((AE91+$K$7)-$K$7)^2,IF((AE91+$K$7)&gt;=$T$7,HU_beta*((AE91+$K$7)-$K$7),HU_beta*($T$7-$K$7)))))</f>
        <v/>
      </c>
      <c r="AN91" s="63">
        <f>IF(AND($J$8,A91&gt;=1,A91&lt;=$Q$8-1),J91,0)</f>
        <v/>
      </c>
      <c r="AO91" s="29">
        <f>IF(OR(AN91=0,$S$8=0),0,IF((AE91+$L$8)&gt;$S$8/HU_alpha+$K$8,0.5*$S$8/HU_alpha,IF((AE91+$L$8)&gt;=$K$8,((AE91+$L$8)-$K$8)-0.5*HU_alpha/$S$8*((AE91+$L$8)-$K$8)^2,IF((AE91+$L$8)&gt;=$T$8,HU_beta*((AE91+$L$8)-$K$8),HU_beta*($T$8-$K$8)))))</f>
        <v/>
      </c>
      <c r="AP91" s="29">
        <f>IF(OR(AN91=0,$S$8=0),0,IF((AE91+$L$8+$N$8)&gt;$S$8/HU_alpha+$K$8,0.5*$S$8/HU_alpha,IF((AE91+$L$8+$N$8)&gt;=$K$8,((AE91+$L$8+$N$8)-$K$8)-0.5*HU_alpha/$S$8*((AE91+$L$8+$N$8)-$K$8)^2,IF((AE91+$L$8+$N$8)&gt;=$T$8,HU_beta*((AE91+$L$8+$N$8)-$K$8),HU_beta*($T$8-$K$8)))))</f>
        <v/>
      </c>
      <c r="AQ91" s="29">
        <f>IF(OR(AN91=0,$S$8=0),0,IF((AE91+$K$8)&gt;$S$8/HU_alpha+$K$8,0.5*$S$8/HU_alpha,IF((AE91+$K$8)&gt;=$K$8,((AE91+$K$8)-$K$8)-0.5*HU_alpha/$S$8*((AE91+$K$8)-$K$8)^2,IF((AE91+$K$8)&gt;=$T$8,HU_beta*((AE91+$K$8)-$K$8),HU_beta*($T$8-$K$8)))))</f>
        <v/>
      </c>
      <c r="AR91" s="63">
        <f>IF(AND($J$9,A91&gt;=1,A91&lt;=$Q$9-1),J91,0)</f>
        <v/>
      </c>
      <c r="AS91" s="29">
        <f>IF(OR(AR91=0,$S$9=0),0,IF((AE91+$L$9)&gt;$S$9/HU_alpha+$K$9,0.5*$S$9/HU_alpha,IF((AE91+$L$9)&gt;=$K$9,((AE91+$L$9)-$K$9)-0.5*HU_alpha/$S$9*((AE91+$L$9)-$K$9)^2,IF((AE91+$L$9)&gt;=$T$9,HU_beta*((AE91+$L$9)-$K$9),HU_beta*($T$9-$K$9)))))</f>
        <v/>
      </c>
      <c r="AT91" s="29">
        <f>IF(OR(AR91=0,$S$9=0),0,IF((AE91+$L$9+$N$9)&gt;$S$9/HU_alpha+$K$9,0.5*$S$9/HU_alpha,IF((AE91+$L$9+$N$9)&gt;=$K$9,((AE91+$L$9+$N$9)-$K$9)-0.5*HU_alpha/$S$9*((AE91+$L$9+$N$9)-$K$9)^2,IF((AE91+$L$9+$N$9)&gt;=$T$9,HU_beta*((AE91+$L$9+$N$9)-$K$9),HU_beta*($T$9-$K$9)))))</f>
        <v/>
      </c>
      <c r="AU91" s="29">
        <f>IF(OR(AR91=0,$S$9=0),0,IF((AE91+$K$9)&gt;$S$9/HU_alpha+$K$9,0.5*$S$9/HU_alpha,IF((AE91+$K$9)&gt;=$K$9,((AE91+$K$9)-$K$9)-0.5*HU_alpha/$S$9*((AE91+$K$9)-$K$9)^2,IF((AE91+$K$9)&gt;=$T$9,HU_beta*((AE91+$K$9)-$K$9),HU_beta*($T$9-$K$9)))))</f>
        <v/>
      </c>
      <c r="AV91" s="63">
        <f>IF(AND($J$10,A91=$Q$10),J91,0)</f>
        <v/>
      </c>
      <c r="AW91" s="29">
        <f>IF(OR(AV91=0,$S$10=0),0,IF((AD91+$L$10)&gt;$S$10/HU_alpha+$K$10,0.5*$S$10/HU_alpha,IF((AD91+$L$10)&gt;=$K$10,((AD91+$L$10)-$K$10)-0.5*HU_alpha/$S$10*((AD91+$L$10)-$K$10)^2,IF((AD91+$L$10)&gt;=$T$10,HU_beta*((AD91+$L$10)-$K$10),HU_beta*($T$10-$K$10)))))</f>
        <v/>
      </c>
      <c r="AX91" s="29">
        <f>IF(OR(AV91=0,$S$10=0),0,IF((AD91+$L$10+$N$10)&gt;$S$10/HU_alpha+$K$10,0.5*$S$10/HU_alpha,IF((AD91+$L$10+$N$10)&gt;=$K$10,((AD91+$L$10+$N$10)-$K$10)-0.5*HU_alpha/$S$10*((AD91+$L$10+$N$10)-$K$10)^2,IF((AD91+$L$10+$N$10)&gt;=$T$10,HU_beta*((AD91+$L$10+$N$10)-$K$10),HU_beta*($T$10-$K$10)))))</f>
        <v/>
      </c>
      <c r="AY91" s="29">
        <f>IF(OR(AV91=0,$S$10=0),0,IF((AD91+$K$10)&gt;$S$10/HU_alpha+$K$10,0.5*$S$10/HU_alpha,IF((AD91+$K$10)&gt;=$K$10,((AD91+$K$10)-$K$10)-0.5*HU_alpha/$S$10*((AD91+$K$10)-$K$10)^2,IF((AD91+$K$10)&gt;=$T$10,HU_beta*((AD91+$K$10)-$K$10),HU_beta*($T$10-$K$10)))))</f>
        <v/>
      </c>
      <c r="AZ91" s="63">
        <f>IF(AND($J$11,A91=$Q$11),J91,0)</f>
        <v/>
      </c>
      <c r="BA91" s="29">
        <f>IF(OR(AZ91=0,$S$11=0),0,IF((AE91+$L$11)&gt;$S$11/HU_alpha+$K$11,0.5*$S$11/HU_alpha,IF((AE91+$L$11)&gt;=$K$11,((AE91+$L$11)-$K$11)-0.5*HU_alpha/$S$11*((AE91+$L$11)-$K$11)^2,IF((AE91+$L$11)&gt;=$T$11,HU_beta*((AE91+$L$11)-$K$11),HU_beta*($T$11-$K$11)))))</f>
        <v/>
      </c>
      <c r="BB91" s="29">
        <f>IF(OR(AZ91=0,$S$11=0),0,IF((AE91+$L$11+$N$11)&gt;$S$11/HU_alpha+$K$11,0.5*$S$11/HU_alpha,IF((AE91+$L$11+$N$11)&gt;=$K$11,((AE91+$L$11+$N$11)-$K$11)-0.5*HU_alpha/$S$11*((AE91+$L$11+$N$11)-$K$11)^2,IF((AE91+$L$11+$N$11)&gt;=$T$11,HU_beta*((AE91+$L$11+$N$11)-$K$11),HU_beta*($T$11-$K$11)))))</f>
        <v/>
      </c>
      <c r="BC91" s="29">
        <f>IF(OR(AZ91=0,$S$11=0),0,IF((AE91+$K$11)&gt;$S$11/HU_alpha+$K$11,0.5*$S$11/HU_alpha,IF((AE91+$K$11)&gt;=$K$11,((AE91+$K$11)-$K$11)-0.5*HU_alpha/$S$11*((AE91+$K$11)-$K$11)^2,IF((AE91+$K$11)&gt;=$T$11,HU_beta*((AE91+$K$11)-$K$11),HU_beta*($T$11-$K$11)))))</f>
        <v/>
      </c>
      <c r="BD91" s="63">
        <f>IF(AND($J$12,A91=$Q$12),J91,0)</f>
        <v/>
      </c>
      <c r="BE91" s="29">
        <f>IF(OR(BD91=0,$S$12=0),0,IF((AE91+$L$12)&gt;$S$12/HU_alpha+$K$12,0.5*$S$12/HU_alpha,IF((AE91+$L$12)&gt;=$K$12,((AE91+$L$12)-$K$12)-0.5*HU_alpha/$S$12*((AE91+$L$12)-$K$12)^2,IF((AE91+$L$12)&gt;=$T$12,HU_beta*((AE91+$L$12)-$K$12),HU_beta*($T$12-$K$12)))))</f>
        <v/>
      </c>
      <c r="BF91" s="29">
        <f>IF(OR(BD91=0,$S$12=0),0,IF((AE91+$L$12+$N$12)&gt;$S$12/HU_alpha+$K$12,0.5*$S$12/HU_alpha,IF((AE91+$L$12+$N$12)&gt;=$K$12,((AE91+$L$12+$N$12)-$K$12)-0.5*HU_alpha/$S$12*((AE91+$L$12+$N$12)-$K$12)^2,IF((AE91+$L$12+$N$12)&gt;=$T$12,HU_beta*((AE91+$L$12+$N$12)-$K$12),HU_beta*($T$12-$K$12)))))</f>
        <v/>
      </c>
      <c r="BG91" s="29">
        <f>IF(OR(BD91=0,$S$12=0),0,IF((AE91+$K$12)&gt;$S$12/HU_alpha+$K$12,0.5*$S$12/HU_alpha,IF((AE91+$K$12)&gt;=$K$12,((AE91+$K$12)-$K$12)-0.5*HU_alpha/$S$12*((AE91+$K$12)-$K$12)^2,IF((AE91+$K$12)&gt;=$T$12,HU_beta*((AE91+$K$12)-$K$12),HU_beta*($T$12-$K$12)))))</f>
        <v/>
      </c>
      <c r="BH91" s="63">
        <f>IF(AND($J$13,A91=$Q$13),J91,0)</f>
        <v/>
      </c>
      <c r="BI91" s="29">
        <f>IF(OR(BH91=0,$S$13=0),0,IF((AE91+$L$13)&gt;$S$13/HU_alpha+$K$13,0.5*$S$13/HU_alpha,IF((AE91+$L$13)&gt;=$K$13,((AE91+$L$13)-$K$13)-0.5*HU_alpha/$S$13*((AE91+$L$13)-$K$13)^2,IF((AE91+$L$13)&gt;=$T$13,HU_beta*((AE91+$L$13)-$K$13),HU_beta*($T$13-$K$13)))))</f>
        <v/>
      </c>
      <c r="BJ91" s="29">
        <f>IF(OR(BH91=0,$S$13=0),0,IF((AE91+$L$13+$N$13)&gt;$S$13/HU_alpha+$K$13,0.5*$S$13/HU_alpha,IF((AE91+$L$13+$N$13)&gt;=$K$13,((AE91+$L$13+$N$13)-$K$13)-0.5*HU_alpha/$S$13*((AE91+$L$13+$N$13)-$K$13)^2,IF((AE91+$L$13+$N$13)&gt;=$T$13,HU_beta*((AE91+$L$13+$N$13)-$K$13),HU_beta*($T$13-$K$13)))))</f>
        <v/>
      </c>
      <c r="BK91" s="29">
        <f>IF(OR(BH91=0,$S$13=0),0,IF((AE91+$K$13)&gt;$S$13/HU_alpha+$K$13,0.5*$S$13/HU_alpha,IF((AE91+$K$13)&gt;=$K$13,((AE91+$K$13)-$K$13)-0.5*HU_alpha/$S$13*((AE91+$K$13)-$K$13)^2,IF((AE91+$K$13)&gt;=$T$13,HU_beta*((AE91+$K$13)-$K$13),HU_beta*($T$13-$K$13)))))</f>
        <v/>
      </c>
    </row>
    <row r="92">
      <c r="A92" s="61" t="n">
        <v>24</v>
      </c>
      <c r="B92" s="61">
        <f>HU_age+A92</f>
        <v/>
      </c>
      <c r="C92" s="52">
        <f>A92&lt;=HU_T</f>
        <v/>
      </c>
      <c r="D92" s="63">
        <f>IF(OR(A92&lt;1,A92&gt;HU_T),0,INDEX(HU_q_mort,HU_age+A92-17,HU_col))</f>
        <v/>
      </c>
      <c r="E92" s="63">
        <f>IF(OR(A92&lt;1,A92&gt;HU_T),0,INDEX(HU_q_adb,HU_age+A92-17,HU_col))</f>
        <v/>
      </c>
      <c r="F92" s="63">
        <f>IF(OR(A92&lt;1,A92&gt;HU_T),0,INDEX(HU_q_morb,HU_age+A92-17,HU_col))</f>
        <v/>
      </c>
      <c r="G92" s="63">
        <f>IF(OR(A92&lt;1,A92&gt;HU_T),0,INDEX(HU_q_ptd,HU_age+A92-17,HU_col))</f>
        <v/>
      </c>
      <c r="H92" s="63">
        <f>IF(OR(A92&lt;1,A92&gt;HU_T),0,INDEX(HU_q_dis,HU_age+A92-17,HU_col))</f>
        <v/>
      </c>
      <c r="I92" s="63">
        <f>IF(A92&gt;HU_T,0,I91*(1-D92)*(1-E92))</f>
        <v/>
      </c>
      <c r="J92" s="63">
        <f>IF(A92&gt;=HU_T,0,N(I93))</f>
        <v/>
      </c>
      <c r="K92" s="63">
        <f>K91*(1-G92)</f>
        <v/>
      </c>
      <c r="L92" s="63">
        <f>1-K92</f>
        <v/>
      </c>
      <c r="M92" s="63">
        <f>K91*G92</f>
        <v/>
      </c>
      <c r="N92" s="63">
        <f>N91*(1-H92)</f>
        <v/>
      </c>
      <c r="O92" s="63">
        <f>1-N91</f>
        <v/>
      </c>
      <c r="P92" s="63">
        <f>P91*(1-F92)</f>
        <v/>
      </c>
      <c r="Q92" s="63">
        <f>1-P91/INDEX($P$68:$P$150,MAX(1,A92-HU_ciYears))</f>
        <v/>
      </c>
      <c r="R92" s="60">
        <f>(1+inflationRate)^A92</f>
        <v/>
      </c>
      <c r="S92" s="29">
        <f>IF(OR(OR(A92&lt;1,A92&gt;HU_T),A92-1&gt;=HU_dtr),0,HU_inc0*(1+incomeGrowthRate)^A92)</f>
        <v/>
      </c>
      <c r="T92" s="60">
        <f>IF(A92&gt;HU_T,T91,T91*(1+INDEX(HU_ssG,HU_age+A92-17)))</f>
        <v/>
      </c>
      <c r="U92" s="29">
        <f>IF(AND(HU_dtr&gt;=1,A92=HU_dtr,A92&lt;=HU_T),MIN(S92*INDEX(HU_ssC,HU_age+A92-17)/(1-INDEX(HU_ssC,HU_age+A92-17)),INDEX(HU_ssCap,HU_age+A92-17))*T92,0)</f>
        <v/>
      </c>
      <c r="V92" s="29">
        <f>S92+U92+IF(AND(HU_wdOn,A92=HU_wdYear),HU_wdIncome,0)</f>
        <v/>
      </c>
      <c r="W92" s="60">
        <f>HU_ciProp*Q92+HU_tpdCut*L92+HU_disCut*O92</f>
        <v/>
      </c>
      <c r="X92" s="29">
        <f>IF(OR(A92&lt;1,A92&gt;HU_T),0,V92*(1-W92))</f>
        <v/>
      </c>
      <c r="Y92" s="29">
        <f>IF(OR(A92&lt;1,A92&gt;HU_T),0,IF(AND(HU_retExp&gt;0,A92-1&gt;=HU_dtr),HU_retExp,HU_exp0)*R92)</f>
        <v/>
      </c>
      <c r="Z92" s="29">
        <f>-Y92-IF(AND(HU_wdOn,A92=HU_wdYear),HU_wdOut,0)</f>
        <v/>
      </c>
      <c r="AA92" s="29">
        <f>IF(OR(A92&lt;1,A92&gt;HU_T),0,-HU_medCost*R92*F92-HU_tpdCost*R92*M92)</f>
        <v/>
      </c>
      <c r="AB92" s="29">
        <f>IF(A92&gt;HU_T,0,AB91*(1+interestRate)+X92+Z92+AA92)</f>
        <v/>
      </c>
      <c r="AC92" s="29">
        <f>IF(A92&gt;HU_T,0,HU_inv*EXP(HU_mu*A92))</f>
        <v/>
      </c>
      <c r="AD92" s="29">
        <f>IF(A92&gt;HU_T,0,MAX(0,AC92+AB92))</f>
        <v/>
      </c>
      <c r="AE92" s="29">
        <f>IF(A92&gt;HU_T,0,MAX(0,X92-Y92))</f>
        <v/>
      </c>
      <c r="AF92" s="63">
        <f>IF(AND($J$6,A92&gt;=1,A92&lt;=$Q$6-1),J92,0)</f>
        <v/>
      </c>
      <c r="AG92" s="29">
        <f>IF(OR(AF92=0,$S$6=0),0,IF((AD92+$L$6)&gt;$S$6/HU_alpha+$K$6,0.5*$S$6/HU_alpha,IF((AD92+$L$6)&gt;=$K$6,((AD92+$L$6)-$K$6)-0.5*HU_alpha/$S$6*((AD92+$L$6)-$K$6)^2,IF((AD92+$L$6)&gt;=$T$6,HU_beta*((AD92+$L$6)-$K$6),HU_beta*($T$6-$K$6)))))</f>
        <v/>
      </c>
      <c r="AH92" s="29">
        <f>IF(OR(AF92=0,$S$6=0),0,IF((AD92+$L$6+$N$6)&gt;$S$6/HU_alpha+$K$6,0.5*$S$6/HU_alpha,IF((AD92+$L$6+$N$6)&gt;=$K$6,((AD92+$L$6+$N$6)-$K$6)-0.5*HU_alpha/$S$6*((AD92+$L$6+$N$6)-$K$6)^2,IF((AD92+$L$6+$N$6)&gt;=$T$6,HU_beta*((AD92+$L$6+$N$6)-$K$6),HU_beta*($T$6-$K$6)))))</f>
        <v/>
      </c>
      <c r="AI92" s="29">
        <f>IF(OR(AF92=0,$S$6=0),0,IF((AD92+$K$6)&gt;$S$6/HU_alpha+$K$6,0.5*$S$6/HU_alpha,IF((AD92+$K$6)&gt;=$K$6,((AD92+$K$6)-$K$6)-0.5*HU_alpha/$S$6*((AD92+$K$6)-$K$6)^2,IF((AD92+$K$6)&gt;=$T$6,HU_beta*((AD92+$K$6)-$K$6),HU_beta*($T$6-$K$6)))))</f>
        <v/>
      </c>
      <c r="AJ92" s="63">
        <f>IF(AND($J$7,A92&gt;=1,A92&lt;=$Q$7-1),J92,0)</f>
        <v/>
      </c>
      <c r="AK92" s="29">
        <f>IF(OR(AJ92=0,$S$7=0),0,IF((AE92+$L$7)&gt;$S$7/HU_alpha+$K$7,0.5*$S$7/HU_alpha,IF((AE92+$L$7)&gt;=$K$7,((AE92+$L$7)-$K$7)-0.5*HU_alpha/$S$7*((AE92+$L$7)-$K$7)^2,IF((AE92+$L$7)&gt;=$T$7,HU_beta*((AE92+$L$7)-$K$7),HU_beta*($T$7-$K$7)))))</f>
        <v/>
      </c>
      <c r="AL92" s="29">
        <f>IF(OR(AJ92=0,$S$7=0),0,IF((AE92+$L$7+$N$7)&gt;$S$7/HU_alpha+$K$7,0.5*$S$7/HU_alpha,IF((AE92+$L$7+$N$7)&gt;=$K$7,((AE92+$L$7+$N$7)-$K$7)-0.5*HU_alpha/$S$7*((AE92+$L$7+$N$7)-$K$7)^2,IF((AE92+$L$7+$N$7)&gt;=$T$7,HU_beta*((AE92+$L$7+$N$7)-$K$7),HU_beta*($T$7-$K$7)))))</f>
        <v/>
      </c>
      <c r="AM92" s="29">
        <f>IF(OR(AJ92=0,$S$7=0),0,IF((AE92+$K$7)&gt;$S$7/HU_alpha+$K$7,0.5*$S$7/HU_alpha,IF((AE92+$K$7)&gt;=$K$7,((AE92+$K$7)-$K$7)-0.5*HU_alpha/$S$7*((AE92+$K$7)-$K$7)^2,IF((AE92+$K$7)&gt;=$T$7,HU_beta*((AE92+$K$7)-$K$7),HU_beta*($T$7-$K$7)))))</f>
        <v/>
      </c>
      <c r="AN92" s="63">
        <f>IF(AND($J$8,A92&gt;=1,A92&lt;=$Q$8-1),J92,0)</f>
        <v/>
      </c>
      <c r="AO92" s="29">
        <f>IF(OR(AN92=0,$S$8=0),0,IF((AE92+$L$8)&gt;$S$8/HU_alpha+$K$8,0.5*$S$8/HU_alpha,IF((AE92+$L$8)&gt;=$K$8,((AE92+$L$8)-$K$8)-0.5*HU_alpha/$S$8*((AE92+$L$8)-$K$8)^2,IF((AE92+$L$8)&gt;=$T$8,HU_beta*((AE92+$L$8)-$K$8),HU_beta*($T$8-$K$8)))))</f>
        <v/>
      </c>
      <c r="AP92" s="29">
        <f>IF(OR(AN92=0,$S$8=0),0,IF((AE92+$L$8+$N$8)&gt;$S$8/HU_alpha+$K$8,0.5*$S$8/HU_alpha,IF((AE92+$L$8+$N$8)&gt;=$K$8,((AE92+$L$8+$N$8)-$K$8)-0.5*HU_alpha/$S$8*((AE92+$L$8+$N$8)-$K$8)^2,IF((AE92+$L$8+$N$8)&gt;=$T$8,HU_beta*((AE92+$L$8+$N$8)-$K$8),HU_beta*($T$8-$K$8)))))</f>
        <v/>
      </c>
      <c r="AQ92" s="29">
        <f>IF(OR(AN92=0,$S$8=0),0,IF((AE92+$K$8)&gt;$S$8/HU_alpha+$K$8,0.5*$S$8/HU_alpha,IF((AE92+$K$8)&gt;=$K$8,((AE92+$K$8)-$K$8)-0.5*HU_alpha/$S$8*((AE92+$K$8)-$K$8)^2,IF((AE92+$K$8)&gt;=$T$8,HU_beta*((AE92+$K$8)-$K$8),HU_beta*($T$8-$K$8)))))</f>
        <v/>
      </c>
      <c r="AR92" s="63">
        <f>IF(AND($J$9,A92&gt;=1,A92&lt;=$Q$9-1),J92,0)</f>
        <v/>
      </c>
      <c r="AS92" s="29">
        <f>IF(OR(AR92=0,$S$9=0),0,IF((AE92+$L$9)&gt;$S$9/HU_alpha+$K$9,0.5*$S$9/HU_alpha,IF((AE92+$L$9)&gt;=$K$9,((AE92+$L$9)-$K$9)-0.5*HU_alpha/$S$9*((AE92+$L$9)-$K$9)^2,IF((AE92+$L$9)&gt;=$T$9,HU_beta*((AE92+$L$9)-$K$9),HU_beta*($T$9-$K$9)))))</f>
        <v/>
      </c>
      <c r="AT92" s="29">
        <f>IF(OR(AR92=0,$S$9=0),0,IF((AE92+$L$9+$N$9)&gt;$S$9/HU_alpha+$K$9,0.5*$S$9/HU_alpha,IF((AE92+$L$9+$N$9)&gt;=$K$9,((AE92+$L$9+$N$9)-$K$9)-0.5*HU_alpha/$S$9*((AE92+$L$9+$N$9)-$K$9)^2,IF((AE92+$L$9+$N$9)&gt;=$T$9,HU_beta*((AE92+$L$9+$N$9)-$K$9),HU_beta*($T$9-$K$9)))))</f>
        <v/>
      </c>
      <c r="AU92" s="29">
        <f>IF(OR(AR92=0,$S$9=0),0,IF((AE92+$K$9)&gt;$S$9/HU_alpha+$K$9,0.5*$S$9/HU_alpha,IF((AE92+$K$9)&gt;=$K$9,((AE92+$K$9)-$K$9)-0.5*HU_alpha/$S$9*((AE92+$K$9)-$K$9)^2,IF((AE92+$K$9)&gt;=$T$9,HU_beta*((AE92+$K$9)-$K$9),HU_beta*($T$9-$K$9)))))</f>
        <v/>
      </c>
      <c r="AV92" s="63">
        <f>IF(AND($J$10,A92=$Q$10),J92,0)</f>
        <v/>
      </c>
      <c r="AW92" s="29">
        <f>IF(OR(AV92=0,$S$10=0),0,IF((AD92+$L$10)&gt;$S$10/HU_alpha+$K$10,0.5*$S$10/HU_alpha,IF((AD92+$L$10)&gt;=$K$10,((AD92+$L$10)-$K$10)-0.5*HU_alpha/$S$10*((AD92+$L$10)-$K$10)^2,IF((AD92+$L$10)&gt;=$T$10,HU_beta*((AD92+$L$10)-$K$10),HU_beta*($T$10-$K$10)))))</f>
        <v/>
      </c>
      <c r="AX92" s="29">
        <f>IF(OR(AV92=0,$S$10=0),0,IF((AD92+$L$10+$N$10)&gt;$S$10/HU_alpha+$K$10,0.5*$S$10/HU_alpha,IF((AD92+$L$10+$N$10)&gt;=$K$10,((AD92+$L$10+$N$10)-$K$10)-0.5*HU_alpha/$S$10*((AD92+$L$10+$N$10)-$K$10)^2,IF((AD92+$L$10+$N$10)&gt;=$T$10,HU_beta*((AD92+$L$10+$N$10)-$K$10),HU_beta*($T$10-$K$10)))))</f>
        <v/>
      </c>
      <c r="AY92" s="29">
        <f>IF(OR(AV92=0,$S$10=0),0,IF((AD92+$K$10)&gt;$S$10/HU_alpha+$K$10,0.5*$S$10/HU_alpha,IF((AD92+$K$10)&gt;=$K$10,((AD92+$K$10)-$K$10)-0.5*HU_alpha/$S$10*((AD92+$K$10)-$K$10)^2,IF((AD92+$K$10)&gt;=$T$10,HU_beta*((AD92+$K$10)-$K$10),HU_beta*($T$10-$K$10)))))</f>
        <v/>
      </c>
      <c r="AZ92" s="63">
        <f>IF(AND($J$11,A92=$Q$11),J92,0)</f>
        <v/>
      </c>
      <c r="BA92" s="29">
        <f>IF(OR(AZ92=0,$S$11=0),0,IF((AE92+$L$11)&gt;$S$11/HU_alpha+$K$11,0.5*$S$11/HU_alpha,IF((AE92+$L$11)&gt;=$K$11,((AE92+$L$11)-$K$11)-0.5*HU_alpha/$S$11*((AE92+$L$11)-$K$11)^2,IF((AE92+$L$11)&gt;=$T$11,HU_beta*((AE92+$L$11)-$K$11),HU_beta*($T$11-$K$11)))))</f>
        <v/>
      </c>
      <c r="BB92" s="29">
        <f>IF(OR(AZ92=0,$S$11=0),0,IF((AE92+$L$11+$N$11)&gt;$S$11/HU_alpha+$K$11,0.5*$S$11/HU_alpha,IF((AE92+$L$11+$N$11)&gt;=$K$11,((AE92+$L$11+$N$11)-$K$11)-0.5*HU_alpha/$S$11*((AE92+$L$11+$N$11)-$K$11)^2,IF((AE92+$L$11+$N$11)&gt;=$T$11,HU_beta*((AE92+$L$11+$N$11)-$K$11),HU_beta*($T$11-$K$11)))))</f>
        <v/>
      </c>
      <c r="BC92" s="29">
        <f>IF(OR(AZ92=0,$S$11=0),0,IF((AE92+$K$11)&gt;$S$11/HU_alpha+$K$11,0.5*$S$11/HU_alpha,IF((AE92+$K$11)&gt;=$K$11,((AE92+$K$11)-$K$11)-0.5*HU_alpha/$S$11*((AE92+$K$11)-$K$11)^2,IF((AE92+$K$11)&gt;=$T$11,HU_beta*((AE92+$K$11)-$K$11),HU_beta*($T$11-$K$11)))))</f>
        <v/>
      </c>
      <c r="BD92" s="63">
        <f>IF(AND($J$12,A92=$Q$12),J92,0)</f>
        <v/>
      </c>
      <c r="BE92" s="29">
        <f>IF(OR(BD92=0,$S$12=0),0,IF((AE92+$L$12)&gt;$S$12/HU_alpha+$K$12,0.5*$S$12/HU_alpha,IF((AE92+$L$12)&gt;=$K$12,((AE92+$L$12)-$K$12)-0.5*HU_alpha/$S$12*((AE92+$L$12)-$K$12)^2,IF((AE92+$L$12)&gt;=$T$12,HU_beta*((AE92+$L$12)-$K$12),HU_beta*($T$12-$K$12)))))</f>
        <v/>
      </c>
      <c r="BF92" s="29">
        <f>IF(OR(BD92=0,$S$12=0),0,IF((AE92+$L$12+$N$12)&gt;$S$12/HU_alpha+$K$12,0.5*$S$12/HU_alpha,IF((AE92+$L$12+$N$12)&gt;=$K$12,((AE92+$L$12+$N$12)-$K$12)-0.5*HU_alpha/$S$12*((AE92+$L$12+$N$12)-$K$12)^2,IF((AE92+$L$12+$N$12)&gt;=$T$12,HU_beta*((AE92+$L$12+$N$12)-$K$12),HU_beta*($T$12-$K$12)))))</f>
        <v/>
      </c>
      <c r="BG92" s="29">
        <f>IF(OR(BD92=0,$S$12=0),0,IF((AE92+$K$12)&gt;$S$12/HU_alpha+$K$12,0.5*$S$12/HU_alpha,IF((AE92+$K$12)&gt;=$K$12,((AE92+$K$12)-$K$12)-0.5*HU_alpha/$S$12*((AE92+$K$12)-$K$12)^2,IF((AE92+$K$12)&gt;=$T$12,HU_beta*((AE92+$K$12)-$K$12),HU_beta*($T$12-$K$12)))))</f>
        <v/>
      </c>
      <c r="BH92" s="63">
        <f>IF(AND($J$13,A92=$Q$13),J92,0)</f>
        <v/>
      </c>
      <c r="BI92" s="29">
        <f>IF(OR(BH92=0,$S$13=0),0,IF((AE92+$L$13)&gt;$S$13/HU_alpha+$K$13,0.5*$S$13/HU_alpha,IF((AE92+$L$13)&gt;=$K$13,((AE92+$L$13)-$K$13)-0.5*HU_alpha/$S$13*((AE92+$L$13)-$K$13)^2,IF((AE92+$L$13)&gt;=$T$13,HU_beta*((AE92+$L$13)-$K$13),HU_beta*($T$13-$K$13)))))</f>
        <v/>
      </c>
      <c r="BJ92" s="29">
        <f>IF(OR(BH92=0,$S$13=0),0,IF((AE92+$L$13+$N$13)&gt;$S$13/HU_alpha+$K$13,0.5*$S$13/HU_alpha,IF((AE92+$L$13+$N$13)&gt;=$K$13,((AE92+$L$13+$N$13)-$K$13)-0.5*HU_alpha/$S$13*((AE92+$L$13+$N$13)-$K$13)^2,IF((AE92+$L$13+$N$13)&gt;=$T$13,HU_beta*((AE92+$L$13+$N$13)-$K$13),HU_beta*($T$13-$K$13)))))</f>
        <v/>
      </c>
      <c r="BK92" s="29">
        <f>IF(OR(BH92=0,$S$13=0),0,IF((AE92+$K$13)&gt;$S$13/HU_alpha+$K$13,0.5*$S$13/HU_alpha,IF((AE92+$K$13)&gt;=$K$13,((AE92+$K$13)-$K$13)-0.5*HU_alpha/$S$13*((AE92+$K$13)-$K$13)^2,IF((AE92+$K$13)&gt;=$T$13,HU_beta*((AE92+$K$13)-$K$13),HU_beta*($T$13-$K$13)))))</f>
        <v/>
      </c>
    </row>
    <row r="93">
      <c r="A93" s="61" t="n">
        <v>25</v>
      </c>
      <c r="B93" s="61">
        <f>HU_age+A93</f>
        <v/>
      </c>
      <c r="C93" s="52">
        <f>A93&lt;=HU_T</f>
        <v/>
      </c>
      <c r="D93" s="63">
        <f>IF(OR(A93&lt;1,A93&gt;HU_T),0,INDEX(HU_q_mort,HU_age+A93-17,HU_col))</f>
        <v/>
      </c>
      <c r="E93" s="63">
        <f>IF(OR(A93&lt;1,A93&gt;HU_T),0,INDEX(HU_q_adb,HU_age+A93-17,HU_col))</f>
        <v/>
      </c>
      <c r="F93" s="63">
        <f>IF(OR(A93&lt;1,A93&gt;HU_T),0,INDEX(HU_q_morb,HU_age+A93-17,HU_col))</f>
        <v/>
      </c>
      <c r="G93" s="63">
        <f>IF(OR(A93&lt;1,A93&gt;HU_T),0,INDEX(HU_q_ptd,HU_age+A93-17,HU_col))</f>
        <v/>
      </c>
      <c r="H93" s="63">
        <f>IF(OR(A93&lt;1,A93&gt;HU_T),0,INDEX(HU_q_dis,HU_age+A93-17,HU_col))</f>
        <v/>
      </c>
      <c r="I93" s="63">
        <f>IF(A93&gt;HU_T,0,I92*(1-D93)*(1-E93))</f>
        <v/>
      </c>
      <c r="J93" s="63">
        <f>IF(A93&gt;=HU_T,0,N(I94))</f>
        <v/>
      </c>
      <c r="K93" s="63">
        <f>K92*(1-G93)</f>
        <v/>
      </c>
      <c r="L93" s="63">
        <f>1-K93</f>
        <v/>
      </c>
      <c r="M93" s="63">
        <f>K92*G93</f>
        <v/>
      </c>
      <c r="N93" s="63">
        <f>N92*(1-H93)</f>
        <v/>
      </c>
      <c r="O93" s="63">
        <f>1-N92</f>
        <v/>
      </c>
      <c r="P93" s="63">
        <f>P92*(1-F93)</f>
        <v/>
      </c>
      <c r="Q93" s="63">
        <f>1-P92/INDEX($P$68:$P$150,MAX(1,A93-HU_ciYears))</f>
        <v/>
      </c>
      <c r="R93" s="60">
        <f>(1+inflationRate)^A93</f>
        <v/>
      </c>
      <c r="S93" s="29">
        <f>IF(OR(OR(A93&lt;1,A93&gt;HU_T),A93-1&gt;=HU_dtr),0,HU_inc0*(1+incomeGrowthRate)^A93)</f>
        <v/>
      </c>
      <c r="T93" s="60">
        <f>IF(A93&gt;HU_T,T92,T92*(1+INDEX(HU_ssG,HU_age+A93-17)))</f>
        <v/>
      </c>
      <c r="U93" s="29">
        <f>IF(AND(HU_dtr&gt;=1,A93=HU_dtr,A93&lt;=HU_T),MIN(S93*INDEX(HU_ssC,HU_age+A93-17)/(1-INDEX(HU_ssC,HU_age+A93-17)),INDEX(HU_ssCap,HU_age+A93-17))*T93,0)</f>
        <v/>
      </c>
      <c r="V93" s="29">
        <f>S93+U93+IF(AND(HU_wdOn,A93=HU_wdYear),HU_wdIncome,0)</f>
        <v/>
      </c>
      <c r="W93" s="60">
        <f>HU_ciProp*Q93+HU_tpdCut*L93+HU_disCut*O93</f>
        <v/>
      </c>
      <c r="X93" s="29">
        <f>IF(OR(A93&lt;1,A93&gt;HU_T),0,V93*(1-W93))</f>
        <v/>
      </c>
      <c r="Y93" s="29">
        <f>IF(OR(A93&lt;1,A93&gt;HU_T),0,IF(AND(HU_retExp&gt;0,A93-1&gt;=HU_dtr),HU_retExp,HU_exp0)*R93)</f>
        <v/>
      </c>
      <c r="Z93" s="29">
        <f>-Y93-IF(AND(HU_wdOn,A93=HU_wdYear),HU_wdOut,0)</f>
        <v/>
      </c>
      <c r="AA93" s="29">
        <f>IF(OR(A93&lt;1,A93&gt;HU_T),0,-HU_medCost*R93*F93-HU_tpdCost*R93*M93)</f>
        <v/>
      </c>
      <c r="AB93" s="29">
        <f>IF(A93&gt;HU_T,0,AB92*(1+interestRate)+X93+Z93+AA93)</f>
        <v/>
      </c>
      <c r="AC93" s="29">
        <f>IF(A93&gt;HU_T,0,HU_inv*EXP(HU_mu*A93))</f>
        <v/>
      </c>
      <c r="AD93" s="29">
        <f>IF(A93&gt;HU_T,0,MAX(0,AC93+AB93))</f>
        <v/>
      </c>
      <c r="AE93" s="29">
        <f>IF(A93&gt;HU_T,0,MAX(0,X93-Y93))</f>
        <v/>
      </c>
      <c r="AF93" s="63">
        <f>IF(AND($J$6,A93&gt;=1,A93&lt;=$Q$6-1),J93,0)</f>
        <v/>
      </c>
      <c r="AG93" s="29">
        <f>IF(OR(AF93=0,$S$6=0),0,IF((AD93+$L$6)&gt;$S$6/HU_alpha+$K$6,0.5*$S$6/HU_alpha,IF((AD93+$L$6)&gt;=$K$6,((AD93+$L$6)-$K$6)-0.5*HU_alpha/$S$6*((AD93+$L$6)-$K$6)^2,IF((AD93+$L$6)&gt;=$T$6,HU_beta*((AD93+$L$6)-$K$6),HU_beta*($T$6-$K$6)))))</f>
        <v/>
      </c>
      <c r="AH93" s="29">
        <f>IF(OR(AF93=0,$S$6=0),0,IF((AD93+$L$6+$N$6)&gt;$S$6/HU_alpha+$K$6,0.5*$S$6/HU_alpha,IF((AD93+$L$6+$N$6)&gt;=$K$6,((AD93+$L$6+$N$6)-$K$6)-0.5*HU_alpha/$S$6*((AD93+$L$6+$N$6)-$K$6)^2,IF((AD93+$L$6+$N$6)&gt;=$T$6,HU_beta*((AD93+$L$6+$N$6)-$K$6),HU_beta*($T$6-$K$6)))))</f>
        <v/>
      </c>
      <c r="AI93" s="29">
        <f>IF(OR(AF93=0,$S$6=0),0,IF((AD93+$K$6)&gt;$S$6/HU_alpha+$K$6,0.5*$S$6/HU_alpha,IF((AD93+$K$6)&gt;=$K$6,((AD93+$K$6)-$K$6)-0.5*HU_alpha/$S$6*((AD93+$K$6)-$K$6)^2,IF((AD93+$K$6)&gt;=$T$6,HU_beta*((AD93+$K$6)-$K$6),HU_beta*($T$6-$K$6)))))</f>
        <v/>
      </c>
      <c r="AJ93" s="63">
        <f>IF(AND($J$7,A93&gt;=1,A93&lt;=$Q$7-1),J93,0)</f>
        <v/>
      </c>
      <c r="AK93" s="29">
        <f>IF(OR(AJ93=0,$S$7=0),0,IF((AE93+$L$7)&gt;$S$7/HU_alpha+$K$7,0.5*$S$7/HU_alpha,IF((AE93+$L$7)&gt;=$K$7,((AE93+$L$7)-$K$7)-0.5*HU_alpha/$S$7*((AE93+$L$7)-$K$7)^2,IF((AE93+$L$7)&gt;=$T$7,HU_beta*((AE93+$L$7)-$K$7),HU_beta*($T$7-$K$7)))))</f>
        <v/>
      </c>
      <c r="AL93" s="29">
        <f>IF(OR(AJ93=0,$S$7=0),0,IF((AE93+$L$7+$N$7)&gt;$S$7/HU_alpha+$K$7,0.5*$S$7/HU_alpha,IF((AE93+$L$7+$N$7)&gt;=$K$7,((AE93+$L$7+$N$7)-$K$7)-0.5*HU_alpha/$S$7*((AE93+$L$7+$N$7)-$K$7)^2,IF((AE93+$L$7+$N$7)&gt;=$T$7,HU_beta*((AE93+$L$7+$N$7)-$K$7),HU_beta*($T$7-$K$7)))))</f>
        <v/>
      </c>
      <c r="AM93" s="29">
        <f>IF(OR(AJ93=0,$S$7=0),0,IF((AE93+$K$7)&gt;$S$7/HU_alpha+$K$7,0.5*$S$7/HU_alpha,IF((AE93+$K$7)&gt;=$K$7,((AE93+$K$7)-$K$7)-0.5*HU_alpha/$S$7*((AE93+$K$7)-$K$7)^2,IF((AE93+$K$7)&gt;=$T$7,HU_beta*((AE93+$K$7)-$K$7),HU_beta*($T$7-$K$7)))))</f>
        <v/>
      </c>
      <c r="AN93" s="63">
        <f>IF(AND($J$8,A93&gt;=1,A93&lt;=$Q$8-1),J93,0)</f>
        <v/>
      </c>
      <c r="AO93" s="29">
        <f>IF(OR(AN93=0,$S$8=0),0,IF((AE93+$L$8)&gt;$S$8/HU_alpha+$K$8,0.5*$S$8/HU_alpha,IF((AE93+$L$8)&gt;=$K$8,((AE93+$L$8)-$K$8)-0.5*HU_alpha/$S$8*((AE93+$L$8)-$K$8)^2,IF((AE93+$L$8)&gt;=$T$8,HU_beta*((AE93+$L$8)-$K$8),HU_beta*($T$8-$K$8)))))</f>
        <v/>
      </c>
      <c r="AP93" s="29">
        <f>IF(OR(AN93=0,$S$8=0),0,IF((AE93+$L$8+$N$8)&gt;$S$8/HU_alpha+$K$8,0.5*$S$8/HU_alpha,IF((AE93+$L$8+$N$8)&gt;=$K$8,((AE93+$L$8+$N$8)-$K$8)-0.5*HU_alpha/$S$8*((AE93+$L$8+$N$8)-$K$8)^2,IF((AE93+$L$8+$N$8)&gt;=$T$8,HU_beta*((AE93+$L$8+$N$8)-$K$8),HU_beta*($T$8-$K$8)))))</f>
        <v/>
      </c>
      <c r="AQ93" s="29">
        <f>IF(OR(AN93=0,$S$8=0),0,IF((AE93+$K$8)&gt;$S$8/HU_alpha+$K$8,0.5*$S$8/HU_alpha,IF((AE93+$K$8)&gt;=$K$8,((AE93+$K$8)-$K$8)-0.5*HU_alpha/$S$8*((AE93+$K$8)-$K$8)^2,IF((AE93+$K$8)&gt;=$T$8,HU_beta*((AE93+$K$8)-$K$8),HU_beta*($T$8-$K$8)))))</f>
        <v/>
      </c>
      <c r="AR93" s="63">
        <f>IF(AND($J$9,A93&gt;=1,A93&lt;=$Q$9-1),J93,0)</f>
        <v/>
      </c>
      <c r="AS93" s="29">
        <f>IF(OR(AR93=0,$S$9=0),0,IF((AE93+$L$9)&gt;$S$9/HU_alpha+$K$9,0.5*$S$9/HU_alpha,IF((AE93+$L$9)&gt;=$K$9,((AE93+$L$9)-$K$9)-0.5*HU_alpha/$S$9*((AE93+$L$9)-$K$9)^2,IF((AE93+$L$9)&gt;=$T$9,HU_beta*((AE93+$L$9)-$K$9),HU_beta*($T$9-$K$9)))))</f>
        <v/>
      </c>
      <c r="AT93" s="29">
        <f>IF(OR(AR93=0,$S$9=0),0,IF((AE93+$L$9+$N$9)&gt;$S$9/HU_alpha+$K$9,0.5*$S$9/HU_alpha,IF((AE93+$L$9+$N$9)&gt;=$K$9,((AE93+$L$9+$N$9)-$K$9)-0.5*HU_alpha/$S$9*((AE93+$L$9+$N$9)-$K$9)^2,IF((AE93+$L$9+$N$9)&gt;=$T$9,HU_beta*((AE93+$L$9+$N$9)-$K$9),HU_beta*($T$9-$K$9)))))</f>
        <v/>
      </c>
      <c r="AU93" s="29">
        <f>IF(OR(AR93=0,$S$9=0),0,IF((AE93+$K$9)&gt;$S$9/HU_alpha+$K$9,0.5*$S$9/HU_alpha,IF((AE93+$K$9)&gt;=$K$9,((AE93+$K$9)-$K$9)-0.5*HU_alpha/$S$9*((AE93+$K$9)-$K$9)^2,IF((AE93+$K$9)&gt;=$T$9,HU_beta*((AE93+$K$9)-$K$9),HU_beta*($T$9-$K$9)))))</f>
        <v/>
      </c>
      <c r="AV93" s="63">
        <f>IF(AND($J$10,A93=$Q$10),J93,0)</f>
        <v/>
      </c>
      <c r="AW93" s="29">
        <f>IF(OR(AV93=0,$S$10=0),0,IF((AD93+$L$10)&gt;$S$10/HU_alpha+$K$10,0.5*$S$10/HU_alpha,IF((AD93+$L$10)&gt;=$K$10,((AD93+$L$10)-$K$10)-0.5*HU_alpha/$S$10*((AD93+$L$10)-$K$10)^2,IF((AD93+$L$10)&gt;=$T$10,HU_beta*((AD93+$L$10)-$K$10),HU_beta*($T$10-$K$10)))))</f>
        <v/>
      </c>
      <c r="AX93" s="29">
        <f>IF(OR(AV93=0,$S$10=0),0,IF((AD93+$L$10+$N$10)&gt;$S$10/HU_alpha+$K$10,0.5*$S$10/HU_alpha,IF((AD93+$L$10+$N$10)&gt;=$K$10,((AD93+$L$10+$N$10)-$K$10)-0.5*HU_alpha/$S$10*((AD93+$L$10+$N$10)-$K$10)^2,IF((AD93+$L$10+$N$10)&gt;=$T$10,HU_beta*((AD93+$L$10+$N$10)-$K$10),HU_beta*($T$10-$K$10)))))</f>
        <v/>
      </c>
      <c r="AY93" s="29">
        <f>IF(OR(AV93=0,$S$10=0),0,IF((AD93+$K$10)&gt;$S$10/HU_alpha+$K$10,0.5*$S$10/HU_alpha,IF((AD93+$K$10)&gt;=$K$10,((AD93+$K$10)-$K$10)-0.5*HU_alpha/$S$10*((AD93+$K$10)-$K$10)^2,IF((AD93+$K$10)&gt;=$T$10,HU_beta*((AD93+$K$10)-$K$10),HU_beta*($T$10-$K$10)))))</f>
        <v/>
      </c>
      <c r="AZ93" s="63">
        <f>IF(AND($J$11,A93=$Q$11),J93,0)</f>
        <v/>
      </c>
      <c r="BA93" s="29">
        <f>IF(OR(AZ93=0,$S$11=0),0,IF((AE93+$L$11)&gt;$S$11/HU_alpha+$K$11,0.5*$S$11/HU_alpha,IF((AE93+$L$11)&gt;=$K$11,((AE93+$L$11)-$K$11)-0.5*HU_alpha/$S$11*((AE93+$L$11)-$K$11)^2,IF((AE93+$L$11)&gt;=$T$11,HU_beta*((AE93+$L$11)-$K$11),HU_beta*($T$11-$K$11)))))</f>
        <v/>
      </c>
      <c r="BB93" s="29">
        <f>IF(OR(AZ93=0,$S$11=0),0,IF((AE93+$L$11+$N$11)&gt;$S$11/HU_alpha+$K$11,0.5*$S$11/HU_alpha,IF((AE93+$L$11+$N$11)&gt;=$K$11,((AE93+$L$11+$N$11)-$K$11)-0.5*HU_alpha/$S$11*((AE93+$L$11+$N$11)-$K$11)^2,IF((AE93+$L$11+$N$11)&gt;=$T$11,HU_beta*((AE93+$L$11+$N$11)-$K$11),HU_beta*($T$11-$K$11)))))</f>
        <v/>
      </c>
      <c r="BC93" s="29">
        <f>IF(OR(AZ93=0,$S$11=0),0,IF((AE93+$K$11)&gt;$S$11/HU_alpha+$K$11,0.5*$S$11/HU_alpha,IF((AE93+$K$11)&gt;=$K$11,((AE93+$K$11)-$K$11)-0.5*HU_alpha/$S$11*((AE93+$K$11)-$K$11)^2,IF((AE93+$K$11)&gt;=$T$11,HU_beta*((AE93+$K$11)-$K$11),HU_beta*($T$11-$K$11)))))</f>
        <v/>
      </c>
      <c r="BD93" s="63">
        <f>IF(AND($J$12,A93=$Q$12),J93,0)</f>
        <v/>
      </c>
      <c r="BE93" s="29">
        <f>IF(OR(BD93=0,$S$12=0),0,IF((AE93+$L$12)&gt;$S$12/HU_alpha+$K$12,0.5*$S$12/HU_alpha,IF((AE93+$L$12)&gt;=$K$12,((AE93+$L$12)-$K$12)-0.5*HU_alpha/$S$12*((AE93+$L$12)-$K$12)^2,IF((AE93+$L$12)&gt;=$T$12,HU_beta*((AE93+$L$12)-$K$12),HU_beta*($T$12-$K$12)))))</f>
        <v/>
      </c>
      <c r="BF93" s="29">
        <f>IF(OR(BD93=0,$S$12=0),0,IF((AE93+$L$12+$N$12)&gt;$S$12/HU_alpha+$K$12,0.5*$S$12/HU_alpha,IF((AE93+$L$12+$N$12)&gt;=$K$12,((AE93+$L$12+$N$12)-$K$12)-0.5*HU_alpha/$S$12*((AE93+$L$12+$N$12)-$K$12)^2,IF((AE93+$L$12+$N$12)&gt;=$T$12,HU_beta*((AE93+$L$12+$N$12)-$K$12),HU_beta*($T$12-$K$12)))))</f>
        <v/>
      </c>
      <c r="BG93" s="29">
        <f>IF(OR(BD93=0,$S$12=0),0,IF((AE93+$K$12)&gt;$S$12/HU_alpha+$K$12,0.5*$S$12/HU_alpha,IF((AE93+$K$12)&gt;=$K$12,((AE93+$K$12)-$K$12)-0.5*HU_alpha/$S$12*((AE93+$K$12)-$K$12)^2,IF((AE93+$K$12)&gt;=$T$12,HU_beta*((AE93+$K$12)-$K$12),HU_beta*($T$12-$K$12)))))</f>
        <v/>
      </c>
      <c r="BH93" s="63">
        <f>IF(AND($J$13,A93=$Q$13),J93,0)</f>
        <v/>
      </c>
      <c r="BI93" s="29">
        <f>IF(OR(BH93=0,$S$13=0),0,IF((AE93+$L$13)&gt;$S$13/HU_alpha+$K$13,0.5*$S$13/HU_alpha,IF((AE93+$L$13)&gt;=$K$13,((AE93+$L$13)-$K$13)-0.5*HU_alpha/$S$13*((AE93+$L$13)-$K$13)^2,IF((AE93+$L$13)&gt;=$T$13,HU_beta*((AE93+$L$13)-$K$13),HU_beta*($T$13-$K$13)))))</f>
        <v/>
      </c>
      <c r="BJ93" s="29">
        <f>IF(OR(BH93=0,$S$13=0),0,IF((AE93+$L$13+$N$13)&gt;$S$13/HU_alpha+$K$13,0.5*$S$13/HU_alpha,IF((AE93+$L$13+$N$13)&gt;=$K$13,((AE93+$L$13+$N$13)-$K$13)-0.5*HU_alpha/$S$13*((AE93+$L$13+$N$13)-$K$13)^2,IF((AE93+$L$13+$N$13)&gt;=$T$13,HU_beta*((AE93+$L$13+$N$13)-$K$13),HU_beta*($T$13-$K$13)))))</f>
        <v/>
      </c>
      <c r="BK93" s="29">
        <f>IF(OR(BH93=0,$S$13=0),0,IF((AE93+$K$13)&gt;$S$13/HU_alpha+$K$13,0.5*$S$13/HU_alpha,IF((AE93+$K$13)&gt;=$K$13,((AE93+$K$13)-$K$13)-0.5*HU_alpha/$S$13*((AE93+$K$13)-$K$13)^2,IF((AE93+$K$13)&gt;=$T$13,HU_beta*((AE93+$K$13)-$K$13),HU_beta*($T$13-$K$13)))))</f>
        <v/>
      </c>
    </row>
    <row r="94">
      <c r="A94" s="61" t="n">
        <v>26</v>
      </c>
      <c r="B94" s="61">
        <f>HU_age+A94</f>
        <v/>
      </c>
      <c r="C94" s="52">
        <f>A94&lt;=HU_T</f>
        <v/>
      </c>
      <c r="D94" s="63">
        <f>IF(OR(A94&lt;1,A94&gt;HU_T),0,INDEX(HU_q_mort,HU_age+A94-17,HU_col))</f>
        <v/>
      </c>
      <c r="E94" s="63">
        <f>IF(OR(A94&lt;1,A94&gt;HU_T),0,INDEX(HU_q_adb,HU_age+A94-17,HU_col))</f>
        <v/>
      </c>
      <c r="F94" s="63">
        <f>IF(OR(A94&lt;1,A94&gt;HU_T),0,INDEX(HU_q_morb,HU_age+A94-17,HU_col))</f>
        <v/>
      </c>
      <c r="G94" s="63">
        <f>IF(OR(A94&lt;1,A94&gt;HU_T),0,INDEX(HU_q_ptd,HU_age+A94-17,HU_col))</f>
        <v/>
      </c>
      <c r="H94" s="63">
        <f>IF(OR(A94&lt;1,A94&gt;HU_T),0,INDEX(HU_q_dis,HU_age+A94-17,HU_col))</f>
        <v/>
      </c>
      <c r="I94" s="63">
        <f>IF(A94&gt;HU_T,0,I93*(1-D94)*(1-E94))</f>
        <v/>
      </c>
      <c r="J94" s="63">
        <f>IF(A94&gt;=HU_T,0,N(I95))</f>
        <v/>
      </c>
      <c r="K94" s="63">
        <f>K93*(1-G94)</f>
        <v/>
      </c>
      <c r="L94" s="63">
        <f>1-K94</f>
        <v/>
      </c>
      <c r="M94" s="63">
        <f>K93*G94</f>
        <v/>
      </c>
      <c r="N94" s="63">
        <f>N93*(1-H94)</f>
        <v/>
      </c>
      <c r="O94" s="63">
        <f>1-N93</f>
        <v/>
      </c>
      <c r="P94" s="63">
        <f>P93*(1-F94)</f>
        <v/>
      </c>
      <c r="Q94" s="63">
        <f>1-P93/INDEX($P$68:$P$150,MAX(1,A94-HU_ciYears))</f>
        <v/>
      </c>
      <c r="R94" s="60">
        <f>(1+inflationRate)^A94</f>
        <v/>
      </c>
      <c r="S94" s="29">
        <f>IF(OR(OR(A94&lt;1,A94&gt;HU_T),A94-1&gt;=HU_dtr),0,HU_inc0*(1+incomeGrowthRate)^A94)</f>
        <v/>
      </c>
      <c r="T94" s="60">
        <f>IF(A94&gt;HU_T,T93,T93*(1+INDEX(HU_ssG,HU_age+A94-17)))</f>
        <v/>
      </c>
      <c r="U94" s="29">
        <f>IF(AND(HU_dtr&gt;=1,A94=HU_dtr,A94&lt;=HU_T),MIN(S94*INDEX(HU_ssC,HU_age+A94-17)/(1-INDEX(HU_ssC,HU_age+A94-17)),INDEX(HU_ssCap,HU_age+A94-17))*T94,0)</f>
        <v/>
      </c>
      <c r="V94" s="29">
        <f>S94+U94+IF(AND(HU_wdOn,A94=HU_wdYear),HU_wdIncome,0)</f>
        <v/>
      </c>
      <c r="W94" s="60">
        <f>HU_ciProp*Q94+HU_tpdCut*L94+HU_disCut*O94</f>
        <v/>
      </c>
      <c r="X94" s="29">
        <f>IF(OR(A94&lt;1,A94&gt;HU_T),0,V94*(1-W94))</f>
        <v/>
      </c>
      <c r="Y94" s="29">
        <f>IF(OR(A94&lt;1,A94&gt;HU_T),0,IF(AND(HU_retExp&gt;0,A94-1&gt;=HU_dtr),HU_retExp,HU_exp0)*R94)</f>
        <v/>
      </c>
      <c r="Z94" s="29">
        <f>-Y94-IF(AND(HU_wdOn,A94=HU_wdYear),HU_wdOut,0)</f>
        <v/>
      </c>
      <c r="AA94" s="29">
        <f>IF(OR(A94&lt;1,A94&gt;HU_T),0,-HU_medCost*R94*F94-HU_tpdCost*R94*M94)</f>
        <v/>
      </c>
      <c r="AB94" s="29">
        <f>IF(A94&gt;HU_T,0,AB93*(1+interestRate)+X94+Z94+AA94)</f>
        <v/>
      </c>
      <c r="AC94" s="29">
        <f>IF(A94&gt;HU_T,0,HU_inv*EXP(HU_mu*A94))</f>
        <v/>
      </c>
      <c r="AD94" s="29">
        <f>IF(A94&gt;HU_T,0,MAX(0,AC94+AB94))</f>
        <v/>
      </c>
      <c r="AE94" s="29">
        <f>IF(A94&gt;HU_T,0,MAX(0,X94-Y94))</f>
        <v/>
      </c>
      <c r="AF94" s="63">
        <f>IF(AND($J$6,A94&gt;=1,A94&lt;=$Q$6-1),J94,0)</f>
        <v/>
      </c>
      <c r="AG94" s="29">
        <f>IF(OR(AF94=0,$S$6=0),0,IF((AD94+$L$6)&gt;$S$6/HU_alpha+$K$6,0.5*$S$6/HU_alpha,IF((AD94+$L$6)&gt;=$K$6,((AD94+$L$6)-$K$6)-0.5*HU_alpha/$S$6*((AD94+$L$6)-$K$6)^2,IF((AD94+$L$6)&gt;=$T$6,HU_beta*((AD94+$L$6)-$K$6),HU_beta*($T$6-$K$6)))))</f>
        <v/>
      </c>
      <c r="AH94" s="29">
        <f>IF(OR(AF94=0,$S$6=0),0,IF((AD94+$L$6+$N$6)&gt;$S$6/HU_alpha+$K$6,0.5*$S$6/HU_alpha,IF((AD94+$L$6+$N$6)&gt;=$K$6,((AD94+$L$6+$N$6)-$K$6)-0.5*HU_alpha/$S$6*((AD94+$L$6+$N$6)-$K$6)^2,IF((AD94+$L$6+$N$6)&gt;=$T$6,HU_beta*((AD94+$L$6+$N$6)-$K$6),HU_beta*($T$6-$K$6)))))</f>
        <v/>
      </c>
      <c r="AI94" s="29">
        <f>IF(OR(AF94=0,$S$6=0),0,IF((AD94+$K$6)&gt;$S$6/HU_alpha+$K$6,0.5*$S$6/HU_alpha,IF((AD94+$K$6)&gt;=$K$6,((AD94+$K$6)-$K$6)-0.5*HU_alpha/$S$6*((AD94+$K$6)-$K$6)^2,IF((AD94+$K$6)&gt;=$T$6,HU_beta*((AD94+$K$6)-$K$6),HU_beta*($T$6-$K$6)))))</f>
        <v/>
      </c>
      <c r="AJ94" s="63">
        <f>IF(AND($J$7,A94&gt;=1,A94&lt;=$Q$7-1),J94,0)</f>
        <v/>
      </c>
      <c r="AK94" s="29">
        <f>IF(OR(AJ94=0,$S$7=0),0,IF((AE94+$L$7)&gt;$S$7/HU_alpha+$K$7,0.5*$S$7/HU_alpha,IF((AE94+$L$7)&gt;=$K$7,((AE94+$L$7)-$K$7)-0.5*HU_alpha/$S$7*((AE94+$L$7)-$K$7)^2,IF((AE94+$L$7)&gt;=$T$7,HU_beta*((AE94+$L$7)-$K$7),HU_beta*($T$7-$K$7)))))</f>
        <v/>
      </c>
      <c r="AL94" s="29">
        <f>IF(OR(AJ94=0,$S$7=0),0,IF((AE94+$L$7+$N$7)&gt;$S$7/HU_alpha+$K$7,0.5*$S$7/HU_alpha,IF((AE94+$L$7+$N$7)&gt;=$K$7,((AE94+$L$7+$N$7)-$K$7)-0.5*HU_alpha/$S$7*((AE94+$L$7+$N$7)-$K$7)^2,IF((AE94+$L$7+$N$7)&gt;=$T$7,HU_beta*((AE94+$L$7+$N$7)-$K$7),HU_beta*($T$7-$K$7)))))</f>
        <v/>
      </c>
      <c r="AM94" s="29">
        <f>IF(OR(AJ94=0,$S$7=0),0,IF((AE94+$K$7)&gt;$S$7/HU_alpha+$K$7,0.5*$S$7/HU_alpha,IF((AE94+$K$7)&gt;=$K$7,((AE94+$K$7)-$K$7)-0.5*HU_alpha/$S$7*((AE94+$K$7)-$K$7)^2,IF((AE94+$K$7)&gt;=$T$7,HU_beta*((AE94+$K$7)-$K$7),HU_beta*($T$7-$K$7)))))</f>
        <v/>
      </c>
      <c r="AN94" s="63">
        <f>IF(AND($J$8,A94&gt;=1,A94&lt;=$Q$8-1),J94,0)</f>
        <v/>
      </c>
      <c r="AO94" s="29">
        <f>IF(OR(AN94=0,$S$8=0),0,IF((AE94+$L$8)&gt;$S$8/HU_alpha+$K$8,0.5*$S$8/HU_alpha,IF((AE94+$L$8)&gt;=$K$8,((AE94+$L$8)-$K$8)-0.5*HU_alpha/$S$8*((AE94+$L$8)-$K$8)^2,IF((AE94+$L$8)&gt;=$T$8,HU_beta*((AE94+$L$8)-$K$8),HU_beta*($T$8-$K$8)))))</f>
        <v/>
      </c>
      <c r="AP94" s="29">
        <f>IF(OR(AN94=0,$S$8=0),0,IF((AE94+$L$8+$N$8)&gt;$S$8/HU_alpha+$K$8,0.5*$S$8/HU_alpha,IF((AE94+$L$8+$N$8)&gt;=$K$8,((AE94+$L$8+$N$8)-$K$8)-0.5*HU_alpha/$S$8*((AE94+$L$8+$N$8)-$K$8)^2,IF((AE94+$L$8+$N$8)&gt;=$T$8,HU_beta*((AE94+$L$8+$N$8)-$K$8),HU_beta*($T$8-$K$8)))))</f>
        <v/>
      </c>
      <c r="AQ94" s="29">
        <f>IF(OR(AN94=0,$S$8=0),0,IF((AE94+$K$8)&gt;$S$8/HU_alpha+$K$8,0.5*$S$8/HU_alpha,IF((AE94+$K$8)&gt;=$K$8,((AE94+$K$8)-$K$8)-0.5*HU_alpha/$S$8*((AE94+$K$8)-$K$8)^2,IF((AE94+$K$8)&gt;=$T$8,HU_beta*((AE94+$K$8)-$K$8),HU_beta*($T$8-$K$8)))))</f>
        <v/>
      </c>
      <c r="AR94" s="63">
        <f>IF(AND($J$9,A94&gt;=1,A94&lt;=$Q$9-1),J94,0)</f>
        <v/>
      </c>
      <c r="AS94" s="29">
        <f>IF(OR(AR94=0,$S$9=0),0,IF((AE94+$L$9)&gt;$S$9/HU_alpha+$K$9,0.5*$S$9/HU_alpha,IF((AE94+$L$9)&gt;=$K$9,((AE94+$L$9)-$K$9)-0.5*HU_alpha/$S$9*((AE94+$L$9)-$K$9)^2,IF((AE94+$L$9)&gt;=$T$9,HU_beta*((AE94+$L$9)-$K$9),HU_beta*($T$9-$K$9)))))</f>
        <v/>
      </c>
      <c r="AT94" s="29">
        <f>IF(OR(AR94=0,$S$9=0),0,IF((AE94+$L$9+$N$9)&gt;$S$9/HU_alpha+$K$9,0.5*$S$9/HU_alpha,IF((AE94+$L$9+$N$9)&gt;=$K$9,((AE94+$L$9+$N$9)-$K$9)-0.5*HU_alpha/$S$9*((AE94+$L$9+$N$9)-$K$9)^2,IF((AE94+$L$9+$N$9)&gt;=$T$9,HU_beta*((AE94+$L$9+$N$9)-$K$9),HU_beta*($T$9-$K$9)))))</f>
        <v/>
      </c>
      <c r="AU94" s="29">
        <f>IF(OR(AR94=0,$S$9=0),0,IF((AE94+$K$9)&gt;$S$9/HU_alpha+$K$9,0.5*$S$9/HU_alpha,IF((AE94+$K$9)&gt;=$K$9,((AE94+$K$9)-$K$9)-0.5*HU_alpha/$S$9*((AE94+$K$9)-$K$9)^2,IF((AE94+$K$9)&gt;=$T$9,HU_beta*((AE94+$K$9)-$K$9),HU_beta*($T$9-$K$9)))))</f>
        <v/>
      </c>
      <c r="AV94" s="63">
        <f>IF(AND($J$10,A94=$Q$10),J94,0)</f>
        <v/>
      </c>
      <c r="AW94" s="29">
        <f>IF(OR(AV94=0,$S$10=0),0,IF((AD94+$L$10)&gt;$S$10/HU_alpha+$K$10,0.5*$S$10/HU_alpha,IF((AD94+$L$10)&gt;=$K$10,((AD94+$L$10)-$K$10)-0.5*HU_alpha/$S$10*((AD94+$L$10)-$K$10)^2,IF((AD94+$L$10)&gt;=$T$10,HU_beta*((AD94+$L$10)-$K$10),HU_beta*($T$10-$K$10)))))</f>
        <v/>
      </c>
      <c r="AX94" s="29">
        <f>IF(OR(AV94=0,$S$10=0),0,IF((AD94+$L$10+$N$10)&gt;$S$10/HU_alpha+$K$10,0.5*$S$10/HU_alpha,IF((AD94+$L$10+$N$10)&gt;=$K$10,((AD94+$L$10+$N$10)-$K$10)-0.5*HU_alpha/$S$10*((AD94+$L$10+$N$10)-$K$10)^2,IF((AD94+$L$10+$N$10)&gt;=$T$10,HU_beta*((AD94+$L$10+$N$10)-$K$10),HU_beta*($T$10-$K$10)))))</f>
        <v/>
      </c>
      <c r="AY94" s="29">
        <f>IF(OR(AV94=0,$S$10=0),0,IF((AD94+$K$10)&gt;$S$10/HU_alpha+$K$10,0.5*$S$10/HU_alpha,IF((AD94+$K$10)&gt;=$K$10,((AD94+$K$10)-$K$10)-0.5*HU_alpha/$S$10*((AD94+$K$10)-$K$10)^2,IF((AD94+$K$10)&gt;=$T$10,HU_beta*((AD94+$K$10)-$K$10),HU_beta*($T$10-$K$10)))))</f>
        <v/>
      </c>
      <c r="AZ94" s="63">
        <f>IF(AND($J$11,A94=$Q$11),J94,0)</f>
        <v/>
      </c>
      <c r="BA94" s="29">
        <f>IF(OR(AZ94=0,$S$11=0),0,IF((AE94+$L$11)&gt;$S$11/HU_alpha+$K$11,0.5*$S$11/HU_alpha,IF((AE94+$L$11)&gt;=$K$11,((AE94+$L$11)-$K$11)-0.5*HU_alpha/$S$11*((AE94+$L$11)-$K$11)^2,IF((AE94+$L$11)&gt;=$T$11,HU_beta*((AE94+$L$11)-$K$11),HU_beta*($T$11-$K$11)))))</f>
        <v/>
      </c>
      <c r="BB94" s="29">
        <f>IF(OR(AZ94=0,$S$11=0),0,IF((AE94+$L$11+$N$11)&gt;$S$11/HU_alpha+$K$11,0.5*$S$11/HU_alpha,IF((AE94+$L$11+$N$11)&gt;=$K$11,((AE94+$L$11+$N$11)-$K$11)-0.5*HU_alpha/$S$11*((AE94+$L$11+$N$11)-$K$11)^2,IF((AE94+$L$11+$N$11)&gt;=$T$11,HU_beta*((AE94+$L$11+$N$11)-$K$11),HU_beta*($T$11-$K$11)))))</f>
        <v/>
      </c>
      <c r="BC94" s="29">
        <f>IF(OR(AZ94=0,$S$11=0),0,IF((AE94+$K$11)&gt;$S$11/HU_alpha+$K$11,0.5*$S$11/HU_alpha,IF((AE94+$K$11)&gt;=$K$11,((AE94+$K$11)-$K$11)-0.5*HU_alpha/$S$11*((AE94+$K$11)-$K$11)^2,IF((AE94+$K$11)&gt;=$T$11,HU_beta*((AE94+$K$11)-$K$11),HU_beta*($T$11-$K$11)))))</f>
        <v/>
      </c>
      <c r="BD94" s="63">
        <f>IF(AND($J$12,A94=$Q$12),J94,0)</f>
        <v/>
      </c>
      <c r="BE94" s="29">
        <f>IF(OR(BD94=0,$S$12=0),0,IF((AE94+$L$12)&gt;$S$12/HU_alpha+$K$12,0.5*$S$12/HU_alpha,IF((AE94+$L$12)&gt;=$K$12,((AE94+$L$12)-$K$12)-0.5*HU_alpha/$S$12*((AE94+$L$12)-$K$12)^2,IF((AE94+$L$12)&gt;=$T$12,HU_beta*((AE94+$L$12)-$K$12),HU_beta*($T$12-$K$12)))))</f>
        <v/>
      </c>
      <c r="BF94" s="29">
        <f>IF(OR(BD94=0,$S$12=0),0,IF((AE94+$L$12+$N$12)&gt;$S$12/HU_alpha+$K$12,0.5*$S$12/HU_alpha,IF((AE94+$L$12+$N$12)&gt;=$K$12,((AE94+$L$12+$N$12)-$K$12)-0.5*HU_alpha/$S$12*((AE94+$L$12+$N$12)-$K$12)^2,IF((AE94+$L$12+$N$12)&gt;=$T$12,HU_beta*((AE94+$L$12+$N$12)-$K$12),HU_beta*($T$12-$K$12)))))</f>
        <v/>
      </c>
      <c r="BG94" s="29">
        <f>IF(OR(BD94=0,$S$12=0),0,IF((AE94+$K$12)&gt;$S$12/HU_alpha+$K$12,0.5*$S$12/HU_alpha,IF((AE94+$K$12)&gt;=$K$12,((AE94+$K$12)-$K$12)-0.5*HU_alpha/$S$12*((AE94+$K$12)-$K$12)^2,IF((AE94+$K$12)&gt;=$T$12,HU_beta*((AE94+$K$12)-$K$12),HU_beta*($T$12-$K$12)))))</f>
        <v/>
      </c>
      <c r="BH94" s="63">
        <f>IF(AND($J$13,A94=$Q$13),J94,0)</f>
        <v/>
      </c>
      <c r="BI94" s="29">
        <f>IF(OR(BH94=0,$S$13=0),0,IF((AE94+$L$13)&gt;$S$13/HU_alpha+$K$13,0.5*$S$13/HU_alpha,IF((AE94+$L$13)&gt;=$K$13,((AE94+$L$13)-$K$13)-0.5*HU_alpha/$S$13*((AE94+$L$13)-$K$13)^2,IF((AE94+$L$13)&gt;=$T$13,HU_beta*((AE94+$L$13)-$K$13),HU_beta*($T$13-$K$13)))))</f>
        <v/>
      </c>
      <c r="BJ94" s="29">
        <f>IF(OR(BH94=0,$S$13=0),0,IF((AE94+$L$13+$N$13)&gt;$S$13/HU_alpha+$K$13,0.5*$S$13/HU_alpha,IF((AE94+$L$13+$N$13)&gt;=$K$13,((AE94+$L$13+$N$13)-$K$13)-0.5*HU_alpha/$S$13*((AE94+$L$13+$N$13)-$K$13)^2,IF((AE94+$L$13+$N$13)&gt;=$T$13,HU_beta*((AE94+$L$13+$N$13)-$K$13),HU_beta*($T$13-$K$13)))))</f>
        <v/>
      </c>
      <c r="BK94" s="29">
        <f>IF(OR(BH94=0,$S$13=0),0,IF((AE94+$K$13)&gt;$S$13/HU_alpha+$K$13,0.5*$S$13/HU_alpha,IF((AE94+$K$13)&gt;=$K$13,((AE94+$K$13)-$K$13)-0.5*HU_alpha/$S$13*((AE94+$K$13)-$K$13)^2,IF((AE94+$K$13)&gt;=$T$13,HU_beta*((AE94+$K$13)-$K$13),HU_beta*($T$13-$K$13)))))</f>
        <v/>
      </c>
    </row>
    <row r="95">
      <c r="A95" s="61" t="n">
        <v>27</v>
      </c>
      <c r="B95" s="61">
        <f>HU_age+A95</f>
        <v/>
      </c>
      <c r="C95" s="52">
        <f>A95&lt;=HU_T</f>
        <v/>
      </c>
      <c r="D95" s="63">
        <f>IF(OR(A95&lt;1,A95&gt;HU_T),0,INDEX(HU_q_mort,HU_age+A95-17,HU_col))</f>
        <v/>
      </c>
      <c r="E95" s="63">
        <f>IF(OR(A95&lt;1,A95&gt;HU_T),0,INDEX(HU_q_adb,HU_age+A95-17,HU_col))</f>
        <v/>
      </c>
      <c r="F95" s="63">
        <f>IF(OR(A95&lt;1,A95&gt;HU_T),0,INDEX(HU_q_morb,HU_age+A95-17,HU_col))</f>
        <v/>
      </c>
      <c r="G95" s="63">
        <f>IF(OR(A95&lt;1,A95&gt;HU_T),0,INDEX(HU_q_ptd,HU_age+A95-17,HU_col))</f>
        <v/>
      </c>
      <c r="H95" s="63">
        <f>IF(OR(A95&lt;1,A95&gt;HU_T),0,INDEX(HU_q_dis,HU_age+A95-17,HU_col))</f>
        <v/>
      </c>
      <c r="I95" s="63">
        <f>IF(A95&gt;HU_T,0,I94*(1-D95)*(1-E95))</f>
        <v/>
      </c>
      <c r="J95" s="63">
        <f>IF(A95&gt;=HU_T,0,N(I96))</f>
        <v/>
      </c>
      <c r="K95" s="63">
        <f>K94*(1-G95)</f>
        <v/>
      </c>
      <c r="L95" s="63">
        <f>1-K95</f>
        <v/>
      </c>
      <c r="M95" s="63">
        <f>K94*G95</f>
        <v/>
      </c>
      <c r="N95" s="63">
        <f>N94*(1-H95)</f>
        <v/>
      </c>
      <c r="O95" s="63">
        <f>1-N94</f>
        <v/>
      </c>
      <c r="P95" s="63">
        <f>P94*(1-F95)</f>
        <v/>
      </c>
      <c r="Q95" s="63">
        <f>1-P94/INDEX($P$68:$P$150,MAX(1,A95-HU_ciYears))</f>
        <v/>
      </c>
      <c r="R95" s="60">
        <f>(1+inflationRate)^A95</f>
        <v/>
      </c>
      <c r="S95" s="29">
        <f>IF(OR(OR(A95&lt;1,A95&gt;HU_T),A95-1&gt;=HU_dtr),0,HU_inc0*(1+incomeGrowthRate)^A95)</f>
        <v/>
      </c>
      <c r="T95" s="60">
        <f>IF(A95&gt;HU_T,T94,T94*(1+INDEX(HU_ssG,HU_age+A95-17)))</f>
        <v/>
      </c>
      <c r="U95" s="29">
        <f>IF(AND(HU_dtr&gt;=1,A95=HU_dtr,A95&lt;=HU_T),MIN(S95*INDEX(HU_ssC,HU_age+A95-17)/(1-INDEX(HU_ssC,HU_age+A95-17)),INDEX(HU_ssCap,HU_age+A95-17))*T95,0)</f>
        <v/>
      </c>
      <c r="V95" s="29">
        <f>S95+U95+IF(AND(HU_wdOn,A95=HU_wdYear),HU_wdIncome,0)</f>
        <v/>
      </c>
      <c r="W95" s="60">
        <f>HU_ciProp*Q95+HU_tpdCut*L95+HU_disCut*O95</f>
        <v/>
      </c>
      <c r="X95" s="29">
        <f>IF(OR(A95&lt;1,A95&gt;HU_T),0,V95*(1-W95))</f>
        <v/>
      </c>
      <c r="Y95" s="29">
        <f>IF(OR(A95&lt;1,A95&gt;HU_T),0,IF(AND(HU_retExp&gt;0,A95-1&gt;=HU_dtr),HU_retExp,HU_exp0)*R95)</f>
        <v/>
      </c>
      <c r="Z95" s="29">
        <f>-Y95-IF(AND(HU_wdOn,A95=HU_wdYear),HU_wdOut,0)</f>
        <v/>
      </c>
      <c r="AA95" s="29">
        <f>IF(OR(A95&lt;1,A95&gt;HU_T),0,-HU_medCost*R95*F95-HU_tpdCost*R95*M95)</f>
        <v/>
      </c>
      <c r="AB95" s="29">
        <f>IF(A95&gt;HU_T,0,AB94*(1+interestRate)+X95+Z95+AA95)</f>
        <v/>
      </c>
      <c r="AC95" s="29">
        <f>IF(A95&gt;HU_T,0,HU_inv*EXP(HU_mu*A95))</f>
        <v/>
      </c>
      <c r="AD95" s="29">
        <f>IF(A95&gt;HU_T,0,MAX(0,AC95+AB95))</f>
        <v/>
      </c>
      <c r="AE95" s="29">
        <f>IF(A95&gt;HU_T,0,MAX(0,X95-Y95))</f>
        <v/>
      </c>
      <c r="AF95" s="63">
        <f>IF(AND($J$6,A95&gt;=1,A95&lt;=$Q$6-1),J95,0)</f>
        <v/>
      </c>
      <c r="AG95" s="29">
        <f>IF(OR(AF95=0,$S$6=0),0,IF((AD95+$L$6)&gt;$S$6/HU_alpha+$K$6,0.5*$S$6/HU_alpha,IF((AD95+$L$6)&gt;=$K$6,((AD95+$L$6)-$K$6)-0.5*HU_alpha/$S$6*((AD95+$L$6)-$K$6)^2,IF((AD95+$L$6)&gt;=$T$6,HU_beta*((AD95+$L$6)-$K$6),HU_beta*($T$6-$K$6)))))</f>
        <v/>
      </c>
      <c r="AH95" s="29">
        <f>IF(OR(AF95=0,$S$6=0),0,IF((AD95+$L$6+$N$6)&gt;$S$6/HU_alpha+$K$6,0.5*$S$6/HU_alpha,IF((AD95+$L$6+$N$6)&gt;=$K$6,((AD95+$L$6+$N$6)-$K$6)-0.5*HU_alpha/$S$6*((AD95+$L$6+$N$6)-$K$6)^2,IF((AD95+$L$6+$N$6)&gt;=$T$6,HU_beta*((AD95+$L$6+$N$6)-$K$6),HU_beta*($T$6-$K$6)))))</f>
        <v/>
      </c>
      <c r="AI95" s="29">
        <f>IF(OR(AF95=0,$S$6=0),0,IF((AD95+$K$6)&gt;$S$6/HU_alpha+$K$6,0.5*$S$6/HU_alpha,IF((AD95+$K$6)&gt;=$K$6,((AD95+$K$6)-$K$6)-0.5*HU_alpha/$S$6*((AD95+$K$6)-$K$6)^2,IF((AD95+$K$6)&gt;=$T$6,HU_beta*((AD95+$K$6)-$K$6),HU_beta*($T$6-$K$6)))))</f>
        <v/>
      </c>
      <c r="AJ95" s="63">
        <f>IF(AND($J$7,A95&gt;=1,A95&lt;=$Q$7-1),J95,0)</f>
        <v/>
      </c>
      <c r="AK95" s="29">
        <f>IF(OR(AJ95=0,$S$7=0),0,IF((AE95+$L$7)&gt;$S$7/HU_alpha+$K$7,0.5*$S$7/HU_alpha,IF((AE95+$L$7)&gt;=$K$7,((AE95+$L$7)-$K$7)-0.5*HU_alpha/$S$7*((AE95+$L$7)-$K$7)^2,IF((AE95+$L$7)&gt;=$T$7,HU_beta*((AE95+$L$7)-$K$7),HU_beta*($T$7-$K$7)))))</f>
        <v/>
      </c>
      <c r="AL95" s="29">
        <f>IF(OR(AJ95=0,$S$7=0),0,IF((AE95+$L$7+$N$7)&gt;$S$7/HU_alpha+$K$7,0.5*$S$7/HU_alpha,IF((AE95+$L$7+$N$7)&gt;=$K$7,((AE95+$L$7+$N$7)-$K$7)-0.5*HU_alpha/$S$7*((AE95+$L$7+$N$7)-$K$7)^2,IF((AE95+$L$7+$N$7)&gt;=$T$7,HU_beta*((AE95+$L$7+$N$7)-$K$7),HU_beta*($T$7-$K$7)))))</f>
        <v/>
      </c>
      <c r="AM95" s="29">
        <f>IF(OR(AJ95=0,$S$7=0),0,IF((AE95+$K$7)&gt;$S$7/HU_alpha+$K$7,0.5*$S$7/HU_alpha,IF((AE95+$K$7)&gt;=$K$7,((AE95+$K$7)-$K$7)-0.5*HU_alpha/$S$7*((AE95+$K$7)-$K$7)^2,IF((AE95+$K$7)&gt;=$T$7,HU_beta*((AE95+$K$7)-$K$7),HU_beta*($T$7-$K$7)))))</f>
        <v/>
      </c>
      <c r="AN95" s="63">
        <f>IF(AND($J$8,A95&gt;=1,A95&lt;=$Q$8-1),J95,0)</f>
        <v/>
      </c>
      <c r="AO95" s="29">
        <f>IF(OR(AN95=0,$S$8=0),0,IF((AE95+$L$8)&gt;$S$8/HU_alpha+$K$8,0.5*$S$8/HU_alpha,IF((AE95+$L$8)&gt;=$K$8,((AE95+$L$8)-$K$8)-0.5*HU_alpha/$S$8*((AE95+$L$8)-$K$8)^2,IF((AE95+$L$8)&gt;=$T$8,HU_beta*((AE95+$L$8)-$K$8),HU_beta*($T$8-$K$8)))))</f>
        <v/>
      </c>
      <c r="AP95" s="29">
        <f>IF(OR(AN95=0,$S$8=0),0,IF((AE95+$L$8+$N$8)&gt;$S$8/HU_alpha+$K$8,0.5*$S$8/HU_alpha,IF((AE95+$L$8+$N$8)&gt;=$K$8,((AE95+$L$8+$N$8)-$K$8)-0.5*HU_alpha/$S$8*((AE95+$L$8+$N$8)-$K$8)^2,IF((AE95+$L$8+$N$8)&gt;=$T$8,HU_beta*((AE95+$L$8+$N$8)-$K$8),HU_beta*($T$8-$K$8)))))</f>
        <v/>
      </c>
      <c r="AQ95" s="29">
        <f>IF(OR(AN95=0,$S$8=0),0,IF((AE95+$K$8)&gt;$S$8/HU_alpha+$K$8,0.5*$S$8/HU_alpha,IF((AE95+$K$8)&gt;=$K$8,((AE95+$K$8)-$K$8)-0.5*HU_alpha/$S$8*((AE95+$K$8)-$K$8)^2,IF((AE95+$K$8)&gt;=$T$8,HU_beta*((AE95+$K$8)-$K$8),HU_beta*($T$8-$K$8)))))</f>
        <v/>
      </c>
      <c r="AR95" s="63">
        <f>IF(AND($J$9,A95&gt;=1,A95&lt;=$Q$9-1),J95,0)</f>
        <v/>
      </c>
      <c r="AS95" s="29">
        <f>IF(OR(AR95=0,$S$9=0),0,IF((AE95+$L$9)&gt;$S$9/HU_alpha+$K$9,0.5*$S$9/HU_alpha,IF((AE95+$L$9)&gt;=$K$9,((AE95+$L$9)-$K$9)-0.5*HU_alpha/$S$9*((AE95+$L$9)-$K$9)^2,IF((AE95+$L$9)&gt;=$T$9,HU_beta*((AE95+$L$9)-$K$9),HU_beta*($T$9-$K$9)))))</f>
        <v/>
      </c>
      <c r="AT95" s="29">
        <f>IF(OR(AR95=0,$S$9=0),0,IF((AE95+$L$9+$N$9)&gt;$S$9/HU_alpha+$K$9,0.5*$S$9/HU_alpha,IF((AE95+$L$9+$N$9)&gt;=$K$9,((AE95+$L$9+$N$9)-$K$9)-0.5*HU_alpha/$S$9*((AE95+$L$9+$N$9)-$K$9)^2,IF((AE95+$L$9+$N$9)&gt;=$T$9,HU_beta*((AE95+$L$9+$N$9)-$K$9),HU_beta*($T$9-$K$9)))))</f>
        <v/>
      </c>
      <c r="AU95" s="29">
        <f>IF(OR(AR95=0,$S$9=0),0,IF((AE95+$K$9)&gt;$S$9/HU_alpha+$K$9,0.5*$S$9/HU_alpha,IF((AE95+$K$9)&gt;=$K$9,((AE95+$K$9)-$K$9)-0.5*HU_alpha/$S$9*((AE95+$K$9)-$K$9)^2,IF((AE95+$K$9)&gt;=$T$9,HU_beta*((AE95+$K$9)-$K$9),HU_beta*($T$9-$K$9)))))</f>
        <v/>
      </c>
      <c r="AV95" s="63">
        <f>IF(AND($J$10,A95=$Q$10),J95,0)</f>
        <v/>
      </c>
      <c r="AW95" s="29">
        <f>IF(OR(AV95=0,$S$10=0),0,IF((AD95+$L$10)&gt;$S$10/HU_alpha+$K$10,0.5*$S$10/HU_alpha,IF((AD95+$L$10)&gt;=$K$10,((AD95+$L$10)-$K$10)-0.5*HU_alpha/$S$10*((AD95+$L$10)-$K$10)^2,IF((AD95+$L$10)&gt;=$T$10,HU_beta*((AD95+$L$10)-$K$10),HU_beta*($T$10-$K$10)))))</f>
        <v/>
      </c>
      <c r="AX95" s="29">
        <f>IF(OR(AV95=0,$S$10=0),0,IF((AD95+$L$10+$N$10)&gt;$S$10/HU_alpha+$K$10,0.5*$S$10/HU_alpha,IF((AD95+$L$10+$N$10)&gt;=$K$10,((AD95+$L$10+$N$10)-$K$10)-0.5*HU_alpha/$S$10*((AD95+$L$10+$N$10)-$K$10)^2,IF((AD95+$L$10+$N$10)&gt;=$T$10,HU_beta*((AD95+$L$10+$N$10)-$K$10),HU_beta*($T$10-$K$10)))))</f>
        <v/>
      </c>
      <c r="AY95" s="29">
        <f>IF(OR(AV95=0,$S$10=0),0,IF((AD95+$K$10)&gt;$S$10/HU_alpha+$K$10,0.5*$S$10/HU_alpha,IF((AD95+$K$10)&gt;=$K$10,((AD95+$K$10)-$K$10)-0.5*HU_alpha/$S$10*((AD95+$K$10)-$K$10)^2,IF((AD95+$K$10)&gt;=$T$10,HU_beta*((AD95+$K$10)-$K$10),HU_beta*($T$10-$K$10)))))</f>
        <v/>
      </c>
      <c r="AZ95" s="63">
        <f>IF(AND($J$11,A95=$Q$11),J95,0)</f>
        <v/>
      </c>
      <c r="BA95" s="29">
        <f>IF(OR(AZ95=0,$S$11=0),0,IF((AE95+$L$11)&gt;$S$11/HU_alpha+$K$11,0.5*$S$11/HU_alpha,IF((AE95+$L$11)&gt;=$K$11,((AE95+$L$11)-$K$11)-0.5*HU_alpha/$S$11*((AE95+$L$11)-$K$11)^2,IF((AE95+$L$11)&gt;=$T$11,HU_beta*((AE95+$L$11)-$K$11),HU_beta*($T$11-$K$11)))))</f>
        <v/>
      </c>
      <c r="BB95" s="29">
        <f>IF(OR(AZ95=0,$S$11=0),0,IF((AE95+$L$11+$N$11)&gt;$S$11/HU_alpha+$K$11,0.5*$S$11/HU_alpha,IF((AE95+$L$11+$N$11)&gt;=$K$11,((AE95+$L$11+$N$11)-$K$11)-0.5*HU_alpha/$S$11*((AE95+$L$11+$N$11)-$K$11)^2,IF((AE95+$L$11+$N$11)&gt;=$T$11,HU_beta*((AE95+$L$11+$N$11)-$K$11),HU_beta*($T$11-$K$11)))))</f>
        <v/>
      </c>
      <c r="BC95" s="29">
        <f>IF(OR(AZ95=0,$S$11=0),0,IF((AE95+$K$11)&gt;$S$11/HU_alpha+$K$11,0.5*$S$11/HU_alpha,IF((AE95+$K$11)&gt;=$K$11,((AE95+$K$11)-$K$11)-0.5*HU_alpha/$S$11*((AE95+$K$11)-$K$11)^2,IF((AE95+$K$11)&gt;=$T$11,HU_beta*((AE95+$K$11)-$K$11),HU_beta*($T$11-$K$11)))))</f>
        <v/>
      </c>
      <c r="BD95" s="63">
        <f>IF(AND($J$12,A95=$Q$12),J95,0)</f>
        <v/>
      </c>
      <c r="BE95" s="29">
        <f>IF(OR(BD95=0,$S$12=0),0,IF((AE95+$L$12)&gt;$S$12/HU_alpha+$K$12,0.5*$S$12/HU_alpha,IF((AE95+$L$12)&gt;=$K$12,((AE95+$L$12)-$K$12)-0.5*HU_alpha/$S$12*((AE95+$L$12)-$K$12)^2,IF((AE95+$L$12)&gt;=$T$12,HU_beta*((AE95+$L$12)-$K$12),HU_beta*($T$12-$K$12)))))</f>
        <v/>
      </c>
      <c r="BF95" s="29">
        <f>IF(OR(BD95=0,$S$12=0),0,IF((AE95+$L$12+$N$12)&gt;$S$12/HU_alpha+$K$12,0.5*$S$12/HU_alpha,IF((AE95+$L$12+$N$12)&gt;=$K$12,((AE95+$L$12+$N$12)-$K$12)-0.5*HU_alpha/$S$12*((AE95+$L$12+$N$12)-$K$12)^2,IF((AE95+$L$12+$N$12)&gt;=$T$12,HU_beta*((AE95+$L$12+$N$12)-$K$12),HU_beta*($T$12-$K$12)))))</f>
        <v/>
      </c>
      <c r="BG95" s="29">
        <f>IF(OR(BD95=0,$S$12=0),0,IF((AE95+$K$12)&gt;$S$12/HU_alpha+$K$12,0.5*$S$12/HU_alpha,IF((AE95+$K$12)&gt;=$K$12,((AE95+$K$12)-$K$12)-0.5*HU_alpha/$S$12*((AE95+$K$12)-$K$12)^2,IF((AE95+$K$12)&gt;=$T$12,HU_beta*((AE95+$K$12)-$K$12),HU_beta*($T$12-$K$12)))))</f>
        <v/>
      </c>
      <c r="BH95" s="63">
        <f>IF(AND($J$13,A95=$Q$13),J95,0)</f>
        <v/>
      </c>
      <c r="BI95" s="29">
        <f>IF(OR(BH95=0,$S$13=0),0,IF((AE95+$L$13)&gt;$S$13/HU_alpha+$K$13,0.5*$S$13/HU_alpha,IF((AE95+$L$13)&gt;=$K$13,((AE95+$L$13)-$K$13)-0.5*HU_alpha/$S$13*((AE95+$L$13)-$K$13)^2,IF((AE95+$L$13)&gt;=$T$13,HU_beta*((AE95+$L$13)-$K$13),HU_beta*($T$13-$K$13)))))</f>
        <v/>
      </c>
      <c r="BJ95" s="29">
        <f>IF(OR(BH95=0,$S$13=0),0,IF((AE95+$L$13+$N$13)&gt;$S$13/HU_alpha+$K$13,0.5*$S$13/HU_alpha,IF((AE95+$L$13+$N$13)&gt;=$K$13,((AE95+$L$13+$N$13)-$K$13)-0.5*HU_alpha/$S$13*((AE95+$L$13+$N$13)-$K$13)^2,IF((AE95+$L$13+$N$13)&gt;=$T$13,HU_beta*((AE95+$L$13+$N$13)-$K$13),HU_beta*($T$13-$K$13)))))</f>
        <v/>
      </c>
      <c r="BK95" s="29">
        <f>IF(OR(BH95=0,$S$13=0),0,IF((AE95+$K$13)&gt;$S$13/HU_alpha+$K$13,0.5*$S$13/HU_alpha,IF((AE95+$K$13)&gt;=$K$13,((AE95+$K$13)-$K$13)-0.5*HU_alpha/$S$13*((AE95+$K$13)-$K$13)^2,IF((AE95+$K$13)&gt;=$T$13,HU_beta*((AE95+$K$13)-$K$13),HU_beta*($T$13-$K$13)))))</f>
        <v/>
      </c>
    </row>
    <row r="96">
      <c r="A96" s="61" t="n">
        <v>28</v>
      </c>
      <c r="B96" s="61">
        <f>HU_age+A96</f>
        <v/>
      </c>
      <c r="C96" s="52">
        <f>A96&lt;=HU_T</f>
        <v/>
      </c>
      <c r="D96" s="63">
        <f>IF(OR(A96&lt;1,A96&gt;HU_T),0,INDEX(HU_q_mort,HU_age+A96-17,HU_col))</f>
        <v/>
      </c>
      <c r="E96" s="63">
        <f>IF(OR(A96&lt;1,A96&gt;HU_T),0,INDEX(HU_q_adb,HU_age+A96-17,HU_col))</f>
        <v/>
      </c>
      <c r="F96" s="63">
        <f>IF(OR(A96&lt;1,A96&gt;HU_T),0,INDEX(HU_q_morb,HU_age+A96-17,HU_col))</f>
        <v/>
      </c>
      <c r="G96" s="63">
        <f>IF(OR(A96&lt;1,A96&gt;HU_T),0,INDEX(HU_q_ptd,HU_age+A96-17,HU_col))</f>
        <v/>
      </c>
      <c r="H96" s="63">
        <f>IF(OR(A96&lt;1,A96&gt;HU_T),0,INDEX(HU_q_dis,HU_age+A96-17,HU_col))</f>
        <v/>
      </c>
      <c r="I96" s="63">
        <f>IF(A96&gt;HU_T,0,I95*(1-D96)*(1-E96))</f>
        <v/>
      </c>
      <c r="J96" s="63">
        <f>IF(A96&gt;=HU_T,0,N(I97))</f>
        <v/>
      </c>
      <c r="K96" s="63">
        <f>K95*(1-G96)</f>
        <v/>
      </c>
      <c r="L96" s="63">
        <f>1-K96</f>
        <v/>
      </c>
      <c r="M96" s="63">
        <f>K95*G96</f>
        <v/>
      </c>
      <c r="N96" s="63">
        <f>N95*(1-H96)</f>
        <v/>
      </c>
      <c r="O96" s="63">
        <f>1-N95</f>
        <v/>
      </c>
      <c r="P96" s="63">
        <f>P95*(1-F96)</f>
        <v/>
      </c>
      <c r="Q96" s="63">
        <f>1-P95/INDEX($P$68:$P$150,MAX(1,A96-HU_ciYears))</f>
        <v/>
      </c>
      <c r="R96" s="60">
        <f>(1+inflationRate)^A96</f>
        <v/>
      </c>
      <c r="S96" s="29">
        <f>IF(OR(OR(A96&lt;1,A96&gt;HU_T),A96-1&gt;=HU_dtr),0,HU_inc0*(1+incomeGrowthRate)^A96)</f>
        <v/>
      </c>
      <c r="T96" s="60">
        <f>IF(A96&gt;HU_T,T95,T95*(1+INDEX(HU_ssG,HU_age+A96-17)))</f>
        <v/>
      </c>
      <c r="U96" s="29">
        <f>IF(AND(HU_dtr&gt;=1,A96=HU_dtr,A96&lt;=HU_T),MIN(S96*INDEX(HU_ssC,HU_age+A96-17)/(1-INDEX(HU_ssC,HU_age+A96-17)),INDEX(HU_ssCap,HU_age+A96-17))*T96,0)</f>
        <v/>
      </c>
      <c r="V96" s="29">
        <f>S96+U96+IF(AND(HU_wdOn,A96=HU_wdYear),HU_wdIncome,0)</f>
        <v/>
      </c>
      <c r="W96" s="60">
        <f>HU_ciProp*Q96+HU_tpdCut*L96+HU_disCut*O96</f>
        <v/>
      </c>
      <c r="X96" s="29">
        <f>IF(OR(A96&lt;1,A96&gt;HU_T),0,V96*(1-W96))</f>
        <v/>
      </c>
      <c r="Y96" s="29">
        <f>IF(OR(A96&lt;1,A96&gt;HU_T),0,IF(AND(HU_retExp&gt;0,A96-1&gt;=HU_dtr),HU_retExp,HU_exp0)*R96)</f>
        <v/>
      </c>
      <c r="Z96" s="29">
        <f>-Y96-IF(AND(HU_wdOn,A96=HU_wdYear),HU_wdOut,0)</f>
        <v/>
      </c>
      <c r="AA96" s="29">
        <f>IF(OR(A96&lt;1,A96&gt;HU_T),0,-HU_medCost*R96*F96-HU_tpdCost*R96*M96)</f>
        <v/>
      </c>
      <c r="AB96" s="29">
        <f>IF(A96&gt;HU_T,0,AB95*(1+interestRate)+X96+Z96+AA96)</f>
        <v/>
      </c>
      <c r="AC96" s="29">
        <f>IF(A96&gt;HU_T,0,HU_inv*EXP(HU_mu*A96))</f>
        <v/>
      </c>
      <c r="AD96" s="29">
        <f>IF(A96&gt;HU_T,0,MAX(0,AC96+AB96))</f>
        <v/>
      </c>
      <c r="AE96" s="29">
        <f>IF(A96&gt;HU_T,0,MAX(0,X96-Y96))</f>
        <v/>
      </c>
      <c r="AF96" s="63">
        <f>IF(AND($J$6,A96&gt;=1,A96&lt;=$Q$6-1),J96,0)</f>
        <v/>
      </c>
      <c r="AG96" s="29">
        <f>IF(OR(AF96=0,$S$6=0),0,IF((AD96+$L$6)&gt;$S$6/HU_alpha+$K$6,0.5*$S$6/HU_alpha,IF((AD96+$L$6)&gt;=$K$6,((AD96+$L$6)-$K$6)-0.5*HU_alpha/$S$6*((AD96+$L$6)-$K$6)^2,IF((AD96+$L$6)&gt;=$T$6,HU_beta*((AD96+$L$6)-$K$6),HU_beta*($T$6-$K$6)))))</f>
        <v/>
      </c>
      <c r="AH96" s="29">
        <f>IF(OR(AF96=0,$S$6=0),0,IF((AD96+$L$6+$N$6)&gt;$S$6/HU_alpha+$K$6,0.5*$S$6/HU_alpha,IF((AD96+$L$6+$N$6)&gt;=$K$6,((AD96+$L$6+$N$6)-$K$6)-0.5*HU_alpha/$S$6*((AD96+$L$6+$N$6)-$K$6)^2,IF((AD96+$L$6+$N$6)&gt;=$T$6,HU_beta*((AD96+$L$6+$N$6)-$K$6),HU_beta*($T$6-$K$6)))))</f>
        <v/>
      </c>
      <c r="AI96" s="29">
        <f>IF(OR(AF96=0,$S$6=0),0,IF((AD96+$K$6)&gt;$S$6/HU_alpha+$K$6,0.5*$S$6/HU_alpha,IF((AD96+$K$6)&gt;=$K$6,((AD96+$K$6)-$K$6)-0.5*HU_alpha/$S$6*((AD96+$K$6)-$K$6)^2,IF((AD96+$K$6)&gt;=$T$6,HU_beta*((AD96+$K$6)-$K$6),HU_beta*($T$6-$K$6)))))</f>
        <v/>
      </c>
      <c r="AJ96" s="63">
        <f>IF(AND($J$7,A96&gt;=1,A96&lt;=$Q$7-1),J96,0)</f>
        <v/>
      </c>
      <c r="AK96" s="29">
        <f>IF(OR(AJ96=0,$S$7=0),0,IF((AE96+$L$7)&gt;$S$7/HU_alpha+$K$7,0.5*$S$7/HU_alpha,IF((AE96+$L$7)&gt;=$K$7,((AE96+$L$7)-$K$7)-0.5*HU_alpha/$S$7*((AE96+$L$7)-$K$7)^2,IF((AE96+$L$7)&gt;=$T$7,HU_beta*((AE96+$L$7)-$K$7),HU_beta*($T$7-$K$7)))))</f>
        <v/>
      </c>
      <c r="AL96" s="29">
        <f>IF(OR(AJ96=0,$S$7=0),0,IF((AE96+$L$7+$N$7)&gt;$S$7/HU_alpha+$K$7,0.5*$S$7/HU_alpha,IF((AE96+$L$7+$N$7)&gt;=$K$7,((AE96+$L$7+$N$7)-$K$7)-0.5*HU_alpha/$S$7*((AE96+$L$7+$N$7)-$K$7)^2,IF((AE96+$L$7+$N$7)&gt;=$T$7,HU_beta*((AE96+$L$7+$N$7)-$K$7),HU_beta*($T$7-$K$7)))))</f>
        <v/>
      </c>
      <c r="AM96" s="29">
        <f>IF(OR(AJ96=0,$S$7=0),0,IF((AE96+$K$7)&gt;$S$7/HU_alpha+$K$7,0.5*$S$7/HU_alpha,IF((AE96+$K$7)&gt;=$K$7,((AE96+$K$7)-$K$7)-0.5*HU_alpha/$S$7*((AE96+$K$7)-$K$7)^2,IF((AE96+$K$7)&gt;=$T$7,HU_beta*((AE96+$K$7)-$K$7),HU_beta*($T$7-$K$7)))))</f>
        <v/>
      </c>
      <c r="AN96" s="63">
        <f>IF(AND($J$8,A96&gt;=1,A96&lt;=$Q$8-1),J96,0)</f>
        <v/>
      </c>
      <c r="AO96" s="29">
        <f>IF(OR(AN96=0,$S$8=0),0,IF((AE96+$L$8)&gt;$S$8/HU_alpha+$K$8,0.5*$S$8/HU_alpha,IF((AE96+$L$8)&gt;=$K$8,((AE96+$L$8)-$K$8)-0.5*HU_alpha/$S$8*((AE96+$L$8)-$K$8)^2,IF((AE96+$L$8)&gt;=$T$8,HU_beta*((AE96+$L$8)-$K$8),HU_beta*($T$8-$K$8)))))</f>
        <v/>
      </c>
      <c r="AP96" s="29">
        <f>IF(OR(AN96=0,$S$8=0),0,IF((AE96+$L$8+$N$8)&gt;$S$8/HU_alpha+$K$8,0.5*$S$8/HU_alpha,IF((AE96+$L$8+$N$8)&gt;=$K$8,((AE96+$L$8+$N$8)-$K$8)-0.5*HU_alpha/$S$8*((AE96+$L$8+$N$8)-$K$8)^2,IF((AE96+$L$8+$N$8)&gt;=$T$8,HU_beta*((AE96+$L$8+$N$8)-$K$8),HU_beta*($T$8-$K$8)))))</f>
        <v/>
      </c>
      <c r="AQ96" s="29">
        <f>IF(OR(AN96=0,$S$8=0),0,IF((AE96+$K$8)&gt;$S$8/HU_alpha+$K$8,0.5*$S$8/HU_alpha,IF((AE96+$K$8)&gt;=$K$8,((AE96+$K$8)-$K$8)-0.5*HU_alpha/$S$8*((AE96+$K$8)-$K$8)^2,IF((AE96+$K$8)&gt;=$T$8,HU_beta*((AE96+$K$8)-$K$8),HU_beta*($T$8-$K$8)))))</f>
        <v/>
      </c>
      <c r="AR96" s="63">
        <f>IF(AND($J$9,A96&gt;=1,A96&lt;=$Q$9-1),J96,0)</f>
        <v/>
      </c>
      <c r="AS96" s="29">
        <f>IF(OR(AR96=0,$S$9=0),0,IF((AE96+$L$9)&gt;$S$9/HU_alpha+$K$9,0.5*$S$9/HU_alpha,IF((AE96+$L$9)&gt;=$K$9,((AE96+$L$9)-$K$9)-0.5*HU_alpha/$S$9*((AE96+$L$9)-$K$9)^2,IF((AE96+$L$9)&gt;=$T$9,HU_beta*((AE96+$L$9)-$K$9),HU_beta*($T$9-$K$9)))))</f>
        <v/>
      </c>
      <c r="AT96" s="29">
        <f>IF(OR(AR96=0,$S$9=0),0,IF((AE96+$L$9+$N$9)&gt;$S$9/HU_alpha+$K$9,0.5*$S$9/HU_alpha,IF((AE96+$L$9+$N$9)&gt;=$K$9,((AE96+$L$9+$N$9)-$K$9)-0.5*HU_alpha/$S$9*((AE96+$L$9+$N$9)-$K$9)^2,IF((AE96+$L$9+$N$9)&gt;=$T$9,HU_beta*((AE96+$L$9+$N$9)-$K$9),HU_beta*($T$9-$K$9)))))</f>
        <v/>
      </c>
      <c r="AU96" s="29">
        <f>IF(OR(AR96=0,$S$9=0),0,IF((AE96+$K$9)&gt;$S$9/HU_alpha+$K$9,0.5*$S$9/HU_alpha,IF((AE96+$K$9)&gt;=$K$9,((AE96+$K$9)-$K$9)-0.5*HU_alpha/$S$9*((AE96+$K$9)-$K$9)^2,IF((AE96+$K$9)&gt;=$T$9,HU_beta*((AE96+$K$9)-$K$9),HU_beta*($T$9-$K$9)))))</f>
        <v/>
      </c>
      <c r="AV96" s="63">
        <f>IF(AND($J$10,A96=$Q$10),J96,0)</f>
        <v/>
      </c>
      <c r="AW96" s="29">
        <f>IF(OR(AV96=0,$S$10=0),0,IF((AD96+$L$10)&gt;$S$10/HU_alpha+$K$10,0.5*$S$10/HU_alpha,IF((AD96+$L$10)&gt;=$K$10,((AD96+$L$10)-$K$10)-0.5*HU_alpha/$S$10*((AD96+$L$10)-$K$10)^2,IF((AD96+$L$10)&gt;=$T$10,HU_beta*((AD96+$L$10)-$K$10),HU_beta*($T$10-$K$10)))))</f>
        <v/>
      </c>
      <c r="AX96" s="29">
        <f>IF(OR(AV96=0,$S$10=0),0,IF((AD96+$L$10+$N$10)&gt;$S$10/HU_alpha+$K$10,0.5*$S$10/HU_alpha,IF((AD96+$L$10+$N$10)&gt;=$K$10,((AD96+$L$10+$N$10)-$K$10)-0.5*HU_alpha/$S$10*((AD96+$L$10+$N$10)-$K$10)^2,IF((AD96+$L$10+$N$10)&gt;=$T$10,HU_beta*((AD96+$L$10+$N$10)-$K$10),HU_beta*($T$10-$K$10)))))</f>
        <v/>
      </c>
      <c r="AY96" s="29">
        <f>IF(OR(AV96=0,$S$10=0),0,IF((AD96+$K$10)&gt;$S$10/HU_alpha+$K$10,0.5*$S$10/HU_alpha,IF((AD96+$K$10)&gt;=$K$10,((AD96+$K$10)-$K$10)-0.5*HU_alpha/$S$10*((AD96+$K$10)-$K$10)^2,IF((AD96+$K$10)&gt;=$T$10,HU_beta*((AD96+$K$10)-$K$10),HU_beta*($T$10-$K$10)))))</f>
        <v/>
      </c>
      <c r="AZ96" s="63">
        <f>IF(AND($J$11,A96=$Q$11),J96,0)</f>
        <v/>
      </c>
      <c r="BA96" s="29">
        <f>IF(OR(AZ96=0,$S$11=0),0,IF((AE96+$L$11)&gt;$S$11/HU_alpha+$K$11,0.5*$S$11/HU_alpha,IF((AE96+$L$11)&gt;=$K$11,((AE96+$L$11)-$K$11)-0.5*HU_alpha/$S$11*((AE96+$L$11)-$K$11)^2,IF((AE96+$L$11)&gt;=$T$11,HU_beta*((AE96+$L$11)-$K$11),HU_beta*($T$11-$K$11)))))</f>
        <v/>
      </c>
      <c r="BB96" s="29">
        <f>IF(OR(AZ96=0,$S$11=0),0,IF((AE96+$L$11+$N$11)&gt;$S$11/HU_alpha+$K$11,0.5*$S$11/HU_alpha,IF((AE96+$L$11+$N$11)&gt;=$K$11,((AE96+$L$11+$N$11)-$K$11)-0.5*HU_alpha/$S$11*((AE96+$L$11+$N$11)-$K$11)^2,IF((AE96+$L$11+$N$11)&gt;=$T$11,HU_beta*((AE96+$L$11+$N$11)-$K$11),HU_beta*($T$11-$K$11)))))</f>
        <v/>
      </c>
      <c r="BC96" s="29">
        <f>IF(OR(AZ96=0,$S$11=0),0,IF((AE96+$K$11)&gt;$S$11/HU_alpha+$K$11,0.5*$S$11/HU_alpha,IF((AE96+$K$11)&gt;=$K$11,((AE96+$K$11)-$K$11)-0.5*HU_alpha/$S$11*((AE96+$K$11)-$K$11)^2,IF((AE96+$K$11)&gt;=$T$11,HU_beta*((AE96+$K$11)-$K$11),HU_beta*($T$11-$K$11)))))</f>
        <v/>
      </c>
      <c r="BD96" s="63">
        <f>IF(AND($J$12,A96=$Q$12),J96,0)</f>
        <v/>
      </c>
      <c r="BE96" s="29">
        <f>IF(OR(BD96=0,$S$12=0),0,IF((AE96+$L$12)&gt;$S$12/HU_alpha+$K$12,0.5*$S$12/HU_alpha,IF((AE96+$L$12)&gt;=$K$12,((AE96+$L$12)-$K$12)-0.5*HU_alpha/$S$12*((AE96+$L$12)-$K$12)^2,IF((AE96+$L$12)&gt;=$T$12,HU_beta*((AE96+$L$12)-$K$12),HU_beta*($T$12-$K$12)))))</f>
        <v/>
      </c>
      <c r="BF96" s="29">
        <f>IF(OR(BD96=0,$S$12=0),0,IF((AE96+$L$12+$N$12)&gt;$S$12/HU_alpha+$K$12,0.5*$S$12/HU_alpha,IF((AE96+$L$12+$N$12)&gt;=$K$12,((AE96+$L$12+$N$12)-$K$12)-0.5*HU_alpha/$S$12*((AE96+$L$12+$N$12)-$K$12)^2,IF((AE96+$L$12+$N$12)&gt;=$T$12,HU_beta*((AE96+$L$12+$N$12)-$K$12),HU_beta*($T$12-$K$12)))))</f>
        <v/>
      </c>
      <c r="BG96" s="29">
        <f>IF(OR(BD96=0,$S$12=0),0,IF((AE96+$K$12)&gt;$S$12/HU_alpha+$K$12,0.5*$S$12/HU_alpha,IF((AE96+$K$12)&gt;=$K$12,((AE96+$K$12)-$K$12)-0.5*HU_alpha/$S$12*((AE96+$K$12)-$K$12)^2,IF((AE96+$K$12)&gt;=$T$12,HU_beta*((AE96+$K$12)-$K$12),HU_beta*($T$12-$K$12)))))</f>
        <v/>
      </c>
      <c r="BH96" s="63">
        <f>IF(AND($J$13,A96=$Q$13),J96,0)</f>
        <v/>
      </c>
      <c r="BI96" s="29">
        <f>IF(OR(BH96=0,$S$13=0),0,IF((AE96+$L$13)&gt;$S$13/HU_alpha+$K$13,0.5*$S$13/HU_alpha,IF((AE96+$L$13)&gt;=$K$13,((AE96+$L$13)-$K$13)-0.5*HU_alpha/$S$13*((AE96+$L$13)-$K$13)^2,IF((AE96+$L$13)&gt;=$T$13,HU_beta*((AE96+$L$13)-$K$13),HU_beta*($T$13-$K$13)))))</f>
        <v/>
      </c>
      <c r="BJ96" s="29">
        <f>IF(OR(BH96=0,$S$13=0),0,IF((AE96+$L$13+$N$13)&gt;$S$13/HU_alpha+$K$13,0.5*$S$13/HU_alpha,IF((AE96+$L$13+$N$13)&gt;=$K$13,((AE96+$L$13+$N$13)-$K$13)-0.5*HU_alpha/$S$13*((AE96+$L$13+$N$13)-$K$13)^2,IF((AE96+$L$13+$N$13)&gt;=$T$13,HU_beta*((AE96+$L$13+$N$13)-$K$13),HU_beta*($T$13-$K$13)))))</f>
        <v/>
      </c>
      <c r="BK96" s="29">
        <f>IF(OR(BH96=0,$S$13=0),0,IF((AE96+$K$13)&gt;$S$13/HU_alpha+$K$13,0.5*$S$13/HU_alpha,IF((AE96+$K$13)&gt;=$K$13,((AE96+$K$13)-$K$13)-0.5*HU_alpha/$S$13*((AE96+$K$13)-$K$13)^2,IF((AE96+$K$13)&gt;=$T$13,HU_beta*((AE96+$K$13)-$K$13),HU_beta*($T$13-$K$13)))))</f>
        <v/>
      </c>
    </row>
    <row r="97">
      <c r="A97" s="61" t="n">
        <v>29</v>
      </c>
      <c r="B97" s="61">
        <f>HU_age+A97</f>
        <v/>
      </c>
      <c r="C97" s="52">
        <f>A97&lt;=HU_T</f>
        <v/>
      </c>
      <c r="D97" s="63">
        <f>IF(OR(A97&lt;1,A97&gt;HU_T),0,INDEX(HU_q_mort,HU_age+A97-17,HU_col))</f>
        <v/>
      </c>
      <c r="E97" s="63">
        <f>IF(OR(A97&lt;1,A97&gt;HU_T),0,INDEX(HU_q_adb,HU_age+A97-17,HU_col))</f>
        <v/>
      </c>
      <c r="F97" s="63">
        <f>IF(OR(A97&lt;1,A97&gt;HU_T),0,INDEX(HU_q_morb,HU_age+A97-17,HU_col))</f>
        <v/>
      </c>
      <c r="G97" s="63">
        <f>IF(OR(A97&lt;1,A97&gt;HU_T),0,INDEX(HU_q_ptd,HU_age+A97-17,HU_col))</f>
        <v/>
      </c>
      <c r="H97" s="63">
        <f>IF(OR(A97&lt;1,A97&gt;HU_T),0,INDEX(HU_q_dis,HU_age+A97-17,HU_col))</f>
        <v/>
      </c>
      <c r="I97" s="63">
        <f>IF(A97&gt;HU_T,0,I96*(1-D97)*(1-E97))</f>
        <v/>
      </c>
      <c r="J97" s="63">
        <f>IF(A97&gt;=HU_T,0,N(I98))</f>
        <v/>
      </c>
      <c r="K97" s="63">
        <f>K96*(1-G97)</f>
        <v/>
      </c>
      <c r="L97" s="63">
        <f>1-K97</f>
        <v/>
      </c>
      <c r="M97" s="63">
        <f>K96*G97</f>
        <v/>
      </c>
      <c r="N97" s="63">
        <f>N96*(1-H97)</f>
        <v/>
      </c>
      <c r="O97" s="63">
        <f>1-N96</f>
        <v/>
      </c>
      <c r="P97" s="63">
        <f>P96*(1-F97)</f>
        <v/>
      </c>
      <c r="Q97" s="63">
        <f>1-P96/INDEX($P$68:$P$150,MAX(1,A97-HU_ciYears))</f>
        <v/>
      </c>
      <c r="R97" s="60">
        <f>(1+inflationRate)^A97</f>
        <v/>
      </c>
      <c r="S97" s="29">
        <f>IF(OR(OR(A97&lt;1,A97&gt;HU_T),A97-1&gt;=HU_dtr),0,HU_inc0*(1+incomeGrowthRate)^A97)</f>
        <v/>
      </c>
      <c r="T97" s="60">
        <f>IF(A97&gt;HU_T,T96,T96*(1+INDEX(HU_ssG,HU_age+A97-17)))</f>
        <v/>
      </c>
      <c r="U97" s="29">
        <f>IF(AND(HU_dtr&gt;=1,A97=HU_dtr,A97&lt;=HU_T),MIN(S97*INDEX(HU_ssC,HU_age+A97-17)/(1-INDEX(HU_ssC,HU_age+A97-17)),INDEX(HU_ssCap,HU_age+A97-17))*T97,0)</f>
        <v/>
      </c>
      <c r="V97" s="29">
        <f>S97+U97+IF(AND(HU_wdOn,A97=HU_wdYear),HU_wdIncome,0)</f>
        <v/>
      </c>
      <c r="W97" s="60">
        <f>HU_ciProp*Q97+HU_tpdCut*L97+HU_disCut*O97</f>
        <v/>
      </c>
      <c r="X97" s="29">
        <f>IF(OR(A97&lt;1,A97&gt;HU_T),0,V97*(1-W97))</f>
        <v/>
      </c>
      <c r="Y97" s="29">
        <f>IF(OR(A97&lt;1,A97&gt;HU_T),0,IF(AND(HU_retExp&gt;0,A97-1&gt;=HU_dtr),HU_retExp,HU_exp0)*R97)</f>
        <v/>
      </c>
      <c r="Z97" s="29">
        <f>-Y97-IF(AND(HU_wdOn,A97=HU_wdYear),HU_wdOut,0)</f>
        <v/>
      </c>
      <c r="AA97" s="29">
        <f>IF(OR(A97&lt;1,A97&gt;HU_T),0,-HU_medCost*R97*F97-HU_tpdCost*R97*M97)</f>
        <v/>
      </c>
      <c r="AB97" s="29">
        <f>IF(A97&gt;HU_T,0,AB96*(1+interestRate)+X97+Z97+AA97)</f>
        <v/>
      </c>
      <c r="AC97" s="29">
        <f>IF(A97&gt;HU_T,0,HU_inv*EXP(HU_mu*A97))</f>
        <v/>
      </c>
      <c r="AD97" s="29">
        <f>IF(A97&gt;HU_T,0,MAX(0,AC97+AB97))</f>
        <v/>
      </c>
      <c r="AE97" s="29">
        <f>IF(A97&gt;HU_T,0,MAX(0,X97-Y97))</f>
        <v/>
      </c>
      <c r="AF97" s="63">
        <f>IF(AND($J$6,A97&gt;=1,A97&lt;=$Q$6-1),J97,0)</f>
        <v/>
      </c>
      <c r="AG97" s="29">
        <f>IF(OR(AF97=0,$S$6=0),0,IF((AD97+$L$6)&gt;$S$6/HU_alpha+$K$6,0.5*$S$6/HU_alpha,IF((AD97+$L$6)&gt;=$K$6,((AD97+$L$6)-$K$6)-0.5*HU_alpha/$S$6*((AD97+$L$6)-$K$6)^2,IF((AD97+$L$6)&gt;=$T$6,HU_beta*((AD97+$L$6)-$K$6),HU_beta*($T$6-$K$6)))))</f>
        <v/>
      </c>
      <c r="AH97" s="29">
        <f>IF(OR(AF97=0,$S$6=0),0,IF((AD97+$L$6+$N$6)&gt;$S$6/HU_alpha+$K$6,0.5*$S$6/HU_alpha,IF((AD97+$L$6+$N$6)&gt;=$K$6,((AD97+$L$6+$N$6)-$K$6)-0.5*HU_alpha/$S$6*((AD97+$L$6+$N$6)-$K$6)^2,IF((AD97+$L$6+$N$6)&gt;=$T$6,HU_beta*((AD97+$L$6+$N$6)-$K$6),HU_beta*($T$6-$K$6)))))</f>
        <v/>
      </c>
      <c r="AI97" s="29">
        <f>IF(OR(AF97=0,$S$6=0),0,IF((AD97+$K$6)&gt;$S$6/HU_alpha+$K$6,0.5*$S$6/HU_alpha,IF((AD97+$K$6)&gt;=$K$6,((AD97+$K$6)-$K$6)-0.5*HU_alpha/$S$6*((AD97+$K$6)-$K$6)^2,IF((AD97+$K$6)&gt;=$T$6,HU_beta*((AD97+$K$6)-$K$6),HU_beta*($T$6-$K$6)))))</f>
        <v/>
      </c>
      <c r="AJ97" s="63">
        <f>IF(AND($J$7,A97&gt;=1,A97&lt;=$Q$7-1),J97,0)</f>
        <v/>
      </c>
      <c r="AK97" s="29">
        <f>IF(OR(AJ97=0,$S$7=0),0,IF((AE97+$L$7)&gt;$S$7/HU_alpha+$K$7,0.5*$S$7/HU_alpha,IF((AE97+$L$7)&gt;=$K$7,((AE97+$L$7)-$K$7)-0.5*HU_alpha/$S$7*((AE97+$L$7)-$K$7)^2,IF((AE97+$L$7)&gt;=$T$7,HU_beta*((AE97+$L$7)-$K$7),HU_beta*($T$7-$K$7)))))</f>
        <v/>
      </c>
      <c r="AL97" s="29">
        <f>IF(OR(AJ97=0,$S$7=0),0,IF((AE97+$L$7+$N$7)&gt;$S$7/HU_alpha+$K$7,0.5*$S$7/HU_alpha,IF((AE97+$L$7+$N$7)&gt;=$K$7,((AE97+$L$7+$N$7)-$K$7)-0.5*HU_alpha/$S$7*((AE97+$L$7+$N$7)-$K$7)^2,IF((AE97+$L$7+$N$7)&gt;=$T$7,HU_beta*((AE97+$L$7+$N$7)-$K$7),HU_beta*($T$7-$K$7)))))</f>
        <v/>
      </c>
      <c r="AM97" s="29">
        <f>IF(OR(AJ97=0,$S$7=0),0,IF((AE97+$K$7)&gt;$S$7/HU_alpha+$K$7,0.5*$S$7/HU_alpha,IF((AE97+$K$7)&gt;=$K$7,((AE97+$K$7)-$K$7)-0.5*HU_alpha/$S$7*((AE97+$K$7)-$K$7)^2,IF((AE97+$K$7)&gt;=$T$7,HU_beta*((AE97+$K$7)-$K$7),HU_beta*($T$7-$K$7)))))</f>
        <v/>
      </c>
      <c r="AN97" s="63">
        <f>IF(AND($J$8,A97&gt;=1,A97&lt;=$Q$8-1),J97,0)</f>
        <v/>
      </c>
      <c r="AO97" s="29">
        <f>IF(OR(AN97=0,$S$8=0),0,IF((AE97+$L$8)&gt;$S$8/HU_alpha+$K$8,0.5*$S$8/HU_alpha,IF((AE97+$L$8)&gt;=$K$8,((AE97+$L$8)-$K$8)-0.5*HU_alpha/$S$8*((AE97+$L$8)-$K$8)^2,IF((AE97+$L$8)&gt;=$T$8,HU_beta*((AE97+$L$8)-$K$8),HU_beta*($T$8-$K$8)))))</f>
        <v/>
      </c>
      <c r="AP97" s="29">
        <f>IF(OR(AN97=0,$S$8=0),0,IF((AE97+$L$8+$N$8)&gt;$S$8/HU_alpha+$K$8,0.5*$S$8/HU_alpha,IF((AE97+$L$8+$N$8)&gt;=$K$8,((AE97+$L$8+$N$8)-$K$8)-0.5*HU_alpha/$S$8*((AE97+$L$8+$N$8)-$K$8)^2,IF((AE97+$L$8+$N$8)&gt;=$T$8,HU_beta*((AE97+$L$8+$N$8)-$K$8),HU_beta*($T$8-$K$8)))))</f>
        <v/>
      </c>
      <c r="AQ97" s="29">
        <f>IF(OR(AN97=0,$S$8=0),0,IF((AE97+$K$8)&gt;$S$8/HU_alpha+$K$8,0.5*$S$8/HU_alpha,IF((AE97+$K$8)&gt;=$K$8,((AE97+$K$8)-$K$8)-0.5*HU_alpha/$S$8*((AE97+$K$8)-$K$8)^2,IF((AE97+$K$8)&gt;=$T$8,HU_beta*((AE97+$K$8)-$K$8),HU_beta*($T$8-$K$8)))))</f>
        <v/>
      </c>
      <c r="AR97" s="63">
        <f>IF(AND($J$9,A97&gt;=1,A97&lt;=$Q$9-1),J97,0)</f>
        <v/>
      </c>
      <c r="AS97" s="29">
        <f>IF(OR(AR97=0,$S$9=0),0,IF((AE97+$L$9)&gt;$S$9/HU_alpha+$K$9,0.5*$S$9/HU_alpha,IF((AE97+$L$9)&gt;=$K$9,((AE97+$L$9)-$K$9)-0.5*HU_alpha/$S$9*((AE97+$L$9)-$K$9)^2,IF((AE97+$L$9)&gt;=$T$9,HU_beta*((AE97+$L$9)-$K$9),HU_beta*($T$9-$K$9)))))</f>
        <v/>
      </c>
      <c r="AT97" s="29">
        <f>IF(OR(AR97=0,$S$9=0),0,IF((AE97+$L$9+$N$9)&gt;$S$9/HU_alpha+$K$9,0.5*$S$9/HU_alpha,IF((AE97+$L$9+$N$9)&gt;=$K$9,((AE97+$L$9+$N$9)-$K$9)-0.5*HU_alpha/$S$9*((AE97+$L$9+$N$9)-$K$9)^2,IF((AE97+$L$9+$N$9)&gt;=$T$9,HU_beta*((AE97+$L$9+$N$9)-$K$9),HU_beta*($T$9-$K$9)))))</f>
        <v/>
      </c>
      <c r="AU97" s="29">
        <f>IF(OR(AR97=0,$S$9=0),0,IF((AE97+$K$9)&gt;$S$9/HU_alpha+$K$9,0.5*$S$9/HU_alpha,IF((AE97+$K$9)&gt;=$K$9,((AE97+$K$9)-$K$9)-0.5*HU_alpha/$S$9*((AE97+$K$9)-$K$9)^2,IF((AE97+$K$9)&gt;=$T$9,HU_beta*((AE97+$K$9)-$K$9),HU_beta*($T$9-$K$9)))))</f>
        <v/>
      </c>
      <c r="AV97" s="63">
        <f>IF(AND($J$10,A97=$Q$10),J97,0)</f>
        <v/>
      </c>
      <c r="AW97" s="29">
        <f>IF(OR(AV97=0,$S$10=0),0,IF((AD97+$L$10)&gt;$S$10/HU_alpha+$K$10,0.5*$S$10/HU_alpha,IF((AD97+$L$10)&gt;=$K$10,((AD97+$L$10)-$K$10)-0.5*HU_alpha/$S$10*((AD97+$L$10)-$K$10)^2,IF((AD97+$L$10)&gt;=$T$10,HU_beta*((AD97+$L$10)-$K$10),HU_beta*($T$10-$K$10)))))</f>
        <v/>
      </c>
      <c r="AX97" s="29">
        <f>IF(OR(AV97=0,$S$10=0),0,IF((AD97+$L$10+$N$10)&gt;$S$10/HU_alpha+$K$10,0.5*$S$10/HU_alpha,IF((AD97+$L$10+$N$10)&gt;=$K$10,((AD97+$L$10+$N$10)-$K$10)-0.5*HU_alpha/$S$10*((AD97+$L$10+$N$10)-$K$10)^2,IF((AD97+$L$10+$N$10)&gt;=$T$10,HU_beta*((AD97+$L$10+$N$10)-$K$10),HU_beta*($T$10-$K$10)))))</f>
        <v/>
      </c>
      <c r="AY97" s="29">
        <f>IF(OR(AV97=0,$S$10=0),0,IF((AD97+$K$10)&gt;$S$10/HU_alpha+$K$10,0.5*$S$10/HU_alpha,IF((AD97+$K$10)&gt;=$K$10,((AD97+$K$10)-$K$10)-0.5*HU_alpha/$S$10*((AD97+$K$10)-$K$10)^2,IF((AD97+$K$10)&gt;=$T$10,HU_beta*((AD97+$K$10)-$K$10),HU_beta*($T$10-$K$10)))))</f>
        <v/>
      </c>
      <c r="AZ97" s="63">
        <f>IF(AND($J$11,A97=$Q$11),J97,0)</f>
        <v/>
      </c>
      <c r="BA97" s="29">
        <f>IF(OR(AZ97=0,$S$11=0),0,IF((AE97+$L$11)&gt;$S$11/HU_alpha+$K$11,0.5*$S$11/HU_alpha,IF((AE97+$L$11)&gt;=$K$11,((AE97+$L$11)-$K$11)-0.5*HU_alpha/$S$11*((AE97+$L$11)-$K$11)^2,IF((AE97+$L$11)&gt;=$T$11,HU_beta*((AE97+$L$11)-$K$11),HU_beta*($T$11-$K$11)))))</f>
        <v/>
      </c>
      <c r="BB97" s="29">
        <f>IF(OR(AZ97=0,$S$11=0),0,IF((AE97+$L$11+$N$11)&gt;$S$11/HU_alpha+$K$11,0.5*$S$11/HU_alpha,IF((AE97+$L$11+$N$11)&gt;=$K$11,((AE97+$L$11+$N$11)-$K$11)-0.5*HU_alpha/$S$11*((AE97+$L$11+$N$11)-$K$11)^2,IF((AE97+$L$11+$N$11)&gt;=$T$11,HU_beta*((AE97+$L$11+$N$11)-$K$11),HU_beta*($T$11-$K$11)))))</f>
        <v/>
      </c>
      <c r="BC97" s="29">
        <f>IF(OR(AZ97=0,$S$11=0),0,IF((AE97+$K$11)&gt;$S$11/HU_alpha+$K$11,0.5*$S$11/HU_alpha,IF((AE97+$K$11)&gt;=$K$11,((AE97+$K$11)-$K$11)-0.5*HU_alpha/$S$11*((AE97+$K$11)-$K$11)^2,IF((AE97+$K$11)&gt;=$T$11,HU_beta*((AE97+$K$11)-$K$11),HU_beta*($T$11-$K$11)))))</f>
        <v/>
      </c>
      <c r="BD97" s="63">
        <f>IF(AND($J$12,A97=$Q$12),J97,0)</f>
        <v/>
      </c>
      <c r="BE97" s="29">
        <f>IF(OR(BD97=0,$S$12=0),0,IF((AE97+$L$12)&gt;$S$12/HU_alpha+$K$12,0.5*$S$12/HU_alpha,IF((AE97+$L$12)&gt;=$K$12,((AE97+$L$12)-$K$12)-0.5*HU_alpha/$S$12*((AE97+$L$12)-$K$12)^2,IF((AE97+$L$12)&gt;=$T$12,HU_beta*((AE97+$L$12)-$K$12),HU_beta*($T$12-$K$12)))))</f>
        <v/>
      </c>
      <c r="BF97" s="29">
        <f>IF(OR(BD97=0,$S$12=0),0,IF((AE97+$L$12+$N$12)&gt;$S$12/HU_alpha+$K$12,0.5*$S$12/HU_alpha,IF((AE97+$L$12+$N$12)&gt;=$K$12,((AE97+$L$12+$N$12)-$K$12)-0.5*HU_alpha/$S$12*((AE97+$L$12+$N$12)-$K$12)^2,IF((AE97+$L$12+$N$12)&gt;=$T$12,HU_beta*((AE97+$L$12+$N$12)-$K$12),HU_beta*($T$12-$K$12)))))</f>
        <v/>
      </c>
      <c r="BG97" s="29">
        <f>IF(OR(BD97=0,$S$12=0),0,IF((AE97+$K$12)&gt;$S$12/HU_alpha+$K$12,0.5*$S$12/HU_alpha,IF((AE97+$K$12)&gt;=$K$12,((AE97+$K$12)-$K$12)-0.5*HU_alpha/$S$12*((AE97+$K$12)-$K$12)^2,IF((AE97+$K$12)&gt;=$T$12,HU_beta*((AE97+$K$12)-$K$12),HU_beta*($T$12-$K$12)))))</f>
        <v/>
      </c>
      <c r="BH97" s="63">
        <f>IF(AND($J$13,A97=$Q$13),J97,0)</f>
        <v/>
      </c>
      <c r="BI97" s="29">
        <f>IF(OR(BH97=0,$S$13=0),0,IF((AE97+$L$13)&gt;$S$13/HU_alpha+$K$13,0.5*$S$13/HU_alpha,IF((AE97+$L$13)&gt;=$K$13,((AE97+$L$13)-$K$13)-0.5*HU_alpha/$S$13*((AE97+$L$13)-$K$13)^2,IF((AE97+$L$13)&gt;=$T$13,HU_beta*((AE97+$L$13)-$K$13),HU_beta*($T$13-$K$13)))))</f>
        <v/>
      </c>
      <c r="BJ97" s="29">
        <f>IF(OR(BH97=0,$S$13=0),0,IF((AE97+$L$13+$N$13)&gt;$S$13/HU_alpha+$K$13,0.5*$S$13/HU_alpha,IF((AE97+$L$13+$N$13)&gt;=$K$13,((AE97+$L$13+$N$13)-$K$13)-0.5*HU_alpha/$S$13*((AE97+$L$13+$N$13)-$K$13)^2,IF((AE97+$L$13+$N$13)&gt;=$T$13,HU_beta*((AE97+$L$13+$N$13)-$K$13),HU_beta*($T$13-$K$13)))))</f>
        <v/>
      </c>
      <c r="BK97" s="29">
        <f>IF(OR(BH97=0,$S$13=0),0,IF((AE97+$K$13)&gt;$S$13/HU_alpha+$K$13,0.5*$S$13/HU_alpha,IF((AE97+$K$13)&gt;=$K$13,((AE97+$K$13)-$K$13)-0.5*HU_alpha/$S$13*((AE97+$K$13)-$K$13)^2,IF((AE97+$K$13)&gt;=$T$13,HU_beta*((AE97+$K$13)-$K$13),HU_beta*($T$13-$K$13)))))</f>
        <v/>
      </c>
    </row>
    <row r="98">
      <c r="A98" s="61" t="n">
        <v>30</v>
      </c>
      <c r="B98" s="61">
        <f>HU_age+A98</f>
        <v/>
      </c>
      <c r="C98" s="52">
        <f>A98&lt;=HU_T</f>
        <v/>
      </c>
      <c r="D98" s="63">
        <f>IF(OR(A98&lt;1,A98&gt;HU_T),0,INDEX(HU_q_mort,HU_age+A98-17,HU_col))</f>
        <v/>
      </c>
      <c r="E98" s="63">
        <f>IF(OR(A98&lt;1,A98&gt;HU_T),0,INDEX(HU_q_adb,HU_age+A98-17,HU_col))</f>
        <v/>
      </c>
      <c r="F98" s="63">
        <f>IF(OR(A98&lt;1,A98&gt;HU_T),0,INDEX(HU_q_morb,HU_age+A98-17,HU_col))</f>
        <v/>
      </c>
      <c r="G98" s="63">
        <f>IF(OR(A98&lt;1,A98&gt;HU_T),0,INDEX(HU_q_ptd,HU_age+A98-17,HU_col))</f>
        <v/>
      </c>
      <c r="H98" s="63">
        <f>IF(OR(A98&lt;1,A98&gt;HU_T),0,INDEX(HU_q_dis,HU_age+A98-17,HU_col))</f>
        <v/>
      </c>
      <c r="I98" s="63">
        <f>IF(A98&gt;HU_T,0,I97*(1-D98)*(1-E98))</f>
        <v/>
      </c>
      <c r="J98" s="63">
        <f>IF(A98&gt;=HU_T,0,N(I99))</f>
        <v/>
      </c>
      <c r="K98" s="63">
        <f>K97*(1-G98)</f>
        <v/>
      </c>
      <c r="L98" s="63">
        <f>1-K98</f>
        <v/>
      </c>
      <c r="M98" s="63">
        <f>K97*G98</f>
        <v/>
      </c>
      <c r="N98" s="63">
        <f>N97*(1-H98)</f>
        <v/>
      </c>
      <c r="O98" s="63">
        <f>1-N97</f>
        <v/>
      </c>
      <c r="P98" s="63">
        <f>P97*(1-F98)</f>
        <v/>
      </c>
      <c r="Q98" s="63">
        <f>1-P97/INDEX($P$68:$P$150,MAX(1,A98-HU_ciYears))</f>
        <v/>
      </c>
      <c r="R98" s="60">
        <f>(1+inflationRate)^A98</f>
        <v/>
      </c>
      <c r="S98" s="29">
        <f>IF(OR(OR(A98&lt;1,A98&gt;HU_T),A98-1&gt;=HU_dtr),0,HU_inc0*(1+incomeGrowthRate)^A98)</f>
        <v/>
      </c>
      <c r="T98" s="60">
        <f>IF(A98&gt;HU_T,T97,T97*(1+INDEX(HU_ssG,HU_age+A98-17)))</f>
        <v/>
      </c>
      <c r="U98" s="29">
        <f>IF(AND(HU_dtr&gt;=1,A98=HU_dtr,A98&lt;=HU_T),MIN(S98*INDEX(HU_ssC,HU_age+A98-17)/(1-INDEX(HU_ssC,HU_age+A98-17)),INDEX(HU_ssCap,HU_age+A98-17))*T98,0)</f>
        <v/>
      </c>
      <c r="V98" s="29">
        <f>S98+U98+IF(AND(HU_wdOn,A98=HU_wdYear),HU_wdIncome,0)</f>
        <v/>
      </c>
      <c r="W98" s="60">
        <f>HU_ciProp*Q98+HU_tpdCut*L98+HU_disCut*O98</f>
        <v/>
      </c>
      <c r="X98" s="29">
        <f>IF(OR(A98&lt;1,A98&gt;HU_T),0,V98*(1-W98))</f>
        <v/>
      </c>
      <c r="Y98" s="29">
        <f>IF(OR(A98&lt;1,A98&gt;HU_T),0,IF(AND(HU_retExp&gt;0,A98-1&gt;=HU_dtr),HU_retExp,HU_exp0)*R98)</f>
        <v/>
      </c>
      <c r="Z98" s="29">
        <f>-Y98-IF(AND(HU_wdOn,A98=HU_wdYear),HU_wdOut,0)</f>
        <v/>
      </c>
      <c r="AA98" s="29">
        <f>IF(OR(A98&lt;1,A98&gt;HU_T),0,-HU_medCost*R98*F98-HU_tpdCost*R98*M98)</f>
        <v/>
      </c>
      <c r="AB98" s="29">
        <f>IF(A98&gt;HU_T,0,AB97*(1+interestRate)+X98+Z98+AA98)</f>
        <v/>
      </c>
      <c r="AC98" s="29">
        <f>IF(A98&gt;HU_T,0,HU_inv*EXP(HU_mu*A98))</f>
        <v/>
      </c>
      <c r="AD98" s="29">
        <f>IF(A98&gt;HU_T,0,MAX(0,AC98+AB98))</f>
        <v/>
      </c>
      <c r="AE98" s="29">
        <f>IF(A98&gt;HU_T,0,MAX(0,X98-Y98))</f>
        <v/>
      </c>
      <c r="AF98" s="63">
        <f>IF(AND($J$6,A98&gt;=1,A98&lt;=$Q$6-1),J98,0)</f>
        <v/>
      </c>
      <c r="AG98" s="29">
        <f>IF(OR(AF98=0,$S$6=0),0,IF((AD98+$L$6)&gt;$S$6/HU_alpha+$K$6,0.5*$S$6/HU_alpha,IF((AD98+$L$6)&gt;=$K$6,((AD98+$L$6)-$K$6)-0.5*HU_alpha/$S$6*((AD98+$L$6)-$K$6)^2,IF((AD98+$L$6)&gt;=$T$6,HU_beta*((AD98+$L$6)-$K$6),HU_beta*($T$6-$K$6)))))</f>
        <v/>
      </c>
      <c r="AH98" s="29">
        <f>IF(OR(AF98=0,$S$6=0),0,IF((AD98+$L$6+$N$6)&gt;$S$6/HU_alpha+$K$6,0.5*$S$6/HU_alpha,IF((AD98+$L$6+$N$6)&gt;=$K$6,((AD98+$L$6+$N$6)-$K$6)-0.5*HU_alpha/$S$6*((AD98+$L$6+$N$6)-$K$6)^2,IF((AD98+$L$6+$N$6)&gt;=$T$6,HU_beta*((AD98+$L$6+$N$6)-$K$6),HU_beta*($T$6-$K$6)))))</f>
        <v/>
      </c>
      <c r="AI98" s="29">
        <f>IF(OR(AF98=0,$S$6=0),0,IF((AD98+$K$6)&gt;$S$6/HU_alpha+$K$6,0.5*$S$6/HU_alpha,IF((AD98+$K$6)&gt;=$K$6,((AD98+$K$6)-$K$6)-0.5*HU_alpha/$S$6*((AD98+$K$6)-$K$6)^2,IF((AD98+$K$6)&gt;=$T$6,HU_beta*((AD98+$K$6)-$K$6),HU_beta*($T$6-$K$6)))))</f>
        <v/>
      </c>
      <c r="AJ98" s="63">
        <f>IF(AND($J$7,A98&gt;=1,A98&lt;=$Q$7-1),J98,0)</f>
        <v/>
      </c>
      <c r="AK98" s="29">
        <f>IF(OR(AJ98=0,$S$7=0),0,IF((AE98+$L$7)&gt;$S$7/HU_alpha+$K$7,0.5*$S$7/HU_alpha,IF((AE98+$L$7)&gt;=$K$7,((AE98+$L$7)-$K$7)-0.5*HU_alpha/$S$7*((AE98+$L$7)-$K$7)^2,IF((AE98+$L$7)&gt;=$T$7,HU_beta*((AE98+$L$7)-$K$7),HU_beta*($T$7-$K$7)))))</f>
        <v/>
      </c>
      <c r="AL98" s="29">
        <f>IF(OR(AJ98=0,$S$7=0),0,IF((AE98+$L$7+$N$7)&gt;$S$7/HU_alpha+$K$7,0.5*$S$7/HU_alpha,IF((AE98+$L$7+$N$7)&gt;=$K$7,((AE98+$L$7+$N$7)-$K$7)-0.5*HU_alpha/$S$7*((AE98+$L$7+$N$7)-$K$7)^2,IF((AE98+$L$7+$N$7)&gt;=$T$7,HU_beta*((AE98+$L$7+$N$7)-$K$7),HU_beta*($T$7-$K$7)))))</f>
        <v/>
      </c>
      <c r="AM98" s="29">
        <f>IF(OR(AJ98=0,$S$7=0),0,IF((AE98+$K$7)&gt;$S$7/HU_alpha+$K$7,0.5*$S$7/HU_alpha,IF((AE98+$K$7)&gt;=$K$7,((AE98+$K$7)-$K$7)-0.5*HU_alpha/$S$7*((AE98+$K$7)-$K$7)^2,IF((AE98+$K$7)&gt;=$T$7,HU_beta*((AE98+$K$7)-$K$7),HU_beta*($T$7-$K$7)))))</f>
        <v/>
      </c>
      <c r="AN98" s="63">
        <f>IF(AND($J$8,A98&gt;=1,A98&lt;=$Q$8-1),J98,0)</f>
        <v/>
      </c>
      <c r="AO98" s="29">
        <f>IF(OR(AN98=0,$S$8=0),0,IF((AE98+$L$8)&gt;$S$8/HU_alpha+$K$8,0.5*$S$8/HU_alpha,IF((AE98+$L$8)&gt;=$K$8,((AE98+$L$8)-$K$8)-0.5*HU_alpha/$S$8*((AE98+$L$8)-$K$8)^2,IF((AE98+$L$8)&gt;=$T$8,HU_beta*((AE98+$L$8)-$K$8),HU_beta*($T$8-$K$8)))))</f>
        <v/>
      </c>
      <c r="AP98" s="29">
        <f>IF(OR(AN98=0,$S$8=0),0,IF((AE98+$L$8+$N$8)&gt;$S$8/HU_alpha+$K$8,0.5*$S$8/HU_alpha,IF((AE98+$L$8+$N$8)&gt;=$K$8,((AE98+$L$8+$N$8)-$K$8)-0.5*HU_alpha/$S$8*((AE98+$L$8+$N$8)-$K$8)^2,IF((AE98+$L$8+$N$8)&gt;=$T$8,HU_beta*((AE98+$L$8+$N$8)-$K$8),HU_beta*($T$8-$K$8)))))</f>
        <v/>
      </c>
      <c r="AQ98" s="29">
        <f>IF(OR(AN98=0,$S$8=0),0,IF((AE98+$K$8)&gt;$S$8/HU_alpha+$K$8,0.5*$S$8/HU_alpha,IF((AE98+$K$8)&gt;=$K$8,((AE98+$K$8)-$K$8)-0.5*HU_alpha/$S$8*((AE98+$K$8)-$K$8)^2,IF((AE98+$K$8)&gt;=$T$8,HU_beta*((AE98+$K$8)-$K$8),HU_beta*($T$8-$K$8)))))</f>
        <v/>
      </c>
      <c r="AR98" s="63">
        <f>IF(AND($J$9,A98&gt;=1,A98&lt;=$Q$9-1),J98,0)</f>
        <v/>
      </c>
      <c r="AS98" s="29">
        <f>IF(OR(AR98=0,$S$9=0),0,IF((AE98+$L$9)&gt;$S$9/HU_alpha+$K$9,0.5*$S$9/HU_alpha,IF((AE98+$L$9)&gt;=$K$9,((AE98+$L$9)-$K$9)-0.5*HU_alpha/$S$9*((AE98+$L$9)-$K$9)^2,IF((AE98+$L$9)&gt;=$T$9,HU_beta*((AE98+$L$9)-$K$9),HU_beta*($T$9-$K$9)))))</f>
        <v/>
      </c>
      <c r="AT98" s="29">
        <f>IF(OR(AR98=0,$S$9=0),0,IF((AE98+$L$9+$N$9)&gt;$S$9/HU_alpha+$K$9,0.5*$S$9/HU_alpha,IF((AE98+$L$9+$N$9)&gt;=$K$9,((AE98+$L$9+$N$9)-$K$9)-0.5*HU_alpha/$S$9*((AE98+$L$9+$N$9)-$K$9)^2,IF((AE98+$L$9+$N$9)&gt;=$T$9,HU_beta*((AE98+$L$9+$N$9)-$K$9),HU_beta*($T$9-$K$9)))))</f>
        <v/>
      </c>
      <c r="AU98" s="29">
        <f>IF(OR(AR98=0,$S$9=0),0,IF((AE98+$K$9)&gt;$S$9/HU_alpha+$K$9,0.5*$S$9/HU_alpha,IF((AE98+$K$9)&gt;=$K$9,((AE98+$K$9)-$K$9)-0.5*HU_alpha/$S$9*((AE98+$K$9)-$K$9)^2,IF((AE98+$K$9)&gt;=$T$9,HU_beta*((AE98+$K$9)-$K$9),HU_beta*($T$9-$K$9)))))</f>
        <v/>
      </c>
      <c r="AV98" s="63">
        <f>IF(AND($J$10,A98=$Q$10),J98,0)</f>
        <v/>
      </c>
      <c r="AW98" s="29">
        <f>IF(OR(AV98=0,$S$10=0),0,IF((AD98+$L$10)&gt;$S$10/HU_alpha+$K$10,0.5*$S$10/HU_alpha,IF((AD98+$L$10)&gt;=$K$10,((AD98+$L$10)-$K$10)-0.5*HU_alpha/$S$10*((AD98+$L$10)-$K$10)^2,IF((AD98+$L$10)&gt;=$T$10,HU_beta*((AD98+$L$10)-$K$10),HU_beta*($T$10-$K$10)))))</f>
        <v/>
      </c>
      <c r="AX98" s="29">
        <f>IF(OR(AV98=0,$S$10=0),0,IF((AD98+$L$10+$N$10)&gt;$S$10/HU_alpha+$K$10,0.5*$S$10/HU_alpha,IF((AD98+$L$10+$N$10)&gt;=$K$10,((AD98+$L$10+$N$10)-$K$10)-0.5*HU_alpha/$S$10*((AD98+$L$10+$N$10)-$K$10)^2,IF((AD98+$L$10+$N$10)&gt;=$T$10,HU_beta*((AD98+$L$10+$N$10)-$K$10),HU_beta*($T$10-$K$10)))))</f>
        <v/>
      </c>
      <c r="AY98" s="29">
        <f>IF(OR(AV98=0,$S$10=0),0,IF((AD98+$K$10)&gt;$S$10/HU_alpha+$K$10,0.5*$S$10/HU_alpha,IF((AD98+$K$10)&gt;=$K$10,((AD98+$K$10)-$K$10)-0.5*HU_alpha/$S$10*((AD98+$K$10)-$K$10)^2,IF((AD98+$K$10)&gt;=$T$10,HU_beta*((AD98+$K$10)-$K$10),HU_beta*($T$10-$K$10)))))</f>
        <v/>
      </c>
      <c r="AZ98" s="63">
        <f>IF(AND($J$11,A98=$Q$11),J98,0)</f>
        <v/>
      </c>
      <c r="BA98" s="29">
        <f>IF(OR(AZ98=0,$S$11=0),0,IF((AE98+$L$11)&gt;$S$11/HU_alpha+$K$11,0.5*$S$11/HU_alpha,IF((AE98+$L$11)&gt;=$K$11,((AE98+$L$11)-$K$11)-0.5*HU_alpha/$S$11*((AE98+$L$11)-$K$11)^2,IF((AE98+$L$11)&gt;=$T$11,HU_beta*((AE98+$L$11)-$K$11),HU_beta*($T$11-$K$11)))))</f>
        <v/>
      </c>
      <c r="BB98" s="29">
        <f>IF(OR(AZ98=0,$S$11=0),0,IF((AE98+$L$11+$N$11)&gt;$S$11/HU_alpha+$K$11,0.5*$S$11/HU_alpha,IF((AE98+$L$11+$N$11)&gt;=$K$11,((AE98+$L$11+$N$11)-$K$11)-0.5*HU_alpha/$S$11*((AE98+$L$11+$N$11)-$K$11)^2,IF((AE98+$L$11+$N$11)&gt;=$T$11,HU_beta*((AE98+$L$11+$N$11)-$K$11),HU_beta*($T$11-$K$11)))))</f>
        <v/>
      </c>
      <c r="BC98" s="29">
        <f>IF(OR(AZ98=0,$S$11=0),0,IF((AE98+$K$11)&gt;$S$11/HU_alpha+$K$11,0.5*$S$11/HU_alpha,IF((AE98+$K$11)&gt;=$K$11,((AE98+$K$11)-$K$11)-0.5*HU_alpha/$S$11*((AE98+$K$11)-$K$11)^2,IF((AE98+$K$11)&gt;=$T$11,HU_beta*((AE98+$K$11)-$K$11),HU_beta*($T$11-$K$11)))))</f>
        <v/>
      </c>
      <c r="BD98" s="63">
        <f>IF(AND($J$12,A98=$Q$12),J98,0)</f>
        <v/>
      </c>
      <c r="BE98" s="29">
        <f>IF(OR(BD98=0,$S$12=0),0,IF((AE98+$L$12)&gt;$S$12/HU_alpha+$K$12,0.5*$S$12/HU_alpha,IF((AE98+$L$12)&gt;=$K$12,((AE98+$L$12)-$K$12)-0.5*HU_alpha/$S$12*((AE98+$L$12)-$K$12)^2,IF((AE98+$L$12)&gt;=$T$12,HU_beta*((AE98+$L$12)-$K$12),HU_beta*($T$12-$K$12)))))</f>
        <v/>
      </c>
      <c r="BF98" s="29">
        <f>IF(OR(BD98=0,$S$12=0),0,IF((AE98+$L$12+$N$12)&gt;$S$12/HU_alpha+$K$12,0.5*$S$12/HU_alpha,IF((AE98+$L$12+$N$12)&gt;=$K$12,((AE98+$L$12+$N$12)-$K$12)-0.5*HU_alpha/$S$12*((AE98+$L$12+$N$12)-$K$12)^2,IF((AE98+$L$12+$N$12)&gt;=$T$12,HU_beta*((AE98+$L$12+$N$12)-$K$12),HU_beta*($T$12-$K$12)))))</f>
        <v/>
      </c>
      <c r="BG98" s="29">
        <f>IF(OR(BD98=0,$S$12=0),0,IF((AE98+$K$12)&gt;$S$12/HU_alpha+$K$12,0.5*$S$12/HU_alpha,IF((AE98+$K$12)&gt;=$K$12,((AE98+$K$12)-$K$12)-0.5*HU_alpha/$S$12*((AE98+$K$12)-$K$12)^2,IF((AE98+$K$12)&gt;=$T$12,HU_beta*((AE98+$K$12)-$K$12),HU_beta*($T$12-$K$12)))))</f>
        <v/>
      </c>
      <c r="BH98" s="63">
        <f>IF(AND($J$13,A98=$Q$13),J98,0)</f>
        <v/>
      </c>
      <c r="BI98" s="29">
        <f>IF(OR(BH98=0,$S$13=0),0,IF((AE98+$L$13)&gt;$S$13/HU_alpha+$K$13,0.5*$S$13/HU_alpha,IF((AE98+$L$13)&gt;=$K$13,((AE98+$L$13)-$K$13)-0.5*HU_alpha/$S$13*((AE98+$L$13)-$K$13)^2,IF((AE98+$L$13)&gt;=$T$13,HU_beta*((AE98+$L$13)-$K$13),HU_beta*($T$13-$K$13)))))</f>
        <v/>
      </c>
      <c r="BJ98" s="29">
        <f>IF(OR(BH98=0,$S$13=0),0,IF((AE98+$L$13+$N$13)&gt;$S$13/HU_alpha+$K$13,0.5*$S$13/HU_alpha,IF((AE98+$L$13+$N$13)&gt;=$K$13,((AE98+$L$13+$N$13)-$K$13)-0.5*HU_alpha/$S$13*((AE98+$L$13+$N$13)-$K$13)^2,IF((AE98+$L$13+$N$13)&gt;=$T$13,HU_beta*((AE98+$L$13+$N$13)-$K$13),HU_beta*($T$13-$K$13)))))</f>
        <v/>
      </c>
      <c r="BK98" s="29">
        <f>IF(OR(BH98=0,$S$13=0),0,IF((AE98+$K$13)&gt;$S$13/HU_alpha+$K$13,0.5*$S$13/HU_alpha,IF((AE98+$K$13)&gt;=$K$13,((AE98+$K$13)-$K$13)-0.5*HU_alpha/$S$13*((AE98+$K$13)-$K$13)^2,IF((AE98+$K$13)&gt;=$T$13,HU_beta*((AE98+$K$13)-$K$13),HU_beta*($T$13-$K$13)))))</f>
        <v/>
      </c>
    </row>
    <row r="99">
      <c r="A99" s="61" t="n">
        <v>31</v>
      </c>
      <c r="B99" s="61">
        <f>HU_age+A99</f>
        <v/>
      </c>
      <c r="C99" s="52">
        <f>A99&lt;=HU_T</f>
        <v/>
      </c>
      <c r="D99" s="63">
        <f>IF(OR(A99&lt;1,A99&gt;HU_T),0,INDEX(HU_q_mort,HU_age+A99-17,HU_col))</f>
        <v/>
      </c>
      <c r="E99" s="63">
        <f>IF(OR(A99&lt;1,A99&gt;HU_T),0,INDEX(HU_q_adb,HU_age+A99-17,HU_col))</f>
        <v/>
      </c>
      <c r="F99" s="63">
        <f>IF(OR(A99&lt;1,A99&gt;HU_T),0,INDEX(HU_q_morb,HU_age+A99-17,HU_col))</f>
        <v/>
      </c>
      <c r="G99" s="63">
        <f>IF(OR(A99&lt;1,A99&gt;HU_T),0,INDEX(HU_q_ptd,HU_age+A99-17,HU_col))</f>
        <v/>
      </c>
      <c r="H99" s="63">
        <f>IF(OR(A99&lt;1,A99&gt;HU_T),0,INDEX(HU_q_dis,HU_age+A99-17,HU_col))</f>
        <v/>
      </c>
      <c r="I99" s="63">
        <f>IF(A99&gt;HU_T,0,I98*(1-D99)*(1-E99))</f>
        <v/>
      </c>
      <c r="J99" s="63">
        <f>IF(A99&gt;=HU_T,0,N(I100))</f>
        <v/>
      </c>
      <c r="K99" s="63">
        <f>K98*(1-G99)</f>
        <v/>
      </c>
      <c r="L99" s="63">
        <f>1-K99</f>
        <v/>
      </c>
      <c r="M99" s="63">
        <f>K98*G99</f>
        <v/>
      </c>
      <c r="N99" s="63">
        <f>N98*(1-H99)</f>
        <v/>
      </c>
      <c r="O99" s="63">
        <f>1-N98</f>
        <v/>
      </c>
      <c r="P99" s="63">
        <f>P98*(1-F99)</f>
        <v/>
      </c>
      <c r="Q99" s="63">
        <f>1-P98/INDEX($P$68:$P$150,MAX(1,A99-HU_ciYears))</f>
        <v/>
      </c>
      <c r="R99" s="60">
        <f>(1+inflationRate)^A99</f>
        <v/>
      </c>
      <c r="S99" s="29">
        <f>IF(OR(OR(A99&lt;1,A99&gt;HU_T),A99-1&gt;=HU_dtr),0,HU_inc0*(1+incomeGrowthRate)^A99)</f>
        <v/>
      </c>
      <c r="T99" s="60">
        <f>IF(A99&gt;HU_T,T98,T98*(1+INDEX(HU_ssG,HU_age+A99-17)))</f>
        <v/>
      </c>
      <c r="U99" s="29">
        <f>IF(AND(HU_dtr&gt;=1,A99=HU_dtr,A99&lt;=HU_T),MIN(S99*INDEX(HU_ssC,HU_age+A99-17)/(1-INDEX(HU_ssC,HU_age+A99-17)),INDEX(HU_ssCap,HU_age+A99-17))*T99,0)</f>
        <v/>
      </c>
      <c r="V99" s="29">
        <f>S99+U99+IF(AND(HU_wdOn,A99=HU_wdYear),HU_wdIncome,0)</f>
        <v/>
      </c>
      <c r="W99" s="60">
        <f>HU_ciProp*Q99+HU_tpdCut*L99+HU_disCut*O99</f>
        <v/>
      </c>
      <c r="X99" s="29">
        <f>IF(OR(A99&lt;1,A99&gt;HU_T),0,V99*(1-W99))</f>
        <v/>
      </c>
      <c r="Y99" s="29">
        <f>IF(OR(A99&lt;1,A99&gt;HU_T),0,IF(AND(HU_retExp&gt;0,A99-1&gt;=HU_dtr),HU_retExp,HU_exp0)*R99)</f>
        <v/>
      </c>
      <c r="Z99" s="29">
        <f>-Y99-IF(AND(HU_wdOn,A99=HU_wdYear),HU_wdOut,0)</f>
        <v/>
      </c>
      <c r="AA99" s="29">
        <f>IF(OR(A99&lt;1,A99&gt;HU_T),0,-HU_medCost*R99*F99-HU_tpdCost*R99*M99)</f>
        <v/>
      </c>
      <c r="AB99" s="29">
        <f>IF(A99&gt;HU_T,0,AB98*(1+interestRate)+X99+Z99+AA99)</f>
        <v/>
      </c>
      <c r="AC99" s="29">
        <f>IF(A99&gt;HU_T,0,HU_inv*EXP(HU_mu*A99))</f>
        <v/>
      </c>
      <c r="AD99" s="29">
        <f>IF(A99&gt;HU_T,0,MAX(0,AC99+AB99))</f>
        <v/>
      </c>
      <c r="AE99" s="29">
        <f>IF(A99&gt;HU_T,0,MAX(0,X99-Y99))</f>
        <v/>
      </c>
      <c r="AF99" s="63">
        <f>IF(AND($J$6,A99&gt;=1,A99&lt;=$Q$6-1),J99,0)</f>
        <v/>
      </c>
      <c r="AG99" s="29">
        <f>IF(OR(AF99=0,$S$6=0),0,IF((AD99+$L$6)&gt;$S$6/HU_alpha+$K$6,0.5*$S$6/HU_alpha,IF((AD99+$L$6)&gt;=$K$6,((AD99+$L$6)-$K$6)-0.5*HU_alpha/$S$6*((AD99+$L$6)-$K$6)^2,IF((AD99+$L$6)&gt;=$T$6,HU_beta*((AD99+$L$6)-$K$6),HU_beta*($T$6-$K$6)))))</f>
        <v/>
      </c>
      <c r="AH99" s="29">
        <f>IF(OR(AF99=0,$S$6=0),0,IF((AD99+$L$6+$N$6)&gt;$S$6/HU_alpha+$K$6,0.5*$S$6/HU_alpha,IF((AD99+$L$6+$N$6)&gt;=$K$6,((AD99+$L$6+$N$6)-$K$6)-0.5*HU_alpha/$S$6*((AD99+$L$6+$N$6)-$K$6)^2,IF((AD99+$L$6+$N$6)&gt;=$T$6,HU_beta*((AD99+$L$6+$N$6)-$K$6),HU_beta*($T$6-$K$6)))))</f>
        <v/>
      </c>
      <c r="AI99" s="29">
        <f>IF(OR(AF99=0,$S$6=0),0,IF((AD99+$K$6)&gt;$S$6/HU_alpha+$K$6,0.5*$S$6/HU_alpha,IF((AD99+$K$6)&gt;=$K$6,((AD99+$K$6)-$K$6)-0.5*HU_alpha/$S$6*((AD99+$K$6)-$K$6)^2,IF((AD99+$K$6)&gt;=$T$6,HU_beta*((AD99+$K$6)-$K$6),HU_beta*($T$6-$K$6)))))</f>
        <v/>
      </c>
      <c r="AJ99" s="63">
        <f>IF(AND($J$7,A99&gt;=1,A99&lt;=$Q$7-1),J99,0)</f>
        <v/>
      </c>
      <c r="AK99" s="29">
        <f>IF(OR(AJ99=0,$S$7=0),0,IF((AE99+$L$7)&gt;$S$7/HU_alpha+$K$7,0.5*$S$7/HU_alpha,IF((AE99+$L$7)&gt;=$K$7,((AE99+$L$7)-$K$7)-0.5*HU_alpha/$S$7*((AE99+$L$7)-$K$7)^2,IF((AE99+$L$7)&gt;=$T$7,HU_beta*((AE99+$L$7)-$K$7),HU_beta*($T$7-$K$7)))))</f>
        <v/>
      </c>
      <c r="AL99" s="29">
        <f>IF(OR(AJ99=0,$S$7=0),0,IF((AE99+$L$7+$N$7)&gt;$S$7/HU_alpha+$K$7,0.5*$S$7/HU_alpha,IF((AE99+$L$7+$N$7)&gt;=$K$7,((AE99+$L$7+$N$7)-$K$7)-0.5*HU_alpha/$S$7*((AE99+$L$7+$N$7)-$K$7)^2,IF((AE99+$L$7+$N$7)&gt;=$T$7,HU_beta*((AE99+$L$7+$N$7)-$K$7),HU_beta*($T$7-$K$7)))))</f>
        <v/>
      </c>
      <c r="AM99" s="29">
        <f>IF(OR(AJ99=0,$S$7=0),0,IF((AE99+$K$7)&gt;$S$7/HU_alpha+$K$7,0.5*$S$7/HU_alpha,IF((AE99+$K$7)&gt;=$K$7,((AE99+$K$7)-$K$7)-0.5*HU_alpha/$S$7*((AE99+$K$7)-$K$7)^2,IF((AE99+$K$7)&gt;=$T$7,HU_beta*((AE99+$K$7)-$K$7),HU_beta*($T$7-$K$7)))))</f>
        <v/>
      </c>
      <c r="AN99" s="63">
        <f>IF(AND($J$8,A99&gt;=1,A99&lt;=$Q$8-1),J99,0)</f>
        <v/>
      </c>
      <c r="AO99" s="29">
        <f>IF(OR(AN99=0,$S$8=0),0,IF((AE99+$L$8)&gt;$S$8/HU_alpha+$K$8,0.5*$S$8/HU_alpha,IF((AE99+$L$8)&gt;=$K$8,((AE99+$L$8)-$K$8)-0.5*HU_alpha/$S$8*((AE99+$L$8)-$K$8)^2,IF((AE99+$L$8)&gt;=$T$8,HU_beta*((AE99+$L$8)-$K$8),HU_beta*($T$8-$K$8)))))</f>
        <v/>
      </c>
      <c r="AP99" s="29">
        <f>IF(OR(AN99=0,$S$8=0),0,IF((AE99+$L$8+$N$8)&gt;$S$8/HU_alpha+$K$8,0.5*$S$8/HU_alpha,IF((AE99+$L$8+$N$8)&gt;=$K$8,((AE99+$L$8+$N$8)-$K$8)-0.5*HU_alpha/$S$8*((AE99+$L$8+$N$8)-$K$8)^2,IF((AE99+$L$8+$N$8)&gt;=$T$8,HU_beta*((AE99+$L$8+$N$8)-$K$8),HU_beta*($T$8-$K$8)))))</f>
        <v/>
      </c>
      <c r="AQ99" s="29">
        <f>IF(OR(AN99=0,$S$8=0),0,IF((AE99+$K$8)&gt;$S$8/HU_alpha+$K$8,0.5*$S$8/HU_alpha,IF((AE99+$K$8)&gt;=$K$8,((AE99+$K$8)-$K$8)-0.5*HU_alpha/$S$8*((AE99+$K$8)-$K$8)^2,IF((AE99+$K$8)&gt;=$T$8,HU_beta*((AE99+$K$8)-$K$8),HU_beta*($T$8-$K$8)))))</f>
        <v/>
      </c>
      <c r="AR99" s="63">
        <f>IF(AND($J$9,A99&gt;=1,A99&lt;=$Q$9-1),J99,0)</f>
        <v/>
      </c>
      <c r="AS99" s="29">
        <f>IF(OR(AR99=0,$S$9=0),0,IF((AE99+$L$9)&gt;$S$9/HU_alpha+$K$9,0.5*$S$9/HU_alpha,IF((AE99+$L$9)&gt;=$K$9,((AE99+$L$9)-$K$9)-0.5*HU_alpha/$S$9*((AE99+$L$9)-$K$9)^2,IF((AE99+$L$9)&gt;=$T$9,HU_beta*((AE99+$L$9)-$K$9),HU_beta*($T$9-$K$9)))))</f>
        <v/>
      </c>
      <c r="AT99" s="29">
        <f>IF(OR(AR99=0,$S$9=0),0,IF((AE99+$L$9+$N$9)&gt;$S$9/HU_alpha+$K$9,0.5*$S$9/HU_alpha,IF((AE99+$L$9+$N$9)&gt;=$K$9,((AE99+$L$9+$N$9)-$K$9)-0.5*HU_alpha/$S$9*((AE99+$L$9+$N$9)-$K$9)^2,IF((AE99+$L$9+$N$9)&gt;=$T$9,HU_beta*((AE99+$L$9+$N$9)-$K$9),HU_beta*($T$9-$K$9)))))</f>
        <v/>
      </c>
      <c r="AU99" s="29">
        <f>IF(OR(AR99=0,$S$9=0),0,IF((AE99+$K$9)&gt;$S$9/HU_alpha+$K$9,0.5*$S$9/HU_alpha,IF((AE99+$K$9)&gt;=$K$9,((AE99+$K$9)-$K$9)-0.5*HU_alpha/$S$9*((AE99+$K$9)-$K$9)^2,IF((AE99+$K$9)&gt;=$T$9,HU_beta*((AE99+$K$9)-$K$9),HU_beta*($T$9-$K$9)))))</f>
        <v/>
      </c>
      <c r="AV99" s="63">
        <f>IF(AND($J$10,A99=$Q$10),J99,0)</f>
        <v/>
      </c>
      <c r="AW99" s="29">
        <f>IF(OR(AV99=0,$S$10=0),0,IF((AD99+$L$10)&gt;$S$10/HU_alpha+$K$10,0.5*$S$10/HU_alpha,IF((AD99+$L$10)&gt;=$K$10,((AD99+$L$10)-$K$10)-0.5*HU_alpha/$S$10*((AD99+$L$10)-$K$10)^2,IF((AD99+$L$10)&gt;=$T$10,HU_beta*((AD99+$L$10)-$K$10),HU_beta*($T$10-$K$10)))))</f>
        <v/>
      </c>
      <c r="AX99" s="29">
        <f>IF(OR(AV99=0,$S$10=0),0,IF((AD99+$L$10+$N$10)&gt;$S$10/HU_alpha+$K$10,0.5*$S$10/HU_alpha,IF((AD99+$L$10+$N$10)&gt;=$K$10,((AD99+$L$10+$N$10)-$K$10)-0.5*HU_alpha/$S$10*((AD99+$L$10+$N$10)-$K$10)^2,IF((AD99+$L$10+$N$10)&gt;=$T$10,HU_beta*((AD99+$L$10+$N$10)-$K$10),HU_beta*($T$10-$K$10)))))</f>
        <v/>
      </c>
      <c r="AY99" s="29">
        <f>IF(OR(AV99=0,$S$10=0),0,IF((AD99+$K$10)&gt;$S$10/HU_alpha+$K$10,0.5*$S$10/HU_alpha,IF((AD99+$K$10)&gt;=$K$10,((AD99+$K$10)-$K$10)-0.5*HU_alpha/$S$10*((AD99+$K$10)-$K$10)^2,IF((AD99+$K$10)&gt;=$T$10,HU_beta*((AD99+$K$10)-$K$10),HU_beta*($T$10-$K$10)))))</f>
        <v/>
      </c>
      <c r="AZ99" s="63">
        <f>IF(AND($J$11,A99=$Q$11),J99,0)</f>
        <v/>
      </c>
      <c r="BA99" s="29">
        <f>IF(OR(AZ99=0,$S$11=0),0,IF((AE99+$L$11)&gt;$S$11/HU_alpha+$K$11,0.5*$S$11/HU_alpha,IF((AE99+$L$11)&gt;=$K$11,((AE99+$L$11)-$K$11)-0.5*HU_alpha/$S$11*((AE99+$L$11)-$K$11)^2,IF((AE99+$L$11)&gt;=$T$11,HU_beta*((AE99+$L$11)-$K$11),HU_beta*($T$11-$K$11)))))</f>
        <v/>
      </c>
      <c r="BB99" s="29">
        <f>IF(OR(AZ99=0,$S$11=0),0,IF((AE99+$L$11+$N$11)&gt;$S$11/HU_alpha+$K$11,0.5*$S$11/HU_alpha,IF((AE99+$L$11+$N$11)&gt;=$K$11,((AE99+$L$11+$N$11)-$K$11)-0.5*HU_alpha/$S$11*((AE99+$L$11+$N$11)-$K$11)^2,IF((AE99+$L$11+$N$11)&gt;=$T$11,HU_beta*((AE99+$L$11+$N$11)-$K$11),HU_beta*($T$11-$K$11)))))</f>
        <v/>
      </c>
      <c r="BC99" s="29">
        <f>IF(OR(AZ99=0,$S$11=0),0,IF((AE99+$K$11)&gt;$S$11/HU_alpha+$K$11,0.5*$S$11/HU_alpha,IF((AE99+$K$11)&gt;=$K$11,((AE99+$K$11)-$K$11)-0.5*HU_alpha/$S$11*((AE99+$K$11)-$K$11)^2,IF((AE99+$K$11)&gt;=$T$11,HU_beta*((AE99+$K$11)-$K$11),HU_beta*($T$11-$K$11)))))</f>
        <v/>
      </c>
      <c r="BD99" s="63">
        <f>IF(AND($J$12,A99=$Q$12),J99,0)</f>
        <v/>
      </c>
      <c r="BE99" s="29">
        <f>IF(OR(BD99=0,$S$12=0),0,IF((AE99+$L$12)&gt;$S$12/HU_alpha+$K$12,0.5*$S$12/HU_alpha,IF((AE99+$L$12)&gt;=$K$12,((AE99+$L$12)-$K$12)-0.5*HU_alpha/$S$12*((AE99+$L$12)-$K$12)^2,IF((AE99+$L$12)&gt;=$T$12,HU_beta*((AE99+$L$12)-$K$12),HU_beta*($T$12-$K$12)))))</f>
        <v/>
      </c>
      <c r="BF99" s="29">
        <f>IF(OR(BD99=0,$S$12=0),0,IF((AE99+$L$12+$N$12)&gt;$S$12/HU_alpha+$K$12,0.5*$S$12/HU_alpha,IF((AE99+$L$12+$N$12)&gt;=$K$12,((AE99+$L$12+$N$12)-$K$12)-0.5*HU_alpha/$S$12*((AE99+$L$12+$N$12)-$K$12)^2,IF((AE99+$L$12+$N$12)&gt;=$T$12,HU_beta*((AE99+$L$12+$N$12)-$K$12),HU_beta*($T$12-$K$12)))))</f>
        <v/>
      </c>
      <c r="BG99" s="29">
        <f>IF(OR(BD99=0,$S$12=0),0,IF((AE99+$K$12)&gt;$S$12/HU_alpha+$K$12,0.5*$S$12/HU_alpha,IF((AE99+$K$12)&gt;=$K$12,((AE99+$K$12)-$K$12)-0.5*HU_alpha/$S$12*((AE99+$K$12)-$K$12)^2,IF((AE99+$K$12)&gt;=$T$12,HU_beta*((AE99+$K$12)-$K$12),HU_beta*($T$12-$K$12)))))</f>
        <v/>
      </c>
      <c r="BH99" s="63">
        <f>IF(AND($J$13,A99=$Q$13),J99,0)</f>
        <v/>
      </c>
      <c r="BI99" s="29">
        <f>IF(OR(BH99=0,$S$13=0),0,IF((AE99+$L$13)&gt;$S$13/HU_alpha+$K$13,0.5*$S$13/HU_alpha,IF((AE99+$L$13)&gt;=$K$13,((AE99+$L$13)-$K$13)-0.5*HU_alpha/$S$13*((AE99+$L$13)-$K$13)^2,IF((AE99+$L$13)&gt;=$T$13,HU_beta*((AE99+$L$13)-$K$13),HU_beta*($T$13-$K$13)))))</f>
        <v/>
      </c>
      <c r="BJ99" s="29">
        <f>IF(OR(BH99=0,$S$13=0),0,IF((AE99+$L$13+$N$13)&gt;$S$13/HU_alpha+$K$13,0.5*$S$13/HU_alpha,IF((AE99+$L$13+$N$13)&gt;=$K$13,((AE99+$L$13+$N$13)-$K$13)-0.5*HU_alpha/$S$13*((AE99+$L$13+$N$13)-$K$13)^2,IF((AE99+$L$13+$N$13)&gt;=$T$13,HU_beta*((AE99+$L$13+$N$13)-$K$13),HU_beta*($T$13-$K$13)))))</f>
        <v/>
      </c>
      <c r="BK99" s="29">
        <f>IF(OR(BH99=0,$S$13=0),0,IF((AE99+$K$13)&gt;$S$13/HU_alpha+$K$13,0.5*$S$13/HU_alpha,IF((AE99+$K$13)&gt;=$K$13,((AE99+$K$13)-$K$13)-0.5*HU_alpha/$S$13*((AE99+$K$13)-$K$13)^2,IF((AE99+$K$13)&gt;=$T$13,HU_beta*((AE99+$K$13)-$K$13),HU_beta*($T$13-$K$13)))))</f>
        <v/>
      </c>
    </row>
    <row r="100">
      <c r="A100" s="61" t="n">
        <v>32</v>
      </c>
      <c r="B100" s="61">
        <f>HU_age+A100</f>
        <v/>
      </c>
      <c r="C100" s="52">
        <f>A100&lt;=HU_T</f>
        <v/>
      </c>
      <c r="D100" s="63">
        <f>IF(OR(A100&lt;1,A100&gt;HU_T),0,INDEX(HU_q_mort,HU_age+A100-17,HU_col))</f>
        <v/>
      </c>
      <c r="E100" s="63">
        <f>IF(OR(A100&lt;1,A100&gt;HU_T),0,INDEX(HU_q_adb,HU_age+A100-17,HU_col))</f>
        <v/>
      </c>
      <c r="F100" s="63">
        <f>IF(OR(A100&lt;1,A100&gt;HU_T),0,INDEX(HU_q_morb,HU_age+A100-17,HU_col))</f>
        <v/>
      </c>
      <c r="G100" s="63">
        <f>IF(OR(A100&lt;1,A100&gt;HU_T),0,INDEX(HU_q_ptd,HU_age+A100-17,HU_col))</f>
        <v/>
      </c>
      <c r="H100" s="63">
        <f>IF(OR(A100&lt;1,A100&gt;HU_T),0,INDEX(HU_q_dis,HU_age+A100-17,HU_col))</f>
        <v/>
      </c>
      <c r="I100" s="63">
        <f>IF(A100&gt;HU_T,0,I99*(1-D100)*(1-E100))</f>
        <v/>
      </c>
      <c r="J100" s="63">
        <f>IF(A100&gt;=HU_T,0,N(I101))</f>
        <v/>
      </c>
      <c r="K100" s="63">
        <f>K99*(1-G100)</f>
        <v/>
      </c>
      <c r="L100" s="63">
        <f>1-K100</f>
        <v/>
      </c>
      <c r="M100" s="63">
        <f>K99*G100</f>
        <v/>
      </c>
      <c r="N100" s="63">
        <f>N99*(1-H100)</f>
        <v/>
      </c>
      <c r="O100" s="63">
        <f>1-N99</f>
        <v/>
      </c>
      <c r="P100" s="63">
        <f>P99*(1-F100)</f>
        <v/>
      </c>
      <c r="Q100" s="63">
        <f>1-P99/INDEX($P$68:$P$150,MAX(1,A100-HU_ciYears))</f>
        <v/>
      </c>
      <c r="R100" s="60">
        <f>(1+inflationRate)^A100</f>
        <v/>
      </c>
      <c r="S100" s="29">
        <f>IF(OR(OR(A100&lt;1,A100&gt;HU_T),A100-1&gt;=HU_dtr),0,HU_inc0*(1+incomeGrowthRate)^A100)</f>
        <v/>
      </c>
      <c r="T100" s="60">
        <f>IF(A100&gt;HU_T,T99,T99*(1+INDEX(HU_ssG,HU_age+A100-17)))</f>
        <v/>
      </c>
      <c r="U100" s="29">
        <f>IF(AND(HU_dtr&gt;=1,A100=HU_dtr,A100&lt;=HU_T),MIN(S100*INDEX(HU_ssC,HU_age+A100-17)/(1-INDEX(HU_ssC,HU_age+A100-17)),INDEX(HU_ssCap,HU_age+A100-17))*T100,0)</f>
        <v/>
      </c>
      <c r="V100" s="29">
        <f>S100+U100+IF(AND(HU_wdOn,A100=HU_wdYear),HU_wdIncome,0)</f>
        <v/>
      </c>
      <c r="W100" s="60">
        <f>HU_ciProp*Q100+HU_tpdCut*L100+HU_disCut*O100</f>
        <v/>
      </c>
      <c r="X100" s="29">
        <f>IF(OR(A100&lt;1,A100&gt;HU_T),0,V100*(1-W100))</f>
        <v/>
      </c>
      <c r="Y100" s="29">
        <f>IF(OR(A100&lt;1,A100&gt;HU_T),0,IF(AND(HU_retExp&gt;0,A100-1&gt;=HU_dtr),HU_retExp,HU_exp0)*R100)</f>
        <v/>
      </c>
      <c r="Z100" s="29">
        <f>-Y100-IF(AND(HU_wdOn,A100=HU_wdYear),HU_wdOut,0)</f>
        <v/>
      </c>
      <c r="AA100" s="29">
        <f>IF(OR(A100&lt;1,A100&gt;HU_T),0,-HU_medCost*R100*F100-HU_tpdCost*R100*M100)</f>
        <v/>
      </c>
      <c r="AB100" s="29">
        <f>IF(A100&gt;HU_T,0,AB99*(1+interestRate)+X100+Z100+AA100)</f>
        <v/>
      </c>
      <c r="AC100" s="29">
        <f>IF(A100&gt;HU_T,0,HU_inv*EXP(HU_mu*A100))</f>
        <v/>
      </c>
      <c r="AD100" s="29">
        <f>IF(A100&gt;HU_T,0,MAX(0,AC100+AB100))</f>
        <v/>
      </c>
      <c r="AE100" s="29">
        <f>IF(A100&gt;HU_T,0,MAX(0,X100-Y100))</f>
        <v/>
      </c>
      <c r="AF100" s="63">
        <f>IF(AND($J$6,A100&gt;=1,A100&lt;=$Q$6-1),J100,0)</f>
        <v/>
      </c>
      <c r="AG100" s="29">
        <f>IF(OR(AF100=0,$S$6=0),0,IF((AD100+$L$6)&gt;$S$6/HU_alpha+$K$6,0.5*$S$6/HU_alpha,IF((AD100+$L$6)&gt;=$K$6,((AD100+$L$6)-$K$6)-0.5*HU_alpha/$S$6*((AD100+$L$6)-$K$6)^2,IF((AD100+$L$6)&gt;=$T$6,HU_beta*((AD100+$L$6)-$K$6),HU_beta*($T$6-$K$6)))))</f>
        <v/>
      </c>
      <c r="AH100" s="29">
        <f>IF(OR(AF100=0,$S$6=0),0,IF((AD100+$L$6+$N$6)&gt;$S$6/HU_alpha+$K$6,0.5*$S$6/HU_alpha,IF((AD100+$L$6+$N$6)&gt;=$K$6,((AD100+$L$6+$N$6)-$K$6)-0.5*HU_alpha/$S$6*((AD100+$L$6+$N$6)-$K$6)^2,IF((AD100+$L$6+$N$6)&gt;=$T$6,HU_beta*((AD100+$L$6+$N$6)-$K$6),HU_beta*($T$6-$K$6)))))</f>
        <v/>
      </c>
      <c r="AI100" s="29">
        <f>IF(OR(AF100=0,$S$6=0),0,IF((AD100+$K$6)&gt;$S$6/HU_alpha+$K$6,0.5*$S$6/HU_alpha,IF((AD100+$K$6)&gt;=$K$6,((AD100+$K$6)-$K$6)-0.5*HU_alpha/$S$6*((AD100+$K$6)-$K$6)^2,IF((AD100+$K$6)&gt;=$T$6,HU_beta*((AD100+$K$6)-$K$6),HU_beta*($T$6-$K$6)))))</f>
        <v/>
      </c>
      <c r="AJ100" s="63">
        <f>IF(AND($J$7,A100&gt;=1,A100&lt;=$Q$7-1),J100,0)</f>
        <v/>
      </c>
      <c r="AK100" s="29">
        <f>IF(OR(AJ100=0,$S$7=0),0,IF((AE100+$L$7)&gt;$S$7/HU_alpha+$K$7,0.5*$S$7/HU_alpha,IF((AE100+$L$7)&gt;=$K$7,((AE100+$L$7)-$K$7)-0.5*HU_alpha/$S$7*((AE100+$L$7)-$K$7)^2,IF((AE100+$L$7)&gt;=$T$7,HU_beta*((AE100+$L$7)-$K$7),HU_beta*($T$7-$K$7)))))</f>
        <v/>
      </c>
      <c r="AL100" s="29">
        <f>IF(OR(AJ100=0,$S$7=0),0,IF((AE100+$L$7+$N$7)&gt;$S$7/HU_alpha+$K$7,0.5*$S$7/HU_alpha,IF((AE100+$L$7+$N$7)&gt;=$K$7,((AE100+$L$7+$N$7)-$K$7)-0.5*HU_alpha/$S$7*((AE100+$L$7+$N$7)-$K$7)^2,IF((AE100+$L$7+$N$7)&gt;=$T$7,HU_beta*((AE100+$L$7+$N$7)-$K$7),HU_beta*($T$7-$K$7)))))</f>
        <v/>
      </c>
      <c r="AM100" s="29">
        <f>IF(OR(AJ100=0,$S$7=0),0,IF((AE100+$K$7)&gt;$S$7/HU_alpha+$K$7,0.5*$S$7/HU_alpha,IF((AE100+$K$7)&gt;=$K$7,((AE100+$K$7)-$K$7)-0.5*HU_alpha/$S$7*((AE100+$K$7)-$K$7)^2,IF((AE100+$K$7)&gt;=$T$7,HU_beta*((AE100+$K$7)-$K$7),HU_beta*($T$7-$K$7)))))</f>
        <v/>
      </c>
      <c r="AN100" s="63">
        <f>IF(AND($J$8,A100&gt;=1,A100&lt;=$Q$8-1),J100,0)</f>
        <v/>
      </c>
      <c r="AO100" s="29">
        <f>IF(OR(AN100=0,$S$8=0),0,IF((AE100+$L$8)&gt;$S$8/HU_alpha+$K$8,0.5*$S$8/HU_alpha,IF((AE100+$L$8)&gt;=$K$8,((AE100+$L$8)-$K$8)-0.5*HU_alpha/$S$8*((AE100+$L$8)-$K$8)^2,IF((AE100+$L$8)&gt;=$T$8,HU_beta*((AE100+$L$8)-$K$8),HU_beta*($T$8-$K$8)))))</f>
        <v/>
      </c>
      <c r="AP100" s="29">
        <f>IF(OR(AN100=0,$S$8=0),0,IF((AE100+$L$8+$N$8)&gt;$S$8/HU_alpha+$K$8,0.5*$S$8/HU_alpha,IF((AE100+$L$8+$N$8)&gt;=$K$8,((AE100+$L$8+$N$8)-$K$8)-0.5*HU_alpha/$S$8*((AE100+$L$8+$N$8)-$K$8)^2,IF((AE100+$L$8+$N$8)&gt;=$T$8,HU_beta*((AE100+$L$8+$N$8)-$K$8),HU_beta*($T$8-$K$8)))))</f>
        <v/>
      </c>
      <c r="AQ100" s="29">
        <f>IF(OR(AN100=0,$S$8=0),0,IF((AE100+$K$8)&gt;$S$8/HU_alpha+$K$8,0.5*$S$8/HU_alpha,IF((AE100+$K$8)&gt;=$K$8,((AE100+$K$8)-$K$8)-0.5*HU_alpha/$S$8*((AE100+$K$8)-$K$8)^2,IF((AE100+$K$8)&gt;=$T$8,HU_beta*((AE100+$K$8)-$K$8),HU_beta*($T$8-$K$8)))))</f>
        <v/>
      </c>
      <c r="AR100" s="63">
        <f>IF(AND($J$9,A100&gt;=1,A100&lt;=$Q$9-1),J100,0)</f>
        <v/>
      </c>
      <c r="AS100" s="29">
        <f>IF(OR(AR100=0,$S$9=0),0,IF((AE100+$L$9)&gt;$S$9/HU_alpha+$K$9,0.5*$S$9/HU_alpha,IF((AE100+$L$9)&gt;=$K$9,((AE100+$L$9)-$K$9)-0.5*HU_alpha/$S$9*((AE100+$L$9)-$K$9)^2,IF((AE100+$L$9)&gt;=$T$9,HU_beta*((AE100+$L$9)-$K$9),HU_beta*($T$9-$K$9)))))</f>
        <v/>
      </c>
      <c r="AT100" s="29">
        <f>IF(OR(AR100=0,$S$9=0),0,IF((AE100+$L$9+$N$9)&gt;$S$9/HU_alpha+$K$9,0.5*$S$9/HU_alpha,IF((AE100+$L$9+$N$9)&gt;=$K$9,((AE100+$L$9+$N$9)-$K$9)-0.5*HU_alpha/$S$9*((AE100+$L$9+$N$9)-$K$9)^2,IF((AE100+$L$9+$N$9)&gt;=$T$9,HU_beta*((AE100+$L$9+$N$9)-$K$9),HU_beta*($T$9-$K$9)))))</f>
        <v/>
      </c>
      <c r="AU100" s="29">
        <f>IF(OR(AR100=0,$S$9=0),0,IF((AE100+$K$9)&gt;$S$9/HU_alpha+$K$9,0.5*$S$9/HU_alpha,IF((AE100+$K$9)&gt;=$K$9,((AE100+$K$9)-$K$9)-0.5*HU_alpha/$S$9*((AE100+$K$9)-$K$9)^2,IF((AE100+$K$9)&gt;=$T$9,HU_beta*((AE100+$K$9)-$K$9),HU_beta*($T$9-$K$9)))))</f>
        <v/>
      </c>
      <c r="AV100" s="63">
        <f>IF(AND($J$10,A100=$Q$10),J100,0)</f>
        <v/>
      </c>
      <c r="AW100" s="29">
        <f>IF(OR(AV100=0,$S$10=0),0,IF((AD100+$L$10)&gt;$S$10/HU_alpha+$K$10,0.5*$S$10/HU_alpha,IF((AD100+$L$10)&gt;=$K$10,((AD100+$L$10)-$K$10)-0.5*HU_alpha/$S$10*((AD100+$L$10)-$K$10)^2,IF((AD100+$L$10)&gt;=$T$10,HU_beta*((AD100+$L$10)-$K$10),HU_beta*($T$10-$K$10)))))</f>
        <v/>
      </c>
      <c r="AX100" s="29">
        <f>IF(OR(AV100=0,$S$10=0),0,IF((AD100+$L$10+$N$10)&gt;$S$10/HU_alpha+$K$10,0.5*$S$10/HU_alpha,IF((AD100+$L$10+$N$10)&gt;=$K$10,((AD100+$L$10+$N$10)-$K$10)-0.5*HU_alpha/$S$10*((AD100+$L$10+$N$10)-$K$10)^2,IF((AD100+$L$10+$N$10)&gt;=$T$10,HU_beta*((AD100+$L$10+$N$10)-$K$10),HU_beta*($T$10-$K$10)))))</f>
        <v/>
      </c>
      <c r="AY100" s="29">
        <f>IF(OR(AV100=0,$S$10=0),0,IF((AD100+$K$10)&gt;$S$10/HU_alpha+$K$10,0.5*$S$10/HU_alpha,IF((AD100+$K$10)&gt;=$K$10,((AD100+$K$10)-$K$10)-0.5*HU_alpha/$S$10*((AD100+$K$10)-$K$10)^2,IF((AD100+$K$10)&gt;=$T$10,HU_beta*((AD100+$K$10)-$K$10),HU_beta*($T$10-$K$10)))))</f>
        <v/>
      </c>
      <c r="AZ100" s="63">
        <f>IF(AND($J$11,A100=$Q$11),J100,0)</f>
        <v/>
      </c>
      <c r="BA100" s="29">
        <f>IF(OR(AZ100=0,$S$11=0),0,IF((AE100+$L$11)&gt;$S$11/HU_alpha+$K$11,0.5*$S$11/HU_alpha,IF((AE100+$L$11)&gt;=$K$11,((AE100+$L$11)-$K$11)-0.5*HU_alpha/$S$11*((AE100+$L$11)-$K$11)^2,IF((AE100+$L$11)&gt;=$T$11,HU_beta*((AE100+$L$11)-$K$11),HU_beta*($T$11-$K$11)))))</f>
        <v/>
      </c>
      <c r="BB100" s="29">
        <f>IF(OR(AZ100=0,$S$11=0),0,IF((AE100+$L$11+$N$11)&gt;$S$11/HU_alpha+$K$11,0.5*$S$11/HU_alpha,IF((AE100+$L$11+$N$11)&gt;=$K$11,((AE100+$L$11+$N$11)-$K$11)-0.5*HU_alpha/$S$11*((AE100+$L$11+$N$11)-$K$11)^2,IF((AE100+$L$11+$N$11)&gt;=$T$11,HU_beta*((AE100+$L$11+$N$11)-$K$11),HU_beta*($T$11-$K$11)))))</f>
        <v/>
      </c>
      <c r="BC100" s="29">
        <f>IF(OR(AZ100=0,$S$11=0),0,IF((AE100+$K$11)&gt;$S$11/HU_alpha+$K$11,0.5*$S$11/HU_alpha,IF((AE100+$K$11)&gt;=$K$11,((AE100+$K$11)-$K$11)-0.5*HU_alpha/$S$11*((AE100+$K$11)-$K$11)^2,IF((AE100+$K$11)&gt;=$T$11,HU_beta*((AE100+$K$11)-$K$11),HU_beta*($T$11-$K$11)))))</f>
        <v/>
      </c>
      <c r="BD100" s="63">
        <f>IF(AND($J$12,A100=$Q$12),J100,0)</f>
        <v/>
      </c>
      <c r="BE100" s="29">
        <f>IF(OR(BD100=0,$S$12=0),0,IF((AE100+$L$12)&gt;$S$12/HU_alpha+$K$12,0.5*$S$12/HU_alpha,IF((AE100+$L$12)&gt;=$K$12,((AE100+$L$12)-$K$12)-0.5*HU_alpha/$S$12*((AE100+$L$12)-$K$12)^2,IF((AE100+$L$12)&gt;=$T$12,HU_beta*((AE100+$L$12)-$K$12),HU_beta*($T$12-$K$12)))))</f>
        <v/>
      </c>
      <c r="BF100" s="29">
        <f>IF(OR(BD100=0,$S$12=0),0,IF((AE100+$L$12+$N$12)&gt;$S$12/HU_alpha+$K$12,0.5*$S$12/HU_alpha,IF((AE100+$L$12+$N$12)&gt;=$K$12,((AE100+$L$12+$N$12)-$K$12)-0.5*HU_alpha/$S$12*((AE100+$L$12+$N$12)-$K$12)^2,IF((AE100+$L$12+$N$12)&gt;=$T$12,HU_beta*((AE100+$L$12+$N$12)-$K$12),HU_beta*($T$12-$K$12)))))</f>
        <v/>
      </c>
      <c r="BG100" s="29">
        <f>IF(OR(BD100=0,$S$12=0),0,IF((AE100+$K$12)&gt;$S$12/HU_alpha+$K$12,0.5*$S$12/HU_alpha,IF((AE100+$K$12)&gt;=$K$12,((AE100+$K$12)-$K$12)-0.5*HU_alpha/$S$12*((AE100+$K$12)-$K$12)^2,IF((AE100+$K$12)&gt;=$T$12,HU_beta*((AE100+$K$12)-$K$12),HU_beta*($T$12-$K$12)))))</f>
        <v/>
      </c>
      <c r="BH100" s="63">
        <f>IF(AND($J$13,A100=$Q$13),J100,0)</f>
        <v/>
      </c>
      <c r="BI100" s="29">
        <f>IF(OR(BH100=0,$S$13=0),0,IF((AE100+$L$13)&gt;$S$13/HU_alpha+$K$13,0.5*$S$13/HU_alpha,IF((AE100+$L$13)&gt;=$K$13,((AE100+$L$13)-$K$13)-0.5*HU_alpha/$S$13*((AE100+$L$13)-$K$13)^2,IF((AE100+$L$13)&gt;=$T$13,HU_beta*((AE100+$L$13)-$K$13),HU_beta*($T$13-$K$13)))))</f>
        <v/>
      </c>
      <c r="BJ100" s="29">
        <f>IF(OR(BH100=0,$S$13=0),0,IF((AE100+$L$13+$N$13)&gt;$S$13/HU_alpha+$K$13,0.5*$S$13/HU_alpha,IF((AE100+$L$13+$N$13)&gt;=$K$13,((AE100+$L$13+$N$13)-$K$13)-0.5*HU_alpha/$S$13*((AE100+$L$13+$N$13)-$K$13)^2,IF((AE100+$L$13+$N$13)&gt;=$T$13,HU_beta*((AE100+$L$13+$N$13)-$K$13),HU_beta*($T$13-$K$13)))))</f>
        <v/>
      </c>
      <c r="BK100" s="29">
        <f>IF(OR(BH100=0,$S$13=0),0,IF((AE100+$K$13)&gt;$S$13/HU_alpha+$K$13,0.5*$S$13/HU_alpha,IF((AE100+$K$13)&gt;=$K$13,((AE100+$K$13)-$K$13)-0.5*HU_alpha/$S$13*((AE100+$K$13)-$K$13)^2,IF((AE100+$K$13)&gt;=$T$13,HU_beta*((AE100+$K$13)-$K$13),HU_beta*($T$13-$K$13)))))</f>
        <v/>
      </c>
    </row>
    <row r="101">
      <c r="A101" s="61" t="n">
        <v>33</v>
      </c>
      <c r="B101" s="61">
        <f>HU_age+A101</f>
        <v/>
      </c>
      <c r="C101" s="52">
        <f>A101&lt;=HU_T</f>
        <v/>
      </c>
      <c r="D101" s="63">
        <f>IF(OR(A101&lt;1,A101&gt;HU_T),0,INDEX(HU_q_mort,HU_age+A101-17,HU_col))</f>
        <v/>
      </c>
      <c r="E101" s="63">
        <f>IF(OR(A101&lt;1,A101&gt;HU_T),0,INDEX(HU_q_adb,HU_age+A101-17,HU_col))</f>
        <v/>
      </c>
      <c r="F101" s="63">
        <f>IF(OR(A101&lt;1,A101&gt;HU_T),0,INDEX(HU_q_morb,HU_age+A101-17,HU_col))</f>
        <v/>
      </c>
      <c r="G101" s="63">
        <f>IF(OR(A101&lt;1,A101&gt;HU_T),0,INDEX(HU_q_ptd,HU_age+A101-17,HU_col))</f>
        <v/>
      </c>
      <c r="H101" s="63">
        <f>IF(OR(A101&lt;1,A101&gt;HU_T),0,INDEX(HU_q_dis,HU_age+A101-17,HU_col))</f>
        <v/>
      </c>
      <c r="I101" s="63">
        <f>IF(A101&gt;HU_T,0,I100*(1-D101)*(1-E101))</f>
        <v/>
      </c>
      <c r="J101" s="63">
        <f>IF(A101&gt;=HU_T,0,N(I102))</f>
        <v/>
      </c>
      <c r="K101" s="63">
        <f>K100*(1-G101)</f>
        <v/>
      </c>
      <c r="L101" s="63">
        <f>1-K101</f>
        <v/>
      </c>
      <c r="M101" s="63">
        <f>K100*G101</f>
        <v/>
      </c>
      <c r="N101" s="63">
        <f>N100*(1-H101)</f>
        <v/>
      </c>
      <c r="O101" s="63">
        <f>1-N100</f>
        <v/>
      </c>
      <c r="P101" s="63">
        <f>P100*(1-F101)</f>
        <v/>
      </c>
      <c r="Q101" s="63">
        <f>1-P100/INDEX($P$68:$P$150,MAX(1,A101-HU_ciYears))</f>
        <v/>
      </c>
      <c r="R101" s="60">
        <f>(1+inflationRate)^A101</f>
        <v/>
      </c>
      <c r="S101" s="29">
        <f>IF(OR(OR(A101&lt;1,A101&gt;HU_T),A101-1&gt;=HU_dtr),0,HU_inc0*(1+incomeGrowthRate)^A101)</f>
        <v/>
      </c>
      <c r="T101" s="60">
        <f>IF(A101&gt;HU_T,T100,T100*(1+INDEX(HU_ssG,HU_age+A101-17)))</f>
        <v/>
      </c>
      <c r="U101" s="29">
        <f>IF(AND(HU_dtr&gt;=1,A101=HU_dtr,A101&lt;=HU_T),MIN(S101*INDEX(HU_ssC,HU_age+A101-17)/(1-INDEX(HU_ssC,HU_age+A101-17)),INDEX(HU_ssCap,HU_age+A101-17))*T101,0)</f>
        <v/>
      </c>
      <c r="V101" s="29">
        <f>S101+U101+IF(AND(HU_wdOn,A101=HU_wdYear),HU_wdIncome,0)</f>
        <v/>
      </c>
      <c r="W101" s="60">
        <f>HU_ciProp*Q101+HU_tpdCut*L101+HU_disCut*O101</f>
        <v/>
      </c>
      <c r="X101" s="29">
        <f>IF(OR(A101&lt;1,A101&gt;HU_T),0,V101*(1-W101))</f>
        <v/>
      </c>
      <c r="Y101" s="29">
        <f>IF(OR(A101&lt;1,A101&gt;HU_T),0,IF(AND(HU_retExp&gt;0,A101-1&gt;=HU_dtr),HU_retExp,HU_exp0)*R101)</f>
        <v/>
      </c>
      <c r="Z101" s="29">
        <f>-Y101-IF(AND(HU_wdOn,A101=HU_wdYear),HU_wdOut,0)</f>
        <v/>
      </c>
      <c r="AA101" s="29">
        <f>IF(OR(A101&lt;1,A101&gt;HU_T),0,-HU_medCost*R101*F101-HU_tpdCost*R101*M101)</f>
        <v/>
      </c>
      <c r="AB101" s="29">
        <f>IF(A101&gt;HU_T,0,AB100*(1+interestRate)+X101+Z101+AA101)</f>
        <v/>
      </c>
      <c r="AC101" s="29">
        <f>IF(A101&gt;HU_T,0,HU_inv*EXP(HU_mu*A101))</f>
        <v/>
      </c>
      <c r="AD101" s="29">
        <f>IF(A101&gt;HU_T,0,MAX(0,AC101+AB101))</f>
        <v/>
      </c>
      <c r="AE101" s="29">
        <f>IF(A101&gt;HU_T,0,MAX(0,X101-Y101))</f>
        <v/>
      </c>
      <c r="AF101" s="63">
        <f>IF(AND($J$6,A101&gt;=1,A101&lt;=$Q$6-1),J101,0)</f>
        <v/>
      </c>
      <c r="AG101" s="29">
        <f>IF(OR(AF101=0,$S$6=0),0,IF((AD101+$L$6)&gt;$S$6/HU_alpha+$K$6,0.5*$S$6/HU_alpha,IF((AD101+$L$6)&gt;=$K$6,((AD101+$L$6)-$K$6)-0.5*HU_alpha/$S$6*((AD101+$L$6)-$K$6)^2,IF((AD101+$L$6)&gt;=$T$6,HU_beta*((AD101+$L$6)-$K$6),HU_beta*($T$6-$K$6)))))</f>
        <v/>
      </c>
      <c r="AH101" s="29">
        <f>IF(OR(AF101=0,$S$6=0),0,IF((AD101+$L$6+$N$6)&gt;$S$6/HU_alpha+$K$6,0.5*$S$6/HU_alpha,IF((AD101+$L$6+$N$6)&gt;=$K$6,((AD101+$L$6+$N$6)-$K$6)-0.5*HU_alpha/$S$6*((AD101+$L$6+$N$6)-$K$6)^2,IF((AD101+$L$6+$N$6)&gt;=$T$6,HU_beta*((AD101+$L$6+$N$6)-$K$6),HU_beta*($T$6-$K$6)))))</f>
        <v/>
      </c>
      <c r="AI101" s="29">
        <f>IF(OR(AF101=0,$S$6=0),0,IF((AD101+$K$6)&gt;$S$6/HU_alpha+$K$6,0.5*$S$6/HU_alpha,IF((AD101+$K$6)&gt;=$K$6,((AD101+$K$6)-$K$6)-0.5*HU_alpha/$S$6*((AD101+$K$6)-$K$6)^2,IF((AD101+$K$6)&gt;=$T$6,HU_beta*((AD101+$K$6)-$K$6),HU_beta*($T$6-$K$6)))))</f>
        <v/>
      </c>
      <c r="AJ101" s="63">
        <f>IF(AND($J$7,A101&gt;=1,A101&lt;=$Q$7-1),J101,0)</f>
        <v/>
      </c>
      <c r="AK101" s="29">
        <f>IF(OR(AJ101=0,$S$7=0),0,IF((AE101+$L$7)&gt;$S$7/HU_alpha+$K$7,0.5*$S$7/HU_alpha,IF((AE101+$L$7)&gt;=$K$7,((AE101+$L$7)-$K$7)-0.5*HU_alpha/$S$7*((AE101+$L$7)-$K$7)^2,IF((AE101+$L$7)&gt;=$T$7,HU_beta*((AE101+$L$7)-$K$7),HU_beta*($T$7-$K$7)))))</f>
        <v/>
      </c>
      <c r="AL101" s="29">
        <f>IF(OR(AJ101=0,$S$7=0),0,IF((AE101+$L$7+$N$7)&gt;$S$7/HU_alpha+$K$7,0.5*$S$7/HU_alpha,IF((AE101+$L$7+$N$7)&gt;=$K$7,((AE101+$L$7+$N$7)-$K$7)-0.5*HU_alpha/$S$7*((AE101+$L$7+$N$7)-$K$7)^2,IF((AE101+$L$7+$N$7)&gt;=$T$7,HU_beta*((AE101+$L$7+$N$7)-$K$7),HU_beta*($T$7-$K$7)))))</f>
        <v/>
      </c>
      <c r="AM101" s="29">
        <f>IF(OR(AJ101=0,$S$7=0),0,IF((AE101+$K$7)&gt;$S$7/HU_alpha+$K$7,0.5*$S$7/HU_alpha,IF((AE101+$K$7)&gt;=$K$7,((AE101+$K$7)-$K$7)-0.5*HU_alpha/$S$7*((AE101+$K$7)-$K$7)^2,IF((AE101+$K$7)&gt;=$T$7,HU_beta*((AE101+$K$7)-$K$7),HU_beta*($T$7-$K$7)))))</f>
        <v/>
      </c>
      <c r="AN101" s="63">
        <f>IF(AND($J$8,A101&gt;=1,A101&lt;=$Q$8-1),J101,0)</f>
        <v/>
      </c>
      <c r="AO101" s="29">
        <f>IF(OR(AN101=0,$S$8=0),0,IF((AE101+$L$8)&gt;$S$8/HU_alpha+$K$8,0.5*$S$8/HU_alpha,IF((AE101+$L$8)&gt;=$K$8,((AE101+$L$8)-$K$8)-0.5*HU_alpha/$S$8*((AE101+$L$8)-$K$8)^2,IF((AE101+$L$8)&gt;=$T$8,HU_beta*((AE101+$L$8)-$K$8),HU_beta*($T$8-$K$8)))))</f>
        <v/>
      </c>
      <c r="AP101" s="29">
        <f>IF(OR(AN101=0,$S$8=0),0,IF((AE101+$L$8+$N$8)&gt;$S$8/HU_alpha+$K$8,0.5*$S$8/HU_alpha,IF((AE101+$L$8+$N$8)&gt;=$K$8,((AE101+$L$8+$N$8)-$K$8)-0.5*HU_alpha/$S$8*((AE101+$L$8+$N$8)-$K$8)^2,IF((AE101+$L$8+$N$8)&gt;=$T$8,HU_beta*((AE101+$L$8+$N$8)-$K$8),HU_beta*($T$8-$K$8)))))</f>
        <v/>
      </c>
      <c r="AQ101" s="29">
        <f>IF(OR(AN101=0,$S$8=0),0,IF((AE101+$K$8)&gt;$S$8/HU_alpha+$K$8,0.5*$S$8/HU_alpha,IF((AE101+$K$8)&gt;=$K$8,((AE101+$K$8)-$K$8)-0.5*HU_alpha/$S$8*((AE101+$K$8)-$K$8)^2,IF((AE101+$K$8)&gt;=$T$8,HU_beta*((AE101+$K$8)-$K$8),HU_beta*($T$8-$K$8)))))</f>
        <v/>
      </c>
      <c r="AR101" s="63">
        <f>IF(AND($J$9,A101&gt;=1,A101&lt;=$Q$9-1),J101,0)</f>
        <v/>
      </c>
      <c r="AS101" s="29">
        <f>IF(OR(AR101=0,$S$9=0),0,IF((AE101+$L$9)&gt;$S$9/HU_alpha+$K$9,0.5*$S$9/HU_alpha,IF((AE101+$L$9)&gt;=$K$9,((AE101+$L$9)-$K$9)-0.5*HU_alpha/$S$9*((AE101+$L$9)-$K$9)^2,IF((AE101+$L$9)&gt;=$T$9,HU_beta*((AE101+$L$9)-$K$9),HU_beta*($T$9-$K$9)))))</f>
        <v/>
      </c>
      <c r="AT101" s="29">
        <f>IF(OR(AR101=0,$S$9=0),0,IF((AE101+$L$9+$N$9)&gt;$S$9/HU_alpha+$K$9,0.5*$S$9/HU_alpha,IF((AE101+$L$9+$N$9)&gt;=$K$9,((AE101+$L$9+$N$9)-$K$9)-0.5*HU_alpha/$S$9*((AE101+$L$9+$N$9)-$K$9)^2,IF((AE101+$L$9+$N$9)&gt;=$T$9,HU_beta*((AE101+$L$9+$N$9)-$K$9),HU_beta*($T$9-$K$9)))))</f>
        <v/>
      </c>
      <c r="AU101" s="29">
        <f>IF(OR(AR101=0,$S$9=0),0,IF((AE101+$K$9)&gt;$S$9/HU_alpha+$K$9,0.5*$S$9/HU_alpha,IF((AE101+$K$9)&gt;=$K$9,((AE101+$K$9)-$K$9)-0.5*HU_alpha/$S$9*((AE101+$K$9)-$K$9)^2,IF((AE101+$K$9)&gt;=$T$9,HU_beta*((AE101+$K$9)-$K$9),HU_beta*($T$9-$K$9)))))</f>
        <v/>
      </c>
      <c r="AV101" s="63">
        <f>IF(AND($J$10,A101=$Q$10),J101,0)</f>
        <v/>
      </c>
      <c r="AW101" s="29">
        <f>IF(OR(AV101=0,$S$10=0),0,IF((AD101+$L$10)&gt;$S$10/HU_alpha+$K$10,0.5*$S$10/HU_alpha,IF((AD101+$L$10)&gt;=$K$10,((AD101+$L$10)-$K$10)-0.5*HU_alpha/$S$10*((AD101+$L$10)-$K$10)^2,IF((AD101+$L$10)&gt;=$T$10,HU_beta*((AD101+$L$10)-$K$10),HU_beta*($T$10-$K$10)))))</f>
        <v/>
      </c>
      <c r="AX101" s="29">
        <f>IF(OR(AV101=0,$S$10=0),0,IF((AD101+$L$10+$N$10)&gt;$S$10/HU_alpha+$K$10,0.5*$S$10/HU_alpha,IF((AD101+$L$10+$N$10)&gt;=$K$10,((AD101+$L$10+$N$10)-$K$10)-0.5*HU_alpha/$S$10*((AD101+$L$10+$N$10)-$K$10)^2,IF((AD101+$L$10+$N$10)&gt;=$T$10,HU_beta*((AD101+$L$10+$N$10)-$K$10),HU_beta*($T$10-$K$10)))))</f>
        <v/>
      </c>
      <c r="AY101" s="29">
        <f>IF(OR(AV101=0,$S$10=0),0,IF((AD101+$K$10)&gt;$S$10/HU_alpha+$K$10,0.5*$S$10/HU_alpha,IF((AD101+$K$10)&gt;=$K$10,((AD101+$K$10)-$K$10)-0.5*HU_alpha/$S$10*((AD101+$K$10)-$K$10)^2,IF((AD101+$K$10)&gt;=$T$10,HU_beta*((AD101+$K$10)-$K$10),HU_beta*($T$10-$K$10)))))</f>
        <v/>
      </c>
      <c r="AZ101" s="63">
        <f>IF(AND($J$11,A101=$Q$11),J101,0)</f>
        <v/>
      </c>
      <c r="BA101" s="29">
        <f>IF(OR(AZ101=0,$S$11=0),0,IF((AE101+$L$11)&gt;$S$11/HU_alpha+$K$11,0.5*$S$11/HU_alpha,IF((AE101+$L$11)&gt;=$K$11,((AE101+$L$11)-$K$11)-0.5*HU_alpha/$S$11*((AE101+$L$11)-$K$11)^2,IF((AE101+$L$11)&gt;=$T$11,HU_beta*((AE101+$L$11)-$K$11),HU_beta*($T$11-$K$11)))))</f>
        <v/>
      </c>
      <c r="BB101" s="29">
        <f>IF(OR(AZ101=0,$S$11=0),0,IF((AE101+$L$11+$N$11)&gt;$S$11/HU_alpha+$K$11,0.5*$S$11/HU_alpha,IF((AE101+$L$11+$N$11)&gt;=$K$11,((AE101+$L$11+$N$11)-$K$11)-0.5*HU_alpha/$S$11*((AE101+$L$11+$N$11)-$K$11)^2,IF((AE101+$L$11+$N$11)&gt;=$T$11,HU_beta*((AE101+$L$11+$N$11)-$K$11),HU_beta*($T$11-$K$11)))))</f>
        <v/>
      </c>
      <c r="BC101" s="29">
        <f>IF(OR(AZ101=0,$S$11=0),0,IF((AE101+$K$11)&gt;$S$11/HU_alpha+$K$11,0.5*$S$11/HU_alpha,IF((AE101+$K$11)&gt;=$K$11,((AE101+$K$11)-$K$11)-0.5*HU_alpha/$S$11*((AE101+$K$11)-$K$11)^2,IF((AE101+$K$11)&gt;=$T$11,HU_beta*((AE101+$K$11)-$K$11),HU_beta*($T$11-$K$11)))))</f>
        <v/>
      </c>
      <c r="BD101" s="63">
        <f>IF(AND($J$12,A101=$Q$12),J101,0)</f>
        <v/>
      </c>
      <c r="BE101" s="29">
        <f>IF(OR(BD101=0,$S$12=0),0,IF((AE101+$L$12)&gt;$S$12/HU_alpha+$K$12,0.5*$S$12/HU_alpha,IF((AE101+$L$12)&gt;=$K$12,((AE101+$L$12)-$K$12)-0.5*HU_alpha/$S$12*((AE101+$L$12)-$K$12)^2,IF((AE101+$L$12)&gt;=$T$12,HU_beta*((AE101+$L$12)-$K$12),HU_beta*($T$12-$K$12)))))</f>
        <v/>
      </c>
      <c r="BF101" s="29">
        <f>IF(OR(BD101=0,$S$12=0),0,IF((AE101+$L$12+$N$12)&gt;$S$12/HU_alpha+$K$12,0.5*$S$12/HU_alpha,IF((AE101+$L$12+$N$12)&gt;=$K$12,((AE101+$L$12+$N$12)-$K$12)-0.5*HU_alpha/$S$12*((AE101+$L$12+$N$12)-$K$12)^2,IF((AE101+$L$12+$N$12)&gt;=$T$12,HU_beta*((AE101+$L$12+$N$12)-$K$12),HU_beta*($T$12-$K$12)))))</f>
        <v/>
      </c>
      <c r="BG101" s="29">
        <f>IF(OR(BD101=0,$S$12=0),0,IF((AE101+$K$12)&gt;$S$12/HU_alpha+$K$12,0.5*$S$12/HU_alpha,IF((AE101+$K$12)&gt;=$K$12,((AE101+$K$12)-$K$12)-0.5*HU_alpha/$S$12*((AE101+$K$12)-$K$12)^2,IF((AE101+$K$12)&gt;=$T$12,HU_beta*((AE101+$K$12)-$K$12),HU_beta*($T$12-$K$12)))))</f>
        <v/>
      </c>
      <c r="BH101" s="63">
        <f>IF(AND($J$13,A101=$Q$13),J101,0)</f>
        <v/>
      </c>
      <c r="BI101" s="29">
        <f>IF(OR(BH101=0,$S$13=0),0,IF((AE101+$L$13)&gt;$S$13/HU_alpha+$K$13,0.5*$S$13/HU_alpha,IF((AE101+$L$13)&gt;=$K$13,((AE101+$L$13)-$K$13)-0.5*HU_alpha/$S$13*((AE101+$L$13)-$K$13)^2,IF((AE101+$L$13)&gt;=$T$13,HU_beta*((AE101+$L$13)-$K$13),HU_beta*($T$13-$K$13)))))</f>
        <v/>
      </c>
      <c r="BJ101" s="29">
        <f>IF(OR(BH101=0,$S$13=0),0,IF((AE101+$L$13+$N$13)&gt;$S$13/HU_alpha+$K$13,0.5*$S$13/HU_alpha,IF((AE101+$L$13+$N$13)&gt;=$K$13,((AE101+$L$13+$N$13)-$K$13)-0.5*HU_alpha/$S$13*((AE101+$L$13+$N$13)-$K$13)^2,IF((AE101+$L$13+$N$13)&gt;=$T$13,HU_beta*((AE101+$L$13+$N$13)-$K$13),HU_beta*($T$13-$K$13)))))</f>
        <v/>
      </c>
      <c r="BK101" s="29">
        <f>IF(OR(BH101=0,$S$13=0),0,IF((AE101+$K$13)&gt;$S$13/HU_alpha+$K$13,0.5*$S$13/HU_alpha,IF((AE101+$K$13)&gt;=$K$13,((AE101+$K$13)-$K$13)-0.5*HU_alpha/$S$13*((AE101+$K$13)-$K$13)^2,IF((AE101+$K$13)&gt;=$T$13,HU_beta*((AE101+$K$13)-$K$13),HU_beta*($T$13-$K$13)))))</f>
        <v/>
      </c>
    </row>
    <row r="102">
      <c r="A102" s="61" t="n">
        <v>34</v>
      </c>
      <c r="B102" s="61">
        <f>HU_age+A102</f>
        <v/>
      </c>
      <c r="C102" s="52">
        <f>A102&lt;=HU_T</f>
        <v/>
      </c>
      <c r="D102" s="63">
        <f>IF(OR(A102&lt;1,A102&gt;HU_T),0,INDEX(HU_q_mort,HU_age+A102-17,HU_col))</f>
        <v/>
      </c>
      <c r="E102" s="63">
        <f>IF(OR(A102&lt;1,A102&gt;HU_T),0,INDEX(HU_q_adb,HU_age+A102-17,HU_col))</f>
        <v/>
      </c>
      <c r="F102" s="63">
        <f>IF(OR(A102&lt;1,A102&gt;HU_T),0,INDEX(HU_q_morb,HU_age+A102-17,HU_col))</f>
        <v/>
      </c>
      <c r="G102" s="63">
        <f>IF(OR(A102&lt;1,A102&gt;HU_T),0,INDEX(HU_q_ptd,HU_age+A102-17,HU_col))</f>
        <v/>
      </c>
      <c r="H102" s="63">
        <f>IF(OR(A102&lt;1,A102&gt;HU_T),0,INDEX(HU_q_dis,HU_age+A102-17,HU_col))</f>
        <v/>
      </c>
      <c r="I102" s="63">
        <f>IF(A102&gt;HU_T,0,I101*(1-D102)*(1-E102))</f>
        <v/>
      </c>
      <c r="J102" s="63">
        <f>IF(A102&gt;=HU_T,0,N(I103))</f>
        <v/>
      </c>
      <c r="K102" s="63">
        <f>K101*(1-G102)</f>
        <v/>
      </c>
      <c r="L102" s="63">
        <f>1-K102</f>
        <v/>
      </c>
      <c r="M102" s="63">
        <f>K101*G102</f>
        <v/>
      </c>
      <c r="N102" s="63">
        <f>N101*(1-H102)</f>
        <v/>
      </c>
      <c r="O102" s="63">
        <f>1-N101</f>
        <v/>
      </c>
      <c r="P102" s="63">
        <f>P101*(1-F102)</f>
        <v/>
      </c>
      <c r="Q102" s="63">
        <f>1-P101/INDEX($P$68:$P$150,MAX(1,A102-HU_ciYears))</f>
        <v/>
      </c>
      <c r="R102" s="60">
        <f>(1+inflationRate)^A102</f>
        <v/>
      </c>
      <c r="S102" s="29">
        <f>IF(OR(OR(A102&lt;1,A102&gt;HU_T),A102-1&gt;=HU_dtr),0,HU_inc0*(1+incomeGrowthRate)^A102)</f>
        <v/>
      </c>
      <c r="T102" s="60">
        <f>IF(A102&gt;HU_T,T101,T101*(1+INDEX(HU_ssG,HU_age+A102-17)))</f>
        <v/>
      </c>
      <c r="U102" s="29">
        <f>IF(AND(HU_dtr&gt;=1,A102=HU_dtr,A102&lt;=HU_T),MIN(S102*INDEX(HU_ssC,HU_age+A102-17)/(1-INDEX(HU_ssC,HU_age+A102-17)),INDEX(HU_ssCap,HU_age+A102-17))*T102,0)</f>
        <v/>
      </c>
      <c r="V102" s="29">
        <f>S102+U102+IF(AND(HU_wdOn,A102=HU_wdYear),HU_wdIncome,0)</f>
        <v/>
      </c>
      <c r="W102" s="60">
        <f>HU_ciProp*Q102+HU_tpdCut*L102+HU_disCut*O102</f>
        <v/>
      </c>
      <c r="X102" s="29">
        <f>IF(OR(A102&lt;1,A102&gt;HU_T),0,V102*(1-W102))</f>
        <v/>
      </c>
      <c r="Y102" s="29">
        <f>IF(OR(A102&lt;1,A102&gt;HU_T),0,IF(AND(HU_retExp&gt;0,A102-1&gt;=HU_dtr),HU_retExp,HU_exp0)*R102)</f>
        <v/>
      </c>
      <c r="Z102" s="29">
        <f>-Y102-IF(AND(HU_wdOn,A102=HU_wdYear),HU_wdOut,0)</f>
        <v/>
      </c>
      <c r="AA102" s="29">
        <f>IF(OR(A102&lt;1,A102&gt;HU_T),0,-HU_medCost*R102*F102-HU_tpdCost*R102*M102)</f>
        <v/>
      </c>
      <c r="AB102" s="29">
        <f>IF(A102&gt;HU_T,0,AB101*(1+interestRate)+X102+Z102+AA102)</f>
        <v/>
      </c>
      <c r="AC102" s="29">
        <f>IF(A102&gt;HU_T,0,HU_inv*EXP(HU_mu*A102))</f>
        <v/>
      </c>
      <c r="AD102" s="29">
        <f>IF(A102&gt;HU_T,0,MAX(0,AC102+AB102))</f>
        <v/>
      </c>
      <c r="AE102" s="29">
        <f>IF(A102&gt;HU_T,0,MAX(0,X102-Y102))</f>
        <v/>
      </c>
      <c r="AF102" s="63">
        <f>IF(AND($J$6,A102&gt;=1,A102&lt;=$Q$6-1),J102,0)</f>
        <v/>
      </c>
      <c r="AG102" s="29">
        <f>IF(OR(AF102=0,$S$6=0),0,IF((AD102+$L$6)&gt;$S$6/HU_alpha+$K$6,0.5*$S$6/HU_alpha,IF((AD102+$L$6)&gt;=$K$6,((AD102+$L$6)-$K$6)-0.5*HU_alpha/$S$6*((AD102+$L$6)-$K$6)^2,IF((AD102+$L$6)&gt;=$T$6,HU_beta*((AD102+$L$6)-$K$6),HU_beta*($T$6-$K$6)))))</f>
        <v/>
      </c>
      <c r="AH102" s="29">
        <f>IF(OR(AF102=0,$S$6=0),0,IF((AD102+$L$6+$N$6)&gt;$S$6/HU_alpha+$K$6,0.5*$S$6/HU_alpha,IF((AD102+$L$6+$N$6)&gt;=$K$6,((AD102+$L$6+$N$6)-$K$6)-0.5*HU_alpha/$S$6*((AD102+$L$6+$N$6)-$K$6)^2,IF((AD102+$L$6+$N$6)&gt;=$T$6,HU_beta*((AD102+$L$6+$N$6)-$K$6),HU_beta*($T$6-$K$6)))))</f>
        <v/>
      </c>
      <c r="AI102" s="29">
        <f>IF(OR(AF102=0,$S$6=0),0,IF((AD102+$K$6)&gt;$S$6/HU_alpha+$K$6,0.5*$S$6/HU_alpha,IF((AD102+$K$6)&gt;=$K$6,((AD102+$K$6)-$K$6)-0.5*HU_alpha/$S$6*((AD102+$K$6)-$K$6)^2,IF((AD102+$K$6)&gt;=$T$6,HU_beta*((AD102+$K$6)-$K$6),HU_beta*($T$6-$K$6)))))</f>
        <v/>
      </c>
      <c r="AJ102" s="63">
        <f>IF(AND($J$7,A102&gt;=1,A102&lt;=$Q$7-1),J102,0)</f>
        <v/>
      </c>
      <c r="AK102" s="29">
        <f>IF(OR(AJ102=0,$S$7=0),0,IF((AE102+$L$7)&gt;$S$7/HU_alpha+$K$7,0.5*$S$7/HU_alpha,IF((AE102+$L$7)&gt;=$K$7,((AE102+$L$7)-$K$7)-0.5*HU_alpha/$S$7*((AE102+$L$7)-$K$7)^2,IF((AE102+$L$7)&gt;=$T$7,HU_beta*((AE102+$L$7)-$K$7),HU_beta*($T$7-$K$7)))))</f>
        <v/>
      </c>
      <c r="AL102" s="29">
        <f>IF(OR(AJ102=0,$S$7=0),0,IF((AE102+$L$7+$N$7)&gt;$S$7/HU_alpha+$K$7,0.5*$S$7/HU_alpha,IF((AE102+$L$7+$N$7)&gt;=$K$7,((AE102+$L$7+$N$7)-$K$7)-0.5*HU_alpha/$S$7*((AE102+$L$7+$N$7)-$K$7)^2,IF((AE102+$L$7+$N$7)&gt;=$T$7,HU_beta*((AE102+$L$7+$N$7)-$K$7),HU_beta*($T$7-$K$7)))))</f>
        <v/>
      </c>
      <c r="AM102" s="29">
        <f>IF(OR(AJ102=0,$S$7=0),0,IF((AE102+$K$7)&gt;$S$7/HU_alpha+$K$7,0.5*$S$7/HU_alpha,IF((AE102+$K$7)&gt;=$K$7,((AE102+$K$7)-$K$7)-0.5*HU_alpha/$S$7*((AE102+$K$7)-$K$7)^2,IF((AE102+$K$7)&gt;=$T$7,HU_beta*((AE102+$K$7)-$K$7),HU_beta*($T$7-$K$7)))))</f>
        <v/>
      </c>
      <c r="AN102" s="63">
        <f>IF(AND($J$8,A102&gt;=1,A102&lt;=$Q$8-1),J102,0)</f>
        <v/>
      </c>
      <c r="AO102" s="29">
        <f>IF(OR(AN102=0,$S$8=0),0,IF((AE102+$L$8)&gt;$S$8/HU_alpha+$K$8,0.5*$S$8/HU_alpha,IF((AE102+$L$8)&gt;=$K$8,((AE102+$L$8)-$K$8)-0.5*HU_alpha/$S$8*((AE102+$L$8)-$K$8)^2,IF((AE102+$L$8)&gt;=$T$8,HU_beta*((AE102+$L$8)-$K$8),HU_beta*($T$8-$K$8)))))</f>
        <v/>
      </c>
      <c r="AP102" s="29">
        <f>IF(OR(AN102=0,$S$8=0),0,IF((AE102+$L$8+$N$8)&gt;$S$8/HU_alpha+$K$8,0.5*$S$8/HU_alpha,IF((AE102+$L$8+$N$8)&gt;=$K$8,((AE102+$L$8+$N$8)-$K$8)-0.5*HU_alpha/$S$8*((AE102+$L$8+$N$8)-$K$8)^2,IF((AE102+$L$8+$N$8)&gt;=$T$8,HU_beta*((AE102+$L$8+$N$8)-$K$8),HU_beta*($T$8-$K$8)))))</f>
        <v/>
      </c>
      <c r="AQ102" s="29">
        <f>IF(OR(AN102=0,$S$8=0),0,IF((AE102+$K$8)&gt;$S$8/HU_alpha+$K$8,0.5*$S$8/HU_alpha,IF((AE102+$K$8)&gt;=$K$8,((AE102+$K$8)-$K$8)-0.5*HU_alpha/$S$8*((AE102+$K$8)-$K$8)^2,IF((AE102+$K$8)&gt;=$T$8,HU_beta*((AE102+$K$8)-$K$8),HU_beta*($T$8-$K$8)))))</f>
        <v/>
      </c>
      <c r="AR102" s="63">
        <f>IF(AND($J$9,A102&gt;=1,A102&lt;=$Q$9-1),J102,0)</f>
        <v/>
      </c>
      <c r="AS102" s="29">
        <f>IF(OR(AR102=0,$S$9=0),0,IF((AE102+$L$9)&gt;$S$9/HU_alpha+$K$9,0.5*$S$9/HU_alpha,IF((AE102+$L$9)&gt;=$K$9,((AE102+$L$9)-$K$9)-0.5*HU_alpha/$S$9*((AE102+$L$9)-$K$9)^2,IF((AE102+$L$9)&gt;=$T$9,HU_beta*((AE102+$L$9)-$K$9),HU_beta*($T$9-$K$9)))))</f>
        <v/>
      </c>
      <c r="AT102" s="29">
        <f>IF(OR(AR102=0,$S$9=0),0,IF((AE102+$L$9+$N$9)&gt;$S$9/HU_alpha+$K$9,0.5*$S$9/HU_alpha,IF((AE102+$L$9+$N$9)&gt;=$K$9,((AE102+$L$9+$N$9)-$K$9)-0.5*HU_alpha/$S$9*((AE102+$L$9+$N$9)-$K$9)^2,IF((AE102+$L$9+$N$9)&gt;=$T$9,HU_beta*((AE102+$L$9+$N$9)-$K$9),HU_beta*($T$9-$K$9)))))</f>
        <v/>
      </c>
      <c r="AU102" s="29">
        <f>IF(OR(AR102=0,$S$9=0),0,IF((AE102+$K$9)&gt;$S$9/HU_alpha+$K$9,0.5*$S$9/HU_alpha,IF((AE102+$K$9)&gt;=$K$9,((AE102+$K$9)-$K$9)-0.5*HU_alpha/$S$9*((AE102+$K$9)-$K$9)^2,IF((AE102+$K$9)&gt;=$T$9,HU_beta*((AE102+$K$9)-$K$9),HU_beta*($T$9-$K$9)))))</f>
        <v/>
      </c>
      <c r="AV102" s="63">
        <f>IF(AND($J$10,A102=$Q$10),J102,0)</f>
        <v/>
      </c>
      <c r="AW102" s="29">
        <f>IF(OR(AV102=0,$S$10=0),0,IF((AD102+$L$10)&gt;$S$10/HU_alpha+$K$10,0.5*$S$10/HU_alpha,IF((AD102+$L$10)&gt;=$K$10,((AD102+$L$10)-$K$10)-0.5*HU_alpha/$S$10*((AD102+$L$10)-$K$10)^2,IF((AD102+$L$10)&gt;=$T$10,HU_beta*((AD102+$L$10)-$K$10),HU_beta*($T$10-$K$10)))))</f>
        <v/>
      </c>
      <c r="AX102" s="29">
        <f>IF(OR(AV102=0,$S$10=0),0,IF((AD102+$L$10+$N$10)&gt;$S$10/HU_alpha+$K$10,0.5*$S$10/HU_alpha,IF((AD102+$L$10+$N$10)&gt;=$K$10,((AD102+$L$10+$N$10)-$K$10)-0.5*HU_alpha/$S$10*((AD102+$L$10+$N$10)-$K$10)^2,IF((AD102+$L$10+$N$10)&gt;=$T$10,HU_beta*((AD102+$L$10+$N$10)-$K$10),HU_beta*($T$10-$K$10)))))</f>
        <v/>
      </c>
      <c r="AY102" s="29">
        <f>IF(OR(AV102=0,$S$10=0),0,IF((AD102+$K$10)&gt;$S$10/HU_alpha+$K$10,0.5*$S$10/HU_alpha,IF((AD102+$K$10)&gt;=$K$10,((AD102+$K$10)-$K$10)-0.5*HU_alpha/$S$10*((AD102+$K$10)-$K$10)^2,IF((AD102+$K$10)&gt;=$T$10,HU_beta*((AD102+$K$10)-$K$10),HU_beta*($T$10-$K$10)))))</f>
        <v/>
      </c>
      <c r="AZ102" s="63">
        <f>IF(AND($J$11,A102=$Q$11),J102,0)</f>
        <v/>
      </c>
      <c r="BA102" s="29">
        <f>IF(OR(AZ102=0,$S$11=0),0,IF((AE102+$L$11)&gt;$S$11/HU_alpha+$K$11,0.5*$S$11/HU_alpha,IF((AE102+$L$11)&gt;=$K$11,((AE102+$L$11)-$K$11)-0.5*HU_alpha/$S$11*((AE102+$L$11)-$K$11)^2,IF((AE102+$L$11)&gt;=$T$11,HU_beta*((AE102+$L$11)-$K$11),HU_beta*($T$11-$K$11)))))</f>
        <v/>
      </c>
      <c r="BB102" s="29">
        <f>IF(OR(AZ102=0,$S$11=0),0,IF((AE102+$L$11+$N$11)&gt;$S$11/HU_alpha+$K$11,0.5*$S$11/HU_alpha,IF((AE102+$L$11+$N$11)&gt;=$K$11,((AE102+$L$11+$N$11)-$K$11)-0.5*HU_alpha/$S$11*((AE102+$L$11+$N$11)-$K$11)^2,IF((AE102+$L$11+$N$11)&gt;=$T$11,HU_beta*((AE102+$L$11+$N$11)-$K$11),HU_beta*($T$11-$K$11)))))</f>
        <v/>
      </c>
      <c r="BC102" s="29">
        <f>IF(OR(AZ102=0,$S$11=0),0,IF((AE102+$K$11)&gt;$S$11/HU_alpha+$K$11,0.5*$S$11/HU_alpha,IF((AE102+$K$11)&gt;=$K$11,((AE102+$K$11)-$K$11)-0.5*HU_alpha/$S$11*((AE102+$K$11)-$K$11)^2,IF((AE102+$K$11)&gt;=$T$11,HU_beta*((AE102+$K$11)-$K$11),HU_beta*($T$11-$K$11)))))</f>
        <v/>
      </c>
      <c r="BD102" s="63">
        <f>IF(AND($J$12,A102=$Q$12),J102,0)</f>
        <v/>
      </c>
      <c r="BE102" s="29">
        <f>IF(OR(BD102=0,$S$12=0),0,IF((AE102+$L$12)&gt;$S$12/HU_alpha+$K$12,0.5*$S$12/HU_alpha,IF((AE102+$L$12)&gt;=$K$12,((AE102+$L$12)-$K$12)-0.5*HU_alpha/$S$12*((AE102+$L$12)-$K$12)^2,IF((AE102+$L$12)&gt;=$T$12,HU_beta*((AE102+$L$12)-$K$12),HU_beta*($T$12-$K$12)))))</f>
        <v/>
      </c>
      <c r="BF102" s="29">
        <f>IF(OR(BD102=0,$S$12=0),0,IF((AE102+$L$12+$N$12)&gt;$S$12/HU_alpha+$K$12,0.5*$S$12/HU_alpha,IF((AE102+$L$12+$N$12)&gt;=$K$12,((AE102+$L$12+$N$12)-$K$12)-0.5*HU_alpha/$S$12*((AE102+$L$12+$N$12)-$K$12)^2,IF((AE102+$L$12+$N$12)&gt;=$T$12,HU_beta*((AE102+$L$12+$N$12)-$K$12),HU_beta*($T$12-$K$12)))))</f>
        <v/>
      </c>
      <c r="BG102" s="29">
        <f>IF(OR(BD102=0,$S$12=0),0,IF((AE102+$K$12)&gt;$S$12/HU_alpha+$K$12,0.5*$S$12/HU_alpha,IF((AE102+$K$12)&gt;=$K$12,((AE102+$K$12)-$K$12)-0.5*HU_alpha/$S$12*((AE102+$K$12)-$K$12)^2,IF((AE102+$K$12)&gt;=$T$12,HU_beta*((AE102+$K$12)-$K$12),HU_beta*($T$12-$K$12)))))</f>
        <v/>
      </c>
      <c r="BH102" s="63">
        <f>IF(AND($J$13,A102=$Q$13),J102,0)</f>
        <v/>
      </c>
      <c r="BI102" s="29">
        <f>IF(OR(BH102=0,$S$13=0),0,IF((AE102+$L$13)&gt;$S$13/HU_alpha+$K$13,0.5*$S$13/HU_alpha,IF((AE102+$L$13)&gt;=$K$13,((AE102+$L$13)-$K$13)-0.5*HU_alpha/$S$13*((AE102+$L$13)-$K$13)^2,IF((AE102+$L$13)&gt;=$T$13,HU_beta*((AE102+$L$13)-$K$13),HU_beta*($T$13-$K$13)))))</f>
        <v/>
      </c>
      <c r="BJ102" s="29">
        <f>IF(OR(BH102=0,$S$13=0),0,IF((AE102+$L$13+$N$13)&gt;$S$13/HU_alpha+$K$13,0.5*$S$13/HU_alpha,IF((AE102+$L$13+$N$13)&gt;=$K$13,((AE102+$L$13+$N$13)-$K$13)-0.5*HU_alpha/$S$13*((AE102+$L$13+$N$13)-$K$13)^2,IF((AE102+$L$13+$N$13)&gt;=$T$13,HU_beta*((AE102+$L$13+$N$13)-$K$13),HU_beta*($T$13-$K$13)))))</f>
        <v/>
      </c>
      <c r="BK102" s="29">
        <f>IF(OR(BH102=0,$S$13=0),0,IF((AE102+$K$13)&gt;$S$13/HU_alpha+$K$13,0.5*$S$13/HU_alpha,IF((AE102+$K$13)&gt;=$K$13,((AE102+$K$13)-$K$13)-0.5*HU_alpha/$S$13*((AE102+$K$13)-$K$13)^2,IF((AE102+$K$13)&gt;=$T$13,HU_beta*((AE102+$K$13)-$K$13),HU_beta*($T$13-$K$13)))))</f>
        <v/>
      </c>
    </row>
    <row r="103">
      <c r="A103" s="61" t="n">
        <v>35</v>
      </c>
      <c r="B103" s="61">
        <f>HU_age+A103</f>
        <v/>
      </c>
      <c r="C103" s="52">
        <f>A103&lt;=HU_T</f>
        <v/>
      </c>
      <c r="D103" s="63">
        <f>IF(OR(A103&lt;1,A103&gt;HU_T),0,INDEX(HU_q_mort,HU_age+A103-17,HU_col))</f>
        <v/>
      </c>
      <c r="E103" s="63">
        <f>IF(OR(A103&lt;1,A103&gt;HU_T),0,INDEX(HU_q_adb,HU_age+A103-17,HU_col))</f>
        <v/>
      </c>
      <c r="F103" s="63">
        <f>IF(OR(A103&lt;1,A103&gt;HU_T),0,INDEX(HU_q_morb,HU_age+A103-17,HU_col))</f>
        <v/>
      </c>
      <c r="G103" s="63">
        <f>IF(OR(A103&lt;1,A103&gt;HU_T),0,INDEX(HU_q_ptd,HU_age+A103-17,HU_col))</f>
        <v/>
      </c>
      <c r="H103" s="63">
        <f>IF(OR(A103&lt;1,A103&gt;HU_T),0,INDEX(HU_q_dis,HU_age+A103-17,HU_col))</f>
        <v/>
      </c>
      <c r="I103" s="63">
        <f>IF(A103&gt;HU_T,0,I102*(1-D103)*(1-E103))</f>
        <v/>
      </c>
      <c r="J103" s="63">
        <f>IF(A103&gt;=HU_T,0,N(I104))</f>
        <v/>
      </c>
      <c r="K103" s="63">
        <f>K102*(1-G103)</f>
        <v/>
      </c>
      <c r="L103" s="63">
        <f>1-K103</f>
        <v/>
      </c>
      <c r="M103" s="63">
        <f>K102*G103</f>
        <v/>
      </c>
      <c r="N103" s="63">
        <f>N102*(1-H103)</f>
        <v/>
      </c>
      <c r="O103" s="63">
        <f>1-N102</f>
        <v/>
      </c>
      <c r="P103" s="63">
        <f>P102*(1-F103)</f>
        <v/>
      </c>
      <c r="Q103" s="63">
        <f>1-P102/INDEX($P$68:$P$150,MAX(1,A103-HU_ciYears))</f>
        <v/>
      </c>
      <c r="R103" s="60">
        <f>(1+inflationRate)^A103</f>
        <v/>
      </c>
      <c r="S103" s="29">
        <f>IF(OR(OR(A103&lt;1,A103&gt;HU_T),A103-1&gt;=HU_dtr),0,HU_inc0*(1+incomeGrowthRate)^A103)</f>
        <v/>
      </c>
      <c r="T103" s="60">
        <f>IF(A103&gt;HU_T,T102,T102*(1+INDEX(HU_ssG,HU_age+A103-17)))</f>
        <v/>
      </c>
      <c r="U103" s="29">
        <f>IF(AND(HU_dtr&gt;=1,A103=HU_dtr,A103&lt;=HU_T),MIN(S103*INDEX(HU_ssC,HU_age+A103-17)/(1-INDEX(HU_ssC,HU_age+A103-17)),INDEX(HU_ssCap,HU_age+A103-17))*T103,0)</f>
        <v/>
      </c>
      <c r="V103" s="29">
        <f>S103+U103+IF(AND(HU_wdOn,A103=HU_wdYear),HU_wdIncome,0)</f>
        <v/>
      </c>
      <c r="W103" s="60">
        <f>HU_ciProp*Q103+HU_tpdCut*L103+HU_disCut*O103</f>
        <v/>
      </c>
      <c r="X103" s="29">
        <f>IF(OR(A103&lt;1,A103&gt;HU_T),0,V103*(1-W103))</f>
        <v/>
      </c>
      <c r="Y103" s="29">
        <f>IF(OR(A103&lt;1,A103&gt;HU_T),0,IF(AND(HU_retExp&gt;0,A103-1&gt;=HU_dtr),HU_retExp,HU_exp0)*R103)</f>
        <v/>
      </c>
      <c r="Z103" s="29">
        <f>-Y103-IF(AND(HU_wdOn,A103=HU_wdYear),HU_wdOut,0)</f>
        <v/>
      </c>
      <c r="AA103" s="29">
        <f>IF(OR(A103&lt;1,A103&gt;HU_T),0,-HU_medCost*R103*F103-HU_tpdCost*R103*M103)</f>
        <v/>
      </c>
      <c r="AB103" s="29">
        <f>IF(A103&gt;HU_T,0,AB102*(1+interestRate)+X103+Z103+AA103)</f>
        <v/>
      </c>
      <c r="AC103" s="29">
        <f>IF(A103&gt;HU_T,0,HU_inv*EXP(HU_mu*A103))</f>
        <v/>
      </c>
      <c r="AD103" s="29">
        <f>IF(A103&gt;HU_T,0,MAX(0,AC103+AB103))</f>
        <v/>
      </c>
      <c r="AE103" s="29">
        <f>IF(A103&gt;HU_T,0,MAX(0,X103-Y103))</f>
        <v/>
      </c>
      <c r="AF103" s="63">
        <f>IF(AND($J$6,A103&gt;=1,A103&lt;=$Q$6-1),J103,0)</f>
        <v/>
      </c>
      <c r="AG103" s="29">
        <f>IF(OR(AF103=0,$S$6=0),0,IF((AD103+$L$6)&gt;$S$6/HU_alpha+$K$6,0.5*$S$6/HU_alpha,IF((AD103+$L$6)&gt;=$K$6,((AD103+$L$6)-$K$6)-0.5*HU_alpha/$S$6*((AD103+$L$6)-$K$6)^2,IF((AD103+$L$6)&gt;=$T$6,HU_beta*((AD103+$L$6)-$K$6),HU_beta*($T$6-$K$6)))))</f>
        <v/>
      </c>
      <c r="AH103" s="29">
        <f>IF(OR(AF103=0,$S$6=0),0,IF((AD103+$L$6+$N$6)&gt;$S$6/HU_alpha+$K$6,0.5*$S$6/HU_alpha,IF((AD103+$L$6+$N$6)&gt;=$K$6,((AD103+$L$6+$N$6)-$K$6)-0.5*HU_alpha/$S$6*((AD103+$L$6+$N$6)-$K$6)^2,IF((AD103+$L$6+$N$6)&gt;=$T$6,HU_beta*((AD103+$L$6+$N$6)-$K$6),HU_beta*($T$6-$K$6)))))</f>
        <v/>
      </c>
      <c r="AI103" s="29">
        <f>IF(OR(AF103=0,$S$6=0),0,IF((AD103+$K$6)&gt;$S$6/HU_alpha+$K$6,0.5*$S$6/HU_alpha,IF((AD103+$K$6)&gt;=$K$6,((AD103+$K$6)-$K$6)-0.5*HU_alpha/$S$6*((AD103+$K$6)-$K$6)^2,IF((AD103+$K$6)&gt;=$T$6,HU_beta*((AD103+$K$6)-$K$6),HU_beta*($T$6-$K$6)))))</f>
        <v/>
      </c>
      <c r="AJ103" s="63">
        <f>IF(AND($J$7,A103&gt;=1,A103&lt;=$Q$7-1),J103,0)</f>
        <v/>
      </c>
      <c r="AK103" s="29">
        <f>IF(OR(AJ103=0,$S$7=0),0,IF((AE103+$L$7)&gt;$S$7/HU_alpha+$K$7,0.5*$S$7/HU_alpha,IF((AE103+$L$7)&gt;=$K$7,((AE103+$L$7)-$K$7)-0.5*HU_alpha/$S$7*((AE103+$L$7)-$K$7)^2,IF((AE103+$L$7)&gt;=$T$7,HU_beta*((AE103+$L$7)-$K$7),HU_beta*($T$7-$K$7)))))</f>
        <v/>
      </c>
      <c r="AL103" s="29">
        <f>IF(OR(AJ103=0,$S$7=0),0,IF((AE103+$L$7+$N$7)&gt;$S$7/HU_alpha+$K$7,0.5*$S$7/HU_alpha,IF((AE103+$L$7+$N$7)&gt;=$K$7,((AE103+$L$7+$N$7)-$K$7)-0.5*HU_alpha/$S$7*((AE103+$L$7+$N$7)-$K$7)^2,IF((AE103+$L$7+$N$7)&gt;=$T$7,HU_beta*((AE103+$L$7+$N$7)-$K$7),HU_beta*($T$7-$K$7)))))</f>
        <v/>
      </c>
      <c r="AM103" s="29">
        <f>IF(OR(AJ103=0,$S$7=0),0,IF((AE103+$K$7)&gt;$S$7/HU_alpha+$K$7,0.5*$S$7/HU_alpha,IF((AE103+$K$7)&gt;=$K$7,((AE103+$K$7)-$K$7)-0.5*HU_alpha/$S$7*((AE103+$K$7)-$K$7)^2,IF((AE103+$K$7)&gt;=$T$7,HU_beta*((AE103+$K$7)-$K$7),HU_beta*($T$7-$K$7)))))</f>
        <v/>
      </c>
      <c r="AN103" s="63">
        <f>IF(AND($J$8,A103&gt;=1,A103&lt;=$Q$8-1),J103,0)</f>
        <v/>
      </c>
      <c r="AO103" s="29">
        <f>IF(OR(AN103=0,$S$8=0),0,IF((AE103+$L$8)&gt;$S$8/HU_alpha+$K$8,0.5*$S$8/HU_alpha,IF((AE103+$L$8)&gt;=$K$8,((AE103+$L$8)-$K$8)-0.5*HU_alpha/$S$8*((AE103+$L$8)-$K$8)^2,IF((AE103+$L$8)&gt;=$T$8,HU_beta*((AE103+$L$8)-$K$8),HU_beta*($T$8-$K$8)))))</f>
        <v/>
      </c>
      <c r="AP103" s="29">
        <f>IF(OR(AN103=0,$S$8=0),0,IF((AE103+$L$8+$N$8)&gt;$S$8/HU_alpha+$K$8,0.5*$S$8/HU_alpha,IF((AE103+$L$8+$N$8)&gt;=$K$8,((AE103+$L$8+$N$8)-$K$8)-0.5*HU_alpha/$S$8*((AE103+$L$8+$N$8)-$K$8)^2,IF((AE103+$L$8+$N$8)&gt;=$T$8,HU_beta*((AE103+$L$8+$N$8)-$K$8),HU_beta*($T$8-$K$8)))))</f>
        <v/>
      </c>
      <c r="AQ103" s="29">
        <f>IF(OR(AN103=0,$S$8=0),0,IF((AE103+$K$8)&gt;$S$8/HU_alpha+$K$8,0.5*$S$8/HU_alpha,IF((AE103+$K$8)&gt;=$K$8,((AE103+$K$8)-$K$8)-0.5*HU_alpha/$S$8*((AE103+$K$8)-$K$8)^2,IF((AE103+$K$8)&gt;=$T$8,HU_beta*((AE103+$K$8)-$K$8),HU_beta*($T$8-$K$8)))))</f>
        <v/>
      </c>
      <c r="AR103" s="63">
        <f>IF(AND($J$9,A103&gt;=1,A103&lt;=$Q$9-1),J103,0)</f>
        <v/>
      </c>
      <c r="AS103" s="29">
        <f>IF(OR(AR103=0,$S$9=0),0,IF((AE103+$L$9)&gt;$S$9/HU_alpha+$K$9,0.5*$S$9/HU_alpha,IF((AE103+$L$9)&gt;=$K$9,((AE103+$L$9)-$K$9)-0.5*HU_alpha/$S$9*((AE103+$L$9)-$K$9)^2,IF((AE103+$L$9)&gt;=$T$9,HU_beta*((AE103+$L$9)-$K$9),HU_beta*($T$9-$K$9)))))</f>
        <v/>
      </c>
      <c r="AT103" s="29">
        <f>IF(OR(AR103=0,$S$9=0),0,IF((AE103+$L$9+$N$9)&gt;$S$9/HU_alpha+$K$9,0.5*$S$9/HU_alpha,IF((AE103+$L$9+$N$9)&gt;=$K$9,((AE103+$L$9+$N$9)-$K$9)-0.5*HU_alpha/$S$9*((AE103+$L$9+$N$9)-$K$9)^2,IF((AE103+$L$9+$N$9)&gt;=$T$9,HU_beta*((AE103+$L$9+$N$9)-$K$9),HU_beta*($T$9-$K$9)))))</f>
        <v/>
      </c>
      <c r="AU103" s="29">
        <f>IF(OR(AR103=0,$S$9=0),0,IF((AE103+$K$9)&gt;$S$9/HU_alpha+$K$9,0.5*$S$9/HU_alpha,IF((AE103+$K$9)&gt;=$K$9,((AE103+$K$9)-$K$9)-0.5*HU_alpha/$S$9*((AE103+$K$9)-$K$9)^2,IF((AE103+$K$9)&gt;=$T$9,HU_beta*((AE103+$K$9)-$K$9),HU_beta*($T$9-$K$9)))))</f>
        <v/>
      </c>
      <c r="AV103" s="63">
        <f>IF(AND($J$10,A103=$Q$10),J103,0)</f>
        <v/>
      </c>
      <c r="AW103" s="29">
        <f>IF(OR(AV103=0,$S$10=0),0,IF((AD103+$L$10)&gt;$S$10/HU_alpha+$K$10,0.5*$S$10/HU_alpha,IF((AD103+$L$10)&gt;=$K$10,((AD103+$L$10)-$K$10)-0.5*HU_alpha/$S$10*((AD103+$L$10)-$K$10)^2,IF((AD103+$L$10)&gt;=$T$10,HU_beta*((AD103+$L$10)-$K$10),HU_beta*($T$10-$K$10)))))</f>
        <v/>
      </c>
      <c r="AX103" s="29">
        <f>IF(OR(AV103=0,$S$10=0),0,IF((AD103+$L$10+$N$10)&gt;$S$10/HU_alpha+$K$10,0.5*$S$10/HU_alpha,IF((AD103+$L$10+$N$10)&gt;=$K$10,((AD103+$L$10+$N$10)-$K$10)-0.5*HU_alpha/$S$10*((AD103+$L$10+$N$10)-$K$10)^2,IF((AD103+$L$10+$N$10)&gt;=$T$10,HU_beta*((AD103+$L$10+$N$10)-$K$10),HU_beta*($T$10-$K$10)))))</f>
        <v/>
      </c>
      <c r="AY103" s="29">
        <f>IF(OR(AV103=0,$S$10=0),0,IF((AD103+$K$10)&gt;$S$10/HU_alpha+$K$10,0.5*$S$10/HU_alpha,IF((AD103+$K$10)&gt;=$K$10,((AD103+$K$10)-$K$10)-0.5*HU_alpha/$S$10*((AD103+$K$10)-$K$10)^2,IF((AD103+$K$10)&gt;=$T$10,HU_beta*((AD103+$K$10)-$K$10),HU_beta*($T$10-$K$10)))))</f>
        <v/>
      </c>
      <c r="AZ103" s="63">
        <f>IF(AND($J$11,A103=$Q$11),J103,0)</f>
        <v/>
      </c>
      <c r="BA103" s="29">
        <f>IF(OR(AZ103=0,$S$11=0),0,IF((AE103+$L$11)&gt;$S$11/HU_alpha+$K$11,0.5*$S$11/HU_alpha,IF((AE103+$L$11)&gt;=$K$11,((AE103+$L$11)-$K$11)-0.5*HU_alpha/$S$11*((AE103+$L$11)-$K$11)^2,IF((AE103+$L$11)&gt;=$T$11,HU_beta*((AE103+$L$11)-$K$11),HU_beta*($T$11-$K$11)))))</f>
        <v/>
      </c>
      <c r="BB103" s="29">
        <f>IF(OR(AZ103=0,$S$11=0),0,IF((AE103+$L$11+$N$11)&gt;$S$11/HU_alpha+$K$11,0.5*$S$11/HU_alpha,IF((AE103+$L$11+$N$11)&gt;=$K$11,((AE103+$L$11+$N$11)-$K$11)-0.5*HU_alpha/$S$11*((AE103+$L$11+$N$11)-$K$11)^2,IF((AE103+$L$11+$N$11)&gt;=$T$11,HU_beta*((AE103+$L$11+$N$11)-$K$11),HU_beta*($T$11-$K$11)))))</f>
        <v/>
      </c>
      <c r="BC103" s="29">
        <f>IF(OR(AZ103=0,$S$11=0),0,IF((AE103+$K$11)&gt;$S$11/HU_alpha+$K$11,0.5*$S$11/HU_alpha,IF((AE103+$K$11)&gt;=$K$11,((AE103+$K$11)-$K$11)-0.5*HU_alpha/$S$11*((AE103+$K$11)-$K$11)^2,IF((AE103+$K$11)&gt;=$T$11,HU_beta*((AE103+$K$11)-$K$11),HU_beta*($T$11-$K$11)))))</f>
        <v/>
      </c>
      <c r="BD103" s="63">
        <f>IF(AND($J$12,A103=$Q$12),J103,0)</f>
        <v/>
      </c>
      <c r="BE103" s="29">
        <f>IF(OR(BD103=0,$S$12=0),0,IF((AE103+$L$12)&gt;$S$12/HU_alpha+$K$12,0.5*$S$12/HU_alpha,IF((AE103+$L$12)&gt;=$K$12,((AE103+$L$12)-$K$12)-0.5*HU_alpha/$S$12*((AE103+$L$12)-$K$12)^2,IF((AE103+$L$12)&gt;=$T$12,HU_beta*((AE103+$L$12)-$K$12),HU_beta*($T$12-$K$12)))))</f>
        <v/>
      </c>
      <c r="BF103" s="29">
        <f>IF(OR(BD103=0,$S$12=0),0,IF((AE103+$L$12+$N$12)&gt;$S$12/HU_alpha+$K$12,0.5*$S$12/HU_alpha,IF((AE103+$L$12+$N$12)&gt;=$K$12,((AE103+$L$12+$N$12)-$K$12)-0.5*HU_alpha/$S$12*((AE103+$L$12+$N$12)-$K$12)^2,IF((AE103+$L$12+$N$12)&gt;=$T$12,HU_beta*((AE103+$L$12+$N$12)-$K$12),HU_beta*($T$12-$K$12)))))</f>
        <v/>
      </c>
      <c r="BG103" s="29">
        <f>IF(OR(BD103=0,$S$12=0),0,IF((AE103+$K$12)&gt;$S$12/HU_alpha+$K$12,0.5*$S$12/HU_alpha,IF((AE103+$K$12)&gt;=$K$12,((AE103+$K$12)-$K$12)-0.5*HU_alpha/$S$12*((AE103+$K$12)-$K$12)^2,IF((AE103+$K$12)&gt;=$T$12,HU_beta*((AE103+$K$12)-$K$12),HU_beta*($T$12-$K$12)))))</f>
        <v/>
      </c>
      <c r="BH103" s="63">
        <f>IF(AND($J$13,A103=$Q$13),J103,0)</f>
        <v/>
      </c>
      <c r="BI103" s="29">
        <f>IF(OR(BH103=0,$S$13=0),0,IF((AE103+$L$13)&gt;$S$13/HU_alpha+$K$13,0.5*$S$13/HU_alpha,IF((AE103+$L$13)&gt;=$K$13,((AE103+$L$13)-$K$13)-0.5*HU_alpha/$S$13*((AE103+$L$13)-$K$13)^2,IF((AE103+$L$13)&gt;=$T$13,HU_beta*((AE103+$L$13)-$K$13),HU_beta*($T$13-$K$13)))))</f>
        <v/>
      </c>
      <c r="BJ103" s="29">
        <f>IF(OR(BH103=0,$S$13=0),0,IF((AE103+$L$13+$N$13)&gt;$S$13/HU_alpha+$K$13,0.5*$S$13/HU_alpha,IF((AE103+$L$13+$N$13)&gt;=$K$13,((AE103+$L$13+$N$13)-$K$13)-0.5*HU_alpha/$S$13*((AE103+$L$13+$N$13)-$K$13)^2,IF((AE103+$L$13+$N$13)&gt;=$T$13,HU_beta*((AE103+$L$13+$N$13)-$K$13),HU_beta*($T$13-$K$13)))))</f>
        <v/>
      </c>
      <c r="BK103" s="29">
        <f>IF(OR(BH103=0,$S$13=0),0,IF((AE103+$K$13)&gt;$S$13/HU_alpha+$K$13,0.5*$S$13/HU_alpha,IF((AE103+$K$13)&gt;=$K$13,((AE103+$K$13)-$K$13)-0.5*HU_alpha/$S$13*((AE103+$K$13)-$K$13)^2,IF((AE103+$K$13)&gt;=$T$13,HU_beta*((AE103+$K$13)-$K$13),HU_beta*($T$13-$K$13)))))</f>
        <v/>
      </c>
    </row>
    <row r="104">
      <c r="A104" s="61" t="n">
        <v>36</v>
      </c>
      <c r="B104" s="61">
        <f>HU_age+A104</f>
        <v/>
      </c>
      <c r="C104" s="52">
        <f>A104&lt;=HU_T</f>
        <v/>
      </c>
      <c r="D104" s="63">
        <f>IF(OR(A104&lt;1,A104&gt;HU_T),0,INDEX(HU_q_mort,HU_age+A104-17,HU_col))</f>
        <v/>
      </c>
      <c r="E104" s="63">
        <f>IF(OR(A104&lt;1,A104&gt;HU_T),0,INDEX(HU_q_adb,HU_age+A104-17,HU_col))</f>
        <v/>
      </c>
      <c r="F104" s="63">
        <f>IF(OR(A104&lt;1,A104&gt;HU_T),0,INDEX(HU_q_morb,HU_age+A104-17,HU_col))</f>
        <v/>
      </c>
      <c r="G104" s="63">
        <f>IF(OR(A104&lt;1,A104&gt;HU_T),0,INDEX(HU_q_ptd,HU_age+A104-17,HU_col))</f>
        <v/>
      </c>
      <c r="H104" s="63">
        <f>IF(OR(A104&lt;1,A104&gt;HU_T),0,INDEX(HU_q_dis,HU_age+A104-17,HU_col))</f>
        <v/>
      </c>
      <c r="I104" s="63">
        <f>IF(A104&gt;HU_T,0,I103*(1-D104)*(1-E104))</f>
        <v/>
      </c>
      <c r="J104" s="63">
        <f>IF(A104&gt;=HU_T,0,N(I105))</f>
        <v/>
      </c>
      <c r="K104" s="63">
        <f>K103*(1-G104)</f>
        <v/>
      </c>
      <c r="L104" s="63">
        <f>1-K104</f>
        <v/>
      </c>
      <c r="M104" s="63">
        <f>K103*G104</f>
        <v/>
      </c>
      <c r="N104" s="63">
        <f>N103*(1-H104)</f>
        <v/>
      </c>
      <c r="O104" s="63">
        <f>1-N103</f>
        <v/>
      </c>
      <c r="P104" s="63">
        <f>P103*(1-F104)</f>
        <v/>
      </c>
      <c r="Q104" s="63">
        <f>1-P103/INDEX($P$68:$P$150,MAX(1,A104-HU_ciYears))</f>
        <v/>
      </c>
      <c r="R104" s="60">
        <f>(1+inflationRate)^A104</f>
        <v/>
      </c>
      <c r="S104" s="29">
        <f>IF(OR(OR(A104&lt;1,A104&gt;HU_T),A104-1&gt;=HU_dtr),0,HU_inc0*(1+incomeGrowthRate)^A104)</f>
        <v/>
      </c>
      <c r="T104" s="60">
        <f>IF(A104&gt;HU_T,T103,T103*(1+INDEX(HU_ssG,HU_age+A104-17)))</f>
        <v/>
      </c>
      <c r="U104" s="29">
        <f>IF(AND(HU_dtr&gt;=1,A104=HU_dtr,A104&lt;=HU_T),MIN(S104*INDEX(HU_ssC,HU_age+A104-17)/(1-INDEX(HU_ssC,HU_age+A104-17)),INDEX(HU_ssCap,HU_age+A104-17))*T104,0)</f>
        <v/>
      </c>
      <c r="V104" s="29">
        <f>S104+U104+IF(AND(HU_wdOn,A104=HU_wdYear),HU_wdIncome,0)</f>
        <v/>
      </c>
      <c r="W104" s="60">
        <f>HU_ciProp*Q104+HU_tpdCut*L104+HU_disCut*O104</f>
        <v/>
      </c>
      <c r="X104" s="29">
        <f>IF(OR(A104&lt;1,A104&gt;HU_T),0,V104*(1-W104))</f>
        <v/>
      </c>
      <c r="Y104" s="29">
        <f>IF(OR(A104&lt;1,A104&gt;HU_T),0,IF(AND(HU_retExp&gt;0,A104-1&gt;=HU_dtr),HU_retExp,HU_exp0)*R104)</f>
        <v/>
      </c>
      <c r="Z104" s="29">
        <f>-Y104-IF(AND(HU_wdOn,A104=HU_wdYear),HU_wdOut,0)</f>
        <v/>
      </c>
      <c r="AA104" s="29">
        <f>IF(OR(A104&lt;1,A104&gt;HU_T),0,-HU_medCost*R104*F104-HU_tpdCost*R104*M104)</f>
        <v/>
      </c>
      <c r="AB104" s="29">
        <f>IF(A104&gt;HU_T,0,AB103*(1+interestRate)+X104+Z104+AA104)</f>
        <v/>
      </c>
      <c r="AC104" s="29">
        <f>IF(A104&gt;HU_T,0,HU_inv*EXP(HU_mu*A104))</f>
        <v/>
      </c>
      <c r="AD104" s="29">
        <f>IF(A104&gt;HU_T,0,MAX(0,AC104+AB104))</f>
        <v/>
      </c>
      <c r="AE104" s="29">
        <f>IF(A104&gt;HU_T,0,MAX(0,X104-Y104))</f>
        <v/>
      </c>
      <c r="AF104" s="63">
        <f>IF(AND($J$6,A104&gt;=1,A104&lt;=$Q$6-1),J104,0)</f>
        <v/>
      </c>
      <c r="AG104" s="29">
        <f>IF(OR(AF104=0,$S$6=0),0,IF((AD104+$L$6)&gt;$S$6/HU_alpha+$K$6,0.5*$S$6/HU_alpha,IF((AD104+$L$6)&gt;=$K$6,((AD104+$L$6)-$K$6)-0.5*HU_alpha/$S$6*((AD104+$L$6)-$K$6)^2,IF((AD104+$L$6)&gt;=$T$6,HU_beta*((AD104+$L$6)-$K$6),HU_beta*($T$6-$K$6)))))</f>
        <v/>
      </c>
      <c r="AH104" s="29">
        <f>IF(OR(AF104=0,$S$6=0),0,IF((AD104+$L$6+$N$6)&gt;$S$6/HU_alpha+$K$6,0.5*$S$6/HU_alpha,IF((AD104+$L$6+$N$6)&gt;=$K$6,((AD104+$L$6+$N$6)-$K$6)-0.5*HU_alpha/$S$6*((AD104+$L$6+$N$6)-$K$6)^2,IF((AD104+$L$6+$N$6)&gt;=$T$6,HU_beta*((AD104+$L$6+$N$6)-$K$6),HU_beta*($T$6-$K$6)))))</f>
        <v/>
      </c>
      <c r="AI104" s="29">
        <f>IF(OR(AF104=0,$S$6=0),0,IF((AD104+$K$6)&gt;$S$6/HU_alpha+$K$6,0.5*$S$6/HU_alpha,IF((AD104+$K$6)&gt;=$K$6,((AD104+$K$6)-$K$6)-0.5*HU_alpha/$S$6*((AD104+$K$6)-$K$6)^2,IF((AD104+$K$6)&gt;=$T$6,HU_beta*((AD104+$K$6)-$K$6),HU_beta*($T$6-$K$6)))))</f>
        <v/>
      </c>
      <c r="AJ104" s="63">
        <f>IF(AND($J$7,A104&gt;=1,A104&lt;=$Q$7-1),J104,0)</f>
        <v/>
      </c>
      <c r="AK104" s="29">
        <f>IF(OR(AJ104=0,$S$7=0),0,IF((AE104+$L$7)&gt;$S$7/HU_alpha+$K$7,0.5*$S$7/HU_alpha,IF((AE104+$L$7)&gt;=$K$7,((AE104+$L$7)-$K$7)-0.5*HU_alpha/$S$7*((AE104+$L$7)-$K$7)^2,IF((AE104+$L$7)&gt;=$T$7,HU_beta*((AE104+$L$7)-$K$7),HU_beta*($T$7-$K$7)))))</f>
        <v/>
      </c>
      <c r="AL104" s="29">
        <f>IF(OR(AJ104=0,$S$7=0),0,IF((AE104+$L$7+$N$7)&gt;$S$7/HU_alpha+$K$7,0.5*$S$7/HU_alpha,IF((AE104+$L$7+$N$7)&gt;=$K$7,((AE104+$L$7+$N$7)-$K$7)-0.5*HU_alpha/$S$7*((AE104+$L$7+$N$7)-$K$7)^2,IF((AE104+$L$7+$N$7)&gt;=$T$7,HU_beta*((AE104+$L$7+$N$7)-$K$7),HU_beta*($T$7-$K$7)))))</f>
        <v/>
      </c>
      <c r="AM104" s="29">
        <f>IF(OR(AJ104=0,$S$7=0),0,IF((AE104+$K$7)&gt;$S$7/HU_alpha+$K$7,0.5*$S$7/HU_alpha,IF((AE104+$K$7)&gt;=$K$7,((AE104+$K$7)-$K$7)-0.5*HU_alpha/$S$7*((AE104+$K$7)-$K$7)^2,IF((AE104+$K$7)&gt;=$T$7,HU_beta*((AE104+$K$7)-$K$7),HU_beta*($T$7-$K$7)))))</f>
        <v/>
      </c>
      <c r="AN104" s="63">
        <f>IF(AND($J$8,A104&gt;=1,A104&lt;=$Q$8-1),J104,0)</f>
        <v/>
      </c>
      <c r="AO104" s="29">
        <f>IF(OR(AN104=0,$S$8=0),0,IF((AE104+$L$8)&gt;$S$8/HU_alpha+$K$8,0.5*$S$8/HU_alpha,IF((AE104+$L$8)&gt;=$K$8,((AE104+$L$8)-$K$8)-0.5*HU_alpha/$S$8*((AE104+$L$8)-$K$8)^2,IF((AE104+$L$8)&gt;=$T$8,HU_beta*((AE104+$L$8)-$K$8),HU_beta*($T$8-$K$8)))))</f>
        <v/>
      </c>
      <c r="AP104" s="29">
        <f>IF(OR(AN104=0,$S$8=0),0,IF((AE104+$L$8+$N$8)&gt;$S$8/HU_alpha+$K$8,0.5*$S$8/HU_alpha,IF((AE104+$L$8+$N$8)&gt;=$K$8,((AE104+$L$8+$N$8)-$K$8)-0.5*HU_alpha/$S$8*((AE104+$L$8+$N$8)-$K$8)^2,IF((AE104+$L$8+$N$8)&gt;=$T$8,HU_beta*((AE104+$L$8+$N$8)-$K$8),HU_beta*($T$8-$K$8)))))</f>
        <v/>
      </c>
      <c r="AQ104" s="29">
        <f>IF(OR(AN104=0,$S$8=0),0,IF((AE104+$K$8)&gt;$S$8/HU_alpha+$K$8,0.5*$S$8/HU_alpha,IF((AE104+$K$8)&gt;=$K$8,((AE104+$K$8)-$K$8)-0.5*HU_alpha/$S$8*((AE104+$K$8)-$K$8)^2,IF((AE104+$K$8)&gt;=$T$8,HU_beta*((AE104+$K$8)-$K$8),HU_beta*($T$8-$K$8)))))</f>
        <v/>
      </c>
      <c r="AR104" s="63">
        <f>IF(AND($J$9,A104&gt;=1,A104&lt;=$Q$9-1),J104,0)</f>
        <v/>
      </c>
      <c r="AS104" s="29">
        <f>IF(OR(AR104=0,$S$9=0),0,IF((AE104+$L$9)&gt;$S$9/HU_alpha+$K$9,0.5*$S$9/HU_alpha,IF((AE104+$L$9)&gt;=$K$9,((AE104+$L$9)-$K$9)-0.5*HU_alpha/$S$9*((AE104+$L$9)-$K$9)^2,IF((AE104+$L$9)&gt;=$T$9,HU_beta*((AE104+$L$9)-$K$9),HU_beta*($T$9-$K$9)))))</f>
        <v/>
      </c>
      <c r="AT104" s="29">
        <f>IF(OR(AR104=0,$S$9=0),0,IF((AE104+$L$9+$N$9)&gt;$S$9/HU_alpha+$K$9,0.5*$S$9/HU_alpha,IF((AE104+$L$9+$N$9)&gt;=$K$9,((AE104+$L$9+$N$9)-$K$9)-0.5*HU_alpha/$S$9*((AE104+$L$9+$N$9)-$K$9)^2,IF((AE104+$L$9+$N$9)&gt;=$T$9,HU_beta*((AE104+$L$9+$N$9)-$K$9),HU_beta*($T$9-$K$9)))))</f>
        <v/>
      </c>
      <c r="AU104" s="29">
        <f>IF(OR(AR104=0,$S$9=0),0,IF((AE104+$K$9)&gt;$S$9/HU_alpha+$K$9,0.5*$S$9/HU_alpha,IF((AE104+$K$9)&gt;=$K$9,((AE104+$K$9)-$K$9)-0.5*HU_alpha/$S$9*((AE104+$K$9)-$K$9)^2,IF((AE104+$K$9)&gt;=$T$9,HU_beta*((AE104+$K$9)-$K$9),HU_beta*($T$9-$K$9)))))</f>
        <v/>
      </c>
      <c r="AV104" s="63">
        <f>IF(AND($J$10,A104=$Q$10),J104,0)</f>
        <v/>
      </c>
      <c r="AW104" s="29">
        <f>IF(OR(AV104=0,$S$10=0),0,IF((AD104+$L$10)&gt;$S$10/HU_alpha+$K$10,0.5*$S$10/HU_alpha,IF((AD104+$L$10)&gt;=$K$10,((AD104+$L$10)-$K$10)-0.5*HU_alpha/$S$10*((AD104+$L$10)-$K$10)^2,IF((AD104+$L$10)&gt;=$T$10,HU_beta*((AD104+$L$10)-$K$10),HU_beta*($T$10-$K$10)))))</f>
        <v/>
      </c>
      <c r="AX104" s="29">
        <f>IF(OR(AV104=0,$S$10=0),0,IF((AD104+$L$10+$N$10)&gt;$S$10/HU_alpha+$K$10,0.5*$S$10/HU_alpha,IF((AD104+$L$10+$N$10)&gt;=$K$10,((AD104+$L$10+$N$10)-$K$10)-0.5*HU_alpha/$S$10*((AD104+$L$10+$N$10)-$K$10)^2,IF((AD104+$L$10+$N$10)&gt;=$T$10,HU_beta*((AD104+$L$10+$N$10)-$K$10),HU_beta*($T$10-$K$10)))))</f>
        <v/>
      </c>
      <c r="AY104" s="29">
        <f>IF(OR(AV104=0,$S$10=0),0,IF((AD104+$K$10)&gt;$S$10/HU_alpha+$K$10,0.5*$S$10/HU_alpha,IF((AD104+$K$10)&gt;=$K$10,((AD104+$K$10)-$K$10)-0.5*HU_alpha/$S$10*((AD104+$K$10)-$K$10)^2,IF((AD104+$K$10)&gt;=$T$10,HU_beta*((AD104+$K$10)-$K$10),HU_beta*($T$10-$K$10)))))</f>
        <v/>
      </c>
      <c r="AZ104" s="63">
        <f>IF(AND($J$11,A104=$Q$11),J104,0)</f>
        <v/>
      </c>
      <c r="BA104" s="29">
        <f>IF(OR(AZ104=0,$S$11=0),0,IF((AE104+$L$11)&gt;$S$11/HU_alpha+$K$11,0.5*$S$11/HU_alpha,IF((AE104+$L$11)&gt;=$K$11,((AE104+$L$11)-$K$11)-0.5*HU_alpha/$S$11*((AE104+$L$11)-$K$11)^2,IF((AE104+$L$11)&gt;=$T$11,HU_beta*((AE104+$L$11)-$K$11),HU_beta*($T$11-$K$11)))))</f>
        <v/>
      </c>
      <c r="BB104" s="29">
        <f>IF(OR(AZ104=0,$S$11=0),0,IF((AE104+$L$11+$N$11)&gt;$S$11/HU_alpha+$K$11,0.5*$S$11/HU_alpha,IF((AE104+$L$11+$N$11)&gt;=$K$11,((AE104+$L$11+$N$11)-$K$11)-0.5*HU_alpha/$S$11*((AE104+$L$11+$N$11)-$K$11)^2,IF((AE104+$L$11+$N$11)&gt;=$T$11,HU_beta*((AE104+$L$11+$N$11)-$K$11),HU_beta*($T$11-$K$11)))))</f>
        <v/>
      </c>
      <c r="BC104" s="29">
        <f>IF(OR(AZ104=0,$S$11=0),0,IF((AE104+$K$11)&gt;$S$11/HU_alpha+$K$11,0.5*$S$11/HU_alpha,IF((AE104+$K$11)&gt;=$K$11,((AE104+$K$11)-$K$11)-0.5*HU_alpha/$S$11*((AE104+$K$11)-$K$11)^2,IF((AE104+$K$11)&gt;=$T$11,HU_beta*((AE104+$K$11)-$K$11),HU_beta*($T$11-$K$11)))))</f>
        <v/>
      </c>
      <c r="BD104" s="63">
        <f>IF(AND($J$12,A104=$Q$12),J104,0)</f>
        <v/>
      </c>
      <c r="BE104" s="29">
        <f>IF(OR(BD104=0,$S$12=0),0,IF((AE104+$L$12)&gt;$S$12/HU_alpha+$K$12,0.5*$S$12/HU_alpha,IF((AE104+$L$12)&gt;=$K$12,((AE104+$L$12)-$K$12)-0.5*HU_alpha/$S$12*((AE104+$L$12)-$K$12)^2,IF((AE104+$L$12)&gt;=$T$12,HU_beta*((AE104+$L$12)-$K$12),HU_beta*($T$12-$K$12)))))</f>
        <v/>
      </c>
      <c r="BF104" s="29">
        <f>IF(OR(BD104=0,$S$12=0),0,IF((AE104+$L$12+$N$12)&gt;$S$12/HU_alpha+$K$12,0.5*$S$12/HU_alpha,IF((AE104+$L$12+$N$12)&gt;=$K$12,((AE104+$L$12+$N$12)-$K$12)-0.5*HU_alpha/$S$12*((AE104+$L$12+$N$12)-$K$12)^2,IF((AE104+$L$12+$N$12)&gt;=$T$12,HU_beta*((AE104+$L$12+$N$12)-$K$12),HU_beta*($T$12-$K$12)))))</f>
        <v/>
      </c>
      <c r="BG104" s="29">
        <f>IF(OR(BD104=0,$S$12=0),0,IF((AE104+$K$12)&gt;$S$12/HU_alpha+$K$12,0.5*$S$12/HU_alpha,IF((AE104+$K$12)&gt;=$K$12,((AE104+$K$12)-$K$12)-0.5*HU_alpha/$S$12*((AE104+$K$12)-$K$12)^2,IF((AE104+$K$12)&gt;=$T$12,HU_beta*((AE104+$K$12)-$K$12),HU_beta*($T$12-$K$12)))))</f>
        <v/>
      </c>
      <c r="BH104" s="63">
        <f>IF(AND($J$13,A104=$Q$13),J104,0)</f>
        <v/>
      </c>
      <c r="BI104" s="29">
        <f>IF(OR(BH104=0,$S$13=0),0,IF((AE104+$L$13)&gt;$S$13/HU_alpha+$K$13,0.5*$S$13/HU_alpha,IF((AE104+$L$13)&gt;=$K$13,((AE104+$L$13)-$K$13)-0.5*HU_alpha/$S$13*((AE104+$L$13)-$K$13)^2,IF((AE104+$L$13)&gt;=$T$13,HU_beta*((AE104+$L$13)-$K$13),HU_beta*($T$13-$K$13)))))</f>
        <v/>
      </c>
      <c r="BJ104" s="29">
        <f>IF(OR(BH104=0,$S$13=0),0,IF((AE104+$L$13+$N$13)&gt;$S$13/HU_alpha+$K$13,0.5*$S$13/HU_alpha,IF((AE104+$L$13+$N$13)&gt;=$K$13,((AE104+$L$13+$N$13)-$K$13)-0.5*HU_alpha/$S$13*((AE104+$L$13+$N$13)-$K$13)^2,IF((AE104+$L$13+$N$13)&gt;=$T$13,HU_beta*((AE104+$L$13+$N$13)-$K$13),HU_beta*($T$13-$K$13)))))</f>
        <v/>
      </c>
      <c r="BK104" s="29">
        <f>IF(OR(BH104=0,$S$13=0),0,IF((AE104+$K$13)&gt;$S$13/HU_alpha+$K$13,0.5*$S$13/HU_alpha,IF((AE104+$K$13)&gt;=$K$13,((AE104+$K$13)-$K$13)-0.5*HU_alpha/$S$13*((AE104+$K$13)-$K$13)^2,IF((AE104+$K$13)&gt;=$T$13,HU_beta*((AE104+$K$13)-$K$13),HU_beta*($T$13-$K$13)))))</f>
        <v/>
      </c>
    </row>
    <row r="105">
      <c r="A105" s="61" t="n">
        <v>37</v>
      </c>
      <c r="B105" s="61">
        <f>HU_age+A105</f>
        <v/>
      </c>
      <c r="C105" s="52">
        <f>A105&lt;=HU_T</f>
        <v/>
      </c>
      <c r="D105" s="63">
        <f>IF(OR(A105&lt;1,A105&gt;HU_T),0,INDEX(HU_q_mort,HU_age+A105-17,HU_col))</f>
        <v/>
      </c>
      <c r="E105" s="63">
        <f>IF(OR(A105&lt;1,A105&gt;HU_T),0,INDEX(HU_q_adb,HU_age+A105-17,HU_col))</f>
        <v/>
      </c>
      <c r="F105" s="63">
        <f>IF(OR(A105&lt;1,A105&gt;HU_T),0,INDEX(HU_q_morb,HU_age+A105-17,HU_col))</f>
        <v/>
      </c>
      <c r="G105" s="63">
        <f>IF(OR(A105&lt;1,A105&gt;HU_T),0,INDEX(HU_q_ptd,HU_age+A105-17,HU_col))</f>
        <v/>
      </c>
      <c r="H105" s="63">
        <f>IF(OR(A105&lt;1,A105&gt;HU_T),0,INDEX(HU_q_dis,HU_age+A105-17,HU_col))</f>
        <v/>
      </c>
      <c r="I105" s="63">
        <f>IF(A105&gt;HU_T,0,I104*(1-D105)*(1-E105))</f>
        <v/>
      </c>
      <c r="J105" s="63">
        <f>IF(A105&gt;=HU_T,0,N(I106))</f>
        <v/>
      </c>
      <c r="K105" s="63">
        <f>K104*(1-G105)</f>
        <v/>
      </c>
      <c r="L105" s="63">
        <f>1-K105</f>
        <v/>
      </c>
      <c r="M105" s="63">
        <f>K104*G105</f>
        <v/>
      </c>
      <c r="N105" s="63">
        <f>N104*(1-H105)</f>
        <v/>
      </c>
      <c r="O105" s="63">
        <f>1-N104</f>
        <v/>
      </c>
      <c r="P105" s="63">
        <f>P104*(1-F105)</f>
        <v/>
      </c>
      <c r="Q105" s="63">
        <f>1-P104/INDEX($P$68:$P$150,MAX(1,A105-HU_ciYears))</f>
        <v/>
      </c>
      <c r="R105" s="60">
        <f>(1+inflationRate)^A105</f>
        <v/>
      </c>
      <c r="S105" s="29">
        <f>IF(OR(OR(A105&lt;1,A105&gt;HU_T),A105-1&gt;=HU_dtr),0,HU_inc0*(1+incomeGrowthRate)^A105)</f>
        <v/>
      </c>
      <c r="T105" s="60">
        <f>IF(A105&gt;HU_T,T104,T104*(1+INDEX(HU_ssG,HU_age+A105-17)))</f>
        <v/>
      </c>
      <c r="U105" s="29">
        <f>IF(AND(HU_dtr&gt;=1,A105=HU_dtr,A105&lt;=HU_T),MIN(S105*INDEX(HU_ssC,HU_age+A105-17)/(1-INDEX(HU_ssC,HU_age+A105-17)),INDEX(HU_ssCap,HU_age+A105-17))*T105,0)</f>
        <v/>
      </c>
      <c r="V105" s="29">
        <f>S105+U105+IF(AND(HU_wdOn,A105=HU_wdYear),HU_wdIncome,0)</f>
        <v/>
      </c>
      <c r="W105" s="60">
        <f>HU_ciProp*Q105+HU_tpdCut*L105+HU_disCut*O105</f>
        <v/>
      </c>
      <c r="X105" s="29">
        <f>IF(OR(A105&lt;1,A105&gt;HU_T),0,V105*(1-W105))</f>
        <v/>
      </c>
      <c r="Y105" s="29">
        <f>IF(OR(A105&lt;1,A105&gt;HU_T),0,IF(AND(HU_retExp&gt;0,A105-1&gt;=HU_dtr),HU_retExp,HU_exp0)*R105)</f>
        <v/>
      </c>
      <c r="Z105" s="29">
        <f>-Y105-IF(AND(HU_wdOn,A105=HU_wdYear),HU_wdOut,0)</f>
        <v/>
      </c>
      <c r="AA105" s="29">
        <f>IF(OR(A105&lt;1,A105&gt;HU_T),0,-HU_medCost*R105*F105-HU_tpdCost*R105*M105)</f>
        <v/>
      </c>
      <c r="AB105" s="29">
        <f>IF(A105&gt;HU_T,0,AB104*(1+interestRate)+X105+Z105+AA105)</f>
        <v/>
      </c>
      <c r="AC105" s="29">
        <f>IF(A105&gt;HU_T,0,HU_inv*EXP(HU_mu*A105))</f>
        <v/>
      </c>
      <c r="AD105" s="29">
        <f>IF(A105&gt;HU_T,0,MAX(0,AC105+AB105))</f>
        <v/>
      </c>
      <c r="AE105" s="29">
        <f>IF(A105&gt;HU_T,0,MAX(0,X105-Y105))</f>
        <v/>
      </c>
      <c r="AF105" s="63">
        <f>IF(AND($J$6,A105&gt;=1,A105&lt;=$Q$6-1),J105,0)</f>
        <v/>
      </c>
      <c r="AG105" s="29">
        <f>IF(OR(AF105=0,$S$6=0),0,IF((AD105+$L$6)&gt;$S$6/HU_alpha+$K$6,0.5*$S$6/HU_alpha,IF((AD105+$L$6)&gt;=$K$6,((AD105+$L$6)-$K$6)-0.5*HU_alpha/$S$6*((AD105+$L$6)-$K$6)^2,IF((AD105+$L$6)&gt;=$T$6,HU_beta*((AD105+$L$6)-$K$6),HU_beta*($T$6-$K$6)))))</f>
        <v/>
      </c>
      <c r="AH105" s="29">
        <f>IF(OR(AF105=0,$S$6=0),0,IF((AD105+$L$6+$N$6)&gt;$S$6/HU_alpha+$K$6,0.5*$S$6/HU_alpha,IF((AD105+$L$6+$N$6)&gt;=$K$6,((AD105+$L$6+$N$6)-$K$6)-0.5*HU_alpha/$S$6*((AD105+$L$6+$N$6)-$K$6)^2,IF((AD105+$L$6+$N$6)&gt;=$T$6,HU_beta*((AD105+$L$6+$N$6)-$K$6),HU_beta*($T$6-$K$6)))))</f>
        <v/>
      </c>
      <c r="AI105" s="29">
        <f>IF(OR(AF105=0,$S$6=0),0,IF((AD105+$K$6)&gt;$S$6/HU_alpha+$K$6,0.5*$S$6/HU_alpha,IF((AD105+$K$6)&gt;=$K$6,((AD105+$K$6)-$K$6)-0.5*HU_alpha/$S$6*((AD105+$K$6)-$K$6)^2,IF((AD105+$K$6)&gt;=$T$6,HU_beta*((AD105+$K$6)-$K$6),HU_beta*($T$6-$K$6)))))</f>
        <v/>
      </c>
      <c r="AJ105" s="63">
        <f>IF(AND($J$7,A105&gt;=1,A105&lt;=$Q$7-1),J105,0)</f>
        <v/>
      </c>
      <c r="AK105" s="29">
        <f>IF(OR(AJ105=0,$S$7=0),0,IF((AE105+$L$7)&gt;$S$7/HU_alpha+$K$7,0.5*$S$7/HU_alpha,IF((AE105+$L$7)&gt;=$K$7,((AE105+$L$7)-$K$7)-0.5*HU_alpha/$S$7*((AE105+$L$7)-$K$7)^2,IF((AE105+$L$7)&gt;=$T$7,HU_beta*((AE105+$L$7)-$K$7),HU_beta*($T$7-$K$7)))))</f>
        <v/>
      </c>
      <c r="AL105" s="29">
        <f>IF(OR(AJ105=0,$S$7=0),0,IF((AE105+$L$7+$N$7)&gt;$S$7/HU_alpha+$K$7,0.5*$S$7/HU_alpha,IF((AE105+$L$7+$N$7)&gt;=$K$7,((AE105+$L$7+$N$7)-$K$7)-0.5*HU_alpha/$S$7*((AE105+$L$7+$N$7)-$K$7)^2,IF((AE105+$L$7+$N$7)&gt;=$T$7,HU_beta*((AE105+$L$7+$N$7)-$K$7),HU_beta*($T$7-$K$7)))))</f>
        <v/>
      </c>
      <c r="AM105" s="29">
        <f>IF(OR(AJ105=0,$S$7=0),0,IF((AE105+$K$7)&gt;$S$7/HU_alpha+$K$7,0.5*$S$7/HU_alpha,IF((AE105+$K$7)&gt;=$K$7,((AE105+$K$7)-$K$7)-0.5*HU_alpha/$S$7*((AE105+$K$7)-$K$7)^2,IF((AE105+$K$7)&gt;=$T$7,HU_beta*((AE105+$K$7)-$K$7),HU_beta*($T$7-$K$7)))))</f>
        <v/>
      </c>
      <c r="AN105" s="63">
        <f>IF(AND($J$8,A105&gt;=1,A105&lt;=$Q$8-1),J105,0)</f>
        <v/>
      </c>
      <c r="AO105" s="29">
        <f>IF(OR(AN105=0,$S$8=0),0,IF((AE105+$L$8)&gt;$S$8/HU_alpha+$K$8,0.5*$S$8/HU_alpha,IF((AE105+$L$8)&gt;=$K$8,((AE105+$L$8)-$K$8)-0.5*HU_alpha/$S$8*((AE105+$L$8)-$K$8)^2,IF((AE105+$L$8)&gt;=$T$8,HU_beta*((AE105+$L$8)-$K$8),HU_beta*($T$8-$K$8)))))</f>
        <v/>
      </c>
      <c r="AP105" s="29">
        <f>IF(OR(AN105=0,$S$8=0),0,IF((AE105+$L$8+$N$8)&gt;$S$8/HU_alpha+$K$8,0.5*$S$8/HU_alpha,IF((AE105+$L$8+$N$8)&gt;=$K$8,((AE105+$L$8+$N$8)-$K$8)-0.5*HU_alpha/$S$8*((AE105+$L$8+$N$8)-$K$8)^2,IF((AE105+$L$8+$N$8)&gt;=$T$8,HU_beta*((AE105+$L$8+$N$8)-$K$8),HU_beta*($T$8-$K$8)))))</f>
        <v/>
      </c>
      <c r="AQ105" s="29">
        <f>IF(OR(AN105=0,$S$8=0),0,IF((AE105+$K$8)&gt;$S$8/HU_alpha+$K$8,0.5*$S$8/HU_alpha,IF((AE105+$K$8)&gt;=$K$8,((AE105+$K$8)-$K$8)-0.5*HU_alpha/$S$8*((AE105+$K$8)-$K$8)^2,IF((AE105+$K$8)&gt;=$T$8,HU_beta*((AE105+$K$8)-$K$8),HU_beta*($T$8-$K$8)))))</f>
        <v/>
      </c>
      <c r="AR105" s="63">
        <f>IF(AND($J$9,A105&gt;=1,A105&lt;=$Q$9-1),J105,0)</f>
        <v/>
      </c>
      <c r="AS105" s="29">
        <f>IF(OR(AR105=0,$S$9=0),0,IF((AE105+$L$9)&gt;$S$9/HU_alpha+$K$9,0.5*$S$9/HU_alpha,IF((AE105+$L$9)&gt;=$K$9,((AE105+$L$9)-$K$9)-0.5*HU_alpha/$S$9*((AE105+$L$9)-$K$9)^2,IF((AE105+$L$9)&gt;=$T$9,HU_beta*((AE105+$L$9)-$K$9),HU_beta*($T$9-$K$9)))))</f>
        <v/>
      </c>
      <c r="AT105" s="29">
        <f>IF(OR(AR105=0,$S$9=0),0,IF((AE105+$L$9+$N$9)&gt;$S$9/HU_alpha+$K$9,0.5*$S$9/HU_alpha,IF((AE105+$L$9+$N$9)&gt;=$K$9,((AE105+$L$9+$N$9)-$K$9)-0.5*HU_alpha/$S$9*((AE105+$L$9+$N$9)-$K$9)^2,IF((AE105+$L$9+$N$9)&gt;=$T$9,HU_beta*((AE105+$L$9+$N$9)-$K$9),HU_beta*($T$9-$K$9)))))</f>
        <v/>
      </c>
      <c r="AU105" s="29">
        <f>IF(OR(AR105=0,$S$9=0),0,IF((AE105+$K$9)&gt;$S$9/HU_alpha+$K$9,0.5*$S$9/HU_alpha,IF((AE105+$K$9)&gt;=$K$9,((AE105+$K$9)-$K$9)-0.5*HU_alpha/$S$9*((AE105+$K$9)-$K$9)^2,IF((AE105+$K$9)&gt;=$T$9,HU_beta*((AE105+$K$9)-$K$9),HU_beta*($T$9-$K$9)))))</f>
        <v/>
      </c>
      <c r="AV105" s="63">
        <f>IF(AND($J$10,A105=$Q$10),J105,0)</f>
        <v/>
      </c>
      <c r="AW105" s="29">
        <f>IF(OR(AV105=0,$S$10=0),0,IF((AD105+$L$10)&gt;$S$10/HU_alpha+$K$10,0.5*$S$10/HU_alpha,IF((AD105+$L$10)&gt;=$K$10,((AD105+$L$10)-$K$10)-0.5*HU_alpha/$S$10*((AD105+$L$10)-$K$10)^2,IF((AD105+$L$10)&gt;=$T$10,HU_beta*((AD105+$L$10)-$K$10),HU_beta*($T$10-$K$10)))))</f>
        <v/>
      </c>
      <c r="AX105" s="29">
        <f>IF(OR(AV105=0,$S$10=0),0,IF((AD105+$L$10+$N$10)&gt;$S$10/HU_alpha+$K$10,0.5*$S$10/HU_alpha,IF((AD105+$L$10+$N$10)&gt;=$K$10,((AD105+$L$10+$N$10)-$K$10)-0.5*HU_alpha/$S$10*((AD105+$L$10+$N$10)-$K$10)^2,IF((AD105+$L$10+$N$10)&gt;=$T$10,HU_beta*((AD105+$L$10+$N$10)-$K$10),HU_beta*($T$10-$K$10)))))</f>
        <v/>
      </c>
      <c r="AY105" s="29">
        <f>IF(OR(AV105=0,$S$10=0),0,IF((AD105+$K$10)&gt;$S$10/HU_alpha+$K$10,0.5*$S$10/HU_alpha,IF((AD105+$K$10)&gt;=$K$10,((AD105+$K$10)-$K$10)-0.5*HU_alpha/$S$10*((AD105+$K$10)-$K$10)^2,IF((AD105+$K$10)&gt;=$T$10,HU_beta*((AD105+$K$10)-$K$10),HU_beta*($T$10-$K$10)))))</f>
        <v/>
      </c>
      <c r="AZ105" s="63">
        <f>IF(AND($J$11,A105=$Q$11),J105,0)</f>
        <v/>
      </c>
      <c r="BA105" s="29">
        <f>IF(OR(AZ105=0,$S$11=0),0,IF((AE105+$L$11)&gt;$S$11/HU_alpha+$K$11,0.5*$S$11/HU_alpha,IF((AE105+$L$11)&gt;=$K$11,((AE105+$L$11)-$K$11)-0.5*HU_alpha/$S$11*((AE105+$L$11)-$K$11)^2,IF((AE105+$L$11)&gt;=$T$11,HU_beta*((AE105+$L$11)-$K$11),HU_beta*($T$11-$K$11)))))</f>
        <v/>
      </c>
      <c r="BB105" s="29">
        <f>IF(OR(AZ105=0,$S$11=0),0,IF((AE105+$L$11+$N$11)&gt;$S$11/HU_alpha+$K$11,0.5*$S$11/HU_alpha,IF((AE105+$L$11+$N$11)&gt;=$K$11,((AE105+$L$11+$N$11)-$K$11)-0.5*HU_alpha/$S$11*((AE105+$L$11+$N$11)-$K$11)^2,IF((AE105+$L$11+$N$11)&gt;=$T$11,HU_beta*((AE105+$L$11+$N$11)-$K$11),HU_beta*($T$11-$K$11)))))</f>
        <v/>
      </c>
      <c r="BC105" s="29">
        <f>IF(OR(AZ105=0,$S$11=0),0,IF((AE105+$K$11)&gt;$S$11/HU_alpha+$K$11,0.5*$S$11/HU_alpha,IF((AE105+$K$11)&gt;=$K$11,((AE105+$K$11)-$K$11)-0.5*HU_alpha/$S$11*((AE105+$K$11)-$K$11)^2,IF((AE105+$K$11)&gt;=$T$11,HU_beta*((AE105+$K$11)-$K$11),HU_beta*($T$11-$K$11)))))</f>
        <v/>
      </c>
      <c r="BD105" s="63">
        <f>IF(AND($J$12,A105=$Q$12),J105,0)</f>
        <v/>
      </c>
      <c r="BE105" s="29">
        <f>IF(OR(BD105=0,$S$12=0),0,IF((AE105+$L$12)&gt;$S$12/HU_alpha+$K$12,0.5*$S$12/HU_alpha,IF((AE105+$L$12)&gt;=$K$12,((AE105+$L$12)-$K$12)-0.5*HU_alpha/$S$12*((AE105+$L$12)-$K$12)^2,IF((AE105+$L$12)&gt;=$T$12,HU_beta*((AE105+$L$12)-$K$12),HU_beta*($T$12-$K$12)))))</f>
        <v/>
      </c>
      <c r="BF105" s="29">
        <f>IF(OR(BD105=0,$S$12=0),0,IF((AE105+$L$12+$N$12)&gt;$S$12/HU_alpha+$K$12,0.5*$S$12/HU_alpha,IF((AE105+$L$12+$N$12)&gt;=$K$12,((AE105+$L$12+$N$12)-$K$12)-0.5*HU_alpha/$S$12*((AE105+$L$12+$N$12)-$K$12)^2,IF((AE105+$L$12+$N$12)&gt;=$T$12,HU_beta*((AE105+$L$12+$N$12)-$K$12),HU_beta*($T$12-$K$12)))))</f>
        <v/>
      </c>
      <c r="BG105" s="29">
        <f>IF(OR(BD105=0,$S$12=0),0,IF((AE105+$K$12)&gt;$S$12/HU_alpha+$K$12,0.5*$S$12/HU_alpha,IF((AE105+$K$12)&gt;=$K$12,((AE105+$K$12)-$K$12)-0.5*HU_alpha/$S$12*((AE105+$K$12)-$K$12)^2,IF((AE105+$K$12)&gt;=$T$12,HU_beta*((AE105+$K$12)-$K$12),HU_beta*($T$12-$K$12)))))</f>
        <v/>
      </c>
      <c r="BH105" s="63">
        <f>IF(AND($J$13,A105=$Q$13),J105,0)</f>
        <v/>
      </c>
      <c r="BI105" s="29">
        <f>IF(OR(BH105=0,$S$13=0),0,IF((AE105+$L$13)&gt;$S$13/HU_alpha+$K$13,0.5*$S$13/HU_alpha,IF((AE105+$L$13)&gt;=$K$13,((AE105+$L$13)-$K$13)-0.5*HU_alpha/$S$13*((AE105+$L$13)-$K$13)^2,IF((AE105+$L$13)&gt;=$T$13,HU_beta*((AE105+$L$13)-$K$13),HU_beta*($T$13-$K$13)))))</f>
        <v/>
      </c>
      <c r="BJ105" s="29">
        <f>IF(OR(BH105=0,$S$13=0),0,IF((AE105+$L$13+$N$13)&gt;$S$13/HU_alpha+$K$13,0.5*$S$13/HU_alpha,IF((AE105+$L$13+$N$13)&gt;=$K$13,((AE105+$L$13+$N$13)-$K$13)-0.5*HU_alpha/$S$13*((AE105+$L$13+$N$13)-$K$13)^2,IF((AE105+$L$13+$N$13)&gt;=$T$13,HU_beta*((AE105+$L$13+$N$13)-$K$13),HU_beta*($T$13-$K$13)))))</f>
        <v/>
      </c>
      <c r="BK105" s="29">
        <f>IF(OR(BH105=0,$S$13=0),0,IF((AE105+$K$13)&gt;$S$13/HU_alpha+$K$13,0.5*$S$13/HU_alpha,IF((AE105+$K$13)&gt;=$K$13,((AE105+$K$13)-$K$13)-0.5*HU_alpha/$S$13*((AE105+$K$13)-$K$13)^2,IF((AE105+$K$13)&gt;=$T$13,HU_beta*((AE105+$K$13)-$K$13),HU_beta*($T$13-$K$13)))))</f>
        <v/>
      </c>
    </row>
    <row r="106">
      <c r="A106" s="61" t="n">
        <v>38</v>
      </c>
      <c r="B106" s="61">
        <f>HU_age+A106</f>
        <v/>
      </c>
      <c r="C106" s="52">
        <f>A106&lt;=HU_T</f>
        <v/>
      </c>
      <c r="D106" s="63">
        <f>IF(OR(A106&lt;1,A106&gt;HU_T),0,INDEX(HU_q_mort,HU_age+A106-17,HU_col))</f>
        <v/>
      </c>
      <c r="E106" s="63">
        <f>IF(OR(A106&lt;1,A106&gt;HU_T),0,INDEX(HU_q_adb,HU_age+A106-17,HU_col))</f>
        <v/>
      </c>
      <c r="F106" s="63">
        <f>IF(OR(A106&lt;1,A106&gt;HU_T),0,INDEX(HU_q_morb,HU_age+A106-17,HU_col))</f>
        <v/>
      </c>
      <c r="G106" s="63">
        <f>IF(OR(A106&lt;1,A106&gt;HU_T),0,INDEX(HU_q_ptd,HU_age+A106-17,HU_col))</f>
        <v/>
      </c>
      <c r="H106" s="63">
        <f>IF(OR(A106&lt;1,A106&gt;HU_T),0,INDEX(HU_q_dis,HU_age+A106-17,HU_col))</f>
        <v/>
      </c>
      <c r="I106" s="63">
        <f>IF(A106&gt;HU_T,0,I105*(1-D106)*(1-E106))</f>
        <v/>
      </c>
      <c r="J106" s="63">
        <f>IF(A106&gt;=HU_T,0,N(I107))</f>
        <v/>
      </c>
      <c r="K106" s="63">
        <f>K105*(1-G106)</f>
        <v/>
      </c>
      <c r="L106" s="63">
        <f>1-K106</f>
        <v/>
      </c>
      <c r="M106" s="63">
        <f>K105*G106</f>
        <v/>
      </c>
      <c r="N106" s="63">
        <f>N105*(1-H106)</f>
        <v/>
      </c>
      <c r="O106" s="63">
        <f>1-N105</f>
        <v/>
      </c>
      <c r="P106" s="63">
        <f>P105*(1-F106)</f>
        <v/>
      </c>
      <c r="Q106" s="63">
        <f>1-P105/INDEX($P$68:$P$150,MAX(1,A106-HU_ciYears))</f>
        <v/>
      </c>
      <c r="R106" s="60">
        <f>(1+inflationRate)^A106</f>
        <v/>
      </c>
      <c r="S106" s="29">
        <f>IF(OR(OR(A106&lt;1,A106&gt;HU_T),A106-1&gt;=HU_dtr),0,HU_inc0*(1+incomeGrowthRate)^A106)</f>
        <v/>
      </c>
      <c r="T106" s="60">
        <f>IF(A106&gt;HU_T,T105,T105*(1+INDEX(HU_ssG,HU_age+A106-17)))</f>
        <v/>
      </c>
      <c r="U106" s="29">
        <f>IF(AND(HU_dtr&gt;=1,A106=HU_dtr,A106&lt;=HU_T),MIN(S106*INDEX(HU_ssC,HU_age+A106-17)/(1-INDEX(HU_ssC,HU_age+A106-17)),INDEX(HU_ssCap,HU_age+A106-17))*T106,0)</f>
        <v/>
      </c>
      <c r="V106" s="29">
        <f>S106+U106+IF(AND(HU_wdOn,A106=HU_wdYear),HU_wdIncome,0)</f>
        <v/>
      </c>
      <c r="W106" s="60">
        <f>HU_ciProp*Q106+HU_tpdCut*L106+HU_disCut*O106</f>
        <v/>
      </c>
      <c r="X106" s="29">
        <f>IF(OR(A106&lt;1,A106&gt;HU_T),0,V106*(1-W106))</f>
        <v/>
      </c>
      <c r="Y106" s="29">
        <f>IF(OR(A106&lt;1,A106&gt;HU_T),0,IF(AND(HU_retExp&gt;0,A106-1&gt;=HU_dtr),HU_retExp,HU_exp0)*R106)</f>
        <v/>
      </c>
      <c r="Z106" s="29">
        <f>-Y106-IF(AND(HU_wdOn,A106=HU_wdYear),HU_wdOut,0)</f>
        <v/>
      </c>
      <c r="AA106" s="29">
        <f>IF(OR(A106&lt;1,A106&gt;HU_T),0,-HU_medCost*R106*F106-HU_tpdCost*R106*M106)</f>
        <v/>
      </c>
      <c r="AB106" s="29">
        <f>IF(A106&gt;HU_T,0,AB105*(1+interestRate)+X106+Z106+AA106)</f>
        <v/>
      </c>
      <c r="AC106" s="29">
        <f>IF(A106&gt;HU_T,0,HU_inv*EXP(HU_mu*A106))</f>
        <v/>
      </c>
      <c r="AD106" s="29">
        <f>IF(A106&gt;HU_T,0,MAX(0,AC106+AB106))</f>
        <v/>
      </c>
      <c r="AE106" s="29">
        <f>IF(A106&gt;HU_T,0,MAX(0,X106-Y106))</f>
        <v/>
      </c>
      <c r="AF106" s="63">
        <f>IF(AND($J$6,A106&gt;=1,A106&lt;=$Q$6-1),J106,0)</f>
        <v/>
      </c>
      <c r="AG106" s="29">
        <f>IF(OR(AF106=0,$S$6=0),0,IF((AD106+$L$6)&gt;$S$6/HU_alpha+$K$6,0.5*$S$6/HU_alpha,IF((AD106+$L$6)&gt;=$K$6,((AD106+$L$6)-$K$6)-0.5*HU_alpha/$S$6*((AD106+$L$6)-$K$6)^2,IF((AD106+$L$6)&gt;=$T$6,HU_beta*((AD106+$L$6)-$K$6),HU_beta*($T$6-$K$6)))))</f>
        <v/>
      </c>
      <c r="AH106" s="29">
        <f>IF(OR(AF106=0,$S$6=0),0,IF((AD106+$L$6+$N$6)&gt;$S$6/HU_alpha+$K$6,0.5*$S$6/HU_alpha,IF((AD106+$L$6+$N$6)&gt;=$K$6,((AD106+$L$6+$N$6)-$K$6)-0.5*HU_alpha/$S$6*((AD106+$L$6+$N$6)-$K$6)^2,IF((AD106+$L$6+$N$6)&gt;=$T$6,HU_beta*((AD106+$L$6+$N$6)-$K$6),HU_beta*($T$6-$K$6)))))</f>
        <v/>
      </c>
      <c r="AI106" s="29">
        <f>IF(OR(AF106=0,$S$6=0),0,IF((AD106+$K$6)&gt;$S$6/HU_alpha+$K$6,0.5*$S$6/HU_alpha,IF((AD106+$K$6)&gt;=$K$6,((AD106+$K$6)-$K$6)-0.5*HU_alpha/$S$6*((AD106+$K$6)-$K$6)^2,IF((AD106+$K$6)&gt;=$T$6,HU_beta*((AD106+$K$6)-$K$6),HU_beta*($T$6-$K$6)))))</f>
        <v/>
      </c>
      <c r="AJ106" s="63">
        <f>IF(AND($J$7,A106&gt;=1,A106&lt;=$Q$7-1),J106,0)</f>
        <v/>
      </c>
      <c r="AK106" s="29">
        <f>IF(OR(AJ106=0,$S$7=0),0,IF((AE106+$L$7)&gt;$S$7/HU_alpha+$K$7,0.5*$S$7/HU_alpha,IF((AE106+$L$7)&gt;=$K$7,((AE106+$L$7)-$K$7)-0.5*HU_alpha/$S$7*((AE106+$L$7)-$K$7)^2,IF((AE106+$L$7)&gt;=$T$7,HU_beta*((AE106+$L$7)-$K$7),HU_beta*($T$7-$K$7)))))</f>
        <v/>
      </c>
      <c r="AL106" s="29">
        <f>IF(OR(AJ106=0,$S$7=0),0,IF((AE106+$L$7+$N$7)&gt;$S$7/HU_alpha+$K$7,0.5*$S$7/HU_alpha,IF((AE106+$L$7+$N$7)&gt;=$K$7,((AE106+$L$7+$N$7)-$K$7)-0.5*HU_alpha/$S$7*((AE106+$L$7+$N$7)-$K$7)^2,IF((AE106+$L$7+$N$7)&gt;=$T$7,HU_beta*((AE106+$L$7+$N$7)-$K$7),HU_beta*($T$7-$K$7)))))</f>
        <v/>
      </c>
      <c r="AM106" s="29">
        <f>IF(OR(AJ106=0,$S$7=0),0,IF((AE106+$K$7)&gt;$S$7/HU_alpha+$K$7,0.5*$S$7/HU_alpha,IF((AE106+$K$7)&gt;=$K$7,((AE106+$K$7)-$K$7)-0.5*HU_alpha/$S$7*((AE106+$K$7)-$K$7)^2,IF((AE106+$K$7)&gt;=$T$7,HU_beta*((AE106+$K$7)-$K$7),HU_beta*($T$7-$K$7)))))</f>
        <v/>
      </c>
      <c r="AN106" s="63">
        <f>IF(AND($J$8,A106&gt;=1,A106&lt;=$Q$8-1),J106,0)</f>
        <v/>
      </c>
      <c r="AO106" s="29">
        <f>IF(OR(AN106=0,$S$8=0),0,IF((AE106+$L$8)&gt;$S$8/HU_alpha+$K$8,0.5*$S$8/HU_alpha,IF((AE106+$L$8)&gt;=$K$8,((AE106+$L$8)-$K$8)-0.5*HU_alpha/$S$8*((AE106+$L$8)-$K$8)^2,IF((AE106+$L$8)&gt;=$T$8,HU_beta*((AE106+$L$8)-$K$8),HU_beta*($T$8-$K$8)))))</f>
        <v/>
      </c>
      <c r="AP106" s="29">
        <f>IF(OR(AN106=0,$S$8=0),0,IF((AE106+$L$8+$N$8)&gt;$S$8/HU_alpha+$K$8,0.5*$S$8/HU_alpha,IF((AE106+$L$8+$N$8)&gt;=$K$8,((AE106+$L$8+$N$8)-$K$8)-0.5*HU_alpha/$S$8*((AE106+$L$8+$N$8)-$K$8)^2,IF((AE106+$L$8+$N$8)&gt;=$T$8,HU_beta*((AE106+$L$8+$N$8)-$K$8),HU_beta*($T$8-$K$8)))))</f>
        <v/>
      </c>
      <c r="AQ106" s="29">
        <f>IF(OR(AN106=0,$S$8=0),0,IF((AE106+$K$8)&gt;$S$8/HU_alpha+$K$8,0.5*$S$8/HU_alpha,IF((AE106+$K$8)&gt;=$K$8,((AE106+$K$8)-$K$8)-0.5*HU_alpha/$S$8*((AE106+$K$8)-$K$8)^2,IF((AE106+$K$8)&gt;=$T$8,HU_beta*((AE106+$K$8)-$K$8),HU_beta*($T$8-$K$8)))))</f>
        <v/>
      </c>
      <c r="AR106" s="63">
        <f>IF(AND($J$9,A106&gt;=1,A106&lt;=$Q$9-1),J106,0)</f>
        <v/>
      </c>
      <c r="AS106" s="29">
        <f>IF(OR(AR106=0,$S$9=0),0,IF((AE106+$L$9)&gt;$S$9/HU_alpha+$K$9,0.5*$S$9/HU_alpha,IF((AE106+$L$9)&gt;=$K$9,((AE106+$L$9)-$K$9)-0.5*HU_alpha/$S$9*((AE106+$L$9)-$K$9)^2,IF((AE106+$L$9)&gt;=$T$9,HU_beta*((AE106+$L$9)-$K$9),HU_beta*($T$9-$K$9)))))</f>
        <v/>
      </c>
      <c r="AT106" s="29">
        <f>IF(OR(AR106=0,$S$9=0),0,IF((AE106+$L$9+$N$9)&gt;$S$9/HU_alpha+$K$9,0.5*$S$9/HU_alpha,IF((AE106+$L$9+$N$9)&gt;=$K$9,((AE106+$L$9+$N$9)-$K$9)-0.5*HU_alpha/$S$9*((AE106+$L$9+$N$9)-$K$9)^2,IF((AE106+$L$9+$N$9)&gt;=$T$9,HU_beta*((AE106+$L$9+$N$9)-$K$9),HU_beta*($T$9-$K$9)))))</f>
        <v/>
      </c>
      <c r="AU106" s="29">
        <f>IF(OR(AR106=0,$S$9=0),0,IF((AE106+$K$9)&gt;$S$9/HU_alpha+$K$9,0.5*$S$9/HU_alpha,IF((AE106+$K$9)&gt;=$K$9,((AE106+$K$9)-$K$9)-0.5*HU_alpha/$S$9*((AE106+$K$9)-$K$9)^2,IF((AE106+$K$9)&gt;=$T$9,HU_beta*((AE106+$K$9)-$K$9),HU_beta*($T$9-$K$9)))))</f>
        <v/>
      </c>
      <c r="AV106" s="63">
        <f>IF(AND($J$10,A106=$Q$10),J106,0)</f>
        <v/>
      </c>
      <c r="AW106" s="29">
        <f>IF(OR(AV106=0,$S$10=0),0,IF((AD106+$L$10)&gt;$S$10/HU_alpha+$K$10,0.5*$S$10/HU_alpha,IF((AD106+$L$10)&gt;=$K$10,((AD106+$L$10)-$K$10)-0.5*HU_alpha/$S$10*((AD106+$L$10)-$K$10)^2,IF((AD106+$L$10)&gt;=$T$10,HU_beta*((AD106+$L$10)-$K$10),HU_beta*($T$10-$K$10)))))</f>
        <v/>
      </c>
      <c r="AX106" s="29">
        <f>IF(OR(AV106=0,$S$10=0),0,IF((AD106+$L$10+$N$10)&gt;$S$10/HU_alpha+$K$10,0.5*$S$10/HU_alpha,IF((AD106+$L$10+$N$10)&gt;=$K$10,((AD106+$L$10+$N$10)-$K$10)-0.5*HU_alpha/$S$10*((AD106+$L$10+$N$10)-$K$10)^2,IF((AD106+$L$10+$N$10)&gt;=$T$10,HU_beta*((AD106+$L$10+$N$10)-$K$10),HU_beta*($T$10-$K$10)))))</f>
        <v/>
      </c>
      <c r="AY106" s="29">
        <f>IF(OR(AV106=0,$S$10=0),0,IF((AD106+$K$10)&gt;$S$10/HU_alpha+$K$10,0.5*$S$10/HU_alpha,IF((AD106+$K$10)&gt;=$K$10,((AD106+$K$10)-$K$10)-0.5*HU_alpha/$S$10*((AD106+$K$10)-$K$10)^2,IF((AD106+$K$10)&gt;=$T$10,HU_beta*((AD106+$K$10)-$K$10),HU_beta*($T$10-$K$10)))))</f>
        <v/>
      </c>
      <c r="AZ106" s="63">
        <f>IF(AND($J$11,A106=$Q$11),J106,0)</f>
        <v/>
      </c>
      <c r="BA106" s="29">
        <f>IF(OR(AZ106=0,$S$11=0),0,IF((AE106+$L$11)&gt;$S$11/HU_alpha+$K$11,0.5*$S$11/HU_alpha,IF((AE106+$L$11)&gt;=$K$11,((AE106+$L$11)-$K$11)-0.5*HU_alpha/$S$11*((AE106+$L$11)-$K$11)^2,IF((AE106+$L$11)&gt;=$T$11,HU_beta*((AE106+$L$11)-$K$11),HU_beta*($T$11-$K$11)))))</f>
        <v/>
      </c>
      <c r="BB106" s="29">
        <f>IF(OR(AZ106=0,$S$11=0),0,IF((AE106+$L$11+$N$11)&gt;$S$11/HU_alpha+$K$11,0.5*$S$11/HU_alpha,IF((AE106+$L$11+$N$11)&gt;=$K$11,((AE106+$L$11+$N$11)-$K$11)-0.5*HU_alpha/$S$11*((AE106+$L$11+$N$11)-$K$11)^2,IF((AE106+$L$11+$N$11)&gt;=$T$11,HU_beta*((AE106+$L$11+$N$11)-$K$11),HU_beta*($T$11-$K$11)))))</f>
        <v/>
      </c>
      <c r="BC106" s="29">
        <f>IF(OR(AZ106=0,$S$11=0),0,IF((AE106+$K$11)&gt;$S$11/HU_alpha+$K$11,0.5*$S$11/HU_alpha,IF((AE106+$K$11)&gt;=$K$11,((AE106+$K$11)-$K$11)-0.5*HU_alpha/$S$11*((AE106+$K$11)-$K$11)^2,IF((AE106+$K$11)&gt;=$T$11,HU_beta*((AE106+$K$11)-$K$11),HU_beta*($T$11-$K$11)))))</f>
        <v/>
      </c>
      <c r="BD106" s="63">
        <f>IF(AND($J$12,A106=$Q$12),J106,0)</f>
        <v/>
      </c>
      <c r="BE106" s="29">
        <f>IF(OR(BD106=0,$S$12=0),0,IF((AE106+$L$12)&gt;$S$12/HU_alpha+$K$12,0.5*$S$12/HU_alpha,IF((AE106+$L$12)&gt;=$K$12,((AE106+$L$12)-$K$12)-0.5*HU_alpha/$S$12*((AE106+$L$12)-$K$12)^2,IF((AE106+$L$12)&gt;=$T$12,HU_beta*((AE106+$L$12)-$K$12),HU_beta*($T$12-$K$12)))))</f>
        <v/>
      </c>
      <c r="BF106" s="29">
        <f>IF(OR(BD106=0,$S$12=0),0,IF((AE106+$L$12+$N$12)&gt;$S$12/HU_alpha+$K$12,0.5*$S$12/HU_alpha,IF((AE106+$L$12+$N$12)&gt;=$K$12,((AE106+$L$12+$N$12)-$K$12)-0.5*HU_alpha/$S$12*((AE106+$L$12+$N$12)-$K$12)^2,IF((AE106+$L$12+$N$12)&gt;=$T$12,HU_beta*((AE106+$L$12+$N$12)-$K$12),HU_beta*($T$12-$K$12)))))</f>
        <v/>
      </c>
      <c r="BG106" s="29">
        <f>IF(OR(BD106=0,$S$12=0),0,IF((AE106+$K$12)&gt;$S$12/HU_alpha+$K$12,0.5*$S$12/HU_alpha,IF((AE106+$K$12)&gt;=$K$12,((AE106+$K$12)-$K$12)-0.5*HU_alpha/$S$12*((AE106+$K$12)-$K$12)^2,IF((AE106+$K$12)&gt;=$T$12,HU_beta*((AE106+$K$12)-$K$12),HU_beta*($T$12-$K$12)))))</f>
        <v/>
      </c>
      <c r="BH106" s="63">
        <f>IF(AND($J$13,A106=$Q$13),J106,0)</f>
        <v/>
      </c>
      <c r="BI106" s="29">
        <f>IF(OR(BH106=0,$S$13=0),0,IF((AE106+$L$13)&gt;$S$13/HU_alpha+$K$13,0.5*$S$13/HU_alpha,IF((AE106+$L$13)&gt;=$K$13,((AE106+$L$13)-$K$13)-0.5*HU_alpha/$S$13*((AE106+$L$13)-$K$13)^2,IF((AE106+$L$13)&gt;=$T$13,HU_beta*((AE106+$L$13)-$K$13),HU_beta*($T$13-$K$13)))))</f>
        <v/>
      </c>
      <c r="BJ106" s="29">
        <f>IF(OR(BH106=0,$S$13=0),0,IF((AE106+$L$13+$N$13)&gt;$S$13/HU_alpha+$K$13,0.5*$S$13/HU_alpha,IF((AE106+$L$13+$N$13)&gt;=$K$13,((AE106+$L$13+$N$13)-$K$13)-0.5*HU_alpha/$S$13*((AE106+$L$13+$N$13)-$K$13)^2,IF((AE106+$L$13+$N$13)&gt;=$T$13,HU_beta*((AE106+$L$13+$N$13)-$K$13),HU_beta*($T$13-$K$13)))))</f>
        <v/>
      </c>
      <c r="BK106" s="29">
        <f>IF(OR(BH106=0,$S$13=0),0,IF((AE106+$K$13)&gt;$S$13/HU_alpha+$K$13,0.5*$S$13/HU_alpha,IF((AE106+$K$13)&gt;=$K$13,((AE106+$K$13)-$K$13)-0.5*HU_alpha/$S$13*((AE106+$K$13)-$K$13)^2,IF((AE106+$K$13)&gt;=$T$13,HU_beta*((AE106+$K$13)-$K$13),HU_beta*($T$13-$K$13)))))</f>
        <v/>
      </c>
    </row>
    <row r="107">
      <c r="A107" s="61" t="n">
        <v>39</v>
      </c>
      <c r="B107" s="61">
        <f>HU_age+A107</f>
        <v/>
      </c>
      <c r="C107" s="52">
        <f>A107&lt;=HU_T</f>
        <v/>
      </c>
      <c r="D107" s="63">
        <f>IF(OR(A107&lt;1,A107&gt;HU_T),0,INDEX(HU_q_mort,HU_age+A107-17,HU_col))</f>
        <v/>
      </c>
      <c r="E107" s="63">
        <f>IF(OR(A107&lt;1,A107&gt;HU_T),0,INDEX(HU_q_adb,HU_age+A107-17,HU_col))</f>
        <v/>
      </c>
      <c r="F107" s="63">
        <f>IF(OR(A107&lt;1,A107&gt;HU_T),0,INDEX(HU_q_morb,HU_age+A107-17,HU_col))</f>
        <v/>
      </c>
      <c r="G107" s="63">
        <f>IF(OR(A107&lt;1,A107&gt;HU_T),0,INDEX(HU_q_ptd,HU_age+A107-17,HU_col))</f>
        <v/>
      </c>
      <c r="H107" s="63">
        <f>IF(OR(A107&lt;1,A107&gt;HU_T),0,INDEX(HU_q_dis,HU_age+A107-17,HU_col))</f>
        <v/>
      </c>
      <c r="I107" s="63">
        <f>IF(A107&gt;HU_T,0,I106*(1-D107)*(1-E107))</f>
        <v/>
      </c>
      <c r="J107" s="63">
        <f>IF(A107&gt;=HU_T,0,N(I108))</f>
        <v/>
      </c>
      <c r="K107" s="63">
        <f>K106*(1-G107)</f>
        <v/>
      </c>
      <c r="L107" s="63">
        <f>1-K107</f>
        <v/>
      </c>
      <c r="M107" s="63">
        <f>K106*G107</f>
        <v/>
      </c>
      <c r="N107" s="63">
        <f>N106*(1-H107)</f>
        <v/>
      </c>
      <c r="O107" s="63">
        <f>1-N106</f>
        <v/>
      </c>
      <c r="P107" s="63">
        <f>P106*(1-F107)</f>
        <v/>
      </c>
      <c r="Q107" s="63">
        <f>1-P106/INDEX($P$68:$P$150,MAX(1,A107-HU_ciYears))</f>
        <v/>
      </c>
      <c r="R107" s="60">
        <f>(1+inflationRate)^A107</f>
        <v/>
      </c>
      <c r="S107" s="29">
        <f>IF(OR(OR(A107&lt;1,A107&gt;HU_T),A107-1&gt;=HU_dtr),0,HU_inc0*(1+incomeGrowthRate)^A107)</f>
        <v/>
      </c>
      <c r="T107" s="60">
        <f>IF(A107&gt;HU_T,T106,T106*(1+INDEX(HU_ssG,HU_age+A107-17)))</f>
        <v/>
      </c>
      <c r="U107" s="29">
        <f>IF(AND(HU_dtr&gt;=1,A107=HU_dtr,A107&lt;=HU_T),MIN(S107*INDEX(HU_ssC,HU_age+A107-17)/(1-INDEX(HU_ssC,HU_age+A107-17)),INDEX(HU_ssCap,HU_age+A107-17))*T107,0)</f>
        <v/>
      </c>
      <c r="V107" s="29">
        <f>S107+U107+IF(AND(HU_wdOn,A107=HU_wdYear),HU_wdIncome,0)</f>
        <v/>
      </c>
      <c r="W107" s="60">
        <f>HU_ciProp*Q107+HU_tpdCut*L107+HU_disCut*O107</f>
        <v/>
      </c>
      <c r="X107" s="29">
        <f>IF(OR(A107&lt;1,A107&gt;HU_T),0,V107*(1-W107))</f>
        <v/>
      </c>
      <c r="Y107" s="29">
        <f>IF(OR(A107&lt;1,A107&gt;HU_T),0,IF(AND(HU_retExp&gt;0,A107-1&gt;=HU_dtr),HU_retExp,HU_exp0)*R107)</f>
        <v/>
      </c>
      <c r="Z107" s="29">
        <f>-Y107-IF(AND(HU_wdOn,A107=HU_wdYear),HU_wdOut,0)</f>
        <v/>
      </c>
      <c r="AA107" s="29">
        <f>IF(OR(A107&lt;1,A107&gt;HU_T),0,-HU_medCost*R107*F107-HU_tpdCost*R107*M107)</f>
        <v/>
      </c>
      <c r="AB107" s="29">
        <f>IF(A107&gt;HU_T,0,AB106*(1+interestRate)+X107+Z107+AA107)</f>
        <v/>
      </c>
      <c r="AC107" s="29">
        <f>IF(A107&gt;HU_T,0,HU_inv*EXP(HU_mu*A107))</f>
        <v/>
      </c>
      <c r="AD107" s="29">
        <f>IF(A107&gt;HU_T,0,MAX(0,AC107+AB107))</f>
        <v/>
      </c>
      <c r="AE107" s="29">
        <f>IF(A107&gt;HU_T,0,MAX(0,X107-Y107))</f>
        <v/>
      </c>
      <c r="AF107" s="63">
        <f>IF(AND($J$6,A107&gt;=1,A107&lt;=$Q$6-1),J107,0)</f>
        <v/>
      </c>
      <c r="AG107" s="29">
        <f>IF(OR(AF107=0,$S$6=0),0,IF((AD107+$L$6)&gt;$S$6/HU_alpha+$K$6,0.5*$S$6/HU_alpha,IF((AD107+$L$6)&gt;=$K$6,((AD107+$L$6)-$K$6)-0.5*HU_alpha/$S$6*((AD107+$L$6)-$K$6)^2,IF((AD107+$L$6)&gt;=$T$6,HU_beta*((AD107+$L$6)-$K$6),HU_beta*($T$6-$K$6)))))</f>
        <v/>
      </c>
      <c r="AH107" s="29">
        <f>IF(OR(AF107=0,$S$6=0),0,IF((AD107+$L$6+$N$6)&gt;$S$6/HU_alpha+$K$6,0.5*$S$6/HU_alpha,IF((AD107+$L$6+$N$6)&gt;=$K$6,((AD107+$L$6+$N$6)-$K$6)-0.5*HU_alpha/$S$6*((AD107+$L$6+$N$6)-$K$6)^2,IF((AD107+$L$6+$N$6)&gt;=$T$6,HU_beta*((AD107+$L$6+$N$6)-$K$6),HU_beta*($T$6-$K$6)))))</f>
        <v/>
      </c>
      <c r="AI107" s="29">
        <f>IF(OR(AF107=0,$S$6=0),0,IF((AD107+$K$6)&gt;$S$6/HU_alpha+$K$6,0.5*$S$6/HU_alpha,IF((AD107+$K$6)&gt;=$K$6,((AD107+$K$6)-$K$6)-0.5*HU_alpha/$S$6*((AD107+$K$6)-$K$6)^2,IF((AD107+$K$6)&gt;=$T$6,HU_beta*((AD107+$K$6)-$K$6),HU_beta*($T$6-$K$6)))))</f>
        <v/>
      </c>
      <c r="AJ107" s="63">
        <f>IF(AND($J$7,A107&gt;=1,A107&lt;=$Q$7-1),J107,0)</f>
        <v/>
      </c>
      <c r="AK107" s="29">
        <f>IF(OR(AJ107=0,$S$7=0),0,IF((AE107+$L$7)&gt;$S$7/HU_alpha+$K$7,0.5*$S$7/HU_alpha,IF((AE107+$L$7)&gt;=$K$7,((AE107+$L$7)-$K$7)-0.5*HU_alpha/$S$7*((AE107+$L$7)-$K$7)^2,IF((AE107+$L$7)&gt;=$T$7,HU_beta*((AE107+$L$7)-$K$7),HU_beta*($T$7-$K$7)))))</f>
        <v/>
      </c>
      <c r="AL107" s="29">
        <f>IF(OR(AJ107=0,$S$7=0),0,IF((AE107+$L$7+$N$7)&gt;$S$7/HU_alpha+$K$7,0.5*$S$7/HU_alpha,IF((AE107+$L$7+$N$7)&gt;=$K$7,((AE107+$L$7+$N$7)-$K$7)-0.5*HU_alpha/$S$7*((AE107+$L$7+$N$7)-$K$7)^2,IF((AE107+$L$7+$N$7)&gt;=$T$7,HU_beta*((AE107+$L$7+$N$7)-$K$7),HU_beta*($T$7-$K$7)))))</f>
        <v/>
      </c>
      <c r="AM107" s="29">
        <f>IF(OR(AJ107=0,$S$7=0),0,IF((AE107+$K$7)&gt;$S$7/HU_alpha+$K$7,0.5*$S$7/HU_alpha,IF((AE107+$K$7)&gt;=$K$7,((AE107+$K$7)-$K$7)-0.5*HU_alpha/$S$7*((AE107+$K$7)-$K$7)^2,IF((AE107+$K$7)&gt;=$T$7,HU_beta*((AE107+$K$7)-$K$7),HU_beta*($T$7-$K$7)))))</f>
        <v/>
      </c>
      <c r="AN107" s="63">
        <f>IF(AND($J$8,A107&gt;=1,A107&lt;=$Q$8-1),J107,0)</f>
        <v/>
      </c>
      <c r="AO107" s="29">
        <f>IF(OR(AN107=0,$S$8=0),0,IF((AE107+$L$8)&gt;$S$8/HU_alpha+$K$8,0.5*$S$8/HU_alpha,IF((AE107+$L$8)&gt;=$K$8,((AE107+$L$8)-$K$8)-0.5*HU_alpha/$S$8*((AE107+$L$8)-$K$8)^2,IF((AE107+$L$8)&gt;=$T$8,HU_beta*((AE107+$L$8)-$K$8),HU_beta*($T$8-$K$8)))))</f>
        <v/>
      </c>
      <c r="AP107" s="29">
        <f>IF(OR(AN107=0,$S$8=0),0,IF((AE107+$L$8+$N$8)&gt;$S$8/HU_alpha+$K$8,0.5*$S$8/HU_alpha,IF((AE107+$L$8+$N$8)&gt;=$K$8,((AE107+$L$8+$N$8)-$K$8)-0.5*HU_alpha/$S$8*((AE107+$L$8+$N$8)-$K$8)^2,IF((AE107+$L$8+$N$8)&gt;=$T$8,HU_beta*((AE107+$L$8+$N$8)-$K$8),HU_beta*($T$8-$K$8)))))</f>
        <v/>
      </c>
      <c r="AQ107" s="29">
        <f>IF(OR(AN107=0,$S$8=0),0,IF((AE107+$K$8)&gt;$S$8/HU_alpha+$K$8,0.5*$S$8/HU_alpha,IF((AE107+$K$8)&gt;=$K$8,((AE107+$K$8)-$K$8)-0.5*HU_alpha/$S$8*((AE107+$K$8)-$K$8)^2,IF((AE107+$K$8)&gt;=$T$8,HU_beta*((AE107+$K$8)-$K$8),HU_beta*($T$8-$K$8)))))</f>
        <v/>
      </c>
      <c r="AR107" s="63">
        <f>IF(AND($J$9,A107&gt;=1,A107&lt;=$Q$9-1),J107,0)</f>
        <v/>
      </c>
      <c r="AS107" s="29">
        <f>IF(OR(AR107=0,$S$9=0),0,IF((AE107+$L$9)&gt;$S$9/HU_alpha+$K$9,0.5*$S$9/HU_alpha,IF((AE107+$L$9)&gt;=$K$9,((AE107+$L$9)-$K$9)-0.5*HU_alpha/$S$9*((AE107+$L$9)-$K$9)^2,IF((AE107+$L$9)&gt;=$T$9,HU_beta*((AE107+$L$9)-$K$9),HU_beta*($T$9-$K$9)))))</f>
        <v/>
      </c>
      <c r="AT107" s="29">
        <f>IF(OR(AR107=0,$S$9=0),0,IF((AE107+$L$9+$N$9)&gt;$S$9/HU_alpha+$K$9,0.5*$S$9/HU_alpha,IF((AE107+$L$9+$N$9)&gt;=$K$9,((AE107+$L$9+$N$9)-$K$9)-0.5*HU_alpha/$S$9*((AE107+$L$9+$N$9)-$K$9)^2,IF((AE107+$L$9+$N$9)&gt;=$T$9,HU_beta*((AE107+$L$9+$N$9)-$K$9),HU_beta*($T$9-$K$9)))))</f>
        <v/>
      </c>
      <c r="AU107" s="29">
        <f>IF(OR(AR107=0,$S$9=0),0,IF((AE107+$K$9)&gt;$S$9/HU_alpha+$K$9,0.5*$S$9/HU_alpha,IF((AE107+$K$9)&gt;=$K$9,((AE107+$K$9)-$K$9)-0.5*HU_alpha/$S$9*((AE107+$K$9)-$K$9)^2,IF((AE107+$K$9)&gt;=$T$9,HU_beta*((AE107+$K$9)-$K$9),HU_beta*($T$9-$K$9)))))</f>
        <v/>
      </c>
      <c r="AV107" s="63">
        <f>IF(AND($J$10,A107=$Q$10),J107,0)</f>
        <v/>
      </c>
      <c r="AW107" s="29">
        <f>IF(OR(AV107=0,$S$10=0),0,IF((AD107+$L$10)&gt;$S$10/HU_alpha+$K$10,0.5*$S$10/HU_alpha,IF((AD107+$L$10)&gt;=$K$10,((AD107+$L$10)-$K$10)-0.5*HU_alpha/$S$10*((AD107+$L$10)-$K$10)^2,IF((AD107+$L$10)&gt;=$T$10,HU_beta*((AD107+$L$10)-$K$10),HU_beta*($T$10-$K$10)))))</f>
        <v/>
      </c>
      <c r="AX107" s="29">
        <f>IF(OR(AV107=0,$S$10=0),0,IF((AD107+$L$10+$N$10)&gt;$S$10/HU_alpha+$K$10,0.5*$S$10/HU_alpha,IF((AD107+$L$10+$N$10)&gt;=$K$10,((AD107+$L$10+$N$10)-$K$10)-0.5*HU_alpha/$S$10*((AD107+$L$10+$N$10)-$K$10)^2,IF((AD107+$L$10+$N$10)&gt;=$T$10,HU_beta*((AD107+$L$10+$N$10)-$K$10),HU_beta*($T$10-$K$10)))))</f>
        <v/>
      </c>
      <c r="AY107" s="29">
        <f>IF(OR(AV107=0,$S$10=0),0,IF((AD107+$K$10)&gt;$S$10/HU_alpha+$K$10,0.5*$S$10/HU_alpha,IF((AD107+$K$10)&gt;=$K$10,((AD107+$K$10)-$K$10)-0.5*HU_alpha/$S$10*((AD107+$K$10)-$K$10)^2,IF((AD107+$K$10)&gt;=$T$10,HU_beta*((AD107+$K$10)-$K$10),HU_beta*($T$10-$K$10)))))</f>
        <v/>
      </c>
      <c r="AZ107" s="63">
        <f>IF(AND($J$11,A107=$Q$11),J107,0)</f>
        <v/>
      </c>
      <c r="BA107" s="29">
        <f>IF(OR(AZ107=0,$S$11=0),0,IF((AE107+$L$11)&gt;$S$11/HU_alpha+$K$11,0.5*$S$11/HU_alpha,IF((AE107+$L$11)&gt;=$K$11,((AE107+$L$11)-$K$11)-0.5*HU_alpha/$S$11*((AE107+$L$11)-$K$11)^2,IF((AE107+$L$11)&gt;=$T$11,HU_beta*((AE107+$L$11)-$K$11),HU_beta*($T$11-$K$11)))))</f>
        <v/>
      </c>
      <c r="BB107" s="29">
        <f>IF(OR(AZ107=0,$S$11=0),0,IF((AE107+$L$11+$N$11)&gt;$S$11/HU_alpha+$K$11,0.5*$S$11/HU_alpha,IF((AE107+$L$11+$N$11)&gt;=$K$11,((AE107+$L$11+$N$11)-$K$11)-0.5*HU_alpha/$S$11*((AE107+$L$11+$N$11)-$K$11)^2,IF((AE107+$L$11+$N$11)&gt;=$T$11,HU_beta*((AE107+$L$11+$N$11)-$K$11),HU_beta*($T$11-$K$11)))))</f>
        <v/>
      </c>
      <c r="BC107" s="29">
        <f>IF(OR(AZ107=0,$S$11=0),0,IF((AE107+$K$11)&gt;$S$11/HU_alpha+$K$11,0.5*$S$11/HU_alpha,IF((AE107+$K$11)&gt;=$K$11,((AE107+$K$11)-$K$11)-0.5*HU_alpha/$S$11*((AE107+$K$11)-$K$11)^2,IF((AE107+$K$11)&gt;=$T$11,HU_beta*((AE107+$K$11)-$K$11),HU_beta*($T$11-$K$11)))))</f>
        <v/>
      </c>
      <c r="BD107" s="63">
        <f>IF(AND($J$12,A107=$Q$12),J107,0)</f>
        <v/>
      </c>
      <c r="BE107" s="29">
        <f>IF(OR(BD107=0,$S$12=0),0,IF((AE107+$L$12)&gt;$S$12/HU_alpha+$K$12,0.5*$S$12/HU_alpha,IF((AE107+$L$12)&gt;=$K$12,((AE107+$L$12)-$K$12)-0.5*HU_alpha/$S$12*((AE107+$L$12)-$K$12)^2,IF((AE107+$L$12)&gt;=$T$12,HU_beta*((AE107+$L$12)-$K$12),HU_beta*($T$12-$K$12)))))</f>
        <v/>
      </c>
      <c r="BF107" s="29">
        <f>IF(OR(BD107=0,$S$12=0),0,IF((AE107+$L$12+$N$12)&gt;$S$12/HU_alpha+$K$12,0.5*$S$12/HU_alpha,IF((AE107+$L$12+$N$12)&gt;=$K$12,((AE107+$L$12+$N$12)-$K$12)-0.5*HU_alpha/$S$12*((AE107+$L$12+$N$12)-$K$12)^2,IF((AE107+$L$12+$N$12)&gt;=$T$12,HU_beta*((AE107+$L$12+$N$12)-$K$12),HU_beta*($T$12-$K$12)))))</f>
        <v/>
      </c>
      <c r="BG107" s="29">
        <f>IF(OR(BD107=0,$S$12=0),0,IF((AE107+$K$12)&gt;$S$12/HU_alpha+$K$12,0.5*$S$12/HU_alpha,IF((AE107+$K$12)&gt;=$K$12,((AE107+$K$12)-$K$12)-0.5*HU_alpha/$S$12*((AE107+$K$12)-$K$12)^2,IF((AE107+$K$12)&gt;=$T$12,HU_beta*((AE107+$K$12)-$K$12),HU_beta*($T$12-$K$12)))))</f>
        <v/>
      </c>
      <c r="BH107" s="63">
        <f>IF(AND($J$13,A107=$Q$13),J107,0)</f>
        <v/>
      </c>
      <c r="BI107" s="29">
        <f>IF(OR(BH107=0,$S$13=0),0,IF((AE107+$L$13)&gt;$S$13/HU_alpha+$K$13,0.5*$S$13/HU_alpha,IF((AE107+$L$13)&gt;=$K$13,((AE107+$L$13)-$K$13)-0.5*HU_alpha/$S$13*((AE107+$L$13)-$K$13)^2,IF((AE107+$L$13)&gt;=$T$13,HU_beta*((AE107+$L$13)-$K$13),HU_beta*($T$13-$K$13)))))</f>
        <v/>
      </c>
      <c r="BJ107" s="29">
        <f>IF(OR(BH107=0,$S$13=0),0,IF((AE107+$L$13+$N$13)&gt;$S$13/HU_alpha+$K$13,0.5*$S$13/HU_alpha,IF((AE107+$L$13+$N$13)&gt;=$K$13,((AE107+$L$13+$N$13)-$K$13)-0.5*HU_alpha/$S$13*((AE107+$L$13+$N$13)-$K$13)^2,IF((AE107+$L$13+$N$13)&gt;=$T$13,HU_beta*((AE107+$L$13+$N$13)-$K$13),HU_beta*($T$13-$K$13)))))</f>
        <v/>
      </c>
      <c r="BK107" s="29">
        <f>IF(OR(BH107=0,$S$13=0),0,IF((AE107+$K$13)&gt;$S$13/HU_alpha+$K$13,0.5*$S$13/HU_alpha,IF((AE107+$K$13)&gt;=$K$13,((AE107+$K$13)-$K$13)-0.5*HU_alpha/$S$13*((AE107+$K$13)-$K$13)^2,IF((AE107+$K$13)&gt;=$T$13,HU_beta*((AE107+$K$13)-$K$13),HU_beta*($T$13-$K$13)))))</f>
        <v/>
      </c>
    </row>
    <row r="108">
      <c r="A108" s="61" t="n">
        <v>40</v>
      </c>
      <c r="B108" s="61">
        <f>HU_age+A108</f>
        <v/>
      </c>
      <c r="C108" s="52">
        <f>A108&lt;=HU_T</f>
        <v/>
      </c>
      <c r="D108" s="63">
        <f>IF(OR(A108&lt;1,A108&gt;HU_T),0,INDEX(HU_q_mort,HU_age+A108-17,HU_col))</f>
        <v/>
      </c>
      <c r="E108" s="63">
        <f>IF(OR(A108&lt;1,A108&gt;HU_T),0,INDEX(HU_q_adb,HU_age+A108-17,HU_col))</f>
        <v/>
      </c>
      <c r="F108" s="63">
        <f>IF(OR(A108&lt;1,A108&gt;HU_T),0,INDEX(HU_q_morb,HU_age+A108-17,HU_col))</f>
        <v/>
      </c>
      <c r="G108" s="63">
        <f>IF(OR(A108&lt;1,A108&gt;HU_T),0,INDEX(HU_q_ptd,HU_age+A108-17,HU_col))</f>
        <v/>
      </c>
      <c r="H108" s="63">
        <f>IF(OR(A108&lt;1,A108&gt;HU_T),0,INDEX(HU_q_dis,HU_age+A108-17,HU_col))</f>
        <v/>
      </c>
      <c r="I108" s="63">
        <f>IF(A108&gt;HU_T,0,I107*(1-D108)*(1-E108))</f>
        <v/>
      </c>
      <c r="J108" s="63">
        <f>IF(A108&gt;=HU_T,0,N(I109))</f>
        <v/>
      </c>
      <c r="K108" s="63">
        <f>K107*(1-G108)</f>
        <v/>
      </c>
      <c r="L108" s="63">
        <f>1-K108</f>
        <v/>
      </c>
      <c r="M108" s="63">
        <f>K107*G108</f>
        <v/>
      </c>
      <c r="N108" s="63">
        <f>N107*(1-H108)</f>
        <v/>
      </c>
      <c r="O108" s="63">
        <f>1-N107</f>
        <v/>
      </c>
      <c r="P108" s="63">
        <f>P107*(1-F108)</f>
        <v/>
      </c>
      <c r="Q108" s="63">
        <f>1-P107/INDEX($P$68:$P$150,MAX(1,A108-HU_ciYears))</f>
        <v/>
      </c>
      <c r="R108" s="60">
        <f>(1+inflationRate)^A108</f>
        <v/>
      </c>
      <c r="S108" s="29">
        <f>IF(OR(OR(A108&lt;1,A108&gt;HU_T),A108-1&gt;=HU_dtr),0,HU_inc0*(1+incomeGrowthRate)^A108)</f>
        <v/>
      </c>
      <c r="T108" s="60">
        <f>IF(A108&gt;HU_T,T107,T107*(1+INDEX(HU_ssG,HU_age+A108-17)))</f>
        <v/>
      </c>
      <c r="U108" s="29">
        <f>IF(AND(HU_dtr&gt;=1,A108=HU_dtr,A108&lt;=HU_T),MIN(S108*INDEX(HU_ssC,HU_age+A108-17)/(1-INDEX(HU_ssC,HU_age+A108-17)),INDEX(HU_ssCap,HU_age+A108-17))*T108,0)</f>
        <v/>
      </c>
      <c r="V108" s="29">
        <f>S108+U108+IF(AND(HU_wdOn,A108=HU_wdYear),HU_wdIncome,0)</f>
        <v/>
      </c>
      <c r="W108" s="60">
        <f>HU_ciProp*Q108+HU_tpdCut*L108+HU_disCut*O108</f>
        <v/>
      </c>
      <c r="X108" s="29">
        <f>IF(OR(A108&lt;1,A108&gt;HU_T),0,V108*(1-W108))</f>
        <v/>
      </c>
      <c r="Y108" s="29">
        <f>IF(OR(A108&lt;1,A108&gt;HU_T),0,IF(AND(HU_retExp&gt;0,A108-1&gt;=HU_dtr),HU_retExp,HU_exp0)*R108)</f>
        <v/>
      </c>
      <c r="Z108" s="29">
        <f>-Y108-IF(AND(HU_wdOn,A108=HU_wdYear),HU_wdOut,0)</f>
        <v/>
      </c>
      <c r="AA108" s="29">
        <f>IF(OR(A108&lt;1,A108&gt;HU_T),0,-HU_medCost*R108*F108-HU_tpdCost*R108*M108)</f>
        <v/>
      </c>
      <c r="AB108" s="29">
        <f>IF(A108&gt;HU_T,0,AB107*(1+interestRate)+X108+Z108+AA108)</f>
        <v/>
      </c>
      <c r="AC108" s="29">
        <f>IF(A108&gt;HU_T,0,HU_inv*EXP(HU_mu*A108))</f>
        <v/>
      </c>
      <c r="AD108" s="29">
        <f>IF(A108&gt;HU_T,0,MAX(0,AC108+AB108))</f>
        <v/>
      </c>
      <c r="AE108" s="29">
        <f>IF(A108&gt;HU_T,0,MAX(0,X108-Y108))</f>
        <v/>
      </c>
      <c r="AF108" s="63">
        <f>IF(AND($J$6,A108&gt;=1,A108&lt;=$Q$6-1),J108,0)</f>
        <v/>
      </c>
      <c r="AG108" s="29">
        <f>IF(OR(AF108=0,$S$6=0),0,IF((AD108+$L$6)&gt;$S$6/HU_alpha+$K$6,0.5*$S$6/HU_alpha,IF((AD108+$L$6)&gt;=$K$6,((AD108+$L$6)-$K$6)-0.5*HU_alpha/$S$6*((AD108+$L$6)-$K$6)^2,IF((AD108+$L$6)&gt;=$T$6,HU_beta*((AD108+$L$6)-$K$6),HU_beta*($T$6-$K$6)))))</f>
        <v/>
      </c>
      <c r="AH108" s="29">
        <f>IF(OR(AF108=0,$S$6=0),0,IF((AD108+$L$6+$N$6)&gt;$S$6/HU_alpha+$K$6,0.5*$S$6/HU_alpha,IF((AD108+$L$6+$N$6)&gt;=$K$6,((AD108+$L$6+$N$6)-$K$6)-0.5*HU_alpha/$S$6*((AD108+$L$6+$N$6)-$K$6)^2,IF((AD108+$L$6+$N$6)&gt;=$T$6,HU_beta*((AD108+$L$6+$N$6)-$K$6),HU_beta*($T$6-$K$6)))))</f>
        <v/>
      </c>
      <c r="AI108" s="29">
        <f>IF(OR(AF108=0,$S$6=0),0,IF((AD108+$K$6)&gt;$S$6/HU_alpha+$K$6,0.5*$S$6/HU_alpha,IF((AD108+$K$6)&gt;=$K$6,((AD108+$K$6)-$K$6)-0.5*HU_alpha/$S$6*((AD108+$K$6)-$K$6)^2,IF((AD108+$K$6)&gt;=$T$6,HU_beta*((AD108+$K$6)-$K$6),HU_beta*($T$6-$K$6)))))</f>
        <v/>
      </c>
      <c r="AJ108" s="63">
        <f>IF(AND($J$7,A108&gt;=1,A108&lt;=$Q$7-1),J108,0)</f>
        <v/>
      </c>
      <c r="AK108" s="29">
        <f>IF(OR(AJ108=0,$S$7=0),0,IF((AE108+$L$7)&gt;$S$7/HU_alpha+$K$7,0.5*$S$7/HU_alpha,IF((AE108+$L$7)&gt;=$K$7,((AE108+$L$7)-$K$7)-0.5*HU_alpha/$S$7*((AE108+$L$7)-$K$7)^2,IF((AE108+$L$7)&gt;=$T$7,HU_beta*((AE108+$L$7)-$K$7),HU_beta*($T$7-$K$7)))))</f>
        <v/>
      </c>
      <c r="AL108" s="29">
        <f>IF(OR(AJ108=0,$S$7=0),0,IF((AE108+$L$7+$N$7)&gt;$S$7/HU_alpha+$K$7,0.5*$S$7/HU_alpha,IF((AE108+$L$7+$N$7)&gt;=$K$7,((AE108+$L$7+$N$7)-$K$7)-0.5*HU_alpha/$S$7*((AE108+$L$7+$N$7)-$K$7)^2,IF((AE108+$L$7+$N$7)&gt;=$T$7,HU_beta*((AE108+$L$7+$N$7)-$K$7),HU_beta*($T$7-$K$7)))))</f>
        <v/>
      </c>
      <c r="AM108" s="29">
        <f>IF(OR(AJ108=0,$S$7=0),0,IF((AE108+$K$7)&gt;$S$7/HU_alpha+$K$7,0.5*$S$7/HU_alpha,IF((AE108+$K$7)&gt;=$K$7,((AE108+$K$7)-$K$7)-0.5*HU_alpha/$S$7*((AE108+$K$7)-$K$7)^2,IF((AE108+$K$7)&gt;=$T$7,HU_beta*((AE108+$K$7)-$K$7),HU_beta*($T$7-$K$7)))))</f>
        <v/>
      </c>
      <c r="AN108" s="63">
        <f>IF(AND($J$8,A108&gt;=1,A108&lt;=$Q$8-1),J108,0)</f>
        <v/>
      </c>
      <c r="AO108" s="29">
        <f>IF(OR(AN108=0,$S$8=0),0,IF((AE108+$L$8)&gt;$S$8/HU_alpha+$K$8,0.5*$S$8/HU_alpha,IF((AE108+$L$8)&gt;=$K$8,((AE108+$L$8)-$K$8)-0.5*HU_alpha/$S$8*((AE108+$L$8)-$K$8)^2,IF((AE108+$L$8)&gt;=$T$8,HU_beta*((AE108+$L$8)-$K$8),HU_beta*($T$8-$K$8)))))</f>
        <v/>
      </c>
      <c r="AP108" s="29">
        <f>IF(OR(AN108=0,$S$8=0),0,IF((AE108+$L$8+$N$8)&gt;$S$8/HU_alpha+$K$8,0.5*$S$8/HU_alpha,IF((AE108+$L$8+$N$8)&gt;=$K$8,((AE108+$L$8+$N$8)-$K$8)-0.5*HU_alpha/$S$8*((AE108+$L$8+$N$8)-$K$8)^2,IF((AE108+$L$8+$N$8)&gt;=$T$8,HU_beta*((AE108+$L$8+$N$8)-$K$8),HU_beta*($T$8-$K$8)))))</f>
        <v/>
      </c>
      <c r="AQ108" s="29">
        <f>IF(OR(AN108=0,$S$8=0),0,IF((AE108+$K$8)&gt;$S$8/HU_alpha+$K$8,0.5*$S$8/HU_alpha,IF((AE108+$K$8)&gt;=$K$8,((AE108+$K$8)-$K$8)-0.5*HU_alpha/$S$8*((AE108+$K$8)-$K$8)^2,IF((AE108+$K$8)&gt;=$T$8,HU_beta*((AE108+$K$8)-$K$8),HU_beta*($T$8-$K$8)))))</f>
        <v/>
      </c>
      <c r="AR108" s="63">
        <f>IF(AND($J$9,A108&gt;=1,A108&lt;=$Q$9-1),J108,0)</f>
        <v/>
      </c>
      <c r="AS108" s="29">
        <f>IF(OR(AR108=0,$S$9=0),0,IF((AE108+$L$9)&gt;$S$9/HU_alpha+$K$9,0.5*$S$9/HU_alpha,IF((AE108+$L$9)&gt;=$K$9,((AE108+$L$9)-$K$9)-0.5*HU_alpha/$S$9*((AE108+$L$9)-$K$9)^2,IF((AE108+$L$9)&gt;=$T$9,HU_beta*((AE108+$L$9)-$K$9),HU_beta*($T$9-$K$9)))))</f>
        <v/>
      </c>
      <c r="AT108" s="29">
        <f>IF(OR(AR108=0,$S$9=0),0,IF((AE108+$L$9+$N$9)&gt;$S$9/HU_alpha+$K$9,0.5*$S$9/HU_alpha,IF((AE108+$L$9+$N$9)&gt;=$K$9,((AE108+$L$9+$N$9)-$K$9)-0.5*HU_alpha/$S$9*((AE108+$L$9+$N$9)-$K$9)^2,IF((AE108+$L$9+$N$9)&gt;=$T$9,HU_beta*((AE108+$L$9+$N$9)-$K$9),HU_beta*($T$9-$K$9)))))</f>
        <v/>
      </c>
      <c r="AU108" s="29">
        <f>IF(OR(AR108=0,$S$9=0),0,IF((AE108+$K$9)&gt;$S$9/HU_alpha+$K$9,0.5*$S$9/HU_alpha,IF((AE108+$K$9)&gt;=$K$9,((AE108+$K$9)-$K$9)-0.5*HU_alpha/$S$9*((AE108+$K$9)-$K$9)^2,IF((AE108+$K$9)&gt;=$T$9,HU_beta*((AE108+$K$9)-$K$9),HU_beta*($T$9-$K$9)))))</f>
        <v/>
      </c>
      <c r="AV108" s="63">
        <f>IF(AND($J$10,A108=$Q$10),J108,0)</f>
        <v/>
      </c>
      <c r="AW108" s="29">
        <f>IF(OR(AV108=0,$S$10=0),0,IF((AD108+$L$10)&gt;$S$10/HU_alpha+$K$10,0.5*$S$10/HU_alpha,IF((AD108+$L$10)&gt;=$K$10,((AD108+$L$10)-$K$10)-0.5*HU_alpha/$S$10*((AD108+$L$10)-$K$10)^2,IF((AD108+$L$10)&gt;=$T$10,HU_beta*((AD108+$L$10)-$K$10),HU_beta*($T$10-$K$10)))))</f>
        <v/>
      </c>
      <c r="AX108" s="29">
        <f>IF(OR(AV108=0,$S$10=0),0,IF((AD108+$L$10+$N$10)&gt;$S$10/HU_alpha+$K$10,0.5*$S$10/HU_alpha,IF((AD108+$L$10+$N$10)&gt;=$K$10,((AD108+$L$10+$N$10)-$K$10)-0.5*HU_alpha/$S$10*((AD108+$L$10+$N$10)-$K$10)^2,IF((AD108+$L$10+$N$10)&gt;=$T$10,HU_beta*((AD108+$L$10+$N$10)-$K$10),HU_beta*($T$10-$K$10)))))</f>
        <v/>
      </c>
      <c r="AY108" s="29">
        <f>IF(OR(AV108=0,$S$10=0),0,IF((AD108+$K$10)&gt;$S$10/HU_alpha+$K$10,0.5*$S$10/HU_alpha,IF((AD108+$K$10)&gt;=$K$10,((AD108+$K$10)-$K$10)-0.5*HU_alpha/$S$10*((AD108+$K$10)-$K$10)^2,IF((AD108+$K$10)&gt;=$T$10,HU_beta*((AD108+$K$10)-$K$10),HU_beta*($T$10-$K$10)))))</f>
        <v/>
      </c>
      <c r="AZ108" s="63">
        <f>IF(AND($J$11,A108=$Q$11),J108,0)</f>
        <v/>
      </c>
      <c r="BA108" s="29">
        <f>IF(OR(AZ108=0,$S$11=0),0,IF((AE108+$L$11)&gt;$S$11/HU_alpha+$K$11,0.5*$S$11/HU_alpha,IF((AE108+$L$11)&gt;=$K$11,((AE108+$L$11)-$K$11)-0.5*HU_alpha/$S$11*((AE108+$L$11)-$K$11)^2,IF((AE108+$L$11)&gt;=$T$11,HU_beta*((AE108+$L$11)-$K$11),HU_beta*($T$11-$K$11)))))</f>
        <v/>
      </c>
      <c r="BB108" s="29">
        <f>IF(OR(AZ108=0,$S$11=0),0,IF((AE108+$L$11+$N$11)&gt;$S$11/HU_alpha+$K$11,0.5*$S$11/HU_alpha,IF((AE108+$L$11+$N$11)&gt;=$K$11,((AE108+$L$11+$N$11)-$K$11)-0.5*HU_alpha/$S$11*((AE108+$L$11+$N$11)-$K$11)^2,IF((AE108+$L$11+$N$11)&gt;=$T$11,HU_beta*((AE108+$L$11+$N$11)-$K$11),HU_beta*($T$11-$K$11)))))</f>
        <v/>
      </c>
      <c r="BC108" s="29">
        <f>IF(OR(AZ108=0,$S$11=0),0,IF((AE108+$K$11)&gt;$S$11/HU_alpha+$K$11,0.5*$S$11/HU_alpha,IF((AE108+$K$11)&gt;=$K$11,((AE108+$K$11)-$K$11)-0.5*HU_alpha/$S$11*((AE108+$K$11)-$K$11)^2,IF((AE108+$K$11)&gt;=$T$11,HU_beta*((AE108+$K$11)-$K$11),HU_beta*($T$11-$K$11)))))</f>
        <v/>
      </c>
      <c r="BD108" s="63">
        <f>IF(AND($J$12,A108=$Q$12),J108,0)</f>
        <v/>
      </c>
      <c r="BE108" s="29">
        <f>IF(OR(BD108=0,$S$12=0),0,IF((AE108+$L$12)&gt;$S$12/HU_alpha+$K$12,0.5*$S$12/HU_alpha,IF((AE108+$L$12)&gt;=$K$12,((AE108+$L$12)-$K$12)-0.5*HU_alpha/$S$12*((AE108+$L$12)-$K$12)^2,IF((AE108+$L$12)&gt;=$T$12,HU_beta*((AE108+$L$12)-$K$12),HU_beta*($T$12-$K$12)))))</f>
        <v/>
      </c>
      <c r="BF108" s="29">
        <f>IF(OR(BD108=0,$S$12=0),0,IF((AE108+$L$12+$N$12)&gt;$S$12/HU_alpha+$K$12,0.5*$S$12/HU_alpha,IF((AE108+$L$12+$N$12)&gt;=$K$12,((AE108+$L$12+$N$12)-$K$12)-0.5*HU_alpha/$S$12*((AE108+$L$12+$N$12)-$K$12)^2,IF((AE108+$L$12+$N$12)&gt;=$T$12,HU_beta*((AE108+$L$12+$N$12)-$K$12),HU_beta*($T$12-$K$12)))))</f>
        <v/>
      </c>
      <c r="BG108" s="29">
        <f>IF(OR(BD108=0,$S$12=0),0,IF((AE108+$K$12)&gt;$S$12/HU_alpha+$K$12,0.5*$S$12/HU_alpha,IF((AE108+$K$12)&gt;=$K$12,((AE108+$K$12)-$K$12)-0.5*HU_alpha/$S$12*((AE108+$K$12)-$K$12)^2,IF((AE108+$K$12)&gt;=$T$12,HU_beta*((AE108+$K$12)-$K$12),HU_beta*($T$12-$K$12)))))</f>
        <v/>
      </c>
      <c r="BH108" s="63">
        <f>IF(AND($J$13,A108=$Q$13),J108,0)</f>
        <v/>
      </c>
      <c r="BI108" s="29">
        <f>IF(OR(BH108=0,$S$13=0),0,IF((AE108+$L$13)&gt;$S$13/HU_alpha+$K$13,0.5*$S$13/HU_alpha,IF((AE108+$L$13)&gt;=$K$13,((AE108+$L$13)-$K$13)-0.5*HU_alpha/$S$13*((AE108+$L$13)-$K$13)^2,IF((AE108+$L$13)&gt;=$T$13,HU_beta*((AE108+$L$13)-$K$13),HU_beta*($T$13-$K$13)))))</f>
        <v/>
      </c>
      <c r="BJ108" s="29">
        <f>IF(OR(BH108=0,$S$13=0),0,IF((AE108+$L$13+$N$13)&gt;$S$13/HU_alpha+$K$13,0.5*$S$13/HU_alpha,IF((AE108+$L$13+$N$13)&gt;=$K$13,((AE108+$L$13+$N$13)-$K$13)-0.5*HU_alpha/$S$13*((AE108+$L$13+$N$13)-$K$13)^2,IF((AE108+$L$13+$N$13)&gt;=$T$13,HU_beta*((AE108+$L$13+$N$13)-$K$13),HU_beta*($T$13-$K$13)))))</f>
        <v/>
      </c>
      <c r="BK108" s="29">
        <f>IF(OR(BH108=0,$S$13=0),0,IF((AE108+$K$13)&gt;$S$13/HU_alpha+$K$13,0.5*$S$13/HU_alpha,IF((AE108+$K$13)&gt;=$K$13,((AE108+$K$13)-$K$13)-0.5*HU_alpha/$S$13*((AE108+$K$13)-$K$13)^2,IF((AE108+$K$13)&gt;=$T$13,HU_beta*((AE108+$K$13)-$K$13),HU_beta*($T$13-$K$13)))))</f>
        <v/>
      </c>
    </row>
    <row r="109">
      <c r="A109" s="61" t="n">
        <v>41</v>
      </c>
      <c r="B109" s="61">
        <f>HU_age+A109</f>
        <v/>
      </c>
      <c r="C109" s="52">
        <f>A109&lt;=HU_T</f>
        <v/>
      </c>
      <c r="D109" s="63">
        <f>IF(OR(A109&lt;1,A109&gt;HU_T),0,INDEX(HU_q_mort,HU_age+A109-17,HU_col))</f>
        <v/>
      </c>
      <c r="E109" s="63">
        <f>IF(OR(A109&lt;1,A109&gt;HU_T),0,INDEX(HU_q_adb,HU_age+A109-17,HU_col))</f>
        <v/>
      </c>
      <c r="F109" s="63">
        <f>IF(OR(A109&lt;1,A109&gt;HU_T),0,INDEX(HU_q_morb,HU_age+A109-17,HU_col))</f>
        <v/>
      </c>
      <c r="G109" s="63">
        <f>IF(OR(A109&lt;1,A109&gt;HU_T),0,INDEX(HU_q_ptd,HU_age+A109-17,HU_col))</f>
        <v/>
      </c>
      <c r="H109" s="63">
        <f>IF(OR(A109&lt;1,A109&gt;HU_T),0,INDEX(HU_q_dis,HU_age+A109-17,HU_col))</f>
        <v/>
      </c>
      <c r="I109" s="63">
        <f>IF(A109&gt;HU_T,0,I108*(1-D109)*(1-E109))</f>
        <v/>
      </c>
      <c r="J109" s="63">
        <f>IF(A109&gt;=HU_T,0,N(I110))</f>
        <v/>
      </c>
      <c r="K109" s="63">
        <f>K108*(1-G109)</f>
        <v/>
      </c>
      <c r="L109" s="63">
        <f>1-K109</f>
        <v/>
      </c>
      <c r="M109" s="63">
        <f>K108*G109</f>
        <v/>
      </c>
      <c r="N109" s="63">
        <f>N108*(1-H109)</f>
        <v/>
      </c>
      <c r="O109" s="63">
        <f>1-N108</f>
        <v/>
      </c>
      <c r="P109" s="63">
        <f>P108*(1-F109)</f>
        <v/>
      </c>
      <c r="Q109" s="63">
        <f>1-P108/INDEX($P$68:$P$150,MAX(1,A109-HU_ciYears))</f>
        <v/>
      </c>
      <c r="R109" s="60">
        <f>(1+inflationRate)^A109</f>
        <v/>
      </c>
      <c r="S109" s="29">
        <f>IF(OR(OR(A109&lt;1,A109&gt;HU_T),A109-1&gt;=HU_dtr),0,HU_inc0*(1+incomeGrowthRate)^A109)</f>
        <v/>
      </c>
      <c r="T109" s="60">
        <f>IF(A109&gt;HU_T,T108,T108*(1+INDEX(HU_ssG,HU_age+A109-17)))</f>
        <v/>
      </c>
      <c r="U109" s="29">
        <f>IF(AND(HU_dtr&gt;=1,A109=HU_dtr,A109&lt;=HU_T),MIN(S109*INDEX(HU_ssC,HU_age+A109-17)/(1-INDEX(HU_ssC,HU_age+A109-17)),INDEX(HU_ssCap,HU_age+A109-17))*T109,0)</f>
        <v/>
      </c>
      <c r="V109" s="29">
        <f>S109+U109+IF(AND(HU_wdOn,A109=HU_wdYear),HU_wdIncome,0)</f>
        <v/>
      </c>
      <c r="W109" s="60">
        <f>HU_ciProp*Q109+HU_tpdCut*L109+HU_disCut*O109</f>
        <v/>
      </c>
      <c r="X109" s="29">
        <f>IF(OR(A109&lt;1,A109&gt;HU_T),0,V109*(1-W109))</f>
        <v/>
      </c>
      <c r="Y109" s="29">
        <f>IF(OR(A109&lt;1,A109&gt;HU_T),0,IF(AND(HU_retExp&gt;0,A109-1&gt;=HU_dtr),HU_retExp,HU_exp0)*R109)</f>
        <v/>
      </c>
      <c r="Z109" s="29">
        <f>-Y109-IF(AND(HU_wdOn,A109=HU_wdYear),HU_wdOut,0)</f>
        <v/>
      </c>
      <c r="AA109" s="29">
        <f>IF(OR(A109&lt;1,A109&gt;HU_T),0,-HU_medCost*R109*F109-HU_tpdCost*R109*M109)</f>
        <v/>
      </c>
      <c r="AB109" s="29">
        <f>IF(A109&gt;HU_T,0,AB108*(1+interestRate)+X109+Z109+AA109)</f>
        <v/>
      </c>
      <c r="AC109" s="29">
        <f>IF(A109&gt;HU_T,0,HU_inv*EXP(HU_mu*A109))</f>
        <v/>
      </c>
      <c r="AD109" s="29">
        <f>IF(A109&gt;HU_T,0,MAX(0,AC109+AB109))</f>
        <v/>
      </c>
      <c r="AE109" s="29">
        <f>IF(A109&gt;HU_T,0,MAX(0,X109-Y109))</f>
        <v/>
      </c>
      <c r="AF109" s="63">
        <f>IF(AND($J$6,A109&gt;=1,A109&lt;=$Q$6-1),J109,0)</f>
        <v/>
      </c>
      <c r="AG109" s="29">
        <f>IF(OR(AF109=0,$S$6=0),0,IF((AD109+$L$6)&gt;$S$6/HU_alpha+$K$6,0.5*$S$6/HU_alpha,IF((AD109+$L$6)&gt;=$K$6,((AD109+$L$6)-$K$6)-0.5*HU_alpha/$S$6*((AD109+$L$6)-$K$6)^2,IF((AD109+$L$6)&gt;=$T$6,HU_beta*((AD109+$L$6)-$K$6),HU_beta*($T$6-$K$6)))))</f>
        <v/>
      </c>
      <c r="AH109" s="29">
        <f>IF(OR(AF109=0,$S$6=0),0,IF((AD109+$L$6+$N$6)&gt;$S$6/HU_alpha+$K$6,0.5*$S$6/HU_alpha,IF((AD109+$L$6+$N$6)&gt;=$K$6,((AD109+$L$6+$N$6)-$K$6)-0.5*HU_alpha/$S$6*((AD109+$L$6+$N$6)-$K$6)^2,IF((AD109+$L$6+$N$6)&gt;=$T$6,HU_beta*((AD109+$L$6+$N$6)-$K$6),HU_beta*($T$6-$K$6)))))</f>
        <v/>
      </c>
      <c r="AI109" s="29">
        <f>IF(OR(AF109=0,$S$6=0),0,IF((AD109+$K$6)&gt;$S$6/HU_alpha+$K$6,0.5*$S$6/HU_alpha,IF((AD109+$K$6)&gt;=$K$6,((AD109+$K$6)-$K$6)-0.5*HU_alpha/$S$6*((AD109+$K$6)-$K$6)^2,IF((AD109+$K$6)&gt;=$T$6,HU_beta*((AD109+$K$6)-$K$6),HU_beta*($T$6-$K$6)))))</f>
        <v/>
      </c>
      <c r="AJ109" s="63">
        <f>IF(AND($J$7,A109&gt;=1,A109&lt;=$Q$7-1),J109,0)</f>
        <v/>
      </c>
      <c r="AK109" s="29">
        <f>IF(OR(AJ109=0,$S$7=0),0,IF((AE109+$L$7)&gt;$S$7/HU_alpha+$K$7,0.5*$S$7/HU_alpha,IF((AE109+$L$7)&gt;=$K$7,((AE109+$L$7)-$K$7)-0.5*HU_alpha/$S$7*((AE109+$L$7)-$K$7)^2,IF((AE109+$L$7)&gt;=$T$7,HU_beta*((AE109+$L$7)-$K$7),HU_beta*($T$7-$K$7)))))</f>
        <v/>
      </c>
      <c r="AL109" s="29">
        <f>IF(OR(AJ109=0,$S$7=0),0,IF((AE109+$L$7+$N$7)&gt;$S$7/HU_alpha+$K$7,0.5*$S$7/HU_alpha,IF((AE109+$L$7+$N$7)&gt;=$K$7,((AE109+$L$7+$N$7)-$K$7)-0.5*HU_alpha/$S$7*((AE109+$L$7+$N$7)-$K$7)^2,IF((AE109+$L$7+$N$7)&gt;=$T$7,HU_beta*((AE109+$L$7+$N$7)-$K$7),HU_beta*($T$7-$K$7)))))</f>
        <v/>
      </c>
      <c r="AM109" s="29">
        <f>IF(OR(AJ109=0,$S$7=0),0,IF((AE109+$K$7)&gt;$S$7/HU_alpha+$K$7,0.5*$S$7/HU_alpha,IF((AE109+$K$7)&gt;=$K$7,((AE109+$K$7)-$K$7)-0.5*HU_alpha/$S$7*((AE109+$K$7)-$K$7)^2,IF((AE109+$K$7)&gt;=$T$7,HU_beta*((AE109+$K$7)-$K$7),HU_beta*($T$7-$K$7)))))</f>
        <v/>
      </c>
      <c r="AN109" s="63">
        <f>IF(AND($J$8,A109&gt;=1,A109&lt;=$Q$8-1),J109,0)</f>
        <v/>
      </c>
      <c r="AO109" s="29">
        <f>IF(OR(AN109=0,$S$8=0),0,IF((AE109+$L$8)&gt;$S$8/HU_alpha+$K$8,0.5*$S$8/HU_alpha,IF((AE109+$L$8)&gt;=$K$8,((AE109+$L$8)-$K$8)-0.5*HU_alpha/$S$8*((AE109+$L$8)-$K$8)^2,IF((AE109+$L$8)&gt;=$T$8,HU_beta*((AE109+$L$8)-$K$8),HU_beta*($T$8-$K$8)))))</f>
        <v/>
      </c>
      <c r="AP109" s="29">
        <f>IF(OR(AN109=0,$S$8=0),0,IF((AE109+$L$8+$N$8)&gt;$S$8/HU_alpha+$K$8,0.5*$S$8/HU_alpha,IF((AE109+$L$8+$N$8)&gt;=$K$8,((AE109+$L$8+$N$8)-$K$8)-0.5*HU_alpha/$S$8*((AE109+$L$8+$N$8)-$K$8)^2,IF((AE109+$L$8+$N$8)&gt;=$T$8,HU_beta*((AE109+$L$8+$N$8)-$K$8),HU_beta*($T$8-$K$8)))))</f>
        <v/>
      </c>
      <c r="AQ109" s="29">
        <f>IF(OR(AN109=0,$S$8=0),0,IF((AE109+$K$8)&gt;$S$8/HU_alpha+$K$8,0.5*$S$8/HU_alpha,IF((AE109+$K$8)&gt;=$K$8,((AE109+$K$8)-$K$8)-0.5*HU_alpha/$S$8*((AE109+$K$8)-$K$8)^2,IF((AE109+$K$8)&gt;=$T$8,HU_beta*((AE109+$K$8)-$K$8),HU_beta*($T$8-$K$8)))))</f>
        <v/>
      </c>
      <c r="AR109" s="63">
        <f>IF(AND($J$9,A109&gt;=1,A109&lt;=$Q$9-1),J109,0)</f>
        <v/>
      </c>
      <c r="AS109" s="29">
        <f>IF(OR(AR109=0,$S$9=0),0,IF((AE109+$L$9)&gt;$S$9/HU_alpha+$K$9,0.5*$S$9/HU_alpha,IF((AE109+$L$9)&gt;=$K$9,((AE109+$L$9)-$K$9)-0.5*HU_alpha/$S$9*((AE109+$L$9)-$K$9)^2,IF((AE109+$L$9)&gt;=$T$9,HU_beta*((AE109+$L$9)-$K$9),HU_beta*($T$9-$K$9)))))</f>
        <v/>
      </c>
      <c r="AT109" s="29">
        <f>IF(OR(AR109=0,$S$9=0),0,IF((AE109+$L$9+$N$9)&gt;$S$9/HU_alpha+$K$9,0.5*$S$9/HU_alpha,IF((AE109+$L$9+$N$9)&gt;=$K$9,((AE109+$L$9+$N$9)-$K$9)-0.5*HU_alpha/$S$9*((AE109+$L$9+$N$9)-$K$9)^2,IF((AE109+$L$9+$N$9)&gt;=$T$9,HU_beta*((AE109+$L$9+$N$9)-$K$9),HU_beta*($T$9-$K$9)))))</f>
        <v/>
      </c>
      <c r="AU109" s="29">
        <f>IF(OR(AR109=0,$S$9=0),0,IF((AE109+$K$9)&gt;$S$9/HU_alpha+$K$9,0.5*$S$9/HU_alpha,IF((AE109+$K$9)&gt;=$K$9,((AE109+$K$9)-$K$9)-0.5*HU_alpha/$S$9*((AE109+$K$9)-$K$9)^2,IF((AE109+$K$9)&gt;=$T$9,HU_beta*((AE109+$K$9)-$K$9),HU_beta*($T$9-$K$9)))))</f>
        <v/>
      </c>
      <c r="AV109" s="63">
        <f>IF(AND($J$10,A109=$Q$10),J109,0)</f>
        <v/>
      </c>
      <c r="AW109" s="29">
        <f>IF(OR(AV109=0,$S$10=0),0,IF((AD109+$L$10)&gt;$S$10/HU_alpha+$K$10,0.5*$S$10/HU_alpha,IF((AD109+$L$10)&gt;=$K$10,((AD109+$L$10)-$K$10)-0.5*HU_alpha/$S$10*((AD109+$L$10)-$K$10)^2,IF((AD109+$L$10)&gt;=$T$10,HU_beta*((AD109+$L$10)-$K$10),HU_beta*($T$10-$K$10)))))</f>
        <v/>
      </c>
      <c r="AX109" s="29">
        <f>IF(OR(AV109=0,$S$10=0),0,IF((AD109+$L$10+$N$10)&gt;$S$10/HU_alpha+$K$10,0.5*$S$10/HU_alpha,IF((AD109+$L$10+$N$10)&gt;=$K$10,((AD109+$L$10+$N$10)-$K$10)-0.5*HU_alpha/$S$10*((AD109+$L$10+$N$10)-$K$10)^2,IF((AD109+$L$10+$N$10)&gt;=$T$10,HU_beta*((AD109+$L$10+$N$10)-$K$10),HU_beta*($T$10-$K$10)))))</f>
        <v/>
      </c>
      <c r="AY109" s="29">
        <f>IF(OR(AV109=0,$S$10=0),0,IF((AD109+$K$10)&gt;$S$10/HU_alpha+$K$10,0.5*$S$10/HU_alpha,IF((AD109+$K$10)&gt;=$K$10,((AD109+$K$10)-$K$10)-0.5*HU_alpha/$S$10*((AD109+$K$10)-$K$10)^2,IF((AD109+$K$10)&gt;=$T$10,HU_beta*((AD109+$K$10)-$K$10),HU_beta*($T$10-$K$10)))))</f>
        <v/>
      </c>
      <c r="AZ109" s="63">
        <f>IF(AND($J$11,A109=$Q$11),J109,0)</f>
        <v/>
      </c>
      <c r="BA109" s="29">
        <f>IF(OR(AZ109=0,$S$11=0),0,IF((AE109+$L$11)&gt;$S$11/HU_alpha+$K$11,0.5*$S$11/HU_alpha,IF((AE109+$L$11)&gt;=$K$11,((AE109+$L$11)-$K$11)-0.5*HU_alpha/$S$11*((AE109+$L$11)-$K$11)^2,IF((AE109+$L$11)&gt;=$T$11,HU_beta*((AE109+$L$11)-$K$11),HU_beta*($T$11-$K$11)))))</f>
        <v/>
      </c>
      <c r="BB109" s="29">
        <f>IF(OR(AZ109=0,$S$11=0),0,IF((AE109+$L$11+$N$11)&gt;$S$11/HU_alpha+$K$11,0.5*$S$11/HU_alpha,IF((AE109+$L$11+$N$11)&gt;=$K$11,((AE109+$L$11+$N$11)-$K$11)-0.5*HU_alpha/$S$11*((AE109+$L$11+$N$11)-$K$11)^2,IF((AE109+$L$11+$N$11)&gt;=$T$11,HU_beta*((AE109+$L$11+$N$11)-$K$11),HU_beta*($T$11-$K$11)))))</f>
        <v/>
      </c>
      <c r="BC109" s="29">
        <f>IF(OR(AZ109=0,$S$11=0),0,IF((AE109+$K$11)&gt;$S$11/HU_alpha+$K$11,0.5*$S$11/HU_alpha,IF((AE109+$K$11)&gt;=$K$11,((AE109+$K$11)-$K$11)-0.5*HU_alpha/$S$11*((AE109+$K$11)-$K$11)^2,IF((AE109+$K$11)&gt;=$T$11,HU_beta*((AE109+$K$11)-$K$11),HU_beta*($T$11-$K$11)))))</f>
        <v/>
      </c>
      <c r="BD109" s="63">
        <f>IF(AND($J$12,A109=$Q$12),J109,0)</f>
        <v/>
      </c>
      <c r="BE109" s="29">
        <f>IF(OR(BD109=0,$S$12=0),0,IF((AE109+$L$12)&gt;$S$12/HU_alpha+$K$12,0.5*$S$12/HU_alpha,IF((AE109+$L$12)&gt;=$K$12,((AE109+$L$12)-$K$12)-0.5*HU_alpha/$S$12*((AE109+$L$12)-$K$12)^2,IF((AE109+$L$12)&gt;=$T$12,HU_beta*((AE109+$L$12)-$K$12),HU_beta*($T$12-$K$12)))))</f>
        <v/>
      </c>
      <c r="BF109" s="29">
        <f>IF(OR(BD109=0,$S$12=0),0,IF((AE109+$L$12+$N$12)&gt;$S$12/HU_alpha+$K$12,0.5*$S$12/HU_alpha,IF((AE109+$L$12+$N$12)&gt;=$K$12,((AE109+$L$12+$N$12)-$K$12)-0.5*HU_alpha/$S$12*((AE109+$L$12+$N$12)-$K$12)^2,IF((AE109+$L$12+$N$12)&gt;=$T$12,HU_beta*((AE109+$L$12+$N$12)-$K$12),HU_beta*($T$12-$K$12)))))</f>
        <v/>
      </c>
      <c r="BG109" s="29">
        <f>IF(OR(BD109=0,$S$12=0),0,IF((AE109+$K$12)&gt;$S$12/HU_alpha+$K$12,0.5*$S$12/HU_alpha,IF((AE109+$K$12)&gt;=$K$12,((AE109+$K$12)-$K$12)-0.5*HU_alpha/$S$12*((AE109+$K$12)-$K$12)^2,IF((AE109+$K$12)&gt;=$T$12,HU_beta*((AE109+$K$12)-$K$12),HU_beta*($T$12-$K$12)))))</f>
        <v/>
      </c>
      <c r="BH109" s="63">
        <f>IF(AND($J$13,A109=$Q$13),J109,0)</f>
        <v/>
      </c>
      <c r="BI109" s="29">
        <f>IF(OR(BH109=0,$S$13=0),0,IF((AE109+$L$13)&gt;$S$13/HU_alpha+$K$13,0.5*$S$13/HU_alpha,IF((AE109+$L$13)&gt;=$K$13,((AE109+$L$13)-$K$13)-0.5*HU_alpha/$S$13*((AE109+$L$13)-$K$13)^2,IF((AE109+$L$13)&gt;=$T$13,HU_beta*((AE109+$L$13)-$K$13),HU_beta*($T$13-$K$13)))))</f>
        <v/>
      </c>
      <c r="BJ109" s="29">
        <f>IF(OR(BH109=0,$S$13=0),0,IF((AE109+$L$13+$N$13)&gt;$S$13/HU_alpha+$K$13,0.5*$S$13/HU_alpha,IF((AE109+$L$13+$N$13)&gt;=$K$13,((AE109+$L$13+$N$13)-$K$13)-0.5*HU_alpha/$S$13*((AE109+$L$13+$N$13)-$K$13)^2,IF((AE109+$L$13+$N$13)&gt;=$T$13,HU_beta*((AE109+$L$13+$N$13)-$K$13),HU_beta*($T$13-$K$13)))))</f>
        <v/>
      </c>
      <c r="BK109" s="29">
        <f>IF(OR(BH109=0,$S$13=0),0,IF((AE109+$K$13)&gt;$S$13/HU_alpha+$K$13,0.5*$S$13/HU_alpha,IF((AE109+$K$13)&gt;=$K$13,((AE109+$K$13)-$K$13)-0.5*HU_alpha/$S$13*((AE109+$K$13)-$K$13)^2,IF((AE109+$K$13)&gt;=$T$13,HU_beta*((AE109+$K$13)-$K$13),HU_beta*($T$13-$K$13)))))</f>
        <v/>
      </c>
    </row>
    <row r="110">
      <c r="A110" s="61" t="n">
        <v>42</v>
      </c>
      <c r="B110" s="61">
        <f>HU_age+A110</f>
        <v/>
      </c>
      <c r="C110" s="52">
        <f>A110&lt;=HU_T</f>
        <v/>
      </c>
      <c r="D110" s="63">
        <f>IF(OR(A110&lt;1,A110&gt;HU_T),0,INDEX(HU_q_mort,HU_age+A110-17,HU_col))</f>
        <v/>
      </c>
      <c r="E110" s="63">
        <f>IF(OR(A110&lt;1,A110&gt;HU_T),0,INDEX(HU_q_adb,HU_age+A110-17,HU_col))</f>
        <v/>
      </c>
      <c r="F110" s="63">
        <f>IF(OR(A110&lt;1,A110&gt;HU_T),0,INDEX(HU_q_morb,HU_age+A110-17,HU_col))</f>
        <v/>
      </c>
      <c r="G110" s="63">
        <f>IF(OR(A110&lt;1,A110&gt;HU_T),0,INDEX(HU_q_ptd,HU_age+A110-17,HU_col))</f>
        <v/>
      </c>
      <c r="H110" s="63">
        <f>IF(OR(A110&lt;1,A110&gt;HU_T),0,INDEX(HU_q_dis,HU_age+A110-17,HU_col))</f>
        <v/>
      </c>
      <c r="I110" s="63">
        <f>IF(A110&gt;HU_T,0,I109*(1-D110)*(1-E110))</f>
        <v/>
      </c>
      <c r="J110" s="63">
        <f>IF(A110&gt;=HU_T,0,N(I111))</f>
        <v/>
      </c>
      <c r="K110" s="63">
        <f>K109*(1-G110)</f>
        <v/>
      </c>
      <c r="L110" s="63">
        <f>1-K110</f>
        <v/>
      </c>
      <c r="M110" s="63">
        <f>K109*G110</f>
        <v/>
      </c>
      <c r="N110" s="63">
        <f>N109*(1-H110)</f>
        <v/>
      </c>
      <c r="O110" s="63">
        <f>1-N109</f>
        <v/>
      </c>
      <c r="P110" s="63">
        <f>P109*(1-F110)</f>
        <v/>
      </c>
      <c r="Q110" s="63">
        <f>1-P109/INDEX($P$68:$P$150,MAX(1,A110-HU_ciYears))</f>
        <v/>
      </c>
      <c r="R110" s="60">
        <f>(1+inflationRate)^A110</f>
        <v/>
      </c>
      <c r="S110" s="29">
        <f>IF(OR(OR(A110&lt;1,A110&gt;HU_T),A110-1&gt;=HU_dtr),0,HU_inc0*(1+incomeGrowthRate)^A110)</f>
        <v/>
      </c>
      <c r="T110" s="60">
        <f>IF(A110&gt;HU_T,T109,T109*(1+INDEX(HU_ssG,HU_age+A110-17)))</f>
        <v/>
      </c>
      <c r="U110" s="29">
        <f>IF(AND(HU_dtr&gt;=1,A110=HU_dtr,A110&lt;=HU_T),MIN(S110*INDEX(HU_ssC,HU_age+A110-17)/(1-INDEX(HU_ssC,HU_age+A110-17)),INDEX(HU_ssCap,HU_age+A110-17))*T110,0)</f>
        <v/>
      </c>
      <c r="V110" s="29">
        <f>S110+U110+IF(AND(HU_wdOn,A110=HU_wdYear),HU_wdIncome,0)</f>
        <v/>
      </c>
      <c r="W110" s="60">
        <f>HU_ciProp*Q110+HU_tpdCut*L110+HU_disCut*O110</f>
        <v/>
      </c>
      <c r="X110" s="29">
        <f>IF(OR(A110&lt;1,A110&gt;HU_T),0,V110*(1-W110))</f>
        <v/>
      </c>
      <c r="Y110" s="29">
        <f>IF(OR(A110&lt;1,A110&gt;HU_T),0,IF(AND(HU_retExp&gt;0,A110-1&gt;=HU_dtr),HU_retExp,HU_exp0)*R110)</f>
        <v/>
      </c>
      <c r="Z110" s="29">
        <f>-Y110-IF(AND(HU_wdOn,A110=HU_wdYear),HU_wdOut,0)</f>
        <v/>
      </c>
      <c r="AA110" s="29">
        <f>IF(OR(A110&lt;1,A110&gt;HU_T),0,-HU_medCost*R110*F110-HU_tpdCost*R110*M110)</f>
        <v/>
      </c>
      <c r="AB110" s="29">
        <f>IF(A110&gt;HU_T,0,AB109*(1+interestRate)+X110+Z110+AA110)</f>
        <v/>
      </c>
      <c r="AC110" s="29">
        <f>IF(A110&gt;HU_T,0,HU_inv*EXP(HU_mu*A110))</f>
        <v/>
      </c>
      <c r="AD110" s="29">
        <f>IF(A110&gt;HU_T,0,MAX(0,AC110+AB110))</f>
        <v/>
      </c>
      <c r="AE110" s="29">
        <f>IF(A110&gt;HU_T,0,MAX(0,X110-Y110))</f>
        <v/>
      </c>
      <c r="AF110" s="63">
        <f>IF(AND($J$6,A110&gt;=1,A110&lt;=$Q$6-1),J110,0)</f>
        <v/>
      </c>
      <c r="AG110" s="29">
        <f>IF(OR(AF110=0,$S$6=0),0,IF((AD110+$L$6)&gt;$S$6/HU_alpha+$K$6,0.5*$S$6/HU_alpha,IF((AD110+$L$6)&gt;=$K$6,((AD110+$L$6)-$K$6)-0.5*HU_alpha/$S$6*((AD110+$L$6)-$K$6)^2,IF((AD110+$L$6)&gt;=$T$6,HU_beta*((AD110+$L$6)-$K$6),HU_beta*($T$6-$K$6)))))</f>
        <v/>
      </c>
      <c r="AH110" s="29">
        <f>IF(OR(AF110=0,$S$6=0),0,IF((AD110+$L$6+$N$6)&gt;$S$6/HU_alpha+$K$6,0.5*$S$6/HU_alpha,IF((AD110+$L$6+$N$6)&gt;=$K$6,((AD110+$L$6+$N$6)-$K$6)-0.5*HU_alpha/$S$6*((AD110+$L$6+$N$6)-$K$6)^2,IF((AD110+$L$6+$N$6)&gt;=$T$6,HU_beta*((AD110+$L$6+$N$6)-$K$6),HU_beta*($T$6-$K$6)))))</f>
        <v/>
      </c>
      <c r="AI110" s="29">
        <f>IF(OR(AF110=0,$S$6=0),0,IF((AD110+$K$6)&gt;$S$6/HU_alpha+$K$6,0.5*$S$6/HU_alpha,IF((AD110+$K$6)&gt;=$K$6,((AD110+$K$6)-$K$6)-0.5*HU_alpha/$S$6*((AD110+$K$6)-$K$6)^2,IF((AD110+$K$6)&gt;=$T$6,HU_beta*((AD110+$K$6)-$K$6),HU_beta*($T$6-$K$6)))))</f>
        <v/>
      </c>
      <c r="AJ110" s="63">
        <f>IF(AND($J$7,A110&gt;=1,A110&lt;=$Q$7-1),J110,0)</f>
        <v/>
      </c>
      <c r="AK110" s="29">
        <f>IF(OR(AJ110=0,$S$7=0),0,IF((AE110+$L$7)&gt;$S$7/HU_alpha+$K$7,0.5*$S$7/HU_alpha,IF((AE110+$L$7)&gt;=$K$7,((AE110+$L$7)-$K$7)-0.5*HU_alpha/$S$7*((AE110+$L$7)-$K$7)^2,IF((AE110+$L$7)&gt;=$T$7,HU_beta*((AE110+$L$7)-$K$7),HU_beta*($T$7-$K$7)))))</f>
        <v/>
      </c>
      <c r="AL110" s="29">
        <f>IF(OR(AJ110=0,$S$7=0),0,IF((AE110+$L$7+$N$7)&gt;$S$7/HU_alpha+$K$7,0.5*$S$7/HU_alpha,IF((AE110+$L$7+$N$7)&gt;=$K$7,((AE110+$L$7+$N$7)-$K$7)-0.5*HU_alpha/$S$7*((AE110+$L$7+$N$7)-$K$7)^2,IF((AE110+$L$7+$N$7)&gt;=$T$7,HU_beta*((AE110+$L$7+$N$7)-$K$7),HU_beta*($T$7-$K$7)))))</f>
        <v/>
      </c>
      <c r="AM110" s="29">
        <f>IF(OR(AJ110=0,$S$7=0),0,IF((AE110+$K$7)&gt;$S$7/HU_alpha+$K$7,0.5*$S$7/HU_alpha,IF((AE110+$K$7)&gt;=$K$7,((AE110+$K$7)-$K$7)-0.5*HU_alpha/$S$7*((AE110+$K$7)-$K$7)^2,IF((AE110+$K$7)&gt;=$T$7,HU_beta*((AE110+$K$7)-$K$7),HU_beta*($T$7-$K$7)))))</f>
        <v/>
      </c>
      <c r="AN110" s="63">
        <f>IF(AND($J$8,A110&gt;=1,A110&lt;=$Q$8-1),J110,0)</f>
        <v/>
      </c>
      <c r="AO110" s="29">
        <f>IF(OR(AN110=0,$S$8=0),0,IF((AE110+$L$8)&gt;$S$8/HU_alpha+$K$8,0.5*$S$8/HU_alpha,IF((AE110+$L$8)&gt;=$K$8,((AE110+$L$8)-$K$8)-0.5*HU_alpha/$S$8*((AE110+$L$8)-$K$8)^2,IF((AE110+$L$8)&gt;=$T$8,HU_beta*((AE110+$L$8)-$K$8),HU_beta*($T$8-$K$8)))))</f>
        <v/>
      </c>
      <c r="AP110" s="29">
        <f>IF(OR(AN110=0,$S$8=0),0,IF((AE110+$L$8+$N$8)&gt;$S$8/HU_alpha+$K$8,0.5*$S$8/HU_alpha,IF((AE110+$L$8+$N$8)&gt;=$K$8,((AE110+$L$8+$N$8)-$K$8)-0.5*HU_alpha/$S$8*((AE110+$L$8+$N$8)-$K$8)^2,IF((AE110+$L$8+$N$8)&gt;=$T$8,HU_beta*((AE110+$L$8+$N$8)-$K$8),HU_beta*($T$8-$K$8)))))</f>
        <v/>
      </c>
      <c r="AQ110" s="29">
        <f>IF(OR(AN110=0,$S$8=0),0,IF((AE110+$K$8)&gt;$S$8/HU_alpha+$K$8,0.5*$S$8/HU_alpha,IF((AE110+$K$8)&gt;=$K$8,((AE110+$K$8)-$K$8)-0.5*HU_alpha/$S$8*((AE110+$K$8)-$K$8)^2,IF((AE110+$K$8)&gt;=$T$8,HU_beta*((AE110+$K$8)-$K$8),HU_beta*($T$8-$K$8)))))</f>
        <v/>
      </c>
      <c r="AR110" s="63">
        <f>IF(AND($J$9,A110&gt;=1,A110&lt;=$Q$9-1),J110,0)</f>
        <v/>
      </c>
      <c r="AS110" s="29">
        <f>IF(OR(AR110=0,$S$9=0),0,IF((AE110+$L$9)&gt;$S$9/HU_alpha+$K$9,0.5*$S$9/HU_alpha,IF((AE110+$L$9)&gt;=$K$9,((AE110+$L$9)-$K$9)-0.5*HU_alpha/$S$9*((AE110+$L$9)-$K$9)^2,IF((AE110+$L$9)&gt;=$T$9,HU_beta*((AE110+$L$9)-$K$9),HU_beta*($T$9-$K$9)))))</f>
        <v/>
      </c>
      <c r="AT110" s="29">
        <f>IF(OR(AR110=0,$S$9=0),0,IF((AE110+$L$9+$N$9)&gt;$S$9/HU_alpha+$K$9,0.5*$S$9/HU_alpha,IF((AE110+$L$9+$N$9)&gt;=$K$9,((AE110+$L$9+$N$9)-$K$9)-0.5*HU_alpha/$S$9*((AE110+$L$9+$N$9)-$K$9)^2,IF((AE110+$L$9+$N$9)&gt;=$T$9,HU_beta*((AE110+$L$9+$N$9)-$K$9),HU_beta*($T$9-$K$9)))))</f>
        <v/>
      </c>
      <c r="AU110" s="29">
        <f>IF(OR(AR110=0,$S$9=0),0,IF((AE110+$K$9)&gt;$S$9/HU_alpha+$K$9,0.5*$S$9/HU_alpha,IF((AE110+$K$9)&gt;=$K$9,((AE110+$K$9)-$K$9)-0.5*HU_alpha/$S$9*((AE110+$K$9)-$K$9)^2,IF((AE110+$K$9)&gt;=$T$9,HU_beta*((AE110+$K$9)-$K$9),HU_beta*($T$9-$K$9)))))</f>
        <v/>
      </c>
      <c r="AV110" s="63">
        <f>IF(AND($J$10,A110=$Q$10),J110,0)</f>
        <v/>
      </c>
      <c r="AW110" s="29">
        <f>IF(OR(AV110=0,$S$10=0),0,IF((AD110+$L$10)&gt;$S$10/HU_alpha+$K$10,0.5*$S$10/HU_alpha,IF((AD110+$L$10)&gt;=$K$10,((AD110+$L$10)-$K$10)-0.5*HU_alpha/$S$10*((AD110+$L$10)-$K$10)^2,IF((AD110+$L$10)&gt;=$T$10,HU_beta*((AD110+$L$10)-$K$10),HU_beta*($T$10-$K$10)))))</f>
        <v/>
      </c>
      <c r="AX110" s="29">
        <f>IF(OR(AV110=0,$S$10=0),0,IF((AD110+$L$10+$N$10)&gt;$S$10/HU_alpha+$K$10,0.5*$S$10/HU_alpha,IF((AD110+$L$10+$N$10)&gt;=$K$10,((AD110+$L$10+$N$10)-$K$10)-0.5*HU_alpha/$S$10*((AD110+$L$10+$N$10)-$K$10)^2,IF((AD110+$L$10+$N$10)&gt;=$T$10,HU_beta*((AD110+$L$10+$N$10)-$K$10),HU_beta*($T$10-$K$10)))))</f>
        <v/>
      </c>
      <c r="AY110" s="29">
        <f>IF(OR(AV110=0,$S$10=0),0,IF((AD110+$K$10)&gt;$S$10/HU_alpha+$K$10,0.5*$S$10/HU_alpha,IF((AD110+$K$10)&gt;=$K$10,((AD110+$K$10)-$K$10)-0.5*HU_alpha/$S$10*((AD110+$K$10)-$K$10)^2,IF((AD110+$K$10)&gt;=$T$10,HU_beta*((AD110+$K$10)-$K$10),HU_beta*($T$10-$K$10)))))</f>
        <v/>
      </c>
      <c r="AZ110" s="63">
        <f>IF(AND($J$11,A110=$Q$11),J110,0)</f>
        <v/>
      </c>
      <c r="BA110" s="29">
        <f>IF(OR(AZ110=0,$S$11=0),0,IF((AE110+$L$11)&gt;$S$11/HU_alpha+$K$11,0.5*$S$11/HU_alpha,IF((AE110+$L$11)&gt;=$K$11,((AE110+$L$11)-$K$11)-0.5*HU_alpha/$S$11*((AE110+$L$11)-$K$11)^2,IF((AE110+$L$11)&gt;=$T$11,HU_beta*((AE110+$L$11)-$K$11),HU_beta*($T$11-$K$11)))))</f>
        <v/>
      </c>
      <c r="BB110" s="29">
        <f>IF(OR(AZ110=0,$S$11=0),0,IF((AE110+$L$11+$N$11)&gt;$S$11/HU_alpha+$K$11,0.5*$S$11/HU_alpha,IF((AE110+$L$11+$N$11)&gt;=$K$11,((AE110+$L$11+$N$11)-$K$11)-0.5*HU_alpha/$S$11*((AE110+$L$11+$N$11)-$K$11)^2,IF((AE110+$L$11+$N$11)&gt;=$T$11,HU_beta*((AE110+$L$11+$N$11)-$K$11),HU_beta*($T$11-$K$11)))))</f>
        <v/>
      </c>
      <c r="BC110" s="29">
        <f>IF(OR(AZ110=0,$S$11=0),0,IF((AE110+$K$11)&gt;$S$11/HU_alpha+$K$11,0.5*$S$11/HU_alpha,IF((AE110+$K$11)&gt;=$K$11,((AE110+$K$11)-$K$11)-0.5*HU_alpha/$S$11*((AE110+$K$11)-$K$11)^2,IF((AE110+$K$11)&gt;=$T$11,HU_beta*((AE110+$K$11)-$K$11),HU_beta*($T$11-$K$11)))))</f>
        <v/>
      </c>
      <c r="BD110" s="63">
        <f>IF(AND($J$12,A110=$Q$12),J110,0)</f>
        <v/>
      </c>
      <c r="BE110" s="29">
        <f>IF(OR(BD110=0,$S$12=0),0,IF((AE110+$L$12)&gt;$S$12/HU_alpha+$K$12,0.5*$S$12/HU_alpha,IF((AE110+$L$12)&gt;=$K$12,((AE110+$L$12)-$K$12)-0.5*HU_alpha/$S$12*((AE110+$L$12)-$K$12)^2,IF((AE110+$L$12)&gt;=$T$12,HU_beta*((AE110+$L$12)-$K$12),HU_beta*($T$12-$K$12)))))</f>
        <v/>
      </c>
      <c r="BF110" s="29">
        <f>IF(OR(BD110=0,$S$12=0),0,IF((AE110+$L$12+$N$12)&gt;$S$12/HU_alpha+$K$12,0.5*$S$12/HU_alpha,IF((AE110+$L$12+$N$12)&gt;=$K$12,((AE110+$L$12+$N$12)-$K$12)-0.5*HU_alpha/$S$12*((AE110+$L$12+$N$12)-$K$12)^2,IF((AE110+$L$12+$N$12)&gt;=$T$12,HU_beta*((AE110+$L$12+$N$12)-$K$12),HU_beta*($T$12-$K$12)))))</f>
        <v/>
      </c>
      <c r="BG110" s="29">
        <f>IF(OR(BD110=0,$S$12=0),0,IF((AE110+$K$12)&gt;$S$12/HU_alpha+$K$12,0.5*$S$12/HU_alpha,IF((AE110+$K$12)&gt;=$K$12,((AE110+$K$12)-$K$12)-0.5*HU_alpha/$S$12*((AE110+$K$12)-$K$12)^2,IF((AE110+$K$12)&gt;=$T$12,HU_beta*((AE110+$K$12)-$K$12),HU_beta*($T$12-$K$12)))))</f>
        <v/>
      </c>
      <c r="BH110" s="63">
        <f>IF(AND($J$13,A110=$Q$13),J110,0)</f>
        <v/>
      </c>
      <c r="BI110" s="29">
        <f>IF(OR(BH110=0,$S$13=0),0,IF((AE110+$L$13)&gt;$S$13/HU_alpha+$K$13,0.5*$S$13/HU_alpha,IF((AE110+$L$13)&gt;=$K$13,((AE110+$L$13)-$K$13)-0.5*HU_alpha/$S$13*((AE110+$L$13)-$K$13)^2,IF((AE110+$L$13)&gt;=$T$13,HU_beta*((AE110+$L$13)-$K$13),HU_beta*($T$13-$K$13)))))</f>
        <v/>
      </c>
      <c r="BJ110" s="29">
        <f>IF(OR(BH110=0,$S$13=0),0,IF((AE110+$L$13+$N$13)&gt;$S$13/HU_alpha+$K$13,0.5*$S$13/HU_alpha,IF((AE110+$L$13+$N$13)&gt;=$K$13,((AE110+$L$13+$N$13)-$K$13)-0.5*HU_alpha/$S$13*((AE110+$L$13+$N$13)-$K$13)^2,IF((AE110+$L$13+$N$13)&gt;=$T$13,HU_beta*((AE110+$L$13+$N$13)-$K$13),HU_beta*($T$13-$K$13)))))</f>
        <v/>
      </c>
      <c r="BK110" s="29">
        <f>IF(OR(BH110=0,$S$13=0),0,IF((AE110+$K$13)&gt;$S$13/HU_alpha+$K$13,0.5*$S$13/HU_alpha,IF((AE110+$K$13)&gt;=$K$13,((AE110+$K$13)-$K$13)-0.5*HU_alpha/$S$13*((AE110+$K$13)-$K$13)^2,IF((AE110+$K$13)&gt;=$T$13,HU_beta*((AE110+$K$13)-$K$13),HU_beta*($T$13-$K$13)))))</f>
        <v/>
      </c>
    </row>
    <row r="111">
      <c r="A111" s="61" t="n">
        <v>43</v>
      </c>
      <c r="B111" s="61">
        <f>HU_age+A111</f>
        <v/>
      </c>
      <c r="C111" s="52">
        <f>A111&lt;=HU_T</f>
        <v/>
      </c>
      <c r="D111" s="63">
        <f>IF(OR(A111&lt;1,A111&gt;HU_T),0,INDEX(HU_q_mort,HU_age+A111-17,HU_col))</f>
        <v/>
      </c>
      <c r="E111" s="63">
        <f>IF(OR(A111&lt;1,A111&gt;HU_T),0,INDEX(HU_q_adb,HU_age+A111-17,HU_col))</f>
        <v/>
      </c>
      <c r="F111" s="63">
        <f>IF(OR(A111&lt;1,A111&gt;HU_T),0,INDEX(HU_q_morb,HU_age+A111-17,HU_col))</f>
        <v/>
      </c>
      <c r="G111" s="63">
        <f>IF(OR(A111&lt;1,A111&gt;HU_T),0,INDEX(HU_q_ptd,HU_age+A111-17,HU_col))</f>
        <v/>
      </c>
      <c r="H111" s="63">
        <f>IF(OR(A111&lt;1,A111&gt;HU_T),0,INDEX(HU_q_dis,HU_age+A111-17,HU_col))</f>
        <v/>
      </c>
      <c r="I111" s="63">
        <f>IF(A111&gt;HU_T,0,I110*(1-D111)*(1-E111))</f>
        <v/>
      </c>
      <c r="J111" s="63">
        <f>IF(A111&gt;=HU_T,0,N(I112))</f>
        <v/>
      </c>
      <c r="K111" s="63">
        <f>K110*(1-G111)</f>
        <v/>
      </c>
      <c r="L111" s="63">
        <f>1-K111</f>
        <v/>
      </c>
      <c r="M111" s="63">
        <f>K110*G111</f>
        <v/>
      </c>
      <c r="N111" s="63">
        <f>N110*(1-H111)</f>
        <v/>
      </c>
      <c r="O111" s="63">
        <f>1-N110</f>
        <v/>
      </c>
      <c r="P111" s="63">
        <f>P110*(1-F111)</f>
        <v/>
      </c>
      <c r="Q111" s="63">
        <f>1-P110/INDEX($P$68:$P$150,MAX(1,A111-HU_ciYears))</f>
        <v/>
      </c>
      <c r="R111" s="60">
        <f>(1+inflationRate)^A111</f>
        <v/>
      </c>
      <c r="S111" s="29">
        <f>IF(OR(OR(A111&lt;1,A111&gt;HU_T),A111-1&gt;=HU_dtr),0,HU_inc0*(1+incomeGrowthRate)^A111)</f>
        <v/>
      </c>
      <c r="T111" s="60">
        <f>IF(A111&gt;HU_T,T110,T110*(1+INDEX(HU_ssG,HU_age+A111-17)))</f>
        <v/>
      </c>
      <c r="U111" s="29">
        <f>IF(AND(HU_dtr&gt;=1,A111=HU_dtr,A111&lt;=HU_T),MIN(S111*INDEX(HU_ssC,HU_age+A111-17)/(1-INDEX(HU_ssC,HU_age+A111-17)),INDEX(HU_ssCap,HU_age+A111-17))*T111,0)</f>
        <v/>
      </c>
      <c r="V111" s="29">
        <f>S111+U111+IF(AND(HU_wdOn,A111=HU_wdYear),HU_wdIncome,0)</f>
        <v/>
      </c>
      <c r="W111" s="60">
        <f>HU_ciProp*Q111+HU_tpdCut*L111+HU_disCut*O111</f>
        <v/>
      </c>
      <c r="X111" s="29">
        <f>IF(OR(A111&lt;1,A111&gt;HU_T),0,V111*(1-W111))</f>
        <v/>
      </c>
      <c r="Y111" s="29">
        <f>IF(OR(A111&lt;1,A111&gt;HU_T),0,IF(AND(HU_retExp&gt;0,A111-1&gt;=HU_dtr),HU_retExp,HU_exp0)*R111)</f>
        <v/>
      </c>
      <c r="Z111" s="29">
        <f>-Y111-IF(AND(HU_wdOn,A111=HU_wdYear),HU_wdOut,0)</f>
        <v/>
      </c>
      <c r="AA111" s="29">
        <f>IF(OR(A111&lt;1,A111&gt;HU_T),0,-HU_medCost*R111*F111-HU_tpdCost*R111*M111)</f>
        <v/>
      </c>
      <c r="AB111" s="29">
        <f>IF(A111&gt;HU_T,0,AB110*(1+interestRate)+X111+Z111+AA111)</f>
        <v/>
      </c>
      <c r="AC111" s="29">
        <f>IF(A111&gt;HU_T,0,HU_inv*EXP(HU_mu*A111))</f>
        <v/>
      </c>
      <c r="AD111" s="29">
        <f>IF(A111&gt;HU_T,0,MAX(0,AC111+AB111))</f>
        <v/>
      </c>
      <c r="AE111" s="29">
        <f>IF(A111&gt;HU_T,0,MAX(0,X111-Y111))</f>
        <v/>
      </c>
      <c r="AF111" s="63">
        <f>IF(AND($J$6,A111&gt;=1,A111&lt;=$Q$6-1),J111,0)</f>
        <v/>
      </c>
      <c r="AG111" s="29">
        <f>IF(OR(AF111=0,$S$6=0),0,IF((AD111+$L$6)&gt;$S$6/HU_alpha+$K$6,0.5*$S$6/HU_alpha,IF((AD111+$L$6)&gt;=$K$6,((AD111+$L$6)-$K$6)-0.5*HU_alpha/$S$6*((AD111+$L$6)-$K$6)^2,IF((AD111+$L$6)&gt;=$T$6,HU_beta*((AD111+$L$6)-$K$6),HU_beta*($T$6-$K$6)))))</f>
        <v/>
      </c>
      <c r="AH111" s="29">
        <f>IF(OR(AF111=0,$S$6=0),0,IF((AD111+$L$6+$N$6)&gt;$S$6/HU_alpha+$K$6,0.5*$S$6/HU_alpha,IF((AD111+$L$6+$N$6)&gt;=$K$6,((AD111+$L$6+$N$6)-$K$6)-0.5*HU_alpha/$S$6*((AD111+$L$6+$N$6)-$K$6)^2,IF((AD111+$L$6+$N$6)&gt;=$T$6,HU_beta*((AD111+$L$6+$N$6)-$K$6),HU_beta*($T$6-$K$6)))))</f>
        <v/>
      </c>
      <c r="AI111" s="29">
        <f>IF(OR(AF111=0,$S$6=0),0,IF((AD111+$K$6)&gt;$S$6/HU_alpha+$K$6,0.5*$S$6/HU_alpha,IF((AD111+$K$6)&gt;=$K$6,((AD111+$K$6)-$K$6)-0.5*HU_alpha/$S$6*((AD111+$K$6)-$K$6)^2,IF((AD111+$K$6)&gt;=$T$6,HU_beta*((AD111+$K$6)-$K$6),HU_beta*($T$6-$K$6)))))</f>
        <v/>
      </c>
      <c r="AJ111" s="63">
        <f>IF(AND($J$7,A111&gt;=1,A111&lt;=$Q$7-1),J111,0)</f>
        <v/>
      </c>
      <c r="AK111" s="29">
        <f>IF(OR(AJ111=0,$S$7=0),0,IF((AE111+$L$7)&gt;$S$7/HU_alpha+$K$7,0.5*$S$7/HU_alpha,IF((AE111+$L$7)&gt;=$K$7,((AE111+$L$7)-$K$7)-0.5*HU_alpha/$S$7*((AE111+$L$7)-$K$7)^2,IF((AE111+$L$7)&gt;=$T$7,HU_beta*((AE111+$L$7)-$K$7),HU_beta*($T$7-$K$7)))))</f>
        <v/>
      </c>
      <c r="AL111" s="29">
        <f>IF(OR(AJ111=0,$S$7=0),0,IF((AE111+$L$7+$N$7)&gt;$S$7/HU_alpha+$K$7,0.5*$S$7/HU_alpha,IF((AE111+$L$7+$N$7)&gt;=$K$7,((AE111+$L$7+$N$7)-$K$7)-0.5*HU_alpha/$S$7*((AE111+$L$7+$N$7)-$K$7)^2,IF((AE111+$L$7+$N$7)&gt;=$T$7,HU_beta*((AE111+$L$7+$N$7)-$K$7),HU_beta*($T$7-$K$7)))))</f>
        <v/>
      </c>
      <c r="AM111" s="29">
        <f>IF(OR(AJ111=0,$S$7=0),0,IF((AE111+$K$7)&gt;$S$7/HU_alpha+$K$7,0.5*$S$7/HU_alpha,IF((AE111+$K$7)&gt;=$K$7,((AE111+$K$7)-$K$7)-0.5*HU_alpha/$S$7*((AE111+$K$7)-$K$7)^2,IF((AE111+$K$7)&gt;=$T$7,HU_beta*((AE111+$K$7)-$K$7),HU_beta*($T$7-$K$7)))))</f>
        <v/>
      </c>
      <c r="AN111" s="63">
        <f>IF(AND($J$8,A111&gt;=1,A111&lt;=$Q$8-1),J111,0)</f>
        <v/>
      </c>
      <c r="AO111" s="29">
        <f>IF(OR(AN111=0,$S$8=0),0,IF((AE111+$L$8)&gt;$S$8/HU_alpha+$K$8,0.5*$S$8/HU_alpha,IF((AE111+$L$8)&gt;=$K$8,((AE111+$L$8)-$K$8)-0.5*HU_alpha/$S$8*((AE111+$L$8)-$K$8)^2,IF((AE111+$L$8)&gt;=$T$8,HU_beta*((AE111+$L$8)-$K$8),HU_beta*($T$8-$K$8)))))</f>
        <v/>
      </c>
      <c r="AP111" s="29">
        <f>IF(OR(AN111=0,$S$8=0),0,IF((AE111+$L$8+$N$8)&gt;$S$8/HU_alpha+$K$8,0.5*$S$8/HU_alpha,IF((AE111+$L$8+$N$8)&gt;=$K$8,((AE111+$L$8+$N$8)-$K$8)-0.5*HU_alpha/$S$8*((AE111+$L$8+$N$8)-$K$8)^2,IF((AE111+$L$8+$N$8)&gt;=$T$8,HU_beta*((AE111+$L$8+$N$8)-$K$8),HU_beta*($T$8-$K$8)))))</f>
        <v/>
      </c>
      <c r="AQ111" s="29">
        <f>IF(OR(AN111=0,$S$8=0),0,IF((AE111+$K$8)&gt;$S$8/HU_alpha+$K$8,0.5*$S$8/HU_alpha,IF((AE111+$K$8)&gt;=$K$8,((AE111+$K$8)-$K$8)-0.5*HU_alpha/$S$8*((AE111+$K$8)-$K$8)^2,IF((AE111+$K$8)&gt;=$T$8,HU_beta*((AE111+$K$8)-$K$8),HU_beta*($T$8-$K$8)))))</f>
        <v/>
      </c>
      <c r="AR111" s="63">
        <f>IF(AND($J$9,A111&gt;=1,A111&lt;=$Q$9-1),J111,0)</f>
        <v/>
      </c>
      <c r="AS111" s="29">
        <f>IF(OR(AR111=0,$S$9=0),0,IF((AE111+$L$9)&gt;$S$9/HU_alpha+$K$9,0.5*$S$9/HU_alpha,IF((AE111+$L$9)&gt;=$K$9,((AE111+$L$9)-$K$9)-0.5*HU_alpha/$S$9*((AE111+$L$9)-$K$9)^2,IF((AE111+$L$9)&gt;=$T$9,HU_beta*((AE111+$L$9)-$K$9),HU_beta*($T$9-$K$9)))))</f>
        <v/>
      </c>
      <c r="AT111" s="29">
        <f>IF(OR(AR111=0,$S$9=0),0,IF((AE111+$L$9+$N$9)&gt;$S$9/HU_alpha+$K$9,0.5*$S$9/HU_alpha,IF((AE111+$L$9+$N$9)&gt;=$K$9,((AE111+$L$9+$N$9)-$K$9)-0.5*HU_alpha/$S$9*((AE111+$L$9+$N$9)-$K$9)^2,IF((AE111+$L$9+$N$9)&gt;=$T$9,HU_beta*((AE111+$L$9+$N$9)-$K$9),HU_beta*($T$9-$K$9)))))</f>
        <v/>
      </c>
      <c r="AU111" s="29">
        <f>IF(OR(AR111=0,$S$9=0),0,IF((AE111+$K$9)&gt;$S$9/HU_alpha+$K$9,0.5*$S$9/HU_alpha,IF((AE111+$K$9)&gt;=$K$9,((AE111+$K$9)-$K$9)-0.5*HU_alpha/$S$9*((AE111+$K$9)-$K$9)^2,IF((AE111+$K$9)&gt;=$T$9,HU_beta*((AE111+$K$9)-$K$9),HU_beta*($T$9-$K$9)))))</f>
        <v/>
      </c>
      <c r="AV111" s="63">
        <f>IF(AND($J$10,A111=$Q$10),J111,0)</f>
        <v/>
      </c>
      <c r="AW111" s="29">
        <f>IF(OR(AV111=0,$S$10=0),0,IF((AD111+$L$10)&gt;$S$10/HU_alpha+$K$10,0.5*$S$10/HU_alpha,IF((AD111+$L$10)&gt;=$K$10,((AD111+$L$10)-$K$10)-0.5*HU_alpha/$S$10*((AD111+$L$10)-$K$10)^2,IF((AD111+$L$10)&gt;=$T$10,HU_beta*((AD111+$L$10)-$K$10),HU_beta*($T$10-$K$10)))))</f>
        <v/>
      </c>
      <c r="AX111" s="29">
        <f>IF(OR(AV111=0,$S$10=0),0,IF((AD111+$L$10+$N$10)&gt;$S$10/HU_alpha+$K$10,0.5*$S$10/HU_alpha,IF((AD111+$L$10+$N$10)&gt;=$K$10,((AD111+$L$10+$N$10)-$K$10)-0.5*HU_alpha/$S$10*((AD111+$L$10+$N$10)-$K$10)^2,IF((AD111+$L$10+$N$10)&gt;=$T$10,HU_beta*((AD111+$L$10+$N$10)-$K$10),HU_beta*($T$10-$K$10)))))</f>
        <v/>
      </c>
      <c r="AY111" s="29">
        <f>IF(OR(AV111=0,$S$10=0),0,IF((AD111+$K$10)&gt;$S$10/HU_alpha+$K$10,0.5*$S$10/HU_alpha,IF((AD111+$K$10)&gt;=$K$10,((AD111+$K$10)-$K$10)-0.5*HU_alpha/$S$10*((AD111+$K$10)-$K$10)^2,IF((AD111+$K$10)&gt;=$T$10,HU_beta*((AD111+$K$10)-$K$10),HU_beta*($T$10-$K$10)))))</f>
        <v/>
      </c>
      <c r="AZ111" s="63">
        <f>IF(AND($J$11,A111=$Q$11),J111,0)</f>
        <v/>
      </c>
      <c r="BA111" s="29">
        <f>IF(OR(AZ111=0,$S$11=0),0,IF((AE111+$L$11)&gt;$S$11/HU_alpha+$K$11,0.5*$S$11/HU_alpha,IF((AE111+$L$11)&gt;=$K$11,((AE111+$L$11)-$K$11)-0.5*HU_alpha/$S$11*((AE111+$L$11)-$K$11)^2,IF((AE111+$L$11)&gt;=$T$11,HU_beta*((AE111+$L$11)-$K$11),HU_beta*($T$11-$K$11)))))</f>
        <v/>
      </c>
      <c r="BB111" s="29">
        <f>IF(OR(AZ111=0,$S$11=0),0,IF((AE111+$L$11+$N$11)&gt;$S$11/HU_alpha+$K$11,0.5*$S$11/HU_alpha,IF((AE111+$L$11+$N$11)&gt;=$K$11,((AE111+$L$11+$N$11)-$K$11)-0.5*HU_alpha/$S$11*((AE111+$L$11+$N$11)-$K$11)^2,IF((AE111+$L$11+$N$11)&gt;=$T$11,HU_beta*((AE111+$L$11+$N$11)-$K$11),HU_beta*($T$11-$K$11)))))</f>
        <v/>
      </c>
      <c r="BC111" s="29">
        <f>IF(OR(AZ111=0,$S$11=0),0,IF((AE111+$K$11)&gt;$S$11/HU_alpha+$K$11,0.5*$S$11/HU_alpha,IF((AE111+$K$11)&gt;=$K$11,((AE111+$K$11)-$K$11)-0.5*HU_alpha/$S$11*((AE111+$K$11)-$K$11)^2,IF((AE111+$K$11)&gt;=$T$11,HU_beta*((AE111+$K$11)-$K$11),HU_beta*($T$11-$K$11)))))</f>
        <v/>
      </c>
      <c r="BD111" s="63">
        <f>IF(AND($J$12,A111=$Q$12),J111,0)</f>
        <v/>
      </c>
      <c r="BE111" s="29">
        <f>IF(OR(BD111=0,$S$12=0),0,IF((AE111+$L$12)&gt;$S$12/HU_alpha+$K$12,0.5*$S$12/HU_alpha,IF((AE111+$L$12)&gt;=$K$12,((AE111+$L$12)-$K$12)-0.5*HU_alpha/$S$12*((AE111+$L$12)-$K$12)^2,IF((AE111+$L$12)&gt;=$T$12,HU_beta*((AE111+$L$12)-$K$12),HU_beta*($T$12-$K$12)))))</f>
        <v/>
      </c>
      <c r="BF111" s="29">
        <f>IF(OR(BD111=0,$S$12=0),0,IF((AE111+$L$12+$N$12)&gt;$S$12/HU_alpha+$K$12,0.5*$S$12/HU_alpha,IF((AE111+$L$12+$N$12)&gt;=$K$12,((AE111+$L$12+$N$12)-$K$12)-0.5*HU_alpha/$S$12*((AE111+$L$12+$N$12)-$K$12)^2,IF((AE111+$L$12+$N$12)&gt;=$T$12,HU_beta*((AE111+$L$12+$N$12)-$K$12),HU_beta*($T$12-$K$12)))))</f>
        <v/>
      </c>
      <c r="BG111" s="29">
        <f>IF(OR(BD111=0,$S$12=0),0,IF((AE111+$K$12)&gt;$S$12/HU_alpha+$K$12,0.5*$S$12/HU_alpha,IF((AE111+$K$12)&gt;=$K$12,((AE111+$K$12)-$K$12)-0.5*HU_alpha/$S$12*((AE111+$K$12)-$K$12)^2,IF((AE111+$K$12)&gt;=$T$12,HU_beta*((AE111+$K$12)-$K$12),HU_beta*($T$12-$K$12)))))</f>
        <v/>
      </c>
      <c r="BH111" s="63">
        <f>IF(AND($J$13,A111=$Q$13),J111,0)</f>
        <v/>
      </c>
      <c r="BI111" s="29">
        <f>IF(OR(BH111=0,$S$13=0),0,IF((AE111+$L$13)&gt;$S$13/HU_alpha+$K$13,0.5*$S$13/HU_alpha,IF((AE111+$L$13)&gt;=$K$13,((AE111+$L$13)-$K$13)-0.5*HU_alpha/$S$13*((AE111+$L$13)-$K$13)^2,IF((AE111+$L$13)&gt;=$T$13,HU_beta*((AE111+$L$13)-$K$13),HU_beta*($T$13-$K$13)))))</f>
        <v/>
      </c>
      <c r="BJ111" s="29">
        <f>IF(OR(BH111=0,$S$13=0),0,IF((AE111+$L$13+$N$13)&gt;$S$13/HU_alpha+$K$13,0.5*$S$13/HU_alpha,IF((AE111+$L$13+$N$13)&gt;=$K$13,((AE111+$L$13+$N$13)-$K$13)-0.5*HU_alpha/$S$13*((AE111+$L$13+$N$13)-$K$13)^2,IF((AE111+$L$13+$N$13)&gt;=$T$13,HU_beta*((AE111+$L$13+$N$13)-$K$13),HU_beta*($T$13-$K$13)))))</f>
        <v/>
      </c>
      <c r="BK111" s="29">
        <f>IF(OR(BH111=0,$S$13=0),0,IF((AE111+$K$13)&gt;$S$13/HU_alpha+$K$13,0.5*$S$13/HU_alpha,IF((AE111+$K$13)&gt;=$K$13,((AE111+$K$13)-$K$13)-0.5*HU_alpha/$S$13*((AE111+$K$13)-$K$13)^2,IF((AE111+$K$13)&gt;=$T$13,HU_beta*((AE111+$K$13)-$K$13),HU_beta*($T$13-$K$13)))))</f>
        <v/>
      </c>
    </row>
    <row r="112">
      <c r="A112" s="61" t="n">
        <v>44</v>
      </c>
      <c r="B112" s="61">
        <f>HU_age+A112</f>
        <v/>
      </c>
      <c r="C112" s="52">
        <f>A112&lt;=HU_T</f>
        <v/>
      </c>
      <c r="D112" s="63">
        <f>IF(OR(A112&lt;1,A112&gt;HU_T),0,INDEX(HU_q_mort,HU_age+A112-17,HU_col))</f>
        <v/>
      </c>
      <c r="E112" s="63">
        <f>IF(OR(A112&lt;1,A112&gt;HU_T),0,INDEX(HU_q_adb,HU_age+A112-17,HU_col))</f>
        <v/>
      </c>
      <c r="F112" s="63">
        <f>IF(OR(A112&lt;1,A112&gt;HU_T),0,INDEX(HU_q_morb,HU_age+A112-17,HU_col))</f>
        <v/>
      </c>
      <c r="G112" s="63">
        <f>IF(OR(A112&lt;1,A112&gt;HU_T),0,INDEX(HU_q_ptd,HU_age+A112-17,HU_col))</f>
        <v/>
      </c>
      <c r="H112" s="63">
        <f>IF(OR(A112&lt;1,A112&gt;HU_T),0,INDEX(HU_q_dis,HU_age+A112-17,HU_col))</f>
        <v/>
      </c>
      <c r="I112" s="63">
        <f>IF(A112&gt;HU_T,0,I111*(1-D112)*(1-E112))</f>
        <v/>
      </c>
      <c r="J112" s="63">
        <f>IF(A112&gt;=HU_T,0,N(I113))</f>
        <v/>
      </c>
      <c r="K112" s="63">
        <f>K111*(1-G112)</f>
        <v/>
      </c>
      <c r="L112" s="63">
        <f>1-K112</f>
        <v/>
      </c>
      <c r="M112" s="63">
        <f>K111*G112</f>
        <v/>
      </c>
      <c r="N112" s="63">
        <f>N111*(1-H112)</f>
        <v/>
      </c>
      <c r="O112" s="63">
        <f>1-N111</f>
        <v/>
      </c>
      <c r="P112" s="63">
        <f>P111*(1-F112)</f>
        <v/>
      </c>
      <c r="Q112" s="63">
        <f>1-P111/INDEX($P$68:$P$150,MAX(1,A112-HU_ciYears))</f>
        <v/>
      </c>
      <c r="R112" s="60">
        <f>(1+inflationRate)^A112</f>
        <v/>
      </c>
      <c r="S112" s="29">
        <f>IF(OR(OR(A112&lt;1,A112&gt;HU_T),A112-1&gt;=HU_dtr),0,HU_inc0*(1+incomeGrowthRate)^A112)</f>
        <v/>
      </c>
      <c r="T112" s="60">
        <f>IF(A112&gt;HU_T,T111,T111*(1+INDEX(HU_ssG,HU_age+A112-17)))</f>
        <v/>
      </c>
      <c r="U112" s="29">
        <f>IF(AND(HU_dtr&gt;=1,A112=HU_dtr,A112&lt;=HU_T),MIN(S112*INDEX(HU_ssC,HU_age+A112-17)/(1-INDEX(HU_ssC,HU_age+A112-17)),INDEX(HU_ssCap,HU_age+A112-17))*T112,0)</f>
        <v/>
      </c>
      <c r="V112" s="29">
        <f>S112+U112+IF(AND(HU_wdOn,A112=HU_wdYear),HU_wdIncome,0)</f>
        <v/>
      </c>
      <c r="W112" s="60">
        <f>HU_ciProp*Q112+HU_tpdCut*L112+HU_disCut*O112</f>
        <v/>
      </c>
      <c r="X112" s="29">
        <f>IF(OR(A112&lt;1,A112&gt;HU_T),0,V112*(1-W112))</f>
        <v/>
      </c>
      <c r="Y112" s="29">
        <f>IF(OR(A112&lt;1,A112&gt;HU_T),0,IF(AND(HU_retExp&gt;0,A112-1&gt;=HU_dtr),HU_retExp,HU_exp0)*R112)</f>
        <v/>
      </c>
      <c r="Z112" s="29">
        <f>-Y112-IF(AND(HU_wdOn,A112=HU_wdYear),HU_wdOut,0)</f>
        <v/>
      </c>
      <c r="AA112" s="29">
        <f>IF(OR(A112&lt;1,A112&gt;HU_T),0,-HU_medCost*R112*F112-HU_tpdCost*R112*M112)</f>
        <v/>
      </c>
      <c r="AB112" s="29">
        <f>IF(A112&gt;HU_T,0,AB111*(1+interestRate)+X112+Z112+AA112)</f>
        <v/>
      </c>
      <c r="AC112" s="29">
        <f>IF(A112&gt;HU_T,0,HU_inv*EXP(HU_mu*A112))</f>
        <v/>
      </c>
      <c r="AD112" s="29">
        <f>IF(A112&gt;HU_T,0,MAX(0,AC112+AB112))</f>
        <v/>
      </c>
      <c r="AE112" s="29">
        <f>IF(A112&gt;HU_T,0,MAX(0,X112-Y112))</f>
        <v/>
      </c>
      <c r="AF112" s="63">
        <f>IF(AND($J$6,A112&gt;=1,A112&lt;=$Q$6-1),J112,0)</f>
        <v/>
      </c>
      <c r="AG112" s="29">
        <f>IF(OR(AF112=0,$S$6=0),0,IF((AD112+$L$6)&gt;$S$6/HU_alpha+$K$6,0.5*$S$6/HU_alpha,IF((AD112+$L$6)&gt;=$K$6,((AD112+$L$6)-$K$6)-0.5*HU_alpha/$S$6*((AD112+$L$6)-$K$6)^2,IF((AD112+$L$6)&gt;=$T$6,HU_beta*((AD112+$L$6)-$K$6),HU_beta*($T$6-$K$6)))))</f>
        <v/>
      </c>
      <c r="AH112" s="29">
        <f>IF(OR(AF112=0,$S$6=0),0,IF((AD112+$L$6+$N$6)&gt;$S$6/HU_alpha+$K$6,0.5*$S$6/HU_alpha,IF((AD112+$L$6+$N$6)&gt;=$K$6,((AD112+$L$6+$N$6)-$K$6)-0.5*HU_alpha/$S$6*((AD112+$L$6+$N$6)-$K$6)^2,IF((AD112+$L$6+$N$6)&gt;=$T$6,HU_beta*((AD112+$L$6+$N$6)-$K$6),HU_beta*($T$6-$K$6)))))</f>
        <v/>
      </c>
      <c r="AI112" s="29">
        <f>IF(OR(AF112=0,$S$6=0),0,IF((AD112+$K$6)&gt;$S$6/HU_alpha+$K$6,0.5*$S$6/HU_alpha,IF((AD112+$K$6)&gt;=$K$6,((AD112+$K$6)-$K$6)-0.5*HU_alpha/$S$6*((AD112+$K$6)-$K$6)^2,IF((AD112+$K$6)&gt;=$T$6,HU_beta*((AD112+$K$6)-$K$6),HU_beta*($T$6-$K$6)))))</f>
        <v/>
      </c>
      <c r="AJ112" s="63">
        <f>IF(AND($J$7,A112&gt;=1,A112&lt;=$Q$7-1),J112,0)</f>
        <v/>
      </c>
      <c r="AK112" s="29">
        <f>IF(OR(AJ112=0,$S$7=0),0,IF((AE112+$L$7)&gt;$S$7/HU_alpha+$K$7,0.5*$S$7/HU_alpha,IF((AE112+$L$7)&gt;=$K$7,((AE112+$L$7)-$K$7)-0.5*HU_alpha/$S$7*((AE112+$L$7)-$K$7)^2,IF((AE112+$L$7)&gt;=$T$7,HU_beta*((AE112+$L$7)-$K$7),HU_beta*($T$7-$K$7)))))</f>
        <v/>
      </c>
      <c r="AL112" s="29">
        <f>IF(OR(AJ112=0,$S$7=0),0,IF((AE112+$L$7+$N$7)&gt;$S$7/HU_alpha+$K$7,0.5*$S$7/HU_alpha,IF((AE112+$L$7+$N$7)&gt;=$K$7,((AE112+$L$7+$N$7)-$K$7)-0.5*HU_alpha/$S$7*((AE112+$L$7+$N$7)-$K$7)^2,IF((AE112+$L$7+$N$7)&gt;=$T$7,HU_beta*((AE112+$L$7+$N$7)-$K$7),HU_beta*($T$7-$K$7)))))</f>
        <v/>
      </c>
      <c r="AM112" s="29">
        <f>IF(OR(AJ112=0,$S$7=0),0,IF((AE112+$K$7)&gt;$S$7/HU_alpha+$K$7,0.5*$S$7/HU_alpha,IF((AE112+$K$7)&gt;=$K$7,((AE112+$K$7)-$K$7)-0.5*HU_alpha/$S$7*((AE112+$K$7)-$K$7)^2,IF((AE112+$K$7)&gt;=$T$7,HU_beta*((AE112+$K$7)-$K$7),HU_beta*($T$7-$K$7)))))</f>
        <v/>
      </c>
      <c r="AN112" s="63">
        <f>IF(AND($J$8,A112&gt;=1,A112&lt;=$Q$8-1),J112,0)</f>
        <v/>
      </c>
      <c r="AO112" s="29">
        <f>IF(OR(AN112=0,$S$8=0),0,IF((AE112+$L$8)&gt;$S$8/HU_alpha+$K$8,0.5*$S$8/HU_alpha,IF((AE112+$L$8)&gt;=$K$8,((AE112+$L$8)-$K$8)-0.5*HU_alpha/$S$8*((AE112+$L$8)-$K$8)^2,IF((AE112+$L$8)&gt;=$T$8,HU_beta*((AE112+$L$8)-$K$8),HU_beta*($T$8-$K$8)))))</f>
        <v/>
      </c>
      <c r="AP112" s="29">
        <f>IF(OR(AN112=0,$S$8=0),0,IF((AE112+$L$8+$N$8)&gt;$S$8/HU_alpha+$K$8,0.5*$S$8/HU_alpha,IF((AE112+$L$8+$N$8)&gt;=$K$8,((AE112+$L$8+$N$8)-$K$8)-0.5*HU_alpha/$S$8*((AE112+$L$8+$N$8)-$K$8)^2,IF((AE112+$L$8+$N$8)&gt;=$T$8,HU_beta*((AE112+$L$8+$N$8)-$K$8),HU_beta*($T$8-$K$8)))))</f>
        <v/>
      </c>
      <c r="AQ112" s="29">
        <f>IF(OR(AN112=0,$S$8=0),0,IF((AE112+$K$8)&gt;$S$8/HU_alpha+$K$8,0.5*$S$8/HU_alpha,IF((AE112+$K$8)&gt;=$K$8,((AE112+$K$8)-$K$8)-0.5*HU_alpha/$S$8*((AE112+$K$8)-$K$8)^2,IF((AE112+$K$8)&gt;=$T$8,HU_beta*((AE112+$K$8)-$K$8),HU_beta*($T$8-$K$8)))))</f>
        <v/>
      </c>
      <c r="AR112" s="63">
        <f>IF(AND($J$9,A112&gt;=1,A112&lt;=$Q$9-1),J112,0)</f>
        <v/>
      </c>
      <c r="AS112" s="29">
        <f>IF(OR(AR112=0,$S$9=0),0,IF((AE112+$L$9)&gt;$S$9/HU_alpha+$K$9,0.5*$S$9/HU_alpha,IF((AE112+$L$9)&gt;=$K$9,((AE112+$L$9)-$K$9)-0.5*HU_alpha/$S$9*((AE112+$L$9)-$K$9)^2,IF((AE112+$L$9)&gt;=$T$9,HU_beta*((AE112+$L$9)-$K$9),HU_beta*($T$9-$K$9)))))</f>
        <v/>
      </c>
      <c r="AT112" s="29">
        <f>IF(OR(AR112=0,$S$9=0),0,IF((AE112+$L$9+$N$9)&gt;$S$9/HU_alpha+$K$9,0.5*$S$9/HU_alpha,IF((AE112+$L$9+$N$9)&gt;=$K$9,((AE112+$L$9+$N$9)-$K$9)-0.5*HU_alpha/$S$9*((AE112+$L$9+$N$9)-$K$9)^2,IF((AE112+$L$9+$N$9)&gt;=$T$9,HU_beta*((AE112+$L$9+$N$9)-$K$9),HU_beta*($T$9-$K$9)))))</f>
        <v/>
      </c>
      <c r="AU112" s="29">
        <f>IF(OR(AR112=0,$S$9=0),0,IF((AE112+$K$9)&gt;$S$9/HU_alpha+$K$9,0.5*$S$9/HU_alpha,IF((AE112+$K$9)&gt;=$K$9,((AE112+$K$9)-$K$9)-0.5*HU_alpha/$S$9*((AE112+$K$9)-$K$9)^2,IF((AE112+$K$9)&gt;=$T$9,HU_beta*((AE112+$K$9)-$K$9),HU_beta*($T$9-$K$9)))))</f>
        <v/>
      </c>
      <c r="AV112" s="63">
        <f>IF(AND($J$10,A112=$Q$10),J112,0)</f>
        <v/>
      </c>
      <c r="AW112" s="29">
        <f>IF(OR(AV112=0,$S$10=0),0,IF((AD112+$L$10)&gt;$S$10/HU_alpha+$K$10,0.5*$S$10/HU_alpha,IF((AD112+$L$10)&gt;=$K$10,((AD112+$L$10)-$K$10)-0.5*HU_alpha/$S$10*((AD112+$L$10)-$K$10)^2,IF((AD112+$L$10)&gt;=$T$10,HU_beta*((AD112+$L$10)-$K$10),HU_beta*($T$10-$K$10)))))</f>
        <v/>
      </c>
      <c r="AX112" s="29">
        <f>IF(OR(AV112=0,$S$10=0),0,IF((AD112+$L$10+$N$10)&gt;$S$10/HU_alpha+$K$10,0.5*$S$10/HU_alpha,IF((AD112+$L$10+$N$10)&gt;=$K$10,((AD112+$L$10+$N$10)-$K$10)-0.5*HU_alpha/$S$10*((AD112+$L$10+$N$10)-$K$10)^2,IF((AD112+$L$10+$N$10)&gt;=$T$10,HU_beta*((AD112+$L$10+$N$10)-$K$10),HU_beta*($T$10-$K$10)))))</f>
        <v/>
      </c>
      <c r="AY112" s="29">
        <f>IF(OR(AV112=0,$S$10=0),0,IF((AD112+$K$10)&gt;$S$10/HU_alpha+$K$10,0.5*$S$10/HU_alpha,IF((AD112+$K$10)&gt;=$K$10,((AD112+$K$10)-$K$10)-0.5*HU_alpha/$S$10*((AD112+$K$10)-$K$10)^2,IF((AD112+$K$10)&gt;=$T$10,HU_beta*((AD112+$K$10)-$K$10),HU_beta*($T$10-$K$10)))))</f>
        <v/>
      </c>
      <c r="AZ112" s="63">
        <f>IF(AND($J$11,A112=$Q$11),J112,0)</f>
        <v/>
      </c>
      <c r="BA112" s="29">
        <f>IF(OR(AZ112=0,$S$11=0),0,IF((AE112+$L$11)&gt;$S$11/HU_alpha+$K$11,0.5*$S$11/HU_alpha,IF((AE112+$L$11)&gt;=$K$11,((AE112+$L$11)-$K$11)-0.5*HU_alpha/$S$11*((AE112+$L$11)-$K$11)^2,IF((AE112+$L$11)&gt;=$T$11,HU_beta*((AE112+$L$11)-$K$11),HU_beta*($T$11-$K$11)))))</f>
        <v/>
      </c>
      <c r="BB112" s="29">
        <f>IF(OR(AZ112=0,$S$11=0),0,IF((AE112+$L$11+$N$11)&gt;$S$11/HU_alpha+$K$11,0.5*$S$11/HU_alpha,IF((AE112+$L$11+$N$11)&gt;=$K$11,((AE112+$L$11+$N$11)-$K$11)-0.5*HU_alpha/$S$11*((AE112+$L$11+$N$11)-$K$11)^2,IF((AE112+$L$11+$N$11)&gt;=$T$11,HU_beta*((AE112+$L$11+$N$11)-$K$11),HU_beta*($T$11-$K$11)))))</f>
        <v/>
      </c>
      <c r="BC112" s="29">
        <f>IF(OR(AZ112=0,$S$11=0),0,IF((AE112+$K$11)&gt;$S$11/HU_alpha+$K$11,0.5*$S$11/HU_alpha,IF((AE112+$K$11)&gt;=$K$11,((AE112+$K$11)-$K$11)-0.5*HU_alpha/$S$11*((AE112+$K$11)-$K$11)^2,IF((AE112+$K$11)&gt;=$T$11,HU_beta*((AE112+$K$11)-$K$11),HU_beta*($T$11-$K$11)))))</f>
        <v/>
      </c>
      <c r="BD112" s="63">
        <f>IF(AND($J$12,A112=$Q$12),J112,0)</f>
        <v/>
      </c>
      <c r="BE112" s="29">
        <f>IF(OR(BD112=0,$S$12=0),0,IF((AE112+$L$12)&gt;$S$12/HU_alpha+$K$12,0.5*$S$12/HU_alpha,IF((AE112+$L$12)&gt;=$K$12,((AE112+$L$12)-$K$12)-0.5*HU_alpha/$S$12*((AE112+$L$12)-$K$12)^2,IF((AE112+$L$12)&gt;=$T$12,HU_beta*((AE112+$L$12)-$K$12),HU_beta*($T$12-$K$12)))))</f>
        <v/>
      </c>
      <c r="BF112" s="29">
        <f>IF(OR(BD112=0,$S$12=0),0,IF((AE112+$L$12+$N$12)&gt;$S$12/HU_alpha+$K$12,0.5*$S$12/HU_alpha,IF((AE112+$L$12+$N$12)&gt;=$K$12,((AE112+$L$12+$N$12)-$K$12)-0.5*HU_alpha/$S$12*((AE112+$L$12+$N$12)-$K$12)^2,IF((AE112+$L$12+$N$12)&gt;=$T$12,HU_beta*((AE112+$L$12+$N$12)-$K$12),HU_beta*($T$12-$K$12)))))</f>
        <v/>
      </c>
      <c r="BG112" s="29">
        <f>IF(OR(BD112=0,$S$12=0),0,IF((AE112+$K$12)&gt;$S$12/HU_alpha+$K$12,0.5*$S$12/HU_alpha,IF((AE112+$K$12)&gt;=$K$12,((AE112+$K$12)-$K$12)-0.5*HU_alpha/$S$12*((AE112+$K$12)-$K$12)^2,IF((AE112+$K$12)&gt;=$T$12,HU_beta*((AE112+$K$12)-$K$12),HU_beta*($T$12-$K$12)))))</f>
        <v/>
      </c>
      <c r="BH112" s="63">
        <f>IF(AND($J$13,A112=$Q$13),J112,0)</f>
        <v/>
      </c>
      <c r="BI112" s="29">
        <f>IF(OR(BH112=0,$S$13=0),0,IF((AE112+$L$13)&gt;$S$13/HU_alpha+$K$13,0.5*$S$13/HU_alpha,IF((AE112+$L$13)&gt;=$K$13,((AE112+$L$13)-$K$13)-0.5*HU_alpha/$S$13*((AE112+$L$13)-$K$13)^2,IF((AE112+$L$13)&gt;=$T$13,HU_beta*((AE112+$L$13)-$K$13),HU_beta*($T$13-$K$13)))))</f>
        <v/>
      </c>
      <c r="BJ112" s="29">
        <f>IF(OR(BH112=0,$S$13=0),0,IF((AE112+$L$13+$N$13)&gt;$S$13/HU_alpha+$K$13,0.5*$S$13/HU_alpha,IF((AE112+$L$13+$N$13)&gt;=$K$13,((AE112+$L$13+$N$13)-$K$13)-0.5*HU_alpha/$S$13*((AE112+$L$13+$N$13)-$K$13)^2,IF((AE112+$L$13+$N$13)&gt;=$T$13,HU_beta*((AE112+$L$13+$N$13)-$K$13),HU_beta*($T$13-$K$13)))))</f>
        <v/>
      </c>
      <c r="BK112" s="29">
        <f>IF(OR(BH112=0,$S$13=0),0,IF((AE112+$K$13)&gt;$S$13/HU_alpha+$K$13,0.5*$S$13/HU_alpha,IF((AE112+$K$13)&gt;=$K$13,((AE112+$K$13)-$K$13)-0.5*HU_alpha/$S$13*((AE112+$K$13)-$K$13)^2,IF((AE112+$K$13)&gt;=$T$13,HU_beta*((AE112+$K$13)-$K$13),HU_beta*($T$13-$K$13)))))</f>
        <v/>
      </c>
    </row>
    <row r="113">
      <c r="A113" s="61" t="n">
        <v>45</v>
      </c>
      <c r="B113" s="61">
        <f>HU_age+A113</f>
        <v/>
      </c>
      <c r="C113" s="52">
        <f>A113&lt;=HU_T</f>
        <v/>
      </c>
      <c r="D113" s="63">
        <f>IF(OR(A113&lt;1,A113&gt;HU_T),0,INDEX(HU_q_mort,HU_age+A113-17,HU_col))</f>
        <v/>
      </c>
      <c r="E113" s="63">
        <f>IF(OR(A113&lt;1,A113&gt;HU_T),0,INDEX(HU_q_adb,HU_age+A113-17,HU_col))</f>
        <v/>
      </c>
      <c r="F113" s="63">
        <f>IF(OR(A113&lt;1,A113&gt;HU_T),0,INDEX(HU_q_morb,HU_age+A113-17,HU_col))</f>
        <v/>
      </c>
      <c r="G113" s="63">
        <f>IF(OR(A113&lt;1,A113&gt;HU_T),0,INDEX(HU_q_ptd,HU_age+A113-17,HU_col))</f>
        <v/>
      </c>
      <c r="H113" s="63">
        <f>IF(OR(A113&lt;1,A113&gt;HU_T),0,INDEX(HU_q_dis,HU_age+A113-17,HU_col))</f>
        <v/>
      </c>
      <c r="I113" s="63">
        <f>IF(A113&gt;HU_T,0,I112*(1-D113)*(1-E113))</f>
        <v/>
      </c>
      <c r="J113" s="63">
        <f>IF(A113&gt;=HU_T,0,N(I114))</f>
        <v/>
      </c>
      <c r="K113" s="63">
        <f>K112*(1-G113)</f>
        <v/>
      </c>
      <c r="L113" s="63">
        <f>1-K113</f>
        <v/>
      </c>
      <c r="M113" s="63">
        <f>K112*G113</f>
        <v/>
      </c>
      <c r="N113" s="63">
        <f>N112*(1-H113)</f>
        <v/>
      </c>
      <c r="O113" s="63">
        <f>1-N112</f>
        <v/>
      </c>
      <c r="P113" s="63">
        <f>P112*(1-F113)</f>
        <v/>
      </c>
      <c r="Q113" s="63">
        <f>1-P112/INDEX($P$68:$P$150,MAX(1,A113-HU_ciYears))</f>
        <v/>
      </c>
      <c r="R113" s="60">
        <f>(1+inflationRate)^A113</f>
        <v/>
      </c>
      <c r="S113" s="29">
        <f>IF(OR(OR(A113&lt;1,A113&gt;HU_T),A113-1&gt;=HU_dtr),0,HU_inc0*(1+incomeGrowthRate)^A113)</f>
        <v/>
      </c>
      <c r="T113" s="60">
        <f>IF(A113&gt;HU_T,T112,T112*(1+INDEX(HU_ssG,HU_age+A113-17)))</f>
        <v/>
      </c>
      <c r="U113" s="29">
        <f>IF(AND(HU_dtr&gt;=1,A113=HU_dtr,A113&lt;=HU_T),MIN(S113*INDEX(HU_ssC,HU_age+A113-17)/(1-INDEX(HU_ssC,HU_age+A113-17)),INDEX(HU_ssCap,HU_age+A113-17))*T113,0)</f>
        <v/>
      </c>
      <c r="V113" s="29">
        <f>S113+U113+IF(AND(HU_wdOn,A113=HU_wdYear),HU_wdIncome,0)</f>
        <v/>
      </c>
      <c r="W113" s="60">
        <f>HU_ciProp*Q113+HU_tpdCut*L113+HU_disCut*O113</f>
        <v/>
      </c>
      <c r="X113" s="29">
        <f>IF(OR(A113&lt;1,A113&gt;HU_T),0,V113*(1-W113))</f>
        <v/>
      </c>
      <c r="Y113" s="29">
        <f>IF(OR(A113&lt;1,A113&gt;HU_T),0,IF(AND(HU_retExp&gt;0,A113-1&gt;=HU_dtr),HU_retExp,HU_exp0)*R113)</f>
        <v/>
      </c>
      <c r="Z113" s="29">
        <f>-Y113-IF(AND(HU_wdOn,A113=HU_wdYear),HU_wdOut,0)</f>
        <v/>
      </c>
      <c r="AA113" s="29">
        <f>IF(OR(A113&lt;1,A113&gt;HU_T),0,-HU_medCost*R113*F113-HU_tpdCost*R113*M113)</f>
        <v/>
      </c>
      <c r="AB113" s="29">
        <f>IF(A113&gt;HU_T,0,AB112*(1+interestRate)+X113+Z113+AA113)</f>
        <v/>
      </c>
      <c r="AC113" s="29">
        <f>IF(A113&gt;HU_T,0,HU_inv*EXP(HU_mu*A113))</f>
        <v/>
      </c>
      <c r="AD113" s="29">
        <f>IF(A113&gt;HU_T,0,MAX(0,AC113+AB113))</f>
        <v/>
      </c>
      <c r="AE113" s="29">
        <f>IF(A113&gt;HU_T,0,MAX(0,X113-Y113))</f>
        <v/>
      </c>
      <c r="AF113" s="63">
        <f>IF(AND($J$6,A113&gt;=1,A113&lt;=$Q$6-1),J113,0)</f>
        <v/>
      </c>
      <c r="AG113" s="29">
        <f>IF(OR(AF113=0,$S$6=0),0,IF((AD113+$L$6)&gt;$S$6/HU_alpha+$K$6,0.5*$S$6/HU_alpha,IF((AD113+$L$6)&gt;=$K$6,((AD113+$L$6)-$K$6)-0.5*HU_alpha/$S$6*((AD113+$L$6)-$K$6)^2,IF((AD113+$L$6)&gt;=$T$6,HU_beta*((AD113+$L$6)-$K$6),HU_beta*($T$6-$K$6)))))</f>
        <v/>
      </c>
      <c r="AH113" s="29">
        <f>IF(OR(AF113=0,$S$6=0),0,IF((AD113+$L$6+$N$6)&gt;$S$6/HU_alpha+$K$6,0.5*$S$6/HU_alpha,IF((AD113+$L$6+$N$6)&gt;=$K$6,((AD113+$L$6+$N$6)-$K$6)-0.5*HU_alpha/$S$6*((AD113+$L$6+$N$6)-$K$6)^2,IF((AD113+$L$6+$N$6)&gt;=$T$6,HU_beta*((AD113+$L$6+$N$6)-$K$6),HU_beta*($T$6-$K$6)))))</f>
        <v/>
      </c>
      <c r="AI113" s="29">
        <f>IF(OR(AF113=0,$S$6=0),0,IF((AD113+$K$6)&gt;$S$6/HU_alpha+$K$6,0.5*$S$6/HU_alpha,IF((AD113+$K$6)&gt;=$K$6,((AD113+$K$6)-$K$6)-0.5*HU_alpha/$S$6*((AD113+$K$6)-$K$6)^2,IF((AD113+$K$6)&gt;=$T$6,HU_beta*((AD113+$K$6)-$K$6),HU_beta*($T$6-$K$6)))))</f>
        <v/>
      </c>
      <c r="AJ113" s="63">
        <f>IF(AND($J$7,A113&gt;=1,A113&lt;=$Q$7-1),J113,0)</f>
        <v/>
      </c>
      <c r="AK113" s="29">
        <f>IF(OR(AJ113=0,$S$7=0),0,IF((AE113+$L$7)&gt;$S$7/HU_alpha+$K$7,0.5*$S$7/HU_alpha,IF((AE113+$L$7)&gt;=$K$7,((AE113+$L$7)-$K$7)-0.5*HU_alpha/$S$7*((AE113+$L$7)-$K$7)^2,IF((AE113+$L$7)&gt;=$T$7,HU_beta*((AE113+$L$7)-$K$7),HU_beta*($T$7-$K$7)))))</f>
        <v/>
      </c>
      <c r="AL113" s="29">
        <f>IF(OR(AJ113=0,$S$7=0),0,IF((AE113+$L$7+$N$7)&gt;$S$7/HU_alpha+$K$7,0.5*$S$7/HU_alpha,IF((AE113+$L$7+$N$7)&gt;=$K$7,((AE113+$L$7+$N$7)-$K$7)-0.5*HU_alpha/$S$7*((AE113+$L$7+$N$7)-$K$7)^2,IF((AE113+$L$7+$N$7)&gt;=$T$7,HU_beta*((AE113+$L$7+$N$7)-$K$7),HU_beta*($T$7-$K$7)))))</f>
        <v/>
      </c>
      <c r="AM113" s="29">
        <f>IF(OR(AJ113=0,$S$7=0),0,IF((AE113+$K$7)&gt;$S$7/HU_alpha+$K$7,0.5*$S$7/HU_alpha,IF((AE113+$K$7)&gt;=$K$7,((AE113+$K$7)-$K$7)-0.5*HU_alpha/$S$7*((AE113+$K$7)-$K$7)^2,IF((AE113+$K$7)&gt;=$T$7,HU_beta*((AE113+$K$7)-$K$7),HU_beta*($T$7-$K$7)))))</f>
        <v/>
      </c>
      <c r="AN113" s="63">
        <f>IF(AND($J$8,A113&gt;=1,A113&lt;=$Q$8-1),J113,0)</f>
        <v/>
      </c>
      <c r="AO113" s="29">
        <f>IF(OR(AN113=0,$S$8=0),0,IF((AE113+$L$8)&gt;$S$8/HU_alpha+$K$8,0.5*$S$8/HU_alpha,IF((AE113+$L$8)&gt;=$K$8,((AE113+$L$8)-$K$8)-0.5*HU_alpha/$S$8*((AE113+$L$8)-$K$8)^2,IF((AE113+$L$8)&gt;=$T$8,HU_beta*((AE113+$L$8)-$K$8),HU_beta*($T$8-$K$8)))))</f>
        <v/>
      </c>
      <c r="AP113" s="29">
        <f>IF(OR(AN113=0,$S$8=0),0,IF((AE113+$L$8+$N$8)&gt;$S$8/HU_alpha+$K$8,0.5*$S$8/HU_alpha,IF((AE113+$L$8+$N$8)&gt;=$K$8,((AE113+$L$8+$N$8)-$K$8)-0.5*HU_alpha/$S$8*((AE113+$L$8+$N$8)-$K$8)^2,IF((AE113+$L$8+$N$8)&gt;=$T$8,HU_beta*((AE113+$L$8+$N$8)-$K$8),HU_beta*($T$8-$K$8)))))</f>
        <v/>
      </c>
      <c r="AQ113" s="29">
        <f>IF(OR(AN113=0,$S$8=0),0,IF((AE113+$K$8)&gt;$S$8/HU_alpha+$K$8,0.5*$S$8/HU_alpha,IF((AE113+$K$8)&gt;=$K$8,((AE113+$K$8)-$K$8)-0.5*HU_alpha/$S$8*((AE113+$K$8)-$K$8)^2,IF((AE113+$K$8)&gt;=$T$8,HU_beta*((AE113+$K$8)-$K$8),HU_beta*($T$8-$K$8)))))</f>
        <v/>
      </c>
      <c r="AR113" s="63">
        <f>IF(AND($J$9,A113&gt;=1,A113&lt;=$Q$9-1),J113,0)</f>
        <v/>
      </c>
      <c r="AS113" s="29">
        <f>IF(OR(AR113=0,$S$9=0),0,IF((AE113+$L$9)&gt;$S$9/HU_alpha+$K$9,0.5*$S$9/HU_alpha,IF((AE113+$L$9)&gt;=$K$9,((AE113+$L$9)-$K$9)-0.5*HU_alpha/$S$9*((AE113+$L$9)-$K$9)^2,IF((AE113+$L$9)&gt;=$T$9,HU_beta*((AE113+$L$9)-$K$9),HU_beta*($T$9-$K$9)))))</f>
        <v/>
      </c>
      <c r="AT113" s="29">
        <f>IF(OR(AR113=0,$S$9=0),0,IF((AE113+$L$9+$N$9)&gt;$S$9/HU_alpha+$K$9,0.5*$S$9/HU_alpha,IF((AE113+$L$9+$N$9)&gt;=$K$9,((AE113+$L$9+$N$9)-$K$9)-0.5*HU_alpha/$S$9*((AE113+$L$9+$N$9)-$K$9)^2,IF((AE113+$L$9+$N$9)&gt;=$T$9,HU_beta*((AE113+$L$9+$N$9)-$K$9),HU_beta*($T$9-$K$9)))))</f>
        <v/>
      </c>
      <c r="AU113" s="29">
        <f>IF(OR(AR113=0,$S$9=0),0,IF((AE113+$K$9)&gt;$S$9/HU_alpha+$K$9,0.5*$S$9/HU_alpha,IF((AE113+$K$9)&gt;=$K$9,((AE113+$K$9)-$K$9)-0.5*HU_alpha/$S$9*((AE113+$K$9)-$K$9)^2,IF((AE113+$K$9)&gt;=$T$9,HU_beta*((AE113+$K$9)-$K$9),HU_beta*($T$9-$K$9)))))</f>
        <v/>
      </c>
      <c r="AV113" s="63">
        <f>IF(AND($J$10,A113=$Q$10),J113,0)</f>
        <v/>
      </c>
      <c r="AW113" s="29">
        <f>IF(OR(AV113=0,$S$10=0),0,IF((AD113+$L$10)&gt;$S$10/HU_alpha+$K$10,0.5*$S$10/HU_alpha,IF((AD113+$L$10)&gt;=$K$10,((AD113+$L$10)-$K$10)-0.5*HU_alpha/$S$10*((AD113+$L$10)-$K$10)^2,IF((AD113+$L$10)&gt;=$T$10,HU_beta*((AD113+$L$10)-$K$10),HU_beta*($T$10-$K$10)))))</f>
        <v/>
      </c>
      <c r="AX113" s="29">
        <f>IF(OR(AV113=0,$S$10=0),0,IF((AD113+$L$10+$N$10)&gt;$S$10/HU_alpha+$K$10,0.5*$S$10/HU_alpha,IF((AD113+$L$10+$N$10)&gt;=$K$10,((AD113+$L$10+$N$10)-$K$10)-0.5*HU_alpha/$S$10*((AD113+$L$10+$N$10)-$K$10)^2,IF((AD113+$L$10+$N$10)&gt;=$T$10,HU_beta*((AD113+$L$10+$N$10)-$K$10),HU_beta*($T$10-$K$10)))))</f>
        <v/>
      </c>
      <c r="AY113" s="29">
        <f>IF(OR(AV113=0,$S$10=0),0,IF((AD113+$K$10)&gt;$S$10/HU_alpha+$K$10,0.5*$S$10/HU_alpha,IF((AD113+$K$10)&gt;=$K$10,((AD113+$K$10)-$K$10)-0.5*HU_alpha/$S$10*((AD113+$K$10)-$K$10)^2,IF((AD113+$K$10)&gt;=$T$10,HU_beta*((AD113+$K$10)-$K$10),HU_beta*($T$10-$K$10)))))</f>
        <v/>
      </c>
      <c r="AZ113" s="63">
        <f>IF(AND($J$11,A113=$Q$11),J113,0)</f>
        <v/>
      </c>
      <c r="BA113" s="29">
        <f>IF(OR(AZ113=0,$S$11=0),0,IF((AE113+$L$11)&gt;$S$11/HU_alpha+$K$11,0.5*$S$11/HU_alpha,IF((AE113+$L$11)&gt;=$K$11,((AE113+$L$11)-$K$11)-0.5*HU_alpha/$S$11*((AE113+$L$11)-$K$11)^2,IF((AE113+$L$11)&gt;=$T$11,HU_beta*((AE113+$L$11)-$K$11),HU_beta*($T$11-$K$11)))))</f>
        <v/>
      </c>
      <c r="BB113" s="29">
        <f>IF(OR(AZ113=0,$S$11=0),0,IF((AE113+$L$11+$N$11)&gt;$S$11/HU_alpha+$K$11,0.5*$S$11/HU_alpha,IF((AE113+$L$11+$N$11)&gt;=$K$11,((AE113+$L$11+$N$11)-$K$11)-0.5*HU_alpha/$S$11*((AE113+$L$11+$N$11)-$K$11)^2,IF((AE113+$L$11+$N$11)&gt;=$T$11,HU_beta*((AE113+$L$11+$N$11)-$K$11),HU_beta*($T$11-$K$11)))))</f>
        <v/>
      </c>
      <c r="BC113" s="29">
        <f>IF(OR(AZ113=0,$S$11=0),0,IF((AE113+$K$11)&gt;$S$11/HU_alpha+$K$11,0.5*$S$11/HU_alpha,IF((AE113+$K$11)&gt;=$K$11,((AE113+$K$11)-$K$11)-0.5*HU_alpha/$S$11*((AE113+$K$11)-$K$11)^2,IF((AE113+$K$11)&gt;=$T$11,HU_beta*((AE113+$K$11)-$K$11),HU_beta*($T$11-$K$11)))))</f>
        <v/>
      </c>
      <c r="BD113" s="63">
        <f>IF(AND($J$12,A113=$Q$12),J113,0)</f>
        <v/>
      </c>
      <c r="BE113" s="29">
        <f>IF(OR(BD113=0,$S$12=0),0,IF((AE113+$L$12)&gt;$S$12/HU_alpha+$K$12,0.5*$S$12/HU_alpha,IF((AE113+$L$12)&gt;=$K$12,((AE113+$L$12)-$K$12)-0.5*HU_alpha/$S$12*((AE113+$L$12)-$K$12)^2,IF((AE113+$L$12)&gt;=$T$12,HU_beta*((AE113+$L$12)-$K$12),HU_beta*($T$12-$K$12)))))</f>
        <v/>
      </c>
      <c r="BF113" s="29">
        <f>IF(OR(BD113=0,$S$12=0),0,IF((AE113+$L$12+$N$12)&gt;$S$12/HU_alpha+$K$12,0.5*$S$12/HU_alpha,IF((AE113+$L$12+$N$12)&gt;=$K$12,((AE113+$L$12+$N$12)-$K$12)-0.5*HU_alpha/$S$12*((AE113+$L$12+$N$12)-$K$12)^2,IF((AE113+$L$12+$N$12)&gt;=$T$12,HU_beta*((AE113+$L$12+$N$12)-$K$12),HU_beta*($T$12-$K$12)))))</f>
        <v/>
      </c>
      <c r="BG113" s="29">
        <f>IF(OR(BD113=0,$S$12=0),0,IF((AE113+$K$12)&gt;$S$12/HU_alpha+$K$12,0.5*$S$12/HU_alpha,IF((AE113+$K$12)&gt;=$K$12,((AE113+$K$12)-$K$12)-0.5*HU_alpha/$S$12*((AE113+$K$12)-$K$12)^2,IF((AE113+$K$12)&gt;=$T$12,HU_beta*((AE113+$K$12)-$K$12),HU_beta*($T$12-$K$12)))))</f>
        <v/>
      </c>
      <c r="BH113" s="63">
        <f>IF(AND($J$13,A113=$Q$13),J113,0)</f>
        <v/>
      </c>
      <c r="BI113" s="29">
        <f>IF(OR(BH113=0,$S$13=0),0,IF((AE113+$L$13)&gt;$S$13/HU_alpha+$K$13,0.5*$S$13/HU_alpha,IF((AE113+$L$13)&gt;=$K$13,((AE113+$L$13)-$K$13)-0.5*HU_alpha/$S$13*((AE113+$L$13)-$K$13)^2,IF((AE113+$L$13)&gt;=$T$13,HU_beta*((AE113+$L$13)-$K$13),HU_beta*($T$13-$K$13)))))</f>
        <v/>
      </c>
      <c r="BJ113" s="29">
        <f>IF(OR(BH113=0,$S$13=0),0,IF((AE113+$L$13+$N$13)&gt;$S$13/HU_alpha+$K$13,0.5*$S$13/HU_alpha,IF((AE113+$L$13+$N$13)&gt;=$K$13,((AE113+$L$13+$N$13)-$K$13)-0.5*HU_alpha/$S$13*((AE113+$L$13+$N$13)-$K$13)^2,IF((AE113+$L$13+$N$13)&gt;=$T$13,HU_beta*((AE113+$L$13+$N$13)-$K$13),HU_beta*($T$13-$K$13)))))</f>
        <v/>
      </c>
      <c r="BK113" s="29">
        <f>IF(OR(BH113=0,$S$13=0),0,IF((AE113+$K$13)&gt;$S$13/HU_alpha+$K$13,0.5*$S$13/HU_alpha,IF((AE113+$K$13)&gt;=$K$13,((AE113+$K$13)-$K$13)-0.5*HU_alpha/$S$13*((AE113+$K$13)-$K$13)^2,IF((AE113+$K$13)&gt;=$T$13,HU_beta*((AE113+$K$13)-$K$13),HU_beta*($T$13-$K$13)))))</f>
        <v/>
      </c>
    </row>
    <row r="114">
      <c r="A114" s="61" t="n">
        <v>46</v>
      </c>
      <c r="B114" s="61">
        <f>HU_age+A114</f>
        <v/>
      </c>
      <c r="C114" s="52">
        <f>A114&lt;=HU_T</f>
        <v/>
      </c>
      <c r="D114" s="63">
        <f>IF(OR(A114&lt;1,A114&gt;HU_T),0,INDEX(HU_q_mort,HU_age+A114-17,HU_col))</f>
        <v/>
      </c>
      <c r="E114" s="63">
        <f>IF(OR(A114&lt;1,A114&gt;HU_T),0,INDEX(HU_q_adb,HU_age+A114-17,HU_col))</f>
        <v/>
      </c>
      <c r="F114" s="63">
        <f>IF(OR(A114&lt;1,A114&gt;HU_T),0,INDEX(HU_q_morb,HU_age+A114-17,HU_col))</f>
        <v/>
      </c>
      <c r="G114" s="63">
        <f>IF(OR(A114&lt;1,A114&gt;HU_T),0,INDEX(HU_q_ptd,HU_age+A114-17,HU_col))</f>
        <v/>
      </c>
      <c r="H114" s="63">
        <f>IF(OR(A114&lt;1,A114&gt;HU_T),0,INDEX(HU_q_dis,HU_age+A114-17,HU_col))</f>
        <v/>
      </c>
      <c r="I114" s="63">
        <f>IF(A114&gt;HU_T,0,I113*(1-D114)*(1-E114))</f>
        <v/>
      </c>
      <c r="J114" s="63">
        <f>IF(A114&gt;=HU_T,0,N(I115))</f>
        <v/>
      </c>
      <c r="K114" s="63">
        <f>K113*(1-G114)</f>
        <v/>
      </c>
      <c r="L114" s="63">
        <f>1-K114</f>
        <v/>
      </c>
      <c r="M114" s="63">
        <f>K113*G114</f>
        <v/>
      </c>
      <c r="N114" s="63">
        <f>N113*(1-H114)</f>
        <v/>
      </c>
      <c r="O114" s="63">
        <f>1-N113</f>
        <v/>
      </c>
      <c r="P114" s="63">
        <f>P113*(1-F114)</f>
        <v/>
      </c>
      <c r="Q114" s="63">
        <f>1-P113/INDEX($P$68:$P$150,MAX(1,A114-HU_ciYears))</f>
        <v/>
      </c>
      <c r="R114" s="60">
        <f>(1+inflationRate)^A114</f>
        <v/>
      </c>
      <c r="S114" s="29">
        <f>IF(OR(OR(A114&lt;1,A114&gt;HU_T),A114-1&gt;=HU_dtr),0,HU_inc0*(1+incomeGrowthRate)^A114)</f>
        <v/>
      </c>
      <c r="T114" s="60">
        <f>IF(A114&gt;HU_T,T113,T113*(1+INDEX(HU_ssG,HU_age+A114-17)))</f>
        <v/>
      </c>
      <c r="U114" s="29">
        <f>IF(AND(HU_dtr&gt;=1,A114=HU_dtr,A114&lt;=HU_T),MIN(S114*INDEX(HU_ssC,HU_age+A114-17)/(1-INDEX(HU_ssC,HU_age+A114-17)),INDEX(HU_ssCap,HU_age+A114-17))*T114,0)</f>
        <v/>
      </c>
      <c r="V114" s="29">
        <f>S114+U114+IF(AND(HU_wdOn,A114=HU_wdYear),HU_wdIncome,0)</f>
        <v/>
      </c>
      <c r="W114" s="60">
        <f>HU_ciProp*Q114+HU_tpdCut*L114+HU_disCut*O114</f>
        <v/>
      </c>
      <c r="X114" s="29">
        <f>IF(OR(A114&lt;1,A114&gt;HU_T),0,V114*(1-W114))</f>
        <v/>
      </c>
      <c r="Y114" s="29">
        <f>IF(OR(A114&lt;1,A114&gt;HU_T),0,IF(AND(HU_retExp&gt;0,A114-1&gt;=HU_dtr),HU_retExp,HU_exp0)*R114)</f>
        <v/>
      </c>
      <c r="Z114" s="29">
        <f>-Y114-IF(AND(HU_wdOn,A114=HU_wdYear),HU_wdOut,0)</f>
        <v/>
      </c>
      <c r="AA114" s="29">
        <f>IF(OR(A114&lt;1,A114&gt;HU_T),0,-HU_medCost*R114*F114-HU_tpdCost*R114*M114)</f>
        <v/>
      </c>
      <c r="AB114" s="29">
        <f>IF(A114&gt;HU_T,0,AB113*(1+interestRate)+X114+Z114+AA114)</f>
        <v/>
      </c>
      <c r="AC114" s="29">
        <f>IF(A114&gt;HU_T,0,HU_inv*EXP(HU_mu*A114))</f>
        <v/>
      </c>
      <c r="AD114" s="29">
        <f>IF(A114&gt;HU_T,0,MAX(0,AC114+AB114))</f>
        <v/>
      </c>
      <c r="AE114" s="29">
        <f>IF(A114&gt;HU_T,0,MAX(0,X114-Y114))</f>
        <v/>
      </c>
      <c r="AF114" s="63">
        <f>IF(AND($J$6,A114&gt;=1,A114&lt;=$Q$6-1),J114,0)</f>
        <v/>
      </c>
      <c r="AG114" s="29">
        <f>IF(OR(AF114=0,$S$6=0),0,IF((AD114+$L$6)&gt;$S$6/HU_alpha+$K$6,0.5*$S$6/HU_alpha,IF((AD114+$L$6)&gt;=$K$6,((AD114+$L$6)-$K$6)-0.5*HU_alpha/$S$6*((AD114+$L$6)-$K$6)^2,IF((AD114+$L$6)&gt;=$T$6,HU_beta*((AD114+$L$6)-$K$6),HU_beta*($T$6-$K$6)))))</f>
        <v/>
      </c>
      <c r="AH114" s="29">
        <f>IF(OR(AF114=0,$S$6=0),0,IF((AD114+$L$6+$N$6)&gt;$S$6/HU_alpha+$K$6,0.5*$S$6/HU_alpha,IF((AD114+$L$6+$N$6)&gt;=$K$6,((AD114+$L$6+$N$6)-$K$6)-0.5*HU_alpha/$S$6*((AD114+$L$6+$N$6)-$K$6)^2,IF((AD114+$L$6+$N$6)&gt;=$T$6,HU_beta*((AD114+$L$6+$N$6)-$K$6),HU_beta*($T$6-$K$6)))))</f>
        <v/>
      </c>
      <c r="AI114" s="29">
        <f>IF(OR(AF114=0,$S$6=0),0,IF((AD114+$K$6)&gt;$S$6/HU_alpha+$K$6,0.5*$S$6/HU_alpha,IF((AD114+$K$6)&gt;=$K$6,((AD114+$K$6)-$K$6)-0.5*HU_alpha/$S$6*((AD114+$K$6)-$K$6)^2,IF((AD114+$K$6)&gt;=$T$6,HU_beta*((AD114+$K$6)-$K$6),HU_beta*($T$6-$K$6)))))</f>
        <v/>
      </c>
      <c r="AJ114" s="63">
        <f>IF(AND($J$7,A114&gt;=1,A114&lt;=$Q$7-1),J114,0)</f>
        <v/>
      </c>
      <c r="AK114" s="29">
        <f>IF(OR(AJ114=0,$S$7=0),0,IF((AE114+$L$7)&gt;$S$7/HU_alpha+$K$7,0.5*$S$7/HU_alpha,IF((AE114+$L$7)&gt;=$K$7,((AE114+$L$7)-$K$7)-0.5*HU_alpha/$S$7*((AE114+$L$7)-$K$7)^2,IF((AE114+$L$7)&gt;=$T$7,HU_beta*((AE114+$L$7)-$K$7),HU_beta*($T$7-$K$7)))))</f>
        <v/>
      </c>
      <c r="AL114" s="29">
        <f>IF(OR(AJ114=0,$S$7=0),0,IF((AE114+$L$7+$N$7)&gt;$S$7/HU_alpha+$K$7,0.5*$S$7/HU_alpha,IF((AE114+$L$7+$N$7)&gt;=$K$7,((AE114+$L$7+$N$7)-$K$7)-0.5*HU_alpha/$S$7*((AE114+$L$7+$N$7)-$K$7)^2,IF((AE114+$L$7+$N$7)&gt;=$T$7,HU_beta*((AE114+$L$7+$N$7)-$K$7),HU_beta*($T$7-$K$7)))))</f>
        <v/>
      </c>
      <c r="AM114" s="29">
        <f>IF(OR(AJ114=0,$S$7=0),0,IF((AE114+$K$7)&gt;$S$7/HU_alpha+$K$7,0.5*$S$7/HU_alpha,IF((AE114+$K$7)&gt;=$K$7,((AE114+$K$7)-$K$7)-0.5*HU_alpha/$S$7*((AE114+$K$7)-$K$7)^2,IF((AE114+$K$7)&gt;=$T$7,HU_beta*((AE114+$K$7)-$K$7),HU_beta*($T$7-$K$7)))))</f>
        <v/>
      </c>
      <c r="AN114" s="63">
        <f>IF(AND($J$8,A114&gt;=1,A114&lt;=$Q$8-1),J114,0)</f>
        <v/>
      </c>
      <c r="AO114" s="29">
        <f>IF(OR(AN114=0,$S$8=0),0,IF((AE114+$L$8)&gt;$S$8/HU_alpha+$K$8,0.5*$S$8/HU_alpha,IF((AE114+$L$8)&gt;=$K$8,((AE114+$L$8)-$K$8)-0.5*HU_alpha/$S$8*((AE114+$L$8)-$K$8)^2,IF((AE114+$L$8)&gt;=$T$8,HU_beta*((AE114+$L$8)-$K$8),HU_beta*($T$8-$K$8)))))</f>
        <v/>
      </c>
      <c r="AP114" s="29">
        <f>IF(OR(AN114=0,$S$8=0),0,IF((AE114+$L$8+$N$8)&gt;$S$8/HU_alpha+$K$8,0.5*$S$8/HU_alpha,IF((AE114+$L$8+$N$8)&gt;=$K$8,((AE114+$L$8+$N$8)-$K$8)-0.5*HU_alpha/$S$8*((AE114+$L$8+$N$8)-$K$8)^2,IF((AE114+$L$8+$N$8)&gt;=$T$8,HU_beta*((AE114+$L$8+$N$8)-$K$8),HU_beta*($T$8-$K$8)))))</f>
        <v/>
      </c>
      <c r="AQ114" s="29">
        <f>IF(OR(AN114=0,$S$8=0),0,IF((AE114+$K$8)&gt;$S$8/HU_alpha+$K$8,0.5*$S$8/HU_alpha,IF((AE114+$K$8)&gt;=$K$8,((AE114+$K$8)-$K$8)-0.5*HU_alpha/$S$8*((AE114+$K$8)-$K$8)^2,IF((AE114+$K$8)&gt;=$T$8,HU_beta*((AE114+$K$8)-$K$8),HU_beta*($T$8-$K$8)))))</f>
        <v/>
      </c>
      <c r="AR114" s="63">
        <f>IF(AND($J$9,A114&gt;=1,A114&lt;=$Q$9-1),J114,0)</f>
        <v/>
      </c>
      <c r="AS114" s="29">
        <f>IF(OR(AR114=0,$S$9=0),0,IF((AE114+$L$9)&gt;$S$9/HU_alpha+$K$9,0.5*$S$9/HU_alpha,IF((AE114+$L$9)&gt;=$K$9,((AE114+$L$9)-$K$9)-0.5*HU_alpha/$S$9*((AE114+$L$9)-$K$9)^2,IF((AE114+$L$9)&gt;=$T$9,HU_beta*((AE114+$L$9)-$K$9),HU_beta*($T$9-$K$9)))))</f>
        <v/>
      </c>
      <c r="AT114" s="29">
        <f>IF(OR(AR114=0,$S$9=0),0,IF((AE114+$L$9+$N$9)&gt;$S$9/HU_alpha+$K$9,0.5*$S$9/HU_alpha,IF((AE114+$L$9+$N$9)&gt;=$K$9,((AE114+$L$9+$N$9)-$K$9)-0.5*HU_alpha/$S$9*((AE114+$L$9+$N$9)-$K$9)^2,IF((AE114+$L$9+$N$9)&gt;=$T$9,HU_beta*((AE114+$L$9+$N$9)-$K$9),HU_beta*($T$9-$K$9)))))</f>
        <v/>
      </c>
      <c r="AU114" s="29">
        <f>IF(OR(AR114=0,$S$9=0),0,IF((AE114+$K$9)&gt;$S$9/HU_alpha+$K$9,0.5*$S$9/HU_alpha,IF((AE114+$K$9)&gt;=$K$9,((AE114+$K$9)-$K$9)-0.5*HU_alpha/$S$9*((AE114+$K$9)-$K$9)^2,IF((AE114+$K$9)&gt;=$T$9,HU_beta*((AE114+$K$9)-$K$9),HU_beta*($T$9-$K$9)))))</f>
        <v/>
      </c>
      <c r="AV114" s="63">
        <f>IF(AND($J$10,A114=$Q$10),J114,0)</f>
        <v/>
      </c>
      <c r="AW114" s="29">
        <f>IF(OR(AV114=0,$S$10=0),0,IF((AD114+$L$10)&gt;$S$10/HU_alpha+$K$10,0.5*$S$10/HU_alpha,IF((AD114+$L$10)&gt;=$K$10,((AD114+$L$10)-$K$10)-0.5*HU_alpha/$S$10*((AD114+$L$10)-$K$10)^2,IF((AD114+$L$10)&gt;=$T$10,HU_beta*((AD114+$L$10)-$K$10),HU_beta*($T$10-$K$10)))))</f>
        <v/>
      </c>
      <c r="AX114" s="29">
        <f>IF(OR(AV114=0,$S$10=0),0,IF((AD114+$L$10+$N$10)&gt;$S$10/HU_alpha+$K$10,0.5*$S$10/HU_alpha,IF((AD114+$L$10+$N$10)&gt;=$K$10,((AD114+$L$10+$N$10)-$K$10)-0.5*HU_alpha/$S$10*((AD114+$L$10+$N$10)-$K$10)^2,IF((AD114+$L$10+$N$10)&gt;=$T$10,HU_beta*((AD114+$L$10+$N$10)-$K$10),HU_beta*($T$10-$K$10)))))</f>
        <v/>
      </c>
      <c r="AY114" s="29">
        <f>IF(OR(AV114=0,$S$10=0),0,IF((AD114+$K$10)&gt;$S$10/HU_alpha+$K$10,0.5*$S$10/HU_alpha,IF((AD114+$K$10)&gt;=$K$10,((AD114+$K$10)-$K$10)-0.5*HU_alpha/$S$10*((AD114+$K$10)-$K$10)^2,IF((AD114+$K$10)&gt;=$T$10,HU_beta*((AD114+$K$10)-$K$10),HU_beta*($T$10-$K$10)))))</f>
        <v/>
      </c>
      <c r="AZ114" s="63">
        <f>IF(AND($J$11,A114=$Q$11),J114,0)</f>
        <v/>
      </c>
      <c r="BA114" s="29">
        <f>IF(OR(AZ114=0,$S$11=0),0,IF((AE114+$L$11)&gt;$S$11/HU_alpha+$K$11,0.5*$S$11/HU_alpha,IF((AE114+$L$11)&gt;=$K$11,((AE114+$L$11)-$K$11)-0.5*HU_alpha/$S$11*((AE114+$L$11)-$K$11)^2,IF((AE114+$L$11)&gt;=$T$11,HU_beta*((AE114+$L$11)-$K$11),HU_beta*($T$11-$K$11)))))</f>
        <v/>
      </c>
      <c r="BB114" s="29">
        <f>IF(OR(AZ114=0,$S$11=0),0,IF((AE114+$L$11+$N$11)&gt;$S$11/HU_alpha+$K$11,0.5*$S$11/HU_alpha,IF((AE114+$L$11+$N$11)&gt;=$K$11,((AE114+$L$11+$N$11)-$K$11)-0.5*HU_alpha/$S$11*((AE114+$L$11+$N$11)-$K$11)^2,IF((AE114+$L$11+$N$11)&gt;=$T$11,HU_beta*((AE114+$L$11+$N$11)-$K$11),HU_beta*($T$11-$K$11)))))</f>
        <v/>
      </c>
      <c r="BC114" s="29">
        <f>IF(OR(AZ114=0,$S$11=0),0,IF((AE114+$K$11)&gt;$S$11/HU_alpha+$K$11,0.5*$S$11/HU_alpha,IF((AE114+$K$11)&gt;=$K$11,((AE114+$K$11)-$K$11)-0.5*HU_alpha/$S$11*((AE114+$K$11)-$K$11)^2,IF((AE114+$K$11)&gt;=$T$11,HU_beta*((AE114+$K$11)-$K$11),HU_beta*($T$11-$K$11)))))</f>
        <v/>
      </c>
      <c r="BD114" s="63">
        <f>IF(AND($J$12,A114=$Q$12),J114,0)</f>
        <v/>
      </c>
      <c r="BE114" s="29">
        <f>IF(OR(BD114=0,$S$12=0),0,IF((AE114+$L$12)&gt;$S$12/HU_alpha+$K$12,0.5*$S$12/HU_alpha,IF((AE114+$L$12)&gt;=$K$12,((AE114+$L$12)-$K$12)-0.5*HU_alpha/$S$12*((AE114+$L$12)-$K$12)^2,IF((AE114+$L$12)&gt;=$T$12,HU_beta*((AE114+$L$12)-$K$12),HU_beta*($T$12-$K$12)))))</f>
        <v/>
      </c>
      <c r="BF114" s="29">
        <f>IF(OR(BD114=0,$S$12=0),0,IF((AE114+$L$12+$N$12)&gt;$S$12/HU_alpha+$K$12,0.5*$S$12/HU_alpha,IF((AE114+$L$12+$N$12)&gt;=$K$12,((AE114+$L$12+$N$12)-$K$12)-0.5*HU_alpha/$S$12*((AE114+$L$12+$N$12)-$K$12)^2,IF((AE114+$L$12+$N$12)&gt;=$T$12,HU_beta*((AE114+$L$12+$N$12)-$K$12),HU_beta*($T$12-$K$12)))))</f>
        <v/>
      </c>
      <c r="BG114" s="29">
        <f>IF(OR(BD114=0,$S$12=0),0,IF((AE114+$K$12)&gt;$S$12/HU_alpha+$K$12,0.5*$S$12/HU_alpha,IF((AE114+$K$12)&gt;=$K$12,((AE114+$K$12)-$K$12)-0.5*HU_alpha/$S$12*((AE114+$K$12)-$K$12)^2,IF((AE114+$K$12)&gt;=$T$12,HU_beta*((AE114+$K$12)-$K$12),HU_beta*($T$12-$K$12)))))</f>
        <v/>
      </c>
      <c r="BH114" s="63">
        <f>IF(AND($J$13,A114=$Q$13),J114,0)</f>
        <v/>
      </c>
      <c r="BI114" s="29">
        <f>IF(OR(BH114=0,$S$13=0),0,IF((AE114+$L$13)&gt;$S$13/HU_alpha+$K$13,0.5*$S$13/HU_alpha,IF((AE114+$L$13)&gt;=$K$13,((AE114+$L$13)-$K$13)-0.5*HU_alpha/$S$13*((AE114+$L$13)-$K$13)^2,IF((AE114+$L$13)&gt;=$T$13,HU_beta*((AE114+$L$13)-$K$13),HU_beta*($T$13-$K$13)))))</f>
        <v/>
      </c>
      <c r="BJ114" s="29">
        <f>IF(OR(BH114=0,$S$13=0),0,IF((AE114+$L$13+$N$13)&gt;$S$13/HU_alpha+$K$13,0.5*$S$13/HU_alpha,IF((AE114+$L$13+$N$13)&gt;=$K$13,((AE114+$L$13+$N$13)-$K$13)-0.5*HU_alpha/$S$13*((AE114+$L$13+$N$13)-$K$13)^2,IF((AE114+$L$13+$N$13)&gt;=$T$13,HU_beta*((AE114+$L$13+$N$13)-$K$13),HU_beta*($T$13-$K$13)))))</f>
        <v/>
      </c>
      <c r="BK114" s="29">
        <f>IF(OR(BH114=0,$S$13=0),0,IF((AE114+$K$13)&gt;$S$13/HU_alpha+$K$13,0.5*$S$13/HU_alpha,IF((AE114+$K$13)&gt;=$K$13,((AE114+$K$13)-$K$13)-0.5*HU_alpha/$S$13*((AE114+$K$13)-$K$13)^2,IF((AE114+$K$13)&gt;=$T$13,HU_beta*((AE114+$K$13)-$K$13),HU_beta*($T$13-$K$13)))))</f>
        <v/>
      </c>
    </row>
    <row r="115">
      <c r="A115" s="61" t="n">
        <v>47</v>
      </c>
      <c r="B115" s="61">
        <f>HU_age+A115</f>
        <v/>
      </c>
      <c r="C115" s="52">
        <f>A115&lt;=HU_T</f>
        <v/>
      </c>
      <c r="D115" s="63">
        <f>IF(OR(A115&lt;1,A115&gt;HU_T),0,INDEX(HU_q_mort,HU_age+A115-17,HU_col))</f>
        <v/>
      </c>
      <c r="E115" s="63">
        <f>IF(OR(A115&lt;1,A115&gt;HU_T),0,INDEX(HU_q_adb,HU_age+A115-17,HU_col))</f>
        <v/>
      </c>
      <c r="F115" s="63">
        <f>IF(OR(A115&lt;1,A115&gt;HU_T),0,INDEX(HU_q_morb,HU_age+A115-17,HU_col))</f>
        <v/>
      </c>
      <c r="G115" s="63">
        <f>IF(OR(A115&lt;1,A115&gt;HU_T),0,INDEX(HU_q_ptd,HU_age+A115-17,HU_col))</f>
        <v/>
      </c>
      <c r="H115" s="63">
        <f>IF(OR(A115&lt;1,A115&gt;HU_T),0,INDEX(HU_q_dis,HU_age+A115-17,HU_col))</f>
        <v/>
      </c>
      <c r="I115" s="63">
        <f>IF(A115&gt;HU_T,0,I114*(1-D115)*(1-E115))</f>
        <v/>
      </c>
      <c r="J115" s="63">
        <f>IF(A115&gt;=HU_T,0,N(I116))</f>
        <v/>
      </c>
      <c r="K115" s="63">
        <f>K114*(1-G115)</f>
        <v/>
      </c>
      <c r="L115" s="63">
        <f>1-K115</f>
        <v/>
      </c>
      <c r="M115" s="63">
        <f>K114*G115</f>
        <v/>
      </c>
      <c r="N115" s="63">
        <f>N114*(1-H115)</f>
        <v/>
      </c>
      <c r="O115" s="63">
        <f>1-N114</f>
        <v/>
      </c>
      <c r="P115" s="63">
        <f>P114*(1-F115)</f>
        <v/>
      </c>
      <c r="Q115" s="63">
        <f>1-P114/INDEX($P$68:$P$150,MAX(1,A115-HU_ciYears))</f>
        <v/>
      </c>
      <c r="R115" s="60">
        <f>(1+inflationRate)^A115</f>
        <v/>
      </c>
      <c r="S115" s="29">
        <f>IF(OR(OR(A115&lt;1,A115&gt;HU_T),A115-1&gt;=HU_dtr),0,HU_inc0*(1+incomeGrowthRate)^A115)</f>
        <v/>
      </c>
      <c r="T115" s="60">
        <f>IF(A115&gt;HU_T,T114,T114*(1+INDEX(HU_ssG,HU_age+A115-17)))</f>
        <v/>
      </c>
      <c r="U115" s="29">
        <f>IF(AND(HU_dtr&gt;=1,A115=HU_dtr,A115&lt;=HU_T),MIN(S115*INDEX(HU_ssC,HU_age+A115-17)/(1-INDEX(HU_ssC,HU_age+A115-17)),INDEX(HU_ssCap,HU_age+A115-17))*T115,0)</f>
        <v/>
      </c>
      <c r="V115" s="29">
        <f>S115+U115+IF(AND(HU_wdOn,A115=HU_wdYear),HU_wdIncome,0)</f>
        <v/>
      </c>
      <c r="W115" s="60">
        <f>HU_ciProp*Q115+HU_tpdCut*L115+HU_disCut*O115</f>
        <v/>
      </c>
      <c r="X115" s="29">
        <f>IF(OR(A115&lt;1,A115&gt;HU_T),0,V115*(1-W115))</f>
        <v/>
      </c>
      <c r="Y115" s="29">
        <f>IF(OR(A115&lt;1,A115&gt;HU_T),0,IF(AND(HU_retExp&gt;0,A115-1&gt;=HU_dtr),HU_retExp,HU_exp0)*R115)</f>
        <v/>
      </c>
      <c r="Z115" s="29">
        <f>-Y115-IF(AND(HU_wdOn,A115=HU_wdYear),HU_wdOut,0)</f>
        <v/>
      </c>
      <c r="AA115" s="29">
        <f>IF(OR(A115&lt;1,A115&gt;HU_T),0,-HU_medCost*R115*F115-HU_tpdCost*R115*M115)</f>
        <v/>
      </c>
      <c r="AB115" s="29">
        <f>IF(A115&gt;HU_T,0,AB114*(1+interestRate)+X115+Z115+AA115)</f>
        <v/>
      </c>
      <c r="AC115" s="29">
        <f>IF(A115&gt;HU_T,0,HU_inv*EXP(HU_mu*A115))</f>
        <v/>
      </c>
      <c r="AD115" s="29">
        <f>IF(A115&gt;HU_T,0,MAX(0,AC115+AB115))</f>
        <v/>
      </c>
      <c r="AE115" s="29">
        <f>IF(A115&gt;HU_T,0,MAX(0,X115-Y115))</f>
        <v/>
      </c>
      <c r="AF115" s="63">
        <f>IF(AND($J$6,A115&gt;=1,A115&lt;=$Q$6-1),J115,0)</f>
        <v/>
      </c>
      <c r="AG115" s="29">
        <f>IF(OR(AF115=0,$S$6=0),0,IF((AD115+$L$6)&gt;$S$6/HU_alpha+$K$6,0.5*$S$6/HU_alpha,IF((AD115+$L$6)&gt;=$K$6,((AD115+$L$6)-$K$6)-0.5*HU_alpha/$S$6*((AD115+$L$6)-$K$6)^2,IF((AD115+$L$6)&gt;=$T$6,HU_beta*((AD115+$L$6)-$K$6),HU_beta*($T$6-$K$6)))))</f>
        <v/>
      </c>
      <c r="AH115" s="29">
        <f>IF(OR(AF115=0,$S$6=0),0,IF((AD115+$L$6+$N$6)&gt;$S$6/HU_alpha+$K$6,0.5*$S$6/HU_alpha,IF((AD115+$L$6+$N$6)&gt;=$K$6,((AD115+$L$6+$N$6)-$K$6)-0.5*HU_alpha/$S$6*((AD115+$L$6+$N$6)-$K$6)^2,IF((AD115+$L$6+$N$6)&gt;=$T$6,HU_beta*((AD115+$L$6+$N$6)-$K$6),HU_beta*($T$6-$K$6)))))</f>
        <v/>
      </c>
      <c r="AI115" s="29">
        <f>IF(OR(AF115=0,$S$6=0),0,IF((AD115+$K$6)&gt;$S$6/HU_alpha+$K$6,0.5*$S$6/HU_alpha,IF((AD115+$K$6)&gt;=$K$6,((AD115+$K$6)-$K$6)-0.5*HU_alpha/$S$6*((AD115+$K$6)-$K$6)^2,IF((AD115+$K$6)&gt;=$T$6,HU_beta*((AD115+$K$6)-$K$6),HU_beta*($T$6-$K$6)))))</f>
        <v/>
      </c>
      <c r="AJ115" s="63">
        <f>IF(AND($J$7,A115&gt;=1,A115&lt;=$Q$7-1),J115,0)</f>
        <v/>
      </c>
      <c r="AK115" s="29">
        <f>IF(OR(AJ115=0,$S$7=0),0,IF((AE115+$L$7)&gt;$S$7/HU_alpha+$K$7,0.5*$S$7/HU_alpha,IF((AE115+$L$7)&gt;=$K$7,((AE115+$L$7)-$K$7)-0.5*HU_alpha/$S$7*((AE115+$L$7)-$K$7)^2,IF((AE115+$L$7)&gt;=$T$7,HU_beta*((AE115+$L$7)-$K$7),HU_beta*($T$7-$K$7)))))</f>
        <v/>
      </c>
      <c r="AL115" s="29">
        <f>IF(OR(AJ115=0,$S$7=0),0,IF((AE115+$L$7+$N$7)&gt;$S$7/HU_alpha+$K$7,0.5*$S$7/HU_alpha,IF((AE115+$L$7+$N$7)&gt;=$K$7,((AE115+$L$7+$N$7)-$K$7)-0.5*HU_alpha/$S$7*((AE115+$L$7+$N$7)-$K$7)^2,IF((AE115+$L$7+$N$7)&gt;=$T$7,HU_beta*((AE115+$L$7+$N$7)-$K$7),HU_beta*($T$7-$K$7)))))</f>
        <v/>
      </c>
      <c r="AM115" s="29">
        <f>IF(OR(AJ115=0,$S$7=0),0,IF((AE115+$K$7)&gt;$S$7/HU_alpha+$K$7,0.5*$S$7/HU_alpha,IF((AE115+$K$7)&gt;=$K$7,((AE115+$K$7)-$K$7)-0.5*HU_alpha/$S$7*((AE115+$K$7)-$K$7)^2,IF((AE115+$K$7)&gt;=$T$7,HU_beta*((AE115+$K$7)-$K$7),HU_beta*($T$7-$K$7)))))</f>
        <v/>
      </c>
      <c r="AN115" s="63">
        <f>IF(AND($J$8,A115&gt;=1,A115&lt;=$Q$8-1),J115,0)</f>
        <v/>
      </c>
      <c r="AO115" s="29">
        <f>IF(OR(AN115=0,$S$8=0),0,IF((AE115+$L$8)&gt;$S$8/HU_alpha+$K$8,0.5*$S$8/HU_alpha,IF((AE115+$L$8)&gt;=$K$8,((AE115+$L$8)-$K$8)-0.5*HU_alpha/$S$8*((AE115+$L$8)-$K$8)^2,IF((AE115+$L$8)&gt;=$T$8,HU_beta*((AE115+$L$8)-$K$8),HU_beta*($T$8-$K$8)))))</f>
        <v/>
      </c>
      <c r="AP115" s="29">
        <f>IF(OR(AN115=0,$S$8=0),0,IF((AE115+$L$8+$N$8)&gt;$S$8/HU_alpha+$K$8,0.5*$S$8/HU_alpha,IF((AE115+$L$8+$N$8)&gt;=$K$8,((AE115+$L$8+$N$8)-$K$8)-0.5*HU_alpha/$S$8*((AE115+$L$8+$N$8)-$K$8)^2,IF((AE115+$L$8+$N$8)&gt;=$T$8,HU_beta*((AE115+$L$8+$N$8)-$K$8),HU_beta*($T$8-$K$8)))))</f>
        <v/>
      </c>
      <c r="AQ115" s="29">
        <f>IF(OR(AN115=0,$S$8=0),0,IF((AE115+$K$8)&gt;$S$8/HU_alpha+$K$8,0.5*$S$8/HU_alpha,IF((AE115+$K$8)&gt;=$K$8,((AE115+$K$8)-$K$8)-0.5*HU_alpha/$S$8*((AE115+$K$8)-$K$8)^2,IF((AE115+$K$8)&gt;=$T$8,HU_beta*((AE115+$K$8)-$K$8),HU_beta*($T$8-$K$8)))))</f>
        <v/>
      </c>
      <c r="AR115" s="63">
        <f>IF(AND($J$9,A115&gt;=1,A115&lt;=$Q$9-1),J115,0)</f>
        <v/>
      </c>
      <c r="AS115" s="29">
        <f>IF(OR(AR115=0,$S$9=0),0,IF((AE115+$L$9)&gt;$S$9/HU_alpha+$K$9,0.5*$S$9/HU_alpha,IF((AE115+$L$9)&gt;=$K$9,((AE115+$L$9)-$K$9)-0.5*HU_alpha/$S$9*((AE115+$L$9)-$K$9)^2,IF((AE115+$L$9)&gt;=$T$9,HU_beta*((AE115+$L$9)-$K$9),HU_beta*($T$9-$K$9)))))</f>
        <v/>
      </c>
      <c r="AT115" s="29">
        <f>IF(OR(AR115=0,$S$9=0),0,IF((AE115+$L$9+$N$9)&gt;$S$9/HU_alpha+$K$9,0.5*$S$9/HU_alpha,IF((AE115+$L$9+$N$9)&gt;=$K$9,((AE115+$L$9+$N$9)-$K$9)-0.5*HU_alpha/$S$9*((AE115+$L$9+$N$9)-$K$9)^2,IF((AE115+$L$9+$N$9)&gt;=$T$9,HU_beta*((AE115+$L$9+$N$9)-$K$9),HU_beta*($T$9-$K$9)))))</f>
        <v/>
      </c>
      <c r="AU115" s="29">
        <f>IF(OR(AR115=0,$S$9=0),0,IF((AE115+$K$9)&gt;$S$9/HU_alpha+$K$9,0.5*$S$9/HU_alpha,IF((AE115+$K$9)&gt;=$K$9,((AE115+$K$9)-$K$9)-0.5*HU_alpha/$S$9*((AE115+$K$9)-$K$9)^2,IF((AE115+$K$9)&gt;=$T$9,HU_beta*((AE115+$K$9)-$K$9),HU_beta*($T$9-$K$9)))))</f>
        <v/>
      </c>
      <c r="AV115" s="63">
        <f>IF(AND($J$10,A115=$Q$10),J115,0)</f>
        <v/>
      </c>
      <c r="AW115" s="29">
        <f>IF(OR(AV115=0,$S$10=0),0,IF((AD115+$L$10)&gt;$S$10/HU_alpha+$K$10,0.5*$S$10/HU_alpha,IF((AD115+$L$10)&gt;=$K$10,((AD115+$L$10)-$K$10)-0.5*HU_alpha/$S$10*((AD115+$L$10)-$K$10)^2,IF((AD115+$L$10)&gt;=$T$10,HU_beta*((AD115+$L$10)-$K$10),HU_beta*($T$10-$K$10)))))</f>
        <v/>
      </c>
      <c r="AX115" s="29">
        <f>IF(OR(AV115=0,$S$10=0),0,IF((AD115+$L$10+$N$10)&gt;$S$10/HU_alpha+$K$10,0.5*$S$10/HU_alpha,IF((AD115+$L$10+$N$10)&gt;=$K$10,((AD115+$L$10+$N$10)-$K$10)-0.5*HU_alpha/$S$10*((AD115+$L$10+$N$10)-$K$10)^2,IF((AD115+$L$10+$N$10)&gt;=$T$10,HU_beta*((AD115+$L$10+$N$10)-$K$10),HU_beta*($T$10-$K$10)))))</f>
        <v/>
      </c>
      <c r="AY115" s="29">
        <f>IF(OR(AV115=0,$S$10=0),0,IF((AD115+$K$10)&gt;$S$10/HU_alpha+$K$10,0.5*$S$10/HU_alpha,IF((AD115+$K$10)&gt;=$K$10,((AD115+$K$10)-$K$10)-0.5*HU_alpha/$S$10*((AD115+$K$10)-$K$10)^2,IF((AD115+$K$10)&gt;=$T$10,HU_beta*((AD115+$K$10)-$K$10),HU_beta*($T$10-$K$10)))))</f>
        <v/>
      </c>
      <c r="AZ115" s="63">
        <f>IF(AND($J$11,A115=$Q$11),J115,0)</f>
        <v/>
      </c>
      <c r="BA115" s="29">
        <f>IF(OR(AZ115=0,$S$11=0),0,IF((AE115+$L$11)&gt;$S$11/HU_alpha+$K$11,0.5*$S$11/HU_alpha,IF((AE115+$L$11)&gt;=$K$11,((AE115+$L$11)-$K$11)-0.5*HU_alpha/$S$11*((AE115+$L$11)-$K$11)^2,IF((AE115+$L$11)&gt;=$T$11,HU_beta*((AE115+$L$11)-$K$11),HU_beta*($T$11-$K$11)))))</f>
        <v/>
      </c>
      <c r="BB115" s="29">
        <f>IF(OR(AZ115=0,$S$11=0),0,IF((AE115+$L$11+$N$11)&gt;$S$11/HU_alpha+$K$11,0.5*$S$11/HU_alpha,IF((AE115+$L$11+$N$11)&gt;=$K$11,((AE115+$L$11+$N$11)-$K$11)-0.5*HU_alpha/$S$11*((AE115+$L$11+$N$11)-$K$11)^2,IF((AE115+$L$11+$N$11)&gt;=$T$11,HU_beta*((AE115+$L$11+$N$11)-$K$11),HU_beta*($T$11-$K$11)))))</f>
        <v/>
      </c>
      <c r="BC115" s="29">
        <f>IF(OR(AZ115=0,$S$11=0),0,IF((AE115+$K$11)&gt;$S$11/HU_alpha+$K$11,0.5*$S$11/HU_alpha,IF((AE115+$K$11)&gt;=$K$11,((AE115+$K$11)-$K$11)-0.5*HU_alpha/$S$11*((AE115+$K$11)-$K$11)^2,IF((AE115+$K$11)&gt;=$T$11,HU_beta*((AE115+$K$11)-$K$11),HU_beta*($T$11-$K$11)))))</f>
        <v/>
      </c>
      <c r="BD115" s="63">
        <f>IF(AND($J$12,A115=$Q$12),J115,0)</f>
        <v/>
      </c>
      <c r="BE115" s="29">
        <f>IF(OR(BD115=0,$S$12=0),0,IF((AE115+$L$12)&gt;$S$12/HU_alpha+$K$12,0.5*$S$12/HU_alpha,IF((AE115+$L$12)&gt;=$K$12,((AE115+$L$12)-$K$12)-0.5*HU_alpha/$S$12*((AE115+$L$12)-$K$12)^2,IF((AE115+$L$12)&gt;=$T$12,HU_beta*((AE115+$L$12)-$K$12),HU_beta*($T$12-$K$12)))))</f>
        <v/>
      </c>
      <c r="BF115" s="29">
        <f>IF(OR(BD115=0,$S$12=0),0,IF((AE115+$L$12+$N$12)&gt;$S$12/HU_alpha+$K$12,0.5*$S$12/HU_alpha,IF((AE115+$L$12+$N$12)&gt;=$K$12,((AE115+$L$12+$N$12)-$K$12)-0.5*HU_alpha/$S$12*((AE115+$L$12+$N$12)-$K$12)^2,IF((AE115+$L$12+$N$12)&gt;=$T$12,HU_beta*((AE115+$L$12+$N$12)-$K$12),HU_beta*($T$12-$K$12)))))</f>
        <v/>
      </c>
      <c r="BG115" s="29">
        <f>IF(OR(BD115=0,$S$12=0),0,IF((AE115+$K$12)&gt;$S$12/HU_alpha+$K$12,0.5*$S$12/HU_alpha,IF((AE115+$K$12)&gt;=$K$12,((AE115+$K$12)-$K$12)-0.5*HU_alpha/$S$12*((AE115+$K$12)-$K$12)^2,IF((AE115+$K$12)&gt;=$T$12,HU_beta*((AE115+$K$12)-$K$12),HU_beta*($T$12-$K$12)))))</f>
        <v/>
      </c>
      <c r="BH115" s="63">
        <f>IF(AND($J$13,A115=$Q$13),J115,0)</f>
        <v/>
      </c>
      <c r="BI115" s="29">
        <f>IF(OR(BH115=0,$S$13=0),0,IF((AE115+$L$13)&gt;$S$13/HU_alpha+$K$13,0.5*$S$13/HU_alpha,IF((AE115+$L$13)&gt;=$K$13,((AE115+$L$13)-$K$13)-0.5*HU_alpha/$S$13*((AE115+$L$13)-$K$13)^2,IF((AE115+$L$13)&gt;=$T$13,HU_beta*((AE115+$L$13)-$K$13),HU_beta*($T$13-$K$13)))))</f>
        <v/>
      </c>
      <c r="BJ115" s="29">
        <f>IF(OR(BH115=0,$S$13=0),0,IF((AE115+$L$13+$N$13)&gt;$S$13/HU_alpha+$K$13,0.5*$S$13/HU_alpha,IF((AE115+$L$13+$N$13)&gt;=$K$13,((AE115+$L$13+$N$13)-$K$13)-0.5*HU_alpha/$S$13*((AE115+$L$13+$N$13)-$K$13)^2,IF((AE115+$L$13+$N$13)&gt;=$T$13,HU_beta*((AE115+$L$13+$N$13)-$K$13),HU_beta*($T$13-$K$13)))))</f>
        <v/>
      </c>
      <c r="BK115" s="29">
        <f>IF(OR(BH115=0,$S$13=0),0,IF((AE115+$K$13)&gt;$S$13/HU_alpha+$K$13,0.5*$S$13/HU_alpha,IF((AE115+$K$13)&gt;=$K$13,((AE115+$K$13)-$K$13)-0.5*HU_alpha/$S$13*((AE115+$K$13)-$K$13)^2,IF((AE115+$K$13)&gt;=$T$13,HU_beta*((AE115+$K$13)-$K$13),HU_beta*($T$13-$K$13)))))</f>
        <v/>
      </c>
    </row>
    <row r="116">
      <c r="A116" s="61" t="n">
        <v>48</v>
      </c>
      <c r="B116" s="61">
        <f>HU_age+A116</f>
        <v/>
      </c>
      <c r="C116" s="52">
        <f>A116&lt;=HU_T</f>
        <v/>
      </c>
      <c r="D116" s="63">
        <f>IF(OR(A116&lt;1,A116&gt;HU_T),0,INDEX(HU_q_mort,HU_age+A116-17,HU_col))</f>
        <v/>
      </c>
      <c r="E116" s="63">
        <f>IF(OR(A116&lt;1,A116&gt;HU_T),0,INDEX(HU_q_adb,HU_age+A116-17,HU_col))</f>
        <v/>
      </c>
      <c r="F116" s="63">
        <f>IF(OR(A116&lt;1,A116&gt;HU_T),0,INDEX(HU_q_morb,HU_age+A116-17,HU_col))</f>
        <v/>
      </c>
      <c r="G116" s="63">
        <f>IF(OR(A116&lt;1,A116&gt;HU_T),0,INDEX(HU_q_ptd,HU_age+A116-17,HU_col))</f>
        <v/>
      </c>
      <c r="H116" s="63">
        <f>IF(OR(A116&lt;1,A116&gt;HU_T),0,INDEX(HU_q_dis,HU_age+A116-17,HU_col))</f>
        <v/>
      </c>
      <c r="I116" s="63">
        <f>IF(A116&gt;HU_T,0,I115*(1-D116)*(1-E116))</f>
        <v/>
      </c>
      <c r="J116" s="63">
        <f>IF(A116&gt;=HU_T,0,N(I117))</f>
        <v/>
      </c>
      <c r="K116" s="63">
        <f>K115*(1-G116)</f>
        <v/>
      </c>
      <c r="L116" s="63">
        <f>1-K116</f>
        <v/>
      </c>
      <c r="M116" s="63">
        <f>K115*G116</f>
        <v/>
      </c>
      <c r="N116" s="63">
        <f>N115*(1-H116)</f>
        <v/>
      </c>
      <c r="O116" s="63">
        <f>1-N115</f>
        <v/>
      </c>
      <c r="P116" s="63">
        <f>P115*(1-F116)</f>
        <v/>
      </c>
      <c r="Q116" s="63">
        <f>1-P115/INDEX($P$68:$P$150,MAX(1,A116-HU_ciYears))</f>
        <v/>
      </c>
      <c r="R116" s="60">
        <f>(1+inflationRate)^A116</f>
        <v/>
      </c>
      <c r="S116" s="29">
        <f>IF(OR(OR(A116&lt;1,A116&gt;HU_T),A116-1&gt;=HU_dtr),0,HU_inc0*(1+incomeGrowthRate)^A116)</f>
        <v/>
      </c>
      <c r="T116" s="60">
        <f>IF(A116&gt;HU_T,T115,T115*(1+INDEX(HU_ssG,HU_age+A116-17)))</f>
        <v/>
      </c>
      <c r="U116" s="29">
        <f>IF(AND(HU_dtr&gt;=1,A116=HU_dtr,A116&lt;=HU_T),MIN(S116*INDEX(HU_ssC,HU_age+A116-17)/(1-INDEX(HU_ssC,HU_age+A116-17)),INDEX(HU_ssCap,HU_age+A116-17))*T116,0)</f>
        <v/>
      </c>
      <c r="V116" s="29">
        <f>S116+U116+IF(AND(HU_wdOn,A116=HU_wdYear),HU_wdIncome,0)</f>
        <v/>
      </c>
      <c r="W116" s="60">
        <f>HU_ciProp*Q116+HU_tpdCut*L116+HU_disCut*O116</f>
        <v/>
      </c>
      <c r="X116" s="29">
        <f>IF(OR(A116&lt;1,A116&gt;HU_T),0,V116*(1-W116))</f>
        <v/>
      </c>
      <c r="Y116" s="29">
        <f>IF(OR(A116&lt;1,A116&gt;HU_T),0,IF(AND(HU_retExp&gt;0,A116-1&gt;=HU_dtr),HU_retExp,HU_exp0)*R116)</f>
        <v/>
      </c>
      <c r="Z116" s="29">
        <f>-Y116-IF(AND(HU_wdOn,A116=HU_wdYear),HU_wdOut,0)</f>
        <v/>
      </c>
      <c r="AA116" s="29">
        <f>IF(OR(A116&lt;1,A116&gt;HU_T),0,-HU_medCost*R116*F116-HU_tpdCost*R116*M116)</f>
        <v/>
      </c>
      <c r="AB116" s="29">
        <f>IF(A116&gt;HU_T,0,AB115*(1+interestRate)+X116+Z116+AA116)</f>
        <v/>
      </c>
      <c r="AC116" s="29">
        <f>IF(A116&gt;HU_T,0,HU_inv*EXP(HU_mu*A116))</f>
        <v/>
      </c>
      <c r="AD116" s="29">
        <f>IF(A116&gt;HU_T,0,MAX(0,AC116+AB116))</f>
        <v/>
      </c>
      <c r="AE116" s="29">
        <f>IF(A116&gt;HU_T,0,MAX(0,X116-Y116))</f>
        <v/>
      </c>
      <c r="AF116" s="63">
        <f>IF(AND($J$6,A116&gt;=1,A116&lt;=$Q$6-1),J116,0)</f>
        <v/>
      </c>
      <c r="AG116" s="29">
        <f>IF(OR(AF116=0,$S$6=0),0,IF((AD116+$L$6)&gt;$S$6/HU_alpha+$K$6,0.5*$S$6/HU_alpha,IF((AD116+$L$6)&gt;=$K$6,((AD116+$L$6)-$K$6)-0.5*HU_alpha/$S$6*((AD116+$L$6)-$K$6)^2,IF((AD116+$L$6)&gt;=$T$6,HU_beta*((AD116+$L$6)-$K$6),HU_beta*($T$6-$K$6)))))</f>
        <v/>
      </c>
      <c r="AH116" s="29">
        <f>IF(OR(AF116=0,$S$6=0),0,IF((AD116+$L$6+$N$6)&gt;$S$6/HU_alpha+$K$6,0.5*$S$6/HU_alpha,IF((AD116+$L$6+$N$6)&gt;=$K$6,((AD116+$L$6+$N$6)-$K$6)-0.5*HU_alpha/$S$6*((AD116+$L$6+$N$6)-$K$6)^2,IF((AD116+$L$6+$N$6)&gt;=$T$6,HU_beta*((AD116+$L$6+$N$6)-$K$6),HU_beta*($T$6-$K$6)))))</f>
        <v/>
      </c>
      <c r="AI116" s="29">
        <f>IF(OR(AF116=0,$S$6=0),0,IF((AD116+$K$6)&gt;$S$6/HU_alpha+$K$6,0.5*$S$6/HU_alpha,IF((AD116+$K$6)&gt;=$K$6,((AD116+$K$6)-$K$6)-0.5*HU_alpha/$S$6*((AD116+$K$6)-$K$6)^2,IF((AD116+$K$6)&gt;=$T$6,HU_beta*((AD116+$K$6)-$K$6),HU_beta*($T$6-$K$6)))))</f>
        <v/>
      </c>
      <c r="AJ116" s="63">
        <f>IF(AND($J$7,A116&gt;=1,A116&lt;=$Q$7-1),J116,0)</f>
        <v/>
      </c>
      <c r="AK116" s="29">
        <f>IF(OR(AJ116=0,$S$7=0),0,IF((AE116+$L$7)&gt;$S$7/HU_alpha+$K$7,0.5*$S$7/HU_alpha,IF((AE116+$L$7)&gt;=$K$7,((AE116+$L$7)-$K$7)-0.5*HU_alpha/$S$7*((AE116+$L$7)-$K$7)^2,IF((AE116+$L$7)&gt;=$T$7,HU_beta*((AE116+$L$7)-$K$7),HU_beta*($T$7-$K$7)))))</f>
        <v/>
      </c>
      <c r="AL116" s="29">
        <f>IF(OR(AJ116=0,$S$7=0),0,IF((AE116+$L$7+$N$7)&gt;$S$7/HU_alpha+$K$7,0.5*$S$7/HU_alpha,IF((AE116+$L$7+$N$7)&gt;=$K$7,((AE116+$L$7+$N$7)-$K$7)-0.5*HU_alpha/$S$7*((AE116+$L$7+$N$7)-$K$7)^2,IF((AE116+$L$7+$N$7)&gt;=$T$7,HU_beta*((AE116+$L$7+$N$7)-$K$7),HU_beta*($T$7-$K$7)))))</f>
        <v/>
      </c>
      <c r="AM116" s="29">
        <f>IF(OR(AJ116=0,$S$7=0),0,IF((AE116+$K$7)&gt;$S$7/HU_alpha+$K$7,0.5*$S$7/HU_alpha,IF((AE116+$K$7)&gt;=$K$7,((AE116+$K$7)-$K$7)-0.5*HU_alpha/$S$7*((AE116+$K$7)-$K$7)^2,IF((AE116+$K$7)&gt;=$T$7,HU_beta*((AE116+$K$7)-$K$7),HU_beta*($T$7-$K$7)))))</f>
        <v/>
      </c>
      <c r="AN116" s="63">
        <f>IF(AND($J$8,A116&gt;=1,A116&lt;=$Q$8-1),J116,0)</f>
        <v/>
      </c>
      <c r="AO116" s="29">
        <f>IF(OR(AN116=0,$S$8=0),0,IF((AE116+$L$8)&gt;$S$8/HU_alpha+$K$8,0.5*$S$8/HU_alpha,IF((AE116+$L$8)&gt;=$K$8,((AE116+$L$8)-$K$8)-0.5*HU_alpha/$S$8*((AE116+$L$8)-$K$8)^2,IF((AE116+$L$8)&gt;=$T$8,HU_beta*((AE116+$L$8)-$K$8),HU_beta*($T$8-$K$8)))))</f>
        <v/>
      </c>
      <c r="AP116" s="29">
        <f>IF(OR(AN116=0,$S$8=0),0,IF((AE116+$L$8+$N$8)&gt;$S$8/HU_alpha+$K$8,0.5*$S$8/HU_alpha,IF((AE116+$L$8+$N$8)&gt;=$K$8,((AE116+$L$8+$N$8)-$K$8)-0.5*HU_alpha/$S$8*((AE116+$L$8+$N$8)-$K$8)^2,IF((AE116+$L$8+$N$8)&gt;=$T$8,HU_beta*((AE116+$L$8+$N$8)-$K$8),HU_beta*($T$8-$K$8)))))</f>
        <v/>
      </c>
      <c r="AQ116" s="29">
        <f>IF(OR(AN116=0,$S$8=0),0,IF((AE116+$K$8)&gt;$S$8/HU_alpha+$K$8,0.5*$S$8/HU_alpha,IF((AE116+$K$8)&gt;=$K$8,((AE116+$K$8)-$K$8)-0.5*HU_alpha/$S$8*((AE116+$K$8)-$K$8)^2,IF((AE116+$K$8)&gt;=$T$8,HU_beta*((AE116+$K$8)-$K$8),HU_beta*($T$8-$K$8)))))</f>
        <v/>
      </c>
      <c r="AR116" s="63">
        <f>IF(AND($J$9,A116&gt;=1,A116&lt;=$Q$9-1),J116,0)</f>
        <v/>
      </c>
      <c r="AS116" s="29">
        <f>IF(OR(AR116=0,$S$9=0),0,IF((AE116+$L$9)&gt;$S$9/HU_alpha+$K$9,0.5*$S$9/HU_alpha,IF((AE116+$L$9)&gt;=$K$9,((AE116+$L$9)-$K$9)-0.5*HU_alpha/$S$9*((AE116+$L$9)-$K$9)^2,IF((AE116+$L$9)&gt;=$T$9,HU_beta*((AE116+$L$9)-$K$9),HU_beta*($T$9-$K$9)))))</f>
        <v/>
      </c>
      <c r="AT116" s="29">
        <f>IF(OR(AR116=0,$S$9=0),0,IF((AE116+$L$9+$N$9)&gt;$S$9/HU_alpha+$K$9,0.5*$S$9/HU_alpha,IF((AE116+$L$9+$N$9)&gt;=$K$9,((AE116+$L$9+$N$9)-$K$9)-0.5*HU_alpha/$S$9*((AE116+$L$9+$N$9)-$K$9)^2,IF((AE116+$L$9+$N$9)&gt;=$T$9,HU_beta*((AE116+$L$9+$N$9)-$K$9),HU_beta*($T$9-$K$9)))))</f>
        <v/>
      </c>
      <c r="AU116" s="29">
        <f>IF(OR(AR116=0,$S$9=0),0,IF((AE116+$K$9)&gt;$S$9/HU_alpha+$K$9,0.5*$S$9/HU_alpha,IF((AE116+$K$9)&gt;=$K$9,((AE116+$K$9)-$K$9)-0.5*HU_alpha/$S$9*((AE116+$K$9)-$K$9)^2,IF((AE116+$K$9)&gt;=$T$9,HU_beta*((AE116+$K$9)-$K$9),HU_beta*($T$9-$K$9)))))</f>
        <v/>
      </c>
      <c r="AV116" s="63">
        <f>IF(AND($J$10,A116=$Q$10),J116,0)</f>
        <v/>
      </c>
      <c r="AW116" s="29">
        <f>IF(OR(AV116=0,$S$10=0),0,IF((AD116+$L$10)&gt;$S$10/HU_alpha+$K$10,0.5*$S$10/HU_alpha,IF((AD116+$L$10)&gt;=$K$10,((AD116+$L$10)-$K$10)-0.5*HU_alpha/$S$10*((AD116+$L$10)-$K$10)^2,IF((AD116+$L$10)&gt;=$T$10,HU_beta*((AD116+$L$10)-$K$10),HU_beta*($T$10-$K$10)))))</f>
        <v/>
      </c>
      <c r="AX116" s="29">
        <f>IF(OR(AV116=0,$S$10=0),0,IF((AD116+$L$10+$N$10)&gt;$S$10/HU_alpha+$K$10,0.5*$S$10/HU_alpha,IF((AD116+$L$10+$N$10)&gt;=$K$10,((AD116+$L$10+$N$10)-$K$10)-0.5*HU_alpha/$S$10*((AD116+$L$10+$N$10)-$K$10)^2,IF((AD116+$L$10+$N$10)&gt;=$T$10,HU_beta*((AD116+$L$10+$N$10)-$K$10),HU_beta*($T$10-$K$10)))))</f>
        <v/>
      </c>
      <c r="AY116" s="29">
        <f>IF(OR(AV116=0,$S$10=0),0,IF((AD116+$K$10)&gt;$S$10/HU_alpha+$K$10,0.5*$S$10/HU_alpha,IF((AD116+$K$10)&gt;=$K$10,((AD116+$K$10)-$K$10)-0.5*HU_alpha/$S$10*((AD116+$K$10)-$K$10)^2,IF((AD116+$K$10)&gt;=$T$10,HU_beta*((AD116+$K$10)-$K$10),HU_beta*($T$10-$K$10)))))</f>
        <v/>
      </c>
      <c r="AZ116" s="63">
        <f>IF(AND($J$11,A116=$Q$11),J116,0)</f>
        <v/>
      </c>
      <c r="BA116" s="29">
        <f>IF(OR(AZ116=0,$S$11=0),0,IF((AE116+$L$11)&gt;$S$11/HU_alpha+$K$11,0.5*$S$11/HU_alpha,IF((AE116+$L$11)&gt;=$K$11,((AE116+$L$11)-$K$11)-0.5*HU_alpha/$S$11*((AE116+$L$11)-$K$11)^2,IF((AE116+$L$11)&gt;=$T$11,HU_beta*((AE116+$L$11)-$K$11),HU_beta*($T$11-$K$11)))))</f>
        <v/>
      </c>
      <c r="BB116" s="29">
        <f>IF(OR(AZ116=0,$S$11=0),0,IF((AE116+$L$11+$N$11)&gt;$S$11/HU_alpha+$K$11,0.5*$S$11/HU_alpha,IF((AE116+$L$11+$N$11)&gt;=$K$11,((AE116+$L$11+$N$11)-$K$11)-0.5*HU_alpha/$S$11*((AE116+$L$11+$N$11)-$K$11)^2,IF((AE116+$L$11+$N$11)&gt;=$T$11,HU_beta*((AE116+$L$11+$N$11)-$K$11),HU_beta*($T$11-$K$11)))))</f>
        <v/>
      </c>
      <c r="BC116" s="29">
        <f>IF(OR(AZ116=0,$S$11=0),0,IF((AE116+$K$11)&gt;$S$11/HU_alpha+$K$11,0.5*$S$11/HU_alpha,IF((AE116+$K$11)&gt;=$K$11,((AE116+$K$11)-$K$11)-0.5*HU_alpha/$S$11*((AE116+$K$11)-$K$11)^2,IF((AE116+$K$11)&gt;=$T$11,HU_beta*((AE116+$K$11)-$K$11),HU_beta*($T$11-$K$11)))))</f>
        <v/>
      </c>
      <c r="BD116" s="63">
        <f>IF(AND($J$12,A116=$Q$12),J116,0)</f>
        <v/>
      </c>
      <c r="BE116" s="29">
        <f>IF(OR(BD116=0,$S$12=0),0,IF((AE116+$L$12)&gt;$S$12/HU_alpha+$K$12,0.5*$S$12/HU_alpha,IF((AE116+$L$12)&gt;=$K$12,((AE116+$L$12)-$K$12)-0.5*HU_alpha/$S$12*((AE116+$L$12)-$K$12)^2,IF((AE116+$L$12)&gt;=$T$12,HU_beta*((AE116+$L$12)-$K$12),HU_beta*($T$12-$K$12)))))</f>
        <v/>
      </c>
      <c r="BF116" s="29">
        <f>IF(OR(BD116=0,$S$12=0),0,IF((AE116+$L$12+$N$12)&gt;$S$12/HU_alpha+$K$12,0.5*$S$12/HU_alpha,IF((AE116+$L$12+$N$12)&gt;=$K$12,((AE116+$L$12+$N$12)-$K$12)-0.5*HU_alpha/$S$12*((AE116+$L$12+$N$12)-$K$12)^2,IF((AE116+$L$12+$N$12)&gt;=$T$12,HU_beta*((AE116+$L$12+$N$12)-$K$12),HU_beta*($T$12-$K$12)))))</f>
        <v/>
      </c>
      <c r="BG116" s="29">
        <f>IF(OR(BD116=0,$S$12=0),0,IF((AE116+$K$12)&gt;$S$12/HU_alpha+$K$12,0.5*$S$12/HU_alpha,IF((AE116+$K$12)&gt;=$K$12,((AE116+$K$12)-$K$12)-0.5*HU_alpha/$S$12*((AE116+$K$12)-$K$12)^2,IF((AE116+$K$12)&gt;=$T$12,HU_beta*((AE116+$K$12)-$K$12),HU_beta*($T$12-$K$12)))))</f>
        <v/>
      </c>
      <c r="BH116" s="63">
        <f>IF(AND($J$13,A116=$Q$13),J116,0)</f>
        <v/>
      </c>
      <c r="BI116" s="29">
        <f>IF(OR(BH116=0,$S$13=0),0,IF((AE116+$L$13)&gt;$S$13/HU_alpha+$K$13,0.5*$S$13/HU_alpha,IF((AE116+$L$13)&gt;=$K$13,((AE116+$L$13)-$K$13)-0.5*HU_alpha/$S$13*((AE116+$L$13)-$K$13)^2,IF((AE116+$L$13)&gt;=$T$13,HU_beta*((AE116+$L$13)-$K$13),HU_beta*($T$13-$K$13)))))</f>
        <v/>
      </c>
      <c r="BJ116" s="29">
        <f>IF(OR(BH116=0,$S$13=0),0,IF((AE116+$L$13+$N$13)&gt;$S$13/HU_alpha+$K$13,0.5*$S$13/HU_alpha,IF((AE116+$L$13+$N$13)&gt;=$K$13,((AE116+$L$13+$N$13)-$K$13)-0.5*HU_alpha/$S$13*((AE116+$L$13+$N$13)-$K$13)^2,IF((AE116+$L$13+$N$13)&gt;=$T$13,HU_beta*((AE116+$L$13+$N$13)-$K$13),HU_beta*($T$13-$K$13)))))</f>
        <v/>
      </c>
      <c r="BK116" s="29">
        <f>IF(OR(BH116=0,$S$13=0),0,IF((AE116+$K$13)&gt;$S$13/HU_alpha+$K$13,0.5*$S$13/HU_alpha,IF((AE116+$K$13)&gt;=$K$13,((AE116+$K$13)-$K$13)-0.5*HU_alpha/$S$13*((AE116+$K$13)-$K$13)^2,IF((AE116+$K$13)&gt;=$T$13,HU_beta*((AE116+$K$13)-$K$13),HU_beta*($T$13-$K$13)))))</f>
        <v/>
      </c>
    </row>
    <row r="117">
      <c r="A117" s="61" t="n">
        <v>49</v>
      </c>
      <c r="B117" s="61">
        <f>HU_age+A117</f>
        <v/>
      </c>
      <c r="C117" s="52">
        <f>A117&lt;=HU_T</f>
        <v/>
      </c>
      <c r="D117" s="63">
        <f>IF(OR(A117&lt;1,A117&gt;HU_T),0,INDEX(HU_q_mort,HU_age+A117-17,HU_col))</f>
        <v/>
      </c>
      <c r="E117" s="63">
        <f>IF(OR(A117&lt;1,A117&gt;HU_T),0,INDEX(HU_q_adb,HU_age+A117-17,HU_col))</f>
        <v/>
      </c>
      <c r="F117" s="63">
        <f>IF(OR(A117&lt;1,A117&gt;HU_T),0,INDEX(HU_q_morb,HU_age+A117-17,HU_col))</f>
        <v/>
      </c>
      <c r="G117" s="63">
        <f>IF(OR(A117&lt;1,A117&gt;HU_T),0,INDEX(HU_q_ptd,HU_age+A117-17,HU_col))</f>
        <v/>
      </c>
      <c r="H117" s="63">
        <f>IF(OR(A117&lt;1,A117&gt;HU_T),0,INDEX(HU_q_dis,HU_age+A117-17,HU_col))</f>
        <v/>
      </c>
      <c r="I117" s="63">
        <f>IF(A117&gt;HU_T,0,I116*(1-D117)*(1-E117))</f>
        <v/>
      </c>
      <c r="J117" s="63">
        <f>IF(A117&gt;=HU_T,0,N(I118))</f>
        <v/>
      </c>
      <c r="K117" s="63">
        <f>K116*(1-G117)</f>
        <v/>
      </c>
      <c r="L117" s="63">
        <f>1-K117</f>
        <v/>
      </c>
      <c r="M117" s="63">
        <f>K116*G117</f>
        <v/>
      </c>
      <c r="N117" s="63">
        <f>N116*(1-H117)</f>
        <v/>
      </c>
      <c r="O117" s="63">
        <f>1-N116</f>
        <v/>
      </c>
      <c r="P117" s="63">
        <f>P116*(1-F117)</f>
        <v/>
      </c>
      <c r="Q117" s="63">
        <f>1-P116/INDEX($P$68:$P$150,MAX(1,A117-HU_ciYears))</f>
        <v/>
      </c>
      <c r="R117" s="60">
        <f>(1+inflationRate)^A117</f>
        <v/>
      </c>
      <c r="S117" s="29">
        <f>IF(OR(OR(A117&lt;1,A117&gt;HU_T),A117-1&gt;=HU_dtr),0,HU_inc0*(1+incomeGrowthRate)^A117)</f>
        <v/>
      </c>
      <c r="T117" s="60">
        <f>IF(A117&gt;HU_T,T116,T116*(1+INDEX(HU_ssG,HU_age+A117-17)))</f>
        <v/>
      </c>
      <c r="U117" s="29">
        <f>IF(AND(HU_dtr&gt;=1,A117=HU_dtr,A117&lt;=HU_T),MIN(S117*INDEX(HU_ssC,HU_age+A117-17)/(1-INDEX(HU_ssC,HU_age+A117-17)),INDEX(HU_ssCap,HU_age+A117-17))*T117,0)</f>
        <v/>
      </c>
      <c r="V117" s="29">
        <f>S117+U117+IF(AND(HU_wdOn,A117=HU_wdYear),HU_wdIncome,0)</f>
        <v/>
      </c>
      <c r="W117" s="60">
        <f>HU_ciProp*Q117+HU_tpdCut*L117+HU_disCut*O117</f>
        <v/>
      </c>
      <c r="X117" s="29">
        <f>IF(OR(A117&lt;1,A117&gt;HU_T),0,V117*(1-W117))</f>
        <v/>
      </c>
      <c r="Y117" s="29">
        <f>IF(OR(A117&lt;1,A117&gt;HU_T),0,IF(AND(HU_retExp&gt;0,A117-1&gt;=HU_dtr),HU_retExp,HU_exp0)*R117)</f>
        <v/>
      </c>
      <c r="Z117" s="29">
        <f>-Y117-IF(AND(HU_wdOn,A117=HU_wdYear),HU_wdOut,0)</f>
        <v/>
      </c>
      <c r="AA117" s="29">
        <f>IF(OR(A117&lt;1,A117&gt;HU_T),0,-HU_medCost*R117*F117-HU_tpdCost*R117*M117)</f>
        <v/>
      </c>
      <c r="AB117" s="29">
        <f>IF(A117&gt;HU_T,0,AB116*(1+interestRate)+X117+Z117+AA117)</f>
        <v/>
      </c>
      <c r="AC117" s="29">
        <f>IF(A117&gt;HU_T,0,HU_inv*EXP(HU_mu*A117))</f>
        <v/>
      </c>
      <c r="AD117" s="29">
        <f>IF(A117&gt;HU_T,0,MAX(0,AC117+AB117))</f>
        <v/>
      </c>
      <c r="AE117" s="29">
        <f>IF(A117&gt;HU_T,0,MAX(0,X117-Y117))</f>
        <v/>
      </c>
      <c r="AF117" s="63">
        <f>IF(AND($J$6,A117&gt;=1,A117&lt;=$Q$6-1),J117,0)</f>
        <v/>
      </c>
      <c r="AG117" s="29">
        <f>IF(OR(AF117=0,$S$6=0),0,IF((AD117+$L$6)&gt;$S$6/HU_alpha+$K$6,0.5*$S$6/HU_alpha,IF((AD117+$L$6)&gt;=$K$6,((AD117+$L$6)-$K$6)-0.5*HU_alpha/$S$6*((AD117+$L$6)-$K$6)^2,IF((AD117+$L$6)&gt;=$T$6,HU_beta*((AD117+$L$6)-$K$6),HU_beta*($T$6-$K$6)))))</f>
        <v/>
      </c>
      <c r="AH117" s="29">
        <f>IF(OR(AF117=0,$S$6=0),0,IF((AD117+$L$6+$N$6)&gt;$S$6/HU_alpha+$K$6,0.5*$S$6/HU_alpha,IF((AD117+$L$6+$N$6)&gt;=$K$6,((AD117+$L$6+$N$6)-$K$6)-0.5*HU_alpha/$S$6*((AD117+$L$6+$N$6)-$K$6)^2,IF((AD117+$L$6+$N$6)&gt;=$T$6,HU_beta*((AD117+$L$6+$N$6)-$K$6),HU_beta*($T$6-$K$6)))))</f>
        <v/>
      </c>
      <c r="AI117" s="29">
        <f>IF(OR(AF117=0,$S$6=0),0,IF((AD117+$K$6)&gt;$S$6/HU_alpha+$K$6,0.5*$S$6/HU_alpha,IF((AD117+$K$6)&gt;=$K$6,((AD117+$K$6)-$K$6)-0.5*HU_alpha/$S$6*((AD117+$K$6)-$K$6)^2,IF((AD117+$K$6)&gt;=$T$6,HU_beta*((AD117+$K$6)-$K$6),HU_beta*($T$6-$K$6)))))</f>
        <v/>
      </c>
      <c r="AJ117" s="63">
        <f>IF(AND($J$7,A117&gt;=1,A117&lt;=$Q$7-1),J117,0)</f>
        <v/>
      </c>
      <c r="AK117" s="29">
        <f>IF(OR(AJ117=0,$S$7=0),0,IF((AE117+$L$7)&gt;$S$7/HU_alpha+$K$7,0.5*$S$7/HU_alpha,IF((AE117+$L$7)&gt;=$K$7,((AE117+$L$7)-$K$7)-0.5*HU_alpha/$S$7*((AE117+$L$7)-$K$7)^2,IF((AE117+$L$7)&gt;=$T$7,HU_beta*((AE117+$L$7)-$K$7),HU_beta*($T$7-$K$7)))))</f>
        <v/>
      </c>
      <c r="AL117" s="29">
        <f>IF(OR(AJ117=0,$S$7=0),0,IF((AE117+$L$7+$N$7)&gt;$S$7/HU_alpha+$K$7,0.5*$S$7/HU_alpha,IF((AE117+$L$7+$N$7)&gt;=$K$7,((AE117+$L$7+$N$7)-$K$7)-0.5*HU_alpha/$S$7*((AE117+$L$7+$N$7)-$K$7)^2,IF((AE117+$L$7+$N$7)&gt;=$T$7,HU_beta*((AE117+$L$7+$N$7)-$K$7),HU_beta*($T$7-$K$7)))))</f>
        <v/>
      </c>
      <c r="AM117" s="29">
        <f>IF(OR(AJ117=0,$S$7=0),0,IF((AE117+$K$7)&gt;$S$7/HU_alpha+$K$7,0.5*$S$7/HU_alpha,IF((AE117+$K$7)&gt;=$K$7,((AE117+$K$7)-$K$7)-0.5*HU_alpha/$S$7*((AE117+$K$7)-$K$7)^2,IF((AE117+$K$7)&gt;=$T$7,HU_beta*((AE117+$K$7)-$K$7),HU_beta*($T$7-$K$7)))))</f>
        <v/>
      </c>
      <c r="AN117" s="63">
        <f>IF(AND($J$8,A117&gt;=1,A117&lt;=$Q$8-1),J117,0)</f>
        <v/>
      </c>
      <c r="AO117" s="29">
        <f>IF(OR(AN117=0,$S$8=0),0,IF((AE117+$L$8)&gt;$S$8/HU_alpha+$K$8,0.5*$S$8/HU_alpha,IF((AE117+$L$8)&gt;=$K$8,((AE117+$L$8)-$K$8)-0.5*HU_alpha/$S$8*((AE117+$L$8)-$K$8)^2,IF((AE117+$L$8)&gt;=$T$8,HU_beta*((AE117+$L$8)-$K$8),HU_beta*($T$8-$K$8)))))</f>
        <v/>
      </c>
      <c r="AP117" s="29">
        <f>IF(OR(AN117=0,$S$8=0),0,IF((AE117+$L$8+$N$8)&gt;$S$8/HU_alpha+$K$8,0.5*$S$8/HU_alpha,IF((AE117+$L$8+$N$8)&gt;=$K$8,((AE117+$L$8+$N$8)-$K$8)-0.5*HU_alpha/$S$8*((AE117+$L$8+$N$8)-$K$8)^2,IF((AE117+$L$8+$N$8)&gt;=$T$8,HU_beta*((AE117+$L$8+$N$8)-$K$8),HU_beta*($T$8-$K$8)))))</f>
        <v/>
      </c>
      <c r="AQ117" s="29">
        <f>IF(OR(AN117=0,$S$8=0),0,IF((AE117+$K$8)&gt;$S$8/HU_alpha+$K$8,0.5*$S$8/HU_alpha,IF((AE117+$K$8)&gt;=$K$8,((AE117+$K$8)-$K$8)-0.5*HU_alpha/$S$8*((AE117+$K$8)-$K$8)^2,IF((AE117+$K$8)&gt;=$T$8,HU_beta*((AE117+$K$8)-$K$8),HU_beta*($T$8-$K$8)))))</f>
        <v/>
      </c>
      <c r="AR117" s="63">
        <f>IF(AND($J$9,A117&gt;=1,A117&lt;=$Q$9-1),J117,0)</f>
        <v/>
      </c>
      <c r="AS117" s="29">
        <f>IF(OR(AR117=0,$S$9=0),0,IF((AE117+$L$9)&gt;$S$9/HU_alpha+$K$9,0.5*$S$9/HU_alpha,IF((AE117+$L$9)&gt;=$K$9,((AE117+$L$9)-$K$9)-0.5*HU_alpha/$S$9*((AE117+$L$9)-$K$9)^2,IF((AE117+$L$9)&gt;=$T$9,HU_beta*((AE117+$L$9)-$K$9),HU_beta*($T$9-$K$9)))))</f>
        <v/>
      </c>
      <c r="AT117" s="29">
        <f>IF(OR(AR117=0,$S$9=0),0,IF((AE117+$L$9+$N$9)&gt;$S$9/HU_alpha+$K$9,0.5*$S$9/HU_alpha,IF((AE117+$L$9+$N$9)&gt;=$K$9,((AE117+$L$9+$N$9)-$K$9)-0.5*HU_alpha/$S$9*((AE117+$L$9+$N$9)-$K$9)^2,IF((AE117+$L$9+$N$9)&gt;=$T$9,HU_beta*((AE117+$L$9+$N$9)-$K$9),HU_beta*($T$9-$K$9)))))</f>
        <v/>
      </c>
      <c r="AU117" s="29">
        <f>IF(OR(AR117=0,$S$9=0),0,IF((AE117+$K$9)&gt;$S$9/HU_alpha+$K$9,0.5*$S$9/HU_alpha,IF((AE117+$K$9)&gt;=$K$9,((AE117+$K$9)-$K$9)-0.5*HU_alpha/$S$9*((AE117+$K$9)-$K$9)^2,IF((AE117+$K$9)&gt;=$T$9,HU_beta*((AE117+$K$9)-$K$9),HU_beta*($T$9-$K$9)))))</f>
        <v/>
      </c>
      <c r="AV117" s="63">
        <f>IF(AND($J$10,A117=$Q$10),J117,0)</f>
        <v/>
      </c>
      <c r="AW117" s="29">
        <f>IF(OR(AV117=0,$S$10=0),0,IF((AD117+$L$10)&gt;$S$10/HU_alpha+$K$10,0.5*$S$10/HU_alpha,IF((AD117+$L$10)&gt;=$K$10,((AD117+$L$10)-$K$10)-0.5*HU_alpha/$S$10*((AD117+$L$10)-$K$10)^2,IF((AD117+$L$10)&gt;=$T$10,HU_beta*((AD117+$L$10)-$K$10),HU_beta*($T$10-$K$10)))))</f>
        <v/>
      </c>
      <c r="AX117" s="29">
        <f>IF(OR(AV117=0,$S$10=0),0,IF((AD117+$L$10+$N$10)&gt;$S$10/HU_alpha+$K$10,0.5*$S$10/HU_alpha,IF((AD117+$L$10+$N$10)&gt;=$K$10,((AD117+$L$10+$N$10)-$K$10)-0.5*HU_alpha/$S$10*((AD117+$L$10+$N$10)-$K$10)^2,IF((AD117+$L$10+$N$10)&gt;=$T$10,HU_beta*((AD117+$L$10+$N$10)-$K$10),HU_beta*($T$10-$K$10)))))</f>
        <v/>
      </c>
      <c r="AY117" s="29">
        <f>IF(OR(AV117=0,$S$10=0),0,IF((AD117+$K$10)&gt;$S$10/HU_alpha+$K$10,0.5*$S$10/HU_alpha,IF((AD117+$K$10)&gt;=$K$10,((AD117+$K$10)-$K$10)-0.5*HU_alpha/$S$10*((AD117+$K$10)-$K$10)^2,IF((AD117+$K$10)&gt;=$T$10,HU_beta*((AD117+$K$10)-$K$10),HU_beta*($T$10-$K$10)))))</f>
        <v/>
      </c>
      <c r="AZ117" s="63">
        <f>IF(AND($J$11,A117=$Q$11),J117,0)</f>
        <v/>
      </c>
      <c r="BA117" s="29">
        <f>IF(OR(AZ117=0,$S$11=0),0,IF((AE117+$L$11)&gt;$S$11/HU_alpha+$K$11,0.5*$S$11/HU_alpha,IF((AE117+$L$11)&gt;=$K$11,((AE117+$L$11)-$K$11)-0.5*HU_alpha/$S$11*((AE117+$L$11)-$K$11)^2,IF((AE117+$L$11)&gt;=$T$11,HU_beta*((AE117+$L$11)-$K$11),HU_beta*($T$11-$K$11)))))</f>
        <v/>
      </c>
      <c r="BB117" s="29">
        <f>IF(OR(AZ117=0,$S$11=0),0,IF((AE117+$L$11+$N$11)&gt;$S$11/HU_alpha+$K$11,0.5*$S$11/HU_alpha,IF((AE117+$L$11+$N$11)&gt;=$K$11,((AE117+$L$11+$N$11)-$K$11)-0.5*HU_alpha/$S$11*((AE117+$L$11+$N$11)-$K$11)^2,IF((AE117+$L$11+$N$11)&gt;=$T$11,HU_beta*((AE117+$L$11+$N$11)-$K$11),HU_beta*($T$11-$K$11)))))</f>
        <v/>
      </c>
      <c r="BC117" s="29">
        <f>IF(OR(AZ117=0,$S$11=0),0,IF((AE117+$K$11)&gt;$S$11/HU_alpha+$K$11,0.5*$S$11/HU_alpha,IF((AE117+$K$11)&gt;=$K$11,((AE117+$K$11)-$K$11)-0.5*HU_alpha/$S$11*((AE117+$K$11)-$K$11)^2,IF((AE117+$K$11)&gt;=$T$11,HU_beta*((AE117+$K$11)-$K$11),HU_beta*($T$11-$K$11)))))</f>
        <v/>
      </c>
      <c r="BD117" s="63">
        <f>IF(AND($J$12,A117=$Q$12),J117,0)</f>
        <v/>
      </c>
      <c r="BE117" s="29">
        <f>IF(OR(BD117=0,$S$12=0),0,IF((AE117+$L$12)&gt;$S$12/HU_alpha+$K$12,0.5*$S$12/HU_alpha,IF((AE117+$L$12)&gt;=$K$12,((AE117+$L$12)-$K$12)-0.5*HU_alpha/$S$12*((AE117+$L$12)-$K$12)^2,IF((AE117+$L$12)&gt;=$T$12,HU_beta*((AE117+$L$12)-$K$12),HU_beta*($T$12-$K$12)))))</f>
        <v/>
      </c>
      <c r="BF117" s="29">
        <f>IF(OR(BD117=0,$S$12=0),0,IF((AE117+$L$12+$N$12)&gt;$S$12/HU_alpha+$K$12,0.5*$S$12/HU_alpha,IF((AE117+$L$12+$N$12)&gt;=$K$12,((AE117+$L$12+$N$12)-$K$12)-0.5*HU_alpha/$S$12*((AE117+$L$12+$N$12)-$K$12)^2,IF((AE117+$L$12+$N$12)&gt;=$T$12,HU_beta*((AE117+$L$12+$N$12)-$K$12),HU_beta*($T$12-$K$12)))))</f>
        <v/>
      </c>
      <c r="BG117" s="29">
        <f>IF(OR(BD117=0,$S$12=0),0,IF((AE117+$K$12)&gt;$S$12/HU_alpha+$K$12,0.5*$S$12/HU_alpha,IF((AE117+$K$12)&gt;=$K$12,((AE117+$K$12)-$K$12)-0.5*HU_alpha/$S$12*((AE117+$K$12)-$K$12)^2,IF((AE117+$K$12)&gt;=$T$12,HU_beta*((AE117+$K$12)-$K$12),HU_beta*($T$12-$K$12)))))</f>
        <v/>
      </c>
      <c r="BH117" s="63">
        <f>IF(AND($J$13,A117=$Q$13),J117,0)</f>
        <v/>
      </c>
      <c r="BI117" s="29">
        <f>IF(OR(BH117=0,$S$13=0),0,IF((AE117+$L$13)&gt;$S$13/HU_alpha+$K$13,0.5*$S$13/HU_alpha,IF((AE117+$L$13)&gt;=$K$13,((AE117+$L$13)-$K$13)-0.5*HU_alpha/$S$13*((AE117+$L$13)-$K$13)^2,IF((AE117+$L$13)&gt;=$T$13,HU_beta*((AE117+$L$13)-$K$13),HU_beta*($T$13-$K$13)))))</f>
        <v/>
      </c>
      <c r="BJ117" s="29">
        <f>IF(OR(BH117=0,$S$13=0),0,IF((AE117+$L$13+$N$13)&gt;$S$13/HU_alpha+$K$13,0.5*$S$13/HU_alpha,IF((AE117+$L$13+$N$13)&gt;=$K$13,((AE117+$L$13+$N$13)-$K$13)-0.5*HU_alpha/$S$13*((AE117+$L$13+$N$13)-$K$13)^2,IF((AE117+$L$13+$N$13)&gt;=$T$13,HU_beta*((AE117+$L$13+$N$13)-$K$13),HU_beta*($T$13-$K$13)))))</f>
        <v/>
      </c>
      <c r="BK117" s="29">
        <f>IF(OR(BH117=0,$S$13=0),0,IF((AE117+$K$13)&gt;$S$13/HU_alpha+$K$13,0.5*$S$13/HU_alpha,IF((AE117+$K$13)&gt;=$K$13,((AE117+$K$13)-$K$13)-0.5*HU_alpha/$S$13*((AE117+$K$13)-$K$13)^2,IF((AE117+$K$13)&gt;=$T$13,HU_beta*((AE117+$K$13)-$K$13),HU_beta*($T$13-$K$13)))))</f>
        <v/>
      </c>
    </row>
    <row r="118">
      <c r="A118" s="61" t="n">
        <v>50</v>
      </c>
      <c r="B118" s="61">
        <f>HU_age+A118</f>
        <v/>
      </c>
      <c r="C118" s="52">
        <f>A118&lt;=HU_T</f>
        <v/>
      </c>
      <c r="D118" s="63">
        <f>IF(OR(A118&lt;1,A118&gt;HU_T),0,INDEX(HU_q_mort,HU_age+A118-17,HU_col))</f>
        <v/>
      </c>
      <c r="E118" s="63">
        <f>IF(OR(A118&lt;1,A118&gt;HU_T),0,INDEX(HU_q_adb,HU_age+A118-17,HU_col))</f>
        <v/>
      </c>
      <c r="F118" s="63">
        <f>IF(OR(A118&lt;1,A118&gt;HU_T),0,INDEX(HU_q_morb,HU_age+A118-17,HU_col))</f>
        <v/>
      </c>
      <c r="G118" s="63">
        <f>IF(OR(A118&lt;1,A118&gt;HU_T),0,INDEX(HU_q_ptd,HU_age+A118-17,HU_col))</f>
        <v/>
      </c>
      <c r="H118" s="63">
        <f>IF(OR(A118&lt;1,A118&gt;HU_T),0,INDEX(HU_q_dis,HU_age+A118-17,HU_col))</f>
        <v/>
      </c>
      <c r="I118" s="63">
        <f>IF(A118&gt;HU_T,0,I117*(1-D118)*(1-E118))</f>
        <v/>
      </c>
      <c r="J118" s="63">
        <f>IF(A118&gt;=HU_T,0,N(I119))</f>
        <v/>
      </c>
      <c r="K118" s="63">
        <f>K117*(1-G118)</f>
        <v/>
      </c>
      <c r="L118" s="63">
        <f>1-K118</f>
        <v/>
      </c>
      <c r="M118" s="63">
        <f>K117*G118</f>
        <v/>
      </c>
      <c r="N118" s="63">
        <f>N117*(1-H118)</f>
        <v/>
      </c>
      <c r="O118" s="63">
        <f>1-N117</f>
        <v/>
      </c>
      <c r="P118" s="63">
        <f>P117*(1-F118)</f>
        <v/>
      </c>
      <c r="Q118" s="63">
        <f>1-P117/INDEX($P$68:$P$150,MAX(1,A118-HU_ciYears))</f>
        <v/>
      </c>
      <c r="R118" s="60">
        <f>(1+inflationRate)^A118</f>
        <v/>
      </c>
      <c r="S118" s="29">
        <f>IF(OR(OR(A118&lt;1,A118&gt;HU_T),A118-1&gt;=HU_dtr),0,HU_inc0*(1+incomeGrowthRate)^A118)</f>
        <v/>
      </c>
      <c r="T118" s="60">
        <f>IF(A118&gt;HU_T,T117,T117*(1+INDEX(HU_ssG,HU_age+A118-17)))</f>
        <v/>
      </c>
      <c r="U118" s="29">
        <f>IF(AND(HU_dtr&gt;=1,A118=HU_dtr,A118&lt;=HU_T),MIN(S118*INDEX(HU_ssC,HU_age+A118-17)/(1-INDEX(HU_ssC,HU_age+A118-17)),INDEX(HU_ssCap,HU_age+A118-17))*T118,0)</f>
        <v/>
      </c>
      <c r="V118" s="29">
        <f>S118+U118+IF(AND(HU_wdOn,A118=HU_wdYear),HU_wdIncome,0)</f>
        <v/>
      </c>
      <c r="W118" s="60">
        <f>HU_ciProp*Q118+HU_tpdCut*L118+HU_disCut*O118</f>
        <v/>
      </c>
      <c r="X118" s="29">
        <f>IF(OR(A118&lt;1,A118&gt;HU_T),0,V118*(1-W118))</f>
        <v/>
      </c>
      <c r="Y118" s="29">
        <f>IF(OR(A118&lt;1,A118&gt;HU_T),0,IF(AND(HU_retExp&gt;0,A118-1&gt;=HU_dtr),HU_retExp,HU_exp0)*R118)</f>
        <v/>
      </c>
      <c r="Z118" s="29">
        <f>-Y118-IF(AND(HU_wdOn,A118=HU_wdYear),HU_wdOut,0)</f>
        <v/>
      </c>
      <c r="AA118" s="29">
        <f>IF(OR(A118&lt;1,A118&gt;HU_T),0,-HU_medCost*R118*F118-HU_tpdCost*R118*M118)</f>
        <v/>
      </c>
      <c r="AB118" s="29">
        <f>IF(A118&gt;HU_T,0,AB117*(1+interestRate)+X118+Z118+AA118)</f>
        <v/>
      </c>
      <c r="AC118" s="29">
        <f>IF(A118&gt;HU_T,0,HU_inv*EXP(HU_mu*A118))</f>
        <v/>
      </c>
      <c r="AD118" s="29">
        <f>IF(A118&gt;HU_T,0,MAX(0,AC118+AB118))</f>
        <v/>
      </c>
      <c r="AE118" s="29">
        <f>IF(A118&gt;HU_T,0,MAX(0,X118-Y118))</f>
        <v/>
      </c>
      <c r="AF118" s="63">
        <f>IF(AND($J$6,A118&gt;=1,A118&lt;=$Q$6-1),J118,0)</f>
        <v/>
      </c>
      <c r="AG118" s="29">
        <f>IF(OR(AF118=0,$S$6=0),0,IF((AD118+$L$6)&gt;$S$6/HU_alpha+$K$6,0.5*$S$6/HU_alpha,IF((AD118+$L$6)&gt;=$K$6,((AD118+$L$6)-$K$6)-0.5*HU_alpha/$S$6*((AD118+$L$6)-$K$6)^2,IF((AD118+$L$6)&gt;=$T$6,HU_beta*((AD118+$L$6)-$K$6),HU_beta*($T$6-$K$6)))))</f>
        <v/>
      </c>
      <c r="AH118" s="29">
        <f>IF(OR(AF118=0,$S$6=0),0,IF((AD118+$L$6+$N$6)&gt;$S$6/HU_alpha+$K$6,0.5*$S$6/HU_alpha,IF((AD118+$L$6+$N$6)&gt;=$K$6,((AD118+$L$6+$N$6)-$K$6)-0.5*HU_alpha/$S$6*((AD118+$L$6+$N$6)-$K$6)^2,IF((AD118+$L$6+$N$6)&gt;=$T$6,HU_beta*((AD118+$L$6+$N$6)-$K$6),HU_beta*($T$6-$K$6)))))</f>
        <v/>
      </c>
      <c r="AI118" s="29">
        <f>IF(OR(AF118=0,$S$6=0),0,IF((AD118+$K$6)&gt;$S$6/HU_alpha+$K$6,0.5*$S$6/HU_alpha,IF((AD118+$K$6)&gt;=$K$6,((AD118+$K$6)-$K$6)-0.5*HU_alpha/$S$6*((AD118+$K$6)-$K$6)^2,IF((AD118+$K$6)&gt;=$T$6,HU_beta*((AD118+$K$6)-$K$6),HU_beta*($T$6-$K$6)))))</f>
        <v/>
      </c>
      <c r="AJ118" s="63">
        <f>IF(AND($J$7,A118&gt;=1,A118&lt;=$Q$7-1),J118,0)</f>
        <v/>
      </c>
      <c r="AK118" s="29">
        <f>IF(OR(AJ118=0,$S$7=0),0,IF((AE118+$L$7)&gt;$S$7/HU_alpha+$K$7,0.5*$S$7/HU_alpha,IF((AE118+$L$7)&gt;=$K$7,((AE118+$L$7)-$K$7)-0.5*HU_alpha/$S$7*((AE118+$L$7)-$K$7)^2,IF((AE118+$L$7)&gt;=$T$7,HU_beta*((AE118+$L$7)-$K$7),HU_beta*($T$7-$K$7)))))</f>
        <v/>
      </c>
      <c r="AL118" s="29">
        <f>IF(OR(AJ118=0,$S$7=0),0,IF((AE118+$L$7+$N$7)&gt;$S$7/HU_alpha+$K$7,0.5*$S$7/HU_alpha,IF((AE118+$L$7+$N$7)&gt;=$K$7,((AE118+$L$7+$N$7)-$K$7)-0.5*HU_alpha/$S$7*((AE118+$L$7+$N$7)-$K$7)^2,IF((AE118+$L$7+$N$7)&gt;=$T$7,HU_beta*((AE118+$L$7+$N$7)-$K$7),HU_beta*($T$7-$K$7)))))</f>
        <v/>
      </c>
      <c r="AM118" s="29">
        <f>IF(OR(AJ118=0,$S$7=0),0,IF((AE118+$K$7)&gt;$S$7/HU_alpha+$K$7,0.5*$S$7/HU_alpha,IF((AE118+$K$7)&gt;=$K$7,((AE118+$K$7)-$K$7)-0.5*HU_alpha/$S$7*((AE118+$K$7)-$K$7)^2,IF((AE118+$K$7)&gt;=$T$7,HU_beta*((AE118+$K$7)-$K$7),HU_beta*($T$7-$K$7)))))</f>
        <v/>
      </c>
      <c r="AN118" s="63">
        <f>IF(AND($J$8,A118&gt;=1,A118&lt;=$Q$8-1),J118,0)</f>
        <v/>
      </c>
      <c r="AO118" s="29">
        <f>IF(OR(AN118=0,$S$8=0),0,IF((AE118+$L$8)&gt;$S$8/HU_alpha+$K$8,0.5*$S$8/HU_alpha,IF((AE118+$L$8)&gt;=$K$8,((AE118+$L$8)-$K$8)-0.5*HU_alpha/$S$8*((AE118+$L$8)-$K$8)^2,IF((AE118+$L$8)&gt;=$T$8,HU_beta*((AE118+$L$8)-$K$8),HU_beta*($T$8-$K$8)))))</f>
        <v/>
      </c>
      <c r="AP118" s="29">
        <f>IF(OR(AN118=0,$S$8=0),0,IF((AE118+$L$8+$N$8)&gt;$S$8/HU_alpha+$K$8,0.5*$S$8/HU_alpha,IF((AE118+$L$8+$N$8)&gt;=$K$8,((AE118+$L$8+$N$8)-$K$8)-0.5*HU_alpha/$S$8*((AE118+$L$8+$N$8)-$K$8)^2,IF((AE118+$L$8+$N$8)&gt;=$T$8,HU_beta*((AE118+$L$8+$N$8)-$K$8),HU_beta*($T$8-$K$8)))))</f>
        <v/>
      </c>
      <c r="AQ118" s="29">
        <f>IF(OR(AN118=0,$S$8=0),0,IF((AE118+$K$8)&gt;$S$8/HU_alpha+$K$8,0.5*$S$8/HU_alpha,IF((AE118+$K$8)&gt;=$K$8,((AE118+$K$8)-$K$8)-0.5*HU_alpha/$S$8*((AE118+$K$8)-$K$8)^2,IF((AE118+$K$8)&gt;=$T$8,HU_beta*((AE118+$K$8)-$K$8),HU_beta*($T$8-$K$8)))))</f>
        <v/>
      </c>
      <c r="AR118" s="63">
        <f>IF(AND($J$9,A118&gt;=1,A118&lt;=$Q$9-1),J118,0)</f>
        <v/>
      </c>
      <c r="AS118" s="29">
        <f>IF(OR(AR118=0,$S$9=0),0,IF((AE118+$L$9)&gt;$S$9/HU_alpha+$K$9,0.5*$S$9/HU_alpha,IF((AE118+$L$9)&gt;=$K$9,((AE118+$L$9)-$K$9)-0.5*HU_alpha/$S$9*((AE118+$L$9)-$K$9)^2,IF((AE118+$L$9)&gt;=$T$9,HU_beta*((AE118+$L$9)-$K$9),HU_beta*($T$9-$K$9)))))</f>
        <v/>
      </c>
      <c r="AT118" s="29">
        <f>IF(OR(AR118=0,$S$9=0),0,IF((AE118+$L$9+$N$9)&gt;$S$9/HU_alpha+$K$9,0.5*$S$9/HU_alpha,IF((AE118+$L$9+$N$9)&gt;=$K$9,((AE118+$L$9+$N$9)-$K$9)-0.5*HU_alpha/$S$9*((AE118+$L$9+$N$9)-$K$9)^2,IF((AE118+$L$9+$N$9)&gt;=$T$9,HU_beta*((AE118+$L$9+$N$9)-$K$9),HU_beta*($T$9-$K$9)))))</f>
        <v/>
      </c>
      <c r="AU118" s="29">
        <f>IF(OR(AR118=0,$S$9=0),0,IF((AE118+$K$9)&gt;$S$9/HU_alpha+$K$9,0.5*$S$9/HU_alpha,IF((AE118+$K$9)&gt;=$K$9,((AE118+$K$9)-$K$9)-0.5*HU_alpha/$S$9*((AE118+$K$9)-$K$9)^2,IF((AE118+$K$9)&gt;=$T$9,HU_beta*((AE118+$K$9)-$K$9),HU_beta*($T$9-$K$9)))))</f>
        <v/>
      </c>
      <c r="AV118" s="63">
        <f>IF(AND($J$10,A118=$Q$10),J118,0)</f>
        <v/>
      </c>
      <c r="AW118" s="29">
        <f>IF(OR(AV118=0,$S$10=0),0,IF((AD118+$L$10)&gt;$S$10/HU_alpha+$K$10,0.5*$S$10/HU_alpha,IF((AD118+$L$10)&gt;=$K$10,((AD118+$L$10)-$K$10)-0.5*HU_alpha/$S$10*((AD118+$L$10)-$K$10)^2,IF((AD118+$L$10)&gt;=$T$10,HU_beta*((AD118+$L$10)-$K$10),HU_beta*($T$10-$K$10)))))</f>
        <v/>
      </c>
      <c r="AX118" s="29">
        <f>IF(OR(AV118=0,$S$10=0),0,IF((AD118+$L$10+$N$10)&gt;$S$10/HU_alpha+$K$10,0.5*$S$10/HU_alpha,IF((AD118+$L$10+$N$10)&gt;=$K$10,((AD118+$L$10+$N$10)-$K$10)-0.5*HU_alpha/$S$10*((AD118+$L$10+$N$10)-$K$10)^2,IF((AD118+$L$10+$N$10)&gt;=$T$10,HU_beta*((AD118+$L$10+$N$10)-$K$10),HU_beta*($T$10-$K$10)))))</f>
        <v/>
      </c>
      <c r="AY118" s="29">
        <f>IF(OR(AV118=0,$S$10=0),0,IF((AD118+$K$10)&gt;$S$10/HU_alpha+$K$10,0.5*$S$10/HU_alpha,IF((AD118+$K$10)&gt;=$K$10,((AD118+$K$10)-$K$10)-0.5*HU_alpha/$S$10*((AD118+$K$10)-$K$10)^2,IF((AD118+$K$10)&gt;=$T$10,HU_beta*((AD118+$K$10)-$K$10),HU_beta*($T$10-$K$10)))))</f>
        <v/>
      </c>
      <c r="AZ118" s="63">
        <f>IF(AND($J$11,A118=$Q$11),J118,0)</f>
        <v/>
      </c>
      <c r="BA118" s="29">
        <f>IF(OR(AZ118=0,$S$11=0),0,IF((AE118+$L$11)&gt;$S$11/HU_alpha+$K$11,0.5*$S$11/HU_alpha,IF((AE118+$L$11)&gt;=$K$11,((AE118+$L$11)-$K$11)-0.5*HU_alpha/$S$11*((AE118+$L$11)-$K$11)^2,IF((AE118+$L$11)&gt;=$T$11,HU_beta*((AE118+$L$11)-$K$11),HU_beta*($T$11-$K$11)))))</f>
        <v/>
      </c>
      <c r="BB118" s="29">
        <f>IF(OR(AZ118=0,$S$11=0),0,IF((AE118+$L$11+$N$11)&gt;$S$11/HU_alpha+$K$11,0.5*$S$11/HU_alpha,IF((AE118+$L$11+$N$11)&gt;=$K$11,((AE118+$L$11+$N$11)-$K$11)-0.5*HU_alpha/$S$11*((AE118+$L$11+$N$11)-$K$11)^2,IF((AE118+$L$11+$N$11)&gt;=$T$11,HU_beta*((AE118+$L$11+$N$11)-$K$11),HU_beta*($T$11-$K$11)))))</f>
        <v/>
      </c>
      <c r="BC118" s="29">
        <f>IF(OR(AZ118=0,$S$11=0),0,IF((AE118+$K$11)&gt;$S$11/HU_alpha+$K$11,0.5*$S$11/HU_alpha,IF((AE118+$K$11)&gt;=$K$11,((AE118+$K$11)-$K$11)-0.5*HU_alpha/$S$11*((AE118+$K$11)-$K$11)^2,IF((AE118+$K$11)&gt;=$T$11,HU_beta*((AE118+$K$11)-$K$11),HU_beta*($T$11-$K$11)))))</f>
        <v/>
      </c>
      <c r="BD118" s="63">
        <f>IF(AND($J$12,A118=$Q$12),J118,0)</f>
        <v/>
      </c>
      <c r="BE118" s="29">
        <f>IF(OR(BD118=0,$S$12=0),0,IF((AE118+$L$12)&gt;$S$12/HU_alpha+$K$12,0.5*$S$12/HU_alpha,IF((AE118+$L$12)&gt;=$K$12,((AE118+$L$12)-$K$12)-0.5*HU_alpha/$S$12*((AE118+$L$12)-$K$12)^2,IF((AE118+$L$12)&gt;=$T$12,HU_beta*((AE118+$L$12)-$K$12),HU_beta*($T$12-$K$12)))))</f>
        <v/>
      </c>
      <c r="BF118" s="29">
        <f>IF(OR(BD118=0,$S$12=0),0,IF((AE118+$L$12+$N$12)&gt;$S$12/HU_alpha+$K$12,0.5*$S$12/HU_alpha,IF((AE118+$L$12+$N$12)&gt;=$K$12,((AE118+$L$12+$N$12)-$K$12)-0.5*HU_alpha/$S$12*((AE118+$L$12+$N$12)-$K$12)^2,IF((AE118+$L$12+$N$12)&gt;=$T$12,HU_beta*((AE118+$L$12+$N$12)-$K$12),HU_beta*($T$12-$K$12)))))</f>
        <v/>
      </c>
      <c r="BG118" s="29">
        <f>IF(OR(BD118=0,$S$12=0),0,IF((AE118+$K$12)&gt;$S$12/HU_alpha+$K$12,0.5*$S$12/HU_alpha,IF((AE118+$K$12)&gt;=$K$12,((AE118+$K$12)-$K$12)-0.5*HU_alpha/$S$12*((AE118+$K$12)-$K$12)^2,IF((AE118+$K$12)&gt;=$T$12,HU_beta*((AE118+$K$12)-$K$12),HU_beta*($T$12-$K$12)))))</f>
        <v/>
      </c>
      <c r="BH118" s="63">
        <f>IF(AND($J$13,A118=$Q$13),J118,0)</f>
        <v/>
      </c>
      <c r="BI118" s="29">
        <f>IF(OR(BH118=0,$S$13=0),0,IF((AE118+$L$13)&gt;$S$13/HU_alpha+$K$13,0.5*$S$13/HU_alpha,IF((AE118+$L$13)&gt;=$K$13,((AE118+$L$13)-$K$13)-0.5*HU_alpha/$S$13*((AE118+$L$13)-$K$13)^2,IF((AE118+$L$13)&gt;=$T$13,HU_beta*((AE118+$L$13)-$K$13),HU_beta*($T$13-$K$13)))))</f>
        <v/>
      </c>
      <c r="BJ118" s="29">
        <f>IF(OR(BH118=0,$S$13=0),0,IF((AE118+$L$13+$N$13)&gt;$S$13/HU_alpha+$K$13,0.5*$S$13/HU_alpha,IF((AE118+$L$13+$N$13)&gt;=$K$13,((AE118+$L$13+$N$13)-$K$13)-0.5*HU_alpha/$S$13*((AE118+$L$13+$N$13)-$K$13)^2,IF((AE118+$L$13+$N$13)&gt;=$T$13,HU_beta*((AE118+$L$13+$N$13)-$K$13),HU_beta*($T$13-$K$13)))))</f>
        <v/>
      </c>
      <c r="BK118" s="29">
        <f>IF(OR(BH118=0,$S$13=0),0,IF((AE118+$K$13)&gt;$S$13/HU_alpha+$K$13,0.5*$S$13/HU_alpha,IF((AE118+$K$13)&gt;=$K$13,((AE118+$K$13)-$K$13)-0.5*HU_alpha/$S$13*((AE118+$K$13)-$K$13)^2,IF((AE118+$K$13)&gt;=$T$13,HU_beta*((AE118+$K$13)-$K$13),HU_beta*($T$13-$K$13)))))</f>
        <v/>
      </c>
    </row>
    <row r="119">
      <c r="A119" s="61" t="n">
        <v>51</v>
      </c>
      <c r="B119" s="61">
        <f>HU_age+A119</f>
        <v/>
      </c>
      <c r="C119" s="52">
        <f>A119&lt;=HU_T</f>
        <v/>
      </c>
      <c r="D119" s="63">
        <f>IF(OR(A119&lt;1,A119&gt;HU_T),0,INDEX(HU_q_mort,HU_age+A119-17,HU_col))</f>
        <v/>
      </c>
      <c r="E119" s="63">
        <f>IF(OR(A119&lt;1,A119&gt;HU_T),0,INDEX(HU_q_adb,HU_age+A119-17,HU_col))</f>
        <v/>
      </c>
      <c r="F119" s="63">
        <f>IF(OR(A119&lt;1,A119&gt;HU_T),0,INDEX(HU_q_morb,HU_age+A119-17,HU_col))</f>
        <v/>
      </c>
      <c r="G119" s="63">
        <f>IF(OR(A119&lt;1,A119&gt;HU_T),0,INDEX(HU_q_ptd,HU_age+A119-17,HU_col))</f>
        <v/>
      </c>
      <c r="H119" s="63">
        <f>IF(OR(A119&lt;1,A119&gt;HU_T),0,INDEX(HU_q_dis,HU_age+A119-17,HU_col))</f>
        <v/>
      </c>
      <c r="I119" s="63">
        <f>IF(A119&gt;HU_T,0,I118*(1-D119)*(1-E119))</f>
        <v/>
      </c>
      <c r="J119" s="63">
        <f>IF(A119&gt;=HU_T,0,N(I120))</f>
        <v/>
      </c>
      <c r="K119" s="63">
        <f>K118*(1-G119)</f>
        <v/>
      </c>
      <c r="L119" s="63">
        <f>1-K119</f>
        <v/>
      </c>
      <c r="M119" s="63">
        <f>K118*G119</f>
        <v/>
      </c>
      <c r="N119" s="63">
        <f>N118*(1-H119)</f>
        <v/>
      </c>
      <c r="O119" s="63">
        <f>1-N118</f>
        <v/>
      </c>
      <c r="P119" s="63">
        <f>P118*(1-F119)</f>
        <v/>
      </c>
      <c r="Q119" s="63">
        <f>1-P118/INDEX($P$68:$P$150,MAX(1,A119-HU_ciYears))</f>
        <v/>
      </c>
      <c r="R119" s="60">
        <f>(1+inflationRate)^A119</f>
        <v/>
      </c>
      <c r="S119" s="29">
        <f>IF(OR(OR(A119&lt;1,A119&gt;HU_T),A119-1&gt;=HU_dtr),0,HU_inc0*(1+incomeGrowthRate)^A119)</f>
        <v/>
      </c>
      <c r="T119" s="60">
        <f>IF(A119&gt;HU_T,T118,T118*(1+INDEX(HU_ssG,HU_age+A119-17)))</f>
        <v/>
      </c>
      <c r="U119" s="29">
        <f>IF(AND(HU_dtr&gt;=1,A119=HU_dtr,A119&lt;=HU_T),MIN(S119*INDEX(HU_ssC,HU_age+A119-17)/(1-INDEX(HU_ssC,HU_age+A119-17)),INDEX(HU_ssCap,HU_age+A119-17))*T119,0)</f>
        <v/>
      </c>
      <c r="V119" s="29">
        <f>S119+U119+IF(AND(HU_wdOn,A119=HU_wdYear),HU_wdIncome,0)</f>
        <v/>
      </c>
      <c r="W119" s="60">
        <f>HU_ciProp*Q119+HU_tpdCut*L119+HU_disCut*O119</f>
        <v/>
      </c>
      <c r="X119" s="29">
        <f>IF(OR(A119&lt;1,A119&gt;HU_T),0,V119*(1-W119))</f>
        <v/>
      </c>
      <c r="Y119" s="29">
        <f>IF(OR(A119&lt;1,A119&gt;HU_T),0,IF(AND(HU_retExp&gt;0,A119-1&gt;=HU_dtr),HU_retExp,HU_exp0)*R119)</f>
        <v/>
      </c>
      <c r="Z119" s="29">
        <f>-Y119-IF(AND(HU_wdOn,A119=HU_wdYear),HU_wdOut,0)</f>
        <v/>
      </c>
      <c r="AA119" s="29">
        <f>IF(OR(A119&lt;1,A119&gt;HU_T),0,-HU_medCost*R119*F119-HU_tpdCost*R119*M119)</f>
        <v/>
      </c>
      <c r="AB119" s="29">
        <f>IF(A119&gt;HU_T,0,AB118*(1+interestRate)+X119+Z119+AA119)</f>
        <v/>
      </c>
      <c r="AC119" s="29">
        <f>IF(A119&gt;HU_T,0,HU_inv*EXP(HU_mu*A119))</f>
        <v/>
      </c>
      <c r="AD119" s="29">
        <f>IF(A119&gt;HU_T,0,MAX(0,AC119+AB119))</f>
        <v/>
      </c>
      <c r="AE119" s="29">
        <f>IF(A119&gt;HU_T,0,MAX(0,X119-Y119))</f>
        <v/>
      </c>
      <c r="AF119" s="63">
        <f>IF(AND($J$6,A119&gt;=1,A119&lt;=$Q$6-1),J119,0)</f>
        <v/>
      </c>
      <c r="AG119" s="29">
        <f>IF(OR(AF119=0,$S$6=0),0,IF((AD119+$L$6)&gt;$S$6/HU_alpha+$K$6,0.5*$S$6/HU_alpha,IF((AD119+$L$6)&gt;=$K$6,((AD119+$L$6)-$K$6)-0.5*HU_alpha/$S$6*((AD119+$L$6)-$K$6)^2,IF((AD119+$L$6)&gt;=$T$6,HU_beta*((AD119+$L$6)-$K$6),HU_beta*($T$6-$K$6)))))</f>
        <v/>
      </c>
      <c r="AH119" s="29">
        <f>IF(OR(AF119=0,$S$6=0),0,IF((AD119+$L$6+$N$6)&gt;$S$6/HU_alpha+$K$6,0.5*$S$6/HU_alpha,IF((AD119+$L$6+$N$6)&gt;=$K$6,((AD119+$L$6+$N$6)-$K$6)-0.5*HU_alpha/$S$6*((AD119+$L$6+$N$6)-$K$6)^2,IF((AD119+$L$6+$N$6)&gt;=$T$6,HU_beta*((AD119+$L$6+$N$6)-$K$6),HU_beta*($T$6-$K$6)))))</f>
        <v/>
      </c>
      <c r="AI119" s="29">
        <f>IF(OR(AF119=0,$S$6=0),0,IF((AD119+$K$6)&gt;$S$6/HU_alpha+$K$6,0.5*$S$6/HU_alpha,IF((AD119+$K$6)&gt;=$K$6,((AD119+$K$6)-$K$6)-0.5*HU_alpha/$S$6*((AD119+$K$6)-$K$6)^2,IF((AD119+$K$6)&gt;=$T$6,HU_beta*((AD119+$K$6)-$K$6),HU_beta*($T$6-$K$6)))))</f>
        <v/>
      </c>
      <c r="AJ119" s="63">
        <f>IF(AND($J$7,A119&gt;=1,A119&lt;=$Q$7-1),J119,0)</f>
        <v/>
      </c>
      <c r="AK119" s="29">
        <f>IF(OR(AJ119=0,$S$7=0),0,IF((AE119+$L$7)&gt;$S$7/HU_alpha+$K$7,0.5*$S$7/HU_alpha,IF((AE119+$L$7)&gt;=$K$7,((AE119+$L$7)-$K$7)-0.5*HU_alpha/$S$7*((AE119+$L$7)-$K$7)^2,IF((AE119+$L$7)&gt;=$T$7,HU_beta*((AE119+$L$7)-$K$7),HU_beta*($T$7-$K$7)))))</f>
        <v/>
      </c>
      <c r="AL119" s="29">
        <f>IF(OR(AJ119=0,$S$7=0),0,IF((AE119+$L$7+$N$7)&gt;$S$7/HU_alpha+$K$7,0.5*$S$7/HU_alpha,IF((AE119+$L$7+$N$7)&gt;=$K$7,((AE119+$L$7+$N$7)-$K$7)-0.5*HU_alpha/$S$7*((AE119+$L$7+$N$7)-$K$7)^2,IF((AE119+$L$7+$N$7)&gt;=$T$7,HU_beta*((AE119+$L$7+$N$7)-$K$7),HU_beta*($T$7-$K$7)))))</f>
        <v/>
      </c>
      <c r="AM119" s="29">
        <f>IF(OR(AJ119=0,$S$7=0),0,IF((AE119+$K$7)&gt;$S$7/HU_alpha+$K$7,0.5*$S$7/HU_alpha,IF((AE119+$K$7)&gt;=$K$7,((AE119+$K$7)-$K$7)-0.5*HU_alpha/$S$7*((AE119+$K$7)-$K$7)^2,IF((AE119+$K$7)&gt;=$T$7,HU_beta*((AE119+$K$7)-$K$7),HU_beta*($T$7-$K$7)))))</f>
        <v/>
      </c>
      <c r="AN119" s="63">
        <f>IF(AND($J$8,A119&gt;=1,A119&lt;=$Q$8-1),J119,0)</f>
        <v/>
      </c>
      <c r="AO119" s="29">
        <f>IF(OR(AN119=0,$S$8=0),0,IF((AE119+$L$8)&gt;$S$8/HU_alpha+$K$8,0.5*$S$8/HU_alpha,IF((AE119+$L$8)&gt;=$K$8,((AE119+$L$8)-$K$8)-0.5*HU_alpha/$S$8*((AE119+$L$8)-$K$8)^2,IF((AE119+$L$8)&gt;=$T$8,HU_beta*((AE119+$L$8)-$K$8),HU_beta*($T$8-$K$8)))))</f>
        <v/>
      </c>
      <c r="AP119" s="29">
        <f>IF(OR(AN119=0,$S$8=0),0,IF((AE119+$L$8+$N$8)&gt;$S$8/HU_alpha+$K$8,0.5*$S$8/HU_alpha,IF((AE119+$L$8+$N$8)&gt;=$K$8,((AE119+$L$8+$N$8)-$K$8)-0.5*HU_alpha/$S$8*((AE119+$L$8+$N$8)-$K$8)^2,IF((AE119+$L$8+$N$8)&gt;=$T$8,HU_beta*((AE119+$L$8+$N$8)-$K$8),HU_beta*($T$8-$K$8)))))</f>
        <v/>
      </c>
      <c r="AQ119" s="29">
        <f>IF(OR(AN119=0,$S$8=0),0,IF((AE119+$K$8)&gt;$S$8/HU_alpha+$K$8,0.5*$S$8/HU_alpha,IF((AE119+$K$8)&gt;=$K$8,((AE119+$K$8)-$K$8)-0.5*HU_alpha/$S$8*((AE119+$K$8)-$K$8)^2,IF((AE119+$K$8)&gt;=$T$8,HU_beta*((AE119+$K$8)-$K$8),HU_beta*($T$8-$K$8)))))</f>
        <v/>
      </c>
      <c r="AR119" s="63">
        <f>IF(AND($J$9,A119&gt;=1,A119&lt;=$Q$9-1),J119,0)</f>
        <v/>
      </c>
      <c r="AS119" s="29">
        <f>IF(OR(AR119=0,$S$9=0),0,IF((AE119+$L$9)&gt;$S$9/HU_alpha+$K$9,0.5*$S$9/HU_alpha,IF((AE119+$L$9)&gt;=$K$9,((AE119+$L$9)-$K$9)-0.5*HU_alpha/$S$9*((AE119+$L$9)-$K$9)^2,IF((AE119+$L$9)&gt;=$T$9,HU_beta*((AE119+$L$9)-$K$9),HU_beta*($T$9-$K$9)))))</f>
        <v/>
      </c>
      <c r="AT119" s="29">
        <f>IF(OR(AR119=0,$S$9=0),0,IF((AE119+$L$9+$N$9)&gt;$S$9/HU_alpha+$K$9,0.5*$S$9/HU_alpha,IF((AE119+$L$9+$N$9)&gt;=$K$9,((AE119+$L$9+$N$9)-$K$9)-0.5*HU_alpha/$S$9*((AE119+$L$9+$N$9)-$K$9)^2,IF((AE119+$L$9+$N$9)&gt;=$T$9,HU_beta*((AE119+$L$9+$N$9)-$K$9),HU_beta*($T$9-$K$9)))))</f>
        <v/>
      </c>
      <c r="AU119" s="29">
        <f>IF(OR(AR119=0,$S$9=0),0,IF((AE119+$K$9)&gt;$S$9/HU_alpha+$K$9,0.5*$S$9/HU_alpha,IF((AE119+$K$9)&gt;=$K$9,((AE119+$K$9)-$K$9)-0.5*HU_alpha/$S$9*((AE119+$K$9)-$K$9)^2,IF((AE119+$K$9)&gt;=$T$9,HU_beta*((AE119+$K$9)-$K$9),HU_beta*($T$9-$K$9)))))</f>
        <v/>
      </c>
      <c r="AV119" s="63">
        <f>IF(AND($J$10,A119=$Q$10),J119,0)</f>
        <v/>
      </c>
      <c r="AW119" s="29">
        <f>IF(OR(AV119=0,$S$10=0),0,IF((AD119+$L$10)&gt;$S$10/HU_alpha+$K$10,0.5*$S$10/HU_alpha,IF((AD119+$L$10)&gt;=$K$10,((AD119+$L$10)-$K$10)-0.5*HU_alpha/$S$10*((AD119+$L$10)-$K$10)^2,IF((AD119+$L$10)&gt;=$T$10,HU_beta*((AD119+$L$10)-$K$10),HU_beta*($T$10-$K$10)))))</f>
        <v/>
      </c>
      <c r="AX119" s="29">
        <f>IF(OR(AV119=0,$S$10=0),0,IF((AD119+$L$10+$N$10)&gt;$S$10/HU_alpha+$K$10,0.5*$S$10/HU_alpha,IF((AD119+$L$10+$N$10)&gt;=$K$10,((AD119+$L$10+$N$10)-$K$10)-0.5*HU_alpha/$S$10*((AD119+$L$10+$N$10)-$K$10)^2,IF((AD119+$L$10+$N$10)&gt;=$T$10,HU_beta*((AD119+$L$10+$N$10)-$K$10),HU_beta*($T$10-$K$10)))))</f>
        <v/>
      </c>
      <c r="AY119" s="29">
        <f>IF(OR(AV119=0,$S$10=0),0,IF((AD119+$K$10)&gt;$S$10/HU_alpha+$K$10,0.5*$S$10/HU_alpha,IF((AD119+$K$10)&gt;=$K$10,((AD119+$K$10)-$K$10)-0.5*HU_alpha/$S$10*((AD119+$K$10)-$K$10)^2,IF((AD119+$K$10)&gt;=$T$10,HU_beta*((AD119+$K$10)-$K$10),HU_beta*($T$10-$K$10)))))</f>
        <v/>
      </c>
      <c r="AZ119" s="63">
        <f>IF(AND($J$11,A119=$Q$11),J119,0)</f>
        <v/>
      </c>
      <c r="BA119" s="29">
        <f>IF(OR(AZ119=0,$S$11=0),0,IF((AE119+$L$11)&gt;$S$11/HU_alpha+$K$11,0.5*$S$11/HU_alpha,IF((AE119+$L$11)&gt;=$K$11,((AE119+$L$11)-$K$11)-0.5*HU_alpha/$S$11*((AE119+$L$11)-$K$11)^2,IF((AE119+$L$11)&gt;=$T$11,HU_beta*((AE119+$L$11)-$K$11),HU_beta*($T$11-$K$11)))))</f>
        <v/>
      </c>
      <c r="BB119" s="29">
        <f>IF(OR(AZ119=0,$S$11=0),0,IF((AE119+$L$11+$N$11)&gt;$S$11/HU_alpha+$K$11,0.5*$S$11/HU_alpha,IF((AE119+$L$11+$N$11)&gt;=$K$11,((AE119+$L$11+$N$11)-$K$11)-0.5*HU_alpha/$S$11*((AE119+$L$11+$N$11)-$K$11)^2,IF((AE119+$L$11+$N$11)&gt;=$T$11,HU_beta*((AE119+$L$11+$N$11)-$K$11),HU_beta*($T$11-$K$11)))))</f>
        <v/>
      </c>
      <c r="BC119" s="29">
        <f>IF(OR(AZ119=0,$S$11=0),0,IF((AE119+$K$11)&gt;$S$11/HU_alpha+$K$11,0.5*$S$11/HU_alpha,IF((AE119+$K$11)&gt;=$K$11,((AE119+$K$11)-$K$11)-0.5*HU_alpha/$S$11*((AE119+$K$11)-$K$11)^2,IF((AE119+$K$11)&gt;=$T$11,HU_beta*((AE119+$K$11)-$K$11),HU_beta*($T$11-$K$11)))))</f>
        <v/>
      </c>
      <c r="BD119" s="63">
        <f>IF(AND($J$12,A119=$Q$12),J119,0)</f>
        <v/>
      </c>
      <c r="BE119" s="29">
        <f>IF(OR(BD119=0,$S$12=0),0,IF((AE119+$L$12)&gt;$S$12/HU_alpha+$K$12,0.5*$S$12/HU_alpha,IF((AE119+$L$12)&gt;=$K$12,((AE119+$L$12)-$K$12)-0.5*HU_alpha/$S$12*((AE119+$L$12)-$K$12)^2,IF((AE119+$L$12)&gt;=$T$12,HU_beta*((AE119+$L$12)-$K$12),HU_beta*($T$12-$K$12)))))</f>
        <v/>
      </c>
      <c r="BF119" s="29">
        <f>IF(OR(BD119=0,$S$12=0),0,IF((AE119+$L$12+$N$12)&gt;$S$12/HU_alpha+$K$12,0.5*$S$12/HU_alpha,IF((AE119+$L$12+$N$12)&gt;=$K$12,((AE119+$L$12+$N$12)-$K$12)-0.5*HU_alpha/$S$12*((AE119+$L$12+$N$12)-$K$12)^2,IF((AE119+$L$12+$N$12)&gt;=$T$12,HU_beta*((AE119+$L$12+$N$12)-$K$12),HU_beta*($T$12-$K$12)))))</f>
        <v/>
      </c>
      <c r="BG119" s="29">
        <f>IF(OR(BD119=0,$S$12=0),0,IF((AE119+$K$12)&gt;$S$12/HU_alpha+$K$12,0.5*$S$12/HU_alpha,IF((AE119+$K$12)&gt;=$K$12,((AE119+$K$12)-$K$12)-0.5*HU_alpha/$S$12*((AE119+$K$12)-$K$12)^2,IF((AE119+$K$12)&gt;=$T$12,HU_beta*((AE119+$K$12)-$K$12),HU_beta*($T$12-$K$12)))))</f>
        <v/>
      </c>
      <c r="BH119" s="63">
        <f>IF(AND($J$13,A119=$Q$13),J119,0)</f>
        <v/>
      </c>
      <c r="BI119" s="29">
        <f>IF(OR(BH119=0,$S$13=0),0,IF((AE119+$L$13)&gt;$S$13/HU_alpha+$K$13,0.5*$S$13/HU_alpha,IF((AE119+$L$13)&gt;=$K$13,((AE119+$L$13)-$K$13)-0.5*HU_alpha/$S$13*((AE119+$L$13)-$K$13)^2,IF((AE119+$L$13)&gt;=$T$13,HU_beta*((AE119+$L$13)-$K$13),HU_beta*($T$13-$K$13)))))</f>
        <v/>
      </c>
      <c r="BJ119" s="29">
        <f>IF(OR(BH119=0,$S$13=0),0,IF((AE119+$L$13+$N$13)&gt;$S$13/HU_alpha+$K$13,0.5*$S$13/HU_alpha,IF((AE119+$L$13+$N$13)&gt;=$K$13,((AE119+$L$13+$N$13)-$K$13)-0.5*HU_alpha/$S$13*((AE119+$L$13+$N$13)-$K$13)^2,IF((AE119+$L$13+$N$13)&gt;=$T$13,HU_beta*((AE119+$L$13+$N$13)-$K$13),HU_beta*($T$13-$K$13)))))</f>
        <v/>
      </c>
      <c r="BK119" s="29">
        <f>IF(OR(BH119=0,$S$13=0),0,IF((AE119+$K$13)&gt;$S$13/HU_alpha+$K$13,0.5*$S$13/HU_alpha,IF((AE119+$K$13)&gt;=$K$13,((AE119+$K$13)-$K$13)-0.5*HU_alpha/$S$13*((AE119+$K$13)-$K$13)^2,IF((AE119+$K$13)&gt;=$T$13,HU_beta*((AE119+$K$13)-$K$13),HU_beta*($T$13-$K$13)))))</f>
        <v/>
      </c>
    </row>
    <row r="120">
      <c r="A120" s="61" t="n">
        <v>52</v>
      </c>
      <c r="B120" s="61">
        <f>HU_age+A120</f>
        <v/>
      </c>
      <c r="C120" s="52">
        <f>A120&lt;=HU_T</f>
        <v/>
      </c>
      <c r="D120" s="63">
        <f>IF(OR(A120&lt;1,A120&gt;HU_T),0,INDEX(HU_q_mort,HU_age+A120-17,HU_col))</f>
        <v/>
      </c>
      <c r="E120" s="63">
        <f>IF(OR(A120&lt;1,A120&gt;HU_T),0,INDEX(HU_q_adb,HU_age+A120-17,HU_col))</f>
        <v/>
      </c>
      <c r="F120" s="63">
        <f>IF(OR(A120&lt;1,A120&gt;HU_T),0,INDEX(HU_q_morb,HU_age+A120-17,HU_col))</f>
        <v/>
      </c>
      <c r="G120" s="63">
        <f>IF(OR(A120&lt;1,A120&gt;HU_T),0,INDEX(HU_q_ptd,HU_age+A120-17,HU_col))</f>
        <v/>
      </c>
      <c r="H120" s="63">
        <f>IF(OR(A120&lt;1,A120&gt;HU_T),0,INDEX(HU_q_dis,HU_age+A120-17,HU_col))</f>
        <v/>
      </c>
      <c r="I120" s="63">
        <f>IF(A120&gt;HU_T,0,I119*(1-D120)*(1-E120))</f>
        <v/>
      </c>
      <c r="J120" s="63">
        <f>IF(A120&gt;=HU_T,0,N(I121))</f>
        <v/>
      </c>
      <c r="K120" s="63">
        <f>K119*(1-G120)</f>
        <v/>
      </c>
      <c r="L120" s="63">
        <f>1-K120</f>
        <v/>
      </c>
      <c r="M120" s="63">
        <f>K119*G120</f>
        <v/>
      </c>
      <c r="N120" s="63">
        <f>N119*(1-H120)</f>
        <v/>
      </c>
      <c r="O120" s="63">
        <f>1-N119</f>
        <v/>
      </c>
      <c r="P120" s="63">
        <f>P119*(1-F120)</f>
        <v/>
      </c>
      <c r="Q120" s="63">
        <f>1-P119/INDEX($P$68:$P$150,MAX(1,A120-HU_ciYears))</f>
        <v/>
      </c>
      <c r="R120" s="60">
        <f>(1+inflationRate)^A120</f>
        <v/>
      </c>
      <c r="S120" s="29">
        <f>IF(OR(OR(A120&lt;1,A120&gt;HU_T),A120-1&gt;=HU_dtr),0,HU_inc0*(1+incomeGrowthRate)^A120)</f>
        <v/>
      </c>
      <c r="T120" s="60">
        <f>IF(A120&gt;HU_T,T119,T119*(1+INDEX(HU_ssG,HU_age+A120-17)))</f>
        <v/>
      </c>
      <c r="U120" s="29">
        <f>IF(AND(HU_dtr&gt;=1,A120=HU_dtr,A120&lt;=HU_T),MIN(S120*INDEX(HU_ssC,HU_age+A120-17)/(1-INDEX(HU_ssC,HU_age+A120-17)),INDEX(HU_ssCap,HU_age+A120-17))*T120,0)</f>
        <v/>
      </c>
      <c r="V120" s="29">
        <f>S120+U120+IF(AND(HU_wdOn,A120=HU_wdYear),HU_wdIncome,0)</f>
        <v/>
      </c>
      <c r="W120" s="60">
        <f>HU_ciProp*Q120+HU_tpdCut*L120+HU_disCut*O120</f>
        <v/>
      </c>
      <c r="X120" s="29">
        <f>IF(OR(A120&lt;1,A120&gt;HU_T),0,V120*(1-W120))</f>
        <v/>
      </c>
      <c r="Y120" s="29">
        <f>IF(OR(A120&lt;1,A120&gt;HU_T),0,IF(AND(HU_retExp&gt;0,A120-1&gt;=HU_dtr),HU_retExp,HU_exp0)*R120)</f>
        <v/>
      </c>
      <c r="Z120" s="29">
        <f>-Y120-IF(AND(HU_wdOn,A120=HU_wdYear),HU_wdOut,0)</f>
        <v/>
      </c>
      <c r="AA120" s="29">
        <f>IF(OR(A120&lt;1,A120&gt;HU_T),0,-HU_medCost*R120*F120-HU_tpdCost*R120*M120)</f>
        <v/>
      </c>
      <c r="AB120" s="29">
        <f>IF(A120&gt;HU_T,0,AB119*(1+interestRate)+X120+Z120+AA120)</f>
        <v/>
      </c>
      <c r="AC120" s="29">
        <f>IF(A120&gt;HU_T,0,HU_inv*EXP(HU_mu*A120))</f>
        <v/>
      </c>
      <c r="AD120" s="29">
        <f>IF(A120&gt;HU_T,0,MAX(0,AC120+AB120))</f>
        <v/>
      </c>
      <c r="AE120" s="29">
        <f>IF(A120&gt;HU_T,0,MAX(0,X120-Y120))</f>
        <v/>
      </c>
      <c r="AF120" s="63">
        <f>IF(AND($J$6,A120&gt;=1,A120&lt;=$Q$6-1),J120,0)</f>
        <v/>
      </c>
      <c r="AG120" s="29">
        <f>IF(OR(AF120=0,$S$6=0),0,IF((AD120+$L$6)&gt;$S$6/HU_alpha+$K$6,0.5*$S$6/HU_alpha,IF((AD120+$L$6)&gt;=$K$6,((AD120+$L$6)-$K$6)-0.5*HU_alpha/$S$6*((AD120+$L$6)-$K$6)^2,IF((AD120+$L$6)&gt;=$T$6,HU_beta*((AD120+$L$6)-$K$6),HU_beta*($T$6-$K$6)))))</f>
        <v/>
      </c>
      <c r="AH120" s="29">
        <f>IF(OR(AF120=0,$S$6=0),0,IF((AD120+$L$6+$N$6)&gt;$S$6/HU_alpha+$K$6,0.5*$S$6/HU_alpha,IF((AD120+$L$6+$N$6)&gt;=$K$6,((AD120+$L$6+$N$6)-$K$6)-0.5*HU_alpha/$S$6*((AD120+$L$6+$N$6)-$K$6)^2,IF((AD120+$L$6+$N$6)&gt;=$T$6,HU_beta*((AD120+$L$6+$N$6)-$K$6),HU_beta*($T$6-$K$6)))))</f>
        <v/>
      </c>
      <c r="AI120" s="29">
        <f>IF(OR(AF120=0,$S$6=0),0,IF((AD120+$K$6)&gt;$S$6/HU_alpha+$K$6,0.5*$S$6/HU_alpha,IF((AD120+$K$6)&gt;=$K$6,((AD120+$K$6)-$K$6)-0.5*HU_alpha/$S$6*((AD120+$K$6)-$K$6)^2,IF((AD120+$K$6)&gt;=$T$6,HU_beta*((AD120+$K$6)-$K$6),HU_beta*($T$6-$K$6)))))</f>
        <v/>
      </c>
      <c r="AJ120" s="63">
        <f>IF(AND($J$7,A120&gt;=1,A120&lt;=$Q$7-1),J120,0)</f>
        <v/>
      </c>
      <c r="AK120" s="29">
        <f>IF(OR(AJ120=0,$S$7=0),0,IF((AE120+$L$7)&gt;$S$7/HU_alpha+$K$7,0.5*$S$7/HU_alpha,IF((AE120+$L$7)&gt;=$K$7,((AE120+$L$7)-$K$7)-0.5*HU_alpha/$S$7*((AE120+$L$7)-$K$7)^2,IF((AE120+$L$7)&gt;=$T$7,HU_beta*((AE120+$L$7)-$K$7),HU_beta*($T$7-$K$7)))))</f>
        <v/>
      </c>
      <c r="AL120" s="29">
        <f>IF(OR(AJ120=0,$S$7=0),0,IF((AE120+$L$7+$N$7)&gt;$S$7/HU_alpha+$K$7,0.5*$S$7/HU_alpha,IF((AE120+$L$7+$N$7)&gt;=$K$7,((AE120+$L$7+$N$7)-$K$7)-0.5*HU_alpha/$S$7*((AE120+$L$7+$N$7)-$K$7)^2,IF((AE120+$L$7+$N$7)&gt;=$T$7,HU_beta*((AE120+$L$7+$N$7)-$K$7),HU_beta*($T$7-$K$7)))))</f>
        <v/>
      </c>
      <c r="AM120" s="29">
        <f>IF(OR(AJ120=0,$S$7=0),0,IF((AE120+$K$7)&gt;$S$7/HU_alpha+$K$7,0.5*$S$7/HU_alpha,IF((AE120+$K$7)&gt;=$K$7,((AE120+$K$7)-$K$7)-0.5*HU_alpha/$S$7*((AE120+$K$7)-$K$7)^2,IF((AE120+$K$7)&gt;=$T$7,HU_beta*((AE120+$K$7)-$K$7),HU_beta*($T$7-$K$7)))))</f>
        <v/>
      </c>
      <c r="AN120" s="63">
        <f>IF(AND($J$8,A120&gt;=1,A120&lt;=$Q$8-1),J120,0)</f>
        <v/>
      </c>
      <c r="AO120" s="29">
        <f>IF(OR(AN120=0,$S$8=0),0,IF((AE120+$L$8)&gt;$S$8/HU_alpha+$K$8,0.5*$S$8/HU_alpha,IF((AE120+$L$8)&gt;=$K$8,((AE120+$L$8)-$K$8)-0.5*HU_alpha/$S$8*((AE120+$L$8)-$K$8)^2,IF((AE120+$L$8)&gt;=$T$8,HU_beta*((AE120+$L$8)-$K$8),HU_beta*($T$8-$K$8)))))</f>
        <v/>
      </c>
      <c r="AP120" s="29">
        <f>IF(OR(AN120=0,$S$8=0),0,IF((AE120+$L$8+$N$8)&gt;$S$8/HU_alpha+$K$8,0.5*$S$8/HU_alpha,IF((AE120+$L$8+$N$8)&gt;=$K$8,((AE120+$L$8+$N$8)-$K$8)-0.5*HU_alpha/$S$8*((AE120+$L$8+$N$8)-$K$8)^2,IF((AE120+$L$8+$N$8)&gt;=$T$8,HU_beta*((AE120+$L$8+$N$8)-$K$8),HU_beta*($T$8-$K$8)))))</f>
        <v/>
      </c>
      <c r="AQ120" s="29">
        <f>IF(OR(AN120=0,$S$8=0),0,IF((AE120+$K$8)&gt;$S$8/HU_alpha+$K$8,0.5*$S$8/HU_alpha,IF((AE120+$K$8)&gt;=$K$8,((AE120+$K$8)-$K$8)-0.5*HU_alpha/$S$8*((AE120+$K$8)-$K$8)^2,IF((AE120+$K$8)&gt;=$T$8,HU_beta*((AE120+$K$8)-$K$8),HU_beta*($T$8-$K$8)))))</f>
        <v/>
      </c>
      <c r="AR120" s="63">
        <f>IF(AND($J$9,A120&gt;=1,A120&lt;=$Q$9-1),J120,0)</f>
        <v/>
      </c>
      <c r="AS120" s="29">
        <f>IF(OR(AR120=0,$S$9=0),0,IF((AE120+$L$9)&gt;$S$9/HU_alpha+$K$9,0.5*$S$9/HU_alpha,IF((AE120+$L$9)&gt;=$K$9,((AE120+$L$9)-$K$9)-0.5*HU_alpha/$S$9*((AE120+$L$9)-$K$9)^2,IF((AE120+$L$9)&gt;=$T$9,HU_beta*((AE120+$L$9)-$K$9),HU_beta*($T$9-$K$9)))))</f>
        <v/>
      </c>
      <c r="AT120" s="29">
        <f>IF(OR(AR120=0,$S$9=0),0,IF((AE120+$L$9+$N$9)&gt;$S$9/HU_alpha+$K$9,0.5*$S$9/HU_alpha,IF((AE120+$L$9+$N$9)&gt;=$K$9,((AE120+$L$9+$N$9)-$K$9)-0.5*HU_alpha/$S$9*((AE120+$L$9+$N$9)-$K$9)^2,IF((AE120+$L$9+$N$9)&gt;=$T$9,HU_beta*((AE120+$L$9+$N$9)-$K$9),HU_beta*($T$9-$K$9)))))</f>
        <v/>
      </c>
      <c r="AU120" s="29">
        <f>IF(OR(AR120=0,$S$9=0),0,IF((AE120+$K$9)&gt;$S$9/HU_alpha+$K$9,0.5*$S$9/HU_alpha,IF((AE120+$K$9)&gt;=$K$9,((AE120+$K$9)-$K$9)-0.5*HU_alpha/$S$9*((AE120+$K$9)-$K$9)^2,IF((AE120+$K$9)&gt;=$T$9,HU_beta*((AE120+$K$9)-$K$9),HU_beta*($T$9-$K$9)))))</f>
        <v/>
      </c>
      <c r="AV120" s="63">
        <f>IF(AND($J$10,A120=$Q$10),J120,0)</f>
        <v/>
      </c>
      <c r="AW120" s="29">
        <f>IF(OR(AV120=0,$S$10=0),0,IF((AD120+$L$10)&gt;$S$10/HU_alpha+$K$10,0.5*$S$10/HU_alpha,IF((AD120+$L$10)&gt;=$K$10,((AD120+$L$10)-$K$10)-0.5*HU_alpha/$S$10*((AD120+$L$10)-$K$10)^2,IF((AD120+$L$10)&gt;=$T$10,HU_beta*((AD120+$L$10)-$K$10),HU_beta*($T$10-$K$10)))))</f>
        <v/>
      </c>
      <c r="AX120" s="29">
        <f>IF(OR(AV120=0,$S$10=0),0,IF((AD120+$L$10+$N$10)&gt;$S$10/HU_alpha+$K$10,0.5*$S$10/HU_alpha,IF((AD120+$L$10+$N$10)&gt;=$K$10,((AD120+$L$10+$N$10)-$K$10)-0.5*HU_alpha/$S$10*((AD120+$L$10+$N$10)-$K$10)^2,IF((AD120+$L$10+$N$10)&gt;=$T$10,HU_beta*((AD120+$L$10+$N$10)-$K$10),HU_beta*($T$10-$K$10)))))</f>
        <v/>
      </c>
      <c r="AY120" s="29">
        <f>IF(OR(AV120=0,$S$10=0),0,IF((AD120+$K$10)&gt;$S$10/HU_alpha+$K$10,0.5*$S$10/HU_alpha,IF((AD120+$K$10)&gt;=$K$10,((AD120+$K$10)-$K$10)-0.5*HU_alpha/$S$10*((AD120+$K$10)-$K$10)^2,IF((AD120+$K$10)&gt;=$T$10,HU_beta*((AD120+$K$10)-$K$10),HU_beta*($T$10-$K$10)))))</f>
        <v/>
      </c>
      <c r="AZ120" s="63">
        <f>IF(AND($J$11,A120=$Q$11),J120,0)</f>
        <v/>
      </c>
      <c r="BA120" s="29">
        <f>IF(OR(AZ120=0,$S$11=0),0,IF((AE120+$L$11)&gt;$S$11/HU_alpha+$K$11,0.5*$S$11/HU_alpha,IF((AE120+$L$11)&gt;=$K$11,((AE120+$L$11)-$K$11)-0.5*HU_alpha/$S$11*((AE120+$L$11)-$K$11)^2,IF((AE120+$L$11)&gt;=$T$11,HU_beta*((AE120+$L$11)-$K$11),HU_beta*($T$11-$K$11)))))</f>
        <v/>
      </c>
      <c r="BB120" s="29">
        <f>IF(OR(AZ120=0,$S$11=0),0,IF((AE120+$L$11+$N$11)&gt;$S$11/HU_alpha+$K$11,0.5*$S$11/HU_alpha,IF((AE120+$L$11+$N$11)&gt;=$K$11,((AE120+$L$11+$N$11)-$K$11)-0.5*HU_alpha/$S$11*((AE120+$L$11+$N$11)-$K$11)^2,IF((AE120+$L$11+$N$11)&gt;=$T$11,HU_beta*((AE120+$L$11+$N$11)-$K$11),HU_beta*($T$11-$K$11)))))</f>
        <v/>
      </c>
      <c r="BC120" s="29">
        <f>IF(OR(AZ120=0,$S$11=0),0,IF((AE120+$K$11)&gt;$S$11/HU_alpha+$K$11,0.5*$S$11/HU_alpha,IF((AE120+$K$11)&gt;=$K$11,((AE120+$K$11)-$K$11)-0.5*HU_alpha/$S$11*((AE120+$K$11)-$K$11)^2,IF((AE120+$K$11)&gt;=$T$11,HU_beta*((AE120+$K$11)-$K$11),HU_beta*($T$11-$K$11)))))</f>
        <v/>
      </c>
      <c r="BD120" s="63">
        <f>IF(AND($J$12,A120=$Q$12),J120,0)</f>
        <v/>
      </c>
      <c r="BE120" s="29">
        <f>IF(OR(BD120=0,$S$12=0),0,IF((AE120+$L$12)&gt;$S$12/HU_alpha+$K$12,0.5*$S$12/HU_alpha,IF((AE120+$L$12)&gt;=$K$12,((AE120+$L$12)-$K$12)-0.5*HU_alpha/$S$12*((AE120+$L$12)-$K$12)^2,IF((AE120+$L$12)&gt;=$T$12,HU_beta*((AE120+$L$12)-$K$12),HU_beta*($T$12-$K$12)))))</f>
        <v/>
      </c>
      <c r="BF120" s="29">
        <f>IF(OR(BD120=0,$S$12=0),0,IF((AE120+$L$12+$N$12)&gt;$S$12/HU_alpha+$K$12,0.5*$S$12/HU_alpha,IF((AE120+$L$12+$N$12)&gt;=$K$12,((AE120+$L$12+$N$12)-$K$12)-0.5*HU_alpha/$S$12*((AE120+$L$12+$N$12)-$K$12)^2,IF((AE120+$L$12+$N$12)&gt;=$T$12,HU_beta*((AE120+$L$12+$N$12)-$K$12),HU_beta*($T$12-$K$12)))))</f>
        <v/>
      </c>
      <c r="BG120" s="29">
        <f>IF(OR(BD120=0,$S$12=0),0,IF((AE120+$K$12)&gt;$S$12/HU_alpha+$K$12,0.5*$S$12/HU_alpha,IF((AE120+$K$12)&gt;=$K$12,((AE120+$K$12)-$K$12)-0.5*HU_alpha/$S$12*((AE120+$K$12)-$K$12)^2,IF((AE120+$K$12)&gt;=$T$12,HU_beta*((AE120+$K$12)-$K$12),HU_beta*($T$12-$K$12)))))</f>
        <v/>
      </c>
      <c r="BH120" s="63">
        <f>IF(AND($J$13,A120=$Q$13),J120,0)</f>
        <v/>
      </c>
      <c r="BI120" s="29">
        <f>IF(OR(BH120=0,$S$13=0),0,IF((AE120+$L$13)&gt;$S$13/HU_alpha+$K$13,0.5*$S$13/HU_alpha,IF((AE120+$L$13)&gt;=$K$13,((AE120+$L$13)-$K$13)-0.5*HU_alpha/$S$13*((AE120+$L$13)-$K$13)^2,IF((AE120+$L$13)&gt;=$T$13,HU_beta*((AE120+$L$13)-$K$13),HU_beta*($T$13-$K$13)))))</f>
        <v/>
      </c>
      <c r="BJ120" s="29">
        <f>IF(OR(BH120=0,$S$13=0),0,IF((AE120+$L$13+$N$13)&gt;$S$13/HU_alpha+$K$13,0.5*$S$13/HU_alpha,IF((AE120+$L$13+$N$13)&gt;=$K$13,((AE120+$L$13+$N$13)-$K$13)-0.5*HU_alpha/$S$13*((AE120+$L$13+$N$13)-$K$13)^2,IF((AE120+$L$13+$N$13)&gt;=$T$13,HU_beta*((AE120+$L$13+$N$13)-$K$13),HU_beta*($T$13-$K$13)))))</f>
        <v/>
      </c>
      <c r="BK120" s="29">
        <f>IF(OR(BH120=0,$S$13=0),0,IF((AE120+$K$13)&gt;$S$13/HU_alpha+$K$13,0.5*$S$13/HU_alpha,IF((AE120+$K$13)&gt;=$K$13,((AE120+$K$13)-$K$13)-0.5*HU_alpha/$S$13*((AE120+$K$13)-$K$13)^2,IF((AE120+$K$13)&gt;=$T$13,HU_beta*((AE120+$K$13)-$K$13),HU_beta*($T$13-$K$13)))))</f>
        <v/>
      </c>
    </row>
    <row r="121">
      <c r="A121" s="61" t="n">
        <v>53</v>
      </c>
      <c r="B121" s="61">
        <f>HU_age+A121</f>
        <v/>
      </c>
      <c r="C121" s="52">
        <f>A121&lt;=HU_T</f>
        <v/>
      </c>
      <c r="D121" s="63">
        <f>IF(OR(A121&lt;1,A121&gt;HU_T),0,INDEX(HU_q_mort,HU_age+A121-17,HU_col))</f>
        <v/>
      </c>
      <c r="E121" s="63">
        <f>IF(OR(A121&lt;1,A121&gt;HU_T),0,INDEX(HU_q_adb,HU_age+A121-17,HU_col))</f>
        <v/>
      </c>
      <c r="F121" s="63">
        <f>IF(OR(A121&lt;1,A121&gt;HU_T),0,INDEX(HU_q_morb,HU_age+A121-17,HU_col))</f>
        <v/>
      </c>
      <c r="G121" s="63">
        <f>IF(OR(A121&lt;1,A121&gt;HU_T),0,INDEX(HU_q_ptd,HU_age+A121-17,HU_col))</f>
        <v/>
      </c>
      <c r="H121" s="63">
        <f>IF(OR(A121&lt;1,A121&gt;HU_T),0,INDEX(HU_q_dis,HU_age+A121-17,HU_col))</f>
        <v/>
      </c>
      <c r="I121" s="63">
        <f>IF(A121&gt;HU_T,0,I120*(1-D121)*(1-E121))</f>
        <v/>
      </c>
      <c r="J121" s="63">
        <f>IF(A121&gt;=HU_T,0,N(I122))</f>
        <v/>
      </c>
      <c r="K121" s="63">
        <f>K120*(1-G121)</f>
        <v/>
      </c>
      <c r="L121" s="63">
        <f>1-K121</f>
        <v/>
      </c>
      <c r="M121" s="63">
        <f>K120*G121</f>
        <v/>
      </c>
      <c r="N121" s="63">
        <f>N120*(1-H121)</f>
        <v/>
      </c>
      <c r="O121" s="63">
        <f>1-N120</f>
        <v/>
      </c>
      <c r="P121" s="63">
        <f>P120*(1-F121)</f>
        <v/>
      </c>
      <c r="Q121" s="63">
        <f>1-P120/INDEX($P$68:$P$150,MAX(1,A121-HU_ciYears))</f>
        <v/>
      </c>
      <c r="R121" s="60">
        <f>(1+inflationRate)^A121</f>
        <v/>
      </c>
      <c r="S121" s="29">
        <f>IF(OR(OR(A121&lt;1,A121&gt;HU_T),A121-1&gt;=HU_dtr),0,HU_inc0*(1+incomeGrowthRate)^A121)</f>
        <v/>
      </c>
      <c r="T121" s="60">
        <f>IF(A121&gt;HU_T,T120,T120*(1+INDEX(HU_ssG,HU_age+A121-17)))</f>
        <v/>
      </c>
      <c r="U121" s="29">
        <f>IF(AND(HU_dtr&gt;=1,A121=HU_dtr,A121&lt;=HU_T),MIN(S121*INDEX(HU_ssC,HU_age+A121-17)/(1-INDEX(HU_ssC,HU_age+A121-17)),INDEX(HU_ssCap,HU_age+A121-17))*T121,0)</f>
        <v/>
      </c>
      <c r="V121" s="29">
        <f>S121+U121+IF(AND(HU_wdOn,A121=HU_wdYear),HU_wdIncome,0)</f>
        <v/>
      </c>
      <c r="W121" s="60">
        <f>HU_ciProp*Q121+HU_tpdCut*L121+HU_disCut*O121</f>
        <v/>
      </c>
      <c r="X121" s="29">
        <f>IF(OR(A121&lt;1,A121&gt;HU_T),0,V121*(1-W121))</f>
        <v/>
      </c>
      <c r="Y121" s="29">
        <f>IF(OR(A121&lt;1,A121&gt;HU_T),0,IF(AND(HU_retExp&gt;0,A121-1&gt;=HU_dtr),HU_retExp,HU_exp0)*R121)</f>
        <v/>
      </c>
      <c r="Z121" s="29">
        <f>-Y121-IF(AND(HU_wdOn,A121=HU_wdYear),HU_wdOut,0)</f>
        <v/>
      </c>
      <c r="AA121" s="29">
        <f>IF(OR(A121&lt;1,A121&gt;HU_T),0,-HU_medCost*R121*F121-HU_tpdCost*R121*M121)</f>
        <v/>
      </c>
      <c r="AB121" s="29">
        <f>IF(A121&gt;HU_T,0,AB120*(1+interestRate)+X121+Z121+AA121)</f>
        <v/>
      </c>
      <c r="AC121" s="29">
        <f>IF(A121&gt;HU_T,0,HU_inv*EXP(HU_mu*A121))</f>
        <v/>
      </c>
      <c r="AD121" s="29">
        <f>IF(A121&gt;HU_T,0,MAX(0,AC121+AB121))</f>
        <v/>
      </c>
      <c r="AE121" s="29">
        <f>IF(A121&gt;HU_T,0,MAX(0,X121-Y121))</f>
        <v/>
      </c>
      <c r="AF121" s="63">
        <f>IF(AND($J$6,A121&gt;=1,A121&lt;=$Q$6-1),J121,0)</f>
        <v/>
      </c>
      <c r="AG121" s="29">
        <f>IF(OR(AF121=0,$S$6=0),0,IF((AD121+$L$6)&gt;$S$6/HU_alpha+$K$6,0.5*$S$6/HU_alpha,IF((AD121+$L$6)&gt;=$K$6,((AD121+$L$6)-$K$6)-0.5*HU_alpha/$S$6*((AD121+$L$6)-$K$6)^2,IF((AD121+$L$6)&gt;=$T$6,HU_beta*((AD121+$L$6)-$K$6),HU_beta*($T$6-$K$6)))))</f>
        <v/>
      </c>
      <c r="AH121" s="29">
        <f>IF(OR(AF121=0,$S$6=0),0,IF((AD121+$L$6+$N$6)&gt;$S$6/HU_alpha+$K$6,0.5*$S$6/HU_alpha,IF((AD121+$L$6+$N$6)&gt;=$K$6,((AD121+$L$6+$N$6)-$K$6)-0.5*HU_alpha/$S$6*((AD121+$L$6+$N$6)-$K$6)^2,IF((AD121+$L$6+$N$6)&gt;=$T$6,HU_beta*((AD121+$L$6+$N$6)-$K$6),HU_beta*($T$6-$K$6)))))</f>
        <v/>
      </c>
      <c r="AI121" s="29">
        <f>IF(OR(AF121=0,$S$6=0),0,IF((AD121+$K$6)&gt;$S$6/HU_alpha+$K$6,0.5*$S$6/HU_alpha,IF((AD121+$K$6)&gt;=$K$6,((AD121+$K$6)-$K$6)-0.5*HU_alpha/$S$6*((AD121+$K$6)-$K$6)^2,IF((AD121+$K$6)&gt;=$T$6,HU_beta*((AD121+$K$6)-$K$6),HU_beta*($T$6-$K$6)))))</f>
        <v/>
      </c>
      <c r="AJ121" s="63">
        <f>IF(AND($J$7,A121&gt;=1,A121&lt;=$Q$7-1),J121,0)</f>
        <v/>
      </c>
      <c r="AK121" s="29">
        <f>IF(OR(AJ121=0,$S$7=0),0,IF((AE121+$L$7)&gt;$S$7/HU_alpha+$K$7,0.5*$S$7/HU_alpha,IF((AE121+$L$7)&gt;=$K$7,((AE121+$L$7)-$K$7)-0.5*HU_alpha/$S$7*((AE121+$L$7)-$K$7)^2,IF((AE121+$L$7)&gt;=$T$7,HU_beta*((AE121+$L$7)-$K$7),HU_beta*($T$7-$K$7)))))</f>
        <v/>
      </c>
      <c r="AL121" s="29">
        <f>IF(OR(AJ121=0,$S$7=0),0,IF((AE121+$L$7+$N$7)&gt;$S$7/HU_alpha+$K$7,0.5*$S$7/HU_alpha,IF((AE121+$L$7+$N$7)&gt;=$K$7,((AE121+$L$7+$N$7)-$K$7)-0.5*HU_alpha/$S$7*((AE121+$L$7+$N$7)-$K$7)^2,IF((AE121+$L$7+$N$7)&gt;=$T$7,HU_beta*((AE121+$L$7+$N$7)-$K$7),HU_beta*($T$7-$K$7)))))</f>
        <v/>
      </c>
      <c r="AM121" s="29">
        <f>IF(OR(AJ121=0,$S$7=0),0,IF((AE121+$K$7)&gt;$S$7/HU_alpha+$K$7,0.5*$S$7/HU_alpha,IF((AE121+$K$7)&gt;=$K$7,((AE121+$K$7)-$K$7)-0.5*HU_alpha/$S$7*((AE121+$K$7)-$K$7)^2,IF((AE121+$K$7)&gt;=$T$7,HU_beta*((AE121+$K$7)-$K$7),HU_beta*($T$7-$K$7)))))</f>
        <v/>
      </c>
      <c r="AN121" s="63">
        <f>IF(AND($J$8,A121&gt;=1,A121&lt;=$Q$8-1),J121,0)</f>
        <v/>
      </c>
      <c r="AO121" s="29">
        <f>IF(OR(AN121=0,$S$8=0),0,IF((AE121+$L$8)&gt;$S$8/HU_alpha+$K$8,0.5*$S$8/HU_alpha,IF((AE121+$L$8)&gt;=$K$8,((AE121+$L$8)-$K$8)-0.5*HU_alpha/$S$8*((AE121+$L$8)-$K$8)^2,IF((AE121+$L$8)&gt;=$T$8,HU_beta*((AE121+$L$8)-$K$8),HU_beta*($T$8-$K$8)))))</f>
        <v/>
      </c>
      <c r="AP121" s="29">
        <f>IF(OR(AN121=0,$S$8=0),0,IF((AE121+$L$8+$N$8)&gt;$S$8/HU_alpha+$K$8,0.5*$S$8/HU_alpha,IF((AE121+$L$8+$N$8)&gt;=$K$8,((AE121+$L$8+$N$8)-$K$8)-0.5*HU_alpha/$S$8*((AE121+$L$8+$N$8)-$K$8)^2,IF((AE121+$L$8+$N$8)&gt;=$T$8,HU_beta*((AE121+$L$8+$N$8)-$K$8),HU_beta*($T$8-$K$8)))))</f>
        <v/>
      </c>
      <c r="AQ121" s="29">
        <f>IF(OR(AN121=0,$S$8=0),0,IF((AE121+$K$8)&gt;$S$8/HU_alpha+$K$8,0.5*$S$8/HU_alpha,IF((AE121+$K$8)&gt;=$K$8,((AE121+$K$8)-$K$8)-0.5*HU_alpha/$S$8*((AE121+$K$8)-$K$8)^2,IF((AE121+$K$8)&gt;=$T$8,HU_beta*((AE121+$K$8)-$K$8),HU_beta*($T$8-$K$8)))))</f>
        <v/>
      </c>
      <c r="AR121" s="63">
        <f>IF(AND($J$9,A121&gt;=1,A121&lt;=$Q$9-1),J121,0)</f>
        <v/>
      </c>
      <c r="AS121" s="29">
        <f>IF(OR(AR121=0,$S$9=0),0,IF((AE121+$L$9)&gt;$S$9/HU_alpha+$K$9,0.5*$S$9/HU_alpha,IF((AE121+$L$9)&gt;=$K$9,((AE121+$L$9)-$K$9)-0.5*HU_alpha/$S$9*((AE121+$L$9)-$K$9)^2,IF((AE121+$L$9)&gt;=$T$9,HU_beta*((AE121+$L$9)-$K$9),HU_beta*($T$9-$K$9)))))</f>
        <v/>
      </c>
      <c r="AT121" s="29">
        <f>IF(OR(AR121=0,$S$9=0),0,IF((AE121+$L$9+$N$9)&gt;$S$9/HU_alpha+$K$9,0.5*$S$9/HU_alpha,IF((AE121+$L$9+$N$9)&gt;=$K$9,((AE121+$L$9+$N$9)-$K$9)-0.5*HU_alpha/$S$9*((AE121+$L$9+$N$9)-$K$9)^2,IF((AE121+$L$9+$N$9)&gt;=$T$9,HU_beta*((AE121+$L$9+$N$9)-$K$9),HU_beta*($T$9-$K$9)))))</f>
        <v/>
      </c>
      <c r="AU121" s="29">
        <f>IF(OR(AR121=0,$S$9=0),0,IF((AE121+$K$9)&gt;$S$9/HU_alpha+$K$9,0.5*$S$9/HU_alpha,IF((AE121+$K$9)&gt;=$K$9,((AE121+$K$9)-$K$9)-0.5*HU_alpha/$S$9*((AE121+$K$9)-$K$9)^2,IF((AE121+$K$9)&gt;=$T$9,HU_beta*((AE121+$K$9)-$K$9),HU_beta*($T$9-$K$9)))))</f>
        <v/>
      </c>
      <c r="AV121" s="63">
        <f>IF(AND($J$10,A121=$Q$10),J121,0)</f>
        <v/>
      </c>
      <c r="AW121" s="29">
        <f>IF(OR(AV121=0,$S$10=0),0,IF((AD121+$L$10)&gt;$S$10/HU_alpha+$K$10,0.5*$S$10/HU_alpha,IF((AD121+$L$10)&gt;=$K$10,((AD121+$L$10)-$K$10)-0.5*HU_alpha/$S$10*((AD121+$L$10)-$K$10)^2,IF((AD121+$L$10)&gt;=$T$10,HU_beta*((AD121+$L$10)-$K$10),HU_beta*($T$10-$K$10)))))</f>
        <v/>
      </c>
      <c r="AX121" s="29">
        <f>IF(OR(AV121=0,$S$10=0),0,IF((AD121+$L$10+$N$10)&gt;$S$10/HU_alpha+$K$10,0.5*$S$10/HU_alpha,IF((AD121+$L$10+$N$10)&gt;=$K$10,((AD121+$L$10+$N$10)-$K$10)-0.5*HU_alpha/$S$10*((AD121+$L$10+$N$10)-$K$10)^2,IF((AD121+$L$10+$N$10)&gt;=$T$10,HU_beta*((AD121+$L$10+$N$10)-$K$10),HU_beta*($T$10-$K$10)))))</f>
        <v/>
      </c>
      <c r="AY121" s="29">
        <f>IF(OR(AV121=0,$S$10=0),0,IF((AD121+$K$10)&gt;$S$10/HU_alpha+$K$10,0.5*$S$10/HU_alpha,IF((AD121+$K$10)&gt;=$K$10,((AD121+$K$10)-$K$10)-0.5*HU_alpha/$S$10*((AD121+$K$10)-$K$10)^2,IF((AD121+$K$10)&gt;=$T$10,HU_beta*((AD121+$K$10)-$K$10),HU_beta*($T$10-$K$10)))))</f>
        <v/>
      </c>
      <c r="AZ121" s="63">
        <f>IF(AND($J$11,A121=$Q$11),J121,0)</f>
        <v/>
      </c>
      <c r="BA121" s="29">
        <f>IF(OR(AZ121=0,$S$11=0),0,IF((AE121+$L$11)&gt;$S$11/HU_alpha+$K$11,0.5*$S$11/HU_alpha,IF((AE121+$L$11)&gt;=$K$11,((AE121+$L$11)-$K$11)-0.5*HU_alpha/$S$11*((AE121+$L$11)-$K$11)^2,IF((AE121+$L$11)&gt;=$T$11,HU_beta*((AE121+$L$11)-$K$11),HU_beta*($T$11-$K$11)))))</f>
        <v/>
      </c>
      <c r="BB121" s="29">
        <f>IF(OR(AZ121=0,$S$11=0),0,IF((AE121+$L$11+$N$11)&gt;$S$11/HU_alpha+$K$11,0.5*$S$11/HU_alpha,IF((AE121+$L$11+$N$11)&gt;=$K$11,((AE121+$L$11+$N$11)-$K$11)-0.5*HU_alpha/$S$11*((AE121+$L$11+$N$11)-$K$11)^2,IF((AE121+$L$11+$N$11)&gt;=$T$11,HU_beta*((AE121+$L$11+$N$11)-$K$11),HU_beta*($T$11-$K$11)))))</f>
        <v/>
      </c>
      <c r="BC121" s="29">
        <f>IF(OR(AZ121=0,$S$11=0),0,IF((AE121+$K$11)&gt;$S$11/HU_alpha+$K$11,0.5*$S$11/HU_alpha,IF((AE121+$K$11)&gt;=$K$11,((AE121+$K$11)-$K$11)-0.5*HU_alpha/$S$11*((AE121+$K$11)-$K$11)^2,IF((AE121+$K$11)&gt;=$T$11,HU_beta*((AE121+$K$11)-$K$11),HU_beta*($T$11-$K$11)))))</f>
        <v/>
      </c>
      <c r="BD121" s="63">
        <f>IF(AND($J$12,A121=$Q$12),J121,0)</f>
        <v/>
      </c>
      <c r="BE121" s="29">
        <f>IF(OR(BD121=0,$S$12=0),0,IF((AE121+$L$12)&gt;$S$12/HU_alpha+$K$12,0.5*$S$12/HU_alpha,IF((AE121+$L$12)&gt;=$K$12,((AE121+$L$12)-$K$12)-0.5*HU_alpha/$S$12*((AE121+$L$12)-$K$12)^2,IF((AE121+$L$12)&gt;=$T$12,HU_beta*((AE121+$L$12)-$K$12),HU_beta*($T$12-$K$12)))))</f>
        <v/>
      </c>
      <c r="BF121" s="29">
        <f>IF(OR(BD121=0,$S$12=0),0,IF((AE121+$L$12+$N$12)&gt;$S$12/HU_alpha+$K$12,0.5*$S$12/HU_alpha,IF((AE121+$L$12+$N$12)&gt;=$K$12,((AE121+$L$12+$N$12)-$K$12)-0.5*HU_alpha/$S$12*((AE121+$L$12+$N$12)-$K$12)^2,IF((AE121+$L$12+$N$12)&gt;=$T$12,HU_beta*((AE121+$L$12+$N$12)-$K$12),HU_beta*($T$12-$K$12)))))</f>
        <v/>
      </c>
      <c r="BG121" s="29">
        <f>IF(OR(BD121=0,$S$12=0),0,IF((AE121+$K$12)&gt;$S$12/HU_alpha+$K$12,0.5*$S$12/HU_alpha,IF((AE121+$K$12)&gt;=$K$12,((AE121+$K$12)-$K$12)-0.5*HU_alpha/$S$12*((AE121+$K$12)-$K$12)^2,IF((AE121+$K$12)&gt;=$T$12,HU_beta*((AE121+$K$12)-$K$12),HU_beta*($T$12-$K$12)))))</f>
        <v/>
      </c>
      <c r="BH121" s="63">
        <f>IF(AND($J$13,A121=$Q$13),J121,0)</f>
        <v/>
      </c>
      <c r="BI121" s="29">
        <f>IF(OR(BH121=0,$S$13=0),0,IF((AE121+$L$13)&gt;$S$13/HU_alpha+$K$13,0.5*$S$13/HU_alpha,IF((AE121+$L$13)&gt;=$K$13,((AE121+$L$13)-$K$13)-0.5*HU_alpha/$S$13*((AE121+$L$13)-$K$13)^2,IF((AE121+$L$13)&gt;=$T$13,HU_beta*((AE121+$L$13)-$K$13),HU_beta*($T$13-$K$13)))))</f>
        <v/>
      </c>
      <c r="BJ121" s="29">
        <f>IF(OR(BH121=0,$S$13=0),0,IF((AE121+$L$13+$N$13)&gt;$S$13/HU_alpha+$K$13,0.5*$S$13/HU_alpha,IF((AE121+$L$13+$N$13)&gt;=$K$13,((AE121+$L$13+$N$13)-$K$13)-0.5*HU_alpha/$S$13*((AE121+$L$13+$N$13)-$K$13)^2,IF((AE121+$L$13+$N$13)&gt;=$T$13,HU_beta*((AE121+$L$13+$N$13)-$K$13),HU_beta*($T$13-$K$13)))))</f>
        <v/>
      </c>
      <c r="BK121" s="29">
        <f>IF(OR(BH121=0,$S$13=0),0,IF((AE121+$K$13)&gt;$S$13/HU_alpha+$K$13,0.5*$S$13/HU_alpha,IF((AE121+$K$13)&gt;=$K$13,((AE121+$K$13)-$K$13)-0.5*HU_alpha/$S$13*((AE121+$K$13)-$K$13)^2,IF((AE121+$K$13)&gt;=$T$13,HU_beta*((AE121+$K$13)-$K$13),HU_beta*($T$13-$K$13)))))</f>
        <v/>
      </c>
    </row>
    <row r="122">
      <c r="A122" s="61" t="n">
        <v>54</v>
      </c>
      <c r="B122" s="61">
        <f>HU_age+A122</f>
        <v/>
      </c>
      <c r="C122" s="52">
        <f>A122&lt;=HU_T</f>
        <v/>
      </c>
      <c r="D122" s="63">
        <f>IF(OR(A122&lt;1,A122&gt;HU_T),0,INDEX(HU_q_mort,HU_age+A122-17,HU_col))</f>
        <v/>
      </c>
      <c r="E122" s="63">
        <f>IF(OR(A122&lt;1,A122&gt;HU_T),0,INDEX(HU_q_adb,HU_age+A122-17,HU_col))</f>
        <v/>
      </c>
      <c r="F122" s="63">
        <f>IF(OR(A122&lt;1,A122&gt;HU_T),0,INDEX(HU_q_morb,HU_age+A122-17,HU_col))</f>
        <v/>
      </c>
      <c r="G122" s="63">
        <f>IF(OR(A122&lt;1,A122&gt;HU_T),0,INDEX(HU_q_ptd,HU_age+A122-17,HU_col))</f>
        <v/>
      </c>
      <c r="H122" s="63">
        <f>IF(OR(A122&lt;1,A122&gt;HU_T),0,INDEX(HU_q_dis,HU_age+A122-17,HU_col))</f>
        <v/>
      </c>
      <c r="I122" s="63">
        <f>IF(A122&gt;HU_T,0,I121*(1-D122)*(1-E122))</f>
        <v/>
      </c>
      <c r="J122" s="63">
        <f>IF(A122&gt;=HU_T,0,N(I123))</f>
        <v/>
      </c>
      <c r="K122" s="63">
        <f>K121*(1-G122)</f>
        <v/>
      </c>
      <c r="L122" s="63">
        <f>1-K122</f>
        <v/>
      </c>
      <c r="M122" s="63">
        <f>K121*G122</f>
        <v/>
      </c>
      <c r="N122" s="63">
        <f>N121*(1-H122)</f>
        <v/>
      </c>
      <c r="O122" s="63">
        <f>1-N121</f>
        <v/>
      </c>
      <c r="P122" s="63">
        <f>P121*(1-F122)</f>
        <v/>
      </c>
      <c r="Q122" s="63">
        <f>1-P121/INDEX($P$68:$P$150,MAX(1,A122-HU_ciYears))</f>
        <v/>
      </c>
      <c r="R122" s="60">
        <f>(1+inflationRate)^A122</f>
        <v/>
      </c>
      <c r="S122" s="29">
        <f>IF(OR(OR(A122&lt;1,A122&gt;HU_T),A122-1&gt;=HU_dtr),0,HU_inc0*(1+incomeGrowthRate)^A122)</f>
        <v/>
      </c>
      <c r="T122" s="60">
        <f>IF(A122&gt;HU_T,T121,T121*(1+INDEX(HU_ssG,HU_age+A122-17)))</f>
        <v/>
      </c>
      <c r="U122" s="29">
        <f>IF(AND(HU_dtr&gt;=1,A122=HU_dtr,A122&lt;=HU_T),MIN(S122*INDEX(HU_ssC,HU_age+A122-17)/(1-INDEX(HU_ssC,HU_age+A122-17)),INDEX(HU_ssCap,HU_age+A122-17))*T122,0)</f>
        <v/>
      </c>
      <c r="V122" s="29">
        <f>S122+U122+IF(AND(HU_wdOn,A122=HU_wdYear),HU_wdIncome,0)</f>
        <v/>
      </c>
      <c r="W122" s="60">
        <f>HU_ciProp*Q122+HU_tpdCut*L122+HU_disCut*O122</f>
        <v/>
      </c>
      <c r="X122" s="29">
        <f>IF(OR(A122&lt;1,A122&gt;HU_T),0,V122*(1-W122))</f>
        <v/>
      </c>
      <c r="Y122" s="29">
        <f>IF(OR(A122&lt;1,A122&gt;HU_T),0,IF(AND(HU_retExp&gt;0,A122-1&gt;=HU_dtr),HU_retExp,HU_exp0)*R122)</f>
        <v/>
      </c>
      <c r="Z122" s="29">
        <f>-Y122-IF(AND(HU_wdOn,A122=HU_wdYear),HU_wdOut,0)</f>
        <v/>
      </c>
      <c r="AA122" s="29">
        <f>IF(OR(A122&lt;1,A122&gt;HU_T),0,-HU_medCost*R122*F122-HU_tpdCost*R122*M122)</f>
        <v/>
      </c>
      <c r="AB122" s="29">
        <f>IF(A122&gt;HU_T,0,AB121*(1+interestRate)+X122+Z122+AA122)</f>
        <v/>
      </c>
      <c r="AC122" s="29">
        <f>IF(A122&gt;HU_T,0,HU_inv*EXP(HU_mu*A122))</f>
        <v/>
      </c>
      <c r="AD122" s="29">
        <f>IF(A122&gt;HU_T,0,MAX(0,AC122+AB122))</f>
        <v/>
      </c>
      <c r="AE122" s="29">
        <f>IF(A122&gt;HU_T,0,MAX(0,X122-Y122))</f>
        <v/>
      </c>
      <c r="AF122" s="63">
        <f>IF(AND($J$6,A122&gt;=1,A122&lt;=$Q$6-1),J122,0)</f>
        <v/>
      </c>
      <c r="AG122" s="29">
        <f>IF(OR(AF122=0,$S$6=0),0,IF((AD122+$L$6)&gt;$S$6/HU_alpha+$K$6,0.5*$S$6/HU_alpha,IF((AD122+$L$6)&gt;=$K$6,((AD122+$L$6)-$K$6)-0.5*HU_alpha/$S$6*((AD122+$L$6)-$K$6)^2,IF((AD122+$L$6)&gt;=$T$6,HU_beta*((AD122+$L$6)-$K$6),HU_beta*($T$6-$K$6)))))</f>
        <v/>
      </c>
      <c r="AH122" s="29">
        <f>IF(OR(AF122=0,$S$6=0),0,IF((AD122+$L$6+$N$6)&gt;$S$6/HU_alpha+$K$6,0.5*$S$6/HU_alpha,IF((AD122+$L$6+$N$6)&gt;=$K$6,((AD122+$L$6+$N$6)-$K$6)-0.5*HU_alpha/$S$6*((AD122+$L$6+$N$6)-$K$6)^2,IF((AD122+$L$6+$N$6)&gt;=$T$6,HU_beta*((AD122+$L$6+$N$6)-$K$6),HU_beta*($T$6-$K$6)))))</f>
        <v/>
      </c>
      <c r="AI122" s="29">
        <f>IF(OR(AF122=0,$S$6=0),0,IF((AD122+$K$6)&gt;$S$6/HU_alpha+$K$6,0.5*$S$6/HU_alpha,IF((AD122+$K$6)&gt;=$K$6,((AD122+$K$6)-$K$6)-0.5*HU_alpha/$S$6*((AD122+$K$6)-$K$6)^2,IF((AD122+$K$6)&gt;=$T$6,HU_beta*((AD122+$K$6)-$K$6),HU_beta*($T$6-$K$6)))))</f>
        <v/>
      </c>
      <c r="AJ122" s="63">
        <f>IF(AND($J$7,A122&gt;=1,A122&lt;=$Q$7-1),J122,0)</f>
        <v/>
      </c>
      <c r="AK122" s="29">
        <f>IF(OR(AJ122=0,$S$7=0),0,IF((AE122+$L$7)&gt;$S$7/HU_alpha+$K$7,0.5*$S$7/HU_alpha,IF((AE122+$L$7)&gt;=$K$7,((AE122+$L$7)-$K$7)-0.5*HU_alpha/$S$7*((AE122+$L$7)-$K$7)^2,IF((AE122+$L$7)&gt;=$T$7,HU_beta*((AE122+$L$7)-$K$7),HU_beta*($T$7-$K$7)))))</f>
        <v/>
      </c>
      <c r="AL122" s="29">
        <f>IF(OR(AJ122=0,$S$7=0),0,IF((AE122+$L$7+$N$7)&gt;$S$7/HU_alpha+$K$7,0.5*$S$7/HU_alpha,IF((AE122+$L$7+$N$7)&gt;=$K$7,((AE122+$L$7+$N$7)-$K$7)-0.5*HU_alpha/$S$7*((AE122+$L$7+$N$7)-$K$7)^2,IF((AE122+$L$7+$N$7)&gt;=$T$7,HU_beta*((AE122+$L$7+$N$7)-$K$7),HU_beta*($T$7-$K$7)))))</f>
        <v/>
      </c>
      <c r="AM122" s="29">
        <f>IF(OR(AJ122=0,$S$7=0),0,IF((AE122+$K$7)&gt;$S$7/HU_alpha+$K$7,0.5*$S$7/HU_alpha,IF((AE122+$K$7)&gt;=$K$7,((AE122+$K$7)-$K$7)-0.5*HU_alpha/$S$7*((AE122+$K$7)-$K$7)^2,IF((AE122+$K$7)&gt;=$T$7,HU_beta*((AE122+$K$7)-$K$7),HU_beta*($T$7-$K$7)))))</f>
        <v/>
      </c>
      <c r="AN122" s="63">
        <f>IF(AND($J$8,A122&gt;=1,A122&lt;=$Q$8-1),J122,0)</f>
        <v/>
      </c>
      <c r="AO122" s="29">
        <f>IF(OR(AN122=0,$S$8=0),0,IF((AE122+$L$8)&gt;$S$8/HU_alpha+$K$8,0.5*$S$8/HU_alpha,IF((AE122+$L$8)&gt;=$K$8,((AE122+$L$8)-$K$8)-0.5*HU_alpha/$S$8*((AE122+$L$8)-$K$8)^2,IF((AE122+$L$8)&gt;=$T$8,HU_beta*((AE122+$L$8)-$K$8),HU_beta*($T$8-$K$8)))))</f>
        <v/>
      </c>
      <c r="AP122" s="29">
        <f>IF(OR(AN122=0,$S$8=0),0,IF((AE122+$L$8+$N$8)&gt;$S$8/HU_alpha+$K$8,0.5*$S$8/HU_alpha,IF((AE122+$L$8+$N$8)&gt;=$K$8,((AE122+$L$8+$N$8)-$K$8)-0.5*HU_alpha/$S$8*((AE122+$L$8+$N$8)-$K$8)^2,IF((AE122+$L$8+$N$8)&gt;=$T$8,HU_beta*((AE122+$L$8+$N$8)-$K$8),HU_beta*($T$8-$K$8)))))</f>
        <v/>
      </c>
      <c r="AQ122" s="29">
        <f>IF(OR(AN122=0,$S$8=0),0,IF((AE122+$K$8)&gt;$S$8/HU_alpha+$K$8,0.5*$S$8/HU_alpha,IF((AE122+$K$8)&gt;=$K$8,((AE122+$K$8)-$K$8)-0.5*HU_alpha/$S$8*((AE122+$K$8)-$K$8)^2,IF((AE122+$K$8)&gt;=$T$8,HU_beta*((AE122+$K$8)-$K$8),HU_beta*($T$8-$K$8)))))</f>
        <v/>
      </c>
      <c r="AR122" s="63">
        <f>IF(AND($J$9,A122&gt;=1,A122&lt;=$Q$9-1),J122,0)</f>
        <v/>
      </c>
      <c r="AS122" s="29">
        <f>IF(OR(AR122=0,$S$9=0),0,IF((AE122+$L$9)&gt;$S$9/HU_alpha+$K$9,0.5*$S$9/HU_alpha,IF((AE122+$L$9)&gt;=$K$9,((AE122+$L$9)-$K$9)-0.5*HU_alpha/$S$9*((AE122+$L$9)-$K$9)^2,IF((AE122+$L$9)&gt;=$T$9,HU_beta*((AE122+$L$9)-$K$9),HU_beta*($T$9-$K$9)))))</f>
        <v/>
      </c>
      <c r="AT122" s="29">
        <f>IF(OR(AR122=0,$S$9=0),0,IF((AE122+$L$9+$N$9)&gt;$S$9/HU_alpha+$K$9,0.5*$S$9/HU_alpha,IF((AE122+$L$9+$N$9)&gt;=$K$9,((AE122+$L$9+$N$9)-$K$9)-0.5*HU_alpha/$S$9*((AE122+$L$9+$N$9)-$K$9)^2,IF((AE122+$L$9+$N$9)&gt;=$T$9,HU_beta*((AE122+$L$9+$N$9)-$K$9),HU_beta*($T$9-$K$9)))))</f>
        <v/>
      </c>
      <c r="AU122" s="29">
        <f>IF(OR(AR122=0,$S$9=0),0,IF((AE122+$K$9)&gt;$S$9/HU_alpha+$K$9,0.5*$S$9/HU_alpha,IF((AE122+$K$9)&gt;=$K$9,((AE122+$K$9)-$K$9)-0.5*HU_alpha/$S$9*((AE122+$K$9)-$K$9)^2,IF((AE122+$K$9)&gt;=$T$9,HU_beta*((AE122+$K$9)-$K$9),HU_beta*($T$9-$K$9)))))</f>
        <v/>
      </c>
      <c r="AV122" s="63">
        <f>IF(AND($J$10,A122=$Q$10),J122,0)</f>
        <v/>
      </c>
      <c r="AW122" s="29">
        <f>IF(OR(AV122=0,$S$10=0),0,IF((AD122+$L$10)&gt;$S$10/HU_alpha+$K$10,0.5*$S$10/HU_alpha,IF((AD122+$L$10)&gt;=$K$10,((AD122+$L$10)-$K$10)-0.5*HU_alpha/$S$10*((AD122+$L$10)-$K$10)^2,IF((AD122+$L$10)&gt;=$T$10,HU_beta*((AD122+$L$10)-$K$10),HU_beta*($T$10-$K$10)))))</f>
        <v/>
      </c>
      <c r="AX122" s="29">
        <f>IF(OR(AV122=0,$S$10=0),0,IF((AD122+$L$10+$N$10)&gt;$S$10/HU_alpha+$K$10,0.5*$S$10/HU_alpha,IF((AD122+$L$10+$N$10)&gt;=$K$10,((AD122+$L$10+$N$10)-$K$10)-0.5*HU_alpha/$S$10*((AD122+$L$10+$N$10)-$K$10)^2,IF((AD122+$L$10+$N$10)&gt;=$T$10,HU_beta*((AD122+$L$10+$N$10)-$K$10),HU_beta*($T$10-$K$10)))))</f>
        <v/>
      </c>
      <c r="AY122" s="29">
        <f>IF(OR(AV122=0,$S$10=0),0,IF((AD122+$K$10)&gt;$S$10/HU_alpha+$K$10,0.5*$S$10/HU_alpha,IF((AD122+$K$10)&gt;=$K$10,((AD122+$K$10)-$K$10)-0.5*HU_alpha/$S$10*((AD122+$K$10)-$K$10)^2,IF((AD122+$K$10)&gt;=$T$10,HU_beta*((AD122+$K$10)-$K$10),HU_beta*($T$10-$K$10)))))</f>
        <v/>
      </c>
      <c r="AZ122" s="63">
        <f>IF(AND($J$11,A122=$Q$11),J122,0)</f>
        <v/>
      </c>
      <c r="BA122" s="29">
        <f>IF(OR(AZ122=0,$S$11=0),0,IF((AE122+$L$11)&gt;$S$11/HU_alpha+$K$11,0.5*$S$11/HU_alpha,IF((AE122+$L$11)&gt;=$K$11,((AE122+$L$11)-$K$11)-0.5*HU_alpha/$S$11*((AE122+$L$11)-$K$11)^2,IF((AE122+$L$11)&gt;=$T$11,HU_beta*((AE122+$L$11)-$K$11),HU_beta*($T$11-$K$11)))))</f>
        <v/>
      </c>
      <c r="BB122" s="29">
        <f>IF(OR(AZ122=0,$S$11=0),0,IF((AE122+$L$11+$N$11)&gt;$S$11/HU_alpha+$K$11,0.5*$S$11/HU_alpha,IF((AE122+$L$11+$N$11)&gt;=$K$11,((AE122+$L$11+$N$11)-$K$11)-0.5*HU_alpha/$S$11*((AE122+$L$11+$N$11)-$K$11)^2,IF((AE122+$L$11+$N$11)&gt;=$T$11,HU_beta*((AE122+$L$11+$N$11)-$K$11),HU_beta*($T$11-$K$11)))))</f>
        <v/>
      </c>
      <c r="BC122" s="29">
        <f>IF(OR(AZ122=0,$S$11=0),0,IF((AE122+$K$11)&gt;$S$11/HU_alpha+$K$11,0.5*$S$11/HU_alpha,IF((AE122+$K$11)&gt;=$K$11,((AE122+$K$11)-$K$11)-0.5*HU_alpha/$S$11*((AE122+$K$11)-$K$11)^2,IF((AE122+$K$11)&gt;=$T$11,HU_beta*((AE122+$K$11)-$K$11),HU_beta*($T$11-$K$11)))))</f>
        <v/>
      </c>
      <c r="BD122" s="63">
        <f>IF(AND($J$12,A122=$Q$12),J122,0)</f>
        <v/>
      </c>
      <c r="BE122" s="29">
        <f>IF(OR(BD122=0,$S$12=0),0,IF((AE122+$L$12)&gt;$S$12/HU_alpha+$K$12,0.5*$S$12/HU_alpha,IF((AE122+$L$12)&gt;=$K$12,((AE122+$L$12)-$K$12)-0.5*HU_alpha/$S$12*((AE122+$L$12)-$K$12)^2,IF((AE122+$L$12)&gt;=$T$12,HU_beta*((AE122+$L$12)-$K$12),HU_beta*($T$12-$K$12)))))</f>
        <v/>
      </c>
      <c r="BF122" s="29">
        <f>IF(OR(BD122=0,$S$12=0),0,IF((AE122+$L$12+$N$12)&gt;$S$12/HU_alpha+$K$12,0.5*$S$12/HU_alpha,IF((AE122+$L$12+$N$12)&gt;=$K$12,((AE122+$L$12+$N$12)-$K$12)-0.5*HU_alpha/$S$12*((AE122+$L$12+$N$12)-$K$12)^2,IF((AE122+$L$12+$N$12)&gt;=$T$12,HU_beta*((AE122+$L$12+$N$12)-$K$12),HU_beta*($T$12-$K$12)))))</f>
        <v/>
      </c>
      <c r="BG122" s="29">
        <f>IF(OR(BD122=0,$S$12=0),0,IF((AE122+$K$12)&gt;$S$12/HU_alpha+$K$12,0.5*$S$12/HU_alpha,IF((AE122+$K$12)&gt;=$K$12,((AE122+$K$12)-$K$12)-0.5*HU_alpha/$S$12*((AE122+$K$12)-$K$12)^2,IF((AE122+$K$12)&gt;=$T$12,HU_beta*((AE122+$K$12)-$K$12),HU_beta*($T$12-$K$12)))))</f>
        <v/>
      </c>
      <c r="BH122" s="63">
        <f>IF(AND($J$13,A122=$Q$13),J122,0)</f>
        <v/>
      </c>
      <c r="BI122" s="29">
        <f>IF(OR(BH122=0,$S$13=0),0,IF((AE122+$L$13)&gt;$S$13/HU_alpha+$K$13,0.5*$S$13/HU_alpha,IF((AE122+$L$13)&gt;=$K$13,((AE122+$L$13)-$K$13)-0.5*HU_alpha/$S$13*((AE122+$L$13)-$K$13)^2,IF((AE122+$L$13)&gt;=$T$13,HU_beta*((AE122+$L$13)-$K$13),HU_beta*($T$13-$K$13)))))</f>
        <v/>
      </c>
      <c r="BJ122" s="29">
        <f>IF(OR(BH122=0,$S$13=0),0,IF((AE122+$L$13+$N$13)&gt;$S$13/HU_alpha+$K$13,0.5*$S$13/HU_alpha,IF((AE122+$L$13+$N$13)&gt;=$K$13,((AE122+$L$13+$N$13)-$K$13)-0.5*HU_alpha/$S$13*((AE122+$L$13+$N$13)-$K$13)^2,IF((AE122+$L$13+$N$13)&gt;=$T$13,HU_beta*((AE122+$L$13+$N$13)-$K$13),HU_beta*($T$13-$K$13)))))</f>
        <v/>
      </c>
      <c r="BK122" s="29">
        <f>IF(OR(BH122=0,$S$13=0),0,IF((AE122+$K$13)&gt;$S$13/HU_alpha+$K$13,0.5*$S$13/HU_alpha,IF((AE122+$K$13)&gt;=$K$13,((AE122+$K$13)-$K$13)-0.5*HU_alpha/$S$13*((AE122+$K$13)-$K$13)^2,IF((AE122+$K$13)&gt;=$T$13,HU_beta*((AE122+$K$13)-$K$13),HU_beta*($T$13-$K$13)))))</f>
        <v/>
      </c>
    </row>
    <row r="123">
      <c r="A123" s="61" t="n">
        <v>55</v>
      </c>
      <c r="B123" s="61">
        <f>HU_age+A123</f>
        <v/>
      </c>
      <c r="C123" s="52">
        <f>A123&lt;=HU_T</f>
        <v/>
      </c>
      <c r="D123" s="63">
        <f>IF(OR(A123&lt;1,A123&gt;HU_T),0,INDEX(HU_q_mort,HU_age+A123-17,HU_col))</f>
        <v/>
      </c>
      <c r="E123" s="63">
        <f>IF(OR(A123&lt;1,A123&gt;HU_T),0,INDEX(HU_q_adb,HU_age+A123-17,HU_col))</f>
        <v/>
      </c>
      <c r="F123" s="63">
        <f>IF(OR(A123&lt;1,A123&gt;HU_T),0,INDEX(HU_q_morb,HU_age+A123-17,HU_col))</f>
        <v/>
      </c>
      <c r="G123" s="63">
        <f>IF(OR(A123&lt;1,A123&gt;HU_T),0,INDEX(HU_q_ptd,HU_age+A123-17,HU_col))</f>
        <v/>
      </c>
      <c r="H123" s="63">
        <f>IF(OR(A123&lt;1,A123&gt;HU_T),0,INDEX(HU_q_dis,HU_age+A123-17,HU_col))</f>
        <v/>
      </c>
      <c r="I123" s="63">
        <f>IF(A123&gt;HU_T,0,I122*(1-D123)*(1-E123))</f>
        <v/>
      </c>
      <c r="J123" s="63">
        <f>IF(A123&gt;=HU_T,0,N(I124))</f>
        <v/>
      </c>
      <c r="K123" s="63">
        <f>K122*(1-G123)</f>
        <v/>
      </c>
      <c r="L123" s="63">
        <f>1-K123</f>
        <v/>
      </c>
      <c r="M123" s="63">
        <f>K122*G123</f>
        <v/>
      </c>
      <c r="N123" s="63">
        <f>N122*(1-H123)</f>
        <v/>
      </c>
      <c r="O123" s="63">
        <f>1-N122</f>
        <v/>
      </c>
      <c r="P123" s="63">
        <f>P122*(1-F123)</f>
        <v/>
      </c>
      <c r="Q123" s="63">
        <f>1-P122/INDEX($P$68:$P$150,MAX(1,A123-HU_ciYears))</f>
        <v/>
      </c>
      <c r="R123" s="60">
        <f>(1+inflationRate)^A123</f>
        <v/>
      </c>
      <c r="S123" s="29">
        <f>IF(OR(OR(A123&lt;1,A123&gt;HU_T),A123-1&gt;=HU_dtr),0,HU_inc0*(1+incomeGrowthRate)^A123)</f>
        <v/>
      </c>
      <c r="T123" s="60">
        <f>IF(A123&gt;HU_T,T122,T122*(1+INDEX(HU_ssG,HU_age+A123-17)))</f>
        <v/>
      </c>
      <c r="U123" s="29">
        <f>IF(AND(HU_dtr&gt;=1,A123=HU_dtr,A123&lt;=HU_T),MIN(S123*INDEX(HU_ssC,HU_age+A123-17)/(1-INDEX(HU_ssC,HU_age+A123-17)),INDEX(HU_ssCap,HU_age+A123-17))*T123,0)</f>
        <v/>
      </c>
      <c r="V123" s="29">
        <f>S123+U123+IF(AND(HU_wdOn,A123=HU_wdYear),HU_wdIncome,0)</f>
        <v/>
      </c>
      <c r="W123" s="60">
        <f>HU_ciProp*Q123+HU_tpdCut*L123+HU_disCut*O123</f>
        <v/>
      </c>
      <c r="X123" s="29">
        <f>IF(OR(A123&lt;1,A123&gt;HU_T),0,V123*(1-W123))</f>
        <v/>
      </c>
      <c r="Y123" s="29">
        <f>IF(OR(A123&lt;1,A123&gt;HU_T),0,IF(AND(HU_retExp&gt;0,A123-1&gt;=HU_dtr),HU_retExp,HU_exp0)*R123)</f>
        <v/>
      </c>
      <c r="Z123" s="29">
        <f>-Y123-IF(AND(HU_wdOn,A123=HU_wdYear),HU_wdOut,0)</f>
        <v/>
      </c>
      <c r="AA123" s="29">
        <f>IF(OR(A123&lt;1,A123&gt;HU_T),0,-HU_medCost*R123*F123-HU_tpdCost*R123*M123)</f>
        <v/>
      </c>
      <c r="AB123" s="29">
        <f>IF(A123&gt;HU_T,0,AB122*(1+interestRate)+X123+Z123+AA123)</f>
        <v/>
      </c>
      <c r="AC123" s="29">
        <f>IF(A123&gt;HU_T,0,HU_inv*EXP(HU_mu*A123))</f>
        <v/>
      </c>
      <c r="AD123" s="29">
        <f>IF(A123&gt;HU_T,0,MAX(0,AC123+AB123))</f>
        <v/>
      </c>
      <c r="AE123" s="29">
        <f>IF(A123&gt;HU_T,0,MAX(0,X123-Y123))</f>
        <v/>
      </c>
      <c r="AF123" s="63">
        <f>IF(AND($J$6,A123&gt;=1,A123&lt;=$Q$6-1),J123,0)</f>
        <v/>
      </c>
      <c r="AG123" s="29">
        <f>IF(OR(AF123=0,$S$6=0),0,IF((AD123+$L$6)&gt;$S$6/HU_alpha+$K$6,0.5*$S$6/HU_alpha,IF((AD123+$L$6)&gt;=$K$6,((AD123+$L$6)-$K$6)-0.5*HU_alpha/$S$6*((AD123+$L$6)-$K$6)^2,IF((AD123+$L$6)&gt;=$T$6,HU_beta*((AD123+$L$6)-$K$6),HU_beta*($T$6-$K$6)))))</f>
        <v/>
      </c>
      <c r="AH123" s="29">
        <f>IF(OR(AF123=0,$S$6=0),0,IF((AD123+$L$6+$N$6)&gt;$S$6/HU_alpha+$K$6,0.5*$S$6/HU_alpha,IF((AD123+$L$6+$N$6)&gt;=$K$6,((AD123+$L$6+$N$6)-$K$6)-0.5*HU_alpha/$S$6*((AD123+$L$6+$N$6)-$K$6)^2,IF((AD123+$L$6+$N$6)&gt;=$T$6,HU_beta*((AD123+$L$6+$N$6)-$K$6),HU_beta*($T$6-$K$6)))))</f>
        <v/>
      </c>
      <c r="AI123" s="29">
        <f>IF(OR(AF123=0,$S$6=0),0,IF((AD123+$K$6)&gt;$S$6/HU_alpha+$K$6,0.5*$S$6/HU_alpha,IF((AD123+$K$6)&gt;=$K$6,((AD123+$K$6)-$K$6)-0.5*HU_alpha/$S$6*((AD123+$K$6)-$K$6)^2,IF((AD123+$K$6)&gt;=$T$6,HU_beta*((AD123+$K$6)-$K$6),HU_beta*($T$6-$K$6)))))</f>
        <v/>
      </c>
      <c r="AJ123" s="63">
        <f>IF(AND($J$7,A123&gt;=1,A123&lt;=$Q$7-1),J123,0)</f>
        <v/>
      </c>
      <c r="AK123" s="29">
        <f>IF(OR(AJ123=0,$S$7=0),0,IF((AE123+$L$7)&gt;$S$7/HU_alpha+$K$7,0.5*$S$7/HU_alpha,IF((AE123+$L$7)&gt;=$K$7,((AE123+$L$7)-$K$7)-0.5*HU_alpha/$S$7*((AE123+$L$7)-$K$7)^2,IF((AE123+$L$7)&gt;=$T$7,HU_beta*((AE123+$L$7)-$K$7),HU_beta*($T$7-$K$7)))))</f>
        <v/>
      </c>
      <c r="AL123" s="29">
        <f>IF(OR(AJ123=0,$S$7=0),0,IF((AE123+$L$7+$N$7)&gt;$S$7/HU_alpha+$K$7,0.5*$S$7/HU_alpha,IF((AE123+$L$7+$N$7)&gt;=$K$7,((AE123+$L$7+$N$7)-$K$7)-0.5*HU_alpha/$S$7*((AE123+$L$7+$N$7)-$K$7)^2,IF((AE123+$L$7+$N$7)&gt;=$T$7,HU_beta*((AE123+$L$7+$N$7)-$K$7),HU_beta*($T$7-$K$7)))))</f>
        <v/>
      </c>
      <c r="AM123" s="29">
        <f>IF(OR(AJ123=0,$S$7=0),0,IF((AE123+$K$7)&gt;$S$7/HU_alpha+$K$7,0.5*$S$7/HU_alpha,IF((AE123+$K$7)&gt;=$K$7,((AE123+$K$7)-$K$7)-0.5*HU_alpha/$S$7*((AE123+$K$7)-$K$7)^2,IF((AE123+$K$7)&gt;=$T$7,HU_beta*((AE123+$K$7)-$K$7),HU_beta*($T$7-$K$7)))))</f>
        <v/>
      </c>
      <c r="AN123" s="63">
        <f>IF(AND($J$8,A123&gt;=1,A123&lt;=$Q$8-1),J123,0)</f>
        <v/>
      </c>
      <c r="AO123" s="29">
        <f>IF(OR(AN123=0,$S$8=0),0,IF((AE123+$L$8)&gt;$S$8/HU_alpha+$K$8,0.5*$S$8/HU_alpha,IF((AE123+$L$8)&gt;=$K$8,((AE123+$L$8)-$K$8)-0.5*HU_alpha/$S$8*((AE123+$L$8)-$K$8)^2,IF((AE123+$L$8)&gt;=$T$8,HU_beta*((AE123+$L$8)-$K$8),HU_beta*($T$8-$K$8)))))</f>
        <v/>
      </c>
      <c r="AP123" s="29">
        <f>IF(OR(AN123=0,$S$8=0),0,IF((AE123+$L$8+$N$8)&gt;$S$8/HU_alpha+$K$8,0.5*$S$8/HU_alpha,IF((AE123+$L$8+$N$8)&gt;=$K$8,((AE123+$L$8+$N$8)-$K$8)-0.5*HU_alpha/$S$8*((AE123+$L$8+$N$8)-$K$8)^2,IF((AE123+$L$8+$N$8)&gt;=$T$8,HU_beta*((AE123+$L$8+$N$8)-$K$8),HU_beta*($T$8-$K$8)))))</f>
        <v/>
      </c>
      <c r="AQ123" s="29">
        <f>IF(OR(AN123=0,$S$8=0),0,IF((AE123+$K$8)&gt;$S$8/HU_alpha+$K$8,0.5*$S$8/HU_alpha,IF((AE123+$K$8)&gt;=$K$8,((AE123+$K$8)-$K$8)-0.5*HU_alpha/$S$8*((AE123+$K$8)-$K$8)^2,IF((AE123+$K$8)&gt;=$T$8,HU_beta*((AE123+$K$8)-$K$8),HU_beta*($T$8-$K$8)))))</f>
        <v/>
      </c>
      <c r="AR123" s="63">
        <f>IF(AND($J$9,A123&gt;=1,A123&lt;=$Q$9-1),J123,0)</f>
        <v/>
      </c>
      <c r="AS123" s="29">
        <f>IF(OR(AR123=0,$S$9=0),0,IF((AE123+$L$9)&gt;$S$9/HU_alpha+$K$9,0.5*$S$9/HU_alpha,IF((AE123+$L$9)&gt;=$K$9,((AE123+$L$9)-$K$9)-0.5*HU_alpha/$S$9*((AE123+$L$9)-$K$9)^2,IF((AE123+$L$9)&gt;=$T$9,HU_beta*((AE123+$L$9)-$K$9),HU_beta*($T$9-$K$9)))))</f>
        <v/>
      </c>
      <c r="AT123" s="29">
        <f>IF(OR(AR123=0,$S$9=0),0,IF((AE123+$L$9+$N$9)&gt;$S$9/HU_alpha+$K$9,0.5*$S$9/HU_alpha,IF((AE123+$L$9+$N$9)&gt;=$K$9,((AE123+$L$9+$N$9)-$K$9)-0.5*HU_alpha/$S$9*((AE123+$L$9+$N$9)-$K$9)^2,IF((AE123+$L$9+$N$9)&gt;=$T$9,HU_beta*((AE123+$L$9+$N$9)-$K$9),HU_beta*($T$9-$K$9)))))</f>
        <v/>
      </c>
      <c r="AU123" s="29">
        <f>IF(OR(AR123=0,$S$9=0),0,IF((AE123+$K$9)&gt;$S$9/HU_alpha+$K$9,0.5*$S$9/HU_alpha,IF((AE123+$K$9)&gt;=$K$9,((AE123+$K$9)-$K$9)-0.5*HU_alpha/$S$9*((AE123+$K$9)-$K$9)^2,IF((AE123+$K$9)&gt;=$T$9,HU_beta*((AE123+$K$9)-$K$9),HU_beta*($T$9-$K$9)))))</f>
        <v/>
      </c>
      <c r="AV123" s="63">
        <f>IF(AND($J$10,A123=$Q$10),J123,0)</f>
        <v/>
      </c>
      <c r="AW123" s="29">
        <f>IF(OR(AV123=0,$S$10=0),0,IF((AD123+$L$10)&gt;$S$10/HU_alpha+$K$10,0.5*$S$10/HU_alpha,IF((AD123+$L$10)&gt;=$K$10,((AD123+$L$10)-$K$10)-0.5*HU_alpha/$S$10*((AD123+$L$10)-$K$10)^2,IF((AD123+$L$10)&gt;=$T$10,HU_beta*((AD123+$L$10)-$K$10),HU_beta*($T$10-$K$10)))))</f>
        <v/>
      </c>
      <c r="AX123" s="29">
        <f>IF(OR(AV123=0,$S$10=0),0,IF((AD123+$L$10+$N$10)&gt;$S$10/HU_alpha+$K$10,0.5*$S$10/HU_alpha,IF((AD123+$L$10+$N$10)&gt;=$K$10,((AD123+$L$10+$N$10)-$K$10)-0.5*HU_alpha/$S$10*((AD123+$L$10+$N$10)-$K$10)^2,IF((AD123+$L$10+$N$10)&gt;=$T$10,HU_beta*((AD123+$L$10+$N$10)-$K$10),HU_beta*($T$10-$K$10)))))</f>
        <v/>
      </c>
      <c r="AY123" s="29">
        <f>IF(OR(AV123=0,$S$10=0),0,IF((AD123+$K$10)&gt;$S$10/HU_alpha+$K$10,0.5*$S$10/HU_alpha,IF((AD123+$K$10)&gt;=$K$10,((AD123+$K$10)-$K$10)-0.5*HU_alpha/$S$10*((AD123+$K$10)-$K$10)^2,IF((AD123+$K$10)&gt;=$T$10,HU_beta*((AD123+$K$10)-$K$10),HU_beta*($T$10-$K$10)))))</f>
        <v/>
      </c>
      <c r="AZ123" s="63">
        <f>IF(AND($J$11,A123=$Q$11),J123,0)</f>
        <v/>
      </c>
      <c r="BA123" s="29">
        <f>IF(OR(AZ123=0,$S$11=0),0,IF((AE123+$L$11)&gt;$S$11/HU_alpha+$K$11,0.5*$S$11/HU_alpha,IF((AE123+$L$11)&gt;=$K$11,((AE123+$L$11)-$K$11)-0.5*HU_alpha/$S$11*((AE123+$L$11)-$K$11)^2,IF((AE123+$L$11)&gt;=$T$11,HU_beta*((AE123+$L$11)-$K$11),HU_beta*($T$11-$K$11)))))</f>
        <v/>
      </c>
      <c r="BB123" s="29">
        <f>IF(OR(AZ123=0,$S$11=0),0,IF((AE123+$L$11+$N$11)&gt;$S$11/HU_alpha+$K$11,0.5*$S$11/HU_alpha,IF((AE123+$L$11+$N$11)&gt;=$K$11,((AE123+$L$11+$N$11)-$K$11)-0.5*HU_alpha/$S$11*((AE123+$L$11+$N$11)-$K$11)^2,IF((AE123+$L$11+$N$11)&gt;=$T$11,HU_beta*((AE123+$L$11+$N$11)-$K$11),HU_beta*($T$11-$K$11)))))</f>
        <v/>
      </c>
      <c r="BC123" s="29">
        <f>IF(OR(AZ123=0,$S$11=0),0,IF((AE123+$K$11)&gt;$S$11/HU_alpha+$K$11,0.5*$S$11/HU_alpha,IF((AE123+$K$11)&gt;=$K$11,((AE123+$K$11)-$K$11)-0.5*HU_alpha/$S$11*((AE123+$K$11)-$K$11)^2,IF((AE123+$K$11)&gt;=$T$11,HU_beta*((AE123+$K$11)-$K$11),HU_beta*($T$11-$K$11)))))</f>
        <v/>
      </c>
      <c r="BD123" s="63">
        <f>IF(AND($J$12,A123=$Q$12),J123,0)</f>
        <v/>
      </c>
      <c r="BE123" s="29">
        <f>IF(OR(BD123=0,$S$12=0),0,IF((AE123+$L$12)&gt;$S$12/HU_alpha+$K$12,0.5*$S$12/HU_alpha,IF((AE123+$L$12)&gt;=$K$12,((AE123+$L$12)-$K$12)-0.5*HU_alpha/$S$12*((AE123+$L$12)-$K$12)^2,IF((AE123+$L$12)&gt;=$T$12,HU_beta*((AE123+$L$12)-$K$12),HU_beta*($T$12-$K$12)))))</f>
        <v/>
      </c>
      <c r="BF123" s="29">
        <f>IF(OR(BD123=0,$S$12=0),0,IF((AE123+$L$12+$N$12)&gt;$S$12/HU_alpha+$K$12,0.5*$S$12/HU_alpha,IF((AE123+$L$12+$N$12)&gt;=$K$12,((AE123+$L$12+$N$12)-$K$12)-0.5*HU_alpha/$S$12*((AE123+$L$12+$N$12)-$K$12)^2,IF((AE123+$L$12+$N$12)&gt;=$T$12,HU_beta*((AE123+$L$12+$N$12)-$K$12),HU_beta*($T$12-$K$12)))))</f>
        <v/>
      </c>
      <c r="BG123" s="29">
        <f>IF(OR(BD123=0,$S$12=0),0,IF((AE123+$K$12)&gt;$S$12/HU_alpha+$K$12,0.5*$S$12/HU_alpha,IF((AE123+$K$12)&gt;=$K$12,((AE123+$K$12)-$K$12)-0.5*HU_alpha/$S$12*((AE123+$K$12)-$K$12)^2,IF((AE123+$K$12)&gt;=$T$12,HU_beta*((AE123+$K$12)-$K$12),HU_beta*($T$12-$K$12)))))</f>
        <v/>
      </c>
      <c r="BH123" s="63">
        <f>IF(AND($J$13,A123=$Q$13),J123,0)</f>
        <v/>
      </c>
      <c r="BI123" s="29">
        <f>IF(OR(BH123=0,$S$13=0),0,IF((AE123+$L$13)&gt;$S$13/HU_alpha+$K$13,0.5*$S$13/HU_alpha,IF((AE123+$L$13)&gt;=$K$13,((AE123+$L$13)-$K$13)-0.5*HU_alpha/$S$13*((AE123+$L$13)-$K$13)^2,IF((AE123+$L$13)&gt;=$T$13,HU_beta*((AE123+$L$13)-$K$13),HU_beta*($T$13-$K$13)))))</f>
        <v/>
      </c>
      <c r="BJ123" s="29">
        <f>IF(OR(BH123=0,$S$13=0),0,IF((AE123+$L$13+$N$13)&gt;$S$13/HU_alpha+$K$13,0.5*$S$13/HU_alpha,IF((AE123+$L$13+$N$13)&gt;=$K$13,((AE123+$L$13+$N$13)-$K$13)-0.5*HU_alpha/$S$13*((AE123+$L$13+$N$13)-$K$13)^2,IF((AE123+$L$13+$N$13)&gt;=$T$13,HU_beta*((AE123+$L$13+$N$13)-$K$13),HU_beta*($T$13-$K$13)))))</f>
        <v/>
      </c>
      <c r="BK123" s="29">
        <f>IF(OR(BH123=0,$S$13=0),0,IF((AE123+$K$13)&gt;$S$13/HU_alpha+$K$13,0.5*$S$13/HU_alpha,IF((AE123+$K$13)&gt;=$K$13,((AE123+$K$13)-$K$13)-0.5*HU_alpha/$S$13*((AE123+$K$13)-$K$13)^2,IF((AE123+$K$13)&gt;=$T$13,HU_beta*((AE123+$K$13)-$K$13),HU_beta*($T$13-$K$13)))))</f>
        <v/>
      </c>
    </row>
    <row r="124">
      <c r="A124" s="61" t="n">
        <v>56</v>
      </c>
      <c r="B124" s="61">
        <f>HU_age+A124</f>
        <v/>
      </c>
      <c r="C124" s="52">
        <f>A124&lt;=HU_T</f>
        <v/>
      </c>
      <c r="D124" s="63">
        <f>IF(OR(A124&lt;1,A124&gt;HU_T),0,INDEX(HU_q_mort,HU_age+A124-17,HU_col))</f>
        <v/>
      </c>
      <c r="E124" s="63">
        <f>IF(OR(A124&lt;1,A124&gt;HU_T),0,INDEX(HU_q_adb,HU_age+A124-17,HU_col))</f>
        <v/>
      </c>
      <c r="F124" s="63">
        <f>IF(OR(A124&lt;1,A124&gt;HU_T),0,INDEX(HU_q_morb,HU_age+A124-17,HU_col))</f>
        <v/>
      </c>
      <c r="G124" s="63">
        <f>IF(OR(A124&lt;1,A124&gt;HU_T),0,INDEX(HU_q_ptd,HU_age+A124-17,HU_col))</f>
        <v/>
      </c>
      <c r="H124" s="63">
        <f>IF(OR(A124&lt;1,A124&gt;HU_T),0,INDEX(HU_q_dis,HU_age+A124-17,HU_col))</f>
        <v/>
      </c>
      <c r="I124" s="63">
        <f>IF(A124&gt;HU_T,0,I123*(1-D124)*(1-E124))</f>
        <v/>
      </c>
      <c r="J124" s="63">
        <f>IF(A124&gt;=HU_T,0,N(I125))</f>
        <v/>
      </c>
      <c r="K124" s="63">
        <f>K123*(1-G124)</f>
        <v/>
      </c>
      <c r="L124" s="63">
        <f>1-K124</f>
        <v/>
      </c>
      <c r="M124" s="63">
        <f>K123*G124</f>
        <v/>
      </c>
      <c r="N124" s="63">
        <f>N123*(1-H124)</f>
        <v/>
      </c>
      <c r="O124" s="63">
        <f>1-N123</f>
        <v/>
      </c>
      <c r="P124" s="63">
        <f>P123*(1-F124)</f>
        <v/>
      </c>
      <c r="Q124" s="63">
        <f>1-P123/INDEX($P$68:$P$150,MAX(1,A124-HU_ciYears))</f>
        <v/>
      </c>
      <c r="R124" s="60">
        <f>(1+inflationRate)^A124</f>
        <v/>
      </c>
      <c r="S124" s="29">
        <f>IF(OR(OR(A124&lt;1,A124&gt;HU_T),A124-1&gt;=HU_dtr),0,HU_inc0*(1+incomeGrowthRate)^A124)</f>
        <v/>
      </c>
      <c r="T124" s="60">
        <f>IF(A124&gt;HU_T,T123,T123*(1+INDEX(HU_ssG,HU_age+A124-17)))</f>
        <v/>
      </c>
      <c r="U124" s="29">
        <f>IF(AND(HU_dtr&gt;=1,A124=HU_dtr,A124&lt;=HU_T),MIN(S124*INDEX(HU_ssC,HU_age+A124-17)/(1-INDEX(HU_ssC,HU_age+A124-17)),INDEX(HU_ssCap,HU_age+A124-17))*T124,0)</f>
        <v/>
      </c>
      <c r="V124" s="29">
        <f>S124+U124+IF(AND(HU_wdOn,A124=HU_wdYear),HU_wdIncome,0)</f>
        <v/>
      </c>
      <c r="W124" s="60">
        <f>HU_ciProp*Q124+HU_tpdCut*L124+HU_disCut*O124</f>
        <v/>
      </c>
      <c r="X124" s="29">
        <f>IF(OR(A124&lt;1,A124&gt;HU_T),0,V124*(1-W124))</f>
        <v/>
      </c>
      <c r="Y124" s="29">
        <f>IF(OR(A124&lt;1,A124&gt;HU_T),0,IF(AND(HU_retExp&gt;0,A124-1&gt;=HU_dtr),HU_retExp,HU_exp0)*R124)</f>
        <v/>
      </c>
      <c r="Z124" s="29">
        <f>-Y124-IF(AND(HU_wdOn,A124=HU_wdYear),HU_wdOut,0)</f>
        <v/>
      </c>
      <c r="AA124" s="29">
        <f>IF(OR(A124&lt;1,A124&gt;HU_T),0,-HU_medCost*R124*F124-HU_tpdCost*R124*M124)</f>
        <v/>
      </c>
      <c r="AB124" s="29">
        <f>IF(A124&gt;HU_T,0,AB123*(1+interestRate)+X124+Z124+AA124)</f>
        <v/>
      </c>
      <c r="AC124" s="29">
        <f>IF(A124&gt;HU_T,0,HU_inv*EXP(HU_mu*A124))</f>
        <v/>
      </c>
      <c r="AD124" s="29">
        <f>IF(A124&gt;HU_T,0,MAX(0,AC124+AB124))</f>
        <v/>
      </c>
      <c r="AE124" s="29">
        <f>IF(A124&gt;HU_T,0,MAX(0,X124-Y124))</f>
        <v/>
      </c>
      <c r="AF124" s="63">
        <f>IF(AND($J$6,A124&gt;=1,A124&lt;=$Q$6-1),J124,0)</f>
        <v/>
      </c>
      <c r="AG124" s="29">
        <f>IF(OR(AF124=0,$S$6=0),0,IF((AD124+$L$6)&gt;$S$6/HU_alpha+$K$6,0.5*$S$6/HU_alpha,IF((AD124+$L$6)&gt;=$K$6,((AD124+$L$6)-$K$6)-0.5*HU_alpha/$S$6*((AD124+$L$6)-$K$6)^2,IF((AD124+$L$6)&gt;=$T$6,HU_beta*((AD124+$L$6)-$K$6),HU_beta*($T$6-$K$6)))))</f>
        <v/>
      </c>
      <c r="AH124" s="29">
        <f>IF(OR(AF124=0,$S$6=0),0,IF((AD124+$L$6+$N$6)&gt;$S$6/HU_alpha+$K$6,0.5*$S$6/HU_alpha,IF((AD124+$L$6+$N$6)&gt;=$K$6,((AD124+$L$6+$N$6)-$K$6)-0.5*HU_alpha/$S$6*((AD124+$L$6+$N$6)-$K$6)^2,IF((AD124+$L$6+$N$6)&gt;=$T$6,HU_beta*((AD124+$L$6+$N$6)-$K$6),HU_beta*($T$6-$K$6)))))</f>
        <v/>
      </c>
      <c r="AI124" s="29">
        <f>IF(OR(AF124=0,$S$6=0),0,IF((AD124+$K$6)&gt;$S$6/HU_alpha+$K$6,0.5*$S$6/HU_alpha,IF((AD124+$K$6)&gt;=$K$6,((AD124+$K$6)-$K$6)-0.5*HU_alpha/$S$6*((AD124+$K$6)-$K$6)^2,IF((AD124+$K$6)&gt;=$T$6,HU_beta*((AD124+$K$6)-$K$6),HU_beta*($T$6-$K$6)))))</f>
        <v/>
      </c>
      <c r="AJ124" s="63">
        <f>IF(AND($J$7,A124&gt;=1,A124&lt;=$Q$7-1),J124,0)</f>
        <v/>
      </c>
      <c r="AK124" s="29">
        <f>IF(OR(AJ124=0,$S$7=0),0,IF((AE124+$L$7)&gt;$S$7/HU_alpha+$K$7,0.5*$S$7/HU_alpha,IF((AE124+$L$7)&gt;=$K$7,((AE124+$L$7)-$K$7)-0.5*HU_alpha/$S$7*((AE124+$L$7)-$K$7)^2,IF((AE124+$L$7)&gt;=$T$7,HU_beta*((AE124+$L$7)-$K$7),HU_beta*($T$7-$K$7)))))</f>
        <v/>
      </c>
      <c r="AL124" s="29">
        <f>IF(OR(AJ124=0,$S$7=0),0,IF((AE124+$L$7+$N$7)&gt;$S$7/HU_alpha+$K$7,0.5*$S$7/HU_alpha,IF((AE124+$L$7+$N$7)&gt;=$K$7,((AE124+$L$7+$N$7)-$K$7)-0.5*HU_alpha/$S$7*((AE124+$L$7+$N$7)-$K$7)^2,IF((AE124+$L$7+$N$7)&gt;=$T$7,HU_beta*((AE124+$L$7+$N$7)-$K$7),HU_beta*($T$7-$K$7)))))</f>
        <v/>
      </c>
      <c r="AM124" s="29">
        <f>IF(OR(AJ124=0,$S$7=0),0,IF((AE124+$K$7)&gt;$S$7/HU_alpha+$K$7,0.5*$S$7/HU_alpha,IF((AE124+$K$7)&gt;=$K$7,((AE124+$K$7)-$K$7)-0.5*HU_alpha/$S$7*((AE124+$K$7)-$K$7)^2,IF((AE124+$K$7)&gt;=$T$7,HU_beta*((AE124+$K$7)-$K$7),HU_beta*($T$7-$K$7)))))</f>
        <v/>
      </c>
      <c r="AN124" s="63">
        <f>IF(AND($J$8,A124&gt;=1,A124&lt;=$Q$8-1),J124,0)</f>
        <v/>
      </c>
      <c r="AO124" s="29">
        <f>IF(OR(AN124=0,$S$8=0),0,IF((AE124+$L$8)&gt;$S$8/HU_alpha+$K$8,0.5*$S$8/HU_alpha,IF((AE124+$L$8)&gt;=$K$8,((AE124+$L$8)-$K$8)-0.5*HU_alpha/$S$8*((AE124+$L$8)-$K$8)^2,IF((AE124+$L$8)&gt;=$T$8,HU_beta*((AE124+$L$8)-$K$8),HU_beta*($T$8-$K$8)))))</f>
        <v/>
      </c>
      <c r="AP124" s="29">
        <f>IF(OR(AN124=0,$S$8=0),0,IF((AE124+$L$8+$N$8)&gt;$S$8/HU_alpha+$K$8,0.5*$S$8/HU_alpha,IF((AE124+$L$8+$N$8)&gt;=$K$8,((AE124+$L$8+$N$8)-$K$8)-0.5*HU_alpha/$S$8*((AE124+$L$8+$N$8)-$K$8)^2,IF((AE124+$L$8+$N$8)&gt;=$T$8,HU_beta*((AE124+$L$8+$N$8)-$K$8),HU_beta*($T$8-$K$8)))))</f>
        <v/>
      </c>
      <c r="AQ124" s="29">
        <f>IF(OR(AN124=0,$S$8=0),0,IF((AE124+$K$8)&gt;$S$8/HU_alpha+$K$8,0.5*$S$8/HU_alpha,IF((AE124+$K$8)&gt;=$K$8,((AE124+$K$8)-$K$8)-0.5*HU_alpha/$S$8*((AE124+$K$8)-$K$8)^2,IF((AE124+$K$8)&gt;=$T$8,HU_beta*((AE124+$K$8)-$K$8),HU_beta*($T$8-$K$8)))))</f>
        <v/>
      </c>
      <c r="AR124" s="63">
        <f>IF(AND($J$9,A124&gt;=1,A124&lt;=$Q$9-1),J124,0)</f>
        <v/>
      </c>
      <c r="AS124" s="29">
        <f>IF(OR(AR124=0,$S$9=0),0,IF((AE124+$L$9)&gt;$S$9/HU_alpha+$K$9,0.5*$S$9/HU_alpha,IF((AE124+$L$9)&gt;=$K$9,((AE124+$L$9)-$K$9)-0.5*HU_alpha/$S$9*((AE124+$L$9)-$K$9)^2,IF((AE124+$L$9)&gt;=$T$9,HU_beta*((AE124+$L$9)-$K$9),HU_beta*($T$9-$K$9)))))</f>
        <v/>
      </c>
      <c r="AT124" s="29">
        <f>IF(OR(AR124=0,$S$9=0),0,IF((AE124+$L$9+$N$9)&gt;$S$9/HU_alpha+$K$9,0.5*$S$9/HU_alpha,IF((AE124+$L$9+$N$9)&gt;=$K$9,((AE124+$L$9+$N$9)-$K$9)-0.5*HU_alpha/$S$9*((AE124+$L$9+$N$9)-$K$9)^2,IF((AE124+$L$9+$N$9)&gt;=$T$9,HU_beta*((AE124+$L$9+$N$9)-$K$9),HU_beta*($T$9-$K$9)))))</f>
        <v/>
      </c>
      <c r="AU124" s="29">
        <f>IF(OR(AR124=0,$S$9=0),0,IF((AE124+$K$9)&gt;$S$9/HU_alpha+$K$9,0.5*$S$9/HU_alpha,IF((AE124+$K$9)&gt;=$K$9,((AE124+$K$9)-$K$9)-0.5*HU_alpha/$S$9*((AE124+$K$9)-$K$9)^2,IF((AE124+$K$9)&gt;=$T$9,HU_beta*((AE124+$K$9)-$K$9),HU_beta*($T$9-$K$9)))))</f>
        <v/>
      </c>
      <c r="AV124" s="63">
        <f>IF(AND($J$10,A124=$Q$10),J124,0)</f>
        <v/>
      </c>
      <c r="AW124" s="29">
        <f>IF(OR(AV124=0,$S$10=0),0,IF((AD124+$L$10)&gt;$S$10/HU_alpha+$K$10,0.5*$S$10/HU_alpha,IF((AD124+$L$10)&gt;=$K$10,((AD124+$L$10)-$K$10)-0.5*HU_alpha/$S$10*((AD124+$L$10)-$K$10)^2,IF((AD124+$L$10)&gt;=$T$10,HU_beta*((AD124+$L$10)-$K$10),HU_beta*($T$10-$K$10)))))</f>
        <v/>
      </c>
      <c r="AX124" s="29">
        <f>IF(OR(AV124=0,$S$10=0),0,IF((AD124+$L$10+$N$10)&gt;$S$10/HU_alpha+$K$10,0.5*$S$10/HU_alpha,IF((AD124+$L$10+$N$10)&gt;=$K$10,((AD124+$L$10+$N$10)-$K$10)-0.5*HU_alpha/$S$10*((AD124+$L$10+$N$10)-$K$10)^2,IF((AD124+$L$10+$N$10)&gt;=$T$10,HU_beta*((AD124+$L$10+$N$10)-$K$10),HU_beta*($T$10-$K$10)))))</f>
        <v/>
      </c>
      <c r="AY124" s="29">
        <f>IF(OR(AV124=0,$S$10=0),0,IF((AD124+$K$10)&gt;$S$10/HU_alpha+$K$10,0.5*$S$10/HU_alpha,IF((AD124+$K$10)&gt;=$K$10,((AD124+$K$10)-$K$10)-0.5*HU_alpha/$S$10*((AD124+$K$10)-$K$10)^2,IF((AD124+$K$10)&gt;=$T$10,HU_beta*((AD124+$K$10)-$K$10),HU_beta*($T$10-$K$10)))))</f>
        <v/>
      </c>
      <c r="AZ124" s="63">
        <f>IF(AND($J$11,A124=$Q$11),J124,0)</f>
        <v/>
      </c>
      <c r="BA124" s="29">
        <f>IF(OR(AZ124=0,$S$11=0),0,IF((AE124+$L$11)&gt;$S$11/HU_alpha+$K$11,0.5*$S$11/HU_alpha,IF((AE124+$L$11)&gt;=$K$11,((AE124+$L$11)-$K$11)-0.5*HU_alpha/$S$11*((AE124+$L$11)-$K$11)^2,IF((AE124+$L$11)&gt;=$T$11,HU_beta*((AE124+$L$11)-$K$11),HU_beta*($T$11-$K$11)))))</f>
        <v/>
      </c>
      <c r="BB124" s="29">
        <f>IF(OR(AZ124=0,$S$11=0),0,IF((AE124+$L$11+$N$11)&gt;$S$11/HU_alpha+$K$11,0.5*$S$11/HU_alpha,IF((AE124+$L$11+$N$11)&gt;=$K$11,((AE124+$L$11+$N$11)-$K$11)-0.5*HU_alpha/$S$11*((AE124+$L$11+$N$11)-$K$11)^2,IF((AE124+$L$11+$N$11)&gt;=$T$11,HU_beta*((AE124+$L$11+$N$11)-$K$11),HU_beta*($T$11-$K$11)))))</f>
        <v/>
      </c>
      <c r="BC124" s="29">
        <f>IF(OR(AZ124=0,$S$11=0),0,IF((AE124+$K$11)&gt;$S$11/HU_alpha+$K$11,0.5*$S$11/HU_alpha,IF((AE124+$K$11)&gt;=$K$11,((AE124+$K$11)-$K$11)-0.5*HU_alpha/$S$11*((AE124+$K$11)-$K$11)^2,IF((AE124+$K$11)&gt;=$T$11,HU_beta*((AE124+$K$11)-$K$11),HU_beta*($T$11-$K$11)))))</f>
        <v/>
      </c>
      <c r="BD124" s="63">
        <f>IF(AND($J$12,A124=$Q$12),J124,0)</f>
        <v/>
      </c>
      <c r="BE124" s="29">
        <f>IF(OR(BD124=0,$S$12=0),0,IF((AE124+$L$12)&gt;$S$12/HU_alpha+$K$12,0.5*$S$12/HU_alpha,IF((AE124+$L$12)&gt;=$K$12,((AE124+$L$12)-$K$12)-0.5*HU_alpha/$S$12*((AE124+$L$12)-$K$12)^2,IF((AE124+$L$12)&gt;=$T$12,HU_beta*((AE124+$L$12)-$K$12),HU_beta*($T$12-$K$12)))))</f>
        <v/>
      </c>
      <c r="BF124" s="29">
        <f>IF(OR(BD124=0,$S$12=0),0,IF((AE124+$L$12+$N$12)&gt;$S$12/HU_alpha+$K$12,0.5*$S$12/HU_alpha,IF((AE124+$L$12+$N$12)&gt;=$K$12,((AE124+$L$12+$N$12)-$K$12)-0.5*HU_alpha/$S$12*((AE124+$L$12+$N$12)-$K$12)^2,IF((AE124+$L$12+$N$12)&gt;=$T$12,HU_beta*((AE124+$L$12+$N$12)-$K$12),HU_beta*($T$12-$K$12)))))</f>
        <v/>
      </c>
      <c r="BG124" s="29">
        <f>IF(OR(BD124=0,$S$12=0),0,IF((AE124+$K$12)&gt;$S$12/HU_alpha+$K$12,0.5*$S$12/HU_alpha,IF((AE124+$K$12)&gt;=$K$12,((AE124+$K$12)-$K$12)-0.5*HU_alpha/$S$12*((AE124+$K$12)-$K$12)^2,IF((AE124+$K$12)&gt;=$T$12,HU_beta*((AE124+$K$12)-$K$12),HU_beta*($T$12-$K$12)))))</f>
        <v/>
      </c>
      <c r="BH124" s="63">
        <f>IF(AND($J$13,A124=$Q$13),J124,0)</f>
        <v/>
      </c>
      <c r="BI124" s="29">
        <f>IF(OR(BH124=0,$S$13=0),0,IF((AE124+$L$13)&gt;$S$13/HU_alpha+$K$13,0.5*$S$13/HU_alpha,IF((AE124+$L$13)&gt;=$K$13,((AE124+$L$13)-$K$13)-0.5*HU_alpha/$S$13*((AE124+$L$13)-$K$13)^2,IF((AE124+$L$13)&gt;=$T$13,HU_beta*((AE124+$L$13)-$K$13),HU_beta*($T$13-$K$13)))))</f>
        <v/>
      </c>
      <c r="BJ124" s="29">
        <f>IF(OR(BH124=0,$S$13=0),0,IF((AE124+$L$13+$N$13)&gt;$S$13/HU_alpha+$K$13,0.5*$S$13/HU_alpha,IF((AE124+$L$13+$N$13)&gt;=$K$13,((AE124+$L$13+$N$13)-$K$13)-0.5*HU_alpha/$S$13*((AE124+$L$13+$N$13)-$K$13)^2,IF((AE124+$L$13+$N$13)&gt;=$T$13,HU_beta*((AE124+$L$13+$N$13)-$K$13),HU_beta*($T$13-$K$13)))))</f>
        <v/>
      </c>
      <c r="BK124" s="29">
        <f>IF(OR(BH124=0,$S$13=0),0,IF((AE124+$K$13)&gt;$S$13/HU_alpha+$K$13,0.5*$S$13/HU_alpha,IF((AE124+$K$13)&gt;=$K$13,((AE124+$K$13)-$K$13)-0.5*HU_alpha/$S$13*((AE124+$K$13)-$K$13)^2,IF((AE124+$K$13)&gt;=$T$13,HU_beta*((AE124+$K$13)-$K$13),HU_beta*($T$13-$K$13)))))</f>
        <v/>
      </c>
    </row>
    <row r="125">
      <c r="A125" s="61" t="n">
        <v>57</v>
      </c>
      <c r="B125" s="61">
        <f>HU_age+A125</f>
        <v/>
      </c>
      <c r="C125" s="52">
        <f>A125&lt;=HU_T</f>
        <v/>
      </c>
      <c r="D125" s="63">
        <f>IF(OR(A125&lt;1,A125&gt;HU_T),0,INDEX(HU_q_mort,HU_age+A125-17,HU_col))</f>
        <v/>
      </c>
      <c r="E125" s="63">
        <f>IF(OR(A125&lt;1,A125&gt;HU_T),0,INDEX(HU_q_adb,HU_age+A125-17,HU_col))</f>
        <v/>
      </c>
      <c r="F125" s="63">
        <f>IF(OR(A125&lt;1,A125&gt;HU_T),0,INDEX(HU_q_morb,HU_age+A125-17,HU_col))</f>
        <v/>
      </c>
      <c r="G125" s="63">
        <f>IF(OR(A125&lt;1,A125&gt;HU_T),0,INDEX(HU_q_ptd,HU_age+A125-17,HU_col))</f>
        <v/>
      </c>
      <c r="H125" s="63">
        <f>IF(OR(A125&lt;1,A125&gt;HU_T),0,INDEX(HU_q_dis,HU_age+A125-17,HU_col))</f>
        <v/>
      </c>
      <c r="I125" s="63">
        <f>IF(A125&gt;HU_T,0,I124*(1-D125)*(1-E125))</f>
        <v/>
      </c>
      <c r="J125" s="63">
        <f>IF(A125&gt;=HU_T,0,N(I126))</f>
        <v/>
      </c>
      <c r="K125" s="63">
        <f>K124*(1-G125)</f>
        <v/>
      </c>
      <c r="L125" s="63">
        <f>1-K125</f>
        <v/>
      </c>
      <c r="M125" s="63">
        <f>K124*G125</f>
        <v/>
      </c>
      <c r="N125" s="63">
        <f>N124*(1-H125)</f>
        <v/>
      </c>
      <c r="O125" s="63">
        <f>1-N124</f>
        <v/>
      </c>
      <c r="P125" s="63">
        <f>P124*(1-F125)</f>
        <v/>
      </c>
      <c r="Q125" s="63">
        <f>1-P124/INDEX($P$68:$P$150,MAX(1,A125-HU_ciYears))</f>
        <v/>
      </c>
      <c r="R125" s="60">
        <f>(1+inflationRate)^A125</f>
        <v/>
      </c>
      <c r="S125" s="29">
        <f>IF(OR(OR(A125&lt;1,A125&gt;HU_T),A125-1&gt;=HU_dtr),0,HU_inc0*(1+incomeGrowthRate)^A125)</f>
        <v/>
      </c>
      <c r="T125" s="60">
        <f>IF(A125&gt;HU_T,T124,T124*(1+INDEX(HU_ssG,HU_age+A125-17)))</f>
        <v/>
      </c>
      <c r="U125" s="29">
        <f>IF(AND(HU_dtr&gt;=1,A125=HU_dtr,A125&lt;=HU_T),MIN(S125*INDEX(HU_ssC,HU_age+A125-17)/(1-INDEX(HU_ssC,HU_age+A125-17)),INDEX(HU_ssCap,HU_age+A125-17))*T125,0)</f>
        <v/>
      </c>
      <c r="V125" s="29">
        <f>S125+U125+IF(AND(HU_wdOn,A125=HU_wdYear),HU_wdIncome,0)</f>
        <v/>
      </c>
      <c r="W125" s="60">
        <f>HU_ciProp*Q125+HU_tpdCut*L125+HU_disCut*O125</f>
        <v/>
      </c>
      <c r="X125" s="29">
        <f>IF(OR(A125&lt;1,A125&gt;HU_T),0,V125*(1-W125))</f>
        <v/>
      </c>
      <c r="Y125" s="29">
        <f>IF(OR(A125&lt;1,A125&gt;HU_T),0,IF(AND(HU_retExp&gt;0,A125-1&gt;=HU_dtr),HU_retExp,HU_exp0)*R125)</f>
        <v/>
      </c>
      <c r="Z125" s="29">
        <f>-Y125-IF(AND(HU_wdOn,A125=HU_wdYear),HU_wdOut,0)</f>
        <v/>
      </c>
      <c r="AA125" s="29">
        <f>IF(OR(A125&lt;1,A125&gt;HU_T),0,-HU_medCost*R125*F125-HU_tpdCost*R125*M125)</f>
        <v/>
      </c>
      <c r="AB125" s="29">
        <f>IF(A125&gt;HU_T,0,AB124*(1+interestRate)+X125+Z125+AA125)</f>
        <v/>
      </c>
      <c r="AC125" s="29">
        <f>IF(A125&gt;HU_T,0,HU_inv*EXP(HU_mu*A125))</f>
        <v/>
      </c>
      <c r="AD125" s="29">
        <f>IF(A125&gt;HU_T,0,MAX(0,AC125+AB125))</f>
        <v/>
      </c>
      <c r="AE125" s="29">
        <f>IF(A125&gt;HU_T,0,MAX(0,X125-Y125))</f>
        <v/>
      </c>
      <c r="AF125" s="63">
        <f>IF(AND($J$6,A125&gt;=1,A125&lt;=$Q$6-1),J125,0)</f>
        <v/>
      </c>
      <c r="AG125" s="29">
        <f>IF(OR(AF125=0,$S$6=0),0,IF((AD125+$L$6)&gt;$S$6/HU_alpha+$K$6,0.5*$S$6/HU_alpha,IF((AD125+$L$6)&gt;=$K$6,((AD125+$L$6)-$K$6)-0.5*HU_alpha/$S$6*((AD125+$L$6)-$K$6)^2,IF((AD125+$L$6)&gt;=$T$6,HU_beta*((AD125+$L$6)-$K$6),HU_beta*($T$6-$K$6)))))</f>
        <v/>
      </c>
      <c r="AH125" s="29">
        <f>IF(OR(AF125=0,$S$6=0),0,IF((AD125+$L$6+$N$6)&gt;$S$6/HU_alpha+$K$6,0.5*$S$6/HU_alpha,IF((AD125+$L$6+$N$6)&gt;=$K$6,((AD125+$L$6+$N$6)-$K$6)-0.5*HU_alpha/$S$6*((AD125+$L$6+$N$6)-$K$6)^2,IF((AD125+$L$6+$N$6)&gt;=$T$6,HU_beta*((AD125+$L$6+$N$6)-$K$6),HU_beta*($T$6-$K$6)))))</f>
        <v/>
      </c>
      <c r="AI125" s="29">
        <f>IF(OR(AF125=0,$S$6=0),0,IF((AD125+$K$6)&gt;$S$6/HU_alpha+$K$6,0.5*$S$6/HU_alpha,IF((AD125+$K$6)&gt;=$K$6,((AD125+$K$6)-$K$6)-0.5*HU_alpha/$S$6*((AD125+$K$6)-$K$6)^2,IF((AD125+$K$6)&gt;=$T$6,HU_beta*((AD125+$K$6)-$K$6),HU_beta*($T$6-$K$6)))))</f>
        <v/>
      </c>
      <c r="AJ125" s="63">
        <f>IF(AND($J$7,A125&gt;=1,A125&lt;=$Q$7-1),J125,0)</f>
        <v/>
      </c>
      <c r="AK125" s="29">
        <f>IF(OR(AJ125=0,$S$7=0),0,IF((AE125+$L$7)&gt;$S$7/HU_alpha+$K$7,0.5*$S$7/HU_alpha,IF((AE125+$L$7)&gt;=$K$7,((AE125+$L$7)-$K$7)-0.5*HU_alpha/$S$7*((AE125+$L$7)-$K$7)^2,IF((AE125+$L$7)&gt;=$T$7,HU_beta*((AE125+$L$7)-$K$7),HU_beta*($T$7-$K$7)))))</f>
        <v/>
      </c>
      <c r="AL125" s="29">
        <f>IF(OR(AJ125=0,$S$7=0),0,IF((AE125+$L$7+$N$7)&gt;$S$7/HU_alpha+$K$7,0.5*$S$7/HU_alpha,IF((AE125+$L$7+$N$7)&gt;=$K$7,((AE125+$L$7+$N$7)-$K$7)-0.5*HU_alpha/$S$7*((AE125+$L$7+$N$7)-$K$7)^2,IF((AE125+$L$7+$N$7)&gt;=$T$7,HU_beta*((AE125+$L$7+$N$7)-$K$7),HU_beta*($T$7-$K$7)))))</f>
        <v/>
      </c>
      <c r="AM125" s="29">
        <f>IF(OR(AJ125=0,$S$7=0),0,IF((AE125+$K$7)&gt;$S$7/HU_alpha+$K$7,0.5*$S$7/HU_alpha,IF((AE125+$K$7)&gt;=$K$7,((AE125+$K$7)-$K$7)-0.5*HU_alpha/$S$7*((AE125+$K$7)-$K$7)^2,IF((AE125+$K$7)&gt;=$T$7,HU_beta*((AE125+$K$7)-$K$7),HU_beta*($T$7-$K$7)))))</f>
        <v/>
      </c>
      <c r="AN125" s="63">
        <f>IF(AND($J$8,A125&gt;=1,A125&lt;=$Q$8-1),J125,0)</f>
        <v/>
      </c>
      <c r="AO125" s="29">
        <f>IF(OR(AN125=0,$S$8=0),0,IF((AE125+$L$8)&gt;$S$8/HU_alpha+$K$8,0.5*$S$8/HU_alpha,IF((AE125+$L$8)&gt;=$K$8,((AE125+$L$8)-$K$8)-0.5*HU_alpha/$S$8*((AE125+$L$8)-$K$8)^2,IF((AE125+$L$8)&gt;=$T$8,HU_beta*((AE125+$L$8)-$K$8),HU_beta*($T$8-$K$8)))))</f>
        <v/>
      </c>
      <c r="AP125" s="29">
        <f>IF(OR(AN125=0,$S$8=0),0,IF((AE125+$L$8+$N$8)&gt;$S$8/HU_alpha+$K$8,0.5*$S$8/HU_alpha,IF((AE125+$L$8+$N$8)&gt;=$K$8,((AE125+$L$8+$N$8)-$K$8)-0.5*HU_alpha/$S$8*((AE125+$L$8+$N$8)-$K$8)^2,IF((AE125+$L$8+$N$8)&gt;=$T$8,HU_beta*((AE125+$L$8+$N$8)-$K$8),HU_beta*($T$8-$K$8)))))</f>
        <v/>
      </c>
      <c r="AQ125" s="29">
        <f>IF(OR(AN125=0,$S$8=0),0,IF((AE125+$K$8)&gt;$S$8/HU_alpha+$K$8,0.5*$S$8/HU_alpha,IF((AE125+$K$8)&gt;=$K$8,((AE125+$K$8)-$K$8)-0.5*HU_alpha/$S$8*((AE125+$K$8)-$K$8)^2,IF((AE125+$K$8)&gt;=$T$8,HU_beta*((AE125+$K$8)-$K$8),HU_beta*($T$8-$K$8)))))</f>
        <v/>
      </c>
      <c r="AR125" s="63">
        <f>IF(AND($J$9,A125&gt;=1,A125&lt;=$Q$9-1),J125,0)</f>
        <v/>
      </c>
      <c r="AS125" s="29">
        <f>IF(OR(AR125=0,$S$9=0),0,IF((AE125+$L$9)&gt;$S$9/HU_alpha+$K$9,0.5*$S$9/HU_alpha,IF((AE125+$L$9)&gt;=$K$9,((AE125+$L$9)-$K$9)-0.5*HU_alpha/$S$9*((AE125+$L$9)-$K$9)^2,IF((AE125+$L$9)&gt;=$T$9,HU_beta*((AE125+$L$9)-$K$9),HU_beta*($T$9-$K$9)))))</f>
        <v/>
      </c>
      <c r="AT125" s="29">
        <f>IF(OR(AR125=0,$S$9=0),0,IF((AE125+$L$9+$N$9)&gt;$S$9/HU_alpha+$K$9,0.5*$S$9/HU_alpha,IF((AE125+$L$9+$N$9)&gt;=$K$9,((AE125+$L$9+$N$9)-$K$9)-0.5*HU_alpha/$S$9*((AE125+$L$9+$N$9)-$K$9)^2,IF((AE125+$L$9+$N$9)&gt;=$T$9,HU_beta*((AE125+$L$9+$N$9)-$K$9),HU_beta*($T$9-$K$9)))))</f>
        <v/>
      </c>
      <c r="AU125" s="29">
        <f>IF(OR(AR125=0,$S$9=0),0,IF((AE125+$K$9)&gt;$S$9/HU_alpha+$K$9,0.5*$S$9/HU_alpha,IF((AE125+$K$9)&gt;=$K$9,((AE125+$K$9)-$K$9)-0.5*HU_alpha/$S$9*((AE125+$K$9)-$K$9)^2,IF((AE125+$K$9)&gt;=$T$9,HU_beta*((AE125+$K$9)-$K$9),HU_beta*($T$9-$K$9)))))</f>
        <v/>
      </c>
      <c r="AV125" s="63">
        <f>IF(AND($J$10,A125=$Q$10),J125,0)</f>
        <v/>
      </c>
      <c r="AW125" s="29">
        <f>IF(OR(AV125=0,$S$10=0),0,IF((AD125+$L$10)&gt;$S$10/HU_alpha+$K$10,0.5*$S$10/HU_alpha,IF((AD125+$L$10)&gt;=$K$10,((AD125+$L$10)-$K$10)-0.5*HU_alpha/$S$10*((AD125+$L$10)-$K$10)^2,IF((AD125+$L$10)&gt;=$T$10,HU_beta*((AD125+$L$10)-$K$10),HU_beta*($T$10-$K$10)))))</f>
        <v/>
      </c>
      <c r="AX125" s="29">
        <f>IF(OR(AV125=0,$S$10=0),0,IF((AD125+$L$10+$N$10)&gt;$S$10/HU_alpha+$K$10,0.5*$S$10/HU_alpha,IF((AD125+$L$10+$N$10)&gt;=$K$10,((AD125+$L$10+$N$10)-$K$10)-0.5*HU_alpha/$S$10*((AD125+$L$10+$N$10)-$K$10)^2,IF((AD125+$L$10+$N$10)&gt;=$T$10,HU_beta*((AD125+$L$10+$N$10)-$K$10),HU_beta*($T$10-$K$10)))))</f>
        <v/>
      </c>
      <c r="AY125" s="29">
        <f>IF(OR(AV125=0,$S$10=0),0,IF((AD125+$K$10)&gt;$S$10/HU_alpha+$K$10,0.5*$S$10/HU_alpha,IF((AD125+$K$10)&gt;=$K$10,((AD125+$K$10)-$K$10)-0.5*HU_alpha/$S$10*((AD125+$K$10)-$K$10)^2,IF((AD125+$K$10)&gt;=$T$10,HU_beta*((AD125+$K$10)-$K$10),HU_beta*($T$10-$K$10)))))</f>
        <v/>
      </c>
      <c r="AZ125" s="63">
        <f>IF(AND($J$11,A125=$Q$11),J125,0)</f>
        <v/>
      </c>
      <c r="BA125" s="29">
        <f>IF(OR(AZ125=0,$S$11=0),0,IF((AE125+$L$11)&gt;$S$11/HU_alpha+$K$11,0.5*$S$11/HU_alpha,IF((AE125+$L$11)&gt;=$K$11,((AE125+$L$11)-$K$11)-0.5*HU_alpha/$S$11*((AE125+$L$11)-$K$11)^2,IF((AE125+$L$11)&gt;=$T$11,HU_beta*((AE125+$L$11)-$K$11),HU_beta*($T$11-$K$11)))))</f>
        <v/>
      </c>
      <c r="BB125" s="29">
        <f>IF(OR(AZ125=0,$S$11=0),0,IF((AE125+$L$11+$N$11)&gt;$S$11/HU_alpha+$K$11,0.5*$S$11/HU_alpha,IF((AE125+$L$11+$N$11)&gt;=$K$11,((AE125+$L$11+$N$11)-$K$11)-0.5*HU_alpha/$S$11*((AE125+$L$11+$N$11)-$K$11)^2,IF((AE125+$L$11+$N$11)&gt;=$T$11,HU_beta*((AE125+$L$11+$N$11)-$K$11),HU_beta*($T$11-$K$11)))))</f>
        <v/>
      </c>
      <c r="BC125" s="29">
        <f>IF(OR(AZ125=0,$S$11=0),0,IF((AE125+$K$11)&gt;$S$11/HU_alpha+$K$11,0.5*$S$11/HU_alpha,IF((AE125+$K$11)&gt;=$K$11,((AE125+$K$11)-$K$11)-0.5*HU_alpha/$S$11*((AE125+$K$11)-$K$11)^2,IF((AE125+$K$11)&gt;=$T$11,HU_beta*((AE125+$K$11)-$K$11),HU_beta*($T$11-$K$11)))))</f>
        <v/>
      </c>
      <c r="BD125" s="63">
        <f>IF(AND($J$12,A125=$Q$12),J125,0)</f>
        <v/>
      </c>
      <c r="BE125" s="29">
        <f>IF(OR(BD125=0,$S$12=0),0,IF((AE125+$L$12)&gt;$S$12/HU_alpha+$K$12,0.5*$S$12/HU_alpha,IF((AE125+$L$12)&gt;=$K$12,((AE125+$L$12)-$K$12)-0.5*HU_alpha/$S$12*((AE125+$L$12)-$K$12)^2,IF((AE125+$L$12)&gt;=$T$12,HU_beta*((AE125+$L$12)-$K$12),HU_beta*($T$12-$K$12)))))</f>
        <v/>
      </c>
      <c r="BF125" s="29">
        <f>IF(OR(BD125=0,$S$12=0),0,IF((AE125+$L$12+$N$12)&gt;$S$12/HU_alpha+$K$12,0.5*$S$12/HU_alpha,IF((AE125+$L$12+$N$12)&gt;=$K$12,((AE125+$L$12+$N$12)-$K$12)-0.5*HU_alpha/$S$12*((AE125+$L$12+$N$12)-$K$12)^2,IF((AE125+$L$12+$N$12)&gt;=$T$12,HU_beta*((AE125+$L$12+$N$12)-$K$12),HU_beta*($T$12-$K$12)))))</f>
        <v/>
      </c>
      <c r="BG125" s="29">
        <f>IF(OR(BD125=0,$S$12=0),0,IF((AE125+$K$12)&gt;$S$12/HU_alpha+$K$12,0.5*$S$12/HU_alpha,IF((AE125+$K$12)&gt;=$K$12,((AE125+$K$12)-$K$12)-0.5*HU_alpha/$S$12*((AE125+$K$12)-$K$12)^2,IF((AE125+$K$12)&gt;=$T$12,HU_beta*((AE125+$K$12)-$K$12),HU_beta*($T$12-$K$12)))))</f>
        <v/>
      </c>
      <c r="BH125" s="63">
        <f>IF(AND($J$13,A125=$Q$13),J125,0)</f>
        <v/>
      </c>
      <c r="BI125" s="29">
        <f>IF(OR(BH125=0,$S$13=0),0,IF((AE125+$L$13)&gt;$S$13/HU_alpha+$K$13,0.5*$S$13/HU_alpha,IF((AE125+$L$13)&gt;=$K$13,((AE125+$L$13)-$K$13)-0.5*HU_alpha/$S$13*((AE125+$L$13)-$K$13)^2,IF((AE125+$L$13)&gt;=$T$13,HU_beta*((AE125+$L$13)-$K$13),HU_beta*($T$13-$K$13)))))</f>
        <v/>
      </c>
      <c r="BJ125" s="29">
        <f>IF(OR(BH125=0,$S$13=0),0,IF((AE125+$L$13+$N$13)&gt;$S$13/HU_alpha+$K$13,0.5*$S$13/HU_alpha,IF((AE125+$L$13+$N$13)&gt;=$K$13,((AE125+$L$13+$N$13)-$K$13)-0.5*HU_alpha/$S$13*((AE125+$L$13+$N$13)-$K$13)^2,IF((AE125+$L$13+$N$13)&gt;=$T$13,HU_beta*((AE125+$L$13+$N$13)-$K$13),HU_beta*($T$13-$K$13)))))</f>
        <v/>
      </c>
      <c r="BK125" s="29">
        <f>IF(OR(BH125=0,$S$13=0),0,IF((AE125+$K$13)&gt;$S$13/HU_alpha+$K$13,0.5*$S$13/HU_alpha,IF((AE125+$K$13)&gt;=$K$13,((AE125+$K$13)-$K$13)-0.5*HU_alpha/$S$13*((AE125+$K$13)-$K$13)^2,IF((AE125+$K$13)&gt;=$T$13,HU_beta*((AE125+$K$13)-$K$13),HU_beta*($T$13-$K$13)))))</f>
        <v/>
      </c>
    </row>
    <row r="126">
      <c r="A126" s="61" t="n">
        <v>58</v>
      </c>
      <c r="B126" s="61">
        <f>HU_age+A126</f>
        <v/>
      </c>
      <c r="C126" s="52">
        <f>A126&lt;=HU_T</f>
        <v/>
      </c>
      <c r="D126" s="63">
        <f>IF(OR(A126&lt;1,A126&gt;HU_T),0,INDEX(HU_q_mort,HU_age+A126-17,HU_col))</f>
        <v/>
      </c>
      <c r="E126" s="63">
        <f>IF(OR(A126&lt;1,A126&gt;HU_T),0,INDEX(HU_q_adb,HU_age+A126-17,HU_col))</f>
        <v/>
      </c>
      <c r="F126" s="63">
        <f>IF(OR(A126&lt;1,A126&gt;HU_T),0,INDEX(HU_q_morb,HU_age+A126-17,HU_col))</f>
        <v/>
      </c>
      <c r="G126" s="63">
        <f>IF(OR(A126&lt;1,A126&gt;HU_T),0,INDEX(HU_q_ptd,HU_age+A126-17,HU_col))</f>
        <v/>
      </c>
      <c r="H126" s="63">
        <f>IF(OR(A126&lt;1,A126&gt;HU_T),0,INDEX(HU_q_dis,HU_age+A126-17,HU_col))</f>
        <v/>
      </c>
      <c r="I126" s="63">
        <f>IF(A126&gt;HU_T,0,I125*(1-D126)*(1-E126))</f>
        <v/>
      </c>
      <c r="J126" s="63">
        <f>IF(A126&gt;=HU_T,0,N(I127))</f>
        <v/>
      </c>
      <c r="K126" s="63">
        <f>K125*(1-G126)</f>
        <v/>
      </c>
      <c r="L126" s="63">
        <f>1-K126</f>
        <v/>
      </c>
      <c r="M126" s="63">
        <f>K125*G126</f>
        <v/>
      </c>
      <c r="N126" s="63">
        <f>N125*(1-H126)</f>
        <v/>
      </c>
      <c r="O126" s="63">
        <f>1-N125</f>
        <v/>
      </c>
      <c r="P126" s="63">
        <f>P125*(1-F126)</f>
        <v/>
      </c>
      <c r="Q126" s="63">
        <f>1-P125/INDEX($P$68:$P$150,MAX(1,A126-HU_ciYears))</f>
        <v/>
      </c>
      <c r="R126" s="60">
        <f>(1+inflationRate)^A126</f>
        <v/>
      </c>
      <c r="S126" s="29">
        <f>IF(OR(OR(A126&lt;1,A126&gt;HU_T),A126-1&gt;=HU_dtr),0,HU_inc0*(1+incomeGrowthRate)^A126)</f>
        <v/>
      </c>
      <c r="T126" s="60">
        <f>IF(A126&gt;HU_T,T125,T125*(1+INDEX(HU_ssG,HU_age+A126-17)))</f>
        <v/>
      </c>
      <c r="U126" s="29">
        <f>IF(AND(HU_dtr&gt;=1,A126=HU_dtr,A126&lt;=HU_T),MIN(S126*INDEX(HU_ssC,HU_age+A126-17)/(1-INDEX(HU_ssC,HU_age+A126-17)),INDEX(HU_ssCap,HU_age+A126-17))*T126,0)</f>
        <v/>
      </c>
      <c r="V126" s="29">
        <f>S126+U126+IF(AND(HU_wdOn,A126=HU_wdYear),HU_wdIncome,0)</f>
        <v/>
      </c>
      <c r="W126" s="60">
        <f>HU_ciProp*Q126+HU_tpdCut*L126+HU_disCut*O126</f>
        <v/>
      </c>
      <c r="X126" s="29">
        <f>IF(OR(A126&lt;1,A126&gt;HU_T),0,V126*(1-W126))</f>
        <v/>
      </c>
      <c r="Y126" s="29">
        <f>IF(OR(A126&lt;1,A126&gt;HU_T),0,IF(AND(HU_retExp&gt;0,A126-1&gt;=HU_dtr),HU_retExp,HU_exp0)*R126)</f>
        <v/>
      </c>
      <c r="Z126" s="29">
        <f>-Y126-IF(AND(HU_wdOn,A126=HU_wdYear),HU_wdOut,0)</f>
        <v/>
      </c>
      <c r="AA126" s="29">
        <f>IF(OR(A126&lt;1,A126&gt;HU_T),0,-HU_medCost*R126*F126-HU_tpdCost*R126*M126)</f>
        <v/>
      </c>
      <c r="AB126" s="29">
        <f>IF(A126&gt;HU_T,0,AB125*(1+interestRate)+X126+Z126+AA126)</f>
        <v/>
      </c>
      <c r="AC126" s="29">
        <f>IF(A126&gt;HU_T,0,HU_inv*EXP(HU_mu*A126))</f>
        <v/>
      </c>
      <c r="AD126" s="29">
        <f>IF(A126&gt;HU_T,0,MAX(0,AC126+AB126))</f>
        <v/>
      </c>
      <c r="AE126" s="29">
        <f>IF(A126&gt;HU_T,0,MAX(0,X126-Y126))</f>
        <v/>
      </c>
      <c r="AF126" s="63">
        <f>IF(AND($J$6,A126&gt;=1,A126&lt;=$Q$6-1),J126,0)</f>
        <v/>
      </c>
      <c r="AG126" s="29">
        <f>IF(OR(AF126=0,$S$6=0),0,IF((AD126+$L$6)&gt;$S$6/HU_alpha+$K$6,0.5*$S$6/HU_alpha,IF((AD126+$L$6)&gt;=$K$6,((AD126+$L$6)-$K$6)-0.5*HU_alpha/$S$6*((AD126+$L$6)-$K$6)^2,IF((AD126+$L$6)&gt;=$T$6,HU_beta*((AD126+$L$6)-$K$6),HU_beta*($T$6-$K$6)))))</f>
        <v/>
      </c>
      <c r="AH126" s="29">
        <f>IF(OR(AF126=0,$S$6=0),0,IF((AD126+$L$6+$N$6)&gt;$S$6/HU_alpha+$K$6,0.5*$S$6/HU_alpha,IF((AD126+$L$6+$N$6)&gt;=$K$6,((AD126+$L$6+$N$6)-$K$6)-0.5*HU_alpha/$S$6*((AD126+$L$6+$N$6)-$K$6)^2,IF((AD126+$L$6+$N$6)&gt;=$T$6,HU_beta*((AD126+$L$6+$N$6)-$K$6),HU_beta*($T$6-$K$6)))))</f>
        <v/>
      </c>
      <c r="AI126" s="29">
        <f>IF(OR(AF126=0,$S$6=0),0,IF((AD126+$K$6)&gt;$S$6/HU_alpha+$K$6,0.5*$S$6/HU_alpha,IF((AD126+$K$6)&gt;=$K$6,((AD126+$K$6)-$K$6)-0.5*HU_alpha/$S$6*((AD126+$K$6)-$K$6)^2,IF((AD126+$K$6)&gt;=$T$6,HU_beta*((AD126+$K$6)-$K$6),HU_beta*($T$6-$K$6)))))</f>
        <v/>
      </c>
      <c r="AJ126" s="63">
        <f>IF(AND($J$7,A126&gt;=1,A126&lt;=$Q$7-1),J126,0)</f>
        <v/>
      </c>
      <c r="AK126" s="29">
        <f>IF(OR(AJ126=0,$S$7=0),0,IF((AE126+$L$7)&gt;$S$7/HU_alpha+$K$7,0.5*$S$7/HU_alpha,IF((AE126+$L$7)&gt;=$K$7,((AE126+$L$7)-$K$7)-0.5*HU_alpha/$S$7*((AE126+$L$7)-$K$7)^2,IF((AE126+$L$7)&gt;=$T$7,HU_beta*((AE126+$L$7)-$K$7),HU_beta*($T$7-$K$7)))))</f>
        <v/>
      </c>
      <c r="AL126" s="29">
        <f>IF(OR(AJ126=0,$S$7=0),0,IF((AE126+$L$7+$N$7)&gt;$S$7/HU_alpha+$K$7,0.5*$S$7/HU_alpha,IF((AE126+$L$7+$N$7)&gt;=$K$7,((AE126+$L$7+$N$7)-$K$7)-0.5*HU_alpha/$S$7*((AE126+$L$7+$N$7)-$K$7)^2,IF((AE126+$L$7+$N$7)&gt;=$T$7,HU_beta*((AE126+$L$7+$N$7)-$K$7),HU_beta*($T$7-$K$7)))))</f>
        <v/>
      </c>
      <c r="AM126" s="29">
        <f>IF(OR(AJ126=0,$S$7=0),0,IF((AE126+$K$7)&gt;$S$7/HU_alpha+$K$7,0.5*$S$7/HU_alpha,IF((AE126+$K$7)&gt;=$K$7,((AE126+$K$7)-$K$7)-0.5*HU_alpha/$S$7*((AE126+$K$7)-$K$7)^2,IF((AE126+$K$7)&gt;=$T$7,HU_beta*((AE126+$K$7)-$K$7),HU_beta*($T$7-$K$7)))))</f>
        <v/>
      </c>
      <c r="AN126" s="63">
        <f>IF(AND($J$8,A126&gt;=1,A126&lt;=$Q$8-1),J126,0)</f>
        <v/>
      </c>
      <c r="AO126" s="29">
        <f>IF(OR(AN126=0,$S$8=0),0,IF((AE126+$L$8)&gt;$S$8/HU_alpha+$K$8,0.5*$S$8/HU_alpha,IF((AE126+$L$8)&gt;=$K$8,((AE126+$L$8)-$K$8)-0.5*HU_alpha/$S$8*((AE126+$L$8)-$K$8)^2,IF((AE126+$L$8)&gt;=$T$8,HU_beta*((AE126+$L$8)-$K$8),HU_beta*($T$8-$K$8)))))</f>
        <v/>
      </c>
      <c r="AP126" s="29">
        <f>IF(OR(AN126=0,$S$8=0),0,IF((AE126+$L$8+$N$8)&gt;$S$8/HU_alpha+$K$8,0.5*$S$8/HU_alpha,IF((AE126+$L$8+$N$8)&gt;=$K$8,((AE126+$L$8+$N$8)-$K$8)-0.5*HU_alpha/$S$8*((AE126+$L$8+$N$8)-$K$8)^2,IF((AE126+$L$8+$N$8)&gt;=$T$8,HU_beta*((AE126+$L$8+$N$8)-$K$8),HU_beta*($T$8-$K$8)))))</f>
        <v/>
      </c>
      <c r="AQ126" s="29">
        <f>IF(OR(AN126=0,$S$8=0),0,IF((AE126+$K$8)&gt;$S$8/HU_alpha+$K$8,0.5*$S$8/HU_alpha,IF((AE126+$K$8)&gt;=$K$8,((AE126+$K$8)-$K$8)-0.5*HU_alpha/$S$8*((AE126+$K$8)-$K$8)^2,IF((AE126+$K$8)&gt;=$T$8,HU_beta*((AE126+$K$8)-$K$8),HU_beta*($T$8-$K$8)))))</f>
        <v/>
      </c>
      <c r="AR126" s="63">
        <f>IF(AND($J$9,A126&gt;=1,A126&lt;=$Q$9-1),J126,0)</f>
        <v/>
      </c>
      <c r="AS126" s="29">
        <f>IF(OR(AR126=0,$S$9=0),0,IF((AE126+$L$9)&gt;$S$9/HU_alpha+$K$9,0.5*$S$9/HU_alpha,IF((AE126+$L$9)&gt;=$K$9,((AE126+$L$9)-$K$9)-0.5*HU_alpha/$S$9*((AE126+$L$9)-$K$9)^2,IF((AE126+$L$9)&gt;=$T$9,HU_beta*((AE126+$L$9)-$K$9),HU_beta*($T$9-$K$9)))))</f>
        <v/>
      </c>
      <c r="AT126" s="29">
        <f>IF(OR(AR126=0,$S$9=0),0,IF((AE126+$L$9+$N$9)&gt;$S$9/HU_alpha+$K$9,0.5*$S$9/HU_alpha,IF((AE126+$L$9+$N$9)&gt;=$K$9,((AE126+$L$9+$N$9)-$K$9)-0.5*HU_alpha/$S$9*((AE126+$L$9+$N$9)-$K$9)^2,IF((AE126+$L$9+$N$9)&gt;=$T$9,HU_beta*((AE126+$L$9+$N$9)-$K$9),HU_beta*($T$9-$K$9)))))</f>
        <v/>
      </c>
      <c r="AU126" s="29">
        <f>IF(OR(AR126=0,$S$9=0),0,IF((AE126+$K$9)&gt;$S$9/HU_alpha+$K$9,0.5*$S$9/HU_alpha,IF((AE126+$K$9)&gt;=$K$9,((AE126+$K$9)-$K$9)-0.5*HU_alpha/$S$9*((AE126+$K$9)-$K$9)^2,IF((AE126+$K$9)&gt;=$T$9,HU_beta*((AE126+$K$9)-$K$9),HU_beta*($T$9-$K$9)))))</f>
        <v/>
      </c>
      <c r="AV126" s="63">
        <f>IF(AND($J$10,A126=$Q$10),J126,0)</f>
        <v/>
      </c>
      <c r="AW126" s="29">
        <f>IF(OR(AV126=0,$S$10=0),0,IF((AD126+$L$10)&gt;$S$10/HU_alpha+$K$10,0.5*$S$10/HU_alpha,IF((AD126+$L$10)&gt;=$K$10,((AD126+$L$10)-$K$10)-0.5*HU_alpha/$S$10*((AD126+$L$10)-$K$10)^2,IF((AD126+$L$10)&gt;=$T$10,HU_beta*((AD126+$L$10)-$K$10),HU_beta*($T$10-$K$10)))))</f>
        <v/>
      </c>
      <c r="AX126" s="29">
        <f>IF(OR(AV126=0,$S$10=0),0,IF((AD126+$L$10+$N$10)&gt;$S$10/HU_alpha+$K$10,0.5*$S$10/HU_alpha,IF((AD126+$L$10+$N$10)&gt;=$K$10,((AD126+$L$10+$N$10)-$K$10)-0.5*HU_alpha/$S$10*((AD126+$L$10+$N$10)-$K$10)^2,IF((AD126+$L$10+$N$10)&gt;=$T$10,HU_beta*((AD126+$L$10+$N$10)-$K$10),HU_beta*($T$10-$K$10)))))</f>
        <v/>
      </c>
      <c r="AY126" s="29">
        <f>IF(OR(AV126=0,$S$10=0),0,IF((AD126+$K$10)&gt;$S$10/HU_alpha+$K$10,0.5*$S$10/HU_alpha,IF((AD126+$K$10)&gt;=$K$10,((AD126+$K$10)-$K$10)-0.5*HU_alpha/$S$10*((AD126+$K$10)-$K$10)^2,IF((AD126+$K$10)&gt;=$T$10,HU_beta*((AD126+$K$10)-$K$10),HU_beta*($T$10-$K$10)))))</f>
        <v/>
      </c>
      <c r="AZ126" s="63">
        <f>IF(AND($J$11,A126=$Q$11),J126,0)</f>
        <v/>
      </c>
      <c r="BA126" s="29">
        <f>IF(OR(AZ126=0,$S$11=0),0,IF((AE126+$L$11)&gt;$S$11/HU_alpha+$K$11,0.5*$S$11/HU_alpha,IF((AE126+$L$11)&gt;=$K$11,((AE126+$L$11)-$K$11)-0.5*HU_alpha/$S$11*((AE126+$L$11)-$K$11)^2,IF((AE126+$L$11)&gt;=$T$11,HU_beta*((AE126+$L$11)-$K$11),HU_beta*($T$11-$K$11)))))</f>
        <v/>
      </c>
      <c r="BB126" s="29">
        <f>IF(OR(AZ126=0,$S$11=0),0,IF((AE126+$L$11+$N$11)&gt;$S$11/HU_alpha+$K$11,0.5*$S$11/HU_alpha,IF((AE126+$L$11+$N$11)&gt;=$K$11,((AE126+$L$11+$N$11)-$K$11)-0.5*HU_alpha/$S$11*((AE126+$L$11+$N$11)-$K$11)^2,IF((AE126+$L$11+$N$11)&gt;=$T$11,HU_beta*((AE126+$L$11+$N$11)-$K$11),HU_beta*($T$11-$K$11)))))</f>
        <v/>
      </c>
      <c r="BC126" s="29">
        <f>IF(OR(AZ126=0,$S$11=0),0,IF((AE126+$K$11)&gt;$S$11/HU_alpha+$K$11,0.5*$S$11/HU_alpha,IF((AE126+$K$11)&gt;=$K$11,((AE126+$K$11)-$K$11)-0.5*HU_alpha/$S$11*((AE126+$K$11)-$K$11)^2,IF((AE126+$K$11)&gt;=$T$11,HU_beta*((AE126+$K$11)-$K$11),HU_beta*($T$11-$K$11)))))</f>
        <v/>
      </c>
      <c r="BD126" s="63">
        <f>IF(AND($J$12,A126=$Q$12),J126,0)</f>
        <v/>
      </c>
      <c r="BE126" s="29">
        <f>IF(OR(BD126=0,$S$12=0),0,IF((AE126+$L$12)&gt;$S$12/HU_alpha+$K$12,0.5*$S$12/HU_alpha,IF((AE126+$L$12)&gt;=$K$12,((AE126+$L$12)-$K$12)-0.5*HU_alpha/$S$12*((AE126+$L$12)-$K$12)^2,IF((AE126+$L$12)&gt;=$T$12,HU_beta*((AE126+$L$12)-$K$12),HU_beta*($T$12-$K$12)))))</f>
        <v/>
      </c>
      <c r="BF126" s="29">
        <f>IF(OR(BD126=0,$S$12=0),0,IF((AE126+$L$12+$N$12)&gt;$S$12/HU_alpha+$K$12,0.5*$S$12/HU_alpha,IF((AE126+$L$12+$N$12)&gt;=$K$12,((AE126+$L$12+$N$12)-$K$12)-0.5*HU_alpha/$S$12*((AE126+$L$12+$N$12)-$K$12)^2,IF((AE126+$L$12+$N$12)&gt;=$T$12,HU_beta*((AE126+$L$12+$N$12)-$K$12),HU_beta*($T$12-$K$12)))))</f>
        <v/>
      </c>
      <c r="BG126" s="29">
        <f>IF(OR(BD126=0,$S$12=0),0,IF((AE126+$K$12)&gt;$S$12/HU_alpha+$K$12,0.5*$S$12/HU_alpha,IF((AE126+$K$12)&gt;=$K$12,((AE126+$K$12)-$K$12)-0.5*HU_alpha/$S$12*((AE126+$K$12)-$K$12)^2,IF((AE126+$K$12)&gt;=$T$12,HU_beta*((AE126+$K$12)-$K$12),HU_beta*($T$12-$K$12)))))</f>
        <v/>
      </c>
      <c r="BH126" s="63">
        <f>IF(AND($J$13,A126=$Q$13),J126,0)</f>
        <v/>
      </c>
      <c r="BI126" s="29">
        <f>IF(OR(BH126=0,$S$13=0),0,IF((AE126+$L$13)&gt;$S$13/HU_alpha+$K$13,0.5*$S$13/HU_alpha,IF((AE126+$L$13)&gt;=$K$13,((AE126+$L$13)-$K$13)-0.5*HU_alpha/$S$13*((AE126+$L$13)-$K$13)^2,IF((AE126+$L$13)&gt;=$T$13,HU_beta*((AE126+$L$13)-$K$13),HU_beta*($T$13-$K$13)))))</f>
        <v/>
      </c>
      <c r="BJ126" s="29">
        <f>IF(OR(BH126=0,$S$13=0),0,IF((AE126+$L$13+$N$13)&gt;$S$13/HU_alpha+$K$13,0.5*$S$13/HU_alpha,IF((AE126+$L$13+$N$13)&gt;=$K$13,((AE126+$L$13+$N$13)-$K$13)-0.5*HU_alpha/$S$13*((AE126+$L$13+$N$13)-$K$13)^2,IF((AE126+$L$13+$N$13)&gt;=$T$13,HU_beta*((AE126+$L$13+$N$13)-$K$13),HU_beta*($T$13-$K$13)))))</f>
        <v/>
      </c>
      <c r="BK126" s="29">
        <f>IF(OR(BH126=0,$S$13=0),0,IF((AE126+$K$13)&gt;$S$13/HU_alpha+$K$13,0.5*$S$13/HU_alpha,IF((AE126+$K$13)&gt;=$K$13,((AE126+$K$13)-$K$13)-0.5*HU_alpha/$S$13*((AE126+$K$13)-$K$13)^2,IF((AE126+$K$13)&gt;=$T$13,HU_beta*((AE126+$K$13)-$K$13),HU_beta*($T$13-$K$13)))))</f>
        <v/>
      </c>
    </row>
    <row r="127">
      <c r="A127" s="61" t="n">
        <v>59</v>
      </c>
      <c r="B127" s="61">
        <f>HU_age+A127</f>
        <v/>
      </c>
      <c r="C127" s="52">
        <f>A127&lt;=HU_T</f>
        <v/>
      </c>
      <c r="D127" s="63">
        <f>IF(OR(A127&lt;1,A127&gt;HU_T),0,INDEX(HU_q_mort,HU_age+A127-17,HU_col))</f>
        <v/>
      </c>
      <c r="E127" s="63">
        <f>IF(OR(A127&lt;1,A127&gt;HU_T),0,INDEX(HU_q_adb,HU_age+A127-17,HU_col))</f>
        <v/>
      </c>
      <c r="F127" s="63">
        <f>IF(OR(A127&lt;1,A127&gt;HU_T),0,INDEX(HU_q_morb,HU_age+A127-17,HU_col))</f>
        <v/>
      </c>
      <c r="G127" s="63">
        <f>IF(OR(A127&lt;1,A127&gt;HU_T),0,INDEX(HU_q_ptd,HU_age+A127-17,HU_col))</f>
        <v/>
      </c>
      <c r="H127" s="63">
        <f>IF(OR(A127&lt;1,A127&gt;HU_T),0,INDEX(HU_q_dis,HU_age+A127-17,HU_col))</f>
        <v/>
      </c>
      <c r="I127" s="63">
        <f>IF(A127&gt;HU_T,0,I126*(1-D127)*(1-E127))</f>
        <v/>
      </c>
      <c r="J127" s="63">
        <f>IF(A127&gt;=HU_T,0,N(I128))</f>
        <v/>
      </c>
      <c r="K127" s="63">
        <f>K126*(1-G127)</f>
        <v/>
      </c>
      <c r="L127" s="63">
        <f>1-K127</f>
        <v/>
      </c>
      <c r="M127" s="63">
        <f>K126*G127</f>
        <v/>
      </c>
      <c r="N127" s="63">
        <f>N126*(1-H127)</f>
        <v/>
      </c>
      <c r="O127" s="63">
        <f>1-N126</f>
        <v/>
      </c>
      <c r="P127" s="63">
        <f>P126*(1-F127)</f>
        <v/>
      </c>
      <c r="Q127" s="63">
        <f>1-P126/INDEX($P$68:$P$150,MAX(1,A127-HU_ciYears))</f>
        <v/>
      </c>
      <c r="R127" s="60">
        <f>(1+inflationRate)^A127</f>
        <v/>
      </c>
      <c r="S127" s="29">
        <f>IF(OR(OR(A127&lt;1,A127&gt;HU_T),A127-1&gt;=HU_dtr),0,HU_inc0*(1+incomeGrowthRate)^A127)</f>
        <v/>
      </c>
      <c r="T127" s="60">
        <f>IF(A127&gt;HU_T,T126,T126*(1+INDEX(HU_ssG,HU_age+A127-17)))</f>
        <v/>
      </c>
      <c r="U127" s="29">
        <f>IF(AND(HU_dtr&gt;=1,A127=HU_dtr,A127&lt;=HU_T),MIN(S127*INDEX(HU_ssC,HU_age+A127-17)/(1-INDEX(HU_ssC,HU_age+A127-17)),INDEX(HU_ssCap,HU_age+A127-17))*T127,0)</f>
        <v/>
      </c>
      <c r="V127" s="29">
        <f>S127+U127+IF(AND(HU_wdOn,A127=HU_wdYear),HU_wdIncome,0)</f>
        <v/>
      </c>
      <c r="W127" s="60">
        <f>HU_ciProp*Q127+HU_tpdCut*L127+HU_disCut*O127</f>
        <v/>
      </c>
      <c r="X127" s="29">
        <f>IF(OR(A127&lt;1,A127&gt;HU_T),0,V127*(1-W127))</f>
        <v/>
      </c>
      <c r="Y127" s="29">
        <f>IF(OR(A127&lt;1,A127&gt;HU_T),0,IF(AND(HU_retExp&gt;0,A127-1&gt;=HU_dtr),HU_retExp,HU_exp0)*R127)</f>
        <v/>
      </c>
      <c r="Z127" s="29">
        <f>-Y127-IF(AND(HU_wdOn,A127=HU_wdYear),HU_wdOut,0)</f>
        <v/>
      </c>
      <c r="AA127" s="29">
        <f>IF(OR(A127&lt;1,A127&gt;HU_T),0,-HU_medCost*R127*F127-HU_tpdCost*R127*M127)</f>
        <v/>
      </c>
      <c r="AB127" s="29">
        <f>IF(A127&gt;HU_T,0,AB126*(1+interestRate)+X127+Z127+AA127)</f>
        <v/>
      </c>
      <c r="AC127" s="29">
        <f>IF(A127&gt;HU_T,0,HU_inv*EXP(HU_mu*A127))</f>
        <v/>
      </c>
      <c r="AD127" s="29">
        <f>IF(A127&gt;HU_T,0,MAX(0,AC127+AB127))</f>
        <v/>
      </c>
      <c r="AE127" s="29">
        <f>IF(A127&gt;HU_T,0,MAX(0,X127-Y127))</f>
        <v/>
      </c>
      <c r="AF127" s="63">
        <f>IF(AND($J$6,A127&gt;=1,A127&lt;=$Q$6-1),J127,0)</f>
        <v/>
      </c>
      <c r="AG127" s="29">
        <f>IF(OR(AF127=0,$S$6=0),0,IF((AD127+$L$6)&gt;$S$6/HU_alpha+$K$6,0.5*$S$6/HU_alpha,IF((AD127+$L$6)&gt;=$K$6,((AD127+$L$6)-$K$6)-0.5*HU_alpha/$S$6*((AD127+$L$6)-$K$6)^2,IF((AD127+$L$6)&gt;=$T$6,HU_beta*((AD127+$L$6)-$K$6),HU_beta*($T$6-$K$6)))))</f>
        <v/>
      </c>
      <c r="AH127" s="29">
        <f>IF(OR(AF127=0,$S$6=0),0,IF((AD127+$L$6+$N$6)&gt;$S$6/HU_alpha+$K$6,0.5*$S$6/HU_alpha,IF((AD127+$L$6+$N$6)&gt;=$K$6,((AD127+$L$6+$N$6)-$K$6)-0.5*HU_alpha/$S$6*((AD127+$L$6+$N$6)-$K$6)^2,IF((AD127+$L$6+$N$6)&gt;=$T$6,HU_beta*((AD127+$L$6+$N$6)-$K$6),HU_beta*($T$6-$K$6)))))</f>
        <v/>
      </c>
      <c r="AI127" s="29">
        <f>IF(OR(AF127=0,$S$6=0),0,IF((AD127+$K$6)&gt;$S$6/HU_alpha+$K$6,0.5*$S$6/HU_alpha,IF((AD127+$K$6)&gt;=$K$6,((AD127+$K$6)-$K$6)-0.5*HU_alpha/$S$6*((AD127+$K$6)-$K$6)^2,IF((AD127+$K$6)&gt;=$T$6,HU_beta*((AD127+$K$6)-$K$6),HU_beta*($T$6-$K$6)))))</f>
        <v/>
      </c>
      <c r="AJ127" s="63">
        <f>IF(AND($J$7,A127&gt;=1,A127&lt;=$Q$7-1),J127,0)</f>
        <v/>
      </c>
      <c r="AK127" s="29">
        <f>IF(OR(AJ127=0,$S$7=0),0,IF((AE127+$L$7)&gt;$S$7/HU_alpha+$K$7,0.5*$S$7/HU_alpha,IF((AE127+$L$7)&gt;=$K$7,((AE127+$L$7)-$K$7)-0.5*HU_alpha/$S$7*((AE127+$L$7)-$K$7)^2,IF((AE127+$L$7)&gt;=$T$7,HU_beta*((AE127+$L$7)-$K$7),HU_beta*($T$7-$K$7)))))</f>
        <v/>
      </c>
      <c r="AL127" s="29">
        <f>IF(OR(AJ127=0,$S$7=0),0,IF((AE127+$L$7+$N$7)&gt;$S$7/HU_alpha+$K$7,0.5*$S$7/HU_alpha,IF((AE127+$L$7+$N$7)&gt;=$K$7,((AE127+$L$7+$N$7)-$K$7)-0.5*HU_alpha/$S$7*((AE127+$L$7+$N$7)-$K$7)^2,IF((AE127+$L$7+$N$7)&gt;=$T$7,HU_beta*((AE127+$L$7+$N$7)-$K$7),HU_beta*($T$7-$K$7)))))</f>
        <v/>
      </c>
      <c r="AM127" s="29">
        <f>IF(OR(AJ127=0,$S$7=0),0,IF((AE127+$K$7)&gt;$S$7/HU_alpha+$K$7,0.5*$S$7/HU_alpha,IF((AE127+$K$7)&gt;=$K$7,((AE127+$K$7)-$K$7)-0.5*HU_alpha/$S$7*((AE127+$K$7)-$K$7)^2,IF((AE127+$K$7)&gt;=$T$7,HU_beta*((AE127+$K$7)-$K$7),HU_beta*($T$7-$K$7)))))</f>
        <v/>
      </c>
      <c r="AN127" s="63">
        <f>IF(AND($J$8,A127&gt;=1,A127&lt;=$Q$8-1),J127,0)</f>
        <v/>
      </c>
      <c r="AO127" s="29">
        <f>IF(OR(AN127=0,$S$8=0),0,IF((AE127+$L$8)&gt;$S$8/HU_alpha+$K$8,0.5*$S$8/HU_alpha,IF((AE127+$L$8)&gt;=$K$8,((AE127+$L$8)-$K$8)-0.5*HU_alpha/$S$8*((AE127+$L$8)-$K$8)^2,IF((AE127+$L$8)&gt;=$T$8,HU_beta*((AE127+$L$8)-$K$8),HU_beta*($T$8-$K$8)))))</f>
        <v/>
      </c>
      <c r="AP127" s="29">
        <f>IF(OR(AN127=0,$S$8=0),0,IF((AE127+$L$8+$N$8)&gt;$S$8/HU_alpha+$K$8,0.5*$S$8/HU_alpha,IF((AE127+$L$8+$N$8)&gt;=$K$8,((AE127+$L$8+$N$8)-$K$8)-0.5*HU_alpha/$S$8*((AE127+$L$8+$N$8)-$K$8)^2,IF((AE127+$L$8+$N$8)&gt;=$T$8,HU_beta*((AE127+$L$8+$N$8)-$K$8),HU_beta*($T$8-$K$8)))))</f>
        <v/>
      </c>
      <c r="AQ127" s="29">
        <f>IF(OR(AN127=0,$S$8=0),0,IF((AE127+$K$8)&gt;$S$8/HU_alpha+$K$8,0.5*$S$8/HU_alpha,IF((AE127+$K$8)&gt;=$K$8,((AE127+$K$8)-$K$8)-0.5*HU_alpha/$S$8*((AE127+$K$8)-$K$8)^2,IF((AE127+$K$8)&gt;=$T$8,HU_beta*((AE127+$K$8)-$K$8),HU_beta*($T$8-$K$8)))))</f>
        <v/>
      </c>
      <c r="AR127" s="63">
        <f>IF(AND($J$9,A127&gt;=1,A127&lt;=$Q$9-1),J127,0)</f>
        <v/>
      </c>
      <c r="AS127" s="29">
        <f>IF(OR(AR127=0,$S$9=0),0,IF((AE127+$L$9)&gt;$S$9/HU_alpha+$K$9,0.5*$S$9/HU_alpha,IF((AE127+$L$9)&gt;=$K$9,((AE127+$L$9)-$K$9)-0.5*HU_alpha/$S$9*((AE127+$L$9)-$K$9)^2,IF((AE127+$L$9)&gt;=$T$9,HU_beta*((AE127+$L$9)-$K$9),HU_beta*($T$9-$K$9)))))</f>
        <v/>
      </c>
      <c r="AT127" s="29">
        <f>IF(OR(AR127=0,$S$9=0),0,IF((AE127+$L$9+$N$9)&gt;$S$9/HU_alpha+$K$9,0.5*$S$9/HU_alpha,IF((AE127+$L$9+$N$9)&gt;=$K$9,((AE127+$L$9+$N$9)-$K$9)-0.5*HU_alpha/$S$9*((AE127+$L$9+$N$9)-$K$9)^2,IF((AE127+$L$9+$N$9)&gt;=$T$9,HU_beta*((AE127+$L$9+$N$9)-$K$9),HU_beta*($T$9-$K$9)))))</f>
        <v/>
      </c>
      <c r="AU127" s="29">
        <f>IF(OR(AR127=0,$S$9=0),0,IF((AE127+$K$9)&gt;$S$9/HU_alpha+$K$9,0.5*$S$9/HU_alpha,IF((AE127+$K$9)&gt;=$K$9,((AE127+$K$9)-$K$9)-0.5*HU_alpha/$S$9*((AE127+$K$9)-$K$9)^2,IF((AE127+$K$9)&gt;=$T$9,HU_beta*((AE127+$K$9)-$K$9),HU_beta*($T$9-$K$9)))))</f>
        <v/>
      </c>
      <c r="AV127" s="63">
        <f>IF(AND($J$10,A127=$Q$10),J127,0)</f>
        <v/>
      </c>
      <c r="AW127" s="29">
        <f>IF(OR(AV127=0,$S$10=0),0,IF((AD127+$L$10)&gt;$S$10/HU_alpha+$K$10,0.5*$S$10/HU_alpha,IF((AD127+$L$10)&gt;=$K$10,((AD127+$L$10)-$K$10)-0.5*HU_alpha/$S$10*((AD127+$L$10)-$K$10)^2,IF((AD127+$L$10)&gt;=$T$10,HU_beta*((AD127+$L$10)-$K$10),HU_beta*($T$10-$K$10)))))</f>
        <v/>
      </c>
      <c r="AX127" s="29">
        <f>IF(OR(AV127=0,$S$10=0),0,IF((AD127+$L$10+$N$10)&gt;$S$10/HU_alpha+$K$10,0.5*$S$10/HU_alpha,IF((AD127+$L$10+$N$10)&gt;=$K$10,((AD127+$L$10+$N$10)-$K$10)-0.5*HU_alpha/$S$10*((AD127+$L$10+$N$10)-$K$10)^2,IF((AD127+$L$10+$N$10)&gt;=$T$10,HU_beta*((AD127+$L$10+$N$10)-$K$10),HU_beta*($T$10-$K$10)))))</f>
        <v/>
      </c>
      <c r="AY127" s="29">
        <f>IF(OR(AV127=0,$S$10=0),0,IF((AD127+$K$10)&gt;$S$10/HU_alpha+$K$10,0.5*$S$10/HU_alpha,IF((AD127+$K$10)&gt;=$K$10,((AD127+$K$10)-$K$10)-0.5*HU_alpha/$S$10*((AD127+$K$10)-$K$10)^2,IF((AD127+$K$10)&gt;=$T$10,HU_beta*((AD127+$K$10)-$K$10),HU_beta*($T$10-$K$10)))))</f>
        <v/>
      </c>
      <c r="AZ127" s="63">
        <f>IF(AND($J$11,A127=$Q$11),J127,0)</f>
        <v/>
      </c>
      <c r="BA127" s="29">
        <f>IF(OR(AZ127=0,$S$11=0),0,IF((AE127+$L$11)&gt;$S$11/HU_alpha+$K$11,0.5*$S$11/HU_alpha,IF((AE127+$L$11)&gt;=$K$11,((AE127+$L$11)-$K$11)-0.5*HU_alpha/$S$11*((AE127+$L$11)-$K$11)^2,IF((AE127+$L$11)&gt;=$T$11,HU_beta*((AE127+$L$11)-$K$11),HU_beta*($T$11-$K$11)))))</f>
        <v/>
      </c>
      <c r="BB127" s="29">
        <f>IF(OR(AZ127=0,$S$11=0),0,IF((AE127+$L$11+$N$11)&gt;$S$11/HU_alpha+$K$11,0.5*$S$11/HU_alpha,IF((AE127+$L$11+$N$11)&gt;=$K$11,((AE127+$L$11+$N$11)-$K$11)-0.5*HU_alpha/$S$11*((AE127+$L$11+$N$11)-$K$11)^2,IF((AE127+$L$11+$N$11)&gt;=$T$11,HU_beta*((AE127+$L$11+$N$11)-$K$11),HU_beta*($T$11-$K$11)))))</f>
        <v/>
      </c>
      <c r="BC127" s="29">
        <f>IF(OR(AZ127=0,$S$11=0),0,IF((AE127+$K$11)&gt;$S$11/HU_alpha+$K$11,0.5*$S$11/HU_alpha,IF((AE127+$K$11)&gt;=$K$11,((AE127+$K$11)-$K$11)-0.5*HU_alpha/$S$11*((AE127+$K$11)-$K$11)^2,IF((AE127+$K$11)&gt;=$T$11,HU_beta*((AE127+$K$11)-$K$11),HU_beta*($T$11-$K$11)))))</f>
        <v/>
      </c>
      <c r="BD127" s="63">
        <f>IF(AND($J$12,A127=$Q$12),J127,0)</f>
        <v/>
      </c>
      <c r="BE127" s="29">
        <f>IF(OR(BD127=0,$S$12=0),0,IF((AE127+$L$12)&gt;$S$12/HU_alpha+$K$12,0.5*$S$12/HU_alpha,IF((AE127+$L$12)&gt;=$K$12,((AE127+$L$12)-$K$12)-0.5*HU_alpha/$S$12*((AE127+$L$12)-$K$12)^2,IF((AE127+$L$12)&gt;=$T$12,HU_beta*((AE127+$L$12)-$K$12),HU_beta*($T$12-$K$12)))))</f>
        <v/>
      </c>
      <c r="BF127" s="29">
        <f>IF(OR(BD127=0,$S$12=0),0,IF((AE127+$L$12+$N$12)&gt;$S$12/HU_alpha+$K$12,0.5*$S$12/HU_alpha,IF((AE127+$L$12+$N$12)&gt;=$K$12,((AE127+$L$12+$N$12)-$K$12)-0.5*HU_alpha/$S$12*((AE127+$L$12+$N$12)-$K$12)^2,IF((AE127+$L$12+$N$12)&gt;=$T$12,HU_beta*((AE127+$L$12+$N$12)-$K$12),HU_beta*($T$12-$K$12)))))</f>
        <v/>
      </c>
      <c r="BG127" s="29">
        <f>IF(OR(BD127=0,$S$12=0),0,IF((AE127+$K$12)&gt;$S$12/HU_alpha+$K$12,0.5*$S$12/HU_alpha,IF((AE127+$K$12)&gt;=$K$12,((AE127+$K$12)-$K$12)-0.5*HU_alpha/$S$12*((AE127+$K$12)-$K$12)^2,IF((AE127+$K$12)&gt;=$T$12,HU_beta*((AE127+$K$12)-$K$12),HU_beta*($T$12-$K$12)))))</f>
        <v/>
      </c>
      <c r="BH127" s="63">
        <f>IF(AND($J$13,A127=$Q$13),J127,0)</f>
        <v/>
      </c>
      <c r="BI127" s="29">
        <f>IF(OR(BH127=0,$S$13=0),0,IF((AE127+$L$13)&gt;$S$13/HU_alpha+$K$13,0.5*$S$13/HU_alpha,IF((AE127+$L$13)&gt;=$K$13,((AE127+$L$13)-$K$13)-0.5*HU_alpha/$S$13*((AE127+$L$13)-$K$13)^2,IF((AE127+$L$13)&gt;=$T$13,HU_beta*((AE127+$L$13)-$K$13),HU_beta*($T$13-$K$13)))))</f>
        <v/>
      </c>
      <c r="BJ127" s="29">
        <f>IF(OR(BH127=0,$S$13=0),0,IF((AE127+$L$13+$N$13)&gt;$S$13/HU_alpha+$K$13,0.5*$S$13/HU_alpha,IF((AE127+$L$13+$N$13)&gt;=$K$13,((AE127+$L$13+$N$13)-$K$13)-0.5*HU_alpha/$S$13*((AE127+$L$13+$N$13)-$K$13)^2,IF((AE127+$L$13+$N$13)&gt;=$T$13,HU_beta*((AE127+$L$13+$N$13)-$K$13),HU_beta*($T$13-$K$13)))))</f>
        <v/>
      </c>
      <c r="BK127" s="29">
        <f>IF(OR(BH127=0,$S$13=0),0,IF((AE127+$K$13)&gt;$S$13/HU_alpha+$K$13,0.5*$S$13/HU_alpha,IF((AE127+$K$13)&gt;=$K$13,((AE127+$K$13)-$K$13)-0.5*HU_alpha/$S$13*((AE127+$K$13)-$K$13)^2,IF((AE127+$K$13)&gt;=$T$13,HU_beta*((AE127+$K$13)-$K$13),HU_beta*($T$13-$K$13)))))</f>
        <v/>
      </c>
    </row>
    <row r="128">
      <c r="A128" s="61" t="n">
        <v>60</v>
      </c>
      <c r="B128" s="61">
        <f>HU_age+A128</f>
        <v/>
      </c>
      <c r="C128" s="52">
        <f>A128&lt;=HU_T</f>
        <v/>
      </c>
      <c r="D128" s="63">
        <f>IF(OR(A128&lt;1,A128&gt;HU_T),0,INDEX(HU_q_mort,HU_age+A128-17,HU_col))</f>
        <v/>
      </c>
      <c r="E128" s="63">
        <f>IF(OR(A128&lt;1,A128&gt;HU_T),0,INDEX(HU_q_adb,HU_age+A128-17,HU_col))</f>
        <v/>
      </c>
      <c r="F128" s="63">
        <f>IF(OR(A128&lt;1,A128&gt;HU_T),0,INDEX(HU_q_morb,HU_age+A128-17,HU_col))</f>
        <v/>
      </c>
      <c r="G128" s="63">
        <f>IF(OR(A128&lt;1,A128&gt;HU_T),0,INDEX(HU_q_ptd,HU_age+A128-17,HU_col))</f>
        <v/>
      </c>
      <c r="H128" s="63">
        <f>IF(OR(A128&lt;1,A128&gt;HU_T),0,INDEX(HU_q_dis,HU_age+A128-17,HU_col))</f>
        <v/>
      </c>
      <c r="I128" s="63">
        <f>IF(A128&gt;HU_T,0,I127*(1-D128)*(1-E128))</f>
        <v/>
      </c>
      <c r="J128" s="63">
        <f>IF(A128&gt;=HU_T,0,N(I129))</f>
        <v/>
      </c>
      <c r="K128" s="63">
        <f>K127*(1-G128)</f>
        <v/>
      </c>
      <c r="L128" s="63">
        <f>1-K128</f>
        <v/>
      </c>
      <c r="M128" s="63">
        <f>K127*G128</f>
        <v/>
      </c>
      <c r="N128" s="63">
        <f>N127*(1-H128)</f>
        <v/>
      </c>
      <c r="O128" s="63">
        <f>1-N127</f>
        <v/>
      </c>
      <c r="P128" s="63">
        <f>P127*(1-F128)</f>
        <v/>
      </c>
      <c r="Q128" s="63">
        <f>1-P127/INDEX($P$68:$P$150,MAX(1,A128-HU_ciYears))</f>
        <v/>
      </c>
      <c r="R128" s="60">
        <f>(1+inflationRate)^A128</f>
        <v/>
      </c>
      <c r="S128" s="29">
        <f>IF(OR(OR(A128&lt;1,A128&gt;HU_T),A128-1&gt;=HU_dtr),0,HU_inc0*(1+incomeGrowthRate)^A128)</f>
        <v/>
      </c>
      <c r="T128" s="60">
        <f>IF(A128&gt;HU_T,T127,T127*(1+INDEX(HU_ssG,HU_age+A128-17)))</f>
        <v/>
      </c>
      <c r="U128" s="29">
        <f>IF(AND(HU_dtr&gt;=1,A128=HU_dtr,A128&lt;=HU_T),MIN(S128*INDEX(HU_ssC,HU_age+A128-17)/(1-INDEX(HU_ssC,HU_age+A128-17)),INDEX(HU_ssCap,HU_age+A128-17))*T128,0)</f>
        <v/>
      </c>
      <c r="V128" s="29">
        <f>S128+U128+IF(AND(HU_wdOn,A128=HU_wdYear),HU_wdIncome,0)</f>
        <v/>
      </c>
      <c r="W128" s="60">
        <f>HU_ciProp*Q128+HU_tpdCut*L128+HU_disCut*O128</f>
        <v/>
      </c>
      <c r="X128" s="29">
        <f>IF(OR(A128&lt;1,A128&gt;HU_T),0,V128*(1-W128))</f>
        <v/>
      </c>
      <c r="Y128" s="29">
        <f>IF(OR(A128&lt;1,A128&gt;HU_T),0,IF(AND(HU_retExp&gt;0,A128-1&gt;=HU_dtr),HU_retExp,HU_exp0)*R128)</f>
        <v/>
      </c>
      <c r="Z128" s="29">
        <f>-Y128-IF(AND(HU_wdOn,A128=HU_wdYear),HU_wdOut,0)</f>
        <v/>
      </c>
      <c r="AA128" s="29">
        <f>IF(OR(A128&lt;1,A128&gt;HU_T),0,-HU_medCost*R128*F128-HU_tpdCost*R128*M128)</f>
        <v/>
      </c>
      <c r="AB128" s="29">
        <f>IF(A128&gt;HU_T,0,AB127*(1+interestRate)+X128+Z128+AA128)</f>
        <v/>
      </c>
      <c r="AC128" s="29">
        <f>IF(A128&gt;HU_T,0,HU_inv*EXP(HU_mu*A128))</f>
        <v/>
      </c>
      <c r="AD128" s="29">
        <f>IF(A128&gt;HU_T,0,MAX(0,AC128+AB128))</f>
        <v/>
      </c>
      <c r="AE128" s="29">
        <f>IF(A128&gt;HU_T,0,MAX(0,X128-Y128))</f>
        <v/>
      </c>
      <c r="AF128" s="63">
        <f>IF(AND($J$6,A128&gt;=1,A128&lt;=$Q$6-1),J128,0)</f>
        <v/>
      </c>
      <c r="AG128" s="29">
        <f>IF(OR(AF128=0,$S$6=0),0,IF((AD128+$L$6)&gt;$S$6/HU_alpha+$K$6,0.5*$S$6/HU_alpha,IF((AD128+$L$6)&gt;=$K$6,((AD128+$L$6)-$K$6)-0.5*HU_alpha/$S$6*((AD128+$L$6)-$K$6)^2,IF((AD128+$L$6)&gt;=$T$6,HU_beta*((AD128+$L$6)-$K$6),HU_beta*($T$6-$K$6)))))</f>
        <v/>
      </c>
      <c r="AH128" s="29">
        <f>IF(OR(AF128=0,$S$6=0),0,IF((AD128+$L$6+$N$6)&gt;$S$6/HU_alpha+$K$6,0.5*$S$6/HU_alpha,IF((AD128+$L$6+$N$6)&gt;=$K$6,((AD128+$L$6+$N$6)-$K$6)-0.5*HU_alpha/$S$6*((AD128+$L$6+$N$6)-$K$6)^2,IF((AD128+$L$6+$N$6)&gt;=$T$6,HU_beta*((AD128+$L$6+$N$6)-$K$6),HU_beta*($T$6-$K$6)))))</f>
        <v/>
      </c>
      <c r="AI128" s="29">
        <f>IF(OR(AF128=0,$S$6=0),0,IF((AD128+$K$6)&gt;$S$6/HU_alpha+$K$6,0.5*$S$6/HU_alpha,IF((AD128+$K$6)&gt;=$K$6,((AD128+$K$6)-$K$6)-0.5*HU_alpha/$S$6*((AD128+$K$6)-$K$6)^2,IF((AD128+$K$6)&gt;=$T$6,HU_beta*((AD128+$K$6)-$K$6),HU_beta*($T$6-$K$6)))))</f>
        <v/>
      </c>
      <c r="AJ128" s="63">
        <f>IF(AND($J$7,A128&gt;=1,A128&lt;=$Q$7-1),J128,0)</f>
        <v/>
      </c>
      <c r="AK128" s="29">
        <f>IF(OR(AJ128=0,$S$7=0),0,IF((AE128+$L$7)&gt;$S$7/HU_alpha+$K$7,0.5*$S$7/HU_alpha,IF((AE128+$L$7)&gt;=$K$7,((AE128+$L$7)-$K$7)-0.5*HU_alpha/$S$7*((AE128+$L$7)-$K$7)^2,IF((AE128+$L$7)&gt;=$T$7,HU_beta*((AE128+$L$7)-$K$7),HU_beta*($T$7-$K$7)))))</f>
        <v/>
      </c>
      <c r="AL128" s="29">
        <f>IF(OR(AJ128=0,$S$7=0),0,IF((AE128+$L$7+$N$7)&gt;$S$7/HU_alpha+$K$7,0.5*$S$7/HU_alpha,IF((AE128+$L$7+$N$7)&gt;=$K$7,((AE128+$L$7+$N$7)-$K$7)-0.5*HU_alpha/$S$7*((AE128+$L$7+$N$7)-$K$7)^2,IF((AE128+$L$7+$N$7)&gt;=$T$7,HU_beta*((AE128+$L$7+$N$7)-$K$7),HU_beta*($T$7-$K$7)))))</f>
        <v/>
      </c>
      <c r="AM128" s="29">
        <f>IF(OR(AJ128=0,$S$7=0),0,IF((AE128+$K$7)&gt;$S$7/HU_alpha+$K$7,0.5*$S$7/HU_alpha,IF((AE128+$K$7)&gt;=$K$7,((AE128+$K$7)-$K$7)-0.5*HU_alpha/$S$7*((AE128+$K$7)-$K$7)^2,IF((AE128+$K$7)&gt;=$T$7,HU_beta*((AE128+$K$7)-$K$7),HU_beta*($T$7-$K$7)))))</f>
        <v/>
      </c>
      <c r="AN128" s="63">
        <f>IF(AND($J$8,A128&gt;=1,A128&lt;=$Q$8-1),J128,0)</f>
        <v/>
      </c>
      <c r="AO128" s="29">
        <f>IF(OR(AN128=0,$S$8=0),0,IF((AE128+$L$8)&gt;$S$8/HU_alpha+$K$8,0.5*$S$8/HU_alpha,IF((AE128+$L$8)&gt;=$K$8,((AE128+$L$8)-$K$8)-0.5*HU_alpha/$S$8*((AE128+$L$8)-$K$8)^2,IF((AE128+$L$8)&gt;=$T$8,HU_beta*((AE128+$L$8)-$K$8),HU_beta*($T$8-$K$8)))))</f>
        <v/>
      </c>
      <c r="AP128" s="29">
        <f>IF(OR(AN128=0,$S$8=0),0,IF((AE128+$L$8+$N$8)&gt;$S$8/HU_alpha+$K$8,0.5*$S$8/HU_alpha,IF((AE128+$L$8+$N$8)&gt;=$K$8,((AE128+$L$8+$N$8)-$K$8)-0.5*HU_alpha/$S$8*((AE128+$L$8+$N$8)-$K$8)^2,IF((AE128+$L$8+$N$8)&gt;=$T$8,HU_beta*((AE128+$L$8+$N$8)-$K$8),HU_beta*($T$8-$K$8)))))</f>
        <v/>
      </c>
      <c r="AQ128" s="29">
        <f>IF(OR(AN128=0,$S$8=0),0,IF((AE128+$K$8)&gt;$S$8/HU_alpha+$K$8,0.5*$S$8/HU_alpha,IF((AE128+$K$8)&gt;=$K$8,((AE128+$K$8)-$K$8)-0.5*HU_alpha/$S$8*((AE128+$K$8)-$K$8)^2,IF((AE128+$K$8)&gt;=$T$8,HU_beta*((AE128+$K$8)-$K$8),HU_beta*($T$8-$K$8)))))</f>
        <v/>
      </c>
      <c r="AR128" s="63">
        <f>IF(AND($J$9,A128&gt;=1,A128&lt;=$Q$9-1),J128,0)</f>
        <v/>
      </c>
      <c r="AS128" s="29">
        <f>IF(OR(AR128=0,$S$9=0),0,IF((AE128+$L$9)&gt;$S$9/HU_alpha+$K$9,0.5*$S$9/HU_alpha,IF((AE128+$L$9)&gt;=$K$9,((AE128+$L$9)-$K$9)-0.5*HU_alpha/$S$9*((AE128+$L$9)-$K$9)^2,IF((AE128+$L$9)&gt;=$T$9,HU_beta*((AE128+$L$9)-$K$9),HU_beta*($T$9-$K$9)))))</f>
        <v/>
      </c>
      <c r="AT128" s="29">
        <f>IF(OR(AR128=0,$S$9=0),0,IF((AE128+$L$9+$N$9)&gt;$S$9/HU_alpha+$K$9,0.5*$S$9/HU_alpha,IF((AE128+$L$9+$N$9)&gt;=$K$9,((AE128+$L$9+$N$9)-$K$9)-0.5*HU_alpha/$S$9*((AE128+$L$9+$N$9)-$K$9)^2,IF((AE128+$L$9+$N$9)&gt;=$T$9,HU_beta*((AE128+$L$9+$N$9)-$K$9),HU_beta*($T$9-$K$9)))))</f>
        <v/>
      </c>
      <c r="AU128" s="29">
        <f>IF(OR(AR128=0,$S$9=0),0,IF((AE128+$K$9)&gt;$S$9/HU_alpha+$K$9,0.5*$S$9/HU_alpha,IF((AE128+$K$9)&gt;=$K$9,((AE128+$K$9)-$K$9)-0.5*HU_alpha/$S$9*((AE128+$K$9)-$K$9)^2,IF((AE128+$K$9)&gt;=$T$9,HU_beta*((AE128+$K$9)-$K$9),HU_beta*($T$9-$K$9)))))</f>
        <v/>
      </c>
      <c r="AV128" s="63">
        <f>IF(AND($J$10,A128=$Q$10),J128,0)</f>
        <v/>
      </c>
      <c r="AW128" s="29">
        <f>IF(OR(AV128=0,$S$10=0),0,IF((AD128+$L$10)&gt;$S$10/HU_alpha+$K$10,0.5*$S$10/HU_alpha,IF((AD128+$L$10)&gt;=$K$10,((AD128+$L$10)-$K$10)-0.5*HU_alpha/$S$10*((AD128+$L$10)-$K$10)^2,IF((AD128+$L$10)&gt;=$T$10,HU_beta*((AD128+$L$10)-$K$10),HU_beta*($T$10-$K$10)))))</f>
        <v/>
      </c>
      <c r="AX128" s="29">
        <f>IF(OR(AV128=0,$S$10=0),0,IF((AD128+$L$10+$N$10)&gt;$S$10/HU_alpha+$K$10,0.5*$S$10/HU_alpha,IF((AD128+$L$10+$N$10)&gt;=$K$10,((AD128+$L$10+$N$10)-$K$10)-0.5*HU_alpha/$S$10*((AD128+$L$10+$N$10)-$K$10)^2,IF((AD128+$L$10+$N$10)&gt;=$T$10,HU_beta*((AD128+$L$10+$N$10)-$K$10),HU_beta*($T$10-$K$10)))))</f>
        <v/>
      </c>
      <c r="AY128" s="29">
        <f>IF(OR(AV128=0,$S$10=0),0,IF((AD128+$K$10)&gt;$S$10/HU_alpha+$K$10,0.5*$S$10/HU_alpha,IF((AD128+$K$10)&gt;=$K$10,((AD128+$K$10)-$K$10)-0.5*HU_alpha/$S$10*((AD128+$K$10)-$K$10)^2,IF((AD128+$K$10)&gt;=$T$10,HU_beta*((AD128+$K$10)-$K$10),HU_beta*($T$10-$K$10)))))</f>
        <v/>
      </c>
      <c r="AZ128" s="63">
        <f>IF(AND($J$11,A128=$Q$11),J128,0)</f>
        <v/>
      </c>
      <c r="BA128" s="29">
        <f>IF(OR(AZ128=0,$S$11=0),0,IF((AE128+$L$11)&gt;$S$11/HU_alpha+$K$11,0.5*$S$11/HU_alpha,IF((AE128+$L$11)&gt;=$K$11,((AE128+$L$11)-$K$11)-0.5*HU_alpha/$S$11*((AE128+$L$11)-$K$11)^2,IF((AE128+$L$11)&gt;=$T$11,HU_beta*((AE128+$L$11)-$K$11),HU_beta*($T$11-$K$11)))))</f>
        <v/>
      </c>
      <c r="BB128" s="29">
        <f>IF(OR(AZ128=0,$S$11=0),0,IF((AE128+$L$11+$N$11)&gt;$S$11/HU_alpha+$K$11,0.5*$S$11/HU_alpha,IF((AE128+$L$11+$N$11)&gt;=$K$11,((AE128+$L$11+$N$11)-$K$11)-0.5*HU_alpha/$S$11*((AE128+$L$11+$N$11)-$K$11)^2,IF((AE128+$L$11+$N$11)&gt;=$T$11,HU_beta*((AE128+$L$11+$N$11)-$K$11),HU_beta*($T$11-$K$11)))))</f>
        <v/>
      </c>
      <c r="BC128" s="29">
        <f>IF(OR(AZ128=0,$S$11=0),0,IF((AE128+$K$11)&gt;$S$11/HU_alpha+$K$11,0.5*$S$11/HU_alpha,IF((AE128+$K$11)&gt;=$K$11,((AE128+$K$11)-$K$11)-0.5*HU_alpha/$S$11*((AE128+$K$11)-$K$11)^2,IF((AE128+$K$11)&gt;=$T$11,HU_beta*((AE128+$K$11)-$K$11),HU_beta*($T$11-$K$11)))))</f>
        <v/>
      </c>
      <c r="BD128" s="63">
        <f>IF(AND($J$12,A128=$Q$12),J128,0)</f>
        <v/>
      </c>
      <c r="BE128" s="29">
        <f>IF(OR(BD128=0,$S$12=0),0,IF((AE128+$L$12)&gt;$S$12/HU_alpha+$K$12,0.5*$S$12/HU_alpha,IF((AE128+$L$12)&gt;=$K$12,((AE128+$L$12)-$K$12)-0.5*HU_alpha/$S$12*((AE128+$L$12)-$K$12)^2,IF((AE128+$L$12)&gt;=$T$12,HU_beta*((AE128+$L$12)-$K$12),HU_beta*($T$12-$K$12)))))</f>
        <v/>
      </c>
      <c r="BF128" s="29">
        <f>IF(OR(BD128=0,$S$12=0),0,IF((AE128+$L$12+$N$12)&gt;$S$12/HU_alpha+$K$12,0.5*$S$12/HU_alpha,IF((AE128+$L$12+$N$12)&gt;=$K$12,((AE128+$L$12+$N$12)-$K$12)-0.5*HU_alpha/$S$12*((AE128+$L$12+$N$12)-$K$12)^2,IF((AE128+$L$12+$N$12)&gt;=$T$12,HU_beta*((AE128+$L$12+$N$12)-$K$12),HU_beta*($T$12-$K$12)))))</f>
        <v/>
      </c>
      <c r="BG128" s="29">
        <f>IF(OR(BD128=0,$S$12=0),0,IF((AE128+$K$12)&gt;$S$12/HU_alpha+$K$12,0.5*$S$12/HU_alpha,IF((AE128+$K$12)&gt;=$K$12,((AE128+$K$12)-$K$12)-0.5*HU_alpha/$S$12*((AE128+$K$12)-$K$12)^2,IF((AE128+$K$12)&gt;=$T$12,HU_beta*((AE128+$K$12)-$K$12),HU_beta*($T$12-$K$12)))))</f>
        <v/>
      </c>
      <c r="BH128" s="63">
        <f>IF(AND($J$13,A128=$Q$13),J128,0)</f>
        <v/>
      </c>
      <c r="BI128" s="29">
        <f>IF(OR(BH128=0,$S$13=0),0,IF((AE128+$L$13)&gt;$S$13/HU_alpha+$K$13,0.5*$S$13/HU_alpha,IF((AE128+$L$13)&gt;=$K$13,((AE128+$L$13)-$K$13)-0.5*HU_alpha/$S$13*((AE128+$L$13)-$K$13)^2,IF((AE128+$L$13)&gt;=$T$13,HU_beta*((AE128+$L$13)-$K$13),HU_beta*($T$13-$K$13)))))</f>
        <v/>
      </c>
      <c r="BJ128" s="29">
        <f>IF(OR(BH128=0,$S$13=0),0,IF((AE128+$L$13+$N$13)&gt;$S$13/HU_alpha+$K$13,0.5*$S$13/HU_alpha,IF((AE128+$L$13+$N$13)&gt;=$K$13,((AE128+$L$13+$N$13)-$K$13)-0.5*HU_alpha/$S$13*((AE128+$L$13+$N$13)-$K$13)^2,IF((AE128+$L$13+$N$13)&gt;=$T$13,HU_beta*((AE128+$L$13+$N$13)-$K$13),HU_beta*($T$13-$K$13)))))</f>
        <v/>
      </c>
      <c r="BK128" s="29">
        <f>IF(OR(BH128=0,$S$13=0),0,IF((AE128+$K$13)&gt;$S$13/HU_alpha+$K$13,0.5*$S$13/HU_alpha,IF((AE128+$K$13)&gt;=$K$13,((AE128+$K$13)-$K$13)-0.5*HU_alpha/$S$13*((AE128+$K$13)-$K$13)^2,IF((AE128+$K$13)&gt;=$T$13,HU_beta*((AE128+$K$13)-$K$13),HU_beta*($T$13-$K$13)))))</f>
        <v/>
      </c>
    </row>
    <row r="129">
      <c r="A129" s="61" t="n">
        <v>61</v>
      </c>
      <c r="B129" s="61">
        <f>HU_age+A129</f>
        <v/>
      </c>
      <c r="C129" s="52">
        <f>A129&lt;=HU_T</f>
        <v/>
      </c>
      <c r="D129" s="63">
        <f>IF(OR(A129&lt;1,A129&gt;HU_T),0,INDEX(HU_q_mort,HU_age+A129-17,HU_col))</f>
        <v/>
      </c>
      <c r="E129" s="63">
        <f>IF(OR(A129&lt;1,A129&gt;HU_T),0,INDEX(HU_q_adb,HU_age+A129-17,HU_col))</f>
        <v/>
      </c>
      <c r="F129" s="63">
        <f>IF(OR(A129&lt;1,A129&gt;HU_T),0,INDEX(HU_q_morb,HU_age+A129-17,HU_col))</f>
        <v/>
      </c>
      <c r="G129" s="63">
        <f>IF(OR(A129&lt;1,A129&gt;HU_T),0,INDEX(HU_q_ptd,HU_age+A129-17,HU_col))</f>
        <v/>
      </c>
      <c r="H129" s="63">
        <f>IF(OR(A129&lt;1,A129&gt;HU_T),0,INDEX(HU_q_dis,HU_age+A129-17,HU_col))</f>
        <v/>
      </c>
      <c r="I129" s="63">
        <f>IF(A129&gt;HU_T,0,I128*(1-D129)*(1-E129))</f>
        <v/>
      </c>
      <c r="J129" s="63">
        <f>IF(A129&gt;=HU_T,0,N(I130))</f>
        <v/>
      </c>
      <c r="K129" s="63">
        <f>K128*(1-G129)</f>
        <v/>
      </c>
      <c r="L129" s="63">
        <f>1-K129</f>
        <v/>
      </c>
      <c r="M129" s="63">
        <f>K128*G129</f>
        <v/>
      </c>
      <c r="N129" s="63">
        <f>N128*(1-H129)</f>
        <v/>
      </c>
      <c r="O129" s="63">
        <f>1-N128</f>
        <v/>
      </c>
      <c r="P129" s="63">
        <f>P128*(1-F129)</f>
        <v/>
      </c>
      <c r="Q129" s="63">
        <f>1-P128/INDEX($P$68:$P$150,MAX(1,A129-HU_ciYears))</f>
        <v/>
      </c>
      <c r="R129" s="60">
        <f>(1+inflationRate)^A129</f>
        <v/>
      </c>
      <c r="S129" s="29">
        <f>IF(OR(OR(A129&lt;1,A129&gt;HU_T),A129-1&gt;=HU_dtr),0,HU_inc0*(1+incomeGrowthRate)^A129)</f>
        <v/>
      </c>
      <c r="T129" s="60">
        <f>IF(A129&gt;HU_T,T128,T128*(1+INDEX(HU_ssG,HU_age+A129-17)))</f>
        <v/>
      </c>
      <c r="U129" s="29">
        <f>IF(AND(HU_dtr&gt;=1,A129=HU_dtr,A129&lt;=HU_T),MIN(S129*INDEX(HU_ssC,HU_age+A129-17)/(1-INDEX(HU_ssC,HU_age+A129-17)),INDEX(HU_ssCap,HU_age+A129-17))*T129,0)</f>
        <v/>
      </c>
      <c r="V129" s="29">
        <f>S129+U129+IF(AND(HU_wdOn,A129=HU_wdYear),HU_wdIncome,0)</f>
        <v/>
      </c>
      <c r="W129" s="60">
        <f>HU_ciProp*Q129+HU_tpdCut*L129+HU_disCut*O129</f>
        <v/>
      </c>
      <c r="X129" s="29">
        <f>IF(OR(A129&lt;1,A129&gt;HU_T),0,V129*(1-W129))</f>
        <v/>
      </c>
      <c r="Y129" s="29">
        <f>IF(OR(A129&lt;1,A129&gt;HU_T),0,IF(AND(HU_retExp&gt;0,A129-1&gt;=HU_dtr),HU_retExp,HU_exp0)*R129)</f>
        <v/>
      </c>
      <c r="Z129" s="29">
        <f>-Y129-IF(AND(HU_wdOn,A129=HU_wdYear),HU_wdOut,0)</f>
        <v/>
      </c>
      <c r="AA129" s="29">
        <f>IF(OR(A129&lt;1,A129&gt;HU_T),0,-HU_medCost*R129*F129-HU_tpdCost*R129*M129)</f>
        <v/>
      </c>
      <c r="AB129" s="29">
        <f>IF(A129&gt;HU_T,0,AB128*(1+interestRate)+X129+Z129+AA129)</f>
        <v/>
      </c>
      <c r="AC129" s="29">
        <f>IF(A129&gt;HU_T,0,HU_inv*EXP(HU_mu*A129))</f>
        <v/>
      </c>
      <c r="AD129" s="29">
        <f>IF(A129&gt;HU_T,0,MAX(0,AC129+AB129))</f>
        <v/>
      </c>
      <c r="AE129" s="29">
        <f>IF(A129&gt;HU_T,0,MAX(0,X129-Y129))</f>
        <v/>
      </c>
      <c r="AF129" s="63">
        <f>IF(AND($J$6,A129&gt;=1,A129&lt;=$Q$6-1),J129,0)</f>
        <v/>
      </c>
      <c r="AG129" s="29">
        <f>IF(OR(AF129=0,$S$6=0),0,IF((AD129+$L$6)&gt;$S$6/HU_alpha+$K$6,0.5*$S$6/HU_alpha,IF((AD129+$L$6)&gt;=$K$6,((AD129+$L$6)-$K$6)-0.5*HU_alpha/$S$6*((AD129+$L$6)-$K$6)^2,IF((AD129+$L$6)&gt;=$T$6,HU_beta*((AD129+$L$6)-$K$6),HU_beta*($T$6-$K$6)))))</f>
        <v/>
      </c>
      <c r="AH129" s="29">
        <f>IF(OR(AF129=0,$S$6=0),0,IF((AD129+$L$6+$N$6)&gt;$S$6/HU_alpha+$K$6,0.5*$S$6/HU_alpha,IF((AD129+$L$6+$N$6)&gt;=$K$6,((AD129+$L$6+$N$6)-$K$6)-0.5*HU_alpha/$S$6*((AD129+$L$6+$N$6)-$K$6)^2,IF((AD129+$L$6+$N$6)&gt;=$T$6,HU_beta*((AD129+$L$6+$N$6)-$K$6),HU_beta*($T$6-$K$6)))))</f>
        <v/>
      </c>
      <c r="AI129" s="29">
        <f>IF(OR(AF129=0,$S$6=0),0,IF((AD129+$K$6)&gt;$S$6/HU_alpha+$K$6,0.5*$S$6/HU_alpha,IF((AD129+$K$6)&gt;=$K$6,((AD129+$K$6)-$K$6)-0.5*HU_alpha/$S$6*((AD129+$K$6)-$K$6)^2,IF((AD129+$K$6)&gt;=$T$6,HU_beta*((AD129+$K$6)-$K$6),HU_beta*($T$6-$K$6)))))</f>
        <v/>
      </c>
      <c r="AJ129" s="63">
        <f>IF(AND($J$7,A129&gt;=1,A129&lt;=$Q$7-1),J129,0)</f>
        <v/>
      </c>
      <c r="AK129" s="29">
        <f>IF(OR(AJ129=0,$S$7=0),0,IF((AE129+$L$7)&gt;$S$7/HU_alpha+$K$7,0.5*$S$7/HU_alpha,IF((AE129+$L$7)&gt;=$K$7,((AE129+$L$7)-$K$7)-0.5*HU_alpha/$S$7*((AE129+$L$7)-$K$7)^2,IF((AE129+$L$7)&gt;=$T$7,HU_beta*((AE129+$L$7)-$K$7),HU_beta*($T$7-$K$7)))))</f>
        <v/>
      </c>
      <c r="AL129" s="29">
        <f>IF(OR(AJ129=0,$S$7=0),0,IF((AE129+$L$7+$N$7)&gt;$S$7/HU_alpha+$K$7,0.5*$S$7/HU_alpha,IF((AE129+$L$7+$N$7)&gt;=$K$7,((AE129+$L$7+$N$7)-$K$7)-0.5*HU_alpha/$S$7*((AE129+$L$7+$N$7)-$K$7)^2,IF((AE129+$L$7+$N$7)&gt;=$T$7,HU_beta*((AE129+$L$7+$N$7)-$K$7),HU_beta*($T$7-$K$7)))))</f>
        <v/>
      </c>
      <c r="AM129" s="29">
        <f>IF(OR(AJ129=0,$S$7=0),0,IF((AE129+$K$7)&gt;$S$7/HU_alpha+$K$7,0.5*$S$7/HU_alpha,IF((AE129+$K$7)&gt;=$K$7,((AE129+$K$7)-$K$7)-0.5*HU_alpha/$S$7*((AE129+$K$7)-$K$7)^2,IF((AE129+$K$7)&gt;=$T$7,HU_beta*((AE129+$K$7)-$K$7),HU_beta*($T$7-$K$7)))))</f>
        <v/>
      </c>
      <c r="AN129" s="63">
        <f>IF(AND($J$8,A129&gt;=1,A129&lt;=$Q$8-1),J129,0)</f>
        <v/>
      </c>
      <c r="AO129" s="29">
        <f>IF(OR(AN129=0,$S$8=0),0,IF((AE129+$L$8)&gt;$S$8/HU_alpha+$K$8,0.5*$S$8/HU_alpha,IF((AE129+$L$8)&gt;=$K$8,((AE129+$L$8)-$K$8)-0.5*HU_alpha/$S$8*((AE129+$L$8)-$K$8)^2,IF((AE129+$L$8)&gt;=$T$8,HU_beta*((AE129+$L$8)-$K$8),HU_beta*($T$8-$K$8)))))</f>
        <v/>
      </c>
      <c r="AP129" s="29">
        <f>IF(OR(AN129=0,$S$8=0),0,IF((AE129+$L$8+$N$8)&gt;$S$8/HU_alpha+$K$8,0.5*$S$8/HU_alpha,IF((AE129+$L$8+$N$8)&gt;=$K$8,((AE129+$L$8+$N$8)-$K$8)-0.5*HU_alpha/$S$8*((AE129+$L$8+$N$8)-$K$8)^2,IF((AE129+$L$8+$N$8)&gt;=$T$8,HU_beta*((AE129+$L$8+$N$8)-$K$8),HU_beta*($T$8-$K$8)))))</f>
        <v/>
      </c>
      <c r="AQ129" s="29">
        <f>IF(OR(AN129=0,$S$8=0),0,IF((AE129+$K$8)&gt;$S$8/HU_alpha+$K$8,0.5*$S$8/HU_alpha,IF((AE129+$K$8)&gt;=$K$8,((AE129+$K$8)-$K$8)-0.5*HU_alpha/$S$8*((AE129+$K$8)-$K$8)^2,IF((AE129+$K$8)&gt;=$T$8,HU_beta*((AE129+$K$8)-$K$8),HU_beta*($T$8-$K$8)))))</f>
        <v/>
      </c>
      <c r="AR129" s="63">
        <f>IF(AND($J$9,A129&gt;=1,A129&lt;=$Q$9-1),J129,0)</f>
        <v/>
      </c>
      <c r="AS129" s="29">
        <f>IF(OR(AR129=0,$S$9=0),0,IF((AE129+$L$9)&gt;$S$9/HU_alpha+$K$9,0.5*$S$9/HU_alpha,IF((AE129+$L$9)&gt;=$K$9,((AE129+$L$9)-$K$9)-0.5*HU_alpha/$S$9*((AE129+$L$9)-$K$9)^2,IF((AE129+$L$9)&gt;=$T$9,HU_beta*((AE129+$L$9)-$K$9),HU_beta*($T$9-$K$9)))))</f>
        <v/>
      </c>
      <c r="AT129" s="29">
        <f>IF(OR(AR129=0,$S$9=0),0,IF((AE129+$L$9+$N$9)&gt;$S$9/HU_alpha+$K$9,0.5*$S$9/HU_alpha,IF((AE129+$L$9+$N$9)&gt;=$K$9,((AE129+$L$9+$N$9)-$K$9)-0.5*HU_alpha/$S$9*((AE129+$L$9+$N$9)-$K$9)^2,IF((AE129+$L$9+$N$9)&gt;=$T$9,HU_beta*((AE129+$L$9+$N$9)-$K$9),HU_beta*($T$9-$K$9)))))</f>
        <v/>
      </c>
      <c r="AU129" s="29">
        <f>IF(OR(AR129=0,$S$9=0),0,IF((AE129+$K$9)&gt;$S$9/HU_alpha+$K$9,0.5*$S$9/HU_alpha,IF((AE129+$K$9)&gt;=$K$9,((AE129+$K$9)-$K$9)-0.5*HU_alpha/$S$9*((AE129+$K$9)-$K$9)^2,IF((AE129+$K$9)&gt;=$T$9,HU_beta*((AE129+$K$9)-$K$9),HU_beta*($T$9-$K$9)))))</f>
        <v/>
      </c>
      <c r="AV129" s="63">
        <f>IF(AND($J$10,A129=$Q$10),J129,0)</f>
        <v/>
      </c>
      <c r="AW129" s="29">
        <f>IF(OR(AV129=0,$S$10=0),0,IF((AD129+$L$10)&gt;$S$10/HU_alpha+$K$10,0.5*$S$10/HU_alpha,IF((AD129+$L$10)&gt;=$K$10,((AD129+$L$10)-$K$10)-0.5*HU_alpha/$S$10*((AD129+$L$10)-$K$10)^2,IF((AD129+$L$10)&gt;=$T$10,HU_beta*((AD129+$L$10)-$K$10),HU_beta*($T$10-$K$10)))))</f>
        <v/>
      </c>
      <c r="AX129" s="29">
        <f>IF(OR(AV129=0,$S$10=0),0,IF((AD129+$L$10+$N$10)&gt;$S$10/HU_alpha+$K$10,0.5*$S$10/HU_alpha,IF((AD129+$L$10+$N$10)&gt;=$K$10,((AD129+$L$10+$N$10)-$K$10)-0.5*HU_alpha/$S$10*((AD129+$L$10+$N$10)-$K$10)^2,IF((AD129+$L$10+$N$10)&gt;=$T$10,HU_beta*((AD129+$L$10+$N$10)-$K$10),HU_beta*($T$10-$K$10)))))</f>
        <v/>
      </c>
      <c r="AY129" s="29">
        <f>IF(OR(AV129=0,$S$10=0),0,IF((AD129+$K$10)&gt;$S$10/HU_alpha+$K$10,0.5*$S$10/HU_alpha,IF((AD129+$K$10)&gt;=$K$10,((AD129+$K$10)-$K$10)-0.5*HU_alpha/$S$10*((AD129+$K$10)-$K$10)^2,IF((AD129+$K$10)&gt;=$T$10,HU_beta*((AD129+$K$10)-$K$10),HU_beta*($T$10-$K$10)))))</f>
        <v/>
      </c>
      <c r="AZ129" s="63">
        <f>IF(AND($J$11,A129=$Q$11),J129,0)</f>
        <v/>
      </c>
      <c r="BA129" s="29">
        <f>IF(OR(AZ129=0,$S$11=0),0,IF((AE129+$L$11)&gt;$S$11/HU_alpha+$K$11,0.5*$S$11/HU_alpha,IF((AE129+$L$11)&gt;=$K$11,((AE129+$L$11)-$K$11)-0.5*HU_alpha/$S$11*((AE129+$L$11)-$K$11)^2,IF((AE129+$L$11)&gt;=$T$11,HU_beta*((AE129+$L$11)-$K$11),HU_beta*($T$11-$K$11)))))</f>
        <v/>
      </c>
      <c r="BB129" s="29">
        <f>IF(OR(AZ129=0,$S$11=0),0,IF((AE129+$L$11+$N$11)&gt;$S$11/HU_alpha+$K$11,0.5*$S$11/HU_alpha,IF((AE129+$L$11+$N$11)&gt;=$K$11,((AE129+$L$11+$N$11)-$K$11)-0.5*HU_alpha/$S$11*((AE129+$L$11+$N$11)-$K$11)^2,IF((AE129+$L$11+$N$11)&gt;=$T$11,HU_beta*((AE129+$L$11+$N$11)-$K$11),HU_beta*($T$11-$K$11)))))</f>
        <v/>
      </c>
      <c r="BC129" s="29">
        <f>IF(OR(AZ129=0,$S$11=0),0,IF((AE129+$K$11)&gt;$S$11/HU_alpha+$K$11,0.5*$S$11/HU_alpha,IF((AE129+$K$11)&gt;=$K$11,((AE129+$K$11)-$K$11)-0.5*HU_alpha/$S$11*((AE129+$K$11)-$K$11)^2,IF((AE129+$K$11)&gt;=$T$11,HU_beta*((AE129+$K$11)-$K$11),HU_beta*($T$11-$K$11)))))</f>
        <v/>
      </c>
      <c r="BD129" s="63">
        <f>IF(AND($J$12,A129=$Q$12),J129,0)</f>
        <v/>
      </c>
      <c r="BE129" s="29">
        <f>IF(OR(BD129=0,$S$12=0),0,IF((AE129+$L$12)&gt;$S$12/HU_alpha+$K$12,0.5*$S$12/HU_alpha,IF((AE129+$L$12)&gt;=$K$12,((AE129+$L$12)-$K$12)-0.5*HU_alpha/$S$12*((AE129+$L$12)-$K$12)^2,IF((AE129+$L$12)&gt;=$T$12,HU_beta*((AE129+$L$12)-$K$12),HU_beta*($T$12-$K$12)))))</f>
        <v/>
      </c>
      <c r="BF129" s="29">
        <f>IF(OR(BD129=0,$S$12=0),0,IF((AE129+$L$12+$N$12)&gt;$S$12/HU_alpha+$K$12,0.5*$S$12/HU_alpha,IF((AE129+$L$12+$N$12)&gt;=$K$12,((AE129+$L$12+$N$12)-$K$12)-0.5*HU_alpha/$S$12*((AE129+$L$12+$N$12)-$K$12)^2,IF((AE129+$L$12+$N$12)&gt;=$T$12,HU_beta*((AE129+$L$12+$N$12)-$K$12),HU_beta*($T$12-$K$12)))))</f>
        <v/>
      </c>
      <c r="BG129" s="29">
        <f>IF(OR(BD129=0,$S$12=0),0,IF((AE129+$K$12)&gt;$S$12/HU_alpha+$K$12,0.5*$S$12/HU_alpha,IF((AE129+$K$12)&gt;=$K$12,((AE129+$K$12)-$K$12)-0.5*HU_alpha/$S$12*((AE129+$K$12)-$K$12)^2,IF((AE129+$K$12)&gt;=$T$12,HU_beta*((AE129+$K$12)-$K$12),HU_beta*($T$12-$K$12)))))</f>
        <v/>
      </c>
      <c r="BH129" s="63">
        <f>IF(AND($J$13,A129=$Q$13),J129,0)</f>
        <v/>
      </c>
      <c r="BI129" s="29">
        <f>IF(OR(BH129=0,$S$13=0),0,IF((AE129+$L$13)&gt;$S$13/HU_alpha+$K$13,0.5*$S$13/HU_alpha,IF((AE129+$L$13)&gt;=$K$13,((AE129+$L$13)-$K$13)-0.5*HU_alpha/$S$13*((AE129+$L$13)-$K$13)^2,IF((AE129+$L$13)&gt;=$T$13,HU_beta*((AE129+$L$13)-$K$13),HU_beta*($T$13-$K$13)))))</f>
        <v/>
      </c>
      <c r="BJ129" s="29">
        <f>IF(OR(BH129=0,$S$13=0),0,IF((AE129+$L$13+$N$13)&gt;$S$13/HU_alpha+$K$13,0.5*$S$13/HU_alpha,IF((AE129+$L$13+$N$13)&gt;=$K$13,((AE129+$L$13+$N$13)-$K$13)-0.5*HU_alpha/$S$13*((AE129+$L$13+$N$13)-$K$13)^2,IF((AE129+$L$13+$N$13)&gt;=$T$13,HU_beta*((AE129+$L$13+$N$13)-$K$13),HU_beta*($T$13-$K$13)))))</f>
        <v/>
      </c>
      <c r="BK129" s="29">
        <f>IF(OR(BH129=0,$S$13=0),0,IF((AE129+$K$13)&gt;$S$13/HU_alpha+$K$13,0.5*$S$13/HU_alpha,IF((AE129+$K$13)&gt;=$K$13,((AE129+$K$13)-$K$13)-0.5*HU_alpha/$S$13*((AE129+$K$13)-$K$13)^2,IF((AE129+$K$13)&gt;=$T$13,HU_beta*((AE129+$K$13)-$K$13),HU_beta*($T$13-$K$13)))))</f>
        <v/>
      </c>
    </row>
    <row r="130">
      <c r="A130" s="61" t="n">
        <v>62</v>
      </c>
      <c r="B130" s="61">
        <f>HU_age+A130</f>
        <v/>
      </c>
      <c r="C130" s="52">
        <f>A130&lt;=HU_T</f>
        <v/>
      </c>
      <c r="D130" s="63">
        <f>IF(OR(A130&lt;1,A130&gt;HU_T),0,INDEX(HU_q_mort,HU_age+A130-17,HU_col))</f>
        <v/>
      </c>
      <c r="E130" s="63">
        <f>IF(OR(A130&lt;1,A130&gt;HU_T),0,INDEX(HU_q_adb,HU_age+A130-17,HU_col))</f>
        <v/>
      </c>
      <c r="F130" s="63">
        <f>IF(OR(A130&lt;1,A130&gt;HU_T),0,INDEX(HU_q_morb,HU_age+A130-17,HU_col))</f>
        <v/>
      </c>
      <c r="G130" s="63">
        <f>IF(OR(A130&lt;1,A130&gt;HU_T),0,INDEX(HU_q_ptd,HU_age+A130-17,HU_col))</f>
        <v/>
      </c>
      <c r="H130" s="63">
        <f>IF(OR(A130&lt;1,A130&gt;HU_T),0,INDEX(HU_q_dis,HU_age+A130-17,HU_col))</f>
        <v/>
      </c>
      <c r="I130" s="63">
        <f>IF(A130&gt;HU_T,0,I129*(1-D130)*(1-E130))</f>
        <v/>
      </c>
      <c r="J130" s="63">
        <f>IF(A130&gt;=HU_T,0,N(I131))</f>
        <v/>
      </c>
      <c r="K130" s="63">
        <f>K129*(1-G130)</f>
        <v/>
      </c>
      <c r="L130" s="63">
        <f>1-K130</f>
        <v/>
      </c>
      <c r="M130" s="63">
        <f>K129*G130</f>
        <v/>
      </c>
      <c r="N130" s="63">
        <f>N129*(1-H130)</f>
        <v/>
      </c>
      <c r="O130" s="63">
        <f>1-N129</f>
        <v/>
      </c>
      <c r="P130" s="63">
        <f>P129*(1-F130)</f>
        <v/>
      </c>
      <c r="Q130" s="63">
        <f>1-P129/INDEX($P$68:$P$150,MAX(1,A130-HU_ciYears))</f>
        <v/>
      </c>
      <c r="R130" s="60">
        <f>(1+inflationRate)^A130</f>
        <v/>
      </c>
      <c r="S130" s="29">
        <f>IF(OR(OR(A130&lt;1,A130&gt;HU_T),A130-1&gt;=HU_dtr),0,HU_inc0*(1+incomeGrowthRate)^A130)</f>
        <v/>
      </c>
      <c r="T130" s="60">
        <f>IF(A130&gt;HU_T,T129,T129*(1+INDEX(HU_ssG,HU_age+A130-17)))</f>
        <v/>
      </c>
      <c r="U130" s="29">
        <f>IF(AND(HU_dtr&gt;=1,A130=HU_dtr,A130&lt;=HU_T),MIN(S130*INDEX(HU_ssC,HU_age+A130-17)/(1-INDEX(HU_ssC,HU_age+A130-17)),INDEX(HU_ssCap,HU_age+A130-17))*T130,0)</f>
        <v/>
      </c>
      <c r="V130" s="29">
        <f>S130+U130+IF(AND(HU_wdOn,A130=HU_wdYear),HU_wdIncome,0)</f>
        <v/>
      </c>
      <c r="W130" s="60">
        <f>HU_ciProp*Q130+HU_tpdCut*L130+HU_disCut*O130</f>
        <v/>
      </c>
      <c r="X130" s="29">
        <f>IF(OR(A130&lt;1,A130&gt;HU_T),0,V130*(1-W130))</f>
        <v/>
      </c>
      <c r="Y130" s="29">
        <f>IF(OR(A130&lt;1,A130&gt;HU_T),0,IF(AND(HU_retExp&gt;0,A130-1&gt;=HU_dtr),HU_retExp,HU_exp0)*R130)</f>
        <v/>
      </c>
      <c r="Z130" s="29">
        <f>-Y130-IF(AND(HU_wdOn,A130=HU_wdYear),HU_wdOut,0)</f>
        <v/>
      </c>
      <c r="AA130" s="29">
        <f>IF(OR(A130&lt;1,A130&gt;HU_T),0,-HU_medCost*R130*F130-HU_tpdCost*R130*M130)</f>
        <v/>
      </c>
      <c r="AB130" s="29">
        <f>IF(A130&gt;HU_T,0,AB129*(1+interestRate)+X130+Z130+AA130)</f>
        <v/>
      </c>
      <c r="AC130" s="29">
        <f>IF(A130&gt;HU_T,0,HU_inv*EXP(HU_mu*A130))</f>
        <v/>
      </c>
      <c r="AD130" s="29">
        <f>IF(A130&gt;HU_T,0,MAX(0,AC130+AB130))</f>
        <v/>
      </c>
      <c r="AE130" s="29">
        <f>IF(A130&gt;HU_T,0,MAX(0,X130-Y130))</f>
        <v/>
      </c>
      <c r="AF130" s="63">
        <f>IF(AND($J$6,A130&gt;=1,A130&lt;=$Q$6-1),J130,0)</f>
        <v/>
      </c>
      <c r="AG130" s="29">
        <f>IF(OR(AF130=0,$S$6=0),0,IF((AD130+$L$6)&gt;$S$6/HU_alpha+$K$6,0.5*$S$6/HU_alpha,IF((AD130+$L$6)&gt;=$K$6,((AD130+$L$6)-$K$6)-0.5*HU_alpha/$S$6*((AD130+$L$6)-$K$6)^2,IF((AD130+$L$6)&gt;=$T$6,HU_beta*((AD130+$L$6)-$K$6),HU_beta*($T$6-$K$6)))))</f>
        <v/>
      </c>
      <c r="AH130" s="29">
        <f>IF(OR(AF130=0,$S$6=0),0,IF((AD130+$L$6+$N$6)&gt;$S$6/HU_alpha+$K$6,0.5*$S$6/HU_alpha,IF((AD130+$L$6+$N$6)&gt;=$K$6,((AD130+$L$6+$N$6)-$K$6)-0.5*HU_alpha/$S$6*((AD130+$L$6+$N$6)-$K$6)^2,IF((AD130+$L$6+$N$6)&gt;=$T$6,HU_beta*((AD130+$L$6+$N$6)-$K$6),HU_beta*($T$6-$K$6)))))</f>
        <v/>
      </c>
      <c r="AI130" s="29">
        <f>IF(OR(AF130=0,$S$6=0),0,IF((AD130+$K$6)&gt;$S$6/HU_alpha+$K$6,0.5*$S$6/HU_alpha,IF((AD130+$K$6)&gt;=$K$6,((AD130+$K$6)-$K$6)-0.5*HU_alpha/$S$6*((AD130+$K$6)-$K$6)^2,IF((AD130+$K$6)&gt;=$T$6,HU_beta*((AD130+$K$6)-$K$6),HU_beta*($T$6-$K$6)))))</f>
        <v/>
      </c>
      <c r="AJ130" s="63">
        <f>IF(AND($J$7,A130&gt;=1,A130&lt;=$Q$7-1),J130,0)</f>
        <v/>
      </c>
      <c r="AK130" s="29">
        <f>IF(OR(AJ130=0,$S$7=0),0,IF((AE130+$L$7)&gt;$S$7/HU_alpha+$K$7,0.5*$S$7/HU_alpha,IF((AE130+$L$7)&gt;=$K$7,((AE130+$L$7)-$K$7)-0.5*HU_alpha/$S$7*((AE130+$L$7)-$K$7)^2,IF((AE130+$L$7)&gt;=$T$7,HU_beta*((AE130+$L$7)-$K$7),HU_beta*($T$7-$K$7)))))</f>
        <v/>
      </c>
      <c r="AL130" s="29">
        <f>IF(OR(AJ130=0,$S$7=0),0,IF((AE130+$L$7+$N$7)&gt;$S$7/HU_alpha+$K$7,0.5*$S$7/HU_alpha,IF((AE130+$L$7+$N$7)&gt;=$K$7,((AE130+$L$7+$N$7)-$K$7)-0.5*HU_alpha/$S$7*((AE130+$L$7+$N$7)-$K$7)^2,IF((AE130+$L$7+$N$7)&gt;=$T$7,HU_beta*((AE130+$L$7+$N$7)-$K$7),HU_beta*($T$7-$K$7)))))</f>
        <v/>
      </c>
      <c r="AM130" s="29">
        <f>IF(OR(AJ130=0,$S$7=0),0,IF((AE130+$K$7)&gt;$S$7/HU_alpha+$K$7,0.5*$S$7/HU_alpha,IF((AE130+$K$7)&gt;=$K$7,((AE130+$K$7)-$K$7)-0.5*HU_alpha/$S$7*((AE130+$K$7)-$K$7)^2,IF((AE130+$K$7)&gt;=$T$7,HU_beta*((AE130+$K$7)-$K$7),HU_beta*($T$7-$K$7)))))</f>
        <v/>
      </c>
      <c r="AN130" s="63">
        <f>IF(AND($J$8,A130&gt;=1,A130&lt;=$Q$8-1),J130,0)</f>
        <v/>
      </c>
      <c r="AO130" s="29">
        <f>IF(OR(AN130=0,$S$8=0),0,IF((AE130+$L$8)&gt;$S$8/HU_alpha+$K$8,0.5*$S$8/HU_alpha,IF((AE130+$L$8)&gt;=$K$8,((AE130+$L$8)-$K$8)-0.5*HU_alpha/$S$8*((AE130+$L$8)-$K$8)^2,IF((AE130+$L$8)&gt;=$T$8,HU_beta*((AE130+$L$8)-$K$8),HU_beta*($T$8-$K$8)))))</f>
        <v/>
      </c>
      <c r="AP130" s="29">
        <f>IF(OR(AN130=0,$S$8=0),0,IF((AE130+$L$8+$N$8)&gt;$S$8/HU_alpha+$K$8,0.5*$S$8/HU_alpha,IF((AE130+$L$8+$N$8)&gt;=$K$8,((AE130+$L$8+$N$8)-$K$8)-0.5*HU_alpha/$S$8*((AE130+$L$8+$N$8)-$K$8)^2,IF((AE130+$L$8+$N$8)&gt;=$T$8,HU_beta*((AE130+$L$8+$N$8)-$K$8),HU_beta*($T$8-$K$8)))))</f>
        <v/>
      </c>
      <c r="AQ130" s="29">
        <f>IF(OR(AN130=0,$S$8=0),0,IF((AE130+$K$8)&gt;$S$8/HU_alpha+$K$8,0.5*$S$8/HU_alpha,IF((AE130+$K$8)&gt;=$K$8,((AE130+$K$8)-$K$8)-0.5*HU_alpha/$S$8*((AE130+$K$8)-$K$8)^2,IF((AE130+$K$8)&gt;=$T$8,HU_beta*((AE130+$K$8)-$K$8),HU_beta*($T$8-$K$8)))))</f>
        <v/>
      </c>
      <c r="AR130" s="63">
        <f>IF(AND($J$9,A130&gt;=1,A130&lt;=$Q$9-1),J130,0)</f>
        <v/>
      </c>
      <c r="AS130" s="29">
        <f>IF(OR(AR130=0,$S$9=0),0,IF((AE130+$L$9)&gt;$S$9/HU_alpha+$K$9,0.5*$S$9/HU_alpha,IF((AE130+$L$9)&gt;=$K$9,((AE130+$L$9)-$K$9)-0.5*HU_alpha/$S$9*((AE130+$L$9)-$K$9)^2,IF((AE130+$L$9)&gt;=$T$9,HU_beta*((AE130+$L$9)-$K$9),HU_beta*($T$9-$K$9)))))</f>
        <v/>
      </c>
      <c r="AT130" s="29">
        <f>IF(OR(AR130=0,$S$9=0),0,IF((AE130+$L$9+$N$9)&gt;$S$9/HU_alpha+$K$9,0.5*$S$9/HU_alpha,IF((AE130+$L$9+$N$9)&gt;=$K$9,((AE130+$L$9+$N$9)-$K$9)-0.5*HU_alpha/$S$9*((AE130+$L$9+$N$9)-$K$9)^2,IF((AE130+$L$9+$N$9)&gt;=$T$9,HU_beta*((AE130+$L$9+$N$9)-$K$9),HU_beta*($T$9-$K$9)))))</f>
        <v/>
      </c>
      <c r="AU130" s="29">
        <f>IF(OR(AR130=0,$S$9=0),0,IF((AE130+$K$9)&gt;$S$9/HU_alpha+$K$9,0.5*$S$9/HU_alpha,IF((AE130+$K$9)&gt;=$K$9,((AE130+$K$9)-$K$9)-0.5*HU_alpha/$S$9*((AE130+$K$9)-$K$9)^2,IF((AE130+$K$9)&gt;=$T$9,HU_beta*((AE130+$K$9)-$K$9),HU_beta*($T$9-$K$9)))))</f>
        <v/>
      </c>
      <c r="AV130" s="63">
        <f>IF(AND($J$10,A130=$Q$10),J130,0)</f>
        <v/>
      </c>
      <c r="AW130" s="29">
        <f>IF(OR(AV130=0,$S$10=0),0,IF((AD130+$L$10)&gt;$S$10/HU_alpha+$K$10,0.5*$S$10/HU_alpha,IF((AD130+$L$10)&gt;=$K$10,((AD130+$L$10)-$K$10)-0.5*HU_alpha/$S$10*((AD130+$L$10)-$K$10)^2,IF((AD130+$L$10)&gt;=$T$10,HU_beta*((AD130+$L$10)-$K$10),HU_beta*($T$10-$K$10)))))</f>
        <v/>
      </c>
      <c r="AX130" s="29">
        <f>IF(OR(AV130=0,$S$10=0),0,IF((AD130+$L$10+$N$10)&gt;$S$10/HU_alpha+$K$10,0.5*$S$10/HU_alpha,IF((AD130+$L$10+$N$10)&gt;=$K$10,((AD130+$L$10+$N$10)-$K$10)-0.5*HU_alpha/$S$10*((AD130+$L$10+$N$10)-$K$10)^2,IF((AD130+$L$10+$N$10)&gt;=$T$10,HU_beta*((AD130+$L$10+$N$10)-$K$10),HU_beta*($T$10-$K$10)))))</f>
        <v/>
      </c>
      <c r="AY130" s="29">
        <f>IF(OR(AV130=0,$S$10=0),0,IF((AD130+$K$10)&gt;$S$10/HU_alpha+$K$10,0.5*$S$10/HU_alpha,IF((AD130+$K$10)&gt;=$K$10,((AD130+$K$10)-$K$10)-0.5*HU_alpha/$S$10*((AD130+$K$10)-$K$10)^2,IF((AD130+$K$10)&gt;=$T$10,HU_beta*((AD130+$K$10)-$K$10),HU_beta*($T$10-$K$10)))))</f>
        <v/>
      </c>
      <c r="AZ130" s="63">
        <f>IF(AND($J$11,A130=$Q$11),J130,0)</f>
        <v/>
      </c>
      <c r="BA130" s="29">
        <f>IF(OR(AZ130=0,$S$11=0),0,IF((AE130+$L$11)&gt;$S$11/HU_alpha+$K$11,0.5*$S$11/HU_alpha,IF((AE130+$L$11)&gt;=$K$11,((AE130+$L$11)-$K$11)-0.5*HU_alpha/$S$11*((AE130+$L$11)-$K$11)^2,IF((AE130+$L$11)&gt;=$T$11,HU_beta*((AE130+$L$11)-$K$11),HU_beta*($T$11-$K$11)))))</f>
        <v/>
      </c>
      <c r="BB130" s="29">
        <f>IF(OR(AZ130=0,$S$11=0),0,IF((AE130+$L$11+$N$11)&gt;$S$11/HU_alpha+$K$11,0.5*$S$11/HU_alpha,IF((AE130+$L$11+$N$11)&gt;=$K$11,((AE130+$L$11+$N$11)-$K$11)-0.5*HU_alpha/$S$11*((AE130+$L$11+$N$11)-$K$11)^2,IF((AE130+$L$11+$N$11)&gt;=$T$11,HU_beta*((AE130+$L$11+$N$11)-$K$11),HU_beta*($T$11-$K$11)))))</f>
        <v/>
      </c>
      <c r="BC130" s="29">
        <f>IF(OR(AZ130=0,$S$11=0),0,IF((AE130+$K$11)&gt;$S$11/HU_alpha+$K$11,0.5*$S$11/HU_alpha,IF((AE130+$K$11)&gt;=$K$11,((AE130+$K$11)-$K$11)-0.5*HU_alpha/$S$11*((AE130+$K$11)-$K$11)^2,IF((AE130+$K$11)&gt;=$T$11,HU_beta*((AE130+$K$11)-$K$11),HU_beta*($T$11-$K$11)))))</f>
        <v/>
      </c>
      <c r="BD130" s="63">
        <f>IF(AND($J$12,A130=$Q$12),J130,0)</f>
        <v/>
      </c>
      <c r="BE130" s="29">
        <f>IF(OR(BD130=0,$S$12=0),0,IF((AE130+$L$12)&gt;$S$12/HU_alpha+$K$12,0.5*$S$12/HU_alpha,IF((AE130+$L$12)&gt;=$K$12,((AE130+$L$12)-$K$12)-0.5*HU_alpha/$S$12*((AE130+$L$12)-$K$12)^2,IF((AE130+$L$12)&gt;=$T$12,HU_beta*((AE130+$L$12)-$K$12),HU_beta*($T$12-$K$12)))))</f>
        <v/>
      </c>
      <c r="BF130" s="29">
        <f>IF(OR(BD130=0,$S$12=0),0,IF((AE130+$L$12+$N$12)&gt;$S$12/HU_alpha+$K$12,0.5*$S$12/HU_alpha,IF((AE130+$L$12+$N$12)&gt;=$K$12,((AE130+$L$12+$N$12)-$K$12)-0.5*HU_alpha/$S$12*((AE130+$L$12+$N$12)-$K$12)^2,IF((AE130+$L$12+$N$12)&gt;=$T$12,HU_beta*((AE130+$L$12+$N$12)-$K$12),HU_beta*($T$12-$K$12)))))</f>
        <v/>
      </c>
      <c r="BG130" s="29">
        <f>IF(OR(BD130=0,$S$12=0),0,IF((AE130+$K$12)&gt;$S$12/HU_alpha+$K$12,0.5*$S$12/HU_alpha,IF((AE130+$K$12)&gt;=$K$12,((AE130+$K$12)-$K$12)-0.5*HU_alpha/$S$12*((AE130+$K$12)-$K$12)^2,IF((AE130+$K$12)&gt;=$T$12,HU_beta*((AE130+$K$12)-$K$12),HU_beta*($T$12-$K$12)))))</f>
        <v/>
      </c>
      <c r="BH130" s="63">
        <f>IF(AND($J$13,A130=$Q$13),J130,0)</f>
        <v/>
      </c>
      <c r="BI130" s="29">
        <f>IF(OR(BH130=0,$S$13=0),0,IF((AE130+$L$13)&gt;$S$13/HU_alpha+$K$13,0.5*$S$13/HU_alpha,IF((AE130+$L$13)&gt;=$K$13,((AE130+$L$13)-$K$13)-0.5*HU_alpha/$S$13*((AE130+$L$13)-$K$13)^2,IF((AE130+$L$13)&gt;=$T$13,HU_beta*((AE130+$L$13)-$K$13),HU_beta*($T$13-$K$13)))))</f>
        <v/>
      </c>
      <c r="BJ130" s="29">
        <f>IF(OR(BH130=0,$S$13=0),0,IF((AE130+$L$13+$N$13)&gt;$S$13/HU_alpha+$K$13,0.5*$S$13/HU_alpha,IF((AE130+$L$13+$N$13)&gt;=$K$13,((AE130+$L$13+$N$13)-$K$13)-0.5*HU_alpha/$S$13*((AE130+$L$13+$N$13)-$K$13)^2,IF((AE130+$L$13+$N$13)&gt;=$T$13,HU_beta*((AE130+$L$13+$N$13)-$K$13),HU_beta*($T$13-$K$13)))))</f>
        <v/>
      </c>
      <c r="BK130" s="29">
        <f>IF(OR(BH130=0,$S$13=0),0,IF((AE130+$K$13)&gt;$S$13/HU_alpha+$K$13,0.5*$S$13/HU_alpha,IF((AE130+$K$13)&gt;=$K$13,((AE130+$K$13)-$K$13)-0.5*HU_alpha/$S$13*((AE130+$K$13)-$K$13)^2,IF((AE130+$K$13)&gt;=$T$13,HU_beta*((AE130+$K$13)-$K$13),HU_beta*($T$13-$K$13)))))</f>
        <v/>
      </c>
    </row>
    <row r="131">
      <c r="A131" s="61" t="n">
        <v>63</v>
      </c>
      <c r="B131" s="61">
        <f>HU_age+A131</f>
        <v/>
      </c>
      <c r="C131" s="52">
        <f>A131&lt;=HU_T</f>
        <v/>
      </c>
      <c r="D131" s="63">
        <f>IF(OR(A131&lt;1,A131&gt;HU_T),0,INDEX(HU_q_mort,HU_age+A131-17,HU_col))</f>
        <v/>
      </c>
      <c r="E131" s="63">
        <f>IF(OR(A131&lt;1,A131&gt;HU_T),0,INDEX(HU_q_adb,HU_age+A131-17,HU_col))</f>
        <v/>
      </c>
      <c r="F131" s="63">
        <f>IF(OR(A131&lt;1,A131&gt;HU_T),0,INDEX(HU_q_morb,HU_age+A131-17,HU_col))</f>
        <v/>
      </c>
      <c r="G131" s="63">
        <f>IF(OR(A131&lt;1,A131&gt;HU_T),0,INDEX(HU_q_ptd,HU_age+A131-17,HU_col))</f>
        <v/>
      </c>
      <c r="H131" s="63">
        <f>IF(OR(A131&lt;1,A131&gt;HU_T),0,INDEX(HU_q_dis,HU_age+A131-17,HU_col))</f>
        <v/>
      </c>
      <c r="I131" s="63">
        <f>IF(A131&gt;HU_T,0,I130*(1-D131)*(1-E131))</f>
        <v/>
      </c>
      <c r="J131" s="63">
        <f>IF(A131&gt;=HU_T,0,N(I132))</f>
        <v/>
      </c>
      <c r="K131" s="63">
        <f>K130*(1-G131)</f>
        <v/>
      </c>
      <c r="L131" s="63">
        <f>1-K131</f>
        <v/>
      </c>
      <c r="M131" s="63">
        <f>K130*G131</f>
        <v/>
      </c>
      <c r="N131" s="63">
        <f>N130*(1-H131)</f>
        <v/>
      </c>
      <c r="O131" s="63">
        <f>1-N130</f>
        <v/>
      </c>
      <c r="P131" s="63">
        <f>P130*(1-F131)</f>
        <v/>
      </c>
      <c r="Q131" s="63">
        <f>1-P130/INDEX($P$68:$P$150,MAX(1,A131-HU_ciYears))</f>
        <v/>
      </c>
      <c r="R131" s="60">
        <f>(1+inflationRate)^A131</f>
        <v/>
      </c>
      <c r="S131" s="29">
        <f>IF(OR(OR(A131&lt;1,A131&gt;HU_T),A131-1&gt;=HU_dtr),0,HU_inc0*(1+incomeGrowthRate)^A131)</f>
        <v/>
      </c>
      <c r="T131" s="60">
        <f>IF(A131&gt;HU_T,T130,T130*(1+INDEX(HU_ssG,HU_age+A131-17)))</f>
        <v/>
      </c>
      <c r="U131" s="29">
        <f>IF(AND(HU_dtr&gt;=1,A131=HU_dtr,A131&lt;=HU_T),MIN(S131*INDEX(HU_ssC,HU_age+A131-17)/(1-INDEX(HU_ssC,HU_age+A131-17)),INDEX(HU_ssCap,HU_age+A131-17))*T131,0)</f>
        <v/>
      </c>
      <c r="V131" s="29">
        <f>S131+U131+IF(AND(HU_wdOn,A131=HU_wdYear),HU_wdIncome,0)</f>
        <v/>
      </c>
      <c r="W131" s="60">
        <f>HU_ciProp*Q131+HU_tpdCut*L131+HU_disCut*O131</f>
        <v/>
      </c>
      <c r="X131" s="29">
        <f>IF(OR(A131&lt;1,A131&gt;HU_T),0,V131*(1-W131))</f>
        <v/>
      </c>
      <c r="Y131" s="29">
        <f>IF(OR(A131&lt;1,A131&gt;HU_T),0,IF(AND(HU_retExp&gt;0,A131-1&gt;=HU_dtr),HU_retExp,HU_exp0)*R131)</f>
        <v/>
      </c>
      <c r="Z131" s="29">
        <f>-Y131-IF(AND(HU_wdOn,A131=HU_wdYear),HU_wdOut,0)</f>
        <v/>
      </c>
      <c r="AA131" s="29">
        <f>IF(OR(A131&lt;1,A131&gt;HU_T),0,-HU_medCost*R131*F131-HU_tpdCost*R131*M131)</f>
        <v/>
      </c>
      <c r="AB131" s="29">
        <f>IF(A131&gt;HU_T,0,AB130*(1+interestRate)+X131+Z131+AA131)</f>
        <v/>
      </c>
      <c r="AC131" s="29">
        <f>IF(A131&gt;HU_T,0,HU_inv*EXP(HU_mu*A131))</f>
        <v/>
      </c>
      <c r="AD131" s="29">
        <f>IF(A131&gt;HU_T,0,MAX(0,AC131+AB131))</f>
        <v/>
      </c>
      <c r="AE131" s="29">
        <f>IF(A131&gt;HU_T,0,MAX(0,X131-Y131))</f>
        <v/>
      </c>
      <c r="AF131" s="63">
        <f>IF(AND($J$6,A131&gt;=1,A131&lt;=$Q$6-1),J131,0)</f>
        <v/>
      </c>
      <c r="AG131" s="29">
        <f>IF(OR(AF131=0,$S$6=0),0,IF((AD131+$L$6)&gt;$S$6/HU_alpha+$K$6,0.5*$S$6/HU_alpha,IF((AD131+$L$6)&gt;=$K$6,((AD131+$L$6)-$K$6)-0.5*HU_alpha/$S$6*((AD131+$L$6)-$K$6)^2,IF((AD131+$L$6)&gt;=$T$6,HU_beta*((AD131+$L$6)-$K$6),HU_beta*($T$6-$K$6)))))</f>
        <v/>
      </c>
      <c r="AH131" s="29">
        <f>IF(OR(AF131=0,$S$6=0),0,IF((AD131+$L$6+$N$6)&gt;$S$6/HU_alpha+$K$6,0.5*$S$6/HU_alpha,IF((AD131+$L$6+$N$6)&gt;=$K$6,((AD131+$L$6+$N$6)-$K$6)-0.5*HU_alpha/$S$6*((AD131+$L$6+$N$6)-$K$6)^2,IF((AD131+$L$6+$N$6)&gt;=$T$6,HU_beta*((AD131+$L$6+$N$6)-$K$6),HU_beta*($T$6-$K$6)))))</f>
        <v/>
      </c>
      <c r="AI131" s="29">
        <f>IF(OR(AF131=0,$S$6=0),0,IF((AD131+$K$6)&gt;$S$6/HU_alpha+$K$6,0.5*$S$6/HU_alpha,IF((AD131+$K$6)&gt;=$K$6,((AD131+$K$6)-$K$6)-0.5*HU_alpha/$S$6*((AD131+$K$6)-$K$6)^2,IF((AD131+$K$6)&gt;=$T$6,HU_beta*((AD131+$K$6)-$K$6),HU_beta*($T$6-$K$6)))))</f>
        <v/>
      </c>
      <c r="AJ131" s="63">
        <f>IF(AND($J$7,A131&gt;=1,A131&lt;=$Q$7-1),J131,0)</f>
        <v/>
      </c>
      <c r="AK131" s="29">
        <f>IF(OR(AJ131=0,$S$7=0),0,IF((AE131+$L$7)&gt;$S$7/HU_alpha+$K$7,0.5*$S$7/HU_alpha,IF((AE131+$L$7)&gt;=$K$7,((AE131+$L$7)-$K$7)-0.5*HU_alpha/$S$7*((AE131+$L$7)-$K$7)^2,IF((AE131+$L$7)&gt;=$T$7,HU_beta*((AE131+$L$7)-$K$7),HU_beta*($T$7-$K$7)))))</f>
        <v/>
      </c>
      <c r="AL131" s="29">
        <f>IF(OR(AJ131=0,$S$7=0),0,IF((AE131+$L$7+$N$7)&gt;$S$7/HU_alpha+$K$7,0.5*$S$7/HU_alpha,IF((AE131+$L$7+$N$7)&gt;=$K$7,((AE131+$L$7+$N$7)-$K$7)-0.5*HU_alpha/$S$7*((AE131+$L$7+$N$7)-$K$7)^2,IF((AE131+$L$7+$N$7)&gt;=$T$7,HU_beta*((AE131+$L$7+$N$7)-$K$7),HU_beta*($T$7-$K$7)))))</f>
        <v/>
      </c>
      <c r="AM131" s="29">
        <f>IF(OR(AJ131=0,$S$7=0),0,IF((AE131+$K$7)&gt;$S$7/HU_alpha+$K$7,0.5*$S$7/HU_alpha,IF((AE131+$K$7)&gt;=$K$7,((AE131+$K$7)-$K$7)-0.5*HU_alpha/$S$7*((AE131+$K$7)-$K$7)^2,IF((AE131+$K$7)&gt;=$T$7,HU_beta*((AE131+$K$7)-$K$7),HU_beta*($T$7-$K$7)))))</f>
        <v/>
      </c>
      <c r="AN131" s="63">
        <f>IF(AND($J$8,A131&gt;=1,A131&lt;=$Q$8-1),J131,0)</f>
        <v/>
      </c>
      <c r="AO131" s="29">
        <f>IF(OR(AN131=0,$S$8=0),0,IF((AE131+$L$8)&gt;$S$8/HU_alpha+$K$8,0.5*$S$8/HU_alpha,IF((AE131+$L$8)&gt;=$K$8,((AE131+$L$8)-$K$8)-0.5*HU_alpha/$S$8*((AE131+$L$8)-$K$8)^2,IF((AE131+$L$8)&gt;=$T$8,HU_beta*((AE131+$L$8)-$K$8),HU_beta*($T$8-$K$8)))))</f>
        <v/>
      </c>
      <c r="AP131" s="29">
        <f>IF(OR(AN131=0,$S$8=0),0,IF((AE131+$L$8+$N$8)&gt;$S$8/HU_alpha+$K$8,0.5*$S$8/HU_alpha,IF((AE131+$L$8+$N$8)&gt;=$K$8,((AE131+$L$8+$N$8)-$K$8)-0.5*HU_alpha/$S$8*((AE131+$L$8+$N$8)-$K$8)^2,IF((AE131+$L$8+$N$8)&gt;=$T$8,HU_beta*((AE131+$L$8+$N$8)-$K$8),HU_beta*($T$8-$K$8)))))</f>
        <v/>
      </c>
      <c r="AQ131" s="29">
        <f>IF(OR(AN131=0,$S$8=0),0,IF((AE131+$K$8)&gt;$S$8/HU_alpha+$K$8,0.5*$S$8/HU_alpha,IF((AE131+$K$8)&gt;=$K$8,((AE131+$K$8)-$K$8)-0.5*HU_alpha/$S$8*((AE131+$K$8)-$K$8)^2,IF((AE131+$K$8)&gt;=$T$8,HU_beta*((AE131+$K$8)-$K$8),HU_beta*($T$8-$K$8)))))</f>
        <v/>
      </c>
      <c r="AR131" s="63">
        <f>IF(AND($J$9,A131&gt;=1,A131&lt;=$Q$9-1),J131,0)</f>
        <v/>
      </c>
      <c r="AS131" s="29">
        <f>IF(OR(AR131=0,$S$9=0),0,IF((AE131+$L$9)&gt;$S$9/HU_alpha+$K$9,0.5*$S$9/HU_alpha,IF((AE131+$L$9)&gt;=$K$9,((AE131+$L$9)-$K$9)-0.5*HU_alpha/$S$9*((AE131+$L$9)-$K$9)^2,IF((AE131+$L$9)&gt;=$T$9,HU_beta*((AE131+$L$9)-$K$9),HU_beta*($T$9-$K$9)))))</f>
        <v/>
      </c>
      <c r="AT131" s="29">
        <f>IF(OR(AR131=0,$S$9=0),0,IF((AE131+$L$9+$N$9)&gt;$S$9/HU_alpha+$K$9,0.5*$S$9/HU_alpha,IF((AE131+$L$9+$N$9)&gt;=$K$9,((AE131+$L$9+$N$9)-$K$9)-0.5*HU_alpha/$S$9*((AE131+$L$9+$N$9)-$K$9)^2,IF((AE131+$L$9+$N$9)&gt;=$T$9,HU_beta*((AE131+$L$9+$N$9)-$K$9),HU_beta*($T$9-$K$9)))))</f>
        <v/>
      </c>
      <c r="AU131" s="29">
        <f>IF(OR(AR131=0,$S$9=0),0,IF((AE131+$K$9)&gt;$S$9/HU_alpha+$K$9,0.5*$S$9/HU_alpha,IF((AE131+$K$9)&gt;=$K$9,((AE131+$K$9)-$K$9)-0.5*HU_alpha/$S$9*((AE131+$K$9)-$K$9)^2,IF((AE131+$K$9)&gt;=$T$9,HU_beta*((AE131+$K$9)-$K$9),HU_beta*($T$9-$K$9)))))</f>
        <v/>
      </c>
      <c r="AV131" s="63">
        <f>IF(AND($J$10,A131=$Q$10),J131,0)</f>
        <v/>
      </c>
      <c r="AW131" s="29">
        <f>IF(OR(AV131=0,$S$10=0),0,IF((AD131+$L$10)&gt;$S$10/HU_alpha+$K$10,0.5*$S$10/HU_alpha,IF((AD131+$L$10)&gt;=$K$10,((AD131+$L$10)-$K$10)-0.5*HU_alpha/$S$10*((AD131+$L$10)-$K$10)^2,IF((AD131+$L$10)&gt;=$T$10,HU_beta*((AD131+$L$10)-$K$10),HU_beta*($T$10-$K$10)))))</f>
        <v/>
      </c>
      <c r="AX131" s="29">
        <f>IF(OR(AV131=0,$S$10=0),0,IF((AD131+$L$10+$N$10)&gt;$S$10/HU_alpha+$K$10,0.5*$S$10/HU_alpha,IF((AD131+$L$10+$N$10)&gt;=$K$10,((AD131+$L$10+$N$10)-$K$10)-0.5*HU_alpha/$S$10*((AD131+$L$10+$N$10)-$K$10)^2,IF((AD131+$L$10+$N$10)&gt;=$T$10,HU_beta*((AD131+$L$10+$N$10)-$K$10),HU_beta*($T$10-$K$10)))))</f>
        <v/>
      </c>
      <c r="AY131" s="29">
        <f>IF(OR(AV131=0,$S$10=0),0,IF((AD131+$K$10)&gt;$S$10/HU_alpha+$K$10,0.5*$S$10/HU_alpha,IF((AD131+$K$10)&gt;=$K$10,((AD131+$K$10)-$K$10)-0.5*HU_alpha/$S$10*((AD131+$K$10)-$K$10)^2,IF((AD131+$K$10)&gt;=$T$10,HU_beta*((AD131+$K$10)-$K$10),HU_beta*($T$10-$K$10)))))</f>
        <v/>
      </c>
      <c r="AZ131" s="63">
        <f>IF(AND($J$11,A131=$Q$11),J131,0)</f>
        <v/>
      </c>
      <c r="BA131" s="29">
        <f>IF(OR(AZ131=0,$S$11=0),0,IF((AE131+$L$11)&gt;$S$11/HU_alpha+$K$11,0.5*$S$11/HU_alpha,IF((AE131+$L$11)&gt;=$K$11,((AE131+$L$11)-$K$11)-0.5*HU_alpha/$S$11*((AE131+$L$11)-$K$11)^2,IF((AE131+$L$11)&gt;=$T$11,HU_beta*((AE131+$L$11)-$K$11),HU_beta*($T$11-$K$11)))))</f>
        <v/>
      </c>
      <c r="BB131" s="29">
        <f>IF(OR(AZ131=0,$S$11=0),0,IF((AE131+$L$11+$N$11)&gt;$S$11/HU_alpha+$K$11,0.5*$S$11/HU_alpha,IF((AE131+$L$11+$N$11)&gt;=$K$11,((AE131+$L$11+$N$11)-$K$11)-0.5*HU_alpha/$S$11*((AE131+$L$11+$N$11)-$K$11)^2,IF((AE131+$L$11+$N$11)&gt;=$T$11,HU_beta*((AE131+$L$11+$N$11)-$K$11),HU_beta*($T$11-$K$11)))))</f>
        <v/>
      </c>
      <c r="BC131" s="29">
        <f>IF(OR(AZ131=0,$S$11=0),0,IF((AE131+$K$11)&gt;$S$11/HU_alpha+$K$11,0.5*$S$11/HU_alpha,IF((AE131+$K$11)&gt;=$K$11,((AE131+$K$11)-$K$11)-0.5*HU_alpha/$S$11*((AE131+$K$11)-$K$11)^2,IF((AE131+$K$11)&gt;=$T$11,HU_beta*((AE131+$K$11)-$K$11),HU_beta*($T$11-$K$11)))))</f>
        <v/>
      </c>
      <c r="BD131" s="63">
        <f>IF(AND($J$12,A131=$Q$12),J131,0)</f>
        <v/>
      </c>
      <c r="BE131" s="29">
        <f>IF(OR(BD131=0,$S$12=0),0,IF((AE131+$L$12)&gt;$S$12/HU_alpha+$K$12,0.5*$S$12/HU_alpha,IF((AE131+$L$12)&gt;=$K$12,((AE131+$L$12)-$K$12)-0.5*HU_alpha/$S$12*((AE131+$L$12)-$K$12)^2,IF((AE131+$L$12)&gt;=$T$12,HU_beta*((AE131+$L$12)-$K$12),HU_beta*($T$12-$K$12)))))</f>
        <v/>
      </c>
      <c r="BF131" s="29">
        <f>IF(OR(BD131=0,$S$12=0),0,IF((AE131+$L$12+$N$12)&gt;$S$12/HU_alpha+$K$12,0.5*$S$12/HU_alpha,IF((AE131+$L$12+$N$12)&gt;=$K$12,((AE131+$L$12+$N$12)-$K$12)-0.5*HU_alpha/$S$12*((AE131+$L$12+$N$12)-$K$12)^2,IF((AE131+$L$12+$N$12)&gt;=$T$12,HU_beta*((AE131+$L$12+$N$12)-$K$12),HU_beta*($T$12-$K$12)))))</f>
        <v/>
      </c>
      <c r="BG131" s="29">
        <f>IF(OR(BD131=0,$S$12=0),0,IF((AE131+$K$12)&gt;$S$12/HU_alpha+$K$12,0.5*$S$12/HU_alpha,IF((AE131+$K$12)&gt;=$K$12,((AE131+$K$12)-$K$12)-0.5*HU_alpha/$S$12*((AE131+$K$12)-$K$12)^2,IF((AE131+$K$12)&gt;=$T$12,HU_beta*((AE131+$K$12)-$K$12),HU_beta*($T$12-$K$12)))))</f>
        <v/>
      </c>
      <c r="BH131" s="63">
        <f>IF(AND($J$13,A131=$Q$13),J131,0)</f>
        <v/>
      </c>
      <c r="BI131" s="29">
        <f>IF(OR(BH131=0,$S$13=0),0,IF((AE131+$L$13)&gt;$S$13/HU_alpha+$K$13,0.5*$S$13/HU_alpha,IF((AE131+$L$13)&gt;=$K$13,((AE131+$L$13)-$K$13)-0.5*HU_alpha/$S$13*((AE131+$L$13)-$K$13)^2,IF((AE131+$L$13)&gt;=$T$13,HU_beta*((AE131+$L$13)-$K$13),HU_beta*($T$13-$K$13)))))</f>
        <v/>
      </c>
      <c r="BJ131" s="29">
        <f>IF(OR(BH131=0,$S$13=0),0,IF((AE131+$L$13+$N$13)&gt;$S$13/HU_alpha+$K$13,0.5*$S$13/HU_alpha,IF((AE131+$L$13+$N$13)&gt;=$K$13,((AE131+$L$13+$N$13)-$K$13)-0.5*HU_alpha/$S$13*((AE131+$L$13+$N$13)-$K$13)^2,IF((AE131+$L$13+$N$13)&gt;=$T$13,HU_beta*((AE131+$L$13+$N$13)-$K$13),HU_beta*($T$13-$K$13)))))</f>
        <v/>
      </c>
      <c r="BK131" s="29">
        <f>IF(OR(BH131=0,$S$13=0),0,IF((AE131+$K$13)&gt;$S$13/HU_alpha+$K$13,0.5*$S$13/HU_alpha,IF((AE131+$K$13)&gt;=$K$13,((AE131+$K$13)-$K$13)-0.5*HU_alpha/$S$13*((AE131+$K$13)-$K$13)^2,IF((AE131+$K$13)&gt;=$T$13,HU_beta*((AE131+$K$13)-$K$13),HU_beta*($T$13-$K$13)))))</f>
        <v/>
      </c>
    </row>
    <row r="132">
      <c r="A132" s="61" t="n">
        <v>64</v>
      </c>
      <c r="B132" s="61">
        <f>HU_age+A132</f>
        <v/>
      </c>
      <c r="C132" s="52">
        <f>A132&lt;=HU_T</f>
        <v/>
      </c>
      <c r="D132" s="63">
        <f>IF(OR(A132&lt;1,A132&gt;HU_T),0,INDEX(HU_q_mort,HU_age+A132-17,HU_col))</f>
        <v/>
      </c>
      <c r="E132" s="63">
        <f>IF(OR(A132&lt;1,A132&gt;HU_T),0,INDEX(HU_q_adb,HU_age+A132-17,HU_col))</f>
        <v/>
      </c>
      <c r="F132" s="63">
        <f>IF(OR(A132&lt;1,A132&gt;HU_T),0,INDEX(HU_q_morb,HU_age+A132-17,HU_col))</f>
        <v/>
      </c>
      <c r="G132" s="63">
        <f>IF(OR(A132&lt;1,A132&gt;HU_T),0,INDEX(HU_q_ptd,HU_age+A132-17,HU_col))</f>
        <v/>
      </c>
      <c r="H132" s="63">
        <f>IF(OR(A132&lt;1,A132&gt;HU_T),0,INDEX(HU_q_dis,HU_age+A132-17,HU_col))</f>
        <v/>
      </c>
      <c r="I132" s="63">
        <f>IF(A132&gt;HU_T,0,I131*(1-D132)*(1-E132))</f>
        <v/>
      </c>
      <c r="J132" s="63">
        <f>IF(A132&gt;=HU_T,0,N(I133))</f>
        <v/>
      </c>
      <c r="K132" s="63">
        <f>K131*(1-G132)</f>
        <v/>
      </c>
      <c r="L132" s="63">
        <f>1-K132</f>
        <v/>
      </c>
      <c r="M132" s="63">
        <f>K131*G132</f>
        <v/>
      </c>
      <c r="N132" s="63">
        <f>N131*(1-H132)</f>
        <v/>
      </c>
      <c r="O132" s="63">
        <f>1-N131</f>
        <v/>
      </c>
      <c r="P132" s="63">
        <f>P131*(1-F132)</f>
        <v/>
      </c>
      <c r="Q132" s="63">
        <f>1-P131/INDEX($P$68:$P$150,MAX(1,A132-HU_ciYears))</f>
        <v/>
      </c>
      <c r="R132" s="60">
        <f>(1+inflationRate)^A132</f>
        <v/>
      </c>
      <c r="S132" s="29">
        <f>IF(OR(OR(A132&lt;1,A132&gt;HU_T),A132-1&gt;=HU_dtr),0,HU_inc0*(1+incomeGrowthRate)^A132)</f>
        <v/>
      </c>
      <c r="T132" s="60">
        <f>IF(A132&gt;HU_T,T131,T131*(1+INDEX(HU_ssG,HU_age+A132-17)))</f>
        <v/>
      </c>
      <c r="U132" s="29">
        <f>IF(AND(HU_dtr&gt;=1,A132=HU_dtr,A132&lt;=HU_T),MIN(S132*INDEX(HU_ssC,HU_age+A132-17)/(1-INDEX(HU_ssC,HU_age+A132-17)),INDEX(HU_ssCap,HU_age+A132-17))*T132,0)</f>
        <v/>
      </c>
      <c r="V132" s="29">
        <f>S132+U132+IF(AND(HU_wdOn,A132=HU_wdYear),HU_wdIncome,0)</f>
        <v/>
      </c>
      <c r="W132" s="60">
        <f>HU_ciProp*Q132+HU_tpdCut*L132+HU_disCut*O132</f>
        <v/>
      </c>
      <c r="X132" s="29">
        <f>IF(OR(A132&lt;1,A132&gt;HU_T),0,V132*(1-W132))</f>
        <v/>
      </c>
      <c r="Y132" s="29">
        <f>IF(OR(A132&lt;1,A132&gt;HU_T),0,IF(AND(HU_retExp&gt;0,A132-1&gt;=HU_dtr),HU_retExp,HU_exp0)*R132)</f>
        <v/>
      </c>
      <c r="Z132" s="29">
        <f>-Y132-IF(AND(HU_wdOn,A132=HU_wdYear),HU_wdOut,0)</f>
        <v/>
      </c>
      <c r="AA132" s="29">
        <f>IF(OR(A132&lt;1,A132&gt;HU_T),0,-HU_medCost*R132*F132-HU_tpdCost*R132*M132)</f>
        <v/>
      </c>
      <c r="AB132" s="29">
        <f>IF(A132&gt;HU_T,0,AB131*(1+interestRate)+X132+Z132+AA132)</f>
        <v/>
      </c>
      <c r="AC132" s="29">
        <f>IF(A132&gt;HU_T,0,HU_inv*EXP(HU_mu*A132))</f>
        <v/>
      </c>
      <c r="AD132" s="29">
        <f>IF(A132&gt;HU_T,0,MAX(0,AC132+AB132))</f>
        <v/>
      </c>
      <c r="AE132" s="29">
        <f>IF(A132&gt;HU_T,0,MAX(0,X132-Y132))</f>
        <v/>
      </c>
      <c r="AF132" s="63">
        <f>IF(AND($J$6,A132&gt;=1,A132&lt;=$Q$6-1),J132,0)</f>
        <v/>
      </c>
      <c r="AG132" s="29">
        <f>IF(OR(AF132=0,$S$6=0),0,IF((AD132+$L$6)&gt;$S$6/HU_alpha+$K$6,0.5*$S$6/HU_alpha,IF((AD132+$L$6)&gt;=$K$6,((AD132+$L$6)-$K$6)-0.5*HU_alpha/$S$6*((AD132+$L$6)-$K$6)^2,IF((AD132+$L$6)&gt;=$T$6,HU_beta*((AD132+$L$6)-$K$6),HU_beta*($T$6-$K$6)))))</f>
        <v/>
      </c>
      <c r="AH132" s="29">
        <f>IF(OR(AF132=0,$S$6=0),0,IF((AD132+$L$6+$N$6)&gt;$S$6/HU_alpha+$K$6,0.5*$S$6/HU_alpha,IF((AD132+$L$6+$N$6)&gt;=$K$6,((AD132+$L$6+$N$6)-$K$6)-0.5*HU_alpha/$S$6*((AD132+$L$6+$N$6)-$K$6)^2,IF((AD132+$L$6+$N$6)&gt;=$T$6,HU_beta*((AD132+$L$6+$N$6)-$K$6),HU_beta*($T$6-$K$6)))))</f>
        <v/>
      </c>
      <c r="AI132" s="29">
        <f>IF(OR(AF132=0,$S$6=0),0,IF((AD132+$K$6)&gt;$S$6/HU_alpha+$K$6,0.5*$S$6/HU_alpha,IF((AD132+$K$6)&gt;=$K$6,((AD132+$K$6)-$K$6)-0.5*HU_alpha/$S$6*((AD132+$K$6)-$K$6)^2,IF((AD132+$K$6)&gt;=$T$6,HU_beta*((AD132+$K$6)-$K$6),HU_beta*($T$6-$K$6)))))</f>
        <v/>
      </c>
      <c r="AJ132" s="63">
        <f>IF(AND($J$7,A132&gt;=1,A132&lt;=$Q$7-1),J132,0)</f>
        <v/>
      </c>
      <c r="AK132" s="29">
        <f>IF(OR(AJ132=0,$S$7=0),0,IF((AE132+$L$7)&gt;$S$7/HU_alpha+$K$7,0.5*$S$7/HU_alpha,IF((AE132+$L$7)&gt;=$K$7,((AE132+$L$7)-$K$7)-0.5*HU_alpha/$S$7*((AE132+$L$7)-$K$7)^2,IF((AE132+$L$7)&gt;=$T$7,HU_beta*((AE132+$L$7)-$K$7),HU_beta*($T$7-$K$7)))))</f>
        <v/>
      </c>
      <c r="AL132" s="29">
        <f>IF(OR(AJ132=0,$S$7=0),0,IF((AE132+$L$7+$N$7)&gt;$S$7/HU_alpha+$K$7,0.5*$S$7/HU_alpha,IF((AE132+$L$7+$N$7)&gt;=$K$7,((AE132+$L$7+$N$7)-$K$7)-0.5*HU_alpha/$S$7*((AE132+$L$7+$N$7)-$K$7)^2,IF((AE132+$L$7+$N$7)&gt;=$T$7,HU_beta*((AE132+$L$7+$N$7)-$K$7),HU_beta*($T$7-$K$7)))))</f>
        <v/>
      </c>
      <c r="AM132" s="29">
        <f>IF(OR(AJ132=0,$S$7=0),0,IF((AE132+$K$7)&gt;$S$7/HU_alpha+$K$7,0.5*$S$7/HU_alpha,IF((AE132+$K$7)&gt;=$K$7,((AE132+$K$7)-$K$7)-0.5*HU_alpha/$S$7*((AE132+$K$7)-$K$7)^2,IF((AE132+$K$7)&gt;=$T$7,HU_beta*((AE132+$K$7)-$K$7),HU_beta*($T$7-$K$7)))))</f>
        <v/>
      </c>
      <c r="AN132" s="63">
        <f>IF(AND($J$8,A132&gt;=1,A132&lt;=$Q$8-1),J132,0)</f>
        <v/>
      </c>
      <c r="AO132" s="29">
        <f>IF(OR(AN132=0,$S$8=0),0,IF((AE132+$L$8)&gt;$S$8/HU_alpha+$K$8,0.5*$S$8/HU_alpha,IF((AE132+$L$8)&gt;=$K$8,((AE132+$L$8)-$K$8)-0.5*HU_alpha/$S$8*((AE132+$L$8)-$K$8)^2,IF((AE132+$L$8)&gt;=$T$8,HU_beta*((AE132+$L$8)-$K$8),HU_beta*($T$8-$K$8)))))</f>
        <v/>
      </c>
      <c r="AP132" s="29">
        <f>IF(OR(AN132=0,$S$8=0),0,IF((AE132+$L$8+$N$8)&gt;$S$8/HU_alpha+$K$8,0.5*$S$8/HU_alpha,IF((AE132+$L$8+$N$8)&gt;=$K$8,((AE132+$L$8+$N$8)-$K$8)-0.5*HU_alpha/$S$8*((AE132+$L$8+$N$8)-$K$8)^2,IF((AE132+$L$8+$N$8)&gt;=$T$8,HU_beta*((AE132+$L$8+$N$8)-$K$8),HU_beta*($T$8-$K$8)))))</f>
        <v/>
      </c>
      <c r="AQ132" s="29">
        <f>IF(OR(AN132=0,$S$8=0),0,IF((AE132+$K$8)&gt;$S$8/HU_alpha+$K$8,0.5*$S$8/HU_alpha,IF((AE132+$K$8)&gt;=$K$8,((AE132+$K$8)-$K$8)-0.5*HU_alpha/$S$8*((AE132+$K$8)-$K$8)^2,IF((AE132+$K$8)&gt;=$T$8,HU_beta*((AE132+$K$8)-$K$8),HU_beta*($T$8-$K$8)))))</f>
        <v/>
      </c>
      <c r="AR132" s="63">
        <f>IF(AND($J$9,A132&gt;=1,A132&lt;=$Q$9-1),J132,0)</f>
        <v/>
      </c>
      <c r="AS132" s="29">
        <f>IF(OR(AR132=0,$S$9=0),0,IF((AE132+$L$9)&gt;$S$9/HU_alpha+$K$9,0.5*$S$9/HU_alpha,IF((AE132+$L$9)&gt;=$K$9,((AE132+$L$9)-$K$9)-0.5*HU_alpha/$S$9*((AE132+$L$9)-$K$9)^2,IF((AE132+$L$9)&gt;=$T$9,HU_beta*((AE132+$L$9)-$K$9),HU_beta*($T$9-$K$9)))))</f>
        <v/>
      </c>
      <c r="AT132" s="29">
        <f>IF(OR(AR132=0,$S$9=0),0,IF((AE132+$L$9+$N$9)&gt;$S$9/HU_alpha+$K$9,0.5*$S$9/HU_alpha,IF((AE132+$L$9+$N$9)&gt;=$K$9,((AE132+$L$9+$N$9)-$K$9)-0.5*HU_alpha/$S$9*((AE132+$L$9+$N$9)-$K$9)^2,IF((AE132+$L$9+$N$9)&gt;=$T$9,HU_beta*((AE132+$L$9+$N$9)-$K$9),HU_beta*($T$9-$K$9)))))</f>
        <v/>
      </c>
      <c r="AU132" s="29">
        <f>IF(OR(AR132=0,$S$9=0),0,IF((AE132+$K$9)&gt;$S$9/HU_alpha+$K$9,0.5*$S$9/HU_alpha,IF((AE132+$K$9)&gt;=$K$9,((AE132+$K$9)-$K$9)-0.5*HU_alpha/$S$9*((AE132+$K$9)-$K$9)^2,IF((AE132+$K$9)&gt;=$T$9,HU_beta*((AE132+$K$9)-$K$9),HU_beta*($T$9-$K$9)))))</f>
        <v/>
      </c>
      <c r="AV132" s="63">
        <f>IF(AND($J$10,A132=$Q$10),J132,0)</f>
        <v/>
      </c>
      <c r="AW132" s="29">
        <f>IF(OR(AV132=0,$S$10=0),0,IF((AD132+$L$10)&gt;$S$10/HU_alpha+$K$10,0.5*$S$10/HU_alpha,IF((AD132+$L$10)&gt;=$K$10,((AD132+$L$10)-$K$10)-0.5*HU_alpha/$S$10*((AD132+$L$10)-$K$10)^2,IF((AD132+$L$10)&gt;=$T$10,HU_beta*((AD132+$L$10)-$K$10),HU_beta*($T$10-$K$10)))))</f>
        <v/>
      </c>
      <c r="AX132" s="29">
        <f>IF(OR(AV132=0,$S$10=0),0,IF((AD132+$L$10+$N$10)&gt;$S$10/HU_alpha+$K$10,0.5*$S$10/HU_alpha,IF((AD132+$L$10+$N$10)&gt;=$K$10,((AD132+$L$10+$N$10)-$K$10)-0.5*HU_alpha/$S$10*((AD132+$L$10+$N$10)-$K$10)^2,IF((AD132+$L$10+$N$10)&gt;=$T$10,HU_beta*((AD132+$L$10+$N$10)-$K$10),HU_beta*($T$10-$K$10)))))</f>
        <v/>
      </c>
      <c r="AY132" s="29">
        <f>IF(OR(AV132=0,$S$10=0),0,IF((AD132+$K$10)&gt;$S$10/HU_alpha+$K$10,0.5*$S$10/HU_alpha,IF((AD132+$K$10)&gt;=$K$10,((AD132+$K$10)-$K$10)-0.5*HU_alpha/$S$10*((AD132+$K$10)-$K$10)^2,IF((AD132+$K$10)&gt;=$T$10,HU_beta*((AD132+$K$10)-$K$10),HU_beta*($T$10-$K$10)))))</f>
        <v/>
      </c>
      <c r="AZ132" s="63">
        <f>IF(AND($J$11,A132=$Q$11),J132,0)</f>
        <v/>
      </c>
      <c r="BA132" s="29">
        <f>IF(OR(AZ132=0,$S$11=0),0,IF((AE132+$L$11)&gt;$S$11/HU_alpha+$K$11,0.5*$S$11/HU_alpha,IF((AE132+$L$11)&gt;=$K$11,((AE132+$L$11)-$K$11)-0.5*HU_alpha/$S$11*((AE132+$L$11)-$K$11)^2,IF((AE132+$L$11)&gt;=$T$11,HU_beta*((AE132+$L$11)-$K$11),HU_beta*($T$11-$K$11)))))</f>
        <v/>
      </c>
      <c r="BB132" s="29">
        <f>IF(OR(AZ132=0,$S$11=0),0,IF((AE132+$L$11+$N$11)&gt;$S$11/HU_alpha+$K$11,0.5*$S$11/HU_alpha,IF((AE132+$L$11+$N$11)&gt;=$K$11,((AE132+$L$11+$N$11)-$K$11)-0.5*HU_alpha/$S$11*((AE132+$L$11+$N$11)-$K$11)^2,IF((AE132+$L$11+$N$11)&gt;=$T$11,HU_beta*((AE132+$L$11+$N$11)-$K$11),HU_beta*($T$11-$K$11)))))</f>
        <v/>
      </c>
      <c r="BC132" s="29">
        <f>IF(OR(AZ132=0,$S$11=0),0,IF((AE132+$K$11)&gt;$S$11/HU_alpha+$K$11,0.5*$S$11/HU_alpha,IF((AE132+$K$11)&gt;=$K$11,((AE132+$K$11)-$K$11)-0.5*HU_alpha/$S$11*((AE132+$K$11)-$K$11)^2,IF((AE132+$K$11)&gt;=$T$11,HU_beta*((AE132+$K$11)-$K$11),HU_beta*($T$11-$K$11)))))</f>
        <v/>
      </c>
      <c r="BD132" s="63">
        <f>IF(AND($J$12,A132=$Q$12),J132,0)</f>
        <v/>
      </c>
      <c r="BE132" s="29">
        <f>IF(OR(BD132=0,$S$12=0),0,IF((AE132+$L$12)&gt;$S$12/HU_alpha+$K$12,0.5*$S$12/HU_alpha,IF((AE132+$L$12)&gt;=$K$12,((AE132+$L$12)-$K$12)-0.5*HU_alpha/$S$12*((AE132+$L$12)-$K$12)^2,IF((AE132+$L$12)&gt;=$T$12,HU_beta*((AE132+$L$12)-$K$12),HU_beta*($T$12-$K$12)))))</f>
        <v/>
      </c>
      <c r="BF132" s="29">
        <f>IF(OR(BD132=0,$S$12=0),0,IF((AE132+$L$12+$N$12)&gt;$S$12/HU_alpha+$K$12,0.5*$S$12/HU_alpha,IF((AE132+$L$12+$N$12)&gt;=$K$12,((AE132+$L$12+$N$12)-$K$12)-0.5*HU_alpha/$S$12*((AE132+$L$12+$N$12)-$K$12)^2,IF((AE132+$L$12+$N$12)&gt;=$T$12,HU_beta*((AE132+$L$12+$N$12)-$K$12),HU_beta*($T$12-$K$12)))))</f>
        <v/>
      </c>
      <c r="BG132" s="29">
        <f>IF(OR(BD132=0,$S$12=0),0,IF((AE132+$K$12)&gt;$S$12/HU_alpha+$K$12,0.5*$S$12/HU_alpha,IF((AE132+$K$12)&gt;=$K$12,((AE132+$K$12)-$K$12)-0.5*HU_alpha/$S$12*((AE132+$K$12)-$K$12)^2,IF((AE132+$K$12)&gt;=$T$12,HU_beta*((AE132+$K$12)-$K$12),HU_beta*($T$12-$K$12)))))</f>
        <v/>
      </c>
      <c r="BH132" s="63">
        <f>IF(AND($J$13,A132=$Q$13),J132,0)</f>
        <v/>
      </c>
      <c r="BI132" s="29">
        <f>IF(OR(BH132=0,$S$13=0),0,IF((AE132+$L$13)&gt;$S$13/HU_alpha+$K$13,0.5*$S$13/HU_alpha,IF((AE132+$L$13)&gt;=$K$13,((AE132+$L$13)-$K$13)-0.5*HU_alpha/$S$13*((AE132+$L$13)-$K$13)^2,IF((AE132+$L$13)&gt;=$T$13,HU_beta*((AE132+$L$13)-$K$13),HU_beta*($T$13-$K$13)))))</f>
        <v/>
      </c>
      <c r="BJ132" s="29">
        <f>IF(OR(BH132=0,$S$13=0),0,IF((AE132+$L$13+$N$13)&gt;$S$13/HU_alpha+$K$13,0.5*$S$13/HU_alpha,IF((AE132+$L$13+$N$13)&gt;=$K$13,((AE132+$L$13+$N$13)-$K$13)-0.5*HU_alpha/$S$13*((AE132+$L$13+$N$13)-$K$13)^2,IF((AE132+$L$13+$N$13)&gt;=$T$13,HU_beta*((AE132+$L$13+$N$13)-$K$13),HU_beta*($T$13-$K$13)))))</f>
        <v/>
      </c>
      <c r="BK132" s="29">
        <f>IF(OR(BH132=0,$S$13=0),0,IF((AE132+$K$13)&gt;$S$13/HU_alpha+$K$13,0.5*$S$13/HU_alpha,IF((AE132+$K$13)&gt;=$K$13,((AE132+$K$13)-$K$13)-0.5*HU_alpha/$S$13*((AE132+$K$13)-$K$13)^2,IF((AE132+$K$13)&gt;=$T$13,HU_beta*((AE132+$K$13)-$K$13),HU_beta*($T$13-$K$13)))))</f>
        <v/>
      </c>
    </row>
    <row r="133">
      <c r="A133" s="61" t="n">
        <v>65</v>
      </c>
      <c r="B133" s="61">
        <f>HU_age+A133</f>
        <v/>
      </c>
      <c r="C133" s="52">
        <f>A133&lt;=HU_T</f>
        <v/>
      </c>
      <c r="D133" s="63">
        <f>IF(OR(A133&lt;1,A133&gt;HU_T),0,INDEX(HU_q_mort,HU_age+A133-17,HU_col))</f>
        <v/>
      </c>
      <c r="E133" s="63">
        <f>IF(OR(A133&lt;1,A133&gt;HU_T),0,INDEX(HU_q_adb,HU_age+A133-17,HU_col))</f>
        <v/>
      </c>
      <c r="F133" s="63">
        <f>IF(OR(A133&lt;1,A133&gt;HU_T),0,INDEX(HU_q_morb,HU_age+A133-17,HU_col))</f>
        <v/>
      </c>
      <c r="G133" s="63">
        <f>IF(OR(A133&lt;1,A133&gt;HU_T),0,INDEX(HU_q_ptd,HU_age+A133-17,HU_col))</f>
        <v/>
      </c>
      <c r="H133" s="63">
        <f>IF(OR(A133&lt;1,A133&gt;HU_T),0,INDEX(HU_q_dis,HU_age+A133-17,HU_col))</f>
        <v/>
      </c>
      <c r="I133" s="63">
        <f>IF(A133&gt;HU_T,0,I132*(1-D133)*(1-E133))</f>
        <v/>
      </c>
      <c r="J133" s="63">
        <f>IF(A133&gt;=HU_T,0,N(I134))</f>
        <v/>
      </c>
      <c r="K133" s="63">
        <f>K132*(1-G133)</f>
        <v/>
      </c>
      <c r="L133" s="63">
        <f>1-K133</f>
        <v/>
      </c>
      <c r="M133" s="63">
        <f>K132*G133</f>
        <v/>
      </c>
      <c r="N133" s="63">
        <f>N132*(1-H133)</f>
        <v/>
      </c>
      <c r="O133" s="63">
        <f>1-N132</f>
        <v/>
      </c>
      <c r="P133" s="63">
        <f>P132*(1-F133)</f>
        <v/>
      </c>
      <c r="Q133" s="63">
        <f>1-P132/INDEX($P$68:$P$150,MAX(1,A133-HU_ciYears))</f>
        <v/>
      </c>
      <c r="R133" s="60">
        <f>(1+inflationRate)^A133</f>
        <v/>
      </c>
      <c r="S133" s="29">
        <f>IF(OR(OR(A133&lt;1,A133&gt;HU_T),A133-1&gt;=HU_dtr),0,HU_inc0*(1+incomeGrowthRate)^A133)</f>
        <v/>
      </c>
      <c r="T133" s="60">
        <f>IF(A133&gt;HU_T,T132,T132*(1+INDEX(HU_ssG,HU_age+A133-17)))</f>
        <v/>
      </c>
      <c r="U133" s="29">
        <f>IF(AND(HU_dtr&gt;=1,A133=HU_dtr,A133&lt;=HU_T),MIN(S133*INDEX(HU_ssC,HU_age+A133-17)/(1-INDEX(HU_ssC,HU_age+A133-17)),INDEX(HU_ssCap,HU_age+A133-17))*T133,0)</f>
        <v/>
      </c>
      <c r="V133" s="29">
        <f>S133+U133+IF(AND(HU_wdOn,A133=HU_wdYear),HU_wdIncome,0)</f>
        <v/>
      </c>
      <c r="W133" s="60">
        <f>HU_ciProp*Q133+HU_tpdCut*L133+HU_disCut*O133</f>
        <v/>
      </c>
      <c r="X133" s="29">
        <f>IF(OR(A133&lt;1,A133&gt;HU_T),0,V133*(1-W133))</f>
        <v/>
      </c>
      <c r="Y133" s="29">
        <f>IF(OR(A133&lt;1,A133&gt;HU_T),0,IF(AND(HU_retExp&gt;0,A133-1&gt;=HU_dtr),HU_retExp,HU_exp0)*R133)</f>
        <v/>
      </c>
      <c r="Z133" s="29">
        <f>-Y133-IF(AND(HU_wdOn,A133=HU_wdYear),HU_wdOut,0)</f>
        <v/>
      </c>
      <c r="AA133" s="29">
        <f>IF(OR(A133&lt;1,A133&gt;HU_T),0,-HU_medCost*R133*F133-HU_tpdCost*R133*M133)</f>
        <v/>
      </c>
      <c r="AB133" s="29">
        <f>IF(A133&gt;HU_T,0,AB132*(1+interestRate)+X133+Z133+AA133)</f>
        <v/>
      </c>
      <c r="AC133" s="29">
        <f>IF(A133&gt;HU_T,0,HU_inv*EXP(HU_mu*A133))</f>
        <v/>
      </c>
      <c r="AD133" s="29">
        <f>IF(A133&gt;HU_T,0,MAX(0,AC133+AB133))</f>
        <v/>
      </c>
      <c r="AE133" s="29">
        <f>IF(A133&gt;HU_T,0,MAX(0,X133-Y133))</f>
        <v/>
      </c>
      <c r="AF133" s="63">
        <f>IF(AND($J$6,A133&gt;=1,A133&lt;=$Q$6-1),J133,0)</f>
        <v/>
      </c>
      <c r="AG133" s="29">
        <f>IF(OR(AF133=0,$S$6=0),0,IF((AD133+$L$6)&gt;$S$6/HU_alpha+$K$6,0.5*$S$6/HU_alpha,IF((AD133+$L$6)&gt;=$K$6,((AD133+$L$6)-$K$6)-0.5*HU_alpha/$S$6*((AD133+$L$6)-$K$6)^2,IF((AD133+$L$6)&gt;=$T$6,HU_beta*((AD133+$L$6)-$K$6),HU_beta*($T$6-$K$6)))))</f>
        <v/>
      </c>
      <c r="AH133" s="29">
        <f>IF(OR(AF133=0,$S$6=0),0,IF((AD133+$L$6+$N$6)&gt;$S$6/HU_alpha+$K$6,0.5*$S$6/HU_alpha,IF((AD133+$L$6+$N$6)&gt;=$K$6,((AD133+$L$6+$N$6)-$K$6)-0.5*HU_alpha/$S$6*((AD133+$L$6+$N$6)-$K$6)^2,IF((AD133+$L$6+$N$6)&gt;=$T$6,HU_beta*((AD133+$L$6+$N$6)-$K$6),HU_beta*($T$6-$K$6)))))</f>
        <v/>
      </c>
      <c r="AI133" s="29">
        <f>IF(OR(AF133=0,$S$6=0),0,IF((AD133+$K$6)&gt;$S$6/HU_alpha+$K$6,0.5*$S$6/HU_alpha,IF((AD133+$K$6)&gt;=$K$6,((AD133+$K$6)-$K$6)-0.5*HU_alpha/$S$6*((AD133+$K$6)-$K$6)^2,IF((AD133+$K$6)&gt;=$T$6,HU_beta*((AD133+$K$6)-$K$6),HU_beta*($T$6-$K$6)))))</f>
        <v/>
      </c>
      <c r="AJ133" s="63">
        <f>IF(AND($J$7,A133&gt;=1,A133&lt;=$Q$7-1),J133,0)</f>
        <v/>
      </c>
      <c r="AK133" s="29">
        <f>IF(OR(AJ133=0,$S$7=0),0,IF((AE133+$L$7)&gt;$S$7/HU_alpha+$K$7,0.5*$S$7/HU_alpha,IF((AE133+$L$7)&gt;=$K$7,((AE133+$L$7)-$K$7)-0.5*HU_alpha/$S$7*((AE133+$L$7)-$K$7)^2,IF((AE133+$L$7)&gt;=$T$7,HU_beta*((AE133+$L$7)-$K$7),HU_beta*($T$7-$K$7)))))</f>
        <v/>
      </c>
      <c r="AL133" s="29">
        <f>IF(OR(AJ133=0,$S$7=0),0,IF((AE133+$L$7+$N$7)&gt;$S$7/HU_alpha+$K$7,0.5*$S$7/HU_alpha,IF((AE133+$L$7+$N$7)&gt;=$K$7,((AE133+$L$7+$N$7)-$K$7)-0.5*HU_alpha/$S$7*((AE133+$L$7+$N$7)-$K$7)^2,IF((AE133+$L$7+$N$7)&gt;=$T$7,HU_beta*((AE133+$L$7+$N$7)-$K$7),HU_beta*($T$7-$K$7)))))</f>
        <v/>
      </c>
      <c r="AM133" s="29">
        <f>IF(OR(AJ133=0,$S$7=0),0,IF((AE133+$K$7)&gt;$S$7/HU_alpha+$K$7,0.5*$S$7/HU_alpha,IF((AE133+$K$7)&gt;=$K$7,((AE133+$K$7)-$K$7)-0.5*HU_alpha/$S$7*((AE133+$K$7)-$K$7)^2,IF((AE133+$K$7)&gt;=$T$7,HU_beta*((AE133+$K$7)-$K$7),HU_beta*($T$7-$K$7)))))</f>
        <v/>
      </c>
      <c r="AN133" s="63">
        <f>IF(AND($J$8,A133&gt;=1,A133&lt;=$Q$8-1),J133,0)</f>
        <v/>
      </c>
      <c r="AO133" s="29">
        <f>IF(OR(AN133=0,$S$8=0),0,IF((AE133+$L$8)&gt;$S$8/HU_alpha+$K$8,0.5*$S$8/HU_alpha,IF((AE133+$L$8)&gt;=$K$8,((AE133+$L$8)-$K$8)-0.5*HU_alpha/$S$8*((AE133+$L$8)-$K$8)^2,IF((AE133+$L$8)&gt;=$T$8,HU_beta*((AE133+$L$8)-$K$8),HU_beta*($T$8-$K$8)))))</f>
        <v/>
      </c>
      <c r="AP133" s="29">
        <f>IF(OR(AN133=0,$S$8=0),0,IF((AE133+$L$8+$N$8)&gt;$S$8/HU_alpha+$K$8,0.5*$S$8/HU_alpha,IF((AE133+$L$8+$N$8)&gt;=$K$8,((AE133+$L$8+$N$8)-$K$8)-0.5*HU_alpha/$S$8*((AE133+$L$8+$N$8)-$K$8)^2,IF((AE133+$L$8+$N$8)&gt;=$T$8,HU_beta*((AE133+$L$8+$N$8)-$K$8),HU_beta*($T$8-$K$8)))))</f>
        <v/>
      </c>
      <c r="AQ133" s="29">
        <f>IF(OR(AN133=0,$S$8=0),0,IF((AE133+$K$8)&gt;$S$8/HU_alpha+$K$8,0.5*$S$8/HU_alpha,IF((AE133+$K$8)&gt;=$K$8,((AE133+$K$8)-$K$8)-0.5*HU_alpha/$S$8*((AE133+$K$8)-$K$8)^2,IF((AE133+$K$8)&gt;=$T$8,HU_beta*((AE133+$K$8)-$K$8),HU_beta*($T$8-$K$8)))))</f>
        <v/>
      </c>
      <c r="AR133" s="63">
        <f>IF(AND($J$9,A133&gt;=1,A133&lt;=$Q$9-1),J133,0)</f>
        <v/>
      </c>
      <c r="AS133" s="29">
        <f>IF(OR(AR133=0,$S$9=0),0,IF((AE133+$L$9)&gt;$S$9/HU_alpha+$K$9,0.5*$S$9/HU_alpha,IF((AE133+$L$9)&gt;=$K$9,((AE133+$L$9)-$K$9)-0.5*HU_alpha/$S$9*((AE133+$L$9)-$K$9)^2,IF((AE133+$L$9)&gt;=$T$9,HU_beta*((AE133+$L$9)-$K$9),HU_beta*($T$9-$K$9)))))</f>
        <v/>
      </c>
      <c r="AT133" s="29">
        <f>IF(OR(AR133=0,$S$9=0),0,IF((AE133+$L$9+$N$9)&gt;$S$9/HU_alpha+$K$9,0.5*$S$9/HU_alpha,IF((AE133+$L$9+$N$9)&gt;=$K$9,((AE133+$L$9+$N$9)-$K$9)-0.5*HU_alpha/$S$9*((AE133+$L$9+$N$9)-$K$9)^2,IF((AE133+$L$9+$N$9)&gt;=$T$9,HU_beta*((AE133+$L$9+$N$9)-$K$9),HU_beta*($T$9-$K$9)))))</f>
        <v/>
      </c>
      <c r="AU133" s="29">
        <f>IF(OR(AR133=0,$S$9=0),0,IF((AE133+$K$9)&gt;$S$9/HU_alpha+$K$9,0.5*$S$9/HU_alpha,IF((AE133+$K$9)&gt;=$K$9,((AE133+$K$9)-$K$9)-0.5*HU_alpha/$S$9*((AE133+$K$9)-$K$9)^2,IF((AE133+$K$9)&gt;=$T$9,HU_beta*((AE133+$K$9)-$K$9),HU_beta*($T$9-$K$9)))))</f>
        <v/>
      </c>
      <c r="AV133" s="63">
        <f>IF(AND($J$10,A133=$Q$10),J133,0)</f>
        <v/>
      </c>
      <c r="AW133" s="29">
        <f>IF(OR(AV133=0,$S$10=0),0,IF((AD133+$L$10)&gt;$S$10/HU_alpha+$K$10,0.5*$S$10/HU_alpha,IF((AD133+$L$10)&gt;=$K$10,((AD133+$L$10)-$K$10)-0.5*HU_alpha/$S$10*((AD133+$L$10)-$K$10)^2,IF((AD133+$L$10)&gt;=$T$10,HU_beta*((AD133+$L$10)-$K$10),HU_beta*($T$10-$K$10)))))</f>
        <v/>
      </c>
      <c r="AX133" s="29">
        <f>IF(OR(AV133=0,$S$10=0),0,IF((AD133+$L$10+$N$10)&gt;$S$10/HU_alpha+$K$10,0.5*$S$10/HU_alpha,IF((AD133+$L$10+$N$10)&gt;=$K$10,((AD133+$L$10+$N$10)-$K$10)-0.5*HU_alpha/$S$10*((AD133+$L$10+$N$10)-$K$10)^2,IF((AD133+$L$10+$N$10)&gt;=$T$10,HU_beta*((AD133+$L$10+$N$10)-$K$10),HU_beta*($T$10-$K$10)))))</f>
        <v/>
      </c>
      <c r="AY133" s="29">
        <f>IF(OR(AV133=0,$S$10=0),0,IF((AD133+$K$10)&gt;$S$10/HU_alpha+$K$10,0.5*$S$10/HU_alpha,IF((AD133+$K$10)&gt;=$K$10,((AD133+$K$10)-$K$10)-0.5*HU_alpha/$S$10*((AD133+$K$10)-$K$10)^2,IF((AD133+$K$10)&gt;=$T$10,HU_beta*((AD133+$K$10)-$K$10),HU_beta*($T$10-$K$10)))))</f>
        <v/>
      </c>
      <c r="AZ133" s="63">
        <f>IF(AND($J$11,A133=$Q$11),J133,0)</f>
        <v/>
      </c>
      <c r="BA133" s="29">
        <f>IF(OR(AZ133=0,$S$11=0),0,IF((AE133+$L$11)&gt;$S$11/HU_alpha+$K$11,0.5*$S$11/HU_alpha,IF((AE133+$L$11)&gt;=$K$11,((AE133+$L$11)-$K$11)-0.5*HU_alpha/$S$11*((AE133+$L$11)-$K$11)^2,IF((AE133+$L$11)&gt;=$T$11,HU_beta*((AE133+$L$11)-$K$11),HU_beta*($T$11-$K$11)))))</f>
        <v/>
      </c>
      <c r="BB133" s="29">
        <f>IF(OR(AZ133=0,$S$11=0),0,IF((AE133+$L$11+$N$11)&gt;$S$11/HU_alpha+$K$11,0.5*$S$11/HU_alpha,IF((AE133+$L$11+$N$11)&gt;=$K$11,((AE133+$L$11+$N$11)-$K$11)-0.5*HU_alpha/$S$11*((AE133+$L$11+$N$11)-$K$11)^2,IF((AE133+$L$11+$N$11)&gt;=$T$11,HU_beta*((AE133+$L$11+$N$11)-$K$11),HU_beta*($T$11-$K$11)))))</f>
        <v/>
      </c>
      <c r="BC133" s="29">
        <f>IF(OR(AZ133=0,$S$11=0),0,IF((AE133+$K$11)&gt;$S$11/HU_alpha+$K$11,0.5*$S$11/HU_alpha,IF((AE133+$K$11)&gt;=$K$11,((AE133+$K$11)-$K$11)-0.5*HU_alpha/$S$11*((AE133+$K$11)-$K$11)^2,IF((AE133+$K$11)&gt;=$T$11,HU_beta*((AE133+$K$11)-$K$11),HU_beta*($T$11-$K$11)))))</f>
        <v/>
      </c>
      <c r="BD133" s="63">
        <f>IF(AND($J$12,A133=$Q$12),J133,0)</f>
        <v/>
      </c>
      <c r="BE133" s="29">
        <f>IF(OR(BD133=0,$S$12=0),0,IF((AE133+$L$12)&gt;$S$12/HU_alpha+$K$12,0.5*$S$12/HU_alpha,IF((AE133+$L$12)&gt;=$K$12,((AE133+$L$12)-$K$12)-0.5*HU_alpha/$S$12*((AE133+$L$12)-$K$12)^2,IF((AE133+$L$12)&gt;=$T$12,HU_beta*((AE133+$L$12)-$K$12),HU_beta*($T$12-$K$12)))))</f>
        <v/>
      </c>
      <c r="BF133" s="29">
        <f>IF(OR(BD133=0,$S$12=0),0,IF((AE133+$L$12+$N$12)&gt;$S$12/HU_alpha+$K$12,0.5*$S$12/HU_alpha,IF((AE133+$L$12+$N$12)&gt;=$K$12,((AE133+$L$12+$N$12)-$K$12)-0.5*HU_alpha/$S$12*((AE133+$L$12+$N$12)-$K$12)^2,IF((AE133+$L$12+$N$12)&gt;=$T$12,HU_beta*((AE133+$L$12+$N$12)-$K$12),HU_beta*($T$12-$K$12)))))</f>
        <v/>
      </c>
      <c r="BG133" s="29">
        <f>IF(OR(BD133=0,$S$12=0),0,IF((AE133+$K$12)&gt;$S$12/HU_alpha+$K$12,0.5*$S$12/HU_alpha,IF((AE133+$K$12)&gt;=$K$12,((AE133+$K$12)-$K$12)-0.5*HU_alpha/$S$12*((AE133+$K$12)-$K$12)^2,IF((AE133+$K$12)&gt;=$T$12,HU_beta*((AE133+$K$12)-$K$12),HU_beta*($T$12-$K$12)))))</f>
        <v/>
      </c>
      <c r="BH133" s="63">
        <f>IF(AND($J$13,A133=$Q$13),J133,0)</f>
        <v/>
      </c>
      <c r="BI133" s="29">
        <f>IF(OR(BH133=0,$S$13=0),0,IF((AE133+$L$13)&gt;$S$13/HU_alpha+$K$13,0.5*$S$13/HU_alpha,IF((AE133+$L$13)&gt;=$K$13,((AE133+$L$13)-$K$13)-0.5*HU_alpha/$S$13*((AE133+$L$13)-$K$13)^2,IF((AE133+$L$13)&gt;=$T$13,HU_beta*((AE133+$L$13)-$K$13),HU_beta*($T$13-$K$13)))))</f>
        <v/>
      </c>
      <c r="BJ133" s="29">
        <f>IF(OR(BH133=0,$S$13=0),0,IF((AE133+$L$13+$N$13)&gt;$S$13/HU_alpha+$K$13,0.5*$S$13/HU_alpha,IF((AE133+$L$13+$N$13)&gt;=$K$13,((AE133+$L$13+$N$13)-$K$13)-0.5*HU_alpha/$S$13*((AE133+$L$13+$N$13)-$K$13)^2,IF((AE133+$L$13+$N$13)&gt;=$T$13,HU_beta*((AE133+$L$13+$N$13)-$K$13),HU_beta*($T$13-$K$13)))))</f>
        <v/>
      </c>
      <c r="BK133" s="29">
        <f>IF(OR(BH133=0,$S$13=0),0,IF((AE133+$K$13)&gt;$S$13/HU_alpha+$K$13,0.5*$S$13/HU_alpha,IF((AE133+$K$13)&gt;=$K$13,((AE133+$K$13)-$K$13)-0.5*HU_alpha/$S$13*((AE133+$K$13)-$K$13)^2,IF((AE133+$K$13)&gt;=$T$13,HU_beta*((AE133+$K$13)-$K$13),HU_beta*($T$13-$K$13)))))</f>
        <v/>
      </c>
    </row>
    <row r="134">
      <c r="A134" s="61" t="n">
        <v>66</v>
      </c>
      <c r="B134" s="61">
        <f>HU_age+A134</f>
        <v/>
      </c>
      <c r="C134" s="52">
        <f>A134&lt;=HU_T</f>
        <v/>
      </c>
      <c r="D134" s="63">
        <f>IF(OR(A134&lt;1,A134&gt;HU_T),0,INDEX(HU_q_mort,HU_age+A134-17,HU_col))</f>
        <v/>
      </c>
      <c r="E134" s="63">
        <f>IF(OR(A134&lt;1,A134&gt;HU_T),0,INDEX(HU_q_adb,HU_age+A134-17,HU_col))</f>
        <v/>
      </c>
      <c r="F134" s="63">
        <f>IF(OR(A134&lt;1,A134&gt;HU_T),0,INDEX(HU_q_morb,HU_age+A134-17,HU_col))</f>
        <v/>
      </c>
      <c r="G134" s="63">
        <f>IF(OR(A134&lt;1,A134&gt;HU_T),0,INDEX(HU_q_ptd,HU_age+A134-17,HU_col))</f>
        <v/>
      </c>
      <c r="H134" s="63">
        <f>IF(OR(A134&lt;1,A134&gt;HU_T),0,INDEX(HU_q_dis,HU_age+A134-17,HU_col))</f>
        <v/>
      </c>
      <c r="I134" s="63">
        <f>IF(A134&gt;HU_T,0,I133*(1-D134)*(1-E134))</f>
        <v/>
      </c>
      <c r="J134" s="63">
        <f>IF(A134&gt;=HU_T,0,N(I135))</f>
        <v/>
      </c>
      <c r="K134" s="63">
        <f>K133*(1-G134)</f>
        <v/>
      </c>
      <c r="L134" s="63">
        <f>1-K134</f>
        <v/>
      </c>
      <c r="M134" s="63">
        <f>K133*G134</f>
        <v/>
      </c>
      <c r="N134" s="63">
        <f>N133*(1-H134)</f>
        <v/>
      </c>
      <c r="O134" s="63">
        <f>1-N133</f>
        <v/>
      </c>
      <c r="P134" s="63">
        <f>P133*(1-F134)</f>
        <v/>
      </c>
      <c r="Q134" s="63">
        <f>1-P133/INDEX($P$68:$P$150,MAX(1,A134-HU_ciYears))</f>
        <v/>
      </c>
      <c r="R134" s="60">
        <f>(1+inflationRate)^A134</f>
        <v/>
      </c>
      <c r="S134" s="29">
        <f>IF(OR(OR(A134&lt;1,A134&gt;HU_T),A134-1&gt;=HU_dtr),0,HU_inc0*(1+incomeGrowthRate)^A134)</f>
        <v/>
      </c>
      <c r="T134" s="60">
        <f>IF(A134&gt;HU_T,T133,T133*(1+INDEX(HU_ssG,HU_age+A134-17)))</f>
        <v/>
      </c>
      <c r="U134" s="29">
        <f>IF(AND(HU_dtr&gt;=1,A134=HU_dtr,A134&lt;=HU_T),MIN(S134*INDEX(HU_ssC,HU_age+A134-17)/(1-INDEX(HU_ssC,HU_age+A134-17)),INDEX(HU_ssCap,HU_age+A134-17))*T134,0)</f>
        <v/>
      </c>
      <c r="V134" s="29">
        <f>S134+U134+IF(AND(HU_wdOn,A134=HU_wdYear),HU_wdIncome,0)</f>
        <v/>
      </c>
      <c r="W134" s="60">
        <f>HU_ciProp*Q134+HU_tpdCut*L134+HU_disCut*O134</f>
        <v/>
      </c>
      <c r="X134" s="29">
        <f>IF(OR(A134&lt;1,A134&gt;HU_T),0,V134*(1-W134))</f>
        <v/>
      </c>
      <c r="Y134" s="29">
        <f>IF(OR(A134&lt;1,A134&gt;HU_T),0,IF(AND(HU_retExp&gt;0,A134-1&gt;=HU_dtr),HU_retExp,HU_exp0)*R134)</f>
        <v/>
      </c>
      <c r="Z134" s="29">
        <f>-Y134-IF(AND(HU_wdOn,A134=HU_wdYear),HU_wdOut,0)</f>
        <v/>
      </c>
      <c r="AA134" s="29">
        <f>IF(OR(A134&lt;1,A134&gt;HU_T),0,-HU_medCost*R134*F134-HU_tpdCost*R134*M134)</f>
        <v/>
      </c>
      <c r="AB134" s="29">
        <f>IF(A134&gt;HU_T,0,AB133*(1+interestRate)+X134+Z134+AA134)</f>
        <v/>
      </c>
      <c r="AC134" s="29">
        <f>IF(A134&gt;HU_T,0,HU_inv*EXP(HU_mu*A134))</f>
        <v/>
      </c>
      <c r="AD134" s="29">
        <f>IF(A134&gt;HU_T,0,MAX(0,AC134+AB134))</f>
        <v/>
      </c>
      <c r="AE134" s="29">
        <f>IF(A134&gt;HU_T,0,MAX(0,X134-Y134))</f>
        <v/>
      </c>
      <c r="AF134" s="63">
        <f>IF(AND($J$6,A134&gt;=1,A134&lt;=$Q$6-1),J134,0)</f>
        <v/>
      </c>
      <c r="AG134" s="29">
        <f>IF(OR(AF134=0,$S$6=0),0,IF((AD134+$L$6)&gt;$S$6/HU_alpha+$K$6,0.5*$S$6/HU_alpha,IF((AD134+$L$6)&gt;=$K$6,((AD134+$L$6)-$K$6)-0.5*HU_alpha/$S$6*((AD134+$L$6)-$K$6)^2,IF((AD134+$L$6)&gt;=$T$6,HU_beta*((AD134+$L$6)-$K$6),HU_beta*($T$6-$K$6)))))</f>
        <v/>
      </c>
      <c r="AH134" s="29">
        <f>IF(OR(AF134=0,$S$6=0),0,IF((AD134+$L$6+$N$6)&gt;$S$6/HU_alpha+$K$6,0.5*$S$6/HU_alpha,IF((AD134+$L$6+$N$6)&gt;=$K$6,((AD134+$L$6+$N$6)-$K$6)-0.5*HU_alpha/$S$6*((AD134+$L$6+$N$6)-$K$6)^2,IF((AD134+$L$6+$N$6)&gt;=$T$6,HU_beta*((AD134+$L$6+$N$6)-$K$6),HU_beta*($T$6-$K$6)))))</f>
        <v/>
      </c>
      <c r="AI134" s="29">
        <f>IF(OR(AF134=0,$S$6=0),0,IF((AD134+$K$6)&gt;$S$6/HU_alpha+$K$6,0.5*$S$6/HU_alpha,IF((AD134+$K$6)&gt;=$K$6,((AD134+$K$6)-$K$6)-0.5*HU_alpha/$S$6*((AD134+$K$6)-$K$6)^2,IF((AD134+$K$6)&gt;=$T$6,HU_beta*((AD134+$K$6)-$K$6),HU_beta*($T$6-$K$6)))))</f>
        <v/>
      </c>
      <c r="AJ134" s="63">
        <f>IF(AND($J$7,A134&gt;=1,A134&lt;=$Q$7-1),J134,0)</f>
        <v/>
      </c>
      <c r="AK134" s="29">
        <f>IF(OR(AJ134=0,$S$7=0),0,IF((AE134+$L$7)&gt;$S$7/HU_alpha+$K$7,0.5*$S$7/HU_alpha,IF((AE134+$L$7)&gt;=$K$7,((AE134+$L$7)-$K$7)-0.5*HU_alpha/$S$7*((AE134+$L$7)-$K$7)^2,IF((AE134+$L$7)&gt;=$T$7,HU_beta*((AE134+$L$7)-$K$7),HU_beta*($T$7-$K$7)))))</f>
        <v/>
      </c>
      <c r="AL134" s="29">
        <f>IF(OR(AJ134=0,$S$7=0),0,IF((AE134+$L$7+$N$7)&gt;$S$7/HU_alpha+$K$7,0.5*$S$7/HU_alpha,IF((AE134+$L$7+$N$7)&gt;=$K$7,((AE134+$L$7+$N$7)-$K$7)-0.5*HU_alpha/$S$7*((AE134+$L$7+$N$7)-$K$7)^2,IF((AE134+$L$7+$N$7)&gt;=$T$7,HU_beta*((AE134+$L$7+$N$7)-$K$7),HU_beta*($T$7-$K$7)))))</f>
        <v/>
      </c>
      <c r="AM134" s="29">
        <f>IF(OR(AJ134=0,$S$7=0),0,IF((AE134+$K$7)&gt;$S$7/HU_alpha+$K$7,0.5*$S$7/HU_alpha,IF((AE134+$K$7)&gt;=$K$7,((AE134+$K$7)-$K$7)-0.5*HU_alpha/$S$7*((AE134+$K$7)-$K$7)^2,IF((AE134+$K$7)&gt;=$T$7,HU_beta*((AE134+$K$7)-$K$7),HU_beta*($T$7-$K$7)))))</f>
        <v/>
      </c>
      <c r="AN134" s="63">
        <f>IF(AND($J$8,A134&gt;=1,A134&lt;=$Q$8-1),J134,0)</f>
        <v/>
      </c>
      <c r="AO134" s="29">
        <f>IF(OR(AN134=0,$S$8=0),0,IF((AE134+$L$8)&gt;$S$8/HU_alpha+$K$8,0.5*$S$8/HU_alpha,IF((AE134+$L$8)&gt;=$K$8,((AE134+$L$8)-$K$8)-0.5*HU_alpha/$S$8*((AE134+$L$8)-$K$8)^2,IF((AE134+$L$8)&gt;=$T$8,HU_beta*((AE134+$L$8)-$K$8),HU_beta*($T$8-$K$8)))))</f>
        <v/>
      </c>
      <c r="AP134" s="29">
        <f>IF(OR(AN134=0,$S$8=0),0,IF((AE134+$L$8+$N$8)&gt;$S$8/HU_alpha+$K$8,0.5*$S$8/HU_alpha,IF((AE134+$L$8+$N$8)&gt;=$K$8,((AE134+$L$8+$N$8)-$K$8)-0.5*HU_alpha/$S$8*((AE134+$L$8+$N$8)-$K$8)^2,IF((AE134+$L$8+$N$8)&gt;=$T$8,HU_beta*((AE134+$L$8+$N$8)-$K$8),HU_beta*($T$8-$K$8)))))</f>
        <v/>
      </c>
      <c r="AQ134" s="29">
        <f>IF(OR(AN134=0,$S$8=0),0,IF((AE134+$K$8)&gt;$S$8/HU_alpha+$K$8,0.5*$S$8/HU_alpha,IF((AE134+$K$8)&gt;=$K$8,((AE134+$K$8)-$K$8)-0.5*HU_alpha/$S$8*((AE134+$K$8)-$K$8)^2,IF((AE134+$K$8)&gt;=$T$8,HU_beta*((AE134+$K$8)-$K$8),HU_beta*($T$8-$K$8)))))</f>
        <v/>
      </c>
      <c r="AR134" s="63">
        <f>IF(AND($J$9,A134&gt;=1,A134&lt;=$Q$9-1),J134,0)</f>
        <v/>
      </c>
      <c r="AS134" s="29">
        <f>IF(OR(AR134=0,$S$9=0),0,IF((AE134+$L$9)&gt;$S$9/HU_alpha+$K$9,0.5*$S$9/HU_alpha,IF((AE134+$L$9)&gt;=$K$9,((AE134+$L$9)-$K$9)-0.5*HU_alpha/$S$9*((AE134+$L$9)-$K$9)^2,IF((AE134+$L$9)&gt;=$T$9,HU_beta*((AE134+$L$9)-$K$9),HU_beta*($T$9-$K$9)))))</f>
        <v/>
      </c>
      <c r="AT134" s="29">
        <f>IF(OR(AR134=0,$S$9=0),0,IF((AE134+$L$9+$N$9)&gt;$S$9/HU_alpha+$K$9,0.5*$S$9/HU_alpha,IF((AE134+$L$9+$N$9)&gt;=$K$9,((AE134+$L$9+$N$9)-$K$9)-0.5*HU_alpha/$S$9*((AE134+$L$9+$N$9)-$K$9)^2,IF((AE134+$L$9+$N$9)&gt;=$T$9,HU_beta*((AE134+$L$9+$N$9)-$K$9),HU_beta*($T$9-$K$9)))))</f>
        <v/>
      </c>
      <c r="AU134" s="29">
        <f>IF(OR(AR134=0,$S$9=0),0,IF((AE134+$K$9)&gt;$S$9/HU_alpha+$K$9,0.5*$S$9/HU_alpha,IF((AE134+$K$9)&gt;=$K$9,((AE134+$K$9)-$K$9)-0.5*HU_alpha/$S$9*((AE134+$K$9)-$K$9)^2,IF((AE134+$K$9)&gt;=$T$9,HU_beta*((AE134+$K$9)-$K$9),HU_beta*($T$9-$K$9)))))</f>
        <v/>
      </c>
      <c r="AV134" s="63">
        <f>IF(AND($J$10,A134=$Q$10),J134,0)</f>
        <v/>
      </c>
      <c r="AW134" s="29">
        <f>IF(OR(AV134=0,$S$10=0),0,IF((AD134+$L$10)&gt;$S$10/HU_alpha+$K$10,0.5*$S$10/HU_alpha,IF((AD134+$L$10)&gt;=$K$10,((AD134+$L$10)-$K$10)-0.5*HU_alpha/$S$10*((AD134+$L$10)-$K$10)^2,IF((AD134+$L$10)&gt;=$T$10,HU_beta*((AD134+$L$10)-$K$10),HU_beta*($T$10-$K$10)))))</f>
        <v/>
      </c>
      <c r="AX134" s="29">
        <f>IF(OR(AV134=0,$S$10=0),0,IF((AD134+$L$10+$N$10)&gt;$S$10/HU_alpha+$K$10,0.5*$S$10/HU_alpha,IF((AD134+$L$10+$N$10)&gt;=$K$10,((AD134+$L$10+$N$10)-$K$10)-0.5*HU_alpha/$S$10*((AD134+$L$10+$N$10)-$K$10)^2,IF((AD134+$L$10+$N$10)&gt;=$T$10,HU_beta*((AD134+$L$10+$N$10)-$K$10),HU_beta*($T$10-$K$10)))))</f>
        <v/>
      </c>
      <c r="AY134" s="29">
        <f>IF(OR(AV134=0,$S$10=0),0,IF((AD134+$K$10)&gt;$S$10/HU_alpha+$K$10,0.5*$S$10/HU_alpha,IF((AD134+$K$10)&gt;=$K$10,((AD134+$K$10)-$K$10)-0.5*HU_alpha/$S$10*((AD134+$K$10)-$K$10)^2,IF((AD134+$K$10)&gt;=$T$10,HU_beta*((AD134+$K$10)-$K$10),HU_beta*($T$10-$K$10)))))</f>
        <v/>
      </c>
      <c r="AZ134" s="63">
        <f>IF(AND($J$11,A134=$Q$11),J134,0)</f>
        <v/>
      </c>
      <c r="BA134" s="29">
        <f>IF(OR(AZ134=0,$S$11=0),0,IF((AE134+$L$11)&gt;$S$11/HU_alpha+$K$11,0.5*$S$11/HU_alpha,IF((AE134+$L$11)&gt;=$K$11,((AE134+$L$11)-$K$11)-0.5*HU_alpha/$S$11*((AE134+$L$11)-$K$11)^2,IF((AE134+$L$11)&gt;=$T$11,HU_beta*((AE134+$L$11)-$K$11),HU_beta*($T$11-$K$11)))))</f>
        <v/>
      </c>
      <c r="BB134" s="29">
        <f>IF(OR(AZ134=0,$S$11=0),0,IF((AE134+$L$11+$N$11)&gt;$S$11/HU_alpha+$K$11,0.5*$S$11/HU_alpha,IF((AE134+$L$11+$N$11)&gt;=$K$11,((AE134+$L$11+$N$11)-$K$11)-0.5*HU_alpha/$S$11*((AE134+$L$11+$N$11)-$K$11)^2,IF((AE134+$L$11+$N$11)&gt;=$T$11,HU_beta*((AE134+$L$11+$N$11)-$K$11),HU_beta*($T$11-$K$11)))))</f>
        <v/>
      </c>
      <c r="BC134" s="29">
        <f>IF(OR(AZ134=0,$S$11=0),0,IF((AE134+$K$11)&gt;$S$11/HU_alpha+$K$11,0.5*$S$11/HU_alpha,IF((AE134+$K$11)&gt;=$K$11,((AE134+$K$11)-$K$11)-0.5*HU_alpha/$S$11*((AE134+$K$11)-$K$11)^2,IF((AE134+$K$11)&gt;=$T$11,HU_beta*((AE134+$K$11)-$K$11),HU_beta*($T$11-$K$11)))))</f>
        <v/>
      </c>
      <c r="BD134" s="63">
        <f>IF(AND($J$12,A134=$Q$12),J134,0)</f>
        <v/>
      </c>
      <c r="BE134" s="29">
        <f>IF(OR(BD134=0,$S$12=0),0,IF((AE134+$L$12)&gt;$S$12/HU_alpha+$K$12,0.5*$S$12/HU_alpha,IF((AE134+$L$12)&gt;=$K$12,((AE134+$L$12)-$K$12)-0.5*HU_alpha/$S$12*((AE134+$L$12)-$K$12)^2,IF((AE134+$L$12)&gt;=$T$12,HU_beta*((AE134+$L$12)-$K$12),HU_beta*($T$12-$K$12)))))</f>
        <v/>
      </c>
      <c r="BF134" s="29">
        <f>IF(OR(BD134=0,$S$12=0),0,IF((AE134+$L$12+$N$12)&gt;$S$12/HU_alpha+$K$12,0.5*$S$12/HU_alpha,IF((AE134+$L$12+$N$12)&gt;=$K$12,((AE134+$L$12+$N$12)-$K$12)-0.5*HU_alpha/$S$12*((AE134+$L$12+$N$12)-$K$12)^2,IF((AE134+$L$12+$N$12)&gt;=$T$12,HU_beta*((AE134+$L$12+$N$12)-$K$12),HU_beta*($T$12-$K$12)))))</f>
        <v/>
      </c>
      <c r="BG134" s="29">
        <f>IF(OR(BD134=0,$S$12=0),0,IF((AE134+$K$12)&gt;$S$12/HU_alpha+$K$12,0.5*$S$12/HU_alpha,IF((AE134+$K$12)&gt;=$K$12,((AE134+$K$12)-$K$12)-0.5*HU_alpha/$S$12*((AE134+$K$12)-$K$12)^2,IF((AE134+$K$12)&gt;=$T$12,HU_beta*((AE134+$K$12)-$K$12),HU_beta*($T$12-$K$12)))))</f>
        <v/>
      </c>
      <c r="BH134" s="63">
        <f>IF(AND($J$13,A134=$Q$13),J134,0)</f>
        <v/>
      </c>
      <c r="BI134" s="29">
        <f>IF(OR(BH134=0,$S$13=0),0,IF((AE134+$L$13)&gt;$S$13/HU_alpha+$K$13,0.5*$S$13/HU_alpha,IF((AE134+$L$13)&gt;=$K$13,((AE134+$L$13)-$K$13)-0.5*HU_alpha/$S$13*((AE134+$L$13)-$K$13)^2,IF((AE134+$L$13)&gt;=$T$13,HU_beta*((AE134+$L$13)-$K$13),HU_beta*($T$13-$K$13)))))</f>
        <v/>
      </c>
      <c r="BJ134" s="29">
        <f>IF(OR(BH134=0,$S$13=0),0,IF((AE134+$L$13+$N$13)&gt;$S$13/HU_alpha+$K$13,0.5*$S$13/HU_alpha,IF((AE134+$L$13+$N$13)&gt;=$K$13,((AE134+$L$13+$N$13)-$K$13)-0.5*HU_alpha/$S$13*((AE134+$L$13+$N$13)-$K$13)^2,IF((AE134+$L$13+$N$13)&gt;=$T$13,HU_beta*((AE134+$L$13+$N$13)-$K$13),HU_beta*($T$13-$K$13)))))</f>
        <v/>
      </c>
      <c r="BK134" s="29">
        <f>IF(OR(BH134=0,$S$13=0),0,IF((AE134+$K$13)&gt;$S$13/HU_alpha+$K$13,0.5*$S$13/HU_alpha,IF((AE134+$K$13)&gt;=$K$13,((AE134+$K$13)-$K$13)-0.5*HU_alpha/$S$13*((AE134+$K$13)-$K$13)^2,IF((AE134+$K$13)&gt;=$T$13,HU_beta*((AE134+$K$13)-$K$13),HU_beta*($T$13-$K$13)))))</f>
        <v/>
      </c>
    </row>
    <row r="135">
      <c r="A135" s="61" t="n">
        <v>67</v>
      </c>
      <c r="B135" s="61">
        <f>HU_age+A135</f>
        <v/>
      </c>
      <c r="C135" s="52">
        <f>A135&lt;=HU_T</f>
        <v/>
      </c>
      <c r="D135" s="63">
        <f>IF(OR(A135&lt;1,A135&gt;HU_T),0,INDEX(HU_q_mort,HU_age+A135-17,HU_col))</f>
        <v/>
      </c>
      <c r="E135" s="63">
        <f>IF(OR(A135&lt;1,A135&gt;HU_T),0,INDEX(HU_q_adb,HU_age+A135-17,HU_col))</f>
        <v/>
      </c>
      <c r="F135" s="63">
        <f>IF(OR(A135&lt;1,A135&gt;HU_T),0,INDEX(HU_q_morb,HU_age+A135-17,HU_col))</f>
        <v/>
      </c>
      <c r="G135" s="63">
        <f>IF(OR(A135&lt;1,A135&gt;HU_T),0,INDEX(HU_q_ptd,HU_age+A135-17,HU_col))</f>
        <v/>
      </c>
      <c r="H135" s="63">
        <f>IF(OR(A135&lt;1,A135&gt;HU_T),0,INDEX(HU_q_dis,HU_age+A135-17,HU_col))</f>
        <v/>
      </c>
      <c r="I135" s="63">
        <f>IF(A135&gt;HU_T,0,I134*(1-D135)*(1-E135))</f>
        <v/>
      </c>
      <c r="J135" s="63">
        <f>IF(A135&gt;=HU_T,0,N(I136))</f>
        <v/>
      </c>
      <c r="K135" s="63">
        <f>K134*(1-G135)</f>
        <v/>
      </c>
      <c r="L135" s="63">
        <f>1-K135</f>
        <v/>
      </c>
      <c r="M135" s="63">
        <f>K134*G135</f>
        <v/>
      </c>
      <c r="N135" s="63">
        <f>N134*(1-H135)</f>
        <v/>
      </c>
      <c r="O135" s="63">
        <f>1-N134</f>
        <v/>
      </c>
      <c r="P135" s="63">
        <f>P134*(1-F135)</f>
        <v/>
      </c>
      <c r="Q135" s="63">
        <f>1-P134/INDEX($P$68:$P$150,MAX(1,A135-HU_ciYears))</f>
        <v/>
      </c>
      <c r="R135" s="60">
        <f>(1+inflationRate)^A135</f>
        <v/>
      </c>
      <c r="S135" s="29">
        <f>IF(OR(OR(A135&lt;1,A135&gt;HU_T),A135-1&gt;=HU_dtr),0,HU_inc0*(1+incomeGrowthRate)^A135)</f>
        <v/>
      </c>
      <c r="T135" s="60">
        <f>IF(A135&gt;HU_T,T134,T134*(1+INDEX(HU_ssG,HU_age+A135-17)))</f>
        <v/>
      </c>
      <c r="U135" s="29">
        <f>IF(AND(HU_dtr&gt;=1,A135=HU_dtr,A135&lt;=HU_T),MIN(S135*INDEX(HU_ssC,HU_age+A135-17)/(1-INDEX(HU_ssC,HU_age+A135-17)),INDEX(HU_ssCap,HU_age+A135-17))*T135,0)</f>
        <v/>
      </c>
      <c r="V135" s="29">
        <f>S135+U135+IF(AND(HU_wdOn,A135=HU_wdYear),HU_wdIncome,0)</f>
        <v/>
      </c>
      <c r="W135" s="60">
        <f>HU_ciProp*Q135+HU_tpdCut*L135+HU_disCut*O135</f>
        <v/>
      </c>
      <c r="X135" s="29">
        <f>IF(OR(A135&lt;1,A135&gt;HU_T),0,V135*(1-W135))</f>
        <v/>
      </c>
      <c r="Y135" s="29">
        <f>IF(OR(A135&lt;1,A135&gt;HU_T),0,IF(AND(HU_retExp&gt;0,A135-1&gt;=HU_dtr),HU_retExp,HU_exp0)*R135)</f>
        <v/>
      </c>
      <c r="Z135" s="29">
        <f>-Y135-IF(AND(HU_wdOn,A135=HU_wdYear),HU_wdOut,0)</f>
        <v/>
      </c>
      <c r="AA135" s="29">
        <f>IF(OR(A135&lt;1,A135&gt;HU_T),0,-HU_medCost*R135*F135-HU_tpdCost*R135*M135)</f>
        <v/>
      </c>
      <c r="AB135" s="29">
        <f>IF(A135&gt;HU_T,0,AB134*(1+interestRate)+X135+Z135+AA135)</f>
        <v/>
      </c>
      <c r="AC135" s="29">
        <f>IF(A135&gt;HU_T,0,HU_inv*EXP(HU_mu*A135))</f>
        <v/>
      </c>
      <c r="AD135" s="29">
        <f>IF(A135&gt;HU_T,0,MAX(0,AC135+AB135))</f>
        <v/>
      </c>
      <c r="AE135" s="29">
        <f>IF(A135&gt;HU_T,0,MAX(0,X135-Y135))</f>
        <v/>
      </c>
      <c r="AF135" s="63">
        <f>IF(AND($J$6,A135&gt;=1,A135&lt;=$Q$6-1),J135,0)</f>
        <v/>
      </c>
      <c r="AG135" s="29">
        <f>IF(OR(AF135=0,$S$6=0),0,IF((AD135+$L$6)&gt;$S$6/HU_alpha+$K$6,0.5*$S$6/HU_alpha,IF((AD135+$L$6)&gt;=$K$6,((AD135+$L$6)-$K$6)-0.5*HU_alpha/$S$6*((AD135+$L$6)-$K$6)^2,IF((AD135+$L$6)&gt;=$T$6,HU_beta*((AD135+$L$6)-$K$6),HU_beta*($T$6-$K$6)))))</f>
        <v/>
      </c>
      <c r="AH135" s="29">
        <f>IF(OR(AF135=0,$S$6=0),0,IF((AD135+$L$6+$N$6)&gt;$S$6/HU_alpha+$K$6,0.5*$S$6/HU_alpha,IF((AD135+$L$6+$N$6)&gt;=$K$6,((AD135+$L$6+$N$6)-$K$6)-0.5*HU_alpha/$S$6*((AD135+$L$6+$N$6)-$K$6)^2,IF((AD135+$L$6+$N$6)&gt;=$T$6,HU_beta*((AD135+$L$6+$N$6)-$K$6),HU_beta*($T$6-$K$6)))))</f>
        <v/>
      </c>
      <c r="AI135" s="29">
        <f>IF(OR(AF135=0,$S$6=0),0,IF((AD135+$K$6)&gt;$S$6/HU_alpha+$K$6,0.5*$S$6/HU_alpha,IF((AD135+$K$6)&gt;=$K$6,((AD135+$K$6)-$K$6)-0.5*HU_alpha/$S$6*((AD135+$K$6)-$K$6)^2,IF((AD135+$K$6)&gt;=$T$6,HU_beta*((AD135+$K$6)-$K$6),HU_beta*($T$6-$K$6)))))</f>
        <v/>
      </c>
      <c r="AJ135" s="63">
        <f>IF(AND($J$7,A135&gt;=1,A135&lt;=$Q$7-1),J135,0)</f>
        <v/>
      </c>
      <c r="AK135" s="29">
        <f>IF(OR(AJ135=0,$S$7=0),0,IF((AE135+$L$7)&gt;$S$7/HU_alpha+$K$7,0.5*$S$7/HU_alpha,IF((AE135+$L$7)&gt;=$K$7,((AE135+$L$7)-$K$7)-0.5*HU_alpha/$S$7*((AE135+$L$7)-$K$7)^2,IF((AE135+$L$7)&gt;=$T$7,HU_beta*((AE135+$L$7)-$K$7),HU_beta*($T$7-$K$7)))))</f>
        <v/>
      </c>
      <c r="AL135" s="29">
        <f>IF(OR(AJ135=0,$S$7=0),0,IF((AE135+$L$7+$N$7)&gt;$S$7/HU_alpha+$K$7,0.5*$S$7/HU_alpha,IF((AE135+$L$7+$N$7)&gt;=$K$7,((AE135+$L$7+$N$7)-$K$7)-0.5*HU_alpha/$S$7*((AE135+$L$7+$N$7)-$K$7)^2,IF((AE135+$L$7+$N$7)&gt;=$T$7,HU_beta*((AE135+$L$7+$N$7)-$K$7),HU_beta*($T$7-$K$7)))))</f>
        <v/>
      </c>
      <c r="AM135" s="29">
        <f>IF(OR(AJ135=0,$S$7=0),0,IF((AE135+$K$7)&gt;$S$7/HU_alpha+$K$7,0.5*$S$7/HU_alpha,IF((AE135+$K$7)&gt;=$K$7,((AE135+$K$7)-$K$7)-0.5*HU_alpha/$S$7*((AE135+$K$7)-$K$7)^2,IF((AE135+$K$7)&gt;=$T$7,HU_beta*((AE135+$K$7)-$K$7),HU_beta*($T$7-$K$7)))))</f>
        <v/>
      </c>
      <c r="AN135" s="63">
        <f>IF(AND($J$8,A135&gt;=1,A135&lt;=$Q$8-1),J135,0)</f>
        <v/>
      </c>
      <c r="AO135" s="29">
        <f>IF(OR(AN135=0,$S$8=0),0,IF((AE135+$L$8)&gt;$S$8/HU_alpha+$K$8,0.5*$S$8/HU_alpha,IF((AE135+$L$8)&gt;=$K$8,((AE135+$L$8)-$K$8)-0.5*HU_alpha/$S$8*((AE135+$L$8)-$K$8)^2,IF((AE135+$L$8)&gt;=$T$8,HU_beta*((AE135+$L$8)-$K$8),HU_beta*($T$8-$K$8)))))</f>
        <v/>
      </c>
      <c r="AP135" s="29">
        <f>IF(OR(AN135=0,$S$8=0),0,IF((AE135+$L$8+$N$8)&gt;$S$8/HU_alpha+$K$8,0.5*$S$8/HU_alpha,IF((AE135+$L$8+$N$8)&gt;=$K$8,((AE135+$L$8+$N$8)-$K$8)-0.5*HU_alpha/$S$8*((AE135+$L$8+$N$8)-$K$8)^2,IF((AE135+$L$8+$N$8)&gt;=$T$8,HU_beta*((AE135+$L$8+$N$8)-$K$8),HU_beta*($T$8-$K$8)))))</f>
        <v/>
      </c>
      <c r="AQ135" s="29">
        <f>IF(OR(AN135=0,$S$8=0),0,IF((AE135+$K$8)&gt;$S$8/HU_alpha+$K$8,0.5*$S$8/HU_alpha,IF((AE135+$K$8)&gt;=$K$8,((AE135+$K$8)-$K$8)-0.5*HU_alpha/$S$8*((AE135+$K$8)-$K$8)^2,IF((AE135+$K$8)&gt;=$T$8,HU_beta*((AE135+$K$8)-$K$8),HU_beta*($T$8-$K$8)))))</f>
        <v/>
      </c>
      <c r="AR135" s="63">
        <f>IF(AND($J$9,A135&gt;=1,A135&lt;=$Q$9-1),J135,0)</f>
        <v/>
      </c>
      <c r="AS135" s="29">
        <f>IF(OR(AR135=0,$S$9=0),0,IF((AE135+$L$9)&gt;$S$9/HU_alpha+$K$9,0.5*$S$9/HU_alpha,IF((AE135+$L$9)&gt;=$K$9,((AE135+$L$9)-$K$9)-0.5*HU_alpha/$S$9*((AE135+$L$9)-$K$9)^2,IF((AE135+$L$9)&gt;=$T$9,HU_beta*((AE135+$L$9)-$K$9),HU_beta*($T$9-$K$9)))))</f>
        <v/>
      </c>
      <c r="AT135" s="29">
        <f>IF(OR(AR135=0,$S$9=0),0,IF((AE135+$L$9+$N$9)&gt;$S$9/HU_alpha+$K$9,0.5*$S$9/HU_alpha,IF((AE135+$L$9+$N$9)&gt;=$K$9,((AE135+$L$9+$N$9)-$K$9)-0.5*HU_alpha/$S$9*((AE135+$L$9+$N$9)-$K$9)^2,IF((AE135+$L$9+$N$9)&gt;=$T$9,HU_beta*((AE135+$L$9+$N$9)-$K$9),HU_beta*($T$9-$K$9)))))</f>
        <v/>
      </c>
      <c r="AU135" s="29">
        <f>IF(OR(AR135=0,$S$9=0),0,IF((AE135+$K$9)&gt;$S$9/HU_alpha+$K$9,0.5*$S$9/HU_alpha,IF((AE135+$K$9)&gt;=$K$9,((AE135+$K$9)-$K$9)-0.5*HU_alpha/$S$9*((AE135+$K$9)-$K$9)^2,IF((AE135+$K$9)&gt;=$T$9,HU_beta*((AE135+$K$9)-$K$9),HU_beta*($T$9-$K$9)))))</f>
        <v/>
      </c>
      <c r="AV135" s="63">
        <f>IF(AND($J$10,A135=$Q$10),J135,0)</f>
        <v/>
      </c>
      <c r="AW135" s="29">
        <f>IF(OR(AV135=0,$S$10=0),0,IF((AD135+$L$10)&gt;$S$10/HU_alpha+$K$10,0.5*$S$10/HU_alpha,IF((AD135+$L$10)&gt;=$K$10,((AD135+$L$10)-$K$10)-0.5*HU_alpha/$S$10*((AD135+$L$10)-$K$10)^2,IF((AD135+$L$10)&gt;=$T$10,HU_beta*((AD135+$L$10)-$K$10),HU_beta*($T$10-$K$10)))))</f>
        <v/>
      </c>
      <c r="AX135" s="29">
        <f>IF(OR(AV135=0,$S$10=0),0,IF((AD135+$L$10+$N$10)&gt;$S$10/HU_alpha+$K$10,0.5*$S$10/HU_alpha,IF((AD135+$L$10+$N$10)&gt;=$K$10,((AD135+$L$10+$N$10)-$K$10)-0.5*HU_alpha/$S$10*((AD135+$L$10+$N$10)-$K$10)^2,IF((AD135+$L$10+$N$10)&gt;=$T$10,HU_beta*((AD135+$L$10+$N$10)-$K$10),HU_beta*($T$10-$K$10)))))</f>
        <v/>
      </c>
      <c r="AY135" s="29">
        <f>IF(OR(AV135=0,$S$10=0),0,IF((AD135+$K$10)&gt;$S$10/HU_alpha+$K$10,0.5*$S$10/HU_alpha,IF((AD135+$K$10)&gt;=$K$10,((AD135+$K$10)-$K$10)-0.5*HU_alpha/$S$10*((AD135+$K$10)-$K$10)^2,IF((AD135+$K$10)&gt;=$T$10,HU_beta*((AD135+$K$10)-$K$10),HU_beta*($T$10-$K$10)))))</f>
        <v/>
      </c>
      <c r="AZ135" s="63">
        <f>IF(AND($J$11,A135=$Q$11),J135,0)</f>
        <v/>
      </c>
      <c r="BA135" s="29">
        <f>IF(OR(AZ135=0,$S$11=0),0,IF((AE135+$L$11)&gt;$S$11/HU_alpha+$K$11,0.5*$S$11/HU_alpha,IF((AE135+$L$11)&gt;=$K$11,((AE135+$L$11)-$K$11)-0.5*HU_alpha/$S$11*((AE135+$L$11)-$K$11)^2,IF((AE135+$L$11)&gt;=$T$11,HU_beta*((AE135+$L$11)-$K$11),HU_beta*($T$11-$K$11)))))</f>
        <v/>
      </c>
      <c r="BB135" s="29">
        <f>IF(OR(AZ135=0,$S$11=0),0,IF((AE135+$L$11+$N$11)&gt;$S$11/HU_alpha+$K$11,0.5*$S$11/HU_alpha,IF((AE135+$L$11+$N$11)&gt;=$K$11,((AE135+$L$11+$N$11)-$K$11)-0.5*HU_alpha/$S$11*((AE135+$L$11+$N$11)-$K$11)^2,IF((AE135+$L$11+$N$11)&gt;=$T$11,HU_beta*((AE135+$L$11+$N$11)-$K$11),HU_beta*($T$11-$K$11)))))</f>
        <v/>
      </c>
      <c r="BC135" s="29">
        <f>IF(OR(AZ135=0,$S$11=0),0,IF((AE135+$K$11)&gt;$S$11/HU_alpha+$K$11,0.5*$S$11/HU_alpha,IF((AE135+$K$11)&gt;=$K$11,((AE135+$K$11)-$K$11)-0.5*HU_alpha/$S$11*((AE135+$K$11)-$K$11)^2,IF((AE135+$K$11)&gt;=$T$11,HU_beta*((AE135+$K$11)-$K$11),HU_beta*($T$11-$K$11)))))</f>
        <v/>
      </c>
      <c r="BD135" s="63">
        <f>IF(AND($J$12,A135=$Q$12),J135,0)</f>
        <v/>
      </c>
      <c r="BE135" s="29">
        <f>IF(OR(BD135=0,$S$12=0),0,IF((AE135+$L$12)&gt;$S$12/HU_alpha+$K$12,0.5*$S$12/HU_alpha,IF((AE135+$L$12)&gt;=$K$12,((AE135+$L$12)-$K$12)-0.5*HU_alpha/$S$12*((AE135+$L$12)-$K$12)^2,IF((AE135+$L$12)&gt;=$T$12,HU_beta*((AE135+$L$12)-$K$12),HU_beta*($T$12-$K$12)))))</f>
        <v/>
      </c>
      <c r="BF135" s="29">
        <f>IF(OR(BD135=0,$S$12=0),0,IF((AE135+$L$12+$N$12)&gt;$S$12/HU_alpha+$K$12,0.5*$S$12/HU_alpha,IF((AE135+$L$12+$N$12)&gt;=$K$12,((AE135+$L$12+$N$12)-$K$12)-0.5*HU_alpha/$S$12*((AE135+$L$12+$N$12)-$K$12)^2,IF((AE135+$L$12+$N$12)&gt;=$T$12,HU_beta*((AE135+$L$12+$N$12)-$K$12),HU_beta*($T$12-$K$12)))))</f>
        <v/>
      </c>
      <c r="BG135" s="29">
        <f>IF(OR(BD135=0,$S$12=0),0,IF((AE135+$K$12)&gt;$S$12/HU_alpha+$K$12,0.5*$S$12/HU_alpha,IF((AE135+$K$12)&gt;=$K$12,((AE135+$K$12)-$K$12)-0.5*HU_alpha/$S$12*((AE135+$K$12)-$K$12)^2,IF((AE135+$K$12)&gt;=$T$12,HU_beta*((AE135+$K$12)-$K$12),HU_beta*($T$12-$K$12)))))</f>
        <v/>
      </c>
      <c r="BH135" s="63">
        <f>IF(AND($J$13,A135=$Q$13),J135,0)</f>
        <v/>
      </c>
      <c r="BI135" s="29">
        <f>IF(OR(BH135=0,$S$13=0),0,IF((AE135+$L$13)&gt;$S$13/HU_alpha+$K$13,0.5*$S$13/HU_alpha,IF((AE135+$L$13)&gt;=$K$13,((AE135+$L$13)-$K$13)-0.5*HU_alpha/$S$13*((AE135+$L$13)-$K$13)^2,IF((AE135+$L$13)&gt;=$T$13,HU_beta*((AE135+$L$13)-$K$13),HU_beta*($T$13-$K$13)))))</f>
        <v/>
      </c>
      <c r="BJ135" s="29">
        <f>IF(OR(BH135=0,$S$13=0),0,IF((AE135+$L$13+$N$13)&gt;$S$13/HU_alpha+$K$13,0.5*$S$13/HU_alpha,IF((AE135+$L$13+$N$13)&gt;=$K$13,((AE135+$L$13+$N$13)-$K$13)-0.5*HU_alpha/$S$13*((AE135+$L$13+$N$13)-$K$13)^2,IF((AE135+$L$13+$N$13)&gt;=$T$13,HU_beta*((AE135+$L$13+$N$13)-$K$13),HU_beta*($T$13-$K$13)))))</f>
        <v/>
      </c>
      <c r="BK135" s="29">
        <f>IF(OR(BH135=0,$S$13=0),0,IF((AE135+$K$13)&gt;$S$13/HU_alpha+$K$13,0.5*$S$13/HU_alpha,IF((AE135+$K$13)&gt;=$K$13,((AE135+$K$13)-$K$13)-0.5*HU_alpha/$S$13*((AE135+$K$13)-$K$13)^2,IF((AE135+$K$13)&gt;=$T$13,HU_beta*((AE135+$K$13)-$K$13),HU_beta*($T$13-$K$13)))))</f>
        <v/>
      </c>
    </row>
    <row r="136">
      <c r="A136" s="61" t="n">
        <v>68</v>
      </c>
      <c r="B136" s="61">
        <f>HU_age+A136</f>
        <v/>
      </c>
      <c r="C136" s="52">
        <f>A136&lt;=HU_T</f>
        <v/>
      </c>
      <c r="D136" s="63">
        <f>IF(OR(A136&lt;1,A136&gt;HU_T),0,INDEX(HU_q_mort,HU_age+A136-17,HU_col))</f>
        <v/>
      </c>
      <c r="E136" s="63">
        <f>IF(OR(A136&lt;1,A136&gt;HU_T),0,INDEX(HU_q_adb,HU_age+A136-17,HU_col))</f>
        <v/>
      </c>
      <c r="F136" s="63">
        <f>IF(OR(A136&lt;1,A136&gt;HU_T),0,INDEX(HU_q_morb,HU_age+A136-17,HU_col))</f>
        <v/>
      </c>
      <c r="G136" s="63">
        <f>IF(OR(A136&lt;1,A136&gt;HU_T),0,INDEX(HU_q_ptd,HU_age+A136-17,HU_col))</f>
        <v/>
      </c>
      <c r="H136" s="63">
        <f>IF(OR(A136&lt;1,A136&gt;HU_T),0,INDEX(HU_q_dis,HU_age+A136-17,HU_col))</f>
        <v/>
      </c>
      <c r="I136" s="63">
        <f>IF(A136&gt;HU_T,0,I135*(1-D136)*(1-E136))</f>
        <v/>
      </c>
      <c r="J136" s="63">
        <f>IF(A136&gt;=HU_T,0,N(I137))</f>
        <v/>
      </c>
      <c r="K136" s="63">
        <f>K135*(1-G136)</f>
        <v/>
      </c>
      <c r="L136" s="63">
        <f>1-K136</f>
        <v/>
      </c>
      <c r="M136" s="63">
        <f>K135*G136</f>
        <v/>
      </c>
      <c r="N136" s="63">
        <f>N135*(1-H136)</f>
        <v/>
      </c>
      <c r="O136" s="63">
        <f>1-N135</f>
        <v/>
      </c>
      <c r="P136" s="63">
        <f>P135*(1-F136)</f>
        <v/>
      </c>
      <c r="Q136" s="63">
        <f>1-P135/INDEX($P$68:$P$150,MAX(1,A136-HU_ciYears))</f>
        <v/>
      </c>
      <c r="R136" s="60">
        <f>(1+inflationRate)^A136</f>
        <v/>
      </c>
      <c r="S136" s="29">
        <f>IF(OR(OR(A136&lt;1,A136&gt;HU_T),A136-1&gt;=HU_dtr),0,HU_inc0*(1+incomeGrowthRate)^A136)</f>
        <v/>
      </c>
      <c r="T136" s="60">
        <f>IF(A136&gt;HU_T,T135,T135*(1+INDEX(HU_ssG,HU_age+A136-17)))</f>
        <v/>
      </c>
      <c r="U136" s="29">
        <f>IF(AND(HU_dtr&gt;=1,A136=HU_dtr,A136&lt;=HU_T),MIN(S136*INDEX(HU_ssC,HU_age+A136-17)/(1-INDEX(HU_ssC,HU_age+A136-17)),INDEX(HU_ssCap,HU_age+A136-17))*T136,0)</f>
        <v/>
      </c>
      <c r="V136" s="29">
        <f>S136+U136+IF(AND(HU_wdOn,A136=HU_wdYear),HU_wdIncome,0)</f>
        <v/>
      </c>
      <c r="W136" s="60">
        <f>HU_ciProp*Q136+HU_tpdCut*L136+HU_disCut*O136</f>
        <v/>
      </c>
      <c r="X136" s="29">
        <f>IF(OR(A136&lt;1,A136&gt;HU_T),0,V136*(1-W136))</f>
        <v/>
      </c>
      <c r="Y136" s="29">
        <f>IF(OR(A136&lt;1,A136&gt;HU_T),0,IF(AND(HU_retExp&gt;0,A136-1&gt;=HU_dtr),HU_retExp,HU_exp0)*R136)</f>
        <v/>
      </c>
      <c r="Z136" s="29">
        <f>-Y136-IF(AND(HU_wdOn,A136=HU_wdYear),HU_wdOut,0)</f>
        <v/>
      </c>
      <c r="AA136" s="29">
        <f>IF(OR(A136&lt;1,A136&gt;HU_T),0,-HU_medCost*R136*F136-HU_tpdCost*R136*M136)</f>
        <v/>
      </c>
      <c r="AB136" s="29">
        <f>IF(A136&gt;HU_T,0,AB135*(1+interestRate)+X136+Z136+AA136)</f>
        <v/>
      </c>
      <c r="AC136" s="29">
        <f>IF(A136&gt;HU_T,0,HU_inv*EXP(HU_mu*A136))</f>
        <v/>
      </c>
      <c r="AD136" s="29">
        <f>IF(A136&gt;HU_T,0,MAX(0,AC136+AB136))</f>
        <v/>
      </c>
      <c r="AE136" s="29">
        <f>IF(A136&gt;HU_T,0,MAX(0,X136-Y136))</f>
        <v/>
      </c>
      <c r="AF136" s="63">
        <f>IF(AND($J$6,A136&gt;=1,A136&lt;=$Q$6-1),J136,0)</f>
        <v/>
      </c>
      <c r="AG136" s="29">
        <f>IF(OR(AF136=0,$S$6=0),0,IF((AD136+$L$6)&gt;$S$6/HU_alpha+$K$6,0.5*$S$6/HU_alpha,IF((AD136+$L$6)&gt;=$K$6,((AD136+$L$6)-$K$6)-0.5*HU_alpha/$S$6*((AD136+$L$6)-$K$6)^2,IF((AD136+$L$6)&gt;=$T$6,HU_beta*((AD136+$L$6)-$K$6),HU_beta*($T$6-$K$6)))))</f>
        <v/>
      </c>
      <c r="AH136" s="29">
        <f>IF(OR(AF136=0,$S$6=0),0,IF((AD136+$L$6+$N$6)&gt;$S$6/HU_alpha+$K$6,0.5*$S$6/HU_alpha,IF((AD136+$L$6+$N$6)&gt;=$K$6,((AD136+$L$6+$N$6)-$K$6)-0.5*HU_alpha/$S$6*((AD136+$L$6+$N$6)-$K$6)^2,IF((AD136+$L$6+$N$6)&gt;=$T$6,HU_beta*((AD136+$L$6+$N$6)-$K$6),HU_beta*($T$6-$K$6)))))</f>
        <v/>
      </c>
      <c r="AI136" s="29">
        <f>IF(OR(AF136=0,$S$6=0),0,IF((AD136+$K$6)&gt;$S$6/HU_alpha+$K$6,0.5*$S$6/HU_alpha,IF((AD136+$K$6)&gt;=$K$6,((AD136+$K$6)-$K$6)-0.5*HU_alpha/$S$6*((AD136+$K$6)-$K$6)^2,IF((AD136+$K$6)&gt;=$T$6,HU_beta*((AD136+$K$6)-$K$6),HU_beta*($T$6-$K$6)))))</f>
        <v/>
      </c>
      <c r="AJ136" s="63">
        <f>IF(AND($J$7,A136&gt;=1,A136&lt;=$Q$7-1),J136,0)</f>
        <v/>
      </c>
      <c r="AK136" s="29">
        <f>IF(OR(AJ136=0,$S$7=0),0,IF((AE136+$L$7)&gt;$S$7/HU_alpha+$K$7,0.5*$S$7/HU_alpha,IF((AE136+$L$7)&gt;=$K$7,((AE136+$L$7)-$K$7)-0.5*HU_alpha/$S$7*((AE136+$L$7)-$K$7)^2,IF((AE136+$L$7)&gt;=$T$7,HU_beta*((AE136+$L$7)-$K$7),HU_beta*($T$7-$K$7)))))</f>
        <v/>
      </c>
      <c r="AL136" s="29">
        <f>IF(OR(AJ136=0,$S$7=0),0,IF((AE136+$L$7+$N$7)&gt;$S$7/HU_alpha+$K$7,0.5*$S$7/HU_alpha,IF((AE136+$L$7+$N$7)&gt;=$K$7,((AE136+$L$7+$N$7)-$K$7)-0.5*HU_alpha/$S$7*((AE136+$L$7+$N$7)-$K$7)^2,IF((AE136+$L$7+$N$7)&gt;=$T$7,HU_beta*((AE136+$L$7+$N$7)-$K$7),HU_beta*($T$7-$K$7)))))</f>
        <v/>
      </c>
      <c r="AM136" s="29">
        <f>IF(OR(AJ136=0,$S$7=0),0,IF((AE136+$K$7)&gt;$S$7/HU_alpha+$K$7,0.5*$S$7/HU_alpha,IF((AE136+$K$7)&gt;=$K$7,((AE136+$K$7)-$K$7)-0.5*HU_alpha/$S$7*((AE136+$K$7)-$K$7)^2,IF((AE136+$K$7)&gt;=$T$7,HU_beta*((AE136+$K$7)-$K$7),HU_beta*($T$7-$K$7)))))</f>
        <v/>
      </c>
      <c r="AN136" s="63">
        <f>IF(AND($J$8,A136&gt;=1,A136&lt;=$Q$8-1),J136,0)</f>
        <v/>
      </c>
      <c r="AO136" s="29">
        <f>IF(OR(AN136=0,$S$8=0),0,IF((AE136+$L$8)&gt;$S$8/HU_alpha+$K$8,0.5*$S$8/HU_alpha,IF((AE136+$L$8)&gt;=$K$8,((AE136+$L$8)-$K$8)-0.5*HU_alpha/$S$8*((AE136+$L$8)-$K$8)^2,IF((AE136+$L$8)&gt;=$T$8,HU_beta*((AE136+$L$8)-$K$8),HU_beta*($T$8-$K$8)))))</f>
        <v/>
      </c>
      <c r="AP136" s="29">
        <f>IF(OR(AN136=0,$S$8=0),0,IF((AE136+$L$8+$N$8)&gt;$S$8/HU_alpha+$K$8,0.5*$S$8/HU_alpha,IF((AE136+$L$8+$N$8)&gt;=$K$8,((AE136+$L$8+$N$8)-$K$8)-0.5*HU_alpha/$S$8*((AE136+$L$8+$N$8)-$K$8)^2,IF((AE136+$L$8+$N$8)&gt;=$T$8,HU_beta*((AE136+$L$8+$N$8)-$K$8),HU_beta*($T$8-$K$8)))))</f>
        <v/>
      </c>
      <c r="AQ136" s="29">
        <f>IF(OR(AN136=0,$S$8=0),0,IF((AE136+$K$8)&gt;$S$8/HU_alpha+$K$8,0.5*$S$8/HU_alpha,IF((AE136+$K$8)&gt;=$K$8,((AE136+$K$8)-$K$8)-0.5*HU_alpha/$S$8*((AE136+$K$8)-$K$8)^2,IF((AE136+$K$8)&gt;=$T$8,HU_beta*((AE136+$K$8)-$K$8),HU_beta*($T$8-$K$8)))))</f>
        <v/>
      </c>
      <c r="AR136" s="63">
        <f>IF(AND($J$9,A136&gt;=1,A136&lt;=$Q$9-1),J136,0)</f>
        <v/>
      </c>
      <c r="AS136" s="29">
        <f>IF(OR(AR136=0,$S$9=0),0,IF((AE136+$L$9)&gt;$S$9/HU_alpha+$K$9,0.5*$S$9/HU_alpha,IF((AE136+$L$9)&gt;=$K$9,((AE136+$L$9)-$K$9)-0.5*HU_alpha/$S$9*((AE136+$L$9)-$K$9)^2,IF((AE136+$L$9)&gt;=$T$9,HU_beta*((AE136+$L$9)-$K$9),HU_beta*($T$9-$K$9)))))</f>
        <v/>
      </c>
      <c r="AT136" s="29">
        <f>IF(OR(AR136=0,$S$9=0),0,IF((AE136+$L$9+$N$9)&gt;$S$9/HU_alpha+$K$9,0.5*$S$9/HU_alpha,IF((AE136+$L$9+$N$9)&gt;=$K$9,((AE136+$L$9+$N$9)-$K$9)-0.5*HU_alpha/$S$9*((AE136+$L$9+$N$9)-$K$9)^2,IF((AE136+$L$9+$N$9)&gt;=$T$9,HU_beta*((AE136+$L$9+$N$9)-$K$9),HU_beta*($T$9-$K$9)))))</f>
        <v/>
      </c>
      <c r="AU136" s="29">
        <f>IF(OR(AR136=0,$S$9=0),0,IF((AE136+$K$9)&gt;$S$9/HU_alpha+$K$9,0.5*$S$9/HU_alpha,IF((AE136+$K$9)&gt;=$K$9,((AE136+$K$9)-$K$9)-0.5*HU_alpha/$S$9*((AE136+$K$9)-$K$9)^2,IF((AE136+$K$9)&gt;=$T$9,HU_beta*((AE136+$K$9)-$K$9),HU_beta*($T$9-$K$9)))))</f>
        <v/>
      </c>
      <c r="AV136" s="63">
        <f>IF(AND($J$10,A136=$Q$10),J136,0)</f>
        <v/>
      </c>
      <c r="AW136" s="29">
        <f>IF(OR(AV136=0,$S$10=0),0,IF((AD136+$L$10)&gt;$S$10/HU_alpha+$K$10,0.5*$S$10/HU_alpha,IF((AD136+$L$10)&gt;=$K$10,((AD136+$L$10)-$K$10)-0.5*HU_alpha/$S$10*((AD136+$L$10)-$K$10)^2,IF((AD136+$L$10)&gt;=$T$10,HU_beta*((AD136+$L$10)-$K$10),HU_beta*($T$10-$K$10)))))</f>
        <v/>
      </c>
      <c r="AX136" s="29">
        <f>IF(OR(AV136=0,$S$10=0),0,IF((AD136+$L$10+$N$10)&gt;$S$10/HU_alpha+$K$10,0.5*$S$10/HU_alpha,IF((AD136+$L$10+$N$10)&gt;=$K$10,((AD136+$L$10+$N$10)-$K$10)-0.5*HU_alpha/$S$10*((AD136+$L$10+$N$10)-$K$10)^2,IF((AD136+$L$10+$N$10)&gt;=$T$10,HU_beta*((AD136+$L$10+$N$10)-$K$10),HU_beta*($T$10-$K$10)))))</f>
        <v/>
      </c>
      <c r="AY136" s="29">
        <f>IF(OR(AV136=0,$S$10=0),0,IF((AD136+$K$10)&gt;$S$10/HU_alpha+$K$10,0.5*$S$10/HU_alpha,IF((AD136+$K$10)&gt;=$K$10,((AD136+$K$10)-$K$10)-0.5*HU_alpha/$S$10*((AD136+$K$10)-$K$10)^2,IF((AD136+$K$10)&gt;=$T$10,HU_beta*((AD136+$K$10)-$K$10),HU_beta*($T$10-$K$10)))))</f>
        <v/>
      </c>
      <c r="AZ136" s="63">
        <f>IF(AND($J$11,A136=$Q$11),J136,0)</f>
        <v/>
      </c>
      <c r="BA136" s="29">
        <f>IF(OR(AZ136=0,$S$11=0),0,IF((AE136+$L$11)&gt;$S$11/HU_alpha+$K$11,0.5*$S$11/HU_alpha,IF((AE136+$L$11)&gt;=$K$11,((AE136+$L$11)-$K$11)-0.5*HU_alpha/$S$11*((AE136+$L$11)-$K$11)^2,IF((AE136+$L$11)&gt;=$T$11,HU_beta*((AE136+$L$11)-$K$11),HU_beta*($T$11-$K$11)))))</f>
        <v/>
      </c>
      <c r="BB136" s="29">
        <f>IF(OR(AZ136=0,$S$11=0),0,IF((AE136+$L$11+$N$11)&gt;$S$11/HU_alpha+$K$11,0.5*$S$11/HU_alpha,IF((AE136+$L$11+$N$11)&gt;=$K$11,((AE136+$L$11+$N$11)-$K$11)-0.5*HU_alpha/$S$11*((AE136+$L$11+$N$11)-$K$11)^2,IF((AE136+$L$11+$N$11)&gt;=$T$11,HU_beta*((AE136+$L$11+$N$11)-$K$11),HU_beta*($T$11-$K$11)))))</f>
        <v/>
      </c>
      <c r="BC136" s="29">
        <f>IF(OR(AZ136=0,$S$11=0),0,IF((AE136+$K$11)&gt;$S$11/HU_alpha+$K$11,0.5*$S$11/HU_alpha,IF((AE136+$K$11)&gt;=$K$11,((AE136+$K$11)-$K$11)-0.5*HU_alpha/$S$11*((AE136+$K$11)-$K$11)^2,IF((AE136+$K$11)&gt;=$T$11,HU_beta*((AE136+$K$11)-$K$11),HU_beta*($T$11-$K$11)))))</f>
        <v/>
      </c>
      <c r="BD136" s="63">
        <f>IF(AND($J$12,A136=$Q$12),J136,0)</f>
        <v/>
      </c>
      <c r="BE136" s="29">
        <f>IF(OR(BD136=0,$S$12=0),0,IF((AE136+$L$12)&gt;$S$12/HU_alpha+$K$12,0.5*$S$12/HU_alpha,IF((AE136+$L$12)&gt;=$K$12,((AE136+$L$12)-$K$12)-0.5*HU_alpha/$S$12*((AE136+$L$12)-$K$12)^2,IF((AE136+$L$12)&gt;=$T$12,HU_beta*((AE136+$L$12)-$K$12),HU_beta*($T$12-$K$12)))))</f>
        <v/>
      </c>
      <c r="BF136" s="29">
        <f>IF(OR(BD136=0,$S$12=0),0,IF((AE136+$L$12+$N$12)&gt;$S$12/HU_alpha+$K$12,0.5*$S$12/HU_alpha,IF((AE136+$L$12+$N$12)&gt;=$K$12,((AE136+$L$12+$N$12)-$K$12)-0.5*HU_alpha/$S$12*((AE136+$L$12+$N$12)-$K$12)^2,IF((AE136+$L$12+$N$12)&gt;=$T$12,HU_beta*((AE136+$L$12+$N$12)-$K$12),HU_beta*($T$12-$K$12)))))</f>
        <v/>
      </c>
      <c r="BG136" s="29">
        <f>IF(OR(BD136=0,$S$12=0),0,IF((AE136+$K$12)&gt;$S$12/HU_alpha+$K$12,0.5*$S$12/HU_alpha,IF((AE136+$K$12)&gt;=$K$12,((AE136+$K$12)-$K$12)-0.5*HU_alpha/$S$12*((AE136+$K$12)-$K$12)^2,IF((AE136+$K$12)&gt;=$T$12,HU_beta*((AE136+$K$12)-$K$12),HU_beta*($T$12-$K$12)))))</f>
        <v/>
      </c>
      <c r="BH136" s="63">
        <f>IF(AND($J$13,A136=$Q$13),J136,0)</f>
        <v/>
      </c>
      <c r="BI136" s="29">
        <f>IF(OR(BH136=0,$S$13=0),0,IF((AE136+$L$13)&gt;$S$13/HU_alpha+$K$13,0.5*$S$13/HU_alpha,IF((AE136+$L$13)&gt;=$K$13,((AE136+$L$13)-$K$13)-0.5*HU_alpha/$S$13*((AE136+$L$13)-$K$13)^2,IF((AE136+$L$13)&gt;=$T$13,HU_beta*((AE136+$L$13)-$K$13),HU_beta*($T$13-$K$13)))))</f>
        <v/>
      </c>
      <c r="BJ136" s="29">
        <f>IF(OR(BH136=0,$S$13=0),0,IF((AE136+$L$13+$N$13)&gt;$S$13/HU_alpha+$K$13,0.5*$S$13/HU_alpha,IF((AE136+$L$13+$N$13)&gt;=$K$13,((AE136+$L$13+$N$13)-$K$13)-0.5*HU_alpha/$S$13*((AE136+$L$13+$N$13)-$K$13)^2,IF((AE136+$L$13+$N$13)&gt;=$T$13,HU_beta*((AE136+$L$13+$N$13)-$K$13),HU_beta*($T$13-$K$13)))))</f>
        <v/>
      </c>
      <c r="BK136" s="29">
        <f>IF(OR(BH136=0,$S$13=0),0,IF((AE136+$K$13)&gt;$S$13/HU_alpha+$K$13,0.5*$S$13/HU_alpha,IF((AE136+$K$13)&gt;=$K$13,((AE136+$K$13)-$K$13)-0.5*HU_alpha/$S$13*((AE136+$K$13)-$K$13)^2,IF((AE136+$K$13)&gt;=$T$13,HU_beta*((AE136+$K$13)-$K$13),HU_beta*($T$13-$K$13)))))</f>
        <v/>
      </c>
    </row>
    <row r="137">
      <c r="A137" s="61" t="n">
        <v>69</v>
      </c>
      <c r="B137" s="61">
        <f>HU_age+A137</f>
        <v/>
      </c>
      <c r="C137" s="52">
        <f>A137&lt;=HU_T</f>
        <v/>
      </c>
      <c r="D137" s="63">
        <f>IF(OR(A137&lt;1,A137&gt;HU_T),0,INDEX(HU_q_mort,HU_age+A137-17,HU_col))</f>
        <v/>
      </c>
      <c r="E137" s="63">
        <f>IF(OR(A137&lt;1,A137&gt;HU_T),0,INDEX(HU_q_adb,HU_age+A137-17,HU_col))</f>
        <v/>
      </c>
      <c r="F137" s="63">
        <f>IF(OR(A137&lt;1,A137&gt;HU_T),0,INDEX(HU_q_morb,HU_age+A137-17,HU_col))</f>
        <v/>
      </c>
      <c r="G137" s="63">
        <f>IF(OR(A137&lt;1,A137&gt;HU_T),0,INDEX(HU_q_ptd,HU_age+A137-17,HU_col))</f>
        <v/>
      </c>
      <c r="H137" s="63">
        <f>IF(OR(A137&lt;1,A137&gt;HU_T),0,INDEX(HU_q_dis,HU_age+A137-17,HU_col))</f>
        <v/>
      </c>
      <c r="I137" s="63">
        <f>IF(A137&gt;HU_T,0,I136*(1-D137)*(1-E137))</f>
        <v/>
      </c>
      <c r="J137" s="63">
        <f>IF(A137&gt;=HU_T,0,N(I138))</f>
        <v/>
      </c>
      <c r="K137" s="63">
        <f>K136*(1-G137)</f>
        <v/>
      </c>
      <c r="L137" s="63">
        <f>1-K137</f>
        <v/>
      </c>
      <c r="M137" s="63">
        <f>K136*G137</f>
        <v/>
      </c>
      <c r="N137" s="63">
        <f>N136*(1-H137)</f>
        <v/>
      </c>
      <c r="O137" s="63">
        <f>1-N136</f>
        <v/>
      </c>
      <c r="P137" s="63">
        <f>P136*(1-F137)</f>
        <v/>
      </c>
      <c r="Q137" s="63">
        <f>1-P136/INDEX($P$68:$P$150,MAX(1,A137-HU_ciYears))</f>
        <v/>
      </c>
      <c r="R137" s="60">
        <f>(1+inflationRate)^A137</f>
        <v/>
      </c>
      <c r="S137" s="29">
        <f>IF(OR(OR(A137&lt;1,A137&gt;HU_T),A137-1&gt;=HU_dtr),0,HU_inc0*(1+incomeGrowthRate)^A137)</f>
        <v/>
      </c>
      <c r="T137" s="60">
        <f>IF(A137&gt;HU_T,T136,T136*(1+INDEX(HU_ssG,HU_age+A137-17)))</f>
        <v/>
      </c>
      <c r="U137" s="29">
        <f>IF(AND(HU_dtr&gt;=1,A137=HU_dtr,A137&lt;=HU_T),MIN(S137*INDEX(HU_ssC,HU_age+A137-17)/(1-INDEX(HU_ssC,HU_age+A137-17)),INDEX(HU_ssCap,HU_age+A137-17))*T137,0)</f>
        <v/>
      </c>
      <c r="V137" s="29">
        <f>S137+U137+IF(AND(HU_wdOn,A137=HU_wdYear),HU_wdIncome,0)</f>
        <v/>
      </c>
      <c r="W137" s="60">
        <f>HU_ciProp*Q137+HU_tpdCut*L137+HU_disCut*O137</f>
        <v/>
      </c>
      <c r="X137" s="29">
        <f>IF(OR(A137&lt;1,A137&gt;HU_T),0,V137*(1-W137))</f>
        <v/>
      </c>
      <c r="Y137" s="29">
        <f>IF(OR(A137&lt;1,A137&gt;HU_T),0,IF(AND(HU_retExp&gt;0,A137-1&gt;=HU_dtr),HU_retExp,HU_exp0)*R137)</f>
        <v/>
      </c>
      <c r="Z137" s="29">
        <f>-Y137-IF(AND(HU_wdOn,A137=HU_wdYear),HU_wdOut,0)</f>
        <v/>
      </c>
      <c r="AA137" s="29">
        <f>IF(OR(A137&lt;1,A137&gt;HU_T),0,-HU_medCost*R137*F137-HU_tpdCost*R137*M137)</f>
        <v/>
      </c>
      <c r="AB137" s="29">
        <f>IF(A137&gt;HU_T,0,AB136*(1+interestRate)+X137+Z137+AA137)</f>
        <v/>
      </c>
      <c r="AC137" s="29">
        <f>IF(A137&gt;HU_T,0,HU_inv*EXP(HU_mu*A137))</f>
        <v/>
      </c>
      <c r="AD137" s="29">
        <f>IF(A137&gt;HU_T,0,MAX(0,AC137+AB137))</f>
        <v/>
      </c>
      <c r="AE137" s="29">
        <f>IF(A137&gt;HU_T,0,MAX(0,X137-Y137))</f>
        <v/>
      </c>
      <c r="AF137" s="63">
        <f>IF(AND($J$6,A137&gt;=1,A137&lt;=$Q$6-1),J137,0)</f>
        <v/>
      </c>
      <c r="AG137" s="29">
        <f>IF(OR(AF137=0,$S$6=0),0,IF((AD137+$L$6)&gt;$S$6/HU_alpha+$K$6,0.5*$S$6/HU_alpha,IF((AD137+$L$6)&gt;=$K$6,((AD137+$L$6)-$K$6)-0.5*HU_alpha/$S$6*((AD137+$L$6)-$K$6)^2,IF((AD137+$L$6)&gt;=$T$6,HU_beta*((AD137+$L$6)-$K$6),HU_beta*($T$6-$K$6)))))</f>
        <v/>
      </c>
      <c r="AH137" s="29">
        <f>IF(OR(AF137=0,$S$6=0),0,IF((AD137+$L$6+$N$6)&gt;$S$6/HU_alpha+$K$6,0.5*$S$6/HU_alpha,IF((AD137+$L$6+$N$6)&gt;=$K$6,((AD137+$L$6+$N$6)-$K$6)-0.5*HU_alpha/$S$6*((AD137+$L$6+$N$6)-$K$6)^2,IF((AD137+$L$6+$N$6)&gt;=$T$6,HU_beta*((AD137+$L$6+$N$6)-$K$6),HU_beta*($T$6-$K$6)))))</f>
        <v/>
      </c>
      <c r="AI137" s="29">
        <f>IF(OR(AF137=0,$S$6=0),0,IF((AD137+$K$6)&gt;$S$6/HU_alpha+$K$6,0.5*$S$6/HU_alpha,IF((AD137+$K$6)&gt;=$K$6,((AD137+$K$6)-$K$6)-0.5*HU_alpha/$S$6*((AD137+$K$6)-$K$6)^2,IF((AD137+$K$6)&gt;=$T$6,HU_beta*((AD137+$K$6)-$K$6),HU_beta*($T$6-$K$6)))))</f>
        <v/>
      </c>
      <c r="AJ137" s="63">
        <f>IF(AND($J$7,A137&gt;=1,A137&lt;=$Q$7-1),J137,0)</f>
        <v/>
      </c>
      <c r="AK137" s="29">
        <f>IF(OR(AJ137=0,$S$7=0),0,IF((AE137+$L$7)&gt;$S$7/HU_alpha+$K$7,0.5*$S$7/HU_alpha,IF((AE137+$L$7)&gt;=$K$7,((AE137+$L$7)-$K$7)-0.5*HU_alpha/$S$7*((AE137+$L$7)-$K$7)^2,IF((AE137+$L$7)&gt;=$T$7,HU_beta*((AE137+$L$7)-$K$7),HU_beta*($T$7-$K$7)))))</f>
        <v/>
      </c>
      <c r="AL137" s="29">
        <f>IF(OR(AJ137=0,$S$7=0),0,IF((AE137+$L$7+$N$7)&gt;$S$7/HU_alpha+$K$7,0.5*$S$7/HU_alpha,IF((AE137+$L$7+$N$7)&gt;=$K$7,((AE137+$L$7+$N$7)-$K$7)-0.5*HU_alpha/$S$7*((AE137+$L$7+$N$7)-$K$7)^2,IF((AE137+$L$7+$N$7)&gt;=$T$7,HU_beta*((AE137+$L$7+$N$7)-$K$7),HU_beta*($T$7-$K$7)))))</f>
        <v/>
      </c>
      <c r="AM137" s="29">
        <f>IF(OR(AJ137=0,$S$7=0),0,IF((AE137+$K$7)&gt;$S$7/HU_alpha+$K$7,0.5*$S$7/HU_alpha,IF((AE137+$K$7)&gt;=$K$7,((AE137+$K$7)-$K$7)-0.5*HU_alpha/$S$7*((AE137+$K$7)-$K$7)^2,IF((AE137+$K$7)&gt;=$T$7,HU_beta*((AE137+$K$7)-$K$7),HU_beta*($T$7-$K$7)))))</f>
        <v/>
      </c>
      <c r="AN137" s="63">
        <f>IF(AND($J$8,A137&gt;=1,A137&lt;=$Q$8-1),J137,0)</f>
        <v/>
      </c>
      <c r="AO137" s="29">
        <f>IF(OR(AN137=0,$S$8=0),0,IF((AE137+$L$8)&gt;$S$8/HU_alpha+$K$8,0.5*$S$8/HU_alpha,IF((AE137+$L$8)&gt;=$K$8,((AE137+$L$8)-$K$8)-0.5*HU_alpha/$S$8*((AE137+$L$8)-$K$8)^2,IF((AE137+$L$8)&gt;=$T$8,HU_beta*((AE137+$L$8)-$K$8),HU_beta*($T$8-$K$8)))))</f>
        <v/>
      </c>
      <c r="AP137" s="29">
        <f>IF(OR(AN137=0,$S$8=0),0,IF((AE137+$L$8+$N$8)&gt;$S$8/HU_alpha+$K$8,0.5*$S$8/HU_alpha,IF((AE137+$L$8+$N$8)&gt;=$K$8,((AE137+$L$8+$N$8)-$K$8)-0.5*HU_alpha/$S$8*((AE137+$L$8+$N$8)-$K$8)^2,IF((AE137+$L$8+$N$8)&gt;=$T$8,HU_beta*((AE137+$L$8+$N$8)-$K$8),HU_beta*($T$8-$K$8)))))</f>
        <v/>
      </c>
      <c r="AQ137" s="29">
        <f>IF(OR(AN137=0,$S$8=0),0,IF((AE137+$K$8)&gt;$S$8/HU_alpha+$K$8,0.5*$S$8/HU_alpha,IF((AE137+$K$8)&gt;=$K$8,((AE137+$K$8)-$K$8)-0.5*HU_alpha/$S$8*((AE137+$K$8)-$K$8)^2,IF((AE137+$K$8)&gt;=$T$8,HU_beta*((AE137+$K$8)-$K$8),HU_beta*($T$8-$K$8)))))</f>
        <v/>
      </c>
      <c r="AR137" s="63">
        <f>IF(AND($J$9,A137&gt;=1,A137&lt;=$Q$9-1),J137,0)</f>
        <v/>
      </c>
      <c r="AS137" s="29">
        <f>IF(OR(AR137=0,$S$9=0),0,IF((AE137+$L$9)&gt;$S$9/HU_alpha+$K$9,0.5*$S$9/HU_alpha,IF((AE137+$L$9)&gt;=$K$9,((AE137+$L$9)-$K$9)-0.5*HU_alpha/$S$9*((AE137+$L$9)-$K$9)^2,IF((AE137+$L$9)&gt;=$T$9,HU_beta*((AE137+$L$9)-$K$9),HU_beta*($T$9-$K$9)))))</f>
        <v/>
      </c>
      <c r="AT137" s="29">
        <f>IF(OR(AR137=0,$S$9=0),0,IF((AE137+$L$9+$N$9)&gt;$S$9/HU_alpha+$K$9,0.5*$S$9/HU_alpha,IF((AE137+$L$9+$N$9)&gt;=$K$9,((AE137+$L$9+$N$9)-$K$9)-0.5*HU_alpha/$S$9*((AE137+$L$9+$N$9)-$K$9)^2,IF((AE137+$L$9+$N$9)&gt;=$T$9,HU_beta*((AE137+$L$9+$N$9)-$K$9),HU_beta*($T$9-$K$9)))))</f>
        <v/>
      </c>
      <c r="AU137" s="29">
        <f>IF(OR(AR137=0,$S$9=0),0,IF((AE137+$K$9)&gt;$S$9/HU_alpha+$K$9,0.5*$S$9/HU_alpha,IF((AE137+$K$9)&gt;=$K$9,((AE137+$K$9)-$K$9)-0.5*HU_alpha/$S$9*((AE137+$K$9)-$K$9)^2,IF((AE137+$K$9)&gt;=$T$9,HU_beta*((AE137+$K$9)-$K$9),HU_beta*($T$9-$K$9)))))</f>
        <v/>
      </c>
      <c r="AV137" s="63">
        <f>IF(AND($J$10,A137=$Q$10),J137,0)</f>
        <v/>
      </c>
      <c r="AW137" s="29">
        <f>IF(OR(AV137=0,$S$10=0),0,IF((AD137+$L$10)&gt;$S$10/HU_alpha+$K$10,0.5*$S$10/HU_alpha,IF((AD137+$L$10)&gt;=$K$10,((AD137+$L$10)-$K$10)-0.5*HU_alpha/$S$10*((AD137+$L$10)-$K$10)^2,IF((AD137+$L$10)&gt;=$T$10,HU_beta*((AD137+$L$10)-$K$10),HU_beta*($T$10-$K$10)))))</f>
        <v/>
      </c>
      <c r="AX137" s="29">
        <f>IF(OR(AV137=0,$S$10=0),0,IF((AD137+$L$10+$N$10)&gt;$S$10/HU_alpha+$K$10,0.5*$S$10/HU_alpha,IF((AD137+$L$10+$N$10)&gt;=$K$10,((AD137+$L$10+$N$10)-$K$10)-0.5*HU_alpha/$S$10*((AD137+$L$10+$N$10)-$K$10)^2,IF((AD137+$L$10+$N$10)&gt;=$T$10,HU_beta*((AD137+$L$10+$N$10)-$K$10),HU_beta*($T$10-$K$10)))))</f>
        <v/>
      </c>
      <c r="AY137" s="29">
        <f>IF(OR(AV137=0,$S$10=0),0,IF((AD137+$K$10)&gt;$S$10/HU_alpha+$K$10,0.5*$S$10/HU_alpha,IF((AD137+$K$10)&gt;=$K$10,((AD137+$K$10)-$K$10)-0.5*HU_alpha/$S$10*((AD137+$K$10)-$K$10)^2,IF((AD137+$K$10)&gt;=$T$10,HU_beta*((AD137+$K$10)-$K$10),HU_beta*($T$10-$K$10)))))</f>
        <v/>
      </c>
      <c r="AZ137" s="63">
        <f>IF(AND($J$11,A137=$Q$11),J137,0)</f>
        <v/>
      </c>
      <c r="BA137" s="29">
        <f>IF(OR(AZ137=0,$S$11=0),0,IF((AE137+$L$11)&gt;$S$11/HU_alpha+$K$11,0.5*$S$11/HU_alpha,IF((AE137+$L$11)&gt;=$K$11,((AE137+$L$11)-$K$11)-0.5*HU_alpha/$S$11*((AE137+$L$11)-$K$11)^2,IF((AE137+$L$11)&gt;=$T$11,HU_beta*((AE137+$L$11)-$K$11),HU_beta*($T$11-$K$11)))))</f>
        <v/>
      </c>
      <c r="BB137" s="29">
        <f>IF(OR(AZ137=0,$S$11=0),0,IF((AE137+$L$11+$N$11)&gt;$S$11/HU_alpha+$K$11,0.5*$S$11/HU_alpha,IF((AE137+$L$11+$N$11)&gt;=$K$11,((AE137+$L$11+$N$11)-$K$11)-0.5*HU_alpha/$S$11*((AE137+$L$11+$N$11)-$K$11)^2,IF((AE137+$L$11+$N$11)&gt;=$T$11,HU_beta*((AE137+$L$11+$N$11)-$K$11),HU_beta*($T$11-$K$11)))))</f>
        <v/>
      </c>
      <c r="BC137" s="29">
        <f>IF(OR(AZ137=0,$S$11=0),0,IF((AE137+$K$11)&gt;$S$11/HU_alpha+$K$11,0.5*$S$11/HU_alpha,IF((AE137+$K$11)&gt;=$K$11,((AE137+$K$11)-$K$11)-0.5*HU_alpha/$S$11*((AE137+$K$11)-$K$11)^2,IF((AE137+$K$11)&gt;=$T$11,HU_beta*((AE137+$K$11)-$K$11),HU_beta*($T$11-$K$11)))))</f>
        <v/>
      </c>
      <c r="BD137" s="63">
        <f>IF(AND($J$12,A137=$Q$12),J137,0)</f>
        <v/>
      </c>
      <c r="BE137" s="29">
        <f>IF(OR(BD137=0,$S$12=0),0,IF((AE137+$L$12)&gt;$S$12/HU_alpha+$K$12,0.5*$S$12/HU_alpha,IF((AE137+$L$12)&gt;=$K$12,((AE137+$L$12)-$K$12)-0.5*HU_alpha/$S$12*((AE137+$L$12)-$K$12)^2,IF((AE137+$L$12)&gt;=$T$12,HU_beta*((AE137+$L$12)-$K$12),HU_beta*($T$12-$K$12)))))</f>
        <v/>
      </c>
      <c r="BF137" s="29">
        <f>IF(OR(BD137=0,$S$12=0),0,IF((AE137+$L$12+$N$12)&gt;$S$12/HU_alpha+$K$12,0.5*$S$12/HU_alpha,IF((AE137+$L$12+$N$12)&gt;=$K$12,((AE137+$L$12+$N$12)-$K$12)-0.5*HU_alpha/$S$12*((AE137+$L$12+$N$12)-$K$12)^2,IF((AE137+$L$12+$N$12)&gt;=$T$12,HU_beta*((AE137+$L$12+$N$12)-$K$12),HU_beta*($T$12-$K$12)))))</f>
        <v/>
      </c>
      <c r="BG137" s="29">
        <f>IF(OR(BD137=0,$S$12=0),0,IF((AE137+$K$12)&gt;$S$12/HU_alpha+$K$12,0.5*$S$12/HU_alpha,IF((AE137+$K$12)&gt;=$K$12,((AE137+$K$12)-$K$12)-0.5*HU_alpha/$S$12*((AE137+$K$12)-$K$12)^2,IF((AE137+$K$12)&gt;=$T$12,HU_beta*((AE137+$K$12)-$K$12),HU_beta*($T$12-$K$12)))))</f>
        <v/>
      </c>
      <c r="BH137" s="63">
        <f>IF(AND($J$13,A137=$Q$13),J137,0)</f>
        <v/>
      </c>
      <c r="BI137" s="29">
        <f>IF(OR(BH137=0,$S$13=0),0,IF((AE137+$L$13)&gt;$S$13/HU_alpha+$K$13,0.5*$S$13/HU_alpha,IF((AE137+$L$13)&gt;=$K$13,((AE137+$L$13)-$K$13)-0.5*HU_alpha/$S$13*((AE137+$L$13)-$K$13)^2,IF((AE137+$L$13)&gt;=$T$13,HU_beta*((AE137+$L$13)-$K$13),HU_beta*($T$13-$K$13)))))</f>
        <v/>
      </c>
      <c r="BJ137" s="29">
        <f>IF(OR(BH137=0,$S$13=0),0,IF((AE137+$L$13+$N$13)&gt;$S$13/HU_alpha+$K$13,0.5*$S$13/HU_alpha,IF((AE137+$L$13+$N$13)&gt;=$K$13,((AE137+$L$13+$N$13)-$K$13)-0.5*HU_alpha/$S$13*((AE137+$L$13+$N$13)-$K$13)^2,IF((AE137+$L$13+$N$13)&gt;=$T$13,HU_beta*((AE137+$L$13+$N$13)-$K$13),HU_beta*($T$13-$K$13)))))</f>
        <v/>
      </c>
      <c r="BK137" s="29">
        <f>IF(OR(BH137=0,$S$13=0),0,IF((AE137+$K$13)&gt;$S$13/HU_alpha+$K$13,0.5*$S$13/HU_alpha,IF((AE137+$K$13)&gt;=$K$13,((AE137+$K$13)-$K$13)-0.5*HU_alpha/$S$13*((AE137+$K$13)-$K$13)^2,IF((AE137+$K$13)&gt;=$T$13,HU_beta*((AE137+$K$13)-$K$13),HU_beta*($T$13-$K$13)))))</f>
        <v/>
      </c>
    </row>
    <row r="138">
      <c r="A138" s="61" t="n">
        <v>70</v>
      </c>
      <c r="B138" s="61">
        <f>HU_age+A138</f>
        <v/>
      </c>
      <c r="C138" s="52">
        <f>A138&lt;=HU_T</f>
        <v/>
      </c>
      <c r="D138" s="63">
        <f>IF(OR(A138&lt;1,A138&gt;HU_T),0,INDEX(HU_q_mort,HU_age+A138-17,HU_col))</f>
        <v/>
      </c>
      <c r="E138" s="63">
        <f>IF(OR(A138&lt;1,A138&gt;HU_T),0,INDEX(HU_q_adb,HU_age+A138-17,HU_col))</f>
        <v/>
      </c>
      <c r="F138" s="63">
        <f>IF(OR(A138&lt;1,A138&gt;HU_T),0,INDEX(HU_q_morb,HU_age+A138-17,HU_col))</f>
        <v/>
      </c>
      <c r="G138" s="63">
        <f>IF(OR(A138&lt;1,A138&gt;HU_T),0,INDEX(HU_q_ptd,HU_age+A138-17,HU_col))</f>
        <v/>
      </c>
      <c r="H138" s="63">
        <f>IF(OR(A138&lt;1,A138&gt;HU_T),0,INDEX(HU_q_dis,HU_age+A138-17,HU_col))</f>
        <v/>
      </c>
      <c r="I138" s="63">
        <f>IF(A138&gt;HU_T,0,I137*(1-D138)*(1-E138))</f>
        <v/>
      </c>
      <c r="J138" s="63">
        <f>IF(A138&gt;=HU_T,0,N(I139))</f>
        <v/>
      </c>
      <c r="K138" s="63">
        <f>K137*(1-G138)</f>
        <v/>
      </c>
      <c r="L138" s="63">
        <f>1-K138</f>
        <v/>
      </c>
      <c r="M138" s="63">
        <f>K137*G138</f>
        <v/>
      </c>
      <c r="N138" s="63">
        <f>N137*(1-H138)</f>
        <v/>
      </c>
      <c r="O138" s="63">
        <f>1-N137</f>
        <v/>
      </c>
      <c r="P138" s="63">
        <f>P137*(1-F138)</f>
        <v/>
      </c>
      <c r="Q138" s="63">
        <f>1-P137/INDEX($P$68:$P$150,MAX(1,A138-HU_ciYears))</f>
        <v/>
      </c>
      <c r="R138" s="60">
        <f>(1+inflationRate)^A138</f>
        <v/>
      </c>
      <c r="S138" s="29">
        <f>IF(OR(OR(A138&lt;1,A138&gt;HU_T),A138-1&gt;=HU_dtr),0,HU_inc0*(1+incomeGrowthRate)^A138)</f>
        <v/>
      </c>
      <c r="T138" s="60">
        <f>IF(A138&gt;HU_T,T137,T137*(1+INDEX(HU_ssG,HU_age+A138-17)))</f>
        <v/>
      </c>
      <c r="U138" s="29">
        <f>IF(AND(HU_dtr&gt;=1,A138=HU_dtr,A138&lt;=HU_T),MIN(S138*INDEX(HU_ssC,HU_age+A138-17)/(1-INDEX(HU_ssC,HU_age+A138-17)),INDEX(HU_ssCap,HU_age+A138-17))*T138,0)</f>
        <v/>
      </c>
      <c r="V138" s="29">
        <f>S138+U138+IF(AND(HU_wdOn,A138=HU_wdYear),HU_wdIncome,0)</f>
        <v/>
      </c>
      <c r="W138" s="60">
        <f>HU_ciProp*Q138+HU_tpdCut*L138+HU_disCut*O138</f>
        <v/>
      </c>
      <c r="X138" s="29">
        <f>IF(OR(A138&lt;1,A138&gt;HU_T),0,V138*(1-W138))</f>
        <v/>
      </c>
      <c r="Y138" s="29">
        <f>IF(OR(A138&lt;1,A138&gt;HU_T),0,IF(AND(HU_retExp&gt;0,A138-1&gt;=HU_dtr),HU_retExp,HU_exp0)*R138)</f>
        <v/>
      </c>
      <c r="Z138" s="29">
        <f>-Y138-IF(AND(HU_wdOn,A138=HU_wdYear),HU_wdOut,0)</f>
        <v/>
      </c>
      <c r="AA138" s="29">
        <f>IF(OR(A138&lt;1,A138&gt;HU_T),0,-HU_medCost*R138*F138-HU_tpdCost*R138*M138)</f>
        <v/>
      </c>
      <c r="AB138" s="29">
        <f>IF(A138&gt;HU_T,0,AB137*(1+interestRate)+X138+Z138+AA138)</f>
        <v/>
      </c>
      <c r="AC138" s="29">
        <f>IF(A138&gt;HU_T,0,HU_inv*EXP(HU_mu*A138))</f>
        <v/>
      </c>
      <c r="AD138" s="29">
        <f>IF(A138&gt;HU_T,0,MAX(0,AC138+AB138))</f>
        <v/>
      </c>
      <c r="AE138" s="29">
        <f>IF(A138&gt;HU_T,0,MAX(0,X138-Y138))</f>
        <v/>
      </c>
      <c r="AF138" s="63">
        <f>IF(AND($J$6,A138&gt;=1,A138&lt;=$Q$6-1),J138,0)</f>
        <v/>
      </c>
      <c r="AG138" s="29">
        <f>IF(OR(AF138=0,$S$6=0),0,IF((AD138+$L$6)&gt;$S$6/HU_alpha+$K$6,0.5*$S$6/HU_alpha,IF((AD138+$L$6)&gt;=$K$6,((AD138+$L$6)-$K$6)-0.5*HU_alpha/$S$6*((AD138+$L$6)-$K$6)^2,IF((AD138+$L$6)&gt;=$T$6,HU_beta*((AD138+$L$6)-$K$6),HU_beta*($T$6-$K$6)))))</f>
        <v/>
      </c>
      <c r="AH138" s="29">
        <f>IF(OR(AF138=0,$S$6=0),0,IF((AD138+$L$6+$N$6)&gt;$S$6/HU_alpha+$K$6,0.5*$S$6/HU_alpha,IF((AD138+$L$6+$N$6)&gt;=$K$6,((AD138+$L$6+$N$6)-$K$6)-0.5*HU_alpha/$S$6*((AD138+$L$6+$N$6)-$K$6)^2,IF((AD138+$L$6+$N$6)&gt;=$T$6,HU_beta*((AD138+$L$6+$N$6)-$K$6),HU_beta*($T$6-$K$6)))))</f>
        <v/>
      </c>
      <c r="AI138" s="29">
        <f>IF(OR(AF138=0,$S$6=0),0,IF((AD138+$K$6)&gt;$S$6/HU_alpha+$K$6,0.5*$S$6/HU_alpha,IF((AD138+$K$6)&gt;=$K$6,((AD138+$K$6)-$K$6)-0.5*HU_alpha/$S$6*((AD138+$K$6)-$K$6)^2,IF((AD138+$K$6)&gt;=$T$6,HU_beta*((AD138+$K$6)-$K$6),HU_beta*($T$6-$K$6)))))</f>
        <v/>
      </c>
      <c r="AJ138" s="63">
        <f>IF(AND($J$7,A138&gt;=1,A138&lt;=$Q$7-1),J138,0)</f>
        <v/>
      </c>
      <c r="AK138" s="29">
        <f>IF(OR(AJ138=0,$S$7=0),0,IF((AE138+$L$7)&gt;$S$7/HU_alpha+$K$7,0.5*$S$7/HU_alpha,IF((AE138+$L$7)&gt;=$K$7,((AE138+$L$7)-$K$7)-0.5*HU_alpha/$S$7*((AE138+$L$7)-$K$7)^2,IF((AE138+$L$7)&gt;=$T$7,HU_beta*((AE138+$L$7)-$K$7),HU_beta*($T$7-$K$7)))))</f>
        <v/>
      </c>
      <c r="AL138" s="29">
        <f>IF(OR(AJ138=0,$S$7=0),0,IF((AE138+$L$7+$N$7)&gt;$S$7/HU_alpha+$K$7,0.5*$S$7/HU_alpha,IF((AE138+$L$7+$N$7)&gt;=$K$7,((AE138+$L$7+$N$7)-$K$7)-0.5*HU_alpha/$S$7*((AE138+$L$7+$N$7)-$K$7)^2,IF((AE138+$L$7+$N$7)&gt;=$T$7,HU_beta*((AE138+$L$7+$N$7)-$K$7),HU_beta*($T$7-$K$7)))))</f>
        <v/>
      </c>
      <c r="AM138" s="29">
        <f>IF(OR(AJ138=0,$S$7=0),0,IF((AE138+$K$7)&gt;$S$7/HU_alpha+$K$7,0.5*$S$7/HU_alpha,IF((AE138+$K$7)&gt;=$K$7,((AE138+$K$7)-$K$7)-0.5*HU_alpha/$S$7*((AE138+$K$7)-$K$7)^2,IF((AE138+$K$7)&gt;=$T$7,HU_beta*((AE138+$K$7)-$K$7),HU_beta*($T$7-$K$7)))))</f>
        <v/>
      </c>
      <c r="AN138" s="63">
        <f>IF(AND($J$8,A138&gt;=1,A138&lt;=$Q$8-1),J138,0)</f>
        <v/>
      </c>
      <c r="AO138" s="29">
        <f>IF(OR(AN138=0,$S$8=0),0,IF((AE138+$L$8)&gt;$S$8/HU_alpha+$K$8,0.5*$S$8/HU_alpha,IF((AE138+$L$8)&gt;=$K$8,((AE138+$L$8)-$K$8)-0.5*HU_alpha/$S$8*((AE138+$L$8)-$K$8)^2,IF((AE138+$L$8)&gt;=$T$8,HU_beta*((AE138+$L$8)-$K$8),HU_beta*($T$8-$K$8)))))</f>
        <v/>
      </c>
      <c r="AP138" s="29">
        <f>IF(OR(AN138=0,$S$8=0),0,IF((AE138+$L$8+$N$8)&gt;$S$8/HU_alpha+$K$8,0.5*$S$8/HU_alpha,IF((AE138+$L$8+$N$8)&gt;=$K$8,((AE138+$L$8+$N$8)-$K$8)-0.5*HU_alpha/$S$8*((AE138+$L$8+$N$8)-$K$8)^2,IF((AE138+$L$8+$N$8)&gt;=$T$8,HU_beta*((AE138+$L$8+$N$8)-$K$8),HU_beta*($T$8-$K$8)))))</f>
        <v/>
      </c>
      <c r="AQ138" s="29">
        <f>IF(OR(AN138=0,$S$8=0),0,IF((AE138+$K$8)&gt;$S$8/HU_alpha+$K$8,0.5*$S$8/HU_alpha,IF((AE138+$K$8)&gt;=$K$8,((AE138+$K$8)-$K$8)-0.5*HU_alpha/$S$8*((AE138+$K$8)-$K$8)^2,IF((AE138+$K$8)&gt;=$T$8,HU_beta*((AE138+$K$8)-$K$8),HU_beta*($T$8-$K$8)))))</f>
        <v/>
      </c>
      <c r="AR138" s="63">
        <f>IF(AND($J$9,A138&gt;=1,A138&lt;=$Q$9-1),J138,0)</f>
        <v/>
      </c>
      <c r="AS138" s="29">
        <f>IF(OR(AR138=0,$S$9=0),0,IF((AE138+$L$9)&gt;$S$9/HU_alpha+$K$9,0.5*$S$9/HU_alpha,IF((AE138+$L$9)&gt;=$K$9,((AE138+$L$9)-$K$9)-0.5*HU_alpha/$S$9*((AE138+$L$9)-$K$9)^2,IF((AE138+$L$9)&gt;=$T$9,HU_beta*((AE138+$L$9)-$K$9),HU_beta*($T$9-$K$9)))))</f>
        <v/>
      </c>
      <c r="AT138" s="29">
        <f>IF(OR(AR138=0,$S$9=0),0,IF((AE138+$L$9+$N$9)&gt;$S$9/HU_alpha+$K$9,0.5*$S$9/HU_alpha,IF((AE138+$L$9+$N$9)&gt;=$K$9,((AE138+$L$9+$N$9)-$K$9)-0.5*HU_alpha/$S$9*((AE138+$L$9+$N$9)-$K$9)^2,IF((AE138+$L$9+$N$9)&gt;=$T$9,HU_beta*((AE138+$L$9+$N$9)-$K$9),HU_beta*($T$9-$K$9)))))</f>
        <v/>
      </c>
      <c r="AU138" s="29">
        <f>IF(OR(AR138=0,$S$9=0),0,IF((AE138+$K$9)&gt;$S$9/HU_alpha+$K$9,0.5*$S$9/HU_alpha,IF((AE138+$K$9)&gt;=$K$9,((AE138+$K$9)-$K$9)-0.5*HU_alpha/$S$9*((AE138+$K$9)-$K$9)^2,IF((AE138+$K$9)&gt;=$T$9,HU_beta*((AE138+$K$9)-$K$9),HU_beta*($T$9-$K$9)))))</f>
        <v/>
      </c>
      <c r="AV138" s="63">
        <f>IF(AND($J$10,A138=$Q$10),J138,0)</f>
        <v/>
      </c>
      <c r="AW138" s="29">
        <f>IF(OR(AV138=0,$S$10=0),0,IF((AD138+$L$10)&gt;$S$10/HU_alpha+$K$10,0.5*$S$10/HU_alpha,IF((AD138+$L$10)&gt;=$K$10,((AD138+$L$10)-$K$10)-0.5*HU_alpha/$S$10*((AD138+$L$10)-$K$10)^2,IF((AD138+$L$10)&gt;=$T$10,HU_beta*((AD138+$L$10)-$K$10),HU_beta*($T$10-$K$10)))))</f>
        <v/>
      </c>
      <c r="AX138" s="29">
        <f>IF(OR(AV138=0,$S$10=0),0,IF((AD138+$L$10+$N$10)&gt;$S$10/HU_alpha+$K$10,0.5*$S$10/HU_alpha,IF((AD138+$L$10+$N$10)&gt;=$K$10,((AD138+$L$10+$N$10)-$K$10)-0.5*HU_alpha/$S$10*((AD138+$L$10+$N$10)-$K$10)^2,IF((AD138+$L$10+$N$10)&gt;=$T$10,HU_beta*((AD138+$L$10+$N$10)-$K$10),HU_beta*($T$10-$K$10)))))</f>
        <v/>
      </c>
      <c r="AY138" s="29">
        <f>IF(OR(AV138=0,$S$10=0),0,IF((AD138+$K$10)&gt;$S$10/HU_alpha+$K$10,0.5*$S$10/HU_alpha,IF((AD138+$K$10)&gt;=$K$10,((AD138+$K$10)-$K$10)-0.5*HU_alpha/$S$10*((AD138+$K$10)-$K$10)^2,IF((AD138+$K$10)&gt;=$T$10,HU_beta*((AD138+$K$10)-$K$10),HU_beta*($T$10-$K$10)))))</f>
        <v/>
      </c>
      <c r="AZ138" s="63">
        <f>IF(AND($J$11,A138=$Q$11),J138,0)</f>
        <v/>
      </c>
      <c r="BA138" s="29">
        <f>IF(OR(AZ138=0,$S$11=0),0,IF((AE138+$L$11)&gt;$S$11/HU_alpha+$K$11,0.5*$S$11/HU_alpha,IF((AE138+$L$11)&gt;=$K$11,((AE138+$L$11)-$K$11)-0.5*HU_alpha/$S$11*((AE138+$L$11)-$K$11)^2,IF((AE138+$L$11)&gt;=$T$11,HU_beta*((AE138+$L$11)-$K$11),HU_beta*($T$11-$K$11)))))</f>
        <v/>
      </c>
      <c r="BB138" s="29">
        <f>IF(OR(AZ138=0,$S$11=0),0,IF((AE138+$L$11+$N$11)&gt;$S$11/HU_alpha+$K$11,0.5*$S$11/HU_alpha,IF((AE138+$L$11+$N$11)&gt;=$K$11,((AE138+$L$11+$N$11)-$K$11)-0.5*HU_alpha/$S$11*((AE138+$L$11+$N$11)-$K$11)^2,IF((AE138+$L$11+$N$11)&gt;=$T$11,HU_beta*((AE138+$L$11+$N$11)-$K$11),HU_beta*($T$11-$K$11)))))</f>
        <v/>
      </c>
      <c r="BC138" s="29">
        <f>IF(OR(AZ138=0,$S$11=0),0,IF((AE138+$K$11)&gt;$S$11/HU_alpha+$K$11,0.5*$S$11/HU_alpha,IF((AE138+$K$11)&gt;=$K$11,((AE138+$K$11)-$K$11)-0.5*HU_alpha/$S$11*((AE138+$K$11)-$K$11)^2,IF((AE138+$K$11)&gt;=$T$11,HU_beta*((AE138+$K$11)-$K$11),HU_beta*($T$11-$K$11)))))</f>
        <v/>
      </c>
      <c r="BD138" s="63">
        <f>IF(AND($J$12,A138=$Q$12),J138,0)</f>
        <v/>
      </c>
      <c r="BE138" s="29">
        <f>IF(OR(BD138=0,$S$12=0),0,IF((AE138+$L$12)&gt;$S$12/HU_alpha+$K$12,0.5*$S$12/HU_alpha,IF((AE138+$L$12)&gt;=$K$12,((AE138+$L$12)-$K$12)-0.5*HU_alpha/$S$12*((AE138+$L$12)-$K$12)^2,IF((AE138+$L$12)&gt;=$T$12,HU_beta*((AE138+$L$12)-$K$12),HU_beta*($T$12-$K$12)))))</f>
        <v/>
      </c>
      <c r="BF138" s="29">
        <f>IF(OR(BD138=0,$S$12=0),0,IF((AE138+$L$12+$N$12)&gt;$S$12/HU_alpha+$K$12,0.5*$S$12/HU_alpha,IF((AE138+$L$12+$N$12)&gt;=$K$12,((AE138+$L$12+$N$12)-$K$12)-0.5*HU_alpha/$S$12*((AE138+$L$12+$N$12)-$K$12)^2,IF((AE138+$L$12+$N$12)&gt;=$T$12,HU_beta*((AE138+$L$12+$N$12)-$K$12),HU_beta*($T$12-$K$12)))))</f>
        <v/>
      </c>
      <c r="BG138" s="29">
        <f>IF(OR(BD138=0,$S$12=0),0,IF((AE138+$K$12)&gt;$S$12/HU_alpha+$K$12,0.5*$S$12/HU_alpha,IF((AE138+$K$12)&gt;=$K$12,((AE138+$K$12)-$K$12)-0.5*HU_alpha/$S$12*((AE138+$K$12)-$K$12)^2,IF((AE138+$K$12)&gt;=$T$12,HU_beta*((AE138+$K$12)-$K$12),HU_beta*($T$12-$K$12)))))</f>
        <v/>
      </c>
      <c r="BH138" s="63">
        <f>IF(AND($J$13,A138=$Q$13),J138,0)</f>
        <v/>
      </c>
      <c r="BI138" s="29">
        <f>IF(OR(BH138=0,$S$13=0),0,IF((AE138+$L$13)&gt;$S$13/HU_alpha+$K$13,0.5*$S$13/HU_alpha,IF((AE138+$L$13)&gt;=$K$13,((AE138+$L$13)-$K$13)-0.5*HU_alpha/$S$13*((AE138+$L$13)-$K$13)^2,IF((AE138+$L$13)&gt;=$T$13,HU_beta*((AE138+$L$13)-$K$13),HU_beta*($T$13-$K$13)))))</f>
        <v/>
      </c>
      <c r="BJ138" s="29">
        <f>IF(OR(BH138=0,$S$13=0),0,IF((AE138+$L$13+$N$13)&gt;$S$13/HU_alpha+$K$13,0.5*$S$13/HU_alpha,IF((AE138+$L$13+$N$13)&gt;=$K$13,((AE138+$L$13+$N$13)-$K$13)-0.5*HU_alpha/$S$13*((AE138+$L$13+$N$13)-$K$13)^2,IF((AE138+$L$13+$N$13)&gt;=$T$13,HU_beta*((AE138+$L$13+$N$13)-$K$13),HU_beta*($T$13-$K$13)))))</f>
        <v/>
      </c>
      <c r="BK138" s="29">
        <f>IF(OR(BH138=0,$S$13=0),0,IF((AE138+$K$13)&gt;$S$13/HU_alpha+$K$13,0.5*$S$13/HU_alpha,IF((AE138+$K$13)&gt;=$K$13,((AE138+$K$13)-$K$13)-0.5*HU_alpha/$S$13*((AE138+$K$13)-$K$13)^2,IF((AE138+$K$13)&gt;=$T$13,HU_beta*((AE138+$K$13)-$K$13),HU_beta*($T$13-$K$13)))))</f>
        <v/>
      </c>
    </row>
    <row r="139">
      <c r="A139" s="61" t="n">
        <v>71</v>
      </c>
      <c r="B139" s="61">
        <f>HU_age+A139</f>
        <v/>
      </c>
      <c r="C139" s="52">
        <f>A139&lt;=HU_T</f>
        <v/>
      </c>
      <c r="D139" s="63">
        <f>IF(OR(A139&lt;1,A139&gt;HU_T),0,INDEX(HU_q_mort,HU_age+A139-17,HU_col))</f>
        <v/>
      </c>
      <c r="E139" s="63">
        <f>IF(OR(A139&lt;1,A139&gt;HU_T),0,INDEX(HU_q_adb,HU_age+A139-17,HU_col))</f>
        <v/>
      </c>
      <c r="F139" s="63">
        <f>IF(OR(A139&lt;1,A139&gt;HU_T),0,INDEX(HU_q_morb,HU_age+A139-17,HU_col))</f>
        <v/>
      </c>
      <c r="G139" s="63">
        <f>IF(OR(A139&lt;1,A139&gt;HU_T),0,INDEX(HU_q_ptd,HU_age+A139-17,HU_col))</f>
        <v/>
      </c>
      <c r="H139" s="63">
        <f>IF(OR(A139&lt;1,A139&gt;HU_T),0,INDEX(HU_q_dis,HU_age+A139-17,HU_col))</f>
        <v/>
      </c>
      <c r="I139" s="63">
        <f>IF(A139&gt;HU_T,0,I138*(1-D139)*(1-E139))</f>
        <v/>
      </c>
      <c r="J139" s="63">
        <f>IF(A139&gt;=HU_T,0,N(I140))</f>
        <v/>
      </c>
      <c r="K139" s="63">
        <f>K138*(1-G139)</f>
        <v/>
      </c>
      <c r="L139" s="63">
        <f>1-K139</f>
        <v/>
      </c>
      <c r="M139" s="63">
        <f>K138*G139</f>
        <v/>
      </c>
      <c r="N139" s="63">
        <f>N138*(1-H139)</f>
        <v/>
      </c>
      <c r="O139" s="63">
        <f>1-N138</f>
        <v/>
      </c>
      <c r="P139" s="63">
        <f>P138*(1-F139)</f>
        <v/>
      </c>
      <c r="Q139" s="63">
        <f>1-P138/INDEX($P$68:$P$150,MAX(1,A139-HU_ciYears))</f>
        <v/>
      </c>
      <c r="R139" s="60">
        <f>(1+inflationRate)^A139</f>
        <v/>
      </c>
      <c r="S139" s="29">
        <f>IF(OR(OR(A139&lt;1,A139&gt;HU_T),A139-1&gt;=HU_dtr),0,HU_inc0*(1+incomeGrowthRate)^A139)</f>
        <v/>
      </c>
      <c r="T139" s="60">
        <f>IF(A139&gt;HU_T,T138,T138*(1+INDEX(HU_ssG,HU_age+A139-17)))</f>
        <v/>
      </c>
      <c r="U139" s="29">
        <f>IF(AND(HU_dtr&gt;=1,A139=HU_dtr,A139&lt;=HU_T),MIN(S139*INDEX(HU_ssC,HU_age+A139-17)/(1-INDEX(HU_ssC,HU_age+A139-17)),INDEX(HU_ssCap,HU_age+A139-17))*T139,0)</f>
        <v/>
      </c>
      <c r="V139" s="29">
        <f>S139+U139+IF(AND(HU_wdOn,A139=HU_wdYear),HU_wdIncome,0)</f>
        <v/>
      </c>
      <c r="W139" s="60">
        <f>HU_ciProp*Q139+HU_tpdCut*L139+HU_disCut*O139</f>
        <v/>
      </c>
      <c r="X139" s="29">
        <f>IF(OR(A139&lt;1,A139&gt;HU_T),0,V139*(1-W139))</f>
        <v/>
      </c>
      <c r="Y139" s="29">
        <f>IF(OR(A139&lt;1,A139&gt;HU_T),0,IF(AND(HU_retExp&gt;0,A139-1&gt;=HU_dtr),HU_retExp,HU_exp0)*R139)</f>
        <v/>
      </c>
      <c r="Z139" s="29">
        <f>-Y139-IF(AND(HU_wdOn,A139=HU_wdYear),HU_wdOut,0)</f>
        <v/>
      </c>
      <c r="AA139" s="29">
        <f>IF(OR(A139&lt;1,A139&gt;HU_T),0,-HU_medCost*R139*F139-HU_tpdCost*R139*M139)</f>
        <v/>
      </c>
      <c r="AB139" s="29">
        <f>IF(A139&gt;HU_T,0,AB138*(1+interestRate)+X139+Z139+AA139)</f>
        <v/>
      </c>
      <c r="AC139" s="29">
        <f>IF(A139&gt;HU_T,0,HU_inv*EXP(HU_mu*A139))</f>
        <v/>
      </c>
      <c r="AD139" s="29">
        <f>IF(A139&gt;HU_T,0,MAX(0,AC139+AB139))</f>
        <v/>
      </c>
      <c r="AE139" s="29">
        <f>IF(A139&gt;HU_T,0,MAX(0,X139-Y139))</f>
        <v/>
      </c>
      <c r="AF139" s="63">
        <f>IF(AND($J$6,A139&gt;=1,A139&lt;=$Q$6-1),J139,0)</f>
        <v/>
      </c>
      <c r="AG139" s="29">
        <f>IF(OR(AF139=0,$S$6=0),0,IF((AD139+$L$6)&gt;$S$6/HU_alpha+$K$6,0.5*$S$6/HU_alpha,IF((AD139+$L$6)&gt;=$K$6,((AD139+$L$6)-$K$6)-0.5*HU_alpha/$S$6*((AD139+$L$6)-$K$6)^2,IF((AD139+$L$6)&gt;=$T$6,HU_beta*((AD139+$L$6)-$K$6),HU_beta*($T$6-$K$6)))))</f>
        <v/>
      </c>
      <c r="AH139" s="29">
        <f>IF(OR(AF139=0,$S$6=0),0,IF((AD139+$L$6+$N$6)&gt;$S$6/HU_alpha+$K$6,0.5*$S$6/HU_alpha,IF((AD139+$L$6+$N$6)&gt;=$K$6,((AD139+$L$6+$N$6)-$K$6)-0.5*HU_alpha/$S$6*((AD139+$L$6+$N$6)-$K$6)^2,IF((AD139+$L$6+$N$6)&gt;=$T$6,HU_beta*((AD139+$L$6+$N$6)-$K$6),HU_beta*($T$6-$K$6)))))</f>
        <v/>
      </c>
      <c r="AI139" s="29">
        <f>IF(OR(AF139=0,$S$6=0),0,IF((AD139+$K$6)&gt;$S$6/HU_alpha+$K$6,0.5*$S$6/HU_alpha,IF((AD139+$K$6)&gt;=$K$6,((AD139+$K$6)-$K$6)-0.5*HU_alpha/$S$6*((AD139+$K$6)-$K$6)^2,IF((AD139+$K$6)&gt;=$T$6,HU_beta*((AD139+$K$6)-$K$6),HU_beta*($T$6-$K$6)))))</f>
        <v/>
      </c>
      <c r="AJ139" s="63">
        <f>IF(AND($J$7,A139&gt;=1,A139&lt;=$Q$7-1),J139,0)</f>
        <v/>
      </c>
      <c r="AK139" s="29">
        <f>IF(OR(AJ139=0,$S$7=0),0,IF((AE139+$L$7)&gt;$S$7/HU_alpha+$K$7,0.5*$S$7/HU_alpha,IF((AE139+$L$7)&gt;=$K$7,((AE139+$L$7)-$K$7)-0.5*HU_alpha/$S$7*((AE139+$L$7)-$K$7)^2,IF((AE139+$L$7)&gt;=$T$7,HU_beta*((AE139+$L$7)-$K$7),HU_beta*($T$7-$K$7)))))</f>
        <v/>
      </c>
      <c r="AL139" s="29">
        <f>IF(OR(AJ139=0,$S$7=0),0,IF((AE139+$L$7+$N$7)&gt;$S$7/HU_alpha+$K$7,0.5*$S$7/HU_alpha,IF((AE139+$L$7+$N$7)&gt;=$K$7,((AE139+$L$7+$N$7)-$K$7)-0.5*HU_alpha/$S$7*((AE139+$L$7+$N$7)-$K$7)^2,IF((AE139+$L$7+$N$7)&gt;=$T$7,HU_beta*((AE139+$L$7+$N$7)-$K$7),HU_beta*($T$7-$K$7)))))</f>
        <v/>
      </c>
      <c r="AM139" s="29">
        <f>IF(OR(AJ139=0,$S$7=0),0,IF((AE139+$K$7)&gt;$S$7/HU_alpha+$K$7,0.5*$S$7/HU_alpha,IF((AE139+$K$7)&gt;=$K$7,((AE139+$K$7)-$K$7)-0.5*HU_alpha/$S$7*((AE139+$K$7)-$K$7)^2,IF((AE139+$K$7)&gt;=$T$7,HU_beta*((AE139+$K$7)-$K$7),HU_beta*($T$7-$K$7)))))</f>
        <v/>
      </c>
      <c r="AN139" s="63">
        <f>IF(AND($J$8,A139&gt;=1,A139&lt;=$Q$8-1),J139,0)</f>
        <v/>
      </c>
      <c r="AO139" s="29">
        <f>IF(OR(AN139=0,$S$8=0),0,IF((AE139+$L$8)&gt;$S$8/HU_alpha+$K$8,0.5*$S$8/HU_alpha,IF((AE139+$L$8)&gt;=$K$8,((AE139+$L$8)-$K$8)-0.5*HU_alpha/$S$8*((AE139+$L$8)-$K$8)^2,IF((AE139+$L$8)&gt;=$T$8,HU_beta*((AE139+$L$8)-$K$8),HU_beta*($T$8-$K$8)))))</f>
        <v/>
      </c>
      <c r="AP139" s="29">
        <f>IF(OR(AN139=0,$S$8=0),0,IF((AE139+$L$8+$N$8)&gt;$S$8/HU_alpha+$K$8,0.5*$S$8/HU_alpha,IF((AE139+$L$8+$N$8)&gt;=$K$8,((AE139+$L$8+$N$8)-$K$8)-0.5*HU_alpha/$S$8*((AE139+$L$8+$N$8)-$K$8)^2,IF((AE139+$L$8+$N$8)&gt;=$T$8,HU_beta*((AE139+$L$8+$N$8)-$K$8),HU_beta*($T$8-$K$8)))))</f>
        <v/>
      </c>
      <c r="AQ139" s="29">
        <f>IF(OR(AN139=0,$S$8=0),0,IF((AE139+$K$8)&gt;$S$8/HU_alpha+$K$8,0.5*$S$8/HU_alpha,IF((AE139+$K$8)&gt;=$K$8,((AE139+$K$8)-$K$8)-0.5*HU_alpha/$S$8*((AE139+$K$8)-$K$8)^2,IF((AE139+$K$8)&gt;=$T$8,HU_beta*((AE139+$K$8)-$K$8),HU_beta*($T$8-$K$8)))))</f>
        <v/>
      </c>
      <c r="AR139" s="63">
        <f>IF(AND($J$9,A139&gt;=1,A139&lt;=$Q$9-1),J139,0)</f>
        <v/>
      </c>
      <c r="AS139" s="29">
        <f>IF(OR(AR139=0,$S$9=0),0,IF((AE139+$L$9)&gt;$S$9/HU_alpha+$K$9,0.5*$S$9/HU_alpha,IF((AE139+$L$9)&gt;=$K$9,((AE139+$L$9)-$K$9)-0.5*HU_alpha/$S$9*((AE139+$L$9)-$K$9)^2,IF((AE139+$L$9)&gt;=$T$9,HU_beta*((AE139+$L$9)-$K$9),HU_beta*($T$9-$K$9)))))</f>
        <v/>
      </c>
      <c r="AT139" s="29">
        <f>IF(OR(AR139=0,$S$9=0),0,IF((AE139+$L$9+$N$9)&gt;$S$9/HU_alpha+$K$9,0.5*$S$9/HU_alpha,IF((AE139+$L$9+$N$9)&gt;=$K$9,((AE139+$L$9+$N$9)-$K$9)-0.5*HU_alpha/$S$9*((AE139+$L$9+$N$9)-$K$9)^2,IF((AE139+$L$9+$N$9)&gt;=$T$9,HU_beta*((AE139+$L$9+$N$9)-$K$9),HU_beta*($T$9-$K$9)))))</f>
        <v/>
      </c>
      <c r="AU139" s="29">
        <f>IF(OR(AR139=0,$S$9=0),0,IF((AE139+$K$9)&gt;$S$9/HU_alpha+$K$9,0.5*$S$9/HU_alpha,IF((AE139+$K$9)&gt;=$K$9,((AE139+$K$9)-$K$9)-0.5*HU_alpha/$S$9*((AE139+$K$9)-$K$9)^2,IF((AE139+$K$9)&gt;=$T$9,HU_beta*((AE139+$K$9)-$K$9),HU_beta*($T$9-$K$9)))))</f>
        <v/>
      </c>
      <c r="AV139" s="63">
        <f>IF(AND($J$10,A139=$Q$10),J139,0)</f>
        <v/>
      </c>
      <c r="AW139" s="29">
        <f>IF(OR(AV139=0,$S$10=0),0,IF((AD139+$L$10)&gt;$S$10/HU_alpha+$K$10,0.5*$S$10/HU_alpha,IF((AD139+$L$10)&gt;=$K$10,((AD139+$L$10)-$K$10)-0.5*HU_alpha/$S$10*((AD139+$L$10)-$K$10)^2,IF((AD139+$L$10)&gt;=$T$10,HU_beta*((AD139+$L$10)-$K$10),HU_beta*($T$10-$K$10)))))</f>
        <v/>
      </c>
      <c r="AX139" s="29">
        <f>IF(OR(AV139=0,$S$10=0),0,IF((AD139+$L$10+$N$10)&gt;$S$10/HU_alpha+$K$10,0.5*$S$10/HU_alpha,IF((AD139+$L$10+$N$10)&gt;=$K$10,((AD139+$L$10+$N$10)-$K$10)-0.5*HU_alpha/$S$10*((AD139+$L$10+$N$10)-$K$10)^2,IF((AD139+$L$10+$N$10)&gt;=$T$10,HU_beta*((AD139+$L$10+$N$10)-$K$10),HU_beta*($T$10-$K$10)))))</f>
        <v/>
      </c>
      <c r="AY139" s="29">
        <f>IF(OR(AV139=0,$S$10=0),0,IF((AD139+$K$10)&gt;$S$10/HU_alpha+$K$10,0.5*$S$10/HU_alpha,IF((AD139+$K$10)&gt;=$K$10,((AD139+$K$10)-$K$10)-0.5*HU_alpha/$S$10*((AD139+$K$10)-$K$10)^2,IF((AD139+$K$10)&gt;=$T$10,HU_beta*((AD139+$K$10)-$K$10),HU_beta*($T$10-$K$10)))))</f>
        <v/>
      </c>
      <c r="AZ139" s="63">
        <f>IF(AND($J$11,A139=$Q$11),J139,0)</f>
        <v/>
      </c>
      <c r="BA139" s="29">
        <f>IF(OR(AZ139=0,$S$11=0),0,IF((AE139+$L$11)&gt;$S$11/HU_alpha+$K$11,0.5*$S$11/HU_alpha,IF((AE139+$L$11)&gt;=$K$11,((AE139+$L$11)-$K$11)-0.5*HU_alpha/$S$11*((AE139+$L$11)-$K$11)^2,IF((AE139+$L$11)&gt;=$T$11,HU_beta*((AE139+$L$11)-$K$11),HU_beta*($T$11-$K$11)))))</f>
        <v/>
      </c>
      <c r="BB139" s="29">
        <f>IF(OR(AZ139=0,$S$11=0),0,IF((AE139+$L$11+$N$11)&gt;$S$11/HU_alpha+$K$11,0.5*$S$11/HU_alpha,IF((AE139+$L$11+$N$11)&gt;=$K$11,((AE139+$L$11+$N$11)-$K$11)-0.5*HU_alpha/$S$11*((AE139+$L$11+$N$11)-$K$11)^2,IF((AE139+$L$11+$N$11)&gt;=$T$11,HU_beta*((AE139+$L$11+$N$11)-$K$11),HU_beta*($T$11-$K$11)))))</f>
        <v/>
      </c>
      <c r="BC139" s="29">
        <f>IF(OR(AZ139=0,$S$11=0),0,IF((AE139+$K$11)&gt;$S$11/HU_alpha+$K$11,0.5*$S$11/HU_alpha,IF((AE139+$K$11)&gt;=$K$11,((AE139+$K$11)-$K$11)-0.5*HU_alpha/$S$11*((AE139+$K$11)-$K$11)^2,IF((AE139+$K$11)&gt;=$T$11,HU_beta*((AE139+$K$11)-$K$11),HU_beta*($T$11-$K$11)))))</f>
        <v/>
      </c>
      <c r="BD139" s="63">
        <f>IF(AND($J$12,A139=$Q$12),J139,0)</f>
        <v/>
      </c>
      <c r="BE139" s="29">
        <f>IF(OR(BD139=0,$S$12=0),0,IF((AE139+$L$12)&gt;$S$12/HU_alpha+$K$12,0.5*$S$12/HU_alpha,IF((AE139+$L$12)&gt;=$K$12,((AE139+$L$12)-$K$12)-0.5*HU_alpha/$S$12*((AE139+$L$12)-$K$12)^2,IF((AE139+$L$12)&gt;=$T$12,HU_beta*((AE139+$L$12)-$K$12),HU_beta*($T$12-$K$12)))))</f>
        <v/>
      </c>
      <c r="BF139" s="29">
        <f>IF(OR(BD139=0,$S$12=0),0,IF((AE139+$L$12+$N$12)&gt;$S$12/HU_alpha+$K$12,0.5*$S$12/HU_alpha,IF((AE139+$L$12+$N$12)&gt;=$K$12,((AE139+$L$12+$N$12)-$K$12)-0.5*HU_alpha/$S$12*((AE139+$L$12+$N$12)-$K$12)^2,IF((AE139+$L$12+$N$12)&gt;=$T$12,HU_beta*((AE139+$L$12+$N$12)-$K$12),HU_beta*($T$12-$K$12)))))</f>
        <v/>
      </c>
      <c r="BG139" s="29">
        <f>IF(OR(BD139=0,$S$12=0),0,IF((AE139+$K$12)&gt;$S$12/HU_alpha+$K$12,0.5*$S$12/HU_alpha,IF((AE139+$K$12)&gt;=$K$12,((AE139+$K$12)-$K$12)-0.5*HU_alpha/$S$12*((AE139+$K$12)-$K$12)^2,IF((AE139+$K$12)&gt;=$T$12,HU_beta*((AE139+$K$12)-$K$12),HU_beta*($T$12-$K$12)))))</f>
        <v/>
      </c>
      <c r="BH139" s="63">
        <f>IF(AND($J$13,A139=$Q$13),J139,0)</f>
        <v/>
      </c>
      <c r="BI139" s="29">
        <f>IF(OR(BH139=0,$S$13=0),0,IF((AE139+$L$13)&gt;$S$13/HU_alpha+$K$13,0.5*$S$13/HU_alpha,IF((AE139+$L$13)&gt;=$K$13,((AE139+$L$13)-$K$13)-0.5*HU_alpha/$S$13*((AE139+$L$13)-$K$13)^2,IF((AE139+$L$13)&gt;=$T$13,HU_beta*((AE139+$L$13)-$K$13),HU_beta*($T$13-$K$13)))))</f>
        <v/>
      </c>
      <c r="BJ139" s="29">
        <f>IF(OR(BH139=0,$S$13=0),0,IF((AE139+$L$13+$N$13)&gt;$S$13/HU_alpha+$K$13,0.5*$S$13/HU_alpha,IF((AE139+$L$13+$N$13)&gt;=$K$13,((AE139+$L$13+$N$13)-$K$13)-0.5*HU_alpha/$S$13*((AE139+$L$13+$N$13)-$K$13)^2,IF((AE139+$L$13+$N$13)&gt;=$T$13,HU_beta*((AE139+$L$13+$N$13)-$K$13),HU_beta*($T$13-$K$13)))))</f>
        <v/>
      </c>
      <c r="BK139" s="29">
        <f>IF(OR(BH139=0,$S$13=0),0,IF((AE139+$K$13)&gt;$S$13/HU_alpha+$K$13,0.5*$S$13/HU_alpha,IF((AE139+$K$13)&gt;=$K$13,((AE139+$K$13)-$K$13)-0.5*HU_alpha/$S$13*((AE139+$K$13)-$K$13)^2,IF((AE139+$K$13)&gt;=$T$13,HU_beta*((AE139+$K$13)-$K$13),HU_beta*($T$13-$K$13)))))</f>
        <v/>
      </c>
    </row>
    <row r="140">
      <c r="A140" s="61" t="n">
        <v>72</v>
      </c>
      <c r="B140" s="61">
        <f>HU_age+A140</f>
        <v/>
      </c>
      <c r="C140" s="52">
        <f>A140&lt;=HU_T</f>
        <v/>
      </c>
      <c r="D140" s="63">
        <f>IF(OR(A140&lt;1,A140&gt;HU_T),0,INDEX(HU_q_mort,HU_age+A140-17,HU_col))</f>
        <v/>
      </c>
      <c r="E140" s="63">
        <f>IF(OR(A140&lt;1,A140&gt;HU_T),0,INDEX(HU_q_adb,HU_age+A140-17,HU_col))</f>
        <v/>
      </c>
      <c r="F140" s="63">
        <f>IF(OR(A140&lt;1,A140&gt;HU_T),0,INDEX(HU_q_morb,HU_age+A140-17,HU_col))</f>
        <v/>
      </c>
      <c r="G140" s="63">
        <f>IF(OR(A140&lt;1,A140&gt;HU_T),0,INDEX(HU_q_ptd,HU_age+A140-17,HU_col))</f>
        <v/>
      </c>
      <c r="H140" s="63">
        <f>IF(OR(A140&lt;1,A140&gt;HU_T),0,INDEX(HU_q_dis,HU_age+A140-17,HU_col))</f>
        <v/>
      </c>
      <c r="I140" s="63">
        <f>IF(A140&gt;HU_T,0,I139*(1-D140)*(1-E140))</f>
        <v/>
      </c>
      <c r="J140" s="63">
        <f>IF(A140&gt;=HU_T,0,N(I141))</f>
        <v/>
      </c>
      <c r="K140" s="63">
        <f>K139*(1-G140)</f>
        <v/>
      </c>
      <c r="L140" s="63">
        <f>1-K140</f>
        <v/>
      </c>
      <c r="M140" s="63">
        <f>K139*G140</f>
        <v/>
      </c>
      <c r="N140" s="63">
        <f>N139*(1-H140)</f>
        <v/>
      </c>
      <c r="O140" s="63">
        <f>1-N139</f>
        <v/>
      </c>
      <c r="P140" s="63">
        <f>P139*(1-F140)</f>
        <v/>
      </c>
      <c r="Q140" s="63">
        <f>1-P139/INDEX($P$68:$P$150,MAX(1,A140-HU_ciYears))</f>
        <v/>
      </c>
      <c r="R140" s="60">
        <f>(1+inflationRate)^A140</f>
        <v/>
      </c>
      <c r="S140" s="29">
        <f>IF(OR(OR(A140&lt;1,A140&gt;HU_T),A140-1&gt;=HU_dtr),0,HU_inc0*(1+incomeGrowthRate)^A140)</f>
        <v/>
      </c>
      <c r="T140" s="60">
        <f>IF(A140&gt;HU_T,T139,T139*(1+INDEX(HU_ssG,HU_age+A140-17)))</f>
        <v/>
      </c>
      <c r="U140" s="29">
        <f>IF(AND(HU_dtr&gt;=1,A140=HU_dtr,A140&lt;=HU_T),MIN(S140*INDEX(HU_ssC,HU_age+A140-17)/(1-INDEX(HU_ssC,HU_age+A140-17)),INDEX(HU_ssCap,HU_age+A140-17))*T140,0)</f>
        <v/>
      </c>
      <c r="V140" s="29">
        <f>S140+U140+IF(AND(HU_wdOn,A140=HU_wdYear),HU_wdIncome,0)</f>
        <v/>
      </c>
      <c r="W140" s="60">
        <f>HU_ciProp*Q140+HU_tpdCut*L140+HU_disCut*O140</f>
        <v/>
      </c>
      <c r="X140" s="29">
        <f>IF(OR(A140&lt;1,A140&gt;HU_T),0,V140*(1-W140))</f>
        <v/>
      </c>
      <c r="Y140" s="29">
        <f>IF(OR(A140&lt;1,A140&gt;HU_T),0,IF(AND(HU_retExp&gt;0,A140-1&gt;=HU_dtr),HU_retExp,HU_exp0)*R140)</f>
        <v/>
      </c>
      <c r="Z140" s="29">
        <f>-Y140-IF(AND(HU_wdOn,A140=HU_wdYear),HU_wdOut,0)</f>
        <v/>
      </c>
      <c r="AA140" s="29">
        <f>IF(OR(A140&lt;1,A140&gt;HU_T),0,-HU_medCost*R140*F140-HU_tpdCost*R140*M140)</f>
        <v/>
      </c>
      <c r="AB140" s="29">
        <f>IF(A140&gt;HU_T,0,AB139*(1+interestRate)+X140+Z140+AA140)</f>
        <v/>
      </c>
      <c r="AC140" s="29">
        <f>IF(A140&gt;HU_T,0,HU_inv*EXP(HU_mu*A140))</f>
        <v/>
      </c>
      <c r="AD140" s="29">
        <f>IF(A140&gt;HU_T,0,MAX(0,AC140+AB140))</f>
        <v/>
      </c>
      <c r="AE140" s="29">
        <f>IF(A140&gt;HU_T,0,MAX(0,X140-Y140))</f>
        <v/>
      </c>
      <c r="AF140" s="63">
        <f>IF(AND($J$6,A140&gt;=1,A140&lt;=$Q$6-1),J140,0)</f>
        <v/>
      </c>
      <c r="AG140" s="29">
        <f>IF(OR(AF140=0,$S$6=0),0,IF((AD140+$L$6)&gt;$S$6/HU_alpha+$K$6,0.5*$S$6/HU_alpha,IF((AD140+$L$6)&gt;=$K$6,((AD140+$L$6)-$K$6)-0.5*HU_alpha/$S$6*((AD140+$L$6)-$K$6)^2,IF((AD140+$L$6)&gt;=$T$6,HU_beta*((AD140+$L$6)-$K$6),HU_beta*($T$6-$K$6)))))</f>
        <v/>
      </c>
      <c r="AH140" s="29">
        <f>IF(OR(AF140=0,$S$6=0),0,IF((AD140+$L$6+$N$6)&gt;$S$6/HU_alpha+$K$6,0.5*$S$6/HU_alpha,IF((AD140+$L$6+$N$6)&gt;=$K$6,((AD140+$L$6+$N$6)-$K$6)-0.5*HU_alpha/$S$6*((AD140+$L$6+$N$6)-$K$6)^2,IF((AD140+$L$6+$N$6)&gt;=$T$6,HU_beta*((AD140+$L$6+$N$6)-$K$6),HU_beta*($T$6-$K$6)))))</f>
        <v/>
      </c>
      <c r="AI140" s="29">
        <f>IF(OR(AF140=0,$S$6=0),0,IF((AD140+$K$6)&gt;$S$6/HU_alpha+$K$6,0.5*$S$6/HU_alpha,IF((AD140+$K$6)&gt;=$K$6,((AD140+$K$6)-$K$6)-0.5*HU_alpha/$S$6*((AD140+$K$6)-$K$6)^2,IF((AD140+$K$6)&gt;=$T$6,HU_beta*((AD140+$K$6)-$K$6),HU_beta*($T$6-$K$6)))))</f>
        <v/>
      </c>
      <c r="AJ140" s="63">
        <f>IF(AND($J$7,A140&gt;=1,A140&lt;=$Q$7-1),J140,0)</f>
        <v/>
      </c>
      <c r="AK140" s="29">
        <f>IF(OR(AJ140=0,$S$7=0),0,IF((AE140+$L$7)&gt;$S$7/HU_alpha+$K$7,0.5*$S$7/HU_alpha,IF((AE140+$L$7)&gt;=$K$7,((AE140+$L$7)-$K$7)-0.5*HU_alpha/$S$7*((AE140+$L$7)-$K$7)^2,IF((AE140+$L$7)&gt;=$T$7,HU_beta*((AE140+$L$7)-$K$7),HU_beta*($T$7-$K$7)))))</f>
        <v/>
      </c>
      <c r="AL140" s="29">
        <f>IF(OR(AJ140=0,$S$7=0),0,IF((AE140+$L$7+$N$7)&gt;$S$7/HU_alpha+$K$7,0.5*$S$7/HU_alpha,IF((AE140+$L$7+$N$7)&gt;=$K$7,((AE140+$L$7+$N$7)-$K$7)-0.5*HU_alpha/$S$7*((AE140+$L$7+$N$7)-$K$7)^2,IF((AE140+$L$7+$N$7)&gt;=$T$7,HU_beta*((AE140+$L$7+$N$7)-$K$7),HU_beta*($T$7-$K$7)))))</f>
        <v/>
      </c>
      <c r="AM140" s="29">
        <f>IF(OR(AJ140=0,$S$7=0),0,IF((AE140+$K$7)&gt;$S$7/HU_alpha+$K$7,0.5*$S$7/HU_alpha,IF((AE140+$K$7)&gt;=$K$7,((AE140+$K$7)-$K$7)-0.5*HU_alpha/$S$7*((AE140+$K$7)-$K$7)^2,IF((AE140+$K$7)&gt;=$T$7,HU_beta*((AE140+$K$7)-$K$7),HU_beta*($T$7-$K$7)))))</f>
        <v/>
      </c>
      <c r="AN140" s="63">
        <f>IF(AND($J$8,A140&gt;=1,A140&lt;=$Q$8-1),J140,0)</f>
        <v/>
      </c>
      <c r="AO140" s="29">
        <f>IF(OR(AN140=0,$S$8=0),0,IF((AE140+$L$8)&gt;$S$8/HU_alpha+$K$8,0.5*$S$8/HU_alpha,IF((AE140+$L$8)&gt;=$K$8,((AE140+$L$8)-$K$8)-0.5*HU_alpha/$S$8*((AE140+$L$8)-$K$8)^2,IF((AE140+$L$8)&gt;=$T$8,HU_beta*((AE140+$L$8)-$K$8),HU_beta*($T$8-$K$8)))))</f>
        <v/>
      </c>
      <c r="AP140" s="29">
        <f>IF(OR(AN140=0,$S$8=0),0,IF((AE140+$L$8+$N$8)&gt;$S$8/HU_alpha+$K$8,0.5*$S$8/HU_alpha,IF((AE140+$L$8+$N$8)&gt;=$K$8,((AE140+$L$8+$N$8)-$K$8)-0.5*HU_alpha/$S$8*((AE140+$L$8+$N$8)-$K$8)^2,IF((AE140+$L$8+$N$8)&gt;=$T$8,HU_beta*((AE140+$L$8+$N$8)-$K$8),HU_beta*($T$8-$K$8)))))</f>
        <v/>
      </c>
      <c r="AQ140" s="29">
        <f>IF(OR(AN140=0,$S$8=0),0,IF((AE140+$K$8)&gt;$S$8/HU_alpha+$K$8,0.5*$S$8/HU_alpha,IF((AE140+$K$8)&gt;=$K$8,((AE140+$K$8)-$K$8)-0.5*HU_alpha/$S$8*((AE140+$K$8)-$K$8)^2,IF((AE140+$K$8)&gt;=$T$8,HU_beta*((AE140+$K$8)-$K$8),HU_beta*($T$8-$K$8)))))</f>
        <v/>
      </c>
      <c r="AR140" s="63">
        <f>IF(AND($J$9,A140&gt;=1,A140&lt;=$Q$9-1),J140,0)</f>
        <v/>
      </c>
      <c r="AS140" s="29">
        <f>IF(OR(AR140=0,$S$9=0),0,IF((AE140+$L$9)&gt;$S$9/HU_alpha+$K$9,0.5*$S$9/HU_alpha,IF((AE140+$L$9)&gt;=$K$9,((AE140+$L$9)-$K$9)-0.5*HU_alpha/$S$9*((AE140+$L$9)-$K$9)^2,IF((AE140+$L$9)&gt;=$T$9,HU_beta*((AE140+$L$9)-$K$9),HU_beta*($T$9-$K$9)))))</f>
        <v/>
      </c>
      <c r="AT140" s="29">
        <f>IF(OR(AR140=0,$S$9=0),0,IF((AE140+$L$9+$N$9)&gt;$S$9/HU_alpha+$K$9,0.5*$S$9/HU_alpha,IF((AE140+$L$9+$N$9)&gt;=$K$9,((AE140+$L$9+$N$9)-$K$9)-0.5*HU_alpha/$S$9*((AE140+$L$9+$N$9)-$K$9)^2,IF((AE140+$L$9+$N$9)&gt;=$T$9,HU_beta*((AE140+$L$9+$N$9)-$K$9),HU_beta*($T$9-$K$9)))))</f>
        <v/>
      </c>
      <c r="AU140" s="29">
        <f>IF(OR(AR140=0,$S$9=0),0,IF((AE140+$K$9)&gt;$S$9/HU_alpha+$K$9,0.5*$S$9/HU_alpha,IF((AE140+$K$9)&gt;=$K$9,((AE140+$K$9)-$K$9)-0.5*HU_alpha/$S$9*((AE140+$K$9)-$K$9)^2,IF((AE140+$K$9)&gt;=$T$9,HU_beta*((AE140+$K$9)-$K$9),HU_beta*($T$9-$K$9)))))</f>
        <v/>
      </c>
      <c r="AV140" s="63">
        <f>IF(AND($J$10,A140=$Q$10),J140,0)</f>
        <v/>
      </c>
      <c r="AW140" s="29">
        <f>IF(OR(AV140=0,$S$10=0),0,IF((AD140+$L$10)&gt;$S$10/HU_alpha+$K$10,0.5*$S$10/HU_alpha,IF((AD140+$L$10)&gt;=$K$10,((AD140+$L$10)-$K$10)-0.5*HU_alpha/$S$10*((AD140+$L$10)-$K$10)^2,IF((AD140+$L$10)&gt;=$T$10,HU_beta*((AD140+$L$10)-$K$10),HU_beta*($T$10-$K$10)))))</f>
        <v/>
      </c>
      <c r="AX140" s="29">
        <f>IF(OR(AV140=0,$S$10=0),0,IF((AD140+$L$10+$N$10)&gt;$S$10/HU_alpha+$K$10,0.5*$S$10/HU_alpha,IF((AD140+$L$10+$N$10)&gt;=$K$10,((AD140+$L$10+$N$10)-$K$10)-0.5*HU_alpha/$S$10*((AD140+$L$10+$N$10)-$K$10)^2,IF((AD140+$L$10+$N$10)&gt;=$T$10,HU_beta*((AD140+$L$10+$N$10)-$K$10),HU_beta*($T$10-$K$10)))))</f>
        <v/>
      </c>
      <c r="AY140" s="29">
        <f>IF(OR(AV140=0,$S$10=0),0,IF((AD140+$K$10)&gt;$S$10/HU_alpha+$K$10,0.5*$S$10/HU_alpha,IF((AD140+$K$10)&gt;=$K$10,((AD140+$K$10)-$K$10)-0.5*HU_alpha/$S$10*((AD140+$K$10)-$K$10)^2,IF((AD140+$K$10)&gt;=$T$10,HU_beta*((AD140+$K$10)-$K$10),HU_beta*($T$10-$K$10)))))</f>
        <v/>
      </c>
      <c r="AZ140" s="63">
        <f>IF(AND($J$11,A140=$Q$11),J140,0)</f>
        <v/>
      </c>
      <c r="BA140" s="29">
        <f>IF(OR(AZ140=0,$S$11=0),0,IF((AE140+$L$11)&gt;$S$11/HU_alpha+$K$11,0.5*$S$11/HU_alpha,IF((AE140+$L$11)&gt;=$K$11,((AE140+$L$11)-$K$11)-0.5*HU_alpha/$S$11*((AE140+$L$11)-$K$11)^2,IF((AE140+$L$11)&gt;=$T$11,HU_beta*((AE140+$L$11)-$K$11),HU_beta*($T$11-$K$11)))))</f>
        <v/>
      </c>
      <c r="BB140" s="29">
        <f>IF(OR(AZ140=0,$S$11=0),0,IF((AE140+$L$11+$N$11)&gt;$S$11/HU_alpha+$K$11,0.5*$S$11/HU_alpha,IF((AE140+$L$11+$N$11)&gt;=$K$11,((AE140+$L$11+$N$11)-$K$11)-0.5*HU_alpha/$S$11*((AE140+$L$11+$N$11)-$K$11)^2,IF((AE140+$L$11+$N$11)&gt;=$T$11,HU_beta*((AE140+$L$11+$N$11)-$K$11),HU_beta*($T$11-$K$11)))))</f>
        <v/>
      </c>
      <c r="BC140" s="29">
        <f>IF(OR(AZ140=0,$S$11=0),0,IF((AE140+$K$11)&gt;$S$11/HU_alpha+$K$11,0.5*$S$11/HU_alpha,IF((AE140+$K$11)&gt;=$K$11,((AE140+$K$11)-$K$11)-0.5*HU_alpha/$S$11*((AE140+$K$11)-$K$11)^2,IF((AE140+$K$11)&gt;=$T$11,HU_beta*((AE140+$K$11)-$K$11),HU_beta*($T$11-$K$11)))))</f>
        <v/>
      </c>
      <c r="BD140" s="63">
        <f>IF(AND($J$12,A140=$Q$12),J140,0)</f>
        <v/>
      </c>
      <c r="BE140" s="29">
        <f>IF(OR(BD140=0,$S$12=0),0,IF((AE140+$L$12)&gt;$S$12/HU_alpha+$K$12,0.5*$S$12/HU_alpha,IF((AE140+$L$12)&gt;=$K$12,((AE140+$L$12)-$K$12)-0.5*HU_alpha/$S$12*((AE140+$L$12)-$K$12)^2,IF((AE140+$L$12)&gt;=$T$12,HU_beta*((AE140+$L$12)-$K$12),HU_beta*($T$12-$K$12)))))</f>
        <v/>
      </c>
      <c r="BF140" s="29">
        <f>IF(OR(BD140=0,$S$12=0),0,IF((AE140+$L$12+$N$12)&gt;$S$12/HU_alpha+$K$12,0.5*$S$12/HU_alpha,IF((AE140+$L$12+$N$12)&gt;=$K$12,((AE140+$L$12+$N$12)-$K$12)-0.5*HU_alpha/$S$12*((AE140+$L$12+$N$12)-$K$12)^2,IF((AE140+$L$12+$N$12)&gt;=$T$12,HU_beta*((AE140+$L$12+$N$12)-$K$12),HU_beta*($T$12-$K$12)))))</f>
        <v/>
      </c>
      <c r="BG140" s="29">
        <f>IF(OR(BD140=0,$S$12=0),0,IF((AE140+$K$12)&gt;$S$12/HU_alpha+$K$12,0.5*$S$12/HU_alpha,IF((AE140+$K$12)&gt;=$K$12,((AE140+$K$12)-$K$12)-0.5*HU_alpha/$S$12*((AE140+$K$12)-$K$12)^2,IF((AE140+$K$12)&gt;=$T$12,HU_beta*((AE140+$K$12)-$K$12),HU_beta*($T$12-$K$12)))))</f>
        <v/>
      </c>
      <c r="BH140" s="63">
        <f>IF(AND($J$13,A140=$Q$13),J140,0)</f>
        <v/>
      </c>
      <c r="BI140" s="29">
        <f>IF(OR(BH140=0,$S$13=0),0,IF((AE140+$L$13)&gt;$S$13/HU_alpha+$K$13,0.5*$S$13/HU_alpha,IF((AE140+$L$13)&gt;=$K$13,((AE140+$L$13)-$K$13)-0.5*HU_alpha/$S$13*((AE140+$L$13)-$K$13)^2,IF((AE140+$L$13)&gt;=$T$13,HU_beta*((AE140+$L$13)-$K$13),HU_beta*($T$13-$K$13)))))</f>
        <v/>
      </c>
      <c r="BJ140" s="29">
        <f>IF(OR(BH140=0,$S$13=0),0,IF((AE140+$L$13+$N$13)&gt;$S$13/HU_alpha+$K$13,0.5*$S$13/HU_alpha,IF((AE140+$L$13+$N$13)&gt;=$K$13,((AE140+$L$13+$N$13)-$K$13)-0.5*HU_alpha/$S$13*((AE140+$L$13+$N$13)-$K$13)^2,IF((AE140+$L$13+$N$13)&gt;=$T$13,HU_beta*((AE140+$L$13+$N$13)-$K$13),HU_beta*($T$13-$K$13)))))</f>
        <v/>
      </c>
      <c r="BK140" s="29">
        <f>IF(OR(BH140=0,$S$13=0),0,IF((AE140+$K$13)&gt;$S$13/HU_alpha+$K$13,0.5*$S$13/HU_alpha,IF((AE140+$K$13)&gt;=$K$13,((AE140+$K$13)-$K$13)-0.5*HU_alpha/$S$13*((AE140+$K$13)-$K$13)^2,IF((AE140+$K$13)&gt;=$T$13,HU_beta*((AE140+$K$13)-$K$13),HU_beta*($T$13-$K$13)))))</f>
        <v/>
      </c>
    </row>
    <row r="141">
      <c r="A141" s="61" t="n">
        <v>73</v>
      </c>
      <c r="B141" s="61">
        <f>HU_age+A141</f>
        <v/>
      </c>
      <c r="C141" s="52">
        <f>A141&lt;=HU_T</f>
        <v/>
      </c>
      <c r="D141" s="63">
        <f>IF(OR(A141&lt;1,A141&gt;HU_T),0,INDEX(HU_q_mort,HU_age+A141-17,HU_col))</f>
        <v/>
      </c>
      <c r="E141" s="63">
        <f>IF(OR(A141&lt;1,A141&gt;HU_T),0,INDEX(HU_q_adb,HU_age+A141-17,HU_col))</f>
        <v/>
      </c>
      <c r="F141" s="63">
        <f>IF(OR(A141&lt;1,A141&gt;HU_T),0,INDEX(HU_q_morb,HU_age+A141-17,HU_col))</f>
        <v/>
      </c>
      <c r="G141" s="63">
        <f>IF(OR(A141&lt;1,A141&gt;HU_T),0,INDEX(HU_q_ptd,HU_age+A141-17,HU_col))</f>
        <v/>
      </c>
      <c r="H141" s="63">
        <f>IF(OR(A141&lt;1,A141&gt;HU_T),0,INDEX(HU_q_dis,HU_age+A141-17,HU_col))</f>
        <v/>
      </c>
      <c r="I141" s="63">
        <f>IF(A141&gt;HU_T,0,I140*(1-D141)*(1-E141))</f>
        <v/>
      </c>
      <c r="J141" s="63">
        <f>IF(A141&gt;=HU_T,0,N(I142))</f>
        <v/>
      </c>
      <c r="K141" s="63">
        <f>K140*(1-G141)</f>
        <v/>
      </c>
      <c r="L141" s="63">
        <f>1-K141</f>
        <v/>
      </c>
      <c r="M141" s="63">
        <f>K140*G141</f>
        <v/>
      </c>
      <c r="N141" s="63">
        <f>N140*(1-H141)</f>
        <v/>
      </c>
      <c r="O141" s="63">
        <f>1-N140</f>
        <v/>
      </c>
      <c r="P141" s="63">
        <f>P140*(1-F141)</f>
        <v/>
      </c>
      <c r="Q141" s="63">
        <f>1-P140/INDEX($P$68:$P$150,MAX(1,A141-HU_ciYears))</f>
        <v/>
      </c>
      <c r="R141" s="60">
        <f>(1+inflationRate)^A141</f>
        <v/>
      </c>
      <c r="S141" s="29">
        <f>IF(OR(OR(A141&lt;1,A141&gt;HU_T),A141-1&gt;=HU_dtr),0,HU_inc0*(1+incomeGrowthRate)^A141)</f>
        <v/>
      </c>
      <c r="T141" s="60">
        <f>IF(A141&gt;HU_T,T140,T140*(1+INDEX(HU_ssG,HU_age+A141-17)))</f>
        <v/>
      </c>
      <c r="U141" s="29">
        <f>IF(AND(HU_dtr&gt;=1,A141=HU_dtr,A141&lt;=HU_T),MIN(S141*INDEX(HU_ssC,HU_age+A141-17)/(1-INDEX(HU_ssC,HU_age+A141-17)),INDEX(HU_ssCap,HU_age+A141-17))*T141,0)</f>
        <v/>
      </c>
      <c r="V141" s="29">
        <f>S141+U141+IF(AND(HU_wdOn,A141=HU_wdYear),HU_wdIncome,0)</f>
        <v/>
      </c>
      <c r="W141" s="60">
        <f>HU_ciProp*Q141+HU_tpdCut*L141+HU_disCut*O141</f>
        <v/>
      </c>
      <c r="X141" s="29">
        <f>IF(OR(A141&lt;1,A141&gt;HU_T),0,V141*(1-W141))</f>
        <v/>
      </c>
      <c r="Y141" s="29">
        <f>IF(OR(A141&lt;1,A141&gt;HU_T),0,IF(AND(HU_retExp&gt;0,A141-1&gt;=HU_dtr),HU_retExp,HU_exp0)*R141)</f>
        <v/>
      </c>
      <c r="Z141" s="29">
        <f>-Y141-IF(AND(HU_wdOn,A141=HU_wdYear),HU_wdOut,0)</f>
        <v/>
      </c>
      <c r="AA141" s="29">
        <f>IF(OR(A141&lt;1,A141&gt;HU_T),0,-HU_medCost*R141*F141-HU_tpdCost*R141*M141)</f>
        <v/>
      </c>
      <c r="AB141" s="29">
        <f>IF(A141&gt;HU_T,0,AB140*(1+interestRate)+X141+Z141+AA141)</f>
        <v/>
      </c>
      <c r="AC141" s="29">
        <f>IF(A141&gt;HU_T,0,HU_inv*EXP(HU_mu*A141))</f>
        <v/>
      </c>
      <c r="AD141" s="29">
        <f>IF(A141&gt;HU_T,0,MAX(0,AC141+AB141))</f>
        <v/>
      </c>
      <c r="AE141" s="29">
        <f>IF(A141&gt;HU_T,0,MAX(0,X141-Y141))</f>
        <v/>
      </c>
      <c r="AF141" s="63">
        <f>IF(AND($J$6,A141&gt;=1,A141&lt;=$Q$6-1),J141,0)</f>
        <v/>
      </c>
      <c r="AG141" s="29">
        <f>IF(OR(AF141=0,$S$6=0),0,IF((AD141+$L$6)&gt;$S$6/HU_alpha+$K$6,0.5*$S$6/HU_alpha,IF((AD141+$L$6)&gt;=$K$6,((AD141+$L$6)-$K$6)-0.5*HU_alpha/$S$6*((AD141+$L$6)-$K$6)^2,IF((AD141+$L$6)&gt;=$T$6,HU_beta*((AD141+$L$6)-$K$6),HU_beta*($T$6-$K$6)))))</f>
        <v/>
      </c>
      <c r="AH141" s="29">
        <f>IF(OR(AF141=0,$S$6=0),0,IF((AD141+$L$6+$N$6)&gt;$S$6/HU_alpha+$K$6,0.5*$S$6/HU_alpha,IF((AD141+$L$6+$N$6)&gt;=$K$6,((AD141+$L$6+$N$6)-$K$6)-0.5*HU_alpha/$S$6*((AD141+$L$6+$N$6)-$K$6)^2,IF((AD141+$L$6+$N$6)&gt;=$T$6,HU_beta*((AD141+$L$6+$N$6)-$K$6),HU_beta*($T$6-$K$6)))))</f>
        <v/>
      </c>
      <c r="AI141" s="29">
        <f>IF(OR(AF141=0,$S$6=0),0,IF((AD141+$K$6)&gt;$S$6/HU_alpha+$K$6,0.5*$S$6/HU_alpha,IF((AD141+$K$6)&gt;=$K$6,((AD141+$K$6)-$K$6)-0.5*HU_alpha/$S$6*((AD141+$K$6)-$K$6)^2,IF((AD141+$K$6)&gt;=$T$6,HU_beta*((AD141+$K$6)-$K$6),HU_beta*($T$6-$K$6)))))</f>
        <v/>
      </c>
      <c r="AJ141" s="63">
        <f>IF(AND($J$7,A141&gt;=1,A141&lt;=$Q$7-1),J141,0)</f>
        <v/>
      </c>
      <c r="AK141" s="29">
        <f>IF(OR(AJ141=0,$S$7=0),0,IF((AE141+$L$7)&gt;$S$7/HU_alpha+$K$7,0.5*$S$7/HU_alpha,IF((AE141+$L$7)&gt;=$K$7,((AE141+$L$7)-$K$7)-0.5*HU_alpha/$S$7*((AE141+$L$7)-$K$7)^2,IF((AE141+$L$7)&gt;=$T$7,HU_beta*((AE141+$L$7)-$K$7),HU_beta*($T$7-$K$7)))))</f>
        <v/>
      </c>
      <c r="AL141" s="29">
        <f>IF(OR(AJ141=0,$S$7=0),0,IF((AE141+$L$7+$N$7)&gt;$S$7/HU_alpha+$K$7,0.5*$S$7/HU_alpha,IF((AE141+$L$7+$N$7)&gt;=$K$7,((AE141+$L$7+$N$7)-$K$7)-0.5*HU_alpha/$S$7*((AE141+$L$7+$N$7)-$K$7)^2,IF((AE141+$L$7+$N$7)&gt;=$T$7,HU_beta*((AE141+$L$7+$N$7)-$K$7),HU_beta*($T$7-$K$7)))))</f>
        <v/>
      </c>
      <c r="AM141" s="29">
        <f>IF(OR(AJ141=0,$S$7=0),0,IF((AE141+$K$7)&gt;$S$7/HU_alpha+$K$7,0.5*$S$7/HU_alpha,IF((AE141+$K$7)&gt;=$K$7,((AE141+$K$7)-$K$7)-0.5*HU_alpha/$S$7*((AE141+$K$7)-$K$7)^2,IF((AE141+$K$7)&gt;=$T$7,HU_beta*((AE141+$K$7)-$K$7),HU_beta*($T$7-$K$7)))))</f>
        <v/>
      </c>
      <c r="AN141" s="63">
        <f>IF(AND($J$8,A141&gt;=1,A141&lt;=$Q$8-1),J141,0)</f>
        <v/>
      </c>
      <c r="AO141" s="29">
        <f>IF(OR(AN141=0,$S$8=0),0,IF((AE141+$L$8)&gt;$S$8/HU_alpha+$K$8,0.5*$S$8/HU_alpha,IF((AE141+$L$8)&gt;=$K$8,((AE141+$L$8)-$K$8)-0.5*HU_alpha/$S$8*((AE141+$L$8)-$K$8)^2,IF((AE141+$L$8)&gt;=$T$8,HU_beta*((AE141+$L$8)-$K$8),HU_beta*($T$8-$K$8)))))</f>
        <v/>
      </c>
      <c r="AP141" s="29">
        <f>IF(OR(AN141=0,$S$8=0),0,IF((AE141+$L$8+$N$8)&gt;$S$8/HU_alpha+$K$8,0.5*$S$8/HU_alpha,IF((AE141+$L$8+$N$8)&gt;=$K$8,((AE141+$L$8+$N$8)-$K$8)-0.5*HU_alpha/$S$8*((AE141+$L$8+$N$8)-$K$8)^2,IF((AE141+$L$8+$N$8)&gt;=$T$8,HU_beta*((AE141+$L$8+$N$8)-$K$8),HU_beta*($T$8-$K$8)))))</f>
        <v/>
      </c>
      <c r="AQ141" s="29">
        <f>IF(OR(AN141=0,$S$8=0),0,IF((AE141+$K$8)&gt;$S$8/HU_alpha+$K$8,0.5*$S$8/HU_alpha,IF((AE141+$K$8)&gt;=$K$8,((AE141+$K$8)-$K$8)-0.5*HU_alpha/$S$8*((AE141+$K$8)-$K$8)^2,IF((AE141+$K$8)&gt;=$T$8,HU_beta*((AE141+$K$8)-$K$8),HU_beta*($T$8-$K$8)))))</f>
        <v/>
      </c>
      <c r="AR141" s="63">
        <f>IF(AND($J$9,A141&gt;=1,A141&lt;=$Q$9-1),J141,0)</f>
        <v/>
      </c>
      <c r="AS141" s="29">
        <f>IF(OR(AR141=0,$S$9=0),0,IF((AE141+$L$9)&gt;$S$9/HU_alpha+$K$9,0.5*$S$9/HU_alpha,IF((AE141+$L$9)&gt;=$K$9,((AE141+$L$9)-$K$9)-0.5*HU_alpha/$S$9*((AE141+$L$9)-$K$9)^2,IF((AE141+$L$9)&gt;=$T$9,HU_beta*((AE141+$L$9)-$K$9),HU_beta*($T$9-$K$9)))))</f>
        <v/>
      </c>
      <c r="AT141" s="29">
        <f>IF(OR(AR141=0,$S$9=0),0,IF((AE141+$L$9+$N$9)&gt;$S$9/HU_alpha+$K$9,0.5*$S$9/HU_alpha,IF((AE141+$L$9+$N$9)&gt;=$K$9,((AE141+$L$9+$N$9)-$K$9)-0.5*HU_alpha/$S$9*((AE141+$L$9+$N$9)-$K$9)^2,IF((AE141+$L$9+$N$9)&gt;=$T$9,HU_beta*((AE141+$L$9+$N$9)-$K$9),HU_beta*($T$9-$K$9)))))</f>
        <v/>
      </c>
      <c r="AU141" s="29">
        <f>IF(OR(AR141=0,$S$9=0),0,IF((AE141+$K$9)&gt;$S$9/HU_alpha+$K$9,0.5*$S$9/HU_alpha,IF((AE141+$K$9)&gt;=$K$9,((AE141+$K$9)-$K$9)-0.5*HU_alpha/$S$9*((AE141+$K$9)-$K$9)^2,IF((AE141+$K$9)&gt;=$T$9,HU_beta*((AE141+$K$9)-$K$9),HU_beta*($T$9-$K$9)))))</f>
        <v/>
      </c>
      <c r="AV141" s="63">
        <f>IF(AND($J$10,A141=$Q$10),J141,0)</f>
        <v/>
      </c>
      <c r="AW141" s="29">
        <f>IF(OR(AV141=0,$S$10=0),0,IF((AD141+$L$10)&gt;$S$10/HU_alpha+$K$10,0.5*$S$10/HU_alpha,IF((AD141+$L$10)&gt;=$K$10,((AD141+$L$10)-$K$10)-0.5*HU_alpha/$S$10*((AD141+$L$10)-$K$10)^2,IF((AD141+$L$10)&gt;=$T$10,HU_beta*((AD141+$L$10)-$K$10),HU_beta*($T$10-$K$10)))))</f>
        <v/>
      </c>
      <c r="AX141" s="29">
        <f>IF(OR(AV141=0,$S$10=0),0,IF((AD141+$L$10+$N$10)&gt;$S$10/HU_alpha+$K$10,0.5*$S$10/HU_alpha,IF((AD141+$L$10+$N$10)&gt;=$K$10,((AD141+$L$10+$N$10)-$K$10)-0.5*HU_alpha/$S$10*((AD141+$L$10+$N$10)-$K$10)^2,IF((AD141+$L$10+$N$10)&gt;=$T$10,HU_beta*((AD141+$L$10+$N$10)-$K$10),HU_beta*($T$10-$K$10)))))</f>
        <v/>
      </c>
      <c r="AY141" s="29">
        <f>IF(OR(AV141=0,$S$10=0),0,IF((AD141+$K$10)&gt;$S$10/HU_alpha+$K$10,0.5*$S$10/HU_alpha,IF((AD141+$K$10)&gt;=$K$10,((AD141+$K$10)-$K$10)-0.5*HU_alpha/$S$10*((AD141+$K$10)-$K$10)^2,IF((AD141+$K$10)&gt;=$T$10,HU_beta*((AD141+$K$10)-$K$10),HU_beta*($T$10-$K$10)))))</f>
        <v/>
      </c>
      <c r="AZ141" s="63">
        <f>IF(AND($J$11,A141=$Q$11),J141,0)</f>
        <v/>
      </c>
      <c r="BA141" s="29">
        <f>IF(OR(AZ141=0,$S$11=0),0,IF((AE141+$L$11)&gt;$S$11/HU_alpha+$K$11,0.5*$S$11/HU_alpha,IF((AE141+$L$11)&gt;=$K$11,((AE141+$L$11)-$K$11)-0.5*HU_alpha/$S$11*((AE141+$L$11)-$K$11)^2,IF((AE141+$L$11)&gt;=$T$11,HU_beta*((AE141+$L$11)-$K$11),HU_beta*($T$11-$K$11)))))</f>
        <v/>
      </c>
      <c r="BB141" s="29">
        <f>IF(OR(AZ141=0,$S$11=0),0,IF((AE141+$L$11+$N$11)&gt;$S$11/HU_alpha+$K$11,0.5*$S$11/HU_alpha,IF((AE141+$L$11+$N$11)&gt;=$K$11,((AE141+$L$11+$N$11)-$K$11)-0.5*HU_alpha/$S$11*((AE141+$L$11+$N$11)-$K$11)^2,IF((AE141+$L$11+$N$11)&gt;=$T$11,HU_beta*((AE141+$L$11+$N$11)-$K$11),HU_beta*($T$11-$K$11)))))</f>
        <v/>
      </c>
      <c r="BC141" s="29">
        <f>IF(OR(AZ141=0,$S$11=0),0,IF((AE141+$K$11)&gt;$S$11/HU_alpha+$K$11,0.5*$S$11/HU_alpha,IF((AE141+$K$11)&gt;=$K$11,((AE141+$K$11)-$K$11)-0.5*HU_alpha/$S$11*((AE141+$K$11)-$K$11)^2,IF((AE141+$K$11)&gt;=$T$11,HU_beta*((AE141+$K$11)-$K$11),HU_beta*($T$11-$K$11)))))</f>
        <v/>
      </c>
      <c r="BD141" s="63">
        <f>IF(AND($J$12,A141=$Q$12),J141,0)</f>
        <v/>
      </c>
      <c r="BE141" s="29">
        <f>IF(OR(BD141=0,$S$12=0),0,IF((AE141+$L$12)&gt;$S$12/HU_alpha+$K$12,0.5*$S$12/HU_alpha,IF((AE141+$L$12)&gt;=$K$12,((AE141+$L$12)-$K$12)-0.5*HU_alpha/$S$12*((AE141+$L$12)-$K$12)^2,IF((AE141+$L$12)&gt;=$T$12,HU_beta*((AE141+$L$12)-$K$12),HU_beta*($T$12-$K$12)))))</f>
        <v/>
      </c>
      <c r="BF141" s="29">
        <f>IF(OR(BD141=0,$S$12=0),0,IF((AE141+$L$12+$N$12)&gt;$S$12/HU_alpha+$K$12,0.5*$S$12/HU_alpha,IF((AE141+$L$12+$N$12)&gt;=$K$12,((AE141+$L$12+$N$12)-$K$12)-0.5*HU_alpha/$S$12*((AE141+$L$12+$N$12)-$K$12)^2,IF((AE141+$L$12+$N$12)&gt;=$T$12,HU_beta*((AE141+$L$12+$N$12)-$K$12),HU_beta*($T$12-$K$12)))))</f>
        <v/>
      </c>
      <c r="BG141" s="29">
        <f>IF(OR(BD141=0,$S$12=0),0,IF((AE141+$K$12)&gt;$S$12/HU_alpha+$K$12,0.5*$S$12/HU_alpha,IF((AE141+$K$12)&gt;=$K$12,((AE141+$K$12)-$K$12)-0.5*HU_alpha/$S$12*((AE141+$K$12)-$K$12)^2,IF((AE141+$K$12)&gt;=$T$12,HU_beta*((AE141+$K$12)-$K$12),HU_beta*($T$12-$K$12)))))</f>
        <v/>
      </c>
      <c r="BH141" s="63">
        <f>IF(AND($J$13,A141=$Q$13),J141,0)</f>
        <v/>
      </c>
      <c r="BI141" s="29">
        <f>IF(OR(BH141=0,$S$13=0),0,IF((AE141+$L$13)&gt;$S$13/HU_alpha+$K$13,0.5*$S$13/HU_alpha,IF((AE141+$L$13)&gt;=$K$13,((AE141+$L$13)-$K$13)-0.5*HU_alpha/$S$13*((AE141+$L$13)-$K$13)^2,IF((AE141+$L$13)&gt;=$T$13,HU_beta*((AE141+$L$13)-$K$13),HU_beta*($T$13-$K$13)))))</f>
        <v/>
      </c>
      <c r="BJ141" s="29">
        <f>IF(OR(BH141=0,$S$13=0),0,IF((AE141+$L$13+$N$13)&gt;$S$13/HU_alpha+$K$13,0.5*$S$13/HU_alpha,IF((AE141+$L$13+$N$13)&gt;=$K$13,((AE141+$L$13+$N$13)-$K$13)-0.5*HU_alpha/$S$13*((AE141+$L$13+$N$13)-$K$13)^2,IF((AE141+$L$13+$N$13)&gt;=$T$13,HU_beta*((AE141+$L$13+$N$13)-$K$13),HU_beta*($T$13-$K$13)))))</f>
        <v/>
      </c>
      <c r="BK141" s="29">
        <f>IF(OR(BH141=0,$S$13=0),0,IF((AE141+$K$13)&gt;$S$13/HU_alpha+$K$13,0.5*$S$13/HU_alpha,IF((AE141+$K$13)&gt;=$K$13,((AE141+$K$13)-$K$13)-0.5*HU_alpha/$S$13*((AE141+$K$13)-$K$13)^2,IF((AE141+$K$13)&gt;=$T$13,HU_beta*((AE141+$K$13)-$K$13),HU_beta*($T$13-$K$13)))))</f>
        <v/>
      </c>
    </row>
    <row r="142">
      <c r="A142" s="61" t="n">
        <v>74</v>
      </c>
      <c r="B142" s="61">
        <f>HU_age+A142</f>
        <v/>
      </c>
      <c r="C142" s="52">
        <f>A142&lt;=HU_T</f>
        <v/>
      </c>
      <c r="D142" s="63">
        <f>IF(OR(A142&lt;1,A142&gt;HU_T),0,INDEX(HU_q_mort,HU_age+A142-17,HU_col))</f>
        <v/>
      </c>
      <c r="E142" s="63">
        <f>IF(OR(A142&lt;1,A142&gt;HU_T),0,INDEX(HU_q_adb,HU_age+A142-17,HU_col))</f>
        <v/>
      </c>
      <c r="F142" s="63">
        <f>IF(OR(A142&lt;1,A142&gt;HU_T),0,INDEX(HU_q_morb,HU_age+A142-17,HU_col))</f>
        <v/>
      </c>
      <c r="G142" s="63">
        <f>IF(OR(A142&lt;1,A142&gt;HU_T),0,INDEX(HU_q_ptd,HU_age+A142-17,HU_col))</f>
        <v/>
      </c>
      <c r="H142" s="63">
        <f>IF(OR(A142&lt;1,A142&gt;HU_T),0,INDEX(HU_q_dis,HU_age+A142-17,HU_col))</f>
        <v/>
      </c>
      <c r="I142" s="63">
        <f>IF(A142&gt;HU_T,0,I141*(1-D142)*(1-E142))</f>
        <v/>
      </c>
      <c r="J142" s="63">
        <f>IF(A142&gt;=HU_T,0,N(I143))</f>
        <v/>
      </c>
      <c r="K142" s="63">
        <f>K141*(1-G142)</f>
        <v/>
      </c>
      <c r="L142" s="63">
        <f>1-K142</f>
        <v/>
      </c>
      <c r="M142" s="63">
        <f>K141*G142</f>
        <v/>
      </c>
      <c r="N142" s="63">
        <f>N141*(1-H142)</f>
        <v/>
      </c>
      <c r="O142" s="63">
        <f>1-N141</f>
        <v/>
      </c>
      <c r="P142" s="63">
        <f>P141*(1-F142)</f>
        <v/>
      </c>
      <c r="Q142" s="63">
        <f>1-P141/INDEX($P$68:$P$150,MAX(1,A142-HU_ciYears))</f>
        <v/>
      </c>
      <c r="R142" s="60">
        <f>(1+inflationRate)^A142</f>
        <v/>
      </c>
      <c r="S142" s="29">
        <f>IF(OR(OR(A142&lt;1,A142&gt;HU_T),A142-1&gt;=HU_dtr),0,HU_inc0*(1+incomeGrowthRate)^A142)</f>
        <v/>
      </c>
      <c r="T142" s="60">
        <f>IF(A142&gt;HU_T,T141,T141*(1+INDEX(HU_ssG,HU_age+A142-17)))</f>
        <v/>
      </c>
      <c r="U142" s="29">
        <f>IF(AND(HU_dtr&gt;=1,A142=HU_dtr,A142&lt;=HU_T),MIN(S142*INDEX(HU_ssC,HU_age+A142-17)/(1-INDEX(HU_ssC,HU_age+A142-17)),INDEX(HU_ssCap,HU_age+A142-17))*T142,0)</f>
        <v/>
      </c>
      <c r="V142" s="29">
        <f>S142+U142+IF(AND(HU_wdOn,A142=HU_wdYear),HU_wdIncome,0)</f>
        <v/>
      </c>
      <c r="W142" s="60">
        <f>HU_ciProp*Q142+HU_tpdCut*L142+HU_disCut*O142</f>
        <v/>
      </c>
      <c r="X142" s="29">
        <f>IF(OR(A142&lt;1,A142&gt;HU_T),0,V142*(1-W142))</f>
        <v/>
      </c>
      <c r="Y142" s="29">
        <f>IF(OR(A142&lt;1,A142&gt;HU_T),0,IF(AND(HU_retExp&gt;0,A142-1&gt;=HU_dtr),HU_retExp,HU_exp0)*R142)</f>
        <v/>
      </c>
      <c r="Z142" s="29">
        <f>-Y142-IF(AND(HU_wdOn,A142=HU_wdYear),HU_wdOut,0)</f>
        <v/>
      </c>
      <c r="AA142" s="29">
        <f>IF(OR(A142&lt;1,A142&gt;HU_T),0,-HU_medCost*R142*F142-HU_tpdCost*R142*M142)</f>
        <v/>
      </c>
      <c r="AB142" s="29">
        <f>IF(A142&gt;HU_T,0,AB141*(1+interestRate)+X142+Z142+AA142)</f>
        <v/>
      </c>
      <c r="AC142" s="29">
        <f>IF(A142&gt;HU_T,0,HU_inv*EXP(HU_mu*A142))</f>
        <v/>
      </c>
      <c r="AD142" s="29">
        <f>IF(A142&gt;HU_T,0,MAX(0,AC142+AB142))</f>
        <v/>
      </c>
      <c r="AE142" s="29">
        <f>IF(A142&gt;HU_T,0,MAX(0,X142-Y142))</f>
        <v/>
      </c>
      <c r="AF142" s="63">
        <f>IF(AND($J$6,A142&gt;=1,A142&lt;=$Q$6-1),J142,0)</f>
        <v/>
      </c>
      <c r="AG142" s="29">
        <f>IF(OR(AF142=0,$S$6=0),0,IF((AD142+$L$6)&gt;$S$6/HU_alpha+$K$6,0.5*$S$6/HU_alpha,IF((AD142+$L$6)&gt;=$K$6,((AD142+$L$6)-$K$6)-0.5*HU_alpha/$S$6*((AD142+$L$6)-$K$6)^2,IF((AD142+$L$6)&gt;=$T$6,HU_beta*((AD142+$L$6)-$K$6),HU_beta*($T$6-$K$6)))))</f>
        <v/>
      </c>
      <c r="AH142" s="29">
        <f>IF(OR(AF142=0,$S$6=0),0,IF((AD142+$L$6+$N$6)&gt;$S$6/HU_alpha+$K$6,0.5*$S$6/HU_alpha,IF((AD142+$L$6+$N$6)&gt;=$K$6,((AD142+$L$6+$N$6)-$K$6)-0.5*HU_alpha/$S$6*((AD142+$L$6+$N$6)-$K$6)^2,IF((AD142+$L$6+$N$6)&gt;=$T$6,HU_beta*((AD142+$L$6+$N$6)-$K$6),HU_beta*($T$6-$K$6)))))</f>
        <v/>
      </c>
      <c r="AI142" s="29">
        <f>IF(OR(AF142=0,$S$6=0),0,IF((AD142+$K$6)&gt;$S$6/HU_alpha+$K$6,0.5*$S$6/HU_alpha,IF((AD142+$K$6)&gt;=$K$6,((AD142+$K$6)-$K$6)-0.5*HU_alpha/$S$6*((AD142+$K$6)-$K$6)^2,IF((AD142+$K$6)&gt;=$T$6,HU_beta*((AD142+$K$6)-$K$6),HU_beta*($T$6-$K$6)))))</f>
        <v/>
      </c>
      <c r="AJ142" s="63">
        <f>IF(AND($J$7,A142&gt;=1,A142&lt;=$Q$7-1),J142,0)</f>
        <v/>
      </c>
      <c r="AK142" s="29">
        <f>IF(OR(AJ142=0,$S$7=0),0,IF((AE142+$L$7)&gt;$S$7/HU_alpha+$K$7,0.5*$S$7/HU_alpha,IF((AE142+$L$7)&gt;=$K$7,((AE142+$L$7)-$K$7)-0.5*HU_alpha/$S$7*((AE142+$L$7)-$K$7)^2,IF((AE142+$L$7)&gt;=$T$7,HU_beta*((AE142+$L$7)-$K$7),HU_beta*($T$7-$K$7)))))</f>
        <v/>
      </c>
      <c r="AL142" s="29">
        <f>IF(OR(AJ142=0,$S$7=0),0,IF((AE142+$L$7+$N$7)&gt;$S$7/HU_alpha+$K$7,0.5*$S$7/HU_alpha,IF((AE142+$L$7+$N$7)&gt;=$K$7,((AE142+$L$7+$N$7)-$K$7)-0.5*HU_alpha/$S$7*((AE142+$L$7+$N$7)-$K$7)^2,IF((AE142+$L$7+$N$7)&gt;=$T$7,HU_beta*((AE142+$L$7+$N$7)-$K$7),HU_beta*($T$7-$K$7)))))</f>
        <v/>
      </c>
      <c r="AM142" s="29">
        <f>IF(OR(AJ142=0,$S$7=0),0,IF((AE142+$K$7)&gt;$S$7/HU_alpha+$K$7,0.5*$S$7/HU_alpha,IF((AE142+$K$7)&gt;=$K$7,((AE142+$K$7)-$K$7)-0.5*HU_alpha/$S$7*((AE142+$K$7)-$K$7)^2,IF((AE142+$K$7)&gt;=$T$7,HU_beta*((AE142+$K$7)-$K$7),HU_beta*($T$7-$K$7)))))</f>
        <v/>
      </c>
      <c r="AN142" s="63">
        <f>IF(AND($J$8,A142&gt;=1,A142&lt;=$Q$8-1),J142,0)</f>
        <v/>
      </c>
      <c r="AO142" s="29">
        <f>IF(OR(AN142=0,$S$8=0),0,IF((AE142+$L$8)&gt;$S$8/HU_alpha+$K$8,0.5*$S$8/HU_alpha,IF((AE142+$L$8)&gt;=$K$8,((AE142+$L$8)-$K$8)-0.5*HU_alpha/$S$8*((AE142+$L$8)-$K$8)^2,IF((AE142+$L$8)&gt;=$T$8,HU_beta*((AE142+$L$8)-$K$8),HU_beta*($T$8-$K$8)))))</f>
        <v/>
      </c>
      <c r="AP142" s="29">
        <f>IF(OR(AN142=0,$S$8=0),0,IF((AE142+$L$8+$N$8)&gt;$S$8/HU_alpha+$K$8,0.5*$S$8/HU_alpha,IF((AE142+$L$8+$N$8)&gt;=$K$8,((AE142+$L$8+$N$8)-$K$8)-0.5*HU_alpha/$S$8*((AE142+$L$8+$N$8)-$K$8)^2,IF((AE142+$L$8+$N$8)&gt;=$T$8,HU_beta*((AE142+$L$8+$N$8)-$K$8),HU_beta*($T$8-$K$8)))))</f>
        <v/>
      </c>
      <c r="AQ142" s="29">
        <f>IF(OR(AN142=0,$S$8=0),0,IF((AE142+$K$8)&gt;$S$8/HU_alpha+$K$8,0.5*$S$8/HU_alpha,IF((AE142+$K$8)&gt;=$K$8,((AE142+$K$8)-$K$8)-0.5*HU_alpha/$S$8*((AE142+$K$8)-$K$8)^2,IF((AE142+$K$8)&gt;=$T$8,HU_beta*((AE142+$K$8)-$K$8),HU_beta*($T$8-$K$8)))))</f>
        <v/>
      </c>
      <c r="AR142" s="63">
        <f>IF(AND($J$9,A142&gt;=1,A142&lt;=$Q$9-1),J142,0)</f>
        <v/>
      </c>
      <c r="AS142" s="29">
        <f>IF(OR(AR142=0,$S$9=0),0,IF((AE142+$L$9)&gt;$S$9/HU_alpha+$K$9,0.5*$S$9/HU_alpha,IF((AE142+$L$9)&gt;=$K$9,((AE142+$L$9)-$K$9)-0.5*HU_alpha/$S$9*((AE142+$L$9)-$K$9)^2,IF((AE142+$L$9)&gt;=$T$9,HU_beta*((AE142+$L$9)-$K$9),HU_beta*($T$9-$K$9)))))</f>
        <v/>
      </c>
      <c r="AT142" s="29">
        <f>IF(OR(AR142=0,$S$9=0),0,IF((AE142+$L$9+$N$9)&gt;$S$9/HU_alpha+$K$9,0.5*$S$9/HU_alpha,IF((AE142+$L$9+$N$9)&gt;=$K$9,((AE142+$L$9+$N$9)-$K$9)-0.5*HU_alpha/$S$9*((AE142+$L$9+$N$9)-$K$9)^2,IF((AE142+$L$9+$N$9)&gt;=$T$9,HU_beta*((AE142+$L$9+$N$9)-$K$9),HU_beta*($T$9-$K$9)))))</f>
        <v/>
      </c>
      <c r="AU142" s="29">
        <f>IF(OR(AR142=0,$S$9=0),0,IF((AE142+$K$9)&gt;$S$9/HU_alpha+$K$9,0.5*$S$9/HU_alpha,IF((AE142+$K$9)&gt;=$K$9,((AE142+$K$9)-$K$9)-0.5*HU_alpha/$S$9*((AE142+$K$9)-$K$9)^2,IF((AE142+$K$9)&gt;=$T$9,HU_beta*((AE142+$K$9)-$K$9),HU_beta*($T$9-$K$9)))))</f>
        <v/>
      </c>
      <c r="AV142" s="63">
        <f>IF(AND($J$10,A142=$Q$10),J142,0)</f>
        <v/>
      </c>
      <c r="AW142" s="29">
        <f>IF(OR(AV142=0,$S$10=0),0,IF((AD142+$L$10)&gt;$S$10/HU_alpha+$K$10,0.5*$S$10/HU_alpha,IF((AD142+$L$10)&gt;=$K$10,((AD142+$L$10)-$K$10)-0.5*HU_alpha/$S$10*((AD142+$L$10)-$K$10)^2,IF((AD142+$L$10)&gt;=$T$10,HU_beta*((AD142+$L$10)-$K$10),HU_beta*($T$10-$K$10)))))</f>
        <v/>
      </c>
      <c r="AX142" s="29">
        <f>IF(OR(AV142=0,$S$10=0),0,IF((AD142+$L$10+$N$10)&gt;$S$10/HU_alpha+$K$10,0.5*$S$10/HU_alpha,IF((AD142+$L$10+$N$10)&gt;=$K$10,((AD142+$L$10+$N$10)-$K$10)-0.5*HU_alpha/$S$10*((AD142+$L$10+$N$10)-$K$10)^2,IF((AD142+$L$10+$N$10)&gt;=$T$10,HU_beta*((AD142+$L$10+$N$10)-$K$10),HU_beta*($T$10-$K$10)))))</f>
        <v/>
      </c>
      <c r="AY142" s="29">
        <f>IF(OR(AV142=0,$S$10=0),0,IF((AD142+$K$10)&gt;$S$10/HU_alpha+$K$10,0.5*$S$10/HU_alpha,IF((AD142+$K$10)&gt;=$K$10,((AD142+$K$10)-$K$10)-0.5*HU_alpha/$S$10*((AD142+$K$10)-$K$10)^2,IF((AD142+$K$10)&gt;=$T$10,HU_beta*((AD142+$K$10)-$K$10),HU_beta*($T$10-$K$10)))))</f>
        <v/>
      </c>
      <c r="AZ142" s="63">
        <f>IF(AND($J$11,A142=$Q$11),J142,0)</f>
        <v/>
      </c>
      <c r="BA142" s="29">
        <f>IF(OR(AZ142=0,$S$11=0),0,IF((AE142+$L$11)&gt;$S$11/HU_alpha+$K$11,0.5*$S$11/HU_alpha,IF((AE142+$L$11)&gt;=$K$11,((AE142+$L$11)-$K$11)-0.5*HU_alpha/$S$11*((AE142+$L$11)-$K$11)^2,IF((AE142+$L$11)&gt;=$T$11,HU_beta*((AE142+$L$11)-$K$11),HU_beta*($T$11-$K$11)))))</f>
        <v/>
      </c>
      <c r="BB142" s="29">
        <f>IF(OR(AZ142=0,$S$11=0),0,IF((AE142+$L$11+$N$11)&gt;$S$11/HU_alpha+$K$11,0.5*$S$11/HU_alpha,IF((AE142+$L$11+$N$11)&gt;=$K$11,((AE142+$L$11+$N$11)-$K$11)-0.5*HU_alpha/$S$11*((AE142+$L$11+$N$11)-$K$11)^2,IF((AE142+$L$11+$N$11)&gt;=$T$11,HU_beta*((AE142+$L$11+$N$11)-$K$11),HU_beta*($T$11-$K$11)))))</f>
        <v/>
      </c>
      <c r="BC142" s="29">
        <f>IF(OR(AZ142=0,$S$11=0),0,IF((AE142+$K$11)&gt;$S$11/HU_alpha+$K$11,0.5*$S$11/HU_alpha,IF((AE142+$K$11)&gt;=$K$11,((AE142+$K$11)-$K$11)-0.5*HU_alpha/$S$11*((AE142+$K$11)-$K$11)^2,IF((AE142+$K$11)&gt;=$T$11,HU_beta*((AE142+$K$11)-$K$11),HU_beta*($T$11-$K$11)))))</f>
        <v/>
      </c>
      <c r="BD142" s="63">
        <f>IF(AND($J$12,A142=$Q$12),J142,0)</f>
        <v/>
      </c>
      <c r="BE142" s="29">
        <f>IF(OR(BD142=0,$S$12=0),0,IF((AE142+$L$12)&gt;$S$12/HU_alpha+$K$12,0.5*$S$12/HU_alpha,IF((AE142+$L$12)&gt;=$K$12,((AE142+$L$12)-$K$12)-0.5*HU_alpha/$S$12*((AE142+$L$12)-$K$12)^2,IF((AE142+$L$12)&gt;=$T$12,HU_beta*((AE142+$L$12)-$K$12),HU_beta*($T$12-$K$12)))))</f>
        <v/>
      </c>
      <c r="BF142" s="29">
        <f>IF(OR(BD142=0,$S$12=0),0,IF((AE142+$L$12+$N$12)&gt;$S$12/HU_alpha+$K$12,0.5*$S$12/HU_alpha,IF((AE142+$L$12+$N$12)&gt;=$K$12,((AE142+$L$12+$N$12)-$K$12)-0.5*HU_alpha/$S$12*((AE142+$L$12+$N$12)-$K$12)^2,IF((AE142+$L$12+$N$12)&gt;=$T$12,HU_beta*((AE142+$L$12+$N$12)-$K$12),HU_beta*($T$12-$K$12)))))</f>
        <v/>
      </c>
      <c r="BG142" s="29">
        <f>IF(OR(BD142=0,$S$12=0),0,IF((AE142+$K$12)&gt;$S$12/HU_alpha+$K$12,0.5*$S$12/HU_alpha,IF((AE142+$K$12)&gt;=$K$12,((AE142+$K$12)-$K$12)-0.5*HU_alpha/$S$12*((AE142+$K$12)-$K$12)^2,IF((AE142+$K$12)&gt;=$T$12,HU_beta*((AE142+$K$12)-$K$12),HU_beta*($T$12-$K$12)))))</f>
        <v/>
      </c>
      <c r="BH142" s="63">
        <f>IF(AND($J$13,A142=$Q$13),J142,0)</f>
        <v/>
      </c>
      <c r="BI142" s="29">
        <f>IF(OR(BH142=0,$S$13=0),0,IF((AE142+$L$13)&gt;$S$13/HU_alpha+$K$13,0.5*$S$13/HU_alpha,IF((AE142+$L$13)&gt;=$K$13,((AE142+$L$13)-$K$13)-0.5*HU_alpha/$S$13*((AE142+$L$13)-$K$13)^2,IF((AE142+$L$13)&gt;=$T$13,HU_beta*((AE142+$L$13)-$K$13),HU_beta*($T$13-$K$13)))))</f>
        <v/>
      </c>
      <c r="BJ142" s="29">
        <f>IF(OR(BH142=0,$S$13=0),0,IF((AE142+$L$13+$N$13)&gt;$S$13/HU_alpha+$K$13,0.5*$S$13/HU_alpha,IF((AE142+$L$13+$N$13)&gt;=$K$13,((AE142+$L$13+$N$13)-$K$13)-0.5*HU_alpha/$S$13*((AE142+$L$13+$N$13)-$K$13)^2,IF((AE142+$L$13+$N$13)&gt;=$T$13,HU_beta*((AE142+$L$13+$N$13)-$K$13),HU_beta*($T$13-$K$13)))))</f>
        <v/>
      </c>
      <c r="BK142" s="29">
        <f>IF(OR(BH142=0,$S$13=0),0,IF((AE142+$K$13)&gt;$S$13/HU_alpha+$K$13,0.5*$S$13/HU_alpha,IF((AE142+$K$13)&gt;=$K$13,((AE142+$K$13)-$K$13)-0.5*HU_alpha/$S$13*((AE142+$K$13)-$K$13)^2,IF((AE142+$K$13)&gt;=$T$13,HU_beta*((AE142+$K$13)-$K$13),HU_beta*($T$13-$K$13)))))</f>
        <v/>
      </c>
    </row>
    <row r="143">
      <c r="A143" s="61" t="n">
        <v>75</v>
      </c>
      <c r="B143" s="61">
        <f>HU_age+A143</f>
        <v/>
      </c>
      <c r="C143" s="52">
        <f>A143&lt;=HU_T</f>
        <v/>
      </c>
      <c r="D143" s="63">
        <f>IF(OR(A143&lt;1,A143&gt;HU_T),0,INDEX(HU_q_mort,HU_age+A143-17,HU_col))</f>
        <v/>
      </c>
      <c r="E143" s="63">
        <f>IF(OR(A143&lt;1,A143&gt;HU_T),0,INDEX(HU_q_adb,HU_age+A143-17,HU_col))</f>
        <v/>
      </c>
      <c r="F143" s="63">
        <f>IF(OR(A143&lt;1,A143&gt;HU_T),0,INDEX(HU_q_morb,HU_age+A143-17,HU_col))</f>
        <v/>
      </c>
      <c r="G143" s="63">
        <f>IF(OR(A143&lt;1,A143&gt;HU_T),0,INDEX(HU_q_ptd,HU_age+A143-17,HU_col))</f>
        <v/>
      </c>
      <c r="H143" s="63">
        <f>IF(OR(A143&lt;1,A143&gt;HU_T),0,INDEX(HU_q_dis,HU_age+A143-17,HU_col))</f>
        <v/>
      </c>
      <c r="I143" s="63">
        <f>IF(A143&gt;HU_T,0,I142*(1-D143)*(1-E143))</f>
        <v/>
      </c>
      <c r="J143" s="63">
        <f>IF(A143&gt;=HU_T,0,N(I144))</f>
        <v/>
      </c>
      <c r="K143" s="63">
        <f>K142*(1-G143)</f>
        <v/>
      </c>
      <c r="L143" s="63">
        <f>1-K143</f>
        <v/>
      </c>
      <c r="M143" s="63">
        <f>K142*G143</f>
        <v/>
      </c>
      <c r="N143" s="63">
        <f>N142*(1-H143)</f>
        <v/>
      </c>
      <c r="O143" s="63">
        <f>1-N142</f>
        <v/>
      </c>
      <c r="P143" s="63">
        <f>P142*(1-F143)</f>
        <v/>
      </c>
      <c r="Q143" s="63">
        <f>1-P142/INDEX($P$68:$P$150,MAX(1,A143-HU_ciYears))</f>
        <v/>
      </c>
      <c r="R143" s="60">
        <f>(1+inflationRate)^A143</f>
        <v/>
      </c>
      <c r="S143" s="29">
        <f>IF(OR(OR(A143&lt;1,A143&gt;HU_T),A143-1&gt;=HU_dtr),0,HU_inc0*(1+incomeGrowthRate)^A143)</f>
        <v/>
      </c>
      <c r="T143" s="60">
        <f>IF(A143&gt;HU_T,T142,T142*(1+INDEX(HU_ssG,HU_age+A143-17)))</f>
        <v/>
      </c>
      <c r="U143" s="29">
        <f>IF(AND(HU_dtr&gt;=1,A143=HU_dtr,A143&lt;=HU_T),MIN(S143*INDEX(HU_ssC,HU_age+A143-17)/(1-INDEX(HU_ssC,HU_age+A143-17)),INDEX(HU_ssCap,HU_age+A143-17))*T143,0)</f>
        <v/>
      </c>
      <c r="V143" s="29">
        <f>S143+U143+IF(AND(HU_wdOn,A143=HU_wdYear),HU_wdIncome,0)</f>
        <v/>
      </c>
      <c r="W143" s="60">
        <f>HU_ciProp*Q143+HU_tpdCut*L143+HU_disCut*O143</f>
        <v/>
      </c>
      <c r="X143" s="29">
        <f>IF(OR(A143&lt;1,A143&gt;HU_T),0,V143*(1-W143))</f>
        <v/>
      </c>
      <c r="Y143" s="29">
        <f>IF(OR(A143&lt;1,A143&gt;HU_T),0,IF(AND(HU_retExp&gt;0,A143-1&gt;=HU_dtr),HU_retExp,HU_exp0)*R143)</f>
        <v/>
      </c>
      <c r="Z143" s="29">
        <f>-Y143-IF(AND(HU_wdOn,A143=HU_wdYear),HU_wdOut,0)</f>
        <v/>
      </c>
      <c r="AA143" s="29">
        <f>IF(OR(A143&lt;1,A143&gt;HU_T),0,-HU_medCost*R143*F143-HU_tpdCost*R143*M143)</f>
        <v/>
      </c>
      <c r="AB143" s="29">
        <f>IF(A143&gt;HU_T,0,AB142*(1+interestRate)+X143+Z143+AA143)</f>
        <v/>
      </c>
      <c r="AC143" s="29">
        <f>IF(A143&gt;HU_T,0,HU_inv*EXP(HU_mu*A143))</f>
        <v/>
      </c>
      <c r="AD143" s="29">
        <f>IF(A143&gt;HU_T,0,MAX(0,AC143+AB143))</f>
        <v/>
      </c>
      <c r="AE143" s="29">
        <f>IF(A143&gt;HU_T,0,MAX(0,X143-Y143))</f>
        <v/>
      </c>
      <c r="AF143" s="63">
        <f>IF(AND($J$6,A143&gt;=1,A143&lt;=$Q$6-1),J143,0)</f>
        <v/>
      </c>
      <c r="AG143" s="29">
        <f>IF(OR(AF143=0,$S$6=0),0,IF((AD143+$L$6)&gt;$S$6/HU_alpha+$K$6,0.5*$S$6/HU_alpha,IF((AD143+$L$6)&gt;=$K$6,((AD143+$L$6)-$K$6)-0.5*HU_alpha/$S$6*((AD143+$L$6)-$K$6)^2,IF((AD143+$L$6)&gt;=$T$6,HU_beta*((AD143+$L$6)-$K$6),HU_beta*($T$6-$K$6)))))</f>
        <v/>
      </c>
      <c r="AH143" s="29">
        <f>IF(OR(AF143=0,$S$6=0),0,IF((AD143+$L$6+$N$6)&gt;$S$6/HU_alpha+$K$6,0.5*$S$6/HU_alpha,IF((AD143+$L$6+$N$6)&gt;=$K$6,((AD143+$L$6+$N$6)-$K$6)-0.5*HU_alpha/$S$6*((AD143+$L$6+$N$6)-$K$6)^2,IF((AD143+$L$6+$N$6)&gt;=$T$6,HU_beta*((AD143+$L$6+$N$6)-$K$6),HU_beta*($T$6-$K$6)))))</f>
        <v/>
      </c>
      <c r="AI143" s="29">
        <f>IF(OR(AF143=0,$S$6=0),0,IF((AD143+$K$6)&gt;$S$6/HU_alpha+$K$6,0.5*$S$6/HU_alpha,IF((AD143+$K$6)&gt;=$K$6,((AD143+$K$6)-$K$6)-0.5*HU_alpha/$S$6*((AD143+$K$6)-$K$6)^2,IF((AD143+$K$6)&gt;=$T$6,HU_beta*((AD143+$K$6)-$K$6),HU_beta*($T$6-$K$6)))))</f>
        <v/>
      </c>
      <c r="AJ143" s="63">
        <f>IF(AND($J$7,A143&gt;=1,A143&lt;=$Q$7-1),J143,0)</f>
        <v/>
      </c>
      <c r="AK143" s="29">
        <f>IF(OR(AJ143=0,$S$7=0),0,IF((AE143+$L$7)&gt;$S$7/HU_alpha+$K$7,0.5*$S$7/HU_alpha,IF((AE143+$L$7)&gt;=$K$7,((AE143+$L$7)-$K$7)-0.5*HU_alpha/$S$7*((AE143+$L$7)-$K$7)^2,IF((AE143+$L$7)&gt;=$T$7,HU_beta*((AE143+$L$7)-$K$7),HU_beta*($T$7-$K$7)))))</f>
        <v/>
      </c>
      <c r="AL143" s="29">
        <f>IF(OR(AJ143=0,$S$7=0),0,IF((AE143+$L$7+$N$7)&gt;$S$7/HU_alpha+$K$7,0.5*$S$7/HU_alpha,IF((AE143+$L$7+$N$7)&gt;=$K$7,((AE143+$L$7+$N$7)-$K$7)-0.5*HU_alpha/$S$7*((AE143+$L$7+$N$7)-$K$7)^2,IF((AE143+$L$7+$N$7)&gt;=$T$7,HU_beta*((AE143+$L$7+$N$7)-$K$7),HU_beta*($T$7-$K$7)))))</f>
        <v/>
      </c>
      <c r="AM143" s="29">
        <f>IF(OR(AJ143=0,$S$7=0),0,IF((AE143+$K$7)&gt;$S$7/HU_alpha+$K$7,0.5*$S$7/HU_alpha,IF((AE143+$K$7)&gt;=$K$7,((AE143+$K$7)-$K$7)-0.5*HU_alpha/$S$7*((AE143+$K$7)-$K$7)^2,IF((AE143+$K$7)&gt;=$T$7,HU_beta*((AE143+$K$7)-$K$7),HU_beta*($T$7-$K$7)))))</f>
        <v/>
      </c>
      <c r="AN143" s="63">
        <f>IF(AND($J$8,A143&gt;=1,A143&lt;=$Q$8-1),J143,0)</f>
        <v/>
      </c>
      <c r="AO143" s="29">
        <f>IF(OR(AN143=0,$S$8=0),0,IF((AE143+$L$8)&gt;$S$8/HU_alpha+$K$8,0.5*$S$8/HU_alpha,IF((AE143+$L$8)&gt;=$K$8,((AE143+$L$8)-$K$8)-0.5*HU_alpha/$S$8*((AE143+$L$8)-$K$8)^2,IF((AE143+$L$8)&gt;=$T$8,HU_beta*((AE143+$L$8)-$K$8),HU_beta*($T$8-$K$8)))))</f>
        <v/>
      </c>
      <c r="AP143" s="29">
        <f>IF(OR(AN143=0,$S$8=0),0,IF((AE143+$L$8+$N$8)&gt;$S$8/HU_alpha+$K$8,0.5*$S$8/HU_alpha,IF((AE143+$L$8+$N$8)&gt;=$K$8,((AE143+$L$8+$N$8)-$K$8)-0.5*HU_alpha/$S$8*((AE143+$L$8+$N$8)-$K$8)^2,IF((AE143+$L$8+$N$8)&gt;=$T$8,HU_beta*((AE143+$L$8+$N$8)-$K$8),HU_beta*($T$8-$K$8)))))</f>
        <v/>
      </c>
      <c r="AQ143" s="29">
        <f>IF(OR(AN143=0,$S$8=0),0,IF((AE143+$K$8)&gt;$S$8/HU_alpha+$K$8,0.5*$S$8/HU_alpha,IF((AE143+$K$8)&gt;=$K$8,((AE143+$K$8)-$K$8)-0.5*HU_alpha/$S$8*((AE143+$K$8)-$K$8)^2,IF((AE143+$K$8)&gt;=$T$8,HU_beta*((AE143+$K$8)-$K$8),HU_beta*($T$8-$K$8)))))</f>
        <v/>
      </c>
      <c r="AR143" s="63">
        <f>IF(AND($J$9,A143&gt;=1,A143&lt;=$Q$9-1),J143,0)</f>
        <v/>
      </c>
      <c r="AS143" s="29">
        <f>IF(OR(AR143=0,$S$9=0),0,IF((AE143+$L$9)&gt;$S$9/HU_alpha+$K$9,0.5*$S$9/HU_alpha,IF((AE143+$L$9)&gt;=$K$9,((AE143+$L$9)-$K$9)-0.5*HU_alpha/$S$9*((AE143+$L$9)-$K$9)^2,IF((AE143+$L$9)&gt;=$T$9,HU_beta*((AE143+$L$9)-$K$9),HU_beta*($T$9-$K$9)))))</f>
        <v/>
      </c>
      <c r="AT143" s="29">
        <f>IF(OR(AR143=0,$S$9=0),0,IF((AE143+$L$9+$N$9)&gt;$S$9/HU_alpha+$K$9,0.5*$S$9/HU_alpha,IF((AE143+$L$9+$N$9)&gt;=$K$9,((AE143+$L$9+$N$9)-$K$9)-0.5*HU_alpha/$S$9*((AE143+$L$9+$N$9)-$K$9)^2,IF((AE143+$L$9+$N$9)&gt;=$T$9,HU_beta*((AE143+$L$9+$N$9)-$K$9),HU_beta*($T$9-$K$9)))))</f>
        <v/>
      </c>
      <c r="AU143" s="29">
        <f>IF(OR(AR143=0,$S$9=0),0,IF((AE143+$K$9)&gt;$S$9/HU_alpha+$K$9,0.5*$S$9/HU_alpha,IF((AE143+$K$9)&gt;=$K$9,((AE143+$K$9)-$K$9)-0.5*HU_alpha/$S$9*((AE143+$K$9)-$K$9)^2,IF((AE143+$K$9)&gt;=$T$9,HU_beta*((AE143+$K$9)-$K$9),HU_beta*($T$9-$K$9)))))</f>
        <v/>
      </c>
      <c r="AV143" s="63">
        <f>IF(AND($J$10,A143=$Q$10),J143,0)</f>
        <v/>
      </c>
      <c r="AW143" s="29">
        <f>IF(OR(AV143=0,$S$10=0),0,IF((AD143+$L$10)&gt;$S$10/HU_alpha+$K$10,0.5*$S$10/HU_alpha,IF((AD143+$L$10)&gt;=$K$10,((AD143+$L$10)-$K$10)-0.5*HU_alpha/$S$10*((AD143+$L$10)-$K$10)^2,IF((AD143+$L$10)&gt;=$T$10,HU_beta*((AD143+$L$10)-$K$10),HU_beta*($T$10-$K$10)))))</f>
        <v/>
      </c>
      <c r="AX143" s="29">
        <f>IF(OR(AV143=0,$S$10=0),0,IF((AD143+$L$10+$N$10)&gt;$S$10/HU_alpha+$K$10,0.5*$S$10/HU_alpha,IF((AD143+$L$10+$N$10)&gt;=$K$10,((AD143+$L$10+$N$10)-$K$10)-0.5*HU_alpha/$S$10*((AD143+$L$10+$N$10)-$K$10)^2,IF((AD143+$L$10+$N$10)&gt;=$T$10,HU_beta*((AD143+$L$10+$N$10)-$K$10),HU_beta*($T$10-$K$10)))))</f>
        <v/>
      </c>
      <c r="AY143" s="29">
        <f>IF(OR(AV143=0,$S$10=0),0,IF((AD143+$K$10)&gt;$S$10/HU_alpha+$K$10,0.5*$S$10/HU_alpha,IF((AD143+$K$10)&gt;=$K$10,((AD143+$K$10)-$K$10)-0.5*HU_alpha/$S$10*((AD143+$K$10)-$K$10)^2,IF((AD143+$K$10)&gt;=$T$10,HU_beta*((AD143+$K$10)-$K$10),HU_beta*($T$10-$K$10)))))</f>
        <v/>
      </c>
      <c r="AZ143" s="63">
        <f>IF(AND($J$11,A143=$Q$11),J143,0)</f>
        <v/>
      </c>
      <c r="BA143" s="29">
        <f>IF(OR(AZ143=0,$S$11=0),0,IF((AE143+$L$11)&gt;$S$11/HU_alpha+$K$11,0.5*$S$11/HU_alpha,IF((AE143+$L$11)&gt;=$K$11,((AE143+$L$11)-$K$11)-0.5*HU_alpha/$S$11*((AE143+$L$11)-$K$11)^2,IF((AE143+$L$11)&gt;=$T$11,HU_beta*((AE143+$L$11)-$K$11),HU_beta*($T$11-$K$11)))))</f>
        <v/>
      </c>
      <c r="BB143" s="29">
        <f>IF(OR(AZ143=0,$S$11=0),0,IF((AE143+$L$11+$N$11)&gt;$S$11/HU_alpha+$K$11,0.5*$S$11/HU_alpha,IF((AE143+$L$11+$N$11)&gt;=$K$11,((AE143+$L$11+$N$11)-$K$11)-0.5*HU_alpha/$S$11*((AE143+$L$11+$N$11)-$K$11)^2,IF((AE143+$L$11+$N$11)&gt;=$T$11,HU_beta*((AE143+$L$11+$N$11)-$K$11),HU_beta*($T$11-$K$11)))))</f>
        <v/>
      </c>
      <c r="BC143" s="29">
        <f>IF(OR(AZ143=0,$S$11=0),0,IF((AE143+$K$11)&gt;$S$11/HU_alpha+$K$11,0.5*$S$11/HU_alpha,IF((AE143+$K$11)&gt;=$K$11,((AE143+$K$11)-$K$11)-0.5*HU_alpha/$S$11*((AE143+$K$11)-$K$11)^2,IF((AE143+$K$11)&gt;=$T$11,HU_beta*((AE143+$K$11)-$K$11),HU_beta*($T$11-$K$11)))))</f>
        <v/>
      </c>
      <c r="BD143" s="63">
        <f>IF(AND($J$12,A143=$Q$12),J143,0)</f>
        <v/>
      </c>
      <c r="BE143" s="29">
        <f>IF(OR(BD143=0,$S$12=0),0,IF((AE143+$L$12)&gt;$S$12/HU_alpha+$K$12,0.5*$S$12/HU_alpha,IF((AE143+$L$12)&gt;=$K$12,((AE143+$L$12)-$K$12)-0.5*HU_alpha/$S$12*((AE143+$L$12)-$K$12)^2,IF((AE143+$L$12)&gt;=$T$12,HU_beta*((AE143+$L$12)-$K$12),HU_beta*($T$12-$K$12)))))</f>
        <v/>
      </c>
      <c r="BF143" s="29">
        <f>IF(OR(BD143=0,$S$12=0),0,IF((AE143+$L$12+$N$12)&gt;$S$12/HU_alpha+$K$12,0.5*$S$12/HU_alpha,IF((AE143+$L$12+$N$12)&gt;=$K$12,((AE143+$L$12+$N$12)-$K$12)-0.5*HU_alpha/$S$12*((AE143+$L$12+$N$12)-$K$12)^2,IF((AE143+$L$12+$N$12)&gt;=$T$12,HU_beta*((AE143+$L$12+$N$12)-$K$12),HU_beta*($T$12-$K$12)))))</f>
        <v/>
      </c>
      <c r="BG143" s="29">
        <f>IF(OR(BD143=0,$S$12=0),0,IF((AE143+$K$12)&gt;$S$12/HU_alpha+$K$12,0.5*$S$12/HU_alpha,IF((AE143+$K$12)&gt;=$K$12,((AE143+$K$12)-$K$12)-0.5*HU_alpha/$S$12*((AE143+$K$12)-$K$12)^2,IF((AE143+$K$12)&gt;=$T$12,HU_beta*((AE143+$K$12)-$K$12),HU_beta*($T$12-$K$12)))))</f>
        <v/>
      </c>
      <c r="BH143" s="63">
        <f>IF(AND($J$13,A143=$Q$13),J143,0)</f>
        <v/>
      </c>
      <c r="BI143" s="29">
        <f>IF(OR(BH143=0,$S$13=0),0,IF((AE143+$L$13)&gt;$S$13/HU_alpha+$K$13,0.5*$S$13/HU_alpha,IF((AE143+$L$13)&gt;=$K$13,((AE143+$L$13)-$K$13)-0.5*HU_alpha/$S$13*((AE143+$L$13)-$K$13)^2,IF((AE143+$L$13)&gt;=$T$13,HU_beta*((AE143+$L$13)-$K$13),HU_beta*($T$13-$K$13)))))</f>
        <v/>
      </c>
      <c r="BJ143" s="29">
        <f>IF(OR(BH143=0,$S$13=0),0,IF((AE143+$L$13+$N$13)&gt;$S$13/HU_alpha+$K$13,0.5*$S$13/HU_alpha,IF((AE143+$L$13+$N$13)&gt;=$K$13,((AE143+$L$13+$N$13)-$K$13)-0.5*HU_alpha/$S$13*((AE143+$L$13+$N$13)-$K$13)^2,IF((AE143+$L$13+$N$13)&gt;=$T$13,HU_beta*((AE143+$L$13+$N$13)-$K$13),HU_beta*($T$13-$K$13)))))</f>
        <v/>
      </c>
      <c r="BK143" s="29">
        <f>IF(OR(BH143=0,$S$13=0),0,IF((AE143+$K$13)&gt;$S$13/HU_alpha+$K$13,0.5*$S$13/HU_alpha,IF((AE143+$K$13)&gt;=$K$13,((AE143+$K$13)-$K$13)-0.5*HU_alpha/$S$13*((AE143+$K$13)-$K$13)^2,IF((AE143+$K$13)&gt;=$T$13,HU_beta*((AE143+$K$13)-$K$13),HU_beta*($T$13-$K$13)))))</f>
        <v/>
      </c>
    </row>
    <row r="144">
      <c r="A144" s="61" t="n">
        <v>76</v>
      </c>
      <c r="B144" s="61">
        <f>HU_age+A144</f>
        <v/>
      </c>
      <c r="C144" s="52">
        <f>A144&lt;=HU_T</f>
        <v/>
      </c>
      <c r="D144" s="63">
        <f>IF(OR(A144&lt;1,A144&gt;HU_T),0,INDEX(HU_q_mort,HU_age+A144-17,HU_col))</f>
        <v/>
      </c>
      <c r="E144" s="63">
        <f>IF(OR(A144&lt;1,A144&gt;HU_T),0,INDEX(HU_q_adb,HU_age+A144-17,HU_col))</f>
        <v/>
      </c>
      <c r="F144" s="63">
        <f>IF(OR(A144&lt;1,A144&gt;HU_T),0,INDEX(HU_q_morb,HU_age+A144-17,HU_col))</f>
        <v/>
      </c>
      <c r="G144" s="63">
        <f>IF(OR(A144&lt;1,A144&gt;HU_T),0,INDEX(HU_q_ptd,HU_age+A144-17,HU_col))</f>
        <v/>
      </c>
      <c r="H144" s="63">
        <f>IF(OR(A144&lt;1,A144&gt;HU_T),0,INDEX(HU_q_dis,HU_age+A144-17,HU_col))</f>
        <v/>
      </c>
      <c r="I144" s="63">
        <f>IF(A144&gt;HU_T,0,I143*(1-D144)*(1-E144))</f>
        <v/>
      </c>
      <c r="J144" s="63">
        <f>IF(A144&gt;=HU_T,0,N(I145))</f>
        <v/>
      </c>
      <c r="K144" s="63">
        <f>K143*(1-G144)</f>
        <v/>
      </c>
      <c r="L144" s="63">
        <f>1-K144</f>
        <v/>
      </c>
      <c r="M144" s="63">
        <f>K143*G144</f>
        <v/>
      </c>
      <c r="N144" s="63">
        <f>N143*(1-H144)</f>
        <v/>
      </c>
      <c r="O144" s="63">
        <f>1-N143</f>
        <v/>
      </c>
      <c r="P144" s="63">
        <f>P143*(1-F144)</f>
        <v/>
      </c>
      <c r="Q144" s="63">
        <f>1-P143/INDEX($P$68:$P$150,MAX(1,A144-HU_ciYears))</f>
        <v/>
      </c>
      <c r="R144" s="60">
        <f>(1+inflationRate)^A144</f>
        <v/>
      </c>
      <c r="S144" s="29">
        <f>IF(OR(OR(A144&lt;1,A144&gt;HU_T),A144-1&gt;=HU_dtr),0,HU_inc0*(1+incomeGrowthRate)^A144)</f>
        <v/>
      </c>
      <c r="T144" s="60">
        <f>IF(A144&gt;HU_T,T143,T143*(1+INDEX(HU_ssG,HU_age+A144-17)))</f>
        <v/>
      </c>
      <c r="U144" s="29">
        <f>IF(AND(HU_dtr&gt;=1,A144=HU_dtr,A144&lt;=HU_T),MIN(S144*INDEX(HU_ssC,HU_age+A144-17)/(1-INDEX(HU_ssC,HU_age+A144-17)),INDEX(HU_ssCap,HU_age+A144-17))*T144,0)</f>
        <v/>
      </c>
      <c r="V144" s="29">
        <f>S144+U144+IF(AND(HU_wdOn,A144=HU_wdYear),HU_wdIncome,0)</f>
        <v/>
      </c>
      <c r="W144" s="60">
        <f>HU_ciProp*Q144+HU_tpdCut*L144+HU_disCut*O144</f>
        <v/>
      </c>
      <c r="X144" s="29">
        <f>IF(OR(A144&lt;1,A144&gt;HU_T),0,V144*(1-W144))</f>
        <v/>
      </c>
      <c r="Y144" s="29">
        <f>IF(OR(A144&lt;1,A144&gt;HU_T),0,IF(AND(HU_retExp&gt;0,A144-1&gt;=HU_dtr),HU_retExp,HU_exp0)*R144)</f>
        <v/>
      </c>
      <c r="Z144" s="29">
        <f>-Y144-IF(AND(HU_wdOn,A144=HU_wdYear),HU_wdOut,0)</f>
        <v/>
      </c>
      <c r="AA144" s="29">
        <f>IF(OR(A144&lt;1,A144&gt;HU_T),0,-HU_medCost*R144*F144-HU_tpdCost*R144*M144)</f>
        <v/>
      </c>
      <c r="AB144" s="29">
        <f>IF(A144&gt;HU_T,0,AB143*(1+interestRate)+X144+Z144+AA144)</f>
        <v/>
      </c>
      <c r="AC144" s="29">
        <f>IF(A144&gt;HU_T,0,HU_inv*EXP(HU_mu*A144))</f>
        <v/>
      </c>
      <c r="AD144" s="29">
        <f>IF(A144&gt;HU_T,0,MAX(0,AC144+AB144))</f>
        <v/>
      </c>
      <c r="AE144" s="29">
        <f>IF(A144&gt;HU_T,0,MAX(0,X144-Y144))</f>
        <v/>
      </c>
      <c r="AF144" s="63">
        <f>IF(AND($J$6,A144&gt;=1,A144&lt;=$Q$6-1),J144,0)</f>
        <v/>
      </c>
      <c r="AG144" s="29">
        <f>IF(OR(AF144=0,$S$6=0),0,IF((AD144+$L$6)&gt;$S$6/HU_alpha+$K$6,0.5*$S$6/HU_alpha,IF((AD144+$L$6)&gt;=$K$6,((AD144+$L$6)-$K$6)-0.5*HU_alpha/$S$6*((AD144+$L$6)-$K$6)^2,IF((AD144+$L$6)&gt;=$T$6,HU_beta*((AD144+$L$6)-$K$6),HU_beta*($T$6-$K$6)))))</f>
        <v/>
      </c>
      <c r="AH144" s="29">
        <f>IF(OR(AF144=0,$S$6=0),0,IF((AD144+$L$6+$N$6)&gt;$S$6/HU_alpha+$K$6,0.5*$S$6/HU_alpha,IF((AD144+$L$6+$N$6)&gt;=$K$6,((AD144+$L$6+$N$6)-$K$6)-0.5*HU_alpha/$S$6*((AD144+$L$6+$N$6)-$K$6)^2,IF((AD144+$L$6+$N$6)&gt;=$T$6,HU_beta*((AD144+$L$6+$N$6)-$K$6),HU_beta*($T$6-$K$6)))))</f>
        <v/>
      </c>
      <c r="AI144" s="29">
        <f>IF(OR(AF144=0,$S$6=0),0,IF((AD144+$K$6)&gt;$S$6/HU_alpha+$K$6,0.5*$S$6/HU_alpha,IF((AD144+$K$6)&gt;=$K$6,((AD144+$K$6)-$K$6)-0.5*HU_alpha/$S$6*((AD144+$K$6)-$K$6)^2,IF((AD144+$K$6)&gt;=$T$6,HU_beta*((AD144+$K$6)-$K$6),HU_beta*($T$6-$K$6)))))</f>
        <v/>
      </c>
      <c r="AJ144" s="63">
        <f>IF(AND($J$7,A144&gt;=1,A144&lt;=$Q$7-1),J144,0)</f>
        <v/>
      </c>
      <c r="AK144" s="29">
        <f>IF(OR(AJ144=0,$S$7=0),0,IF((AE144+$L$7)&gt;$S$7/HU_alpha+$K$7,0.5*$S$7/HU_alpha,IF((AE144+$L$7)&gt;=$K$7,((AE144+$L$7)-$K$7)-0.5*HU_alpha/$S$7*((AE144+$L$7)-$K$7)^2,IF((AE144+$L$7)&gt;=$T$7,HU_beta*((AE144+$L$7)-$K$7),HU_beta*($T$7-$K$7)))))</f>
        <v/>
      </c>
      <c r="AL144" s="29">
        <f>IF(OR(AJ144=0,$S$7=0),0,IF((AE144+$L$7+$N$7)&gt;$S$7/HU_alpha+$K$7,0.5*$S$7/HU_alpha,IF((AE144+$L$7+$N$7)&gt;=$K$7,((AE144+$L$7+$N$7)-$K$7)-0.5*HU_alpha/$S$7*((AE144+$L$7+$N$7)-$K$7)^2,IF((AE144+$L$7+$N$7)&gt;=$T$7,HU_beta*((AE144+$L$7+$N$7)-$K$7),HU_beta*($T$7-$K$7)))))</f>
        <v/>
      </c>
      <c r="AM144" s="29">
        <f>IF(OR(AJ144=0,$S$7=0),0,IF((AE144+$K$7)&gt;$S$7/HU_alpha+$K$7,0.5*$S$7/HU_alpha,IF((AE144+$K$7)&gt;=$K$7,((AE144+$K$7)-$K$7)-0.5*HU_alpha/$S$7*((AE144+$K$7)-$K$7)^2,IF((AE144+$K$7)&gt;=$T$7,HU_beta*((AE144+$K$7)-$K$7),HU_beta*($T$7-$K$7)))))</f>
        <v/>
      </c>
      <c r="AN144" s="63">
        <f>IF(AND($J$8,A144&gt;=1,A144&lt;=$Q$8-1),J144,0)</f>
        <v/>
      </c>
      <c r="AO144" s="29">
        <f>IF(OR(AN144=0,$S$8=0),0,IF((AE144+$L$8)&gt;$S$8/HU_alpha+$K$8,0.5*$S$8/HU_alpha,IF((AE144+$L$8)&gt;=$K$8,((AE144+$L$8)-$K$8)-0.5*HU_alpha/$S$8*((AE144+$L$8)-$K$8)^2,IF((AE144+$L$8)&gt;=$T$8,HU_beta*((AE144+$L$8)-$K$8),HU_beta*($T$8-$K$8)))))</f>
        <v/>
      </c>
      <c r="AP144" s="29">
        <f>IF(OR(AN144=0,$S$8=0),0,IF((AE144+$L$8+$N$8)&gt;$S$8/HU_alpha+$K$8,0.5*$S$8/HU_alpha,IF((AE144+$L$8+$N$8)&gt;=$K$8,((AE144+$L$8+$N$8)-$K$8)-0.5*HU_alpha/$S$8*((AE144+$L$8+$N$8)-$K$8)^2,IF((AE144+$L$8+$N$8)&gt;=$T$8,HU_beta*((AE144+$L$8+$N$8)-$K$8),HU_beta*($T$8-$K$8)))))</f>
        <v/>
      </c>
      <c r="AQ144" s="29">
        <f>IF(OR(AN144=0,$S$8=0),0,IF((AE144+$K$8)&gt;$S$8/HU_alpha+$K$8,0.5*$S$8/HU_alpha,IF((AE144+$K$8)&gt;=$K$8,((AE144+$K$8)-$K$8)-0.5*HU_alpha/$S$8*((AE144+$K$8)-$K$8)^2,IF((AE144+$K$8)&gt;=$T$8,HU_beta*((AE144+$K$8)-$K$8),HU_beta*($T$8-$K$8)))))</f>
        <v/>
      </c>
      <c r="AR144" s="63">
        <f>IF(AND($J$9,A144&gt;=1,A144&lt;=$Q$9-1),J144,0)</f>
        <v/>
      </c>
      <c r="AS144" s="29">
        <f>IF(OR(AR144=0,$S$9=0),0,IF((AE144+$L$9)&gt;$S$9/HU_alpha+$K$9,0.5*$S$9/HU_alpha,IF((AE144+$L$9)&gt;=$K$9,((AE144+$L$9)-$K$9)-0.5*HU_alpha/$S$9*((AE144+$L$9)-$K$9)^2,IF((AE144+$L$9)&gt;=$T$9,HU_beta*((AE144+$L$9)-$K$9),HU_beta*($T$9-$K$9)))))</f>
        <v/>
      </c>
      <c r="AT144" s="29">
        <f>IF(OR(AR144=0,$S$9=0),0,IF((AE144+$L$9+$N$9)&gt;$S$9/HU_alpha+$K$9,0.5*$S$9/HU_alpha,IF((AE144+$L$9+$N$9)&gt;=$K$9,((AE144+$L$9+$N$9)-$K$9)-0.5*HU_alpha/$S$9*((AE144+$L$9+$N$9)-$K$9)^2,IF((AE144+$L$9+$N$9)&gt;=$T$9,HU_beta*((AE144+$L$9+$N$9)-$K$9),HU_beta*($T$9-$K$9)))))</f>
        <v/>
      </c>
      <c r="AU144" s="29">
        <f>IF(OR(AR144=0,$S$9=0),0,IF((AE144+$K$9)&gt;$S$9/HU_alpha+$K$9,0.5*$S$9/HU_alpha,IF((AE144+$K$9)&gt;=$K$9,((AE144+$K$9)-$K$9)-0.5*HU_alpha/$S$9*((AE144+$K$9)-$K$9)^2,IF((AE144+$K$9)&gt;=$T$9,HU_beta*((AE144+$K$9)-$K$9),HU_beta*($T$9-$K$9)))))</f>
        <v/>
      </c>
      <c r="AV144" s="63">
        <f>IF(AND($J$10,A144=$Q$10),J144,0)</f>
        <v/>
      </c>
      <c r="AW144" s="29">
        <f>IF(OR(AV144=0,$S$10=0),0,IF((AD144+$L$10)&gt;$S$10/HU_alpha+$K$10,0.5*$S$10/HU_alpha,IF((AD144+$L$10)&gt;=$K$10,((AD144+$L$10)-$K$10)-0.5*HU_alpha/$S$10*((AD144+$L$10)-$K$10)^2,IF((AD144+$L$10)&gt;=$T$10,HU_beta*((AD144+$L$10)-$K$10),HU_beta*($T$10-$K$10)))))</f>
        <v/>
      </c>
      <c r="AX144" s="29">
        <f>IF(OR(AV144=0,$S$10=0),0,IF((AD144+$L$10+$N$10)&gt;$S$10/HU_alpha+$K$10,0.5*$S$10/HU_alpha,IF((AD144+$L$10+$N$10)&gt;=$K$10,((AD144+$L$10+$N$10)-$K$10)-0.5*HU_alpha/$S$10*((AD144+$L$10+$N$10)-$K$10)^2,IF((AD144+$L$10+$N$10)&gt;=$T$10,HU_beta*((AD144+$L$10+$N$10)-$K$10),HU_beta*($T$10-$K$10)))))</f>
        <v/>
      </c>
      <c r="AY144" s="29">
        <f>IF(OR(AV144=0,$S$10=0),0,IF((AD144+$K$10)&gt;$S$10/HU_alpha+$K$10,0.5*$S$10/HU_alpha,IF((AD144+$K$10)&gt;=$K$10,((AD144+$K$10)-$K$10)-0.5*HU_alpha/$S$10*((AD144+$K$10)-$K$10)^2,IF((AD144+$K$10)&gt;=$T$10,HU_beta*((AD144+$K$10)-$K$10),HU_beta*($T$10-$K$10)))))</f>
        <v/>
      </c>
      <c r="AZ144" s="63">
        <f>IF(AND($J$11,A144=$Q$11),J144,0)</f>
        <v/>
      </c>
      <c r="BA144" s="29">
        <f>IF(OR(AZ144=0,$S$11=0),0,IF((AE144+$L$11)&gt;$S$11/HU_alpha+$K$11,0.5*$S$11/HU_alpha,IF((AE144+$L$11)&gt;=$K$11,((AE144+$L$11)-$K$11)-0.5*HU_alpha/$S$11*((AE144+$L$11)-$K$11)^2,IF((AE144+$L$11)&gt;=$T$11,HU_beta*((AE144+$L$11)-$K$11),HU_beta*($T$11-$K$11)))))</f>
        <v/>
      </c>
      <c r="BB144" s="29">
        <f>IF(OR(AZ144=0,$S$11=0),0,IF((AE144+$L$11+$N$11)&gt;$S$11/HU_alpha+$K$11,0.5*$S$11/HU_alpha,IF((AE144+$L$11+$N$11)&gt;=$K$11,((AE144+$L$11+$N$11)-$K$11)-0.5*HU_alpha/$S$11*((AE144+$L$11+$N$11)-$K$11)^2,IF((AE144+$L$11+$N$11)&gt;=$T$11,HU_beta*((AE144+$L$11+$N$11)-$K$11),HU_beta*($T$11-$K$11)))))</f>
        <v/>
      </c>
      <c r="BC144" s="29">
        <f>IF(OR(AZ144=0,$S$11=0),0,IF((AE144+$K$11)&gt;$S$11/HU_alpha+$K$11,0.5*$S$11/HU_alpha,IF((AE144+$K$11)&gt;=$K$11,((AE144+$K$11)-$K$11)-0.5*HU_alpha/$S$11*((AE144+$K$11)-$K$11)^2,IF((AE144+$K$11)&gt;=$T$11,HU_beta*((AE144+$K$11)-$K$11),HU_beta*($T$11-$K$11)))))</f>
        <v/>
      </c>
      <c r="BD144" s="63">
        <f>IF(AND($J$12,A144=$Q$12),J144,0)</f>
        <v/>
      </c>
      <c r="BE144" s="29">
        <f>IF(OR(BD144=0,$S$12=0),0,IF((AE144+$L$12)&gt;$S$12/HU_alpha+$K$12,0.5*$S$12/HU_alpha,IF((AE144+$L$12)&gt;=$K$12,((AE144+$L$12)-$K$12)-0.5*HU_alpha/$S$12*((AE144+$L$12)-$K$12)^2,IF((AE144+$L$12)&gt;=$T$12,HU_beta*((AE144+$L$12)-$K$12),HU_beta*($T$12-$K$12)))))</f>
        <v/>
      </c>
      <c r="BF144" s="29">
        <f>IF(OR(BD144=0,$S$12=0),0,IF((AE144+$L$12+$N$12)&gt;$S$12/HU_alpha+$K$12,0.5*$S$12/HU_alpha,IF((AE144+$L$12+$N$12)&gt;=$K$12,((AE144+$L$12+$N$12)-$K$12)-0.5*HU_alpha/$S$12*((AE144+$L$12+$N$12)-$K$12)^2,IF((AE144+$L$12+$N$12)&gt;=$T$12,HU_beta*((AE144+$L$12+$N$12)-$K$12),HU_beta*($T$12-$K$12)))))</f>
        <v/>
      </c>
      <c r="BG144" s="29">
        <f>IF(OR(BD144=0,$S$12=0),0,IF((AE144+$K$12)&gt;$S$12/HU_alpha+$K$12,0.5*$S$12/HU_alpha,IF((AE144+$K$12)&gt;=$K$12,((AE144+$K$12)-$K$12)-0.5*HU_alpha/$S$12*((AE144+$K$12)-$K$12)^2,IF((AE144+$K$12)&gt;=$T$12,HU_beta*((AE144+$K$12)-$K$12),HU_beta*($T$12-$K$12)))))</f>
        <v/>
      </c>
      <c r="BH144" s="63">
        <f>IF(AND($J$13,A144=$Q$13),J144,0)</f>
        <v/>
      </c>
      <c r="BI144" s="29">
        <f>IF(OR(BH144=0,$S$13=0),0,IF((AE144+$L$13)&gt;$S$13/HU_alpha+$K$13,0.5*$S$13/HU_alpha,IF((AE144+$L$13)&gt;=$K$13,((AE144+$L$13)-$K$13)-0.5*HU_alpha/$S$13*((AE144+$L$13)-$K$13)^2,IF((AE144+$L$13)&gt;=$T$13,HU_beta*((AE144+$L$13)-$K$13),HU_beta*($T$13-$K$13)))))</f>
        <v/>
      </c>
      <c r="BJ144" s="29">
        <f>IF(OR(BH144=0,$S$13=0),0,IF((AE144+$L$13+$N$13)&gt;$S$13/HU_alpha+$K$13,0.5*$S$13/HU_alpha,IF((AE144+$L$13+$N$13)&gt;=$K$13,((AE144+$L$13+$N$13)-$K$13)-0.5*HU_alpha/$S$13*((AE144+$L$13+$N$13)-$K$13)^2,IF((AE144+$L$13+$N$13)&gt;=$T$13,HU_beta*((AE144+$L$13+$N$13)-$K$13),HU_beta*($T$13-$K$13)))))</f>
        <v/>
      </c>
      <c r="BK144" s="29">
        <f>IF(OR(BH144=0,$S$13=0),0,IF((AE144+$K$13)&gt;$S$13/HU_alpha+$K$13,0.5*$S$13/HU_alpha,IF((AE144+$K$13)&gt;=$K$13,((AE144+$K$13)-$K$13)-0.5*HU_alpha/$S$13*((AE144+$K$13)-$K$13)^2,IF((AE144+$K$13)&gt;=$T$13,HU_beta*((AE144+$K$13)-$K$13),HU_beta*($T$13-$K$13)))))</f>
        <v/>
      </c>
    </row>
    <row r="145">
      <c r="A145" s="61" t="n">
        <v>77</v>
      </c>
      <c r="B145" s="61">
        <f>HU_age+A145</f>
        <v/>
      </c>
      <c r="C145" s="52">
        <f>A145&lt;=HU_T</f>
        <v/>
      </c>
      <c r="D145" s="63">
        <f>IF(OR(A145&lt;1,A145&gt;HU_T),0,INDEX(HU_q_mort,HU_age+A145-17,HU_col))</f>
        <v/>
      </c>
      <c r="E145" s="63">
        <f>IF(OR(A145&lt;1,A145&gt;HU_T),0,INDEX(HU_q_adb,HU_age+A145-17,HU_col))</f>
        <v/>
      </c>
      <c r="F145" s="63">
        <f>IF(OR(A145&lt;1,A145&gt;HU_T),0,INDEX(HU_q_morb,HU_age+A145-17,HU_col))</f>
        <v/>
      </c>
      <c r="G145" s="63">
        <f>IF(OR(A145&lt;1,A145&gt;HU_T),0,INDEX(HU_q_ptd,HU_age+A145-17,HU_col))</f>
        <v/>
      </c>
      <c r="H145" s="63">
        <f>IF(OR(A145&lt;1,A145&gt;HU_T),0,INDEX(HU_q_dis,HU_age+A145-17,HU_col))</f>
        <v/>
      </c>
      <c r="I145" s="63">
        <f>IF(A145&gt;HU_T,0,I144*(1-D145)*(1-E145))</f>
        <v/>
      </c>
      <c r="J145" s="63">
        <f>IF(A145&gt;=HU_T,0,N(I146))</f>
        <v/>
      </c>
      <c r="K145" s="63">
        <f>K144*(1-G145)</f>
        <v/>
      </c>
      <c r="L145" s="63">
        <f>1-K145</f>
        <v/>
      </c>
      <c r="M145" s="63">
        <f>K144*G145</f>
        <v/>
      </c>
      <c r="N145" s="63">
        <f>N144*(1-H145)</f>
        <v/>
      </c>
      <c r="O145" s="63">
        <f>1-N144</f>
        <v/>
      </c>
      <c r="P145" s="63">
        <f>P144*(1-F145)</f>
        <v/>
      </c>
      <c r="Q145" s="63">
        <f>1-P144/INDEX($P$68:$P$150,MAX(1,A145-HU_ciYears))</f>
        <v/>
      </c>
      <c r="R145" s="60">
        <f>(1+inflationRate)^A145</f>
        <v/>
      </c>
      <c r="S145" s="29">
        <f>IF(OR(OR(A145&lt;1,A145&gt;HU_T),A145-1&gt;=HU_dtr),0,HU_inc0*(1+incomeGrowthRate)^A145)</f>
        <v/>
      </c>
      <c r="T145" s="60">
        <f>IF(A145&gt;HU_T,T144,T144*(1+INDEX(HU_ssG,HU_age+A145-17)))</f>
        <v/>
      </c>
      <c r="U145" s="29">
        <f>IF(AND(HU_dtr&gt;=1,A145=HU_dtr,A145&lt;=HU_T),MIN(S145*INDEX(HU_ssC,HU_age+A145-17)/(1-INDEX(HU_ssC,HU_age+A145-17)),INDEX(HU_ssCap,HU_age+A145-17))*T145,0)</f>
        <v/>
      </c>
      <c r="V145" s="29">
        <f>S145+U145+IF(AND(HU_wdOn,A145=HU_wdYear),HU_wdIncome,0)</f>
        <v/>
      </c>
      <c r="W145" s="60">
        <f>HU_ciProp*Q145+HU_tpdCut*L145+HU_disCut*O145</f>
        <v/>
      </c>
      <c r="X145" s="29">
        <f>IF(OR(A145&lt;1,A145&gt;HU_T),0,V145*(1-W145))</f>
        <v/>
      </c>
      <c r="Y145" s="29">
        <f>IF(OR(A145&lt;1,A145&gt;HU_T),0,IF(AND(HU_retExp&gt;0,A145-1&gt;=HU_dtr),HU_retExp,HU_exp0)*R145)</f>
        <v/>
      </c>
      <c r="Z145" s="29">
        <f>-Y145-IF(AND(HU_wdOn,A145=HU_wdYear),HU_wdOut,0)</f>
        <v/>
      </c>
      <c r="AA145" s="29">
        <f>IF(OR(A145&lt;1,A145&gt;HU_T),0,-HU_medCost*R145*F145-HU_tpdCost*R145*M145)</f>
        <v/>
      </c>
      <c r="AB145" s="29">
        <f>IF(A145&gt;HU_T,0,AB144*(1+interestRate)+X145+Z145+AA145)</f>
        <v/>
      </c>
      <c r="AC145" s="29">
        <f>IF(A145&gt;HU_T,0,HU_inv*EXP(HU_mu*A145))</f>
        <v/>
      </c>
      <c r="AD145" s="29">
        <f>IF(A145&gt;HU_T,0,MAX(0,AC145+AB145))</f>
        <v/>
      </c>
      <c r="AE145" s="29">
        <f>IF(A145&gt;HU_T,0,MAX(0,X145-Y145))</f>
        <v/>
      </c>
      <c r="AF145" s="63">
        <f>IF(AND($J$6,A145&gt;=1,A145&lt;=$Q$6-1),J145,0)</f>
        <v/>
      </c>
      <c r="AG145" s="29">
        <f>IF(OR(AF145=0,$S$6=0),0,IF((AD145+$L$6)&gt;$S$6/HU_alpha+$K$6,0.5*$S$6/HU_alpha,IF((AD145+$L$6)&gt;=$K$6,((AD145+$L$6)-$K$6)-0.5*HU_alpha/$S$6*((AD145+$L$6)-$K$6)^2,IF((AD145+$L$6)&gt;=$T$6,HU_beta*((AD145+$L$6)-$K$6),HU_beta*($T$6-$K$6)))))</f>
        <v/>
      </c>
      <c r="AH145" s="29">
        <f>IF(OR(AF145=0,$S$6=0),0,IF((AD145+$L$6+$N$6)&gt;$S$6/HU_alpha+$K$6,0.5*$S$6/HU_alpha,IF((AD145+$L$6+$N$6)&gt;=$K$6,((AD145+$L$6+$N$6)-$K$6)-0.5*HU_alpha/$S$6*((AD145+$L$6+$N$6)-$K$6)^2,IF((AD145+$L$6+$N$6)&gt;=$T$6,HU_beta*((AD145+$L$6+$N$6)-$K$6),HU_beta*($T$6-$K$6)))))</f>
        <v/>
      </c>
      <c r="AI145" s="29">
        <f>IF(OR(AF145=0,$S$6=0),0,IF((AD145+$K$6)&gt;$S$6/HU_alpha+$K$6,0.5*$S$6/HU_alpha,IF((AD145+$K$6)&gt;=$K$6,((AD145+$K$6)-$K$6)-0.5*HU_alpha/$S$6*((AD145+$K$6)-$K$6)^2,IF((AD145+$K$6)&gt;=$T$6,HU_beta*((AD145+$K$6)-$K$6),HU_beta*($T$6-$K$6)))))</f>
        <v/>
      </c>
      <c r="AJ145" s="63">
        <f>IF(AND($J$7,A145&gt;=1,A145&lt;=$Q$7-1),J145,0)</f>
        <v/>
      </c>
      <c r="AK145" s="29">
        <f>IF(OR(AJ145=0,$S$7=0),0,IF((AE145+$L$7)&gt;$S$7/HU_alpha+$K$7,0.5*$S$7/HU_alpha,IF((AE145+$L$7)&gt;=$K$7,((AE145+$L$7)-$K$7)-0.5*HU_alpha/$S$7*((AE145+$L$7)-$K$7)^2,IF((AE145+$L$7)&gt;=$T$7,HU_beta*((AE145+$L$7)-$K$7),HU_beta*($T$7-$K$7)))))</f>
        <v/>
      </c>
      <c r="AL145" s="29">
        <f>IF(OR(AJ145=0,$S$7=0),0,IF((AE145+$L$7+$N$7)&gt;$S$7/HU_alpha+$K$7,0.5*$S$7/HU_alpha,IF((AE145+$L$7+$N$7)&gt;=$K$7,((AE145+$L$7+$N$7)-$K$7)-0.5*HU_alpha/$S$7*((AE145+$L$7+$N$7)-$K$7)^2,IF((AE145+$L$7+$N$7)&gt;=$T$7,HU_beta*((AE145+$L$7+$N$7)-$K$7),HU_beta*($T$7-$K$7)))))</f>
        <v/>
      </c>
      <c r="AM145" s="29">
        <f>IF(OR(AJ145=0,$S$7=0),0,IF((AE145+$K$7)&gt;$S$7/HU_alpha+$K$7,0.5*$S$7/HU_alpha,IF((AE145+$K$7)&gt;=$K$7,((AE145+$K$7)-$K$7)-0.5*HU_alpha/$S$7*((AE145+$K$7)-$K$7)^2,IF((AE145+$K$7)&gt;=$T$7,HU_beta*((AE145+$K$7)-$K$7),HU_beta*($T$7-$K$7)))))</f>
        <v/>
      </c>
      <c r="AN145" s="63">
        <f>IF(AND($J$8,A145&gt;=1,A145&lt;=$Q$8-1),J145,0)</f>
        <v/>
      </c>
      <c r="AO145" s="29">
        <f>IF(OR(AN145=0,$S$8=0),0,IF((AE145+$L$8)&gt;$S$8/HU_alpha+$K$8,0.5*$S$8/HU_alpha,IF((AE145+$L$8)&gt;=$K$8,((AE145+$L$8)-$K$8)-0.5*HU_alpha/$S$8*((AE145+$L$8)-$K$8)^2,IF((AE145+$L$8)&gt;=$T$8,HU_beta*((AE145+$L$8)-$K$8),HU_beta*($T$8-$K$8)))))</f>
        <v/>
      </c>
      <c r="AP145" s="29">
        <f>IF(OR(AN145=0,$S$8=0),0,IF((AE145+$L$8+$N$8)&gt;$S$8/HU_alpha+$K$8,0.5*$S$8/HU_alpha,IF((AE145+$L$8+$N$8)&gt;=$K$8,((AE145+$L$8+$N$8)-$K$8)-0.5*HU_alpha/$S$8*((AE145+$L$8+$N$8)-$K$8)^2,IF((AE145+$L$8+$N$8)&gt;=$T$8,HU_beta*((AE145+$L$8+$N$8)-$K$8),HU_beta*($T$8-$K$8)))))</f>
        <v/>
      </c>
      <c r="AQ145" s="29">
        <f>IF(OR(AN145=0,$S$8=0),0,IF((AE145+$K$8)&gt;$S$8/HU_alpha+$K$8,0.5*$S$8/HU_alpha,IF((AE145+$K$8)&gt;=$K$8,((AE145+$K$8)-$K$8)-0.5*HU_alpha/$S$8*((AE145+$K$8)-$K$8)^2,IF((AE145+$K$8)&gt;=$T$8,HU_beta*((AE145+$K$8)-$K$8),HU_beta*($T$8-$K$8)))))</f>
        <v/>
      </c>
      <c r="AR145" s="63">
        <f>IF(AND($J$9,A145&gt;=1,A145&lt;=$Q$9-1),J145,0)</f>
        <v/>
      </c>
      <c r="AS145" s="29">
        <f>IF(OR(AR145=0,$S$9=0),0,IF((AE145+$L$9)&gt;$S$9/HU_alpha+$K$9,0.5*$S$9/HU_alpha,IF((AE145+$L$9)&gt;=$K$9,((AE145+$L$9)-$K$9)-0.5*HU_alpha/$S$9*((AE145+$L$9)-$K$9)^2,IF((AE145+$L$9)&gt;=$T$9,HU_beta*((AE145+$L$9)-$K$9),HU_beta*($T$9-$K$9)))))</f>
        <v/>
      </c>
      <c r="AT145" s="29">
        <f>IF(OR(AR145=0,$S$9=0),0,IF((AE145+$L$9+$N$9)&gt;$S$9/HU_alpha+$K$9,0.5*$S$9/HU_alpha,IF((AE145+$L$9+$N$9)&gt;=$K$9,((AE145+$L$9+$N$9)-$K$9)-0.5*HU_alpha/$S$9*((AE145+$L$9+$N$9)-$K$9)^2,IF((AE145+$L$9+$N$9)&gt;=$T$9,HU_beta*((AE145+$L$9+$N$9)-$K$9),HU_beta*($T$9-$K$9)))))</f>
        <v/>
      </c>
      <c r="AU145" s="29">
        <f>IF(OR(AR145=0,$S$9=0),0,IF((AE145+$K$9)&gt;$S$9/HU_alpha+$K$9,0.5*$S$9/HU_alpha,IF((AE145+$K$9)&gt;=$K$9,((AE145+$K$9)-$K$9)-0.5*HU_alpha/$S$9*((AE145+$K$9)-$K$9)^2,IF((AE145+$K$9)&gt;=$T$9,HU_beta*((AE145+$K$9)-$K$9),HU_beta*($T$9-$K$9)))))</f>
        <v/>
      </c>
      <c r="AV145" s="63">
        <f>IF(AND($J$10,A145=$Q$10),J145,0)</f>
        <v/>
      </c>
      <c r="AW145" s="29">
        <f>IF(OR(AV145=0,$S$10=0),0,IF((AD145+$L$10)&gt;$S$10/HU_alpha+$K$10,0.5*$S$10/HU_alpha,IF((AD145+$L$10)&gt;=$K$10,((AD145+$L$10)-$K$10)-0.5*HU_alpha/$S$10*((AD145+$L$10)-$K$10)^2,IF((AD145+$L$10)&gt;=$T$10,HU_beta*((AD145+$L$10)-$K$10),HU_beta*($T$10-$K$10)))))</f>
        <v/>
      </c>
      <c r="AX145" s="29">
        <f>IF(OR(AV145=0,$S$10=0),0,IF((AD145+$L$10+$N$10)&gt;$S$10/HU_alpha+$K$10,0.5*$S$10/HU_alpha,IF((AD145+$L$10+$N$10)&gt;=$K$10,((AD145+$L$10+$N$10)-$K$10)-0.5*HU_alpha/$S$10*((AD145+$L$10+$N$10)-$K$10)^2,IF((AD145+$L$10+$N$10)&gt;=$T$10,HU_beta*((AD145+$L$10+$N$10)-$K$10),HU_beta*($T$10-$K$10)))))</f>
        <v/>
      </c>
      <c r="AY145" s="29">
        <f>IF(OR(AV145=0,$S$10=0),0,IF((AD145+$K$10)&gt;$S$10/HU_alpha+$K$10,0.5*$S$10/HU_alpha,IF((AD145+$K$10)&gt;=$K$10,((AD145+$K$10)-$K$10)-0.5*HU_alpha/$S$10*((AD145+$K$10)-$K$10)^2,IF((AD145+$K$10)&gt;=$T$10,HU_beta*((AD145+$K$10)-$K$10),HU_beta*($T$10-$K$10)))))</f>
        <v/>
      </c>
      <c r="AZ145" s="63">
        <f>IF(AND($J$11,A145=$Q$11),J145,0)</f>
        <v/>
      </c>
      <c r="BA145" s="29">
        <f>IF(OR(AZ145=0,$S$11=0),0,IF((AE145+$L$11)&gt;$S$11/HU_alpha+$K$11,0.5*$S$11/HU_alpha,IF((AE145+$L$11)&gt;=$K$11,((AE145+$L$11)-$K$11)-0.5*HU_alpha/$S$11*((AE145+$L$11)-$K$11)^2,IF((AE145+$L$11)&gt;=$T$11,HU_beta*((AE145+$L$11)-$K$11),HU_beta*($T$11-$K$11)))))</f>
        <v/>
      </c>
      <c r="BB145" s="29">
        <f>IF(OR(AZ145=0,$S$11=0),0,IF((AE145+$L$11+$N$11)&gt;$S$11/HU_alpha+$K$11,0.5*$S$11/HU_alpha,IF((AE145+$L$11+$N$11)&gt;=$K$11,((AE145+$L$11+$N$11)-$K$11)-0.5*HU_alpha/$S$11*((AE145+$L$11+$N$11)-$K$11)^2,IF((AE145+$L$11+$N$11)&gt;=$T$11,HU_beta*((AE145+$L$11+$N$11)-$K$11),HU_beta*($T$11-$K$11)))))</f>
        <v/>
      </c>
      <c r="BC145" s="29">
        <f>IF(OR(AZ145=0,$S$11=0),0,IF((AE145+$K$11)&gt;$S$11/HU_alpha+$K$11,0.5*$S$11/HU_alpha,IF((AE145+$K$11)&gt;=$K$11,((AE145+$K$11)-$K$11)-0.5*HU_alpha/$S$11*((AE145+$K$11)-$K$11)^2,IF((AE145+$K$11)&gt;=$T$11,HU_beta*((AE145+$K$11)-$K$11),HU_beta*($T$11-$K$11)))))</f>
        <v/>
      </c>
      <c r="BD145" s="63">
        <f>IF(AND($J$12,A145=$Q$12),J145,0)</f>
        <v/>
      </c>
      <c r="BE145" s="29">
        <f>IF(OR(BD145=0,$S$12=0),0,IF((AE145+$L$12)&gt;$S$12/HU_alpha+$K$12,0.5*$S$12/HU_alpha,IF((AE145+$L$12)&gt;=$K$12,((AE145+$L$12)-$K$12)-0.5*HU_alpha/$S$12*((AE145+$L$12)-$K$12)^2,IF((AE145+$L$12)&gt;=$T$12,HU_beta*((AE145+$L$12)-$K$12),HU_beta*($T$12-$K$12)))))</f>
        <v/>
      </c>
      <c r="BF145" s="29">
        <f>IF(OR(BD145=0,$S$12=0),0,IF((AE145+$L$12+$N$12)&gt;$S$12/HU_alpha+$K$12,0.5*$S$12/HU_alpha,IF((AE145+$L$12+$N$12)&gt;=$K$12,((AE145+$L$12+$N$12)-$K$12)-0.5*HU_alpha/$S$12*((AE145+$L$12+$N$12)-$K$12)^2,IF((AE145+$L$12+$N$12)&gt;=$T$12,HU_beta*((AE145+$L$12+$N$12)-$K$12),HU_beta*($T$12-$K$12)))))</f>
        <v/>
      </c>
      <c r="BG145" s="29">
        <f>IF(OR(BD145=0,$S$12=0),0,IF((AE145+$K$12)&gt;$S$12/HU_alpha+$K$12,0.5*$S$12/HU_alpha,IF((AE145+$K$12)&gt;=$K$12,((AE145+$K$12)-$K$12)-0.5*HU_alpha/$S$12*((AE145+$K$12)-$K$12)^2,IF((AE145+$K$12)&gt;=$T$12,HU_beta*((AE145+$K$12)-$K$12),HU_beta*($T$12-$K$12)))))</f>
        <v/>
      </c>
      <c r="BH145" s="63">
        <f>IF(AND($J$13,A145=$Q$13),J145,0)</f>
        <v/>
      </c>
      <c r="BI145" s="29">
        <f>IF(OR(BH145=0,$S$13=0),0,IF((AE145+$L$13)&gt;$S$13/HU_alpha+$K$13,0.5*$S$13/HU_alpha,IF((AE145+$L$13)&gt;=$K$13,((AE145+$L$13)-$K$13)-0.5*HU_alpha/$S$13*((AE145+$L$13)-$K$13)^2,IF((AE145+$L$13)&gt;=$T$13,HU_beta*((AE145+$L$13)-$K$13),HU_beta*($T$13-$K$13)))))</f>
        <v/>
      </c>
      <c r="BJ145" s="29">
        <f>IF(OR(BH145=0,$S$13=0),0,IF((AE145+$L$13+$N$13)&gt;$S$13/HU_alpha+$K$13,0.5*$S$13/HU_alpha,IF((AE145+$L$13+$N$13)&gt;=$K$13,((AE145+$L$13+$N$13)-$K$13)-0.5*HU_alpha/$S$13*((AE145+$L$13+$N$13)-$K$13)^2,IF((AE145+$L$13+$N$13)&gt;=$T$13,HU_beta*((AE145+$L$13+$N$13)-$K$13),HU_beta*($T$13-$K$13)))))</f>
        <v/>
      </c>
      <c r="BK145" s="29">
        <f>IF(OR(BH145=0,$S$13=0),0,IF((AE145+$K$13)&gt;$S$13/HU_alpha+$K$13,0.5*$S$13/HU_alpha,IF((AE145+$K$13)&gt;=$K$13,((AE145+$K$13)-$K$13)-0.5*HU_alpha/$S$13*((AE145+$K$13)-$K$13)^2,IF((AE145+$K$13)&gt;=$T$13,HU_beta*((AE145+$K$13)-$K$13),HU_beta*($T$13-$K$13)))))</f>
        <v/>
      </c>
    </row>
    <row r="146">
      <c r="A146" s="61" t="n">
        <v>78</v>
      </c>
      <c r="B146" s="61">
        <f>HU_age+A146</f>
        <v/>
      </c>
      <c r="C146" s="52">
        <f>A146&lt;=HU_T</f>
        <v/>
      </c>
      <c r="D146" s="63">
        <f>IF(OR(A146&lt;1,A146&gt;HU_T),0,INDEX(HU_q_mort,HU_age+A146-17,HU_col))</f>
        <v/>
      </c>
      <c r="E146" s="63">
        <f>IF(OR(A146&lt;1,A146&gt;HU_T),0,INDEX(HU_q_adb,HU_age+A146-17,HU_col))</f>
        <v/>
      </c>
      <c r="F146" s="63">
        <f>IF(OR(A146&lt;1,A146&gt;HU_T),0,INDEX(HU_q_morb,HU_age+A146-17,HU_col))</f>
        <v/>
      </c>
      <c r="G146" s="63">
        <f>IF(OR(A146&lt;1,A146&gt;HU_T),0,INDEX(HU_q_ptd,HU_age+A146-17,HU_col))</f>
        <v/>
      </c>
      <c r="H146" s="63">
        <f>IF(OR(A146&lt;1,A146&gt;HU_T),0,INDEX(HU_q_dis,HU_age+A146-17,HU_col))</f>
        <v/>
      </c>
      <c r="I146" s="63">
        <f>IF(A146&gt;HU_T,0,I145*(1-D146)*(1-E146))</f>
        <v/>
      </c>
      <c r="J146" s="63">
        <f>IF(A146&gt;=HU_T,0,N(I147))</f>
        <v/>
      </c>
      <c r="K146" s="63">
        <f>K145*(1-G146)</f>
        <v/>
      </c>
      <c r="L146" s="63">
        <f>1-K146</f>
        <v/>
      </c>
      <c r="M146" s="63">
        <f>K145*G146</f>
        <v/>
      </c>
      <c r="N146" s="63">
        <f>N145*(1-H146)</f>
        <v/>
      </c>
      <c r="O146" s="63">
        <f>1-N145</f>
        <v/>
      </c>
      <c r="P146" s="63">
        <f>P145*(1-F146)</f>
        <v/>
      </c>
      <c r="Q146" s="63">
        <f>1-P145/INDEX($P$68:$P$150,MAX(1,A146-HU_ciYears))</f>
        <v/>
      </c>
      <c r="R146" s="60">
        <f>(1+inflationRate)^A146</f>
        <v/>
      </c>
      <c r="S146" s="29">
        <f>IF(OR(OR(A146&lt;1,A146&gt;HU_T),A146-1&gt;=HU_dtr),0,HU_inc0*(1+incomeGrowthRate)^A146)</f>
        <v/>
      </c>
      <c r="T146" s="60">
        <f>IF(A146&gt;HU_T,T145,T145*(1+INDEX(HU_ssG,HU_age+A146-17)))</f>
        <v/>
      </c>
      <c r="U146" s="29">
        <f>IF(AND(HU_dtr&gt;=1,A146=HU_dtr,A146&lt;=HU_T),MIN(S146*INDEX(HU_ssC,HU_age+A146-17)/(1-INDEX(HU_ssC,HU_age+A146-17)),INDEX(HU_ssCap,HU_age+A146-17))*T146,0)</f>
        <v/>
      </c>
      <c r="V146" s="29">
        <f>S146+U146+IF(AND(HU_wdOn,A146=HU_wdYear),HU_wdIncome,0)</f>
        <v/>
      </c>
      <c r="W146" s="60">
        <f>HU_ciProp*Q146+HU_tpdCut*L146+HU_disCut*O146</f>
        <v/>
      </c>
      <c r="X146" s="29">
        <f>IF(OR(A146&lt;1,A146&gt;HU_T),0,V146*(1-W146))</f>
        <v/>
      </c>
      <c r="Y146" s="29">
        <f>IF(OR(A146&lt;1,A146&gt;HU_T),0,IF(AND(HU_retExp&gt;0,A146-1&gt;=HU_dtr),HU_retExp,HU_exp0)*R146)</f>
        <v/>
      </c>
      <c r="Z146" s="29">
        <f>-Y146-IF(AND(HU_wdOn,A146=HU_wdYear),HU_wdOut,0)</f>
        <v/>
      </c>
      <c r="AA146" s="29">
        <f>IF(OR(A146&lt;1,A146&gt;HU_T),0,-HU_medCost*R146*F146-HU_tpdCost*R146*M146)</f>
        <v/>
      </c>
      <c r="AB146" s="29">
        <f>IF(A146&gt;HU_T,0,AB145*(1+interestRate)+X146+Z146+AA146)</f>
        <v/>
      </c>
      <c r="AC146" s="29">
        <f>IF(A146&gt;HU_T,0,HU_inv*EXP(HU_mu*A146))</f>
        <v/>
      </c>
      <c r="AD146" s="29">
        <f>IF(A146&gt;HU_T,0,MAX(0,AC146+AB146))</f>
        <v/>
      </c>
      <c r="AE146" s="29">
        <f>IF(A146&gt;HU_T,0,MAX(0,X146-Y146))</f>
        <v/>
      </c>
      <c r="AF146" s="63">
        <f>IF(AND($J$6,A146&gt;=1,A146&lt;=$Q$6-1),J146,0)</f>
        <v/>
      </c>
      <c r="AG146" s="29">
        <f>IF(OR(AF146=0,$S$6=0),0,IF((AD146+$L$6)&gt;$S$6/HU_alpha+$K$6,0.5*$S$6/HU_alpha,IF((AD146+$L$6)&gt;=$K$6,((AD146+$L$6)-$K$6)-0.5*HU_alpha/$S$6*((AD146+$L$6)-$K$6)^2,IF((AD146+$L$6)&gt;=$T$6,HU_beta*((AD146+$L$6)-$K$6),HU_beta*($T$6-$K$6)))))</f>
        <v/>
      </c>
      <c r="AH146" s="29">
        <f>IF(OR(AF146=0,$S$6=0),0,IF((AD146+$L$6+$N$6)&gt;$S$6/HU_alpha+$K$6,0.5*$S$6/HU_alpha,IF((AD146+$L$6+$N$6)&gt;=$K$6,((AD146+$L$6+$N$6)-$K$6)-0.5*HU_alpha/$S$6*((AD146+$L$6+$N$6)-$K$6)^2,IF((AD146+$L$6+$N$6)&gt;=$T$6,HU_beta*((AD146+$L$6+$N$6)-$K$6),HU_beta*($T$6-$K$6)))))</f>
        <v/>
      </c>
      <c r="AI146" s="29">
        <f>IF(OR(AF146=0,$S$6=0),0,IF((AD146+$K$6)&gt;$S$6/HU_alpha+$K$6,0.5*$S$6/HU_alpha,IF((AD146+$K$6)&gt;=$K$6,((AD146+$K$6)-$K$6)-0.5*HU_alpha/$S$6*((AD146+$K$6)-$K$6)^2,IF((AD146+$K$6)&gt;=$T$6,HU_beta*((AD146+$K$6)-$K$6),HU_beta*($T$6-$K$6)))))</f>
        <v/>
      </c>
      <c r="AJ146" s="63">
        <f>IF(AND($J$7,A146&gt;=1,A146&lt;=$Q$7-1),J146,0)</f>
        <v/>
      </c>
      <c r="AK146" s="29">
        <f>IF(OR(AJ146=0,$S$7=0),0,IF((AE146+$L$7)&gt;$S$7/HU_alpha+$K$7,0.5*$S$7/HU_alpha,IF((AE146+$L$7)&gt;=$K$7,((AE146+$L$7)-$K$7)-0.5*HU_alpha/$S$7*((AE146+$L$7)-$K$7)^2,IF((AE146+$L$7)&gt;=$T$7,HU_beta*((AE146+$L$7)-$K$7),HU_beta*($T$7-$K$7)))))</f>
        <v/>
      </c>
      <c r="AL146" s="29">
        <f>IF(OR(AJ146=0,$S$7=0),0,IF((AE146+$L$7+$N$7)&gt;$S$7/HU_alpha+$K$7,0.5*$S$7/HU_alpha,IF((AE146+$L$7+$N$7)&gt;=$K$7,((AE146+$L$7+$N$7)-$K$7)-0.5*HU_alpha/$S$7*((AE146+$L$7+$N$7)-$K$7)^2,IF((AE146+$L$7+$N$7)&gt;=$T$7,HU_beta*((AE146+$L$7+$N$7)-$K$7),HU_beta*($T$7-$K$7)))))</f>
        <v/>
      </c>
      <c r="AM146" s="29">
        <f>IF(OR(AJ146=0,$S$7=0),0,IF((AE146+$K$7)&gt;$S$7/HU_alpha+$K$7,0.5*$S$7/HU_alpha,IF((AE146+$K$7)&gt;=$K$7,((AE146+$K$7)-$K$7)-0.5*HU_alpha/$S$7*((AE146+$K$7)-$K$7)^2,IF((AE146+$K$7)&gt;=$T$7,HU_beta*((AE146+$K$7)-$K$7),HU_beta*($T$7-$K$7)))))</f>
        <v/>
      </c>
      <c r="AN146" s="63">
        <f>IF(AND($J$8,A146&gt;=1,A146&lt;=$Q$8-1),J146,0)</f>
        <v/>
      </c>
      <c r="AO146" s="29">
        <f>IF(OR(AN146=0,$S$8=0),0,IF((AE146+$L$8)&gt;$S$8/HU_alpha+$K$8,0.5*$S$8/HU_alpha,IF((AE146+$L$8)&gt;=$K$8,((AE146+$L$8)-$K$8)-0.5*HU_alpha/$S$8*((AE146+$L$8)-$K$8)^2,IF((AE146+$L$8)&gt;=$T$8,HU_beta*((AE146+$L$8)-$K$8),HU_beta*($T$8-$K$8)))))</f>
        <v/>
      </c>
      <c r="AP146" s="29">
        <f>IF(OR(AN146=0,$S$8=0),0,IF((AE146+$L$8+$N$8)&gt;$S$8/HU_alpha+$K$8,0.5*$S$8/HU_alpha,IF((AE146+$L$8+$N$8)&gt;=$K$8,((AE146+$L$8+$N$8)-$K$8)-0.5*HU_alpha/$S$8*((AE146+$L$8+$N$8)-$K$8)^2,IF((AE146+$L$8+$N$8)&gt;=$T$8,HU_beta*((AE146+$L$8+$N$8)-$K$8),HU_beta*($T$8-$K$8)))))</f>
        <v/>
      </c>
      <c r="AQ146" s="29">
        <f>IF(OR(AN146=0,$S$8=0),0,IF((AE146+$K$8)&gt;$S$8/HU_alpha+$K$8,0.5*$S$8/HU_alpha,IF((AE146+$K$8)&gt;=$K$8,((AE146+$K$8)-$K$8)-0.5*HU_alpha/$S$8*((AE146+$K$8)-$K$8)^2,IF((AE146+$K$8)&gt;=$T$8,HU_beta*((AE146+$K$8)-$K$8),HU_beta*($T$8-$K$8)))))</f>
        <v/>
      </c>
      <c r="AR146" s="63">
        <f>IF(AND($J$9,A146&gt;=1,A146&lt;=$Q$9-1),J146,0)</f>
        <v/>
      </c>
      <c r="AS146" s="29">
        <f>IF(OR(AR146=0,$S$9=0),0,IF((AE146+$L$9)&gt;$S$9/HU_alpha+$K$9,0.5*$S$9/HU_alpha,IF((AE146+$L$9)&gt;=$K$9,((AE146+$L$9)-$K$9)-0.5*HU_alpha/$S$9*((AE146+$L$9)-$K$9)^2,IF((AE146+$L$9)&gt;=$T$9,HU_beta*((AE146+$L$9)-$K$9),HU_beta*($T$9-$K$9)))))</f>
        <v/>
      </c>
      <c r="AT146" s="29">
        <f>IF(OR(AR146=0,$S$9=0),0,IF((AE146+$L$9+$N$9)&gt;$S$9/HU_alpha+$K$9,0.5*$S$9/HU_alpha,IF((AE146+$L$9+$N$9)&gt;=$K$9,((AE146+$L$9+$N$9)-$K$9)-0.5*HU_alpha/$S$9*((AE146+$L$9+$N$9)-$K$9)^2,IF((AE146+$L$9+$N$9)&gt;=$T$9,HU_beta*((AE146+$L$9+$N$9)-$K$9),HU_beta*($T$9-$K$9)))))</f>
        <v/>
      </c>
      <c r="AU146" s="29">
        <f>IF(OR(AR146=0,$S$9=0),0,IF((AE146+$K$9)&gt;$S$9/HU_alpha+$K$9,0.5*$S$9/HU_alpha,IF((AE146+$K$9)&gt;=$K$9,((AE146+$K$9)-$K$9)-0.5*HU_alpha/$S$9*((AE146+$K$9)-$K$9)^2,IF((AE146+$K$9)&gt;=$T$9,HU_beta*((AE146+$K$9)-$K$9),HU_beta*($T$9-$K$9)))))</f>
        <v/>
      </c>
      <c r="AV146" s="63">
        <f>IF(AND($J$10,A146=$Q$10),J146,0)</f>
        <v/>
      </c>
      <c r="AW146" s="29">
        <f>IF(OR(AV146=0,$S$10=0),0,IF((AD146+$L$10)&gt;$S$10/HU_alpha+$K$10,0.5*$S$10/HU_alpha,IF((AD146+$L$10)&gt;=$K$10,((AD146+$L$10)-$K$10)-0.5*HU_alpha/$S$10*((AD146+$L$10)-$K$10)^2,IF((AD146+$L$10)&gt;=$T$10,HU_beta*((AD146+$L$10)-$K$10),HU_beta*($T$10-$K$10)))))</f>
        <v/>
      </c>
      <c r="AX146" s="29">
        <f>IF(OR(AV146=0,$S$10=0),0,IF((AD146+$L$10+$N$10)&gt;$S$10/HU_alpha+$K$10,0.5*$S$10/HU_alpha,IF((AD146+$L$10+$N$10)&gt;=$K$10,((AD146+$L$10+$N$10)-$K$10)-0.5*HU_alpha/$S$10*((AD146+$L$10+$N$10)-$K$10)^2,IF((AD146+$L$10+$N$10)&gt;=$T$10,HU_beta*((AD146+$L$10+$N$10)-$K$10),HU_beta*($T$10-$K$10)))))</f>
        <v/>
      </c>
      <c r="AY146" s="29">
        <f>IF(OR(AV146=0,$S$10=0),0,IF((AD146+$K$10)&gt;$S$10/HU_alpha+$K$10,0.5*$S$10/HU_alpha,IF((AD146+$K$10)&gt;=$K$10,((AD146+$K$10)-$K$10)-0.5*HU_alpha/$S$10*((AD146+$K$10)-$K$10)^2,IF((AD146+$K$10)&gt;=$T$10,HU_beta*((AD146+$K$10)-$K$10),HU_beta*($T$10-$K$10)))))</f>
        <v/>
      </c>
      <c r="AZ146" s="63">
        <f>IF(AND($J$11,A146=$Q$11),J146,0)</f>
        <v/>
      </c>
      <c r="BA146" s="29">
        <f>IF(OR(AZ146=0,$S$11=0),0,IF((AE146+$L$11)&gt;$S$11/HU_alpha+$K$11,0.5*$S$11/HU_alpha,IF((AE146+$L$11)&gt;=$K$11,((AE146+$L$11)-$K$11)-0.5*HU_alpha/$S$11*((AE146+$L$11)-$K$11)^2,IF((AE146+$L$11)&gt;=$T$11,HU_beta*((AE146+$L$11)-$K$11),HU_beta*($T$11-$K$11)))))</f>
        <v/>
      </c>
      <c r="BB146" s="29">
        <f>IF(OR(AZ146=0,$S$11=0),0,IF((AE146+$L$11+$N$11)&gt;$S$11/HU_alpha+$K$11,0.5*$S$11/HU_alpha,IF((AE146+$L$11+$N$11)&gt;=$K$11,((AE146+$L$11+$N$11)-$K$11)-0.5*HU_alpha/$S$11*((AE146+$L$11+$N$11)-$K$11)^2,IF((AE146+$L$11+$N$11)&gt;=$T$11,HU_beta*((AE146+$L$11+$N$11)-$K$11),HU_beta*($T$11-$K$11)))))</f>
        <v/>
      </c>
      <c r="BC146" s="29">
        <f>IF(OR(AZ146=0,$S$11=0),0,IF((AE146+$K$11)&gt;$S$11/HU_alpha+$K$11,0.5*$S$11/HU_alpha,IF((AE146+$K$11)&gt;=$K$11,((AE146+$K$11)-$K$11)-0.5*HU_alpha/$S$11*((AE146+$K$11)-$K$11)^2,IF((AE146+$K$11)&gt;=$T$11,HU_beta*((AE146+$K$11)-$K$11),HU_beta*($T$11-$K$11)))))</f>
        <v/>
      </c>
      <c r="BD146" s="63">
        <f>IF(AND($J$12,A146=$Q$12),J146,0)</f>
        <v/>
      </c>
      <c r="BE146" s="29">
        <f>IF(OR(BD146=0,$S$12=0),0,IF((AE146+$L$12)&gt;$S$12/HU_alpha+$K$12,0.5*$S$12/HU_alpha,IF((AE146+$L$12)&gt;=$K$12,((AE146+$L$12)-$K$12)-0.5*HU_alpha/$S$12*((AE146+$L$12)-$K$12)^2,IF((AE146+$L$12)&gt;=$T$12,HU_beta*((AE146+$L$12)-$K$12),HU_beta*($T$12-$K$12)))))</f>
        <v/>
      </c>
      <c r="BF146" s="29">
        <f>IF(OR(BD146=0,$S$12=0),0,IF((AE146+$L$12+$N$12)&gt;$S$12/HU_alpha+$K$12,0.5*$S$12/HU_alpha,IF((AE146+$L$12+$N$12)&gt;=$K$12,((AE146+$L$12+$N$12)-$K$12)-0.5*HU_alpha/$S$12*((AE146+$L$12+$N$12)-$K$12)^2,IF((AE146+$L$12+$N$12)&gt;=$T$12,HU_beta*((AE146+$L$12+$N$12)-$K$12),HU_beta*($T$12-$K$12)))))</f>
        <v/>
      </c>
      <c r="BG146" s="29">
        <f>IF(OR(BD146=0,$S$12=0),0,IF((AE146+$K$12)&gt;$S$12/HU_alpha+$K$12,0.5*$S$12/HU_alpha,IF((AE146+$K$12)&gt;=$K$12,((AE146+$K$12)-$K$12)-0.5*HU_alpha/$S$12*((AE146+$K$12)-$K$12)^2,IF((AE146+$K$12)&gt;=$T$12,HU_beta*((AE146+$K$12)-$K$12),HU_beta*($T$12-$K$12)))))</f>
        <v/>
      </c>
      <c r="BH146" s="63">
        <f>IF(AND($J$13,A146=$Q$13),J146,0)</f>
        <v/>
      </c>
      <c r="BI146" s="29">
        <f>IF(OR(BH146=0,$S$13=0),0,IF((AE146+$L$13)&gt;$S$13/HU_alpha+$K$13,0.5*$S$13/HU_alpha,IF((AE146+$L$13)&gt;=$K$13,((AE146+$L$13)-$K$13)-0.5*HU_alpha/$S$13*((AE146+$L$13)-$K$13)^2,IF((AE146+$L$13)&gt;=$T$13,HU_beta*((AE146+$L$13)-$K$13),HU_beta*($T$13-$K$13)))))</f>
        <v/>
      </c>
      <c r="BJ146" s="29">
        <f>IF(OR(BH146=0,$S$13=0),0,IF((AE146+$L$13+$N$13)&gt;$S$13/HU_alpha+$K$13,0.5*$S$13/HU_alpha,IF((AE146+$L$13+$N$13)&gt;=$K$13,((AE146+$L$13+$N$13)-$K$13)-0.5*HU_alpha/$S$13*((AE146+$L$13+$N$13)-$K$13)^2,IF((AE146+$L$13+$N$13)&gt;=$T$13,HU_beta*((AE146+$L$13+$N$13)-$K$13),HU_beta*($T$13-$K$13)))))</f>
        <v/>
      </c>
      <c r="BK146" s="29">
        <f>IF(OR(BH146=0,$S$13=0),0,IF((AE146+$K$13)&gt;$S$13/HU_alpha+$K$13,0.5*$S$13/HU_alpha,IF((AE146+$K$13)&gt;=$K$13,((AE146+$K$13)-$K$13)-0.5*HU_alpha/$S$13*((AE146+$K$13)-$K$13)^2,IF((AE146+$K$13)&gt;=$T$13,HU_beta*((AE146+$K$13)-$K$13),HU_beta*($T$13-$K$13)))))</f>
        <v/>
      </c>
    </row>
    <row r="147">
      <c r="A147" s="61" t="n">
        <v>79</v>
      </c>
      <c r="B147" s="61">
        <f>HU_age+A147</f>
        <v/>
      </c>
      <c r="C147" s="52">
        <f>A147&lt;=HU_T</f>
        <v/>
      </c>
      <c r="D147" s="63">
        <f>IF(OR(A147&lt;1,A147&gt;HU_T),0,INDEX(HU_q_mort,HU_age+A147-17,HU_col))</f>
        <v/>
      </c>
      <c r="E147" s="63">
        <f>IF(OR(A147&lt;1,A147&gt;HU_T),0,INDEX(HU_q_adb,HU_age+A147-17,HU_col))</f>
        <v/>
      </c>
      <c r="F147" s="63">
        <f>IF(OR(A147&lt;1,A147&gt;HU_T),0,INDEX(HU_q_morb,HU_age+A147-17,HU_col))</f>
        <v/>
      </c>
      <c r="G147" s="63">
        <f>IF(OR(A147&lt;1,A147&gt;HU_T),0,INDEX(HU_q_ptd,HU_age+A147-17,HU_col))</f>
        <v/>
      </c>
      <c r="H147" s="63">
        <f>IF(OR(A147&lt;1,A147&gt;HU_T),0,INDEX(HU_q_dis,HU_age+A147-17,HU_col))</f>
        <v/>
      </c>
      <c r="I147" s="63">
        <f>IF(A147&gt;HU_T,0,I146*(1-D147)*(1-E147))</f>
        <v/>
      </c>
      <c r="J147" s="63">
        <f>IF(A147&gt;=HU_T,0,N(I148))</f>
        <v/>
      </c>
      <c r="K147" s="63">
        <f>K146*(1-G147)</f>
        <v/>
      </c>
      <c r="L147" s="63">
        <f>1-K147</f>
        <v/>
      </c>
      <c r="M147" s="63">
        <f>K146*G147</f>
        <v/>
      </c>
      <c r="N147" s="63">
        <f>N146*(1-H147)</f>
        <v/>
      </c>
      <c r="O147" s="63">
        <f>1-N146</f>
        <v/>
      </c>
      <c r="P147" s="63">
        <f>P146*(1-F147)</f>
        <v/>
      </c>
      <c r="Q147" s="63">
        <f>1-P146/INDEX($P$68:$P$150,MAX(1,A147-HU_ciYears))</f>
        <v/>
      </c>
      <c r="R147" s="60">
        <f>(1+inflationRate)^A147</f>
        <v/>
      </c>
      <c r="S147" s="29">
        <f>IF(OR(OR(A147&lt;1,A147&gt;HU_T),A147-1&gt;=HU_dtr),0,HU_inc0*(1+incomeGrowthRate)^A147)</f>
        <v/>
      </c>
      <c r="T147" s="60">
        <f>IF(A147&gt;HU_T,T146,T146*(1+INDEX(HU_ssG,HU_age+A147-17)))</f>
        <v/>
      </c>
      <c r="U147" s="29">
        <f>IF(AND(HU_dtr&gt;=1,A147=HU_dtr,A147&lt;=HU_T),MIN(S147*INDEX(HU_ssC,HU_age+A147-17)/(1-INDEX(HU_ssC,HU_age+A147-17)),INDEX(HU_ssCap,HU_age+A147-17))*T147,0)</f>
        <v/>
      </c>
      <c r="V147" s="29">
        <f>S147+U147+IF(AND(HU_wdOn,A147=HU_wdYear),HU_wdIncome,0)</f>
        <v/>
      </c>
      <c r="W147" s="60">
        <f>HU_ciProp*Q147+HU_tpdCut*L147+HU_disCut*O147</f>
        <v/>
      </c>
      <c r="X147" s="29">
        <f>IF(OR(A147&lt;1,A147&gt;HU_T),0,V147*(1-W147))</f>
        <v/>
      </c>
      <c r="Y147" s="29">
        <f>IF(OR(A147&lt;1,A147&gt;HU_T),0,IF(AND(HU_retExp&gt;0,A147-1&gt;=HU_dtr),HU_retExp,HU_exp0)*R147)</f>
        <v/>
      </c>
      <c r="Z147" s="29">
        <f>-Y147-IF(AND(HU_wdOn,A147=HU_wdYear),HU_wdOut,0)</f>
        <v/>
      </c>
      <c r="AA147" s="29">
        <f>IF(OR(A147&lt;1,A147&gt;HU_T),0,-HU_medCost*R147*F147-HU_tpdCost*R147*M147)</f>
        <v/>
      </c>
      <c r="AB147" s="29">
        <f>IF(A147&gt;HU_T,0,AB146*(1+interestRate)+X147+Z147+AA147)</f>
        <v/>
      </c>
      <c r="AC147" s="29">
        <f>IF(A147&gt;HU_T,0,HU_inv*EXP(HU_mu*A147))</f>
        <v/>
      </c>
      <c r="AD147" s="29">
        <f>IF(A147&gt;HU_T,0,MAX(0,AC147+AB147))</f>
        <v/>
      </c>
      <c r="AE147" s="29">
        <f>IF(A147&gt;HU_T,0,MAX(0,X147-Y147))</f>
        <v/>
      </c>
      <c r="AF147" s="63">
        <f>IF(AND($J$6,A147&gt;=1,A147&lt;=$Q$6-1),J147,0)</f>
        <v/>
      </c>
      <c r="AG147" s="29">
        <f>IF(OR(AF147=0,$S$6=0),0,IF((AD147+$L$6)&gt;$S$6/HU_alpha+$K$6,0.5*$S$6/HU_alpha,IF((AD147+$L$6)&gt;=$K$6,((AD147+$L$6)-$K$6)-0.5*HU_alpha/$S$6*((AD147+$L$6)-$K$6)^2,IF((AD147+$L$6)&gt;=$T$6,HU_beta*((AD147+$L$6)-$K$6),HU_beta*($T$6-$K$6)))))</f>
        <v/>
      </c>
      <c r="AH147" s="29">
        <f>IF(OR(AF147=0,$S$6=0),0,IF((AD147+$L$6+$N$6)&gt;$S$6/HU_alpha+$K$6,0.5*$S$6/HU_alpha,IF((AD147+$L$6+$N$6)&gt;=$K$6,((AD147+$L$6+$N$6)-$K$6)-0.5*HU_alpha/$S$6*((AD147+$L$6+$N$6)-$K$6)^2,IF((AD147+$L$6+$N$6)&gt;=$T$6,HU_beta*((AD147+$L$6+$N$6)-$K$6),HU_beta*($T$6-$K$6)))))</f>
        <v/>
      </c>
      <c r="AI147" s="29">
        <f>IF(OR(AF147=0,$S$6=0),0,IF((AD147+$K$6)&gt;$S$6/HU_alpha+$K$6,0.5*$S$6/HU_alpha,IF((AD147+$K$6)&gt;=$K$6,((AD147+$K$6)-$K$6)-0.5*HU_alpha/$S$6*((AD147+$K$6)-$K$6)^2,IF((AD147+$K$6)&gt;=$T$6,HU_beta*((AD147+$K$6)-$K$6),HU_beta*($T$6-$K$6)))))</f>
        <v/>
      </c>
      <c r="AJ147" s="63">
        <f>IF(AND($J$7,A147&gt;=1,A147&lt;=$Q$7-1),J147,0)</f>
        <v/>
      </c>
      <c r="AK147" s="29">
        <f>IF(OR(AJ147=0,$S$7=0),0,IF((AE147+$L$7)&gt;$S$7/HU_alpha+$K$7,0.5*$S$7/HU_alpha,IF((AE147+$L$7)&gt;=$K$7,((AE147+$L$7)-$K$7)-0.5*HU_alpha/$S$7*((AE147+$L$7)-$K$7)^2,IF((AE147+$L$7)&gt;=$T$7,HU_beta*((AE147+$L$7)-$K$7),HU_beta*($T$7-$K$7)))))</f>
        <v/>
      </c>
      <c r="AL147" s="29">
        <f>IF(OR(AJ147=0,$S$7=0),0,IF((AE147+$L$7+$N$7)&gt;$S$7/HU_alpha+$K$7,0.5*$S$7/HU_alpha,IF((AE147+$L$7+$N$7)&gt;=$K$7,((AE147+$L$7+$N$7)-$K$7)-0.5*HU_alpha/$S$7*((AE147+$L$7+$N$7)-$K$7)^2,IF((AE147+$L$7+$N$7)&gt;=$T$7,HU_beta*((AE147+$L$7+$N$7)-$K$7),HU_beta*($T$7-$K$7)))))</f>
        <v/>
      </c>
      <c r="AM147" s="29">
        <f>IF(OR(AJ147=0,$S$7=0),0,IF((AE147+$K$7)&gt;$S$7/HU_alpha+$K$7,0.5*$S$7/HU_alpha,IF((AE147+$K$7)&gt;=$K$7,((AE147+$K$7)-$K$7)-0.5*HU_alpha/$S$7*((AE147+$K$7)-$K$7)^2,IF((AE147+$K$7)&gt;=$T$7,HU_beta*((AE147+$K$7)-$K$7),HU_beta*($T$7-$K$7)))))</f>
        <v/>
      </c>
      <c r="AN147" s="63">
        <f>IF(AND($J$8,A147&gt;=1,A147&lt;=$Q$8-1),J147,0)</f>
        <v/>
      </c>
      <c r="AO147" s="29">
        <f>IF(OR(AN147=0,$S$8=0),0,IF((AE147+$L$8)&gt;$S$8/HU_alpha+$K$8,0.5*$S$8/HU_alpha,IF((AE147+$L$8)&gt;=$K$8,((AE147+$L$8)-$K$8)-0.5*HU_alpha/$S$8*((AE147+$L$8)-$K$8)^2,IF((AE147+$L$8)&gt;=$T$8,HU_beta*((AE147+$L$8)-$K$8),HU_beta*($T$8-$K$8)))))</f>
        <v/>
      </c>
      <c r="AP147" s="29">
        <f>IF(OR(AN147=0,$S$8=0),0,IF((AE147+$L$8+$N$8)&gt;$S$8/HU_alpha+$K$8,0.5*$S$8/HU_alpha,IF((AE147+$L$8+$N$8)&gt;=$K$8,((AE147+$L$8+$N$8)-$K$8)-0.5*HU_alpha/$S$8*((AE147+$L$8+$N$8)-$K$8)^2,IF((AE147+$L$8+$N$8)&gt;=$T$8,HU_beta*((AE147+$L$8+$N$8)-$K$8),HU_beta*($T$8-$K$8)))))</f>
        <v/>
      </c>
      <c r="AQ147" s="29">
        <f>IF(OR(AN147=0,$S$8=0),0,IF((AE147+$K$8)&gt;$S$8/HU_alpha+$K$8,0.5*$S$8/HU_alpha,IF((AE147+$K$8)&gt;=$K$8,((AE147+$K$8)-$K$8)-0.5*HU_alpha/$S$8*((AE147+$K$8)-$K$8)^2,IF((AE147+$K$8)&gt;=$T$8,HU_beta*((AE147+$K$8)-$K$8),HU_beta*($T$8-$K$8)))))</f>
        <v/>
      </c>
      <c r="AR147" s="63">
        <f>IF(AND($J$9,A147&gt;=1,A147&lt;=$Q$9-1),J147,0)</f>
        <v/>
      </c>
      <c r="AS147" s="29">
        <f>IF(OR(AR147=0,$S$9=0),0,IF((AE147+$L$9)&gt;$S$9/HU_alpha+$K$9,0.5*$S$9/HU_alpha,IF((AE147+$L$9)&gt;=$K$9,((AE147+$L$9)-$K$9)-0.5*HU_alpha/$S$9*((AE147+$L$9)-$K$9)^2,IF((AE147+$L$9)&gt;=$T$9,HU_beta*((AE147+$L$9)-$K$9),HU_beta*($T$9-$K$9)))))</f>
        <v/>
      </c>
      <c r="AT147" s="29">
        <f>IF(OR(AR147=0,$S$9=0),0,IF((AE147+$L$9+$N$9)&gt;$S$9/HU_alpha+$K$9,0.5*$S$9/HU_alpha,IF((AE147+$L$9+$N$9)&gt;=$K$9,((AE147+$L$9+$N$9)-$K$9)-0.5*HU_alpha/$S$9*((AE147+$L$9+$N$9)-$K$9)^2,IF((AE147+$L$9+$N$9)&gt;=$T$9,HU_beta*((AE147+$L$9+$N$9)-$K$9),HU_beta*($T$9-$K$9)))))</f>
        <v/>
      </c>
      <c r="AU147" s="29">
        <f>IF(OR(AR147=0,$S$9=0),0,IF((AE147+$K$9)&gt;$S$9/HU_alpha+$K$9,0.5*$S$9/HU_alpha,IF((AE147+$K$9)&gt;=$K$9,((AE147+$K$9)-$K$9)-0.5*HU_alpha/$S$9*((AE147+$K$9)-$K$9)^2,IF((AE147+$K$9)&gt;=$T$9,HU_beta*((AE147+$K$9)-$K$9),HU_beta*($T$9-$K$9)))))</f>
        <v/>
      </c>
      <c r="AV147" s="63">
        <f>IF(AND($J$10,A147=$Q$10),J147,0)</f>
        <v/>
      </c>
      <c r="AW147" s="29">
        <f>IF(OR(AV147=0,$S$10=0),0,IF((AD147+$L$10)&gt;$S$10/HU_alpha+$K$10,0.5*$S$10/HU_alpha,IF((AD147+$L$10)&gt;=$K$10,((AD147+$L$10)-$K$10)-0.5*HU_alpha/$S$10*((AD147+$L$10)-$K$10)^2,IF((AD147+$L$10)&gt;=$T$10,HU_beta*((AD147+$L$10)-$K$10),HU_beta*($T$10-$K$10)))))</f>
        <v/>
      </c>
      <c r="AX147" s="29">
        <f>IF(OR(AV147=0,$S$10=0),0,IF((AD147+$L$10+$N$10)&gt;$S$10/HU_alpha+$K$10,0.5*$S$10/HU_alpha,IF((AD147+$L$10+$N$10)&gt;=$K$10,((AD147+$L$10+$N$10)-$K$10)-0.5*HU_alpha/$S$10*((AD147+$L$10+$N$10)-$K$10)^2,IF((AD147+$L$10+$N$10)&gt;=$T$10,HU_beta*((AD147+$L$10+$N$10)-$K$10),HU_beta*($T$10-$K$10)))))</f>
        <v/>
      </c>
      <c r="AY147" s="29">
        <f>IF(OR(AV147=0,$S$10=0),0,IF((AD147+$K$10)&gt;$S$10/HU_alpha+$K$10,0.5*$S$10/HU_alpha,IF((AD147+$K$10)&gt;=$K$10,((AD147+$K$10)-$K$10)-0.5*HU_alpha/$S$10*((AD147+$K$10)-$K$10)^2,IF((AD147+$K$10)&gt;=$T$10,HU_beta*((AD147+$K$10)-$K$10),HU_beta*($T$10-$K$10)))))</f>
        <v/>
      </c>
      <c r="AZ147" s="63">
        <f>IF(AND($J$11,A147=$Q$11),J147,0)</f>
        <v/>
      </c>
      <c r="BA147" s="29">
        <f>IF(OR(AZ147=0,$S$11=0),0,IF((AE147+$L$11)&gt;$S$11/HU_alpha+$K$11,0.5*$S$11/HU_alpha,IF((AE147+$L$11)&gt;=$K$11,((AE147+$L$11)-$K$11)-0.5*HU_alpha/$S$11*((AE147+$L$11)-$K$11)^2,IF((AE147+$L$11)&gt;=$T$11,HU_beta*((AE147+$L$11)-$K$11),HU_beta*($T$11-$K$11)))))</f>
        <v/>
      </c>
      <c r="BB147" s="29">
        <f>IF(OR(AZ147=0,$S$11=0),0,IF((AE147+$L$11+$N$11)&gt;$S$11/HU_alpha+$K$11,0.5*$S$11/HU_alpha,IF((AE147+$L$11+$N$11)&gt;=$K$11,((AE147+$L$11+$N$11)-$K$11)-0.5*HU_alpha/$S$11*((AE147+$L$11+$N$11)-$K$11)^2,IF((AE147+$L$11+$N$11)&gt;=$T$11,HU_beta*((AE147+$L$11+$N$11)-$K$11),HU_beta*($T$11-$K$11)))))</f>
        <v/>
      </c>
      <c r="BC147" s="29">
        <f>IF(OR(AZ147=0,$S$11=0),0,IF((AE147+$K$11)&gt;$S$11/HU_alpha+$K$11,0.5*$S$11/HU_alpha,IF((AE147+$K$11)&gt;=$K$11,((AE147+$K$11)-$K$11)-0.5*HU_alpha/$S$11*((AE147+$K$11)-$K$11)^2,IF((AE147+$K$11)&gt;=$T$11,HU_beta*((AE147+$K$11)-$K$11),HU_beta*($T$11-$K$11)))))</f>
        <v/>
      </c>
      <c r="BD147" s="63">
        <f>IF(AND($J$12,A147=$Q$12),J147,0)</f>
        <v/>
      </c>
      <c r="BE147" s="29">
        <f>IF(OR(BD147=0,$S$12=0),0,IF((AE147+$L$12)&gt;$S$12/HU_alpha+$K$12,0.5*$S$12/HU_alpha,IF((AE147+$L$12)&gt;=$K$12,((AE147+$L$12)-$K$12)-0.5*HU_alpha/$S$12*((AE147+$L$12)-$K$12)^2,IF((AE147+$L$12)&gt;=$T$12,HU_beta*((AE147+$L$12)-$K$12),HU_beta*($T$12-$K$12)))))</f>
        <v/>
      </c>
      <c r="BF147" s="29">
        <f>IF(OR(BD147=0,$S$12=0),0,IF((AE147+$L$12+$N$12)&gt;$S$12/HU_alpha+$K$12,0.5*$S$12/HU_alpha,IF((AE147+$L$12+$N$12)&gt;=$K$12,((AE147+$L$12+$N$12)-$K$12)-0.5*HU_alpha/$S$12*((AE147+$L$12+$N$12)-$K$12)^2,IF((AE147+$L$12+$N$12)&gt;=$T$12,HU_beta*((AE147+$L$12+$N$12)-$K$12),HU_beta*($T$12-$K$12)))))</f>
        <v/>
      </c>
      <c r="BG147" s="29">
        <f>IF(OR(BD147=0,$S$12=0),0,IF((AE147+$K$12)&gt;$S$12/HU_alpha+$K$12,0.5*$S$12/HU_alpha,IF((AE147+$K$12)&gt;=$K$12,((AE147+$K$12)-$K$12)-0.5*HU_alpha/$S$12*((AE147+$K$12)-$K$12)^2,IF((AE147+$K$12)&gt;=$T$12,HU_beta*((AE147+$K$12)-$K$12),HU_beta*($T$12-$K$12)))))</f>
        <v/>
      </c>
      <c r="BH147" s="63">
        <f>IF(AND($J$13,A147=$Q$13),J147,0)</f>
        <v/>
      </c>
      <c r="BI147" s="29">
        <f>IF(OR(BH147=0,$S$13=0),0,IF((AE147+$L$13)&gt;$S$13/HU_alpha+$K$13,0.5*$S$13/HU_alpha,IF((AE147+$L$13)&gt;=$K$13,((AE147+$L$13)-$K$13)-0.5*HU_alpha/$S$13*((AE147+$L$13)-$K$13)^2,IF((AE147+$L$13)&gt;=$T$13,HU_beta*((AE147+$L$13)-$K$13),HU_beta*($T$13-$K$13)))))</f>
        <v/>
      </c>
      <c r="BJ147" s="29">
        <f>IF(OR(BH147=0,$S$13=0),0,IF((AE147+$L$13+$N$13)&gt;$S$13/HU_alpha+$K$13,0.5*$S$13/HU_alpha,IF((AE147+$L$13+$N$13)&gt;=$K$13,((AE147+$L$13+$N$13)-$K$13)-0.5*HU_alpha/$S$13*((AE147+$L$13+$N$13)-$K$13)^2,IF((AE147+$L$13+$N$13)&gt;=$T$13,HU_beta*((AE147+$L$13+$N$13)-$K$13),HU_beta*($T$13-$K$13)))))</f>
        <v/>
      </c>
      <c r="BK147" s="29">
        <f>IF(OR(BH147=0,$S$13=0),0,IF((AE147+$K$13)&gt;$S$13/HU_alpha+$K$13,0.5*$S$13/HU_alpha,IF((AE147+$K$13)&gt;=$K$13,((AE147+$K$13)-$K$13)-0.5*HU_alpha/$S$13*((AE147+$K$13)-$K$13)^2,IF((AE147+$K$13)&gt;=$T$13,HU_beta*((AE147+$K$13)-$K$13),HU_beta*($T$13-$K$13)))))</f>
        <v/>
      </c>
    </row>
    <row r="148">
      <c r="A148" s="61" t="n">
        <v>80</v>
      </c>
      <c r="B148" s="61">
        <f>HU_age+A148</f>
        <v/>
      </c>
      <c r="C148" s="52">
        <f>A148&lt;=HU_T</f>
        <v/>
      </c>
      <c r="D148" s="63">
        <f>IF(OR(A148&lt;1,A148&gt;HU_T),0,INDEX(HU_q_mort,HU_age+A148-17,HU_col))</f>
        <v/>
      </c>
      <c r="E148" s="63">
        <f>IF(OR(A148&lt;1,A148&gt;HU_T),0,INDEX(HU_q_adb,HU_age+A148-17,HU_col))</f>
        <v/>
      </c>
      <c r="F148" s="63">
        <f>IF(OR(A148&lt;1,A148&gt;HU_T),0,INDEX(HU_q_morb,HU_age+A148-17,HU_col))</f>
        <v/>
      </c>
      <c r="G148" s="63">
        <f>IF(OR(A148&lt;1,A148&gt;HU_T),0,INDEX(HU_q_ptd,HU_age+A148-17,HU_col))</f>
        <v/>
      </c>
      <c r="H148" s="63">
        <f>IF(OR(A148&lt;1,A148&gt;HU_T),0,INDEX(HU_q_dis,HU_age+A148-17,HU_col))</f>
        <v/>
      </c>
      <c r="I148" s="63">
        <f>IF(A148&gt;HU_T,0,I147*(1-D148)*(1-E148))</f>
        <v/>
      </c>
      <c r="J148" s="63">
        <f>IF(A148&gt;=HU_T,0,N(I149))</f>
        <v/>
      </c>
      <c r="K148" s="63">
        <f>K147*(1-G148)</f>
        <v/>
      </c>
      <c r="L148" s="63">
        <f>1-K148</f>
        <v/>
      </c>
      <c r="M148" s="63">
        <f>K147*G148</f>
        <v/>
      </c>
      <c r="N148" s="63">
        <f>N147*(1-H148)</f>
        <v/>
      </c>
      <c r="O148" s="63">
        <f>1-N147</f>
        <v/>
      </c>
      <c r="P148" s="63">
        <f>P147*(1-F148)</f>
        <v/>
      </c>
      <c r="Q148" s="63">
        <f>1-P147/INDEX($P$68:$P$150,MAX(1,A148-HU_ciYears))</f>
        <v/>
      </c>
      <c r="R148" s="60">
        <f>(1+inflationRate)^A148</f>
        <v/>
      </c>
      <c r="S148" s="29">
        <f>IF(OR(OR(A148&lt;1,A148&gt;HU_T),A148-1&gt;=HU_dtr),0,HU_inc0*(1+incomeGrowthRate)^A148)</f>
        <v/>
      </c>
      <c r="T148" s="60">
        <f>IF(A148&gt;HU_T,T147,T147*(1+INDEX(HU_ssG,HU_age+A148-17)))</f>
        <v/>
      </c>
      <c r="U148" s="29">
        <f>IF(AND(HU_dtr&gt;=1,A148=HU_dtr,A148&lt;=HU_T),MIN(S148*INDEX(HU_ssC,HU_age+A148-17)/(1-INDEX(HU_ssC,HU_age+A148-17)),INDEX(HU_ssCap,HU_age+A148-17))*T148,0)</f>
        <v/>
      </c>
      <c r="V148" s="29">
        <f>S148+U148+IF(AND(HU_wdOn,A148=HU_wdYear),HU_wdIncome,0)</f>
        <v/>
      </c>
      <c r="W148" s="60">
        <f>HU_ciProp*Q148+HU_tpdCut*L148+HU_disCut*O148</f>
        <v/>
      </c>
      <c r="X148" s="29">
        <f>IF(OR(A148&lt;1,A148&gt;HU_T),0,V148*(1-W148))</f>
        <v/>
      </c>
      <c r="Y148" s="29">
        <f>IF(OR(A148&lt;1,A148&gt;HU_T),0,IF(AND(HU_retExp&gt;0,A148-1&gt;=HU_dtr),HU_retExp,HU_exp0)*R148)</f>
        <v/>
      </c>
      <c r="Z148" s="29">
        <f>-Y148-IF(AND(HU_wdOn,A148=HU_wdYear),HU_wdOut,0)</f>
        <v/>
      </c>
      <c r="AA148" s="29">
        <f>IF(OR(A148&lt;1,A148&gt;HU_T),0,-HU_medCost*R148*F148-HU_tpdCost*R148*M148)</f>
        <v/>
      </c>
      <c r="AB148" s="29">
        <f>IF(A148&gt;HU_T,0,AB147*(1+interestRate)+X148+Z148+AA148)</f>
        <v/>
      </c>
      <c r="AC148" s="29">
        <f>IF(A148&gt;HU_T,0,HU_inv*EXP(HU_mu*A148))</f>
        <v/>
      </c>
      <c r="AD148" s="29">
        <f>IF(A148&gt;HU_T,0,MAX(0,AC148+AB148))</f>
        <v/>
      </c>
      <c r="AE148" s="29">
        <f>IF(A148&gt;HU_T,0,MAX(0,X148-Y148))</f>
        <v/>
      </c>
      <c r="AF148" s="63">
        <f>IF(AND($J$6,A148&gt;=1,A148&lt;=$Q$6-1),J148,0)</f>
        <v/>
      </c>
      <c r="AG148" s="29">
        <f>IF(OR(AF148=0,$S$6=0),0,IF((AD148+$L$6)&gt;$S$6/HU_alpha+$K$6,0.5*$S$6/HU_alpha,IF((AD148+$L$6)&gt;=$K$6,((AD148+$L$6)-$K$6)-0.5*HU_alpha/$S$6*((AD148+$L$6)-$K$6)^2,IF((AD148+$L$6)&gt;=$T$6,HU_beta*((AD148+$L$6)-$K$6),HU_beta*($T$6-$K$6)))))</f>
        <v/>
      </c>
      <c r="AH148" s="29">
        <f>IF(OR(AF148=0,$S$6=0),0,IF((AD148+$L$6+$N$6)&gt;$S$6/HU_alpha+$K$6,0.5*$S$6/HU_alpha,IF((AD148+$L$6+$N$6)&gt;=$K$6,((AD148+$L$6+$N$6)-$K$6)-0.5*HU_alpha/$S$6*((AD148+$L$6+$N$6)-$K$6)^2,IF((AD148+$L$6+$N$6)&gt;=$T$6,HU_beta*((AD148+$L$6+$N$6)-$K$6),HU_beta*($T$6-$K$6)))))</f>
        <v/>
      </c>
      <c r="AI148" s="29">
        <f>IF(OR(AF148=0,$S$6=0),0,IF((AD148+$K$6)&gt;$S$6/HU_alpha+$K$6,0.5*$S$6/HU_alpha,IF((AD148+$K$6)&gt;=$K$6,((AD148+$K$6)-$K$6)-0.5*HU_alpha/$S$6*((AD148+$K$6)-$K$6)^2,IF((AD148+$K$6)&gt;=$T$6,HU_beta*((AD148+$K$6)-$K$6),HU_beta*($T$6-$K$6)))))</f>
        <v/>
      </c>
      <c r="AJ148" s="63">
        <f>IF(AND($J$7,A148&gt;=1,A148&lt;=$Q$7-1),J148,0)</f>
        <v/>
      </c>
      <c r="AK148" s="29">
        <f>IF(OR(AJ148=0,$S$7=0),0,IF((AE148+$L$7)&gt;$S$7/HU_alpha+$K$7,0.5*$S$7/HU_alpha,IF((AE148+$L$7)&gt;=$K$7,((AE148+$L$7)-$K$7)-0.5*HU_alpha/$S$7*((AE148+$L$7)-$K$7)^2,IF((AE148+$L$7)&gt;=$T$7,HU_beta*((AE148+$L$7)-$K$7),HU_beta*($T$7-$K$7)))))</f>
        <v/>
      </c>
      <c r="AL148" s="29">
        <f>IF(OR(AJ148=0,$S$7=0),0,IF((AE148+$L$7+$N$7)&gt;$S$7/HU_alpha+$K$7,0.5*$S$7/HU_alpha,IF((AE148+$L$7+$N$7)&gt;=$K$7,((AE148+$L$7+$N$7)-$K$7)-0.5*HU_alpha/$S$7*((AE148+$L$7+$N$7)-$K$7)^2,IF((AE148+$L$7+$N$7)&gt;=$T$7,HU_beta*((AE148+$L$7+$N$7)-$K$7),HU_beta*($T$7-$K$7)))))</f>
        <v/>
      </c>
      <c r="AM148" s="29">
        <f>IF(OR(AJ148=0,$S$7=0),0,IF((AE148+$K$7)&gt;$S$7/HU_alpha+$K$7,0.5*$S$7/HU_alpha,IF((AE148+$K$7)&gt;=$K$7,((AE148+$K$7)-$K$7)-0.5*HU_alpha/$S$7*((AE148+$K$7)-$K$7)^2,IF((AE148+$K$7)&gt;=$T$7,HU_beta*((AE148+$K$7)-$K$7),HU_beta*($T$7-$K$7)))))</f>
        <v/>
      </c>
      <c r="AN148" s="63">
        <f>IF(AND($J$8,A148&gt;=1,A148&lt;=$Q$8-1),J148,0)</f>
        <v/>
      </c>
      <c r="AO148" s="29">
        <f>IF(OR(AN148=0,$S$8=0),0,IF((AE148+$L$8)&gt;$S$8/HU_alpha+$K$8,0.5*$S$8/HU_alpha,IF((AE148+$L$8)&gt;=$K$8,((AE148+$L$8)-$K$8)-0.5*HU_alpha/$S$8*((AE148+$L$8)-$K$8)^2,IF((AE148+$L$8)&gt;=$T$8,HU_beta*((AE148+$L$8)-$K$8),HU_beta*($T$8-$K$8)))))</f>
        <v/>
      </c>
      <c r="AP148" s="29">
        <f>IF(OR(AN148=0,$S$8=0),0,IF((AE148+$L$8+$N$8)&gt;$S$8/HU_alpha+$K$8,0.5*$S$8/HU_alpha,IF((AE148+$L$8+$N$8)&gt;=$K$8,((AE148+$L$8+$N$8)-$K$8)-0.5*HU_alpha/$S$8*((AE148+$L$8+$N$8)-$K$8)^2,IF((AE148+$L$8+$N$8)&gt;=$T$8,HU_beta*((AE148+$L$8+$N$8)-$K$8),HU_beta*($T$8-$K$8)))))</f>
        <v/>
      </c>
      <c r="AQ148" s="29">
        <f>IF(OR(AN148=0,$S$8=0),0,IF((AE148+$K$8)&gt;$S$8/HU_alpha+$K$8,0.5*$S$8/HU_alpha,IF((AE148+$K$8)&gt;=$K$8,((AE148+$K$8)-$K$8)-0.5*HU_alpha/$S$8*((AE148+$K$8)-$K$8)^2,IF((AE148+$K$8)&gt;=$T$8,HU_beta*((AE148+$K$8)-$K$8),HU_beta*($T$8-$K$8)))))</f>
        <v/>
      </c>
      <c r="AR148" s="63">
        <f>IF(AND($J$9,A148&gt;=1,A148&lt;=$Q$9-1),J148,0)</f>
        <v/>
      </c>
      <c r="AS148" s="29">
        <f>IF(OR(AR148=0,$S$9=0),0,IF((AE148+$L$9)&gt;$S$9/HU_alpha+$K$9,0.5*$S$9/HU_alpha,IF((AE148+$L$9)&gt;=$K$9,((AE148+$L$9)-$K$9)-0.5*HU_alpha/$S$9*((AE148+$L$9)-$K$9)^2,IF((AE148+$L$9)&gt;=$T$9,HU_beta*((AE148+$L$9)-$K$9),HU_beta*($T$9-$K$9)))))</f>
        <v/>
      </c>
      <c r="AT148" s="29">
        <f>IF(OR(AR148=0,$S$9=0),0,IF((AE148+$L$9+$N$9)&gt;$S$9/HU_alpha+$K$9,0.5*$S$9/HU_alpha,IF((AE148+$L$9+$N$9)&gt;=$K$9,((AE148+$L$9+$N$9)-$K$9)-0.5*HU_alpha/$S$9*((AE148+$L$9+$N$9)-$K$9)^2,IF((AE148+$L$9+$N$9)&gt;=$T$9,HU_beta*((AE148+$L$9+$N$9)-$K$9),HU_beta*($T$9-$K$9)))))</f>
        <v/>
      </c>
      <c r="AU148" s="29">
        <f>IF(OR(AR148=0,$S$9=0),0,IF((AE148+$K$9)&gt;$S$9/HU_alpha+$K$9,0.5*$S$9/HU_alpha,IF((AE148+$K$9)&gt;=$K$9,((AE148+$K$9)-$K$9)-0.5*HU_alpha/$S$9*((AE148+$K$9)-$K$9)^2,IF((AE148+$K$9)&gt;=$T$9,HU_beta*((AE148+$K$9)-$K$9),HU_beta*($T$9-$K$9)))))</f>
        <v/>
      </c>
      <c r="AV148" s="63">
        <f>IF(AND($J$10,A148=$Q$10),J148,0)</f>
        <v/>
      </c>
      <c r="AW148" s="29">
        <f>IF(OR(AV148=0,$S$10=0),0,IF((AD148+$L$10)&gt;$S$10/HU_alpha+$K$10,0.5*$S$10/HU_alpha,IF((AD148+$L$10)&gt;=$K$10,((AD148+$L$10)-$K$10)-0.5*HU_alpha/$S$10*((AD148+$L$10)-$K$10)^2,IF((AD148+$L$10)&gt;=$T$10,HU_beta*((AD148+$L$10)-$K$10),HU_beta*($T$10-$K$10)))))</f>
        <v/>
      </c>
      <c r="AX148" s="29">
        <f>IF(OR(AV148=0,$S$10=0),0,IF((AD148+$L$10+$N$10)&gt;$S$10/HU_alpha+$K$10,0.5*$S$10/HU_alpha,IF((AD148+$L$10+$N$10)&gt;=$K$10,((AD148+$L$10+$N$10)-$K$10)-0.5*HU_alpha/$S$10*((AD148+$L$10+$N$10)-$K$10)^2,IF((AD148+$L$10+$N$10)&gt;=$T$10,HU_beta*((AD148+$L$10+$N$10)-$K$10),HU_beta*($T$10-$K$10)))))</f>
        <v/>
      </c>
      <c r="AY148" s="29">
        <f>IF(OR(AV148=0,$S$10=0),0,IF((AD148+$K$10)&gt;$S$10/HU_alpha+$K$10,0.5*$S$10/HU_alpha,IF((AD148+$K$10)&gt;=$K$10,((AD148+$K$10)-$K$10)-0.5*HU_alpha/$S$10*((AD148+$K$10)-$K$10)^2,IF((AD148+$K$10)&gt;=$T$10,HU_beta*((AD148+$K$10)-$K$10),HU_beta*($T$10-$K$10)))))</f>
        <v/>
      </c>
      <c r="AZ148" s="63">
        <f>IF(AND($J$11,A148=$Q$11),J148,0)</f>
        <v/>
      </c>
      <c r="BA148" s="29">
        <f>IF(OR(AZ148=0,$S$11=0),0,IF((AE148+$L$11)&gt;$S$11/HU_alpha+$K$11,0.5*$S$11/HU_alpha,IF((AE148+$L$11)&gt;=$K$11,((AE148+$L$11)-$K$11)-0.5*HU_alpha/$S$11*((AE148+$L$11)-$K$11)^2,IF((AE148+$L$11)&gt;=$T$11,HU_beta*((AE148+$L$11)-$K$11),HU_beta*($T$11-$K$11)))))</f>
        <v/>
      </c>
      <c r="BB148" s="29">
        <f>IF(OR(AZ148=0,$S$11=0),0,IF((AE148+$L$11+$N$11)&gt;$S$11/HU_alpha+$K$11,0.5*$S$11/HU_alpha,IF((AE148+$L$11+$N$11)&gt;=$K$11,((AE148+$L$11+$N$11)-$K$11)-0.5*HU_alpha/$S$11*((AE148+$L$11+$N$11)-$K$11)^2,IF((AE148+$L$11+$N$11)&gt;=$T$11,HU_beta*((AE148+$L$11+$N$11)-$K$11),HU_beta*($T$11-$K$11)))))</f>
        <v/>
      </c>
      <c r="BC148" s="29">
        <f>IF(OR(AZ148=0,$S$11=0),0,IF((AE148+$K$11)&gt;$S$11/HU_alpha+$K$11,0.5*$S$11/HU_alpha,IF((AE148+$K$11)&gt;=$K$11,((AE148+$K$11)-$K$11)-0.5*HU_alpha/$S$11*((AE148+$K$11)-$K$11)^2,IF((AE148+$K$11)&gt;=$T$11,HU_beta*((AE148+$K$11)-$K$11),HU_beta*($T$11-$K$11)))))</f>
        <v/>
      </c>
      <c r="BD148" s="63">
        <f>IF(AND($J$12,A148=$Q$12),J148,0)</f>
        <v/>
      </c>
      <c r="BE148" s="29">
        <f>IF(OR(BD148=0,$S$12=0),0,IF((AE148+$L$12)&gt;$S$12/HU_alpha+$K$12,0.5*$S$12/HU_alpha,IF((AE148+$L$12)&gt;=$K$12,((AE148+$L$12)-$K$12)-0.5*HU_alpha/$S$12*((AE148+$L$12)-$K$12)^2,IF((AE148+$L$12)&gt;=$T$12,HU_beta*((AE148+$L$12)-$K$12),HU_beta*($T$12-$K$12)))))</f>
        <v/>
      </c>
      <c r="BF148" s="29">
        <f>IF(OR(BD148=0,$S$12=0),0,IF((AE148+$L$12+$N$12)&gt;$S$12/HU_alpha+$K$12,0.5*$S$12/HU_alpha,IF((AE148+$L$12+$N$12)&gt;=$K$12,((AE148+$L$12+$N$12)-$K$12)-0.5*HU_alpha/$S$12*((AE148+$L$12+$N$12)-$K$12)^2,IF((AE148+$L$12+$N$12)&gt;=$T$12,HU_beta*((AE148+$L$12+$N$12)-$K$12),HU_beta*($T$12-$K$12)))))</f>
        <v/>
      </c>
      <c r="BG148" s="29">
        <f>IF(OR(BD148=0,$S$12=0),0,IF((AE148+$K$12)&gt;$S$12/HU_alpha+$K$12,0.5*$S$12/HU_alpha,IF((AE148+$K$12)&gt;=$K$12,((AE148+$K$12)-$K$12)-0.5*HU_alpha/$S$12*((AE148+$K$12)-$K$12)^2,IF((AE148+$K$12)&gt;=$T$12,HU_beta*((AE148+$K$12)-$K$12),HU_beta*($T$12-$K$12)))))</f>
        <v/>
      </c>
      <c r="BH148" s="63">
        <f>IF(AND($J$13,A148=$Q$13),J148,0)</f>
        <v/>
      </c>
      <c r="BI148" s="29">
        <f>IF(OR(BH148=0,$S$13=0),0,IF((AE148+$L$13)&gt;$S$13/HU_alpha+$K$13,0.5*$S$13/HU_alpha,IF((AE148+$L$13)&gt;=$K$13,((AE148+$L$13)-$K$13)-0.5*HU_alpha/$S$13*((AE148+$L$13)-$K$13)^2,IF((AE148+$L$13)&gt;=$T$13,HU_beta*((AE148+$L$13)-$K$13),HU_beta*($T$13-$K$13)))))</f>
        <v/>
      </c>
      <c r="BJ148" s="29">
        <f>IF(OR(BH148=0,$S$13=0),0,IF((AE148+$L$13+$N$13)&gt;$S$13/HU_alpha+$K$13,0.5*$S$13/HU_alpha,IF((AE148+$L$13+$N$13)&gt;=$K$13,((AE148+$L$13+$N$13)-$K$13)-0.5*HU_alpha/$S$13*((AE148+$L$13+$N$13)-$K$13)^2,IF((AE148+$L$13+$N$13)&gt;=$T$13,HU_beta*((AE148+$L$13+$N$13)-$K$13),HU_beta*($T$13-$K$13)))))</f>
        <v/>
      </c>
      <c r="BK148" s="29">
        <f>IF(OR(BH148=0,$S$13=0),0,IF((AE148+$K$13)&gt;$S$13/HU_alpha+$K$13,0.5*$S$13/HU_alpha,IF((AE148+$K$13)&gt;=$K$13,((AE148+$K$13)-$K$13)-0.5*HU_alpha/$S$13*((AE148+$K$13)-$K$13)^2,IF((AE148+$K$13)&gt;=$T$13,HU_beta*((AE148+$K$13)-$K$13),HU_beta*($T$13-$K$13)))))</f>
        <v/>
      </c>
    </row>
    <row r="149">
      <c r="A149" s="61" t="n">
        <v>81</v>
      </c>
      <c r="B149" s="61">
        <f>HU_age+A149</f>
        <v/>
      </c>
      <c r="C149" s="52">
        <f>A149&lt;=HU_T</f>
        <v/>
      </c>
      <c r="D149" s="63">
        <f>IF(OR(A149&lt;1,A149&gt;HU_T),0,INDEX(HU_q_mort,HU_age+A149-17,HU_col))</f>
        <v/>
      </c>
      <c r="E149" s="63">
        <f>IF(OR(A149&lt;1,A149&gt;HU_T),0,INDEX(HU_q_adb,HU_age+A149-17,HU_col))</f>
        <v/>
      </c>
      <c r="F149" s="63">
        <f>IF(OR(A149&lt;1,A149&gt;HU_T),0,INDEX(HU_q_morb,HU_age+A149-17,HU_col))</f>
        <v/>
      </c>
      <c r="G149" s="63">
        <f>IF(OR(A149&lt;1,A149&gt;HU_T),0,INDEX(HU_q_ptd,HU_age+A149-17,HU_col))</f>
        <v/>
      </c>
      <c r="H149" s="63">
        <f>IF(OR(A149&lt;1,A149&gt;HU_T),0,INDEX(HU_q_dis,HU_age+A149-17,HU_col))</f>
        <v/>
      </c>
      <c r="I149" s="63">
        <f>IF(A149&gt;HU_T,0,I148*(1-D149)*(1-E149))</f>
        <v/>
      </c>
      <c r="J149" s="63">
        <f>IF(A149&gt;=HU_T,0,N(I150))</f>
        <v/>
      </c>
      <c r="K149" s="63">
        <f>K148*(1-G149)</f>
        <v/>
      </c>
      <c r="L149" s="63">
        <f>1-K149</f>
        <v/>
      </c>
      <c r="M149" s="63">
        <f>K148*G149</f>
        <v/>
      </c>
      <c r="N149" s="63">
        <f>N148*(1-H149)</f>
        <v/>
      </c>
      <c r="O149" s="63">
        <f>1-N148</f>
        <v/>
      </c>
      <c r="P149" s="63">
        <f>P148*(1-F149)</f>
        <v/>
      </c>
      <c r="Q149" s="63">
        <f>1-P148/INDEX($P$68:$P$150,MAX(1,A149-HU_ciYears))</f>
        <v/>
      </c>
      <c r="R149" s="60">
        <f>(1+inflationRate)^A149</f>
        <v/>
      </c>
      <c r="S149" s="29">
        <f>IF(OR(OR(A149&lt;1,A149&gt;HU_T),A149-1&gt;=HU_dtr),0,HU_inc0*(1+incomeGrowthRate)^A149)</f>
        <v/>
      </c>
      <c r="T149" s="60">
        <f>IF(A149&gt;HU_T,T148,T148*(1+INDEX(HU_ssG,HU_age+A149-17)))</f>
        <v/>
      </c>
      <c r="U149" s="29">
        <f>IF(AND(HU_dtr&gt;=1,A149=HU_dtr,A149&lt;=HU_T),MIN(S149*INDEX(HU_ssC,HU_age+A149-17)/(1-INDEX(HU_ssC,HU_age+A149-17)),INDEX(HU_ssCap,HU_age+A149-17))*T149,0)</f>
        <v/>
      </c>
      <c r="V149" s="29">
        <f>S149+U149+IF(AND(HU_wdOn,A149=HU_wdYear),HU_wdIncome,0)</f>
        <v/>
      </c>
      <c r="W149" s="60">
        <f>HU_ciProp*Q149+HU_tpdCut*L149+HU_disCut*O149</f>
        <v/>
      </c>
      <c r="X149" s="29">
        <f>IF(OR(A149&lt;1,A149&gt;HU_T),0,V149*(1-W149))</f>
        <v/>
      </c>
      <c r="Y149" s="29">
        <f>IF(OR(A149&lt;1,A149&gt;HU_T),0,IF(AND(HU_retExp&gt;0,A149-1&gt;=HU_dtr),HU_retExp,HU_exp0)*R149)</f>
        <v/>
      </c>
      <c r="Z149" s="29">
        <f>-Y149-IF(AND(HU_wdOn,A149=HU_wdYear),HU_wdOut,0)</f>
        <v/>
      </c>
      <c r="AA149" s="29">
        <f>IF(OR(A149&lt;1,A149&gt;HU_T),0,-HU_medCost*R149*F149-HU_tpdCost*R149*M149)</f>
        <v/>
      </c>
      <c r="AB149" s="29">
        <f>IF(A149&gt;HU_T,0,AB148*(1+interestRate)+X149+Z149+AA149)</f>
        <v/>
      </c>
      <c r="AC149" s="29">
        <f>IF(A149&gt;HU_T,0,HU_inv*EXP(HU_mu*A149))</f>
        <v/>
      </c>
      <c r="AD149" s="29">
        <f>IF(A149&gt;HU_T,0,MAX(0,AC149+AB149))</f>
        <v/>
      </c>
      <c r="AE149" s="29">
        <f>IF(A149&gt;HU_T,0,MAX(0,X149-Y149))</f>
        <v/>
      </c>
      <c r="AF149" s="63">
        <f>IF(AND($J$6,A149&gt;=1,A149&lt;=$Q$6-1),J149,0)</f>
        <v/>
      </c>
      <c r="AG149" s="29">
        <f>IF(OR(AF149=0,$S$6=0),0,IF((AD149+$L$6)&gt;$S$6/HU_alpha+$K$6,0.5*$S$6/HU_alpha,IF((AD149+$L$6)&gt;=$K$6,((AD149+$L$6)-$K$6)-0.5*HU_alpha/$S$6*((AD149+$L$6)-$K$6)^2,IF((AD149+$L$6)&gt;=$T$6,HU_beta*((AD149+$L$6)-$K$6),HU_beta*($T$6-$K$6)))))</f>
        <v/>
      </c>
      <c r="AH149" s="29">
        <f>IF(OR(AF149=0,$S$6=0),0,IF((AD149+$L$6+$N$6)&gt;$S$6/HU_alpha+$K$6,0.5*$S$6/HU_alpha,IF((AD149+$L$6+$N$6)&gt;=$K$6,((AD149+$L$6+$N$6)-$K$6)-0.5*HU_alpha/$S$6*((AD149+$L$6+$N$6)-$K$6)^2,IF((AD149+$L$6+$N$6)&gt;=$T$6,HU_beta*((AD149+$L$6+$N$6)-$K$6),HU_beta*($T$6-$K$6)))))</f>
        <v/>
      </c>
      <c r="AI149" s="29">
        <f>IF(OR(AF149=0,$S$6=0),0,IF((AD149+$K$6)&gt;$S$6/HU_alpha+$K$6,0.5*$S$6/HU_alpha,IF((AD149+$K$6)&gt;=$K$6,((AD149+$K$6)-$K$6)-0.5*HU_alpha/$S$6*((AD149+$K$6)-$K$6)^2,IF((AD149+$K$6)&gt;=$T$6,HU_beta*((AD149+$K$6)-$K$6),HU_beta*($T$6-$K$6)))))</f>
        <v/>
      </c>
      <c r="AJ149" s="63">
        <f>IF(AND($J$7,A149&gt;=1,A149&lt;=$Q$7-1),J149,0)</f>
        <v/>
      </c>
      <c r="AK149" s="29">
        <f>IF(OR(AJ149=0,$S$7=0),0,IF((AE149+$L$7)&gt;$S$7/HU_alpha+$K$7,0.5*$S$7/HU_alpha,IF((AE149+$L$7)&gt;=$K$7,((AE149+$L$7)-$K$7)-0.5*HU_alpha/$S$7*((AE149+$L$7)-$K$7)^2,IF((AE149+$L$7)&gt;=$T$7,HU_beta*((AE149+$L$7)-$K$7),HU_beta*($T$7-$K$7)))))</f>
        <v/>
      </c>
      <c r="AL149" s="29">
        <f>IF(OR(AJ149=0,$S$7=0),0,IF((AE149+$L$7+$N$7)&gt;$S$7/HU_alpha+$K$7,0.5*$S$7/HU_alpha,IF((AE149+$L$7+$N$7)&gt;=$K$7,((AE149+$L$7+$N$7)-$K$7)-0.5*HU_alpha/$S$7*((AE149+$L$7+$N$7)-$K$7)^2,IF((AE149+$L$7+$N$7)&gt;=$T$7,HU_beta*((AE149+$L$7+$N$7)-$K$7),HU_beta*($T$7-$K$7)))))</f>
        <v/>
      </c>
      <c r="AM149" s="29">
        <f>IF(OR(AJ149=0,$S$7=0),0,IF((AE149+$K$7)&gt;$S$7/HU_alpha+$K$7,0.5*$S$7/HU_alpha,IF((AE149+$K$7)&gt;=$K$7,((AE149+$K$7)-$K$7)-0.5*HU_alpha/$S$7*((AE149+$K$7)-$K$7)^2,IF((AE149+$K$7)&gt;=$T$7,HU_beta*((AE149+$K$7)-$K$7),HU_beta*($T$7-$K$7)))))</f>
        <v/>
      </c>
      <c r="AN149" s="63">
        <f>IF(AND($J$8,A149&gt;=1,A149&lt;=$Q$8-1),J149,0)</f>
        <v/>
      </c>
      <c r="AO149" s="29">
        <f>IF(OR(AN149=0,$S$8=0),0,IF((AE149+$L$8)&gt;$S$8/HU_alpha+$K$8,0.5*$S$8/HU_alpha,IF((AE149+$L$8)&gt;=$K$8,((AE149+$L$8)-$K$8)-0.5*HU_alpha/$S$8*((AE149+$L$8)-$K$8)^2,IF((AE149+$L$8)&gt;=$T$8,HU_beta*((AE149+$L$8)-$K$8),HU_beta*($T$8-$K$8)))))</f>
        <v/>
      </c>
      <c r="AP149" s="29">
        <f>IF(OR(AN149=0,$S$8=0),0,IF((AE149+$L$8+$N$8)&gt;$S$8/HU_alpha+$K$8,0.5*$S$8/HU_alpha,IF((AE149+$L$8+$N$8)&gt;=$K$8,((AE149+$L$8+$N$8)-$K$8)-0.5*HU_alpha/$S$8*((AE149+$L$8+$N$8)-$K$8)^2,IF((AE149+$L$8+$N$8)&gt;=$T$8,HU_beta*((AE149+$L$8+$N$8)-$K$8),HU_beta*($T$8-$K$8)))))</f>
        <v/>
      </c>
      <c r="AQ149" s="29">
        <f>IF(OR(AN149=0,$S$8=0),0,IF((AE149+$K$8)&gt;$S$8/HU_alpha+$K$8,0.5*$S$8/HU_alpha,IF((AE149+$K$8)&gt;=$K$8,((AE149+$K$8)-$K$8)-0.5*HU_alpha/$S$8*((AE149+$K$8)-$K$8)^2,IF((AE149+$K$8)&gt;=$T$8,HU_beta*((AE149+$K$8)-$K$8),HU_beta*($T$8-$K$8)))))</f>
        <v/>
      </c>
      <c r="AR149" s="63">
        <f>IF(AND($J$9,A149&gt;=1,A149&lt;=$Q$9-1),J149,0)</f>
        <v/>
      </c>
      <c r="AS149" s="29">
        <f>IF(OR(AR149=0,$S$9=0),0,IF((AE149+$L$9)&gt;$S$9/HU_alpha+$K$9,0.5*$S$9/HU_alpha,IF((AE149+$L$9)&gt;=$K$9,((AE149+$L$9)-$K$9)-0.5*HU_alpha/$S$9*((AE149+$L$9)-$K$9)^2,IF((AE149+$L$9)&gt;=$T$9,HU_beta*((AE149+$L$9)-$K$9),HU_beta*($T$9-$K$9)))))</f>
        <v/>
      </c>
      <c r="AT149" s="29">
        <f>IF(OR(AR149=0,$S$9=0),0,IF((AE149+$L$9+$N$9)&gt;$S$9/HU_alpha+$K$9,0.5*$S$9/HU_alpha,IF((AE149+$L$9+$N$9)&gt;=$K$9,((AE149+$L$9+$N$9)-$K$9)-0.5*HU_alpha/$S$9*((AE149+$L$9+$N$9)-$K$9)^2,IF((AE149+$L$9+$N$9)&gt;=$T$9,HU_beta*((AE149+$L$9+$N$9)-$K$9),HU_beta*($T$9-$K$9)))))</f>
        <v/>
      </c>
      <c r="AU149" s="29">
        <f>IF(OR(AR149=0,$S$9=0),0,IF((AE149+$K$9)&gt;$S$9/HU_alpha+$K$9,0.5*$S$9/HU_alpha,IF((AE149+$K$9)&gt;=$K$9,((AE149+$K$9)-$K$9)-0.5*HU_alpha/$S$9*((AE149+$K$9)-$K$9)^2,IF((AE149+$K$9)&gt;=$T$9,HU_beta*((AE149+$K$9)-$K$9),HU_beta*($T$9-$K$9)))))</f>
        <v/>
      </c>
      <c r="AV149" s="63">
        <f>IF(AND($J$10,A149=$Q$10),J149,0)</f>
        <v/>
      </c>
      <c r="AW149" s="29">
        <f>IF(OR(AV149=0,$S$10=0),0,IF((AD149+$L$10)&gt;$S$10/HU_alpha+$K$10,0.5*$S$10/HU_alpha,IF((AD149+$L$10)&gt;=$K$10,((AD149+$L$10)-$K$10)-0.5*HU_alpha/$S$10*((AD149+$L$10)-$K$10)^2,IF((AD149+$L$10)&gt;=$T$10,HU_beta*((AD149+$L$10)-$K$10),HU_beta*($T$10-$K$10)))))</f>
        <v/>
      </c>
      <c r="AX149" s="29">
        <f>IF(OR(AV149=0,$S$10=0),0,IF((AD149+$L$10+$N$10)&gt;$S$10/HU_alpha+$K$10,0.5*$S$10/HU_alpha,IF((AD149+$L$10+$N$10)&gt;=$K$10,((AD149+$L$10+$N$10)-$K$10)-0.5*HU_alpha/$S$10*((AD149+$L$10+$N$10)-$K$10)^2,IF((AD149+$L$10+$N$10)&gt;=$T$10,HU_beta*((AD149+$L$10+$N$10)-$K$10),HU_beta*($T$10-$K$10)))))</f>
        <v/>
      </c>
      <c r="AY149" s="29">
        <f>IF(OR(AV149=0,$S$10=0),0,IF((AD149+$K$10)&gt;$S$10/HU_alpha+$K$10,0.5*$S$10/HU_alpha,IF((AD149+$K$10)&gt;=$K$10,((AD149+$K$10)-$K$10)-0.5*HU_alpha/$S$10*((AD149+$K$10)-$K$10)^2,IF((AD149+$K$10)&gt;=$T$10,HU_beta*((AD149+$K$10)-$K$10),HU_beta*($T$10-$K$10)))))</f>
        <v/>
      </c>
      <c r="AZ149" s="63">
        <f>IF(AND($J$11,A149=$Q$11),J149,0)</f>
        <v/>
      </c>
      <c r="BA149" s="29">
        <f>IF(OR(AZ149=0,$S$11=0),0,IF((AE149+$L$11)&gt;$S$11/HU_alpha+$K$11,0.5*$S$11/HU_alpha,IF((AE149+$L$11)&gt;=$K$11,((AE149+$L$11)-$K$11)-0.5*HU_alpha/$S$11*((AE149+$L$11)-$K$11)^2,IF((AE149+$L$11)&gt;=$T$11,HU_beta*((AE149+$L$11)-$K$11),HU_beta*($T$11-$K$11)))))</f>
        <v/>
      </c>
      <c r="BB149" s="29">
        <f>IF(OR(AZ149=0,$S$11=0),0,IF((AE149+$L$11+$N$11)&gt;$S$11/HU_alpha+$K$11,0.5*$S$11/HU_alpha,IF((AE149+$L$11+$N$11)&gt;=$K$11,((AE149+$L$11+$N$11)-$K$11)-0.5*HU_alpha/$S$11*((AE149+$L$11+$N$11)-$K$11)^2,IF((AE149+$L$11+$N$11)&gt;=$T$11,HU_beta*((AE149+$L$11+$N$11)-$K$11),HU_beta*($T$11-$K$11)))))</f>
        <v/>
      </c>
      <c r="BC149" s="29">
        <f>IF(OR(AZ149=0,$S$11=0),0,IF((AE149+$K$11)&gt;$S$11/HU_alpha+$K$11,0.5*$S$11/HU_alpha,IF((AE149+$K$11)&gt;=$K$11,((AE149+$K$11)-$K$11)-0.5*HU_alpha/$S$11*((AE149+$K$11)-$K$11)^2,IF((AE149+$K$11)&gt;=$T$11,HU_beta*((AE149+$K$11)-$K$11),HU_beta*($T$11-$K$11)))))</f>
        <v/>
      </c>
      <c r="BD149" s="63">
        <f>IF(AND($J$12,A149=$Q$12),J149,0)</f>
        <v/>
      </c>
      <c r="BE149" s="29">
        <f>IF(OR(BD149=0,$S$12=0),0,IF((AE149+$L$12)&gt;$S$12/HU_alpha+$K$12,0.5*$S$12/HU_alpha,IF((AE149+$L$12)&gt;=$K$12,((AE149+$L$12)-$K$12)-0.5*HU_alpha/$S$12*((AE149+$L$12)-$K$12)^2,IF((AE149+$L$12)&gt;=$T$12,HU_beta*((AE149+$L$12)-$K$12),HU_beta*($T$12-$K$12)))))</f>
        <v/>
      </c>
      <c r="BF149" s="29">
        <f>IF(OR(BD149=0,$S$12=0),0,IF((AE149+$L$12+$N$12)&gt;$S$12/HU_alpha+$K$12,0.5*$S$12/HU_alpha,IF((AE149+$L$12+$N$12)&gt;=$K$12,((AE149+$L$12+$N$12)-$K$12)-0.5*HU_alpha/$S$12*((AE149+$L$12+$N$12)-$K$12)^2,IF((AE149+$L$12+$N$12)&gt;=$T$12,HU_beta*((AE149+$L$12+$N$12)-$K$12),HU_beta*($T$12-$K$12)))))</f>
        <v/>
      </c>
      <c r="BG149" s="29">
        <f>IF(OR(BD149=0,$S$12=0),0,IF((AE149+$K$12)&gt;$S$12/HU_alpha+$K$12,0.5*$S$12/HU_alpha,IF((AE149+$K$12)&gt;=$K$12,((AE149+$K$12)-$K$12)-0.5*HU_alpha/$S$12*((AE149+$K$12)-$K$12)^2,IF((AE149+$K$12)&gt;=$T$12,HU_beta*((AE149+$K$12)-$K$12),HU_beta*($T$12-$K$12)))))</f>
        <v/>
      </c>
      <c r="BH149" s="63">
        <f>IF(AND($J$13,A149=$Q$13),J149,0)</f>
        <v/>
      </c>
      <c r="BI149" s="29">
        <f>IF(OR(BH149=0,$S$13=0),0,IF((AE149+$L$13)&gt;$S$13/HU_alpha+$K$13,0.5*$S$13/HU_alpha,IF((AE149+$L$13)&gt;=$K$13,((AE149+$L$13)-$K$13)-0.5*HU_alpha/$S$13*((AE149+$L$13)-$K$13)^2,IF((AE149+$L$13)&gt;=$T$13,HU_beta*((AE149+$L$13)-$K$13),HU_beta*($T$13-$K$13)))))</f>
        <v/>
      </c>
      <c r="BJ149" s="29">
        <f>IF(OR(BH149=0,$S$13=0),0,IF((AE149+$L$13+$N$13)&gt;$S$13/HU_alpha+$K$13,0.5*$S$13/HU_alpha,IF((AE149+$L$13+$N$13)&gt;=$K$13,((AE149+$L$13+$N$13)-$K$13)-0.5*HU_alpha/$S$13*((AE149+$L$13+$N$13)-$K$13)^2,IF((AE149+$L$13+$N$13)&gt;=$T$13,HU_beta*((AE149+$L$13+$N$13)-$K$13),HU_beta*($T$13-$K$13)))))</f>
        <v/>
      </c>
      <c r="BK149" s="29">
        <f>IF(OR(BH149=0,$S$13=0),0,IF((AE149+$K$13)&gt;$S$13/HU_alpha+$K$13,0.5*$S$13/HU_alpha,IF((AE149+$K$13)&gt;=$K$13,((AE149+$K$13)-$K$13)-0.5*HU_alpha/$S$13*((AE149+$K$13)-$K$13)^2,IF((AE149+$K$13)&gt;=$T$13,HU_beta*((AE149+$K$13)-$K$13),HU_beta*($T$13-$K$13)))))</f>
        <v/>
      </c>
    </row>
    <row r="150">
      <c r="A150" s="61" t="n">
        <v>82</v>
      </c>
      <c r="B150" s="61">
        <f>HU_age+A150</f>
        <v/>
      </c>
      <c r="C150" s="52">
        <f>A150&lt;=HU_T</f>
        <v/>
      </c>
      <c r="D150" s="63">
        <f>IF(OR(A150&lt;1,A150&gt;HU_T),0,INDEX(HU_q_mort,HU_age+A150-17,HU_col))</f>
        <v/>
      </c>
      <c r="E150" s="63">
        <f>IF(OR(A150&lt;1,A150&gt;HU_T),0,INDEX(HU_q_adb,HU_age+A150-17,HU_col))</f>
        <v/>
      </c>
      <c r="F150" s="63">
        <f>IF(OR(A150&lt;1,A150&gt;HU_T),0,INDEX(HU_q_morb,HU_age+A150-17,HU_col))</f>
        <v/>
      </c>
      <c r="G150" s="63">
        <f>IF(OR(A150&lt;1,A150&gt;HU_T),0,INDEX(HU_q_ptd,HU_age+A150-17,HU_col))</f>
        <v/>
      </c>
      <c r="H150" s="63">
        <f>IF(OR(A150&lt;1,A150&gt;HU_T),0,INDEX(HU_q_dis,HU_age+A150-17,HU_col))</f>
        <v/>
      </c>
      <c r="I150" s="63">
        <f>IF(A150&gt;HU_T,0,I149*(1-D150)*(1-E150))</f>
        <v/>
      </c>
      <c r="J150" s="63">
        <f>IF(A150&gt;=HU_T,0,N(I151))</f>
        <v/>
      </c>
      <c r="K150" s="63">
        <f>K149*(1-G150)</f>
        <v/>
      </c>
      <c r="L150" s="63">
        <f>1-K150</f>
        <v/>
      </c>
      <c r="M150" s="63">
        <f>K149*G150</f>
        <v/>
      </c>
      <c r="N150" s="63">
        <f>N149*(1-H150)</f>
        <v/>
      </c>
      <c r="O150" s="63">
        <f>1-N149</f>
        <v/>
      </c>
      <c r="P150" s="63">
        <f>P149*(1-F150)</f>
        <v/>
      </c>
      <c r="Q150" s="63">
        <f>1-P149/INDEX($P$68:$P$150,MAX(1,A150-HU_ciYears))</f>
        <v/>
      </c>
      <c r="R150" s="60">
        <f>(1+inflationRate)^A150</f>
        <v/>
      </c>
      <c r="S150" s="29">
        <f>IF(OR(OR(A150&lt;1,A150&gt;HU_T),A150-1&gt;=HU_dtr),0,HU_inc0*(1+incomeGrowthRate)^A150)</f>
        <v/>
      </c>
      <c r="T150" s="60">
        <f>IF(A150&gt;HU_T,T149,T149*(1+INDEX(HU_ssG,HU_age+A150-17)))</f>
        <v/>
      </c>
      <c r="U150" s="29">
        <f>IF(AND(HU_dtr&gt;=1,A150=HU_dtr,A150&lt;=HU_T),MIN(S150*INDEX(HU_ssC,HU_age+A150-17)/(1-INDEX(HU_ssC,HU_age+A150-17)),INDEX(HU_ssCap,HU_age+A150-17))*T150,0)</f>
        <v/>
      </c>
      <c r="V150" s="29">
        <f>S150+U150+IF(AND(HU_wdOn,A150=HU_wdYear),HU_wdIncome,0)</f>
        <v/>
      </c>
      <c r="W150" s="60">
        <f>HU_ciProp*Q150+HU_tpdCut*L150+HU_disCut*O150</f>
        <v/>
      </c>
      <c r="X150" s="29">
        <f>IF(OR(A150&lt;1,A150&gt;HU_T),0,V150*(1-W150))</f>
        <v/>
      </c>
      <c r="Y150" s="29">
        <f>IF(OR(A150&lt;1,A150&gt;HU_T),0,IF(AND(HU_retExp&gt;0,A150-1&gt;=HU_dtr),HU_retExp,HU_exp0)*R150)</f>
        <v/>
      </c>
      <c r="Z150" s="29">
        <f>-Y150-IF(AND(HU_wdOn,A150=HU_wdYear),HU_wdOut,0)</f>
        <v/>
      </c>
      <c r="AA150" s="29">
        <f>IF(OR(A150&lt;1,A150&gt;HU_T),0,-HU_medCost*R150*F150-HU_tpdCost*R150*M150)</f>
        <v/>
      </c>
      <c r="AB150" s="29">
        <f>IF(A150&gt;HU_T,0,AB149*(1+interestRate)+X150+Z150+AA150)</f>
        <v/>
      </c>
      <c r="AC150" s="29">
        <f>IF(A150&gt;HU_T,0,HU_inv*EXP(HU_mu*A150))</f>
        <v/>
      </c>
      <c r="AD150" s="29">
        <f>IF(A150&gt;HU_T,0,MAX(0,AC150+AB150))</f>
        <v/>
      </c>
      <c r="AE150" s="29">
        <f>IF(A150&gt;HU_T,0,MAX(0,X150-Y150))</f>
        <v/>
      </c>
      <c r="AF150" s="63">
        <f>IF(AND($J$6,A150&gt;=1,A150&lt;=$Q$6-1),J150,0)</f>
        <v/>
      </c>
      <c r="AG150" s="29">
        <f>IF(OR(AF150=0,$S$6=0),0,IF((AD150+$L$6)&gt;$S$6/HU_alpha+$K$6,0.5*$S$6/HU_alpha,IF((AD150+$L$6)&gt;=$K$6,((AD150+$L$6)-$K$6)-0.5*HU_alpha/$S$6*((AD150+$L$6)-$K$6)^2,IF((AD150+$L$6)&gt;=$T$6,HU_beta*((AD150+$L$6)-$K$6),HU_beta*($T$6-$K$6)))))</f>
        <v/>
      </c>
      <c r="AH150" s="29">
        <f>IF(OR(AF150=0,$S$6=0),0,IF((AD150+$L$6+$N$6)&gt;$S$6/HU_alpha+$K$6,0.5*$S$6/HU_alpha,IF((AD150+$L$6+$N$6)&gt;=$K$6,((AD150+$L$6+$N$6)-$K$6)-0.5*HU_alpha/$S$6*((AD150+$L$6+$N$6)-$K$6)^2,IF((AD150+$L$6+$N$6)&gt;=$T$6,HU_beta*((AD150+$L$6+$N$6)-$K$6),HU_beta*($T$6-$K$6)))))</f>
        <v/>
      </c>
      <c r="AI150" s="29">
        <f>IF(OR(AF150=0,$S$6=0),0,IF((AD150+$K$6)&gt;$S$6/HU_alpha+$K$6,0.5*$S$6/HU_alpha,IF((AD150+$K$6)&gt;=$K$6,((AD150+$K$6)-$K$6)-0.5*HU_alpha/$S$6*((AD150+$K$6)-$K$6)^2,IF((AD150+$K$6)&gt;=$T$6,HU_beta*((AD150+$K$6)-$K$6),HU_beta*($T$6-$K$6)))))</f>
        <v/>
      </c>
      <c r="AJ150" s="63">
        <f>IF(AND($J$7,A150&gt;=1,A150&lt;=$Q$7-1),J150,0)</f>
        <v/>
      </c>
      <c r="AK150" s="29">
        <f>IF(OR(AJ150=0,$S$7=0),0,IF((AE150+$L$7)&gt;$S$7/HU_alpha+$K$7,0.5*$S$7/HU_alpha,IF((AE150+$L$7)&gt;=$K$7,((AE150+$L$7)-$K$7)-0.5*HU_alpha/$S$7*((AE150+$L$7)-$K$7)^2,IF((AE150+$L$7)&gt;=$T$7,HU_beta*((AE150+$L$7)-$K$7),HU_beta*($T$7-$K$7)))))</f>
        <v/>
      </c>
      <c r="AL150" s="29">
        <f>IF(OR(AJ150=0,$S$7=0),0,IF((AE150+$L$7+$N$7)&gt;$S$7/HU_alpha+$K$7,0.5*$S$7/HU_alpha,IF((AE150+$L$7+$N$7)&gt;=$K$7,((AE150+$L$7+$N$7)-$K$7)-0.5*HU_alpha/$S$7*((AE150+$L$7+$N$7)-$K$7)^2,IF((AE150+$L$7+$N$7)&gt;=$T$7,HU_beta*((AE150+$L$7+$N$7)-$K$7),HU_beta*($T$7-$K$7)))))</f>
        <v/>
      </c>
      <c r="AM150" s="29">
        <f>IF(OR(AJ150=0,$S$7=0),0,IF((AE150+$K$7)&gt;$S$7/HU_alpha+$K$7,0.5*$S$7/HU_alpha,IF((AE150+$K$7)&gt;=$K$7,((AE150+$K$7)-$K$7)-0.5*HU_alpha/$S$7*((AE150+$K$7)-$K$7)^2,IF((AE150+$K$7)&gt;=$T$7,HU_beta*((AE150+$K$7)-$K$7),HU_beta*($T$7-$K$7)))))</f>
        <v/>
      </c>
      <c r="AN150" s="63">
        <f>IF(AND($J$8,A150&gt;=1,A150&lt;=$Q$8-1),J150,0)</f>
        <v/>
      </c>
      <c r="AO150" s="29">
        <f>IF(OR(AN150=0,$S$8=0),0,IF((AE150+$L$8)&gt;$S$8/HU_alpha+$K$8,0.5*$S$8/HU_alpha,IF((AE150+$L$8)&gt;=$K$8,((AE150+$L$8)-$K$8)-0.5*HU_alpha/$S$8*((AE150+$L$8)-$K$8)^2,IF((AE150+$L$8)&gt;=$T$8,HU_beta*((AE150+$L$8)-$K$8),HU_beta*($T$8-$K$8)))))</f>
        <v/>
      </c>
      <c r="AP150" s="29">
        <f>IF(OR(AN150=0,$S$8=0),0,IF((AE150+$L$8+$N$8)&gt;$S$8/HU_alpha+$K$8,0.5*$S$8/HU_alpha,IF((AE150+$L$8+$N$8)&gt;=$K$8,((AE150+$L$8+$N$8)-$K$8)-0.5*HU_alpha/$S$8*((AE150+$L$8+$N$8)-$K$8)^2,IF((AE150+$L$8+$N$8)&gt;=$T$8,HU_beta*((AE150+$L$8+$N$8)-$K$8),HU_beta*($T$8-$K$8)))))</f>
        <v/>
      </c>
      <c r="AQ150" s="29">
        <f>IF(OR(AN150=0,$S$8=0),0,IF((AE150+$K$8)&gt;$S$8/HU_alpha+$K$8,0.5*$S$8/HU_alpha,IF((AE150+$K$8)&gt;=$K$8,((AE150+$K$8)-$K$8)-0.5*HU_alpha/$S$8*((AE150+$K$8)-$K$8)^2,IF((AE150+$K$8)&gt;=$T$8,HU_beta*((AE150+$K$8)-$K$8),HU_beta*($T$8-$K$8)))))</f>
        <v/>
      </c>
      <c r="AR150" s="63">
        <f>IF(AND($J$9,A150&gt;=1,A150&lt;=$Q$9-1),J150,0)</f>
        <v/>
      </c>
      <c r="AS150" s="29">
        <f>IF(OR(AR150=0,$S$9=0),0,IF((AE150+$L$9)&gt;$S$9/HU_alpha+$K$9,0.5*$S$9/HU_alpha,IF((AE150+$L$9)&gt;=$K$9,((AE150+$L$9)-$K$9)-0.5*HU_alpha/$S$9*((AE150+$L$9)-$K$9)^2,IF((AE150+$L$9)&gt;=$T$9,HU_beta*((AE150+$L$9)-$K$9),HU_beta*($T$9-$K$9)))))</f>
        <v/>
      </c>
      <c r="AT150" s="29">
        <f>IF(OR(AR150=0,$S$9=0),0,IF((AE150+$L$9+$N$9)&gt;$S$9/HU_alpha+$K$9,0.5*$S$9/HU_alpha,IF((AE150+$L$9+$N$9)&gt;=$K$9,((AE150+$L$9+$N$9)-$K$9)-0.5*HU_alpha/$S$9*((AE150+$L$9+$N$9)-$K$9)^2,IF((AE150+$L$9+$N$9)&gt;=$T$9,HU_beta*((AE150+$L$9+$N$9)-$K$9),HU_beta*($T$9-$K$9)))))</f>
        <v/>
      </c>
      <c r="AU150" s="29">
        <f>IF(OR(AR150=0,$S$9=0),0,IF((AE150+$K$9)&gt;$S$9/HU_alpha+$K$9,0.5*$S$9/HU_alpha,IF((AE150+$K$9)&gt;=$K$9,((AE150+$K$9)-$K$9)-0.5*HU_alpha/$S$9*((AE150+$K$9)-$K$9)^2,IF((AE150+$K$9)&gt;=$T$9,HU_beta*((AE150+$K$9)-$K$9),HU_beta*($T$9-$K$9)))))</f>
        <v/>
      </c>
      <c r="AV150" s="63">
        <f>IF(AND($J$10,A150=$Q$10),J150,0)</f>
        <v/>
      </c>
      <c r="AW150" s="29">
        <f>IF(OR(AV150=0,$S$10=0),0,IF((AD150+$L$10)&gt;$S$10/HU_alpha+$K$10,0.5*$S$10/HU_alpha,IF((AD150+$L$10)&gt;=$K$10,((AD150+$L$10)-$K$10)-0.5*HU_alpha/$S$10*((AD150+$L$10)-$K$10)^2,IF((AD150+$L$10)&gt;=$T$10,HU_beta*((AD150+$L$10)-$K$10),HU_beta*($T$10-$K$10)))))</f>
        <v/>
      </c>
      <c r="AX150" s="29">
        <f>IF(OR(AV150=0,$S$10=0),0,IF((AD150+$L$10+$N$10)&gt;$S$10/HU_alpha+$K$10,0.5*$S$10/HU_alpha,IF((AD150+$L$10+$N$10)&gt;=$K$10,((AD150+$L$10+$N$10)-$K$10)-0.5*HU_alpha/$S$10*((AD150+$L$10+$N$10)-$K$10)^2,IF((AD150+$L$10+$N$10)&gt;=$T$10,HU_beta*((AD150+$L$10+$N$10)-$K$10),HU_beta*($T$10-$K$10)))))</f>
        <v/>
      </c>
      <c r="AY150" s="29">
        <f>IF(OR(AV150=0,$S$10=0),0,IF((AD150+$K$10)&gt;$S$10/HU_alpha+$K$10,0.5*$S$10/HU_alpha,IF((AD150+$K$10)&gt;=$K$10,((AD150+$K$10)-$K$10)-0.5*HU_alpha/$S$10*((AD150+$K$10)-$K$10)^2,IF((AD150+$K$10)&gt;=$T$10,HU_beta*((AD150+$K$10)-$K$10),HU_beta*($T$10-$K$10)))))</f>
        <v/>
      </c>
      <c r="AZ150" s="63">
        <f>IF(AND($J$11,A150=$Q$11),J150,0)</f>
        <v/>
      </c>
      <c r="BA150" s="29">
        <f>IF(OR(AZ150=0,$S$11=0),0,IF((AE150+$L$11)&gt;$S$11/HU_alpha+$K$11,0.5*$S$11/HU_alpha,IF((AE150+$L$11)&gt;=$K$11,((AE150+$L$11)-$K$11)-0.5*HU_alpha/$S$11*((AE150+$L$11)-$K$11)^2,IF((AE150+$L$11)&gt;=$T$11,HU_beta*((AE150+$L$11)-$K$11),HU_beta*($T$11-$K$11)))))</f>
        <v/>
      </c>
      <c r="BB150" s="29">
        <f>IF(OR(AZ150=0,$S$11=0),0,IF((AE150+$L$11+$N$11)&gt;$S$11/HU_alpha+$K$11,0.5*$S$11/HU_alpha,IF((AE150+$L$11+$N$11)&gt;=$K$11,((AE150+$L$11+$N$11)-$K$11)-0.5*HU_alpha/$S$11*((AE150+$L$11+$N$11)-$K$11)^2,IF((AE150+$L$11+$N$11)&gt;=$T$11,HU_beta*((AE150+$L$11+$N$11)-$K$11),HU_beta*($T$11-$K$11)))))</f>
        <v/>
      </c>
      <c r="BC150" s="29">
        <f>IF(OR(AZ150=0,$S$11=0),0,IF((AE150+$K$11)&gt;$S$11/HU_alpha+$K$11,0.5*$S$11/HU_alpha,IF((AE150+$K$11)&gt;=$K$11,((AE150+$K$11)-$K$11)-0.5*HU_alpha/$S$11*((AE150+$K$11)-$K$11)^2,IF((AE150+$K$11)&gt;=$T$11,HU_beta*((AE150+$K$11)-$K$11),HU_beta*($T$11-$K$11)))))</f>
        <v/>
      </c>
      <c r="BD150" s="63">
        <f>IF(AND($J$12,A150=$Q$12),J150,0)</f>
        <v/>
      </c>
      <c r="BE150" s="29">
        <f>IF(OR(BD150=0,$S$12=0),0,IF((AE150+$L$12)&gt;$S$12/HU_alpha+$K$12,0.5*$S$12/HU_alpha,IF((AE150+$L$12)&gt;=$K$12,((AE150+$L$12)-$K$12)-0.5*HU_alpha/$S$12*((AE150+$L$12)-$K$12)^2,IF((AE150+$L$12)&gt;=$T$12,HU_beta*((AE150+$L$12)-$K$12),HU_beta*($T$12-$K$12)))))</f>
        <v/>
      </c>
      <c r="BF150" s="29">
        <f>IF(OR(BD150=0,$S$12=0),0,IF((AE150+$L$12+$N$12)&gt;$S$12/HU_alpha+$K$12,0.5*$S$12/HU_alpha,IF((AE150+$L$12+$N$12)&gt;=$K$12,((AE150+$L$12+$N$12)-$K$12)-0.5*HU_alpha/$S$12*((AE150+$L$12+$N$12)-$K$12)^2,IF((AE150+$L$12+$N$12)&gt;=$T$12,HU_beta*((AE150+$L$12+$N$12)-$K$12),HU_beta*($T$12-$K$12)))))</f>
        <v/>
      </c>
      <c r="BG150" s="29">
        <f>IF(OR(BD150=0,$S$12=0),0,IF((AE150+$K$12)&gt;$S$12/HU_alpha+$K$12,0.5*$S$12/HU_alpha,IF((AE150+$K$12)&gt;=$K$12,((AE150+$K$12)-$K$12)-0.5*HU_alpha/$S$12*((AE150+$K$12)-$K$12)^2,IF((AE150+$K$12)&gt;=$T$12,HU_beta*((AE150+$K$12)-$K$12),HU_beta*($T$12-$K$12)))))</f>
        <v/>
      </c>
      <c r="BH150" s="63">
        <f>IF(AND($J$13,A150=$Q$13),J150,0)</f>
        <v/>
      </c>
      <c r="BI150" s="29">
        <f>IF(OR(BH150=0,$S$13=0),0,IF((AE150+$L$13)&gt;$S$13/HU_alpha+$K$13,0.5*$S$13/HU_alpha,IF((AE150+$L$13)&gt;=$K$13,((AE150+$L$13)-$K$13)-0.5*HU_alpha/$S$13*((AE150+$L$13)-$K$13)^2,IF((AE150+$L$13)&gt;=$T$13,HU_beta*((AE150+$L$13)-$K$13),HU_beta*($T$13-$K$13)))))</f>
        <v/>
      </c>
      <c r="BJ150" s="29">
        <f>IF(OR(BH150=0,$S$13=0),0,IF((AE150+$L$13+$N$13)&gt;$S$13/HU_alpha+$K$13,0.5*$S$13/HU_alpha,IF((AE150+$L$13+$N$13)&gt;=$K$13,((AE150+$L$13+$N$13)-$K$13)-0.5*HU_alpha/$S$13*((AE150+$L$13+$N$13)-$K$13)^2,IF((AE150+$L$13+$N$13)&gt;=$T$13,HU_beta*((AE150+$L$13+$N$13)-$K$13),HU_beta*($T$13-$K$13)))))</f>
        <v/>
      </c>
      <c r="BK150" s="29">
        <f>IF(OR(BH150=0,$S$13=0),0,IF((AE150+$K$13)&gt;$S$13/HU_alpha+$K$13,0.5*$S$13/HU_alpha,IF((AE150+$K$13)&gt;=$K$13,((AE150+$K$13)-$K$13)-0.5*HU_alpha/$S$13*((AE150+$K$13)-$K$13)^2,IF((AE150+$K$13)&gt;=$T$13,HU_beta*((AE150+$K$13)-$K$13),HU_beta*($T$13-$K$13)))))</f>
        <v/>
      </c>
    </row>
  </sheetData>
  <mergeCells count="18">
    <mergeCell ref="R66:AE66"/>
    <mergeCell ref="A1:D1"/>
    <mergeCell ref="AJ66:AM66"/>
    <mergeCell ref="AN66:AQ66"/>
    <mergeCell ref="A66:C66"/>
    <mergeCell ref="AR66:AU66"/>
    <mergeCell ref="BH66:BK66"/>
    <mergeCell ref="AF66:AI66"/>
    <mergeCell ref="A4:D4"/>
    <mergeCell ref="AV66:AY66"/>
    <mergeCell ref="H4:AF4"/>
    <mergeCell ref="A55:D55"/>
    <mergeCell ref="A15:D15"/>
    <mergeCell ref="I66:Q66"/>
    <mergeCell ref="D66:H66"/>
    <mergeCell ref="AZ66:BC66"/>
    <mergeCell ref="BD66:BG66"/>
    <mergeCell ref="A36:D36"/>
  </mergeCells>
  <conditionalFormatting sqref="A68:BK150">
    <cfRule type="expression" priority="1" dxfId="2">
      <formula>OR($C68=FALSE,$B68&gt;IFERROR(SV_end,endAge))</formula>
    </cfRule>
  </conditionalFormatting>
  <pageMargins left="0.75" right="0.75" top="1" bottom="1" header="0.5" footer="0.5"/>
</worksheet>
</file>

<file path=xl/worksheets/sheet13.xml><?xml version="1.0" encoding="utf-8"?>
<worksheet xmlns="http://schemas.openxmlformats.org/spreadsheetml/2006/main">
  <sheetPr>
    <tabColor rgb="001D6F42"/>
    <outlinePr summaryBelow="1" summaryRight="1"/>
    <pageSetUpPr/>
  </sheetPr>
  <dimension ref="A1:U2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4" customWidth="1" min="9" max="9"/>
    <col width="16" customWidth="1" min="10" max="10"/>
    <col width="16" customWidth="1" min="11" max="11"/>
    <col width="12" customWidth="1" min="12" max="12"/>
    <col width="28" customWidth="1" min="14" max="14"/>
    <col width="8" customWidth="1" min="15" max="15"/>
    <col width="10" customWidth="1" min="16" max="16"/>
    <col width="9" customWidth="1" min="17" max="17"/>
    <col width="16" customWidth="1" min="18" max="18"/>
    <col width="18" customWidth="1" min="19" max="19"/>
    <col width="16" customWidth="1" min="20" max="20"/>
    <col width="40" customWidth="1" min="21" max="21"/>
  </cols>
  <sheetData>
    <row r="1" ht="28" customHeight="1">
      <c r="A1" s="1" t="inlineStr">
        <is>
          <t>FX — selected persona. Convert local currency to USD. Validation reads these amounts.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currency and effective session (local)</t>
        </is>
      </c>
      <c r="B4" s="12" t="n"/>
      <c r="C4" s="12" t="n"/>
      <c r="D4" s="12" t="n"/>
      <c r="F4" s="16" t="inlineStr">
        <is>
          <t>C · DETERMINISTICALLY CALCULATED</t>
        </is>
      </c>
      <c r="I4" s="38" t="inlineStr">
        <is>
          <t>D · RATE TABLE  —  152 currencies, market rate 2026-09-25 (fx_ppp/currencies_fx.csv). App: live feed, locked on the session</t>
        </is>
      </c>
      <c r="J4" s="34" t="n"/>
      <c r="K4" s="34" t="n"/>
      <c r="L4" s="35" t="n"/>
      <c r="N4" s="38" t="inlineStr">
        <is>
          <t>D · PPP TABLE  —  245 countries. Price level = World Bank PPP ÷ 2024 average market rate (US = 1). fx_ppp/countries_ppp.csv</t>
        </is>
      </c>
      <c r="O4" s="34" t="n"/>
      <c r="P4" s="34" t="n"/>
      <c r="Q4" s="34" t="n"/>
      <c r="R4" s="34" t="n"/>
      <c r="S4" s="34" t="n"/>
      <c r="T4" s="34" t="n"/>
      <c r="U4" s="35" t="n"/>
    </row>
    <row r="5">
      <c r="A5" s="17" t="inlineStr">
        <is>
          <t>currency</t>
        </is>
      </c>
      <c r="B5" s="13">
        <f>PLU_currency</f>
        <v/>
      </c>
      <c r="C5" s="13" t="inlineStr">
        <is>
          <t>A · input</t>
        </is>
      </c>
      <c r="D5" s="18" t="inlineStr">
        <is>
          <t>Personas K via People Like You. Lookup key for the rate table.</t>
        </is>
      </c>
      <c r="F5" s="19" t="inlineStr">
        <is>
          <t>D · ASSUMPTIONS / SHARED DATA</t>
        </is>
      </c>
      <c r="I5" s="3" t="inlineStr">
        <is>
          <t>currency</t>
        </is>
      </c>
      <c r="J5" s="3" t="inlineStr">
        <is>
          <t>USD per 1 unit</t>
        </is>
      </c>
      <c r="K5" s="3" t="inlineStr">
        <is>
          <t>units per USD</t>
        </is>
      </c>
      <c r="L5" s="3" t="inlineStr">
        <is>
          <t>date</t>
        </is>
      </c>
      <c r="N5" s="3" t="inlineStr">
        <is>
          <t>country</t>
        </is>
      </c>
      <c r="O5" s="3" t="inlineStr">
        <is>
          <t>ISO3</t>
        </is>
      </c>
      <c r="P5" s="3" t="inlineStr">
        <is>
          <t>currency</t>
        </is>
      </c>
      <c r="Q5" s="3" t="inlineStr">
        <is>
          <t>PPP year</t>
        </is>
      </c>
      <c r="R5" s="3" t="inlineStr">
        <is>
          <t>PPP (LCU per int. $)</t>
        </is>
      </c>
      <c r="S5" s="3" t="inlineStr">
        <is>
          <t>2024 avg (LCU per USD)</t>
        </is>
      </c>
      <c r="T5" s="3" t="inlineStr">
        <is>
          <t>price level (US = 1)</t>
        </is>
      </c>
      <c r="U5" s="3" t="inlineStr">
        <is>
          <t>flag</t>
        </is>
      </c>
    </row>
    <row r="6">
      <c r="A6" s="17" t="inlineStr">
        <is>
          <t>incomeMonthly (local)</t>
        </is>
      </c>
      <c r="B6" s="37">
        <f>PLU_incomeMonthly</f>
        <v/>
      </c>
      <c r="C6" s="13" t="inlineStr">
        <is>
          <t>A · input</t>
        </is>
      </c>
      <c r="D6" s="18" t="inlineStr">
        <is>
          <t>Effective session.</t>
        </is>
      </c>
      <c r="F6" s="21" t="inlineStr">
        <is>
          <t>E · USER / FRONTEND OVERRIDE</t>
        </is>
      </c>
      <c r="I6" s="13" t="inlineStr">
        <is>
          <t>AED</t>
        </is>
      </c>
      <c r="J6" s="64" t="n">
        <v>0.2722940776038121</v>
      </c>
      <c r="K6" s="65" t="n">
        <v>3.6725</v>
      </c>
      <c r="L6" s="66" t="inlineStr">
        <is>
          <t>2026-09-25</t>
        </is>
      </c>
      <c r="N6" s="4" t="inlineStr">
        <is>
          <t>Afghanistan</t>
        </is>
      </c>
      <c r="O6" s="67" t="inlineStr">
        <is>
          <t>AFG</t>
        </is>
      </c>
      <c r="P6" s="67" t="inlineStr">
        <is>
          <t>AFN</t>
        </is>
      </c>
      <c r="Q6" s="67" t="n">
        <v>2023</v>
      </c>
      <c r="R6" s="65" t="n">
        <v>14.8009414284672</v>
      </c>
      <c r="S6" s="65" t="n">
        <v>70.233314185</v>
      </c>
      <c r="T6" s="68" t="n">
        <v>0.2107</v>
      </c>
      <c r="U6" s="66" t="inlineStr"/>
    </row>
    <row r="7">
      <c r="A7" s="17" t="inlineStr">
        <is>
          <t>expenseMonthly (local)</t>
        </is>
      </c>
      <c r="B7" s="37">
        <f>PLU_expenseMonthly</f>
        <v/>
      </c>
      <c r="C7" s="13" t="inlineStr">
        <is>
          <t>A · input</t>
        </is>
      </c>
      <c r="D7" s="18" t="inlineStr"/>
      <c r="I7" s="13" t="inlineStr">
        <is>
          <t>AFN</t>
        </is>
      </c>
      <c r="J7" s="64" t="n">
        <v>0.01562325566594603</v>
      </c>
      <c r="K7" s="65" t="n">
        <v>64.00714558999999</v>
      </c>
      <c r="L7" s="66" t="inlineStr">
        <is>
          <t>2026-09-25</t>
        </is>
      </c>
      <c r="N7" s="4" t="inlineStr">
        <is>
          <t>Albania</t>
        </is>
      </c>
      <c r="O7" s="67" t="inlineStr">
        <is>
          <t>ALB</t>
        </is>
      </c>
      <c r="P7" s="67" t="inlineStr">
        <is>
          <t>ALL</t>
        </is>
      </c>
      <c r="Q7" s="67" t="n">
        <v>2024</v>
      </c>
      <c r="R7" s="65" t="n">
        <v>39.6673837913105</v>
      </c>
      <c r="S7" s="65" t="n">
        <v>92.66853639199999</v>
      </c>
      <c r="T7" s="68" t="n">
        <v>0.4281</v>
      </c>
      <c r="U7" s="66" t="inlineStr"/>
    </row>
    <row r="8">
      <c r="A8" s="17" t="inlineStr">
        <is>
          <t>cash (local)</t>
        </is>
      </c>
      <c r="B8" s="37">
        <f>PLU_cash</f>
        <v/>
      </c>
      <c r="C8" s="13" t="inlineStr">
        <is>
          <t>A · input</t>
        </is>
      </c>
      <c r="D8" s="18" t="inlineStr"/>
      <c r="I8" s="13" t="inlineStr">
        <is>
          <t>ALL</t>
        </is>
      </c>
      <c r="J8" s="64" t="n">
        <v>0.0124214988445056</v>
      </c>
      <c r="K8" s="65" t="n">
        <v>80.5055825</v>
      </c>
      <c r="L8" s="66" t="inlineStr">
        <is>
          <t>2026-09-25</t>
        </is>
      </c>
      <c r="N8" s="4" t="inlineStr">
        <is>
          <t>Algeria</t>
        </is>
      </c>
      <c r="O8" s="67" t="inlineStr">
        <is>
          <t>DZA</t>
        </is>
      </c>
      <c r="P8" s="67" t="inlineStr">
        <is>
          <t>DZD</t>
        </is>
      </c>
      <c r="Q8" s="67" t="n">
        <v>2024</v>
      </c>
      <c r="R8" s="65" t="n">
        <v>43.7670017603446</v>
      </c>
      <c r="S8" s="65" t="n">
        <v>134.203873092</v>
      </c>
      <c r="T8" s="68" t="n">
        <v>0.3261</v>
      </c>
      <c r="U8" s="66" t="inlineStr"/>
    </row>
    <row r="9">
      <c r="A9" s="17" t="inlineStr">
        <is>
          <t>investments (local)</t>
        </is>
      </c>
      <c r="B9" s="47">
        <f>PLU_investments</f>
        <v/>
      </c>
      <c r="C9" s="13" t="inlineStr">
        <is>
          <t>A · input</t>
        </is>
      </c>
      <c r="D9" s="18" t="inlineStr"/>
      <c r="I9" s="13" t="inlineStr">
        <is>
          <t>AMD</t>
        </is>
      </c>
      <c r="J9" s="64" t="n">
        <v>0.002753752709005363</v>
      </c>
      <c r="K9" s="65" t="n">
        <v>363.14081389</v>
      </c>
      <c r="L9" s="66" t="inlineStr">
        <is>
          <t>2026-09-25</t>
        </is>
      </c>
      <c r="N9" s="4" t="inlineStr">
        <is>
          <t>American Samoa</t>
        </is>
      </c>
      <c r="O9" s="67" t="inlineStr">
        <is>
          <t>ASM</t>
        </is>
      </c>
      <c r="P9" s="67" t="inlineStr">
        <is>
          <t>USD</t>
        </is>
      </c>
      <c r="Q9" s="67" t="inlineStr"/>
      <c r="R9" s="65" t="inlineStr"/>
      <c r="S9" s="65" t="n">
        <v>1</v>
      </c>
      <c r="T9" s="69" t="inlineStr"/>
      <c r="U9" s="66" t="inlineStr">
        <is>
          <t>no World Bank PPP</t>
        </is>
      </c>
    </row>
    <row r="10">
      <c r="A10" s="17" t="inlineStr">
        <is>
          <t>property (local)</t>
        </is>
      </c>
      <c r="B10" s="47">
        <f>PLU_property</f>
        <v/>
      </c>
      <c r="C10" s="13" t="inlineStr">
        <is>
          <t>A · input</t>
        </is>
      </c>
      <c r="D10" s="18" t="inlineStr"/>
      <c r="I10" s="13" t="inlineStr">
        <is>
          <t>AOA</t>
        </is>
      </c>
      <c r="J10" s="64" t="n">
        <v>0.00109089773638529</v>
      </c>
      <c r="K10" s="65" t="n">
        <v>916.67620772</v>
      </c>
      <c r="L10" s="66" t="inlineStr">
        <is>
          <t>2026-09-25</t>
        </is>
      </c>
      <c r="N10" s="4" t="inlineStr">
        <is>
          <t>Andorra</t>
        </is>
      </c>
      <c r="O10" s="67" t="inlineStr">
        <is>
          <t>AND</t>
        </is>
      </c>
      <c r="P10" s="67" t="inlineStr">
        <is>
          <t>EUR</t>
        </is>
      </c>
      <c r="Q10" s="67" t="n">
        <v>2024</v>
      </c>
      <c r="R10" s="65" t="n">
        <v>0.607839175148891</v>
      </c>
      <c r="S10" s="65" t="n">
        <v>0.926404983</v>
      </c>
      <c r="T10" s="68" t="n">
        <v>0.6561</v>
      </c>
      <c r="U10" s="66" t="inlineStr"/>
    </row>
    <row r="11">
      <c r="A11" s="17" t="inlineStr">
        <is>
          <t>mortgage (local)</t>
        </is>
      </c>
      <c r="B11" s="47">
        <f>PLU_mortgage</f>
        <v/>
      </c>
      <c r="C11" s="13" t="inlineStr">
        <is>
          <t>A · input</t>
        </is>
      </c>
      <c r="D11" s="18" t="inlineStr"/>
      <c r="I11" s="13" t="inlineStr">
        <is>
          <t>ARS</t>
        </is>
      </c>
      <c r="J11" s="64" t="n">
        <v>0.0006579611408993033</v>
      </c>
      <c r="K11" s="65" t="n">
        <v>1519.84659555</v>
      </c>
      <c r="L11" s="66" t="inlineStr">
        <is>
          <t>2026-09-25</t>
        </is>
      </c>
      <c r="N11" s="4" t="inlineStr">
        <is>
          <t>Angola</t>
        </is>
      </c>
      <c r="O11" s="67" t="inlineStr">
        <is>
          <t>AGO</t>
        </is>
      </c>
      <c r="P11" s="67" t="inlineStr">
        <is>
          <t>AOA</t>
        </is>
      </c>
      <c r="Q11" s="67" t="n">
        <v>2024</v>
      </c>
      <c r="R11" s="65" t="n">
        <v>265.840925124981</v>
      </c>
      <c r="S11" s="65" t="n">
        <v>882.817142168</v>
      </c>
      <c r="T11" s="68" t="n">
        <v>0.3011</v>
      </c>
      <c r="U11" s="66" t="inlineStr"/>
    </row>
    <row r="12">
      <c r="A12" s="17" t="inlineStr">
        <is>
          <t>PLU liabilities (local)</t>
        </is>
      </c>
      <c r="B12" s="37">
        <f>PLU_liabilities</f>
        <v/>
      </c>
      <c r="C12" s="13" t="inlineStr">
        <is>
          <t>A · input</t>
        </is>
      </c>
      <c r="D12" s="18" t="inlineStr"/>
      <c r="I12" s="13" t="inlineStr">
        <is>
          <t>AUD</t>
        </is>
      </c>
      <c r="J12" s="64" t="n">
        <v>0.701302771587125</v>
      </c>
      <c r="K12" s="65" t="n">
        <v>1.42591765</v>
      </c>
      <c r="L12" s="66" t="inlineStr">
        <is>
          <t>2026-09-25</t>
        </is>
      </c>
      <c r="N12" s="4" t="inlineStr">
        <is>
          <t>Anguilla</t>
        </is>
      </c>
      <c r="O12" s="67" t="inlineStr">
        <is>
          <t>AIA</t>
        </is>
      </c>
      <c r="P12" s="67" t="inlineStr">
        <is>
          <t>XCD</t>
        </is>
      </c>
      <c r="Q12" s="67" t="inlineStr"/>
      <c r="R12" s="65" t="inlineStr"/>
      <c r="S12" s="65" t="n">
        <v>2.701791065</v>
      </c>
      <c r="T12" s="69" t="inlineStr"/>
      <c r="U12" s="66" t="inlineStr">
        <is>
          <t>no World Bank PPP</t>
        </is>
      </c>
    </row>
    <row r="13">
      <c r="A13" s="17" t="inlineStr">
        <is>
          <t>life sum assured (local)</t>
        </is>
      </c>
      <c r="B13" s="47">
        <f>PLU_lifeSum</f>
        <v/>
      </c>
      <c r="C13" s="13" t="inlineStr">
        <is>
          <t>A · input</t>
        </is>
      </c>
      <c r="D13" s="18" t="inlineStr"/>
      <c r="I13" s="13" t="inlineStr">
        <is>
          <t>AWG</t>
        </is>
      </c>
      <c r="J13" s="64" t="n">
        <v>0.5586592178770949</v>
      </c>
      <c r="K13" s="65" t="n">
        <v>1.79</v>
      </c>
      <c r="L13" s="66" t="inlineStr">
        <is>
          <t>2026-09-25</t>
        </is>
      </c>
      <c r="N13" s="4" t="inlineStr">
        <is>
          <t>Antigua &amp; Barbuda</t>
        </is>
      </c>
      <c r="O13" s="67" t="inlineStr">
        <is>
          <t>ATG</t>
        </is>
      </c>
      <c r="P13" s="67" t="inlineStr">
        <is>
          <t>XCD</t>
        </is>
      </c>
      <c r="Q13" s="67" t="n">
        <v>2024</v>
      </c>
      <c r="R13" s="65" t="n">
        <v>1.90391952523762</v>
      </c>
      <c r="S13" s="65" t="n">
        <v>2.701791065</v>
      </c>
      <c r="T13" s="68" t="n">
        <v>0.7047</v>
      </c>
      <c r="U13" s="66" t="inlineStr"/>
    </row>
    <row r="14">
      <c r="I14" s="13" t="inlineStr">
        <is>
          <t>AZN</t>
        </is>
      </c>
      <c r="J14" s="64" t="n">
        <v>0.5882353460207659</v>
      </c>
      <c r="K14" s="65" t="n">
        <v>1.69999985</v>
      </c>
      <c r="L14" s="66" t="inlineStr">
        <is>
          <t>2026-09-25</t>
        </is>
      </c>
      <c r="N14" s="4" t="inlineStr">
        <is>
          <t>Argentina</t>
        </is>
      </c>
      <c r="O14" s="67" t="inlineStr">
        <is>
          <t>ARG</t>
        </is>
      </c>
      <c r="P14" s="67" t="inlineStr">
        <is>
          <t>ARS</t>
        </is>
      </c>
      <c r="Q14" s="67" t="n">
        <v>2024</v>
      </c>
      <c r="R14" s="65" t="n">
        <v>419.901039679183</v>
      </c>
      <c r="S14" s="65" t="n">
        <v>932.198441004</v>
      </c>
      <c r="T14" s="68" t="n">
        <v>0.4504</v>
      </c>
      <c r="U14" s="66" t="inlineStr"/>
    </row>
    <row r="15">
      <c r="A15" s="19" t="inlineStr">
        <is>
          <t>D · ASSUMPTIONS  —  rate from the table on the right</t>
        </is>
      </c>
      <c r="B15" s="19" t="n"/>
      <c r="C15" s="19" t="n"/>
      <c r="D15" s="19" t="n"/>
      <c r="I15" s="13" t="inlineStr">
        <is>
          <t>BAM</t>
        </is>
      </c>
      <c r="J15" s="64" t="n">
        <v>0.5813211425174121</v>
      </c>
      <c r="K15" s="65" t="n">
        <v>1.72021956</v>
      </c>
      <c r="L15" s="66" t="inlineStr">
        <is>
          <t>2026-09-25</t>
        </is>
      </c>
      <c r="N15" s="4" t="inlineStr">
        <is>
          <t>Armenia</t>
        </is>
      </c>
      <c r="O15" s="67" t="inlineStr">
        <is>
          <t>ARM</t>
        </is>
      </c>
      <c r="P15" s="67" t="inlineStr">
        <is>
          <t>AMD</t>
        </is>
      </c>
      <c r="Q15" s="67" t="n">
        <v>2024</v>
      </c>
      <c r="R15" s="65" t="n">
        <v>147.231105454721</v>
      </c>
      <c r="S15" s="65" t="n">
        <v>389.531026491</v>
      </c>
      <c r="T15" s="68" t="n">
        <v>0.378</v>
      </c>
      <c r="U15" s="66" t="inlineStr"/>
    </row>
    <row r="16">
      <c r="A16" s="38" t="inlineStr">
        <is>
          <t>USD per 1 local</t>
        </is>
      </c>
      <c r="B16" s="48">
        <f>IFERROR(VLOOKUP(PLU_currency,FxTable,2,FALSE),NA())</f>
        <v/>
      </c>
      <c r="C16" s="36" t="inlineStr">
        <is>
          <t>D · assumption / shared</t>
        </is>
      </c>
      <c r="D16" s="18" t="inlineStr">
        <is>
          <t>#N/A if the currency is not in the table: every calculator then fails loudly (no SGD fallback).</t>
        </is>
      </c>
      <c r="I16" s="13" t="inlineStr">
        <is>
          <t>BBD</t>
        </is>
      </c>
      <c r="J16" s="64" t="n">
        <v>0.5</v>
      </c>
      <c r="K16" s="65" t="n">
        <v>2</v>
      </c>
      <c r="L16" s="66" t="inlineStr">
        <is>
          <t>2026-09-25</t>
        </is>
      </c>
      <c r="N16" s="4" t="inlineStr">
        <is>
          <t>Aruba</t>
        </is>
      </c>
      <c r="O16" s="67" t="inlineStr">
        <is>
          <t>ABW</t>
        </is>
      </c>
      <c r="P16" s="67" t="inlineStr">
        <is>
          <t>AWG</t>
        </is>
      </c>
      <c r="Q16" s="67" t="n">
        <v>2024</v>
      </c>
      <c r="R16" s="65" t="n">
        <v>1.39592218185229</v>
      </c>
      <c r="S16" s="65" t="n">
        <v>1.79</v>
      </c>
      <c r="T16" s="68" t="n">
        <v>0.7798</v>
      </c>
      <c r="U16" s="66" t="inlineStr"/>
    </row>
    <row r="17">
      <c r="A17" s="17" t="inlineStr">
        <is>
          <t>country</t>
        </is>
      </c>
      <c r="B17" s="13">
        <f>IFERROR(INDEX(Personas!F$3:F$52,MATCH($B$2,Personas!$A$3:$A$52,0)),"")</f>
        <v/>
      </c>
      <c r="C17" s="13" t="inlineStr">
        <is>
          <t>A · input</t>
        </is>
      </c>
      <c r="D17" s="18" t="inlineStr">
        <is>
          <t>Personas F. Lookup key for the PPP table (price level is per country, not per currency).</t>
        </is>
      </c>
      <c r="I17" s="13" t="inlineStr">
        <is>
          <t>BDT</t>
        </is>
      </c>
      <c r="J17" s="64" t="n">
        <v>0.008119425985338595</v>
      </c>
      <c r="K17" s="65" t="n">
        <v>123.16141582</v>
      </c>
      <c r="L17" s="66" t="inlineStr">
        <is>
          <t>2026-09-25</t>
        </is>
      </c>
      <c r="N17" s="4" t="inlineStr">
        <is>
          <t>Australia</t>
        </is>
      </c>
      <c r="O17" s="67" t="inlineStr">
        <is>
          <t>AUS</t>
        </is>
      </c>
      <c r="P17" s="67" t="inlineStr">
        <is>
          <t>AUD</t>
        </is>
      </c>
      <c r="Q17" s="67" t="n">
        <v>2024</v>
      </c>
      <c r="R17" s="65" t="n">
        <v>1.366527</v>
      </c>
      <c r="S17" s="65" t="n">
        <v>1.518557254</v>
      </c>
      <c r="T17" s="68" t="n">
        <v>0.8999</v>
      </c>
      <c r="U17" s="66" t="inlineStr"/>
    </row>
    <row r="18">
      <c r="A18" s="38" t="inlineStr">
        <is>
          <t>currency of that country</t>
        </is>
      </c>
      <c r="B18" s="36">
        <f>IFERROR(VLOOKUP(B17,CountryPPP,3,FALSE),"country not in table")</f>
        <v/>
      </c>
      <c r="C18" s="36" t="inlineStr">
        <is>
          <t>D · assumption / shared</t>
        </is>
      </c>
      <c r="D18" s="18" t="inlineStr">
        <is>
          <t>Check: should equal the session currency.</t>
        </is>
      </c>
      <c r="I18" s="13" t="inlineStr">
        <is>
          <t>BHD</t>
        </is>
      </c>
      <c r="J18" s="64" t="n">
        <v>2.659574468085106</v>
      </c>
      <c r="K18" s="65" t="n">
        <v>0.376</v>
      </c>
      <c r="L18" s="66" t="inlineStr">
        <is>
          <t>2026-09-25</t>
        </is>
      </c>
      <c r="N18" s="4" t="inlineStr">
        <is>
          <t>Austria</t>
        </is>
      </c>
      <c r="O18" s="67" t="inlineStr">
        <is>
          <t>AUT</t>
        </is>
      </c>
      <c r="P18" s="67" t="inlineStr">
        <is>
          <t>EUR</t>
        </is>
      </c>
      <c r="Q18" s="67" t="n">
        <v>2024</v>
      </c>
      <c r="R18" s="65" t="n">
        <v>0.7104510000000001</v>
      </c>
      <c r="S18" s="65" t="n">
        <v>0.926404983</v>
      </c>
      <c r="T18" s="68" t="n">
        <v>0.7669</v>
      </c>
      <c r="U18" s="66" t="inlineStr"/>
    </row>
    <row r="19">
      <c r="A19" s="26" t="inlineStr">
        <is>
          <t>currency matches country</t>
        </is>
      </c>
      <c r="B19" s="27">
        <f>IFERROR(B18=PLU_currency,FALSE)</f>
        <v/>
      </c>
      <c r="C19" s="27" t="inlineStr">
        <is>
          <t>C · calculated</t>
        </is>
      </c>
      <c r="D19" s="18" t="inlineStr">
        <is>
          <t>FALSE = persona currency differs from the country's currency.</t>
        </is>
      </c>
      <c r="I19" s="13" t="inlineStr">
        <is>
          <t>BIF</t>
        </is>
      </c>
      <c r="J19" s="64" t="n">
        <v>0.0003325316813245021</v>
      </c>
      <c r="K19" s="65" t="n">
        <v>3007.23226135</v>
      </c>
      <c r="L19" s="66" t="inlineStr">
        <is>
          <t>2026-09-25</t>
        </is>
      </c>
      <c r="N19" s="4" t="inlineStr">
        <is>
          <t>Azerbaijan</t>
        </is>
      </c>
      <c r="O19" s="67" t="inlineStr">
        <is>
          <t>AZE</t>
        </is>
      </c>
      <c r="P19" s="67" t="inlineStr">
        <is>
          <t>AZN</t>
        </is>
      </c>
      <c r="Q19" s="67" t="n">
        <v>2024</v>
      </c>
      <c r="R19" s="65" t="n">
        <v>0.49354478660225</v>
      </c>
      <c r="S19" s="65" t="n">
        <v>1.70056365</v>
      </c>
      <c r="T19" s="68" t="n">
        <v>0.2902</v>
      </c>
      <c r="U19" s="66" t="inlineStr"/>
    </row>
    <row r="20">
      <c r="A20" s="38" t="inlineStr">
        <is>
          <t>price level country (US = 1)</t>
        </is>
      </c>
      <c r="B20" s="56">
        <f>IFERROR(VLOOKUP(B17,CountryPPP,7,FALSE),"")</f>
        <v/>
      </c>
      <c r="C20" s="36" t="inlineStr">
        <is>
          <t>D · assumption / shared</t>
        </is>
      </c>
      <c r="D20" s="18" t="inlineStr">
        <is>
          <t>PPP ÷ 2024 market rate. Blank if the country has no usable PPP.</t>
        </is>
      </c>
      <c r="I20" s="13" t="inlineStr">
        <is>
          <t>BMD</t>
        </is>
      </c>
      <c r="J20" s="64" t="n">
        <v>1</v>
      </c>
      <c r="K20" s="65" t="n">
        <v>1</v>
      </c>
      <c r="L20" s="66" t="inlineStr">
        <is>
          <t>2026-09-25</t>
        </is>
      </c>
      <c r="N20" s="4" t="inlineStr">
        <is>
          <t>Bahamas</t>
        </is>
      </c>
      <c r="O20" s="67" t="inlineStr">
        <is>
          <t>BHS</t>
        </is>
      </c>
      <c r="P20" s="67" t="inlineStr">
        <is>
          <t>BSD</t>
        </is>
      </c>
      <c r="Q20" s="67" t="n">
        <v>2024</v>
      </c>
      <c r="R20" s="65" t="n">
        <v>0.9577044909772851</v>
      </c>
      <c r="S20" s="65" t="n">
        <v>1</v>
      </c>
      <c r="T20" s="68" t="n">
        <v>0.9577</v>
      </c>
      <c r="U20" s="66" t="inlineStr"/>
    </row>
    <row r="21">
      <c r="A21" s="38" t="inlineStr">
        <is>
          <t>price level base (PPP_BASE_COUNTRY)</t>
        </is>
      </c>
      <c r="B21" s="56">
        <f>IFERROR(VLOOKUP(PPP_BASE_COUNTRY,CountryPPP,7,FALSE),"")</f>
        <v/>
      </c>
      <c r="C21" s="36" t="inlineStr">
        <is>
          <t>D · assumption / shared</t>
        </is>
      </c>
      <c r="D21" s="18" t="inlineStr">
        <is>
          <t>Singapore: the USD fixed amounts were calibrated there.</t>
        </is>
      </c>
      <c r="I21" s="13" t="inlineStr">
        <is>
          <t>BND</t>
        </is>
      </c>
      <c r="J21" s="64" t="n">
        <v>0.78162734281267</v>
      </c>
      <c r="K21" s="65" t="n">
        <v>1.27938206</v>
      </c>
      <c r="L21" s="66" t="inlineStr">
        <is>
          <t>2026-09-25</t>
        </is>
      </c>
      <c r="N21" s="4" t="inlineStr">
        <is>
          <t>Bahrain</t>
        </is>
      </c>
      <c r="O21" s="67" t="inlineStr">
        <is>
          <t>BHR</t>
        </is>
      </c>
      <c r="P21" s="67" t="inlineStr">
        <is>
          <t>BHD</t>
        </is>
      </c>
      <c r="Q21" s="67" t="n">
        <v>2024</v>
      </c>
      <c r="R21" s="65" t="n">
        <v>0.166560122951055</v>
      </c>
      <c r="S21" s="65" t="n">
        <v>0.376</v>
      </c>
      <c r="T21" s="68" t="n">
        <v>0.443</v>
      </c>
      <c r="U21" s="66" t="inlineStr"/>
    </row>
    <row r="22">
      <c r="A22" s="26" t="inlineStr">
        <is>
          <t>relative price level</t>
        </is>
      </c>
      <c r="B22" s="60">
        <f>IF(OR(B20="",B21=""),1,B20/B21)</f>
        <v/>
      </c>
      <c r="C22" s="27" t="inlineStr">
        <is>
          <t>C · calculated</t>
        </is>
      </c>
      <c r="D22" s="18" t="inlineStr">
        <is>
          <t>Country ÷ base. 1 when the country has no PPP (falls back to market rate).</t>
        </is>
      </c>
      <c r="I22" s="13" t="inlineStr">
        <is>
          <t>BOB</t>
        </is>
      </c>
      <c r="J22" s="64" t="n">
        <v>0.0816669011595622</v>
      </c>
      <c r="K22" s="65" t="n">
        <v>12.2448628</v>
      </c>
      <c r="L22" s="66" t="inlineStr">
        <is>
          <t>2026-09-25</t>
        </is>
      </c>
      <c r="N22" s="4" t="inlineStr">
        <is>
          <t>Bangladesh</t>
        </is>
      </c>
      <c r="O22" s="67" t="inlineStr">
        <is>
          <t>BGD</t>
        </is>
      </c>
      <c r="P22" s="67" t="inlineStr">
        <is>
          <t>BDT</t>
        </is>
      </c>
      <c r="Q22" s="67" t="n">
        <v>2024</v>
      </c>
      <c r="R22" s="65" t="n">
        <v>29.8787873077242</v>
      </c>
      <c r="S22" s="65" t="n">
        <v>116.761989875</v>
      </c>
      <c r="T22" s="68" t="n">
        <v>0.2559</v>
      </c>
      <c r="U22" s="66" t="inlineStr"/>
    </row>
    <row r="23">
      <c r="A23" s="26" t="inlineStr">
        <is>
          <t>price level (effective)</t>
        </is>
      </c>
      <c r="B23" s="60">
        <f>IF(priceLevelOn=TRUE,B22,1)</f>
        <v/>
      </c>
      <c r="C23" s="27" t="inlineStr">
        <is>
          <t>C · calculated</t>
        </is>
      </c>
      <c r="D23" s="18" t="inlineStr">
        <is>
          <t>Option B: multiplies every USD fixed amount (costs, home seed, bands). 1 under option A.</t>
        </is>
      </c>
      <c r="I23" s="13" t="inlineStr">
        <is>
          <t>BRL</t>
        </is>
      </c>
      <c r="J23" s="64" t="n">
        <v>0.1926108822085935</v>
      </c>
      <c r="K23" s="65" t="n">
        <v>5.19181465</v>
      </c>
      <c r="L23" s="66" t="inlineStr">
        <is>
          <t>2026-09-25</t>
        </is>
      </c>
      <c r="N23" s="4" t="inlineStr">
        <is>
          <t>Barbados</t>
        </is>
      </c>
      <c r="O23" s="67" t="inlineStr">
        <is>
          <t>BRB</t>
        </is>
      </c>
      <c r="P23" s="67" t="inlineStr">
        <is>
          <t>BBD</t>
        </is>
      </c>
      <c r="Q23" s="67" t="n">
        <v>2024</v>
      </c>
      <c r="R23" s="65" t="n">
        <v>2.13877200243175</v>
      </c>
      <c r="S23" s="65" t="n">
        <v>2</v>
      </c>
      <c r="T23" s="68" t="n">
        <v>1.0694</v>
      </c>
      <c r="U23" s="66" t="inlineStr"/>
    </row>
    <row r="24">
      <c r="A24" s="26" t="inlineStr">
        <is>
          <t>PPP-USD per 1 local</t>
        </is>
      </c>
      <c r="B24" s="70">
        <f>B16/B23</f>
        <v/>
      </c>
      <c r="C24" s="27" t="inlineStr">
        <is>
          <t>C · calculated</t>
        </is>
      </c>
      <c r="D24" s="18" t="inlineStr">
        <is>
          <t>Market USD ÷ price level: what the local amount buys, in base-country USD. Need Profiler bands read this.</t>
        </is>
      </c>
      <c r="I24" s="13" t="inlineStr">
        <is>
          <t>BSD</t>
        </is>
      </c>
      <c r="J24" s="64" t="n">
        <v>1</v>
      </c>
      <c r="K24" s="65" t="n">
        <v>1</v>
      </c>
      <c r="L24" s="66" t="inlineStr">
        <is>
          <t>2026-09-25</t>
        </is>
      </c>
      <c r="N24" s="4" t="inlineStr">
        <is>
          <t>Belarus</t>
        </is>
      </c>
      <c r="O24" s="67" t="inlineStr">
        <is>
          <t>BLR</t>
        </is>
      </c>
      <c r="P24" s="67" t="inlineStr">
        <is>
          <t>BYN</t>
        </is>
      </c>
      <c r="Q24" s="67" t="n">
        <v>2024</v>
      </c>
      <c r="R24" s="65" t="n">
        <v>0.817945059163395</v>
      </c>
      <c r="S24" s="65" t="n">
        <v>3.271455309</v>
      </c>
      <c r="T24" s="68" t="n">
        <v>0.25</v>
      </c>
      <c r="U24" s="66" t="inlineStr"/>
    </row>
    <row r="25">
      <c r="I25" s="13" t="inlineStr">
        <is>
          <t>BWP</t>
        </is>
      </c>
      <c r="J25" s="64" t="n">
        <v>0.07336110063219112</v>
      </c>
      <c r="K25" s="65" t="n">
        <v>13.63120225</v>
      </c>
      <c r="L25" s="66" t="inlineStr">
        <is>
          <t>2026-09-25</t>
        </is>
      </c>
      <c r="N25" s="4" t="inlineStr">
        <is>
          <t>Belgium</t>
        </is>
      </c>
      <c r="O25" s="67" t="inlineStr">
        <is>
          <t>BEL</t>
        </is>
      </c>
      <c r="P25" s="67" t="inlineStr">
        <is>
          <t>EUR</t>
        </is>
      </c>
      <c r="Q25" s="67" t="n">
        <v>2024</v>
      </c>
      <c r="R25" s="65" t="n">
        <v>0.704288</v>
      </c>
      <c r="S25" s="65" t="n">
        <v>0.926404983</v>
      </c>
      <c r="T25" s="68" t="n">
        <v>0.7602</v>
      </c>
      <c r="U25" s="66" t="inlineStr"/>
    </row>
    <row r="26">
      <c r="A26" s="16" t="inlineStr">
        <is>
          <t>C · DETERMINISTICALLY CALCULATED  —  local × USD per 1</t>
        </is>
      </c>
      <c r="B26" s="16" t="n"/>
      <c r="C26" s="16" t="n"/>
      <c r="D26" s="16" t="n"/>
      <c r="I26" s="13" t="inlineStr">
        <is>
          <t>BYN</t>
        </is>
      </c>
      <c r="J26" s="64" t="n">
        <v>0.3285104095931189</v>
      </c>
      <c r="K26" s="65" t="n">
        <v>3.04404357</v>
      </c>
      <c r="L26" s="66" t="inlineStr">
        <is>
          <t>2026-09-25</t>
        </is>
      </c>
      <c r="N26" s="4" t="inlineStr">
        <is>
          <t>Belize</t>
        </is>
      </c>
      <c r="O26" s="67" t="inlineStr">
        <is>
          <t>BLZ</t>
        </is>
      </c>
      <c r="P26" s="67" t="inlineStr">
        <is>
          <t>BZD</t>
        </is>
      </c>
      <c r="Q26" s="67" t="inlineStr"/>
      <c r="R26" s="65" t="inlineStr"/>
      <c r="S26" s="65" t="n">
        <v>2.019358545</v>
      </c>
      <c r="T26" s="69" t="inlineStr"/>
      <c r="U26" s="66" t="inlineStr">
        <is>
          <t>no World Bank PPP</t>
        </is>
      </c>
    </row>
    <row r="27">
      <c r="A27" s="26" t="inlineStr">
        <is>
          <t>incomeMonthly USD</t>
        </is>
      </c>
      <c r="B27" s="28">
        <f>B6*$B$16</f>
        <v/>
      </c>
      <c r="C27" s="27" t="inlineStr">
        <is>
          <t>C · calculated</t>
        </is>
      </c>
      <c r="D27" s="18" t="inlineStr">
        <is>
          <t>5,000 SGD → 3,700. 5,000 VND → 0.19.</t>
        </is>
      </c>
      <c r="I27" s="13" t="inlineStr">
        <is>
          <t>BZD</t>
        </is>
      </c>
      <c r="J27" s="64" t="n">
        <v>0.496645129865823</v>
      </c>
      <c r="K27" s="65" t="n">
        <v>2.01351013</v>
      </c>
      <c r="L27" s="66" t="inlineStr">
        <is>
          <t>2026-09-25</t>
        </is>
      </c>
      <c r="N27" s="4" t="inlineStr">
        <is>
          <t>Benin</t>
        </is>
      </c>
      <c r="O27" s="67" t="inlineStr">
        <is>
          <t>BEN</t>
        </is>
      </c>
      <c r="P27" s="67" t="inlineStr">
        <is>
          <t>XOF</t>
        </is>
      </c>
      <c r="Q27" s="67" t="n">
        <v>2024</v>
      </c>
      <c r="R27" s="65" t="n">
        <v>203.098489252852</v>
      </c>
      <c r="S27" s="65" t="n">
        <v>607.681834032</v>
      </c>
      <c r="T27" s="68" t="n">
        <v>0.3342</v>
      </c>
      <c r="U27" s="66" t="inlineStr"/>
    </row>
    <row r="28">
      <c r="A28" s="26" t="inlineStr">
        <is>
          <t>expenseMonthly USD</t>
        </is>
      </c>
      <c r="B28" s="28">
        <f>B7*$B$16</f>
        <v/>
      </c>
      <c r="C28" s="27" t="inlineStr">
        <is>
          <t>C · calculated</t>
        </is>
      </c>
      <c r="D28" s="18" t="inlineStr"/>
      <c r="I28" s="13" t="inlineStr">
        <is>
          <t>CAD</t>
        </is>
      </c>
      <c r="J28" s="64" t="n">
        <v>0.7067843244877368</v>
      </c>
      <c r="K28" s="65" t="n">
        <v>1.41485877</v>
      </c>
      <c r="L28" s="66" t="inlineStr">
        <is>
          <t>2026-09-25</t>
        </is>
      </c>
      <c r="N28" s="4" t="inlineStr">
        <is>
          <t>Bermuda</t>
        </is>
      </c>
      <c r="O28" s="67" t="inlineStr">
        <is>
          <t>BMU</t>
        </is>
      </c>
      <c r="P28" s="67" t="inlineStr">
        <is>
          <t>BMD</t>
        </is>
      </c>
      <c r="Q28" s="67" t="n">
        <v>2024</v>
      </c>
      <c r="R28" s="65" t="n">
        <v>1.14971520694886</v>
      </c>
      <c r="S28" s="65" t="n">
        <v>1</v>
      </c>
      <c r="T28" s="68" t="n">
        <v>1.1497</v>
      </c>
      <c r="U28" s="66" t="inlineStr"/>
    </row>
    <row r="29">
      <c r="A29" s="26" t="inlineStr">
        <is>
          <t>cash USD</t>
        </is>
      </c>
      <c r="B29" s="28">
        <f>B8*$B$16</f>
        <v/>
      </c>
      <c r="C29" s="27" t="inlineStr">
        <is>
          <t>C · calculated</t>
        </is>
      </c>
      <c r="D29" s="18" t="inlineStr"/>
      <c r="I29" s="13" t="inlineStr">
        <is>
          <t>CDF</t>
        </is>
      </c>
      <c r="J29" s="64" t="n">
        <v>0.0004328580131130891</v>
      </c>
      <c r="K29" s="65" t="n">
        <v>2310.22637841</v>
      </c>
      <c r="L29" s="66" t="inlineStr">
        <is>
          <t>2026-09-25</t>
        </is>
      </c>
      <c r="N29" s="4" t="inlineStr">
        <is>
          <t>Bhutan</t>
        </is>
      </c>
      <c r="O29" s="67" t="inlineStr">
        <is>
          <t>BTN</t>
        </is>
      </c>
      <c r="P29" s="67" t="inlineStr">
        <is>
          <t>INR</t>
        </is>
      </c>
      <c r="Q29" s="67" t="n">
        <v>2023</v>
      </c>
      <c r="R29" s="65" t="n">
        <v>19.5166039945984</v>
      </c>
      <c r="S29" s="65" t="n">
        <v>83.81593696500001</v>
      </c>
      <c r="T29" s="68" t="n">
        <v>0.2329</v>
      </c>
      <c r="U29" s="66" t="inlineStr"/>
    </row>
    <row r="30">
      <c r="A30" s="26" t="inlineStr">
        <is>
          <t>investments USD</t>
        </is>
      </c>
      <c r="B30" s="28">
        <f>B9*$B$16</f>
        <v/>
      </c>
      <c r="C30" s="27" t="inlineStr">
        <is>
          <t>C · calculated</t>
        </is>
      </c>
      <c r="D30" s="18" t="inlineStr"/>
      <c r="I30" s="13" t="inlineStr">
        <is>
          <t>CHF</t>
        </is>
      </c>
      <c r="J30" s="64" t="n">
        <v>1.205903078868328</v>
      </c>
      <c r="K30" s="65" t="n">
        <v>0.82925404</v>
      </c>
      <c r="L30" s="66" t="inlineStr">
        <is>
          <t>2026-09-25</t>
        </is>
      </c>
      <c r="N30" s="4" t="inlineStr">
        <is>
          <t>Bolivia</t>
        </is>
      </c>
      <c r="O30" s="67" t="inlineStr">
        <is>
          <t>BOL</t>
        </is>
      </c>
      <c r="P30" s="67" t="inlineStr">
        <is>
          <t>BOB</t>
        </is>
      </c>
      <c r="Q30" s="67" t="n">
        <v>2024</v>
      </c>
      <c r="R30" s="65" t="n">
        <v>2.37235000544932</v>
      </c>
      <c r="S30" s="65" t="n">
        <v>6.926640066</v>
      </c>
      <c r="T30" s="68" t="n">
        <v>0.3425</v>
      </c>
      <c r="U30" s="66" t="inlineStr"/>
    </row>
    <row r="31">
      <c r="A31" s="26" t="inlineStr">
        <is>
          <t>property USD</t>
        </is>
      </c>
      <c r="B31" s="28">
        <f>B10*$B$16</f>
        <v/>
      </c>
      <c r="C31" s="27" t="inlineStr">
        <is>
          <t>C · calculated</t>
        </is>
      </c>
      <c r="D31" s="18" t="inlineStr"/>
      <c r="I31" s="13" t="inlineStr">
        <is>
          <t>CLP</t>
        </is>
      </c>
      <c r="J31" s="64" t="n">
        <v>0.00103815914298642</v>
      </c>
      <c r="K31" s="65" t="n">
        <v>963.24345526</v>
      </c>
      <c r="L31" s="66" t="inlineStr">
        <is>
          <t>2026-09-25</t>
        </is>
      </c>
      <c r="N31" s="4" t="inlineStr">
        <is>
          <t>Bosnia</t>
        </is>
      </c>
      <c r="O31" s="67" t="inlineStr">
        <is>
          <t>BIH</t>
        </is>
      </c>
      <c r="P31" s="67" t="inlineStr">
        <is>
          <t>BAM</t>
        </is>
      </c>
      <c r="Q31" s="67" t="n">
        <v>2024</v>
      </c>
      <c r="R31" s="65" t="n">
        <v>0.675500053313931</v>
      </c>
      <c r="S31" s="65" t="n">
        <v>1.81189066</v>
      </c>
      <c r="T31" s="68" t="n">
        <v>0.3728</v>
      </c>
      <c r="U31" s="66" t="inlineStr"/>
    </row>
    <row r="32">
      <c r="A32" s="26" t="inlineStr">
        <is>
          <t>mortgage USD</t>
        </is>
      </c>
      <c r="B32" s="28">
        <f>B11*$B$16</f>
        <v/>
      </c>
      <c r="C32" s="27" t="inlineStr">
        <is>
          <t>C · calculated</t>
        </is>
      </c>
      <c r="D32" s="18" t="inlineStr"/>
      <c r="I32" s="13" t="inlineStr">
        <is>
          <t>CNY</t>
        </is>
      </c>
      <c r="J32" s="64" t="n">
        <v>0.1489653504330619</v>
      </c>
      <c r="K32" s="65" t="n">
        <v>6.71297048</v>
      </c>
      <c r="L32" s="66" t="inlineStr">
        <is>
          <t>2026-09-25</t>
        </is>
      </c>
      <c r="N32" s="4" t="inlineStr">
        <is>
          <t>Botswana</t>
        </is>
      </c>
      <c r="O32" s="67" t="inlineStr">
        <is>
          <t>BWA</t>
        </is>
      </c>
      <c r="P32" s="67" t="inlineStr">
        <is>
          <t>BWP</t>
        </is>
      </c>
      <c r="Q32" s="67" t="n">
        <v>2024</v>
      </c>
      <c r="R32" s="65" t="n">
        <v>5.08218196380313</v>
      </c>
      <c r="S32" s="65" t="n">
        <v>13.519780892</v>
      </c>
      <c r="T32" s="68" t="n">
        <v>0.3759</v>
      </c>
      <c r="U32" s="66" t="inlineStr"/>
    </row>
    <row r="33">
      <c r="A33" s="26" t="inlineStr">
        <is>
          <t>PLU liabilities USD</t>
        </is>
      </c>
      <c r="B33" s="28">
        <f>B12*$B$16</f>
        <v/>
      </c>
      <c r="C33" s="27" t="inlineStr">
        <is>
          <t>C · calculated</t>
        </is>
      </c>
      <c r="D33" s="18" t="inlineStr"/>
      <c r="I33" s="13" t="inlineStr">
        <is>
          <t>COP</t>
        </is>
      </c>
      <c r="J33" s="64" t="n">
        <v>0.0002980552157467127</v>
      </c>
      <c r="K33" s="65" t="n">
        <v>3355.08304223</v>
      </c>
      <c r="L33" s="66" t="inlineStr">
        <is>
          <t>2026-09-25</t>
        </is>
      </c>
      <c r="N33" s="4" t="inlineStr">
        <is>
          <t>Bouvet Island</t>
        </is>
      </c>
      <c r="O33" s="67" t="inlineStr">
        <is>
          <t>BVT</t>
        </is>
      </c>
      <c r="P33" s="67" t="inlineStr">
        <is>
          <t>NOK</t>
        </is>
      </c>
      <c r="Q33" s="67" t="inlineStr"/>
      <c r="R33" s="65" t="inlineStr"/>
      <c r="S33" s="65" t="n">
        <v>10.818263922</v>
      </c>
      <c r="T33" s="69" t="inlineStr"/>
      <c r="U33" s="66" t="inlineStr">
        <is>
          <t>no World Bank PPP</t>
        </is>
      </c>
    </row>
    <row r="34">
      <c r="A34" s="26" t="inlineStr">
        <is>
          <t>life sum assured USD</t>
        </is>
      </c>
      <c r="B34" s="28">
        <f>B13*$B$16</f>
        <v/>
      </c>
      <c r="C34" s="27" t="inlineStr">
        <is>
          <t>C · calculated</t>
        </is>
      </c>
      <c r="D34" s="18" t="inlineStr"/>
      <c r="I34" s="13" t="inlineStr">
        <is>
          <t>CRC</t>
        </is>
      </c>
      <c r="J34" s="64" t="n">
        <v>0.002205432536083318</v>
      </c>
      <c r="K34" s="65" t="n">
        <v>453.42579455</v>
      </c>
      <c r="L34" s="66" t="inlineStr">
        <is>
          <t>2026-09-25</t>
        </is>
      </c>
      <c r="N34" s="4" t="inlineStr">
        <is>
          <t>Brazil</t>
        </is>
      </c>
      <c r="O34" s="67" t="inlineStr">
        <is>
          <t>BRA</t>
        </is>
      </c>
      <c r="P34" s="67" t="inlineStr">
        <is>
          <t>BRL</t>
        </is>
      </c>
      <c r="Q34" s="67" t="n">
        <v>2024</v>
      </c>
      <c r="R34" s="65" t="n">
        <v>2.48731718948001</v>
      </c>
      <c r="S34" s="65" t="n">
        <v>5.45137576</v>
      </c>
      <c r="T34" s="68" t="n">
        <v>0.4563</v>
      </c>
      <c r="U34" s="66" t="inlineStr"/>
    </row>
    <row r="35">
      <c r="I35" s="13" t="inlineStr">
        <is>
          <t>CUP</t>
        </is>
      </c>
      <c r="J35" s="64" t="n">
        <v>0.04166520829757373</v>
      </c>
      <c r="K35" s="65" t="n">
        <v>24.00084005</v>
      </c>
      <c r="L35" s="66" t="inlineStr">
        <is>
          <t>2026-09-25</t>
        </is>
      </c>
      <c r="N35" s="4" t="inlineStr">
        <is>
          <t>British Indian Ocean Territory</t>
        </is>
      </c>
      <c r="O35" s="67" t="inlineStr">
        <is>
          <t>IOT</t>
        </is>
      </c>
      <c r="P35" s="67" t="inlineStr">
        <is>
          <t>USD</t>
        </is>
      </c>
      <c r="Q35" s="67" t="inlineStr"/>
      <c r="R35" s="65" t="inlineStr"/>
      <c r="S35" s="65" t="n">
        <v>1</v>
      </c>
      <c r="T35" s="69" t="inlineStr"/>
      <c r="U35" s="66" t="inlineStr">
        <is>
          <t>no World Bank PPP</t>
        </is>
      </c>
    </row>
    <row r="36">
      <c r="A36" s="16" t="inlineStr">
        <is>
          <t>C · ROUNDING STEPS IN USER CURRENCY  —  USD step ÷ rate, then the nearest 1 / 2 / 5 × 10^k</t>
        </is>
      </c>
      <c r="B36" s="16" t="n"/>
      <c r="C36" s="16" t="n"/>
      <c r="D36" s="16" t="n"/>
      <c r="I36" s="13" t="inlineStr">
        <is>
          <t>CVE</t>
        </is>
      </c>
      <c r="J36" s="64" t="n">
        <v>0.01031074026254396</v>
      </c>
      <c r="K36" s="65" t="n">
        <v>96.98624682000001</v>
      </c>
      <c r="L36" s="66" t="inlineStr">
        <is>
          <t>2026-09-25</t>
        </is>
      </c>
      <c r="N36" s="4" t="inlineStr">
        <is>
          <t>British Virgin Islands</t>
        </is>
      </c>
      <c r="O36" s="67" t="inlineStr">
        <is>
          <t>VGB</t>
        </is>
      </c>
      <c r="P36" s="67" t="inlineStr">
        <is>
          <t>USD</t>
        </is>
      </c>
      <c r="Q36" s="67" t="n">
        <v>2017</v>
      </c>
      <c r="R36" s="65" t="n">
        <v>1.02022969722748</v>
      </c>
      <c r="S36" s="65" t="n">
        <v>1</v>
      </c>
      <c r="T36" s="69" t="inlineStr"/>
      <c r="U36" s="66" t="inlineStr">
        <is>
          <t>PPP 2017: too old, price level not used</t>
        </is>
      </c>
    </row>
    <row r="37">
      <c r="A37" s="26" t="inlineStr">
        <is>
          <t>lump step</t>
        </is>
      </c>
      <c r="B37" s="71">
        <f>IF(((lumpRoundStep/$B$16))&lt;=0,0,10^INT(LOG10((lumpRoundStep/$B$16)))*IF(((lumpRoundStep/$B$16))/10^INT(LOG10((lumpRoundStep/$B$16)))&lt;1.5,1,IF(((lumpRoundStep/$B$16))/10^INT(LOG10((lumpRoundStep/$B$16)))&lt;3.5,2,IF(((lumpRoundStep/$B$16))/10^INT(LOG10((lumpRoundStep/$B$16)))&lt;7.5,5,10))))</f>
        <v/>
      </c>
      <c r="C37" s="27" t="inlineStr">
        <is>
          <t>C · calculated</t>
        </is>
      </c>
      <c r="D37" s="18" t="inlineStr">
        <is>
          <t>lumpRoundStep (USD) in user currency. SGD gives the V0-14 step.</t>
        </is>
      </c>
      <c r="I37" s="13" t="inlineStr">
        <is>
          <t>CZK</t>
        </is>
      </c>
      <c r="J37" s="64" t="n">
        <v>0.04659110164293163</v>
      </c>
      <c r="K37" s="65" t="n">
        <v>21.46332593</v>
      </c>
      <c r="L37" s="66" t="inlineStr">
        <is>
          <t>2026-09-25</t>
        </is>
      </c>
      <c r="N37" s="4" t="inlineStr">
        <is>
          <t>Brunei</t>
        </is>
      </c>
      <c r="O37" s="67" t="inlineStr">
        <is>
          <t>BRN</t>
        </is>
      </c>
      <c r="P37" s="67" t="inlineStr">
        <is>
          <t>BND</t>
        </is>
      </c>
      <c r="Q37" s="67" t="n">
        <v>2024</v>
      </c>
      <c r="R37" s="65" t="n">
        <v>0.492817644064286</v>
      </c>
      <c r="S37" s="65" t="n">
        <v>1.336400184</v>
      </c>
      <c r="T37" s="68" t="n">
        <v>0.3688</v>
      </c>
      <c r="U37" s="66" t="inlineStr"/>
    </row>
    <row r="38">
      <c r="A38" s="26" t="inlineStr">
        <is>
          <t>monthly step</t>
        </is>
      </c>
      <c r="B38" s="71">
        <f>IF(((monthlyRoundStep/$B$16))&lt;=0,0,10^INT(LOG10((monthlyRoundStep/$B$16)))*IF(((monthlyRoundStep/$B$16))/10^INT(LOG10((monthlyRoundStep/$B$16)))&lt;1.5,1,IF(((monthlyRoundStep/$B$16))/10^INT(LOG10((monthlyRoundStep/$B$16)))&lt;3.5,2,IF(((monthlyRoundStep/$B$16))/10^INT(LOG10((monthlyRoundStep/$B$16)))&lt;7.5,5,10))))</f>
        <v/>
      </c>
      <c r="C38" s="27" t="inlineStr">
        <is>
          <t>C · calculated</t>
        </is>
      </c>
      <c r="D38" s="18" t="inlineStr">
        <is>
          <t>monthlyRoundStep (USD) in user currency. SGD gives the V0-14 step.</t>
        </is>
      </c>
      <c r="I38" s="13" t="inlineStr">
        <is>
          <t>DJF</t>
        </is>
      </c>
      <c r="J38" s="64" t="n">
        <v>0.005616497822612356</v>
      </c>
      <c r="K38" s="65" t="n">
        <v>178.04689534</v>
      </c>
      <c r="L38" s="66" t="inlineStr">
        <is>
          <t>2026-09-25</t>
        </is>
      </c>
      <c r="N38" s="4" t="inlineStr">
        <is>
          <t>Bulgaria</t>
        </is>
      </c>
      <c r="O38" s="67" t="inlineStr">
        <is>
          <t>BGR</t>
        </is>
      </c>
      <c r="P38" s="67" t="inlineStr">
        <is>
          <t>EUR</t>
        </is>
      </c>
      <c r="Q38" s="67" t="n">
        <v>2024</v>
      </c>
      <c r="R38" s="65" t="n">
        <v>0.757951749098367</v>
      </c>
      <c r="S38" s="65" t="n">
        <v>0.926404983</v>
      </c>
      <c r="T38" s="68" t="n">
        <v>0.8182</v>
      </c>
      <c r="U38" s="66" t="inlineStr"/>
    </row>
    <row r="39">
      <c r="A39" s="26" t="inlineStr">
        <is>
          <t>premium step</t>
        </is>
      </c>
      <c r="B39" s="71">
        <f>IF(((coverPremRoundStep/$B$16))&lt;=0,0,10^INT(LOG10((coverPremRoundStep/$B$16)))*IF(((coverPremRoundStep/$B$16))/10^INT(LOG10((coverPremRoundStep/$B$16)))&lt;1.5,1,IF(((coverPremRoundStep/$B$16))/10^INT(LOG10((coverPremRoundStep/$B$16)))&lt;3.5,2,IF(((coverPremRoundStep/$B$16))/10^INT(LOG10((coverPremRoundStep/$B$16)))&lt;7.5,5,10))))</f>
        <v/>
      </c>
      <c r="C39" s="27" t="inlineStr">
        <is>
          <t>C · calculated</t>
        </is>
      </c>
      <c r="D39" s="18" t="inlineStr">
        <is>
          <t>coverPremRoundStep (USD) in user currency. SGD gives the V0-14 step.</t>
        </is>
      </c>
      <c r="I39" s="13" t="inlineStr">
        <is>
          <t>DKK</t>
        </is>
      </c>
      <c r="J39" s="64" t="n">
        <v>0.1520923611524918</v>
      </c>
      <c r="K39" s="65" t="n">
        <v>6.57495217</v>
      </c>
      <c r="L39" s="66" t="inlineStr">
        <is>
          <t>2026-09-25</t>
        </is>
      </c>
      <c r="N39" s="4" t="inlineStr">
        <is>
          <t>Burkina Faso</t>
        </is>
      </c>
      <c r="O39" s="67" t="inlineStr">
        <is>
          <t>BFA</t>
        </is>
      </c>
      <c r="P39" s="67" t="inlineStr">
        <is>
          <t>XOF</t>
        </is>
      </c>
      <c r="Q39" s="67" t="n">
        <v>2024</v>
      </c>
      <c r="R39" s="65" t="n">
        <v>205.610818525697</v>
      </c>
      <c r="S39" s="65" t="n">
        <v>607.681834032</v>
      </c>
      <c r="T39" s="68" t="n">
        <v>0.3384</v>
      </c>
      <c r="U39" s="66" t="inlineStr"/>
    </row>
    <row r="40">
      <c r="A40" s="26" t="inlineStr">
        <is>
          <t>life cover step</t>
        </is>
      </c>
      <c r="B40" s="71">
        <f>IF(((lifeRoundUnit/$B$16))&lt;=0,0,10^INT(LOG10((lifeRoundUnit/$B$16)))*IF(((lifeRoundUnit/$B$16))/10^INT(LOG10((lifeRoundUnit/$B$16)))&lt;1.5,1,IF(((lifeRoundUnit/$B$16))/10^INT(LOG10((lifeRoundUnit/$B$16)))&lt;3.5,2,IF(((lifeRoundUnit/$B$16))/10^INT(LOG10((lifeRoundUnit/$B$16)))&lt;7.5,5,10))))</f>
        <v/>
      </c>
      <c r="C40" s="27" t="inlineStr">
        <is>
          <t>C · calculated</t>
        </is>
      </c>
      <c r="D40" s="18" t="inlineStr">
        <is>
          <t>lifeRoundUnit (USD) in user currency. SGD gives the V0-14 step.</t>
        </is>
      </c>
      <c r="I40" s="13" t="inlineStr">
        <is>
          <t>DOP</t>
        </is>
      </c>
      <c r="J40" s="64" t="n">
        <v>0.01683279059077668</v>
      </c>
      <c r="K40" s="65" t="n">
        <v>59.40785603</v>
      </c>
      <c r="L40" s="66" t="inlineStr">
        <is>
          <t>2026-09-25</t>
        </is>
      </c>
      <c r="N40" s="4" t="inlineStr">
        <is>
          <t>Burundi</t>
        </is>
      </c>
      <c r="O40" s="67" t="inlineStr">
        <is>
          <t>BDI</t>
        </is>
      </c>
      <c r="P40" s="67" t="inlineStr">
        <is>
          <t>BIF</t>
        </is>
      </c>
      <c r="Q40" s="67" t="n">
        <v>2024</v>
      </c>
      <c r="R40" s="65" t="n">
        <v>875.87514263987</v>
      </c>
      <c r="S40" s="65" t="n">
        <v>2886.048163298</v>
      </c>
      <c r="T40" s="68" t="n">
        <v>0.3035</v>
      </c>
      <c r="U40" s="66" t="inlineStr"/>
    </row>
    <row r="41">
      <c r="A41" s="26" t="inlineStr">
        <is>
          <t>HappiU benefit step</t>
        </is>
      </c>
      <c r="B41" s="71">
        <f>IF(((benefitRound/$B$16))&lt;=0,0,10^INT(LOG10((benefitRound/$B$16)))*IF(((benefitRound/$B$16))/10^INT(LOG10((benefitRound/$B$16)))&lt;1.5,1,IF(((benefitRound/$B$16))/10^INT(LOG10((benefitRound/$B$16)))&lt;3.5,2,IF(((benefitRound/$B$16))/10^INT(LOG10((benefitRound/$B$16)))&lt;7.5,5,10))))</f>
        <v/>
      </c>
      <c r="C41" s="27" t="inlineStr">
        <is>
          <t>C · calculated</t>
        </is>
      </c>
      <c r="D41" s="18" t="inlineStr">
        <is>
          <t>benefitRound (USD) in user currency. SGD gives the V0-14 step.</t>
        </is>
      </c>
      <c r="I41" s="13" t="inlineStr">
        <is>
          <t>DZD</t>
        </is>
      </c>
      <c r="J41" s="64" t="n">
        <v>0.007480590084481552</v>
      </c>
      <c r="K41" s="65" t="n">
        <v>133.67929384</v>
      </c>
      <c r="L41" s="66" t="inlineStr">
        <is>
          <t>2026-09-25</t>
        </is>
      </c>
      <c r="N41" s="4" t="inlineStr">
        <is>
          <t>Cambodia</t>
        </is>
      </c>
      <c r="O41" s="67" t="inlineStr">
        <is>
          <t>KHM</t>
        </is>
      </c>
      <c r="P41" s="67" t="inlineStr">
        <is>
          <t>KHR</t>
        </is>
      </c>
      <c r="Q41" s="67" t="n">
        <v>2024</v>
      </c>
      <c r="R41" s="65" t="n">
        <v>1343.28353426878</v>
      </c>
      <c r="S41" s="65" t="n">
        <v>4066.34313635</v>
      </c>
      <c r="T41" s="68" t="n">
        <v>0.3303</v>
      </c>
      <c r="U41" s="66" t="inlineStr"/>
    </row>
    <row r="42">
      <c r="I42" s="13" t="inlineStr">
        <is>
          <t>EGP</t>
        </is>
      </c>
      <c r="J42" s="64" t="n">
        <v>0.01931229772229359</v>
      </c>
      <c r="K42" s="65" t="n">
        <v>51.78047762</v>
      </c>
      <c r="L42" s="66" t="inlineStr">
        <is>
          <t>2026-09-25</t>
        </is>
      </c>
      <c r="N42" s="4" t="inlineStr">
        <is>
          <t>Cameroon</t>
        </is>
      </c>
      <c r="O42" s="67" t="inlineStr">
        <is>
          <t>CMR</t>
        </is>
      </c>
      <c r="P42" s="67" t="inlineStr">
        <is>
          <t>XAF</t>
        </is>
      </c>
      <c r="Q42" s="67" t="n">
        <v>2024</v>
      </c>
      <c r="R42" s="65" t="n">
        <v>198.536346180777</v>
      </c>
      <c r="S42" s="65" t="n">
        <v>607.681834032</v>
      </c>
      <c r="T42" s="68" t="n">
        <v>0.3267</v>
      </c>
      <c r="U42" s="66" t="inlineStr"/>
    </row>
    <row r="43">
      <c r="I43" s="13" t="inlineStr">
        <is>
          <t>ERN</t>
        </is>
      </c>
      <c r="J43" s="64" t="n">
        <v>0.06666666666666667</v>
      </c>
      <c r="K43" s="65" t="n">
        <v>15</v>
      </c>
      <c r="L43" s="66" t="inlineStr">
        <is>
          <t>2026-09-25</t>
        </is>
      </c>
      <c r="N43" s="4" t="inlineStr">
        <is>
          <t>Canada</t>
        </is>
      </c>
      <c r="O43" s="67" t="inlineStr">
        <is>
          <t>CAN</t>
        </is>
      </c>
      <c r="P43" s="67" t="inlineStr">
        <is>
          <t>CAD</t>
        </is>
      </c>
      <c r="Q43" s="67" t="n">
        <v>2024</v>
      </c>
      <c r="R43" s="65" t="n">
        <v>1.150472</v>
      </c>
      <c r="S43" s="65" t="n">
        <v>1.377496839</v>
      </c>
      <c r="T43" s="68" t="n">
        <v>0.8352000000000001</v>
      </c>
      <c r="U43" s="66" t="inlineStr"/>
    </row>
    <row r="44">
      <c r="I44" s="13" t="inlineStr">
        <is>
          <t>ETB</t>
        </is>
      </c>
      <c r="J44" s="64" t="n">
        <v>0.006133024045813859</v>
      </c>
      <c r="K44" s="65" t="n">
        <v>163.05170052</v>
      </c>
      <c r="L44" s="66" t="inlineStr">
        <is>
          <t>2026-09-25</t>
        </is>
      </c>
      <c r="N44" s="4" t="inlineStr">
        <is>
          <t>Cape Verde</t>
        </is>
      </c>
      <c r="O44" s="67" t="inlineStr">
        <is>
          <t>CPV</t>
        </is>
      </c>
      <c r="P44" s="67" t="inlineStr">
        <is>
          <t>CVE</t>
        </is>
      </c>
      <c r="Q44" s="67" t="n">
        <v>2024</v>
      </c>
      <c r="R44" s="65" t="n">
        <v>47.2731098785268</v>
      </c>
      <c r="S44" s="65" t="n">
        <v>102.154677575</v>
      </c>
      <c r="T44" s="68" t="n">
        <v>0.4628</v>
      </c>
      <c r="U44" s="66" t="inlineStr"/>
    </row>
    <row r="45">
      <c r="I45" s="13" t="inlineStr">
        <is>
          <t>EUR</t>
        </is>
      </c>
      <c r="J45" s="64" t="n">
        <v>1.1369653235809</v>
      </c>
      <c r="K45" s="65" t="n">
        <v>0.8795343</v>
      </c>
      <c r="L45" s="66" t="inlineStr">
        <is>
          <t>2026-09-25</t>
        </is>
      </c>
      <c r="N45" s="4" t="inlineStr">
        <is>
          <t>Caribbean Netherlands</t>
        </is>
      </c>
      <c r="O45" s="67" t="inlineStr">
        <is>
          <t>BES</t>
        </is>
      </c>
      <c r="P45" s="67" t="inlineStr">
        <is>
          <t>USD</t>
        </is>
      </c>
      <c r="Q45" s="67" t="inlineStr"/>
      <c r="R45" s="65" t="inlineStr"/>
      <c r="S45" s="65" t="n">
        <v>1</v>
      </c>
      <c r="T45" s="69" t="inlineStr"/>
      <c r="U45" s="66" t="inlineStr">
        <is>
          <t>no World Bank PPP</t>
        </is>
      </c>
    </row>
    <row r="46">
      <c r="I46" s="13" t="inlineStr">
        <is>
          <t>FJD</t>
        </is>
      </c>
      <c r="J46" s="64" t="n">
        <v>0.4449898002107935</v>
      </c>
      <c r="K46" s="65" t="n">
        <v>2.24724252</v>
      </c>
      <c r="L46" s="66" t="inlineStr">
        <is>
          <t>2026-09-25</t>
        </is>
      </c>
      <c r="N46" s="4" t="inlineStr">
        <is>
          <t>Cayman Islands</t>
        </is>
      </c>
      <c r="O46" s="67" t="inlineStr">
        <is>
          <t>CYM</t>
        </is>
      </c>
      <c r="P46" s="67" t="inlineStr">
        <is>
          <t>KYD</t>
        </is>
      </c>
      <c r="Q46" s="67" t="n">
        <v>2023</v>
      </c>
      <c r="R46" s="65" t="n">
        <v>0.934313420987657</v>
      </c>
      <c r="S46" s="65" t="n">
        <v>0.821274977</v>
      </c>
      <c r="T46" s="68" t="n">
        <v>1.1376</v>
      </c>
      <c r="U46" s="66" t="inlineStr"/>
    </row>
    <row r="47">
      <c r="I47" s="13" t="inlineStr">
        <is>
          <t>FKP</t>
        </is>
      </c>
      <c r="J47" s="64" t="n">
        <v>1.321149603612181</v>
      </c>
      <c r="K47" s="65" t="n">
        <v>0.75691655</v>
      </c>
      <c r="L47" s="66" t="inlineStr">
        <is>
          <t>2026-09-25</t>
        </is>
      </c>
      <c r="N47" s="4" t="inlineStr">
        <is>
          <t>Central African Republic</t>
        </is>
      </c>
      <c r="O47" s="67" t="inlineStr">
        <is>
          <t>CAF</t>
        </is>
      </c>
      <c r="P47" s="67" t="inlineStr">
        <is>
          <t>XAF</t>
        </is>
      </c>
      <c r="Q47" s="67" t="n">
        <v>2024</v>
      </c>
      <c r="R47" s="65" t="n">
        <v>247.78023515424</v>
      </c>
      <c r="S47" s="65" t="n">
        <v>607.681834032</v>
      </c>
      <c r="T47" s="68" t="n">
        <v>0.4077</v>
      </c>
      <c r="U47" s="66" t="inlineStr"/>
    </row>
    <row r="48">
      <c r="I48" s="13" t="inlineStr">
        <is>
          <t>GBP</t>
        </is>
      </c>
      <c r="J48" s="64" t="n">
        <v>1.321149603612181</v>
      </c>
      <c r="K48" s="65" t="n">
        <v>0.75691655</v>
      </c>
      <c r="L48" s="66" t="inlineStr">
        <is>
          <t>2026-09-25</t>
        </is>
      </c>
      <c r="N48" s="4" t="inlineStr">
        <is>
          <t>Chad</t>
        </is>
      </c>
      <c r="O48" s="67" t="inlineStr">
        <is>
          <t>TCD</t>
        </is>
      </c>
      <c r="P48" s="67" t="inlineStr">
        <is>
          <t>XAF</t>
        </is>
      </c>
      <c r="Q48" s="67" t="n">
        <v>2024</v>
      </c>
      <c r="R48" s="65" t="n">
        <v>212.580975482862</v>
      </c>
      <c r="S48" s="65" t="n">
        <v>607.681834032</v>
      </c>
      <c r="T48" s="68" t="n">
        <v>0.3498</v>
      </c>
      <c r="U48" s="66" t="inlineStr"/>
    </row>
    <row r="49">
      <c r="I49" s="13" t="inlineStr">
        <is>
          <t>GEL</t>
        </is>
      </c>
      <c r="J49" s="64" t="n">
        <v>0.3844884767996077</v>
      </c>
      <c r="K49" s="65" t="n">
        <v>2.60085818</v>
      </c>
      <c r="L49" s="66" t="inlineStr">
        <is>
          <t>2026-09-25</t>
        </is>
      </c>
      <c r="N49" s="4" t="inlineStr">
        <is>
          <t>Chile</t>
        </is>
      </c>
      <c r="O49" s="67" t="inlineStr">
        <is>
          <t>CHL</t>
        </is>
      </c>
      <c r="P49" s="67" t="inlineStr">
        <is>
          <t>CLP</t>
        </is>
      </c>
      <c r="Q49" s="67" t="inlineStr"/>
      <c r="R49" s="65" t="inlineStr"/>
      <c r="S49" s="65" t="n">
        <v>940.59542758</v>
      </c>
      <c r="T49" s="69" t="inlineStr"/>
      <c r="U49" s="66" t="inlineStr">
        <is>
          <t>no World Bank PPP</t>
        </is>
      </c>
    </row>
    <row r="50">
      <c r="I50" s="13" t="inlineStr">
        <is>
          <t>GHS</t>
        </is>
      </c>
      <c r="J50" s="64" t="n">
        <v>0.08624165669753361</v>
      </c>
      <c r="K50" s="65" t="n">
        <v>11.59532456</v>
      </c>
      <c r="L50" s="66" t="inlineStr">
        <is>
          <t>2026-09-25</t>
        </is>
      </c>
      <c r="N50" s="4" t="inlineStr">
        <is>
          <t>China</t>
        </is>
      </c>
      <c r="O50" s="67" t="inlineStr">
        <is>
          <t>CHN</t>
        </is>
      </c>
      <c r="P50" s="67" t="inlineStr">
        <is>
          <t>CNY</t>
        </is>
      </c>
      <c r="Q50" s="67" t="n">
        <v>2024</v>
      </c>
      <c r="R50" s="65" t="n">
        <v>3.5325492491585</v>
      </c>
      <c r="S50" s="65" t="n">
        <v>7.200849707</v>
      </c>
      <c r="T50" s="68" t="n">
        <v>0.4906</v>
      </c>
      <c r="U50" s="66" t="inlineStr"/>
    </row>
    <row r="51">
      <c r="I51" s="13" t="inlineStr">
        <is>
          <t>GIP</t>
        </is>
      </c>
      <c r="J51" s="64" t="n">
        <v>1.321149603612181</v>
      </c>
      <c r="K51" s="65" t="n">
        <v>0.75691655</v>
      </c>
      <c r="L51" s="66" t="inlineStr">
        <is>
          <t>2026-09-25</t>
        </is>
      </c>
      <c r="N51" s="4" t="inlineStr">
        <is>
          <t>Christmas Island</t>
        </is>
      </c>
      <c r="O51" s="67" t="inlineStr">
        <is>
          <t>CXR</t>
        </is>
      </c>
      <c r="P51" s="67" t="inlineStr">
        <is>
          <t>AUD</t>
        </is>
      </c>
      <c r="Q51" s="67" t="inlineStr"/>
      <c r="R51" s="65" t="inlineStr"/>
      <c r="S51" s="65" t="n">
        <v>1.518557254</v>
      </c>
      <c r="T51" s="69" t="inlineStr"/>
      <c r="U51" s="66" t="inlineStr">
        <is>
          <t>no World Bank PPP</t>
        </is>
      </c>
    </row>
    <row r="52">
      <c r="I52" s="13" t="inlineStr">
        <is>
          <t>GMD</t>
        </is>
      </c>
      <c r="J52" s="64" t="n">
        <v>0.01350916862715381</v>
      </c>
      <c r="K52" s="65" t="n">
        <v>74.02380024999999</v>
      </c>
      <c r="L52" s="66" t="inlineStr">
        <is>
          <t>2026-09-25</t>
        </is>
      </c>
      <c r="N52" s="4" t="inlineStr">
        <is>
          <t>Cocos Islands</t>
        </is>
      </c>
      <c r="O52" s="67" t="inlineStr">
        <is>
          <t>CCK</t>
        </is>
      </c>
      <c r="P52" s="67" t="inlineStr">
        <is>
          <t>AUD</t>
        </is>
      </c>
      <c r="Q52" s="67" t="inlineStr"/>
      <c r="R52" s="65" t="inlineStr"/>
      <c r="S52" s="65" t="n">
        <v>1.518557254</v>
      </c>
      <c r="T52" s="69" t="inlineStr"/>
      <c r="U52" s="66" t="inlineStr">
        <is>
          <t>no World Bank PPP</t>
        </is>
      </c>
    </row>
    <row r="53">
      <c r="I53" s="13" t="inlineStr">
        <is>
          <t>GNF</t>
        </is>
      </c>
      <c r="J53" s="64" t="n">
        <v>0.0001135948220757639</v>
      </c>
      <c r="K53" s="65" t="n">
        <v>8803.2181549</v>
      </c>
      <c r="L53" s="66" t="inlineStr">
        <is>
          <t>2026-09-25</t>
        </is>
      </c>
      <c r="N53" s="4" t="inlineStr">
        <is>
          <t>Colombia</t>
        </is>
      </c>
      <c r="O53" s="67" t="inlineStr">
        <is>
          <t>COL</t>
        </is>
      </c>
      <c r="P53" s="67" t="inlineStr">
        <is>
          <t>COP</t>
        </is>
      </c>
      <c r="Q53" s="67" t="n">
        <v>2024</v>
      </c>
      <c r="R53" s="65" t="n">
        <v>1443.718515</v>
      </c>
      <c r="S53" s="65" t="n">
        <v>4088.336726065</v>
      </c>
      <c r="T53" s="68" t="n">
        <v>0.3531</v>
      </c>
      <c r="U53" s="66" t="inlineStr"/>
    </row>
    <row r="54">
      <c r="I54" s="13" t="inlineStr">
        <is>
          <t>GTQ</t>
        </is>
      </c>
      <c r="J54" s="64" t="n">
        <v>0.1309511292310691</v>
      </c>
      <c r="K54" s="65" t="n">
        <v>7.63643663</v>
      </c>
      <c r="L54" s="66" t="inlineStr">
        <is>
          <t>2026-09-25</t>
        </is>
      </c>
      <c r="N54" s="4" t="inlineStr">
        <is>
          <t>Comoros</t>
        </is>
      </c>
      <c r="O54" s="67" t="inlineStr">
        <is>
          <t>COM</t>
        </is>
      </c>
      <c r="P54" s="67" t="inlineStr">
        <is>
          <t>KMF</t>
        </is>
      </c>
      <c r="Q54" s="67" t="n">
        <v>2024</v>
      </c>
      <c r="R54" s="65" t="n">
        <v>190.919893997601</v>
      </c>
      <c r="S54" s="65" t="n">
        <v>455.761375526</v>
      </c>
      <c r="T54" s="68" t="n">
        <v>0.4189</v>
      </c>
      <c r="U54" s="66" t="inlineStr"/>
    </row>
    <row r="55">
      <c r="I55" s="13" t="inlineStr">
        <is>
          <t>GYD</t>
        </is>
      </c>
      <c r="J55" s="64" t="n">
        <v>0.004780373275137421</v>
      </c>
      <c r="K55" s="65" t="n">
        <v>209.18868516</v>
      </c>
      <c r="L55" s="66" t="inlineStr">
        <is>
          <t>2026-09-25</t>
        </is>
      </c>
      <c r="N55" s="4" t="inlineStr">
        <is>
          <t>Congo - Brazzaville</t>
        </is>
      </c>
      <c r="O55" s="67" t="inlineStr">
        <is>
          <t>COG</t>
        </is>
      </c>
      <c r="P55" s="67" t="inlineStr">
        <is>
          <t>XAF</t>
        </is>
      </c>
      <c r="Q55" s="67" t="n">
        <v>2024</v>
      </c>
      <c r="R55" s="65" t="n">
        <v>214.20757379411</v>
      </c>
      <c r="S55" s="65" t="n">
        <v>607.681834032</v>
      </c>
      <c r="T55" s="68" t="n">
        <v>0.3525</v>
      </c>
      <c r="U55" s="66" t="inlineStr"/>
    </row>
    <row r="56">
      <c r="I56" s="13" t="inlineStr">
        <is>
          <t>HKD</t>
        </is>
      </c>
      <c r="J56" s="64" t="n">
        <v>0.1274932955419407</v>
      </c>
      <c r="K56" s="65" t="n">
        <v>7.8435497</v>
      </c>
      <c r="L56" s="66" t="inlineStr">
        <is>
          <t>2026-09-25</t>
        </is>
      </c>
      <c r="N56" s="4" t="inlineStr">
        <is>
          <t>Congo - Kinshasa</t>
        </is>
      </c>
      <c r="O56" s="67" t="inlineStr">
        <is>
          <t>COD</t>
        </is>
      </c>
      <c r="P56" s="67" t="inlineStr">
        <is>
          <t>CDF</t>
        </is>
      </c>
      <c r="Q56" s="67" t="n">
        <v>2024</v>
      </c>
      <c r="R56" s="65" t="n">
        <v>1006.63613613611</v>
      </c>
      <c r="S56" s="65" t="n">
        <v>2821.896324707</v>
      </c>
      <c r="T56" s="68" t="n">
        <v>0.3567</v>
      </c>
      <c r="U56" s="66" t="inlineStr"/>
    </row>
    <row r="57">
      <c r="I57" s="13" t="inlineStr">
        <is>
          <t>HNL</t>
        </is>
      </c>
      <c r="J57" s="64" t="n">
        <v>0.03726550666885694</v>
      </c>
      <c r="K57" s="65" t="n">
        <v>26.83446676</v>
      </c>
      <c r="L57" s="66" t="inlineStr">
        <is>
          <t>2026-09-25</t>
        </is>
      </c>
      <c r="N57" s="4" t="inlineStr">
        <is>
          <t>Cook Islands</t>
        </is>
      </c>
      <c r="O57" s="67" t="inlineStr">
        <is>
          <t>COK</t>
        </is>
      </c>
      <c r="P57" s="67" t="inlineStr">
        <is>
          <t>NZD</t>
        </is>
      </c>
      <c r="Q57" s="67" t="inlineStr"/>
      <c r="R57" s="65" t="inlineStr"/>
      <c r="S57" s="65" t="n">
        <v>1.662468254</v>
      </c>
      <c r="T57" s="69" t="inlineStr"/>
      <c r="U57" s="66" t="inlineStr">
        <is>
          <t>no World Bank PPP</t>
        </is>
      </c>
    </row>
    <row r="58">
      <c r="I58" s="13" t="inlineStr">
        <is>
          <t>HTG</t>
        </is>
      </c>
      <c r="J58" s="64" t="n">
        <v>0.007643735075050707</v>
      </c>
      <c r="K58" s="65" t="n">
        <v>130.82609355</v>
      </c>
      <c r="L58" s="66" t="inlineStr">
        <is>
          <t>2026-09-25</t>
        </is>
      </c>
      <c r="N58" s="4" t="inlineStr">
        <is>
          <t>Costa Rica</t>
        </is>
      </c>
      <c r="O58" s="67" t="inlineStr">
        <is>
          <t>CRI</t>
        </is>
      </c>
      <c r="P58" s="67" t="inlineStr">
        <is>
          <t>CRC</t>
        </is>
      </c>
      <c r="Q58" s="67" t="n">
        <v>2024</v>
      </c>
      <c r="R58" s="65" t="n">
        <v>307.792355</v>
      </c>
      <c r="S58" s="65" t="n">
        <v>515.002075945</v>
      </c>
      <c r="T58" s="68" t="n">
        <v>0.5977</v>
      </c>
      <c r="U58" s="66" t="inlineStr"/>
    </row>
    <row r="59">
      <c r="I59" s="13" t="inlineStr">
        <is>
          <t>HUF</t>
        </is>
      </c>
      <c r="J59" s="64" t="n">
        <v>0.003107116602876445</v>
      </c>
      <c r="K59" s="65" t="n">
        <v>321.84179991</v>
      </c>
      <c r="L59" s="66" t="inlineStr">
        <is>
          <t>2026-09-25</t>
        </is>
      </c>
      <c r="N59" s="4" t="inlineStr">
        <is>
          <t>Croatia</t>
        </is>
      </c>
      <c r="O59" s="67" t="inlineStr">
        <is>
          <t>HRV</t>
        </is>
      </c>
      <c r="P59" s="67" t="inlineStr">
        <is>
          <t>EUR</t>
        </is>
      </c>
      <c r="Q59" s="67" t="n">
        <v>2024</v>
      </c>
      <c r="R59" s="65" t="n">
        <v>0.44841971235566</v>
      </c>
      <c r="S59" s="65" t="n">
        <v>0.926404983</v>
      </c>
      <c r="T59" s="68" t="n">
        <v>0.484</v>
      </c>
      <c r="U59" s="66" t="inlineStr"/>
    </row>
    <row r="60">
      <c r="I60" s="13" t="inlineStr">
        <is>
          <t>IDR</t>
        </is>
      </c>
      <c r="J60" s="64" t="n">
        <v>5.57434076641774e-05</v>
      </c>
      <c r="K60" s="65" t="n">
        <v>17939.3410253</v>
      </c>
      <c r="L60" s="66" t="inlineStr">
        <is>
          <t>2026-09-25</t>
        </is>
      </c>
      <c r="N60" s="4" t="inlineStr">
        <is>
          <t>Cuba</t>
        </is>
      </c>
      <c r="O60" s="67" t="inlineStr">
        <is>
          <t>CUB</t>
        </is>
      </c>
      <c r="P60" s="67" t="inlineStr">
        <is>
          <t>CUP</t>
        </is>
      </c>
      <c r="Q60" s="67" t="inlineStr"/>
      <c r="R60" s="65" t="inlineStr"/>
      <c r="S60" s="65" t="n">
        <v>23.985592384</v>
      </c>
      <c r="T60" s="69" t="inlineStr"/>
      <c r="U60" s="66" t="inlineStr">
        <is>
          <t>no World Bank PPP</t>
        </is>
      </c>
    </row>
    <row r="61">
      <c r="I61" s="13" t="inlineStr">
        <is>
          <t>ILS</t>
        </is>
      </c>
      <c r="J61" s="64" t="n">
        <v>0.3282815680463643</v>
      </c>
      <c r="K61" s="65" t="n">
        <v>3.04616554</v>
      </c>
      <c r="L61" s="66" t="inlineStr">
        <is>
          <t>2026-09-25</t>
        </is>
      </c>
      <c r="N61" s="4" t="inlineStr">
        <is>
          <t>Curaçao</t>
        </is>
      </c>
      <c r="O61" s="67" t="inlineStr">
        <is>
          <t>CUW</t>
        </is>
      </c>
      <c r="P61" s="67" t="inlineStr">
        <is>
          <t>XCG</t>
        </is>
      </c>
      <c r="Q61" s="67" t="n">
        <v>2024</v>
      </c>
      <c r="R61" s="65" t="n">
        <v>1.25013046369671</v>
      </c>
      <c r="S61" s="65" t="inlineStr"/>
      <c r="T61" s="69" t="inlineStr"/>
      <c r="U61" s="66" t="inlineStr">
        <is>
          <t>no 2024 FX average</t>
        </is>
      </c>
    </row>
    <row r="62">
      <c r="I62" s="13" t="inlineStr">
        <is>
          <t>INR</t>
        </is>
      </c>
      <c r="J62" s="64" t="n">
        <v>0.01042400041569579</v>
      </c>
      <c r="K62" s="65" t="n">
        <v>95.93245972</v>
      </c>
      <c r="L62" s="66" t="inlineStr">
        <is>
          <t>2026-09-25</t>
        </is>
      </c>
      <c r="N62" s="4" t="inlineStr">
        <is>
          <t>Cyprus</t>
        </is>
      </c>
      <c r="O62" s="67" t="inlineStr">
        <is>
          <t>CYP</t>
        </is>
      </c>
      <c r="P62" s="67" t="inlineStr">
        <is>
          <t>EUR</t>
        </is>
      </c>
      <c r="Q62" s="67" t="n">
        <v>2024</v>
      </c>
      <c r="R62" s="65" t="n">
        <v>0.56709589608174</v>
      </c>
      <c r="S62" s="65" t="n">
        <v>0.926404983</v>
      </c>
      <c r="T62" s="68" t="n">
        <v>0.6121</v>
      </c>
      <c r="U62" s="66" t="inlineStr"/>
    </row>
    <row r="63">
      <c r="I63" s="13" t="inlineStr">
        <is>
          <t>IQD</t>
        </is>
      </c>
      <c r="J63" s="64" t="n">
        <v>0.0007633046137847357</v>
      </c>
      <c r="K63" s="65" t="n">
        <v>1310.09295888</v>
      </c>
      <c r="L63" s="66" t="inlineStr">
        <is>
          <t>2026-09-25</t>
        </is>
      </c>
      <c r="N63" s="4" t="inlineStr">
        <is>
          <t>Czechia</t>
        </is>
      </c>
      <c r="O63" s="67" t="inlineStr">
        <is>
          <t>CZE</t>
        </is>
      </c>
      <c r="P63" s="67" t="inlineStr">
        <is>
          <t>CZK</t>
        </is>
      </c>
      <c r="Q63" s="67" t="n">
        <v>2024</v>
      </c>
      <c r="R63" s="65" t="n">
        <v>12.823227</v>
      </c>
      <c r="S63" s="65" t="n">
        <v>23.278156989</v>
      </c>
      <c r="T63" s="68" t="n">
        <v>0.5508999999999999</v>
      </c>
      <c r="U63" s="66" t="inlineStr"/>
    </row>
    <row r="64">
      <c r="I64" s="13" t="inlineStr">
        <is>
          <t>IRR</t>
        </is>
      </c>
      <c r="J64" s="64" t="n">
        <v>7.27382583563906e-07</v>
      </c>
      <c r="K64" s="65" t="n">
        <v>1374792.33431789</v>
      </c>
      <c r="L64" s="66" t="inlineStr">
        <is>
          <t>2026-09-25</t>
        </is>
      </c>
      <c r="N64" s="4" t="inlineStr">
        <is>
          <t>Côte d’Ivoire</t>
        </is>
      </c>
      <c r="O64" s="67" t="inlineStr">
        <is>
          <t>CIV</t>
        </is>
      </c>
      <c r="P64" s="67" t="inlineStr">
        <is>
          <t>XOF</t>
        </is>
      </c>
      <c r="Q64" s="67" t="n">
        <v>2024</v>
      </c>
      <c r="R64" s="65" t="n">
        <v>215.672888731457</v>
      </c>
      <c r="S64" s="65" t="n">
        <v>607.681834032</v>
      </c>
      <c r="T64" s="68" t="n">
        <v>0.3549</v>
      </c>
      <c r="U64" s="66" t="inlineStr"/>
    </row>
    <row r="65">
      <c r="I65" s="13" t="inlineStr">
        <is>
          <t>ISK</t>
        </is>
      </c>
      <c r="J65" s="64" t="n">
        <v>0.008286402861903595</v>
      </c>
      <c r="K65" s="65" t="n">
        <v>120.67962621</v>
      </c>
      <c r="L65" s="66" t="inlineStr">
        <is>
          <t>2026-09-25</t>
        </is>
      </c>
      <c r="N65" s="4" t="inlineStr">
        <is>
          <t>Denmark</t>
        </is>
      </c>
      <c r="O65" s="67" t="inlineStr">
        <is>
          <t>DNK</t>
        </is>
      </c>
      <c r="P65" s="67" t="inlineStr">
        <is>
          <t>DKK</t>
        </is>
      </c>
      <c r="Q65" s="67" t="n">
        <v>2024</v>
      </c>
      <c r="R65" s="65" t="n">
        <v>6.050211</v>
      </c>
      <c r="S65" s="65" t="n">
        <v>6.911804583</v>
      </c>
      <c r="T65" s="68" t="n">
        <v>0.8753</v>
      </c>
      <c r="U65" s="66" t="inlineStr"/>
    </row>
    <row r="66">
      <c r="I66" s="13" t="inlineStr">
        <is>
          <t>JMD</t>
        </is>
      </c>
      <c r="J66" s="64" t="n">
        <v>0.00634032756542542</v>
      </c>
      <c r="K66" s="65" t="n">
        <v>157.72055776</v>
      </c>
      <c r="L66" s="66" t="inlineStr">
        <is>
          <t>2026-09-25</t>
        </is>
      </c>
      <c r="N66" s="4" t="inlineStr">
        <is>
          <t>Djibouti</t>
        </is>
      </c>
      <c r="O66" s="67" t="inlineStr">
        <is>
          <t>DJI</t>
        </is>
      </c>
      <c r="P66" s="67" t="inlineStr">
        <is>
          <t>DJF</t>
        </is>
      </c>
      <c r="Q66" s="67" t="n">
        <v>2024</v>
      </c>
      <c r="R66" s="65" t="n">
        <v>80.8413593974005</v>
      </c>
      <c r="S66" s="65" t="n">
        <v>178.176634434</v>
      </c>
      <c r="T66" s="68" t="n">
        <v>0.4537</v>
      </c>
      <c r="U66" s="66" t="inlineStr"/>
    </row>
    <row r="67">
      <c r="I67" s="13" t="inlineStr">
        <is>
          <t>JOD</t>
        </is>
      </c>
      <c r="J67" s="64" t="n">
        <v>1.410437235543018</v>
      </c>
      <c r="K67" s="65" t="n">
        <v>0.709</v>
      </c>
      <c r="L67" s="66" t="inlineStr">
        <is>
          <t>2026-09-25</t>
        </is>
      </c>
      <c r="N67" s="4" t="inlineStr">
        <is>
          <t>Dominica</t>
        </is>
      </c>
      <c r="O67" s="67" t="inlineStr">
        <is>
          <t>DMA</t>
        </is>
      </c>
      <c r="P67" s="67" t="inlineStr">
        <is>
          <t>XCD</t>
        </is>
      </c>
      <c r="Q67" s="67" t="n">
        <v>2024</v>
      </c>
      <c r="R67" s="65" t="n">
        <v>1.31893659155379</v>
      </c>
      <c r="S67" s="65" t="n">
        <v>2.701791065</v>
      </c>
      <c r="T67" s="68" t="n">
        <v>0.4882</v>
      </c>
      <c r="U67" s="66" t="inlineStr"/>
    </row>
    <row r="68">
      <c r="I68" s="13" t="inlineStr">
        <is>
          <t>JPY</t>
        </is>
      </c>
      <c r="J68" s="64" t="n">
        <v>0.006314252358809239</v>
      </c>
      <c r="K68" s="65" t="n">
        <v>158.37187733</v>
      </c>
      <c r="L68" s="66" t="inlineStr">
        <is>
          <t>2026-09-25</t>
        </is>
      </c>
      <c r="N68" s="4" t="inlineStr">
        <is>
          <t>Dominican Republic</t>
        </is>
      </c>
      <c r="O68" s="67" t="inlineStr">
        <is>
          <t>DOM</t>
        </is>
      </c>
      <c r="P68" s="67" t="inlineStr">
        <is>
          <t>DOP</t>
        </is>
      </c>
      <c r="Q68" s="67" t="n">
        <v>2024</v>
      </c>
      <c r="R68" s="65" t="n">
        <v>23.5211016601759</v>
      </c>
      <c r="S68" s="65" t="n">
        <v>59.626671746</v>
      </c>
      <c r="T68" s="68" t="n">
        <v>0.3945</v>
      </c>
      <c r="U68" s="66" t="inlineStr"/>
    </row>
    <row r="69">
      <c r="I69" s="13" t="inlineStr">
        <is>
          <t>KES</t>
        </is>
      </c>
      <c r="J69" s="64" t="n">
        <v>0.007719800143517616</v>
      </c>
      <c r="K69" s="65" t="n">
        <v>129.53703223</v>
      </c>
      <c r="L69" s="66" t="inlineStr">
        <is>
          <t>2026-09-25</t>
        </is>
      </c>
      <c r="N69" s="4" t="inlineStr">
        <is>
          <t>Ecuador</t>
        </is>
      </c>
      <c r="O69" s="67" t="inlineStr">
        <is>
          <t>ECU</t>
        </is>
      </c>
      <c r="P69" s="67" t="inlineStr">
        <is>
          <t>USD</t>
        </is>
      </c>
      <c r="Q69" s="67" t="n">
        <v>2024</v>
      </c>
      <c r="R69" s="65" t="n">
        <v>0.434001889105821</v>
      </c>
      <c r="S69" s="65" t="n">
        <v>1</v>
      </c>
      <c r="T69" s="68" t="n">
        <v>0.434</v>
      </c>
      <c r="U69" s="66" t="inlineStr"/>
    </row>
    <row r="70">
      <c r="I70" s="13" t="inlineStr">
        <is>
          <t>KGS</t>
        </is>
      </c>
      <c r="J70" s="64" t="n">
        <v>0.01143395955591191</v>
      </c>
      <c r="K70" s="65" t="n">
        <v>87.45876659</v>
      </c>
      <c r="L70" s="66" t="inlineStr">
        <is>
          <t>2026-09-25</t>
        </is>
      </c>
      <c r="N70" s="4" t="inlineStr">
        <is>
          <t>Egypt</t>
        </is>
      </c>
      <c r="O70" s="67" t="inlineStr">
        <is>
          <t>EGY</t>
        </is>
      </c>
      <c r="P70" s="67" t="inlineStr">
        <is>
          <t>EGP</t>
        </is>
      </c>
      <c r="Q70" s="67" t="n">
        <v>2024</v>
      </c>
      <c r="R70" s="65" t="n">
        <v>6.24782044764882</v>
      </c>
      <c r="S70" s="65" t="n">
        <v>48.432540291</v>
      </c>
      <c r="T70" s="68" t="n">
        <v>0.129</v>
      </c>
      <c r="U70" s="66" t="inlineStr"/>
    </row>
    <row r="71">
      <c r="I71" s="13" t="inlineStr">
        <is>
          <t>KHR</t>
        </is>
      </c>
      <c r="J71" s="64" t="n">
        <v>0.0002459577874474218</v>
      </c>
      <c r="K71" s="65" t="n">
        <v>4065.73831379</v>
      </c>
      <c r="L71" s="66" t="inlineStr">
        <is>
          <t>2026-09-25</t>
        </is>
      </c>
      <c r="N71" s="4" t="inlineStr">
        <is>
          <t>El Salvador</t>
        </is>
      </c>
      <c r="O71" s="67" t="inlineStr">
        <is>
          <t>SLV</t>
        </is>
      </c>
      <c r="P71" s="67" t="inlineStr">
        <is>
          <t>SVC</t>
        </is>
      </c>
      <c r="Q71" s="67" t="n">
        <v>2024</v>
      </c>
      <c r="R71" s="65" t="n">
        <v>0.420661059675436</v>
      </c>
      <c r="S71" s="65" t="n">
        <v>8.75</v>
      </c>
      <c r="T71" s="69" t="inlineStr"/>
      <c r="U71" s="66" t="inlineStr">
        <is>
          <t>price level 0.05 implausible (currency / inflation): not used</t>
        </is>
      </c>
    </row>
    <row r="72">
      <c r="I72" s="13" t="inlineStr">
        <is>
          <t>KMF</t>
        </is>
      </c>
      <c r="J72" s="64" t="n">
        <v>0.002311056626794579</v>
      </c>
      <c r="K72" s="65" t="n">
        <v>432.70250863</v>
      </c>
      <c r="L72" s="66" t="inlineStr">
        <is>
          <t>2026-09-25</t>
        </is>
      </c>
      <c r="N72" s="4" t="inlineStr">
        <is>
          <t>Equatorial Guinea</t>
        </is>
      </c>
      <c r="O72" s="67" t="inlineStr">
        <is>
          <t>GNQ</t>
        </is>
      </c>
      <c r="P72" s="67" t="inlineStr">
        <is>
          <t>XAF</t>
        </is>
      </c>
      <c r="Q72" s="67" t="n">
        <v>2024</v>
      </c>
      <c r="R72" s="65" t="n">
        <v>232.828458225939</v>
      </c>
      <c r="S72" s="65" t="n">
        <v>607.681834032</v>
      </c>
      <c r="T72" s="68" t="n">
        <v>0.3831</v>
      </c>
      <c r="U72" s="66" t="inlineStr"/>
    </row>
    <row r="73">
      <c r="I73" s="13" t="inlineStr">
        <is>
          <t>KPW</t>
        </is>
      </c>
      <c r="J73" s="64" t="n">
        <v>0.001110935068056955</v>
      </c>
      <c r="K73" s="65" t="n">
        <v>900.14261747</v>
      </c>
      <c r="L73" s="66" t="inlineStr">
        <is>
          <t>2026-09-25</t>
        </is>
      </c>
      <c r="N73" s="4" t="inlineStr">
        <is>
          <t>Eritrea</t>
        </is>
      </c>
      <c r="O73" s="67" t="inlineStr">
        <is>
          <t>ERI</t>
        </is>
      </c>
      <c r="P73" s="67" t="inlineStr">
        <is>
          <t>ERN</t>
        </is>
      </c>
      <c r="Q73" s="67" t="n">
        <v>2021</v>
      </c>
      <c r="R73" s="65" t="n">
        <v>4.93847894668579</v>
      </c>
      <c r="S73" s="65" t="n">
        <v>15</v>
      </c>
      <c r="T73" s="69" t="inlineStr"/>
      <c r="U73" s="66" t="inlineStr">
        <is>
          <t>PPP 2021: too old, price level not used</t>
        </is>
      </c>
    </row>
    <row r="74">
      <c r="I74" s="13" t="inlineStr">
        <is>
          <t>KRW</t>
        </is>
      </c>
      <c r="J74" s="64" t="n">
        <v>0.0007346068217462641</v>
      </c>
      <c r="K74" s="65" t="n">
        <v>1361.27241185</v>
      </c>
      <c r="L74" s="66" t="inlineStr">
        <is>
          <t>2026-09-25</t>
        </is>
      </c>
      <c r="N74" s="4" t="inlineStr">
        <is>
          <t>Estonia</t>
        </is>
      </c>
      <c r="O74" s="67" t="inlineStr">
        <is>
          <t>EST</t>
        </is>
      </c>
      <c r="P74" s="67" t="inlineStr">
        <is>
          <t>EUR</t>
        </is>
      </c>
      <c r="Q74" s="67" t="n">
        <v>2024</v>
      </c>
      <c r="R74" s="65" t="n">
        <v>0.576166</v>
      </c>
      <c r="S74" s="65" t="n">
        <v>0.926404983</v>
      </c>
      <c r="T74" s="68" t="n">
        <v>0.6219</v>
      </c>
      <c r="U74" s="66" t="inlineStr"/>
    </row>
    <row r="75">
      <c r="I75" s="13" t="inlineStr">
        <is>
          <t>KWD</t>
        </is>
      </c>
      <c r="J75" s="64" t="n">
        <v>3.238038507660584</v>
      </c>
      <c r="K75" s="65" t="n">
        <v>0.30882894</v>
      </c>
      <c r="L75" s="66" t="inlineStr">
        <is>
          <t>2026-09-25</t>
        </is>
      </c>
      <c r="N75" s="4" t="inlineStr">
        <is>
          <t>Eswatini</t>
        </is>
      </c>
      <c r="O75" s="67" t="inlineStr">
        <is>
          <t>SWZ</t>
        </is>
      </c>
      <c r="P75" s="67" t="inlineStr">
        <is>
          <t>SZL</t>
        </is>
      </c>
      <c r="Q75" s="67" t="n">
        <v>2024</v>
      </c>
      <c r="R75" s="65" t="n">
        <v>6.06939955235508</v>
      </c>
      <c r="S75" s="65" t="n">
        <v>18.191628042</v>
      </c>
      <c r="T75" s="68" t="n">
        <v>0.3336</v>
      </c>
      <c r="U75" s="66" t="inlineStr"/>
    </row>
    <row r="76">
      <c r="I76" s="13" t="inlineStr">
        <is>
          <t>KYD</t>
        </is>
      </c>
      <c r="J76" s="64" t="n">
        <v>1.202521475891164</v>
      </c>
      <c r="K76" s="65" t="n">
        <v>0.8315859799999999</v>
      </c>
      <c r="L76" s="66" t="inlineStr">
        <is>
          <t>2026-09-25</t>
        </is>
      </c>
      <c r="N76" s="4" t="inlineStr">
        <is>
          <t>Ethiopia</t>
        </is>
      </c>
      <c r="O76" s="67" t="inlineStr">
        <is>
          <t>ETH</t>
        </is>
      </c>
      <c r="P76" s="67" t="inlineStr">
        <is>
          <t>ETB</t>
        </is>
      </c>
      <c r="Q76" s="67" t="n">
        <v>2024</v>
      </c>
      <c r="R76" s="65" t="n">
        <v>27.1439173234342</v>
      </c>
      <c r="S76" s="65" t="n">
        <v>87.387972312</v>
      </c>
      <c r="T76" s="68" t="n">
        <v>0.3106</v>
      </c>
      <c r="U76" s="66" t="inlineStr"/>
    </row>
    <row r="77">
      <c r="I77" s="13" t="inlineStr">
        <is>
          <t>KZT</t>
        </is>
      </c>
      <c r="J77" s="64" t="n">
        <v>0.002262602662358586</v>
      </c>
      <c r="K77" s="65" t="n">
        <v>441.96889566</v>
      </c>
      <c r="L77" s="66" t="inlineStr">
        <is>
          <t>2026-09-25</t>
        </is>
      </c>
      <c r="N77" s="4" t="inlineStr">
        <is>
          <t>Falkland Islands</t>
        </is>
      </c>
      <c r="O77" s="67" t="inlineStr">
        <is>
          <t>FLK</t>
        </is>
      </c>
      <c r="P77" s="67" t="inlineStr">
        <is>
          <t>FKP</t>
        </is>
      </c>
      <c r="Q77" s="67" t="inlineStr"/>
      <c r="R77" s="65" t="inlineStr"/>
      <c r="S77" s="65" t="n">
        <v>0.7830716049999999</v>
      </c>
      <c r="T77" s="69" t="inlineStr"/>
      <c r="U77" s="66" t="inlineStr">
        <is>
          <t>no World Bank PPP</t>
        </is>
      </c>
    </row>
    <row r="78">
      <c r="I78" s="13" t="inlineStr">
        <is>
          <t>LAK</t>
        </is>
      </c>
      <c r="J78" s="64" t="n">
        <v>4.46211092409423e-05</v>
      </c>
      <c r="K78" s="65" t="n">
        <v>22410.91754578</v>
      </c>
      <c r="L78" s="66" t="inlineStr">
        <is>
          <t>2026-09-25</t>
        </is>
      </c>
      <c r="N78" s="4" t="inlineStr">
        <is>
          <t>Faroe Islands</t>
        </is>
      </c>
      <c r="O78" s="67" t="inlineStr">
        <is>
          <t>FRO</t>
        </is>
      </c>
      <c r="P78" s="67" t="inlineStr">
        <is>
          <t>DKK</t>
        </is>
      </c>
      <c r="Q78" s="67" t="n">
        <v>2024</v>
      </c>
      <c r="R78" s="65" t="n">
        <v>6.23885052437826</v>
      </c>
      <c r="S78" s="65" t="n">
        <v>6.911804583</v>
      </c>
      <c r="T78" s="68" t="n">
        <v>0.9026</v>
      </c>
      <c r="U78" s="66" t="inlineStr"/>
    </row>
    <row r="79">
      <c r="I79" s="13" t="inlineStr">
        <is>
          <t>LBP</t>
        </is>
      </c>
      <c r="J79" s="64" t="n">
        <v>1.112849723539932e-05</v>
      </c>
      <c r="K79" s="65" t="n">
        <v>89859.39240916001</v>
      </c>
      <c r="L79" s="66" t="inlineStr">
        <is>
          <t>2026-09-25</t>
        </is>
      </c>
      <c r="N79" s="4" t="inlineStr">
        <is>
          <t>Fiji</t>
        </is>
      </c>
      <c r="O79" s="67" t="inlineStr">
        <is>
          <t>FJI</t>
        </is>
      </c>
      <c r="P79" s="67" t="inlineStr">
        <is>
          <t>FJD</t>
        </is>
      </c>
      <c r="Q79" s="67" t="n">
        <v>2024</v>
      </c>
      <c r="R79" s="65" t="n">
        <v>0.943380395118387</v>
      </c>
      <c r="S79" s="65" t="n">
        <v>2.257354375</v>
      </c>
      <c r="T79" s="68" t="n">
        <v>0.4179</v>
      </c>
      <c r="U79" s="66" t="inlineStr"/>
    </row>
    <row r="80">
      <c r="I80" s="13" t="inlineStr">
        <is>
          <t>LKR</t>
        </is>
      </c>
      <c r="J80" s="64" t="n">
        <v>0.003030002882441136</v>
      </c>
      <c r="K80" s="65" t="n">
        <v>330.03268934</v>
      </c>
      <c r="L80" s="66" t="inlineStr">
        <is>
          <t>2026-09-25</t>
        </is>
      </c>
      <c r="N80" s="4" t="inlineStr">
        <is>
          <t>Finland</t>
        </is>
      </c>
      <c r="O80" s="67" t="inlineStr">
        <is>
          <t>FIN</t>
        </is>
      </c>
      <c r="P80" s="67" t="inlineStr">
        <is>
          <t>EUR</t>
        </is>
      </c>
      <c r="Q80" s="67" t="n">
        <v>2024</v>
      </c>
      <c r="R80" s="65" t="n">
        <v>0.753945</v>
      </c>
      <c r="S80" s="65" t="n">
        <v>0.926404983</v>
      </c>
      <c r="T80" s="68" t="n">
        <v>0.8138</v>
      </c>
      <c r="U80" s="66" t="inlineStr"/>
    </row>
    <row r="81">
      <c r="I81" s="13" t="inlineStr">
        <is>
          <t>LRD</t>
        </is>
      </c>
      <c r="J81" s="64" t="n">
        <v>0.005814292544447299</v>
      </c>
      <c r="K81" s="65" t="n">
        <v>171.98996995</v>
      </c>
      <c r="L81" s="66" t="inlineStr">
        <is>
          <t>2026-09-25</t>
        </is>
      </c>
      <c r="N81" s="4" t="inlineStr">
        <is>
          <t>France</t>
        </is>
      </c>
      <c r="O81" s="67" t="inlineStr">
        <is>
          <t>FRA</t>
        </is>
      </c>
      <c r="P81" s="67" t="inlineStr">
        <is>
          <t>EUR</t>
        </is>
      </c>
      <c r="Q81" s="67" t="n">
        <v>2024</v>
      </c>
      <c r="R81" s="65" t="n">
        <v>0.681239</v>
      </c>
      <c r="S81" s="65" t="n">
        <v>0.926404983</v>
      </c>
      <c r="T81" s="68" t="n">
        <v>0.7354000000000001</v>
      </c>
      <c r="U81" s="66" t="inlineStr"/>
    </row>
    <row r="82">
      <c r="I82" s="13" t="inlineStr">
        <is>
          <t>LSL</t>
        </is>
      </c>
      <c r="J82" s="64" t="n">
        <v>0.06087436266239165</v>
      </c>
      <c r="K82" s="65" t="n">
        <v>16.42727671</v>
      </c>
      <c r="L82" s="66" t="inlineStr">
        <is>
          <t>2026-09-25</t>
        </is>
      </c>
      <c r="N82" s="4" t="inlineStr">
        <is>
          <t>French Guiana</t>
        </is>
      </c>
      <c r="O82" s="67" t="inlineStr">
        <is>
          <t>GUF</t>
        </is>
      </c>
      <c r="P82" s="67" t="inlineStr">
        <is>
          <t>EUR</t>
        </is>
      </c>
      <c r="Q82" s="67" t="inlineStr"/>
      <c r="R82" s="65" t="inlineStr"/>
      <c r="S82" s="65" t="n">
        <v>0.926404983</v>
      </c>
      <c r="T82" s="69" t="inlineStr"/>
      <c r="U82" s="66" t="inlineStr">
        <is>
          <t>no World Bank PPP</t>
        </is>
      </c>
    </row>
    <row r="83">
      <c r="I83" s="13" t="inlineStr">
        <is>
          <t>LYD</t>
        </is>
      </c>
      <c r="J83" s="64" t="n">
        <v>0.1563773938212352</v>
      </c>
      <c r="K83" s="65" t="n">
        <v>6.3947862</v>
      </c>
      <c r="L83" s="66" t="inlineStr">
        <is>
          <t>2026-09-25</t>
        </is>
      </c>
      <c r="N83" s="4" t="inlineStr">
        <is>
          <t>French Polynesia</t>
        </is>
      </c>
      <c r="O83" s="67" t="inlineStr">
        <is>
          <t>PYF</t>
        </is>
      </c>
      <c r="P83" s="67" t="inlineStr">
        <is>
          <t>XPF</t>
        </is>
      </c>
      <c r="Q83" s="67" t="inlineStr"/>
      <c r="R83" s="65" t="inlineStr"/>
      <c r="S83" s="65" t="n">
        <v>110.549520753</v>
      </c>
      <c r="T83" s="69" t="inlineStr"/>
      <c r="U83" s="66" t="inlineStr">
        <is>
          <t>no World Bank PPP</t>
        </is>
      </c>
    </row>
    <row r="84">
      <c r="I84" s="13" t="inlineStr">
        <is>
          <t>MAD</t>
        </is>
      </c>
      <c r="J84" s="64" t="n">
        <v>0.1039814351129823</v>
      </c>
      <c r="K84" s="65" t="n">
        <v>9.61710135</v>
      </c>
      <c r="L84" s="66" t="inlineStr">
        <is>
          <t>2026-09-25</t>
        </is>
      </c>
      <c r="N84" s="4" t="inlineStr">
        <is>
          <t>French Southern Territories</t>
        </is>
      </c>
      <c r="O84" s="67" t="inlineStr">
        <is>
          <t>ATF</t>
        </is>
      </c>
      <c r="P84" s="67" t="inlineStr">
        <is>
          <t>EUR</t>
        </is>
      </c>
      <c r="Q84" s="67" t="inlineStr"/>
      <c r="R84" s="65" t="inlineStr"/>
      <c r="S84" s="65" t="n">
        <v>0.926404983</v>
      </c>
      <c r="T84" s="69" t="inlineStr"/>
      <c r="U84" s="66" t="inlineStr">
        <is>
          <t>no World Bank PPP</t>
        </is>
      </c>
    </row>
    <row r="85">
      <c r="I85" s="13" t="inlineStr">
        <is>
          <t>MDL</t>
        </is>
      </c>
      <c r="J85" s="64" t="n">
        <v>0.05685783489220828</v>
      </c>
      <c r="K85" s="65" t="n">
        <v>17.58772563</v>
      </c>
      <c r="L85" s="66" t="inlineStr">
        <is>
          <t>2026-09-25</t>
        </is>
      </c>
      <c r="N85" s="4" t="inlineStr">
        <is>
          <t>Gabon</t>
        </is>
      </c>
      <c r="O85" s="67" t="inlineStr">
        <is>
          <t>GAB</t>
        </is>
      </c>
      <c r="P85" s="67" t="inlineStr">
        <is>
          <t>XAF</t>
        </is>
      </c>
      <c r="Q85" s="67" t="n">
        <v>2024</v>
      </c>
      <c r="R85" s="65" t="n">
        <v>231.994789334726</v>
      </c>
      <c r="S85" s="65" t="n">
        <v>607.681834032</v>
      </c>
      <c r="T85" s="68" t="n">
        <v>0.3818</v>
      </c>
      <c r="U85" s="66" t="inlineStr"/>
    </row>
    <row r="86">
      <c r="I86" s="13" t="inlineStr">
        <is>
          <t>MGA</t>
        </is>
      </c>
      <c r="J86" s="64" t="n">
        <v>0.000228122514729044</v>
      </c>
      <c r="K86" s="65" t="n">
        <v>4383.60940036</v>
      </c>
      <c r="L86" s="66" t="inlineStr">
        <is>
          <t>2026-09-25</t>
        </is>
      </c>
      <c r="N86" s="4" t="inlineStr">
        <is>
          <t>Gambia</t>
        </is>
      </c>
      <c r="O86" s="67" t="inlineStr">
        <is>
          <t>GMB</t>
        </is>
      </c>
      <c r="P86" s="67" t="inlineStr">
        <is>
          <t>GMD</t>
        </is>
      </c>
      <c r="Q86" s="67" t="n">
        <v>2024</v>
      </c>
      <c r="R86" s="65" t="n">
        <v>16.9791581265962</v>
      </c>
      <c r="S86" s="65" t="n">
        <v>69.16929687699999</v>
      </c>
      <c r="T86" s="68" t="n">
        <v>0.2455</v>
      </c>
      <c r="U86" s="66" t="inlineStr"/>
    </row>
    <row r="87">
      <c r="I87" s="13" t="inlineStr">
        <is>
          <t>MKD</t>
        </is>
      </c>
      <c r="J87" s="64" t="n">
        <v>0.01851731221850144</v>
      </c>
      <c r="K87" s="65" t="n">
        <v>54.0035178</v>
      </c>
      <c r="L87" s="66" t="inlineStr">
        <is>
          <t>2026-09-25</t>
        </is>
      </c>
      <c r="N87" s="4" t="inlineStr">
        <is>
          <t>Georgia</t>
        </is>
      </c>
      <c r="O87" s="67" t="inlineStr">
        <is>
          <t>GEO</t>
        </is>
      </c>
      <c r="P87" s="67" t="inlineStr">
        <is>
          <t>GEL</t>
        </is>
      </c>
      <c r="Q87" s="67" t="n">
        <v>2024</v>
      </c>
      <c r="R87" s="65" t="n">
        <v>0.888955306771079</v>
      </c>
      <c r="S87" s="65" t="n">
        <v>2.735097158</v>
      </c>
      <c r="T87" s="68" t="n">
        <v>0.325</v>
      </c>
      <c r="U87" s="66" t="inlineStr"/>
    </row>
    <row r="88">
      <c r="I88" s="13" t="inlineStr">
        <is>
          <t>MMK</t>
        </is>
      </c>
      <c r="J88" s="64" t="n">
        <v>0.0004763094177785916</v>
      </c>
      <c r="K88" s="65" t="n">
        <v>2099.47559858</v>
      </c>
      <c r="L88" s="66" t="inlineStr">
        <is>
          <t>2026-09-25</t>
        </is>
      </c>
      <c r="N88" s="4" t="inlineStr">
        <is>
          <t>Germany</t>
        </is>
      </c>
      <c r="O88" s="67" t="inlineStr">
        <is>
          <t>DEU</t>
        </is>
      </c>
      <c r="P88" s="67" t="inlineStr">
        <is>
          <t>EUR</t>
        </is>
      </c>
      <c r="Q88" s="67" t="n">
        <v>2024</v>
      </c>
      <c r="R88" s="65" t="n">
        <v>0.700862</v>
      </c>
      <c r="S88" s="65" t="n">
        <v>0.926404983</v>
      </c>
      <c r="T88" s="68" t="n">
        <v>0.7565</v>
      </c>
      <c r="U88" s="66" t="inlineStr"/>
    </row>
    <row r="89">
      <c r="I89" s="13" t="inlineStr">
        <is>
          <t>MNT</t>
        </is>
      </c>
      <c r="J89" s="64" t="n">
        <v>0.0002779367890341389</v>
      </c>
      <c r="K89" s="65" t="n">
        <v>3597.94039312</v>
      </c>
      <c r="L89" s="66" t="inlineStr">
        <is>
          <t>2026-09-25</t>
        </is>
      </c>
      <c r="N89" s="4" t="inlineStr">
        <is>
          <t>Ghana</t>
        </is>
      </c>
      <c r="O89" s="67" t="inlineStr">
        <is>
          <t>GHA</t>
        </is>
      </c>
      <c r="P89" s="67" t="inlineStr">
        <is>
          <t>GHS</t>
        </is>
      </c>
      <c r="Q89" s="67" t="n">
        <v>2024</v>
      </c>
      <c r="R89" s="65" t="n">
        <v>4.23340273263268</v>
      </c>
      <c r="S89" s="65" t="n">
        <v>14.865850384</v>
      </c>
      <c r="T89" s="68" t="n">
        <v>0.2848</v>
      </c>
      <c r="U89" s="66" t="inlineStr"/>
    </row>
    <row r="90">
      <c r="I90" s="13" t="inlineStr">
        <is>
          <t>MOP</t>
        </is>
      </c>
      <c r="J90" s="64" t="n">
        <v>0.1237798985997299</v>
      </c>
      <c r="K90" s="65" t="n">
        <v>8.07885619</v>
      </c>
      <c r="L90" s="66" t="inlineStr">
        <is>
          <t>2026-09-25</t>
        </is>
      </c>
      <c r="N90" s="4" t="inlineStr">
        <is>
          <t>Gibraltar</t>
        </is>
      </c>
      <c r="O90" s="67" t="inlineStr">
        <is>
          <t>GIB</t>
        </is>
      </c>
      <c r="P90" s="67" t="inlineStr">
        <is>
          <t>GIP</t>
        </is>
      </c>
      <c r="Q90" s="67" t="inlineStr"/>
      <c r="R90" s="65" t="inlineStr"/>
      <c r="S90" s="65" t="n">
        <v>0.7830716049999999</v>
      </c>
      <c r="T90" s="69" t="inlineStr"/>
      <c r="U90" s="66" t="inlineStr">
        <is>
          <t>no World Bank PPP</t>
        </is>
      </c>
    </row>
    <row r="91">
      <c r="I91" s="13" t="inlineStr">
        <is>
          <t>MRU</t>
        </is>
      </c>
      <c r="J91" s="64" t="n">
        <v>0.02498221562911018</v>
      </c>
      <c r="K91" s="65" t="n">
        <v>40.02847525</v>
      </c>
      <c r="L91" s="66" t="inlineStr">
        <is>
          <t>2026-09-25</t>
        </is>
      </c>
      <c r="N91" s="4" t="inlineStr">
        <is>
          <t>Greece</t>
        </is>
      </c>
      <c r="O91" s="67" t="inlineStr">
        <is>
          <t>GRC</t>
        </is>
      </c>
      <c r="P91" s="67" t="inlineStr">
        <is>
          <t>EUR</t>
        </is>
      </c>
      <c r="Q91" s="67" t="n">
        <v>2024</v>
      </c>
      <c r="R91" s="65" t="n">
        <v>0.515086</v>
      </c>
      <c r="S91" s="65" t="n">
        <v>0.926404983</v>
      </c>
      <c r="T91" s="68" t="n">
        <v>0.556</v>
      </c>
      <c r="U91" s="66" t="inlineStr"/>
    </row>
    <row r="92">
      <c r="I92" s="13" t="inlineStr">
        <is>
          <t>MUR</t>
        </is>
      </c>
      <c r="J92" s="64" t="n">
        <v>0.02107079718785045</v>
      </c>
      <c r="K92" s="65" t="n">
        <v>47.45904918</v>
      </c>
      <c r="L92" s="66" t="inlineStr">
        <is>
          <t>2026-09-25</t>
        </is>
      </c>
      <c r="N92" s="4" t="inlineStr">
        <is>
          <t>Greenland</t>
        </is>
      </c>
      <c r="O92" s="67" t="inlineStr">
        <is>
          <t>GRL</t>
        </is>
      </c>
      <c r="P92" s="67" t="inlineStr">
        <is>
          <t>DKK</t>
        </is>
      </c>
      <c r="Q92" s="67" t="n">
        <v>2023</v>
      </c>
      <c r="R92" s="65" t="n">
        <v>5.11209384052967</v>
      </c>
      <c r="S92" s="65" t="n">
        <v>6.911804583</v>
      </c>
      <c r="T92" s="68" t="n">
        <v>0.7396</v>
      </c>
      <c r="U92" s="66" t="inlineStr"/>
    </row>
    <row r="93">
      <c r="I93" s="13" t="inlineStr">
        <is>
          <t>MVR</t>
        </is>
      </c>
      <c r="J93" s="64" t="n">
        <v>0.06468548795082231</v>
      </c>
      <c r="K93" s="65" t="n">
        <v>15.45941805</v>
      </c>
      <c r="L93" s="66" t="inlineStr">
        <is>
          <t>2026-09-25</t>
        </is>
      </c>
      <c r="N93" s="4" t="inlineStr">
        <is>
          <t>Grenada</t>
        </is>
      </c>
      <c r="O93" s="67" t="inlineStr">
        <is>
          <t>GRD</t>
        </is>
      </c>
      <c r="P93" s="67" t="inlineStr">
        <is>
          <t>XCD</t>
        </is>
      </c>
      <c r="Q93" s="67" t="n">
        <v>2024</v>
      </c>
      <c r="R93" s="65" t="n">
        <v>1.56626237427165</v>
      </c>
      <c r="S93" s="65" t="n">
        <v>2.701791065</v>
      </c>
      <c r="T93" s="68" t="n">
        <v>0.5797</v>
      </c>
      <c r="U93" s="66" t="inlineStr"/>
    </row>
    <row r="94">
      <c r="I94" s="13" t="inlineStr">
        <is>
          <t>MWK</t>
        </is>
      </c>
      <c r="J94" s="64" t="n">
        <v>0.0005767934221164161</v>
      </c>
      <c r="K94" s="65" t="n">
        <v>1733.72296156</v>
      </c>
      <c r="L94" s="66" t="inlineStr">
        <is>
          <t>2026-09-25</t>
        </is>
      </c>
      <c r="N94" s="4" t="inlineStr">
        <is>
          <t>Guadeloupe</t>
        </is>
      </c>
      <c r="O94" s="67" t="inlineStr">
        <is>
          <t>GLP</t>
        </is>
      </c>
      <c r="P94" s="67" t="inlineStr">
        <is>
          <t>EUR</t>
        </is>
      </c>
      <c r="Q94" s="67" t="inlineStr"/>
      <c r="R94" s="65" t="inlineStr"/>
      <c r="S94" s="65" t="n">
        <v>0.926404983</v>
      </c>
      <c r="T94" s="69" t="inlineStr"/>
      <c r="U94" s="66" t="inlineStr">
        <is>
          <t>no World Bank PPP</t>
        </is>
      </c>
    </row>
    <row r="95">
      <c r="I95" s="13" t="inlineStr">
        <is>
          <t>MXN</t>
        </is>
      </c>
      <c r="J95" s="64" t="n">
        <v>0.05637097374794452</v>
      </c>
      <c r="K95" s="65" t="n">
        <v>17.73962615</v>
      </c>
      <c r="L95" s="66" t="inlineStr">
        <is>
          <t>2026-09-25</t>
        </is>
      </c>
      <c r="N95" s="4" t="inlineStr">
        <is>
          <t>Guam</t>
        </is>
      </c>
      <c r="O95" s="67" t="inlineStr">
        <is>
          <t>GUM</t>
        </is>
      </c>
      <c r="P95" s="67" t="inlineStr">
        <is>
          <t>USD</t>
        </is>
      </c>
      <c r="Q95" s="67" t="inlineStr"/>
      <c r="R95" s="65" t="inlineStr"/>
      <c r="S95" s="65" t="n">
        <v>1</v>
      </c>
      <c r="T95" s="69" t="inlineStr"/>
      <c r="U95" s="66" t="inlineStr">
        <is>
          <t>no World Bank PPP</t>
        </is>
      </c>
    </row>
    <row r="96">
      <c r="I96" s="13" t="inlineStr">
        <is>
          <t>MYR</t>
        </is>
      </c>
      <c r="J96" s="64" t="n">
        <v>0.2452215557506315</v>
      </c>
      <c r="K96" s="65" t="n">
        <v>4.07794493</v>
      </c>
      <c r="L96" s="66" t="inlineStr">
        <is>
          <t>2026-09-25</t>
        </is>
      </c>
      <c r="N96" s="4" t="inlineStr">
        <is>
          <t>Guatemala</t>
        </is>
      </c>
      <c r="O96" s="67" t="inlineStr">
        <is>
          <t>GTM</t>
        </is>
      </c>
      <c r="P96" s="67" t="inlineStr">
        <is>
          <t>GTQ</t>
        </is>
      </c>
      <c r="Q96" s="67" t="n">
        <v>2024</v>
      </c>
      <c r="R96" s="65" t="n">
        <v>3.32078331028962</v>
      </c>
      <c r="S96" s="65" t="n">
        <v>7.754497292</v>
      </c>
      <c r="T96" s="68" t="n">
        <v>0.4282</v>
      </c>
      <c r="U96" s="66" t="inlineStr"/>
    </row>
    <row r="97">
      <c r="I97" s="13" t="inlineStr">
        <is>
          <t>MZN</t>
        </is>
      </c>
      <c r="J97" s="64" t="n">
        <v>0.01565792479678191</v>
      </c>
      <c r="K97" s="65" t="n">
        <v>63.86542361</v>
      </c>
      <c r="L97" s="66" t="inlineStr">
        <is>
          <t>2026-09-25</t>
        </is>
      </c>
      <c r="N97" s="4" t="inlineStr">
        <is>
          <t>Guernsey</t>
        </is>
      </c>
      <c r="O97" s="67" t="inlineStr">
        <is>
          <t>GGY</t>
        </is>
      </c>
      <c r="P97" s="67" t="inlineStr">
        <is>
          <t>GBP</t>
        </is>
      </c>
      <c r="Q97" s="67" t="inlineStr"/>
      <c r="R97" s="65" t="inlineStr"/>
      <c r="S97" s="65" t="n">
        <v>0.7830716049999999</v>
      </c>
      <c r="T97" s="69" t="inlineStr"/>
      <c r="U97" s="66" t="inlineStr">
        <is>
          <t>no World Bank PPP</t>
        </is>
      </c>
    </row>
    <row r="98">
      <c r="I98" s="13" t="inlineStr">
        <is>
          <t>NAD</t>
        </is>
      </c>
      <c r="J98" s="64" t="n">
        <v>0.06087436266239165</v>
      </c>
      <c r="K98" s="65" t="n">
        <v>16.42727671</v>
      </c>
      <c r="L98" s="66" t="inlineStr">
        <is>
          <t>2026-09-25</t>
        </is>
      </c>
      <c r="N98" s="4" t="inlineStr">
        <is>
          <t>Guinea</t>
        </is>
      </c>
      <c r="O98" s="67" t="inlineStr">
        <is>
          <t>GIN</t>
        </is>
      </c>
      <c r="P98" s="67" t="inlineStr">
        <is>
          <t>GNF</t>
        </is>
      </c>
      <c r="Q98" s="67" t="n">
        <v>2024</v>
      </c>
      <c r="R98" s="65" t="n">
        <v>3185.82499261202</v>
      </c>
      <c r="S98" s="65" t="n">
        <v>8617.704952745</v>
      </c>
      <c r="T98" s="68" t="n">
        <v>0.3697</v>
      </c>
      <c r="U98" s="66" t="inlineStr"/>
    </row>
    <row r="99">
      <c r="I99" s="13" t="inlineStr">
        <is>
          <t>NGN</t>
        </is>
      </c>
      <c r="J99" s="64" t="n">
        <v>0.0007536585697645595</v>
      </c>
      <c r="K99" s="65" t="n">
        <v>1326.86078301</v>
      </c>
      <c r="L99" s="66" t="inlineStr">
        <is>
          <t>2026-09-25</t>
        </is>
      </c>
      <c r="N99" s="4" t="inlineStr">
        <is>
          <t>Guinea-Bissau</t>
        </is>
      </c>
      <c r="O99" s="67" t="inlineStr">
        <is>
          <t>GNB</t>
        </is>
      </c>
      <c r="P99" s="67" t="inlineStr">
        <is>
          <t>XOF</t>
        </is>
      </c>
      <c r="Q99" s="67" t="n">
        <v>2024</v>
      </c>
      <c r="R99" s="65" t="n">
        <v>195.885394476863</v>
      </c>
      <c r="S99" s="65" t="n">
        <v>607.681834032</v>
      </c>
      <c r="T99" s="68" t="n">
        <v>0.3223</v>
      </c>
      <c r="U99" s="66" t="inlineStr"/>
    </row>
    <row r="100">
      <c r="I100" s="13" t="inlineStr">
        <is>
          <t>NIO</t>
        </is>
      </c>
      <c r="J100" s="64" t="n">
        <v>0.02717740532529224</v>
      </c>
      <c r="K100" s="65" t="n">
        <v>36.79527122</v>
      </c>
      <c r="L100" s="66" t="inlineStr">
        <is>
          <t>2026-09-25</t>
        </is>
      </c>
      <c r="N100" s="4" t="inlineStr">
        <is>
          <t>Guyana</t>
        </is>
      </c>
      <c r="O100" s="67" t="inlineStr">
        <is>
          <t>GUY</t>
        </is>
      </c>
      <c r="P100" s="67" t="inlineStr">
        <is>
          <t>GYD</t>
        </is>
      </c>
      <c r="Q100" s="67" t="n">
        <v>2024</v>
      </c>
      <c r="R100" s="65" t="n">
        <v>77.19150912571</v>
      </c>
      <c r="S100" s="65" t="n">
        <v>209.121093503</v>
      </c>
      <c r="T100" s="68" t="n">
        <v>0.3691</v>
      </c>
      <c r="U100" s="66" t="inlineStr"/>
    </row>
    <row r="101">
      <c r="I101" s="13" t="inlineStr">
        <is>
          <t>NOK</t>
        </is>
      </c>
      <c r="J101" s="64" t="n">
        <v>0.1049464028068805</v>
      </c>
      <c r="K101" s="65" t="n">
        <v>9.52867343</v>
      </c>
      <c r="L101" s="66" t="inlineStr">
        <is>
          <t>2026-09-25</t>
        </is>
      </c>
      <c r="N101" s="4" t="inlineStr">
        <is>
          <t>Haiti</t>
        </is>
      </c>
      <c r="O101" s="67" t="inlineStr">
        <is>
          <t>HTI</t>
        </is>
      </c>
      <c r="P101" s="67" t="inlineStr">
        <is>
          <t>HTG</t>
        </is>
      </c>
      <c r="Q101" s="67" t="n">
        <v>2024</v>
      </c>
      <c r="R101" s="65" t="n">
        <v>88.74025529269051</v>
      </c>
      <c r="S101" s="65" t="n">
        <v>132.797306452</v>
      </c>
      <c r="T101" s="68" t="n">
        <v>0.6682</v>
      </c>
      <c r="U101" s="66" t="inlineStr"/>
    </row>
    <row r="102">
      <c r="I102" s="13" t="inlineStr">
        <is>
          <t>NPR</t>
        </is>
      </c>
      <c r="J102" s="64" t="n">
        <v>0.00651194778457392</v>
      </c>
      <c r="K102" s="65" t="n">
        <v>153.56388489</v>
      </c>
      <c r="L102" s="66" t="inlineStr">
        <is>
          <t>2026-09-25</t>
        </is>
      </c>
      <c r="N102" s="4" t="inlineStr">
        <is>
          <t>Heard &amp; McDonald Islands</t>
        </is>
      </c>
      <c r="O102" s="67" t="inlineStr">
        <is>
          <t>HMD</t>
        </is>
      </c>
      <c r="P102" s="67" t="inlineStr">
        <is>
          <t>AUD</t>
        </is>
      </c>
      <c r="Q102" s="67" t="inlineStr"/>
      <c r="R102" s="65" t="inlineStr"/>
      <c r="S102" s="65" t="n">
        <v>1.518557254</v>
      </c>
      <c r="T102" s="69" t="inlineStr"/>
      <c r="U102" s="66" t="inlineStr">
        <is>
          <t>no World Bank PPP</t>
        </is>
      </c>
    </row>
    <row r="103">
      <c r="I103" s="13" t="inlineStr">
        <is>
          <t>NZD</t>
        </is>
      </c>
      <c r="J103" s="64" t="n">
        <v>0.5651710779917719</v>
      </c>
      <c r="K103" s="65" t="n">
        <v>1.76937575</v>
      </c>
      <c r="L103" s="66" t="inlineStr">
        <is>
          <t>2026-09-25</t>
        </is>
      </c>
      <c r="N103" s="4" t="inlineStr">
        <is>
          <t>Honduras</t>
        </is>
      </c>
      <c r="O103" s="67" t="inlineStr">
        <is>
          <t>HND</t>
        </is>
      </c>
      <c r="P103" s="67" t="inlineStr">
        <is>
          <t>HNL</t>
        </is>
      </c>
      <c r="Q103" s="67" t="n">
        <v>2024</v>
      </c>
      <c r="R103" s="65" t="n">
        <v>11.3509098940535</v>
      </c>
      <c r="S103" s="65" t="n">
        <v>24.872967423</v>
      </c>
      <c r="T103" s="68" t="n">
        <v>0.4564</v>
      </c>
      <c r="U103" s="66" t="inlineStr"/>
    </row>
    <row r="104">
      <c r="I104" s="13" t="inlineStr">
        <is>
          <t>OMR</t>
        </is>
      </c>
      <c r="J104" s="64" t="n">
        <v>2.599033778004622</v>
      </c>
      <c r="K104" s="65" t="n">
        <v>0.38475837</v>
      </c>
      <c r="L104" s="66" t="inlineStr">
        <is>
          <t>2026-09-25</t>
        </is>
      </c>
      <c r="N104" s="4" t="inlineStr">
        <is>
          <t>Hong Kong</t>
        </is>
      </c>
      <c r="O104" s="67" t="inlineStr">
        <is>
          <t>HKG</t>
        </is>
      </c>
      <c r="P104" s="67" t="inlineStr">
        <is>
          <t>HKD</t>
        </is>
      </c>
      <c r="Q104" s="67" t="inlineStr"/>
      <c r="R104" s="65" t="inlineStr"/>
      <c r="S104" s="65" t="n">
        <v>7.800547276</v>
      </c>
      <c r="T104" s="69" t="inlineStr"/>
      <c r="U104" s="66" t="inlineStr">
        <is>
          <t>no World Bank PPP</t>
        </is>
      </c>
    </row>
    <row r="105">
      <c r="I105" s="13" t="inlineStr">
        <is>
          <t>PAB</t>
        </is>
      </c>
      <c r="J105" s="64" t="n">
        <v>1</v>
      </c>
      <c r="K105" s="65" t="n">
        <v>1</v>
      </c>
      <c r="L105" s="66" t="inlineStr">
        <is>
          <t>2026-09-25</t>
        </is>
      </c>
      <c r="N105" s="4" t="inlineStr">
        <is>
          <t>Hungary</t>
        </is>
      </c>
      <c r="O105" s="67" t="inlineStr">
        <is>
          <t>HUN</t>
        </is>
      </c>
      <c r="P105" s="67" t="inlineStr">
        <is>
          <t>HUF</t>
        </is>
      </c>
      <c r="Q105" s="67" t="n">
        <v>2024</v>
      </c>
      <c r="R105" s="65" t="n">
        <v>175.578089</v>
      </c>
      <c r="S105" s="65" t="n">
        <v>367.898827798</v>
      </c>
      <c r="T105" s="68" t="n">
        <v>0.4772</v>
      </c>
      <c r="U105" s="66" t="inlineStr"/>
    </row>
    <row r="106">
      <c r="I106" s="13" t="inlineStr">
        <is>
          <t>PEN</t>
        </is>
      </c>
      <c r="J106" s="64" t="n">
        <v>0.29492100406717</v>
      </c>
      <c r="K106" s="65" t="n">
        <v>3.39073849</v>
      </c>
      <c r="L106" s="66" t="inlineStr">
        <is>
          <t>2026-09-25</t>
        </is>
      </c>
      <c r="N106" s="4" t="inlineStr">
        <is>
          <t>Iceland</t>
        </is>
      </c>
      <c r="O106" s="67" t="inlineStr">
        <is>
          <t>ISL</t>
        </is>
      </c>
      <c r="P106" s="67" t="inlineStr">
        <is>
          <t>ISK</t>
        </is>
      </c>
      <c r="Q106" s="67" t="n">
        <v>2024</v>
      </c>
      <c r="R106" s="65" t="n">
        <v>141.758111</v>
      </c>
      <c r="S106" s="65" t="n">
        <v>138.340558068</v>
      </c>
      <c r="T106" s="68" t="n">
        <v>1.0247</v>
      </c>
      <c r="U106" s="66" t="inlineStr"/>
    </row>
    <row r="107">
      <c r="I107" s="13" t="inlineStr">
        <is>
          <t>PGK</t>
        </is>
      </c>
      <c r="J107" s="64" t="n">
        <v>0.2246764852956902</v>
      </c>
      <c r="K107" s="65" t="n">
        <v>4.45084406</v>
      </c>
      <c r="L107" s="66" t="inlineStr">
        <is>
          <t>2026-09-25</t>
        </is>
      </c>
      <c r="N107" s="4" t="inlineStr">
        <is>
          <t>India</t>
        </is>
      </c>
      <c r="O107" s="67" t="inlineStr">
        <is>
          <t>IND</t>
        </is>
      </c>
      <c r="P107" s="67" t="inlineStr">
        <is>
          <t>INR</t>
        </is>
      </c>
      <c r="Q107" s="67" t="n">
        <v>2024</v>
      </c>
      <c r="R107" s="65" t="n">
        <v>20.4219876045922</v>
      </c>
      <c r="S107" s="65" t="n">
        <v>83.81593696500001</v>
      </c>
      <c r="T107" s="68" t="n">
        <v>0.2437</v>
      </c>
      <c r="U107" s="66" t="inlineStr"/>
    </row>
    <row r="108">
      <c r="I108" s="13" t="inlineStr">
        <is>
          <t>PHP</t>
        </is>
      </c>
      <c r="J108" s="64" t="n">
        <v>0.0159790324746554</v>
      </c>
      <c r="K108" s="65" t="n">
        <v>62.58201187</v>
      </c>
      <c r="L108" s="66" t="inlineStr">
        <is>
          <t>2026-09-25</t>
        </is>
      </c>
      <c r="N108" s="4" t="inlineStr">
        <is>
          <t>Indonesia</t>
        </is>
      </c>
      <c r="O108" s="67" t="inlineStr">
        <is>
          <t>IDN</t>
        </is>
      </c>
      <c r="P108" s="67" t="inlineStr">
        <is>
          <t>IDR</t>
        </is>
      </c>
      <c r="Q108" s="67" t="n">
        <v>2024</v>
      </c>
      <c r="R108" s="65" t="n">
        <v>4747.90857563225</v>
      </c>
      <c r="S108" s="65" t="n">
        <v>15896.795736594</v>
      </c>
      <c r="T108" s="68" t="n">
        <v>0.2987</v>
      </c>
      <c r="U108" s="66" t="inlineStr"/>
    </row>
    <row r="109">
      <c r="I109" s="13" t="inlineStr">
        <is>
          <t>PKR</t>
        </is>
      </c>
      <c r="J109" s="64" t="n">
        <v>0.003609427294749717</v>
      </c>
      <c r="K109" s="65" t="n">
        <v>277.05226296</v>
      </c>
      <c r="L109" s="66" t="inlineStr">
        <is>
          <t>2026-09-25</t>
        </is>
      </c>
      <c r="N109" s="4" t="inlineStr">
        <is>
          <t>Iran</t>
        </is>
      </c>
      <c r="O109" s="67" t="inlineStr">
        <is>
          <t>IRN</t>
        </is>
      </c>
      <c r="P109" s="67" t="inlineStr">
        <is>
          <t>IRR</t>
        </is>
      </c>
      <c r="Q109" s="67" t="n">
        <v>2024</v>
      </c>
      <c r="R109" s="65" t="n">
        <v>118268.070633131</v>
      </c>
      <c r="S109" s="65" t="n">
        <v>41990.011295047</v>
      </c>
      <c r="T109" s="68" t="n">
        <v>2.8166</v>
      </c>
      <c r="U109" s="66" t="inlineStr"/>
    </row>
    <row r="110">
      <c r="I110" s="13" t="inlineStr">
        <is>
          <t>PLN</t>
        </is>
      </c>
      <c r="J110" s="64" t="n">
        <v>0.2595088620913982</v>
      </c>
      <c r="K110" s="65" t="n">
        <v>3.85343295</v>
      </c>
      <c r="L110" s="66" t="inlineStr">
        <is>
          <t>2026-09-25</t>
        </is>
      </c>
      <c r="N110" s="4" t="inlineStr">
        <is>
          <t>Iraq</t>
        </is>
      </c>
      <c r="O110" s="67" t="inlineStr">
        <is>
          <t>IRQ</t>
        </is>
      </c>
      <c r="P110" s="67" t="inlineStr">
        <is>
          <t>IQD</t>
        </is>
      </c>
      <c r="Q110" s="67" t="n">
        <v>2024</v>
      </c>
      <c r="R110" s="65" t="n">
        <v>545.873856082559</v>
      </c>
      <c r="S110" s="65" t="n">
        <v>1309.973692664</v>
      </c>
      <c r="T110" s="68" t="n">
        <v>0.4167</v>
      </c>
      <c r="U110" s="66" t="inlineStr"/>
    </row>
    <row r="111">
      <c r="I111" s="13" t="inlineStr">
        <is>
          <t>PYG</t>
        </is>
      </c>
      <c r="J111" s="64" t="n">
        <v>0.0001686745313199456</v>
      </c>
      <c r="K111" s="65" t="n">
        <v>5928.57731499</v>
      </c>
      <c r="L111" s="66" t="inlineStr">
        <is>
          <t>2026-09-25</t>
        </is>
      </c>
      <c r="N111" s="4" t="inlineStr">
        <is>
          <t>Ireland</t>
        </is>
      </c>
      <c r="O111" s="67" t="inlineStr">
        <is>
          <t>IRL</t>
        </is>
      </c>
      <c r="P111" s="67" t="inlineStr">
        <is>
          <t>EUR</t>
        </is>
      </c>
      <c r="Q111" s="67" t="n">
        <v>2024</v>
      </c>
      <c r="R111" s="65" t="n">
        <v>0.7408940000000001</v>
      </c>
      <c r="S111" s="65" t="n">
        <v>0.926404983</v>
      </c>
      <c r="T111" s="68" t="n">
        <v>0.7998</v>
      </c>
      <c r="U111" s="66" t="inlineStr"/>
    </row>
    <row r="112">
      <c r="I112" s="13" t="inlineStr">
        <is>
          <t>QAR</t>
        </is>
      </c>
      <c r="J112" s="64" t="n">
        <v>0.2747252747252747</v>
      </c>
      <c r="K112" s="65" t="n">
        <v>3.64</v>
      </c>
      <c r="L112" s="66" t="inlineStr">
        <is>
          <t>2026-09-25</t>
        </is>
      </c>
      <c r="N112" s="4" t="inlineStr">
        <is>
          <t>Isle of Man</t>
        </is>
      </c>
      <c r="O112" s="67" t="inlineStr">
        <is>
          <t>IMN</t>
        </is>
      </c>
      <c r="P112" s="67" t="inlineStr">
        <is>
          <t>GBP</t>
        </is>
      </c>
      <c r="Q112" s="67" t="inlineStr"/>
      <c r="R112" s="65" t="inlineStr"/>
      <c r="S112" s="65" t="n">
        <v>0.7830716049999999</v>
      </c>
      <c r="T112" s="69" t="inlineStr"/>
      <c r="U112" s="66" t="inlineStr">
        <is>
          <t>no World Bank PPP</t>
        </is>
      </c>
    </row>
    <row r="113">
      <c r="I113" s="13" t="inlineStr">
        <is>
          <t>RON</t>
        </is>
      </c>
      <c r="J113" s="64" t="n">
        <v>0.2154734027582604</v>
      </c>
      <c r="K113" s="65" t="n">
        <v>4.64094402</v>
      </c>
      <c r="L113" s="66" t="inlineStr">
        <is>
          <t>2026-09-25</t>
        </is>
      </c>
      <c r="N113" s="4" t="inlineStr">
        <is>
          <t>Israel</t>
        </is>
      </c>
      <c r="O113" s="67" t="inlineStr">
        <is>
          <t>ISR</t>
        </is>
      </c>
      <c r="P113" s="67" t="inlineStr">
        <is>
          <t>ILS</t>
        </is>
      </c>
      <c r="Q113" s="67" t="n">
        <v>2024</v>
      </c>
      <c r="R113" s="65" t="n">
        <v>3.50198</v>
      </c>
      <c r="S113" s="65" t="n">
        <v>3.698793118</v>
      </c>
      <c r="T113" s="68" t="n">
        <v>0.9468</v>
      </c>
      <c r="U113" s="66" t="inlineStr"/>
    </row>
    <row r="114">
      <c r="I114" s="13" t="inlineStr">
        <is>
          <t>RSD</t>
        </is>
      </c>
      <c r="J114" s="64" t="n">
        <v>0.00967988336946266</v>
      </c>
      <c r="K114" s="65" t="n">
        <v>103.30702983</v>
      </c>
      <c r="L114" s="66" t="inlineStr">
        <is>
          <t>2026-09-25</t>
        </is>
      </c>
      <c r="N114" s="4" t="inlineStr">
        <is>
          <t>Italy</t>
        </is>
      </c>
      <c r="O114" s="67" t="inlineStr">
        <is>
          <t>ITA</t>
        </is>
      </c>
      <c r="P114" s="67" t="inlineStr">
        <is>
          <t>EUR</t>
        </is>
      </c>
      <c r="Q114" s="67" t="n">
        <v>2024</v>
      </c>
      <c r="R114" s="65" t="n">
        <v>0.599627</v>
      </c>
      <c r="S114" s="65" t="n">
        <v>0.926404983</v>
      </c>
      <c r="T114" s="68" t="n">
        <v>0.6473</v>
      </c>
      <c r="U114" s="66" t="inlineStr"/>
    </row>
    <row r="115">
      <c r="I115" s="13" t="inlineStr">
        <is>
          <t>RUB</t>
        </is>
      </c>
      <c r="J115" s="64" t="n">
        <v>0.01176289778242514</v>
      </c>
      <c r="K115" s="65" t="n">
        <v>85.01306553000001</v>
      </c>
      <c r="L115" s="66" t="inlineStr">
        <is>
          <t>2026-09-25</t>
        </is>
      </c>
      <c r="N115" s="4" t="inlineStr">
        <is>
          <t>Jamaica</t>
        </is>
      </c>
      <c r="O115" s="67" t="inlineStr">
        <is>
          <t>JAM</t>
        </is>
      </c>
      <c r="P115" s="67" t="inlineStr">
        <is>
          <t>JMD</t>
        </is>
      </c>
      <c r="Q115" s="67" t="n">
        <v>2024</v>
      </c>
      <c r="R115" s="65" t="n">
        <v>94.1020890725982</v>
      </c>
      <c r="S115" s="65" t="n">
        <v>156.633234253</v>
      </c>
      <c r="T115" s="68" t="n">
        <v>0.6008</v>
      </c>
      <c r="U115" s="66" t="inlineStr"/>
    </row>
    <row r="116">
      <c r="I116" s="13" t="inlineStr">
        <is>
          <t>RWF</t>
        </is>
      </c>
      <c r="J116" s="64" t="n">
        <v>0.0006775670026489907</v>
      </c>
      <c r="K116" s="65" t="n">
        <v>1475.8688013</v>
      </c>
      <c r="L116" s="66" t="inlineStr">
        <is>
          <t>2026-09-25</t>
        </is>
      </c>
      <c r="N116" s="4" t="inlineStr">
        <is>
          <t>Japan</t>
        </is>
      </c>
      <c r="O116" s="67" t="inlineStr">
        <is>
          <t>JPN</t>
        </is>
      </c>
      <c r="P116" s="67" t="inlineStr">
        <is>
          <t>JPY</t>
        </is>
      </c>
      <c r="Q116" s="67" t="n">
        <v>2024</v>
      </c>
      <c r="R116" s="65" t="n">
        <v>94.462599</v>
      </c>
      <c r="S116" s="65" t="n">
        <v>152.204880848</v>
      </c>
      <c r="T116" s="68" t="n">
        <v>0.6206</v>
      </c>
      <c r="U116" s="66" t="inlineStr"/>
    </row>
    <row r="117">
      <c r="I117" s="13" t="inlineStr">
        <is>
          <t>SAR</t>
        </is>
      </c>
      <c r="J117" s="64" t="n">
        <v>0.2666666666666667</v>
      </c>
      <c r="K117" s="65" t="n">
        <v>3.75</v>
      </c>
      <c r="L117" s="66" t="inlineStr">
        <is>
          <t>2026-09-25</t>
        </is>
      </c>
      <c r="N117" s="4" t="inlineStr">
        <is>
          <t>Jersey</t>
        </is>
      </c>
      <c r="O117" s="67" t="inlineStr">
        <is>
          <t>JEY</t>
        </is>
      </c>
      <c r="P117" s="67" t="inlineStr">
        <is>
          <t>GBP</t>
        </is>
      </c>
      <c r="Q117" s="67" t="inlineStr"/>
      <c r="R117" s="65" t="inlineStr"/>
      <c r="S117" s="65" t="n">
        <v>0.7830716049999999</v>
      </c>
      <c r="T117" s="69" t="inlineStr"/>
      <c r="U117" s="66" t="inlineStr">
        <is>
          <t>no World Bank PPP</t>
        </is>
      </c>
    </row>
    <row r="118">
      <c r="I118" s="13" t="inlineStr">
        <is>
          <t>SBD</t>
        </is>
      </c>
      <c r="J118" s="64" t="n">
        <v>0.1244120400513161</v>
      </c>
      <c r="K118" s="65" t="n">
        <v>8.03780727</v>
      </c>
      <c r="L118" s="66" t="inlineStr">
        <is>
          <t>2026-09-25</t>
        </is>
      </c>
      <c r="N118" s="4" t="inlineStr">
        <is>
          <t>Jordan</t>
        </is>
      </c>
      <c r="O118" s="67" t="inlineStr">
        <is>
          <t>JOR</t>
        </is>
      </c>
      <c r="P118" s="67" t="inlineStr">
        <is>
          <t>JOD</t>
        </is>
      </c>
      <c r="Q118" s="67" t="n">
        <v>2024</v>
      </c>
      <c r="R118" s="65" t="n">
        <v>0.302994117340261</v>
      </c>
      <c r="S118" s="65" t="n">
        <v>0.709</v>
      </c>
      <c r="T118" s="68" t="n">
        <v>0.4274</v>
      </c>
      <c r="U118" s="66" t="inlineStr"/>
    </row>
    <row r="119">
      <c r="I119" s="13" t="inlineStr">
        <is>
          <t>SCR</t>
        </is>
      </c>
      <c r="J119" s="64" t="n">
        <v>0.06976824643437307</v>
      </c>
      <c r="K119" s="65" t="n">
        <v>14.33316804</v>
      </c>
      <c r="L119" s="66" t="inlineStr">
        <is>
          <t>2026-09-25</t>
        </is>
      </c>
      <c r="N119" s="4" t="inlineStr">
        <is>
          <t>Kazakhstan</t>
        </is>
      </c>
      <c r="O119" s="67" t="inlineStr">
        <is>
          <t>KAZ</t>
        </is>
      </c>
      <c r="P119" s="67" t="inlineStr">
        <is>
          <t>KZT</t>
        </is>
      </c>
      <c r="Q119" s="67" t="n">
        <v>2024</v>
      </c>
      <c r="R119" s="65" t="n">
        <v>162.334081288311</v>
      </c>
      <c r="S119" s="65" t="n">
        <v>473.059040487</v>
      </c>
      <c r="T119" s="68" t="n">
        <v>0.3432</v>
      </c>
      <c r="U119" s="66" t="inlineStr"/>
    </row>
    <row r="120">
      <c r="I120" s="13" t="inlineStr">
        <is>
          <t>SDG</t>
        </is>
      </c>
      <c r="J120" s="64" t="n">
        <v>0.001666140280468648</v>
      </c>
      <c r="K120" s="65" t="n">
        <v>600.1895589</v>
      </c>
      <c r="L120" s="66" t="inlineStr">
        <is>
          <t>2026-09-25</t>
        </is>
      </c>
      <c r="N120" s="4" t="inlineStr">
        <is>
          <t>Kenya</t>
        </is>
      </c>
      <c r="O120" s="67" t="inlineStr">
        <is>
          <t>KEN</t>
        </is>
      </c>
      <c r="P120" s="67" t="inlineStr">
        <is>
          <t>KES</t>
        </is>
      </c>
      <c r="Q120" s="67" t="n">
        <v>2024</v>
      </c>
      <c r="R120" s="65" t="n">
        <v>43.2712900869078</v>
      </c>
      <c r="S120" s="65" t="n">
        <v>129.586661589</v>
      </c>
      <c r="T120" s="68" t="n">
        <v>0.3339</v>
      </c>
      <c r="U120" s="66" t="inlineStr"/>
    </row>
    <row r="121">
      <c r="I121" s="13" t="inlineStr">
        <is>
          <t>SEK</t>
        </is>
      </c>
      <c r="J121" s="64" t="n">
        <v>0.1006936057506199</v>
      </c>
      <c r="K121" s="65" t="n">
        <v>9.931117199999999</v>
      </c>
      <c r="L121" s="66" t="inlineStr">
        <is>
          <t>2026-09-25</t>
        </is>
      </c>
      <c r="N121" s="4" t="inlineStr">
        <is>
          <t>Kiribati</t>
        </is>
      </c>
      <c r="O121" s="67" t="inlineStr">
        <is>
          <t>KIR</t>
        </is>
      </c>
      <c r="P121" s="67" t="inlineStr">
        <is>
          <t>AUD</t>
        </is>
      </c>
      <c r="Q121" s="67" t="n">
        <v>2024</v>
      </c>
      <c r="R121" s="65" t="n">
        <v>0.9367357096361349</v>
      </c>
      <c r="S121" s="65" t="n">
        <v>1.518557254</v>
      </c>
      <c r="T121" s="68" t="n">
        <v>0.6169</v>
      </c>
      <c r="U121" s="66" t="inlineStr"/>
    </row>
    <row r="122">
      <c r="I122" s="13" t="inlineStr">
        <is>
          <t>SGD</t>
        </is>
      </c>
      <c r="J122" s="64" t="n">
        <v>0.78162734281267</v>
      </c>
      <c r="K122" s="65" t="n">
        <v>1.27938206</v>
      </c>
      <c r="L122" s="66" t="inlineStr">
        <is>
          <t>2026-09-25</t>
        </is>
      </c>
      <c r="N122" s="4" t="inlineStr">
        <is>
          <t>Kuwait</t>
        </is>
      </c>
      <c r="O122" s="67" t="inlineStr">
        <is>
          <t>KWT</t>
        </is>
      </c>
      <c r="P122" s="67" t="inlineStr">
        <is>
          <t>KWD</t>
        </is>
      </c>
      <c r="Q122" s="67" t="n">
        <v>2024</v>
      </c>
      <c r="R122" s="65" t="n">
        <v>0.191333746031327</v>
      </c>
      <c r="S122" s="65" t="n">
        <v>0.30715379</v>
      </c>
      <c r="T122" s="68" t="n">
        <v>0.6229</v>
      </c>
      <c r="U122" s="66" t="inlineStr"/>
    </row>
    <row r="123">
      <c r="I123" s="13" t="inlineStr">
        <is>
          <t>SHP</t>
        </is>
      </c>
      <c r="J123" s="64" t="n">
        <v>1.321149603612181</v>
      </c>
      <c r="K123" s="65" t="n">
        <v>0.75691655</v>
      </c>
      <c r="L123" s="66" t="inlineStr">
        <is>
          <t>2026-09-25</t>
        </is>
      </c>
      <c r="N123" s="4" t="inlineStr">
        <is>
          <t>Kyrgyzstan</t>
        </is>
      </c>
      <c r="O123" s="67" t="inlineStr">
        <is>
          <t>KGZ</t>
        </is>
      </c>
      <c r="P123" s="67" t="inlineStr">
        <is>
          <t>KGS</t>
        </is>
      </c>
      <c r="Q123" s="67" t="n">
        <v>2024</v>
      </c>
      <c r="R123" s="65" t="n">
        <v>26.3240076204654</v>
      </c>
      <c r="S123" s="65" t="n">
        <v>86.921935312</v>
      </c>
      <c r="T123" s="68" t="n">
        <v>0.3028</v>
      </c>
      <c r="U123" s="66" t="inlineStr"/>
    </row>
    <row r="124">
      <c r="I124" s="13" t="inlineStr">
        <is>
          <t>SLE</t>
        </is>
      </c>
      <c r="J124" s="64" t="n">
        <v>0.04361100187548503</v>
      </c>
      <c r="K124" s="65" t="n">
        <v>22.92999374</v>
      </c>
      <c r="L124" s="66" t="inlineStr">
        <is>
          <t>2026-09-25</t>
        </is>
      </c>
      <c r="N124" s="4" t="inlineStr">
        <is>
          <t>Laos</t>
        </is>
      </c>
      <c r="O124" s="67" t="inlineStr">
        <is>
          <t>LAO</t>
        </is>
      </c>
      <c r="P124" s="67" t="inlineStr">
        <is>
          <t>LAK</t>
        </is>
      </c>
      <c r="Q124" s="67" t="n">
        <v>2024</v>
      </c>
      <c r="R124" s="65" t="n">
        <v>4381.7249520295</v>
      </c>
      <c r="S124" s="65" t="n">
        <v>21730.076867384</v>
      </c>
      <c r="T124" s="68" t="n">
        <v>0.2016</v>
      </c>
      <c r="U124" s="66" t="inlineStr"/>
    </row>
    <row r="125">
      <c r="I125" s="13" t="inlineStr">
        <is>
          <t>SOS</t>
        </is>
      </c>
      <c r="J125" s="64" t="n">
        <v>0.001752410462483133</v>
      </c>
      <c r="K125" s="65" t="n">
        <v>570.64256429</v>
      </c>
      <c r="L125" s="66" t="inlineStr">
        <is>
          <t>2026-09-25</t>
        </is>
      </c>
      <c r="N125" s="4" t="inlineStr">
        <is>
          <t>Latvia</t>
        </is>
      </c>
      <c r="O125" s="67" t="inlineStr">
        <is>
          <t>LVA</t>
        </is>
      </c>
      <c r="P125" s="67" t="inlineStr">
        <is>
          <t>EUR</t>
        </is>
      </c>
      <c r="Q125" s="67" t="n">
        <v>2024</v>
      </c>
      <c r="R125" s="65" t="n">
        <v>0.496528</v>
      </c>
      <c r="S125" s="65" t="n">
        <v>0.926404983</v>
      </c>
      <c r="T125" s="68" t="n">
        <v>0.536</v>
      </c>
      <c r="U125" s="66" t="inlineStr"/>
    </row>
    <row r="126">
      <c r="I126" s="13" t="inlineStr">
        <is>
          <t>SRD</t>
        </is>
      </c>
      <c r="J126" s="64" t="n">
        <v>0.02647943085119802</v>
      </c>
      <c r="K126" s="65" t="n">
        <v>37.76516216</v>
      </c>
      <c r="L126" s="66" t="inlineStr">
        <is>
          <t>2026-09-25</t>
        </is>
      </c>
      <c r="N126" s="4" t="inlineStr">
        <is>
          <t>Lebanon</t>
        </is>
      </c>
      <c r="O126" s="67" t="inlineStr">
        <is>
          <t>LBN</t>
        </is>
      </c>
      <c r="P126" s="67" t="inlineStr">
        <is>
          <t>LBP</t>
        </is>
      </c>
      <c r="Q126" s="67" t="n">
        <v>2023</v>
      </c>
      <c r="R126" s="65" t="n">
        <v>23736.790355749</v>
      </c>
      <c r="S126" s="65" t="n">
        <v>90230.44447614001</v>
      </c>
      <c r="T126" s="68" t="n">
        <v>0.2631</v>
      </c>
      <c r="U126" s="66" t="inlineStr"/>
    </row>
    <row r="127">
      <c r="I127" s="13" t="inlineStr">
        <is>
          <t>SSP</t>
        </is>
      </c>
      <c r="J127" s="64" t="n">
        <v>0.0001750518884431426</v>
      </c>
      <c r="K127" s="65" t="n">
        <v>5712.5919</v>
      </c>
      <c r="L127" s="66" t="inlineStr">
        <is>
          <t>2026-09-25</t>
        </is>
      </c>
      <c r="N127" s="4" t="inlineStr">
        <is>
          <t>Lesotho</t>
        </is>
      </c>
      <c r="O127" s="67" t="inlineStr">
        <is>
          <t>LSO</t>
        </is>
      </c>
      <c r="P127" s="67" t="inlineStr">
        <is>
          <t>LSL</t>
        </is>
      </c>
      <c r="Q127" s="67" t="n">
        <v>2024</v>
      </c>
      <c r="R127" s="65" t="n">
        <v>5.93562011325191</v>
      </c>
      <c r="S127" s="65" t="n">
        <v>18.191628042</v>
      </c>
      <c r="T127" s="68" t="n">
        <v>0.3263</v>
      </c>
      <c r="U127" s="66" t="inlineStr"/>
    </row>
    <row r="128">
      <c r="I128" s="13" t="inlineStr">
        <is>
          <t>STN</t>
        </is>
      </c>
      <c r="J128" s="64" t="n">
        <v>0.04614427690278356</v>
      </c>
      <c r="K128" s="65" t="n">
        <v>21.67115983</v>
      </c>
      <c r="L128" s="66" t="inlineStr">
        <is>
          <t>2026-09-25</t>
        </is>
      </c>
      <c r="N128" s="4" t="inlineStr">
        <is>
          <t>Liberia</t>
        </is>
      </c>
      <c r="O128" s="67" t="inlineStr">
        <is>
          <t>LBR</t>
        </is>
      </c>
      <c r="P128" s="67" t="inlineStr">
        <is>
          <t>LRD</t>
        </is>
      </c>
      <c r="Q128" s="67" t="n">
        <v>2024</v>
      </c>
      <c r="R128" s="65" t="n">
        <v>0.455092288485533</v>
      </c>
      <c r="S128" s="65" t="n">
        <v>192.127004577</v>
      </c>
      <c r="T128" s="69" t="inlineStr"/>
      <c r="U128" s="66" t="inlineStr">
        <is>
          <t>price level 0.00 implausible (currency / inflation): not used</t>
        </is>
      </c>
    </row>
    <row r="129">
      <c r="I129" s="13" t="inlineStr">
        <is>
          <t>SVC</t>
        </is>
      </c>
      <c r="J129" s="64" t="n">
        <v>0.1142857142857143</v>
      </c>
      <c r="K129" s="65" t="n">
        <v>8.75</v>
      </c>
      <c r="L129" s="66" t="inlineStr">
        <is>
          <t>2026-09-25</t>
        </is>
      </c>
      <c r="N129" s="4" t="inlineStr">
        <is>
          <t>Libya</t>
        </is>
      </c>
      <c r="O129" s="67" t="inlineStr">
        <is>
          <t>LBY</t>
        </is>
      </c>
      <c r="P129" s="67" t="inlineStr">
        <is>
          <t>LYD</t>
        </is>
      </c>
      <c r="Q129" s="67" t="n">
        <v>2024</v>
      </c>
      <c r="R129" s="65" t="n">
        <v>2.21923878847227</v>
      </c>
      <c r="S129" s="65" t="n">
        <v>4.835689103</v>
      </c>
      <c r="T129" s="68" t="n">
        <v>0.4589</v>
      </c>
      <c r="U129" s="66" t="inlineStr"/>
    </row>
    <row r="130">
      <c r="I130" s="13" t="inlineStr">
        <is>
          <t>SYP</t>
        </is>
      </c>
      <c r="J130" s="64" t="n">
        <v>7.689908439910244e-05</v>
      </c>
      <c r="K130" s="65" t="n">
        <v>13004.05600163</v>
      </c>
      <c r="L130" s="66" t="inlineStr">
        <is>
          <t>2026-09-25</t>
        </is>
      </c>
      <c r="N130" s="4" t="inlineStr">
        <is>
          <t>Liechtenstein</t>
        </is>
      </c>
      <c r="O130" s="67" t="inlineStr">
        <is>
          <t>LIE</t>
        </is>
      </c>
      <c r="P130" s="67" t="inlineStr">
        <is>
          <t>CHF</t>
        </is>
      </c>
      <c r="Q130" s="67" t="inlineStr"/>
      <c r="R130" s="65" t="inlineStr"/>
      <c r="S130" s="65" t="n">
        <v>0.885177129</v>
      </c>
      <c r="T130" s="69" t="inlineStr"/>
      <c r="U130" s="66" t="inlineStr">
        <is>
          <t>no World Bank PPP</t>
        </is>
      </c>
    </row>
    <row r="131">
      <c r="I131" s="13" t="inlineStr">
        <is>
          <t>SZL</t>
        </is>
      </c>
      <c r="J131" s="64" t="n">
        <v>0.06087436266239165</v>
      </c>
      <c r="K131" s="65" t="n">
        <v>16.42727671</v>
      </c>
      <c r="L131" s="66" t="inlineStr">
        <is>
          <t>2026-09-25</t>
        </is>
      </c>
      <c r="N131" s="4" t="inlineStr">
        <is>
          <t>Lithuania</t>
        </is>
      </c>
      <c r="O131" s="67" t="inlineStr">
        <is>
          <t>LTU</t>
        </is>
      </c>
      <c r="P131" s="67" t="inlineStr">
        <is>
          <t>EUR</t>
        </is>
      </c>
      <c r="Q131" s="67" t="n">
        <v>2024</v>
      </c>
      <c r="R131" s="65" t="n">
        <v>0.49104</v>
      </c>
      <c r="S131" s="65" t="n">
        <v>0.926404983</v>
      </c>
      <c r="T131" s="68" t="n">
        <v>0.53</v>
      </c>
      <c r="U131" s="66" t="inlineStr"/>
    </row>
    <row r="132">
      <c r="I132" s="13" t="inlineStr">
        <is>
          <t>THB</t>
        </is>
      </c>
      <c r="J132" s="64" t="n">
        <v>0.02989438267070372</v>
      </c>
      <c r="K132" s="65" t="n">
        <v>33.45110053</v>
      </c>
      <c r="L132" s="66" t="inlineStr">
        <is>
          <t>2026-09-25</t>
        </is>
      </c>
      <c r="N132" s="4" t="inlineStr">
        <is>
          <t>Luxembourg</t>
        </is>
      </c>
      <c r="O132" s="67" t="inlineStr">
        <is>
          <t>LUX</t>
        </is>
      </c>
      <c r="P132" s="67" t="inlineStr">
        <is>
          <t>EUR</t>
        </is>
      </c>
      <c r="Q132" s="67" t="n">
        <v>2024</v>
      </c>
      <c r="R132" s="65" t="n">
        <v>0.8155790000000001</v>
      </c>
      <c r="S132" s="65" t="n">
        <v>0.926404983</v>
      </c>
      <c r="T132" s="68" t="n">
        <v>0.8804</v>
      </c>
      <c r="U132" s="66" t="inlineStr"/>
    </row>
    <row r="133">
      <c r="I133" s="13" t="inlineStr">
        <is>
          <t>TJS</t>
        </is>
      </c>
      <c r="J133" s="64" t="n">
        <v>0.108477866702738</v>
      </c>
      <c r="K133" s="65" t="n">
        <v>9.21847037</v>
      </c>
      <c r="L133" s="66" t="inlineStr">
        <is>
          <t>2026-09-25</t>
        </is>
      </c>
      <c r="N133" s="4" t="inlineStr">
        <is>
          <t>Macao</t>
        </is>
      </c>
      <c r="O133" s="67" t="inlineStr">
        <is>
          <t>MAC</t>
        </is>
      </c>
      <c r="P133" s="67" t="inlineStr">
        <is>
          <t>MOP</t>
        </is>
      </c>
      <c r="Q133" s="67" t="n">
        <v>2024</v>
      </c>
      <c r="R133" s="65" t="n">
        <v>4.55805241034254</v>
      </c>
      <c r="S133" s="65" t="n">
        <v>8.034563695999999</v>
      </c>
      <c r="T133" s="68" t="n">
        <v>0.5673</v>
      </c>
      <c r="U133" s="66" t="inlineStr"/>
    </row>
    <row r="134">
      <c r="I134" s="13" t="inlineStr">
        <is>
          <t>TMT</t>
        </is>
      </c>
      <c r="J134" s="64" t="n">
        <v>0.2849053052402077</v>
      </c>
      <c r="K134" s="65" t="n">
        <v>3.50993815</v>
      </c>
      <c r="L134" s="66" t="inlineStr">
        <is>
          <t>2026-09-25</t>
        </is>
      </c>
      <c r="N134" s="4" t="inlineStr">
        <is>
          <t>Madagascar</t>
        </is>
      </c>
      <c r="O134" s="67" t="inlineStr">
        <is>
          <t>MDG</t>
        </is>
      </c>
      <c r="P134" s="67" t="inlineStr">
        <is>
          <t>MGA</t>
        </is>
      </c>
      <c r="Q134" s="67" t="n">
        <v>2024</v>
      </c>
      <c r="R134" s="65" t="n">
        <v>1309.39787463694</v>
      </c>
      <c r="S134" s="65" t="n">
        <v>4539.899740839</v>
      </c>
      <c r="T134" s="68" t="n">
        <v>0.2884</v>
      </c>
      <c r="U134" s="66" t="inlineStr"/>
    </row>
    <row r="135">
      <c r="I135" s="13" t="inlineStr">
        <is>
          <t>TND</t>
        </is>
      </c>
      <c r="J135" s="64" t="n">
        <v>0.3381031757273945</v>
      </c>
      <c r="K135" s="65" t="n">
        <v>2.95767704</v>
      </c>
      <c r="L135" s="66" t="inlineStr">
        <is>
          <t>2026-09-25</t>
        </is>
      </c>
      <c r="N135" s="4" t="inlineStr">
        <is>
          <t>Malawi</t>
        </is>
      </c>
      <c r="O135" s="67" t="inlineStr">
        <is>
          <t>MWI</t>
        </is>
      </c>
      <c r="P135" s="67" t="inlineStr">
        <is>
          <t>MWK</t>
        </is>
      </c>
      <c r="Q135" s="67" t="n">
        <v>2024</v>
      </c>
      <c r="R135" s="65" t="n">
        <v>489.016043071952</v>
      </c>
      <c r="S135" s="65" t="n">
        <v>1729.709467495</v>
      </c>
      <c r="T135" s="68" t="n">
        <v>0.2827</v>
      </c>
      <c r="U135" s="66" t="inlineStr"/>
    </row>
    <row r="136">
      <c r="I136" s="13" t="inlineStr">
        <is>
          <t>TOP</t>
        </is>
      </c>
      <c r="J136" s="64" t="n">
        <v>0.4152373815359932</v>
      </c>
      <c r="K136" s="65" t="n">
        <v>2.40826102</v>
      </c>
      <c r="L136" s="66" t="inlineStr">
        <is>
          <t>2026-09-25</t>
        </is>
      </c>
      <c r="N136" s="4" t="inlineStr">
        <is>
          <t>Malaysia</t>
        </is>
      </c>
      <c r="O136" s="67" t="inlineStr">
        <is>
          <t>MYS</t>
        </is>
      </c>
      <c r="P136" s="67" t="inlineStr">
        <is>
          <t>MYR</t>
        </is>
      </c>
      <c r="Q136" s="67" t="n">
        <v>2024</v>
      </c>
      <c r="R136" s="65" t="n">
        <v>1.40132714240358</v>
      </c>
      <c r="S136" s="65" t="n">
        <v>4.556388986</v>
      </c>
      <c r="T136" s="68" t="n">
        <v>0.3076</v>
      </c>
      <c r="U136" s="66" t="inlineStr"/>
    </row>
    <row r="137">
      <c r="I137" s="13" t="inlineStr">
        <is>
          <t>TTD</t>
        </is>
      </c>
      <c r="J137" s="64" t="n">
        <v>0.1470662395608155</v>
      </c>
      <c r="K137" s="65" t="n">
        <v>6.7996571</v>
      </c>
      <c r="L137" s="66" t="inlineStr">
        <is>
          <t>2026-09-25</t>
        </is>
      </c>
      <c r="N137" s="4" t="inlineStr">
        <is>
          <t>Maldives</t>
        </is>
      </c>
      <c r="O137" s="67" t="inlineStr">
        <is>
          <t>MDV</t>
        </is>
      </c>
      <c r="P137" s="67" t="inlineStr">
        <is>
          <t>MVR</t>
        </is>
      </c>
      <c r="Q137" s="67" t="n">
        <v>2024</v>
      </c>
      <c r="R137" s="65" t="n">
        <v>7.86384927688972</v>
      </c>
      <c r="S137" s="65" t="n">
        <v>15.428567373</v>
      </c>
      <c r="T137" s="68" t="n">
        <v>0.5097</v>
      </c>
      <c r="U137" s="66" t="inlineStr"/>
    </row>
    <row r="138">
      <c r="I138" s="13" t="inlineStr">
        <is>
          <t>TWD</t>
        </is>
      </c>
      <c r="J138" s="64" t="n">
        <v>0.03146400967888818</v>
      </c>
      <c r="K138" s="65" t="n">
        <v>31.78234466</v>
      </c>
      <c r="L138" s="66" t="inlineStr">
        <is>
          <t>2026-09-25</t>
        </is>
      </c>
      <c r="N138" s="4" t="inlineStr">
        <is>
          <t>Mali</t>
        </is>
      </c>
      <c r="O138" s="67" t="inlineStr">
        <is>
          <t>MLI</t>
        </is>
      </c>
      <c r="P138" s="67" t="inlineStr">
        <is>
          <t>XOF</t>
        </is>
      </c>
      <c r="Q138" s="67" t="n">
        <v>2024</v>
      </c>
      <c r="R138" s="65" t="n">
        <v>200.230096581045</v>
      </c>
      <c r="S138" s="65" t="n">
        <v>607.681834032</v>
      </c>
      <c r="T138" s="68" t="n">
        <v>0.3295</v>
      </c>
      <c r="U138" s="66" t="inlineStr"/>
    </row>
    <row r="139">
      <c r="I139" s="13" t="inlineStr">
        <is>
          <t>TZS</t>
        </is>
      </c>
      <c r="J139" s="64" t="n">
        <v>0.0003778648071049794</v>
      </c>
      <c r="K139" s="65" t="n">
        <v>2646.44915641</v>
      </c>
      <c r="L139" s="66" t="inlineStr">
        <is>
          <t>2026-09-25</t>
        </is>
      </c>
      <c r="N139" s="4" t="inlineStr">
        <is>
          <t>Malta</t>
        </is>
      </c>
      <c r="O139" s="67" t="inlineStr">
        <is>
          <t>MLT</t>
        </is>
      </c>
      <c r="P139" s="67" t="inlineStr">
        <is>
          <t>EUR</t>
        </is>
      </c>
      <c r="Q139" s="67" t="n">
        <v>2024</v>
      </c>
      <c r="R139" s="65" t="n">
        <v>0.580522225637102</v>
      </c>
      <c r="S139" s="65" t="n">
        <v>0.926404983</v>
      </c>
      <c r="T139" s="68" t="n">
        <v>0.6266</v>
      </c>
      <c r="U139" s="66" t="inlineStr"/>
    </row>
    <row r="140">
      <c r="I140" s="13" t="inlineStr">
        <is>
          <t>UAH</t>
        </is>
      </c>
      <c r="J140" s="64" t="n">
        <v>0.02223813630697707</v>
      </c>
      <c r="K140" s="65" t="n">
        <v>44.96779704</v>
      </c>
      <c r="L140" s="66" t="inlineStr">
        <is>
          <t>2026-09-25</t>
        </is>
      </c>
      <c r="N140" s="4" t="inlineStr">
        <is>
          <t>Marshall Islands</t>
        </is>
      </c>
      <c r="O140" s="67" t="inlineStr">
        <is>
          <t>MHL</t>
        </is>
      </c>
      <c r="P140" s="67" t="inlineStr">
        <is>
          <t>USD</t>
        </is>
      </c>
      <c r="Q140" s="67" t="n">
        <v>2024</v>
      </c>
      <c r="R140" s="65" t="n">
        <v>0.942852652244908</v>
      </c>
      <c r="S140" s="65" t="n">
        <v>1</v>
      </c>
      <c r="T140" s="68" t="n">
        <v>0.9429</v>
      </c>
      <c r="U140" s="66" t="inlineStr"/>
    </row>
    <row r="141">
      <c r="I141" s="13" t="inlineStr">
        <is>
          <t>UGX</t>
        </is>
      </c>
      <c r="J141" s="64" t="n">
        <v>0.0002545583311327778</v>
      </c>
      <c r="K141" s="65" t="n">
        <v>3928.37270558</v>
      </c>
      <c r="L141" s="66" t="inlineStr">
        <is>
          <t>2026-09-25</t>
        </is>
      </c>
      <c r="N141" s="4" t="inlineStr">
        <is>
          <t>Martinique</t>
        </is>
      </c>
      <c r="O141" s="67" t="inlineStr">
        <is>
          <t>MTQ</t>
        </is>
      </c>
      <c r="P141" s="67" t="inlineStr">
        <is>
          <t>EUR</t>
        </is>
      </c>
      <c r="Q141" s="67" t="inlineStr"/>
      <c r="R141" s="65" t="inlineStr"/>
      <c r="S141" s="65" t="n">
        <v>0.926404983</v>
      </c>
      <c r="T141" s="69" t="inlineStr"/>
      <c r="U141" s="66" t="inlineStr">
        <is>
          <t>no World Bank PPP</t>
        </is>
      </c>
    </row>
    <row r="142">
      <c r="I142" s="13" t="inlineStr">
        <is>
          <t>USD</t>
        </is>
      </c>
      <c r="J142" s="64" t="n">
        <v>1</v>
      </c>
      <c r="K142" s="65" t="n">
        <v>1</v>
      </c>
      <c r="L142" s="66" t="inlineStr">
        <is>
          <t>2026-09-25</t>
        </is>
      </c>
      <c r="N142" s="4" t="inlineStr">
        <is>
          <t>Mauritania</t>
        </is>
      </c>
      <c r="O142" s="67" t="inlineStr">
        <is>
          <t>MRT</t>
        </is>
      </c>
      <c r="P142" s="67" t="inlineStr">
        <is>
          <t>MRU</t>
        </is>
      </c>
      <c r="Q142" s="67" t="n">
        <v>2024</v>
      </c>
      <c r="R142" s="65" t="n">
        <v>11.3448905855963</v>
      </c>
      <c r="S142" s="65" t="n">
        <v>39.761641533</v>
      </c>
      <c r="T142" s="68" t="n">
        <v>0.2853</v>
      </c>
      <c r="U142" s="66" t="inlineStr"/>
    </row>
    <row r="143">
      <c r="I143" s="13" t="inlineStr">
        <is>
          <t>UYU</t>
        </is>
      </c>
      <c r="J143" s="64" t="n">
        <v>0.02496226261926367</v>
      </c>
      <c r="K143" s="65" t="n">
        <v>40.06047109</v>
      </c>
      <c r="L143" s="66" t="inlineStr">
        <is>
          <t>2026-09-25</t>
        </is>
      </c>
      <c r="N143" s="4" t="inlineStr">
        <is>
          <t>Mauritius</t>
        </is>
      </c>
      <c r="O143" s="67" t="inlineStr">
        <is>
          <t>MUS</t>
        </is>
      </c>
      <c r="P143" s="67" t="inlineStr">
        <is>
          <t>MUR</t>
        </is>
      </c>
      <c r="Q143" s="67" t="n">
        <v>2024</v>
      </c>
      <c r="R143" s="65" t="n">
        <v>17.4796592721433</v>
      </c>
      <c r="S143" s="65" t="n">
        <v>46.439555434</v>
      </c>
      <c r="T143" s="68" t="n">
        <v>0.3764</v>
      </c>
      <c r="U143" s="66" t="inlineStr"/>
    </row>
    <row r="144">
      <c r="I144" s="13" t="inlineStr">
        <is>
          <t>UZS</t>
        </is>
      </c>
      <c r="J144" s="64" t="n">
        <v>8.463288114081365e-05</v>
      </c>
      <c r="K144" s="65" t="n">
        <v>11815.7385938</v>
      </c>
      <c r="L144" s="66" t="inlineStr">
        <is>
          <t>2026-09-25</t>
        </is>
      </c>
      <c r="N144" s="4" t="inlineStr">
        <is>
          <t>Mayotte</t>
        </is>
      </c>
      <c r="O144" s="67" t="inlineStr">
        <is>
          <t>MYT</t>
        </is>
      </c>
      <c r="P144" s="67" t="inlineStr">
        <is>
          <t>EUR</t>
        </is>
      </c>
      <c r="Q144" s="67" t="inlineStr"/>
      <c r="R144" s="65" t="inlineStr"/>
      <c r="S144" s="65" t="n">
        <v>0.926404983</v>
      </c>
      <c r="T144" s="69" t="inlineStr"/>
      <c r="U144" s="66" t="inlineStr">
        <is>
          <t>no World Bank PPP</t>
        </is>
      </c>
    </row>
    <row r="145">
      <c r="I145" s="13" t="inlineStr">
        <is>
          <t>VES</t>
        </is>
      </c>
      <c r="J145" s="64" t="n">
        <v>0.001171905665928491</v>
      </c>
      <c r="K145" s="65" t="n">
        <v>853.31100367</v>
      </c>
      <c r="L145" s="66" t="inlineStr">
        <is>
          <t>2026-09-25</t>
        </is>
      </c>
      <c r="N145" s="4" t="inlineStr">
        <is>
          <t>Mexico</t>
        </is>
      </c>
      <c r="O145" s="67" t="inlineStr">
        <is>
          <t>MEX</t>
        </is>
      </c>
      <c r="P145" s="67" t="inlineStr">
        <is>
          <t>MXN</t>
        </is>
      </c>
      <c r="Q145" s="67" t="n">
        <v>2024</v>
      </c>
      <c r="R145" s="65" t="n">
        <v>9.916562000000001</v>
      </c>
      <c r="S145" s="65" t="n">
        <v>18.438340854</v>
      </c>
      <c r="T145" s="68" t="n">
        <v>0.5377999999999999</v>
      </c>
      <c r="U145" s="66" t="inlineStr"/>
    </row>
    <row r="146">
      <c r="I146" s="13" t="inlineStr">
        <is>
          <t>VND</t>
        </is>
      </c>
      <c r="J146" s="64" t="n">
        <v>3.849039994550423e-05</v>
      </c>
      <c r="K146" s="65" t="n">
        <v>25980.50426641</v>
      </c>
      <c r="L146" s="66" t="inlineStr">
        <is>
          <t>2026-09-25</t>
        </is>
      </c>
      <c r="N146" s="4" t="inlineStr">
        <is>
          <t>Micronesia</t>
        </is>
      </c>
      <c r="O146" s="67" t="inlineStr">
        <is>
          <t>FSM</t>
        </is>
      </c>
      <c r="P146" s="67" t="inlineStr">
        <is>
          <t>USD</t>
        </is>
      </c>
      <c r="Q146" s="67" t="n">
        <v>2024</v>
      </c>
      <c r="R146" s="65" t="n">
        <v>0.958397910812363</v>
      </c>
      <c r="S146" s="65" t="n">
        <v>1</v>
      </c>
      <c r="T146" s="68" t="n">
        <v>0.9584</v>
      </c>
      <c r="U146" s="66" t="inlineStr"/>
    </row>
    <row r="147">
      <c r="I147" s="13" t="inlineStr">
        <is>
          <t>VUV</t>
        </is>
      </c>
      <c r="J147" s="64" t="n">
        <v>0.008438363928427424</v>
      </c>
      <c r="K147" s="65" t="n">
        <v>118.50638447</v>
      </c>
      <c r="L147" s="66" t="inlineStr">
        <is>
          <t>2026-09-25</t>
        </is>
      </c>
      <c r="N147" s="4" t="inlineStr">
        <is>
          <t>Moldova</t>
        </is>
      </c>
      <c r="O147" s="67" t="inlineStr">
        <is>
          <t>MDA</t>
        </is>
      </c>
      <c r="P147" s="67" t="inlineStr">
        <is>
          <t>MDL</t>
        </is>
      </c>
      <c r="Q147" s="67" t="n">
        <v>2024</v>
      </c>
      <c r="R147" s="65" t="n">
        <v>7.2411629601227</v>
      </c>
      <c r="S147" s="65" t="n">
        <v>17.717822273</v>
      </c>
      <c r="T147" s="68" t="n">
        <v>0.4087</v>
      </c>
      <c r="U147" s="66" t="inlineStr"/>
    </row>
    <row r="148">
      <c r="I148" s="13" t="inlineStr">
        <is>
          <t>WST</t>
        </is>
      </c>
      <c r="J148" s="64" t="n">
        <v>0.3615994424194454</v>
      </c>
      <c r="K148" s="65" t="n">
        <v>2.76549099</v>
      </c>
      <c r="L148" s="66" t="inlineStr">
        <is>
          <t>2026-09-25</t>
        </is>
      </c>
      <c r="N148" s="4" t="inlineStr">
        <is>
          <t>Monaco</t>
        </is>
      </c>
      <c r="O148" s="67" t="inlineStr">
        <is>
          <t>MCO</t>
        </is>
      </c>
      <c r="P148" s="67" t="inlineStr">
        <is>
          <t>EUR</t>
        </is>
      </c>
      <c r="Q148" s="67" t="inlineStr"/>
      <c r="R148" s="65" t="inlineStr"/>
      <c r="S148" s="65" t="n">
        <v>0.926404983</v>
      </c>
      <c r="T148" s="69" t="inlineStr"/>
      <c r="U148" s="66" t="inlineStr">
        <is>
          <t>no World Bank PPP</t>
        </is>
      </c>
    </row>
    <row r="149">
      <c r="I149" s="13" t="inlineStr">
        <is>
          <t>XAF</t>
        </is>
      </c>
      <c r="J149" s="64" t="n">
        <v>0.001733292470075906</v>
      </c>
      <c r="K149" s="65" t="n">
        <v>576.9366781799999</v>
      </c>
      <c r="L149" s="66" t="inlineStr">
        <is>
          <t>2026-09-25</t>
        </is>
      </c>
      <c r="N149" s="4" t="inlineStr">
        <is>
          <t>Mongolia</t>
        </is>
      </c>
      <c r="O149" s="67" t="inlineStr">
        <is>
          <t>MNG</t>
        </is>
      </c>
      <c r="P149" s="67" t="inlineStr">
        <is>
          <t>MNT</t>
        </is>
      </c>
      <c r="Q149" s="67" t="n">
        <v>2024</v>
      </c>
      <c r="R149" s="65" t="n">
        <v>1195.34284153461</v>
      </c>
      <c r="S149" s="65" t="n">
        <v>3396.180178852</v>
      </c>
      <c r="T149" s="68" t="n">
        <v>0.352</v>
      </c>
      <c r="U149" s="66" t="inlineStr"/>
    </row>
    <row r="150">
      <c r="I150" s="13" t="inlineStr">
        <is>
          <t>XCD</t>
        </is>
      </c>
      <c r="J150" s="64" t="n">
        <v>0.3693672700987746</v>
      </c>
      <c r="K150" s="65" t="n">
        <v>2.70733246</v>
      </c>
      <c r="L150" s="66" t="inlineStr">
        <is>
          <t>2026-09-25</t>
        </is>
      </c>
      <c r="N150" s="4" t="inlineStr">
        <is>
          <t>Montenegro</t>
        </is>
      </c>
      <c r="O150" s="67" t="inlineStr">
        <is>
          <t>MNE</t>
        </is>
      </c>
      <c r="P150" s="67" t="inlineStr">
        <is>
          <t>EUR</t>
        </is>
      </c>
      <c r="Q150" s="67" t="n">
        <v>2024</v>
      </c>
      <c r="R150" s="65" t="n">
        <v>0.359929249277126</v>
      </c>
      <c r="S150" s="65" t="n">
        <v>0.926404983</v>
      </c>
      <c r="T150" s="68" t="n">
        <v>0.3885</v>
      </c>
      <c r="U150" s="66" t="inlineStr"/>
    </row>
    <row r="151">
      <c r="I151" s="13" t="inlineStr">
        <is>
          <t>XCG</t>
        </is>
      </c>
      <c r="J151" s="64" t="n">
        <v>0.5548795581205541</v>
      </c>
      <c r="K151" s="65" t="n">
        <v>1.8021929</v>
      </c>
      <c r="L151" s="66" t="inlineStr">
        <is>
          <t>2026-09-25</t>
        </is>
      </c>
      <c r="N151" s="4" t="inlineStr">
        <is>
          <t>Montserrat</t>
        </is>
      </c>
      <c r="O151" s="67" t="inlineStr">
        <is>
          <t>MSR</t>
        </is>
      </c>
      <c r="P151" s="67" t="inlineStr">
        <is>
          <t>XCD</t>
        </is>
      </c>
      <c r="Q151" s="67" t="inlineStr"/>
      <c r="R151" s="65" t="inlineStr"/>
      <c r="S151" s="65" t="n">
        <v>2.701791065</v>
      </c>
      <c r="T151" s="69" t="inlineStr"/>
      <c r="U151" s="66" t="inlineStr">
        <is>
          <t>no World Bank PPP</t>
        </is>
      </c>
    </row>
    <row r="152">
      <c r="I152" s="13" t="inlineStr">
        <is>
          <t>XOF</t>
        </is>
      </c>
      <c r="J152" s="64" t="n">
        <v>0.001733292470075906</v>
      </c>
      <c r="K152" s="65" t="n">
        <v>576.9366781799999</v>
      </c>
      <c r="L152" s="66" t="inlineStr">
        <is>
          <t>2026-09-25</t>
        </is>
      </c>
      <c r="N152" s="4" t="inlineStr">
        <is>
          <t>Morocco</t>
        </is>
      </c>
      <c r="O152" s="67" t="inlineStr">
        <is>
          <t>MAR</t>
        </is>
      </c>
      <c r="P152" s="67" t="inlineStr">
        <is>
          <t>MAD</t>
        </is>
      </c>
      <c r="Q152" s="67" t="n">
        <v>2024</v>
      </c>
      <c r="R152" s="65" t="n">
        <v>3.96453983304242</v>
      </c>
      <c r="S152" s="65" t="n">
        <v>9.920130111000001</v>
      </c>
      <c r="T152" s="68" t="n">
        <v>0.3996</v>
      </c>
      <c r="U152" s="66" t="inlineStr"/>
    </row>
    <row r="153">
      <c r="I153" s="13" t="inlineStr">
        <is>
          <t>XPF</t>
        </is>
      </c>
      <c r="J153" s="64" t="n">
        <v>0.009527769455350558</v>
      </c>
      <c r="K153" s="65" t="n">
        <v>104.9563599</v>
      </c>
      <c r="L153" s="66" t="inlineStr">
        <is>
          <t>2026-09-25</t>
        </is>
      </c>
      <c r="N153" s="4" t="inlineStr">
        <is>
          <t>Mozambique</t>
        </is>
      </c>
      <c r="O153" s="67" t="inlineStr">
        <is>
          <t>MOZ</t>
        </is>
      </c>
      <c r="P153" s="67" t="inlineStr">
        <is>
          <t>MZN</t>
        </is>
      </c>
      <c r="Q153" s="67" t="n">
        <v>2024</v>
      </c>
      <c r="R153" s="65" t="n">
        <v>24.6111381541877</v>
      </c>
      <c r="S153" s="65" t="n">
        <v>63.830607889</v>
      </c>
      <c r="T153" s="68" t="n">
        <v>0.3856</v>
      </c>
      <c r="U153" s="66" t="inlineStr"/>
    </row>
    <row r="154">
      <c r="I154" s="13" t="inlineStr">
        <is>
          <t>YER</t>
        </is>
      </c>
      <c r="J154" s="64" t="n">
        <v>0.004226751145873927</v>
      </c>
      <c r="K154" s="65" t="n">
        <v>236.5883312</v>
      </c>
      <c r="L154" s="66" t="inlineStr">
        <is>
          <t>2026-09-25</t>
        </is>
      </c>
      <c r="N154" s="4" t="inlineStr">
        <is>
          <t>Myanmar</t>
        </is>
      </c>
      <c r="O154" s="67" t="inlineStr">
        <is>
          <t>MMR</t>
        </is>
      </c>
      <c r="P154" s="67" t="inlineStr">
        <is>
          <t>MMK</t>
        </is>
      </c>
      <c r="Q154" s="67" t="n">
        <v>2024</v>
      </c>
      <c r="R154" s="65" t="n">
        <v>475.868546974899</v>
      </c>
      <c r="S154" s="65" t="n">
        <v>2098.389352563</v>
      </c>
      <c r="T154" s="68" t="n">
        <v>0.2268</v>
      </c>
      <c r="U154" s="66" t="inlineStr"/>
    </row>
    <row r="155">
      <c r="I155" s="13" t="inlineStr">
        <is>
          <t>ZAR</t>
        </is>
      </c>
      <c r="J155" s="64" t="n">
        <v>0.06087436266239165</v>
      </c>
      <c r="K155" s="65" t="n">
        <v>16.42727671</v>
      </c>
      <c r="L155" s="66" t="inlineStr">
        <is>
          <t>2026-09-25</t>
        </is>
      </c>
      <c r="N155" s="4" t="inlineStr">
        <is>
          <t>Namibia</t>
        </is>
      </c>
      <c r="O155" s="67" t="inlineStr">
        <is>
          <t>NAM</t>
        </is>
      </c>
      <c r="P155" s="67" t="inlineStr">
        <is>
          <t>NAD</t>
        </is>
      </c>
      <c r="Q155" s="67" t="n">
        <v>2024</v>
      </c>
      <c r="R155" s="65" t="n">
        <v>6.92131935400361</v>
      </c>
      <c r="S155" s="65" t="n">
        <v>18.191628042</v>
      </c>
      <c r="T155" s="68" t="n">
        <v>0.3805</v>
      </c>
      <c r="U155" s="66" t="inlineStr"/>
    </row>
    <row r="156">
      <c r="I156" s="13" t="inlineStr">
        <is>
          <t>ZMW</t>
        </is>
      </c>
      <c r="J156" s="64" t="n">
        <v>0.05115056662582376</v>
      </c>
      <c r="K156" s="65" t="n">
        <v>19.55012556</v>
      </c>
      <c r="L156" s="66" t="inlineStr">
        <is>
          <t>2026-09-25</t>
        </is>
      </c>
      <c r="N156" s="4" t="inlineStr">
        <is>
          <t>Nauru</t>
        </is>
      </c>
      <c r="O156" s="67" t="inlineStr">
        <is>
          <t>NRU</t>
        </is>
      </c>
      <c r="P156" s="67" t="inlineStr">
        <is>
          <t>AUD</t>
        </is>
      </c>
      <c r="Q156" s="67" t="n">
        <v>2024</v>
      </c>
      <c r="R156" s="65" t="n">
        <v>1.46463963215346</v>
      </c>
      <c r="S156" s="65" t="n">
        <v>1.518557254</v>
      </c>
      <c r="T156" s="68" t="n">
        <v>0.9645</v>
      </c>
      <c r="U156" s="66" t="inlineStr"/>
    </row>
    <row r="157">
      <c r="I157" s="13" t="inlineStr">
        <is>
          <t>ZWG</t>
        </is>
      </c>
      <c r="J157" s="64" t="n">
        <v>0.03754176260643988</v>
      </c>
      <c r="K157" s="65" t="n">
        <v>26.63700185</v>
      </c>
      <c r="L157" s="66" t="inlineStr">
        <is>
          <t>2026-09-25</t>
        </is>
      </c>
      <c r="N157" s="4" t="inlineStr">
        <is>
          <t>Nepal</t>
        </is>
      </c>
      <c r="O157" s="67" t="inlineStr">
        <is>
          <t>NPL</t>
        </is>
      </c>
      <c r="P157" s="67" t="inlineStr">
        <is>
          <t>NPR</t>
        </is>
      </c>
      <c r="Q157" s="67" t="n">
        <v>2024</v>
      </c>
      <c r="R157" s="65" t="n">
        <v>33.5637990824022</v>
      </c>
      <c r="S157" s="65" t="n">
        <v>134.168361096</v>
      </c>
      <c r="T157" s="68" t="n">
        <v>0.2502</v>
      </c>
      <c r="U157" s="66" t="inlineStr"/>
    </row>
    <row r="158">
      <c r="N158" s="4" t="inlineStr">
        <is>
          <t>Netherlands</t>
        </is>
      </c>
      <c r="O158" s="67" t="inlineStr">
        <is>
          <t>NLD</t>
        </is>
      </c>
      <c r="P158" s="67" t="inlineStr">
        <is>
          <t>EUR</t>
        </is>
      </c>
      <c r="Q158" s="67" t="n">
        <v>2024</v>
      </c>
      <c r="R158" s="65" t="n">
        <v>0.731421</v>
      </c>
      <c r="S158" s="65" t="n">
        <v>0.926404983</v>
      </c>
      <c r="T158" s="68" t="n">
        <v>0.7895</v>
      </c>
      <c r="U158" s="66" t="inlineStr"/>
    </row>
    <row r="159">
      <c r="N159" s="4" t="inlineStr">
        <is>
          <t>New Caledonia</t>
        </is>
      </c>
      <c r="O159" s="67" t="inlineStr">
        <is>
          <t>NCL</t>
        </is>
      </c>
      <c r="P159" s="67" t="inlineStr">
        <is>
          <t>XPF</t>
        </is>
      </c>
      <c r="Q159" s="67" t="inlineStr"/>
      <c r="R159" s="65" t="inlineStr"/>
      <c r="S159" s="65" t="n">
        <v>110.549520753</v>
      </c>
      <c r="T159" s="69" t="inlineStr"/>
      <c r="U159" s="66" t="inlineStr">
        <is>
          <t>no World Bank PPP</t>
        </is>
      </c>
    </row>
    <row r="160">
      <c r="N160" s="4" t="inlineStr">
        <is>
          <t>New Zealand</t>
        </is>
      </c>
      <c r="O160" s="67" t="inlineStr">
        <is>
          <t>NZL</t>
        </is>
      </c>
      <c r="P160" s="67" t="inlineStr">
        <is>
          <t>NZD</t>
        </is>
      </c>
      <c r="Q160" s="67" t="n">
        <v>2024</v>
      </c>
      <c r="R160" s="65" t="n">
        <v>1.463912</v>
      </c>
      <c r="S160" s="65" t="n">
        <v>1.662468254</v>
      </c>
      <c r="T160" s="68" t="n">
        <v>0.8806</v>
      </c>
      <c r="U160" s="66" t="inlineStr"/>
    </row>
    <row r="161">
      <c r="N161" s="4" t="inlineStr">
        <is>
          <t>Nicaragua</t>
        </is>
      </c>
      <c r="O161" s="67" t="inlineStr">
        <is>
          <t>NIC</t>
        </is>
      </c>
      <c r="P161" s="67" t="inlineStr">
        <is>
          <t>NIO</t>
        </is>
      </c>
      <c r="Q161" s="67" t="n">
        <v>2024</v>
      </c>
      <c r="R161" s="65" t="n">
        <v>11.9751457059146</v>
      </c>
      <c r="S161" s="65" t="n">
        <v>36.74983615</v>
      </c>
      <c r="T161" s="68" t="n">
        <v>0.3259</v>
      </c>
      <c r="U161" s="66" t="inlineStr"/>
    </row>
    <row r="162">
      <c r="N162" s="4" t="inlineStr">
        <is>
          <t>Niger</t>
        </is>
      </c>
      <c r="O162" s="67" t="inlineStr">
        <is>
          <t>NER</t>
        </is>
      </c>
      <c r="P162" s="67" t="inlineStr">
        <is>
          <t>XOF</t>
        </is>
      </c>
      <c r="Q162" s="67" t="n">
        <v>2024</v>
      </c>
      <c r="R162" s="65" t="n">
        <v>217.484010909486</v>
      </c>
      <c r="S162" s="65" t="n">
        <v>607.681834032</v>
      </c>
      <c r="T162" s="68" t="n">
        <v>0.3579</v>
      </c>
      <c r="U162" s="66" t="inlineStr"/>
    </row>
    <row r="163">
      <c r="N163" s="4" t="inlineStr">
        <is>
          <t>Nigeria</t>
        </is>
      </c>
      <c r="O163" s="67" t="inlineStr">
        <is>
          <t>NGA</t>
        </is>
      </c>
      <c r="P163" s="67" t="inlineStr">
        <is>
          <t>NGN</t>
        </is>
      </c>
      <c r="Q163" s="67" t="n">
        <v>2024</v>
      </c>
      <c r="R163" s="65" t="n">
        <v>176.331472743819</v>
      </c>
      <c r="S163" s="65" t="n">
        <v>1540.069273051</v>
      </c>
      <c r="T163" s="68" t="n">
        <v>0.1145</v>
      </c>
      <c r="U163" s="66" t="inlineStr"/>
    </row>
    <row r="164">
      <c r="N164" s="4" t="inlineStr">
        <is>
          <t>Niue</t>
        </is>
      </c>
      <c r="O164" s="67" t="inlineStr">
        <is>
          <t>NIU</t>
        </is>
      </c>
      <c r="P164" s="67" t="inlineStr">
        <is>
          <t>NZD</t>
        </is>
      </c>
      <c r="Q164" s="67" t="inlineStr"/>
      <c r="R164" s="65" t="inlineStr"/>
      <c r="S164" s="65" t="n">
        <v>1.662468254</v>
      </c>
      <c r="T164" s="69" t="inlineStr"/>
      <c r="U164" s="66" t="inlineStr">
        <is>
          <t>no World Bank PPP</t>
        </is>
      </c>
    </row>
    <row r="165">
      <c r="N165" s="4" t="inlineStr">
        <is>
          <t>Norfolk Island</t>
        </is>
      </c>
      <c r="O165" s="67" t="inlineStr">
        <is>
          <t>NFK</t>
        </is>
      </c>
      <c r="P165" s="67" t="inlineStr">
        <is>
          <t>AUD</t>
        </is>
      </c>
      <c r="Q165" s="67" t="inlineStr"/>
      <c r="R165" s="65" t="inlineStr"/>
      <c r="S165" s="65" t="n">
        <v>1.518557254</v>
      </c>
      <c r="T165" s="69" t="inlineStr"/>
      <c r="U165" s="66" t="inlineStr">
        <is>
          <t>no World Bank PPP</t>
        </is>
      </c>
    </row>
    <row r="166">
      <c r="N166" s="4" t="inlineStr">
        <is>
          <t>North Korea</t>
        </is>
      </c>
      <c r="O166" s="67" t="inlineStr">
        <is>
          <t>PRK</t>
        </is>
      </c>
      <c r="P166" s="67" t="inlineStr">
        <is>
          <t>KPW</t>
        </is>
      </c>
      <c r="Q166" s="67" t="inlineStr"/>
      <c r="R166" s="65" t="inlineStr"/>
      <c r="S166" s="65" t="n">
        <v>899.982910228</v>
      </c>
      <c r="T166" s="69" t="inlineStr"/>
      <c r="U166" s="66" t="inlineStr">
        <is>
          <t>no World Bank PPP</t>
        </is>
      </c>
    </row>
    <row r="167">
      <c r="N167" s="4" t="inlineStr">
        <is>
          <t>North Macedonia</t>
        </is>
      </c>
      <c r="O167" s="67" t="inlineStr">
        <is>
          <t>MKD</t>
        </is>
      </c>
      <c r="P167" s="67" t="inlineStr">
        <is>
          <t>MKD</t>
        </is>
      </c>
      <c r="Q167" s="67" t="n">
        <v>2024</v>
      </c>
      <c r="R167" s="65" t="n">
        <v>19.575621107299</v>
      </c>
      <c r="S167" s="65" t="n">
        <v>56.98616816</v>
      </c>
      <c r="T167" s="68" t="n">
        <v>0.3435</v>
      </c>
      <c r="U167" s="66" t="inlineStr"/>
    </row>
    <row r="168">
      <c r="N168" s="4" t="inlineStr">
        <is>
          <t>Northern Mariana Islands</t>
        </is>
      </c>
      <c r="O168" s="67" t="inlineStr">
        <is>
          <t>MNP</t>
        </is>
      </c>
      <c r="P168" s="67" t="inlineStr">
        <is>
          <t>USD</t>
        </is>
      </c>
      <c r="Q168" s="67" t="inlineStr"/>
      <c r="R168" s="65" t="inlineStr"/>
      <c r="S168" s="65" t="n">
        <v>1</v>
      </c>
      <c r="T168" s="69" t="inlineStr"/>
      <c r="U168" s="66" t="inlineStr">
        <is>
          <t>no World Bank PPP</t>
        </is>
      </c>
    </row>
    <row r="169">
      <c r="N169" s="4" t="inlineStr">
        <is>
          <t>Norway</t>
        </is>
      </c>
      <c r="O169" s="67" t="inlineStr">
        <is>
          <t>NOR</t>
        </is>
      </c>
      <c r="P169" s="67" t="inlineStr">
        <is>
          <t>NOK</t>
        </is>
      </c>
      <c r="Q169" s="67" t="n">
        <v>2024</v>
      </c>
      <c r="R169" s="65" t="n">
        <v>9.142143000000001</v>
      </c>
      <c r="S169" s="65" t="n">
        <v>10.818263922</v>
      </c>
      <c r="T169" s="68" t="n">
        <v>0.8451</v>
      </c>
      <c r="U169" s="66" t="inlineStr"/>
    </row>
    <row r="170">
      <c r="N170" s="4" t="inlineStr">
        <is>
          <t>Oman</t>
        </is>
      </c>
      <c r="O170" s="67" t="inlineStr">
        <is>
          <t>OMN</t>
        </is>
      </c>
      <c r="P170" s="67" t="inlineStr">
        <is>
          <t>OMR</t>
        </is>
      </c>
      <c r="Q170" s="67" t="n">
        <v>2024</v>
      </c>
      <c r="R170" s="65" t="n">
        <v>0.186862455706877</v>
      </c>
      <c r="S170" s="65" t="n">
        <v>0.384987095</v>
      </c>
      <c r="T170" s="68" t="n">
        <v>0.4854</v>
      </c>
      <c r="U170" s="66" t="inlineStr"/>
    </row>
    <row r="171">
      <c r="N171" s="4" t="inlineStr">
        <is>
          <t>Pakistan</t>
        </is>
      </c>
      <c r="O171" s="67" t="inlineStr">
        <is>
          <t>PAK</t>
        </is>
      </c>
      <c r="P171" s="67" t="inlineStr">
        <is>
          <t>PKR</t>
        </is>
      </c>
      <c r="Q171" s="67" t="n">
        <v>2024</v>
      </c>
      <c r="R171" s="65" t="n">
        <v>66.95914941272569</v>
      </c>
      <c r="S171" s="65" t="n">
        <v>278.328783739</v>
      </c>
      <c r="T171" s="68" t="n">
        <v>0.2406</v>
      </c>
      <c r="U171" s="66" t="inlineStr"/>
    </row>
    <row r="172">
      <c r="N172" s="4" t="inlineStr">
        <is>
          <t>Palau</t>
        </is>
      </c>
      <c r="O172" s="67" t="inlineStr">
        <is>
          <t>PLW</t>
        </is>
      </c>
      <c r="P172" s="67" t="inlineStr">
        <is>
          <t>USD</t>
        </is>
      </c>
      <c r="Q172" s="67" t="n">
        <v>2023</v>
      </c>
      <c r="R172" s="65" t="n">
        <v>0.85631333549309</v>
      </c>
      <c r="S172" s="65" t="n">
        <v>1</v>
      </c>
      <c r="T172" s="68" t="n">
        <v>0.8563</v>
      </c>
      <c r="U172" s="66" t="inlineStr"/>
    </row>
    <row r="173">
      <c r="N173" s="4" t="inlineStr">
        <is>
          <t>Panama</t>
        </is>
      </c>
      <c r="O173" s="67" t="inlineStr">
        <is>
          <t>PAN</t>
        </is>
      </c>
      <c r="P173" s="67" t="inlineStr">
        <is>
          <t>PAB</t>
        </is>
      </c>
      <c r="Q173" s="67" t="n">
        <v>2024</v>
      </c>
      <c r="R173" s="65" t="n">
        <v>0.463173466609024</v>
      </c>
      <c r="S173" s="65" t="n">
        <v>1</v>
      </c>
      <c r="T173" s="68" t="n">
        <v>0.4632</v>
      </c>
      <c r="U173" s="66" t="inlineStr"/>
    </row>
    <row r="174">
      <c r="N174" s="4" t="inlineStr">
        <is>
          <t>Papua New Guinea</t>
        </is>
      </c>
      <c r="O174" s="67" t="inlineStr">
        <is>
          <t>PNG</t>
        </is>
      </c>
      <c r="P174" s="67" t="inlineStr">
        <is>
          <t>PGK</t>
        </is>
      </c>
      <c r="Q174" s="67" t="n">
        <v>2024</v>
      </c>
      <c r="R174" s="65" t="n">
        <v>2.37637373433914</v>
      </c>
      <c r="S174" s="65" t="n">
        <v>3.884249824</v>
      </c>
      <c r="T174" s="68" t="n">
        <v>0.6118</v>
      </c>
      <c r="U174" s="66" t="inlineStr"/>
    </row>
    <row r="175">
      <c r="N175" s="4" t="inlineStr">
        <is>
          <t>Paraguay</t>
        </is>
      </c>
      <c r="O175" s="67" t="inlineStr">
        <is>
          <t>PRY</t>
        </is>
      </c>
      <c r="P175" s="67" t="inlineStr">
        <is>
          <t>PYG</t>
        </is>
      </c>
      <c r="Q175" s="67" t="n">
        <v>2024</v>
      </c>
      <c r="R175" s="65" t="n">
        <v>2618.66324027055</v>
      </c>
      <c r="S175" s="65" t="n">
        <v>7617.051348559</v>
      </c>
      <c r="T175" s="68" t="n">
        <v>0.3438</v>
      </c>
      <c r="U175" s="66" t="inlineStr"/>
    </row>
    <row r="176">
      <c r="N176" s="4" t="inlineStr">
        <is>
          <t>Peru</t>
        </is>
      </c>
      <c r="O176" s="67" t="inlineStr">
        <is>
          <t>PER</t>
        </is>
      </c>
      <c r="P176" s="67" t="inlineStr">
        <is>
          <t>PEN</t>
        </is>
      </c>
      <c r="Q176" s="67" t="n">
        <v>2024</v>
      </c>
      <c r="R176" s="65" t="n">
        <v>1.78230274124247</v>
      </c>
      <c r="S176" s="65" t="n">
        <v>3.739342069</v>
      </c>
      <c r="T176" s="68" t="n">
        <v>0.4766</v>
      </c>
      <c r="U176" s="66" t="inlineStr"/>
    </row>
    <row r="177">
      <c r="N177" s="4" t="inlineStr">
        <is>
          <t>Philippines</t>
        </is>
      </c>
      <c r="O177" s="67" t="inlineStr">
        <is>
          <t>PHL</t>
        </is>
      </c>
      <c r="P177" s="67" t="inlineStr">
        <is>
          <t>PHP</t>
        </is>
      </c>
      <c r="Q177" s="67" t="n">
        <v>2024</v>
      </c>
      <c r="R177" s="65" t="n">
        <v>19.35653268202</v>
      </c>
      <c r="S177" s="65" t="n">
        <v>57.544266469</v>
      </c>
      <c r="T177" s="68" t="n">
        <v>0.3364</v>
      </c>
      <c r="U177" s="66" t="inlineStr"/>
    </row>
    <row r="178">
      <c r="N178" s="4" t="inlineStr">
        <is>
          <t>Pitcairn</t>
        </is>
      </c>
      <c r="O178" s="67" t="inlineStr">
        <is>
          <t>PCN</t>
        </is>
      </c>
      <c r="P178" s="67" t="inlineStr">
        <is>
          <t>NZD</t>
        </is>
      </c>
      <c r="Q178" s="67" t="inlineStr"/>
      <c r="R178" s="65" t="inlineStr"/>
      <c r="S178" s="65" t="n">
        <v>1.662468254</v>
      </c>
      <c r="T178" s="69" t="inlineStr"/>
      <c r="U178" s="66" t="inlineStr">
        <is>
          <t>no World Bank PPP</t>
        </is>
      </c>
    </row>
    <row r="179">
      <c r="N179" s="4" t="inlineStr">
        <is>
          <t>Poland</t>
        </is>
      </c>
      <c r="O179" s="67" t="inlineStr">
        <is>
          <t>POL</t>
        </is>
      </c>
      <c r="P179" s="67" t="inlineStr">
        <is>
          <t>PLN</t>
        </is>
      </c>
      <c r="Q179" s="67" t="n">
        <v>2024</v>
      </c>
      <c r="R179" s="65" t="n">
        <v>1.949414</v>
      </c>
      <c r="S179" s="65" t="n">
        <v>3.978479924</v>
      </c>
      <c r="T179" s="68" t="n">
        <v>0.49</v>
      </c>
      <c r="U179" s="66" t="inlineStr"/>
    </row>
    <row r="180">
      <c r="N180" s="4" t="inlineStr">
        <is>
          <t>Portugal</t>
        </is>
      </c>
      <c r="O180" s="67" t="inlineStr">
        <is>
          <t>PRT</t>
        </is>
      </c>
      <c r="P180" s="67" t="inlineStr">
        <is>
          <t>EUR</t>
        </is>
      </c>
      <c r="Q180" s="67" t="n">
        <v>2024</v>
      </c>
      <c r="R180" s="65" t="n">
        <v>0.515993</v>
      </c>
      <c r="S180" s="65" t="n">
        <v>0.926404983</v>
      </c>
      <c r="T180" s="68" t="n">
        <v>0.5570000000000001</v>
      </c>
      <c r="U180" s="66" t="inlineStr"/>
    </row>
    <row r="181">
      <c r="N181" s="4" t="inlineStr">
        <is>
          <t>Puerto Rico</t>
        </is>
      </c>
      <c r="O181" s="67" t="inlineStr">
        <is>
          <t>PRI</t>
        </is>
      </c>
      <c r="P181" s="67" t="inlineStr">
        <is>
          <t>USD</t>
        </is>
      </c>
      <c r="Q181" s="67" t="n">
        <v>2024</v>
      </c>
      <c r="R181" s="65" t="n">
        <v>0.782993024701742</v>
      </c>
      <c r="S181" s="65" t="n">
        <v>1</v>
      </c>
      <c r="T181" s="68" t="n">
        <v>0.783</v>
      </c>
      <c r="U181" s="66" t="inlineStr"/>
    </row>
    <row r="182">
      <c r="N182" s="4" t="inlineStr">
        <is>
          <t>Qatar</t>
        </is>
      </c>
      <c r="O182" s="67" t="inlineStr">
        <is>
          <t>QAT</t>
        </is>
      </c>
      <c r="P182" s="67" t="inlineStr">
        <is>
          <t>QAR</t>
        </is>
      </c>
      <c r="Q182" s="67" t="n">
        <v>2024</v>
      </c>
      <c r="R182" s="65" t="n">
        <v>2.21463640986909</v>
      </c>
      <c r="S182" s="65" t="n">
        <v>3.64</v>
      </c>
      <c r="T182" s="68" t="n">
        <v>0.6084000000000001</v>
      </c>
      <c r="U182" s="66" t="inlineStr"/>
    </row>
    <row r="183">
      <c r="N183" s="4" t="inlineStr">
        <is>
          <t>Romania</t>
        </is>
      </c>
      <c r="O183" s="67" t="inlineStr">
        <is>
          <t>ROU</t>
        </is>
      </c>
      <c r="P183" s="67" t="inlineStr">
        <is>
          <t>RON</t>
        </is>
      </c>
      <c r="Q183" s="67" t="n">
        <v>2024</v>
      </c>
      <c r="R183" s="65" t="n">
        <v>1.88148626695853</v>
      </c>
      <c r="S183" s="65" t="n">
        <v>4.608341604</v>
      </c>
      <c r="T183" s="68" t="n">
        <v>0.4083</v>
      </c>
      <c r="U183" s="66" t="inlineStr"/>
    </row>
    <row r="184">
      <c r="N184" s="4" t="inlineStr">
        <is>
          <t>Russia</t>
        </is>
      </c>
      <c r="O184" s="67" t="inlineStr">
        <is>
          <t>RUS</t>
        </is>
      </c>
      <c r="P184" s="67" t="inlineStr">
        <is>
          <t>RUB</t>
        </is>
      </c>
      <c r="Q184" s="67" t="n">
        <v>2024</v>
      </c>
      <c r="R184" s="65" t="n">
        <v>29.0629745679481</v>
      </c>
      <c r="S184" s="65" t="n">
        <v>93.00664340100001</v>
      </c>
      <c r="T184" s="68" t="n">
        <v>0.3125</v>
      </c>
      <c r="U184" s="66" t="inlineStr"/>
    </row>
    <row r="185">
      <c r="N185" s="4" t="inlineStr">
        <is>
          <t>Rwanda</t>
        </is>
      </c>
      <c r="O185" s="67" t="inlineStr">
        <is>
          <t>RWA</t>
        </is>
      </c>
      <c r="P185" s="67" t="inlineStr">
        <is>
          <t>RWF</t>
        </is>
      </c>
      <c r="Q185" s="67" t="n">
        <v>2024</v>
      </c>
      <c r="R185" s="65" t="n">
        <v>355.085581602396</v>
      </c>
      <c r="S185" s="65" t="n">
        <v>1324.304830794</v>
      </c>
      <c r="T185" s="68" t="n">
        <v>0.2681</v>
      </c>
      <c r="U185" s="66" t="inlineStr"/>
    </row>
    <row r="186">
      <c r="N186" s="4" t="inlineStr">
        <is>
          <t>Réunion</t>
        </is>
      </c>
      <c r="O186" s="67" t="inlineStr">
        <is>
          <t>REU</t>
        </is>
      </c>
      <c r="P186" s="67" t="inlineStr">
        <is>
          <t>EUR</t>
        </is>
      </c>
      <c r="Q186" s="67" t="inlineStr"/>
      <c r="R186" s="65" t="inlineStr"/>
      <c r="S186" s="65" t="n">
        <v>0.926404983</v>
      </c>
      <c r="T186" s="69" t="inlineStr"/>
      <c r="U186" s="66" t="inlineStr">
        <is>
          <t>no World Bank PPP</t>
        </is>
      </c>
    </row>
    <row r="187">
      <c r="N187" s="4" t="inlineStr">
        <is>
          <t>Samoa</t>
        </is>
      </c>
      <c r="O187" s="67" t="inlineStr">
        <is>
          <t>WSM</t>
        </is>
      </c>
      <c r="P187" s="67" t="inlineStr">
        <is>
          <t>WST</t>
        </is>
      </c>
      <c r="Q187" s="67" t="n">
        <v>2024</v>
      </c>
      <c r="R187" s="65" t="n">
        <v>1.70117853616414</v>
      </c>
      <c r="S187" s="65" t="n">
        <v>2.746093539</v>
      </c>
      <c r="T187" s="68" t="n">
        <v>0.6195000000000001</v>
      </c>
      <c r="U187" s="66" t="inlineStr"/>
    </row>
    <row r="188">
      <c r="N188" s="4" t="inlineStr">
        <is>
          <t>San Marino</t>
        </is>
      </c>
      <c r="O188" s="67" t="inlineStr">
        <is>
          <t>SMR</t>
        </is>
      </c>
      <c r="P188" s="67" t="inlineStr">
        <is>
          <t>EUR</t>
        </is>
      </c>
      <c r="Q188" s="67" t="n">
        <v>2023</v>
      </c>
      <c r="R188" s="65" t="n">
        <v>0.703169345202151</v>
      </c>
      <c r="S188" s="65" t="n">
        <v>0.926404983</v>
      </c>
      <c r="T188" s="68" t="n">
        <v>0.759</v>
      </c>
      <c r="U188" s="66" t="inlineStr"/>
    </row>
    <row r="189">
      <c r="N189" s="4" t="inlineStr">
        <is>
          <t>Saudi Arabia</t>
        </is>
      </c>
      <c r="O189" s="67" t="inlineStr">
        <is>
          <t>SAU</t>
        </is>
      </c>
      <c r="P189" s="67" t="inlineStr">
        <is>
          <t>SAR</t>
        </is>
      </c>
      <c r="Q189" s="67" t="n">
        <v>2024</v>
      </c>
      <c r="R189" s="65" t="n">
        <v>1.84526161631689</v>
      </c>
      <c r="S189" s="65" t="n">
        <v>3.75</v>
      </c>
      <c r="T189" s="68" t="n">
        <v>0.4921</v>
      </c>
      <c r="U189" s="66" t="inlineStr"/>
    </row>
    <row r="190">
      <c r="N190" s="4" t="inlineStr">
        <is>
          <t>Senegal</t>
        </is>
      </c>
      <c r="O190" s="67" t="inlineStr">
        <is>
          <t>SEN</t>
        </is>
      </c>
      <c r="P190" s="67" t="inlineStr">
        <is>
          <t>XOF</t>
        </is>
      </c>
      <c r="Q190" s="67" t="n">
        <v>2024</v>
      </c>
      <c r="R190" s="65" t="n">
        <v>212.040442650725</v>
      </c>
      <c r="S190" s="65" t="n">
        <v>607.681834032</v>
      </c>
      <c r="T190" s="68" t="n">
        <v>0.3489</v>
      </c>
      <c r="U190" s="66" t="inlineStr"/>
    </row>
    <row r="191">
      <c r="N191" s="4" t="inlineStr">
        <is>
          <t>Serbia</t>
        </is>
      </c>
      <c r="O191" s="67" t="inlineStr">
        <is>
          <t>SRB</t>
        </is>
      </c>
      <c r="P191" s="67" t="inlineStr">
        <is>
          <t>RSD</t>
        </is>
      </c>
      <c r="Q191" s="67" t="n">
        <v>2024</v>
      </c>
      <c r="R191" s="65" t="n">
        <v>45.078998701649</v>
      </c>
      <c r="S191" s="65" t="n">
        <v>108.486096059</v>
      </c>
      <c r="T191" s="68" t="n">
        <v>0.4155</v>
      </c>
      <c r="U191" s="66" t="inlineStr"/>
    </row>
    <row r="192">
      <c r="N192" s="4" t="inlineStr">
        <is>
          <t>Seychelles</t>
        </is>
      </c>
      <c r="O192" s="67" t="inlineStr">
        <is>
          <t>SYC</t>
        </is>
      </c>
      <c r="P192" s="67" t="inlineStr">
        <is>
          <t>SCR</t>
        </is>
      </c>
      <c r="Q192" s="67" t="n">
        <v>2024</v>
      </c>
      <c r="R192" s="65" t="n">
        <v>7.80668759041487</v>
      </c>
      <c r="S192" s="65" t="n">
        <v>14.390021626</v>
      </c>
      <c r="T192" s="68" t="n">
        <v>0.5425</v>
      </c>
      <c r="U192" s="66" t="inlineStr"/>
    </row>
    <row r="193">
      <c r="N193" s="4" t="inlineStr">
        <is>
          <t>Sierra Leone</t>
        </is>
      </c>
      <c r="O193" s="67" t="inlineStr">
        <is>
          <t>SLE</t>
        </is>
      </c>
      <c r="P193" s="67" t="inlineStr">
        <is>
          <t>SLE</t>
        </is>
      </c>
      <c r="Q193" s="67" t="n">
        <v>2024</v>
      </c>
      <c r="R193" s="65" t="n">
        <v>5.17268406300254</v>
      </c>
      <c r="S193" s="65" t="n">
        <v>22.626054858</v>
      </c>
      <c r="T193" s="68" t="n">
        <v>0.2286</v>
      </c>
      <c r="U193" s="66" t="inlineStr"/>
    </row>
    <row r="194">
      <c r="N194" s="4" t="inlineStr">
        <is>
          <t>Singapore</t>
        </is>
      </c>
      <c r="O194" s="67" t="inlineStr">
        <is>
          <t>SGP</t>
        </is>
      </c>
      <c r="P194" s="67" t="inlineStr">
        <is>
          <t>SGD</t>
        </is>
      </c>
      <c r="Q194" s="67" t="n">
        <v>2024</v>
      </c>
      <c r="R194" s="65" t="n">
        <v>0.804049648989492</v>
      </c>
      <c r="S194" s="65" t="n">
        <v>1.336400184</v>
      </c>
      <c r="T194" s="68" t="n">
        <v>0.6017</v>
      </c>
      <c r="U194" s="66" t="inlineStr"/>
    </row>
    <row r="195">
      <c r="N195" s="4" t="inlineStr">
        <is>
          <t>Sint Maarten</t>
        </is>
      </c>
      <c r="O195" s="67" t="inlineStr">
        <is>
          <t>SXM</t>
        </is>
      </c>
      <c r="P195" s="67" t="inlineStr">
        <is>
          <t>XCG</t>
        </is>
      </c>
      <c r="Q195" s="67" t="n">
        <v>2024</v>
      </c>
      <c r="R195" s="65" t="n">
        <v>1.38065436506043</v>
      </c>
      <c r="S195" s="65" t="inlineStr"/>
      <c r="T195" s="69" t="inlineStr"/>
      <c r="U195" s="66" t="inlineStr">
        <is>
          <t>no 2024 FX average</t>
        </is>
      </c>
    </row>
    <row r="196">
      <c r="N196" s="4" t="inlineStr">
        <is>
          <t>Slovakia</t>
        </is>
      </c>
      <c r="O196" s="67" t="inlineStr">
        <is>
          <t>SVK</t>
        </is>
      </c>
      <c r="P196" s="67" t="inlineStr">
        <is>
          <t>EUR</t>
        </is>
      </c>
      <c r="Q196" s="67" t="inlineStr"/>
      <c r="R196" s="65" t="inlineStr"/>
      <c r="S196" s="65" t="n">
        <v>0.926404983</v>
      </c>
      <c r="T196" s="69" t="inlineStr"/>
      <c r="U196" s="66" t="inlineStr">
        <is>
          <t>no World Bank PPP</t>
        </is>
      </c>
    </row>
    <row r="197">
      <c r="N197" s="4" t="inlineStr">
        <is>
          <t>Slovenia</t>
        </is>
      </c>
      <c r="O197" s="67" t="inlineStr">
        <is>
          <t>SVN</t>
        </is>
      </c>
      <c r="P197" s="67" t="inlineStr">
        <is>
          <t>EUR</t>
        </is>
      </c>
      <c r="Q197" s="67" t="n">
        <v>2024</v>
      </c>
      <c r="R197" s="65" t="n">
        <v>0.550461</v>
      </c>
      <c r="S197" s="65" t="n">
        <v>0.926404983</v>
      </c>
      <c r="T197" s="68" t="n">
        <v>0.5942</v>
      </c>
      <c r="U197" s="66" t="inlineStr"/>
    </row>
    <row r="198">
      <c r="N198" s="4" t="inlineStr">
        <is>
          <t>Solomon Islands</t>
        </is>
      </c>
      <c r="O198" s="67" t="inlineStr">
        <is>
          <t>SLB</t>
        </is>
      </c>
      <c r="P198" s="67" t="inlineStr">
        <is>
          <t>SBD</t>
        </is>
      </c>
      <c r="Q198" s="67" t="n">
        <v>2024</v>
      </c>
      <c r="R198" s="65" t="n">
        <v>6.11160632540053</v>
      </c>
      <c r="S198" s="65" t="n">
        <v>8.353184827</v>
      </c>
      <c r="T198" s="68" t="n">
        <v>0.7316</v>
      </c>
      <c r="U198" s="66" t="inlineStr"/>
    </row>
    <row r="199">
      <c r="N199" s="4" t="inlineStr">
        <is>
          <t>Somalia</t>
        </is>
      </c>
      <c r="O199" s="67" t="inlineStr">
        <is>
          <t>SOM</t>
        </is>
      </c>
      <c r="P199" s="67" t="inlineStr">
        <is>
          <t>SOS</t>
        </is>
      </c>
      <c r="Q199" s="67" t="n">
        <v>2024</v>
      </c>
      <c r="R199" s="65" t="n">
        <v>11049.7242096074</v>
      </c>
      <c r="S199" s="65" t="n">
        <v>571.1301517429999</v>
      </c>
      <c r="T199" s="69" t="inlineStr"/>
      <c r="U199" s="66" t="inlineStr">
        <is>
          <t>price level 19.35 implausible (currency / inflation): not used</t>
        </is>
      </c>
    </row>
    <row r="200">
      <c r="N200" s="4" t="inlineStr">
        <is>
          <t>South Africa</t>
        </is>
      </c>
      <c r="O200" s="67" t="inlineStr">
        <is>
          <t>ZAF</t>
        </is>
      </c>
      <c r="P200" s="67" t="inlineStr">
        <is>
          <t>ZAR</t>
        </is>
      </c>
      <c r="Q200" s="67" t="n">
        <v>2024</v>
      </c>
      <c r="R200" s="65" t="n">
        <v>7.43191283878561</v>
      </c>
      <c r="S200" s="65" t="n">
        <v>18.191628042</v>
      </c>
      <c r="T200" s="68" t="n">
        <v>0.4085</v>
      </c>
      <c r="U200" s="66" t="inlineStr"/>
    </row>
    <row r="201">
      <c r="N201" s="4" t="inlineStr">
        <is>
          <t>South Korea</t>
        </is>
      </c>
      <c r="O201" s="67" t="inlineStr">
        <is>
          <t>KOR</t>
        </is>
      </c>
      <c r="P201" s="67" t="inlineStr">
        <is>
          <t>KRW</t>
        </is>
      </c>
      <c r="Q201" s="67" t="n">
        <v>2024</v>
      </c>
      <c r="R201" s="65" t="n">
        <v>809.26722</v>
      </c>
      <c r="S201" s="65" t="n">
        <v>1372.886422917</v>
      </c>
      <c r="T201" s="68" t="n">
        <v>0.5895</v>
      </c>
      <c r="U201" s="66" t="inlineStr"/>
    </row>
    <row r="202">
      <c r="N202" s="4" t="inlineStr">
        <is>
          <t>South Sudan</t>
        </is>
      </c>
      <c r="O202" s="67" t="inlineStr">
        <is>
          <t>SSD</t>
        </is>
      </c>
      <c r="P202" s="67" t="inlineStr">
        <is>
          <t>SSP</t>
        </is>
      </c>
      <c r="Q202" s="67" t="n">
        <v>2021</v>
      </c>
      <c r="R202" s="65" t="n">
        <v>126.743049621582</v>
      </c>
      <c r="S202" s="65" t="inlineStr"/>
      <c r="T202" s="69" t="inlineStr"/>
      <c r="U202" s="66" t="inlineStr">
        <is>
          <t>no 2024 FX average</t>
        </is>
      </c>
    </row>
    <row r="203">
      <c r="N203" s="4" t="inlineStr">
        <is>
          <t>Spain</t>
        </is>
      </c>
      <c r="O203" s="67" t="inlineStr">
        <is>
          <t>ESP</t>
        </is>
      </c>
      <c r="P203" s="67" t="inlineStr">
        <is>
          <t>EUR</t>
        </is>
      </c>
      <c r="Q203" s="67" t="n">
        <v>2024</v>
      </c>
      <c r="R203" s="65" t="n">
        <v>0.562107</v>
      </c>
      <c r="S203" s="65" t="n">
        <v>0.926404983</v>
      </c>
      <c r="T203" s="68" t="n">
        <v>0.6068</v>
      </c>
      <c r="U203" s="66" t="inlineStr"/>
    </row>
    <row r="204">
      <c r="N204" s="4" t="inlineStr">
        <is>
          <t>Sri Lanka</t>
        </is>
      </c>
      <c r="O204" s="67" t="inlineStr">
        <is>
          <t>LKA</t>
        </is>
      </c>
      <c r="P204" s="67" t="inlineStr">
        <is>
          <t>LKR</t>
        </is>
      </c>
      <c r="Q204" s="67" t="n">
        <v>2024</v>
      </c>
      <c r="R204" s="65" t="n">
        <v>87.26860543987669</v>
      </c>
      <c r="S204" s="65" t="n">
        <v>298.681790652</v>
      </c>
      <c r="T204" s="68" t="n">
        <v>0.2922</v>
      </c>
      <c r="U204" s="66" t="inlineStr"/>
    </row>
    <row r="205">
      <c r="N205" s="4" t="inlineStr">
        <is>
          <t>St. Barthélemy</t>
        </is>
      </c>
      <c r="O205" s="67" t="inlineStr">
        <is>
          <t>BLM</t>
        </is>
      </c>
      <c r="P205" s="67" t="inlineStr">
        <is>
          <t>EUR</t>
        </is>
      </c>
      <c r="Q205" s="67" t="inlineStr"/>
      <c r="R205" s="65" t="inlineStr"/>
      <c r="S205" s="65" t="n">
        <v>0.926404983</v>
      </c>
      <c r="T205" s="69" t="inlineStr"/>
      <c r="U205" s="66" t="inlineStr">
        <is>
          <t>no World Bank PPP</t>
        </is>
      </c>
    </row>
    <row r="206">
      <c r="N206" s="4" t="inlineStr">
        <is>
          <t>St. Helena</t>
        </is>
      </c>
      <c r="O206" s="67" t="inlineStr">
        <is>
          <t>SHN</t>
        </is>
      </c>
      <c r="P206" s="67" t="inlineStr">
        <is>
          <t>SHP</t>
        </is>
      </c>
      <c r="Q206" s="67" t="inlineStr"/>
      <c r="R206" s="65" t="inlineStr"/>
      <c r="S206" s="65" t="n">
        <v>0.7830716049999999</v>
      </c>
      <c r="T206" s="69" t="inlineStr"/>
      <c r="U206" s="66" t="inlineStr">
        <is>
          <t>no World Bank PPP</t>
        </is>
      </c>
    </row>
    <row r="207">
      <c r="N207" s="4" t="inlineStr">
        <is>
          <t>St. Kitts &amp; Nevis</t>
        </is>
      </c>
      <c r="O207" s="67" t="inlineStr">
        <is>
          <t>KNA</t>
        </is>
      </c>
      <c r="P207" s="67" t="inlineStr">
        <is>
          <t>XCD</t>
        </is>
      </c>
      <c r="Q207" s="67" t="n">
        <v>2024</v>
      </c>
      <c r="R207" s="65" t="n">
        <v>1.85652998326696</v>
      </c>
      <c r="S207" s="65" t="n">
        <v>2.701791065</v>
      </c>
      <c r="T207" s="68" t="n">
        <v>0.6871</v>
      </c>
      <c r="U207" s="66" t="inlineStr"/>
    </row>
    <row r="208">
      <c r="N208" s="4" t="inlineStr">
        <is>
          <t>St. Lucia</t>
        </is>
      </c>
      <c r="O208" s="67" t="inlineStr">
        <is>
          <t>LCA</t>
        </is>
      </c>
      <c r="P208" s="67" t="inlineStr">
        <is>
          <t>XCD</t>
        </is>
      </c>
      <c r="Q208" s="67" t="n">
        <v>2024</v>
      </c>
      <c r="R208" s="65" t="n">
        <v>1.38897762585527</v>
      </c>
      <c r="S208" s="65" t="n">
        <v>2.701791065</v>
      </c>
      <c r="T208" s="68" t="n">
        <v>0.5141</v>
      </c>
      <c r="U208" s="66" t="inlineStr"/>
    </row>
    <row r="209">
      <c r="N209" s="4" t="inlineStr">
        <is>
          <t>St. Martin</t>
        </is>
      </c>
      <c r="O209" s="67" t="inlineStr">
        <is>
          <t>MAF</t>
        </is>
      </c>
      <c r="P209" s="67" t="inlineStr">
        <is>
          <t>EUR</t>
        </is>
      </c>
      <c r="Q209" s="67" t="inlineStr"/>
      <c r="R209" s="65" t="inlineStr"/>
      <c r="S209" s="65" t="n">
        <v>0.926404983</v>
      </c>
      <c r="T209" s="69" t="inlineStr"/>
      <c r="U209" s="66" t="inlineStr">
        <is>
          <t>no World Bank PPP</t>
        </is>
      </c>
    </row>
    <row r="210">
      <c r="N210" s="4" t="inlineStr">
        <is>
          <t>St. Pierre &amp; Miquelon</t>
        </is>
      </c>
      <c r="O210" s="67" t="inlineStr">
        <is>
          <t>SPM</t>
        </is>
      </c>
      <c r="P210" s="67" t="inlineStr">
        <is>
          <t>EUR</t>
        </is>
      </c>
      <c r="Q210" s="67" t="inlineStr"/>
      <c r="R210" s="65" t="inlineStr"/>
      <c r="S210" s="65" t="n">
        <v>0.926404983</v>
      </c>
      <c r="T210" s="69" t="inlineStr"/>
      <c r="U210" s="66" t="inlineStr">
        <is>
          <t>no World Bank PPP</t>
        </is>
      </c>
    </row>
    <row r="211">
      <c r="N211" s="4" t="inlineStr">
        <is>
          <t>St. Vincent &amp; Grenadines</t>
        </is>
      </c>
      <c r="O211" s="67" t="inlineStr">
        <is>
          <t>VCT</t>
        </is>
      </c>
      <c r="P211" s="67" t="inlineStr">
        <is>
          <t>XCD</t>
        </is>
      </c>
      <c r="Q211" s="67" t="n">
        <v>2024</v>
      </c>
      <c r="R211" s="65" t="n">
        <v>1.45981547183907</v>
      </c>
      <c r="S211" s="65" t="n">
        <v>2.701791065</v>
      </c>
      <c r="T211" s="68" t="n">
        <v>0.5403</v>
      </c>
      <c r="U211" s="66" t="inlineStr"/>
    </row>
    <row r="212">
      <c r="N212" s="4" t="inlineStr">
        <is>
          <t>Sudan</t>
        </is>
      </c>
      <c r="O212" s="67" t="inlineStr">
        <is>
          <t>SDN</t>
        </is>
      </c>
      <c r="P212" s="67" t="inlineStr">
        <is>
          <t>SDG</t>
        </is>
      </c>
      <c r="Q212" s="67" t="n">
        <v>2024</v>
      </c>
      <c r="R212" s="65" t="n">
        <v>729.4766873778771</v>
      </c>
      <c r="S212" s="65" t="n">
        <v>596.019758185</v>
      </c>
      <c r="T212" s="68" t="n">
        <v>1.2239</v>
      </c>
      <c r="U212" s="66" t="inlineStr"/>
    </row>
    <row r="213">
      <c r="N213" s="4" t="inlineStr">
        <is>
          <t>Suriname</t>
        </is>
      </c>
      <c r="O213" s="67" t="inlineStr">
        <is>
          <t>SUR</t>
        </is>
      </c>
      <c r="P213" s="67" t="inlineStr">
        <is>
          <t>SRD</t>
        </is>
      </c>
      <c r="Q213" s="67" t="n">
        <v>2024</v>
      </c>
      <c r="R213" s="65" t="n">
        <v>10.5958917756902</v>
      </c>
      <c r="S213" s="65" t="n">
        <v>32.523102166</v>
      </c>
      <c r="T213" s="68" t="n">
        <v>0.3258</v>
      </c>
      <c r="U213" s="66" t="inlineStr"/>
    </row>
    <row r="214">
      <c r="N214" s="4" t="inlineStr">
        <is>
          <t>Svalbard &amp; Jan Mayen</t>
        </is>
      </c>
      <c r="O214" s="67" t="inlineStr">
        <is>
          <t>SJM</t>
        </is>
      </c>
      <c r="P214" s="67" t="inlineStr">
        <is>
          <t>NOK</t>
        </is>
      </c>
      <c r="Q214" s="67" t="inlineStr"/>
      <c r="R214" s="65" t="inlineStr"/>
      <c r="S214" s="65" t="n">
        <v>10.818263922</v>
      </c>
      <c r="T214" s="69" t="inlineStr"/>
      <c r="U214" s="66" t="inlineStr">
        <is>
          <t>no World Bank PPP</t>
        </is>
      </c>
    </row>
    <row r="215">
      <c r="N215" s="4" t="inlineStr">
        <is>
          <t>Sweden</t>
        </is>
      </c>
      <c r="O215" s="67" t="inlineStr">
        <is>
          <t>SWE</t>
        </is>
      </c>
      <c r="P215" s="67" t="inlineStr">
        <is>
          <t>SEK</t>
        </is>
      </c>
      <c r="Q215" s="67" t="n">
        <v>2024</v>
      </c>
      <c r="R215" s="65" t="n">
        <v>8.490485</v>
      </c>
      <c r="S215" s="65" t="n">
        <v>10.622680242</v>
      </c>
      <c r="T215" s="68" t="n">
        <v>0.7993</v>
      </c>
      <c r="U215" s="66" t="inlineStr"/>
    </row>
    <row r="216">
      <c r="N216" s="4" t="inlineStr">
        <is>
          <t>Switzerland</t>
        </is>
      </c>
      <c r="O216" s="67" t="inlineStr">
        <is>
          <t>CHE</t>
        </is>
      </c>
      <c r="P216" s="67" t="inlineStr">
        <is>
          <t>CHF</t>
        </is>
      </c>
      <c r="Q216" s="67" t="n">
        <v>2024</v>
      </c>
      <c r="R216" s="65" t="n">
        <v>0.948875</v>
      </c>
      <c r="S216" s="65" t="n">
        <v>0.885177129</v>
      </c>
      <c r="T216" s="68" t="n">
        <v>1.072</v>
      </c>
      <c r="U216" s="66" t="inlineStr"/>
    </row>
    <row r="217">
      <c r="N217" s="4" t="inlineStr">
        <is>
          <t>Syria</t>
        </is>
      </c>
      <c r="O217" s="67" t="inlineStr">
        <is>
          <t>SYR</t>
        </is>
      </c>
      <c r="P217" s="67" t="inlineStr">
        <is>
          <t>SYP</t>
        </is>
      </c>
      <c r="Q217" s="67" t="n">
        <v>2023</v>
      </c>
      <c r="R217" s="65" t="n">
        <v>1757.52068232787</v>
      </c>
      <c r="S217" s="65" t="n">
        <v>13001.510392441</v>
      </c>
      <c r="T217" s="68" t="n">
        <v>0.1352</v>
      </c>
      <c r="U217" s="66" t="inlineStr"/>
    </row>
    <row r="218">
      <c r="N218" s="4" t="inlineStr">
        <is>
          <t>São Tomé &amp; Príncipe</t>
        </is>
      </c>
      <c r="O218" s="67" t="inlineStr">
        <is>
          <t>STP</t>
        </is>
      </c>
      <c r="P218" s="67" t="inlineStr">
        <is>
          <t>STN</t>
        </is>
      </c>
      <c r="Q218" s="67" t="n">
        <v>2024</v>
      </c>
      <c r="R218" s="65" t="n">
        <v>12.7576056454318</v>
      </c>
      <c r="S218" s="65" t="n">
        <v>22.79589432</v>
      </c>
      <c r="T218" s="68" t="n">
        <v>0.5596</v>
      </c>
      <c r="U218" s="66" t="inlineStr"/>
    </row>
    <row r="219">
      <c r="N219" s="4" t="inlineStr">
        <is>
          <t>Taiwan</t>
        </is>
      </c>
      <c r="O219" s="67" t="inlineStr">
        <is>
          <t>TWN</t>
        </is>
      </c>
      <c r="P219" s="67" t="inlineStr">
        <is>
          <t>TWD</t>
        </is>
      </c>
      <c r="Q219" s="67" t="inlineStr"/>
      <c r="R219" s="65" t="inlineStr"/>
      <c r="S219" s="65" t="n">
        <v>32.290808632</v>
      </c>
      <c r="T219" s="69" t="inlineStr"/>
      <c r="U219" s="66" t="inlineStr">
        <is>
          <t>no World Bank PPP</t>
        </is>
      </c>
    </row>
    <row r="220">
      <c r="N220" s="4" t="inlineStr">
        <is>
          <t>Tajikistan</t>
        </is>
      </c>
      <c r="O220" s="67" t="inlineStr">
        <is>
          <t>TJK</t>
        </is>
      </c>
      <c r="P220" s="67" t="inlineStr">
        <is>
          <t>TJS</t>
        </is>
      </c>
      <c r="Q220" s="67" t="n">
        <v>2024</v>
      </c>
      <c r="R220" s="65" t="n">
        <v>2.67931126140168</v>
      </c>
      <c r="S220" s="65" t="n">
        <v>10.766736</v>
      </c>
      <c r="T220" s="68" t="n">
        <v>0.2489</v>
      </c>
      <c r="U220" s="66" t="inlineStr"/>
    </row>
    <row r="221">
      <c r="N221" s="4" t="inlineStr">
        <is>
          <t>Tanzania</t>
        </is>
      </c>
      <c r="O221" s="67" t="inlineStr">
        <is>
          <t>TZA</t>
        </is>
      </c>
      <c r="P221" s="67" t="inlineStr">
        <is>
          <t>TZS</t>
        </is>
      </c>
      <c r="Q221" s="67" t="n">
        <v>2024</v>
      </c>
      <c r="R221" s="65" t="n">
        <v>730.424331119855</v>
      </c>
      <c r="S221" s="65" t="n">
        <v>2640.916430611</v>
      </c>
      <c r="T221" s="68" t="n">
        <v>0.2766</v>
      </c>
      <c r="U221" s="66" t="inlineStr"/>
    </row>
    <row r="222">
      <c r="N222" s="4" t="inlineStr">
        <is>
          <t>Thailand</t>
        </is>
      </c>
      <c r="O222" s="67" t="inlineStr">
        <is>
          <t>THA</t>
        </is>
      </c>
      <c r="P222" s="67" t="inlineStr">
        <is>
          <t>THB</t>
        </is>
      </c>
      <c r="Q222" s="67" t="n">
        <v>2024</v>
      </c>
      <c r="R222" s="65" t="n">
        <v>10.4923732985879</v>
      </c>
      <c r="S222" s="65" t="n">
        <v>35.2692068</v>
      </c>
      <c r="T222" s="68" t="n">
        <v>0.2975</v>
      </c>
      <c r="U222" s="66" t="inlineStr"/>
    </row>
    <row r="223">
      <c r="N223" s="4" t="inlineStr">
        <is>
          <t>Timor-Leste</t>
        </is>
      </c>
      <c r="O223" s="67" t="inlineStr">
        <is>
          <t>TLS</t>
        </is>
      </c>
      <c r="P223" s="67" t="inlineStr">
        <is>
          <t>USD</t>
        </is>
      </c>
      <c r="Q223" s="67" t="n">
        <v>2024</v>
      </c>
      <c r="R223" s="65" t="n">
        <v>0.301161456791842</v>
      </c>
      <c r="S223" s="65" t="n">
        <v>1</v>
      </c>
      <c r="T223" s="68" t="n">
        <v>0.3012</v>
      </c>
      <c r="U223" s="66" t="inlineStr"/>
    </row>
    <row r="224">
      <c r="N224" s="4" t="inlineStr">
        <is>
          <t>Togo</t>
        </is>
      </c>
      <c r="O224" s="67" t="inlineStr">
        <is>
          <t>TGO</t>
        </is>
      </c>
      <c r="P224" s="67" t="inlineStr">
        <is>
          <t>XOF</t>
        </is>
      </c>
      <c r="Q224" s="67" t="n">
        <v>2024</v>
      </c>
      <c r="R224" s="65" t="n">
        <v>201.675895153365</v>
      </c>
      <c r="S224" s="65" t="n">
        <v>607.681834032</v>
      </c>
      <c r="T224" s="68" t="n">
        <v>0.3319</v>
      </c>
      <c r="U224" s="66" t="inlineStr"/>
    </row>
    <row r="225">
      <c r="N225" s="4" t="inlineStr">
        <is>
          <t>Tokelau</t>
        </is>
      </c>
      <c r="O225" s="67" t="inlineStr">
        <is>
          <t>TKL</t>
        </is>
      </c>
      <c r="P225" s="67" t="inlineStr">
        <is>
          <t>NZD</t>
        </is>
      </c>
      <c r="Q225" s="67" t="inlineStr"/>
      <c r="R225" s="65" t="inlineStr"/>
      <c r="S225" s="65" t="n">
        <v>1.662468254</v>
      </c>
      <c r="T225" s="69" t="inlineStr"/>
      <c r="U225" s="66" t="inlineStr">
        <is>
          <t>no World Bank PPP</t>
        </is>
      </c>
    </row>
    <row r="226">
      <c r="N226" s="4" t="inlineStr">
        <is>
          <t>Tonga</t>
        </is>
      </c>
      <c r="O226" s="67" t="inlineStr">
        <is>
          <t>TON</t>
        </is>
      </c>
      <c r="P226" s="67" t="inlineStr">
        <is>
          <t>TOP</t>
        </is>
      </c>
      <c r="Q226" s="67" t="n">
        <v>2023</v>
      </c>
      <c r="R226" s="65" t="n">
        <v>1.71055911954168</v>
      </c>
      <c r="S226" s="65" t="n">
        <v>2.360240459</v>
      </c>
      <c r="T226" s="68" t="n">
        <v>0.7247</v>
      </c>
      <c r="U226" s="66" t="inlineStr"/>
    </row>
    <row r="227">
      <c r="N227" s="4" t="inlineStr">
        <is>
          <t>Trinidad &amp; Tobago</t>
        </is>
      </c>
      <c r="O227" s="67" t="inlineStr">
        <is>
          <t>TTO</t>
        </is>
      </c>
      <c r="P227" s="67" t="inlineStr">
        <is>
          <t>TTD</t>
        </is>
      </c>
      <c r="Q227" s="67" t="n">
        <v>2024</v>
      </c>
      <c r="R227" s="65" t="n">
        <v>3.48081488254357</v>
      </c>
      <c r="S227" s="65" t="n">
        <v>6.792250497</v>
      </c>
      <c r="T227" s="68" t="n">
        <v>0.5125</v>
      </c>
      <c r="U227" s="66" t="inlineStr"/>
    </row>
    <row r="228">
      <c r="N228" s="4" t="inlineStr">
        <is>
          <t>Tunisia</t>
        </is>
      </c>
      <c r="O228" s="67" t="inlineStr">
        <is>
          <t>TUN</t>
        </is>
      </c>
      <c r="P228" s="67" t="inlineStr">
        <is>
          <t>TND</t>
        </is>
      </c>
      <c r="Q228" s="67" t="n">
        <v>2024</v>
      </c>
      <c r="R228" s="65" t="n">
        <v>0.896141941458351</v>
      </c>
      <c r="S228" s="65" t="n">
        <v>3.103317654</v>
      </c>
      <c r="T228" s="68" t="n">
        <v>0.2888</v>
      </c>
      <c r="U228" s="66" t="inlineStr"/>
    </row>
    <row r="229">
      <c r="N229" s="4" t="inlineStr">
        <is>
          <t>Turkmenistan</t>
        </is>
      </c>
      <c r="O229" s="67" t="inlineStr">
        <is>
          <t>TKM</t>
        </is>
      </c>
      <c r="P229" s="67" t="inlineStr">
        <is>
          <t>TMT</t>
        </is>
      </c>
      <c r="Q229" s="67" t="n">
        <v>2024</v>
      </c>
      <c r="R229" s="65" t="n">
        <v>1.5118910193265</v>
      </c>
      <c r="S229" s="65" t="n">
        <v>3.5002251</v>
      </c>
      <c r="T229" s="68" t="n">
        <v>0.4319</v>
      </c>
      <c r="U229" s="66" t="inlineStr"/>
    </row>
    <row r="230">
      <c r="N230" s="4" t="inlineStr">
        <is>
          <t>Turks &amp; Caicos Islands</t>
        </is>
      </c>
      <c r="O230" s="67" t="inlineStr">
        <is>
          <t>TCA</t>
        </is>
      </c>
      <c r="P230" s="67" t="inlineStr">
        <is>
          <t>USD</t>
        </is>
      </c>
      <c r="Q230" s="67" t="n">
        <v>2024</v>
      </c>
      <c r="R230" s="65" t="n">
        <v>0.988206691271252</v>
      </c>
      <c r="S230" s="65" t="n">
        <v>1</v>
      </c>
      <c r="T230" s="68" t="n">
        <v>0.9882</v>
      </c>
      <c r="U230" s="66" t="inlineStr"/>
    </row>
    <row r="231">
      <c r="N231" s="4" t="inlineStr">
        <is>
          <t>Tuvalu</t>
        </is>
      </c>
      <c r="O231" s="67" t="inlineStr">
        <is>
          <t>TUV</t>
        </is>
      </c>
      <c r="P231" s="67" t="inlineStr">
        <is>
          <t>AUD</t>
        </is>
      </c>
      <c r="Q231" s="67" t="n">
        <v>2024</v>
      </c>
      <c r="R231" s="65" t="n">
        <v>1.57916853769056</v>
      </c>
      <c r="S231" s="65" t="n">
        <v>1.518557254</v>
      </c>
      <c r="T231" s="68" t="n">
        <v>1.0399</v>
      </c>
      <c r="U231" s="66" t="inlineStr"/>
    </row>
    <row r="232">
      <c r="N232" s="4" t="inlineStr">
        <is>
          <t>U.S. Outlying Islands</t>
        </is>
      </c>
      <c r="O232" s="67" t="inlineStr">
        <is>
          <t>UMI</t>
        </is>
      </c>
      <c r="P232" s="67" t="inlineStr">
        <is>
          <t>USD</t>
        </is>
      </c>
      <c r="Q232" s="67" t="inlineStr"/>
      <c r="R232" s="65" t="inlineStr"/>
      <c r="S232" s="65" t="n">
        <v>1</v>
      </c>
      <c r="T232" s="69" t="inlineStr"/>
      <c r="U232" s="66" t="inlineStr">
        <is>
          <t>no World Bank PPP</t>
        </is>
      </c>
    </row>
    <row r="233">
      <c r="N233" s="4" t="inlineStr">
        <is>
          <t>U.S. Virgin Islands</t>
        </is>
      </c>
      <c r="O233" s="67" t="inlineStr">
        <is>
          <t>VIR</t>
        </is>
      </c>
      <c r="P233" s="67" t="inlineStr">
        <is>
          <t>USD</t>
        </is>
      </c>
      <c r="Q233" s="67" t="n">
        <v>2022</v>
      </c>
      <c r="R233" s="65" t="n">
        <v>0.890102631117342</v>
      </c>
      <c r="S233" s="65" t="n">
        <v>1</v>
      </c>
      <c r="T233" s="69" t="inlineStr"/>
      <c r="U233" s="66" t="inlineStr">
        <is>
          <t>PPP 2022: too old, price level not used</t>
        </is>
      </c>
    </row>
    <row r="234">
      <c r="N234" s="4" t="inlineStr">
        <is>
          <t>United Kingdom</t>
        </is>
      </c>
      <c r="O234" s="67" t="inlineStr">
        <is>
          <t>GBR</t>
        </is>
      </c>
      <c r="P234" s="67" t="inlineStr">
        <is>
          <t>GBP</t>
        </is>
      </c>
      <c r="Q234" s="67" t="n">
        <v>2024</v>
      </c>
      <c r="R234" s="65" t="n">
        <v>0.664153</v>
      </c>
      <c r="S234" s="65" t="n">
        <v>0.7830716049999999</v>
      </c>
      <c r="T234" s="68" t="n">
        <v>0.8481</v>
      </c>
      <c r="U234" s="66" t="inlineStr"/>
    </row>
    <row r="235">
      <c r="N235" s="4" t="inlineStr">
        <is>
          <t>United States</t>
        </is>
      </c>
      <c r="O235" s="67" t="inlineStr">
        <is>
          <t>USA</t>
        </is>
      </c>
      <c r="P235" s="67" t="inlineStr">
        <is>
          <t>USD</t>
        </is>
      </c>
      <c r="Q235" s="67" t="n">
        <v>2024</v>
      </c>
      <c r="R235" s="65" t="n">
        <v>1</v>
      </c>
      <c r="S235" s="65" t="n">
        <v>1</v>
      </c>
      <c r="T235" s="68" t="n">
        <v>1</v>
      </c>
      <c r="U235" s="66" t="inlineStr"/>
    </row>
    <row r="236">
      <c r="N236" s="4" t="inlineStr">
        <is>
          <t>Uganda</t>
        </is>
      </c>
      <c r="O236" s="67" t="inlineStr">
        <is>
          <t>UGA</t>
        </is>
      </c>
      <c r="P236" s="67" t="inlineStr">
        <is>
          <t>UGX</t>
        </is>
      </c>
      <c r="Q236" s="67" t="n">
        <v>2024</v>
      </c>
      <c r="R236" s="65" t="n">
        <v>1244.29989240795</v>
      </c>
      <c r="S236" s="65" t="n">
        <v>3736.248511374</v>
      </c>
      <c r="T236" s="68" t="n">
        <v>0.333</v>
      </c>
      <c r="U236" s="66" t="inlineStr"/>
    </row>
    <row r="237">
      <c r="N237" s="4" t="inlineStr">
        <is>
          <t>Ukraine</t>
        </is>
      </c>
      <c r="O237" s="67" t="inlineStr">
        <is>
          <t>UKR</t>
        </is>
      </c>
      <c r="P237" s="67" t="inlineStr">
        <is>
          <t>UAH</t>
        </is>
      </c>
      <c r="Q237" s="67" t="n">
        <v>2024</v>
      </c>
      <c r="R237" s="65" t="n">
        <v>11.6654001366924</v>
      </c>
      <c r="S237" s="65" t="n">
        <v>40.611340447</v>
      </c>
      <c r="T237" s="68" t="n">
        <v>0.2872</v>
      </c>
      <c r="U237" s="66" t="inlineStr"/>
    </row>
    <row r="238">
      <c r="N238" s="4" t="inlineStr">
        <is>
          <t>United Arab Emirates</t>
        </is>
      </c>
      <c r="O238" s="67" t="inlineStr">
        <is>
          <t>ARE</t>
        </is>
      </c>
      <c r="P238" s="67" t="inlineStr">
        <is>
          <t>AED</t>
        </is>
      </c>
      <c r="Q238" s="67" t="n">
        <v>2024</v>
      </c>
      <c r="R238" s="65" t="n">
        <v>2.33033434270159</v>
      </c>
      <c r="S238" s="65" t="n">
        <v>3.6725</v>
      </c>
      <c r="T238" s="68" t="n">
        <v>0.6345</v>
      </c>
      <c r="U238" s="66" t="inlineStr"/>
    </row>
    <row r="239">
      <c r="N239" s="4" t="inlineStr">
        <is>
          <t>Uruguay</t>
        </is>
      </c>
      <c r="O239" s="67" t="inlineStr">
        <is>
          <t>URY</t>
        </is>
      </c>
      <c r="P239" s="67" t="inlineStr">
        <is>
          <t>UYU</t>
        </is>
      </c>
      <c r="Q239" s="67" t="n">
        <v>2024</v>
      </c>
      <c r="R239" s="65" t="n">
        <v>26.3976838152141</v>
      </c>
      <c r="S239" s="65" t="n">
        <v>40.57157926</v>
      </c>
      <c r="T239" s="68" t="n">
        <v>0.6506</v>
      </c>
      <c r="U239" s="66" t="inlineStr"/>
    </row>
    <row r="240">
      <c r="N240" s="4" t="inlineStr">
        <is>
          <t>Uzbekistan</t>
        </is>
      </c>
      <c r="O240" s="67" t="inlineStr">
        <is>
          <t>UZB</t>
        </is>
      </c>
      <c r="P240" s="67" t="inlineStr">
        <is>
          <t>UZS</t>
        </is>
      </c>
      <c r="Q240" s="67" t="n">
        <v>2024</v>
      </c>
      <c r="R240" s="65" t="n">
        <v>3367.64393969072</v>
      </c>
      <c r="S240" s="65" t="n">
        <v>12709.130340279</v>
      </c>
      <c r="T240" s="68" t="n">
        <v>0.265</v>
      </c>
      <c r="U240" s="66" t="inlineStr"/>
    </row>
    <row r="241">
      <c r="N241" s="4" t="inlineStr">
        <is>
          <t>Vanuatu</t>
        </is>
      </c>
      <c r="O241" s="67" t="inlineStr">
        <is>
          <t>VUT</t>
        </is>
      </c>
      <c r="P241" s="67" t="inlineStr">
        <is>
          <t>VUV</t>
        </is>
      </c>
      <c r="Q241" s="67" t="n">
        <v>2024</v>
      </c>
      <c r="R241" s="65" t="n">
        <v>112.727226133825</v>
      </c>
      <c r="S241" s="65" t="n">
        <v>120.05971643</v>
      </c>
      <c r="T241" s="68" t="n">
        <v>0.9389</v>
      </c>
      <c r="U241" s="66" t="inlineStr"/>
    </row>
    <row r="242">
      <c r="N242" s="4" t="inlineStr">
        <is>
          <t>Vatican City</t>
        </is>
      </c>
      <c r="O242" s="67" t="inlineStr">
        <is>
          <t>VAT</t>
        </is>
      </c>
      <c r="P242" s="67" t="inlineStr">
        <is>
          <t>EUR</t>
        </is>
      </c>
      <c r="Q242" s="67" t="inlineStr"/>
      <c r="R242" s="65" t="inlineStr"/>
      <c r="S242" s="65" t="n">
        <v>0.926404983</v>
      </c>
      <c r="T242" s="69" t="inlineStr"/>
      <c r="U242" s="66" t="inlineStr">
        <is>
          <t>no World Bank PPP</t>
        </is>
      </c>
    </row>
    <row r="243">
      <c r="N243" s="4" t="inlineStr">
        <is>
          <t>Venezuela</t>
        </is>
      </c>
      <c r="O243" s="67" t="inlineStr">
        <is>
          <t>VEN</t>
        </is>
      </c>
      <c r="P243" s="67" t="inlineStr">
        <is>
          <t>VES</t>
        </is>
      </c>
      <c r="Q243" s="67" t="n">
        <v>2011</v>
      </c>
      <c r="R243" s="65" t="n">
        <v>2.68098258972168e-11</v>
      </c>
      <c r="S243" s="65" t="n">
        <v>38.972736657</v>
      </c>
      <c r="T243" s="69" t="inlineStr"/>
      <c r="U243" s="66" t="inlineStr">
        <is>
          <t>PPP 2011: too old, price level not used</t>
        </is>
      </c>
    </row>
    <row r="244">
      <c r="N244" s="4" t="inlineStr">
        <is>
          <t>Vietnam</t>
        </is>
      </c>
      <c r="O244" s="67" t="inlineStr">
        <is>
          <t>VNM</t>
        </is>
      </c>
      <c r="P244" s="67" t="inlineStr">
        <is>
          <t>VND</t>
        </is>
      </c>
      <c r="Q244" s="67" t="n">
        <v>2024</v>
      </c>
      <c r="R244" s="65" t="n">
        <v>6956.92750425086</v>
      </c>
      <c r="S244" s="65" t="n">
        <v>25121.588999773</v>
      </c>
      <c r="T244" s="68" t="n">
        <v>0.2769</v>
      </c>
      <c r="U244" s="66" t="inlineStr"/>
    </row>
    <row r="245">
      <c r="N245" s="4" t="inlineStr">
        <is>
          <t>Wallis &amp; Futuna</t>
        </is>
      </c>
      <c r="O245" s="67" t="inlineStr">
        <is>
          <t>WLF</t>
        </is>
      </c>
      <c r="P245" s="67" t="inlineStr">
        <is>
          <t>XPF</t>
        </is>
      </c>
      <c r="Q245" s="67" t="inlineStr"/>
      <c r="R245" s="65" t="inlineStr"/>
      <c r="S245" s="65" t="n">
        <v>110.549520753</v>
      </c>
      <c r="T245" s="69" t="inlineStr"/>
      <c r="U245" s="66" t="inlineStr">
        <is>
          <t>no World Bank PPP</t>
        </is>
      </c>
    </row>
    <row r="246">
      <c r="N246" s="4" t="inlineStr">
        <is>
          <t>Western Sahara</t>
        </is>
      </c>
      <c r="O246" s="67" t="inlineStr">
        <is>
          <t>ESH</t>
        </is>
      </c>
      <c r="P246" s="67" t="inlineStr">
        <is>
          <t>MAD</t>
        </is>
      </c>
      <c r="Q246" s="67" t="inlineStr"/>
      <c r="R246" s="65" t="inlineStr"/>
      <c r="S246" s="65" t="n">
        <v>9.920130111000001</v>
      </c>
      <c r="T246" s="69" t="inlineStr"/>
      <c r="U246" s="66" t="inlineStr">
        <is>
          <t>no World Bank PPP</t>
        </is>
      </c>
    </row>
    <row r="247">
      <c r="N247" s="4" t="inlineStr">
        <is>
          <t>Yemen</t>
        </is>
      </c>
      <c r="O247" s="67" t="inlineStr">
        <is>
          <t>YEM</t>
        </is>
      </c>
      <c r="P247" s="67" t="inlineStr">
        <is>
          <t>YER</t>
        </is>
      </c>
      <c r="Q247" s="67" t="n">
        <v>2013</v>
      </c>
      <c r="R247" s="65" t="n">
        <v>93.6313171386719</v>
      </c>
      <c r="S247" s="65" t="n">
        <v>250.225352817</v>
      </c>
      <c r="T247" s="69" t="inlineStr"/>
      <c r="U247" s="66" t="inlineStr">
        <is>
          <t>PPP 2013: too old, price level not used</t>
        </is>
      </c>
    </row>
    <row r="248">
      <c r="N248" s="4" t="inlineStr">
        <is>
          <t>Zambia</t>
        </is>
      </c>
      <c r="O248" s="67" t="inlineStr">
        <is>
          <t>ZMB</t>
        </is>
      </c>
      <c r="P248" s="67" t="inlineStr">
        <is>
          <t>ZMW</t>
        </is>
      </c>
      <c r="Q248" s="67" t="n">
        <v>2024</v>
      </c>
      <c r="R248" s="65" t="n">
        <v>7.3696780609959</v>
      </c>
      <c r="S248" s="65" t="n">
        <v>26.141474596</v>
      </c>
      <c r="T248" s="68" t="n">
        <v>0.2819</v>
      </c>
      <c r="U248" s="66" t="inlineStr"/>
    </row>
    <row r="249">
      <c r="N249" s="4" t="inlineStr">
        <is>
          <t>Zimbabwe</t>
        </is>
      </c>
      <c r="O249" s="67" t="inlineStr">
        <is>
          <t>ZWE</t>
        </is>
      </c>
      <c r="P249" s="67" t="inlineStr">
        <is>
          <t>ZWG</t>
        </is>
      </c>
      <c r="Q249" s="67" t="n">
        <v>2024</v>
      </c>
      <c r="R249" s="65" t="n">
        <v>8.345391848661389</v>
      </c>
      <c r="S249" s="65" t="n">
        <v>19.88989156666667</v>
      </c>
      <c r="T249" s="68" t="n">
        <v>0.4196</v>
      </c>
      <c r="U249" s="66" t="inlineStr"/>
    </row>
    <row r="250">
      <c r="N250" s="4" t="inlineStr">
        <is>
          <t>Åland Islands</t>
        </is>
      </c>
      <c r="O250" s="67" t="inlineStr">
        <is>
          <t>ALA</t>
        </is>
      </c>
      <c r="P250" s="67" t="inlineStr">
        <is>
          <t>EUR</t>
        </is>
      </c>
      <c r="Q250" s="67" t="inlineStr"/>
      <c r="R250" s="65" t="inlineStr"/>
      <c r="S250" s="65" t="n">
        <v>0.926404983</v>
      </c>
      <c r="T250" s="69" t="inlineStr"/>
      <c r="U250" s="66" t="inlineStr">
        <is>
          <t>no World Bank PPP</t>
        </is>
      </c>
    </row>
  </sheetData>
  <mergeCells count="7">
    <mergeCell ref="A1:D1"/>
    <mergeCell ref="N4:U4"/>
    <mergeCell ref="A4:D4"/>
    <mergeCell ref="A26:D26"/>
    <mergeCell ref="I4:L4"/>
    <mergeCell ref="A15:D15"/>
    <mergeCell ref="A36:D36"/>
  </mergeCells>
  <pageMargins left="0.75" right="0.75" top="1" bottom="1" header="0.5" footer="0.5"/>
</worksheet>
</file>

<file path=xl/worksheets/sheet14.xml><?xml version="1.0" encoding="utf-8"?>
<worksheet xmlns="http://schemas.openxmlformats.org/spreadsheetml/2006/main">
  <sheetPr>
    <tabColor rgb="00C45C26"/>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72" customWidth="1" min="4" max="4"/>
    <col width="28" customWidth="1" min="5" max="5"/>
    <col width="10" customWidth="1" min="6" max="6"/>
    <col width="42" customWidth="1" min="7" max="7"/>
  </cols>
  <sheetData>
    <row r="1" ht="32" customHeight="1">
      <c r="A1" s="1" t="inlineStr">
        <is>
          <t>Validation — USD-only min / max on the selected persona. Conversion lives on the FX tab. People Like You still stores local currency.</t>
        </is>
      </c>
    </row>
    <row r="2" ht="32" customHeight="1">
      <c r="A2" s="2" t="inlineStr">
        <is>
          <t>Example: 5,000 SGD → FX 3,700 USD (pass). 5,000 VND → FX 0.19 USD (fail min income). Change Personas currency to VND and keep income 5,000 to see the fail. Yellow cells are editable.</t>
        </is>
      </c>
    </row>
    <row r="4">
      <c r="A4" s="21" t="inlineStr">
        <is>
          <t>USD validation rules (edit these)</t>
        </is>
      </c>
      <c r="B4" s="34" t="n"/>
      <c r="C4" s="34" t="n"/>
      <c r="D4" s="34" t="n"/>
      <c r="E4" s="35" t="n"/>
    </row>
    <row r="5">
      <c r="A5" s="3" t="inlineStr">
        <is>
          <t>field</t>
        </is>
      </c>
      <c r="B5" s="3" t="inlineStr">
        <is>
          <t>min USD</t>
        </is>
      </c>
      <c r="C5" s="3" t="inlineStr">
        <is>
          <t>max USD</t>
        </is>
      </c>
      <c r="D5" s="3" t="inlineStr">
        <is>
          <t>source / why</t>
        </is>
      </c>
      <c r="E5" s="3" t="inlineStr">
        <is>
          <t>fail if</t>
        </is>
      </c>
    </row>
    <row r="6">
      <c r="A6" s="14" t="inlineStr">
        <is>
          <t>incomeMonthly</t>
        </is>
      </c>
      <c r="B6" s="47" t="n">
        <v>200</v>
      </c>
      <c r="C6" s="47" t="n">
        <v>100000</v>
      </c>
      <c r="D6" s="18" t="inlineStr">
        <is>
          <t>InsApi rejects below ~USD 1,000. Workbook floor 200 so a junior US wage still passes; 5,000 VND does not.</t>
        </is>
      </c>
      <c r="E6" s="18" t="inlineStr">
        <is>
          <t>USD &lt; min or &gt; max</t>
        </is>
      </c>
    </row>
    <row r="7">
      <c r="A7" s="14" t="inlineStr">
        <is>
          <t>expenseMonthly</t>
        </is>
      </c>
      <c r="B7" s="47" t="n">
        <v>80</v>
      </c>
      <c r="C7" s="47" t="n">
        <v>80000</v>
      </c>
      <c r="D7" s="18" t="inlineStr">
        <is>
          <t>Frontend MIN_EXPENSE_MONTHLY = 100 SGD ≈ 74 USD. Floor 80 USD.</t>
        </is>
      </c>
      <c r="E7" s="18" t="inlineStr">
        <is>
          <t>USD &lt; min or &gt; max</t>
        </is>
      </c>
    </row>
    <row r="8">
      <c r="A8" s="14" t="inlineStr">
        <is>
          <t>cash</t>
        </is>
      </c>
      <c r="B8" s="47" t="n">
        <v>0</v>
      </c>
      <c r="C8" s="47" t="n">
        <v>20000000</v>
      </c>
      <c r="D8" s="18" t="inlineStr">
        <is>
          <t>Cash &amp; Savings stock, not a monthly flow.</t>
        </is>
      </c>
      <c r="E8" s="18" t="inlineStr">
        <is>
          <t>USD &lt; 0 or &gt; max</t>
        </is>
      </c>
    </row>
    <row r="9">
      <c r="A9" s="14" t="inlineStr">
        <is>
          <t>investments</t>
        </is>
      </c>
      <c r="B9" s="47" t="n">
        <v>0</v>
      </c>
      <c r="C9" s="47" t="n">
        <v>20000000</v>
      </c>
      <c r="D9" s="18" t="inlineStr">
        <is>
          <t>Investment stock.</t>
        </is>
      </c>
      <c r="E9" s="18" t="inlineStr">
        <is>
          <t>USD &lt; 0 or &gt; max</t>
        </is>
      </c>
    </row>
    <row r="10">
      <c r="A10" s="14" t="inlineStr">
        <is>
          <t>property</t>
        </is>
      </c>
      <c r="B10" s="47" t="n">
        <v>0</v>
      </c>
      <c r="C10" s="47" t="n">
        <v>50000000</v>
      </c>
      <c r="D10" s="18" t="inlineStr">
        <is>
          <t>Home value. 0 is valid (renter).</t>
        </is>
      </c>
      <c r="E10" s="18" t="inlineStr">
        <is>
          <t>USD &lt; 0 or &gt; max</t>
        </is>
      </c>
    </row>
    <row r="11">
      <c r="A11" s="14" t="inlineStr">
        <is>
          <t>mortgage</t>
        </is>
      </c>
      <c r="B11" s="47" t="n">
        <v>0</v>
      </c>
      <c r="C11" s="47" t="n">
        <v>50000000</v>
      </c>
      <c r="D11" s="18" t="inlineStr">
        <is>
          <t>Loans. Also fail if USD mortgage &gt; USD property when property &gt; 0.</t>
        </is>
      </c>
      <c r="E11" s="18" t="inlineStr">
        <is>
          <t>USD &lt; 0, &gt; max, or &gt; property</t>
        </is>
      </c>
    </row>
    <row r="12">
      <c r="A12" s="14" t="inlineStr">
        <is>
          <t>PLU liabilities</t>
        </is>
      </c>
      <c r="B12" s="47" t="n">
        <v>0</v>
      </c>
      <c r="C12" s="47" t="n">
        <v>20000000</v>
      </c>
      <c r="D12" s="18" t="inlineStr">
        <is>
          <t>Profiler TotalLiabilities (liquid × 0.7 unless overridden).</t>
        </is>
      </c>
      <c r="E12" s="18" t="inlineStr">
        <is>
          <t>USD &lt; 0 or &gt; max</t>
        </is>
      </c>
    </row>
    <row r="13">
      <c r="A13" s="14" t="inlineStr">
        <is>
          <t>life sum assured</t>
        </is>
      </c>
      <c r="B13" s="47" t="n">
        <v>0</v>
      </c>
      <c r="C13" s="47" t="n">
        <v>20000000</v>
      </c>
      <c r="D13" s="18" t="inlineStr">
        <is>
          <t>Existing life cover. 0 is valid.</t>
        </is>
      </c>
      <c r="E13" s="18" t="inlineStr">
        <is>
          <t>USD &lt; 0 or &gt; max</t>
        </is>
      </c>
    </row>
    <row r="15">
      <c r="A15" s="16" t="inlineStr">
        <is>
          <t>Selected persona — pass / fail against USD rules</t>
        </is>
      </c>
      <c r="B15" s="34" t="n"/>
      <c r="C15" s="34" t="n"/>
      <c r="D15" s="34" t="n"/>
      <c r="E15" s="34" t="n"/>
      <c r="F15" s="34" t="n"/>
      <c r="G15" s="35" t="n"/>
    </row>
    <row r="16">
      <c r="A16" s="17" t="inlineStr">
        <is>
          <t>Selected persona</t>
        </is>
      </c>
      <c r="B16" s="13">
        <f>SelectedPersona</f>
        <v/>
      </c>
      <c r="C16" s="14">
        <f>IFERROR(INDEX(Personas!B$3:B$52,MATCH($B$16,Personas!$A$3:$A$52,0)),"")</f>
        <v/>
      </c>
      <c r="D16" s="14">
        <f>IFERROR(INDEX(Personas!F$3:F$52,MATCH($B$16,Personas!$A$3:$A$52,0)),"")&amp;" / "&amp;PLU_currency</f>
        <v/>
      </c>
      <c r="E16" s="2" t="inlineStr">
        <is>
          <t>Follows the Selected persona tab. Change the id there.</t>
        </is>
      </c>
    </row>
    <row r="17">
      <c r="A17" s="38" t="inlineStr">
        <is>
          <t>USD per 1 local</t>
        </is>
      </c>
      <c r="B17" s="48">
        <f>FX_usdPerLocal</f>
        <v/>
      </c>
      <c r="C17" s="2" t="inlineStr">
        <is>
          <t>Pointer to the FX tab. Edit rates there, not here.</t>
        </is>
      </c>
    </row>
    <row r="19">
      <c r="A19" s="3" t="inlineStr">
        <is>
          <t>field</t>
        </is>
      </c>
      <c r="B19" s="3" t="inlineStr">
        <is>
          <t>local (effective)</t>
        </is>
      </c>
      <c r="C19" s="3" t="inlineStr">
        <is>
          <t>USD (from FX)</t>
        </is>
      </c>
      <c r="D19" s="3" t="inlineStr">
        <is>
          <t>min USD</t>
        </is>
      </c>
      <c r="E19" s="3" t="inlineStr">
        <is>
          <t>max USD</t>
        </is>
      </c>
      <c r="F19" s="3" t="inlineStr">
        <is>
          <t>status</t>
        </is>
      </c>
      <c r="G19" s="3" t="inlineStr">
        <is>
          <t>detail</t>
        </is>
      </c>
    </row>
    <row r="20">
      <c r="A20" s="8" t="inlineStr">
        <is>
          <t>incomeMonthly</t>
        </is>
      </c>
      <c r="B20" s="28">
        <f>PLU_incomeMonthly</f>
        <v/>
      </c>
      <c r="C20" s="28">
        <f>FX_incomeMonthly</f>
        <v/>
      </c>
      <c r="D20" s="39">
        <f>B6</f>
        <v/>
      </c>
      <c r="E20" s="39">
        <f>C6</f>
        <v/>
      </c>
      <c r="F20" s="27">
        <f>IF(FX_usdPerLocal="","no FX",IF(OR(C20&lt;D20,C20&gt;E20),"FAIL","OK"))</f>
        <v/>
      </c>
      <c r="G20" s="18">
        <f>IF(FX_usdPerLocal="","Set Personas currency to a row on the FX tab.",IF(C20&lt;D20,"below min USD",IF(C20&gt;E20,"above max USD","inside USD band")))</f>
        <v/>
      </c>
    </row>
    <row r="21">
      <c r="A21" s="8" t="inlineStr">
        <is>
          <t>expenseMonthly</t>
        </is>
      </c>
      <c r="B21" s="28">
        <f>PLU_expenseMonthly</f>
        <v/>
      </c>
      <c r="C21" s="28">
        <f>FX_expenseMonthly</f>
        <v/>
      </c>
      <c r="D21" s="39">
        <f>B7</f>
        <v/>
      </c>
      <c r="E21" s="39">
        <f>C7</f>
        <v/>
      </c>
      <c r="F21" s="27">
        <f>IF(FX_usdPerLocal="","no FX",IF(OR(C21&lt;D21,C21&gt;E21),"FAIL","OK"))</f>
        <v/>
      </c>
      <c r="G21" s="18">
        <f>IF(FX_usdPerLocal="","Set Personas currency to a row on the FX tab.",IF(C21&lt;D21,"below min USD",IF(C21&gt;E21,"above max USD","inside USD band")))</f>
        <v/>
      </c>
    </row>
    <row r="22">
      <c r="A22" s="8" t="inlineStr">
        <is>
          <t>cash</t>
        </is>
      </c>
      <c r="B22" s="28">
        <f>PLU_cash</f>
        <v/>
      </c>
      <c r="C22" s="28">
        <f>FX_cash</f>
        <v/>
      </c>
      <c r="D22" s="39">
        <f>B8</f>
        <v/>
      </c>
      <c r="E22" s="39">
        <f>C8</f>
        <v/>
      </c>
      <c r="F22" s="27">
        <f>IF(FX_usdPerLocal="","no FX",IF(OR(C22&lt;D22,C22&gt;E22),"FAIL","OK"))</f>
        <v/>
      </c>
      <c r="G22" s="18">
        <f>IF(FX_usdPerLocal="","Set Personas currency to a row on the FX tab.",IF(C22&lt;D22,"below min USD",IF(C22&gt;E22,"above max USD","inside USD band")))</f>
        <v/>
      </c>
    </row>
    <row r="23">
      <c r="A23" s="8" t="inlineStr">
        <is>
          <t>investments</t>
        </is>
      </c>
      <c r="B23" s="28">
        <f>PLU_investments</f>
        <v/>
      </c>
      <c r="C23" s="28">
        <f>FX_investments</f>
        <v/>
      </c>
      <c r="D23" s="39">
        <f>B9</f>
        <v/>
      </c>
      <c r="E23" s="39">
        <f>C9</f>
        <v/>
      </c>
      <c r="F23" s="27">
        <f>IF(FX_usdPerLocal="","no FX",IF(OR(C23&lt;D23,C23&gt;E23),"FAIL","OK"))</f>
        <v/>
      </c>
      <c r="G23" s="18">
        <f>IF(FX_usdPerLocal="","Set Personas currency to a row on the FX tab.",IF(C23&lt;D23,"below min USD",IF(C23&gt;E23,"above max USD","inside USD band")))</f>
        <v/>
      </c>
    </row>
    <row r="24">
      <c r="A24" s="8" t="inlineStr">
        <is>
          <t>property</t>
        </is>
      </c>
      <c r="B24" s="28">
        <f>PLU_property</f>
        <v/>
      </c>
      <c r="C24" s="28">
        <f>FX_property</f>
        <v/>
      </c>
      <c r="D24" s="39">
        <f>B10</f>
        <v/>
      </c>
      <c r="E24" s="39">
        <f>C10</f>
        <v/>
      </c>
      <c r="F24" s="27">
        <f>IF(FX_usdPerLocal="","no FX",IF(OR(C24&lt;D24,C24&gt;E24),"FAIL","OK"))</f>
        <v/>
      </c>
      <c r="G24" s="18">
        <f>IF(FX_usdPerLocal="","Set Personas currency to a row on the FX tab.",IF(C24&lt;D24,"below min USD",IF(C24&gt;E24,"above max USD","inside USD band")))</f>
        <v/>
      </c>
    </row>
    <row r="25">
      <c r="A25" s="8" t="inlineStr">
        <is>
          <t>mortgage</t>
        </is>
      </c>
      <c r="B25" s="28">
        <f>PLU_mortgage</f>
        <v/>
      </c>
      <c r="C25" s="28">
        <f>FX_mortgage</f>
        <v/>
      </c>
      <c r="D25" s="39">
        <f>B11</f>
        <v/>
      </c>
      <c r="E25" s="39">
        <f>C11</f>
        <v/>
      </c>
      <c r="F25" s="27">
        <f>IF(FX_usdPerLocal="","no FX",IF(OR(C25&lt;D25,C25&gt;E25,AND(C25&gt;C24,C24&gt;0)),"FAIL","OK"))</f>
        <v/>
      </c>
      <c r="G25" s="18">
        <f>IF(FX_usdPerLocal="","Set Personas currency to a row on the FX tab.",IF(AND(C25&gt;C24,C24&gt;0),"mortgage USD &gt; property USD",IF(C25&lt;D25,"below min USD",IF(C25&gt;E25,"above max USD","inside USD band"))))</f>
        <v/>
      </c>
    </row>
    <row r="26">
      <c r="A26" s="8" t="inlineStr">
        <is>
          <t>PLU liabilities</t>
        </is>
      </c>
      <c r="B26" s="28">
        <f>PLU_liabilities</f>
        <v/>
      </c>
      <c r="C26" s="28">
        <f>FX_liabilities</f>
        <v/>
      </c>
      <c r="D26" s="39">
        <f>B12</f>
        <v/>
      </c>
      <c r="E26" s="39">
        <f>C12</f>
        <v/>
      </c>
      <c r="F26" s="27">
        <f>IF(FX_usdPerLocal="","no FX",IF(OR(C26&lt;D26,C26&gt;E26),"FAIL","OK"))</f>
        <v/>
      </c>
      <c r="G26" s="18">
        <f>IF(FX_usdPerLocal="","Set Personas currency to a row on the FX tab.",IF(C26&lt;D26,"below min USD",IF(C26&gt;E26,"above max USD","inside USD band")))</f>
        <v/>
      </c>
    </row>
    <row r="27">
      <c r="A27" s="8" t="inlineStr">
        <is>
          <t>life sum assured</t>
        </is>
      </c>
      <c r="B27" s="28">
        <f>PLU_lifeSum</f>
        <v/>
      </c>
      <c r="C27" s="28">
        <f>FX_lifeSum</f>
        <v/>
      </c>
      <c r="D27" s="39">
        <f>B13</f>
        <v/>
      </c>
      <c r="E27" s="39">
        <f>C13</f>
        <v/>
      </c>
      <c r="F27" s="27">
        <f>IF(FX_usdPerLocal="","no FX",IF(OR(C27&lt;D27,C27&gt;E27),"FAIL","OK"))</f>
        <v/>
      </c>
      <c r="G27" s="18">
        <f>IF(FX_usdPerLocal="","Set Personas currency to a row on the FX tab.",IF(C27&lt;D27,"below min USD",IF(C27&gt;E27,"above max USD","inside USD band")))</f>
        <v/>
      </c>
    </row>
    <row r="29">
      <c r="A29" s="72" t="inlineStr">
        <is>
          <t>Overall</t>
        </is>
      </c>
      <c r="B29" s="27">
        <f>IF(COUNTIF(F20:F27,"FAIL")&gt;0,"FAIL",IF(COUNTIF(F20:F27,"no FX")&gt;0,"no FX","OK"))</f>
        <v/>
      </c>
    </row>
  </sheetData>
  <mergeCells count="4">
    <mergeCell ref="A2:G2"/>
    <mergeCell ref="A4:E4"/>
    <mergeCell ref="A1:G1"/>
    <mergeCell ref="A15:G15"/>
  </mergeCells>
  <conditionalFormatting sqref="F20">
    <cfRule type="expression" priority="1" dxfId="0">
      <formula>F20="FAIL"</formula>
    </cfRule>
    <cfRule type="expression" priority="2" dxfId="1">
      <formula>F20="OK"</formula>
    </cfRule>
  </conditionalFormatting>
  <conditionalFormatting sqref="F21">
    <cfRule type="expression" priority="3" dxfId="0">
      <formula>F21="FAIL"</formula>
    </cfRule>
    <cfRule type="expression" priority="4" dxfId="1">
      <formula>F21="OK"</formula>
    </cfRule>
  </conditionalFormatting>
  <conditionalFormatting sqref="F22">
    <cfRule type="expression" priority="5" dxfId="0">
      <formula>F22="FAIL"</formula>
    </cfRule>
    <cfRule type="expression" priority="6" dxfId="1">
      <formula>F22="OK"</formula>
    </cfRule>
  </conditionalFormatting>
  <conditionalFormatting sqref="F23">
    <cfRule type="expression" priority="7" dxfId="0">
      <formula>F23="FAIL"</formula>
    </cfRule>
    <cfRule type="expression" priority="8" dxfId="1">
      <formula>F23="OK"</formula>
    </cfRule>
  </conditionalFormatting>
  <conditionalFormatting sqref="F24">
    <cfRule type="expression" priority="9" dxfId="0">
      <formula>F24="FAIL"</formula>
    </cfRule>
    <cfRule type="expression" priority="10" dxfId="1">
      <formula>F24="OK"</formula>
    </cfRule>
  </conditionalFormatting>
  <conditionalFormatting sqref="F25">
    <cfRule type="expression" priority="11" dxfId="0">
      <formula>F25="FAIL"</formula>
    </cfRule>
    <cfRule type="expression" priority="12" dxfId="1">
      <formula>F25="OK"</formula>
    </cfRule>
  </conditionalFormatting>
  <conditionalFormatting sqref="F26">
    <cfRule type="expression" priority="13" dxfId="0">
      <formula>F26="FAIL"</formula>
    </cfRule>
    <cfRule type="expression" priority="14" dxfId="1">
      <formula>F26="OK"</formula>
    </cfRule>
  </conditionalFormatting>
  <conditionalFormatting sqref="F27">
    <cfRule type="expression" priority="15" dxfId="0">
      <formula>F27="FAIL"</formula>
    </cfRule>
    <cfRule type="expression" priority="16" dxfId="1">
      <formula>F27="OK"</formula>
    </cfRule>
  </conditionalFormatting>
  <conditionalFormatting sqref="B29">
    <cfRule type="expression" priority="17" dxfId="0">
      <formula>B29="FAIL"</formula>
    </cfRule>
    <cfRule type="expression" priority="18" dxfId="1">
      <formula>B29="OK"</formula>
    </cfRule>
  </conditionalFormatting>
  <pageMargins left="0.75" right="0.75" top="1" bottom="1" header="0.5" footer="0.5"/>
</worksheet>
</file>

<file path=xl/worksheets/sheet15.xml><?xml version="1.0" encoding="utf-8"?>
<worksheet xmlns="http://schemas.openxmlformats.org/spreadsheetml/2006/main">
  <sheetPr>
    <tabColor rgb="001F6F6A"/>
    <outlinePr summaryBelow="1" summaryRight="1"/>
    <pageSetUpPr/>
  </sheetPr>
  <dimension ref="A1:AB193"/>
  <sheetViews>
    <sheetView workbookViewId="0">
      <pane ySplit="2" topLeftCell="A3" activePane="bottomLeft" state="frozen"/>
      <selection pane="bottomLeft" activeCell="A1" sqref="A1"/>
    </sheetView>
  </sheetViews>
  <sheetFormatPr baseColWidth="8" defaultRowHeight="15"/>
  <cols>
    <col width="46" customWidth="1" min="1" max="1"/>
    <col width="14" customWidth="1" min="2" max="2"/>
    <col width="16" customWidth="1" min="3" max="3"/>
    <col width="10" customWidth="1" min="4" max="4"/>
    <col width="14" customWidth="1" min="5" max="5"/>
    <col width="30" customWidth="1" min="6" max="6"/>
    <col width="26" customWidth="1" min="7" max="7"/>
    <col width="30" customWidth="1" min="8" max="8"/>
    <col width="3" customWidth="1" min="9" max="9"/>
    <col width="30" customWidth="1" min="10" max="10"/>
    <col width="24" customWidth="1" min="11" max="11"/>
    <col width="16" customWidth="1" min="12" max="12"/>
    <col width="16" customWidth="1" min="13" max="13"/>
    <col width="12" customWidth="1" min="14" max="14"/>
    <col width="18" customWidth="1" min="15" max="15"/>
    <col width="40" customWidth="1" min="16" max="16"/>
    <col width="22" customWidth="1" min="17" max="17"/>
  </cols>
  <sheetData>
    <row r="1" ht="22" customHeight="1">
      <c r="A1" s="1" t="inlineStr">
        <is>
          <t>Assumptions — every parameter of the model, one place (USD for money)</t>
        </is>
      </c>
    </row>
    <row r="2" ht="32" customHeight="1">
      <c r="A2" s="2" t="inlineStr">
        <is>
          <t>Yellow cells are editable. Every other tab reads these named cells. HappiU and Scenario Visualizer still run in HU / SV; this sheet only stores what GP sends them.</t>
        </is>
      </c>
    </row>
    <row r="3">
      <c r="A3" s="3" t="inlineStr">
        <is>
          <t>Parameter</t>
        </is>
      </c>
      <c r="B3" s="3" t="inlineStr">
        <is>
          <t>Value</t>
        </is>
      </c>
      <c r="C3" s="3" t="inlineStr">
        <is>
          <t>Unit</t>
        </is>
      </c>
      <c r="D3" s="3" t="inlineStr">
        <is>
          <t>Currency</t>
        </is>
      </c>
      <c r="E3" s="3" t="inlineStr">
        <is>
          <t>Status</t>
        </is>
      </c>
      <c r="F3" s="3" t="inlineStr">
        <is>
          <t>Code source</t>
        </is>
      </c>
      <c r="G3" s="3" t="inlineStr">
        <is>
          <t>Changed in</t>
        </is>
      </c>
      <c r="H3" s="3" t="inlineStr">
        <is>
          <t>Open proposal</t>
        </is>
      </c>
    </row>
    <row r="4">
      <c r="A4" s="5" t="inlineStr">
        <is>
          <t>Economic rates (src/session_rates.py DEFAULTS / ASSUME_DEFAULTS)</t>
        </is>
      </c>
      <c r="J4" s="5" t="inlineStr">
        <is>
          <t>Singapore occupation income bands (income_anchors.json)</t>
        </is>
      </c>
      <c r="O4" s="7" t="inlineStr">
        <is>
          <t>V0-21: this tab is the one parameter list (Parameter review merged). Money is USD; country plug-ins stay local. Decisions and history: Change log tab.</t>
        </is>
      </c>
    </row>
    <row r="5">
      <c r="A5" s="4" t="inlineStr">
        <is>
          <t>inflationRate</t>
        </is>
      </c>
      <c r="B5" s="73" t="n">
        <v>0.023</v>
      </c>
      <c r="C5" s="4" t="inlineStr">
        <is>
          <t>% p.a.</t>
        </is>
      </c>
      <c r="D5" s="4" t="inlineStr">
        <is>
          <t>—</t>
        </is>
      </c>
      <c r="E5" s="33" t="inlineStr">
        <is>
          <t>No currency</t>
        </is>
      </c>
      <c r="F5" s="74" t="inlineStr">
        <is>
          <t>session_rates.py</t>
        </is>
      </c>
      <c r="G5" s="74" t="inlineStr"/>
      <c r="H5" s="74" t="inlineStr"/>
      <c r="J5" s="3" t="inlineStr">
        <is>
          <t>occupation</t>
        </is>
      </c>
      <c r="K5" s="3" t="inlineStr">
        <is>
          <t>min</t>
        </is>
      </c>
      <c r="L5" s="3" t="inlineStr">
        <is>
          <t>max</t>
        </is>
      </c>
    </row>
    <row r="6">
      <c r="A6" s="4" t="inlineStr">
        <is>
          <t>interestRate</t>
        </is>
      </c>
      <c r="B6" s="73" t="n">
        <v>0.012</v>
      </c>
      <c r="C6" s="4" t="inlineStr">
        <is>
          <t>% p.a.</t>
        </is>
      </c>
      <c r="D6" s="4" t="inlineStr">
        <is>
          <t>—</t>
        </is>
      </c>
      <c r="E6" s="33" t="inlineStr">
        <is>
          <t>No currency</t>
        </is>
      </c>
      <c r="F6" s="74" t="inlineStr">
        <is>
          <t>session_rates.py</t>
        </is>
      </c>
      <c r="G6" s="74" t="inlineStr"/>
      <c r="H6" s="74" t="inlineStr"/>
      <c r="J6" s="4" t="inlineStr">
        <is>
          <t>Teacher</t>
        </is>
      </c>
      <c r="K6" s="75" t="n">
        <v>5600</v>
      </c>
      <c r="L6" s="75" t="n">
        <v>9800</v>
      </c>
      <c r="M6" s="74" t="inlineStr">
        <is>
          <t>Teacher / educator</t>
        </is>
      </c>
    </row>
    <row r="7">
      <c r="A7" s="4" t="inlineStr">
        <is>
          <t>loanRate</t>
        </is>
      </c>
      <c r="B7" s="73" t="n">
        <v>0.035</v>
      </c>
      <c r="C7" s="4" t="inlineStr">
        <is>
          <t>% p.a.</t>
        </is>
      </c>
      <c r="D7" s="4" t="inlineStr">
        <is>
          <t>—</t>
        </is>
      </c>
      <c r="E7" s="33" t="inlineStr">
        <is>
          <t>No currency</t>
        </is>
      </c>
      <c r="F7" s="74" t="inlineStr">
        <is>
          <t>session_rates.py</t>
        </is>
      </c>
      <c r="G7" s="74" t="inlineStr"/>
      <c r="H7" s="74" t="inlineStr"/>
      <c r="J7" s="4" t="inlineStr">
        <is>
          <t>Software Engineer</t>
        </is>
      </c>
      <c r="K7" s="75" t="n">
        <v>7500</v>
      </c>
      <c r="L7" s="75" t="n">
        <v>18000</v>
      </c>
      <c r="M7" s="74" t="inlineStr">
        <is>
          <t>Software engineer</t>
        </is>
      </c>
    </row>
    <row r="8">
      <c r="A8" s="4" t="inlineStr">
        <is>
          <t>incomeGrowthRate</t>
        </is>
      </c>
      <c r="B8" s="73" t="n">
        <v>0.028</v>
      </c>
      <c r="C8" s="4" t="inlineStr">
        <is>
          <t>% p.a.</t>
        </is>
      </c>
      <c r="D8" s="4" t="inlineStr">
        <is>
          <t>—</t>
        </is>
      </c>
      <c r="E8" s="33" t="inlineStr">
        <is>
          <t>No currency</t>
        </is>
      </c>
      <c r="F8" s="74" t="inlineStr">
        <is>
          <t>session_rates.py</t>
        </is>
      </c>
      <c r="G8" s="74" t="inlineStr"/>
      <c r="H8" s="74" t="inlineStr"/>
      <c r="J8" s="4" t="inlineStr">
        <is>
          <t>Investment Banker</t>
        </is>
      </c>
      <c r="K8" s="75" t="n">
        <v>11200</v>
      </c>
      <c r="L8" s="75" t="n">
        <v>28000</v>
      </c>
      <c r="M8" s="74" t="inlineStr">
        <is>
          <t>Investment banker / finance director</t>
        </is>
      </c>
    </row>
    <row r="9">
      <c r="A9" s="4" t="inlineStr">
        <is>
          <t>investmentReturn</t>
        </is>
      </c>
      <c r="B9" s="73" t="n">
        <v>0.042</v>
      </c>
      <c r="C9" s="4" t="inlineStr">
        <is>
          <t>% p.a.</t>
        </is>
      </c>
      <c r="D9" s="4" t="inlineStr">
        <is>
          <t>—</t>
        </is>
      </c>
      <c r="E9" s="33" t="inlineStr">
        <is>
          <t>No currency</t>
        </is>
      </c>
      <c r="F9" s="74" t="inlineStr">
        <is>
          <t>session_rates.py / riskCapacity.ts</t>
        </is>
      </c>
      <c r="G9" s="74" t="inlineStr"/>
      <c r="H9" s="74" t="inlineStr"/>
      <c r="J9" s="4" t="inlineStr">
        <is>
          <t>Marketing Manager</t>
        </is>
      </c>
      <c r="K9" s="75" t="n">
        <v>7000</v>
      </c>
      <c r="L9" s="75" t="n">
        <v>14000</v>
      </c>
      <c r="M9" s="74" t="inlineStr">
        <is>
          <t>Marketing manager</t>
        </is>
      </c>
    </row>
    <row r="10">
      <c r="A10" s="4" t="inlineStr">
        <is>
          <t>assetReturn</t>
        </is>
      </c>
      <c r="B10" s="73" t="n">
        <v>0.03</v>
      </c>
      <c r="C10" s="4" t="inlineStr">
        <is>
          <t>% p.a.</t>
        </is>
      </c>
      <c r="D10" s="4" t="inlineStr">
        <is>
          <t>—</t>
        </is>
      </c>
      <c r="E10" s="33" t="inlineStr">
        <is>
          <t>No currency</t>
        </is>
      </c>
      <c r="F10" s="74" t="inlineStr">
        <is>
          <t>session_rates.py</t>
        </is>
      </c>
      <c r="G10" s="74" t="inlineStr"/>
      <c r="H10" s="74" t="inlineStr"/>
      <c r="J10" s="4" t="inlineStr">
        <is>
          <t>Doctor</t>
        </is>
      </c>
      <c r="K10" s="75" t="n">
        <v>10400</v>
      </c>
      <c r="L10" s="75" t="n">
        <v>26000</v>
      </c>
      <c r="M10" s="74" t="inlineStr">
        <is>
          <t>Doctor / physician</t>
        </is>
      </c>
    </row>
    <row r="11">
      <c r="A11" s="4" t="inlineStr">
        <is>
          <t>realReturn (derived)</t>
        </is>
      </c>
      <c r="B11" s="76">
        <f>MAX(0,(1+investmentReturn)/(1+inflationRate)-1)</f>
        <v/>
      </c>
      <c r="C11" s="4" t="inlineStr">
        <is>
          <t>% p.a.</t>
        </is>
      </c>
      <c r="D11" s="4" t="inlineStr">
        <is>
          <t>—</t>
        </is>
      </c>
      <c r="E11" s="33" t="inlineStr">
        <is>
          <t>Derived</t>
        </is>
      </c>
      <c r="F11" s="74" t="inlineStr">
        <is>
          <t>goal_math.real_return</t>
        </is>
      </c>
      <c r="G11" s="74" t="inlineStr"/>
      <c r="H11" s="74" t="inlineStr"/>
      <c r="J11" s="4" t="inlineStr">
        <is>
          <t>Nurse</t>
        </is>
      </c>
      <c r="K11" s="75" t="n">
        <v>4200</v>
      </c>
      <c r="L11" s="75" t="n">
        <v>8400</v>
      </c>
      <c r="M11" s="74" t="inlineStr">
        <is>
          <t>Nurse</t>
        </is>
      </c>
    </row>
    <row r="12">
      <c r="J12" s="4" t="inlineStr">
        <is>
          <t>Accountant</t>
        </is>
      </c>
      <c r="K12" s="75" t="n">
        <v>5600</v>
      </c>
      <c r="L12" s="75" t="n">
        <v>11200</v>
      </c>
      <c r="M12" s="74" t="inlineStr">
        <is>
          <t>Accountant</t>
        </is>
      </c>
    </row>
    <row r="13">
      <c r="A13" s="5" t="inlineStr">
        <is>
          <t>Life-cycle</t>
        </is>
      </c>
      <c r="J13" s="4" t="inlineStr">
        <is>
          <t>CEO</t>
        </is>
      </c>
      <c r="K13" s="75" t="n">
        <v>16800</v>
      </c>
      <c r="L13" s="75" t="n">
        <v>42000</v>
      </c>
      <c r="M13" s="74" t="inlineStr">
        <is>
          <t>CEO / managing director of a typical firm</t>
        </is>
      </c>
    </row>
    <row r="14">
      <c r="A14" s="4" t="inlineStr">
        <is>
          <t>ageOfRetirement</t>
        </is>
      </c>
      <c r="B14" s="47" t="n">
        <v>65</v>
      </c>
      <c r="C14" s="4" t="inlineStr">
        <is>
          <t>age</t>
        </is>
      </c>
      <c r="D14" s="4" t="inlineStr">
        <is>
          <t>—</t>
        </is>
      </c>
      <c r="E14" s="33" t="inlineStr">
        <is>
          <t>No currency</t>
        </is>
      </c>
      <c r="F14" s="74" t="inlineStr">
        <is>
          <t>goal_math.py RETIREMENT_AGE</t>
        </is>
      </c>
      <c r="G14" s="74" t="inlineStr"/>
      <c r="H14" s="74" t="inlineStr"/>
    </row>
    <row r="15">
      <c r="A15" s="4" t="inlineStr">
        <is>
          <t>lifeExpectancyDefault</t>
        </is>
      </c>
      <c r="B15" s="47" t="n">
        <v>85</v>
      </c>
      <c r="C15" s="4" t="inlineStr">
        <is>
          <t>age</t>
        </is>
      </c>
      <c r="D15" s="4" t="inlineStr">
        <is>
          <t>—</t>
        </is>
      </c>
      <c r="E15" s="33" t="inlineStr">
        <is>
          <t>No currency</t>
        </is>
      </c>
      <c r="F15" s="74" t="inlineStr">
        <is>
          <t>goal_math.py LIFE_EXPECTANCY</t>
        </is>
      </c>
      <c r="G15" s="74" t="inlineStr">
        <is>
          <t>V0-21: the one default; GP sends it to HappiU and SV</t>
        </is>
      </c>
      <c r="H15" s="74" t="inlineStr"/>
    </row>
    <row r="16">
      <c r="A16" s="4" t="inlineStr">
        <is>
          <t>currentYear</t>
        </is>
      </c>
      <c r="B16" s="47" t="n">
        <v>2026</v>
      </c>
      <c r="C16" s="4" t="inlineStr">
        <is>
          <t>year</t>
        </is>
      </c>
      <c r="D16" s="4" t="inlineStr">
        <is>
          <t>—</t>
        </is>
      </c>
      <c r="E16" s="33" t="inlineStr">
        <is>
          <t>No currency</t>
        </is>
      </c>
      <c r="F16" s="74" t="inlineStr"/>
      <c r="G16" s="74" t="inlineStr"/>
      <c r="H16" s="74" t="inlineStr"/>
    </row>
    <row r="17">
      <c r="A17" s="4" t="inlineStr">
        <is>
          <t>endAge (chart horizon default)</t>
        </is>
      </c>
      <c r="B17" s="75">
        <f>lifeExpectancyDefault</f>
        <v/>
      </c>
      <c r="C17" s="4" t="inlineStr">
        <is>
          <t>age</t>
        </is>
      </c>
      <c r="D17" s="4" t="inlineStr">
        <is>
          <t>—</t>
        </is>
      </c>
      <c r="E17" s="33" t="inlineStr">
        <is>
          <t>Derived</t>
        </is>
      </c>
      <c r="F17" s="74" t="inlineStr">
        <is>
          <t>sv_payload.py endAge</t>
        </is>
      </c>
      <c r="G17" s="74" t="inlineStr">
        <is>
          <t>V0-21: = default; chart uses the session LE</t>
        </is>
      </c>
      <c r="H17" s="74" t="inlineStr"/>
    </row>
    <row r="19">
      <c r="A19" s="5" t="inlineStr">
        <is>
          <t>CPF rates and formulas live on the CPF tab (country on / off)</t>
        </is>
      </c>
      <c r="J19" s="5" t="inlineStr">
        <is>
          <t>Stress events (stressEvents.ts) — sizes in USD, personal risks by age. Scenario Visualizer applies them when switched on</t>
        </is>
      </c>
    </row>
    <row r="20">
      <c r="J20" s="3" t="inlineStr">
        <is>
          <t>code</t>
        </is>
      </c>
      <c r="K20" s="3" t="inlineStr">
        <is>
          <t>label</t>
        </is>
      </c>
      <c r="L20" s="3" t="inlineStr">
        <is>
          <t>size</t>
        </is>
      </c>
      <c r="M20" s="3" t="inlineStr">
        <is>
          <t>size unit</t>
        </is>
      </c>
      <c r="N20" s="3" t="inlineStr">
        <is>
          <t>timing</t>
        </is>
      </c>
      <c r="O20" s="3" t="inlineStr">
        <is>
          <t>timing unit</t>
        </is>
      </c>
      <c r="P20" s="3" t="inlineStr">
        <is>
          <t>what SV applies</t>
        </is>
      </c>
      <c r="Q20" s="3" t="inlineStr">
        <is>
          <t>code source</t>
        </is>
      </c>
    </row>
    <row r="21">
      <c r="A21" s="5" t="inlineStr">
        <is>
          <t>System currency (V0-15) — every calculator runs in USD; fixed amounts below are USD</t>
        </is>
      </c>
      <c r="J21" s="67" t="inlineStr">
        <is>
          <t>R_DEA</t>
        </is>
      </c>
      <c r="K21" s="67" t="inlineStr">
        <is>
          <t>Death</t>
        </is>
      </c>
      <c r="L21" s="47" t="n">
        <v>14800</v>
      </c>
      <c r="M21" s="67" t="inlineStr">
        <is>
          <t>one-off USD</t>
        </is>
      </c>
      <c r="N21" s="13" t="n">
        <v>60</v>
      </c>
      <c r="O21" s="67" t="inlineStr">
        <is>
          <t>age</t>
        </is>
      </c>
      <c r="P21" s="4" t="inlineStr">
        <is>
          <t>One-off cost; salary and CPF wage → 0 from that age</t>
        </is>
      </c>
      <c r="Q21" s="4" t="inlineStr">
        <is>
          <t>stressEvents.ts death</t>
        </is>
      </c>
    </row>
    <row r="22">
      <c r="A22" s="4" t="inlineStr">
        <is>
          <t>systemCurrency</t>
        </is>
      </c>
      <c r="B22" s="75" t="inlineStr">
        <is>
          <t>USD</t>
        </is>
      </c>
      <c r="C22" s="4" t="inlineStr">
        <is>
          <t>code</t>
        </is>
      </c>
      <c r="D22" s="4" t="inlineStr">
        <is>
          <t>—</t>
        </is>
      </c>
      <c r="E22" s="9" t="inlineStr">
        <is>
          <t>System</t>
        </is>
      </c>
      <c r="F22" s="74" t="inlineStr"/>
      <c r="G22" s="74" t="inlineStr">
        <is>
          <t>V0-15</t>
        </is>
      </c>
      <c r="H22" s="74" t="inlineStr"/>
      <c r="J22" s="67" t="inlineStr">
        <is>
          <t>R_CRI</t>
        </is>
      </c>
      <c r="K22" s="67" t="inlineStr">
        <is>
          <t>Critical illness</t>
        </is>
      </c>
      <c r="L22" s="75">
        <f>CRI_COST</f>
        <v/>
      </c>
      <c r="M22" s="67" t="inlineStr">
        <is>
          <t>one-off USD</t>
        </is>
      </c>
      <c r="N22" s="13" t="n">
        <v>55</v>
      </c>
      <c r="O22" s="67" t="inlineStr">
        <is>
          <t>age</t>
        </is>
      </c>
      <c r="P22" s="4" t="inlineStr">
        <is>
          <t>One-off medical cost (= CRI_COST)</t>
        </is>
      </c>
      <c r="Q22" s="4" t="inlineStr">
        <is>
          <t>stressEvents.ts ci</t>
        </is>
      </c>
    </row>
    <row r="23">
      <c r="A23" s="4" t="inlineStr">
        <is>
          <t>fxMode (A = market rate; B = market rate × price level)</t>
        </is>
      </c>
      <c r="B23" s="47" t="inlineStr">
        <is>
          <t>B</t>
        </is>
      </c>
      <c r="C23" s="4" t="inlineStr">
        <is>
          <t>A / B</t>
        </is>
      </c>
      <c r="D23" s="4" t="inlineStr">
        <is>
          <t>—</t>
        </is>
      </c>
      <c r="E23" s="9" t="inlineStr">
        <is>
          <t>System</t>
        </is>
      </c>
      <c r="F23" s="74" t="inlineStr"/>
      <c r="G23" s="74" t="inlineStr">
        <is>
          <t>V0-15; V0-22 B</t>
        </is>
      </c>
      <c r="H23" s="74" t="inlineStr"/>
      <c r="J23" s="67" t="inlineStr">
        <is>
          <t>R_TPD</t>
        </is>
      </c>
      <c r="K23" s="67" t="inlineStr">
        <is>
          <t>Total &amp; permanent disability</t>
        </is>
      </c>
      <c r="L23" s="75">
        <f>TPD_COST</f>
        <v/>
      </c>
      <c r="M23" s="67" t="inlineStr">
        <is>
          <t>one-off USD</t>
        </is>
      </c>
      <c r="N23" s="13" t="n">
        <v>50</v>
      </c>
      <c r="O23" s="67" t="inlineStr">
        <is>
          <t>age</t>
        </is>
      </c>
      <c r="P23" s="4" t="inlineStr">
        <is>
          <t>One-off cost (= TPD_COST)</t>
        </is>
      </c>
      <c r="Q23" s="4" t="inlineStr">
        <is>
          <t>stressEvents.ts tpd</t>
        </is>
      </c>
    </row>
    <row r="24">
      <c r="A24" s="4" t="inlineStr">
        <is>
          <t>priceLevelOn (option B)</t>
        </is>
      </c>
      <c r="B24" s="47" t="b">
        <v>1</v>
      </c>
      <c r="C24" s="4" t="inlineStr">
        <is>
          <t>TRUE / FALSE</t>
        </is>
      </c>
      <c r="D24" s="4" t="inlineStr">
        <is>
          <t>—</t>
        </is>
      </c>
      <c r="E24" s="9" t="inlineStr">
        <is>
          <t>System</t>
        </is>
      </c>
      <c r="F24" s="74" t="inlineStr"/>
      <c r="G24" s="74" t="inlineStr">
        <is>
          <t>V0-15; V0-22 switched on</t>
        </is>
      </c>
      <c r="H24" s="74" t="inlineStr"/>
      <c r="J24" s="67" t="inlineStr">
        <is>
          <t>R_PAC</t>
        </is>
      </c>
      <c r="K24" s="67" t="inlineStr">
        <is>
          <t>Personal accident</t>
        </is>
      </c>
      <c r="L24" s="75">
        <f>PAC_COST</f>
        <v/>
      </c>
      <c r="M24" s="67" t="inlineStr">
        <is>
          <t>one-off USD</t>
        </is>
      </c>
      <c r="N24" s="13" t="n">
        <v>45</v>
      </c>
      <c r="O24" s="67" t="inlineStr">
        <is>
          <t>age</t>
        </is>
      </c>
      <c r="P24" s="4" t="inlineStr">
        <is>
          <t>One-off cost (= PAC_COST)</t>
        </is>
      </c>
      <c r="Q24" s="4" t="inlineStr">
        <is>
          <t>stressEvents.ts pa</t>
        </is>
      </c>
    </row>
    <row r="25">
      <c r="A25" s="4" t="inlineStr">
        <is>
          <t>LTC_COST (USD / year, N_LTC nursing home)</t>
        </is>
      </c>
      <c r="B25" s="47" t="n">
        <v>129000</v>
      </c>
      <c r="C25" s="4" t="inlineStr">
        <is>
          <t>per year</t>
        </is>
      </c>
      <c r="D25" s="4" t="inlineStr">
        <is>
          <t>USD</t>
        </is>
      </c>
      <c r="E25" s="8" t="inlineStr">
        <is>
          <t>USD</t>
        </is>
      </c>
      <c r="F25" s="74" t="inlineStr">
        <is>
          <t>— (new)</t>
        </is>
      </c>
      <c r="G25" s="74" t="inlineStr">
        <is>
          <t>V0-19</t>
        </is>
      </c>
      <c r="H25" s="74" t="inlineStr"/>
      <c r="J25" s="67" t="inlineStr">
        <is>
          <t>R_HOS</t>
        </is>
      </c>
      <c r="K25" s="67" t="inlineStr">
        <is>
          <t>Hospitalisation</t>
        </is>
      </c>
      <c r="L25" s="47" t="n">
        <v>88800</v>
      </c>
      <c r="M25" s="67" t="inlineStr">
        <is>
          <t>one-off USD</t>
        </is>
      </c>
      <c r="N25" s="13" t="n">
        <v>50</v>
      </c>
      <c r="O25" s="67" t="inlineStr">
        <is>
          <t>age</t>
        </is>
      </c>
      <c r="P25" s="4" t="inlineStr">
        <is>
          <t>One-off hospital bill</t>
        </is>
      </c>
      <c r="Q25" s="4" t="inlineStr">
        <is>
          <t>stressEvents.ts hosp</t>
        </is>
      </c>
    </row>
    <row r="26">
      <c r="A26" s="4" t="inlineStr">
        <is>
          <t>LTC_START_AGE (N_LTC default; front-end input)</t>
        </is>
      </c>
      <c r="B26" s="47" t="n">
        <v>80</v>
      </c>
      <c r="C26" s="4" t="inlineStr">
        <is>
          <t>age</t>
        </is>
      </c>
      <c r="D26" s="4" t="inlineStr">
        <is>
          <t>—</t>
        </is>
      </c>
      <c r="E26" s="33" t="inlineStr">
        <is>
          <t>No currency</t>
        </is>
      </c>
      <c r="F26" s="74" t="inlineStr">
        <is>
          <t>— (new, front-end input)</t>
        </is>
      </c>
      <c r="G26" s="74" t="inlineStr">
        <is>
          <t>V0-19</t>
        </is>
      </c>
      <c r="H26" s="74" t="inlineStr"/>
      <c r="J26" s="67" t="inlineStr">
        <is>
          <t>R_LTC</t>
        </is>
      </c>
      <c r="K26" s="67" t="inlineStr">
        <is>
          <t>Long-term care</t>
        </is>
      </c>
      <c r="L26" s="75">
        <f>LTC_COST</f>
        <v/>
      </c>
      <c r="M26" s="67" t="inlineStr">
        <is>
          <t>USD per year</t>
        </is>
      </c>
      <c r="N26" s="67">
        <f>LTC_START_AGE</f>
        <v/>
      </c>
      <c r="O26" s="67" t="inlineStr">
        <is>
          <t>age → life expectancy</t>
        </is>
      </c>
      <c r="P26" s="4" t="inlineStr">
        <is>
          <t>Care cost every year from that age to the session life expectancy (= N_LTC)</t>
        </is>
      </c>
      <c r="Q26" s="4" t="inlineStr">
        <is>
          <t>stressEvents.ts care</t>
        </is>
      </c>
    </row>
    <row r="27">
      <c r="A27" s="5" t="inlineStr">
        <is>
          <t>Need parameters (src/pipeline/goal_math.py) — money in USD</t>
        </is>
      </c>
      <c r="J27" s="67" t="inlineStr">
        <is>
          <t>R_WED</t>
        </is>
      </c>
      <c r="K27" s="67" t="inlineStr">
        <is>
          <t>Wedding / marriage</t>
        </is>
      </c>
      <c r="L27" s="47" t="n">
        <v>44400</v>
      </c>
      <c r="M27" s="67" t="inlineStr">
        <is>
          <t>one-off USD</t>
        </is>
      </c>
      <c r="N27" s="13" t="n">
        <v>5</v>
      </c>
      <c r="O27" s="67" t="inlineStr">
        <is>
          <t>years from today</t>
        </is>
      </c>
      <c r="P27" s="4" t="inlineStr">
        <is>
          <t>One-off cost</t>
        </is>
      </c>
      <c r="Q27" s="4" t="inlineStr">
        <is>
          <t>stressEvents.ts wed</t>
        </is>
      </c>
    </row>
    <row r="28">
      <c r="A28" s="4" t="inlineStr">
        <is>
          <t>RET_LIFESTYLE_FRUGAL</t>
        </is>
      </c>
      <c r="B28" s="73" t="n">
        <v>0.75</v>
      </c>
      <c r="C28" s="4" t="inlineStr">
        <is>
          <t>× today's spend</t>
        </is>
      </c>
      <c r="D28" s="4" t="inlineStr">
        <is>
          <t>—</t>
        </is>
      </c>
      <c r="E28" s="33" t="inlineStr">
        <is>
          <t>No currency</t>
        </is>
      </c>
      <c r="F28" s="74" t="inlineStr">
        <is>
          <t>goal_math.py LIFESTYLE_RATES</t>
        </is>
      </c>
      <c r="G28" s="74" t="inlineStr">
        <is>
          <t>V0-16 renamed</t>
        </is>
      </c>
      <c r="H28" s="74" t="inlineStr"/>
      <c r="J28" s="67" t="inlineStr">
        <is>
          <t>R_BAB</t>
        </is>
      </c>
      <c r="K28" s="67" t="inlineStr">
        <is>
          <t>Newborn</t>
        </is>
      </c>
      <c r="L28" s="47" t="n">
        <v>25900</v>
      </c>
      <c r="M28" s="67" t="inlineStr">
        <is>
          <t>one-off USD</t>
        </is>
      </c>
      <c r="N28" s="13" t="n">
        <v>3</v>
      </c>
      <c r="O28" s="67" t="inlineStr">
        <is>
          <t>years from today</t>
        </is>
      </c>
      <c r="P28" s="4" t="inlineStr">
        <is>
          <t>One-off cost</t>
        </is>
      </c>
      <c r="Q28" s="4" t="inlineStr">
        <is>
          <t>stressEvents.ts baby</t>
        </is>
      </c>
    </row>
    <row r="29">
      <c r="A29" s="4" t="inlineStr">
        <is>
          <t>RET_LIFESTYLE_STRESSFREE</t>
        </is>
      </c>
      <c r="B29" s="73" t="n">
        <v>1</v>
      </c>
      <c r="C29" s="4" t="inlineStr">
        <is>
          <t>× today's spend</t>
        </is>
      </c>
      <c r="D29" s="4" t="inlineStr">
        <is>
          <t>—</t>
        </is>
      </c>
      <c r="E29" s="33" t="inlineStr">
        <is>
          <t>No currency</t>
        </is>
      </c>
      <c r="F29" s="74" t="inlineStr">
        <is>
          <t>goal_math.py LIFESTYLE_RATES</t>
        </is>
      </c>
      <c r="G29" s="74" t="inlineStr">
        <is>
          <t>V0-16 renamed</t>
        </is>
      </c>
      <c r="H29" s="74" t="inlineStr"/>
      <c r="J29" s="67" t="inlineStr">
        <is>
          <t>R_LON</t>
        </is>
      </c>
      <c r="K29" s="67" t="inlineStr">
        <is>
          <t>Longevity</t>
        </is>
      </c>
      <c r="L29" s="75" t="inlineStr">
        <is>
          <t>—</t>
        </is>
      </c>
      <c r="M29" s="67" t="inlineStr"/>
      <c r="N29" s="67">
        <f>LON_AGE</f>
        <v/>
      </c>
      <c r="O29" s="67" t="inlineStr">
        <is>
          <t>age</t>
        </is>
      </c>
      <c r="P29" s="4" t="inlineStr">
        <is>
          <t>Chart horizon to LON_AGE; N_RET and N_LTC re-sized (display only)</t>
        </is>
      </c>
      <c r="Q29" s="4" t="inlineStr">
        <is>
          <t>— (new)</t>
        </is>
      </c>
    </row>
    <row r="30">
      <c r="A30" s="4" t="inlineStr">
        <is>
          <t>RET_LIFESTYLE_ONLYTHEBEST</t>
        </is>
      </c>
      <c r="B30" s="73" t="n">
        <v>1.25</v>
      </c>
      <c r="C30" s="4" t="inlineStr">
        <is>
          <t>× today's spend</t>
        </is>
      </c>
      <c r="D30" s="4" t="inlineStr">
        <is>
          <t>—</t>
        </is>
      </c>
      <c r="E30" s="33" t="inlineStr">
        <is>
          <t>No currency</t>
        </is>
      </c>
      <c r="F30" s="74" t="inlineStr">
        <is>
          <t>goal_math.py LIFESTYLE_RATES</t>
        </is>
      </c>
      <c r="G30" s="74" t="inlineStr">
        <is>
          <t>V0-16 renamed</t>
        </is>
      </c>
      <c r="H30" s="74" t="inlineStr"/>
      <c r="J30" s="67" t="inlineStr">
        <is>
          <t>R_MKT</t>
        </is>
      </c>
      <c r="K30" s="67" t="inlineStr">
        <is>
          <t>Market crash</t>
        </is>
      </c>
      <c r="L30" s="77" t="n">
        <v>0.35</v>
      </c>
      <c r="M30" s="67" t="inlineStr">
        <is>
          <t>% of assets</t>
        </is>
      </c>
      <c r="N30" s="67" t="n">
        <v>8</v>
      </c>
      <c r="O30" s="67" t="inlineStr">
        <is>
          <t>years from today</t>
        </is>
      </c>
      <c r="P30" s="4" t="inlineStr">
        <is>
          <t>Haircut on invested assets</t>
        </is>
      </c>
      <c r="Q30" s="4" t="inlineStr">
        <is>
          <t>stressEvents.ts crash</t>
        </is>
      </c>
    </row>
    <row r="31">
      <c r="A31" s="4" t="inlineStr">
        <is>
          <t>INC_SUPPORT_MIN</t>
        </is>
      </c>
      <c r="B31" s="47" t="n">
        <v>10</v>
      </c>
      <c r="C31" s="4" t="inlineStr">
        <is>
          <t>years</t>
        </is>
      </c>
      <c r="D31" s="4" t="inlineStr">
        <is>
          <t>—</t>
        </is>
      </c>
      <c r="E31" s="33" t="inlineStr">
        <is>
          <t>No currency</t>
        </is>
      </c>
      <c r="F31" s="74" t="inlineStr">
        <is>
          <t>goal_math.py LIFE_SUPPORT_MIN_YEARS</t>
        </is>
      </c>
      <c r="G31" s="74" t="inlineStr">
        <is>
          <t>V0-16 renamed</t>
        </is>
      </c>
      <c r="H31" s="74" t="inlineStr"/>
      <c r="J31" s="67" t="inlineStr">
        <is>
          <t>R_CCY</t>
        </is>
      </c>
      <c r="K31" s="67" t="inlineStr">
        <is>
          <t>Currency shock</t>
        </is>
      </c>
      <c r="L31" s="77" t="n">
        <v>0.14</v>
      </c>
      <c r="M31" s="67" t="inlineStr">
        <is>
          <t>% (× 2/3 on liquid)</t>
        </is>
      </c>
      <c r="N31" s="67" t="n">
        <v>6</v>
      </c>
      <c r="O31" s="67" t="inlineStr">
        <is>
          <t>years from today</t>
        </is>
      </c>
      <c r="P31" s="4" t="inlineStr">
        <is>
          <t>Haircut on liquid assets</t>
        </is>
      </c>
      <c r="Q31" s="4" t="inlineStr">
        <is>
          <t>stressEvents.ts ccy</t>
        </is>
      </c>
    </row>
    <row r="32">
      <c r="A32" s="4" t="inlineStr">
        <is>
          <t>INC_SUPPORT_MAX</t>
        </is>
      </c>
      <c r="B32" s="47" t="n">
        <v>25</v>
      </c>
      <c r="C32" s="4" t="inlineStr">
        <is>
          <t>years</t>
        </is>
      </c>
      <c r="D32" s="4" t="inlineStr">
        <is>
          <t>—</t>
        </is>
      </c>
      <c r="E32" s="33" t="inlineStr">
        <is>
          <t>No currency</t>
        </is>
      </c>
      <c r="F32" s="74" t="inlineStr">
        <is>
          <t>goal_math.py LIFE_SUPPORT_MAX_YEARS</t>
        </is>
      </c>
      <c r="G32" s="74" t="inlineStr">
        <is>
          <t>V0-16 renamed</t>
        </is>
      </c>
      <c r="H32" s="74" t="inlineStr"/>
      <c r="J32" s="67" t="inlineStr">
        <is>
          <t>R_INF</t>
        </is>
      </c>
      <c r="K32" s="67" t="inlineStr">
        <is>
          <t>Inflation shock</t>
        </is>
      </c>
      <c r="L32" s="77" t="n">
        <v>0.03</v>
      </c>
      <c r="M32" s="67" t="inlineStr">
        <is>
          <t>+ pp</t>
        </is>
      </c>
      <c r="N32" s="67" t="inlineStr">
        <is>
          <t>4–9</t>
        </is>
      </c>
      <c r="O32" s="67" t="inlineStr">
        <is>
          <t>years from today</t>
        </is>
      </c>
      <c r="P32" s="4" t="inlineStr">
        <is>
          <t>inflationRate + extra</t>
        </is>
      </c>
      <c r="Q32" s="4" t="inlineStr">
        <is>
          <t>stressEvents.ts infl</t>
        </is>
      </c>
    </row>
    <row r="33">
      <c r="A33" s="4" t="inlineStr">
        <is>
          <t>INC_SUPPORT_PIVOT_AGE</t>
        </is>
      </c>
      <c r="B33" s="47" t="n">
        <v>50</v>
      </c>
      <c r="C33" s="4" t="inlineStr">
        <is>
          <t>age</t>
        </is>
      </c>
      <c r="D33" s="4" t="inlineStr">
        <is>
          <t>—</t>
        </is>
      </c>
      <c r="E33" s="33" t="inlineStr">
        <is>
          <t>No currency</t>
        </is>
      </c>
      <c r="F33" s="74" t="inlineStr">
        <is>
          <t>goal_math.py LIFE_SUPPORT_PIVOT_AGE</t>
        </is>
      </c>
      <c r="G33" s="74" t="inlineStr">
        <is>
          <t>V0-16 renamed</t>
        </is>
      </c>
      <c r="H33" s="74" t="inlineStr"/>
      <c r="J33" s="67" t="inlineStr">
        <is>
          <t>R_ICT</t>
        </is>
      </c>
      <c r="K33" s="67" t="inlineStr">
        <is>
          <t>Income cut</t>
        </is>
      </c>
      <c r="L33" s="77" t="n">
        <v>-0.2</v>
      </c>
      <c r="M33" s="67" t="inlineStr">
        <is>
          <t>% of salary</t>
        </is>
      </c>
      <c r="N33" s="67" t="inlineStr">
        <is>
          <t>5–10</t>
        </is>
      </c>
      <c r="O33" s="67" t="inlineStr">
        <is>
          <t>years from today</t>
        </is>
      </c>
      <c r="P33" s="4" t="inlineStr">
        <is>
          <t>Salary reduced for that span</t>
        </is>
      </c>
      <c r="Q33" s="4" t="inlineStr">
        <is>
          <t>stressEvents.ts inc</t>
        </is>
      </c>
    </row>
    <row r="34">
      <c r="A34" s="4" t="inlineStr">
        <is>
          <t>CRI_YEARS</t>
        </is>
      </c>
      <c r="B34" s="47" t="n">
        <v>3</v>
      </c>
      <c r="C34" s="4" t="inlineStr">
        <is>
          <t>years</t>
        </is>
      </c>
      <c r="D34" s="4" t="inlineStr">
        <is>
          <t>—</t>
        </is>
      </c>
      <c r="E34" s="33" t="inlineStr">
        <is>
          <t>No currency</t>
        </is>
      </c>
      <c r="F34" s="74" t="inlineStr">
        <is>
          <t>goal_math.py CI_YEARS</t>
        </is>
      </c>
      <c r="G34" s="74" t="inlineStr">
        <is>
          <t>V0-16 renamed</t>
        </is>
      </c>
      <c r="H34" s="74" t="inlineStr"/>
      <c r="J34" s="67" t="inlineStr">
        <is>
          <t>R_EXP</t>
        </is>
      </c>
      <c r="K34" s="67" t="inlineStr">
        <is>
          <t>Expense shock</t>
        </is>
      </c>
      <c r="L34" s="77" t="n">
        <v>0.15</v>
      </c>
      <c r="M34" s="67" t="inlineStr">
        <is>
          <t>% of spend</t>
        </is>
      </c>
      <c r="N34" s="67" t="inlineStr">
        <is>
          <t>6–12</t>
        </is>
      </c>
      <c r="O34" s="67" t="inlineStr">
        <is>
          <t>years from today</t>
        </is>
      </c>
      <c r="P34" s="4" t="inlineStr">
        <is>
          <t>Living spend raised for that span</t>
        </is>
      </c>
      <c r="Q34" s="4" t="inlineStr">
        <is>
          <t>stressEvents.ts exp</t>
        </is>
      </c>
    </row>
    <row r="35">
      <c r="A35" s="4" t="inlineStr">
        <is>
          <t>CRI_COST (USD)</t>
        </is>
      </c>
      <c r="B35" s="47" t="n">
        <v>148000</v>
      </c>
      <c r="C35" s="4" t="inlineStr">
        <is>
          <t>one-off</t>
        </is>
      </c>
      <c r="D35" s="4" t="inlineStr">
        <is>
          <t>USD</t>
        </is>
      </c>
      <c r="E35" s="8" t="inlineStr">
        <is>
          <t>USD</t>
        </is>
      </c>
      <c r="F35" s="74" t="inlineStr">
        <is>
          <t>goal_math.py CI_COST (SGD)</t>
        </is>
      </c>
      <c r="G35" s="74" t="inlineStr">
        <is>
          <t>V0-15 USD; V0-21 also sent to HappiU</t>
        </is>
      </c>
      <c r="H35" s="74" t="inlineStr"/>
    </row>
    <row r="36">
      <c r="A36" s="4" t="inlineStr">
        <is>
          <t>TPD_YEARS</t>
        </is>
      </c>
      <c r="B36" s="47" t="n">
        <v>5</v>
      </c>
      <c r="C36" s="4" t="inlineStr">
        <is>
          <t>years</t>
        </is>
      </c>
      <c r="D36" s="4" t="inlineStr">
        <is>
          <t>—</t>
        </is>
      </c>
      <c r="E36" s="33" t="inlineStr">
        <is>
          <t>No currency</t>
        </is>
      </c>
      <c r="F36" s="74" t="inlineStr">
        <is>
          <t>goal_math.py TPD_YEARS</t>
        </is>
      </c>
      <c r="G36" s="74" t="inlineStr"/>
      <c r="H36" s="74" t="inlineStr"/>
    </row>
    <row r="37">
      <c r="A37" s="4" t="inlineStr">
        <is>
          <t>TPD_COST (USD)</t>
        </is>
      </c>
      <c r="B37" s="47" t="n">
        <v>148000</v>
      </c>
      <c r="C37" s="4" t="inlineStr">
        <is>
          <t>one-off</t>
        </is>
      </c>
      <c r="D37" s="4" t="inlineStr">
        <is>
          <t>USD</t>
        </is>
      </c>
      <c r="E37" s="8" t="inlineStr">
        <is>
          <t>USD</t>
        </is>
      </c>
      <c r="F37" s="74" t="inlineStr">
        <is>
          <t>goal_math.py TPD_COST (SGD)</t>
        </is>
      </c>
      <c r="G37" s="74" t="inlineStr">
        <is>
          <t>V0-15 USD; V0-21 also sent to HappiU</t>
        </is>
      </c>
      <c r="H37" s="74" t="inlineStr"/>
      <c r="J37" s="5" t="inlineStr">
        <is>
          <t>Parameters held on other tabs (by design)</t>
        </is>
      </c>
    </row>
    <row r="38">
      <c r="A38" s="4" t="inlineStr">
        <is>
          <t>HOS_MONTHS</t>
        </is>
      </c>
      <c r="B38" s="47" t="n">
        <v>6</v>
      </c>
      <c r="C38" s="4" t="inlineStr">
        <is>
          <t>months of income</t>
        </is>
      </c>
      <c r="D38" s="4" t="inlineStr">
        <is>
          <t>—</t>
        </is>
      </c>
      <c r="E38" s="33" t="inlineStr">
        <is>
          <t>No currency</t>
        </is>
      </c>
      <c r="F38" s="74" t="inlineStr">
        <is>
          <t>goal_math.py HOSP_MONTHS</t>
        </is>
      </c>
      <c r="G38" s="74" t="inlineStr">
        <is>
          <t>V0-16 renamed</t>
        </is>
      </c>
      <c r="H38" s="74" t="inlineStr"/>
      <c r="J38" s="3" t="inlineStr">
        <is>
          <t>parameter</t>
        </is>
      </c>
      <c r="K38" s="3" t="inlineStr">
        <is>
          <t>where</t>
        </is>
      </c>
      <c r="L38" s="3" t="inlineStr">
        <is>
          <t>currency</t>
        </is>
      </c>
      <c r="M38" s="3" t="inlineStr">
        <is>
          <t>why there</t>
        </is>
      </c>
    </row>
    <row r="39">
      <c r="A39" s="4" t="inlineStr">
        <is>
          <t>EDU_COST (USD)</t>
        </is>
      </c>
      <c r="B39" s="47" t="n">
        <v>55500</v>
      </c>
      <c r="C39" s="4" t="inlineStr">
        <is>
          <t>one-off</t>
        </is>
      </c>
      <c r="D39" s="4" t="inlineStr">
        <is>
          <t>USD</t>
        </is>
      </c>
      <c r="E39" s="8" t="inlineStr">
        <is>
          <t>USD</t>
        </is>
      </c>
      <c r="F39" s="74" t="inlineStr">
        <is>
          <t>goal_math.py EDU_TOTAL_COST (SGD)</t>
        </is>
      </c>
      <c r="G39" s="74" t="inlineStr">
        <is>
          <t>V0-15 USD; V0-16 renamed</t>
        </is>
      </c>
      <c r="H39" s="74" t="inlineStr"/>
      <c r="J39" s="4" t="inlineStr">
        <is>
          <t>CPF rates, OW_CEILING</t>
        </is>
      </c>
      <c r="K39" s="4" t="inlineStr">
        <is>
          <t>CPF tab</t>
        </is>
      </c>
      <c r="L39" s="4" t="inlineStr">
        <is>
          <t>SGD</t>
        </is>
      </c>
      <c r="M39" s="4" t="inlineStr">
        <is>
          <t>Country plug-in (SG-CPF): local by design</t>
        </is>
      </c>
    </row>
    <row r="40">
      <c r="A40" s="4" t="inlineStr">
        <is>
          <t>EDU_YEARS_DEFAULT</t>
        </is>
      </c>
      <c r="B40" s="47" t="n">
        <v>10</v>
      </c>
      <c r="C40" s="4" t="inlineStr">
        <is>
          <t>years</t>
        </is>
      </c>
      <c r="D40" s="4" t="inlineStr">
        <is>
          <t>—</t>
        </is>
      </c>
      <c r="E40" s="33" t="inlineStr">
        <is>
          <t>No currency</t>
        </is>
      </c>
      <c r="F40" s="74" t="inlineStr">
        <is>
          <t>needEdit.ts</t>
        </is>
      </c>
      <c r="G40" s="74" t="inlineStr">
        <is>
          <t>V0-16 renamed</t>
        </is>
      </c>
      <c r="H40" s="74" t="inlineStr"/>
      <c r="J40" s="4" t="inlineStr">
        <is>
          <t>Income anchors (occupation bands)</t>
        </is>
      </c>
      <c r="K40" s="4" t="inlineStr">
        <is>
          <t>Assumptions J6:L13</t>
        </is>
      </c>
      <c r="L40" s="4" t="inlineStr">
        <is>
          <t>SGD</t>
        </is>
      </c>
      <c r="M40" s="4" t="inlineStr">
        <is>
          <t>Country plug-in: local by design</t>
        </is>
      </c>
    </row>
    <row r="41">
      <c r="A41" s="4" t="inlineStr">
        <is>
          <t>SAV_INCOME_MULT</t>
        </is>
      </c>
      <c r="B41" s="47" t="n">
        <v>1</v>
      </c>
      <c r="C41" s="4" t="inlineStr">
        <is>
          <t>× annual income</t>
        </is>
      </c>
      <c r="D41" s="4" t="inlineStr">
        <is>
          <t>—</t>
        </is>
      </c>
      <c r="E41" s="33" t="inlineStr">
        <is>
          <t>No currency</t>
        </is>
      </c>
      <c r="F41" s="74" t="inlineStr">
        <is>
          <t>need_calculator.py</t>
        </is>
      </c>
      <c r="G41" s="74" t="inlineStr">
        <is>
          <t>V0-16 renamed</t>
        </is>
      </c>
      <c r="H41" s="74" t="inlineStr"/>
      <c r="J41" s="4" t="inlineStr">
        <is>
          <t>FX rates (152 currencies), PPP price levels (245 countries)</t>
        </is>
      </c>
      <c r="K41" s="4" t="inlineStr">
        <is>
          <t>FX tab; fx_ppp/*.csv</t>
        </is>
      </c>
      <c r="L41" s="4" t="inlineStr">
        <is>
          <t>USD per 1</t>
        </is>
      </c>
      <c r="M41" s="4" t="inlineStr">
        <is>
          <t>Data snapshot; live feed locked per session in the app</t>
        </is>
      </c>
    </row>
    <row r="42">
      <c r="A42" s="4" t="inlineStr">
        <is>
          <t>PRP_INCOME_MULT</t>
        </is>
      </c>
      <c r="B42" s="47" t="n">
        <v>5</v>
      </c>
      <c r="C42" s="4" t="inlineStr">
        <is>
          <t>× annual income</t>
        </is>
      </c>
      <c r="D42" s="4" t="inlineStr">
        <is>
          <t>—</t>
        </is>
      </c>
      <c r="E42" s="33" t="inlineStr">
        <is>
          <t>No currency</t>
        </is>
      </c>
      <c r="F42" s="74" t="inlineStr">
        <is>
          <t>need_calculator.py</t>
        </is>
      </c>
      <c r="G42" s="74" t="inlineStr">
        <is>
          <t>V0-16 renamed</t>
        </is>
      </c>
      <c r="H42" s="74" t="inlineStr"/>
      <c r="J42" s="4" t="inlineStr">
        <is>
          <t>SV CPF caps, BRS, CPF LIFE tables</t>
        </is>
      </c>
      <c r="K42" s="4" t="inlineStr">
        <is>
          <t>Scenario Visualizer</t>
        </is>
      </c>
      <c r="L42" s="4" t="inlineStr">
        <is>
          <t>SGD</t>
        </is>
      </c>
      <c r="M42" s="4" t="inlineStr">
        <is>
          <t>SG-CPF module inside SV: local by design</t>
        </is>
      </c>
    </row>
    <row r="43">
      <c r="A43" s="4" t="inlineStr">
        <is>
          <t>PAC_YEARS</t>
        </is>
      </c>
      <c r="B43" s="47" t="n">
        <v>1</v>
      </c>
      <c r="C43" s="4" t="inlineStr">
        <is>
          <t>years</t>
        </is>
      </c>
      <c r="D43" s="4" t="inlineStr">
        <is>
          <t>—</t>
        </is>
      </c>
      <c r="E43" s="33" t="inlineStr">
        <is>
          <t>No currency</t>
        </is>
      </c>
      <c r="F43" s="74" t="inlineStr">
        <is>
          <t>— (new)</t>
        </is>
      </c>
      <c r="G43" s="74" t="inlineStr">
        <is>
          <t>V0-16, agreed V0-18</t>
        </is>
      </c>
      <c r="H43" s="74" t="inlineStr"/>
      <c r="J43" s="4" t="inlineStr">
        <is>
          <t>SV savingsRate, property premium, currency share</t>
        </is>
      </c>
      <c r="K43" s="4" t="inlineStr">
        <is>
          <t>Scenario Visualizer</t>
        </is>
      </c>
      <c r="L43" s="4" t="inlineStr">
        <is>
          <t>—</t>
        </is>
      </c>
      <c r="M43" s="4" t="inlineStr">
        <is>
          <t>SV engine constants</t>
        </is>
      </c>
    </row>
    <row r="44">
      <c r="A44" s="4" t="inlineStr">
        <is>
          <t>PAC_COST (USD = S$80,000 × 0.74)</t>
        </is>
      </c>
      <c r="B44" s="47" t="n">
        <v>59200</v>
      </c>
      <c r="C44" s="4" t="inlineStr">
        <is>
          <t>one-off</t>
        </is>
      </c>
      <c r="D44" s="4" t="inlineStr">
        <is>
          <t>USD</t>
        </is>
      </c>
      <c r="E44" s="8" t="inlineStr">
        <is>
          <t>USD</t>
        </is>
      </c>
      <c r="F44" s="74" t="inlineStr">
        <is>
          <t>— (new)</t>
        </is>
      </c>
      <c r="G44" s="74" t="inlineStr">
        <is>
          <t>V0-16, agreed V0-18</t>
        </is>
      </c>
      <c r="H44" s="74" t="inlineStr"/>
      <c r="J44" s="4" t="inlineStr">
        <is>
          <t>HappiU engine constants (whl, beta, cuts, cover age 75, dependent years 10)</t>
        </is>
      </c>
      <c r="K44" s="4" t="inlineStr">
        <is>
          <t>HappiU</t>
        </is>
      </c>
      <c r="L44" s="4" t="inlineStr">
        <is>
          <t>—</t>
        </is>
      </c>
      <c r="M44" s="4" t="inlineStr">
        <is>
          <t>HU engine constants</t>
        </is>
      </c>
    </row>
    <row r="45">
      <c r="A45" s="4" t="inlineStr">
        <is>
          <t>LON_AGE (life expectancy cap and R_LON)</t>
        </is>
      </c>
      <c r="B45" s="47" t="n">
        <v>99</v>
      </c>
      <c r="C45" s="4" t="inlineStr">
        <is>
          <t>age</t>
        </is>
      </c>
      <c r="D45" s="4" t="inlineStr">
        <is>
          <t>—</t>
        </is>
      </c>
      <c r="E45" s="33" t="inlineStr">
        <is>
          <t>No currency</t>
        </is>
      </c>
      <c r="F45" s="74" t="inlineStr">
        <is>
          <t>goal_math.py LIFE_EXPECTANCY_MAX</t>
        </is>
      </c>
      <c r="G45" s="74" t="inlineStr">
        <is>
          <t>V0-21: also the LE cap and the SV path end</t>
        </is>
      </c>
      <c r="H45" s="74" t="inlineStr"/>
      <c r="J45" s="4" t="inlineStr">
        <is>
          <t>Validation min / max</t>
        </is>
      </c>
      <c r="K45" s="4" t="inlineStr">
        <is>
          <t>Validation</t>
        </is>
      </c>
      <c r="L45" s="4" t="inlineStr">
        <is>
          <t>USD</t>
        </is>
      </c>
      <c r="M45" s="4" t="inlineStr">
        <is>
          <t>USD sanity bands</t>
        </is>
      </c>
    </row>
    <row r="46">
      <c r="A46" s="5" t="inlineStr">
        <is>
          <t>Household seeding (src/predict.py spend / assets; CPF is on the CPF tab)</t>
        </is>
      </c>
      <c r="J46" s="4" t="inlineStr">
        <is>
          <t>Need Profiler factor weights</t>
        </is>
      </c>
      <c r="K46" s="4" t="inlineStr">
        <is>
          <t>Assumptions A88</t>
        </is>
      </c>
      <c r="L46" s="4" t="inlineStr">
        <is>
          <t>—</t>
        </is>
      </c>
      <c r="M46" s="4" t="inlineStr">
        <is>
          <t>Need_profiler.json</t>
        </is>
      </c>
    </row>
    <row r="47">
      <c r="A47" s="4" t="inlineStr">
        <is>
          <t>spendShareBase</t>
        </is>
      </c>
      <c r="B47" s="73" t="n">
        <v>0.675</v>
      </c>
      <c r="C47" s="4" t="inlineStr">
        <is>
          <t>% of take-home</t>
        </is>
      </c>
      <c r="D47" s="4" t="inlineStr">
        <is>
          <t>—</t>
        </is>
      </c>
      <c r="E47" s="33" t="inlineStr">
        <is>
          <t>No currency</t>
        </is>
      </c>
      <c r="F47" s="74" t="inlineStr">
        <is>
          <t>src/cpf.py spend_share</t>
        </is>
      </c>
      <c r="G47" s="74" t="inlineStr"/>
      <c r="H47" s="74" t="inlineStr"/>
    </row>
    <row r="48">
      <c r="A48" s="4" t="inlineStr">
        <is>
          <t>spendSharePerDependant</t>
        </is>
      </c>
      <c r="B48" s="73" t="n">
        <v>0.05</v>
      </c>
      <c r="C48" s="4" t="inlineStr">
        <is>
          <t>pp per dependant</t>
        </is>
      </c>
      <c r="D48" s="4" t="inlineStr">
        <is>
          <t>—</t>
        </is>
      </c>
      <c r="E48" s="33" t="inlineStr">
        <is>
          <t>No currency</t>
        </is>
      </c>
      <c r="F48" s="74" t="inlineStr">
        <is>
          <t>src/cpf.py spend_share</t>
        </is>
      </c>
      <c r="G48" s="74" t="inlineStr"/>
      <c r="H48" s="74" t="inlineStr"/>
    </row>
    <row r="49">
      <c r="A49" s="4" t="inlineStr">
        <is>
          <t>spendShareCap</t>
        </is>
      </c>
      <c r="B49" s="73" t="n">
        <v>0.9</v>
      </c>
      <c r="C49" s="4" t="inlineStr">
        <is>
          <t>% of take-home</t>
        </is>
      </c>
      <c r="D49" s="4" t="inlineStr">
        <is>
          <t>—</t>
        </is>
      </c>
      <c r="E49" s="33" t="inlineStr">
        <is>
          <t>No currency</t>
        </is>
      </c>
      <c r="F49" s="74" t="inlineStr">
        <is>
          <t>src/cpf.py spend_share</t>
        </is>
      </c>
      <c r="G49" s="74" t="inlineStr"/>
      <c r="H49" s="74" t="inlineStr"/>
    </row>
    <row r="50">
      <c r="A50" s="4" t="inlineStr">
        <is>
          <t>assetsSaveShare</t>
        </is>
      </c>
      <c r="B50" s="73" t="n">
        <v>0.5</v>
      </c>
      <c r="C50" s="4" t="inlineStr">
        <is>
          <t>% of surplus</t>
        </is>
      </c>
      <c r="D50" s="4" t="inlineStr">
        <is>
          <t>—</t>
        </is>
      </c>
      <c r="E50" s="33" t="inlineStr">
        <is>
          <t>No currency</t>
        </is>
      </c>
      <c r="F50" s="74" t="inlineStr">
        <is>
          <t>people_like_you.py</t>
        </is>
      </c>
      <c r="G50" s="74" t="inlineStr"/>
      <c r="H50" s="74" t="inlineStr"/>
    </row>
    <row r="51">
      <c r="A51" s="4" t="inlineStr">
        <is>
          <t>workStartAge</t>
        </is>
      </c>
      <c r="B51" s="47" t="n">
        <v>21</v>
      </c>
      <c r="C51" s="4" t="inlineStr">
        <is>
          <t>age</t>
        </is>
      </c>
      <c r="D51" s="4" t="inlineStr">
        <is>
          <t>—</t>
        </is>
      </c>
      <c r="E51" s="33" t="inlineStr">
        <is>
          <t>No currency</t>
        </is>
      </c>
      <c r="F51" s="74" t="inlineStr">
        <is>
          <t>people_like_you.py</t>
        </is>
      </c>
      <c r="G51" s="74" t="inlineStr"/>
      <c r="H51" s="74" t="inlineStr"/>
    </row>
    <row r="52">
      <c r="A52" s="4" t="inlineStr">
        <is>
          <t>liabilityRatio (PLU only; not the mortgage)</t>
        </is>
      </c>
      <c r="B52" s="73" t="n">
        <v>0.7</v>
      </c>
      <c r="C52" s="4" t="inlineStr">
        <is>
          <t>× assets</t>
        </is>
      </c>
      <c r="D52" s="4" t="inlineStr">
        <is>
          <t>—</t>
        </is>
      </c>
      <c r="E52" s="33" t="inlineStr">
        <is>
          <t>No currency</t>
        </is>
      </c>
      <c r="F52" s="74" t="inlineStr">
        <is>
          <t>people_like_you.py</t>
        </is>
      </c>
      <c r="G52" s="74" t="inlineStr"/>
      <c r="H52" s="74" t="inlineStr"/>
    </row>
    <row r="53">
      <c r="A53" s="4" t="inlineStr">
        <is>
          <t>CASH_SAVINGS_SHARE</t>
        </is>
      </c>
      <c r="B53" s="73" t="n">
        <v>0.15</v>
      </c>
      <c r="C53" s="4" t="inlineStr">
        <is>
          <t>% of assets</t>
        </is>
      </c>
      <c r="D53" s="4" t="inlineStr">
        <is>
          <t>—</t>
        </is>
      </c>
      <c r="E53" s="33" t="inlineStr">
        <is>
          <t>No currency</t>
        </is>
      </c>
      <c r="F53" s="74" t="inlineStr">
        <is>
          <t>predict.py</t>
        </is>
      </c>
      <c r="G53" s="74" t="inlineStr"/>
      <c r="H53" s="74" t="inlineStr"/>
    </row>
    <row r="54">
      <c r="A54" s="4" t="inlineStr">
        <is>
          <t>INVESTMENTS_SHARE</t>
        </is>
      </c>
      <c r="B54" s="73" t="n">
        <v>0.85</v>
      </c>
      <c r="C54" s="4" t="inlineStr">
        <is>
          <t>% of assets</t>
        </is>
      </c>
      <c r="D54" s="4" t="inlineStr">
        <is>
          <t>—</t>
        </is>
      </c>
      <c r="E54" s="33" t="inlineStr">
        <is>
          <t>No currency</t>
        </is>
      </c>
      <c r="F54" s="74" t="inlineStr">
        <is>
          <t>predict.py</t>
        </is>
      </c>
      <c r="G54" s="74" t="inlineStr"/>
      <c r="H54" s="74" t="inlineStr"/>
    </row>
    <row r="55">
      <c r="A55" s="4" t="inlineStr">
        <is>
          <t>propertyLow (USD)</t>
        </is>
      </c>
      <c r="B55" s="47" t="n">
        <v>259000</v>
      </c>
      <c r="C55" s="4" t="inlineStr">
        <is>
          <t>value</t>
        </is>
      </c>
      <c r="D55" s="4" t="inlineStr">
        <is>
          <t>USD</t>
        </is>
      </c>
      <c r="E55" s="8" t="inlineStr">
        <is>
          <t>USD</t>
        </is>
      </c>
      <c r="F55" s="74" t="inlineStr">
        <is>
          <t>predict.py seed_property_value (SGD)</t>
        </is>
      </c>
      <c r="G55" s="74" t="inlineStr">
        <is>
          <t>V0-15</t>
        </is>
      </c>
      <c r="H55" s="74" t="inlineStr"/>
    </row>
    <row r="56">
      <c r="A56" s="4" t="inlineStr">
        <is>
          <t>propertyMid (USD)</t>
        </is>
      </c>
      <c r="B56" s="47" t="n">
        <v>481000</v>
      </c>
      <c r="C56" s="4" t="inlineStr">
        <is>
          <t>value</t>
        </is>
      </c>
      <c r="D56" s="4" t="inlineStr">
        <is>
          <t>USD</t>
        </is>
      </c>
      <c r="E56" s="8" t="inlineStr">
        <is>
          <t>USD</t>
        </is>
      </c>
      <c r="F56" s="74" t="inlineStr">
        <is>
          <t>predict.py seed_property_value (SGD)</t>
        </is>
      </c>
      <c r="G56" s="74" t="inlineStr">
        <is>
          <t>V0-15</t>
        </is>
      </c>
      <c r="H56" s="74" t="inlineStr"/>
    </row>
    <row r="57">
      <c r="A57" s="4" t="inlineStr">
        <is>
          <t>propertyHigh (USD)</t>
        </is>
      </c>
      <c r="B57" s="47" t="n">
        <v>629000</v>
      </c>
      <c r="C57" s="4" t="inlineStr">
        <is>
          <t>value</t>
        </is>
      </c>
      <c r="D57" s="4" t="inlineStr">
        <is>
          <t>USD</t>
        </is>
      </c>
      <c r="E57" s="8" t="inlineStr">
        <is>
          <t>USD</t>
        </is>
      </c>
      <c r="F57" s="74" t="inlineStr">
        <is>
          <t>predict.py seed_property_value (SGD)</t>
        </is>
      </c>
      <c r="G57" s="74" t="inlineStr">
        <is>
          <t>V0-15</t>
        </is>
      </c>
      <c r="H57" s="74" t="inlineStr"/>
    </row>
    <row r="58">
      <c r="A58" s="4" t="inlineStr">
        <is>
          <t>propertyIncomeLow (USD / month)</t>
        </is>
      </c>
      <c r="B58" s="47" t="n">
        <v>7400</v>
      </c>
      <c r="C58" s="4" t="inlineStr">
        <is>
          <t>per month</t>
        </is>
      </c>
      <c r="D58" s="4" t="inlineStr">
        <is>
          <t>USD</t>
        </is>
      </c>
      <c r="E58" s="8" t="inlineStr">
        <is>
          <t>USD</t>
        </is>
      </c>
      <c r="F58" s="74" t="inlineStr">
        <is>
          <t>predict.py (SGD)</t>
        </is>
      </c>
      <c r="G58" s="74" t="inlineStr">
        <is>
          <t>V0-15</t>
        </is>
      </c>
      <c r="H58" s="74" t="inlineStr"/>
    </row>
    <row r="59">
      <c r="A59" s="4" t="inlineStr">
        <is>
          <t>propertyIncomeHigh (USD / month)</t>
        </is>
      </c>
      <c r="B59" s="47" t="n">
        <v>14800</v>
      </c>
      <c r="C59" s="4" t="inlineStr">
        <is>
          <t>per month</t>
        </is>
      </c>
      <c r="D59" s="4" t="inlineStr">
        <is>
          <t>USD</t>
        </is>
      </c>
      <c r="E59" s="8" t="inlineStr">
        <is>
          <t>USD</t>
        </is>
      </c>
      <c r="F59" s="74" t="inlineStr">
        <is>
          <t>predict.py (SGD)</t>
        </is>
      </c>
      <c r="G59" s="74" t="inlineStr">
        <is>
          <t>V0-15</t>
        </is>
      </c>
      <c r="H59" s="74" t="inlineStr"/>
    </row>
    <row r="60">
      <c r="A60" s="4" t="inlineStr">
        <is>
          <t>PROPERTY_LTV</t>
        </is>
      </c>
      <c r="B60" s="73" t="n">
        <v>0.55</v>
      </c>
      <c r="C60" s="4" t="inlineStr">
        <is>
          <t>% of property</t>
        </is>
      </c>
      <c r="D60" s="4" t="inlineStr">
        <is>
          <t>—</t>
        </is>
      </c>
      <c r="E60" s="33" t="inlineStr">
        <is>
          <t>No currency</t>
        </is>
      </c>
      <c r="F60" s="74" t="inlineStr">
        <is>
          <t>predict.py PROPERTY_LTV</t>
        </is>
      </c>
      <c r="G60" s="74" t="inlineStr"/>
      <c r="H60" s="74" t="inlineStr"/>
    </row>
    <row r="61">
      <c r="A61" s="4" t="inlineStr">
        <is>
          <t>lifePremiumRate</t>
        </is>
      </c>
      <c r="B61" s="78" t="n">
        <v>0.0031</v>
      </c>
      <c r="C61" s="4" t="inlineStr">
        <is>
          <t>% of sum</t>
        </is>
      </c>
      <c r="D61" s="4" t="inlineStr">
        <is>
          <t>—</t>
        </is>
      </c>
      <c r="E61" s="33" t="inlineStr">
        <is>
          <t>No currency</t>
        </is>
      </c>
      <c r="F61" s="74" t="inlineStr">
        <is>
          <t>predict.py _assumed_life_policy</t>
        </is>
      </c>
      <c r="G61" s="74" t="inlineStr"/>
      <c r="H61" s="74" t="inlineStr"/>
    </row>
    <row r="62">
      <c r="A62" s="4" t="inlineStr">
        <is>
          <t>lifeRoundUnit (USD, before nice step)</t>
        </is>
      </c>
      <c r="B62" s="47" t="n">
        <v>74000</v>
      </c>
      <c r="C62" s="4" t="inlineStr">
        <is>
          <t>step</t>
        </is>
      </c>
      <c r="D62" s="4" t="inlineStr">
        <is>
          <t>USD</t>
        </is>
      </c>
      <c r="E62" s="8" t="inlineStr">
        <is>
          <t>USD</t>
        </is>
      </c>
      <c r="F62" s="74" t="inlineStr">
        <is>
          <t>predict.py (SGD 100,000)</t>
        </is>
      </c>
      <c r="G62" s="74" t="inlineStr">
        <is>
          <t>V0-15</t>
        </is>
      </c>
      <c r="H62" s="74" t="inlineStr"/>
    </row>
    <row r="64">
      <c r="A64" s="5" t="inlineStr">
        <is>
          <t>Plan and budget (frontend/src/lib/planProducts.ts)</t>
        </is>
      </c>
    </row>
    <row r="65">
      <c r="A65" s="4" t="inlineStr">
        <is>
          <t>protectionPremiumRate</t>
        </is>
      </c>
      <c r="B65" s="78" t="n">
        <v>0.00078</v>
      </c>
      <c r="C65" s="4" t="inlineStr">
        <is>
          <t>% of sum</t>
        </is>
      </c>
      <c r="D65" s="4" t="inlineStr">
        <is>
          <t>—</t>
        </is>
      </c>
      <c r="E65" s="11" t="inlineStr">
        <is>
          <t>Placeholder</t>
        </is>
      </c>
      <c r="F65" s="74" t="inlineStr">
        <is>
          <t>planProducts.ts coverPremiumFor</t>
        </is>
      </c>
      <c r="G65" s="74" t="inlineStr"/>
      <c r="H65" s="79" t="inlineStr">
        <is>
          <t>Premium-quote API; too cheap for large covers (N_LTC)</t>
        </is>
      </c>
    </row>
    <row r="66">
      <c r="A66" s="4" t="inlineStr">
        <is>
          <t>FREE_BUDGET_SHARE</t>
        </is>
      </c>
      <c r="B66" s="73" t="n">
        <v>0.5</v>
      </c>
      <c r="C66" s="4" t="inlineStr">
        <is>
          <t>% of surplus</t>
        </is>
      </c>
      <c r="D66" s="4" t="inlineStr">
        <is>
          <t>—</t>
        </is>
      </c>
      <c r="E66" s="33" t="inlineStr">
        <is>
          <t>No currency</t>
        </is>
      </c>
      <c r="F66" s="74" t="inlineStr">
        <is>
          <t>planProducts.ts</t>
        </is>
      </c>
      <c r="G66" s="74" t="inlineStr"/>
      <c r="H66" s="74" t="inlineStr"/>
    </row>
    <row r="67">
      <c r="A67" s="4" t="inlineStr">
        <is>
          <t>lumpRoundStep (USD, before nice step)</t>
        </is>
      </c>
      <c r="B67" s="47" t="n">
        <v>740</v>
      </c>
      <c r="C67" s="4" t="inlineStr">
        <is>
          <t>step</t>
        </is>
      </c>
      <c r="D67" s="4" t="inlineStr">
        <is>
          <t>USD</t>
        </is>
      </c>
      <c r="E67" s="8" t="inlineStr">
        <is>
          <t>USD</t>
        </is>
      </c>
      <c r="F67" s="74" t="inlineStr">
        <is>
          <t>planProducts.ts (SGD 1,000)</t>
        </is>
      </c>
      <c r="G67" s="74" t="inlineStr">
        <is>
          <t>V0-15</t>
        </is>
      </c>
      <c r="H67" s="74" t="inlineStr"/>
    </row>
    <row r="68">
      <c r="A68" s="4" t="inlineStr">
        <is>
          <t>monthlyRoundStep (USD, before nice step)</t>
        </is>
      </c>
      <c r="B68" s="47" t="n">
        <v>37</v>
      </c>
      <c r="C68" s="4" t="inlineStr">
        <is>
          <t>step</t>
        </is>
      </c>
      <c r="D68" s="4" t="inlineStr">
        <is>
          <t>USD</t>
        </is>
      </c>
      <c r="E68" s="8" t="inlineStr">
        <is>
          <t>USD</t>
        </is>
      </c>
      <c r="F68" s="74" t="inlineStr">
        <is>
          <t>planProducts.ts (SGD 50)</t>
        </is>
      </c>
      <c r="G68" s="74" t="inlineStr">
        <is>
          <t>V0-15</t>
        </is>
      </c>
      <c r="H68" s="74" t="inlineStr"/>
    </row>
    <row r="69">
      <c r="A69" s="4" t="inlineStr">
        <is>
          <t>coverPremRoundStep (USD, before nice step)</t>
        </is>
      </c>
      <c r="B69" s="80" t="n">
        <v>7.4</v>
      </c>
      <c r="C69" s="4" t="inlineStr">
        <is>
          <t>step</t>
        </is>
      </c>
      <c r="D69" s="4" t="inlineStr">
        <is>
          <t>USD</t>
        </is>
      </c>
      <c r="E69" s="8" t="inlineStr">
        <is>
          <t>USD</t>
        </is>
      </c>
      <c r="F69" s="74" t="inlineStr">
        <is>
          <t>planProducts.ts (SGD 10)</t>
        </is>
      </c>
      <c r="G69" s="74" t="inlineStr">
        <is>
          <t>V0-15</t>
        </is>
      </c>
      <c r="H69" s="74" t="inlineStr"/>
    </row>
    <row r="70">
      <c r="A70" s="4" t="inlineStr">
        <is>
          <t>coverSliderPremFloor (USD)</t>
        </is>
      </c>
      <c r="B70" s="47" t="n">
        <v>148</v>
      </c>
      <c r="C70" s="4" t="inlineStr">
        <is>
          <t>per year</t>
        </is>
      </c>
      <c r="D70" s="4" t="inlineStr">
        <is>
          <t>USD</t>
        </is>
      </c>
      <c r="E70" s="8" t="inlineStr">
        <is>
          <t>USD</t>
        </is>
      </c>
      <c r="F70" s="74" t="inlineStr">
        <is>
          <t>planProducts.ts (SGD 200)</t>
        </is>
      </c>
      <c r="G70" s="74" t="inlineStr">
        <is>
          <t>V0-15</t>
        </is>
      </c>
      <c r="H70" s="74" t="inlineStr"/>
    </row>
    <row r="72">
      <c r="A72" s="5" t="inlineStr">
        <is>
          <t>HappiU budget envelope (src/hu_payload.py) — not Budget Calculator</t>
        </is>
      </c>
    </row>
    <row r="73">
      <c r="A73" s="4" t="inlineStr">
        <is>
          <t>annualBudget (USD)</t>
        </is>
      </c>
      <c r="B73" s="47" t="n">
        <v>1110</v>
      </c>
      <c r="C73" s="4" t="inlineStr">
        <is>
          <t>per year</t>
        </is>
      </c>
      <c r="D73" s="4" t="inlineStr">
        <is>
          <t>USD</t>
        </is>
      </c>
      <c r="E73" s="8" t="inlineStr">
        <is>
          <t>USD</t>
        </is>
      </c>
      <c r="F73" s="74" t="inlineStr">
        <is>
          <t>hu_payload.py (SGD 1,500)</t>
        </is>
      </c>
      <c r="G73" s="74" t="inlineStr">
        <is>
          <t>V0-15</t>
        </is>
      </c>
      <c r="H73" s="74" t="inlineStr"/>
    </row>
    <row r="74">
      <c r="A74" s="4" t="inlineStr">
        <is>
          <t>placeholderNeedBudget (USD)</t>
        </is>
      </c>
      <c r="B74" s="47" t="n">
        <v>148</v>
      </c>
      <c r="C74" s="4" t="inlineStr">
        <is>
          <t>per year</t>
        </is>
      </c>
      <c r="D74" s="4" t="inlineStr">
        <is>
          <t>USD</t>
        </is>
      </c>
      <c r="E74" s="8" t="inlineStr">
        <is>
          <t>USD</t>
        </is>
      </c>
      <c r="F74" s="74" t="inlineStr">
        <is>
          <t>hu_payload.py (SGD 200)</t>
        </is>
      </c>
      <c r="G74" s="74" t="inlineStr">
        <is>
          <t>V0-15</t>
        </is>
      </c>
      <c r="H74" s="74" t="inlineStr"/>
    </row>
    <row r="75">
      <c r="A75" s="4" t="inlineStr">
        <is>
          <t>gfr</t>
        </is>
      </c>
      <c r="B75" s="73" t="n">
        <v>0.05</v>
      </c>
      <c r="C75" s="4" t="inlineStr">
        <is>
          <t>%</t>
        </is>
      </c>
      <c r="D75" s="4" t="inlineStr">
        <is>
          <t>—</t>
        </is>
      </c>
      <c r="E75" s="33" t="inlineStr">
        <is>
          <t>No currency</t>
        </is>
      </c>
      <c r="F75" s="74" t="inlineStr">
        <is>
          <t>hu_payload.py</t>
        </is>
      </c>
      <c r="G75" s="74" t="inlineStr"/>
      <c r="H75" s="74" t="inlineStr"/>
    </row>
    <row r="76">
      <c r="A76" s="4" t="inlineStr">
        <is>
          <t>benefitRound (USD, before nice step)</t>
        </is>
      </c>
      <c r="B76" s="47" t="n">
        <v>37000</v>
      </c>
      <c r="C76" s="4" t="inlineStr">
        <is>
          <t>step</t>
        </is>
      </c>
      <c r="D76" s="4" t="inlineStr">
        <is>
          <t>USD</t>
        </is>
      </c>
      <c r="E76" s="8" t="inlineStr">
        <is>
          <t>USD</t>
        </is>
      </c>
      <c r="F76" s="74" t="inlineStr">
        <is>
          <t>hu_payload.py (SGD 50,000)</t>
        </is>
      </c>
      <c r="G76" s="74" t="inlineStr">
        <is>
          <t>V0-15</t>
        </is>
      </c>
      <c r="H76" s="74" t="inlineStr"/>
    </row>
    <row r="77">
      <c r="A77" s="4" t="inlineStr">
        <is>
          <t>huNumSims</t>
        </is>
      </c>
      <c r="B77" s="47" t="n">
        <v>200</v>
      </c>
      <c r="C77" s="4" t="inlineStr">
        <is>
          <t>count</t>
        </is>
      </c>
      <c r="D77" s="4" t="inlineStr">
        <is>
          <t>—</t>
        </is>
      </c>
      <c r="E77" s="33" t="inlineStr">
        <is>
          <t>No currency</t>
        </is>
      </c>
      <c r="F77" s="74" t="inlineStr">
        <is>
          <t>hu_payload.py</t>
        </is>
      </c>
      <c r="G77" s="74" t="inlineStr"/>
      <c r="H77" s="74" t="inlineStr"/>
    </row>
    <row r="78">
      <c r="A78" s="4" t="inlineStr">
        <is>
          <t>PPP_BASE_COUNTRY (price level = 1)</t>
        </is>
      </c>
      <c r="B78" s="47" t="inlineStr">
        <is>
          <t>Singapore</t>
        </is>
      </c>
      <c r="C78" s="4" t="inlineStr">
        <is>
          <t>country</t>
        </is>
      </c>
      <c r="D78" s="4" t="inlineStr">
        <is>
          <t>—</t>
        </is>
      </c>
      <c r="E78" s="9" t="inlineStr">
        <is>
          <t>System</t>
        </is>
      </c>
      <c r="F78" s="74" t="inlineStr">
        <is>
          <t>— (new)</t>
        </is>
      </c>
      <c r="G78" s="74" t="inlineStr">
        <is>
          <t>V0-22</t>
        </is>
      </c>
      <c r="H78" s="79" t="inlineStr">
        <is>
          <t>USD fixed amounts were calibrated in Singapore, so Singapore = 1</t>
        </is>
      </c>
    </row>
    <row r="79">
      <c r="A79" s="4" t="inlineStr">
        <is>
          <t>MIN_EXPENSE_MONTHLY (USD)</t>
        </is>
      </c>
      <c r="B79" s="47" t="n">
        <v>100</v>
      </c>
      <c r="C79" s="4" t="inlineStr">
        <is>
          <t>per month</t>
        </is>
      </c>
      <c r="D79" s="4" t="inlineStr">
        <is>
          <t>USD</t>
        </is>
      </c>
      <c r="E79" s="8" t="inlineStr">
        <is>
          <t>USD</t>
        </is>
      </c>
      <c r="F79" s="74" t="inlineStr">
        <is>
          <t>frontend MIN_EXPENSE_MONTHLY (SGD 100)</t>
        </is>
      </c>
      <c r="G79" s="74" t="inlineStr">
        <is>
          <t>V0-21: USD 100 (was S$100)</t>
        </is>
      </c>
      <c r="H79" s="74" t="inlineStr"/>
    </row>
    <row r="81">
      <c r="A81" s="5" t="inlineStr">
        <is>
          <t>Risk → investmentReturn seed (frontend/src/lib/riskCapacity.ts)</t>
        </is>
      </c>
    </row>
    <row r="82">
      <c r="A82" s="4" t="inlineStr">
        <is>
          <t>suggestBand1</t>
        </is>
      </c>
      <c r="B82" s="73" t="n">
        <v>0.03</v>
      </c>
      <c r="C82" s="4" t="inlineStr">
        <is>
          <t>% p.a.</t>
        </is>
      </c>
      <c r="D82" s="4" t="inlineStr">
        <is>
          <t>—</t>
        </is>
      </c>
      <c r="E82" s="33" t="inlineStr">
        <is>
          <t>No currency</t>
        </is>
      </c>
      <c r="F82" s="74" t="inlineStr">
        <is>
          <t>riskCapacity.ts</t>
        </is>
      </c>
      <c r="G82" s="74" t="inlineStr"/>
      <c r="H82" s="74" t="inlineStr"/>
    </row>
    <row r="83">
      <c r="A83" s="4" t="inlineStr">
        <is>
          <t>suggestBand2</t>
        </is>
      </c>
      <c r="B83" s="73" t="n">
        <v>0.035</v>
      </c>
      <c r="C83" s="4" t="inlineStr">
        <is>
          <t>% p.a.</t>
        </is>
      </c>
      <c r="D83" s="4" t="inlineStr">
        <is>
          <t>—</t>
        </is>
      </c>
      <c r="E83" s="33" t="inlineStr">
        <is>
          <t>No currency</t>
        </is>
      </c>
      <c r="F83" s="74" t="inlineStr">
        <is>
          <t>riskCapacity.ts</t>
        </is>
      </c>
      <c r="G83" s="74" t="inlineStr"/>
      <c r="H83" s="74" t="inlineStr"/>
    </row>
    <row r="84">
      <c r="A84" s="4" t="inlineStr">
        <is>
          <t>suggestBand3</t>
        </is>
      </c>
      <c r="B84" s="73" t="n">
        <v>0.042</v>
      </c>
      <c r="C84" s="4" t="inlineStr">
        <is>
          <t>% p.a.</t>
        </is>
      </c>
      <c r="D84" s="4" t="inlineStr">
        <is>
          <t>—</t>
        </is>
      </c>
      <c r="E84" s="33" t="inlineStr">
        <is>
          <t>No currency</t>
        </is>
      </c>
      <c r="F84" s="74" t="inlineStr">
        <is>
          <t>riskCapacity.ts</t>
        </is>
      </c>
      <c r="G84" s="74" t="inlineStr"/>
      <c r="H84" s="74" t="inlineStr"/>
    </row>
    <row r="85">
      <c r="A85" s="4" t="inlineStr">
        <is>
          <t>suggestBand4</t>
        </is>
      </c>
      <c r="B85" s="73" t="n">
        <v>0.05</v>
      </c>
      <c r="C85" s="4" t="inlineStr">
        <is>
          <t>% p.a.</t>
        </is>
      </c>
      <c r="D85" s="4" t="inlineStr">
        <is>
          <t>—</t>
        </is>
      </c>
      <c r="E85" s="33" t="inlineStr">
        <is>
          <t>No currency</t>
        </is>
      </c>
      <c r="F85" s="74" t="inlineStr">
        <is>
          <t>riskCapacity.ts</t>
        </is>
      </c>
      <c r="G85" s="74" t="inlineStr"/>
      <c r="H85" s="74" t="inlineStr"/>
    </row>
    <row r="86">
      <c r="A86" s="4" t="inlineStr">
        <is>
          <t>suggestBand5</t>
        </is>
      </c>
      <c r="B86" s="73" t="n">
        <v>0.055</v>
      </c>
      <c r="C86" s="4" t="inlineStr">
        <is>
          <t>% p.a.</t>
        </is>
      </c>
      <c r="D86" s="4" t="inlineStr">
        <is>
          <t>—</t>
        </is>
      </c>
      <c r="E86" s="33" t="inlineStr">
        <is>
          <t>No currency</t>
        </is>
      </c>
      <c r="F86" s="74" t="inlineStr">
        <is>
          <t>riskCapacity.ts</t>
        </is>
      </c>
      <c r="G86" s="74" t="inlineStr"/>
      <c r="H86" s="74" t="inlineStr"/>
    </row>
    <row r="87">
      <c r="A87" s="4" t="inlineStr">
        <is>
          <t>defaultRiskTolerance</t>
        </is>
      </c>
      <c r="B87" s="47" t="n">
        <v>3</v>
      </c>
      <c r="C87" s="4" t="inlineStr">
        <is>
          <t>1–5</t>
        </is>
      </c>
      <c r="D87" s="4" t="inlineStr">
        <is>
          <t>—</t>
        </is>
      </c>
      <c r="E87" s="33" t="inlineStr">
        <is>
          <t>No currency</t>
        </is>
      </c>
      <c r="F87" s="74" t="inlineStr">
        <is>
          <t>riskCapacity.ts</t>
        </is>
      </c>
      <c r="G87" s="74" t="inlineStr"/>
      <c r="H87" s="74" t="inlineStr"/>
    </row>
    <row r="88">
      <c r="A88" s="5" t="inlineStr">
        <is>
          <t>Need Profiler factor weights (Need_profiler.json needs_factor_weights)</t>
        </is>
      </c>
    </row>
    <row r="89">
      <c r="A89" s="3" t="inlineStr">
        <is>
          <t>factor \ need</t>
        </is>
      </c>
      <c r="B89" s="3" t="inlineStr">
        <is>
          <t>Life Protection</t>
        </is>
      </c>
      <c r="C89" s="3" t="inlineStr">
        <is>
          <t>Critical Illness</t>
        </is>
      </c>
      <c r="D89" s="3" t="inlineStr">
        <is>
          <t>TPD</t>
        </is>
      </c>
      <c r="E89" s="3" t="inlineStr">
        <is>
          <t>Retirement</t>
        </is>
      </c>
      <c r="F89" s="3" t="inlineStr">
        <is>
          <t>Education</t>
        </is>
      </c>
      <c r="G89" s="3" t="inlineStr">
        <is>
          <t>Hospitalization</t>
        </is>
      </c>
      <c r="H89" s="3" t="inlineStr">
        <is>
          <t>General Savings</t>
        </is>
      </c>
      <c r="I89" s="3" t="inlineStr">
        <is>
          <t>Personal Accident</t>
        </is>
      </c>
      <c r="J89" s="3" t="inlineStr">
        <is>
          <t>Car Protection</t>
        </is>
      </c>
      <c r="K89" s="3" t="inlineStr">
        <is>
          <t>Home Protection</t>
        </is>
      </c>
      <c r="L89" s="3" t="inlineStr">
        <is>
          <t>Travel Protection</t>
        </is>
      </c>
    </row>
    <row r="90">
      <c r="A90" s="4" t="inlineStr">
        <is>
          <t>Date of Birth</t>
        </is>
      </c>
      <c r="B90" s="81" t="n">
        <v>0</v>
      </c>
      <c r="C90" s="81" t="n">
        <v>0</v>
      </c>
      <c r="D90" s="81" t="n">
        <v>0</v>
      </c>
      <c r="E90" s="81" t="n">
        <v>2</v>
      </c>
      <c r="F90" s="81" t="n">
        <v>0</v>
      </c>
      <c r="G90" s="81" t="n">
        <v>0</v>
      </c>
      <c r="H90" s="81" t="n">
        <v>0</v>
      </c>
      <c r="I90" s="81" t="n">
        <v>0</v>
      </c>
      <c r="J90" s="81" t="n">
        <v>1</v>
      </c>
      <c r="K90" s="81" t="n">
        <v>1</v>
      </c>
      <c r="L90" s="81" t="n">
        <v>0</v>
      </c>
    </row>
    <row r="91">
      <c r="A91" s="4" t="inlineStr">
        <is>
          <t>Gender</t>
        </is>
      </c>
      <c r="B91" s="81" t="n">
        <v>0</v>
      </c>
      <c r="C91" s="81" t="n">
        <v>0</v>
      </c>
      <c r="D91" s="81" t="n">
        <v>0</v>
      </c>
      <c r="E91" s="81" t="n">
        <v>2</v>
      </c>
      <c r="F91" s="81" t="n">
        <v>0</v>
      </c>
      <c r="G91" s="81" t="n">
        <v>0</v>
      </c>
      <c r="H91" s="81" t="n">
        <v>2</v>
      </c>
      <c r="I91" s="81" t="n">
        <v>0</v>
      </c>
      <c r="J91" s="81" t="n">
        <v>2</v>
      </c>
      <c r="K91" s="81" t="n">
        <v>1</v>
      </c>
      <c r="L91" s="81" t="n">
        <v>2</v>
      </c>
    </row>
    <row r="92">
      <c r="A92" s="4" t="inlineStr">
        <is>
          <t>Dependants</t>
        </is>
      </c>
      <c r="B92" s="81" t="n">
        <v>4</v>
      </c>
      <c r="C92" s="81" t="n">
        <v>1</v>
      </c>
      <c r="D92" s="81" t="n">
        <v>0</v>
      </c>
      <c r="E92" s="81" t="n">
        <v>1</v>
      </c>
      <c r="F92" s="81" t="n">
        <v>0</v>
      </c>
      <c r="G92" s="81" t="n">
        <v>0</v>
      </c>
      <c r="H92" s="81" t="n">
        <v>3</v>
      </c>
      <c r="I92" s="81" t="n">
        <v>0</v>
      </c>
      <c r="J92" s="81" t="n">
        <v>2</v>
      </c>
      <c r="K92" s="81" t="n">
        <v>2</v>
      </c>
      <c r="L92" s="81" t="n">
        <v>2</v>
      </c>
    </row>
    <row r="93">
      <c r="A93" s="4" t="inlineStr">
        <is>
          <t>Occupation</t>
        </is>
      </c>
      <c r="B93" s="81" t="n">
        <v>1</v>
      </c>
      <c r="C93" s="81" t="n">
        <v>1</v>
      </c>
      <c r="D93" s="81" t="n">
        <v>0</v>
      </c>
      <c r="E93" s="81" t="n">
        <v>1</v>
      </c>
      <c r="F93" s="81" t="n">
        <v>0</v>
      </c>
      <c r="G93" s="81" t="n">
        <v>0</v>
      </c>
      <c r="H93" s="81" t="n">
        <v>1</v>
      </c>
      <c r="I93" s="81" t="n">
        <v>0</v>
      </c>
      <c r="J93" s="81" t="n">
        <v>1</v>
      </c>
      <c r="K93" s="81" t="n">
        <v>2</v>
      </c>
      <c r="L93" s="81" t="n">
        <v>2</v>
      </c>
    </row>
    <row r="94">
      <c r="A94" s="4" t="inlineStr">
        <is>
          <t>Smoking</t>
        </is>
      </c>
      <c r="B94" s="81" t="n">
        <v>4</v>
      </c>
      <c r="C94" s="81" t="n">
        <v>4</v>
      </c>
      <c r="D94" s="81" t="n">
        <v>2</v>
      </c>
      <c r="E94" s="81" t="n">
        <v>1</v>
      </c>
      <c r="F94" s="81" t="n">
        <v>0</v>
      </c>
      <c r="G94" s="81" t="n">
        <v>3</v>
      </c>
      <c r="H94" s="81" t="n">
        <v>0</v>
      </c>
      <c r="I94" s="81" t="n">
        <v>0</v>
      </c>
      <c r="J94" s="81" t="n">
        <v>2</v>
      </c>
      <c r="K94" s="81" t="n">
        <v>2</v>
      </c>
      <c r="L94" s="81" t="n">
        <v>2</v>
      </c>
    </row>
    <row r="95">
      <c r="A95" s="4" t="inlineStr">
        <is>
          <t>Income</t>
        </is>
      </c>
      <c r="B95" s="81" t="n">
        <v>4</v>
      </c>
      <c r="C95" s="81" t="n">
        <v>1</v>
      </c>
      <c r="D95" s="81" t="n">
        <v>2</v>
      </c>
      <c r="E95" s="81" t="n">
        <v>1</v>
      </c>
      <c r="F95" s="81" t="n">
        <v>0</v>
      </c>
      <c r="G95" s="81" t="n">
        <v>3</v>
      </c>
      <c r="H95" s="81" t="n">
        <v>1</v>
      </c>
      <c r="I95" s="81" t="n">
        <v>0</v>
      </c>
      <c r="J95" s="81" t="n">
        <v>2</v>
      </c>
      <c r="K95" s="81" t="n">
        <v>2</v>
      </c>
      <c r="L95" s="81" t="n">
        <v>2</v>
      </c>
    </row>
    <row r="96">
      <c r="A96" s="4" t="inlineStr">
        <is>
          <t>Expense</t>
        </is>
      </c>
      <c r="B96" s="81" t="n">
        <v>4</v>
      </c>
      <c r="C96" s="81" t="n">
        <v>2</v>
      </c>
      <c r="D96" s="81" t="n">
        <v>2</v>
      </c>
      <c r="E96" s="81" t="n">
        <v>1</v>
      </c>
      <c r="F96" s="81" t="n">
        <v>0</v>
      </c>
      <c r="G96" s="81" t="n">
        <v>3</v>
      </c>
      <c r="H96" s="81" t="n">
        <v>3</v>
      </c>
      <c r="I96" s="81" t="n">
        <v>0</v>
      </c>
      <c r="J96" s="81" t="n">
        <v>2</v>
      </c>
      <c r="K96" s="81" t="n">
        <v>1</v>
      </c>
      <c r="L96" s="81" t="n">
        <v>1</v>
      </c>
    </row>
    <row r="97">
      <c r="A97" s="4" t="inlineStr">
        <is>
          <t>Assets</t>
        </is>
      </c>
      <c r="B97" s="81" t="n">
        <v>4</v>
      </c>
      <c r="C97" s="81" t="n">
        <v>1</v>
      </c>
      <c r="D97" s="81" t="n">
        <v>2</v>
      </c>
      <c r="E97" s="81" t="n">
        <v>1</v>
      </c>
      <c r="F97" s="81" t="n">
        <v>0</v>
      </c>
      <c r="G97" s="81" t="n">
        <v>3</v>
      </c>
      <c r="H97" s="81" t="n">
        <v>2</v>
      </c>
      <c r="I97" s="81" t="n">
        <v>0</v>
      </c>
      <c r="J97" s="81" t="n">
        <v>2</v>
      </c>
      <c r="K97" s="81" t="n">
        <v>1</v>
      </c>
      <c r="L97" s="81" t="n">
        <v>1</v>
      </c>
    </row>
    <row r="98">
      <c r="A98" s="4" t="inlineStr">
        <is>
          <t>Liabilities</t>
        </is>
      </c>
      <c r="B98" s="81" t="n">
        <v>3</v>
      </c>
      <c r="C98" s="81" t="n">
        <v>1</v>
      </c>
      <c r="D98" s="81" t="n">
        <v>2</v>
      </c>
      <c r="E98" s="81" t="n">
        <v>1</v>
      </c>
      <c r="F98" s="81" t="n">
        <v>0</v>
      </c>
      <c r="G98" s="81" t="n">
        <v>3</v>
      </c>
      <c r="H98" s="81" t="n">
        <v>2</v>
      </c>
      <c r="I98" s="81" t="n">
        <v>0</v>
      </c>
      <c r="J98" s="81" t="n">
        <v>1</v>
      </c>
      <c r="K98" s="81" t="n">
        <v>2</v>
      </c>
      <c r="L98" s="81" t="n">
        <v>1</v>
      </c>
    </row>
    <row r="99">
      <c r="A99" s="4" t="inlineStr">
        <is>
          <t>Hospitalization</t>
        </is>
      </c>
      <c r="B99" s="81" t="n">
        <v>3</v>
      </c>
      <c r="C99" s="81" t="n">
        <v>3</v>
      </c>
      <c r="D99" s="81" t="n">
        <v>0</v>
      </c>
      <c r="E99" s="81" t="n">
        <v>0</v>
      </c>
      <c r="F99" s="81" t="n">
        <v>0</v>
      </c>
      <c r="G99" s="81" t="n">
        <v>4</v>
      </c>
      <c r="H99" s="81" t="n">
        <v>0</v>
      </c>
      <c r="I99" s="81" t="n">
        <v>0</v>
      </c>
      <c r="J99" s="81" t="n">
        <v>0</v>
      </c>
      <c r="K99" s="81" t="n">
        <v>0</v>
      </c>
      <c r="L99" s="81" t="n">
        <v>0</v>
      </c>
    </row>
    <row r="100">
      <c r="A100" s="4" t="inlineStr">
        <is>
          <t>Disability</t>
        </is>
      </c>
      <c r="B100" s="81" t="n">
        <v>3</v>
      </c>
      <c r="C100" s="81" t="n">
        <v>3</v>
      </c>
      <c r="D100" s="81" t="n">
        <v>4</v>
      </c>
      <c r="E100" s="81" t="n">
        <v>0</v>
      </c>
      <c r="F100" s="81" t="n">
        <v>0</v>
      </c>
      <c r="G100" s="81" t="n">
        <v>3</v>
      </c>
      <c r="H100" s="81" t="n">
        <v>0</v>
      </c>
      <c r="I100" s="81" t="n">
        <v>0</v>
      </c>
      <c r="J100" s="81" t="n">
        <v>0</v>
      </c>
      <c r="K100" s="81" t="n">
        <v>0</v>
      </c>
      <c r="L100" s="81" t="n">
        <v>0</v>
      </c>
    </row>
    <row r="101">
      <c r="A101" s="4" t="inlineStr">
        <is>
          <t>Hospital Type</t>
        </is>
      </c>
      <c r="B101" s="81" t="n">
        <v>2</v>
      </c>
      <c r="C101" s="81" t="n">
        <v>3</v>
      </c>
      <c r="D101" s="81" t="n">
        <v>2</v>
      </c>
      <c r="E101" s="81" t="n">
        <v>1</v>
      </c>
      <c r="F101" s="81" t="n">
        <v>0</v>
      </c>
      <c r="G101" s="81" t="n">
        <v>3</v>
      </c>
      <c r="H101" s="81" t="n">
        <v>2</v>
      </c>
      <c r="I101" s="81" t="n">
        <v>0</v>
      </c>
      <c r="J101" s="81" t="n">
        <v>2</v>
      </c>
      <c r="K101" s="81" t="n">
        <v>1</v>
      </c>
      <c r="L101" s="81" t="n">
        <v>2</v>
      </c>
    </row>
    <row r="102">
      <c r="A102" s="4" t="inlineStr">
        <is>
          <t>Ward Type</t>
        </is>
      </c>
      <c r="B102" s="81" t="n">
        <v>1</v>
      </c>
      <c r="C102" s="81" t="n">
        <v>4</v>
      </c>
      <c r="D102" s="81" t="n">
        <v>2</v>
      </c>
      <c r="E102" s="81" t="n">
        <v>1</v>
      </c>
      <c r="F102" s="81" t="n">
        <v>0</v>
      </c>
      <c r="G102" s="81" t="n">
        <v>3</v>
      </c>
      <c r="H102" s="81" t="n">
        <v>1</v>
      </c>
      <c r="I102" s="81" t="n">
        <v>0</v>
      </c>
      <c r="J102" s="81" t="n">
        <v>2</v>
      </c>
      <c r="K102" s="81" t="n">
        <v>1</v>
      </c>
      <c r="L102" s="81" t="n">
        <v>2</v>
      </c>
    </row>
    <row r="103">
      <c r="A103" s="4" t="inlineStr">
        <is>
          <t>Lifestyle</t>
        </is>
      </c>
      <c r="B103" s="81" t="n">
        <v>0</v>
      </c>
      <c r="C103" s="81" t="n">
        <v>0</v>
      </c>
      <c r="D103" s="81" t="n">
        <v>0</v>
      </c>
      <c r="E103" s="81" t="n">
        <v>1</v>
      </c>
      <c r="F103" s="81" t="n">
        <v>0</v>
      </c>
      <c r="G103" s="81" t="n">
        <v>0</v>
      </c>
      <c r="H103" s="81" t="n">
        <v>2</v>
      </c>
      <c r="I103" s="81" t="n">
        <v>0</v>
      </c>
      <c r="J103" s="81" t="n">
        <v>2</v>
      </c>
      <c r="K103" s="81" t="n">
        <v>2</v>
      </c>
      <c r="L103" s="81" t="n">
        <v>1</v>
      </c>
    </row>
    <row r="104">
      <c r="A104" s="4" t="inlineStr">
        <is>
          <t>Sports</t>
        </is>
      </c>
      <c r="B104" s="81" t="n">
        <v>1</v>
      </c>
      <c r="C104" s="81" t="n">
        <v>0</v>
      </c>
      <c r="D104" s="81" t="n">
        <v>2</v>
      </c>
      <c r="E104" s="81" t="n">
        <v>0</v>
      </c>
      <c r="F104" s="81" t="n">
        <v>0</v>
      </c>
      <c r="G104" s="81" t="n">
        <v>1</v>
      </c>
      <c r="H104" s="81" t="n">
        <v>0</v>
      </c>
      <c r="I104" s="81" t="n">
        <v>0</v>
      </c>
      <c r="J104" s="81" t="n">
        <v>0</v>
      </c>
      <c r="K104" s="81" t="n">
        <v>0</v>
      </c>
      <c r="L104" s="81" t="n">
        <v>2</v>
      </c>
    </row>
    <row r="108">
      <c r="A108" s="5" t="inlineStr">
        <is>
          <t>HappiU rate tables (HU/src/CashflowHandler/Tables/*.csv) — q at age, read at age + 1 + year. Columns per rate: Male, Male smoker, Female, Female smoker.</t>
        </is>
      </c>
    </row>
    <row r="109">
      <c r="A109" s="82" t="inlineStr"/>
      <c r="B109" s="19" t="inlineStr">
        <is>
          <t>mortality</t>
        </is>
      </c>
      <c r="C109" s="19" t="n"/>
      <c r="D109" s="19" t="n"/>
      <c r="E109" s="19" t="n"/>
      <c r="F109" s="19" t="inlineStr">
        <is>
          <t>accidental death</t>
        </is>
      </c>
      <c r="G109" s="19" t="n"/>
      <c r="H109" s="19" t="n"/>
      <c r="I109" s="19" t="n"/>
      <c r="J109" s="19" t="inlineStr">
        <is>
          <t>critical illness (morbidity)</t>
        </is>
      </c>
      <c r="K109" s="19" t="n"/>
      <c r="L109" s="19" t="n"/>
      <c r="M109" s="19" t="n"/>
      <c r="N109" s="19" t="inlineStr">
        <is>
          <t>total &amp; permanent disability (HU file ptd_rate)</t>
        </is>
      </c>
      <c r="O109" s="19" t="n"/>
      <c r="P109" s="19" t="n"/>
      <c r="Q109" s="19" t="n"/>
      <c r="R109" s="19" t="inlineStr">
        <is>
          <t>dismemberment</t>
        </is>
      </c>
      <c r="S109" s="19" t="n"/>
      <c r="T109" s="19" t="n"/>
      <c r="U109" s="19" t="n"/>
      <c r="V109" s="19" t="inlineStr">
        <is>
          <t>hospitalisation (not on GP's path)</t>
        </is>
      </c>
      <c r="W109" s="19" t="n"/>
      <c r="X109" s="19" t="n"/>
      <c r="Y109" s="19" t="n"/>
      <c r="Z109" s="19" t="inlineStr">
        <is>
          <t>social security (ss_contribution_cap / ss_growth_rate)</t>
        </is>
      </c>
      <c r="AA109" s="19" t="n"/>
      <c r="AB109" s="19" t="n"/>
    </row>
    <row r="110">
      <c r="A110" s="3" t="inlineStr">
        <is>
          <t>age</t>
        </is>
      </c>
      <c r="B110" s="3" t="inlineStr">
        <is>
          <t>Male</t>
        </is>
      </c>
      <c r="C110" s="3" t="inlineStr">
        <is>
          <t>MaleSmoker</t>
        </is>
      </c>
      <c r="D110" s="3" t="inlineStr">
        <is>
          <t>Female</t>
        </is>
      </c>
      <c r="E110" s="3" t="inlineStr">
        <is>
          <t>FemaleSmoker</t>
        </is>
      </c>
      <c r="F110" s="3" t="inlineStr">
        <is>
          <t>Male</t>
        </is>
      </c>
      <c r="G110" s="3" t="inlineStr">
        <is>
          <t>MaleSmoker</t>
        </is>
      </c>
      <c r="H110" s="3" t="inlineStr">
        <is>
          <t>Female</t>
        </is>
      </c>
      <c r="I110" s="3" t="inlineStr">
        <is>
          <t>FemaleSmoker</t>
        </is>
      </c>
      <c r="J110" s="3" t="inlineStr">
        <is>
          <t>Male</t>
        </is>
      </c>
      <c r="K110" s="3" t="inlineStr">
        <is>
          <t>MaleSmoker</t>
        </is>
      </c>
      <c r="L110" s="3" t="inlineStr">
        <is>
          <t>Female</t>
        </is>
      </c>
      <c r="M110" s="3" t="inlineStr">
        <is>
          <t>FemaleSmoker</t>
        </is>
      </c>
      <c r="N110" s="3" t="inlineStr">
        <is>
          <t>Male</t>
        </is>
      </c>
      <c r="O110" s="3" t="inlineStr">
        <is>
          <t>MaleSmoker</t>
        </is>
      </c>
      <c r="P110" s="3" t="inlineStr">
        <is>
          <t>Female</t>
        </is>
      </c>
      <c r="Q110" s="3" t="inlineStr">
        <is>
          <t>FemaleSmoker</t>
        </is>
      </c>
      <c r="R110" s="3" t="inlineStr">
        <is>
          <t>Male</t>
        </is>
      </c>
      <c r="S110" s="3" t="inlineStr">
        <is>
          <t>MaleSmoker</t>
        </is>
      </c>
      <c r="T110" s="3" t="inlineStr">
        <is>
          <t>Female</t>
        </is>
      </c>
      <c r="U110" s="3" t="inlineStr">
        <is>
          <t>FemaleSmoker</t>
        </is>
      </c>
      <c r="V110" s="3" t="inlineStr">
        <is>
          <t>Male</t>
        </is>
      </c>
      <c r="W110" s="3" t="inlineStr">
        <is>
          <t>MaleSmoker</t>
        </is>
      </c>
      <c r="X110" s="3" t="inlineStr">
        <is>
          <t>Female</t>
        </is>
      </c>
      <c r="Y110" s="3" t="inlineStr">
        <is>
          <t>FemaleSmoker</t>
        </is>
      </c>
      <c r="Z110" s="3" t="inlineStr">
        <is>
          <t>contribution</t>
        </is>
      </c>
      <c r="AA110" s="3" t="inlineStr">
        <is>
          <t>cap</t>
        </is>
      </c>
      <c r="AB110" s="3" t="inlineStr">
        <is>
          <t>growth</t>
        </is>
      </c>
    </row>
    <row r="111">
      <c r="A111" s="67" t="n">
        <v>18</v>
      </c>
      <c r="B111" s="48" t="n">
        <v>0.0001549</v>
      </c>
      <c r="C111" s="48" t="n">
        <v>0.0002298</v>
      </c>
      <c r="D111" s="48" t="n">
        <v>6.210000000000001e-05</v>
      </c>
      <c r="E111" s="48" t="n">
        <v>8.54e-05</v>
      </c>
      <c r="F111" s="48" t="n">
        <v>0.00147</v>
      </c>
      <c r="G111" s="48" t="n">
        <v>0.00147</v>
      </c>
      <c r="H111" s="48" t="n">
        <v>0.00024</v>
      </c>
      <c r="I111" s="48" t="n">
        <v>0.00024</v>
      </c>
      <c r="J111" s="48" t="n">
        <v>0.000733975</v>
      </c>
      <c r="K111" s="48" t="n">
        <v>0.00108897</v>
      </c>
      <c r="L111" s="48" t="n">
        <v>0.00029423</v>
      </c>
      <c r="M111" s="48" t="n">
        <v>0.000404566</v>
      </c>
      <c r="N111" s="48" t="n">
        <v>0.000231</v>
      </c>
      <c r="O111" s="48" t="n">
        <v>0.000231</v>
      </c>
      <c r="P111" s="48" t="n">
        <v>0.000231</v>
      </c>
      <c r="Q111" s="48" t="n">
        <v>0.000231</v>
      </c>
      <c r="R111" s="48" t="n">
        <v>0.00021</v>
      </c>
      <c r="S111" s="48" t="n">
        <v>0.00021</v>
      </c>
      <c r="T111" s="48" t="n">
        <v>0.00021</v>
      </c>
      <c r="U111" s="48" t="n">
        <v>0.00021</v>
      </c>
      <c r="V111" s="48" t="n">
        <v>0.0888</v>
      </c>
      <c r="W111" s="48" t="n">
        <v>0.0888</v>
      </c>
      <c r="X111" s="48" t="n">
        <v>0.0965</v>
      </c>
      <c r="Y111" s="48" t="n">
        <v>0.0965</v>
      </c>
      <c r="Z111" s="83" t="n">
        <v>0.37</v>
      </c>
      <c r="AA111" s="39" t="n">
        <v>2220</v>
      </c>
      <c r="AB111" s="56" t="n">
        <v>0.0307</v>
      </c>
    </row>
    <row r="112">
      <c r="A112" s="67" t="n">
        <v>19</v>
      </c>
      <c r="B112" s="48" t="n">
        <v>0.0001559</v>
      </c>
      <c r="C112" s="48" t="n">
        <v>0.0002309</v>
      </c>
      <c r="D112" s="48" t="n">
        <v>6.35e-05</v>
      </c>
      <c r="E112" s="48" t="n">
        <v>8.64e-05</v>
      </c>
      <c r="F112" s="48" t="n">
        <v>0.00132</v>
      </c>
      <c r="G112" s="48" t="n">
        <v>0.00132</v>
      </c>
      <c r="H112" s="48" t="n">
        <v>0.00024</v>
      </c>
      <c r="I112" s="48" t="n">
        <v>0.00024</v>
      </c>
      <c r="J112" s="48" t="n">
        <v>0.000738773</v>
      </c>
      <c r="K112" s="48" t="n">
        <v>0.001093767</v>
      </c>
      <c r="L112" s="48" t="n">
        <v>0.000300626</v>
      </c>
      <c r="M112" s="48" t="n">
        <v>0.000409363</v>
      </c>
      <c r="N112" s="48" t="n">
        <v>0.000231</v>
      </c>
      <c r="O112" s="48" t="n">
        <v>0.000231</v>
      </c>
      <c r="P112" s="48" t="n">
        <v>0.000231</v>
      </c>
      <c r="Q112" s="48" t="n">
        <v>0.000231</v>
      </c>
      <c r="R112" s="48" t="n">
        <v>0.00021</v>
      </c>
      <c r="S112" s="48" t="n">
        <v>0.00021</v>
      </c>
      <c r="T112" s="48" t="n">
        <v>0.00021</v>
      </c>
      <c r="U112" s="48" t="n">
        <v>0.00021</v>
      </c>
      <c r="V112" s="48" t="n">
        <v>0.0888</v>
      </c>
      <c r="W112" s="48" t="n">
        <v>0.0888</v>
      </c>
      <c r="X112" s="48" t="n">
        <v>0.0965</v>
      </c>
      <c r="Y112" s="48" t="n">
        <v>0.0965</v>
      </c>
      <c r="Z112" s="83" t="n">
        <v>0.37</v>
      </c>
      <c r="AA112" s="39" t="n">
        <v>2220</v>
      </c>
      <c r="AB112" s="56" t="n">
        <v>0.0307</v>
      </c>
    </row>
    <row r="113">
      <c r="A113" s="67" t="n">
        <v>20</v>
      </c>
      <c r="B113" s="48" t="n">
        <v>0.0001566</v>
      </c>
      <c r="C113" s="48" t="n">
        <v>0.0002319</v>
      </c>
      <c r="D113" s="48" t="n">
        <v>6.550000000000001e-05</v>
      </c>
      <c r="E113" s="48" t="n">
        <v>8.780000000000001e-05</v>
      </c>
      <c r="F113" s="48" t="n">
        <v>0.00118</v>
      </c>
      <c r="G113" s="48" t="n">
        <v>0.00118</v>
      </c>
      <c r="H113" s="48" t="n">
        <v>0.00023</v>
      </c>
      <c r="I113" s="48" t="n">
        <v>0.00023</v>
      </c>
      <c r="J113" s="48" t="n">
        <v>0.000741971</v>
      </c>
      <c r="K113" s="48" t="n">
        <v>0.001098565</v>
      </c>
      <c r="L113" s="48" t="n">
        <v>0.000310221</v>
      </c>
      <c r="M113" s="48" t="n">
        <v>0.00041576</v>
      </c>
      <c r="N113" s="48" t="n">
        <v>0.000231</v>
      </c>
      <c r="O113" s="48" t="n">
        <v>0.000231</v>
      </c>
      <c r="P113" s="48" t="n">
        <v>0.000231</v>
      </c>
      <c r="Q113" s="48" t="n">
        <v>0.000231</v>
      </c>
      <c r="R113" s="48" t="n">
        <v>0.00021</v>
      </c>
      <c r="S113" s="48" t="n">
        <v>0.00021</v>
      </c>
      <c r="T113" s="48" t="n">
        <v>0.00021</v>
      </c>
      <c r="U113" s="48" t="n">
        <v>0.00021</v>
      </c>
      <c r="V113" s="48" t="n">
        <v>0.0888</v>
      </c>
      <c r="W113" s="48" t="n">
        <v>0.0888</v>
      </c>
      <c r="X113" s="48" t="n">
        <v>0.0965</v>
      </c>
      <c r="Y113" s="48" t="n">
        <v>0.0965</v>
      </c>
      <c r="Z113" s="83" t="n">
        <v>0.37</v>
      </c>
      <c r="AA113" s="39" t="n">
        <v>2220</v>
      </c>
      <c r="AB113" s="56" t="n">
        <v>0.0307</v>
      </c>
    </row>
    <row r="114">
      <c r="A114" s="67" t="n">
        <v>21</v>
      </c>
      <c r="B114" s="48" t="n">
        <v>0.0001576</v>
      </c>
      <c r="C114" s="48" t="n">
        <v>0.0002329</v>
      </c>
      <c r="D114" s="48" t="n">
        <v>6.719999999999999e-05</v>
      </c>
      <c r="E114" s="48" t="n">
        <v>8.94e-05</v>
      </c>
      <c r="F114" s="48" t="n">
        <v>0.00106</v>
      </c>
      <c r="G114" s="48" t="n">
        <v>0.00106</v>
      </c>
      <c r="H114" s="48" t="n">
        <v>0.00023</v>
      </c>
      <c r="I114" s="48" t="n">
        <v>0.00023</v>
      </c>
      <c r="J114" s="48" t="n">
        <v>0.000746768</v>
      </c>
      <c r="K114" s="48" t="n">
        <v>0.001103362</v>
      </c>
      <c r="L114" s="48" t="n">
        <v>0.000318216</v>
      </c>
      <c r="M114" s="48" t="n">
        <v>0.000423755</v>
      </c>
      <c r="N114" s="48" t="n">
        <v>0.000231</v>
      </c>
      <c r="O114" s="48" t="n">
        <v>0.000231</v>
      </c>
      <c r="P114" s="48" t="n">
        <v>0.000231</v>
      </c>
      <c r="Q114" s="48" t="n">
        <v>0.000231</v>
      </c>
      <c r="R114" s="48" t="n">
        <v>0.00021</v>
      </c>
      <c r="S114" s="48" t="n">
        <v>0.00021</v>
      </c>
      <c r="T114" s="48" t="n">
        <v>0.00021</v>
      </c>
      <c r="U114" s="48" t="n">
        <v>0.00021</v>
      </c>
      <c r="V114" s="48" t="n">
        <v>0.0888</v>
      </c>
      <c r="W114" s="48" t="n">
        <v>0.0888</v>
      </c>
      <c r="X114" s="48" t="n">
        <v>0.0965</v>
      </c>
      <c r="Y114" s="48" t="n">
        <v>0.0965</v>
      </c>
      <c r="Z114" s="83" t="n">
        <v>0.37</v>
      </c>
      <c r="AA114" s="39" t="n">
        <v>2220</v>
      </c>
      <c r="AB114" s="56" t="n">
        <v>0.0307</v>
      </c>
    </row>
    <row r="115">
      <c r="A115" s="67" t="n">
        <v>22</v>
      </c>
      <c r="B115" s="48" t="n">
        <v>0.000159</v>
      </c>
      <c r="C115" s="48" t="n">
        <v>0.0002346</v>
      </c>
      <c r="D115" s="48" t="n">
        <v>6.95e-05</v>
      </c>
      <c r="E115" s="48" t="n">
        <v>9.110000000000001e-05</v>
      </c>
      <c r="F115" s="48" t="n">
        <v>0.00096</v>
      </c>
      <c r="G115" s="48" t="n">
        <v>0.00096</v>
      </c>
      <c r="H115" s="48" t="n">
        <v>0.00022</v>
      </c>
      <c r="I115" s="48" t="n">
        <v>0.00022</v>
      </c>
      <c r="J115" s="48" t="n">
        <v>0.000753164</v>
      </c>
      <c r="K115" s="48" t="n">
        <v>0.001111357</v>
      </c>
      <c r="L115" s="48" t="n">
        <v>0.000329409</v>
      </c>
      <c r="M115" s="48" t="n">
        <v>0.00043175</v>
      </c>
      <c r="N115" s="48" t="n">
        <v>0.000231</v>
      </c>
      <c r="O115" s="48" t="n">
        <v>0.000231</v>
      </c>
      <c r="P115" s="48" t="n">
        <v>0.000231</v>
      </c>
      <c r="Q115" s="48" t="n">
        <v>0.000231</v>
      </c>
      <c r="R115" s="48" t="n">
        <v>0.00021</v>
      </c>
      <c r="S115" s="48" t="n">
        <v>0.00021</v>
      </c>
      <c r="T115" s="48" t="n">
        <v>0.00021</v>
      </c>
      <c r="U115" s="48" t="n">
        <v>0.00021</v>
      </c>
      <c r="V115" s="48" t="n">
        <v>0.0888</v>
      </c>
      <c r="W115" s="48" t="n">
        <v>0.0888</v>
      </c>
      <c r="X115" s="48" t="n">
        <v>0.0965</v>
      </c>
      <c r="Y115" s="48" t="n">
        <v>0.0965</v>
      </c>
      <c r="Z115" s="83" t="n">
        <v>0.37</v>
      </c>
      <c r="AA115" s="39" t="n">
        <v>2220</v>
      </c>
      <c r="AB115" s="56" t="n">
        <v>0.0307</v>
      </c>
    </row>
    <row r="116">
      <c r="A116" s="67" t="n">
        <v>23</v>
      </c>
      <c r="B116" s="48" t="n">
        <v>0.0001603</v>
      </c>
      <c r="C116" s="48" t="n">
        <v>0.0002363</v>
      </c>
      <c r="D116" s="48" t="n">
        <v>7.19e-05</v>
      </c>
      <c r="E116" s="48" t="n">
        <v>9.32e-05</v>
      </c>
      <c r="F116" s="48" t="n">
        <v>0.00086</v>
      </c>
      <c r="G116" s="48" t="n">
        <v>0.00086</v>
      </c>
      <c r="H116" s="48" t="n">
        <v>0.00022</v>
      </c>
      <c r="I116" s="48" t="n">
        <v>0.00022</v>
      </c>
      <c r="J116" s="48" t="n">
        <v>0.000759561</v>
      </c>
      <c r="K116" s="48" t="n">
        <v>0.001119353</v>
      </c>
      <c r="L116" s="48" t="n">
        <v>0.000340603</v>
      </c>
      <c r="M116" s="48" t="n">
        <v>0.000441345</v>
      </c>
      <c r="N116" s="48" t="n">
        <v>0.000231</v>
      </c>
      <c r="O116" s="48" t="n">
        <v>0.000231</v>
      </c>
      <c r="P116" s="48" t="n">
        <v>0.000231</v>
      </c>
      <c r="Q116" s="48" t="n">
        <v>0.000231</v>
      </c>
      <c r="R116" s="48" t="n">
        <v>0.00021</v>
      </c>
      <c r="S116" s="48" t="n">
        <v>0.00021</v>
      </c>
      <c r="T116" s="48" t="n">
        <v>0.00021</v>
      </c>
      <c r="U116" s="48" t="n">
        <v>0.00021</v>
      </c>
      <c r="V116" s="48" t="n">
        <v>0.0888</v>
      </c>
      <c r="W116" s="48" t="n">
        <v>0.0888</v>
      </c>
      <c r="X116" s="48" t="n">
        <v>0.0965</v>
      </c>
      <c r="Y116" s="48" t="n">
        <v>0.0965</v>
      </c>
      <c r="Z116" s="83" t="n">
        <v>0.37</v>
      </c>
      <c r="AA116" s="39" t="n">
        <v>2220</v>
      </c>
      <c r="AB116" s="56" t="n">
        <v>0.0307</v>
      </c>
    </row>
    <row r="117">
      <c r="A117" s="67" t="n">
        <v>24</v>
      </c>
      <c r="B117" s="48" t="n">
        <v>0.000162</v>
      </c>
      <c r="C117" s="48" t="n">
        <v>0.0002383</v>
      </c>
      <c r="D117" s="48" t="n">
        <v>7.46e-05</v>
      </c>
      <c r="E117" s="48" t="n">
        <v>9.59e-05</v>
      </c>
      <c r="F117" s="48" t="n">
        <v>0.00078</v>
      </c>
      <c r="G117" s="48" t="n">
        <v>0.00078</v>
      </c>
      <c r="H117" s="48" t="n">
        <v>0.00021</v>
      </c>
      <c r="I117" s="48" t="n">
        <v>0.00021</v>
      </c>
      <c r="J117" s="48" t="n">
        <v>0.000767556</v>
      </c>
      <c r="K117" s="48" t="n">
        <v>0.001128947</v>
      </c>
      <c r="L117" s="48" t="n">
        <v>0.000353396</v>
      </c>
      <c r="M117" s="48" t="n">
        <v>0.000454137</v>
      </c>
      <c r="N117" s="48" t="n">
        <v>0.000231</v>
      </c>
      <c r="O117" s="48" t="n">
        <v>0.000231</v>
      </c>
      <c r="P117" s="48" t="n">
        <v>0.000231</v>
      </c>
      <c r="Q117" s="48" t="n">
        <v>0.000231</v>
      </c>
      <c r="R117" s="48" t="n">
        <v>0.00021</v>
      </c>
      <c r="S117" s="48" t="n">
        <v>0.00021</v>
      </c>
      <c r="T117" s="48" t="n">
        <v>0.00021</v>
      </c>
      <c r="U117" s="48" t="n">
        <v>0.00021</v>
      </c>
      <c r="V117" s="48" t="n">
        <v>0.0888</v>
      </c>
      <c r="W117" s="48" t="n">
        <v>0.0888</v>
      </c>
      <c r="X117" s="48" t="n">
        <v>0.0965</v>
      </c>
      <c r="Y117" s="48" t="n">
        <v>0.0965</v>
      </c>
      <c r="Z117" s="83" t="n">
        <v>0.37</v>
      </c>
      <c r="AA117" s="39" t="n">
        <v>2220</v>
      </c>
      <c r="AB117" s="56" t="n">
        <v>0.0307</v>
      </c>
    </row>
    <row r="118">
      <c r="A118" s="67" t="n">
        <v>25</v>
      </c>
      <c r="B118" s="48" t="n">
        <v>0.0001637</v>
      </c>
      <c r="C118" s="48" t="n">
        <v>0.0002406</v>
      </c>
      <c r="D118" s="48" t="n">
        <v>7.76e-05</v>
      </c>
      <c r="E118" s="48" t="n">
        <v>9.890000000000001e-05</v>
      </c>
      <c r="F118" s="48" t="n">
        <v>0.00071</v>
      </c>
      <c r="G118" s="48" t="n">
        <v>0.00071</v>
      </c>
      <c r="H118" s="48" t="n">
        <v>0.00021</v>
      </c>
      <c r="I118" s="48" t="n">
        <v>0.00021</v>
      </c>
      <c r="J118" s="48" t="n">
        <v>0.000775551</v>
      </c>
      <c r="K118" s="48" t="n">
        <v>0.00114014</v>
      </c>
      <c r="L118" s="48" t="n">
        <v>0.000367787</v>
      </c>
      <c r="M118" s="48" t="n">
        <v>0.000468529</v>
      </c>
      <c r="N118" s="48" t="n">
        <v>0.000231</v>
      </c>
      <c r="O118" s="48" t="n">
        <v>0.000231</v>
      </c>
      <c r="P118" s="48" t="n">
        <v>0.000231</v>
      </c>
      <c r="Q118" s="48" t="n">
        <v>0.000231</v>
      </c>
      <c r="R118" s="48" t="n">
        <v>0.00021</v>
      </c>
      <c r="S118" s="48" t="n">
        <v>0.00021</v>
      </c>
      <c r="T118" s="48" t="n">
        <v>0.00021</v>
      </c>
      <c r="U118" s="48" t="n">
        <v>0.00021</v>
      </c>
      <c r="V118" s="48" t="n">
        <v>0.0888</v>
      </c>
      <c r="W118" s="48" t="n">
        <v>0.0888</v>
      </c>
      <c r="X118" s="48" t="n">
        <v>0.0965</v>
      </c>
      <c r="Y118" s="48" t="n">
        <v>0.0965</v>
      </c>
      <c r="Z118" s="83" t="n">
        <v>0.37</v>
      </c>
      <c r="AA118" s="39" t="n">
        <v>2220</v>
      </c>
      <c r="AB118" s="56" t="n">
        <v>0.0307</v>
      </c>
    </row>
    <row r="119">
      <c r="A119" s="67" t="n">
        <v>26</v>
      </c>
      <c r="B119" s="48" t="n">
        <v>0.0001661</v>
      </c>
      <c r="C119" s="48" t="n">
        <v>0.0002437</v>
      </c>
      <c r="D119" s="48" t="n">
        <v>8.13e-05</v>
      </c>
      <c r="E119" s="48" t="n">
        <v>0.0001023</v>
      </c>
      <c r="F119" s="48" t="n">
        <v>0.00065</v>
      </c>
      <c r="G119" s="48" t="n">
        <v>0.00065</v>
      </c>
      <c r="H119" s="48" t="n">
        <v>0.00021</v>
      </c>
      <c r="I119" s="48" t="n">
        <v>0.00021</v>
      </c>
      <c r="J119" s="48" t="n">
        <v>0.000786745</v>
      </c>
      <c r="K119" s="48" t="n">
        <v>0.001154532</v>
      </c>
      <c r="L119" s="48" t="n">
        <v>0.000385377</v>
      </c>
      <c r="M119" s="48" t="n">
        <v>0.00048452</v>
      </c>
      <c r="N119" s="48" t="n">
        <v>0.000231</v>
      </c>
      <c r="O119" s="48" t="n">
        <v>0.000231</v>
      </c>
      <c r="P119" s="48" t="n">
        <v>0.000231</v>
      </c>
      <c r="Q119" s="48" t="n">
        <v>0.000231</v>
      </c>
      <c r="R119" s="48" t="n">
        <v>0.00021</v>
      </c>
      <c r="S119" s="48" t="n">
        <v>0.00021</v>
      </c>
      <c r="T119" s="48" t="n">
        <v>0.00021</v>
      </c>
      <c r="U119" s="48" t="n">
        <v>0.00021</v>
      </c>
      <c r="V119" s="48" t="n">
        <v>0.0888</v>
      </c>
      <c r="W119" s="48" t="n">
        <v>0.0888</v>
      </c>
      <c r="X119" s="48" t="n">
        <v>0.0965</v>
      </c>
      <c r="Y119" s="48" t="n">
        <v>0.0965</v>
      </c>
      <c r="Z119" s="83" t="n">
        <v>0.37</v>
      </c>
      <c r="AA119" s="39" t="n">
        <v>2220</v>
      </c>
      <c r="AB119" s="56" t="n">
        <v>0.0307</v>
      </c>
    </row>
    <row r="120">
      <c r="A120" s="67" t="n">
        <v>27</v>
      </c>
      <c r="B120" s="48" t="n">
        <v>0.0001688</v>
      </c>
      <c r="C120" s="48" t="n">
        <v>0.0002471</v>
      </c>
      <c r="D120" s="48" t="n">
        <v>8.509999999999999e-05</v>
      </c>
      <c r="E120" s="48" t="n">
        <v>0.0001063</v>
      </c>
      <c r="F120" s="48" t="n">
        <v>0.0005999999999999999</v>
      </c>
      <c r="G120" s="48" t="n">
        <v>0.0005999999999999999</v>
      </c>
      <c r="H120" s="48" t="n">
        <v>0.00021</v>
      </c>
      <c r="I120" s="48" t="n">
        <v>0.00021</v>
      </c>
      <c r="J120" s="48" t="n">
        <v>0.000799538</v>
      </c>
      <c r="K120" s="48" t="n">
        <v>0.001170523</v>
      </c>
      <c r="L120" s="48" t="n">
        <v>0.000402967</v>
      </c>
      <c r="M120" s="48" t="n">
        <v>0.000503709</v>
      </c>
      <c r="N120" s="48" t="n">
        <v>0.000231</v>
      </c>
      <c r="O120" s="48" t="n">
        <v>0.000231</v>
      </c>
      <c r="P120" s="48" t="n">
        <v>0.000231</v>
      </c>
      <c r="Q120" s="48" t="n">
        <v>0.000231</v>
      </c>
      <c r="R120" s="48" t="n">
        <v>0.00021</v>
      </c>
      <c r="S120" s="48" t="n">
        <v>0.00021</v>
      </c>
      <c r="T120" s="48" t="n">
        <v>0.00021</v>
      </c>
      <c r="U120" s="48" t="n">
        <v>0.00021</v>
      </c>
      <c r="V120" s="48" t="n">
        <v>0.0888</v>
      </c>
      <c r="W120" s="48" t="n">
        <v>0.0888</v>
      </c>
      <c r="X120" s="48" t="n">
        <v>0.0965</v>
      </c>
      <c r="Y120" s="48" t="n">
        <v>0.0965</v>
      </c>
      <c r="Z120" s="83" t="n">
        <v>0.37</v>
      </c>
      <c r="AA120" s="39" t="n">
        <v>2220</v>
      </c>
      <c r="AB120" s="56" t="n">
        <v>0.0307</v>
      </c>
    </row>
    <row r="121">
      <c r="A121" s="67" t="n">
        <v>28</v>
      </c>
      <c r="B121" s="48" t="n">
        <v>0.0001715</v>
      </c>
      <c r="C121" s="48" t="n">
        <v>0.0002511</v>
      </c>
      <c r="D121" s="48" t="n">
        <v>8.94e-05</v>
      </c>
      <c r="E121" s="48" t="n">
        <v>0.000111</v>
      </c>
      <c r="F121" s="48" t="n">
        <v>0.00055</v>
      </c>
      <c r="G121" s="48" t="n">
        <v>0.00055</v>
      </c>
      <c r="H121" s="48" t="n">
        <v>0.0002</v>
      </c>
      <c r="I121" s="48" t="n">
        <v>0.0002</v>
      </c>
      <c r="J121" s="48" t="n">
        <v>0.00081233</v>
      </c>
      <c r="K121" s="48" t="n">
        <v>0.001189712</v>
      </c>
      <c r="L121" s="48" t="n">
        <v>0.000423755</v>
      </c>
      <c r="M121" s="48" t="n">
        <v>0.000526096</v>
      </c>
      <c r="N121" s="48" t="n">
        <v>0.000231</v>
      </c>
      <c r="O121" s="48" t="n">
        <v>0.000231</v>
      </c>
      <c r="P121" s="48" t="n">
        <v>0.000231</v>
      </c>
      <c r="Q121" s="48" t="n">
        <v>0.000231</v>
      </c>
      <c r="R121" s="48" t="n">
        <v>0.00021</v>
      </c>
      <c r="S121" s="48" t="n">
        <v>0.00021</v>
      </c>
      <c r="T121" s="48" t="n">
        <v>0.00021</v>
      </c>
      <c r="U121" s="48" t="n">
        <v>0.00021</v>
      </c>
      <c r="V121" s="48" t="n">
        <v>0.0888</v>
      </c>
      <c r="W121" s="48" t="n">
        <v>0.0888</v>
      </c>
      <c r="X121" s="48" t="n">
        <v>0.0965</v>
      </c>
      <c r="Y121" s="48" t="n">
        <v>0.0965</v>
      </c>
      <c r="Z121" s="83" t="n">
        <v>0.37</v>
      </c>
      <c r="AA121" s="39" t="n">
        <v>2220</v>
      </c>
      <c r="AB121" s="56" t="n">
        <v>0.0307</v>
      </c>
    </row>
    <row r="122">
      <c r="A122" s="67" t="n">
        <v>29</v>
      </c>
      <c r="B122" s="48" t="n">
        <v>0.0001752</v>
      </c>
      <c r="C122" s="48" t="n">
        <v>0.0002562</v>
      </c>
      <c r="D122" s="48" t="n">
        <v>9.42e-05</v>
      </c>
      <c r="E122" s="48" t="n">
        <v>0.0001164</v>
      </c>
      <c r="F122" s="48" t="n">
        <v>0.00051</v>
      </c>
      <c r="G122" s="48" t="n">
        <v>0.00051</v>
      </c>
      <c r="H122" s="48" t="n">
        <v>0.0002</v>
      </c>
      <c r="I122" s="48" t="n">
        <v>0.0002</v>
      </c>
      <c r="J122" s="48" t="n">
        <v>0.0008299200000000001</v>
      </c>
      <c r="K122" s="48" t="n">
        <v>0.001213698</v>
      </c>
      <c r="L122" s="48" t="n">
        <v>0.000446142</v>
      </c>
      <c r="M122" s="48" t="n">
        <v>0.000551681</v>
      </c>
      <c r="N122" s="48" t="n">
        <v>0.000231</v>
      </c>
      <c r="O122" s="48" t="n">
        <v>0.000231</v>
      </c>
      <c r="P122" s="48" t="n">
        <v>0.000231</v>
      </c>
      <c r="Q122" s="48" t="n">
        <v>0.000231</v>
      </c>
      <c r="R122" s="48" t="n">
        <v>0.00021</v>
      </c>
      <c r="S122" s="48" t="n">
        <v>0.00021</v>
      </c>
      <c r="T122" s="48" t="n">
        <v>0.00021</v>
      </c>
      <c r="U122" s="48" t="n">
        <v>0.00021</v>
      </c>
      <c r="V122" s="48" t="n">
        <v>0.0888</v>
      </c>
      <c r="W122" s="48" t="n">
        <v>0.0888</v>
      </c>
      <c r="X122" s="48" t="n">
        <v>0.0965</v>
      </c>
      <c r="Y122" s="48" t="n">
        <v>0.0965</v>
      </c>
      <c r="Z122" s="83" t="n">
        <v>0.37</v>
      </c>
      <c r="AA122" s="39" t="n">
        <v>2220</v>
      </c>
      <c r="AB122" s="56" t="n">
        <v>0.0307</v>
      </c>
    </row>
    <row r="123">
      <c r="A123" s="67" t="n">
        <v>30</v>
      </c>
      <c r="B123" s="48" t="n">
        <v>0.0001792</v>
      </c>
      <c r="C123" s="48" t="n">
        <v>0.0002619</v>
      </c>
      <c r="D123" s="48" t="n">
        <v>9.96e-05</v>
      </c>
      <c r="E123" s="48" t="n">
        <v>0.0001229</v>
      </c>
      <c r="F123" s="48" t="n">
        <v>0.00048</v>
      </c>
      <c r="G123" s="48" t="n">
        <v>0.00048</v>
      </c>
      <c r="H123" s="48" t="n">
        <v>0.00019</v>
      </c>
      <c r="I123" s="48" t="n">
        <v>0.00019</v>
      </c>
      <c r="J123" s="48" t="n">
        <v>0.000849109</v>
      </c>
      <c r="K123" s="48" t="n">
        <v>0.001240882</v>
      </c>
      <c r="L123" s="48" t="n">
        <v>0.000471727</v>
      </c>
      <c r="M123" s="48" t="n">
        <v>0.000582063</v>
      </c>
      <c r="N123" s="48" t="n">
        <v>0.000231</v>
      </c>
      <c r="O123" s="48" t="n">
        <v>0.000231</v>
      </c>
      <c r="P123" s="48" t="n">
        <v>0.000231</v>
      </c>
      <c r="Q123" s="48" t="n">
        <v>0.000231</v>
      </c>
      <c r="R123" s="48" t="n">
        <v>0.00021</v>
      </c>
      <c r="S123" s="48" t="n">
        <v>0.00021</v>
      </c>
      <c r="T123" s="48" t="n">
        <v>0.00021</v>
      </c>
      <c r="U123" s="48" t="n">
        <v>0.00021</v>
      </c>
      <c r="V123" s="48" t="n">
        <v>0.0888</v>
      </c>
      <c r="W123" s="48" t="n">
        <v>0.0888</v>
      </c>
      <c r="X123" s="48" t="n">
        <v>0.0965</v>
      </c>
      <c r="Y123" s="48" t="n">
        <v>0.0965</v>
      </c>
      <c r="Z123" s="83" t="n">
        <v>0.37</v>
      </c>
      <c r="AA123" s="39" t="n">
        <v>2220</v>
      </c>
      <c r="AB123" s="56" t="n">
        <v>0.0307</v>
      </c>
    </row>
    <row r="124">
      <c r="A124" s="67" t="n">
        <v>31</v>
      </c>
      <c r="B124" s="48" t="n">
        <v>0.0001839</v>
      </c>
      <c r="C124" s="48" t="n">
        <v>0.0002687</v>
      </c>
      <c r="D124" s="48" t="n">
        <v>0.0001056</v>
      </c>
      <c r="E124" s="48" t="n">
        <v>0.0001299</v>
      </c>
      <c r="F124" s="48" t="n">
        <v>0.00046</v>
      </c>
      <c r="G124" s="48" t="n">
        <v>0.00046</v>
      </c>
      <c r="H124" s="48" t="n">
        <v>0.00019</v>
      </c>
      <c r="I124" s="48" t="n">
        <v>0.00019</v>
      </c>
      <c r="J124" s="48" t="n">
        <v>0.000871496</v>
      </c>
      <c r="K124" s="48" t="n">
        <v>0.001272864</v>
      </c>
      <c r="L124" s="48" t="n">
        <v>0.00050051</v>
      </c>
      <c r="M124" s="48" t="n">
        <v>0.000615644</v>
      </c>
      <c r="N124" s="48" t="n">
        <v>0.000231</v>
      </c>
      <c r="O124" s="48" t="n">
        <v>0.000231</v>
      </c>
      <c r="P124" s="48" t="n">
        <v>0.000231</v>
      </c>
      <c r="Q124" s="48" t="n">
        <v>0.000231</v>
      </c>
      <c r="R124" s="48" t="n">
        <v>0.00021</v>
      </c>
      <c r="S124" s="48" t="n">
        <v>0.00021</v>
      </c>
      <c r="T124" s="48" t="n">
        <v>0.00021</v>
      </c>
      <c r="U124" s="48" t="n">
        <v>0.00021</v>
      </c>
      <c r="V124" s="48" t="n">
        <v>0.0888</v>
      </c>
      <c r="W124" s="48" t="n">
        <v>0.0888</v>
      </c>
      <c r="X124" s="48" t="n">
        <v>0.0965</v>
      </c>
      <c r="Y124" s="48" t="n">
        <v>0.0965</v>
      </c>
      <c r="Z124" s="83" t="n">
        <v>0.37</v>
      </c>
      <c r="AA124" s="39" t="n">
        <v>2220</v>
      </c>
      <c r="AB124" s="56" t="n">
        <v>0.0307</v>
      </c>
    </row>
    <row r="125">
      <c r="A125" s="67" t="n">
        <v>32</v>
      </c>
      <c r="B125" s="48" t="n">
        <v>0.0001893</v>
      </c>
      <c r="C125" s="48" t="n">
        <v>0.0002768</v>
      </c>
      <c r="D125" s="48" t="n">
        <v>0.0001124</v>
      </c>
      <c r="E125" s="48" t="n">
        <v>0.0001387</v>
      </c>
      <c r="F125" s="48" t="n">
        <v>0.00045</v>
      </c>
      <c r="G125" s="48" t="n">
        <v>0.00045</v>
      </c>
      <c r="H125" s="48" t="n">
        <v>0.00019</v>
      </c>
      <c r="I125" s="48" t="n">
        <v>0.00019</v>
      </c>
      <c r="J125" s="48" t="n">
        <v>0.000897081</v>
      </c>
      <c r="K125" s="48" t="n">
        <v>0.001311242</v>
      </c>
      <c r="L125" s="48" t="n">
        <v>0.000532492</v>
      </c>
      <c r="M125" s="48" t="n">
        <v>0.00065722</v>
      </c>
      <c r="N125" s="48" t="n">
        <v>0.000231</v>
      </c>
      <c r="O125" s="48" t="n">
        <v>0.000231</v>
      </c>
      <c r="P125" s="48" t="n">
        <v>0.000231</v>
      </c>
      <c r="Q125" s="48" t="n">
        <v>0.000231</v>
      </c>
      <c r="R125" s="48" t="n">
        <v>0.00021</v>
      </c>
      <c r="S125" s="48" t="n">
        <v>0.00021</v>
      </c>
      <c r="T125" s="48" t="n">
        <v>0.00021</v>
      </c>
      <c r="U125" s="48" t="n">
        <v>0.00021</v>
      </c>
      <c r="V125" s="48" t="n">
        <v>0.0888</v>
      </c>
      <c r="W125" s="48" t="n">
        <v>0.0888</v>
      </c>
      <c r="X125" s="48" t="n">
        <v>0.0965</v>
      </c>
      <c r="Y125" s="48" t="n">
        <v>0.0965</v>
      </c>
      <c r="Z125" s="83" t="n">
        <v>0.37</v>
      </c>
      <c r="AA125" s="39" t="n">
        <v>2220</v>
      </c>
      <c r="AB125" s="56" t="n">
        <v>0.0307</v>
      </c>
    </row>
    <row r="126">
      <c r="A126" s="67" t="n">
        <v>33</v>
      </c>
      <c r="B126" s="48" t="n">
        <v>0.0001954</v>
      </c>
      <c r="C126" s="48" t="n">
        <v>0.0002862</v>
      </c>
      <c r="D126" s="48" t="n">
        <v>0.0001198</v>
      </c>
      <c r="E126" s="48" t="n">
        <v>0.0001485</v>
      </c>
      <c r="F126" s="48" t="n">
        <v>0.00044</v>
      </c>
      <c r="G126" s="48" t="n">
        <v>0.00044</v>
      </c>
      <c r="H126" s="48" t="n">
        <v>0.00018</v>
      </c>
      <c r="I126" s="48" t="n">
        <v>0.00018</v>
      </c>
      <c r="J126" s="48" t="n">
        <v>0.000925864</v>
      </c>
      <c r="K126" s="48" t="n">
        <v>0.001356016</v>
      </c>
      <c r="L126" s="48" t="n">
        <v>0.000567672</v>
      </c>
      <c r="M126" s="48" t="n">
        <v>0.000703593</v>
      </c>
      <c r="N126" s="48" t="n">
        <v>0.000231</v>
      </c>
      <c r="O126" s="48" t="n">
        <v>0.000231</v>
      </c>
      <c r="P126" s="48" t="n">
        <v>0.000231</v>
      </c>
      <c r="Q126" s="48" t="n">
        <v>0.000231</v>
      </c>
      <c r="R126" s="48" t="n">
        <v>0.00021</v>
      </c>
      <c r="S126" s="48" t="n">
        <v>0.00021</v>
      </c>
      <c r="T126" s="48" t="n">
        <v>0.00021</v>
      </c>
      <c r="U126" s="48" t="n">
        <v>0.00021</v>
      </c>
      <c r="V126" s="48" t="n">
        <v>0.0888</v>
      </c>
      <c r="W126" s="48" t="n">
        <v>0.0888</v>
      </c>
      <c r="X126" s="48" t="n">
        <v>0.0965</v>
      </c>
      <c r="Y126" s="48" t="n">
        <v>0.0965</v>
      </c>
      <c r="Z126" s="83" t="n">
        <v>0.37</v>
      </c>
      <c r="AA126" s="39" t="n">
        <v>2220</v>
      </c>
      <c r="AB126" s="56" t="n">
        <v>0.0307</v>
      </c>
    </row>
    <row r="127">
      <c r="A127" s="67" t="n">
        <v>34</v>
      </c>
      <c r="B127" s="48" t="n">
        <v>0.0002028</v>
      </c>
      <c r="C127" s="48" t="n">
        <v>0.0002973</v>
      </c>
      <c r="D127" s="48" t="n">
        <v>0.0001283</v>
      </c>
      <c r="E127" s="48" t="n">
        <v>0.00016</v>
      </c>
      <c r="F127" s="48" t="n">
        <v>0.00043</v>
      </c>
      <c r="G127" s="48" t="n">
        <v>0.00043</v>
      </c>
      <c r="H127" s="48" t="n">
        <v>0.00018</v>
      </c>
      <c r="I127" s="48" t="n">
        <v>0.00018</v>
      </c>
      <c r="J127" s="48" t="n">
        <v>0.000961044</v>
      </c>
      <c r="K127" s="48" t="n">
        <v>0.001408785</v>
      </c>
      <c r="L127" s="48" t="n">
        <v>0.000607649</v>
      </c>
      <c r="M127" s="48" t="n">
        <v>0.000757962</v>
      </c>
      <c r="N127" s="48" t="n">
        <v>0.000231</v>
      </c>
      <c r="O127" s="48" t="n">
        <v>0.000231</v>
      </c>
      <c r="P127" s="48" t="n">
        <v>0.000231</v>
      </c>
      <c r="Q127" s="48" t="n">
        <v>0.000231</v>
      </c>
      <c r="R127" s="48" t="n">
        <v>0.00021</v>
      </c>
      <c r="S127" s="48" t="n">
        <v>0.00021</v>
      </c>
      <c r="T127" s="48" t="n">
        <v>0.00021</v>
      </c>
      <c r="U127" s="48" t="n">
        <v>0.00021</v>
      </c>
      <c r="V127" s="48" t="n">
        <v>0.0888</v>
      </c>
      <c r="W127" s="48" t="n">
        <v>0.0888</v>
      </c>
      <c r="X127" s="48" t="n">
        <v>0.0965</v>
      </c>
      <c r="Y127" s="48" t="n">
        <v>0.0965</v>
      </c>
      <c r="Z127" s="83" t="n">
        <v>0.37</v>
      </c>
      <c r="AA127" s="39" t="n">
        <v>2220</v>
      </c>
      <c r="AB127" s="56" t="n">
        <v>0.0307</v>
      </c>
    </row>
    <row r="128">
      <c r="A128" s="67" t="n">
        <v>35</v>
      </c>
      <c r="B128" s="48" t="n">
        <v>0.0002113</v>
      </c>
      <c r="C128" s="48" t="n">
        <v>0.0003105</v>
      </c>
      <c r="D128" s="48" t="n">
        <v>0.0001377</v>
      </c>
      <c r="E128" s="48" t="n">
        <v>0.0001731</v>
      </c>
      <c r="F128" s="48" t="n">
        <v>0.00043</v>
      </c>
      <c r="G128" s="48" t="n">
        <v>0.00043</v>
      </c>
      <c r="H128" s="48" t="n">
        <v>0.00017</v>
      </c>
      <c r="I128" s="48" t="n">
        <v>0.00017</v>
      </c>
      <c r="J128" s="48" t="n">
        <v>0.001001021</v>
      </c>
      <c r="K128" s="48" t="n">
        <v>0.001471149</v>
      </c>
      <c r="L128" s="48" t="n">
        <v>0.000652423</v>
      </c>
      <c r="M128" s="48" t="n">
        <v>0.000820325</v>
      </c>
      <c r="N128" s="48" t="n">
        <v>0.000231</v>
      </c>
      <c r="O128" s="48" t="n">
        <v>0.000231</v>
      </c>
      <c r="P128" s="48" t="n">
        <v>0.000231</v>
      </c>
      <c r="Q128" s="48" t="n">
        <v>0.000231</v>
      </c>
      <c r="R128" s="48" t="n">
        <v>0.00021</v>
      </c>
      <c r="S128" s="48" t="n">
        <v>0.00021</v>
      </c>
      <c r="T128" s="48" t="n">
        <v>0.00021</v>
      </c>
      <c r="U128" s="48" t="n">
        <v>0.00021</v>
      </c>
      <c r="V128" s="48" t="n">
        <v>0.0888</v>
      </c>
      <c r="W128" s="48" t="n">
        <v>0.0888</v>
      </c>
      <c r="X128" s="48" t="n">
        <v>0.0965</v>
      </c>
      <c r="Y128" s="48" t="n">
        <v>0.0965</v>
      </c>
      <c r="Z128" s="83" t="n">
        <v>0.37</v>
      </c>
      <c r="AA128" s="39" t="n">
        <v>2220</v>
      </c>
      <c r="AB128" s="56" t="n">
        <v>0.0307</v>
      </c>
    </row>
    <row r="129">
      <c r="A129" s="67" t="n">
        <v>36</v>
      </c>
      <c r="B129" s="48" t="n">
        <v>0.0002207</v>
      </c>
      <c r="C129" s="48" t="n">
        <v>0.000326</v>
      </c>
      <c r="D129" s="48" t="n">
        <v>0.0001482</v>
      </c>
      <c r="E129" s="48" t="n">
        <v>0.0001883</v>
      </c>
      <c r="F129" s="48" t="n">
        <v>0.00043</v>
      </c>
      <c r="G129" s="48" t="n">
        <v>0.00043</v>
      </c>
      <c r="H129" s="48" t="n">
        <v>0.00017</v>
      </c>
      <c r="I129" s="48" t="n">
        <v>0.00017</v>
      </c>
      <c r="J129" s="48" t="n">
        <v>0.001045795</v>
      </c>
      <c r="K129" s="48" t="n">
        <v>0.001544706</v>
      </c>
      <c r="L129" s="48" t="n">
        <v>0.0007019939999999999</v>
      </c>
      <c r="M129" s="48" t="n">
        <v>0.000892284</v>
      </c>
      <c r="N129" s="48" t="n">
        <v>0.000231</v>
      </c>
      <c r="O129" s="48" t="n">
        <v>0.000231</v>
      </c>
      <c r="P129" s="48" t="n">
        <v>0.000231</v>
      </c>
      <c r="Q129" s="48" t="n">
        <v>0.000231</v>
      </c>
      <c r="R129" s="48" t="n">
        <v>0.00021</v>
      </c>
      <c r="S129" s="48" t="n">
        <v>0.00021</v>
      </c>
      <c r="T129" s="48" t="n">
        <v>0.00021</v>
      </c>
      <c r="U129" s="48" t="n">
        <v>0.00021</v>
      </c>
      <c r="V129" s="48" t="n">
        <v>0.0888</v>
      </c>
      <c r="W129" s="48" t="n">
        <v>0.0888</v>
      </c>
      <c r="X129" s="48" t="n">
        <v>0.0965</v>
      </c>
      <c r="Y129" s="48" t="n">
        <v>0.0965</v>
      </c>
      <c r="Z129" s="83" t="n">
        <v>0.37</v>
      </c>
      <c r="AA129" s="39" t="n">
        <v>2220</v>
      </c>
      <c r="AB129" s="56" t="n">
        <v>0.0315</v>
      </c>
    </row>
    <row r="130">
      <c r="A130" s="67" t="n">
        <v>37</v>
      </c>
      <c r="B130" s="48" t="n">
        <v>0.0002319</v>
      </c>
      <c r="C130" s="48" t="n">
        <v>0.0003439</v>
      </c>
      <c r="D130" s="48" t="n">
        <v>0.0001596</v>
      </c>
      <c r="E130" s="48" t="n">
        <v>0.0002059</v>
      </c>
      <c r="F130" s="48" t="n">
        <v>0.00044</v>
      </c>
      <c r="G130" s="48" t="n">
        <v>0.00044</v>
      </c>
      <c r="H130" s="48" t="n">
        <v>0.00017</v>
      </c>
      <c r="I130" s="48" t="n">
        <v>0.00017</v>
      </c>
      <c r="J130" s="48" t="n">
        <v>0.001098565</v>
      </c>
      <c r="K130" s="48" t="n">
        <v>0.001629457</v>
      </c>
      <c r="L130" s="48" t="n">
        <v>0.000756362</v>
      </c>
      <c r="M130" s="48" t="n">
        <v>0.000975436</v>
      </c>
      <c r="N130" s="48" t="n">
        <v>0.000231</v>
      </c>
      <c r="O130" s="48" t="n">
        <v>0.000231</v>
      </c>
      <c r="P130" s="48" t="n">
        <v>0.000231</v>
      </c>
      <c r="Q130" s="48" t="n">
        <v>0.000231</v>
      </c>
      <c r="R130" s="48" t="n">
        <v>0.00021</v>
      </c>
      <c r="S130" s="48" t="n">
        <v>0.00021</v>
      </c>
      <c r="T130" s="48" t="n">
        <v>0.00021</v>
      </c>
      <c r="U130" s="48" t="n">
        <v>0.00021</v>
      </c>
      <c r="V130" s="48" t="n">
        <v>0.0888</v>
      </c>
      <c r="W130" s="48" t="n">
        <v>0.0888</v>
      </c>
      <c r="X130" s="48" t="n">
        <v>0.0965</v>
      </c>
      <c r="Y130" s="48" t="n">
        <v>0.0965</v>
      </c>
      <c r="Z130" s="83" t="n">
        <v>0.37</v>
      </c>
      <c r="AA130" s="39" t="n">
        <v>2220</v>
      </c>
      <c r="AB130" s="56" t="n">
        <v>0.0315</v>
      </c>
    </row>
    <row r="131">
      <c r="A131" s="67" t="n">
        <v>38</v>
      </c>
      <c r="B131" s="48" t="n">
        <v>0.000245</v>
      </c>
      <c r="C131" s="48" t="n">
        <v>0.0003648</v>
      </c>
      <c r="D131" s="48" t="n">
        <v>0.0001728</v>
      </c>
      <c r="E131" s="48" t="n">
        <v>0.0002258</v>
      </c>
      <c r="F131" s="48" t="n">
        <v>0.00044</v>
      </c>
      <c r="G131" s="48" t="n">
        <v>0.00044</v>
      </c>
      <c r="H131" s="48" t="n">
        <v>0.00017</v>
      </c>
      <c r="I131" s="48" t="n">
        <v>0.00017</v>
      </c>
      <c r="J131" s="48" t="n">
        <v>0.001160928</v>
      </c>
      <c r="K131" s="48" t="n">
        <v>0.0017286</v>
      </c>
      <c r="L131" s="48" t="n">
        <v>0.000818726</v>
      </c>
      <c r="M131" s="48" t="n">
        <v>0.001069781</v>
      </c>
      <c r="N131" s="48" t="n">
        <v>0.000231</v>
      </c>
      <c r="O131" s="48" t="n">
        <v>0.000231</v>
      </c>
      <c r="P131" s="48" t="n">
        <v>0.000231</v>
      </c>
      <c r="Q131" s="48" t="n">
        <v>0.000231</v>
      </c>
      <c r="R131" s="48" t="n">
        <v>0.00021</v>
      </c>
      <c r="S131" s="48" t="n">
        <v>0.00021</v>
      </c>
      <c r="T131" s="48" t="n">
        <v>0.00021</v>
      </c>
      <c r="U131" s="48" t="n">
        <v>0.00021</v>
      </c>
      <c r="V131" s="48" t="n">
        <v>0.0888</v>
      </c>
      <c r="W131" s="48" t="n">
        <v>0.0888</v>
      </c>
      <c r="X131" s="48" t="n">
        <v>0.0965</v>
      </c>
      <c r="Y131" s="48" t="n">
        <v>0.0965</v>
      </c>
      <c r="Z131" s="83" t="n">
        <v>0.37</v>
      </c>
      <c r="AA131" s="39" t="n">
        <v>2220</v>
      </c>
      <c r="AB131" s="56" t="n">
        <v>0.0315</v>
      </c>
    </row>
    <row r="132">
      <c r="A132" s="67" t="n">
        <v>39</v>
      </c>
      <c r="B132" s="48" t="n">
        <v>0.0002595</v>
      </c>
      <c r="C132" s="48" t="n">
        <v>0.0003895</v>
      </c>
      <c r="D132" s="48" t="n">
        <v>0.0001877</v>
      </c>
      <c r="E132" s="48" t="n">
        <v>0.0002491</v>
      </c>
      <c r="F132" s="48" t="n">
        <v>0.00045</v>
      </c>
      <c r="G132" s="48" t="n">
        <v>0.00045</v>
      </c>
      <c r="H132" s="48" t="n">
        <v>0.00017</v>
      </c>
      <c r="I132" s="48" t="n">
        <v>0.00017</v>
      </c>
      <c r="J132" s="48" t="n">
        <v>0.001229689</v>
      </c>
      <c r="K132" s="48" t="n">
        <v>0.001845333</v>
      </c>
      <c r="L132" s="48" t="n">
        <v>0.000889086</v>
      </c>
      <c r="M132" s="48" t="n">
        <v>0.001180117</v>
      </c>
      <c r="N132" s="48" t="n">
        <v>0.000234393</v>
      </c>
      <c r="O132" s="48" t="n">
        <v>0.000234393</v>
      </c>
      <c r="P132" s="48" t="n">
        <v>0.000234393</v>
      </c>
      <c r="Q132" s="48" t="n">
        <v>0.000234393</v>
      </c>
      <c r="R132" s="48" t="n">
        <v>0.00021</v>
      </c>
      <c r="S132" s="48" t="n">
        <v>0.00021</v>
      </c>
      <c r="T132" s="48" t="n">
        <v>0.00021</v>
      </c>
      <c r="U132" s="48" t="n">
        <v>0.00021</v>
      </c>
      <c r="V132" s="48" t="n">
        <v>0.0888</v>
      </c>
      <c r="W132" s="48" t="n">
        <v>0.0888</v>
      </c>
      <c r="X132" s="48" t="n">
        <v>0.0965</v>
      </c>
      <c r="Y132" s="48" t="n">
        <v>0.0965</v>
      </c>
      <c r="Z132" s="83" t="n">
        <v>0.37</v>
      </c>
      <c r="AA132" s="39" t="n">
        <v>2220</v>
      </c>
      <c r="AB132" s="56" t="n">
        <v>0.0315</v>
      </c>
    </row>
    <row r="133">
      <c r="A133" s="67" t="n">
        <v>40</v>
      </c>
      <c r="B133" s="48" t="n">
        <v>0.0002768</v>
      </c>
      <c r="C133" s="48" t="n">
        <v>0.0004178</v>
      </c>
      <c r="D133" s="48" t="n">
        <v>0.0002039</v>
      </c>
      <c r="E133" s="48" t="n">
        <v>0.0002754</v>
      </c>
      <c r="F133" s="48" t="n">
        <v>0.00046</v>
      </c>
      <c r="G133" s="48" t="n">
        <v>0.00046</v>
      </c>
      <c r="H133" s="48" t="n">
        <v>0.00017</v>
      </c>
      <c r="I133" s="48" t="n">
        <v>0.00017</v>
      </c>
      <c r="J133" s="48" t="n">
        <v>0.001311242</v>
      </c>
      <c r="K133" s="48" t="n">
        <v>0.001979655</v>
      </c>
      <c r="L133" s="48" t="n">
        <v>0.0009658410000000001</v>
      </c>
      <c r="M133" s="48" t="n">
        <v>0.001304845</v>
      </c>
      <c r="N133" s="48" t="n">
        <v>0.000258781</v>
      </c>
      <c r="O133" s="48" t="n">
        <v>0.000258781</v>
      </c>
      <c r="P133" s="48" t="n">
        <v>0.000258781</v>
      </c>
      <c r="Q133" s="48" t="n">
        <v>0.000258781</v>
      </c>
      <c r="R133" s="48" t="n">
        <v>0.00021</v>
      </c>
      <c r="S133" s="48" t="n">
        <v>0.00021</v>
      </c>
      <c r="T133" s="48" t="n">
        <v>0.00021</v>
      </c>
      <c r="U133" s="48" t="n">
        <v>0.00021</v>
      </c>
      <c r="V133" s="48" t="n">
        <v>0.0888</v>
      </c>
      <c r="W133" s="48" t="n">
        <v>0.0888</v>
      </c>
      <c r="X133" s="48" t="n">
        <v>0.0965</v>
      </c>
      <c r="Y133" s="48" t="n">
        <v>0.0965</v>
      </c>
      <c r="Z133" s="83" t="n">
        <v>0.37</v>
      </c>
      <c r="AA133" s="39" t="n">
        <v>2220</v>
      </c>
      <c r="AB133" s="56" t="n">
        <v>0.0315</v>
      </c>
    </row>
    <row r="134">
      <c r="A134" s="67" t="n">
        <v>41</v>
      </c>
      <c r="B134" s="48" t="n">
        <v>0.0002963</v>
      </c>
      <c r="C134" s="48" t="n">
        <v>0.0004509</v>
      </c>
      <c r="D134" s="48" t="n">
        <v>0.0002224</v>
      </c>
      <c r="E134" s="48" t="n">
        <v>0.0003058</v>
      </c>
      <c r="F134" s="48" t="n">
        <v>0.00046</v>
      </c>
      <c r="G134" s="48" t="n">
        <v>0.00046</v>
      </c>
      <c r="H134" s="48" t="n">
        <v>0.00016</v>
      </c>
      <c r="I134" s="48" t="n">
        <v>0.00016</v>
      </c>
      <c r="J134" s="48" t="n">
        <v>0.001403988</v>
      </c>
      <c r="K134" s="48" t="n">
        <v>0.002136364</v>
      </c>
      <c r="L134" s="48" t="n">
        <v>0.00105379</v>
      </c>
      <c r="M134" s="48" t="n">
        <v>0.001448762</v>
      </c>
      <c r="N134" s="48" t="n">
        <v>0.000287719</v>
      </c>
      <c r="O134" s="48" t="n">
        <v>0.000287719</v>
      </c>
      <c r="P134" s="48" t="n">
        <v>0.000287719</v>
      </c>
      <c r="Q134" s="48" t="n">
        <v>0.000287719</v>
      </c>
      <c r="R134" s="48" t="n">
        <v>0.00021</v>
      </c>
      <c r="S134" s="48" t="n">
        <v>0.00021</v>
      </c>
      <c r="T134" s="48" t="n">
        <v>0.00021</v>
      </c>
      <c r="U134" s="48" t="n">
        <v>0.00021</v>
      </c>
      <c r="V134" s="48" t="n">
        <v>0.0888</v>
      </c>
      <c r="W134" s="48" t="n">
        <v>0.0888</v>
      </c>
      <c r="X134" s="48" t="n">
        <v>0.0965</v>
      </c>
      <c r="Y134" s="48" t="n">
        <v>0.0965</v>
      </c>
      <c r="Z134" s="83" t="n">
        <v>0.37</v>
      </c>
      <c r="AA134" s="39" t="n">
        <v>2220</v>
      </c>
      <c r="AB134" s="56" t="n">
        <v>0.0315</v>
      </c>
    </row>
    <row r="135">
      <c r="A135" s="67" t="n">
        <v>42</v>
      </c>
      <c r="B135" s="48" t="n">
        <v>0.0003186</v>
      </c>
      <c r="C135" s="48" t="n">
        <v>0.000489</v>
      </c>
      <c r="D135" s="48" t="n">
        <v>0.000243</v>
      </c>
      <c r="E135" s="48" t="n">
        <v>0.0003405</v>
      </c>
      <c r="F135" s="48" t="n">
        <v>0.00047</v>
      </c>
      <c r="G135" s="48" t="n">
        <v>0.00047</v>
      </c>
      <c r="H135" s="48" t="n">
        <v>0.00016</v>
      </c>
      <c r="I135" s="48" t="n">
        <v>0.00016</v>
      </c>
      <c r="J135" s="48" t="n">
        <v>0.001509527</v>
      </c>
      <c r="K135" s="48" t="n">
        <v>0.00231706</v>
      </c>
      <c r="L135" s="48" t="n">
        <v>0.001151334</v>
      </c>
      <c r="M135" s="48" t="n">
        <v>0.001613467</v>
      </c>
      <c r="N135" s="48" t="n">
        <v>0.000321642</v>
      </c>
      <c r="O135" s="48" t="n">
        <v>0.000321642</v>
      </c>
      <c r="P135" s="48" t="n">
        <v>0.000321642</v>
      </c>
      <c r="Q135" s="48" t="n">
        <v>0.000321642</v>
      </c>
      <c r="R135" s="48" t="n">
        <v>0.00021</v>
      </c>
      <c r="S135" s="48" t="n">
        <v>0.00021</v>
      </c>
      <c r="T135" s="48" t="n">
        <v>0.00021</v>
      </c>
      <c r="U135" s="48" t="n">
        <v>0.00021</v>
      </c>
      <c r="V135" s="48" t="n">
        <v>0.0888</v>
      </c>
      <c r="W135" s="48" t="n">
        <v>0.0888</v>
      </c>
      <c r="X135" s="48" t="n">
        <v>0.0965</v>
      </c>
      <c r="Y135" s="48" t="n">
        <v>0.0965</v>
      </c>
      <c r="Z135" s="83" t="n">
        <v>0.37</v>
      </c>
      <c r="AA135" s="39" t="n">
        <v>2220</v>
      </c>
      <c r="AB135" s="56" t="n">
        <v>0.0315</v>
      </c>
    </row>
    <row r="136">
      <c r="A136" s="67" t="n">
        <v>43</v>
      </c>
      <c r="B136" s="48" t="n">
        <v>0.0003446</v>
      </c>
      <c r="C136" s="48" t="n">
        <v>0.0005336</v>
      </c>
      <c r="D136" s="48" t="n">
        <v>0.000266</v>
      </c>
      <c r="E136" s="48" t="n">
        <v>0.0003804</v>
      </c>
      <c r="F136" s="48" t="n">
        <v>0.00047</v>
      </c>
      <c r="G136" s="48" t="n">
        <v>0.00047</v>
      </c>
      <c r="H136" s="48" t="n">
        <v>0.00016</v>
      </c>
      <c r="I136" s="48" t="n">
        <v>0.00016</v>
      </c>
      <c r="J136" s="48" t="n">
        <v>0.001632656</v>
      </c>
      <c r="K136" s="48" t="n">
        <v>0.002528138</v>
      </c>
      <c r="L136" s="48" t="n">
        <v>0.001260071</v>
      </c>
      <c r="M136" s="48" t="n">
        <v>0.001802158</v>
      </c>
      <c r="N136" s="48" t="n">
        <v>0.000361027</v>
      </c>
      <c r="O136" s="48" t="n">
        <v>0.000361027</v>
      </c>
      <c r="P136" s="48" t="n">
        <v>0.000361027</v>
      </c>
      <c r="Q136" s="48" t="n">
        <v>0.000361027</v>
      </c>
      <c r="R136" s="48" t="n">
        <v>0.00021</v>
      </c>
      <c r="S136" s="48" t="n">
        <v>0.00021</v>
      </c>
      <c r="T136" s="48" t="n">
        <v>0.00021</v>
      </c>
      <c r="U136" s="48" t="n">
        <v>0.00021</v>
      </c>
      <c r="V136" s="48" t="n">
        <v>0.0888</v>
      </c>
      <c r="W136" s="48" t="n">
        <v>0.0888</v>
      </c>
      <c r="X136" s="48" t="n">
        <v>0.0965</v>
      </c>
      <c r="Y136" s="48" t="n">
        <v>0.0965</v>
      </c>
      <c r="Z136" s="83" t="n">
        <v>0.37</v>
      </c>
      <c r="AA136" s="39" t="n">
        <v>2220</v>
      </c>
      <c r="AB136" s="56" t="n">
        <v>0.0315</v>
      </c>
    </row>
    <row r="137">
      <c r="A137" s="67" t="n">
        <v>44</v>
      </c>
      <c r="B137" s="48" t="n">
        <v>0.000374</v>
      </c>
      <c r="C137" s="48" t="n">
        <v>0.0005846</v>
      </c>
      <c r="D137" s="48" t="n">
        <v>0.0002916</v>
      </c>
      <c r="E137" s="48" t="n">
        <v>0.0004256</v>
      </c>
      <c r="F137" s="48" t="n">
        <v>0.00048</v>
      </c>
      <c r="G137" s="48" t="n">
        <v>0.00048</v>
      </c>
      <c r="H137" s="48" t="n">
        <v>0.00017</v>
      </c>
      <c r="I137" s="48" t="n">
        <v>0.00017</v>
      </c>
      <c r="J137" s="48" t="n">
        <v>0.001771775</v>
      </c>
      <c r="K137" s="48" t="n">
        <v>0.002769598</v>
      </c>
      <c r="L137" s="48" t="n">
        <v>0.001381601</v>
      </c>
      <c r="M137" s="48" t="n">
        <v>0.002016434</v>
      </c>
      <c r="N137" s="48" t="n">
        <v>0.000406396</v>
      </c>
      <c r="O137" s="48" t="n">
        <v>0.000406396</v>
      </c>
      <c r="P137" s="48" t="n">
        <v>0.000406396</v>
      </c>
      <c r="Q137" s="48" t="n">
        <v>0.000406396</v>
      </c>
      <c r="R137" s="48" t="n">
        <v>0.00021</v>
      </c>
      <c r="S137" s="48" t="n">
        <v>0.00021</v>
      </c>
      <c r="T137" s="48" t="n">
        <v>0.00021</v>
      </c>
      <c r="U137" s="48" t="n">
        <v>0.00021</v>
      </c>
      <c r="V137" s="48" t="n">
        <v>0.0888</v>
      </c>
      <c r="W137" s="48" t="n">
        <v>0.0888</v>
      </c>
      <c r="X137" s="48" t="n">
        <v>0.0965</v>
      </c>
      <c r="Y137" s="48" t="n">
        <v>0.0965</v>
      </c>
      <c r="Z137" s="83" t="n">
        <v>0.37</v>
      </c>
      <c r="AA137" s="39" t="n">
        <v>2220</v>
      </c>
      <c r="AB137" s="56" t="n">
        <v>0.0315</v>
      </c>
    </row>
    <row r="138">
      <c r="A138" s="67" t="n">
        <v>45</v>
      </c>
      <c r="B138" s="48" t="n">
        <v>0.0004077</v>
      </c>
      <c r="C138" s="48" t="n">
        <v>0.0006436</v>
      </c>
      <c r="D138" s="48" t="n">
        <v>0.0003203</v>
      </c>
      <c r="E138" s="48" t="n">
        <v>0.0004776</v>
      </c>
      <c r="F138" s="48" t="n">
        <v>0.00049</v>
      </c>
      <c r="G138" s="48" t="n">
        <v>0.00049</v>
      </c>
      <c r="H138" s="48" t="n">
        <v>0.00017</v>
      </c>
      <c r="I138" s="48" t="n">
        <v>0.00017</v>
      </c>
      <c r="J138" s="48" t="n">
        <v>0.001931683</v>
      </c>
      <c r="K138" s="48" t="n">
        <v>0.003049436</v>
      </c>
      <c r="L138" s="48" t="n">
        <v>0.001517522</v>
      </c>
      <c r="M138" s="48" t="n">
        <v>0.002262691</v>
      </c>
      <c r="N138" s="48" t="n">
        <v>0.00045832</v>
      </c>
      <c r="O138" s="48" t="n">
        <v>0.00045832</v>
      </c>
      <c r="P138" s="48" t="n">
        <v>0.00045832</v>
      </c>
      <c r="Q138" s="48" t="n">
        <v>0.00045832</v>
      </c>
      <c r="R138" s="48" t="n">
        <v>0.00021</v>
      </c>
      <c r="S138" s="48" t="n">
        <v>0.00021</v>
      </c>
      <c r="T138" s="48" t="n">
        <v>0.00021</v>
      </c>
      <c r="U138" s="48" t="n">
        <v>0.00021</v>
      </c>
      <c r="V138" s="48" t="n">
        <v>0.0888</v>
      </c>
      <c r="W138" s="48" t="n">
        <v>0.0888</v>
      </c>
      <c r="X138" s="48" t="n">
        <v>0.0965</v>
      </c>
      <c r="Y138" s="48" t="n">
        <v>0.0965</v>
      </c>
      <c r="Z138" s="83" t="n">
        <v>0.37</v>
      </c>
      <c r="AA138" s="39" t="n">
        <v>2220</v>
      </c>
      <c r="AB138" s="56" t="n">
        <v>0.0315</v>
      </c>
    </row>
    <row r="139">
      <c r="A139" s="67" t="n">
        <v>46</v>
      </c>
      <c r="B139" s="48" t="n">
        <v>0.0004462</v>
      </c>
      <c r="C139" s="48" t="n">
        <v>0.0007118</v>
      </c>
      <c r="D139" s="48" t="n">
        <v>0.0003524</v>
      </c>
      <c r="E139" s="48" t="n">
        <v>0.0005363</v>
      </c>
      <c r="F139" s="48" t="n">
        <v>0.0005</v>
      </c>
      <c r="G139" s="48" t="n">
        <v>0.0005</v>
      </c>
      <c r="H139" s="48" t="n">
        <v>0.00017</v>
      </c>
      <c r="I139" s="48" t="n">
        <v>0.00017</v>
      </c>
      <c r="J139" s="48" t="n">
        <v>0.002113977</v>
      </c>
      <c r="K139" s="48" t="n">
        <v>0.003372449</v>
      </c>
      <c r="L139" s="48" t="n">
        <v>0.001669434</v>
      </c>
      <c r="M139" s="48" t="n">
        <v>0.00254093</v>
      </c>
      <c r="N139" s="48" t="n">
        <v>0.0005174240000000001</v>
      </c>
      <c r="O139" s="48" t="n">
        <v>0.0005174240000000001</v>
      </c>
      <c r="P139" s="48" t="n">
        <v>0.0005174240000000001</v>
      </c>
      <c r="Q139" s="48" t="n">
        <v>0.0005174240000000001</v>
      </c>
      <c r="R139" s="48" t="n">
        <v>0.00021</v>
      </c>
      <c r="S139" s="48" t="n">
        <v>0.00021</v>
      </c>
      <c r="T139" s="48" t="n">
        <v>0.00021</v>
      </c>
      <c r="U139" s="48" t="n">
        <v>0.00021</v>
      </c>
      <c r="V139" s="48" t="n">
        <v>0.0888</v>
      </c>
      <c r="W139" s="48" t="n">
        <v>0.0888</v>
      </c>
      <c r="X139" s="48" t="n">
        <v>0.0965</v>
      </c>
      <c r="Y139" s="48" t="n">
        <v>0.0965</v>
      </c>
      <c r="Z139" s="83" t="n">
        <v>0.37</v>
      </c>
      <c r="AA139" s="39" t="n">
        <v>2220</v>
      </c>
      <c r="AB139" s="56" t="n">
        <v>0.0323</v>
      </c>
    </row>
    <row r="140">
      <c r="A140" s="67" t="n">
        <v>47</v>
      </c>
      <c r="B140" s="48" t="n">
        <v>0.0004901</v>
      </c>
      <c r="C140" s="48" t="n">
        <v>0.0007898</v>
      </c>
      <c r="D140" s="48" t="n">
        <v>0.0003881</v>
      </c>
      <c r="E140" s="48" t="n">
        <v>0.0006035</v>
      </c>
      <c r="F140" s="48" t="n">
        <v>0.00051</v>
      </c>
      <c r="G140" s="48" t="n">
        <v>0.00051</v>
      </c>
      <c r="H140" s="48" t="n">
        <v>0.00017</v>
      </c>
      <c r="I140" s="48" t="n">
        <v>0.00017</v>
      </c>
      <c r="J140" s="48" t="n">
        <v>0.002321857</v>
      </c>
      <c r="K140" s="48" t="n">
        <v>0.003741836</v>
      </c>
      <c r="L140" s="48" t="n">
        <v>0.001838936</v>
      </c>
      <c r="M140" s="48" t="n">
        <v>0.002859146</v>
      </c>
      <c r="N140" s="48" t="n">
        <v>0.000584391</v>
      </c>
      <c r="O140" s="48" t="n">
        <v>0.000584391</v>
      </c>
      <c r="P140" s="48" t="n">
        <v>0.000584391</v>
      </c>
      <c r="Q140" s="48" t="n">
        <v>0.000584391</v>
      </c>
      <c r="R140" s="48" t="n">
        <v>0.00021</v>
      </c>
      <c r="S140" s="48" t="n">
        <v>0.00021</v>
      </c>
      <c r="T140" s="48" t="n">
        <v>0.00021</v>
      </c>
      <c r="U140" s="48" t="n">
        <v>0.00021</v>
      </c>
      <c r="V140" s="48" t="n">
        <v>0.0888</v>
      </c>
      <c r="W140" s="48" t="n">
        <v>0.0888</v>
      </c>
      <c r="X140" s="48" t="n">
        <v>0.0965</v>
      </c>
      <c r="Y140" s="48" t="n">
        <v>0.0965</v>
      </c>
      <c r="Z140" s="83" t="n">
        <v>0.37</v>
      </c>
      <c r="AA140" s="39" t="n">
        <v>2220</v>
      </c>
      <c r="AB140" s="56" t="n">
        <v>0.0323</v>
      </c>
    </row>
    <row r="141">
      <c r="A141" s="67" t="n">
        <v>48</v>
      </c>
      <c r="B141" s="48" t="n">
        <v>0.0005403</v>
      </c>
      <c r="C141" s="48" t="n">
        <v>0.0008792</v>
      </c>
      <c r="D141" s="48" t="n">
        <v>0.0004283</v>
      </c>
      <c r="E141" s="48" t="n">
        <v>0.0006794</v>
      </c>
      <c r="F141" s="48" t="n">
        <v>0.00051</v>
      </c>
      <c r="G141" s="48" t="n">
        <v>0.00051</v>
      </c>
      <c r="H141" s="48" t="n">
        <v>0.00017</v>
      </c>
      <c r="I141" s="48" t="n">
        <v>0.00017</v>
      </c>
      <c r="J141" s="48" t="n">
        <v>0.002560119</v>
      </c>
      <c r="K141" s="48" t="n">
        <v>0.00416559</v>
      </c>
      <c r="L141" s="48" t="n">
        <v>0.002029226</v>
      </c>
      <c r="M141" s="48" t="n">
        <v>0.003218938</v>
      </c>
      <c r="N141" s="48" t="n">
        <v>0.000659968</v>
      </c>
      <c r="O141" s="48" t="n">
        <v>0.000659968</v>
      </c>
      <c r="P141" s="48" t="n">
        <v>0.000659968</v>
      </c>
      <c r="Q141" s="48" t="n">
        <v>0.000659968</v>
      </c>
      <c r="R141" s="48" t="n">
        <v>0.00021</v>
      </c>
      <c r="S141" s="48" t="n">
        <v>0.00021</v>
      </c>
      <c r="T141" s="48" t="n">
        <v>0.00021</v>
      </c>
      <c r="U141" s="48" t="n">
        <v>0.00021</v>
      </c>
      <c r="V141" s="48" t="n">
        <v>0.0888</v>
      </c>
      <c r="W141" s="48" t="n">
        <v>0.0888</v>
      </c>
      <c r="X141" s="48" t="n">
        <v>0.0965</v>
      </c>
      <c r="Y141" s="48" t="n">
        <v>0.0965</v>
      </c>
      <c r="Z141" s="83" t="n">
        <v>0.37</v>
      </c>
      <c r="AA141" s="39" t="n">
        <v>2220</v>
      </c>
      <c r="AB141" s="56" t="n">
        <v>0.0323</v>
      </c>
    </row>
    <row r="142">
      <c r="A142" s="67" t="n">
        <v>49</v>
      </c>
      <c r="B142" s="48" t="n">
        <v>0.0005974</v>
      </c>
      <c r="C142" s="48" t="n">
        <v>0.0009817999999999999</v>
      </c>
      <c r="D142" s="48" t="n">
        <v>0.0004728</v>
      </c>
      <c r="E142" s="48" t="n">
        <v>0.0007658</v>
      </c>
      <c r="F142" s="48" t="n">
        <v>0.00052</v>
      </c>
      <c r="G142" s="48" t="n">
        <v>0.00052</v>
      </c>
      <c r="H142" s="48" t="n">
        <v>0.00018</v>
      </c>
      <c r="I142" s="48" t="n">
        <v>0.00018</v>
      </c>
      <c r="J142" s="48" t="n">
        <v>0.002830363</v>
      </c>
      <c r="K142" s="48" t="n">
        <v>0.004651709</v>
      </c>
      <c r="L142" s="48" t="n">
        <v>0.002240304</v>
      </c>
      <c r="M142" s="48" t="n">
        <v>0.003628301</v>
      </c>
      <c r="N142" s="48" t="n">
        <v>0.000744972</v>
      </c>
      <c r="O142" s="48" t="n">
        <v>0.000744972</v>
      </c>
      <c r="P142" s="48" t="n">
        <v>0.000744972</v>
      </c>
      <c r="Q142" s="48" t="n">
        <v>0.000744972</v>
      </c>
      <c r="R142" s="48" t="n">
        <v>0.00021</v>
      </c>
      <c r="S142" s="48" t="n">
        <v>0.00021</v>
      </c>
      <c r="T142" s="48" t="n">
        <v>0.00021</v>
      </c>
      <c r="U142" s="48" t="n">
        <v>0.00021</v>
      </c>
      <c r="V142" s="48" t="n">
        <v>0.0888</v>
      </c>
      <c r="W142" s="48" t="n">
        <v>0.0888</v>
      </c>
      <c r="X142" s="48" t="n">
        <v>0.0965</v>
      </c>
      <c r="Y142" s="48" t="n">
        <v>0.0965</v>
      </c>
      <c r="Z142" s="83" t="n">
        <v>0.37</v>
      </c>
      <c r="AA142" s="39" t="n">
        <v>2220</v>
      </c>
      <c r="AB142" s="56" t="n">
        <v>0.0323</v>
      </c>
    </row>
    <row r="143">
      <c r="A143" s="67" t="n">
        <v>50</v>
      </c>
      <c r="B143" s="48" t="n">
        <v>0.0006625</v>
      </c>
      <c r="C143" s="48" t="n">
        <v>0.0010989</v>
      </c>
      <c r="D143" s="48" t="n">
        <v>0.0005231</v>
      </c>
      <c r="E143" s="48" t="n">
        <v>0.0008633</v>
      </c>
      <c r="F143" s="48" t="n">
        <v>0.00053</v>
      </c>
      <c r="G143" s="48" t="n">
        <v>0.00053</v>
      </c>
      <c r="H143" s="48" t="n">
        <v>0.00018</v>
      </c>
      <c r="I143" s="48" t="n">
        <v>0.00018</v>
      </c>
      <c r="J143" s="48" t="n">
        <v>0.003138984</v>
      </c>
      <c r="K143" s="48" t="n">
        <v>0.005206588</v>
      </c>
      <c r="L143" s="48" t="n">
        <v>0.002478566</v>
      </c>
      <c r="M143" s="48" t="n">
        <v>0.004090434</v>
      </c>
      <c r="N143" s="48" t="n">
        <v>0.000840296</v>
      </c>
      <c r="O143" s="48" t="n">
        <v>0.000840296</v>
      </c>
      <c r="P143" s="48" t="n">
        <v>0.000840296</v>
      </c>
      <c r="Q143" s="48" t="n">
        <v>0.000840296</v>
      </c>
      <c r="R143" s="48" t="n">
        <v>0.00021</v>
      </c>
      <c r="S143" s="48" t="n">
        <v>0.00021</v>
      </c>
      <c r="T143" s="48" t="n">
        <v>0.00021</v>
      </c>
      <c r="U143" s="48" t="n">
        <v>0.00021</v>
      </c>
      <c r="V143" s="48" t="n">
        <v>0.0888</v>
      </c>
      <c r="W143" s="48" t="n">
        <v>0.0888</v>
      </c>
      <c r="X143" s="48" t="n">
        <v>0.0965</v>
      </c>
      <c r="Y143" s="48" t="n">
        <v>0.0965</v>
      </c>
      <c r="Z143" s="83" t="n">
        <v>0.37</v>
      </c>
      <c r="AA143" s="39" t="n">
        <v>2220</v>
      </c>
      <c r="AB143" s="56" t="n">
        <v>0.0323</v>
      </c>
    </row>
    <row r="144">
      <c r="A144" s="67" t="n">
        <v>51</v>
      </c>
      <c r="B144" s="48" t="n">
        <v>0.0007368</v>
      </c>
      <c r="C144" s="48" t="n">
        <v>0.0012326</v>
      </c>
      <c r="D144" s="48" t="n">
        <v>0.0005792</v>
      </c>
      <c r="E144" s="48" t="n">
        <v>0.000974</v>
      </c>
      <c r="F144" s="48" t="n">
        <v>0.00054</v>
      </c>
      <c r="G144" s="48" t="n">
        <v>0.00054</v>
      </c>
      <c r="H144" s="48" t="n">
        <v>0.00019</v>
      </c>
      <c r="I144" s="48" t="n">
        <v>0.00019</v>
      </c>
      <c r="J144" s="48" t="n">
        <v>0.003490781</v>
      </c>
      <c r="K144" s="48" t="n">
        <v>0.005839822</v>
      </c>
      <c r="L144" s="48" t="n">
        <v>0.002744013</v>
      </c>
      <c r="M144" s="48" t="n">
        <v>0.00461493</v>
      </c>
      <c r="N144" s="48" t="n">
        <v>0.000946915</v>
      </c>
      <c r="O144" s="48" t="n">
        <v>0.000946915</v>
      </c>
      <c r="P144" s="48" t="n">
        <v>0.000946915</v>
      </c>
      <c r="Q144" s="48" t="n">
        <v>0.000946915</v>
      </c>
      <c r="R144" s="48" t="n">
        <v>0.00021</v>
      </c>
      <c r="S144" s="48" t="n">
        <v>0.00021</v>
      </c>
      <c r="T144" s="48" t="n">
        <v>0.00021</v>
      </c>
      <c r="U144" s="48" t="n">
        <v>0.00021</v>
      </c>
      <c r="V144" s="48" t="n">
        <v>0.0888</v>
      </c>
      <c r="W144" s="48" t="n">
        <v>0.0888</v>
      </c>
      <c r="X144" s="48" t="n">
        <v>0.0965</v>
      </c>
      <c r="Y144" s="48" t="n">
        <v>0.0965</v>
      </c>
      <c r="Z144" s="83" t="n">
        <v>0.37</v>
      </c>
      <c r="AA144" s="39" t="n">
        <v>2220</v>
      </c>
      <c r="AB144" s="56" t="n">
        <v>0.0339</v>
      </c>
    </row>
    <row r="145">
      <c r="A145" s="67" t="n">
        <v>52</v>
      </c>
      <c r="B145" s="48" t="n">
        <v>0.0008208</v>
      </c>
      <c r="C145" s="48" t="n">
        <v>0.0013848</v>
      </c>
      <c r="D145" s="48" t="n">
        <v>0.0006416</v>
      </c>
      <c r="E145" s="48" t="n">
        <v>0.0010992</v>
      </c>
      <c r="F145" s="48" t="n">
        <v>0.00055</v>
      </c>
      <c r="G145" s="48" t="n">
        <v>0.00055</v>
      </c>
      <c r="H145" s="48" t="n">
        <v>0.0002</v>
      </c>
      <c r="I145" s="48" t="n">
        <v>0.0002</v>
      </c>
      <c r="J145" s="48" t="n">
        <v>0.00388895</v>
      </c>
      <c r="K145" s="48" t="n">
        <v>0.006561005</v>
      </c>
      <c r="L145" s="48" t="n">
        <v>0.003039842</v>
      </c>
      <c r="M145" s="48" t="n">
        <v>0.005208187</v>
      </c>
      <c r="N145" s="48" t="n">
        <v>0.001065895</v>
      </c>
      <c r="O145" s="48" t="n">
        <v>0.001065895</v>
      </c>
      <c r="P145" s="48" t="n">
        <v>0.001065895</v>
      </c>
      <c r="Q145" s="48" t="n">
        <v>0.001065895</v>
      </c>
      <c r="R145" s="48" t="n">
        <v>0.00021</v>
      </c>
      <c r="S145" s="48" t="n">
        <v>0.00021</v>
      </c>
      <c r="T145" s="48" t="n">
        <v>0.00021</v>
      </c>
      <c r="U145" s="48" t="n">
        <v>0.00021</v>
      </c>
      <c r="V145" s="48" t="n">
        <v>0.0888</v>
      </c>
      <c r="W145" s="48" t="n">
        <v>0.0888</v>
      </c>
      <c r="X145" s="48" t="n">
        <v>0.0965</v>
      </c>
      <c r="Y145" s="48" t="n">
        <v>0.0965</v>
      </c>
      <c r="Z145" s="83" t="n">
        <v>0.37</v>
      </c>
      <c r="AA145" s="39" t="n">
        <v>2220</v>
      </c>
      <c r="AB145" s="56" t="n">
        <v>0.0339</v>
      </c>
    </row>
    <row r="146">
      <c r="A146" s="67" t="n">
        <v>53</v>
      </c>
      <c r="B146" s="48" t="n">
        <v>0.0009163</v>
      </c>
      <c r="C146" s="48" t="n">
        <v>0.0015576</v>
      </c>
      <c r="D146" s="48" t="n">
        <v>0.0007118</v>
      </c>
      <c r="E146" s="48" t="n">
        <v>0.00124</v>
      </c>
      <c r="F146" s="48" t="n">
        <v>0.00056</v>
      </c>
      <c r="G146" s="48" t="n">
        <v>0.00056</v>
      </c>
      <c r="H146" s="48" t="n">
        <v>0.0002</v>
      </c>
      <c r="I146" s="48" t="n">
        <v>0.0002</v>
      </c>
      <c r="J146" s="48" t="n">
        <v>0.004341489</v>
      </c>
      <c r="K146" s="48" t="n">
        <v>0.007379731</v>
      </c>
      <c r="L146" s="48" t="n">
        <v>0.003372449</v>
      </c>
      <c r="M146" s="48" t="n">
        <v>0.005875002</v>
      </c>
      <c r="N146" s="48" t="n">
        <v>0.001198398</v>
      </c>
      <c r="O146" s="48" t="n">
        <v>0.001198398</v>
      </c>
      <c r="P146" s="48" t="n">
        <v>0.001198398</v>
      </c>
      <c r="Q146" s="48" t="n">
        <v>0.001198398</v>
      </c>
      <c r="R146" s="48" t="n">
        <v>0.00021</v>
      </c>
      <c r="S146" s="48" t="n">
        <v>0.00021</v>
      </c>
      <c r="T146" s="48" t="n">
        <v>0.00021</v>
      </c>
      <c r="U146" s="48" t="n">
        <v>0.00021</v>
      </c>
      <c r="V146" s="48" t="n">
        <v>0.0888</v>
      </c>
      <c r="W146" s="48" t="n">
        <v>0.0888</v>
      </c>
      <c r="X146" s="48" t="n">
        <v>0.0965</v>
      </c>
      <c r="Y146" s="48" t="n">
        <v>0.0965</v>
      </c>
      <c r="Z146" s="83" t="n">
        <v>0.37</v>
      </c>
      <c r="AA146" s="39" t="n">
        <v>2220</v>
      </c>
      <c r="AB146" s="56" t="n">
        <v>0.0339</v>
      </c>
    </row>
    <row r="147">
      <c r="A147" s="67" t="n">
        <v>54</v>
      </c>
      <c r="B147" s="48" t="n">
        <v>0.0010247</v>
      </c>
      <c r="C147" s="48" t="n">
        <v>0.0017537</v>
      </c>
      <c r="D147" s="48" t="n">
        <v>0.0007901</v>
      </c>
      <c r="E147" s="48" t="n">
        <v>0.0013993</v>
      </c>
      <c r="F147" s="48" t="n">
        <v>0.00057</v>
      </c>
      <c r="G147" s="48" t="n">
        <v>0.00057</v>
      </c>
      <c r="H147" s="48" t="n">
        <v>0.00021</v>
      </c>
      <c r="I147" s="48" t="n">
        <v>0.00021</v>
      </c>
      <c r="J147" s="48" t="n">
        <v>0.004854792</v>
      </c>
      <c r="K147" s="48" t="n">
        <v>0.008308794</v>
      </c>
      <c r="L147" s="48" t="n">
        <v>0.003743435</v>
      </c>
      <c r="M147" s="48" t="n">
        <v>0.006629765</v>
      </c>
      <c r="N147" s="48" t="n">
        <v>0.001345695</v>
      </c>
      <c r="O147" s="48" t="n">
        <v>0.001345695</v>
      </c>
      <c r="P147" s="48" t="n">
        <v>0.001345695</v>
      </c>
      <c r="Q147" s="48" t="n">
        <v>0.001345695</v>
      </c>
      <c r="R147" s="48" t="n">
        <v>0.00021</v>
      </c>
      <c r="S147" s="48" t="n">
        <v>0.00021</v>
      </c>
      <c r="T147" s="48" t="n">
        <v>0.00021</v>
      </c>
      <c r="U147" s="48" t="n">
        <v>0.00021</v>
      </c>
      <c r="V147" s="48" t="n">
        <v>0.0888</v>
      </c>
      <c r="W147" s="48" t="n">
        <v>0.0888</v>
      </c>
      <c r="X147" s="48" t="n">
        <v>0.0965</v>
      </c>
      <c r="Y147" s="48" t="n">
        <v>0.0965</v>
      </c>
      <c r="Z147" s="83" t="n">
        <v>0.37</v>
      </c>
      <c r="AA147" s="39" t="n">
        <v>2220</v>
      </c>
      <c r="AB147" s="56" t="n">
        <v>0.0339</v>
      </c>
    </row>
    <row r="148">
      <c r="A148" s="67" t="n">
        <v>55</v>
      </c>
      <c r="B148" s="48" t="n">
        <v>0.0011475</v>
      </c>
      <c r="C148" s="48" t="n">
        <v>0.0019761</v>
      </c>
      <c r="D148" s="48" t="n">
        <v>0.0008775</v>
      </c>
      <c r="E148" s="48" t="n">
        <v>0.0015782</v>
      </c>
      <c r="F148" s="48" t="n">
        <v>0.00058</v>
      </c>
      <c r="G148" s="48" t="n">
        <v>0.00058</v>
      </c>
      <c r="H148" s="48" t="n">
        <v>0.00022</v>
      </c>
      <c r="I148" s="48" t="n">
        <v>0.00022</v>
      </c>
      <c r="J148" s="48" t="n">
        <v>0.005436855</v>
      </c>
      <c r="K148" s="48" t="n">
        <v>0.009362584</v>
      </c>
      <c r="L148" s="48" t="n">
        <v>0.004157595</v>
      </c>
      <c r="M148" s="48" t="n">
        <v>0.007477275</v>
      </c>
      <c r="N148" s="48" t="n">
        <v>0.001509168</v>
      </c>
      <c r="O148" s="48" t="n">
        <v>0.001509168</v>
      </c>
      <c r="P148" s="48" t="n">
        <v>0.001509168</v>
      </c>
      <c r="Q148" s="48" t="n">
        <v>0.001509168</v>
      </c>
      <c r="R148" s="48" t="n">
        <v>0.00021</v>
      </c>
      <c r="S148" s="48" t="n">
        <v>0.00021</v>
      </c>
      <c r="T148" s="48" t="n">
        <v>0.00021</v>
      </c>
      <c r="U148" s="48" t="n">
        <v>0.00021</v>
      </c>
      <c r="V148" s="48" t="n">
        <v>0.0888</v>
      </c>
      <c r="W148" s="48" t="n">
        <v>0.0888</v>
      </c>
      <c r="X148" s="48" t="n">
        <v>0.0965</v>
      </c>
      <c r="Y148" s="48" t="n">
        <v>0.0965</v>
      </c>
      <c r="Z148" s="83" t="n">
        <v>0.37</v>
      </c>
      <c r="AA148" s="39" t="n">
        <v>2220</v>
      </c>
      <c r="AB148" s="56" t="n">
        <v>0.0339</v>
      </c>
    </row>
    <row r="149">
      <c r="A149" s="67" t="n">
        <v>56</v>
      </c>
      <c r="B149" s="48" t="n">
        <v>0.0012866</v>
      </c>
      <c r="C149" s="48" t="n">
        <v>0.0022272</v>
      </c>
      <c r="D149" s="48" t="n">
        <v>0.0009754</v>
      </c>
      <c r="E149" s="48" t="n">
        <v>0.0017793</v>
      </c>
      <c r="F149" s="48" t="n">
        <v>0.00059</v>
      </c>
      <c r="G149" s="48" t="n">
        <v>0.00059</v>
      </c>
      <c r="H149" s="48" t="n">
        <v>0.00023</v>
      </c>
      <c r="I149" s="48" t="n">
        <v>0.00023</v>
      </c>
      <c r="J149" s="48" t="n">
        <v>0.006095674</v>
      </c>
      <c r="K149" s="48" t="n">
        <v>0.010552296</v>
      </c>
      <c r="L149" s="48" t="n">
        <v>0.004621327</v>
      </c>
      <c r="M149" s="48" t="n">
        <v>0.008430323</v>
      </c>
      <c r="N149" s="48" t="n">
        <v>0.001690328</v>
      </c>
      <c r="O149" s="48" t="n">
        <v>0.001690328</v>
      </c>
      <c r="P149" s="48" t="n">
        <v>0.001690328</v>
      </c>
      <c r="Q149" s="48" t="n">
        <v>0.001690328</v>
      </c>
      <c r="R149" s="48" t="n">
        <v>0.00021</v>
      </c>
      <c r="S149" s="48" t="n">
        <v>0.00021</v>
      </c>
      <c r="T149" s="48" t="n">
        <v>0.00021</v>
      </c>
      <c r="U149" s="48" t="n">
        <v>0.00021</v>
      </c>
      <c r="V149" s="48" t="n">
        <v>0.0888</v>
      </c>
      <c r="W149" s="48" t="n">
        <v>0.0888</v>
      </c>
      <c r="X149" s="48" t="n">
        <v>0.0965</v>
      </c>
      <c r="Y149" s="48" t="n">
        <v>0.0965</v>
      </c>
      <c r="Z149" s="83" t="n">
        <v>0.26</v>
      </c>
      <c r="AA149" s="39" t="n">
        <v>1560</v>
      </c>
      <c r="AB149" s="56" t="n">
        <v>0.0331</v>
      </c>
    </row>
    <row r="150">
      <c r="A150" s="67" t="n">
        <v>57</v>
      </c>
      <c r="B150" s="48" t="n">
        <v>0.0014435</v>
      </c>
      <c r="C150" s="48" t="n">
        <v>0.0025103</v>
      </c>
      <c r="D150" s="48" t="n">
        <v>0.0010844</v>
      </c>
      <c r="E150" s="48" t="n">
        <v>0.0020051</v>
      </c>
      <c r="F150" s="48" t="n">
        <v>0.0005999999999999999</v>
      </c>
      <c r="G150" s="48" t="n">
        <v>0.0005999999999999999</v>
      </c>
      <c r="H150" s="48" t="n">
        <v>0.00024</v>
      </c>
      <c r="I150" s="48" t="n">
        <v>0.00024</v>
      </c>
      <c r="J150" s="48" t="n">
        <v>0.006839244</v>
      </c>
      <c r="K150" s="48" t="n">
        <v>0.01189392</v>
      </c>
      <c r="L150" s="48" t="n">
        <v>0.005137828</v>
      </c>
      <c r="M150" s="48" t="n">
        <v>0.009500105</v>
      </c>
      <c r="N150" s="48" t="n">
        <v>0.001890818</v>
      </c>
      <c r="O150" s="48" t="n">
        <v>0.001890818</v>
      </c>
      <c r="P150" s="48" t="n">
        <v>0.001890818</v>
      </c>
      <c r="Q150" s="48" t="n">
        <v>0.001890818</v>
      </c>
      <c r="R150" s="48" t="n">
        <v>0.00021</v>
      </c>
      <c r="S150" s="48" t="n">
        <v>0.00021</v>
      </c>
      <c r="T150" s="48" t="n">
        <v>0.00021</v>
      </c>
      <c r="U150" s="48" t="n">
        <v>0.00021</v>
      </c>
      <c r="V150" s="48" t="n">
        <v>0.0888</v>
      </c>
      <c r="W150" s="48" t="n">
        <v>0.0888</v>
      </c>
      <c r="X150" s="48" t="n">
        <v>0.0965</v>
      </c>
      <c r="Y150" s="48" t="n">
        <v>0.0965</v>
      </c>
      <c r="Z150" s="83" t="n">
        <v>0.26</v>
      </c>
      <c r="AA150" s="39" t="n">
        <v>1560</v>
      </c>
      <c r="AB150" s="56" t="n">
        <v>0.0331</v>
      </c>
    </row>
    <row r="151">
      <c r="A151" s="67" t="n">
        <v>58</v>
      </c>
      <c r="B151" s="48" t="n">
        <v>0.0016207</v>
      </c>
      <c r="C151" s="48" t="n">
        <v>0.0028293</v>
      </c>
      <c r="D151" s="48" t="n">
        <v>0.0012069</v>
      </c>
      <c r="E151" s="48" t="n">
        <v>0.0022582</v>
      </c>
      <c r="F151" s="48" t="n">
        <v>0.00061</v>
      </c>
      <c r="G151" s="48" t="n">
        <v>0.00061</v>
      </c>
      <c r="H151" s="48" t="n">
        <v>0.00025</v>
      </c>
      <c r="I151" s="48" t="n">
        <v>0.00025</v>
      </c>
      <c r="J151" s="48" t="n">
        <v>0.007678758</v>
      </c>
      <c r="K151" s="48" t="n">
        <v>0.013405046</v>
      </c>
      <c r="L151" s="48" t="n">
        <v>0.005718292</v>
      </c>
      <c r="M151" s="48" t="n">
        <v>0.010699411</v>
      </c>
      <c r="N151" s="48" t="n">
        <v>0.00211243</v>
      </c>
      <c r="O151" s="48" t="n">
        <v>0.00211243</v>
      </c>
      <c r="P151" s="48" t="n">
        <v>0.00211243</v>
      </c>
      <c r="Q151" s="48" t="n">
        <v>0.00211243</v>
      </c>
      <c r="R151" s="48" t="n">
        <v>0.00021</v>
      </c>
      <c r="S151" s="48" t="n">
        <v>0.00021</v>
      </c>
      <c r="T151" s="48" t="n">
        <v>0.00021</v>
      </c>
      <c r="U151" s="48" t="n">
        <v>0.00021</v>
      </c>
      <c r="V151" s="48" t="n">
        <v>0.0888</v>
      </c>
      <c r="W151" s="48" t="n">
        <v>0.0888</v>
      </c>
      <c r="X151" s="48" t="n">
        <v>0.0965</v>
      </c>
      <c r="Y151" s="48" t="n">
        <v>0.0965</v>
      </c>
      <c r="Z151" s="83" t="n">
        <v>0.26</v>
      </c>
      <c r="AA151" s="39" t="n">
        <v>1560</v>
      </c>
      <c r="AB151" s="56" t="n">
        <v>0.0331</v>
      </c>
    </row>
    <row r="152">
      <c r="A152" s="67" t="n">
        <v>59</v>
      </c>
      <c r="B152" s="48" t="n">
        <v>0.0018208</v>
      </c>
      <c r="C152" s="48" t="n">
        <v>0.003188</v>
      </c>
      <c r="D152" s="48" t="n">
        <v>0.0013433</v>
      </c>
      <c r="E152" s="48" t="n">
        <v>0.0025414</v>
      </c>
      <c r="F152" s="48" t="n">
        <v>0.00062</v>
      </c>
      <c r="G152" s="48" t="n">
        <v>0.00062</v>
      </c>
      <c r="H152" s="48" t="n">
        <v>0.00026</v>
      </c>
      <c r="I152" s="48" t="n">
        <v>0.00026</v>
      </c>
      <c r="J152" s="48" t="n">
        <v>0.008627009999999999</v>
      </c>
      <c r="K152" s="48" t="n">
        <v>0.015104862</v>
      </c>
      <c r="L152" s="48" t="n">
        <v>0.006364319</v>
      </c>
      <c r="M152" s="48" t="n">
        <v>0.012041035</v>
      </c>
      <c r="N152" s="48" t="n">
        <v>0.00235711</v>
      </c>
      <c r="O152" s="48" t="n">
        <v>0.00235711</v>
      </c>
      <c r="P152" s="48" t="n">
        <v>0.00235711</v>
      </c>
      <c r="Q152" s="48" t="n">
        <v>0.00235711</v>
      </c>
      <c r="R152" s="48" t="n">
        <v>0.00021</v>
      </c>
      <c r="S152" s="48" t="n">
        <v>0.00021</v>
      </c>
      <c r="T152" s="48" t="n">
        <v>0.00021</v>
      </c>
      <c r="U152" s="48" t="n">
        <v>0.00021</v>
      </c>
      <c r="V152" s="48" t="n">
        <v>0.0888</v>
      </c>
      <c r="W152" s="48" t="n">
        <v>0.0888</v>
      </c>
      <c r="X152" s="48" t="n">
        <v>0.0965</v>
      </c>
      <c r="Y152" s="48" t="n">
        <v>0.0965</v>
      </c>
      <c r="Z152" s="83" t="n">
        <v>0.26</v>
      </c>
      <c r="AA152" s="39" t="n">
        <v>1560</v>
      </c>
      <c r="AB152" s="56" t="n">
        <v>0.0331</v>
      </c>
    </row>
    <row r="153">
      <c r="A153" s="67" t="n">
        <v>60</v>
      </c>
      <c r="B153" s="48" t="n">
        <v>0.0020466</v>
      </c>
      <c r="C153" s="48" t="n">
        <v>0.00359</v>
      </c>
      <c r="D153" s="48" t="n">
        <v>0.0014961</v>
      </c>
      <c r="E153" s="48" t="n">
        <v>0.0028583</v>
      </c>
      <c r="F153" s="48" t="n">
        <v>0.00063</v>
      </c>
      <c r="G153" s="48" t="n">
        <v>0.00063</v>
      </c>
      <c r="H153" s="48" t="n">
        <v>0.00027</v>
      </c>
      <c r="I153" s="48" t="n">
        <v>0.00027</v>
      </c>
      <c r="J153" s="48" t="n">
        <v>0.009696791</v>
      </c>
      <c r="K153" s="48" t="n">
        <v>0.017009361</v>
      </c>
      <c r="L153" s="48" t="n">
        <v>0.007088699</v>
      </c>
      <c r="M153" s="48" t="n">
        <v>0.013542566</v>
      </c>
      <c r="N153" s="48" t="n">
        <v>0.002626979</v>
      </c>
      <c r="O153" s="48" t="n">
        <v>0.002626979</v>
      </c>
      <c r="P153" s="48" t="n">
        <v>0.002626979</v>
      </c>
      <c r="Q153" s="48" t="n">
        <v>0.002626979</v>
      </c>
      <c r="R153" s="48" t="n">
        <v>0.00021</v>
      </c>
      <c r="S153" s="48" t="n">
        <v>0.00021</v>
      </c>
      <c r="T153" s="48" t="n">
        <v>0.00021</v>
      </c>
      <c r="U153" s="48" t="n">
        <v>0.00021</v>
      </c>
      <c r="V153" s="48" t="n">
        <v>0.0888</v>
      </c>
      <c r="W153" s="48" t="n">
        <v>0.0888</v>
      </c>
      <c r="X153" s="48" t="n">
        <v>0.0965</v>
      </c>
      <c r="Y153" s="48" t="n">
        <v>0.0965</v>
      </c>
      <c r="Z153" s="83" t="n">
        <v>0.26</v>
      </c>
      <c r="AA153" s="39" t="n">
        <v>1560</v>
      </c>
      <c r="AB153" s="56" t="n">
        <v>0.0331</v>
      </c>
    </row>
    <row r="154">
      <c r="A154" s="67" t="n">
        <v>61</v>
      </c>
      <c r="B154" s="48" t="n">
        <v>0.0023004</v>
      </c>
      <c r="C154" s="48" t="n">
        <v>0.0040402</v>
      </c>
      <c r="D154" s="48" t="n">
        <v>0.0016666</v>
      </c>
      <c r="E154" s="48" t="n">
        <v>0.003212</v>
      </c>
      <c r="F154" s="48" t="n">
        <v>0.0006400000000000001</v>
      </c>
      <c r="G154" s="48" t="n">
        <v>0.0006400000000000001</v>
      </c>
      <c r="H154" s="48" t="n">
        <v>0.00028</v>
      </c>
      <c r="I154" s="48" t="n">
        <v>0.00028</v>
      </c>
      <c r="J154" s="48" t="n">
        <v>0.010899295</v>
      </c>
      <c r="K154" s="48" t="n">
        <v>0.019142527</v>
      </c>
      <c r="L154" s="48" t="n">
        <v>0.007896232</v>
      </c>
      <c r="M154" s="48" t="n">
        <v>0.015218397</v>
      </c>
      <c r="N154" s="48" t="n">
        <v>0.002924337</v>
      </c>
      <c r="O154" s="48" t="n">
        <v>0.002924337</v>
      </c>
      <c r="P154" s="48" t="n">
        <v>0.002924337</v>
      </c>
      <c r="Q154" s="48" t="n">
        <v>0.002924337</v>
      </c>
      <c r="R154" s="48" t="n">
        <v>0.00021</v>
      </c>
      <c r="S154" s="48" t="n">
        <v>0.00021</v>
      </c>
      <c r="T154" s="48" t="n">
        <v>0.00021</v>
      </c>
      <c r="U154" s="48" t="n">
        <v>0.00021</v>
      </c>
      <c r="V154" s="48" t="n">
        <v>0.0888</v>
      </c>
      <c r="W154" s="48" t="n">
        <v>0.0888</v>
      </c>
      <c r="X154" s="48" t="n">
        <v>0.0965</v>
      </c>
      <c r="Y154" s="48" t="n">
        <v>0.0965</v>
      </c>
      <c r="Z154" s="83" t="n">
        <v>0.165</v>
      </c>
      <c r="AA154" s="39" t="n">
        <v>990</v>
      </c>
      <c r="AB154" s="56" t="n">
        <v>0.0368</v>
      </c>
    </row>
    <row r="155">
      <c r="A155" s="67" t="n">
        <v>62</v>
      </c>
      <c r="B155" s="48" t="n">
        <v>0.0025859</v>
      </c>
      <c r="C155" s="48" t="n">
        <v>0.0045434</v>
      </c>
      <c r="D155" s="48" t="n">
        <v>0.0018573</v>
      </c>
      <c r="E155" s="48" t="n">
        <v>0.0036065</v>
      </c>
      <c r="F155" s="48" t="n">
        <v>0.00065</v>
      </c>
      <c r="G155" s="48" t="n">
        <v>0.00065</v>
      </c>
      <c r="H155" s="48" t="n">
        <v>0.00029</v>
      </c>
      <c r="I155" s="48" t="n">
        <v>0.00029</v>
      </c>
      <c r="J155" s="48" t="n">
        <v>0.012252113</v>
      </c>
      <c r="K155" s="48" t="n">
        <v>0.021526748</v>
      </c>
      <c r="L155" s="48" t="n">
        <v>0.008799710000000001</v>
      </c>
      <c r="M155" s="48" t="n">
        <v>0.017087715</v>
      </c>
      <c r="N155" s="48" t="n">
        <v>0.003251682</v>
      </c>
      <c r="O155" s="48" t="n">
        <v>0.003251682</v>
      </c>
      <c r="P155" s="48" t="n">
        <v>0.003251682</v>
      </c>
      <c r="Q155" s="48" t="n">
        <v>0.003251682</v>
      </c>
      <c r="R155" s="48" t="n">
        <v>0.00021</v>
      </c>
      <c r="S155" s="48" t="n">
        <v>0.00021</v>
      </c>
      <c r="T155" s="48" t="n">
        <v>0.00021</v>
      </c>
      <c r="U155" s="48" t="n">
        <v>0.00021</v>
      </c>
      <c r="V155" s="48" t="n">
        <v>0.0888</v>
      </c>
      <c r="W155" s="48" t="n">
        <v>0.0888</v>
      </c>
      <c r="X155" s="48" t="n">
        <v>0.0965</v>
      </c>
      <c r="Y155" s="48" t="n">
        <v>0.0965</v>
      </c>
      <c r="Z155" s="83" t="n">
        <v>0.165</v>
      </c>
      <c r="AA155" s="39" t="n">
        <v>990</v>
      </c>
      <c r="AB155" s="56" t="n">
        <v>0.0368</v>
      </c>
    </row>
    <row r="156">
      <c r="A156" s="67" t="n">
        <v>63</v>
      </c>
      <c r="B156" s="48" t="n">
        <v>0.0029069</v>
      </c>
      <c r="C156" s="48" t="n">
        <v>0.0051044</v>
      </c>
      <c r="D156" s="48" t="n">
        <v>0.0020702</v>
      </c>
      <c r="E156" s="48" t="n">
        <v>0.0040456</v>
      </c>
      <c r="F156" s="48" t="n">
        <v>0.00066</v>
      </c>
      <c r="G156" s="48" t="n">
        <v>0.00066</v>
      </c>
      <c r="H156" s="48" t="n">
        <v>0.0003</v>
      </c>
      <c r="I156" s="48" t="n">
        <v>0.0003</v>
      </c>
      <c r="J156" s="48" t="n">
        <v>0.013772833</v>
      </c>
      <c r="K156" s="48" t="n">
        <v>0.02418441</v>
      </c>
      <c r="L156" s="48" t="n">
        <v>0.009808726</v>
      </c>
      <c r="M156" s="48" t="n">
        <v>0.019168112</v>
      </c>
      <c r="N156" s="48" t="n">
        <v>0.003611723</v>
      </c>
      <c r="O156" s="48" t="n">
        <v>0.003611723</v>
      </c>
      <c r="P156" s="48" t="n">
        <v>0.003611723</v>
      </c>
      <c r="Q156" s="48" t="n">
        <v>0.003611723</v>
      </c>
      <c r="R156" s="48" t="n">
        <v>0.00021</v>
      </c>
      <c r="S156" s="48" t="n">
        <v>0.00021</v>
      </c>
      <c r="T156" s="48" t="n">
        <v>0.00021</v>
      </c>
      <c r="U156" s="48" t="n">
        <v>0.00021</v>
      </c>
      <c r="V156" s="48" t="n">
        <v>0.0888</v>
      </c>
      <c r="W156" s="48" t="n">
        <v>0.0888</v>
      </c>
      <c r="X156" s="48" t="n">
        <v>0.0965</v>
      </c>
      <c r="Y156" s="48" t="n">
        <v>0.0965</v>
      </c>
      <c r="Z156" s="83" t="n">
        <v>0.165</v>
      </c>
      <c r="AA156" s="39" t="n">
        <v>990</v>
      </c>
      <c r="AB156" s="56" t="n">
        <v>0.0368</v>
      </c>
    </row>
    <row r="157">
      <c r="A157" s="67" t="n">
        <v>64</v>
      </c>
      <c r="B157" s="48" t="n">
        <v>0.0032667</v>
      </c>
      <c r="C157" s="48" t="n">
        <v>0.0057287</v>
      </c>
      <c r="D157" s="48" t="n">
        <v>0.0023085</v>
      </c>
      <c r="E157" s="48" t="n">
        <v>0.0045336</v>
      </c>
      <c r="F157" s="48" t="n">
        <v>0.00067</v>
      </c>
      <c r="G157" s="48" t="n">
        <v>0.00067</v>
      </c>
      <c r="H157" s="48" t="n">
        <v>0.00032</v>
      </c>
      <c r="I157" s="48" t="n">
        <v>0.00032</v>
      </c>
      <c r="J157" s="48" t="n">
        <v>0.015477447</v>
      </c>
      <c r="K157" s="48" t="n">
        <v>0.027142699</v>
      </c>
      <c r="L157" s="48" t="n">
        <v>0.010937673</v>
      </c>
      <c r="M157" s="48" t="n">
        <v>0.021480374</v>
      </c>
      <c r="N157" s="48" t="n">
        <v>0.004007394</v>
      </c>
      <c r="O157" s="48" t="n">
        <v>0.004007394</v>
      </c>
      <c r="P157" s="48" t="n">
        <v>0.004007394</v>
      </c>
      <c r="Q157" s="48" t="n">
        <v>0.004007394</v>
      </c>
      <c r="R157" s="48" t="n">
        <v>0.00021</v>
      </c>
      <c r="S157" s="48" t="n">
        <v>0.00021</v>
      </c>
      <c r="T157" s="48" t="n">
        <v>0.00021</v>
      </c>
      <c r="U157" s="48" t="n">
        <v>0.00021</v>
      </c>
      <c r="V157" s="48" t="n">
        <v>0.0888</v>
      </c>
      <c r="W157" s="48" t="n">
        <v>0.0888</v>
      </c>
      <c r="X157" s="48" t="n">
        <v>0.0965</v>
      </c>
      <c r="Y157" s="48" t="n">
        <v>0.0965</v>
      </c>
      <c r="Z157" s="83" t="n">
        <v>0.165</v>
      </c>
      <c r="AA157" s="39" t="n">
        <v>990</v>
      </c>
      <c r="AB157" s="56" t="n">
        <v>0.0368</v>
      </c>
    </row>
    <row r="158">
      <c r="A158" s="67" t="n">
        <v>65</v>
      </c>
      <c r="B158" s="48" t="n">
        <v>0.0036703</v>
      </c>
      <c r="C158" s="48" t="n">
        <v>0.0064223</v>
      </c>
      <c r="D158" s="48" t="n">
        <v>0.0025745</v>
      </c>
      <c r="E158" s="48" t="n">
        <v>0.0050757</v>
      </c>
      <c r="F158" s="48" t="n">
        <v>0.00068</v>
      </c>
      <c r="G158" s="48" t="n">
        <v>0.00068</v>
      </c>
      <c r="H158" s="48" t="n">
        <v>0.00034</v>
      </c>
      <c r="I158" s="48" t="n">
        <v>0.00034</v>
      </c>
      <c r="J158" s="48" t="n">
        <v>0.017389941</v>
      </c>
      <c r="K158" s="48" t="n">
        <v>0.030428798</v>
      </c>
      <c r="L158" s="48" t="n">
        <v>0.012197744</v>
      </c>
      <c r="M158" s="48" t="n">
        <v>0.024048489</v>
      </c>
      <c r="N158" s="48" t="n">
        <v>0.004441868</v>
      </c>
      <c r="O158" s="48" t="n">
        <v>0.004441868</v>
      </c>
      <c r="P158" s="48" t="n">
        <v>0.004441868</v>
      </c>
      <c r="Q158" s="48" t="n">
        <v>0.004441868</v>
      </c>
      <c r="R158" s="48" t="n">
        <v>0.00021</v>
      </c>
      <c r="S158" s="48" t="n">
        <v>0.00021</v>
      </c>
      <c r="T158" s="48" t="n">
        <v>0.00021</v>
      </c>
      <c r="U158" s="48" t="n">
        <v>0.00021</v>
      </c>
      <c r="V158" s="48" t="n">
        <v>0.3765</v>
      </c>
      <c r="W158" s="48" t="n">
        <v>0.3765</v>
      </c>
      <c r="X158" s="48" t="n">
        <v>0.3189</v>
      </c>
      <c r="Y158" s="48" t="n">
        <v>0.3189</v>
      </c>
      <c r="Z158" s="83" t="n">
        <v>0.165</v>
      </c>
      <c r="AA158" s="39" t="n">
        <v>990</v>
      </c>
      <c r="AB158" s="56" t="n">
        <v>0.0368</v>
      </c>
    </row>
    <row r="159">
      <c r="A159" s="67" t="n">
        <v>66</v>
      </c>
      <c r="B159" s="48" t="n">
        <v>0.0041222</v>
      </c>
      <c r="C159" s="48" t="n">
        <v>0.0071911</v>
      </c>
      <c r="D159" s="48" t="n">
        <v>0.0028715</v>
      </c>
      <c r="E159" s="48" t="n">
        <v>0.0056764</v>
      </c>
      <c r="F159" s="48" t="n">
        <v>0.00069</v>
      </c>
      <c r="G159" s="48" t="n">
        <v>0.00069</v>
      </c>
      <c r="H159" s="48" t="n">
        <v>0.00036</v>
      </c>
      <c r="I159" s="48" t="n">
        <v>0.00036</v>
      </c>
      <c r="J159" s="48" t="n">
        <v>0.019531102</v>
      </c>
      <c r="K159" s="48" t="n">
        <v>0.034071491</v>
      </c>
      <c r="L159" s="48" t="n">
        <v>0.01360493</v>
      </c>
      <c r="M159" s="48" t="n">
        <v>0.026894842</v>
      </c>
      <c r="N159" s="48" t="n">
        <v>0.004918574</v>
      </c>
      <c r="O159" s="48" t="n">
        <v>0.004918574</v>
      </c>
      <c r="P159" s="48" t="n">
        <v>0.004918574</v>
      </c>
      <c r="Q159" s="48" t="n">
        <v>0.004918574</v>
      </c>
      <c r="R159" s="48" t="n">
        <v>0.00021</v>
      </c>
      <c r="S159" s="48" t="n">
        <v>0.00021</v>
      </c>
      <c r="T159" s="48" t="n">
        <v>0.00021</v>
      </c>
      <c r="U159" s="48" t="n">
        <v>0.00021</v>
      </c>
      <c r="V159" s="48" t="n">
        <v>0.3765</v>
      </c>
      <c r="W159" s="48" t="n">
        <v>0.3765</v>
      </c>
      <c r="X159" s="48" t="n">
        <v>0.3189</v>
      </c>
      <c r="Y159" s="48" t="n">
        <v>0.3189</v>
      </c>
      <c r="Z159" s="83" t="n">
        <v>0.125</v>
      </c>
      <c r="AA159" s="39" t="n">
        <v>750</v>
      </c>
      <c r="AB159" s="56" t="n">
        <v>0.0368</v>
      </c>
    </row>
    <row r="160">
      <c r="A160" s="67" t="n">
        <v>67</v>
      </c>
      <c r="B160" s="48" t="n">
        <v>0.0046278</v>
      </c>
      <c r="C160" s="48" t="n">
        <v>0.008041299999999999</v>
      </c>
      <c r="D160" s="48" t="n">
        <v>0.0032036</v>
      </c>
      <c r="E160" s="48" t="n">
        <v>0.0063413</v>
      </c>
      <c r="F160" s="48" t="n">
        <v>0.0007</v>
      </c>
      <c r="G160" s="48" t="n">
        <v>0.0007</v>
      </c>
      <c r="H160" s="48" t="n">
        <v>0.00038</v>
      </c>
      <c r="I160" s="48" t="n">
        <v>0.00038</v>
      </c>
      <c r="J160" s="48" t="n">
        <v>0.021926516</v>
      </c>
      <c r="K160" s="48" t="n">
        <v>0.038099561</v>
      </c>
      <c r="L160" s="48" t="n">
        <v>0.01517842</v>
      </c>
      <c r="M160" s="48" t="n">
        <v>0.03004502</v>
      </c>
      <c r="N160" s="48" t="n">
        <v>0.00544121</v>
      </c>
      <c r="O160" s="48" t="n">
        <v>0.00544121</v>
      </c>
      <c r="P160" s="48" t="n">
        <v>0.00544121</v>
      </c>
      <c r="Q160" s="48" t="n">
        <v>0.00544121</v>
      </c>
      <c r="R160" s="48" t="n">
        <v>0.00021</v>
      </c>
      <c r="S160" s="48" t="n">
        <v>0.00021</v>
      </c>
      <c r="T160" s="48" t="n">
        <v>0.00021</v>
      </c>
      <c r="U160" s="48" t="n">
        <v>0.00021</v>
      </c>
      <c r="V160" s="48" t="n">
        <v>0.3765</v>
      </c>
      <c r="W160" s="48" t="n">
        <v>0.3765</v>
      </c>
      <c r="X160" s="48" t="n">
        <v>0.3189</v>
      </c>
      <c r="Y160" s="48" t="n">
        <v>0.3189</v>
      </c>
      <c r="Z160" s="83" t="n">
        <v>0.125</v>
      </c>
      <c r="AA160" s="39" t="n">
        <v>750</v>
      </c>
      <c r="AB160" s="56" t="n">
        <v>0.0368</v>
      </c>
    </row>
    <row r="161">
      <c r="A161" s="67" t="n">
        <v>68</v>
      </c>
      <c r="B161" s="48" t="n">
        <v>0.0051924</v>
      </c>
      <c r="C161" s="48" t="n">
        <v>0.008979900000000001</v>
      </c>
      <c r="D161" s="48" t="n">
        <v>0.0035745</v>
      </c>
      <c r="E161" s="48" t="n">
        <v>0.0070764</v>
      </c>
      <c r="F161" s="48" t="n">
        <v>0.00071</v>
      </c>
      <c r="G161" s="48" t="n">
        <v>0.00071</v>
      </c>
      <c r="H161" s="48" t="n">
        <v>0.00041</v>
      </c>
      <c r="I161" s="48" t="n">
        <v>0.00041</v>
      </c>
      <c r="J161" s="48" t="n">
        <v>0.024601769</v>
      </c>
      <c r="K161" s="48" t="n">
        <v>0.042546589</v>
      </c>
      <c r="L161" s="48" t="n">
        <v>0.016935803</v>
      </c>
      <c r="M161" s="48" t="n">
        <v>0.033527806</v>
      </c>
      <c r="N161" s="48" t="n">
        <v>0.006013761</v>
      </c>
      <c r="O161" s="48" t="n">
        <v>0.006013761</v>
      </c>
      <c r="P161" s="48" t="n">
        <v>0.006013761</v>
      </c>
      <c r="Q161" s="48" t="n">
        <v>0.006013761</v>
      </c>
      <c r="R161" s="48" t="n">
        <v>0.00021</v>
      </c>
      <c r="S161" s="48" t="n">
        <v>0.00021</v>
      </c>
      <c r="T161" s="48" t="n">
        <v>0.00021</v>
      </c>
      <c r="U161" s="48" t="n">
        <v>0.00021</v>
      </c>
      <c r="V161" s="48" t="n">
        <v>0.3765</v>
      </c>
      <c r="W161" s="48" t="n">
        <v>0.3765</v>
      </c>
      <c r="X161" s="48" t="n">
        <v>0.3189</v>
      </c>
      <c r="Y161" s="48" t="n">
        <v>0.3189</v>
      </c>
      <c r="Z161" s="83" t="n">
        <v>0.125</v>
      </c>
      <c r="AA161" s="39" t="n">
        <v>750</v>
      </c>
      <c r="AB161" s="56" t="n">
        <v>0.0368</v>
      </c>
    </row>
    <row r="162">
      <c r="A162" s="67" t="n">
        <v>69</v>
      </c>
      <c r="B162" s="48" t="n">
        <v>0.0058226</v>
      </c>
      <c r="C162" s="48" t="n">
        <v>0.0100136</v>
      </c>
      <c r="D162" s="48" t="n">
        <v>0.0039886</v>
      </c>
      <c r="E162" s="48" t="n">
        <v>0.007887399999999999</v>
      </c>
      <c r="F162" s="48" t="n">
        <v>0.00073</v>
      </c>
      <c r="G162" s="48" t="n">
        <v>0.00073</v>
      </c>
      <c r="H162" s="48" t="n">
        <v>0.00044</v>
      </c>
      <c r="I162" s="48" t="n">
        <v>0.00044</v>
      </c>
      <c r="J162" s="48" t="n">
        <v>0.027587242</v>
      </c>
      <c r="K162" s="48" t="n">
        <v>0.047444555</v>
      </c>
      <c r="L162" s="48" t="n">
        <v>0.018897868</v>
      </c>
      <c r="M162" s="48" t="n">
        <v>0.037370383</v>
      </c>
      <c r="N162" s="48" t="n">
        <v>0.006640508</v>
      </c>
      <c r="O162" s="48" t="n">
        <v>0.006640508</v>
      </c>
      <c r="P162" s="48" t="n">
        <v>0.006640508</v>
      </c>
      <c r="Q162" s="48" t="n">
        <v>0.006640508</v>
      </c>
      <c r="R162" s="48" t="n">
        <v>0.00021</v>
      </c>
      <c r="S162" s="48" t="n">
        <v>0.00021</v>
      </c>
      <c r="T162" s="48" t="n">
        <v>0.00021</v>
      </c>
      <c r="U162" s="48" t="n">
        <v>0.00021</v>
      </c>
      <c r="V162" s="48" t="n">
        <v>0.3765</v>
      </c>
      <c r="W162" s="48" t="n">
        <v>0.3765</v>
      </c>
      <c r="X162" s="48" t="n">
        <v>0.3189</v>
      </c>
      <c r="Y162" s="48" t="n">
        <v>0.3189</v>
      </c>
      <c r="Z162" s="83" t="n">
        <v>0.125</v>
      </c>
      <c r="AA162" s="39" t="n">
        <v>750</v>
      </c>
      <c r="AB162" s="56" t="n">
        <v>0.0368</v>
      </c>
    </row>
    <row r="163">
      <c r="A163" s="67" t="n">
        <v>70</v>
      </c>
      <c r="B163" s="48" t="n">
        <v>0.0065249</v>
      </c>
      <c r="C163" s="48" t="n">
        <v>0.0111497</v>
      </c>
      <c r="D163" s="48" t="n">
        <v>0.004451</v>
      </c>
      <c r="E163" s="48" t="n">
        <v>0.0087814</v>
      </c>
      <c r="F163" s="48" t="n">
        <v>0.00076</v>
      </c>
      <c r="G163" s="48" t="n">
        <v>0.00076</v>
      </c>
      <c r="H163" s="48" t="n">
        <v>0.00048</v>
      </c>
      <c r="I163" s="48" t="n">
        <v>0.00048</v>
      </c>
      <c r="J163" s="48" t="n">
        <v>0.030914917</v>
      </c>
      <c r="K163" s="48" t="n">
        <v>0.052827042</v>
      </c>
      <c r="L163" s="48" t="n">
        <v>0.021088601</v>
      </c>
      <c r="M163" s="48" t="n">
        <v>0.041606332</v>
      </c>
      <c r="N163" s="48" t="n">
        <v>0.007326046</v>
      </c>
      <c r="O163" s="48" t="n">
        <v>0.007326046</v>
      </c>
      <c r="P163" s="48" t="n">
        <v>0.007326046</v>
      </c>
      <c r="Q163" s="48" t="n">
        <v>0.007326046</v>
      </c>
      <c r="R163" s="48" t="n">
        <v>0.00021</v>
      </c>
      <c r="S163" s="48" t="n">
        <v>0.00021</v>
      </c>
      <c r="T163" s="48" t="n">
        <v>0.00021</v>
      </c>
      <c r="U163" s="48" t="n">
        <v>0.00021</v>
      </c>
      <c r="V163" s="48" t="n">
        <v>0.3765</v>
      </c>
      <c r="W163" s="48" t="n">
        <v>0.3765</v>
      </c>
      <c r="X163" s="48" t="n">
        <v>0.3189</v>
      </c>
      <c r="Y163" s="48" t="n">
        <v>0.3189</v>
      </c>
      <c r="Z163" s="83" t="n">
        <v>0.125</v>
      </c>
      <c r="AA163" s="39" t="n">
        <v>750</v>
      </c>
      <c r="AB163" s="56" t="n">
        <v>0.0338</v>
      </c>
    </row>
    <row r="164">
      <c r="A164" s="67" t="n">
        <v>71</v>
      </c>
      <c r="B164" s="48" t="n">
        <v>0.0073065</v>
      </c>
      <c r="C164" s="48" t="n">
        <v>0.0123957</v>
      </c>
      <c r="D164" s="48" t="n">
        <v>0.0049677</v>
      </c>
      <c r="E164" s="48" t="n">
        <v>0.0097646</v>
      </c>
      <c r="F164" s="48" t="n">
        <v>0.0008</v>
      </c>
      <c r="G164" s="48" t="n">
        <v>0.0008</v>
      </c>
      <c r="H164" s="48" t="n">
        <v>0.00053</v>
      </c>
      <c r="I164" s="48" t="n">
        <v>0.00053</v>
      </c>
      <c r="J164" s="48" t="n">
        <v>0.034618375</v>
      </c>
      <c r="K164" s="48" t="n">
        <v>0.058730827</v>
      </c>
      <c r="L164" s="48" t="n">
        <v>0.023536785</v>
      </c>
      <c r="M164" s="48" t="n">
        <v>0.046264438</v>
      </c>
      <c r="N164" s="48" t="n">
        <v>0.008075293000000001</v>
      </c>
      <c r="O164" s="48" t="n">
        <v>0.008075293000000001</v>
      </c>
      <c r="P164" s="48" t="n">
        <v>0.008075293000000001</v>
      </c>
      <c r="Q164" s="48" t="n">
        <v>0.008075293000000001</v>
      </c>
      <c r="R164" s="48" t="n">
        <v>0.00021</v>
      </c>
      <c r="S164" s="48" t="n">
        <v>0.00021</v>
      </c>
      <c r="T164" s="48" t="n">
        <v>0.00021</v>
      </c>
      <c r="U164" s="48" t="n">
        <v>0.00021</v>
      </c>
      <c r="V164" s="48" t="n">
        <v>0.3765</v>
      </c>
      <c r="W164" s="48" t="n">
        <v>0.3765</v>
      </c>
      <c r="X164" s="48" t="n">
        <v>0.3189</v>
      </c>
      <c r="Y164" s="48" t="n">
        <v>0.3189</v>
      </c>
      <c r="Z164" s="83" t="n">
        <v>0.125</v>
      </c>
      <c r="AA164" s="39" t="n">
        <v>750</v>
      </c>
      <c r="AB164" s="56" t="n">
        <v>0.0338</v>
      </c>
    </row>
    <row r="165">
      <c r="A165" s="67" t="n">
        <v>72</v>
      </c>
      <c r="B165" s="48" t="n">
        <v>0.0081756</v>
      </c>
      <c r="C165" s="48" t="n">
        <v>0.0137592</v>
      </c>
      <c r="D165" s="48" t="n">
        <v>0.0055441</v>
      </c>
      <c r="E165" s="48" t="n">
        <v>0.0108449</v>
      </c>
      <c r="F165" s="48" t="n">
        <v>0.00084</v>
      </c>
      <c r="G165" s="48" t="n">
        <v>0.00084</v>
      </c>
      <c r="H165" s="48" t="n">
        <v>0.00058</v>
      </c>
      <c r="I165" s="48" t="n">
        <v>0.00058</v>
      </c>
      <c r="J165" s="48" t="n">
        <v>0.038735993</v>
      </c>
      <c r="K165" s="48" t="n">
        <v>0.06519108999999999</v>
      </c>
      <c r="L165" s="48" t="n">
        <v>0.026268005</v>
      </c>
      <c r="M165" s="48" t="n">
        <v>0.051383077</v>
      </c>
      <c r="N165" s="48" t="n">
        <v>0.008893501</v>
      </c>
      <c r="O165" s="48" t="n">
        <v>0.008893501</v>
      </c>
      <c r="P165" s="48" t="n">
        <v>0.008893501</v>
      </c>
      <c r="Q165" s="48" t="n">
        <v>0.008893501</v>
      </c>
      <c r="R165" s="48" t="n">
        <v>0.00021</v>
      </c>
      <c r="S165" s="48" t="n">
        <v>0.00021</v>
      </c>
      <c r="T165" s="48" t="n">
        <v>0.00021</v>
      </c>
      <c r="U165" s="48" t="n">
        <v>0.00021</v>
      </c>
      <c r="V165" s="48" t="n">
        <v>0.3765</v>
      </c>
      <c r="W165" s="48" t="n">
        <v>0.3765</v>
      </c>
      <c r="X165" s="48" t="n">
        <v>0.3189</v>
      </c>
      <c r="Y165" s="48" t="n">
        <v>0.3189</v>
      </c>
      <c r="Z165" s="83" t="n">
        <v>0.125</v>
      </c>
      <c r="AA165" s="39" t="n">
        <v>750</v>
      </c>
      <c r="AB165" s="56" t="n">
        <v>0.0338</v>
      </c>
    </row>
    <row r="166">
      <c r="A166" s="67" t="n">
        <v>73</v>
      </c>
      <c r="B166" s="48" t="n">
        <v>0.0091409</v>
      </c>
      <c r="C166" s="48" t="n">
        <v>0.0152479</v>
      </c>
      <c r="D166" s="48" t="n">
        <v>0.0061874</v>
      </c>
      <c r="E166" s="48" t="n">
        <v>0.0120295</v>
      </c>
      <c r="F166" s="48" t="n">
        <v>0.0008899999999999999</v>
      </c>
      <c r="G166" s="48" t="n">
        <v>0.0008899999999999999</v>
      </c>
      <c r="H166" s="48" t="n">
        <v>0.0006400000000000001</v>
      </c>
      <c r="I166" s="48" t="n">
        <v>0.0006400000000000001</v>
      </c>
      <c r="J166" s="48" t="n">
        <v>0.043309347</v>
      </c>
      <c r="K166" s="48" t="n">
        <v>0.072244609</v>
      </c>
      <c r="L166" s="48" t="n">
        <v>0.029315842</v>
      </c>
      <c r="M166" s="48" t="n">
        <v>0.05699583</v>
      </c>
      <c r="N166" s="48" t="n">
        <v>0.009786262</v>
      </c>
      <c r="O166" s="48" t="n">
        <v>0.009786262</v>
      </c>
      <c r="P166" s="48" t="n">
        <v>0.009786262</v>
      </c>
      <c r="Q166" s="48" t="n">
        <v>0.009786262</v>
      </c>
      <c r="R166" s="48" t="n">
        <v>0.00021</v>
      </c>
      <c r="S166" s="48" t="n">
        <v>0.00021</v>
      </c>
      <c r="T166" s="48" t="n">
        <v>0.00021</v>
      </c>
      <c r="U166" s="48" t="n">
        <v>0.00021</v>
      </c>
      <c r="V166" s="48" t="n">
        <v>0.3765</v>
      </c>
      <c r="W166" s="48" t="n">
        <v>0.3765</v>
      </c>
      <c r="X166" s="48" t="n">
        <v>0.3189</v>
      </c>
      <c r="Y166" s="48" t="n">
        <v>0.3189</v>
      </c>
      <c r="Z166" s="83" t="n">
        <v>0.125</v>
      </c>
      <c r="AA166" s="39" t="n">
        <v>750</v>
      </c>
      <c r="AB166" s="56" t="n">
        <v>0.0338</v>
      </c>
    </row>
    <row r="167">
      <c r="A167" s="67" t="n">
        <v>74</v>
      </c>
      <c r="B167" s="48" t="n">
        <v>0.0102111</v>
      </c>
      <c r="C167" s="48" t="n">
        <v>0.0168693</v>
      </c>
      <c r="D167" s="48" t="n">
        <v>0.0069053</v>
      </c>
      <c r="E167" s="48" t="n">
        <v>0.0133265</v>
      </c>
      <c r="F167" s="48" t="n">
        <v>0.00094</v>
      </c>
      <c r="G167" s="48" t="n">
        <v>0.00094</v>
      </c>
      <c r="H167" s="48" t="n">
        <v>0.0007</v>
      </c>
      <c r="I167" s="48" t="n">
        <v>0.0007</v>
      </c>
      <c r="J167" s="48" t="n">
        <v>0.048380014</v>
      </c>
      <c r="K167" s="48" t="n">
        <v>0.079926566</v>
      </c>
      <c r="L167" s="48" t="n">
        <v>0.032717075</v>
      </c>
      <c r="M167" s="48" t="n">
        <v>0.063141075</v>
      </c>
      <c r="N167" s="48" t="n">
        <v>0.010759516</v>
      </c>
      <c r="O167" s="48" t="n">
        <v>0.010759516</v>
      </c>
      <c r="P167" s="48" t="n">
        <v>0.010759516</v>
      </c>
      <c r="Q167" s="48" t="n">
        <v>0.010759516</v>
      </c>
      <c r="R167" s="48" t="n">
        <v>0.00021</v>
      </c>
      <c r="S167" s="48" t="n">
        <v>0.00021</v>
      </c>
      <c r="T167" s="48" t="n">
        <v>0.00021</v>
      </c>
      <c r="U167" s="48" t="n">
        <v>0.00021</v>
      </c>
      <c r="V167" s="48" t="n">
        <v>0.3765</v>
      </c>
      <c r="W167" s="48" t="n">
        <v>0.3765</v>
      </c>
      <c r="X167" s="48" t="n">
        <v>0.3189</v>
      </c>
      <c r="Y167" s="48" t="n">
        <v>0.3189</v>
      </c>
      <c r="Z167" s="83" t="n">
        <v>0.125</v>
      </c>
      <c r="AA167" s="39" t="n">
        <v>750</v>
      </c>
      <c r="AB167" s="56" t="n">
        <v>0.0338</v>
      </c>
    </row>
    <row r="168">
      <c r="A168" s="67" t="n">
        <v>75</v>
      </c>
      <c r="B168" s="48" t="n">
        <v>0.0113964</v>
      </c>
      <c r="C168" s="48" t="n">
        <v>0.0186317</v>
      </c>
      <c r="D168" s="48" t="n">
        <v>0.0077061</v>
      </c>
      <c r="E168" s="48" t="n">
        <v>0.014744</v>
      </c>
      <c r="F168" s="48" t="n">
        <v>0.00099</v>
      </c>
      <c r="G168" s="48" t="n">
        <v>0.00099</v>
      </c>
      <c r="H168" s="48" t="n">
        <v>0.00076</v>
      </c>
      <c r="I168" s="48" t="n">
        <v>0.00076</v>
      </c>
      <c r="J168" s="48" t="n">
        <v>0.053995966</v>
      </c>
      <c r="K168" s="48" t="n">
        <v>0.088276935</v>
      </c>
      <c r="L168" s="48" t="n">
        <v>0.036511679</v>
      </c>
      <c r="M168" s="48" t="n">
        <v>0.06985719</v>
      </c>
      <c r="N168" s="48" t="n">
        <v>0.011819547</v>
      </c>
      <c r="O168" s="48" t="n">
        <v>0.011819547</v>
      </c>
      <c r="P168" s="48" t="n">
        <v>0.011819547</v>
      </c>
      <c r="Q168" s="48" t="n">
        <v>0.011819547</v>
      </c>
      <c r="R168" s="48" t="n">
        <v>0.00021</v>
      </c>
      <c r="S168" s="48" t="n">
        <v>0.00021</v>
      </c>
      <c r="T168" s="48" t="n">
        <v>0.00021</v>
      </c>
      <c r="U168" s="48" t="n">
        <v>0.00021</v>
      </c>
      <c r="V168" s="48" t="n">
        <v>0.3765</v>
      </c>
      <c r="W168" s="48" t="n">
        <v>0.3765</v>
      </c>
      <c r="X168" s="48" t="n">
        <v>0.3189</v>
      </c>
      <c r="Y168" s="48" t="n">
        <v>0.3189</v>
      </c>
      <c r="Z168" s="83" t="n">
        <v>0.125</v>
      </c>
      <c r="AA168" s="39" t="n">
        <v>750</v>
      </c>
      <c r="AB168" s="56" t="n">
        <v>0.0338</v>
      </c>
    </row>
    <row r="169">
      <c r="A169" s="67" t="n">
        <v>76</v>
      </c>
      <c r="B169" s="48" t="n">
        <v>0.0127076</v>
      </c>
      <c r="C169" s="48" t="n">
        <v>0.0205419</v>
      </c>
      <c r="D169" s="48" t="n">
        <v>0.0085995</v>
      </c>
      <c r="E169" s="48" t="n">
        <v>0.0162911</v>
      </c>
      <c r="F169" s="48" t="n">
        <v>0.00104</v>
      </c>
      <c r="G169" s="48" t="n">
        <v>0.00104</v>
      </c>
      <c r="H169" s="48" t="n">
        <v>0.00083</v>
      </c>
      <c r="I169" s="48" t="n">
        <v>0.00083</v>
      </c>
      <c r="J169" s="48" t="n">
        <v>0.060208372</v>
      </c>
      <c r="K169" s="48" t="n">
        <v>0.0973277</v>
      </c>
      <c r="L169" s="48" t="n">
        <v>0.040744431</v>
      </c>
      <c r="M169" s="48" t="n">
        <v>0.07718735</v>
      </c>
      <c r="N169" s="48" t="n">
        <v>0.012972979</v>
      </c>
      <c r="O169" s="48" t="n">
        <v>0.012972979</v>
      </c>
      <c r="P169" s="48" t="n">
        <v>0.012972979</v>
      </c>
      <c r="Q169" s="48" t="n">
        <v>0.012972979</v>
      </c>
      <c r="R169" s="48" t="n">
        <v>0.00021</v>
      </c>
      <c r="S169" s="48" t="n">
        <v>0.00021</v>
      </c>
      <c r="T169" s="48" t="n">
        <v>0.00021</v>
      </c>
      <c r="U169" s="48" t="n">
        <v>0.00021</v>
      </c>
      <c r="V169" s="48" t="n">
        <v>0.3765</v>
      </c>
      <c r="W169" s="48" t="n">
        <v>0.3765</v>
      </c>
      <c r="X169" s="48" t="n">
        <v>0.3189</v>
      </c>
      <c r="Y169" s="48" t="n">
        <v>0.3189</v>
      </c>
      <c r="Z169" s="83" t="n">
        <v>0.125</v>
      </c>
      <c r="AA169" s="39" t="n">
        <v>750</v>
      </c>
      <c r="AB169" s="56" t="n">
        <v>0.0338</v>
      </c>
    </row>
    <row r="170">
      <c r="A170" s="67" t="n">
        <v>77</v>
      </c>
      <c r="B170" s="48" t="n">
        <v>0.0141554</v>
      </c>
      <c r="C170" s="48" t="n">
        <v>0.0226085</v>
      </c>
      <c r="D170" s="48" t="n">
        <v>0.0095955</v>
      </c>
      <c r="E170" s="48" t="n">
        <v>0.0179759</v>
      </c>
      <c r="F170" s="48" t="n">
        <v>0.0011</v>
      </c>
      <c r="G170" s="48" t="n">
        <v>0.0011</v>
      </c>
      <c r="H170" s="48" t="n">
        <v>0.0009</v>
      </c>
      <c r="I170" s="48" t="n">
        <v>0.0009</v>
      </c>
      <c r="J170" s="48" t="n">
        <v>0.067068404</v>
      </c>
      <c r="K170" s="48" t="n">
        <v>0.107118836</v>
      </c>
      <c r="L170" s="48" t="n">
        <v>0.045463301</v>
      </c>
      <c r="M170" s="48" t="n">
        <v>0.085169933</v>
      </c>
      <c r="N170" s="48" t="n">
        <v>0.014226767</v>
      </c>
      <c r="O170" s="48" t="n">
        <v>0.014226767</v>
      </c>
      <c r="P170" s="48" t="n">
        <v>0.014226767</v>
      </c>
      <c r="Q170" s="48" t="n">
        <v>0.014226767</v>
      </c>
      <c r="R170" s="48" t="n">
        <v>0.00021</v>
      </c>
      <c r="S170" s="48" t="n">
        <v>0.00021</v>
      </c>
      <c r="T170" s="48" t="n">
        <v>0.00021</v>
      </c>
      <c r="U170" s="48" t="n">
        <v>0.00021</v>
      </c>
      <c r="V170" s="48" t="n">
        <v>0.3765</v>
      </c>
      <c r="W170" s="48" t="n">
        <v>0.3765</v>
      </c>
      <c r="X170" s="48" t="n">
        <v>0.3189</v>
      </c>
      <c r="Y170" s="48" t="n">
        <v>0.3189</v>
      </c>
      <c r="Z170" s="83" t="n">
        <v>0.125</v>
      </c>
      <c r="AA170" s="39" t="n">
        <v>750</v>
      </c>
      <c r="AB170" s="56" t="n">
        <v>0.0338</v>
      </c>
    </row>
    <row r="171">
      <c r="A171" s="67" t="n">
        <v>78</v>
      </c>
      <c r="B171" s="48" t="n">
        <v>0.0157518</v>
      </c>
      <c r="C171" s="48" t="n">
        <v>0.0248376</v>
      </c>
      <c r="D171" s="48" t="n">
        <v>0.0107055</v>
      </c>
      <c r="E171" s="48" t="n">
        <v>0.0198082</v>
      </c>
      <c r="F171" s="48" t="n">
        <v>0.00117</v>
      </c>
      <c r="G171" s="48" t="n">
        <v>0.00117</v>
      </c>
      <c r="H171" s="48" t="n">
        <v>0.0009700000000000001</v>
      </c>
      <c r="I171" s="48" t="n">
        <v>0.0009700000000000001</v>
      </c>
      <c r="J171" s="48" t="n">
        <v>0.074632028</v>
      </c>
      <c r="K171" s="48" t="n">
        <v>0.117680726</v>
      </c>
      <c r="L171" s="48" t="n">
        <v>0.050722659</v>
      </c>
      <c r="M171" s="48" t="n">
        <v>0.09385131100000001</v>
      </c>
      <c r="N171" s="48" t="n">
        <v>0.015588175</v>
      </c>
      <c r="O171" s="48" t="n">
        <v>0.015588175</v>
      </c>
      <c r="P171" s="48" t="n">
        <v>0.015588175</v>
      </c>
      <c r="Q171" s="48" t="n">
        <v>0.015588175</v>
      </c>
      <c r="R171" s="48" t="n">
        <v>0.00021</v>
      </c>
      <c r="S171" s="48" t="n">
        <v>0.00021</v>
      </c>
      <c r="T171" s="48" t="n">
        <v>0.00021</v>
      </c>
      <c r="U171" s="48" t="n">
        <v>0.00021</v>
      </c>
      <c r="V171" s="48" t="n">
        <v>0.3765</v>
      </c>
      <c r="W171" s="48" t="n">
        <v>0.3765</v>
      </c>
      <c r="X171" s="48" t="n">
        <v>0.3189</v>
      </c>
      <c r="Y171" s="48" t="n">
        <v>0.3189</v>
      </c>
      <c r="Z171" s="83" t="n">
        <v>0.125</v>
      </c>
      <c r="AA171" s="39" t="n">
        <v>750</v>
      </c>
      <c r="AB171" s="56" t="n">
        <v>0.0338</v>
      </c>
    </row>
    <row r="172">
      <c r="A172" s="67" t="n">
        <v>79</v>
      </c>
      <c r="B172" s="48" t="n">
        <v>0.0175102</v>
      </c>
      <c r="C172" s="48" t="n">
        <v>0.0272373</v>
      </c>
      <c r="D172" s="48" t="n">
        <v>0.0119424</v>
      </c>
      <c r="E172" s="48" t="n">
        <v>0.0217968</v>
      </c>
      <c r="F172" s="48" t="n">
        <v>0.00125</v>
      </c>
      <c r="G172" s="48" t="n">
        <v>0.00125</v>
      </c>
      <c r="H172" s="48" t="n">
        <v>0.00105</v>
      </c>
      <c r="I172" s="48" t="n">
        <v>0.00105</v>
      </c>
      <c r="J172" s="48" t="n">
        <v>0.082963209</v>
      </c>
      <c r="K172" s="48" t="n">
        <v>0.12905015</v>
      </c>
      <c r="L172" s="48" t="n">
        <v>0.056583269</v>
      </c>
      <c r="M172" s="48" t="n">
        <v>0.103273061</v>
      </c>
      <c r="N172" s="48" t="n">
        <v>0.017064754</v>
      </c>
      <c r="O172" s="48" t="n">
        <v>0.017064754</v>
      </c>
      <c r="P172" s="48" t="n">
        <v>0.017064754</v>
      </c>
      <c r="Q172" s="48" t="n">
        <v>0.017064754</v>
      </c>
      <c r="R172" s="48" t="n">
        <v>0.00021</v>
      </c>
      <c r="S172" s="48" t="n">
        <v>0.00021</v>
      </c>
      <c r="T172" s="48" t="n">
        <v>0.00021</v>
      </c>
      <c r="U172" s="48" t="n">
        <v>0.00021</v>
      </c>
      <c r="V172" s="48" t="n">
        <v>0.3765</v>
      </c>
      <c r="W172" s="48" t="n">
        <v>0.3765</v>
      </c>
      <c r="X172" s="48" t="n">
        <v>0.3189</v>
      </c>
      <c r="Y172" s="48" t="n">
        <v>0.3189</v>
      </c>
      <c r="Z172" s="83" t="n">
        <v>0.125</v>
      </c>
      <c r="AA172" s="39" t="n">
        <v>750</v>
      </c>
      <c r="AB172" s="56" t="n">
        <v>0.0338</v>
      </c>
    </row>
    <row r="173">
      <c r="A173" s="67" t="n">
        <v>80</v>
      </c>
      <c r="B173" s="48" t="n">
        <v>0.0194434</v>
      </c>
      <c r="C173" s="48" t="n">
        <v>0.0298127</v>
      </c>
      <c r="D173" s="48" t="n">
        <v>0.0133198</v>
      </c>
      <c r="E173" s="48" t="n">
        <v>0.0239507</v>
      </c>
      <c r="F173" s="48" t="n">
        <v>0.00134</v>
      </c>
      <c r="G173" s="48" t="n">
        <v>0.00134</v>
      </c>
      <c r="H173" s="48" t="n">
        <v>0.00113</v>
      </c>
      <c r="I173" s="48" t="n">
        <v>0.00113</v>
      </c>
      <c r="J173" s="48" t="n">
        <v>0.092122711</v>
      </c>
      <c r="K173" s="48" t="n">
        <v>0.141252691</v>
      </c>
      <c r="L173" s="48" t="n">
        <v>0.063109094</v>
      </c>
      <c r="M173" s="48" t="n">
        <v>0.113478357</v>
      </c>
      <c r="N173" s="48" t="n">
        <v>0.018664303</v>
      </c>
      <c r="O173" s="48" t="n">
        <v>0.018664303</v>
      </c>
      <c r="P173" s="48" t="n">
        <v>0.018664303</v>
      </c>
      <c r="Q173" s="48" t="n">
        <v>0.018664303</v>
      </c>
      <c r="R173" s="48" t="n">
        <v>0.00021</v>
      </c>
      <c r="S173" s="48" t="n">
        <v>0.00021</v>
      </c>
      <c r="T173" s="48" t="n">
        <v>0.00021</v>
      </c>
      <c r="U173" s="48" t="n">
        <v>0.00021</v>
      </c>
      <c r="V173" s="48" t="n">
        <v>0.3765</v>
      </c>
      <c r="W173" s="48" t="n">
        <v>0.3765</v>
      </c>
      <c r="X173" s="48" t="n">
        <v>0.3189</v>
      </c>
      <c r="Y173" s="48" t="n">
        <v>0.3189</v>
      </c>
      <c r="Z173" s="83" t="n">
        <v>0.125</v>
      </c>
      <c r="AA173" s="39" t="n">
        <v>750</v>
      </c>
      <c r="AB173" s="56" t="n">
        <v>0.0338</v>
      </c>
    </row>
    <row r="174">
      <c r="A174" s="67" t="n">
        <v>81</v>
      </c>
      <c r="B174" s="48" t="n">
        <v>0.0215652</v>
      </c>
      <c r="C174" s="48" t="n">
        <v>0.0325708</v>
      </c>
      <c r="D174" s="48" t="n">
        <v>0.014853</v>
      </c>
      <c r="E174" s="48" t="n">
        <v>0.0262801</v>
      </c>
      <c r="F174" s="48" t="n">
        <v>0.00146</v>
      </c>
      <c r="G174" s="48" t="n">
        <v>0.00146</v>
      </c>
      <c r="H174" s="48" t="n">
        <v>0.00122</v>
      </c>
      <c r="I174" s="48" t="n">
        <v>0.00122</v>
      </c>
      <c r="J174" s="48" t="n">
        <v>0.102176095</v>
      </c>
      <c r="K174" s="48" t="n">
        <v>0.154320332</v>
      </c>
      <c r="L174" s="48" t="n">
        <v>0.070373692</v>
      </c>
      <c r="M174" s="48" t="n">
        <v>0.124515173</v>
      </c>
      <c r="N174" s="48" t="n">
        <v>0.020394821</v>
      </c>
      <c r="O174" s="48" t="n">
        <v>0.020394821</v>
      </c>
      <c r="P174" s="48" t="n">
        <v>0.020394821</v>
      </c>
      <c r="Q174" s="48" t="n">
        <v>0.020394821</v>
      </c>
      <c r="R174" s="48" t="n">
        <v>0.00021</v>
      </c>
      <c r="S174" s="48" t="n">
        <v>0.00021</v>
      </c>
      <c r="T174" s="48" t="n">
        <v>0.00021</v>
      </c>
      <c r="U174" s="48" t="n">
        <v>0.00021</v>
      </c>
      <c r="V174" s="48" t="n">
        <v>0.3765</v>
      </c>
      <c r="W174" s="48" t="n">
        <v>0.3765</v>
      </c>
      <c r="X174" s="48" t="n">
        <v>0.3189</v>
      </c>
      <c r="Y174" s="48" t="n">
        <v>0.3189</v>
      </c>
      <c r="Z174" s="83" t="n">
        <v>0.125</v>
      </c>
      <c r="AA174" s="39" t="n">
        <v>750</v>
      </c>
      <c r="AB174" s="56" t="n">
        <v>0.0338</v>
      </c>
    </row>
    <row r="175">
      <c r="A175" s="67" t="n">
        <v>82</v>
      </c>
      <c r="B175" s="48" t="n">
        <v>0.0238906</v>
      </c>
      <c r="C175" s="48" t="n">
        <v>0.0355158</v>
      </c>
      <c r="D175" s="48" t="n">
        <v>0.0165591</v>
      </c>
      <c r="E175" s="48" t="n">
        <v>0.0287935</v>
      </c>
      <c r="F175" s="48" t="n">
        <v>0.00162</v>
      </c>
      <c r="G175" s="48" t="n">
        <v>0.00162</v>
      </c>
      <c r="H175" s="48" t="n">
        <v>0.00134</v>
      </c>
      <c r="I175" s="48" t="n">
        <v>0.00134</v>
      </c>
      <c r="J175" s="48" t="n">
        <v>0.113193722</v>
      </c>
      <c r="K175" s="48" t="n">
        <v>0.16827386</v>
      </c>
      <c r="L175" s="48" t="n">
        <v>0.078457016</v>
      </c>
      <c r="M175" s="48" t="n">
        <v>0.136423485</v>
      </c>
      <c r="N175" s="48" t="n">
        <v>0.022264449</v>
      </c>
      <c r="O175" s="48" t="n">
        <v>0.022264449</v>
      </c>
      <c r="P175" s="48" t="n">
        <v>0.022264449</v>
      </c>
      <c r="Q175" s="48" t="n">
        <v>0.022264449</v>
      </c>
      <c r="R175" s="48" t="n">
        <v>0.00021</v>
      </c>
      <c r="S175" s="48" t="n">
        <v>0.00021</v>
      </c>
      <c r="T175" s="48" t="n">
        <v>0.00021</v>
      </c>
      <c r="U175" s="48" t="n">
        <v>0.00021</v>
      </c>
      <c r="V175" s="48" t="n">
        <v>0.3765</v>
      </c>
      <c r="W175" s="48" t="n">
        <v>0.3765</v>
      </c>
      <c r="X175" s="48" t="n">
        <v>0.3189</v>
      </c>
      <c r="Y175" s="48" t="n">
        <v>0.3189</v>
      </c>
      <c r="Z175" s="83" t="n">
        <v>0.125</v>
      </c>
      <c r="AA175" s="39" t="n">
        <v>750</v>
      </c>
      <c r="AB175" s="56" t="n">
        <v>0.0338</v>
      </c>
    </row>
    <row r="176">
      <c r="A176" s="67" t="n">
        <v>83</v>
      </c>
      <c r="B176" s="48" t="n">
        <v>0.0264347</v>
      </c>
      <c r="C176" s="48" t="n">
        <v>0.0386529</v>
      </c>
      <c r="D176" s="48" t="n">
        <v>0.0184559</v>
      </c>
      <c r="E176" s="48" t="n">
        <v>0.0315002</v>
      </c>
      <c r="F176" s="48" t="n">
        <v>0.0018</v>
      </c>
      <c r="G176" s="48" t="n">
        <v>0.0018</v>
      </c>
      <c r="H176" s="48" t="n">
        <v>0.0015</v>
      </c>
      <c r="I176" s="48" t="n">
        <v>0.0015</v>
      </c>
      <c r="J176" s="48" t="n">
        <v>0.125247549</v>
      </c>
      <c r="K176" s="48" t="n">
        <v>0.183137263</v>
      </c>
      <c r="L176" s="48" t="n">
        <v>0.08744381699999999</v>
      </c>
      <c r="M176" s="48" t="n">
        <v>0.149248066</v>
      </c>
      <c r="N176" s="48" t="n">
        <v>0.024281395</v>
      </c>
      <c r="O176" s="48" t="n">
        <v>0.024281395</v>
      </c>
      <c r="P176" s="48" t="n">
        <v>0.024281395</v>
      </c>
      <c r="Q176" s="48" t="n">
        <v>0.024281395</v>
      </c>
      <c r="R176" s="48" t="n">
        <v>0.00021</v>
      </c>
      <c r="S176" s="48" t="n">
        <v>0.00021</v>
      </c>
      <c r="T176" s="48" t="n">
        <v>0.00021</v>
      </c>
      <c r="U176" s="48" t="n">
        <v>0.00021</v>
      </c>
      <c r="V176" s="48" t="n">
        <v>0.3765</v>
      </c>
      <c r="W176" s="48" t="n">
        <v>0.3765</v>
      </c>
      <c r="X176" s="48" t="n">
        <v>0.3189</v>
      </c>
      <c r="Y176" s="48" t="n">
        <v>0.3189</v>
      </c>
      <c r="Z176" s="83" t="n">
        <v>0.125</v>
      </c>
      <c r="AA176" s="39" t="n">
        <v>750</v>
      </c>
      <c r="AB176" s="56" t="n">
        <v>0.0338</v>
      </c>
    </row>
    <row r="177">
      <c r="A177" s="67" t="n">
        <v>84</v>
      </c>
      <c r="B177" s="48" t="n">
        <v>0.0292127</v>
      </c>
      <c r="C177" s="48" t="n">
        <v>0.0419847</v>
      </c>
      <c r="D177" s="48" t="n">
        <v>0.0205632</v>
      </c>
      <c r="E177" s="48" t="n">
        <v>0.0344095</v>
      </c>
      <c r="F177" s="48" t="n">
        <v>0.00202</v>
      </c>
      <c r="G177" s="48" t="n">
        <v>0.00202</v>
      </c>
      <c r="H177" s="48" t="n">
        <v>0.00172</v>
      </c>
      <c r="I177" s="48" t="n">
        <v>0.00172</v>
      </c>
      <c r="J177" s="48" t="n">
        <v>0.138409536</v>
      </c>
      <c r="K177" s="48" t="n">
        <v>0.198923331</v>
      </c>
      <c r="L177" s="48" t="n">
        <v>0.097428442</v>
      </c>
      <c r="M177" s="48" t="n">
        <v>0.163032093</v>
      </c>
      <c r="N177" s="48" t="n">
        <v>0.026453847</v>
      </c>
      <c r="O177" s="48" t="n">
        <v>0.026453847</v>
      </c>
      <c r="P177" s="48" t="n">
        <v>0.026453847</v>
      </c>
      <c r="Q177" s="48" t="n">
        <v>0.026453847</v>
      </c>
      <c r="R177" s="48" t="n">
        <v>0.00021</v>
      </c>
      <c r="S177" s="48" t="n">
        <v>0.00021</v>
      </c>
      <c r="T177" s="48" t="n">
        <v>0.00021</v>
      </c>
      <c r="U177" s="48" t="n">
        <v>0.00021</v>
      </c>
      <c r="V177" s="48" t="n">
        <v>0.3765</v>
      </c>
      <c r="W177" s="48" t="n">
        <v>0.3765</v>
      </c>
      <c r="X177" s="48" t="n">
        <v>0.3189</v>
      </c>
      <c r="Y177" s="48" t="n">
        <v>0.3189</v>
      </c>
      <c r="Z177" s="83" t="n">
        <v>0.125</v>
      </c>
      <c r="AA177" s="39" t="n">
        <v>750</v>
      </c>
      <c r="AB177" s="56" t="n">
        <v>0.0338</v>
      </c>
    </row>
    <row r="178">
      <c r="A178" s="67" t="n">
        <v>85</v>
      </c>
      <c r="B178" s="48" t="n">
        <v>0.032241</v>
      </c>
      <c r="C178" s="48" t="n">
        <v>0.0455139</v>
      </c>
      <c r="D178" s="48" t="n">
        <v>0.0229034</v>
      </c>
      <c r="E178" s="48" t="n">
        <v>0.0375297</v>
      </c>
      <c r="F178" s="48" t="n">
        <v>0.00229</v>
      </c>
      <c r="G178" s="48" t="n">
        <v>0.00229</v>
      </c>
      <c r="H178" s="48" t="n">
        <v>0.00201</v>
      </c>
      <c r="I178" s="48" t="n">
        <v>0.00201</v>
      </c>
      <c r="J178" s="48" t="n">
        <v>0.152758036</v>
      </c>
      <c r="K178" s="48" t="n">
        <v>0.215644858</v>
      </c>
      <c r="L178" s="48" t="n">
        <v>0.108516428</v>
      </c>
      <c r="M178" s="48" t="n">
        <v>0.177815541</v>
      </c>
      <c r="N178" s="48" t="n">
        <v>0.028789868</v>
      </c>
      <c r="O178" s="48" t="n">
        <v>0.028789868</v>
      </c>
      <c r="P178" s="48" t="n">
        <v>0.028789868</v>
      </c>
      <c r="Q178" s="48" t="n">
        <v>0.028789868</v>
      </c>
      <c r="R178" s="48" t="n">
        <v>0.00021</v>
      </c>
      <c r="S178" s="48" t="n">
        <v>0.00021</v>
      </c>
      <c r="T178" s="48" t="n">
        <v>0.00021</v>
      </c>
      <c r="U178" s="48" t="n">
        <v>0.00021</v>
      </c>
      <c r="V178" s="48" t="n">
        <v>0.3765</v>
      </c>
      <c r="W178" s="48" t="n">
        <v>0.3765</v>
      </c>
      <c r="X178" s="48" t="n">
        <v>0.3189</v>
      </c>
      <c r="Y178" s="48" t="n">
        <v>0.3189</v>
      </c>
      <c r="Z178" s="83" t="n">
        <v>0.125</v>
      </c>
      <c r="AA178" s="39" t="n">
        <v>750</v>
      </c>
      <c r="AB178" s="56" t="n">
        <v>0.0338</v>
      </c>
    </row>
    <row r="179">
      <c r="A179" s="67" t="n">
        <v>86</v>
      </c>
      <c r="B179" s="48" t="n">
        <v>0.0355354</v>
      </c>
      <c r="C179" s="48" t="n">
        <v>0.0492419</v>
      </c>
      <c r="D179" s="48" t="n">
        <v>0.0254998</v>
      </c>
      <c r="E179" s="48" t="n">
        <v>0.0408689</v>
      </c>
      <c r="F179" s="48" t="n">
        <v>0.00261</v>
      </c>
      <c r="G179" s="48" t="n">
        <v>0.00261</v>
      </c>
      <c r="H179" s="48" t="n">
        <v>0.00238</v>
      </c>
      <c r="I179" s="48" t="n">
        <v>0.00238</v>
      </c>
      <c r="J179" s="48" t="n">
        <v>0.168366607</v>
      </c>
      <c r="K179" s="48" t="n">
        <v>0.233308241</v>
      </c>
      <c r="L179" s="48" t="n">
        <v>0.120818112</v>
      </c>
      <c r="M179" s="48" t="n">
        <v>0.193636789</v>
      </c>
      <c r="N179" s="48" t="n">
        <v>0.031297274</v>
      </c>
      <c r="O179" s="48" t="n">
        <v>0.031297274</v>
      </c>
      <c r="P179" s="48" t="n">
        <v>0.031297274</v>
      </c>
      <c r="Q179" s="48" t="n">
        <v>0.031297274</v>
      </c>
      <c r="R179" s="48" t="n">
        <v>0.00021</v>
      </c>
      <c r="S179" s="48" t="n">
        <v>0.00021</v>
      </c>
      <c r="T179" s="48" t="n">
        <v>0.00021</v>
      </c>
      <c r="U179" s="48" t="n">
        <v>0.00021</v>
      </c>
      <c r="V179" s="48" t="n">
        <v>0.3765</v>
      </c>
      <c r="W179" s="48" t="n">
        <v>0.3765</v>
      </c>
      <c r="X179" s="48" t="n">
        <v>0.3189</v>
      </c>
      <c r="Y179" s="48" t="n">
        <v>0.3189</v>
      </c>
      <c r="Z179" s="83" t="n">
        <v>0.125</v>
      </c>
      <c r="AA179" s="39" t="n">
        <v>750</v>
      </c>
      <c r="AB179" s="56" t="n">
        <v>0.0338</v>
      </c>
    </row>
    <row r="180">
      <c r="A180" s="67" t="n">
        <v>87</v>
      </c>
      <c r="B180" s="48" t="n">
        <v>0.0391122</v>
      </c>
      <c r="C180" s="48" t="n">
        <v>0.0531684</v>
      </c>
      <c r="D180" s="48" t="n">
        <v>0.0283773</v>
      </c>
      <c r="E180" s="48" t="n">
        <v>0.0444346</v>
      </c>
      <c r="F180" s="48" t="n">
        <v>0.00299</v>
      </c>
      <c r="G180" s="48" t="n">
        <v>0.00299</v>
      </c>
      <c r="H180" s="48" t="n">
        <v>0.0028</v>
      </c>
      <c r="I180" s="48" t="n">
        <v>0.0028</v>
      </c>
      <c r="J180" s="48" t="n">
        <v>0.185313604</v>
      </c>
      <c r="K180" s="48" t="n">
        <v>0.251911879</v>
      </c>
      <c r="L180" s="48" t="n">
        <v>0.134451825</v>
      </c>
      <c r="M180" s="48" t="n">
        <v>0.210531016</v>
      </c>
      <c r="N180" s="48" t="n">
        <v>0.033983499</v>
      </c>
      <c r="O180" s="48" t="n">
        <v>0.033983499</v>
      </c>
      <c r="P180" s="48" t="n">
        <v>0.033983499</v>
      </c>
      <c r="Q180" s="48" t="n">
        <v>0.033983499</v>
      </c>
      <c r="R180" s="48" t="n">
        <v>0.00021</v>
      </c>
      <c r="S180" s="48" t="n">
        <v>0.00021</v>
      </c>
      <c r="T180" s="48" t="n">
        <v>0.00021</v>
      </c>
      <c r="U180" s="48" t="n">
        <v>0.00021</v>
      </c>
      <c r="V180" s="48" t="n">
        <v>0.3765</v>
      </c>
      <c r="W180" s="48" t="n">
        <v>0.3765</v>
      </c>
      <c r="X180" s="48" t="n">
        <v>0.3189</v>
      </c>
      <c r="Y180" s="48" t="n">
        <v>0.3189</v>
      </c>
      <c r="Z180" s="83" t="n">
        <v>0.125</v>
      </c>
      <c r="AA180" s="39" t="n">
        <v>750</v>
      </c>
      <c r="AB180" s="56" t="n">
        <v>0.0338</v>
      </c>
    </row>
    <row r="181">
      <c r="A181" s="67" t="n">
        <v>88</v>
      </c>
      <c r="B181" s="48" t="n">
        <v>0.0429874</v>
      </c>
      <c r="C181" s="48" t="n">
        <v>0.057292</v>
      </c>
      <c r="D181" s="48" t="n">
        <v>0.0315637</v>
      </c>
      <c r="E181" s="48" t="n">
        <v>0.0482335</v>
      </c>
      <c r="F181" s="48" t="n">
        <v>0.00343</v>
      </c>
      <c r="G181" s="48" t="n">
        <v>0.00343</v>
      </c>
      <c r="H181" s="48" t="n">
        <v>0.00327</v>
      </c>
      <c r="I181" s="48" t="n">
        <v>0.00327</v>
      </c>
      <c r="J181" s="48" t="n">
        <v>0.203674183</v>
      </c>
      <c r="K181" s="48" t="n">
        <v>0.271449378</v>
      </c>
      <c r="L181" s="48" t="n">
        <v>0.149548692</v>
      </c>
      <c r="M181" s="48" t="n">
        <v>0.228530205</v>
      </c>
      <c r="N181" s="48" t="n">
        <v>0.036855438</v>
      </c>
      <c r="O181" s="48" t="n">
        <v>0.036855438</v>
      </c>
      <c r="P181" s="48" t="n">
        <v>0.036855438</v>
      </c>
      <c r="Q181" s="48" t="n">
        <v>0.036855438</v>
      </c>
      <c r="R181" s="48" t="n">
        <v>0.00021</v>
      </c>
      <c r="S181" s="48" t="n">
        <v>0.00021</v>
      </c>
      <c r="T181" s="48" t="n">
        <v>0.00021</v>
      </c>
      <c r="U181" s="48" t="n">
        <v>0.00021</v>
      </c>
      <c r="V181" s="48" t="n">
        <v>0.3765</v>
      </c>
      <c r="W181" s="48" t="n">
        <v>0.3765</v>
      </c>
      <c r="X181" s="48" t="n">
        <v>0.3189</v>
      </c>
      <c r="Y181" s="48" t="n">
        <v>0.3189</v>
      </c>
      <c r="Z181" s="83" t="n">
        <v>0.125</v>
      </c>
      <c r="AA181" s="39" t="n">
        <v>750</v>
      </c>
      <c r="AB181" s="56" t="n">
        <v>0.0338</v>
      </c>
    </row>
    <row r="182">
      <c r="A182" s="67" t="n">
        <v>89</v>
      </c>
      <c r="B182" s="48" t="n">
        <v>0.0471764</v>
      </c>
      <c r="C182" s="48" t="n">
        <v>0.06161</v>
      </c>
      <c r="D182" s="48" t="n">
        <v>0.0350875</v>
      </c>
      <c r="E182" s="48" t="n">
        <v>0.052271</v>
      </c>
      <c r="F182" s="48" t="n">
        <v>0.00392</v>
      </c>
      <c r="G182" s="48" t="n">
        <v>0.00392</v>
      </c>
      <c r="H182" s="48" t="n">
        <v>0.00379</v>
      </c>
      <c r="I182" s="48" t="n">
        <v>0.00379</v>
      </c>
      <c r="J182" s="48" t="n">
        <v>0.223521902</v>
      </c>
      <c r="K182" s="48" t="n">
        <v>0.291907943</v>
      </c>
      <c r="L182" s="48" t="n">
        <v>0.166244634</v>
      </c>
      <c r="M182" s="48" t="n">
        <v>0.247659939</v>
      </c>
      <c r="N182" s="48" t="n">
        <v>0.039919285</v>
      </c>
      <c r="O182" s="48" t="n">
        <v>0.039919285</v>
      </c>
      <c r="P182" s="48" t="n">
        <v>0.039919285</v>
      </c>
      <c r="Q182" s="48" t="n">
        <v>0.039919285</v>
      </c>
      <c r="R182" s="48" t="n">
        <v>0.00021</v>
      </c>
      <c r="S182" s="48" t="n">
        <v>0.00021</v>
      </c>
      <c r="T182" s="48" t="n">
        <v>0.00021</v>
      </c>
      <c r="U182" s="48" t="n">
        <v>0.00021</v>
      </c>
      <c r="V182" s="48" t="n">
        <v>0.3765</v>
      </c>
      <c r="W182" s="48" t="n">
        <v>0.3765</v>
      </c>
      <c r="X182" s="48" t="n">
        <v>0.3189</v>
      </c>
      <c r="Y182" s="48" t="n">
        <v>0.3189</v>
      </c>
      <c r="Z182" s="83" t="n">
        <v>0.125</v>
      </c>
      <c r="AA182" s="39" t="n">
        <v>750</v>
      </c>
      <c r="AB182" s="56" t="n">
        <v>0.0338</v>
      </c>
    </row>
    <row r="183">
      <c r="A183" s="67" t="n">
        <v>90</v>
      </c>
      <c r="B183" s="48" t="n">
        <v>0.0516942</v>
      </c>
      <c r="C183" s="48" t="n">
        <v>0.06611789999999999</v>
      </c>
      <c r="D183" s="48" t="n">
        <v>0.0389796</v>
      </c>
      <c r="E183" s="48" t="n">
        <v>0.0565525</v>
      </c>
      <c r="F183" s="48" t="n">
        <v>0.00445</v>
      </c>
      <c r="G183" s="48" t="n">
        <v>0.00445</v>
      </c>
      <c r="H183" s="48" t="n">
        <v>0.00435</v>
      </c>
      <c r="I183" s="48" t="n">
        <v>0.00435</v>
      </c>
      <c r="J183" s="48" t="n">
        <v>0.24492712</v>
      </c>
      <c r="K183" s="48" t="n">
        <v>0.313266788</v>
      </c>
      <c r="L183" s="48" t="n">
        <v>0.184685167</v>
      </c>
      <c r="M183" s="48" t="n">
        <v>0.267945804</v>
      </c>
      <c r="N183" s="48" t="n">
        <v>0.043180344</v>
      </c>
      <c r="O183" s="48" t="n">
        <v>0.043180344</v>
      </c>
      <c r="P183" s="48" t="n">
        <v>0.043180344</v>
      </c>
      <c r="Q183" s="48" t="n">
        <v>0.043180344</v>
      </c>
      <c r="R183" s="48" t="n">
        <v>0.00021</v>
      </c>
      <c r="S183" s="48" t="n">
        <v>0.00021</v>
      </c>
      <c r="T183" s="48" t="n">
        <v>0.00021</v>
      </c>
      <c r="U183" s="48" t="n">
        <v>0.00021</v>
      </c>
      <c r="V183" s="48" t="n">
        <v>0.3765</v>
      </c>
      <c r="W183" s="48" t="n">
        <v>0.3765</v>
      </c>
      <c r="X183" s="48" t="n">
        <v>0.3189</v>
      </c>
      <c r="Y183" s="48" t="n">
        <v>0.3189</v>
      </c>
      <c r="Z183" s="83" t="n">
        <v>0.125</v>
      </c>
      <c r="AA183" s="39" t="n">
        <v>750</v>
      </c>
      <c r="AB183" s="56" t="n">
        <v>0.0338</v>
      </c>
    </row>
    <row r="184">
      <c r="A184" s="67" t="n">
        <v>91</v>
      </c>
      <c r="B184" s="48" t="n">
        <v>0.0565552</v>
      </c>
      <c r="C184" s="48" t="n">
        <v>0.0708102</v>
      </c>
      <c r="D184" s="48" t="n">
        <v>0.0432726</v>
      </c>
      <c r="E184" s="48" t="n">
        <v>0.0610811</v>
      </c>
      <c r="F184" s="48" t="n">
        <v>0.00445</v>
      </c>
      <c r="G184" s="48" t="n">
        <v>0.00445</v>
      </c>
      <c r="H184" s="48" t="n">
        <v>0.00435</v>
      </c>
      <c r="I184" s="48" t="n">
        <v>0.00435</v>
      </c>
      <c r="J184" s="48" t="n">
        <v>0.267958597</v>
      </c>
      <c r="K184" s="48" t="n">
        <v>0.335498728</v>
      </c>
      <c r="L184" s="48" t="n">
        <v>0.205025401</v>
      </c>
      <c r="M184" s="48" t="n">
        <v>0.289402193</v>
      </c>
      <c r="N184" s="48" t="n">
        <v>0.04664284</v>
      </c>
      <c r="O184" s="48" t="n">
        <v>0.04664284</v>
      </c>
      <c r="P184" s="48" t="n">
        <v>0.04664284</v>
      </c>
      <c r="Q184" s="48" t="n">
        <v>0.04664284</v>
      </c>
      <c r="R184" s="48" t="n">
        <v>0.00021</v>
      </c>
      <c r="S184" s="48" t="n">
        <v>0.00021</v>
      </c>
      <c r="T184" s="48" t="n">
        <v>0.00021</v>
      </c>
      <c r="U184" s="48" t="n">
        <v>0.00021</v>
      </c>
      <c r="V184" s="48" t="n">
        <v>0.3765</v>
      </c>
      <c r="W184" s="48" t="n">
        <v>0.3765</v>
      </c>
      <c r="X184" s="48" t="n">
        <v>0.3189</v>
      </c>
      <c r="Y184" s="48" t="n">
        <v>0.3189</v>
      </c>
      <c r="Z184" s="83" t="n">
        <v>0.125</v>
      </c>
      <c r="AA184" s="39" t="n">
        <v>750</v>
      </c>
      <c r="AB184" s="56" t="n">
        <v>0.0338</v>
      </c>
    </row>
    <row r="185">
      <c r="A185" s="67" t="n">
        <v>92</v>
      </c>
      <c r="B185" s="48" t="n">
        <v>0.0617723</v>
      </c>
      <c r="C185" s="48" t="n">
        <v>0.075679</v>
      </c>
      <c r="D185" s="48" t="n">
        <v>0.0479996</v>
      </c>
      <c r="E185" s="48" t="n">
        <v>0.0658591</v>
      </c>
      <c r="F185" s="48" t="n">
        <v>0.00445</v>
      </c>
      <c r="G185" s="48" t="n">
        <v>0.00445</v>
      </c>
      <c r="H185" s="48" t="n">
        <v>0.00435</v>
      </c>
      <c r="I185" s="48" t="n">
        <v>0.00435</v>
      </c>
      <c r="J185" s="48" t="n">
        <v>0.292677098</v>
      </c>
      <c r="K185" s="48" t="n">
        <v>0.358566984</v>
      </c>
      <c r="L185" s="48" t="n">
        <v>0.227422046</v>
      </c>
      <c r="M185" s="48" t="n">
        <v>0.312040297</v>
      </c>
      <c r="N185" s="48" t="n">
        <v>0.050309723</v>
      </c>
      <c r="O185" s="48" t="n">
        <v>0.050309723</v>
      </c>
      <c r="P185" s="48" t="n">
        <v>0.050309723</v>
      </c>
      <c r="Q185" s="48" t="n">
        <v>0.050309723</v>
      </c>
      <c r="R185" s="48" t="n">
        <v>0.00021</v>
      </c>
      <c r="S185" s="48" t="n">
        <v>0.00021</v>
      </c>
      <c r="T185" s="48" t="n">
        <v>0.00021</v>
      </c>
      <c r="U185" s="48" t="n">
        <v>0.00021</v>
      </c>
      <c r="V185" s="48" t="n">
        <v>0.3765</v>
      </c>
      <c r="W185" s="48" t="n">
        <v>0.3765</v>
      </c>
      <c r="X185" s="48" t="n">
        <v>0.3189</v>
      </c>
      <c r="Y185" s="48" t="n">
        <v>0.3189</v>
      </c>
      <c r="Z185" s="83" t="n">
        <v>0.125</v>
      </c>
      <c r="AA185" s="39" t="n">
        <v>750</v>
      </c>
      <c r="AB185" s="56" t="n">
        <v>0.0338</v>
      </c>
    </row>
    <row r="186">
      <c r="A186" s="67" t="n">
        <v>93</v>
      </c>
      <c r="B186" s="48" t="n">
        <v>0.0673559</v>
      </c>
      <c r="C186" s="48" t="n">
        <v>0.0807158</v>
      </c>
      <c r="D186" s="48" t="n">
        <v>0.0531951</v>
      </c>
      <c r="E186" s="48" t="n">
        <v>0.0708872</v>
      </c>
      <c r="F186" s="48" t="n">
        <v>0.00445</v>
      </c>
      <c r="G186" s="48" t="n">
        <v>0.00445</v>
      </c>
      <c r="H186" s="48" t="n">
        <v>0.00435</v>
      </c>
      <c r="I186" s="48" t="n">
        <v>0.00435</v>
      </c>
      <c r="J186" s="48" t="n">
        <v>0.319132195</v>
      </c>
      <c r="K186" s="48" t="n">
        <v>0.382431579</v>
      </c>
      <c r="L186" s="48" t="n">
        <v>0.252038206</v>
      </c>
      <c r="M186" s="48" t="n">
        <v>0.335863317</v>
      </c>
      <c r="N186" s="48" t="n">
        <v>0.054182465</v>
      </c>
      <c r="O186" s="48" t="n">
        <v>0.054182465</v>
      </c>
      <c r="P186" s="48" t="n">
        <v>0.054182465</v>
      </c>
      <c r="Q186" s="48" t="n">
        <v>0.054182465</v>
      </c>
      <c r="R186" s="48" t="n">
        <v>0.00021</v>
      </c>
      <c r="S186" s="48" t="n">
        <v>0.00021</v>
      </c>
      <c r="T186" s="48" t="n">
        <v>0.00021</v>
      </c>
      <c r="U186" s="48" t="n">
        <v>0.00021</v>
      </c>
      <c r="V186" s="48" t="n">
        <v>0.3765</v>
      </c>
      <c r="W186" s="48" t="n">
        <v>0.3765</v>
      </c>
      <c r="X186" s="48" t="n">
        <v>0.3189</v>
      </c>
      <c r="Y186" s="48" t="n">
        <v>0.3189</v>
      </c>
      <c r="Z186" s="83" t="n">
        <v>0.125</v>
      </c>
      <c r="AA186" s="39" t="n">
        <v>750</v>
      </c>
      <c r="AB186" s="56" t="n">
        <v>0.0338</v>
      </c>
    </row>
    <row r="187">
      <c r="A187" s="67" t="n">
        <v>94</v>
      </c>
      <c r="B187" s="48" t="n">
        <v>0.0733158</v>
      </c>
      <c r="C187" s="48" t="n">
        <v>0.08591</v>
      </c>
      <c r="D187" s="48" t="n">
        <v>0.0588944</v>
      </c>
      <c r="E187" s="48" t="n">
        <v>0.0761643</v>
      </c>
      <c r="F187" s="48" t="n">
        <v>0.00445</v>
      </c>
      <c r="G187" s="48" t="n">
        <v>0.00445</v>
      </c>
      <c r="H187" s="48" t="n">
        <v>0.00435</v>
      </c>
      <c r="I187" s="48" t="n">
        <v>0.00435</v>
      </c>
      <c r="J187" s="48" t="n">
        <v>0.34737026</v>
      </c>
      <c r="K187" s="48" t="n">
        <v>0.407041343</v>
      </c>
      <c r="L187" s="48" t="n">
        <v>0.279041786</v>
      </c>
      <c r="M187" s="48" t="n">
        <v>0.360866453</v>
      </c>
      <c r="N187" s="48" t="n">
        <v>0.058260868</v>
      </c>
      <c r="O187" s="48" t="n">
        <v>0.058260868</v>
      </c>
      <c r="P187" s="48" t="n">
        <v>0.058260868</v>
      </c>
      <c r="Q187" s="48" t="n">
        <v>0.058260868</v>
      </c>
      <c r="R187" s="48" t="n">
        <v>0.00021</v>
      </c>
      <c r="S187" s="48" t="n">
        <v>0.00021</v>
      </c>
      <c r="T187" s="48" t="n">
        <v>0.00021</v>
      </c>
      <c r="U187" s="48" t="n">
        <v>0.00021</v>
      </c>
      <c r="V187" s="48" t="n">
        <v>0.3765</v>
      </c>
      <c r="W187" s="48" t="n">
        <v>0.3765</v>
      </c>
      <c r="X187" s="48" t="n">
        <v>0.3189</v>
      </c>
      <c r="Y187" s="48" t="n">
        <v>0.3189</v>
      </c>
      <c r="Z187" s="83" t="n">
        <v>0.125</v>
      </c>
      <c r="AA187" s="39" t="n">
        <v>750</v>
      </c>
      <c r="AB187" s="56" t="n">
        <v>0.0338</v>
      </c>
    </row>
    <row r="188">
      <c r="A188" s="67" t="n">
        <v>95</v>
      </c>
      <c r="B188" s="48" t="n">
        <v>0.0796581</v>
      </c>
      <c r="C188" s="48" t="n">
        <v>0.0912495</v>
      </c>
      <c r="D188" s="48" t="n">
        <v>0.0651321</v>
      </c>
      <c r="E188" s="48" t="n">
        <v>0.0816882</v>
      </c>
      <c r="F188" s="48" t="n">
        <v>0.00445</v>
      </c>
      <c r="G188" s="48" t="n">
        <v>0.00445</v>
      </c>
      <c r="H188" s="48" t="n">
        <v>0.00435</v>
      </c>
      <c r="I188" s="48" t="n">
        <v>0.00435</v>
      </c>
      <c r="J188" s="48" t="n">
        <v>0.377420078</v>
      </c>
      <c r="K188" s="48" t="n">
        <v>0.432340309</v>
      </c>
      <c r="L188" s="48" t="n">
        <v>0.30859589</v>
      </c>
      <c r="M188" s="48" t="n">
        <v>0.387038514</v>
      </c>
      <c r="N188" s="48" t="n">
        <v>0.062542879</v>
      </c>
      <c r="O188" s="48" t="n">
        <v>0.062542879</v>
      </c>
      <c r="P188" s="48" t="n">
        <v>0.062542879</v>
      </c>
      <c r="Q188" s="48" t="n">
        <v>0.062542879</v>
      </c>
      <c r="R188" s="48" t="n">
        <v>0.00021</v>
      </c>
      <c r="S188" s="48" t="n">
        <v>0.00021</v>
      </c>
      <c r="T188" s="48" t="n">
        <v>0.00021</v>
      </c>
      <c r="U188" s="48" t="n">
        <v>0.00021</v>
      </c>
      <c r="V188" s="48" t="n">
        <v>0.3765</v>
      </c>
      <c r="W188" s="48" t="n">
        <v>0.3765</v>
      </c>
      <c r="X188" s="48" t="n">
        <v>0.3189</v>
      </c>
      <c r="Y188" s="48" t="n">
        <v>0.3189</v>
      </c>
      <c r="Z188" s="83" t="n">
        <v>0.125</v>
      </c>
      <c r="AA188" s="39" t="n">
        <v>750</v>
      </c>
      <c r="AB188" s="56" t="n">
        <v>0.0338</v>
      </c>
    </row>
    <row r="189">
      <c r="A189" s="67" t="n">
        <v>96</v>
      </c>
      <c r="B189" s="48" t="n">
        <v>0.08638750000000001</v>
      </c>
      <c r="C189" s="48" t="n">
        <v>0.0967208</v>
      </c>
      <c r="D189" s="48" t="n">
        <v>0.07194150000000001</v>
      </c>
      <c r="E189" s="48" t="n">
        <v>0.0874537</v>
      </c>
      <c r="F189" s="48" t="n">
        <v>0.00445</v>
      </c>
      <c r="G189" s="48" t="n">
        <v>0.00445</v>
      </c>
      <c r="H189" s="48" t="n">
        <v>0.00435</v>
      </c>
      <c r="I189" s="48" t="n">
        <v>0.00435</v>
      </c>
      <c r="J189" s="48" t="n">
        <v>0.409304034</v>
      </c>
      <c r="K189" s="48" t="n">
        <v>0.458262914</v>
      </c>
      <c r="L189" s="48" t="n">
        <v>0.340858827</v>
      </c>
      <c r="M189" s="48" t="n">
        <v>0.414355512</v>
      </c>
      <c r="N189" s="48" t="n">
        <v>0.06702443299999999</v>
      </c>
      <c r="O189" s="48" t="n">
        <v>0.06702443299999999</v>
      </c>
      <c r="P189" s="48" t="n">
        <v>0.06702443299999999</v>
      </c>
      <c r="Q189" s="48" t="n">
        <v>0.06702443299999999</v>
      </c>
      <c r="R189" s="48" t="n">
        <v>0.00021</v>
      </c>
      <c r="S189" s="48" t="n">
        <v>0.00021</v>
      </c>
      <c r="T189" s="48" t="n">
        <v>0.00021</v>
      </c>
      <c r="U189" s="48" t="n">
        <v>0.00021</v>
      </c>
      <c r="V189" s="48" t="n">
        <v>0.3765</v>
      </c>
      <c r="W189" s="48" t="n">
        <v>0.3765</v>
      </c>
      <c r="X189" s="48" t="n">
        <v>0.3189</v>
      </c>
      <c r="Y189" s="48" t="n">
        <v>0.3189</v>
      </c>
      <c r="Z189" s="83" t="n">
        <v>0.125</v>
      </c>
      <c r="AA189" s="39" t="n">
        <v>750</v>
      </c>
      <c r="AB189" s="56" t="n">
        <v>0.0338</v>
      </c>
    </row>
    <row r="190">
      <c r="A190" s="67" t="n">
        <v>97</v>
      </c>
      <c r="B190" s="48" t="n">
        <v>0.0935037</v>
      </c>
      <c r="C190" s="48" t="n">
        <v>0.1023094</v>
      </c>
      <c r="D190" s="48" t="n">
        <v>0.07935399999999999</v>
      </c>
      <c r="E190" s="48" t="n">
        <v>0.09345440000000001</v>
      </c>
      <c r="F190" s="48" t="n">
        <v>0.00445</v>
      </c>
      <c r="G190" s="48" t="n">
        <v>0.00445</v>
      </c>
      <c r="H190" s="48" t="n">
        <v>0.00435</v>
      </c>
      <c r="I190" s="48" t="n">
        <v>0.00435</v>
      </c>
      <c r="J190" s="48" t="n">
        <v>0.443020531</v>
      </c>
      <c r="K190" s="48" t="n">
        <v>0.484741996</v>
      </c>
      <c r="L190" s="48" t="n">
        <v>0.375979311</v>
      </c>
      <c r="M190" s="48" t="n">
        <v>0.442787066</v>
      </c>
      <c r="N190" s="48" t="n">
        <v>0.071699312</v>
      </c>
      <c r="O190" s="48" t="n">
        <v>0.071699312</v>
      </c>
      <c r="P190" s="48" t="n">
        <v>0.071699312</v>
      </c>
      <c r="Q190" s="48" t="n">
        <v>0.071699312</v>
      </c>
      <c r="R190" s="48" t="n">
        <v>0.00021</v>
      </c>
      <c r="S190" s="48" t="n">
        <v>0.00021</v>
      </c>
      <c r="T190" s="48" t="n">
        <v>0.00021</v>
      </c>
      <c r="U190" s="48" t="n">
        <v>0.00021</v>
      </c>
      <c r="V190" s="48" t="n">
        <v>0.3765</v>
      </c>
      <c r="W190" s="48" t="n">
        <v>0.3765</v>
      </c>
      <c r="X190" s="48" t="n">
        <v>0.3189</v>
      </c>
      <c r="Y190" s="48" t="n">
        <v>0.3189</v>
      </c>
      <c r="Z190" s="83" t="n">
        <v>0.125</v>
      </c>
      <c r="AA190" s="39" t="n">
        <v>750</v>
      </c>
      <c r="AB190" s="56" t="n">
        <v>0.0338</v>
      </c>
    </row>
    <row r="191">
      <c r="A191" s="67" t="n">
        <v>98</v>
      </c>
      <c r="B191" s="48" t="n">
        <v>0.1010033</v>
      </c>
      <c r="C191" s="48" t="n">
        <v>0.107999</v>
      </c>
      <c r="D191" s="48" t="n">
        <v>0.08739769999999999</v>
      </c>
      <c r="E191" s="48" t="n">
        <v>0.09968200000000001</v>
      </c>
      <c r="F191" s="48" t="n">
        <v>0.00445</v>
      </c>
      <c r="G191" s="48" t="n">
        <v>0.00445</v>
      </c>
      <c r="H191" s="48" t="n">
        <v>0.00435</v>
      </c>
      <c r="I191" s="48" t="n">
        <v>0.00435</v>
      </c>
      <c r="J191" s="48" t="n">
        <v>0.478553576</v>
      </c>
      <c r="K191" s="48" t="n">
        <v>0.511699203</v>
      </c>
      <c r="L191" s="48" t="n">
        <v>0.414090066</v>
      </c>
      <c r="M191" s="48" t="n">
        <v>0.472293198</v>
      </c>
      <c r="N191" s="48" t="n">
        <v>0.076559051</v>
      </c>
      <c r="O191" s="48" t="n">
        <v>0.076559051</v>
      </c>
      <c r="P191" s="48" t="n">
        <v>0.076559051</v>
      </c>
      <c r="Q191" s="48" t="n">
        <v>0.076559051</v>
      </c>
      <c r="R191" s="48" t="n">
        <v>0.00021</v>
      </c>
      <c r="S191" s="48" t="n">
        <v>0.00021</v>
      </c>
      <c r="T191" s="48" t="n">
        <v>0.00021</v>
      </c>
      <c r="U191" s="48" t="n">
        <v>0.00021</v>
      </c>
      <c r="V191" s="48" t="n">
        <v>0.3765</v>
      </c>
      <c r="W191" s="48" t="n">
        <v>0.3765</v>
      </c>
      <c r="X191" s="48" t="n">
        <v>0.3189</v>
      </c>
      <c r="Y191" s="48" t="n">
        <v>0.3189</v>
      </c>
      <c r="Z191" s="83" t="n">
        <v>0.125</v>
      </c>
      <c r="AA191" s="39" t="n">
        <v>750</v>
      </c>
      <c r="AB191" s="56" t="n">
        <v>0.0338</v>
      </c>
    </row>
    <row r="192">
      <c r="A192" s="67" t="n">
        <v>99</v>
      </c>
      <c r="B192" s="48" t="n">
        <v>0.1088795</v>
      </c>
      <c r="C192" s="48" t="n">
        <v>0.1137729</v>
      </c>
      <c r="D192" s="48" t="n">
        <v>0.0960954</v>
      </c>
      <c r="E192" s="48" t="n">
        <v>0.1061249</v>
      </c>
      <c r="F192" s="48" t="n">
        <v>0.00445</v>
      </c>
      <c r="G192" s="48" t="n">
        <v>0.00445</v>
      </c>
      <c r="H192" s="48" t="n">
        <v>0.00435</v>
      </c>
      <c r="I192" s="48" t="n">
        <v>0.00435</v>
      </c>
      <c r="J192" s="48" t="n">
        <v>0.515871189</v>
      </c>
      <c r="K192" s="48" t="n">
        <v>0.5390561780000001</v>
      </c>
      <c r="L192" s="48" t="n">
        <v>0.455299828</v>
      </c>
      <c r="M192" s="48" t="n">
        <v>0.502819539</v>
      </c>
      <c r="N192" s="48" t="n">
        <v>0.081592887</v>
      </c>
      <c r="O192" s="48" t="n">
        <v>0.081592887</v>
      </c>
      <c r="P192" s="48" t="n">
        <v>0.081592887</v>
      </c>
      <c r="Q192" s="48" t="n">
        <v>0.081592887</v>
      </c>
      <c r="R192" s="48" t="n">
        <v>0.00021</v>
      </c>
      <c r="S192" s="48" t="n">
        <v>0.00021</v>
      </c>
      <c r="T192" s="48" t="n">
        <v>0.00021</v>
      </c>
      <c r="U192" s="48" t="n">
        <v>0.00021</v>
      </c>
      <c r="V192" s="48" t="n">
        <v>0.3765</v>
      </c>
      <c r="W192" s="48" t="n">
        <v>0.3765</v>
      </c>
      <c r="X192" s="48" t="n">
        <v>0.3189</v>
      </c>
      <c r="Y192" s="48" t="n">
        <v>0.3189</v>
      </c>
      <c r="Z192" s="83" t="n">
        <v>0.125</v>
      </c>
      <c r="AA192" s="39" t="n">
        <v>750</v>
      </c>
      <c r="AB192" s="56" t="n">
        <v>0.0338</v>
      </c>
    </row>
    <row r="193">
      <c r="A193" s="67" t="n">
        <v>100</v>
      </c>
      <c r="B193" s="48" t="n">
        <v>0.1170312</v>
      </c>
      <c r="C193" s="48" t="n">
        <v>0.1205985</v>
      </c>
      <c r="D193" s="48" t="n">
        <v>0.1053638</v>
      </c>
      <c r="E193" s="48" t="n">
        <v>0.1136832</v>
      </c>
      <c r="F193" s="48" t="n">
        <v>0.00445</v>
      </c>
      <c r="G193" s="48" t="n">
        <v>0.00445</v>
      </c>
      <c r="H193" s="48" t="n">
        <v>0.00435</v>
      </c>
      <c r="I193" s="48" t="n">
        <v>0.00435</v>
      </c>
      <c r="J193" s="48" t="n">
        <v>0.554493648</v>
      </c>
      <c r="K193" s="48" t="n">
        <v>0.571395871</v>
      </c>
      <c r="L193" s="48" t="n">
        <v>0.499213625</v>
      </c>
      <c r="M193" s="48" t="n">
        <v>0.538630824</v>
      </c>
      <c r="N193" s="48" t="n">
        <v>0.087701617</v>
      </c>
      <c r="O193" s="48" t="n">
        <v>0.087701617</v>
      </c>
      <c r="P193" s="48" t="n">
        <v>0.087701617</v>
      </c>
      <c r="Q193" s="48" t="n">
        <v>0.087701617</v>
      </c>
      <c r="R193" s="48" t="n">
        <v>0.00021</v>
      </c>
      <c r="S193" s="48" t="n">
        <v>0.00021</v>
      </c>
      <c r="T193" s="48" t="n">
        <v>0.00021</v>
      </c>
      <c r="U193" s="48" t="n">
        <v>0.00021</v>
      </c>
      <c r="V193" s="48" t="n">
        <v>0.3765</v>
      </c>
      <c r="W193" s="48" t="n">
        <v>0.3765</v>
      </c>
      <c r="X193" s="48" t="n">
        <v>0.3189</v>
      </c>
      <c r="Y193" s="48" t="n">
        <v>0.3189</v>
      </c>
      <c r="Z193" s="83" t="n">
        <v>0.125</v>
      </c>
      <c r="AA193" s="39" t="n">
        <v>750</v>
      </c>
      <c r="AB193" s="56" t="n">
        <v>0.0338</v>
      </c>
    </row>
  </sheetData>
  <autoFilter ref="A5:B10"/>
  <mergeCells count="24">
    <mergeCell ref="J109:M109"/>
    <mergeCell ref="A64:H64"/>
    <mergeCell ref="Z109:AB109"/>
    <mergeCell ref="J19:Q19"/>
    <mergeCell ref="J4:L4"/>
    <mergeCell ref="J37:Q37"/>
    <mergeCell ref="V109:Y109"/>
    <mergeCell ref="O4:Q8"/>
    <mergeCell ref="B109:E109"/>
    <mergeCell ref="N109:Q109"/>
    <mergeCell ref="A46:H46"/>
    <mergeCell ref="A27:H27"/>
    <mergeCell ref="A21:H21"/>
    <mergeCell ref="A1:G1"/>
    <mergeCell ref="A88:M88"/>
    <mergeCell ref="A4:H4"/>
    <mergeCell ref="A81:H81"/>
    <mergeCell ref="A72:H72"/>
    <mergeCell ref="F109:I109"/>
    <mergeCell ref="A108:AB108"/>
    <mergeCell ref="A13:H13"/>
    <mergeCell ref="A2:G2"/>
    <mergeCell ref="A19:H19"/>
    <mergeCell ref="R109:U109"/>
  </mergeCells>
  <pageMargins left="0.75" right="0.75" top="1" bottom="1" header="0.5" footer="0.5"/>
</worksheet>
</file>

<file path=xl/worksheets/sheet16.xml><?xml version="1.0" encoding="utf-8"?>
<worksheet xmlns="http://schemas.openxmlformats.org/spreadsheetml/2006/main">
  <sheetPr>
    <tabColor rgb="009B1D20"/>
    <outlinePr summaryBelow="1" summaryRight="1"/>
    <pageSetUpPr/>
  </sheetPr>
  <dimension ref="A1:F17"/>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42" customWidth="1" min="3" max="3"/>
    <col width="52" customWidth="1" min="4" max="4"/>
    <col width="36" customWidth="1" min="5" max="5"/>
    <col width="48" customWidth="1" min="6" max="6"/>
  </cols>
  <sheetData>
    <row r="1">
      <c r="A1" s="1" t="inlineStr">
        <is>
          <t>Open issues — multi-currency and multi-country</t>
        </is>
      </c>
    </row>
    <row r="2" ht="36" customHeight="1">
      <c r="A2" s="2" t="inlineStr">
        <is>
          <t>V0-15: USD is the system currency. Inputs convert from the user currency, every calculator and validation runs in USD, results convert back and round in the user currency. What remains is below.</t>
        </is>
      </c>
    </row>
    <row r="3">
      <c r="A3" s="3" t="inlineStr">
        <is>
          <t>#</t>
        </is>
      </c>
      <c r="B3" s="3" t="inlineStr">
        <is>
          <t>Component</t>
        </is>
      </c>
      <c r="C3" s="3" t="inlineStr">
        <is>
          <t>Open issue</t>
        </is>
      </c>
      <c r="D3" s="3" t="inlineStr">
        <is>
          <t>Today</t>
        </is>
      </c>
      <c r="E3" s="3" t="inlineStr">
        <is>
          <t>Needed for multi-country</t>
        </is>
      </c>
      <c r="F3" s="3" t="inlineStr">
        <is>
          <t>Where</t>
        </is>
      </c>
    </row>
    <row r="4" ht="68" customHeight="1">
      <c r="A4" s="4" t="inlineStr">
        <is>
          <t>1</t>
        </is>
      </c>
      <c r="B4" s="4" t="inlineStr">
        <is>
          <t>Fixed amounts in USD — code still SGD</t>
        </is>
      </c>
      <c r="C4" s="4" t="inlineStr">
        <is>
          <t>V0-15 Excel: every fixed amount is USD (CI/TPD/EDU, home seed, rounding steps, HappiU envelope) and the calculators run in USD. The code still holds SGD constants and computes in session currency.</t>
        </is>
      </c>
      <c r="D4" s="4" t="inlineStr">
        <is>
          <t>Excel: done (Singapore results unchanged). Code: goal_math.py CI_COST TPD_COST EDU_TOTAL_COST, predict.py seed_property_value, planProducts.ts steps, hu_payload.py still SGD.</t>
        </is>
      </c>
      <c r="E4" s="4" t="inlineStr">
        <is>
          <t>Port the USD pipeline to the code: convert in, calculate, convert back, round in user currency.</t>
        </is>
      </c>
      <c r="F4" s="4" t="inlineStr">
        <is>
          <t>src/pipeline/goal_math.py; src/predict.py; frontend/src/lib/planProducts.ts; src/hu_payload.py</t>
        </is>
      </c>
    </row>
    <row r="5" ht="68" customHeight="1">
      <c r="A5" s="4" t="inlineStr">
        <is>
          <t>2</t>
        </is>
      </c>
      <c r="B5" s="4" t="inlineStr">
        <is>
          <t>Need Profiler FX is market FX, not PPP</t>
        </is>
      </c>
      <c r="C5" s="4" t="inlineStr">
        <is>
          <t>Income/expense/assets convert local × market USD-per-local, then USD bands. Cost of living is not adjusted.</t>
        </is>
      </c>
      <c r="D5" s="4" t="inlineStr">
        <is>
          <t>src/fx.py rates match the FX tab. Bands in Need_profiler.json (lt).</t>
        </is>
      </c>
      <c r="E5" s="4" t="inlineStr">
        <is>
          <t>Purchasing-power (PPP) rates if “middle class” should mean the same living standard across countries.</t>
        </is>
      </c>
      <c r="F5" s="4" t="inlineStr">
        <is>
          <t>src/fx.py; Need_profiler.json weight_options Income/Expense/Assets/Liabilities</t>
        </is>
      </c>
    </row>
    <row r="6" ht="68" customHeight="1">
      <c r="A6" s="4" t="inlineStr">
        <is>
          <t>3</t>
        </is>
      </c>
      <c r="B6" s="4" t="inlineStr">
        <is>
          <t>Need Profiler × People Like You enums</t>
        </is>
      </c>
      <c r="C6" s="4" t="inlineStr">
        <is>
          <t>PLU lifestyle/ward/sports strings do not match profiler options, so those flags score 0 in every country.</t>
        </is>
      </c>
      <c r="D6" s="4" t="inlineStr">
        <is>
          <t>PLU: Basic|Comfortable|Luxurious, Single|Double|Ward. Profiler: frugal|stress-free|only the best, A|B.</t>
        </is>
      </c>
      <c r="E6" s="4" t="inlineStr">
        <is>
          <t>One vocabulary in both prompts (or an explicit map). Same issue in every market.</t>
        </is>
      </c>
      <c r="F6" s="4" t="inlineStr">
        <is>
          <t>people_like_you_all_fields.json; Need_profiler.json Lifestyle / Ward / Sports</t>
        </is>
      </c>
    </row>
    <row r="7" ht="68" customHeight="1">
      <c r="A7" s="4" t="inlineStr">
        <is>
          <t>4</t>
        </is>
      </c>
      <c r="B7" s="4" t="inlineStr">
        <is>
          <t>Need Profiler existing cover / ownership</t>
        </is>
      </c>
      <c r="C7" s="4" t="inlineStr">
        <is>
          <t>Existing cover is hard-coded 0. Car/home/travel weights have no option labels. A scoring redesign may be required.</t>
        </is>
      </c>
      <c r="D7" s="4" t="inlineStr">
        <is>
          <t>build_profiler_profile Existing*Coverage = 0. Ownership stored, score unchanged.</t>
        </is>
      </c>
      <c r="E7" s="4" t="inlineStr">
        <is>
          <t>Wire policies into Existing*Coverage and add weight_options. Redesign if the factor model cannot take cover/ownership.</t>
        </is>
      </c>
      <c r="F7" s="4" t="inlineStr">
        <is>
          <t>src/pipeline/onboarding.py; need_profiler.py</t>
        </is>
      </c>
    </row>
    <row r="8" ht="68" customHeight="1">
      <c r="A8" s="4" t="inlineStr">
        <is>
          <t>5</t>
        </is>
      </c>
      <c r="B8" s="4" t="inlineStr">
        <is>
          <t>Plan dummy premium</t>
        </is>
      </c>
      <c r="C8" s="4" t="inlineStr">
        <is>
          <t>Protection premium is a 0.00078 placeholder, not a quoted tariff, and is not country-specific.</t>
        </is>
      </c>
      <c r="D8" s="4" t="inlineStr">
        <is>
          <t>coverPremiumFor(sum) dummy. Labelled in Plan-calculator.md, planProducts.ts, this workbook.</t>
        </is>
      </c>
      <c r="E8" s="4" t="inlineStr">
        <is>
          <t>Premium-quote calculator API per market / product.</t>
        </is>
      </c>
      <c r="F8" s="4" t="inlineStr">
        <is>
          <t>frontend/src/lib/planProducts.ts coverPremiumFor</t>
        </is>
      </c>
    </row>
    <row r="9" ht="68" customHeight="1">
      <c r="A9" s="4" t="inlineStr">
        <is>
          <t>6</t>
        </is>
      </c>
      <c r="B9" s="4" t="inlineStr">
        <is>
          <t>Social security is a Singapore plug-in only</t>
        </is>
      </c>
      <c r="C9" s="4" t="inlineStr">
        <is>
          <t>The CPF tab is the SG-CPF module. Every other country gets the default module (no contribution, take-home = gross).</t>
        </is>
      </c>
      <c r="D9" s="4" t="inlineStr">
        <is>
          <t>CPF tab: module per country. Scenario Visualizer and HappiU still run their own Singapore CPF engines.</t>
        </is>
      </c>
      <c r="E9" s="4" t="inlineStr">
        <is>
          <t>One plug-in interface (gross, age, residency, country → contribution, take-home) used by GP, HappiU and SV; add modules per market.</t>
        </is>
      </c>
      <c r="F9" s="4" t="inlineStr">
        <is>
          <t>src/cpf.py; SV SocialSecurityR_SGP; HU CPF</t>
        </is>
      </c>
    </row>
    <row r="10" ht="68" customHeight="1">
      <c r="A10" s="4" t="inlineStr">
        <is>
          <t>7</t>
        </is>
      </c>
      <c r="B10" s="4" t="inlineStr">
        <is>
          <t>FX feed and session lock</t>
        </is>
      </c>
      <c r="C10" s="4" t="inlineStr">
        <is>
          <t>src/fx.py is a hard-coded table of 9 currencies and falls back to the SGD rate for an unknown currency. The rate is not locked on the session.</t>
        </is>
      </c>
      <c r="D10" s="4" t="inlineStr">
        <is>
          <t>Excel V0-22: 152 currencies (market rate 2026-09-25), unknown currency → #N/A. Code: 9 currencies, silent SGD fallback.</t>
        </is>
      </c>
      <c r="E10" s="4" t="inlineStr">
        <is>
          <t>Live FX feed; store the rate on the session when it starts; error on unknown currency.</t>
        </is>
      </c>
      <c r="F10" s="4" t="inlineStr">
        <is>
          <t>src/fx.py usd_per_local</t>
        </is>
      </c>
    </row>
    <row r="11" ht="68" customHeight="1">
      <c r="A11" s="4" t="inlineStr">
        <is>
          <t>8</t>
        </is>
      </c>
      <c r="B11" s="4" t="inlineStr">
        <is>
          <t>HappiU and SV engine constants</t>
        </is>
      </c>
      <c r="C11" s="4" t="inlineStr">
        <is>
          <t>V0-21 decided: GP sends CRI_COST, TPD_COST, the life-expectancy default and cap to HappiU and SV; stress sizes are USD on Assumptions. Left: SV CPF tables (SG-CPF plug-in).</t>
        </is>
      </c>
      <c r="D11" s="4" t="inlineStr">
        <is>
          <t>Workbook: HappiU and SV tabs read the sent values. Code: hu_payload.py / sv_payload.py do not send them yet; stressEvents.ts still SGD and year offsets.</t>
        </is>
      </c>
      <c r="E11" s="4" t="inlineStr">
        <is>
          <t>Send the values in hu_payload.py / sv_payload.py; move stressEvents.ts to USD sizes and ages.</t>
        </is>
      </c>
      <c r="F11" s="4" t="inlineStr">
        <is>
          <t>HU ciAssumptions / ProductPTD; frontend/src/lib/stressEvents.ts; SV helium conf</t>
        </is>
      </c>
    </row>
    <row r="12" ht="68" customHeight="1">
      <c r="A12" s="4" t="inlineStr">
        <is>
          <t>9</t>
        </is>
      </c>
      <c r="B12" s="4" t="inlineStr">
        <is>
          <t>PPP price level: done in Excel, not in code</t>
        </is>
      </c>
      <c r="C12" s="4" t="inlineStr">
        <is>
          <t>V0-22: price level per country = World Bank PPP ÷ 2024 market rate, relative to Singapore; multiplies USD fixed amounts and Need Profiler bands. 59 of 245 countries have no usable PPP (fall back to market rate).</t>
        </is>
      </c>
      <c r="D12" s="4" t="inlineStr">
        <is>
          <t>Excel: priceLevelOn = TRUE, 186 countries with a price level. Code: none.</t>
        </is>
      </c>
      <c r="E12" s="4" t="inlineStr">
        <is>
          <t>Ship countries_ppp.csv with the code (yearly refresh) and apply the relative price level in goal_math.py / predict.py / need_profiler.py.</t>
        </is>
      </c>
      <c r="F12" s="4" t="inlineStr">
        <is>
          <t>fx_ppp/countries_ppp.csv; FX tab N:U; src/fx.py</t>
        </is>
      </c>
    </row>
    <row r="13" ht="68" customHeight="1">
      <c r="A13" s="4" t="inlineStr">
        <is>
          <t>10</t>
        </is>
      </c>
      <c r="B13" s="4" t="inlineStr">
        <is>
          <t>N_PAC agreed, not yet in code or HappiU</t>
        </is>
      </c>
      <c r="C13" s="4" t="inlineStr">
        <is>
          <t>Personal accident: annuity-due of income for PAC_YEARS (1) + PAC_COST (USD 59,200). Agreed V0-18.</t>
        </is>
      </c>
      <c r="D13" s="4" t="inlineStr">
        <is>
          <t>Excel only. The HU engine already supports N_PAC; GP does not send it. Premium flows to Scenario Visualizer.</t>
        </is>
      </c>
      <c r="E13" s="4" t="inlineStr">
        <is>
          <t>Add N_PAC to goal_math.py, need_profiler.py, planProducts.ts, hu_payload.py (send to HappiU).</t>
        </is>
      </c>
      <c r="F13" s="4" t="inlineStr">
        <is>
          <t>Assumptions PAC_YEARS / PAC_COST; Need Calculator N_PAC</t>
        </is>
      </c>
    </row>
    <row r="14" ht="68" customHeight="1">
      <c r="A14" s="4" t="inlineStr">
        <is>
          <t>11</t>
        </is>
      </c>
      <c r="B14" s="4" t="inlineStr">
        <is>
          <t>N_PRP has no profiler label</t>
        </is>
      </c>
      <c r="C14" s="4" t="inlineStr">
        <is>
          <t>Home purchase is separated from Home Protection (N_HOM, parked). No profiler label scores home purchase, so N_PRP is never switched on automatically.</t>
        </is>
      </c>
      <c r="D14" s="4" t="inlineStr">
        <is>
          <t>Need Profiler: N_PRP calc on = FALSE; customer switches it on.</t>
        </is>
      </c>
      <c r="E14" s="4" t="inlineStr">
        <is>
          <t>Add a Home Purchase label with factor weights to Need_profiler.json if the profiler should propose it.</t>
        </is>
      </c>
      <c r="F14" s="4" t="inlineStr">
        <is>
          <t>Need_profiler.json; need_profiler.py select_unified_top</t>
        </is>
      </c>
    </row>
    <row r="15" ht="68" customHeight="1">
      <c r="A15" s="4" t="inlineStr">
        <is>
          <t>14</t>
        </is>
      </c>
      <c r="B15" s="4" t="inlineStr">
        <is>
          <t>N_LTC not in code, HappiU or the social-scheme plug-in</t>
        </is>
      </c>
      <c r="C15" s="4" t="inlineStr">
        <is>
          <t>Long-term care: annuity-due of LTC_COST (USD 129,000 a year) from LTC start age (80) to life expectancy. No existing cover or social scheme (e.g. Singapore CareShield Life) is deducted. The R_LTC stress-event size (S$90,000 a year, years 30–35) is not linked to LTC_COST.</t>
        </is>
      </c>
      <c r="D15" s="4" t="inlineStr">
        <is>
          <t>Excel only. Premium flows to Budget and Scenario Visualizer; HappiU has no LTC goal.</t>
        </is>
      </c>
      <c r="E15" s="4" t="inlineStr">
        <is>
          <t>Add N_LTC to the code; decide whether R_LTC should use LTC_COST and LTC start age; add a social-scheme offset as a country plug-in.</t>
        </is>
      </c>
      <c r="F15" s="4" t="inlineStr">
        <is>
          <t>Assumptions LTC_COST / LTC_START_AGE; Need Calculator N_LTC; stressEvents.ts care</t>
        </is>
      </c>
    </row>
    <row r="16" ht="68" customHeight="1">
      <c r="A16" s="4" t="inlineStr">
        <is>
          <t>12</t>
        </is>
      </c>
      <c r="B16" s="4" t="inlineStr">
        <is>
          <t>Code still uses the old names</t>
        </is>
      </c>
      <c r="C16" s="4" t="inlineStr">
        <is>
          <t>Parameters were renamed to the N_ / R_ / prefix convention (Dictionary tab). Farewell dropped; N_HOM / N_CAR / N_TRV parked.</t>
        </is>
      </c>
      <c r="D16" s="4" t="inlineStr">
        <is>
          <t>Excel and docs only.</t>
        </is>
      </c>
      <c r="E16" s="4" t="inlineStr">
        <is>
          <t>Rename in goal_math.py, stressEvents.ts, need_profiler.py; drop farewell label and funeral lump.</t>
        </is>
      </c>
      <c r="F16" s="4" t="inlineStr">
        <is>
          <t>Dictionary tab; Dictionary.md</t>
        </is>
      </c>
    </row>
    <row r="17" ht="68" customHeight="1">
      <c r="A17" s="4" t="inlineStr">
        <is>
          <t>13</t>
        </is>
      </c>
      <c r="B17" s="4" t="inlineStr">
        <is>
          <t>One code per need across GP and HappiU</t>
        </is>
      </c>
      <c r="C17" s="4" t="inlineStr">
        <is>
          <t>GP says N_HOS, HappiU N_HSP (hu_payload.py renames it). HappiU's disability product and rates are named PTD; GP uses TPD.</t>
        </is>
      </c>
      <c r="D17" s="4" t="inlineStr">
        <is>
          <t>Workbook shows TPD everywhere; HU engine unchanged.</t>
        </is>
      </c>
      <c r="E17" s="4" t="inlineStr">
        <is>
          <t>Rename in HU (N_HSP → N_HOS, PTD → TPD) or keep one mapping table in hu_payload.py and document it.</t>
        </is>
      </c>
      <c r="F17" s="4" t="inlineStr">
        <is>
          <t>HU CashflowHandler, ProductPTD, ptd_rate.csv; src/hu_payload.py</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tabColor rgb="00404040"/>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9" customWidth="1" min="1" max="1"/>
    <col width="12" customWidth="1" min="2" max="2"/>
    <col width="20" customWidth="1" min="3" max="3"/>
    <col width="70" customWidth="1" min="4" max="4"/>
    <col width="45" customWidth="1" min="5" max="5"/>
    <col width="45" customWidth="1" min="6" max="6"/>
  </cols>
  <sheetData>
    <row r="1">
      <c r="A1" s="1" t="inlineStr">
        <is>
          <t>Change log — model changes by version (newest first)</t>
        </is>
      </c>
    </row>
    <row r="2">
      <c r="A2" s="2" t="inlineStr">
        <is>
          <t>Workflow: change the Excel first, then the docs, then the code. The Status column says whether the code already follows. Same rows as CHANGELOG.md in this folder.</t>
        </is>
      </c>
    </row>
    <row r="3">
      <c r="A3" s="3" t="inlineStr">
        <is>
          <t>Version</t>
        </is>
      </c>
      <c r="B3" s="3" t="inlineStr">
        <is>
          <t>Date</t>
        </is>
      </c>
      <c r="C3" s="3" t="inlineStr">
        <is>
          <t>Component</t>
        </is>
      </c>
      <c r="D3" s="3" t="inlineStr">
        <is>
          <t>Change</t>
        </is>
      </c>
      <c r="E3" s="3" t="inlineStr">
        <is>
          <t>Where in the workbook</t>
        </is>
      </c>
      <c r="F3" s="3" t="inlineStr">
        <is>
          <t>Code status</t>
        </is>
      </c>
    </row>
    <row r="4">
      <c r="A4" s="84" t="inlineStr">
        <is>
          <t>V0-22</t>
        </is>
      </c>
      <c r="B4" s="84" t="inlineStr">
        <is>
          <t>2026-09-26</t>
        </is>
      </c>
      <c r="C4" s="84" t="inlineStr">
        <is>
          <t>FX and PPP</t>
        </is>
      </c>
      <c r="D4" s="84" t="inlineStr">
        <is>
          <t>Rate table extended to 152 currencies (market rate 2026-09-25) and a PPP table for 245 countries (World Bank PPP, 2024 average market rate, price level US = 1; 186 usable). Price level is per country, relative to PPP_BASE_COUNTRY (Singapore). Option B switched on: USD fixed amounts × relative price level; Need Profiler compares PPP-USD. Singapore is unchanged by PPP, but the new SGD rate (0.7816, was 0.74) lowers SGD fixed amounts by 5.3%.</t>
        </is>
      </c>
      <c r="E4" s="84" t="inlineStr">
        <is>
          <t>FX tab; fx_ppp/*.csv; Assumptions priceLevelOn, fxMode, PPP_BASE_COUNTRY; Need Profiler usd rows.</t>
        </is>
      </c>
      <c r="F4" s="84" t="inlineStr">
        <is>
          <t>Not in code (src/fx.py 9 currencies).</t>
        </is>
      </c>
    </row>
    <row r="5">
      <c r="A5" s="84" t="inlineStr">
        <is>
          <t>V0-21</t>
        </is>
      </c>
      <c r="B5" s="84" t="inlineStr">
        <is>
          <t>2026-09-26</t>
        </is>
      </c>
      <c r="C5" s="84" t="inlineStr">
        <is>
          <t>Assumptions / stress events / HappiU / SV</t>
        </is>
      </c>
      <c r="D5" s="84" t="inlineStr">
        <is>
          <t>Parameter review merged into Assumptions (unit, currency, status, code source, changed in, open proposal); review tab removed. Life expectancy: one default (85), cap LON_AGE 99; GP sends them to HappiU (default was 83) and SV (path now ends at 99, was 100); chart horizon = session life expectancy. GP sends CRI_COST and TPD_COST to HappiU (were HU 200,000 / 444,000). CRI_MEDICAL_HU merged into CRI_COST. MIN_EXPENSE_MONTHLY USD 100 floor on spend. Stress events: sizes in USD, personal risks by age (R_DEA 60, R_CRI 55, R_TPD 50, R_PAC 45, R_HOS 50, R_LTC LTC start age → life expectancy), R_WED / R_BAB years 5 / 3; SV tab applies them when switched on.</t>
        </is>
      </c>
      <c r="E5" s="84" t="inlineStr">
        <is>
          <t>Assumptions; People Like You; HappiU; Scenario Visualizer; Dictionary; Discrepancies 8.</t>
        </is>
      </c>
      <c r="F5" s="84" t="inlineStr">
        <is>
          <t>Not in code.</t>
        </is>
      </c>
    </row>
    <row r="6">
      <c r="A6" s="84" t="inlineStr">
        <is>
          <t>V0-20</t>
        </is>
      </c>
      <c r="B6" s="84" t="inlineStr">
        <is>
          <t>2026-09-26</t>
        </is>
      </c>
      <c r="C6" s="84" t="inlineStr">
        <is>
          <t>Parameter review</t>
        </is>
      </c>
      <c r="D6" s="84" t="inlineStr">
        <is>
          <t>New Parameter review tab: every fixed amount, age and timing with current value, currency, status and a proposal (stress events to USD and linked to need parameters; personal-risk timing by age; life-expectancy ages harmonised). Review only: no formula changed.</t>
        </is>
      </c>
      <c r="E6" s="84" t="inlineStr">
        <is>
          <t>Parameter review tab.</t>
        </is>
      </c>
      <c r="F6" s="84" t="inlineStr">
        <is>
          <t>—</t>
        </is>
      </c>
    </row>
    <row r="7">
      <c r="A7" s="84" t="inlineStr">
        <is>
          <t>V0-19</t>
        </is>
      </c>
      <c r="B7" s="84" t="inlineStr">
        <is>
          <t>2026-09-26</t>
        </is>
      </c>
      <c r="C7" s="84" t="inlineStr">
        <is>
          <t>N_LTC</t>
        </is>
      </c>
      <c r="D7" s="84" t="inlineStr">
        <is>
          <t>New protection calculator N_LTC long-term care: annuity-due (realReturn) of LTC_COST USD 129,000 a year over care years = lifeExpectancy − LTC start age (default 80, front-end input on the Need Calculator). Plan sizes it like other protection; Budget and SV include its premium. Not picked by the profiler (no label). R_LON block shows N_LTC at 99. R_LTC linked to N_LTC in the Dictionary.</t>
        </is>
      </c>
      <c r="E7" s="84" t="inlineStr">
        <is>
          <t>Assumptions LTC_COST / LTC_START_AGE; Need Calculator; Plan; Budget; Scenario Visualizer; Dictionary.</t>
        </is>
      </c>
      <c r="F7" s="84" t="inlineStr">
        <is>
          <t>Not in code; HappiU has no LTC.</t>
        </is>
      </c>
    </row>
    <row r="8">
      <c r="A8" s="84" t="inlineStr">
        <is>
          <t>V0-18</t>
        </is>
      </c>
      <c r="B8" s="84" t="inlineStr">
        <is>
          <t>2026-09-26</t>
        </is>
      </c>
      <c r="C8" s="84" t="inlineStr">
        <is>
          <t>TPD / N_PAC / R_LON</t>
        </is>
      </c>
      <c r="D8" s="84" t="inlineStr">
        <is>
          <t>TPD is the one name for total &amp; permanent disability (profiler label, weight matrix, HappiU tab; JSON key still 'disability', HU engine still PTD — Discrepancies 13). N_PAC agreed (1 year of income + USD 59,200). New stress event R_LON longevity: LON_AGE 99 on Assumptions; Need Calculator shows N_RET need and gap at 99; Scenario Visualizer toggle moves the chart horizon to 99 and reports wealth and spendable wealth there.</t>
        </is>
      </c>
      <c r="E8" s="84" t="inlineStr">
        <is>
          <t>Assumptions LON_AGE, stress table; Need Calculator R_LON block; Scenario Visualizer SV_lonV / SV_end; HappiU labels; Dictionary.</t>
        </is>
      </c>
      <c r="F8" s="84" t="inlineStr">
        <is>
          <t>Not in code.</t>
        </is>
      </c>
    </row>
    <row r="9">
      <c r="A9" s="84" t="inlineStr">
        <is>
          <t>V0-17</t>
        </is>
      </c>
      <c r="B9" s="84" t="inlineStr">
        <is>
          <t>2026-09-26</t>
        </is>
      </c>
      <c r="C9" s="84" t="inlineStr">
        <is>
          <t>Dictionary</t>
        </is>
      </c>
      <c r="D9" s="84" t="inlineStr">
        <is>
          <t>Accidental death N_ADB (risk R_ADB) added as a protection candidate: HappiU already supports it, no GP calculator or profiler label yet. N_PAC noted as supported by the HappiU engine (GP does not send it yet). New Need-dictionary.md (one section per need), generated with Dictionary.md.</t>
        </is>
      </c>
      <c r="E9" s="84" t="inlineStr">
        <is>
          <t>Dictionary tab; Need-dictionary.md; Dictionary.md.</t>
        </is>
      </c>
      <c r="F9" s="84" t="inlineStr">
        <is>
          <t>Not in code.</t>
        </is>
      </c>
    </row>
    <row r="10">
      <c r="A10" s="84" t="inlineStr">
        <is>
          <t>V0-16</t>
        </is>
      </c>
      <c r="B10" s="84" t="inlineStr">
        <is>
          <t>2026-09-26</t>
        </is>
      </c>
      <c r="C10" s="84" t="inlineStr">
        <is>
          <t>Dictionary</t>
        </is>
      </c>
      <c r="D10" s="84" t="inlineStr">
        <is>
          <t>New Dictionary tab and Dictionary.md: one code per need (N_), risk (R_) and parameter prefix. Parameters renamed (CI_COST → CRI_COST, HOSP_MONTHS → HOS_MONTHS, EDU_TOTAL_COST → EDU_COST, lifeSupport* → INC_SUPPORT_*, lifestyle* → RET_LIFESTYLE_*, sav/prpIncomeMultiple → SAV/PRP_INCOME_MULT). Stress events carry R_ codes (R_DEA, R_CRI, R_TPD, R_HOS, R_PAC, R_LTC, R_MKT, R_CCY, R_INF, R_ICT, R_EXP, R_WED, R_BAB).</t>
        </is>
      </c>
      <c r="E10" s="84" t="inlineStr">
        <is>
          <t>Dictionary; Assumptions named cells and stress-event table; Scenario Visualizer event labels.</t>
        </is>
      </c>
      <c r="F10" s="84" t="inlineStr">
        <is>
          <t>Not in code.</t>
        </is>
      </c>
    </row>
    <row r="11">
      <c r="A11" s="84" t="inlineStr">
        <is>
          <t>V0-16</t>
        </is>
      </c>
      <c r="B11" s="84" t="inlineStr">
        <is>
          <t>2026-09-26</t>
        </is>
      </c>
      <c r="C11" s="84" t="inlineStr">
        <is>
          <t>Need Profiler</t>
        </is>
      </c>
      <c r="D11" s="84" t="inlineStr">
        <is>
          <t>Farewell dropped (not scored; min–max scaling now over 11 labels). Home / Car / Travel Protection parked as coverage needs N_HOM / N_CAR / N_TRV (scored and prioritised, no calculator). Personal Accident (N_PAC) joins the protection pick. Growth pick is N_EDU vs N_SAV; the home-ownership SAV ↔ PRP swap is removed; N_PRP (home purchase) is never auto-picked.</t>
        </is>
      </c>
      <c r="E11" s="84" t="inlineStr">
        <is>
          <t>Need Profiler; Assumptions weight matrix (column Farewell removed).</t>
        </is>
      </c>
      <c r="F11" s="84" t="inlineStr">
        <is>
          <t>Not in code: need_profiler.py still scores Farewell and maps Home Protection to N_PRP.</t>
        </is>
      </c>
    </row>
    <row r="12">
      <c r="A12" s="84" t="inlineStr">
        <is>
          <t>V0-16</t>
        </is>
      </c>
      <c r="B12" s="84" t="inlineStr">
        <is>
          <t>2026-09-26</t>
        </is>
      </c>
      <c r="C12" s="84" t="inlineStr">
        <is>
          <t>Need Calculator / Plan / Budget</t>
        </is>
      </c>
      <c r="D12" s="84" t="inlineStr">
        <is>
          <t>New calculator N_PAC: annuity-due of income for PAC_YEARS + PAC_COST (proposal: 1 year, USD 59,200). Plan sizes it like other protection; Budget and SV include its premium. HappiU does not receive it. Farewell funeral lump removed from Assumptions.</t>
        </is>
      </c>
      <c r="E12" s="84" t="inlineStr">
        <is>
          <t>Need Calculator row N_PAC; Plan Calculator; Budget Calculator; Scenario Visualizer SV_protPrem.</t>
        </is>
      </c>
      <c r="F12" s="84" t="inlineStr">
        <is>
          <t>Not in code.</t>
        </is>
      </c>
    </row>
    <row r="13">
      <c r="A13" s="84" t="inlineStr">
        <is>
          <t>V0-15</t>
        </is>
      </c>
      <c r="B13" s="84" t="inlineStr">
        <is>
          <t>2026-09-25</t>
        </is>
      </c>
      <c r="C13" s="84" t="inlineStr">
        <is>
          <t>All components</t>
        </is>
      </c>
      <c r="D13" s="84" t="inlineStr">
        <is>
          <t>USD is the system currency (option A: market rate). Every fixed money amount on the Assumptions tab is USD (= the V0-14 SGD value × 0.74, so Singapore results are unchanged): CI / TPD / EDU costs, home-seed values and income bands, life-cover, lump, monthly, premium and HappiU benefit rounding, premium floor, HappiU envelope, funeral lump.</t>
        </is>
      </c>
      <c r="E13" s="84" t="inlineStr">
        <is>
          <t>Assumptions rows 21–24 (systemCurrency, fxMode, priceLevelOn) and the USD rows.</t>
        </is>
      </c>
      <c r="F13" s="84" t="inlineStr">
        <is>
          <t>Not in code: goal_math.py, predict.py, planProducts.ts, hu_payload.py still SGD.</t>
        </is>
      </c>
    </row>
    <row r="14">
      <c r="A14" s="84" t="inlineStr">
        <is>
          <t>V0-15</t>
        </is>
      </c>
      <c r="B14" s="84" t="inlineStr">
        <is>
          <t>2026-09-25</t>
        </is>
      </c>
      <c r="C14" s="84" t="inlineStr">
        <is>
          <t>FX</t>
        </is>
      </c>
      <c r="D14" s="84" t="inlineStr">
        <is>
          <t>Unknown currency → #N/A (no SGD fallback). Price-level column for option B (default 1, switch off). Rounding steps derived in user currency: USD step ÷ rate, then the nearest 1 / 2 / 5 × 10^k.</t>
        </is>
      </c>
      <c r="E14" s="84" t="inlineStr">
        <is>
          <t>FX tab: rate, price level, FX_lumpStep, FX_monthlyStep, FX_coverPremStep, FX_lifeRound, FX_benefitRound.</t>
        </is>
      </c>
      <c r="F14" s="84" t="inlineStr">
        <is>
          <t>Not in code: src/fx.py falls back to SGD; no session lock.</t>
        </is>
      </c>
    </row>
    <row r="15">
      <c r="A15" s="84" t="inlineStr">
        <is>
          <t>V0-15</t>
        </is>
      </c>
      <c r="B15" s="84" t="inlineStr">
        <is>
          <t>2026-09-25</t>
        </is>
      </c>
      <c r="C15" s="84" t="inlineStr">
        <is>
          <t>Need Calculator</t>
        </is>
      </c>
      <c r="D15" s="84" t="inlineStr">
        <is>
          <t>Runs in USD: an S-block converts every money input (session and sliders) to USD; amount / have / gap are calculated in USD (columns H–J), then converted back and rounded to whole units in user currency (B–D).</t>
        </is>
      </c>
      <c r="E15" s="84" t="inlineStr">
        <is>
          <t>Need Calculator S-block and results H–J; names NC_amountUSD_*, NC_gapUSD_*.</t>
        </is>
      </c>
      <c r="F15" s="84" t="inlineStr">
        <is>
          <t>Not in code: evaluate_session computes in session currency with SGD lumps.</t>
        </is>
      </c>
    </row>
    <row r="16">
      <c r="A16" s="84" t="inlineStr">
        <is>
          <t>V0-15</t>
        </is>
      </c>
      <c r="B16" s="84" t="inlineStr">
        <is>
          <t>2026-09-25</t>
        </is>
      </c>
      <c r="C16" s="84" t="inlineStr">
        <is>
          <t>People Like You</t>
        </is>
      </c>
      <c r="D16" s="84" t="inlineStr">
        <is>
          <t>Home seed in USD: income converted to USD, compared with USD bands, USD home value converted back. Life cover rounds to the life-cover step in user currency.</t>
        </is>
      </c>
      <c r="E16" s="84" t="inlineStr">
        <is>
          <t>People Like You: income USD, property USD, property, life sum assured.</t>
        </is>
      </c>
      <c r="F16" s="84" t="inlineStr">
        <is>
          <t>Not in code: seed_property_value and _assumed_life_policy use SGD.</t>
        </is>
      </c>
    </row>
    <row r="17">
      <c r="A17" s="84" t="inlineStr">
        <is>
          <t>V0-15</t>
        </is>
      </c>
      <c r="B17" s="84" t="inlineStr">
        <is>
          <t>2026-09-25</t>
        </is>
      </c>
      <c r="C17" s="84" t="inlineStr">
        <is>
          <t>Plan / HappiU</t>
        </is>
      </c>
      <c r="D17" s="84" t="inlineStr">
        <is>
          <t>Plan contributions and premiums round to steps in user currency (SGD: 50 and 10). HappiU benefit rounding in user currency (SGD: 50,000). Budget Calculator is ratios only; unchanged.</t>
        </is>
      </c>
      <c r="E17" s="84" t="inlineStr">
        <is>
          <t>Plan Calculator D-block; HappiU HU_benefitRound.</t>
        </is>
      </c>
      <c r="F17" s="84" t="inlineStr">
        <is>
          <t>Not in code: planProducts.ts and hu_payload.py use SGD steps.</t>
        </is>
      </c>
    </row>
    <row r="18">
      <c r="A18" s="84" t="inlineStr">
        <is>
          <t>V0-15</t>
        </is>
      </c>
      <c r="B18" s="84" t="inlineStr">
        <is>
          <t>2026-09-25</t>
        </is>
      </c>
      <c r="C18" s="84" t="inlineStr">
        <is>
          <t>CPF</t>
        </is>
      </c>
      <c r="D18" s="84" t="inlineStr">
        <is>
          <t>CPF tab framed as a social-security plug-in: SG-CPF module or the default module (no contribution). Runs in user currency.</t>
        </is>
      </c>
      <c r="E18" s="84" t="inlineStr">
        <is>
          <t>CPF tab: module per country, module used.</t>
        </is>
      </c>
      <c r="F18" s="84" t="inlineStr">
        <is>
          <t>Code has only src/cpf.py; HappiU and SV run their own CPF.</t>
        </is>
      </c>
    </row>
    <row r="19">
      <c r="A19" s="84" t="inlineStr">
        <is>
          <t>V0-14</t>
        </is>
      </c>
      <c r="B19" s="84" t="inlineStr">
        <is>
          <t>2026-09-25</t>
        </is>
      </c>
      <c r="C19" s="84" t="inlineStr">
        <is>
          <t>Scenario Visualizer</t>
        </is>
      </c>
      <c r="D19" s="84" t="inlineStr">
        <is>
          <t>Mortgage instalment is a level 20-year annuity at loanRate (mortgage × r / (1 − (1 + r)^−20); rate 0 → mortgage / 20), replacing round(mortgage / 20). The balance now runs smoothly to 0 in year 20 (no step at the end of the term).</t>
        </is>
      </c>
      <c r="E19" s="84" t="inlineStr">
        <is>
          <t>SV tab: SV_inst, mortgage balance column. deterministic_engines.twin_sv / sv_loans.</t>
        </is>
      </c>
      <c r="F19" s="84" t="inlineStr">
        <is>
          <t>In code (goal_math.annual_loan_payment, sv_payload.py). Workbook catches up.</t>
        </is>
      </c>
    </row>
    <row r="20">
      <c r="A20" s="84" t="inlineStr">
        <is>
          <t>V0-14</t>
        </is>
      </c>
      <c r="B20" s="84" t="inlineStr">
        <is>
          <t>2026-09-25</t>
        </is>
      </c>
      <c r="C20" s="84" t="inlineStr">
        <is>
          <t>Scenario Visualizer</t>
        </is>
      </c>
      <c r="D20" s="84" t="inlineStr">
        <is>
          <t>New SPENDABLE pre / post columns for the expense-funding panel: cash + investments + savings (+ plan pots on post) − max(0, remaining mortgage − (home + CPF)). Not floored at 0. New results: first age spendable wealth &lt; 0 (pre / post).</t>
        </is>
      </c>
      <c r="E20" s="84" t="inlineStr">
        <is>
          <t>SV tab: spPre, spPost, SV_spOutPre, SV_spOutPost. twin_sv spendable. excel_check SV_COLS.</t>
        </is>
      </c>
      <c r="F20" s="84" t="inlineStr">
        <is>
          <t>SV engine (CashFlowGeneratorV2 spendableWealth). Earmarked goal pots funded from assets = 0 in the workbook: open question.</t>
        </is>
      </c>
    </row>
    <row r="21">
      <c r="A21" s="84" t="inlineStr">
        <is>
          <t>V0-14</t>
        </is>
      </c>
      <c r="B21" s="84" t="inlineStr">
        <is>
          <t>2026-09-25</t>
        </is>
      </c>
      <c r="C21" s="84" t="inlineStr">
        <is>
          <t>Folder</t>
        </is>
      </c>
      <c r="D21" s="84" t="inlineStr">
        <is>
          <t>New tree docs/calculations_clone (first named calculations-V0-14) cloned from docs/calculations (V0-13). Older trees stay as snapshots.</t>
        </is>
      </c>
      <c r="E21" s="84" t="inlineStr">
        <is>
          <t>Whole folder.</t>
        </is>
      </c>
      <c r="F21" s="84" t="inlineStr">
        <is>
          <t>—</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tabColor rgb="0044546A"/>
    <outlinePr summaryBelow="1" summaryRight="1"/>
    <pageSetUpPr/>
  </sheetPr>
  <dimension ref="A1:R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36" customHeight="1">
      <c r="A1" s="1" t="inlineStr">
        <is>
          <t>Values computed by importing the GP modules at workbook build time. After Excel recalculates, pick that id on People Like You and compare the single-persona results. This sheet is a snapshot — it does not follow yellow-cell edits.</t>
        </is>
      </c>
    </row>
    <row r="2">
      <c r="A2" s="3" t="inlineStr">
        <is>
          <t>id</t>
        </is>
      </c>
      <c r="B2" s="3" t="inlineStr">
        <is>
          <t>incomeMonthly</t>
        </is>
      </c>
      <c r="C2" s="3" t="inlineStr">
        <is>
          <t>expenseMonthly</t>
        </is>
      </c>
      <c r="D2" s="3" t="inlineStr">
        <is>
          <t>cash</t>
        </is>
      </c>
      <c r="E2" s="3" t="inlineStr">
        <is>
          <t>investments</t>
        </is>
      </c>
      <c r="F2" s="3" t="inlineStr">
        <is>
          <t>property</t>
        </is>
      </c>
      <c r="G2" s="3" t="inlineStr">
        <is>
          <t>mortgage</t>
        </is>
      </c>
      <c r="H2" s="3" t="inlineStr">
        <is>
          <t>life sum</t>
        </is>
      </c>
      <c r="I2" s="3" t="inlineStr">
        <is>
          <t>on N_INC</t>
        </is>
      </c>
      <c r="J2" s="3" t="inlineStr">
        <is>
          <t>on N_CRI</t>
        </is>
      </c>
      <c r="K2" s="3" t="inlineStr">
        <is>
          <t>on N_TPD</t>
        </is>
      </c>
      <c r="L2" s="3" t="inlineStr">
        <is>
          <t>on N_HOS</t>
        </is>
      </c>
      <c r="M2" s="3" t="inlineStr">
        <is>
          <t>on N_RET</t>
        </is>
      </c>
      <c r="N2" s="3" t="inlineStr">
        <is>
          <t>on N_EDU</t>
        </is>
      </c>
      <c r="O2" s="3" t="inlineStr">
        <is>
          <t>on N_SAV</t>
        </is>
      </c>
      <c r="P2" s="3" t="inlineStr">
        <is>
          <t>on N_PRP</t>
        </is>
      </c>
      <c r="Q2" s="3" t="inlineStr">
        <is>
          <t>N_INC amount</t>
        </is>
      </c>
      <c r="R2" s="3" t="inlineStr">
        <is>
          <t>N_RET amount</t>
        </is>
      </c>
    </row>
    <row r="3">
      <c r="A3" s="4" t="inlineStr">
        <is>
          <t>P01</t>
        </is>
      </c>
      <c r="B3" s="85" t="n">
        <v>4200</v>
      </c>
      <c r="C3" s="85" t="n">
        <v>2268</v>
      </c>
      <c r="D3" s="75" t="n">
        <v>983</v>
      </c>
      <c r="E3" s="75" t="n">
        <v>5569</v>
      </c>
      <c r="F3" s="75" t="n">
        <v>0</v>
      </c>
      <c r="G3" s="75" t="n">
        <v>0</v>
      </c>
      <c r="H3" s="75" t="n">
        <v>0</v>
      </c>
      <c r="I3" s="67" t="b">
        <v>1</v>
      </c>
      <c r="J3" s="67" t="b">
        <v>0</v>
      </c>
      <c r="K3" s="67" t="b">
        <v>0</v>
      </c>
      <c r="L3" s="67" t="b">
        <v>1</v>
      </c>
      <c r="M3" s="67" t="b">
        <v>1</v>
      </c>
      <c r="N3" s="67" t="b">
        <v>0</v>
      </c>
      <c r="O3" s="67" t="b">
        <v>1</v>
      </c>
      <c r="P3" s="67" t="b">
        <v>0</v>
      </c>
      <c r="Q3" s="75" t="n">
        <v>540361</v>
      </c>
      <c r="R3" s="75" t="n">
        <v>1036295</v>
      </c>
    </row>
    <row r="4">
      <c r="A4" s="4" t="inlineStr">
        <is>
          <t>P02</t>
        </is>
      </c>
      <c r="B4" s="85" t="n">
        <v>6020</v>
      </c>
      <c r="C4" s="85" t="n">
        <v>3250.8</v>
      </c>
      <c r="D4" s="75" t="n">
        <v>8452</v>
      </c>
      <c r="E4" s="75" t="n">
        <v>47895</v>
      </c>
      <c r="F4" s="75" t="n">
        <v>0</v>
      </c>
      <c r="G4" s="75" t="n">
        <v>0</v>
      </c>
      <c r="H4" s="75" t="n">
        <v>0</v>
      </c>
      <c r="I4" s="67" t="b">
        <v>1</v>
      </c>
      <c r="J4" s="67" t="b">
        <v>0</v>
      </c>
      <c r="K4" s="67" t="b">
        <v>0</v>
      </c>
      <c r="L4" s="67" t="b">
        <v>1</v>
      </c>
      <c r="M4" s="67" t="b">
        <v>1</v>
      </c>
      <c r="N4" s="67" t="b">
        <v>0</v>
      </c>
      <c r="O4" s="67" t="b">
        <v>1</v>
      </c>
      <c r="P4" s="67" t="b">
        <v>0</v>
      </c>
      <c r="Q4" s="75" t="n">
        <v>724812</v>
      </c>
      <c r="R4" s="75" t="n">
        <v>1078002</v>
      </c>
    </row>
    <row r="5">
      <c r="A5" s="4" t="inlineStr">
        <is>
          <t>P03</t>
        </is>
      </c>
      <c r="B5" s="85" t="n">
        <v>7140</v>
      </c>
      <c r="C5" s="85" t="n">
        <v>4141.2</v>
      </c>
      <c r="D5" s="75" t="n">
        <v>18378</v>
      </c>
      <c r="E5" s="75" t="n">
        <v>104144</v>
      </c>
      <c r="F5" s="75" t="n">
        <v>350000</v>
      </c>
      <c r="G5" s="75" t="n">
        <v>192500</v>
      </c>
      <c r="H5" s="75" t="n">
        <v>428400</v>
      </c>
      <c r="I5" s="67" t="b">
        <v>1</v>
      </c>
      <c r="J5" s="67" t="b">
        <v>0</v>
      </c>
      <c r="K5" s="67" t="b">
        <v>0</v>
      </c>
      <c r="L5" s="67" t="b">
        <v>1</v>
      </c>
      <c r="M5" s="67" t="b">
        <v>1</v>
      </c>
      <c r="N5" s="67" t="b">
        <v>0</v>
      </c>
      <c r="O5" s="67" t="b">
        <v>0</v>
      </c>
      <c r="P5" s="67" t="b">
        <v>1</v>
      </c>
      <c r="Q5" s="75" t="n">
        <v>874927</v>
      </c>
      <c r="R5" s="75" t="n">
        <v>1633487</v>
      </c>
    </row>
    <row r="6">
      <c r="A6" s="4" t="inlineStr">
        <is>
          <t>P04</t>
        </is>
      </c>
      <c r="B6" s="85" t="n">
        <v>4550</v>
      </c>
      <c r="C6" s="85" t="n">
        <v>2821</v>
      </c>
      <c r="D6" s="75" t="n">
        <v>14742</v>
      </c>
      <c r="E6" s="75" t="n">
        <v>83538</v>
      </c>
      <c r="F6" s="75" t="n">
        <v>350000</v>
      </c>
      <c r="G6" s="75" t="n">
        <v>192500</v>
      </c>
      <c r="H6" s="75" t="n">
        <v>273000</v>
      </c>
      <c r="I6" s="67" t="b">
        <v>1</v>
      </c>
      <c r="J6" s="67" t="b">
        <v>0</v>
      </c>
      <c r="K6" s="67" t="b">
        <v>0</v>
      </c>
      <c r="L6" s="67" t="b">
        <v>1</v>
      </c>
      <c r="M6" s="67" t="b">
        <v>1</v>
      </c>
      <c r="N6" s="67" t="b">
        <v>0</v>
      </c>
      <c r="O6" s="67" t="b">
        <v>0</v>
      </c>
      <c r="P6" s="67" t="b">
        <v>1</v>
      </c>
      <c r="Q6" s="75" t="n">
        <v>498862</v>
      </c>
      <c r="R6" s="75" t="n">
        <v>603146</v>
      </c>
    </row>
    <row r="7">
      <c r="A7" s="4" t="inlineStr">
        <is>
          <t>P05</t>
        </is>
      </c>
      <c r="B7" s="85" t="n">
        <v>5000</v>
      </c>
      <c r="C7" s="85" t="n">
        <v>3875</v>
      </c>
      <c r="D7" s="75" t="n">
        <v>26325</v>
      </c>
      <c r="E7" s="75" t="n">
        <v>149175</v>
      </c>
      <c r="F7" s="75" t="n">
        <v>350000</v>
      </c>
      <c r="G7" s="75" t="n">
        <v>192500</v>
      </c>
      <c r="H7" s="75" t="n">
        <v>300000</v>
      </c>
      <c r="I7" s="67" t="b">
        <v>1</v>
      </c>
      <c r="J7" s="67" t="b">
        <v>0</v>
      </c>
      <c r="K7" s="67" t="b">
        <v>0</v>
      </c>
      <c r="L7" s="67" t="b">
        <v>1</v>
      </c>
      <c r="M7" s="67" t="b">
        <v>1</v>
      </c>
      <c r="N7" s="67" t="b">
        <v>0</v>
      </c>
      <c r="O7" s="67" t="b">
        <v>0</v>
      </c>
      <c r="P7" s="67" t="b">
        <v>1</v>
      </c>
      <c r="Q7" s="75" t="n">
        <v>613326</v>
      </c>
      <c r="R7" s="75" t="n">
        <v>1285792</v>
      </c>
    </row>
    <row r="8">
      <c r="A8" s="4" t="inlineStr">
        <is>
          <t>P06</t>
        </is>
      </c>
      <c r="B8" s="85" t="n">
        <v>13910</v>
      </c>
      <c r="C8" s="85" t="n">
        <v>8924.75</v>
      </c>
      <c r="D8" s="75" t="n">
        <v>33514</v>
      </c>
      <c r="E8" s="75" t="n">
        <v>189913</v>
      </c>
      <c r="F8" s="75" t="n">
        <v>650000</v>
      </c>
      <c r="G8" s="75" t="n">
        <v>357500</v>
      </c>
      <c r="H8" s="75" t="n">
        <v>834600</v>
      </c>
      <c r="I8" s="67" t="b">
        <v>1</v>
      </c>
      <c r="J8" s="67" t="b">
        <v>1</v>
      </c>
      <c r="K8" s="67" t="b">
        <v>0</v>
      </c>
      <c r="L8" s="67" t="b">
        <v>0</v>
      </c>
      <c r="M8" s="67" t="b">
        <v>1</v>
      </c>
      <c r="N8" s="67" t="b">
        <v>0</v>
      </c>
      <c r="O8" s="67" t="b">
        <v>0</v>
      </c>
      <c r="P8" s="67" t="b">
        <v>1</v>
      </c>
      <c r="Q8" s="75" t="n">
        <v>1983433</v>
      </c>
      <c r="R8" s="75" t="n">
        <v>2984292</v>
      </c>
    </row>
    <row r="9">
      <c r="A9" s="4" t="inlineStr">
        <is>
          <t>P07</t>
        </is>
      </c>
      <c r="B9" s="85" t="n">
        <v>5525</v>
      </c>
      <c r="C9" s="85" t="n">
        <v>2983.5</v>
      </c>
      <c r="D9" s="75" t="n">
        <v>42664</v>
      </c>
      <c r="E9" s="75" t="n">
        <v>241763</v>
      </c>
      <c r="F9" s="75" t="n">
        <v>350000</v>
      </c>
      <c r="G9" s="75" t="n">
        <v>192500</v>
      </c>
      <c r="H9" s="75" t="n">
        <v>200000</v>
      </c>
      <c r="I9" s="67" t="b">
        <v>1</v>
      </c>
      <c r="J9" s="67" t="b">
        <v>0</v>
      </c>
      <c r="K9" s="67" t="b">
        <v>0</v>
      </c>
      <c r="L9" s="67" t="b">
        <v>1</v>
      </c>
      <c r="M9" s="67" t="b">
        <v>1</v>
      </c>
      <c r="N9" s="67" t="b">
        <v>0</v>
      </c>
      <c r="O9" s="67" t="b">
        <v>0</v>
      </c>
      <c r="P9" s="67" t="b">
        <v>1</v>
      </c>
      <c r="Q9" s="75" t="n">
        <v>516509</v>
      </c>
      <c r="R9" s="75" t="n">
        <v>842652</v>
      </c>
    </row>
    <row r="10">
      <c r="A10" s="4" t="inlineStr">
        <is>
          <t>P08</t>
        </is>
      </c>
      <c r="B10" s="85" t="n">
        <v>5975</v>
      </c>
      <c r="C10" s="85" t="n">
        <v>4042.5</v>
      </c>
      <c r="D10" s="75" t="n">
        <v>30098</v>
      </c>
      <c r="E10" s="75" t="n">
        <v>170557</v>
      </c>
      <c r="F10" s="75" t="n">
        <v>350000</v>
      </c>
      <c r="G10" s="75" t="n">
        <v>192500</v>
      </c>
      <c r="H10" s="75" t="n">
        <v>358500</v>
      </c>
      <c r="I10" s="67" t="b">
        <v>1</v>
      </c>
      <c r="J10" s="67" t="b">
        <v>0</v>
      </c>
      <c r="K10" s="67" t="b">
        <v>0</v>
      </c>
      <c r="L10" s="67" t="b">
        <v>1</v>
      </c>
      <c r="M10" s="67" t="b">
        <v>1</v>
      </c>
      <c r="N10" s="67" t="b">
        <v>0</v>
      </c>
      <c r="O10" s="67" t="b">
        <v>0</v>
      </c>
      <c r="P10" s="67" t="b">
        <v>1</v>
      </c>
      <c r="Q10" s="75" t="n">
        <v>631517</v>
      </c>
      <c r="R10" s="75" t="n">
        <v>524768</v>
      </c>
    </row>
    <row r="11">
      <c r="A11" s="4" t="inlineStr">
        <is>
          <t>P09</t>
        </is>
      </c>
      <c r="B11" s="85" t="n">
        <v>3350</v>
      </c>
      <c r="C11" s="85" t="n">
        <v>1809</v>
      </c>
      <c r="D11" s="75" t="n">
        <v>3136</v>
      </c>
      <c r="E11" s="75" t="n">
        <v>17768</v>
      </c>
      <c r="F11" s="75" t="n">
        <v>0</v>
      </c>
      <c r="G11" s="75" t="n">
        <v>0</v>
      </c>
      <c r="H11" s="75" t="n">
        <v>0</v>
      </c>
      <c r="I11" s="67" t="b">
        <v>1</v>
      </c>
      <c r="J11" s="67" t="b">
        <v>0</v>
      </c>
      <c r="K11" s="67" t="b">
        <v>0</v>
      </c>
      <c r="L11" s="67" t="b">
        <v>1</v>
      </c>
      <c r="M11" s="67" t="b">
        <v>1</v>
      </c>
      <c r="N11" s="67" t="b">
        <v>0</v>
      </c>
      <c r="O11" s="67" t="b">
        <v>1</v>
      </c>
      <c r="P11" s="67" t="b">
        <v>0</v>
      </c>
      <c r="Q11" s="75" t="n">
        <v>431003</v>
      </c>
      <c r="R11" s="75" t="n">
        <v>812405</v>
      </c>
    </row>
    <row r="12">
      <c r="A12" s="4" t="inlineStr">
        <is>
          <t>P10</t>
        </is>
      </c>
      <c r="B12" s="85" t="n">
        <v>4250</v>
      </c>
      <c r="C12" s="85" t="n">
        <v>3293.75</v>
      </c>
      <c r="D12" s="75" t="n">
        <v>13770</v>
      </c>
      <c r="E12" s="75" t="n">
        <v>78030</v>
      </c>
      <c r="F12" s="75" t="n">
        <v>0</v>
      </c>
      <c r="G12" s="75" t="n">
        <v>0</v>
      </c>
      <c r="H12" s="75" t="n">
        <v>255000</v>
      </c>
      <c r="I12" s="67" t="b">
        <v>1</v>
      </c>
      <c r="J12" s="67" t="b">
        <v>0</v>
      </c>
      <c r="K12" s="67" t="b">
        <v>0</v>
      </c>
      <c r="L12" s="67" t="b">
        <v>1</v>
      </c>
      <c r="M12" s="67" t="b">
        <v>1</v>
      </c>
      <c r="N12" s="67" t="b">
        <v>0</v>
      </c>
      <c r="O12" s="67" t="b">
        <v>1</v>
      </c>
      <c r="P12" s="67" t="b">
        <v>0</v>
      </c>
      <c r="Q12" s="75" t="n">
        <v>452793</v>
      </c>
      <c r="R12" s="75" t="n">
        <v>859363</v>
      </c>
    </row>
    <row r="13">
      <c r="A13" s="4" t="inlineStr">
        <is>
          <t>P11</t>
        </is>
      </c>
      <c r="B13" s="85" t="n">
        <v>7140</v>
      </c>
      <c r="C13" s="85" t="n">
        <v>4141.2</v>
      </c>
      <c r="D13" s="75" t="n">
        <v>42412</v>
      </c>
      <c r="E13" s="75" t="n">
        <v>240332</v>
      </c>
      <c r="F13" s="75" t="n">
        <v>350000</v>
      </c>
      <c r="G13" s="75" t="n">
        <v>192500</v>
      </c>
      <c r="H13" s="75" t="n">
        <v>428400</v>
      </c>
      <c r="I13" s="67" t="b">
        <v>1</v>
      </c>
      <c r="J13" s="67" t="b">
        <v>0</v>
      </c>
      <c r="K13" s="67" t="b">
        <v>0</v>
      </c>
      <c r="L13" s="67" t="b">
        <v>1</v>
      </c>
      <c r="M13" s="67" t="b">
        <v>1</v>
      </c>
      <c r="N13" s="67" t="b">
        <v>0</v>
      </c>
      <c r="O13" s="67" t="b">
        <v>0</v>
      </c>
      <c r="P13" s="67" t="b">
        <v>1</v>
      </c>
      <c r="Q13" s="75" t="n">
        <v>642236</v>
      </c>
      <c r="R13" s="75" t="n">
        <v>1316453</v>
      </c>
    </row>
    <row r="14">
      <c r="A14" s="4" t="inlineStr">
        <is>
          <t>P12</t>
        </is>
      </c>
      <c r="B14" s="85" t="n">
        <v>9800</v>
      </c>
      <c r="C14" s="85" t="n">
        <v>6210</v>
      </c>
      <c r="D14" s="75" t="n">
        <v>121095</v>
      </c>
      <c r="E14" s="75" t="n">
        <v>686205</v>
      </c>
      <c r="F14" s="75" t="n">
        <v>350000</v>
      </c>
      <c r="G14" s="75" t="n">
        <v>192500</v>
      </c>
      <c r="H14" s="75" t="n">
        <v>200000</v>
      </c>
      <c r="I14" s="67" t="b">
        <v>1</v>
      </c>
      <c r="J14" s="67" t="b">
        <v>0</v>
      </c>
      <c r="K14" s="67" t="b">
        <v>0</v>
      </c>
      <c r="L14" s="67" t="b">
        <v>1</v>
      </c>
      <c r="M14" s="67" t="b">
        <v>1</v>
      </c>
      <c r="N14" s="67" t="b">
        <v>0</v>
      </c>
      <c r="O14" s="67" t="b">
        <v>0</v>
      </c>
      <c r="P14" s="67" t="b">
        <v>1</v>
      </c>
      <c r="Q14" s="75" t="n">
        <v>866908</v>
      </c>
      <c r="R14" s="75" t="n">
        <v>1235459</v>
      </c>
    </row>
    <row r="15">
      <c r="A15" s="4" t="inlineStr">
        <is>
          <t>P13</t>
        </is>
      </c>
      <c r="B15" s="85" t="n">
        <v>6580</v>
      </c>
      <c r="C15" s="85" t="n">
        <v>3816.4</v>
      </c>
      <c r="D15" s="75" t="n">
        <v>11726</v>
      </c>
      <c r="E15" s="75" t="n">
        <v>66445</v>
      </c>
      <c r="F15" s="75" t="n">
        <v>0</v>
      </c>
      <c r="G15" s="75" t="n">
        <v>0</v>
      </c>
      <c r="H15" s="75" t="n">
        <v>394800</v>
      </c>
      <c r="I15" s="67" t="b">
        <v>1</v>
      </c>
      <c r="J15" s="67" t="b">
        <v>0</v>
      </c>
      <c r="K15" s="67" t="b">
        <v>0</v>
      </c>
      <c r="L15" s="67" t="b">
        <v>1</v>
      </c>
      <c r="M15" s="67" t="b">
        <v>1</v>
      </c>
      <c r="N15" s="67" t="b">
        <v>0</v>
      </c>
      <c r="O15" s="67" t="b">
        <v>1</v>
      </c>
      <c r="P15" s="67" t="b">
        <v>0</v>
      </c>
      <c r="Q15" s="75" t="n">
        <v>759260</v>
      </c>
      <c r="R15" s="75" t="n">
        <v>1066448</v>
      </c>
    </row>
    <row r="16">
      <c r="A16" s="4" t="inlineStr">
        <is>
          <t>P14</t>
        </is>
      </c>
      <c r="B16" s="85" t="n">
        <v>4775</v>
      </c>
      <c r="C16" s="85" t="n">
        <v>3342.5</v>
      </c>
      <c r="D16" s="75" t="n">
        <v>9884</v>
      </c>
      <c r="E16" s="75" t="n">
        <v>56011</v>
      </c>
      <c r="F16" s="75" t="n">
        <v>350000</v>
      </c>
      <c r="G16" s="75" t="n">
        <v>192500</v>
      </c>
      <c r="H16" s="75" t="n">
        <v>286500</v>
      </c>
      <c r="I16" s="67" t="b">
        <v>1</v>
      </c>
      <c r="J16" s="67" t="b">
        <v>0</v>
      </c>
      <c r="K16" s="67" t="b">
        <v>0</v>
      </c>
      <c r="L16" s="67" t="b">
        <v>1</v>
      </c>
      <c r="M16" s="67" t="b">
        <v>1</v>
      </c>
      <c r="N16" s="67" t="b">
        <v>0</v>
      </c>
      <c r="O16" s="67" t="b">
        <v>0</v>
      </c>
      <c r="P16" s="67" t="b">
        <v>1</v>
      </c>
      <c r="Q16" s="75" t="n">
        <v>555497</v>
      </c>
      <c r="R16" s="75" t="n">
        <v>937828</v>
      </c>
    </row>
    <row r="17">
      <c r="A17" s="4" t="inlineStr">
        <is>
          <t>P15</t>
        </is>
      </c>
      <c r="B17" s="85" t="n">
        <v>5750</v>
      </c>
      <c r="C17" s="85" t="n">
        <v>3654.12</v>
      </c>
      <c r="D17" s="75" t="n">
        <v>34373</v>
      </c>
      <c r="E17" s="75" t="n">
        <v>194778</v>
      </c>
      <c r="F17" s="75" t="n">
        <v>350000</v>
      </c>
      <c r="G17" s="75" t="n">
        <v>192500</v>
      </c>
      <c r="H17" s="75" t="n">
        <v>345000</v>
      </c>
      <c r="I17" s="67" t="b">
        <v>1</v>
      </c>
      <c r="J17" s="67" t="b">
        <v>0</v>
      </c>
      <c r="K17" s="67" t="b">
        <v>0</v>
      </c>
      <c r="L17" s="67" t="b">
        <v>1</v>
      </c>
      <c r="M17" s="67" t="b">
        <v>1</v>
      </c>
      <c r="N17" s="67" t="b">
        <v>0</v>
      </c>
      <c r="O17" s="67" t="b">
        <v>0</v>
      </c>
      <c r="P17" s="67" t="b">
        <v>1</v>
      </c>
      <c r="Q17" s="75" t="n">
        <v>589339</v>
      </c>
      <c r="R17" s="75" t="n">
        <v>1071094</v>
      </c>
    </row>
    <row r="18">
      <c r="A18" s="4" t="inlineStr">
        <is>
          <t>P16</t>
        </is>
      </c>
      <c r="B18" s="85" t="n">
        <v>10400</v>
      </c>
      <c r="C18" s="85" t="n">
        <v>5940</v>
      </c>
      <c r="D18" s="75" t="n">
        <v>5148</v>
      </c>
      <c r="E18" s="75" t="n">
        <v>29172</v>
      </c>
      <c r="F18" s="75" t="n">
        <v>0</v>
      </c>
      <c r="G18" s="75" t="n">
        <v>0</v>
      </c>
      <c r="H18" s="75" t="n">
        <v>0</v>
      </c>
      <c r="I18" s="67" t="b">
        <v>1</v>
      </c>
      <c r="J18" s="67" t="b">
        <v>0</v>
      </c>
      <c r="K18" s="67" t="b">
        <v>0</v>
      </c>
      <c r="L18" s="67" t="b">
        <v>1</v>
      </c>
      <c r="M18" s="67" t="b">
        <v>1</v>
      </c>
      <c r="N18" s="67" t="b">
        <v>0</v>
      </c>
      <c r="O18" s="67" t="b">
        <v>1</v>
      </c>
      <c r="P18" s="67" t="b">
        <v>0</v>
      </c>
      <c r="Q18" s="75" t="n">
        <v>1415232</v>
      </c>
      <c r="R18" s="75" t="n">
        <v>2664616</v>
      </c>
    </row>
    <row r="19">
      <c r="A19" s="4" t="inlineStr">
        <is>
          <t>P17</t>
        </is>
      </c>
      <c r="B19" s="85" t="n">
        <v>3575</v>
      </c>
      <c r="C19" s="85" t="n">
        <v>1930.5</v>
      </c>
      <c r="D19" s="75" t="n">
        <v>5856</v>
      </c>
      <c r="E19" s="75" t="n">
        <v>33183</v>
      </c>
      <c r="F19" s="75" t="n">
        <v>0</v>
      </c>
      <c r="G19" s="75" t="n">
        <v>0</v>
      </c>
      <c r="H19" s="75" t="n">
        <v>0</v>
      </c>
      <c r="I19" s="67" t="b">
        <v>1</v>
      </c>
      <c r="J19" s="67" t="b">
        <v>0</v>
      </c>
      <c r="K19" s="67" t="b">
        <v>0</v>
      </c>
      <c r="L19" s="67" t="b">
        <v>1</v>
      </c>
      <c r="M19" s="67" t="b">
        <v>1</v>
      </c>
      <c r="N19" s="67" t="b">
        <v>0</v>
      </c>
      <c r="O19" s="67" t="b">
        <v>1</v>
      </c>
      <c r="P19" s="67" t="b">
        <v>0</v>
      </c>
      <c r="Q19" s="75" t="n">
        <v>415260</v>
      </c>
      <c r="R19" s="75" t="n">
        <v>628502</v>
      </c>
    </row>
    <row r="20">
      <c r="A20" s="4" t="inlineStr">
        <is>
          <t>P18</t>
        </is>
      </c>
      <c r="B20" s="85" t="n">
        <v>4100</v>
      </c>
      <c r="C20" s="85" t="n">
        <v>2378</v>
      </c>
      <c r="D20" s="75" t="n">
        <v>11365</v>
      </c>
      <c r="E20" s="75" t="n">
        <v>64403</v>
      </c>
      <c r="F20" s="75" t="n">
        <v>350000</v>
      </c>
      <c r="G20" s="75" t="n">
        <v>192500</v>
      </c>
      <c r="H20" s="75" t="n">
        <v>246000</v>
      </c>
      <c r="I20" s="67" t="b">
        <v>1</v>
      </c>
      <c r="J20" s="67" t="b">
        <v>0</v>
      </c>
      <c r="K20" s="67" t="b">
        <v>0</v>
      </c>
      <c r="L20" s="67" t="b">
        <v>1</v>
      </c>
      <c r="M20" s="67" t="b">
        <v>1</v>
      </c>
      <c r="N20" s="67" t="b">
        <v>0</v>
      </c>
      <c r="O20" s="67" t="b">
        <v>0</v>
      </c>
      <c r="P20" s="67" t="b">
        <v>1</v>
      </c>
      <c r="Q20" s="75" t="n">
        <v>563112</v>
      </c>
      <c r="R20" s="75" t="n">
        <v>920893</v>
      </c>
    </row>
    <row r="21">
      <c r="A21" s="4" t="inlineStr">
        <is>
          <t>P19</t>
        </is>
      </c>
      <c r="B21" s="85" t="n">
        <v>4625</v>
      </c>
      <c r="C21" s="85" t="n">
        <v>2867.5</v>
      </c>
      <c r="D21" s="75" t="n">
        <v>15734</v>
      </c>
      <c r="E21" s="75" t="n">
        <v>89161</v>
      </c>
      <c r="F21" s="75" t="n">
        <v>350000</v>
      </c>
      <c r="G21" s="75" t="n">
        <v>192500</v>
      </c>
      <c r="H21" s="75" t="n">
        <v>277500</v>
      </c>
      <c r="I21" s="67" t="b">
        <v>1</v>
      </c>
      <c r="J21" s="67" t="b">
        <v>0</v>
      </c>
      <c r="K21" s="67" t="b">
        <v>0</v>
      </c>
      <c r="L21" s="67" t="b">
        <v>1</v>
      </c>
      <c r="M21" s="67" t="b">
        <v>1</v>
      </c>
      <c r="N21" s="67" t="b">
        <v>0</v>
      </c>
      <c r="O21" s="67" t="b">
        <v>0</v>
      </c>
      <c r="P21" s="67" t="b">
        <v>1</v>
      </c>
      <c r="Q21" s="75" t="n">
        <v>503912</v>
      </c>
      <c r="R21" s="75" t="n">
        <v>601908</v>
      </c>
    </row>
    <row r="22">
      <c r="A22" s="4" t="inlineStr">
        <is>
          <t>P20</t>
        </is>
      </c>
      <c r="B22" s="85" t="n">
        <v>5075</v>
      </c>
      <c r="C22" s="85" t="n">
        <v>3933.12</v>
      </c>
      <c r="D22" s="75" t="n">
        <v>27748</v>
      </c>
      <c r="E22" s="75" t="n">
        <v>157237</v>
      </c>
      <c r="F22" s="75" t="n">
        <v>350000</v>
      </c>
      <c r="G22" s="75" t="n">
        <v>192500</v>
      </c>
      <c r="H22" s="75" t="n">
        <v>304500</v>
      </c>
      <c r="I22" s="67" t="b">
        <v>1</v>
      </c>
      <c r="J22" s="67" t="b">
        <v>0</v>
      </c>
      <c r="K22" s="67" t="b">
        <v>0</v>
      </c>
      <c r="L22" s="67" t="b">
        <v>1</v>
      </c>
      <c r="M22" s="67" t="b">
        <v>1</v>
      </c>
      <c r="N22" s="67" t="b">
        <v>0</v>
      </c>
      <c r="O22" s="67" t="b">
        <v>0</v>
      </c>
      <c r="P22" s="67" t="b">
        <v>1</v>
      </c>
      <c r="Q22" s="75" t="n">
        <v>619638</v>
      </c>
      <c r="R22" s="75" t="n">
        <v>1281280</v>
      </c>
    </row>
    <row r="23">
      <c r="A23" s="4" t="inlineStr">
        <is>
          <t>P21</t>
        </is>
      </c>
      <c r="B23" s="85" t="n">
        <v>5250</v>
      </c>
      <c r="C23" s="85" t="n">
        <v>3045</v>
      </c>
      <c r="D23" s="75" t="n">
        <v>12474</v>
      </c>
      <c r="E23" s="75" t="n">
        <v>70686</v>
      </c>
      <c r="F23" s="75" t="n">
        <v>350000</v>
      </c>
      <c r="G23" s="75" t="n">
        <v>192500</v>
      </c>
      <c r="H23" s="75" t="n">
        <v>315000</v>
      </c>
      <c r="I23" s="67" t="b">
        <v>1</v>
      </c>
      <c r="J23" s="67" t="b">
        <v>0</v>
      </c>
      <c r="K23" s="67" t="b">
        <v>0</v>
      </c>
      <c r="L23" s="67" t="b">
        <v>1</v>
      </c>
      <c r="M23" s="67" t="b">
        <v>1</v>
      </c>
      <c r="N23" s="67" t="b">
        <v>0</v>
      </c>
      <c r="O23" s="67" t="b">
        <v>0</v>
      </c>
      <c r="P23" s="67" t="b">
        <v>1</v>
      </c>
      <c r="Q23" s="75" t="n">
        <v>721009</v>
      </c>
      <c r="R23" s="75" t="n">
        <v>999633</v>
      </c>
    </row>
    <row r="24">
      <c r="A24" s="4" t="inlineStr">
        <is>
          <t>P22</t>
        </is>
      </c>
      <c r="B24" s="85" t="n">
        <v>8960</v>
      </c>
      <c r="C24" s="85" t="n">
        <v>4968</v>
      </c>
      <c r="D24" s="75" t="n">
        <v>73195</v>
      </c>
      <c r="E24" s="75" t="n">
        <v>414773</v>
      </c>
      <c r="F24" s="75" t="n">
        <v>350000</v>
      </c>
      <c r="G24" s="75" t="n">
        <v>192500</v>
      </c>
      <c r="H24" s="75" t="n">
        <v>200000</v>
      </c>
      <c r="I24" s="67" t="b">
        <v>1</v>
      </c>
      <c r="J24" s="67" t="b">
        <v>0</v>
      </c>
      <c r="K24" s="67" t="b">
        <v>0</v>
      </c>
      <c r="L24" s="67" t="b">
        <v>1</v>
      </c>
      <c r="M24" s="67" t="b">
        <v>1</v>
      </c>
      <c r="N24" s="67" t="b">
        <v>0</v>
      </c>
      <c r="O24" s="67" t="b">
        <v>0</v>
      </c>
      <c r="P24" s="67" t="b">
        <v>1</v>
      </c>
      <c r="Q24" s="75" t="n">
        <v>732027</v>
      </c>
      <c r="R24" s="75" t="n">
        <v>1377564</v>
      </c>
    </row>
    <row r="25">
      <c r="A25" s="4" t="inlineStr">
        <is>
          <t>P23</t>
        </is>
      </c>
      <c r="B25" s="85" t="n">
        <v>10920</v>
      </c>
      <c r="C25" s="85" t="n">
        <v>8184</v>
      </c>
      <c r="D25" s="75" t="n">
        <v>62496</v>
      </c>
      <c r="E25" s="75" t="n">
        <v>354144</v>
      </c>
      <c r="F25" s="75" t="n">
        <v>650000</v>
      </c>
      <c r="G25" s="75" t="n">
        <v>357500</v>
      </c>
      <c r="H25" s="75" t="n">
        <v>655200</v>
      </c>
      <c r="I25" s="67" t="b">
        <v>1</v>
      </c>
      <c r="J25" s="67" t="b">
        <v>1</v>
      </c>
      <c r="K25" s="67" t="b">
        <v>0</v>
      </c>
      <c r="L25" s="67" t="b">
        <v>0</v>
      </c>
      <c r="M25" s="67" t="b">
        <v>1</v>
      </c>
      <c r="N25" s="67" t="b">
        <v>0</v>
      </c>
      <c r="O25" s="67" t="b">
        <v>0</v>
      </c>
      <c r="P25" s="67" t="b">
        <v>1</v>
      </c>
      <c r="Q25" s="75" t="n">
        <v>1246285</v>
      </c>
      <c r="R25" s="75" t="n">
        <v>1043015</v>
      </c>
    </row>
    <row r="26">
      <c r="A26" s="4" t="inlineStr">
        <is>
          <t>P24</t>
        </is>
      </c>
      <c r="B26" s="85" t="n">
        <v>3425</v>
      </c>
      <c r="C26" s="85" t="n">
        <v>1849.5</v>
      </c>
      <c r="D26" s="75" t="n">
        <v>4007</v>
      </c>
      <c r="E26" s="75" t="n">
        <v>22708</v>
      </c>
      <c r="F26" s="75" t="n">
        <v>0</v>
      </c>
      <c r="G26" s="75" t="n">
        <v>0</v>
      </c>
      <c r="H26" s="75" t="n">
        <v>0</v>
      </c>
      <c r="I26" s="67" t="b">
        <v>1</v>
      </c>
      <c r="J26" s="67" t="b">
        <v>0</v>
      </c>
      <c r="K26" s="67" t="b">
        <v>0</v>
      </c>
      <c r="L26" s="67" t="b">
        <v>1</v>
      </c>
      <c r="M26" s="67" t="b">
        <v>1</v>
      </c>
      <c r="N26" s="67" t="b">
        <v>0</v>
      </c>
      <c r="O26" s="67" t="b">
        <v>1</v>
      </c>
      <c r="P26" s="67" t="b">
        <v>0</v>
      </c>
      <c r="Q26" s="75" t="n">
        <v>426642</v>
      </c>
      <c r="R26" s="75" t="n">
        <v>815448</v>
      </c>
    </row>
    <row r="27">
      <c r="A27" s="4" t="inlineStr">
        <is>
          <t>P25</t>
        </is>
      </c>
      <c r="B27" s="85" t="n">
        <v>4325</v>
      </c>
      <c r="C27" s="85" t="n">
        <v>3351.88</v>
      </c>
      <c r="D27" s="75" t="n">
        <v>14889</v>
      </c>
      <c r="E27" s="75" t="n">
        <v>84370</v>
      </c>
      <c r="F27" s="75" t="n">
        <v>0</v>
      </c>
      <c r="G27" s="75" t="n">
        <v>0</v>
      </c>
      <c r="H27" s="75" t="n">
        <v>259500</v>
      </c>
      <c r="I27" s="67" t="b">
        <v>1</v>
      </c>
      <c r="J27" s="67" t="b">
        <v>0</v>
      </c>
      <c r="K27" s="67" t="b">
        <v>0</v>
      </c>
      <c r="L27" s="67" t="b">
        <v>1</v>
      </c>
      <c r="M27" s="67" t="b">
        <v>1</v>
      </c>
      <c r="N27" s="67" t="b">
        <v>0</v>
      </c>
      <c r="O27" s="67" t="b">
        <v>1</v>
      </c>
      <c r="P27" s="67" t="b">
        <v>0</v>
      </c>
      <c r="Q27" s="75" t="n">
        <v>429120</v>
      </c>
      <c r="R27" s="75" t="n">
        <v>858583</v>
      </c>
    </row>
    <row r="28">
      <c r="A28" s="4" t="inlineStr">
        <is>
          <t>P26</t>
        </is>
      </c>
      <c r="B28" s="85" t="n">
        <v>21710</v>
      </c>
      <c r="C28" s="85" t="n">
        <v>14579.75</v>
      </c>
      <c r="D28" s="75" t="n">
        <v>154294</v>
      </c>
      <c r="E28" s="75" t="n">
        <v>874333</v>
      </c>
      <c r="F28" s="75" t="n">
        <v>850000</v>
      </c>
      <c r="G28" s="75" t="n">
        <v>467500</v>
      </c>
      <c r="H28" s="75" t="n">
        <v>1302600</v>
      </c>
      <c r="I28" s="67" t="b">
        <v>0</v>
      </c>
      <c r="J28" s="67" t="b">
        <v>1</v>
      </c>
      <c r="K28" s="67" t="b">
        <v>0</v>
      </c>
      <c r="L28" s="67" t="b">
        <v>1</v>
      </c>
      <c r="M28" s="67" t="b">
        <v>1</v>
      </c>
      <c r="N28" s="67" t="b">
        <v>0</v>
      </c>
      <c r="O28" s="67" t="b">
        <v>0</v>
      </c>
      <c r="P28" s="67" t="b">
        <v>1</v>
      </c>
      <c r="Q28" s="75" t="n">
        <v>2050866</v>
      </c>
      <c r="R28" s="75" t="n">
        <v>4550270</v>
      </c>
    </row>
    <row r="29">
      <c r="A29" s="4" t="inlineStr">
        <is>
          <t>P27</t>
        </is>
      </c>
      <c r="B29" s="85" t="n">
        <v>6200</v>
      </c>
      <c r="C29" s="85" t="n">
        <v>3871.13</v>
      </c>
      <c r="D29" s="75" t="n">
        <v>77164</v>
      </c>
      <c r="E29" s="75" t="n">
        <v>437264</v>
      </c>
      <c r="F29" s="75" t="n">
        <v>350000</v>
      </c>
      <c r="G29" s="75" t="n">
        <v>192500</v>
      </c>
      <c r="H29" s="75" t="n">
        <v>200000</v>
      </c>
      <c r="I29" s="67" t="b">
        <v>1</v>
      </c>
      <c r="J29" s="67" t="b">
        <v>0</v>
      </c>
      <c r="K29" s="67" t="b">
        <v>0</v>
      </c>
      <c r="L29" s="67" t="b">
        <v>1</v>
      </c>
      <c r="M29" s="67" t="b">
        <v>1</v>
      </c>
      <c r="N29" s="67" t="b">
        <v>0</v>
      </c>
      <c r="O29" s="67" t="b">
        <v>0</v>
      </c>
      <c r="P29" s="67" t="b">
        <v>1</v>
      </c>
      <c r="Q29" s="75" t="n">
        <v>612906</v>
      </c>
      <c r="R29" s="75" t="n">
        <v>770148</v>
      </c>
    </row>
    <row r="30">
      <c r="A30" s="4" t="inlineStr">
        <is>
          <t>P28</t>
        </is>
      </c>
      <c r="B30" s="85" t="n">
        <v>3800</v>
      </c>
      <c r="C30" s="85" t="n">
        <v>2204</v>
      </c>
      <c r="D30" s="75" t="n">
        <v>7524</v>
      </c>
      <c r="E30" s="75" t="n">
        <v>42636</v>
      </c>
      <c r="F30" s="75" t="n">
        <v>0</v>
      </c>
      <c r="G30" s="75" t="n">
        <v>0</v>
      </c>
      <c r="H30" s="75" t="n">
        <v>228000</v>
      </c>
      <c r="I30" s="67" t="b">
        <v>1</v>
      </c>
      <c r="J30" s="67" t="b">
        <v>0</v>
      </c>
      <c r="K30" s="67" t="b">
        <v>0</v>
      </c>
      <c r="L30" s="67" t="b">
        <v>1</v>
      </c>
      <c r="M30" s="67" t="b">
        <v>1</v>
      </c>
      <c r="N30" s="67" t="b">
        <v>0</v>
      </c>
      <c r="O30" s="67" t="b">
        <v>1</v>
      </c>
      <c r="P30" s="67" t="b">
        <v>0</v>
      </c>
      <c r="Q30" s="75" t="n">
        <v>420174</v>
      </c>
      <c r="R30" s="75" t="n">
        <v>604652</v>
      </c>
    </row>
    <row r="31">
      <c r="A31" s="4" t="inlineStr">
        <is>
          <t>P29</t>
        </is>
      </c>
      <c r="B31" s="85" t="n">
        <v>4850</v>
      </c>
      <c r="C31" s="85" t="n">
        <v>3395</v>
      </c>
      <c r="D31" s="75" t="n">
        <v>10476</v>
      </c>
      <c r="E31" s="75" t="n">
        <v>59364</v>
      </c>
      <c r="F31" s="75" t="n">
        <v>350000</v>
      </c>
      <c r="G31" s="75" t="n">
        <v>192500</v>
      </c>
      <c r="H31" s="75" t="n">
        <v>291000</v>
      </c>
      <c r="I31" s="67" t="b">
        <v>1</v>
      </c>
      <c r="J31" s="67" t="b">
        <v>0</v>
      </c>
      <c r="K31" s="67" t="b">
        <v>0</v>
      </c>
      <c r="L31" s="67" t="b">
        <v>1</v>
      </c>
      <c r="M31" s="67" t="b">
        <v>1</v>
      </c>
      <c r="N31" s="67" t="b">
        <v>0</v>
      </c>
      <c r="O31" s="67" t="b">
        <v>0</v>
      </c>
      <c r="P31" s="67" t="b">
        <v>1</v>
      </c>
      <c r="Q31" s="75" t="n">
        <v>561198</v>
      </c>
      <c r="R31" s="75" t="n">
        <v>935189</v>
      </c>
    </row>
    <row r="32">
      <c r="A32" s="4" t="inlineStr">
        <is>
          <t>P30</t>
        </is>
      </c>
      <c r="B32" s="85" t="n">
        <v>5825</v>
      </c>
      <c r="C32" s="85" t="n">
        <v>3702.18</v>
      </c>
      <c r="D32" s="75" t="n">
        <v>35792</v>
      </c>
      <c r="E32" s="75" t="n">
        <v>202819</v>
      </c>
      <c r="F32" s="75" t="n">
        <v>350000</v>
      </c>
      <c r="G32" s="75" t="n">
        <v>192500</v>
      </c>
      <c r="H32" s="75" t="n">
        <v>349500</v>
      </c>
      <c r="I32" s="67" t="b">
        <v>1</v>
      </c>
      <c r="J32" s="67" t="b">
        <v>0</v>
      </c>
      <c r="K32" s="67" t="b">
        <v>0</v>
      </c>
      <c r="L32" s="67" t="b">
        <v>1</v>
      </c>
      <c r="M32" s="67" t="b">
        <v>1</v>
      </c>
      <c r="N32" s="67" t="b">
        <v>0</v>
      </c>
      <c r="O32" s="67" t="b">
        <v>0</v>
      </c>
      <c r="P32" s="67" t="b">
        <v>1</v>
      </c>
      <c r="Q32" s="75" t="n">
        <v>594558</v>
      </c>
      <c r="R32" s="75" t="n">
        <v>1065393</v>
      </c>
    </row>
    <row r="33">
      <c r="A33" s="4" t="inlineStr">
        <is>
          <t>P31</t>
        </is>
      </c>
      <c r="B33" s="85" t="n">
        <v>4305</v>
      </c>
      <c r="C33" s="85" t="n">
        <v>2324.7</v>
      </c>
      <c r="D33" s="75" t="n">
        <v>3022</v>
      </c>
      <c r="E33" s="75" t="n">
        <v>17125</v>
      </c>
      <c r="F33" s="75" t="n">
        <v>0</v>
      </c>
      <c r="G33" s="75" t="n">
        <v>0</v>
      </c>
      <c r="H33" s="75" t="n">
        <v>0</v>
      </c>
      <c r="I33" s="67" t="b">
        <v>1</v>
      </c>
      <c r="J33" s="67" t="b">
        <v>0</v>
      </c>
      <c r="K33" s="67" t="b">
        <v>0</v>
      </c>
      <c r="L33" s="67" t="b">
        <v>1</v>
      </c>
      <c r="M33" s="67" t="b">
        <v>1</v>
      </c>
      <c r="N33" s="67" t="b">
        <v>0</v>
      </c>
      <c r="O33" s="67" t="b">
        <v>1</v>
      </c>
      <c r="P33" s="67" t="b">
        <v>0</v>
      </c>
      <c r="Q33" s="75" t="n">
        <v>553871</v>
      </c>
      <c r="R33" s="75" t="n">
        <v>1023819</v>
      </c>
    </row>
    <row r="34">
      <c r="A34" s="4" t="inlineStr">
        <is>
          <t>P32</t>
        </is>
      </c>
      <c r="B34" s="85" t="n">
        <v>6230</v>
      </c>
      <c r="C34" s="85" t="n">
        <v>3364.2</v>
      </c>
      <c r="D34" s="75" t="n">
        <v>11663</v>
      </c>
      <c r="E34" s="75" t="n">
        <v>66088</v>
      </c>
      <c r="F34" s="75" t="n">
        <v>0</v>
      </c>
      <c r="G34" s="75" t="n">
        <v>0</v>
      </c>
      <c r="H34" s="75" t="n">
        <v>0</v>
      </c>
      <c r="I34" s="67" t="b">
        <v>1</v>
      </c>
      <c r="J34" s="67" t="b">
        <v>0</v>
      </c>
      <c r="K34" s="67" t="b">
        <v>0</v>
      </c>
      <c r="L34" s="67" t="b">
        <v>1</v>
      </c>
      <c r="M34" s="67" t="b">
        <v>1</v>
      </c>
      <c r="N34" s="67" t="b">
        <v>0</v>
      </c>
      <c r="O34" s="67" t="b">
        <v>1</v>
      </c>
      <c r="P34" s="67" t="b">
        <v>0</v>
      </c>
      <c r="Q34" s="75" t="n">
        <v>696727</v>
      </c>
      <c r="R34" s="75" t="n">
        <v>1075293</v>
      </c>
    </row>
    <row r="35">
      <c r="A35" s="4" t="inlineStr">
        <is>
          <t>P33</t>
        </is>
      </c>
      <c r="B35" s="85" t="n">
        <v>7420</v>
      </c>
      <c r="C35" s="85" t="n">
        <v>4303.6</v>
      </c>
      <c r="D35" s="75" t="n">
        <v>22037</v>
      </c>
      <c r="E35" s="75" t="n">
        <v>124879</v>
      </c>
      <c r="F35" s="75" t="n">
        <v>350000</v>
      </c>
      <c r="G35" s="75" t="n">
        <v>192500</v>
      </c>
      <c r="H35" s="75" t="n">
        <v>445200</v>
      </c>
      <c r="I35" s="67" t="b">
        <v>1</v>
      </c>
      <c r="J35" s="67" t="b">
        <v>0</v>
      </c>
      <c r="K35" s="67" t="b">
        <v>0</v>
      </c>
      <c r="L35" s="67" t="b">
        <v>1</v>
      </c>
      <c r="M35" s="67" t="b">
        <v>1</v>
      </c>
      <c r="N35" s="67" t="b">
        <v>0</v>
      </c>
      <c r="O35" s="67" t="b">
        <v>0</v>
      </c>
      <c r="P35" s="67" t="b">
        <v>1</v>
      </c>
      <c r="Q35" s="75" t="n">
        <v>824031</v>
      </c>
      <c r="R35" s="75" t="n">
        <v>1636203</v>
      </c>
    </row>
    <row r="36">
      <c r="A36" s="4" t="inlineStr">
        <is>
          <t>P34</t>
        </is>
      </c>
      <c r="B36" s="85" t="n">
        <v>4700</v>
      </c>
      <c r="C36" s="85" t="n">
        <v>2914</v>
      </c>
      <c r="D36" s="75" t="n">
        <v>16751</v>
      </c>
      <c r="E36" s="75" t="n">
        <v>94921</v>
      </c>
      <c r="F36" s="75" t="n">
        <v>350000</v>
      </c>
      <c r="G36" s="75" t="n">
        <v>192500</v>
      </c>
      <c r="H36" s="75" t="n">
        <v>282000</v>
      </c>
      <c r="I36" s="67" t="b">
        <v>1</v>
      </c>
      <c r="J36" s="67" t="b">
        <v>0</v>
      </c>
      <c r="K36" s="67" t="b">
        <v>0</v>
      </c>
      <c r="L36" s="67" t="b">
        <v>1</v>
      </c>
      <c r="M36" s="67" t="b">
        <v>1</v>
      </c>
      <c r="N36" s="67" t="b">
        <v>0</v>
      </c>
      <c r="O36" s="67" t="b">
        <v>0</v>
      </c>
      <c r="P36" s="67" t="b">
        <v>1</v>
      </c>
      <c r="Q36" s="75" t="n">
        <v>508961</v>
      </c>
      <c r="R36" s="75" t="n">
        <v>600516</v>
      </c>
    </row>
    <row r="37">
      <c r="A37" s="4" t="inlineStr">
        <is>
          <t>P35</t>
        </is>
      </c>
      <c r="B37" s="85" t="n">
        <v>5150</v>
      </c>
      <c r="C37" s="85" t="n">
        <v>3991.25</v>
      </c>
      <c r="D37" s="75" t="n">
        <v>29200</v>
      </c>
      <c r="E37" s="75" t="n">
        <v>165470</v>
      </c>
      <c r="F37" s="75" t="n">
        <v>350000</v>
      </c>
      <c r="G37" s="75" t="n">
        <v>192500</v>
      </c>
      <c r="H37" s="75" t="n">
        <v>309000</v>
      </c>
      <c r="I37" s="67" t="b">
        <v>1</v>
      </c>
      <c r="J37" s="67" t="b">
        <v>0</v>
      </c>
      <c r="K37" s="67" t="b">
        <v>0</v>
      </c>
      <c r="L37" s="67" t="b">
        <v>1</v>
      </c>
      <c r="M37" s="67" t="b">
        <v>1</v>
      </c>
      <c r="N37" s="67" t="b">
        <v>0</v>
      </c>
      <c r="O37" s="67" t="b">
        <v>0</v>
      </c>
      <c r="P37" s="67" t="b">
        <v>1</v>
      </c>
      <c r="Q37" s="75" t="n">
        <v>625951</v>
      </c>
      <c r="R37" s="75" t="n">
        <v>1276508</v>
      </c>
    </row>
    <row r="38">
      <c r="A38" s="4" t="inlineStr">
        <is>
          <t>P36</t>
        </is>
      </c>
      <c r="B38" s="85" t="n">
        <v>14690</v>
      </c>
      <c r="C38" s="85" t="n">
        <v>9490.25</v>
      </c>
      <c r="D38" s="75" t="n">
        <v>42117</v>
      </c>
      <c r="E38" s="75" t="n">
        <v>238663</v>
      </c>
      <c r="F38" s="75" t="n">
        <v>650000</v>
      </c>
      <c r="G38" s="75" t="n">
        <v>357500</v>
      </c>
      <c r="H38" s="75" t="n">
        <v>881400</v>
      </c>
      <c r="I38" s="67" t="b">
        <v>1</v>
      </c>
      <c r="J38" s="67" t="b">
        <v>1</v>
      </c>
      <c r="K38" s="67" t="b">
        <v>0</v>
      </c>
      <c r="L38" s="67" t="b">
        <v>0</v>
      </c>
      <c r="M38" s="67" t="b">
        <v>1</v>
      </c>
      <c r="N38" s="67" t="b">
        <v>0</v>
      </c>
      <c r="O38" s="67" t="b">
        <v>0</v>
      </c>
      <c r="P38" s="67" t="b">
        <v>1</v>
      </c>
      <c r="Q38" s="75" t="n">
        <v>1921395</v>
      </c>
      <c r="R38" s="75" t="n">
        <v>3058713</v>
      </c>
    </row>
    <row r="39">
      <c r="A39" s="4" t="inlineStr">
        <is>
          <t>P37</t>
        </is>
      </c>
      <c r="B39" s="85" t="n">
        <v>5675</v>
      </c>
      <c r="C39" s="85" t="n">
        <v>3141.45</v>
      </c>
      <c r="D39" s="75" t="n">
        <v>47645</v>
      </c>
      <c r="E39" s="75" t="n">
        <v>269990</v>
      </c>
      <c r="F39" s="75" t="n">
        <v>350000</v>
      </c>
      <c r="G39" s="75" t="n">
        <v>192500</v>
      </c>
      <c r="H39" s="75" t="n">
        <v>200000</v>
      </c>
      <c r="I39" s="67" t="b">
        <v>1</v>
      </c>
      <c r="J39" s="67" t="b">
        <v>0</v>
      </c>
      <c r="K39" s="67" t="b">
        <v>0</v>
      </c>
      <c r="L39" s="67" t="b">
        <v>1</v>
      </c>
      <c r="M39" s="67" t="b">
        <v>1</v>
      </c>
      <c r="N39" s="67" t="b">
        <v>0</v>
      </c>
      <c r="O39" s="67" t="b">
        <v>0</v>
      </c>
      <c r="P39" s="67" t="b">
        <v>1</v>
      </c>
      <c r="Q39" s="75" t="n">
        <v>533663</v>
      </c>
      <c r="R39" s="75" t="n">
        <v>855201</v>
      </c>
    </row>
    <row r="40">
      <c r="A40" s="4" t="inlineStr">
        <is>
          <t>P38</t>
        </is>
      </c>
      <c r="B40" s="85" t="n">
        <v>6125</v>
      </c>
      <c r="C40" s="85" t="n">
        <v>4422</v>
      </c>
      <c r="D40" s="75" t="n">
        <v>34612</v>
      </c>
      <c r="E40" s="75" t="n">
        <v>196136</v>
      </c>
      <c r="F40" s="75" t="n">
        <v>350000</v>
      </c>
      <c r="G40" s="75" t="n">
        <v>192500</v>
      </c>
      <c r="H40" s="75" t="n">
        <v>367500</v>
      </c>
      <c r="I40" s="67" t="b">
        <v>1</v>
      </c>
      <c r="J40" s="67" t="b">
        <v>0</v>
      </c>
      <c r="K40" s="67" t="b">
        <v>0</v>
      </c>
      <c r="L40" s="67" t="b">
        <v>1</v>
      </c>
      <c r="M40" s="67" t="b">
        <v>1</v>
      </c>
      <c r="N40" s="67" t="b">
        <v>0</v>
      </c>
      <c r="O40" s="67" t="b">
        <v>0</v>
      </c>
      <c r="P40" s="67" t="b">
        <v>1</v>
      </c>
      <c r="Q40" s="75" t="n">
        <v>672731</v>
      </c>
      <c r="R40" s="75" t="n">
        <v>553288</v>
      </c>
    </row>
    <row r="41">
      <c r="A41" s="4" t="inlineStr">
        <is>
          <t>P39</t>
        </is>
      </c>
      <c r="B41" s="85" t="n">
        <v>3500</v>
      </c>
      <c r="C41" s="85" t="n">
        <v>1890</v>
      </c>
      <c r="D41" s="75" t="n">
        <v>4914</v>
      </c>
      <c r="E41" s="75" t="n">
        <v>27846</v>
      </c>
      <c r="F41" s="75" t="n">
        <v>0</v>
      </c>
      <c r="G41" s="75" t="n">
        <v>0</v>
      </c>
      <c r="H41" s="75" t="n">
        <v>0</v>
      </c>
      <c r="I41" s="67" t="b">
        <v>1</v>
      </c>
      <c r="J41" s="67" t="b">
        <v>0</v>
      </c>
      <c r="K41" s="67" t="b">
        <v>0</v>
      </c>
      <c r="L41" s="67" t="b">
        <v>1</v>
      </c>
      <c r="M41" s="67" t="b">
        <v>1</v>
      </c>
      <c r="N41" s="67" t="b">
        <v>0</v>
      </c>
      <c r="O41" s="67" t="b">
        <v>1</v>
      </c>
      <c r="P41" s="67" t="b">
        <v>0</v>
      </c>
      <c r="Q41" s="75" t="n">
        <v>421402</v>
      </c>
      <c r="R41" s="75" t="n">
        <v>818110</v>
      </c>
    </row>
    <row r="42">
      <c r="A42" s="4" t="inlineStr">
        <is>
          <t>P40</t>
        </is>
      </c>
      <c r="B42" s="85" t="n">
        <v>4400</v>
      </c>
      <c r="C42" s="85" t="n">
        <v>3410</v>
      </c>
      <c r="D42" s="75" t="n">
        <v>16038</v>
      </c>
      <c r="E42" s="75" t="n">
        <v>90882</v>
      </c>
      <c r="F42" s="75" t="n">
        <v>0</v>
      </c>
      <c r="G42" s="75" t="n">
        <v>0</v>
      </c>
      <c r="H42" s="75" t="n">
        <v>264000</v>
      </c>
      <c r="I42" s="67" t="b">
        <v>1</v>
      </c>
      <c r="J42" s="67" t="b">
        <v>0</v>
      </c>
      <c r="K42" s="67" t="b">
        <v>0</v>
      </c>
      <c r="L42" s="67" t="b">
        <v>1</v>
      </c>
      <c r="M42" s="67" t="b">
        <v>1</v>
      </c>
      <c r="N42" s="67" t="b">
        <v>0</v>
      </c>
      <c r="O42" s="67" t="b">
        <v>1</v>
      </c>
      <c r="P42" s="67" t="b">
        <v>0</v>
      </c>
      <c r="Q42" s="75" t="n">
        <v>403748</v>
      </c>
      <c r="R42" s="75" t="n">
        <v>857544</v>
      </c>
    </row>
    <row r="43">
      <c r="A43" s="4" t="inlineStr">
        <is>
          <t>P41</t>
        </is>
      </c>
      <c r="B43" s="85" t="n">
        <v>7350</v>
      </c>
      <c r="C43" s="85" t="n">
        <v>4263</v>
      </c>
      <c r="D43" s="75" t="n">
        <v>46570</v>
      </c>
      <c r="E43" s="75" t="n">
        <v>263894</v>
      </c>
      <c r="F43" s="75" t="n">
        <v>350000</v>
      </c>
      <c r="G43" s="75" t="n">
        <v>192500</v>
      </c>
      <c r="H43" s="75" t="n">
        <v>441000</v>
      </c>
      <c r="I43" s="67" t="b">
        <v>1</v>
      </c>
      <c r="J43" s="67" t="b">
        <v>0</v>
      </c>
      <c r="K43" s="67" t="b">
        <v>0</v>
      </c>
      <c r="L43" s="67" t="b">
        <v>1</v>
      </c>
      <c r="M43" s="67" t="b">
        <v>1</v>
      </c>
      <c r="N43" s="67" t="b">
        <v>0</v>
      </c>
      <c r="O43" s="67" t="b">
        <v>0</v>
      </c>
      <c r="P43" s="67" t="b">
        <v>1</v>
      </c>
      <c r="Q43" s="75" t="n">
        <v>655463</v>
      </c>
      <c r="R43" s="75" t="n">
        <v>1306202</v>
      </c>
    </row>
    <row r="44">
      <c r="A44" s="4" t="inlineStr">
        <is>
          <t>P42</t>
        </is>
      </c>
      <c r="B44" s="85" t="n">
        <v>9800</v>
      </c>
      <c r="C44" s="85" t="n">
        <v>6210</v>
      </c>
      <c r="D44" s="75" t="n">
        <v>126477</v>
      </c>
      <c r="E44" s="75" t="n">
        <v>716703</v>
      </c>
      <c r="F44" s="75" t="n">
        <v>350000</v>
      </c>
      <c r="G44" s="75" t="n">
        <v>192500</v>
      </c>
      <c r="H44" s="75" t="n">
        <v>200000</v>
      </c>
      <c r="I44" s="67" t="b">
        <v>1</v>
      </c>
      <c r="J44" s="67" t="b">
        <v>0</v>
      </c>
      <c r="K44" s="67" t="b">
        <v>0</v>
      </c>
      <c r="L44" s="67" t="b">
        <v>1</v>
      </c>
      <c r="M44" s="67" t="b">
        <v>1</v>
      </c>
      <c r="N44" s="67" t="b">
        <v>0</v>
      </c>
      <c r="O44" s="67" t="b">
        <v>0</v>
      </c>
      <c r="P44" s="67" t="b">
        <v>1</v>
      </c>
      <c r="Q44" s="75" t="n">
        <v>866908</v>
      </c>
      <c r="R44" s="75" t="n">
        <v>1235459</v>
      </c>
    </row>
    <row r="45">
      <c r="A45" s="4" t="inlineStr">
        <is>
          <t>P43</t>
        </is>
      </c>
      <c r="B45" s="85" t="n">
        <v>6860</v>
      </c>
      <c r="C45" s="85" t="n">
        <v>3978.8</v>
      </c>
      <c r="D45" s="75" t="n">
        <v>14941</v>
      </c>
      <c r="E45" s="75" t="n">
        <v>84666</v>
      </c>
      <c r="F45" s="75" t="n">
        <v>0</v>
      </c>
      <c r="G45" s="75" t="n">
        <v>0</v>
      </c>
      <c r="H45" s="75" t="n">
        <v>411600</v>
      </c>
      <c r="I45" s="67" t="b">
        <v>1</v>
      </c>
      <c r="J45" s="67" t="b">
        <v>0</v>
      </c>
      <c r="K45" s="67" t="b">
        <v>0</v>
      </c>
      <c r="L45" s="67" t="b">
        <v>1</v>
      </c>
      <c r="M45" s="67" t="b">
        <v>1</v>
      </c>
      <c r="N45" s="67" t="b">
        <v>0</v>
      </c>
      <c r="O45" s="67" t="b">
        <v>1</v>
      </c>
      <c r="P45" s="67" t="b">
        <v>0</v>
      </c>
      <c r="Q45" s="75" t="n">
        <v>724867</v>
      </c>
      <c r="R45" s="75" t="n">
        <v>1071652</v>
      </c>
    </row>
    <row r="46">
      <c r="A46" s="4" t="inlineStr">
        <is>
          <t>P44</t>
        </is>
      </c>
      <c r="B46" s="85" t="n">
        <v>4925</v>
      </c>
      <c r="C46" s="85" t="n">
        <v>3447.5</v>
      </c>
      <c r="D46" s="75" t="n">
        <v>11081</v>
      </c>
      <c r="E46" s="75" t="n">
        <v>62794</v>
      </c>
      <c r="F46" s="75" t="n">
        <v>350000</v>
      </c>
      <c r="G46" s="75" t="n">
        <v>192500</v>
      </c>
      <c r="H46" s="75" t="n">
        <v>295500</v>
      </c>
      <c r="I46" s="67" t="b">
        <v>1</v>
      </c>
      <c r="J46" s="67" t="b">
        <v>0</v>
      </c>
      <c r="K46" s="67" t="b">
        <v>0</v>
      </c>
      <c r="L46" s="67" t="b">
        <v>1</v>
      </c>
      <c r="M46" s="67" t="b">
        <v>1</v>
      </c>
      <c r="N46" s="67" t="b">
        <v>0</v>
      </c>
      <c r="O46" s="67" t="b">
        <v>0</v>
      </c>
      <c r="P46" s="67" t="b">
        <v>1</v>
      </c>
      <c r="Q46" s="75" t="n">
        <v>566900</v>
      </c>
      <c r="R46" s="75" t="n">
        <v>932334</v>
      </c>
    </row>
    <row r="47">
      <c r="A47" s="4" t="inlineStr">
        <is>
          <t>P45</t>
        </is>
      </c>
      <c r="B47" s="85" t="n">
        <v>5900</v>
      </c>
      <c r="C47" s="85" t="n">
        <v>3749.45</v>
      </c>
      <c r="D47" s="75" t="n">
        <v>37228</v>
      </c>
      <c r="E47" s="75" t="n">
        <v>210961</v>
      </c>
      <c r="F47" s="75" t="n">
        <v>350000</v>
      </c>
      <c r="G47" s="75" t="n">
        <v>192500</v>
      </c>
      <c r="H47" s="75" t="n">
        <v>354000</v>
      </c>
      <c r="I47" s="67" t="b">
        <v>1</v>
      </c>
      <c r="J47" s="67" t="b">
        <v>0</v>
      </c>
      <c r="K47" s="67" t="b">
        <v>0</v>
      </c>
      <c r="L47" s="67" t="b">
        <v>1</v>
      </c>
      <c r="M47" s="67" t="b">
        <v>1</v>
      </c>
      <c r="N47" s="67" t="b">
        <v>0</v>
      </c>
      <c r="O47" s="67" t="b">
        <v>0</v>
      </c>
      <c r="P47" s="67" t="b">
        <v>1</v>
      </c>
      <c r="Q47" s="75" t="n">
        <v>599692</v>
      </c>
      <c r="R47" s="75" t="n">
        <v>1059322</v>
      </c>
    </row>
    <row r="48">
      <c r="A48" s="4" t="inlineStr">
        <is>
          <t>P46</t>
        </is>
      </c>
      <c r="B48" s="85" t="n">
        <v>10400</v>
      </c>
      <c r="C48" s="85" t="n">
        <v>5940</v>
      </c>
      <c r="D48" s="75" t="n">
        <v>2574</v>
      </c>
      <c r="E48" s="75" t="n">
        <v>14586</v>
      </c>
      <c r="F48" s="75" t="n">
        <v>0</v>
      </c>
      <c r="G48" s="75" t="n">
        <v>0</v>
      </c>
      <c r="H48" s="75" t="n">
        <v>0</v>
      </c>
      <c r="I48" s="67" t="b">
        <v>1</v>
      </c>
      <c r="J48" s="67" t="b">
        <v>0</v>
      </c>
      <c r="K48" s="67" t="b">
        <v>0</v>
      </c>
      <c r="L48" s="67" t="b">
        <v>1</v>
      </c>
      <c r="M48" s="67" t="b">
        <v>1</v>
      </c>
      <c r="N48" s="67" t="b">
        <v>0</v>
      </c>
      <c r="O48" s="67" t="b">
        <v>1</v>
      </c>
      <c r="P48" s="67" t="b">
        <v>0</v>
      </c>
      <c r="Q48" s="75" t="n">
        <v>1415232</v>
      </c>
      <c r="R48" s="75" t="n">
        <v>2714105</v>
      </c>
    </row>
    <row r="49">
      <c r="A49" s="4" t="inlineStr">
        <is>
          <t>P47</t>
        </is>
      </c>
      <c r="B49" s="85" t="n">
        <v>3500</v>
      </c>
      <c r="C49" s="85" t="n">
        <v>1890</v>
      </c>
      <c r="D49" s="75" t="n">
        <v>4914</v>
      </c>
      <c r="E49" s="75" t="n">
        <v>27846</v>
      </c>
      <c r="F49" s="75" t="n">
        <v>0</v>
      </c>
      <c r="G49" s="75" t="n">
        <v>0</v>
      </c>
      <c r="H49" s="75" t="n">
        <v>0</v>
      </c>
      <c r="I49" s="67" t="b">
        <v>1</v>
      </c>
      <c r="J49" s="67" t="b">
        <v>0</v>
      </c>
      <c r="K49" s="67" t="b">
        <v>0</v>
      </c>
      <c r="L49" s="67" t="b">
        <v>1</v>
      </c>
      <c r="M49" s="67" t="b">
        <v>1</v>
      </c>
      <c r="N49" s="67" t="b">
        <v>0</v>
      </c>
      <c r="O49" s="67" t="b">
        <v>1</v>
      </c>
      <c r="P49" s="67" t="b">
        <v>0</v>
      </c>
      <c r="Q49" s="75" t="n">
        <v>421402</v>
      </c>
      <c r="R49" s="75" t="n">
        <v>626745</v>
      </c>
    </row>
    <row r="50">
      <c r="A50" s="4" t="inlineStr">
        <is>
          <t>P48</t>
        </is>
      </c>
      <c r="B50" s="85" t="n">
        <v>4025</v>
      </c>
      <c r="C50" s="85" t="n">
        <v>2334.5</v>
      </c>
      <c r="D50" s="75" t="n">
        <v>10360</v>
      </c>
      <c r="E50" s="75" t="n">
        <v>58709</v>
      </c>
      <c r="F50" s="75" t="n">
        <v>350000</v>
      </c>
      <c r="G50" s="75" t="n">
        <v>192500</v>
      </c>
      <c r="H50" s="75" t="n">
        <v>241500</v>
      </c>
      <c r="I50" s="67" t="b">
        <v>1</v>
      </c>
      <c r="J50" s="67" t="b">
        <v>0</v>
      </c>
      <c r="K50" s="67" t="b">
        <v>0</v>
      </c>
      <c r="L50" s="67" t="b">
        <v>1</v>
      </c>
      <c r="M50" s="67" t="b">
        <v>1</v>
      </c>
      <c r="N50" s="67" t="b">
        <v>0</v>
      </c>
      <c r="O50" s="67" t="b">
        <v>0</v>
      </c>
      <c r="P50" s="67" t="b">
        <v>1</v>
      </c>
      <c r="Q50" s="75" t="n">
        <v>577202</v>
      </c>
      <c r="R50" s="75" t="n">
        <v>920838</v>
      </c>
    </row>
    <row r="51">
      <c r="A51" s="4" t="inlineStr">
        <is>
          <t>P49</t>
        </is>
      </c>
      <c r="B51" s="85" t="n">
        <v>4550</v>
      </c>
      <c r="C51" s="85" t="n">
        <v>2821</v>
      </c>
      <c r="D51" s="75" t="n">
        <v>14742</v>
      </c>
      <c r="E51" s="75" t="n">
        <v>83538</v>
      </c>
      <c r="F51" s="75" t="n">
        <v>350000</v>
      </c>
      <c r="G51" s="75" t="n">
        <v>192500</v>
      </c>
      <c r="H51" s="75" t="n">
        <v>273000</v>
      </c>
      <c r="I51" s="67" t="b">
        <v>1</v>
      </c>
      <c r="J51" s="67" t="b">
        <v>0</v>
      </c>
      <c r="K51" s="67" t="b">
        <v>0</v>
      </c>
      <c r="L51" s="67" t="b">
        <v>1</v>
      </c>
      <c r="M51" s="67" t="b">
        <v>1</v>
      </c>
      <c r="N51" s="67" t="b">
        <v>0</v>
      </c>
      <c r="O51" s="67" t="b">
        <v>0</v>
      </c>
      <c r="P51" s="67" t="b">
        <v>1</v>
      </c>
      <c r="Q51" s="75" t="n">
        <v>498862</v>
      </c>
      <c r="R51" s="75" t="n">
        <v>603146</v>
      </c>
    </row>
    <row r="52">
      <c r="A52" s="4" t="inlineStr">
        <is>
          <t>P50</t>
        </is>
      </c>
      <c r="B52" s="85" t="n">
        <v>5000</v>
      </c>
      <c r="C52" s="85" t="n">
        <v>3875</v>
      </c>
      <c r="D52" s="75" t="n">
        <v>26325</v>
      </c>
      <c r="E52" s="75" t="n">
        <v>149175</v>
      </c>
      <c r="F52" s="75" t="n">
        <v>350000</v>
      </c>
      <c r="G52" s="75" t="n">
        <v>192500</v>
      </c>
      <c r="H52" s="75" t="n">
        <v>300000</v>
      </c>
      <c r="I52" s="67" t="b">
        <v>1</v>
      </c>
      <c r="J52" s="67" t="b">
        <v>0</v>
      </c>
      <c r="K52" s="67" t="b">
        <v>0</v>
      </c>
      <c r="L52" s="67" t="b">
        <v>1</v>
      </c>
      <c r="M52" s="67" t="b">
        <v>1</v>
      </c>
      <c r="N52" s="67" t="b">
        <v>0</v>
      </c>
      <c r="O52" s="67" t="b">
        <v>0</v>
      </c>
      <c r="P52" s="67" t="b">
        <v>1</v>
      </c>
      <c r="Q52" s="75" t="n">
        <v>613326</v>
      </c>
      <c r="R52" s="75" t="n">
        <v>1285792</v>
      </c>
    </row>
  </sheetData>
  <autoFilter ref="A2:R52"/>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2026-09-26T16:23:43Z</dcterms:created>
  <dcterms:modified xmlns:dcterms="http://purl.org/dc/terms/" xmlns:xsi="http://www.w3.org/2001/XMLSchema-instance" xsi:type="dcterms:W3CDTF">2026-09-26T16:23:46Z</dcterms:modified>
</cp:coreProperties>
</file>