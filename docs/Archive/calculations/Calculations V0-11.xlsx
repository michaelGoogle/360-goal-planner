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iriHeritage\GP\docs\calculations\"/>
    </mc:Choice>
  </mc:AlternateContent>
  <xr:revisionPtr revIDLastSave="0" documentId="13_ncr:1_{114EC4B6-E7D0-4FFE-8159-B29C55BA4FD2}" xr6:coauthVersionLast="47" xr6:coauthVersionMax="47" xr10:uidLastSave="{00000000-0000-0000-0000-000000000000}"/>
  <bookViews>
    <workbookView xWindow="-120" yWindow="-120" windowWidth="29040" windowHeight="17520" tabRatio="842" activeTab="1" xr2:uid="{00000000-000D-0000-FFFF-FFFF00000000}"/>
  </bookViews>
  <sheets>
    <sheet name="Overview" sheetId="1" r:id="rId1"/>
    <sheet name="Selected persona" sheetId="2" r:id="rId2"/>
    <sheet name="Personas" sheetId="3" r:id="rId3"/>
    <sheet name="CPF" sheetId="4" r:id="rId4"/>
    <sheet name="People Like You" sheetId="5" r:id="rId5"/>
    <sheet name="Need Profiler" sheetId="6" r:id="rId6"/>
    <sheet name="Need Calculator" sheetId="7" r:id="rId7"/>
    <sheet name="Plan Calculator" sheetId="8" r:id="rId8"/>
    <sheet name="Budget Calculator" sheetId="9" r:id="rId9"/>
    <sheet name="FX" sheetId="10" r:id="rId10"/>
    <sheet name="Validation" sheetId="11" r:id="rId11"/>
    <sheet name="Assumptions" sheetId="12" r:id="rId12"/>
    <sheet name="Discrepancies" sheetId="13" r:id="rId13"/>
    <sheet name="Code check" sheetId="14" r:id="rId14"/>
  </sheets>
  <definedNames>
    <definedName name="_xlnm._FilterDatabase" localSheetId="11" hidden="1">Assumptions!$A$5:$B$10</definedName>
    <definedName name="_xlnm._FilterDatabase" localSheetId="13" hidden="1">'Code check'!$A$2:$R$52</definedName>
    <definedName name="_xlnm._FilterDatabase" localSheetId="2" hidden="1">Personas!$A$2:$AD$52</definedName>
    <definedName name="ageOfRetirement">Assumptions!$B$14</definedName>
    <definedName name="annualBudget">Assumptions!$B$71</definedName>
    <definedName name="assetReturn">Assumptions!$B$10</definedName>
    <definedName name="assetsSaveShare">Assumptions!$B$48</definedName>
    <definedName name="benefitRound">Assumptions!$B$74</definedName>
    <definedName name="CASH_SAVINGS_SHARE">Assumptions!$B$51</definedName>
    <definedName name="CI_COST">Assumptions!$B$35</definedName>
    <definedName name="CI_YEARS">Assumptions!$B$34</definedName>
    <definedName name="coverPremRoundStep">Assumptions!$B$67</definedName>
    <definedName name="coverSliderPremFloor">Assumptions!$B$68</definedName>
    <definedName name="CPF_employee">CPF!$B$25</definedName>
    <definedName name="CPF_income">CPF!$B$8</definedName>
    <definedName name="CPF_on">CPF!$B$22</definedName>
    <definedName name="CPF_rate">CPF!$B$24</definedName>
    <definedName name="CPF_takeHome">CPF!$B$26</definedName>
    <definedName name="CpfCountrySwitch">CPF!$I$6:$J$14</definedName>
    <definedName name="cpfRate_over70">CPF!$B$16</definedName>
    <definedName name="cpfRate_to55">CPF!$B$12</definedName>
    <definedName name="cpfRate_to60">CPF!$B$13</definedName>
    <definedName name="cpfRate_to65">CPF!$B$14</definedName>
    <definedName name="cpfRate_to70">CPF!$B$15</definedName>
    <definedName name="criMedicalPlaceholder">Assumptions!$B$77</definedName>
    <definedName name="currentYear">Assumptions!$B$16</definedName>
    <definedName name="EDU_TOTAL_COST">Assumptions!$B$39</definedName>
    <definedName name="eduYearsDefault">Assumptions!$B$40</definedName>
    <definedName name="endAge">Assumptions!$B$17</definedName>
    <definedName name="FREE_BUDGET_SHARE">Assumptions!$B$64</definedName>
    <definedName name="funeralLump">Assumptions!$B$76</definedName>
    <definedName name="FX_cash">FX!$B$21</definedName>
    <definedName name="FX_expenseMonthly">FX!$B$20</definedName>
    <definedName name="FX_incomeMonthly">FX!$B$19</definedName>
    <definedName name="FX_investments">FX!$B$22</definedName>
    <definedName name="FX_liabilities">FX!$B$25</definedName>
    <definedName name="FX_lifeSum">FX!$B$26</definedName>
    <definedName name="FX_mortgage">FX!$B$24</definedName>
    <definedName name="FX_property">FX!$B$23</definedName>
    <definedName name="FX_usdPerLocal">FX!$B$16</definedName>
    <definedName name="FxTable">FX!$I$6:$J$14</definedName>
    <definedName name="gfr">Assumptions!$B$73</definedName>
    <definedName name="HOSP_MONTHS">Assumptions!$B$38</definedName>
    <definedName name="huNumSims">Assumptions!$B$75</definedName>
    <definedName name="IncomeBands">Assumptions!$E$6:$G$13</definedName>
    <definedName name="incomeGrowthRate">Assumptions!$B$8</definedName>
    <definedName name="inflationRate">Assumptions!$B$5</definedName>
    <definedName name="interestRate">Assumptions!$B$6</definedName>
    <definedName name="investmentReturn">Assumptions!$B$9</definedName>
    <definedName name="INVESTMENTS_SHARE">Assumptions!$B$52</definedName>
    <definedName name="liabilityRatio">Assumptions!$B$50</definedName>
    <definedName name="lifeExpectancyDefault">Assumptions!$B$15</definedName>
    <definedName name="lifePremiumRate">Assumptions!$B$59</definedName>
    <definedName name="lifeRoundUnit">Assumptions!$B$60</definedName>
    <definedName name="lifestyleFrugal">Assumptions!$B$28</definedName>
    <definedName name="lifestyleOnlyTheBest">Assumptions!$B$30</definedName>
    <definedName name="lifestyleStressFree">Assumptions!$B$29</definedName>
    <definedName name="lifeSupportMax">Assumptions!$B$32</definedName>
    <definedName name="lifeSupportMin">Assumptions!$B$31</definedName>
    <definedName name="lifeSupportPivotAge">Assumptions!$B$33</definedName>
    <definedName name="loanRate">Assumptions!$B$7</definedName>
    <definedName name="lumpRoundStep">Assumptions!$B$65</definedName>
    <definedName name="monthlyRoundStep">Assumptions!$B$66</definedName>
    <definedName name="NC_age">'Need Calculator'!$B$5</definedName>
    <definedName name="NC_amount_N_CRI">'Need Calculator'!$B$52</definedName>
    <definedName name="NC_amount_N_EDU">'Need Calculator'!$B$56</definedName>
    <definedName name="NC_amount_N_HOS">'Need Calculator'!$B$54</definedName>
    <definedName name="NC_amount_N_INC">'Need Calculator'!$B$51</definedName>
    <definedName name="NC_amount_N_PRP">'Need Calculator'!$B$58</definedName>
    <definedName name="NC_amount_N_RET">'Need Calculator'!$B$55</definedName>
    <definedName name="NC_amount_N_SAV">'Need Calculator'!$B$57</definedName>
    <definedName name="NC_amount_N_TPD">'Need Calculator'!$B$53</definedName>
    <definedName name="NC_eduYears">'Need Calculator'!$B$47</definedName>
    <definedName name="NC_gap_N_CRI">'Need Calculator'!$D$52</definedName>
    <definedName name="NC_gap_N_EDU">'Need Calculator'!$D$56</definedName>
    <definedName name="NC_gap_N_HOS">'Need Calculator'!$D$54</definedName>
    <definedName name="NC_gap_N_INC">'Need Calculator'!$D$51</definedName>
    <definedName name="NC_gap_N_PRP">'Need Calculator'!$D$58</definedName>
    <definedName name="NC_gap_N_RET">'Need Calculator'!$D$55</definedName>
    <definedName name="NC_gap_N_SAV">'Need Calculator'!$D$57</definedName>
    <definedName name="NC_gap_N_TPD">'Need Calculator'!$D$53</definedName>
    <definedName name="NC_have_N_CRI">'Need Calculator'!$C$52</definedName>
    <definedName name="NC_have_N_EDU">'Need Calculator'!$C$56</definedName>
    <definedName name="NC_have_N_HOS">'Need Calculator'!$C$54</definedName>
    <definedName name="NC_have_N_INC">'Need Calculator'!$C$51</definedName>
    <definedName name="NC_have_N_PRP">'Need Calculator'!$C$58</definedName>
    <definedName name="NC_have_N_RET">'Need Calculator'!$C$55</definedName>
    <definedName name="NC_have_N_SAV">'Need Calculator'!$C$57</definedName>
    <definedName name="NC_have_N_TPD">'Need Calculator'!$C$53</definedName>
    <definedName name="NC_on_N_CRI">'Need Calculator'!$F$52</definedName>
    <definedName name="NC_on_N_EDU">'Need Calculator'!$F$56</definedName>
    <definedName name="NC_on_N_HOS">'Need Calculator'!$F$54</definedName>
    <definedName name="NC_on_N_INC">'Need Calculator'!$F$51</definedName>
    <definedName name="NC_on_N_PRP">'Need Calculator'!$F$58</definedName>
    <definedName name="NC_on_N_RET">'Need Calculator'!$F$55</definedName>
    <definedName name="NC_on_N_SAV">'Need Calculator'!$F$57</definedName>
    <definedName name="NC_on_N_TPD">'Need Calculator'!$F$53</definedName>
    <definedName name="NC_yearsInRet">'Need Calculator'!$B$46</definedName>
    <definedName name="NC_yearsToRet">'Need Calculator'!$B$45</definedName>
    <definedName name="NP_grow2">'Need Profiler'!$B$92</definedName>
    <definedName name="NP_on_N_CRI">'Need Profiler'!$D$97</definedName>
    <definedName name="NP_on_N_EDU">'Need Profiler'!$D$101</definedName>
    <definedName name="NP_on_N_HOS">'Need Profiler'!$D$99</definedName>
    <definedName name="NP_on_N_INC">'Need Profiler'!$D$96</definedName>
    <definedName name="NP_on_N_PRP">'Need Profiler'!$D$103</definedName>
    <definedName name="NP_on_N_RET">'Need Profiler'!$D$100</definedName>
    <definedName name="NP_on_N_SAV">'Need Profiler'!$D$102</definedName>
    <definedName name="NP_on_N_TPD">'Need Profiler'!$D$98</definedName>
    <definedName name="NP_prot1">'Need Profiler'!$B$82</definedName>
    <definedName name="NP_prot2">'Need Profiler'!$B$87</definedName>
    <definedName name="OW_CEILING">CPF!$B$11</definedName>
    <definedName name="PersonaIDs">Personas!$A$3:$A$52</definedName>
    <definedName name="placeholderNeedBudget">Assumptions!$B$72</definedName>
    <definedName name="PLAN_included_N_CRI">'Plan Calculator'!$D$69</definedName>
    <definedName name="PLAN_included_N_EDU">'Plan Calculator'!$D$73</definedName>
    <definedName name="PLAN_included_N_HOS">'Plan Calculator'!$D$71</definedName>
    <definedName name="PLAN_included_N_INC">'Plan Calculator'!$D$68</definedName>
    <definedName name="PLAN_included_N_PRP">'Plan Calculator'!$D$75</definedName>
    <definedName name="PLAN_included_N_RET">'Plan Calculator'!$D$72</definedName>
    <definedName name="PLAN_included_N_SAV">'Plan Calculator'!$D$74</definedName>
    <definedName name="PLAN_included_N_TPD">'Plan Calculator'!$D$70</definedName>
    <definedName name="PLAN_investLump">'Plan Calculator'!$B$78</definedName>
    <definedName name="PLAN_investMth">'Plan Calculator'!$B$77</definedName>
    <definedName name="PLAN_nWealth">'Plan Calculator'!$B$42</definedName>
    <definedName name="PLAN_prem_N_CRI">'Plan Calculator'!$B$46</definedName>
    <definedName name="PLAN_prem_N_HOS">'Plan Calculator'!$B$50</definedName>
    <definedName name="PLAN_prem_N_INC">'Plan Calculator'!$B$44</definedName>
    <definedName name="PLAN_prem_N_TPD">'Plan Calculator'!$B$48</definedName>
    <definedName name="PLAN_protPremYr">'Plan Calculator'!$B$51</definedName>
    <definedName name="PLAN_wealthShare">'Plan Calculator'!$B$52</definedName>
    <definedName name="PLU_age">'People Like You'!$B$5</definedName>
    <definedName name="PLU_cash">'People Like You'!$B$75</definedName>
    <definedName name="PLU_currency">'People Like You'!$B$83</definedName>
    <definedName name="PLU_dependents">'People Like You'!$B$10</definedName>
    <definedName name="PLU_expenseMonthly">'People Like You'!$B$72</definedName>
    <definedName name="PLU_incomeMonthly">'People Like You'!$B$71</definedName>
    <definedName name="PLU_investments">'People Like You'!$B$76</definedName>
    <definedName name="PLU_leUsed">'People Like You'!$B$58</definedName>
    <definedName name="PLU_liabilities">'People Like You'!$B$80</definedName>
    <definedName name="PLU_lifePrem">'People Like You'!$B$82</definedName>
    <definedName name="PLU_lifeSum">'People Like You'!$B$81</definedName>
    <definedName name="PLU_marital">'People Like You'!$B$59</definedName>
    <definedName name="PLU_mortgage">'People Like You'!$B$79</definedName>
    <definedName name="PLU_ownsProperty">'People Like You'!$B$16</definedName>
    <definedName name="PLU_property">'People Like You'!$B$78</definedName>
    <definedName name="PLU_surplus">'People Like You'!$B$48</definedName>
    <definedName name="PLU_takeHome">'People Like You'!$B$73</definedName>
    <definedName name="ProfilerWeights">Assumptions!$B$90:$M$104</definedName>
    <definedName name="PROPERTY_LTV">Assumptions!$B$58</definedName>
    <definedName name="propertyHigh">Assumptions!$B$55</definedName>
    <definedName name="propertyIncomeHigh">Assumptions!$B$57</definedName>
    <definedName name="propertyIncomeLow">Assumptions!$B$56</definedName>
    <definedName name="propertyLow">Assumptions!$B$53</definedName>
    <definedName name="propertyMid">Assumptions!$B$54</definedName>
    <definedName name="protectionPremiumRate">Assumptions!$B$63</definedName>
    <definedName name="prpIncomeMultiple">Assumptions!$B$42</definedName>
    <definedName name="PW_1">Assumptions!$B$90:$M$90</definedName>
    <definedName name="PW_10">Assumptions!$B$99:$M$99</definedName>
    <definedName name="PW_11">Assumptions!$B$100:$M$100</definedName>
    <definedName name="PW_12">Assumptions!$B$101:$M$101</definedName>
    <definedName name="PW_13">Assumptions!$B$102:$M$102</definedName>
    <definedName name="PW_14">Assumptions!$B$103:$M$103</definedName>
    <definedName name="PW_15">Assumptions!$B$104:$M$104</definedName>
    <definedName name="PW_2">Assumptions!$B$91:$M$91</definedName>
    <definedName name="PW_3">Assumptions!$B$92:$M$92</definedName>
    <definedName name="PW_4">Assumptions!$B$93:$M$93</definedName>
    <definedName name="PW_5">Assumptions!$B$94:$M$94</definedName>
    <definedName name="PW_6">Assumptions!$B$95:$M$95</definedName>
    <definedName name="PW_7">Assumptions!$B$96:$M$96</definedName>
    <definedName name="PW_8">Assumptions!$B$97:$M$97</definedName>
    <definedName name="PW_9">Assumptions!$B$98:$M$98</definedName>
    <definedName name="realReturn">Assumptions!$B$11</definedName>
    <definedName name="savIncomeMultiple">Assumptions!$B$41</definedName>
    <definedName name="SelectedPersona">'Selected persona'!$B$2</definedName>
    <definedName name="spendShareBase">Assumptions!$B$45</definedName>
    <definedName name="spendShareCap">Assumptions!$B$47</definedName>
    <definedName name="spendSharePerDependant">Assumptions!$B$46</definedName>
    <definedName name="TPD_COST">Assumptions!$B$37</definedName>
    <definedName name="TPD_YEARS">Assumptions!$B$36</definedName>
    <definedName name="UsdRules">Validation!$A$6:$C$13</definedName>
    <definedName name="workStartAge">Assumptions!$B$49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2" l="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B16" i="11"/>
  <c r="B2" i="10"/>
  <c r="C2" i="10" s="1"/>
  <c r="B16" i="9"/>
  <c r="B2" i="9"/>
  <c r="C2" i="9" s="1"/>
  <c r="B31" i="8"/>
  <c r="B30" i="8"/>
  <c r="B29" i="8"/>
  <c r="B28" i="8"/>
  <c r="B27" i="8"/>
  <c r="B24" i="8"/>
  <c r="B2" i="8"/>
  <c r="C2" i="8" s="1"/>
  <c r="B56" i="7"/>
  <c r="F55" i="7"/>
  <c r="B15" i="8" s="1"/>
  <c r="C54" i="7"/>
  <c r="C53" i="7"/>
  <c r="C52" i="7"/>
  <c r="B47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16" i="7"/>
  <c r="B15" i="7"/>
  <c r="B2" i="7"/>
  <c r="C2" i="7" s="1"/>
  <c r="D100" i="6"/>
  <c r="B2" i="6"/>
  <c r="B5" i="6" s="1"/>
  <c r="B34" i="6" s="1"/>
  <c r="B64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7" i="5"/>
  <c r="B58" i="5" s="1"/>
  <c r="B46" i="7" s="1"/>
  <c r="B16" i="5"/>
  <c r="B54" i="5" s="1"/>
  <c r="B2" i="5"/>
  <c r="B72" i="5" s="1"/>
  <c r="B2" i="4"/>
  <c r="B8" i="4" s="1"/>
  <c r="B24" i="2"/>
  <c r="B23" i="2"/>
  <c r="B22" i="2"/>
  <c r="B21" i="2"/>
  <c r="B20" i="2"/>
  <c r="B19" i="2"/>
  <c r="B18" i="2"/>
  <c r="B17" i="2"/>
  <c r="B16" i="2"/>
  <c r="B13" i="2"/>
  <c r="B12" i="2"/>
  <c r="B11" i="2"/>
  <c r="B10" i="2"/>
  <c r="B9" i="2"/>
  <c r="B8" i="2"/>
  <c r="B7" i="2"/>
  <c r="B6" i="2"/>
  <c r="B5" i="2"/>
  <c r="C2" i="2"/>
  <c r="B5" i="7" l="1"/>
  <c r="B44" i="7" s="1"/>
  <c r="C2" i="6"/>
  <c r="C2" i="4"/>
  <c r="B6" i="6"/>
  <c r="B35" i="6" s="1"/>
  <c r="B5" i="4"/>
  <c r="B22" i="4" s="1"/>
  <c r="B7" i="6"/>
  <c r="B36" i="6" s="1"/>
  <c r="B6" i="4"/>
  <c r="B8" i="6"/>
  <c r="B37" i="6" s="1"/>
  <c r="B7" i="4"/>
  <c r="B15" i="6"/>
  <c r="B38" i="6" s="1"/>
  <c r="B16" i="6"/>
  <c r="B45" i="6" s="1"/>
  <c r="B65" i="5"/>
  <c r="B17" i="6"/>
  <c r="B46" i="6" s="1"/>
  <c r="B5" i="5"/>
  <c r="B49" i="5" s="1"/>
  <c r="B66" i="5"/>
  <c r="B18" i="6"/>
  <c r="B47" i="6" s="1"/>
  <c r="B7" i="5"/>
  <c r="B75" i="5"/>
  <c r="B11" i="6" s="1"/>
  <c r="B20" i="6"/>
  <c r="B8" i="5"/>
  <c r="B76" i="5"/>
  <c r="B9" i="5"/>
  <c r="B40" i="5" s="1"/>
  <c r="B80" i="5"/>
  <c r="B10" i="5"/>
  <c r="B46" i="5" s="1"/>
  <c r="B81" i="5"/>
  <c r="B11" i="5"/>
  <c r="B21" i="11"/>
  <c r="B6" i="9"/>
  <c r="B30" i="2"/>
  <c r="B6" i="8"/>
  <c r="B10" i="6"/>
  <c r="B7" i="10"/>
  <c r="B7" i="7"/>
  <c r="B31" i="6"/>
  <c r="B40" i="6" s="1"/>
  <c r="B42" i="5"/>
  <c r="B27" i="2"/>
  <c r="B56" i="5"/>
  <c r="B57" i="5" s="1"/>
  <c r="B55" i="5"/>
  <c r="B26" i="11"/>
  <c r="C16" i="11"/>
  <c r="B12" i="10"/>
  <c r="B11" i="7"/>
  <c r="C56" i="7"/>
  <c r="D56" i="7" s="1"/>
  <c r="B14" i="5"/>
  <c r="B62" i="5"/>
  <c r="B78" i="5"/>
  <c r="B15" i="5"/>
  <c r="B63" i="5"/>
  <c r="B79" i="5"/>
  <c r="B12" i="6"/>
  <c r="B13" i="10"/>
  <c r="B7" i="9"/>
  <c r="B59" i="5"/>
  <c r="B32" i="2"/>
  <c r="C57" i="7"/>
  <c r="B83" i="5"/>
  <c r="B10" i="7"/>
  <c r="B67" i="5"/>
  <c r="C2" i="5"/>
  <c r="B68" i="5"/>
  <c r="B19" i="6"/>
  <c r="B48" i="6" s="1"/>
  <c r="B39" i="5"/>
  <c r="B6" i="5"/>
  <c r="B77" i="5" l="1"/>
  <c r="B27" i="11"/>
  <c r="B82" i="5"/>
  <c r="C51" i="7"/>
  <c r="B9" i="7"/>
  <c r="B36" i="2"/>
  <c r="B35" i="2"/>
  <c r="B33" i="6"/>
  <c r="B42" i="6" s="1"/>
  <c r="C58" i="7"/>
  <c r="B9" i="10"/>
  <c r="B23" i="4"/>
  <c r="B24" i="4" s="1"/>
  <c r="B43" i="5" s="1"/>
  <c r="B23" i="11"/>
  <c r="B31" i="2"/>
  <c r="B32" i="6"/>
  <c r="B41" i="6" s="1"/>
  <c r="B8" i="10"/>
  <c r="B45" i="7"/>
  <c r="B55" i="7" s="1"/>
  <c r="D55" i="7" s="1"/>
  <c r="B22" i="11"/>
  <c r="B18" i="8"/>
  <c r="B56" i="8"/>
  <c r="B33" i="2"/>
  <c r="B10" i="10"/>
  <c r="B24" i="11"/>
  <c r="B5" i="10"/>
  <c r="B16" i="10"/>
  <c r="B23" i="8"/>
  <c r="C55" i="7"/>
  <c r="B71" i="5"/>
  <c r="B25" i="4"/>
  <c r="B41" i="5"/>
  <c r="B51" i="7"/>
  <c r="D51" i="7" s="1"/>
  <c r="B34" i="2"/>
  <c r="B8" i="7"/>
  <c r="B25" i="11"/>
  <c r="B11" i="10"/>
  <c r="D16" i="11"/>
  <c r="B44" i="5" l="1"/>
  <c r="B26" i="4"/>
  <c r="B45" i="5" s="1"/>
  <c r="B38" i="8"/>
  <c r="B53" i="8"/>
  <c r="B16" i="8"/>
  <c r="B6" i="10"/>
  <c r="B19" i="10" s="1"/>
  <c r="C20" i="11" s="1"/>
  <c r="B6" i="7"/>
  <c r="B30" i="6"/>
  <c r="B39" i="6" s="1"/>
  <c r="B58" i="7"/>
  <c r="D58" i="7" s="1"/>
  <c r="B54" i="7"/>
  <c r="D54" i="7" s="1"/>
  <c r="B9" i="6"/>
  <c r="B28" i="2"/>
  <c r="B52" i="7"/>
  <c r="D52" i="7" s="1"/>
  <c r="B57" i="7"/>
  <c r="D57" i="7" s="1"/>
  <c r="B20" i="11"/>
  <c r="B53" i="7"/>
  <c r="D53" i="7" s="1"/>
  <c r="B24" i="10"/>
  <c r="C25" i="11" s="1"/>
  <c r="G25" i="11" s="1"/>
  <c r="B23" i="10"/>
  <c r="C24" i="11" s="1"/>
  <c r="G24" i="11" s="1"/>
  <c r="B22" i="10"/>
  <c r="C23" i="11" s="1"/>
  <c r="G23" i="11" s="1"/>
  <c r="B21" i="10"/>
  <c r="C22" i="11" s="1"/>
  <c r="F22" i="11" s="1"/>
  <c r="B20" i="10"/>
  <c r="C21" i="11" s="1"/>
  <c r="F21" i="11" s="1"/>
  <c r="B17" i="11"/>
  <c r="B26" i="10"/>
  <c r="C27" i="11" s="1"/>
  <c r="G27" i="11" s="1"/>
  <c r="F23" i="11"/>
  <c r="B25" i="10"/>
  <c r="C26" i="11" s="1"/>
  <c r="G26" i="11" s="1"/>
  <c r="B8" i="8"/>
  <c r="F27" i="11" l="1"/>
  <c r="F20" i="11"/>
  <c r="G20" i="11"/>
  <c r="B10" i="8"/>
  <c r="B14" i="8"/>
  <c r="B55" i="6"/>
  <c r="B54" i="6"/>
  <c r="B53" i="6"/>
  <c r="B62" i="6"/>
  <c r="B60" i="6"/>
  <c r="B51" i="6"/>
  <c r="B56" i="6"/>
  <c r="B58" i="6"/>
  <c r="B61" i="6"/>
  <c r="B59" i="6"/>
  <c r="B52" i="6"/>
  <c r="B57" i="6"/>
  <c r="F26" i="11"/>
  <c r="G21" i="11"/>
  <c r="G22" i="11"/>
  <c r="B72" i="8"/>
  <c r="D72" i="8" s="1"/>
  <c r="B12" i="8"/>
  <c r="B59" i="8"/>
  <c r="B20" i="8"/>
  <c r="B62" i="8"/>
  <c r="B22" i="8"/>
  <c r="F24" i="11"/>
  <c r="F25" i="11"/>
  <c r="B47" i="5"/>
  <c r="B73" i="5"/>
  <c r="B29" i="11" l="1"/>
  <c r="B64" i="6"/>
  <c r="B63" i="6"/>
  <c r="B67" i="6" s="1"/>
  <c r="B69" i="6"/>
  <c r="B75" i="6"/>
  <c r="B71" i="6"/>
  <c r="B74" i="6"/>
  <c r="B70" i="6"/>
  <c r="B19" i="9"/>
  <c r="B20" i="9" s="1"/>
  <c r="B74" i="5"/>
  <c r="B29" i="2"/>
  <c r="B5" i="8"/>
  <c r="B5" i="9"/>
  <c r="B48" i="5"/>
  <c r="B50" i="5" s="1"/>
  <c r="B66" i="6"/>
  <c r="B73" i="6" l="1"/>
  <c r="B53" i="5"/>
  <c r="B52" i="5"/>
  <c r="B51" i="5"/>
  <c r="E98" i="6"/>
  <c r="B80" i="6"/>
  <c r="B89" i="6"/>
  <c r="E102" i="6"/>
  <c r="E99" i="6"/>
  <c r="B81" i="6"/>
  <c r="B88" i="6"/>
  <c r="B91" i="6" s="1"/>
  <c r="B92" i="6" s="1"/>
  <c r="E101" i="6"/>
  <c r="B79" i="6"/>
  <c r="E97" i="6"/>
  <c r="B65" i="6"/>
  <c r="B68" i="6"/>
  <c r="E100" i="6" s="1"/>
  <c r="B72" i="6"/>
  <c r="B90" i="6"/>
  <c r="E103" i="6"/>
  <c r="B76" i="6"/>
  <c r="E96" i="6" l="1"/>
  <c r="B78" i="6"/>
  <c r="B82" i="6" s="1"/>
  <c r="B103" i="6"/>
  <c r="D103" i="6" s="1"/>
  <c r="F58" i="7" s="1"/>
  <c r="B101" i="6"/>
  <c r="D101" i="6" s="1"/>
  <c r="F56" i="7" s="1"/>
  <c r="B102" i="6"/>
  <c r="D102" i="6" s="1"/>
  <c r="F57" i="7" s="1"/>
  <c r="B19" i="8" l="1"/>
  <c r="B40" i="8"/>
  <c r="B17" i="8"/>
  <c r="B39" i="8"/>
  <c r="B21" i="8"/>
  <c r="B41" i="8"/>
  <c r="B85" i="6"/>
  <c r="B86" i="6"/>
  <c r="B84" i="6"/>
  <c r="B83" i="6"/>
  <c r="B87" i="6" s="1"/>
  <c r="B97" i="6" s="1"/>
  <c r="D97" i="6" s="1"/>
  <c r="F52" i="7" s="1"/>
  <c r="B9" i="8" l="1"/>
  <c r="B35" i="8"/>
  <c r="B98" i="6"/>
  <c r="D98" i="6" s="1"/>
  <c r="F53" i="7" s="1"/>
  <c r="B99" i="6"/>
  <c r="D99" i="6" s="1"/>
  <c r="F54" i="7" s="1"/>
  <c r="B96" i="6"/>
  <c r="D96" i="6" s="1"/>
  <c r="F51" i="7" s="1"/>
  <c r="B73" i="8"/>
  <c r="D73" i="8" s="1"/>
  <c r="B57" i="8"/>
  <c r="B42" i="8"/>
  <c r="B74" i="8"/>
  <c r="D74" i="8" s="1"/>
  <c r="B75" i="8"/>
  <c r="D75" i="8" s="1"/>
  <c r="B63" i="8"/>
  <c r="B7" i="8" l="1"/>
  <c r="B34" i="8"/>
  <c r="B78" i="8"/>
  <c r="B13" i="8"/>
  <c r="B37" i="8"/>
  <c r="B11" i="8"/>
  <c r="B36" i="8"/>
  <c r="B45" i="8"/>
  <c r="B46" i="8" s="1"/>
  <c r="B69" i="8"/>
  <c r="D69" i="8" s="1"/>
  <c r="B9" i="9" s="1"/>
  <c r="B47" i="8" l="1"/>
  <c r="B48" i="8" s="1"/>
  <c r="B70" i="8"/>
  <c r="D70" i="8" s="1"/>
  <c r="B10" i="9" s="1"/>
  <c r="B68" i="8"/>
  <c r="D68" i="8" s="1"/>
  <c r="B43" i="8"/>
  <c r="B44" i="8" s="1"/>
  <c r="B49" i="8"/>
  <c r="B50" i="8" s="1"/>
  <c r="B71" i="8"/>
  <c r="D71" i="8" s="1"/>
  <c r="B11" i="9" s="1"/>
  <c r="B13" i="9"/>
  <c r="B26" i="9"/>
  <c r="B27" i="9" s="1"/>
  <c r="B51" i="8" l="1"/>
  <c r="B52" i="8" s="1"/>
  <c r="B8" i="9"/>
  <c r="B21" i="9"/>
  <c r="B22" i="9" s="1"/>
  <c r="B54" i="8" l="1"/>
  <c r="B60" i="8"/>
  <c r="B77" i="8" l="1"/>
  <c r="B12" i="9"/>
  <c r="B24" i="9"/>
  <c r="B25" i="9" s="1"/>
  <c r="B23" i="9"/>
</calcChain>
</file>

<file path=xl/sharedStrings.xml><?xml version="1.0" encoding="utf-8"?>
<sst xmlns="http://schemas.openxmlformats.org/spreadsheetml/2006/main" count="2399" uniqueCount="1178">
  <si>
    <t>FinPlan360 calculation components — live code, September 2026</t>
  </si>
  <si>
    <t>Yellow = type here. Orange = override (leave blank to keep the calculated value). Pick the persona on the Selected persona tab; every later tab follows that id. Gold = persona input, blue = LLM, orange = user / Money-page override, green = calculated, purple = assumptions. FX converts local amounts to USD. Validation applies USD-only rules. CPF is its own tab and is on only when the country switch says so (Singapore on, others off). HappiU and Scenario Visualizer are mapped here but scored / projected in HU and SV.</t>
  </si>
  <si>
    <t>Component</t>
  </si>
  <si>
    <t>Owner</t>
  </si>
  <si>
    <t>Reads</t>
  </si>
  <si>
    <t>Writes</t>
  </si>
  <si>
    <t>How it calculates (code)</t>
  </si>
  <si>
    <t>Code</t>
  </si>
  <si>
    <t>Tab</t>
  </si>
  <si>
    <t>HTTP / UI</t>
  </si>
  <si>
    <t>CPF</t>
  </si>
  <si>
    <t>GP pipeline (Singapore only)</t>
  </si>
  <si>
    <t>country, residency, age, incomeMonthly. Country switch on the CPF tab.</t>
  </si>
  <si>
    <t>employee CPF, take-home. 0 / income when CPF is off.</t>
  </si>
  <si>
    <t>On only when the country table (or orange override) is TRUE. Singapore Citizen/PR: employee CPF = floor(min(gross, OW_CEILING) × age-band rate). Foreigner → 0. Any other country → off, take-home = gross. src/cpf.py.</t>
  </si>
  <si>
    <t>src/cpf.py</t>
  </si>
  <si>
    <t>Inside POST /v1/predict (take-home)</t>
  </si>
  <si>
    <t>People Like You</t>
  </si>
  <si>
    <t>GP pipeline</t>
  </si>
  <si>
    <t>age / DOB, occupation, gender, dependents, residency. CPF box for take-home. Does not read Assumptions.</t>
  </si>
  <si>
    <t>incomeMonthly, expenseMonthly, cash, investments, property, mortgage, one Life Protection policy, lifeExpectancy, isSmoker.</t>
  </si>
  <si>
    <t>LLM proposes gross monthly income and lifestyle flags. Income is clamped to the Singapore occupation band. Employee CPF = floor(min(gross, 8000) × age-band rate); 0 if Foreigner. expenseMonthly = round(take-home × min(67.5% + 5pp × dependents, 90%), 2). Liquid assets = max(0, surplus × 12 × 0.5 × (age − 21)), then cash 15% / investments 85%. If the model says they own a home: property from income band, mortgage = round(property × 55%). Assumed life cover = max(mortgage rounded up to S$100k, 5 × annual income if dependents &gt; 0); premium = round(sum × 0.31%). PLU liabilities (= assets × 0.7) is not the mortgage. If this step fails, predict returns 503.</t>
  </si>
  <si>
    <t>src/pipeline/people_like_you.py, src/cpf.py, src/predict.py _apply_plu</t>
  </si>
  <si>
    <t>POST /v1/predict (first of three)</t>
  </si>
  <si>
    <t>Need Profiler</t>
  </si>
  <si>
    <t>Age, gender, dependents, occupation, smoker, income, expense, liquid assets, PLU liabilities, hospital/ward/lifestyle/sports, car/home/travel flags. Existing cover is hard-coded 0. No Assumptions. No LLM.</t>
  </si>
  <si>
    <t>needs[].enabled, needs[].priority, needs[].weightageScore. Four UNIFIED types on: two protection + two growth (retirement always one of the growth pair).</t>
  </si>
  <si>
    <t>Twelve AI labels are scored as Σ (factor_weight × option_weight), rounded to 2 dp, then min–max scaled 0–10. Income / expense / assets / liabilities buckets convert SGD × 0.75 to a USD table. Car ownership, home ownership, travel, and existing life / CI cover have factor weights but no matching weight_options, so they add 0. select_unified_top ignores top_n (app.py still passes 4). If has_property, N_PRP replaces N_SAV in the second growth slot. priority = 5 if scaled score &gt; 7 else 3. Personal accident / motor / travel / farewell are scored and dropped. Orange Enable? columns let you force a need on or off.</t>
  </si>
  <si>
    <t>src/pipeline/need_profiler.py, src/pipeline/prompts/Need_profiler.json, src/app.py top_n=4</t>
  </si>
  <si>
    <t>POST /v1/predict</t>
  </si>
  <si>
    <t>Need Calculator</t>
  </si>
  <si>
    <t>Money attributes, enabled needs, goal-card sliders (lifestyle, retAge, targetYear, incomeReplaceMonthly, dependYears, bequest, monthlyContribution, tagged existing), Assumptions rates, Need parameters.</t>
  </si>
  <si>
    <t>For every UNIFIED type: needAmount, have, gap. Copies ageOfRetirement from the retirement row.</t>
  </si>
  <si>
    <t>realReturn = max(0, (1 + investmentReturn) / (1 + inflationRate) − 1). N_RET = PV of (today’s annual spend × lifestyle, grown at inflation to retirement) as an ordinary annuity for lifeExpectancy − retAge. N_INC = bequest + mortgage + ordinary annuity of annual spend over supportYears = min(max(10, 50 − age), 25). N_CRI / N_TPD = annuity-due of replacement income for 3 / 5 years + S$200,000. N_HOS = income × 6. N_EDU = 75,000 × (1 + inflation)^(targetYear − thisYear). N_SAV / N_PRP = stored needAmount if &gt; 0, else 1× / 5× annual income. Protection have = policy sum (life is seeded by PLU). Wealth have = tagged investments only, grown at realReturn; cash is never allocated. Amounts are computed for all eight types even when a need is off. Orange Enable? and slider columns are the goal-card inputs.</t>
  </si>
  <si>
    <t>src/pipeline/need_calculator.py evaluate_session, src/pipeline/goal_math.py, src/hu_payload.py need_existing / apply_investment_pot</t>
  </si>
  <si>
    <t>POST /v1/predict and POST /v1/needs</t>
  </si>
  <si>
    <t>Goal cards</t>
  </si>
  <si>
    <t>GP UI</t>
  </si>
  <si>
    <t>Last calculator row (have, gap, stored sliders).</t>
  </si>
  <si>
    <t>Slider fields on the need; then POST /v1/needs (debounced). Does not recompute amounts in the browser.</t>
  </si>
  <si>
    <t>fillNeedEdit reads stored fields. patchNeedInputs writes lifestyle / retAge / targetYear / existing / … onto the session. Retirement stays on. The Score/Plan cap of four needs is UI-only (needEdit.capEnabledNeeds); this workbook lets you switch any need.</t>
  </si>
  <si>
    <t>frontend/src/lib/needEdit.ts</t>
  </si>
  <si>
    <t>Need Calculator (slider columns)</t>
  </si>
  <si>
    <t>Score and Plan screens</t>
  </si>
  <si>
    <t>Plan Calculator</t>
  </si>
  <si>
    <t>Enabled needs with gap &gt; 0, take-home surplus, Assumptions inflationRate / investmentReturn / ageOfRetirement.</t>
  </si>
  <si>
    <t>planSum + planPrem (protection), planMth + planLump (wealth), investMth / investLump totals, plansOff.</t>
  </si>
  <si>
    <t>Suggested = enabled AND gap &gt; 0. Default planSum = round(gap). planPrem = round((sum × 0.00078) / 10) × 10. Wealth horizon = years to retirement, or targetYear − this year. Lump / monthly caps = the amount that alone grows to the gap at realReturn (round up to S$1,000 / S$50). Default monthly = round((max(0, take-home − expense) × 12 − all protection premiums) × 50% / 12 / n_wealth / 50) × 50, then min(share, cap). Default lump = 0. Orange Include? columns are plansOff.</t>
  </si>
  <si>
    <t>frontend/src/lib/planProducts.ts, frontend/src/lib/local.ts seedProducts</t>
  </si>
  <si>
    <t>Plan screen (not an HTTP engine)</t>
  </si>
  <si>
    <t>Budget Calculator</t>
  </si>
  <si>
    <t>take-home, expenseMonthly, investments, included planPrem / planMth / planLump. Not the economic rates.</t>
  </si>
  <si>
    <t>Nothing on the session. Plan-screen affordability only.</t>
  </si>
  <si>
    <t>available = max(0, takeHomeMonthly − expenseMonthly). free = round(available × 0.5). monthly = round(wealth contributions + protection premiums / 12). monthlyOver = monthly − free. lumpOver = wealth lumps − investments. Separate from the HappiU envelope (annualBudget 1500).</t>
  </si>
  <si>
    <t>planAfford in frontend/src/lib/planProducts.ts; availableBudget in types.ts</t>
  </si>
  <si>
    <t>Plan screen</t>
  </si>
  <si>
    <t>FX</t>
  </si>
  <si>
    <t>Workbook only (not an HTTP engine)</t>
  </si>
  <si>
    <t>Personas currency + effective session money fields from People Like You.</t>
  </si>
  <si>
    <t>USD per 1 local, and each money field in USD. Validation reads these; engines stay local.</t>
  </si>
  <si>
    <t>Lookup ISO code in the FX rate table (USD per 1 local unit). USD = local × rate. Example: 5,000 SGD × 0.74 = 3,700 USD; 5,000 VND × 0.000038 = 0.19 USD. Edit the rate table on this tab. People Like You still stores local currency.</t>
  </si>
  <si>
    <t>Workbook FX tab (no src module — validation helper)</t>
  </si>
  <si>
    <t>Not in the live pipeline</t>
  </si>
  <si>
    <t>HappiU</t>
  </si>
  <si>
    <t>HU, via GP</t>
  </si>
  <si>
    <t>Whole session. Assumptions rates, CPF (inside HU), riskProfile, plan fields when set. Need amounts already stored.</t>
  </si>
  <si>
    <t>preHappiU, postHappiU. GP does not run the Monte Carlo.</t>
  </si>
  <si>
    <t>GP maps the session (src/hu_payload.py). Salary is gross incomeMonthly. N_HOS is renamed N_HSP. If retirement is off, GP still sends a synthetic N_RET = expense × 12 × (lifeExpectancy − retAge). Before a plan: benefitAmount = needAmount rounded to S$50,000, budget 200. With a plan: planSum / planPrem. This workbook does not score HappiU.</t>
  </si>
  <si>
    <t>src/hu_payload.py → POST /v1/score → HU</t>
  </si>
  <si>
    <t>Assumptions (envelope only)</t>
  </si>
  <si>
    <t>POST /v1/score</t>
  </si>
  <si>
    <t>Scenario Visualizer</t>
  </si>
  <si>
    <t>SV, via GP</t>
  </si>
  <si>
    <t>Session after Plan, all six rates, ageOfRetirement, endAge, stress chips. CPF inside SV.</t>
  </si>
  <si>
    <t>Year-by-year wealth path. GP does not run the year step.</t>
  </si>
  <si>
    <t>preWealth = session without the plan; postWealth = plus included planMth / planLump / planSum / planPrem. svNumSims defaults to 20. Investment contribution = max(0, take-home − expenseMonthly) once a year. This workbook does not project the path.</t>
  </si>
  <si>
    <t>src/sv_payload.py → POST /v1/project → SV</t>
  </si>
  <si>
    <t>Assumptions (stress catalogue)</t>
  </si>
  <si>
    <t>POST /v1/project</t>
  </si>
  <si>
    <t>Journey order (one session, each step adds attributes)</t>
  </si>
  <si>
    <t>Shared inputs (Assumptions · CPF · Need parameters · Risk · Stress events)  →  About you  →  CPF (on for Singapore only)  →  People Like You (or the customer edits the same money fields)  →  Need Profiler  →  Need Calculator  →  HappiU (no plan)  →  Plan Calculator  →  Budget Calculator  →  Scenario Visualizer  →  HappiU (with plan). Workbook-only: FX (local → USD) then Validation (USD rules).</t>
  </si>
  <si>
    <t>UNIFIED types in code order: N_INC, N_CRI, N_TPD, N_HOS (protection) · N_RET, N_EDU, N_SAV, N_PRP (wealth). Goal-card sliders live on the Need Calculator tab. See Discrepancies for every place the markdown still disagrees with the code.</t>
  </si>
  <si>
    <t>Selected persona — pick one id here. Every calculation tab follows this cell.</t>
  </si>
  <si>
    <t>Selected persona</t>
  </si>
  <si>
    <t>P01</t>
  </si>
  <si>
    <t>This is the only picker. CPF, People Like You, Need Profiler, Need Calculator, Plan, Budget, FX, and Validation follow this cell.</t>
  </si>
  <si>
    <t>A · INPUT DATA</t>
  </si>
  <si>
    <t>Attribute</t>
  </si>
  <si>
    <t>Value</t>
  </si>
  <si>
    <t>Kind</t>
  </si>
  <si>
    <t>Source / formula</t>
  </si>
  <si>
    <t>B · LLM PREDICTED DATA</t>
  </si>
  <si>
    <t>A · ABOUT YOU  —  from the Personas row (edit there)</t>
  </si>
  <si>
    <t>C · DETERMINISTICALLY CALCULATED</t>
  </si>
  <si>
    <t>name</t>
  </si>
  <si>
    <t>A · input</t>
  </si>
  <si>
    <t>Personas B.</t>
  </si>
  <si>
    <t>D · ASSUMPTIONS / SHARED DATA</t>
  </si>
  <si>
    <t>age</t>
  </si>
  <si>
    <t>Personas C.</t>
  </si>
  <si>
    <t>E · USER / FRONTEND OVERRIDE</t>
  </si>
  <si>
    <t>gender</t>
  </si>
  <si>
    <t>Personas D.</t>
  </si>
  <si>
    <t>residency</t>
  </si>
  <si>
    <t>Personas E.</t>
  </si>
  <si>
    <t>country</t>
  </si>
  <si>
    <t>Personas F. CPF on/off uses this.</t>
  </si>
  <si>
    <t>occupation</t>
  </si>
  <si>
    <t>Personas G. Income clamp band.</t>
  </si>
  <si>
    <t>dependents</t>
  </si>
  <si>
    <t>Personas H.</t>
  </si>
  <si>
    <t>maritalStatus</t>
  </si>
  <si>
    <t>Personas I. Blank = infer on People Like You.</t>
  </si>
  <si>
    <t>what this row varies</t>
  </si>
  <si>
    <t>Personas AD. Why this persona exists.</t>
  </si>
  <si>
    <t>B · LLM PREDICTED  —  from the Personas row (edit there)</t>
  </si>
  <si>
    <t>incomeMonthly (LLM)</t>
  </si>
  <si>
    <t>B · LLM predicted</t>
  </si>
  <si>
    <t>Personas J. Before clamp and CPF.</t>
  </si>
  <si>
    <t>currency</t>
  </si>
  <si>
    <t>Personas K. FX looks this up.</t>
  </si>
  <si>
    <t>risk ability</t>
  </si>
  <si>
    <t>Personas L.</t>
  </si>
  <si>
    <t>price sensitivity</t>
  </si>
  <si>
    <t>Personas M.</t>
  </si>
  <si>
    <t>owns property</t>
  </si>
  <si>
    <t>Personas N.</t>
  </si>
  <si>
    <t>owns car</t>
  </si>
  <si>
    <t>Personas O.</t>
  </si>
  <si>
    <t>is smoker</t>
  </si>
  <si>
    <t>Personas U.</t>
  </si>
  <si>
    <t>life expectancy</t>
  </si>
  <si>
    <t>Personas V.</t>
  </si>
  <si>
    <t>retirement lifestyle</t>
  </si>
  <si>
    <t>Personas T.</t>
  </si>
  <si>
    <t>C · EFFECTIVE SESSION  —  after CPF, People Like You, and Money-page overrides</t>
  </si>
  <si>
    <t>CPF on</t>
  </si>
  <si>
    <t>C · calculated</t>
  </si>
  <si>
    <t>From the CPF tab.</t>
  </si>
  <si>
    <t>incomeMonthly</t>
  </si>
  <si>
    <t>Clamped LLM income.</t>
  </si>
  <si>
    <t>take-home</t>
  </si>
  <si>
    <t>Gross minus employee CPF when CPF is on.</t>
  </si>
  <si>
    <t>expenseMonthly</t>
  </si>
  <si>
    <t>Override if Personas W is set.</t>
  </si>
  <si>
    <t>cash</t>
  </si>
  <si>
    <t>Cash &amp; Savings.</t>
  </si>
  <si>
    <t>investments</t>
  </si>
  <si>
    <t>property</t>
  </si>
  <si>
    <t>0 if renter.</t>
  </si>
  <si>
    <t>mortgage</t>
  </si>
  <si>
    <t>PLU liabilities</t>
  </si>
  <si>
    <t>Not the mortgage.</t>
  </si>
  <si>
    <t>life sum assured</t>
  </si>
  <si>
    <t>A · INPUT DATA  —  About you (typed / session)</t>
  </si>
  <si>
    <t>B · LLM PREDICTED DATA  —  13 fields from people_like_you_all_fields.json</t>
  </si>
  <si>
    <t>E · USER / FRONTEND OVERRIDE  —  Money page (blank = keep People Like You calculated)</t>
  </si>
  <si>
    <t>notes</t>
  </si>
  <si>
    <t>id</t>
  </si>
  <si>
    <t>maritalStatus (blank = infer)</t>
  </si>
  <si>
    <t>income</t>
  </si>
  <si>
    <t>risk_ability</t>
  </si>
  <si>
    <t>price_sensitivity</t>
  </si>
  <si>
    <t>car</t>
  </si>
  <si>
    <t>ward_type</t>
  </si>
  <si>
    <t>hospitalization_type</t>
  </si>
  <si>
    <t>travelling</t>
  </si>
  <si>
    <t>sports</t>
  </si>
  <si>
    <t>retirement_lifestyle</t>
  </si>
  <si>
    <t>is_smoker</t>
  </si>
  <si>
    <t>life_expectancy</t>
  </si>
  <si>
    <t>cash (Cash &amp; Savings)</t>
  </si>
  <si>
    <t>property value</t>
  </si>
  <si>
    <t>mortgage (loans)</t>
  </si>
  <si>
    <t>What this row varies</t>
  </si>
  <si>
    <t>Aisha Rahman</t>
  </si>
  <si>
    <t>Female</t>
  </si>
  <si>
    <t>Citizen</t>
  </si>
  <si>
    <t>Singapore</t>
  </si>
  <si>
    <t>Nurse</t>
  </si>
  <si>
    <t>SGD</t>
  </si>
  <si>
    <t>conservative</t>
  </si>
  <si>
    <t>high</t>
  </si>
  <si>
    <t>Ward</t>
  </si>
  <si>
    <t>Public</t>
  </si>
  <si>
    <t>Yoga</t>
  </si>
  <si>
    <t>Basic</t>
  </si>
  <si>
    <t>Nurse; age 22; Citizen; 0 dep; rent; non-smoker</t>
  </si>
  <si>
    <t>P02</t>
  </si>
  <si>
    <t>Wei Ling Tan</t>
  </si>
  <si>
    <t>Male</t>
  </si>
  <si>
    <t>PR</t>
  </si>
  <si>
    <t>Teacher</t>
  </si>
  <si>
    <t>moderate</t>
  </si>
  <si>
    <t>medium</t>
  </si>
  <si>
    <t>Double</t>
  </si>
  <si>
    <t>Private</t>
  </si>
  <si>
    <t>Running</t>
  </si>
  <si>
    <t>Comfortable</t>
  </si>
  <si>
    <t>Teacher; age 27; PR; 0 dep; rent; non-smoker</t>
  </si>
  <si>
    <t>P03</t>
  </si>
  <si>
    <t>Daniel Koh</t>
  </si>
  <si>
    <t>Accountant</t>
  </si>
  <si>
    <t>Single</t>
  </si>
  <si>
    <t>Swimming</t>
  </si>
  <si>
    <t>Accountant; age 34; Citizen; 1 dep; home; non-smoker</t>
  </si>
  <si>
    <t>P04</t>
  </si>
  <si>
    <t>Priya Nair</t>
  </si>
  <si>
    <t>Marketing Manager</t>
  </si>
  <si>
    <t>I dont do sports</t>
  </si>
  <si>
    <t>frugal</t>
  </si>
  <si>
    <t>Marketing Manager; age 41; Citizen; 2 dep; home; smoker</t>
  </si>
  <si>
    <t>P05</t>
  </si>
  <si>
    <t>Marcus Lim</t>
  </si>
  <si>
    <t>Foreigner</t>
  </si>
  <si>
    <t>Software Engineer</t>
  </si>
  <si>
    <t>aggressive</t>
  </si>
  <si>
    <t>A</t>
  </si>
  <si>
    <t>Adventurous Sports</t>
  </si>
  <si>
    <t>only the best</t>
  </si>
  <si>
    <t>Software Engineer; age 47; Foreigner; 2 dep; home; non-smoker</t>
  </si>
  <si>
    <t>P06</t>
  </si>
  <si>
    <t>Hannah Wong</t>
  </si>
  <si>
    <t>Doctor</t>
  </si>
  <si>
    <t>B</t>
  </si>
  <si>
    <t>Life style activities</t>
  </si>
  <si>
    <t>stress-free</t>
  </si>
  <si>
    <t>Doctor; age 32; Citizen; 1 dep; home; non-smoker</t>
  </si>
  <si>
    <t>P07</t>
  </si>
  <si>
    <t>Julian Chee</t>
  </si>
  <si>
    <t>Investment Banker</t>
  </si>
  <si>
    <t>Walking</t>
  </si>
  <si>
    <t>Investment Banker; age 54; PR; 0 dep; home; non-smoker</t>
  </si>
  <si>
    <t>P08</t>
  </si>
  <si>
    <t>Mei Fen Ong</t>
  </si>
  <si>
    <t>CEO</t>
  </si>
  <si>
    <t>CEO; age 60; Citizen; 3 dep; home; smoker</t>
  </si>
  <si>
    <t>P09</t>
  </si>
  <si>
    <t>Hafiz Abdullah</t>
  </si>
  <si>
    <t>Baker</t>
  </si>
  <si>
    <t>HIIT</t>
  </si>
  <si>
    <t>Baker; age 25; Citizen; 0 dep; rent; non-smoker</t>
  </si>
  <si>
    <t>P10</t>
  </si>
  <si>
    <t>Siti Hassan</t>
  </si>
  <si>
    <t>Driver</t>
  </si>
  <si>
    <t>Football</t>
  </si>
  <si>
    <t>Luxurious</t>
  </si>
  <si>
    <t>Driver; age 37; Foreigner; 2 dep; rent; non-smoker</t>
  </si>
  <si>
    <t>P11</t>
  </si>
  <si>
    <t>Aisha Ng</t>
  </si>
  <si>
    <t>Pilates</t>
  </si>
  <si>
    <t>Nurse; age 51; Citizen; 1 dep; home; non-smoker</t>
  </si>
  <si>
    <t>P12</t>
  </si>
  <si>
    <t>Wei Ling Chua</t>
  </si>
  <si>
    <t>Teacher; age 66; Citizen; 0 dep; home; non-smoker</t>
  </si>
  <si>
    <t>P13</t>
  </si>
  <si>
    <t>Daniel Lee</t>
  </si>
  <si>
    <t>Accountant; age 30; PR; 1 dep; rent; smoker</t>
  </si>
  <si>
    <t>P14</t>
  </si>
  <si>
    <t>Priya Goh</t>
  </si>
  <si>
    <t>Golf</t>
  </si>
  <si>
    <t>Marketing Manager; age 44; Citizen; 4 dep; home; non-smoker</t>
  </si>
  <si>
    <t>P15</t>
  </si>
  <si>
    <t>Marcus Teo</t>
  </si>
  <si>
    <t>Software Engineer; age 57; Citizen; 2 dep; home; non-smoker</t>
  </si>
  <si>
    <t>P16</t>
  </si>
  <si>
    <t>Hannah Rahman</t>
  </si>
  <si>
    <t>Doctor; age 23; Citizen; 0 dep; rent; non-smoker</t>
  </si>
  <si>
    <t>P17</t>
  </si>
  <si>
    <t>Julian Tan</t>
  </si>
  <si>
    <t>Investment Banker; age 28; PR; 0 dep; rent; non-smoker</t>
  </si>
  <si>
    <t>P18</t>
  </si>
  <si>
    <t>Mei Fen Koh</t>
  </si>
  <si>
    <t>CEO; age 35; Citizen; 1 dep; home; non-smoker</t>
  </si>
  <si>
    <t>P19</t>
  </si>
  <si>
    <t>Hafiz Nair</t>
  </si>
  <si>
    <t>Baker; age 42; Citizen; 2 dep; home; smoker</t>
  </si>
  <si>
    <t>P20</t>
  </si>
  <si>
    <t>Siti Lim</t>
  </si>
  <si>
    <t>Driver; age 48; Foreigner; 2 dep; home; non-smoker</t>
  </si>
  <si>
    <t>P21</t>
  </si>
  <si>
    <t>Aisha Wong</t>
  </si>
  <si>
    <t>Nurse; age 33; Citizen; 1 dep; home; non-smoker</t>
  </si>
  <si>
    <t>P22</t>
  </si>
  <si>
    <t>Wei Ling Chee</t>
  </si>
  <si>
    <t>Teacher; age 55; PR; 0 dep; home; non-smoker</t>
  </si>
  <si>
    <t>P23</t>
  </si>
  <si>
    <t>Daniel Ong</t>
  </si>
  <si>
    <t>Accountant; age 61; Citizen; 3 dep; home; smoker</t>
  </si>
  <si>
    <t>P24</t>
  </si>
  <si>
    <t>Priya Abdullah</t>
  </si>
  <si>
    <t>Marketing Manager; age 26; Citizen; 0 dep; rent; non-smoker</t>
  </si>
  <si>
    <t>P25</t>
  </si>
  <si>
    <t>Marcus Hassan</t>
  </si>
  <si>
    <t>Software Engineer; age 38; Foreigner; 2 dep; rent; non-smoker</t>
  </si>
  <si>
    <t>P26</t>
  </si>
  <si>
    <t>Hannah Ng</t>
  </si>
  <si>
    <t>low</t>
  </si>
  <si>
    <t>Doctor; age 52; Citizen; 1 dep; home; non-smoker</t>
  </si>
  <si>
    <t>P27</t>
  </si>
  <si>
    <t>Julian Chua</t>
  </si>
  <si>
    <t>Investment Banker; age 67; Citizen; 0 dep; home; non-smoker</t>
  </si>
  <si>
    <t>P28</t>
  </si>
  <si>
    <t>Mei Fen Lee</t>
  </si>
  <si>
    <t>CEO; age 31; PR; 1 dep; rent; smoker</t>
  </si>
  <si>
    <t>P29</t>
  </si>
  <si>
    <t>Hafiz Goh</t>
  </si>
  <si>
    <t>Baker; age 45; Citizen; 4 dep; home; non-smoker</t>
  </si>
  <si>
    <t>P30</t>
  </si>
  <si>
    <t>Siti Teo</t>
  </si>
  <si>
    <t>Driver; age 58; Citizen; 2 dep; home; non-smoker</t>
  </si>
  <si>
    <t>P31</t>
  </si>
  <si>
    <t>Nurse; age 24; Citizen; 0 dep; rent; non-smoker</t>
  </si>
  <si>
    <t>P32</t>
  </si>
  <si>
    <t>Teacher; age 29; PR; 0 dep; rent; non-smoker</t>
  </si>
  <si>
    <t>P33</t>
  </si>
  <si>
    <t>Accountant; age 36; Citizen; 1 dep; home; non-smoker</t>
  </si>
  <si>
    <t>P34</t>
  </si>
  <si>
    <t>Marketing Manager; age 43; Citizen; 2 dep; home; smoker</t>
  </si>
  <si>
    <t>P35</t>
  </si>
  <si>
    <t>Software Engineer; age 49; Foreigner; 2 dep; home; non-smoker</t>
  </si>
  <si>
    <t>P36</t>
  </si>
  <si>
    <t>Doctor; age 34; Citizen; 1 dep; home; non-smoker</t>
  </si>
  <si>
    <t>P37</t>
  </si>
  <si>
    <t>Investment Banker; age 56; PR; 0 dep; home; non-smoker</t>
  </si>
  <si>
    <t>P38</t>
  </si>
  <si>
    <t>CEO; age 62; Citizen; 3 dep; home; smoker</t>
  </si>
  <si>
    <t>P39</t>
  </si>
  <si>
    <t>Baker; age 27; Citizen; 0 dep; rent; non-smoker</t>
  </si>
  <si>
    <t>P40</t>
  </si>
  <si>
    <t>Driver; age 39; Foreigner; 2 dep; rent; non-smoker</t>
  </si>
  <si>
    <t>P41</t>
  </si>
  <si>
    <t>Nurse; age 53; Citizen; 1 dep; home; non-smoker</t>
  </si>
  <si>
    <t>P42</t>
  </si>
  <si>
    <t>Teacher; age 68; Citizen; 0 dep; home; non-smoker</t>
  </si>
  <si>
    <t>P43</t>
  </si>
  <si>
    <t>Accountant; age 32; PR; 1 dep; rent; smoker</t>
  </si>
  <si>
    <t>P44</t>
  </si>
  <si>
    <t>Marketing Manager; age 46; Citizen; 4 dep; home; non-smoker</t>
  </si>
  <si>
    <t>P45</t>
  </si>
  <si>
    <t>Software Engineer; age 59; Citizen; 2 dep; home; non-smoker</t>
  </si>
  <si>
    <t>P46</t>
  </si>
  <si>
    <t>Doctor; age 22; Citizen; 0 dep; rent; non-smoker</t>
  </si>
  <si>
    <t>P47</t>
  </si>
  <si>
    <t>Investment Banker; age 27; PR; 0 dep; rent; non-smoker</t>
  </si>
  <si>
    <t>P48</t>
  </si>
  <si>
    <t>CEO; age 34; Citizen; 1 dep; home; non-smoker</t>
  </si>
  <si>
    <t>P49</t>
  </si>
  <si>
    <t>Baker; age 41; Citizen; 2 dep; home; smoker</t>
  </si>
  <si>
    <t>P50</t>
  </si>
  <si>
    <t>Driver; age 47; Foreigner; 2 dep; home; non-smoker</t>
  </si>
  <si>
    <t>CPF — selected persona. Singapore employee ordinary-wage CPF (src/cpf.py). Off for every other country.</t>
  </si>
  <si>
    <t>Follows the dropdown on the Selected persona tab.</t>
  </si>
  <si>
    <t>A · INPUT DATA  —  from the selected Personas row</t>
  </si>
  <si>
    <t>D · COUNTRY SWITCH  —  CPF on? (edit)</t>
  </si>
  <si>
    <t>Personas F. Looks up the country switch.</t>
  </si>
  <si>
    <t>CPF on?</t>
  </si>
  <si>
    <t>note</t>
  </si>
  <si>
    <t>Personas E. When CPF is on, Foreigner → rate 0.</t>
  </si>
  <si>
    <t>src/cpf.py applies. Citizen / PR contribute; Foreigner rate 0.</t>
  </si>
  <si>
    <t>Personas C. Age-band rate when CPF is on.</t>
  </si>
  <si>
    <t>Vietnam</t>
  </si>
  <si>
    <t>No CPF. Take-home = gross.</t>
  </si>
  <si>
    <t>Personas J (LLM or user overwrite).</t>
  </si>
  <si>
    <t>Malaysia</t>
  </si>
  <si>
    <t>Thailand</t>
  </si>
  <si>
    <t>D · ASSUMPTIONS  —  src/cpf.py (used only when CPF is on)</t>
  </si>
  <si>
    <t>Philippines</t>
  </si>
  <si>
    <t>OW_CEILING</t>
  </si>
  <si>
    <t>D · assumption / shared</t>
  </si>
  <si>
    <t>Ordinary-wage ceiling. Employee CPF is on min(gross, this).</t>
  </si>
  <si>
    <t>Australia</t>
  </si>
  <si>
    <t>cpfRate_to55</t>
  </si>
  <si>
    <t>Employee rate age ≤ 55.</t>
  </si>
  <si>
    <t>Germany</t>
  </si>
  <si>
    <t>cpfRate_to60</t>
  </si>
  <si>
    <t>Age 56–60.</t>
  </si>
  <si>
    <t>Hong Kong</t>
  </si>
  <si>
    <t>cpfRate_to65</t>
  </si>
  <si>
    <t>Age 61–65.</t>
  </si>
  <si>
    <t>United States</t>
  </si>
  <si>
    <t>cpfRate_to70</t>
  </si>
  <si>
    <t>Age 66–70.</t>
  </si>
  <si>
    <t>cpfRate_over70</t>
  </si>
  <si>
    <t>Age &gt; 70.</t>
  </si>
  <si>
    <t>E · OVERRIDE  —  blank = country switch. TRUE / FALSE forces CPF on or off</t>
  </si>
  <si>
    <t>CPF on? (override)</t>
  </si>
  <si>
    <t>E · user / frontend override</t>
  </si>
  <si>
    <t>TRUE / FALSE / blank. Blank uses the country table.</t>
  </si>
  <si>
    <t>C · DETERMINISTICALLY CALCULATED  —  src/cpf.py when on; identity when off</t>
  </si>
  <si>
    <t>CPF on (effective)</t>
  </si>
  <si>
    <t>Country table, unless the orange override is set.</t>
  </si>
  <si>
    <t>Singapore age-band rate</t>
  </si>
  <si>
    <t>employee_cpf_rate. Ignored when CPF is off.</t>
  </si>
  <si>
    <t>CPF rate used</t>
  </si>
  <si>
    <t>0 when CPF is off for this country.</t>
  </si>
  <si>
    <t>employee CPF</t>
  </si>
  <si>
    <t>floor(min(gross, ceiling) × rate). 0 if CPF off.</t>
  </si>
  <si>
    <t>Gross minus employee CPF. Equals income when CPF is off.</t>
  </si>
  <si>
    <t>People Like You — selected persona. Spend, assets, home, life cover. Take-home comes from the CPF tab.</t>
  </si>
  <si>
    <t>A · INPUT DATA  —  About you from the selected Personas row</t>
  </si>
  <si>
    <t>Personas C. Working years = age − 21.</t>
  </si>
  <si>
    <t>Personas D. Not used by this component.</t>
  </si>
  <si>
    <t>Personas E. Passed to the CPF tab (Foreigner → 0 when CPF is on).</t>
  </si>
  <si>
    <t>Personas F. CPF on/off is decided on the CPF tab.</t>
  </si>
  <si>
    <t>Personas G. Looks up income_anchors.json Singapore band.</t>
  </si>
  <si>
    <t>Personas H. Spend-share +5 pp each; 5× income life cover if &gt; 0.</t>
  </si>
  <si>
    <t>maritalStatus (typed)</t>
  </si>
  <si>
    <t>Personas I. Blank → infer below.</t>
  </si>
  <si>
    <t>B · LLM PREDICTED DATA  —  fields this component reads from Personas</t>
  </si>
  <si>
    <t>income (LLM gross monthly)</t>
  </si>
  <si>
    <t>Personas J. people_like_you_all_fields.json income.</t>
  </si>
  <si>
    <t>Personas K. SGD in this workbook.</t>
  </si>
  <si>
    <t>property (owns home)</t>
  </si>
  <si>
    <t>Personas N. seed_property_value if TRUE.</t>
  </si>
  <si>
    <t>life_expectancy (raw)</t>
  </si>
  <si>
    <t>Personas V. Used only when 70–120; else default 85.</t>
  </si>
  <si>
    <t>D · ASSUMPTIONS / SHARED DATA  —  named cells on Assumptions (CPF is on the CPF tab)</t>
  </si>
  <si>
    <t>spendShareBase</t>
  </si>
  <si>
    <t>67.5% of take-home.</t>
  </si>
  <si>
    <t>spendSharePerDependant</t>
  </si>
  <si>
    <t>+5 pp per dependant.</t>
  </si>
  <si>
    <t>spendShareCap</t>
  </si>
  <si>
    <t>90% cap.</t>
  </si>
  <si>
    <t>assetsSaveShare</t>
  </si>
  <si>
    <t>50% of annual surplus saved.</t>
  </si>
  <si>
    <t>workStartAge</t>
  </si>
  <si>
    <t>21. Working years = max(0, age − 21).</t>
  </si>
  <si>
    <t>CASH_SAVINGS_SHARE</t>
  </si>
  <si>
    <t>src/predict.py 15% (not the 45% in some docs).</t>
  </si>
  <si>
    <t>INVESTMENTS_SHARE</t>
  </si>
  <si>
    <t>src/predict.py 85%.</t>
  </si>
  <si>
    <t>liabilityRatio</t>
  </si>
  <si>
    <t>PLU liabilities = liquid assets × 0.7 (not the mortgage).</t>
  </si>
  <si>
    <t>propertyLow</t>
  </si>
  <si>
    <t>seed_property_value: income &lt; 10,000 → S$350,000.</t>
  </si>
  <si>
    <t>propertyMid</t>
  </si>
  <si>
    <t>income 10,000–20,000 → S$650,000.</t>
  </si>
  <si>
    <t>propertyHigh</t>
  </si>
  <si>
    <t>income &gt; 20,000 → S$850,000.</t>
  </si>
  <si>
    <t>propertyIncomeLow</t>
  </si>
  <si>
    <t>10,000. Below this → propertyLow.</t>
  </si>
  <si>
    <t>propertyIncomeHigh</t>
  </si>
  <si>
    <t>20,000. Above this → propertyHigh.</t>
  </si>
  <si>
    <t>PROPERTY_LTV</t>
  </si>
  <si>
    <t>Mortgage = round(property × 55%).</t>
  </si>
  <si>
    <t>lifePremiumRate</t>
  </si>
  <si>
    <t>0.31% of sum assured.</t>
  </si>
  <si>
    <t>lifeRoundUnit</t>
  </si>
  <si>
    <t>Mortgage cover rounded to nearest S$100,000.</t>
  </si>
  <si>
    <t>lifeExpectancyDefault</t>
  </si>
  <si>
    <t>85 when raw LE is outside 70–120.</t>
  </si>
  <si>
    <t>C · DETERMINISTICALLY CALCULATED  —  _apply_plu. Take-home is read from the CPF tab.</t>
  </si>
  <si>
    <t>band min</t>
  </si>
  <si>
    <t>income_anchors.json Singapore min for occupation.</t>
  </si>
  <si>
    <t>band max</t>
  </si>
  <si>
    <t>income_anchors.json Singapore max.</t>
  </si>
  <si>
    <t>incomeMonthly (clamped)</t>
  </si>
  <si>
    <t>Clamp LLM income into the occupation band. 0 stays 0.</t>
  </si>
  <si>
    <t>CPF on (from CPF tab)</t>
  </si>
  <si>
    <t>Country switch or orange override on the CPF tab.</t>
  </si>
  <si>
    <t>CPF rate</t>
  </si>
  <si>
    <t>0 when CPF is off.</t>
  </si>
  <si>
    <t>spend share</t>
  </si>
  <si>
    <t>min(67.5% + 5pp × dependents, 90%).</t>
  </si>
  <si>
    <t>expenses_from_gross / spend of take-home.</t>
  </si>
  <si>
    <t>surplus / mo</t>
  </si>
  <si>
    <t>take-home − expense.</t>
  </si>
  <si>
    <t>working years</t>
  </si>
  <si>
    <t>max(0, age − 21).</t>
  </si>
  <si>
    <t>liquid assets</t>
  </si>
  <si>
    <t>surplus × 12 × 0.5 × working years.</t>
  </si>
  <si>
    <t>liquid × 0.7. Not the mortgage.</t>
  </si>
  <si>
    <t>cash (15%)</t>
  </si>
  <si>
    <t>CASH_SAVINGS_SHARE.</t>
  </si>
  <si>
    <t>investments (85%)</t>
  </si>
  <si>
    <t>INVESTMENTS_SHARE.</t>
  </si>
  <si>
    <t>seed_property_value.</t>
  </si>
  <si>
    <t>round(property × 55%).</t>
  </si>
  <si>
    <t>_assumed_life_policy: max(mortgage rounded to 100k, 5 × annual income if dependents).</t>
  </si>
  <si>
    <t>life premium</t>
  </si>
  <si>
    <t>round(sum × 0.31%).</t>
  </si>
  <si>
    <t>lifeExpectancy used</t>
  </si>
  <si>
    <t>Session LE when 70–120, else 85.</t>
  </si>
  <si>
    <t>marital (inferred)</t>
  </si>
  <si>
    <t>Typed maritalStatus, else age &lt; 30 → single.</t>
  </si>
  <si>
    <t>E · USER / FRONTEND OVERRIDE  —  Personas W–AC (Money page). Blank keeps the green calculated value.</t>
  </si>
  <si>
    <t>override expenseMonthly</t>
  </si>
  <si>
    <t>Money page spend. Frontend MIN_EXPENSE_MONTHLY = 100 SGD.</t>
  </si>
  <si>
    <t>override cash</t>
  </si>
  <si>
    <t>Cash &amp; Savings. Provenance key cash / savings.</t>
  </si>
  <si>
    <t>override investments</t>
  </si>
  <si>
    <t>Investments.</t>
  </si>
  <si>
    <t>override property value</t>
  </si>
  <si>
    <t>Home value. Distinct from owns-home flag N.</t>
  </si>
  <si>
    <t>override mortgage</t>
  </si>
  <si>
    <t>Money page loans.</t>
  </si>
  <si>
    <t>override PLU liabilities</t>
  </si>
  <si>
    <t>Need Profiler TotalLiabilities. Not the mortgage.</t>
  </si>
  <si>
    <t>override life sum assured</t>
  </si>
  <si>
    <t>Existing Life Protection cover.</t>
  </si>
  <si>
    <t>C · EFFECTIVE SESSION  —  override if set, else calculated. Downstream and Validation read these.</t>
  </si>
  <si>
    <t>Personas J (LLM or user). The clamp row above is what /predict would force.</t>
  </si>
  <si>
    <t>From Personas J and CPF.</t>
  </si>
  <si>
    <t>cash + investments.</t>
  </si>
  <si>
    <t>Recomputed from effective sum.</t>
  </si>
  <si>
    <t>Personas K. FX converts with this ISO code.</t>
  </si>
  <si>
    <t>Need Profiler — selected persona. Weighted scores → two protection + two growth. Orange Enable? overrides.</t>
  </si>
  <si>
    <t>A · INPUT DATA  —  from selected Personas + People Like You results</t>
  </si>
  <si>
    <t>Personas C. Bucket &lt;21 / ≤30 / ≤40 / else.</t>
  </si>
  <si>
    <t>Personas D. male=3, female=2.</t>
  </si>
  <si>
    <t>Personas H. 0 / 1 / ≥2 → 0 / 2 / 4.</t>
  </si>
  <si>
    <t>Personas G. Self-employed tokens → 2, else 1.</t>
  </si>
  <si>
    <t>incomeMonthly (from PLU)</t>
  </si>
  <si>
    <t>People Like You calculated income, used as profiler Income.</t>
  </si>
  <si>
    <t>expenseMonthly (from PLU)</t>
  </si>
  <si>
    <t>People Like You calculated spend.</t>
  </si>
  <si>
    <t>liquid assets (from PLU)</t>
  </si>
  <si>
    <t>PLU liabilities (from PLU)</t>
  </si>
  <si>
    <t>B · LLM PREDICTED DATA  —  lifestyle flags this component reads</t>
  </si>
  <si>
    <t>Personas U. TRUE→3, else 1 (JSON has no Smoking options).</t>
  </si>
  <si>
    <t>Personas Q. private=4, public=2.</t>
  </si>
  <si>
    <t>Personas P. A=3, B=2. Single/Double/Ward score 0.</t>
  </si>
  <si>
    <t>Personas T. frugal / stress-free / only the best.</t>
  </si>
  <si>
    <t>Personas S. Adventurous / I dont do sports / Life style.</t>
  </si>
  <si>
    <t>Personas N. Swaps N_SAV ↔ N_PRP in the second growth slot.</t>
  </si>
  <si>
    <t>D · ASSUMPTIONS / SHARED DATA  —  used by this component</t>
  </si>
  <si>
    <t>Existing hospital cover</t>
  </si>
  <si>
    <t>build_profiler_profile hard-codes Existing*Coverage = False → option weight 1.</t>
  </si>
  <si>
    <t>Existing disability cover</t>
  </si>
  <si>
    <t>Same. Stored as 0 here; option weight of False is 1.</t>
  </si>
  <si>
    <t>SGD → USD factor</t>
  </si>
  <si>
    <t>Income / expense / assets / liabilities: value × 0.75 then hardcoded USD buckets.</t>
  </si>
  <si>
    <t>Selection rule</t>
  </si>
  <si>
    <t>2 prot + N_RET + 1 growth</t>
  </si>
  <si>
    <t>select_unified_top ignores top_n. If owns home, N_PRP replaces N_SAV.</t>
  </si>
  <si>
    <t>Profiler weight matrix</t>
  </si>
  <si>
    <t>Assumptions!B90:M104</t>
  </si>
  <si>
    <t>Need_profiler.json needs_factor_weights. SUMPRODUCT with option weights.</t>
  </si>
  <si>
    <t>C · DETERMINISTICALLY CALCULATED  —  SGD×0.75 helpers, then 15 option weights</t>
  </si>
  <si>
    <t>usd Income</t>
  </si>
  <si>
    <t>People Like You incomeMonthly × 0.75. No LET (Excel #NAME? on LET).</t>
  </si>
  <si>
    <t>usd Expense</t>
  </si>
  <si>
    <t>People Like You expenseMonthly × 0.75.</t>
  </si>
  <si>
    <t>usd Assets</t>
  </si>
  <si>
    <t>cash + investments × 0.75.</t>
  </si>
  <si>
    <t>usd Liab</t>
  </si>
  <si>
    <t>PLU liabilities × 0.75.</t>
  </si>
  <si>
    <t>ow Age</t>
  </si>
  <si>
    <t>_get_option_weight Date of Birth.</t>
  </si>
  <si>
    <t>ow Gender</t>
  </si>
  <si>
    <t>male=3, female=2.</t>
  </si>
  <si>
    <t>ow Deps</t>
  </si>
  <si>
    <t>0 / 1 / else.</t>
  </si>
  <si>
    <t>ow Occ</t>
  </si>
  <si>
    <t>Self-employed tokens.</t>
  </si>
  <si>
    <t>ow Smoke</t>
  </si>
  <si>
    <t>No Smoking options in JSON.</t>
  </si>
  <si>
    <t>ow Income</t>
  </si>
  <si>
    <t>Hardcoded USD buckets after × 0.75.</t>
  </si>
  <si>
    <t>ow Expense</t>
  </si>
  <si>
    <t>Same bucket pattern.</t>
  </si>
  <si>
    <t>ow Assets</t>
  </si>
  <si>
    <t>ow Liab</t>
  </si>
  <si>
    <t>PLU liabilities.</t>
  </si>
  <si>
    <t>ow HospExist</t>
  </si>
  <si>
    <t>Existing hospital coverage always False → 1.</t>
  </si>
  <si>
    <t>ow DisExist</t>
  </si>
  <si>
    <t>Existing disability coverage always False → 1.</t>
  </si>
  <si>
    <t>ow HospType</t>
  </si>
  <si>
    <t>Hospital Type.</t>
  </si>
  <si>
    <t>ow Ward</t>
  </si>
  <si>
    <t>Ward Type.</t>
  </si>
  <si>
    <t>ow Lifestyle</t>
  </si>
  <si>
    <t>Basic/Comfortable/Luxurious score 0.</t>
  </si>
  <si>
    <t>ow Sports</t>
  </si>
  <si>
    <t>Free-text sports.</t>
  </si>
  <si>
    <t>C · RESULTS  —  raw Σ (factor × option), then min–max scale 0–10</t>
  </si>
  <si>
    <t>raw Life Protection</t>
  </si>
  <si>
    <t>Need_profiler.json column Life Protection.</t>
  </si>
  <si>
    <t>raw Critical Illness</t>
  </si>
  <si>
    <t>Need_profiler.json column Critical Illness.</t>
  </si>
  <si>
    <t>raw Disability</t>
  </si>
  <si>
    <t>Need_profiler.json column Disability.</t>
  </si>
  <si>
    <t>raw Retirement</t>
  </si>
  <si>
    <t>Need_profiler.json column Retirement.</t>
  </si>
  <si>
    <t>raw Education</t>
  </si>
  <si>
    <t>Need_profiler.json column Education.</t>
  </si>
  <si>
    <t>raw Hospitalization</t>
  </si>
  <si>
    <t>Need_profiler.json column Hospitalization.</t>
  </si>
  <si>
    <t>raw General Savings</t>
  </si>
  <si>
    <t>Need_profiler.json column General Savings.</t>
  </si>
  <si>
    <t>raw Farewell</t>
  </si>
  <si>
    <t>Need_profiler.json column Farewell.</t>
  </si>
  <si>
    <t>raw Personal Accident</t>
  </si>
  <si>
    <t>Need_profiler.json column Personal Accident.</t>
  </si>
  <si>
    <t>raw Car Protection</t>
  </si>
  <si>
    <t>Need_profiler.json column Car Protection.</t>
  </si>
  <si>
    <t>raw Home Protection</t>
  </si>
  <si>
    <t>Need_profiler.json column Home Protection.</t>
  </si>
  <si>
    <t>raw Travel Protection</t>
  </si>
  <si>
    <t>Need_profiler.json column Travel Protection.</t>
  </si>
  <si>
    <t>min raw</t>
  </si>
  <si>
    <t>scale_scores min.</t>
  </si>
  <si>
    <t>max raw</t>
  </si>
  <si>
    <t>If max=min, divisor is forced to 1 so every scaled value is 0.</t>
  </si>
  <si>
    <t>scaled Life Protection</t>
  </si>
  <si>
    <t>0–10, 1 decimal.</t>
  </si>
  <si>
    <t>scaled Critical Illness</t>
  </si>
  <si>
    <t>scaled Disability</t>
  </si>
  <si>
    <t>scaled Retirement</t>
  </si>
  <si>
    <t>scaled Education</t>
  </si>
  <si>
    <t>scaled Hospitalization</t>
  </si>
  <si>
    <t>scaled General Savings</t>
  </si>
  <si>
    <t>scaled Farewell</t>
  </si>
  <si>
    <t>scaled Personal Accident</t>
  </si>
  <si>
    <t>scaled Car Protection</t>
  </si>
  <si>
    <t>scaled Home Protection</t>
  </si>
  <si>
    <t>scaled Travel Protection</t>
  </si>
  <si>
    <t>tb N_INC</t>
  </si>
  <si>
    <t>Tie-break: Life Protection first in AI label order.</t>
  </si>
  <si>
    <t>tb N_CRI</t>
  </si>
  <si>
    <t>Critical Illness second.</t>
  </si>
  <si>
    <t>tb N_TPD</t>
  </si>
  <si>
    <t>Disability third.</t>
  </si>
  <si>
    <t>tb N_HOS</t>
  </si>
  <si>
    <t>Hospitalization last.</t>
  </si>
  <si>
    <t>prot1</t>
  </si>
  <si>
    <t>Highest protection score after the 0.00x order bonus.</t>
  </si>
  <si>
    <t>tb2 N_INC</t>
  </si>
  <si>
    <t>Winner of prot1 is excluded.</t>
  </si>
  <si>
    <t>tb2 N_CRI</t>
  </si>
  <si>
    <t>tb2 N_TPD</t>
  </si>
  <si>
    <t>tb2 N_HOS</t>
  </si>
  <si>
    <t>prot2</t>
  </si>
  <si>
    <t>Second protection.</t>
  </si>
  <si>
    <t>tb N_EDU</t>
  </si>
  <si>
    <t>Education first among remaining growth.</t>
  </si>
  <si>
    <t>tb N_SAV</t>
  </si>
  <si>
    <t>General Savings second.</t>
  </si>
  <si>
    <t>tb N_PRP</t>
  </si>
  <si>
    <t>Home Protection last.</t>
  </si>
  <si>
    <t>grow2 raw</t>
  </si>
  <si>
    <t>Before the home-ownership swap.</t>
  </si>
  <si>
    <t>grow2</t>
  </si>
  <si>
    <t>Second growth after forced N_RET. Home ownership swaps SAV/PRP.</t>
  </si>
  <si>
    <t>C · RESULTS  —  eight UNIFIED flags. Orange Enable? = TRUE / FALSE / blank</t>
  </si>
  <si>
    <t>type</t>
  </si>
  <si>
    <t>calc on</t>
  </si>
  <si>
    <t>Enable?</t>
  </si>
  <si>
    <t>on (effective)</t>
  </si>
  <si>
    <t>priority</t>
  </si>
  <si>
    <t>N_INC</t>
  </si>
  <si>
    <t>N_CRI</t>
  </si>
  <si>
    <t>N_TPD</t>
  </si>
  <si>
    <t>N_HOS</t>
  </si>
  <si>
    <t>N_RET</t>
  </si>
  <si>
    <t>TRUE</t>
  </si>
  <si>
    <t>N_EDU</t>
  </si>
  <si>
    <t>N_SAV</t>
  </si>
  <si>
    <t>N_PRP</t>
  </si>
  <si>
    <t>Need Calculator — selected persona. evaluate_session / goal_math.py. Orange cells are goal-card sliders.</t>
  </si>
  <si>
    <t>A · INPUT DATA  —  from Personas, People Like You, and Need Profiler</t>
  </si>
  <si>
    <t>Clamped gross monthly.</t>
  </si>
  <si>
    <t>Annual spend = this × 12.</t>
  </si>
  <si>
    <t>mortgage (from PLU)</t>
  </si>
  <si>
    <t>Added to N_INC amount.</t>
  </si>
  <si>
    <t>life sum (from PLU)</t>
  </si>
  <si>
    <t>N_INC have.</t>
  </si>
  <si>
    <t>investments (from PLU)</t>
  </si>
  <si>
    <t>Tagged wealth pot only. Cash is never allocated.</t>
  </si>
  <si>
    <t>lifeExpectancy used (from PLU)</t>
  </si>
  <si>
    <t>yearsInRet = max(0, LE − retAge).</t>
  </si>
  <si>
    <t>O · GOAL-CARD SLIDERS / OVERRIDES  —  orange. Blank years keep the age rule</t>
  </si>
  <si>
    <t>lifestyle (1/2/3)</t>
  </si>
  <si>
    <t>1=frugal, 2=stress-free, 3=only the best. Default 2.</t>
  </si>
  <si>
    <t>retAge</t>
  </si>
  <si>
    <t>Default from Assumptions (65).</t>
  </si>
  <si>
    <t>targetYear</t>
  </si>
  <si>
    <t>Education horizon year.</t>
  </si>
  <si>
    <t>bequest</t>
  </si>
  <si>
    <t>dependYears (blank = age rule)</t>
  </si>
  <si>
    <t>Blank or ≤0 → supportYears.</t>
  </si>
  <si>
    <t>incomeReplace (blank = income)</t>
  </si>
  <si>
    <t>Blank → incomeMonthly for CI / TPD.</t>
  </si>
  <si>
    <t>N_SAV stored</t>
  </si>
  <si>
    <t>If &gt; 0, this is N_SAV amount; else 1× annual income.</t>
  </si>
  <si>
    <t>N_PRP stored</t>
  </si>
  <si>
    <t>If &gt; 0, this is N_PRP amount; else 5× annual income.</t>
  </si>
  <si>
    <t>tag N_RET</t>
  </si>
  <si>
    <t>Investments tagged to retirement, then grown at realReturn.</t>
  </si>
  <si>
    <t>tag N_EDU</t>
  </si>
  <si>
    <t>apply_investment_pot walk order: RET, EDU, SAV, PRP.</t>
  </si>
  <si>
    <t>tag N_SAV</t>
  </si>
  <si>
    <t>Takes from remaining investments after RET and EDU.</t>
  </si>
  <si>
    <t>tag N_PRP</t>
  </si>
  <si>
    <t>Last in the walk.</t>
  </si>
  <si>
    <t>D · ASSUMPTIONS / SHARED DATA  —  rates and need parameters</t>
  </si>
  <si>
    <t>inflationRate</t>
  </si>
  <si>
    <t>Grows retirement spend to retAge; grows EDU cost.</t>
  </si>
  <si>
    <t>investmentReturn</t>
  </si>
  <si>
    <t>Used to form realReturn.</t>
  </si>
  <si>
    <t>realReturn</t>
  </si>
  <si>
    <t>max(0, (1+i)/(1+π) − 1). Discount rate.</t>
  </si>
  <si>
    <t>lifestyleFrugal</t>
  </si>
  <si>
    <t>N_RET spend multiple when lifestyle=1.</t>
  </si>
  <si>
    <t>lifestyleStressFree</t>
  </si>
  <si>
    <t>Default lifestyle=2.</t>
  </si>
  <si>
    <t>lifestyleOnlyTheBest</t>
  </si>
  <si>
    <t>lifestyle=3.</t>
  </si>
  <si>
    <t>lifeSupportMin / Max / Pivot</t>
  </si>
  <si>
    <t>supportYears = min(max(10, 50 − age), 25).</t>
  </si>
  <si>
    <t>CI_YEARS / CI_COST</t>
  </si>
  <si>
    <t>3 years annuity-due + S$200,000.</t>
  </si>
  <si>
    <t>TPD_YEARS / TPD_COST</t>
  </si>
  <si>
    <t>5 years annuity-due + S$200,000.</t>
  </si>
  <si>
    <t>HOSP_MONTHS</t>
  </si>
  <si>
    <t>N_HOS = income × 6.</t>
  </si>
  <si>
    <t>EDU_TOTAL_COST</t>
  </si>
  <si>
    <t>75,000 grown at inflation.</t>
  </si>
  <si>
    <t>savIncomeMultiple</t>
  </si>
  <si>
    <t>1 × annual income if stored is 0.</t>
  </si>
  <si>
    <t>prpIncomeMultiple</t>
  </si>
  <si>
    <t>5 × annual income if stored is 0.</t>
  </si>
  <si>
    <t>currentYear / ageOfRetirement</t>
  </si>
  <si>
    <t>2026 / 65 in this workbook.</t>
  </si>
  <si>
    <t>C · DETERMINISTICALLY CALCULATED  —  horizons</t>
  </si>
  <si>
    <t>supportYears</t>
  </si>
  <si>
    <t>life_support_years(age).</t>
  </si>
  <si>
    <t>yearsToRet</t>
  </si>
  <si>
    <t>years_to_retirement.</t>
  </si>
  <si>
    <t>yearsInRet</t>
  </si>
  <si>
    <t>years_in_retirement(retAge, session LE).</t>
  </si>
  <si>
    <t>eduYears</t>
  </si>
  <si>
    <t>max(0, targetYear − thisYear).</t>
  </si>
  <si>
    <t>C · RESULTS  —  amount / have / gap for every UNIFIED type (even when off)</t>
  </si>
  <si>
    <t>needAmount</t>
  </si>
  <si>
    <t>have</t>
  </si>
  <si>
    <t>gap</t>
  </si>
  <si>
    <t>bequest + mortgage + PV of annual spend over dependYears.</t>
  </si>
  <si>
    <t>Annuity-due of replacement income for CI_YEARS + CI_COST.</t>
  </si>
  <si>
    <t>Annuity-due of replacement income for TPD_YEARS + TPD_COST.</t>
  </si>
  <si>
    <t>incomeMonthly × HOSP_MONTHS.</t>
  </si>
  <si>
    <t>PV of inflated lifestyle spend over yearsInRet.</t>
  </si>
  <si>
    <t>75,000 × (1+inflation)^eduYears.</t>
  </si>
  <si>
    <t>Stored or 1× annual income.</t>
  </si>
  <si>
    <t>Stored or 5× annual income.</t>
  </si>
  <si>
    <t>Plan Calculator — selected persona. seedProducts / planProducts.ts. Suggested = enabled AND gap &gt; 0.</t>
  </si>
  <si>
    <t>A · INPUT DATA  —  from People Like You and Need Calculator</t>
  </si>
  <si>
    <t>take-home (from PLU)</t>
  </si>
  <si>
    <t>Surplus uses take-home, not gross income.</t>
  </si>
  <si>
    <t>types.ts availableBudget.</t>
  </si>
  <si>
    <t>N_INC on (from Need Calculator)</t>
  </si>
  <si>
    <t>Effective enable after Need Calculator override.</t>
  </si>
  <si>
    <t>N_INC gap (from Need Calculator)</t>
  </si>
  <si>
    <t>remaining_gap.</t>
  </si>
  <si>
    <t>N_CRI on (from Need Calculator)</t>
  </si>
  <si>
    <t>N_CRI gap (from Need Calculator)</t>
  </si>
  <si>
    <t>N_TPD on (from Need Calculator)</t>
  </si>
  <si>
    <t>N_TPD gap (from Need Calculator)</t>
  </si>
  <si>
    <t>N_HOS on (from Need Calculator)</t>
  </si>
  <si>
    <t>N_HOS gap (from Need Calculator)</t>
  </si>
  <si>
    <t>N_RET on (from Need Calculator)</t>
  </si>
  <si>
    <t>N_RET gap (from Need Calculator)</t>
  </si>
  <si>
    <t>N_EDU on (from Need Calculator)</t>
  </si>
  <si>
    <t>N_EDU gap (from Need Calculator)</t>
  </si>
  <si>
    <t>N_SAV on (from Need Calculator)</t>
  </si>
  <si>
    <t>N_SAV gap (from Need Calculator)</t>
  </si>
  <si>
    <t>N_PRP on (from Need Calculator)</t>
  </si>
  <si>
    <t>N_PRP gap (from Need Calculator)</t>
  </si>
  <si>
    <t>yearsToRet (from Need Calculator)</t>
  </si>
  <si>
    <t>Retirement contribution horizon.</t>
  </si>
  <si>
    <t>eduYears (from Need Calculator)</t>
  </si>
  <si>
    <t>EDU / SAV / PRP contribution horizon.</t>
  </si>
  <si>
    <t>protectionPremiumRate</t>
  </si>
  <si>
    <t>Indicative premium = sum × this rate, rounded.</t>
  </si>
  <si>
    <t>FREE_BUDGET_SHARE</t>
  </si>
  <si>
    <t>Half of leftover surplus split across wealth needs.</t>
  </si>
  <si>
    <t>monthlyRoundStep</t>
  </si>
  <si>
    <t>Contributions rounded to S$50.</t>
  </si>
  <si>
    <t>coverPremRoundStep</t>
  </si>
  <si>
    <t>Premium rounded to nearest step.</t>
  </si>
  <si>
    <t>annualPmtToHitFv for the wealth cap.</t>
  </si>
  <si>
    <t>C · DETERMINISTICALLY CALCULATED  —  suggested flags and protection sizing</t>
  </si>
  <si>
    <t>sug N_INC</t>
  </si>
  <si>
    <t>enabled AND gap &gt; 0.</t>
  </si>
  <si>
    <t>sug N_CRI</t>
  </si>
  <si>
    <t>sug N_TPD</t>
  </si>
  <si>
    <t>sug N_HOS</t>
  </si>
  <si>
    <t>sug N_RET</t>
  </si>
  <si>
    <t>sug N_EDU</t>
  </si>
  <si>
    <t>sug N_SAV</t>
  </si>
  <si>
    <t>sug N_PRP</t>
  </si>
  <si>
    <t>n wealth suggested</t>
  </si>
  <si>
    <t>Count of suggested wealth needs.</t>
  </si>
  <si>
    <t>planSum N_INC</t>
  </si>
  <si>
    <t>Suggested protection sum = gap.</t>
  </si>
  <si>
    <t>planPrem N_INC</t>
  </si>
  <si>
    <t>coverPremiumFor(sum). Indicative, not half of slider max.</t>
  </si>
  <si>
    <t>planSum N_CRI</t>
  </si>
  <si>
    <t>planPrem N_CRI</t>
  </si>
  <si>
    <t>planSum N_TPD</t>
  </si>
  <si>
    <t>planPrem N_TPD</t>
  </si>
  <si>
    <t>planSum N_HOS</t>
  </si>
  <si>
    <t>planPrem N_HOS</t>
  </si>
  <si>
    <t>prot prem / yr</t>
  </si>
  <si>
    <t>Sum of suggested protection premiums (before Include?).</t>
  </si>
  <si>
    <t>default wealth mth share</t>
  </si>
  <si>
    <t>Leftover surplus × 50% / 12 / n wealth, rounded to S$50.</t>
  </si>
  <si>
    <t>cap mth N_RET</t>
  </si>
  <si>
    <t>annualPmtToHitFv / 12, rounded up to S$50.</t>
  </si>
  <si>
    <t>planMth N_RET</t>
  </si>
  <si>
    <t>min(default share, cap).</t>
  </si>
  <si>
    <t>planLump N_RET</t>
  </si>
  <si>
    <t>Default lump is 0.</t>
  </si>
  <si>
    <t>cap mth N_EDU</t>
  </si>
  <si>
    <t>planMth N_EDU</t>
  </si>
  <si>
    <t>planLump N_EDU</t>
  </si>
  <si>
    <t>cap mth N_SAV</t>
  </si>
  <si>
    <t>planMth N_SAV</t>
  </si>
  <si>
    <t>planLump N_SAV</t>
  </si>
  <si>
    <t>cap mth N_PRP</t>
  </si>
  <si>
    <t>planMth N_PRP</t>
  </si>
  <si>
    <t>planLump N_PRP</t>
  </si>
  <si>
    <t>C · RESULTS  —  Include? blank keeps the suggested product</t>
  </si>
  <si>
    <t>suggested</t>
  </si>
  <si>
    <t>Include?</t>
  </si>
  <si>
    <t>included</t>
  </si>
  <si>
    <t>investMth</t>
  </si>
  <si>
    <t>Sum of included wealth monthly contributions.</t>
  </si>
  <si>
    <t>investLump</t>
  </si>
  <si>
    <t>Sum of included wealth lumps (default 0).</t>
  </si>
  <si>
    <t>Budget Calculator — selected persona. planAfford. Surplus is take-home minus expense.</t>
  </si>
  <si>
    <t>A · INPUT DATA  —  from People Like You and Plan Calculator</t>
  </si>
  <si>
    <t>types.ts availableBudget uses take-home.</t>
  </si>
  <si>
    <t>Not gross income.</t>
  </si>
  <si>
    <t>Cap for lumps.</t>
  </si>
  <si>
    <t>included N_INC premium</t>
  </si>
  <si>
    <t>Only included protection.</t>
  </si>
  <si>
    <t>included N_CRI premium</t>
  </si>
  <si>
    <t>included N_TPD premium</t>
  </si>
  <si>
    <t>included N_HOS premium</t>
  </si>
  <si>
    <t>investMth (from Plan)</t>
  </si>
  <si>
    <t>Included wealth contributions.</t>
  </si>
  <si>
    <t>investLump (from Plan)</t>
  </si>
  <si>
    <t>Included wealth lumps.</t>
  </si>
  <si>
    <t>Half of monthly surplus is the free budget.</t>
  </si>
  <si>
    <t>C · DETERMINISTICALLY CALCULATED  —  planAfford</t>
  </si>
  <si>
    <t>available</t>
  </si>
  <si>
    <t>max(0, take-home − expense).</t>
  </si>
  <si>
    <t>free (50%)</t>
  </si>
  <si>
    <t>available × 50%, rounded.</t>
  </si>
  <si>
    <t>included prot prem / yr</t>
  </si>
  <si>
    <t>Sum of included protection premiums.</t>
  </si>
  <si>
    <t>premMth (display)</t>
  </si>
  <si>
    <t>Annual premiums / 12.</t>
  </si>
  <si>
    <t>contribMth</t>
  </si>
  <si>
    <t>Same as investMth.</t>
  </si>
  <si>
    <t>monthly</t>
  </si>
  <si>
    <t>contrib + prem/12.</t>
  </si>
  <si>
    <t>monthlyOver</t>
  </si>
  <si>
    <t>&gt; 0 means the plan exceeds the free budget.</t>
  </si>
  <si>
    <t>lumps</t>
  </si>
  <si>
    <t>Included lumps.</t>
  </si>
  <si>
    <t>lumpOver</t>
  </si>
  <si>
    <t>&gt; 0 means lumps exceed current investments.</t>
  </si>
  <si>
    <t>FX — selected persona. Convert local currency to USD. Validation reads these amounts.</t>
  </si>
  <si>
    <t>A · INPUT DATA  —  currency and effective session (local)</t>
  </si>
  <si>
    <t>D · RATE TABLE  —  USD per 1 local unit (edit)</t>
  </si>
  <si>
    <t>Personas K via People Like You. Lookup key for the rate table.</t>
  </si>
  <si>
    <t>USD per 1 unit</t>
  </si>
  <si>
    <t>incomeMonthly (local)</t>
  </si>
  <si>
    <t>Effective session.</t>
  </si>
  <si>
    <t>USD</t>
  </si>
  <si>
    <t>Identity. 5,000 USD = 5,000 USD.</t>
  </si>
  <si>
    <t>expenseMonthly (local)</t>
  </si>
  <si>
    <t>5,000 SGD × 0.74 = 3,700 USD.</t>
  </si>
  <si>
    <t>cash (local)</t>
  </si>
  <si>
    <t>VND</t>
  </si>
  <si>
    <t>5,000 VND × 0.000038 = 0.19 USD.</t>
  </si>
  <si>
    <t>investments (local)</t>
  </si>
  <si>
    <t>MYR</t>
  </si>
  <si>
    <t>property (local)</t>
  </si>
  <si>
    <t>THB</t>
  </si>
  <si>
    <t>mortgage (local)</t>
  </si>
  <si>
    <t>PHP</t>
  </si>
  <si>
    <t>PLU liabilities (local)</t>
  </si>
  <si>
    <t>AUD</t>
  </si>
  <si>
    <t>life sum assured (local)</t>
  </si>
  <si>
    <t>EUR</t>
  </si>
  <si>
    <t>HKD</t>
  </si>
  <si>
    <t>D · ASSUMPTIONS  —  rate from the table on the right</t>
  </si>
  <si>
    <t>USD per 1 local</t>
  </si>
  <si>
    <t>Blank if Personas currency is not a row in the rate table.</t>
  </si>
  <si>
    <t>C · DETERMINISTICALLY CALCULATED  —  local × USD per 1</t>
  </si>
  <si>
    <t>incomeMonthly USD</t>
  </si>
  <si>
    <t>5,000 SGD → 3,700. 5,000 VND → 0.19.</t>
  </si>
  <si>
    <t>expenseMonthly USD</t>
  </si>
  <si>
    <t>cash USD</t>
  </si>
  <si>
    <t>investments USD</t>
  </si>
  <si>
    <t>property USD</t>
  </si>
  <si>
    <t>mortgage USD</t>
  </si>
  <si>
    <t>PLU liabilities USD</t>
  </si>
  <si>
    <t>life sum assured USD</t>
  </si>
  <si>
    <t>Validation — USD-only min / max on the selected persona. Conversion lives on the FX tab. People Like You still stores local currency.</t>
  </si>
  <si>
    <t>Example: 5,000 SGD → FX 3,700 USD (pass). 5,000 VND → FX 0.19 USD (fail min income). Change Personas currency to VND and keep income 5,000 to see the fail. Yellow cells are editable.</t>
  </si>
  <si>
    <t>USD validation rules (edit these)</t>
  </si>
  <si>
    <t>field</t>
  </si>
  <si>
    <t>min USD</t>
  </si>
  <si>
    <t>max USD</t>
  </si>
  <si>
    <t>source / why</t>
  </si>
  <si>
    <t>fail if</t>
  </si>
  <si>
    <t>InsApi rejects below ~USD 1,000. Workbook floor 200 so a junior US wage still passes; 5,000 VND does not.</t>
  </si>
  <si>
    <t>USD &lt; min or &gt; max</t>
  </si>
  <si>
    <t>Frontend MIN_EXPENSE_MONTHLY = 100 SGD ≈ 74 USD. Floor 80 USD.</t>
  </si>
  <si>
    <t>Cash &amp; Savings stock, not a monthly flow.</t>
  </si>
  <si>
    <t>USD &lt; 0 or &gt; max</t>
  </si>
  <si>
    <t>Investment stock.</t>
  </si>
  <si>
    <t>Home value. 0 is valid (renter).</t>
  </si>
  <si>
    <t>Loans. Also fail if USD mortgage &gt; USD property when property &gt; 0.</t>
  </si>
  <si>
    <t>USD &lt; 0, &gt; max, or &gt; property</t>
  </si>
  <si>
    <t>Profiler TotalLiabilities (liquid × 0.7 unless overridden).</t>
  </si>
  <si>
    <t>Existing life cover. 0 is valid.</t>
  </si>
  <si>
    <t>Selected persona — pass / fail against USD rules</t>
  </si>
  <si>
    <t>Follows the Selected persona tab. Change the id there.</t>
  </si>
  <si>
    <t>Pointer to the FX tab. Edit rates there, not here.</t>
  </si>
  <si>
    <t>local (effective)</t>
  </si>
  <si>
    <t>USD (from FX)</t>
  </si>
  <si>
    <t>status</t>
  </si>
  <si>
    <t>detail</t>
  </si>
  <si>
    <t>Overall</t>
  </si>
  <si>
    <t>Assumptions and shared data — values the live code actually reads</t>
  </si>
  <si>
    <t>Yellow cells are editable. Every other tab reads these named cells. HappiU and Scenario Visualizer still run in HU / SV; this sheet only stores what GP sends them.</t>
  </si>
  <si>
    <t>Economic rates (src/session_rates.py DEFAULTS / ASSUME_DEFAULTS)</t>
  </si>
  <si>
    <t>Singapore occupation income bands (income_anchors.json)</t>
  </si>
  <si>
    <t>Docs that disagree with these cells are listed on the Discrepancies tab. Code wins. Cash/investments is 15%/85% (predict.py), not 45%/55%.</t>
  </si>
  <si>
    <t>min</t>
  </si>
  <si>
    <t>max</t>
  </si>
  <si>
    <t>interestRate</t>
  </si>
  <si>
    <t>Teacher / educator</t>
  </si>
  <si>
    <t>loanRate</t>
  </si>
  <si>
    <t>Software engineer</t>
  </si>
  <si>
    <t>incomeGrowthRate</t>
  </si>
  <si>
    <t>Investment banker / finance director</t>
  </si>
  <si>
    <t>Marketing manager</t>
  </si>
  <si>
    <t>assetReturn</t>
  </si>
  <si>
    <t>Doctor / physician</t>
  </si>
  <si>
    <t>realReturn (derived)</t>
  </si>
  <si>
    <t>Need Calculator and Plan Calculator discount at this rate</t>
  </si>
  <si>
    <t>Life-cycle</t>
  </si>
  <si>
    <t>CEO / managing director of a typical firm</t>
  </si>
  <si>
    <t>ageOfRetirement</t>
  </si>
  <si>
    <t>currentYear</t>
  </si>
  <si>
    <t>endAge (chart horizon)</t>
  </si>
  <si>
    <t>CPF rates and formulas live on the CPF tab (country on / off)</t>
  </si>
  <si>
    <t>Stress events (frontend/src/lib/stressEvents.ts) — Scenario Visualizer only</t>
  </si>
  <si>
    <t>label</t>
  </si>
  <si>
    <t>default size</t>
  </si>
  <si>
    <t>default year</t>
  </si>
  <si>
    <t>what SV applies</t>
  </si>
  <si>
    <t>crash</t>
  </si>
  <si>
    <t>Market crash</t>
  </si>
  <si>
    <t>35%</t>
  </si>
  <si>
    <t>year 8</t>
  </si>
  <si>
    <t>Haircut on invested assets</t>
  </si>
  <si>
    <t>ccy</t>
  </si>
  <si>
    <t>Currency shock</t>
  </si>
  <si>
    <t>14%</t>
  </si>
  <si>
    <t>year 6</t>
  </si>
  <si>
    <t>Haircut on liquid assets at 2/3 of slider</t>
  </si>
  <si>
    <t>infl</t>
  </si>
  <si>
    <t>Inflation shock</t>
  </si>
  <si>
    <t>+3 pp</t>
  </si>
  <si>
    <t>years 4–9</t>
  </si>
  <si>
    <t>Session inflationRate plus extra</t>
  </si>
  <si>
    <t>inc</t>
  </si>
  <si>
    <t>Impact on income</t>
  </si>
  <si>
    <t>−20%</t>
  </si>
  <si>
    <t>years 5–10</t>
  </si>
  <si>
    <t>Salary reduced for that span</t>
  </si>
  <si>
    <t>death</t>
  </si>
  <si>
    <t>Death</t>
  </si>
  <si>
    <t>S$20,000</t>
  </si>
  <si>
    <t>year 17</t>
  </si>
  <si>
    <t>One-time cost; salary → 0</t>
  </si>
  <si>
    <t>Need parameters (src/pipeline/goal_math.py)</t>
  </si>
  <si>
    <t>ci</t>
  </si>
  <si>
    <t>Critical illness</t>
  </si>
  <si>
    <t>S$150,000</t>
  </si>
  <si>
    <t>year 12</t>
  </si>
  <si>
    <t>One-time medical cost</t>
  </si>
  <si>
    <t>tpd</t>
  </si>
  <si>
    <t>Total &amp; permanent disability</t>
  </si>
  <si>
    <t>S$200,000</t>
  </si>
  <si>
    <t>year 15</t>
  </si>
  <si>
    <t>pa</t>
  </si>
  <si>
    <t>Personal accident</t>
  </si>
  <si>
    <t>S$80,000</t>
  </si>
  <si>
    <t>year 10</t>
  </si>
  <si>
    <t>hosp</t>
  </si>
  <si>
    <t>Hospitalisation</t>
  </si>
  <si>
    <t>S$120,000</t>
  </si>
  <si>
    <t>year 9</t>
  </si>
  <si>
    <t>One-time hospital bill</t>
  </si>
  <si>
    <t>lifeSupportMin</t>
  </si>
  <si>
    <t>care</t>
  </si>
  <si>
    <t>Long-term care years</t>
  </si>
  <si>
    <t>S$90,000 / yr</t>
  </si>
  <si>
    <t>years 30–35</t>
  </si>
  <si>
    <t>Extra annual spend</t>
  </si>
  <si>
    <t>lifeSupportMax</t>
  </si>
  <si>
    <t>wed</t>
  </si>
  <si>
    <t>Wedding / marriage</t>
  </si>
  <si>
    <t>S$60,000</t>
  </si>
  <si>
    <t>year 5</t>
  </si>
  <si>
    <t>One-time cost</t>
  </si>
  <si>
    <t>lifeSupportPivotAge</t>
  </si>
  <si>
    <t>baby</t>
  </si>
  <si>
    <t>Newborn</t>
  </si>
  <si>
    <t>S$35,000</t>
  </si>
  <si>
    <t>year 3</t>
  </si>
  <si>
    <t>CI_YEARS</t>
  </si>
  <si>
    <t>exp</t>
  </si>
  <si>
    <t>Impact on expenses</t>
  </si>
  <si>
    <t>+15%</t>
  </si>
  <si>
    <t>years 6–12</t>
  </si>
  <si>
    <t>Living spend raised</t>
  </si>
  <si>
    <t>CI_COST</t>
  </si>
  <si>
    <t>TPD_YEARS</t>
  </si>
  <si>
    <t>TPD_COST</t>
  </si>
  <si>
    <t>eduYearsDefault</t>
  </si>
  <si>
    <t>Household seeding (src/predict.py spend / assets; CPF is on the CPF tab)</t>
  </si>
  <si>
    <t>liabilityRatio (PLU only; not the mortgage)</t>
  </si>
  <si>
    <t>Plan and budget (frontend/src/lib/planProducts.ts)</t>
  </si>
  <si>
    <t>lumpRoundStep</t>
  </si>
  <si>
    <t>coverSliderPremFloor</t>
  </si>
  <si>
    <t>HappiU budget envelope (src/hu_payload.py) — not Budget Calculator</t>
  </si>
  <si>
    <t>annualBudget</t>
  </si>
  <si>
    <t>placeholderNeedBudget</t>
  </si>
  <si>
    <t>gfr</t>
  </si>
  <si>
    <t>benefitRound</t>
  </si>
  <si>
    <t>huNumSims</t>
  </si>
  <si>
    <t>funeralLump</t>
  </si>
  <si>
    <t>criMedicalPlaceholder</t>
  </si>
  <si>
    <t>Risk → investmentReturn seed (frontend/src/lib/riskCapacity.ts)</t>
  </si>
  <si>
    <t>suggestBand1</t>
  </si>
  <si>
    <t>suggestBand2</t>
  </si>
  <si>
    <t>suggestBand3</t>
  </si>
  <si>
    <t>suggestBand4</t>
  </si>
  <si>
    <t>suggestBand5</t>
  </si>
  <si>
    <t>defaultRiskTolerance</t>
  </si>
  <si>
    <t>Need Profiler factor weights (Need_profiler.json needs_factor_weights)</t>
  </si>
  <si>
    <t>factor \ need</t>
  </si>
  <si>
    <t>Life Protection</t>
  </si>
  <si>
    <t>Critical Illness</t>
  </si>
  <si>
    <t>Disability</t>
  </si>
  <si>
    <t>Retirement</t>
  </si>
  <si>
    <t>Education</t>
  </si>
  <si>
    <t>Hospitalization</t>
  </si>
  <si>
    <t>General Savings</t>
  </si>
  <si>
    <t>Farewell</t>
  </si>
  <si>
    <t>Personal Accident</t>
  </si>
  <si>
    <t>Car Protection</t>
  </si>
  <si>
    <t>Home Protection</t>
  </si>
  <si>
    <t>Travel Protection</t>
  </si>
  <si>
    <t>Date of Birth</t>
  </si>
  <si>
    <t>Gender</t>
  </si>
  <si>
    <t>Dependants</t>
  </si>
  <si>
    <t>Occupation</t>
  </si>
  <si>
    <t>Smoking</t>
  </si>
  <si>
    <t>Income</t>
  </si>
  <si>
    <t>Expense</t>
  </si>
  <si>
    <t>Assets</t>
  </si>
  <si>
    <t>Liabilities</t>
  </si>
  <si>
    <t>Hospital Type</t>
  </si>
  <si>
    <t>Ward Type</t>
  </si>
  <si>
    <t>Lifestyle</t>
  </si>
  <si>
    <t>Sports</t>
  </si>
  <si>
    <t>Code vs documentation — this workbook follows the code</t>
  </si>
  <si>
    <t>Found while transcribing formulas. If a formula file and Calculations.md disagree, the formula file is supposed to win; when both disagree with the live module, the module wins and is what the Excel formulas implement.</t>
  </si>
  <si>
    <t>#</t>
  </si>
  <si>
    <t>Docs say</t>
  </si>
  <si>
    <t>Code does</t>
  </si>
  <si>
    <t>Workbook uses</t>
  </si>
  <si>
    <t>Where</t>
  </si>
  <si>
    <t>1</t>
  </si>
  <si>
    <t>cash / investments split 45% / 55% (Calculations.md §3, People-like-you.md `_apply_plu` table).</t>
  </si>
  <si>
    <t>CASH_SAVINGS_SHARE = 0.15, INVESTMENTS_SHARE = 0.85 in src/predict.py. tests/test_predict.py asserts 0.15.</t>
  </si>
  <si>
    <t>15% / 85%</t>
  </si>
  <si>
    <t>src/predict.py:14-15; People-like-you.md:63; Calculations.md:255</t>
  </si>
  <si>
    <t>2</t>
  </si>
  <si>
    <t>GP sends topN: 5 and walks the ranked UNIFIED list until 5 types are on (Need-profiler.md, Architecture.md, People-like-you-and-needs.md).</t>
  </si>
  <si>
    <t>app.py calls run_need_profiler(top_n=4). select_unified_top ignores top_n and always returns 2 protection + 2 growth (retirement forced). DEFAULT_TOP_N = 4.</t>
  </si>
  <si>
    <t>Four needs: two protection + N_RET + one other growth.</t>
  </si>
  <si>
    <t>src/app.py:218; src/pipeline/need_profiler.py:22-71</t>
  </si>
  <si>
    <t>3</t>
  </si>
  <si>
    <t>Need Profiler fallback</t>
  </si>
  <si>
    <t>If the profiler is down: enable N_INC and N_RET, plus N_EDU when dependents &gt; 0 (Need-profiler.md, Calculations.md §5).</t>
  </si>
  <si>
    <t>app.py default_on = {N_INC, N_CRI, N_RET, N_PRP or N_SAV}; if dependents: {N_INC, N_CRI, N_RET, N_EDU}.</t>
  </si>
  <si>
    <t>Live path only (not the down fallback). See app.py if you simulate a 503.</t>
  </si>
  <si>
    <t>src/app.py:224-232; Need-profiler.md:29</t>
  </si>
  <si>
    <t>4</t>
  </si>
  <si>
    <t>Need Calculator N_RET</t>
  </si>
  <si>
    <t>needAmount = annualSpend × (1+realReturn)^T × a(realReturn, n) (Need-calculator.md).</t>
  </si>
  <si>
    <t>pv_annuity(fv(annual, inflationRate, T), realReturn, n). Spend is grown at inflation, then discounted at real return.</t>
  </si>
  <si>
    <t>Code: grow at inflationRate, PV at realReturn.</t>
  </si>
  <si>
    <t>src/pipeline/need_calculator.py:143-148; Need-calculator.md:45</t>
  </si>
  <si>
    <t>5</t>
  </si>
  <si>
    <t>Need Calculator years in retirement</t>
  </si>
  <si>
    <t>n = 85 − retAge (Need-calculator.md).</t>
  </si>
  <si>
    <t>years_in_retirement(retAge, session_life_expectancy). Uses People Like You lifeExpectancy when 70–120, else 85.</t>
  </si>
  <si>
    <t>Session life expectancy (People Like You lifeExpectancy used).</t>
  </si>
  <si>
    <t>src/pipeline/goal_math.py:120-133; Need-calculator.md:21,39</t>
  </si>
  <si>
    <t>6</t>
  </si>
  <si>
    <t>Need Calculator sample</t>
  </si>
  <si>
    <t>Age 42, income 6,800, spend 4,000, mortgage 200,000: N_INC 634,401 (Need-calculator.md).</t>
  </si>
  <si>
    <t>evaluate_session on those inputs gives N_INC 634,401 (supportYears at 42 is 10).</t>
  </si>
  <si>
    <t>Live evaluate_session number.</t>
  </si>
  <si>
    <t>Need-calculator.md:55; src/pipeline/need_calculator.py</t>
  </si>
  <si>
    <t>7</t>
  </si>
  <si>
    <t>Plan Calculator surplus</t>
  </si>
  <si>
    <t>annual_surplus = max(0, (income − expense) × 12) (Plan-calculator.md). Budget available = max(0, income − expense) (Budget-calculator.md, Calculations.md §9).</t>
  </si>
  <si>
    <t>availableBudget = takeHomeMonthly − expenseMonthly (types.ts). defaultWealthMth and planAfford use that.</t>
  </si>
  <si>
    <t>Take-home minus expense.</t>
  </si>
  <si>
    <t>frontend/src/lib/types.ts:452-454; Plan-calculator.md:40; Budget-calculator.md:10</t>
  </si>
  <si>
    <t>8</t>
  </si>
  <si>
    <t>Plan Calculator default premium</t>
  </si>
  <si>
    <t>default premium = round((slider_max / 2) / 10) × 10 where slider_max = max(indicative × 2, 200).</t>
  </si>
  <si>
    <t>seedCoverDefaults / refreshUntouchedCover set planPrem = coverPremiumFor(sum) = the indicative itself.</t>
  </si>
  <si>
    <t>Indicative premium, not half of the slider max.</t>
  </si>
  <si>
    <t>frontend/src/lib/local.ts:178-180; planProducts.ts:232-234; Plan-calculator.md:16-17</t>
  </si>
  <si>
    <t>9</t>
  </si>
  <si>
    <t>Plan Calculator premiums subtracted</t>
  </si>
  <si>
    <t>left = annual_surplus − life_premium (Plan-calculator.md).</t>
  </si>
  <si>
    <t>left = surplus − protectionPremAnnual (every included protection premium, not only life).</t>
  </si>
  <si>
    <t>All included protection premiums.</t>
  </si>
  <si>
    <t>frontend/src/lib/planProducts.ts:321-326; Plan-calculator.md:41</t>
  </si>
  <si>
    <t>10</t>
  </si>
  <si>
    <t>Need Profiler × People Like You enums</t>
  </si>
  <si>
    <t>Not documented as a break. Profiler Lifestyle options are frugal / stress-free / only the best; Ward is A / B.</t>
  </si>
  <si>
    <t>PLU prompt asks retirement_lifestyle: Basic | Comfortable | Luxurious and ward_type: Single | Double | Ward. String match is case-insensitive but hyphen-sensitive. Basic/Comfortable/Luxurious and Single/Double/Ward score 0. Sports is free text; only “Adventurous Sports”, “Life style activities”, and “I dont do sports” match.</t>
  </si>
  <si>
    <t>Exact string match, so most LLM lifestyle / ward / sports flags add 0. Personas mix matching and PLU strings so you can see both.</t>
  </si>
  <si>
    <t>people_like_you_all_fields.json:79-80; Need_profiler.json Lifestyle / Ward / Sports; need_profiler.py:229-231</t>
  </si>
  <si>
    <t>11</t>
  </si>
  <si>
    <t>Need Profiler existing cover / ownership</t>
  </si>
  <si>
    <t>Reads liquid assets and the person (Calculations.md §5). Does not say existing policies are ignored.</t>
  </si>
  <si>
    <t>build_profiler_profile hard-codes Existing*Coverage = 0. Car / home / travel have factor weights but no weight_options, so option_weight is 0. Existing Life / CI look up “Life Protection” / “Critical Illness”, which are not in weight_options.</t>
  </si>
  <si>
    <t>Existing cover 0. Ownership flags stored but do not change the score.</t>
  </si>
  <si>
    <t>src/pipeline/onboarding.py:154-157; need_profiler.py:128-129</t>
  </si>
  <si>
    <t>12</t>
  </si>
  <si>
    <t>Need Profiler Income buckets</t>
  </si>
  <si>
    <t>Not described. Implied to use the JSON USD option labels.</t>
  </si>
  <si>
    <t>_get_option_weight multiplies SGD by 0.75 then uses hardcoded cut-overs. Almost every Singapore income above ~S$3,604 scores 0 on Income.</t>
  </si>
  <si>
    <t>src/pipeline/need_profiler.py:161-171</t>
  </si>
  <si>
    <t>13</t>
  </si>
  <si>
    <t>goal_math.compute_need_amounts</t>
  </si>
  <si>
    <t>Need-calculator.md is the amount engine.</t>
  </si>
  <si>
    <t>compute_need_amounts is a different older set (N_CRI = 5 × income, N_INC = PV of 50% expense, inflation 3%). evaluate_session does not call it. tests/test_pipeline.py still asserts the old helper.</t>
  </si>
  <si>
    <t>evaluate_session only.</t>
  </si>
  <si>
    <t>src/pipeline/goal_math.py:156-188; need_calculator.py:139-177</t>
  </si>
  <si>
    <t>14</t>
  </si>
  <si>
    <t>HappiU N_CRI years</t>
  </si>
  <si>
    <t>Need parameters: CI is 3 years + S$200,000. HappiU.md says payload medicalCost S$62,400.</t>
  </si>
  <si>
    <t>Need Calculator uses CI_YEARS = 3. hu_payload._calc_entry writes numYearsIncomeNeeded = 5 and medicalCost = 62400 for N_CRI. Those two figures are not the Need parameters.</t>
  </si>
  <si>
    <t>Need Calculator uses 3 years + 200,000. HappiU payload extras are not recalculated here.</t>
  </si>
  <si>
    <t>src/hu_payload.py:189-196; goal_math.py:32-33; HappiU.md:37-38</t>
  </si>
  <si>
    <t>Values computed by importing the GP modules at workbook build time. After Excel recalculates, pick that id on People Like You and compare the single-persona results. This sheet is a snapshot — it does not follow yellow-cell edits.</t>
  </si>
  <si>
    <t>life sum</t>
  </si>
  <si>
    <t>on N_INC</t>
  </si>
  <si>
    <t>on N_CRI</t>
  </si>
  <si>
    <t>on N_TPD</t>
  </si>
  <si>
    <t>on N_HOS</t>
  </si>
  <si>
    <t>on N_RET</t>
  </si>
  <si>
    <t>on N_EDU</t>
  </si>
  <si>
    <t>on N_SAV</t>
  </si>
  <si>
    <t>on N_PRP</t>
  </si>
  <si>
    <t>N_INC amount</t>
  </si>
  <si>
    <t>N_RET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</si>
</sst>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0%"/>
    <numFmt numFmtId="166" formatCode="0.0"/>
    <numFmt numFmtId="167" formatCode="0.000"/>
    <numFmt numFmtId="168" formatCode="0.000000"/>
  </numFmts>
  <fonts count="6" x14ac:knownFonts="1">
    <font>
      <sz val="11"/>
      <color theme="1"/>
      <name val="Calibri"/>
      <family val="2"/>
      <scheme val="minor"/>
    </font>
    <font>
      <b/>
      <sz val="16"/>
      <color rgb="FF1B3A4B"/>
      <name val="Calibri"/>
    </font>
    <font>
      <i/>
      <sz val="9"/>
      <color rgb="FF5C6B73"/>
      <name val="Calibri"/>
    </font>
    <font>
      <b/>
      <sz val="11"/>
      <color rgb="FF1B3A4B"/>
      <name val="Calibri"/>
    </font>
    <font>
      <sz val="10"/>
      <color rgb="FF1A1A1A"/>
      <name val="Calibri"/>
    </font>
    <font>
      <b/>
      <sz val="10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7F4EE"/>
      </patternFill>
    </fill>
    <fill>
      <patternFill patternType="solid">
        <fgColor rgb="FFE6E0D4"/>
      </patternFill>
    </fill>
    <fill>
      <patternFill patternType="solid">
        <fgColor rgb="FFFFF3BF"/>
      </patternFill>
    </fill>
    <fill>
      <patternFill patternType="solid">
        <fgColor rgb="FF1B3A4B"/>
      </patternFill>
    </fill>
    <fill>
      <patternFill patternType="solid">
        <fgColor rgb="FFB8860B"/>
      </patternFill>
    </fill>
    <fill>
      <patternFill patternType="solid">
        <fgColor rgb="FF1D4E89"/>
      </patternFill>
    </fill>
    <fill>
      <patternFill patternType="solid">
        <fgColor rgb="FFC45C26"/>
      </patternFill>
    </fill>
    <fill>
      <patternFill patternType="solid">
        <fgColor rgb="FF1F6F6A"/>
      </patternFill>
    </fill>
    <fill>
      <patternFill patternType="solid">
        <fgColor rgb="FF6B3FA0"/>
      </patternFill>
    </fill>
    <fill>
      <patternFill patternType="solid">
        <fgColor rgb="FFD7E6F5"/>
      </patternFill>
    </fill>
    <fill>
      <patternFill patternType="solid">
        <fgColor rgb="FFFFE0C2"/>
      </patternFill>
    </fill>
    <fill>
      <patternFill patternType="solid">
        <fgColor rgb="FFD3F0E2"/>
      </patternFill>
    </fill>
    <fill>
      <patternFill patternType="solid">
        <fgColor rgb="FFEDE4F5"/>
      </patternFill>
    </fill>
  </fills>
  <borders count="4">
    <border>
      <left/>
      <right/>
      <top/>
      <bottom/>
      <diagonal/>
    </border>
    <border>
      <left style="thin">
        <color rgb="FFD4CBB8"/>
      </left>
      <right style="thin">
        <color rgb="FFD4CBB8"/>
      </right>
      <top style="thin">
        <color rgb="FFD4CBB8"/>
      </top>
      <bottom style="thin">
        <color rgb="FFD4CBB8"/>
      </bottom>
      <diagonal/>
    </border>
    <border>
      <left/>
      <right/>
      <top style="thin">
        <color rgb="FFD4CBB8"/>
      </top>
      <bottom style="thin">
        <color rgb="FFD4CBB8"/>
      </bottom>
      <diagonal/>
    </border>
    <border>
      <left/>
      <right style="thin">
        <color rgb="FFD4CBB8"/>
      </right>
      <top style="thin">
        <color rgb="FFD4CBB8"/>
      </top>
      <bottom style="thin">
        <color rgb="FFD4CBB8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0" xfId="0" applyFont="1" applyFill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4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4" fillId="13" borderId="1" xfId="0" applyFont="1" applyFill="1" applyBorder="1" applyAlignment="1">
      <alignment horizontal="center" vertical="center" wrapText="1"/>
    </xf>
    <xf numFmtId="4" fontId="4" fillId="13" borderId="1" xfId="0" applyNumberFormat="1" applyFont="1" applyFill="1" applyBorder="1" applyAlignment="1">
      <alignment horizontal="center" vertical="center" wrapText="1"/>
    </xf>
    <xf numFmtId="3" fontId="4" fillId="13" borderId="1" xfId="0" applyNumberFormat="1" applyFont="1" applyFill="1" applyBorder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 wrapText="1"/>
    </xf>
    <xf numFmtId="4" fontId="4" fillId="12" borderId="1" xfId="0" applyNumberFormat="1" applyFont="1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vertical="center" wrapText="1"/>
    </xf>
    <xf numFmtId="3" fontId="4" fillId="14" borderId="1" xfId="0" applyNumberFormat="1" applyFont="1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164" fontId="4" fillId="13" borderId="1" xfId="0" applyNumberFormat="1" applyFont="1" applyFill="1" applyBorder="1" applyAlignment="1">
      <alignment horizontal="center" vertical="center" wrapText="1"/>
    </xf>
    <xf numFmtId="1" fontId="4" fillId="14" borderId="1" xfId="0" applyNumberFormat="1" applyFont="1" applyFill="1" applyBorder="1" applyAlignment="1">
      <alignment horizontal="center" vertical="center" wrapText="1"/>
    </xf>
    <xf numFmtId="10" fontId="4" fillId="14" borderId="1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2" fontId="4" fillId="14" borderId="1" xfId="0" applyNumberFormat="1" applyFont="1" applyFill="1" applyBorder="1" applyAlignment="1">
      <alignment horizontal="center" vertical="center" wrapText="1"/>
    </xf>
    <xf numFmtId="2" fontId="4" fillId="13" borderId="1" xfId="0" applyNumberFormat="1" applyFont="1" applyFill="1" applyBorder="1" applyAlignment="1">
      <alignment horizontal="center" vertical="center" wrapText="1"/>
    </xf>
    <xf numFmtId="166" fontId="4" fillId="13" borderId="1" xfId="0" applyNumberFormat="1" applyFont="1" applyFill="1" applyBorder="1" applyAlignment="1">
      <alignment horizontal="center" vertical="center" wrapText="1"/>
    </xf>
    <xf numFmtId="167" fontId="4" fillId="13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68" fontId="4" fillId="4" borderId="1" xfId="0" applyNumberFormat="1" applyFont="1" applyFill="1" applyBorder="1" applyAlignment="1">
      <alignment horizontal="center" vertical="center" wrapText="1"/>
    </xf>
    <xf numFmtId="168" fontId="4" fillId="14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10" fontId="4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8">
    <dxf>
      <fill>
        <patternFill patternType="solid">
          <fgColor rgb="FFD3F0E2"/>
        </patternFill>
      </fill>
    </dxf>
    <dxf>
      <fill>
        <patternFill patternType="solid">
          <fgColor rgb="FFF8D0D0"/>
        </patternFill>
      </fill>
    </dxf>
    <dxf>
      <fill>
        <patternFill patternType="solid">
          <fgColor rgb="FFD3F0E2"/>
        </patternFill>
      </fill>
    </dxf>
    <dxf>
      <fill>
        <patternFill patternType="solid">
          <fgColor rgb="FFF8D0D0"/>
        </patternFill>
      </fill>
    </dxf>
    <dxf>
      <fill>
        <patternFill patternType="solid">
          <fgColor rgb="FFD3F0E2"/>
        </patternFill>
      </fill>
    </dxf>
    <dxf>
      <fill>
        <patternFill patternType="solid">
          <fgColor rgb="FFF8D0D0"/>
        </patternFill>
      </fill>
    </dxf>
    <dxf>
      <fill>
        <patternFill patternType="solid">
          <fgColor rgb="FFD3F0E2"/>
        </patternFill>
      </fill>
    </dxf>
    <dxf>
      <fill>
        <patternFill patternType="solid">
          <fgColor rgb="FFF8D0D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4A35A"/>
  </sheetPr>
  <dimension ref="A1:H17"/>
  <sheetViews>
    <sheetView workbookViewId="0">
      <pane ySplit="2" topLeftCell="A3" activePane="bottomLeft" state="frozen"/>
      <selection pane="bottomLeft" activeCell="C9" sqref="C9"/>
    </sheetView>
  </sheetViews>
  <sheetFormatPr defaultRowHeight="15" x14ac:dyDescent="0.25"/>
  <cols>
    <col min="1" max="1" width="22" customWidth="1"/>
    <col min="2" max="2" width="14" customWidth="1"/>
    <col min="3" max="4" width="36" customWidth="1"/>
    <col min="5" max="5" width="62" customWidth="1"/>
    <col min="6" max="6" width="42" customWidth="1"/>
    <col min="7" max="7" width="28" customWidth="1"/>
    <col min="8" max="8" width="24" customWidth="1"/>
  </cols>
  <sheetData>
    <row r="1" spans="1:8" x14ac:dyDescent="0.25">
      <c r="A1" s="61" t="s">
        <v>0</v>
      </c>
      <c r="B1" s="58"/>
      <c r="C1" s="58"/>
      <c r="D1" s="58"/>
      <c r="E1" s="58"/>
      <c r="F1" s="58"/>
      <c r="G1" s="58"/>
      <c r="H1" s="58"/>
    </row>
    <row r="2" spans="1:8" x14ac:dyDescent="0.25">
      <c r="A2" s="59" t="s">
        <v>1</v>
      </c>
      <c r="B2" s="58"/>
      <c r="C2" s="58"/>
      <c r="D2" s="58"/>
      <c r="E2" s="58"/>
      <c r="F2" s="58"/>
      <c r="G2" s="58"/>
      <c r="H2" s="58"/>
    </row>
    <row r="3" spans="1:8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38.25" x14ac:dyDescent="0.2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10</v>
      </c>
      <c r="H4" s="3" t="s">
        <v>16</v>
      </c>
    </row>
    <row r="5" spans="1:8" ht="114.75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17</v>
      </c>
      <c r="H5" s="3" t="s">
        <v>23</v>
      </c>
    </row>
    <row r="6" spans="1:8" ht="114.75" x14ac:dyDescent="0.25">
      <c r="A6" s="3" t="s">
        <v>24</v>
      </c>
      <c r="B6" s="3" t="s">
        <v>18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24</v>
      </c>
      <c r="H6" s="3" t="s">
        <v>29</v>
      </c>
    </row>
    <row r="7" spans="1:8" ht="140.25" x14ac:dyDescent="0.25">
      <c r="A7" s="3" t="s">
        <v>30</v>
      </c>
      <c r="B7" s="3" t="s">
        <v>18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30</v>
      </c>
      <c r="H7" s="3" t="s">
        <v>35</v>
      </c>
    </row>
    <row r="8" spans="1:8" ht="51" x14ac:dyDescent="0.25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  <c r="G8" s="3" t="s">
        <v>42</v>
      </c>
      <c r="H8" s="3" t="s">
        <v>43</v>
      </c>
    </row>
    <row r="9" spans="1:8" ht="89.25" x14ac:dyDescent="0.25">
      <c r="A9" s="3" t="s">
        <v>44</v>
      </c>
      <c r="B9" s="3" t="s">
        <v>37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44</v>
      </c>
      <c r="H9" s="3" t="s">
        <v>49</v>
      </c>
    </row>
    <row r="10" spans="1:8" ht="51" x14ac:dyDescent="0.25">
      <c r="A10" s="3" t="s">
        <v>50</v>
      </c>
      <c r="B10" s="3" t="s">
        <v>37</v>
      </c>
      <c r="C10" s="3" t="s">
        <v>51</v>
      </c>
      <c r="D10" s="3" t="s">
        <v>52</v>
      </c>
      <c r="E10" s="3" t="s">
        <v>53</v>
      </c>
      <c r="F10" s="3" t="s">
        <v>54</v>
      </c>
      <c r="G10" s="3" t="s">
        <v>50</v>
      </c>
      <c r="H10" s="3" t="s">
        <v>55</v>
      </c>
    </row>
    <row r="11" spans="1:8" ht="51" x14ac:dyDescent="0.25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56</v>
      </c>
      <c r="H11" s="3" t="s">
        <v>62</v>
      </c>
    </row>
    <row r="12" spans="1:8" ht="63.75" x14ac:dyDescent="0.25">
      <c r="A12" s="3" t="s">
        <v>63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69</v>
      </c>
      <c r="H12" s="3" t="s">
        <v>70</v>
      </c>
    </row>
    <row r="13" spans="1:8" ht="51" x14ac:dyDescent="0.25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76</v>
      </c>
      <c r="G13" s="3" t="s">
        <v>77</v>
      </c>
      <c r="H13" s="3" t="s">
        <v>78</v>
      </c>
    </row>
    <row r="14" spans="1:8" x14ac:dyDescent="0.25">
      <c r="A14" s="60" t="s">
        <v>79</v>
      </c>
      <c r="B14" s="58"/>
      <c r="C14" s="58"/>
      <c r="D14" s="58"/>
      <c r="E14" s="58"/>
      <c r="F14" s="58"/>
      <c r="G14" s="58"/>
      <c r="H14" s="58"/>
    </row>
    <row r="15" spans="1:8" x14ac:dyDescent="0.25">
      <c r="A15" s="57" t="s">
        <v>80</v>
      </c>
      <c r="B15" s="58"/>
      <c r="C15" s="58"/>
      <c r="D15" s="58"/>
      <c r="E15" s="58"/>
      <c r="F15" s="58"/>
      <c r="G15" s="58"/>
      <c r="H15" s="58"/>
    </row>
    <row r="17" spans="1:8" x14ac:dyDescent="0.25">
      <c r="A17" s="62" t="s">
        <v>81</v>
      </c>
      <c r="B17" s="58"/>
      <c r="C17" s="58"/>
      <c r="D17" s="58"/>
      <c r="E17" s="58"/>
      <c r="F17" s="58"/>
      <c r="G17" s="58"/>
      <c r="H17" s="58"/>
    </row>
  </sheetData>
  <mergeCells count="5">
    <mergeCell ref="A15:H15"/>
    <mergeCell ref="A2:H2"/>
    <mergeCell ref="A14:H14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4A35A"/>
  </sheetPr>
  <dimension ref="A1:F36"/>
  <sheetViews>
    <sheetView tabSelected="1" workbookViewId="0">
      <pane ySplit="3" topLeftCell="A4" activePane="bottomLeft" state="frozen"/>
      <selection pane="bottomLeft" activeCell="B2" sqref="B2"/>
    </sheetView>
  </sheetViews>
  <sheetFormatPr defaultRowHeight="15" x14ac:dyDescent="0.25"/>
  <cols>
    <col min="1" max="1" width="36" customWidth="1"/>
    <col min="2" max="2" width="22" customWidth="1"/>
    <col min="3" max="3" width="34" customWidth="1"/>
    <col min="4" max="4" width="78" customWidth="1"/>
    <col min="6" max="6" width="42" customWidth="1"/>
  </cols>
  <sheetData>
    <row r="1" spans="1:6" ht="27.95" customHeight="1" x14ac:dyDescent="0.25">
      <c r="A1" s="61" t="s">
        <v>82</v>
      </c>
      <c r="B1" s="58"/>
      <c r="C1" s="58"/>
      <c r="D1" s="58"/>
    </row>
    <row r="2" spans="1:6" ht="24" x14ac:dyDescent="0.25">
      <c r="A2" s="4" t="s">
        <v>83</v>
      </c>
      <c r="B2" s="5" t="s">
        <v>188</v>
      </c>
      <c r="C2" s="6" t="str">
        <f>IFERROR(INDEX(Personas!B$3:B$52,MATCH($B$2,Personas!$A$3:$A$52,0)),"")</f>
        <v>Wei Ling Tan</v>
      </c>
      <c r="D2" s="1" t="s">
        <v>85</v>
      </c>
      <c r="F2" s="4" t="s">
        <v>86</v>
      </c>
    </row>
    <row r="3" spans="1:6" x14ac:dyDescent="0.25">
      <c r="A3" s="2" t="s">
        <v>87</v>
      </c>
      <c r="B3" s="2" t="s">
        <v>88</v>
      </c>
      <c r="C3" s="2" t="s">
        <v>89</v>
      </c>
      <c r="D3" s="2" t="s">
        <v>90</v>
      </c>
      <c r="F3" s="7" t="s">
        <v>91</v>
      </c>
    </row>
    <row r="4" spans="1:6" x14ac:dyDescent="0.25">
      <c r="A4" s="63" t="s">
        <v>92</v>
      </c>
      <c r="B4" s="63"/>
      <c r="C4" s="63"/>
      <c r="D4" s="63"/>
      <c r="F4" s="8" t="s">
        <v>93</v>
      </c>
    </row>
    <row r="5" spans="1:6" x14ac:dyDescent="0.25">
      <c r="A5" s="9" t="s">
        <v>94</v>
      </c>
      <c r="B5" s="5" t="str">
        <f>IFERROR(INDEX(Personas!B$3:B$52,MATCH($B$2,Personas!$A$3:$A$52,0)),"")</f>
        <v>Wei Ling Tan</v>
      </c>
      <c r="C5" s="5" t="s">
        <v>95</v>
      </c>
      <c r="D5" s="10" t="s">
        <v>96</v>
      </c>
      <c r="F5" s="11" t="s">
        <v>97</v>
      </c>
    </row>
    <row r="6" spans="1:6" x14ac:dyDescent="0.25">
      <c r="A6" s="9" t="s">
        <v>98</v>
      </c>
      <c r="B6" s="12">
        <f>IFERROR(INDEX(Personas!C$3:C$52,MATCH($B$2,Personas!$A$3:$A$52,0)),"")</f>
        <v>27</v>
      </c>
      <c r="C6" s="5" t="s">
        <v>95</v>
      </c>
      <c r="D6" s="10" t="s">
        <v>99</v>
      </c>
      <c r="F6" s="13" t="s">
        <v>100</v>
      </c>
    </row>
    <row r="7" spans="1:6" x14ac:dyDescent="0.25">
      <c r="A7" s="9" t="s">
        <v>101</v>
      </c>
      <c r="B7" s="5" t="str">
        <f>IFERROR(INDEX(Personas!D$3:D$52,MATCH($B$2,Personas!$A$3:$A$52,0)),"")</f>
        <v>Male</v>
      </c>
      <c r="C7" s="5" t="s">
        <v>95</v>
      </c>
      <c r="D7" s="10" t="s">
        <v>102</v>
      </c>
    </row>
    <row r="8" spans="1:6" x14ac:dyDescent="0.25">
      <c r="A8" s="9" t="s">
        <v>103</v>
      </c>
      <c r="B8" s="5" t="str">
        <f>IFERROR(INDEX(Personas!E$3:E$52,MATCH($B$2,Personas!$A$3:$A$52,0)),"")</f>
        <v>PR</v>
      </c>
      <c r="C8" s="5" t="s">
        <v>95</v>
      </c>
      <c r="D8" s="10" t="s">
        <v>104</v>
      </c>
    </row>
    <row r="9" spans="1:6" x14ac:dyDescent="0.25">
      <c r="A9" s="9" t="s">
        <v>105</v>
      </c>
      <c r="B9" s="5" t="str">
        <f>IFERROR(INDEX(Personas!F$3:F$52,MATCH($B$2,Personas!$A$3:$A$52,0)),"")</f>
        <v>Singapore</v>
      </c>
      <c r="C9" s="5" t="s">
        <v>95</v>
      </c>
      <c r="D9" s="10" t="s">
        <v>106</v>
      </c>
    </row>
    <row r="10" spans="1:6" x14ac:dyDescent="0.25">
      <c r="A10" s="9" t="s">
        <v>107</v>
      </c>
      <c r="B10" s="5" t="str">
        <f>IFERROR(INDEX(Personas!G$3:G$52,MATCH($B$2,Personas!$A$3:$A$52,0)),"")</f>
        <v>Teacher</v>
      </c>
      <c r="C10" s="5" t="s">
        <v>95</v>
      </c>
      <c r="D10" s="10" t="s">
        <v>108</v>
      </c>
    </row>
    <row r="11" spans="1:6" x14ac:dyDescent="0.25">
      <c r="A11" s="9" t="s">
        <v>109</v>
      </c>
      <c r="B11" s="12">
        <f>IFERROR(INDEX(Personas!H$3:H$52,MATCH($B$2,Personas!$A$3:$A$52,0)),"")</f>
        <v>0</v>
      </c>
      <c r="C11" s="5" t="s">
        <v>95</v>
      </c>
      <c r="D11" s="10" t="s">
        <v>110</v>
      </c>
    </row>
    <row r="12" spans="1:6" x14ac:dyDescent="0.25">
      <c r="A12" s="9" t="s">
        <v>111</v>
      </c>
      <c r="B12" s="5">
        <f>IFERROR(INDEX(Personas!I$3:I$52,MATCH($B$2,Personas!$A$3:$A$52,0)),"")</f>
        <v>0</v>
      </c>
      <c r="C12" s="5" t="s">
        <v>95</v>
      </c>
      <c r="D12" s="10" t="s">
        <v>112</v>
      </c>
    </row>
    <row r="13" spans="1:6" ht="28.5" customHeight="1" x14ac:dyDescent="0.25">
      <c r="A13" s="9" t="s">
        <v>113</v>
      </c>
      <c r="B13" s="5" t="str">
        <f>IFERROR(INDEX(Personas!AD$3:AD$52,MATCH($B$2,Personas!$A$3:$A$52,0)),"")</f>
        <v>Teacher; age 27; PR; 0 dep; rent; non-smoker</v>
      </c>
      <c r="C13" s="5" t="s">
        <v>95</v>
      </c>
      <c r="D13" s="10" t="s">
        <v>114</v>
      </c>
    </row>
    <row r="15" spans="1:6" x14ac:dyDescent="0.25">
      <c r="A15" s="65" t="s">
        <v>115</v>
      </c>
      <c r="B15" s="65"/>
      <c r="C15" s="65"/>
      <c r="D15" s="65"/>
    </row>
    <row r="16" spans="1:6" x14ac:dyDescent="0.25">
      <c r="A16" s="14" t="s">
        <v>116</v>
      </c>
      <c r="B16" s="15">
        <f>IFERROR(INDEX(Personas!J$3:J$52,MATCH($B$2,Personas!$A$3:$A$52,0)),"")</f>
        <v>6020</v>
      </c>
      <c r="C16" s="16" t="s">
        <v>117</v>
      </c>
      <c r="D16" s="10" t="s">
        <v>118</v>
      </c>
    </row>
    <row r="17" spans="1:4" x14ac:dyDescent="0.25">
      <c r="A17" s="14" t="s">
        <v>119</v>
      </c>
      <c r="B17" s="16" t="str">
        <f>IFERROR(INDEX(Personas!K$3:K$52,MATCH($B$2,Personas!$A$3:$A$52,0)),"")</f>
        <v>SGD</v>
      </c>
      <c r="C17" s="16" t="s">
        <v>117</v>
      </c>
      <c r="D17" s="10" t="s">
        <v>120</v>
      </c>
    </row>
    <row r="18" spans="1:4" x14ac:dyDescent="0.25">
      <c r="A18" s="14" t="s">
        <v>121</v>
      </c>
      <c r="B18" s="16" t="str">
        <f>IFERROR(INDEX(Personas!L$3:L$52,MATCH($B$2,Personas!$A$3:$A$52,0)),"")</f>
        <v>moderate</v>
      </c>
      <c r="C18" s="16" t="s">
        <v>117</v>
      </c>
      <c r="D18" s="10" t="s">
        <v>122</v>
      </c>
    </row>
    <row r="19" spans="1:4" x14ac:dyDescent="0.25">
      <c r="A19" s="14" t="s">
        <v>123</v>
      </c>
      <c r="B19" s="16" t="str">
        <f>IFERROR(INDEX(Personas!M$3:M$52,MATCH($B$2,Personas!$A$3:$A$52,0)),"")</f>
        <v>medium</v>
      </c>
      <c r="C19" s="16" t="s">
        <v>117</v>
      </c>
      <c r="D19" s="10" t="s">
        <v>124</v>
      </c>
    </row>
    <row r="20" spans="1:4" x14ac:dyDescent="0.25">
      <c r="A20" s="14" t="s">
        <v>125</v>
      </c>
      <c r="B20" s="16" t="b">
        <f>IFERROR(INDEX(Personas!N$3:N$52,MATCH($B$2,Personas!$A$3:$A$52,0)),"")</f>
        <v>0</v>
      </c>
      <c r="C20" s="16" t="s">
        <v>117</v>
      </c>
      <c r="D20" s="10" t="s">
        <v>126</v>
      </c>
    </row>
    <row r="21" spans="1:4" x14ac:dyDescent="0.25">
      <c r="A21" s="14" t="s">
        <v>127</v>
      </c>
      <c r="B21" s="16" t="b">
        <f>IFERROR(INDEX(Personas!O$3:O$52,MATCH($B$2,Personas!$A$3:$A$52,0)),"")</f>
        <v>1</v>
      </c>
      <c r="C21" s="16" t="s">
        <v>117</v>
      </c>
      <c r="D21" s="10" t="s">
        <v>128</v>
      </c>
    </row>
    <row r="22" spans="1:4" x14ac:dyDescent="0.25">
      <c r="A22" s="14" t="s">
        <v>129</v>
      </c>
      <c r="B22" s="16" t="b">
        <f>IFERROR(INDEX(Personas!U$3:U$52,MATCH($B$2,Personas!$A$3:$A$52,0)),"")</f>
        <v>0</v>
      </c>
      <c r="C22" s="16" t="s">
        <v>117</v>
      </c>
      <c r="D22" s="10" t="s">
        <v>130</v>
      </c>
    </row>
    <row r="23" spans="1:4" x14ac:dyDescent="0.25">
      <c r="A23" s="14" t="s">
        <v>131</v>
      </c>
      <c r="B23" s="17">
        <f>IFERROR(INDEX(Personas!V$3:V$52,MATCH($B$2,Personas!$A$3:$A$52,0)),"")</f>
        <v>81</v>
      </c>
      <c r="C23" s="16" t="s">
        <v>117</v>
      </c>
      <c r="D23" s="10" t="s">
        <v>132</v>
      </c>
    </row>
    <row r="24" spans="1:4" x14ac:dyDescent="0.25">
      <c r="A24" s="14" t="s">
        <v>133</v>
      </c>
      <c r="B24" s="16" t="str">
        <f>IFERROR(INDEX(Personas!T$3:T$52,MATCH($B$2,Personas!$A$3:$A$52,0)),"")</f>
        <v>Comfortable</v>
      </c>
      <c r="C24" s="16" t="s">
        <v>117</v>
      </c>
      <c r="D24" s="10" t="s">
        <v>134</v>
      </c>
    </row>
    <row r="26" spans="1:4" x14ac:dyDescent="0.25">
      <c r="A26" s="64" t="s">
        <v>135</v>
      </c>
      <c r="B26" s="64"/>
      <c r="C26" s="64"/>
      <c r="D26" s="64"/>
    </row>
    <row r="27" spans="1:4" x14ac:dyDescent="0.25">
      <c r="A27" s="18" t="s">
        <v>136</v>
      </c>
      <c r="B27" s="19" t="b">
        <f>CPF_on</f>
        <v>1</v>
      </c>
      <c r="C27" s="19" t="s">
        <v>137</v>
      </c>
      <c r="D27" s="10" t="s">
        <v>138</v>
      </c>
    </row>
    <row r="28" spans="1:4" x14ac:dyDescent="0.25">
      <c r="A28" s="18" t="s">
        <v>139</v>
      </c>
      <c r="B28" s="20">
        <f>PLU_incomeMonthly</f>
        <v>6020</v>
      </c>
      <c r="C28" s="19" t="s">
        <v>137</v>
      </c>
      <c r="D28" s="10" t="s">
        <v>140</v>
      </c>
    </row>
    <row r="29" spans="1:4" x14ac:dyDescent="0.25">
      <c r="A29" s="18" t="s">
        <v>141</v>
      </c>
      <c r="B29" s="20">
        <f>PLU_takeHome</f>
        <v>4816</v>
      </c>
      <c r="C29" s="19" t="s">
        <v>137</v>
      </c>
      <c r="D29" s="10" t="s">
        <v>142</v>
      </c>
    </row>
    <row r="30" spans="1:4" x14ac:dyDescent="0.25">
      <c r="A30" s="18" t="s">
        <v>143</v>
      </c>
      <c r="B30" s="20">
        <f>PLU_expenseMonthly</f>
        <v>3250.8</v>
      </c>
      <c r="C30" s="19" t="s">
        <v>137</v>
      </c>
      <c r="D30" s="10" t="s">
        <v>144</v>
      </c>
    </row>
    <row r="31" spans="1:4" x14ac:dyDescent="0.25">
      <c r="A31" s="18" t="s">
        <v>145</v>
      </c>
      <c r="B31" s="21">
        <f>PLU_cash</f>
        <v>8452</v>
      </c>
      <c r="C31" s="19" t="s">
        <v>137</v>
      </c>
      <c r="D31" s="10" t="s">
        <v>146</v>
      </c>
    </row>
    <row r="32" spans="1:4" x14ac:dyDescent="0.25">
      <c r="A32" s="18" t="s">
        <v>147</v>
      </c>
      <c r="B32" s="21">
        <f>PLU_investments</f>
        <v>47895</v>
      </c>
      <c r="C32" s="19" t="s">
        <v>137</v>
      </c>
      <c r="D32" s="10"/>
    </row>
    <row r="33" spans="1:4" x14ac:dyDescent="0.25">
      <c r="A33" s="18" t="s">
        <v>148</v>
      </c>
      <c r="B33" s="21">
        <f>PLU_property</f>
        <v>0</v>
      </c>
      <c r="C33" s="19" t="s">
        <v>137</v>
      </c>
      <c r="D33" s="10" t="s">
        <v>149</v>
      </c>
    </row>
    <row r="34" spans="1:4" x14ac:dyDescent="0.25">
      <c r="A34" s="18" t="s">
        <v>150</v>
      </c>
      <c r="B34" s="21">
        <f>PLU_mortgage</f>
        <v>0</v>
      </c>
      <c r="C34" s="19" t="s">
        <v>137</v>
      </c>
      <c r="D34" s="10"/>
    </row>
    <row r="35" spans="1:4" x14ac:dyDescent="0.25">
      <c r="A35" s="18" t="s">
        <v>151</v>
      </c>
      <c r="B35" s="20">
        <f>PLU_liabilities</f>
        <v>39443.039999999994</v>
      </c>
      <c r="C35" s="19" t="s">
        <v>137</v>
      </c>
      <c r="D35" s="10" t="s">
        <v>152</v>
      </c>
    </row>
    <row r="36" spans="1:4" x14ac:dyDescent="0.25">
      <c r="A36" s="18" t="s">
        <v>153</v>
      </c>
      <c r="B36" s="21">
        <f>PLU_lifeSum</f>
        <v>0</v>
      </c>
      <c r="C36" s="19" t="s">
        <v>137</v>
      </c>
      <c r="D36" s="10"/>
    </row>
  </sheetData>
  <mergeCells count="4">
    <mergeCell ref="A1:D1"/>
    <mergeCell ref="A4:D4"/>
    <mergeCell ref="A26:D26"/>
    <mergeCell ref="A15:D15"/>
  </mergeCells>
  <dataValidations count="1">
    <dataValidation type="list" sqref="B2" xr:uid="{00000000-0002-0000-0100-000000000000}">
      <formula1>PersonaIDs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6914"/>
  </sheetPr>
  <dimension ref="A1:AF52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18" customWidth="1"/>
    <col min="3" max="3" width="6" customWidth="1"/>
    <col min="4" max="4" width="10" customWidth="1"/>
    <col min="5" max="5" width="12" customWidth="1"/>
    <col min="6" max="6" width="14" customWidth="1"/>
    <col min="7" max="7" width="20" customWidth="1"/>
    <col min="8" max="8" width="12" customWidth="1"/>
    <col min="9" max="9" width="22" customWidth="1"/>
    <col min="10" max="10" width="12" customWidth="1"/>
    <col min="11" max="11" width="10" customWidth="1"/>
    <col min="12" max="12" width="14" customWidth="1"/>
    <col min="13" max="13" width="16" customWidth="1"/>
    <col min="14" max="14" width="10" customWidth="1"/>
    <col min="15" max="15" width="8" customWidth="1"/>
    <col min="16" max="16" width="12" customWidth="1"/>
    <col min="17" max="17" width="20" customWidth="1"/>
    <col min="18" max="18" width="12" customWidth="1"/>
    <col min="19" max="19" width="22" customWidth="1"/>
    <col min="20" max="20" width="20" customWidth="1"/>
    <col min="21" max="21" width="12" customWidth="1"/>
    <col min="22" max="22" width="14" customWidth="1"/>
    <col min="23" max="23" width="16" customWidth="1"/>
    <col min="24" max="24" width="20" customWidth="1"/>
    <col min="25" max="25" width="14" customWidth="1"/>
    <col min="26" max="29" width="16" customWidth="1"/>
    <col min="30" max="30" width="52" customWidth="1"/>
    <col min="32" max="32" width="42" customWidth="1"/>
  </cols>
  <sheetData>
    <row r="1" spans="1:32" ht="21.95" customHeight="1" x14ac:dyDescent="0.25">
      <c r="A1" s="63" t="s">
        <v>154</v>
      </c>
      <c r="B1" s="63"/>
      <c r="C1" s="63"/>
      <c r="D1" s="63"/>
      <c r="E1" s="63"/>
      <c r="F1" s="63"/>
      <c r="G1" s="63"/>
      <c r="H1" s="63"/>
      <c r="I1" s="63"/>
      <c r="J1" s="65" t="s">
        <v>155</v>
      </c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6" t="s">
        <v>156</v>
      </c>
      <c r="X1" s="66"/>
      <c r="Y1" s="66"/>
      <c r="Z1" s="66"/>
      <c r="AA1" s="66"/>
      <c r="AB1" s="66"/>
      <c r="AC1" s="66"/>
      <c r="AD1" s="2" t="s">
        <v>157</v>
      </c>
      <c r="AF1" s="4" t="s">
        <v>86</v>
      </c>
    </row>
    <row r="2" spans="1:32" ht="25.5" x14ac:dyDescent="0.25">
      <c r="A2" s="4" t="s">
        <v>158</v>
      </c>
      <c r="B2" s="4" t="s">
        <v>94</v>
      </c>
      <c r="C2" s="4" t="s">
        <v>98</v>
      </c>
      <c r="D2" s="4" t="s">
        <v>101</v>
      </c>
      <c r="E2" s="4" t="s">
        <v>103</v>
      </c>
      <c r="F2" s="4" t="s">
        <v>105</v>
      </c>
      <c r="G2" s="4" t="s">
        <v>107</v>
      </c>
      <c r="H2" s="4" t="s">
        <v>109</v>
      </c>
      <c r="I2" s="4" t="s">
        <v>159</v>
      </c>
      <c r="J2" s="7" t="s">
        <v>160</v>
      </c>
      <c r="K2" s="7" t="s">
        <v>119</v>
      </c>
      <c r="L2" s="7" t="s">
        <v>161</v>
      </c>
      <c r="M2" s="7" t="s">
        <v>162</v>
      </c>
      <c r="N2" s="7" t="s">
        <v>148</v>
      </c>
      <c r="O2" s="7" t="s">
        <v>163</v>
      </c>
      <c r="P2" s="7" t="s">
        <v>164</v>
      </c>
      <c r="Q2" s="7" t="s">
        <v>165</v>
      </c>
      <c r="R2" s="7" t="s">
        <v>166</v>
      </c>
      <c r="S2" s="7" t="s">
        <v>167</v>
      </c>
      <c r="T2" s="7" t="s">
        <v>168</v>
      </c>
      <c r="U2" s="7" t="s">
        <v>169</v>
      </c>
      <c r="V2" s="7" t="s">
        <v>170</v>
      </c>
      <c r="W2" s="13" t="s">
        <v>143</v>
      </c>
      <c r="X2" s="13" t="s">
        <v>171</v>
      </c>
      <c r="Y2" s="13" t="s">
        <v>147</v>
      </c>
      <c r="Z2" s="13" t="s">
        <v>172</v>
      </c>
      <c r="AA2" s="13" t="s">
        <v>173</v>
      </c>
      <c r="AB2" s="13" t="s">
        <v>151</v>
      </c>
      <c r="AC2" s="13" t="s">
        <v>153</v>
      </c>
      <c r="AD2" s="2" t="s">
        <v>174</v>
      </c>
      <c r="AF2" s="7" t="s">
        <v>91</v>
      </c>
    </row>
    <row r="3" spans="1:32" x14ac:dyDescent="0.25">
      <c r="A3" s="5" t="s">
        <v>84</v>
      </c>
      <c r="B3" s="6" t="s">
        <v>175</v>
      </c>
      <c r="C3" s="5">
        <v>22</v>
      </c>
      <c r="D3" s="5" t="s">
        <v>176</v>
      </c>
      <c r="E3" s="5" t="s">
        <v>177</v>
      </c>
      <c r="F3" s="5" t="s">
        <v>178</v>
      </c>
      <c r="G3" s="6" t="s">
        <v>179</v>
      </c>
      <c r="H3" s="5">
        <v>0</v>
      </c>
      <c r="I3" s="5"/>
      <c r="J3" s="22">
        <v>4200</v>
      </c>
      <c r="K3" s="16" t="s">
        <v>180</v>
      </c>
      <c r="L3" s="16" t="s">
        <v>181</v>
      </c>
      <c r="M3" s="16" t="s">
        <v>182</v>
      </c>
      <c r="N3" s="16" t="b">
        <v>0</v>
      </c>
      <c r="O3" s="16" t="b">
        <v>0</v>
      </c>
      <c r="P3" s="16" t="s">
        <v>183</v>
      </c>
      <c r="Q3" s="16" t="s">
        <v>184</v>
      </c>
      <c r="R3" s="16" t="b">
        <v>0</v>
      </c>
      <c r="S3" s="23" t="s">
        <v>185</v>
      </c>
      <c r="T3" s="16" t="s">
        <v>186</v>
      </c>
      <c r="U3" s="16" t="b">
        <v>0</v>
      </c>
      <c r="V3" s="16">
        <v>86</v>
      </c>
      <c r="W3" s="24">
        <v>2268</v>
      </c>
      <c r="X3" s="25">
        <v>983</v>
      </c>
      <c r="Y3" s="25">
        <v>5569</v>
      </c>
      <c r="Z3" s="25">
        <v>0</v>
      </c>
      <c r="AA3" s="25">
        <v>0</v>
      </c>
      <c r="AB3" s="25">
        <v>4586.3999999999996</v>
      </c>
      <c r="AC3" s="25">
        <v>0</v>
      </c>
      <c r="AD3" s="26" t="s">
        <v>187</v>
      </c>
      <c r="AF3" s="8" t="s">
        <v>93</v>
      </c>
    </row>
    <row r="4" spans="1:32" x14ac:dyDescent="0.25">
      <c r="A4" s="5" t="s">
        <v>188</v>
      </c>
      <c r="B4" s="6" t="s">
        <v>189</v>
      </c>
      <c r="C4" s="5">
        <v>27</v>
      </c>
      <c r="D4" s="5" t="s">
        <v>190</v>
      </c>
      <c r="E4" s="5" t="s">
        <v>191</v>
      </c>
      <c r="F4" s="5" t="s">
        <v>178</v>
      </c>
      <c r="G4" s="6" t="s">
        <v>192</v>
      </c>
      <c r="H4" s="5">
        <v>0</v>
      </c>
      <c r="I4" s="5"/>
      <c r="J4" s="22">
        <v>6020</v>
      </c>
      <c r="K4" s="16" t="s">
        <v>180</v>
      </c>
      <c r="L4" s="16" t="s">
        <v>193</v>
      </c>
      <c r="M4" s="16" t="s">
        <v>194</v>
      </c>
      <c r="N4" s="16" t="b">
        <v>0</v>
      </c>
      <c r="O4" s="16" t="b">
        <v>1</v>
      </c>
      <c r="P4" s="16" t="s">
        <v>195</v>
      </c>
      <c r="Q4" s="16" t="s">
        <v>196</v>
      </c>
      <c r="R4" s="16" t="b">
        <v>1</v>
      </c>
      <c r="S4" s="23" t="s">
        <v>197</v>
      </c>
      <c r="T4" s="16" t="s">
        <v>198</v>
      </c>
      <c r="U4" s="16" t="b">
        <v>0</v>
      </c>
      <c r="V4" s="16">
        <v>81</v>
      </c>
      <c r="W4" s="24">
        <v>3250.8</v>
      </c>
      <c r="X4" s="25">
        <v>8452</v>
      </c>
      <c r="Y4" s="25">
        <v>47895</v>
      </c>
      <c r="Z4" s="25">
        <v>0</v>
      </c>
      <c r="AA4" s="25">
        <v>0</v>
      </c>
      <c r="AB4" s="25">
        <v>39443.039999999994</v>
      </c>
      <c r="AC4" s="25">
        <v>0</v>
      </c>
      <c r="AD4" s="26" t="s">
        <v>199</v>
      </c>
      <c r="AF4" s="11" t="s">
        <v>97</v>
      </c>
    </row>
    <row r="5" spans="1:32" x14ac:dyDescent="0.25">
      <c r="A5" s="5" t="s">
        <v>200</v>
      </c>
      <c r="B5" s="6" t="s">
        <v>201</v>
      </c>
      <c r="C5" s="5">
        <v>34</v>
      </c>
      <c r="D5" s="5" t="s">
        <v>176</v>
      </c>
      <c r="E5" s="5" t="s">
        <v>177</v>
      </c>
      <c r="F5" s="5" t="s">
        <v>178</v>
      </c>
      <c r="G5" s="6" t="s">
        <v>202</v>
      </c>
      <c r="H5" s="5">
        <v>1</v>
      </c>
      <c r="I5" s="5"/>
      <c r="J5" s="22">
        <v>7140</v>
      </c>
      <c r="K5" s="16" t="s">
        <v>180</v>
      </c>
      <c r="L5" s="16" t="s">
        <v>193</v>
      </c>
      <c r="M5" s="16" t="s">
        <v>194</v>
      </c>
      <c r="N5" s="16" t="b">
        <v>1</v>
      </c>
      <c r="O5" s="16" t="b">
        <v>1</v>
      </c>
      <c r="P5" s="16" t="s">
        <v>203</v>
      </c>
      <c r="Q5" s="16" t="s">
        <v>196</v>
      </c>
      <c r="R5" s="16" t="b">
        <v>1</v>
      </c>
      <c r="S5" s="23" t="s">
        <v>204</v>
      </c>
      <c r="T5" s="16" t="s">
        <v>198</v>
      </c>
      <c r="U5" s="16" t="b">
        <v>0</v>
      </c>
      <c r="V5" s="16">
        <v>88</v>
      </c>
      <c r="W5" s="24">
        <v>4141.2</v>
      </c>
      <c r="X5" s="25">
        <v>18378</v>
      </c>
      <c r="Y5" s="25">
        <v>104144</v>
      </c>
      <c r="Z5" s="25">
        <v>350000</v>
      </c>
      <c r="AA5" s="25">
        <v>192500</v>
      </c>
      <c r="AB5" s="25">
        <v>85765.680000000008</v>
      </c>
      <c r="AC5" s="25">
        <v>428400</v>
      </c>
      <c r="AD5" s="26" t="s">
        <v>205</v>
      </c>
      <c r="AF5" s="13" t="s">
        <v>100</v>
      </c>
    </row>
    <row r="6" spans="1:32" x14ac:dyDescent="0.25">
      <c r="A6" s="5" t="s">
        <v>206</v>
      </c>
      <c r="B6" s="6" t="s">
        <v>207</v>
      </c>
      <c r="C6" s="5">
        <v>41</v>
      </c>
      <c r="D6" s="5" t="s">
        <v>190</v>
      </c>
      <c r="E6" s="5" t="s">
        <v>177</v>
      </c>
      <c r="F6" s="5" t="s">
        <v>178</v>
      </c>
      <c r="G6" s="6" t="s">
        <v>208</v>
      </c>
      <c r="H6" s="5">
        <v>2</v>
      </c>
      <c r="I6" s="5"/>
      <c r="J6" s="22">
        <v>4550</v>
      </c>
      <c r="K6" s="16" t="s">
        <v>180</v>
      </c>
      <c r="L6" s="16" t="s">
        <v>181</v>
      </c>
      <c r="M6" s="16" t="s">
        <v>182</v>
      </c>
      <c r="N6" s="16" t="b">
        <v>1</v>
      </c>
      <c r="O6" s="16" t="b">
        <v>1</v>
      </c>
      <c r="P6" s="16" t="s">
        <v>183</v>
      </c>
      <c r="Q6" s="16" t="s">
        <v>184</v>
      </c>
      <c r="R6" s="16" t="b">
        <v>0</v>
      </c>
      <c r="S6" s="23" t="s">
        <v>209</v>
      </c>
      <c r="T6" s="16" t="s">
        <v>210</v>
      </c>
      <c r="U6" s="16" t="b">
        <v>1</v>
      </c>
      <c r="V6" s="16">
        <v>78</v>
      </c>
      <c r="W6" s="24">
        <v>2821</v>
      </c>
      <c r="X6" s="25">
        <v>14742</v>
      </c>
      <c r="Y6" s="25">
        <v>83538</v>
      </c>
      <c r="Z6" s="25">
        <v>350000</v>
      </c>
      <c r="AA6" s="25">
        <v>192500</v>
      </c>
      <c r="AB6" s="25">
        <v>68796</v>
      </c>
      <c r="AC6" s="25">
        <v>273000</v>
      </c>
      <c r="AD6" s="26" t="s">
        <v>211</v>
      </c>
    </row>
    <row r="7" spans="1:32" x14ac:dyDescent="0.25">
      <c r="A7" s="5" t="s">
        <v>212</v>
      </c>
      <c r="B7" s="6" t="s">
        <v>213</v>
      </c>
      <c r="C7" s="5">
        <v>47</v>
      </c>
      <c r="D7" s="5" t="s">
        <v>176</v>
      </c>
      <c r="E7" s="5" t="s">
        <v>214</v>
      </c>
      <c r="F7" s="5" t="s">
        <v>178</v>
      </c>
      <c r="G7" s="6" t="s">
        <v>215</v>
      </c>
      <c r="H7" s="5">
        <v>2</v>
      </c>
      <c r="I7" s="5"/>
      <c r="J7" s="22">
        <v>5000</v>
      </c>
      <c r="K7" s="16" t="s">
        <v>180</v>
      </c>
      <c r="L7" s="16" t="s">
        <v>216</v>
      </c>
      <c r="M7" s="16" t="s">
        <v>182</v>
      </c>
      <c r="N7" s="16" t="b">
        <v>1</v>
      </c>
      <c r="O7" s="16" t="b">
        <v>0</v>
      </c>
      <c r="P7" s="16" t="s">
        <v>217</v>
      </c>
      <c r="Q7" s="16" t="s">
        <v>196</v>
      </c>
      <c r="R7" s="16" t="b">
        <v>1</v>
      </c>
      <c r="S7" s="23" t="s">
        <v>218</v>
      </c>
      <c r="T7" s="16" t="s">
        <v>219</v>
      </c>
      <c r="U7" s="16" t="b">
        <v>0</v>
      </c>
      <c r="V7" s="16">
        <v>90</v>
      </c>
      <c r="W7" s="24">
        <v>3875</v>
      </c>
      <c r="X7" s="25">
        <v>26325</v>
      </c>
      <c r="Y7" s="25">
        <v>149175</v>
      </c>
      <c r="Z7" s="25">
        <v>350000</v>
      </c>
      <c r="AA7" s="25">
        <v>192500</v>
      </c>
      <c r="AB7" s="25">
        <v>122850</v>
      </c>
      <c r="AC7" s="25">
        <v>300000</v>
      </c>
      <c r="AD7" s="26" t="s">
        <v>220</v>
      </c>
    </row>
    <row r="8" spans="1:32" x14ac:dyDescent="0.25">
      <c r="A8" s="5" t="s">
        <v>221</v>
      </c>
      <c r="B8" s="6" t="s">
        <v>222</v>
      </c>
      <c r="C8" s="5">
        <v>32</v>
      </c>
      <c r="D8" s="5" t="s">
        <v>190</v>
      </c>
      <c r="E8" s="5" t="s">
        <v>177</v>
      </c>
      <c r="F8" s="5" t="s">
        <v>178</v>
      </c>
      <c r="G8" s="6" t="s">
        <v>223</v>
      </c>
      <c r="H8" s="5">
        <v>1</v>
      </c>
      <c r="I8" s="5"/>
      <c r="J8" s="22">
        <v>13910</v>
      </c>
      <c r="K8" s="16" t="s">
        <v>180</v>
      </c>
      <c r="L8" s="16" t="s">
        <v>193</v>
      </c>
      <c r="M8" s="16" t="s">
        <v>194</v>
      </c>
      <c r="N8" s="16" t="b">
        <v>1</v>
      </c>
      <c r="O8" s="16" t="b">
        <v>1</v>
      </c>
      <c r="P8" s="16" t="s">
        <v>224</v>
      </c>
      <c r="Q8" s="16" t="s">
        <v>184</v>
      </c>
      <c r="R8" s="16" t="b">
        <v>1</v>
      </c>
      <c r="S8" s="23" t="s">
        <v>225</v>
      </c>
      <c r="T8" s="16" t="s">
        <v>226</v>
      </c>
      <c r="U8" s="16" t="b">
        <v>0</v>
      </c>
      <c r="V8" s="16">
        <v>83</v>
      </c>
      <c r="W8" s="24">
        <v>8924.75</v>
      </c>
      <c r="X8" s="25">
        <v>33514</v>
      </c>
      <c r="Y8" s="25">
        <v>189913</v>
      </c>
      <c r="Z8" s="25">
        <v>650000</v>
      </c>
      <c r="AA8" s="25">
        <v>357500</v>
      </c>
      <c r="AB8" s="25">
        <v>156398.54999999999</v>
      </c>
      <c r="AC8" s="25">
        <v>834600</v>
      </c>
      <c r="AD8" s="26" t="s">
        <v>227</v>
      </c>
    </row>
    <row r="9" spans="1:32" x14ac:dyDescent="0.25">
      <c r="A9" s="5" t="s">
        <v>228</v>
      </c>
      <c r="B9" s="6" t="s">
        <v>229</v>
      </c>
      <c r="C9" s="5">
        <v>54</v>
      </c>
      <c r="D9" s="5" t="s">
        <v>176</v>
      </c>
      <c r="E9" s="5" t="s">
        <v>191</v>
      </c>
      <c r="F9" s="5" t="s">
        <v>178</v>
      </c>
      <c r="G9" s="6" t="s">
        <v>230</v>
      </c>
      <c r="H9" s="5">
        <v>0</v>
      </c>
      <c r="I9" s="5"/>
      <c r="J9" s="22">
        <v>5525</v>
      </c>
      <c r="K9" s="16" t="s">
        <v>180</v>
      </c>
      <c r="L9" s="16" t="s">
        <v>181</v>
      </c>
      <c r="M9" s="16" t="s">
        <v>182</v>
      </c>
      <c r="N9" s="16" t="b">
        <v>1</v>
      </c>
      <c r="O9" s="16" t="b">
        <v>1</v>
      </c>
      <c r="P9" s="16" t="s">
        <v>203</v>
      </c>
      <c r="Q9" s="16" t="s">
        <v>196</v>
      </c>
      <c r="R9" s="16" t="b">
        <v>0</v>
      </c>
      <c r="S9" s="23" t="s">
        <v>231</v>
      </c>
      <c r="T9" s="16" t="s">
        <v>186</v>
      </c>
      <c r="U9" s="16" t="b">
        <v>0</v>
      </c>
      <c r="V9" s="16">
        <v>89</v>
      </c>
      <c r="W9" s="24">
        <v>2983.5</v>
      </c>
      <c r="X9" s="25">
        <v>42664</v>
      </c>
      <c r="Y9" s="25">
        <v>241763</v>
      </c>
      <c r="Z9" s="25">
        <v>350000</v>
      </c>
      <c r="AA9" s="25">
        <v>192500</v>
      </c>
      <c r="AB9" s="25">
        <v>199098.9</v>
      </c>
      <c r="AC9" s="25">
        <v>200000</v>
      </c>
      <c r="AD9" s="26" t="s">
        <v>232</v>
      </c>
    </row>
    <row r="10" spans="1:32" x14ac:dyDescent="0.25">
      <c r="A10" s="5" t="s">
        <v>233</v>
      </c>
      <c r="B10" s="6" t="s">
        <v>234</v>
      </c>
      <c r="C10" s="5">
        <v>60</v>
      </c>
      <c r="D10" s="5" t="s">
        <v>190</v>
      </c>
      <c r="E10" s="5" t="s">
        <v>177</v>
      </c>
      <c r="F10" s="5" t="s">
        <v>178</v>
      </c>
      <c r="G10" s="6" t="s">
        <v>235</v>
      </c>
      <c r="H10" s="5">
        <v>3</v>
      </c>
      <c r="I10" s="5"/>
      <c r="J10" s="22">
        <v>5975</v>
      </c>
      <c r="K10" s="16" t="s">
        <v>180</v>
      </c>
      <c r="L10" s="16" t="s">
        <v>181</v>
      </c>
      <c r="M10" s="16" t="s">
        <v>182</v>
      </c>
      <c r="N10" s="16" t="b">
        <v>1</v>
      </c>
      <c r="O10" s="16" t="b">
        <v>1</v>
      </c>
      <c r="P10" s="16" t="s">
        <v>183</v>
      </c>
      <c r="Q10" s="16" t="s">
        <v>184</v>
      </c>
      <c r="R10" s="16" t="b">
        <v>0</v>
      </c>
      <c r="S10" s="23" t="s">
        <v>209</v>
      </c>
      <c r="T10" s="16" t="s">
        <v>210</v>
      </c>
      <c r="U10" s="16" t="b">
        <v>1</v>
      </c>
      <c r="V10" s="16">
        <v>76</v>
      </c>
      <c r="W10" s="24">
        <v>4042.5</v>
      </c>
      <c r="X10" s="25">
        <v>30098</v>
      </c>
      <c r="Y10" s="25">
        <v>170557</v>
      </c>
      <c r="Z10" s="25">
        <v>350000</v>
      </c>
      <c r="AA10" s="25">
        <v>192500</v>
      </c>
      <c r="AB10" s="25">
        <v>140458.5</v>
      </c>
      <c r="AC10" s="25">
        <v>358500</v>
      </c>
      <c r="AD10" s="26" t="s">
        <v>236</v>
      </c>
    </row>
    <row r="11" spans="1:32" x14ac:dyDescent="0.25">
      <c r="A11" s="5" t="s">
        <v>237</v>
      </c>
      <c r="B11" s="6" t="s">
        <v>238</v>
      </c>
      <c r="C11" s="5">
        <v>25</v>
      </c>
      <c r="D11" s="5" t="s">
        <v>176</v>
      </c>
      <c r="E11" s="5" t="s">
        <v>177</v>
      </c>
      <c r="F11" s="5" t="s">
        <v>178</v>
      </c>
      <c r="G11" s="6" t="s">
        <v>239</v>
      </c>
      <c r="H11" s="5">
        <v>0</v>
      </c>
      <c r="I11" s="5"/>
      <c r="J11" s="22">
        <v>3350</v>
      </c>
      <c r="K11" s="16" t="s">
        <v>180</v>
      </c>
      <c r="L11" s="16" t="s">
        <v>193</v>
      </c>
      <c r="M11" s="16" t="s">
        <v>182</v>
      </c>
      <c r="N11" s="16" t="b">
        <v>0</v>
      </c>
      <c r="O11" s="16" t="b">
        <v>0</v>
      </c>
      <c r="P11" s="16" t="s">
        <v>183</v>
      </c>
      <c r="Q11" s="16" t="s">
        <v>184</v>
      </c>
      <c r="R11" s="16" t="b">
        <v>1</v>
      </c>
      <c r="S11" s="23" t="s">
        <v>240</v>
      </c>
      <c r="T11" s="16" t="s">
        <v>198</v>
      </c>
      <c r="U11" s="16" t="b">
        <v>0</v>
      </c>
      <c r="V11" s="16">
        <v>87</v>
      </c>
      <c r="W11" s="24">
        <v>1809</v>
      </c>
      <c r="X11" s="25">
        <v>3136</v>
      </c>
      <c r="Y11" s="25">
        <v>17768</v>
      </c>
      <c r="Z11" s="25">
        <v>0</v>
      </c>
      <c r="AA11" s="25">
        <v>0</v>
      </c>
      <c r="AB11" s="25">
        <v>14632.8</v>
      </c>
      <c r="AC11" s="25">
        <v>0</v>
      </c>
      <c r="AD11" s="26" t="s">
        <v>241</v>
      </c>
    </row>
    <row r="12" spans="1:32" x14ac:dyDescent="0.25">
      <c r="A12" s="5" t="s">
        <v>242</v>
      </c>
      <c r="B12" s="6" t="s">
        <v>243</v>
      </c>
      <c r="C12" s="5">
        <v>37</v>
      </c>
      <c r="D12" s="5" t="s">
        <v>190</v>
      </c>
      <c r="E12" s="5" t="s">
        <v>214</v>
      </c>
      <c r="F12" s="5" t="s">
        <v>178</v>
      </c>
      <c r="G12" s="6" t="s">
        <v>244</v>
      </c>
      <c r="H12" s="5">
        <v>2</v>
      </c>
      <c r="I12" s="5"/>
      <c r="J12" s="22">
        <v>4250</v>
      </c>
      <c r="K12" s="16" t="s">
        <v>180</v>
      </c>
      <c r="L12" s="16" t="s">
        <v>216</v>
      </c>
      <c r="M12" s="16" t="s">
        <v>182</v>
      </c>
      <c r="N12" s="16" t="b">
        <v>0</v>
      </c>
      <c r="O12" s="16" t="b">
        <v>1</v>
      </c>
      <c r="P12" s="16" t="s">
        <v>195</v>
      </c>
      <c r="Q12" s="16" t="s">
        <v>196</v>
      </c>
      <c r="R12" s="16" t="b">
        <v>1</v>
      </c>
      <c r="S12" s="23" t="s">
        <v>245</v>
      </c>
      <c r="T12" s="16" t="s">
        <v>246</v>
      </c>
      <c r="U12" s="16" t="b">
        <v>0</v>
      </c>
      <c r="V12" s="16">
        <v>80</v>
      </c>
      <c r="W12" s="24">
        <v>3293.75</v>
      </c>
      <c r="X12" s="25">
        <v>13770</v>
      </c>
      <c r="Y12" s="25">
        <v>78030</v>
      </c>
      <c r="Z12" s="25">
        <v>0</v>
      </c>
      <c r="AA12" s="25">
        <v>0</v>
      </c>
      <c r="AB12" s="25">
        <v>64259.999999999993</v>
      </c>
      <c r="AC12" s="25">
        <v>255000</v>
      </c>
      <c r="AD12" s="26" t="s">
        <v>247</v>
      </c>
    </row>
    <row r="13" spans="1:32" x14ac:dyDescent="0.25">
      <c r="A13" s="5" t="s">
        <v>248</v>
      </c>
      <c r="B13" s="6" t="s">
        <v>249</v>
      </c>
      <c r="C13" s="5">
        <v>51</v>
      </c>
      <c r="D13" s="5" t="s">
        <v>176</v>
      </c>
      <c r="E13" s="5" t="s">
        <v>177</v>
      </c>
      <c r="F13" s="5" t="s">
        <v>178</v>
      </c>
      <c r="G13" s="6" t="s">
        <v>179</v>
      </c>
      <c r="H13" s="5">
        <v>1</v>
      </c>
      <c r="I13" s="5"/>
      <c r="J13" s="22">
        <v>7140</v>
      </c>
      <c r="K13" s="16" t="s">
        <v>180</v>
      </c>
      <c r="L13" s="16" t="s">
        <v>193</v>
      </c>
      <c r="M13" s="16" t="s">
        <v>194</v>
      </c>
      <c r="N13" s="16" t="b">
        <v>1</v>
      </c>
      <c r="O13" s="16" t="b">
        <v>1</v>
      </c>
      <c r="P13" s="16" t="s">
        <v>217</v>
      </c>
      <c r="Q13" s="16" t="s">
        <v>196</v>
      </c>
      <c r="R13" s="16" t="b">
        <v>1</v>
      </c>
      <c r="S13" s="23" t="s">
        <v>250</v>
      </c>
      <c r="T13" s="16" t="s">
        <v>219</v>
      </c>
      <c r="U13" s="16" t="b">
        <v>0</v>
      </c>
      <c r="V13" s="16">
        <v>91</v>
      </c>
      <c r="W13" s="24">
        <v>4141.2</v>
      </c>
      <c r="X13" s="25">
        <v>42412</v>
      </c>
      <c r="Y13" s="25">
        <v>240332</v>
      </c>
      <c r="Z13" s="25">
        <v>350000</v>
      </c>
      <c r="AA13" s="25">
        <v>192500</v>
      </c>
      <c r="AB13" s="25">
        <v>197920.8</v>
      </c>
      <c r="AC13" s="25">
        <v>428400</v>
      </c>
      <c r="AD13" s="26" t="s">
        <v>251</v>
      </c>
    </row>
    <row r="14" spans="1:32" x14ac:dyDescent="0.25">
      <c r="A14" s="5" t="s">
        <v>252</v>
      </c>
      <c r="B14" s="6" t="s">
        <v>253</v>
      </c>
      <c r="C14" s="5">
        <v>66</v>
      </c>
      <c r="D14" s="5" t="s">
        <v>190</v>
      </c>
      <c r="E14" s="5" t="s">
        <v>177</v>
      </c>
      <c r="F14" s="5" t="s">
        <v>178</v>
      </c>
      <c r="G14" s="6" t="s">
        <v>192</v>
      </c>
      <c r="H14" s="5">
        <v>0</v>
      </c>
      <c r="I14" s="5"/>
      <c r="J14" s="22">
        <v>9800</v>
      </c>
      <c r="K14" s="16" t="s">
        <v>180</v>
      </c>
      <c r="L14" s="16" t="s">
        <v>181</v>
      </c>
      <c r="M14" s="16" t="s">
        <v>194</v>
      </c>
      <c r="N14" s="16" t="b">
        <v>1</v>
      </c>
      <c r="O14" s="16" t="b">
        <v>0</v>
      </c>
      <c r="P14" s="16" t="s">
        <v>183</v>
      </c>
      <c r="Q14" s="16" t="s">
        <v>184</v>
      </c>
      <c r="R14" s="16" t="b">
        <v>0</v>
      </c>
      <c r="S14" s="23" t="s">
        <v>209</v>
      </c>
      <c r="T14" s="16" t="s">
        <v>186</v>
      </c>
      <c r="U14" s="16" t="b">
        <v>0</v>
      </c>
      <c r="V14" s="16">
        <v>85</v>
      </c>
      <c r="W14" s="24">
        <v>6210</v>
      </c>
      <c r="X14" s="25">
        <v>121095</v>
      </c>
      <c r="Y14" s="25">
        <v>686205</v>
      </c>
      <c r="Z14" s="25">
        <v>350000</v>
      </c>
      <c r="AA14" s="25">
        <v>192500</v>
      </c>
      <c r="AB14" s="25">
        <v>565110</v>
      </c>
      <c r="AC14" s="25">
        <v>200000</v>
      </c>
      <c r="AD14" s="26" t="s">
        <v>254</v>
      </c>
    </row>
    <row r="15" spans="1:32" x14ac:dyDescent="0.25">
      <c r="A15" s="5" t="s">
        <v>255</v>
      </c>
      <c r="B15" s="6" t="s">
        <v>256</v>
      </c>
      <c r="C15" s="5">
        <v>30</v>
      </c>
      <c r="D15" s="5" t="s">
        <v>176</v>
      </c>
      <c r="E15" s="5" t="s">
        <v>191</v>
      </c>
      <c r="F15" s="5" t="s">
        <v>178</v>
      </c>
      <c r="G15" s="6" t="s">
        <v>202</v>
      </c>
      <c r="H15" s="5">
        <v>1</v>
      </c>
      <c r="I15" s="5"/>
      <c r="J15" s="22">
        <v>6580</v>
      </c>
      <c r="K15" s="16" t="s">
        <v>180</v>
      </c>
      <c r="L15" s="16" t="s">
        <v>193</v>
      </c>
      <c r="M15" s="16" t="s">
        <v>194</v>
      </c>
      <c r="N15" s="16" t="b">
        <v>0</v>
      </c>
      <c r="O15" s="16" t="b">
        <v>1</v>
      </c>
      <c r="P15" s="16" t="s">
        <v>195</v>
      </c>
      <c r="Q15" s="16" t="s">
        <v>184</v>
      </c>
      <c r="R15" s="16" t="b">
        <v>0</v>
      </c>
      <c r="S15" s="23" t="s">
        <v>197</v>
      </c>
      <c r="T15" s="16" t="s">
        <v>198</v>
      </c>
      <c r="U15" s="16" t="b">
        <v>1</v>
      </c>
      <c r="V15" s="16">
        <v>79</v>
      </c>
      <c r="W15" s="24">
        <v>3816.4</v>
      </c>
      <c r="X15" s="25">
        <v>11726</v>
      </c>
      <c r="Y15" s="25">
        <v>66445</v>
      </c>
      <c r="Z15" s="25">
        <v>0</v>
      </c>
      <c r="AA15" s="25">
        <v>0</v>
      </c>
      <c r="AB15" s="25">
        <v>54719.279999999992</v>
      </c>
      <c r="AC15" s="25">
        <v>394800</v>
      </c>
      <c r="AD15" s="26" t="s">
        <v>257</v>
      </c>
    </row>
    <row r="16" spans="1:32" x14ac:dyDescent="0.25">
      <c r="A16" s="5" t="s">
        <v>258</v>
      </c>
      <c r="B16" s="6" t="s">
        <v>259</v>
      </c>
      <c r="C16" s="5">
        <v>44</v>
      </c>
      <c r="D16" s="5" t="s">
        <v>190</v>
      </c>
      <c r="E16" s="5" t="s">
        <v>177</v>
      </c>
      <c r="F16" s="5" t="s">
        <v>178</v>
      </c>
      <c r="G16" s="6" t="s">
        <v>208</v>
      </c>
      <c r="H16" s="5">
        <v>4</v>
      </c>
      <c r="I16" s="5"/>
      <c r="J16" s="22">
        <v>4775</v>
      </c>
      <c r="K16" s="16" t="s">
        <v>180</v>
      </c>
      <c r="L16" s="16" t="s">
        <v>216</v>
      </c>
      <c r="M16" s="16" t="s">
        <v>182</v>
      </c>
      <c r="N16" s="16" t="b">
        <v>1</v>
      </c>
      <c r="O16" s="16" t="b">
        <v>1</v>
      </c>
      <c r="P16" s="16" t="s">
        <v>203</v>
      </c>
      <c r="Q16" s="16" t="s">
        <v>196</v>
      </c>
      <c r="R16" s="16" t="b">
        <v>1</v>
      </c>
      <c r="S16" s="23" t="s">
        <v>260</v>
      </c>
      <c r="T16" s="16" t="s">
        <v>246</v>
      </c>
      <c r="U16" s="16" t="b">
        <v>0</v>
      </c>
      <c r="V16" s="16">
        <v>84</v>
      </c>
      <c r="W16" s="24">
        <v>3342.5</v>
      </c>
      <c r="X16" s="25">
        <v>9884</v>
      </c>
      <c r="Y16" s="25">
        <v>56011</v>
      </c>
      <c r="Z16" s="25">
        <v>350000</v>
      </c>
      <c r="AA16" s="25">
        <v>192500</v>
      </c>
      <c r="AB16" s="25">
        <v>46126.5</v>
      </c>
      <c r="AC16" s="25">
        <v>286500</v>
      </c>
      <c r="AD16" s="26" t="s">
        <v>261</v>
      </c>
    </row>
    <row r="17" spans="1:30" x14ac:dyDescent="0.25">
      <c r="A17" s="5" t="s">
        <v>262</v>
      </c>
      <c r="B17" s="6" t="s">
        <v>263</v>
      </c>
      <c r="C17" s="5">
        <v>57</v>
      </c>
      <c r="D17" s="5" t="s">
        <v>176</v>
      </c>
      <c r="E17" s="5" t="s">
        <v>177</v>
      </c>
      <c r="F17" s="5" t="s">
        <v>178</v>
      </c>
      <c r="G17" s="6" t="s">
        <v>215</v>
      </c>
      <c r="H17" s="5">
        <v>2</v>
      </c>
      <c r="I17" s="5"/>
      <c r="J17" s="22">
        <v>5750</v>
      </c>
      <c r="K17" s="16" t="s">
        <v>180</v>
      </c>
      <c r="L17" s="16" t="s">
        <v>181</v>
      </c>
      <c r="M17" s="16" t="s">
        <v>182</v>
      </c>
      <c r="N17" s="16" t="b">
        <v>1</v>
      </c>
      <c r="O17" s="16" t="b">
        <v>1</v>
      </c>
      <c r="P17" s="16" t="s">
        <v>224</v>
      </c>
      <c r="Q17" s="16" t="s">
        <v>196</v>
      </c>
      <c r="R17" s="16" t="b">
        <v>0</v>
      </c>
      <c r="S17" s="23" t="s">
        <v>225</v>
      </c>
      <c r="T17" s="16" t="s">
        <v>226</v>
      </c>
      <c r="U17" s="16" t="b">
        <v>0</v>
      </c>
      <c r="V17" s="16">
        <v>92</v>
      </c>
      <c r="W17" s="24">
        <v>3654.12</v>
      </c>
      <c r="X17" s="25">
        <v>34373</v>
      </c>
      <c r="Y17" s="25">
        <v>194778</v>
      </c>
      <c r="Z17" s="25">
        <v>350000</v>
      </c>
      <c r="AA17" s="25">
        <v>192500</v>
      </c>
      <c r="AB17" s="25">
        <v>160405.05600000001</v>
      </c>
      <c r="AC17" s="25">
        <v>345000</v>
      </c>
      <c r="AD17" s="26" t="s">
        <v>264</v>
      </c>
    </row>
    <row r="18" spans="1:30" x14ac:dyDescent="0.25">
      <c r="A18" s="5" t="s">
        <v>265</v>
      </c>
      <c r="B18" s="6" t="s">
        <v>266</v>
      </c>
      <c r="C18" s="5">
        <v>23</v>
      </c>
      <c r="D18" s="5" t="s">
        <v>176</v>
      </c>
      <c r="E18" s="5" t="s">
        <v>177</v>
      </c>
      <c r="F18" s="5" t="s">
        <v>178</v>
      </c>
      <c r="G18" s="6" t="s">
        <v>223</v>
      </c>
      <c r="H18" s="5">
        <v>0</v>
      </c>
      <c r="I18" s="5"/>
      <c r="J18" s="22">
        <v>10400</v>
      </c>
      <c r="K18" s="16" t="s">
        <v>180</v>
      </c>
      <c r="L18" s="16" t="s">
        <v>181</v>
      </c>
      <c r="M18" s="16" t="s">
        <v>194</v>
      </c>
      <c r="N18" s="16" t="b">
        <v>0</v>
      </c>
      <c r="O18" s="16" t="b">
        <v>0</v>
      </c>
      <c r="P18" s="16" t="s">
        <v>183</v>
      </c>
      <c r="Q18" s="16" t="s">
        <v>184</v>
      </c>
      <c r="R18" s="16" t="b">
        <v>0</v>
      </c>
      <c r="S18" s="23" t="s">
        <v>185</v>
      </c>
      <c r="T18" s="16" t="s">
        <v>186</v>
      </c>
      <c r="U18" s="16" t="b">
        <v>0</v>
      </c>
      <c r="V18" s="16">
        <v>86</v>
      </c>
      <c r="W18" s="24">
        <v>5940</v>
      </c>
      <c r="X18" s="25">
        <v>5148</v>
      </c>
      <c r="Y18" s="25">
        <v>29172</v>
      </c>
      <c r="Z18" s="25">
        <v>0</v>
      </c>
      <c r="AA18" s="25">
        <v>0</v>
      </c>
      <c r="AB18" s="25">
        <v>24024</v>
      </c>
      <c r="AC18" s="25">
        <v>0</v>
      </c>
      <c r="AD18" s="26" t="s">
        <v>267</v>
      </c>
    </row>
    <row r="19" spans="1:30" x14ac:dyDescent="0.25">
      <c r="A19" s="5" t="s">
        <v>268</v>
      </c>
      <c r="B19" s="6" t="s">
        <v>269</v>
      </c>
      <c r="C19" s="5">
        <v>28</v>
      </c>
      <c r="D19" s="5" t="s">
        <v>190</v>
      </c>
      <c r="E19" s="5" t="s">
        <v>191</v>
      </c>
      <c r="F19" s="5" t="s">
        <v>178</v>
      </c>
      <c r="G19" s="6" t="s">
        <v>230</v>
      </c>
      <c r="H19" s="5">
        <v>0</v>
      </c>
      <c r="I19" s="5"/>
      <c r="J19" s="22">
        <v>3575</v>
      </c>
      <c r="K19" s="16" t="s">
        <v>180</v>
      </c>
      <c r="L19" s="16" t="s">
        <v>193</v>
      </c>
      <c r="M19" s="16" t="s">
        <v>182</v>
      </c>
      <c r="N19" s="16" t="b">
        <v>0</v>
      </c>
      <c r="O19" s="16" t="b">
        <v>1</v>
      </c>
      <c r="P19" s="16" t="s">
        <v>195</v>
      </c>
      <c r="Q19" s="16" t="s">
        <v>196</v>
      </c>
      <c r="R19" s="16" t="b">
        <v>1</v>
      </c>
      <c r="S19" s="23" t="s">
        <v>197</v>
      </c>
      <c r="T19" s="16" t="s">
        <v>198</v>
      </c>
      <c r="U19" s="16" t="b">
        <v>0</v>
      </c>
      <c r="V19" s="16">
        <v>81</v>
      </c>
      <c r="W19" s="24">
        <v>1930.5</v>
      </c>
      <c r="X19" s="25">
        <v>5856</v>
      </c>
      <c r="Y19" s="25">
        <v>33183</v>
      </c>
      <c r="Z19" s="25">
        <v>0</v>
      </c>
      <c r="AA19" s="25">
        <v>0</v>
      </c>
      <c r="AB19" s="25">
        <v>27327.3</v>
      </c>
      <c r="AC19" s="25">
        <v>0</v>
      </c>
      <c r="AD19" s="26" t="s">
        <v>270</v>
      </c>
    </row>
    <row r="20" spans="1:30" x14ac:dyDescent="0.25">
      <c r="A20" s="5" t="s">
        <v>271</v>
      </c>
      <c r="B20" s="6" t="s">
        <v>272</v>
      </c>
      <c r="C20" s="5">
        <v>35</v>
      </c>
      <c r="D20" s="5" t="s">
        <v>176</v>
      </c>
      <c r="E20" s="5" t="s">
        <v>177</v>
      </c>
      <c r="F20" s="5" t="s">
        <v>178</v>
      </c>
      <c r="G20" s="6" t="s">
        <v>235</v>
      </c>
      <c r="H20" s="5">
        <v>1</v>
      </c>
      <c r="I20" s="5"/>
      <c r="J20" s="22">
        <v>4100</v>
      </c>
      <c r="K20" s="16" t="s">
        <v>180</v>
      </c>
      <c r="L20" s="16" t="s">
        <v>193</v>
      </c>
      <c r="M20" s="16" t="s">
        <v>182</v>
      </c>
      <c r="N20" s="16" t="b">
        <v>1</v>
      </c>
      <c r="O20" s="16" t="b">
        <v>1</v>
      </c>
      <c r="P20" s="16" t="s">
        <v>203</v>
      </c>
      <c r="Q20" s="16" t="s">
        <v>196</v>
      </c>
      <c r="R20" s="16" t="b">
        <v>1</v>
      </c>
      <c r="S20" s="23" t="s">
        <v>204</v>
      </c>
      <c r="T20" s="16" t="s">
        <v>198</v>
      </c>
      <c r="U20" s="16" t="b">
        <v>0</v>
      </c>
      <c r="V20" s="16">
        <v>88</v>
      </c>
      <c r="W20" s="24">
        <v>2378</v>
      </c>
      <c r="X20" s="25">
        <v>11365</v>
      </c>
      <c r="Y20" s="25">
        <v>64403</v>
      </c>
      <c r="Z20" s="25">
        <v>350000</v>
      </c>
      <c r="AA20" s="25">
        <v>192500</v>
      </c>
      <c r="AB20" s="25">
        <v>53037.599999999999</v>
      </c>
      <c r="AC20" s="25">
        <v>246000</v>
      </c>
      <c r="AD20" s="26" t="s">
        <v>273</v>
      </c>
    </row>
    <row r="21" spans="1:30" x14ac:dyDescent="0.25">
      <c r="A21" s="5" t="s">
        <v>274</v>
      </c>
      <c r="B21" s="6" t="s">
        <v>275</v>
      </c>
      <c r="C21" s="5">
        <v>42</v>
      </c>
      <c r="D21" s="5" t="s">
        <v>190</v>
      </c>
      <c r="E21" s="5" t="s">
        <v>177</v>
      </c>
      <c r="F21" s="5" t="s">
        <v>178</v>
      </c>
      <c r="G21" s="6" t="s">
        <v>239</v>
      </c>
      <c r="H21" s="5">
        <v>2</v>
      </c>
      <c r="I21" s="5"/>
      <c r="J21" s="22">
        <v>4625</v>
      </c>
      <c r="K21" s="16" t="s">
        <v>180</v>
      </c>
      <c r="L21" s="16" t="s">
        <v>181</v>
      </c>
      <c r="M21" s="16" t="s">
        <v>182</v>
      </c>
      <c r="N21" s="16" t="b">
        <v>1</v>
      </c>
      <c r="O21" s="16" t="b">
        <v>1</v>
      </c>
      <c r="P21" s="16" t="s">
        <v>183</v>
      </c>
      <c r="Q21" s="16" t="s">
        <v>184</v>
      </c>
      <c r="R21" s="16" t="b">
        <v>0</v>
      </c>
      <c r="S21" s="23" t="s">
        <v>209</v>
      </c>
      <c r="T21" s="16" t="s">
        <v>210</v>
      </c>
      <c r="U21" s="16" t="b">
        <v>1</v>
      </c>
      <c r="V21" s="16">
        <v>78</v>
      </c>
      <c r="W21" s="24">
        <v>2867.5</v>
      </c>
      <c r="X21" s="25">
        <v>15734</v>
      </c>
      <c r="Y21" s="25">
        <v>89161</v>
      </c>
      <c r="Z21" s="25">
        <v>350000</v>
      </c>
      <c r="AA21" s="25">
        <v>192500</v>
      </c>
      <c r="AB21" s="25">
        <v>73426.5</v>
      </c>
      <c r="AC21" s="25">
        <v>277500</v>
      </c>
      <c r="AD21" s="26" t="s">
        <v>276</v>
      </c>
    </row>
    <row r="22" spans="1:30" x14ac:dyDescent="0.25">
      <c r="A22" s="5" t="s">
        <v>277</v>
      </c>
      <c r="B22" s="6" t="s">
        <v>278</v>
      </c>
      <c r="C22" s="5">
        <v>48</v>
      </c>
      <c r="D22" s="5" t="s">
        <v>176</v>
      </c>
      <c r="E22" s="5" t="s">
        <v>214</v>
      </c>
      <c r="F22" s="5" t="s">
        <v>178</v>
      </c>
      <c r="G22" s="6" t="s">
        <v>244</v>
      </c>
      <c r="H22" s="5">
        <v>2</v>
      </c>
      <c r="I22" s="5"/>
      <c r="J22" s="22">
        <v>5075</v>
      </c>
      <c r="K22" s="16" t="s">
        <v>180</v>
      </c>
      <c r="L22" s="16" t="s">
        <v>216</v>
      </c>
      <c r="M22" s="16" t="s">
        <v>182</v>
      </c>
      <c r="N22" s="16" t="b">
        <v>1</v>
      </c>
      <c r="O22" s="16" t="b">
        <v>0</v>
      </c>
      <c r="P22" s="16" t="s">
        <v>217</v>
      </c>
      <c r="Q22" s="16" t="s">
        <v>196</v>
      </c>
      <c r="R22" s="16" t="b">
        <v>1</v>
      </c>
      <c r="S22" s="23" t="s">
        <v>218</v>
      </c>
      <c r="T22" s="16" t="s">
        <v>219</v>
      </c>
      <c r="U22" s="16" t="b">
        <v>0</v>
      </c>
      <c r="V22" s="16">
        <v>90</v>
      </c>
      <c r="W22" s="24">
        <v>3933.12</v>
      </c>
      <c r="X22" s="25">
        <v>27748</v>
      </c>
      <c r="Y22" s="25">
        <v>157237</v>
      </c>
      <c r="Z22" s="25">
        <v>350000</v>
      </c>
      <c r="AA22" s="25">
        <v>192500</v>
      </c>
      <c r="AB22" s="25">
        <v>129489.192</v>
      </c>
      <c r="AC22" s="25">
        <v>304500</v>
      </c>
      <c r="AD22" s="26" t="s">
        <v>279</v>
      </c>
    </row>
    <row r="23" spans="1:30" x14ac:dyDescent="0.25">
      <c r="A23" s="5" t="s">
        <v>280</v>
      </c>
      <c r="B23" s="6" t="s">
        <v>281</v>
      </c>
      <c r="C23" s="5">
        <v>33</v>
      </c>
      <c r="D23" s="5" t="s">
        <v>190</v>
      </c>
      <c r="E23" s="5" t="s">
        <v>177</v>
      </c>
      <c r="F23" s="5" t="s">
        <v>178</v>
      </c>
      <c r="G23" s="6" t="s">
        <v>179</v>
      </c>
      <c r="H23" s="5">
        <v>1</v>
      </c>
      <c r="I23" s="5"/>
      <c r="J23" s="22">
        <v>5250</v>
      </c>
      <c r="K23" s="16" t="s">
        <v>180</v>
      </c>
      <c r="L23" s="16" t="s">
        <v>193</v>
      </c>
      <c r="M23" s="16" t="s">
        <v>182</v>
      </c>
      <c r="N23" s="16" t="b">
        <v>1</v>
      </c>
      <c r="O23" s="16" t="b">
        <v>1</v>
      </c>
      <c r="P23" s="16" t="s">
        <v>224</v>
      </c>
      <c r="Q23" s="16" t="s">
        <v>184</v>
      </c>
      <c r="R23" s="16" t="b">
        <v>1</v>
      </c>
      <c r="S23" s="23" t="s">
        <v>225</v>
      </c>
      <c r="T23" s="16" t="s">
        <v>226</v>
      </c>
      <c r="U23" s="16" t="b">
        <v>0</v>
      </c>
      <c r="V23" s="16">
        <v>83</v>
      </c>
      <c r="W23" s="24">
        <v>3045</v>
      </c>
      <c r="X23" s="25">
        <v>12474</v>
      </c>
      <c r="Y23" s="25">
        <v>70686</v>
      </c>
      <c r="Z23" s="25">
        <v>350000</v>
      </c>
      <c r="AA23" s="25">
        <v>192500</v>
      </c>
      <c r="AB23" s="25">
        <v>58211.999999999993</v>
      </c>
      <c r="AC23" s="25">
        <v>315000</v>
      </c>
      <c r="AD23" s="26" t="s">
        <v>282</v>
      </c>
    </row>
    <row r="24" spans="1:30" x14ac:dyDescent="0.25">
      <c r="A24" s="5" t="s">
        <v>283</v>
      </c>
      <c r="B24" s="6" t="s">
        <v>284</v>
      </c>
      <c r="C24" s="5">
        <v>55</v>
      </c>
      <c r="D24" s="5" t="s">
        <v>176</v>
      </c>
      <c r="E24" s="5" t="s">
        <v>191</v>
      </c>
      <c r="F24" s="5" t="s">
        <v>178</v>
      </c>
      <c r="G24" s="6" t="s">
        <v>192</v>
      </c>
      <c r="H24" s="5">
        <v>0</v>
      </c>
      <c r="I24" s="5"/>
      <c r="J24" s="22">
        <v>8960</v>
      </c>
      <c r="K24" s="16" t="s">
        <v>180</v>
      </c>
      <c r="L24" s="16" t="s">
        <v>181</v>
      </c>
      <c r="M24" s="16" t="s">
        <v>194</v>
      </c>
      <c r="N24" s="16" t="b">
        <v>1</v>
      </c>
      <c r="O24" s="16" t="b">
        <v>1</v>
      </c>
      <c r="P24" s="16" t="s">
        <v>203</v>
      </c>
      <c r="Q24" s="16" t="s">
        <v>196</v>
      </c>
      <c r="R24" s="16" t="b">
        <v>0</v>
      </c>
      <c r="S24" s="23" t="s">
        <v>231</v>
      </c>
      <c r="T24" s="16" t="s">
        <v>186</v>
      </c>
      <c r="U24" s="16" t="b">
        <v>0</v>
      </c>
      <c r="V24" s="16">
        <v>89</v>
      </c>
      <c r="W24" s="24">
        <v>4968</v>
      </c>
      <c r="X24" s="25">
        <v>73195</v>
      </c>
      <c r="Y24" s="25">
        <v>414773</v>
      </c>
      <c r="Z24" s="25">
        <v>350000</v>
      </c>
      <c r="AA24" s="25">
        <v>192500</v>
      </c>
      <c r="AB24" s="25">
        <v>341577.6</v>
      </c>
      <c r="AC24" s="25">
        <v>200000</v>
      </c>
      <c r="AD24" s="26" t="s">
        <v>285</v>
      </c>
    </row>
    <row r="25" spans="1:30" x14ac:dyDescent="0.25">
      <c r="A25" s="5" t="s">
        <v>286</v>
      </c>
      <c r="B25" s="6" t="s">
        <v>287</v>
      </c>
      <c r="C25" s="5">
        <v>61</v>
      </c>
      <c r="D25" s="5" t="s">
        <v>190</v>
      </c>
      <c r="E25" s="5" t="s">
        <v>177</v>
      </c>
      <c r="F25" s="5" t="s">
        <v>178</v>
      </c>
      <c r="G25" s="6" t="s">
        <v>202</v>
      </c>
      <c r="H25" s="5">
        <v>3</v>
      </c>
      <c r="I25" s="5"/>
      <c r="J25" s="22">
        <v>10920</v>
      </c>
      <c r="K25" s="16" t="s">
        <v>180</v>
      </c>
      <c r="L25" s="16" t="s">
        <v>181</v>
      </c>
      <c r="M25" s="16" t="s">
        <v>194</v>
      </c>
      <c r="N25" s="16" t="b">
        <v>1</v>
      </c>
      <c r="O25" s="16" t="b">
        <v>1</v>
      </c>
      <c r="P25" s="16" t="s">
        <v>183</v>
      </c>
      <c r="Q25" s="16" t="s">
        <v>184</v>
      </c>
      <c r="R25" s="16" t="b">
        <v>0</v>
      </c>
      <c r="S25" s="23" t="s">
        <v>209</v>
      </c>
      <c r="T25" s="16" t="s">
        <v>210</v>
      </c>
      <c r="U25" s="16" t="b">
        <v>1</v>
      </c>
      <c r="V25" s="16">
        <v>76</v>
      </c>
      <c r="W25" s="24">
        <v>8184</v>
      </c>
      <c r="X25" s="25">
        <v>62496</v>
      </c>
      <c r="Y25" s="25">
        <v>354144</v>
      </c>
      <c r="Z25" s="25">
        <v>650000</v>
      </c>
      <c r="AA25" s="25">
        <v>357500</v>
      </c>
      <c r="AB25" s="25">
        <v>291648</v>
      </c>
      <c r="AC25" s="25">
        <v>655200</v>
      </c>
      <c r="AD25" s="26" t="s">
        <v>288</v>
      </c>
    </row>
    <row r="26" spans="1:30" x14ac:dyDescent="0.25">
      <c r="A26" s="5" t="s">
        <v>289</v>
      </c>
      <c r="B26" s="6" t="s">
        <v>290</v>
      </c>
      <c r="C26" s="5">
        <v>26</v>
      </c>
      <c r="D26" s="5" t="s">
        <v>176</v>
      </c>
      <c r="E26" s="5" t="s">
        <v>177</v>
      </c>
      <c r="F26" s="5" t="s">
        <v>178</v>
      </c>
      <c r="G26" s="6" t="s">
        <v>208</v>
      </c>
      <c r="H26" s="5">
        <v>0</v>
      </c>
      <c r="I26" s="5"/>
      <c r="J26" s="22">
        <v>3425</v>
      </c>
      <c r="K26" s="16" t="s">
        <v>180</v>
      </c>
      <c r="L26" s="16" t="s">
        <v>193</v>
      </c>
      <c r="M26" s="16" t="s">
        <v>182</v>
      </c>
      <c r="N26" s="16" t="b">
        <v>0</v>
      </c>
      <c r="O26" s="16" t="b">
        <v>0</v>
      </c>
      <c r="P26" s="16" t="s">
        <v>183</v>
      </c>
      <c r="Q26" s="16" t="s">
        <v>184</v>
      </c>
      <c r="R26" s="16" t="b">
        <v>1</v>
      </c>
      <c r="S26" s="23" t="s">
        <v>240</v>
      </c>
      <c r="T26" s="16" t="s">
        <v>198</v>
      </c>
      <c r="U26" s="16" t="b">
        <v>0</v>
      </c>
      <c r="V26" s="16">
        <v>87</v>
      </c>
      <c r="W26" s="24">
        <v>1849.5</v>
      </c>
      <c r="X26" s="25">
        <v>4007</v>
      </c>
      <c r="Y26" s="25">
        <v>22708</v>
      </c>
      <c r="Z26" s="25">
        <v>0</v>
      </c>
      <c r="AA26" s="25">
        <v>0</v>
      </c>
      <c r="AB26" s="25">
        <v>18700.5</v>
      </c>
      <c r="AC26" s="25">
        <v>0</v>
      </c>
      <c r="AD26" s="26" t="s">
        <v>291</v>
      </c>
    </row>
    <row r="27" spans="1:30" x14ac:dyDescent="0.25">
      <c r="A27" s="5" t="s">
        <v>292</v>
      </c>
      <c r="B27" s="6" t="s">
        <v>293</v>
      </c>
      <c r="C27" s="5">
        <v>38</v>
      </c>
      <c r="D27" s="5" t="s">
        <v>190</v>
      </c>
      <c r="E27" s="5" t="s">
        <v>214</v>
      </c>
      <c r="F27" s="5" t="s">
        <v>178</v>
      </c>
      <c r="G27" s="6" t="s">
        <v>215</v>
      </c>
      <c r="H27" s="5">
        <v>2</v>
      </c>
      <c r="I27" s="5"/>
      <c r="J27" s="22">
        <v>4325</v>
      </c>
      <c r="K27" s="16" t="s">
        <v>180</v>
      </c>
      <c r="L27" s="16" t="s">
        <v>216</v>
      </c>
      <c r="M27" s="16" t="s">
        <v>182</v>
      </c>
      <c r="N27" s="16" t="b">
        <v>0</v>
      </c>
      <c r="O27" s="16" t="b">
        <v>1</v>
      </c>
      <c r="P27" s="16" t="s">
        <v>195</v>
      </c>
      <c r="Q27" s="16" t="s">
        <v>196</v>
      </c>
      <c r="R27" s="16" t="b">
        <v>1</v>
      </c>
      <c r="S27" s="23" t="s">
        <v>245</v>
      </c>
      <c r="T27" s="16" t="s">
        <v>246</v>
      </c>
      <c r="U27" s="16" t="b">
        <v>0</v>
      </c>
      <c r="V27" s="16">
        <v>80</v>
      </c>
      <c r="W27" s="24">
        <v>3351.88</v>
      </c>
      <c r="X27" s="25">
        <v>14889</v>
      </c>
      <c r="Y27" s="25">
        <v>84370</v>
      </c>
      <c r="Z27" s="25">
        <v>0</v>
      </c>
      <c r="AA27" s="25">
        <v>0</v>
      </c>
      <c r="AB27" s="25">
        <v>69480.767999999982</v>
      </c>
      <c r="AC27" s="25">
        <v>259500</v>
      </c>
      <c r="AD27" s="26" t="s">
        <v>294</v>
      </c>
    </row>
    <row r="28" spans="1:30" x14ac:dyDescent="0.25">
      <c r="A28" s="5" t="s">
        <v>295</v>
      </c>
      <c r="B28" s="6" t="s">
        <v>296</v>
      </c>
      <c r="C28" s="5">
        <v>52</v>
      </c>
      <c r="D28" s="5" t="s">
        <v>176</v>
      </c>
      <c r="E28" s="5" t="s">
        <v>177</v>
      </c>
      <c r="F28" s="5" t="s">
        <v>178</v>
      </c>
      <c r="G28" s="6" t="s">
        <v>223</v>
      </c>
      <c r="H28" s="5">
        <v>1</v>
      </c>
      <c r="I28" s="5"/>
      <c r="J28" s="22">
        <v>21710</v>
      </c>
      <c r="K28" s="16" t="s">
        <v>180</v>
      </c>
      <c r="L28" s="16" t="s">
        <v>193</v>
      </c>
      <c r="M28" s="16" t="s">
        <v>297</v>
      </c>
      <c r="N28" s="16" t="b">
        <v>1</v>
      </c>
      <c r="O28" s="16" t="b">
        <v>1</v>
      </c>
      <c r="P28" s="16" t="s">
        <v>217</v>
      </c>
      <c r="Q28" s="16" t="s">
        <v>196</v>
      </c>
      <c r="R28" s="16" t="b">
        <v>1</v>
      </c>
      <c r="S28" s="23" t="s">
        <v>250</v>
      </c>
      <c r="T28" s="16" t="s">
        <v>219</v>
      </c>
      <c r="U28" s="16" t="b">
        <v>0</v>
      </c>
      <c r="V28" s="16">
        <v>91</v>
      </c>
      <c r="W28" s="24">
        <v>14579.75</v>
      </c>
      <c r="X28" s="25">
        <v>154294</v>
      </c>
      <c r="Y28" s="25">
        <v>874333</v>
      </c>
      <c r="Z28" s="25">
        <v>850000</v>
      </c>
      <c r="AA28" s="25">
        <v>467500</v>
      </c>
      <c r="AB28" s="25">
        <v>720038.54999999993</v>
      </c>
      <c r="AC28" s="25">
        <v>1302600</v>
      </c>
      <c r="AD28" s="26" t="s">
        <v>298</v>
      </c>
    </row>
    <row r="29" spans="1:30" x14ac:dyDescent="0.25">
      <c r="A29" s="5" t="s">
        <v>299</v>
      </c>
      <c r="B29" s="6" t="s">
        <v>300</v>
      </c>
      <c r="C29" s="5">
        <v>67</v>
      </c>
      <c r="D29" s="5" t="s">
        <v>190</v>
      </c>
      <c r="E29" s="5" t="s">
        <v>177</v>
      </c>
      <c r="F29" s="5" t="s">
        <v>178</v>
      </c>
      <c r="G29" s="6" t="s">
        <v>230</v>
      </c>
      <c r="H29" s="5">
        <v>0</v>
      </c>
      <c r="I29" s="5"/>
      <c r="J29" s="22">
        <v>6200</v>
      </c>
      <c r="K29" s="16" t="s">
        <v>180</v>
      </c>
      <c r="L29" s="16" t="s">
        <v>181</v>
      </c>
      <c r="M29" s="16" t="s">
        <v>194</v>
      </c>
      <c r="N29" s="16" t="b">
        <v>1</v>
      </c>
      <c r="O29" s="16" t="b">
        <v>0</v>
      </c>
      <c r="P29" s="16" t="s">
        <v>183</v>
      </c>
      <c r="Q29" s="16" t="s">
        <v>184</v>
      </c>
      <c r="R29" s="16" t="b">
        <v>0</v>
      </c>
      <c r="S29" s="23" t="s">
        <v>209</v>
      </c>
      <c r="T29" s="16" t="s">
        <v>186</v>
      </c>
      <c r="U29" s="16" t="b">
        <v>0</v>
      </c>
      <c r="V29" s="16">
        <v>85</v>
      </c>
      <c r="W29" s="24">
        <v>3871.13</v>
      </c>
      <c r="X29" s="25">
        <v>77164</v>
      </c>
      <c r="Y29" s="25">
        <v>437264</v>
      </c>
      <c r="Z29" s="25">
        <v>350000</v>
      </c>
      <c r="AA29" s="25">
        <v>192500</v>
      </c>
      <c r="AB29" s="25">
        <v>360099.68400000001</v>
      </c>
      <c r="AC29" s="25">
        <v>200000</v>
      </c>
      <c r="AD29" s="26" t="s">
        <v>301</v>
      </c>
    </row>
    <row r="30" spans="1:30" x14ac:dyDescent="0.25">
      <c r="A30" s="5" t="s">
        <v>302</v>
      </c>
      <c r="B30" s="6" t="s">
        <v>303</v>
      </c>
      <c r="C30" s="5">
        <v>31</v>
      </c>
      <c r="D30" s="5" t="s">
        <v>176</v>
      </c>
      <c r="E30" s="5" t="s">
        <v>191</v>
      </c>
      <c r="F30" s="5" t="s">
        <v>178</v>
      </c>
      <c r="G30" s="6" t="s">
        <v>235</v>
      </c>
      <c r="H30" s="5">
        <v>1</v>
      </c>
      <c r="I30" s="5"/>
      <c r="J30" s="22">
        <v>3800</v>
      </c>
      <c r="K30" s="16" t="s">
        <v>180</v>
      </c>
      <c r="L30" s="16" t="s">
        <v>193</v>
      </c>
      <c r="M30" s="16" t="s">
        <v>182</v>
      </c>
      <c r="N30" s="16" t="b">
        <v>0</v>
      </c>
      <c r="O30" s="16" t="b">
        <v>1</v>
      </c>
      <c r="P30" s="16" t="s">
        <v>195</v>
      </c>
      <c r="Q30" s="16" t="s">
        <v>184</v>
      </c>
      <c r="R30" s="16" t="b">
        <v>0</v>
      </c>
      <c r="S30" s="23" t="s">
        <v>197</v>
      </c>
      <c r="T30" s="16" t="s">
        <v>198</v>
      </c>
      <c r="U30" s="16" t="b">
        <v>1</v>
      </c>
      <c r="V30" s="16">
        <v>79</v>
      </c>
      <c r="W30" s="24">
        <v>2204</v>
      </c>
      <c r="X30" s="25">
        <v>7524</v>
      </c>
      <c r="Y30" s="25">
        <v>42636</v>
      </c>
      <c r="Z30" s="25">
        <v>0</v>
      </c>
      <c r="AA30" s="25">
        <v>0</v>
      </c>
      <c r="AB30" s="25">
        <v>35112</v>
      </c>
      <c r="AC30" s="25">
        <v>228000</v>
      </c>
      <c r="AD30" s="26" t="s">
        <v>304</v>
      </c>
    </row>
    <row r="31" spans="1:30" x14ac:dyDescent="0.25">
      <c r="A31" s="5" t="s">
        <v>305</v>
      </c>
      <c r="B31" s="6" t="s">
        <v>306</v>
      </c>
      <c r="C31" s="5">
        <v>45</v>
      </c>
      <c r="D31" s="5" t="s">
        <v>190</v>
      </c>
      <c r="E31" s="5" t="s">
        <v>177</v>
      </c>
      <c r="F31" s="5" t="s">
        <v>178</v>
      </c>
      <c r="G31" s="6" t="s">
        <v>239</v>
      </c>
      <c r="H31" s="5">
        <v>4</v>
      </c>
      <c r="I31" s="5"/>
      <c r="J31" s="22">
        <v>4850</v>
      </c>
      <c r="K31" s="16" t="s">
        <v>180</v>
      </c>
      <c r="L31" s="16" t="s">
        <v>216</v>
      </c>
      <c r="M31" s="16" t="s">
        <v>182</v>
      </c>
      <c r="N31" s="16" t="b">
        <v>1</v>
      </c>
      <c r="O31" s="16" t="b">
        <v>1</v>
      </c>
      <c r="P31" s="16" t="s">
        <v>203</v>
      </c>
      <c r="Q31" s="16" t="s">
        <v>196</v>
      </c>
      <c r="R31" s="16" t="b">
        <v>1</v>
      </c>
      <c r="S31" s="23" t="s">
        <v>260</v>
      </c>
      <c r="T31" s="16" t="s">
        <v>246</v>
      </c>
      <c r="U31" s="16" t="b">
        <v>0</v>
      </c>
      <c r="V31" s="16">
        <v>84</v>
      </c>
      <c r="W31" s="24">
        <v>3395</v>
      </c>
      <c r="X31" s="25">
        <v>10476</v>
      </c>
      <c r="Y31" s="25">
        <v>59364</v>
      </c>
      <c r="Z31" s="25">
        <v>350000</v>
      </c>
      <c r="AA31" s="25">
        <v>192500</v>
      </c>
      <c r="AB31" s="25">
        <v>48888</v>
      </c>
      <c r="AC31" s="25">
        <v>291000</v>
      </c>
      <c r="AD31" s="26" t="s">
        <v>307</v>
      </c>
    </row>
    <row r="32" spans="1:30" x14ac:dyDescent="0.25">
      <c r="A32" s="5" t="s">
        <v>308</v>
      </c>
      <c r="B32" s="6" t="s">
        <v>309</v>
      </c>
      <c r="C32" s="5">
        <v>58</v>
      </c>
      <c r="D32" s="5" t="s">
        <v>176</v>
      </c>
      <c r="E32" s="5" t="s">
        <v>177</v>
      </c>
      <c r="F32" s="5" t="s">
        <v>178</v>
      </c>
      <c r="G32" s="6" t="s">
        <v>244</v>
      </c>
      <c r="H32" s="5">
        <v>2</v>
      </c>
      <c r="I32" s="5"/>
      <c r="J32" s="22">
        <v>5825</v>
      </c>
      <c r="K32" s="16" t="s">
        <v>180</v>
      </c>
      <c r="L32" s="16" t="s">
        <v>181</v>
      </c>
      <c r="M32" s="16" t="s">
        <v>182</v>
      </c>
      <c r="N32" s="16" t="b">
        <v>1</v>
      </c>
      <c r="O32" s="16" t="b">
        <v>1</v>
      </c>
      <c r="P32" s="16" t="s">
        <v>224</v>
      </c>
      <c r="Q32" s="16" t="s">
        <v>196</v>
      </c>
      <c r="R32" s="16" t="b">
        <v>0</v>
      </c>
      <c r="S32" s="23" t="s">
        <v>225</v>
      </c>
      <c r="T32" s="16" t="s">
        <v>226</v>
      </c>
      <c r="U32" s="16" t="b">
        <v>0</v>
      </c>
      <c r="V32" s="16">
        <v>92</v>
      </c>
      <c r="W32" s="24">
        <v>3702.18</v>
      </c>
      <c r="X32" s="25">
        <v>35792</v>
      </c>
      <c r="Y32" s="25">
        <v>202819</v>
      </c>
      <c r="Z32" s="25">
        <v>350000</v>
      </c>
      <c r="AA32" s="25">
        <v>192500</v>
      </c>
      <c r="AB32" s="25">
        <v>167027.02799999999</v>
      </c>
      <c r="AC32" s="25">
        <v>349500</v>
      </c>
      <c r="AD32" s="26" t="s">
        <v>310</v>
      </c>
    </row>
    <row r="33" spans="1:30" x14ac:dyDescent="0.25">
      <c r="A33" s="5" t="s">
        <v>311</v>
      </c>
      <c r="B33" s="6" t="s">
        <v>175</v>
      </c>
      <c r="C33" s="5">
        <v>24</v>
      </c>
      <c r="D33" s="5" t="s">
        <v>176</v>
      </c>
      <c r="E33" s="5" t="s">
        <v>177</v>
      </c>
      <c r="F33" s="5" t="s">
        <v>178</v>
      </c>
      <c r="G33" s="6" t="s">
        <v>179</v>
      </c>
      <c r="H33" s="5">
        <v>0</v>
      </c>
      <c r="I33" s="5"/>
      <c r="J33" s="22">
        <v>4305</v>
      </c>
      <c r="K33" s="16" t="s">
        <v>180</v>
      </c>
      <c r="L33" s="16" t="s">
        <v>181</v>
      </c>
      <c r="M33" s="16" t="s">
        <v>182</v>
      </c>
      <c r="N33" s="16" t="b">
        <v>0</v>
      </c>
      <c r="O33" s="16" t="b">
        <v>0</v>
      </c>
      <c r="P33" s="16" t="s">
        <v>183</v>
      </c>
      <c r="Q33" s="16" t="s">
        <v>184</v>
      </c>
      <c r="R33" s="16" t="b">
        <v>0</v>
      </c>
      <c r="S33" s="23" t="s">
        <v>185</v>
      </c>
      <c r="T33" s="16" t="s">
        <v>186</v>
      </c>
      <c r="U33" s="16" t="b">
        <v>0</v>
      </c>
      <c r="V33" s="16">
        <v>86</v>
      </c>
      <c r="W33" s="24">
        <v>2324.6999999999998</v>
      </c>
      <c r="X33" s="25">
        <v>3022</v>
      </c>
      <c r="Y33" s="25">
        <v>17125</v>
      </c>
      <c r="Z33" s="25">
        <v>0</v>
      </c>
      <c r="AA33" s="25">
        <v>0</v>
      </c>
      <c r="AB33" s="25">
        <v>14103.18</v>
      </c>
      <c r="AC33" s="25">
        <v>0</v>
      </c>
      <c r="AD33" s="26" t="s">
        <v>312</v>
      </c>
    </row>
    <row r="34" spans="1:30" x14ac:dyDescent="0.25">
      <c r="A34" s="5" t="s">
        <v>313</v>
      </c>
      <c r="B34" s="6" t="s">
        <v>189</v>
      </c>
      <c r="C34" s="5">
        <v>29</v>
      </c>
      <c r="D34" s="5" t="s">
        <v>190</v>
      </c>
      <c r="E34" s="5" t="s">
        <v>191</v>
      </c>
      <c r="F34" s="5" t="s">
        <v>178</v>
      </c>
      <c r="G34" s="6" t="s">
        <v>192</v>
      </c>
      <c r="H34" s="5">
        <v>0</v>
      </c>
      <c r="I34" s="5"/>
      <c r="J34" s="22">
        <v>6230</v>
      </c>
      <c r="K34" s="16" t="s">
        <v>180</v>
      </c>
      <c r="L34" s="16" t="s">
        <v>193</v>
      </c>
      <c r="M34" s="16" t="s">
        <v>194</v>
      </c>
      <c r="N34" s="16" t="b">
        <v>0</v>
      </c>
      <c r="O34" s="16" t="b">
        <v>1</v>
      </c>
      <c r="P34" s="16" t="s">
        <v>195</v>
      </c>
      <c r="Q34" s="16" t="s">
        <v>196</v>
      </c>
      <c r="R34" s="16" t="b">
        <v>1</v>
      </c>
      <c r="S34" s="23" t="s">
        <v>197</v>
      </c>
      <c r="T34" s="16" t="s">
        <v>198</v>
      </c>
      <c r="U34" s="16" t="b">
        <v>0</v>
      </c>
      <c r="V34" s="16">
        <v>81</v>
      </c>
      <c r="W34" s="24">
        <v>3364.2</v>
      </c>
      <c r="X34" s="25">
        <v>11663</v>
      </c>
      <c r="Y34" s="25">
        <v>66088</v>
      </c>
      <c r="Z34" s="25">
        <v>0</v>
      </c>
      <c r="AA34" s="25">
        <v>0</v>
      </c>
      <c r="AB34" s="25">
        <v>54425.280000000013</v>
      </c>
      <c r="AC34" s="25">
        <v>0</v>
      </c>
      <c r="AD34" s="26" t="s">
        <v>314</v>
      </c>
    </row>
    <row r="35" spans="1:30" x14ac:dyDescent="0.25">
      <c r="A35" s="5" t="s">
        <v>315</v>
      </c>
      <c r="B35" s="6" t="s">
        <v>201</v>
      </c>
      <c r="C35" s="5">
        <v>36</v>
      </c>
      <c r="D35" s="5" t="s">
        <v>176</v>
      </c>
      <c r="E35" s="5" t="s">
        <v>177</v>
      </c>
      <c r="F35" s="5" t="s">
        <v>178</v>
      </c>
      <c r="G35" s="6" t="s">
        <v>202</v>
      </c>
      <c r="H35" s="5">
        <v>1</v>
      </c>
      <c r="I35" s="5"/>
      <c r="J35" s="22">
        <v>7420</v>
      </c>
      <c r="K35" s="16" t="s">
        <v>180</v>
      </c>
      <c r="L35" s="16" t="s">
        <v>193</v>
      </c>
      <c r="M35" s="16" t="s">
        <v>194</v>
      </c>
      <c r="N35" s="16" t="b">
        <v>1</v>
      </c>
      <c r="O35" s="16" t="b">
        <v>1</v>
      </c>
      <c r="P35" s="16" t="s">
        <v>203</v>
      </c>
      <c r="Q35" s="16" t="s">
        <v>196</v>
      </c>
      <c r="R35" s="16" t="b">
        <v>1</v>
      </c>
      <c r="S35" s="23" t="s">
        <v>204</v>
      </c>
      <c r="T35" s="16" t="s">
        <v>198</v>
      </c>
      <c r="U35" s="16" t="b">
        <v>0</v>
      </c>
      <c r="V35" s="16">
        <v>88</v>
      </c>
      <c r="W35" s="24">
        <v>4303.6000000000004</v>
      </c>
      <c r="X35" s="25">
        <v>22037</v>
      </c>
      <c r="Y35" s="25">
        <v>124879</v>
      </c>
      <c r="Z35" s="25">
        <v>350000</v>
      </c>
      <c r="AA35" s="25">
        <v>192500</v>
      </c>
      <c r="AB35" s="25">
        <v>102841.2</v>
      </c>
      <c r="AC35" s="25">
        <v>445200</v>
      </c>
      <c r="AD35" s="26" t="s">
        <v>316</v>
      </c>
    </row>
    <row r="36" spans="1:30" x14ac:dyDescent="0.25">
      <c r="A36" s="5" t="s">
        <v>317</v>
      </c>
      <c r="B36" s="6" t="s">
        <v>207</v>
      </c>
      <c r="C36" s="5">
        <v>43</v>
      </c>
      <c r="D36" s="5" t="s">
        <v>190</v>
      </c>
      <c r="E36" s="5" t="s">
        <v>177</v>
      </c>
      <c r="F36" s="5" t="s">
        <v>178</v>
      </c>
      <c r="G36" s="6" t="s">
        <v>208</v>
      </c>
      <c r="H36" s="5">
        <v>2</v>
      </c>
      <c r="I36" s="5"/>
      <c r="J36" s="22">
        <v>4700</v>
      </c>
      <c r="K36" s="16" t="s">
        <v>180</v>
      </c>
      <c r="L36" s="16" t="s">
        <v>181</v>
      </c>
      <c r="M36" s="16" t="s">
        <v>182</v>
      </c>
      <c r="N36" s="16" t="b">
        <v>1</v>
      </c>
      <c r="O36" s="16" t="b">
        <v>1</v>
      </c>
      <c r="P36" s="16" t="s">
        <v>183</v>
      </c>
      <c r="Q36" s="16" t="s">
        <v>184</v>
      </c>
      <c r="R36" s="16" t="b">
        <v>0</v>
      </c>
      <c r="S36" s="23" t="s">
        <v>209</v>
      </c>
      <c r="T36" s="16" t="s">
        <v>210</v>
      </c>
      <c r="U36" s="16" t="b">
        <v>1</v>
      </c>
      <c r="V36" s="16">
        <v>78</v>
      </c>
      <c r="W36" s="24">
        <v>2914</v>
      </c>
      <c r="X36" s="25">
        <v>16751</v>
      </c>
      <c r="Y36" s="25">
        <v>94921</v>
      </c>
      <c r="Z36" s="25">
        <v>350000</v>
      </c>
      <c r="AA36" s="25">
        <v>192500</v>
      </c>
      <c r="AB36" s="25">
        <v>78170.399999999994</v>
      </c>
      <c r="AC36" s="25">
        <v>282000</v>
      </c>
      <c r="AD36" s="26" t="s">
        <v>318</v>
      </c>
    </row>
    <row r="37" spans="1:30" x14ac:dyDescent="0.25">
      <c r="A37" s="5" t="s">
        <v>319</v>
      </c>
      <c r="B37" s="6" t="s">
        <v>213</v>
      </c>
      <c r="C37" s="5">
        <v>49</v>
      </c>
      <c r="D37" s="5" t="s">
        <v>176</v>
      </c>
      <c r="E37" s="5" t="s">
        <v>214</v>
      </c>
      <c r="F37" s="5" t="s">
        <v>178</v>
      </c>
      <c r="G37" s="6" t="s">
        <v>215</v>
      </c>
      <c r="H37" s="5">
        <v>2</v>
      </c>
      <c r="I37" s="5"/>
      <c r="J37" s="22">
        <v>5150</v>
      </c>
      <c r="K37" s="16" t="s">
        <v>180</v>
      </c>
      <c r="L37" s="16" t="s">
        <v>216</v>
      </c>
      <c r="M37" s="16" t="s">
        <v>182</v>
      </c>
      <c r="N37" s="16" t="b">
        <v>1</v>
      </c>
      <c r="O37" s="16" t="b">
        <v>0</v>
      </c>
      <c r="P37" s="16" t="s">
        <v>217</v>
      </c>
      <c r="Q37" s="16" t="s">
        <v>196</v>
      </c>
      <c r="R37" s="16" t="b">
        <v>1</v>
      </c>
      <c r="S37" s="23" t="s">
        <v>218</v>
      </c>
      <c r="T37" s="16" t="s">
        <v>219</v>
      </c>
      <c r="U37" s="16" t="b">
        <v>0</v>
      </c>
      <c r="V37" s="16">
        <v>90</v>
      </c>
      <c r="W37" s="24">
        <v>3991.25</v>
      </c>
      <c r="X37" s="25">
        <v>29200</v>
      </c>
      <c r="Y37" s="25">
        <v>165470</v>
      </c>
      <c r="Z37" s="25">
        <v>350000</v>
      </c>
      <c r="AA37" s="25">
        <v>192500</v>
      </c>
      <c r="AB37" s="25">
        <v>136269</v>
      </c>
      <c r="AC37" s="25">
        <v>309000</v>
      </c>
      <c r="AD37" s="26" t="s">
        <v>320</v>
      </c>
    </row>
    <row r="38" spans="1:30" x14ac:dyDescent="0.25">
      <c r="A38" s="5" t="s">
        <v>321</v>
      </c>
      <c r="B38" s="6" t="s">
        <v>222</v>
      </c>
      <c r="C38" s="5">
        <v>34</v>
      </c>
      <c r="D38" s="5" t="s">
        <v>190</v>
      </c>
      <c r="E38" s="5" t="s">
        <v>177</v>
      </c>
      <c r="F38" s="5" t="s">
        <v>178</v>
      </c>
      <c r="G38" s="6" t="s">
        <v>223</v>
      </c>
      <c r="H38" s="5">
        <v>1</v>
      </c>
      <c r="I38" s="5"/>
      <c r="J38" s="22">
        <v>14690</v>
      </c>
      <c r="K38" s="16" t="s">
        <v>180</v>
      </c>
      <c r="L38" s="16" t="s">
        <v>193</v>
      </c>
      <c r="M38" s="16" t="s">
        <v>194</v>
      </c>
      <c r="N38" s="16" t="b">
        <v>1</v>
      </c>
      <c r="O38" s="16" t="b">
        <v>1</v>
      </c>
      <c r="P38" s="16" t="s">
        <v>224</v>
      </c>
      <c r="Q38" s="16" t="s">
        <v>184</v>
      </c>
      <c r="R38" s="16" t="b">
        <v>1</v>
      </c>
      <c r="S38" s="23" t="s">
        <v>225</v>
      </c>
      <c r="T38" s="16" t="s">
        <v>226</v>
      </c>
      <c r="U38" s="16" t="b">
        <v>0</v>
      </c>
      <c r="V38" s="16">
        <v>83</v>
      </c>
      <c r="W38" s="24">
        <v>9490.25</v>
      </c>
      <c r="X38" s="25">
        <v>42117</v>
      </c>
      <c r="Y38" s="25">
        <v>238663</v>
      </c>
      <c r="Z38" s="25">
        <v>650000</v>
      </c>
      <c r="AA38" s="25">
        <v>357500</v>
      </c>
      <c r="AB38" s="25">
        <v>196546.35</v>
      </c>
      <c r="AC38" s="25">
        <v>881400</v>
      </c>
      <c r="AD38" s="26" t="s">
        <v>322</v>
      </c>
    </row>
    <row r="39" spans="1:30" x14ac:dyDescent="0.25">
      <c r="A39" s="5" t="s">
        <v>323</v>
      </c>
      <c r="B39" s="6" t="s">
        <v>229</v>
      </c>
      <c r="C39" s="5">
        <v>56</v>
      </c>
      <c r="D39" s="5" t="s">
        <v>176</v>
      </c>
      <c r="E39" s="5" t="s">
        <v>191</v>
      </c>
      <c r="F39" s="5" t="s">
        <v>178</v>
      </c>
      <c r="G39" s="6" t="s">
        <v>230</v>
      </c>
      <c r="H39" s="5">
        <v>0</v>
      </c>
      <c r="I39" s="5"/>
      <c r="J39" s="22">
        <v>5675</v>
      </c>
      <c r="K39" s="16" t="s">
        <v>180</v>
      </c>
      <c r="L39" s="16" t="s">
        <v>181</v>
      </c>
      <c r="M39" s="16" t="s">
        <v>182</v>
      </c>
      <c r="N39" s="16" t="b">
        <v>1</v>
      </c>
      <c r="O39" s="16" t="b">
        <v>1</v>
      </c>
      <c r="P39" s="16" t="s">
        <v>203</v>
      </c>
      <c r="Q39" s="16" t="s">
        <v>196</v>
      </c>
      <c r="R39" s="16" t="b">
        <v>0</v>
      </c>
      <c r="S39" s="23" t="s">
        <v>231</v>
      </c>
      <c r="T39" s="16" t="s">
        <v>186</v>
      </c>
      <c r="U39" s="16" t="b">
        <v>0</v>
      </c>
      <c r="V39" s="16">
        <v>89</v>
      </c>
      <c r="W39" s="24">
        <v>3141.45</v>
      </c>
      <c r="X39" s="25">
        <v>47645</v>
      </c>
      <c r="Y39" s="25">
        <v>269990</v>
      </c>
      <c r="Z39" s="25">
        <v>350000</v>
      </c>
      <c r="AA39" s="25">
        <v>192500</v>
      </c>
      <c r="AB39" s="25">
        <v>222344.85</v>
      </c>
      <c r="AC39" s="25">
        <v>200000</v>
      </c>
      <c r="AD39" s="26" t="s">
        <v>324</v>
      </c>
    </row>
    <row r="40" spans="1:30" x14ac:dyDescent="0.25">
      <c r="A40" s="5" t="s">
        <v>325</v>
      </c>
      <c r="B40" s="6" t="s">
        <v>234</v>
      </c>
      <c r="C40" s="5">
        <v>62</v>
      </c>
      <c r="D40" s="5" t="s">
        <v>190</v>
      </c>
      <c r="E40" s="5" t="s">
        <v>177</v>
      </c>
      <c r="F40" s="5" t="s">
        <v>178</v>
      </c>
      <c r="G40" s="6" t="s">
        <v>235</v>
      </c>
      <c r="H40" s="5">
        <v>3</v>
      </c>
      <c r="I40" s="5"/>
      <c r="J40" s="22">
        <v>6125</v>
      </c>
      <c r="K40" s="16" t="s">
        <v>180</v>
      </c>
      <c r="L40" s="16" t="s">
        <v>181</v>
      </c>
      <c r="M40" s="16" t="s">
        <v>194</v>
      </c>
      <c r="N40" s="16" t="b">
        <v>1</v>
      </c>
      <c r="O40" s="16" t="b">
        <v>1</v>
      </c>
      <c r="P40" s="16" t="s">
        <v>183</v>
      </c>
      <c r="Q40" s="16" t="s">
        <v>184</v>
      </c>
      <c r="R40" s="16" t="b">
        <v>0</v>
      </c>
      <c r="S40" s="23" t="s">
        <v>209</v>
      </c>
      <c r="T40" s="16" t="s">
        <v>210</v>
      </c>
      <c r="U40" s="16" t="b">
        <v>1</v>
      </c>
      <c r="V40" s="16">
        <v>76</v>
      </c>
      <c r="W40" s="24">
        <v>4422</v>
      </c>
      <c r="X40" s="25">
        <v>34612</v>
      </c>
      <c r="Y40" s="25">
        <v>196136</v>
      </c>
      <c r="Z40" s="25">
        <v>350000</v>
      </c>
      <c r="AA40" s="25">
        <v>192500</v>
      </c>
      <c r="AB40" s="25">
        <v>161523.6</v>
      </c>
      <c r="AC40" s="25">
        <v>367500</v>
      </c>
      <c r="AD40" s="26" t="s">
        <v>326</v>
      </c>
    </row>
    <row r="41" spans="1:30" x14ac:dyDescent="0.25">
      <c r="A41" s="5" t="s">
        <v>327</v>
      </c>
      <c r="B41" s="6" t="s">
        <v>238</v>
      </c>
      <c r="C41" s="5">
        <v>27</v>
      </c>
      <c r="D41" s="5" t="s">
        <v>176</v>
      </c>
      <c r="E41" s="5" t="s">
        <v>177</v>
      </c>
      <c r="F41" s="5" t="s">
        <v>178</v>
      </c>
      <c r="G41" s="6" t="s">
        <v>239</v>
      </c>
      <c r="H41" s="5">
        <v>0</v>
      </c>
      <c r="I41" s="5"/>
      <c r="J41" s="22">
        <v>3500</v>
      </c>
      <c r="K41" s="16" t="s">
        <v>180</v>
      </c>
      <c r="L41" s="16" t="s">
        <v>193</v>
      </c>
      <c r="M41" s="16" t="s">
        <v>182</v>
      </c>
      <c r="N41" s="16" t="b">
        <v>0</v>
      </c>
      <c r="O41" s="16" t="b">
        <v>0</v>
      </c>
      <c r="P41" s="16" t="s">
        <v>183</v>
      </c>
      <c r="Q41" s="16" t="s">
        <v>184</v>
      </c>
      <c r="R41" s="16" t="b">
        <v>1</v>
      </c>
      <c r="S41" s="23" t="s">
        <v>240</v>
      </c>
      <c r="T41" s="16" t="s">
        <v>198</v>
      </c>
      <c r="U41" s="16" t="b">
        <v>0</v>
      </c>
      <c r="V41" s="16">
        <v>87</v>
      </c>
      <c r="W41" s="24">
        <v>1890</v>
      </c>
      <c r="X41" s="25">
        <v>4914</v>
      </c>
      <c r="Y41" s="25">
        <v>27846</v>
      </c>
      <c r="Z41" s="25">
        <v>0</v>
      </c>
      <c r="AA41" s="25">
        <v>0</v>
      </c>
      <c r="AB41" s="25">
        <v>22932</v>
      </c>
      <c r="AC41" s="25">
        <v>0</v>
      </c>
      <c r="AD41" s="26" t="s">
        <v>328</v>
      </c>
    </row>
    <row r="42" spans="1:30" x14ac:dyDescent="0.25">
      <c r="A42" s="5" t="s">
        <v>329</v>
      </c>
      <c r="B42" s="6" t="s">
        <v>243</v>
      </c>
      <c r="C42" s="5">
        <v>39</v>
      </c>
      <c r="D42" s="5" t="s">
        <v>190</v>
      </c>
      <c r="E42" s="5" t="s">
        <v>214</v>
      </c>
      <c r="F42" s="5" t="s">
        <v>178</v>
      </c>
      <c r="G42" s="6" t="s">
        <v>244</v>
      </c>
      <c r="H42" s="5">
        <v>2</v>
      </c>
      <c r="I42" s="5"/>
      <c r="J42" s="22">
        <v>4400</v>
      </c>
      <c r="K42" s="16" t="s">
        <v>180</v>
      </c>
      <c r="L42" s="16" t="s">
        <v>216</v>
      </c>
      <c r="M42" s="16" t="s">
        <v>182</v>
      </c>
      <c r="N42" s="16" t="b">
        <v>0</v>
      </c>
      <c r="O42" s="16" t="b">
        <v>1</v>
      </c>
      <c r="P42" s="16" t="s">
        <v>195</v>
      </c>
      <c r="Q42" s="16" t="s">
        <v>196</v>
      </c>
      <c r="R42" s="16" t="b">
        <v>1</v>
      </c>
      <c r="S42" s="23" t="s">
        <v>245</v>
      </c>
      <c r="T42" s="16" t="s">
        <v>246</v>
      </c>
      <c r="U42" s="16" t="b">
        <v>0</v>
      </c>
      <c r="V42" s="16">
        <v>80</v>
      </c>
      <c r="W42" s="24">
        <v>3410</v>
      </c>
      <c r="X42" s="25">
        <v>16038</v>
      </c>
      <c r="Y42" s="25">
        <v>90882</v>
      </c>
      <c r="Z42" s="25">
        <v>0</v>
      </c>
      <c r="AA42" s="25">
        <v>0</v>
      </c>
      <c r="AB42" s="25">
        <v>74844</v>
      </c>
      <c r="AC42" s="25">
        <v>264000</v>
      </c>
      <c r="AD42" s="26" t="s">
        <v>330</v>
      </c>
    </row>
    <row r="43" spans="1:30" x14ac:dyDescent="0.25">
      <c r="A43" s="5" t="s">
        <v>331</v>
      </c>
      <c r="B43" s="6" t="s">
        <v>249</v>
      </c>
      <c r="C43" s="5">
        <v>53</v>
      </c>
      <c r="D43" s="5" t="s">
        <v>176</v>
      </c>
      <c r="E43" s="5" t="s">
        <v>177</v>
      </c>
      <c r="F43" s="5" t="s">
        <v>178</v>
      </c>
      <c r="G43" s="6" t="s">
        <v>179</v>
      </c>
      <c r="H43" s="5">
        <v>1</v>
      </c>
      <c r="I43" s="5"/>
      <c r="J43" s="22">
        <v>7350</v>
      </c>
      <c r="K43" s="16" t="s">
        <v>180</v>
      </c>
      <c r="L43" s="16" t="s">
        <v>193</v>
      </c>
      <c r="M43" s="16" t="s">
        <v>194</v>
      </c>
      <c r="N43" s="16" t="b">
        <v>1</v>
      </c>
      <c r="O43" s="16" t="b">
        <v>1</v>
      </c>
      <c r="P43" s="16" t="s">
        <v>217</v>
      </c>
      <c r="Q43" s="16" t="s">
        <v>196</v>
      </c>
      <c r="R43" s="16" t="b">
        <v>1</v>
      </c>
      <c r="S43" s="23" t="s">
        <v>250</v>
      </c>
      <c r="T43" s="16" t="s">
        <v>219</v>
      </c>
      <c r="U43" s="16" t="b">
        <v>0</v>
      </c>
      <c r="V43" s="16">
        <v>91</v>
      </c>
      <c r="W43" s="24">
        <v>4263</v>
      </c>
      <c r="X43" s="25">
        <v>46570</v>
      </c>
      <c r="Y43" s="25">
        <v>263894</v>
      </c>
      <c r="Z43" s="25">
        <v>350000</v>
      </c>
      <c r="AA43" s="25">
        <v>192500</v>
      </c>
      <c r="AB43" s="25">
        <v>217324.79999999999</v>
      </c>
      <c r="AC43" s="25">
        <v>441000</v>
      </c>
      <c r="AD43" s="26" t="s">
        <v>332</v>
      </c>
    </row>
    <row r="44" spans="1:30" x14ac:dyDescent="0.25">
      <c r="A44" s="5" t="s">
        <v>333</v>
      </c>
      <c r="B44" s="6" t="s">
        <v>253</v>
      </c>
      <c r="C44" s="5">
        <v>68</v>
      </c>
      <c r="D44" s="5" t="s">
        <v>190</v>
      </c>
      <c r="E44" s="5" t="s">
        <v>177</v>
      </c>
      <c r="F44" s="5" t="s">
        <v>178</v>
      </c>
      <c r="G44" s="6" t="s">
        <v>192</v>
      </c>
      <c r="H44" s="5">
        <v>0</v>
      </c>
      <c r="I44" s="5"/>
      <c r="J44" s="22">
        <v>9800</v>
      </c>
      <c r="K44" s="16" t="s">
        <v>180</v>
      </c>
      <c r="L44" s="16" t="s">
        <v>181</v>
      </c>
      <c r="M44" s="16" t="s">
        <v>194</v>
      </c>
      <c r="N44" s="16" t="b">
        <v>1</v>
      </c>
      <c r="O44" s="16" t="b">
        <v>0</v>
      </c>
      <c r="P44" s="16" t="s">
        <v>183</v>
      </c>
      <c r="Q44" s="16" t="s">
        <v>184</v>
      </c>
      <c r="R44" s="16" t="b">
        <v>0</v>
      </c>
      <c r="S44" s="23" t="s">
        <v>209</v>
      </c>
      <c r="T44" s="16" t="s">
        <v>186</v>
      </c>
      <c r="U44" s="16" t="b">
        <v>0</v>
      </c>
      <c r="V44" s="16">
        <v>85</v>
      </c>
      <c r="W44" s="24">
        <v>6210</v>
      </c>
      <c r="X44" s="25">
        <v>126477</v>
      </c>
      <c r="Y44" s="25">
        <v>716703</v>
      </c>
      <c r="Z44" s="25">
        <v>350000</v>
      </c>
      <c r="AA44" s="25">
        <v>192500</v>
      </c>
      <c r="AB44" s="25">
        <v>590226</v>
      </c>
      <c r="AC44" s="25">
        <v>200000</v>
      </c>
      <c r="AD44" s="26" t="s">
        <v>334</v>
      </c>
    </row>
    <row r="45" spans="1:30" x14ac:dyDescent="0.25">
      <c r="A45" s="5" t="s">
        <v>335</v>
      </c>
      <c r="B45" s="6" t="s">
        <v>256</v>
      </c>
      <c r="C45" s="5">
        <v>32</v>
      </c>
      <c r="D45" s="5" t="s">
        <v>176</v>
      </c>
      <c r="E45" s="5" t="s">
        <v>191</v>
      </c>
      <c r="F45" s="5" t="s">
        <v>178</v>
      </c>
      <c r="G45" s="6" t="s">
        <v>202</v>
      </c>
      <c r="H45" s="5">
        <v>1</v>
      </c>
      <c r="I45" s="5"/>
      <c r="J45" s="22">
        <v>6860</v>
      </c>
      <c r="K45" s="16" t="s">
        <v>180</v>
      </c>
      <c r="L45" s="16" t="s">
        <v>193</v>
      </c>
      <c r="M45" s="16" t="s">
        <v>194</v>
      </c>
      <c r="N45" s="16" t="b">
        <v>0</v>
      </c>
      <c r="O45" s="16" t="b">
        <v>1</v>
      </c>
      <c r="P45" s="16" t="s">
        <v>195</v>
      </c>
      <c r="Q45" s="16" t="s">
        <v>184</v>
      </c>
      <c r="R45" s="16" t="b">
        <v>0</v>
      </c>
      <c r="S45" s="23" t="s">
        <v>197</v>
      </c>
      <c r="T45" s="16" t="s">
        <v>198</v>
      </c>
      <c r="U45" s="16" t="b">
        <v>1</v>
      </c>
      <c r="V45" s="16">
        <v>79</v>
      </c>
      <c r="W45" s="24">
        <v>3978.8</v>
      </c>
      <c r="X45" s="25">
        <v>14941</v>
      </c>
      <c r="Y45" s="25">
        <v>84666</v>
      </c>
      <c r="Z45" s="25">
        <v>0</v>
      </c>
      <c r="AA45" s="25">
        <v>0</v>
      </c>
      <c r="AB45" s="25">
        <v>69725.039999999979</v>
      </c>
      <c r="AC45" s="25">
        <v>411600</v>
      </c>
      <c r="AD45" s="26" t="s">
        <v>336</v>
      </c>
    </row>
    <row r="46" spans="1:30" x14ac:dyDescent="0.25">
      <c r="A46" s="5" t="s">
        <v>337</v>
      </c>
      <c r="B46" s="6" t="s">
        <v>259</v>
      </c>
      <c r="C46" s="5">
        <v>46</v>
      </c>
      <c r="D46" s="5" t="s">
        <v>190</v>
      </c>
      <c r="E46" s="5" t="s">
        <v>177</v>
      </c>
      <c r="F46" s="5" t="s">
        <v>178</v>
      </c>
      <c r="G46" s="6" t="s">
        <v>208</v>
      </c>
      <c r="H46" s="5">
        <v>4</v>
      </c>
      <c r="I46" s="5"/>
      <c r="J46" s="22">
        <v>4925</v>
      </c>
      <c r="K46" s="16" t="s">
        <v>180</v>
      </c>
      <c r="L46" s="16" t="s">
        <v>216</v>
      </c>
      <c r="M46" s="16" t="s">
        <v>182</v>
      </c>
      <c r="N46" s="16" t="b">
        <v>1</v>
      </c>
      <c r="O46" s="16" t="b">
        <v>1</v>
      </c>
      <c r="P46" s="16" t="s">
        <v>203</v>
      </c>
      <c r="Q46" s="16" t="s">
        <v>196</v>
      </c>
      <c r="R46" s="16" t="b">
        <v>1</v>
      </c>
      <c r="S46" s="23" t="s">
        <v>260</v>
      </c>
      <c r="T46" s="16" t="s">
        <v>246</v>
      </c>
      <c r="U46" s="16" t="b">
        <v>0</v>
      </c>
      <c r="V46" s="16">
        <v>84</v>
      </c>
      <c r="W46" s="24">
        <v>3447.5</v>
      </c>
      <c r="X46" s="25">
        <v>11081</v>
      </c>
      <c r="Y46" s="25">
        <v>62794</v>
      </c>
      <c r="Z46" s="25">
        <v>350000</v>
      </c>
      <c r="AA46" s="25">
        <v>192500</v>
      </c>
      <c r="AB46" s="25">
        <v>51712.5</v>
      </c>
      <c r="AC46" s="25">
        <v>295500</v>
      </c>
      <c r="AD46" s="26" t="s">
        <v>338</v>
      </c>
    </row>
    <row r="47" spans="1:30" x14ac:dyDescent="0.25">
      <c r="A47" s="5" t="s">
        <v>339</v>
      </c>
      <c r="B47" s="6" t="s">
        <v>263</v>
      </c>
      <c r="C47" s="5">
        <v>59</v>
      </c>
      <c r="D47" s="5" t="s">
        <v>176</v>
      </c>
      <c r="E47" s="5" t="s">
        <v>177</v>
      </c>
      <c r="F47" s="5" t="s">
        <v>178</v>
      </c>
      <c r="G47" s="6" t="s">
        <v>215</v>
      </c>
      <c r="H47" s="5">
        <v>2</v>
      </c>
      <c r="I47" s="5"/>
      <c r="J47" s="22">
        <v>5900</v>
      </c>
      <c r="K47" s="16" t="s">
        <v>180</v>
      </c>
      <c r="L47" s="16" t="s">
        <v>181</v>
      </c>
      <c r="M47" s="16" t="s">
        <v>182</v>
      </c>
      <c r="N47" s="16" t="b">
        <v>1</v>
      </c>
      <c r="O47" s="16" t="b">
        <v>1</v>
      </c>
      <c r="P47" s="16" t="s">
        <v>224</v>
      </c>
      <c r="Q47" s="16" t="s">
        <v>196</v>
      </c>
      <c r="R47" s="16" t="b">
        <v>0</v>
      </c>
      <c r="S47" s="23" t="s">
        <v>225</v>
      </c>
      <c r="T47" s="16" t="s">
        <v>226</v>
      </c>
      <c r="U47" s="16" t="b">
        <v>0</v>
      </c>
      <c r="V47" s="16">
        <v>92</v>
      </c>
      <c r="W47" s="24">
        <v>3749.45</v>
      </c>
      <c r="X47" s="25">
        <v>37228</v>
      </c>
      <c r="Y47" s="25">
        <v>210961</v>
      </c>
      <c r="Z47" s="25">
        <v>350000</v>
      </c>
      <c r="AA47" s="25">
        <v>192500</v>
      </c>
      <c r="AB47" s="25">
        <v>173732.58</v>
      </c>
      <c r="AC47" s="25">
        <v>354000</v>
      </c>
      <c r="AD47" s="26" t="s">
        <v>340</v>
      </c>
    </row>
    <row r="48" spans="1:30" x14ac:dyDescent="0.25">
      <c r="A48" s="5" t="s">
        <v>341</v>
      </c>
      <c r="B48" s="6" t="s">
        <v>266</v>
      </c>
      <c r="C48" s="5">
        <v>22</v>
      </c>
      <c r="D48" s="5" t="s">
        <v>176</v>
      </c>
      <c r="E48" s="5" t="s">
        <v>177</v>
      </c>
      <c r="F48" s="5" t="s">
        <v>178</v>
      </c>
      <c r="G48" s="6" t="s">
        <v>223</v>
      </c>
      <c r="H48" s="5">
        <v>0</v>
      </c>
      <c r="I48" s="5"/>
      <c r="J48" s="22">
        <v>10400</v>
      </c>
      <c r="K48" s="16" t="s">
        <v>180</v>
      </c>
      <c r="L48" s="16" t="s">
        <v>181</v>
      </c>
      <c r="M48" s="16" t="s">
        <v>194</v>
      </c>
      <c r="N48" s="16" t="b">
        <v>0</v>
      </c>
      <c r="O48" s="16" t="b">
        <v>0</v>
      </c>
      <c r="P48" s="16" t="s">
        <v>183</v>
      </c>
      <c r="Q48" s="16" t="s">
        <v>184</v>
      </c>
      <c r="R48" s="16" t="b">
        <v>0</v>
      </c>
      <c r="S48" s="23" t="s">
        <v>185</v>
      </c>
      <c r="T48" s="16" t="s">
        <v>186</v>
      </c>
      <c r="U48" s="16" t="b">
        <v>0</v>
      </c>
      <c r="V48" s="16">
        <v>86</v>
      </c>
      <c r="W48" s="24">
        <v>5940</v>
      </c>
      <c r="X48" s="25">
        <v>2574</v>
      </c>
      <c r="Y48" s="25">
        <v>14586</v>
      </c>
      <c r="Z48" s="25">
        <v>0</v>
      </c>
      <c r="AA48" s="25">
        <v>0</v>
      </c>
      <c r="AB48" s="25">
        <v>12012</v>
      </c>
      <c r="AC48" s="25">
        <v>0</v>
      </c>
      <c r="AD48" s="26" t="s">
        <v>342</v>
      </c>
    </row>
    <row r="49" spans="1:30" x14ac:dyDescent="0.25">
      <c r="A49" s="5" t="s">
        <v>343</v>
      </c>
      <c r="B49" s="6" t="s">
        <v>269</v>
      </c>
      <c r="C49" s="5">
        <v>27</v>
      </c>
      <c r="D49" s="5" t="s">
        <v>190</v>
      </c>
      <c r="E49" s="5" t="s">
        <v>191</v>
      </c>
      <c r="F49" s="5" t="s">
        <v>178</v>
      </c>
      <c r="G49" s="6" t="s">
        <v>230</v>
      </c>
      <c r="H49" s="5">
        <v>0</v>
      </c>
      <c r="I49" s="5"/>
      <c r="J49" s="22">
        <v>3500</v>
      </c>
      <c r="K49" s="16" t="s">
        <v>180</v>
      </c>
      <c r="L49" s="16" t="s">
        <v>193</v>
      </c>
      <c r="M49" s="16" t="s">
        <v>182</v>
      </c>
      <c r="N49" s="16" t="b">
        <v>0</v>
      </c>
      <c r="O49" s="16" t="b">
        <v>1</v>
      </c>
      <c r="P49" s="16" t="s">
        <v>195</v>
      </c>
      <c r="Q49" s="16" t="s">
        <v>196</v>
      </c>
      <c r="R49" s="16" t="b">
        <v>1</v>
      </c>
      <c r="S49" s="23" t="s">
        <v>197</v>
      </c>
      <c r="T49" s="16" t="s">
        <v>198</v>
      </c>
      <c r="U49" s="16" t="b">
        <v>0</v>
      </c>
      <c r="V49" s="16">
        <v>81</v>
      </c>
      <c r="W49" s="24">
        <v>1890</v>
      </c>
      <c r="X49" s="25">
        <v>4914</v>
      </c>
      <c r="Y49" s="25">
        <v>27846</v>
      </c>
      <c r="Z49" s="25">
        <v>0</v>
      </c>
      <c r="AA49" s="25">
        <v>0</v>
      </c>
      <c r="AB49" s="25">
        <v>22932</v>
      </c>
      <c r="AC49" s="25">
        <v>0</v>
      </c>
      <c r="AD49" s="26" t="s">
        <v>344</v>
      </c>
    </row>
    <row r="50" spans="1:30" x14ac:dyDescent="0.25">
      <c r="A50" s="5" t="s">
        <v>345</v>
      </c>
      <c r="B50" s="6" t="s">
        <v>272</v>
      </c>
      <c r="C50" s="5">
        <v>34</v>
      </c>
      <c r="D50" s="5" t="s">
        <v>176</v>
      </c>
      <c r="E50" s="5" t="s">
        <v>177</v>
      </c>
      <c r="F50" s="5" t="s">
        <v>178</v>
      </c>
      <c r="G50" s="6" t="s">
        <v>235</v>
      </c>
      <c r="H50" s="5">
        <v>1</v>
      </c>
      <c r="I50" s="5"/>
      <c r="J50" s="22">
        <v>4025</v>
      </c>
      <c r="K50" s="16" t="s">
        <v>180</v>
      </c>
      <c r="L50" s="16" t="s">
        <v>193</v>
      </c>
      <c r="M50" s="16" t="s">
        <v>182</v>
      </c>
      <c r="N50" s="16" t="b">
        <v>1</v>
      </c>
      <c r="O50" s="16" t="b">
        <v>1</v>
      </c>
      <c r="P50" s="16" t="s">
        <v>203</v>
      </c>
      <c r="Q50" s="16" t="s">
        <v>196</v>
      </c>
      <c r="R50" s="16" t="b">
        <v>1</v>
      </c>
      <c r="S50" s="23" t="s">
        <v>204</v>
      </c>
      <c r="T50" s="16" t="s">
        <v>198</v>
      </c>
      <c r="U50" s="16" t="b">
        <v>0</v>
      </c>
      <c r="V50" s="16">
        <v>88</v>
      </c>
      <c r="W50" s="24">
        <v>2334.5</v>
      </c>
      <c r="X50" s="25">
        <v>10360</v>
      </c>
      <c r="Y50" s="25">
        <v>58709</v>
      </c>
      <c r="Z50" s="25">
        <v>350000</v>
      </c>
      <c r="AA50" s="25">
        <v>192500</v>
      </c>
      <c r="AB50" s="25">
        <v>48348.3</v>
      </c>
      <c r="AC50" s="25">
        <v>241500</v>
      </c>
      <c r="AD50" s="26" t="s">
        <v>346</v>
      </c>
    </row>
    <row r="51" spans="1:30" x14ac:dyDescent="0.25">
      <c r="A51" s="5" t="s">
        <v>347</v>
      </c>
      <c r="B51" s="6" t="s">
        <v>275</v>
      </c>
      <c r="C51" s="5">
        <v>41</v>
      </c>
      <c r="D51" s="5" t="s">
        <v>190</v>
      </c>
      <c r="E51" s="5" t="s">
        <v>177</v>
      </c>
      <c r="F51" s="5" t="s">
        <v>178</v>
      </c>
      <c r="G51" s="6" t="s">
        <v>239</v>
      </c>
      <c r="H51" s="5">
        <v>2</v>
      </c>
      <c r="I51" s="5"/>
      <c r="J51" s="22">
        <v>4550</v>
      </c>
      <c r="K51" s="16" t="s">
        <v>180</v>
      </c>
      <c r="L51" s="16" t="s">
        <v>181</v>
      </c>
      <c r="M51" s="16" t="s">
        <v>182</v>
      </c>
      <c r="N51" s="16" t="b">
        <v>1</v>
      </c>
      <c r="O51" s="16" t="b">
        <v>1</v>
      </c>
      <c r="P51" s="16" t="s">
        <v>183</v>
      </c>
      <c r="Q51" s="16" t="s">
        <v>184</v>
      </c>
      <c r="R51" s="16" t="b">
        <v>0</v>
      </c>
      <c r="S51" s="23" t="s">
        <v>209</v>
      </c>
      <c r="T51" s="16" t="s">
        <v>210</v>
      </c>
      <c r="U51" s="16" t="b">
        <v>1</v>
      </c>
      <c r="V51" s="16">
        <v>78</v>
      </c>
      <c r="W51" s="24">
        <v>2821</v>
      </c>
      <c r="X51" s="25">
        <v>14742</v>
      </c>
      <c r="Y51" s="25">
        <v>83538</v>
      </c>
      <c r="Z51" s="25">
        <v>350000</v>
      </c>
      <c r="AA51" s="25">
        <v>192500</v>
      </c>
      <c r="AB51" s="25">
        <v>68796</v>
      </c>
      <c r="AC51" s="25">
        <v>273000</v>
      </c>
      <c r="AD51" s="26" t="s">
        <v>348</v>
      </c>
    </row>
    <row r="52" spans="1:30" x14ac:dyDescent="0.25">
      <c r="A52" s="5" t="s">
        <v>349</v>
      </c>
      <c r="B52" s="6" t="s">
        <v>278</v>
      </c>
      <c r="C52" s="5">
        <v>47</v>
      </c>
      <c r="D52" s="5" t="s">
        <v>176</v>
      </c>
      <c r="E52" s="5" t="s">
        <v>214</v>
      </c>
      <c r="F52" s="5" t="s">
        <v>178</v>
      </c>
      <c r="G52" s="6" t="s">
        <v>244</v>
      </c>
      <c r="H52" s="5">
        <v>2</v>
      </c>
      <c r="I52" s="5"/>
      <c r="J52" s="22">
        <v>5000</v>
      </c>
      <c r="K52" s="16" t="s">
        <v>180</v>
      </c>
      <c r="L52" s="16" t="s">
        <v>216</v>
      </c>
      <c r="M52" s="16" t="s">
        <v>182</v>
      </c>
      <c r="N52" s="16" t="b">
        <v>1</v>
      </c>
      <c r="O52" s="16" t="b">
        <v>0</v>
      </c>
      <c r="P52" s="16" t="s">
        <v>217</v>
      </c>
      <c r="Q52" s="16" t="s">
        <v>196</v>
      </c>
      <c r="R52" s="16" t="b">
        <v>1</v>
      </c>
      <c r="S52" s="23" t="s">
        <v>218</v>
      </c>
      <c r="T52" s="16" t="s">
        <v>219</v>
      </c>
      <c r="U52" s="16" t="b">
        <v>0</v>
      </c>
      <c r="V52" s="16">
        <v>90</v>
      </c>
      <c r="W52" s="24">
        <v>3875</v>
      </c>
      <c r="X52" s="25">
        <v>26325</v>
      </c>
      <c r="Y52" s="25">
        <v>149175</v>
      </c>
      <c r="Z52" s="25">
        <v>350000</v>
      </c>
      <c r="AA52" s="25">
        <v>192500</v>
      </c>
      <c r="AB52" s="25">
        <v>122850</v>
      </c>
      <c r="AC52" s="25">
        <v>300000</v>
      </c>
      <c r="AD52" s="26" t="s">
        <v>350</v>
      </c>
    </row>
  </sheetData>
  <autoFilter ref="A2:AD52" xr:uid="{00000000-0009-0000-0000-000002000000}"/>
  <mergeCells count="3">
    <mergeCell ref="A1:I1"/>
    <mergeCell ref="J1:V1"/>
    <mergeCell ref="W1:AC1"/>
  </mergeCells>
  <dataValidations count="10">
    <dataValidation type="list" sqref="N3:O52 R3:R52 U3:U52" xr:uid="{00000000-0002-0000-0200-000000000000}">
      <formula1>"TRUE,FALSE"</formula1>
    </dataValidation>
    <dataValidation type="list" sqref="E3:E52" xr:uid="{00000000-0002-0000-0200-000001000000}">
      <formula1>"Citizen,PR,Foreigner"</formula1>
    </dataValidation>
    <dataValidation type="list" sqref="D3:D52" xr:uid="{00000000-0002-0000-0200-000002000000}">
      <formula1>"Female,Male"</formula1>
    </dataValidation>
    <dataValidation type="list" sqref="F3:F52" xr:uid="{00000000-0002-0000-0200-000003000000}">
      <formula1>"Singapore,Vietnam,Malaysia,Thailand,Philippines,Australia,Germany,Hong Kong,United States"</formula1>
    </dataValidation>
    <dataValidation type="list" sqref="K3:K52" xr:uid="{00000000-0002-0000-0200-000004000000}">
      <formula1>"SGD,VND,MYR,THB,PHP,AUD,EUR,HKD,USD"</formula1>
    </dataValidation>
    <dataValidation type="list" sqref="L3:L52" xr:uid="{00000000-0002-0000-0200-000005000000}">
      <formula1>"conservative,moderate,aggressive"</formula1>
    </dataValidation>
    <dataValidation type="list" sqref="M3:M52" xr:uid="{00000000-0002-0000-0200-000006000000}">
      <formula1>"low,medium,high"</formula1>
    </dataValidation>
    <dataValidation type="list" allowBlank="1" sqref="P3:P52" xr:uid="{00000000-0002-0000-0200-000007000000}">
      <formula1>"Single,Double,Ward,A,B"</formula1>
    </dataValidation>
    <dataValidation type="list" sqref="Q3:Q52" xr:uid="{00000000-0002-0000-0200-000008000000}">
      <formula1>"Public,Private"</formula1>
    </dataValidation>
    <dataValidation type="list" allowBlank="1" sqref="T3:T52" xr:uid="{00000000-0002-0000-0200-000009000000}">
      <formula1>"Basic,Comfortable,Luxurious,frugal,stress-free,only the best"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45C26"/>
  </sheetPr>
  <dimension ref="A1:K2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6" customWidth="1"/>
    <col min="2" max="2" width="22" customWidth="1"/>
    <col min="3" max="3" width="34" customWidth="1"/>
    <col min="4" max="4" width="78" customWidth="1"/>
    <col min="6" max="6" width="42" customWidth="1"/>
    <col min="9" max="9" width="16" customWidth="1"/>
    <col min="10" max="10" width="12" customWidth="1"/>
    <col min="11" max="11" width="56" customWidth="1"/>
  </cols>
  <sheetData>
    <row r="1" spans="1:11" ht="27.95" customHeight="1" x14ac:dyDescent="0.25">
      <c r="A1" s="61" t="s">
        <v>351</v>
      </c>
      <c r="B1" s="58"/>
      <c r="C1" s="58"/>
      <c r="D1" s="58"/>
    </row>
    <row r="2" spans="1:11" x14ac:dyDescent="0.25">
      <c r="A2" s="4" t="s">
        <v>83</v>
      </c>
      <c r="B2" s="5" t="str">
        <f>SelectedPersona</f>
        <v>P02</v>
      </c>
      <c r="C2" s="6" t="str">
        <f>IFERROR(INDEX(Personas!B$3:B$52,MATCH($B$2,Personas!$A$3:$A$52,0)),"")</f>
        <v>Wei Ling Tan</v>
      </c>
      <c r="D2" s="1" t="s">
        <v>352</v>
      </c>
      <c r="F2" s="4" t="s">
        <v>86</v>
      </c>
    </row>
    <row r="3" spans="1:11" x14ac:dyDescent="0.25">
      <c r="A3" s="2" t="s">
        <v>87</v>
      </c>
      <c r="B3" s="2" t="s">
        <v>88</v>
      </c>
      <c r="C3" s="2" t="s">
        <v>89</v>
      </c>
      <c r="D3" s="2" t="s">
        <v>90</v>
      </c>
      <c r="F3" s="7" t="s">
        <v>91</v>
      </c>
    </row>
    <row r="4" spans="1:11" x14ac:dyDescent="0.25">
      <c r="A4" s="63" t="s">
        <v>353</v>
      </c>
      <c r="B4" s="63"/>
      <c r="C4" s="63"/>
      <c r="D4" s="63"/>
      <c r="F4" s="8" t="s">
        <v>93</v>
      </c>
      <c r="I4" s="67" t="s">
        <v>354</v>
      </c>
      <c r="J4" s="68"/>
      <c r="K4" s="69"/>
    </row>
    <row r="5" spans="1:11" x14ac:dyDescent="0.25">
      <c r="A5" s="9" t="s">
        <v>105</v>
      </c>
      <c r="B5" s="5" t="str">
        <f>IFERROR(INDEX(Personas!F$3:F$52,MATCH($B$2,Personas!$A$3:$A$52,0)),"")</f>
        <v>Singapore</v>
      </c>
      <c r="C5" s="5" t="s">
        <v>95</v>
      </c>
      <c r="D5" s="10" t="s">
        <v>355</v>
      </c>
      <c r="F5" s="11" t="s">
        <v>97</v>
      </c>
      <c r="I5" s="2" t="s">
        <v>105</v>
      </c>
      <c r="J5" s="2" t="s">
        <v>356</v>
      </c>
      <c r="K5" s="2" t="s">
        <v>357</v>
      </c>
    </row>
    <row r="6" spans="1:11" x14ac:dyDescent="0.25">
      <c r="A6" s="9" t="s">
        <v>103</v>
      </c>
      <c r="B6" s="5" t="str">
        <f>IFERROR(INDEX(Personas!E$3:E$52,MATCH($B$2,Personas!$A$3:$A$52,0)),"")</f>
        <v>PR</v>
      </c>
      <c r="C6" s="5" t="s">
        <v>95</v>
      </c>
      <c r="D6" s="10" t="s">
        <v>358</v>
      </c>
      <c r="F6" s="13" t="s">
        <v>100</v>
      </c>
      <c r="I6" s="27" t="s">
        <v>178</v>
      </c>
      <c r="J6" s="5" t="b">
        <v>1</v>
      </c>
      <c r="K6" s="10" t="s">
        <v>359</v>
      </c>
    </row>
    <row r="7" spans="1:11" x14ac:dyDescent="0.25">
      <c r="A7" s="9" t="s">
        <v>98</v>
      </c>
      <c r="B7" s="12">
        <f>IFERROR(INDEX(Personas!C$3:C$52,MATCH($B$2,Personas!$A$3:$A$52,0)),"")</f>
        <v>27</v>
      </c>
      <c r="C7" s="5" t="s">
        <v>95</v>
      </c>
      <c r="D7" s="10" t="s">
        <v>360</v>
      </c>
      <c r="I7" s="27" t="s">
        <v>361</v>
      </c>
      <c r="J7" s="5" t="b">
        <v>0</v>
      </c>
      <c r="K7" s="10" t="s">
        <v>362</v>
      </c>
    </row>
    <row r="8" spans="1:11" x14ac:dyDescent="0.25">
      <c r="A8" s="9" t="s">
        <v>139</v>
      </c>
      <c r="B8" s="28">
        <f>IFERROR(INDEX(Personas!J$3:J$52,MATCH($B$2,Personas!$A$3:$A$52,0)),"")</f>
        <v>6020</v>
      </c>
      <c r="C8" s="5" t="s">
        <v>95</v>
      </c>
      <c r="D8" s="10" t="s">
        <v>363</v>
      </c>
      <c r="I8" s="27" t="s">
        <v>364</v>
      </c>
      <c r="J8" s="5" t="b">
        <v>0</v>
      </c>
      <c r="K8" s="10" t="s">
        <v>362</v>
      </c>
    </row>
    <row r="9" spans="1:11" x14ac:dyDescent="0.25">
      <c r="I9" s="27" t="s">
        <v>365</v>
      </c>
      <c r="J9" s="5" t="b">
        <v>0</v>
      </c>
      <c r="K9" s="10" t="s">
        <v>362</v>
      </c>
    </row>
    <row r="10" spans="1:11" x14ac:dyDescent="0.25">
      <c r="A10" s="67" t="s">
        <v>366</v>
      </c>
      <c r="B10" s="67"/>
      <c r="C10" s="67"/>
      <c r="D10" s="67"/>
      <c r="I10" s="27" t="s">
        <v>367</v>
      </c>
      <c r="J10" s="5" t="b">
        <v>0</v>
      </c>
      <c r="K10" s="10" t="s">
        <v>362</v>
      </c>
    </row>
    <row r="11" spans="1:11" x14ac:dyDescent="0.25">
      <c r="A11" s="29" t="s">
        <v>368</v>
      </c>
      <c r="B11" s="30">
        <v>8000</v>
      </c>
      <c r="C11" s="27" t="s">
        <v>369</v>
      </c>
      <c r="D11" s="10" t="s">
        <v>370</v>
      </c>
      <c r="I11" s="27" t="s">
        <v>371</v>
      </c>
      <c r="J11" s="5" t="b">
        <v>0</v>
      </c>
      <c r="K11" s="10" t="s">
        <v>362</v>
      </c>
    </row>
    <row r="12" spans="1:11" x14ac:dyDescent="0.25">
      <c r="A12" s="29" t="s">
        <v>372</v>
      </c>
      <c r="B12" s="31">
        <v>0.2</v>
      </c>
      <c r="C12" s="27" t="s">
        <v>369</v>
      </c>
      <c r="D12" s="10" t="s">
        <v>373</v>
      </c>
      <c r="I12" s="27" t="s">
        <v>374</v>
      </c>
      <c r="J12" s="5" t="b">
        <v>0</v>
      </c>
      <c r="K12" s="10" t="s">
        <v>362</v>
      </c>
    </row>
    <row r="13" spans="1:11" x14ac:dyDescent="0.25">
      <c r="A13" s="29" t="s">
        <v>375</v>
      </c>
      <c r="B13" s="31">
        <v>0.18</v>
      </c>
      <c r="C13" s="27" t="s">
        <v>369</v>
      </c>
      <c r="D13" s="10" t="s">
        <v>376</v>
      </c>
      <c r="I13" s="27" t="s">
        <v>377</v>
      </c>
      <c r="J13" s="5" t="b">
        <v>0</v>
      </c>
      <c r="K13" s="10" t="s">
        <v>362</v>
      </c>
    </row>
    <row r="14" spans="1:11" x14ac:dyDescent="0.25">
      <c r="A14" s="29" t="s">
        <v>378</v>
      </c>
      <c r="B14" s="31">
        <v>0.125</v>
      </c>
      <c r="C14" s="27" t="s">
        <v>369</v>
      </c>
      <c r="D14" s="10" t="s">
        <v>379</v>
      </c>
      <c r="I14" s="27" t="s">
        <v>380</v>
      </c>
      <c r="J14" s="5" t="b">
        <v>0</v>
      </c>
      <c r="K14" s="10" t="s">
        <v>362</v>
      </c>
    </row>
    <row r="15" spans="1:11" x14ac:dyDescent="0.25">
      <c r="A15" s="29" t="s">
        <v>381</v>
      </c>
      <c r="B15" s="31">
        <v>7.4999999999999997E-2</v>
      </c>
      <c r="C15" s="27" t="s">
        <v>369</v>
      </c>
      <c r="D15" s="10" t="s">
        <v>382</v>
      </c>
    </row>
    <row r="16" spans="1:11" x14ac:dyDescent="0.25">
      <c r="A16" s="29" t="s">
        <v>383</v>
      </c>
      <c r="B16" s="31">
        <v>0.05</v>
      </c>
      <c r="C16" s="27" t="s">
        <v>369</v>
      </c>
      <c r="D16" s="10" t="s">
        <v>384</v>
      </c>
    </row>
    <row r="18" spans="1:4" x14ac:dyDescent="0.25">
      <c r="A18" s="66" t="s">
        <v>385</v>
      </c>
      <c r="B18" s="66"/>
      <c r="C18" s="66"/>
      <c r="D18" s="66"/>
    </row>
    <row r="19" spans="1:4" x14ac:dyDescent="0.25">
      <c r="A19" s="32" t="s">
        <v>386</v>
      </c>
      <c r="B19" s="33"/>
      <c r="C19" s="33" t="s">
        <v>387</v>
      </c>
      <c r="D19" s="10" t="s">
        <v>388</v>
      </c>
    </row>
    <row r="21" spans="1:4" x14ac:dyDescent="0.25">
      <c r="A21" s="64" t="s">
        <v>389</v>
      </c>
      <c r="B21" s="64"/>
      <c r="C21" s="64"/>
      <c r="D21" s="64"/>
    </row>
    <row r="22" spans="1:4" x14ac:dyDescent="0.25">
      <c r="A22" s="18" t="s">
        <v>390</v>
      </c>
      <c r="B22" s="19" t="b">
        <f>IF(B19="",IFERROR(VLOOKUP(B5,CpfCountrySwitch,2,FALSE),FALSE),B19)</f>
        <v>1</v>
      </c>
      <c r="C22" s="19" t="s">
        <v>137</v>
      </c>
      <c r="D22" s="10" t="s">
        <v>391</v>
      </c>
    </row>
    <row r="23" spans="1:4" x14ac:dyDescent="0.25">
      <c r="A23" s="18" t="s">
        <v>392</v>
      </c>
      <c r="B23" s="34">
        <f>IF(LOWER(B6)="foreigner",0,IF(B7&lt;=55,cpfRate_to55,IF(B7&lt;=60,cpfRate_to60,IF(B7&lt;=65,cpfRate_to65,IF(B7&lt;=70,cpfRate_to70,cpfRate_over70)))))</f>
        <v>0.2</v>
      </c>
      <c r="C23" s="19" t="s">
        <v>137</v>
      </c>
      <c r="D23" s="10" t="s">
        <v>393</v>
      </c>
    </row>
    <row r="24" spans="1:4" x14ac:dyDescent="0.25">
      <c r="A24" s="18" t="s">
        <v>394</v>
      </c>
      <c r="B24" s="34">
        <f>IF(B22=TRUE,B23,0)</f>
        <v>0.2</v>
      </c>
      <c r="C24" s="19" t="s">
        <v>137</v>
      </c>
      <c r="D24" s="10" t="s">
        <v>395</v>
      </c>
    </row>
    <row r="25" spans="1:4" x14ac:dyDescent="0.25">
      <c r="A25" s="18" t="s">
        <v>396</v>
      </c>
      <c r="B25" s="21">
        <f>IF(OR(B22&lt;&gt;TRUE,B8&lt;=0,B24&lt;=0),0,FLOOR(MIN(B8,OW_CEILING)*B24,1))</f>
        <v>1204</v>
      </c>
      <c r="C25" s="19" t="s">
        <v>137</v>
      </c>
      <c r="D25" s="10" t="s">
        <v>397</v>
      </c>
    </row>
    <row r="26" spans="1:4" x14ac:dyDescent="0.25">
      <c r="A26" s="18" t="s">
        <v>141</v>
      </c>
      <c r="B26" s="20">
        <f>IF(B8&lt;=0,0,ROUND(MAX(0,B8-B25),2))</f>
        <v>4816</v>
      </c>
      <c r="C26" s="19" t="s">
        <v>137</v>
      </c>
      <c r="D26" s="10" t="s">
        <v>398</v>
      </c>
    </row>
  </sheetData>
  <mergeCells count="6">
    <mergeCell ref="A1:D1"/>
    <mergeCell ref="A18:D18"/>
    <mergeCell ref="A4:D4"/>
    <mergeCell ref="A21:D21"/>
    <mergeCell ref="I4:K4"/>
    <mergeCell ref="A10:D10"/>
  </mergeCells>
  <dataValidations count="2">
    <dataValidation type="list" sqref="J6:J14" xr:uid="{00000000-0002-0000-0300-000000000000}">
      <formula1>"TRUE,FALSE"</formula1>
    </dataValidation>
    <dataValidation type="list" allowBlank="1" sqref="B19" xr:uid="{00000000-0002-0000-0300-000001000000}">
      <formula1>"TRUE,FALSE,"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4F"/>
  </sheetPr>
  <dimension ref="A1:F8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6" customWidth="1"/>
    <col min="2" max="2" width="22" customWidth="1"/>
    <col min="3" max="3" width="34" customWidth="1"/>
    <col min="4" max="4" width="78" customWidth="1"/>
    <col min="6" max="6" width="42" customWidth="1"/>
  </cols>
  <sheetData>
    <row r="1" spans="1:6" ht="27.95" customHeight="1" x14ac:dyDescent="0.25">
      <c r="A1" s="61" t="s">
        <v>399</v>
      </c>
      <c r="B1" s="58"/>
      <c r="C1" s="58"/>
      <c r="D1" s="58"/>
    </row>
    <row r="2" spans="1:6" x14ac:dyDescent="0.25">
      <c r="A2" s="4" t="s">
        <v>83</v>
      </c>
      <c r="B2" s="5" t="str">
        <f>SelectedPersona</f>
        <v>P02</v>
      </c>
      <c r="C2" s="6" t="str">
        <f>IFERROR(INDEX(Personas!B$3:B$52,MATCH($B$2,Personas!$A$3:$A$52,0)),"")</f>
        <v>Wei Ling Tan</v>
      </c>
      <c r="D2" s="1" t="s">
        <v>352</v>
      </c>
      <c r="F2" s="4" t="s">
        <v>86</v>
      </c>
    </row>
    <row r="3" spans="1:6" x14ac:dyDescent="0.25">
      <c r="A3" s="2" t="s">
        <v>87</v>
      </c>
      <c r="B3" s="2" t="s">
        <v>88</v>
      </c>
      <c r="C3" s="2" t="s">
        <v>89</v>
      </c>
      <c r="D3" s="2" t="s">
        <v>90</v>
      </c>
      <c r="F3" s="7" t="s">
        <v>91</v>
      </c>
    </row>
    <row r="4" spans="1:6" x14ac:dyDescent="0.25">
      <c r="A4" s="63" t="s">
        <v>400</v>
      </c>
      <c r="B4" s="63"/>
      <c r="C4" s="63"/>
      <c r="D4" s="63"/>
      <c r="F4" s="8" t="s">
        <v>93</v>
      </c>
    </row>
    <row r="5" spans="1:6" x14ac:dyDescent="0.25">
      <c r="A5" s="9" t="s">
        <v>98</v>
      </c>
      <c r="B5" s="12">
        <f>IFERROR(INDEX(Personas!C$3:C$52,MATCH($B$2,Personas!$A$3:$A$52,0)),"")</f>
        <v>27</v>
      </c>
      <c r="C5" s="5" t="s">
        <v>95</v>
      </c>
      <c r="D5" s="10" t="s">
        <v>401</v>
      </c>
      <c r="F5" s="11" t="s">
        <v>97</v>
      </c>
    </row>
    <row r="6" spans="1:6" x14ac:dyDescent="0.25">
      <c r="A6" s="9" t="s">
        <v>101</v>
      </c>
      <c r="B6" s="5" t="str">
        <f>IFERROR(INDEX(Personas!D$3:D$52,MATCH($B$2,Personas!$A$3:$A$52,0)),"")</f>
        <v>Male</v>
      </c>
      <c r="C6" s="5" t="s">
        <v>95</v>
      </c>
      <c r="D6" s="10" t="s">
        <v>402</v>
      </c>
      <c r="F6" s="13" t="s">
        <v>100</v>
      </c>
    </row>
    <row r="7" spans="1:6" x14ac:dyDescent="0.25">
      <c r="A7" s="9" t="s">
        <v>103</v>
      </c>
      <c r="B7" s="5" t="str">
        <f>IFERROR(INDEX(Personas!E$3:E$52,MATCH($B$2,Personas!$A$3:$A$52,0)),"")</f>
        <v>PR</v>
      </c>
      <c r="C7" s="5" t="s">
        <v>95</v>
      </c>
      <c r="D7" s="10" t="s">
        <v>403</v>
      </c>
    </row>
    <row r="8" spans="1:6" x14ac:dyDescent="0.25">
      <c r="A8" s="9" t="s">
        <v>105</v>
      </c>
      <c r="B8" s="5" t="str">
        <f>IFERROR(INDEX(Personas!F$3:F$52,MATCH($B$2,Personas!$A$3:$A$52,0)),"")</f>
        <v>Singapore</v>
      </c>
      <c r="C8" s="5" t="s">
        <v>95</v>
      </c>
      <c r="D8" s="10" t="s">
        <v>404</v>
      </c>
    </row>
    <row r="9" spans="1:6" x14ac:dyDescent="0.25">
      <c r="A9" s="9" t="s">
        <v>107</v>
      </c>
      <c r="B9" s="5" t="str">
        <f>IFERROR(INDEX(Personas!G$3:G$52,MATCH($B$2,Personas!$A$3:$A$52,0)),"")</f>
        <v>Teacher</v>
      </c>
      <c r="C9" s="5" t="s">
        <v>95</v>
      </c>
      <c r="D9" s="10" t="s">
        <v>405</v>
      </c>
    </row>
    <row r="10" spans="1:6" x14ac:dyDescent="0.25">
      <c r="A10" s="9" t="s">
        <v>109</v>
      </c>
      <c r="B10" s="12">
        <f>IFERROR(INDEX(Personas!H$3:H$52,MATCH($B$2,Personas!$A$3:$A$52,0)),"")</f>
        <v>0</v>
      </c>
      <c r="C10" s="5" t="s">
        <v>95</v>
      </c>
      <c r="D10" s="10" t="s">
        <v>406</v>
      </c>
    </row>
    <row r="11" spans="1:6" x14ac:dyDescent="0.25">
      <c r="A11" s="9" t="s">
        <v>407</v>
      </c>
      <c r="B11" s="5">
        <f>IFERROR(INDEX(Personas!I$3:I$52,MATCH($B$2,Personas!$A$3:$A$52,0)),"")</f>
        <v>0</v>
      </c>
      <c r="C11" s="5" t="s">
        <v>95</v>
      </c>
      <c r="D11" s="10" t="s">
        <v>408</v>
      </c>
    </row>
    <row r="13" spans="1:6" x14ac:dyDescent="0.25">
      <c r="A13" s="65" t="s">
        <v>409</v>
      </c>
      <c r="B13" s="65"/>
      <c r="C13" s="65"/>
      <c r="D13" s="65"/>
    </row>
    <row r="14" spans="1:6" x14ac:dyDescent="0.25">
      <c r="A14" s="14" t="s">
        <v>410</v>
      </c>
      <c r="B14" s="22">
        <f>IFERROR(INDEX(Personas!J$3:J$52,MATCH($B$2,Personas!$A$3:$A$52,0)),"")</f>
        <v>6020</v>
      </c>
      <c r="C14" s="16" t="s">
        <v>117</v>
      </c>
      <c r="D14" s="10" t="s">
        <v>411</v>
      </c>
    </row>
    <row r="15" spans="1:6" x14ac:dyDescent="0.25">
      <c r="A15" s="14" t="s">
        <v>119</v>
      </c>
      <c r="B15" s="16" t="str">
        <f>IFERROR(INDEX(Personas!K$3:K$52,MATCH($B$2,Personas!$A$3:$A$52,0)),"")</f>
        <v>SGD</v>
      </c>
      <c r="C15" s="16" t="s">
        <v>117</v>
      </c>
      <c r="D15" s="10" t="s">
        <v>412</v>
      </c>
    </row>
    <row r="16" spans="1:6" x14ac:dyDescent="0.25">
      <c r="A16" s="14" t="s">
        <v>413</v>
      </c>
      <c r="B16" s="16" t="b">
        <f>IFERROR(INDEX(Personas!N$3:N$52,MATCH($B$2,Personas!$A$3:$A$52,0)),"")</f>
        <v>0</v>
      </c>
      <c r="C16" s="16" t="s">
        <v>117</v>
      </c>
      <c r="D16" s="10" t="s">
        <v>414</v>
      </c>
    </row>
    <row r="17" spans="1:4" x14ac:dyDescent="0.25">
      <c r="A17" s="14" t="s">
        <v>415</v>
      </c>
      <c r="B17" s="17">
        <f>IFERROR(INDEX(Personas!V$3:V$52,MATCH($B$2,Personas!$A$3:$A$52,0)),"")</f>
        <v>81</v>
      </c>
      <c r="C17" s="16" t="s">
        <v>117</v>
      </c>
      <c r="D17" s="10" t="s">
        <v>416</v>
      </c>
    </row>
    <row r="19" spans="1:4" x14ac:dyDescent="0.25">
      <c r="A19" s="67" t="s">
        <v>417</v>
      </c>
      <c r="B19" s="67"/>
      <c r="C19" s="67"/>
      <c r="D19" s="67"/>
    </row>
    <row r="20" spans="1:4" x14ac:dyDescent="0.25">
      <c r="A20" s="29" t="s">
        <v>418</v>
      </c>
      <c r="B20" s="31">
        <f>spendShareBase</f>
        <v>0.67500000000000004</v>
      </c>
      <c r="C20" s="27" t="s">
        <v>369</v>
      </c>
      <c r="D20" s="10" t="s">
        <v>419</v>
      </c>
    </row>
    <row r="21" spans="1:4" x14ac:dyDescent="0.25">
      <c r="A21" s="29" t="s">
        <v>420</v>
      </c>
      <c r="B21" s="31">
        <f>spendSharePerDependant</f>
        <v>0.05</v>
      </c>
      <c r="C21" s="27" t="s">
        <v>369</v>
      </c>
      <c r="D21" s="10" t="s">
        <v>421</v>
      </c>
    </row>
    <row r="22" spans="1:4" x14ac:dyDescent="0.25">
      <c r="A22" s="29" t="s">
        <v>422</v>
      </c>
      <c r="B22" s="31">
        <f>spendShareCap</f>
        <v>0.9</v>
      </c>
      <c r="C22" s="27" t="s">
        <v>369</v>
      </c>
      <c r="D22" s="10" t="s">
        <v>423</v>
      </c>
    </row>
    <row r="23" spans="1:4" x14ac:dyDescent="0.25">
      <c r="A23" s="29" t="s">
        <v>424</v>
      </c>
      <c r="B23" s="31">
        <f>assetsSaveShare</f>
        <v>0.5</v>
      </c>
      <c r="C23" s="27" t="s">
        <v>369</v>
      </c>
      <c r="D23" s="10" t="s">
        <v>425</v>
      </c>
    </row>
    <row r="24" spans="1:4" x14ac:dyDescent="0.25">
      <c r="A24" s="29" t="s">
        <v>426</v>
      </c>
      <c r="B24" s="35">
        <f>workStartAge</f>
        <v>21</v>
      </c>
      <c r="C24" s="27" t="s">
        <v>369</v>
      </c>
      <c r="D24" s="10" t="s">
        <v>427</v>
      </c>
    </row>
    <row r="25" spans="1:4" x14ac:dyDescent="0.25">
      <c r="A25" s="29" t="s">
        <v>428</v>
      </c>
      <c r="B25" s="31">
        <f>CASH_SAVINGS_SHARE</f>
        <v>0.15</v>
      </c>
      <c r="C25" s="27" t="s">
        <v>369</v>
      </c>
      <c r="D25" s="10" t="s">
        <v>429</v>
      </c>
    </row>
    <row r="26" spans="1:4" x14ac:dyDescent="0.25">
      <c r="A26" s="29" t="s">
        <v>430</v>
      </c>
      <c r="B26" s="31">
        <f>INVESTMENTS_SHARE</f>
        <v>0.85</v>
      </c>
      <c r="C26" s="27" t="s">
        <v>369</v>
      </c>
      <c r="D26" s="10" t="s">
        <v>431</v>
      </c>
    </row>
    <row r="27" spans="1:4" x14ac:dyDescent="0.25">
      <c r="A27" s="29" t="s">
        <v>432</v>
      </c>
      <c r="B27" s="31">
        <f>liabilityRatio</f>
        <v>0.7</v>
      </c>
      <c r="C27" s="27" t="s">
        <v>369</v>
      </c>
      <c r="D27" s="10" t="s">
        <v>433</v>
      </c>
    </row>
    <row r="28" spans="1:4" x14ac:dyDescent="0.25">
      <c r="A28" s="29" t="s">
        <v>434</v>
      </c>
      <c r="B28" s="30">
        <f>propertyLow</f>
        <v>350000</v>
      </c>
      <c r="C28" s="27" t="s">
        <v>369</v>
      </c>
      <c r="D28" s="10" t="s">
        <v>435</v>
      </c>
    </row>
    <row r="29" spans="1:4" x14ac:dyDescent="0.25">
      <c r="A29" s="29" t="s">
        <v>436</v>
      </c>
      <c r="B29" s="30">
        <f>propertyMid</f>
        <v>650000</v>
      </c>
      <c r="C29" s="27" t="s">
        <v>369</v>
      </c>
      <c r="D29" s="10" t="s">
        <v>437</v>
      </c>
    </row>
    <row r="30" spans="1:4" x14ac:dyDescent="0.25">
      <c r="A30" s="29" t="s">
        <v>438</v>
      </c>
      <c r="B30" s="30">
        <f>propertyHigh</f>
        <v>850000</v>
      </c>
      <c r="C30" s="27" t="s">
        <v>369</v>
      </c>
      <c r="D30" s="10" t="s">
        <v>439</v>
      </c>
    </row>
    <row r="31" spans="1:4" x14ac:dyDescent="0.25">
      <c r="A31" s="29" t="s">
        <v>440</v>
      </c>
      <c r="B31" s="30">
        <f>propertyIncomeLow</f>
        <v>10000</v>
      </c>
      <c r="C31" s="27" t="s">
        <v>369</v>
      </c>
      <c r="D31" s="10" t="s">
        <v>441</v>
      </c>
    </row>
    <row r="32" spans="1:4" x14ac:dyDescent="0.25">
      <c r="A32" s="29" t="s">
        <v>442</v>
      </c>
      <c r="B32" s="30">
        <f>propertyIncomeHigh</f>
        <v>20000</v>
      </c>
      <c r="C32" s="27" t="s">
        <v>369</v>
      </c>
      <c r="D32" s="10" t="s">
        <v>443</v>
      </c>
    </row>
    <row r="33" spans="1:4" x14ac:dyDescent="0.25">
      <c r="A33" s="29" t="s">
        <v>444</v>
      </c>
      <c r="B33" s="31">
        <f>PROPERTY_LTV</f>
        <v>0.55000000000000004</v>
      </c>
      <c r="C33" s="27" t="s">
        <v>369</v>
      </c>
      <c r="D33" s="10" t="s">
        <v>445</v>
      </c>
    </row>
    <row r="34" spans="1:4" x14ac:dyDescent="0.25">
      <c r="A34" s="29" t="s">
        <v>446</v>
      </c>
      <c r="B34" s="36">
        <f>lifePremiumRate</f>
        <v>3.0999999999999999E-3</v>
      </c>
      <c r="C34" s="27" t="s">
        <v>369</v>
      </c>
      <c r="D34" s="10" t="s">
        <v>447</v>
      </c>
    </row>
    <row r="35" spans="1:4" x14ac:dyDescent="0.25">
      <c r="A35" s="29" t="s">
        <v>448</v>
      </c>
      <c r="B35" s="30">
        <f>lifeRoundUnit</f>
        <v>100000</v>
      </c>
      <c r="C35" s="27" t="s">
        <v>369</v>
      </c>
      <c r="D35" s="10" t="s">
        <v>449</v>
      </c>
    </row>
    <row r="36" spans="1:4" x14ac:dyDescent="0.25">
      <c r="A36" s="29" t="s">
        <v>450</v>
      </c>
      <c r="B36" s="35">
        <f>lifeExpectancyDefault</f>
        <v>85</v>
      </c>
      <c r="C36" s="27" t="s">
        <v>369</v>
      </c>
      <c r="D36" s="10" t="s">
        <v>451</v>
      </c>
    </row>
    <row r="38" spans="1:4" x14ac:dyDescent="0.25">
      <c r="A38" s="64" t="s">
        <v>452</v>
      </c>
      <c r="B38" s="64"/>
      <c r="C38" s="64"/>
      <c r="D38" s="64"/>
    </row>
    <row r="39" spans="1:4" x14ac:dyDescent="0.25">
      <c r="A39" s="18" t="s">
        <v>453</v>
      </c>
      <c r="B39" s="21">
        <f>IFERROR(INDEX(Assumptions!$F$6:$F$13,MATCH(B9,Assumptions!$E$6:$E$13,0)),"")</f>
        <v>5600</v>
      </c>
      <c r="C39" s="19" t="s">
        <v>137</v>
      </c>
      <c r="D39" s="10" t="s">
        <v>454</v>
      </c>
    </row>
    <row r="40" spans="1:4" x14ac:dyDescent="0.25">
      <c r="A40" s="18" t="s">
        <v>455</v>
      </c>
      <c r="B40" s="21">
        <f>IFERROR(INDEX(Assumptions!$G$6:$G$13,MATCH(B9,Assumptions!$E$6:$E$13,0)),"")</f>
        <v>9800</v>
      </c>
      <c r="C40" s="19" t="s">
        <v>137</v>
      </c>
      <c r="D40" s="10" t="s">
        <v>456</v>
      </c>
    </row>
    <row r="41" spans="1:4" x14ac:dyDescent="0.25">
      <c r="A41" s="18" t="s">
        <v>457</v>
      </c>
      <c r="B41" s="20">
        <f>IF(OR(B39="",B14=0),B14,MIN(MAX(B14,B39),B40))</f>
        <v>6020</v>
      </c>
      <c r="C41" s="19" t="s">
        <v>137</v>
      </c>
      <c r="D41" s="10" t="s">
        <v>458</v>
      </c>
    </row>
    <row r="42" spans="1:4" x14ac:dyDescent="0.25">
      <c r="A42" s="9" t="s">
        <v>459</v>
      </c>
      <c r="B42" s="5" t="b">
        <f>CPF_on</f>
        <v>1</v>
      </c>
      <c r="C42" s="5" t="s">
        <v>95</v>
      </c>
      <c r="D42" s="10" t="s">
        <v>460</v>
      </c>
    </row>
    <row r="43" spans="1:4" x14ac:dyDescent="0.25">
      <c r="A43" s="18" t="s">
        <v>461</v>
      </c>
      <c r="B43" s="34">
        <f>CPF_rate</f>
        <v>0.2</v>
      </c>
      <c r="C43" s="19" t="s">
        <v>137</v>
      </c>
      <c r="D43" s="10" t="s">
        <v>395</v>
      </c>
    </row>
    <row r="44" spans="1:4" x14ac:dyDescent="0.25">
      <c r="A44" s="18" t="s">
        <v>396</v>
      </c>
      <c r="B44" s="21">
        <f>CPF_employee</f>
        <v>1204</v>
      </c>
      <c r="C44" s="19" t="s">
        <v>137</v>
      </c>
      <c r="D44" s="10" t="s">
        <v>462</v>
      </c>
    </row>
    <row r="45" spans="1:4" x14ac:dyDescent="0.25">
      <c r="A45" s="18" t="s">
        <v>141</v>
      </c>
      <c r="B45" s="20">
        <f>CPF_takeHome</f>
        <v>4816</v>
      </c>
      <c r="C45" s="19" t="s">
        <v>137</v>
      </c>
      <c r="D45" s="10" t="s">
        <v>398</v>
      </c>
    </row>
    <row r="46" spans="1:4" x14ac:dyDescent="0.25">
      <c r="A46" s="18" t="s">
        <v>463</v>
      </c>
      <c r="B46" s="34">
        <f>MIN(spendShareBase+spendSharePerDependant*MAX(0,B10),spendShareCap)</f>
        <v>0.67500000000000004</v>
      </c>
      <c r="C46" s="19" t="s">
        <v>137</v>
      </c>
      <c r="D46" s="10" t="s">
        <v>464</v>
      </c>
    </row>
    <row r="47" spans="1:4" x14ac:dyDescent="0.25">
      <c r="A47" s="18" t="s">
        <v>143</v>
      </c>
      <c r="B47" s="20">
        <f>IF(B45&lt;=0,0,ROUND(B45*B46,2))</f>
        <v>3250.8</v>
      </c>
      <c r="C47" s="19" t="s">
        <v>137</v>
      </c>
      <c r="D47" s="10" t="s">
        <v>465</v>
      </c>
    </row>
    <row r="48" spans="1:4" x14ac:dyDescent="0.25">
      <c r="A48" s="18" t="s">
        <v>466</v>
      </c>
      <c r="B48" s="20">
        <f>B45-B47</f>
        <v>1565.1999999999998</v>
      </c>
      <c r="C48" s="19" t="s">
        <v>137</v>
      </c>
      <c r="D48" s="10" t="s">
        <v>467</v>
      </c>
    </row>
    <row r="49" spans="1:4" x14ac:dyDescent="0.25">
      <c r="A49" s="18" t="s">
        <v>468</v>
      </c>
      <c r="B49" s="37">
        <f>MAX(0,B5-workStartAge)</f>
        <v>6</v>
      </c>
      <c r="C49" s="19" t="s">
        <v>137</v>
      </c>
      <c r="D49" s="10" t="s">
        <v>469</v>
      </c>
    </row>
    <row r="50" spans="1:4" x14ac:dyDescent="0.25">
      <c r="A50" s="18" t="s">
        <v>470</v>
      </c>
      <c r="B50" s="20">
        <f>IF(AND(B14&gt;0,B47&gt;0,B5&gt;workStartAge),MAX(0,B48*12*assetsSaveShare*B49),0)</f>
        <v>56347.199999999997</v>
      </c>
      <c r="C50" s="19" t="s">
        <v>137</v>
      </c>
      <c r="D50" s="10" t="s">
        <v>471</v>
      </c>
    </row>
    <row r="51" spans="1:4" x14ac:dyDescent="0.25">
      <c r="A51" s="18" t="s">
        <v>151</v>
      </c>
      <c r="B51" s="20">
        <f>B50*liabilityRatio</f>
        <v>39443.039999999994</v>
      </c>
      <c r="C51" s="19" t="s">
        <v>137</v>
      </c>
      <c r="D51" s="10" t="s">
        <v>472</v>
      </c>
    </row>
    <row r="52" spans="1:4" x14ac:dyDescent="0.25">
      <c r="A52" s="18" t="s">
        <v>473</v>
      </c>
      <c r="B52" s="21">
        <f>ROUND(B50*CASH_SAVINGS_SHARE,0)</f>
        <v>8452</v>
      </c>
      <c r="C52" s="19" t="s">
        <v>137</v>
      </c>
      <c r="D52" s="10" t="s">
        <v>474</v>
      </c>
    </row>
    <row r="53" spans="1:4" x14ac:dyDescent="0.25">
      <c r="A53" s="18" t="s">
        <v>475</v>
      </c>
      <c r="B53" s="21">
        <f>ROUND(B50*INVESTMENTS_SHARE,0)</f>
        <v>47895</v>
      </c>
      <c r="C53" s="19" t="s">
        <v>137</v>
      </c>
      <c r="D53" s="10" t="s">
        <v>476</v>
      </c>
    </row>
    <row r="54" spans="1:4" x14ac:dyDescent="0.25">
      <c r="A54" s="18" t="s">
        <v>148</v>
      </c>
      <c r="B54" s="21">
        <f>IF(B16=FALSE,0,IF(B14&lt;propertyIncomeLow,propertyLow,IF(B14&lt;=propertyIncomeHigh,propertyMid,propertyHigh)))</f>
        <v>0</v>
      </c>
      <c r="C54" s="19" t="s">
        <v>137</v>
      </c>
      <c r="D54" s="10" t="s">
        <v>477</v>
      </c>
    </row>
    <row r="55" spans="1:4" x14ac:dyDescent="0.25">
      <c r="A55" s="18" t="s">
        <v>150</v>
      </c>
      <c r="B55" s="21">
        <f>IF(B54=0,0,ROUND(B54*PROPERTY_LTV,0))</f>
        <v>0</v>
      </c>
      <c r="C55" s="19" t="s">
        <v>137</v>
      </c>
      <c r="D55" s="10" t="s">
        <v>478</v>
      </c>
    </row>
    <row r="56" spans="1:4" x14ac:dyDescent="0.25">
      <c r="A56" s="18" t="s">
        <v>153</v>
      </c>
      <c r="B56" s="21">
        <f>MAX(IF(B54&gt;0,INT((B55+lifeRoundUnit/2)/lifeRoundUnit)*lifeRoundUnit,0),IF(B10&gt;0,ROUND(B14*12*5,0),0))</f>
        <v>0</v>
      </c>
      <c r="C56" s="19" t="s">
        <v>137</v>
      </c>
      <c r="D56" s="10" t="s">
        <v>479</v>
      </c>
    </row>
    <row r="57" spans="1:4" x14ac:dyDescent="0.25">
      <c r="A57" s="18" t="s">
        <v>480</v>
      </c>
      <c r="B57" s="21">
        <f>IF(B56&lt;=0,0,MAX(0,ROUND(B56*lifePremiumRate,0)))</f>
        <v>0</v>
      </c>
      <c r="C57" s="19" t="s">
        <v>137</v>
      </c>
      <c r="D57" s="10" t="s">
        <v>481</v>
      </c>
    </row>
    <row r="58" spans="1:4" x14ac:dyDescent="0.25">
      <c r="A58" s="18" t="s">
        <v>482</v>
      </c>
      <c r="B58" s="37">
        <f>IF(AND(B17&gt;=70,B17&lt;=120),B17,lifeExpectancyDefault)</f>
        <v>81</v>
      </c>
      <c r="C58" s="19" t="s">
        <v>137</v>
      </c>
      <c r="D58" s="10" t="s">
        <v>483</v>
      </c>
    </row>
    <row r="59" spans="1:4" x14ac:dyDescent="0.25">
      <c r="A59" s="18" t="s">
        <v>484</v>
      </c>
      <c r="B59" s="19" t="str">
        <f>IF(IFERROR(INDEX(Personas!I$3:I$52,MATCH($B$2,Personas!$A$3:$A$52,0)),"")&lt;&gt;"",LOWER(IFERROR(INDEX(Personas!I$3:I$52,MATCH($B$2,Personas!$A$3:$A$52,0)),"")),IF(B5&lt;30,"single","married"))</f>
        <v>single</v>
      </c>
      <c r="C59" s="19" t="s">
        <v>137</v>
      </c>
      <c r="D59" s="10" t="s">
        <v>485</v>
      </c>
    </row>
    <row r="61" spans="1:4" x14ac:dyDescent="0.25">
      <c r="A61" s="66" t="s">
        <v>486</v>
      </c>
      <c r="B61" s="66"/>
      <c r="C61" s="66"/>
      <c r="D61" s="66"/>
    </row>
    <row r="62" spans="1:4" x14ac:dyDescent="0.25">
      <c r="A62" s="32" t="s">
        <v>487</v>
      </c>
      <c r="B62" s="24">
        <f>IFERROR(INDEX(Personas!W$3:W$52,MATCH($B$2,Personas!$A$3:$A$52,0)),"")</f>
        <v>3250.8</v>
      </c>
      <c r="C62" s="33" t="s">
        <v>387</v>
      </c>
      <c r="D62" s="10" t="s">
        <v>488</v>
      </c>
    </row>
    <row r="63" spans="1:4" x14ac:dyDescent="0.25">
      <c r="A63" s="32" t="s">
        <v>489</v>
      </c>
      <c r="B63" s="25">
        <f>IFERROR(INDEX(Personas!X$3:X$52,MATCH($B$2,Personas!$A$3:$A$52,0)),"")</f>
        <v>8452</v>
      </c>
      <c r="C63" s="33" t="s">
        <v>387</v>
      </c>
      <c r="D63" s="10" t="s">
        <v>490</v>
      </c>
    </row>
    <row r="64" spans="1:4" x14ac:dyDescent="0.25">
      <c r="A64" s="32" t="s">
        <v>491</v>
      </c>
      <c r="B64" s="25">
        <f>IFERROR(INDEX(Personas!Y$3:Y$52,MATCH($B$2,Personas!$A$3:$A$52,0)),"")</f>
        <v>47895</v>
      </c>
      <c r="C64" s="33" t="s">
        <v>387</v>
      </c>
      <c r="D64" s="10" t="s">
        <v>492</v>
      </c>
    </row>
    <row r="65" spans="1:4" x14ac:dyDescent="0.25">
      <c r="A65" s="32" t="s">
        <v>493</v>
      </c>
      <c r="B65" s="25">
        <f>IFERROR(INDEX(Personas!Z$3:Z$52,MATCH($B$2,Personas!$A$3:$A$52,0)),"")</f>
        <v>0</v>
      </c>
      <c r="C65" s="33" t="s">
        <v>387</v>
      </c>
      <c r="D65" s="10" t="s">
        <v>494</v>
      </c>
    </row>
    <row r="66" spans="1:4" x14ac:dyDescent="0.25">
      <c r="A66" s="32" t="s">
        <v>495</v>
      </c>
      <c r="B66" s="25">
        <f>IFERROR(INDEX(Personas!AA$3:AA$52,MATCH($B$2,Personas!$A$3:$A$52,0)),"")</f>
        <v>0</v>
      </c>
      <c r="C66" s="33" t="s">
        <v>387</v>
      </c>
      <c r="D66" s="10" t="s">
        <v>496</v>
      </c>
    </row>
    <row r="67" spans="1:4" x14ac:dyDescent="0.25">
      <c r="A67" s="32" t="s">
        <v>497</v>
      </c>
      <c r="B67" s="24">
        <f>IFERROR(INDEX(Personas!AB$3:AB$52,MATCH($B$2,Personas!$A$3:$A$52,0)),"")</f>
        <v>39443.039999999994</v>
      </c>
      <c r="C67" s="33" t="s">
        <v>387</v>
      </c>
      <c r="D67" s="10" t="s">
        <v>498</v>
      </c>
    </row>
    <row r="68" spans="1:4" x14ac:dyDescent="0.25">
      <c r="A68" s="32" t="s">
        <v>499</v>
      </c>
      <c r="B68" s="25">
        <f>IFERROR(INDEX(Personas!AC$3:AC$52,MATCH($B$2,Personas!$A$3:$A$52,0)),"")</f>
        <v>0</v>
      </c>
      <c r="C68" s="33" t="s">
        <v>387</v>
      </c>
      <c r="D68" s="10" t="s">
        <v>500</v>
      </c>
    </row>
    <row r="70" spans="1:4" x14ac:dyDescent="0.25">
      <c r="A70" s="64" t="s">
        <v>501</v>
      </c>
      <c r="B70" s="64"/>
      <c r="C70" s="64"/>
      <c r="D70" s="64"/>
    </row>
    <row r="71" spans="1:4" x14ac:dyDescent="0.25">
      <c r="A71" s="18" t="s">
        <v>139</v>
      </c>
      <c r="B71" s="20">
        <f>B14</f>
        <v>6020</v>
      </c>
      <c r="C71" s="19" t="s">
        <v>137</v>
      </c>
      <c r="D71" s="10" t="s">
        <v>502</v>
      </c>
    </row>
    <row r="72" spans="1:4" x14ac:dyDescent="0.25">
      <c r="A72" s="18" t="s">
        <v>143</v>
      </c>
      <c r="B72" s="20">
        <f>IF(IFERROR(INDEX(Personas!W$3:W$52,MATCH($B$2,Personas!$A$3:$A$52,0)),"")="",B47,IFERROR(INDEX(Personas!W$3:W$52,MATCH($B$2,Personas!$A$3:$A$52,0)),""))</f>
        <v>3250.8</v>
      </c>
      <c r="C72" s="19" t="s">
        <v>137</v>
      </c>
      <c r="D72" s="10"/>
    </row>
    <row r="73" spans="1:4" x14ac:dyDescent="0.25">
      <c r="A73" s="18" t="s">
        <v>141</v>
      </c>
      <c r="B73" s="20">
        <f>B45</f>
        <v>4816</v>
      </c>
      <c r="C73" s="19" t="s">
        <v>137</v>
      </c>
      <c r="D73" s="10" t="s">
        <v>503</v>
      </c>
    </row>
    <row r="74" spans="1:4" x14ac:dyDescent="0.25">
      <c r="A74" s="18" t="s">
        <v>466</v>
      </c>
      <c r="B74" s="20">
        <f>B73-B72</f>
        <v>1565.1999999999998</v>
      </c>
      <c r="C74" s="19" t="s">
        <v>137</v>
      </c>
      <c r="D74" s="10"/>
    </row>
    <row r="75" spans="1:4" x14ac:dyDescent="0.25">
      <c r="A75" s="18" t="s">
        <v>145</v>
      </c>
      <c r="B75" s="21">
        <f>IF(IFERROR(INDEX(Personas!X$3:X$52,MATCH($B$2,Personas!$A$3:$A$52,0)),"")="",B52,IFERROR(INDEX(Personas!X$3:X$52,MATCH($B$2,Personas!$A$3:$A$52,0)),""))</f>
        <v>8452</v>
      </c>
      <c r="C75" s="19" t="s">
        <v>137</v>
      </c>
      <c r="D75" s="10"/>
    </row>
    <row r="76" spans="1:4" x14ac:dyDescent="0.25">
      <c r="A76" s="18" t="s">
        <v>147</v>
      </c>
      <c r="B76" s="21">
        <f>IF(IFERROR(INDEX(Personas!Y$3:Y$52,MATCH($B$2,Personas!$A$3:$A$52,0)),"")="",B53,IFERROR(INDEX(Personas!Y$3:Y$52,MATCH($B$2,Personas!$A$3:$A$52,0)),""))</f>
        <v>47895</v>
      </c>
      <c r="C76" s="19" t="s">
        <v>137</v>
      </c>
      <c r="D76" s="10"/>
    </row>
    <row r="77" spans="1:4" x14ac:dyDescent="0.25">
      <c r="A77" s="18" t="s">
        <v>470</v>
      </c>
      <c r="B77" s="21">
        <f>B75+B76</f>
        <v>56347</v>
      </c>
      <c r="C77" s="19" t="s">
        <v>137</v>
      </c>
      <c r="D77" s="10" t="s">
        <v>504</v>
      </c>
    </row>
    <row r="78" spans="1:4" x14ac:dyDescent="0.25">
      <c r="A78" s="18" t="s">
        <v>148</v>
      </c>
      <c r="B78" s="21">
        <f>IF(IFERROR(INDEX(Personas!Z$3:Z$52,MATCH($B$2,Personas!$A$3:$A$52,0)),"")="",B54,IFERROR(INDEX(Personas!Z$3:Z$52,MATCH($B$2,Personas!$A$3:$A$52,0)),""))</f>
        <v>0</v>
      </c>
      <c r="C78" s="19" t="s">
        <v>137</v>
      </c>
      <c r="D78" s="10"/>
    </row>
    <row r="79" spans="1:4" x14ac:dyDescent="0.25">
      <c r="A79" s="18" t="s">
        <v>150</v>
      </c>
      <c r="B79" s="21">
        <f>IF(IFERROR(INDEX(Personas!AA$3:AA$52,MATCH($B$2,Personas!$A$3:$A$52,0)),"")="",B55,IFERROR(INDEX(Personas!AA$3:AA$52,MATCH($B$2,Personas!$A$3:$A$52,0)),""))</f>
        <v>0</v>
      </c>
      <c r="C79" s="19" t="s">
        <v>137</v>
      </c>
      <c r="D79" s="10"/>
    </row>
    <row r="80" spans="1:4" x14ac:dyDescent="0.25">
      <c r="A80" s="18" t="s">
        <v>151</v>
      </c>
      <c r="B80" s="20">
        <f>IF(IFERROR(INDEX(Personas!AB$3:AB$52,MATCH($B$2,Personas!$A$3:$A$52,0)),"")="",B51,IFERROR(INDEX(Personas!AB$3:AB$52,MATCH($B$2,Personas!$A$3:$A$52,0)),""))</f>
        <v>39443.039999999994</v>
      </c>
      <c r="C80" s="19" t="s">
        <v>137</v>
      </c>
      <c r="D80" s="10"/>
    </row>
    <row r="81" spans="1:4" x14ac:dyDescent="0.25">
      <c r="A81" s="18" t="s">
        <v>153</v>
      </c>
      <c r="B81" s="21">
        <f>IF(IFERROR(INDEX(Personas!AC$3:AC$52,MATCH($B$2,Personas!$A$3:$A$52,0)),"")="",B56,IFERROR(INDEX(Personas!AC$3:AC$52,MATCH($B$2,Personas!$A$3:$A$52,0)),""))</f>
        <v>0</v>
      </c>
      <c r="C81" s="19" t="s">
        <v>137</v>
      </c>
      <c r="D81" s="10"/>
    </row>
    <row r="82" spans="1:4" x14ac:dyDescent="0.25">
      <c r="A82" s="18" t="s">
        <v>480</v>
      </c>
      <c r="B82" s="21">
        <f>IF(B81&lt;=0,0,MAX(0,ROUND(B81*lifePremiumRate,0)))</f>
        <v>0</v>
      </c>
      <c r="C82" s="19" t="s">
        <v>137</v>
      </c>
      <c r="D82" s="10" t="s">
        <v>505</v>
      </c>
    </row>
    <row r="83" spans="1:4" x14ac:dyDescent="0.25">
      <c r="A83" s="14" t="s">
        <v>119</v>
      </c>
      <c r="B83" s="16" t="str">
        <f>IFERROR(INDEX(Personas!K$3:K$52,MATCH($B$2,Personas!$A$3:$A$52,0)),"")</f>
        <v>SGD</v>
      </c>
      <c r="C83" s="16" t="s">
        <v>117</v>
      </c>
      <c r="D83" s="10" t="s">
        <v>506</v>
      </c>
    </row>
  </sheetData>
  <mergeCells count="7">
    <mergeCell ref="A1:D1"/>
    <mergeCell ref="A70:D70"/>
    <mergeCell ref="A61:D61"/>
    <mergeCell ref="A4:D4"/>
    <mergeCell ref="A38:D38"/>
    <mergeCell ref="A19:D19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3FA0"/>
  </sheetPr>
  <dimension ref="A1:F10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6" customWidth="1"/>
    <col min="2" max="2" width="22" customWidth="1"/>
    <col min="3" max="3" width="34" customWidth="1"/>
    <col min="4" max="4" width="78" customWidth="1"/>
    <col min="5" max="5" width="12" customWidth="1"/>
    <col min="6" max="6" width="42" customWidth="1"/>
  </cols>
  <sheetData>
    <row r="1" spans="1:6" ht="27.95" customHeight="1" x14ac:dyDescent="0.25">
      <c r="A1" s="61" t="s">
        <v>507</v>
      </c>
      <c r="B1" s="58"/>
      <c r="C1" s="58"/>
      <c r="D1" s="58"/>
    </row>
    <row r="2" spans="1:6" x14ac:dyDescent="0.25">
      <c r="A2" s="4" t="s">
        <v>83</v>
      </c>
      <c r="B2" s="5" t="str">
        <f>SelectedPersona</f>
        <v>P02</v>
      </c>
      <c r="C2" s="6" t="str">
        <f>IFERROR(INDEX(Personas!B$3:B$52,MATCH($B$2,Personas!$A$3:$A$52,0)),"")</f>
        <v>Wei Ling Tan</v>
      </c>
      <c r="D2" s="1" t="s">
        <v>352</v>
      </c>
      <c r="F2" s="4" t="s">
        <v>86</v>
      </c>
    </row>
    <row r="3" spans="1:6" x14ac:dyDescent="0.25">
      <c r="A3" s="2" t="s">
        <v>87</v>
      </c>
      <c r="B3" s="2" t="s">
        <v>88</v>
      </c>
      <c r="C3" s="2" t="s">
        <v>89</v>
      </c>
      <c r="D3" s="2" t="s">
        <v>90</v>
      </c>
      <c r="F3" s="7" t="s">
        <v>91</v>
      </c>
    </row>
    <row r="4" spans="1:6" x14ac:dyDescent="0.25">
      <c r="A4" s="63" t="s">
        <v>508</v>
      </c>
      <c r="B4" s="63"/>
      <c r="C4" s="63"/>
      <c r="D4" s="63"/>
      <c r="F4" s="8" t="s">
        <v>93</v>
      </c>
    </row>
    <row r="5" spans="1:6" x14ac:dyDescent="0.25">
      <c r="A5" s="9" t="s">
        <v>98</v>
      </c>
      <c r="B5" s="12">
        <f>IFERROR(INDEX(Personas!C$3:C$52,MATCH($B$2,Personas!$A$3:$A$52,0)),"")</f>
        <v>27</v>
      </c>
      <c r="C5" s="5" t="s">
        <v>95</v>
      </c>
      <c r="D5" s="10" t="s">
        <v>509</v>
      </c>
      <c r="F5" s="11" t="s">
        <v>97</v>
      </c>
    </row>
    <row r="6" spans="1:6" x14ac:dyDescent="0.25">
      <c r="A6" s="9" t="s">
        <v>101</v>
      </c>
      <c r="B6" s="5" t="str">
        <f>IFERROR(INDEX(Personas!D$3:D$52,MATCH($B$2,Personas!$A$3:$A$52,0)),"")</f>
        <v>Male</v>
      </c>
      <c r="C6" s="5" t="s">
        <v>95</v>
      </c>
      <c r="D6" s="10" t="s">
        <v>510</v>
      </c>
      <c r="F6" s="13" t="s">
        <v>100</v>
      </c>
    </row>
    <row r="7" spans="1:6" x14ac:dyDescent="0.25">
      <c r="A7" s="9" t="s">
        <v>109</v>
      </c>
      <c r="B7" s="12">
        <f>IFERROR(INDEX(Personas!H$3:H$52,MATCH($B$2,Personas!$A$3:$A$52,0)),"")</f>
        <v>0</v>
      </c>
      <c r="C7" s="5" t="s">
        <v>95</v>
      </c>
      <c r="D7" s="10" t="s">
        <v>511</v>
      </c>
    </row>
    <row r="8" spans="1:6" x14ac:dyDescent="0.25">
      <c r="A8" s="9" t="s">
        <v>107</v>
      </c>
      <c r="B8" s="5" t="str">
        <f>IFERROR(INDEX(Personas!G$3:G$52,MATCH($B$2,Personas!$A$3:$A$52,0)),"")</f>
        <v>Teacher</v>
      </c>
      <c r="C8" s="5" t="s">
        <v>95</v>
      </c>
      <c r="D8" s="10" t="s">
        <v>512</v>
      </c>
    </row>
    <row r="9" spans="1:6" x14ac:dyDescent="0.25">
      <c r="A9" s="9" t="s">
        <v>513</v>
      </c>
      <c r="B9" s="28">
        <f>PLU_incomeMonthly</f>
        <v>6020</v>
      </c>
      <c r="C9" s="5" t="s">
        <v>95</v>
      </c>
      <c r="D9" s="10" t="s">
        <v>514</v>
      </c>
    </row>
    <row r="10" spans="1:6" x14ac:dyDescent="0.25">
      <c r="A10" s="9" t="s">
        <v>515</v>
      </c>
      <c r="B10" s="28">
        <f>PLU_expenseMonthly</f>
        <v>3250.8</v>
      </c>
      <c r="C10" s="5" t="s">
        <v>95</v>
      </c>
      <c r="D10" s="10" t="s">
        <v>516</v>
      </c>
    </row>
    <row r="11" spans="1:6" x14ac:dyDescent="0.25">
      <c r="A11" s="9" t="s">
        <v>517</v>
      </c>
      <c r="B11" s="38">
        <f>PLU_cash+PLU_investments</f>
        <v>56347</v>
      </c>
      <c r="C11" s="5" t="s">
        <v>95</v>
      </c>
      <c r="D11" s="10" t="s">
        <v>504</v>
      </c>
    </row>
    <row r="12" spans="1:6" x14ac:dyDescent="0.25">
      <c r="A12" s="9" t="s">
        <v>518</v>
      </c>
      <c r="B12" s="28">
        <f>PLU_liabilities</f>
        <v>39443.039999999994</v>
      </c>
      <c r="C12" s="5" t="s">
        <v>95</v>
      </c>
      <c r="D12" s="10" t="s">
        <v>152</v>
      </c>
    </row>
    <row r="14" spans="1:6" x14ac:dyDescent="0.25">
      <c r="A14" s="65" t="s">
        <v>519</v>
      </c>
      <c r="B14" s="65"/>
      <c r="C14" s="65"/>
      <c r="D14" s="65"/>
    </row>
    <row r="15" spans="1:6" x14ac:dyDescent="0.25">
      <c r="A15" s="14" t="s">
        <v>169</v>
      </c>
      <c r="B15" s="16" t="b">
        <f>IFERROR(INDEX(Personas!U$3:U$52,MATCH($B$2,Personas!$A$3:$A$52,0)),"")</f>
        <v>0</v>
      </c>
      <c r="C15" s="16" t="s">
        <v>117</v>
      </c>
      <c r="D15" s="10" t="s">
        <v>520</v>
      </c>
    </row>
    <row r="16" spans="1:6" x14ac:dyDescent="0.25">
      <c r="A16" s="14" t="s">
        <v>165</v>
      </c>
      <c r="B16" s="16" t="str">
        <f>IFERROR(INDEX(Personas!Q$3:Q$52,MATCH($B$2,Personas!$A$3:$A$52,0)),"")</f>
        <v>Private</v>
      </c>
      <c r="C16" s="16" t="s">
        <v>117</v>
      </c>
      <c r="D16" s="10" t="s">
        <v>521</v>
      </c>
    </row>
    <row r="17" spans="1:4" x14ac:dyDescent="0.25">
      <c r="A17" s="14" t="s">
        <v>164</v>
      </c>
      <c r="B17" s="16" t="str">
        <f>IFERROR(INDEX(Personas!P$3:P$52,MATCH($B$2,Personas!$A$3:$A$52,0)),"")</f>
        <v>Double</v>
      </c>
      <c r="C17" s="16" t="s">
        <v>117</v>
      </c>
      <c r="D17" s="10" t="s">
        <v>522</v>
      </c>
    </row>
    <row r="18" spans="1:4" x14ac:dyDescent="0.25">
      <c r="A18" s="14" t="s">
        <v>168</v>
      </c>
      <c r="B18" s="16" t="str">
        <f>IFERROR(INDEX(Personas!T$3:T$52,MATCH($B$2,Personas!$A$3:$A$52,0)),"")</f>
        <v>Comfortable</v>
      </c>
      <c r="C18" s="16" t="s">
        <v>117</v>
      </c>
      <c r="D18" s="10" t="s">
        <v>523</v>
      </c>
    </row>
    <row r="19" spans="1:4" x14ac:dyDescent="0.25">
      <c r="A19" s="14" t="s">
        <v>167</v>
      </c>
      <c r="B19" s="16" t="str">
        <f>IFERROR(INDEX(Personas!S$3:S$52,MATCH($B$2,Personas!$A$3:$A$52,0)),"")</f>
        <v>Running</v>
      </c>
      <c r="C19" s="16" t="s">
        <v>117</v>
      </c>
      <c r="D19" s="10" t="s">
        <v>524</v>
      </c>
    </row>
    <row r="20" spans="1:4" x14ac:dyDescent="0.25">
      <c r="A20" s="14" t="s">
        <v>413</v>
      </c>
      <c r="B20" s="16" t="b">
        <f>IFERROR(INDEX(Personas!N$3:N$52,MATCH($B$2,Personas!$A$3:$A$52,0)),"")</f>
        <v>0</v>
      </c>
      <c r="C20" s="16" t="s">
        <v>117</v>
      </c>
      <c r="D20" s="10" t="s">
        <v>525</v>
      </c>
    </row>
    <row r="22" spans="1:4" x14ac:dyDescent="0.25">
      <c r="A22" s="67" t="s">
        <v>526</v>
      </c>
      <c r="B22" s="67"/>
      <c r="C22" s="67"/>
      <c r="D22" s="67"/>
    </row>
    <row r="23" spans="1:4" x14ac:dyDescent="0.25">
      <c r="A23" s="29" t="s">
        <v>527</v>
      </c>
      <c r="B23" s="27">
        <v>0</v>
      </c>
      <c r="C23" s="27" t="s">
        <v>369</v>
      </c>
      <c r="D23" s="10" t="s">
        <v>528</v>
      </c>
    </row>
    <row r="24" spans="1:4" x14ac:dyDescent="0.25">
      <c r="A24" s="29" t="s">
        <v>529</v>
      </c>
      <c r="B24" s="27">
        <v>0</v>
      </c>
      <c r="C24" s="27" t="s">
        <v>369</v>
      </c>
      <c r="D24" s="10" t="s">
        <v>530</v>
      </c>
    </row>
    <row r="25" spans="1:4" x14ac:dyDescent="0.25">
      <c r="A25" s="29" t="s">
        <v>531</v>
      </c>
      <c r="B25" s="39">
        <v>0.75</v>
      </c>
      <c r="C25" s="27" t="s">
        <v>369</v>
      </c>
      <c r="D25" s="10" t="s">
        <v>532</v>
      </c>
    </row>
    <row r="26" spans="1:4" x14ac:dyDescent="0.25">
      <c r="A26" s="29" t="s">
        <v>533</v>
      </c>
      <c r="B26" s="27" t="s">
        <v>534</v>
      </c>
      <c r="C26" s="27" t="s">
        <v>369</v>
      </c>
      <c r="D26" s="10" t="s">
        <v>535</v>
      </c>
    </row>
    <row r="27" spans="1:4" x14ac:dyDescent="0.25">
      <c r="A27" s="29" t="s">
        <v>536</v>
      </c>
      <c r="B27" s="27" t="s">
        <v>537</v>
      </c>
      <c r="C27" s="27" t="s">
        <v>369</v>
      </c>
      <c r="D27" s="10" t="s">
        <v>538</v>
      </c>
    </row>
    <row r="29" spans="1:4" x14ac:dyDescent="0.25">
      <c r="A29" s="64" t="s">
        <v>539</v>
      </c>
      <c r="B29" s="64"/>
      <c r="C29" s="64"/>
      <c r="D29" s="64"/>
    </row>
    <row r="30" spans="1:4" x14ac:dyDescent="0.25">
      <c r="A30" s="18" t="s">
        <v>540</v>
      </c>
      <c r="B30" s="40">
        <f>PLU_incomeMonthly*0.75</f>
        <v>4515</v>
      </c>
      <c r="C30" s="19" t="s">
        <v>137</v>
      </c>
      <c r="D30" s="10" t="s">
        <v>541</v>
      </c>
    </row>
    <row r="31" spans="1:4" x14ac:dyDescent="0.25">
      <c r="A31" s="18" t="s">
        <v>542</v>
      </c>
      <c r="B31" s="40">
        <f>PLU_expenseMonthly*0.75</f>
        <v>2438.1000000000004</v>
      </c>
      <c r="C31" s="19" t="s">
        <v>137</v>
      </c>
      <c r="D31" s="10" t="s">
        <v>543</v>
      </c>
    </row>
    <row r="32" spans="1:4" x14ac:dyDescent="0.25">
      <c r="A32" s="18" t="s">
        <v>544</v>
      </c>
      <c r="B32" s="40">
        <f>(PLU_cash+PLU_investments)*0.75</f>
        <v>42260.25</v>
      </c>
      <c r="C32" s="19" t="s">
        <v>137</v>
      </c>
      <c r="D32" s="10" t="s">
        <v>545</v>
      </c>
    </row>
    <row r="33" spans="1:4" x14ac:dyDescent="0.25">
      <c r="A33" s="18" t="s">
        <v>546</v>
      </c>
      <c r="B33" s="40">
        <f>PLU_liabilities*0.75</f>
        <v>29582.279999999995</v>
      </c>
      <c r="C33" s="19" t="s">
        <v>137</v>
      </c>
      <c r="D33" s="10" t="s">
        <v>547</v>
      </c>
    </row>
    <row r="34" spans="1:4" x14ac:dyDescent="0.25">
      <c r="A34" s="18" t="s">
        <v>548</v>
      </c>
      <c r="B34" s="37">
        <f>IF(B5&lt;21,1,IF(B5&lt;=30,2,IF(B5&lt;=40,3,4)))</f>
        <v>2</v>
      </c>
      <c r="C34" s="19" t="s">
        <v>137</v>
      </c>
      <c r="D34" s="10" t="s">
        <v>549</v>
      </c>
    </row>
    <row r="35" spans="1:4" x14ac:dyDescent="0.25">
      <c r="A35" s="18" t="s">
        <v>550</v>
      </c>
      <c r="B35" s="37">
        <f>IF(LOWER(B6)="male",3,IF(LOWER(B6)="female",2,0))</f>
        <v>3</v>
      </c>
      <c r="C35" s="19" t="s">
        <v>137</v>
      </c>
      <c r="D35" s="10" t="s">
        <v>551</v>
      </c>
    </row>
    <row r="36" spans="1:4" x14ac:dyDescent="0.25">
      <c r="A36" s="18" t="s">
        <v>552</v>
      </c>
      <c r="B36" s="37">
        <f>IF(B7=0,0,IF(B7=1,2,4))</f>
        <v>0</v>
      </c>
      <c r="C36" s="19" t="s">
        <v>137</v>
      </c>
      <c r="D36" s="10" t="s">
        <v>553</v>
      </c>
    </row>
    <row r="37" spans="1:4" x14ac:dyDescent="0.25">
      <c r="A37" s="18" t="s">
        <v>554</v>
      </c>
      <c r="B37" s="37">
        <f>IF(OR(ISNUMBER(SEARCH("self",B8)),ISNUMBER(SEARCH("entrepreneur",B8)),ISNUMBER(SEARCH("own business",B8)),ISNUMBER(SEARCH("freelance",B8))),2,1)</f>
        <v>1</v>
      </c>
      <c r="C37" s="19" t="s">
        <v>137</v>
      </c>
      <c r="D37" s="10" t="s">
        <v>555</v>
      </c>
    </row>
    <row r="38" spans="1:4" x14ac:dyDescent="0.25">
      <c r="A38" s="18" t="s">
        <v>556</v>
      </c>
      <c r="B38" s="37">
        <f>IF(B15=TRUE,3,1)</f>
        <v>1</v>
      </c>
      <c r="C38" s="19" t="s">
        <v>137</v>
      </c>
      <c r="D38" s="10" t="s">
        <v>557</v>
      </c>
    </row>
    <row r="39" spans="1:4" x14ac:dyDescent="0.25">
      <c r="A39" s="18" t="s">
        <v>558</v>
      </c>
      <c r="B39" s="37">
        <f>IF(B30&lt;108,4,IF(B30&lt;243,3,IF(B30&lt;1081,2,IF(B30&lt;2703,1,0))))</f>
        <v>0</v>
      </c>
      <c r="C39" s="19" t="s">
        <v>137</v>
      </c>
      <c r="D39" s="10" t="s">
        <v>559</v>
      </c>
    </row>
    <row r="40" spans="1:4" x14ac:dyDescent="0.25">
      <c r="A40" s="18" t="s">
        <v>560</v>
      </c>
      <c r="B40" s="37">
        <f>IF(B31&lt;68,4,IF(B31&lt;135,3,IF(B31&lt;541,2,IF(B31&lt;1351,1,0))))</f>
        <v>0</v>
      </c>
      <c r="C40" s="19" t="s">
        <v>137</v>
      </c>
      <c r="D40" s="10" t="s">
        <v>561</v>
      </c>
    </row>
    <row r="41" spans="1:4" x14ac:dyDescent="0.25">
      <c r="A41" s="18" t="s">
        <v>562</v>
      </c>
      <c r="B41" s="37">
        <f>IF(B32&lt;541,4,IF(B32&lt;1351,3,IF(B32&lt;5405,2,IF(B32&lt;27027,1,0))))</f>
        <v>0</v>
      </c>
      <c r="C41" s="19" t="s">
        <v>137</v>
      </c>
      <c r="D41" s="10" t="s">
        <v>504</v>
      </c>
    </row>
    <row r="42" spans="1:4" x14ac:dyDescent="0.25">
      <c r="A42" s="18" t="s">
        <v>563</v>
      </c>
      <c r="B42" s="37">
        <f>IF(B33&lt;270,4,IF(B33&lt;541,3,IF(B33&lt;1351,2,IF(B33&lt;5405,1,0))))</f>
        <v>0</v>
      </c>
      <c r="C42" s="19" t="s">
        <v>137</v>
      </c>
      <c r="D42" s="10" t="s">
        <v>564</v>
      </c>
    </row>
    <row r="43" spans="1:4" x14ac:dyDescent="0.25">
      <c r="A43" s="18" t="s">
        <v>565</v>
      </c>
      <c r="B43" s="37">
        <v>1</v>
      </c>
      <c r="C43" s="19" t="s">
        <v>137</v>
      </c>
      <c r="D43" s="10" t="s">
        <v>566</v>
      </c>
    </row>
    <row r="44" spans="1:4" x14ac:dyDescent="0.25">
      <c r="A44" s="18" t="s">
        <v>567</v>
      </c>
      <c r="B44" s="37">
        <v>1</v>
      </c>
      <c r="C44" s="19" t="s">
        <v>137</v>
      </c>
      <c r="D44" s="10" t="s">
        <v>568</v>
      </c>
    </row>
    <row r="45" spans="1:4" x14ac:dyDescent="0.25">
      <c r="A45" s="18" t="s">
        <v>569</v>
      </c>
      <c r="B45" s="37">
        <f>IF(LOWER(B16)="private",4,IF(LOWER(B16)="public",2,0))</f>
        <v>4</v>
      </c>
      <c r="C45" s="19" t="s">
        <v>137</v>
      </c>
      <c r="D45" s="10" t="s">
        <v>570</v>
      </c>
    </row>
    <row r="46" spans="1:4" x14ac:dyDescent="0.25">
      <c r="A46" s="18" t="s">
        <v>571</v>
      </c>
      <c r="B46" s="37">
        <f>IF(UPPER(B17)="A",3,IF(UPPER(B17)="B",2,0))</f>
        <v>0</v>
      </c>
      <c r="C46" s="19" t="s">
        <v>137</v>
      </c>
      <c r="D46" s="10" t="s">
        <v>572</v>
      </c>
    </row>
    <row r="47" spans="1:4" x14ac:dyDescent="0.25">
      <c r="A47" s="18" t="s">
        <v>573</v>
      </c>
      <c r="B47" s="37">
        <f>IF(LOWER(B18)="frugal",1,IF(OR(LOWER(B18)="stress-free",LOWER(B18)="stress free"),2,IF(LOWER(B18)="only the best",4,0)))</f>
        <v>0</v>
      </c>
      <c r="C47" s="19" t="s">
        <v>137</v>
      </c>
      <c r="D47" s="10" t="s">
        <v>574</v>
      </c>
    </row>
    <row r="48" spans="1:4" x14ac:dyDescent="0.25">
      <c r="A48" s="18" t="s">
        <v>575</v>
      </c>
      <c r="B48" s="37">
        <f>IF(ISNUMBER(SEARCH("adventurous",B19)),4,IF(ISNUMBER(SEARCH("dont do sports",B19)),0,IF(ISNUMBER(SEARCH("life style",B19)),1,0)))</f>
        <v>0</v>
      </c>
      <c r="C48" s="19" t="s">
        <v>137</v>
      </c>
      <c r="D48" s="10" t="s">
        <v>576</v>
      </c>
    </row>
    <row r="50" spans="1:4" x14ac:dyDescent="0.25">
      <c r="A50" s="64" t="s">
        <v>577</v>
      </c>
      <c r="B50" s="64"/>
      <c r="C50" s="64"/>
      <c r="D50" s="64"/>
    </row>
    <row r="51" spans="1:4" x14ac:dyDescent="0.25">
      <c r="A51" s="18" t="s">
        <v>578</v>
      </c>
      <c r="B51" s="40">
        <f>ROUND(SUMPRODUCT($B$34:$B$48,Assumptions!B$90:B$104),2)</f>
        <v>19</v>
      </c>
      <c r="C51" s="19" t="s">
        <v>137</v>
      </c>
      <c r="D51" s="10" t="s">
        <v>579</v>
      </c>
    </row>
    <row r="52" spans="1:4" x14ac:dyDescent="0.25">
      <c r="A52" s="18" t="s">
        <v>580</v>
      </c>
      <c r="B52" s="40">
        <f>ROUND(SUMPRODUCT($B$34:$B$48,Assumptions!C$90:C$104),2)</f>
        <v>23</v>
      </c>
      <c r="C52" s="19" t="s">
        <v>137</v>
      </c>
      <c r="D52" s="10" t="s">
        <v>581</v>
      </c>
    </row>
    <row r="53" spans="1:4" x14ac:dyDescent="0.25">
      <c r="A53" s="18" t="s">
        <v>582</v>
      </c>
      <c r="B53" s="40">
        <f>ROUND(SUMPRODUCT($B$34:$B$48,Assumptions!D$90:D$104),2)</f>
        <v>14</v>
      </c>
      <c r="C53" s="19" t="s">
        <v>137</v>
      </c>
      <c r="D53" s="10" t="s">
        <v>583</v>
      </c>
    </row>
    <row r="54" spans="1:4" x14ac:dyDescent="0.25">
      <c r="A54" s="18" t="s">
        <v>584</v>
      </c>
      <c r="B54" s="40">
        <f>ROUND(SUMPRODUCT($B$34:$B$48,Assumptions!E$90:E$104),2)</f>
        <v>16</v>
      </c>
      <c r="C54" s="19" t="s">
        <v>137</v>
      </c>
      <c r="D54" s="10" t="s">
        <v>585</v>
      </c>
    </row>
    <row r="55" spans="1:4" x14ac:dyDescent="0.25">
      <c r="A55" s="18" t="s">
        <v>586</v>
      </c>
      <c r="B55" s="40">
        <f>ROUND(SUMPRODUCT($B$34:$B$48,Assumptions!F$90:F$104),2)</f>
        <v>0</v>
      </c>
      <c r="C55" s="19" t="s">
        <v>137</v>
      </c>
      <c r="D55" s="10" t="s">
        <v>587</v>
      </c>
    </row>
    <row r="56" spans="1:4" x14ac:dyDescent="0.25">
      <c r="A56" s="18" t="s">
        <v>588</v>
      </c>
      <c r="B56" s="40">
        <f>ROUND(SUMPRODUCT($B$34:$B$48,Assumptions!G$90:G$104),2)</f>
        <v>22</v>
      </c>
      <c r="C56" s="19" t="s">
        <v>137</v>
      </c>
      <c r="D56" s="10" t="s">
        <v>589</v>
      </c>
    </row>
    <row r="57" spans="1:4" x14ac:dyDescent="0.25">
      <c r="A57" s="18" t="s">
        <v>590</v>
      </c>
      <c r="B57" s="40">
        <f>ROUND(SUMPRODUCT($B$34:$B$48,Assumptions!H$90:H$104),2)</f>
        <v>15</v>
      </c>
      <c r="C57" s="19" t="s">
        <v>137</v>
      </c>
      <c r="D57" s="10" t="s">
        <v>591</v>
      </c>
    </row>
    <row r="58" spans="1:4" x14ac:dyDescent="0.25">
      <c r="A58" s="18" t="s">
        <v>592</v>
      </c>
      <c r="B58" s="40">
        <f>ROUND(SUMPRODUCT($B$34:$B$48,Assumptions!I$90:I$104),2)</f>
        <v>14</v>
      </c>
      <c r="C58" s="19" t="s">
        <v>137</v>
      </c>
      <c r="D58" s="10" t="s">
        <v>593</v>
      </c>
    </row>
    <row r="59" spans="1:4" x14ac:dyDescent="0.25">
      <c r="A59" s="18" t="s">
        <v>594</v>
      </c>
      <c r="B59" s="40">
        <f>ROUND(SUMPRODUCT($B$34:$B$48,Assumptions!J$90:J$104),2)</f>
        <v>0</v>
      </c>
      <c r="C59" s="19" t="s">
        <v>137</v>
      </c>
      <c r="D59" s="10" t="s">
        <v>595</v>
      </c>
    </row>
    <row r="60" spans="1:4" x14ac:dyDescent="0.25">
      <c r="A60" s="18" t="s">
        <v>596</v>
      </c>
      <c r="B60" s="40">
        <f>ROUND(SUMPRODUCT($B$34:$B$48,Assumptions!K$90:K$104),2)</f>
        <v>19</v>
      </c>
      <c r="C60" s="19" t="s">
        <v>137</v>
      </c>
      <c r="D60" s="10" t="s">
        <v>597</v>
      </c>
    </row>
    <row r="61" spans="1:4" x14ac:dyDescent="0.25">
      <c r="A61" s="18" t="s">
        <v>598</v>
      </c>
      <c r="B61" s="40">
        <f>ROUND(SUMPRODUCT($B$34:$B$48,Assumptions!L$90:L$104),2)</f>
        <v>13</v>
      </c>
      <c r="C61" s="19" t="s">
        <v>137</v>
      </c>
      <c r="D61" s="10" t="s">
        <v>599</v>
      </c>
    </row>
    <row r="62" spans="1:4" x14ac:dyDescent="0.25">
      <c r="A62" s="18" t="s">
        <v>600</v>
      </c>
      <c r="B62" s="40">
        <f>ROUND(SUMPRODUCT($B$34:$B$48,Assumptions!M$90:M$104),2)</f>
        <v>18</v>
      </c>
      <c r="C62" s="19" t="s">
        <v>137</v>
      </c>
      <c r="D62" s="10" t="s">
        <v>601</v>
      </c>
    </row>
    <row r="63" spans="1:4" x14ac:dyDescent="0.25">
      <c r="A63" s="18" t="s">
        <v>602</v>
      </c>
      <c r="B63" s="40">
        <f>MIN(B51:B62)</f>
        <v>0</v>
      </c>
      <c r="C63" s="19" t="s">
        <v>137</v>
      </c>
      <c r="D63" s="10" t="s">
        <v>603</v>
      </c>
    </row>
    <row r="64" spans="1:4" x14ac:dyDescent="0.25">
      <c r="A64" s="18" t="s">
        <v>604</v>
      </c>
      <c r="B64" s="40">
        <f>MAX(B51:B62)</f>
        <v>23</v>
      </c>
      <c r="C64" s="19" t="s">
        <v>137</v>
      </c>
      <c r="D64" s="10" t="s">
        <v>605</v>
      </c>
    </row>
    <row r="65" spans="1:4" x14ac:dyDescent="0.25">
      <c r="A65" s="18" t="s">
        <v>606</v>
      </c>
      <c r="B65" s="41">
        <f>ROUND(((B51-B63)/IF(B64&gt;B63,B64-B63,1))*10,1)</f>
        <v>8.3000000000000007</v>
      </c>
      <c r="C65" s="19" t="s">
        <v>137</v>
      </c>
      <c r="D65" s="10" t="s">
        <v>607</v>
      </c>
    </row>
    <row r="66" spans="1:4" x14ac:dyDescent="0.25">
      <c r="A66" s="18" t="s">
        <v>608</v>
      </c>
      <c r="B66" s="41">
        <f>ROUND(((B52-B63)/IF(B64&gt;B63,B64-B63,1))*10,1)</f>
        <v>10</v>
      </c>
      <c r="C66" s="19" t="s">
        <v>137</v>
      </c>
      <c r="D66" s="10" t="s">
        <v>607</v>
      </c>
    </row>
    <row r="67" spans="1:4" x14ac:dyDescent="0.25">
      <c r="A67" s="18" t="s">
        <v>609</v>
      </c>
      <c r="B67" s="41">
        <f>ROUND(((B53-B63)/IF(B64&gt;B63,B64-B63,1))*10,1)</f>
        <v>6.1</v>
      </c>
      <c r="C67" s="19" t="s">
        <v>137</v>
      </c>
      <c r="D67" s="10" t="s">
        <v>607</v>
      </c>
    </row>
    <row r="68" spans="1:4" x14ac:dyDescent="0.25">
      <c r="A68" s="18" t="s">
        <v>610</v>
      </c>
      <c r="B68" s="41">
        <f>ROUND(((B54-B63)/IF(B64&gt;B63,B64-B63,1))*10,1)</f>
        <v>7</v>
      </c>
      <c r="C68" s="19" t="s">
        <v>137</v>
      </c>
      <c r="D68" s="10" t="s">
        <v>607</v>
      </c>
    </row>
    <row r="69" spans="1:4" x14ac:dyDescent="0.25">
      <c r="A69" s="18" t="s">
        <v>611</v>
      </c>
      <c r="B69" s="41">
        <f>ROUND(((B55-B63)/IF(B64&gt;B63,B64-B63,1))*10,1)</f>
        <v>0</v>
      </c>
      <c r="C69" s="19" t="s">
        <v>137</v>
      </c>
      <c r="D69" s="10" t="s">
        <v>607</v>
      </c>
    </row>
    <row r="70" spans="1:4" x14ac:dyDescent="0.25">
      <c r="A70" s="18" t="s">
        <v>612</v>
      </c>
      <c r="B70" s="41">
        <f>ROUND(((B56-B63)/IF(B64&gt;B63,B64-B63,1))*10,1)</f>
        <v>9.6</v>
      </c>
      <c r="C70" s="19" t="s">
        <v>137</v>
      </c>
      <c r="D70" s="10" t="s">
        <v>607</v>
      </c>
    </row>
    <row r="71" spans="1:4" x14ac:dyDescent="0.25">
      <c r="A71" s="18" t="s">
        <v>613</v>
      </c>
      <c r="B71" s="41">
        <f>ROUND(((B57-B63)/IF(B64&gt;B63,B64-B63,1))*10,1)</f>
        <v>6.5</v>
      </c>
      <c r="C71" s="19" t="s">
        <v>137</v>
      </c>
      <c r="D71" s="10" t="s">
        <v>607</v>
      </c>
    </row>
    <row r="72" spans="1:4" x14ac:dyDescent="0.25">
      <c r="A72" s="18" t="s">
        <v>614</v>
      </c>
      <c r="B72" s="41">
        <f>ROUND(((B58-B63)/IF(B64&gt;B63,B64-B63,1))*10,1)</f>
        <v>6.1</v>
      </c>
      <c r="C72" s="19" t="s">
        <v>137</v>
      </c>
      <c r="D72" s="10" t="s">
        <v>607</v>
      </c>
    </row>
    <row r="73" spans="1:4" x14ac:dyDescent="0.25">
      <c r="A73" s="18" t="s">
        <v>615</v>
      </c>
      <c r="B73" s="41">
        <f>ROUND(((B59-B63)/IF(B64&gt;B63,B64-B63,1))*10,1)</f>
        <v>0</v>
      </c>
      <c r="C73" s="19" t="s">
        <v>137</v>
      </c>
      <c r="D73" s="10" t="s">
        <v>607</v>
      </c>
    </row>
    <row r="74" spans="1:4" x14ac:dyDescent="0.25">
      <c r="A74" s="18" t="s">
        <v>616</v>
      </c>
      <c r="B74" s="41">
        <f>ROUND(((B60-B63)/IF(B64&gt;B63,B64-B63,1))*10,1)</f>
        <v>8.3000000000000007</v>
      </c>
      <c r="C74" s="19" t="s">
        <v>137</v>
      </c>
      <c r="D74" s="10" t="s">
        <v>607</v>
      </c>
    </row>
    <row r="75" spans="1:4" x14ac:dyDescent="0.25">
      <c r="A75" s="18" t="s">
        <v>617</v>
      </c>
      <c r="B75" s="41">
        <f>ROUND(((B61-B63)/IF(B64&gt;B63,B64-B63,1))*10,1)</f>
        <v>5.7</v>
      </c>
      <c r="C75" s="19" t="s">
        <v>137</v>
      </c>
      <c r="D75" s="10" t="s">
        <v>607</v>
      </c>
    </row>
    <row r="76" spans="1:4" x14ac:dyDescent="0.25">
      <c r="A76" s="18" t="s">
        <v>618</v>
      </c>
      <c r="B76" s="41">
        <f>ROUND(((B62-B63)/IF(B64&gt;B63,B64-B63,1))*10,1)</f>
        <v>7.8</v>
      </c>
      <c r="C76" s="19" t="s">
        <v>137</v>
      </c>
      <c r="D76" s="10" t="s">
        <v>607</v>
      </c>
    </row>
    <row r="78" spans="1:4" x14ac:dyDescent="0.25">
      <c r="A78" s="18" t="s">
        <v>619</v>
      </c>
      <c r="B78" s="42">
        <f>B65+0.004</f>
        <v>8.3040000000000003</v>
      </c>
      <c r="C78" s="19" t="s">
        <v>137</v>
      </c>
      <c r="D78" s="10" t="s">
        <v>620</v>
      </c>
    </row>
    <row r="79" spans="1:4" x14ac:dyDescent="0.25">
      <c r="A79" s="18" t="s">
        <v>621</v>
      </c>
      <c r="B79" s="42">
        <f>B66+0.003</f>
        <v>10.003</v>
      </c>
      <c r="C79" s="19" t="s">
        <v>137</v>
      </c>
      <c r="D79" s="10" t="s">
        <v>622</v>
      </c>
    </row>
    <row r="80" spans="1:4" x14ac:dyDescent="0.25">
      <c r="A80" s="18" t="s">
        <v>623</v>
      </c>
      <c r="B80" s="42">
        <f>B67+0.002</f>
        <v>6.1019999999999994</v>
      </c>
      <c r="C80" s="19" t="s">
        <v>137</v>
      </c>
      <c r="D80" s="10" t="s">
        <v>624</v>
      </c>
    </row>
    <row r="81" spans="1:5" x14ac:dyDescent="0.25">
      <c r="A81" s="18" t="s">
        <v>625</v>
      </c>
      <c r="B81" s="42">
        <f>B70+0.001</f>
        <v>9.6009999999999991</v>
      </c>
      <c r="C81" s="19" t="s">
        <v>137</v>
      </c>
      <c r="D81" s="10" t="s">
        <v>626</v>
      </c>
    </row>
    <row r="82" spans="1:5" x14ac:dyDescent="0.25">
      <c r="A82" s="18" t="s">
        <v>627</v>
      </c>
      <c r="B82" s="19" t="str">
        <f>IF(B78=MAX(B78,B79,B80,B81),"N_INC",IF(B79=MAX(B78,B79,B80,B81),"N_CRI",IF(B80=MAX(B78,B79,B80,B81),"N_TPD","N_HOS")))</f>
        <v>N_CRI</v>
      </c>
      <c r="C82" s="19" t="s">
        <v>137</v>
      </c>
      <c r="D82" s="10" t="s">
        <v>628</v>
      </c>
    </row>
    <row r="83" spans="1:5" x14ac:dyDescent="0.25">
      <c r="A83" s="18" t="s">
        <v>629</v>
      </c>
      <c r="B83" s="42">
        <f>IF(B82="N_INC",-1,B65+0.004)</f>
        <v>8.3040000000000003</v>
      </c>
      <c r="C83" s="19" t="s">
        <v>137</v>
      </c>
      <c r="D83" s="10" t="s">
        <v>630</v>
      </c>
    </row>
    <row r="84" spans="1:5" x14ac:dyDescent="0.25">
      <c r="A84" s="18" t="s">
        <v>631</v>
      </c>
      <c r="B84" s="42">
        <f>IF(B82="N_CRI",-1,B66+0.003)</f>
        <v>-1</v>
      </c>
      <c r="C84" s="19" t="s">
        <v>137</v>
      </c>
      <c r="D84" s="10"/>
    </row>
    <row r="85" spans="1:5" x14ac:dyDescent="0.25">
      <c r="A85" s="18" t="s">
        <v>632</v>
      </c>
      <c r="B85" s="42">
        <f>IF(B82="N_TPD",-1,B67+0.002)</f>
        <v>6.1019999999999994</v>
      </c>
      <c r="C85" s="19" t="s">
        <v>137</v>
      </c>
      <c r="D85" s="10"/>
    </row>
    <row r="86" spans="1:5" x14ac:dyDescent="0.25">
      <c r="A86" s="18" t="s">
        <v>633</v>
      </c>
      <c r="B86" s="42">
        <f>IF(B82="N_HOS",-1,B70+0.001)</f>
        <v>9.6009999999999991</v>
      </c>
      <c r="C86" s="19" t="s">
        <v>137</v>
      </c>
      <c r="D86" s="10"/>
    </row>
    <row r="87" spans="1:5" x14ac:dyDescent="0.25">
      <c r="A87" s="18" t="s">
        <v>634</v>
      </c>
      <c r="B87" s="19" t="str">
        <f>IF(B83=MAX(B83,B84,B85,B86),"N_INC",IF(B84=MAX(B83,B84,B85,B86),"N_CRI",IF(B85=MAX(B83,B84,B85,B86),"N_TPD","N_HOS")))</f>
        <v>N_HOS</v>
      </c>
      <c r="C87" s="19" t="s">
        <v>137</v>
      </c>
      <c r="D87" s="10" t="s">
        <v>635</v>
      </c>
    </row>
    <row r="88" spans="1:5" x14ac:dyDescent="0.25">
      <c r="A88" s="18" t="s">
        <v>636</v>
      </c>
      <c r="B88" s="42">
        <f>B69+0.003</f>
        <v>3.0000000000000001E-3</v>
      </c>
      <c r="C88" s="19" t="s">
        <v>137</v>
      </c>
      <c r="D88" s="10" t="s">
        <v>637</v>
      </c>
    </row>
    <row r="89" spans="1:5" x14ac:dyDescent="0.25">
      <c r="A89" s="18" t="s">
        <v>638</v>
      </c>
      <c r="B89" s="42">
        <f>B71+0.002</f>
        <v>6.5019999999999998</v>
      </c>
      <c r="C89" s="19" t="s">
        <v>137</v>
      </c>
      <c r="D89" s="10" t="s">
        <v>639</v>
      </c>
    </row>
    <row r="90" spans="1:5" x14ac:dyDescent="0.25">
      <c r="A90" s="18" t="s">
        <v>640</v>
      </c>
      <c r="B90" s="42">
        <f>B75+0.001</f>
        <v>5.7010000000000005</v>
      </c>
      <c r="C90" s="19" t="s">
        <v>137</v>
      </c>
      <c r="D90" s="10" t="s">
        <v>641</v>
      </c>
    </row>
    <row r="91" spans="1:5" x14ac:dyDescent="0.25">
      <c r="A91" s="18" t="s">
        <v>642</v>
      </c>
      <c r="B91" s="19" t="str">
        <f>IF(B88=MAX(B88,B89,B90),"N_EDU",IF(B89=MAX(B88,B89,B90),"N_SAV","N_PRP"))</f>
        <v>N_SAV</v>
      </c>
      <c r="C91" s="19" t="s">
        <v>137</v>
      </c>
      <c r="D91" s="10" t="s">
        <v>643</v>
      </c>
    </row>
    <row r="92" spans="1:5" x14ac:dyDescent="0.25">
      <c r="A92" s="18" t="s">
        <v>644</v>
      </c>
      <c r="B92" s="19" t="str">
        <f>IF(AND(B20=TRUE,B91="N_SAV"),"N_PRP",IF(AND(B20=FALSE,B91="N_PRP"),"N_SAV",B91))</f>
        <v>N_SAV</v>
      </c>
      <c r="C92" s="19" t="s">
        <v>137</v>
      </c>
      <c r="D92" s="10" t="s">
        <v>645</v>
      </c>
    </row>
    <row r="94" spans="1:5" x14ac:dyDescent="0.25">
      <c r="A94" s="64" t="s">
        <v>646</v>
      </c>
      <c r="B94" s="64"/>
      <c r="C94" s="64"/>
      <c r="D94" s="64"/>
    </row>
    <row r="95" spans="1:5" x14ac:dyDescent="0.25">
      <c r="A95" s="2" t="s">
        <v>647</v>
      </c>
      <c r="B95" s="8" t="s">
        <v>648</v>
      </c>
      <c r="C95" s="13" t="s">
        <v>649</v>
      </c>
      <c r="D95" s="8" t="s">
        <v>650</v>
      </c>
      <c r="E95" s="8" t="s">
        <v>651</v>
      </c>
    </row>
    <row r="96" spans="1:5" x14ac:dyDescent="0.25">
      <c r="A96" s="8" t="s">
        <v>652</v>
      </c>
      <c r="B96" s="19" t="b">
        <f>OR($B$82="N_INC",$B$87="N_INC")</f>
        <v>0</v>
      </c>
      <c r="C96" s="33"/>
      <c r="D96" s="19" t="b">
        <f t="shared" ref="D96:D103" si="0">IF(C96="",B96,C96)</f>
        <v>0</v>
      </c>
      <c r="E96" s="19">
        <f>IF(B65&gt;7,5,3)</f>
        <v>5</v>
      </c>
    </row>
    <row r="97" spans="1:5" x14ac:dyDescent="0.25">
      <c r="A97" s="8" t="s">
        <v>653</v>
      </c>
      <c r="B97" s="19" t="b">
        <f>OR($B$82="N_CRI",$B$87="N_CRI")</f>
        <v>1</v>
      </c>
      <c r="C97" s="33"/>
      <c r="D97" s="19" t="b">
        <f t="shared" si="0"/>
        <v>1</v>
      </c>
      <c r="E97" s="19">
        <f>IF(B66&gt;7,5,3)</f>
        <v>5</v>
      </c>
    </row>
    <row r="98" spans="1:5" x14ac:dyDescent="0.25">
      <c r="A98" s="8" t="s">
        <v>654</v>
      </c>
      <c r="B98" s="19" t="b">
        <f>OR($B$82="N_TPD",$B$87="N_TPD")</f>
        <v>0</v>
      </c>
      <c r="C98" s="33"/>
      <c r="D98" s="19" t="b">
        <f t="shared" si="0"/>
        <v>0</v>
      </c>
      <c r="E98" s="19">
        <f>IF(B67&gt;7,5,3)</f>
        <v>3</v>
      </c>
    </row>
    <row r="99" spans="1:5" x14ac:dyDescent="0.25">
      <c r="A99" s="8" t="s">
        <v>655</v>
      </c>
      <c r="B99" s="19" t="b">
        <f>OR($B$82="N_HOS",$B$87="N_HOS")</f>
        <v>1</v>
      </c>
      <c r="C99" s="33"/>
      <c r="D99" s="19" t="b">
        <f t="shared" si="0"/>
        <v>1</v>
      </c>
      <c r="E99" s="19">
        <f>IF(B70&gt;7,5,3)</f>
        <v>5</v>
      </c>
    </row>
    <row r="100" spans="1:5" x14ac:dyDescent="0.25">
      <c r="A100" s="8" t="s">
        <v>656</v>
      </c>
      <c r="B100" s="19" t="s">
        <v>657</v>
      </c>
      <c r="C100" s="33"/>
      <c r="D100" s="19" t="str">
        <f t="shared" si="0"/>
        <v>TRUE</v>
      </c>
      <c r="E100" s="19">
        <f>IF(B68&gt;7,5,3)</f>
        <v>3</v>
      </c>
    </row>
    <row r="101" spans="1:5" x14ac:dyDescent="0.25">
      <c r="A101" s="8" t="s">
        <v>658</v>
      </c>
      <c r="B101" s="19" t="b">
        <f>$B$92="N_EDU"</f>
        <v>0</v>
      </c>
      <c r="C101" s="33"/>
      <c r="D101" s="19" t="b">
        <f t="shared" si="0"/>
        <v>0</v>
      </c>
      <c r="E101" s="19">
        <f>IF(B69&gt;7,5,3)</f>
        <v>3</v>
      </c>
    </row>
    <row r="102" spans="1:5" x14ac:dyDescent="0.25">
      <c r="A102" s="8" t="s">
        <v>659</v>
      </c>
      <c r="B102" s="19" t="b">
        <f>$B$92="N_SAV"</f>
        <v>1</v>
      </c>
      <c r="C102" s="33"/>
      <c r="D102" s="19" t="b">
        <f t="shared" si="0"/>
        <v>1</v>
      </c>
      <c r="E102" s="19">
        <f>IF(B71&gt;7,5,3)</f>
        <v>3</v>
      </c>
    </row>
    <row r="103" spans="1:5" x14ac:dyDescent="0.25">
      <c r="A103" s="8" t="s">
        <v>660</v>
      </c>
      <c r="B103" s="19" t="b">
        <f>$B$92="N_PRP"</f>
        <v>0</v>
      </c>
      <c r="C103" s="33"/>
      <c r="D103" s="19" t="b">
        <f t="shared" si="0"/>
        <v>0</v>
      </c>
      <c r="E103" s="19">
        <f>IF(B75&gt;7,5,3)</f>
        <v>3</v>
      </c>
    </row>
  </sheetData>
  <mergeCells count="7">
    <mergeCell ref="A1:D1"/>
    <mergeCell ref="A94:D94"/>
    <mergeCell ref="A22:D22"/>
    <mergeCell ref="A50:D50"/>
    <mergeCell ref="A4:D4"/>
    <mergeCell ref="A29:D29"/>
    <mergeCell ref="A14:D14"/>
  </mergeCells>
  <dataValidations count="1">
    <dataValidation type="list" allowBlank="1" sqref="C96:C103" xr:uid="{00000000-0002-0000-0500-000000000000}">
      <formula1>"TRUE,FALSE,"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45C26"/>
  </sheetPr>
  <dimension ref="A1:G5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6" customWidth="1"/>
    <col min="2" max="2" width="22" customWidth="1"/>
    <col min="3" max="3" width="34" customWidth="1"/>
    <col min="4" max="4" width="78" customWidth="1"/>
    <col min="5" max="5" width="12" customWidth="1"/>
    <col min="6" max="6" width="16" customWidth="1"/>
    <col min="7" max="7" width="56" customWidth="1"/>
  </cols>
  <sheetData>
    <row r="1" spans="1:6" ht="27.95" customHeight="1" x14ac:dyDescent="0.25">
      <c r="A1" s="61" t="s">
        <v>661</v>
      </c>
      <c r="B1" s="58"/>
      <c r="C1" s="58"/>
      <c r="D1" s="58"/>
    </row>
    <row r="2" spans="1:6" x14ac:dyDescent="0.25">
      <c r="A2" s="4" t="s">
        <v>83</v>
      </c>
      <c r="B2" s="5" t="str">
        <f>SelectedPersona</f>
        <v>P02</v>
      </c>
      <c r="C2" s="6" t="str">
        <f>IFERROR(INDEX(Personas!B$3:B$52,MATCH($B$2,Personas!$A$3:$A$52,0)),"")</f>
        <v>Wei Ling Tan</v>
      </c>
      <c r="D2" s="1" t="s">
        <v>352</v>
      </c>
      <c r="F2" s="4" t="s">
        <v>86</v>
      </c>
    </row>
    <row r="3" spans="1:6" ht="25.5" x14ac:dyDescent="0.25">
      <c r="A3" s="2" t="s">
        <v>87</v>
      </c>
      <c r="B3" s="2" t="s">
        <v>88</v>
      </c>
      <c r="C3" s="2" t="s">
        <v>89</v>
      </c>
      <c r="D3" s="2" t="s">
        <v>90</v>
      </c>
      <c r="F3" s="7" t="s">
        <v>91</v>
      </c>
    </row>
    <row r="4" spans="1:6" ht="38.25" x14ac:dyDescent="0.25">
      <c r="A4" s="63" t="s">
        <v>662</v>
      </c>
      <c r="B4" s="63"/>
      <c r="C4" s="63"/>
      <c r="D4" s="63"/>
      <c r="F4" s="8" t="s">
        <v>93</v>
      </c>
    </row>
    <row r="5" spans="1:6" ht="25.5" x14ac:dyDescent="0.25">
      <c r="A5" s="9" t="s">
        <v>98</v>
      </c>
      <c r="B5" s="12">
        <f>IFERROR(INDEX(Personas!C$3:C$52,MATCH($B$2,Personas!$A$3:$A$52,0)),"")</f>
        <v>27</v>
      </c>
      <c r="C5" s="5" t="s">
        <v>95</v>
      </c>
      <c r="D5" s="10" t="s">
        <v>99</v>
      </c>
      <c r="F5" s="11" t="s">
        <v>97</v>
      </c>
    </row>
    <row r="6" spans="1:6" ht="38.25" x14ac:dyDescent="0.25">
      <c r="A6" s="9" t="s">
        <v>513</v>
      </c>
      <c r="B6" s="28">
        <f>PLU_incomeMonthly</f>
        <v>6020</v>
      </c>
      <c r="C6" s="5" t="s">
        <v>95</v>
      </c>
      <c r="D6" s="10" t="s">
        <v>663</v>
      </c>
      <c r="F6" s="13" t="s">
        <v>100</v>
      </c>
    </row>
    <row r="7" spans="1:6" x14ac:dyDescent="0.25">
      <c r="A7" s="9" t="s">
        <v>515</v>
      </c>
      <c r="B7" s="28">
        <f>PLU_expenseMonthly</f>
        <v>3250.8</v>
      </c>
      <c r="C7" s="5" t="s">
        <v>95</v>
      </c>
      <c r="D7" s="10" t="s">
        <v>664</v>
      </c>
    </row>
    <row r="8" spans="1:6" x14ac:dyDescent="0.25">
      <c r="A8" s="9" t="s">
        <v>665</v>
      </c>
      <c r="B8" s="38">
        <f>PLU_mortgage</f>
        <v>0</v>
      </c>
      <c r="C8" s="5" t="s">
        <v>95</v>
      </c>
      <c r="D8" s="10" t="s">
        <v>666</v>
      </c>
    </row>
    <row r="9" spans="1:6" x14ac:dyDescent="0.25">
      <c r="A9" s="9" t="s">
        <v>667</v>
      </c>
      <c r="B9" s="38">
        <f>PLU_lifeSum</f>
        <v>0</v>
      </c>
      <c r="C9" s="5" t="s">
        <v>95</v>
      </c>
      <c r="D9" s="10" t="s">
        <v>668</v>
      </c>
    </row>
    <row r="10" spans="1:6" x14ac:dyDescent="0.25">
      <c r="A10" s="9" t="s">
        <v>669</v>
      </c>
      <c r="B10" s="38">
        <f>PLU_investments</f>
        <v>47895</v>
      </c>
      <c r="C10" s="5" t="s">
        <v>95</v>
      </c>
      <c r="D10" s="10" t="s">
        <v>670</v>
      </c>
    </row>
    <row r="11" spans="1:6" x14ac:dyDescent="0.25">
      <c r="A11" s="9" t="s">
        <v>671</v>
      </c>
      <c r="B11" s="12">
        <f>PLU_leUsed</f>
        <v>81</v>
      </c>
      <c r="C11" s="5" t="s">
        <v>95</v>
      </c>
      <c r="D11" s="10" t="s">
        <v>672</v>
      </c>
    </row>
    <row r="13" spans="1:6" x14ac:dyDescent="0.25">
      <c r="A13" s="66" t="s">
        <v>673</v>
      </c>
      <c r="B13" s="66"/>
      <c r="C13" s="66"/>
      <c r="D13" s="66"/>
    </row>
    <row r="14" spans="1:6" x14ac:dyDescent="0.25">
      <c r="A14" s="32" t="s">
        <v>674</v>
      </c>
      <c r="B14" s="43">
        <v>2</v>
      </c>
      <c r="C14" s="33" t="s">
        <v>387</v>
      </c>
      <c r="D14" s="10" t="s">
        <v>675</v>
      </c>
    </row>
    <row r="15" spans="1:6" x14ac:dyDescent="0.25">
      <c r="A15" s="32" t="s">
        <v>676</v>
      </c>
      <c r="B15" s="43">
        <f>ageOfRetirement</f>
        <v>65</v>
      </c>
      <c r="C15" s="33" t="s">
        <v>387</v>
      </c>
      <c r="D15" s="10" t="s">
        <v>677</v>
      </c>
    </row>
    <row r="16" spans="1:6" x14ac:dyDescent="0.25">
      <c r="A16" s="32" t="s">
        <v>678</v>
      </c>
      <c r="B16" s="43">
        <f>currentYear+eduYearsDefault</f>
        <v>2036</v>
      </c>
      <c r="C16" s="33" t="s">
        <v>387</v>
      </c>
      <c r="D16" s="10" t="s">
        <v>679</v>
      </c>
    </row>
    <row r="17" spans="1:4" x14ac:dyDescent="0.25">
      <c r="A17" s="32" t="s">
        <v>680</v>
      </c>
      <c r="B17" s="25">
        <v>0</v>
      </c>
      <c r="C17" s="33" t="s">
        <v>387</v>
      </c>
      <c r="D17" s="10" t="s">
        <v>666</v>
      </c>
    </row>
    <row r="18" spans="1:4" x14ac:dyDescent="0.25">
      <c r="A18" s="32" t="s">
        <v>681</v>
      </c>
      <c r="B18" s="33"/>
      <c r="C18" s="33" t="s">
        <v>387</v>
      </c>
      <c r="D18" s="10" t="s">
        <v>682</v>
      </c>
    </row>
    <row r="19" spans="1:4" x14ac:dyDescent="0.25">
      <c r="A19" s="32" t="s">
        <v>683</v>
      </c>
      <c r="B19" s="25"/>
      <c r="C19" s="33" t="s">
        <v>387</v>
      </c>
      <c r="D19" s="10" t="s">
        <v>684</v>
      </c>
    </row>
    <row r="20" spans="1:4" x14ac:dyDescent="0.25">
      <c r="A20" s="32" t="s">
        <v>685</v>
      </c>
      <c r="B20" s="25">
        <v>0</v>
      </c>
      <c r="C20" s="33" t="s">
        <v>387</v>
      </c>
      <c r="D20" s="10" t="s">
        <v>686</v>
      </c>
    </row>
    <row r="21" spans="1:4" x14ac:dyDescent="0.25">
      <c r="A21" s="32" t="s">
        <v>687</v>
      </c>
      <c r="B21" s="25">
        <v>0</v>
      </c>
      <c r="C21" s="33" t="s">
        <v>387</v>
      </c>
      <c r="D21" s="10" t="s">
        <v>688</v>
      </c>
    </row>
    <row r="22" spans="1:4" x14ac:dyDescent="0.25">
      <c r="A22" s="32" t="s">
        <v>689</v>
      </c>
      <c r="B22" s="25">
        <v>0</v>
      </c>
      <c r="C22" s="33" t="s">
        <v>387</v>
      </c>
      <c r="D22" s="10" t="s">
        <v>690</v>
      </c>
    </row>
    <row r="23" spans="1:4" x14ac:dyDescent="0.25">
      <c r="A23" s="32" t="s">
        <v>691</v>
      </c>
      <c r="B23" s="25">
        <v>0</v>
      </c>
      <c r="C23" s="33" t="s">
        <v>387</v>
      </c>
      <c r="D23" s="10" t="s">
        <v>692</v>
      </c>
    </row>
    <row r="24" spans="1:4" x14ac:dyDescent="0.25">
      <c r="A24" s="32" t="s">
        <v>693</v>
      </c>
      <c r="B24" s="25">
        <v>0</v>
      </c>
      <c r="C24" s="33" t="s">
        <v>387</v>
      </c>
      <c r="D24" s="10" t="s">
        <v>694</v>
      </c>
    </row>
    <row r="25" spans="1:4" x14ac:dyDescent="0.25">
      <c r="A25" s="32" t="s">
        <v>695</v>
      </c>
      <c r="B25" s="25">
        <v>0</v>
      </c>
      <c r="C25" s="33" t="s">
        <v>387</v>
      </c>
      <c r="D25" s="10" t="s">
        <v>696</v>
      </c>
    </row>
    <row r="27" spans="1:4" x14ac:dyDescent="0.25">
      <c r="A27" s="67" t="s">
        <v>697</v>
      </c>
      <c r="B27" s="67"/>
      <c r="C27" s="67"/>
      <c r="D27" s="67"/>
    </row>
    <row r="28" spans="1:4" x14ac:dyDescent="0.25">
      <c r="A28" s="29" t="s">
        <v>698</v>
      </c>
      <c r="B28" s="36">
        <f>inflationRate</f>
        <v>2.3E-2</v>
      </c>
      <c r="C28" s="27" t="s">
        <v>369</v>
      </c>
      <c r="D28" s="10" t="s">
        <v>699</v>
      </c>
    </row>
    <row r="29" spans="1:4" x14ac:dyDescent="0.25">
      <c r="A29" s="29" t="s">
        <v>700</v>
      </c>
      <c r="B29" s="36">
        <f>investmentReturn</f>
        <v>4.2000000000000003E-2</v>
      </c>
      <c r="C29" s="27" t="s">
        <v>369</v>
      </c>
      <c r="D29" s="10" t="s">
        <v>701</v>
      </c>
    </row>
    <row r="30" spans="1:4" x14ac:dyDescent="0.25">
      <c r="A30" s="29" t="s">
        <v>702</v>
      </c>
      <c r="B30" s="36">
        <f>realReturn</f>
        <v>1.8572825024438133E-2</v>
      </c>
      <c r="C30" s="27" t="s">
        <v>369</v>
      </c>
      <c r="D30" s="10" t="s">
        <v>703</v>
      </c>
    </row>
    <row r="31" spans="1:4" x14ac:dyDescent="0.25">
      <c r="A31" s="29" t="s">
        <v>704</v>
      </c>
      <c r="B31" s="31">
        <f>lifestyleFrugal</f>
        <v>0.75</v>
      </c>
      <c r="C31" s="27" t="s">
        <v>369</v>
      </c>
      <c r="D31" s="10" t="s">
        <v>705</v>
      </c>
    </row>
    <row r="32" spans="1:4" x14ac:dyDescent="0.25">
      <c r="A32" s="29" t="s">
        <v>706</v>
      </c>
      <c r="B32" s="31">
        <f>lifestyleStressFree</f>
        <v>1</v>
      </c>
      <c r="C32" s="27" t="s">
        <v>369</v>
      </c>
      <c r="D32" s="10" t="s">
        <v>707</v>
      </c>
    </row>
    <row r="33" spans="1:4" x14ac:dyDescent="0.25">
      <c r="A33" s="29" t="s">
        <v>708</v>
      </c>
      <c r="B33" s="31">
        <f>lifestyleOnlyTheBest</f>
        <v>1.25</v>
      </c>
      <c r="C33" s="27" t="s">
        <v>369</v>
      </c>
      <c r="D33" s="10" t="s">
        <v>709</v>
      </c>
    </row>
    <row r="34" spans="1:4" x14ac:dyDescent="0.25">
      <c r="A34" s="29" t="s">
        <v>710</v>
      </c>
      <c r="B34" s="35">
        <f>lifeSupportMin</f>
        <v>10</v>
      </c>
      <c r="C34" s="27" t="s">
        <v>369</v>
      </c>
      <c r="D34" s="10" t="s">
        <v>711</v>
      </c>
    </row>
    <row r="35" spans="1:4" x14ac:dyDescent="0.25">
      <c r="A35" s="29" t="s">
        <v>712</v>
      </c>
      <c r="B35" s="35">
        <f>CI_YEARS</f>
        <v>3</v>
      </c>
      <c r="C35" s="27" t="s">
        <v>369</v>
      </c>
      <c r="D35" s="10" t="s">
        <v>713</v>
      </c>
    </row>
    <row r="36" spans="1:4" x14ac:dyDescent="0.25">
      <c r="A36" s="29" t="s">
        <v>714</v>
      </c>
      <c r="B36" s="35">
        <f>TPD_YEARS</f>
        <v>5</v>
      </c>
      <c r="C36" s="27" t="s">
        <v>369</v>
      </c>
      <c r="D36" s="10" t="s">
        <v>715</v>
      </c>
    </row>
    <row r="37" spans="1:4" x14ac:dyDescent="0.25">
      <c r="A37" s="29" t="s">
        <v>716</v>
      </c>
      <c r="B37" s="35">
        <f>HOSP_MONTHS</f>
        <v>6</v>
      </c>
      <c r="C37" s="27" t="s">
        <v>369</v>
      </c>
      <c r="D37" s="10" t="s">
        <v>717</v>
      </c>
    </row>
    <row r="38" spans="1:4" x14ac:dyDescent="0.25">
      <c r="A38" s="29" t="s">
        <v>718</v>
      </c>
      <c r="B38" s="30">
        <f>EDU_TOTAL_COST</f>
        <v>75000</v>
      </c>
      <c r="C38" s="27" t="s">
        <v>369</v>
      </c>
      <c r="D38" s="10" t="s">
        <v>719</v>
      </c>
    </row>
    <row r="39" spans="1:4" x14ac:dyDescent="0.25">
      <c r="A39" s="29" t="s">
        <v>720</v>
      </c>
      <c r="B39" s="35">
        <f>savIncomeMultiple</f>
        <v>1</v>
      </c>
      <c r="C39" s="27" t="s">
        <v>369</v>
      </c>
      <c r="D39" s="10" t="s">
        <v>721</v>
      </c>
    </row>
    <row r="40" spans="1:4" x14ac:dyDescent="0.25">
      <c r="A40" s="29" t="s">
        <v>722</v>
      </c>
      <c r="B40" s="35">
        <f>prpIncomeMultiple</f>
        <v>5</v>
      </c>
      <c r="C40" s="27" t="s">
        <v>369</v>
      </c>
      <c r="D40" s="10" t="s">
        <v>723</v>
      </c>
    </row>
    <row r="41" spans="1:4" x14ac:dyDescent="0.25">
      <c r="A41" s="29" t="s">
        <v>724</v>
      </c>
      <c r="B41" s="35">
        <f>currentYear</f>
        <v>2026</v>
      </c>
      <c r="C41" s="27" t="s">
        <v>369</v>
      </c>
      <c r="D41" s="10" t="s">
        <v>725</v>
      </c>
    </row>
    <row r="43" spans="1:4" x14ac:dyDescent="0.25">
      <c r="A43" s="64" t="s">
        <v>726</v>
      </c>
      <c r="B43" s="64"/>
      <c r="C43" s="64"/>
      <c r="D43" s="64"/>
    </row>
    <row r="44" spans="1:4" x14ac:dyDescent="0.25">
      <c r="A44" s="18" t="s">
        <v>727</v>
      </c>
      <c r="B44" s="37">
        <f>MIN(MAX(lifeSupportMin,lifeSupportPivotAge-B5),lifeSupportMax)</f>
        <v>23</v>
      </c>
      <c r="C44" s="19" t="s">
        <v>137</v>
      </c>
      <c r="D44" s="10" t="s">
        <v>728</v>
      </c>
    </row>
    <row r="45" spans="1:4" x14ac:dyDescent="0.25">
      <c r="A45" s="18" t="s">
        <v>729</v>
      </c>
      <c r="B45" s="37">
        <f>MAX(0,B15-B5)</f>
        <v>38</v>
      </c>
      <c r="C45" s="19" t="s">
        <v>137</v>
      </c>
      <c r="D45" s="10" t="s">
        <v>730</v>
      </c>
    </row>
    <row r="46" spans="1:4" x14ac:dyDescent="0.25">
      <c r="A46" s="18" t="s">
        <v>731</v>
      </c>
      <c r="B46" s="37">
        <f>MAX(0,PLU_leUsed-B15)</f>
        <v>16</v>
      </c>
      <c r="C46" s="19" t="s">
        <v>137</v>
      </c>
      <c r="D46" s="10" t="s">
        <v>732</v>
      </c>
    </row>
    <row r="47" spans="1:4" x14ac:dyDescent="0.25">
      <c r="A47" s="18" t="s">
        <v>733</v>
      </c>
      <c r="B47" s="37">
        <f>MAX(0,B16-currentYear)</f>
        <v>10</v>
      </c>
      <c r="C47" s="19" t="s">
        <v>137</v>
      </c>
      <c r="D47" s="10" t="s">
        <v>734</v>
      </c>
    </row>
    <row r="49" spans="1:7" x14ac:dyDescent="0.25">
      <c r="A49" s="64" t="s">
        <v>735</v>
      </c>
      <c r="B49" s="64"/>
      <c r="C49" s="64"/>
      <c r="D49" s="64"/>
    </row>
    <row r="50" spans="1:7" x14ac:dyDescent="0.25">
      <c r="A50" s="2" t="s">
        <v>647</v>
      </c>
      <c r="B50" s="8" t="s">
        <v>736</v>
      </c>
      <c r="C50" s="8" t="s">
        <v>737</v>
      </c>
      <c r="D50" s="8" t="s">
        <v>738</v>
      </c>
      <c r="E50" s="13" t="s">
        <v>649</v>
      </c>
      <c r="F50" s="8" t="s">
        <v>650</v>
      </c>
    </row>
    <row r="51" spans="1:7" x14ac:dyDescent="0.25">
      <c r="A51" s="8" t="s">
        <v>652</v>
      </c>
      <c r="B51" s="21">
        <f>MAX(0,ROUND(B17+PLU_mortgage+IF(OR((IF(OR(B18="",B18&lt;=0),B44,B18))&lt;=0,(PLU_expenseMonthly*12)&lt;=0),0,IF(ABS(realReturn)&lt;0.000000000001,(PLU_expenseMonthly*12)*(IF(OR(B18="",B18&lt;=0),B44,B18)),(PLU_expenseMonthly*12)*(1-(1+realReturn)^(-(IF(OR(B18="",B18&lt;=0),B44,B18))))/(realReturn))),0))</f>
        <v>724812</v>
      </c>
      <c r="C51" s="21">
        <f>ROUND(PLU_lifeSum,0)</f>
        <v>0</v>
      </c>
      <c r="D51" s="21">
        <f t="shared" ref="D51:D58" si="0">MAX(0,B51-C51)</f>
        <v>724812</v>
      </c>
      <c r="E51" s="33"/>
      <c r="F51" s="19" t="b">
        <f>IF(E51="",NP_on_N_INC,E51)</f>
        <v>0</v>
      </c>
      <c r="G51" s="10" t="s">
        <v>739</v>
      </c>
    </row>
    <row r="52" spans="1:7" x14ac:dyDescent="0.25">
      <c r="A52" s="8" t="s">
        <v>653</v>
      </c>
      <c r="B52" s="21">
        <f>MAX(0,ROUND(IF(OR((CI_YEARS)&lt;=0,((IF(B19="",PLU_incomeMonthly,B19))*12)&lt;=0),0,IF(ABS(realReturn)&lt;0.000000000001,((IF(B19="",PLU_incomeMonthly,B19))*12)*(CI_YEARS),((IF(B19="",PLU_incomeMonthly,B19))*12)*(1-(1/((1+realReturn)))^(CI_YEARS))/(1-(1/((1+realReturn))))))+CI_COST,0))</f>
        <v>412792</v>
      </c>
      <c r="C52" s="21">
        <f>0</f>
        <v>0</v>
      </c>
      <c r="D52" s="21">
        <f t="shared" si="0"/>
        <v>412792</v>
      </c>
      <c r="E52" s="33"/>
      <c r="F52" s="19" t="b">
        <f>IF(E52="",NP_on_N_CRI,E52)</f>
        <v>1</v>
      </c>
      <c r="G52" s="10" t="s">
        <v>740</v>
      </c>
    </row>
    <row r="53" spans="1:7" x14ac:dyDescent="0.25">
      <c r="A53" s="8" t="s">
        <v>654</v>
      </c>
      <c r="B53" s="21">
        <f>MAX(0,ROUND(IF(OR((TPD_YEARS)&lt;=0,((IF(B19="",PLU_incomeMonthly,B19))*12)&lt;=0),0,IF(ABS(realReturn)&lt;0.000000000001,((IF(B19="",PLU_incomeMonthly,B19))*12)*(TPD_YEARS),((IF(B19="",PLU_incomeMonthly,B19))*12)*(1-(1/((1+realReturn)))^(TPD_YEARS))/(1-(1/((1+realReturn))))))+TPD_COST,0))</f>
        <v>548266</v>
      </c>
      <c r="C53" s="21">
        <f>0</f>
        <v>0</v>
      </c>
      <c r="D53" s="21">
        <f t="shared" si="0"/>
        <v>548266</v>
      </c>
      <c r="E53" s="33"/>
      <c r="F53" s="19" t="b">
        <f>IF(E53="",NP_on_N_TPD,E53)</f>
        <v>0</v>
      </c>
      <c r="G53" s="10" t="s">
        <v>741</v>
      </c>
    </row>
    <row r="54" spans="1:7" x14ac:dyDescent="0.25">
      <c r="A54" s="8" t="s">
        <v>655</v>
      </c>
      <c r="B54" s="21">
        <f>MAX(0,ROUND(PLU_incomeMonthly*HOSP_MONTHS,0))</f>
        <v>36120</v>
      </c>
      <c r="C54" s="21">
        <f>0</f>
        <v>0</v>
      </c>
      <c r="D54" s="21">
        <f t="shared" si="0"/>
        <v>36120</v>
      </c>
      <c r="E54" s="33"/>
      <c r="F54" s="19" t="b">
        <f>IF(E54="",NP_on_N_HOS,E54)</f>
        <v>1</v>
      </c>
      <c r="G54" s="10" t="s">
        <v>742</v>
      </c>
    </row>
    <row r="55" spans="1:7" x14ac:dyDescent="0.25">
      <c r="A55" s="8" t="s">
        <v>656</v>
      </c>
      <c r="B55" s="21">
        <f>MAX(0,ROUND(IF(OR((B46)&lt;=0,(IF((B45)&lt;=0,MAX(0,PLU_expenseMonthly*12*(IF(B14=1,lifestyleFrugal,IF(B14=3,lifestyleOnlyTheBest,lifestyleStressFree)))),(PLU_expenseMonthly*12*(IF(B14=1,lifestyleFrugal,IF(B14=3,lifestyleOnlyTheBest,lifestyleStressFree))))*(1+inflationRate)^(B45)))&lt;=0),0,IF(ABS(realReturn)&lt;0.000000000001,(IF((B45)&lt;=0,MAX(0,PLU_expenseMonthly*12*(IF(B14=1,lifestyleFrugal,IF(B14=3,lifestyleOnlyTheBest,lifestyleStressFree)))),(PLU_expenseMonthly*12*(IF(B14=1,lifestyleFrugal,IF(B14=3,lifestyleOnlyTheBest,lifestyleStressFree))))*(1+inflationRate)^(B45)))*(B46),(IF((B45)&lt;=0,MAX(0,PLU_expenseMonthly*12*(IF(B14=1,lifestyleFrugal,IF(B14=3,lifestyleOnlyTheBest,lifestyleStressFree)))),(PLU_expenseMonthly*12*(IF(B14=1,lifestyleFrugal,IF(B14=3,lifestyleOnlyTheBest,lifestyleStressFree))))*(1+inflationRate)^(B45)))*(1-(1+realReturn)^(-(B46)))/(realReturn))),0))</f>
        <v>1271143</v>
      </c>
      <c r="C55" s="21">
        <f>ROUND(IF((B45)&lt;=0,MAX(0,MIN(MAX(0,B22),MAX(0,PLU_investments))),(MIN(MAX(0,B22),MAX(0,PLU_investments)))*(1+realReturn)^(B45)),0)</f>
        <v>0</v>
      </c>
      <c r="D55" s="21">
        <f t="shared" si="0"/>
        <v>1271143</v>
      </c>
      <c r="E55" s="33"/>
      <c r="F55" s="19" t="str">
        <f>IF(E55="",NP_on_N_RET,E55)</f>
        <v>TRUE</v>
      </c>
      <c r="G55" s="10" t="s">
        <v>743</v>
      </c>
    </row>
    <row r="56" spans="1:7" x14ac:dyDescent="0.25">
      <c r="A56" s="8" t="s">
        <v>658</v>
      </c>
      <c r="B56" s="21">
        <f>MAX(0,ROUND(EDU_TOTAL_COST*(1+inflationRate)^B47,0))</f>
        <v>94149</v>
      </c>
      <c r="C56" s="21">
        <f>ROUND(IF((B47)&lt;=0,MAX(0,MIN(MAX(0,B23),MAX(0,PLU_investments-MIN(MAX(0,B22),MAX(0,PLU_investments))))),(MIN(MAX(0,B23),MAX(0,PLU_investments-MIN(MAX(0,B22),MAX(0,PLU_investments)))))*(1+realReturn)^(B47)),0)</f>
        <v>0</v>
      </c>
      <c r="D56" s="21">
        <f t="shared" si="0"/>
        <v>94149</v>
      </c>
      <c r="E56" s="33"/>
      <c r="F56" s="19" t="b">
        <f>IF(E56="",NP_on_N_EDU,E56)</f>
        <v>0</v>
      </c>
      <c r="G56" s="10" t="s">
        <v>744</v>
      </c>
    </row>
    <row r="57" spans="1:7" x14ac:dyDescent="0.25">
      <c r="A57" s="8" t="s">
        <v>659</v>
      </c>
      <c r="B57" s="21">
        <f>IF(B20&gt;0,ROUND(B20,0),ROUND(PLU_incomeMonthly*12*savIncomeMultiple,0))</f>
        <v>72240</v>
      </c>
      <c r="C57" s="21">
        <f>ROUND(IF((B47)&lt;=0,MAX(0,MIN(MAX(0,B24),MAX(0,MAX(0,PLU_investments-MIN(MAX(0,B22),MAX(0,PLU_investments)))-MIN(MAX(0,B23),MAX(0,PLU_investments-MIN(MAX(0,B22),MAX(0,PLU_investments))))))),(MIN(MAX(0,B24),MAX(0,MAX(0,PLU_investments-MIN(MAX(0,B22),MAX(0,PLU_investments)))-MIN(MAX(0,B23),MAX(0,PLU_investments-MIN(MAX(0,B22),MAX(0,PLU_investments)))))))*(1+realReturn)^(B47)),0)</f>
        <v>0</v>
      </c>
      <c r="D57" s="21">
        <f t="shared" si="0"/>
        <v>72240</v>
      </c>
      <c r="E57" s="33"/>
      <c r="F57" s="19" t="b">
        <f>IF(E57="",NP_on_N_SAV,E57)</f>
        <v>1</v>
      </c>
      <c r="G57" s="10" t="s">
        <v>745</v>
      </c>
    </row>
    <row r="58" spans="1:7" x14ac:dyDescent="0.25">
      <c r="A58" s="8" t="s">
        <v>660</v>
      </c>
      <c r="B58" s="21">
        <f>IF(B21&gt;0,ROUND(B21,0),ROUND(PLU_incomeMonthly*12*prpIncomeMultiple,0))</f>
        <v>361200</v>
      </c>
      <c r="C58" s="21">
        <f>ROUND(IF((B47)&lt;=0,MAX(0,MIN(MAX(0,B25),MAX(0,MAX(0,MAX(0,PLU_investments-MIN(MAX(0,B22),MAX(0,PLU_investments)))-MIN(MAX(0,B23),MAX(0,PLU_investments-MIN(MAX(0,B22),MAX(0,PLU_investments)))))-MIN(MAX(0,B24),MAX(0,MAX(0,PLU_investments-MIN(MAX(0,B22),MAX(0,PLU_investments)))-MIN(MAX(0,B23),MAX(0,PLU_investments-MIN(MAX(0,B22),MAX(0,PLU_investments))))))))),(MIN(MAX(0,B25),MAX(0,MAX(0,MAX(0,PLU_investments-MIN(MAX(0,B22),MAX(0,PLU_investments)))-MIN(MAX(0,B23),MAX(0,PLU_investments-MIN(MAX(0,B22),MAX(0,PLU_investments)))))-MIN(MAX(0,B24),MAX(0,MAX(0,PLU_investments-MIN(MAX(0,B22),MAX(0,PLU_investments)))-MIN(MAX(0,B23),MAX(0,PLU_investments-MIN(MAX(0,B22),MAX(0,PLU_investments)))))))))*(1+realReturn)^(B47)),0)</f>
        <v>0</v>
      </c>
      <c r="D58" s="21">
        <f t="shared" si="0"/>
        <v>361200</v>
      </c>
      <c r="E58" s="33"/>
      <c r="F58" s="19" t="b">
        <f>IF(E58="",NP_on_N_PRP,E58)</f>
        <v>0</v>
      </c>
      <c r="G58" s="10" t="s">
        <v>746</v>
      </c>
    </row>
  </sheetData>
  <mergeCells count="6">
    <mergeCell ref="A1:D1"/>
    <mergeCell ref="A27:D27"/>
    <mergeCell ref="A4:D4"/>
    <mergeCell ref="A43:D43"/>
    <mergeCell ref="A49:D49"/>
    <mergeCell ref="A13:D13"/>
  </mergeCells>
  <dataValidations count="1">
    <dataValidation type="list" allowBlank="1" sqref="E51:E58" xr:uid="{00000000-0002-0000-0600-000000000000}">
      <formula1>"TRUE,FALSE,"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D4E89"/>
  </sheetPr>
  <dimension ref="A1:F7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6" customWidth="1"/>
    <col min="2" max="2" width="22" customWidth="1"/>
    <col min="3" max="3" width="34" customWidth="1"/>
    <col min="4" max="4" width="78" customWidth="1"/>
    <col min="6" max="6" width="42" customWidth="1"/>
  </cols>
  <sheetData>
    <row r="1" spans="1:6" ht="27.95" customHeight="1" x14ac:dyDescent="0.25">
      <c r="A1" s="61" t="s">
        <v>747</v>
      </c>
      <c r="B1" s="58"/>
      <c r="C1" s="58"/>
      <c r="D1" s="58"/>
    </row>
    <row r="2" spans="1:6" x14ac:dyDescent="0.25">
      <c r="A2" s="4" t="s">
        <v>83</v>
      </c>
      <c r="B2" s="5" t="str">
        <f>SelectedPersona</f>
        <v>P02</v>
      </c>
      <c r="C2" s="6" t="str">
        <f>IFERROR(INDEX(Personas!B$3:B$52,MATCH($B$2,Personas!$A$3:$A$52,0)),"")</f>
        <v>Wei Ling Tan</v>
      </c>
      <c r="D2" s="1" t="s">
        <v>352</v>
      </c>
      <c r="F2" s="4" t="s">
        <v>86</v>
      </c>
    </row>
    <row r="3" spans="1:6" x14ac:dyDescent="0.25">
      <c r="A3" s="2" t="s">
        <v>87</v>
      </c>
      <c r="B3" s="2" t="s">
        <v>88</v>
      </c>
      <c r="C3" s="2" t="s">
        <v>89</v>
      </c>
      <c r="D3" s="2" t="s">
        <v>90</v>
      </c>
      <c r="F3" s="7" t="s">
        <v>91</v>
      </c>
    </row>
    <row r="4" spans="1:6" x14ac:dyDescent="0.25">
      <c r="A4" s="63" t="s">
        <v>748</v>
      </c>
      <c r="B4" s="63"/>
      <c r="C4" s="63"/>
      <c r="D4" s="63"/>
      <c r="F4" s="8" t="s">
        <v>93</v>
      </c>
    </row>
    <row r="5" spans="1:6" x14ac:dyDescent="0.25">
      <c r="A5" s="9" t="s">
        <v>749</v>
      </c>
      <c r="B5" s="28">
        <f>PLU_takeHome</f>
        <v>4816</v>
      </c>
      <c r="C5" s="5" t="s">
        <v>95</v>
      </c>
      <c r="D5" s="10" t="s">
        <v>750</v>
      </c>
      <c r="F5" s="11" t="s">
        <v>97</v>
      </c>
    </row>
    <row r="6" spans="1:6" x14ac:dyDescent="0.25">
      <c r="A6" s="9" t="s">
        <v>515</v>
      </c>
      <c r="B6" s="28">
        <f>PLU_expenseMonthly</f>
        <v>3250.8</v>
      </c>
      <c r="C6" s="5" t="s">
        <v>95</v>
      </c>
      <c r="D6" s="10" t="s">
        <v>751</v>
      </c>
      <c r="F6" s="13" t="s">
        <v>100</v>
      </c>
    </row>
    <row r="7" spans="1:6" x14ac:dyDescent="0.25">
      <c r="A7" s="9" t="s">
        <v>752</v>
      </c>
      <c r="B7" s="5" t="b">
        <f>NC_on_N_INC</f>
        <v>0</v>
      </c>
      <c r="C7" s="5" t="s">
        <v>95</v>
      </c>
      <c r="D7" s="10" t="s">
        <v>753</v>
      </c>
    </row>
    <row r="8" spans="1:6" x14ac:dyDescent="0.25">
      <c r="A8" s="9" t="s">
        <v>754</v>
      </c>
      <c r="B8" s="38">
        <f>NC_gap_N_INC</f>
        <v>724812</v>
      </c>
      <c r="C8" s="5" t="s">
        <v>95</v>
      </c>
      <c r="D8" s="10" t="s">
        <v>755</v>
      </c>
    </row>
    <row r="9" spans="1:6" x14ac:dyDescent="0.25">
      <c r="A9" s="9" t="s">
        <v>756</v>
      </c>
      <c r="B9" s="5" t="b">
        <f>NC_on_N_CRI</f>
        <v>1</v>
      </c>
      <c r="C9" s="5" t="s">
        <v>95</v>
      </c>
      <c r="D9" s="10" t="s">
        <v>753</v>
      </c>
    </row>
    <row r="10" spans="1:6" x14ac:dyDescent="0.25">
      <c r="A10" s="9" t="s">
        <v>757</v>
      </c>
      <c r="B10" s="38">
        <f>NC_gap_N_CRI</f>
        <v>412792</v>
      </c>
      <c r="C10" s="5" t="s">
        <v>95</v>
      </c>
      <c r="D10" s="10" t="s">
        <v>755</v>
      </c>
    </row>
    <row r="11" spans="1:6" x14ac:dyDescent="0.25">
      <c r="A11" s="9" t="s">
        <v>758</v>
      </c>
      <c r="B11" s="5" t="b">
        <f>NC_on_N_TPD</f>
        <v>0</v>
      </c>
      <c r="C11" s="5" t="s">
        <v>95</v>
      </c>
      <c r="D11" s="10" t="s">
        <v>753</v>
      </c>
    </row>
    <row r="12" spans="1:6" x14ac:dyDescent="0.25">
      <c r="A12" s="9" t="s">
        <v>759</v>
      </c>
      <c r="B12" s="38">
        <f>NC_gap_N_TPD</f>
        <v>548266</v>
      </c>
      <c r="C12" s="5" t="s">
        <v>95</v>
      </c>
      <c r="D12" s="10" t="s">
        <v>755</v>
      </c>
    </row>
    <row r="13" spans="1:6" x14ac:dyDescent="0.25">
      <c r="A13" s="9" t="s">
        <v>760</v>
      </c>
      <c r="B13" s="5" t="b">
        <f>NC_on_N_HOS</f>
        <v>1</v>
      </c>
      <c r="C13" s="5" t="s">
        <v>95</v>
      </c>
      <c r="D13" s="10" t="s">
        <v>753</v>
      </c>
    </row>
    <row r="14" spans="1:6" x14ac:dyDescent="0.25">
      <c r="A14" s="9" t="s">
        <v>761</v>
      </c>
      <c r="B14" s="38">
        <f>NC_gap_N_HOS</f>
        <v>36120</v>
      </c>
      <c r="C14" s="5" t="s">
        <v>95</v>
      </c>
      <c r="D14" s="10" t="s">
        <v>755</v>
      </c>
    </row>
    <row r="15" spans="1:6" x14ac:dyDescent="0.25">
      <c r="A15" s="9" t="s">
        <v>762</v>
      </c>
      <c r="B15" s="5" t="str">
        <f>NC_on_N_RET</f>
        <v>TRUE</v>
      </c>
      <c r="C15" s="5" t="s">
        <v>95</v>
      </c>
      <c r="D15" s="10" t="s">
        <v>753</v>
      </c>
    </row>
    <row r="16" spans="1:6" x14ac:dyDescent="0.25">
      <c r="A16" s="9" t="s">
        <v>763</v>
      </c>
      <c r="B16" s="38">
        <f>NC_gap_N_RET</f>
        <v>1271143</v>
      </c>
      <c r="C16" s="5" t="s">
        <v>95</v>
      </c>
      <c r="D16" s="10" t="s">
        <v>755</v>
      </c>
    </row>
    <row r="17" spans="1:4" x14ac:dyDescent="0.25">
      <c r="A17" s="9" t="s">
        <v>764</v>
      </c>
      <c r="B17" s="5" t="b">
        <f>NC_on_N_EDU</f>
        <v>0</v>
      </c>
      <c r="C17" s="5" t="s">
        <v>95</v>
      </c>
      <c r="D17" s="10" t="s">
        <v>753</v>
      </c>
    </row>
    <row r="18" spans="1:4" x14ac:dyDescent="0.25">
      <c r="A18" s="9" t="s">
        <v>765</v>
      </c>
      <c r="B18" s="38">
        <f>NC_gap_N_EDU</f>
        <v>94149</v>
      </c>
      <c r="C18" s="5" t="s">
        <v>95</v>
      </c>
      <c r="D18" s="10" t="s">
        <v>755</v>
      </c>
    </row>
    <row r="19" spans="1:4" x14ac:dyDescent="0.25">
      <c r="A19" s="9" t="s">
        <v>766</v>
      </c>
      <c r="B19" s="5" t="b">
        <f>NC_on_N_SAV</f>
        <v>1</v>
      </c>
      <c r="C19" s="5" t="s">
        <v>95</v>
      </c>
      <c r="D19" s="10" t="s">
        <v>753</v>
      </c>
    </row>
    <row r="20" spans="1:4" x14ac:dyDescent="0.25">
      <c r="A20" s="9" t="s">
        <v>767</v>
      </c>
      <c r="B20" s="38">
        <f>NC_gap_N_SAV</f>
        <v>72240</v>
      </c>
      <c r="C20" s="5" t="s">
        <v>95</v>
      </c>
      <c r="D20" s="10" t="s">
        <v>755</v>
      </c>
    </row>
    <row r="21" spans="1:4" x14ac:dyDescent="0.25">
      <c r="A21" s="9" t="s">
        <v>768</v>
      </c>
      <c r="B21" s="5" t="b">
        <f>NC_on_N_PRP</f>
        <v>0</v>
      </c>
      <c r="C21" s="5" t="s">
        <v>95</v>
      </c>
      <c r="D21" s="10" t="s">
        <v>753</v>
      </c>
    </row>
    <row r="22" spans="1:4" x14ac:dyDescent="0.25">
      <c r="A22" s="9" t="s">
        <v>769</v>
      </c>
      <c r="B22" s="38">
        <f>NC_gap_N_PRP</f>
        <v>361200</v>
      </c>
      <c r="C22" s="5" t="s">
        <v>95</v>
      </c>
      <c r="D22" s="10" t="s">
        <v>755</v>
      </c>
    </row>
    <row r="23" spans="1:4" x14ac:dyDescent="0.25">
      <c r="A23" s="9" t="s">
        <v>770</v>
      </c>
      <c r="B23" s="12">
        <f>NC_yearsToRet</f>
        <v>38</v>
      </c>
      <c r="C23" s="5" t="s">
        <v>95</v>
      </c>
      <c r="D23" s="10" t="s">
        <v>771</v>
      </c>
    </row>
    <row r="24" spans="1:4" x14ac:dyDescent="0.25">
      <c r="A24" s="9" t="s">
        <v>772</v>
      </c>
      <c r="B24" s="12">
        <f>NC_eduYears</f>
        <v>10</v>
      </c>
      <c r="C24" s="5" t="s">
        <v>95</v>
      </c>
      <c r="D24" s="10" t="s">
        <v>773</v>
      </c>
    </row>
    <row r="26" spans="1:4" x14ac:dyDescent="0.25">
      <c r="A26" s="67" t="s">
        <v>97</v>
      </c>
      <c r="B26" s="67"/>
      <c r="C26" s="67"/>
      <c r="D26" s="67"/>
    </row>
    <row r="27" spans="1:4" x14ac:dyDescent="0.25">
      <c r="A27" s="29" t="s">
        <v>774</v>
      </c>
      <c r="B27" s="36">
        <f>protectionPremiumRate</f>
        <v>7.7999999999999999E-4</v>
      </c>
      <c r="C27" s="27" t="s">
        <v>369</v>
      </c>
      <c r="D27" s="10" t="s">
        <v>775</v>
      </c>
    </row>
    <row r="28" spans="1:4" x14ac:dyDescent="0.25">
      <c r="A28" s="29" t="s">
        <v>776</v>
      </c>
      <c r="B28" s="31">
        <f>FREE_BUDGET_SHARE</f>
        <v>0.5</v>
      </c>
      <c r="C28" s="27" t="s">
        <v>369</v>
      </c>
      <c r="D28" s="10" t="s">
        <v>777</v>
      </c>
    </row>
    <row r="29" spans="1:4" x14ac:dyDescent="0.25">
      <c r="A29" s="29" t="s">
        <v>778</v>
      </c>
      <c r="B29" s="30">
        <f>monthlyRoundStep</f>
        <v>50</v>
      </c>
      <c r="C29" s="27" t="s">
        <v>369</v>
      </c>
      <c r="D29" s="10" t="s">
        <v>779</v>
      </c>
    </row>
    <row r="30" spans="1:4" x14ac:dyDescent="0.25">
      <c r="A30" s="29" t="s">
        <v>780</v>
      </c>
      <c r="B30" s="30">
        <f>coverPremRoundStep</f>
        <v>10</v>
      </c>
      <c r="C30" s="27" t="s">
        <v>369</v>
      </c>
      <c r="D30" s="10" t="s">
        <v>781</v>
      </c>
    </row>
    <row r="31" spans="1:4" x14ac:dyDescent="0.25">
      <c r="A31" s="29" t="s">
        <v>702</v>
      </c>
      <c r="B31" s="36">
        <f>realReturn</f>
        <v>1.8572825024438133E-2</v>
      </c>
      <c r="C31" s="27" t="s">
        <v>369</v>
      </c>
      <c r="D31" s="10" t="s">
        <v>782</v>
      </c>
    </row>
    <row r="33" spans="1:4" x14ac:dyDescent="0.25">
      <c r="A33" s="64" t="s">
        <v>783</v>
      </c>
      <c r="B33" s="64"/>
      <c r="C33" s="64"/>
      <c r="D33" s="64"/>
    </row>
    <row r="34" spans="1:4" x14ac:dyDescent="0.25">
      <c r="A34" s="18" t="s">
        <v>784</v>
      </c>
      <c r="B34" s="19" t="b">
        <f>AND(NC_on_N_INC,NC_gap_N_INC&gt;0)</f>
        <v>0</v>
      </c>
      <c r="C34" s="19" t="s">
        <v>137</v>
      </c>
      <c r="D34" s="10" t="s">
        <v>785</v>
      </c>
    </row>
    <row r="35" spans="1:4" x14ac:dyDescent="0.25">
      <c r="A35" s="18" t="s">
        <v>786</v>
      </c>
      <c r="B35" s="19" t="b">
        <f>AND(NC_on_N_CRI,NC_gap_N_CRI&gt;0)</f>
        <v>1</v>
      </c>
      <c r="C35" s="19" t="s">
        <v>137</v>
      </c>
      <c r="D35" s="10" t="s">
        <v>785</v>
      </c>
    </row>
    <row r="36" spans="1:4" x14ac:dyDescent="0.25">
      <c r="A36" s="18" t="s">
        <v>787</v>
      </c>
      <c r="B36" s="19" t="b">
        <f>AND(NC_on_N_TPD,NC_gap_N_TPD&gt;0)</f>
        <v>0</v>
      </c>
      <c r="C36" s="19" t="s">
        <v>137</v>
      </c>
      <c r="D36" s="10" t="s">
        <v>785</v>
      </c>
    </row>
    <row r="37" spans="1:4" x14ac:dyDescent="0.25">
      <c r="A37" s="18" t="s">
        <v>788</v>
      </c>
      <c r="B37" s="19" t="b">
        <f>AND(NC_on_N_HOS,NC_gap_N_HOS&gt;0)</f>
        <v>1</v>
      </c>
      <c r="C37" s="19" t="s">
        <v>137</v>
      </c>
      <c r="D37" s="10" t="s">
        <v>785</v>
      </c>
    </row>
    <row r="38" spans="1:4" x14ac:dyDescent="0.25">
      <c r="A38" s="18" t="s">
        <v>789</v>
      </c>
      <c r="B38" s="19" t="b">
        <f>AND(NC_on_N_RET,NC_gap_N_RET&gt;0)</f>
        <v>1</v>
      </c>
      <c r="C38" s="19" t="s">
        <v>137</v>
      </c>
      <c r="D38" s="10" t="s">
        <v>785</v>
      </c>
    </row>
    <row r="39" spans="1:4" x14ac:dyDescent="0.25">
      <c r="A39" s="18" t="s">
        <v>790</v>
      </c>
      <c r="B39" s="19" t="b">
        <f>AND(NC_on_N_EDU,NC_gap_N_EDU&gt;0)</f>
        <v>0</v>
      </c>
      <c r="C39" s="19" t="s">
        <v>137</v>
      </c>
      <c r="D39" s="10" t="s">
        <v>785</v>
      </c>
    </row>
    <row r="40" spans="1:4" x14ac:dyDescent="0.25">
      <c r="A40" s="18" t="s">
        <v>791</v>
      </c>
      <c r="B40" s="19" t="b">
        <f>AND(NC_on_N_SAV,NC_gap_N_SAV&gt;0)</f>
        <v>1</v>
      </c>
      <c r="C40" s="19" t="s">
        <v>137</v>
      </c>
      <c r="D40" s="10" t="s">
        <v>785</v>
      </c>
    </row>
    <row r="41" spans="1:4" x14ac:dyDescent="0.25">
      <c r="A41" s="18" t="s">
        <v>792</v>
      </c>
      <c r="B41" s="19" t="b">
        <f>AND(NC_on_N_PRP,NC_gap_N_PRP&gt;0)</f>
        <v>0</v>
      </c>
      <c r="C41" s="19" t="s">
        <v>137</v>
      </c>
      <c r="D41" s="10" t="s">
        <v>785</v>
      </c>
    </row>
    <row r="42" spans="1:4" x14ac:dyDescent="0.25">
      <c r="A42" s="18" t="s">
        <v>793</v>
      </c>
      <c r="B42" s="37">
        <f>(B38*1)+(B39*1)+(B40*1)+(B41*1)</f>
        <v>2</v>
      </c>
      <c r="C42" s="19" t="s">
        <v>137</v>
      </c>
      <c r="D42" s="10" t="s">
        <v>794</v>
      </c>
    </row>
    <row r="43" spans="1:4" x14ac:dyDescent="0.25">
      <c r="A43" s="18" t="s">
        <v>795</v>
      </c>
      <c r="B43" s="21">
        <f>IF(B34,MAX(0,ROUND(NC_gap_N_INC,0)),0)</f>
        <v>0</v>
      </c>
      <c r="C43" s="19" t="s">
        <v>137</v>
      </c>
      <c r="D43" s="10" t="s">
        <v>796</v>
      </c>
    </row>
    <row r="44" spans="1:4" x14ac:dyDescent="0.25">
      <c r="A44" s="18" t="s">
        <v>797</v>
      </c>
      <c r="B44" s="21">
        <f>IF(B43&lt;=0,0,MAX(0,ROUND((B43*protectionPremiumRate)/coverPremRoundStep,0)*coverPremRoundStep))</f>
        <v>0</v>
      </c>
      <c r="C44" s="19" t="s">
        <v>137</v>
      </c>
      <c r="D44" s="10" t="s">
        <v>798</v>
      </c>
    </row>
    <row r="45" spans="1:4" x14ac:dyDescent="0.25">
      <c r="A45" s="18" t="s">
        <v>799</v>
      </c>
      <c r="B45" s="21">
        <f>IF(B35,MAX(0,ROUND(NC_gap_N_CRI,0)),0)</f>
        <v>412792</v>
      </c>
      <c r="C45" s="19" t="s">
        <v>137</v>
      </c>
      <c r="D45" s="10" t="s">
        <v>796</v>
      </c>
    </row>
    <row r="46" spans="1:4" x14ac:dyDescent="0.25">
      <c r="A46" s="18" t="s">
        <v>800</v>
      </c>
      <c r="B46" s="21">
        <f>IF(B45&lt;=0,0,MAX(0,ROUND((B45*protectionPremiumRate)/coverPremRoundStep,0)*coverPremRoundStep))</f>
        <v>320</v>
      </c>
      <c r="C46" s="19" t="s">
        <v>137</v>
      </c>
      <c r="D46" s="10" t="s">
        <v>798</v>
      </c>
    </row>
    <row r="47" spans="1:4" x14ac:dyDescent="0.25">
      <c r="A47" s="18" t="s">
        <v>801</v>
      </c>
      <c r="B47" s="21">
        <f>IF(B36,MAX(0,ROUND(NC_gap_N_TPD,0)),0)</f>
        <v>0</v>
      </c>
      <c r="C47" s="19" t="s">
        <v>137</v>
      </c>
      <c r="D47" s="10" t="s">
        <v>796</v>
      </c>
    </row>
    <row r="48" spans="1:4" x14ac:dyDescent="0.25">
      <c r="A48" s="18" t="s">
        <v>802</v>
      </c>
      <c r="B48" s="21">
        <f>IF(B47&lt;=0,0,MAX(0,ROUND((B47*protectionPremiumRate)/coverPremRoundStep,0)*coverPremRoundStep))</f>
        <v>0</v>
      </c>
      <c r="C48" s="19" t="s">
        <v>137</v>
      </c>
      <c r="D48" s="10" t="s">
        <v>798</v>
      </c>
    </row>
    <row r="49" spans="1:4" x14ac:dyDescent="0.25">
      <c r="A49" s="18" t="s">
        <v>803</v>
      </c>
      <c r="B49" s="21">
        <f>IF(B37,MAX(0,ROUND(NC_gap_N_HOS,0)),0)</f>
        <v>36120</v>
      </c>
      <c r="C49" s="19" t="s">
        <v>137</v>
      </c>
      <c r="D49" s="10" t="s">
        <v>796</v>
      </c>
    </row>
    <row r="50" spans="1:4" x14ac:dyDescent="0.25">
      <c r="A50" s="18" t="s">
        <v>804</v>
      </c>
      <c r="B50" s="21">
        <f>IF(B49&lt;=0,0,MAX(0,ROUND((B49*protectionPremiumRate)/coverPremRoundStep,0)*coverPremRoundStep))</f>
        <v>30</v>
      </c>
      <c r="C50" s="19" t="s">
        <v>137</v>
      </c>
      <c r="D50" s="10" t="s">
        <v>798</v>
      </c>
    </row>
    <row r="51" spans="1:4" x14ac:dyDescent="0.25">
      <c r="A51" s="18" t="s">
        <v>805</v>
      </c>
      <c r="B51" s="21">
        <f>B44+B46+B48+B50</f>
        <v>350</v>
      </c>
      <c r="C51" s="19" t="s">
        <v>137</v>
      </c>
      <c r="D51" s="10" t="s">
        <v>806</v>
      </c>
    </row>
    <row r="52" spans="1:4" x14ac:dyDescent="0.25">
      <c r="A52" s="18" t="s">
        <v>807</v>
      </c>
      <c r="B52" s="21">
        <f>IF(B42=0,0,MAX(0,ROUND((MAX(0,(PLU_takeHome-PLU_expenseMonthly)*12-B51)*FREE_BUDGET_SHARE)/12/B42/monthlyRoundStep,0)*monthlyRoundStep))</f>
        <v>400</v>
      </c>
      <c r="C52" s="19" t="s">
        <v>137</v>
      </c>
      <c r="D52" s="10" t="s">
        <v>808</v>
      </c>
    </row>
    <row r="53" spans="1:4" x14ac:dyDescent="0.25">
      <c r="A53" s="18" t="s">
        <v>809</v>
      </c>
      <c r="B53" s="21">
        <f>IF((IF(OR((NC_gap_N_RET)&lt;=0,(NC_yearsToRet)&lt;=0),0,IF(ABS(realReturn)&lt;0.000000000001,(NC_gap_N_RET)/(NC_yearsToRet),(NC_gap_N_RET)*realReturn/((1+realReturn)^(NC_yearsToRet)-1))))&lt;=0,0,ROUNDUP((IF(OR((NC_gap_N_RET)&lt;=0,(NC_yearsToRet)&lt;=0),0,IF(ABS(realReturn)&lt;0.000000000001,(NC_gap_N_RET)/(NC_yearsToRet),(NC_gap_N_RET)*realReturn/((1+realReturn)^(NC_yearsToRet)-1))))/12/monthlyRoundStep,0)*monthlyRoundStep)</f>
        <v>1950</v>
      </c>
      <c r="C53" s="19" t="s">
        <v>137</v>
      </c>
      <c r="D53" s="10" t="s">
        <v>810</v>
      </c>
    </row>
    <row r="54" spans="1:4" x14ac:dyDescent="0.25">
      <c r="A54" s="18" t="s">
        <v>811</v>
      </c>
      <c r="B54" s="21">
        <f>IF(B38,MIN(B52,B53),0)</f>
        <v>400</v>
      </c>
      <c r="C54" s="19" t="s">
        <v>137</v>
      </c>
      <c r="D54" s="10" t="s">
        <v>812</v>
      </c>
    </row>
    <row r="55" spans="1:4" x14ac:dyDescent="0.25">
      <c r="A55" s="18" t="s">
        <v>813</v>
      </c>
      <c r="B55" s="21">
        <v>0</v>
      </c>
      <c r="C55" s="19" t="s">
        <v>137</v>
      </c>
      <c r="D55" s="10" t="s">
        <v>814</v>
      </c>
    </row>
    <row r="56" spans="1:4" x14ac:dyDescent="0.25">
      <c r="A56" s="18" t="s">
        <v>815</v>
      </c>
      <c r="B56" s="21">
        <f>IF((IF(OR((NC_gap_N_EDU)&lt;=0,(NC_eduYears)&lt;=0),0,IF(ABS(realReturn)&lt;0.000000000001,(NC_gap_N_EDU)/(NC_eduYears),(NC_gap_N_EDU)*realReturn/((1+realReturn)^(NC_eduYears)-1))))&lt;=0,0,ROUNDUP((IF(OR((NC_gap_N_EDU)&lt;=0,(NC_eduYears)&lt;=0),0,IF(ABS(realReturn)&lt;0.000000000001,(NC_gap_N_EDU)/(NC_eduYears),(NC_gap_N_EDU)*realReturn/((1+realReturn)^(NC_eduYears)-1))))/12/monthlyRoundStep,0)*monthlyRoundStep)</f>
        <v>750</v>
      </c>
      <c r="C56" s="19" t="s">
        <v>137</v>
      </c>
      <c r="D56" s="10" t="s">
        <v>810</v>
      </c>
    </row>
    <row r="57" spans="1:4" x14ac:dyDescent="0.25">
      <c r="A57" s="18" t="s">
        <v>816</v>
      </c>
      <c r="B57" s="21">
        <f>IF(B39,MIN(B52,B56),0)</f>
        <v>0</v>
      </c>
      <c r="C57" s="19" t="s">
        <v>137</v>
      </c>
      <c r="D57" s="10" t="s">
        <v>812</v>
      </c>
    </row>
    <row r="58" spans="1:4" x14ac:dyDescent="0.25">
      <c r="A58" s="18" t="s">
        <v>817</v>
      </c>
      <c r="B58" s="21">
        <v>0</v>
      </c>
      <c r="C58" s="19" t="s">
        <v>137</v>
      </c>
      <c r="D58" s="10" t="s">
        <v>814</v>
      </c>
    </row>
    <row r="59" spans="1:4" x14ac:dyDescent="0.25">
      <c r="A59" s="18" t="s">
        <v>818</v>
      </c>
      <c r="B59" s="21">
        <f>IF((IF(OR((NC_gap_N_SAV)&lt;=0,(NC_eduYears)&lt;=0),0,IF(ABS(realReturn)&lt;0.000000000001,(NC_gap_N_SAV)/(NC_eduYears),(NC_gap_N_SAV)*realReturn/((1+realReturn)^(NC_eduYears)-1))))&lt;=0,0,ROUNDUP((IF(OR((NC_gap_N_SAV)&lt;=0,(NC_eduYears)&lt;=0),0,IF(ABS(realReturn)&lt;0.000000000001,(NC_gap_N_SAV)/(NC_eduYears),(NC_gap_N_SAV)*realReturn/((1+realReturn)^(NC_eduYears)-1))))/12/monthlyRoundStep,0)*monthlyRoundStep)</f>
        <v>600</v>
      </c>
      <c r="C59" s="19" t="s">
        <v>137</v>
      </c>
      <c r="D59" s="10" t="s">
        <v>810</v>
      </c>
    </row>
    <row r="60" spans="1:4" x14ac:dyDescent="0.25">
      <c r="A60" s="18" t="s">
        <v>819</v>
      </c>
      <c r="B60" s="21">
        <f>IF(B40,MIN(B52,B59),0)</f>
        <v>400</v>
      </c>
      <c r="C60" s="19" t="s">
        <v>137</v>
      </c>
      <c r="D60" s="10" t="s">
        <v>812</v>
      </c>
    </row>
    <row r="61" spans="1:4" x14ac:dyDescent="0.25">
      <c r="A61" s="18" t="s">
        <v>820</v>
      </c>
      <c r="B61" s="21">
        <v>0</v>
      </c>
      <c r="C61" s="19" t="s">
        <v>137</v>
      </c>
      <c r="D61" s="10" t="s">
        <v>814</v>
      </c>
    </row>
    <row r="62" spans="1:4" x14ac:dyDescent="0.25">
      <c r="A62" s="18" t="s">
        <v>821</v>
      </c>
      <c r="B62" s="21">
        <f>IF((IF(OR((NC_gap_N_PRP)&lt;=0,(NC_eduYears)&lt;=0),0,IF(ABS(realReturn)&lt;0.000000000001,(NC_gap_N_PRP)/(NC_eduYears),(NC_gap_N_PRP)*realReturn/((1+realReturn)^(NC_eduYears)-1))))&lt;=0,0,ROUNDUP((IF(OR((NC_gap_N_PRP)&lt;=0,(NC_eduYears)&lt;=0),0,IF(ABS(realReturn)&lt;0.000000000001,(NC_gap_N_PRP)/(NC_eduYears),(NC_gap_N_PRP)*realReturn/((1+realReturn)^(NC_eduYears)-1))))/12/monthlyRoundStep,0)*monthlyRoundStep)</f>
        <v>2800</v>
      </c>
      <c r="C62" s="19" t="s">
        <v>137</v>
      </c>
      <c r="D62" s="10" t="s">
        <v>810</v>
      </c>
    </row>
    <row r="63" spans="1:4" x14ac:dyDescent="0.25">
      <c r="A63" s="18" t="s">
        <v>822</v>
      </c>
      <c r="B63" s="21">
        <f>IF(B41,MIN(B52,B62),0)</f>
        <v>0</v>
      </c>
      <c r="C63" s="19" t="s">
        <v>137</v>
      </c>
      <c r="D63" s="10" t="s">
        <v>812</v>
      </c>
    </row>
    <row r="64" spans="1:4" x14ac:dyDescent="0.25">
      <c r="A64" s="18" t="s">
        <v>823</v>
      </c>
      <c r="B64" s="21">
        <v>0</v>
      </c>
      <c r="C64" s="19" t="s">
        <v>137</v>
      </c>
      <c r="D64" s="10" t="s">
        <v>814</v>
      </c>
    </row>
    <row r="66" spans="1:4" x14ac:dyDescent="0.25">
      <c r="A66" s="64" t="s">
        <v>824</v>
      </c>
      <c r="B66" s="64"/>
      <c r="C66" s="64"/>
      <c r="D66" s="64"/>
    </row>
    <row r="67" spans="1:4" x14ac:dyDescent="0.25">
      <c r="A67" s="2" t="s">
        <v>647</v>
      </c>
      <c r="B67" s="8" t="s">
        <v>825</v>
      </c>
      <c r="C67" s="13" t="s">
        <v>826</v>
      </c>
      <c r="D67" s="8" t="s">
        <v>827</v>
      </c>
    </row>
    <row r="68" spans="1:4" x14ac:dyDescent="0.25">
      <c r="A68" s="8" t="s">
        <v>652</v>
      </c>
      <c r="B68" s="19" t="b">
        <f t="shared" ref="B68:B75" si="0">B34</f>
        <v>0</v>
      </c>
      <c r="C68" s="33"/>
      <c r="D68" s="19" t="b">
        <f t="shared" ref="D68:D75" si="1">AND(B68,IF(C68="",TRUE,C68))</f>
        <v>0</v>
      </c>
    </row>
    <row r="69" spans="1:4" x14ac:dyDescent="0.25">
      <c r="A69" s="8" t="s">
        <v>653</v>
      </c>
      <c r="B69" s="19" t="b">
        <f t="shared" si="0"/>
        <v>1</v>
      </c>
      <c r="C69" s="33"/>
      <c r="D69" s="19" t="b">
        <f t="shared" si="1"/>
        <v>1</v>
      </c>
    </row>
    <row r="70" spans="1:4" x14ac:dyDescent="0.25">
      <c r="A70" s="8" t="s">
        <v>654</v>
      </c>
      <c r="B70" s="19" t="b">
        <f t="shared" si="0"/>
        <v>0</v>
      </c>
      <c r="C70" s="33"/>
      <c r="D70" s="19" t="b">
        <f t="shared" si="1"/>
        <v>0</v>
      </c>
    </row>
    <row r="71" spans="1:4" x14ac:dyDescent="0.25">
      <c r="A71" s="8" t="s">
        <v>655</v>
      </c>
      <c r="B71" s="19" t="b">
        <f t="shared" si="0"/>
        <v>1</v>
      </c>
      <c r="C71" s="33"/>
      <c r="D71" s="19" t="b">
        <f t="shared" si="1"/>
        <v>1</v>
      </c>
    </row>
    <row r="72" spans="1:4" x14ac:dyDescent="0.25">
      <c r="A72" s="8" t="s">
        <v>656</v>
      </c>
      <c r="B72" s="19" t="b">
        <f t="shared" si="0"/>
        <v>1</v>
      </c>
      <c r="C72" s="33"/>
      <c r="D72" s="19" t="b">
        <f t="shared" si="1"/>
        <v>1</v>
      </c>
    </row>
    <row r="73" spans="1:4" x14ac:dyDescent="0.25">
      <c r="A73" s="8" t="s">
        <v>658</v>
      </c>
      <c r="B73" s="19" t="b">
        <f t="shared" si="0"/>
        <v>0</v>
      </c>
      <c r="C73" s="33"/>
      <c r="D73" s="19" t="b">
        <f t="shared" si="1"/>
        <v>0</v>
      </c>
    </row>
    <row r="74" spans="1:4" x14ac:dyDescent="0.25">
      <c r="A74" s="8" t="s">
        <v>659</v>
      </c>
      <c r="B74" s="19" t="b">
        <f t="shared" si="0"/>
        <v>1</v>
      </c>
      <c r="C74" s="33"/>
      <c r="D74" s="19" t="b">
        <f t="shared" si="1"/>
        <v>1</v>
      </c>
    </row>
    <row r="75" spans="1:4" x14ac:dyDescent="0.25">
      <c r="A75" s="8" t="s">
        <v>660</v>
      </c>
      <c r="B75" s="19" t="b">
        <f t="shared" si="0"/>
        <v>0</v>
      </c>
      <c r="C75" s="33"/>
      <c r="D75" s="19" t="b">
        <f t="shared" si="1"/>
        <v>0</v>
      </c>
    </row>
    <row r="77" spans="1:4" x14ac:dyDescent="0.25">
      <c r="A77" s="18" t="s">
        <v>828</v>
      </c>
      <c r="B77" s="21">
        <f>(D72*B54)+(D73*B57)+(D74*B60)+(D75*B63)</f>
        <v>800</v>
      </c>
      <c r="C77" s="19" t="s">
        <v>137</v>
      </c>
      <c r="D77" s="10" t="s">
        <v>829</v>
      </c>
    </row>
    <row r="78" spans="1:4" x14ac:dyDescent="0.25">
      <c r="A78" s="18" t="s">
        <v>830</v>
      </c>
      <c r="B78" s="21">
        <f>(D72*B55)+(D73*B58)+(D74*B61)+(D75*B64)</f>
        <v>0</v>
      </c>
      <c r="C78" s="19" t="s">
        <v>137</v>
      </c>
      <c r="D78" s="10" t="s">
        <v>831</v>
      </c>
    </row>
  </sheetData>
  <mergeCells count="5">
    <mergeCell ref="A1:D1"/>
    <mergeCell ref="A4:D4"/>
    <mergeCell ref="A26:D26"/>
    <mergeCell ref="A33:D33"/>
    <mergeCell ref="A66:D66"/>
  </mergeCells>
  <dataValidations count="1">
    <dataValidation type="list" allowBlank="1" sqref="C68:C75" xr:uid="{00000000-0002-0000-0700-000000000000}">
      <formula1>"TRUE,FALSE,"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A1C1C"/>
  </sheetPr>
  <dimension ref="A1:F2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6" customWidth="1"/>
    <col min="2" max="2" width="22" customWidth="1"/>
    <col min="3" max="3" width="34" customWidth="1"/>
    <col min="4" max="4" width="78" customWidth="1"/>
    <col min="6" max="6" width="42" customWidth="1"/>
  </cols>
  <sheetData>
    <row r="1" spans="1:6" ht="27.95" customHeight="1" x14ac:dyDescent="0.25">
      <c r="A1" s="61" t="s">
        <v>832</v>
      </c>
      <c r="B1" s="58"/>
      <c r="C1" s="58"/>
      <c r="D1" s="58"/>
    </row>
    <row r="2" spans="1:6" x14ac:dyDescent="0.25">
      <c r="A2" s="4" t="s">
        <v>83</v>
      </c>
      <c r="B2" s="5" t="str">
        <f>SelectedPersona</f>
        <v>P02</v>
      </c>
      <c r="C2" s="6" t="str">
        <f>IFERROR(INDEX(Personas!B$3:B$52,MATCH($B$2,Personas!$A$3:$A$52,0)),"")</f>
        <v>Wei Ling Tan</v>
      </c>
      <c r="D2" s="1" t="s">
        <v>352</v>
      </c>
      <c r="F2" s="4" t="s">
        <v>86</v>
      </c>
    </row>
    <row r="3" spans="1:6" x14ac:dyDescent="0.25">
      <c r="A3" s="2" t="s">
        <v>87</v>
      </c>
      <c r="B3" s="2" t="s">
        <v>88</v>
      </c>
      <c r="C3" s="2" t="s">
        <v>89</v>
      </c>
      <c r="D3" s="2" t="s">
        <v>90</v>
      </c>
      <c r="F3" s="7" t="s">
        <v>91</v>
      </c>
    </row>
    <row r="4" spans="1:6" x14ac:dyDescent="0.25">
      <c r="A4" s="63" t="s">
        <v>833</v>
      </c>
      <c r="B4" s="63"/>
      <c r="C4" s="63"/>
      <c r="D4" s="63"/>
      <c r="F4" s="8" t="s">
        <v>93</v>
      </c>
    </row>
    <row r="5" spans="1:6" x14ac:dyDescent="0.25">
      <c r="A5" s="9" t="s">
        <v>749</v>
      </c>
      <c r="B5" s="28">
        <f>PLU_takeHome</f>
        <v>4816</v>
      </c>
      <c r="C5" s="5" t="s">
        <v>95</v>
      </c>
      <c r="D5" s="10" t="s">
        <v>834</v>
      </c>
      <c r="F5" s="11" t="s">
        <v>97</v>
      </c>
    </row>
    <row r="6" spans="1:6" x14ac:dyDescent="0.25">
      <c r="A6" s="9" t="s">
        <v>515</v>
      </c>
      <c r="B6" s="28">
        <f>PLU_expenseMonthly</f>
        <v>3250.8</v>
      </c>
      <c r="C6" s="5" t="s">
        <v>95</v>
      </c>
      <c r="D6" s="10" t="s">
        <v>835</v>
      </c>
      <c r="F6" s="13" t="s">
        <v>100</v>
      </c>
    </row>
    <row r="7" spans="1:6" x14ac:dyDescent="0.25">
      <c r="A7" s="9" t="s">
        <v>669</v>
      </c>
      <c r="B7" s="38">
        <f>PLU_investments</f>
        <v>47895</v>
      </c>
      <c r="C7" s="5" t="s">
        <v>95</v>
      </c>
      <c r="D7" s="10" t="s">
        <v>836</v>
      </c>
    </row>
    <row r="8" spans="1:6" x14ac:dyDescent="0.25">
      <c r="A8" s="9" t="s">
        <v>837</v>
      </c>
      <c r="B8" s="38">
        <f>IF(PLAN_included_N_INC,PLAN_prem_N_INC,0)</f>
        <v>0</v>
      </c>
      <c r="C8" s="5" t="s">
        <v>95</v>
      </c>
      <c r="D8" s="10" t="s">
        <v>838</v>
      </c>
    </row>
    <row r="9" spans="1:6" x14ac:dyDescent="0.25">
      <c r="A9" s="9" t="s">
        <v>839</v>
      </c>
      <c r="B9" s="38">
        <f>IF(PLAN_included_N_CRI,PLAN_prem_N_CRI,0)</f>
        <v>320</v>
      </c>
      <c r="C9" s="5" t="s">
        <v>95</v>
      </c>
      <c r="D9" s="10"/>
    </row>
    <row r="10" spans="1:6" x14ac:dyDescent="0.25">
      <c r="A10" s="9" t="s">
        <v>840</v>
      </c>
      <c r="B10" s="38">
        <f>IF(PLAN_included_N_TPD,PLAN_prem_N_TPD,0)</f>
        <v>0</v>
      </c>
      <c r="C10" s="5" t="s">
        <v>95</v>
      </c>
      <c r="D10" s="10"/>
    </row>
    <row r="11" spans="1:6" x14ac:dyDescent="0.25">
      <c r="A11" s="9" t="s">
        <v>841</v>
      </c>
      <c r="B11" s="38">
        <f>IF(PLAN_included_N_HOS,PLAN_prem_N_HOS,0)</f>
        <v>30</v>
      </c>
      <c r="C11" s="5" t="s">
        <v>95</v>
      </c>
      <c r="D11" s="10"/>
    </row>
    <row r="12" spans="1:6" x14ac:dyDescent="0.25">
      <c r="A12" s="9" t="s">
        <v>842</v>
      </c>
      <c r="B12" s="38">
        <f>PLAN_investMth</f>
        <v>800</v>
      </c>
      <c r="C12" s="5" t="s">
        <v>95</v>
      </c>
      <c r="D12" s="10" t="s">
        <v>843</v>
      </c>
    </row>
    <row r="13" spans="1:6" x14ac:dyDescent="0.25">
      <c r="A13" s="9" t="s">
        <v>844</v>
      </c>
      <c r="B13" s="38">
        <f>PLAN_investLump</f>
        <v>0</v>
      </c>
      <c r="C13" s="5" t="s">
        <v>95</v>
      </c>
      <c r="D13" s="10" t="s">
        <v>845</v>
      </c>
    </row>
    <row r="15" spans="1:6" x14ac:dyDescent="0.25">
      <c r="A15" s="67" t="s">
        <v>97</v>
      </c>
      <c r="B15" s="67"/>
      <c r="C15" s="67"/>
      <c r="D15" s="67"/>
    </row>
    <row r="16" spans="1:6" x14ac:dyDescent="0.25">
      <c r="A16" s="29" t="s">
        <v>776</v>
      </c>
      <c r="B16" s="31">
        <f>FREE_BUDGET_SHARE</f>
        <v>0.5</v>
      </c>
      <c r="C16" s="27" t="s">
        <v>369</v>
      </c>
      <c r="D16" s="10" t="s">
        <v>846</v>
      </c>
    </row>
    <row r="18" spans="1:4" x14ac:dyDescent="0.25">
      <c r="A18" s="64" t="s">
        <v>847</v>
      </c>
      <c r="B18" s="64"/>
      <c r="C18" s="64"/>
      <c r="D18" s="64"/>
    </row>
    <row r="19" spans="1:4" x14ac:dyDescent="0.25">
      <c r="A19" s="18" t="s">
        <v>848</v>
      </c>
      <c r="B19" s="20">
        <f>MAX(0,PLU_takeHome-PLU_expenseMonthly)</f>
        <v>1565.1999999999998</v>
      </c>
      <c r="C19" s="19" t="s">
        <v>137</v>
      </c>
      <c r="D19" s="10" t="s">
        <v>849</v>
      </c>
    </row>
    <row r="20" spans="1:4" x14ac:dyDescent="0.25">
      <c r="A20" s="18" t="s">
        <v>850</v>
      </c>
      <c r="B20" s="21">
        <f>ROUND(B19*FREE_BUDGET_SHARE,0)</f>
        <v>783</v>
      </c>
      <c r="C20" s="19" t="s">
        <v>137</v>
      </c>
      <c r="D20" s="10" t="s">
        <v>851</v>
      </c>
    </row>
    <row r="21" spans="1:4" x14ac:dyDescent="0.25">
      <c r="A21" s="18" t="s">
        <v>852</v>
      </c>
      <c r="B21" s="21">
        <f>IF(PLAN_included_N_INC,PLAN_prem_N_INC,0)+IF(PLAN_included_N_CRI,PLAN_prem_N_CRI,0)+IF(PLAN_included_N_TPD,PLAN_prem_N_TPD,0)+IF(PLAN_included_N_HOS,PLAN_prem_N_HOS,0)</f>
        <v>350</v>
      </c>
      <c r="C21" s="19" t="s">
        <v>137</v>
      </c>
      <c r="D21" s="10" t="s">
        <v>853</v>
      </c>
    </row>
    <row r="22" spans="1:4" x14ac:dyDescent="0.25">
      <c r="A22" s="18" t="s">
        <v>854</v>
      </c>
      <c r="B22" s="21">
        <f>ROUND(B21/12,0)</f>
        <v>29</v>
      </c>
      <c r="C22" s="19" t="s">
        <v>137</v>
      </c>
      <c r="D22" s="10" t="s">
        <v>855</v>
      </c>
    </row>
    <row r="23" spans="1:4" x14ac:dyDescent="0.25">
      <c r="A23" s="18" t="s">
        <v>856</v>
      </c>
      <c r="B23" s="21">
        <f>PLAN_investMth</f>
        <v>800</v>
      </c>
      <c r="C23" s="19" t="s">
        <v>137</v>
      </c>
      <c r="D23" s="10" t="s">
        <v>857</v>
      </c>
    </row>
    <row r="24" spans="1:4" x14ac:dyDescent="0.25">
      <c r="A24" s="18" t="s">
        <v>858</v>
      </c>
      <c r="B24" s="21">
        <f>ROUND(PLAN_investMth+B21/12,0)</f>
        <v>829</v>
      </c>
      <c r="C24" s="19" t="s">
        <v>137</v>
      </c>
      <c r="D24" s="10" t="s">
        <v>859</v>
      </c>
    </row>
    <row r="25" spans="1:4" x14ac:dyDescent="0.25">
      <c r="A25" s="18" t="s">
        <v>860</v>
      </c>
      <c r="B25" s="21">
        <f>B24-B20</f>
        <v>46</v>
      </c>
      <c r="C25" s="19" t="s">
        <v>137</v>
      </c>
      <c r="D25" s="10" t="s">
        <v>861</v>
      </c>
    </row>
    <row r="26" spans="1:4" x14ac:dyDescent="0.25">
      <c r="A26" s="18" t="s">
        <v>862</v>
      </c>
      <c r="B26" s="21">
        <f>PLAN_investLump</f>
        <v>0</v>
      </c>
      <c r="C26" s="19" t="s">
        <v>137</v>
      </c>
      <c r="D26" s="10" t="s">
        <v>863</v>
      </c>
    </row>
    <row r="27" spans="1:4" x14ac:dyDescent="0.25">
      <c r="A27" s="18" t="s">
        <v>864</v>
      </c>
      <c r="B27" s="21">
        <f>B26-PLU_investments</f>
        <v>-47895</v>
      </c>
      <c r="C27" s="19" t="s">
        <v>137</v>
      </c>
      <c r="D27" s="10" t="s">
        <v>865</v>
      </c>
    </row>
  </sheetData>
  <mergeCells count="4">
    <mergeCell ref="A1:D1"/>
    <mergeCell ref="A4:D4"/>
    <mergeCell ref="A18:D18"/>
    <mergeCell ref="A15:D15"/>
  </mergeCells>
  <conditionalFormatting sqref="B25">
    <cfRule type="expression" dxfId="7" priority="1">
      <formula>B25&gt;0</formula>
    </cfRule>
    <cfRule type="expression" dxfId="6" priority="2">
      <formula>B25&lt;=0</formula>
    </cfRule>
  </conditionalFormatting>
  <conditionalFormatting sqref="B27">
    <cfRule type="expression" dxfId="5" priority="3">
      <formula>B27&gt;0</formula>
    </cfRule>
    <cfRule type="expression" dxfId="4" priority="4">
      <formula>B27&lt;=0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D6F42"/>
  </sheetPr>
  <dimension ref="A1:K26"/>
  <sheetViews>
    <sheetView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36" customWidth="1"/>
    <col min="2" max="2" width="22" customWidth="1"/>
    <col min="3" max="3" width="34" customWidth="1"/>
    <col min="4" max="4" width="78" customWidth="1"/>
    <col min="6" max="6" width="42" customWidth="1"/>
    <col min="9" max="9" width="14" customWidth="1"/>
    <col min="10" max="10" width="16" customWidth="1"/>
    <col min="11" max="11" width="42" customWidth="1"/>
  </cols>
  <sheetData>
    <row r="1" spans="1:11" ht="27.95" customHeight="1" x14ac:dyDescent="0.25">
      <c r="A1" s="61" t="s">
        <v>866</v>
      </c>
      <c r="B1" s="58"/>
      <c r="C1" s="58"/>
      <c r="D1" s="58"/>
    </row>
    <row r="2" spans="1:11" x14ac:dyDescent="0.25">
      <c r="A2" s="4" t="s">
        <v>83</v>
      </c>
      <c r="B2" s="5" t="str">
        <f>SelectedPersona</f>
        <v>P02</v>
      </c>
      <c r="C2" s="6" t="str">
        <f>IFERROR(INDEX(Personas!B$3:B$52,MATCH($B$2,Personas!$A$3:$A$52,0)),"")</f>
        <v>Wei Ling Tan</v>
      </c>
      <c r="D2" s="1" t="s">
        <v>352</v>
      </c>
      <c r="F2" s="4" t="s">
        <v>86</v>
      </c>
    </row>
    <row r="3" spans="1:11" x14ac:dyDescent="0.25">
      <c r="A3" s="2" t="s">
        <v>87</v>
      </c>
      <c r="B3" s="2" t="s">
        <v>88</v>
      </c>
      <c r="C3" s="2" t="s">
        <v>89</v>
      </c>
      <c r="D3" s="2" t="s">
        <v>90</v>
      </c>
      <c r="F3" s="7" t="s">
        <v>91</v>
      </c>
    </row>
    <row r="4" spans="1:11" x14ac:dyDescent="0.25">
      <c r="A4" s="63" t="s">
        <v>867</v>
      </c>
      <c r="B4" s="63"/>
      <c r="C4" s="63"/>
      <c r="D4" s="63"/>
      <c r="F4" s="8" t="s">
        <v>93</v>
      </c>
      <c r="I4" s="67" t="s">
        <v>868</v>
      </c>
      <c r="J4" s="68"/>
      <c r="K4" s="69"/>
    </row>
    <row r="5" spans="1:11" x14ac:dyDescent="0.25">
      <c r="A5" s="9" t="s">
        <v>119</v>
      </c>
      <c r="B5" s="5" t="str">
        <f>PLU_currency</f>
        <v>SGD</v>
      </c>
      <c r="C5" s="5" t="s">
        <v>95</v>
      </c>
      <c r="D5" s="10" t="s">
        <v>869</v>
      </c>
      <c r="F5" s="11" t="s">
        <v>97</v>
      </c>
      <c r="I5" s="2" t="s">
        <v>119</v>
      </c>
      <c r="J5" s="2" t="s">
        <v>870</v>
      </c>
      <c r="K5" s="2" t="s">
        <v>357</v>
      </c>
    </row>
    <row r="6" spans="1:11" x14ac:dyDescent="0.25">
      <c r="A6" s="9" t="s">
        <v>871</v>
      </c>
      <c r="B6" s="28">
        <f>PLU_incomeMonthly</f>
        <v>6020</v>
      </c>
      <c r="C6" s="5" t="s">
        <v>95</v>
      </c>
      <c r="D6" s="10" t="s">
        <v>872</v>
      </c>
      <c r="F6" s="13" t="s">
        <v>100</v>
      </c>
      <c r="I6" s="5" t="s">
        <v>873</v>
      </c>
      <c r="J6" s="44">
        <v>1</v>
      </c>
      <c r="K6" s="10" t="s">
        <v>874</v>
      </c>
    </row>
    <row r="7" spans="1:11" x14ac:dyDescent="0.25">
      <c r="A7" s="9" t="s">
        <v>875</v>
      </c>
      <c r="B7" s="28">
        <f>PLU_expenseMonthly</f>
        <v>3250.8</v>
      </c>
      <c r="C7" s="5" t="s">
        <v>95</v>
      </c>
      <c r="D7" s="10"/>
      <c r="I7" s="5" t="s">
        <v>180</v>
      </c>
      <c r="J7" s="44">
        <v>0.74</v>
      </c>
      <c r="K7" s="10" t="s">
        <v>876</v>
      </c>
    </row>
    <row r="8" spans="1:11" x14ac:dyDescent="0.25">
      <c r="A8" s="9" t="s">
        <v>877</v>
      </c>
      <c r="B8" s="28">
        <f>PLU_cash</f>
        <v>8452</v>
      </c>
      <c r="C8" s="5" t="s">
        <v>95</v>
      </c>
      <c r="D8" s="10"/>
      <c r="I8" s="5" t="s">
        <v>878</v>
      </c>
      <c r="J8" s="44">
        <v>3.8000000000000002E-5</v>
      </c>
      <c r="K8" s="10" t="s">
        <v>879</v>
      </c>
    </row>
    <row r="9" spans="1:11" x14ac:dyDescent="0.25">
      <c r="A9" s="9" t="s">
        <v>880</v>
      </c>
      <c r="B9" s="38">
        <f>PLU_investments</f>
        <v>47895</v>
      </c>
      <c r="C9" s="5" t="s">
        <v>95</v>
      </c>
      <c r="D9" s="10"/>
      <c r="I9" s="5" t="s">
        <v>881</v>
      </c>
      <c r="J9" s="44">
        <v>0.22500000000000001</v>
      </c>
      <c r="K9" s="10"/>
    </row>
    <row r="10" spans="1:11" x14ac:dyDescent="0.25">
      <c r="A10" s="9" t="s">
        <v>882</v>
      </c>
      <c r="B10" s="38">
        <f>PLU_property</f>
        <v>0</v>
      </c>
      <c r="C10" s="5" t="s">
        <v>95</v>
      </c>
      <c r="D10" s="10"/>
      <c r="I10" s="5" t="s">
        <v>883</v>
      </c>
      <c r="J10" s="44">
        <v>2.9000000000000001E-2</v>
      </c>
      <c r="K10" s="10"/>
    </row>
    <row r="11" spans="1:11" x14ac:dyDescent="0.25">
      <c r="A11" s="9" t="s">
        <v>884</v>
      </c>
      <c r="B11" s="38">
        <f>PLU_mortgage</f>
        <v>0</v>
      </c>
      <c r="C11" s="5" t="s">
        <v>95</v>
      </c>
      <c r="D11" s="10"/>
      <c r="I11" s="5" t="s">
        <v>885</v>
      </c>
      <c r="J11" s="44">
        <v>1.7500000000000002E-2</v>
      </c>
      <c r="K11" s="10"/>
    </row>
    <row r="12" spans="1:11" x14ac:dyDescent="0.25">
      <c r="A12" s="9" t="s">
        <v>886</v>
      </c>
      <c r="B12" s="28">
        <f>PLU_liabilities</f>
        <v>39443.039999999994</v>
      </c>
      <c r="C12" s="5" t="s">
        <v>95</v>
      </c>
      <c r="D12" s="10"/>
      <c r="I12" s="5" t="s">
        <v>887</v>
      </c>
      <c r="J12" s="44">
        <v>0.66</v>
      </c>
      <c r="K12" s="10"/>
    </row>
    <row r="13" spans="1:11" x14ac:dyDescent="0.25">
      <c r="A13" s="9" t="s">
        <v>888</v>
      </c>
      <c r="B13" s="38">
        <f>PLU_lifeSum</f>
        <v>0</v>
      </c>
      <c r="C13" s="5" t="s">
        <v>95</v>
      </c>
      <c r="D13" s="10"/>
      <c r="I13" s="5" t="s">
        <v>889</v>
      </c>
      <c r="J13" s="44">
        <v>1.0900000000000001</v>
      </c>
      <c r="K13" s="10"/>
    </row>
    <row r="14" spans="1:11" x14ac:dyDescent="0.25">
      <c r="I14" s="5" t="s">
        <v>890</v>
      </c>
      <c r="J14" s="44">
        <v>0.128</v>
      </c>
      <c r="K14" s="10"/>
    </row>
    <row r="15" spans="1:11" x14ac:dyDescent="0.25">
      <c r="A15" s="67" t="s">
        <v>891</v>
      </c>
      <c r="B15" s="67"/>
      <c r="C15" s="67"/>
      <c r="D15" s="67"/>
    </row>
    <row r="16" spans="1:11" x14ac:dyDescent="0.25">
      <c r="A16" s="29" t="s">
        <v>892</v>
      </c>
      <c r="B16" s="45">
        <f>IFERROR(VLOOKUP(PLU_currency,FxTable,2,FALSE),"")</f>
        <v>0.74</v>
      </c>
      <c r="C16" s="27" t="s">
        <v>369</v>
      </c>
      <c r="D16" s="10" t="s">
        <v>893</v>
      </c>
    </row>
    <row r="18" spans="1:4" x14ac:dyDescent="0.25">
      <c r="A18" s="64" t="s">
        <v>894</v>
      </c>
      <c r="B18" s="64"/>
      <c r="C18" s="64"/>
      <c r="D18" s="64"/>
    </row>
    <row r="19" spans="1:4" x14ac:dyDescent="0.25">
      <c r="A19" s="18" t="s">
        <v>895</v>
      </c>
      <c r="B19" s="20">
        <f t="shared" ref="B19:B26" si="0">IF($B$16="","",B6*$B$16)</f>
        <v>4454.8</v>
      </c>
      <c r="C19" s="19" t="s">
        <v>137</v>
      </c>
      <c r="D19" s="10" t="s">
        <v>896</v>
      </c>
    </row>
    <row r="20" spans="1:4" x14ac:dyDescent="0.25">
      <c r="A20" s="18" t="s">
        <v>897</v>
      </c>
      <c r="B20" s="20">
        <f t="shared" si="0"/>
        <v>2405.5920000000001</v>
      </c>
      <c r="C20" s="19" t="s">
        <v>137</v>
      </c>
      <c r="D20" s="10"/>
    </row>
    <row r="21" spans="1:4" x14ac:dyDescent="0.25">
      <c r="A21" s="18" t="s">
        <v>898</v>
      </c>
      <c r="B21" s="20">
        <f t="shared" si="0"/>
        <v>6254.48</v>
      </c>
      <c r="C21" s="19" t="s">
        <v>137</v>
      </c>
      <c r="D21" s="10"/>
    </row>
    <row r="22" spans="1:4" x14ac:dyDescent="0.25">
      <c r="A22" s="18" t="s">
        <v>899</v>
      </c>
      <c r="B22" s="20">
        <f t="shared" si="0"/>
        <v>35442.300000000003</v>
      </c>
      <c r="C22" s="19" t="s">
        <v>137</v>
      </c>
      <c r="D22" s="10"/>
    </row>
    <row r="23" spans="1:4" x14ac:dyDescent="0.25">
      <c r="A23" s="18" t="s">
        <v>900</v>
      </c>
      <c r="B23" s="20">
        <f t="shared" si="0"/>
        <v>0</v>
      </c>
      <c r="C23" s="19" t="s">
        <v>137</v>
      </c>
      <c r="D23" s="10"/>
    </row>
    <row r="24" spans="1:4" x14ac:dyDescent="0.25">
      <c r="A24" s="18" t="s">
        <v>901</v>
      </c>
      <c r="B24" s="20">
        <f t="shared" si="0"/>
        <v>0</v>
      </c>
      <c r="C24" s="19" t="s">
        <v>137</v>
      </c>
      <c r="D24" s="10"/>
    </row>
    <row r="25" spans="1:4" x14ac:dyDescent="0.25">
      <c r="A25" s="18" t="s">
        <v>902</v>
      </c>
      <c r="B25" s="20">
        <f t="shared" si="0"/>
        <v>29187.849599999994</v>
      </c>
      <c r="C25" s="19" t="s">
        <v>137</v>
      </c>
      <c r="D25" s="10"/>
    </row>
    <row r="26" spans="1:4" x14ac:dyDescent="0.25">
      <c r="A26" s="18" t="s">
        <v>903</v>
      </c>
      <c r="B26" s="20">
        <f t="shared" si="0"/>
        <v>0</v>
      </c>
      <c r="C26" s="19" t="s">
        <v>137</v>
      </c>
      <c r="D26" s="10"/>
    </row>
  </sheetData>
  <mergeCells count="5">
    <mergeCell ref="A1:D1"/>
    <mergeCell ref="A18:D18"/>
    <mergeCell ref="A4:D4"/>
    <mergeCell ref="A15:D15"/>
    <mergeCell ref="I4:K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45C26"/>
  </sheetPr>
  <dimension ref="A1:G2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72" customWidth="1"/>
    <col min="5" max="5" width="28" customWidth="1"/>
    <col min="6" max="6" width="10" customWidth="1"/>
    <col min="7" max="7" width="42" customWidth="1"/>
  </cols>
  <sheetData>
    <row r="1" spans="1:7" ht="32.1" customHeight="1" x14ac:dyDescent="0.25">
      <c r="A1" s="61" t="s">
        <v>904</v>
      </c>
      <c r="B1" s="58"/>
      <c r="C1" s="58"/>
      <c r="D1" s="58"/>
      <c r="E1" s="58"/>
      <c r="F1" s="58"/>
      <c r="G1" s="58"/>
    </row>
    <row r="2" spans="1:7" ht="32.1" customHeight="1" x14ac:dyDescent="0.25">
      <c r="A2" s="59" t="s">
        <v>905</v>
      </c>
      <c r="B2" s="58"/>
      <c r="C2" s="58"/>
      <c r="D2" s="58"/>
      <c r="E2" s="58"/>
      <c r="F2" s="58"/>
      <c r="G2" s="58"/>
    </row>
    <row r="4" spans="1:7" x14ac:dyDescent="0.25">
      <c r="A4" s="66" t="s">
        <v>906</v>
      </c>
      <c r="B4" s="68"/>
      <c r="C4" s="68"/>
      <c r="D4" s="68"/>
      <c r="E4" s="69"/>
    </row>
    <row r="5" spans="1:7" x14ac:dyDescent="0.25">
      <c r="A5" s="2" t="s">
        <v>907</v>
      </c>
      <c r="B5" s="2" t="s">
        <v>908</v>
      </c>
      <c r="C5" s="2" t="s">
        <v>909</v>
      </c>
      <c r="D5" s="2" t="s">
        <v>910</v>
      </c>
      <c r="E5" s="2" t="s">
        <v>911</v>
      </c>
    </row>
    <row r="6" spans="1:7" ht="24" x14ac:dyDescent="0.25">
      <c r="A6" s="6" t="s">
        <v>139</v>
      </c>
      <c r="B6" s="38">
        <v>200</v>
      </c>
      <c r="C6" s="38">
        <v>100000</v>
      </c>
      <c r="D6" s="10" t="s">
        <v>912</v>
      </c>
      <c r="E6" s="10" t="s">
        <v>913</v>
      </c>
    </row>
    <row r="7" spans="1:7" x14ac:dyDescent="0.25">
      <c r="A7" s="6" t="s">
        <v>143</v>
      </c>
      <c r="B7" s="38">
        <v>80</v>
      </c>
      <c r="C7" s="38">
        <v>80000</v>
      </c>
      <c r="D7" s="10" t="s">
        <v>914</v>
      </c>
      <c r="E7" s="10" t="s">
        <v>913</v>
      </c>
    </row>
    <row r="8" spans="1:7" x14ac:dyDescent="0.25">
      <c r="A8" s="6" t="s">
        <v>145</v>
      </c>
      <c r="B8" s="38">
        <v>0</v>
      </c>
      <c r="C8" s="38">
        <v>20000000</v>
      </c>
      <c r="D8" s="10" t="s">
        <v>915</v>
      </c>
      <c r="E8" s="10" t="s">
        <v>916</v>
      </c>
    </row>
    <row r="9" spans="1:7" x14ac:dyDescent="0.25">
      <c r="A9" s="6" t="s">
        <v>147</v>
      </c>
      <c r="B9" s="38">
        <v>0</v>
      </c>
      <c r="C9" s="38">
        <v>20000000</v>
      </c>
      <c r="D9" s="10" t="s">
        <v>917</v>
      </c>
      <c r="E9" s="10" t="s">
        <v>916</v>
      </c>
    </row>
    <row r="10" spans="1:7" x14ac:dyDescent="0.25">
      <c r="A10" s="6" t="s">
        <v>148</v>
      </c>
      <c r="B10" s="38">
        <v>0</v>
      </c>
      <c r="C10" s="38">
        <v>50000000</v>
      </c>
      <c r="D10" s="10" t="s">
        <v>918</v>
      </c>
      <c r="E10" s="10" t="s">
        <v>916</v>
      </c>
    </row>
    <row r="11" spans="1:7" x14ac:dyDescent="0.25">
      <c r="A11" s="6" t="s">
        <v>150</v>
      </c>
      <c r="B11" s="38">
        <v>0</v>
      </c>
      <c r="C11" s="38">
        <v>50000000</v>
      </c>
      <c r="D11" s="10" t="s">
        <v>919</v>
      </c>
      <c r="E11" s="10" t="s">
        <v>920</v>
      </c>
    </row>
    <row r="12" spans="1:7" x14ac:dyDescent="0.25">
      <c r="A12" s="6" t="s">
        <v>151</v>
      </c>
      <c r="B12" s="38">
        <v>0</v>
      </c>
      <c r="C12" s="38">
        <v>20000000</v>
      </c>
      <c r="D12" s="10" t="s">
        <v>921</v>
      </c>
      <c r="E12" s="10" t="s">
        <v>916</v>
      </c>
    </row>
    <row r="13" spans="1:7" x14ac:dyDescent="0.25">
      <c r="A13" s="6" t="s">
        <v>153</v>
      </c>
      <c r="B13" s="38">
        <v>0</v>
      </c>
      <c r="C13" s="38">
        <v>20000000</v>
      </c>
      <c r="D13" s="10" t="s">
        <v>922</v>
      </c>
      <c r="E13" s="10" t="s">
        <v>916</v>
      </c>
    </row>
    <row r="15" spans="1:7" x14ac:dyDescent="0.25">
      <c r="A15" s="64" t="s">
        <v>923</v>
      </c>
      <c r="B15" s="68"/>
      <c r="C15" s="68"/>
      <c r="D15" s="68"/>
      <c r="E15" s="68"/>
      <c r="F15" s="68"/>
      <c r="G15" s="69"/>
    </row>
    <row r="16" spans="1:7" ht="24" x14ac:dyDescent="0.25">
      <c r="A16" s="9" t="s">
        <v>83</v>
      </c>
      <c r="B16" s="5" t="str">
        <f>SelectedPersona</f>
        <v>P02</v>
      </c>
      <c r="C16" s="6" t="str">
        <f>IFERROR(INDEX(Personas!B$3:B$52,MATCH($B$16,Personas!$A$3:$A$52,0)),"")</f>
        <v>Wei Ling Tan</v>
      </c>
      <c r="D16" s="6" t="str">
        <f>IFERROR(INDEX(Personas!F$3:F$52,MATCH($B$16,Personas!$A$3:$A$52,0)),"")&amp;" / "&amp;PLU_currency</f>
        <v>Singapore / SGD</v>
      </c>
      <c r="E16" s="1" t="s">
        <v>924</v>
      </c>
    </row>
    <row r="17" spans="1:7" ht="36" x14ac:dyDescent="0.25">
      <c r="A17" s="29" t="s">
        <v>892</v>
      </c>
      <c r="B17" s="45">
        <f>FX_usdPerLocal</f>
        <v>0.74</v>
      </c>
      <c r="C17" s="1" t="s">
        <v>925</v>
      </c>
    </row>
    <row r="19" spans="1:7" x14ac:dyDescent="0.25">
      <c r="A19" s="2" t="s">
        <v>907</v>
      </c>
      <c r="B19" s="2" t="s">
        <v>926</v>
      </c>
      <c r="C19" s="2" t="s">
        <v>927</v>
      </c>
      <c r="D19" s="2" t="s">
        <v>908</v>
      </c>
      <c r="E19" s="2" t="s">
        <v>909</v>
      </c>
      <c r="F19" s="2" t="s">
        <v>928</v>
      </c>
      <c r="G19" s="2" t="s">
        <v>929</v>
      </c>
    </row>
    <row r="20" spans="1:7" x14ac:dyDescent="0.25">
      <c r="A20" s="46" t="s">
        <v>139</v>
      </c>
      <c r="B20" s="20">
        <f>PLU_incomeMonthly</f>
        <v>6020</v>
      </c>
      <c r="C20" s="20">
        <f>FX_incomeMonthly</f>
        <v>4454.8</v>
      </c>
      <c r="D20" s="30">
        <f t="shared" ref="D20:E27" si="0">B6</f>
        <v>200</v>
      </c>
      <c r="E20" s="30">
        <f t="shared" si="0"/>
        <v>100000</v>
      </c>
      <c r="F20" s="19" t="str">
        <f>IF(FX_usdPerLocal="","no FX",IF(OR(C20&lt;D20,C20&gt;E20),"FAIL","OK"))</f>
        <v>OK</v>
      </c>
      <c r="G20" s="10" t="str">
        <f>IF(FX_usdPerLocal="","Set Personas currency to a row on the FX tab.",IF(C20&lt;D20,"below min USD",IF(C20&gt;E20,"above max USD","inside USD band")))</f>
        <v>inside USD band</v>
      </c>
    </row>
    <row r="21" spans="1:7" x14ac:dyDescent="0.25">
      <c r="A21" s="46" t="s">
        <v>143</v>
      </c>
      <c r="B21" s="20">
        <f>PLU_expenseMonthly</f>
        <v>3250.8</v>
      </c>
      <c r="C21" s="20">
        <f>FX_expenseMonthly</f>
        <v>2405.5920000000001</v>
      </c>
      <c r="D21" s="30">
        <f t="shared" si="0"/>
        <v>80</v>
      </c>
      <c r="E21" s="30">
        <f t="shared" si="0"/>
        <v>80000</v>
      </c>
      <c r="F21" s="19" t="str">
        <f>IF(FX_usdPerLocal="","no FX",IF(OR(C21&lt;D21,C21&gt;E21),"FAIL","OK"))</f>
        <v>OK</v>
      </c>
      <c r="G21" s="10" t="str">
        <f>IF(FX_usdPerLocal="","Set Personas currency to a row on the FX tab.",IF(C21&lt;D21,"below min USD",IF(C21&gt;E21,"above max USD","inside USD band")))</f>
        <v>inside USD band</v>
      </c>
    </row>
    <row r="22" spans="1:7" x14ac:dyDescent="0.25">
      <c r="A22" s="46" t="s">
        <v>145</v>
      </c>
      <c r="B22" s="20">
        <f>PLU_cash</f>
        <v>8452</v>
      </c>
      <c r="C22" s="20">
        <f>FX_cash</f>
        <v>6254.48</v>
      </c>
      <c r="D22" s="30">
        <f t="shared" si="0"/>
        <v>0</v>
      </c>
      <c r="E22" s="30">
        <f t="shared" si="0"/>
        <v>20000000</v>
      </c>
      <c r="F22" s="19" t="str">
        <f>IF(FX_usdPerLocal="","no FX",IF(OR(C22&lt;D22,C22&gt;E22),"FAIL","OK"))</f>
        <v>OK</v>
      </c>
      <c r="G22" s="10" t="str">
        <f>IF(FX_usdPerLocal="","Set Personas currency to a row on the FX tab.",IF(C22&lt;D22,"below min USD",IF(C22&gt;E22,"above max USD","inside USD band")))</f>
        <v>inside USD band</v>
      </c>
    </row>
    <row r="23" spans="1:7" x14ac:dyDescent="0.25">
      <c r="A23" s="46" t="s">
        <v>147</v>
      </c>
      <c r="B23" s="20">
        <f>PLU_investments</f>
        <v>47895</v>
      </c>
      <c r="C23" s="20">
        <f>FX_investments</f>
        <v>35442.300000000003</v>
      </c>
      <c r="D23" s="30">
        <f t="shared" si="0"/>
        <v>0</v>
      </c>
      <c r="E23" s="30">
        <f t="shared" si="0"/>
        <v>20000000</v>
      </c>
      <c r="F23" s="19" t="str">
        <f>IF(FX_usdPerLocal="","no FX",IF(OR(C23&lt;D23,C23&gt;E23),"FAIL","OK"))</f>
        <v>OK</v>
      </c>
      <c r="G23" s="10" t="str">
        <f>IF(FX_usdPerLocal="","Set Personas currency to a row on the FX tab.",IF(C23&lt;D23,"below min USD",IF(C23&gt;E23,"above max USD","inside USD band")))</f>
        <v>inside USD band</v>
      </c>
    </row>
    <row r="24" spans="1:7" x14ac:dyDescent="0.25">
      <c r="A24" s="46" t="s">
        <v>148</v>
      </c>
      <c r="B24" s="20">
        <f>PLU_property</f>
        <v>0</v>
      </c>
      <c r="C24" s="20">
        <f>FX_property</f>
        <v>0</v>
      </c>
      <c r="D24" s="30">
        <f t="shared" si="0"/>
        <v>0</v>
      </c>
      <c r="E24" s="30">
        <f t="shared" si="0"/>
        <v>50000000</v>
      </c>
      <c r="F24" s="19" t="str">
        <f>IF(FX_usdPerLocal="","no FX",IF(OR(C24&lt;D24,C24&gt;E24),"FAIL","OK"))</f>
        <v>OK</v>
      </c>
      <c r="G24" s="10" t="str">
        <f>IF(FX_usdPerLocal="","Set Personas currency to a row on the FX tab.",IF(C24&lt;D24,"below min USD",IF(C24&gt;E24,"above max USD","inside USD band")))</f>
        <v>inside USD band</v>
      </c>
    </row>
    <row r="25" spans="1:7" x14ac:dyDescent="0.25">
      <c r="A25" s="46" t="s">
        <v>150</v>
      </c>
      <c r="B25" s="20">
        <f>PLU_mortgage</f>
        <v>0</v>
      </c>
      <c r="C25" s="20">
        <f>FX_mortgage</f>
        <v>0</v>
      </c>
      <c r="D25" s="30">
        <f t="shared" si="0"/>
        <v>0</v>
      </c>
      <c r="E25" s="30">
        <f t="shared" si="0"/>
        <v>50000000</v>
      </c>
      <c r="F25" s="19" t="str">
        <f>IF(FX_usdPerLocal="","no FX",IF(OR(C25&lt;D25,C25&gt;E25,AND(C25&gt;C24,C24&gt;0)),"FAIL","OK"))</f>
        <v>OK</v>
      </c>
      <c r="G25" s="10" t="str">
        <f>IF(FX_usdPerLocal="","Set Personas currency to a row on the FX tab.",IF(AND(C25&gt;C24,C24&gt;0),"mortgage USD &gt; property USD",IF(C25&lt;D25,"below min USD",IF(C25&gt;E25,"above max USD","inside USD band"))))</f>
        <v>inside USD band</v>
      </c>
    </row>
    <row r="26" spans="1:7" x14ac:dyDescent="0.25">
      <c r="A26" s="46" t="s">
        <v>151</v>
      </c>
      <c r="B26" s="20">
        <f>PLU_liabilities</f>
        <v>39443.039999999994</v>
      </c>
      <c r="C26" s="20">
        <f>FX_liabilities</f>
        <v>29187.849599999994</v>
      </c>
      <c r="D26" s="30">
        <f t="shared" si="0"/>
        <v>0</v>
      </c>
      <c r="E26" s="30">
        <f t="shared" si="0"/>
        <v>20000000</v>
      </c>
      <c r="F26" s="19" t="str">
        <f>IF(FX_usdPerLocal="","no FX",IF(OR(C26&lt;D26,C26&gt;E26),"FAIL","OK"))</f>
        <v>OK</v>
      </c>
      <c r="G26" s="10" t="str">
        <f>IF(FX_usdPerLocal="","Set Personas currency to a row on the FX tab.",IF(C26&lt;D26,"below min USD",IF(C26&gt;E26,"above max USD","inside USD band")))</f>
        <v>inside USD band</v>
      </c>
    </row>
    <row r="27" spans="1:7" x14ac:dyDescent="0.25">
      <c r="A27" s="46" t="s">
        <v>153</v>
      </c>
      <c r="B27" s="20">
        <f>PLU_lifeSum</f>
        <v>0</v>
      </c>
      <c r="C27" s="20">
        <f>FX_lifeSum</f>
        <v>0</v>
      </c>
      <c r="D27" s="30">
        <f t="shared" si="0"/>
        <v>0</v>
      </c>
      <c r="E27" s="30">
        <f t="shared" si="0"/>
        <v>20000000</v>
      </c>
      <c r="F27" s="19" t="str">
        <f>IF(FX_usdPerLocal="","no FX",IF(OR(C27&lt;D27,C27&gt;E27),"FAIL","OK"))</f>
        <v>OK</v>
      </c>
      <c r="G27" s="10" t="str">
        <f>IF(FX_usdPerLocal="","Set Personas currency to a row on the FX tab.",IF(C27&lt;D27,"below min USD",IF(C27&gt;E27,"above max USD","inside USD band")))</f>
        <v>inside USD band</v>
      </c>
    </row>
    <row r="29" spans="1:7" x14ac:dyDescent="0.25">
      <c r="A29" s="47" t="s">
        <v>930</v>
      </c>
      <c r="B29" s="19" t="str">
        <f>IF(COUNTIF(F20:F27,"FAIL")&gt;0,"FAIL",IF(COUNTIF(F20:F27,"no FX")&gt;0,"no FX","OK"))</f>
        <v>OK</v>
      </c>
    </row>
  </sheetData>
  <mergeCells count="4">
    <mergeCell ref="A2:G2"/>
    <mergeCell ref="A4:E4"/>
    <mergeCell ref="A1:G1"/>
    <mergeCell ref="A15:G15"/>
  </mergeCells>
  <conditionalFormatting sqref="B29">
    <cfRule type="expression" dxfId="3" priority="17">
      <formula>B29="FAIL"</formula>
    </cfRule>
    <cfRule type="expression" dxfId="2" priority="18">
      <formula>B29="OK"</formula>
    </cfRule>
  </conditionalFormatting>
  <conditionalFormatting sqref="F20:F27">
    <cfRule type="expression" dxfId="1" priority="1">
      <formula>F20="FAIL"</formula>
    </cfRule>
    <cfRule type="expression" dxfId="0" priority="2">
      <formula>F20="OK"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6F6A"/>
  </sheetPr>
  <dimension ref="A1:M10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2" customWidth="1"/>
    <col min="2" max="2" width="16" customWidth="1"/>
    <col min="3" max="3" width="56" customWidth="1"/>
    <col min="4" max="4" width="14" customWidth="1"/>
    <col min="5" max="5" width="36" customWidth="1"/>
    <col min="6" max="7" width="14" customWidth="1"/>
    <col min="8" max="8" width="16" customWidth="1"/>
    <col min="9" max="9" width="22" customWidth="1"/>
    <col min="10" max="11" width="16" customWidth="1"/>
  </cols>
  <sheetData>
    <row r="1" spans="1:12" ht="21.95" customHeight="1" x14ac:dyDescent="0.25">
      <c r="A1" s="61" t="s">
        <v>931</v>
      </c>
      <c r="B1" s="58"/>
      <c r="C1" s="58"/>
      <c r="D1" s="58"/>
      <c r="E1" s="58"/>
      <c r="F1" s="58"/>
      <c r="G1" s="58"/>
    </row>
    <row r="2" spans="1:12" ht="32.1" customHeight="1" x14ac:dyDescent="0.25">
      <c r="A2" s="59" t="s">
        <v>932</v>
      </c>
      <c r="B2" s="58"/>
      <c r="C2" s="58"/>
      <c r="D2" s="58"/>
      <c r="E2" s="58"/>
      <c r="F2" s="58"/>
      <c r="G2" s="58"/>
    </row>
    <row r="4" spans="1:12" x14ac:dyDescent="0.25">
      <c r="A4" s="60" t="s">
        <v>933</v>
      </c>
      <c r="B4" s="58"/>
      <c r="C4" s="58"/>
      <c r="E4" s="60" t="s">
        <v>934</v>
      </c>
      <c r="F4" s="58"/>
      <c r="G4" s="58"/>
      <c r="I4" s="62" t="s">
        <v>935</v>
      </c>
      <c r="J4" s="58"/>
      <c r="K4" s="58"/>
      <c r="L4" s="58"/>
    </row>
    <row r="5" spans="1:12" x14ac:dyDescent="0.25">
      <c r="A5" s="3" t="s">
        <v>698</v>
      </c>
      <c r="B5" s="48">
        <v>2.3E-2</v>
      </c>
      <c r="E5" s="2" t="s">
        <v>107</v>
      </c>
      <c r="F5" s="2" t="s">
        <v>936</v>
      </c>
      <c r="G5" s="2" t="s">
        <v>937</v>
      </c>
      <c r="I5" s="58"/>
      <c r="J5" s="58"/>
      <c r="K5" s="58"/>
      <c r="L5" s="58"/>
    </row>
    <row r="6" spans="1:12" x14ac:dyDescent="0.25">
      <c r="A6" s="3" t="s">
        <v>938</v>
      </c>
      <c r="B6" s="48">
        <v>1.2E-2</v>
      </c>
      <c r="E6" s="3" t="s">
        <v>192</v>
      </c>
      <c r="F6" s="49">
        <v>5600</v>
      </c>
      <c r="G6" s="49">
        <v>9800</v>
      </c>
      <c r="H6" s="50" t="s">
        <v>939</v>
      </c>
      <c r="I6" s="58"/>
      <c r="J6" s="58"/>
      <c r="K6" s="58"/>
      <c r="L6" s="58"/>
    </row>
    <row r="7" spans="1:12" x14ac:dyDescent="0.25">
      <c r="A7" s="3" t="s">
        <v>940</v>
      </c>
      <c r="B7" s="48">
        <v>3.5000000000000003E-2</v>
      </c>
      <c r="E7" s="3" t="s">
        <v>215</v>
      </c>
      <c r="F7" s="49">
        <v>7500</v>
      </c>
      <c r="G7" s="49">
        <v>18000</v>
      </c>
      <c r="H7" s="50" t="s">
        <v>941</v>
      </c>
    </row>
    <row r="8" spans="1:12" ht="24" x14ac:dyDescent="0.25">
      <c r="A8" s="3" t="s">
        <v>942</v>
      </c>
      <c r="B8" s="48">
        <v>2.8000000000000001E-2</v>
      </c>
      <c r="E8" s="3" t="s">
        <v>230</v>
      </c>
      <c r="F8" s="49">
        <v>11200</v>
      </c>
      <c r="G8" s="49">
        <v>28000</v>
      </c>
      <c r="H8" s="50" t="s">
        <v>943</v>
      </c>
    </row>
    <row r="9" spans="1:12" x14ac:dyDescent="0.25">
      <c r="A9" s="3" t="s">
        <v>700</v>
      </c>
      <c r="B9" s="48">
        <v>4.2000000000000003E-2</v>
      </c>
      <c r="E9" s="3" t="s">
        <v>208</v>
      </c>
      <c r="F9" s="49">
        <v>7000</v>
      </c>
      <c r="G9" s="49">
        <v>14000</v>
      </c>
      <c r="H9" s="50" t="s">
        <v>944</v>
      </c>
    </row>
    <row r="10" spans="1:12" x14ac:dyDescent="0.25">
      <c r="A10" s="3" t="s">
        <v>945</v>
      </c>
      <c r="B10" s="48">
        <v>0.03</v>
      </c>
      <c r="E10" s="3" t="s">
        <v>223</v>
      </c>
      <c r="F10" s="49">
        <v>10400</v>
      </c>
      <c r="G10" s="49">
        <v>26000</v>
      </c>
      <c r="H10" s="50" t="s">
        <v>946</v>
      </c>
    </row>
    <row r="11" spans="1:12" x14ac:dyDescent="0.25">
      <c r="A11" s="3" t="s">
        <v>947</v>
      </c>
      <c r="B11" s="51">
        <f>MAX(0,(1+investmentReturn)/(1+inflationRate)-1)</f>
        <v>1.8572825024438133E-2</v>
      </c>
      <c r="C11" s="52" t="s">
        <v>948</v>
      </c>
      <c r="E11" s="3" t="s">
        <v>179</v>
      </c>
      <c r="F11" s="49">
        <v>4200</v>
      </c>
      <c r="G11" s="49">
        <v>8400</v>
      </c>
      <c r="H11" s="50" t="s">
        <v>179</v>
      </c>
    </row>
    <row r="12" spans="1:12" x14ac:dyDescent="0.25">
      <c r="E12" s="3" t="s">
        <v>202</v>
      </c>
      <c r="F12" s="49">
        <v>5600</v>
      </c>
      <c r="G12" s="49">
        <v>11200</v>
      </c>
      <c r="H12" s="50" t="s">
        <v>202</v>
      </c>
    </row>
    <row r="13" spans="1:12" ht="36" x14ac:dyDescent="0.25">
      <c r="A13" s="60" t="s">
        <v>949</v>
      </c>
      <c r="B13" s="58"/>
      <c r="C13" s="58"/>
      <c r="E13" s="3" t="s">
        <v>235</v>
      </c>
      <c r="F13" s="49">
        <v>16800</v>
      </c>
      <c r="G13" s="49">
        <v>42000</v>
      </c>
      <c r="H13" s="50" t="s">
        <v>950</v>
      </c>
    </row>
    <row r="14" spans="1:12" x14ac:dyDescent="0.25">
      <c r="A14" s="3" t="s">
        <v>951</v>
      </c>
      <c r="B14" s="38">
        <v>65</v>
      </c>
    </row>
    <row r="15" spans="1:12" x14ac:dyDescent="0.25">
      <c r="A15" s="3" t="s">
        <v>450</v>
      </c>
      <c r="B15" s="38">
        <v>85</v>
      </c>
    </row>
    <row r="16" spans="1:12" x14ac:dyDescent="0.25">
      <c r="A16" s="3" t="s">
        <v>952</v>
      </c>
      <c r="B16" s="38">
        <v>2026</v>
      </c>
    </row>
    <row r="17" spans="1:9" x14ac:dyDescent="0.25">
      <c r="A17" s="3" t="s">
        <v>953</v>
      </c>
      <c r="B17" s="38">
        <v>85</v>
      </c>
    </row>
    <row r="19" spans="1:9" x14ac:dyDescent="0.25">
      <c r="A19" s="60" t="s">
        <v>954</v>
      </c>
      <c r="B19" s="58"/>
      <c r="C19" s="58"/>
    </row>
    <row r="20" spans="1:9" x14ac:dyDescent="0.25">
      <c r="E20" s="60" t="s">
        <v>955</v>
      </c>
      <c r="F20" s="58"/>
      <c r="G20" s="58"/>
      <c r="H20" s="58"/>
      <c r="I20" s="58"/>
    </row>
    <row r="21" spans="1:9" x14ac:dyDescent="0.25">
      <c r="E21" s="2" t="s">
        <v>158</v>
      </c>
      <c r="F21" s="2" t="s">
        <v>956</v>
      </c>
      <c r="G21" s="2" t="s">
        <v>957</v>
      </c>
      <c r="H21" s="2" t="s">
        <v>958</v>
      </c>
      <c r="I21" s="2" t="s">
        <v>959</v>
      </c>
    </row>
    <row r="22" spans="1:9" ht="25.5" x14ac:dyDescent="0.25">
      <c r="E22" s="3" t="s">
        <v>960</v>
      </c>
      <c r="F22" s="3" t="s">
        <v>961</v>
      </c>
      <c r="G22" s="3" t="s">
        <v>962</v>
      </c>
      <c r="H22" s="3" t="s">
        <v>963</v>
      </c>
      <c r="I22" s="3" t="s">
        <v>964</v>
      </c>
    </row>
    <row r="23" spans="1:9" ht="25.5" x14ac:dyDescent="0.25">
      <c r="E23" s="3" t="s">
        <v>965</v>
      </c>
      <c r="F23" s="3" t="s">
        <v>966</v>
      </c>
      <c r="G23" s="3" t="s">
        <v>967</v>
      </c>
      <c r="H23" s="3" t="s">
        <v>968</v>
      </c>
      <c r="I23" s="3" t="s">
        <v>969</v>
      </c>
    </row>
    <row r="24" spans="1:9" ht="25.5" x14ac:dyDescent="0.25">
      <c r="E24" s="3" t="s">
        <v>970</v>
      </c>
      <c r="F24" s="3" t="s">
        <v>971</v>
      </c>
      <c r="G24" s="3" t="s">
        <v>972</v>
      </c>
      <c r="H24" s="3" t="s">
        <v>973</v>
      </c>
      <c r="I24" s="3" t="s">
        <v>974</v>
      </c>
    </row>
    <row r="25" spans="1:9" ht="25.5" x14ac:dyDescent="0.25">
      <c r="E25" s="3" t="s">
        <v>975</v>
      </c>
      <c r="F25" s="3" t="s">
        <v>976</v>
      </c>
      <c r="G25" s="3" t="s">
        <v>977</v>
      </c>
      <c r="H25" s="3" t="s">
        <v>978</v>
      </c>
      <c r="I25" s="3" t="s">
        <v>979</v>
      </c>
    </row>
    <row r="26" spans="1:9" x14ac:dyDescent="0.25">
      <c r="E26" s="3" t="s">
        <v>980</v>
      </c>
      <c r="F26" s="3" t="s">
        <v>981</v>
      </c>
      <c r="G26" s="3" t="s">
        <v>982</v>
      </c>
      <c r="H26" s="3" t="s">
        <v>983</v>
      </c>
      <c r="I26" s="3" t="s">
        <v>984</v>
      </c>
    </row>
    <row r="27" spans="1:9" x14ac:dyDescent="0.25">
      <c r="A27" s="60" t="s">
        <v>985</v>
      </c>
      <c r="B27" s="58"/>
      <c r="C27" s="58"/>
      <c r="E27" s="3" t="s">
        <v>986</v>
      </c>
      <c r="F27" s="3" t="s">
        <v>987</v>
      </c>
      <c r="G27" s="3" t="s">
        <v>988</v>
      </c>
      <c r="H27" s="3" t="s">
        <v>989</v>
      </c>
      <c r="I27" s="3" t="s">
        <v>990</v>
      </c>
    </row>
    <row r="28" spans="1:9" ht="38.25" x14ac:dyDescent="0.25">
      <c r="A28" s="3" t="s">
        <v>704</v>
      </c>
      <c r="B28" s="48">
        <v>0.75</v>
      </c>
      <c r="E28" s="3" t="s">
        <v>991</v>
      </c>
      <c r="F28" s="3" t="s">
        <v>992</v>
      </c>
      <c r="G28" s="3" t="s">
        <v>993</v>
      </c>
      <c r="H28" s="3" t="s">
        <v>994</v>
      </c>
      <c r="I28" s="3" t="s">
        <v>990</v>
      </c>
    </row>
    <row r="29" spans="1:9" ht="25.5" x14ac:dyDescent="0.25">
      <c r="A29" s="3" t="s">
        <v>706</v>
      </c>
      <c r="B29" s="48">
        <v>1</v>
      </c>
      <c r="E29" s="3" t="s">
        <v>995</v>
      </c>
      <c r="F29" s="3" t="s">
        <v>996</v>
      </c>
      <c r="G29" s="3" t="s">
        <v>997</v>
      </c>
      <c r="H29" s="3" t="s">
        <v>998</v>
      </c>
      <c r="I29" s="3" t="s">
        <v>990</v>
      </c>
    </row>
    <row r="30" spans="1:9" x14ac:dyDescent="0.25">
      <c r="A30" s="3" t="s">
        <v>708</v>
      </c>
      <c r="B30" s="48">
        <v>1.25</v>
      </c>
      <c r="E30" s="3" t="s">
        <v>999</v>
      </c>
      <c r="F30" s="3" t="s">
        <v>1000</v>
      </c>
      <c r="G30" s="3" t="s">
        <v>1001</v>
      </c>
      <c r="H30" s="3" t="s">
        <v>1002</v>
      </c>
      <c r="I30" s="3" t="s">
        <v>1003</v>
      </c>
    </row>
    <row r="31" spans="1:9" ht="25.5" x14ac:dyDescent="0.25">
      <c r="A31" s="3" t="s">
        <v>1004</v>
      </c>
      <c r="B31" s="38">
        <v>10</v>
      </c>
      <c r="E31" s="3" t="s">
        <v>1005</v>
      </c>
      <c r="F31" s="3" t="s">
        <v>1006</v>
      </c>
      <c r="G31" s="3" t="s">
        <v>1007</v>
      </c>
      <c r="H31" s="3" t="s">
        <v>1008</v>
      </c>
      <c r="I31" s="3" t="s">
        <v>1009</v>
      </c>
    </row>
    <row r="32" spans="1:9" ht="25.5" x14ac:dyDescent="0.25">
      <c r="A32" s="3" t="s">
        <v>1010</v>
      </c>
      <c r="B32" s="38">
        <v>25</v>
      </c>
      <c r="E32" s="3" t="s">
        <v>1011</v>
      </c>
      <c r="F32" s="3" t="s">
        <v>1012</v>
      </c>
      <c r="G32" s="3" t="s">
        <v>1013</v>
      </c>
      <c r="H32" s="3" t="s">
        <v>1014</v>
      </c>
      <c r="I32" s="3" t="s">
        <v>1015</v>
      </c>
    </row>
    <row r="33" spans="1:9" x14ac:dyDescent="0.25">
      <c r="A33" s="3" t="s">
        <v>1016</v>
      </c>
      <c r="B33" s="38">
        <v>50</v>
      </c>
      <c r="E33" s="3" t="s">
        <v>1017</v>
      </c>
      <c r="F33" s="3" t="s">
        <v>1018</v>
      </c>
      <c r="G33" s="3" t="s">
        <v>1019</v>
      </c>
      <c r="H33" s="3" t="s">
        <v>1020</v>
      </c>
      <c r="I33" s="3" t="s">
        <v>1015</v>
      </c>
    </row>
    <row r="34" spans="1:9" ht="25.5" x14ac:dyDescent="0.25">
      <c r="A34" s="3" t="s">
        <v>1021</v>
      </c>
      <c r="B34" s="38">
        <v>3</v>
      </c>
      <c r="E34" s="3" t="s">
        <v>1022</v>
      </c>
      <c r="F34" s="3" t="s">
        <v>1023</v>
      </c>
      <c r="G34" s="3" t="s">
        <v>1024</v>
      </c>
      <c r="H34" s="3" t="s">
        <v>1025</v>
      </c>
      <c r="I34" s="3" t="s">
        <v>1026</v>
      </c>
    </row>
    <row r="35" spans="1:9" x14ac:dyDescent="0.25">
      <c r="A35" s="3" t="s">
        <v>1027</v>
      </c>
      <c r="B35" s="38">
        <v>200000</v>
      </c>
    </row>
    <row r="36" spans="1:9" x14ac:dyDescent="0.25">
      <c r="A36" s="3" t="s">
        <v>1028</v>
      </c>
      <c r="B36" s="38">
        <v>5</v>
      </c>
    </row>
    <row r="37" spans="1:9" x14ac:dyDescent="0.25">
      <c r="A37" s="3" t="s">
        <v>1029</v>
      </c>
      <c r="B37" s="38">
        <v>200000</v>
      </c>
    </row>
    <row r="38" spans="1:9" x14ac:dyDescent="0.25">
      <c r="A38" s="3" t="s">
        <v>716</v>
      </c>
      <c r="B38" s="38">
        <v>6</v>
      </c>
    </row>
    <row r="39" spans="1:9" x14ac:dyDescent="0.25">
      <c r="A39" s="3" t="s">
        <v>718</v>
      </c>
      <c r="B39" s="38">
        <v>75000</v>
      </c>
    </row>
    <row r="40" spans="1:9" x14ac:dyDescent="0.25">
      <c r="A40" s="3" t="s">
        <v>1030</v>
      </c>
      <c r="B40" s="38">
        <v>10</v>
      </c>
    </row>
    <row r="41" spans="1:9" x14ac:dyDescent="0.25">
      <c r="A41" s="3" t="s">
        <v>720</v>
      </c>
      <c r="B41" s="38">
        <v>1</v>
      </c>
    </row>
    <row r="42" spans="1:9" x14ac:dyDescent="0.25">
      <c r="A42" s="3" t="s">
        <v>722</v>
      </c>
      <c r="B42" s="38">
        <v>5</v>
      </c>
    </row>
    <row r="44" spans="1:9" x14ac:dyDescent="0.25">
      <c r="A44" s="60" t="s">
        <v>1031</v>
      </c>
      <c r="B44" s="58"/>
      <c r="C44" s="58"/>
    </row>
    <row r="45" spans="1:9" x14ac:dyDescent="0.25">
      <c r="A45" s="3" t="s">
        <v>418</v>
      </c>
      <c r="B45" s="48">
        <v>0.67500000000000004</v>
      </c>
    </row>
    <row r="46" spans="1:9" x14ac:dyDescent="0.25">
      <c r="A46" s="3" t="s">
        <v>420</v>
      </c>
      <c r="B46" s="48">
        <v>0.05</v>
      </c>
    </row>
    <row r="47" spans="1:9" x14ac:dyDescent="0.25">
      <c r="A47" s="3" t="s">
        <v>422</v>
      </c>
      <c r="B47" s="48">
        <v>0.9</v>
      </c>
    </row>
    <row r="48" spans="1:9" x14ac:dyDescent="0.25">
      <c r="A48" s="3" t="s">
        <v>424</v>
      </c>
      <c r="B48" s="48">
        <v>0.5</v>
      </c>
    </row>
    <row r="49" spans="1:3" x14ac:dyDescent="0.25">
      <c r="A49" s="3" t="s">
        <v>426</v>
      </c>
      <c r="B49" s="38">
        <v>21</v>
      </c>
    </row>
    <row r="50" spans="1:3" x14ac:dyDescent="0.25">
      <c r="A50" s="3" t="s">
        <v>1032</v>
      </c>
      <c r="B50" s="48">
        <v>0.7</v>
      </c>
    </row>
    <row r="51" spans="1:3" x14ac:dyDescent="0.25">
      <c r="A51" s="3" t="s">
        <v>428</v>
      </c>
      <c r="B51" s="48">
        <v>0.15</v>
      </c>
    </row>
    <row r="52" spans="1:3" x14ac:dyDescent="0.25">
      <c r="A52" s="3" t="s">
        <v>430</v>
      </c>
      <c r="B52" s="48">
        <v>0.85</v>
      </c>
    </row>
    <row r="53" spans="1:3" x14ac:dyDescent="0.25">
      <c r="A53" s="3" t="s">
        <v>434</v>
      </c>
      <c r="B53" s="38">
        <v>350000</v>
      </c>
    </row>
    <row r="54" spans="1:3" x14ac:dyDescent="0.25">
      <c r="A54" s="3" t="s">
        <v>436</v>
      </c>
      <c r="B54" s="38">
        <v>650000</v>
      </c>
    </row>
    <row r="55" spans="1:3" x14ac:dyDescent="0.25">
      <c r="A55" s="3" t="s">
        <v>438</v>
      </c>
      <c r="B55" s="38">
        <v>850000</v>
      </c>
    </row>
    <row r="56" spans="1:3" x14ac:dyDescent="0.25">
      <c r="A56" s="3" t="s">
        <v>440</v>
      </c>
      <c r="B56" s="38">
        <v>10000</v>
      </c>
    </row>
    <row r="57" spans="1:3" x14ac:dyDescent="0.25">
      <c r="A57" s="3" t="s">
        <v>442</v>
      </c>
      <c r="B57" s="38">
        <v>20000</v>
      </c>
    </row>
    <row r="58" spans="1:3" x14ac:dyDescent="0.25">
      <c r="A58" s="3" t="s">
        <v>444</v>
      </c>
      <c r="B58" s="48">
        <v>0.55000000000000004</v>
      </c>
    </row>
    <row r="59" spans="1:3" x14ac:dyDescent="0.25">
      <c r="A59" s="3" t="s">
        <v>446</v>
      </c>
      <c r="B59" s="53">
        <v>3.0999999999999999E-3</v>
      </c>
    </row>
    <row r="60" spans="1:3" x14ac:dyDescent="0.25">
      <c r="A60" s="3" t="s">
        <v>448</v>
      </c>
      <c r="B60" s="38">
        <v>100000</v>
      </c>
    </row>
    <row r="62" spans="1:3" x14ac:dyDescent="0.25">
      <c r="A62" s="60" t="s">
        <v>1033</v>
      </c>
      <c r="B62" s="58"/>
      <c r="C62" s="58"/>
    </row>
    <row r="63" spans="1:3" x14ac:dyDescent="0.25">
      <c r="A63" s="3" t="s">
        <v>774</v>
      </c>
      <c r="B63" s="53">
        <v>7.7999999999999999E-4</v>
      </c>
    </row>
    <row r="64" spans="1:3" x14ac:dyDescent="0.25">
      <c r="A64" s="3" t="s">
        <v>776</v>
      </c>
      <c r="B64" s="48">
        <v>0.5</v>
      </c>
    </row>
    <row r="65" spans="1:3" x14ac:dyDescent="0.25">
      <c r="A65" s="3" t="s">
        <v>1034</v>
      </c>
      <c r="B65" s="38">
        <v>1000</v>
      </c>
    </row>
    <row r="66" spans="1:3" x14ac:dyDescent="0.25">
      <c r="A66" s="3" t="s">
        <v>778</v>
      </c>
      <c r="B66" s="38">
        <v>50</v>
      </c>
    </row>
    <row r="67" spans="1:3" x14ac:dyDescent="0.25">
      <c r="A67" s="3" t="s">
        <v>780</v>
      </c>
      <c r="B67" s="38">
        <v>10</v>
      </c>
    </row>
    <row r="68" spans="1:3" x14ac:dyDescent="0.25">
      <c r="A68" s="3" t="s">
        <v>1035</v>
      </c>
      <c r="B68" s="38">
        <v>200</v>
      </c>
    </row>
    <row r="70" spans="1:3" x14ac:dyDescent="0.25">
      <c r="A70" s="60" t="s">
        <v>1036</v>
      </c>
      <c r="B70" s="58"/>
      <c r="C70" s="58"/>
    </row>
    <row r="71" spans="1:3" x14ac:dyDescent="0.25">
      <c r="A71" s="3" t="s">
        <v>1037</v>
      </c>
      <c r="B71" s="38">
        <v>1500</v>
      </c>
    </row>
    <row r="72" spans="1:3" x14ac:dyDescent="0.25">
      <c r="A72" s="3" t="s">
        <v>1038</v>
      </c>
      <c r="B72" s="38">
        <v>200</v>
      </c>
    </row>
    <row r="73" spans="1:3" x14ac:dyDescent="0.25">
      <c r="A73" s="3" t="s">
        <v>1039</v>
      </c>
      <c r="B73" s="48">
        <v>0.05</v>
      </c>
    </row>
    <row r="74" spans="1:3" x14ac:dyDescent="0.25">
      <c r="A74" s="3" t="s">
        <v>1040</v>
      </c>
      <c r="B74" s="38">
        <v>50000</v>
      </c>
    </row>
    <row r="75" spans="1:3" x14ac:dyDescent="0.25">
      <c r="A75" s="3" t="s">
        <v>1041</v>
      </c>
      <c r="B75" s="38">
        <v>200</v>
      </c>
    </row>
    <row r="76" spans="1:3" x14ac:dyDescent="0.25">
      <c r="A76" s="3" t="s">
        <v>1042</v>
      </c>
      <c r="B76" s="38">
        <v>10000</v>
      </c>
    </row>
    <row r="77" spans="1:3" x14ac:dyDescent="0.25">
      <c r="A77" s="3" t="s">
        <v>1043</v>
      </c>
      <c r="B77" s="38">
        <v>62400</v>
      </c>
    </row>
    <row r="79" spans="1:3" x14ac:dyDescent="0.25">
      <c r="A79" s="60" t="s">
        <v>1044</v>
      </c>
      <c r="B79" s="58"/>
      <c r="C79" s="58"/>
    </row>
    <row r="80" spans="1:3" x14ac:dyDescent="0.25">
      <c r="A80" s="3" t="s">
        <v>1045</v>
      </c>
      <c r="B80" s="48">
        <v>0.03</v>
      </c>
    </row>
    <row r="81" spans="1:13" x14ac:dyDescent="0.25">
      <c r="A81" s="3" t="s">
        <v>1046</v>
      </c>
      <c r="B81" s="48">
        <v>3.5000000000000003E-2</v>
      </c>
    </row>
    <row r="82" spans="1:13" x14ac:dyDescent="0.25">
      <c r="A82" s="3" t="s">
        <v>1047</v>
      </c>
      <c r="B82" s="48">
        <v>4.2000000000000003E-2</v>
      </c>
    </row>
    <row r="83" spans="1:13" x14ac:dyDescent="0.25">
      <c r="A83" s="3" t="s">
        <v>1048</v>
      </c>
      <c r="B83" s="48">
        <v>0.05</v>
      </c>
    </row>
    <row r="84" spans="1:13" x14ac:dyDescent="0.25">
      <c r="A84" s="3" t="s">
        <v>1049</v>
      </c>
      <c r="B84" s="48">
        <v>5.5E-2</v>
      </c>
    </row>
    <row r="85" spans="1:13" x14ac:dyDescent="0.25">
      <c r="A85" s="3" t="s">
        <v>1050</v>
      </c>
      <c r="B85" s="38">
        <v>3</v>
      </c>
    </row>
    <row r="88" spans="1:13" x14ac:dyDescent="0.25">
      <c r="A88" s="60" t="s">
        <v>1051</v>
      </c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</row>
    <row r="89" spans="1:13" ht="38.25" x14ac:dyDescent="0.25">
      <c r="A89" s="2" t="s">
        <v>1052</v>
      </c>
      <c r="B89" s="2" t="s">
        <v>1053</v>
      </c>
      <c r="C89" s="2" t="s">
        <v>1054</v>
      </c>
      <c r="D89" s="2" t="s">
        <v>1055</v>
      </c>
      <c r="E89" s="2" t="s">
        <v>1056</v>
      </c>
      <c r="F89" s="2" t="s">
        <v>1057</v>
      </c>
      <c r="G89" s="2" t="s">
        <v>1058</v>
      </c>
      <c r="H89" s="2" t="s">
        <v>1059</v>
      </c>
      <c r="I89" s="2" t="s">
        <v>1060</v>
      </c>
      <c r="J89" s="2" t="s">
        <v>1061</v>
      </c>
      <c r="K89" s="2" t="s">
        <v>1062</v>
      </c>
      <c r="L89" s="2" t="s">
        <v>1063</v>
      </c>
      <c r="M89" s="2" t="s">
        <v>1064</v>
      </c>
    </row>
    <row r="90" spans="1:13" x14ac:dyDescent="0.25">
      <c r="A90" s="3" t="s">
        <v>1065</v>
      </c>
      <c r="B90" s="54">
        <v>0</v>
      </c>
      <c r="C90" s="54">
        <v>0</v>
      </c>
      <c r="D90" s="54">
        <v>0</v>
      </c>
      <c r="E90" s="54">
        <v>2</v>
      </c>
      <c r="F90" s="54">
        <v>0</v>
      </c>
      <c r="G90" s="54">
        <v>0</v>
      </c>
      <c r="H90" s="54">
        <v>0</v>
      </c>
      <c r="I90" s="54">
        <v>2</v>
      </c>
      <c r="J90" s="54">
        <v>0</v>
      </c>
      <c r="K90" s="54">
        <v>1</v>
      </c>
      <c r="L90" s="54">
        <v>1</v>
      </c>
      <c r="M90" s="54">
        <v>0</v>
      </c>
    </row>
    <row r="91" spans="1:13" x14ac:dyDescent="0.25">
      <c r="A91" s="3" t="s">
        <v>1066</v>
      </c>
      <c r="B91" s="54">
        <v>0</v>
      </c>
      <c r="C91" s="54">
        <v>0</v>
      </c>
      <c r="D91" s="54">
        <v>0</v>
      </c>
      <c r="E91" s="54">
        <v>2</v>
      </c>
      <c r="F91" s="54">
        <v>0</v>
      </c>
      <c r="G91" s="54">
        <v>0</v>
      </c>
      <c r="H91" s="54">
        <v>2</v>
      </c>
      <c r="I91" s="54">
        <v>1</v>
      </c>
      <c r="J91" s="54">
        <v>0</v>
      </c>
      <c r="K91" s="54">
        <v>2</v>
      </c>
      <c r="L91" s="54">
        <v>1</v>
      </c>
      <c r="M91" s="54">
        <v>2</v>
      </c>
    </row>
    <row r="92" spans="1:13" x14ac:dyDescent="0.25">
      <c r="A92" s="3" t="s">
        <v>1067</v>
      </c>
      <c r="B92" s="54">
        <v>4</v>
      </c>
      <c r="C92" s="54">
        <v>1</v>
      </c>
      <c r="D92" s="54">
        <v>0</v>
      </c>
      <c r="E92" s="54">
        <v>1</v>
      </c>
      <c r="F92" s="54">
        <v>0</v>
      </c>
      <c r="G92" s="54">
        <v>0</v>
      </c>
      <c r="H92" s="54">
        <v>3</v>
      </c>
      <c r="I92" s="54">
        <v>1</v>
      </c>
      <c r="J92" s="54">
        <v>0</v>
      </c>
      <c r="K92" s="54">
        <v>2</v>
      </c>
      <c r="L92" s="54">
        <v>2</v>
      </c>
      <c r="M92" s="54">
        <v>2</v>
      </c>
    </row>
    <row r="93" spans="1:13" x14ac:dyDescent="0.25">
      <c r="A93" s="3" t="s">
        <v>1068</v>
      </c>
      <c r="B93" s="54">
        <v>1</v>
      </c>
      <c r="C93" s="54">
        <v>1</v>
      </c>
      <c r="D93" s="54">
        <v>0</v>
      </c>
      <c r="E93" s="54">
        <v>1</v>
      </c>
      <c r="F93" s="54">
        <v>0</v>
      </c>
      <c r="G93" s="54">
        <v>0</v>
      </c>
      <c r="H93" s="54">
        <v>1</v>
      </c>
      <c r="I93" s="54">
        <v>2</v>
      </c>
      <c r="J93" s="54">
        <v>0</v>
      </c>
      <c r="K93" s="54">
        <v>1</v>
      </c>
      <c r="L93" s="54">
        <v>2</v>
      </c>
      <c r="M93" s="54">
        <v>2</v>
      </c>
    </row>
    <row r="94" spans="1:13" x14ac:dyDescent="0.25">
      <c r="A94" s="3" t="s">
        <v>1069</v>
      </c>
      <c r="B94" s="54">
        <v>4</v>
      </c>
      <c r="C94" s="54">
        <v>4</v>
      </c>
      <c r="D94" s="54">
        <v>2</v>
      </c>
      <c r="E94" s="54">
        <v>1</v>
      </c>
      <c r="F94" s="54">
        <v>0</v>
      </c>
      <c r="G94" s="54">
        <v>3</v>
      </c>
      <c r="H94" s="54">
        <v>0</v>
      </c>
      <c r="I94" s="54">
        <v>1</v>
      </c>
      <c r="J94" s="54">
        <v>0</v>
      </c>
      <c r="K94" s="54">
        <v>2</v>
      </c>
      <c r="L94" s="54">
        <v>2</v>
      </c>
      <c r="M94" s="54">
        <v>2</v>
      </c>
    </row>
    <row r="95" spans="1:13" x14ac:dyDescent="0.25">
      <c r="A95" s="3" t="s">
        <v>1070</v>
      </c>
      <c r="B95" s="54">
        <v>4</v>
      </c>
      <c r="C95" s="54">
        <v>1</v>
      </c>
      <c r="D95" s="54">
        <v>2</v>
      </c>
      <c r="E95" s="54">
        <v>1</v>
      </c>
      <c r="F95" s="54">
        <v>0</v>
      </c>
      <c r="G95" s="54">
        <v>3</v>
      </c>
      <c r="H95" s="54">
        <v>1</v>
      </c>
      <c r="I95" s="54">
        <v>2</v>
      </c>
      <c r="J95" s="54">
        <v>0</v>
      </c>
      <c r="K95" s="54">
        <v>2</v>
      </c>
      <c r="L95" s="54">
        <v>2</v>
      </c>
      <c r="M95" s="54">
        <v>2</v>
      </c>
    </row>
    <row r="96" spans="1:13" x14ac:dyDescent="0.25">
      <c r="A96" s="3" t="s">
        <v>1071</v>
      </c>
      <c r="B96" s="54">
        <v>4</v>
      </c>
      <c r="C96" s="54">
        <v>2</v>
      </c>
      <c r="D96" s="54">
        <v>2</v>
      </c>
      <c r="E96" s="54">
        <v>1</v>
      </c>
      <c r="F96" s="54">
        <v>0</v>
      </c>
      <c r="G96" s="54">
        <v>3</v>
      </c>
      <c r="H96" s="54">
        <v>3</v>
      </c>
      <c r="I96" s="54">
        <v>2</v>
      </c>
      <c r="J96" s="54">
        <v>0</v>
      </c>
      <c r="K96" s="54">
        <v>2</v>
      </c>
      <c r="L96" s="54">
        <v>1</v>
      </c>
      <c r="M96" s="54">
        <v>1</v>
      </c>
    </row>
    <row r="97" spans="1:13" x14ac:dyDescent="0.25">
      <c r="A97" s="3" t="s">
        <v>1072</v>
      </c>
      <c r="B97" s="54">
        <v>4</v>
      </c>
      <c r="C97" s="54">
        <v>1</v>
      </c>
      <c r="D97" s="54">
        <v>2</v>
      </c>
      <c r="E97" s="54">
        <v>1</v>
      </c>
      <c r="F97" s="54">
        <v>0</v>
      </c>
      <c r="G97" s="54">
        <v>3</v>
      </c>
      <c r="H97" s="54">
        <v>2</v>
      </c>
      <c r="I97" s="54">
        <v>1</v>
      </c>
      <c r="J97" s="54">
        <v>0</v>
      </c>
      <c r="K97" s="54">
        <v>2</v>
      </c>
      <c r="L97" s="54">
        <v>1</v>
      </c>
      <c r="M97" s="54">
        <v>1</v>
      </c>
    </row>
    <row r="98" spans="1:13" x14ac:dyDescent="0.25">
      <c r="A98" s="3" t="s">
        <v>1073</v>
      </c>
      <c r="B98" s="54">
        <v>3</v>
      </c>
      <c r="C98" s="54">
        <v>1</v>
      </c>
      <c r="D98" s="54">
        <v>2</v>
      </c>
      <c r="E98" s="54">
        <v>1</v>
      </c>
      <c r="F98" s="54">
        <v>0</v>
      </c>
      <c r="G98" s="54">
        <v>3</v>
      </c>
      <c r="H98" s="54">
        <v>2</v>
      </c>
      <c r="I98" s="54">
        <v>1</v>
      </c>
      <c r="J98" s="54">
        <v>0</v>
      </c>
      <c r="K98" s="54">
        <v>1</v>
      </c>
      <c r="L98" s="54">
        <v>2</v>
      </c>
      <c r="M98" s="54">
        <v>1</v>
      </c>
    </row>
    <row r="99" spans="1:13" x14ac:dyDescent="0.25">
      <c r="A99" s="3" t="s">
        <v>1058</v>
      </c>
      <c r="B99" s="54">
        <v>3</v>
      </c>
      <c r="C99" s="54">
        <v>3</v>
      </c>
      <c r="D99" s="54">
        <v>0</v>
      </c>
      <c r="E99" s="54">
        <v>0</v>
      </c>
      <c r="F99" s="54">
        <v>0</v>
      </c>
      <c r="G99" s="54">
        <v>4</v>
      </c>
      <c r="H99" s="54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</row>
    <row r="100" spans="1:13" x14ac:dyDescent="0.25">
      <c r="A100" s="3" t="s">
        <v>1055</v>
      </c>
      <c r="B100" s="54">
        <v>3</v>
      </c>
      <c r="C100" s="54">
        <v>3</v>
      </c>
      <c r="D100" s="54">
        <v>4</v>
      </c>
      <c r="E100" s="54">
        <v>0</v>
      </c>
      <c r="F100" s="54">
        <v>0</v>
      </c>
      <c r="G100" s="54">
        <v>3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</row>
    <row r="101" spans="1:13" x14ac:dyDescent="0.25">
      <c r="A101" s="3" t="s">
        <v>1074</v>
      </c>
      <c r="B101" s="54">
        <v>2</v>
      </c>
      <c r="C101" s="54">
        <v>3</v>
      </c>
      <c r="D101" s="54">
        <v>2</v>
      </c>
      <c r="E101" s="54">
        <v>1</v>
      </c>
      <c r="F101" s="54">
        <v>0</v>
      </c>
      <c r="G101" s="54">
        <v>3</v>
      </c>
      <c r="H101" s="54">
        <v>2</v>
      </c>
      <c r="I101" s="54">
        <v>1</v>
      </c>
      <c r="J101" s="54">
        <v>0</v>
      </c>
      <c r="K101" s="54">
        <v>2</v>
      </c>
      <c r="L101" s="54">
        <v>1</v>
      </c>
      <c r="M101" s="54">
        <v>2</v>
      </c>
    </row>
    <row r="102" spans="1:13" x14ac:dyDescent="0.25">
      <c r="A102" s="3" t="s">
        <v>1075</v>
      </c>
      <c r="B102" s="54">
        <v>1</v>
      </c>
      <c r="C102" s="54">
        <v>4</v>
      </c>
      <c r="D102" s="54">
        <v>2</v>
      </c>
      <c r="E102" s="54">
        <v>1</v>
      </c>
      <c r="F102" s="54">
        <v>0</v>
      </c>
      <c r="G102" s="54">
        <v>3</v>
      </c>
      <c r="H102" s="54">
        <v>1</v>
      </c>
      <c r="I102" s="54">
        <v>1</v>
      </c>
      <c r="J102" s="54">
        <v>0</v>
      </c>
      <c r="K102" s="54">
        <v>2</v>
      </c>
      <c r="L102" s="54">
        <v>1</v>
      </c>
      <c r="M102" s="54">
        <v>2</v>
      </c>
    </row>
    <row r="103" spans="1:13" x14ac:dyDescent="0.25">
      <c r="A103" s="3" t="s">
        <v>1076</v>
      </c>
      <c r="B103" s="54">
        <v>0</v>
      </c>
      <c r="C103" s="54">
        <v>0</v>
      </c>
      <c r="D103" s="54">
        <v>0</v>
      </c>
      <c r="E103" s="54">
        <v>1</v>
      </c>
      <c r="F103" s="54">
        <v>0</v>
      </c>
      <c r="G103" s="54">
        <v>0</v>
      </c>
      <c r="H103" s="54">
        <v>2</v>
      </c>
      <c r="I103" s="54">
        <v>0</v>
      </c>
      <c r="J103" s="54">
        <v>0</v>
      </c>
      <c r="K103" s="54">
        <v>2</v>
      </c>
      <c r="L103" s="54">
        <v>2</v>
      </c>
      <c r="M103" s="54">
        <v>1</v>
      </c>
    </row>
    <row r="104" spans="1:13" x14ac:dyDescent="0.25">
      <c r="A104" s="3" t="s">
        <v>1077</v>
      </c>
      <c r="B104" s="54">
        <v>1</v>
      </c>
      <c r="C104" s="54">
        <v>0</v>
      </c>
      <c r="D104" s="54">
        <v>2</v>
      </c>
      <c r="E104" s="54">
        <v>0</v>
      </c>
      <c r="F104" s="54">
        <v>0</v>
      </c>
      <c r="G104" s="54">
        <v>1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2</v>
      </c>
    </row>
  </sheetData>
  <autoFilter ref="A5:B10" xr:uid="{00000000-0009-0000-0000-00000B000000}"/>
  <mergeCells count="14">
    <mergeCell ref="A79:C79"/>
    <mergeCell ref="A88:M88"/>
    <mergeCell ref="A70:C70"/>
    <mergeCell ref="A27:C27"/>
    <mergeCell ref="A2:G2"/>
    <mergeCell ref="A62:C62"/>
    <mergeCell ref="E4:G4"/>
    <mergeCell ref="I4:L6"/>
    <mergeCell ref="A4:C4"/>
    <mergeCell ref="A19:C19"/>
    <mergeCell ref="A13:C13"/>
    <mergeCell ref="A1:G1"/>
    <mergeCell ref="A44:C44"/>
    <mergeCell ref="E20:I2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B1D20"/>
  </sheetPr>
  <dimension ref="A1:F1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4" customWidth="1"/>
    <col min="2" max="2" width="22" customWidth="1"/>
    <col min="3" max="3" width="42" customWidth="1"/>
    <col min="4" max="4" width="52" customWidth="1"/>
    <col min="5" max="5" width="36" customWidth="1"/>
    <col min="6" max="6" width="48" customWidth="1"/>
  </cols>
  <sheetData>
    <row r="1" spans="1:6" x14ac:dyDescent="0.25">
      <c r="A1" s="61" t="s">
        <v>1078</v>
      </c>
      <c r="B1" s="58"/>
      <c r="C1" s="58"/>
      <c r="D1" s="58"/>
      <c r="E1" s="58"/>
      <c r="F1" s="58"/>
    </row>
    <row r="2" spans="1:6" ht="36" customHeight="1" x14ac:dyDescent="0.25">
      <c r="A2" s="59" t="s">
        <v>1079</v>
      </c>
      <c r="B2" s="58"/>
      <c r="C2" s="58"/>
      <c r="D2" s="58"/>
      <c r="E2" s="58"/>
      <c r="F2" s="58"/>
    </row>
    <row r="3" spans="1:6" x14ac:dyDescent="0.25">
      <c r="A3" s="2" t="s">
        <v>1080</v>
      </c>
      <c r="B3" s="2" t="s">
        <v>2</v>
      </c>
      <c r="C3" s="2" t="s">
        <v>1081</v>
      </c>
      <c r="D3" s="2" t="s">
        <v>1082</v>
      </c>
      <c r="E3" s="2" t="s">
        <v>1083</v>
      </c>
      <c r="F3" s="2" t="s">
        <v>1084</v>
      </c>
    </row>
    <row r="4" spans="1:6" ht="68.099999999999994" customHeight="1" x14ac:dyDescent="0.25">
      <c r="A4" s="3" t="s">
        <v>1085</v>
      </c>
      <c r="B4" s="3" t="s">
        <v>17</v>
      </c>
      <c r="C4" s="3" t="s">
        <v>1086</v>
      </c>
      <c r="D4" s="3" t="s">
        <v>1087</v>
      </c>
      <c r="E4" s="3" t="s">
        <v>1088</v>
      </c>
      <c r="F4" s="3" t="s">
        <v>1089</v>
      </c>
    </row>
    <row r="5" spans="1:6" ht="68.099999999999994" customHeight="1" x14ac:dyDescent="0.25">
      <c r="A5" s="3" t="s">
        <v>1090</v>
      </c>
      <c r="B5" s="3" t="s">
        <v>24</v>
      </c>
      <c r="C5" s="3" t="s">
        <v>1091</v>
      </c>
      <c r="D5" s="3" t="s">
        <v>1092</v>
      </c>
      <c r="E5" s="3" t="s">
        <v>1093</v>
      </c>
      <c r="F5" s="3" t="s">
        <v>1094</v>
      </c>
    </row>
    <row r="6" spans="1:6" ht="68.099999999999994" customHeight="1" x14ac:dyDescent="0.25">
      <c r="A6" s="3" t="s">
        <v>1095</v>
      </c>
      <c r="B6" s="3" t="s">
        <v>1096</v>
      </c>
      <c r="C6" s="3" t="s">
        <v>1097</v>
      </c>
      <c r="D6" s="3" t="s">
        <v>1098</v>
      </c>
      <c r="E6" s="3" t="s">
        <v>1099</v>
      </c>
      <c r="F6" s="3" t="s">
        <v>1100</v>
      </c>
    </row>
    <row r="7" spans="1:6" ht="68.099999999999994" customHeight="1" x14ac:dyDescent="0.25">
      <c r="A7" s="3" t="s">
        <v>1101</v>
      </c>
      <c r="B7" s="3" t="s">
        <v>1102</v>
      </c>
      <c r="C7" s="3" t="s">
        <v>1103</v>
      </c>
      <c r="D7" s="3" t="s">
        <v>1104</v>
      </c>
      <c r="E7" s="3" t="s">
        <v>1105</v>
      </c>
      <c r="F7" s="3" t="s">
        <v>1106</v>
      </c>
    </row>
    <row r="8" spans="1:6" ht="68.099999999999994" customHeight="1" x14ac:dyDescent="0.25">
      <c r="A8" s="3" t="s">
        <v>1107</v>
      </c>
      <c r="B8" s="3" t="s">
        <v>1108</v>
      </c>
      <c r="C8" s="3" t="s">
        <v>1109</v>
      </c>
      <c r="D8" s="3" t="s">
        <v>1110</v>
      </c>
      <c r="E8" s="3" t="s">
        <v>1111</v>
      </c>
      <c r="F8" s="3" t="s">
        <v>1112</v>
      </c>
    </row>
    <row r="9" spans="1:6" ht="68.099999999999994" customHeight="1" x14ac:dyDescent="0.25">
      <c r="A9" s="3" t="s">
        <v>1113</v>
      </c>
      <c r="B9" s="3" t="s">
        <v>1114</v>
      </c>
      <c r="C9" s="3" t="s">
        <v>1115</v>
      </c>
      <c r="D9" s="3" t="s">
        <v>1116</v>
      </c>
      <c r="E9" s="3" t="s">
        <v>1117</v>
      </c>
      <c r="F9" s="3" t="s">
        <v>1118</v>
      </c>
    </row>
    <row r="10" spans="1:6" ht="68.099999999999994" customHeight="1" x14ac:dyDescent="0.25">
      <c r="A10" s="3" t="s">
        <v>1119</v>
      </c>
      <c r="B10" s="3" t="s">
        <v>1120</v>
      </c>
      <c r="C10" s="3" t="s">
        <v>1121</v>
      </c>
      <c r="D10" s="3" t="s">
        <v>1122</v>
      </c>
      <c r="E10" s="3" t="s">
        <v>1123</v>
      </c>
      <c r="F10" s="3" t="s">
        <v>1124</v>
      </c>
    </row>
    <row r="11" spans="1:6" ht="68.099999999999994" customHeight="1" x14ac:dyDescent="0.25">
      <c r="A11" s="3" t="s">
        <v>1125</v>
      </c>
      <c r="B11" s="3" t="s">
        <v>1126</v>
      </c>
      <c r="C11" s="3" t="s">
        <v>1127</v>
      </c>
      <c r="D11" s="3" t="s">
        <v>1128</v>
      </c>
      <c r="E11" s="3" t="s">
        <v>1129</v>
      </c>
      <c r="F11" s="3" t="s">
        <v>1130</v>
      </c>
    </row>
    <row r="12" spans="1:6" ht="68.099999999999994" customHeight="1" x14ac:dyDescent="0.25">
      <c r="A12" s="3" t="s">
        <v>1131</v>
      </c>
      <c r="B12" s="3" t="s">
        <v>1132</v>
      </c>
      <c r="C12" s="3" t="s">
        <v>1133</v>
      </c>
      <c r="D12" s="3" t="s">
        <v>1134</v>
      </c>
      <c r="E12" s="3" t="s">
        <v>1135</v>
      </c>
      <c r="F12" s="3" t="s">
        <v>1136</v>
      </c>
    </row>
    <row r="13" spans="1:6" ht="68.099999999999994" customHeight="1" x14ac:dyDescent="0.25">
      <c r="A13" s="3" t="s">
        <v>1137</v>
      </c>
      <c r="B13" s="3" t="s">
        <v>1138</v>
      </c>
      <c r="C13" s="3" t="s">
        <v>1139</v>
      </c>
      <c r="D13" s="3" t="s">
        <v>1140</v>
      </c>
      <c r="E13" s="3" t="s">
        <v>1141</v>
      </c>
      <c r="F13" s="3" t="s">
        <v>1142</v>
      </c>
    </row>
    <row r="14" spans="1:6" ht="68.099999999999994" customHeight="1" x14ac:dyDescent="0.25">
      <c r="A14" s="3" t="s">
        <v>1143</v>
      </c>
      <c r="B14" s="3" t="s">
        <v>1144</v>
      </c>
      <c r="C14" s="3" t="s">
        <v>1145</v>
      </c>
      <c r="D14" s="3" t="s">
        <v>1146</v>
      </c>
      <c r="E14" s="3" t="s">
        <v>1147</v>
      </c>
      <c r="F14" s="3" t="s">
        <v>1148</v>
      </c>
    </row>
    <row r="15" spans="1:6" ht="68.099999999999994" customHeight="1" x14ac:dyDescent="0.25">
      <c r="A15" s="3" t="s">
        <v>1149</v>
      </c>
      <c r="B15" s="3" t="s">
        <v>1150</v>
      </c>
      <c r="C15" s="3" t="s">
        <v>1151</v>
      </c>
      <c r="D15" s="3" t="s">
        <v>1152</v>
      </c>
      <c r="E15" s="3" t="s">
        <v>559</v>
      </c>
      <c r="F15" s="3" t="s">
        <v>1153</v>
      </c>
    </row>
    <row r="16" spans="1:6" ht="68.099999999999994" customHeight="1" x14ac:dyDescent="0.25">
      <c r="A16" s="3" t="s">
        <v>1154</v>
      </c>
      <c r="B16" s="3" t="s">
        <v>1155</v>
      </c>
      <c r="C16" s="3" t="s">
        <v>1156</v>
      </c>
      <c r="D16" s="3" t="s">
        <v>1157</v>
      </c>
      <c r="E16" s="3" t="s">
        <v>1158</v>
      </c>
      <c r="F16" s="3" t="s">
        <v>1159</v>
      </c>
    </row>
    <row r="17" spans="1:6" ht="68.099999999999994" customHeight="1" x14ac:dyDescent="0.25">
      <c r="A17" s="3" t="s">
        <v>1160</v>
      </c>
      <c r="B17" s="3" t="s">
        <v>1161</v>
      </c>
      <c r="C17" s="3" t="s">
        <v>1162</v>
      </c>
      <c r="D17" s="3" t="s">
        <v>1163</v>
      </c>
      <c r="E17" s="3" t="s">
        <v>1164</v>
      </c>
      <c r="F17" s="3" t="s">
        <v>1165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4546A"/>
  </sheetPr>
  <dimension ref="A1:R52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18" width="14" customWidth="1"/>
  </cols>
  <sheetData>
    <row r="1" spans="1:18" ht="36" customHeight="1" x14ac:dyDescent="0.25">
      <c r="A1" s="61" t="s">
        <v>1166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</row>
    <row r="2" spans="1:18" ht="25.5" x14ac:dyDescent="0.25">
      <c r="A2" s="2" t="s">
        <v>158</v>
      </c>
      <c r="B2" s="2" t="s">
        <v>139</v>
      </c>
      <c r="C2" s="2" t="s">
        <v>143</v>
      </c>
      <c r="D2" s="2" t="s">
        <v>145</v>
      </c>
      <c r="E2" s="2" t="s">
        <v>147</v>
      </c>
      <c r="F2" s="2" t="s">
        <v>148</v>
      </c>
      <c r="G2" s="2" t="s">
        <v>150</v>
      </c>
      <c r="H2" s="2" t="s">
        <v>1167</v>
      </c>
      <c r="I2" s="2" t="s">
        <v>1168</v>
      </c>
      <c r="J2" s="2" t="s">
        <v>1169</v>
      </c>
      <c r="K2" s="2" t="s">
        <v>1170</v>
      </c>
      <c r="L2" s="2" t="s">
        <v>1171</v>
      </c>
      <c r="M2" s="2" t="s">
        <v>1172</v>
      </c>
      <c r="N2" s="2" t="s">
        <v>1173</v>
      </c>
      <c r="O2" s="2" t="s">
        <v>1174</v>
      </c>
      <c r="P2" s="2" t="s">
        <v>1175</v>
      </c>
      <c r="Q2" s="2" t="s">
        <v>1176</v>
      </c>
      <c r="R2" s="2" t="s">
        <v>1177</v>
      </c>
    </row>
    <row r="3" spans="1:18" x14ac:dyDescent="0.25">
      <c r="A3" s="3" t="s">
        <v>84</v>
      </c>
      <c r="B3" s="55">
        <v>4200</v>
      </c>
      <c r="C3" s="55">
        <v>2268</v>
      </c>
      <c r="D3" s="49">
        <v>983</v>
      </c>
      <c r="E3" s="49">
        <v>5569</v>
      </c>
      <c r="F3" s="49">
        <v>0</v>
      </c>
      <c r="G3" s="49">
        <v>0</v>
      </c>
      <c r="H3" s="49">
        <v>0</v>
      </c>
      <c r="I3" s="56" t="b">
        <v>1</v>
      </c>
      <c r="J3" s="56" t="b">
        <v>0</v>
      </c>
      <c r="K3" s="56" t="b">
        <v>0</v>
      </c>
      <c r="L3" s="56" t="b">
        <v>1</v>
      </c>
      <c r="M3" s="56" t="b">
        <v>1</v>
      </c>
      <c r="N3" s="56" t="b">
        <v>0</v>
      </c>
      <c r="O3" s="56" t="b">
        <v>1</v>
      </c>
      <c r="P3" s="56" t="b">
        <v>0</v>
      </c>
      <c r="Q3" s="49">
        <v>540361</v>
      </c>
      <c r="R3" s="49">
        <v>1248751</v>
      </c>
    </row>
    <row r="4" spans="1:18" x14ac:dyDescent="0.25">
      <c r="A4" s="3" t="s">
        <v>188</v>
      </c>
      <c r="B4" s="55">
        <v>6020</v>
      </c>
      <c r="C4" s="55">
        <v>3250.8</v>
      </c>
      <c r="D4" s="49">
        <v>8452</v>
      </c>
      <c r="E4" s="49">
        <v>47895</v>
      </c>
      <c r="F4" s="49">
        <v>0</v>
      </c>
      <c r="G4" s="49">
        <v>0</v>
      </c>
      <c r="H4" s="49">
        <v>0</v>
      </c>
      <c r="I4" s="56" t="b">
        <v>0</v>
      </c>
      <c r="J4" s="56" t="b">
        <v>1</v>
      </c>
      <c r="K4" s="56" t="b">
        <v>0</v>
      </c>
      <c r="L4" s="56" t="b">
        <v>1</v>
      </c>
      <c r="M4" s="56" t="b">
        <v>1</v>
      </c>
      <c r="N4" s="56" t="b">
        <v>0</v>
      </c>
      <c r="O4" s="56" t="b">
        <v>1</v>
      </c>
      <c r="P4" s="56" t="b">
        <v>0</v>
      </c>
      <c r="Q4" s="49">
        <v>724812</v>
      </c>
      <c r="R4" s="49">
        <v>1271143</v>
      </c>
    </row>
    <row r="5" spans="1:18" x14ac:dyDescent="0.25">
      <c r="A5" s="3" t="s">
        <v>200</v>
      </c>
      <c r="B5" s="55">
        <v>7140</v>
      </c>
      <c r="C5" s="55">
        <v>4141.2</v>
      </c>
      <c r="D5" s="49">
        <v>18378</v>
      </c>
      <c r="E5" s="49">
        <v>104144</v>
      </c>
      <c r="F5" s="49">
        <v>350000</v>
      </c>
      <c r="G5" s="49">
        <v>192500</v>
      </c>
      <c r="H5" s="49">
        <v>428400</v>
      </c>
      <c r="I5" s="56" t="b">
        <v>1</v>
      </c>
      <c r="J5" s="56" t="b">
        <v>1</v>
      </c>
      <c r="K5" s="56" t="b">
        <v>0</v>
      </c>
      <c r="L5" s="56" t="b">
        <v>0</v>
      </c>
      <c r="M5" s="56" t="b">
        <v>1</v>
      </c>
      <c r="N5" s="56" t="b">
        <v>0</v>
      </c>
      <c r="O5" s="56" t="b">
        <v>0</v>
      </c>
      <c r="P5" s="56" t="b">
        <v>1</v>
      </c>
      <c r="Q5" s="49">
        <v>874927</v>
      </c>
      <c r="R5" s="49">
        <v>1868554</v>
      </c>
    </row>
    <row r="6" spans="1:18" x14ac:dyDescent="0.25">
      <c r="A6" s="3" t="s">
        <v>206</v>
      </c>
      <c r="B6" s="55">
        <v>4550</v>
      </c>
      <c r="C6" s="55">
        <v>2821</v>
      </c>
      <c r="D6" s="49">
        <v>14742</v>
      </c>
      <c r="E6" s="49">
        <v>83538</v>
      </c>
      <c r="F6" s="49">
        <v>350000</v>
      </c>
      <c r="G6" s="49">
        <v>192500</v>
      </c>
      <c r="H6" s="49">
        <v>273000</v>
      </c>
      <c r="I6" s="56" t="b">
        <v>1</v>
      </c>
      <c r="J6" s="56" t="b">
        <v>1</v>
      </c>
      <c r="K6" s="56" t="b">
        <v>0</v>
      </c>
      <c r="L6" s="56" t="b">
        <v>0</v>
      </c>
      <c r="M6" s="56" t="b">
        <v>1</v>
      </c>
      <c r="N6" s="56" t="b">
        <v>0</v>
      </c>
      <c r="O6" s="56" t="b">
        <v>0</v>
      </c>
      <c r="P6" s="56" t="b">
        <v>1</v>
      </c>
      <c r="Q6" s="49">
        <v>498862</v>
      </c>
      <c r="R6" s="49">
        <v>669310</v>
      </c>
    </row>
    <row r="7" spans="1:18" x14ac:dyDescent="0.25">
      <c r="A7" s="3" t="s">
        <v>212</v>
      </c>
      <c r="B7" s="55">
        <v>5000</v>
      </c>
      <c r="C7" s="55">
        <v>3875</v>
      </c>
      <c r="D7" s="49">
        <v>26325</v>
      </c>
      <c r="E7" s="49">
        <v>149175</v>
      </c>
      <c r="F7" s="49">
        <v>350000</v>
      </c>
      <c r="G7" s="49">
        <v>192500</v>
      </c>
      <c r="H7" s="49">
        <v>300000</v>
      </c>
      <c r="I7" s="56" t="b">
        <v>1</v>
      </c>
      <c r="J7" s="56" t="b">
        <v>1</v>
      </c>
      <c r="K7" s="56" t="b">
        <v>0</v>
      </c>
      <c r="L7" s="56" t="b">
        <v>0</v>
      </c>
      <c r="M7" s="56" t="b">
        <v>1</v>
      </c>
      <c r="N7" s="56" t="b">
        <v>0</v>
      </c>
      <c r="O7" s="56" t="b">
        <v>0</v>
      </c>
      <c r="P7" s="56" t="b">
        <v>1</v>
      </c>
      <c r="Q7" s="49">
        <v>613326</v>
      </c>
      <c r="R7" s="49">
        <v>1390191</v>
      </c>
    </row>
    <row r="8" spans="1:18" x14ac:dyDescent="0.25">
      <c r="A8" s="3" t="s">
        <v>221</v>
      </c>
      <c r="B8" s="55">
        <v>13910</v>
      </c>
      <c r="C8" s="55">
        <v>8924.75</v>
      </c>
      <c r="D8" s="49">
        <v>33514</v>
      </c>
      <c r="E8" s="49">
        <v>189913</v>
      </c>
      <c r="F8" s="49">
        <v>650000</v>
      </c>
      <c r="G8" s="49">
        <v>357500</v>
      </c>
      <c r="H8" s="49">
        <v>834600</v>
      </c>
      <c r="I8" s="56" t="b">
        <v>1</v>
      </c>
      <c r="J8" s="56" t="b">
        <v>1</v>
      </c>
      <c r="K8" s="56" t="b">
        <v>0</v>
      </c>
      <c r="L8" s="56" t="b">
        <v>0</v>
      </c>
      <c r="M8" s="56" t="b">
        <v>1</v>
      </c>
      <c r="N8" s="56" t="b">
        <v>0</v>
      </c>
      <c r="O8" s="56" t="b">
        <v>0</v>
      </c>
      <c r="P8" s="56" t="b">
        <v>1</v>
      </c>
      <c r="Q8" s="49">
        <v>1983433</v>
      </c>
      <c r="R8" s="49">
        <v>3443487</v>
      </c>
    </row>
    <row r="9" spans="1:18" x14ac:dyDescent="0.25">
      <c r="A9" s="3" t="s">
        <v>228</v>
      </c>
      <c r="B9" s="55">
        <v>5525</v>
      </c>
      <c r="C9" s="55">
        <v>2983.5</v>
      </c>
      <c r="D9" s="49">
        <v>42664</v>
      </c>
      <c r="E9" s="49">
        <v>241763</v>
      </c>
      <c r="F9" s="49">
        <v>350000</v>
      </c>
      <c r="G9" s="49">
        <v>192500</v>
      </c>
      <c r="H9" s="49">
        <v>200000</v>
      </c>
      <c r="I9" s="56" t="b">
        <v>0</v>
      </c>
      <c r="J9" s="56" t="b">
        <v>1</v>
      </c>
      <c r="K9" s="56" t="b">
        <v>0</v>
      </c>
      <c r="L9" s="56" t="b">
        <v>1</v>
      </c>
      <c r="M9" s="56" t="b">
        <v>1</v>
      </c>
      <c r="N9" s="56" t="b">
        <v>0</v>
      </c>
      <c r="O9" s="56" t="b">
        <v>0</v>
      </c>
      <c r="P9" s="56" t="b">
        <v>1</v>
      </c>
      <c r="Q9" s="49">
        <v>516509</v>
      </c>
      <c r="R9" s="49">
        <v>883827</v>
      </c>
    </row>
    <row r="10" spans="1:18" x14ac:dyDescent="0.25">
      <c r="A10" s="3" t="s">
        <v>233</v>
      </c>
      <c r="B10" s="55">
        <v>5975</v>
      </c>
      <c r="C10" s="55">
        <v>4042.5</v>
      </c>
      <c r="D10" s="49">
        <v>30098</v>
      </c>
      <c r="E10" s="49">
        <v>170557</v>
      </c>
      <c r="F10" s="49">
        <v>350000</v>
      </c>
      <c r="G10" s="49">
        <v>192500</v>
      </c>
      <c r="H10" s="49">
        <v>358500</v>
      </c>
      <c r="I10" s="56" t="b">
        <v>1</v>
      </c>
      <c r="J10" s="56" t="b">
        <v>1</v>
      </c>
      <c r="K10" s="56" t="b">
        <v>0</v>
      </c>
      <c r="L10" s="56" t="b">
        <v>0</v>
      </c>
      <c r="M10" s="56" t="b">
        <v>1</v>
      </c>
      <c r="N10" s="56" t="b">
        <v>0</v>
      </c>
      <c r="O10" s="56" t="b">
        <v>0</v>
      </c>
      <c r="P10" s="56" t="b">
        <v>1</v>
      </c>
      <c r="Q10" s="49">
        <v>631517</v>
      </c>
      <c r="R10" s="49">
        <v>536272</v>
      </c>
    </row>
    <row r="11" spans="1:18" x14ac:dyDescent="0.25">
      <c r="A11" s="3" t="s">
        <v>237</v>
      </c>
      <c r="B11" s="55">
        <v>3350</v>
      </c>
      <c r="C11" s="55">
        <v>1809</v>
      </c>
      <c r="D11" s="49">
        <v>3136</v>
      </c>
      <c r="E11" s="49">
        <v>17768</v>
      </c>
      <c r="F11" s="49">
        <v>0</v>
      </c>
      <c r="G11" s="49">
        <v>0</v>
      </c>
      <c r="H11" s="49">
        <v>0</v>
      </c>
      <c r="I11" s="56" t="b">
        <v>1</v>
      </c>
      <c r="J11" s="56" t="b">
        <v>0</v>
      </c>
      <c r="K11" s="56" t="b">
        <v>0</v>
      </c>
      <c r="L11" s="56" t="b">
        <v>1</v>
      </c>
      <c r="M11" s="56" t="b">
        <v>1</v>
      </c>
      <c r="N11" s="56" t="b">
        <v>0</v>
      </c>
      <c r="O11" s="56" t="b">
        <v>1</v>
      </c>
      <c r="P11" s="56" t="b">
        <v>0</v>
      </c>
      <c r="Q11" s="49">
        <v>431003</v>
      </c>
      <c r="R11" s="49">
        <v>966306</v>
      </c>
    </row>
    <row r="12" spans="1:18" x14ac:dyDescent="0.25">
      <c r="A12" s="3" t="s">
        <v>242</v>
      </c>
      <c r="B12" s="55">
        <v>4250</v>
      </c>
      <c r="C12" s="55">
        <v>3293.75</v>
      </c>
      <c r="D12" s="49">
        <v>13770</v>
      </c>
      <c r="E12" s="49">
        <v>78030</v>
      </c>
      <c r="F12" s="49">
        <v>0</v>
      </c>
      <c r="G12" s="49">
        <v>0</v>
      </c>
      <c r="H12" s="49">
        <v>255000</v>
      </c>
      <c r="I12" s="56" t="b">
        <v>1</v>
      </c>
      <c r="J12" s="56" t="b">
        <v>1</v>
      </c>
      <c r="K12" s="56" t="b">
        <v>0</v>
      </c>
      <c r="L12" s="56" t="b">
        <v>0</v>
      </c>
      <c r="M12" s="56" t="b">
        <v>1</v>
      </c>
      <c r="N12" s="56" t="b">
        <v>0</v>
      </c>
      <c r="O12" s="56" t="b">
        <v>1</v>
      </c>
      <c r="P12" s="56" t="b">
        <v>0</v>
      </c>
      <c r="Q12" s="49">
        <v>452793</v>
      </c>
      <c r="R12" s="49">
        <v>970322</v>
      </c>
    </row>
    <row r="13" spans="1:18" x14ac:dyDescent="0.25">
      <c r="A13" s="3" t="s">
        <v>248</v>
      </c>
      <c r="B13" s="55">
        <v>7140</v>
      </c>
      <c r="C13" s="55">
        <v>4141.2</v>
      </c>
      <c r="D13" s="49">
        <v>42412</v>
      </c>
      <c r="E13" s="49">
        <v>240332</v>
      </c>
      <c r="F13" s="49">
        <v>350000</v>
      </c>
      <c r="G13" s="49">
        <v>192500</v>
      </c>
      <c r="H13" s="49">
        <v>428400</v>
      </c>
      <c r="I13" s="56" t="b">
        <v>0</v>
      </c>
      <c r="J13" s="56" t="b">
        <v>1</v>
      </c>
      <c r="K13" s="56" t="b">
        <v>0</v>
      </c>
      <c r="L13" s="56" t="b">
        <v>1</v>
      </c>
      <c r="M13" s="56" t="b">
        <v>1</v>
      </c>
      <c r="N13" s="56" t="b">
        <v>0</v>
      </c>
      <c r="O13" s="56" t="b">
        <v>0</v>
      </c>
      <c r="P13" s="56" t="b">
        <v>1</v>
      </c>
      <c r="Q13" s="49">
        <v>642236</v>
      </c>
      <c r="R13" s="49">
        <v>1398863</v>
      </c>
    </row>
    <row r="14" spans="1:18" x14ac:dyDescent="0.25">
      <c r="A14" s="3" t="s">
        <v>252</v>
      </c>
      <c r="B14" s="55">
        <v>9800</v>
      </c>
      <c r="C14" s="55">
        <v>6210</v>
      </c>
      <c r="D14" s="49">
        <v>121095</v>
      </c>
      <c r="E14" s="49">
        <v>686205</v>
      </c>
      <c r="F14" s="49">
        <v>350000</v>
      </c>
      <c r="G14" s="49">
        <v>192500</v>
      </c>
      <c r="H14" s="49">
        <v>200000</v>
      </c>
      <c r="I14" s="56" t="b">
        <v>0</v>
      </c>
      <c r="J14" s="56" t="b">
        <v>1</v>
      </c>
      <c r="K14" s="56" t="b">
        <v>0</v>
      </c>
      <c r="L14" s="56" t="b">
        <v>1</v>
      </c>
      <c r="M14" s="56" t="b">
        <v>1</v>
      </c>
      <c r="N14" s="56" t="b">
        <v>0</v>
      </c>
      <c r="O14" s="56" t="b">
        <v>0</v>
      </c>
      <c r="P14" s="56" t="b">
        <v>1</v>
      </c>
      <c r="Q14" s="49">
        <v>866908</v>
      </c>
      <c r="R14" s="49">
        <v>1235459</v>
      </c>
    </row>
    <row r="15" spans="1:18" x14ac:dyDescent="0.25">
      <c r="A15" s="3" t="s">
        <v>255</v>
      </c>
      <c r="B15" s="55">
        <v>6580</v>
      </c>
      <c r="C15" s="55">
        <v>3816.4</v>
      </c>
      <c r="D15" s="49">
        <v>11726</v>
      </c>
      <c r="E15" s="49">
        <v>66445</v>
      </c>
      <c r="F15" s="49">
        <v>0</v>
      </c>
      <c r="G15" s="49">
        <v>0</v>
      </c>
      <c r="H15" s="49">
        <v>394800</v>
      </c>
      <c r="I15" s="56" t="b">
        <v>1</v>
      </c>
      <c r="J15" s="56" t="b">
        <v>1</v>
      </c>
      <c r="K15" s="56" t="b">
        <v>0</v>
      </c>
      <c r="L15" s="56" t="b">
        <v>0</v>
      </c>
      <c r="M15" s="56" t="b">
        <v>1</v>
      </c>
      <c r="N15" s="56" t="b">
        <v>0</v>
      </c>
      <c r="O15" s="56" t="b">
        <v>1</v>
      </c>
      <c r="P15" s="56" t="b">
        <v>0</v>
      </c>
      <c r="Q15" s="49">
        <v>759260</v>
      </c>
      <c r="R15" s="49">
        <v>1241264</v>
      </c>
    </row>
    <row r="16" spans="1:18" x14ac:dyDescent="0.25">
      <c r="A16" s="3" t="s">
        <v>258</v>
      </c>
      <c r="B16" s="55">
        <v>4775</v>
      </c>
      <c r="C16" s="55">
        <v>3342.5</v>
      </c>
      <c r="D16" s="49">
        <v>9884</v>
      </c>
      <c r="E16" s="49">
        <v>56011</v>
      </c>
      <c r="F16" s="49">
        <v>350000</v>
      </c>
      <c r="G16" s="49">
        <v>192500</v>
      </c>
      <c r="H16" s="49">
        <v>286500</v>
      </c>
      <c r="I16" s="56" t="b">
        <v>1</v>
      </c>
      <c r="J16" s="56" t="b">
        <v>1</v>
      </c>
      <c r="K16" s="56" t="b">
        <v>0</v>
      </c>
      <c r="L16" s="56" t="b">
        <v>0</v>
      </c>
      <c r="M16" s="56" t="b">
        <v>1</v>
      </c>
      <c r="N16" s="56" t="b">
        <v>0</v>
      </c>
      <c r="O16" s="56" t="b">
        <v>0</v>
      </c>
      <c r="P16" s="56" t="b">
        <v>1</v>
      </c>
      <c r="Q16" s="49">
        <v>555497</v>
      </c>
      <c r="R16" s="49">
        <v>1027253</v>
      </c>
    </row>
    <row r="17" spans="1:18" x14ac:dyDescent="0.25">
      <c r="A17" s="3" t="s">
        <v>262</v>
      </c>
      <c r="B17" s="55">
        <v>5750</v>
      </c>
      <c r="C17" s="55">
        <v>3654.12</v>
      </c>
      <c r="D17" s="49">
        <v>34373</v>
      </c>
      <c r="E17" s="49">
        <v>194778</v>
      </c>
      <c r="F17" s="49">
        <v>350000</v>
      </c>
      <c r="G17" s="49">
        <v>192500</v>
      </c>
      <c r="H17" s="49">
        <v>345000</v>
      </c>
      <c r="I17" s="56" t="b">
        <v>1</v>
      </c>
      <c r="J17" s="56" t="b">
        <v>1</v>
      </c>
      <c r="K17" s="56" t="b">
        <v>0</v>
      </c>
      <c r="L17" s="56" t="b">
        <v>0</v>
      </c>
      <c r="M17" s="56" t="b">
        <v>1</v>
      </c>
      <c r="N17" s="56" t="b">
        <v>0</v>
      </c>
      <c r="O17" s="56" t="b">
        <v>0</v>
      </c>
      <c r="P17" s="56" t="b">
        <v>1</v>
      </c>
      <c r="Q17" s="49">
        <v>589339</v>
      </c>
      <c r="R17" s="49">
        <v>1108909</v>
      </c>
    </row>
    <row r="18" spans="1:18" x14ac:dyDescent="0.25">
      <c r="A18" s="3" t="s">
        <v>265</v>
      </c>
      <c r="B18" s="55">
        <v>10400</v>
      </c>
      <c r="C18" s="55">
        <v>5940</v>
      </c>
      <c r="D18" s="49">
        <v>5148</v>
      </c>
      <c r="E18" s="49">
        <v>29172</v>
      </c>
      <c r="F18" s="49">
        <v>0</v>
      </c>
      <c r="G18" s="49">
        <v>0</v>
      </c>
      <c r="H18" s="49">
        <v>0</v>
      </c>
      <c r="I18" s="56" t="b">
        <v>1</v>
      </c>
      <c r="J18" s="56" t="b">
        <v>0</v>
      </c>
      <c r="K18" s="56" t="b">
        <v>0</v>
      </c>
      <c r="L18" s="56" t="b">
        <v>1</v>
      </c>
      <c r="M18" s="56" t="b">
        <v>1</v>
      </c>
      <c r="N18" s="56" t="b">
        <v>0</v>
      </c>
      <c r="O18" s="56" t="b">
        <v>1</v>
      </c>
      <c r="P18" s="56" t="b">
        <v>0</v>
      </c>
      <c r="Q18" s="49">
        <v>1415232</v>
      </c>
      <c r="R18" s="49">
        <v>3197008</v>
      </c>
    </row>
    <row r="19" spans="1:18" x14ac:dyDescent="0.25">
      <c r="A19" s="3" t="s">
        <v>268</v>
      </c>
      <c r="B19" s="55">
        <v>3575</v>
      </c>
      <c r="C19" s="55">
        <v>1930.5</v>
      </c>
      <c r="D19" s="49">
        <v>5856</v>
      </c>
      <c r="E19" s="49">
        <v>33183</v>
      </c>
      <c r="F19" s="49">
        <v>0</v>
      </c>
      <c r="G19" s="49">
        <v>0</v>
      </c>
      <c r="H19" s="49">
        <v>0</v>
      </c>
      <c r="I19" s="56" t="b">
        <v>0</v>
      </c>
      <c r="J19" s="56" t="b">
        <v>1</v>
      </c>
      <c r="K19" s="56" t="b">
        <v>0</v>
      </c>
      <c r="L19" s="56" t="b">
        <v>1</v>
      </c>
      <c r="M19" s="56" t="b">
        <v>1</v>
      </c>
      <c r="N19" s="56" t="b">
        <v>0</v>
      </c>
      <c r="O19" s="56" t="b">
        <v>1</v>
      </c>
      <c r="P19" s="56" t="b">
        <v>0</v>
      </c>
      <c r="Q19" s="49">
        <v>415260</v>
      </c>
      <c r="R19" s="49">
        <v>737901</v>
      </c>
    </row>
    <row r="20" spans="1:18" x14ac:dyDescent="0.25">
      <c r="A20" s="3" t="s">
        <v>271</v>
      </c>
      <c r="B20" s="55">
        <v>4100</v>
      </c>
      <c r="C20" s="55">
        <v>2378</v>
      </c>
      <c r="D20" s="49">
        <v>11365</v>
      </c>
      <c r="E20" s="49">
        <v>64403</v>
      </c>
      <c r="F20" s="49">
        <v>350000</v>
      </c>
      <c r="G20" s="49">
        <v>192500</v>
      </c>
      <c r="H20" s="49">
        <v>246000</v>
      </c>
      <c r="I20" s="56" t="b">
        <v>1</v>
      </c>
      <c r="J20" s="56" t="b">
        <v>1</v>
      </c>
      <c r="K20" s="56" t="b">
        <v>0</v>
      </c>
      <c r="L20" s="56" t="b">
        <v>0</v>
      </c>
      <c r="M20" s="56" t="b">
        <v>1</v>
      </c>
      <c r="N20" s="56" t="b">
        <v>0</v>
      </c>
      <c r="O20" s="56" t="b">
        <v>0</v>
      </c>
      <c r="P20" s="56" t="b">
        <v>1</v>
      </c>
      <c r="Q20" s="49">
        <v>563112</v>
      </c>
      <c r="R20" s="49">
        <v>1048856</v>
      </c>
    </row>
    <row r="21" spans="1:18" x14ac:dyDescent="0.25">
      <c r="A21" s="3" t="s">
        <v>274</v>
      </c>
      <c r="B21" s="55">
        <v>4625</v>
      </c>
      <c r="C21" s="55">
        <v>2867.5</v>
      </c>
      <c r="D21" s="49">
        <v>15734</v>
      </c>
      <c r="E21" s="49">
        <v>89161</v>
      </c>
      <c r="F21" s="49">
        <v>350000</v>
      </c>
      <c r="G21" s="49">
        <v>192500</v>
      </c>
      <c r="H21" s="49">
        <v>277500</v>
      </c>
      <c r="I21" s="56" t="b">
        <v>1</v>
      </c>
      <c r="J21" s="56" t="b">
        <v>1</v>
      </c>
      <c r="K21" s="56" t="b">
        <v>0</v>
      </c>
      <c r="L21" s="56" t="b">
        <v>0</v>
      </c>
      <c r="M21" s="56" t="b">
        <v>1</v>
      </c>
      <c r="N21" s="56" t="b">
        <v>0</v>
      </c>
      <c r="O21" s="56" t="b">
        <v>0</v>
      </c>
      <c r="P21" s="56" t="b">
        <v>1</v>
      </c>
      <c r="Q21" s="49">
        <v>503912</v>
      </c>
      <c r="R21" s="49">
        <v>665047</v>
      </c>
    </row>
    <row r="22" spans="1:18" x14ac:dyDescent="0.25">
      <c r="A22" s="3" t="s">
        <v>277</v>
      </c>
      <c r="B22" s="55">
        <v>5075</v>
      </c>
      <c r="C22" s="55">
        <v>3933.12</v>
      </c>
      <c r="D22" s="49">
        <v>27748</v>
      </c>
      <c r="E22" s="49">
        <v>157237</v>
      </c>
      <c r="F22" s="49">
        <v>350000</v>
      </c>
      <c r="G22" s="49">
        <v>192500</v>
      </c>
      <c r="H22" s="49">
        <v>304500</v>
      </c>
      <c r="I22" s="56" t="b">
        <v>1</v>
      </c>
      <c r="J22" s="56" t="b">
        <v>1</v>
      </c>
      <c r="K22" s="56" t="b">
        <v>0</v>
      </c>
      <c r="L22" s="56" t="b">
        <v>0</v>
      </c>
      <c r="M22" s="56" t="b">
        <v>1</v>
      </c>
      <c r="N22" s="56" t="b">
        <v>0</v>
      </c>
      <c r="O22" s="56" t="b">
        <v>0</v>
      </c>
      <c r="P22" s="56" t="b">
        <v>1</v>
      </c>
      <c r="Q22" s="49">
        <v>619638</v>
      </c>
      <c r="R22" s="49">
        <v>1379318</v>
      </c>
    </row>
    <row r="23" spans="1:18" x14ac:dyDescent="0.25">
      <c r="A23" s="3" t="s">
        <v>280</v>
      </c>
      <c r="B23" s="55">
        <v>5250</v>
      </c>
      <c r="C23" s="55">
        <v>3045</v>
      </c>
      <c r="D23" s="49">
        <v>12474</v>
      </c>
      <c r="E23" s="49">
        <v>70686</v>
      </c>
      <c r="F23" s="49">
        <v>350000</v>
      </c>
      <c r="G23" s="49">
        <v>192500</v>
      </c>
      <c r="H23" s="49">
        <v>315000</v>
      </c>
      <c r="I23" s="56" t="b">
        <v>1</v>
      </c>
      <c r="J23" s="56" t="b">
        <v>1</v>
      </c>
      <c r="K23" s="56" t="b">
        <v>0</v>
      </c>
      <c r="L23" s="56" t="b">
        <v>0</v>
      </c>
      <c r="M23" s="56" t="b">
        <v>1</v>
      </c>
      <c r="N23" s="56" t="b">
        <v>0</v>
      </c>
      <c r="O23" s="56" t="b">
        <v>0</v>
      </c>
      <c r="P23" s="56" t="b">
        <v>1</v>
      </c>
      <c r="Q23" s="49">
        <v>721009</v>
      </c>
      <c r="R23" s="49">
        <v>1148455</v>
      </c>
    </row>
    <row r="24" spans="1:18" x14ac:dyDescent="0.25">
      <c r="A24" s="3" t="s">
        <v>283</v>
      </c>
      <c r="B24" s="55">
        <v>8960</v>
      </c>
      <c r="C24" s="55">
        <v>4968</v>
      </c>
      <c r="D24" s="49">
        <v>73195</v>
      </c>
      <c r="E24" s="49">
        <v>414773</v>
      </c>
      <c r="F24" s="49">
        <v>350000</v>
      </c>
      <c r="G24" s="49">
        <v>192500</v>
      </c>
      <c r="H24" s="49">
        <v>200000</v>
      </c>
      <c r="I24" s="56" t="b">
        <v>0</v>
      </c>
      <c r="J24" s="56" t="b">
        <v>1</v>
      </c>
      <c r="K24" s="56" t="b">
        <v>0</v>
      </c>
      <c r="L24" s="56" t="b">
        <v>1</v>
      </c>
      <c r="M24" s="56" t="b">
        <v>1</v>
      </c>
      <c r="N24" s="56" t="b">
        <v>0</v>
      </c>
      <c r="O24" s="56" t="b">
        <v>0</v>
      </c>
      <c r="P24" s="56" t="b">
        <v>1</v>
      </c>
      <c r="Q24" s="49">
        <v>732027</v>
      </c>
      <c r="R24" s="49">
        <v>1438624</v>
      </c>
    </row>
    <row r="25" spans="1:18" x14ac:dyDescent="0.25">
      <c r="A25" s="3" t="s">
        <v>286</v>
      </c>
      <c r="B25" s="55">
        <v>10920</v>
      </c>
      <c r="C25" s="55">
        <v>8184</v>
      </c>
      <c r="D25" s="49">
        <v>62496</v>
      </c>
      <c r="E25" s="49">
        <v>354144</v>
      </c>
      <c r="F25" s="49">
        <v>650000</v>
      </c>
      <c r="G25" s="49">
        <v>357500</v>
      </c>
      <c r="H25" s="49">
        <v>655200</v>
      </c>
      <c r="I25" s="56" t="b">
        <v>1</v>
      </c>
      <c r="J25" s="56" t="b">
        <v>1</v>
      </c>
      <c r="K25" s="56" t="b">
        <v>0</v>
      </c>
      <c r="L25" s="56" t="b">
        <v>0</v>
      </c>
      <c r="M25" s="56" t="b">
        <v>1</v>
      </c>
      <c r="N25" s="56" t="b">
        <v>0</v>
      </c>
      <c r="O25" s="56" t="b">
        <v>0</v>
      </c>
      <c r="P25" s="56" t="b">
        <v>1</v>
      </c>
      <c r="Q25" s="49">
        <v>1246285</v>
      </c>
      <c r="R25" s="49">
        <v>1061267</v>
      </c>
    </row>
    <row r="26" spans="1:18" x14ac:dyDescent="0.25">
      <c r="A26" s="3" t="s">
        <v>289</v>
      </c>
      <c r="B26" s="55">
        <v>3425</v>
      </c>
      <c r="C26" s="55">
        <v>1849.5</v>
      </c>
      <c r="D26" s="49">
        <v>4007</v>
      </c>
      <c r="E26" s="49">
        <v>22708</v>
      </c>
      <c r="F26" s="49">
        <v>0</v>
      </c>
      <c r="G26" s="49">
        <v>0</v>
      </c>
      <c r="H26" s="49">
        <v>0</v>
      </c>
      <c r="I26" s="56" t="b">
        <v>1</v>
      </c>
      <c r="J26" s="56" t="b">
        <v>0</v>
      </c>
      <c r="K26" s="56" t="b">
        <v>0</v>
      </c>
      <c r="L26" s="56" t="b">
        <v>1</v>
      </c>
      <c r="M26" s="56" t="b">
        <v>1</v>
      </c>
      <c r="N26" s="56" t="b">
        <v>0</v>
      </c>
      <c r="O26" s="56" t="b">
        <v>1</v>
      </c>
      <c r="P26" s="56" t="b">
        <v>0</v>
      </c>
      <c r="Q26" s="49">
        <v>426642</v>
      </c>
      <c r="R26" s="49">
        <v>965728</v>
      </c>
    </row>
    <row r="27" spans="1:18" x14ac:dyDescent="0.25">
      <c r="A27" s="3" t="s">
        <v>292</v>
      </c>
      <c r="B27" s="55">
        <v>4325</v>
      </c>
      <c r="C27" s="55">
        <v>3351.88</v>
      </c>
      <c r="D27" s="49">
        <v>14889</v>
      </c>
      <c r="E27" s="49">
        <v>84370</v>
      </c>
      <c r="F27" s="49">
        <v>0</v>
      </c>
      <c r="G27" s="49">
        <v>0</v>
      </c>
      <c r="H27" s="49">
        <v>259500</v>
      </c>
      <c r="I27" s="56" t="b">
        <v>1</v>
      </c>
      <c r="J27" s="56" t="b">
        <v>1</v>
      </c>
      <c r="K27" s="56" t="b">
        <v>0</v>
      </c>
      <c r="L27" s="56" t="b">
        <v>0</v>
      </c>
      <c r="M27" s="56" t="b">
        <v>1</v>
      </c>
      <c r="N27" s="56" t="b">
        <v>0</v>
      </c>
      <c r="O27" s="56" t="b">
        <v>1</v>
      </c>
      <c r="P27" s="56" t="b">
        <v>0</v>
      </c>
      <c r="Q27" s="49">
        <v>429120</v>
      </c>
      <c r="R27" s="49">
        <v>965246</v>
      </c>
    </row>
    <row r="28" spans="1:18" x14ac:dyDescent="0.25">
      <c r="A28" s="3" t="s">
        <v>295</v>
      </c>
      <c r="B28" s="55">
        <v>21710</v>
      </c>
      <c r="C28" s="55">
        <v>14579.75</v>
      </c>
      <c r="D28" s="49">
        <v>154294</v>
      </c>
      <c r="E28" s="49">
        <v>874333</v>
      </c>
      <c r="F28" s="49">
        <v>850000</v>
      </c>
      <c r="G28" s="49">
        <v>467500</v>
      </c>
      <c r="H28" s="49">
        <v>1302600</v>
      </c>
      <c r="I28" s="56" t="b">
        <v>0</v>
      </c>
      <c r="J28" s="56" t="b">
        <v>1</v>
      </c>
      <c r="K28" s="56" t="b">
        <v>0</v>
      </c>
      <c r="L28" s="56" t="b">
        <v>1</v>
      </c>
      <c r="M28" s="56" t="b">
        <v>1</v>
      </c>
      <c r="N28" s="56" t="b">
        <v>0</v>
      </c>
      <c r="O28" s="56" t="b">
        <v>0</v>
      </c>
      <c r="P28" s="56" t="b">
        <v>1</v>
      </c>
      <c r="Q28" s="49">
        <v>2050866</v>
      </c>
      <c r="R28" s="49">
        <v>4814191</v>
      </c>
    </row>
    <row r="29" spans="1:18" x14ac:dyDescent="0.25">
      <c r="A29" s="3" t="s">
        <v>299</v>
      </c>
      <c r="B29" s="55">
        <v>6200</v>
      </c>
      <c r="C29" s="55">
        <v>3871.13</v>
      </c>
      <c r="D29" s="49">
        <v>77164</v>
      </c>
      <c r="E29" s="49">
        <v>437264</v>
      </c>
      <c r="F29" s="49">
        <v>350000</v>
      </c>
      <c r="G29" s="49">
        <v>192500</v>
      </c>
      <c r="H29" s="49">
        <v>200000</v>
      </c>
      <c r="I29" s="56" t="b">
        <v>0</v>
      </c>
      <c r="J29" s="56" t="b">
        <v>1</v>
      </c>
      <c r="K29" s="56" t="b">
        <v>0</v>
      </c>
      <c r="L29" s="56" t="b">
        <v>1</v>
      </c>
      <c r="M29" s="56" t="b">
        <v>1</v>
      </c>
      <c r="N29" s="56" t="b">
        <v>0</v>
      </c>
      <c r="O29" s="56" t="b">
        <v>0</v>
      </c>
      <c r="P29" s="56" t="b">
        <v>1</v>
      </c>
      <c r="Q29" s="49">
        <v>612906</v>
      </c>
      <c r="R29" s="49">
        <v>770148</v>
      </c>
    </row>
    <row r="30" spans="1:18" x14ac:dyDescent="0.25">
      <c r="A30" s="3" t="s">
        <v>302</v>
      </c>
      <c r="B30" s="55">
        <v>3800</v>
      </c>
      <c r="C30" s="55">
        <v>2204</v>
      </c>
      <c r="D30" s="49">
        <v>7524</v>
      </c>
      <c r="E30" s="49">
        <v>42636</v>
      </c>
      <c r="F30" s="49">
        <v>0</v>
      </c>
      <c r="G30" s="49">
        <v>0</v>
      </c>
      <c r="H30" s="49">
        <v>228000</v>
      </c>
      <c r="I30" s="56" t="b">
        <v>1</v>
      </c>
      <c r="J30" s="56" t="b">
        <v>1</v>
      </c>
      <c r="K30" s="56" t="b">
        <v>0</v>
      </c>
      <c r="L30" s="56" t="b">
        <v>0</v>
      </c>
      <c r="M30" s="56" t="b">
        <v>1</v>
      </c>
      <c r="N30" s="56" t="b">
        <v>0</v>
      </c>
      <c r="O30" s="56" t="b">
        <v>1</v>
      </c>
      <c r="P30" s="56" t="b">
        <v>0</v>
      </c>
      <c r="Q30" s="49">
        <v>420174</v>
      </c>
      <c r="R30" s="49">
        <v>700723</v>
      </c>
    </row>
    <row r="31" spans="1:18" x14ac:dyDescent="0.25">
      <c r="A31" s="3" t="s">
        <v>305</v>
      </c>
      <c r="B31" s="55">
        <v>4850</v>
      </c>
      <c r="C31" s="55">
        <v>3395</v>
      </c>
      <c r="D31" s="49">
        <v>10476</v>
      </c>
      <c r="E31" s="49">
        <v>59364</v>
      </c>
      <c r="F31" s="49">
        <v>350000</v>
      </c>
      <c r="G31" s="49">
        <v>192500</v>
      </c>
      <c r="H31" s="49">
        <v>291000</v>
      </c>
      <c r="I31" s="56" t="b">
        <v>1</v>
      </c>
      <c r="J31" s="56" t="b">
        <v>1</v>
      </c>
      <c r="K31" s="56" t="b">
        <v>0</v>
      </c>
      <c r="L31" s="56" t="b">
        <v>0</v>
      </c>
      <c r="M31" s="56" t="b">
        <v>1</v>
      </c>
      <c r="N31" s="56" t="b">
        <v>0</v>
      </c>
      <c r="O31" s="56" t="b">
        <v>0</v>
      </c>
      <c r="P31" s="56" t="b">
        <v>1</v>
      </c>
      <c r="Q31" s="49">
        <v>561198</v>
      </c>
      <c r="R31" s="49">
        <v>1019930</v>
      </c>
    </row>
    <row r="32" spans="1:18" x14ac:dyDescent="0.25">
      <c r="A32" s="3" t="s">
        <v>308</v>
      </c>
      <c r="B32" s="55">
        <v>5825</v>
      </c>
      <c r="C32" s="55">
        <v>3702.18</v>
      </c>
      <c r="D32" s="49">
        <v>35792</v>
      </c>
      <c r="E32" s="49">
        <v>202819</v>
      </c>
      <c r="F32" s="49">
        <v>350000</v>
      </c>
      <c r="G32" s="49">
        <v>192500</v>
      </c>
      <c r="H32" s="49">
        <v>349500</v>
      </c>
      <c r="I32" s="56" t="b">
        <v>1</v>
      </c>
      <c r="J32" s="56" t="b">
        <v>1</v>
      </c>
      <c r="K32" s="56" t="b">
        <v>0</v>
      </c>
      <c r="L32" s="56" t="b">
        <v>0</v>
      </c>
      <c r="M32" s="56" t="b">
        <v>1</v>
      </c>
      <c r="N32" s="56" t="b">
        <v>0</v>
      </c>
      <c r="O32" s="56" t="b">
        <v>0</v>
      </c>
      <c r="P32" s="56" t="b">
        <v>1</v>
      </c>
      <c r="Q32" s="49">
        <v>594558</v>
      </c>
      <c r="R32" s="49">
        <v>1098234</v>
      </c>
    </row>
    <row r="33" spans="1:18" x14ac:dyDescent="0.25">
      <c r="A33" s="3" t="s">
        <v>311</v>
      </c>
      <c r="B33" s="55">
        <v>4305</v>
      </c>
      <c r="C33" s="55">
        <v>2324.6999999999998</v>
      </c>
      <c r="D33" s="49">
        <v>3022</v>
      </c>
      <c r="E33" s="49">
        <v>17125</v>
      </c>
      <c r="F33" s="49">
        <v>0</v>
      </c>
      <c r="G33" s="49">
        <v>0</v>
      </c>
      <c r="H33" s="49">
        <v>0</v>
      </c>
      <c r="I33" s="56" t="b">
        <v>1</v>
      </c>
      <c r="J33" s="56" t="b">
        <v>0</v>
      </c>
      <c r="K33" s="56" t="b">
        <v>0</v>
      </c>
      <c r="L33" s="56" t="b">
        <v>1</v>
      </c>
      <c r="M33" s="56" t="b">
        <v>1</v>
      </c>
      <c r="N33" s="56" t="b">
        <v>0</v>
      </c>
      <c r="O33" s="56" t="b">
        <v>1</v>
      </c>
      <c r="P33" s="56" t="b">
        <v>0</v>
      </c>
      <c r="Q33" s="49">
        <v>553871</v>
      </c>
      <c r="R33" s="49">
        <v>1223062</v>
      </c>
    </row>
    <row r="34" spans="1:18" x14ac:dyDescent="0.25">
      <c r="A34" s="3" t="s">
        <v>313</v>
      </c>
      <c r="B34" s="55">
        <v>6230</v>
      </c>
      <c r="C34" s="55">
        <v>3364.2</v>
      </c>
      <c r="D34" s="49">
        <v>11663</v>
      </c>
      <c r="E34" s="49">
        <v>66088</v>
      </c>
      <c r="F34" s="49">
        <v>0</v>
      </c>
      <c r="G34" s="49">
        <v>0</v>
      </c>
      <c r="H34" s="49">
        <v>0</v>
      </c>
      <c r="I34" s="56" t="b">
        <v>0</v>
      </c>
      <c r="J34" s="56" t="b">
        <v>1</v>
      </c>
      <c r="K34" s="56" t="b">
        <v>0</v>
      </c>
      <c r="L34" s="56" t="b">
        <v>1</v>
      </c>
      <c r="M34" s="56" t="b">
        <v>1</v>
      </c>
      <c r="N34" s="56" t="b">
        <v>0</v>
      </c>
      <c r="O34" s="56" t="b">
        <v>1</v>
      </c>
      <c r="P34" s="56" t="b">
        <v>0</v>
      </c>
      <c r="Q34" s="49">
        <v>696727</v>
      </c>
      <c r="R34" s="49">
        <v>1256998</v>
      </c>
    </row>
    <row r="35" spans="1:18" x14ac:dyDescent="0.25">
      <c r="A35" s="3" t="s">
        <v>315</v>
      </c>
      <c r="B35" s="55">
        <v>7420</v>
      </c>
      <c r="C35" s="55">
        <v>4303.6000000000004</v>
      </c>
      <c r="D35" s="49">
        <v>22037</v>
      </c>
      <c r="E35" s="49">
        <v>124879</v>
      </c>
      <c r="F35" s="49">
        <v>350000</v>
      </c>
      <c r="G35" s="49">
        <v>192500</v>
      </c>
      <c r="H35" s="49">
        <v>445200</v>
      </c>
      <c r="I35" s="56" t="b">
        <v>1</v>
      </c>
      <c r="J35" s="56" t="b">
        <v>1</v>
      </c>
      <c r="K35" s="56" t="b">
        <v>0</v>
      </c>
      <c r="L35" s="56" t="b">
        <v>0</v>
      </c>
      <c r="M35" s="56" t="b">
        <v>1</v>
      </c>
      <c r="N35" s="56" t="b">
        <v>0</v>
      </c>
      <c r="O35" s="56" t="b">
        <v>0</v>
      </c>
      <c r="P35" s="56" t="b">
        <v>1</v>
      </c>
      <c r="Q35" s="49">
        <v>824031</v>
      </c>
      <c r="R35" s="49">
        <v>1855496</v>
      </c>
    </row>
    <row r="36" spans="1:18" x14ac:dyDescent="0.25">
      <c r="A36" s="3" t="s">
        <v>317</v>
      </c>
      <c r="B36" s="55">
        <v>4700</v>
      </c>
      <c r="C36" s="55">
        <v>2914</v>
      </c>
      <c r="D36" s="49">
        <v>16751</v>
      </c>
      <c r="E36" s="49">
        <v>94921</v>
      </c>
      <c r="F36" s="49">
        <v>350000</v>
      </c>
      <c r="G36" s="49">
        <v>192500</v>
      </c>
      <c r="H36" s="49">
        <v>282000</v>
      </c>
      <c r="I36" s="56" t="b">
        <v>1</v>
      </c>
      <c r="J36" s="56" t="b">
        <v>1</v>
      </c>
      <c r="K36" s="56" t="b">
        <v>0</v>
      </c>
      <c r="L36" s="56" t="b">
        <v>0</v>
      </c>
      <c r="M36" s="56" t="b">
        <v>1</v>
      </c>
      <c r="N36" s="56" t="b">
        <v>0</v>
      </c>
      <c r="O36" s="56" t="b">
        <v>0</v>
      </c>
      <c r="P36" s="56" t="b">
        <v>1</v>
      </c>
      <c r="Q36" s="49">
        <v>508961</v>
      </c>
      <c r="R36" s="49">
        <v>660636</v>
      </c>
    </row>
    <row r="37" spans="1:18" x14ac:dyDescent="0.25">
      <c r="A37" s="3" t="s">
        <v>319</v>
      </c>
      <c r="B37" s="55">
        <v>5150</v>
      </c>
      <c r="C37" s="55">
        <v>3991.25</v>
      </c>
      <c r="D37" s="49">
        <v>29200</v>
      </c>
      <c r="E37" s="49">
        <v>165470</v>
      </c>
      <c r="F37" s="49">
        <v>350000</v>
      </c>
      <c r="G37" s="49">
        <v>192500</v>
      </c>
      <c r="H37" s="49">
        <v>309000</v>
      </c>
      <c r="I37" s="56" t="b">
        <v>1</v>
      </c>
      <c r="J37" s="56" t="b">
        <v>1</v>
      </c>
      <c r="K37" s="56" t="b">
        <v>0</v>
      </c>
      <c r="L37" s="56" t="b">
        <v>0</v>
      </c>
      <c r="M37" s="56" t="b">
        <v>1</v>
      </c>
      <c r="N37" s="56" t="b">
        <v>0</v>
      </c>
      <c r="O37" s="56" t="b">
        <v>0</v>
      </c>
      <c r="P37" s="56" t="b">
        <v>1</v>
      </c>
      <c r="Q37" s="49">
        <v>625951</v>
      </c>
      <c r="R37" s="49">
        <v>1368234</v>
      </c>
    </row>
    <row r="38" spans="1:18" x14ac:dyDescent="0.25">
      <c r="A38" s="3" t="s">
        <v>321</v>
      </c>
      <c r="B38" s="55">
        <v>14690</v>
      </c>
      <c r="C38" s="55">
        <v>9490.25</v>
      </c>
      <c r="D38" s="49">
        <v>42117</v>
      </c>
      <c r="E38" s="49">
        <v>238663</v>
      </c>
      <c r="F38" s="49">
        <v>650000</v>
      </c>
      <c r="G38" s="49">
        <v>357500</v>
      </c>
      <c r="H38" s="49">
        <v>881400</v>
      </c>
      <c r="I38" s="56" t="b">
        <v>1</v>
      </c>
      <c r="J38" s="56" t="b">
        <v>1</v>
      </c>
      <c r="K38" s="56" t="b">
        <v>0</v>
      </c>
      <c r="L38" s="56" t="b">
        <v>0</v>
      </c>
      <c r="M38" s="56" t="b">
        <v>1</v>
      </c>
      <c r="N38" s="56" t="b">
        <v>0</v>
      </c>
      <c r="O38" s="56" t="b">
        <v>0</v>
      </c>
      <c r="P38" s="56" t="b">
        <v>1</v>
      </c>
      <c r="Q38" s="49">
        <v>1921395</v>
      </c>
      <c r="R38" s="49">
        <v>3498878</v>
      </c>
    </row>
    <row r="39" spans="1:18" x14ac:dyDescent="0.25">
      <c r="A39" s="3" t="s">
        <v>323</v>
      </c>
      <c r="B39" s="55">
        <v>5675</v>
      </c>
      <c r="C39" s="55">
        <v>3141.45</v>
      </c>
      <c r="D39" s="49">
        <v>47645</v>
      </c>
      <c r="E39" s="49">
        <v>269990</v>
      </c>
      <c r="F39" s="49">
        <v>350000</v>
      </c>
      <c r="G39" s="49">
        <v>192500</v>
      </c>
      <c r="H39" s="49">
        <v>200000</v>
      </c>
      <c r="I39" s="56" t="b">
        <v>0</v>
      </c>
      <c r="J39" s="56" t="b">
        <v>1</v>
      </c>
      <c r="K39" s="56" t="b">
        <v>0</v>
      </c>
      <c r="L39" s="56" t="b">
        <v>1</v>
      </c>
      <c r="M39" s="56" t="b">
        <v>1</v>
      </c>
      <c r="N39" s="56" t="b">
        <v>0</v>
      </c>
      <c r="O39" s="56" t="b">
        <v>0</v>
      </c>
      <c r="P39" s="56" t="b">
        <v>1</v>
      </c>
      <c r="Q39" s="49">
        <v>533663</v>
      </c>
      <c r="R39" s="49">
        <v>889242</v>
      </c>
    </row>
    <row r="40" spans="1:18" x14ac:dyDescent="0.25">
      <c r="A40" s="3" t="s">
        <v>325</v>
      </c>
      <c r="B40" s="55">
        <v>6125</v>
      </c>
      <c r="C40" s="55">
        <v>4422</v>
      </c>
      <c r="D40" s="49">
        <v>34612</v>
      </c>
      <c r="E40" s="49">
        <v>196136</v>
      </c>
      <c r="F40" s="49">
        <v>350000</v>
      </c>
      <c r="G40" s="49">
        <v>192500</v>
      </c>
      <c r="H40" s="49">
        <v>367500</v>
      </c>
      <c r="I40" s="56" t="b">
        <v>1</v>
      </c>
      <c r="J40" s="56" t="b">
        <v>1</v>
      </c>
      <c r="K40" s="56" t="b">
        <v>0</v>
      </c>
      <c r="L40" s="56" t="b">
        <v>0</v>
      </c>
      <c r="M40" s="56" t="b">
        <v>1</v>
      </c>
      <c r="N40" s="56" t="b">
        <v>0</v>
      </c>
      <c r="O40" s="56" t="b">
        <v>0</v>
      </c>
      <c r="P40" s="56" t="b">
        <v>1</v>
      </c>
      <c r="Q40" s="49">
        <v>672731</v>
      </c>
      <c r="R40" s="49">
        <v>560534</v>
      </c>
    </row>
    <row r="41" spans="1:18" x14ac:dyDescent="0.25">
      <c r="A41" s="3" t="s">
        <v>327</v>
      </c>
      <c r="B41" s="55">
        <v>3500</v>
      </c>
      <c r="C41" s="55">
        <v>1890</v>
      </c>
      <c r="D41" s="49">
        <v>4914</v>
      </c>
      <c r="E41" s="49">
        <v>27846</v>
      </c>
      <c r="F41" s="49">
        <v>0</v>
      </c>
      <c r="G41" s="49">
        <v>0</v>
      </c>
      <c r="H41" s="49">
        <v>0</v>
      </c>
      <c r="I41" s="56" t="b">
        <v>1</v>
      </c>
      <c r="J41" s="56" t="b">
        <v>0</v>
      </c>
      <c r="K41" s="56" t="b">
        <v>0</v>
      </c>
      <c r="L41" s="56" t="b">
        <v>1</v>
      </c>
      <c r="M41" s="56" t="b">
        <v>1</v>
      </c>
      <c r="N41" s="56" t="b">
        <v>0</v>
      </c>
      <c r="O41" s="56" t="b">
        <v>1</v>
      </c>
      <c r="P41" s="56" t="b">
        <v>0</v>
      </c>
      <c r="Q41" s="49">
        <v>421402</v>
      </c>
      <c r="R41" s="49">
        <v>964688</v>
      </c>
    </row>
    <row r="42" spans="1:18" x14ac:dyDescent="0.25">
      <c r="A42" s="3" t="s">
        <v>329</v>
      </c>
      <c r="B42" s="55">
        <v>4400</v>
      </c>
      <c r="C42" s="55">
        <v>3410</v>
      </c>
      <c r="D42" s="49">
        <v>16038</v>
      </c>
      <c r="E42" s="49">
        <v>90882</v>
      </c>
      <c r="F42" s="49">
        <v>0</v>
      </c>
      <c r="G42" s="49">
        <v>0</v>
      </c>
      <c r="H42" s="49">
        <v>264000</v>
      </c>
      <c r="I42" s="56" t="b">
        <v>1</v>
      </c>
      <c r="J42" s="56" t="b">
        <v>1</v>
      </c>
      <c r="K42" s="56" t="b">
        <v>0</v>
      </c>
      <c r="L42" s="56" t="b">
        <v>0</v>
      </c>
      <c r="M42" s="56" t="b">
        <v>1</v>
      </c>
      <c r="N42" s="56" t="b">
        <v>0</v>
      </c>
      <c r="O42" s="56" t="b">
        <v>1</v>
      </c>
      <c r="P42" s="56" t="b">
        <v>0</v>
      </c>
      <c r="Q42" s="49">
        <v>403748</v>
      </c>
      <c r="R42" s="49">
        <v>959906</v>
      </c>
    </row>
    <row r="43" spans="1:18" x14ac:dyDescent="0.25">
      <c r="A43" s="3" t="s">
        <v>331</v>
      </c>
      <c r="B43" s="55">
        <v>7350</v>
      </c>
      <c r="C43" s="55">
        <v>4263</v>
      </c>
      <c r="D43" s="49">
        <v>46570</v>
      </c>
      <c r="E43" s="49">
        <v>263894</v>
      </c>
      <c r="F43" s="49">
        <v>350000</v>
      </c>
      <c r="G43" s="49">
        <v>192500</v>
      </c>
      <c r="H43" s="49">
        <v>441000</v>
      </c>
      <c r="I43" s="56" t="b">
        <v>0</v>
      </c>
      <c r="J43" s="56" t="b">
        <v>1</v>
      </c>
      <c r="K43" s="56" t="b">
        <v>0</v>
      </c>
      <c r="L43" s="56" t="b">
        <v>1</v>
      </c>
      <c r="M43" s="56" t="b">
        <v>1</v>
      </c>
      <c r="N43" s="56" t="b">
        <v>0</v>
      </c>
      <c r="O43" s="56" t="b">
        <v>0</v>
      </c>
      <c r="P43" s="56" t="b">
        <v>1</v>
      </c>
      <c r="Q43" s="49">
        <v>655463</v>
      </c>
      <c r="R43" s="49">
        <v>1375983</v>
      </c>
    </row>
    <row r="44" spans="1:18" x14ac:dyDescent="0.25">
      <c r="A44" s="3" t="s">
        <v>333</v>
      </c>
      <c r="B44" s="55">
        <v>9800</v>
      </c>
      <c r="C44" s="55">
        <v>6210</v>
      </c>
      <c r="D44" s="49">
        <v>126477</v>
      </c>
      <c r="E44" s="49">
        <v>716703</v>
      </c>
      <c r="F44" s="49">
        <v>350000</v>
      </c>
      <c r="G44" s="49">
        <v>192500</v>
      </c>
      <c r="H44" s="49">
        <v>200000</v>
      </c>
      <c r="I44" s="56" t="b">
        <v>0</v>
      </c>
      <c r="J44" s="56" t="b">
        <v>1</v>
      </c>
      <c r="K44" s="56" t="b">
        <v>0</v>
      </c>
      <c r="L44" s="56" t="b">
        <v>1</v>
      </c>
      <c r="M44" s="56" t="b">
        <v>1</v>
      </c>
      <c r="N44" s="56" t="b">
        <v>0</v>
      </c>
      <c r="O44" s="56" t="b">
        <v>0</v>
      </c>
      <c r="P44" s="56" t="b">
        <v>1</v>
      </c>
      <c r="Q44" s="49">
        <v>866908</v>
      </c>
      <c r="R44" s="49">
        <v>1235459</v>
      </c>
    </row>
    <row r="45" spans="1:18" x14ac:dyDescent="0.25">
      <c r="A45" s="3" t="s">
        <v>335</v>
      </c>
      <c r="B45" s="55">
        <v>6860</v>
      </c>
      <c r="C45" s="55">
        <v>3978.8</v>
      </c>
      <c r="D45" s="49">
        <v>14941</v>
      </c>
      <c r="E45" s="49">
        <v>84666</v>
      </c>
      <c r="F45" s="49">
        <v>0</v>
      </c>
      <c r="G45" s="49">
        <v>0</v>
      </c>
      <c r="H45" s="49">
        <v>411600</v>
      </c>
      <c r="I45" s="56" t="b">
        <v>1</v>
      </c>
      <c r="J45" s="56" t="b">
        <v>1</v>
      </c>
      <c r="K45" s="56" t="b">
        <v>0</v>
      </c>
      <c r="L45" s="56" t="b">
        <v>0</v>
      </c>
      <c r="M45" s="56" t="b">
        <v>1</v>
      </c>
      <c r="N45" s="56" t="b">
        <v>0</v>
      </c>
      <c r="O45" s="56" t="b">
        <v>1</v>
      </c>
      <c r="P45" s="56" t="b">
        <v>0</v>
      </c>
      <c r="Q45" s="49">
        <v>724867</v>
      </c>
      <c r="R45" s="49">
        <v>1236548</v>
      </c>
    </row>
    <row r="46" spans="1:18" x14ac:dyDescent="0.25">
      <c r="A46" s="3" t="s">
        <v>337</v>
      </c>
      <c r="B46" s="55">
        <v>4925</v>
      </c>
      <c r="C46" s="55">
        <v>3447.5</v>
      </c>
      <c r="D46" s="49">
        <v>11081</v>
      </c>
      <c r="E46" s="49">
        <v>62794</v>
      </c>
      <c r="F46" s="49">
        <v>350000</v>
      </c>
      <c r="G46" s="49">
        <v>192500</v>
      </c>
      <c r="H46" s="49">
        <v>295500</v>
      </c>
      <c r="I46" s="56" t="b">
        <v>1</v>
      </c>
      <c r="J46" s="56" t="b">
        <v>1</v>
      </c>
      <c r="K46" s="56" t="b">
        <v>0</v>
      </c>
      <c r="L46" s="56" t="b">
        <v>0</v>
      </c>
      <c r="M46" s="56" t="b">
        <v>1</v>
      </c>
      <c r="N46" s="56" t="b">
        <v>0</v>
      </c>
      <c r="O46" s="56" t="b">
        <v>0</v>
      </c>
      <c r="P46" s="56" t="b">
        <v>1</v>
      </c>
      <c r="Q46" s="49">
        <v>566900</v>
      </c>
      <c r="R46" s="49">
        <v>1012416</v>
      </c>
    </row>
    <row r="47" spans="1:18" x14ac:dyDescent="0.25">
      <c r="A47" s="3" t="s">
        <v>339</v>
      </c>
      <c r="B47" s="55">
        <v>5900</v>
      </c>
      <c r="C47" s="55">
        <v>3749.45</v>
      </c>
      <c r="D47" s="49">
        <v>37228</v>
      </c>
      <c r="E47" s="49">
        <v>210961</v>
      </c>
      <c r="F47" s="49">
        <v>350000</v>
      </c>
      <c r="G47" s="49">
        <v>192500</v>
      </c>
      <c r="H47" s="49">
        <v>354000</v>
      </c>
      <c r="I47" s="56" t="b">
        <v>1</v>
      </c>
      <c r="J47" s="56" t="b">
        <v>1</v>
      </c>
      <c r="K47" s="56" t="b">
        <v>0</v>
      </c>
      <c r="L47" s="56" t="b">
        <v>0</v>
      </c>
      <c r="M47" s="56" t="b">
        <v>1</v>
      </c>
      <c r="N47" s="56" t="b">
        <v>0</v>
      </c>
      <c r="O47" s="56" t="b">
        <v>0</v>
      </c>
      <c r="P47" s="56" t="b">
        <v>1</v>
      </c>
      <c r="Q47" s="49">
        <v>599692</v>
      </c>
      <c r="R47" s="49">
        <v>1087250</v>
      </c>
    </row>
    <row r="48" spans="1:18" x14ac:dyDescent="0.25">
      <c r="A48" s="3" t="s">
        <v>341</v>
      </c>
      <c r="B48" s="55">
        <v>10400</v>
      </c>
      <c r="C48" s="55">
        <v>5940</v>
      </c>
      <c r="D48" s="49">
        <v>2574</v>
      </c>
      <c r="E48" s="49">
        <v>14586</v>
      </c>
      <c r="F48" s="49">
        <v>0</v>
      </c>
      <c r="G48" s="49">
        <v>0</v>
      </c>
      <c r="H48" s="49">
        <v>0</v>
      </c>
      <c r="I48" s="56" t="b">
        <v>1</v>
      </c>
      <c r="J48" s="56" t="b">
        <v>0</v>
      </c>
      <c r="K48" s="56" t="b">
        <v>0</v>
      </c>
      <c r="L48" s="56" t="b">
        <v>1</v>
      </c>
      <c r="M48" s="56" t="b">
        <v>1</v>
      </c>
      <c r="N48" s="56" t="b">
        <v>0</v>
      </c>
      <c r="O48" s="56" t="b">
        <v>1</v>
      </c>
      <c r="P48" s="56" t="b">
        <v>0</v>
      </c>
      <c r="Q48" s="49">
        <v>1415232</v>
      </c>
      <c r="R48" s="49">
        <v>3270539</v>
      </c>
    </row>
    <row r="49" spans="1:18" x14ac:dyDescent="0.25">
      <c r="A49" s="3" t="s">
        <v>343</v>
      </c>
      <c r="B49" s="55">
        <v>3500</v>
      </c>
      <c r="C49" s="55">
        <v>1890</v>
      </c>
      <c r="D49" s="49">
        <v>4914</v>
      </c>
      <c r="E49" s="49">
        <v>27846</v>
      </c>
      <c r="F49" s="49">
        <v>0</v>
      </c>
      <c r="G49" s="49">
        <v>0</v>
      </c>
      <c r="H49" s="49">
        <v>0</v>
      </c>
      <c r="I49" s="56" t="b">
        <v>1</v>
      </c>
      <c r="J49" s="56" t="b">
        <v>0</v>
      </c>
      <c r="K49" s="56" t="b">
        <v>0</v>
      </c>
      <c r="L49" s="56" t="b">
        <v>1</v>
      </c>
      <c r="M49" s="56" t="b">
        <v>1</v>
      </c>
      <c r="N49" s="56" t="b">
        <v>0</v>
      </c>
      <c r="O49" s="56" t="b">
        <v>1</v>
      </c>
      <c r="P49" s="56" t="b">
        <v>0</v>
      </c>
      <c r="Q49" s="49">
        <v>421402</v>
      </c>
      <c r="R49" s="49">
        <v>739037</v>
      </c>
    </row>
    <row r="50" spans="1:18" x14ac:dyDescent="0.25">
      <c r="A50" s="3" t="s">
        <v>345</v>
      </c>
      <c r="B50" s="55">
        <v>4025</v>
      </c>
      <c r="C50" s="55">
        <v>2334.5</v>
      </c>
      <c r="D50" s="49">
        <v>10360</v>
      </c>
      <c r="E50" s="49">
        <v>58709</v>
      </c>
      <c r="F50" s="49">
        <v>350000</v>
      </c>
      <c r="G50" s="49">
        <v>192500</v>
      </c>
      <c r="H50" s="49">
        <v>241500</v>
      </c>
      <c r="I50" s="56" t="b">
        <v>1</v>
      </c>
      <c r="J50" s="56" t="b">
        <v>1</v>
      </c>
      <c r="K50" s="56" t="b">
        <v>0</v>
      </c>
      <c r="L50" s="56" t="b">
        <v>0</v>
      </c>
      <c r="M50" s="56" t="b">
        <v>1</v>
      </c>
      <c r="N50" s="56" t="b">
        <v>0</v>
      </c>
      <c r="O50" s="56" t="b">
        <v>0</v>
      </c>
      <c r="P50" s="56" t="b">
        <v>1</v>
      </c>
      <c r="Q50" s="49">
        <v>577202</v>
      </c>
      <c r="R50" s="49">
        <v>1053352</v>
      </c>
    </row>
    <row r="51" spans="1:18" x14ac:dyDescent="0.25">
      <c r="A51" s="3" t="s">
        <v>347</v>
      </c>
      <c r="B51" s="55">
        <v>4550</v>
      </c>
      <c r="C51" s="55">
        <v>2821</v>
      </c>
      <c r="D51" s="49">
        <v>14742</v>
      </c>
      <c r="E51" s="49">
        <v>83538</v>
      </c>
      <c r="F51" s="49">
        <v>350000</v>
      </c>
      <c r="G51" s="49">
        <v>192500</v>
      </c>
      <c r="H51" s="49">
        <v>273000</v>
      </c>
      <c r="I51" s="56" t="b">
        <v>1</v>
      </c>
      <c r="J51" s="56" t="b">
        <v>1</v>
      </c>
      <c r="K51" s="56" t="b">
        <v>0</v>
      </c>
      <c r="L51" s="56" t="b">
        <v>0</v>
      </c>
      <c r="M51" s="56" t="b">
        <v>1</v>
      </c>
      <c r="N51" s="56" t="b">
        <v>0</v>
      </c>
      <c r="O51" s="56" t="b">
        <v>0</v>
      </c>
      <c r="P51" s="56" t="b">
        <v>1</v>
      </c>
      <c r="Q51" s="49">
        <v>498862</v>
      </c>
      <c r="R51" s="49">
        <v>669310</v>
      </c>
    </row>
    <row r="52" spans="1:18" x14ac:dyDescent="0.25">
      <c r="A52" s="3" t="s">
        <v>349</v>
      </c>
      <c r="B52" s="55">
        <v>5000</v>
      </c>
      <c r="C52" s="55">
        <v>3875</v>
      </c>
      <c r="D52" s="49">
        <v>26325</v>
      </c>
      <c r="E52" s="49">
        <v>149175</v>
      </c>
      <c r="F52" s="49">
        <v>350000</v>
      </c>
      <c r="G52" s="49">
        <v>192500</v>
      </c>
      <c r="H52" s="49">
        <v>300000</v>
      </c>
      <c r="I52" s="56" t="b">
        <v>1</v>
      </c>
      <c r="J52" s="56" t="b">
        <v>1</v>
      </c>
      <c r="K52" s="56" t="b">
        <v>0</v>
      </c>
      <c r="L52" s="56" t="b">
        <v>0</v>
      </c>
      <c r="M52" s="56" t="b">
        <v>1</v>
      </c>
      <c r="N52" s="56" t="b">
        <v>0</v>
      </c>
      <c r="O52" s="56" t="b">
        <v>0</v>
      </c>
      <c r="P52" s="56" t="b">
        <v>1</v>
      </c>
      <c r="Q52" s="49">
        <v>613326</v>
      </c>
      <c r="R52" s="49">
        <v>1390191</v>
      </c>
    </row>
  </sheetData>
  <autoFilter ref="A2:R52" xr:uid="{00000000-0009-0000-0000-00000D000000}"/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178</vt:i4>
      </vt:variant>
    </vt:vector>
  </HeadingPairs>
  <TitlesOfParts>
    <vt:vector size="192" baseType="lpstr">
      <vt:lpstr>Overview</vt:lpstr>
      <vt:lpstr>Selected persona</vt:lpstr>
      <vt:lpstr>Personas</vt:lpstr>
      <vt:lpstr>CPF</vt:lpstr>
      <vt:lpstr>People Like You</vt:lpstr>
      <vt:lpstr>Need Profiler</vt:lpstr>
      <vt:lpstr>Need Calculator</vt:lpstr>
      <vt:lpstr>Plan Calculator</vt:lpstr>
      <vt:lpstr>Budget Calculator</vt:lpstr>
      <vt:lpstr>FX</vt:lpstr>
      <vt:lpstr>Validation</vt:lpstr>
      <vt:lpstr>Assumptions</vt:lpstr>
      <vt:lpstr>Discrepancies</vt:lpstr>
      <vt:lpstr>Code check</vt:lpstr>
      <vt:lpstr>ageOfRetirement</vt:lpstr>
      <vt:lpstr>annualBudget</vt:lpstr>
      <vt:lpstr>assetReturn</vt:lpstr>
      <vt:lpstr>assetsSaveShare</vt:lpstr>
      <vt:lpstr>benefitRound</vt:lpstr>
      <vt:lpstr>CASH_SAVINGS_SHARE</vt:lpstr>
      <vt:lpstr>CI_COST</vt:lpstr>
      <vt:lpstr>CI_YEARS</vt:lpstr>
      <vt:lpstr>coverPremRoundStep</vt:lpstr>
      <vt:lpstr>coverSliderPremFloor</vt:lpstr>
      <vt:lpstr>CPF_employee</vt:lpstr>
      <vt:lpstr>CPF_income</vt:lpstr>
      <vt:lpstr>CPF_on</vt:lpstr>
      <vt:lpstr>CPF_rate</vt:lpstr>
      <vt:lpstr>CPF_takeHome</vt:lpstr>
      <vt:lpstr>CpfCountrySwitch</vt:lpstr>
      <vt:lpstr>cpfRate_over70</vt:lpstr>
      <vt:lpstr>cpfRate_to55</vt:lpstr>
      <vt:lpstr>cpfRate_to60</vt:lpstr>
      <vt:lpstr>cpfRate_to65</vt:lpstr>
      <vt:lpstr>cpfRate_to70</vt:lpstr>
      <vt:lpstr>criMedicalPlaceholder</vt:lpstr>
      <vt:lpstr>currentYear</vt:lpstr>
      <vt:lpstr>EDU_TOTAL_COST</vt:lpstr>
      <vt:lpstr>eduYearsDefault</vt:lpstr>
      <vt:lpstr>endAge</vt:lpstr>
      <vt:lpstr>FREE_BUDGET_SHARE</vt:lpstr>
      <vt:lpstr>funeralLump</vt:lpstr>
      <vt:lpstr>FX_cash</vt:lpstr>
      <vt:lpstr>FX_expenseMonthly</vt:lpstr>
      <vt:lpstr>FX_incomeMonthly</vt:lpstr>
      <vt:lpstr>FX_investments</vt:lpstr>
      <vt:lpstr>FX_liabilities</vt:lpstr>
      <vt:lpstr>FX_lifeSum</vt:lpstr>
      <vt:lpstr>FX_mortgage</vt:lpstr>
      <vt:lpstr>FX_property</vt:lpstr>
      <vt:lpstr>FX_usdPerLocal</vt:lpstr>
      <vt:lpstr>FxTable</vt:lpstr>
      <vt:lpstr>gfr</vt:lpstr>
      <vt:lpstr>HOSP_MONTHS</vt:lpstr>
      <vt:lpstr>huNumSims</vt:lpstr>
      <vt:lpstr>IncomeBands</vt:lpstr>
      <vt:lpstr>incomeGrowthRate</vt:lpstr>
      <vt:lpstr>inflationRate</vt:lpstr>
      <vt:lpstr>interestRate</vt:lpstr>
      <vt:lpstr>investmentReturn</vt:lpstr>
      <vt:lpstr>INVESTMENTS_SHARE</vt:lpstr>
      <vt:lpstr>liabilityRatio</vt:lpstr>
      <vt:lpstr>lifeExpectancyDefault</vt:lpstr>
      <vt:lpstr>lifePremiumRate</vt:lpstr>
      <vt:lpstr>lifeRoundUnit</vt:lpstr>
      <vt:lpstr>lifestyleFrugal</vt:lpstr>
      <vt:lpstr>lifestyleOnlyTheBest</vt:lpstr>
      <vt:lpstr>lifestyleStressFree</vt:lpstr>
      <vt:lpstr>lifeSupportMax</vt:lpstr>
      <vt:lpstr>lifeSupportMin</vt:lpstr>
      <vt:lpstr>lifeSupportPivotAge</vt:lpstr>
      <vt:lpstr>loanRate</vt:lpstr>
      <vt:lpstr>lumpRoundStep</vt:lpstr>
      <vt:lpstr>monthlyRoundStep</vt:lpstr>
      <vt:lpstr>NC_age</vt:lpstr>
      <vt:lpstr>NC_amount_N_CRI</vt:lpstr>
      <vt:lpstr>NC_amount_N_EDU</vt:lpstr>
      <vt:lpstr>NC_amount_N_HOS</vt:lpstr>
      <vt:lpstr>NC_amount_N_INC</vt:lpstr>
      <vt:lpstr>NC_amount_N_PRP</vt:lpstr>
      <vt:lpstr>NC_amount_N_RET</vt:lpstr>
      <vt:lpstr>NC_amount_N_SAV</vt:lpstr>
      <vt:lpstr>NC_amount_N_TPD</vt:lpstr>
      <vt:lpstr>NC_eduYears</vt:lpstr>
      <vt:lpstr>NC_gap_N_CRI</vt:lpstr>
      <vt:lpstr>NC_gap_N_EDU</vt:lpstr>
      <vt:lpstr>NC_gap_N_HOS</vt:lpstr>
      <vt:lpstr>NC_gap_N_INC</vt:lpstr>
      <vt:lpstr>NC_gap_N_PRP</vt:lpstr>
      <vt:lpstr>NC_gap_N_RET</vt:lpstr>
      <vt:lpstr>NC_gap_N_SAV</vt:lpstr>
      <vt:lpstr>NC_gap_N_TPD</vt:lpstr>
      <vt:lpstr>NC_have_N_CRI</vt:lpstr>
      <vt:lpstr>NC_have_N_EDU</vt:lpstr>
      <vt:lpstr>NC_have_N_HOS</vt:lpstr>
      <vt:lpstr>NC_have_N_INC</vt:lpstr>
      <vt:lpstr>NC_have_N_PRP</vt:lpstr>
      <vt:lpstr>NC_have_N_RET</vt:lpstr>
      <vt:lpstr>NC_have_N_SAV</vt:lpstr>
      <vt:lpstr>NC_have_N_TPD</vt:lpstr>
      <vt:lpstr>NC_on_N_CRI</vt:lpstr>
      <vt:lpstr>NC_on_N_EDU</vt:lpstr>
      <vt:lpstr>NC_on_N_HOS</vt:lpstr>
      <vt:lpstr>NC_on_N_INC</vt:lpstr>
      <vt:lpstr>NC_on_N_PRP</vt:lpstr>
      <vt:lpstr>NC_on_N_RET</vt:lpstr>
      <vt:lpstr>NC_on_N_SAV</vt:lpstr>
      <vt:lpstr>NC_on_N_TPD</vt:lpstr>
      <vt:lpstr>NC_yearsInRet</vt:lpstr>
      <vt:lpstr>NC_yearsToRet</vt:lpstr>
      <vt:lpstr>NP_grow2</vt:lpstr>
      <vt:lpstr>NP_on_N_CRI</vt:lpstr>
      <vt:lpstr>NP_on_N_EDU</vt:lpstr>
      <vt:lpstr>NP_on_N_HOS</vt:lpstr>
      <vt:lpstr>NP_on_N_INC</vt:lpstr>
      <vt:lpstr>NP_on_N_PRP</vt:lpstr>
      <vt:lpstr>NP_on_N_RET</vt:lpstr>
      <vt:lpstr>NP_on_N_SAV</vt:lpstr>
      <vt:lpstr>NP_on_N_TPD</vt:lpstr>
      <vt:lpstr>NP_prot1</vt:lpstr>
      <vt:lpstr>NP_prot2</vt:lpstr>
      <vt:lpstr>OW_CEILING</vt:lpstr>
      <vt:lpstr>PersonaIDs</vt:lpstr>
      <vt:lpstr>placeholderNeedBudget</vt:lpstr>
      <vt:lpstr>PLAN_included_N_CRI</vt:lpstr>
      <vt:lpstr>PLAN_included_N_EDU</vt:lpstr>
      <vt:lpstr>PLAN_included_N_HOS</vt:lpstr>
      <vt:lpstr>PLAN_included_N_INC</vt:lpstr>
      <vt:lpstr>PLAN_included_N_PRP</vt:lpstr>
      <vt:lpstr>PLAN_included_N_RET</vt:lpstr>
      <vt:lpstr>PLAN_included_N_SAV</vt:lpstr>
      <vt:lpstr>PLAN_included_N_TPD</vt:lpstr>
      <vt:lpstr>PLAN_investLump</vt:lpstr>
      <vt:lpstr>PLAN_investMth</vt:lpstr>
      <vt:lpstr>PLAN_nWealth</vt:lpstr>
      <vt:lpstr>PLAN_prem_N_CRI</vt:lpstr>
      <vt:lpstr>PLAN_prem_N_HOS</vt:lpstr>
      <vt:lpstr>PLAN_prem_N_INC</vt:lpstr>
      <vt:lpstr>PLAN_prem_N_TPD</vt:lpstr>
      <vt:lpstr>PLAN_protPremYr</vt:lpstr>
      <vt:lpstr>PLAN_wealthShare</vt:lpstr>
      <vt:lpstr>PLU_age</vt:lpstr>
      <vt:lpstr>PLU_cash</vt:lpstr>
      <vt:lpstr>PLU_currency</vt:lpstr>
      <vt:lpstr>PLU_dependents</vt:lpstr>
      <vt:lpstr>PLU_expenseMonthly</vt:lpstr>
      <vt:lpstr>PLU_incomeMonthly</vt:lpstr>
      <vt:lpstr>PLU_investments</vt:lpstr>
      <vt:lpstr>PLU_leUsed</vt:lpstr>
      <vt:lpstr>PLU_liabilities</vt:lpstr>
      <vt:lpstr>PLU_lifePrem</vt:lpstr>
      <vt:lpstr>PLU_lifeSum</vt:lpstr>
      <vt:lpstr>PLU_marital</vt:lpstr>
      <vt:lpstr>PLU_mortgage</vt:lpstr>
      <vt:lpstr>PLU_ownsProperty</vt:lpstr>
      <vt:lpstr>PLU_property</vt:lpstr>
      <vt:lpstr>PLU_surplus</vt:lpstr>
      <vt:lpstr>PLU_takeHome</vt:lpstr>
      <vt:lpstr>ProfilerWeights</vt:lpstr>
      <vt:lpstr>PROPERTY_LTV</vt:lpstr>
      <vt:lpstr>propertyHigh</vt:lpstr>
      <vt:lpstr>propertyIncomeHigh</vt:lpstr>
      <vt:lpstr>propertyIncomeLow</vt:lpstr>
      <vt:lpstr>propertyLow</vt:lpstr>
      <vt:lpstr>propertyMid</vt:lpstr>
      <vt:lpstr>protectionPremiumRate</vt:lpstr>
      <vt:lpstr>prpIncomeMultiple</vt:lpstr>
      <vt:lpstr>PW_1</vt:lpstr>
      <vt:lpstr>PW_10</vt:lpstr>
      <vt:lpstr>PW_11</vt:lpstr>
      <vt:lpstr>PW_12</vt:lpstr>
      <vt:lpstr>PW_13</vt:lpstr>
      <vt:lpstr>PW_14</vt:lpstr>
      <vt:lpstr>PW_15</vt:lpstr>
      <vt:lpstr>PW_2</vt:lpstr>
      <vt:lpstr>PW_3</vt:lpstr>
      <vt:lpstr>PW_4</vt:lpstr>
      <vt:lpstr>PW_5</vt:lpstr>
      <vt:lpstr>PW_6</vt:lpstr>
      <vt:lpstr>PW_7</vt:lpstr>
      <vt:lpstr>PW_8</vt:lpstr>
      <vt:lpstr>PW_9</vt:lpstr>
      <vt:lpstr>realReturn</vt:lpstr>
      <vt:lpstr>savIncomeMultiple</vt:lpstr>
      <vt:lpstr>SelectedPersona</vt:lpstr>
      <vt:lpstr>spendShareBase</vt:lpstr>
      <vt:lpstr>spendShareCap</vt:lpstr>
      <vt:lpstr>spendSharePerDependant</vt:lpstr>
      <vt:lpstr>TPD_COST</vt:lpstr>
      <vt:lpstr>TPD_YEARS</vt:lpstr>
      <vt:lpstr>UsdRules</vt:lpstr>
      <vt:lpstr>workStartAge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Gerber</cp:lastModifiedBy>
  <dcterms:created xsi:type="dcterms:W3CDTF">2026-09-25T08:55:19Z</dcterms:created>
  <dcterms:modified xsi:type="dcterms:W3CDTF">2026-09-25T09:29:23Z</dcterms:modified>
</cp:coreProperties>
</file>